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e53e2661909f6f/Documents/"/>
    </mc:Choice>
  </mc:AlternateContent>
  <xr:revisionPtr revIDLastSave="0" documentId="8_{FD345C75-FF5D-AE4D-B230-41D15A21C3A6}" xr6:coauthVersionLast="47" xr6:coauthVersionMax="47" xr10:uidLastSave="{00000000-0000-0000-0000-000000000000}"/>
  <bookViews>
    <workbookView xWindow="0" yWindow="780" windowWidth="29780" windowHeight="21460" activeTab="2" xr2:uid="{062B2AC2-AC80-9245-A259-472670828B9D}"/>
  </bookViews>
  <sheets>
    <sheet name="Raw_customers" sheetId="2" r:id="rId1"/>
    <sheet name="Raw_shipments" sheetId="5" r:id="rId2"/>
    <sheet name="Raw_orders" sheetId="7" r:id="rId3"/>
    <sheet name="Data_Quality_Audit." sheetId="1" r:id="rId4"/>
    <sheet name="Dashboard" sheetId="8" r:id="rId5"/>
  </sheets>
  <definedNames>
    <definedName name="ExternalData_1" localSheetId="0" hidden="1">Raw_customers!$A$1:$G$301</definedName>
    <definedName name="ExternalData_1" localSheetId="2" hidden="1">Raw_orders!$A$1:$H$6026</definedName>
    <definedName name="ExternalData_1" localSheetId="1" hidden="1">Raw_shipments!$A$1:$K$6376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" i="8" l="1"/>
  <c r="N24" i="5"/>
  <c r="D4" i="8"/>
  <c r="N23" i="5"/>
  <c r="B4" i="8"/>
  <c r="N22" i="5"/>
  <c r="Q17" i="5"/>
  <c r="Q18" i="5"/>
  <c r="Q16" i="5"/>
  <c r="P18" i="5"/>
  <c r="P17" i="5"/>
  <c r="P16" i="5"/>
  <c r="O17" i="5"/>
  <c r="O18" i="5"/>
  <c r="O16" i="5"/>
  <c r="N17" i="5"/>
  <c r="N18" i="5"/>
  <c r="N16" i="5"/>
  <c r="Q8" i="5"/>
  <c r="Q9" i="5"/>
  <c r="Q10" i="5"/>
  <c r="Q11" i="5"/>
  <c r="Q12" i="5"/>
  <c r="Q7" i="5"/>
  <c r="P8" i="5"/>
  <c r="P9" i="5"/>
  <c r="P10" i="5"/>
  <c r="P11" i="5"/>
  <c r="P12" i="5"/>
  <c r="P7" i="5"/>
  <c r="O8" i="5"/>
  <c r="O9" i="5"/>
  <c r="O10" i="5"/>
  <c r="O11" i="5"/>
  <c r="O12" i="5"/>
  <c r="O7" i="5"/>
  <c r="N9" i="5"/>
  <c r="N10" i="5"/>
  <c r="N11" i="5"/>
  <c r="N12" i="5"/>
  <c r="N8" i="5"/>
  <c r="N7" i="5"/>
  <c r="Q6" i="5"/>
  <c r="Q5" i="5"/>
  <c r="P6" i="5"/>
  <c r="O6" i="5"/>
  <c r="N6" i="5"/>
  <c r="P5" i="5"/>
  <c r="O5" i="5"/>
  <c r="N5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I1828" i="5"/>
  <c r="I1829" i="5"/>
  <c r="I1830" i="5"/>
  <c r="I1831" i="5"/>
  <c r="I1832" i="5"/>
  <c r="I1833" i="5"/>
  <c r="I1834" i="5"/>
  <c r="I1835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I1875" i="5"/>
  <c r="I1876" i="5"/>
  <c r="I1877" i="5"/>
  <c r="I1878" i="5"/>
  <c r="I1879" i="5"/>
  <c r="I1880" i="5"/>
  <c r="I1881" i="5"/>
  <c r="I1882" i="5"/>
  <c r="I1883" i="5"/>
  <c r="I1884" i="5"/>
  <c r="I1885" i="5"/>
  <c r="I1886" i="5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I1900" i="5"/>
  <c r="I1901" i="5"/>
  <c r="I1902" i="5"/>
  <c r="I1903" i="5"/>
  <c r="I1904" i="5"/>
  <c r="I1905" i="5"/>
  <c r="I1906" i="5"/>
  <c r="I1907" i="5"/>
  <c r="I1908" i="5"/>
  <c r="I1909" i="5"/>
  <c r="I1910" i="5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I1948" i="5"/>
  <c r="I1949" i="5"/>
  <c r="I1950" i="5"/>
  <c r="I1951" i="5"/>
  <c r="I1952" i="5"/>
  <c r="I1953" i="5"/>
  <c r="I1954" i="5"/>
  <c r="I1955" i="5"/>
  <c r="I1956" i="5"/>
  <c r="I1957" i="5"/>
  <c r="I1958" i="5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I1972" i="5"/>
  <c r="I1973" i="5"/>
  <c r="I1974" i="5"/>
  <c r="I1975" i="5"/>
  <c r="I1976" i="5"/>
  <c r="I1977" i="5"/>
  <c r="I1978" i="5"/>
  <c r="I1979" i="5"/>
  <c r="I1980" i="5"/>
  <c r="I1981" i="5"/>
  <c r="I1982" i="5"/>
  <c r="I1983" i="5"/>
  <c r="I1984" i="5"/>
  <c r="I1985" i="5"/>
  <c r="I1986" i="5"/>
  <c r="I1987" i="5"/>
  <c r="I1988" i="5"/>
  <c r="I1989" i="5"/>
  <c r="I1990" i="5"/>
  <c r="I1991" i="5"/>
  <c r="I1992" i="5"/>
  <c r="I1993" i="5"/>
  <c r="I1994" i="5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I2007" i="5"/>
  <c r="I2008" i="5"/>
  <c r="I2009" i="5"/>
  <c r="I2010" i="5"/>
  <c r="I2011" i="5"/>
  <c r="I2012" i="5"/>
  <c r="I2013" i="5"/>
  <c r="I2014" i="5"/>
  <c r="I2015" i="5"/>
  <c r="I2016" i="5"/>
  <c r="I2017" i="5"/>
  <c r="I2018" i="5"/>
  <c r="I2019" i="5"/>
  <c r="I2020" i="5"/>
  <c r="I2021" i="5"/>
  <c r="I2022" i="5"/>
  <c r="I2023" i="5"/>
  <c r="I2024" i="5"/>
  <c r="I2025" i="5"/>
  <c r="I2026" i="5"/>
  <c r="I2027" i="5"/>
  <c r="I2028" i="5"/>
  <c r="I2029" i="5"/>
  <c r="I2030" i="5"/>
  <c r="I2031" i="5"/>
  <c r="I2032" i="5"/>
  <c r="I2033" i="5"/>
  <c r="I2034" i="5"/>
  <c r="I2035" i="5"/>
  <c r="I2036" i="5"/>
  <c r="I2037" i="5"/>
  <c r="I2038" i="5"/>
  <c r="I2039" i="5"/>
  <c r="I2040" i="5"/>
  <c r="I2041" i="5"/>
  <c r="I2042" i="5"/>
  <c r="I2043" i="5"/>
  <c r="I2044" i="5"/>
  <c r="I2045" i="5"/>
  <c r="I2046" i="5"/>
  <c r="I2047" i="5"/>
  <c r="I2048" i="5"/>
  <c r="I2049" i="5"/>
  <c r="I2050" i="5"/>
  <c r="I2051" i="5"/>
  <c r="I2052" i="5"/>
  <c r="I2053" i="5"/>
  <c r="I2054" i="5"/>
  <c r="I2055" i="5"/>
  <c r="I2056" i="5"/>
  <c r="I2057" i="5"/>
  <c r="I2058" i="5"/>
  <c r="I2059" i="5"/>
  <c r="I2060" i="5"/>
  <c r="I2061" i="5"/>
  <c r="I2062" i="5"/>
  <c r="I2063" i="5"/>
  <c r="I2064" i="5"/>
  <c r="I2065" i="5"/>
  <c r="I2066" i="5"/>
  <c r="I2067" i="5"/>
  <c r="I2068" i="5"/>
  <c r="I2069" i="5"/>
  <c r="I2070" i="5"/>
  <c r="I2071" i="5"/>
  <c r="I2072" i="5"/>
  <c r="I2073" i="5"/>
  <c r="I2074" i="5"/>
  <c r="I2075" i="5"/>
  <c r="I2076" i="5"/>
  <c r="I2077" i="5"/>
  <c r="I2078" i="5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I2092" i="5"/>
  <c r="I2093" i="5"/>
  <c r="I2094" i="5"/>
  <c r="I2095" i="5"/>
  <c r="I2096" i="5"/>
  <c r="I2097" i="5"/>
  <c r="I2098" i="5"/>
  <c r="I2099" i="5"/>
  <c r="I2100" i="5"/>
  <c r="I2101" i="5"/>
  <c r="I2102" i="5"/>
  <c r="I2103" i="5"/>
  <c r="I2104" i="5"/>
  <c r="I2105" i="5"/>
  <c r="I2106" i="5"/>
  <c r="I2107" i="5"/>
  <c r="I2108" i="5"/>
  <c r="I2109" i="5"/>
  <c r="I2110" i="5"/>
  <c r="I2111" i="5"/>
  <c r="I2112" i="5"/>
  <c r="I2113" i="5"/>
  <c r="I2114" i="5"/>
  <c r="I2115" i="5"/>
  <c r="I2116" i="5"/>
  <c r="I2117" i="5"/>
  <c r="I2118" i="5"/>
  <c r="I2119" i="5"/>
  <c r="I2120" i="5"/>
  <c r="I2121" i="5"/>
  <c r="I2122" i="5"/>
  <c r="I2123" i="5"/>
  <c r="I2124" i="5"/>
  <c r="I2125" i="5"/>
  <c r="I2126" i="5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I2139" i="5"/>
  <c r="I2140" i="5"/>
  <c r="I2141" i="5"/>
  <c r="I2142" i="5"/>
  <c r="I2143" i="5"/>
  <c r="I2144" i="5"/>
  <c r="I2145" i="5"/>
  <c r="I2146" i="5"/>
  <c r="I2147" i="5"/>
  <c r="I2148" i="5"/>
  <c r="I2149" i="5"/>
  <c r="I2150" i="5"/>
  <c r="I2151" i="5"/>
  <c r="I2152" i="5"/>
  <c r="I2153" i="5"/>
  <c r="I2154" i="5"/>
  <c r="I2155" i="5"/>
  <c r="I2156" i="5"/>
  <c r="I2157" i="5"/>
  <c r="I2158" i="5"/>
  <c r="I2159" i="5"/>
  <c r="I2160" i="5"/>
  <c r="I2161" i="5"/>
  <c r="I2162" i="5"/>
  <c r="I2163" i="5"/>
  <c r="I2164" i="5"/>
  <c r="I2165" i="5"/>
  <c r="I2166" i="5"/>
  <c r="I2167" i="5"/>
  <c r="I2168" i="5"/>
  <c r="I2169" i="5"/>
  <c r="I2170" i="5"/>
  <c r="I2171" i="5"/>
  <c r="I2172" i="5"/>
  <c r="I2173" i="5"/>
  <c r="I2174" i="5"/>
  <c r="I2175" i="5"/>
  <c r="I2176" i="5"/>
  <c r="I2177" i="5"/>
  <c r="I2178" i="5"/>
  <c r="I2179" i="5"/>
  <c r="I2180" i="5"/>
  <c r="I2181" i="5"/>
  <c r="I2182" i="5"/>
  <c r="I2183" i="5"/>
  <c r="I2184" i="5"/>
  <c r="I2185" i="5"/>
  <c r="I2186" i="5"/>
  <c r="I2187" i="5"/>
  <c r="I2188" i="5"/>
  <c r="I2189" i="5"/>
  <c r="I2190" i="5"/>
  <c r="I2191" i="5"/>
  <c r="I2192" i="5"/>
  <c r="I2193" i="5"/>
  <c r="I2194" i="5"/>
  <c r="I2195" i="5"/>
  <c r="I2196" i="5"/>
  <c r="I2197" i="5"/>
  <c r="I2198" i="5"/>
  <c r="I2199" i="5"/>
  <c r="I2200" i="5"/>
  <c r="I2201" i="5"/>
  <c r="I2202" i="5"/>
  <c r="I2203" i="5"/>
  <c r="I2204" i="5"/>
  <c r="I2205" i="5"/>
  <c r="I2206" i="5"/>
  <c r="I2207" i="5"/>
  <c r="I2208" i="5"/>
  <c r="I2209" i="5"/>
  <c r="I2210" i="5"/>
  <c r="I2211" i="5"/>
  <c r="I2212" i="5"/>
  <c r="I2213" i="5"/>
  <c r="I2214" i="5"/>
  <c r="I2215" i="5"/>
  <c r="I2216" i="5"/>
  <c r="I2217" i="5"/>
  <c r="I2218" i="5"/>
  <c r="I2219" i="5"/>
  <c r="I2220" i="5"/>
  <c r="I2221" i="5"/>
  <c r="I2222" i="5"/>
  <c r="I2223" i="5"/>
  <c r="I2224" i="5"/>
  <c r="I2225" i="5"/>
  <c r="I2226" i="5"/>
  <c r="I2227" i="5"/>
  <c r="I2228" i="5"/>
  <c r="I2229" i="5"/>
  <c r="I2230" i="5"/>
  <c r="I2231" i="5"/>
  <c r="I2232" i="5"/>
  <c r="I2233" i="5"/>
  <c r="I2234" i="5"/>
  <c r="I2235" i="5"/>
  <c r="I2236" i="5"/>
  <c r="I2237" i="5"/>
  <c r="I2238" i="5"/>
  <c r="I2239" i="5"/>
  <c r="I2240" i="5"/>
  <c r="I2241" i="5"/>
  <c r="I2242" i="5"/>
  <c r="I2243" i="5"/>
  <c r="I2244" i="5"/>
  <c r="I2245" i="5"/>
  <c r="I2246" i="5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I2259" i="5"/>
  <c r="I2260" i="5"/>
  <c r="I2261" i="5"/>
  <c r="I2262" i="5"/>
  <c r="I2263" i="5"/>
  <c r="I2264" i="5"/>
  <c r="I2265" i="5"/>
  <c r="I2266" i="5"/>
  <c r="I2267" i="5"/>
  <c r="I2268" i="5"/>
  <c r="I2269" i="5"/>
  <c r="I2270" i="5"/>
  <c r="I2271" i="5"/>
  <c r="I2272" i="5"/>
  <c r="I2273" i="5"/>
  <c r="I2274" i="5"/>
  <c r="I2275" i="5"/>
  <c r="I2276" i="5"/>
  <c r="I2277" i="5"/>
  <c r="I2278" i="5"/>
  <c r="I2279" i="5"/>
  <c r="I2280" i="5"/>
  <c r="I2281" i="5"/>
  <c r="I2282" i="5"/>
  <c r="I2283" i="5"/>
  <c r="I2284" i="5"/>
  <c r="I2285" i="5"/>
  <c r="I2286" i="5"/>
  <c r="I2287" i="5"/>
  <c r="I2288" i="5"/>
  <c r="I2289" i="5"/>
  <c r="I2290" i="5"/>
  <c r="I2291" i="5"/>
  <c r="I2292" i="5"/>
  <c r="I2293" i="5"/>
  <c r="I2294" i="5"/>
  <c r="I2295" i="5"/>
  <c r="I2296" i="5"/>
  <c r="I2297" i="5"/>
  <c r="I2298" i="5"/>
  <c r="I2299" i="5"/>
  <c r="I2300" i="5"/>
  <c r="I2301" i="5"/>
  <c r="I2302" i="5"/>
  <c r="I2303" i="5"/>
  <c r="I2304" i="5"/>
  <c r="I2305" i="5"/>
  <c r="I2306" i="5"/>
  <c r="I2307" i="5"/>
  <c r="I2308" i="5"/>
  <c r="I2309" i="5"/>
  <c r="I2310" i="5"/>
  <c r="I2311" i="5"/>
  <c r="I2312" i="5"/>
  <c r="I2313" i="5"/>
  <c r="I2314" i="5"/>
  <c r="I2315" i="5"/>
  <c r="I2316" i="5"/>
  <c r="I2317" i="5"/>
  <c r="I2318" i="5"/>
  <c r="I2319" i="5"/>
  <c r="I2320" i="5"/>
  <c r="I2321" i="5"/>
  <c r="I2322" i="5"/>
  <c r="I2323" i="5"/>
  <c r="I2324" i="5"/>
  <c r="I2325" i="5"/>
  <c r="I2326" i="5"/>
  <c r="I2327" i="5"/>
  <c r="I2328" i="5"/>
  <c r="I2329" i="5"/>
  <c r="I2330" i="5"/>
  <c r="I2331" i="5"/>
  <c r="I2332" i="5"/>
  <c r="I2333" i="5"/>
  <c r="I2334" i="5"/>
  <c r="I2335" i="5"/>
  <c r="I2336" i="5"/>
  <c r="I2337" i="5"/>
  <c r="I2338" i="5"/>
  <c r="I2339" i="5"/>
  <c r="I2340" i="5"/>
  <c r="I2341" i="5"/>
  <c r="I2342" i="5"/>
  <c r="I2343" i="5"/>
  <c r="I2344" i="5"/>
  <c r="I2345" i="5"/>
  <c r="I2346" i="5"/>
  <c r="I2347" i="5"/>
  <c r="I2348" i="5"/>
  <c r="I2349" i="5"/>
  <c r="I2350" i="5"/>
  <c r="I2351" i="5"/>
  <c r="I2352" i="5"/>
  <c r="I2353" i="5"/>
  <c r="I2354" i="5"/>
  <c r="I2355" i="5"/>
  <c r="I2356" i="5"/>
  <c r="I2357" i="5"/>
  <c r="I2358" i="5"/>
  <c r="I2359" i="5"/>
  <c r="I2360" i="5"/>
  <c r="I2361" i="5"/>
  <c r="I2362" i="5"/>
  <c r="I2363" i="5"/>
  <c r="I2364" i="5"/>
  <c r="I2365" i="5"/>
  <c r="I2366" i="5"/>
  <c r="I2367" i="5"/>
  <c r="I2368" i="5"/>
  <c r="I2369" i="5"/>
  <c r="I2370" i="5"/>
  <c r="I2371" i="5"/>
  <c r="I2372" i="5"/>
  <c r="I2373" i="5"/>
  <c r="I2374" i="5"/>
  <c r="I2375" i="5"/>
  <c r="I2376" i="5"/>
  <c r="I2377" i="5"/>
  <c r="I2378" i="5"/>
  <c r="I2379" i="5"/>
  <c r="I2380" i="5"/>
  <c r="I2381" i="5"/>
  <c r="I2382" i="5"/>
  <c r="I2383" i="5"/>
  <c r="I2384" i="5"/>
  <c r="I2385" i="5"/>
  <c r="I2386" i="5"/>
  <c r="I2387" i="5"/>
  <c r="I2388" i="5"/>
  <c r="I2389" i="5"/>
  <c r="I2390" i="5"/>
  <c r="I2391" i="5"/>
  <c r="I2392" i="5"/>
  <c r="I2393" i="5"/>
  <c r="I2394" i="5"/>
  <c r="I2395" i="5"/>
  <c r="I2396" i="5"/>
  <c r="I2397" i="5"/>
  <c r="I2398" i="5"/>
  <c r="I2399" i="5"/>
  <c r="I2400" i="5"/>
  <c r="I2401" i="5"/>
  <c r="I2402" i="5"/>
  <c r="I2403" i="5"/>
  <c r="I2404" i="5"/>
  <c r="I2405" i="5"/>
  <c r="I2406" i="5"/>
  <c r="I2407" i="5"/>
  <c r="I2408" i="5"/>
  <c r="I2409" i="5"/>
  <c r="I2410" i="5"/>
  <c r="I2411" i="5"/>
  <c r="I2412" i="5"/>
  <c r="I2413" i="5"/>
  <c r="I2414" i="5"/>
  <c r="I2415" i="5"/>
  <c r="I2416" i="5"/>
  <c r="I2417" i="5"/>
  <c r="I2418" i="5"/>
  <c r="I2419" i="5"/>
  <c r="I2420" i="5"/>
  <c r="I2421" i="5"/>
  <c r="I2422" i="5"/>
  <c r="I2423" i="5"/>
  <c r="I2424" i="5"/>
  <c r="I2425" i="5"/>
  <c r="I2426" i="5"/>
  <c r="I2427" i="5"/>
  <c r="I2428" i="5"/>
  <c r="I2429" i="5"/>
  <c r="I2430" i="5"/>
  <c r="I2431" i="5"/>
  <c r="I2432" i="5"/>
  <c r="I2433" i="5"/>
  <c r="I2434" i="5"/>
  <c r="I2435" i="5"/>
  <c r="I2436" i="5"/>
  <c r="I2437" i="5"/>
  <c r="I2438" i="5"/>
  <c r="I2439" i="5"/>
  <c r="I2440" i="5"/>
  <c r="I2441" i="5"/>
  <c r="I2442" i="5"/>
  <c r="I2443" i="5"/>
  <c r="I2444" i="5"/>
  <c r="I2445" i="5"/>
  <c r="I2446" i="5"/>
  <c r="I2447" i="5"/>
  <c r="I2448" i="5"/>
  <c r="I2449" i="5"/>
  <c r="I2450" i="5"/>
  <c r="I2451" i="5"/>
  <c r="I2452" i="5"/>
  <c r="I2453" i="5"/>
  <c r="I2454" i="5"/>
  <c r="I2455" i="5"/>
  <c r="I2456" i="5"/>
  <c r="I2457" i="5"/>
  <c r="I2458" i="5"/>
  <c r="I2459" i="5"/>
  <c r="I2460" i="5"/>
  <c r="I2461" i="5"/>
  <c r="I2462" i="5"/>
  <c r="I2463" i="5"/>
  <c r="I2464" i="5"/>
  <c r="I2465" i="5"/>
  <c r="I2466" i="5"/>
  <c r="I2467" i="5"/>
  <c r="I2468" i="5"/>
  <c r="I2469" i="5"/>
  <c r="I2470" i="5"/>
  <c r="I2471" i="5"/>
  <c r="I2472" i="5"/>
  <c r="I2473" i="5"/>
  <c r="I2474" i="5"/>
  <c r="I2475" i="5"/>
  <c r="I2476" i="5"/>
  <c r="I2477" i="5"/>
  <c r="I2478" i="5"/>
  <c r="I2479" i="5"/>
  <c r="I2480" i="5"/>
  <c r="I2481" i="5"/>
  <c r="I2482" i="5"/>
  <c r="I2483" i="5"/>
  <c r="I2484" i="5"/>
  <c r="I2485" i="5"/>
  <c r="I2486" i="5"/>
  <c r="I2487" i="5"/>
  <c r="I2488" i="5"/>
  <c r="I2489" i="5"/>
  <c r="I2490" i="5"/>
  <c r="I2491" i="5"/>
  <c r="I2492" i="5"/>
  <c r="I2493" i="5"/>
  <c r="I2494" i="5"/>
  <c r="I2495" i="5"/>
  <c r="I2496" i="5"/>
  <c r="I2497" i="5"/>
  <c r="I2498" i="5"/>
  <c r="I2499" i="5"/>
  <c r="I2500" i="5"/>
  <c r="I2501" i="5"/>
  <c r="I2502" i="5"/>
  <c r="I2503" i="5"/>
  <c r="I2504" i="5"/>
  <c r="I2505" i="5"/>
  <c r="I2506" i="5"/>
  <c r="I2507" i="5"/>
  <c r="I2508" i="5"/>
  <c r="I2509" i="5"/>
  <c r="I2510" i="5"/>
  <c r="I2511" i="5"/>
  <c r="I2512" i="5"/>
  <c r="I2513" i="5"/>
  <c r="I2514" i="5"/>
  <c r="I2515" i="5"/>
  <c r="I2516" i="5"/>
  <c r="I2517" i="5"/>
  <c r="I2518" i="5"/>
  <c r="I2519" i="5"/>
  <c r="I2520" i="5"/>
  <c r="I2521" i="5"/>
  <c r="I2522" i="5"/>
  <c r="I2523" i="5"/>
  <c r="I2524" i="5"/>
  <c r="I2525" i="5"/>
  <c r="I2526" i="5"/>
  <c r="I2527" i="5"/>
  <c r="I2528" i="5"/>
  <c r="I2529" i="5"/>
  <c r="I2530" i="5"/>
  <c r="I2531" i="5"/>
  <c r="I2532" i="5"/>
  <c r="I2533" i="5"/>
  <c r="I2534" i="5"/>
  <c r="I2535" i="5"/>
  <c r="I2536" i="5"/>
  <c r="I2537" i="5"/>
  <c r="I2538" i="5"/>
  <c r="I2539" i="5"/>
  <c r="I2540" i="5"/>
  <c r="I2541" i="5"/>
  <c r="I2542" i="5"/>
  <c r="I2543" i="5"/>
  <c r="I2544" i="5"/>
  <c r="I2545" i="5"/>
  <c r="I2546" i="5"/>
  <c r="I2547" i="5"/>
  <c r="I2548" i="5"/>
  <c r="I2549" i="5"/>
  <c r="I2550" i="5"/>
  <c r="I2551" i="5"/>
  <c r="I2552" i="5"/>
  <c r="I2553" i="5"/>
  <c r="I2554" i="5"/>
  <c r="I2555" i="5"/>
  <c r="I2556" i="5"/>
  <c r="I2557" i="5"/>
  <c r="I2558" i="5"/>
  <c r="I2559" i="5"/>
  <c r="I2560" i="5"/>
  <c r="I2561" i="5"/>
  <c r="I2562" i="5"/>
  <c r="I2563" i="5"/>
  <c r="I2564" i="5"/>
  <c r="I2565" i="5"/>
  <c r="I2566" i="5"/>
  <c r="I2567" i="5"/>
  <c r="I2568" i="5"/>
  <c r="I2569" i="5"/>
  <c r="I2570" i="5"/>
  <c r="I2571" i="5"/>
  <c r="I2572" i="5"/>
  <c r="I2573" i="5"/>
  <c r="I2574" i="5"/>
  <c r="I2575" i="5"/>
  <c r="I2576" i="5"/>
  <c r="I2577" i="5"/>
  <c r="I2578" i="5"/>
  <c r="I2579" i="5"/>
  <c r="I2580" i="5"/>
  <c r="I2581" i="5"/>
  <c r="I2582" i="5"/>
  <c r="I2583" i="5"/>
  <c r="I2584" i="5"/>
  <c r="I2585" i="5"/>
  <c r="I2586" i="5"/>
  <c r="I2587" i="5"/>
  <c r="I2588" i="5"/>
  <c r="I2589" i="5"/>
  <c r="I2590" i="5"/>
  <c r="I2591" i="5"/>
  <c r="I2592" i="5"/>
  <c r="I2593" i="5"/>
  <c r="I2594" i="5"/>
  <c r="I2595" i="5"/>
  <c r="I2596" i="5"/>
  <c r="I2597" i="5"/>
  <c r="I2598" i="5"/>
  <c r="I2599" i="5"/>
  <c r="I2600" i="5"/>
  <c r="I2601" i="5"/>
  <c r="I2602" i="5"/>
  <c r="I2603" i="5"/>
  <c r="I2604" i="5"/>
  <c r="I2605" i="5"/>
  <c r="I2606" i="5"/>
  <c r="I2607" i="5"/>
  <c r="I2608" i="5"/>
  <c r="I2609" i="5"/>
  <c r="I2610" i="5"/>
  <c r="I2611" i="5"/>
  <c r="I2612" i="5"/>
  <c r="I2613" i="5"/>
  <c r="I2614" i="5"/>
  <c r="I2615" i="5"/>
  <c r="I2616" i="5"/>
  <c r="I2617" i="5"/>
  <c r="I2618" i="5"/>
  <c r="I2619" i="5"/>
  <c r="I2620" i="5"/>
  <c r="I2621" i="5"/>
  <c r="I2622" i="5"/>
  <c r="I2623" i="5"/>
  <c r="I2624" i="5"/>
  <c r="I2625" i="5"/>
  <c r="I2626" i="5"/>
  <c r="I2627" i="5"/>
  <c r="I2628" i="5"/>
  <c r="I2629" i="5"/>
  <c r="I2630" i="5"/>
  <c r="I2631" i="5"/>
  <c r="I2632" i="5"/>
  <c r="I2633" i="5"/>
  <c r="I2634" i="5"/>
  <c r="I2635" i="5"/>
  <c r="I2636" i="5"/>
  <c r="I2637" i="5"/>
  <c r="I2638" i="5"/>
  <c r="I2639" i="5"/>
  <c r="I2640" i="5"/>
  <c r="I2641" i="5"/>
  <c r="I2642" i="5"/>
  <c r="I2643" i="5"/>
  <c r="I2644" i="5"/>
  <c r="I2645" i="5"/>
  <c r="I2646" i="5"/>
  <c r="I2647" i="5"/>
  <c r="I2648" i="5"/>
  <c r="I2649" i="5"/>
  <c r="I2650" i="5"/>
  <c r="I2651" i="5"/>
  <c r="I2652" i="5"/>
  <c r="I2653" i="5"/>
  <c r="I2654" i="5"/>
  <c r="I2655" i="5"/>
  <c r="I2656" i="5"/>
  <c r="I2657" i="5"/>
  <c r="I2658" i="5"/>
  <c r="I2659" i="5"/>
  <c r="I2660" i="5"/>
  <c r="I2661" i="5"/>
  <c r="I2662" i="5"/>
  <c r="I2663" i="5"/>
  <c r="I2664" i="5"/>
  <c r="I2665" i="5"/>
  <c r="I2666" i="5"/>
  <c r="I2667" i="5"/>
  <c r="I2668" i="5"/>
  <c r="I2669" i="5"/>
  <c r="I2670" i="5"/>
  <c r="I2671" i="5"/>
  <c r="I2672" i="5"/>
  <c r="I2673" i="5"/>
  <c r="I2674" i="5"/>
  <c r="I2675" i="5"/>
  <c r="I2676" i="5"/>
  <c r="I2677" i="5"/>
  <c r="I2678" i="5"/>
  <c r="I2679" i="5"/>
  <c r="I2680" i="5"/>
  <c r="I2681" i="5"/>
  <c r="I2682" i="5"/>
  <c r="I2683" i="5"/>
  <c r="I2684" i="5"/>
  <c r="I2685" i="5"/>
  <c r="I2686" i="5"/>
  <c r="I2687" i="5"/>
  <c r="I2688" i="5"/>
  <c r="I2689" i="5"/>
  <c r="I2690" i="5"/>
  <c r="I2691" i="5"/>
  <c r="I2692" i="5"/>
  <c r="I2693" i="5"/>
  <c r="I2694" i="5"/>
  <c r="I2695" i="5"/>
  <c r="I2696" i="5"/>
  <c r="I2697" i="5"/>
  <c r="I2698" i="5"/>
  <c r="I2699" i="5"/>
  <c r="I2700" i="5"/>
  <c r="I2701" i="5"/>
  <c r="I2702" i="5"/>
  <c r="I2703" i="5"/>
  <c r="I2704" i="5"/>
  <c r="I2705" i="5"/>
  <c r="I2706" i="5"/>
  <c r="I2707" i="5"/>
  <c r="I2708" i="5"/>
  <c r="I2709" i="5"/>
  <c r="I2710" i="5"/>
  <c r="I2711" i="5"/>
  <c r="I2712" i="5"/>
  <c r="I2713" i="5"/>
  <c r="I2714" i="5"/>
  <c r="I2715" i="5"/>
  <c r="I2716" i="5"/>
  <c r="I2717" i="5"/>
  <c r="I2718" i="5"/>
  <c r="I2719" i="5"/>
  <c r="I2720" i="5"/>
  <c r="I2721" i="5"/>
  <c r="I2722" i="5"/>
  <c r="I2723" i="5"/>
  <c r="I2724" i="5"/>
  <c r="I2725" i="5"/>
  <c r="I2726" i="5"/>
  <c r="I2727" i="5"/>
  <c r="I2728" i="5"/>
  <c r="I2729" i="5"/>
  <c r="I2730" i="5"/>
  <c r="I2731" i="5"/>
  <c r="I2732" i="5"/>
  <c r="I2733" i="5"/>
  <c r="I2734" i="5"/>
  <c r="I2735" i="5"/>
  <c r="I2736" i="5"/>
  <c r="I2737" i="5"/>
  <c r="I2738" i="5"/>
  <c r="I2739" i="5"/>
  <c r="I2740" i="5"/>
  <c r="I2741" i="5"/>
  <c r="I2742" i="5"/>
  <c r="I2743" i="5"/>
  <c r="I2744" i="5"/>
  <c r="I2745" i="5"/>
  <c r="I2746" i="5"/>
  <c r="I2747" i="5"/>
  <c r="I2748" i="5"/>
  <c r="I2749" i="5"/>
  <c r="I2750" i="5"/>
  <c r="I2751" i="5"/>
  <c r="I2752" i="5"/>
  <c r="I2753" i="5"/>
  <c r="I2754" i="5"/>
  <c r="I2755" i="5"/>
  <c r="I2756" i="5"/>
  <c r="I2757" i="5"/>
  <c r="I2758" i="5"/>
  <c r="I2759" i="5"/>
  <c r="I2760" i="5"/>
  <c r="I2761" i="5"/>
  <c r="I2762" i="5"/>
  <c r="I2763" i="5"/>
  <c r="I2764" i="5"/>
  <c r="I2765" i="5"/>
  <c r="I2766" i="5"/>
  <c r="I2767" i="5"/>
  <c r="I2768" i="5"/>
  <c r="I2769" i="5"/>
  <c r="I2770" i="5"/>
  <c r="I2771" i="5"/>
  <c r="I2772" i="5"/>
  <c r="I2773" i="5"/>
  <c r="I2774" i="5"/>
  <c r="I2775" i="5"/>
  <c r="I2776" i="5"/>
  <c r="I2777" i="5"/>
  <c r="I2778" i="5"/>
  <c r="I2779" i="5"/>
  <c r="I2780" i="5"/>
  <c r="I2781" i="5"/>
  <c r="I2782" i="5"/>
  <c r="I2783" i="5"/>
  <c r="I2784" i="5"/>
  <c r="I2785" i="5"/>
  <c r="I2786" i="5"/>
  <c r="I2787" i="5"/>
  <c r="I2788" i="5"/>
  <c r="I2789" i="5"/>
  <c r="I2790" i="5"/>
  <c r="I2791" i="5"/>
  <c r="I2792" i="5"/>
  <c r="I2793" i="5"/>
  <c r="I2794" i="5"/>
  <c r="I2795" i="5"/>
  <c r="I2796" i="5"/>
  <c r="I2797" i="5"/>
  <c r="I2798" i="5"/>
  <c r="I2799" i="5"/>
  <c r="I2800" i="5"/>
  <c r="I2801" i="5"/>
  <c r="I2802" i="5"/>
  <c r="I2803" i="5"/>
  <c r="I2804" i="5"/>
  <c r="I2805" i="5"/>
  <c r="I2806" i="5"/>
  <c r="I2807" i="5"/>
  <c r="I2808" i="5"/>
  <c r="I2809" i="5"/>
  <c r="I2810" i="5"/>
  <c r="I2811" i="5"/>
  <c r="I2812" i="5"/>
  <c r="I2813" i="5"/>
  <c r="I2814" i="5"/>
  <c r="I2815" i="5"/>
  <c r="I2816" i="5"/>
  <c r="I2817" i="5"/>
  <c r="I2818" i="5"/>
  <c r="I2819" i="5"/>
  <c r="I2820" i="5"/>
  <c r="I2821" i="5"/>
  <c r="I2822" i="5"/>
  <c r="I2823" i="5"/>
  <c r="I2824" i="5"/>
  <c r="I2825" i="5"/>
  <c r="I2826" i="5"/>
  <c r="I2827" i="5"/>
  <c r="I2828" i="5"/>
  <c r="I2829" i="5"/>
  <c r="I2830" i="5"/>
  <c r="I2831" i="5"/>
  <c r="I2832" i="5"/>
  <c r="I2833" i="5"/>
  <c r="I2834" i="5"/>
  <c r="I2835" i="5"/>
  <c r="I2836" i="5"/>
  <c r="I2837" i="5"/>
  <c r="I2838" i="5"/>
  <c r="I2839" i="5"/>
  <c r="I2840" i="5"/>
  <c r="I2841" i="5"/>
  <c r="I2842" i="5"/>
  <c r="I2843" i="5"/>
  <c r="I2844" i="5"/>
  <c r="I2845" i="5"/>
  <c r="I2846" i="5"/>
  <c r="I2847" i="5"/>
  <c r="I2848" i="5"/>
  <c r="I2849" i="5"/>
  <c r="I2850" i="5"/>
  <c r="I2851" i="5"/>
  <c r="I2852" i="5"/>
  <c r="I2853" i="5"/>
  <c r="I2854" i="5"/>
  <c r="I2855" i="5"/>
  <c r="I2856" i="5"/>
  <c r="I2857" i="5"/>
  <c r="I2858" i="5"/>
  <c r="I2859" i="5"/>
  <c r="I2860" i="5"/>
  <c r="I2861" i="5"/>
  <c r="I2862" i="5"/>
  <c r="I2863" i="5"/>
  <c r="I2864" i="5"/>
  <c r="I2865" i="5"/>
  <c r="I2866" i="5"/>
  <c r="I2867" i="5"/>
  <c r="I2868" i="5"/>
  <c r="I2869" i="5"/>
  <c r="I2870" i="5"/>
  <c r="I2871" i="5"/>
  <c r="I2872" i="5"/>
  <c r="I2873" i="5"/>
  <c r="I2874" i="5"/>
  <c r="I2875" i="5"/>
  <c r="I2876" i="5"/>
  <c r="I2877" i="5"/>
  <c r="I2878" i="5"/>
  <c r="I2879" i="5"/>
  <c r="I2880" i="5"/>
  <c r="I2881" i="5"/>
  <c r="I2882" i="5"/>
  <c r="I2883" i="5"/>
  <c r="I2884" i="5"/>
  <c r="I2885" i="5"/>
  <c r="I2886" i="5"/>
  <c r="I2887" i="5"/>
  <c r="I2888" i="5"/>
  <c r="I2889" i="5"/>
  <c r="I2890" i="5"/>
  <c r="I2891" i="5"/>
  <c r="I2892" i="5"/>
  <c r="I2893" i="5"/>
  <c r="I2894" i="5"/>
  <c r="I2895" i="5"/>
  <c r="I2896" i="5"/>
  <c r="I2897" i="5"/>
  <c r="I2898" i="5"/>
  <c r="I2899" i="5"/>
  <c r="I2900" i="5"/>
  <c r="I2901" i="5"/>
  <c r="I2902" i="5"/>
  <c r="I2903" i="5"/>
  <c r="I2904" i="5"/>
  <c r="I2905" i="5"/>
  <c r="I2906" i="5"/>
  <c r="I2907" i="5"/>
  <c r="I2908" i="5"/>
  <c r="I2909" i="5"/>
  <c r="I2910" i="5"/>
  <c r="I2911" i="5"/>
  <c r="I2912" i="5"/>
  <c r="I2913" i="5"/>
  <c r="I2914" i="5"/>
  <c r="I2915" i="5"/>
  <c r="I2916" i="5"/>
  <c r="I2917" i="5"/>
  <c r="I2918" i="5"/>
  <c r="I2919" i="5"/>
  <c r="I2920" i="5"/>
  <c r="I2921" i="5"/>
  <c r="I2922" i="5"/>
  <c r="I2923" i="5"/>
  <c r="I2924" i="5"/>
  <c r="I2925" i="5"/>
  <c r="I2926" i="5"/>
  <c r="I2927" i="5"/>
  <c r="I2928" i="5"/>
  <c r="I2929" i="5"/>
  <c r="I2930" i="5"/>
  <c r="I2931" i="5"/>
  <c r="I2932" i="5"/>
  <c r="I2933" i="5"/>
  <c r="I2934" i="5"/>
  <c r="I2935" i="5"/>
  <c r="I2936" i="5"/>
  <c r="I2937" i="5"/>
  <c r="I2938" i="5"/>
  <c r="I2939" i="5"/>
  <c r="I2940" i="5"/>
  <c r="I2941" i="5"/>
  <c r="I2942" i="5"/>
  <c r="I2943" i="5"/>
  <c r="I2944" i="5"/>
  <c r="I2945" i="5"/>
  <c r="I2946" i="5"/>
  <c r="I2947" i="5"/>
  <c r="I2948" i="5"/>
  <c r="I2949" i="5"/>
  <c r="I2950" i="5"/>
  <c r="I2951" i="5"/>
  <c r="I2952" i="5"/>
  <c r="I2953" i="5"/>
  <c r="I2954" i="5"/>
  <c r="I2955" i="5"/>
  <c r="I2956" i="5"/>
  <c r="I2957" i="5"/>
  <c r="I2958" i="5"/>
  <c r="I2959" i="5"/>
  <c r="I2960" i="5"/>
  <c r="I2961" i="5"/>
  <c r="I2962" i="5"/>
  <c r="I2963" i="5"/>
  <c r="I2964" i="5"/>
  <c r="I2965" i="5"/>
  <c r="I2966" i="5"/>
  <c r="I2967" i="5"/>
  <c r="I2968" i="5"/>
  <c r="I2969" i="5"/>
  <c r="I2970" i="5"/>
  <c r="I2971" i="5"/>
  <c r="I2972" i="5"/>
  <c r="I2973" i="5"/>
  <c r="I2974" i="5"/>
  <c r="I2975" i="5"/>
  <c r="I2976" i="5"/>
  <c r="I2977" i="5"/>
  <c r="I2978" i="5"/>
  <c r="I2979" i="5"/>
  <c r="I2980" i="5"/>
  <c r="I2981" i="5"/>
  <c r="I2982" i="5"/>
  <c r="I2983" i="5"/>
  <c r="I2984" i="5"/>
  <c r="I2985" i="5"/>
  <c r="I2986" i="5"/>
  <c r="I2987" i="5"/>
  <c r="I2988" i="5"/>
  <c r="I2989" i="5"/>
  <c r="I2990" i="5"/>
  <c r="I2991" i="5"/>
  <c r="I2992" i="5"/>
  <c r="I2993" i="5"/>
  <c r="I2994" i="5"/>
  <c r="I2995" i="5"/>
  <c r="I2996" i="5"/>
  <c r="I2997" i="5"/>
  <c r="I2998" i="5"/>
  <c r="I2999" i="5"/>
  <c r="I3000" i="5"/>
  <c r="I3001" i="5"/>
  <c r="I3002" i="5"/>
  <c r="I3003" i="5"/>
  <c r="I3004" i="5"/>
  <c r="I3005" i="5"/>
  <c r="I3006" i="5"/>
  <c r="I3007" i="5"/>
  <c r="I3008" i="5"/>
  <c r="I3009" i="5"/>
  <c r="I3010" i="5"/>
  <c r="I3011" i="5"/>
  <c r="I3012" i="5"/>
  <c r="I3013" i="5"/>
  <c r="I3014" i="5"/>
  <c r="I3015" i="5"/>
  <c r="I3016" i="5"/>
  <c r="I3017" i="5"/>
  <c r="I3018" i="5"/>
  <c r="I3019" i="5"/>
  <c r="I3020" i="5"/>
  <c r="I3021" i="5"/>
  <c r="I3022" i="5"/>
  <c r="I3023" i="5"/>
  <c r="I3024" i="5"/>
  <c r="I3025" i="5"/>
  <c r="I3026" i="5"/>
  <c r="I3027" i="5"/>
  <c r="I3028" i="5"/>
  <c r="I3029" i="5"/>
  <c r="I3030" i="5"/>
  <c r="I3031" i="5"/>
  <c r="I3032" i="5"/>
  <c r="I3033" i="5"/>
  <c r="I3034" i="5"/>
  <c r="I3035" i="5"/>
  <c r="I3036" i="5"/>
  <c r="I3037" i="5"/>
  <c r="I3038" i="5"/>
  <c r="I3039" i="5"/>
  <c r="I3040" i="5"/>
  <c r="I3041" i="5"/>
  <c r="I3042" i="5"/>
  <c r="I3043" i="5"/>
  <c r="I3044" i="5"/>
  <c r="I3045" i="5"/>
  <c r="I3046" i="5"/>
  <c r="I3047" i="5"/>
  <c r="I3048" i="5"/>
  <c r="I3049" i="5"/>
  <c r="I3050" i="5"/>
  <c r="I3051" i="5"/>
  <c r="I3052" i="5"/>
  <c r="I3053" i="5"/>
  <c r="I3054" i="5"/>
  <c r="I3055" i="5"/>
  <c r="I3056" i="5"/>
  <c r="I3057" i="5"/>
  <c r="I3058" i="5"/>
  <c r="I3059" i="5"/>
  <c r="I3060" i="5"/>
  <c r="I3061" i="5"/>
  <c r="I3062" i="5"/>
  <c r="I3063" i="5"/>
  <c r="I3064" i="5"/>
  <c r="I3065" i="5"/>
  <c r="I3066" i="5"/>
  <c r="I3067" i="5"/>
  <c r="I3068" i="5"/>
  <c r="I3069" i="5"/>
  <c r="I3070" i="5"/>
  <c r="I3071" i="5"/>
  <c r="I3072" i="5"/>
  <c r="I3073" i="5"/>
  <c r="I3074" i="5"/>
  <c r="I3075" i="5"/>
  <c r="I3076" i="5"/>
  <c r="I3077" i="5"/>
  <c r="I3078" i="5"/>
  <c r="I3079" i="5"/>
  <c r="I3080" i="5"/>
  <c r="I3081" i="5"/>
  <c r="I3082" i="5"/>
  <c r="I3083" i="5"/>
  <c r="I3084" i="5"/>
  <c r="I3085" i="5"/>
  <c r="I3086" i="5"/>
  <c r="I3087" i="5"/>
  <c r="I3088" i="5"/>
  <c r="I3089" i="5"/>
  <c r="I3090" i="5"/>
  <c r="I3091" i="5"/>
  <c r="I3092" i="5"/>
  <c r="I3093" i="5"/>
  <c r="I3094" i="5"/>
  <c r="I3095" i="5"/>
  <c r="I3096" i="5"/>
  <c r="I3097" i="5"/>
  <c r="I3098" i="5"/>
  <c r="I3099" i="5"/>
  <c r="I3100" i="5"/>
  <c r="I3101" i="5"/>
  <c r="I3102" i="5"/>
  <c r="I3103" i="5"/>
  <c r="I3104" i="5"/>
  <c r="I3105" i="5"/>
  <c r="I3106" i="5"/>
  <c r="I3107" i="5"/>
  <c r="I3108" i="5"/>
  <c r="I3109" i="5"/>
  <c r="I3110" i="5"/>
  <c r="I3111" i="5"/>
  <c r="I3112" i="5"/>
  <c r="I3113" i="5"/>
  <c r="I3114" i="5"/>
  <c r="I3115" i="5"/>
  <c r="I3116" i="5"/>
  <c r="I3117" i="5"/>
  <c r="I3118" i="5"/>
  <c r="I3119" i="5"/>
  <c r="I3120" i="5"/>
  <c r="I3121" i="5"/>
  <c r="I3122" i="5"/>
  <c r="I3123" i="5"/>
  <c r="I3124" i="5"/>
  <c r="I3125" i="5"/>
  <c r="I3126" i="5"/>
  <c r="I3127" i="5"/>
  <c r="I3128" i="5"/>
  <c r="I3129" i="5"/>
  <c r="I3130" i="5"/>
  <c r="I3131" i="5"/>
  <c r="I3132" i="5"/>
  <c r="I3133" i="5"/>
  <c r="I3134" i="5"/>
  <c r="I3135" i="5"/>
  <c r="I3136" i="5"/>
  <c r="I3137" i="5"/>
  <c r="I3138" i="5"/>
  <c r="I3139" i="5"/>
  <c r="I3140" i="5"/>
  <c r="I3141" i="5"/>
  <c r="I3142" i="5"/>
  <c r="I3143" i="5"/>
  <c r="I3144" i="5"/>
  <c r="I3145" i="5"/>
  <c r="I3146" i="5"/>
  <c r="I3147" i="5"/>
  <c r="I3148" i="5"/>
  <c r="I3149" i="5"/>
  <c r="I3150" i="5"/>
  <c r="I3151" i="5"/>
  <c r="I3152" i="5"/>
  <c r="I3153" i="5"/>
  <c r="I3154" i="5"/>
  <c r="I3155" i="5"/>
  <c r="I3156" i="5"/>
  <c r="I3157" i="5"/>
  <c r="I3158" i="5"/>
  <c r="I3159" i="5"/>
  <c r="I3160" i="5"/>
  <c r="I3161" i="5"/>
  <c r="I3162" i="5"/>
  <c r="I3163" i="5"/>
  <c r="I3164" i="5"/>
  <c r="I3165" i="5"/>
  <c r="I3166" i="5"/>
  <c r="I3167" i="5"/>
  <c r="I3168" i="5"/>
  <c r="I3169" i="5"/>
  <c r="I3170" i="5"/>
  <c r="I3171" i="5"/>
  <c r="I3172" i="5"/>
  <c r="I3173" i="5"/>
  <c r="I3174" i="5"/>
  <c r="I3175" i="5"/>
  <c r="I3176" i="5"/>
  <c r="I3177" i="5"/>
  <c r="I3178" i="5"/>
  <c r="I3179" i="5"/>
  <c r="I3180" i="5"/>
  <c r="I3181" i="5"/>
  <c r="I3182" i="5"/>
  <c r="I3183" i="5"/>
  <c r="I3184" i="5"/>
  <c r="I3185" i="5"/>
  <c r="I3186" i="5"/>
  <c r="I3187" i="5"/>
  <c r="I3188" i="5"/>
  <c r="I3189" i="5"/>
  <c r="I3190" i="5"/>
  <c r="I3191" i="5"/>
  <c r="I3192" i="5"/>
  <c r="I3193" i="5"/>
  <c r="I3194" i="5"/>
  <c r="I3195" i="5"/>
  <c r="I3196" i="5"/>
  <c r="I3197" i="5"/>
  <c r="I3198" i="5"/>
  <c r="I3199" i="5"/>
  <c r="I3200" i="5"/>
  <c r="I3201" i="5"/>
  <c r="I3202" i="5"/>
  <c r="I3203" i="5"/>
  <c r="I3204" i="5"/>
  <c r="I3205" i="5"/>
  <c r="I3206" i="5"/>
  <c r="I3207" i="5"/>
  <c r="I3208" i="5"/>
  <c r="I3209" i="5"/>
  <c r="I3210" i="5"/>
  <c r="I3211" i="5"/>
  <c r="I3212" i="5"/>
  <c r="I3213" i="5"/>
  <c r="I3214" i="5"/>
  <c r="I3215" i="5"/>
  <c r="I3216" i="5"/>
  <c r="I3217" i="5"/>
  <c r="I3218" i="5"/>
  <c r="I3219" i="5"/>
  <c r="I3220" i="5"/>
  <c r="I3221" i="5"/>
  <c r="I3222" i="5"/>
  <c r="I3223" i="5"/>
  <c r="I3224" i="5"/>
  <c r="I3225" i="5"/>
  <c r="I3226" i="5"/>
  <c r="I3227" i="5"/>
  <c r="I3228" i="5"/>
  <c r="I3229" i="5"/>
  <c r="I3230" i="5"/>
  <c r="I3231" i="5"/>
  <c r="I3232" i="5"/>
  <c r="I3233" i="5"/>
  <c r="I3234" i="5"/>
  <c r="I3235" i="5"/>
  <c r="I3236" i="5"/>
  <c r="I3237" i="5"/>
  <c r="I3238" i="5"/>
  <c r="I3239" i="5"/>
  <c r="I3240" i="5"/>
  <c r="I3241" i="5"/>
  <c r="I3242" i="5"/>
  <c r="I3243" i="5"/>
  <c r="I3244" i="5"/>
  <c r="I3245" i="5"/>
  <c r="I3246" i="5"/>
  <c r="I3247" i="5"/>
  <c r="I3248" i="5"/>
  <c r="I3249" i="5"/>
  <c r="I3250" i="5"/>
  <c r="I3251" i="5"/>
  <c r="I3252" i="5"/>
  <c r="I3253" i="5"/>
  <c r="I3254" i="5"/>
  <c r="I3255" i="5"/>
  <c r="I3256" i="5"/>
  <c r="I3257" i="5"/>
  <c r="I3258" i="5"/>
  <c r="I3259" i="5"/>
  <c r="I3260" i="5"/>
  <c r="I3261" i="5"/>
  <c r="I3262" i="5"/>
  <c r="I3263" i="5"/>
  <c r="I3264" i="5"/>
  <c r="I3265" i="5"/>
  <c r="I3266" i="5"/>
  <c r="I3267" i="5"/>
  <c r="I3268" i="5"/>
  <c r="I3269" i="5"/>
  <c r="I3270" i="5"/>
  <c r="I3271" i="5"/>
  <c r="I3272" i="5"/>
  <c r="I3273" i="5"/>
  <c r="I3274" i="5"/>
  <c r="I3275" i="5"/>
  <c r="I3276" i="5"/>
  <c r="I3277" i="5"/>
  <c r="I3278" i="5"/>
  <c r="I3279" i="5"/>
  <c r="I3280" i="5"/>
  <c r="I3281" i="5"/>
  <c r="I3282" i="5"/>
  <c r="I3283" i="5"/>
  <c r="I3284" i="5"/>
  <c r="I3285" i="5"/>
  <c r="I3286" i="5"/>
  <c r="I3287" i="5"/>
  <c r="I3288" i="5"/>
  <c r="I3289" i="5"/>
  <c r="I3290" i="5"/>
  <c r="I3291" i="5"/>
  <c r="I3292" i="5"/>
  <c r="I3293" i="5"/>
  <c r="I3294" i="5"/>
  <c r="I3295" i="5"/>
  <c r="I3296" i="5"/>
  <c r="I3297" i="5"/>
  <c r="I3298" i="5"/>
  <c r="I3299" i="5"/>
  <c r="I3300" i="5"/>
  <c r="I3301" i="5"/>
  <c r="I3302" i="5"/>
  <c r="I3303" i="5"/>
  <c r="I3304" i="5"/>
  <c r="I3305" i="5"/>
  <c r="I3306" i="5"/>
  <c r="I3307" i="5"/>
  <c r="I3308" i="5"/>
  <c r="I3309" i="5"/>
  <c r="I3310" i="5"/>
  <c r="I3311" i="5"/>
  <c r="I3312" i="5"/>
  <c r="I3313" i="5"/>
  <c r="I3314" i="5"/>
  <c r="I3315" i="5"/>
  <c r="I3316" i="5"/>
  <c r="I3317" i="5"/>
  <c r="I3318" i="5"/>
  <c r="I3319" i="5"/>
  <c r="I3320" i="5"/>
  <c r="I3321" i="5"/>
  <c r="I3322" i="5"/>
  <c r="I3323" i="5"/>
  <c r="I3324" i="5"/>
  <c r="I3325" i="5"/>
  <c r="I3326" i="5"/>
  <c r="I3327" i="5"/>
  <c r="I3328" i="5"/>
  <c r="I3329" i="5"/>
  <c r="I3330" i="5"/>
  <c r="I3331" i="5"/>
  <c r="I3332" i="5"/>
  <c r="I3333" i="5"/>
  <c r="I3334" i="5"/>
  <c r="I3335" i="5"/>
  <c r="I3336" i="5"/>
  <c r="I3337" i="5"/>
  <c r="I3338" i="5"/>
  <c r="I3339" i="5"/>
  <c r="I3340" i="5"/>
  <c r="I3341" i="5"/>
  <c r="I3342" i="5"/>
  <c r="I3343" i="5"/>
  <c r="I3344" i="5"/>
  <c r="I3345" i="5"/>
  <c r="I3346" i="5"/>
  <c r="I3347" i="5"/>
  <c r="I3348" i="5"/>
  <c r="I3349" i="5"/>
  <c r="I3350" i="5"/>
  <c r="I3351" i="5"/>
  <c r="I3352" i="5"/>
  <c r="I3353" i="5"/>
  <c r="I3354" i="5"/>
  <c r="I3355" i="5"/>
  <c r="I3356" i="5"/>
  <c r="I3357" i="5"/>
  <c r="I3358" i="5"/>
  <c r="I3359" i="5"/>
  <c r="I3360" i="5"/>
  <c r="I3361" i="5"/>
  <c r="I3362" i="5"/>
  <c r="I3363" i="5"/>
  <c r="I3364" i="5"/>
  <c r="I3365" i="5"/>
  <c r="I3366" i="5"/>
  <c r="I3367" i="5"/>
  <c r="I3368" i="5"/>
  <c r="I3369" i="5"/>
  <c r="I3370" i="5"/>
  <c r="I3371" i="5"/>
  <c r="I3372" i="5"/>
  <c r="I3373" i="5"/>
  <c r="I3374" i="5"/>
  <c r="I3375" i="5"/>
  <c r="I3376" i="5"/>
  <c r="I3377" i="5"/>
  <c r="I3378" i="5"/>
  <c r="I3379" i="5"/>
  <c r="I3380" i="5"/>
  <c r="I3381" i="5"/>
  <c r="I3382" i="5"/>
  <c r="I3383" i="5"/>
  <c r="I3384" i="5"/>
  <c r="I3385" i="5"/>
  <c r="I3386" i="5"/>
  <c r="I3387" i="5"/>
  <c r="I3388" i="5"/>
  <c r="I3389" i="5"/>
  <c r="I3390" i="5"/>
  <c r="I3391" i="5"/>
  <c r="I3392" i="5"/>
  <c r="I3393" i="5"/>
  <c r="I3394" i="5"/>
  <c r="I3395" i="5"/>
  <c r="I3396" i="5"/>
  <c r="I3397" i="5"/>
  <c r="I3398" i="5"/>
  <c r="I3399" i="5"/>
  <c r="I3400" i="5"/>
  <c r="I3401" i="5"/>
  <c r="I3402" i="5"/>
  <c r="I3403" i="5"/>
  <c r="I3404" i="5"/>
  <c r="I3405" i="5"/>
  <c r="I3406" i="5"/>
  <c r="I3407" i="5"/>
  <c r="I3408" i="5"/>
  <c r="I3409" i="5"/>
  <c r="I3410" i="5"/>
  <c r="I3411" i="5"/>
  <c r="I3412" i="5"/>
  <c r="I3413" i="5"/>
  <c r="I3414" i="5"/>
  <c r="I3415" i="5"/>
  <c r="I3416" i="5"/>
  <c r="I3417" i="5"/>
  <c r="I3418" i="5"/>
  <c r="I3419" i="5"/>
  <c r="I3420" i="5"/>
  <c r="I3421" i="5"/>
  <c r="I3422" i="5"/>
  <c r="I3423" i="5"/>
  <c r="I3424" i="5"/>
  <c r="I3425" i="5"/>
  <c r="I3426" i="5"/>
  <c r="I3427" i="5"/>
  <c r="I3428" i="5"/>
  <c r="I3429" i="5"/>
  <c r="I3430" i="5"/>
  <c r="I3431" i="5"/>
  <c r="I3432" i="5"/>
  <c r="I3433" i="5"/>
  <c r="I3434" i="5"/>
  <c r="I3435" i="5"/>
  <c r="I3436" i="5"/>
  <c r="I3437" i="5"/>
  <c r="I3438" i="5"/>
  <c r="I3439" i="5"/>
  <c r="I3440" i="5"/>
  <c r="I3441" i="5"/>
  <c r="I3442" i="5"/>
  <c r="I3443" i="5"/>
  <c r="I3444" i="5"/>
  <c r="I3445" i="5"/>
  <c r="I3446" i="5"/>
  <c r="I3447" i="5"/>
  <c r="I3448" i="5"/>
  <c r="I3449" i="5"/>
  <c r="I3450" i="5"/>
  <c r="I3451" i="5"/>
  <c r="I3452" i="5"/>
  <c r="I3453" i="5"/>
  <c r="I3454" i="5"/>
  <c r="I3455" i="5"/>
  <c r="I3456" i="5"/>
  <c r="I3457" i="5"/>
  <c r="I3458" i="5"/>
  <c r="I3459" i="5"/>
  <c r="I3460" i="5"/>
  <c r="I3461" i="5"/>
  <c r="I3462" i="5"/>
  <c r="I3463" i="5"/>
  <c r="I3464" i="5"/>
  <c r="I3465" i="5"/>
  <c r="I3466" i="5"/>
  <c r="I3467" i="5"/>
  <c r="I3468" i="5"/>
  <c r="I3469" i="5"/>
  <c r="I3470" i="5"/>
  <c r="I3471" i="5"/>
  <c r="I3472" i="5"/>
  <c r="I3473" i="5"/>
  <c r="I3474" i="5"/>
  <c r="I3475" i="5"/>
  <c r="I3476" i="5"/>
  <c r="I3477" i="5"/>
  <c r="I3478" i="5"/>
  <c r="I3479" i="5"/>
  <c r="I3480" i="5"/>
  <c r="I3481" i="5"/>
  <c r="I3482" i="5"/>
  <c r="I3483" i="5"/>
  <c r="I3484" i="5"/>
  <c r="I3485" i="5"/>
  <c r="I3486" i="5"/>
  <c r="I3487" i="5"/>
  <c r="I3488" i="5"/>
  <c r="I3489" i="5"/>
  <c r="I3490" i="5"/>
  <c r="I3491" i="5"/>
  <c r="I3492" i="5"/>
  <c r="I3493" i="5"/>
  <c r="I3494" i="5"/>
  <c r="I3495" i="5"/>
  <c r="I3496" i="5"/>
  <c r="I3497" i="5"/>
  <c r="I3498" i="5"/>
  <c r="I3499" i="5"/>
  <c r="I3500" i="5"/>
  <c r="I3501" i="5"/>
  <c r="I3502" i="5"/>
  <c r="I3503" i="5"/>
  <c r="I3504" i="5"/>
  <c r="I3505" i="5"/>
  <c r="I3506" i="5"/>
  <c r="I3507" i="5"/>
  <c r="I3508" i="5"/>
  <c r="I3509" i="5"/>
  <c r="I3510" i="5"/>
  <c r="I3511" i="5"/>
  <c r="I3512" i="5"/>
  <c r="I3513" i="5"/>
  <c r="I3514" i="5"/>
  <c r="I3515" i="5"/>
  <c r="I3516" i="5"/>
  <c r="I3517" i="5"/>
  <c r="I3518" i="5"/>
  <c r="I3519" i="5"/>
  <c r="I3520" i="5"/>
  <c r="I3521" i="5"/>
  <c r="I3522" i="5"/>
  <c r="I3523" i="5"/>
  <c r="I3524" i="5"/>
  <c r="I3525" i="5"/>
  <c r="I3526" i="5"/>
  <c r="I3527" i="5"/>
  <c r="I3528" i="5"/>
  <c r="I3529" i="5"/>
  <c r="I3530" i="5"/>
  <c r="I3531" i="5"/>
  <c r="I3532" i="5"/>
  <c r="I3533" i="5"/>
  <c r="I3534" i="5"/>
  <c r="I3535" i="5"/>
  <c r="I3536" i="5"/>
  <c r="I3537" i="5"/>
  <c r="I3538" i="5"/>
  <c r="I3539" i="5"/>
  <c r="I3540" i="5"/>
  <c r="I3541" i="5"/>
  <c r="I3542" i="5"/>
  <c r="I3543" i="5"/>
  <c r="I3544" i="5"/>
  <c r="I3545" i="5"/>
  <c r="I3546" i="5"/>
  <c r="I3547" i="5"/>
  <c r="I3548" i="5"/>
  <c r="I3549" i="5"/>
  <c r="I3550" i="5"/>
  <c r="I3551" i="5"/>
  <c r="I3552" i="5"/>
  <c r="I3553" i="5"/>
  <c r="I3554" i="5"/>
  <c r="I3555" i="5"/>
  <c r="I3556" i="5"/>
  <c r="I3557" i="5"/>
  <c r="I3558" i="5"/>
  <c r="I3559" i="5"/>
  <c r="I3560" i="5"/>
  <c r="I3561" i="5"/>
  <c r="I3562" i="5"/>
  <c r="I3563" i="5"/>
  <c r="I3564" i="5"/>
  <c r="I3565" i="5"/>
  <c r="I3566" i="5"/>
  <c r="I3567" i="5"/>
  <c r="I3568" i="5"/>
  <c r="I3569" i="5"/>
  <c r="I3570" i="5"/>
  <c r="I3571" i="5"/>
  <c r="I3572" i="5"/>
  <c r="I3573" i="5"/>
  <c r="I3574" i="5"/>
  <c r="I3575" i="5"/>
  <c r="I3576" i="5"/>
  <c r="I3577" i="5"/>
  <c r="I3578" i="5"/>
  <c r="I3579" i="5"/>
  <c r="I3580" i="5"/>
  <c r="I3581" i="5"/>
  <c r="I3582" i="5"/>
  <c r="I3583" i="5"/>
  <c r="I3584" i="5"/>
  <c r="I3585" i="5"/>
  <c r="I3586" i="5"/>
  <c r="I3587" i="5"/>
  <c r="I3588" i="5"/>
  <c r="I3589" i="5"/>
  <c r="I3590" i="5"/>
  <c r="I3591" i="5"/>
  <c r="I3592" i="5"/>
  <c r="I3593" i="5"/>
  <c r="I3594" i="5"/>
  <c r="I3595" i="5"/>
  <c r="I3596" i="5"/>
  <c r="I3597" i="5"/>
  <c r="I3598" i="5"/>
  <c r="I3599" i="5"/>
  <c r="I3600" i="5"/>
  <c r="I3601" i="5"/>
  <c r="I3602" i="5"/>
  <c r="I3603" i="5"/>
  <c r="I3604" i="5"/>
  <c r="I3605" i="5"/>
  <c r="I3606" i="5"/>
  <c r="I3607" i="5"/>
  <c r="I3608" i="5"/>
  <c r="I3609" i="5"/>
  <c r="I3610" i="5"/>
  <c r="I3611" i="5"/>
  <c r="I3612" i="5"/>
  <c r="I3613" i="5"/>
  <c r="I3614" i="5"/>
  <c r="I3615" i="5"/>
  <c r="I3616" i="5"/>
  <c r="I3617" i="5"/>
  <c r="I3618" i="5"/>
  <c r="I3619" i="5"/>
  <c r="I3620" i="5"/>
  <c r="I3621" i="5"/>
  <c r="I3622" i="5"/>
  <c r="I3623" i="5"/>
  <c r="I3624" i="5"/>
  <c r="I3625" i="5"/>
  <c r="I3626" i="5"/>
  <c r="I3627" i="5"/>
  <c r="I3628" i="5"/>
  <c r="I3629" i="5"/>
  <c r="I3630" i="5"/>
  <c r="I3631" i="5"/>
  <c r="I3632" i="5"/>
  <c r="I3633" i="5"/>
  <c r="I3634" i="5"/>
  <c r="I3635" i="5"/>
  <c r="I3636" i="5"/>
  <c r="I3637" i="5"/>
  <c r="I3638" i="5"/>
  <c r="I3639" i="5"/>
  <c r="I3640" i="5"/>
  <c r="I3641" i="5"/>
  <c r="I3642" i="5"/>
  <c r="I3643" i="5"/>
  <c r="I3644" i="5"/>
  <c r="I3645" i="5"/>
  <c r="I3646" i="5"/>
  <c r="I3647" i="5"/>
  <c r="I3648" i="5"/>
  <c r="I3649" i="5"/>
  <c r="I3650" i="5"/>
  <c r="I3651" i="5"/>
  <c r="I3652" i="5"/>
  <c r="I3653" i="5"/>
  <c r="I3654" i="5"/>
  <c r="I3655" i="5"/>
  <c r="I3656" i="5"/>
  <c r="I3657" i="5"/>
  <c r="I3658" i="5"/>
  <c r="I3659" i="5"/>
  <c r="I3660" i="5"/>
  <c r="I3661" i="5"/>
  <c r="I3662" i="5"/>
  <c r="I3663" i="5"/>
  <c r="I3664" i="5"/>
  <c r="I3665" i="5"/>
  <c r="I3666" i="5"/>
  <c r="I3667" i="5"/>
  <c r="I3668" i="5"/>
  <c r="I3669" i="5"/>
  <c r="I3670" i="5"/>
  <c r="I3671" i="5"/>
  <c r="I3672" i="5"/>
  <c r="I3673" i="5"/>
  <c r="I3674" i="5"/>
  <c r="I3675" i="5"/>
  <c r="I3676" i="5"/>
  <c r="I3677" i="5"/>
  <c r="I3678" i="5"/>
  <c r="I3679" i="5"/>
  <c r="I3680" i="5"/>
  <c r="I3681" i="5"/>
  <c r="I3682" i="5"/>
  <c r="I3683" i="5"/>
  <c r="I3684" i="5"/>
  <c r="I3685" i="5"/>
  <c r="I3686" i="5"/>
  <c r="I3687" i="5"/>
  <c r="I3688" i="5"/>
  <c r="I3689" i="5"/>
  <c r="I3690" i="5"/>
  <c r="I3691" i="5"/>
  <c r="I3692" i="5"/>
  <c r="I3693" i="5"/>
  <c r="I3694" i="5"/>
  <c r="I3695" i="5"/>
  <c r="I3696" i="5"/>
  <c r="I3697" i="5"/>
  <c r="I3698" i="5"/>
  <c r="I3699" i="5"/>
  <c r="I3700" i="5"/>
  <c r="I3701" i="5"/>
  <c r="I3702" i="5"/>
  <c r="I3703" i="5"/>
  <c r="I3704" i="5"/>
  <c r="I3705" i="5"/>
  <c r="I3706" i="5"/>
  <c r="I3707" i="5"/>
  <c r="I3708" i="5"/>
  <c r="I3709" i="5"/>
  <c r="I3710" i="5"/>
  <c r="I3711" i="5"/>
  <c r="I3712" i="5"/>
  <c r="I3713" i="5"/>
  <c r="I3714" i="5"/>
  <c r="I3715" i="5"/>
  <c r="I3716" i="5"/>
  <c r="I3717" i="5"/>
  <c r="I3718" i="5"/>
  <c r="I3719" i="5"/>
  <c r="I3720" i="5"/>
  <c r="I3721" i="5"/>
  <c r="I3722" i="5"/>
  <c r="I3723" i="5"/>
  <c r="I3724" i="5"/>
  <c r="I3725" i="5"/>
  <c r="I3726" i="5"/>
  <c r="I3727" i="5"/>
  <c r="I3728" i="5"/>
  <c r="I3729" i="5"/>
  <c r="I3730" i="5"/>
  <c r="I3731" i="5"/>
  <c r="I3732" i="5"/>
  <c r="I3733" i="5"/>
  <c r="I3734" i="5"/>
  <c r="I3735" i="5"/>
  <c r="I3736" i="5"/>
  <c r="I3737" i="5"/>
  <c r="I3738" i="5"/>
  <c r="I3739" i="5"/>
  <c r="I3740" i="5"/>
  <c r="I3741" i="5"/>
  <c r="I3742" i="5"/>
  <c r="I3743" i="5"/>
  <c r="I3744" i="5"/>
  <c r="I3745" i="5"/>
  <c r="I3746" i="5"/>
  <c r="I3747" i="5"/>
  <c r="I3748" i="5"/>
  <c r="I3749" i="5"/>
  <c r="I3750" i="5"/>
  <c r="I3751" i="5"/>
  <c r="I3752" i="5"/>
  <c r="I3753" i="5"/>
  <c r="I3754" i="5"/>
  <c r="I3755" i="5"/>
  <c r="I3756" i="5"/>
  <c r="I3757" i="5"/>
  <c r="I3758" i="5"/>
  <c r="I3759" i="5"/>
  <c r="I3760" i="5"/>
  <c r="I3761" i="5"/>
  <c r="I3762" i="5"/>
  <c r="I3763" i="5"/>
  <c r="I3764" i="5"/>
  <c r="I3765" i="5"/>
  <c r="I3766" i="5"/>
  <c r="I3767" i="5"/>
  <c r="I3768" i="5"/>
  <c r="I3769" i="5"/>
  <c r="I3770" i="5"/>
  <c r="I3771" i="5"/>
  <c r="I3772" i="5"/>
  <c r="I3773" i="5"/>
  <c r="I3774" i="5"/>
  <c r="I3775" i="5"/>
  <c r="I3776" i="5"/>
  <c r="I3777" i="5"/>
  <c r="I3778" i="5"/>
  <c r="I3779" i="5"/>
  <c r="I3780" i="5"/>
  <c r="I3781" i="5"/>
  <c r="I3782" i="5"/>
  <c r="I3783" i="5"/>
  <c r="I3784" i="5"/>
  <c r="I3785" i="5"/>
  <c r="I3786" i="5"/>
  <c r="I3787" i="5"/>
  <c r="I3788" i="5"/>
  <c r="I3789" i="5"/>
  <c r="I3790" i="5"/>
  <c r="I3791" i="5"/>
  <c r="I3792" i="5"/>
  <c r="I3793" i="5"/>
  <c r="I3794" i="5"/>
  <c r="I3795" i="5"/>
  <c r="I3796" i="5"/>
  <c r="I3797" i="5"/>
  <c r="I3798" i="5"/>
  <c r="I3799" i="5"/>
  <c r="I3800" i="5"/>
  <c r="I3801" i="5"/>
  <c r="I3802" i="5"/>
  <c r="I3803" i="5"/>
  <c r="I3804" i="5"/>
  <c r="I3805" i="5"/>
  <c r="I3806" i="5"/>
  <c r="I3807" i="5"/>
  <c r="I3808" i="5"/>
  <c r="I3809" i="5"/>
  <c r="I3810" i="5"/>
  <c r="I3811" i="5"/>
  <c r="I3812" i="5"/>
  <c r="I3813" i="5"/>
  <c r="I3814" i="5"/>
  <c r="I3815" i="5"/>
  <c r="I3816" i="5"/>
  <c r="I3817" i="5"/>
  <c r="I3818" i="5"/>
  <c r="I3819" i="5"/>
  <c r="I3820" i="5"/>
  <c r="I3821" i="5"/>
  <c r="I3822" i="5"/>
  <c r="I3823" i="5"/>
  <c r="I3824" i="5"/>
  <c r="I3825" i="5"/>
  <c r="I3826" i="5"/>
  <c r="I3827" i="5"/>
  <c r="I3828" i="5"/>
  <c r="I3829" i="5"/>
  <c r="I3830" i="5"/>
  <c r="I3831" i="5"/>
  <c r="I3832" i="5"/>
  <c r="I3833" i="5"/>
  <c r="I3834" i="5"/>
  <c r="I3835" i="5"/>
  <c r="I3836" i="5"/>
  <c r="I3837" i="5"/>
  <c r="I3838" i="5"/>
  <c r="I3839" i="5"/>
  <c r="I3840" i="5"/>
  <c r="I3841" i="5"/>
  <c r="I3842" i="5"/>
  <c r="I3843" i="5"/>
  <c r="I3844" i="5"/>
  <c r="I3845" i="5"/>
  <c r="I3846" i="5"/>
  <c r="I3847" i="5"/>
  <c r="I3848" i="5"/>
  <c r="I3849" i="5"/>
  <c r="I3850" i="5"/>
  <c r="I3851" i="5"/>
  <c r="I3852" i="5"/>
  <c r="I3853" i="5"/>
  <c r="I3854" i="5"/>
  <c r="I3855" i="5"/>
  <c r="I3856" i="5"/>
  <c r="I3857" i="5"/>
  <c r="I3858" i="5"/>
  <c r="I3859" i="5"/>
  <c r="I3860" i="5"/>
  <c r="I3861" i="5"/>
  <c r="I3862" i="5"/>
  <c r="I3863" i="5"/>
  <c r="I3864" i="5"/>
  <c r="I3865" i="5"/>
  <c r="I3866" i="5"/>
  <c r="I3867" i="5"/>
  <c r="I3868" i="5"/>
  <c r="I3869" i="5"/>
  <c r="I3870" i="5"/>
  <c r="I3871" i="5"/>
  <c r="I3872" i="5"/>
  <c r="I3873" i="5"/>
  <c r="I3874" i="5"/>
  <c r="I3875" i="5"/>
  <c r="I3876" i="5"/>
  <c r="I3877" i="5"/>
  <c r="I3878" i="5"/>
  <c r="I3879" i="5"/>
  <c r="I3880" i="5"/>
  <c r="I3881" i="5"/>
  <c r="I3882" i="5"/>
  <c r="I3883" i="5"/>
  <c r="I3884" i="5"/>
  <c r="I3885" i="5"/>
  <c r="I3886" i="5"/>
  <c r="I3887" i="5"/>
  <c r="I3888" i="5"/>
  <c r="I3889" i="5"/>
  <c r="I3890" i="5"/>
  <c r="I3891" i="5"/>
  <c r="I3892" i="5"/>
  <c r="I3893" i="5"/>
  <c r="I3894" i="5"/>
  <c r="I3895" i="5"/>
  <c r="I3896" i="5"/>
  <c r="I3897" i="5"/>
  <c r="I3898" i="5"/>
  <c r="I3899" i="5"/>
  <c r="I3900" i="5"/>
  <c r="I3901" i="5"/>
  <c r="I3902" i="5"/>
  <c r="I3903" i="5"/>
  <c r="I3904" i="5"/>
  <c r="I3905" i="5"/>
  <c r="I3906" i="5"/>
  <c r="I3907" i="5"/>
  <c r="I3908" i="5"/>
  <c r="I3909" i="5"/>
  <c r="I3910" i="5"/>
  <c r="I3911" i="5"/>
  <c r="I3912" i="5"/>
  <c r="I3913" i="5"/>
  <c r="I3914" i="5"/>
  <c r="I3915" i="5"/>
  <c r="I3916" i="5"/>
  <c r="I3917" i="5"/>
  <c r="I3918" i="5"/>
  <c r="I3919" i="5"/>
  <c r="I3920" i="5"/>
  <c r="I3921" i="5"/>
  <c r="I3922" i="5"/>
  <c r="I3923" i="5"/>
  <c r="I3924" i="5"/>
  <c r="I3925" i="5"/>
  <c r="I3926" i="5"/>
  <c r="I3927" i="5"/>
  <c r="I3928" i="5"/>
  <c r="I3929" i="5"/>
  <c r="I3930" i="5"/>
  <c r="I3931" i="5"/>
  <c r="I3932" i="5"/>
  <c r="I3933" i="5"/>
  <c r="I3934" i="5"/>
  <c r="I3935" i="5"/>
  <c r="I3936" i="5"/>
  <c r="I3937" i="5"/>
  <c r="I3938" i="5"/>
  <c r="I3939" i="5"/>
  <c r="I3940" i="5"/>
  <c r="I3941" i="5"/>
  <c r="I3942" i="5"/>
  <c r="I3943" i="5"/>
  <c r="I3944" i="5"/>
  <c r="I3945" i="5"/>
  <c r="I3946" i="5"/>
  <c r="I3947" i="5"/>
  <c r="I3948" i="5"/>
  <c r="I3949" i="5"/>
  <c r="I3950" i="5"/>
  <c r="I3951" i="5"/>
  <c r="I3952" i="5"/>
  <c r="I3953" i="5"/>
  <c r="I3954" i="5"/>
  <c r="I3955" i="5"/>
  <c r="I3956" i="5"/>
  <c r="I3957" i="5"/>
  <c r="I3958" i="5"/>
  <c r="I3959" i="5"/>
  <c r="I3960" i="5"/>
  <c r="I3961" i="5"/>
  <c r="I3962" i="5"/>
  <c r="I3963" i="5"/>
  <c r="I3964" i="5"/>
  <c r="I3965" i="5"/>
  <c r="I3966" i="5"/>
  <c r="I3967" i="5"/>
  <c r="I3968" i="5"/>
  <c r="I3969" i="5"/>
  <c r="I3970" i="5"/>
  <c r="I3971" i="5"/>
  <c r="I3972" i="5"/>
  <c r="I3973" i="5"/>
  <c r="I3974" i="5"/>
  <c r="I3975" i="5"/>
  <c r="I3976" i="5"/>
  <c r="I3977" i="5"/>
  <c r="I3978" i="5"/>
  <c r="I3979" i="5"/>
  <c r="I3980" i="5"/>
  <c r="I3981" i="5"/>
  <c r="I3982" i="5"/>
  <c r="I3983" i="5"/>
  <c r="I3984" i="5"/>
  <c r="I3985" i="5"/>
  <c r="I3986" i="5"/>
  <c r="I3987" i="5"/>
  <c r="I3988" i="5"/>
  <c r="I3989" i="5"/>
  <c r="I3990" i="5"/>
  <c r="I3991" i="5"/>
  <c r="I3992" i="5"/>
  <c r="I3993" i="5"/>
  <c r="I3994" i="5"/>
  <c r="I3995" i="5"/>
  <c r="I3996" i="5"/>
  <c r="I3997" i="5"/>
  <c r="I3998" i="5"/>
  <c r="I3999" i="5"/>
  <c r="I4000" i="5"/>
  <c r="I4001" i="5"/>
  <c r="I4002" i="5"/>
  <c r="I4003" i="5"/>
  <c r="I4004" i="5"/>
  <c r="I4005" i="5"/>
  <c r="I4006" i="5"/>
  <c r="I4007" i="5"/>
  <c r="I4008" i="5"/>
  <c r="I4009" i="5"/>
  <c r="I4010" i="5"/>
  <c r="I4011" i="5"/>
  <c r="I4012" i="5"/>
  <c r="I4013" i="5"/>
  <c r="I4014" i="5"/>
  <c r="I4015" i="5"/>
  <c r="I4016" i="5"/>
  <c r="I4017" i="5"/>
  <c r="I4018" i="5"/>
  <c r="I4019" i="5"/>
  <c r="I4020" i="5"/>
  <c r="I4021" i="5"/>
  <c r="I4022" i="5"/>
  <c r="I4023" i="5"/>
  <c r="I4024" i="5"/>
  <c r="I4025" i="5"/>
  <c r="I4026" i="5"/>
  <c r="I4027" i="5"/>
  <c r="I4028" i="5"/>
  <c r="I4029" i="5"/>
  <c r="I4030" i="5"/>
  <c r="I4031" i="5"/>
  <c r="I4032" i="5"/>
  <c r="I4033" i="5"/>
  <c r="I4034" i="5"/>
  <c r="I4035" i="5"/>
  <c r="I4036" i="5"/>
  <c r="I4037" i="5"/>
  <c r="I4038" i="5"/>
  <c r="I4039" i="5"/>
  <c r="I4040" i="5"/>
  <c r="I4041" i="5"/>
  <c r="I4042" i="5"/>
  <c r="I4043" i="5"/>
  <c r="I4044" i="5"/>
  <c r="I4045" i="5"/>
  <c r="I4046" i="5"/>
  <c r="I4047" i="5"/>
  <c r="I4048" i="5"/>
  <c r="I4049" i="5"/>
  <c r="I4050" i="5"/>
  <c r="I4051" i="5"/>
  <c r="I4052" i="5"/>
  <c r="I4053" i="5"/>
  <c r="I4054" i="5"/>
  <c r="I4055" i="5"/>
  <c r="I4056" i="5"/>
  <c r="I4057" i="5"/>
  <c r="I4058" i="5"/>
  <c r="I4059" i="5"/>
  <c r="I4060" i="5"/>
  <c r="I4061" i="5"/>
  <c r="I4062" i="5"/>
  <c r="I4063" i="5"/>
  <c r="I4064" i="5"/>
  <c r="I4065" i="5"/>
  <c r="I4066" i="5"/>
  <c r="I4067" i="5"/>
  <c r="I4068" i="5"/>
  <c r="I4069" i="5"/>
  <c r="I4070" i="5"/>
  <c r="I4071" i="5"/>
  <c r="I4072" i="5"/>
  <c r="I4073" i="5"/>
  <c r="I4074" i="5"/>
  <c r="I4075" i="5"/>
  <c r="I4076" i="5"/>
  <c r="I4077" i="5"/>
  <c r="I4078" i="5"/>
  <c r="I4079" i="5"/>
  <c r="I4080" i="5"/>
  <c r="I4081" i="5"/>
  <c r="I4082" i="5"/>
  <c r="I4083" i="5"/>
  <c r="I4084" i="5"/>
  <c r="I4085" i="5"/>
  <c r="I4086" i="5"/>
  <c r="I4087" i="5"/>
  <c r="I4088" i="5"/>
  <c r="I4089" i="5"/>
  <c r="I4090" i="5"/>
  <c r="I4091" i="5"/>
  <c r="I4092" i="5"/>
  <c r="I4093" i="5"/>
  <c r="I4094" i="5"/>
  <c r="I4095" i="5"/>
  <c r="I4096" i="5"/>
  <c r="I4097" i="5"/>
  <c r="I4098" i="5"/>
  <c r="I4099" i="5"/>
  <c r="I4100" i="5"/>
  <c r="I4101" i="5"/>
  <c r="I4102" i="5"/>
  <c r="I4103" i="5"/>
  <c r="I4104" i="5"/>
  <c r="I4105" i="5"/>
  <c r="I4106" i="5"/>
  <c r="I4107" i="5"/>
  <c r="I4108" i="5"/>
  <c r="I4109" i="5"/>
  <c r="I4110" i="5"/>
  <c r="I4111" i="5"/>
  <c r="I4112" i="5"/>
  <c r="I4113" i="5"/>
  <c r="I4114" i="5"/>
  <c r="I4115" i="5"/>
  <c r="I4116" i="5"/>
  <c r="I4117" i="5"/>
  <c r="I4118" i="5"/>
  <c r="I4119" i="5"/>
  <c r="I4120" i="5"/>
  <c r="I4121" i="5"/>
  <c r="I4122" i="5"/>
  <c r="I4123" i="5"/>
  <c r="I4124" i="5"/>
  <c r="I4125" i="5"/>
  <c r="I4126" i="5"/>
  <c r="I4127" i="5"/>
  <c r="I4128" i="5"/>
  <c r="I4129" i="5"/>
  <c r="I4130" i="5"/>
  <c r="I4131" i="5"/>
  <c r="I4132" i="5"/>
  <c r="I4133" i="5"/>
  <c r="I4134" i="5"/>
  <c r="I4135" i="5"/>
  <c r="I4136" i="5"/>
  <c r="I4137" i="5"/>
  <c r="I4138" i="5"/>
  <c r="I4139" i="5"/>
  <c r="I4140" i="5"/>
  <c r="I4141" i="5"/>
  <c r="I4142" i="5"/>
  <c r="I4143" i="5"/>
  <c r="I4144" i="5"/>
  <c r="I4145" i="5"/>
  <c r="I4146" i="5"/>
  <c r="I4147" i="5"/>
  <c r="I4148" i="5"/>
  <c r="I4149" i="5"/>
  <c r="I4150" i="5"/>
  <c r="I4151" i="5"/>
  <c r="I4152" i="5"/>
  <c r="I4153" i="5"/>
  <c r="I4154" i="5"/>
  <c r="I4155" i="5"/>
  <c r="I4156" i="5"/>
  <c r="I4157" i="5"/>
  <c r="I4158" i="5"/>
  <c r="I4159" i="5"/>
  <c r="I4160" i="5"/>
  <c r="I4161" i="5"/>
  <c r="I4162" i="5"/>
  <c r="I4163" i="5"/>
  <c r="I4164" i="5"/>
  <c r="I4165" i="5"/>
  <c r="I4166" i="5"/>
  <c r="I4167" i="5"/>
  <c r="I4168" i="5"/>
  <c r="I4169" i="5"/>
  <c r="I4170" i="5"/>
  <c r="I4171" i="5"/>
  <c r="I4172" i="5"/>
  <c r="I4173" i="5"/>
  <c r="I4174" i="5"/>
  <c r="I4175" i="5"/>
  <c r="I4176" i="5"/>
  <c r="I4177" i="5"/>
  <c r="I4178" i="5"/>
  <c r="I4179" i="5"/>
  <c r="I4180" i="5"/>
  <c r="I4181" i="5"/>
  <c r="I4182" i="5"/>
  <c r="I4183" i="5"/>
  <c r="I4184" i="5"/>
  <c r="I4185" i="5"/>
  <c r="I4186" i="5"/>
  <c r="I4187" i="5"/>
  <c r="I4188" i="5"/>
  <c r="I4189" i="5"/>
  <c r="I4190" i="5"/>
  <c r="I4191" i="5"/>
  <c r="I4192" i="5"/>
  <c r="I4193" i="5"/>
  <c r="I4194" i="5"/>
  <c r="I4195" i="5"/>
  <c r="I4196" i="5"/>
  <c r="I4197" i="5"/>
  <c r="I4198" i="5"/>
  <c r="I4199" i="5"/>
  <c r="I4200" i="5"/>
  <c r="I4201" i="5"/>
  <c r="I4202" i="5"/>
  <c r="I4203" i="5"/>
  <c r="I4204" i="5"/>
  <c r="I4205" i="5"/>
  <c r="I4206" i="5"/>
  <c r="I4207" i="5"/>
  <c r="I4208" i="5"/>
  <c r="I4209" i="5"/>
  <c r="I4210" i="5"/>
  <c r="I4211" i="5"/>
  <c r="I4212" i="5"/>
  <c r="I4213" i="5"/>
  <c r="I4214" i="5"/>
  <c r="I4215" i="5"/>
  <c r="I4216" i="5"/>
  <c r="I4217" i="5"/>
  <c r="I4218" i="5"/>
  <c r="I4219" i="5"/>
  <c r="I4220" i="5"/>
  <c r="I4221" i="5"/>
  <c r="I4222" i="5"/>
  <c r="I4223" i="5"/>
  <c r="I4224" i="5"/>
  <c r="I4225" i="5"/>
  <c r="I4226" i="5"/>
  <c r="I4227" i="5"/>
  <c r="I4228" i="5"/>
  <c r="I4229" i="5"/>
  <c r="I4230" i="5"/>
  <c r="I4231" i="5"/>
  <c r="I4232" i="5"/>
  <c r="I4233" i="5"/>
  <c r="I4234" i="5"/>
  <c r="I4235" i="5"/>
  <c r="I4236" i="5"/>
  <c r="I4237" i="5"/>
  <c r="I4238" i="5"/>
  <c r="I4239" i="5"/>
  <c r="I4240" i="5"/>
  <c r="I4241" i="5"/>
  <c r="I4242" i="5"/>
  <c r="I4243" i="5"/>
  <c r="I4244" i="5"/>
  <c r="I4245" i="5"/>
  <c r="I4246" i="5"/>
  <c r="I4247" i="5"/>
  <c r="I4248" i="5"/>
  <c r="I4249" i="5"/>
  <c r="I4250" i="5"/>
  <c r="I4251" i="5"/>
  <c r="I4252" i="5"/>
  <c r="I4253" i="5"/>
  <c r="I4254" i="5"/>
  <c r="I4255" i="5"/>
  <c r="I4256" i="5"/>
  <c r="I4257" i="5"/>
  <c r="I4258" i="5"/>
  <c r="I4259" i="5"/>
  <c r="I4260" i="5"/>
  <c r="I4261" i="5"/>
  <c r="I4262" i="5"/>
  <c r="I4263" i="5"/>
  <c r="I4264" i="5"/>
  <c r="I4265" i="5"/>
  <c r="I4266" i="5"/>
  <c r="I4267" i="5"/>
  <c r="I4268" i="5"/>
  <c r="I4269" i="5"/>
  <c r="I4270" i="5"/>
  <c r="I4271" i="5"/>
  <c r="I4272" i="5"/>
  <c r="I4273" i="5"/>
  <c r="I4274" i="5"/>
  <c r="I4275" i="5"/>
  <c r="I4276" i="5"/>
  <c r="I4277" i="5"/>
  <c r="I4278" i="5"/>
  <c r="I4279" i="5"/>
  <c r="I4280" i="5"/>
  <c r="I4281" i="5"/>
  <c r="I4282" i="5"/>
  <c r="I4283" i="5"/>
  <c r="I4284" i="5"/>
  <c r="I4285" i="5"/>
  <c r="I4286" i="5"/>
  <c r="I4287" i="5"/>
  <c r="I4288" i="5"/>
  <c r="I4289" i="5"/>
  <c r="I4290" i="5"/>
  <c r="I4291" i="5"/>
  <c r="I4292" i="5"/>
  <c r="I4293" i="5"/>
  <c r="I4294" i="5"/>
  <c r="I4295" i="5"/>
  <c r="I4296" i="5"/>
  <c r="I4297" i="5"/>
  <c r="I4298" i="5"/>
  <c r="I4299" i="5"/>
  <c r="I4300" i="5"/>
  <c r="I4301" i="5"/>
  <c r="I4302" i="5"/>
  <c r="I4303" i="5"/>
  <c r="I4304" i="5"/>
  <c r="I4305" i="5"/>
  <c r="I4306" i="5"/>
  <c r="I4307" i="5"/>
  <c r="I4308" i="5"/>
  <c r="I4309" i="5"/>
  <c r="I4310" i="5"/>
  <c r="I4311" i="5"/>
  <c r="I4312" i="5"/>
  <c r="I4313" i="5"/>
  <c r="I4314" i="5"/>
  <c r="I4315" i="5"/>
  <c r="I4316" i="5"/>
  <c r="I4317" i="5"/>
  <c r="I4318" i="5"/>
  <c r="I4319" i="5"/>
  <c r="I4320" i="5"/>
  <c r="I4321" i="5"/>
  <c r="I4322" i="5"/>
  <c r="I4323" i="5"/>
  <c r="I4324" i="5"/>
  <c r="I4325" i="5"/>
  <c r="I4326" i="5"/>
  <c r="I4327" i="5"/>
  <c r="I4328" i="5"/>
  <c r="I4329" i="5"/>
  <c r="I4330" i="5"/>
  <c r="I4331" i="5"/>
  <c r="I4332" i="5"/>
  <c r="I4333" i="5"/>
  <c r="I4334" i="5"/>
  <c r="I4335" i="5"/>
  <c r="I4336" i="5"/>
  <c r="I4337" i="5"/>
  <c r="I4338" i="5"/>
  <c r="I4339" i="5"/>
  <c r="I4340" i="5"/>
  <c r="I4341" i="5"/>
  <c r="I4342" i="5"/>
  <c r="I4343" i="5"/>
  <c r="I4344" i="5"/>
  <c r="I4345" i="5"/>
  <c r="I4346" i="5"/>
  <c r="I4347" i="5"/>
  <c r="I4348" i="5"/>
  <c r="I4349" i="5"/>
  <c r="I4350" i="5"/>
  <c r="I4351" i="5"/>
  <c r="I4352" i="5"/>
  <c r="I4353" i="5"/>
  <c r="I4354" i="5"/>
  <c r="I4355" i="5"/>
  <c r="I4356" i="5"/>
  <c r="I4357" i="5"/>
  <c r="I4358" i="5"/>
  <c r="I4359" i="5"/>
  <c r="I4360" i="5"/>
  <c r="I4361" i="5"/>
  <c r="I4362" i="5"/>
  <c r="I4363" i="5"/>
  <c r="I4364" i="5"/>
  <c r="I4365" i="5"/>
  <c r="I4366" i="5"/>
  <c r="I4367" i="5"/>
  <c r="I4368" i="5"/>
  <c r="I4369" i="5"/>
  <c r="I4370" i="5"/>
  <c r="I4371" i="5"/>
  <c r="I4372" i="5"/>
  <c r="I4373" i="5"/>
  <c r="I4374" i="5"/>
  <c r="I4375" i="5"/>
  <c r="I4376" i="5"/>
  <c r="I4377" i="5"/>
  <c r="I4378" i="5"/>
  <c r="I4379" i="5"/>
  <c r="I4380" i="5"/>
  <c r="I4381" i="5"/>
  <c r="I4382" i="5"/>
  <c r="I4383" i="5"/>
  <c r="I4384" i="5"/>
  <c r="I4385" i="5"/>
  <c r="I4386" i="5"/>
  <c r="I4387" i="5"/>
  <c r="I4388" i="5"/>
  <c r="I4389" i="5"/>
  <c r="I4390" i="5"/>
  <c r="I4391" i="5"/>
  <c r="I4392" i="5"/>
  <c r="I4393" i="5"/>
  <c r="I4394" i="5"/>
  <c r="I4395" i="5"/>
  <c r="I4396" i="5"/>
  <c r="I4397" i="5"/>
  <c r="I4398" i="5"/>
  <c r="I4399" i="5"/>
  <c r="I4400" i="5"/>
  <c r="I4401" i="5"/>
  <c r="I4402" i="5"/>
  <c r="I4403" i="5"/>
  <c r="I4404" i="5"/>
  <c r="I4405" i="5"/>
  <c r="I4406" i="5"/>
  <c r="I4407" i="5"/>
  <c r="I4408" i="5"/>
  <c r="I4409" i="5"/>
  <c r="I4410" i="5"/>
  <c r="I4411" i="5"/>
  <c r="I4412" i="5"/>
  <c r="I4413" i="5"/>
  <c r="I4414" i="5"/>
  <c r="I4415" i="5"/>
  <c r="I4416" i="5"/>
  <c r="I4417" i="5"/>
  <c r="I4418" i="5"/>
  <c r="I4419" i="5"/>
  <c r="I4420" i="5"/>
  <c r="I4421" i="5"/>
  <c r="I4422" i="5"/>
  <c r="I4423" i="5"/>
  <c r="I4424" i="5"/>
  <c r="I4425" i="5"/>
  <c r="I4426" i="5"/>
  <c r="I4427" i="5"/>
  <c r="I4428" i="5"/>
  <c r="I4429" i="5"/>
  <c r="I4430" i="5"/>
  <c r="I4431" i="5"/>
  <c r="I4432" i="5"/>
  <c r="I4433" i="5"/>
  <c r="I4434" i="5"/>
  <c r="I4435" i="5"/>
  <c r="I4436" i="5"/>
  <c r="I4437" i="5"/>
  <c r="I4438" i="5"/>
  <c r="I4439" i="5"/>
  <c r="I4440" i="5"/>
  <c r="I4441" i="5"/>
  <c r="I4442" i="5"/>
  <c r="I4443" i="5"/>
  <c r="I4444" i="5"/>
  <c r="I4445" i="5"/>
  <c r="I4446" i="5"/>
  <c r="I4447" i="5"/>
  <c r="I4448" i="5"/>
  <c r="I4449" i="5"/>
  <c r="I4450" i="5"/>
  <c r="I4451" i="5"/>
  <c r="I4452" i="5"/>
  <c r="I4453" i="5"/>
  <c r="I4454" i="5"/>
  <c r="I4455" i="5"/>
  <c r="I4456" i="5"/>
  <c r="I4457" i="5"/>
  <c r="I4458" i="5"/>
  <c r="I4459" i="5"/>
  <c r="I4460" i="5"/>
  <c r="I4461" i="5"/>
  <c r="I4462" i="5"/>
  <c r="I4463" i="5"/>
  <c r="I4464" i="5"/>
  <c r="I4465" i="5"/>
  <c r="I4466" i="5"/>
  <c r="I4467" i="5"/>
  <c r="I4468" i="5"/>
  <c r="I4469" i="5"/>
  <c r="I4470" i="5"/>
  <c r="I4471" i="5"/>
  <c r="I4472" i="5"/>
  <c r="I4473" i="5"/>
  <c r="I4474" i="5"/>
  <c r="I4475" i="5"/>
  <c r="I4476" i="5"/>
  <c r="I4477" i="5"/>
  <c r="I4478" i="5"/>
  <c r="I4479" i="5"/>
  <c r="I4480" i="5"/>
  <c r="I4481" i="5"/>
  <c r="I4482" i="5"/>
  <c r="I4483" i="5"/>
  <c r="I4484" i="5"/>
  <c r="I4485" i="5"/>
  <c r="I4486" i="5"/>
  <c r="I4487" i="5"/>
  <c r="I4488" i="5"/>
  <c r="I4489" i="5"/>
  <c r="I4490" i="5"/>
  <c r="I4491" i="5"/>
  <c r="I4492" i="5"/>
  <c r="I4493" i="5"/>
  <c r="I4494" i="5"/>
  <c r="I4495" i="5"/>
  <c r="I4496" i="5"/>
  <c r="I4497" i="5"/>
  <c r="I4498" i="5"/>
  <c r="I4499" i="5"/>
  <c r="I4500" i="5"/>
  <c r="I4501" i="5"/>
  <c r="I4502" i="5"/>
  <c r="I4503" i="5"/>
  <c r="I4504" i="5"/>
  <c r="I4505" i="5"/>
  <c r="I4506" i="5"/>
  <c r="I4507" i="5"/>
  <c r="I4508" i="5"/>
  <c r="I4509" i="5"/>
  <c r="I4510" i="5"/>
  <c r="I4511" i="5"/>
  <c r="I4512" i="5"/>
  <c r="I4513" i="5"/>
  <c r="I4514" i="5"/>
  <c r="I4515" i="5"/>
  <c r="I4516" i="5"/>
  <c r="I4517" i="5"/>
  <c r="I4518" i="5"/>
  <c r="I4519" i="5"/>
  <c r="I4520" i="5"/>
  <c r="I4521" i="5"/>
  <c r="I4522" i="5"/>
  <c r="I4523" i="5"/>
  <c r="I4524" i="5"/>
  <c r="I4525" i="5"/>
  <c r="I4526" i="5"/>
  <c r="I4527" i="5"/>
  <c r="I4528" i="5"/>
  <c r="I4529" i="5"/>
  <c r="I4530" i="5"/>
  <c r="I4531" i="5"/>
  <c r="I4532" i="5"/>
  <c r="I4533" i="5"/>
  <c r="I4534" i="5"/>
  <c r="I4535" i="5"/>
  <c r="I4536" i="5"/>
  <c r="I4537" i="5"/>
  <c r="I4538" i="5"/>
  <c r="I4539" i="5"/>
  <c r="I4540" i="5"/>
  <c r="I4541" i="5"/>
  <c r="I4542" i="5"/>
  <c r="I4543" i="5"/>
  <c r="I4544" i="5"/>
  <c r="I4545" i="5"/>
  <c r="I4546" i="5"/>
  <c r="I4547" i="5"/>
  <c r="I4548" i="5"/>
  <c r="I4549" i="5"/>
  <c r="I4550" i="5"/>
  <c r="I4551" i="5"/>
  <c r="I4552" i="5"/>
  <c r="I4553" i="5"/>
  <c r="I4554" i="5"/>
  <c r="I4555" i="5"/>
  <c r="I4556" i="5"/>
  <c r="I4557" i="5"/>
  <c r="I4558" i="5"/>
  <c r="I4559" i="5"/>
  <c r="I4560" i="5"/>
  <c r="I4561" i="5"/>
  <c r="I4562" i="5"/>
  <c r="I4563" i="5"/>
  <c r="I4564" i="5"/>
  <c r="I4565" i="5"/>
  <c r="I4566" i="5"/>
  <c r="I4567" i="5"/>
  <c r="I4568" i="5"/>
  <c r="I4569" i="5"/>
  <c r="I4570" i="5"/>
  <c r="I4571" i="5"/>
  <c r="I4572" i="5"/>
  <c r="I4573" i="5"/>
  <c r="I4574" i="5"/>
  <c r="I4575" i="5"/>
  <c r="I4576" i="5"/>
  <c r="I4577" i="5"/>
  <c r="I4578" i="5"/>
  <c r="I4579" i="5"/>
  <c r="I4580" i="5"/>
  <c r="I4581" i="5"/>
  <c r="I4582" i="5"/>
  <c r="I4583" i="5"/>
  <c r="I4584" i="5"/>
  <c r="I4585" i="5"/>
  <c r="I4586" i="5"/>
  <c r="I4587" i="5"/>
  <c r="I4588" i="5"/>
  <c r="I4589" i="5"/>
  <c r="I4590" i="5"/>
  <c r="I4591" i="5"/>
  <c r="I4592" i="5"/>
  <c r="I4593" i="5"/>
  <c r="I4594" i="5"/>
  <c r="I4595" i="5"/>
  <c r="I4596" i="5"/>
  <c r="I4597" i="5"/>
  <c r="I4598" i="5"/>
  <c r="I4599" i="5"/>
  <c r="I4600" i="5"/>
  <c r="I4601" i="5"/>
  <c r="I4602" i="5"/>
  <c r="I4603" i="5"/>
  <c r="I4604" i="5"/>
  <c r="I4605" i="5"/>
  <c r="I4606" i="5"/>
  <c r="I4607" i="5"/>
  <c r="I4608" i="5"/>
  <c r="I4609" i="5"/>
  <c r="I4610" i="5"/>
  <c r="I4611" i="5"/>
  <c r="I4612" i="5"/>
  <c r="I4613" i="5"/>
  <c r="I4614" i="5"/>
  <c r="I4615" i="5"/>
  <c r="I4616" i="5"/>
  <c r="I4617" i="5"/>
  <c r="I4618" i="5"/>
  <c r="I4619" i="5"/>
  <c r="I4620" i="5"/>
  <c r="I4621" i="5"/>
  <c r="I4622" i="5"/>
  <c r="I4623" i="5"/>
  <c r="I4624" i="5"/>
  <c r="I4625" i="5"/>
  <c r="I4626" i="5"/>
  <c r="I4627" i="5"/>
  <c r="I4628" i="5"/>
  <c r="I4629" i="5"/>
  <c r="I4630" i="5"/>
  <c r="I4631" i="5"/>
  <c r="I4632" i="5"/>
  <c r="I4633" i="5"/>
  <c r="I4634" i="5"/>
  <c r="I4635" i="5"/>
  <c r="I4636" i="5"/>
  <c r="I4637" i="5"/>
  <c r="I4638" i="5"/>
  <c r="I4639" i="5"/>
  <c r="I4640" i="5"/>
  <c r="I4641" i="5"/>
  <c r="I4642" i="5"/>
  <c r="I4643" i="5"/>
  <c r="I4644" i="5"/>
  <c r="I4645" i="5"/>
  <c r="I4646" i="5"/>
  <c r="I4647" i="5"/>
  <c r="I4648" i="5"/>
  <c r="I4649" i="5"/>
  <c r="I4650" i="5"/>
  <c r="I4651" i="5"/>
  <c r="I4652" i="5"/>
  <c r="I4653" i="5"/>
  <c r="I4654" i="5"/>
  <c r="I4655" i="5"/>
  <c r="I4656" i="5"/>
  <c r="I4657" i="5"/>
  <c r="I4658" i="5"/>
  <c r="I4659" i="5"/>
  <c r="I4660" i="5"/>
  <c r="I4661" i="5"/>
  <c r="I4662" i="5"/>
  <c r="I4663" i="5"/>
  <c r="I4664" i="5"/>
  <c r="I4665" i="5"/>
  <c r="I4666" i="5"/>
  <c r="I4667" i="5"/>
  <c r="I4668" i="5"/>
  <c r="I4669" i="5"/>
  <c r="I4670" i="5"/>
  <c r="I4671" i="5"/>
  <c r="I4672" i="5"/>
  <c r="I4673" i="5"/>
  <c r="I4674" i="5"/>
  <c r="I4675" i="5"/>
  <c r="I4676" i="5"/>
  <c r="I4677" i="5"/>
  <c r="I4678" i="5"/>
  <c r="I4679" i="5"/>
  <c r="I4680" i="5"/>
  <c r="I4681" i="5"/>
  <c r="I4682" i="5"/>
  <c r="I4683" i="5"/>
  <c r="I4684" i="5"/>
  <c r="I4685" i="5"/>
  <c r="I4686" i="5"/>
  <c r="I4687" i="5"/>
  <c r="I4688" i="5"/>
  <c r="I4689" i="5"/>
  <c r="I4690" i="5"/>
  <c r="I4691" i="5"/>
  <c r="I4692" i="5"/>
  <c r="I4693" i="5"/>
  <c r="I4694" i="5"/>
  <c r="I4695" i="5"/>
  <c r="I4696" i="5"/>
  <c r="I4697" i="5"/>
  <c r="I4698" i="5"/>
  <c r="I4699" i="5"/>
  <c r="I4700" i="5"/>
  <c r="I4701" i="5"/>
  <c r="I4702" i="5"/>
  <c r="I4703" i="5"/>
  <c r="I4704" i="5"/>
  <c r="I4705" i="5"/>
  <c r="I4706" i="5"/>
  <c r="I4707" i="5"/>
  <c r="I4708" i="5"/>
  <c r="I4709" i="5"/>
  <c r="I4710" i="5"/>
  <c r="I4711" i="5"/>
  <c r="I4712" i="5"/>
  <c r="I4713" i="5"/>
  <c r="I4714" i="5"/>
  <c r="I4715" i="5"/>
  <c r="I4716" i="5"/>
  <c r="I4717" i="5"/>
  <c r="I4718" i="5"/>
  <c r="I4719" i="5"/>
  <c r="I4720" i="5"/>
  <c r="I4721" i="5"/>
  <c r="I4722" i="5"/>
  <c r="I4723" i="5"/>
  <c r="I4724" i="5"/>
  <c r="I4725" i="5"/>
  <c r="I4726" i="5"/>
  <c r="I4727" i="5"/>
  <c r="I4728" i="5"/>
  <c r="I4729" i="5"/>
  <c r="I4730" i="5"/>
  <c r="I4731" i="5"/>
  <c r="I4732" i="5"/>
  <c r="I4733" i="5"/>
  <c r="I4734" i="5"/>
  <c r="I4735" i="5"/>
  <c r="I4736" i="5"/>
  <c r="I4737" i="5"/>
  <c r="I4738" i="5"/>
  <c r="I4739" i="5"/>
  <c r="I4740" i="5"/>
  <c r="I4741" i="5"/>
  <c r="I4742" i="5"/>
  <c r="I4743" i="5"/>
  <c r="I4744" i="5"/>
  <c r="I4745" i="5"/>
  <c r="I4746" i="5"/>
  <c r="I4747" i="5"/>
  <c r="I4748" i="5"/>
  <c r="I4749" i="5"/>
  <c r="I4750" i="5"/>
  <c r="I4751" i="5"/>
  <c r="I4752" i="5"/>
  <c r="I4753" i="5"/>
  <c r="I4754" i="5"/>
  <c r="I4755" i="5"/>
  <c r="I4756" i="5"/>
  <c r="I4757" i="5"/>
  <c r="I4758" i="5"/>
  <c r="I4759" i="5"/>
  <c r="I4760" i="5"/>
  <c r="I4761" i="5"/>
  <c r="I4762" i="5"/>
  <c r="I4763" i="5"/>
  <c r="I4764" i="5"/>
  <c r="I4765" i="5"/>
  <c r="I4766" i="5"/>
  <c r="I4767" i="5"/>
  <c r="I4768" i="5"/>
  <c r="I4769" i="5"/>
  <c r="I4770" i="5"/>
  <c r="I4771" i="5"/>
  <c r="I4772" i="5"/>
  <c r="I4773" i="5"/>
  <c r="I4774" i="5"/>
  <c r="I4775" i="5"/>
  <c r="I4776" i="5"/>
  <c r="I4777" i="5"/>
  <c r="I4778" i="5"/>
  <c r="I4779" i="5"/>
  <c r="I4780" i="5"/>
  <c r="I4781" i="5"/>
  <c r="I4782" i="5"/>
  <c r="I4783" i="5"/>
  <c r="I4784" i="5"/>
  <c r="I4785" i="5"/>
  <c r="I4786" i="5"/>
  <c r="I4787" i="5"/>
  <c r="I4788" i="5"/>
  <c r="I4789" i="5"/>
  <c r="I4790" i="5"/>
  <c r="I4791" i="5"/>
  <c r="I4792" i="5"/>
  <c r="I4793" i="5"/>
  <c r="I4794" i="5"/>
  <c r="I4795" i="5"/>
  <c r="I4796" i="5"/>
  <c r="I4797" i="5"/>
  <c r="I4798" i="5"/>
  <c r="I4799" i="5"/>
  <c r="I4800" i="5"/>
  <c r="I4801" i="5"/>
  <c r="I4802" i="5"/>
  <c r="I4803" i="5"/>
  <c r="I4804" i="5"/>
  <c r="I4805" i="5"/>
  <c r="I4806" i="5"/>
  <c r="I4807" i="5"/>
  <c r="I4808" i="5"/>
  <c r="I4809" i="5"/>
  <c r="I4810" i="5"/>
  <c r="I4811" i="5"/>
  <c r="I4812" i="5"/>
  <c r="I4813" i="5"/>
  <c r="I4814" i="5"/>
  <c r="I4815" i="5"/>
  <c r="I4816" i="5"/>
  <c r="I4817" i="5"/>
  <c r="I4818" i="5"/>
  <c r="I4819" i="5"/>
  <c r="I4820" i="5"/>
  <c r="I4821" i="5"/>
  <c r="I4822" i="5"/>
  <c r="I4823" i="5"/>
  <c r="I4824" i="5"/>
  <c r="I4825" i="5"/>
  <c r="I4826" i="5"/>
  <c r="I4827" i="5"/>
  <c r="I4828" i="5"/>
  <c r="I4829" i="5"/>
  <c r="I4830" i="5"/>
  <c r="I4831" i="5"/>
  <c r="I4832" i="5"/>
  <c r="I4833" i="5"/>
  <c r="I4834" i="5"/>
  <c r="I4835" i="5"/>
  <c r="I4836" i="5"/>
  <c r="I4837" i="5"/>
  <c r="I4838" i="5"/>
  <c r="I4839" i="5"/>
  <c r="I4840" i="5"/>
  <c r="I4841" i="5"/>
  <c r="I4842" i="5"/>
  <c r="I4843" i="5"/>
  <c r="I4844" i="5"/>
  <c r="I4845" i="5"/>
  <c r="I4846" i="5"/>
  <c r="I4847" i="5"/>
  <c r="I4848" i="5"/>
  <c r="I4849" i="5"/>
  <c r="I4850" i="5"/>
  <c r="I4851" i="5"/>
  <c r="I4852" i="5"/>
  <c r="I4853" i="5"/>
  <c r="I4854" i="5"/>
  <c r="I4855" i="5"/>
  <c r="I4856" i="5"/>
  <c r="I4857" i="5"/>
  <c r="I4858" i="5"/>
  <c r="I4859" i="5"/>
  <c r="I4860" i="5"/>
  <c r="I4861" i="5"/>
  <c r="I4862" i="5"/>
  <c r="I4863" i="5"/>
  <c r="I4864" i="5"/>
  <c r="I4865" i="5"/>
  <c r="I4866" i="5"/>
  <c r="I4867" i="5"/>
  <c r="I4868" i="5"/>
  <c r="I4869" i="5"/>
  <c r="I4870" i="5"/>
  <c r="I4871" i="5"/>
  <c r="I4872" i="5"/>
  <c r="I4873" i="5"/>
  <c r="I4874" i="5"/>
  <c r="I4875" i="5"/>
  <c r="I4876" i="5"/>
  <c r="I4877" i="5"/>
  <c r="I4878" i="5"/>
  <c r="I4879" i="5"/>
  <c r="I4880" i="5"/>
  <c r="I4881" i="5"/>
  <c r="I4882" i="5"/>
  <c r="I4883" i="5"/>
  <c r="I4884" i="5"/>
  <c r="I4885" i="5"/>
  <c r="I4886" i="5"/>
  <c r="I4887" i="5"/>
  <c r="I4888" i="5"/>
  <c r="I4889" i="5"/>
  <c r="I4890" i="5"/>
  <c r="I4891" i="5"/>
  <c r="I4892" i="5"/>
  <c r="I4893" i="5"/>
  <c r="I4894" i="5"/>
  <c r="I4895" i="5"/>
  <c r="I4896" i="5"/>
  <c r="I4897" i="5"/>
  <c r="I4898" i="5"/>
  <c r="I4899" i="5"/>
  <c r="I4900" i="5"/>
  <c r="I4901" i="5"/>
  <c r="I4902" i="5"/>
  <c r="I4903" i="5"/>
  <c r="I4904" i="5"/>
  <c r="I4905" i="5"/>
  <c r="I4906" i="5"/>
  <c r="I4907" i="5"/>
  <c r="I4908" i="5"/>
  <c r="I4909" i="5"/>
  <c r="I4910" i="5"/>
  <c r="I4911" i="5"/>
  <c r="I4912" i="5"/>
  <c r="I4913" i="5"/>
  <c r="I4914" i="5"/>
  <c r="I4915" i="5"/>
  <c r="I4916" i="5"/>
  <c r="I4917" i="5"/>
  <c r="I4918" i="5"/>
  <c r="I4919" i="5"/>
  <c r="I4920" i="5"/>
  <c r="I4921" i="5"/>
  <c r="I4922" i="5"/>
  <c r="I4923" i="5"/>
  <c r="I4924" i="5"/>
  <c r="I4925" i="5"/>
  <c r="I4926" i="5"/>
  <c r="I4927" i="5"/>
  <c r="I4928" i="5"/>
  <c r="I4929" i="5"/>
  <c r="I4930" i="5"/>
  <c r="I4931" i="5"/>
  <c r="I4932" i="5"/>
  <c r="I4933" i="5"/>
  <c r="I4934" i="5"/>
  <c r="I4935" i="5"/>
  <c r="I4936" i="5"/>
  <c r="I4937" i="5"/>
  <c r="I4938" i="5"/>
  <c r="I4939" i="5"/>
  <c r="I4940" i="5"/>
  <c r="I4941" i="5"/>
  <c r="I4942" i="5"/>
  <c r="I4943" i="5"/>
  <c r="I4944" i="5"/>
  <c r="I4945" i="5"/>
  <c r="I4946" i="5"/>
  <c r="I4947" i="5"/>
  <c r="I4948" i="5"/>
  <c r="I4949" i="5"/>
  <c r="I4950" i="5"/>
  <c r="I4951" i="5"/>
  <c r="I4952" i="5"/>
  <c r="I4953" i="5"/>
  <c r="I4954" i="5"/>
  <c r="I4955" i="5"/>
  <c r="I4956" i="5"/>
  <c r="I4957" i="5"/>
  <c r="I4958" i="5"/>
  <c r="I4959" i="5"/>
  <c r="I4960" i="5"/>
  <c r="I4961" i="5"/>
  <c r="I4962" i="5"/>
  <c r="I4963" i="5"/>
  <c r="I4964" i="5"/>
  <c r="I4965" i="5"/>
  <c r="I4966" i="5"/>
  <c r="I4967" i="5"/>
  <c r="I4968" i="5"/>
  <c r="I4969" i="5"/>
  <c r="I4970" i="5"/>
  <c r="I4971" i="5"/>
  <c r="I4972" i="5"/>
  <c r="I4973" i="5"/>
  <c r="I4974" i="5"/>
  <c r="I4975" i="5"/>
  <c r="I4976" i="5"/>
  <c r="I4977" i="5"/>
  <c r="I4978" i="5"/>
  <c r="I4979" i="5"/>
  <c r="I4980" i="5"/>
  <c r="I4981" i="5"/>
  <c r="I4982" i="5"/>
  <c r="I4983" i="5"/>
  <c r="I4984" i="5"/>
  <c r="I4985" i="5"/>
  <c r="I4986" i="5"/>
  <c r="I4987" i="5"/>
  <c r="I4988" i="5"/>
  <c r="I4989" i="5"/>
  <c r="I4990" i="5"/>
  <c r="I4991" i="5"/>
  <c r="I4992" i="5"/>
  <c r="I4993" i="5"/>
  <c r="I4994" i="5"/>
  <c r="I4995" i="5"/>
  <c r="I4996" i="5"/>
  <c r="I4997" i="5"/>
  <c r="I4998" i="5"/>
  <c r="I4999" i="5"/>
  <c r="I5000" i="5"/>
  <c r="I5001" i="5"/>
  <c r="I5002" i="5"/>
  <c r="I5003" i="5"/>
  <c r="I5004" i="5"/>
  <c r="I5005" i="5"/>
  <c r="I5006" i="5"/>
  <c r="I5007" i="5"/>
  <c r="I5008" i="5"/>
  <c r="I5009" i="5"/>
  <c r="I5010" i="5"/>
  <c r="I5011" i="5"/>
  <c r="I5012" i="5"/>
  <c r="I5013" i="5"/>
  <c r="I5014" i="5"/>
  <c r="I5015" i="5"/>
  <c r="I5016" i="5"/>
  <c r="I5017" i="5"/>
  <c r="I5018" i="5"/>
  <c r="I5019" i="5"/>
  <c r="I5020" i="5"/>
  <c r="I5021" i="5"/>
  <c r="I5022" i="5"/>
  <c r="I5023" i="5"/>
  <c r="I5024" i="5"/>
  <c r="I5025" i="5"/>
  <c r="I5026" i="5"/>
  <c r="I5027" i="5"/>
  <c r="I5028" i="5"/>
  <c r="I5029" i="5"/>
  <c r="I5030" i="5"/>
  <c r="I5031" i="5"/>
  <c r="I5032" i="5"/>
  <c r="I5033" i="5"/>
  <c r="I5034" i="5"/>
  <c r="I5035" i="5"/>
  <c r="I5036" i="5"/>
  <c r="I5037" i="5"/>
  <c r="I5038" i="5"/>
  <c r="I5039" i="5"/>
  <c r="I5040" i="5"/>
  <c r="I5041" i="5"/>
  <c r="I5042" i="5"/>
  <c r="I5043" i="5"/>
  <c r="I5044" i="5"/>
  <c r="I5045" i="5"/>
  <c r="I5046" i="5"/>
  <c r="I5047" i="5"/>
  <c r="I5048" i="5"/>
  <c r="I5049" i="5"/>
  <c r="I5050" i="5"/>
  <c r="I5051" i="5"/>
  <c r="I5052" i="5"/>
  <c r="I5053" i="5"/>
  <c r="I5054" i="5"/>
  <c r="I5055" i="5"/>
  <c r="I5056" i="5"/>
  <c r="I5057" i="5"/>
  <c r="I5058" i="5"/>
  <c r="I5059" i="5"/>
  <c r="I5060" i="5"/>
  <c r="I5061" i="5"/>
  <c r="I5062" i="5"/>
  <c r="I5063" i="5"/>
  <c r="I5064" i="5"/>
  <c r="I5065" i="5"/>
  <c r="I5066" i="5"/>
  <c r="I5067" i="5"/>
  <c r="I5068" i="5"/>
  <c r="I5069" i="5"/>
  <c r="I5070" i="5"/>
  <c r="I5071" i="5"/>
  <c r="I5072" i="5"/>
  <c r="I5073" i="5"/>
  <c r="I5074" i="5"/>
  <c r="I5075" i="5"/>
  <c r="I5076" i="5"/>
  <c r="I5077" i="5"/>
  <c r="I5078" i="5"/>
  <c r="I5079" i="5"/>
  <c r="I5080" i="5"/>
  <c r="I5081" i="5"/>
  <c r="I5082" i="5"/>
  <c r="I5083" i="5"/>
  <c r="I5084" i="5"/>
  <c r="I5085" i="5"/>
  <c r="I5086" i="5"/>
  <c r="I5087" i="5"/>
  <c r="I5088" i="5"/>
  <c r="I5089" i="5"/>
  <c r="I5090" i="5"/>
  <c r="I5091" i="5"/>
  <c r="I5092" i="5"/>
  <c r="I5093" i="5"/>
  <c r="I5094" i="5"/>
  <c r="I5095" i="5"/>
  <c r="I5096" i="5"/>
  <c r="I5097" i="5"/>
  <c r="I5098" i="5"/>
  <c r="I5099" i="5"/>
  <c r="I5100" i="5"/>
  <c r="I5101" i="5"/>
  <c r="I5102" i="5"/>
  <c r="I5103" i="5"/>
  <c r="I5104" i="5"/>
  <c r="I5105" i="5"/>
  <c r="I5106" i="5"/>
  <c r="I5107" i="5"/>
  <c r="I5108" i="5"/>
  <c r="I5109" i="5"/>
  <c r="I5110" i="5"/>
  <c r="I5111" i="5"/>
  <c r="I5112" i="5"/>
  <c r="I5113" i="5"/>
  <c r="I5114" i="5"/>
  <c r="I5115" i="5"/>
  <c r="I5116" i="5"/>
  <c r="I5117" i="5"/>
  <c r="I5118" i="5"/>
  <c r="I5119" i="5"/>
  <c r="I5120" i="5"/>
  <c r="I5121" i="5"/>
  <c r="I5122" i="5"/>
  <c r="I5123" i="5"/>
  <c r="I5124" i="5"/>
  <c r="I5125" i="5"/>
  <c r="I5126" i="5"/>
  <c r="I5127" i="5"/>
  <c r="I5128" i="5"/>
  <c r="I5129" i="5"/>
  <c r="I5130" i="5"/>
  <c r="I5131" i="5"/>
  <c r="I5132" i="5"/>
  <c r="I5133" i="5"/>
  <c r="I5134" i="5"/>
  <c r="I5135" i="5"/>
  <c r="I5136" i="5"/>
  <c r="I5137" i="5"/>
  <c r="I5138" i="5"/>
  <c r="I5139" i="5"/>
  <c r="I5140" i="5"/>
  <c r="I5141" i="5"/>
  <c r="I5142" i="5"/>
  <c r="I5143" i="5"/>
  <c r="I5144" i="5"/>
  <c r="I5145" i="5"/>
  <c r="I5146" i="5"/>
  <c r="I5147" i="5"/>
  <c r="I5148" i="5"/>
  <c r="I5149" i="5"/>
  <c r="I5150" i="5"/>
  <c r="I5151" i="5"/>
  <c r="I5152" i="5"/>
  <c r="I5153" i="5"/>
  <c r="I5154" i="5"/>
  <c r="I5155" i="5"/>
  <c r="I5156" i="5"/>
  <c r="I5157" i="5"/>
  <c r="I5158" i="5"/>
  <c r="I5159" i="5"/>
  <c r="I5160" i="5"/>
  <c r="I5161" i="5"/>
  <c r="I5162" i="5"/>
  <c r="I5163" i="5"/>
  <c r="I5164" i="5"/>
  <c r="I5165" i="5"/>
  <c r="I5166" i="5"/>
  <c r="I5167" i="5"/>
  <c r="I5168" i="5"/>
  <c r="I5169" i="5"/>
  <c r="I5170" i="5"/>
  <c r="I5171" i="5"/>
  <c r="I5172" i="5"/>
  <c r="I5173" i="5"/>
  <c r="I5174" i="5"/>
  <c r="I5175" i="5"/>
  <c r="I5176" i="5"/>
  <c r="I5177" i="5"/>
  <c r="I5178" i="5"/>
  <c r="I5179" i="5"/>
  <c r="I5180" i="5"/>
  <c r="I5181" i="5"/>
  <c r="I5182" i="5"/>
  <c r="I5183" i="5"/>
  <c r="I5184" i="5"/>
  <c r="I5185" i="5"/>
  <c r="I5186" i="5"/>
  <c r="I5187" i="5"/>
  <c r="I5188" i="5"/>
  <c r="I5189" i="5"/>
  <c r="I5190" i="5"/>
  <c r="I5191" i="5"/>
  <c r="I5192" i="5"/>
  <c r="I5193" i="5"/>
  <c r="I5194" i="5"/>
  <c r="I5195" i="5"/>
  <c r="I5196" i="5"/>
  <c r="I5197" i="5"/>
  <c r="I5198" i="5"/>
  <c r="I5199" i="5"/>
  <c r="I5200" i="5"/>
  <c r="I5201" i="5"/>
  <c r="I5202" i="5"/>
  <c r="I5203" i="5"/>
  <c r="I5204" i="5"/>
  <c r="I5205" i="5"/>
  <c r="I5206" i="5"/>
  <c r="I5207" i="5"/>
  <c r="I5208" i="5"/>
  <c r="I5209" i="5"/>
  <c r="I5210" i="5"/>
  <c r="I5211" i="5"/>
  <c r="I5212" i="5"/>
  <c r="I5213" i="5"/>
  <c r="I5214" i="5"/>
  <c r="I5215" i="5"/>
  <c r="I5216" i="5"/>
  <c r="I5217" i="5"/>
  <c r="I5218" i="5"/>
  <c r="I5219" i="5"/>
  <c r="I5220" i="5"/>
  <c r="I5221" i="5"/>
  <c r="I5222" i="5"/>
  <c r="I5223" i="5"/>
  <c r="I5224" i="5"/>
  <c r="I5225" i="5"/>
  <c r="I5226" i="5"/>
  <c r="I5227" i="5"/>
  <c r="I5228" i="5"/>
  <c r="I5229" i="5"/>
  <c r="I5230" i="5"/>
  <c r="I5231" i="5"/>
  <c r="I5232" i="5"/>
  <c r="I5233" i="5"/>
  <c r="I5234" i="5"/>
  <c r="I5235" i="5"/>
  <c r="I5236" i="5"/>
  <c r="I5237" i="5"/>
  <c r="I5238" i="5"/>
  <c r="I5239" i="5"/>
  <c r="I5240" i="5"/>
  <c r="I5241" i="5"/>
  <c r="I5242" i="5"/>
  <c r="I5243" i="5"/>
  <c r="I5244" i="5"/>
  <c r="I5245" i="5"/>
  <c r="I5246" i="5"/>
  <c r="I5247" i="5"/>
  <c r="I5248" i="5"/>
  <c r="I5249" i="5"/>
  <c r="I5250" i="5"/>
  <c r="I5251" i="5"/>
  <c r="I5252" i="5"/>
  <c r="I5253" i="5"/>
  <c r="I5254" i="5"/>
  <c r="I5255" i="5"/>
  <c r="I5256" i="5"/>
  <c r="I5257" i="5"/>
  <c r="I5258" i="5"/>
  <c r="I5259" i="5"/>
  <c r="I5260" i="5"/>
  <c r="I5261" i="5"/>
  <c r="I5262" i="5"/>
  <c r="I5263" i="5"/>
  <c r="I5264" i="5"/>
  <c r="I5265" i="5"/>
  <c r="I5266" i="5"/>
  <c r="I5267" i="5"/>
  <c r="I5268" i="5"/>
  <c r="I5269" i="5"/>
  <c r="I5270" i="5"/>
  <c r="I5271" i="5"/>
  <c r="I5272" i="5"/>
  <c r="I5273" i="5"/>
  <c r="I5274" i="5"/>
  <c r="I5275" i="5"/>
  <c r="I5276" i="5"/>
  <c r="I5277" i="5"/>
  <c r="I5278" i="5"/>
  <c r="I5279" i="5"/>
  <c r="I5280" i="5"/>
  <c r="I5281" i="5"/>
  <c r="I5282" i="5"/>
  <c r="I5283" i="5"/>
  <c r="I5284" i="5"/>
  <c r="I5285" i="5"/>
  <c r="I5286" i="5"/>
  <c r="I5287" i="5"/>
  <c r="I5288" i="5"/>
  <c r="I5289" i="5"/>
  <c r="I5290" i="5"/>
  <c r="I5291" i="5"/>
  <c r="I5292" i="5"/>
  <c r="I5293" i="5"/>
  <c r="I5294" i="5"/>
  <c r="I5295" i="5"/>
  <c r="I5296" i="5"/>
  <c r="I5297" i="5"/>
  <c r="I5298" i="5"/>
  <c r="I5299" i="5"/>
  <c r="I5300" i="5"/>
  <c r="I5301" i="5"/>
  <c r="I5302" i="5"/>
  <c r="I5303" i="5"/>
  <c r="I5304" i="5"/>
  <c r="I5305" i="5"/>
  <c r="I5306" i="5"/>
  <c r="I5307" i="5"/>
  <c r="I5308" i="5"/>
  <c r="I5309" i="5"/>
  <c r="I5310" i="5"/>
  <c r="I5311" i="5"/>
  <c r="I5312" i="5"/>
  <c r="I5313" i="5"/>
  <c r="I5314" i="5"/>
  <c r="I5315" i="5"/>
  <c r="I5316" i="5"/>
  <c r="I5317" i="5"/>
  <c r="I5318" i="5"/>
  <c r="I5319" i="5"/>
  <c r="I5320" i="5"/>
  <c r="I5321" i="5"/>
  <c r="I5322" i="5"/>
  <c r="I5323" i="5"/>
  <c r="I5324" i="5"/>
  <c r="I5325" i="5"/>
  <c r="I5326" i="5"/>
  <c r="I5327" i="5"/>
  <c r="I5328" i="5"/>
  <c r="I5329" i="5"/>
  <c r="I5330" i="5"/>
  <c r="I5331" i="5"/>
  <c r="I5332" i="5"/>
  <c r="I5333" i="5"/>
  <c r="I5334" i="5"/>
  <c r="I5335" i="5"/>
  <c r="I5336" i="5"/>
  <c r="I5337" i="5"/>
  <c r="I5338" i="5"/>
  <c r="I5339" i="5"/>
  <c r="I5340" i="5"/>
  <c r="I5341" i="5"/>
  <c r="I5342" i="5"/>
  <c r="I5343" i="5"/>
  <c r="I5344" i="5"/>
  <c r="I5345" i="5"/>
  <c r="I5346" i="5"/>
  <c r="I5347" i="5"/>
  <c r="I5348" i="5"/>
  <c r="I5349" i="5"/>
  <c r="I5350" i="5"/>
  <c r="I5351" i="5"/>
  <c r="I5352" i="5"/>
  <c r="I5353" i="5"/>
  <c r="I5354" i="5"/>
  <c r="I5355" i="5"/>
  <c r="I5356" i="5"/>
  <c r="I5357" i="5"/>
  <c r="I5358" i="5"/>
  <c r="I5359" i="5"/>
  <c r="I5360" i="5"/>
  <c r="I5361" i="5"/>
  <c r="I5362" i="5"/>
  <c r="I5363" i="5"/>
  <c r="I5364" i="5"/>
  <c r="I5365" i="5"/>
  <c r="I5366" i="5"/>
  <c r="I5367" i="5"/>
  <c r="I5368" i="5"/>
  <c r="I5369" i="5"/>
  <c r="I5370" i="5"/>
  <c r="I5371" i="5"/>
  <c r="I5372" i="5"/>
  <c r="I5373" i="5"/>
  <c r="I5374" i="5"/>
  <c r="I5375" i="5"/>
  <c r="I5376" i="5"/>
  <c r="I5377" i="5"/>
  <c r="I5378" i="5"/>
  <c r="I5379" i="5"/>
  <c r="I5380" i="5"/>
  <c r="I5381" i="5"/>
  <c r="I5382" i="5"/>
  <c r="I5383" i="5"/>
  <c r="I5384" i="5"/>
  <c r="I5385" i="5"/>
  <c r="I5386" i="5"/>
  <c r="I5387" i="5"/>
  <c r="I5388" i="5"/>
  <c r="I5389" i="5"/>
  <c r="I5390" i="5"/>
  <c r="I5391" i="5"/>
  <c r="I5392" i="5"/>
  <c r="I5393" i="5"/>
  <c r="I5394" i="5"/>
  <c r="I5395" i="5"/>
  <c r="I5396" i="5"/>
  <c r="I5397" i="5"/>
  <c r="I5398" i="5"/>
  <c r="I5399" i="5"/>
  <c r="I5400" i="5"/>
  <c r="I5401" i="5"/>
  <c r="I5402" i="5"/>
  <c r="I5403" i="5"/>
  <c r="I5404" i="5"/>
  <c r="I5405" i="5"/>
  <c r="I5406" i="5"/>
  <c r="I5407" i="5"/>
  <c r="I5408" i="5"/>
  <c r="I5409" i="5"/>
  <c r="I5410" i="5"/>
  <c r="I5411" i="5"/>
  <c r="I5412" i="5"/>
  <c r="I5413" i="5"/>
  <c r="I5414" i="5"/>
  <c r="I5415" i="5"/>
  <c r="I5416" i="5"/>
  <c r="I5417" i="5"/>
  <c r="I5418" i="5"/>
  <c r="I5419" i="5"/>
  <c r="I5420" i="5"/>
  <c r="I5421" i="5"/>
  <c r="I5422" i="5"/>
  <c r="I5423" i="5"/>
  <c r="I5424" i="5"/>
  <c r="I5425" i="5"/>
  <c r="I5426" i="5"/>
  <c r="I5427" i="5"/>
  <c r="I5428" i="5"/>
  <c r="I5429" i="5"/>
  <c r="I5430" i="5"/>
  <c r="I5431" i="5"/>
  <c r="I5432" i="5"/>
  <c r="I5433" i="5"/>
  <c r="I5434" i="5"/>
  <c r="I5435" i="5"/>
  <c r="I5436" i="5"/>
  <c r="I5437" i="5"/>
  <c r="I5438" i="5"/>
  <c r="I5439" i="5"/>
  <c r="I5440" i="5"/>
  <c r="I5441" i="5"/>
  <c r="I5442" i="5"/>
  <c r="I5443" i="5"/>
  <c r="I5444" i="5"/>
  <c r="I5445" i="5"/>
  <c r="I5446" i="5"/>
  <c r="I5447" i="5"/>
  <c r="I5448" i="5"/>
  <c r="I5449" i="5"/>
  <c r="I5450" i="5"/>
  <c r="I5451" i="5"/>
  <c r="I5452" i="5"/>
  <c r="I5453" i="5"/>
  <c r="I5454" i="5"/>
  <c r="I5455" i="5"/>
  <c r="I5456" i="5"/>
  <c r="I5457" i="5"/>
  <c r="I5458" i="5"/>
  <c r="I5459" i="5"/>
  <c r="I5460" i="5"/>
  <c r="I5461" i="5"/>
  <c r="I5462" i="5"/>
  <c r="I5463" i="5"/>
  <c r="I5464" i="5"/>
  <c r="I5465" i="5"/>
  <c r="I5466" i="5"/>
  <c r="I5467" i="5"/>
  <c r="I5468" i="5"/>
  <c r="I5469" i="5"/>
  <c r="I5470" i="5"/>
  <c r="I5471" i="5"/>
  <c r="I5472" i="5"/>
  <c r="I5473" i="5"/>
  <c r="I5474" i="5"/>
  <c r="I5475" i="5"/>
  <c r="I5476" i="5"/>
  <c r="I5477" i="5"/>
  <c r="I5478" i="5"/>
  <c r="I5479" i="5"/>
  <c r="I5480" i="5"/>
  <c r="I5481" i="5"/>
  <c r="I5482" i="5"/>
  <c r="I5483" i="5"/>
  <c r="I5484" i="5"/>
  <c r="I5485" i="5"/>
  <c r="I5486" i="5"/>
  <c r="I5487" i="5"/>
  <c r="I5488" i="5"/>
  <c r="I5489" i="5"/>
  <c r="I5490" i="5"/>
  <c r="I5491" i="5"/>
  <c r="I5492" i="5"/>
  <c r="I5493" i="5"/>
  <c r="I5494" i="5"/>
  <c r="I5495" i="5"/>
  <c r="I5496" i="5"/>
  <c r="I5497" i="5"/>
  <c r="I5498" i="5"/>
  <c r="I5499" i="5"/>
  <c r="I5500" i="5"/>
  <c r="I5501" i="5"/>
  <c r="I5502" i="5"/>
  <c r="I5503" i="5"/>
  <c r="I5504" i="5"/>
  <c r="I5505" i="5"/>
  <c r="I5506" i="5"/>
  <c r="I5507" i="5"/>
  <c r="I5508" i="5"/>
  <c r="I5509" i="5"/>
  <c r="I5510" i="5"/>
  <c r="I5511" i="5"/>
  <c r="I5512" i="5"/>
  <c r="I5513" i="5"/>
  <c r="I5514" i="5"/>
  <c r="I5515" i="5"/>
  <c r="I5516" i="5"/>
  <c r="I5517" i="5"/>
  <c r="I5518" i="5"/>
  <c r="I5519" i="5"/>
  <c r="I5520" i="5"/>
  <c r="I5521" i="5"/>
  <c r="I5522" i="5"/>
  <c r="I5523" i="5"/>
  <c r="I5524" i="5"/>
  <c r="I5525" i="5"/>
  <c r="I5526" i="5"/>
  <c r="I5527" i="5"/>
  <c r="I5528" i="5"/>
  <c r="I5529" i="5"/>
  <c r="I5530" i="5"/>
  <c r="I5531" i="5"/>
  <c r="I5532" i="5"/>
  <c r="I5533" i="5"/>
  <c r="I5534" i="5"/>
  <c r="I5535" i="5"/>
  <c r="I5536" i="5"/>
  <c r="I5537" i="5"/>
  <c r="I5538" i="5"/>
  <c r="I5539" i="5"/>
  <c r="I5540" i="5"/>
  <c r="I5541" i="5"/>
  <c r="I5542" i="5"/>
  <c r="I5543" i="5"/>
  <c r="I5544" i="5"/>
  <c r="I5545" i="5"/>
  <c r="I5546" i="5"/>
  <c r="I5547" i="5"/>
  <c r="I5548" i="5"/>
  <c r="I5549" i="5"/>
  <c r="I5550" i="5"/>
  <c r="I5551" i="5"/>
  <c r="I5552" i="5"/>
  <c r="I5553" i="5"/>
  <c r="I5554" i="5"/>
  <c r="I5555" i="5"/>
  <c r="I5556" i="5"/>
  <c r="I5557" i="5"/>
  <c r="I5558" i="5"/>
  <c r="I5559" i="5"/>
  <c r="I5560" i="5"/>
  <c r="I5561" i="5"/>
  <c r="I5562" i="5"/>
  <c r="I5563" i="5"/>
  <c r="I5564" i="5"/>
  <c r="I5565" i="5"/>
  <c r="I5566" i="5"/>
  <c r="I5567" i="5"/>
  <c r="I5568" i="5"/>
  <c r="I5569" i="5"/>
  <c r="I5570" i="5"/>
  <c r="I5571" i="5"/>
  <c r="I5572" i="5"/>
  <c r="I5573" i="5"/>
  <c r="I5574" i="5"/>
  <c r="I5575" i="5"/>
  <c r="I5576" i="5"/>
  <c r="I5577" i="5"/>
  <c r="I5578" i="5"/>
  <c r="I5579" i="5"/>
  <c r="I5580" i="5"/>
  <c r="I5581" i="5"/>
  <c r="I5582" i="5"/>
  <c r="I5583" i="5"/>
  <c r="I5584" i="5"/>
  <c r="I5585" i="5"/>
  <c r="I5586" i="5"/>
  <c r="I5587" i="5"/>
  <c r="I5588" i="5"/>
  <c r="I5589" i="5"/>
  <c r="I5590" i="5"/>
  <c r="I5591" i="5"/>
  <c r="I5592" i="5"/>
  <c r="I5593" i="5"/>
  <c r="I5594" i="5"/>
  <c r="I5595" i="5"/>
  <c r="I5596" i="5"/>
  <c r="I5597" i="5"/>
  <c r="I5598" i="5"/>
  <c r="I5599" i="5"/>
  <c r="I5600" i="5"/>
  <c r="I5601" i="5"/>
  <c r="I5602" i="5"/>
  <c r="I5603" i="5"/>
  <c r="I5604" i="5"/>
  <c r="I5605" i="5"/>
  <c r="I5606" i="5"/>
  <c r="I5607" i="5"/>
  <c r="I5608" i="5"/>
  <c r="I5609" i="5"/>
  <c r="I5610" i="5"/>
  <c r="I5611" i="5"/>
  <c r="I5612" i="5"/>
  <c r="I5613" i="5"/>
  <c r="I5614" i="5"/>
  <c r="I5615" i="5"/>
  <c r="I5616" i="5"/>
  <c r="I5617" i="5"/>
  <c r="I5618" i="5"/>
  <c r="I5619" i="5"/>
  <c r="I5620" i="5"/>
  <c r="I5621" i="5"/>
  <c r="I5622" i="5"/>
  <c r="I5623" i="5"/>
  <c r="I5624" i="5"/>
  <c r="I5625" i="5"/>
  <c r="I5626" i="5"/>
  <c r="I5627" i="5"/>
  <c r="I5628" i="5"/>
  <c r="I5629" i="5"/>
  <c r="I5630" i="5"/>
  <c r="I5631" i="5"/>
  <c r="I5632" i="5"/>
  <c r="I5633" i="5"/>
  <c r="I5634" i="5"/>
  <c r="I5635" i="5"/>
  <c r="I5636" i="5"/>
  <c r="I5637" i="5"/>
  <c r="I5638" i="5"/>
  <c r="I5639" i="5"/>
  <c r="I5640" i="5"/>
  <c r="I5641" i="5"/>
  <c r="I5642" i="5"/>
  <c r="I5643" i="5"/>
  <c r="I5644" i="5"/>
  <c r="I5645" i="5"/>
  <c r="I5646" i="5"/>
  <c r="I5647" i="5"/>
  <c r="I5648" i="5"/>
  <c r="I5649" i="5"/>
  <c r="I5650" i="5"/>
  <c r="I5651" i="5"/>
  <c r="I5652" i="5"/>
  <c r="I5653" i="5"/>
  <c r="I5654" i="5"/>
  <c r="I5655" i="5"/>
  <c r="I5656" i="5"/>
  <c r="I5657" i="5"/>
  <c r="I5658" i="5"/>
  <c r="I5659" i="5"/>
  <c r="I5660" i="5"/>
  <c r="I5661" i="5"/>
  <c r="I5662" i="5"/>
  <c r="I5663" i="5"/>
  <c r="I5664" i="5"/>
  <c r="I5665" i="5"/>
  <c r="I5666" i="5"/>
  <c r="I5667" i="5"/>
  <c r="I5668" i="5"/>
  <c r="I5669" i="5"/>
  <c r="I5670" i="5"/>
  <c r="I5671" i="5"/>
  <c r="I5672" i="5"/>
  <c r="I5673" i="5"/>
  <c r="I5674" i="5"/>
  <c r="I5675" i="5"/>
  <c r="I5676" i="5"/>
  <c r="I5677" i="5"/>
  <c r="I5678" i="5"/>
  <c r="I5679" i="5"/>
  <c r="I5680" i="5"/>
  <c r="I5681" i="5"/>
  <c r="I5682" i="5"/>
  <c r="I5683" i="5"/>
  <c r="I5684" i="5"/>
  <c r="I5685" i="5"/>
  <c r="I5686" i="5"/>
  <c r="I5687" i="5"/>
  <c r="I5688" i="5"/>
  <c r="I5689" i="5"/>
  <c r="I5690" i="5"/>
  <c r="I5691" i="5"/>
  <c r="I5692" i="5"/>
  <c r="I5693" i="5"/>
  <c r="I5694" i="5"/>
  <c r="I5695" i="5"/>
  <c r="I5696" i="5"/>
  <c r="I5697" i="5"/>
  <c r="I5698" i="5"/>
  <c r="I5699" i="5"/>
  <c r="I5700" i="5"/>
  <c r="I5701" i="5"/>
  <c r="I5702" i="5"/>
  <c r="I5703" i="5"/>
  <c r="I5704" i="5"/>
  <c r="I5705" i="5"/>
  <c r="I5706" i="5"/>
  <c r="I5707" i="5"/>
  <c r="I5708" i="5"/>
  <c r="I5709" i="5"/>
  <c r="I5710" i="5"/>
  <c r="I5711" i="5"/>
  <c r="I5712" i="5"/>
  <c r="I5713" i="5"/>
  <c r="I5714" i="5"/>
  <c r="I5715" i="5"/>
  <c r="I5716" i="5"/>
  <c r="I5717" i="5"/>
  <c r="I5718" i="5"/>
  <c r="I5719" i="5"/>
  <c r="I5720" i="5"/>
  <c r="I5721" i="5"/>
  <c r="I5722" i="5"/>
  <c r="I5723" i="5"/>
  <c r="I5724" i="5"/>
  <c r="I5725" i="5"/>
  <c r="I5726" i="5"/>
  <c r="I5727" i="5"/>
  <c r="I5728" i="5"/>
  <c r="I5729" i="5"/>
  <c r="I5730" i="5"/>
  <c r="I5731" i="5"/>
  <c r="I5732" i="5"/>
  <c r="I5733" i="5"/>
  <c r="I5734" i="5"/>
  <c r="I5735" i="5"/>
  <c r="I5736" i="5"/>
  <c r="I5737" i="5"/>
  <c r="I5738" i="5"/>
  <c r="I5739" i="5"/>
  <c r="I5740" i="5"/>
  <c r="I5741" i="5"/>
  <c r="I5742" i="5"/>
  <c r="I5743" i="5"/>
  <c r="I5744" i="5"/>
  <c r="I5745" i="5"/>
  <c r="I5746" i="5"/>
  <c r="I5747" i="5"/>
  <c r="I5748" i="5"/>
  <c r="I5749" i="5"/>
  <c r="I5750" i="5"/>
  <c r="I5751" i="5"/>
  <c r="I5752" i="5"/>
  <c r="I5753" i="5"/>
  <c r="I5754" i="5"/>
  <c r="I5755" i="5"/>
  <c r="I5756" i="5"/>
  <c r="I5757" i="5"/>
  <c r="I5758" i="5"/>
  <c r="I5759" i="5"/>
  <c r="I5760" i="5"/>
  <c r="I5761" i="5"/>
  <c r="I5762" i="5"/>
  <c r="I5763" i="5"/>
  <c r="I5764" i="5"/>
  <c r="I5765" i="5"/>
  <c r="I5766" i="5"/>
  <c r="I5767" i="5"/>
  <c r="I5768" i="5"/>
  <c r="I5769" i="5"/>
  <c r="I5770" i="5"/>
  <c r="I5771" i="5"/>
  <c r="I5772" i="5"/>
  <c r="I5773" i="5"/>
  <c r="I5774" i="5"/>
  <c r="I5775" i="5"/>
  <c r="I5776" i="5"/>
  <c r="I5777" i="5"/>
  <c r="I5778" i="5"/>
  <c r="I5779" i="5"/>
  <c r="I5780" i="5"/>
  <c r="I5781" i="5"/>
  <c r="I5782" i="5"/>
  <c r="I5783" i="5"/>
  <c r="I5784" i="5"/>
  <c r="I5785" i="5"/>
  <c r="I5786" i="5"/>
  <c r="I5787" i="5"/>
  <c r="I5788" i="5"/>
  <c r="I5789" i="5"/>
  <c r="I5790" i="5"/>
  <c r="I5791" i="5"/>
  <c r="I5792" i="5"/>
  <c r="I5793" i="5"/>
  <c r="I5794" i="5"/>
  <c r="I5795" i="5"/>
  <c r="I5796" i="5"/>
  <c r="I5797" i="5"/>
  <c r="I5798" i="5"/>
  <c r="I5799" i="5"/>
  <c r="I5800" i="5"/>
  <c r="I5801" i="5"/>
  <c r="I5802" i="5"/>
  <c r="I5803" i="5"/>
  <c r="I5804" i="5"/>
  <c r="I5805" i="5"/>
  <c r="I5806" i="5"/>
  <c r="I5807" i="5"/>
  <c r="I5808" i="5"/>
  <c r="I5809" i="5"/>
  <c r="I5810" i="5"/>
  <c r="I5811" i="5"/>
  <c r="I5812" i="5"/>
  <c r="I5813" i="5"/>
  <c r="I5814" i="5"/>
  <c r="I5815" i="5"/>
  <c r="I5816" i="5"/>
  <c r="I5817" i="5"/>
  <c r="I5818" i="5"/>
  <c r="I5819" i="5"/>
  <c r="I5820" i="5"/>
  <c r="I5821" i="5"/>
  <c r="I5822" i="5"/>
  <c r="I5823" i="5"/>
  <c r="I5824" i="5"/>
  <c r="I5825" i="5"/>
  <c r="I5826" i="5"/>
  <c r="I5827" i="5"/>
  <c r="I5828" i="5"/>
  <c r="I5829" i="5"/>
  <c r="I5830" i="5"/>
  <c r="I5831" i="5"/>
  <c r="I5832" i="5"/>
  <c r="I5833" i="5"/>
  <c r="I5834" i="5"/>
  <c r="I5835" i="5"/>
  <c r="I5836" i="5"/>
  <c r="I5837" i="5"/>
  <c r="I5838" i="5"/>
  <c r="I5839" i="5"/>
  <c r="I5840" i="5"/>
  <c r="I5841" i="5"/>
  <c r="I5842" i="5"/>
  <c r="I5843" i="5"/>
  <c r="I5844" i="5"/>
  <c r="I5845" i="5"/>
  <c r="I5846" i="5"/>
  <c r="I5847" i="5"/>
  <c r="I5848" i="5"/>
  <c r="I5849" i="5"/>
  <c r="I5850" i="5"/>
  <c r="I5851" i="5"/>
  <c r="I5852" i="5"/>
  <c r="I5853" i="5"/>
  <c r="I5854" i="5"/>
  <c r="I5855" i="5"/>
  <c r="I5856" i="5"/>
  <c r="I5857" i="5"/>
  <c r="I5858" i="5"/>
  <c r="I5859" i="5"/>
  <c r="I5860" i="5"/>
  <c r="I5861" i="5"/>
  <c r="I5862" i="5"/>
  <c r="I5863" i="5"/>
  <c r="I5864" i="5"/>
  <c r="I5865" i="5"/>
  <c r="I5866" i="5"/>
  <c r="I5867" i="5"/>
  <c r="I5868" i="5"/>
  <c r="I5869" i="5"/>
  <c r="I5870" i="5"/>
  <c r="I5871" i="5"/>
  <c r="I5872" i="5"/>
  <c r="I5873" i="5"/>
  <c r="I5874" i="5"/>
  <c r="I5875" i="5"/>
  <c r="I5876" i="5"/>
  <c r="I5877" i="5"/>
  <c r="I5878" i="5"/>
  <c r="I5879" i="5"/>
  <c r="I5880" i="5"/>
  <c r="I5881" i="5"/>
  <c r="I5882" i="5"/>
  <c r="I5883" i="5"/>
  <c r="I5884" i="5"/>
  <c r="I5885" i="5"/>
  <c r="I5886" i="5"/>
  <c r="I5887" i="5"/>
  <c r="I5888" i="5"/>
  <c r="I5889" i="5"/>
  <c r="I5890" i="5"/>
  <c r="I5891" i="5"/>
  <c r="I5892" i="5"/>
  <c r="I5893" i="5"/>
  <c r="I5894" i="5"/>
  <c r="I5895" i="5"/>
  <c r="I5896" i="5"/>
  <c r="I5897" i="5"/>
  <c r="I5898" i="5"/>
  <c r="I5899" i="5"/>
  <c r="I5900" i="5"/>
  <c r="I5901" i="5"/>
  <c r="I5902" i="5"/>
  <c r="I5903" i="5"/>
  <c r="I5904" i="5"/>
  <c r="I5905" i="5"/>
  <c r="I5906" i="5"/>
  <c r="I5907" i="5"/>
  <c r="I5908" i="5"/>
  <c r="I5909" i="5"/>
  <c r="I5910" i="5"/>
  <c r="I5911" i="5"/>
  <c r="I5912" i="5"/>
  <c r="I5913" i="5"/>
  <c r="I5914" i="5"/>
  <c r="I5915" i="5"/>
  <c r="I5916" i="5"/>
  <c r="I5917" i="5"/>
  <c r="I5918" i="5"/>
  <c r="I5919" i="5"/>
  <c r="I5920" i="5"/>
  <c r="I5921" i="5"/>
  <c r="I5922" i="5"/>
  <c r="I5923" i="5"/>
  <c r="I5924" i="5"/>
  <c r="I5925" i="5"/>
  <c r="I5926" i="5"/>
  <c r="I5927" i="5"/>
  <c r="I5928" i="5"/>
  <c r="I5929" i="5"/>
  <c r="I5930" i="5"/>
  <c r="I5931" i="5"/>
  <c r="I5932" i="5"/>
  <c r="I5933" i="5"/>
  <c r="I5934" i="5"/>
  <c r="I5935" i="5"/>
  <c r="I5936" i="5"/>
  <c r="I5937" i="5"/>
  <c r="I5938" i="5"/>
  <c r="I5939" i="5"/>
  <c r="I5940" i="5"/>
  <c r="I5941" i="5"/>
  <c r="I5942" i="5"/>
  <c r="I5943" i="5"/>
  <c r="I5944" i="5"/>
  <c r="I5945" i="5"/>
  <c r="I5946" i="5"/>
  <c r="I5947" i="5"/>
  <c r="I5948" i="5"/>
  <c r="I5949" i="5"/>
  <c r="I5950" i="5"/>
  <c r="I5951" i="5"/>
  <c r="I5952" i="5"/>
  <c r="I5953" i="5"/>
  <c r="I5954" i="5"/>
  <c r="I5955" i="5"/>
  <c r="I5956" i="5"/>
  <c r="I5957" i="5"/>
  <c r="I5958" i="5"/>
  <c r="I5959" i="5"/>
  <c r="I5960" i="5"/>
  <c r="I5961" i="5"/>
  <c r="I5962" i="5"/>
  <c r="I5963" i="5"/>
  <c r="I5964" i="5"/>
  <c r="I5965" i="5"/>
  <c r="I5966" i="5"/>
  <c r="I5967" i="5"/>
  <c r="I5968" i="5"/>
  <c r="I5969" i="5"/>
  <c r="I5970" i="5"/>
  <c r="I5971" i="5"/>
  <c r="I5972" i="5"/>
  <c r="I5973" i="5"/>
  <c r="I5974" i="5"/>
  <c r="I5975" i="5"/>
  <c r="I5976" i="5"/>
  <c r="I5977" i="5"/>
  <c r="I5978" i="5"/>
  <c r="I5979" i="5"/>
  <c r="I5980" i="5"/>
  <c r="I5981" i="5"/>
  <c r="I5982" i="5"/>
  <c r="I5983" i="5"/>
  <c r="I5984" i="5"/>
  <c r="I5985" i="5"/>
  <c r="I5986" i="5"/>
  <c r="I5987" i="5"/>
  <c r="I5988" i="5"/>
  <c r="I5989" i="5"/>
  <c r="I5990" i="5"/>
  <c r="I5991" i="5"/>
  <c r="I5992" i="5"/>
  <c r="I5993" i="5"/>
  <c r="I5994" i="5"/>
  <c r="I5995" i="5"/>
  <c r="I5996" i="5"/>
  <c r="I5997" i="5"/>
  <c r="I5998" i="5"/>
  <c r="I5999" i="5"/>
  <c r="I6000" i="5"/>
  <c r="I6001" i="5"/>
  <c r="I6002" i="5"/>
  <c r="I6003" i="5"/>
  <c r="I6004" i="5"/>
  <c r="I6005" i="5"/>
  <c r="I6006" i="5"/>
  <c r="I6007" i="5"/>
  <c r="I6008" i="5"/>
  <c r="I6009" i="5"/>
  <c r="I6010" i="5"/>
  <c r="I6011" i="5"/>
  <c r="I6012" i="5"/>
  <c r="I6013" i="5"/>
  <c r="I6014" i="5"/>
  <c r="I6015" i="5"/>
  <c r="I6016" i="5"/>
  <c r="I6017" i="5"/>
  <c r="I6018" i="5"/>
  <c r="I6019" i="5"/>
  <c r="I6020" i="5"/>
  <c r="I6021" i="5"/>
  <c r="I6022" i="5"/>
  <c r="I6023" i="5"/>
  <c r="I6024" i="5"/>
  <c r="I6025" i="5"/>
  <c r="I6026" i="5"/>
  <c r="I6027" i="5"/>
  <c r="I6028" i="5"/>
  <c r="I6029" i="5"/>
  <c r="I6030" i="5"/>
  <c r="I6031" i="5"/>
  <c r="I6032" i="5"/>
  <c r="I6033" i="5"/>
  <c r="I6034" i="5"/>
  <c r="I6035" i="5"/>
  <c r="I6036" i="5"/>
  <c r="I6037" i="5"/>
  <c r="I6038" i="5"/>
  <c r="I6039" i="5"/>
  <c r="I6040" i="5"/>
  <c r="I6041" i="5"/>
  <c r="I6042" i="5"/>
  <c r="I6043" i="5"/>
  <c r="I6044" i="5"/>
  <c r="I6045" i="5"/>
  <c r="I6046" i="5"/>
  <c r="I6047" i="5"/>
  <c r="I6048" i="5"/>
  <c r="I6049" i="5"/>
  <c r="I6050" i="5"/>
  <c r="I6051" i="5"/>
  <c r="I6052" i="5"/>
  <c r="I6053" i="5"/>
  <c r="I6054" i="5"/>
  <c r="I6055" i="5"/>
  <c r="I6056" i="5"/>
  <c r="I6057" i="5"/>
  <c r="I6058" i="5"/>
  <c r="I6059" i="5"/>
  <c r="I6060" i="5"/>
  <c r="I6061" i="5"/>
  <c r="I6062" i="5"/>
  <c r="I6063" i="5"/>
  <c r="I6064" i="5"/>
  <c r="I6065" i="5"/>
  <c r="I6066" i="5"/>
  <c r="I6067" i="5"/>
  <c r="I6068" i="5"/>
  <c r="I6069" i="5"/>
  <c r="I6070" i="5"/>
  <c r="I6071" i="5"/>
  <c r="I6072" i="5"/>
  <c r="I6073" i="5"/>
  <c r="I6074" i="5"/>
  <c r="I6075" i="5"/>
  <c r="I6076" i="5"/>
  <c r="I6077" i="5"/>
  <c r="I6078" i="5"/>
  <c r="I6079" i="5"/>
  <c r="I6080" i="5"/>
  <c r="I6081" i="5"/>
  <c r="I6082" i="5"/>
  <c r="I6083" i="5"/>
  <c r="I6084" i="5"/>
  <c r="I6085" i="5"/>
  <c r="I6086" i="5"/>
  <c r="I6087" i="5"/>
  <c r="I6088" i="5"/>
  <c r="I6089" i="5"/>
  <c r="I6090" i="5"/>
  <c r="I6091" i="5"/>
  <c r="I6092" i="5"/>
  <c r="I6093" i="5"/>
  <c r="I6094" i="5"/>
  <c r="I6095" i="5"/>
  <c r="I6096" i="5"/>
  <c r="I6097" i="5"/>
  <c r="I6098" i="5"/>
  <c r="I6099" i="5"/>
  <c r="I6100" i="5"/>
  <c r="I6101" i="5"/>
  <c r="I6102" i="5"/>
  <c r="I6103" i="5"/>
  <c r="I6104" i="5"/>
  <c r="I6105" i="5"/>
  <c r="I6106" i="5"/>
  <c r="I6107" i="5"/>
  <c r="I6108" i="5"/>
  <c r="I6109" i="5"/>
  <c r="I6110" i="5"/>
  <c r="I6111" i="5"/>
  <c r="I6112" i="5"/>
  <c r="I6113" i="5"/>
  <c r="I6114" i="5"/>
  <c r="I6115" i="5"/>
  <c r="I6116" i="5"/>
  <c r="I6117" i="5"/>
  <c r="I6118" i="5"/>
  <c r="I6119" i="5"/>
  <c r="I6120" i="5"/>
  <c r="I6121" i="5"/>
  <c r="I6122" i="5"/>
  <c r="I6123" i="5"/>
  <c r="I6124" i="5"/>
  <c r="I6125" i="5"/>
  <c r="I6126" i="5"/>
  <c r="I6127" i="5"/>
  <c r="I6128" i="5"/>
  <c r="I6129" i="5"/>
  <c r="I6130" i="5"/>
  <c r="I6131" i="5"/>
  <c r="I6132" i="5"/>
  <c r="I6133" i="5"/>
  <c r="I6134" i="5"/>
  <c r="I6135" i="5"/>
  <c r="I6136" i="5"/>
  <c r="I6137" i="5"/>
  <c r="I6138" i="5"/>
  <c r="I6139" i="5"/>
  <c r="I6140" i="5"/>
  <c r="I6141" i="5"/>
  <c r="I6142" i="5"/>
  <c r="I6143" i="5"/>
  <c r="I6144" i="5"/>
  <c r="I6145" i="5"/>
  <c r="I6146" i="5"/>
  <c r="I6147" i="5"/>
  <c r="I6148" i="5"/>
  <c r="I6149" i="5"/>
  <c r="I6150" i="5"/>
  <c r="I6151" i="5"/>
  <c r="I6152" i="5"/>
  <c r="I6153" i="5"/>
  <c r="I6154" i="5"/>
  <c r="I6155" i="5"/>
  <c r="I6156" i="5"/>
  <c r="I6157" i="5"/>
  <c r="I6158" i="5"/>
  <c r="I6159" i="5"/>
  <c r="I6160" i="5"/>
  <c r="I6161" i="5"/>
  <c r="I6162" i="5"/>
  <c r="I6163" i="5"/>
  <c r="I6164" i="5"/>
  <c r="I6165" i="5"/>
  <c r="I6166" i="5"/>
  <c r="I6167" i="5"/>
  <c r="I6168" i="5"/>
  <c r="I6169" i="5"/>
  <c r="I6170" i="5"/>
  <c r="I6171" i="5"/>
  <c r="I6172" i="5"/>
  <c r="I6173" i="5"/>
  <c r="I6174" i="5"/>
  <c r="I6175" i="5"/>
  <c r="I6176" i="5"/>
  <c r="I6177" i="5"/>
  <c r="I6178" i="5"/>
  <c r="I6179" i="5"/>
  <c r="I6180" i="5"/>
  <c r="I6181" i="5"/>
  <c r="I6182" i="5"/>
  <c r="I6183" i="5"/>
  <c r="I6184" i="5"/>
  <c r="I6185" i="5"/>
  <c r="I6186" i="5"/>
  <c r="I6187" i="5"/>
  <c r="I6188" i="5"/>
  <c r="I6189" i="5"/>
  <c r="I6190" i="5"/>
  <c r="I6191" i="5"/>
  <c r="I6192" i="5"/>
  <c r="I6193" i="5"/>
  <c r="I6194" i="5"/>
  <c r="I6195" i="5"/>
  <c r="I6196" i="5"/>
  <c r="I6197" i="5"/>
  <c r="I6198" i="5"/>
  <c r="I6199" i="5"/>
  <c r="I6200" i="5"/>
  <c r="I6201" i="5"/>
  <c r="I6202" i="5"/>
  <c r="I6203" i="5"/>
  <c r="I6204" i="5"/>
  <c r="I6205" i="5"/>
  <c r="I6206" i="5"/>
  <c r="I6207" i="5"/>
  <c r="I6208" i="5"/>
  <c r="I6209" i="5"/>
  <c r="I6210" i="5"/>
  <c r="I6211" i="5"/>
  <c r="I6212" i="5"/>
  <c r="I6213" i="5"/>
  <c r="I6214" i="5"/>
  <c r="I6215" i="5"/>
  <c r="I6216" i="5"/>
  <c r="I6217" i="5"/>
  <c r="I6218" i="5"/>
  <c r="I6219" i="5"/>
  <c r="I6220" i="5"/>
  <c r="I6221" i="5"/>
  <c r="I6222" i="5"/>
  <c r="I6223" i="5"/>
  <c r="I6224" i="5"/>
  <c r="I6225" i="5"/>
  <c r="I6226" i="5"/>
  <c r="I6227" i="5"/>
  <c r="I6228" i="5"/>
  <c r="I6229" i="5"/>
  <c r="I6230" i="5"/>
  <c r="I6231" i="5"/>
  <c r="I6232" i="5"/>
  <c r="I6233" i="5"/>
  <c r="I6234" i="5"/>
  <c r="I6235" i="5"/>
  <c r="I6236" i="5"/>
  <c r="I6237" i="5"/>
  <c r="I6238" i="5"/>
  <c r="I6239" i="5"/>
  <c r="I6240" i="5"/>
  <c r="I6241" i="5"/>
  <c r="I6242" i="5"/>
  <c r="I6243" i="5"/>
  <c r="I6244" i="5"/>
  <c r="I6245" i="5"/>
  <c r="I6246" i="5"/>
  <c r="I6247" i="5"/>
  <c r="I6248" i="5"/>
  <c r="I6249" i="5"/>
  <c r="I6250" i="5"/>
  <c r="I6251" i="5"/>
  <c r="I6252" i="5"/>
  <c r="I6253" i="5"/>
  <c r="I6254" i="5"/>
  <c r="I6255" i="5"/>
  <c r="I6256" i="5"/>
  <c r="I6257" i="5"/>
  <c r="I6258" i="5"/>
  <c r="I6259" i="5"/>
  <c r="I6260" i="5"/>
  <c r="I6261" i="5"/>
  <c r="I6262" i="5"/>
  <c r="I6263" i="5"/>
  <c r="I6264" i="5"/>
  <c r="I6265" i="5"/>
  <c r="I6266" i="5"/>
  <c r="I6267" i="5"/>
  <c r="I6268" i="5"/>
  <c r="I6269" i="5"/>
  <c r="I6270" i="5"/>
  <c r="I6271" i="5"/>
  <c r="I6272" i="5"/>
  <c r="I6273" i="5"/>
  <c r="I6274" i="5"/>
  <c r="I6275" i="5"/>
  <c r="I6276" i="5"/>
  <c r="I6277" i="5"/>
  <c r="I6278" i="5"/>
  <c r="I6279" i="5"/>
  <c r="I6280" i="5"/>
  <c r="I6281" i="5"/>
  <c r="I6282" i="5"/>
  <c r="I6283" i="5"/>
  <c r="I6284" i="5"/>
  <c r="I6285" i="5"/>
  <c r="I6286" i="5"/>
  <c r="I6287" i="5"/>
  <c r="I6288" i="5"/>
  <c r="I6289" i="5"/>
  <c r="I6290" i="5"/>
  <c r="I6291" i="5"/>
  <c r="I6292" i="5"/>
  <c r="I6293" i="5"/>
  <c r="I6294" i="5"/>
  <c r="I6295" i="5"/>
  <c r="I6296" i="5"/>
  <c r="I6297" i="5"/>
  <c r="I6298" i="5"/>
  <c r="I6299" i="5"/>
  <c r="I6300" i="5"/>
  <c r="I6301" i="5"/>
  <c r="I6302" i="5"/>
  <c r="I6303" i="5"/>
  <c r="I6304" i="5"/>
  <c r="I6305" i="5"/>
  <c r="I6306" i="5"/>
  <c r="I6307" i="5"/>
  <c r="I6308" i="5"/>
  <c r="I6309" i="5"/>
  <c r="I6310" i="5"/>
  <c r="I6311" i="5"/>
  <c r="I6312" i="5"/>
  <c r="I6313" i="5"/>
  <c r="I6314" i="5"/>
  <c r="I6315" i="5"/>
  <c r="I6316" i="5"/>
  <c r="I6317" i="5"/>
  <c r="I6318" i="5"/>
  <c r="I6319" i="5"/>
  <c r="I6320" i="5"/>
  <c r="I6321" i="5"/>
  <c r="I6322" i="5"/>
  <c r="I6323" i="5"/>
  <c r="I6324" i="5"/>
  <c r="I6325" i="5"/>
  <c r="I6326" i="5"/>
  <c r="I6327" i="5"/>
  <c r="I6328" i="5"/>
  <c r="I6329" i="5"/>
  <c r="I6330" i="5"/>
  <c r="I6331" i="5"/>
  <c r="I6332" i="5"/>
  <c r="I6333" i="5"/>
  <c r="I6334" i="5"/>
  <c r="I6335" i="5"/>
  <c r="I6336" i="5"/>
  <c r="I6337" i="5"/>
  <c r="I6338" i="5"/>
  <c r="I6339" i="5"/>
  <c r="I6340" i="5"/>
  <c r="I6341" i="5"/>
  <c r="I6342" i="5"/>
  <c r="I6343" i="5"/>
  <c r="I6344" i="5"/>
  <c r="I6345" i="5"/>
  <c r="I6346" i="5"/>
  <c r="I6347" i="5"/>
  <c r="I6348" i="5"/>
  <c r="I6349" i="5"/>
  <c r="I6350" i="5"/>
  <c r="I6351" i="5"/>
  <c r="I6352" i="5"/>
  <c r="I6353" i="5"/>
  <c r="I6354" i="5"/>
  <c r="I6355" i="5"/>
  <c r="I6356" i="5"/>
  <c r="I6357" i="5"/>
  <c r="I6358" i="5"/>
  <c r="I6359" i="5"/>
  <c r="I6360" i="5"/>
  <c r="I6361" i="5"/>
  <c r="I6362" i="5"/>
  <c r="I6363" i="5"/>
  <c r="I6364" i="5"/>
  <c r="I6365" i="5"/>
  <c r="I6366" i="5"/>
  <c r="I6367" i="5"/>
  <c r="I6368" i="5"/>
  <c r="I6369" i="5"/>
  <c r="I6370" i="5"/>
  <c r="I6371" i="5"/>
  <c r="I6372" i="5"/>
  <c r="I6373" i="5"/>
  <c r="I6374" i="5"/>
  <c r="I6375" i="5"/>
  <c r="I6376" i="5"/>
  <c r="E17" i="1"/>
  <c r="G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3" i="7"/>
  <c r="G1304" i="7"/>
  <c r="G1305" i="7"/>
  <c r="G1306" i="7"/>
  <c r="G1307" i="7"/>
  <c r="G1308" i="7"/>
  <c r="G1309" i="7"/>
  <c r="G1310" i="7"/>
  <c r="G1311" i="7"/>
  <c r="G1312" i="7"/>
  <c r="G1313" i="7"/>
  <c r="G1314" i="7"/>
  <c r="G1315" i="7"/>
  <c r="G1316" i="7"/>
  <c r="G1317" i="7"/>
  <c r="G1318" i="7"/>
  <c r="G1319" i="7"/>
  <c r="G1320" i="7"/>
  <c r="G1321" i="7"/>
  <c r="G1322" i="7"/>
  <c r="G1323" i="7"/>
  <c r="G1324" i="7"/>
  <c r="G1325" i="7"/>
  <c r="G1326" i="7"/>
  <c r="G1327" i="7"/>
  <c r="G1328" i="7"/>
  <c r="G1329" i="7"/>
  <c r="G1330" i="7"/>
  <c r="G1331" i="7"/>
  <c r="G1332" i="7"/>
  <c r="G1333" i="7"/>
  <c r="G1334" i="7"/>
  <c r="G1335" i="7"/>
  <c r="G1336" i="7"/>
  <c r="G1337" i="7"/>
  <c r="G1338" i="7"/>
  <c r="G1339" i="7"/>
  <c r="G1340" i="7"/>
  <c r="G1341" i="7"/>
  <c r="G1342" i="7"/>
  <c r="G1343" i="7"/>
  <c r="G1344" i="7"/>
  <c r="G1345" i="7"/>
  <c r="G1346" i="7"/>
  <c r="G1347" i="7"/>
  <c r="G1348" i="7"/>
  <c r="G1349" i="7"/>
  <c r="G1350" i="7"/>
  <c r="G1351" i="7"/>
  <c r="G1352" i="7"/>
  <c r="G1353" i="7"/>
  <c r="G1354" i="7"/>
  <c r="G1355" i="7"/>
  <c r="G1356" i="7"/>
  <c r="G1357" i="7"/>
  <c r="G1358" i="7"/>
  <c r="G1359" i="7"/>
  <c r="G1360" i="7"/>
  <c r="G1361" i="7"/>
  <c r="G1362" i="7"/>
  <c r="G1363" i="7"/>
  <c r="G1364" i="7"/>
  <c r="G1365" i="7"/>
  <c r="G1366" i="7"/>
  <c r="G1367" i="7"/>
  <c r="G1368" i="7"/>
  <c r="G1369" i="7"/>
  <c r="G1370" i="7"/>
  <c r="G1371" i="7"/>
  <c r="G1372" i="7"/>
  <c r="G1373" i="7"/>
  <c r="G1374" i="7"/>
  <c r="G1375" i="7"/>
  <c r="G1376" i="7"/>
  <c r="G1377" i="7"/>
  <c r="G1378" i="7"/>
  <c r="G1379" i="7"/>
  <c r="G1380" i="7"/>
  <c r="G1381" i="7"/>
  <c r="G1382" i="7"/>
  <c r="G1383" i="7"/>
  <c r="G1384" i="7"/>
  <c r="G1385" i="7"/>
  <c r="G1386" i="7"/>
  <c r="G1387" i="7"/>
  <c r="G1388" i="7"/>
  <c r="G1389" i="7"/>
  <c r="G1390" i="7"/>
  <c r="G1391" i="7"/>
  <c r="G1392" i="7"/>
  <c r="G1393" i="7"/>
  <c r="G1394" i="7"/>
  <c r="G1395" i="7"/>
  <c r="G1396" i="7"/>
  <c r="G1397" i="7"/>
  <c r="G1398" i="7"/>
  <c r="G1399" i="7"/>
  <c r="G1400" i="7"/>
  <c r="G1401" i="7"/>
  <c r="G1402" i="7"/>
  <c r="G1403" i="7"/>
  <c r="G1404" i="7"/>
  <c r="G1405" i="7"/>
  <c r="G1406" i="7"/>
  <c r="G1407" i="7"/>
  <c r="G1408" i="7"/>
  <c r="G1409" i="7"/>
  <c r="G1410" i="7"/>
  <c r="G1411" i="7"/>
  <c r="G1412" i="7"/>
  <c r="G1413" i="7"/>
  <c r="G1414" i="7"/>
  <c r="G1415" i="7"/>
  <c r="G1416" i="7"/>
  <c r="G1417" i="7"/>
  <c r="G1418" i="7"/>
  <c r="G1419" i="7"/>
  <c r="G1420" i="7"/>
  <c r="G1421" i="7"/>
  <c r="G1422" i="7"/>
  <c r="G1423" i="7"/>
  <c r="G1424" i="7"/>
  <c r="G1425" i="7"/>
  <c r="G1426" i="7"/>
  <c r="G1427" i="7"/>
  <c r="G1428" i="7"/>
  <c r="G1429" i="7"/>
  <c r="G1430" i="7"/>
  <c r="G1431" i="7"/>
  <c r="G1432" i="7"/>
  <c r="G1433" i="7"/>
  <c r="G1434" i="7"/>
  <c r="G1435" i="7"/>
  <c r="G1436" i="7"/>
  <c r="G1437" i="7"/>
  <c r="G1438" i="7"/>
  <c r="G1439" i="7"/>
  <c r="G1440" i="7"/>
  <c r="G1441" i="7"/>
  <c r="G1442" i="7"/>
  <c r="G1443" i="7"/>
  <c r="G1444" i="7"/>
  <c r="G1445" i="7"/>
  <c r="G1446" i="7"/>
  <c r="G1447" i="7"/>
  <c r="G1448" i="7"/>
  <c r="G1449" i="7"/>
  <c r="G1450" i="7"/>
  <c r="G1451" i="7"/>
  <c r="G1452" i="7"/>
  <c r="G1453" i="7"/>
  <c r="G1454" i="7"/>
  <c r="G1455" i="7"/>
  <c r="G1456" i="7"/>
  <c r="G1457" i="7"/>
  <c r="G1458" i="7"/>
  <c r="G1459" i="7"/>
  <c r="G1460" i="7"/>
  <c r="G1461" i="7"/>
  <c r="G1462" i="7"/>
  <c r="G1463" i="7"/>
  <c r="G1464" i="7"/>
  <c r="G1465" i="7"/>
  <c r="G1466" i="7"/>
  <c r="G1467" i="7"/>
  <c r="G1468" i="7"/>
  <c r="G1469" i="7"/>
  <c r="G1470" i="7"/>
  <c r="G1471" i="7"/>
  <c r="G1472" i="7"/>
  <c r="G1473" i="7"/>
  <c r="G1474" i="7"/>
  <c r="G1475" i="7"/>
  <c r="G1476" i="7"/>
  <c r="G1477" i="7"/>
  <c r="G1478" i="7"/>
  <c r="G1479" i="7"/>
  <c r="G1480" i="7"/>
  <c r="G1481" i="7"/>
  <c r="G1482" i="7"/>
  <c r="G1483" i="7"/>
  <c r="G1484" i="7"/>
  <c r="G1485" i="7"/>
  <c r="G1486" i="7"/>
  <c r="G1487" i="7"/>
  <c r="G1488" i="7"/>
  <c r="G1489" i="7"/>
  <c r="G1490" i="7"/>
  <c r="G1491" i="7"/>
  <c r="G1492" i="7"/>
  <c r="G1493" i="7"/>
  <c r="G1494" i="7"/>
  <c r="G1495" i="7"/>
  <c r="G1496" i="7"/>
  <c r="G1497" i="7"/>
  <c r="G1498" i="7"/>
  <c r="G1499" i="7"/>
  <c r="G1500" i="7"/>
  <c r="G1501" i="7"/>
  <c r="G1502" i="7"/>
  <c r="G1503" i="7"/>
  <c r="G1504" i="7"/>
  <c r="G1505" i="7"/>
  <c r="G1506" i="7"/>
  <c r="G1507" i="7"/>
  <c r="G1508" i="7"/>
  <c r="G1509" i="7"/>
  <c r="G1510" i="7"/>
  <c r="G1511" i="7"/>
  <c r="G1512" i="7"/>
  <c r="G1513" i="7"/>
  <c r="G1514" i="7"/>
  <c r="G1515" i="7"/>
  <c r="G1516" i="7"/>
  <c r="G1517" i="7"/>
  <c r="G1518" i="7"/>
  <c r="G1519" i="7"/>
  <c r="G1520" i="7"/>
  <c r="G1521" i="7"/>
  <c r="G1522" i="7"/>
  <c r="G1523" i="7"/>
  <c r="G1524" i="7"/>
  <c r="G1525" i="7"/>
  <c r="G1526" i="7"/>
  <c r="G1527" i="7"/>
  <c r="G1528" i="7"/>
  <c r="G1529" i="7"/>
  <c r="G1530" i="7"/>
  <c r="G1531" i="7"/>
  <c r="G1532" i="7"/>
  <c r="G1533" i="7"/>
  <c r="G1534" i="7"/>
  <c r="G1535" i="7"/>
  <c r="G1536" i="7"/>
  <c r="G1537" i="7"/>
  <c r="G1538" i="7"/>
  <c r="G1539" i="7"/>
  <c r="G1540" i="7"/>
  <c r="G1541" i="7"/>
  <c r="G1542" i="7"/>
  <c r="G1543" i="7"/>
  <c r="G1544" i="7"/>
  <c r="G1545" i="7"/>
  <c r="G1546" i="7"/>
  <c r="G1547" i="7"/>
  <c r="G1548" i="7"/>
  <c r="G1549" i="7"/>
  <c r="G1550" i="7"/>
  <c r="G1551" i="7"/>
  <c r="G1552" i="7"/>
  <c r="G1553" i="7"/>
  <c r="G1554" i="7"/>
  <c r="G1555" i="7"/>
  <c r="G1556" i="7"/>
  <c r="G1557" i="7"/>
  <c r="G1558" i="7"/>
  <c r="G1559" i="7"/>
  <c r="G1560" i="7"/>
  <c r="G1561" i="7"/>
  <c r="G1562" i="7"/>
  <c r="G1563" i="7"/>
  <c r="G1564" i="7"/>
  <c r="G1565" i="7"/>
  <c r="G1566" i="7"/>
  <c r="G1567" i="7"/>
  <c r="G1568" i="7"/>
  <c r="G1569" i="7"/>
  <c r="G1570" i="7"/>
  <c r="G1571" i="7"/>
  <c r="G1572" i="7"/>
  <c r="G1573" i="7"/>
  <c r="G1574" i="7"/>
  <c r="G1575" i="7"/>
  <c r="G1576" i="7"/>
  <c r="G1577" i="7"/>
  <c r="G1578" i="7"/>
  <c r="G1579" i="7"/>
  <c r="G1580" i="7"/>
  <c r="G1581" i="7"/>
  <c r="G1582" i="7"/>
  <c r="G1583" i="7"/>
  <c r="G1584" i="7"/>
  <c r="G1585" i="7"/>
  <c r="G1586" i="7"/>
  <c r="G1587" i="7"/>
  <c r="G1588" i="7"/>
  <c r="G1589" i="7"/>
  <c r="G1590" i="7"/>
  <c r="G1591" i="7"/>
  <c r="G1592" i="7"/>
  <c r="G1593" i="7"/>
  <c r="G1594" i="7"/>
  <c r="G1595" i="7"/>
  <c r="G1596" i="7"/>
  <c r="G1597" i="7"/>
  <c r="G1598" i="7"/>
  <c r="G1599" i="7"/>
  <c r="G1600" i="7"/>
  <c r="G1601" i="7"/>
  <c r="G1602" i="7"/>
  <c r="G1603" i="7"/>
  <c r="G1604" i="7"/>
  <c r="G1605" i="7"/>
  <c r="G1606" i="7"/>
  <c r="G1607" i="7"/>
  <c r="G1608" i="7"/>
  <c r="G1609" i="7"/>
  <c r="G1610" i="7"/>
  <c r="G1611" i="7"/>
  <c r="G1612" i="7"/>
  <c r="G1613" i="7"/>
  <c r="G1614" i="7"/>
  <c r="G1615" i="7"/>
  <c r="G1616" i="7"/>
  <c r="G1617" i="7"/>
  <c r="G1618" i="7"/>
  <c r="G1619" i="7"/>
  <c r="G1620" i="7"/>
  <c r="G1621" i="7"/>
  <c r="G1622" i="7"/>
  <c r="G1623" i="7"/>
  <c r="G1624" i="7"/>
  <c r="G1625" i="7"/>
  <c r="G1626" i="7"/>
  <c r="G1627" i="7"/>
  <c r="G1628" i="7"/>
  <c r="G1629" i="7"/>
  <c r="G1630" i="7"/>
  <c r="G1631" i="7"/>
  <c r="G1632" i="7"/>
  <c r="G1633" i="7"/>
  <c r="G1634" i="7"/>
  <c r="G1635" i="7"/>
  <c r="G1636" i="7"/>
  <c r="G1637" i="7"/>
  <c r="G1638" i="7"/>
  <c r="G1639" i="7"/>
  <c r="G1640" i="7"/>
  <c r="G1641" i="7"/>
  <c r="G1642" i="7"/>
  <c r="G1643" i="7"/>
  <c r="G1644" i="7"/>
  <c r="G1645" i="7"/>
  <c r="G1646" i="7"/>
  <c r="G1647" i="7"/>
  <c r="G1648" i="7"/>
  <c r="G1649" i="7"/>
  <c r="G1650" i="7"/>
  <c r="G1651" i="7"/>
  <c r="G1652" i="7"/>
  <c r="G1653" i="7"/>
  <c r="G1654" i="7"/>
  <c r="G1655" i="7"/>
  <c r="G1656" i="7"/>
  <c r="G1657" i="7"/>
  <c r="G1658" i="7"/>
  <c r="G1659" i="7"/>
  <c r="G1660" i="7"/>
  <c r="G1661" i="7"/>
  <c r="G1662" i="7"/>
  <c r="G1663" i="7"/>
  <c r="G1664" i="7"/>
  <c r="G1665" i="7"/>
  <c r="G1666" i="7"/>
  <c r="G1667" i="7"/>
  <c r="G1668" i="7"/>
  <c r="G1669" i="7"/>
  <c r="G1670" i="7"/>
  <c r="G1671" i="7"/>
  <c r="G1672" i="7"/>
  <c r="G1673" i="7"/>
  <c r="G1674" i="7"/>
  <c r="G1675" i="7"/>
  <c r="G1676" i="7"/>
  <c r="G1677" i="7"/>
  <c r="G1678" i="7"/>
  <c r="G1679" i="7"/>
  <c r="G1680" i="7"/>
  <c r="G1681" i="7"/>
  <c r="G1682" i="7"/>
  <c r="G1683" i="7"/>
  <c r="G1684" i="7"/>
  <c r="G1685" i="7"/>
  <c r="G1686" i="7"/>
  <c r="G1687" i="7"/>
  <c r="G1688" i="7"/>
  <c r="G1689" i="7"/>
  <c r="G1690" i="7"/>
  <c r="G1691" i="7"/>
  <c r="G1692" i="7"/>
  <c r="G1693" i="7"/>
  <c r="G1694" i="7"/>
  <c r="G1695" i="7"/>
  <c r="G1696" i="7"/>
  <c r="G1697" i="7"/>
  <c r="G1698" i="7"/>
  <c r="G1699" i="7"/>
  <c r="G1700" i="7"/>
  <c r="G1701" i="7"/>
  <c r="G1702" i="7"/>
  <c r="G1703" i="7"/>
  <c r="G1704" i="7"/>
  <c r="G1705" i="7"/>
  <c r="G1706" i="7"/>
  <c r="G1707" i="7"/>
  <c r="G1708" i="7"/>
  <c r="G1709" i="7"/>
  <c r="G1710" i="7"/>
  <c r="G1711" i="7"/>
  <c r="G1712" i="7"/>
  <c r="G1713" i="7"/>
  <c r="G1714" i="7"/>
  <c r="G1715" i="7"/>
  <c r="G1716" i="7"/>
  <c r="G1717" i="7"/>
  <c r="G1718" i="7"/>
  <c r="G1719" i="7"/>
  <c r="G1720" i="7"/>
  <c r="G1721" i="7"/>
  <c r="G1722" i="7"/>
  <c r="G1723" i="7"/>
  <c r="G1724" i="7"/>
  <c r="G1725" i="7"/>
  <c r="G1726" i="7"/>
  <c r="G1727" i="7"/>
  <c r="G1728" i="7"/>
  <c r="G1729" i="7"/>
  <c r="G1730" i="7"/>
  <c r="G1731" i="7"/>
  <c r="G1732" i="7"/>
  <c r="G1733" i="7"/>
  <c r="G1734" i="7"/>
  <c r="G1735" i="7"/>
  <c r="G1736" i="7"/>
  <c r="G1737" i="7"/>
  <c r="G1738" i="7"/>
  <c r="G1739" i="7"/>
  <c r="G1740" i="7"/>
  <c r="G1741" i="7"/>
  <c r="G1742" i="7"/>
  <c r="G1743" i="7"/>
  <c r="G1744" i="7"/>
  <c r="G1745" i="7"/>
  <c r="G1746" i="7"/>
  <c r="G1747" i="7"/>
  <c r="G1748" i="7"/>
  <c r="G1749" i="7"/>
  <c r="G1750" i="7"/>
  <c r="G1751" i="7"/>
  <c r="G1752" i="7"/>
  <c r="G1753" i="7"/>
  <c r="G1754" i="7"/>
  <c r="G1755" i="7"/>
  <c r="G1756" i="7"/>
  <c r="G1757" i="7"/>
  <c r="G1758" i="7"/>
  <c r="G1759" i="7"/>
  <c r="G1760" i="7"/>
  <c r="G1761" i="7"/>
  <c r="G1762" i="7"/>
  <c r="G1763" i="7"/>
  <c r="G1764" i="7"/>
  <c r="G1765" i="7"/>
  <c r="G1766" i="7"/>
  <c r="G1767" i="7"/>
  <c r="G1768" i="7"/>
  <c r="G1769" i="7"/>
  <c r="G1770" i="7"/>
  <c r="G1771" i="7"/>
  <c r="G1772" i="7"/>
  <c r="G1773" i="7"/>
  <c r="G1774" i="7"/>
  <c r="G1775" i="7"/>
  <c r="G1776" i="7"/>
  <c r="G1777" i="7"/>
  <c r="G1778" i="7"/>
  <c r="G1779" i="7"/>
  <c r="G1780" i="7"/>
  <c r="G1781" i="7"/>
  <c r="G1782" i="7"/>
  <c r="G1783" i="7"/>
  <c r="G1784" i="7"/>
  <c r="G1785" i="7"/>
  <c r="G1786" i="7"/>
  <c r="G1787" i="7"/>
  <c r="G1788" i="7"/>
  <c r="G1789" i="7"/>
  <c r="G1790" i="7"/>
  <c r="G1791" i="7"/>
  <c r="G1792" i="7"/>
  <c r="G1793" i="7"/>
  <c r="G1794" i="7"/>
  <c r="G1795" i="7"/>
  <c r="G1796" i="7"/>
  <c r="G1797" i="7"/>
  <c r="G1798" i="7"/>
  <c r="G1799" i="7"/>
  <c r="G1800" i="7"/>
  <c r="G1801" i="7"/>
  <c r="G1802" i="7"/>
  <c r="G1803" i="7"/>
  <c r="G1804" i="7"/>
  <c r="G1805" i="7"/>
  <c r="G1806" i="7"/>
  <c r="G1807" i="7"/>
  <c r="G1808" i="7"/>
  <c r="G1809" i="7"/>
  <c r="G1810" i="7"/>
  <c r="G1811" i="7"/>
  <c r="G1812" i="7"/>
  <c r="G1813" i="7"/>
  <c r="G1814" i="7"/>
  <c r="G1815" i="7"/>
  <c r="G1816" i="7"/>
  <c r="G1817" i="7"/>
  <c r="G1818" i="7"/>
  <c r="G1819" i="7"/>
  <c r="G1820" i="7"/>
  <c r="G1821" i="7"/>
  <c r="G1822" i="7"/>
  <c r="G1823" i="7"/>
  <c r="G1824" i="7"/>
  <c r="G1825" i="7"/>
  <c r="G1826" i="7"/>
  <c r="G1827" i="7"/>
  <c r="G1828" i="7"/>
  <c r="G1829" i="7"/>
  <c r="G1830" i="7"/>
  <c r="G1831" i="7"/>
  <c r="G1832" i="7"/>
  <c r="G1833" i="7"/>
  <c r="G1834" i="7"/>
  <c r="G1835" i="7"/>
  <c r="G1836" i="7"/>
  <c r="G1837" i="7"/>
  <c r="G1838" i="7"/>
  <c r="G1839" i="7"/>
  <c r="G1840" i="7"/>
  <c r="G1841" i="7"/>
  <c r="G1842" i="7"/>
  <c r="G1843" i="7"/>
  <c r="G1844" i="7"/>
  <c r="G1845" i="7"/>
  <c r="G1846" i="7"/>
  <c r="G1847" i="7"/>
  <c r="G1848" i="7"/>
  <c r="G1849" i="7"/>
  <c r="G1850" i="7"/>
  <c r="G1851" i="7"/>
  <c r="G1852" i="7"/>
  <c r="G1853" i="7"/>
  <c r="G1854" i="7"/>
  <c r="G1855" i="7"/>
  <c r="G1856" i="7"/>
  <c r="G1857" i="7"/>
  <c r="G1858" i="7"/>
  <c r="G1859" i="7"/>
  <c r="G1860" i="7"/>
  <c r="G1861" i="7"/>
  <c r="G1862" i="7"/>
  <c r="G1863" i="7"/>
  <c r="G1864" i="7"/>
  <c r="G1865" i="7"/>
  <c r="G1866" i="7"/>
  <c r="G1867" i="7"/>
  <c r="G1868" i="7"/>
  <c r="G1869" i="7"/>
  <c r="G1870" i="7"/>
  <c r="G1871" i="7"/>
  <c r="G1872" i="7"/>
  <c r="G1873" i="7"/>
  <c r="G1874" i="7"/>
  <c r="G1875" i="7"/>
  <c r="G1876" i="7"/>
  <c r="G1877" i="7"/>
  <c r="G1878" i="7"/>
  <c r="G1879" i="7"/>
  <c r="G1880" i="7"/>
  <c r="G1881" i="7"/>
  <c r="G1882" i="7"/>
  <c r="G1883" i="7"/>
  <c r="G1884" i="7"/>
  <c r="G1885" i="7"/>
  <c r="G1886" i="7"/>
  <c r="G1887" i="7"/>
  <c r="G1888" i="7"/>
  <c r="G1889" i="7"/>
  <c r="G1890" i="7"/>
  <c r="G1891" i="7"/>
  <c r="G1892" i="7"/>
  <c r="G1893" i="7"/>
  <c r="G1894" i="7"/>
  <c r="G1895" i="7"/>
  <c r="G1896" i="7"/>
  <c r="G1897" i="7"/>
  <c r="G1898" i="7"/>
  <c r="G1899" i="7"/>
  <c r="G1900" i="7"/>
  <c r="G1901" i="7"/>
  <c r="G1902" i="7"/>
  <c r="G1903" i="7"/>
  <c r="G1904" i="7"/>
  <c r="G1905" i="7"/>
  <c r="G1906" i="7"/>
  <c r="G1907" i="7"/>
  <c r="G1908" i="7"/>
  <c r="G1909" i="7"/>
  <c r="G1910" i="7"/>
  <c r="G1911" i="7"/>
  <c r="G1912" i="7"/>
  <c r="G1913" i="7"/>
  <c r="G1914" i="7"/>
  <c r="G1915" i="7"/>
  <c r="G1916" i="7"/>
  <c r="G1917" i="7"/>
  <c r="G1918" i="7"/>
  <c r="G1919" i="7"/>
  <c r="G1920" i="7"/>
  <c r="G1921" i="7"/>
  <c r="G1922" i="7"/>
  <c r="G1923" i="7"/>
  <c r="G1924" i="7"/>
  <c r="G1925" i="7"/>
  <c r="G1926" i="7"/>
  <c r="G1927" i="7"/>
  <c r="G1928" i="7"/>
  <c r="G1929" i="7"/>
  <c r="G1930" i="7"/>
  <c r="G1931" i="7"/>
  <c r="G1932" i="7"/>
  <c r="G1933" i="7"/>
  <c r="G1934" i="7"/>
  <c r="G1935" i="7"/>
  <c r="G1936" i="7"/>
  <c r="G1937" i="7"/>
  <c r="G1938" i="7"/>
  <c r="G1939" i="7"/>
  <c r="G1940" i="7"/>
  <c r="G1941" i="7"/>
  <c r="G1942" i="7"/>
  <c r="G1943" i="7"/>
  <c r="G1944" i="7"/>
  <c r="G1945" i="7"/>
  <c r="G1946" i="7"/>
  <c r="G1947" i="7"/>
  <c r="G1948" i="7"/>
  <c r="G1949" i="7"/>
  <c r="G1950" i="7"/>
  <c r="G1951" i="7"/>
  <c r="G1952" i="7"/>
  <c r="G1953" i="7"/>
  <c r="G1954" i="7"/>
  <c r="G1955" i="7"/>
  <c r="G1956" i="7"/>
  <c r="G1957" i="7"/>
  <c r="G1958" i="7"/>
  <c r="G1959" i="7"/>
  <c r="G1960" i="7"/>
  <c r="G1961" i="7"/>
  <c r="G1962" i="7"/>
  <c r="G1963" i="7"/>
  <c r="G1964" i="7"/>
  <c r="G1965" i="7"/>
  <c r="G1966" i="7"/>
  <c r="G1967" i="7"/>
  <c r="G1968" i="7"/>
  <c r="G1969" i="7"/>
  <c r="G1970" i="7"/>
  <c r="G1971" i="7"/>
  <c r="G1972" i="7"/>
  <c r="G1973" i="7"/>
  <c r="G1974" i="7"/>
  <c r="G1975" i="7"/>
  <c r="G1976" i="7"/>
  <c r="G1977" i="7"/>
  <c r="G1978" i="7"/>
  <c r="G1979" i="7"/>
  <c r="G1980" i="7"/>
  <c r="G1981" i="7"/>
  <c r="G1982" i="7"/>
  <c r="G1983" i="7"/>
  <c r="G1984" i="7"/>
  <c r="G1985" i="7"/>
  <c r="G1986" i="7"/>
  <c r="G1987" i="7"/>
  <c r="G1988" i="7"/>
  <c r="G1989" i="7"/>
  <c r="G1990" i="7"/>
  <c r="G1991" i="7"/>
  <c r="G1992" i="7"/>
  <c r="G1993" i="7"/>
  <c r="G1994" i="7"/>
  <c r="G1995" i="7"/>
  <c r="G1996" i="7"/>
  <c r="G1997" i="7"/>
  <c r="G1998" i="7"/>
  <c r="G1999" i="7"/>
  <c r="G2000" i="7"/>
  <c r="G2001" i="7"/>
  <c r="G2002" i="7"/>
  <c r="G2003" i="7"/>
  <c r="G2004" i="7"/>
  <c r="G2005" i="7"/>
  <c r="G2006" i="7"/>
  <c r="G2007" i="7"/>
  <c r="G2008" i="7"/>
  <c r="G2009" i="7"/>
  <c r="G2010" i="7"/>
  <c r="G2011" i="7"/>
  <c r="G2012" i="7"/>
  <c r="G2013" i="7"/>
  <c r="G2014" i="7"/>
  <c r="G2015" i="7"/>
  <c r="G2016" i="7"/>
  <c r="G2017" i="7"/>
  <c r="G2018" i="7"/>
  <c r="G2019" i="7"/>
  <c r="G2020" i="7"/>
  <c r="G2021" i="7"/>
  <c r="G2022" i="7"/>
  <c r="G2023" i="7"/>
  <c r="G2024" i="7"/>
  <c r="G2025" i="7"/>
  <c r="G2026" i="7"/>
  <c r="G2027" i="7"/>
  <c r="G2028" i="7"/>
  <c r="G2029" i="7"/>
  <c r="G2030" i="7"/>
  <c r="G2031" i="7"/>
  <c r="G2032" i="7"/>
  <c r="G2033" i="7"/>
  <c r="G2034" i="7"/>
  <c r="G2035" i="7"/>
  <c r="G2036" i="7"/>
  <c r="G2037" i="7"/>
  <c r="G2038" i="7"/>
  <c r="G2039" i="7"/>
  <c r="G2040" i="7"/>
  <c r="G2041" i="7"/>
  <c r="G2042" i="7"/>
  <c r="G2043" i="7"/>
  <c r="G2044" i="7"/>
  <c r="G2045" i="7"/>
  <c r="G2046" i="7"/>
  <c r="G2047" i="7"/>
  <c r="G2048" i="7"/>
  <c r="G2049" i="7"/>
  <c r="G2050" i="7"/>
  <c r="G2051" i="7"/>
  <c r="G2052" i="7"/>
  <c r="G2053" i="7"/>
  <c r="G2054" i="7"/>
  <c r="G2055" i="7"/>
  <c r="G2056" i="7"/>
  <c r="G2057" i="7"/>
  <c r="G2058" i="7"/>
  <c r="G2059" i="7"/>
  <c r="G2060" i="7"/>
  <c r="G2061" i="7"/>
  <c r="G2062" i="7"/>
  <c r="G2063" i="7"/>
  <c r="G2064" i="7"/>
  <c r="G2065" i="7"/>
  <c r="G2066" i="7"/>
  <c r="G2067" i="7"/>
  <c r="G2068" i="7"/>
  <c r="G2069" i="7"/>
  <c r="G2070" i="7"/>
  <c r="G2071" i="7"/>
  <c r="G2072" i="7"/>
  <c r="G2073" i="7"/>
  <c r="G2074" i="7"/>
  <c r="G2075" i="7"/>
  <c r="G2076" i="7"/>
  <c r="G2077" i="7"/>
  <c r="G2078" i="7"/>
  <c r="G2079" i="7"/>
  <c r="G2080" i="7"/>
  <c r="G2081" i="7"/>
  <c r="G2082" i="7"/>
  <c r="G2083" i="7"/>
  <c r="G2084" i="7"/>
  <c r="G2085" i="7"/>
  <c r="G2086" i="7"/>
  <c r="G2087" i="7"/>
  <c r="G2088" i="7"/>
  <c r="G2089" i="7"/>
  <c r="G2090" i="7"/>
  <c r="G2091" i="7"/>
  <c r="G2092" i="7"/>
  <c r="G2093" i="7"/>
  <c r="G2094" i="7"/>
  <c r="G2095" i="7"/>
  <c r="G2096" i="7"/>
  <c r="G2097" i="7"/>
  <c r="G2098" i="7"/>
  <c r="G2099" i="7"/>
  <c r="G2100" i="7"/>
  <c r="G2101" i="7"/>
  <c r="G2102" i="7"/>
  <c r="G2103" i="7"/>
  <c r="G2104" i="7"/>
  <c r="G2105" i="7"/>
  <c r="G2106" i="7"/>
  <c r="G2107" i="7"/>
  <c r="G2108" i="7"/>
  <c r="G2109" i="7"/>
  <c r="G2110" i="7"/>
  <c r="G2111" i="7"/>
  <c r="G2112" i="7"/>
  <c r="G2113" i="7"/>
  <c r="G2114" i="7"/>
  <c r="G2115" i="7"/>
  <c r="G2116" i="7"/>
  <c r="G2117" i="7"/>
  <c r="G2118" i="7"/>
  <c r="G2119" i="7"/>
  <c r="G2120" i="7"/>
  <c r="G2121" i="7"/>
  <c r="G2122" i="7"/>
  <c r="G2123" i="7"/>
  <c r="G2124" i="7"/>
  <c r="G2125" i="7"/>
  <c r="G2126" i="7"/>
  <c r="G2127" i="7"/>
  <c r="G2128" i="7"/>
  <c r="G2129" i="7"/>
  <c r="G2130" i="7"/>
  <c r="G2131" i="7"/>
  <c r="G2132" i="7"/>
  <c r="G2133" i="7"/>
  <c r="G2134" i="7"/>
  <c r="G2135" i="7"/>
  <c r="G2136" i="7"/>
  <c r="G2137" i="7"/>
  <c r="G2138" i="7"/>
  <c r="G2139" i="7"/>
  <c r="G2140" i="7"/>
  <c r="G2141" i="7"/>
  <c r="G2142" i="7"/>
  <c r="G2143" i="7"/>
  <c r="G2144" i="7"/>
  <c r="G2145" i="7"/>
  <c r="G2146" i="7"/>
  <c r="G2147" i="7"/>
  <c r="G2148" i="7"/>
  <c r="G2149" i="7"/>
  <c r="G2150" i="7"/>
  <c r="G2151" i="7"/>
  <c r="G2152" i="7"/>
  <c r="G2153" i="7"/>
  <c r="G2154" i="7"/>
  <c r="G2155" i="7"/>
  <c r="G2156" i="7"/>
  <c r="G2157" i="7"/>
  <c r="G2158" i="7"/>
  <c r="G2159" i="7"/>
  <c r="G2160" i="7"/>
  <c r="G2161" i="7"/>
  <c r="G2162" i="7"/>
  <c r="G2163" i="7"/>
  <c r="G2164" i="7"/>
  <c r="G2165" i="7"/>
  <c r="G2166" i="7"/>
  <c r="G2167" i="7"/>
  <c r="G2168" i="7"/>
  <c r="G2169" i="7"/>
  <c r="G2170" i="7"/>
  <c r="G2171" i="7"/>
  <c r="G2172" i="7"/>
  <c r="G2173" i="7"/>
  <c r="G2174" i="7"/>
  <c r="G2175" i="7"/>
  <c r="G2176" i="7"/>
  <c r="G2177" i="7"/>
  <c r="G2178" i="7"/>
  <c r="G2179" i="7"/>
  <c r="G2180" i="7"/>
  <c r="G2181" i="7"/>
  <c r="G2182" i="7"/>
  <c r="G2183" i="7"/>
  <c r="G2184" i="7"/>
  <c r="G2185" i="7"/>
  <c r="G2186" i="7"/>
  <c r="G2187" i="7"/>
  <c r="G2188" i="7"/>
  <c r="G2189" i="7"/>
  <c r="G2190" i="7"/>
  <c r="G2191" i="7"/>
  <c r="G2192" i="7"/>
  <c r="G2193" i="7"/>
  <c r="G2194" i="7"/>
  <c r="G2195" i="7"/>
  <c r="G2196" i="7"/>
  <c r="G2197" i="7"/>
  <c r="G2198" i="7"/>
  <c r="G2199" i="7"/>
  <c r="G2200" i="7"/>
  <c r="G2201" i="7"/>
  <c r="G2202" i="7"/>
  <c r="G2203" i="7"/>
  <c r="G2204" i="7"/>
  <c r="G2205" i="7"/>
  <c r="G2206" i="7"/>
  <c r="G2207" i="7"/>
  <c r="G2208" i="7"/>
  <c r="G2209" i="7"/>
  <c r="G2210" i="7"/>
  <c r="G2211" i="7"/>
  <c r="G2212" i="7"/>
  <c r="G2213" i="7"/>
  <c r="G2214" i="7"/>
  <c r="G2215" i="7"/>
  <c r="G2216" i="7"/>
  <c r="G2217" i="7"/>
  <c r="G2218" i="7"/>
  <c r="G2219" i="7"/>
  <c r="G2220" i="7"/>
  <c r="G2221" i="7"/>
  <c r="G2222" i="7"/>
  <c r="G2223" i="7"/>
  <c r="G2224" i="7"/>
  <c r="G2225" i="7"/>
  <c r="G2226" i="7"/>
  <c r="G2227" i="7"/>
  <c r="G2228" i="7"/>
  <c r="G2229" i="7"/>
  <c r="G2230" i="7"/>
  <c r="G2231" i="7"/>
  <c r="G2232" i="7"/>
  <c r="G2233" i="7"/>
  <c r="G2234" i="7"/>
  <c r="G2235" i="7"/>
  <c r="G2236" i="7"/>
  <c r="G2237" i="7"/>
  <c r="G2238" i="7"/>
  <c r="G2239" i="7"/>
  <c r="G2240" i="7"/>
  <c r="G2241" i="7"/>
  <c r="G2242" i="7"/>
  <c r="G2243" i="7"/>
  <c r="G2244" i="7"/>
  <c r="G2245" i="7"/>
  <c r="G2246" i="7"/>
  <c r="G2247" i="7"/>
  <c r="G2248" i="7"/>
  <c r="G2249" i="7"/>
  <c r="G2250" i="7"/>
  <c r="G2251" i="7"/>
  <c r="G2252" i="7"/>
  <c r="G2253" i="7"/>
  <c r="G2254" i="7"/>
  <c r="G2255" i="7"/>
  <c r="G2256" i="7"/>
  <c r="G2257" i="7"/>
  <c r="G2258" i="7"/>
  <c r="G2259" i="7"/>
  <c r="G2260" i="7"/>
  <c r="G2261" i="7"/>
  <c r="G2262" i="7"/>
  <c r="G2263" i="7"/>
  <c r="G2264" i="7"/>
  <c r="G2265" i="7"/>
  <c r="G2266" i="7"/>
  <c r="G2267" i="7"/>
  <c r="G2268" i="7"/>
  <c r="G2269" i="7"/>
  <c r="G2270" i="7"/>
  <c r="G2271" i="7"/>
  <c r="G2272" i="7"/>
  <c r="G2273" i="7"/>
  <c r="G2274" i="7"/>
  <c r="G2275" i="7"/>
  <c r="G2276" i="7"/>
  <c r="G2277" i="7"/>
  <c r="G2278" i="7"/>
  <c r="G2279" i="7"/>
  <c r="G2280" i="7"/>
  <c r="G2281" i="7"/>
  <c r="G2282" i="7"/>
  <c r="G2283" i="7"/>
  <c r="G2284" i="7"/>
  <c r="G2285" i="7"/>
  <c r="G2286" i="7"/>
  <c r="G2287" i="7"/>
  <c r="G2288" i="7"/>
  <c r="G2289" i="7"/>
  <c r="G2290" i="7"/>
  <c r="G2291" i="7"/>
  <c r="G2292" i="7"/>
  <c r="G2293" i="7"/>
  <c r="G2294" i="7"/>
  <c r="G2295" i="7"/>
  <c r="G2296" i="7"/>
  <c r="G2297" i="7"/>
  <c r="G2298" i="7"/>
  <c r="G2299" i="7"/>
  <c r="G2300" i="7"/>
  <c r="G2301" i="7"/>
  <c r="G2302" i="7"/>
  <c r="G2303" i="7"/>
  <c r="G2304" i="7"/>
  <c r="G2305" i="7"/>
  <c r="G2306" i="7"/>
  <c r="G2307" i="7"/>
  <c r="G2308" i="7"/>
  <c r="G2309" i="7"/>
  <c r="G2310" i="7"/>
  <c r="G2311" i="7"/>
  <c r="G2312" i="7"/>
  <c r="G2313" i="7"/>
  <c r="G2314" i="7"/>
  <c r="G2315" i="7"/>
  <c r="G2316" i="7"/>
  <c r="G2317" i="7"/>
  <c r="G2318" i="7"/>
  <c r="G2319" i="7"/>
  <c r="G2320" i="7"/>
  <c r="G2321" i="7"/>
  <c r="G2322" i="7"/>
  <c r="G2323" i="7"/>
  <c r="G2324" i="7"/>
  <c r="G2325" i="7"/>
  <c r="G2326" i="7"/>
  <c r="G2327" i="7"/>
  <c r="G2328" i="7"/>
  <c r="G2329" i="7"/>
  <c r="G2330" i="7"/>
  <c r="G2331" i="7"/>
  <c r="G2332" i="7"/>
  <c r="G2333" i="7"/>
  <c r="G2334" i="7"/>
  <c r="G2335" i="7"/>
  <c r="G2336" i="7"/>
  <c r="G2337" i="7"/>
  <c r="G2338" i="7"/>
  <c r="G2339" i="7"/>
  <c r="G2340" i="7"/>
  <c r="G2341" i="7"/>
  <c r="G2342" i="7"/>
  <c r="G2343" i="7"/>
  <c r="G2344" i="7"/>
  <c r="G2345" i="7"/>
  <c r="G2346" i="7"/>
  <c r="G2347" i="7"/>
  <c r="G2348" i="7"/>
  <c r="G2349" i="7"/>
  <c r="G2350" i="7"/>
  <c r="G2351" i="7"/>
  <c r="G2352" i="7"/>
  <c r="G2353" i="7"/>
  <c r="G2354" i="7"/>
  <c r="G2355" i="7"/>
  <c r="G2356" i="7"/>
  <c r="G2357" i="7"/>
  <c r="G2358" i="7"/>
  <c r="G2359" i="7"/>
  <c r="G2360" i="7"/>
  <c r="G2361" i="7"/>
  <c r="G2362" i="7"/>
  <c r="G2363" i="7"/>
  <c r="G2364" i="7"/>
  <c r="G2365" i="7"/>
  <c r="G2366" i="7"/>
  <c r="G2367" i="7"/>
  <c r="G2368" i="7"/>
  <c r="G2369" i="7"/>
  <c r="G2370" i="7"/>
  <c r="G2371" i="7"/>
  <c r="G2372" i="7"/>
  <c r="G2373" i="7"/>
  <c r="G2374" i="7"/>
  <c r="G2375" i="7"/>
  <c r="G2376" i="7"/>
  <c r="G2377" i="7"/>
  <c r="G2378" i="7"/>
  <c r="G2379" i="7"/>
  <c r="G2380" i="7"/>
  <c r="G2381" i="7"/>
  <c r="G2382" i="7"/>
  <c r="G2383" i="7"/>
  <c r="G2384" i="7"/>
  <c r="G2385" i="7"/>
  <c r="G2386" i="7"/>
  <c r="G2387" i="7"/>
  <c r="G2388" i="7"/>
  <c r="G2389" i="7"/>
  <c r="G2390" i="7"/>
  <c r="G2391" i="7"/>
  <c r="G2392" i="7"/>
  <c r="G2393" i="7"/>
  <c r="G2394" i="7"/>
  <c r="G2395" i="7"/>
  <c r="G2396" i="7"/>
  <c r="G2397" i="7"/>
  <c r="G2398" i="7"/>
  <c r="G2399" i="7"/>
  <c r="G2400" i="7"/>
  <c r="G2401" i="7"/>
  <c r="G2402" i="7"/>
  <c r="G2403" i="7"/>
  <c r="G2404" i="7"/>
  <c r="G2405" i="7"/>
  <c r="G2406" i="7"/>
  <c r="G2407" i="7"/>
  <c r="G2408" i="7"/>
  <c r="G2409" i="7"/>
  <c r="G2410" i="7"/>
  <c r="G2411" i="7"/>
  <c r="G2412" i="7"/>
  <c r="G2413" i="7"/>
  <c r="G2414" i="7"/>
  <c r="G2415" i="7"/>
  <c r="G2416" i="7"/>
  <c r="G2417" i="7"/>
  <c r="G2418" i="7"/>
  <c r="G2419" i="7"/>
  <c r="G2420" i="7"/>
  <c r="G2421" i="7"/>
  <c r="G2422" i="7"/>
  <c r="G2423" i="7"/>
  <c r="G2424" i="7"/>
  <c r="G2425" i="7"/>
  <c r="G2426" i="7"/>
  <c r="G2427" i="7"/>
  <c r="G2428" i="7"/>
  <c r="G2429" i="7"/>
  <c r="G2430" i="7"/>
  <c r="G2431" i="7"/>
  <c r="G2432" i="7"/>
  <c r="G2433" i="7"/>
  <c r="G2434" i="7"/>
  <c r="G2435" i="7"/>
  <c r="G2436" i="7"/>
  <c r="G2437" i="7"/>
  <c r="G2438" i="7"/>
  <c r="G2439" i="7"/>
  <c r="G2440" i="7"/>
  <c r="G2441" i="7"/>
  <c r="G2442" i="7"/>
  <c r="G2443" i="7"/>
  <c r="G2444" i="7"/>
  <c r="G2445" i="7"/>
  <c r="G2446" i="7"/>
  <c r="G2447" i="7"/>
  <c r="G2448" i="7"/>
  <c r="G2449" i="7"/>
  <c r="G2450" i="7"/>
  <c r="G2451" i="7"/>
  <c r="G2452" i="7"/>
  <c r="G2453" i="7"/>
  <c r="G2454" i="7"/>
  <c r="G2455" i="7"/>
  <c r="G2456" i="7"/>
  <c r="G2457" i="7"/>
  <c r="G2458" i="7"/>
  <c r="G2459" i="7"/>
  <c r="G2460" i="7"/>
  <c r="G2461" i="7"/>
  <c r="G2462" i="7"/>
  <c r="G2463" i="7"/>
  <c r="G2464" i="7"/>
  <c r="G2465" i="7"/>
  <c r="G2466" i="7"/>
  <c r="G2467" i="7"/>
  <c r="G2468" i="7"/>
  <c r="G2469" i="7"/>
  <c r="G2470" i="7"/>
  <c r="G2471" i="7"/>
  <c r="G2472" i="7"/>
  <c r="G2473" i="7"/>
  <c r="G2474" i="7"/>
  <c r="G2475" i="7"/>
  <c r="G2476" i="7"/>
  <c r="G2477" i="7"/>
  <c r="G2478" i="7"/>
  <c r="G2479" i="7"/>
  <c r="G2480" i="7"/>
  <c r="G2481" i="7"/>
  <c r="G2482" i="7"/>
  <c r="G2483" i="7"/>
  <c r="G2484" i="7"/>
  <c r="G2485" i="7"/>
  <c r="G2486" i="7"/>
  <c r="G2487" i="7"/>
  <c r="G2488" i="7"/>
  <c r="G2489" i="7"/>
  <c r="G2490" i="7"/>
  <c r="G2491" i="7"/>
  <c r="G2492" i="7"/>
  <c r="G2493" i="7"/>
  <c r="G2494" i="7"/>
  <c r="G2495" i="7"/>
  <c r="G2496" i="7"/>
  <c r="G2497" i="7"/>
  <c r="G2498" i="7"/>
  <c r="G2499" i="7"/>
  <c r="G2500" i="7"/>
  <c r="G2501" i="7"/>
  <c r="G2502" i="7"/>
  <c r="G2503" i="7"/>
  <c r="G2504" i="7"/>
  <c r="G2505" i="7"/>
  <c r="G2506" i="7"/>
  <c r="G2507" i="7"/>
  <c r="G2508" i="7"/>
  <c r="G2509" i="7"/>
  <c r="G2510" i="7"/>
  <c r="G2511" i="7"/>
  <c r="G2512" i="7"/>
  <c r="G2513" i="7"/>
  <c r="G2514" i="7"/>
  <c r="G2515" i="7"/>
  <c r="G2516" i="7"/>
  <c r="G2517" i="7"/>
  <c r="G2518" i="7"/>
  <c r="G2519" i="7"/>
  <c r="G2520" i="7"/>
  <c r="G2521" i="7"/>
  <c r="G2522" i="7"/>
  <c r="G2523" i="7"/>
  <c r="G2524" i="7"/>
  <c r="G2525" i="7"/>
  <c r="G2526" i="7"/>
  <c r="G2527" i="7"/>
  <c r="G2528" i="7"/>
  <c r="G2529" i="7"/>
  <c r="G2530" i="7"/>
  <c r="G2531" i="7"/>
  <c r="G2532" i="7"/>
  <c r="G2533" i="7"/>
  <c r="G2534" i="7"/>
  <c r="G2535" i="7"/>
  <c r="G2536" i="7"/>
  <c r="G2537" i="7"/>
  <c r="G2538" i="7"/>
  <c r="G2539" i="7"/>
  <c r="G2540" i="7"/>
  <c r="G2541" i="7"/>
  <c r="G2542" i="7"/>
  <c r="G2543" i="7"/>
  <c r="G2544" i="7"/>
  <c r="G2545" i="7"/>
  <c r="G2546" i="7"/>
  <c r="G2547" i="7"/>
  <c r="G2548" i="7"/>
  <c r="G2549" i="7"/>
  <c r="G2550" i="7"/>
  <c r="G2551" i="7"/>
  <c r="G2552" i="7"/>
  <c r="G2553" i="7"/>
  <c r="G2554" i="7"/>
  <c r="G2555" i="7"/>
  <c r="G2556" i="7"/>
  <c r="G2557" i="7"/>
  <c r="G2558" i="7"/>
  <c r="G2559" i="7"/>
  <c r="G2560" i="7"/>
  <c r="G2561" i="7"/>
  <c r="G2562" i="7"/>
  <c r="G2563" i="7"/>
  <c r="G2564" i="7"/>
  <c r="G2565" i="7"/>
  <c r="G2566" i="7"/>
  <c r="G2567" i="7"/>
  <c r="G2568" i="7"/>
  <c r="G2569" i="7"/>
  <c r="G2570" i="7"/>
  <c r="G2571" i="7"/>
  <c r="G2572" i="7"/>
  <c r="G2573" i="7"/>
  <c r="G2574" i="7"/>
  <c r="G2575" i="7"/>
  <c r="G2576" i="7"/>
  <c r="G2577" i="7"/>
  <c r="G2578" i="7"/>
  <c r="G2579" i="7"/>
  <c r="G2580" i="7"/>
  <c r="G2581" i="7"/>
  <c r="G2582" i="7"/>
  <c r="G2583" i="7"/>
  <c r="G2584" i="7"/>
  <c r="G2585" i="7"/>
  <c r="G2586" i="7"/>
  <c r="G2587" i="7"/>
  <c r="G2588" i="7"/>
  <c r="G2589" i="7"/>
  <c r="G2590" i="7"/>
  <c r="G2591" i="7"/>
  <c r="G2592" i="7"/>
  <c r="G2593" i="7"/>
  <c r="G2594" i="7"/>
  <c r="G2595" i="7"/>
  <c r="G2596" i="7"/>
  <c r="G2597" i="7"/>
  <c r="G2598" i="7"/>
  <c r="G2599" i="7"/>
  <c r="G2600" i="7"/>
  <c r="G2601" i="7"/>
  <c r="G2602" i="7"/>
  <c r="G2603" i="7"/>
  <c r="G2604" i="7"/>
  <c r="G2605" i="7"/>
  <c r="G2606" i="7"/>
  <c r="G2607" i="7"/>
  <c r="G2608" i="7"/>
  <c r="G2609" i="7"/>
  <c r="G2610" i="7"/>
  <c r="G2611" i="7"/>
  <c r="G2612" i="7"/>
  <c r="G2613" i="7"/>
  <c r="G2614" i="7"/>
  <c r="G2615" i="7"/>
  <c r="G2616" i="7"/>
  <c r="G2617" i="7"/>
  <c r="G2618" i="7"/>
  <c r="G2619" i="7"/>
  <c r="G2620" i="7"/>
  <c r="G2621" i="7"/>
  <c r="G2622" i="7"/>
  <c r="G2623" i="7"/>
  <c r="G2624" i="7"/>
  <c r="G2625" i="7"/>
  <c r="G2626" i="7"/>
  <c r="G2627" i="7"/>
  <c r="G2628" i="7"/>
  <c r="G2629" i="7"/>
  <c r="G2630" i="7"/>
  <c r="G2631" i="7"/>
  <c r="G2632" i="7"/>
  <c r="G2633" i="7"/>
  <c r="G2634" i="7"/>
  <c r="G2635" i="7"/>
  <c r="G2636" i="7"/>
  <c r="G2637" i="7"/>
  <c r="G2638" i="7"/>
  <c r="G2639" i="7"/>
  <c r="G2640" i="7"/>
  <c r="G2641" i="7"/>
  <c r="G2642" i="7"/>
  <c r="G2643" i="7"/>
  <c r="G2644" i="7"/>
  <c r="G2645" i="7"/>
  <c r="G2646" i="7"/>
  <c r="G2647" i="7"/>
  <c r="G2648" i="7"/>
  <c r="G2649" i="7"/>
  <c r="G2650" i="7"/>
  <c r="G2651" i="7"/>
  <c r="G2652" i="7"/>
  <c r="G2653" i="7"/>
  <c r="G2654" i="7"/>
  <c r="G2655" i="7"/>
  <c r="G2656" i="7"/>
  <c r="G2657" i="7"/>
  <c r="G2658" i="7"/>
  <c r="G2659" i="7"/>
  <c r="G2660" i="7"/>
  <c r="G2661" i="7"/>
  <c r="G2662" i="7"/>
  <c r="G2663" i="7"/>
  <c r="G2664" i="7"/>
  <c r="G2665" i="7"/>
  <c r="G2666" i="7"/>
  <c r="G2667" i="7"/>
  <c r="G2668" i="7"/>
  <c r="G2669" i="7"/>
  <c r="G2670" i="7"/>
  <c r="G2671" i="7"/>
  <c r="G2672" i="7"/>
  <c r="G2673" i="7"/>
  <c r="G2674" i="7"/>
  <c r="G2675" i="7"/>
  <c r="G2676" i="7"/>
  <c r="G2677" i="7"/>
  <c r="G2678" i="7"/>
  <c r="G2679" i="7"/>
  <c r="G2680" i="7"/>
  <c r="G2681" i="7"/>
  <c r="G2682" i="7"/>
  <c r="G2683" i="7"/>
  <c r="G2684" i="7"/>
  <c r="G2685" i="7"/>
  <c r="G2686" i="7"/>
  <c r="G2687" i="7"/>
  <c r="G2688" i="7"/>
  <c r="G2689" i="7"/>
  <c r="G2690" i="7"/>
  <c r="G2691" i="7"/>
  <c r="G2692" i="7"/>
  <c r="G2693" i="7"/>
  <c r="G2694" i="7"/>
  <c r="G2695" i="7"/>
  <c r="G2696" i="7"/>
  <c r="G2697" i="7"/>
  <c r="G2698" i="7"/>
  <c r="G2699" i="7"/>
  <c r="G2700" i="7"/>
  <c r="G2701" i="7"/>
  <c r="G2702" i="7"/>
  <c r="G2703" i="7"/>
  <c r="G2704" i="7"/>
  <c r="G2705" i="7"/>
  <c r="G2706" i="7"/>
  <c r="G2707" i="7"/>
  <c r="G2708" i="7"/>
  <c r="G2709" i="7"/>
  <c r="G2710" i="7"/>
  <c r="G2711" i="7"/>
  <c r="G2712" i="7"/>
  <c r="G2713" i="7"/>
  <c r="G2714" i="7"/>
  <c r="G2715" i="7"/>
  <c r="G2716" i="7"/>
  <c r="G2717" i="7"/>
  <c r="G2718" i="7"/>
  <c r="G2719" i="7"/>
  <c r="G2720" i="7"/>
  <c r="G2721" i="7"/>
  <c r="G2722" i="7"/>
  <c r="G2723" i="7"/>
  <c r="G2724" i="7"/>
  <c r="G2725" i="7"/>
  <c r="G2726" i="7"/>
  <c r="G2727" i="7"/>
  <c r="G2728" i="7"/>
  <c r="G2729" i="7"/>
  <c r="G2730" i="7"/>
  <c r="G2731" i="7"/>
  <c r="G2732" i="7"/>
  <c r="G2733" i="7"/>
  <c r="G2734" i="7"/>
  <c r="G2735" i="7"/>
  <c r="G2736" i="7"/>
  <c r="G2737" i="7"/>
  <c r="G2738" i="7"/>
  <c r="G2739" i="7"/>
  <c r="G2740" i="7"/>
  <c r="G2741" i="7"/>
  <c r="G2742" i="7"/>
  <c r="G2743" i="7"/>
  <c r="G2744" i="7"/>
  <c r="G2745" i="7"/>
  <c r="G2746" i="7"/>
  <c r="G2747" i="7"/>
  <c r="G2748" i="7"/>
  <c r="G2749" i="7"/>
  <c r="G2750" i="7"/>
  <c r="G2751" i="7"/>
  <c r="G2752" i="7"/>
  <c r="G2753" i="7"/>
  <c r="G2754" i="7"/>
  <c r="G2755" i="7"/>
  <c r="G2756" i="7"/>
  <c r="G2757" i="7"/>
  <c r="G2758" i="7"/>
  <c r="G2759" i="7"/>
  <c r="G2760" i="7"/>
  <c r="G2761" i="7"/>
  <c r="G2762" i="7"/>
  <c r="G2763" i="7"/>
  <c r="G2764" i="7"/>
  <c r="G2765" i="7"/>
  <c r="G2766" i="7"/>
  <c r="G2767" i="7"/>
  <c r="G2768" i="7"/>
  <c r="G2769" i="7"/>
  <c r="G2770" i="7"/>
  <c r="G2771" i="7"/>
  <c r="G2772" i="7"/>
  <c r="G2773" i="7"/>
  <c r="G2774" i="7"/>
  <c r="G2775" i="7"/>
  <c r="G2776" i="7"/>
  <c r="G2777" i="7"/>
  <c r="G2778" i="7"/>
  <c r="G2779" i="7"/>
  <c r="G2780" i="7"/>
  <c r="G2781" i="7"/>
  <c r="G2782" i="7"/>
  <c r="G2783" i="7"/>
  <c r="G2784" i="7"/>
  <c r="G2785" i="7"/>
  <c r="G2786" i="7"/>
  <c r="G2787" i="7"/>
  <c r="G2788" i="7"/>
  <c r="G2789" i="7"/>
  <c r="G2790" i="7"/>
  <c r="G2791" i="7"/>
  <c r="G2792" i="7"/>
  <c r="G2793" i="7"/>
  <c r="G2794" i="7"/>
  <c r="G2795" i="7"/>
  <c r="G2796" i="7"/>
  <c r="G2797" i="7"/>
  <c r="G2798" i="7"/>
  <c r="G2799" i="7"/>
  <c r="G2800" i="7"/>
  <c r="G2801" i="7"/>
  <c r="G2802" i="7"/>
  <c r="G2803" i="7"/>
  <c r="G2804" i="7"/>
  <c r="G2805" i="7"/>
  <c r="G2806" i="7"/>
  <c r="G2807" i="7"/>
  <c r="G2808" i="7"/>
  <c r="G2809" i="7"/>
  <c r="G2810" i="7"/>
  <c r="G2811" i="7"/>
  <c r="G2812" i="7"/>
  <c r="G2813" i="7"/>
  <c r="G2814" i="7"/>
  <c r="G2815" i="7"/>
  <c r="G2816" i="7"/>
  <c r="G2817" i="7"/>
  <c r="G2818" i="7"/>
  <c r="G2819" i="7"/>
  <c r="G2820" i="7"/>
  <c r="G2821" i="7"/>
  <c r="G2822" i="7"/>
  <c r="G2823" i="7"/>
  <c r="G2824" i="7"/>
  <c r="G2825" i="7"/>
  <c r="G2826" i="7"/>
  <c r="G2827" i="7"/>
  <c r="G2828" i="7"/>
  <c r="G2829" i="7"/>
  <c r="G2830" i="7"/>
  <c r="G2831" i="7"/>
  <c r="G2832" i="7"/>
  <c r="G2833" i="7"/>
  <c r="G2834" i="7"/>
  <c r="G2835" i="7"/>
  <c r="G2836" i="7"/>
  <c r="G2837" i="7"/>
  <c r="G2838" i="7"/>
  <c r="G2839" i="7"/>
  <c r="G2840" i="7"/>
  <c r="G2841" i="7"/>
  <c r="G2842" i="7"/>
  <c r="G2843" i="7"/>
  <c r="G2844" i="7"/>
  <c r="G2845" i="7"/>
  <c r="G2846" i="7"/>
  <c r="G2847" i="7"/>
  <c r="G2848" i="7"/>
  <c r="G2849" i="7"/>
  <c r="G2850" i="7"/>
  <c r="G2851" i="7"/>
  <c r="G2852" i="7"/>
  <c r="G2853" i="7"/>
  <c r="G2854" i="7"/>
  <c r="G2855" i="7"/>
  <c r="G2856" i="7"/>
  <c r="G2857" i="7"/>
  <c r="G2858" i="7"/>
  <c r="G2859" i="7"/>
  <c r="G2860" i="7"/>
  <c r="G2861" i="7"/>
  <c r="G2862" i="7"/>
  <c r="G2863" i="7"/>
  <c r="G2864" i="7"/>
  <c r="G2865" i="7"/>
  <c r="G2866" i="7"/>
  <c r="G2867" i="7"/>
  <c r="G2868" i="7"/>
  <c r="G2869" i="7"/>
  <c r="G2870" i="7"/>
  <c r="G2871" i="7"/>
  <c r="G2872" i="7"/>
  <c r="G2873" i="7"/>
  <c r="G2874" i="7"/>
  <c r="G2875" i="7"/>
  <c r="G2876" i="7"/>
  <c r="G2877" i="7"/>
  <c r="G2878" i="7"/>
  <c r="G2879" i="7"/>
  <c r="G2880" i="7"/>
  <c r="G2881" i="7"/>
  <c r="G2882" i="7"/>
  <c r="G2883" i="7"/>
  <c r="G2884" i="7"/>
  <c r="G2885" i="7"/>
  <c r="G2886" i="7"/>
  <c r="G2887" i="7"/>
  <c r="G2888" i="7"/>
  <c r="G2889" i="7"/>
  <c r="G2890" i="7"/>
  <c r="G2891" i="7"/>
  <c r="G2892" i="7"/>
  <c r="G2893" i="7"/>
  <c r="G2894" i="7"/>
  <c r="G2895" i="7"/>
  <c r="G2896" i="7"/>
  <c r="G2897" i="7"/>
  <c r="G2898" i="7"/>
  <c r="G2899" i="7"/>
  <c r="G2900" i="7"/>
  <c r="G2901" i="7"/>
  <c r="G2902" i="7"/>
  <c r="G2903" i="7"/>
  <c r="G2904" i="7"/>
  <c r="G2905" i="7"/>
  <c r="G2906" i="7"/>
  <c r="G2907" i="7"/>
  <c r="G2908" i="7"/>
  <c r="G2909" i="7"/>
  <c r="G2910" i="7"/>
  <c r="G2911" i="7"/>
  <c r="G2912" i="7"/>
  <c r="G2913" i="7"/>
  <c r="G2914" i="7"/>
  <c r="G2915" i="7"/>
  <c r="G2916" i="7"/>
  <c r="G2917" i="7"/>
  <c r="G2918" i="7"/>
  <c r="G2919" i="7"/>
  <c r="G2920" i="7"/>
  <c r="G2921" i="7"/>
  <c r="G2922" i="7"/>
  <c r="G2923" i="7"/>
  <c r="G2924" i="7"/>
  <c r="G2925" i="7"/>
  <c r="G2926" i="7"/>
  <c r="G2927" i="7"/>
  <c r="G2928" i="7"/>
  <c r="G2929" i="7"/>
  <c r="G2930" i="7"/>
  <c r="G2931" i="7"/>
  <c r="G2932" i="7"/>
  <c r="G2933" i="7"/>
  <c r="G2934" i="7"/>
  <c r="G2935" i="7"/>
  <c r="G2936" i="7"/>
  <c r="G2937" i="7"/>
  <c r="G2938" i="7"/>
  <c r="G2939" i="7"/>
  <c r="G2940" i="7"/>
  <c r="G2941" i="7"/>
  <c r="G2942" i="7"/>
  <c r="G2943" i="7"/>
  <c r="G2944" i="7"/>
  <c r="G2945" i="7"/>
  <c r="G2946" i="7"/>
  <c r="G2947" i="7"/>
  <c r="G2948" i="7"/>
  <c r="G2949" i="7"/>
  <c r="G2950" i="7"/>
  <c r="G2951" i="7"/>
  <c r="G2952" i="7"/>
  <c r="G2953" i="7"/>
  <c r="G2954" i="7"/>
  <c r="G2955" i="7"/>
  <c r="G2956" i="7"/>
  <c r="G2957" i="7"/>
  <c r="G2958" i="7"/>
  <c r="G2959" i="7"/>
  <c r="G2960" i="7"/>
  <c r="G2961" i="7"/>
  <c r="G2962" i="7"/>
  <c r="G2963" i="7"/>
  <c r="G2964" i="7"/>
  <c r="G2965" i="7"/>
  <c r="G2966" i="7"/>
  <c r="G2967" i="7"/>
  <c r="G2968" i="7"/>
  <c r="G2969" i="7"/>
  <c r="G2970" i="7"/>
  <c r="G2971" i="7"/>
  <c r="G2972" i="7"/>
  <c r="G2973" i="7"/>
  <c r="G2974" i="7"/>
  <c r="G2975" i="7"/>
  <c r="G2976" i="7"/>
  <c r="G2977" i="7"/>
  <c r="G2978" i="7"/>
  <c r="G2979" i="7"/>
  <c r="G2980" i="7"/>
  <c r="G2981" i="7"/>
  <c r="G2982" i="7"/>
  <c r="G2983" i="7"/>
  <c r="G2984" i="7"/>
  <c r="G2985" i="7"/>
  <c r="G2986" i="7"/>
  <c r="G2987" i="7"/>
  <c r="G2988" i="7"/>
  <c r="G2989" i="7"/>
  <c r="G2990" i="7"/>
  <c r="G2991" i="7"/>
  <c r="G2992" i="7"/>
  <c r="G2993" i="7"/>
  <c r="G2994" i="7"/>
  <c r="G2995" i="7"/>
  <c r="G2996" i="7"/>
  <c r="G2997" i="7"/>
  <c r="G2998" i="7"/>
  <c r="G2999" i="7"/>
  <c r="G3000" i="7"/>
  <c r="G3001" i="7"/>
  <c r="G3002" i="7"/>
  <c r="G3003" i="7"/>
  <c r="G3004" i="7"/>
  <c r="G3005" i="7"/>
  <c r="G3006" i="7"/>
  <c r="G3007" i="7"/>
  <c r="G3008" i="7"/>
  <c r="G3009" i="7"/>
  <c r="G3010" i="7"/>
  <c r="G3011" i="7"/>
  <c r="G3012" i="7"/>
  <c r="G3013" i="7"/>
  <c r="G3014" i="7"/>
  <c r="G3015" i="7"/>
  <c r="G3016" i="7"/>
  <c r="G3017" i="7"/>
  <c r="G3018" i="7"/>
  <c r="G3019" i="7"/>
  <c r="G3020" i="7"/>
  <c r="G3021" i="7"/>
  <c r="G3022" i="7"/>
  <c r="G3023" i="7"/>
  <c r="G3024" i="7"/>
  <c r="G3025" i="7"/>
  <c r="G3026" i="7"/>
  <c r="G3027" i="7"/>
  <c r="G3028" i="7"/>
  <c r="G3029" i="7"/>
  <c r="G3030" i="7"/>
  <c r="G3031" i="7"/>
  <c r="G3032" i="7"/>
  <c r="G3033" i="7"/>
  <c r="G3034" i="7"/>
  <c r="G3035" i="7"/>
  <c r="G3036" i="7"/>
  <c r="G3037" i="7"/>
  <c r="G3038" i="7"/>
  <c r="G3039" i="7"/>
  <c r="G3040" i="7"/>
  <c r="G3041" i="7"/>
  <c r="G3042" i="7"/>
  <c r="G3043" i="7"/>
  <c r="G3044" i="7"/>
  <c r="G3045" i="7"/>
  <c r="G3046" i="7"/>
  <c r="G3047" i="7"/>
  <c r="G3048" i="7"/>
  <c r="G3049" i="7"/>
  <c r="G3050" i="7"/>
  <c r="G3051" i="7"/>
  <c r="G3052" i="7"/>
  <c r="G3053" i="7"/>
  <c r="G3054" i="7"/>
  <c r="G3055" i="7"/>
  <c r="G3056" i="7"/>
  <c r="G3057" i="7"/>
  <c r="G3058" i="7"/>
  <c r="G3059" i="7"/>
  <c r="G3060" i="7"/>
  <c r="G3061" i="7"/>
  <c r="G3062" i="7"/>
  <c r="G3063" i="7"/>
  <c r="G3064" i="7"/>
  <c r="G3065" i="7"/>
  <c r="G3066" i="7"/>
  <c r="G3067" i="7"/>
  <c r="G3068" i="7"/>
  <c r="G3069" i="7"/>
  <c r="G3070" i="7"/>
  <c r="G3071" i="7"/>
  <c r="G3072" i="7"/>
  <c r="G3073" i="7"/>
  <c r="G3074" i="7"/>
  <c r="G3075" i="7"/>
  <c r="G3076" i="7"/>
  <c r="G3077" i="7"/>
  <c r="G3078" i="7"/>
  <c r="G3079" i="7"/>
  <c r="G3080" i="7"/>
  <c r="G3081" i="7"/>
  <c r="G3082" i="7"/>
  <c r="G3083" i="7"/>
  <c r="G3084" i="7"/>
  <c r="G3085" i="7"/>
  <c r="G3086" i="7"/>
  <c r="G3087" i="7"/>
  <c r="G3088" i="7"/>
  <c r="G3089" i="7"/>
  <c r="G3090" i="7"/>
  <c r="G3091" i="7"/>
  <c r="G3092" i="7"/>
  <c r="G3093" i="7"/>
  <c r="G3094" i="7"/>
  <c r="G3095" i="7"/>
  <c r="G3096" i="7"/>
  <c r="G3097" i="7"/>
  <c r="G3098" i="7"/>
  <c r="G3099" i="7"/>
  <c r="G3100" i="7"/>
  <c r="G3101" i="7"/>
  <c r="G3102" i="7"/>
  <c r="G3103" i="7"/>
  <c r="G3104" i="7"/>
  <c r="G3105" i="7"/>
  <c r="G3106" i="7"/>
  <c r="G3107" i="7"/>
  <c r="G3108" i="7"/>
  <c r="G3109" i="7"/>
  <c r="G3110" i="7"/>
  <c r="G3111" i="7"/>
  <c r="G3112" i="7"/>
  <c r="G3113" i="7"/>
  <c r="G3114" i="7"/>
  <c r="G3115" i="7"/>
  <c r="G3116" i="7"/>
  <c r="G3117" i="7"/>
  <c r="G3118" i="7"/>
  <c r="G3119" i="7"/>
  <c r="G3120" i="7"/>
  <c r="G3121" i="7"/>
  <c r="G3122" i="7"/>
  <c r="G3123" i="7"/>
  <c r="G3124" i="7"/>
  <c r="G3125" i="7"/>
  <c r="G3126" i="7"/>
  <c r="G3127" i="7"/>
  <c r="G3128" i="7"/>
  <c r="G3129" i="7"/>
  <c r="G3130" i="7"/>
  <c r="G3131" i="7"/>
  <c r="G3132" i="7"/>
  <c r="G3133" i="7"/>
  <c r="G3134" i="7"/>
  <c r="G3135" i="7"/>
  <c r="G3136" i="7"/>
  <c r="G3137" i="7"/>
  <c r="G3138" i="7"/>
  <c r="G3139" i="7"/>
  <c r="G3140" i="7"/>
  <c r="G3141" i="7"/>
  <c r="G3142" i="7"/>
  <c r="G3143" i="7"/>
  <c r="G3144" i="7"/>
  <c r="G3145" i="7"/>
  <c r="G3146" i="7"/>
  <c r="G3147" i="7"/>
  <c r="G3148" i="7"/>
  <c r="G3149" i="7"/>
  <c r="G3150" i="7"/>
  <c r="G3151" i="7"/>
  <c r="G3152" i="7"/>
  <c r="G3153" i="7"/>
  <c r="G3154" i="7"/>
  <c r="G3155" i="7"/>
  <c r="G3156" i="7"/>
  <c r="G3157" i="7"/>
  <c r="G3158" i="7"/>
  <c r="G3159" i="7"/>
  <c r="G3160" i="7"/>
  <c r="G3161" i="7"/>
  <c r="G3162" i="7"/>
  <c r="G3163" i="7"/>
  <c r="G3164" i="7"/>
  <c r="G3165" i="7"/>
  <c r="G3166" i="7"/>
  <c r="G3167" i="7"/>
  <c r="G3168" i="7"/>
  <c r="G3169" i="7"/>
  <c r="G3170" i="7"/>
  <c r="G3171" i="7"/>
  <c r="G3172" i="7"/>
  <c r="G3173" i="7"/>
  <c r="G3174" i="7"/>
  <c r="G3175" i="7"/>
  <c r="G3176" i="7"/>
  <c r="G3177" i="7"/>
  <c r="G3178" i="7"/>
  <c r="G3179" i="7"/>
  <c r="G3180" i="7"/>
  <c r="G3181" i="7"/>
  <c r="G3182" i="7"/>
  <c r="G3183" i="7"/>
  <c r="G3184" i="7"/>
  <c r="G3185" i="7"/>
  <c r="G3186" i="7"/>
  <c r="G3187" i="7"/>
  <c r="G3188" i="7"/>
  <c r="G3189" i="7"/>
  <c r="G3190" i="7"/>
  <c r="G3191" i="7"/>
  <c r="G3192" i="7"/>
  <c r="G3193" i="7"/>
  <c r="G3194" i="7"/>
  <c r="G3195" i="7"/>
  <c r="G3196" i="7"/>
  <c r="G3197" i="7"/>
  <c r="G3198" i="7"/>
  <c r="G3199" i="7"/>
  <c r="G3200" i="7"/>
  <c r="G3201" i="7"/>
  <c r="G3202" i="7"/>
  <c r="G3203" i="7"/>
  <c r="G3204" i="7"/>
  <c r="G3205" i="7"/>
  <c r="G3206" i="7"/>
  <c r="G3207" i="7"/>
  <c r="G3208" i="7"/>
  <c r="G3209" i="7"/>
  <c r="G3210" i="7"/>
  <c r="G3211" i="7"/>
  <c r="G3212" i="7"/>
  <c r="G3213" i="7"/>
  <c r="G3214" i="7"/>
  <c r="G3215" i="7"/>
  <c r="G3216" i="7"/>
  <c r="G3217" i="7"/>
  <c r="G3218" i="7"/>
  <c r="G3219" i="7"/>
  <c r="G3220" i="7"/>
  <c r="G3221" i="7"/>
  <c r="G3222" i="7"/>
  <c r="G3223" i="7"/>
  <c r="G3224" i="7"/>
  <c r="G3225" i="7"/>
  <c r="G3226" i="7"/>
  <c r="G3227" i="7"/>
  <c r="G3228" i="7"/>
  <c r="G3229" i="7"/>
  <c r="G3230" i="7"/>
  <c r="G3231" i="7"/>
  <c r="G3232" i="7"/>
  <c r="G3233" i="7"/>
  <c r="G3234" i="7"/>
  <c r="G3235" i="7"/>
  <c r="G3236" i="7"/>
  <c r="G3237" i="7"/>
  <c r="G3238" i="7"/>
  <c r="G3239" i="7"/>
  <c r="G3240" i="7"/>
  <c r="G3241" i="7"/>
  <c r="G3242" i="7"/>
  <c r="G3243" i="7"/>
  <c r="G3244" i="7"/>
  <c r="G3245" i="7"/>
  <c r="G3246" i="7"/>
  <c r="G3247" i="7"/>
  <c r="G3248" i="7"/>
  <c r="G3249" i="7"/>
  <c r="G3250" i="7"/>
  <c r="G3251" i="7"/>
  <c r="G3252" i="7"/>
  <c r="G3253" i="7"/>
  <c r="G3254" i="7"/>
  <c r="G3255" i="7"/>
  <c r="G3256" i="7"/>
  <c r="G3257" i="7"/>
  <c r="G3258" i="7"/>
  <c r="G3259" i="7"/>
  <c r="G3260" i="7"/>
  <c r="G3261" i="7"/>
  <c r="G3262" i="7"/>
  <c r="G3263" i="7"/>
  <c r="G3264" i="7"/>
  <c r="G3265" i="7"/>
  <c r="G3266" i="7"/>
  <c r="G3267" i="7"/>
  <c r="G3268" i="7"/>
  <c r="G3269" i="7"/>
  <c r="G3270" i="7"/>
  <c r="G3271" i="7"/>
  <c r="G3272" i="7"/>
  <c r="G3273" i="7"/>
  <c r="G3274" i="7"/>
  <c r="G3275" i="7"/>
  <c r="G3276" i="7"/>
  <c r="G3277" i="7"/>
  <c r="G3278" i="7"/>
  <c r="G3279" i="7"/>
  <c r="G3280" i="7"/>
  <c r="G3281" i="7"/>
  <c r="G3282" i="7"/>
  <c r="G3283" i="7"/>
  <c r="G3284" i="7"/>
  <c r="G3285" i="7"/>
  <c r="G3286" i="7"/>
  <c r="G3287" i="7"/>
  <c r="G3288" i="7"/>
  <c r="G3289" i="7"/>
  <c r="G3290" i="7"/>
  <c r="G3291" i="7"/>
  <c r="G3292" i="7"/>
  <c r="G3293" i="7"/>
  <c r="G3294" i="7"/>
  <c r="G3295" i="7"/>
  <c r="G3296" i="7"/>
  <c r="G3297" i="7"/>
  <c r="G3298" i="7"/>
  <c r="G3299" i="7"/>
  <c r="G3300" i="7"/>
  <c r="G3301" i="7"/>
  <c r="G3302" i="7"/>
  <c r="G3303" i="7"/>
  <c r="G3304" i="7"/>
  <c r="G3305" i="7"/>
  <c r="G3306" i="7"/>
  <c r="G3307" i="7"/>
  <c r="G3308" i="7"/>
  <c r="G3309" i="7"/>
  <c r="G3310" i="7"/>
  <c r="G3311" i="7"/>
  <c r="G3312" i="7"/>
  <c r="G3313" i="7"/>
  <c r="G3314" i="7"/>
  <c r="G3315" i="7"/>
  <c r="G3316" i="7"/>
  <c r="G3317" i="7"/>
  <c r="G3318" i="7"/>
  <c r="G3319" i="7"/>
  <c r="G3320" i="7"/>
  <c r="G3321" i="7"/>
  <c r="G3322" i="7"/>
  <c r="G3323" i="7"/>
  <c r="G3324" i="7"/>
  <c r="G3325" i="7"/>
  <c r="G3326" i="7"/>
  <c r="G3327" i="7"/>
  <c r="G3328" i="7"/>
  <c r="G3329" i="7"/>
  <c r="G3330" i="7"/>
  <c r="G3331" i="7"/>
  <c r="G3332" i="7"/>
  <c r="G3333" i="7"/>
  <c r="G3334" i="7"/>
  <c r="G3335" i="7"/>
  <c r="G3336" i="7"/>
  <c r="G3337" i="7"/>
  <c r="G3338" i="7"/>
  <c r="G3339" i="7"/>
  <c r="G3340" i="7"/>
  <c r="G3341" i="7"/>
  <c r="G3342" i="7"/>
  <c r="G3343" i="7"/>
  <c r="G3344" i="7"/>
  <c r="G3345" i="7"/>
  <c r="G3346" i="7"/>
  <c r="G3347" i="7"/>
  <c r="G3348" i="7"/>
  <c r="G3349" i="7"/>
  <c r="G3350" i="7"/>
  <c r="G3351" i="7"/>
  <c r="G3352" i="7"/>
  <c r="G3353" i="7"/>
  <c r="G3354" i="7"/>
  <c r="G3355" i="7"/>
  <c r="G3356" i="7"/>
  <c r="G3357" i="7"/>
  <c r="G3358" i="7"/>
  <c r="G3359" i="7"/>
  <c r="G3360" i="7"/>
  <c r="G3361" i="7"/>
  <c r="G3362" i="7"/>
  <c r="G3363" i="7"/>
  <c r="G3364" i="7"/>
  <c r="G3365" i="7"/>
  <c r="G3366" i="7"/>
  <c r="G3367" i="7"/>
  <c r="G3368" i="7"/>
  <c r="G3369" i="7"/>
  <c r="G3370" i="7"/>
  <c r="G3371" i="7"/>
  <c r="G3372" i="7"/>
  <c r="G3373" i="7"/>
  <c r="G3374" i="7"/>
  <c r="G3375" i="7"/>
  <c r="G3376" i="7"/>
  <c r="G3377" i="7"/>
  <c r="G3378" i="7"/>
  <c r="G3379" i="7"/>
  <c r="G3380" i="7"/>
  <c r="G3381" i="7"/>
  <c r="G3382" i="7"/>
  <c r="G3383" i="7"/>
  <c r="G3384" i="7"/>
  <c r="G3385" i="7"/>
  <c r="G3386" i="7"/>
  <c r="G3387" i="7"/>
  <c r="G3388" i="7"/>
  <c r="G3389" i="7"/>
  <c r="G3390" i="7"/>
  <c r="G3391" i="7"/>
  <c r="G3392" i="7"/>
  <c r="G3393" i="7"/>
  <c r="G3394" i="7"/>
  <c r="G3395" i="7"/>
  <c r="G3396" i="7"/>
  <c r="G3397" i="7"/>
  <c r="G3398" i="7"/>
  <c r="G3399" i="7"/>
  <c r="G3400" i="7"/>
  <c r="G3401" i="7"/>
  <c r="G3402" i="7"/>
  <c r="G3403" i="7"/>
  <c r="G3404" i="7"/>
  <c r="G3405" i="7"/>
  <c r="G3406" i="7"/>
  <c r="G3407" i="7"/>
  <c r="G3408" i="7"/>
  <c r="G3409" i="7"/>
  <c r="G3410" i="7"/>
  <c r="G3411" i="7"/>
  <c r="G3412" i="7"/>
  <c r="G3413" i="7"/>
  <c r="G3414" i="7"/>
  <c r="G3415" i="7"/>
  <c r="G3416" i="7"/>
  <c r="G3417" i="7"/>
  <c r="G3418" i="7"/>
  <c r="G3419" i="7"/>
  <c r="G3420" i="7"/>
  <c r="G3421" i="7"/>
  <c r="G3422" i="7"/>
  <c r="G3423" i="7"/>
  <c r="G3424" i="7"/>
  <c r="G3425" i="7"/>
  <c r="G3426" i="7"/>
  <c r="G3427" i="7"/>
  <c r="G3428" i="7"/>
  <c r="G3429" i="7"/>
  <c r="G3430" i="7"/>
  <c r="G3431" i="7"/>
  <c r="G3432" i="7"/>
  <c r="G3433" i="7"/>
  <c r="G3434" i="7"/>
  <c r="G3435" i="7"/>
  <c r="G3436" i="7"/>
  <c r="G3437" i="7"/>
  <c r="G3438" i="7"/>
  <c r="G3439" i="7"/>
  <c r="G3440" i="7"/>
  <c r="G3441" i="7"/>
  <c r="G3442" i="7"/>
  <c r="G3443" i="7"/>
  <c r="G3444" i="7"/>
  <c r="G3445" i="7"/>
  <c r="G3446" i="7"/>
  <c r="G3447" i="7"/>
  <c r="G3448" i="7"/>
  <c r="G3449" i="7"/>
  <c r="G3450" i="7"/>
  <c r="G3451" i="7"/>
  <c r="G3452" i="7"/>
  <c r="G3453" i="7"/>
  <c r="G3454" i="7"/>
  <c r="G3455" i="7"/>
  <c r="G3456" i="7"/>
  <c r="G3457" i="7"/>
  <c r="G3458" i="7"/>
  <c r="G3459" i="7"/>
  <c r="G3460" i="7"/>
  <c r="G3461" i="7"/>
  <c r="G3462" i="7"/>
  <c r="G3463" i="7"/>
  <c r="G3464" i="7"/>
  <c r="G3465" i="7"/>
  <c r="G3466" i="7"/>
  <c r="G3467" i="7"/>
  <c r="G3468" i="7"/>
  <c r="G3469" i="7"/>
  <c r="G3470" i="7"/>
  <c r="G3471" i="7"/>
  <c r="G3472" i="7"/>
  <c r="G3473" i="7"/>
  <c r="G3474" i="7"/>
  <c r="G3475" i="7"/>
  <c r="G3476" i="7"/>
  <c r="G3477" i="7"/>
  <c r="G3478" i="7"/>
  <c r="G3479" i="7"/>
  <c r="G3480" i="7"/>
  <c r="G3481" i="7"/>
  <c r="G3482" i="7"/>
  <c r="G3483" i="7"/>
  <c r="G3484" i="7"/>
  <c r="G3485" i="7"/>
  <c r="G3486" i="7"/>
  <c r="G3487" i="7"/>
  <c r="G3488" i="7"/>
  <c r="G3489" i="7"/>
  <c r="G3490" i="7"/>
  <c r="G3491" i="7"/>
  <c r="G3492" i="7"/>
  <c r="G3493" i="7"/>
  <c r="G3494" i="7"/>
  <c r="G3495" i="7"/>
  <c r="G3496" i="7"/>
  <c r="G3497" i="7"/>
  <c r="G3498" i="7"/>
  <c r="G3499" i="7"/>
  <c r="G3500" i="7"/>
  <c r="G3501" i="7"/>
  <c r="G3502" i="7"/>
  <c r="G3503" i="7"/>
  <c r="G3504" i="7"/>
  <c r="G3505" i="7"/>
  <c r="G3506" i="7"/>
  <c r="G3507" i="7"/>
  <c r="G3508" i="7"/>
  <c r="G3509" i="7"/>
  <c r="G3510" i="7"/>
  <c r="G3511" i="7"/>
  <c r="G3512" i="7"/>
  <c r="G3513" i="7"/>
  <c r="G3514" i="7"/>
  <c r="G3515" i="7"/>
  <c r="G3516" i="7"/>
  <c r="G3517" i="7"/>
  <c r="G3518" i="7"/>
  <c r="G3519" i="7"/>
  <c r="G3520" i="7"/>
  <c r="G3521" i="7"/>
  <c r="G3522" i="7"/>
  <c r="G3523" i="7"/>
  <c r="G3524" i="7"/>
  <c r="G3525" i="7"/>
  <c r="G3526" i="7"/>
  <c r="G3527" i="7"/>
  <c r="G3528" i="7"/>
  <c r="G3529" i="7"/>
  <c r="G3530" i="7"/>
  <c r="G3531" i="7"/>
  <c r="G3532" i="7"/>
  <c r="G3533" i="7"/>
  <c r="G3534" i="7"/>
  <c r="G3535" i="7"/>
  <c r="G3536" i="7"/>
  <c r="G3537" i="7"/>
  <c r="G3538" i="7"/>
  <c r="G3539" i="7"/>
  <c r="G3540" i="7"/>
  <c r="G3541" i="7"/>
  <c r="G3542" i="7"/>
  <c r="G3543" i="7"/>
  <c r="G3544" i="7"/>
  <c r="G3545" i="7"/>
  <c r="G3546" i="7"/>
  <c r="G3547" i="7"/>
  <c r="G3548" i="7"/>
  <c r="G3549" i="7"/>
  <c r="G3550" i="7"/>
  <c r="G3551" i="7"/>
  <c r="G3552" i="7"/>
  <c r="G3553" i="7"/>
  <c r="G3554" i="7"/>
  <c r="G3555" i="7"/>
  <c r="G3556" i="7"/>
  <c r="G3557" i="7"/>
  <c r="G3558" i="7"/>
  <c r="G3559" i="7"/>
  <c r="G3560" i="7"/>
  <c r="G3561" i="7"/>
  <c r="G3562" i="7"/>
  <c r="G3563" i="7"/>
  <c r="G3564" i="7"/>
  <c r="G3565" i="7"/>
  <c r="G3566" i="7"/>
  <c r="G3567" i="7"/>
  <c r="G3568" i="7"/>
  <c r="G3569" i="7"/>
  <c r="G3570" i="7"/>
  <c r="G3571" i="7"/>
  <c r="G3572" i="7"/>
  <c r="G3573" i="7"/>
  <c r="G3574" i="7"/>
  <c r="G3575" i="7"/>
  <c r="G3576" i="7"/>
  <c r="G3577" i="7"/>
  <c r="G3578" i="7"/>
  <c r="G3579" i="7"/>
  <c r="G3580" i="7"/>
  <c r="G3581" i="7"/>
  <c r="G3582" i="7"/>
  <c r="G3583" i="7"/>
  <c r="G3584" i="7"/>
  <c r="G3585" i="7"/>
  <c r="G3586" i="7"/>
  <c r="G3587" i="7"/>
  <c r="G3588" i="7"/>
  <c r="G3589" i="7"/>
  <c r="G3590" i="7"/>
  <c r="G3591" i="7"/>
  <c r="G3592" i="7"/>
  <c r="G3593" i="7"/>
  <c r="G3594" i="7"/>
  <c r="G3595" i="7"/>
  <c r="G3596" i="7"/>
  <c r="G3597" i="7"/>
  <c r="G3598" i="7"/>
  <c r="G3599" i="7"/>
  <c r="G3600" i="7"/>
  <c r="G3601" i="7"/>
  <c r="G3602" i="7"/>
  <c r="G3603" i="7"/>
  <c r="G3604" i="7"/>
  <c r="G3605" i="7"/>
  <c r="G3606" i="7"/>
  <c r="G3607" i="7"/>
  <c r="G3608" i="7"/>
  <c r="G3609" i="7"/>
  <c r="G3610" i="7"/>
  <c r="G3611" i="7"/>
  <c r="G3612" i="7"/>
  <c r="G3613" i="7"/>
  <c r="G3614" i="7"/>
  <c r="G3615" i="7"/>
  <c r="G3616" i="7"/>
  <c r="G3617" i="7"/>
  <c r="G3618" i="7"/>
  <c r="G3619" i="7"/>
  <c r="G3620" i="7"/>
  <c r="G3621" i="7"/>
  <c r="G3622" i="7"/>
  <c r="G3623" i="7"/>
  <c r="G3624" i="7"/>
  <c r="G3625" i="7"/>
  <c r="G3626" i="7"/>
  <c r="G3627" i="7"/>
  <c r="G3628" i="7"/>
  <c r="G3629" i="7"/>
  <c r="G3630" i="7"/>
  <c r="G3631" i="7"/>
  <c r="G3632" i="7"/>
  <c r="G3633" i="7"/>
  <c r="G3634" i="7"/>
  <c r="G3635" i="7"/>
  <c r="G3636" i="7"/>
  <c r="G3637" i="7"/>
  <c r="G3638" i="7"/>
  <c r="G3639" i="7"/>
  <c r="G3640" i="7"/>
  <c r="G3641" i="7"/>
  <c r="G3642" i="7"/>
  <c r="G3643" i="7"/>
  <c r="G3644" i="7"/>
  <c r="G3645" i="7"/>
  <c r="G3646" i="7"/>
  <c r="G3647" i="7"/>
  <c r="G3648" i="7"/>
  <c r="G3649" i="7"/>
  <c r="G3650" i="7"/>
  <c r="G3651" i="7"/>
  <c r="G3652" i="7"/>
  <c r="G3653" i="7"/>
  <c r="G3654" i="7"/>
  <c r="G3655" i="7"/>
  <c r="G3656" i="7"/>
  <c r="G3657" i="7"/>
  <c r="G3658" i="7"/>
  <c r="G3659" i="7"/>
  <c r="G3660" i="7"/>
  <c r="G3661" i="7"/>
  <c r="G3662" i="7"/>
  <c r="G3663" i="7"/>
  <c r="G3664" i="7"/>
  <c r="G3665" i="7"/>
  <c r="G3666" i="7"/>
  <c r="G3667" i="7"/>
  <c r="G3668" i="7"/>
  <c r="G3669" i="7"/>
  <c r="G3670" i="7"/>
  <c r="G3671" i="7"/>
  <c r="G3672" i="7"/>
  <c r="G3673" i="7"/>
  <c r="G3674" i="7"/>
  <c r="G3675" i="7"/>
  <c r="G3676" i="7"/>
  <c r="G3677" i="7"/>
  <c r="G3678" i="7"/>
  <c r="G3679" i="7"/>
  <c r="G3680" i="7"/>
  <c r="G3681" i="7"/>
  <c r="G3682" i="7"/>
  <c r="G3683" i="7"/>
  <c r="G3684" i="7"/>
  <c r="G3685" i="7"/>
  <c r="G3686" i="7"/>
  <c r="G3687" i="7"/>
  <c r="G3688" i="7"/>
  <c r="G3689" i="7"/>
  <c r="G3690" i="7"/>
  <c r="G3691" i="7"/>
  <c r="G3692" i="7"/>
  <c r="G3693" i="7"/>
  <c r="G3694" i="7"/>
  <c r="G3695" i="7"/>
  <c r="G3696" i="7"/>
  <c r="G3697" i="7"/>
  <c r="G3698" i="7"/>
  <c r="G3699" i="7"/>
  <c r="G3700" i="7"/>
  <c r="G3701" i="7"/>
  <c r="G3702" i="7"/>
  <c r="G3703" i="7"/>
  <c r="G3704" i="7"/>
  <c r="G3705" i="7"/>
  <c r="G3706" i="7"/>
  <c r="G3707" i="7"/>
  <c r="G3708" i="7"/>
  <c r="G3709" i="7"/>
  <c r="G3710" i="7"/>
  <c r="G3711" i="7"/>
  <c r="G3712" i="7"/>
  <c r="G3713" i="7"/>
  <c r="G3714" i="7"/>
  <c r="G3715" i="7"/>
  <c r="G3716" i="7"/>
  <c r="G3717" i="7"/>
  <c r="G3718" i="7"/>
  <c r="G3719" i="7"/>
  <c r="G3720" i="7"/>
  <c r="G3721" i="7"/>
  <c r="G3722" i="7"/>
  <c r="G3723" i="7"/>
  <c r="G3724" i="7"/>
  <c r="G3725" i="7"/>
  <c r="G3726" i="7"/>
  <c r="G3727" i="7"/>
  <c r="G3728" i="7"/>
  <c r="G3729" i="7"/>
  <c r="G3730" i="7"/>
  <c r="G3731" i="7"/>
  <c r="G3732" i="7"/>
  <c r="G3733" i="7"/>
  <c r="G3734" i="7"/>
  <c r="G3735" i="7"/>
  <c r="G3736" i="7"/>
  <c r="G3737" i="7"/>
  <c r="G3738" i="7"/>
  <c r="G3739" i="7"/>
  <c r="G3740" i="7"/>
  <c r="G3741" i="7"/>
  <c r="G3742" i="7"/>
  <c r="G3743" i="7"/>
  <c r="G3744" i="7"/>
  <c r="G3745" i="7"/>
  <c r="G3746" i="7"/>
  <c r="G3747" i="7"/>
  <c r="G3748" i="7"/>
  <c r="G3749" i="7"/>
  <c r="G3750" i="7"/>
  <c r="G3751" i="7"/>
  <c r="G3752" i="7"/>
  <c r="G3753" i="7"/>
  <c r="G3754" i="7"/>
  <c r="G3755" i="7"/>
  <c r="G3756" i="7"/>
  <c r="G3757" i="7"/>
  <c r="G3758" i="7"/>
  <c r="G3759" i="7"/>
  <c r="G3760" i="7"/>
  <c r="G3761" i="7"/>
  <c r="G3762" i="7"/>
  <c r="G3763" i="7"/>
  <c r="G3764" i="7"/>
  <c r="G3765" i="7"/>
  <c r="G3766" i="7"/>
  <c r="G3767" i="7"/>
  <c r="G3768" i="7"/>
  <c r="G3769" i="7"/>
  <c r="G3770" i="7"/>
  <c r="G3771" i="7"/>
  <c r="G3772" i="7"/>
  <c r="G3773" i="7"/>
  <c r="G3774" i="7"/>
  <c r="G3775" i="7"/>
  <c r="G3776" i="7"/>
  <c r="G3777" i="7"/>
  <c r="G3778" i="7"/>
  <c r="G3779" i="7"/>
  <c r="G3780" i="7"/>
  <c r="G3781" i="7"/>
  <c r="G3782" i="7"/>
  <c r="G3783" i="7"/>
  <c r="G3784" i="7"/>
  <c r="G3785" i="7"/>
  <c r="G3786" i="7"/>
  <c r="G3787" i="7"/>
  <c r="G3788" i="7"/>
  <c r="G3789" i="7"/>
  <c r="G3790" i="7"/>
  <c r="G3791" i="7"/>
  <c r="G3792" i="7"/>
  <c r="G3793" i="7"/>
  <c r="G3794" i="7"/>
  <c r="G3795" i="7"/>
  <c r="G3796" i="7"/>
  <c r="G3797" i="7"/>
  <c r="G3798" i="7"/>
  <c r="G3799" i="7"/>
  <c r="G3800" i="7"/>
  <c r="G3801" i="7"/>
  <c r="G3802" i="7"/>
  <c r="G3803" i="7"/>
  <c r="G3804" i="7"/>
  <c r="G3805" i="7"/>
  <c r="G3806" i="7"/>
  <c r="G3807" i="7"/>
  <c r="G3808" i="7"/>
  <c r="G3809" i="7"/>
  <c r="G3810" i="7"/>
  <c r="G3811" i="7"/>
  <c r="G3812" i="7"/>
  <c r="G3813" i="7"/>
  <c r="G3814" i="7"/>
  <c r="G3815" i="7"/>
  <c r="G3816" i="7"/>
  <c r="G3817" i="7"/>
  <c r="G3818" i="7"/>
  <c r="G3819" i="7"/>
  <c r="G3820" i="7"/>
  <c r="G3821" i="7"/>
  <c r="G3822" i="7"/>
  <c r="G3823" i="7"/>
  <c r="G3824" i="7"/>
  <c r="G3825" i="7"/>
  <c r="G3826" i="7"/>
  <c r="G3827" i="7"/>
  <c r="G3828" i="7"/>
  <c r="G3829" i="7"/>
  <c r="G3830" i="7"/>
  <c r="G3831" i="7"/>
  <c r="G3832" i="7"/>
  <c r="G3833" i="7"/>
  <c r="G3834" i="7"/>
  <c r="G3835" i="7"/>
  <c r="G3836" i="7"/>
  <c r="G3837" i="7"/>
  <c r="G3838" i="7"/>
  <c r="G3839" i="7"/>
  <c r="G3840" i="7"/>
  <c r="G3841" i="7"/>
  <c r="G3842" i="7"/>
  <c r="G3843" i="7"/>
  <c r="G3844" i="7"/>
  <c r="G3845" i="7"/>
  <c r="G3846" i="7"/>
  <c r="G3847" i="7"/>
  <c r="G3848" i="7"/>
  <c r="G3849" i="7"/>
  <c r="G3850" i="7"/>
  <c r="G3851" i="7"/>
  <c r="G3852" i="7"/>
  <c r="G3853" i="7"/>
  <c r="G3854" i="7"/>
  <c r="G3855" i="7"/>
  <c r="G3856" i="7"/>
  <c r="G3857" i="7"/>
  <c r="G3858" i="7"/>
  <c r="G3859" i="7"/>
  <c r="G3860" i="7"/>
  <c r="G3861" i="7"/>
  <c r="G3862" i="7"/>
  <c r="G3863" i="7"/>
  <c r="G3864" i="7"/>
  <c r="G3865" i="7"/>
  <c r="G3866" i="7"/>
  <c r="G3867" i="7"/>
  <c r="G3868" i="7"/>
  <c r="G3869" i="7"/>
  <c r="G3870" i="7"/>
  <c r="G3871" i="7"/>
  <c r="G3872" i="7"/>
  <c r="G3873" i="7"/>
  <c r="G3874" i="7"/>
  <c r="G3875" i="7"/>
  <c r="G3876" i="7"/>
  <c r="G3877" i="7"/>
  <c r="G3878" i="7"/>
  <c r="G3879" i="7"/>
  <c r="G3880" i="7"/>
  <c r="G3881" i="7"/>
  <c r="G3882" i="7"/>
  <c r="G3883" i="7"/>
  <c r="G3884" i="7"/>
  <c r="G3885" i="7"/>
  <c r="G3886" i="7"/>
  <c r="G3887" i="7"/>
  <c r="G3888" i="7"/>
  <c r="G3889" i="7"/>
  <c r="G3890" i="7"/>
  <c r="G3891" i="7"/>
  <c r="G3892" i="7"/>
  <c r="G3893" i="7"/>
  <c r="G3894" i="7"/>
  <c r="G3895" i="7"/>
  <c r="G3896" i="7"/>
  <c r="G3897" i="7"/>
  <c r="G3898" i="7"/>
  <c r="G3899" i="7"/>
  <c r="G3900" i="7"/>
  <c r="G3901" i="7"/>
  <c r="G3902" i="7"/>
  <c r="G3903" i="7"/>
  <c r="G3904" i="7"/>
  <c r="G3905" i="7"/>
  <c r="G3906" i="7"/>
  <c r="G3907" i="7"/>
  <c r="G3908" i="7"/>
  <c r="G3909" i="7"/>
  <c r="G3910" i="7"/>
  <c r="G3911" i="7"/>
  <c r="G3912" i="7"/>
  <c r="G3913" i="7"/>
  <c r="G3914" i="7"/>
  <c r="G3915" i="7"/>
  <c r="G3916" i="7"/>
  <c r="G3917" i="7"/>
  <c r="G3918" i="7"/>
  <c r="G3919" i="7"/>
  <c r="G3920" i="7"/>
  <c r="G3921" i="7"/>
  <c r="G3922" i="7"/>
  <c r="G3923" i="7"/>
  <c r="G3924" i="7"/>
  <c r="G3925" i="7"/>
  <c r="G3926" i="7"/>
  <c r="G3927" i="7"/>
  <c r="G3928" i="7"/>
  <c r="G3929" i="7"/>
  <c r="G3930" i="7"/>
  <c r="G3931" i="7"/>
  <c r="G3932" i="7"/>
  <c r="G3933" i="7"/>
  <c r="G3934" i="7"/>
  <c r="G3935" i="7"/>
  <c r="G3936" i="7"/>
  <c r="G3937" i="7"/>
  <c r="G3938" i="7"/>
  <c r="G3939" i="7"/>
  <c r="G3940" i="7"/>
  <c r="G3941" i="7"/>
  <c r="G3942" i="7"/>
  <c r="G3943" i="7"/>
  <c r="G3944" i="7"/>
  <c r="G3945" i="7"/>
  <c r="G3946" i="7"/>
  <c r="G3947" i="7"/>
  <c r="G3948" i="7"/>
  <c r="G3949" i="7"/>
  <c r="G3950" i="7"/>
  <c r="G3951" i="7"/>
  <c r="G3952" i="7"/>
  <c r="G3953" i="7"/>
  <c r="G3954" i="7"/>
  <c r="G3955" i="7"/>
  <c r="G3956" i="7"/>
  <c r="G3957" i="7"/>
  <c r="G3958" i="7"/>
  <c r="G3959" i="7"/>
  <c r="G3960" i="7"/>
  <c r="G3961" i="7"/>
  <c r="G3962" i="7"/>
  <c r="G3963" i="7"/>
  <c r="G3964" i="7"/>
  <c r="G3965" i="7"/>
  <c r="G3966" i="7"/>
  <c r="G3967" i="7"/>
  <c r="G3968" i="7"/>
  <c r="G3969" i="7"/>
  <c r="G3970" i="7"/>
  <c r="G3971" i="7"/>
  <c r="G3972" i="7"/>
  <c r="G3973" i="7"/>
  <c r="G3974" i="7"/>
  <c r="G3975" i="7"/>
  <c r="G3976" i="7"/>
  <c r="G3977" i="7"/>
  <c r="G3978" i="7"/>
  <c r="G3979" i="7"/>
  <c r="G3980" i="7"/>
  <c r="G3981" i="7"/>
  <c r="G3982" i="7"/>
  <c r="G3983" i="7"/>
  <c r="G3984" i="7"/>
  <c r="G3985" i="7"/>
  <c r="G3986" i="7"/>
  <c r="G3987" i="7"/>
  <c r="G3988" i="7"/>
  <c r="G3989" i="7"/>
  <c r="G3990" i="7"/>
  <c r="G3991" i="7"/>
  <c r="G3992" i="7"/>
  <c r="G3993" i="7"/>
  <c r="G3994" i="7"/>
  <c r="G3995" i="7"/>
  <c r="G3996" i="7"/>
  <c r="G3997" i="7"/>
  <c r="G3998" i="7"/>
  <c r="G3999" i="7"/>
  <c r="G4000" i="7"/>
  <c r="G4001" i="7"/>
  <c r="G4002" i="7"/>
  <c r="G4003" i="7"/>
  <c r="G4004" i="7"/>
  <c r="G4005" i="7"/>
  <c r="G4006" i="7"/>
  <c r="G4007" i="7"/>
  <c r="G4008" i="7"/>
  <c r="G4009" i="7"/>
  <c r="G4010" i="7"/>
  <c r="G4011" i="7"/>
  <c r="G4012" i="7"/>
  <c r="G4013" i="7"/>
  <c r="G4014" i="7"/>
  <c r="G4015" i="7"/>
  <c r="G4016" i="7"/>
  <c r="G4017" i="7"/>
  <c r="G4018" i="7"/>
  <c r="G4019" i="7"/>
  <c r="G4020" i="7"/>
  <c r="G4021" i="7"/>
  <c r="G4022" i="7"/>
  <c r="G4023" i="7"/>
  <c r="G4024" i="7"/>
  <c r="G4025" i="7"/>
  <c r="G4026" i="7"/>
  <c r="G4027" i="7"/>
  <c r="G4028" i="7"/>
  <c r="G4029" i="7"/>
  <c r="G4030" i="7"/>
  <c r="G4031" i="7"/>
  <c r="G4032" i="7"/>
  <c r="G4033" i="7"/>
  <c r="G4034" i="7"/>
  <c r="G4035" i="7"/>
  <c r="G4036" i="7"/>
  <c r="G4037" i="7"/>
  <c r="G4038" i="7"/>
  <c r="G4039" i="7"/>
  <c r="G4040" i="7"/>
  <c r="G4041" i="7"/>
  <c r="G4042" i="7"/>
  <c r="G4043" i="7"/>
  <c r="G4044" i="7"/>
  <c r="G4045" i="7"/>
  <c r="G4046" i="7"/>
  <c r="G4047" i="7"/>
  <c r="G4048" i="7"/>
  <c r="G4049" i="7"/>
  <c r="G4050" i="7"/>
  <c r="G4051" i="7"/>
  <c r="G4052" i="7"/>
  <c r="G4053" i="7"/>
  <c r="G4054" i="7"/>
  <c r="G4055" i="7"/>
  <c r="G4056" i="7"/>
  <c r="G4057" i="7"/>
  <c r="G4058" i="7"/>
  <c r="G4059" i="7"/>
  <c r="G4060" i="7"/>
  <c r="G4061" i="7"/>
  <c r="G4062" i="7"/>
  <c r="G4063" i="7"/>
  <c r="G4064" i="7"/>
  <c r="G4065" i="7"/>
  <c r="G4066" i="7"/>
  <c r="G4067" i="7"/>
  <c r="G4068" i="7"/>
  <c r="G4069" i="7"/>
  <c r="G4070" i="7"/>
  <c r="G4071" i="7"/>
  <c r="G4072" i="7"/>
  <c r="G4073" i="7"/>
  <c r="G4074" i="7"/>
  <c r="G4075" i="7"/>
  <c r="G4076" i="7"/>
  <c r="G4077" i="7"/>
  <c r="G4078" i="7"/>
  <c r="G4079" i="7"/>
  <c r="G4080" i="7"/>
  <c r="G4081" i="7"/>
  <c r="G4082" i="7"/>
  <c r="G4083" i="7"/>
  <c r="G4084" i="7"/>
  <c r="G4085" i="7"/>
  <c r="G4086" i="7"/>
  <c r="G4087" i="7"/>
  <c r="G4088" i="7"/>
  <c r="G4089" i="7"/>
  <c r="G4090" i="7"/>
  <c r="G4091" i="7"/>
  <c r="G4092" i="7"/>
  <c r="G4093" i="7"/>
  <c r="G4094" i="7"/>
  <c r="G4095" i="7"/>
  <c r="G4096" i="7"/>
  <c r="G4097" i="7"/>
  <c r="G4098" i="7"/>
  <c r="G4099" i="7"/>
  <c r="G4100" i="7"/>
  <c r="G4101" i="7"/>
  <c r="G4102" i="7"/>
  <c r="G4103" i="7"/>
  <c r="G4104" i="7"/>
  <c r="G4105" i="7"/>
  <c r="G4106" i="7"/>
  <c r="G4107" i="7"/>
  <c r="G4108" i="7"/>
  <c r="G4109" i="7"/>
  <c r="G4110" i="7"/>
  <c r="G4111" i="7"/>
  <c r="G4112" i="7"/>
  <c r="G4113" i="7"/>
  <c r="G4114" i="7"/>
  <c r="G4115" i="7"/>
  <c r="G4116" i="7"/>
  <c r="G4117" i="7"/>
  <c r="G4118" i="7"/>
  <c r="G4119" i="7"/>
  <c r="G4120" i="7"/>
  <c r="G4121" i="7"/>
  <c r="G4122" i="7"/>
  <c r="G4123" i="7"/>
  <c r="G4124" i="7"/>
  <c r="G4125" i="7"/>
  <c r="G4126" i="7"/>
  <c r="G4127" i="7"/>
  <c r="G4128" i="7"/>
  <c r="G4129" i="7"/>
  <c r="G4130" i="7"/>
  <c r="G4131" i="7"/>
  <c r="G4132" i="7"/>
  <c r="G4133" i="7"/>
  <c r="G4134" i="7"/>
  <c r="G4135" i="7"/>
  <c r="G4136" i="7"/>
  <c r="G4137" i="7"/>
  <c r="G4138" i="7"/>
  <c r="G4139" i="7"/>
  <c r="G4140" i="7"/>
  <c r="G4141" i="7"/>
  <c r="G4142" i="7"/>
  <c r="G4143" i="7"/>
  <c r="G4144" i="7"/>
  <c r="G4145" i="7"/>
  <c r="G4146" i="7"/>
  <c r="G4147" i="7"/>
  <c r="G4148" i="7"/>
  <c r="G4149" i="7"/>
  <c r="G4150" i="7"/>
  <c r="G4151" i="7"/>
  <c r="G4152" i="7"/>
  <c r="G4153" i="7"/>
  <c r="G4154" i="7"/>
  <c r="G4155" i="7"/>
  <c r="G4156" i="7"/>
  <c r="G4157" i="7"/>
  <c r="G4158" i="7"/>
  <c r="G4159" i="7"/>
  <c r="G4160" i="7"/>
  <c r="G4161" i="7"/>
  <c r="G4162" i="7"/>
  <c r="G4163" i="7"/>
  <c r="G4164" i="7"/>
  <c r="G4165" i="7"/>
  <c r="G4166" i="7"/>
  <c r="G4167" i="7"/>
  <c r="G4168" i="7"/>
  <c r="G4169" i="7"/>
  <c r="G4170" i="7"/>
  <c r="G4171" i="7"/>
  <c r="G4172" i="7"/>
  <c r="G4173" i="7"/>
  <c r="G4174" i="7"/>
  <c r="G4175" i="7"/>
  <c r="G4176" i="7"/>
  <c r="G4177" i="7"/>
  <c r="G4178" i="7"/>
  <c r="G4179" i="7"/>
  <c r="G4180" i="7"/>
  <c r="G4181" i="7"/>
  <c r="G4182" i="7"/>
  <c r="G4183" i="7"/>
  <c r="G4184" i="7"/>
  <c r="G4185" i="7"/>
  <c r="G4186" i="7"/>
  <c r="G4187" i="7"/>
  <c r="G4188" i="7"/>
  <c r="G4189" i="7"/>
  <c r="G4190" i="7"/>
  <c r="G4191" i="7"/>
  <c r="G4192" i="7"/>
  <c r="G4193" i="7"/>
  <c r="G4194" i="7"/>
  <c r="G4195" i="7"/>
  <c r="G4196" i="7"/>
  <c r="G4197" i="7"/>
  <c r="G4198" i="7"/>
  <c r="G4199" i="7"/>
  <c r="G4200" i="7"/>
  <c r="G4201" i="7"/>
  <c r="G4202" i="7"/>
  <c r="G4203" i="7"/>
  <c r="G4204" i="7"/>
  <c r="G4205" i="7"/>
  <c r="G4206" i="7"/>
  <c r="G4207" i="7"/>
  <c r="G4208" i="7"/>
  <c r="G4209" i="7"/>
  <c r="G4210" i="7"/>
  <c r="G4211" i="7"/>
  <c r="G4212" i="7"/>
  <c r="G4213" i="7"/>
  <c r="G4214" i="7"/>
  <c r="G4215" i="7"/>
  <c r="G4216" i="7"/>
  <c r="G4217" i="7"/>
  <c r="G4218" i="7"/>
  <c r="G4219" i="7"/>
  <c r="G4220" i="7"/>
  <c r="G4221" i="7"/>
  <c r="G4222" i="7"/>
  <c r="G4223" i="7"/>
  <c r="G4224" i="7"/>
  <c r="G4225" i="7"/>
  <c r="G4226" i="7"/>
  <c r="G4227" i="7"/>
  <c r="G4228" i="7"/>
  <c r="G4229" i="7"/>
  <c r="G4230" i="7"/>
  <c r="G4231" i="7"/>
  <c r="G4232" i="7"/>
  <c r="G4233" i="7"/>
  <c r="G4234" i="7"/>
  <c r="G4235" i="7"/>
  <c r="G4236" i="7"/>
  <c r="G4237" i="7"/>
  <c r="G4238" i="7"/>
  <c r="G4239" i="7"/>
  <c r="G4240" i="7"/>
  <c r="G4241" i="7"/>
  <c r="G4242" i="7"/>
  <c r="G4243" i="7"/>
  <c r="G4244" i="7"/>
  <c r="G4245" i="7"/>
  <c r="G4246" i="7"/>
  <c r="G4247" i="7"/>
  <c r="G4248" i="7"/>
  <c r="G4249" i="7"/>
  <c r="G4250" i="7"/>
  <c r="G4251" i="7"/>
  <c r="G4252" i="7"/>
  <c r="G4253" i="7"/>
  <c r="G4254" i="7"/>
  <c r="G4255" i="7"/>
  <c r="G4256" i="7"/>
  <c r="G4257" i="7"/>
  <c r="G4258" i="7"/>
  <c r="G4259" i="7"/>
  <c r="G4260" i="7"/>
  <c r="G4261" i="7"/>
  <c r="G4262" i="7"/>
  <c r="G4263" i="7"/>
  <c r="G4264" i="7"/>
  <c r="G4265" i="7"/>
  <c r="G4266" i="7"/>
  <c r="G4267" i="7"/>
  <c r="G4268" i="7"/>
  <c r="G4269" i="7"/>
  <c r="G4270" i="7"/>
  <c r="G4271" i="7"/>
  <c r="G4272" i="7"/>
  <c r="G4273" i="7"/>
  <c r="G4274" i="7"/>
  <c r="G4275" i="7"/>
  <c r="G4276" i="7"/>
  <c r="G4277" i="7"/>
  <c r="G4278" i="7"/>
  <c r="G4279" i="7"/>
  <c r="G4280" i="7"/>
  <c r="G4281" i="7"/>
  <c r="G4282" i="7"/>
  <c r="G4283" i="7"/>
  <c r="G4284" i="7"/>
  <c r="G4285" i="7"/>
  <c r="G4286" i="7"/>
  <c r="G4287" i="7"/>
  <c r="G4288" i="7"/>
  <c r="G4289" i="7"/>
  <c r="G4290" i="7"/>
  <c r="G4291" i="7"/>
  <c r="G4292" i="7"/>
  <c r="G4293" i="7"/>
  <c r="G4294" i="7"/>
  <c r="G4295" i="7"/>
  <c r="G4296" i="7"/>
  <c r="G4297" i="7"/>
  <c r="G4298" i="7"/>
  <c r="G4299" i="7"/>
  <c r="G4300" i="7"/>
  <c r="G4301" i="7"/>
  <c r="G4302" i="7"/>
  <c r="G4303" i="7"/>
  <c r="G4304" i="7"/>
  <c r="G4305" i="7"/>
  <c r="G4306" i="7"/>
  <c r="G4307" i="7"/>
  <c r="G4308" i="7"/>
  <c r="G4309" i="7"/>
  <c r="G4310" i="7"/>
  <c r="G4311" i="7"/>
  <c r="G4312" i="7"/>
  <c r="G4313" i="7"/>
  <c r="G4314" i="7"/>
  <c r="G4315" i="7"/>
  <c r="G4316" i="7"/>
  <c r="G4317" i="7"/>
  <c r="G4318" i="7"/>
  <c r="G4319" i="7"/>
  <c r="G4320" i="7"/>
  <c r="G4321" i="7"/>
  <c r="G4322" i="7"/>
  <c r="G4323" i="7"/>
  <c r="G4324" i="7"/>
  <c r="G4325" i="7"/>
  <c r="G4326" i="7"/>
  <c r="G4327" i="7"/>
  <c r="G4328" i="7"/>
  <c r="G4329" i="7"/>
  <c r="G4330" i="7"/>
  <c r="G4331" i="7"/>
  <c r="G4332" i="7"/>
  <c r="G4333" i="7"/>
  <c r="G4334" i="7"/>
  <c r="G4335" i="7"/>
  <c r="G4336" i="7"/>
  <c r="G4337" i="7"/>
  <c r="G4338" i="7"/>
  <c r="G4339" i="7"/>
  <c r="G4340" i="7"/>
  <c r="G4341" i="7"/>
  <c r="G4342" i="7"/>
  <c r="G4343" i="7"/>
  <c r="G4344" i="7"/>
  <c r="G4345" i="7"/>
  <c r="G4346" i="7"/>
  <c r="G4347" i="7"/>
  <c r="G4348" i="7"/>
  <c r="G4349" i="7"/>
  <c r="G4350" i="7"/>
  <c r="G4351" i="7"/>
  <c r="G4352" i="7"/>
  <c r="G4353" i="7"/>
  <c r="G4354" i="7"/>
  <c r="G4355" i="7"/>
  <c r="G4356" i="7"/>
  <c r="G4357" i="7"/>
  <c r="G4358" i="7"/>
  <c r="G4359" i="7"/>
  <c r="G4360" i="7"/>
  <c r="G4361" i="7"/>
  <c r="G4362" i="7"/>
  <c r="G4363" i="7"/>
  <c r="G4364" i="7"/>
  <c r="G4365" i="7"/>
  <c r="G4366" i="7"/>
  <c r="G4367" i="7"/>
  <c r="G4368" i="7"/>
  <c r="G4369" i="7"/>
  <c r="G4370" i="7"/>
  <c r="G4371" i="7"/>
  <c r="G4372" i="7"/>
  <c r="G4373" i="7"/>
  <c r="G4374" i="7"/>
  <c r="G4375" i="7"/>
  <c r="G4376" i="7"/>
  <c r="G4377" i="7"/>
  <c r="G4378" i="7"/>
  <c r="G4379" i="7"/>
  <c r="G4380" i="7"/>
  <c r="G4381" i="7"/>
  <c r="G4382" i="7"/>
  <c r="G4383" i="7"/>
  <c r="G4384" i="7"/>
  <c r="G4385" i="7"/>
  <c r="G4386" i="7"/>
  <c r="G4387" i="7"/>
  <c r="G4388" i="7"/>
  <c r="G4389" i="7"/>
  <c r="G4390" i="7"/>
  <c r="G4391" i="7"/>
  <c r="G4392" i="7"/>
  <c r="G4393" i="7"/>
  <c r="G4394" i="7"/>
  <c r="G4395" i="7"/>
  <c r="G4396" i="7"/>
  <c r="G4397" i="7"/>
  <c r="G4398" i="7"/>
  <c r="G4399" i="7"/>
  <c r="G4400" i="7"/>
  <c r="G4401" i="7"/>
  <c r="G4402" i="7"/>
  <c r="G4403" i="7"/>
  <c r="G4404" i="7"/>
  <c r="G4405" i="7"/>
  <c r="G4406" i="7"/>
  <c r="G4407" i="7"/>
  <c r="G4408" i="7"/>
  <c r="G4409" i="7"/>
  <c r="G4410" i="7"/>
  <c r="G4411" i="7"/>
  <c r="G4412" i="7"/>
  <c r="G4413" i="7"/>
  <c r="G4414" i="7"/>
  <c r="G4415" i="7"/>
  <c r="G4416" i="7"/>
  <c r="G4417" i="7"/>
  <c r="G4418" i="7"/>
  <c r="G4419" i="7"/>
  <c r="G4420" i="7"/>
  <c r="G4421" i="7"/>
  <c r="G4422" i="7"/>
  <c r="G4423" i="7"/>
  <c r="G4424" i="7"/>
  <c r="G4425" i="7"/>
  <c r="G4426" i="7"/>
  <c r="G4427" i="7"/>
  <c r="G4428" i="7"/>
  <c r="G4429" i="7"/>
  <c r="G4430" i="7"/>
  <c r="G4431" i="7"/>
  <c r="G4432" i="7"/>
  <c r="G4433" i="7"/>
  <c r="G4434" i="7"/>
  <c r="G4435" i="7"/>
  <c r="G4436" i="7"/>
  <c r="G4437" i="7"/>
  <c r="G4438" i="7"/>
  <c r="G4439" i="7"/>
  <c r="G4440" i="7"/>
  <c r="G4441" i="7"/>
  <c r="G4442" i="7"/>
  <c r="G4443" i="7"/>
  <c r="G4444" i="7"/>
  <c r="G4445" i="7"/>
  <c r="G4446" i="7"/>
  <c r="G4447" i="7"/>
  <c r="G4448" i="7"/>
  <c r="G4449" i="7"/>
  <c r="G4450" i="7"/>
  <c r="G4451" i="7"/>
  <c r="G4452" i="7"/>
  <c r="G4453" i="7"/>
  <c r="G4454" i="7"/>
  <c r="G4455" i="7"/>
  <c r="G4456" i="7"/>
  <c r="G4457" i="7"/>
  <c r="G4458" i="7"/>
  <c r="G4459" i="7"/>
  <c r="G4460" i="7"/>
  <c r="G4461" i="7"/>
  <c r="G4462" i="7"/>
  <c r="G4463" i="7"/>
  <c r="G4464" i="7"/>
  <c r="G4465" i="7"/>
  <c r="G4466" i="7"/>
  <c r="G4467" i="7"/>
  <c r="G4468" i="7"/>
  <c r="G4469" i="7"/>
  <c r="G4470" i="7"/>
  <c r="G4471" i="7"/>
  <c r="G4472" i="7"/>
  <c r="G4473" i="7"/>
  <c r="G4474" i="7"/>
  <c r="G4475" i="7"/>
  <c r="G4476" i="7"/>
  <c r="G4477" i="7"/>
  <c r="G4478" i="7"/>
  <c r="G4479" i="7"/>
  <c r="G4480" i="7"/>
  <c r="G4481" i="7"/>
  <c r="G4482" i="7"/>
  <c r="G4483" i="7"/>
  <c r="G4484" i="7"/>
  <c r="G4485" i="7"/>
  <c r="G4486" i="7"/>
  <c r="G4487" i="7"/>
  <c r="G4488" i="7"/>
  <c r="G4489" i="7"/>
  <c r="G4490" i="7"/>
  <c r="G4491" i="7"/>
  <c r="G4492" i="7"/>
  <c r="G4493" i="7"/>
  <c r="G4494" i="7"/>
  <c r="G4495" i="7"/>
  <c r="G4496" i="7"/>
  <c r="G4497" i="7"/>
  <c r="G4498" i="7"/>
  <c r="G4499" i="7"/>
  <c r="G4500" i="7"/>
  <c r="G4501" i="7"/>
  <c r="G4502" i="7"/>
  <c r="G4503" i="7"/>
  <c r="G4504" i="7"/>
  <c r="G4505" i="7"/>
  <c r="G4506" i="7"/>
  <c r="G4507" i="7"/>
  <c r="G4508" i="7"/>
  <c r="G4509" i="7"/>
  <c r="G4510" i="7"/>
  <c r="G4511" i="7"/>
  <c r="G4512" i="7"/>
  <c r="G4513" i="7"/>
  <c r="G4514" i="7"/>
  <c r="G4515" i="7"/>
  <c r="G4516" i="7"/>
  <c r="G4517" i="7"/>
  <c r="G4518" i="7"/>
  <c r="G4519" i="7"/>
  <c r="G4520" i="7"/>
  <c r="G4521" i="7"/>
  <c r="G4522" i="7"/>
  <c r="G4523" i="7"/>
  <c r="G4524" i="7"/>
  <c r="G4525" i="7"/>
  <c r="G4526" i="7"/>
  <c r="G4527" i="7"/>
  <c r="G4528" i="7"/>
  <c r="G4529" i="7"/>
  <c r="G4530" i="7"/>
  <c r="G4531" i="7"/>
  <c r="G4532" i="7"/>
  <c r="G4533" i="7"/>
  <c r="G4534" i="7"/>
  <c r="G4535" i="7"/>
  <c r="G4536" i="7"/>
  <c r="G4537" i="7"/>
  <c r="G4538" i="7"/>
  <c r="G4539" i="7"/>
  <c r="G4540" i="7"/>
  <c r="G4541" i="7"/>
  <c r="G4542" i="7"/>
  <c r="G4543" i="7"/>
  <c r="G4544" i="7"/>
  <c r="G4545" i="7"/>
  <c r="G4546" i="7"/>
  <c r="G4547" i="7"/>
  <c r="G4548" i="7"/>
  <c r="G4549" i="7"/>
  <c r="G4550" i="7"/>
  <c r="G4551" i="7"/>
  <c r="G4552" i="7"/>
  <c r="G4553" i="7"/>
  <c r="G4554" i="7"/>
  <c r="G4555" i="7"/>
  <c r="G4556" i="7"/>
  <c r="G4557" i="7"/>
  <c r="G4558" i="7"/>
  <c r="G4559" i="7"/>
  <c r="G4560" i="7"/>
  <c r="G4561" i="7"/>
  <c r="G4562" i="7"/>
  <c r="G4563" i="7"/>
  <c r="G4564" i="7"/>
  <c r="G4565" i="7"/>
  <c r="G4566" i="7"/>
  <c r="G4567" i="7"/>
  <c r="G4568" i="7"/>
  <c r="G4569" i="7"/>
  <c r="G4570" i="7"/>
  <c r="G4571" i="7"/>
  <c r="G4572" i="7"/>
  <c r="G4573" i="7"/>
  <c r="G4574" i="7"/>
  <c r="G4575" i="7"/>
  <c r="G4576" i="7"/>
  <c r="G4577" i="7"/>
  <c r="G4578" i="7"/>
  <c r="G4579" i="7"/>
  <c r="G4580" i="7"/>
  <c r="G4581" i="7"/>
  <c r="G4582" i="7"/>
  <c r="G4583" i="7"/>
  <c r="G4584" i="7"/>
  <c r="G4585" i="7"/>
  <c r="G4586" i="7"/>
  <c r="G4587" i="7"/>
  <c r="G4588" i="7"/>
  <c r="G4589" i="7"/>
  <c r="G4590" i="7"/>
  <c r="G4591" i="7"/>
  <c r="G4592" i="7"/>
  <c r="G4593" i="7"/>
  <c r="G4594" i="7"/>
  <c r="G4595" i="7"/>
  <c r="G4596" i="7"/>
  <c r="G4597" i="7"/>
  <c r="G4598" i="7"/>
  <c r="G4599" i="7"/>
  <c r="G4600" i="7"/>
  <c r="G4601" i="7"/>
  <c r="G4602" i="7"/>
  <c r="G4603" i="7"/>
  <c r="G4604" i="7"/>
  <c r="G4605" i="7"/>
  <c r="G4606" i="7"/>
  <c r="G4607" i="7"/>
  <c r="G4608" i="7"/>
  <c r="G4609" i="7"/>
  <c r="G4610" i="7"/>
  <c r="G4611" i="7"/>
  <c r="G4612" i="7"/>
  <c r="G4613" i="7"/>
  <c r="G4614" i="7"/>
  <c r="G4615" i="7"/>
  <c r="G4616" i="7"/>
  <c r="G4617" i="7"/>
  <c r="G4618" i="7"/>
  <c r="G4619" i="7"/>
  <c r="G4620" i="7"/>
  <c r="G4621" i="7"/>
  <c r="G4622" i="7"/>
  <c r="G4623" i="7"/>
  <c r="G4624" i="7"/>
  <c r="G4625" i="7"/>
  <c r="G4626" i="7"/>
  <c r="G4627" i="7"/>
  <c r="G4628" i="7"/>
  <c r="G4629" i="7"/>
  <c r="G4630" i="7"/>
  <c r="G4631" i="7"/>
  <c r="G4632" i="7"/>
  <c r="G4633" i="7"/>
  <c r="G4634" i="7"/>
  <c r="G4635" i="7"/>
  <c r="G4636" i="7"/>
  <c r="G4637" i="7"/>
  <c r="G4638" i="7"/>
  <c r="G4639" i="7"/>
  <c r="G4640" i="7"/>
  <c r="G4641" i="7"/>
  <c r="G4642" i="7"/>
  <c r="G4643" i="7"/>
  <c r="G4644" i="7"/>
  <c r="G4645" i="7"/>
  <c r="G4646" i="7"/>
  <c r="G4647" i="7"/>
  <c r="G4648" i="7"/>
  <c r="G4649" i="7"/>
  <c r="G4650" i="7"/>
  <c r="G4651" i="7"/>
  <c r="G4652" i="7"/>
  <c r="G4653" i="7"/>
  <c r="G4654" i="7"/>
  <c r="G4655" i="7"/>
  <c r="G4656" i="7"/>
  <c r="G4657" i="7"/>
  <c r="G4658" i="7"/>
  <c r="G4659" i="7"/>
  <c r="G4660" i="7"/>
  <c r="G4661" i="7"/>
  <c r="G4662" i="7"/>
  <c r="G4663" i="7"/>
  <c r="G4664" i="7"/>
  <c r="G4665" i="7"/>
  <c r="G4666" i="7"/>
  <c r="G4667" i="7"/>
  <c r="G4668" i="7"/>
  <c r="G4669" i="7"/>
  <c r="G4670" i="7"/>
  <c r="G4671" i="7"/>
  <c r="G4672" i="7"/>
  <c r="G4673" i="7"/>
  <c r="G4674" i="7"/>
  <c r="G4675" i="7"/>
  <c r="G4676" i="7"/>
  <c r="G4677" i="7"/>
  <c r="G4678" i="7"/>
  <c r="G4679" i="7"/>
  <c r="G4680" i="7"/>
  <c r="G4681" i="7"/>
  <c r="G4682" i="7"/>
  <c r="G4683" i="7"/>
  <c r="G4684" i="7"/>
  <c r="G4685" i="7"/>
  <c r="G4686" i="7"/>
  <c r="G4687" i="7"/>
  <c r="G4688" i="7"/>
  <c r="G4689" i="7"/>
  <c r="G4690" i="7"/>
  <c r="G4691" i="7"/>
  <c r="G4692" i="7"/>
  <c r="G4693" i="7"/>
  <c r="G4694" i="7"/>
  <c r="G4695" i="7"/>
  <c r="G4696" i="7"/>
  <c r="G4697" i="7"/>
  <c r="G4698" i="7"/>
  <c r="G4699" i="7"/>
  <c r="G4700" i="7"/>
  <c r="G4701" i="7"/>
  <c r="G4702" i="7"/>
  <c r="G4703" i="7"/>
  <c r="G4704" i="7"/>
  <c r="G4705" i="7"/>
  <c r="G4706" i="7"/>
  <c r="G4707" i="7"/>
  <c r="G4708" i="7"/>
  <c r="G4709" i="7"/>
  <c r="G4710" i="7"/>
  <c r="G4711" i="7"/>
  <c r="G4712" i="7"/>
  <c r="G4713" i="7"/>
  <c r="G4714" i="7"/>
  <c r="G4715" i="7"/>
  <c r="G4716" i="7"/>
  <c r="G4717" i="7"/>
  <c r="G4718" i="7"/>
  <c r="G4719" i="7"/>
  <c r="G4720" i="7"/>
  <c r="G4721" i="7"/>
  <c r="G4722" i="7"/>
  <c r="G4723" i="7"/>
  <c r="G4724" i="7"/>
  <c r="G4725" i="7"/>
  <c r="G4726" i="7"/>
  <c r="G4727" i="7"/>
  <c r="G4728" i="7"/>
  <c r="G4729" i="7"/>
  <c r="G4730" i="7"/>
  <c r="G4731" i="7"/>
  <c r="G4732" i="7"/>
  <c r="G4733" i="7"/>
  <c r="G4734" i="7"/>
  <c r="G4735" i="7"/>
  <c r="G4736" i="7"/>
  <c r="G4737" i="7"/>
  <c r="G4738" i="7"/>
  <c r="G4739" i="7"/>
  <c r="G4740" i="7"/>
  <c r="G4741" i="7"/>
  <c r="G4742" i="7"/>
  <c r="G4743" i="7"/>
  <c r="G4744" i="7"/>
  <c r="G4745" i="7"/>
  <c r="G4746" i="7"/>
  <c r="G4747" i="7"/>
  <c r="G4748" i="7"/>
  <c r="G4749" i="7"/>
  <c r="G4750" i="7"/>
  <c r="G4751" i="7"/>
  <c r="G4752" i="7"/>
  <c r="G4753" i="7"/>
  <c r="G4754" i="7"/>
  <c r="G4755" i="7"/>
  <c r="G4756" i="7"/>
  <c r="G4757" i="7"/>
  <c r="G4758" i="7"/>
  <c r="G4759" i="7"/>
  <c r="G4760" i="7"/>
  <c r="G4761" i="7"/>
  <c r="G4762" i="7"/>
  <c r="G4763" i="7"/>
  <c r="G4764" i="7"/>
  <c r="G4765" i="7"/>
  <c r="G4766" i="7"/>
  <c r="G4767" i="7"/>
  <c r="G4768" i="7"/>
  <c r="G4769" i="7"/>
  <c r="G4770" i="7"/>
  <c r="G4771" i="7"/>
  <c r="G4772" i="7"/>
  <c r="G4773" i="7"/>
  <c r="G4774" i="7"/>
  <c r="G4775" i="7"/>
  <c r="G4776" i="7"/>
  <c r="G4777" i="7"/>
  <c r="G4778" i="7"/>
  <c r="G4779" i="7"/>
  <c r="G4780" i="7"/>
  <c r="G4781" i="7"/>
  <c r="G4782" i="7"/>
  <c r="G4783" i="7"/>
  <c r="G4784" i="7"/>
  <c r="G4785" i="7"/>
  <c r="G4786" i="7"/>
  <c r="G4787" i="7"/>
  <c r="G4788" i="7"/>
  <c r="G4789" i="7"/>
  <c r="G4790" i="7"/>
  <c r="G4791" i="7"/>
  <c r="G4792" i="7"/>
  <c r="G4793" i="7"/>
  <c r="G4794" i="7"/>
  <c r="G4795" i="7"/>
  <c r="G4796" i="7"/>
  <c r="G4797" i="7"/>
  <c r="G4798" i="7"/>
  <c r="G4799" i="7"/>
  <c r="G4800" i="7"/>
  <c r="G4801" i="7"/>
  <c r="G4802" i="7"/>
  <c r="G4803" i="7"/>
  <c r="G4804" i="7"/>
  <c r="G4805" i="7"/>
  <c r="G4806" i="7"/>
  <c r="G4807" i="7"/>
  <c r="G4808" i="7"/>
  <c r="G4809" i="7"/>
  <c r="G4810" i="7"/>
  <c r="G4811" i="7"/>
  <c r="G4812" i="7"/>
  <c r="G4813" i="7"/>
  <c r="G4814" i="7"/>
  <c r="G4815" i="7"/>
  <c r="G4816" i="7"/>
  <c r="G4817" i="7"/>
  <c r="G4818" i="7"/>
  <c r="G4819" i="7"/>
  <c r="G4820" i="7"/>
  <c r="G4821" i="7"/>
  <c r="G4822" i="7"/>
  <c r="G4823" i="7"/>
  <c r="G4824" i="7"/>
  <c r="G4825" i="7"/>
  <c r="G4826" i="7"/>
  <c r="G4827" i="7"/>
  <c r="G4828" i="7"/>
  <c r="G4829" i="7"/>
  <c r="G4830" i="7"/>
  <c r="G4831" i="7"/>
  <c r="G4832" i="7"/>
  <c r="G4833" i="7"/>
  <c r="G4834" i="7"/>
  <c r="G4835" i="7"/>
  <c r="G4836" i="7"/>
  <c r="G4837" i="7"/>
  <c r="G4838" i="7"/>
  <c r="G4839" i="7"/>
  <c r="G4840" i="7"/>
  <c r="G4841" i="7"/>
  <c r="G4842" i="7"/>
  <c r="G4843" i="7"/>
  <c r="G4844" i="7"/>
  <c r="G4845" i="7"/>
  <c r="G4846" i="7"/>
  <c r="G4847" i="7"/>
  <c r="G4848" i="7"/>
  <c r="G4849" i="7"/>
  <c r="G4850" i="7"/>
  <c r="G4851" i="7"/>
  <c r="G4852" i="7"/>
  <c r="G4853" i="7"/>
  <c r="G4854" i="7"/>
  <c r="G4855" i="7"/>
  <c r="G4856" i="7"/>
  <c r="G4857" i="7"/>
  <c r="G4858" i="7"/>
  <c r="G4859" i="7"/>
  <c r="G4860" i="7"/>
  <c r="G4861" i="7"/>
  <c r="G4862" i="7"/>
  <c r="G4863" i="7"/>
  <c r="G4864" i="7"/>
  <c r="G4865" i="7"/>
  <c r="G4866" i="7"/>
  <c r="G4867" i="7"/>
  <c r="G4868" i="7"/>
  <c r="G4869" i="7"/>
  <c r="G4870" i="7"/>
  <c r="G4871" i="7"/>
  <c r="G4872" i="7"/>
  <c r="G4873" i="7"/>
  <c r="G4874" i="7"/>
  <c r="G4875" i="7"/>
  <c r="G4876" i="7"/>
  <c r="G4877" i="7"/>
  <c r="G4878" i="7"/>
  <c r="G4879" i="7"/>
  <c r="G4880" i="7"/>
  <c r="G4881" i="7"/>
  <c r="G4882" i="7"/>
  <c r="G4883" i="7"/>
  <c r="G4884" i="7"/>
  <c r="G4885" i="7"/>
  <c r="G4886" i="7"/>
  <c r="G4887" i="7"/>
  <c r="G4888" i="7"/>
  <c r="G4889" i="7"/>
  <c r="G4890" i="7"/>
  <c r="G4891" i="7"/>
  <c r="G4892" i="7"/>
  <c r="G4893" i="7"/>
  <c r="G4894" i="7"/>
  <c r="G4895" i="7"/>
  <c r="G4896" i="7"/>
  <c r="G4897" i="7"/>
  <c r="G4898" i="7"/>
  <c r="G4899" i="7"/>
  <c r="G4900" i="7"/>
  <c r="G4901" i="7"/>
  <c r="G4902" i="7"/>
  <c r="G4903" i="7"/>
  <c r="G4904" i="7"/>
  <c r="G4905" i="7"/>
  <c r="G4906" i="7"/>
  <c r="G4907" i="7"/>
  <c r="G4908" i="7"/>
  <c r="G4909" i="7"/>
  <c r="G4910" i="7"/>
  <c r="G4911" i="7"/>
  <c r="G4912" i="7"/>
  <c r="G4913" i="7"/>
  <c r="G4914" i="7"/>
  <c r="G4915" i="7"/>
  <c r="G4916" i="7"/>
  <c r="G4917" i="7"/>
  <c r="G4918" i="7"/>
  <c r="G4919" i="7"/>
  <c r="G4920" i="7"/>
  <c r="G4921" i="7"/>
  <c r="G4922" i="7"/>
  <c r="G4923" i="7"/>
  <c r="G4924" i="7"/>
  <c r="G4925" i="7"/>
  <c r="G4926" i="7"/>
  <c r="G4927" i="7"/>
  <c r="G4928" i="7"/>
  <c r="G4929" i="7"/>
  <c r="G4930" i="7"/>
  <c r="G4931" i="7"/>
  <c r="G4932" i="7"/>
  <c r="G4933" i="7"/>
  <c r="G4934" i="7"/>
  <c r="G4935" i="7"/>
  <c r="G4936" i="7"/>
  <c r="G4937" i="7"/>
  <c r="G4938" i="7"/>
  <c r="G4939" i="7"/>
  <c r="G4940" i="7"/>
  <c r="G4941" i="7"/>
  <c r="G4942" i="7"/>
  <c r="G4943" i="7"/>
  <c r="G4944" i="7"/>
  <c r="G4945" i="7"/>
  <c r="G4946" i="7"/>
  <c r="G4947" i="7"/>
  <c r="G4948" i="7"/>
  <c r="G4949" i="7"/>
  <c r="G4950" i="7"/>
  <c r="G4951" i="7"/>
  <c r="G4952" i="7"/>
  <c r="G4953" i="7"/>
  <c r="G4954" i="7"/>
  <c r="G4955" i="7"/>
  <c r="G4956" i="7"/>
  <c r="G4957" i="7"/>
  <c r="G4958" i="7"/>
  <c r="G4959" i="7"/>
  <c r="G4960" i="7"/>
  <c r="G4961" i="7"/>
  <c r="G4962" i="7"/>
  <c r="G4963" i="7"/>
  <c r="G4964" i="7"/>
  <c r="G4965" i="7"/>
  <c r="G4966" i="7"/>
  <c r="G4967" i="7"/>
  <c r="G4968" i="7"/>
  <c r="G4969" i="7"/>
  <c r="G4970" i="7"/>
  <c r="G4971" i="7"/>
  <c r="G4972" i="7"/>
  <c r="G4973" i="7"/>
  <c r="G4974" i="7"/>
  <c r="G4975" i="7"/>
  <c r="G4976" i="7"/>
  <c r="G4977" i="7"/>
  <c r="G4978" i="7"/>
  <c r="G4979" i="7"/>
  <c r="G4980" i="7"/>
  <c r="G4981" i="7"/>
  <c r="G4982" i="7"/>
  <c r="G4983" i="7"/>
  <c r="G4984" i="7"/>
  <c r="G4985" i="7"/>
  <c r="G4986" i="7"/>
  <c r="G4987" i="7"/>
  <c r="G4988" i="7"/>
  <c r="G4989" i="7"/>
  <c r="G4990" i="7"/>
  <c r="G4991" i="7"/>
  <c r="G4992" i="7"/>
  <c r="G4993" i="7"/>
  <c r="G4994" i="7"/>
  <c r="G4995" i="7"/>
  <c r="G4996" i="7"/>
  <c r="G4997" i="7"/>
  <c r="G4998" i="7"/>
  <c r="G4999" i="7"/>
  <c r="G5000" i="7"/>
  <c r="G5001" i="7"/>
  <c r="G5002" i="7"/>
  <c r="G5003" i="7"/>
  <c r="G5004" i="7"/>
  <c r="G5005" i="7"/>
  <c r="G5006" i="7"/>
  <c r="G5007" i="7"/>
  <c r="G5008" i="7"/>
  <c r="G5009" i="7"/>
  <c r="G5010" i="7"/>
  <c r="G5011" i="7"/>
  <c r="G5012" i="7"/>
  <c r="G5013" i="7"/>
  <c r="G5014" i="7"/>
  <c r="G5015" i="7"/>
  <c r="G5016" i="7"/>
  <c r="G5017" i="7"/>
  <c r="G5018" i="7"/>
  <c r="G5019" i="7"/>
  <c r="G5020" i="7"/>
  <c r="G5021" i="7"/>
  <c r="G5022" i="7"/>
  <c r="G5023" i="7"/>
  <c r="G5024" i="7"/>
  <c r="G5025" i="7"/>
  <c r="G5026" i="7"/>
  <c r="G5027" i="7"/>
  <c r="G5028" i="7"/>
  <c r="G5029" i="7"/>
  <c r="G5030" i="7"/>
  <c r="G5031" i="7"/>
  <c r="G5032" i="7"/>
  <c r="G5033" i="7"/>
  <c r="G5034" i="7"/>
  <c r="G5035" i="7"/>
  <c r="G5036" i="7"/>
  <c r="G5037" i="7"/>
  <c r="G5038" i="7"/>
  <c r="G5039" i="7"/>
  <c r="G5040" i="7"/>
  <c r="G5041" i="7"/>
  <c r="G5042" i="7"/>
  <c r="G5043" i="7"/>
  <c r="G5044" i="7"/>
  <c r="G5045" i="7"/>
  <c r="G5046" i="7"/>
  <c r="G5047" i="7"/>
  <c r="G5048" i="7"/>
  <c r="G5049" i="7"/>
  <c r="G5050" i="7"/>
  <c r="G5051" i="7"/>
  <c r="G5052" i="7"/>
  <c r="G5053" i="7"/>
  <c r="G5054" i="7"/>
  <c r="G5055" i="7"/>
  <c r="G5056" i="7"/>
  <c r="G5057" i="7"/>
  <c r="G5058" i="7"/>
  <c r="G5059" i="7"/>
  <c r="G5060" i="7"/>
  <c r="G5061" i="7"/>
  <c r="G5062" i="7"/>
  <c r="G5063" i="7"/>
  <c r="G5064" i="7"/>
  <c r="G5065" i="7"/>
  <c r="G5066" i="7"/>
  <c r="G5067" i="7"/>
  <c r="G5068" i="7"/>
  <c r="G5069" i="7"/>
  <c r="G5070" i="7"/>
  <c r="G5071" i="7"/>
  <c r="G5072" i="7"/>
  <c r="G5073" i="7"/>
  <c r="G5074" i="7"/>
  <c r="G5075" i="7"/>
  <c r="G5076" i="7"/>
  <c r="G5077" i="7"/>
  <c r="G5078" i="7"/>
  <c r="G5079" i="7"/>
  <c r="G5080" i="7"/>
  <c r="G5081" i="7"/>
  <c r="G5082" i="7"/>
  <c r="G5083" i="7"/>
  <c r="G5084" i="7"/>
  <c r="G5085" i="7"/>
  <c r="G5086" i="7"/>
  <c r="G5087" i="7"/>
  <c r="G5088" i="7"/>
  <c r="G5089" i="7"/>
  <c r="G5090" i="7"/>
  <c r="G5091" i="7"/>
  <c r="G5092" i="7"/>
  <c r="G5093" i="7"/>
  <c r="G5094" i="7"/>
  <c r="G5095" i="7"/>
  <c r="G5096" i="7"/>
  <c r="G5097" i="7"/>
  <c r="G5098" i="7"/>
  <c r="G5099" i="7"/>
  <c r="G5100" i="7"/>
  <c r="G5101" i="7"/>
  <c r="G5102" i="7"/>
  <c r="G5103" i="7"/>
  <c r="G5104" i="7"/>
  <c r="G5105" i="7"/>
  <c r="G5106" i="7"/>
  <c r="G5107" i="7"/>
  <c r="G5108" i="7"/>
  <c r="G5109" i="7"/>
  <c r="G5110" i="7"/>
  <c r="G5111" i="7"/>
  <c r="G5112" i="7"/>
  <c r="G5113" i="7"/>
  <c r="G5114" i="7"/>
  <c r="G5115" i="7"/>
  <c r="G5116" i="7"/>
  <c r="G5117" i="7"/>
  <c r="G5118" i="7"/>
  <c r="G5119" i="7"/>
  <c r="G5120" i="7"/>
  <c r="G5121" i="7"/>
  <c r="G5122" i="7"/>
  <c r="G5123" i="7"/>
  <c r="G5124" i="7"/>
  <c r="G5125" i="7"/>
  <c r="G5126" i="7"/>
  <c r="G5127" i="7"/>
  <c r="G5128" i="7"/>
  <c r="G5129" i="7"/>
  <c r="G5130" i="7"/>
  <c r="G5131" i="7"/>
  <c r="G5132" i="7"/>
  <c r="G5133" i="7"/>
  <c r="G5134" i="7"/>
  <c r="G5135" i="7"/>
  <c r="G5136" i="7"/>
  <c r="G5137" i="7"/>
  <c r="G5138" i="7"/>
  <c r="G5139" i="7"/>
  <c r="G5140" i="7"/>
  <c r="G5141" i="7"/>
  <c r="G5142" i="7"/>
  <c r="G5143" i="7"/>
  <c r="G5144" i="7"/>
  <c r="G5145" i="7"/>
  <c r="G5146" i="7"/>
  <c r="G5147" i="7"/>
  <c r="G5148" i="7"/>
  <c r="G5149" i="7"/>
  <c r="G5150" i="7"/>
  <c r="G5151" i="7"/>
  <c r="G5152" i="7"/>
  <c r="G5153" i="7"/>
  <c r="G5154" i="7"/>
  <c r="G5155" i="7"/>
  <c r="G5156" i="7"/>
  <c r="G5157" i="7"/>
  <c r="G5158" i="7"/>
  <c r="G5159" i="7"/>
  <c r="G5160" i="7"/>
  <c r="G5161" i="7"/>
  <c r="G5162" i="7"/>
  <c r="G5163" i="7"/>
  <c r="G5164" i="7"/>
  <c r="G5165" i="7"/>
  <c r="G5166" i="7"/>
  <c r="G5167" i="7"/>
  <c r="G5168" i="7"/>
  <c r="G5169" i="7"/>
  <c r="G5170" i="7"/>
  <c r="G5171" i="7"/>
  <c r="G5172" i="7"/>
  <c r="G5173" i="7"/>
  <c r="G5174" i="7"/>
  <c r="G5175" i="7"/>
  <c r="G5176" i="7"/>
  <c r="G5177" i="7"/>
  <c r="G5178" i="7"/>
  <c r="G5179" i="7"/>
  <c r="G5180" i="7"/>
  <c r="G5181" i="7"/>
  <c r="G5182" i="7"/>
  <c r="G5183" i="7"/>
  <c r="G5184" i="7"/>
  <c r="G5185" i="7"/>
  <c r="G5186" i="7"/>
  <c r="G5187" i="7"/>
  <c r="G5188" i="7"/>
  <c r="G5189" i="7"/>
  <c r="G5190" i="7"/>
  <c r="G5191" i="7"/>
  <c r="G5192" i="7"/>
  <c r="G5193" i="7"/>
  <c r="G5194" i="7"/>
  <c r="G5195" i="7"/>
  <c r="G5196" i="7"/>
  <c r="G5197" i="7"/>
  <c r="G5198" i="7"/>
  <c r="G5199" i="7"/>
  <c r="G5200" i="7"/>
  <c r="G5201" i="7"/>
  <c r="G5202" i="7"/>
  <c r="G5203" i="7"/>
  <c r="G5204" i="7"/>
  <c r="G5205" i="7"/>
  <c r="G5206" i="7"/>
  <c r="G5207" i="7"/>
  <c r="G5208" i="7"/>
  <c r="G5209" i="7"/>
  <c r="G5210" i="7"/>
  <c r="G5211" i="7"/>
  <c r="G5212" i="7"/>
  <c r="G5213" i="7"/>
  <c r="G5214" i="7"/>
  <c r="G5215" i="7"/>
  <c r="G5216" i="7"/>
  <c r="G5217" i="7"/>
  <c r="G5218" i="7"/>
  <c r="G5219" i="7"/>
  <c r="G5220" i="7"/>
  <c r="G5221" i="7"/>
  <c r="G5222" i="7"/>
  <c r="G5223" i="7"/>
  <c r="G5224" i="7"/>
  <c r="G5225" i="7"/>
  <c r="G5226" i="7"/>
  <c r="G5227" i="7"/>
  <c r="G5228" i="7"/>
  <c r="G5229" i="7"/>
  <c r="G5230" i="7"/>
  <c r="G5231" i="7"/>
  <c r="G5232" i="7"/>
  <c r="G5233" i="7"/>
  <c r="G5234" i="7"/>
  <c r="G5235" i="7"/>
  <c r="G5236" i="7"/>
  <c r="G5237" i="7"/>
  <c r="G5238" i="7"/>
  <c r="G5239" i="7"/>
  <c r="G5240" i="7"/>
  <c r="G5241" i="7"/>
  <c r="G5242" i="7"/>
  <c r="G5243" i="7"/>
  <c r="G5244" i="7"/>
  <c r="G5245" i="7"/>
  <c r="G5246" i="7"/>
  <c r="G5247" i="7"/>
  <c r="G5248" i="7"/>
  <c r="G5249" i="7"/>
  <c r="G5250" i="7"/>
  <c r="G5251" i="7"/>
  <c r="G5252" i="7"/>
  <c r="G5253" i="7"/>
  <c r="G5254" i="7"/>
  <c r="G5255" i="7"/>
  <c r="G5256" i="7"/>
  <c r="G5257" i="7"/>
  <c r="G5258" i="7"/>
  <c r="G5259" i="7"/>
  <c r="G5260" i="7"/>
  <c r="G5261" i="7"/>
  <c r="G5262" i="7"/>
  <c r="G5263" i="7"/>
  <c r="G5264" i="7"/>
  <c r="G5265" i="7"/>
  <c r="G5266" i="7"/>
  <c r="G5267" i="7"/>
  <c r="G5268" i="7"/>
  <c r="G5269" i="7"/>
  <c r="G5270" i="7"/>
  <c r="G5271" i="7"/>
  <c r="G5272" i="7"/>
  <c r="G5273" i="7"/>
  <c r="G5274" i="7"/>
  <c r="G5275" i="7"/>
  <c r="G5276" i="7"/>
  <c r="G5277" i="7"/>
  <c r="G5278" i="7"/>
  <c r="G5279" i="7"/>
  <c r="G5280" i="7"/>
  <c r="G5281" i="7"/>
  <c r="G5282" i="7"/>
  <c r="G5283" i="7"/>
  <c r="G5284" i="7"/>
  <c r="G5285" i="7"/>
  <c r="G5286" i="7"/>
  <c r="G5287" i="7"/>
  <c r="G5288" i="7"/>
  <c r="G5289" i="7"/>
  <c r="G5290" i="7"/>
  <c r="G5291" i="7"/>
  <c r="G5292" i="7"/>
  <c r="G5293" i="7"/>
  <c r="G5294" i="7"/>
  <c r="G5295" i="7"/>
  <c r="G5296" i="7"/>
  <c r="G5297" i="7"/>
  <c r="G5298" i="7"/>
  <c r="G5299" i="7"/>
  <c r="G5300" i="7"/>
  <c r="G5301" i="7"/>
  <c r="G5302" i="7"/>
  <c r="G5303" i="7"/>
  <c r="G5304" i="7"/>
  <c r="G5305" i="7"/>
  <c r="G5306" i="7"/>
  <c r="G5307" i="7"/>
  <c r="G5308" i="7"/>
  <c r="G5309" i="7"/>
  <c r="G5310" i="7"/>
  <c r="G5311" i="7"/>
  <c r="G5312" i="7"/>
  <c r="G5313" i="7"/>
  <c r="G5314" i="7"/>
  <c r="G5315" i="7"/>
  <c r="G5316" i="7"/>
  <c r="G5317" i="7"/>
  <c r="G5318" i="7"/>
  <c r="G5319" i="7"/>
  <c r="G5320" i="7"/>
  <c r="G5321" i="7"/>
  <c r="G5322" i="7"/>
  <c r="G5323" i="7"/>
  <c r="G5324" i="7"/>
  <c r="G5325" i="7"/>
  <c r="G5326" i="7"/>
  <c r="G5327" i="7"/>
  <c r="G5328" i="7"/>
  <c r="G5329" i="7"/>
  <c r="G5330" i="7"/>
  <c r="G5331" i="7"/>
  <c r="G5332" i="7"/>
  <c r="G5333" i="7"/>
  <c r="G5334" i="7"/>
  <c r="G5335" i="7"/>
  <c r="G5336" i="7"/>
  <c r="G5337" i="7"/>
  <c r="G5338" i="7"/>
  <c r="G5339" i="7"/>
  <c r="G5340" i="7"/>
  <c r="G5341" i="7"/>
  <c r="G5342" i="7"/>
  <c r="G5343" i="7"/>
  <c r="G5344" i="7"/>
  <c r="G5345" i="7"/>
  <c r="G5346" i="7"/>
  <c r="G5347" i="7"/>
  <c r="G5348" i="7"/>
  <c r="G5349" i="7"/>
  <c r="G5350" i="7"/>
  <c r="G5351" i="7"/>
  <c r="G5352" i="7"/>
  <c r="G5353" i="7"/>
  <c r="G5354" i="7"/>
  <c r="G5355" i="7"/>
  <c r="G5356" i="7"/>
  <c r="G5357" i="7"/>
  <c r="G5358" i="7"/>
  <c r="G5359" i="7"/>
  <c r="G5360" i="7"/>
  <c r="G5361" i="7"/>
  <c r="G5362" i="7"/>
  <c r="G5363" i="7"/>
  <c r="G5364" i="7"/>
  <c r="G5365" i="7"/>
  <c r="G5366" i="7"/>
  <c r="G5367" i="7"/>
  <c r="G5368" i="7"/>
  <c r="G5369" i="7"/>
  <c r="G5370" i="7"/>
  <c r="G5371" i="7"/>
  <c r="G5372" i="7"/>
  <c r="G5373" i="7"/>
  <c r="G5374" i="7"/>
  <c r="G5375" i="7"/>
  <c r="G5376" i="7"/>
  <c r="G5377" i="7"/>
  <c r="G5378" i="7"/>
  <c r="G5379" i="7"/>
  <c r="G5380" i="7"/>
  <c r="G5381" i="7"/>
  <c r="G5382" i="7"/>
  <c r="G5383" i="7"/>
  <c r="G5384" i="7"/>
  <c r="G5385" i="7"/>
  <c r="G5386" i="7"/>
  <c r="G5387" i="7"/>
  <c r="G5388" i="7"/>
  <c r="G5389" i="7"/>
  <c r="G5390" i="7"/>
  <c r="G5391" i="7"/>
  <c r="G5392" i="7"/>
  <c r="G5393" i="7"/>
  <c r="G5394" i="7"/>
  <c r="G5395" i="7"/>
  <c r="G5396" i="7"/>
  <c r="G5397" i="7"/>
  <c r="G5398" i="7"/>
  <c r="G5399" i="7"/>
  <c r="G5400" i="7"/>
  <c r="G5401" i="7"/>
  <c r="G5402" i="7"/>
  <c r="G5403" i="7"/>
  <c r="G5404" i="7"/>
  <c r="G5405" i="7"/>
  <c r="G5406" i="7"/>
  <c r="G5407" i="7"/>
  <c r="G5408" i="7"/>
  <c r="G5409" i="7"/>
  <c r="G5410" i="7"/>
  <c r="G5411" i="7"/>
  <c r="G5412" i="7"/>
  <c r="G5413" i="7"/>
  <c r="G5414" i="7"/>
  <c r="G5415" i="7"/>
  <c r="G5416" i="7"/>
  <c r="G5417" i="7"/>
  <c r="G5418" i="7"/>
  <c r="G5419" i="7"/>
  <c r="G5420" i="7"/>
  <c r="G5421" i="7"/>
  <c r="G5422" i="7"/>
  <c r="G5423" i="7"/>
  <c r="G5424" i="7"/>
  <c r="G5425" i="7"/>
  <c r="G5426" i="7"/>
  <c r="G5427" i="7"/>
  <c r="G5428" i="7"/>
  <c r="G5429" i="7"/>
  <c r="G5430" i="7"/>
  <c r="G5431" i="7"/>
  <c r="G5432" i="7"/>
  <c r="G5433" i="7"/>
  <c r="G5434" i="7"/>
  <c r="G5435" i="7"/>
  <c r="G5436" i="7"/>
  <c r="G5437" i="7"/>
  <c r="G5438" i="7"/>
  <c r="G5439" i="7"/>
  <c r="G5440" i="7"/>
  <c r="G5441" i="7"/>
  <c r="G5442" i="7"/>
  <c r="G5443" i="7"/>
  <c r="G5444" i="7"/>
  <c r="G5445" i="7"/>
  <c r="G5446" i="7"/>
  <c r="G5447" i="7"/>
  <c r="G5448" i="7"/>
  <c r="G5449" i="7"/>
  <c r="G5450" i="7"/>
  <c r="G5451" i="7"/>
  <c r="G5452" i="7"/>
  <c r="G5453" i="7"/>
  <c r="G5454" i="7"/>
  <c r="G5455" i="7"/>
  <c r="G5456" i="7"/>
  <c r="G5457" i="7"/>
  <c r="G5458" i="7"/>
  <c r="G5459" i="7"/>
  <c r="G5460" i="7"/>
  <c r="G5461" i="7"/>
  <c r="G5462" i="7"/>
  <c r="G5463" i="7"/>
  <c r="G5464" i="7"/>
  <c r="G5465" i="7"/>
  <c r="G5466" i="7"/>
  <c r="G5467" i="7"/>
  <c r="G5468" i="7"/>
  <c r="G5469" i="7"/>
  <c r="G5470" i="7"/>
  <c r="G5471" i="7"/>
  <c r="G5472" i="7"/>
  <c r="G5473" i="7"/>
  <c r="G5474" i="7"/>
  <c r="G5475" i="7"/>
  <c r="G5476" i="7"/>
  <c r="G5477" i="7"/>
  <c r="G5478" i="7"/>
  <c r="G5479" i="7"/>
  <c r="G5480" i="7"/>
  <c r="G5481" i="7"/>
  <c r="G5482" i="7"/>
  <c r="G5483" i="7"/>
  <c r="G5484" i="7"/>
  <c r="G5485" i="7"/>
  <c r="G5486" i="7"/>
  <c r="G5487" i="7"/>
  <c r="G5488" i="7"/>
  <c r="G5489" i="7"/>
  <c r="G5490" i="7"/>
  <c r="G5491" i="7"/>
  <c r="G5492" i="7"/>
  <c r="G5493" i="7"/>
  <c r="G5494" i="7"/>
  <c r="G5495" i="7"/>
  <c r="G5496" i="7"/>
  <c r="G5497" i="7"/>
  <c r="G5498" i="7"/>
  <c r="G5499" i="7"/>
  <c r="G5500" i="7"/>
  <c r="G5501" i="7"/>
  <c r="G5502" i="7"/>
  <c r="G5503" i="7"/>
  <c r="G5504" i="7"/>
  <c r="G5505" i="7"/>
  <c r="G5506" i="7"/>
  <c r="G5507" i="7"/>
  <c r="G5508" i="7"/>
  <c r="G5509" i="7"/>
  <c r="G5510" i="7"/>
  <c r="G5511" i="7"/>
  <c r="G5512" i="7"/>
  <c r="G5513" i="7"/>
  <c r="G5514" i="7"/>
  <c r="G5515" i="7"/>
  <c r="G5516" i="7"/>
  <c r="G5517" i="7"/>
  <c r="G5518" i="7"/>
  <c r="G5519" i="7"/>
  <c r="G5520" i="7"/>
  <c r="G5521" i="7"/>
  <c r="G5522" i="7"/>
  <c r="G5523" i="7"/>
  <c r="G5524" i="7"/>
  <c r="G5525" i="7"/>
  <c r="G5526" i="7"/>
  <c r="G5527" i="7"/>
  <c r="G5528" i="7"/>
  <c r="G5529" i="7"/>
  <c r="G5530" i="7"/>
  <c r="G5531" i="7"/>
  <c r="G5532" i="7"/>
  <c r="G5533" i="7"/>
  <c r="G5534" i="7"/>
  <c r="G5535" i="7"/>
  <c r="G5536" i="7"/>
  <c r="G5537" i="7"/>
  <c r="G5538" i="7"/>
  <c r="G5539" i="7"/>
  <c r="G5540" i="7"/>
  <c r="G5541" i="7"/>
  <c r="G5542" i="7"/>
  <c r="G5543" i="7"/>
  <c r="G5544" i="7"/>
  <c r="G5545" i="7"/>
  <c r="G5546" i="7"/>
  <c r="G5547" i="7"/>
  <c r="G5548" i="7"/>
  <c r="G5549" i="7"/>
  <c r="G5550" i="7"/>
  <c r="G5551" i="7"/>
  <c r="G5552" i="7"/>
  <c r="G5553" i="7"/>
  <c r="G5554" i="7"/>
  <c r="G5555" i="7"/>
  <c r="G5556" i="7"/>
  <c r="G5557" i="7"/>
  <c r="G5558" i="7"/>
  <c r="G5559" i="7"/>
  <c r="G5560" i="7"/>
  <c r="G5561" i="7"/>
  <c r="G5562" i="7"/>
  <c r="G5563" i="7"/>
  <c r="G5564" i="7"/>
  <c r="G5565" i="7"/>
  <c r="G5566" i="7"/>
  <c r="G5567" i="7"/>
  <c r="G5568" i="7"/>
  <c r="G5569" i="7"/>
  <c r="G5570" i="7"/>
  <c r="G5571" i="7"/>
  <c r="G5572" i="7"/>
  <c r="G5573" i="7"/>
  <c r="G5574" i="7"/>
  <c r="G5575" i="7"/>
  <c r="G5576" i="7"/>
  <c r="G5577" i="7"/>
  <c r="G5578" i="7"/>
  <c r="G5579" i="7"/>
  <c r="G5580" i="7"/>
  <c r="G5581" i="7"/>
  <c r="G5582" i="7"/>
  <c r="G5583" i="7"/>
  <c r="G5584" i="7"/>
  <c r="G5585" i="7"/>
  <c r="G5586" i="7"/>
  <c r="G5587" i="7"/>
  <c r="G5588" i="7"/>
  <c r="G5589" i="7"/>
  <c r="G5590" i="7"/>
  <c r="G5591" i="7"/>
  <c r="G5592" i="7"/>
  <c r="G5593" i="7"/>
  <c r="G5594" i="7"/>
  <c r="G5595" i="7"/>
  <c r="G5596" i="7"/>
  <c r="G5597" i="7"/>
  <c r="G5598" i="7"/>
  <c r="G5599" i="7"/>
  <c r="G5600" i="7"/>
  <c r="G5601" i="7"/>
  <c r="G5602" i="7"/>
  <c r="G5603" i="7"/>
  <c r="G5604" i="7"/>
  <c r="G5605" i="7"/>
  <c r="G5606" i="7"/>
  <c r="G5607" i="7"/>
  <c r="G5608" i="7"/>
  <c r="G5609" i="7"/>
  <c r="G5610" i="7"/>
  <c r="G5611" i="7"/>
  <c r="G5612" i="7"/>
  <c r="G5613" i="7"/>
  <c r="G5614" i="7"/>
  <c r="G5615" i="7"/>
  <c r="G5616" i="7"/>
  <c r="G5617" i="7"/>
  <c r="G5618" i="7"/>
  <c r="G5619" i="7"/>
  <c r="G5620" i="7"/>
  <c r="G5621" i="7"/>
  <c r="G5622" i="7"/>
  <c r="G5623" i="7"/>
  <c r="G5624" i="7"/>
  <c r="G5625" i="7"/>
  <c r="G5626" i="7"/>
  <c r="G5627" i="7"/>
  <c r="G5628" i="7"/>
  <c r="G5629" i="7"/>
  <c r="G5630" i="7"/>
  <c r="G5631" i="7"/>
  <c r="G5632" i="7"/>
  <c r="G5633" i="7"/>
  <c r="G5634" i="7"/>
  <c r="G5635" i="7"/>
  <c r="G5636" i="7"/>
  <c r="G5637" i="7"/>
  <c r="G5638" i="7"/>
  <c r="G5639" i="7"/>
  <c r="G5640" i="7"/>
  <c r="G5641" i="7"/>
  <c r="G5642" i="7"/>
  <c r="G5643" i="7"/>
  <c r="G5644" i="7"/>
  <c r="G5645" i="7"/>
  <c r="G5646" i="7"/>
  <c r="G5647" i="7"/>
  <c r="G5648" i="7"/>
  <c r="G5649" i="7"/>
  <c r="G5650" i="7"/>
  <c r="G5651" i="7"/>
  <c r="G5652" i="7"/>
  <c r="G5653" i="7"/>
  <c r="G5654" i="7"/>
  <c r="G5655" i="7"/>
  <c r="G5656" i="7"/>
  <c r="G5657" i="7"/>
  <c r="G5658" i="7"/>
  <c r="G5659" i="7"/>
  <c r="G5660" i="7"/>
  <c r="G5661" i="7"/>
  <c r="G5662" i="7"/>
  <c r="G5663" i="7"/>
  <c r="G5664" i="7"/>
  <c r="G5665" i="7"/>
  <c r="G5666" i="7"/>
  <c r="G5667" i="7"/>
  <c r="G5668" i="7"/>
  <c r="G5669" i="7"/>
  <c r="G5670" i="7"/>
  <c r="G5671" i="7"/>
  <c r="G5672" i="7"/>
  <c r="G5673" i="7"/>
  <c r="G5674" i="7"/>
  <c r="G5675" i="7"/>
  <c r="G5676" i="7"/>
  <c r="G5677" i="7"/>
  <c r="G5678" i="7"/>
  <c r="G5679" i="7"/>
  <c r="G5680" i="7"/>
  <c r="G5681" i="7"/>
  <c r="G5682" i="7"/>
  <c r="G5683" i="7"/>
  <c r="G5684" i="7"/>
  <c r="G5685" i="7"/>
  <c r="G5686" i="7"/>
  <c r="G5687" i="7"/>
  <c r="G5688" i="7"/>
  <c r="G5689" i="7"/>
  <c r="G5690" i="7"/>
  <c r="G5691" i="7"/>
  <c r="G5692" i="7"/>
  <c r="G5693" i="7"/>
  <c r="G5694" i="7"/>
  <c r="G5695" i="7"/>
  <c r="G5696" i="7"/>
  <c r="G5697" i="7"/>
  <c r="G5698" i="7"/>
  <c r="G5699" i="7"/>
  <c r="G5700" i="7"/>
  <c r="G5701" i="7"/>
  <c r="G5702" i="7"/>
  <c r="G5703" i="7"/>
  <c r="G5704" i="7"/>
  <c r="G5705" i="7"/>
  <c r="G5706" i="7"/>
  <c r="G5707" i="7"/>
  <c r="G5708" i="7"/>
  <c r="G5709" i="7"/>
  <c r="G5710" i="7"/>
  <c r="G5711" i="7"/>
  <c r="G5712" i="7"/>
  <c r="G5713" i="7"/>
  <c r="G5714" i="7"/>
  <c r="G5715" i="7"/>
  <c r="G5716" i="7"/>
  <c r="G5717" i="7"/>
  <c r="G5718" i="7"/>
  <c r="G5719" i="7"/>
  <c r="G5720" i="7"/>
  <c r="G5721" i="7"/>
  <c r="G5722" i="7"/>
  <c r="G5723" i="7"/>
  <c r="G5724" i="7"/>
  <c r="G5725" i="7"/>
  <c r="G5726" i="7"/>
  <c r="G5727" i="7"/>
  <c r="G5728" i="7"/>
  <c r="G5729" i="7"/>
  <c r="G5730" i="7"/>
  <c r="G5731" i="7"/>
  <c r="G5732" i="7"/>
  <c r="G5733" i="7"/>
  <c r="G5734" i="7"/>
  <c r="G5735" i="7"/>
  <c r="G5736" i="7"/>
  <c r="G5737" i="7"/>
  <c r="G5738" i="7"/>
  <c r="G5739" i="7"/>
  <c r="G5740" i="7"/>
  <c r="G5741" i="7"/>
  <c r="G5742" i="7"/>
  <c r="G5743" i="7"/>
  <c r="G5744" i="7"/>
  <c r="G5745" i="7"/>
  <c r="G5746" i="7"/>
  <c r="G5747" i="7"/>
  <c r="G5748" i="7"/>
  <c r="G5749" i="7"/>
  <c r="G5750" i="7"/>
  <c r="G5751" i="7"/>
  <c r="G5752" i="7"/>
  <c r="G5753" i="7"/>
  <c r="G5754" i="7"/>
  <c r="G5755" i="7"/>
  <c r="G5756" i="7"/>
  <c r="G5757" i="7"/>
  <c r="G5758" i="7"/>
  <c r="G5759" i="7"/>
  <c r="G5760" i="7"/>
  <c r="G5761" i="7"/>
  <c r="G5762" i="7"/>
  <c r="G5763" i="7"/>
  <c r="G5764" i="7"/>
  <c r="G5765" i="7"/>
  <c r="G5766" i="7"/>
  <c r="G5767" i="7"/>
  <c r="G5768" i="7"/>
  <c r="G5769" i="7"/>
  <c r="G5770" i="7"/>
  <c r="G5771" i="7"/>
  <c r="G5772" i="7"/>
  <c r="G5773" i="7"/>
  <c r="G5774" i="7"/>
  <c r="G5775" i="7"/>
  <c r="G5776" i="7"/>
  <c r="G5777" i="7"/>
  <c r="G5778" i="7"/>
  <c r="G5779" i="7"/>
  <c r="G5780" i="7"/>
  <c r="G5781" i="7"/>
  <c r="G5782" i="7"/>
  <c r="G5783" i="7"/>
  <c r="G5784" i="7"/>
  <c r="G5785" i="7"/>
  <c r="G5786" i="7"/>
  <c r="G5787" i="7"/>
  <c r="G5788" i="7"/>
  <c r="G5789" i="7"/>
  <c r="G5790" i="7"/>
  <c r="G5791" i="7"/>
  <c r="G5792" i="7"/>
  <c r="G5793" i="7"/>
  <c r="G5794" i="7"/>
  <c r="G5795" i="7"/>
  <c r="G5796" i="7"/>
  <c r="G5797" i="7"/>
  <c r="G5798" i="7"/>
  <c r="G5799" i="7"/>
  <c r="G5800" i="7"/>
  <c r="G5801" i="7"/>
  <c r="G5802" i="7"/>
  <c r="G5803" i="7"/>
  <c r="G5804" i="7"/>
  <c r="G5805" i="7"/>
  <c r="G5806" i="7"/>
  <c r="G5807" i="7"/>
  <c r="G5808" i="7"/>
  <c r="G5809" i="7"/>
  <c r="G5810" i="7"/>
  <c r="G5811" i="7"/>
  <c r="G5812" i="7"/>
  <c r="G5813" i="7"/>
  <c r="G5814" i="7"/>
  <c r="G5815" i="7"/>
  <c r="G5816" i="7"/>
  <c r="G5817" i="7"/>
  <c r="G5818" i="7"/>
  <c r="G5819" i="7"/>
  <c r="G5820" i="7"/>
  <c r="G5821" i="7"/>
  <c r="G5822" i="7"/>
  <c r="G5823" i="7"/>
  <c r="G5824" i="7"/>
  <c r="G5825" i="7"/>
  <c r="G5826" i="7"/>
  <c r="G5827" i="7"/>
  <c r="G5828" i="7"/>
  <c r="G5829" i="7"/>
  <c r="G5830" i="7"/>
  <c r="G5831" i="7"/>
  <c r="G5832" i="7"/>
  <c r="G5833" i="7"/>
  <c r="G5834" i="7"/>
  <c r="G5835" i="7"/>
  <c r="G5836" i="7"/>
  <c r="G5837" i="7"/>
  <c r="G5838" i="7"/>
  <c r="G5839" i="7"/>
  <c r="G5840" i="7"/>
  <c r="G5841" i="7"/>
  <c r="G5842" i="7"/>
  <c r="G5843" i="7"/>
  <c r="G5844" i="7"/>
  <c r="G5845" i="7"/>
  <c r="G5846" i="7"/>
  <c r="G5847" i="7"/>
  <c r="G5848" i="7"/>
  <c r="G5849" i="7"/>
  <c r="G5850" i="7"/>
  <c r="G5851" i="7"/>
  <c r="G5852" i="7"/>
  <c r="G5853" i="7"/>
  <c r="G5854" i="7"/>
  <c r="G5855" i="7"/>
  <c r="G5856" i="7"/>
  <c r="G5857" i="7"/>
  <c r="G5858" i="7"/>
  <c r="G5859" i="7"/>
  <c r="G5860" i="7"/>
  <c r="G5861" i="7"/>
  <c r="G5862" i="7"/>
  <c r="G5863" i="7"/>
  <c r="G5864" i="7"/>
  <c r="G5865" i="7"/>
  <c r="G5866" i="7"/>
  <c r="G5867" i="7"/>
  <c r="G5868" i="7"/>
  <c r="G5869" i="7"/>
  <c r="G5870" i="7"/>
  <c r="G5871" i="7"/>
  <c r="G5872" i="7"/>
  <c r="G5873" i="7"/>
  <c r="G5874" i="7"/>
  <c r="G5875" i="7"/>
  <c r="G5876" i="7"/>
  <c r="G5877" i="7"/>
  <c r="G5878" i="7"/>
  <c r="G5879" i="7"/>
  <c r="G5880" i="7"/>
  <c r="G5881" i="7"/>
  <c r="G5882" i="7"/>
  <c r="G5883" i="7"/>
  <c r="G5884" i="7"/>
  <c r="G5885" i="7"/>
  <c r="G5886" i="7"/>
  <c r="G5887" i="7"/>
  <c r="G5888" i="7"/>
  <c r="G5889" i="7"/>
  <c r="G5890" i="7"/>
  <c r="G5891" i="7"/>
  <c r="G5892" i="7"/>
  <c r="G5893" i="7"/>
  <c r="G5894" i="7"/>
  <c r="G5895" i="7"/>
  <c r="G5896" i="7"/>
  <c r="G5897" i="7"/>
  <c r="G5898" i="7"/>
  <c r="G5899" i="7"/>
  <c r="G5900" i="7"/>
  <c r="G5901" i="7"/>
  <c r="G5902" i="7"/>
  <c r="G5903" i="7"/>
  <c r="G5904" i="7"/>
  <c r="G5905" i="7"/>
  <c r="G5906" i="7"/>
  <c r="G5907" i="7"/>
  <c r="G5908" i="7"/>
  <c r="G5909" i="7"/>
  <c r="G5910" i="7"/>
  <c r="G5911" i="7"/>
  <c r="G5912" i="7"/>
  <c r="G5913" i="7"/>
  <c r="G5914" i="7"/>
  <c r="G5915" i="7"/>
  <c r="G5916" i="7"/>
  <c r="G5917" i="7"/>
  <c r="G5918" i="7"/>
  <c r="G5919" i="7"/>
  <c r="G5920" i="7"/>
  <c r="G5921" i="7"/>
  <c r="G5922" i="7"/>
  <c r="G5923" i="7"/>
  <c r="G5924" i="7"/>
  <c r="G5925" i="7"/>
  <c r="G5926" i="7"/>
  <c r="G5927" i="7"/>
  <c r="G5928" i="7"/>
  <c r="G5929" i="7"/>
  <c r="G5930" i="7"/>
  <c r="G5931" i="7"/>
  <c r="G5932" i="7"/>
  <c r="G5933" i="7"/>
  <c r="G5934" i="7"/>
  <c r="G5935" i="7"/>
  <c r="G5936" i="7"/>
  <c r="G5937" i="7"/>
  <c r="G5938" i="7"/>
  <c r="G5939" i="7"/>
  <c r="G5940" i="7"/>
  <c r="G5941" i="7"/>
  <c r="G5942" i="7"/>
  <c r="G5943" i="7"/>
  <c r="G5944" i="7"/>
  <c r="G5945" i="7"/>
  <c r="G5946" i="7"/>
  <c r="G5947" i="7"/>
  <c r="G5948" i="7"/>
  <c r="G5949" i="7"/>
  <c r="G5950" i="7"/>
  <c r="G5951" i="7"/>
  <c r="G5952" i="7"/>
  <c r="G5953" i="7"/>
  <c r="G5954" i="7"/>
  <c r="G5955" i="7"/>
  <c r="G5956" i="7"/>
  <c r="G5957" i="7"/>
  <c r="G5958" i="7"/>
  <c r="G5959" i="7"/>
  <c r="G5960" i="7"/>
  <c r="G5961" i="7"/>
  <c r="G5962" i="7"/>
  <c r="G5963" i="7"/>
  <c r="G5964" i="7"/>
  <c r="G5965" i="7"/>
  <c r="G5966" i="7"/>
  <c r="G5967" i="7"/>
  <c r="G5968" i="7"/>
  <c r="G5969" i="7"/>
  <c r="G5970" i="7"/>
  <c r="G5971" i="7"/>
  <c r="G5972" i="7"/>
  <c r="G5973" i="7"/>
  <c r="G5974" i="7"/>
  <c r="G5975" i="7"/>
  <c r="G5976" i="7"/>
  <c r="G5977" i="7"/>
  <c r="G5978" i="7"/>
  <c r="G5979" i="7"/>
  <c r="G5980" i="7"/>
  <c r="G5981" i="7"/>
  <c r="G5982" i="7"/>
  <c r="G5983" i="7"/>
  <c r="G5984" i="7"/>
  <c r="G5985" i="7"/>
  <c r="G5986" i="7"/>
  <c r="G5987" i="7"/>
  <c r="G5988" i="7"/>
  <c r="G5989" i="7"/>
  <c r="G5990" i="7"/>
  <c r="G5991" i="7"/>
  <c r="G5992" i="7"/>
  <c r="G5993" i="7"/>
  <c r="G5994" i="7"/>
  <c r="G5995" i="7"/>
  <c r="G5996" i="7"/>
  <c r="G5997" i="7"/>
  <c r="G5998" i="7"/>
  <c r="G5999" i="7"/>
  <c r="G6000" i="7"/>
  <c r="G6001" i="7"/>
  <c r="G6002" i="7"/>
  <c r="G6003" i="7"/>
  <c r="G6004" i="7"/>
  <c r="G6005" i="7"/>
  <c r="G6006" i="7"/>
  <c r="G6007" i="7"/>
  <c r="G6008" i="7"/>
  <c r="G6009" i="7"/>
  <c r="G6010" i="7"/>
  <c r="G6011" i="7"/>
  <c r="G6012" i="7"/>
  <c r="G6013" i="7"/>
  <c r="G6014" i="7"/>
  <c r="G6015" i="7"/>
  <c r="G6016" i="7"/>
  <c r="G6017" i="7"/>
  <c r="G6018" i="7"/>
  <c r="G6019" i="7"/>
  <c r="G6020" i="7"/>
  <c r="G6021" i="7"/>
  <c r="G6022" i="7"/>
  <c r="G6023" i="7"/>
  <c r="G6024" i="7"/>
  <c r="G6025" i="7"/>
  <c r="G6026" i="7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85" i="7"/>
  <c r="F1286" i="7"/>
  <c r="F1287" i="7"/>
  <c r="F1288" i="7"/>
  <c r="F1289" i="7"/>
  <c r="F1290" i="7"/>
  <c r="F1291" i="7"/>
  <c r="F1292" i="7"/>
  <c r="F1293" i="7"/>
  <c r="F1294" i="7"/>
  <c r="F1295" i="7"/>
  <c r="F1296" i="7"/>
  <c r="F1297" i="7"/>
  <c r="F1298" i="7"/>
  <c r="F1299" i="7"/>
  <c r="F1300" i="7"/>
  <c r="F1301" i="7"/>
  <c r="F1302" i="7"/>
  <c r="F1303" i="7"/>
  <c r="F1304" i="7"/>
  <c r="F1305" i="7"/>
  <c r="F1306" i="7"/>
  <c r="F1307" i="7"/>
  <c r="F1308" i="7"/>
  <c r="F1309" i="7"/>
  <c r="F1310" i="7"/>
  <c r="F1311" i="7"/>
  <c r="F1312" i="7"/>
  <c r="F1313" i="7"/>
  <c r="F1314" i="7"/>
  <c r="F1315" i="7"/>
  <c r="F1316" i="7"/>
  <c r="F1317" i="7"/>
  <c r="F1318" i="7"/>
  <c r="F1319" i="7"/>
  <c r="F1320" i="7"/>
  <c r="F1321" i="7"/>
  <c r="F1322" i="7"/>
  <c r="F1323" i="7"/>
  <c r="F1324" i="7"/>
  <c r="F1325" i="7"/>
  <c r="F1326" i="7"/>
  <c r="F1327" i="7"/>
  <c r="F1328" i="7"/>
  <c r="F1329" i="7"/>
  <c r="F1330" i="7"/>
  <c r="F1331" i="7"/>
  <c r="F1332" i="7"/>
  <c r="F1333" i="7"/>
  <c r="F1334" i="7"/>
  <c r="F1335" i="7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62" i="7"/>
  <c r="F1363" i="7"/>
  <c r="F1364" i="7"/>
  <c r="F1365" i="7"/>
  <c r="F1366" i="7"/>
  <c r="F1367" i="7"/>
  <c r="F1368" i="7"/>
  <c r="F1369" i="7"/>
  <c r="F1370" i="7"/>
  <c r="F1371" i="7"/>
  <c r="F1372" i="7"/>
  <c r="F1373" i="7"/>
  <c r="F1374" i="7"/>
  <c r="F1375" i="7"/>
  <c r="F1376" i="7"/>
  <c r="F1377" i="7"/>
  <c r="F1378" i="7"/>
  <c r="F1379" i="7"/>
  <c r="F1380" i="7"/>
  <c r="F1381" i="7"/>
  <c r="F1382" i="7"/>
  <c r="F1383" i="7"/>
  <c r="F1384" i="7"/>
  <c r="F1385" i="7"/>
  <c r="F1386" i="7"/>
  <c r="F1387" i="7"/>
  <c r="F1388" i="7"/>
  <c r="F1389" i="7"/>
  <c r="F1390" i="7"/>
  <c r="F1391" i="7"/>
  <c r="F1392" i="7"/>
  <c r="F1393" i="7"/>
  <c r="F1394" i="7"/>
  <c r="F1395" i="7"/>
  <c r="F1396" i="7"/>
  <c r="F1397" i="7"/>
  <c r="F1398" i="7"/>
  <c r="F1399" i="7"/>
  <c r="F1400" i="7"/>
  <c r="F1401" i="7"/>
  <c r="F1402" i="7"/>
  <c r="F1403" i="7"/>
  <c r="F1404" i="7"/>
  <c r="F1405" i="7"/>
  <c r="F1406" i="7"/>
  <c r="F1407" i="7"/>
  <c r="F1408" i="7"/>
  <c r="F1409" i="7"/>
  <c r="F1410" i="7"/>
  <c r="F1411" i="7"/>
  <c r="F1412" i="7"/>
  <c r="F1413" i="7"/>
  <c r="F1414" i="7"/>
  <c r="F1415" i="7"/>
  <c r="F1416" i="7"/>
  <c r="F1417" i="7"/>
  <c r="F1418" i="7"/>
  <c r="F1419" i="7"/>
  <c r="F1420" i="7"/>
  <c r="F1421" i="7"/>
  <c r="F1422" i="7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F1435" i="7"/>
  <c r="F1436" i="7"/>
  <c r="F1437" i="7"/>
  <c r="F1438" i="7"/>
  <c r="F1439" i="7"/>
  <c r="F1440" i="7"/>
  <c r="F1441" i="7"/>
  <c r="F1442" i="7"/>
  <c r="F1443" i="7"/>
  <c r="F1444" i="7"/>
  <c r="F1445" i="7"/>
  <c r="F1446" i="7"/>
  <c r="F1447" i="7"/>
  <c r="F1448" i="7"/>
  <c r="F1449" i="7"/>
  <c r="F1450" i="7"/>
  <c r="F1451" i="7"/>
  <c r="F1452" i="7"/>
  <c r="F1453" i="7"/>
  <c r="F1454" i="7"/>
  <c r="F1455" i="7"/>
  <c r="F1456" i="7"/>
  <c r="F1457" i="7"/>
  <c r="F1458" i="7"/>
  <c r="F1459" i="7"/>
  <c r="F1460" i="7"/>
  <c r="F1461" i="7"/>
  <c r="F1462" i="7"/>
  <c r="F1463" i="7"/>
  <c r="F1464" i="7"/>
  <c r="F1465" i="7"/>
  <c r="F1466" i="7"/>
  <c r="F1467" i="7"/>
  <c r="F1468" i="7"/>
  <c r="F1469" i="7"/>
  <c r="F1470" i="7"/>
  <c r="F1471" i="7"/>
  <c r="F1472" i="7"/>
  <c r="F1473" i="7"/>
  <c r="F1474" i="7"/>
  <c r="F1475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8" i="7"/>
  <c r="F1499" i="7"/>
  <c r="F1500" i="7"/>
  <c r="F1501" i="7"/>
  <c r="F1502" i="7"/>
  <c r="F1503" i="7"/>
  <c r="F1504" i="7"/>
  <c r="F1505" i="7"/>
  <c r="F1506" i="7"/>
  <c r="F1507" i="7"/>
  <c r="F1508" i="7"/>
  <c r="F1509" i="7"/>
  <c r="F1510" i="7"/>
  <c r="F1511" i="7"/>
  <c r="F1512" i="7"/>
  <c r="F1513" i="7"/>
  <c r="F1514" i="7"/>
  <c r="F1515" i="7"/>
  <c r="F1516" i="7"/>
  <c r="F1517" i="7"/>
  <c r="F1518" i="7"/>
  <c r="F1519" i="7"/>
  <c r="F1520" i="7"/>
  <c r="F1521" i="7"/>
  <c r="F1522" i="7"/>
  <c r="F1523" i="7"/>
  <c r="F1524" i="7"/>
  <c r="F1525" i="7"/>
  <c r="F1526" i="7"/>
  <c r="F1527" i="7"/>
  <c r="F1528" i="7"/>
  <c r="F1529" i="7"/>
  <c r="F1530" i="7"/>
  <c r="F1531" i="7"/>
  <c r="F1532" i="7"/>
  <c r="F1533" i="7"/>
  <c r="F1534" i="7"/>
  <c r="F1535" i="7"/>
  <c r="F1536" i="7"/>
  <c r="F1537" i="7"/>
  <c r="F1538" i="7"/>
  <c r="F1539" i="7"/>
  <c r="F1540" i="7"/>
  <c r="F1541" i="7"/>
  <c r="F1542" i="7"/>
  <c r="F1543" i="7"/>
  <c r="F1544" i="7"/>
  <c r="F1545" i="7"/>
  <c r="F1546" i="7"/>
  <c r="F1547" i="7"/>
  <c r="F1548" i="7"/>
  <c r="F1549" i="7"/>
  <c r="F1550" i="7"/>
  <c r="F1551" i="7"/>
  <c r="F1552" i="7"/>
  <c r="F1553" i="7"/>
  <c r="F1554" i="7"/>
  <c r="F1555" i="7"/>
  <c r="F1556" i="7"/>
  <c r="F1557" i="7"/>
  <c r="F1558" i="7"/>
  <c r="F1559" i="7"/>
  <c r="F1560" i="7"/>
  <c r="F1561" i="7"/>
  <c r="F1562" i="7"/>
  <c r="F1563" i="7"/>
  <c r="F1564" i="7"/>
  <c r="F1565" i="7"/>
  <c r="F1566" i="7"/>
  <c r="F1567" i="7"/>
  <c r="F1568" i="7"/>
  <c r="F1569" i="7"/>
  <c r="F1570" i="7"/>
  <c r="F1571" i="7"/>
  <c r="F1572" i="7"/>
  <c r="F1573" i="7"/>
  <c r="F1574" i="7"/>
  <c r="F1575" i="7"/>
  <c r="F1576" i="7"/>
  <c r="F1577" i="7"/>
  <c r="F1578" i="7"/>
  <c r="F1579" i="7"/>
  <c r="F1580" i="7"/>
  <c r="F1581" i="7"/>
  <c r="F1582" i="7"/>
  <c r="F1583" i="7"/>
  <c r="F1584" i="7"/>
  <c r="F1585" i="7"/>
  <c r="F1586" i="7"/>
  <c r="F1587" i="7"/>
  <c r="F1588" i="7"/>
  <c r="F1589" i="7"/>
  <c r="F1590" i="7"/>
  <c r="F1591" i="7"/>
  <c r="F1592" i="7"/>
  <c r="F1593" i="7"/>
  <c r="F1594" i="7"/>
  <c r="F1595" i="7"/>
  <c r="F1596" i="7"/>
  <c r="F1597" i="7"/>
  <c r="F1598" i="7"/>
  <c r="F1599" i="7"/>
  <c r="F1600" i="7"/>
  <c r="F1601" i="7"/>
  <c r="F1602" i="7"/>
  <c r="F1603" i="7"/>
  <c r="F1604" i="7"/>
  <c r="F1605" i="7"/>
  <c r="F1606" i="7"/>
  <c r="F1607" i="7"/>
  <c r="F1608" i="7"/>
  <c r="F1609" i="7"/>
  <c r="F1610" i="7"/>
  <c r="F1611" i="7"/>
  <c r="F1612" i="7"/>
  <c r="F1613" i="7"/>
  <c r="F1614" i="7"/>
  <c r="F1615" i="7"/>
  <c r="F1616" i="7"/>
  <c r="F1617" i="7"/>
  <c r="F1618" i="7"/>
  <c r="F1619" i="7"/>
  <c r="F1620" i="7"/>
  <c r="F1621" i="7"/>
  <c r="F1622" i="7"/>
  <c r="F1623" i="7"/>
  <c r="F1624" i="7"/>
  <c r="F1625" i="7"/>
  <c r="F1626" i="7"/>
  <c r="F1627" i="7"/>
  <c r="F1628" i="7"/>
  <c r="F1629" i="7"/>
  <c r="F1630" i="7"/>
  <c r="F1631" i="7"/>
  <c r="F1632" i="7"/>
  <c r="F1633" i="7"/>
  <c r="F1634" i="7"/>
  <c r="F1635" i="7"/>
  <c r="F1636" i="7"/>
  <c r="F1637" i="7"/>
  <c r="F1638" i="7"/>
  <c r="F1639" i="7"/>
  <c r="F1640" i="7"/>
  <c r="F1641" i="7"/>
  <c r="F1642" i="7"/>
  <c r="F1643" i="7"/>
  <c r="F1644" i="7"/>
  <c r="F1645" i="7"/>
  <c r="F1646" i="7"/>
  <c r="F1647" i="7"/>
  <c r="F1648" i="7"/>
  <c r="F1649" i="7"/>
  <c r="F1650" i="7"/>
  <c r="F1651" i="7"/>
  <c r="F1652" i="7"/>
  <c r="F1653" i="7"/>
  <c r="F1654" i="7"/>
  <c r="F1655" i="7"/>
  <c r="F1656" i="7"/>
  <c r="F1657" i="7"/>
  <c r="F1658" i="7"/>
  <c r="F1659" i="7"/>
  <c r="F1660" i="7"/>
  <c r="F1661" i="7"/>
  <c r="F1662" i="7"/>
  <c r="F1663" i="7"/>
  <c r="F1664" i="7"/>
  <c r="F1665" i="7"/>
  <c r="F1666" i="7"/>
  <c r="F1667" i="7"/>
  <c r="F1668" i="7"/>
  <c r="F1669" i="7"/>
  <c r="F1670" i="7"/>
  <c r="F1671" i="7"/>
  <c r="F1672" i="7"/>
  <c r="F1673" i="7"/>
  <c r="F1674" i="7"/>
  <c r="F1675" i="7"/>
  <c r="F1676" i="7"/>
  <c r="F1677" i="7"/>
  <c r="F1678" i="7"/>
  <c r="F1679" i="7"/>
  <c r="F1680" i="7"/>
  <c r="F1681" i="7"/>
  <c r="F1682" i="7"/>
  <c r="F1683" i="7"/>
  <c r="F1684" i="7"/>
  <c r="F1685" i="7"/>
  <c r="F1686" i="7"/>
  <c r="F1687" i="7"/>
  <c r="F1688" i="7"/>
  <c r="F1689" i="7"/>
  <c r="F1690" i="7"/>
  <c r="F1691" i="7"/>
  <c r="F1692" i="7"/>
  <c r="F1693" i="7"/>
  <c r="F1694" i="7"/>
  <c r="F1695" i="7"/>
  <c r="F1696" i="7"/>
  <c r="F1697" i="7"/>
  <c r="F1698" i="7"/>
  <c r="F1699" i="7"/>
  <c r="F1700" i="7"/>
  <c r="F1701" i="7"/>
  <c r="F1702" i="7"/>
  <c r="F1703" i="7"/>
  <c r="F1704" i="7"/>
  <c r="F1705" i="7"/>
  <c r="F1706" i="7"/>
  <c r="F1707" i="7"/>
  <c r="F1708" i="7"/>
  <c r="F1709" i="7"/>
  <c r="F1710" i="7"/>
  <c r="F1711" i="7"/>
  <c r="F1712" i="7"/>
  <c r="F1713" i="7"/>
  <c r="F1714" i="7"/>
  <c r="F1715" i="7"/>
  <c r="F1716" i="7"/>
  <c r="F1717" i="7"/>
  <c r="F1718" i="7"/>
  <c r="F1719" i="7"/>
  <c r="F1720" i="7"/>
  <c r="F1721" i="7"/>
  <c r="F1722" i="7"/>
  <c r="F1723" i="7"/>
  <c r="F1724" i="7"/>
  <c r="F1725" i="7"/>
  <c r="F1726" i="7"/>
  <c r="F1727" i="7"/>
  <c r="F1728" i="7"/>
  <c r="F1729" i="7"/>
  <c r="F1730" i="7"/>
  <c r="F1731" i="7"/>
  <c r="F1732" i="7"/>
  <c r="F1733" i="7"/>
  <c r="F1734" i="7"/>
  <c r="F1735" i="7"/>
  <c r="F1736" i="7"/>
  <c r="F1737" i="7"/>
  <c r="F1738" i="7"/>
  <c r="F1739" i="7"/>
  <c r="F1740" i="7"/>
  <c r="F1741" i="7"/>
  <c r="F1742" i="7"/>
  <c r="F1743" i="7"/>
  <c r="F1744" i="7"/>
  <c r="F1745" i="7"/>
  <c r="F1746" i="7"/>
  <c r="F1747" i="7"/>
  <c r="F1748" i="7"/>
  <c r="F1749" i="7"/>
  <c r="F1750" i="7"/>
  <c r="F1751" i="7"/>
  <c r="F1752" i="7"/>
  <c r="F1753" i="7"/>
  <c r="F1754" i="7"/>
  <c r="F1755" i="7"/>
  <c r="F1756" i="7"/>
  <c r="F1757" i="7"/>
  <c r="F1758" i="7"/>
  <c r="F1759" i="7"/>
  <c r="F1760" i="7"/>
  <c r="F1761" i="7"/>
  <c r="F1762" i="7"/>
  <c r="F1763" i="7"/>
  <c r="F1764" i="7"/>
  <c r="F1765" i="7"/>
  <c r="F1766" i="7"/>
  <c r="F1767" i="7"/>
  <c r="F1768" i="7"/>
  <c r="F1769" i="7"/>
  <c r="F1770" i="7"/>
  <c r="F1771" i="7"/>
  <c r="F1772" i="7"/>
  <c r="F1773" i="7"/>
  <c r="F1774" i="7"/>
  <c r="F1775" i="7"/>
  <c r="F1776" i="7"/>
  <c r="F1777" i="7"/>
  <c r="F1778" i="7"/>
  <c r="F1779" i="7"/>
  <c r="F1780" i="7"/>
  <c r="F1781" i="7"/>
  <c r="F1782" i="7"/>
  <c r="F1783" i="7"/>
  <c r="F1784" i="7"/>
  <c r="F1785" i="7"/>
  <c r="F1786" i="7"/>
  <c r="F1787" i="7"/>
  <c r="F1788" i="7"/>
  <c r="F1789" i="7"/>
  <c r="F1790" i="7"/>
  <c r="F1791" i="7"/>
  <c r="F1792" i="7"/>
  <c r="F1793" i="7"/>
  <c r="F1794" i="7"/>
  <c r="F1795" i="7"/>
  <c r="F1796" i="7"/>
  <c r="F1797" i="7"/>
  <c r="F1798" i="7"/>
  <c r="F1799" i="7"/>
  <c r="F1800" i="7"/>
  <c r="F1801" i="7"/>
  <c r="F1802" i="7"/>
  <c r="F1803" i="7"/>
  <c r="F1804" i="7"/>
  <c r="F1805" i="7"/>
  <c r="F1806" i="7"/>
  <c r="F1807" i="7"/>
  <c r="F1808" i="7"/>
  <c r="F1809" i="7"/>
  <c r="F1810" i="7"/>
  <c r="F1811" i="7"/>
  <c r="F1812" i="7"/>
  <c r="F1813" i="7"/>
  <c r="F1814" i="7"/>
  <c r="F1815" i="7"/>
  <c r="F1816" i="7"/>
  <c r="F1817" i="7"/>
  <c r="F1818" i="7"/>
  <c r="F1819" i="7"/>
  <c r="F1820" i="7"/>
  <c r="F1821" i="7"/>
  <c r="F1822" i="7"/>
  <c r="F1823" i="7"/>
  <c r="F1824" i="7"/>
  <c r="F1825" i="7"/>
  <c r="F1826" i="7"/>
  <c r="F1827" i="7"/>
  <c r="F1828" i="7"/>
  <c r="F1829" i="7"/>
  <c r="F1830" i="7"/>
  <c r="F1831" i="7"/>
  <c r="F1832" i="7"/>
  <c r="F1833" i="7"/>
  <c r="F1834" i="7"/>
  <c r="F1835" i="7"/>
  <c r="F1836" i="7"/>
  <c r="F1837" i="7"/>
  <c r="F1838" i="7"/>
  <c r="F1839" i="7"/>
  <c r="F1840" i="7"/>
  <c r="F1841" i="7"/>
  <c r="F1842" i="7"/>
  <c r="F1843" i="7"/>
  <c r="F1844" i="7"/>
  <c r="F1845" i="7"/>
  <c r="F1846" i="7"/>
  <c r="F1847" i="7"/>
  <c r="F1848" i="7"/>
  <c r="F1849" i="7"/>
  <c r="F1850" i="7"/>
  <c r="F1851" i="7"/>
  <c r="F1852" i="7"/>
  <c r="F1853" i="7"/>
  <c r="F1854" i="7"/>
  <c r="F1855" i="7"/>
  <c r="F1856" i="7"/>
  <c r="F1857" i="7"/>
  <c r="F1858" i="7"/>
  <c r="F1859" i="7"/>
  <c r="F1860" i="7"/>
  <c r="F1861" i="7"/>
  <c r="F1862" i="7"/>
  <c r="F1863" i="7"/>
  <c r="F1864" i="7"/>
  <c r="F1865" i="7"/>
  <c r="F1866" i="7"/>
  <c r="F1867" i="7"/>
  <c r="F1868" i="7"/>
  <c r="F1869" i="7"/>
  <c r="F1870" i="7"/>
  <c r="F1871" i="7"/>
  <c r="F1872" i="7"/>
  <c r="F1873" i="7"/>
  <c r="F1874" i="7"/>
  <c r="F1875" i="7"/>
  <c r="F1876" i="7"/>
  <c r="F1877" i="7"/>
  <c r="F1878" i="7"/>
  <c r="F1879" i="7"/>
  <c r="F1880" i="7"/>
  <c r="F1881" i="7"/>
  <c r="F1882" i="7"/>
  <c r="F1883" i="7"/>
  <c r="F1884" i="7"/>
  <c r="F1885" i="7"/>
  <c r="F1886" i="7"/>
  <c r="F1887" i="7"/>
  <c r="F1888" i="7"/>
  <c r="F1889" i="7"/>
  <c r="F1890" i="7"/>
  <c r="F1891" i="7"/>
  <c r="F1892" i="7"/>
  <c r="F1893" i="7"/>
  <c r="F1894" i="7"/>
  <c r="F1895" i="7"/>
  <c r="F1896" i="7"/>
  <c r="F1897" i="7"/>
  <c r="F1898" i="7"/>
  <c r="F1899" i="7"/>
  <c r="F1900" i="7"/>
  <c r="F1901" i="7"/>
  <c r="F1902" i="7"/>
  <c r="F1903" i="7"/>
  <c r="F1904" i="7"/>
  <c r="F1905" i="7"/>
  <c r="F1906" i="7"/>
  <c r="F1907" i="7"/>
  <c r="F1908" i="7"/>
  <c r="F1909" i="7"/>
  <c r="F1910" i="7"/>
  <c r="F1911" i="7"/>
  <c r="F1912" i="7"/>
  <c r="F1913" i="7"/>
  <c r="F1914" i="7"/>
  <c r="F1915" i="7"/>
  <c r="F1916" i="7"/>
  <c r="F1917" i="7"/>
  <c r="F1918" i="7"/>
  <c r="F1919" i="7"/>
  <c r="F1920" i="7"/>
  <c r="F1921" i="7"/>
  <c r="F1922" i="7"/>
  <c r="F1923" i="7"/>
  <c r="F1924" i="7"/>
  <c r="F1925" i="7"/>
  <c r="F1926" i="7"/>
  <c r="F1927" i="7"/>
  <c r="F1928" i="7"/>
  <c r="F1929" i="7"/>
  <c r="F1930" i="7"/>
  <c r="F1931" i="7"/>
  <c r="F1932" i="7"/>
  <c r="F1933" i="7"/>
  <c r="F1934" i="7"/>
  <c r="F1935" i="7"/>
  <c r="F1936" i="7"/>
  <c r="F1937" i="7"/>
  <c r="F1938" i="7"/>
  <c r="F1939" i="7"/>
  <c r="F1940" i="7"/>
  <c r="F1941" i="7"/>
  <c r="F1942" i="7"/>
  <c r="F1943" i="7"/>
  <c r="F1944" i="7"/>
  <c r="F1945" i="7"/>
  <c r="F1946" i="7"/>
  <c r="F1947" i="7"/>
  <c r="F1948" i="7"/>
  <c r="F1949" i="7"/>
  <c r="F1950" i="7"/>
  <c r="F1951" i="7"/>
  <c r="F1952" i="7"/>
  <c r="F1953" i="7"/>
  <c r="F1954" i="7"/>
  <c r="F1955" i="7"/>
  <c r="F1956" i="7"/>
  <c r="F1957" i="7"/>
  <c r="F1958" i="7"/>
  <c r="F1959" i="7"/>
  <c r="F1960" i="7"/>
  <c r="F1961" i="7"/>
  <c r="F1962" i="7"/>
  <c r="F1963" i="7"/>
  <c r="F1964" i="7"/>
  <c r="F1965" i="7"/>
  <c r="F1966" i="7"/>
  <c r="F1967" i="7"/>
  <c r="F1968" i="7"/>
  <c r="F1969" i="7"/>
  <c r="F1970" i="7"/>
  <c r="F1971" i="7"/>
  <c r="F1972" i="7"/>
  <c r="F1973" i="7"/>
  <c r="F1974" i="7"/>
  <c r="F1975" i="7"/>
  <c r="F1976" i="7"/>
  <c r="F1977" i="7"/>
  <c r="F1978" i="7"/>
  <c r="F1979" i="7"/>
  <c r="F1980" i="7"/>
  <c r="F1981" i="7"/>
  <c r="F1982" i="7"/>
  <c r="F1983" i="7"/>
  <c r="F1984" i="7"/>
  <c r="F1985" i="7"/>
  <c r="F1986" i="7"/>
  <c r="F1987" i="7"/>
  <c r="F1988" i="7"/>
  <c r="F1989" i="7"/>
  <c r="F1990" i="7"/>
  <c r="F1991" i="7"/>
  <c r="F1992" i="7"/>
  <c r="F1993" i="7"/>
  <c r="F1994" i="7"/>
  <c r="F1995" i="7"/>
  <c r="F1996" i="7"/>
  <c r="F1997" i="7"/>
  <c r="F1998" i="7"/>
  <c r="F1999" i="7"/>
  <c r="F2000" i="7"/>
  <c r="F2001" i="7"/>
  <c r="F2002" i="7"/>
  <c r="F2003" i="7"/>
  <c r="F2004" i="7"/>
  <c r="F2005" i="7"/>
  <c r="F2006" i="7"/>
  <c r="F2007" i="7"/>
  <c r="F2008" i="7"/>
  <c r="F2009" i="7"/>
  <c r="F2010" i="7"/>
  <c r="F2011" i="7"/>
  <c r="F2012" i="7"/>
  <c r="F2013" i="7"/>
  <c r="F2014" i="7"/>
  <c r="F2015" i="7"/>
  <c r="F2016" i="7"/>
  <c r="F2017" i="7"/>
  <c r="F2018" i="7"/>
  <c r="F2019" i="7"/>
  <c r="F2020" i="7"/>
  <c r="F2021" i="7"/>
  <c r="F2022" i="7"/>
  <c r="F2023" i="7"/>
  <c r="F2024" i="7"/>
  <c r="F2025" i="7"/>
  <c r="F2026" i="7"/>
  <c r="F2027" i="7"/>
  <c r="F2028" i="7"/>
  <c r="F2029" i="7"/>
  <c r="F2030" i="7"/>
  <c r="F2031" i="7"/>
  <c r="F2032" i="7"/>
  <c r="F2033" i="7"/>
  <c r="F2034" i="7"/>
  <c r="F2035" i="7"/>
  <c r="F2036" i="7"/>
  <c r="F2037" i="7"/>
  <c r="F2038" i="7"/>
  <c r="F2039" i="7"/>
  <c r="F2040" i="7"/>
  <c r="F2041" i="7"/>
  <c r="F2042" i="7"/>
  <c r="F2043" i="7"/>
  <c r="F2044" i="7"/>
  <c r="F2045" i="7"/>
  <c r="F2046" i="7"/>
  <c r="F2047" i="7"/>
  <c r="F2048" i="7"/>
  <c r="F2049" i="7"/>
  <c r="F2050" i="7"/>
  <c r="F2051" i="7"/>
  <c r="F2052" i="7"/>
  <c r="F2053" i="7"/>
  <c r="F2054" i="7"/>
  <c r="F2055" i="7"/>
  <c r="F2056" i="7"/>
  <c r="F2057" i="7"/>
  <c r="F2058" i="7"/>
  <c r="F2059" i="7"/>
  <c r="F2060" i="7"/>
  <c r="F2061" i="7"/>
  <c r="F2062" i="7"/>
  <c r="F2063" i="7"/>
  <c r="F2064" i="7"/>
  <c r="F2065" i="7"/>
  <c r="F2066" i="7"/>
  <c r="F2067" i="7"/>
  <c r="F2068" i="7"/>
  <c r="F2069" i="7"/>
  <c r="F2070" i="7"/>
  <c r="F2071" i="7"/>
  <c r="F2072" i="7"/>
  <c r="F2073" i="7"/>
  <c r="F2074" i="7"/>
  <c r="F2075" i="7"/>
  <c r="F2076" i="7"/>
  <c r="F2077" i="7"/>
  <c r="F2078" i="7"/>
  <c r="F2079" i="7"/>
  <c r="F2080" i="7"/>
  <c r="F2081" i="7"/>
  <c r="F2082" i="7"/>
  <c r="F2083" i="7"/>
  <c r="F2084" i="7"/>
  <c r="F2085" i="7"/>
  <c r="F2086" i="7"/>
  <c r="F2087" i="7"/>
  <c r="F2088" i="7"/>
  <c r="F2089" i="7"/>
  <c r="F2090" i="7"/>
  <c r="F2091" i="7"/>
  <c r="F2092" i="7"/>
  <c r="F2093" i="7"/>
  <c r="F2094" i="7"/>
  <c r="F2095" i="7"/>
  <c r="F2096" i="7"/>
  <c r="F2097" i="7"/>
  <c r="F2098" i="7"/>
  <c r="F2099" i="7"/>
  <c r="F2100" i="7"/>
  <c r="F2101" i="7"/>
  <c r="F2102" i="7"/>
  <c r="F2103" i="7"/>
  <c r="F2104" i="7"/>
  <c r="F2105" i="7"/>
  <c r="F2106" i="7"/>
  <c r="F2107" i="7"/>
  <c r="F2108" i="7"/>
  <c r="F2109" i="7"/>
  <c r="F2110" i="7"/>
  <c r="F2111" i="7"/>
  <c r="F2112" i="7"/>
  <c r="F2113" i="7"/>
  <c r="F2114" i="7"/>
  <c r="F2115" i="7"/>
  <c r="F2116" i="7"/>
  <c r="F2117" i="7"/>
  <c r="F2118" i="7"/>
  <c r="F2119" i="7"/>
  <c r="F2120" i="7"/>
  <c r="F2121" i="7"/>
  <c r="F2122" i="7"/>
  <c r="F2123" i="7"/>
  <c r="F2124" i="7"/>
  <c r="F2125" i="7"/>
  <c r="F2126" i="7"/>
  <c r="F2127" i="7"/>
  <c r="F2128" i="7"/>
  <c r="F2129" i="7"/>
  <c r="F2130" i="7"/>
  <c r="F2131" i="7"/>
  <c r="F2132" i="7"/>
  <c r="F2133" i="7"/>
  <c r="F2134" i="7"/>
  <c r="F2135" i="7"/>
  <c r="F2136" i="7"/>
  <c r="F2137" i="7"/>
  <c r="F2138" i="7"/>
  <c r="F2139" i="7"/>
  <c r="F2140" i="7"/>
  <c r="F2141" i="7"/>
  <c r="F2142" i="7"/>
  <c r="F2143" i="7"/>
  <c r="F2144" i="7"/>
  <c r="F2145" i="7"/>
  <c r="F2146" i="7"/>
  <c r="F2147" i="7"/>
  <c r="F2148" i="7"/>
  <c r="F2149" i="7"/>
  <c r="F2150" i="7"/>
  <c r="F2151" i="7"/>
  <c r="F2152" i="7"/>
  <c r="F2153" i="7"/>
  <c r="F2154" i="7"/>
  <c r="F2155" i="7"/>
  <c r="F2156" i="7"/>
  <c r="F2157" i="7"/>
  <c r="F2158" i="7"/>
  <c r="F2159" i="7"/>
  <c r="F2160" i="7"/>
  <c r="F2161" i="7"/>
  <c r="F2162" i="7"/>
  <c r="F2163" i="7"/>
  <c r="F2164" i="7"/>
  <c r="F2165" i="7"/>
  <c r="F2166" i="7"/>
  <c r="F2167" i="7"/>
  <c r="F2168" i="7"/>
  <c r="F2169" i="7"/>
  <c r="F2170" i="7"/>
  <c r="F2171" i="7"/>
  <c r="F2172" i="7"/>
  <c r="F2173" i="7"/>
  <c r="F2174" i="7"/>
  <c r="F2175" i="7"/>
  <c r="F2176" i="7"/>
  <c r="F2177" i="7"/>
  <c r="F2178" i="7"/>
  <c r="F2179" i="7"/>
  <c r="F2180" i="7"/>
  <c r="F2181" i="7"/>
  <c r="F2182" i="7"/>
  <c r="F2183" i="7"/>
  <c r="F2184" i="7"/>
  <c r="F2185" i="7"/>
  <c r="F2186" i="7"/>
  <c r="F2187" i="7"/>
  <c r="F2188" i="7"/>
  <c r="F2189" i="7"/>
  <c r="F2190" i="7"/>
  <c r="F2191" i="7"/>
  <c r="F2192" i="7"/>
  <c r="F2193" i="7"/>
  <c r="F2194" i="7"/>
  <c r="F2195" i="7"/>
  <c r="F2196" i="7"/>
  <c r="F2197" i="7"/>
  <c r="F2198" i="7"/>
  <c r="F2199" i="7"/>
  <c r="F2200" i="7"/>
  <c r="F2201" i="7"/>
  <c r="F2202" i="7"/>
  <c r="F2203" i="7"/>
  <c r="F2204" i="7"/>
  <c r="F2205" i="7"/>
  <c r="F2206" i="7"/>
  <c r="F2207" i="7"/>
  <c r="F2208" i="7"/>
  <c r="F2209" i="7"/>
  <c r="F2210" i="7"/>
  <c r="F2211" i="7"/>
  <c r="F2212" i="7"/>
  <c r="F2213" i="7"/>
  <c r="F2214" i="7"/>
  <c r="F2215" i="7"/>
  <c r="F2216" i="7"/>
  <c r="F2217" i="7"/>
  <c r="F2218" i="7"/>
  <c r="F2219" i="7"/>
  <c r="F2220" i="7"/>
  <c r="F2221" i="7"/>
  <c r="F2222" i="7"/>
  <c r="F2223" i="7"/>
  <c r="F2224" i="7"/>
  <c r="F2225" i="7"/>
  <c r="F2226" i="7"/>
  <c r="F2227" i="7"/>
  <c r="F2228" i="7"/>
  <c r="F2229" i="7"/>
  <c r="F2230" i="7"/>
  <c r="F2231" i="7"/>
  <c r="F2232" i="7"/>
  <c r="F2233" i="7"/>
  <c r="F2234" i="7"/>
  <c r="F2235" i="7"/>
  <c r="F2236" i="7"/>
  <c r="F2237" i="7"/>
  <c r="F2238" i="7"/>
  <c r="F2239" i="7"/>
  <c r="F2240" i="7"/>
  <c r="F2241" i="7"/>
  <c r="F2242" i="7"/>
  <c r="F2243" i="7"/>
  <c r="F2244" i="7"/>
  <c r="F2245" i="7"/>
  <c r="F2246" i="7"/>
  <c r="F2247" i="7"/>
  <c r="F2248" i="7"/>
  <c r="F2249" i="7"/>
  <c r="F2250" i="7"/>
  <c r="F2251" i="7"/>
  <c r="F2252" i="7"/>
  <c r="F2253" i="7"/>
  <c r="F2254" i="7"/>
  <c r="F2255" i="7"/>
  <c r="F2256" i="7"/>
  <c r="F2257" i="7"/>
  <c r="F2258" i="7"/>
  <c r="F2259" i="7"/>
  <c r="F2260" i="7"/>
  <c r="F2261" i="7"/>
  <c r="F2262" i="7"/>
  <c r="F2263" i="7"/>
  <c r="F2264" i="7"/>
  <c r="F2265" i="7"/>
  <c r="F2266" i="7"/>
  <c r="F2267" i="7"/>
  <c r="F2268" i="7"/>
  <c r="F2269" i="7"/>
  <c r="F2270" i="7"/>
  <c r="F2271" i="7"/>
  <c r="F2272" i="7"/>
  <c r="F2273" i="7"/>
  <c r="F2274" i="7"/>
  <c r="F2275" i="7"/>
  <c r="F2276" i="7"/>
  <c r="F2277" i="7"/>
  <c r="F2278" i="7"/>
  <c r="F2279" i="7"/>
  <c r="F2280" i="7"/>
  <c r="F2281" i="7"/>
  <c r="F2282" i="7"/>
  <c r="F2283" i="7"/>
  <c r="F2284" i="7"/>
  <c r="F2285" i="7"/>
  <c r="F2286" i="7"/>
  <c r="F2287" i="7"/>
  <c r="F2288" i="7"/>
  <c r="F2289" i="7"/>
  <c r="F2290" i="7"/>
  <c r="F2291" i="7"/>
  <c r="F2292" i="7"/>
  <c r="F2293" i="7"/>
  <c r="F2294" i="7"/>
  <c r="F2295" i="7"/>
  <c r="F2296" i="7"/>
  <c r="F2297" i="7"/>
  <c r="F2298" i="7"/>
  <c r="F2299" i="7"/>
  <c r="F2300" i="7"/>
  <c r="F2301" i="7"/>
  <c r="F2302" i="7"/>
  <c r="F2303" i="7"/>
  <c r="F2304" i="7"/>
  <c r="F2305" i="7"/>
  <c r="F2306" i="7"/>
  <c r="F2307" i="7"/>
  <c r="F2308" i="7"/>
  <c r="F2309" i="7"/>
  <c r="F2310" i="7"/>
  <c r="F2311" i="7"/>
  <c r="F2312" i="7"/>
  <c r="F2313" i="7"/>
  <c r="F2314" i="7"/>
  <c r="F2315" i="7"/>
  <c r="F2316" i="7"/>
  <c r="F2317" i="7"/>
  <c r="F2318" i="7"/>
  <c r="F2319" i="7"/>
  <c r="F2320" i="7"/>
  <c r="F2321" i="7"/>
  <c r="F2322" i="7"/>
  <c r="F2323" i="7"/>
  <c r="F2324" i="7"/>
  <c r="F2325" i="7"/>
  <c r="F2326" i="7"/>
  <c r="F2327" i="7"/>
  <c r="F2328" i="7"/>
  <c r="F2329" i="7"/>
  <c r="F2330" i="7"/>
  <c r="F2331" i="7"/>
  <c r="F2332" i="7"/>
  <c r="F2333" i="7"/>
  <c r="F2334" i="7"/>
  <c r="F2335" i="7"/>
  <c r="F2336" i="7"/>
  <c r="F2337" i="7"/>
  <c r="F2338" i="7"/>
  <c r="F2339" i="7"/>
  <c r="F2340" i="7"/>
  <c r="F2341" i="7"/>
  <c r="F2342" i="7"/>
  <c r="F2343" i="7"/>
  <c r="F2344" i="7"/>
  <c r="F2345" i="7"/>
  <c r="F2346" i="7"/>
  <c r="F2347" i="7"/>
  <c r="F2348" i="7"/>
  <c r="F2349" i="7"/>
  <c r="F2350" i="7"/>
  <c r="F2351" i="7"/>
  <c r="F2352" i="7"/>
  <c r="F2353" i="7"/>
  <c r="F2354" i="7"/>
  <c r="F2355" i="7"/>
  <c r="F2356" i="7"/>
  <c r="F2357" i="7"/>
  <c r="F2358" i="7"/>
  <c r="F2359" i="7"/>
  <c r="F2360" i="7"/>
  <c r="F2361" i="7"/>
  <c r="F2362" i="7"/>
  <c r="F2363" i="7"/>
  <c r="F2364" i="7"/>
  <c r="F2365" i="7"/>
  <c r="F2366" i="7"/>
  <c r="F2367" i="7"/>
  <c r="F2368" i="7"/>
  <c r="F2369" i="7"/>
  <c r="F2370" i="7"/>
  <c r="F2371" i="7"/>
  <c r="F2372" i="7"/>
  <c r="F2373" i="7"/>
  <c r="F2374" i="7"/>
  <c r="F2375" i="7"/>
  <c r="F2376" i="7"/>
  <c r="F2377" i="7"/>
  <c r="F2378" i="7"/>
  <c r="F2379" i="7"/>
  <c r="F2380" i="7"/>
  <c r="F2381" i="7"/>
  <c r="F2382" i="7"/>
  <c r="F2383" i="7"/>
  <c r="F2384" i="7"/>
  <c r="F2385" i="7"/>
  <c r="F2386" i="7"/>
  <c r="F2387" i="7"/>
  <c r="F2388" i="7"/>
  <c r="F2389" i="7"/>
  <c r="F2390" i="7"/>
  <c r="F2391" i="7"/>
  <c r="F2392" i="7"/>
  <c r="F2393" i="7"/>
  <c r="F2394" i="7"/>
  <c r="F2395" i="7"/>
  <c r="F2396" i="7"/>
  <c r="F2397" i="7"/>
  <c r="F2398" i="7"/>
  <c r="F2399" i="7"/>
  <c r="F2400" i="7"/>
  <c r="F2401" i="7"/>
  <c r="F2402" i="7"/>
  <c r="F2403" i="7"/>
  <c r="F2404" i="7"/>
  <c r="F2405" i="7"/>
  <c r="F2406" i="7"/>
  <c r="F2407" i="7"/>
  <c r="F2408" i="7"/>
  <c r="F2409" i="7"/>
  <c r="F2410" i="7"/>
  <c r="F2411" i="7"/>
  <c r="F2412" i="7"/>
  <c r="F2413" i="7"/>
  <c r="F2414" i="7"/>
  <c r="F2415" i="7"/>
  <c r="F2416" i="7"/>
  <c r="F2417" i="7"/>
  <c r="F2418" i="7"/>
  <c r="F2419" i="7"/>
  <c r="F2420" i="7"/>
  <c r="F2421" i="7"/>
  <c r="F2422" i="7"/>
  <c r="F2423" i="7"/>
  <c r="F2424" i="7"/>
  <c r="F2425" i="7"/>
  <c r="F2426" i="7"/>
  <c r="F2427" i="7"/>
  <c r="F2428" i="7"/>
  <c r="F2429" i="7"/>
  <c r="F2430" i="7"/>
  <c r="F2431" i="7"/>
  <c r="F2432" i="7"/>
  <c r="F2433" i="7"/>
  <c r="F2434" i="7"/>
  <c r="F2435" i="7"/>
  <c r="F2436" i="7"/>
  <c r="F2437" i="7"/>
  <c r="F2438" i="7"/>
  <c r="F2439" i="7"/>
  <c r="F2440" i="7"/>
  <c r="F2441" i="7"/>
  <c r="F2442" i="7"/>
  <c r="F2443" i="7"/>
  <c r="F2444" i="7"/>
  <c r="F2445" i="7"/>
  <c r="F2446" i="7"/>
  <c r="F2447" i="7"/>
  <c r="F2448" i="7"/>
  <c r="F2449" i="7"/>
  <c r="F2450" i="7"/>
  <c r="F2451" i="7"/>
  <c r="F2452" i="7"/>
  <c r="F2453" i="7"/>
  <c r="F2454" i="7"/>
  <c r="F2455" i="7"/>
  <c r="F2456" i="7"/>
  <c r="F2457" i="7"/>
  <c r="F2458" i="7"/>
  <c r="F2459" i="7"/>
  <c r="F2460" i="7"/>
  <c r="F2461" i="7"/>
  <c r="F2462" i="7"/>
  <c r="F2463" i="7"/>
  <c r="F2464" i="7"/>
  <c r="F2465" i="7"/>
  <c r="F2466" i="7"/>
  <c r="F2467" i="7"/>
  <c r="F2468" i="7"/>
  <c r="F2469" i="7"/>
  <c r="F2470" i="7"/>
  <c r="F2471" i="7"/>
  <c r="F2472" i="7"/>
  <c r="F2473" i="7"/>
  <c r="F2474" i="7"/>
  <c r="F2475" i="7"/>
  <c r="F2476" i="7"/>
  <c r="F2477" i="7"/>
  <c r="F2478" i="7"/>
  <c r="F2479" i="7"/>
  <c r="F2480" i="7"/>
  <c r="F2481" i="7"/>
  <c r="F2482" i="7"/>
  <c r="F2483" i="7"/>
  <c r="F2484" i="7"/>
  <c r="F2485" i="7"/>
  <c r="F2486" i="7"/>
  <c r="F2487" i="7"/>
  <c r="F2488" i="7"/>
  <c r="F2489" i="7"/>
  <c r="F2490" i="7"/>
  <c r="F2491" i="7"/>
  <c r="F2492" i="7"/>
  <c r="F2493" i="7"/>
  <c r="F2494" i="7"/>
  <c r="F2495" i="7"/>
  <c r="F2496" i="7"/>
  <c r="F2497" i="7"/>
  <c r="F2498" i="7"/>
  <c r="F2499" i="7"/>
  <c r="F2500" i="7"/>
  <c r="F2501" i="7"/>
  <c r="F2502" i="7"/>
  <c r="F2503" i="7"/>
  <c r="F2504" i="7"/>
  <c r="F2505" i="7"/>
  <c r="F2506" i="7"/>
  <c r="F2507" i="7"/>
  <c r="F2508" i="7"/>
  <c r="F2509" i="7"/>
  <c r="F2510" i="7"/>
  <c r="F2511" i="7"/>
  <c r="F2512" i="7"/>
  <c r="F2513" i="7"/>
  <c r="F2514" i="7"/>
  <c r="F2515" i="7"/>
  <c r="F2516" i="7"/>
  <c r="F2517" i="7"/>
  <c r="F2518" i="7"/>
  <c r="F2519" i="7"/>
  <c r="F2520" i="7"/>
  <c r="F2521" i="7"/>
  <c r="F2522" i="7"/>
  <c r="F2523" i="7"/>
  <c r="F2524" i="7"/>
  <c r="F2525" i="7"/>
  <c r="F2526" i="7"/>
  <c r="F2527" i="7"/>
  <c r="F2528" i="7"/>
  <c r="F2529" i="7"/>
  <c r="F2530" i="7"/>
  <c r="F2531" i="7"/>
  <c r="F2532" i="7"/>
  <c r="F2533" i="7"/>
  <c r="F2534" i="7"/>
  <c r="F2535" i="7"/>
  <c r="F2536" i="7"/>
  <c r="F2537" i="7"/>
  <c r="F2538" i="7"/>
  <c r="F2539" i="7"/>
  <c r="F2540" i="7"/>
  <c r="F2541" i="7"/>
  <c r="F2542" i="7"/>
  <c r="F2543" i="7"/>
  <c r="F2544" i="7"/>
  <c r="F2545" i="7"/>
  <c r="F2546" i="7"/>
  <c r="F2547" i="7"/>
  <c r="F2548" i="7"/>
  <c r="F2549" i="7"/>
  <c r="F2550" i="7"/>
  <c r="F2551" i="7"/>
  <c r="F2552" i="7"/>
  <c r="F2553" i="7"/>
  <c r="F2554" i="7"/>
  <c r="F2555" i="7"/>
  <c r="F2556" i="7"/>
  <c r="F2557" i="7"/>
  <c r="F2558" i="7"/>
  <c r="F2559" i="7"/>
  <c r="F2560" i="7"/>
  <c r="F2561" i="7"/>
  <c r="F2562" i="7"/>
  <c r="F2563" i="7"/>
  <c r="F2564" i="7"/>
  <c r="F2565" i="7"/>
  <c r="F2566" i="7"/>
  <c r="F2567" i="7"/>
  <c r="F2568" i="7"/>
  <c r="F2569" i="7"/>
  <c r="F2570" i="7"/>
  <c r="F2571" i="7"/>
  <c r="F2572" i="7"/>
  <c r="F2573" i="7"/>
  <c r="F2574" i="7"/>
  <c r="F2575" i="7"/>
  <c r="F2576" i="7"/>
  <c r="F2577" i="7"/>
  <c r="F2578" i="7"/>
  <c r="F2579" i="7"/>
  <c r="F2580" i="7"/>
  <c r="F2581" i="7"/>
  <c r="F2582" i="7"/>
  <c r="F2583" i="7"/>
  <c r="F2584" i="7"/>
  <c r="F2585" i="7"/>
  <c r="F2586" i="7"/>
  <c r="F2587" i="7"/>
  <c r="F2588" i="7"/>
  <c r="F2589" i="7"/>
  <c r="F2590" i="7"/>
  <c r="F2591" i="7"/>
  <c r="F2592" i="7"/>
  <c r="F2593" i="7"/>
  <c r="F2594" i="7"/>
  <c r="F2595" i="7"/>
  <c r="F2596" i="7"/>
  <c r="F2597" i="7"/>
  <c r="F2598" i="7"/>
  <c r="F2599" i="7"/>
  <c r="F2600" i="7"/>
  <c r="F2601" i="7"/>
  <c r="F2602" i="7"/>
  <c r="F2603" i="7"/>
  <c r="F2604" i="7"/>
  <c r="F2605" i="7"/>
  <c r="F2606" i="7"/>
  <c r="F2607" i="7"/>
  <c r="F2608" i="7"/>
  <c r="F2609" i="7"/>
  <c r="F2610" i="7"/>
  <c r="F2611" i="7"/>
  <c r="F2612" i="7"/>
  <c r="F2613" i="7"/>
  <c r="F2614" i="7"/>
  <c r="F2615" i="7"/>
  <c r="F2616" i="7"/>
  <c r="F2617" i="7"/>
  <c r="F2618" i="7"/>
  <c r="F2619" i="7"/>
  <c r="F2620" i="7"/>
  <c r="F2621" i="7"/>
  <c r="F2622" i="7"/>
  <c r="F2623" i="7"/>
  <c r="F2624" i="7"/>
  <c r="F2625" i="7"/>
  <c r="F2626" i="7"/>
  <c r="F2627" i="7"/>
  <c r="F2628" i="7"/>
  <c r="F2629" i="7"/>
  <c r="F2630" i="7"/>
  <c r="F2631" i="7"/>
  <c r="F2632" i="7"/>
  <c r="F2633" i="7"/>
  <c r="F2634" i="7"/>
  <c r="F2635" i="7"/>
  <c r="F2636" i="7"/>
  <c r="F2637" i="7"/>
  <c r="F2638" i="7"/>
  <c r="F2639" i="7"/>
  <c r="F2640" i="7"/>
  <c r="F2641" i="7"/>
  <c r="F2642" i="7"/>
  <c r="F2643" i="7"/>
  <c r="F2644" i="7"/>
  <c r="F2645" i="7"/>
  <c r="F2646" i="7"/>
  <c r="F2647" i="7"/>
  <c r="F2648" i="7"/>
  <c r="F2649" i="7"/>
  <c r="F2650" i="7"/>
  <c r="F2651" i="7"/>
  <c r="F2652" i="7"/>
  <c r="F2653" i="7"/>
  <c r="F2654" i="7"/>
  <c r="F2655" i="7"/>
  <c r="F2656" i="7"/>
  <c r="F2657" i="7"/>
  <c r="F2658" i="7"/>
  <c r="F2659" i="7"/>
  <c r="F2660" i="7"/>
  <c r="F2661" i="7"/>
  <c r="F2662" i="7"/>
  <c r="F2663" i="7"/>
  <c r="F2664" i="7"/>
  <c r="F2665" i="7"/>
  <c r="F2666" i="7"/>
  <c r="F2667" i="7"/>
  <c r="F2668" i="7"/>
  <c r="F2669" i="7"/>
  <c r="F2670" i="7"/>
  <c r="F2671" i="7"/>
  <c r="F2672" i="7"/>
  <c r="F2673" i="7"/>
  <c r="F2674" i="7"/>
  <c r="F2675" i="7"/>
  <c r="F2676" i="7"/>
  <c r="F2677" i="7"/>
  <c r="F2678" i="7"/>
  <c r="F2679" i="7"/>
  <c r="F2680" i="7"/>
  <c r="F2681" i="7"/>
  <c r="F2682" i="7"/>
  <c r="F2683" i="7"/>
  <c r="F2684" i="7"/>
  <c r="F2685" i="7"/>
  <c r="F2686" i="7"/>
  <c r="F2687" i="7"/>
  <c r="F2688" i="7"/>
  <c r="F2689" i="7"/>
  <c r="F2690" i="7"/>
  <c r="F2691" i="7"/>
  <c r="F2692" i="7"/>
  <c r="F2693" i="7"/>
  <c r="F2694" i="7"/>
  <c r="F2695" i="7"/>
  <c r="F2696" i="7"/>
  <c r="F2697" i="7"/>
  <c r="F2698" i="7"/>
  <c r="F2699" i="7"/>
  <c r="F2700" i="7"/>
  <c r="F2701" i="7"/>
  <c r="F2702" i="7"/>
  <c r="F2703" i="7"/>
  <c r="F2704" i="7"/>
  <c r="F2705" i="7"/>
  <c r="F2706" i="7"/>
  <c r="F2707" i="7"/>
  <c r="F2708" i="7"/>
  <c r="F2709" i="7"/>
  <c r="F2710" i="7"/>
  <c r="F2711" i="7"/>
  <c r="F2712" i="7"/>
  <c r="F2713" i="7"/>
  <c r="F2714" i="7"/>
  <c r="F2715" i="7"/>
  <c r="F2716" i="7"/>
  <c r="F2717" i="7"/>
  <c r="F2718" i="7"/>
  <c r="F2719" i="7"/>
  <c r="F2720" i="7"/>
  <c r="F2721" i="7"/>
  <c r="F2722" i="7"/>
  <c r="F2723" i="7"/>
  <c r="F2724" i="7"/>
  <c r="F2725" i="7"/>
  <c r="F2726" i="7"/>
  <c r="F2727" i="7"/>
  <c r="F2728" i="7"/>
  <c r="F2729" i="7"/>
  <c r="F2730" i="7"/>
  <c r="F2731" i="7"/>
  <c r="F2732" i="7"/>
  <c r="F2733" i="7"/>
  <c r="F2734" i="7"/>
  <c r="F2735" i="7"/>
  <c r="F2736" i="7"/>
  <c r="F2737" i="7"/>
  <c r="F2738" i="7"/>
  <c r="F2739" i="7"/>
  <c r="F2740" i="7"/>
  <c r="F2741" i="7"/>
  <c r="F2742" i="7"/>
  <c r="F2743" i="7"/>
  <c r="F2744" i="7"/>
  <c r="F2745" i="7"/>
  <c r="F2746" i="7"/>
  <c r="F2747" i="7"/>
  <c r="F2748" i="7"/>
  <c r="F2749" i="7"/>
  <c r="F2750" i="7"/>
  <c r="F2751" i="7"/>
  <c r="F2752" i="7"/>
  <c r="F2753" i="7"/>
  <c r="F2754" i="7"/>
  <c r="F2755" i="7"/>
  <c r="F2756" i="7"/>
  <c r="F2757" i="7"/>
  <c r="F2758" i="7"/>
  <c r="F2759" i="7"/>
  <c r="F2760" i="7"/>
  <c r="F2761" i="7"/>
  <c r="F2762" i="7"/>
  <c r="F2763" i="7"/>
  <c r="F2764" i="7"/>
  <c r="F2765" i="7"/>
  <c r="F2766" i="7"/>
  <c r="F2767" i="7"/>
  <c r="F2768" i="7"/>
  <c r="F2769" i="7"/>
  <c r="F2770" i="7"/>
  <c r="F2771" i="7"/>
  <c r="F2772" i="7"/>
  <c r="F2773" i="7"/>
  <c r="F2774" i="7"/>
  <c r="F2775" i="7"/>
  <c r="F2776" i="7"/>
  <c r="F2777" i="7"/>
  <c r="F2778" i="7"/>
  <c r="F2779" i="7"/>
  <c r="F2780" i="7"/>
  <c r="F2781" i="7"/>
  <c r="F2782" i="7"/>
  <c r="F2783" i="7"/>
  <c r="F2784" i="7"/>
  <c r="F2785" i="7"/>
  <c r="F2786" i="7"/>
  <c r="F2787" i="7"/>
  <c r="F2788" i="7"/>
  <c r="F2789" i="7"/>
  <c r="F2790" i="7"/>
  <c r="F2791" i="7"/>
  <c r="F2792" i="7"/>
  <c r="F2793" i="7"/>
  <c r="F2794" i="7"/>
  <c r="F2795" i="7"/>
  <c r="F2796" i="7"/>
  <c r="F2797" i="7"/>
  <c r="F2798" i="7"/>
  <c r="F2799" i="7"/>
  <c r="F2800" i="7"/>
  <c r="F2801" i="7"/>
  <c r="F2802" i="7"/>
  <c r="F2803" i="7"/>
  <c r="F2804" i="7"/>
  <c r="F2805" i="7"/>
  <c r="F2806" i="7"/>
  <c r="F2807" i="7"/>
  <c r="F2808" i="7"/>
  <c r="F2809" i="7"/>
  <c r="F2810" i="7"/>
  <c r="F2811" i="7"/>
  <c r="F2812" i="7"/>
  <c r="F2813" i="7"/>
  <c r="F2814" i="7"/>
  <c r="F2815" i="7"/>
  <c r="F2816" i="7"/>
  <c r="F2817" i="7"/>
  <c r="F2818" i="7"/>
  <c r="F2819" i="7"/>
  <c r="F2820" i="7"/>
  <c r="F2821" i="7"/>
  <c r="F2822" i="7"/>
  <c r="F2823" i="7"/>
  <c r="F2824" i="7"/>
  <c r="F2825" i="7"/>
  <c r="F2826" i="7"/>
  <c r="F2827" i="7"/>
  <c r="F2828" i="7"/>
  <c r="F2829" i="7"/>
  <c r="F2830" i="7"/>
  <c r="F2831" i="7"/>
  <c r="F2832" i="7"/>
  <c r="F2833" i="7"/>
  <c r="F2834" i="7"/>
  <c r="F2835" i="7"/>
  <c r="F2836" i="7"/>
  <c r="F2837" i="7"/>
  <c r="F2838" i="7"/>
  <c r="F2839" i="7"/>
  <c r="F2840" i="7"/>
  <c r="F2841" i="7"/>
  <c r="F2842" i="7"/>
  <c r="F2843" i="7"/>
  <c r="F2844" i="7"/>
  <c r="F2845" i="7"/>
  <c r="F2846" i="7"/>
  <c r="F2847" i="7"/>
  <c r="F2848" i="7"/>
  <c r="F2849" i="7"/>
  <c r="F2850" i="7"/>
  <c r="F2851" i="7"/>
  <c r="F2852" i="7"/>
  <c r="F2853" i="7"/>
  <c r="F2854" i="7"/>
  <c r="F2855" i="7"/>
  <c r="F2856" i="7"/>
  <c r="F2857" i="7"/>
  <c r="F2858" i="7"/>
  <c r="F2859" i="7"/>
  <c r="F2860" i="7"/>
  <c r="F2861" i="7"/>
  <c r="F2862" i="7"/>
  <c r="F2863" i="7"/>
  <c r="F2864" i="7"/>
  <c r="F2865" i="7"/>
  <c r="F2866" i="7"/>
  <c r="F2867" i="7"/>
  <c r="F2868" i="7"/>
  <c r="F2869" i="7"/>
  <c r="F2870" i="7"/>
  <c r="F2871" i="7"/>
  <c r="F2872" i="7"/>
  <c r="F2873" i="7"/>
  <c r="F2874" i="7"/>
  <c r="F2875" i="7"/>
  <c r="F2876" i="7"/>
  <c r="F2877" i="7"/>
  <c r="F2878" i="7"/>
  <c r="F2879" i="7"/>
  <c r="F2880" i="7"/>
  <c r="F2881" i="7"/>
  <c r="F2882" i="7"/>
  <c r="F2883" i="7"/>
  <c r="F2884" i="7"/>
  <c r="F2885" i="7"/>
  <c r="F2886" i="7"/>
  <c r="F2887" i="7"/>
  <c r="F2888" i="7"/>
  <c r="F2889" i="7"/>
  <c r="F2890" i="7"/>
  <c r="F2891" i="7"/>
  <c r="F2892" i="7"/>
  <c r="F2893" i="7"/>
  <c r="F2894" i="7"/>
  <c r="F2895" i="7"/>
  <c r="F2896" i="7"/>
  <c r="F2897" i="7"/>
  <c r="F2898" i="7"/>
  <c r="F2899" i="7"/>
  <c r="F2900" i="7"/>
  <c r="F2901" i="7"/>
  <c r="F2902" i="7"/>
  <c r="F2903" i="7"/>
  <c r="F2904" i="7"/>
  <c r="F2905" i="7"/>
  <c r="F2906" i="7"/>
  <c r="F2907" i="7"/>
  <c r="F2908" i="7"/>
  <c r="F2909" i="7"/>
  <c r="F2910" i="7"/>
  <c r="F2911" i="7"/>
  <c r="F2912" i="7"/>
  <c r="F2913" i="7"/>
  <c r="F2914" i="7"/>
  <c r="F2915" i="7"/>
  <c r="F2916" i="7"/>
  <c r="F2917" i="7"/>
  <c r="F2918" i="7"/>
  <c r="F2919" i="7"/>
  <c r="F2920" i="7"/>
  <c r="F2921" i="7"/>
  <c r="F2922" i="7"/>
  <c r="F2923" i="7"/>
  <c r="F2924" i="7"/>
  <c r="F2925" i="7"/>
  <c r="F2926" i="7"/>
  <c r="F2927" i="7"/>
  <c r="F2928" i="7"/>
  <c r="F2929" i="7"/>
  <c r="F2930" i="7"/>
  <c r="F2931" i="7"/>
  <c r="F2932" i="7"/>
  <c r="F2933" i="7"/>
  <c r="F2934" i="7"/>
  <c r="F2935" i="7"/>
  <c r="F2936" i="7"/>
  <c r="F2937" i="7"/>
  <c r="F2938" i="7"/>
  <c r="F2939" i="7"/>
  <c r="F2940" i="7"/>
  <c r="F2941" i="7"/>
  <c r="F2942" i="7"/>
  <c r="F2943" i="7"/>
  <c r="F2944" i="7"/>
  <c r="F2945" i="7"/>
  <c r="F2946" i="7"/>
  <c r="F2947" i="7"/>
  <c r="F2948" i="7"/>
  <c r="F2949" i="7"/>
  <c r="F2950" i="7"/>
  <c r="F2951" i="7"/>
  <c r="F2952" i="7"/>
  <c r="F2953" i="7"/>
  <c r="F2954" i="7"/>
  <c r="F2955" i="7"/>
  <c r="F2956" i="7"/>
  <c r="F2957" i="7"/>
  <c r="F2958" i="7"/>
  <c r="F2959" i="7"/>
  <c r="F2960" i="7"/>
  <c r="F2961" i="7"/>
  <c r="F2962" i="7"/>
  <c r="F2963" i="7"/>
  <c r="F2964" i="7"/>
  <c r="F2965" i="7"/>
  <c r="F2966" i="7"/>
  <c r="F2967" i="7"/>
  <c r="F2968" i="7"/>
  <c r="F2969" i="7"/>
  <c r="F2970" i="7"/>
  <c r="F2971" i="7"/>
  <c r="F2972" i="7"/>
  <c r="F2973" i="7"/>
  <c r="F2974" i="7"/>
  <c r="F2975" i="7"/>
  <c r="F2976" i="7"/>
  <c r="F2977" i="7"/>
  <c r="F2978" i="7"/>
  <c r="F2979" i="7"/>
  <c r="F2980" i="7"/>
  <c r="F2981" i="7"/>
  <c r="F2982" i="7"/>
  <c r="F2983" i="7"/>
  <c r="F2984" i="7"/>
  <c r="F2985" i="7"/>
  <c r="F2986" i="7"/>
  <c r="F2987" i="7"/>
  <c r="F2988" i="7"/>
  <c r="F2989" i="7"/>
  <c r="F2990" i="7"/>
  <c r="F2991" i="7"/>
  <c r="F2992" i="7"/>
  <c r="F2993" i="7"/>
  <c r="F2994" i="7"/>
  <c r="F2995" i="7"/>
  <c r="F2996" i="7"/>
  <c r="F2997" i="7"/>
  <c r="F2998" i="7"/>
  <c r="F2999" i="7"/>
  <c r="F3000" i="7"/>
  <c r="F3001" i="7"/>
  <c r="F3002" i="7"/>
  <c r="F3003" i="7"/>
  <c r="F3004" i="7"/>
  <c r="F3005" i="7"/>
  <c r="F3006" i="7"/>
  <c r="F3007" i="7"/>
  <c r="F3008" i="7"/>
  <c r="F3009" i="7"/>
  <c r="F3010" i="7"/>
  <c r="F3011" i="7"/>
  <c r="F3012" i="7"/>
  <c r="F3013" i="7"/>
  <c r="F3014" i="7"/>
  <c r="F3015" i="7"/>
  <c r="F3016" i="7"/>
  <c r="F3017" i="7"/>
  <c r="F3018" i="7"/>
  <c r="F3019" i="7"/>
  <c r="F3020" i="7"/>
  <c r="F3021" i="7"/>
  <c r="F3022" i="7"/>
  <c r="F3023" i="7"/>
  <c r="F3024" i="7"/>
  <c r="F3025" i="7"/>
  <c r="F3026" i="7"/>
  <c r="F3027" i="7"/>
  <c r="F3028" i="7"/>
  <c r="F3029" i="7"/>
  <c r="F3030" i="7"/>
  <c r="F3031" i="7"/>
  <c r="F3032" i="7"/>
  <c r="F3033" i="7"/>
  <c r="F3034" i="7"/>
  <c r="F3035" i="7"/>
  <c r="F3036" i="7"/>
  <c r="F3037" i="7"/>
  <c r="F3038" i="7"/>
  <c r="F3039" i="7"/>
  <c r="F3040" i="7"/>
  <c r="F3041" i="7"/>
  <c r="F3042" i="7"/>
  <c r="F3043" i="7"/>
  <c r="F3044" i="7"/>
  <c r="F3045" i="7"/>
  <c r="F3046" i="7"/>
  <c r="F3047" i="7"/>
  <c r="F3048" i="7"/>
  <c r="F3049" i="7"/>
  <c r="F3050" i="7"/>
  <c r="F3051" i="7"/>
  <c r="F3052" i="7"/>
  <c r="F3053" i="7"/>
  <c r="F3054" i="7"/>
  <c r="F3055" i="7"/>
  <c r="F3056" i="7"/>
  <c r="F3057" i="7"/>
  <c r="F3058" i="7"/>
  <c r="F3059" i="7"/>
  <c r="F3060" i="7"/>
  <c r="F3061" i="7"/>
  <c r="F3062" i="7"/>
  <c r="F3063" i="7"/>
  <c r="F3064" i="7"/>
  <c r="F3065" i="7"/>
  <c r="F3066" i="7"/>
  <c r="F3067" i="7"/>
  <c r="F3068" i="7"/>
  <c r="F3069" i="7"/>
  <c r="F3070" i="7"/>
  <c r="F3071" i="7"/>
  <c r="F3072" i="7"/>
  <c r="F3073" i="7"/>
  <c r="F3074" i="7"/>
  <c r="F3075" i="7"/>
  <c r="F3076" i="7"/>
  <c r="F3077" i="7"/>
  <c r="F3078" i="7"/>
  <c r="F3079" i="7"/>
  <c r="F3080" i="7"/>
  <c r="F3081" i="7"/>
  <c r="F3082" i="7"/>
  <c r="F3083" i="7"/>
  <c r="F3084" i="7"/>
  <c r="F3085" i="7"/>
  <c r="F3086" i="7"/>
  <c r="F3087" i="7"/>
  <c r="F3088" i="7"/>
  <c r="F3089" i="7"/>
  <c r="F3090" i="7"/>
  <c r="F3091" i="7"/>
  <c r="F3092" i="7"/>
  <c r="F3093" i="7"/>
  <c r="F3094" i="7"/>
  <c r="F3095" i="7"/>
  <c r="F3096" i="7"/>
  <c r="F3097" i="7"/>
  <c r="F3098" i="7"/>
  <c r="F3099" i="7"/>
  <c r="F3100" i="7"/>
  <c r="F3101" i="7"/>
  <c r="F3102" i="7"/>
  <c r="F3103" i="7"/>
  <c r="F3104" i="7"/>
  <c r="F3105" i="7"/>
  <c r="F3106" i="7"/>
  <c r="F3107" i="7"/>
  <c r="F3108" i="7"/>
  <c r="F3109" i="7"/>
  <c r="F3110" i="7"/>
  <c r="F3111" i="7"/>
  <c r="F3112" i="7"/>
  <c r="F3113" i="7"/>
  <c r="F3114" i="7"/>
  <c r="F3115" i="7"/>
  <c r="F3116" i="7"/>
  <c r="F3117" i="7"/>
  <c r="F3118" i="7"/>
  <c r="F3119" i="7"/>
  <c r="F3120" i="7"/>
  <c r="F3121" i="7"/>
  <c r="F3122" i="7"/>
  <c r="F3123" i="7"/>
  <c r="F3124" i="7"/>
  <c r="F3125" i="7"/>
  <c r="F3126" i="7"/>
  <c r="F3127" i="7"/>
  <c r="F3128" i="7"/>
  <c r="F3129" i="7"/>
  <c r="F3130" i="7"/>
  <c r="F3131" i="7"/>
  <c r="F3132" i="7"/>
  <c r="F3133" i="7"/>
  <c r="F3134" i="7"/>
  <c r="F3135" i="7"/>
  <c r="F3136" i="7"/>
  <c r="F3137" i="7"/>
  <c r="F3138" i="7"/>
  <c r="F3139" i="7"/>
  <c r="F3140" i="7"/>
  <c r="F3141" i="7"/>
  <c r="F3142" i="7"/>
  <c r="F3143" i="7"/>
  <c r="F3144" i="7"/>
  <c r="F3145" i="7"/>
  <c r="F3146" i="7"/>
  <c r="F3147" i="7"/>
  <c r="F3148" i="7"/>
  <c r="F3149" i="7"/>
  <c r="F3150" i="7"/>
  <c r="F3151" i="7"/>
  <c r="F3152" i="7"/>
  <c r="F3153" i="7"/>
  <c r="F3154" i="7"/>
  <c r="F3155" i="7"/>
  <c r="F3156" i="7"/>
  <c r="F3157" i="7"/>
  <c r="F3158" i="7"/>
  <c r="F3159" i="7"/>
  <c r="F3160" i="7"/>
  <c r="F3161" i="7"/>
  <c r="F3162" i="7"/>
  <c r="F3163" i="7"/>
  <c r="F3164" i="7"/>
  <c r="F3165" i="7"/>
  <c r="F3166" i="7"/>
  <c r="F3167" i="7"/>
  <c r="F3168" i="7"/>
  <c r="F3169" i="7"/>
  <c r="F3170" i="7"/>
  <c r="F3171" i="7"/>
  <c r="F3172" i="7"/>
  <c r="F3173" i="7"/>
  <c r="F3174" i="7"/>
  <c r="F3175" i="7"/>
  <c r="F3176" i="7"/>
  <c r="F3177" i="7"/>
  <c r="F3178" i="7"/>
  <c r="F3179" i="7"/>
  <c r="F3180" i="7"/>
  <c r="F3181" i="7"/>
  <c r="F3182" i="7"/>
  <c r="F3183" i="7"/>
  <c r="F3184" i="7"/>
  <c r="F3185" i="7"/>
  <c r="F3186" i="7"/>
  <c r="F3187" i="7"/>
  <c r="F3188" i="7"/>
  <c r="F3189" i="7"/>
  <c r="F3190" i="7"/>
  <c r="F3191" i="7"/>
  <c r="F3192" i="7"/>
  <c r="F3193" i="7"/>
  <c r="F3194" i="7"/>
  <c r="F3195" i="7"/>
  <c r="F3196" i="7"/>
  <c r="F3197" i="7"/>
  <c r="F3198" i="7"/>
  <c r="F3199" i="7"/>
  <c r="F3200" i="7"/>
  <c r="F3201" i="7"/>
  <c r="F3202" i="7"/>
  <c r="F3203" i="7"/>
  <c r="F3204" i="7"/>
  <c r="F3205" i="7"/>
  <c r="F3206" i="7"/>
  <c r="F3207" i="7"/>
  <c r="F3208" i="7"/>
  <c r="F3209" i="7"/>
  <c r="F3210" i="7"/>
  <c r="F3211" i="7"/>
  <c r="F3212" i="7"/>
  <c r="F3213" i="7"/>
  <c r="F3214" i="7"/>
  <c r="F3215" i="7"/>
  <c r="F3216" i="7"/>
  <c r="F3217" i="7"/>
  <c r="F3218" i="7"/>
  <c r="F3219" i="7"/>
  <c r="F3220" i="7"/>
  <c r="F3221" i="7"/>
  <c r="F3222" i="7"/>
  <c r="F3223" i="7"/>
  <c r="F3224" i="7"/>
  <c r="F3225" i="7"/>
  <c r="F3226" i="7"/>
  <c r="F3227" i="7"/>
  <c r="F3228" i="7"/>
  <c r="F3229" i="7"/>
  <c r="F3230" i="7"/>
  <c r="F3231" i="7"/>
  <c r="F3232" i="7"/>
  <c r="F3233" i="7"/>
  <c r="F3234" i="7"/>
  <c r="F3235" i="7"/>
  <c r="F3236" i="7"/>
  <c r="F3237" i="7"/>
  <c r="F3238" i="7"/>
  <c r="F3239" i="7"/>
  <c r="F3240" i="7"/>
  <c r="F3241" i="7"/>
  <c r="F3242" i="7"/>
  <c r="F3243" i="7"/>
  <c r="F3244" i="7"/>
  <c r="F3245" i="7"/>
  <c r="F3246" i="7"/>
  <c r="F3247" i="7"/>
  <c r="F3248" i="7"/>
  <c r="F3249" i="7"/>
  <c r="F3250" i="7"/>
  <c r="F3251" i="7"/>
  <c r="F3252" i="7"/>
  <c r="F3253" i="7"/>
  <c r="F3254" i="7"/>
  <c r="F3255" i="7"/>
  <c r="F3256" i="7"/>
  <c r="F3257" i="7"/>
  <c r="F3258" i="7"/>
  <c r="F3259" i="7"/>
  <c r="F3260" i="7"/>
  <c r="F3261" i="7"/>
  <c r="F3262" i="7"/>
  <c r="F3263" i="7"/>
  <c r="F3264" i="7"/>
  <c r="F3265" i="7"/>
  <c r="F3266" i="7"/>
  <c r="F3267" i="7"/>
  <c r="F3268" i="7"/>
  <c r="F3269" i="7"/>
  <c r="F3270" i="7"/>
  <c r="F3271" i="7"/>
  <c r="F3272" i="7"/>
  <c r="F3273" i="7"/>
  <c r="F3274" i="7"/>
  <c r="F3275" i="7"/>
  <c r="F3276" i="7"/>
  <c r="F3277" i="7"/>
  <c r="F3278" i="7"/>
  <c r="F3279" i="7"/>
  <c r="F3280" i="7"/>
  <c r="F3281" i="7"/>
  <c r="F3282" i="7"/>
  <c r="F3283" i="7"/>
  <c r="F3284" i="7"/>
  <c r="F3285" i="7"/>
  <c r="F3286" i="7"/>
  <c r="F3287" i="7"/>
  <c r="F3288" i="7"/>
  <c r="F3289" i="7"/>
  <c r="F3290" i="7"/>
  <c r="F3291" i="7"/>
  <c r="F3292" i="7"/>
  <c r="F3293" i="7"/>
  <c r="F3294" i="7"/>
  <c r="F3295" i="7"/>
  <c r="F3296" i="7"/>
  <c r="F3297" i="7"/>
  <c r="F3298" i="7"/>
  <c r="F3299" i="7"/>
  <c r="F3300" i="7"/>
  <c r="F3301" i="7"/>
  <c r="F3302" i="7"/>
  <c r="F3303" i="7"/>
  <c r="F3304" i="7"/>
  <c r="F3305" i="7"/>
  <c r="F3306" i="7"/>
  <c r="F3307" i="7"/>
  <c r="F3308" i="7"/>
  <c r="F3309" i="7"/>
  <c r="F3310" i="7"/>
  <c r="F3311" i="7"/>
  <c r="F3312" i="7"/>
  <c r="F3313" i="7"/>
  <c r="F3314" i="7"/>
  <c r="F3315" i="7"/>
  <c r="F3316" i="7"/>
  <c r="F3317" i="7"/>
  <c r="F3318" i="7"/>
  <c r="F3319" i="7"/>
  <c r="F3320" i="7"/>
  <c r="F3321" i="7"/>
  <c r="F3322" i="7"/>
  <c r="F3323" i="7"/>
  <c r="F3324" i="7"/>
  <c r="F3325" i="7"/>
  <c r="F3326" i="7"/>
  <c r="F3327" i="7"/>
  <c r="F3328" i="7"/>
  <c r="F3329" i="7"/>
  <c r="F3330" i="7"/>
  <c r="F3331" i="7"/>
  <c r="F3332" i="7"/>
  <c r="F3333" i="7"/>
  <c r="F3334" i="7"/>
  <c r="F3335" i="7"/>
  <c r="F3336" i="7"/>
  <c r="F3337" i="7"/>
  <c r="F3338" i="7"/>
  <c r="F3339" i="7"/>
  <c r="F3340" i="7"/>
  <c r="F3341" i="7"/>
  <c r="F3342" i="7"/>
  <c r="F3343" i="7"/>
  <c r="F3344" i="7"/>
  <c r="F3345" i="7"/>
  <c r="F3346" i="7"/>
  <c r="F3347" i="7"/>
  <c r="F3348" i="7"/>
  <c r="F3349" i="7"/>
  <c r="F3350" i="7"/>
  <c r="F3351" i="7"/>
  <c r="F3352" i="7"/>
  <c r="F3353" i="7"/>
  <c r="F3354" i="7"/>
  <c r="F3355" i="7"/>
  <c r="F3356" i="7"/>
  <c r="F3357" i="7"/>
  <c r="F3358" i="7"/>
  <c r="F3359" i="7"/>
  <c r="F3360" i="7"/>
  <c r="F3361" i="7"/>
  <c r="F3362" i="7"/>
  <c r="F3363" i="7"/>
  <c r="F3364" i="7"/>
  <c r="F3365" i="7"/>
  <c r="F3366" i="7"/>
  <c r="F3367" i="7"/>
  <c r="F3368" i="7"/>
  <c r="F3369" i="7"/>
  <c r="F3370" i="7"/>
  <c r="F3371" i="7"/>
  <c r="F3372" i="7"/>
  <c r="F3373" i="7"/>
  <c r="F3374" i="7"/>
  <c r="F3375" i="7"/>
  <c r="F3376" i="7"/>
  <c r="F3377" i="7"/>
  <c r="F3378" i="7"/>
  <c r="F3379" i="7"/>
  <c r="F3380" i="7"/>
  <c r="F3381" i="7"/>
  <c r="F3382" i="7"/>
  <c r="F3383" i="7"/>
  <c r="F3384" i="7"/>
  <c r="F3385" i="7"/>
  <c r="F3386" i="7"/>
  <c r="F3387" i="7"/>
  <c r="F3388" i="7"/>
  <c r="F3389" i="7"/>
  <c r="F3390" i="7"/>
  <c r="F3391" i="7"/>
  <c r="F3392" i="7"/>
  <c r="F3393" i="7"/>
  <c r="F3394" i="7"/>
  <c r="F3395" i="7"/>
  <c r="F3396" i="7"/>
  <c r="F3397" i="7"/>
  <c r="F3398" i="7"/>
  <c r="F3399" i="7"/>
  <c r="F3400" i="7"/>
  <c r="F3401" i="7"/>
  <c r="F3402" i="7"/>
  <c r="F3403" i="7"/>
  <c r="F3404" i="7"/>
  <c r="F3405" i="7"/>
  <c r="F3406" i="7"/>
  <c r="F3407" i="7"/>
  <c r="F3408" i="7"/>
  <c r="F3409" i="7"/>
  <c r="F3410" i="7"/>
  <c r="F3411" i="7"/>
  <c r="F3412" i="7"/>
  <c r="F3413" i="7"/>
  <c r="F3414" i="7"/>
  <c r="F3415" i="7"/>
  <c r="F3416" i="7"/>
  <c r="F3417" i="7"/>
  <c r="F3418" i="7"/>
  <c r="F3419" i="7"/>
  <c r="F3420" i="7"/>
  <c r="F3421" i="7"/>
  <c r="F3422" i="7"/>
  <c r="F3423" i="7"/>
  <c r="F3424" i="7"/>
  <c r="F3425" i="7"/>
  <c r="F3426" i="7"/>
  <c r="F3427" i="7"/>
  <c r="F3428" i="7"/>
  <c r="F3429" i="7"/>
  <c r="F3430" i="7"/>
  <c r="F3431" i="7"/>
  <c r="F3432" i="7"/>
  <c r="F3433" i="7"/>
  <c r="F3434" i="7"/>
  <c r="F3435" i="7"/>
  <c r="F3436" i="7"/>
  <c r="F3437" i="7"/>
  <c r="F3438" i="7"/>
  <c r="F3439" i="7"/>
  <c r="F3440" i="7"/>
  <c r="F3441" i="7"/>
  <c r="F3442" i="7"/>
  <c r="F3443" i="7"/>
  <c r="F3444" i="7"/>
  <c r="F3445" i="7"/>
  <c r="F3446" i="7"/>
  <c r="F3447" i="7"/>
  <c r="F3448" i="7"/>
  <c r="F3449" i="7"/>
  <c r="F3450" i="7"/>
  <c r="F3451" i="7"/>
  <c r="F3452" i="7"/>
  <c r="F3453" i="7"/>
  <c r="F3454" i="7"/>
  <c r="F3455" i="7"/>
  <c r="F3456" i="7"/>
  <c r="F3457" i="7"/>
  <c r="F3458" i="7"/>
  <c r="F3459" i="7"/>
  <c r="F3460" i="7"/>
  <c r="F3461" i="7"/>
  <c r="F3462" i="7"/>
  <c r="F3463" i="7"/>
  <c r="F3464" i="7"/>
  <c r="F3465" i="7"/>
  <c r="F3466" i="7"/>
  <c r="F3467" i="7"/>
  <c r="F3468" i="7"/>
  <c r="F3469" i="7"/>
  <c r="F3470" i="7"/>
  <c r="F3471" i="7"/>
  <c r="F3472" i="7"/>
  <c r="F3473" i="7"/>
  <c r="F3474" i="7"/>
  <c r="F3475" i="7"/>
  <c r="F3476" i="7"/>
  <c r="F3477" i="7"/>
  <c r="F3478" i="7"/>
  <c r="F3479" i="7"/>
  <c r="F3480" i="7"/>
  <c r="F3481" i="7"/>
  <c r="F3482" i="7"/>
  <c r="F3483" i="7"/>
  <c r="F3484" i="7"/>
  <c r="F3485" i="7"/>
  <c r="F3486" i="7"/>
  <c r="F3487" i="7"/>
  <c r="F3488" i="7"/>
  <c r="F3489" i="7"/>
  <c r="F3490" i="7"/>
  <c r="F3491" i="7"/>
  <c r="F3492" i="7"/>
  <c r="F3493" i="7"/>
  <c r="F3494" i="7"/>
  <c r="F3495" i="7"/>
  <c r="F3496" i="7"/>
  <c r="F3497" i="7"/>
  <c r="F3498" i="7"/>
  <c r="F3499" i="7"/>
  <c r="F3500" i="7"/>
  <c r="F3501" i="7"/>
  <c r="F3502" i="7"/>
  <c r="F3503" i="7"/>
  <c r="F3504" i="7"/>
  <c r="F3505" i="7"/>
  <c r="F3506" i="7"/>
  <c r="F3507" i="7"/>
  <c r="F3508" i="7"/>
  <c r="F3509" i="7"/>
  <c r="F3510" i="7"/>
  <c r="F3511" i="7"/>
  <c r="F3512" i="7"/>
  <c r="F3513" i="7"/>
  <c r="F3514" i="7"/>
  <c r="F3515" i="7"/>
  <c r="F3516" i="7"/>
  <c r="F3517" i="7"/>
  <c r="F3518" i="7"/>
  <c r="F3519" i="7"/>
  <c r="F3520" i="7"/>
  <c r="F3521" i="7"/>
  <c r="F3522" i="7"/>
  <c r="F3523" i="7"/>
  <c r="F3524" i="7"/>
  <c r="F3525" i="7"/>
  <c r="F3526" i="7"/>
  <c r="F3527" i="7"/>
  <c r="F3528" i="7"/>
  <c r="F3529" i="7"/>
  <c r="F3530" i="7"/>
  <c r="F3531" i="7"/>
  <c r="F3532" i="7"/>
  <c r="F3533" i="7"/>
  <c r="F3534" i="7"/>
  <c r="F3535" i="7"/>
  <c r="F3536" i="7"/>
  <c r="F3537" i="7"/>
  <c r="F3538" i="7"/>
  <c r="F3539" i="7"/>
  <c r="F3540" i="7"/>
  <c r="F3541" i="7"/>
  <c r="F3542" i="7"/>
  <c r="F3543" i="7"/>
  <c r="F3544" i="7"/>
  <c r="F3545" i="7"/>
  <c r="F3546" i="7"/>
  <c r="F3547" i="7"/>
  <c r="F3548" i="7"/>
  <c r="F3549" i="7"/>
  <c r="F3550" i="7"/>
  <c r="F3551" i="7"/>
  <c r="F3552" i="7"/>
  <c r="F3553" i="7"/>
  <c r="F3554" i="7"/>
  <c r="F3555" i="7"/>
  <c r="F3556" i="7"/>
  <c r="F3557" i="7"/>
  <c r="F3558" i="7"/>
  <c r="F3559" i="7"/>
  <c r="F3560" i="7"/>
  <c r="F3561" i="7"/>
  <c r="F3562" i="7"/>
  <c r="F3563" i="7"/>
  <c r="F3564" i="7"/>
  <c r="F3565" i="7"/>
  <c r="F3566" i="7"/>
  <c r="F3567" i="7"/>
  <c r="F3568" i="7"/>
  <c r="F3569" i="7"/>
  <c r="F3570" i="7"/>
  <c r="F3571" i="7"/>
  <c r="F3572" i="7"/>
  <c r="F3573" i="7"/>
  <c r="F3574" i="7"/>
  <c r="F3575" i="7"/>
  <c r="F3576" i="7"/>
  <c r="F3577" i="7"/>
  <c r="F3578" i="7"/>
  <c r="F3579" i="7"/>
  <c r="F3580" i="7"/>
  <c r="F3581" i="7"/>
  <c r="F3582" i="7"/>
  <c r="F3583" i="7"/>
  <c r="F3584" i="7"/>
  <c r="F3585" i="7"/>
  <c r="F3586" i="7"/>
  <c r="F3587" i="7"/>
  <c r="F3588" i="7"/>
  <c r="F3589" i="7"/>
  <c r="F3590" i="7"/>
  <c r="F3591" i="7"/>
  <c r="F3592" i="7"/>
  <c r="F3593" i="7"/>
  <c r="F3594" i="7"/>
  <c r="F3595" i="7"/>
  <c r="F3596" i="7"/>
  <c r="F3597" i="7"/>
  <c r="F3598" i="7"/>
  <c r="F3599" i="7"/>
  <c r="F3600" i="7"/>
  <c r="F3601" i="7"/>
  <c r="F3602" i="7"/>
  <c r="F3603" i="7"/>
  <c r="F3604" i="7"/>
  <c r="F3605" i="7"/>
  <c r="F3606" i="7"/>
  <c r="F3607" i="7"/>
  <c r="F3608" i="7"/>
  <c r="F3609" i="7"/>
  <c r="F3610" i="7"/>
  <c r="F3611" i="7"/>
  <c r="F3612" i="7"/>
  <c r="F3613" i="7"/>
  <c r="F3614" i="7"/>
  <c r="F3615" i="7"/>
  <c r="F3616" i="7"/>
  <c r="F3617" i="7"/>
  <c r="F3618" i="7"/>
  <c r="F3619" i="7"/>
  <c r="F3620" i="7"/>
  <c r="F3621" i="7"/>
  <c r="F3622" i="7"/>
  <c r="F3623" i="7"/>
  <c r="F3624" i="7"/>
  <c r="F3625" i="7"/>
  <c r="F3626" i="7"/>
  <c r="F3627" i="7"/>
  <c r="F3628" i="7"/>
  <c r="F3629" i="7"/>
  <c r="F3630" i="7"/>
  <c r="F3631" i="7"/>
  <c r="F3632" i="7"/>
  <c r="F3633" i="7"/>
  <c r="F3634" i="7"/>
  <c r="F3635" i="7"/>
  <c r="F3636" i="7"/>
  <c r="F3637" i="7"/>
  <c r="F3638" i="7"/>
  <c r="F3639" i="7"/>
  <c r="F3640" i="7"/>
  <c r="F3641" i="7"/>
  <c r="F3642" i="7"/>
  <c r="F3643" i="7"/>
  <c r="F3644" i="7"/>
  <c r="F3645" i="7"/>
  <c r="F3646" i="7"/>
  <c r="F3647" i="7"/>
  <c r="F3648" i="7"/>
  <c r="F3649" i="7"/>
  <c r="F3650" i="7"/>
  <c r="F3651" i="7"/>
  <c r="F3652" i="7"/>
  <c r="F3653" i="7"/>
  <c r="F3654" i="7"/>
  <c r="F3655" i="7"/>
  <c r="F3656" i="7"/>
  <c r="F3657" i="7"/>
  <c r="F3658" i="7"/>
  <c r="F3659" i="7"/>
  <c r="F3660" i="7"/>
  <c r="F3661" i="7"/>
  <c r="F3662" i="7"/>
  <c r="F3663" i="7"/>
  <c r="F3664" i="7"/>
  <c r="F3665" i="7"/>
  <c r="F3666" i="7"/>
  <c r="F3667" i="7"/>
  <c r="F3668" i="7"/>
  <c r="F3669" i="7"/>
  <c r="F3670" i="7"/>
  <c r="F3671" i="7"/>
  <c r="F3672" i="7"/>
  <c r="F3673" i="7"/>
  <c r="F3674" i="7"/>
  <c r="F3675" i="7"/>
  <c r="F3676" i="7"/>
  <c r="F3677" i="7"/>
  <c r="F3678" i="7"/>
  <c r="F3679" i="7"/>
  <c r="F3680" i="7"/>
  <c r="F3681" i="7"/>
  <c r="F3682" i="7"/>
  <c r="F3683" i="7"/>
  <c r="F3684" i="7"/>
  <c r="F3685" i="7"/>
  <c r="F3686" i="7"/>
  <c r="F3687" i="7"/>
  <c r="F3688" i="7"/>
  <c r="F3689" i="7"/>
  <c r="F3690" i="7"/>
  <c r="F3691" i="7"/>
  <c r="F3692" i="7"/>
  <c r="F3693" i="7"/>
  <c r="F3694" i="7"/>
  <c r="F3695" i="7"/>
  <c r="F3696" i="7"/>
  <c r="F3697" i="7"/>
  <c r="F3698" i="7"/>
  <c r="F3699" i="7"/>
  <c r="F3700" i="7"/>
  <c r="F3701" i="7"/>
  <c r="F3702" i="7"/>
  <c r="F3703" i="7"/>
  <c r="F3704" i="7"/>
  <c r="F3705" i="7"/>
  <c r="F3706" i="7"/>
  <c r="F3707" i="7"/>
  <c r="F3708" i="7"/>
  <c r="F3709" i="7"/>
  <c r="F3710" i="7"/>
  <c r="F3711" i="7"/>
  <c r="F3712" i="7"/>
  <c r="F3713" i="7"/>
  <c r="F3714" i="7"/>
  <c r="F3715" i="7"/>
  <c r="F3716" i="7"/>
  <c r="F3717" i="7"/>
  <c r="F3718" i="7"/>
  <c r="F3719" i="7"/>
  <c r="F3720" i="7"/>
  <c r="F3721" i="7"/>
  <c r="F3722" i="7"/>
  <c r="F3723" i="7"/>
  <c r="F3724" i="7"/>
  <c r="F3725" i="7"/>
  <c r="F3726" i="7"/>
  <c r="F3727" i="7"/>
  <c r="F3728" i="7"/>
  <c r="F3729" i="7"/>
  <c r="F3730" i="7"/>
  <c r="F3731" i="7"/>
  <c r="F3732" i="7"/>
  <c r="F3733" i="7"/>
  <c r="F3734" i="7"/>
  <c r="F3735" i="7"/>
  <c r="F3736" i="7"/>
  <c r="F3737" i="7"/>
  <c r="F3738" i="7"/>
  <c r="F3739" i="7"/>
  <c r="F3740" i="7"/>
  <c r="F3741" i="7"/>
  <c r="F3742" i="7"/>
  <c r="F3743" i="7"/>
  <c r="F3744" i="7"/>
  <c r="F3745" i="7"/>
  <c r="F3746" i="7"/>
  <c r="F3747" i="7"/>
  <c r="F3748" i="7"/>
  <c r="F3749" i="7"/>
  <c r="F3750" i="7"/>
  <c r="F3751" i="7"/>
  <c r="F3752" i="7"/>
  <c r="F3753" i="7"/>
  <c r="F3754" i="7"/>
  <c r="F3755" i="7"/>
  <c r="F3756" i="7"/>
  <c r="F3757" i="7"/>
  <c r="F3758" i="7"/>
  <c r="F3759" i="7"/>
  <c r="F3760" i="7"/>
  <c r="F3761" i="7"/>
  <c r="F3762" i="7"/>
  <c r="F3763" i="7"/>
  <c r="F3764" i="7"/>
  <c r="F3765" i="7"/>
  <c r="F3766" i="7"/>
  <c r="F3767" i="7"/>
  <c r="F3768" i="7"/>
  <c r="F3769" i="7"/>
  <c r="F3770" i="7"/>
  <c r="F3771" i="7"/>
  <c r="F3772" i="7"/>
  <c r="F3773" i="7"/>
  <c r="F3774" i="7"/>
  <c r="F3775" i="7"/>
  <c r="F3776" i="7"/>
  <c r="F3777" i="7"/>
  <c r="F3778" i="7"/>
  <c r="F3779" i="7"/>
  <c r="F3780" i="7"/>
  <c r="F3781" i="7"/>
  <c r="F3782" i="7"/>
  <c r="F3783" i="7"/>
  <c r="F3784" i="7"/>
  <c r="F3785" i="7"/>
  <c r="F3786" i="7"/>
  <c r="F3787" i="7"/>
  <c r="F3788" i="7"/>
  <c r="F3789" i="7"/>
  <c r="F3790" i="7"/>
  <c r="F3791" i="7"/>
  <c r="F3792" i="7"/>
  <c r="F3793" i="7"/>
  <c r="F3794" i="7"/>
  <c r="F3795" i="7"/>
  <c r="F3796" i="7"/>
  <c r="F3797" i="7"/>
  <c r="F3798" i="7"/>
  <c r="F3799" i="7"/>
  <c r="F3800" i="7"/>
  <c r="F3801" i="7"/>
  <c r="F3802" i="7"/>
  <c r="F3803" i="7"/>
  <c r="F3804" i="7"/>
  <c r="F3805" i="7"/>
  <c r="F3806" i="7"/>
  <c r="F3807" i="7"/>
  <c r="F3808" i="7"/>
  <c r="F3809" i="7"/>
  <c r="F3810" i="7"/>
  <c r="F3811" i="7"/>
  <c r="F3812" i="7"/>
  <c r="F3813" i="7"/>
  <c r="F3814" i="7"/>
  <c r="F3815" i="7"/>
  <c r="F3816" i="7"/>
  <c r="F3817" i="7"/>
  <c r="F3818" i="7"/>
  <c r="F3819" i="7"/>
  <c r="F3820" i="7"/>
  <c r="F3821" i="7"/>
  <c r="F3822" i="7"/>
  <c r="F3823" i="7"/>
  <c r="F3824" i="7"/>
  <c r="F3825" i="7"/>
  <c r="F3826" i="7"/>
  <c r="F3827" i="7"/>
  <c r="F3828" i="7"/>
  <c r="F3829" i="7"/>
  <c r="F3830" i="7"/>
  <c r="F3831" i="7"/>
  <c r="F3832" i="7"/>
  <c r="F3833" i="7"/>
  <c r="F3834" i="7"/>
  <c r="F3835" i="7"/>
  <c r="F3836" i="7"/>
  <c r="F3837" i="7"/>
  <c r="F3838" i="7"/>
  <c r="F3839" i="7"/>
  <c r="F3840" i="7"/>
  <c r="F3841" i="7"/>
  <c r="F3842" i="7"/>
  <c r="F3843" i="7"/>
  <c r="F3844" i="7"/>
  <c r="F3845" i="7"/>
  <c r="F3846" i="7"/>
  <c r="F3847" i="7"/>
  <c r="F3848" i="7"/>
  <c r="F3849" i="7"/>
  <c r="F3850" i="7"/>
  <c r="F3851" i="7"/>
  <c r="F3852" i="7"/>
  <c r="F3853" i="7"/>
  <c r="F3854" i="7"/>
  <c r="F3855" i="7"/>
  <c r="F3856" i="7"/>
  <c r="F3857" i="7"/>
  <c r="F3858" i="7"/>
  <c r="F3859" i="7"/>
  <c r="F3860" i="7"/>
  <c r="F3861" i="7"/>
  <c r="F3862" i="7"/>
  <c r="F3863" i="7"/>
  <c r="F3864" i="7"/>
  <c r="F3865" i="7"/>
  <c r="F3866" i="7"/>
  <c r="F3867" i="7"/>
  <c r="F3868" i="7"/>
  <c r="F3869" i="7"/>
  <c r="F3870" i="7"/>
  <c r="F3871" i="7"/>
  <c r="F3872" i="7"/>
  <c r="F3873" i="7"/>
  <c r="F3874" i="7"/>
  <c r="F3875" i="7"/>
  <c r="F3876" i="7"/>
  <c r="F3877" i="7"/>
  <c r="F3878" i="7"/>
  <c r="F3879" i="7"/>
  <c r="F3880" i="7"/>
  <c r="F3881" i="7"/>
  <c r="F3882" i="7"/>
  <c r="F3883" i="7"/>
  <c r="F3884" i="7"/>
  <c r="F3885" i="7"/>
  <c r="F3886" i="7"/>
  <c r="F3887" i="7"/>
  <c r="F3888" i="7"/>
  <c r="F3889" i="7"/>
  <c r="F3890" i="7"/>
  <c r="F3891" i="7"/>
  <c r="F3892" i="7"/>
  <c r="F3893" i="7"/>
  <c r="F3894" i="7"/>
  <c r="F3895" i="7"/>
  <c r="F3896" i="7"/>
  <c r="F3897" i="7"/>
  <c r="F3898" i="7"/>
  <c r="F3899" i="7"/>
  <c r="F3900" i="7"/>
  <c r="F3901" i="7"/>
  <c r="F3902" i="7"/>
  <c r="F3903" i="7"/>
  <c r="F3904" i="7"/>
  <c r="F3905" i="7"/>
  <c r="F3906" i="7"/>
  <c r="F3907" i="7"/>
  <c r="F3908" i="7"/>
  <c r="F3909" i="7"/>
  <c r="F3910" i="7"/>
  <c r="F3911" i="7"/>
  <c r="F3912" i="7"/>
  <c r="F3913" i="7"/>
  <c r="F3914" i="7"/>
  <c r="F3915" i="7"/>
  <c r="F3916" i="7"/>
  <c r="F3917" i="7"/>
  <c r="F3918" i="7"/>
  <c r="F3919" i="7"/>
  <c r="F3920" i="7"/>
  <c r="F3921" i="7"/>
  <c r="F3922" i="7"/>
  <c r="F3923" i="7"/>
  <c r="F3924" i="7"/>
  <c r="F3925" i="7"/>
  <c r="F3926" i="7"/>
  <c r="F3927" i="7"/>
  <c r="F3928" i="7"/>
  <c r="F3929" i="7"/>
  <c r="F3930" i="7"/>
  <c r="F3931" i="7"/>
  <c r="F3932" i="7"/>
  <c r="F3933" i="7"/>
  <c r="F3934" i="7"/>
  <c r="F3935" i="7"/>
  <c r="F3936" i="7"/>
  <c r="F3937" i="7"/>
  <c r="F3938" i="7"/>
  <c r="F3939" i="7"/>
  <c r="F3940" i="7"/>
  <c r="F3941" i="7"/>
  <c r="F3942" i="7"/>
  <c r="F3943" i="7"/>
  <c r="F3944" i="7"/>
  <c r="F3945" i="7"/>
  <c r="F3946" i="7"/>
  <c r="F3947" i="7"/>
  <c r="F3948" i="7"/>
  <c r="F3949" i="7"/>
  <c r="F3950" i="7"/>
  <c r="F3951" i="7"/>
  <c r="F3952" i="7"/>
  <c r="F3953" i="7"/>
  <c r="F3954" i="7"/>
  <c r="F3955" i="7"/>
  <c r="F3956" i="7"/>
  <c r="F3957" i="7"/>
  <c r="F3958" i="7"/>
  <c r="F3959" i="7"/>
  <c r="F3960" i="7"/>
  <c r="F3961" i="7"/>
  <c r="F3962" i="7"/>
  <c r="F3963" i="7"/>
  <c r="F3964" i="7"/>
  <c r="F3965" i="7"/>
  <c r="F3966" i="7"/>
  <c r="F3967" i="7"/>
  <c r="F3968" i="7"/>
  <c r="F3969" i="7"/>
  <c r="F3970" i="7"/>
  <c r="F3971" i="7"/>
  <c r="F3972" i="7"/>
  <c r="F3973" i="7"/>
  <c r="F3974" i="7"/>
  <c r="F3975" i="7"/>
  <c r="F3976" i="7"/>
  <c r="F3977" i="7"/>
  <c r="F3978" i="7"/>
  <c r="F3979" i="7"/>
  <c r="F3980" i="7"/>
  <c r="F3981" i="7"/>
  <c r="F3982" i="7"/>
  <c r="F3983" i="7"/>
  <c r="F3984" i="7"/>
  <c r="F3985" i="7"/>
  <c r="F3986" i="7"/>
  <c r="F3987" i="7"/>
  <c r="F3988" i="7"/>
  <c r="F3989" i="7"/>
  <c r="F3990" i="7"/>
  <c r="F3991" i="7"/>
  <c r="F3992" i="7"/>
  <c r="F3993" i="7"/>
  <c r="F3994" i="7"/>
  <c r="F3995" i="7"/>
  <c r="F3996" i="7"/>
  <c r="F3997" i="7"/>
  <c r="F3998" i="7"/>
  <c r="F3999" i="7"/>
  <c r="F4000" i="7"/>
  <c r="F4001" i="7"/>
  <c r="F4002" i="7"/>
  <c r="F4003" i="7"/>
  <c r="F4004" i="7"/>
  <c r="F4005" i="7"/>
  <c r="F4006" i="7"/>
  <c r="F4007" i="7"/>
  <c r="F4008" i="7"/>
  <c r="F4009" i="7"/>
  <c r="F4010" i="7"/>
  <c r="F4011" i="7"/>
  <c r="F4012" i="7"/>
  <c r="F4013" i="7"/>
  <c r="F4014" i="7"/>
  <c r="F4015" i="7"/>
  <c r="F4016" i="7"/>
  <c r="F4017" i="7"/>
  <c r="F4018" i="7"/>
  <c r="F4019" i="7"/>
  <c r="F4020" i="7"/>
  <c r="F4021" i="7"/>
  <c r="F4022" i="7"/>
  <c r="F4023" i="7"/>
  <c r="F4024" i="7"/>
  <c r="F4025" i="7"/>
  <c r="F4026" i="7"/>
  <c r="F4027" i="7"/>
  <c r="F4028" i="7"/>
  <c r="F4029" i="7"/>
  <c r="F4030" i="7"/>
  <c r="F4031" i="7"/>
  <c r="F4032" i="7"/>
  <c r="F4033" i="7"/>
  <c r="F4034" i="7"/>
  <c r="F4035" i="7"/>
  <c r="F4036" i="7"/>
  <c r="F4037" i="7"/>
  <c r="F4038" i="7"/>
  <c r="F4039" i="7"/>
  <c r="F4040" i="7"/>
  <c r="F4041" i="7"/>
  <c r="F4042" i="7"/>
  <c r="F4043" i="7"/>
  <c r="F4044" i="7"/>
  <c r="F4045" i="7"/>
  <c r="F4046" i="7"/>
  <c r="F4047" i="7"/>
  <c r="F4048" i="7"/>
  <c r="F4049" i="7"/>
  <c r="F4050" i="7"/>
  <c r="F4051" i="7"/>
  <c r="F4052" i="7"/>
  <c r="F4053" i="7"/>
  <c r="F4054" i="7"/>
  <c r="F4055" i="7"/>
  <c r="F4056" i="7"/>
  <c r="F4057" i="7"/>
  <c r="F4058" i="7"/>
  <c r="F4059" i="7"/>
  <c r="F4060" i="7"/>
  <c r="F4061" i="7"/>
  <c r="F4062" i="7"/>
  <c r="F4063" i="7"/>
  <c r="F4064" i="7"/>
  <c r="F4065" i="7"/>
  <c r="F4066" i="7"/>
  <c r="F4067" i="7"/>
  <c r="F4068" i="7"/>
  <c r="F4069" i="7"/>
  <c r="F4070" i="7"/>
  <c r="F4071" i="7"/>
  <c r="F4072" i="7"/>
  <c r="F4073" i="7"/>
  <c r="F4074" i="7"/>
  <c r="F4075" i="7"/>
  <c r="F4076" i="7"/>
  <c r="F4077" i="7"/>
  <c r="F4078" i="7"/>
  <c r="F4079" i="7"/>
  <c r="F4080" i="7"/>
  <c r="F4081" i="7"/>
  <c r="F4082" i="7"/>
  <c r="F4083" i="7"/>
  <c r="F4084" i="7"/>
  <c r="F4085" i="7"/>
  <c r="F4086" i="7"/>
  <c r="F4087" i="7"/>
  <c r="F4088" i="7"/>
  <c r="F4089" i="7"/>
  <c r="F4090" i="7"/>
  <c r="F4091" i="7"/>
  <c r="F4092" i="7"/>
  <c r="F4093" i="7"/>
  <c r="F4094" i="7"/>
  <c r="F4095" i="7"/>
  <c r="F4096" i="7"/>
  <c r="F4097" i="7"/>
  <c r="F4098" i="7"/>
  <c r="F4099" i="7"/>
  <c r="F4100" i="7"/>
  <c r="F4101" i="7"/>
  <c r="F4102" i="7"/>
  <c r="F4103" i="7"/>
  <c r="F4104" i="7"/>
  <c r="F4105" i="7"/>
  <c r="F4106" i="7"/>
  <c r="F4107" i="7"/>
  <c r="F4108" i="7"/>
  <c r="F4109" i="7"/>
  <c r="F4110" i="7"/>
  <c r="F4111" i="7"/>
  <c r="F4112" i="7"/>
  <c r="F4113" i="7"/>
  <c r="F4114" i="7"/>
  <c r="F4115" i="7"/>
  <c r="F4116" i="7"/>
  <c r="F4117" i="7"/>
  <c r="F4118" i="7"/>
  <c r="F4119" i="7"/>
  <c r="F4120" i="7"/>
  <c r="F4121" i="7"/>
  <c r="F4122" i="7"/>
  <c r="F4123" i="7"/>
  <c r="F4124" i="7"/>
  <c r="F4125" i="7"/>
  <c r="F4126" i="7"/>
  <c r="F4127" i="7"/>
  <c r="F4128" i="7"/>
  <c r="F4129" i="7"/>
  <c r="F4130" i="7"/>
  <c r="F4131" i="7"/>
  <c r="F4132" i="7"/>
  <c r="F4133" i="7"/>
  <c r="F4134" i="7"/>
  <c r="F4135" i="7"/>
  <c r="F4136" i="7"/>
  <c r="F4137" i="7"/>
  <c r="F4138" i="7"/>
  <c r="F4139" i="7"/>
  <c r="F4140" i="7"/>
  <c r="F4141" i="7"/>
  <c r="F4142" i="7"/>
  <c r="F4143" i="7"/>
  <c r="F4144" i="7"/>
  <c r="F4145" i="7"/>
  <c r="F4146" i="7"/>
  <c r="F4147" i="7"/>
  <c r="F4148" i="7"/>
  <c r="F4149" i="7"/>
  <c r="F4150" i="7"/>
  <c r="F4151" i="7"/>
  <c r="F4152" i="7"/>
  <c r="F4153" i="7"/>
  <c r="F4154" i="7"/>
  <c r="F4155" i="7"/>
  <c r="F4156" i="7"/>
  <c r="F4157" i="7"/>
  <c r="F4158" i="7"/>
  <c r="F4159" i="7"/>
  <c r="F4160" i="7"/>
  <c r="F4161" i="7"/>
  <c r="F4162" i="7"/>
  <c r="F4163" i="7"/>
  <c r="F4164" i="7"/>
  <c r="F4165" i="7"/>
  <c r="F4166" i="7"/>
  <c r="F4167" i="7"/>
  <c r="F4168" i="7"/>
  <c r="F4169" i="7"/>
  <c r="F4170" i="7"/>
  <c r="F4171" i="7"/>
  <c r="F4172" i="7"/>
  <c r="F4173" i="7"/>
  <c r="F4174" i="7"/>
  <c r="F4175" i="7"/>
  <c r="F4176" i="7"/>
  <c r="F4177" i="7"/>
  <c r="F4178" i="7"/>
  <c r="F4179" i="7"/>
  <c r="F4180" i="7"/>
  <c r="F4181" i="7"/>
  <c r="F4182" i="7"/>
  <c r="F4183" i="7"/>
  <c r="F4184" i="7"/>
  <c r="F4185" i="7"/>
  <c r="F4186" i="7"/>
  <c r="F4187" i="7"/>
  <c r="F4188" i="7"/>
  <c r="F4189" i="7"/>
  <c r="F4190" i="7"/>
  <c r="F4191" i="7"/>
  <c r="F4192" i="7"/>
  <c r="F4193" i="7"/>
  <c r="F4194" i="7"/>
  <c r="F4195" i="7"/>
  <c r="F4196" i="7"/>
  <c r="F4197" i="7"/>
  <c r="F4198" i="7"/>
  <c r="F4199" i="7"/>
  <c r="F4200" i="7"/>
  <c r="F4201" i="7"/>
  <c r="F4202" i="7"/>
  <c r="F4203" i="7"/>
  <c r="F4204" i="7"/>
  <c r="F4205" i="7"/>
  <c r="F4206" i="7"/>
  <c r="F4207" i="7"/>
  <c r="F4208" i="7"/>
  <c r="F4209" i="7"/>
  <c r="F4210" i="7"/>
  <c r="F4211" i="7"/>
  <c r="F4212" i="7"/>
  <c r="F4213" i="7"/>
  <c r="F4214" i="7"/>
  <c r="F4215" i="7"/>
  <c r="F4216" i="7"/>
  <c r="F4217" i="7"/>
  <c r="F4218" i="7"/>
  <c r="F4219" i="7"/>
  <c r="F4220" i="7"/>
  <c r="F4221" i="7"/>
  <c r="F4222" i="7"/>
  <c r="F4223" i="7"/>
  <c r="F4224" i="7"/>
  <c r="F4225" i="7"/>
  <c r="F4226" i="7"/>
  <c r="F4227" i="7"/>
  <c r="F4228" i="7"/>
  <c r="F4229" i="7"/>
  <c r="F4230" i="7"/>
  <c r="F4231" i="7"/>
  <c r="F4232" i="7"/>
  <c r="F4233" i="7"/>
  <c r="F4234" i="7"/>
  <c r="F4235" i="7"/>
  <c r="F4236" i="7"/>
  <c r="F4237" i="7"/>
  <c r="F4238" i="7"/>
  <c r="F4239" i="7"/>
  <c r="F4240" i="7"/>
  <c r="F4241" i="7"/>
  <c r="F4242" i="7"/>
  <c r="F4243" i="7"/>
  <c r="F4244" i="7"/>
  <c r="F4245" i="7"/>
  <c r="F4246" i="7"/>
  <c r="F4247" i="7"/>
  <c r="F4248" i="7"/>
  <c r="F4249" i="7"/>
  <c r="F4250" i="7"/>
  <c r="F4251" i="7"/>
  <c r="F4252" i="7"/>
  <c r="F4253" i="7"/>
  <c r="F4254" i="7"/>
  <c r="F4255" i="7"/>
  <c r="F4256" i="7"/>
  <c r="F4257" i="7"/>
  <c r="F4258" i="7"/>
  <c r="F4259" i="7"/>
  <c r="F4260" i="7"/>
  <c r="F4261" i="7"/>
  <c r="F4262" i="7"/>
  <c r="F4263" i="7"/>
  <c r="F4264" i="7"/>
  <c r="F4265" i="7"/>
  <c r="F4266" i="7"/>
  <c r="F4267" i="7"/>
  <c r="F4268" i="7"/>
  <c r="F4269" i="7"/>
  <c r="F4270" i="7"/>
  <c r="F4271" i="7"/>
  <c r="F4272" i="7"/>
  <c r="F4273" i="7"/>
  <c r="F4274" i="7"/>
  <c r="F4275" i="7"/>
  <c r="F4276" i="7"/>
  <c r="F4277" i="7"/>
  <c r="F4278" i="7"/>
  <c r="F4279" i="7"/>
  <c r="F4280" i="7"/>
  <c r="F4281" i="7"/>
  <c r="F4282" i="7"/>
  <c r="F4283" i="7"/>
  <c r="F4284" i="7"/>
  <c r="F4285" i="7"/>
  <c r="F4286" i="7"/>
  <c r="F4287" i="7"/>
  <c r="F4288" i="7"/>
  <c r="F4289" i="7"/>
  <c r="F4290" i="7"/>
  <c r="F4291" i="7"/>
  <c r="F4292" i="7"/>
  <c r="F4293" i="7"/>
  <c r="F4294" i="7"/>
  <c r="F4295" i="7"/>
  <c r="F4296" i="7"/>
  <c r="F4297" i="7"/>
  <c r="F4298" i="7"/>
  <c r="F4299" i="7"/>
  <c r="F4300" i="7"/>
  <c r="F4301" i="7"/>
  <c r="F4302" i="7"/>
  <c r="F4303" i="7"/>
  <c r="F4304" i="7"/>
  <c r="F4305" i="7"/>
  <c r="F4306" i="7"/>
  <c r="F4307" i="7"/>
  <c r="F4308" i="7"/>
  <c r="F4309" i="7"/>
  <c r="F4310" i="7"/>
  <c r="F4311" i="7"/>
  <c r="F4312" i="7"/>
  <c r="F4313" i="7"/>
  <c r="F4314" i="7"/>
  <c r="F4315" i="7"/>
  <c r="F4316" i="7"/>
  <c r="F4317" i="7"/>
  <c r="F4318" i="7"/>
  <c r="F4319" i="7"/>
  <c r="F4320" i="7"/>
  <c r="F4321" i="7"/>
  <c r="F4322" i="7"/>
  <c r="F4323" i="7"/>
  <c r="F4324" i="7"/>
  <c r="F4325" i="7"/>
  <c r="F4326" i="7"/>
  <c r="F4327" i="7"/>
  <c r="F4328" i="7"/>
  <c r="F4329" i="7"/>
  <c r="F4330" i="7"/>
  <c r="F4331" i="7"/>
  <c r="F4332" i="7"/>
  <c r="F4333" i="7"/>
  <c r="F4334" i="7"/>
  <c r="F4335" i="7"/>
  <c r="F4336" i="7"/>
  <c r="F4337" i="7"/>
  <c r="F4338" i="7"/>
  <c r="F4339" i="7"/>
  <c r="F4340" i="7"/>
  <c r="F4341" i="7"/>
  <c r="F4342" i="7"/>
  <c r="F4343" i="7"/>
  <c r="F4344" i="7"/>
  <c r="F4345" i="7"/>
  <c r="F4346" i="7"/>
  <c r="F4347" i="7"/>
  <c r="F4348" i="7"/>
  <c r="F4349" i="7"/>
  <c r="F4350" i="7"/>
  <c r="F4351" i="7"/>
  <c r="F4352" i="7"/>
  <c r="F4353" i="7"/>
  <c r="F4354" i="7"/>
  <c r="F4355" i="7"/>
  <c r="F4356" i="7"/>
  <c r="F4357" i="7"/>
  <c r="F4358" i="7"/>
  <c r="F4359" i="7"/>
  <c r="F4360" i="7"/>
  <c r="F4361" i="7"/>
  <c r="F4362" i="7"/>
  <c r="F4363" i="7"/>
  <c r="F4364" i="7"/>
  <c r="F4365" i="7"/>
  <c r="F4366" i="7"/>
  <c r="F4367" i="7"/>
  <c r="F4368" i="7"/>
  <c r="F4369" i="7"/>
  <c r="F4370" i="7"/>
  <c r="F4371" i="7"/>
  <c r="F4372" i="7"/>
  <c r="F4373" i="7"/>
  <c r="F4374" i="7"/>
  <c r="F4375" i="7"/>
  <c r="F4376" i="7"/>
  <c r="F4377" i="7"/>
  <c r="F4378" i="7"/>
  <c r="F4379" i="7"/>
  <c r="F4380" i="7"/>
  <c r="F4381" i="7"/>
  <c r="F4382" i="7"/>
  <c r="F4383" i="7"/>
  <c r="F4384" i="7"/>
  <c r="F4385" i="7"/>
  <c r="F4386" i="7"/>
  <c r="F4387" i="7"/>
  <c r="F4388" i="7"/>
  <c r="F4389" i="7"/>
  <c r="F4390" i="7"/>
  <c r="F4391" i="7"/>
  <c r="F4392" i="7"/>
  <c r="F4393" i="7"/>
  <c r="F4394" i="7"/>
  <c r="F4395" i="7"/>
  <c r="F4396" i="7"/>
  <c r="F4397" i="7"/>
  <c r="F4398" i="7"/>
  <c r="F4399" i="7"/>
  <c r="F4400" i="7"/>
  <c r="F4401" i="7"/>
  <c r="F4402" i="7"/>
  <c r="F4403" i="7"/>
  <c r="F4404" i="7"/>
  <c r="F4405" i="7"/>
  <c r="F4406" i="7"/>
  <c r="F4407" i="7"/>
  <c r="F4408" i="7"/>
  <c r="F4409" i="7"/>
  <c r="F4410" i="7"/>
  <c r="F4411" i="7"/>
  <c r="F4412" i="7"/>
  <c r="F4413" i="7"/>
  <c r="F4414" i="7"/>
  <c r="F4415" i="7"/>
  <c r="F4416" i="7"/>
  <c r="F4417" i="7"/>
  <c r="F4418" i="7"/>
  <c r="F4419" i="7"/>
  <c r="F4420" i="7"/>
  <c r="F4421" i="7"/>
  <c r="F4422" i="7"/>
  <c r="F4423" i="7"/>
  <c r="F4424" i="7"/>
  <c r="F4425" i="7"/>
  <c r="F4426" i="7"/>
  <c r="F4427" i="7"/>
  <c r="F4428" i="7"/>
  <c r="F4429" i="7"/>
  <c r="F4430" i="7"/>
  <c r="F4431" i="7"/>
  <c r="F4432" i="7"/>
  <c r="F4433" i="7"/>
  <c r="F4434" i="7"/>
  <c r="F4435" i="7"/>
  <c r="F4436" i="7"/>
  <c r="F4437" i="7"/>
  <c r="F4438" i="7"/>
  <c r="F4439" i="7"/>
  <c r="F4440" i="7"/>
  <c r="F4441" i="7"/>
  <c r="F4442" i="7"/>
  <c r="F4443" i="7"/>
  <c r="F4444" i="7"/>
  <c r="F4445" i="7"/>
  <c r="F4446" i="7"/>
  <c r="F4447" i="7"/>
  <c r="F4448" i="7"/>
  <c r="F4449" i="7"/>
  <c r="F4450" i="7"/>
  <c r="F4451" i="7"/>
  <c r="F4452" i="7"/>
  <c r="F4453" i="7"/>
  <c r="F4454" i="7"/>
  <c r="F4455" i="7"/>
  <c r="F4456" i="7"/>
  <c r="F4457" i="7"/>
  <c r="F4458" i="7"/>
  <c r="F4459" i="7"/>
  <c r="F4460" i="7"/>
  <c r="F4461" i="7"/>
  <c r="F4462" i="7"/>
  <c r="F4463" i="7"/>
  <c r="F4464" i="7"/>
  <c r="F4465" i="7"/>
  <c r="F4466" i="7"/>
  <c r="F4467" i="7"/>
  <c r="F4468" i="7"/>
  <c r="F4469" i="7"/>
  <c r="F4470" i="7"/>
  <c r="F4471" i="7"/>
  <c r="F4472" i="7"/>
  <c r="F4473" i="7"/>
  <c r="F4474" i="7"/>
  <c r="F4475" i="7"/>
  <c r="F4476" i="7"/>
  <c r="F4477" i="7"/>
  <c r="F4478" i="7"/>
  <c r="F4479" i="7"/>
  <c r="F4480" i="7"/>
  <c r="F4481" i="7"/>
  <c r="F4482" i="7"/>
  <c r="F4483" i="7"/>
  <c r="F4484" i="7"/>
  <c r="F4485" i="7"/>
  <c r="F4486" i="7"/>
  <c r="F4487" i="7"/>
  <c r="F4488" i="7"/>
  <c r="F4489" i="7"/>
  <c r="F4490" i="7"/>
  <c r="F4491" i="7"/>
  <c r="F4492" i="7"/>
  <c r="F4493" i="7"/>
  <c r="F4494" i="7"/>
  <c r="F4495" i="7"/>
  <c r="F4496" i="7"/>
  <c r="F4497" i="7"/>
  <c r="F4498" i="7"/>
  <c r="F4499" i="7"/>
  <c r="F4500" i="7"/>
  <c r="F4501" i="7"/>
  <c r="F4502" i="7"/>
  <c r="F4503" i="7"/>
  <c r="F4504" i="7"/>
  <c r="F4505" i="7"/>
  <c r="F4506" i="7"/>
  <c r="F4507" i="7"/>
  <c r="F4508" i="7"/>
  <c r="F4509" i="7"/>
  <c r="F4510" i="7"/>
  <c r="F4511" i="7"/>
  <c r="F4512" i="7"/>
  <c r="F4513" i="7"/>
  <c r="F4514" i="7"/>
  <c r="F4515" i="7"/>
  <c r="F4516" i="7"/>
  <c r="F4517" i="7"/>
  <c r="F4518" i="7"/>
  <c r="F4519" i="7"/>
  <c r="F4520" i="7"/>
  <c r="F4521" i="7"/>
  <c r="F4522" i="7"/>
  <c r="F4523" i="7"/>
  <c r="F4524" i="7"/>
  <c r="F4525" i="7"/>
  <c r="F4526" i="7"/>
  <c r="F4527" i="7"/>
  <c r="F4528" i="7"/>
  <c r="F4529" i="7"/>
  <c r="F4530" i="7"/>
  <c r="F4531" i="7"/>
  <c r="F4532" i="7"/>
  <c r="F4533" i="7"/>
  <c r="F4534" i="7"/>
  <c r="F4535" i="7"/>
  <c r="F4536" i="7"/>
  <c r="F4537" i="7"/>
  <c r="F4538" i="7"/>
  <c r="F4539" i="7"/>
  <c r="F4540" i="7"/>
  <c r="F4541" i="7"/>
  <c r="F4542" i="7"/>
  <c r="F4543" i="7"/>
  <c r="F4544" i="7"/>
  <c r="F4545" i="7"/>
  <c r="F4546" i="7"/>
  <c r="F4547" i="7"/>
  <c r="F4548" i="7"/>
  <c r="F4549" i="7"/>
  <c r="F4550" i="7"/>
  <c r="F4551" i="7"/>
  <c r="F4552" i="7"/>
  <c r="F4553" i="7"/>
  <c r="F4554" i="7"/>
  <c r="F4555" i="7"/>
  <c r="F4556" i="7"/>
  <c r="F4557" i="7"/>
  <c r="F4558" i="7"/>
  <c r="F4559" i="7"/>
  <c r="F4560" i="7"/>
  <c r="F4561" i="7"/>
  <c r="F4562" i="7"/>
  <c r="F4563" i="7"/>
  <c r="F4564" i="7"/>
  <c r="F4565" i="7"/>
  <c r="F4566" i="7"/>
  <c r="F4567" i="7"/>
  <c r="F4568" i="7"/>
  <c r="F4569" i="7"/>
  <c r="F4570" i="7"/>
  <c r="F4571" i="7"/>
  <c r="F4572" i="7"/>
  <c r="F4573" i="7"/>
  <c r="F4574" i="7"/>
  <c r="F4575" i="7"/>
  <c r="F4576" i="7"/>
  <c r="F4577" i="7"/>
  <c r="F4578" i="7"/>
  <c r="F4579" i="7"/>
  <c r="F4580" i="7"/>
  <c r="F4581" i="7"/>
  <c r="F4582" i="7"/>
  <c r="F4583" i="7"/>
  <c r="F4584" i="7"/>
  <c r="F4585" i="7"/>
  <c r="F4586" i="7"/>
  <c r="F4587" i="7"/>
  <c r="F4588" i="7"/>
  <c r="F4589" i="7"/>
  <c r="F4590" i="7"/>
  <c r="F4591" i="7"/>
  <c r="F4592" i="7"/>
  <c r="F4593" i="7"/>
  <c r="F4594" i="7"/>
  <c r="F4595" i="7"/>
  <c r="F4596" i="7"/>
  <c r="F4597" i="7"/>
  <c r="F4598" i="7"/>
  <c r="F4599" i="7"/>
  <c r="F4600" i="7"/>
  <c r="F4601" i="7"/>
  <c r="F4602" i="7"/>
  <c r="F4603" i="7"/>
  <c r="F4604" i="7"/>
  <c r="F4605" i="7"/>
  <c r="F4606" i="7"/>
  <c r="F4607" i="7"/>
  <c r="F4608" i="7"/>
  <c r="F4609" i="7"/>
  <c r="F4610" i="7"/>
  <c r="F4611" i="7"/>
  <c r="F4612" i="7"/>
  <c r="F4613" i="7"/>
  <c r="F4614" i="7"/>
  <c r="F4615" i="7"/>
  <c r="F4616" i="7"/>
  <c r="F4617" i="7"/>
  <c r="F4618" i="7"/>
  <c r="F4619" i="7"/>
  <c r="F4620" i="7"/>
  <c r="F4621" i="7"/>
  <c r="F4622" i="7"/>
  <c r="F4623" i="7"/>
  <c r="F4624" i="7"/>
  <c r="F4625" i="7"/>
  <c r="F4626" i="7"/>
  <c r="F4627" i="7"/>
  <c r="F4628" i="7"/>
  <c r="F4629" i="7"/>
  <c r="F4630" i="7"/>
  <c r="F4631" i="7"/>
  <c r="F4632" i="7"/>
  <c r="F4633" i="7"/>
  <c r="F4634" i="7"/>
  <c r="F4635" i="7"/>
  <c r="F4636" i="7"/>
  <c r="F4637" i="7"/>
  <c r="F4638" i="7"/>
  <c r="F4639" i="7"/>
  <c r="F4640" i="7"/>
  <c r="F4641" i="7"/>
  <c r="F4642" i="7"/>
  <c r="F4643" i="7"/>
  <c r="F4644" i="7"/>
  <c r="F4645" i="7"/>
  <c r="F4646" i="7"/>
  <c r="F4647" i="7"/>
  <c r="F4648" i="7"/>
  <c r="F4649" i="7"/>
  <c r="F4650" i="7"/>
  <c r="F4651" i="7"/>
  <c r="F4652" i="7"/>
  <c r="F4653" i="7"/>
  <c r="F4654" i="7"/>
  <c r="F4655" i="7"/>
  <c r="F4656" i="7"/>
  <c r="F4657" i="7"/>
  <c r="F4658" i="7"/>
  <c r="F4659" i="7"/>
  <c r="F4660" i="7"/>
  <c r="F4661" i="7"/>
  <c r="F4662" i="7"/>
  <c r="F4663" i="7"/>
  <c r="F4664" i="7"/>
  <c r="F4665" i="7"/>
  <c r="F4666" i="7"/>
  <c r="F4667" i="7"/>
  <c r="F4668" i="7"/>
  <c r="F4669" i="7"/>
  <c r="F4670" i="7"/>
  <c r="F4671" i="7"/>
  <c r="F4672" i="7"/>
  <c r="F4673" i="7"/>
  <c r="F4674" i="7"/>
  <c r="F4675" i="7"/>
  <c r="F4676" i="7"/>
  <c r="F4677" i="7"/>
  <c r="F4678" i="7"/>
  <c r="F4679" i="7"/>
  <c r="F4680" i="7"/>
  <c r="F4681" i="7"/>
  <c r="F4682" i="7"/>
  <c r="F4683" i="7"/>
  <c r="F4684" i="7"/>
  <c r="F4685" i="7"/>
  <c r="F4686" i="7"/>
  <c r="F4687" i="7"/>
  <c r="F4688" i="7"/>
  <c r="F4689" i="7"/>
  <c r="F4690" i="7"/>
  <c r="F4691" i="7"/>
  <c r="F4692" i="7"/>
  <c r="F4693" i="7"/>
  <c r="F4694" i="7"/>
  <c r="F4695" i="7"/>
  <c r="F4696" i="7"/>
  <c r="F4697" i="7"/>
  <c r="F4698" i="7"/>
  <c r="F4699" i="7"/>
  <c r="F4700" i="7"/>
  <c r="F4701" i="7"/>
  <c r="F4702" i="7"/>
  <c r="F4703" i="7"/>
  <c r="F4704" i="7"/>
  <c r="F4705" i="7"/>
  <c r="F4706" i="7"/>
  <c r="F4707" i="7"/>
  <c r="F4708" i="7"/>
  <c r="F4709" i="7"/>
  <c r="F4710" i="7"/>
  <c r="F4711" i="7"/>
  <c r="F4712" i="7"/>
  <c r="F4713" i="7"/>
  <c r="F4714" i="7"/>
  <c r="F4715" i="7"/>
  <c r="F4716" i="7"/>
  <c r="F4717" i="7"/>
  <c r="F4718" i="7"/>
  <c r="F4719" i="7"/>
  <c r="F4720" i="7"/>
  <c r="F4721" i="7"/>
  <c r="F4722" i="7"/>
  <c r="F4723" i="7"/>
  <c r="F4724" i="7"/>
  <c r="F4725" i="7"/>
  <c r="F4726" i="7"/>
  <c r="F4727" i="7"/>
  <c r="F4728" i="7"/>
  <c r="F4729" i="7"/>
  <c r="F4730" i="7"/>
  <c r="F4731" i="7"/>
  <c r="F4732" i="7"/>
  <c r="F4733" i="7"/>
  <c r="F4734" i="7"/>
  <c r="F4735" i="7"/>
  <c r="F4736" i="7"/>
  <c r="F4737" i="7"/>
  <c r="F4738" i="7"/>
  <c r="F4739" i="7"/>
  <c r="F4740" i="7"/>
  <c r="F4741" i="7"/>
  <c r="F4742" i="7"/>
  <c r="F4743" i="7"/>
  <c r="F4744" i="7"/>
  <c r="F4745" i="7"/>
  <c r="F4746" i="7"/>
  <c r="F4747" i="7"/>
  <c r="F4748" i="7"/>
  <c r="F4749" i="7"/>
  <c r="F4750" i="7"/>
  <c r="F4751" i="7"/>
  <c r="F4752" i="7"/>
  <c r="F4753" i="7"/>
  <c r="F4754" i="7"/>
  <c r="F4755" i="7"/>
  <c r="F4756" i="7"/>
  <c r="F4757" i="7"/>
  <c r="F4758" i="7"/>
  <c r="F4759" i="7"/>
  <c r="F4760" i="7"/>
  <c r="F4761" i="7"/>
  <c r="F4762" i="7"/>
  <c r="F4763" i="7"/>
  <c r="F4764" i="7"/>
  <c r="F4765" i="7"/>
  <c r="F4766" i="7"/>
  <c r="F4767" i="7"/>
  <c r="F4768" i="7"/>
  <c r="F4769" i="7"/>
  <c r="F4770" i="7"/>
  <c r="F4771" i="7"/>
  <c r="F4772" i="7"/>
  <c r="F4773" i="7"/>
  <c r="F4774" i="7"/>
  <c r="F4775" i="7"/>
  <c r="F4776" i="7"/>
  <c r="F4777" i="7"/>
  <c r="F4778" i="7"/>
  <c r="F4779" i="7"/>
  <c r="F4780" i="7"/>
  <c r="F4781" i="7"/>
  <c r="F4782" i="7"/>
  <c r="F4783" i="7"/>
  <c r="F4784" i="7"/>
  <c r="F4785" i="7"/>
  <c r="F4786" i="7"/>
  <c r="F4787" i="7"/>
  <c r="F4788" i="7"/>
  <c r="F4789" i="7"/>
  <c r="F4790" i="7"/>
  <c r="F4791" i="7"/>
  <c r="F4792" i="7"/>
  <c r="F4793" i="7"/>
  <c r="F4794" i="7"/>
  <c r="F4795" i="7"/>
  <c r="F4796" i="7"/>
  <c r="F4797" i="7"/>
  <c r="F4798" i="7"/>
  <c r="F4799" i="7"/>
  <c r="F4800" i="7"/>
  <c r="F4801" i="7"/>
  <c r="F4802" i="7"/>
  <c r="F4803" i="7"/>
  <c r="F4804" i="7"/>
  <c r="F4805" i="7"/>
  <c r="F4806" i="7"/>
  <c r="F4807" i="7"/>
  <c r="F4808" i="7"/>
  <c r="F4809" i="7"/>
  <c r="F4810" i="7"/>
  <c r="F4811" i="7"/>
  <c r="F4812" i="7"/>
  <c r="F4813" i="7"/>
  <c r="F4814" i="7"/>
  <c r="F4815" i="7"/>
  <c r="F4816" i="7"/>
  <c r="F4817" i="7"/>
  <c r="F4818" i="7"/>
  <c r="F4819" i="7"/>
  <c r="F4820" i="7"/>
  <c r="F4821" i="7"/>
  <c r="F4822" i="7"/>
  <c r="F4823" i="7"/>
  <c r="F4824" i="7"/>
  <c r="F4825" i="7"/>
  <c r="F4826" i="7"/>
  <c r="F4827" i="7"/>
  <c r="F4828" i="7"/>
  <c r="F4829" i="7"/>
  <c r="F4830" i="7"/>
  <c r="F4831" i="7"/>
  <c r="F4832" i="7"/>
  <c r="F4833" i="7"/>
  <c r="F4834" i="7"/>
  <c r="F4835" i="7"/>
  <c r="F4836" i="7"/>
  <c r="F4837" i="7"/>
  <c r="F4838" i="7"/>
  <c r="F4839" i="7"/>
  <c r="F4840" i="7"/>
  <c r="F4841" i="7"/>
  <c r="F4842" i="7"/>
  <c r="F4843" i="7"/>
  <c r="F4844" i="7"/>
  <c r="F4845" i="7"/>
  <c r="F4846" i="7"/>
  <c r="F4847" i="7"/>
  <c r="F4848" i="7"/>
  <c r="F4849" i="7"/>
  <c r="F4850" i="7"/>
  <c r="F4851" i="7"/>
  <c r="F4852" i="7"/>
  <c r="F4853" i="7"/>
  <c r="F4854" i="7"/>
  <c r="F4855" i="7"/>
  <c r="F4856" i="7"/>
  <c r="F4857" i="7"/>
  <c r="F4858" i="7"/>
  <c r="F4859" i="7"/>
  <c r="F4860" i="7"/>
  <c r="F4861" i="7"/>
  <c r="F4862" i="7"/>
  <c r="F4863" i="7"/>
  <c r="F4864" i="7"/>
  <c r="F4865" i="7"/>
  <c r="F4866" i="7"/>
  <c r="F4867" i="7"/>
  <c r="F4868" i="7"/>
  <c r="F4869" i="7"/>
  <c r="F4870" i="7"/>
  <c r="F4871" i="7"/>
  <c r="F4872" i="7"/>
  <c r="F4873" i="7"/>
  <c r="F4874" i="7"/>
  <c r="F4875" i="7"/>
  <c r="F4876" i="7"/>
  <c r="F4877" i="7"/>
  <c r="F4878" i="7"/>
  <c r="F4879" i="7"/>
  <c r="F4880" i="7"/>
  <c r="F4881" i="7"/>
  <c r="F4882" i="7"/>
  <c r="F4883" i="7"/>
  <c r="F4884" i="7"/>
  <c r="F4885" i="7"/>
  <c r="F4886" i="7"/>
  <c r="F4887" i="7"/>
  <c r="F4888" i="7"/>
  <c r="F4889" i="7"/>
  <c r="F4890" i="7"/>
  <c r="F4891" i="7"/>
  <c r="F4892" i="7"/>
  <c r="F4893" i="7"/>
  <c r="F4894" i="7"/>
  <c r="F4895" i="7"/>
  <c r="F4896" i="7"/>
  <c r="F4897" i="7"/>
  <c r="F4898" i="7"/>
  <c r="F4899" i="7"/>
  <c r="F4900" i="7"/>
  <c r="F4901" i="7"/>
  <c r="F4902" i="7"/>
  <c r="F4903" i="7"/>
  <c r="F4904" i="7"/>
  <c r="F4905" i="7"/>
  <c r="F4906" i="7"/>
  <c r="F4907" i="7"/>
  <c r="F4908" i="7"/>
  <c r="F4909" i="7"/>
  <c r="F4910" i="7"/>
  <c r="F4911" i="7"/>
  <c r="F4912" i="7"/>
  <c r="F4913" i="7"/>
  <c r="F4914" i="7"/>
  <c r="F4915" i="7"/>
  <c r="F4916" i="7"/>
  <c r="F4917" i="7"/>
  <c r="F4918" i="7"/>
  <c r="F4919" i="7"/>
  <c r="F4920" i="7"/>
  <c r="F4921" i="7"/>
  <c r="F4922" i="7"/>
  <c r="F4923" i="7"/>
  <c r="F4924" i="7"/>
  <c r="F4925" i="7"/>
  <c r="F4926" i="7"/>
  <c r="F4927" i="7"/>
  <c r="F4928" i="7"/>
  <c r="F4929" i="7"/>
  <c r="F4930" i="7"/>
  <c r="F4931" i="7"/>
  <c r="F4932" i="7"/>
  <c r="F4933" i="7"/>
  <c r="F4934" i="7"/>
  <c r="F4935" i="7"/>
  <c r="F4936" i="7"/>
  <c r="F4937" i="7"/>
  <c r="F4938" i="7"/>
  <c r="F4939" i="7"/>
  <c r="F4940" i="7"/>
  <c r="F4941" i="7"/>
  <c r="F4942" i="7"/>
  <c r="F4943" i="7"/>
  <c r="F4944" i="7"/>
  <c r="F4945" i="7"/>
  <c r="F4946" i="7"/>
  <c r="F4947" i="7"/>
  <c r="F4948" i="7"/>
  <c r="F4949" i="7"/>
  <c r="F4950" i="7"/>
  <c r="F4951" i="7"/>
  <c r="F4952" i="7"/>
  <c r="F4953" i="7"/>
  <c r="F4954" i="7"/>
  <c r="F4955" i="7"/>
  <c r="F4956" i="7"/>
  <c r="F4957" i="7"/>
  <c r="F4958" i="7"/>
  <c r="F4959" i="7"/>
  <c r="F4960" i="7"/>
  <c r="F4961" i="7"/>
  <c r="F4962" i="7"/>
  <c r="F4963" i="7"/>
  <c r="F4964" i="7"/>
  <c r="F4965" i="7"/>
  <c r="F4966" i="7"/>
  <c r="F4967" i="7"/>
  <c r="F4968" i="7"/>
  <c r="F4969" i="7"/>
  <c r="F4970" i="7"/>
  <c r="F4971" i="7"/>
  <c r="F4972" i="7"/>
  <c r="F4973" i="7"/>
  <c r="F4974" i="7"/>
  <c r="F4975" i="7"/>
  <c r="F4976" i="7"/>
  <c r="F4977" i="7"/>
  <c r="F4978" i="7"/>
  <c r="F4979" i="7"/>
  <c r="F4980" i="7"/>
  <c r="F4981" i="7"/>
  <c r="F4982" i="7"/>
  <c r="F4983" i="7"/>
  <c r="F4984" i="7"/>
  <c r="F4985" i="7"/>
  <c r="F4986" i="7"/>
  <c r="F4987" i="7"/>
  <c r="F4988" i="7"/>
  <c r="F4989" i="7"/>
  <c r="F4990" i="7"/>
  <c r="F4991" i="7"/>
  <c r="F4992" i="7"/>
  <c r="F4993" i="7"/>
  <c r="F4994" i="7"/>
  <c r="F4995" i="7"/>
  <c r="F4996" i="7"/>
  <c r="F4997" i="7"/>
  <c r="F4998" i="7"/>
  <c r="F4999" i="7"/>
  <c r="F5000" i="7"/>
  <c r="F5001" i="7"/>
  <c r="F5002" i="7"/>
  <c r="F5003" i="7"/>
  <c r="F5004" i="7"/>
  <c r="F5005" i="7"/>
  <c r="F5006" i="7"/>
  <c r="F5007" i="7"/>
  <c r="F5008" i="7"/>
  <c r="F5009" i="7"/>
  <c r="F5010" i="7"/>
  <c r="F5011" i="7"/>
  <c r="F5012" i="7"/>
  <c r="F5013" i="7"/>
  <c r="F5014" i="7"/>
  <c r="F5015" i="7"/>
  <c r="F5016" i="7"/>
  <c r="F5017" i="7"/>
  <c r="F5018" i="7"/>
  <c r="F5019" i="7"/>
  <c r="F5020" i="7"/>
  <c r="F5021" i="7"/>
  <c r="F5022" i="7"/>
  <c r="F5023" i="7"/>
  <c r="F5024" i="7"/>
  <c r="F5025" i="7"/>
  <c r="F5026" i="7"/>
  <c r="F5027" i="7"/>
  <c r="F5028" i="7"/>
  <c r="F5029" i="7"/>
  <c r="F5030" i="7"/>
  <c r="F5031" i="7"/>
  <c r="F5032" i="7"/>
  <c r="F5033" i="7"/>
  <c r="F5034" i="7"/>
  <c r="F5035" i="7"/>
  <c r="F5036" i="7"/>
  <c r="F5037" i="7"/>
  <c r="F5038" i="7"/>
  <c r="F5039" i="7"/>
  <c r="F5040" i="7"/>
  <c r="F5041" i="7"/>
  <c r="F5042" i="7"/>
  <c r="F5043" i="7"/>
  <c r="F5044" i="7"/>
  <c r="F5045" i="7"/>
  <c r="F5046" i="7"/>
  <c r="F5047" i="7"/>
  <c r="F5048" i="7"/>
  <c r="F5049" i="7"/>
  <c r="F5050" i="7"/>
  <c r="F5051" i="7"/>
  <c r="F5052" i="7"/>
  <c r="F5053" i="7"/>
  <c r="F5054" i="7"/>
  <c r="F5055" i="7"/>
  <c r="F5056" i="7"/>
  <c r="F5057" i="7"/>
  <c r="F5058" i="7"/>
  <c r="F5059" i="7"/>
  <c r="F5060" i="7"/>
  <c r="F5061" i="7"/>
  <c r="F5062" i="7"/>
  <c r="F5063" i="7"/>
  <c r="F5064" i="7"/>
  <c r="F5065" i="7"/>
  <c r="F5066" i="7"/>
  <c r="F5067" i="7"/>
  <c r="F5068" i="7"/>
  <c r="F5069" i="7"/>
  <c r="F5070" i="7"/>
  <c r="F5071" i="7"/>
  <c r="F5072" i="7"/>
  <c r="F5073" i="7"/>
  <c r="F5074" i="7"/>
  <c r="F5075" i="7"/>
  <c r="F5076" i="7"/>
  <c r="F5077" i="7"/>
  <c r="F5078" i="7"/>
  <c r="F5079" i="7"/>
  <c r="F5080" i="7"/>
  <c r="F5081" i="7"/>
  <c r="F5082" i="7"/>
  <c r="F5083" i="7"/>
  <c r="F5084" i="7"/>
  <c r="F5085" i="7"/>
  <c r="F5086" i="7"/>
  <c r="F5087" i="7"/>
  <c r="F5088" i="7"/>
  <c r="F5089" i="7"/>
  <c r="F5090" i="7"/>
  <c r="F5091" i="7"/>
  <c r="F5092" i="7"/>
  <c r="F5093" i="7"/>
  <c r="F5094" i="7"/>
  <c r="F5095" i="7"/>
  <c r="F5096" i="7"/>
  <c r="F5097" i="7"/>
  <c r="F5098" i="7"/>
  <c r="F5099" i="7"/>
  <c r="F5100" i="7"/>
  <c r="F5101" i="7"/>
  <c r="F5102" i="7"/>
  <c r="F5103" i="7"/>
  <c r="F5104" i="7"/>
  <c r="F5105" i="7"/>
  <c r="F5106" i="7"/>
  <c r="F5107" i="7"/>
  <c r="F5108" i="7"/>
  <c r="F5109" i="7"/>
  <c r="F5110" i="7"/>
  <c r="F5111" i="7"/>
  <c r="F5112" i="7"/>
  <c r="F5113" i="7"/>
  <c r="F5114" i="7"/>
  <c r="F5115" i="7"/>
  <c r="F5116" i="7"/>
  <c r="F5117" i="7"/>
  <c r="F5118" i="7"/>
  <c r="F5119" i="7"/>
  <c r="F5120" i="7"/>
  <c r="F5121" i="7"/>
  <c r="F5122" i="7"/>
  <c r="F5123" i="7"/>
  <c r="F5124" i="7"/>
  <c r="F5125" i="7"/>
  <c r="F5126" i="7"/>
  <c r="F5127" i="7"/>
  <c r="F5128" i="7"/>
  <c r="F5129" i="7"/>
  <c r="F5130" i="7"/>
  <c r="F5131" i="7"/>
  <c r="F5132" i="7"/>
  <c r="F5133" i="7"/>
  <c r="F5134" i="7"/>
  <c r="F5135" i="7"/>
  <c r="F5136" i="7"/>
  <c r="F5137" i="7"/>
  <c r="F5138" i="7"/>
  <c r="F5139" i="7"/>
  <c r="F5140" i="7"/>
  <c r="F5141" i="7"/>
  <c r="F5142" i="7"/>
  <c r="F5143" i="7"/>
  <c r="F5144" i="7"/>
  <c r="F5145" i="7"/>
  <c r="F5146" i="7"/>
  <c r="F5147" i="7"/>
  <c r="F5148" i="7"/>
  <c r="F5149" i="7"/>
  <c r="F5150" i="7"/>
  <c r="F5151" i="7"/>
  <c r="F5152" i="7"/>
  <c r="F5153" i="7"/>
  <c r="F5154" i="7"/>
  <c r="F5155" i="7"/>
  <c r="F5156" i="7"/>
  <c r="F5157" i="7"/>
  <c r="F5158" i="7"/>
  <c r="F5159" i="7"/>
  <c r="F5160" i="7"/>
  <c r="F5161" i="7"/>
  <c r="F5162" i="7"/>
  <c r="F5163" i="7"/>
  <c r="F5164" i="7"/>
  <c r="F5165" i="7"/>
  <c r="F5166" i="7"/>
  <c r="F5167" i="7"/>
  <c r="F5168" i="7"/>
  <c r="F5169" i="7"/>
  <c r="F5170" i="7"/>
  <c r="F5171" i="7"/>
  <c r="F5172" i="7"/>
  <c r="F5173" i="7"/>
  <c r="F5174" i="7"/>
  <c r="F5175" i="7"/>
  <c r="F5176" i="7"/>
  <c r="F5177" i="7"/>
  <c r="F5178" i="7"/>
  <c r="F5179" i="7"/>
  <c r="F5180" i="7"/>
  <c r="F5181" i="7"/>
  <c r="F5182" i="7"/>
  <c r="F5183" i="7"/>
  <c r="F5184" i="7"/>
  <c r="F5185" i="7"/>
  <c r="F5186" i="7"/>
  <c r="F5187" i="7"/>
  <c r="F5188" i="7"/>
  <c r="F5189" i="7"/>
  <c r="F5190" i="7"/>
  <c r="F5191" i="7"/>
  <c r="F5192" i="7"/>
  <c r="F5193" i="7"/>
  <c r="F5194" i="7"/>
  <c r="F5195" i="7"/>
  <c r="F5196" i="7"/>
  <c r="F5197" i="7"/>
  <c r="F5198" i="7"/>
  <c r="F5199" i="7"/>
  <c r="F5200" i="7"/>
  <c r="F5201" i="7"/>
  <c r="F5202" i="7"/>
  <c r="F5203" i="7"/>
  <c r="F5204" i="7"/>
  <c r="F5205" i="7"/>
  <c r="F5206" i="7"/>
  <c r="F5207" i="7"/>
  <c r="F5208" i="7"/>
  <c r="F5209" i="7"/>
  <c r="F5210" i="7"/>
  <c r="F5211" i="7"/>
  <c r="F5212" i="7"/>
  <c r="F5213" i="7"/>
  <c r="F5214" i="7"/>
  <c r="F5215" i="7"/>
  <c r="F5216" i="7"/>
  <c r="F5217" i="7"/>
  <c r="F5218" i="7"/>
  <c r="F5219" i="7"/>
  <c r="F5220" i="7"/>
  <c r="F5221" i="7"/>
  <c r="F5222" i="7"/>
  <c r="F5223" i="7"/>
  <c r="F5224" i="7"/>
  <c r="F5225" i="7"/>
  <c r="F5226" i="7"/>
  <c r="F5227" i="7"/>
  <c r="F5228" i="7"/>
  <c r="F5229" i="7"/>
  <c r="F5230" i="7"/>
  <c r="F5231" i="7"/>
  <c r="F5232" i="7"/>
  <c r="F5233" i="7"/>
  <c r="F5234" i="7"/>
  <c r="F5235" i="7"/>
  <c r="F5236" i="7"/>
  <c r="F5237" i="7"/>
  <c r="F5238" i="7"/>
  <c r="F5239" i="7"/>
  <c r="F5240" i="7"/>
  <c r="F5241" i="7"/>
  <c r="F5242" i="7"/>
  <c r="F5243" i="7"/>
  <c r="F5244" i="7"/>
  <c r="F5245" i="7"/>
  <c r="F5246" i="7"/>
  <c r="F5247" i="7"/>
  <c r="F5248" i="7"/>
  <c r="F5249" i="7"/>
  <c r="F5250" i="7"/>
  <c r="F5251" i="7"/>
  <c r="F5252" i="7"/>
  <c r="F5253" i="7"/>
  <c r="F5254" i="7"/>
  <c r="F5255" i="7"/>
  <c r="F5256" i="7"/>
  <c r="F5257" i="7"/>
  <c r="F5258" i="7"/>
  <c r="F5259" i="7"/>
  <c r="F5260" i="7"/>
  <c r="F5261" i="7"/>
  <c r="F5262" i="7"/>
  <c r="F5263" i="7"/>
  <c r="F5264" i="7"/>
  <c r="F5265" i="7"/>
  <c r="F5266" i="7"/>
  <c r="F5267" i="7"/>
  <c r="F5268" i="7"/>
  <c r="F5269" i="7"/>
  <c r="F5270" i="7"/>
  <c r="F5271" i="7"/>
  <c r="F5272" i="7"/>
  <c r="F5273" i="7"/>
  <c r="F5274" i="7"/>
  <c r="F5275" i="7"/>
  <c r="F5276" i="7"/>
  <c r="F5277" i="7"/>
  <c r="F5278" i="7"/>
  <c r="F5279" i="7"/>
  <c r="F5280" i="7"/>
  <c r="F5281" i="7"/>
  <c r="F5282" i="7"/>
  <c r="F5283" i="7"/>
  <c r="F5284" i="7"/>
  <c r="F5285" i="7"/>
  <c r="F5286" i="7"/>
  <c r="F5287" i="7"/>
  <c r="F5288" i="7"/>
  <c r="F5289" i="7"/>
  <c r="F5290" i="7"/>
  <c r="F5291" i="7"/>
  <c r="F5292" i="7"/>
  <c r="F5293" i="7"/>
  <c r="F5294" i="7"/>
  <c r="F5295" i="7"/>
  <c r="F5296" i="7"/>
  <c r="F5297" i="7"/>
  <c r="F5298" i="7"/>
  <c r="F5299" i="7"/>
  <c r="F5300" i="7"/>
  <c r="F5301" i="7"/>
  <c r="F5302" i="7"/>
  <c r="F5303" i="7"/>
  <c r="F5304" i="7"/>
  <c r="F5305" i="7"/>
  <c r="F5306" i="7"/>
  <c r="F5307" i="7"/>
  <c r="F5308" i="7"/>
  <c r="F5309" i="7"/>
  <c r="F5310" i="7"/>
  <c r="F5311" i="7"/>
  <c r="F5312" i="7"/>
  <c r="F5313" i="7"/>
  <c r="F5314" i="7"/>
  <c r="F5315" i="7"/>
  <c r="F5316" i="7"/>
  <c r="F5317" i="7"/>
  <c r="F5318" i="7"/>
  <c r="F5319" i="7"/>
  <c r="F5320" i="7"/>
  <c r="F5321" i="7"/>
  <c r="F5322" i="7"/>
  <c r="F5323" i="7"/>
  <c r="F5324" i="7"/>
  <c r="F5325" i="7"/>
  <c r="F5326" i="7"/>
  <c r="F5327" i="7"/>
  <c r="F5328" i="7"/>
  <c r="F5329" i="7"/>
  <c r="F5330" i="7"/>
  <c r="F5331" i="7"/>
  <c r="F5332" i="7"/>
  <c r="F5333" i="7"/>
  <c r="F5334" i="7"/>
  <c r="F5335" i="7"/>
  <c r="F5336" i="7"/>
  <c r="F5337" i="7"/>
  <c r="F5338" i="7"/>
  <c r="F5339" i="7"/>
  <c r="F5340" i="7"/>
  <c r="F5341" i="7"/>
  <c r="F5342" i="7"/>
  <c r="F5343" i="7"/>
  <c r="F5344" i="7"/>
  <c r="F5345" i="7"/>
  <c r="F5346" i="7"/>
  <c r="F5347" i="7"/>
  <c r="F5348" i="7"/>
  <c r="F5349" i="7"/>
  <c r="F5350" i="7"/>
  <c r="F5351" i="7"/>
  <c r="F5352" i="7"/>
  <c r="F5353" i="7"/>
  <c r="F5354" i="7"/>
  <c r="F5355" i="7"/>
  <c r="F5356" i="7"/>
  <c r="F5357" i="7"/>
  <c r="F5358" i="7"/>
  <c r="F5359" i="7"/>
  <c r="F5360" i="7"/>
  <c r="F5361" i="7"/>
  <c r="F5362" i="7"/>
  <c r="F5363" i="7"/>
  <c r="F5364" i="7"/>
  <c r="F5365" i="7"/>
  <c r="F5366" i="7"/>
  <c r="F5367" i="7"/>
  <c r="F5368" i="7"/>
  <c r="F5369" i="7"/>
  <c r="F5370" i="7"/>
  <c r="F5371" i="7"/>
  <c r="F5372" i="7"/>
  <c r="F5373" i="7"/>
  <c r="F5374" i="7"/>
  <c r="F5375" i="7"/>
  <c r="F5376" i="7"/>
  <c r="F5377" i="7"/>
  <c r="F5378" i="7"/>
  <c r="F5379" i="7"/>
  <c r="F5380" i="7"/>
  <c r="F5381" i="7"/>
  <c r="F5382" i="7"/>
  <c r="F5383" i="7"/>
  <c r="F5384" i="7"/>
  <c r="F5385" i="7"/>
  <c r="F5386" i="7"/>
  <c r="F5387" i="7"/>
  <c r="F5388" i="7"/>
  <c r="F5389" i="7"/>
  <c r="F5390" i="7"/>
  <c r="F5391" i="7"/>
  <c r="F5392" i="7"/>
  <c r="F5393" i="7"/>
  <c r="F5394" i="7"/>
  <c r="F5395" i="7"/>
  <c r="F5396" i="7"/>
  <c r="F5397" i="7"/>
  <c r="F5398" i="7"/>
  <c r="F5399" i="7"/>
  <c r="F5400" i="7"/>
  <c r="F5401" i="7"/>
  <c r="F5402" i="7"/>
  <c r="F5403" i="7"/>
  <c r="F5404" i="7"/>
  <c r="F5405" i="7"/>
  <c r="F5406" i="7"/>
  <c r="F5407" i="7"/>
  <c r="F5408" i="7"/>
  <c r="F5409" i="7"/>
  <c r="F5410" i="7"/>
  <c r="F5411" i="7"/>
  <c r="F5412" i="7"/>
  <c r="F5413" i="7"/>
  <c r="F5414" i="7"/>
  <c r="F5415" i="7"/>
  <c r="F5416" i="7"/>
  <c r="F5417" i="7"/>
  <c r="F5418" i="7"/>
  <c r="F5419" i="7"/>
  <c r="F5420" i="7"/>
  <c r="F5421" i="7"/>
  <c r="F5422" i="7"/>
  <c r="F5423" i="7"/>
  <c r="F5424" i="7"/>
  <c r="F5425" i="7"/>
  <c r="F5426" i="7"/>
  <c r="F5427" i="7"/>
  <c r="F5428" i="7"/>
  <c r="F5429" i="7"/>
  <c r="F5430" i="7"/>
  <c r="F5431" i="7"/>
  <c r="F5432" i="7"/>
  <c r="F5433" i="7"/>
  <c r="F5434" i="7"/>
  <c r="F5435" i="7"/>
  <c r="F5436" i="7"/>
  <c r="F5437" i="7"/>
  <c r="F5438" i="7"/>
  <c r="F5439" i="7"/>
  <c r="F5440" i="7"/>
  <c r="F5441" i="7"/>
  <c r="F5442" i="7"/>
  <c r="F5443" i="7"/>
  <c r="F5444" i="7"/>
  <c r="F5445" i="7"/>
  <c r="F5446" i="7"/>
  <c r="F5447" i="7"/>
  <c r="F5448" i="7"/>
  <c r="F5449" i="7"/>
  <c r="F5450" i="7"/>
  <c r="F5451" i="7"/>
  <c r="F5452" i="7"/>
  <c r="F5453" i="7"/>
  <c r="F5454" i="7"/>
  <c r="F5455" i="7"/>
  <c r="F5456" i="7"/>
  <c r="F5457" i="7"/>
  <c r="F5458" i="7"/>
  <c r="F5459" i="7"/>
  <c r="F5460" i="7"/>
  <c r="F5461" i="7"/>
  <c r="F5462" i="7"/>
  <c r="F5463" i="7"/>
  <c r="F5464" i="7"/>
  <c r="F5465" i="7"/>
  <c r="F5466" i="7"/>
  <c r="F5467" i="7"/>
  <c r="F5468" i="7"/>
  <c r="F5469" i="7"/>
  <c r="F5470" i="7"/>
  <c r="F5471" i="7"/>
  <c r="F5472" i="7"/>
  <c r="F5473" i="7"/>
  <c r="F5474" i="7"/>
  <c r="F5475" i="7"/>
  <c r="F5476" i="7"/>
  <c r="F5477" i="7"/>
  <c r="F5478" i="7"/>
  <c r="F5479" i="7"/>
  <c r="F5480" i="7"/>
  <c r="F5481" i="7"/>
  <c r="F5482" i="7"/>
  <c r="F5483" i="7"/>
  <c r="F5484" i="7"/>
  <c r="F5485" i="7"/>
  <c r="F5486" i="7"/>
  <c r="F5487" i="7"/>
  <c r="F5488" i="7"/>
  <c r="F5489" i="7"/>
  <c r="F5490" i="7"/>
  <c r="F5491" i="7"/>
  <c r="F5492" i="7"/>
  <c r="F5493" i="7"/>
  <c r="F5494" i="7"/>
  <c r="F5495" i="7"/>
  <c r="F5496" i="7"/>
  <c r="F5497" i="7"/>
  <c r="F5498" i="7"/>
  <c r="F5499" i="7"/>
  <c r="F5500" i="7"/>
  <c r="F5501" i="7"/>
  <c r="F5502" i="7"/>
  <c r="F5503" i="7"/>
  <c r="F5504" i="7"/>
  <c r="F5505" i="7"/>
  <c r="F5506" i="7"/>
  <c r="F5507" i="7"/>
  <c r="F5508" i="7"/>
  <c r="F5509" i="7"/>
  <c r="F5510" i="7"/>
  <c r="F5511" i="7"/>
  <c r="F5512" i="7"/>
  <c r="F5513" i="7"/>
  <c r="F5514" i="7"/>
  <c r="F5515" i="7"/>
  <c r="F5516" i="7"/>
  <c r="F5517" i="7"/>
  <c r="F5518" i="7"/>
  <c r="F5519" i="7"/>
  <c r="F5520" i="7"/>
  <c r="F5521" i="7"/>
  <c r="F5522" i="7"/>
  <c r="F5523" i="7"/>
  <c r="F5524" i="7"/>
  <c r="F5525" i="7"/>
  <c r="F5526" i="7"/>
  <c r="F5527" i="7"/>
  <c r="F5528" i="7"/>
  <c r="F5529" i="7"/>
  <c r="F5530" i="7"/>
  <c r="F5531" i="7"/>
  <c r="F5532" i="7"/>
  <c r="F5533" i="7"/>
  <c r="F5534" i="7"/>
  <c r="F5535" i="7"/>
  <c r="F5536" i="7"/>
  <c r="F5537" i="7"/>
  <c r="F5538" i="7"/>
  <c r="F5539" i="7"/>
  <c r="F5540" i="7"/>
  <c r="F5541" i="7"/>
  <c r="F5542" i="7"/>
  <c r="F5543" i="7"/>
  <c r="F5544" i="7"/>
  <c r="F5545" i="7"/>
  <c r="F5546" i="7"/>
  <c r="F5547" i="7"/>
  <c r="F5548" i="7"/>
  <c r="F5549" i="7"/>
  <c r="F5550" i="7"/>
  <c r="F5551" i="7"/>
  <c r="F5552" i="7"/>
  <c r="F5553" i="7"/>
  <c r="F5554" i="7"/>
  <c r="F5555" i="7"/>
  <c r="F5556" i="7"/>
  <c r="F5557" i="7"/>
  <c r="F5558" i="7"/>
  <c r="F5559" i="7"/>
  <c r="F5560" i="7"/>
  <c r="F5561" i="7"/>
  <c r="F5562" i="7"/>
  <c r="F5563" i="7"/>
  <c r="F5564" i="7"/>
  <c r="F5565" i="7"/>
  <c r="F5566" i="7"/>
  <c r="F5567" i="7"/>
  <c r="F5568" i="7"/>
  <c r="F5569" i="7"/>
  <c r="F5570" i="7"/>
  <c r="F5571" i="7"/>
  <c r="F5572" i="7"/>
  <c r="F5573" i="7"/>
  <c r="F5574" i="7"/>
  <c r="F5575" i="7"/>
  <c r="F5576" i="7"/>
  <c r="F5577" i="7"/>
  <c r="F5578" i="7"/>
  <c r="F5579" i="7"/>
  <c r="F5580" i="7"/>
  <c r="F5581" i="7"/>
  <c r="F5582" i="7"/>
  <c r="F5583" i="7"/>
  <c r="F5584" i="7"/>
  <c r="F5585" i="7"/>
  <c r="F5586" i="7"/>
  <c r="F5587" i="7"/>
  <c r="F5588" i="7"/>
  <c r="F5589" i="7"/>
  <c r="F5590" i="7"/>
  <c r="F5591" i="7"/>
  <c r="F5592" i="7"/>
  <c r="F5593" i="7"/>
  <c r="F5594" i="7"/>
  <c r="F5595" i="7"/>
  <c r="F5596" i="7"/>
  <c r="F5597" i="7"/>
  <c r="F5598" i="7"/>
  <c r="F5599" i="7"/>
  <c r="F5600" i="7"/>
  <c r="F5601" i="7"/>
  <c r="F5602" i="7"/>
  <c r="F5603" i="7"/>
  <c r="F5604" i="7"/>
  <c r="F5605" i="7"/>
  <c r="F5606" i="7"/>
  <c r="F5607" i="7"/>
  <c r="F5608" i="7"/>
  <c r="F5609" i="7"/>
  <c r="F5610" i="7"/>
  <c r="F5611" i="7"/>
  <c r="F5612" i="7"/>
  <c r="F5613" i="7"/>
  <c r="F5614" i="7"/>
  <c r="F5615" i="7"/>
  <c r="F5616" i="7"/>
  <c r="F5617" i="7"/>
  <c r="F5618" i="7"/>
  <c r="F5619" i="7"/>
  <c r="F5620" i="7"/>
  <c r="F5621" i="7"/>
  <c r="F5622" i="7"/>
  <c r="F5623" i="7"/>
  <c r="F5624" i="7"/>
  <c r="F5625" i="7"/>
  <c r="F5626" i="7"/>
  <c r="F5627" i="7"/>
  <c r="F5628" i="7"/>
  <c r="F5629" i="7"/>
  <c r="F5630" i="7"/>
  <c r="F5631" i="7"/>
  <c r="F5632" i="7"/>
  <c r="F5633" i="7"/>
  <c r="F5634" i="7"/>
  <c r="F5635" i="7"/>
  <c r="F5636" i="7"/>
  <c r="F5637" i="7"/>
  <c r="F5638" i="7"/>
  <c r="F5639" i="7"/>
  <c r="F5640" i="7"/>
  <c r="F5641" i="7"/>
  <c r="F5642" i="7"/>
  <c r="F5643" i="7"/>
  <c r="F5644" i="7"/>
  <c r="F5645" i="7"/>
  <c r="F5646" i="7"/>
  <c r="F5647" i="7"/>
  <c r="F5648" i="7"/>
  <c r="F5649" i="7"/>
  <c r="F5650" i="7"/>
  <c r="F5651" i="7"/>
  <c r="F5652" i="7"/>
  <c r="F5653" i="7"/>
  <c r="F5654" i="7"/>
  <c r="F5655" i="7"/>
  <c r="F5656" i="7"/>
  <c r="F5657" i="7"/>
  <c r="F5658" i="7"/>
  <c r="F5659" i="7"/>
  <c r="F5660" i="7"/>
  <c r="F5661" i="7"/>
  <c r="F5662" i="7"/>
  <c r="F5663" i="7"/>
  <c r="F5664" i="7"/>
  <c r="F5665" i="7"/>
  <c r="F5666" i="7"/>
  <c r="F5667" i="7"/>
  <c r="F5668" i="7"/>
  <c r="F5669" i="7"/>
  <c r="F5670" i="7"/>
  <c r="F5671" i="7"/>
  <c r="F5672" i="7"/>
  <c r="F5673" i="7"/>
  <c r="F5674" i="7"/>
  <c r="F5675" i="7"/>
  <c r="F5676" i="7"/>
  <c r="F5677" i="7"/>
  <c r="F5678" i="7"/>
  <c r="F5679" i="7"/>
  <c r="F5680" i="7"/>
  <c r="F5681" i="7"/>
  <c r="F5682" i="7"/>
  <c r="F5683" i="7"/>
  <c r="F5684" i="7"/>
  <c r="F5685" i="7"/>
  <c r="F5686" i="7"/>
  <c r="F5687" i="7"/>
  <c r="F5688" i="7"/>
  <c r="F5689" i="7"/>
  <c r="F5690" i="7"/>
  <c r="F5691" i="7"/>
  <c r="F5692" i="7"/>
  <c r="F5693" i="7"/>
  <c r="F5694" i="7"/>
  <c r="F5695" i="7"/>
  <c r="F5696" i="7"/>
  <c r="F5697" i="7"/>
  <c r="F5698" i="7"/>
  <c r="F5699" i="7"/>
  <c r="F5700" i="7"/>
  <c r="F5701" i="7"/>
  <c r="F5702" i="7"/>
  <c r="F5703" i="7"/>
  <c r="F5704" i="7"/>
  <c r="F5705" i="7"/>
  <c r="F5706" i="7"/>
  <c r="F5707" i="7"/>
  <c r="F5708" i="7"/>
  <c r="F5709" i="7"/>
  <c r="F5710" i="7"/>
  <c r="F5711" i="7"/>
  <c r="F5712" i="7"/>
  <c r="F5713" i="7"/>
  <c r="F5714" i="7"/>
  <c r="F5715" i="7"/>
  <c r="F5716" i="7"/>
  <c r="F5717" i="7"/>
  <c r="F5718" i="7"/>
  <c r="F5719" i="7"/>
  <c r="F5720" i="7"/>
  <c r="F5721" i="7"/>
  <c r="F5722" i="7"/>
  <c r="F5723" i="7"/>
  <c r="F5724" i="7"/>
  <c r="F5725" i="7"/>
  <c r="F5726" i="7"/>
  <c r="F5727" i="7"/>
  <c r="F5728" i="7"/>
  <c r="F5729" i="7"/>
  <c r="F5730" i="7"/>
  <c r="F5731" i="7"/>
  <c r="F5732" i="7"/>
  <c r="F5733" i="7"/>
  <c r="F5734" i="7"/>
  <c r="F5735" i="7"/>
  <c r="F5736" i="7"/>
  <c r="F5737" i="7"/>
  <c r="F5738" i="7"/>
  <c r="F5739" i="7"/>
  <c r="F5740" i="7"/>
  <c r="F5741" i="7"/>
  <c r="F5742" i="7"/>
  <c r="F5743" i="7"/>
  <c r="F5744" i="7"/>
  <c r="F5745" i="7"/>
  <c r="F5746" i="7"/>
  <c r="F5747" i="7"/>
  <c r="F5748" i="7"/>
  <c r="F5749" i="7"/>
  <c r="F5750" i="7"/>
  <c r="F5751" i="7"/>
  <c r="F5752" i="7"/>
  <c r="F5753" i="7"/>
  <c r="F5754" i="7"/>
  <c r="F5755" i="7"/>
  <c r="F5756" i="7"/>
  <c r="F5757" i="7"/>
  <c r="F5758" i="7"/>
  <c r="F5759" i="7"/>
  <c r="F5760" i="7"/>
  <c r="F5761" i="7"/>
  <c r="F5762" i="7"/>
  <c r="F5763" i="7"/>
  <c r="F5764" i="7"/>
  <c r="F5765" i="7"/>
  <c r="F5766" i="7"/>
  <c r="F5767" i="7"/>
  <c r="F5768" i="7"/>
  <c r="F5769" i="7"/>
  <c r="F5770" i="7"/>
  <c r="F5771" i="7"/>
  <c r="F5772" i="7"/>
  <c r="F5773" i="7"/>
  <c r="F5774" i="7"/>
  <c r="F5775" i="7"/>
  <c r="F5776" i="7"/>
  <c r="F5777" i="7"/>
  <c r="F5778" i="7"/>
  <c r="F5779" i="7"/>
  <c r="F5780" i="7"/>
  <c r="F5781" i="7"/>
  <c r="F5782" i="7"/>
  <c r="F5783" i="7"/>
  <c r="F5784" i="7"/>
  <c r="F5785" i="7"/>
  <c r="F5786" i="7"/>
  <c r="F5787" i="7"/>
  <c r="F5788" i="7"/>
  <c r="F5789" i="7"/>
  <c r="F5790" i="7"/>
  <c r="F5791" i="7"/>
  <c r="F5792" i="7"/>
  <c r="F5793" i="7"/>
  <c r="F5794" i="7"/>
  <c r="F5795" i="7"/>
  <c r="F5796" i="7"/>
  <c r="F5797" i="7"/>
  <c r="F5798" i="7"/>
  <c r="F5799" i="7"/>
  <c r="F5800" i="7"/>
  <c r="F5801" i="7"/>
  <c r="F5802" i="7"/>
  <c r="F5803" i="7"/>
  <c r="F5804" i="7"/>
  <c r="F5805" i="7"/>
  <c r="F5806" i="7"/>
  <c r="F5807" i="7"/>
  <c r="F5808" i="7"/>
  <c r="F5809" i="7"/>
  <c r="F5810" i="7"/>
  <c r="F5811" i="7"/>
  <c r="F5812" i="7"/>
  <c r="F5813" i="7"/>
  <c r="F5814" i="7"/>
  <c r="F5815" i="7"/>
  <c r="F5816" i="7"/>
  <c r="F5817" i="7"/>
  <c r="F5818" i="7"/>
  <c r="F5819" i="7"/>
  <c r="F5820" i="7"/>
  <c r="F5821" i="7"/>
  <c r="F5822" i="7"/>
  <c r="F5823" i="7"/>
  <c r="F5824" i="7"/>
  <c r="F5825" i="7"/>
  <c r="F5826" i="7"/>
  <c r="F5827" i="7"/>
  <c r="F5828" i="7"/>
  <c r="F5829" i="7"/>
  <c r="F5830" i="7"/>
  <c r="F5831" i="7"/>
  <c r="F5832" i="7"/>
  <c r="F5833" i="7"/>
  <c r="F5834" i="7"/>
  <c r="F5835" i="7"/>
  <c r="F5836" i="7"/>
  <c r="F5837" i="7"/>
  <c r="F5838" i="7"/>
  <c r="F5839" i="7"/>
  <c r="F5840" i="7"/>
  <c r="F5841" i="7"/>
  <c r="F5842" i="7"/>
  <c r="F5843" i="7"/>
  <c r="F5844" i="7"/>
  <c r="F5845" i="7"/>
  <c r="F5846" i="7"/>
  <c r="F5847" i="7"/>
  <c r="F5848" i="7"/>
  <c r="F5849" i="7"/>
  <c r="F5850" i="7"/>
  <c r="F5851" i="7"/>
  <c r="F5852" i="7"/>
  <c r="F5853" i="7"/>
  <c r="F5854" i="7"/>
  <c r="F5855" i="7"/>
  <c r="F5856" i="7"/>
  <c r="F5857" i="7"/>
  <c r="F5858" i="7"/>
  <c r="F5859" i="7"/>
  <c r="F5860" i="7"/>
  <c r="F5861" i="7"/>
  <c r="F5862" i="7"/>
  <c r="F5863" i="7"/>
  <c r="F5864" i="7"/>
  <c r="F5865" i="7"/>
  <c r="F5866" i="7"/>
  <c r="F5867" i="7"/>
  <c r="F5868" i="7"/>
  <c r="F5869" i="7"/>
  <c r="F5870" i="7"/>
  <c r="F5871" i="7"/>
  <c r="F5872" i="7"/>
  <c r="F5873" i="7"/>
  <c r="F5874" i="7"/>
  <c r="F5875" i="7"/>
  <c r="F5876" i="7"/>
  <c r="F5877" i="7"/>
  <c r="F5878" i="7"/>
  <c r="F5879" i="7"/>
  <c r="F5880" i="7"/>
  <c r="F5881" i="7"/>
  <c r="F5882" i="7"/>
  <c r="F5883" i="7"/>
  <c r="F5884" i="7"/>
  <c r="F5885" i="7"/>
  <c r="F5886" i="7"/>
  <c r="F5887" i="7"/>
  <c r="F5888" i="7"/>
  <c r="F5889" i="7"/>
  <c r="F5890" i="7"/>
  <c r="F5891" i="7"/>
  <c r="F5892" i="7"/>
  <c r="F5893" i="7"/>
  <c r="F5894" i="7"/>
  <c r="F5895" i="7"/>
  <c r="F5896" i="7"/>
  <c r="F5897" i="7"/>
  <c r="F5898" i="7"/>
  <c r="F5899" i="7"/>
  <c r="F5900" i="7"/>
  <c r="F5901" i="7"/>
  <c r="F5902" i="7"/>
  <c r="F5903" i="7"/>
  <c r="F5904" i="7"/>
  <c r="F5905" i="7"/>
  <c r="F5906" i="7"/>
  <c r="F5907" i="7"/>
  <c r="F5908" i="7"/>
  <c r="F5909" i="7"/>
  <c r="F5910" i="7"/>
  <c r="F5911" i="7"/>
  <c r="F5912" i="7"/>
  <c r="F5913" i="7"/>
  <c r="F5914" i="7"/>
  <c r="F5915" i="7"/>
  <c r="F5916" i="7"/>
  <c r="F5917" i="7"/>
  <c r="F5918" i="7"/>
  <c r="F5919" i="7"/>
  <c r="F5920" i="7"/>
  <c r="F5921" i="7"/>
  <c r="F5922" i="7"/>
  <c r="F5923" i="7"/>
  <c r="F5924" i="7"/>
  <c r="F5925" i="7"/>
  <c r="F5926" i="7"/>
  <c r="F5927" i="7"/>
  <c r="F5928" i="7"/>
  <c r="F5929" i="7"/>
  <c r="F5930" i="7"/>
  <c r="F5931" i="7"/>
  <c r="F5932" i="7"/>
  <c r="F5933" i="7"/>
  <c r="F5934" i="7"/>
  <c r="F5935" i="7"/>
  <c r="F5936" i="7"/>
  <c r="F5937" i="7"/>
  <c r="F5938" i="7"/>
  <c r="F5939" i="7"/>
  <c r="F5940" i="7"/>
  <c r="F5941" i="7"/>
  <c r="F5942" i="7"/>
  <c r="F5943" i="7"/>
  <c r="F5944" i="7"/>
  <c r="F5945" i="7"/>
  <c r="F5946" i="7"/>
  <c r="F5947" i="7"/>
  <c r="F5948" i="7"/>
  <c r="F5949" i="7"/>
  <c r="F5950" i="7"/>
  <c r="F5951" i="7"/>
  <c r="F5952" i="7"/>
  <c r="F5953" i="7"/>
  <c r="F5954" i="7"/>
  <c r="F5955" i="7"/>
  <c r="F5956" i="7"/>
  <c r="F5957" i="7"/>
  <c r="F5958" i="7"/>
  <c r="F5959" i="7"/>
  <c r="F5960" i="7"/>
  <c r="F5961" i="7"/>
  <c r="F5962" i="7"/>
  <c r="F5963" i="7"/>
  <c r="F5964" i="7"/>
  <c r="F5965" i="7"/>
  <c r="F5966" i="7"/>
  <c r="F5967" i="7"/>
  <c r="F5968" i="7"/>
  <c r="F5969" i="7"/>
  <c r="F5970" i="7"/>
  <c r="F5971" i="7"/>
  <c r="F5972" i="7"/>
  <c r="F5973" i="7"/>
  <c r="F5974" i="7"/>
  <c r="F5975" i="7"/>
  <c r="F5976" i="7"/>
  <c r="F5977" i="7"/>
  <c r="F5978" i="7"/>
  <c r="F5979" i="7"/>
  <c r="F5980" i="7"/>
  <c r="F5981" i="7"/>
  <c r="F5982" i="7"/>
  <c r="F5983" i="7"/>
  <c r="F5984" i="7"/>
  <c r="F5985" i="7"/>
  <c r="F5986" i="7"/>
  <c r="F5987" i="7"/>
  <c r="F5988" i="7"/>
  <c r="F5989" i="7"/>
  <c r="F5990" i="7"/>
  <c r="F5991" i="7"/>
  <c r="F5992" i="7"/>
  <c r="F5993" i="7"/>
  <c r="F5994" i="7"/>
  <c r="F5995" i="7"/>
  <c r="F5996" i="7"/>
  <c r="F5997" i="7"/>
  <c r="F5998" i="7"/>
  <c r="F5999" i="7"/>
  <c r="F6000" i="7"/>
  <c r="F6001" i="7"/>
  <c r="F6002" i="7"/>
  <c r="F6003" i="7"/>
  <c r="F6004" i="7"/>
  <c r="F6005" i="7"/>
  <c r="F6006" i="7"/>
  <c r="F6007" i="7"/>
  <c r="F6008" i="7"/>
  <c r="F6009" i="7"/>
  <c r="F6010" i="7"/>
  <c r="F6011" i="7"/>
  <c r="F6012" i="7"/>
  <c r="F6013" i="7"/>
  <c r="F6014" i="7"/>
  <c r="F6015" i="7"/>
  <c r="F6016" i="7"/>
  <c r="F6017" i="7"/>
  <c r="F6018" i="7"/>
  <c r="F6019" i="7"/>
  <c r="F6020" i="7"/>
  <c r="F6021" i="7"/>
  <c r="F6022" i="7"/>
  <c r="F6023" i="7"/>
  <c r="F6024" i="7"/>
  <c r="F6025" i="7"/>
  <c r="F6026" i="7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J2" i="5"/>
  <c r="H2" i="5" s="1"/>
  <c r="J3" i="5"/>
  <c r="J4" i="5"/>
  <c r="H4" i="5" s="1"/>
  <c r="J5" i="5"/>
  <c r="H5" i="5" s="1"/>
  <c r="J6" i="5"/>
  <c r="H6" i="5" s="1"/>
  <c r="J7" i="5"/>
  <c r="H7" i="5" s="1"/>
  <c r="J8" i="5"/>
  <c r="H8" i="5" s="1"/>
  <c r="J9" i="5"/>
  <c r="H9" i="5" s="1"/>
  <c r="J10" i="5"/>
  <c r="H10" i="5" s="1"/>
  <c r="J11" i="5"/>
  <c r="H11" i="5" s="1"/>
  <c r="J12" i="5"/>
  <c r="H12" i="5" s="1"/>
  <c r="J13" i="5"/>
  <c r="H13" i="5" s="1"/>
  <c r="J14" i="5"/>
  <c r="H14" i="5" s="1"/>
  <c r="J15" i="5"/>
  <c r="H15" i="5" s="1"/>
  <c r="J16" i="5"/>
  <c r="H16" i="5" s="1"/>
  <c r="J17" i="5"/>
  <c r="H17" i="5" s="1"/>
  <c r="J18" i="5"/>
  <c r="H18" i="5" s="1"/>
  <c r="J19" i="5"/>
  <c r="H19" i="5" s="1"/>
  <c r="J20" i="5"/>
  <c r="H20" i="5" s="1"/>
  <c r="J21" i="5"/>
  <c r="H21" i="5" s="1"/>
  <c r="J22" i="5"/>
  <c r="H22" i="5" s="1"/>
  <c r="J23" i="5"/>
  <c r="H23" i="5" s="1"/>
  <c r="J24" i="5"/>
  <c r="H24" i="5" s="1"/>
  <c r="J25" i="5"/>
  <c r="H25" i="5" s="1"/>
  <c r="J26" i="5"/>
  <c r="H26" i="5" s="1"/>
  <c r="J27" i="5"/>
  <c r="H27" i="5" s="1"/>
  <c r="J28" i="5"/>
  <c r="H28" i="5" s="1"/>
  <c r="J29" i="5"/>
  <c r="H29" i="5" s="1"/>
  <c r="J30" i="5"/>
  <c r="H30" i="5" s="1"/>
  <c r="J31" i="5"/>
  <c r="H31" i="5" s="1"/>
  <c r="J32" i="5"/>
  <c r="H32" i="5" s="1"/>
  <c r="J33" i="5"/>
  <c r="H33" i="5" s="1"/>
  <c r="J34" i="5"/>
  <c r="H34" i="5" s="1"/>
  <c r="J35" i="5"/>
  <c r="H35" i="5" s="1"/>
  <c r="J36" i="5"/>
  <c r="H36" i="5" s="1"/>
  <c r="J37" i="5"/>
  <c r="H37" i="5" s="1"/>
  <c r="J38" i="5"/>
  <c r="H38" i="5" s="1"/>
  <c r="J39" i="5"/>
  <c r="H39" i="5" s="1"/>
  <c r="J40" i="5"/>
  <c r="H40" i="5" s="1"/>
  <c r="J41" i="5"/>
  <c r="H41" i="5" s="1"/>
  <c r="J42" i="5"/>
  <c r="H42" i="5" s="1"/>
  <c r="J43" i="5"/>
  <c r="H43" i="5" s="1"/>
  <c r="J44" i="5"/>
  <c r="H44" i="5" s="1"/>
  <c r="J45" i="5"/>
  <c r="H45" i="5" s="1"/>
  <c r="J46" i="5"/>
  <c r="H46" i="5" s="1"/>
  <c r="J47" i="5"/>
  <c r="H47" i="5" s="1"/>
  <c r="J48" i="5"/>
  <c r="H48" i="5" s="1"/>
  <c r="J49" i="5"/>
  <c r="H49" i="5" s="1"/>
  <c r="J50" i="5"/>
  <c r="H50" i="5" s="1"/>
  <c r="J51" i="5"/>
  <c r="H51" i="5" s="1"/>
  <c r="J52" i="5"/>
  <c r="H52" i="5" s="1"/>
  <c r="J53" i="5"/>
  <c r="H53" i="5" s="1"/>
  <c r="J54" i="5"/>
  <c r="H54" i="5" s="1"/>
  <c r="J55" i="5"/>
  <c r="H55" i="5" s="1"/>
  <c r="J56" i="5"/>
  <c r="H56" i="5" s="1"/>
  <c r="J57" i="5"/>
  <c r="H57" i="5" s="1"/>
  <c r="J58" i="5"/>
  <c r="H58" i="5" s="1"/>
  <c r="J59" i="5"/>
  <c r="H59" i="5" s="1"/>
  <c r="J60" i="5"/>
  <c r="H60" i="5" s="1"/>
  <c r="J61" i="5"/>
  <c r="H61" i="5" s="1"/>
  <c r="J62" i="5"/>
  <c r="H62" i="5" s="1"/>
  <c r="J63" i="5"/>
  <c r="H63" i="5" s="1"/>
  <c r="J64" i="5"/>
  <c r="H64" i="5" s="1"/>
  <c r="J65" i="5"/>
  <c r="H65" i="5" s="1"/>
  <c r="J66" i="5"/>
  <c r="H66" i="5" s="1"/>
  <c r="J67" i="5"/>
  <c r="H67" i="5" s="1"/>
  <c r="J68" i="5"/>
  <c r="H68" i="5" s="1"/>
  <c r="J69" i="5"/>
  <c r="H69" i="5" s="1"/>
  <c r="J70" i="5"/>
  <c r="H70" i="5" s="1"/>
  <c r="J71" i="5"/>
  <c r="H71" i="5" s="1"/>
  <c r="J72" i="5"/>
  <c r="H72" i="5" s="1"/>
  <c r="J73" i="5"/>
  <c r="H73" i="5" s="1"/>
  <c r="J74" i="5"/>
  <c r="H74" i="5" s="1"/>
  <c r="J75" i="5"/>
  <c r="H75" i="5" s="1"/>
  <c r="J76" i="5"/>
  <c r="H76" i="5" s="1"/>
  <c r="J77" i="5"/>
  <c r="H77" i="5" s="1"/>
  <c r="J78" i="5"/>
  <c r="H78" i="5" s="1"/>
  <c r="J79" i="5"/>
  <c r="H79" i="5" s="1"/>
  <c r="J80" i="5"/>
  <c r="H80" i="5" s="1"/>
  <c r="J81" i="5"/>
  <c r="H81" i="5" s="1"/>
  <c r="J82" i="5"/>
  <c r="H82" i="5" s="1"/>
  <c r="J83" i="5"/>
  <c r="H83" i="5" s="1"/>
  <c r="J84" i="5"/>
  <c r="H84" i="5" s="1"/>
  <c r="J85" i="5"/>
  <c r="H85" i="5" s="1"/>
  <c r="J86" i="5"/>
  <c r="H86" i="5" s="1"/>
  <c r="J87" i="5"/>
  <c r="H87" i="5" s="1"/>
  <c r="J88" i="5"/>
  <c r="H88" i="5" s="1"/>
  <c r="J89" i="5"/>
  <c r="H89" i="5" s="1"/>
  <c r="J90" i="5"/>
  <c r="H90" i="5" s="1"/>
  <c r="J91" i="5"/>
  <c r="H91" i="5" s="1"/>
  <c r="J92" i="5"/>
  <c r="H92" i="5" s="1"/>
  <c r="J93" i="5"/>
  <c r="H93" i="5" s="1"/>
  <c r="J94" i="5"/>
  <c r="H94" i="5" s="1"/>
  <c r="J95" i="5"/>
  <c r="H95" i="5" s="1"/>
  <c r="J96" i="5"/>
  <c r="H96" i="5" s="1"/>
  <c r="J97" i="5"/>
  <c r="H97" i="5" s="1"/>
  <c r="J98" i="5"/>
  <c r="H98" i="5" s="1"/>
  <c r="J99" i="5"/>
  <c r="H99" i="5" s="1"/>
  <c r="J100" i="5"/>
  <c r="H100" i="5" s="1"/>
  <c r="J101" i="5"/>
  <c r="H101" i="5" s="1"/>
  <c r="J102" i="5"/>
  <c r="H102" i="5" s="1"/>
  <c r="J103" i="5"/>
  <c r="H103" i="5" s="1"/>
  <c r="J104" i="5"/>
  <c r="H104" i="5" s="1"/>
  <c r="J105" i="5"/>
  <c r="H105" i="5" s="1"/>
  <c r="J106" i="5"/>
  <c r="H106" i="5" s="1"/>
  <c r="J107" i="5"/>
  <c r="H107" i="5" s="1"/>
  <c r="J108" i="5"/>
  <c r="H108" i="5" s="1"/>
  <c r="J109" i="5"/>
  <c r="H109" i="5" s="1"/>
  <c r="J110" i="5"/>
  <c r="H110" i="5" s="1"/>
  <c r="J111" i="5"/>
  <c r="H111" i="5" s="1"/>
  <c r="J112" i="5"/>
  <c r="H112" i="5" s="1"/>
  <c r="J113" i="5"/>
  <c r="H113" i="5" s="1"/>
  <c r="J114" i="5"/>
  <c r="H114" i="5" s="1"/>
  <c r="J115" i="5"/>
  <c r="H115" i="5" s="1"/>
  <c r="J116" i="5"/>
  <c r="H116" i="5" s="1"/>
  <c r="J117" i="5"/>
  <c r="H117" i="5" s="1"/>
  <c r="J118" i="5"/>
  <c r="H118" i="5" s="1"/>
  <c r="J119" i="5"/>
  <c r="H119" i="5" s="1"/>
  <c r="J120" i="5"/>
  <c r="H120" i="5" s="1"/>
  <c r="J121" i="5"/>
  <c r="H121" i="5" s="1"/>
  <c r="J122" i="5"/>
  <c r="H122" i="5" s="1"/>
  <c r="J123" i="5"/>
  <c r="H123" i="5" s="1"/>
  <c r="J124" i="5"/>
  <c r="H124" i="5" s="1"/>
  <c r="J125" i="5"/>
  <c r="H125" i="5" s="1"/>
  <c r="J126" i="5"/>
  <c r="H126" i="5" s="1"/>
  <c r="J127" i="5"/>
  <c r="H127" i="5" s="1"/>
  <c r="J128" i="5"/>
  <c r="H128" i="5" s="1"/>
  <c r="J129" i="5"/>
  <c r="H129" i="5" s="1"/>
  <c r="J130" i="5"/>
  <c r="H130" i="5" s="1"/>
  <c r="J131" i="5"/>
  <c r="H131" i="5" s="1"/>
  <c r="J132" i="5"/>
  <c r="H132" i="5" s="1"/>
  <c r="J133" i="5"/>
  <c r="H133" i="5" s="1"/>
  <c r="J134" i="5"/>
  <c r="H134" i="5" s="1"/>
  <c r="J135" i="5"/>
  <c r="H135" i="5" s="1"/>
  <c r="J136" i="5"/>
  <c r="H136" i="5" s="1"/>
  <c r="J137" i="5"/>
  <c r="H137" i="5" s="1"/>
  <c r="J138" i="5"/>
  <c r="H138" i="5" s="1"/>
  <c r="J139" i="5"/>
  <c r="H139" i="5" s="1"/>
  <c r="J140" i="5"/>
  <c r="H140" i="5" s="1"/>
  <c r="J141" i="5"/>
  <c r="H141" i="5" s="1"/>
  <c r="J142" i="5"/>
  <c r="H142" i="5" s="1"/>
  <c r="J143" i="5"/>
  <c r="H143" i="5" s="1"/>
  <c r="J144" i="5"/>
  <c r="H144" i="5" s="1"/>
  <c r="J145" i="5"/>
  <c r="H145" i="5" s="1"/>
  <c r="J146" i="5"/>
  <c r="H146" i="5" s="1"/>
  <c r="J147" i="5"/>
  <c r="H147" i="5" s="1"/>
  <c r="J148" i="5"/>
  <c r="H148" i="5" s="1"/>
  <c r="J149" i="5"/>
  <c r="H149" i="5" s="1"/>
  <c r="J150" i="5"/>
  <c r="H150" i="5" s="1"/>
  <c r="J151" i="5"/>
  <c r="H151" i="5" s="1"/>
  <c r="J152" i="5"/>
  <c r="H152" i="5" s="1"/>
  <c r="J153" i="5"/>
  <c r="H153" i="5" s="1"/>
  <c r="J154" i="5"/>
  <c r="H154" i="5" s="1"/>
  <c r="J155" i="5"/>
  <c r="H155" i="5" s="1"/>
  <c r="J156" i="5"/>
  <c r="H156" i="5" s="1"/>
  <c r="J157" i="5"/>
  <c r="H157" i="5" s="1"/>
  <c r="J158" i="5"/>
  <c r="H158" i="5" s="1"/>
  <c r="J159" i="5"/>
  <c r="H159" i="5" s="1"/>
  <c r="J160" i="5"/>
  <c r="H160" i="5" s="1"/>
  <c r="J161" i="5"/>
  <c r="H161" i="5" s="1"/>
  <c r="J162" i="5"/>
  <c r="H162" i="5" s="1"/>
  <c r="J163" i="5"/>
  <c r="H163" i="5" s="1"/>
  <c r="J164" i="5"/>
  <c r="H164" i="5" s="1"/>
  <c r="J165" i="5"/>
  <c r="H165" i="5" s="1"/>
  <c r="J166" i="5"/>
  <c r="H166" i="5" s="1"/>
  <c r="J167" i="5"/>
  <c r="H167" i="5" s="1"/>
  <c r="J168" i="5"/>
  <c r="H168" i="5" s="1"/>
  <c r="J169" i="5"/>
  <c r="H169" i="5" s="1"/>
  <c r="J170" i="5"/>
  <c r="H170" i="5" s="1"/>
  <c r="J171" i="5"/>
  <c r="H171" i="5" s="1"/>
  <c r="J172" i="5"/>
  <c r="H172" i="5" s="1"/>
  <c r="J173" i="5"/>
  <c r="H173" i="5" s="1"/>
  <c r="J174" i="5"/>
  <c r="H174" i="5" s="1"/>
  <c r="J175" i="5"/>
  <c r="H175" i="5" s="1"/>
  <c r="J176" i="5"/>
  <c r="H176" i="5" s="1"/>
  <c r="J177" i="5"/>
  <c r="H177" i="5" s="1"/>
  <c r="J178" i="5"/>
  <c r="H178" i="5" s="1"/>
  <c r="J179" i="5"/>
  <c r="H179" i="5" s="1"/>
  <c r="J180" i="5"/>
  <c r="H180" i="5" s="1"/>
  <c r="J181" i="5"/>
  <c r="H181" i="5" s="1"/>
  <c r="J182" i="5"/>
  <c r="H182" i="5" s="1"/>
  <c r="J183" i="5"/>
  <c r="H183" i="5" s="1"/>
  <c r="J184" i="5"/>
  <c r="H184" i="5" s="1"/>
  <c r="J185" i="5"/>
  <c r="H185" i="5" s="1"/>
  <c r="J186" i="5"/>
  <c r="H186" i="5" s="1"/>
  <c r="J187" i="5"/>
  <c r="H187" i="5" s="1"/>
  <c r="J188" i="5"/>
  <c r="H188" i="5" s="1"/>
  <c r="J189" i="5"/>
  <c r="H189" i="5" s="1"/>
  <c r="J190" i="5"/>
  <c r="H190" i="5" s="1"/>
  <c r="J191" i="5"/>
  <c r="H191" i="5" s="1"/>
  <c r="J192" i="5"/>
  <c r="H192" i="5" s="1"/>
  <c r="J193" i="5"/>
  <c r="H193" i="5" s="1"/>
  <c r="J194" i="5"/>
  <c r="H194" i="5" s="1"/>
  <c r="J195" i="5"/>
  <c r="H195" i="5" s="1"/>
  <c r="J196" i="5"/>
  <c r="H196" i="5" s="1"/>
  <c r="J197" i="5"/>
  <c r="H197" i="5" s="1"/>
  <c r="J198" i="5"/>
  <c r="H198" i="5" s="1"/>
  <c r="J199" i="5"/>
  <c r="H199" i="5" s="1"/>
  <c r="J200" i="5"/>
  <c r="H200" i="5" s="1"/>
  <c r="J201" i="5"/>
  <c r="H201" i="5" s="1"/>
  <c r="J202" i="5"/>
  <c r="H202" i="5" s="1"/>
  <c r="J203" i="5"/>
  <c r="H203" i="5" s="1"/>
  <c r="J204" i="5"/>
  <c r="H204" i="5" s="1"/>
  <c r="J205" i="5"/>
  <c r="H205" i="5" s="1"/>
  <c r="J206" i="5"/>
  <c r="H206" i="5" s="1"/>
  <c r="J207" i="5"/>
  <c r="H207" i="5" s="1"/>
  <c r="J208" i="5"/>
  <c r="H208" i="5" s="1"/>
  <c r="J209" i="5"/>
  <c r="H209" i="5" s="1"/>
  <c r="J210" i="5"/>
  <c r="H210" i="5" s="1"/>
  <c r="J211" i="5"/>
  <c r="H211" i="5" s="1"/>
  <c r="J212" i="5"/>
  <c r="H212" i="5" s="1"/>
  <c r="J213" i="5"/>
  <c r="H213" i="5" s="1"/>
  <c r="J214" i="5"/>
  <c r="H214" i="5" s="1"/>
  <c r="J215" i="5"/>
  <c r="H215" i="5" s="1"/>
  <c r="J216" i="5"/>
  <c r="H216" i="5" s="1"/>
  <c r="J217" i="5"/>
  <c r="H217" i="5" s="1"/>
  <c r="J218" i="5"/>
  <c r="H218" i="5" s="1"/>
  <c r="J219" i="5"/>
  <c r="H219" i="5" s="1"/>
  <c r="J220" i="5"/>
  <c r="H220" i="5" s="1"/>
  <c r="J221" i="5"/>
  <c r="H221" i="5" s="1"/>
  <c r="J222" i="5"/>
  <c r="H222" i="5" s="1"/>
  <c r="J223" i="5"/>
  <c r="H223" i="5" s="1"/>
  <c r="J224" i="5"/>
  <c r="H224" i="5" s="1"/>
  <c r="J225" i="5"/>
  <c r="H225" i="5" s="1"/>
  <c r="J226" i="5"/>
  <c r="H226" i="5" s="1"/>
  <c r="J227" i="5"/>
  <c r="H227" i="5" s="1"/>
  <c r="J228" i="5"/>
  <c r="H228" i="5" s="1"/>
  <c r="J229" i="5"/>
  <c r="H229" i="5" s="1"/>
  <c r="J230" i="5"/>
  <c r="H230" i="5" s="1"/>
  <c r="J231" i="5"/>
  <c r="H231" i="5" s="1"/>
  <c r="J232" i="5"/>
  <c r="H232" i="5" s="1"/>
  <c r="J233" i="5"/>
  <c r="H233" i="5" s="1"/>
  <c r="J234" i="5"/>
  <c r="H234" i="5" s="1"/>
  <c r="J235" i="5"/>
  <c r="H235" i="5" s="1"/>
  <c r="J236" i="5"/>
  <c r="H236" i="5" s="1"/>
  <c r="J237" i="5"/>
  <c r="H237" i="5" s="1"/>
  <c r="J238" i="5"/>
  <c r="H238" i="5" s="1"/>
  <c r="J239" i="5"/>
  <c r="H239" i="5" s="1"/>
  <c r="J240" i="5"/>
  <c r="H240" i="5" s="1"/>
  <c r="J241" i="5"/>
  <c r="H241" i="5" s="1"/>
  <c r="J242" i="5"/>
  <c r="H242" i="5" s="1"/>
  <c r="J243" i="5"/>
  <c r="H243" i="5" s="1"/>
  <c r="J244" i="5"/>
  <c r="H244" i="5" s="1"/>
  <c r="J245" i="5"/>
  <c r="H245" i="5" s="1"/>
  <c r="J246" i="5"/>
  <c r="H246" i="5" s="1"/>
  <c r="J247" i="5"/>
  <c r="H247" i="5" s="1"/>
  <c r="J248" i="5"/>
  <c r="H248" i="5" s="1"/>
  <c r="J249" i="5"/>
  <c r="H249" i="5" s="1"/>
  <c r="J250" i="5"/>
  <c r="H250" i="5" s="1"/>
  <c r="J251" i="5"/>
  <c r="H251" i="5" s="1"/>
  <c r="J252" i="5"/>
  <c r="H252" i="5" s="1"/>
  <c r="J253" i="5"/>
  <c r="H253" i="5" s="1"/>
  <c r="J254" i="5"/>
  <c r="H254" i="5" s="1"/>
  <c r="J255" i="5"/>
  <c r="H255" i="5" s="1"/>
  <c r="J256" i="5"/>
  <c r="H256" i="5" s="1"/>
  <c r="J257" i="5"/>
  <c r="H257" i="5" s="1"/>
  <c r="J258" i="5"/>
  <c r="H258" i="5" s="1"/>
  <c r="J259" i="5"/>
  <c r="H259" i="5" s="1"/>
  <c r="J260" i="5"/>
  <c r="H260" i="5" s="1"/>
  <c r="J261" i="5"/>
  <c r="H261" i="5" s="1"/>
  <c r="J262" i="5"/>
  <c r="H262" i="5" s="1"/>
  <c r="J263" i="5"/>
  <c r="H263" i="5" s="1"/>
  <c r="J264" i="5"/>
  <c r="H264" i="5" s="1"/>
  <c r="J265" i="5"/>
  <c r="H265" i="5" s="1"/>
  <c r="J266" i="5"/>
  <c r="H266" i="5" s="1"/>
  <c r="J267" i="5"/>
  <c r="H267" i="5" s="1"/>
  <c r="J268" i="5"/>
  <c r="H268" i="5" s="1"/>
  <c r="J269" i="5"/>
  <c r="H269" i="5" s="1"/>
  <c r="J270" i="5"/>
  <c r="H270" i="5" s="1"/>
  <c r="J271" i="5"/>
  <c r="H271" i="5" s="1"/>
  <c r="J272" i="5"/>
  <c r="H272" i="5" s="1"/>
  <c r="J273" i="5"/>
  <c r="H273" i="5" s="1"/>
  <c r="J274" i="5"/>
  <c r="H274" i="5" s="1"/>
  <c r="J275" i="5"/>
  <c r="H275" i="5" s="1"/>
  <c r="J276" i="5"/>
  <c r="H276" i="5" s="1"/>
  <c r="J277" i="5"/>
  <c r="H277" i="5" s="1"/>
  <c r="J278" i="5"/>
  <c r="H278" i="5" s="1"/>
  <c r="J279" i="5"/>
  <c r="H279" i="5" s="1"/>
  <c r="J280" i="5"/>
  <c r="H280" i="5" s="1"/>
  <c r="J281" i="5"/>
  <c r="H281" i="5" s="1"/>
  <c r="J282" i="5"/>
  <c r="H282" i="5" s="1"/>
  <c r="J283" i="5"/>
  <c r="H283" i="5" s="1"/>
  <c r="J284" i="5"/>
  <c r="H284" i="5" s="1"/>
  <c r="J285" i="5"/>
  <c r="H285" i="5" s="1"/>
  <c r="J286" i="5"/>
  <c r="H286" i="5" s="1"/>
  <c r="J287" i="5"/>
  <c r="H287" i="5" s="1"/>
  <c r="J288" i="5"/>
  <c r="H288" i="5" s="1"/>
  <c r="J289" i="5"/>
  <c r="H289" i="5" s="1"/>
  <c r="J290" i="5"/>
  <c r="H290" i="5" s="1"/>
  <c r="J291" i="5"/>
  <c r="H291" i="5" s="1"/>
  <c r="J292" i="5"/>
  <c r="H292" i="5" s="1"/>
  <c r="J293" i="5"/>
  <c r="H293" i="5" s="1"/>
  <c r="J294" i="5"/>
  <c r="H294" i="5" s="1"/>
  <c r="J295" i="5"/>
  <c r="H295" i="5" s="1"/>
  <c r="J296" i="5"/>
  <c r="H296" i="5" s="1"/>
  <c r="J297" i="5"/>
  <c r="H297" i="5" s="1"/>
  <c r="J298" i="5"/>
  <c r="H298" i="5" s="1"/>
  <c r="J299" i="5"/>
  <c r="H299" i="5" s="1"/>
  <c r="J300" i="5"/>
  <c r="H300" i="5" s="1"/>
  <c r="J301" i="5"/>
  <c r="H301" i="5" s="1"/>
  <c r="J302" i="5"/>
  <c r="H302" i="5" s="1"/>
  <c r="J303" i="5"/>
  <c r="H303" i="5" s="1"/>
  <c r="J304" i="5"/>
  <c r="H304" i="5" s="1"/>
  <c r="J305" i="5"/>
  <c r="H305" i="5" s="1"/>
  <c r="J306" i="5"/>
  <c r="H306" i="5" s="1"/>
  <c r="J307" i="5"/>
  <c r="H307" i="5" s="1"/>
  <c r="J308" i="5"/>
  <c r="H308" i="5" s="1"/>
  <c r="J309" i="5"/>
  <c r="H309" i="5" s="1"/>
  <c r="J310" i="5"/>
  <c r="H310" i="5" s="1"/>
  <c r="J311" i="5"/>
  <c r="H311" i="5" s="1"/>
  <c r="J312" i="5"/>
  <c r="H312" i="5" s="1"/>
  <c r="J313" i="5"/>
  <c r="H313" i="5" s="1"/>
  <c r="J314" i="5"/>
  <c r="H314" i="5" s="1"/>
  <c r="J315" i="5"/>
  <c r="H315" i="5" s="1"/>
  <c r="J316" i="5"/>
  <c r="H316" i="5" s="1"/>
  <c r="J317" i="5"/>
  <c r="H317" i="5" s="1"/>
  <c r="J318" i="5"/>
  <c r="H318" i="5" s="1"/>
  <c r="J319" i="5"/>
  <c r="H319" i="5" s="1"/>
  <c r="J320" i="5"/>
  <c r="H320" i="5" s="1"/>
  <c r="J321" i="5"/>
  <c r="H321" i="5" s="1"/>
  <c r="J322" i="5"/>
  <c r="H322" i="5" s="1"/>
  <c r="J323" i="5"/>
  <c r="H323" i="5" s="1"/>
  <c r="J324" i="5"/>
  <c r="H324" i="5" s="1"/>
  <c r="J325" i="5"/>
  <c r="H325" i="5" s="1"/>
  <c r="J326" i="5"/>
  <c r="H326" i="5" s="1"/>
  <c r="J327" i="5"/>
  <c r="H327" i="5" s="1"/>
  <c r="J328" i="5"/>
  <c r="H328" i="5" s="1"/>
  <c r="J329" i="5"/>
  <c r="H329" i="5" s="1"/>
  <c r="J330" i="5"/>
  <c r="H330" i="5" s="1"/>
  <c r="J331" i="5"/>
  <c r="H331" i="5" s="1"/>
  <c r="J332" i="5"/>
  <c r="H332" i="5" s="1"/>
  <c r="J333" i="5"/>
  <c r="H333" i="5" s="1"/>
  <c r="J334" i="5"/>
  <c r="H334" i="5" s="1"/>
  <c r="J335" i="5"/>
  <c r="H335" i="5" s="1"/>
  <c r="J336" i="5"/>
  <c r="H336" i="5" s="1"/>
  <c r="J337" i="5"/>
  <c r="H337" i="5" s="1"/>
  <c r="J338" i="5"/>
  <c r="H338" i="5" s="1"/>
  <c r="J339" i="5"/>
  <c r="H339" i="5" s="1"/>
  <c r="J340" i="5"/>
  <c r="H340" i="5" s="1"/>
  <c r="J341" i="5"/>
  <c r="H341" i="5" s="1"/>
  <c r="J342" i="5"/>
  <c r="H342" i="5" s="1"/>
  <c r="J343" i="5"/>
  <c r="H343" i="5" s="1"/>
  <c r="J344" i="5"/>
  <c r="H344" i="5" s="1"/>
  <c r="J345" i="5"/>
  <c r="H345" i="5" s="1"/>
  <c r="J346" i="5"/>
  <c r="H346" i="5" s="1"/>
  <c r="J347" i="5"/>
  <c r="H347" i="5" s="1"/>
  <c r="J348" i="5"/>
  <c r="H348" i="5" s="1"/>
  <c r="J349" i="5"/>
  <c r="H349" i="5" s="1"/>
  <c r="J350" i="5"/>
  <c r="H350" i="5" s="1"/>
  <c r="J351" i="5"/>
  <c r="H351" i="5" s="1"/>
  <c r="J352" i="5"/>
  <c r="H352" i="5" s="1"/>
  <c r="J353" i="5"/>
  <c r="H353" i="5" s="1"/>
  <c r="J354" i="5"/>
  <c r="H354" i="5" s="1"/>
  <c r="J355" i="5"/>
  <c r="H355" i="5" s="1"/>
  <c r="J356" i="5"/>
  <c r="H356" i="5" s="1"/>
  <c r="J357" i="5"/>
  <c r="H357" i="5" s="1"/>
  <c r="J358" i="5"/>
  <c r="H358" i="5" s="1"/>
  <c r="J359" i="5"/>
  <c r="H359" i="5" s="1"/>
  <c r="J360" i="5"/>
  <c r="H360" i="5" s="1"/>
  <c r="J361" i="5"/>
  <c r="H361" i="5" s="1"/>
  <c r="J362" i="5"/>
  <c r="H362" i="5" s="1"/>
  <c r="J363" i="5"/>
  <c r="H363" i="5" s="1"/>
  <c r="J364" i="5"/>
  <c r="H364" i="5" s="1"/>
  <c r="J365" i="5"/>
  <c r="H365" i="5" s="1"/>
  <c r="J366" i="5"/>
  <c r="H366" i="5" s="1"/>
  <c r="J367" i="5"/>
  <c r="H367" i="5" s="1"/>
  <c r="J368" i="5"/>
  <c r="H368" i="5" s="1"/>
  <c r="J369" i="5"/>
  <c r="H369" i="5" s="1"/>
  <c r="J370" i="5"/>
  <c r="H370" i="5" s="1"/>
  <c r="J371" i="5"/>
  <c r="H371" i="5" s="1"/>
  <c r="J372" i="5"/>
  <c r="H372" i="5" s="1"/>
  <c r="J373" i="5"/>
  <c r="H373" i="5" s="1"/>
  <c r="J374" i="5"/>
  <c r="H374" i="5" s="1"/>
  <c r="J375" i="5"/>
  <c r="H375" i="5" s="1"/>
  <c r="J376" i="5"/>
  <c r="H376" i="5" s="1"/>
  <c r="J377" i="5"/>
  <c r="H377" i="5" s="1"/>
  <c r="J378" i="5"/>
  <c r="H378" i="5" s="1"/>
  <c r="J379" i="5"/>
  <c r="H379" i="5" s="1"/>
  <c r="J380" i="5"/>
  <c r="H380" i="5" s="1"/>
  <c r="J381" i="5"/>
  <c r="H381" i="5" s="1"/>
  <c r="J382" i="5"/>
  <c r="H382" i="5" s="1"/>
  <c r="J383" i="5"/>
  <c r="H383" i="5" s="1"/>
  <c r="J384" i="5"/>
  <c r="H384" i="5" s="1"/>
  <c r="J385" i="5"/>
  <c r="H385" i="5" s="1"/>
  <c r="J386" i="5"/>
  <c r="H386" i="5" s="1"/>
  <c r="J387" i="5"/>
  <c r="H387" i="5" s="1"/>
  <c r="J388" i="5"/>
  <c r="H388" i="5" s="1"/>
  <c r="J389" i="5"/>
  <c r="H389" i="5" s="1"/>
  <c r="J390" i="5"/>
  <c r="H390" i="5" s="1"/>
  <c r="J391" i="5"/>
  <c r="H391" i="5" s="1"/>
  <c r="J392" i="5"/>
  <c r="H392" i="5" s="1"/>
  <c r="J393" i="5"/>
  <c r="H393" i="5" s="1"/>
  <c r="J394" i="5"/>
  <c r="H394" i="5" s="1"/>
  <c r="J395" i="5"/>
  <c r="H395" i="5" s="1"/>
  <c r="J396" i="5"/>
  <c r="H396" i="5" s="1"/>
  <c r="J397" i="5"/>
  <c r="H397" i="5" s="1"/>
  <c r="J398" i="5"/>
  <c r="H398" i="5" s="1"/>
  <c r="J399" i="5"/>
  <c r="H399" i="5" s="1"/>
  <c r="J400" i="5"/>
  <c r="H400" i="5" s="1"/>
  <c r="J401" i="5"/>
  <c r="H401" i="5" s="1"/>
  <c r="J402" i="5"/>
  <c r="H402" i="5" s="1"/>
  <c r="J403" i="5"/>
  <c r="H403" i="5" s="1"/>
  <c r="J404" i="5"/>
  <c r="H404" i="5" s="1"/>
  <c r="J405" i="5"/>
  <c r="H405" i="5" s="1"/>
  <c r="J406" i="5"/>
  <c r="H406" i="5" s="1"/>
  <c r="J407" i="5"/>
  <c r="H407" i="5" s="1"/>
  <c r="J408" i="5"/>
  <c r="H408" i="5" s="1"/>
  <c r="J409" i="5"/>
  <c r="H409" i="5" s="1"/>
  <c r="J410" i="5"/>
  <c r="H410" i="5" s="1"/>
  <c r="J411" i="5"/>
  <c r="H411" i="5" s="1"/>
  <c r="J412" i="5"/>
  <c r="H412" i="5" s="1"/>
  <c r="J413" i="5"/>
  <c r="H413" i="5" s="1"/>
  <c r="J414" i="5"/>
  <c r="H414" i="5" s="1"/>
  <c r="J415" i="5"/>
  <c r="H415" i="5" s="1"/>
  <c r="J416" i="5"/>
  <c r="H416" i="5" s="1"/>
  <c r="J417" i="5"/>
  <c r="H417" i="5" s="1"/>
  <c r="J418" i="5"/>
  <c r="H418" i="5" s="1"/>
  <c r="J419" i="5"/>
  <c r="H419" i="5" s="1"/>
  <c r="J420" i="5"/>
  <c r="H420" i="5" s="1"/>
  <c r="J421" i="5"/>
  <c r="H421" i="5" s="1"/>
  <c r="J422" i="5"/>
  <c r="H422" i="5" s="1"/>
  <c r="J423" i="5"/>
  <c r="H423" i="5" s="1"/>
  <c r="J424" i="5"/>
  <c r="H424" i="5" s="1"/>
  <c r="J425" i="5"/>
  <c r="H425" i="5" s="1"/>
  <c r="J426" i="5"/>
  <c r="H426" i="5" s="1"/>
  <c r="J427" i="5"/>
  <c r="H427" i="5" s="1"/>
  <c r="J428" i="5"/>
  <c r="H428" i="5" s="1"/>
  <c r="J429" i="5"/>
  <c r="H429" i="5" s="1"/>
  <c r="J430" i="5"/>
  <c r="H430" i="5" s="1"/>
  <c r="J431" i="5"/>
  <c r="H431" i="5" s="1"/>
  <c r="J432" i="5"/>
  <c r="H432" i="5" s="1"/>
  <c r="J433" i="5"/>
  <c r="H433" i="5" s="1"/>
  <c r="J434" i="5"/>
  <c r="H434" i="5" s="1"/>
  <c r="J435" i="5"/>
  <c r="H435" i="5" s="1"/>
  <c r="J436" i="5"/>
  <c r="H436" i="5" s="1"/>
  <c r="J437" i="5"/>
  <c r="H437" i="5" s="1"/>
  <c r="J438" i="5"/>
  <c r="H438" i="5" s="1"/>
  <c r="J439" i="5"/>
  <c r="H439" i="5" s="1"/>
  <c r="J440" i="5"/>
  <c r="H440" i="5" s="1"/>
  <c r="J441" i="5"/>
  <c r="H441" i="5" s="1"/>
  <c r="J442" i="5"/>
  <c r="H442" i="5" s="1"/>
  <c r="J443" i="5"/>
  <c r="H443" i="5" s="1"/>
  <c r="J444" i="5"/>
  <c r="H444" i="5" s="1"/>
  <c r="J445" i="5"/>
  <c r="H445" i="5" s="1"/>
  <c r="J446" i="5"/>
  <c r="H446" i="5" s="1"/>
  <c r="J447" i="5"/>
  <c r="H447" i="5" s="1"/>
  <c r="J448" i="5"/>
  <c r="H448" i="5" s="1"/>
  <c r="J449" i="5"/>
  <c r="H449" i="5" s="1"/>
  <c r="J450" i="5"/>
  <c r="H450" i="5" s="1"/>
  <c r="J451" i="5"/>
  <c r="H451" i="5" s="1"/>
  <c r="J452" i="5"/>
  <c r="H452" i="5" s="1"/>
  <c r="J453" i="5"/>
  <c r="H453" i="5" s="1"/>
  <c r="J454" i="5"/>
  <c r="H454" i="5" s="1"/>
  <c r="J455" i="5"/>
  <c r="H455" i="5" s="1"/>
  <c r="J456" i="5"/>
  <c r="H456" i="5" s="1"/>
  <c r="J457" i="5"/>
  <c r="H457" i="5" s="1"/>
  <c r="J458" i="5"/>
  <c r="H458" i="5" s="1"/>
  <c r="J459" i="5"/>
  <c r="H459" i="5" s="1"/>
  <c r="J460" i="5"/>
  <c r="H460" i="5" s="1"/>
  <c r="J461" i="5"/>
  <c r="H461" i="5" s="1"/>
  <c r="J462" i="5"/>
  <c r="H462" i="5" s="1"/>
  <c r="J463" i="5"/>
  <c r="H463" i="5" s="1"/>
  <c r="J464" i="5"/>
  <c r="H464" i="5" s="1"/>
  <c r="J465" i="5"/>
  <c r="H465" i="5" s="1"/>
  <c r="J466" i="5"/>
  <c r="H466" i="5" s="1"/>
  <c r="J467" i="5"/>
  <c r="H467" i="5" s="1"/>
  <c r="J468" i="5"/>
  <c r="H468" i="5" s="1"/>
  <c r="J469" i="5"/>
  <c r="H469" i="5" s="1"/>
  <c r="J470" i="5"/>
  <c r="H470" i="5" s="1"/>
  <c r="J471" i="5"/>
  <c r="H471" i="5" s="1"/>
  <c r="J472" i="5"/>
  <c r="H472" i="5" s="1"/>
  <c r="J473" i="5"/>
  <c r="H473" i="5" s="1"/>
  <c r="J474" i="5"/>
  <c r="H474" i="5" s="1"/>
  <c r="J475" i="5"/>
  <c r="H475" i="5" s="1"/>
  <c r="J476" i="5"/>
  <c r="H476" i="5" s="1"/>
  <c r="J477" i="5"/>
  <c r="H477" i="5" s="1"/>
  <c r="J478" i="5"/>
  <c r="H478" i="5" s="1"/>
  <c r="J479" i="5"/>
  <c r="H479" i="5" s="1"/>
  <c r="J480" i="5"/>
  <c r="H480" i="5" s="1"/>
  <c r="J481" i="5"/>
  <c r="H481" i="5" s="1"/>
  <c r="J482" i="5"/>
  <c r="H482" i="5" s="1"/>
  <c r="J483" i="5"/>
  <c r="H483" i="5" s="1"/>
  <c r="J484" i="5"/>
  <c r="H484" i="5" s="1"/>
  <c r="J485" i="5"/>
  <c r="H485" i="5" s="1"/>
  <c r="J486" i="5"/>
  <c r="H486" i="5" s="1"/>
  <c r="J487" i="5"/>
  <c r="H487" i="5" s="1"/>
  <c r="J488" i="5"/>
  <c r="H488" i="5" s="1"/>
  <c r="J489" i="5"/>
  <c r="H489" i="5" s="1"/>
  <c r="J490" i="5"/>
  <c r="H490" i="5" s="1"/>
  <c r="J491" i="5"/>
  <c r="H491" i="5" s="1"/>
  <c r="J492" i="5"/>
  <c r="H492" i="5" s="1"/>
  <c r="J493" i="5"/>
  <c r="H493" i="5" s="1"/>
  <c r="J494" i="5"/>
  <c r="H494" i="5" s="1"/>
  <c r="J495" i="5"/>
  <c r="H495" i="5" s="1"/>
  <c r="J496" i="5"/>
  <c r="H496" i="5" s="1"/>
  <c r="J497" i="5"/>
  <c r="H497" i="5" s="1"/>
  <c r="J498" i="5"/>
  <c r="H498" i="5" s="1"/>
  <c r="J499" i="5"/>
  <c r="H499" i="5" s="1"/>
  <c r="J500" i="5"/>
  <c r="H500" i="5" s="1"/>
  <c r="J501" i="5"/>
  <c r="H501" i="5" s="1"/>
  <c r="J502" i="5"/>
  <c r="H502" i="5" s="1"/>
  <c r="J503" i="5"/>
  <c r="H503" i="5" s="1"/>
  <c r="J504" i="5"/>
  <c r="H504" i="5" s="1"/>
  <c r="J505" i="5"/>
  <c r="H505" i="5" s="1"/>
  <c r="J506" i="5"/>
  <c r="H506" i="5" s="1"/>
  <c r="J507" i="5"/>
  <c r="H507" i="5" s="1"/>
  <c r="J508" i="5"/>
  <c r="H508" i="5" s="1"/>
  <c r="J509" i="5"/>
  <c r="H509" i="5" s="1"/>
  <c r="J510" i="5"/>
  <c r="H510" i="5" s="1"/>
  <c r="J511" i="5"/>
  <c r="H511" i="5" s="1"/>
  <c r="J512" i="5"/>
  <c r="H512" i="5" s="1"/>
  <c r="J513" i="5"/>
  <c r="H513" i="5" s="1"/>
  <c r="J514" i="5"/>
  <c r="H514" i="5" s="1"/>
  <c r="J515" i="5"/>
  <c r="H515" i="5" s="1"/>
  <c r="J516" i="5"/>
  <c r="H516" i="5" s="1"/>
  <c r="J517" i="5"/>
  <c r="H517" i="5" s="1"/>
  <c r="J518" i="5"/>
  <c r="H518" i="5" s="1"/>
  <c r="J519" i="5"/>
  <c r="H519" i="5" s="1"/>
  <c r="J520" i="5"/>
  <c r="H520" i="5" s="1"/>
  <c r="J521" i="5"/>
  <c r="H521" i="5" s="1"/>
  <c r="J522" i="5"/>
  <c r="H522" i="5" s="1"/>
  <c r="J523" i="5"/>
  <c r="H523" i="5" s="1"/>
  <c r="J524" i="5"/>
  <c r="H524" i="5" s="1"/>
  <c r="J525" i="5"/>
  <c r="H525" i="5" s="1"/>
  <c r="J526" i="5"/>
  <c r="H526" i="5" s="1"/>
  <c r="J527" i="5"/>
  <c r="H527" i="5" s="1"/>
  <c r="J528" i="5"/>
  <c r="H528" i="5" s="1"/>
  <c r="J529" i="5"/>
  <c r="H529" i="5" s="1"/>
  <c r="J530" i="5"/>
  <c r="H530" i="5" s="1"/>
  <c r="J531" i="5"/>
  <c r="H531" i="5" s="1"/>
  <c r="J532" i="5"/>
  <c r="H532" i="5" s="1"/>
  <c r="J533" i="5"/>
  <c r="H533" i="5" s="1"/>
  <c r="J534" i="5"/>
  <c r="H534" i="5" s="1"/>
  <c r="J535" i="5"/>
  <c r="H535" i="5" s="1"/>
  <c r="J536" i="5"/>
  <c r="H536" i="5" s="1"/>
  <c r="J537" i="5"/>
  <c r="H537" i="5" s="1"/>
  <c r="J538" i="5"/>
  <c r="H538" i="5" s="1"/>
  <c r="J539" i="5"/>
  <c r="H539" i="5" s="1"/>
  <c r="J540" i="5"/>
  <c r="H540" i="5" s="1"/>
  <c r="J541" i="5"/>
  <c r="H541" i="5" s="1"/>
  <c r="J542" i="5"/>
  <c r="H542" i="5" s="1"/>
  <c r="J543" i="5"/>
  <c r="H543" i="5" s="1"/>
  <c r="J544" i="5"/>
  <c r="H544" i="5" s="1"/>
  <c r="J545" i="5"/>
  <c r="H545" i="5" s="1"/>
  <c r="J546" i="5"/>
  <c r="H546" i="5" s="1"/>
  <c r="J547" i="5"/>
  <c r="H547" i="5" s="1"/>
  <c r="J548" i="5"/>
  <c r="H548" i="5" s="1"/>
  <c r="J549" i="5"/>
  <c r="H549" i="5" s="1"/>
  <c r="J550" i="5"/>
  <c r="H550" i="5" s="1"/>
  <c r="J551" i="5"/>
  <c r="H551" i="5" s="1"/>
  <c r="J552" i="5"/>
  <c r="H552" i="5" s="1"/>
  <c r="J553" i="5"/>
  <c r="H553" i="5" s="1"/>
  <c r="J554" i="5"/>
  <c r="H554" i="5" s="1"/>
  <c r="J555" i="5"/>
  <c r="H555" i="5" s="1"/>
  <c r="J556" i="5"/>
  <c r="H556" i="5" s="1"/>
  <c r="J557" i="5"/>
  <c r="H557" i="5" s="1"/>
  <c r="J558" i="5"/>
  <c r="H558" i="5" s="1"/>
  <c r="J559" i="5"/>
  <c r="H559" i="5" s="1"/>
  <c r="J560" i="5"/>
  <c r="H560" i="5" s="1"/>
  <c r="J561" i="5"/>
  <c r="H561" i="5" s="1"/>
  <c r="J562" i="5"/>
  <c r="H562" i="5" s="1"/>
  <c r="J563" i="5"/>
  <c r="H563" i="5" s="1"/>
  <c r="J564" i="5"/>
  <c r="H564" i="5" s="1"/>
  <c r="J565" i="5"/>
  <c r="H565" i="5" s="1"/>
  <c r="J566" i="5"/>
  <c r="H566" i="5" s="1"/>
  <c r="J567" i="5"/>
  <c r="H567" i="5" s="1"/>
  <c r="J568" i="5"/>
  <c r="H568" i="5" s="1"/>
  <c r="J569" i="5"/>
  <c r="H569" i="5" s="1"/>
  <c r="J570" i="5"/>
  <c r="H570" i="5" s="1"/>
  <c r="J571" i="5"/>
  <c r="H571" i="5" s="1"/>
  <c r="J572" i="5"/>
  <c r="H572" i="5" s="1"/>
  <c r="J573" i="5"/>
  <c r="H573" i="5" s="1"/>
  <c r="J574" i="5"/>
  <c r="H574" i="5" s="1"/>
  <c r="J575" i="5"/>
  <c r="H575" i="5" s="1"/>
  <c r="J576" i="5"/>
  <c r="H576" i="5" s="1"/>
  <c r="J577" i="5"/>
  <c r="H577" i="5" s="1"/>
  <c r="J578" i="5"/>
  <c r="H578" i="5" s="1"/>
  <c r="J579" i="5"/>
  <c r="H579" i="5" s="1"/>
  <c r="J580" i="5"/>
  <c r="H580" i="5" s="1"/>
  <c r="J581" i="5"/>
  <c r="H581" i="5" s="1"/>
  <c r="J582" i="5"/>
  <c r="H582" i="5" s="1"/>
  <c r="J583" i="5"/>
  <c r="H583" i="5" s="1"/>
  <c r="J584" i="5"/>
  <c r="H584" i="5" s="1"/>
  <c r="J585" i="5"/>
  <c r="H585" i="5" s="1"/>
  <c r="J586" i="5"/>
  <c r="H586" i="5" s="1"/>
  <c r="J587" i="5"/>
  <c r="H587" i="5" s="1"/>
  <c r="J588" i="5"/>
  <c r="H588" i="5" s="1"/>
  <c r="J589" i="5"/>
  <c r="H589" i="5" s="1"/>
  <c r="J590" i="5"/>
  <c r="H590" i="5" s="1"/>
  <c r="J591" i="5"/>
  <c r="H591" i="5" s="1"/>
  <c r="J592" i="5"/>
  <c r="H592" i="5" s="1"/>
  <c r="J593" i="5"/>
  <c r="H593" i="5" s="1"/>
  <c r="J594" i="5"/>
  <c r="H594" i="5" s="1"/>
  <c r="J595" i="5"/>
  <c r="H595" i="5" s="1"/>
  <c r="J596" i="5"/>
  <c r="H596" i="5" s="1"/>
  <c r="J597" i="5"/>
  <c r="H597" i="5" s="1"/>
  <c r="J598" i="5"/>
  <c r="H598" i="5" s="1"/>
  <c r="J599" i="5"/>
  <c r="H599" i="5" s="1"/>
  <c r="J600" i="5"/>
  <c r="H600" i="5" s="1"/>
  <c r="J601" i="5"/>
  <c r="H601" i="5" s="1"/>
  <c r="J602" i="5"/>
  <c r="H602" i="5" s="1"/>
  <c r="J603" i="5"/>
  <c r="H603" i="5" s="1"/>
  <c r="J604" i="5"/>
  <c r="H604" i="5" s="1"/>
  <c r="J605" i="5"/>
  <c r="H605" i="5" s="1"/>
  <c r="J606" i="5"/>
  <c r="H606" i="5" s="1"/>
  <c r="J607" i="5"/>
  <c r="H607" i="5" s="1"/>
  <c r="J608" i="5"/>
  <c r="H608" i="5" s="1"/>
  <c r="J609" i="5"/>
  <c r="H609" i="5" s="1"/>
  <c r="J610" i="5"/>
  <c r="H610" i="5" s="1"/>
  <c r="J611" i="5"/>
  <c r="H611" i="5" s="1"/>
  <c r="J612" i="5"/>
  <c r="H612" i="5" s="1"/>
  <c r="J613" i="5"/>
  <c r="H613" i="5" s="1"/>
  <c r="J614" i="5"/>
  <c r="H614" i="5" s="1"/>
  <c r="J615" i="5"/>
  <c r="H615" i="5" s="1"/>
  <c r="J616" i="5"/>
  <c r="H616" i="5" s="1"/>
  <c r="J617" i="5"/>
  <c r="H617" i="5" s="1"/>
  <c r="J618" i="5"/>
  <c r="H618" i="5" s="1"/>
  <c r="J619" i="5"/>
  <c r="H619" i="5" s="1"/>
  <c r="J620" i="5"/>
  <c r="H620" i="5" s="1"/>
  <c r="J621" i="5"/>
  <c r="H621" i="5" s="1"/>
  <c r="J622" i="5"/>
  <c r="H622" i="5" s="1"/>
  <c r="J623" i="5"/>
  <c r="H623" i="5" s="1"/>
  <c r="J624" i="5"/>
  <c r="H624" i="5" s="1"/>
  <c r="J625" i="5"/>
  <c r="H625" i="5" s="1"/>
  <c r="J626" i="5"/>
  <c r="H626" i="5" s="1"/>
  <c r="J627" i="5"/>
  <c r="H627" i="5" s="1"/>
  <c r="J628" i="5"/>
  <c r="H628" i="5" s="1"/>
  <c r="J629" i="5"/>
  <c r="H629" i="5" s="1"/>
  <c r="J630" i="5"/>
  <c r="H630" i="5" s="1"/>
  <c r="J631" i="5"/>
  <c r="H631" i="5" s="1"/>
  <c r="J632" i="5"/>
  <c r="H632" i="5" s="1"/>
  <c r="J633" i="5"/>
  <c r="H633" i="5" s="1"/>
  <c r="J634" i="5"/>
  <c r="H634" i="5" s="1"/>
  <c r="J635" i="5"/>
  <c r="H635" i="5" s="1"/>
  <c r="J636" i="5"/>
  <c r="H636" i="5" s="1"/>
  <c r="J637" i="5"/>
  <c r="H637" i="5" s="1"/>
  <c r="J638" i="5"/>
  <c r="H638" i="5" s="1"/>
  <c r="J639" i="5"/>
  <c r="H639" i="5" s="1"/>
  <c r="J640" i="5"/>
  <c r="H640" i="5" s="1"/>
  <c r="J641" i="5"/>
  <c r="H641" i="5" s="1"/>
  <c r="J642" i="5"/>
  <c r="H642" i="5" s="1"/>
  <c r="J643" i="5"/>
  <c r="H643" i="5" s="1"/>
  <c r="J644" i="5"/>
  <c r="H644" i="5" s="1"/>
  <c r="J645" i="5"/>
  <c r="H645" i="5" s="1"/>
  <c r="J646" i="5"/>
  <c r="H646" i="5" s="1"/>
  <c r="J647" i="5"/>
  <c r="H647" i="5" s="1"/>
  <c r="J648" i="5"/>
  <c r="H648" i="5" s="1"/>
  <c r="J649" i="5"/>
  <c r="H649" i="5" s="1"/>
  <c r="J650" i="5"/>
  <c r="H650" i="5" s="1"/>
  <c r="J651" i="5"/>
  <c r="H651" i="5" s="1"/>
  <c r="J652" i="5"/>
  <c r="H652" i="5" s="1"/>
  <c r="J653" i="5"/>
  <c r="H653" i="5" s="1"/>
  <c r="J654" i="5"/>
  <c r="H654" i="5" s="1"/>
  <c r="J655" i="5"/>
  <c r="H655" i="5" s="1"/>
  <c r="J656" i="5"/>
  <c r="H656" i="5" s="1"/>
  <c r="J657" i="5"/>
  <c r="H657" i="5" s="1"/>
  <c r="J658" i="5"/>
  <c r="H658" i="5" s="1"/>
  <c r="J659" i="5"/>
  <c r="H659" i="5" s="1"/>
  <c r="J660" i="5"/>
  <c r="H660" i="5" s="1"/>
  <c r="J661" i="5"/>
  <c r="H661" i="5" s="1"/>
  <c r="J662" i="5"/>
  <c r="H662" i="5" s="1"/>
  <c r="J663" i="5"/>
  <c r="H663" i="5" s="1"/>
  <c r="J664" i="5"/>
  <c r="H664" i="5" s="1"/>
  <c r="J665" i="5"/>
  <c r="H665" i="5" s="1"/>
  <c r="J666" i="5"/>
  <c r="H666" i="5" s="1"/>
  <c r="J667" i="5"/>
  <c r="H667" i="5" s="1"/>
  <c r="J668" i="5"/>
  <c r="H668" i="5" s="1"/>
  <c r="J669" i="5"/>
  <c r="H669" i="5" s="1"/>
  <c r="J670" i="5"/>
  <c r="H670" i="5" s="1"/>
  <c r="J671" i="5"/>
  <c r="H671" i="5" s="1"/>
  <c r="J672" i="5"/>
  <c r="H672" i="5" s="1"/>
  <c r="J673" i="5"/>
  <c r="H673" i="5" s="1"/>
  <c r="J674" i="5"/>
  <c r="H674" i="5" s="1"/>
  <c r="J675" i="5"/>
  <c r="H675" i="5" s="1"/>
  <c r="J676" i="5"/>
  <c r="H676" i="5" s="1"/>
  <c r="J677" i="5"/>
  <c r="H677" i="5" s="1"/>
  <c r="J678" i="5"/>
  <c r="H678" i="5" s="1"/>
  <c r="J679" i="5"/>
  <c r="H679" i="5" s="1"/>
  <c r="J680" i="5"/>
  <c r="H680" i="5" s="1"/>
  <c r="J681" i="5"/>
  <c r="H681" i="5" s="1"/>
  <c r="J682" i="5"/>
  <c r="H682" i="5" s="1"/>
  <c r="J683" i="5"/>
  <c r="H683" i="5" s="1"/>
  <c r="J684" i="5"/>
  <c r="H684" i="5" s="1"/>
  <c r="J685" i="5"/>
  <c r="H685" i="5" s="1"/>
  <c r="J686" i="5"/>
  <c r="H686" i="5" s="1"/>
  <c r="J687" i="5"/>
  <c r="H687" i="5" s="1"/>
  <c r="J688" i="5"/>
  <c r="H688" i="5" s="1"/>
  <c r="J689" i="5"/>
  <c r="H689" i="5" s="1"/>
  <c r="J690" i="5"/>
  <c r="H690" i="5" s="1"/>
  <c r="J691" i="5"/>
  <c r="H691" i="5" s="1"/>
  <c r="J692" i="5"/>
  <c r="H692" i="5" s="1"/>
  <c r="J693" i="5"/>
  <c r="H693" i="5" s="1"/>
  <c r="J694" i="5"/>
  <c r="H694" i="5" s="1"/>
  <c r="J695" i="5"/>
  <c r="H695" i="5" s="1"/>
  <c r="J696" i="5"/>
  <c r="H696" i="5" s="1"/>
  <c r="J697" i="5"/>
  <c r="H697" i="5" s="1"/>
  <c r="J698" i="5"/>
  <c r="H698" i="5" s="1"/>
  <c r="J699" i="5"/>
  <c r="H699" i="5" s="1"/>
  <c r="J700" i="5"/>
  <c r="H700" i="5" s="1"/>
  <c r="J701" i="5"/>
  <c r="H701" i="5" s="1"/>
  <c r="J702" i="5"/>
  <c r="H702" i="5" s="1"/>
  <c r="J703" i="5"/>
  <c r="H703" i="5" s="1"/>
  <c r="J704" i="5"/>
  <c r="H704" i="5" s="1"/>
  <c r="J705" i="5"/>
  <c r="H705" i="5" s="1"/>
  <c r="J706" i="5"/>
  <c r="H706" i="5" s="1"/>
  <c r="J707" i="5"/>
  <c r="H707" i="5" s="1"/>
  <c r="J708" i="5"/>
  <c r="H708" i="5" s="1"/>
  <c r="J709" i="5"/>
  <c r="H709" i="5" s="1"/>
  <c r="J710" i="5"/>
  <c r="H710" i="5" s="1"/>
  <c r="J711" i="5"/>
  <c r="H711" i="5" s="1"/>
  <c r="J712" i="5"/>
  <c r="H712" i="5" s="1"/>
  <c r="J713" i="5"/>
  <c r="H713" i="5" s="1"/>
  <c r="J714" i="5"/>
  <c r="H714" i="5" s="1"/>
  <c r="J715" i="5"/>
  <c r="H715" i="5" s="1"/>
  <c r="J716" i="5"/>
  <c r="H716" i="5" s="1"/>
  <c r="J717" i="5"/>
  <c r="H717" i="5" s="1"/>
  <c r="J718" i="5"/>
  <c r="H718" i="5" s="1"/>
  <c r="J719" i="5"/>
  <c r="H719" i="5" s="1"/>
  <c r="J720" i="5"/>
  <c r="H720" i="5" s="1"/>
  <c r="J721" i="5"/>
  <c r="H721" i="5" s="1"/>
  <c r="J722" i="5"/>
  <c r="H722" i="5" s="1"/>
  <c r="J723" i="5"/>
  <c r="H723" i="5" s="1"/>
  <c r="J724" i="5"/>
  <c r="H724" i="5" s="1"/>
  <c r="J725" i="5"/>
  <c r="H725" i="5" s="1"/>
  <c r="J726" i="5"/>
  <c r="H726" i="5" s="1"/>
  <c r="J727" i="5"/>
  <c r="H727" i="5" s="1"/>
  <c r="J728" i="5"/>
  <c r="H728" i="5" s="1"/>
  <c r="J729" i="5"/>
  <c r="H729" i="5" s="1"/>
  <c r="J730" i="5"/>
  <c r="H730" i="5" s="1"/>
  <c r="J731" i="5"/>
  <c r="H731" i="5" s="1"/>
  <c r="J732" i="5"/>
  <c r="H732" i="5" s="1"/>
  <c r="J733" i="5"/>
  <c r="H733" i="5" s="1"/>
  <c r="J734" i="5"/>
  <c r="H734" i="5" s="1"/>
  <c r="J735" i="5"/>
  <c r="H735" i="5" s="1"/>
  <c r="J736" i="5"/>
  <c r="H736" i="5" s="1"/>
  <c r="J737" i="5"/>
  <c r="H737" i="5" s="1"/>
  <c r="J738" i="5"/>
  <c r="H738" i="5" s="1"/>
  <c r="J739" i="5"/>
  <c r="H739" i="5" s="1"/>
  <c r="J740" i="5"/>
  <c r="H740" i="5" s="1"/>
  <c r="J741" i="5"/>
  <c r="H741" i="5" s="1"/>
  <c r="J742" i="5"/>
  <c r="H742" i="5" s="1"/>
  <c r="J743" i="5"/>
  <c r="H743" i="5" s="1"/>
  <c r="J744" i="5"/>
  <c r="H744" i="5" s="1"/>
  <c r="J745" i="5"/>
  <c r="H745" i="5" s="1"/>
  <c r="J746" i="5"/>
  <c r="H746" i="5" s="1"/>
  <c r="J747" i="5"/>
  <c r="H747" i="5" s="1"/>
  <c r="J748" i="5"/>
  <c r="H748" i="5" s="1"/>
  <c r="J749" i="5"/>
  <c r="H749" i="5" s="1"/>
  <c r="J750" i="5"/>
  <c r="H750" i="5" s="1"/>
  <c r="J751" i="5"/>
  <c r="H751" i="5" s="1"/>
  <c r="J752" i="5"/>
  <c r="H752" i="5" s="1"/>
  <c r="J753" i="5"/>
  <c r="H753" i="5" s="1"/>
  <c r="J754" i="5"/>
  <c r="H754" i="5" s="1"/>
  <c r="J755" i="5"/>
  <c r="H755" i="5" s="1"/>
  <c r="J756" i="5"/>
  <c r="H756" i="5" s="1"/>
  <c r="J757" i="5"/>
  <c r="H757" i="5" s="1"/>
  <c r="J758" i="5"/>
  <c r="H758" i="5" s="1"/>
  <c r="J759" i="5"/>
  <c r="H759" i="5" s="1"/>
  <c r="J760" i="5"/>
  <c r="H760" i="5" s="1"/>
  <c r="J761" i="5"/>
  <c r="H761" i="5" s="1"/>
  <c r="J762" i="5"/>
  <c r="H762" i="5" s="1"/>
  <c r="J763" i="5"/>
  <c r="H763" i="5" s="1"/>
  <c r="J764" i="5"/>
  <c r="H764" i="5" s="1"/>
  <c r="J765" i="5"/>
  <c r="H765" i="5" s="1"/>
  <c r="J766" i="5"/>
  <c r="H766" i="5" s="1"/>
  <c r="J767" i="5"/>
  <c r="H767" i="5" s="1"/>
  <c r="J768" i="5"/>
  <c r="H768" i="5" s="1"/>
  <c r="J769" i="5"/>
  <c r="H769" i="5" s="1"/>
  <c r="J770" i="5"/>
  <c r="H770" i="5" s="1"/>
  <c r="J771" i="5"/>
  <c r="H771" i="5" s="1"/>
  <c r="J772" i="5"/>
  <c r="H772" i="5" s="1"/>
  <c r="J773" i="5"/>
  <c r="H773" i="5" s="1"/>
  <c r="J774" i="5"/>
  <c r="H774" i="5" s="1"/>
  <c r="J775" i="5"/>
  <c r="H775" i="5" s="1"/>
  <c r="J776" i="5"/>
  <c r="H776" i="5" s="1"/>
  <c r="J777" i="5"/>
  <c r="H777" i="5" s="1"/>
  <c r="J778" i="5"/>
  <c r="H778" i="5" s="1"/>
  <c r="J779" i="5"/>
  <c r="H779" i="5" s="1"/>
  <c r="J780" i="5"/>
  <c r="H780" i="5" s="1"/>
  <c r="J781" i="5"/>
  <c r="H781" i="5" s="1"/>
  <c r="J782" i="5"/>
  <c r="H782" i="5" s="1"/>
  <c r="J783" i="5"/>
  <c r="H783" i="5" s="1"/>
  <c r="J784" i="5"/>
  <c r="H784" i="5" s="1"/>
  <c r="J785" i="5"/>
  <c r="H785" i="5" s="1"/>
  <c r="J786" i="5"/>
  <c r="H786" i="5" s="1"/>
  <c r="J787" i="5"/>
  <c r="H787" i="5" s="1"/>
  <c r="J788" i="5"/>
  <c r="H788" i="5" s="1"/>
  <c r="J789" i="5"/>
  <c r="H789" i="5" s="1"/>
  <c r="J790" i="5"/>
  <c r="H790" i="5" s="1"/>
  <c r="J791" i="5"/>
  <c r="H791" i="5" s="1"/>
  <c r="J792" i="5"/>
  <c r="H792" i="5" s="1"/>
  <c r="J793" i="5"/>
  <c r="H793" i="5" s="1"/>
  <c r="J794" i="5"/>
  <c r="H794" i="5" s="1"/>
  <c r="J795" i="5"/>
  <c r="H795" i="5" s="1"/>
  <c r="J796" i="5"/>
  <c r="H796" i="5" s="1"/>
  <c r="J797" i="5"/>
  <c r="H797" i="5" s="1"/>
  <c r="J798" i="5"/>
  <c r="H798" i="5" s="1"/>
  <c r="J799" i="5"/>
  <c r="H799" i="5" s="1"/>
  <c r="J800" i="5"/>
  <c r="H800" i="5" s="1"/>
  <c r="J801" i="5"/>
  <c r="H801" i="5" s="1"/>
  <c r="J802" i="5"/>
  <c r="H802" i="5" s="1"/>
  <c r="J803" i="5"/>
  <c r="H803" i="5" s="1"/>
  <c r="J804" i="5"/>
  <c r="H804" i="5" s="1"/>
  <c r="J805" i="5"/>
  <c r="H805" i="5" s="1"/>
  <c r="J806" i="5"/>
  <c r="H806" i="5" s="1"/>
  <c r="J807" i="5"/>
  <c r="H807" i="5" s="1"/>
  <c r="J808" i="5"/>
  <c r="H808" i="5" s="1"/>
  <c r="J809" i="5"/>
  <c r="H809" i="5" s="1"/>
  <c r="J810" i="5"/>
  <c r="H810" i="5" s="1"/>
  <c r="J811" i="5"/>
  <c r="H811" i="5" s="1"/>
  <c r="J812" i="5"/>
  <c r="H812" i="5" s="1"/>
  <c r="J813" i="5"/>
  <c r="H813" i="5" s="1"/>
  <c r="J814" i="5"/>
  <c r="H814" i="5" s="1"/>
  <c r="J815" i="5"/>
  <c r="H815" i="5" s="1"/>
  <c r="J816" i="5"/>
  <c r="H816" i="5" s="1"/>
  <c r="J817" i="5"/>
  <c r="H817" i="5" s="1"/>
  <c r="J818" i="5"/>
  <c r="H818" i="5" s="1"/>
  <c r="J819" i="5"/>
  <c r="H819" i="5" s="1"/>
  <c r="J820" i="5"/>
  <c r="H820" i="5" s="1"/>
  <c r="J821" i="5"/>
  <c r="H821" i="5" s="1"/>
  <c r="J822" i="5"/>
  <c r="H822" i="5" s="1"/>
  <c r="J823" i="5"/>
  <c r="H823" i="5" s="1"/>
  <c r="J824" i="5"/>
  <c r="H824" i="5" s="1"/>
  <c r="J825" i="5"/>
  <c r="H825" i="5" s="1"/>
  <c r="J826" i="5"/>
  <c r="H826" i="5" s="1"/>
  <c r="J827" i="5"/>
  <c r="H827" i="5" s="1"/>
  <c r="J828" i="5"/>
  <c r="H828" i="5" s="1"/>
  <c r="J829" i="5"/>
  <c r="H829" i="5" s="1"/>
  <c r="J830" i="5"/>
  <c r="H830" i="5" s="1"/>
  <c r="J831" i="5"/>
  <c r="H831" i="5" s="1"/>
  <c r="J832" i="5"/>
  <c r="H832" i="5" s="1"/>
  <c r="J833" i="5"/>
  <c r="H833" i="5" s="1"/>
  <c r="J834" i="5"/>
  <c r="H834" i="5" s="1"/>
  <c r="J835" i="5"/>
  <c r="H835" i="5" s="1"/>
  <c r="J836" i="5"/>
  <c r="H836" i="5" s="1"/>
  <c r="J837" i="5"/>
  <c r="H837" i="5" s="1"/>
  <c r="J838" i="5"/>
  <c r="H838" i="5" s="1"/>
  <c r="J839" i="5"/>
  <c r="H839" i="5" s="1"/>
  <c r="J840" i="5"/>
  <c r="H840" i="5" s="1"/>
  <c r="J841" i="5"/>
  <c r="H841" i="5" s="1"/>
  <c r="J842" i="5"/>
  <c r="H842" i="5" s="1"/>
  <c r="J843" i="5"/>
  <c r="H843" i="5" s="1"/>
  <c r="J844" i="5"/>
  <c r="H844" i="5" s="1"/>
  <c r="J845" i="5"/>
  <c r="H845" i="5" s="1"/>
  <c r="J846" i="5"/>
  <c r="H846" i="5" s="1"/>
  <c r="J847" i="5"/>
  <c r="H847" i="5" s="1"/>
  <c r="J848" i="5"/>
  <c r="H848" i="5" s="1"/>
  <c r="J849" i="5"/>
  <c r="H849" i="5" s="1"/>
  <c r="J850" i="5"/>
  <c r="H850" i="5" s="1"/>
  <c r="J851" i="5"/>
  <c r="H851" i="5" s="1"/>
  <c r="J852" i="5"/>
  <c r="H852" i="5" s="1"/>
  <c r="J853" i="5"/>
  <c r="H853" i="5" s="1"/>
  <c r="J854" i="5"/>
  <c r="H854" i="5" s="1"/>
  <c r="J855" i="5"/>
  <c r="H855" i="5" s="1"/>
  <c r="J856" i="5"/>
  <c r="H856" i="5" s="1"/>
  <c r="J857" i="5"/>
  <c r="H857" i="5" s="1"/>
  <c r="J858" i="5"/>
  <c r="H858" i="5" s="1"/>
  <c r="J859" i="5"/>
  <c r="H859" i="5" s="1"/>
  <c r="J860" i="5"/>
  <c r="H860" i="5" s="1"/>
  <c r="J861" i="5"/>
  <c r="H861" i="5" s="1"/>
  <c r="J862" i="5"/>
  <c r="H862" i="5" s="1"/>
  <c r="J863" i="5"/>
  <c r="H863" i="5" s="1"/>
  <c r="J864" i="5"/>
  <c r="H864" i="5" s="1"/>
  <c r="J865" i="5"/>
  <c r="H865" i="5" s="1"/>
  <c r="J866" i="5"/>
  <c r="H866" i="5" s="1"/>
  <c r="J867" i="5"/>
  <c r="H867" i="5" s="1"/>
  <c r="J868" i="5"/>
  <c r="H868" i="5" s="1"/>
  <c r="J869" i="5"/>
  <c r="H869" i="5" s="1"/>
  <c r="J870" i="5"/>
  <c r="H870" i="5" s="1"/>
  <c r="J871" i="5"/>
  <c r="H871" i="5" s="1"/>
  <c r="J872" i="5"/>
  <c r="H872" i="5" s="1"/>
  <c r="J873" i="5"/>
  <c r="H873" i="5" s="1"/>
  <c r="J874" i="5"/>
  <c r="H874" i="5" s="1"/>
  <c r="J875" i="5"/>
  <c r="H875" i="5" s="1"/>
  <c r="J876" i="5"/>
  <c r="H876" i="5" s="1"/>
  <c r="J877" i="5"/>
  <c r="H877" i="5" s="1"/>
  <c r="J878" i="5"/>
  <c r="H878" i="5" s="1"/>
  <c r="J879" i="5"/>
  <c r="H879" i="5" s="1"/>
  <c r="J880" i="5"/>
  <c r="H880" i="5" s="1"/>
  <c r="J881" i="5"/>
  <c r="H881" i="5" s="1"/>
  <c r="J882" i="5"/>
  <c r="H882" i="5" s="1"/>
  <c r="J883" i="5"/>
  <c r="H883" i="5" s="1"/>
  <c r="J884" i="5"/>
  <c r="H884" i="5" s="1"/>
  <c r="J885" i="5"/>
  <c r="H885" i="5" s="1"/>
  <c r="J886" i="5"/>
  <c r="H886" i="5" s="1"/>
  <c r="J887" i="5"/>
  <c r="H887" i="5" s="1"/>
  <c r="J888" i="5"/>
  <c r="H888" i="5" s="1"/>
  <c r="J889" i="5"/>
  <c r="H889" i="5" s="1"/>
  <c r="J890" i="5"/>
  <c r="H890" i="5" s="1"/>
  <c r="J891" i="5"/>
  <c r="H891" i="5" s="1"/>
  <c r="J892" i="5"/>
  <c r="H892" i="5" s="1"/>
  <c r="J893" i="5"/>
  <c r="H893" i="5" s="1"/>
  <c r="J894" i="5"/>
  <c r="H894" i="5" s="1"/>
  <c r="J895" i="5"/>
  <c r="H895" i="5" s="1"/>
  <c r="J896" i="5"/>
  <c r="H896" i="5" s="1"/>
  <c r="J897" i="5"/>
  <c r="H897" i="5" s="1"/>
  <c r="J898" i="5"/>
  <c r="H898" i="5" s="1"/>
  <c r="J899" i="5"/>
  <c r="H899" i="5" s="1"/>
  <c r="J900" i="5"/>
  <c r="H900" i="5" s="1"/>
  <c r="J901" i="5"/>
  <c r="H901" i="5" s="1"/>
  <c r="J902" i="5"/>
  <c r="H902" i="5" s="1"/>
  <c r="J903" i="5"/>
  <c r="H903" i="5" s="1"/>
  <c r="J904" i="5"/>
  <c r="H904" i="5" s="1"/>
  <c r="J905" i="5"/>
  <c r="H905" i="5" s="1"/>
  <c r="J906" i="5"/>
  <c r="H906" i="5" s="1"/>
  <c r="J907" i="5"/>
  <c r="H907" i="5" s="1"/>
  <c r="J908" i="5"/>
  <c r="H908" i="5" s="1"/>
  <c r="J909" i="5"/>
  <c r="H909" i="5" s="1"/>
  <c r="J910" i="5"/>
  <c r="H910" i="5" s="1"/>
  <c r="J911" i="5"/>
  <c r="H911" i="5" s="1"/>
  <c r="J912" i="5"/>
  <c r="H912" i="5" s="1"/>
  <c r="J913" i="5"/>
  <c r="H913" i="5" s="1"/>
  <c r="J914" i="5"/>
  <c r="H914" i="5" s="1"/>
  <c r="J915" i="5"/>
  <c r="H915" i="5" s="1"/>
  <c r="J916" i="5"/>
  <c r="H916" i="5" s="1"/>
  <c r="J917" i="5"/>
  <c r="H917" i="5" s="1"/>
  <c r="J918" i="5"/>
  <c r="H918" i="5" s="1"/>
  <c r="J919" i="5"/>
  <c r="H919" i="5" s="1"/>
  <c r="J920" i="5"/>
  <c r="H920" i="5" s="1"/>
  <c r="J921" i="5"/>
  <c r="H921" i="5" s="1"/>
  <c r="J922" i="5"/>
  <c r="H922" i="5" s="1"/>
  <c r="J923" i="5"/>
  <c r="H923" i="5" s="1"/>
  <c r="J924" i="5"/>
  <c r="H924" i="5" s="1"/>
  <c r="J925" i="5"/>
  <c r="H925" i="5" s="1"/>
  <c r="J926" i="5"/>
  <c r="H926" i="5" s="1"/>
  <c r="J927" i="5"/>
  <c r="H927" i="5" s="1"/>
  <c r="J928" i="5"/>
  <c r="H928" i="5" s="1"/>
  <c r="J929" i="5"/>
  <c r="H929" i="5" s="1"/>
  <c r="J930" i="5"/>
  <c r="H930" i="5" s="1"/>
  <c r="J931" i="5"/>
  <c r="H931" i="5" s="1"/>
  <c r="J932" i="5"/>
  <c r="H932" i="5" s="1"/>
  <c r="J933" i="5"/>
  <c r="H933" i="5" s="1"/>
  <c r="J934" i="5"/>
  <c r="H934" i="5" s="1"/>
  <c r="J935" i="5"/>
  <c r="H935" i="5" s="1"/>
  <c r="J936" i="5"/>
  <c r="H936" i="5" s="1"/>
  <c r="J937" i="5"/>
  <c r="H937" i="5" s="1"/>
  <c r="J938" i="5"/>
  <c r="H938" i="5" s="1"/>
  <c r="J939" i="5"/>
  <c r="H939" i="5" s="1"/>
  <c r="J940" i="5"/>
  <c r="H940" i="5" s="1"/>
  <c r="J941" i="5"/>
  <c r="H941" i="5" s="1"/>
  <c r="J942" i="5"/>
  <c r="H942" i="5" s="1"/>
  <c r="J943" i="5"/>
  <c r="H943" i="5" s="1"/>
  <c r="J944" i="5"/>
  <c r="H944" i="5" s="1"/>
  <c r="J945" i="5"/>
  <c r="H945" i="5" s="1"/>
  <c r="J946" i="5"/>
  <c r="H946" i="5" s="1"/>
  <c r="J947" i="5"/>
  <c r="H947" i="5" s="1"/>
  <c r="J948" i="5"/>
  <c r="H948" i="5" s="1"/>
  <c r="J949" i="5"/>
  <c r="H949" i="5" s="1"/>
  <c r="J950" i="5"/>
  <c r="H950" i="5" s="1"/>
  <c r="J951" i="5"/>
  <c r="H951" i="5" s="1"/>
  <c r="J952" i="5"/>
  <c r="H952" i="5" s="1"/>
  <c r="J953" i="5"/>
  <c r="H953" i="5" s="1"/>
  <c r="J954" i="5"/>
  <c r="H954" i="5" s="1"/>
  <c r="J955" i="5"/>
  <c r="H955" i="5" s="1"/>
  <c r="J956" i="5"/>
  <c r="H956" i="5" s="1"/>
  <c r="J957" i="5"/>
  <c r="H957" i="5" s="1"/>
  <c r="J958" i="5"/>
  <c r="H958" i="5" s="1"/>
  <c r="J959" i="5"/>
  <c r="H959" i="5" s="1"/>
  <c r="J960" i="5"/>
  <c r="H960" i="5" s="1"/>
  <c r="J961" i="5"/>
  <c r="H961" i="5" s="1"/>
  <c r="J962" i="5"/>
  <c r="H962" i="5" s="1"/>
  <c r="J963" i="5"/>
  <c r="H963" i="5" s="1"/>
  <c r="J964" i="5"/>
  <c r="H964" i="5" s="1"/>
  <c r="J965" i="5"/>
  <c r="H965" i="5" s="1"/>
  <c r="J966" i="5"/>
  <c r="H966" i="5" s="1"/>
  <c r="J967" i="5"/>
  <c r="H967" i="5" s="1"/>
  <c r="J968" i="5"/>
  <c r="H968" i="5" s="1"/>
  <c r="J969" i="5"/>
  <c r="H969" i="5" s="1"/>
  <c r="J970" i="5"/>
  <c r="H970" i="5" s="1"/>
  <c r="J971" i="5"/>
  <c r="H971" i="5" s="1"/>
  <c r="J972" i="5"/>
  <c r="H972" i="5" s="1"/>
  <c r="J973" i="5"/>
  <c r="H973" i="5" s="1"/>
  <c r="J974" i="5"/>
  <c r="H974" i="5" s="1"/>
  <c r="J975" i="5"/>
  <c r="H975" i="5" s="1"/>
  <c r="J976" i="5"/>
  <c r="H976" i="5" s="1"/>
  <c r="J977" i="5"/>
  <c r="H977" i="5" s="1"/>
  <c r="J978" i="5"/>
  <c r="H978" i="5" s="1"/>
  <c r="J979" i="5"/>
  <c r="H979" i="5" s="1"/>
  <c r="J980" i="5"/>
  <c r="H980" i="5" s="1"/>
  <c r="J981" i="5"/>
  <c r="H981" i="5" s="1"/>
  <c r="J982" i="5"/>
  <c r="H982" i="5" s="1"/>
  <c r="J983" i="5"/>
  <c r="H983" i="5" s="1"/>
  <c r="J984" i="5"/>
  <c r="H984" i="5" s="1"/>
  <c r="J985" i="5"/>
  <c r="H985" i="5" s="1"/>
  <c r="J986" i="5"/>
  <c r="H986" i="5" s="1"/>
  <c r="J987" i="5"/>
  <c r="H987" i="5" s="1"/>
  <c r="J988" i="5"/>
  <c r="H988" i="5" s="1"/>
  <c r="J989" i="5"/>
  <c r="H989" i="5" s="1"/>
  <c r="J990" i="5"/>
  <c r="H990" i="5" s="1"/>
  <c r="J991" i="5"/>
  <c r="H991" i="5" s="1"/>
  <c r="J992" i="5"/>
  <c r="H992" i="5" s="1"/>
  <c r="J993" i="5"/>
  <c r="H993" i="5" s="1"/>
  <c r="J994" i="5"/>
  <c r="H994" i="5" s="1"/>
  <c r="J995" i="5"/>
  <c r="H995" i="5" s="1"/>
  <c r="J996" i="5"/>
  <c r="H996" i="5" s="1"/>
  <c r="J997" i="5"/>
  <c r="H997" i="5" s="1"/>
  <c r="J998" i="5"/>
  <c r="H998" i="5" s="1"/>
  <c r="J999" i="5"/>
  <c r="H999" i="5" s="1"/>
  <c r="J1000" i="5"/>
  <c r="H1000" i="5" s="1"/>
  <c r="J1001" i="5"/>
  <c r="H1001" i="5" s="1"/>
  <c r="J1002" i="5"/>
  <c r="H1002" i="5" s="1"/>
  <c r="J1003" i="5"/>
  <c r="H1003" i="5" s="1"/>
  <c r="J1004" i="5"/>
  <c r="H1004" i="5" s="1"/>
  <c r="J1005" i="5"/>
  <c r="H1005" i="5" s="1"/>
  <c r="J1006" i="5"/>
  <c r="H1006" i="5" s="1"/>
  <c r="J1007" i="5"/>
  <c r="H1007" i="5" s="1"/>
  <c r="J1008" i="5"/>
  <c r="H1008" i="5" s="1"/>
  <c r="J1009" i="5"/>
  <c r="H1009" i="5" s="1"/>
  <c r="J1010" i="5"/>
  <c r="H1010" i="5" s="1"/>
  <c r="J1011" i="5"/>
  <c r="H1011" i="5" s="1"/>
  <c r="J1012" i="5"/>
  <c r="H1012" i="5" s="1"/>
  <c r="J1013" i="5"/>
  <c r="H1013" i="5" s="1"/>
  <c r="J1014" i="5"/>
  <c r="H1014" i="5" s="1"/>
  <c r="J1015" i="5"/>
  <c r="H1015" i="5" s="1"/>
  <c r="J1016" i="5"/>
  <c r="H1016" i="5" s="1"/>
  <c r="J1017" i="5"/>
  <c r="H1017" i="5" s="1"/>
  <c r="J1018" i="5"/>
  <c r="H1018" i="5" s="1"/>
  <c r="J1019" i="5"/>
  <c r="H1019" i="5" s="1"/>
  <c r="J1020" i="5"/>
  <c r="H1020" i="5" s="1"/>
  <c r="J1021" i="5"/>
  <c r="H1021" i="5" s="1"/>
  <c r="J1022" i="5"/>
  <c r="H1022" i="5" s="1"/>
  <c r="J1023" i="5"/>
  <c r="H1023" i="5" s="1"/>
  <c r="J1024" i="5"/>
  <c r="H1024" i="5" s="1"/>
  <c r="J1025" i="5"/>
  <c r="H1025" i="5" s="1"/>
  <c r="J1026" i="5"/>
  <c r="H1026" i="5" s="1"/>
  <c r="J1027" i="5"/>
  <c r="H1027" i="5" s="1"/>
  <c r="J1028" i="5"/>
  <c r="H1028" i="5" s="1"/>
  <c r="J1029" i="5"/>
  <c r="H1029" i="5" s="1"/>
  <c r="J1030" i="5"/>
  <c r="H1030" i="5" s="1"/>
  <c r="J1031" i="5"/>
  <c r="H1031" i="5" s="1"/>
  <c r="J1032" i="5"/>
  <c r="H1032" i="5" s="1"/>
  <c r="J1033" i="5"/>
  <c r="H1033" i="5" s="1"/>
  <c r="J1034" i="5"/>
  <c r="H1034" i="5" s="1"/>
  <c r="J1035" i="5"/>
  <c r="H1035" i="5" s="1"/>
  <c r="J1036" i="5"/>
  <c r="H1036" i="5" s="1"/>
  <c r="J1037" i="5"/>
  <c r="H1037" i="5" s="1"/>
  <c r="J1038" i="5"/>
  <c r="H1038" i="5" s="1"/>
  <c r="J1039" i="5"/>
  <c r="H1039" i="5" s="1"/>
  <c r="J1040" i="5"/>
  <c r="H1040" i="5" s="1"/>
  <c r="J1041" i="5"/>
  <c r="H1041" i="5" s="1"/>
  <c r="J1042" i="5"/>
  <c r="H1042" i="5" s="1"/>
  <c r="J1043" i="5"/>
  <c r="H1043" i="5" s="1"/>
  <c r="J1044" i="5"/>
  <c r="H1044" i="5" s="1"/>
  <c r="J1045" i="5"/>
  <c r="H1045" i="5" s="1"/>
  <c r="J1046" i="5"/>
  <c r="H1046" i="5" s="1"/>
  <c r="J1047" i="5"/>
  <c r="H1047" i="5" s="1"/>
  <c r="J1048" i="5"/>
  <c r="H1048" i="5" s="1"/>
  <c r="J1049" i="5"/>
  <c r="H1049" i="5" s="1"/>
  <c r="J1050" i="5"/>
  <c r="H1050" i="5" s="1"/>
  <c r="J1051" i="5"/>
  <c r="H1051" i="5" s="1"/>
  <c r="J1052" i="5"/>
  <c r="H1052" i="5" s="1"/>
  <c r="J1053" i="5"/>
  <c r="H1053" i="5" s="1"/>
  <c r="J1054" i="5"/>
  <c r="H1054" i="5" s="1"/>
  <c r="J1055" i="5"/>
  <c r="H1055" i="5" s="1"/>
  <c r="J1056" i="5"/>
  <c r="H1056" i="5" s="1"/>
  <c r="J1057" i="5"/>
  <c r="H1057" i="5" s="1"/>
  <c r="J1058" i="5"/>
  <c r="H1058" i="5" s="1"/>
  <c r="J1059" i="5"/>
  <c r="H1059" i="5" s="1"/>
  <c r="J1060" i="5"/>
  <c r="H1060" i="5" s="1"/>
  <c r="J1061" i="5"/>
  <c r="H1061" i="5" s="1"/>
  <c r="J1062" i="5"/>
  <c r="H1062" i="5" s="1"/>
  <c r="J1063" i="5"/>
  <c r="H1063" i="5" s="1"/>
  <c r="J1064" i="5"/>
  <c r="H1064" i="5" s="1"/>
  <c r="J1065" i="5"/>
  <c r="H1065" i="5" s="1"/>
  <c r="J1066" i="5"/>
  <c r="H1066" i="5" s="1"/>
  <c r="J1067" i="5"/>
  <c r="H1067" i="5" s="1"/>
  <c r="J1068" i="5"/>
  <c r="H1068" i="5" s="1"/>
  <c r="J1069" i="5"/>
  <c r="H1069" i="5" s="1"/>
  <c r="J1070" i="5"/>
  <c r="H1070" i="5" s="1"/>
  <c r="J1071" i="5"/>
  <c r="H1071" i="5" s="1"/>
  <c r="J1072" i="5"/>
  <c r="H1072" i="5" s="1"/>
  <c r="J1073" i="5"/>
  <c r="H1073" i="5" s="1"/>
  <c r="J1074" i="5"/>
  <c r="H1074" i="5" s="1"/>
  <c r="J1075" i="5"/>
  <c r="H1075" i="5" s="1"/>
  <c r="J1076" i="5"/>
  <c r="H1076" i="5" s="1"/>
  <c r="J1077" i="5"/>
  <c r="H1077" i="5" s="1"/>
  <c r="J1078" i="5"/>
  <c r="H1078" i="5" s="1"/>
  <c r="J1079" i="5"/>
  <c r="H1079" i="5" s="1"/>
  <c r="J1080" i="5"/>
  <c r="H1080" i="5" s="1"/>
  <c r="J1081" i="5"/>
  <c r="H1081" i="5" s="1"/>
  <c r="J1082" i="5"/>
  <c r="H1082" i="5" s="1"/>
  <c r="J1083" i="5"/>
  <c r="H1083" i="5" s="1"/>
  <c r="J1084" i="5"/>
  <c r="H1084" i="5" s="1"/>
  <c r="J1085" i="5"/>
  <c r="H1085" i="5" s="1"/>
  <c r="J1086" i="5"/>
  <c r="H1086" i="5" s="1"/>
  <c r="J1087" i="5"/>
  <c r="H1087" i="5" s="1"/>
  <c r="J1088" i="5"/>
  <c r="H1088" i="5" s="1"/>
  <c r="J1089" i="5"/>
  <c r="H1089" i="5" s="1"/>
  <c r="J1090" i="5"/>
  <c r="H1090" i="5" s="1"/>
  <c r="J1091" i="5"/>
  <c r="H1091" i="5" s="1"/>
  <c r="J1092" i="5"/>
  <c r="H1092" i="5" s="1"/>
  <c r="J1093" i="5"/>
  <c r="H1093" i="5" s="1"/>
  <c r="J1094" i="5"/>
  <c r="H1094" i="5" s="1"/>
  <c r="J1095" i="5"/>
  <c r="H1095" i="5" s="1"/>
  <c r="J1096" i="5"/>
  <c r="H1096" i="5" s="1"/>
  <c r="J1097" i="5"/>
  <c r="H1097" i="5" s="1"/>
  <c r="J1098" i="5"/>
  <c r="H1098" i="5" s="1"/>
  <c r="J1099" i="5"/>
  <c r="H1099" i="5" s="1"/>
  <c r="J1100" i="5"/>
  <c r="H1100" i="5" s="1"/>
  <c r="J1101" i="5"/>
  <c r="H1101" i="5" s="1"/>
  <c r="J1102" i="5"/>
  <c r="H1102" i="5" s="1"/>
  <c r="J1103" i="5"/>
  <c r="H1103" i="5" s="1"/>
  <c r="J1104" i="5"/>
  <c r="H1104" i="5" s="1"/>
  <c r="J1105" i="5"/>
  <c r="H1105" i="5" s="1"/>
  <c r="J1106" i="5"/>
  <c r="H1106" i="5" s="1"/>
  <c r="J1107" i="5"/>
  <c r="H1107" i="5" s="1"/>
  <c r="J1108" i="5"/>
  <c r="H1108" i="5" s="1"/>
  <c r="J1109" i="5"/>
  <c r="H1109" i="5" s="1"/>
  <c r="J1110" i="5"/>
  <c r="H1110" i="5" s="1"/>
  <c r="J1111" i="5"/>
  <c r="H1111" i="5" s="1"/>
  <c r="J1112" i="5"/>
  <c r="H1112" i="5" s="1"/>
  <c r="J1113" i="5"/>
  <c r="H1113" i="5" s="1"/>
  <c r="J1114" i="5"/>
  <c r="H1114" i="5" s="1"/>
  <c r="J1115" i="5"/>
  <c r="H1115" i="5" s="1"/>
  <c r="J1116" i="5"/>
  <c r="H1116" i="5" s="1"/>
  <c r="J1117" i="5"/>
  <c r="H1117" i="5" s="1"/>
  <c r="J1118" i="5"/>
  <c r="H1118" i="5" s="1"/>
  <c r="J1119" i="5"/>
  <c r="H1119" i="5" s="1"/>
  <c r="J1120" i="5"/>
  <c r="H1120" i="5" s="1"/>
  <c r="J1121" i="5"/>
  <c r="H1121" i="5" s="1"/>
  <c r="J1122" i="5"/>
  <c r="H1122" i="5" s="1"/>
  <c r="J1123" i="5"/>
  <c r="H1123" i="5" s="1"/>
  <c r="J1124" i="5"/>
  <c r="H1124" i="5" s="1"/>
  <c r="J1125" i="5"/>
  <c r="H1125" i="5" s="1"/>
  <c r="J1126" i="5"/>
  <c r="H1126" i="5" s="1"/>
  <c r="J1127" i="5"/>
  <c r="H1127" i="5" s="1"/>
  <c r="J1128" i="5"/>
  <c r="H1128" i="5" s="1"/>
  <c r="J1129" i="5"/>
  <c r="H1129" i="5" s="1"/>
  <c r="J1130" i="5"/>
  <c r="H1130" i="5" s="1"/>
  <c r="J1131" i="5"/>
  <c r="H1131" i="5" s="1"/>
  <c r="J1132" i="5"/>
  <c r="H1132" i="5" s="1"/>
  <c r="J1133" i="5"/>
  <c r="H1133" i="5" s="1"/>
  <c r="J1134" i="5"/>
  <c r="H1134" i="5" s="1"/>
  <c r="J1135" i="5"/>
  <c r="H1135" i="5" s="1"/>
  <c r="J1136" i="5"/>
  <c r="H1136" i="5" s="1"/>
  <c r="J1137" i="5"/>
  <c r="H1137" i="5" s="1"/>
  <c r="J1138" i="5"/>
  <c r="H1138" i="5" s="1"/>
  <c r="J1139" i="5"/>
  <c r="H1139" i="5" s="1"/>
  <c r="J1140" i="5"/>
  <c r="H1140" i="5" s="1"/>
  <c r="J1141" i="5"/>
  <c r="H1141" i="5" s="1"/>
  <c r="J1142" i="5"/>
  <c r="H1142" i="5" s="1"/>
  <c r="J1143" i="5"/>
  <c r="H1143" i="5" s="1"/>
  <c r="J1144" i="5"/>
  <c r="H1144" i="5" s="1"/>
  <c r="J1145" i="5"/>
  <c r="H1145" i="5" s="1"/>
  <c r="J1146" i="5"/>
  <c r="H1146" i="5" s="1"/>
  <c r="J1147" i="5"/>
  <c r="H1147" i="5" s="1"/>
  <c r="J1148" i="5"/>
  <c r="H1148" i="5" s="1"/>
  <c r="J1149" i="5"/>
  <c r="H1149" i="5" s="1"/>
  <c r="J1150" i="5"/>
  <c r="H1150" i="5" s="1"/>
  <c r="J1151" i="5"/>
  <c r="H1151" i="5" s="1"/>
  <c r="J1152" i="5"/>
  <c r="H1152" i="5" s="1"/>
  <c r="J1153" i="5"/>
  <c r="H1153" i="5" s="1"/>
  <c r="J1154" i="5"/>
  <c r="H1154" i="5" s="1"/>
  <c r="J1155" i="5"/>
  <c r="H1155" i="5" s="1"/>
  <c r="J1156" i="5"/>
  <c r="H1156" i="5" s="1"/>
  <c r="J1157" i="5"/>
  <c r="H1157" i="5" s="1"/>
  <c r="J1158" i="5"/>
  <c r="H1158" i="5" s="1"/>
  <c r="J1159" i="5"/>
  <c r="H1159" i="5" s="1"/>
  <c r="J1160" i="5"/>
  <c r="H1160" i="5" s="1"/>
  <c r="J1161" i="5"/>
  <c r="H1161" i="5" s="1"/>
  <c r="J1162" i="5"/>
  <c r="H1162" i="5" s="1"/>
  <c r="J1163" i="5"/>
  <c r="H1163" i="5" s="1"/>
  <c r="J1164" i="5"/>
  <c r="H1164" i="5" s="1"/>
  <c r="J1165" i="5"/>
  <c r="H1165" i="5" s="1"/>
  <c r="J1166" i="5"/>
  <c r="H1166" i="5" s="1"/>
  <c r="J1167" i="5"/>
  <c r="H1167" i="5" s="1"/>
  <c r="J1168" i="5"/>
  <c r="H1168" i="5" s="1"/>
  <c r="J1169" i="5"/>
  <c r="H1169" i="5" s="1"/>
  <c r="J1170" i="5"/>
  <c r="H1170" i="5" s="1"/>
  <c r="J1171" i="5"/>
  <c r="H1171" i="5" s="1"/>
  <c r="J1172" i="5"/>
  <c r="H1172" i="5" s="1"/>
  <c r="J1173" i="5"/>
  <c r="H1173" i="5" s="1"/>
  <c r="J1174" i="5"/>
  <c r="H1174" i="5" s="1"/>
  <c r="J1175" i="5"/>
  <c r="H1175" i="5" s="1"/>
  <c r="J1176" i="5"/>
  <c r="H1176" i="5" s="1"/>
  <c r="J1177" i="5"/>
  <c r="H1177" i="5" s="1"/>
  <c r="J1178" i="5"/>
  <c r="H1178" i="5" s="1"/>
  <c r="J1179" i="5"/>
  <c r="H1179" i="5" s="1"/>
  <c r="J1180" i="5"/>
  <c r="H1180" i="5" s="1"/>
  <c r="J1181" i="5"/>
  <c r="H1181" i="5" s="1"/>
  <c r="J1182" i="5"/>
  <c r="H1182" i="5" s="1"/>
  <c r="J1183" i="5"/>
  <c r="H1183" i="5" s="1"/>
  <c r="J1184" i="5"/>
  <c r="H1184" i="5" s="1"/>
  <c r="J1185" i="5"/>
  <c r="H1185" i="5" s="1"/>
  <c r="J1186" i="5"/>
  <c r="H1186" i="5" s="1"/>
  <c r="J1187" i="5"/>
  <c r="H1187" i="5" s="1"/>
  <c r="J1188" i="5"/>
  <c r="H1188" i="5" s="1"/>
  <c r="J1189" i="5"/>
  <c r="H1189" i="5" s="1"/>
  <c r="J1190" i="5"/>
  <c r="H1190" i="5" s="1"/>
  <c r="J1191" i="5"/>
  <c r="H1191" i="5" s="1"/>
  <c r="J1192" i="5"/>
  <c r="H1192" i="5" s="1"/>
  <c r="J1193" i="5"/>
  <c r="H1193" i="5" s="1"/>
  <c r="J1194" i="5"/>
  <c r="H1194" i="5" s="1"/>
  <c r="J1195" i="5"/>
  <c r="H1195" i="5" s="1"/>
  <c r="J1196" i="5"/>
  <c r="H1196" i="5" s="1"/>
  <c r="J1197" i="5"/>
  <c r="H1197" i="5" s="1"/>
  <c r="J1198" i="5"/>
  <c r="H1198" i="5" s="1"/>
  <c r="J1199" i="5"/>
  <c r="H1199" i="5" s="1"/>
  <c r="J1200" i="5"/>
  <c r="H1200" i="5" s="1"/>
  <c r="J1201" i="5"/>
  <c r="H1201" i="5" s="1"/>
  <c r="J1202" i="5"/>
  <c r="H1202" i="5" s="1"/>
  <c r="J1203" i="5"/>
  <c r="H1203" i="5" s="1"/>
  <c r="J1204" i="5"/>
  <c r="H1204" i="5" s="1"/>
  <c r="J1205" i="5"/>
  <c r="H1205" i="5" s="1"/>
  <c r="J1206" i="5"/>
  <c r="H1206" i="5" s="1"/>
  <c r="J1207" i="5"/>
  <c r="H1207" i="5" s="1"/>
  <c r="J1208" i="5"/>
  <c r="H1208" i="5" s="1"/>
  <c r="J1209" i="5"/>
  <c r="H1209" i="5" s="1"/>
  <c r="J1210" i="5"/>
  <c r="H1210" i="5" s="1"/>
  <c r="J1211" i="5"/>
  <c r="H1211" i="5" s="1"/>
  <c r="J1212" i="5"/>
  <c r="H1212" i="5" s="1"/>
  <c r="J1213" i="5"/>
  <c r="H1213" i="5" s="1"/>
  <c r="J1214" i="5"/>
  <c r="H1214" i="5" s="1"/>
  <c r="J1215" i="5"/>
  <c r="H1215" i="5" s="1"/>
  <c r="J1216" i="5"/>
  <c r="H1216" i="5" s="1"/>
  <c r="J1217" i="5"/>
  <c r="H1217" i="5" s="1"/>
  <c r="J1218" i="5"/>
  <c r="H1218" i="5" s="1"/>
  <c r="J1219" i="5"/>
  <c r="H1219" i="5" s="1"/>
  <c r="J1220" i="5"/>
  <c r="H1220" i="5" s="1"/>
  <c r="J1221" i="5"/>
  <c r="H1221" i="5" s="1"/>
  <c r="J1222" i="5"/>
  <c r="H1222" i="5" s="1"/>
  <c r="J1223" i="5"/>
  <c r="H1223" i="5" s="1"/>
  <c r="J1224" i="5"/>
  <c r="H1224" i="5" s="1"/>
  <c r="J1225" i="5"/>
  <c r="H1225" i="5" s="1"/>
  <c r="J1226" i="5"/>
  <c r="H1226" i="5" s="1"/>
  <c r="J1227" i="5"/>
  <c r="H1227" i="5" s="1"/>
  <c r="J1228" i="5"/>
  <c r="H1228" i="5" s="1"/>
  <c r="J1229" i="5"/>
  <c r="H1229" i="5" s="1"/>
  <c r="J1230" i="5"/>
  <c r="H1230" i="5" s="1"/>
  <c r="J1231" i="5"/>
  <c r="H1231" i="5" s="1"/>
  <c r="J1232" i="5"/>
  <c r="H1232" i="5" s="1"/>
  <c r="J1233" i="5"/>
  <c r="H1233" i="5" s="1"/>
  <c r="J1234" i="5"/>
  <c r="H1234" i="5" s="1"/>
  <c r="J1235" i="5"/>
  <c r="H1235" i="5" s="1"/>
  <c r="J1236" i="5"/>
  <c r="H1236" i="5" s="1"/>
  <c r="J1237" i="5"/>
  <c r="H1237" i="5" s="1"/>
  <c r="J1238" i="5"/>
  <c r="H1238" i="5" s="1"/>
  <c r="J1239" i="5"/>
  <c r="H1239" i="5" s="1"/>
  <c r="J1240" i="5"/>
  <c r="H1240" i="5" s="1"/>
  <c r="J1241" i="5"/>
  <c r="H1241" i="5" s="1"/>
  <c r="J1242" i="5"/>
  <c r="H1242" i="5" s="1"/>
  <c r="J1243" i="5"/>
  <c r="H1243" i="5" s="1"/>
  <c r="J1244" i="5"/>
  <c r="H1244" i="5" s="1"/>
  <c r="J1245" i="5"/>
  <c r="H1245" i="5" s="1"/>
  <c r="J1246" i="5"/>
  <c r="H1246" i="5" s="1"/>
  <c r="J1247" i="5"/>
  <c r="H1247" i="5" s="1"/>
  <c r="J1248" i="5"/>
  <c r="H1248" i="5" s="1"/>
  <c r="J1249" i="5"/>
  <c r="H1249" i="5" s="1"/>
  <c r="J1250" i="5"/>
  <c r="H1250" i="5" s="1"/>
  <c r="J1251" i="5"/>
  <c r="H1251" i="5" s="1"/>
  <c r="J1252" i="5"/>
  <c r="H1252" i="5" s="1"/>
  <c r="J1253" i="5"/>
  <c r="H1253" i="5" s="1"/>
  <c r="J1254" i="5"/>
  <c r="H1254" i="5" s="1"/>
  <c r="J1255" i="5"/>
  <c r="H1255" i="5" s="1"/>
  <c r="J1256" i="5"/>
  <c r="H1256" i="5" s="1"/>
  <c r="J1257" i="5"/>
  <c r="H1257" i="5" s="1"/>
  <c r="J1258" i="5"/>
  <c r="H1258" i="5" s="1"/>
  <c r="J1259" i="5"/>
  <c r="H1259" i="5" s="1"/>
  <c r="J1260" i="5"/>
  <c r="H1260" i="5" s="1"/>
  <c r="J1261" i="5"/>
  <c r="H1261" i="5" s="1"/>
  <c r="J1262" i="5"/>
  <c r="H1262" i="5" s="1"/>
  <c r="J1263" i="5"/>
  <c r="H1263" i="5" s="1"/>
  <c r="J1264" i="5"/>
  <c r="H1264" i="5" s="1"/>
  <c r="J1265" i="5"/>
  <c r="H1265" i="5" s="1"/>
  <c r="J1266" i="5"/>
  <c r="H1266" i="5" s="1"/>
  <c r="J1267" i="5"/>
  <c r="H1267" i="5" s="1"/>
  <c r="J1268" i="5"/>
  <c r="H1268" i="5" s="1"/>
  <c r="J1269" i="5"/>
  <c r="H1269" i="5" s="1"/>
  <c r="J1270" i="5"/>
  <c r="H1270" i="5" s="1"/>
  <c r="J1271" i="5"/>
  <c r="H1271" i="5" s="1"/>
  <c r="J1272" i="5"/>
  <c r="H1272" i="5" s="1"/>
  <c r="J1273" i="5"/>
  <c r="H1273" i="5" s="1"/>
  <c r="J1274" i="5"/>
  <c r="H1274" i="5" s="1"/>
  <c r="J1275" i="5"/>
  <c r="H1275" i="5" s="1"/>
  <c r="J1276" i="5"/>
  <c r="H1276" i="5" s="1"/>
  <c r="J1277" i="5"/>
  <c r="H1277" i="5" s="1"/>
  <c r="J1278" i="5"/>
  <c r="H1278" i="5" s="1"/>
  <c r="J1279" i="5"/>
  <c r="H1279" i="5" s="1"/>
  <c r="J1280" i="5"/>
  <c r="H1280" i="5" s="1"/>
  <c r="J1281" i="5"/>
  <c r="H1281" i="5" s="1"/>
  <c r="J1282" i="5"/>
  <c r="H1282" i="5" s="1"/>
  <c r="J1283" i="5"/>
  <c r="H1283" i="5" s="1"/>
  <c r="J1284" i="5"/>
  <c r="H1284" i="5" s="1"/>
  <c r="J1285" i="5"/>
  <c r="H1285" i="5" s="1"/>
  <c r="J1286" i="5"/>
  <c r="H1286" i="5" s="1"/>
  <c r="J1287" i="5"/>
  <c r="H1287" i="5" s="1"/>
  <c r="J1288" i="5"/>
  <c r="H1288" i="5" s="1"/>
  <c r="J1289" i="5"/>
  <c r="H1289" i="5" s="1"/>
  <c r="J1290" i="5"/>
  <c r="H1290" i="5" s="1"/>
  <c r="J1291" i="5"/>
  <c r="H1291" i="5" s="1"/>
  <c r="J1292" i="5"/>
  <c r="H1292" i="5" s="1"/>
  <c r="J1293" i="5"/>
  <c r="H1293" i="5" s="1"/>
  <c r="J1294" i="5"/>
  <c r="H1294" i="5" s="1"/>
  <c r="J1295" i="5"/>
  <c r="H1295" i="5" s="1"/>
  <c r="J1296" i="5"/>
  <c r="H1296" i="5" s="1"/>
  <c r="J1297" i="5"/>
  <c r="H1297" i="5" s="1"/>
  <c r="J1298" i="5"/>
  <c r="H1298" i="5" s="1"/>
  <c r="J1299" i="5"/>
  <c r="H1299" i="5" s="1"/>
  <c r="J1300" i="5"/>
  <c r="H1300" i="5" s="1"/>
  <c r="J1301" i="5"/>
  <c r="H1301" i="5" s="1"/>
  <c r="J1302" i="5"/>
  <c r="H1302" i="5" s="1"/>
  <c r="J1303" i="5"/>
  <c r="H1303" i="5" s="1"/>
  <c r="J1304" i="5"/>
  <c r="H1304" i="5" s="1"/>
  <c r="J1305" i="5"/>
  <c r="H1305" i="5" s="1"/>
  <c r="J1306" i="5"/>
  <c r="H1306" i="5" s="1"/>
  <c r="J1307" i="5"/>
  <c r="H1307" i="5" s="1"/>
  <c r="J1308" i="5"/>
  <c r="H1308" i="5" s="1"/>
  <c r="J1309" i="5"/>
  <c r="H1309" i="5" s="1"/>
  <c r="J1310" i="5"/>
  <c r="H1310" i="5" s="1"/>
  <c r="J1311" i="5"/>
  <c r="H1311" i="5" s="1"/>
  <c r="J1312" i="5"/>
  <c r="H1312" i="5" s="1"/>
  <c r="J1313" i="5"/>
  <c r="H1313" i="5" s="1"/>
  <c r="J1314" i="5"/>
  <c r="H1314" i="5" s="1"/>
  <c r="J1315" i="5"/>
  <c r="H1315" i="5" s="1"/>
  <c r="J1316" i="5"/>
  <c r="H1316" i="5" s="1"/>
  <c r="J1317" i="5"/>
  <c r="H1317" i="5" s="1"/>
  <c r="J1318" i="5"/>
  <c r="H1318" i="5" s="1"/>
  <c r="J1319" i="5"/>
  <c r="H1319" i="5" s="1"/>
  <c r="J1320" i="5"/>
  <c r="H1320" i="5" s="1"/>
  <c r="J1321" i="5"/>
  <c r="H1321" i="5" s="1"/>
  <c r="J1322" i="5"/>
  <c r="H1322" i="5" s="1"/>
  <c r="J1323" i="5"/>
  <c r="H1323" i="5" s="1"/>
  <c r="J1324" i="5"/>
  <c r="H1324" i="5" s="1"/>
  <c r="J1325" i="5"/>
  <c r="H1325" i="5" s="1"/>
  <c r="J1326" i="5"/>
  <c r="H1326" i="5" s="1"/>
  <c r="J1327" i="5"/>
  <c r="H1327" i="5" s="1"/>
  <c r="J1328" i="5"/>
  <c r="H1328" i="5" s="1"/>
  <c r="J1329" i="5"/>
  <c r="H1329" i="5" s="1"/>
  <c r="J1330" i="5"/>
  <c r="H1330" i="5" s="1"/>
  <c r="J1331" i="5"/>
  <c r="H1331" i="5" s="1"/>
  <c r="J1332" i="5"/>
  <c r="H1332" i="5" s="1"/>
  <c r="J1333" i="5"/>
  <c r="H1333" i="5" s="1"/>
  <c r="J1334" i="5"/>
  <c r="H1334" i="5" s="1"/>
  <c r="J1335" i="5"/>
  <c r="H1335" i="5" s="1"/>
  <c r="J1336" i="5"/>
  <c r="H1336" i="5" s="1"/>
  <c r="J1337" i="5"/>
  <c r="H1337" i="5" s="1"/>
  <c r="J1338" i="5"/>
  <c r="H1338" i="5" s="1"/>
  <c r="J1339" i="5"/>
  <c r="H1339" i="5" s="1"/>
  <c r="J1340" i="5"/>
  <c r="H1340" i="5" s="1"/>
  <c r="J1341" i="5"/>
  <c r="H1341" i="5" s="1"/>
  <c r="J1342" i="5"/>
  <c r="H1342" i="5" s="1"/>
  <c r="J1343" i="5"/>
  <c r="H1343" i="5" s="1"/>
  <c r="J1344" i="5"/>
  <c r="H1344" i="5" s="1"/>
  <c r="J1345" i="5"/>
  <c r="H1345" i="5" s="1"/>
  <c r="J1346" i="5"/>
  <c r="H1346" i="5" s="1"/>
  <c r="J1347" i="5"/>
  <c r="H1347" i="5" s="1"/>
  <c r="J1348" i="5"/>
  <c r="H1348" i="5" s="1"/>
  <c r="J1349" i="5"/>
  <c r="H1349" i="5" s="1"/>
  <c r="J1350" i="5"/>
  <c r="H1350" i="5" s="1"/>
  <c r="J1351" i="5"/>
  <c r="H1351" i="5" s="1"/>
  <c r="J1352" i="5"/>
  <c r="H1352" i="5" s="1"/>
  <c r="J1353" i="5"/>
  <c r="H1353" i="5" s="1"/>
  <c r="J1354" i="5"/>
  <c r="H1354" i="5" s="1"/>
  <c r="J1355" i="5"/>
  <c r="H1355" i="5" s="1"/>
  <c r="J1356" i="5"/>
  <c r="H1356" i="5" s="1"/>
  <c r="J1357" i="5"/>
  <c r="H1357" i="5" s="1"/>
  <c r="J1358" i="5"/>
  <c r="H1358" i="5" s="1"/>
  <c r="J1359" i="5"/>
  <c r="H1359" i="5" s="1"/>
  <c r="J1360" i="5"/>
  <c r="H1360" i="5" s="1"/>
  <c r="J1361" i="5"/>
  <c r="H1361" i="5" s="1"/>
  <c r="J1362" i="5"/>
  <c r="H1362" i="5" s="1"/>
  <c r="J1363" i="5"/>
  <c r="H1363" i="5" s="1"/>
  <c r="J1364" i="5"/>
  <c r="H1364" i="5" s="1"/>
  <c r="J1365" i="5"/>
  <c r="H1365" i="5" s="1"/>
  <c r="J1366" i="5"/>
  <c r="H1366" i="5" s="1"/>
  <c r="J1367" i="5"/>
  <c r="H1367" i="5" s="1"/>
  <c r="J1368" i="5"/>
  <c r="H1368" i="5" s="1"/>
  <c r="J1369" i="5"/>
  <c r="H1369" i="5" s="1"/>
  <c r="J1370" i="5"/>
  <c r="H1370" i="5" s="1"/>
  <c r="J1371" i="5"/>
  <c r="H1371" i="5" s="1"/>
  <c r="J1372" i="5"/>
  <c r="H1372" i="5" s="1"/>
  <c r="J1373" i="5"/>
  <c r="H1373" i="5" s="1"/>
  <c r="J1374" i="5"/>
  <c r="H1374" i="5" s="1"/>
  <c r="J1375" i="5"/>
  <c r="H1375" i="5" s="1"/>
  <c r="J1376" i="5"/>
  <c r="H1376" i="5" s="1"/>
  <c r="J1377" i="5"/>
  <c r="H1377" i="5" s="1"/>
  <c r="J1378" i="5"/>
  <c r="H1378" i="5" s="1"/>
  <c r="J1379" i="5"/>
  <c r="H1379" i="5" s="1"/>
  <c r="J1380" i="5"/>
  <c r="H1380" i="5" s="1"/>
  <c r="J1381" i="5"/>
  <c r="H1381" i="5" s="1"/>
  <c r="J1382" i="5"/>
  <c r="H1382" i="5" s="1"/>
  <c r="J1383" i="5"/>
  <c r="H1383" i="5" s="1"/>
  <c r="J1384" i="5"/>
  <c r="H1384" i="5" s="1"/>
  <c r="J1385" i="5"/>
  <c r="H1385" i="5" s="1"/>
  <c r="J1386" i="5"/>
  <c r="H1386" i="5" s="1"/>
  <c r="J1387" i="5"/>
  <c r="H1387" i="5" s="1"/>
  <c r="J1388" i="5"/>
  <c r="H1388" i="5" s="1"/>
  <c r="J1389" i="5"/>
  <c r="H1389" i="5" s="1"/>
  <c r="J1390" i="5"/>
  <c r="H1390" i="5" s="1"/>
  <c r="J1391" i="5"/>
  <c r="H1391" i="5" s="1"/>
  <c r="J1392" i="5"/>
  <c r="H1392" i="5" s="1"/>
  <c r="J1393" i="5"/>
  <c r="H1393" i="5" s="1"/>
  <c r="J1394" i="5"/>
  <c r="H1394" i="5" s="1"/>
  <c r="J1395" i="5"/>
  <c r="H1395" i="5" s="1"/>
  <c r="J1396" i="5"/>
  <c r="H1396" i="5" s="1"/>
  <c r="J1397" i="5"/>
  <c r="H1397" i="5" s="1"/>
  <c r="J1398" i="5"/>
  <c r="H1398" i="5" s="1"/>
  <c r="J1399" i="5"/>
  <c r="H1399" i="5" s="1"/>
  <c r="J1400" i="5"/>
  <c r="H1400" i="5" s="1"/>
  <c r="J1401" i="5"/>
  <c r="H1401" i="5" s="1"/>
  <c r="J1402" i="5"/>
  <c r="H1402" i="5" s="1"/>
  <c r="J1403" i="5"/>
  <c r="H1403" i="5" s="1"/>
  <c r="J1404" i="5"/>
  <c r="H1404" i="5" s="1"/>
  <c r="J1405" i="5"/>
  <c r="H1405" i="5" s="1"/>
  <c r="J1406" i="5"/>
  <c r="H1406" i="5" s="1"/>
  <c r="J1407" i="5"/>
  <c r="H1407" i="5" s="1"/>
  <c r="J1408" i="5"/>
  <c r="H1408" i="5" s="1"/>
  <c r="J1409" i="5"/>
  <c r="H1409" i="5" s="1"/>
  <c r="J1410" i="5"/>
  <c r="H1410" i="5" s="1"/>
  <c r="J1411" i="5"/>
  <c r="H1411" i="5" s="1"/>
  <c r="J1412" i="5"/>
  <c r="H1412" i="5" s="1"/>
  <c r="J1413" i="5"/>
  <c r="H1413" i="5" s="1"/>
  <c r="J1414" i="5"/>
  <c r="H1414" i="5" s="1"/>
  <c r="J1415" i="5"/>
  <c r="H1415" i="5" s="1"/>
  <c r="J1416" i="5"/>
  <c r="H1416" i="5" s="1"/>
  <c r="J1417" i="5"/>
  <c r="H1417" i="5" s="1"/>
  <c r="J1418" i="5"/>
  <c r="H1418" i="5" s="1"/>
  <c r="J1419" i="5"/>
  <c r="H1419" i="5" s="1"/>
  <c r="J1420" i="5"/>
  <c r="H1420" i="5" s="1"/>
  <c r="J1421" i="5"/>
  <c r="H1421" i="5" s="1"/>
  <c r="J1422" i="5"/>
  <c r="H1422" i="5" s="1"/>
  <c r="J1423" i="5"/>
  <c r="H1423" i="5" s="1"/>
  <c r="J1424" i="5"/>
  <c r="H1424" i="5" s="1"/>
  <c r="J1425" i="5"/>
  <c r="H1425" i="5" s="1"/>
  <c r="J1426" i="5"/>
  <c r="H1426" i="5" s="1"/>
  <c r="J1427" i="5"/>
  <c r="H1427" i="5" s="1"/>
  <c r="J1428" i="5"/>
  <c r="H1428" i="5" s="1"/>
  <c r="J1429" i="5"/>
  <c r="H1429" i="5" s="1"/>
  <c r="J1430" i="5"/>
  <c r="H1430" i="5" s="1"/>
  <c r="J1431" i="5"/>
  <c r="H1431" i="5" s="1"/>
  <c r="J1432" i="5"/>
  <c r="H1432" i="5" s="1"/>
  <c r="J1433" i="5"/>
  <c r="H1433" i="5" s="1"/>
  <c r="J1434" i="5"/>
  <c r="H1434" i="5" s="1"/>
  <c r="J1435" i="5"/>
  <c r="H1435" i="5" s="1"/>
  <c r="J1436" i="5"/>
  <c r="H1436" i="5" s="1"/>
  <c r="J1437" i="5"/>
  <c r="H1437" i="5" s="1"/>
  <c r="J1438" i="5"/>
  <c r="H1438" i="5" s="1"/>
  <c r="J1439" i="5"/>
  <c r="H1439" i="5" s="1"/>
  <c r="J1440" i="5"/>
  <c r="H1440" i="5" s="1"/>
  <c r="J1441" i="5"/>
  <c r="H1441" i="5" s="1"/>
  <c r="J1442" i="5"/>
  <c r="H1442" i="5" s="1"/>
  <c r="J1443" i="5"/>
  <c r="H1443" i="5" s="1"/>
  <c r="J1444" i="5"/>
  <c r="H1444" i="5" s="1"/>
  <c r="J1445" i="5"/>
  <c r="H1445" i="5" s="1"/>
  <c r="J1446" i="5"/>
  <c r="H1446" i="5" s="1"/>
  <c r="J1447" i="5"/>
  <c r="H1447" i="5" s="1"/>
  <c r="J1448" i="5"/>
  <c r="H1448" i="5" s="1"/>
  <c r="J1449" i="5"/>
  <c r="H1449" i="5" s="1"/>
  <c r="J1450" i="5"/>
  <c r="H1450" i="5" s="1"/>
  <c r="J1451" i="5"/>
  <c r="H1451" i="5" s="1"/>
  <c r="J1452" i="5"/>
  <c r="H1452" i="5" s="1"/>
  <c r="J1453" i="5"/>
  <c r="H1453" i="5" s="1"/>
  <c r="J1454" i="5"/>
  <c r="H1454" i="5" s="1"/>
  <c r="J1455" i="5"/>
  <c r="H1455" i="5" s="1"/>
  <c r="J1456" i="5"/>
  <c r="H1456" i="5" s="1"/>
  <c r="J1457" i="5"/>
  <c r="H1457" i="5" s="1"/>
  <c r="J1458" i="5"/>
  <c r="H1458" i="5" s="1"/>
  <c r="J1459" i="5"/>
  <c r="H1459" i="5" s="1"/>
  <c r="J1460" i="5"/>
  <c r="H1460" i="5" s="1"/>
  <c r="J1461" i="5"/>
  <c r="H1461" i="5" s="1"/>
  <c r="J1462" i="5"/>
  <c r="H1462" i="5" s="1"/>
  <c r="J1463" i="5"/>
  <c r="H1463" i="5" s="1"/>
  <c r="J1464" i="5"/>
  <c r="H1464" i="5" s="1"/>
  <c r="J1465" i="5"/>
  <c r="H1465" i="5" s="1"/>
  <c r="J1466" i="5"/>
  <c r="H1466" i="5" s="1"/>
  <c r="J1467" i="5"/>
  <c r="H1467" i="5" s="1"/>
  <c r="J1468" i="5"/>
  <c r="H1468" i="5" s="1"/>
  <c r="J1469" i="5"/>
  <c r="H1469" i="5" s="1"/>
  <c r="J1470" i="5"/>
  <c r="H1470" i="5" s="1"/>
  <c r="J1471" i="5"/>
  <c r="H1471" i="5" s="1"/>
  <c r="J1472" i="5"/>
  <c r="H1472" i="5" s="1"/>
  <c r="J1473" i="5"/>
  <c r="H1473" i="5" s="1"/>
  <c r="J1474" i="5"/>
  <c r="H1474" i="5" s="1"/>
  <c r="J1475" i="5"/>
  <c r="H1475" i="5" s="1"/>
  <c r="J1476" i="5"/>
  <c r="H1476" i="5" s="1"/>
  <c r="J1477" i="5"/>
  <c r="H1477" i="5" s="1"/>
  <c r="J1478" i="5"/>
  <c r="H1478" i="5" s="1"/>
  <c r="J1479" i="5"/>
  <c r="H1479" i="5" s="1"/>
  <c r="J1480" i="5"/>
  <c r="H1480" i="5" s="1"/>
  <c r="J1481" i="5"/>
  <c r="H1481" i="5" s="1"/>
  <c r="J1482" i="5"/>
  <c r="H1482" i="5" s="1"/>
  <c r="J1483" i="5"/>
  <c r="H1483" i="5" s="1"/>
  <c r="J1484" i="5"/>
  <c r="H1484" i="5" s="1"/>
  <c r="J1485" i="5"/>
  <c r="H1485" i="5" s="1"/>
  <c r="J1486" i="5"/>
  <c r="H1486" i="5" s="1"/>
  <c r="J1487" i="5"/>
  <c r="H1487" i="5" s="1"/>
  <c r="J1488" i="5"/>
  <c r="H1488" i="5" s="1"/>
  <c r="J1489" i="5"/>
  <c r="H1489" i="5" s="1"/>
  <c r="J1490" i="5"/>
  <c r="H1490" i="5" s="1"/>
  <c r="J1491" i="5"/>
  <c r="H1491" i="5" s="1"/>
  <c r="J1492" i="5"/>
  <c r="H1492" i="5" s="1"/>
  <c r="J1493" i="5"/>
  <c r="H1493" i="5" s="1"/>
  <c r="J1494" i="5"/>
  <c r="H1494" i="5" s="1"/>
  <c r="J1495" i="5"/>
  <c r="H1495" i="5" s="1"/>
  <c r="J1496" i="5"/>
  <c r="H1496" i="5" s="1"/>
  <c r="J1497" i="5"/>
  <c r="H1497" i="5" s="1"/>
  <c r="J1498" i="5"/>
  <c r="H1498" i="5" s="1"/>
  <c r="J1499" i="5"/>
  <c r="H1499" i="5" s="1"/>
  <c r="J1500" i="5"/>
  <c r="H1500" i="5" s="1"/>
  <c r="J1501" i="5"/>
  <c r="H1501" i="5" s="1"/>
  <c r="J1502" i="5"/>
  <c r="H1502" i="5" s="1"/>
  <c r="J1503" i="5"/>
  <c r="H1503" i="5" s="1"/>
  <c r="J1504" i="5"/>
  <c r="H1504" i="5" s="1"/>
  <c r="J1505" i="5"/>
  <c r="H1505" i="5" s="1"/>
  <c r="J1506" i="5"/>
  <c r="H1506" i="5" s="1"/>
  <c r="J1507" i="5"/>
  <c r="H1507" i="5" s="1"/>
  <c r="J1508" i="5"/>
  <c r="H1508" i="5" s="1"/>
  <c r="J1509" i="5"/>
  <c r="H1509" i="5" s="1"/>
  <c r="J1510" i="5"/>
  <c r="H1510" i="5" s="1"/>
  <c r="J1511" i="5"/>
  <c r="H1511" i="5" s="1"/>
  <c r="J1512" i="5"/>
  <c r="H1512" i="5" s="1"/>
  <c r="J1513" i="5"/>
  <c r="H1513" i="5" s="1"/>
  <c r="J1514" i="5"/>
  <c r="H1514" i="5" s="1"/>
  <c r="J1515" i="5"/>
  <c r="H1515" i="5" s="1"/>
  <c r="J1516" i="5"/>
  <c r="H1516" i="5" s="1"/>
  <c r="J1517" i="5"/>
  <c r="H1517" i="5" s="1"/>
  <c r="J1518" i="5"/>
  <c r="H1518" i="5" s="1"/>
  <c r="J1519" i="5"/>
  <c r="H1519" i="5" s="1"/>
  <c r="J1520" i="5"/>
  <c r="H1520" i="5" s="1"/>
  <c r="J1521" i="5"/>
  <c r="H1521" i="5" s="1"/>
  <c r="J1522" i="5"/>
  <c r="H1522" i="5" s="1"/>
  <c r="J1523" i="5"/>
  <c r="H1523" i="5" s="1"/>
  <c r="J1524" i="5"/>
  <c r="H1524" i="5" s="1"/>
  <c r="J1525" i="5"/>
  <c r="H1525" i="5" s="1"/>
  <c r="J1526" i="5"/>
  <c r="H1526" i="5" s="1"/>
  <c r="J1527" i="5"/>
  <c r="H1527" i="5" s="1"/>
  <c r="J1528" i="5"/>
  <c r="H1528" i="5" s="1"/>
  <c r="J1529" i="5"/>
  <c r="H1529" i="5" s="1"/>
  <c r="J1530" i="5"/>
  <c r="H1530" i="5" s="1"/>
  <c r="J1531" i="5"/>
  <c r="H1531" i="5" s="1"/>
  <c r="J1532" i="5"/>
  <c r="H1532" i="5" s="1"/>
  <c r="J1533" i="5"/>
  <c r="H1533" i="5" s="1"/>
  <c r="J1534" i="5"/>
  <c r="H1534" i="5" s="1"/>
  <c r="J1535" i="5"/>
  <c r="H1535" i="5" s="1"/>
  <c r="J1536" i="5"/>
  <c r="H1536" i="5" s="1"/>
  <c r="J1537" i="5"/>
  <c r="H1537" i="5" s="1"/>
  <c r="J1538" i="5"/>
  <c r="H1538" i="5" s="1"/>
  <c r="J1539" i="5"/>
  <c r="H1539" i="5" s="1"/>
  <c r="J1540" i="5"/>
  <c r="H1540" i="5" s="1"/>
  <c r="J1541" i="5"/>
  <c r="H1541" i="5" s="1"/>
  <c r="J1542" i="5"/>
  <c r="H1542" i="5" s="1"/>
  <c r="J1543" i="5"/>
  <c r="H1543" i="5" s="1"/>
  <c r="J1544" i="5"/>
  <c r="H1544" i="5" s="1"/>
  <c r="J1545" i="5"/>
  <c r="H1545" i="5" s="1"/>
  <c r="J1546" i="5"/>
  <c r="H1546" i="5" s="1"/>
  <c r="J1547" i="5"/>
  <c r="H1547" i="5" s="1"/>
  <c r="J1548" i="5"/>
  <c r="H1548" i="5" s="1"/>
  <c r="J1549" i="5"/>
  <c r="H1549" i="5" s="1"/>
  <c r="J1550" i="5"/>
  <c r="H1550" i="5" s="1"/>
  <c r="J1551" i="5"/>
  <c r="H1551" i="5" s="1"/>
  <c r="J1552" i="5"/>
  <c r="H1552" i="5" s="1"/>
  <c r="J1553" i="5"/>
  <c r="H1553" i="5" s="1"/>
  <c r="J1554" i="5"/>
  <c r="H1554" i="5" s="1"/>
  <c r="J1555" i="5"/>
  <c r="H1555" i="5" s="1"/>
  <c r="J1556" i="5"/>
  <c r="H1556" i="5" s="1"/>
  <c r="J1557" i="5"/>
  <c r="H1557" i="5" s="1"/>
  <c r="J1558" i="5"/>
  <c r="H1558" i="5" s="1"/>
  <c r="J1559" i="5"/>
  <c r="H1559" i="5" s="1"/>
  <c r="J1560" i="5"/>
  <c r="H1560" i="5" s="1"/>
  <c r="J1561" i="5"/>
  <c r="H1561" i="5" s="1"/>
  <c r="J1562" i="5"/>
  <c r="H1562" i="5" s="1"/>
  <c r="J1563" i="5"/>
  <c r="H1563" i="5" s="1"/>
  <c r="J1564" i="5"/>
  <c r="H1564" i="5" s="1"/>
  <c r="J1565" i="5"/>
  <c r="H1565" i="5" s="1"/>
  <c r="J1566" i="5"/>
  <c r="H1566" i="5" s="1"/>
  <c r="J1567" i="5"/>
  <c r="H1567" i="5" s="1"/>
  <c r="J1568" i="5"/>
  <c r="H1568" i="5" s="1"/>
  <c r="J1569" i="5"/>
  <c r="H1569" i="5" s="1"/>
  <c r="J1570" i="5"/>
  <c r="H1570" i="5" s="1"/>
  <c r="J1571" i="5"/>
  <c r="H1571" i="5" s="1"/>
  <c r="J1572" i="5"/>
  <c r="H1572" i="5" s="1"/>
  <c r="J1573" i="5"/>
  <c r="H1573" i="5" s="1"/>
  <c r="J1574" i="5"/>
  <c r="H1574" i="5" s="1"/>
  <c r="J1575" i="5"/>
  <c r="H1575" i="5" s="1"/>
  <c r="J1576" i="5"/>
  <c r="H1576" i="5" s="1"/>
  <c r="J1577" i="5"/>
  <c r="H1577" i="5" s="1"/>
  <c r="J1578" i="5"/>
  <c r="H1578" i="5" s="1"/>
  <c r="J1579" i="5"/>
  <c r="H1579" i="5" s="1"/>
  <c r="J1580" i="5"/>
  <c r="H1580" i="5" s="1"/>
  <c r="J1581" i="5"/>
  <c r="H1581" i="5" s="1"/>
  <c r="J1582" i="5"/>
  <c r="H1582" i="5" s="1"/>
  <c r="J1583" i="5"/>
  <c r="H1583" i="5" s="1"/>
  <c r="J1584" i="5"/>
  <c r="H1584" i="5" s="1"/>
  <c r="J1585" i="5"/>
  <c r="H1585" i="5" s="1"/>
  <c r="J1586" i="5"/>
  <c r="H1586" i="5" s="1"/>
  <c r="J1587" i="5"/>
  <c r="H1587" i="5" s="1"/>
  <c r="J1588" i="5"/>
  <c r="H1588" i="5" s="1"/>
  <c r="J1589" i="5"/>
  <c r="H1589" i="5" s="1"/>
  <c r="J1590" i="5"/>
  <c r="H1590" i="5" s="1"/>
  <c r="J1591" i="5"/>
  <c r="H1591" i="5" s="1"/>
  <c r="J1592" i="5"/>
  <c r="H1592" i="5" s="1"/>
  <c r="J1593" i="5"/>
  <c r="H1593" i="5" s="1"/>
  <c r="J1594" i="5"/>
  <c r="H1594" i="5" s="1"/>
  <c r="J1595" i="5"/>
  <c r="H1595" i="5" s="1"/>
  <c r="J1596" i="5"/>
  <c r="H1596" i="5" s="1"/>
  <c r="J1597" i="5"/>
  <c r="H1597" i="5" s="1"/>
  <c r="J1598" i="5"/>
  <c r="H1598" i="5" s="1"/>
  <c r="J1599" i="5"/>
  <c r="H1599" i="5" s="1"/>
  <c r="J1600" i="5"/>
  <c r="H1600" i="5" s="1"/>
  <c r="J1601" i="5"/>
  <c r="H1601" i="5" s="1"/>
  <c r="J1602" i="5"/>
  <c r="H1602" i="5" s="1"/>
  <c r="J1603" i="5"/>
  <c r="H1603" i="5" s="1"/>
  <c r="J1604" i="5"/>
  <c r="H1604" i="5" s="1"/>
  <c r="J1605" i="5"/>
  <c r="H1605" i="5" s="1"/>
  <c r="J1606" i="5"/>
  <c r="H1606" i="5" s="1"/>
  <c r="J1607" i="5"/>
  <c r="H1607" i="5" s="1"/>
  <c r="J1608" i="5"/>
  <c r="H1608" i="5" s="1"/>
  <c r="J1609" i="5"/>
  <c r="H1609" i="5" s="1"/>
  <c r="J1610" i="5"/>
  <c r="H1610" i="5" s="1"/>
  <c r="J1611" i="5"/>
  <c r="H1611" i="5" s="1"/>
  <c r="J1612" i="5"/>
  <c r="H1612" i="5" s="1"/>
  <c r="J1613" i="5"/>
  <c r="H1613" i="5" s="1"/>
  <c r="J1614" i="5"/>
  <c r="H1614" i="5" s="1"/>
  <c r="J1615" i="5"/>
  <c r="H1615" i="5" s="1"/>
  <c r="J1616" i="5"/>
  <c r="H1616" i="5" s="1"/>
  <c r="J1617" i="5"/>
  <c r="H1617" i="5" s="1"/>
  <c r="J1618" i="5"/>
  <c r="H1618" i="5" s="1"/>
  <c r="J1619" i="5"/>
  <c r="H1619" i="5" s="1"/>
  <c r="J1620" i="5"/>
  <c r="H1620" i="5" s="1"/>
  <c r="J1621" i="5"/>
  <c r="H1621" i="5" s="1"/>
  <c r="J1622" i="5"/>
  <c r="H1622" i="5" s="1"/>
  <c r="J1623" i="5"/>
  <c r="H1623" i="5" s="1"/>
  <c r="J1624" i="5"/>
  <c r="H1624" i="5" s="1"/>
  <c r="J1625" i="5"/>
  <c r="H1625" i="5" s="1"/>
  <c r="J1626" i="5"/>
  <c r="H1626" i="5" s="1"/>
  <c r="J1627" i="5"/>
  <c r="H1627" i="5" s="1"/>
  <c r="J1628" i="5"/>
  <c r="H1628" i="5" s="1"/>
  <c r="J1629" i="5"/>
  <c r="H1629" i="5" s="1"/>
  <c r="J1630" i="5"/>
  <c r="H1630" i="5" s="1"/>
  <c r="J1631" i="5"/>
  <c r="H1631" i="5" s="1"/>
  <c r="J1632" i="5"/>
  <c r="H1632" i="5" s="1"/>
  <c r="J1633" i="5"/>
  <c r="H1633" i="5" s="1"/>
  <c r="J1634" i="5"/>
  <c r="H1634" i="5" s="1"/>
  <c r="J1635" i="5"/>
  <c r="H1635" i="5" s="1"/>
  <c r="J1636" i="5"/>
  <c r="H1636" i="5" s="1"/>
  <c r="J1637" i="5"/>
  <c r="H1637" i="5" s="1"/>
  <c r="J1638" i="5"/>
  <c r="H1638" i="5" s="1"/>
  <c r="J1639" i="5"/>
  <c r="H1639" i="5" s="1"/>
  <c r="J1640" i="5"/>
  <c r="H1640" i="5" s="1"/>
  <c r="J1641" i="5"/>
  <c r="H1641" i="5" s="1"/>
  <c r="J1642" i="5"/>
  <c r="H1642" i="5" s="1"/>
  <c r="J1643" i="5"/>
  <c r="H1643" i="5" s="1"/>
  <c r="J1644" i="5"/>
  <c r="H1644" i="5" s="1"/>
  <c r="J1645" i="5"/>
  <c r="H1645" i="5" s="1"/>
  <c r="J1646" i="5"/>
  <c r="H1646" i="5" s="1"/>
  <c r="J1647" i="5"/>
  <c r="H1647" i="5" s="1"/>
  <c r="J1648" i="5"/>
  <c r="H1648" i="5" s="1"/>
  <c r="J1649" i="5"/>
  <c r="H1649" i="5" s="1"/>
  <c r="J1650" i="5"/>
  <c r="H1650" i="5" s="1"/>
  <c r="J1651" i="5"/>
  <c r="H1651" i="5" s="1"/>
  <c r="J1652" i="5"/>
  <c r="H1652" i="5" s="1"/>
  <c r="J1653" i="5"/>
  <c r="H1653" i="5" s="1"/>
  <c r="J1654" i="5"/>
  <c r="H1654" i="5" s="1"/>
  <c r="J1655" i="5"/>
  <c r="H1655" i="5" s="1"/>
  <c r="J1656" i="5"/>
  <c r="H1656" i="5" s="1"/>
  <c r="J1657" i="5"/>
  <c r="H1657" i="5" s="1"/>
  <c r="J1658" i="5"/>
  <c r="H1658" i="5" s="1"/>
  <c r="J1659" i="5"/>
  <c r="H1659" i="5" s="1"/>
  <c r="J1660" i="5"/>
  <c r="H1660" i="5" s="1"/>
  <c r="J1661" i="5"/>
  <c r="H1661" i="5" s="1"/>
  <c r="J1662" i="5"/>
  <c r="H1662" i="5" s="1"/>
  <c r="J1663" i="5"/>
  <c r="H1663" i="5" s="1"/>
  <c r="J1664" i="5"/>
  <c r="H1664" i="5" s="1"/>
  <c r="J1665" i="5"/>
  <c r="H1665" i="5" s="1"/>
  <c r="J1666" i="5"/>
  <c r="H1666" i="5" s="1"/>
  <c r="J1667" i="5"/>
  <c r="H1667" i="5" s="1"/>
  <c r="J1668" i="5"/>
  <c r="H1668" i="5" s="1"/>
  <c r="J1669" i="5"/>
  <c r="H1669" i="5" s="1"/>
  <c r="J1670" i="5"/>
  <c r="H1670" i="5" s="1"/>
  <c r="J1671" i="5"/>
  <c r="H1671" i="5" s="1"/>
  <c r="J1672" i="5"/>
  <c r="H1672" i="5" s="1"/>
  <c r="J1673" i="5"/>
  <c r="H1673" i="5" s="1"/>
  <c r="J1674" i="5"/>
  <c r="H1674" i="5" s="1"/>
  <c r="J1675" i="5"/>
  <c r="H1675" i="5" s="1"/>
  <c r="J1676" i="5"/>
  <c r="H1676" i="5" s="1"/>
  <c r="J1677" i="5"/>
  <c r="H1677" i="5" s="1"/>
  <c r="J1678" i="5"/>
  <c r="H1678" i="5" s="1"/>
  <c r="J1679" i="5"/>
  <c r="H1679" i="5" s="1"/>
  <c r="J1680" i="5"/>
  <c r="H1680" i="5" s="1"/>
  <c r="J1681" i="5"/>
  <c r="H1681" i="5" s="1"/>
  <c r="J1682" i="5"/>
  <c r="H1682" i="5" s="1"/>
  <c r="J1683" i="5"/>
  <c r="H1683" i="5" s="1"/>
  <c r="J1684" i="5"/>
  <c r="H1684" i="5" s="1"/>
  <c r="J1685" i="5"/>
  <c r="H1685" i="5" s="1"/>
  <c r="J1686" i="5"/>
  <c r="H1686" i="5" s="1"/>
  <c r="J1687" i="5"/>
  <c r="H1687" i="5" s="1"/>
  <c r="J1688" i="5"/>
  <c r="H1688" i="5" s="1"/>
  <c r="J1689" i="5"/>
  <c r="H1689" i="5" s="1"/>
  <c r="J1690" i="5"/>
  <c r="H1690" i="5" s="1"/>
  <c r="J1691" i="5"/>
  <c r="H1691" i="5" s="1"/>
  <c r="J1692" i="5"/>
  <c r="H1692" i="5" s="1"/>
  <c r="J1693" i="5"/>
  <c r="H1693" i="5" s="1"/>
  <c r="J1694" i="5"/>
  <c r="H1694" i="5" s="1"/>
  <c r="J1695" i="5"/>
  <c r="H1695" i="5" s="1"/>
  <c r="J1696" i="5"/>
  <c r="H1696" i="5" s="1"/>
  <c r="J1697" i="5"/>
  <c r="H1697" i="5" s="1"/>
  <c r="J1698" i="5"/>
  <c r="H1698" i="5" s="1"/>
  <c r="J1699" i="5"/>
  <c r="H1699" i="5" s="1"/>
  <c r="J1700" i="5"/>
  <c r="H1700" i="5" s="1"/>
  <c r="J1701" i="5"/>
  <c r="H1701" i="5" s="1"/>
  <c r="J1702" i="5"/>
  <c r="H1702" i="5" s="1"/>
  <c r="J1703" i="5"/>
  <c r="H1703" i="5" s="1"/>
  <c r="J1704" i="5"/>
  <c r="H1704" i="5" s="1"/>
  <c r="J1705" i="5"/>
  <c r="H1705" i="5" s="1"/>
  <c r="J1706" i="5"/>
  <c r="H1706" i="5" s="1"/>
  <c r="J1707" i="5"/>
  <c r="H1707" i="5" s="1"/>
  <c r="J1708" i="5"/>
  <c r="H1708" i="5" s="1"/>
  <c r="J1709" i="5"/>
  <c r="H1709" i="5" s="1"/>
  <c r="J1710" i="5"/>
  <c r="H1710" i="5" s="1"/>
  <c r="J1711" i="5"/>
  <c r="H1711" i="5" s="1"/>
  <c r="J1712" i="5"/>
  <c r="H1712" i="5" s="1"/>
  <c r="J1713" i="5"/>
  <c r="H1713" i="5" s="1"/>
  <c r="J1714" i="5"/>
  <c r="H1714" i="5" s="1"/>
  <c r="J1715" i="5"/>
  <c r="H1715" i="5" s="1"/>
  <c r="J1716" i="5"/>
  <c r="H1716" i="5" s="1"/>
  <c r="J1717" i="5"/>
  <c r="H1717" i="5" s="1"/>
  <c r="J1718" i="5"/>
  <c r="H1718" i="5" s="1"/>
  <c r="J1719" i="5"/>
  <c r="H1719" i="5" s="1"/>
  <c r="J1720" i="5"/>
  <c r="H1720" i="5" s="1"/>
  <c r="J1721" i="5"/>
  <c r="H1721" i="5" s="1"/>
  <c r="J1722" i="5"/>
  <c r="H1722" i="5" s="1"/>
  <c r="J1723" i="5"/>
  <c r="H1723" i="5" s="1"/>
  <c r="J1724" i="5"/>
  <c r="H1724" i="5" s="1"/>
  <c r="J1725" i="5"/>
  <c r="H1725" i="5" s="1"/>
  <c r="J1726" i="5"/>
  <c r="H1726" i="5" s="1"/>
  <c r="J1727" i="5"/>
  <c r="H1727" i="5" s="1"/>
  <c r="J1728" i="5"/>
  <c r="H1728" i="5" s="1"/>
  <c r="J1729" i="5"/>
  <c r="H1729" i="5" s="1"/>
  <c r="J1730" i="5"/>
  <c r="H1730" i="5" s="1"/>
  <c r="J1731" i="5"/>
  <c r="H1731" i="5" s="1"/>
  <c r="J1732" i="5"/>
  <c r="H1732" i="5" s="1"/>
  <c r="J1733" i="5"/>
  <c r="H1733" i="5" s="1"/>
  <c r="J1734" i="5"/>
  <c r="H1734" i="5" s="1"/>
  <c r="J1735" i="5"/>
  <c r="H1735" i="5" s="1"/>
  <c r="J1736" i="5"/>
  <c r="H1736" i="5" s="1"/>
  <c r="J1737" i="5"/>
  <c r="H1737" i="5" s="1"/>
  <c r="J1738" i="5"/>
  <c r="H1738" i="5" s="1"/>
  <c r="J1739" i="5"/>
  <c r="H1739" i="5" s="1"/>
  <c r="J1740" i="5"/>
  <c r="H1740" i="5" s="1"/>
  <c r="J1741" i="5"/>
  <c r="H1741" i="5" s="1"/>
  <c r="J1742" i="5"/>
  <c r="H1742" i="5" s="1"/>
  <c r="J1743" i="5"/>
  <c r="H1743" i="5" s="1"/>
  <c r="J1744" i="5"/>
  <c r="H1744" i="5" s="1"/>
  <c r="J1745" i="5"/>
  <c r="H1745" i="5" s="1"/>
  <c r="J1746" i="5"/>
  <c r="H1746" i="5" s="1"/>
  <c r="J1747" i="5"/>
  <c r="H1747" i="5" s="1"/>
  <c r="J1748" i="5"/>
  <c r="H1748" i="5" s="1"/>
  <c r="J1749" i="5"/>
  <c r="H1749" i="5" s="1"/>
  <c r="J1750" i="5"/>
  <c r="H1750" i="5" s="1"/>
  <c r="J1751" i="5"/>
  <c r="H1751" i="5" s="1"/>
  <c r="J1752" i="5"/>
  <c r="H1752" i="5" s="1"/>
  <c r="J1753" i="5"/>
  <c r="H1753" i="5" s="1"/>
  <c r="J1754" i="5"/>
  <c r="H1754" i="5" s="1"/>
  <c r="J1755" i="5"/>
  <c r="H1755" i="5" s="1"/>
  <c r="J1756" i="5"/>
  <c r="H1756" i="5" s="1"/>
  <c r="J1757" i="5"/>
  <c r="H1757" i="5" s="1"/>
  <c r="J1758" i="5"/>
  <c r="H1758" i="5" s="1"/>
  <c r="J1759" i="5"/>
  <c r="H1759" i="5" s="1"/>
  <c r="J1760" i="5"/>
  <c r="H1760" i="5" s="1"/>
  <c r="J1761" i="5"/>
  <c r="H1761" i="5" s="1"/>
  <c r="J1762" i="5"/>
  <c r="H1762" i="5" s="1"/>
  <c r="J1763" i="5"/>
  <c r="H1763" i="5" s="1"/>
  <c r="J1764" i="5"/>
  <c r="H1764" i="5" s="1"/>
  <c r="J1765" i="5"/>
  <c r="H1765" i="5" s="1"/>
  <c r="J1766" i="5"/>
  <c r="H1766" i="5" s="1"/>
  <c r="J1767" i="5"/>
  <c r="H1767" i="5" s="1"/>
  <c r="J1768" i="5"/>
  <c r="H1768" i="5" s="1"/>
  <c r="J1769" i="5"/>
  <c r="H1769" i="5" s="1"/>
  <c r="J1770" i="5"/>
  <c r="H1770" i="5" s="1"/>
  <c r="J1771" i="5"/>
  <c r="H1771" i="5" s="1"/>
  <c r="J1772" i="5"/>
  <c r="H1772" i="5" s="1"/>
  <c r="J1773" i="5"/>
  <c r="H1773" i="5" s="1"/>
  <c r="J1774" i="5"/>
  <c r="H1774" i="5" s="1"/>
  <c r="J1775" i="5"/>
  <c r="H1775" i="5" s="1"/>
  <c r="J1776" i="5"/>
  <c r="H1776" i="5" s="1"/>
  <c r="J1777" i="5"/>
  <c r="H1777" i="5" s="1"/>
  <c r="J1778" i="5"/>
  <c r="H1778" i="5" s="1"/>
  <c r="J1779" i="5"/>
  <c r="H1779" i="5" s="1"/>
  <c r="J1780" i="5"/>
  <c r="H1780" i="5" s="1"/>
  <c r="J1781" i="5"/>
  <c r="H1781" i="5" s="1"/>
  <c r="J1782" i="5"/>
  <c r="H1782" i="5" s="1"/>
  <c r="J1783" i="5"/>
  <c r="H1783" i="5" s="1"/>
  <c r="J1784" i="5"/>
  <c r="H1784" i="5" s="1"/>
  <c r="J1785" i="5"/>
  <c r="H1785" i="5" s="1"/>
  <c r="J1786" i="5"/>
  <c r="H1786" i="5" s="1"/>
  <c r="J1787" i="5"/>
  <c r="H1787" i="5" s="1"/>
  <c r="J1788" i="5"/>
  <c r="H1788" i="5" s="1"/>
  <c r="J1789" i="5"/>
  <c r="H1789" i="5" s="1"/>
  <c r="J1790" i="5"/>
  <c r="H1790" i="5" s="1"/>
  <c r="J1791" i="5"/>
  <c r="H1791" i="5" s="1"/>
  <c r="J1792" i="5"/>
  <c r="H1792" i="5" s="1"/>
  <c r="J1793" i="5"/>
  <c r="H1793" i="5" s="1"/>
  <c r="J1794" i="5"/>
  <c r="H1794" i="5" s="1"/>
  <c r="J1795" i="5"/>
  <c r="H1795" i="5" s="1"/>
  <c r="J1796" i="5"/>
  <c r="H1796" i="5" s="1"/>
  <c r="J1797" i="5"/>
  <c r="H1797" i="5" s="1"/>
  <c r="J1798" i="5"/>
  <c r="H1798" i="5" s="1"/>
  <c r="J1799" i="5"/>
  <c r="H1799" i="5" s="1"/>
  <c r="J1800" i="5"/>
  <c r="H1800" i="5" s="1"/>
  <c r="J1801" i="5"/>
  <c r="H1801" i="5" s="1"/>
  <c r="J1802" i="5"/>
  <c r="H1802" i="5" s="1"/>
  <c r="J1803" i="5"/>
  <c r="H1803" i="5" s="1"/>
  <c r="J1804" i="5"/>
  <c r="H1804" i="5" s="1"/>
  <c r="J1805" i="5"/>
  <c r="H1805" i="5" s="1"/>
  <c r="J1806" i="5"/>
  <c r="H1806" i="5" s="1"/>
  <c r="J1807" i="5"/>
  <c r="H1807" i="5" s="1"/>
  <c r="J1808" i="5"/>
  <c r="H1808" i="5" s="1"/>
  <c r="J1809" i="5"/>
  <c r="H1809" i="5" s="1"/>
  <c r="J1810" i="5"/>
  <c r="H1810" i="5" s="1"/>
  <c r="J1811" i="5"/>
  <c r="H1811" i="5" s="1"/>
  <c r="J1812" i="5"/>
  <c r="H1812" i="5" s="1"/>
  <c r="J1813" i="5"/>
  <c r="H1813" i="5" s="1"/>
  <c r="J1814" i="5"/>
  <c r="H1814" i="5" s="1"/>
  <c r="J1815" i="5"/>
  <c r="H1815" i="5" s="1"/>
  <c r="J1816" i="5"/>
  <c r="H1816" i="5" s="1"/>
  <c r="J1817" i="5"/>
  <c r="H1817" i="5" s="1"/>
  <c r="J1818" i="5"/>
  <c r="H1818" i="5" s="1"/>
  <c r="J1819" i="5"/>
  <c r="H1819" i="5" s="1"/>
  <c r="J1820" i="5"/>
  <c r="H1820" i="5" s="1"/>
  <c r="J1821" i="5"/>
  <c r="H1821" i="5" s="1"/>
  <c r="J1822" i="5"/>
  <c r="H1822" i="5" s="1"/>
  <c r="J1823" i="5"/>
  <c r="H1823" i="5" s="1"/>
  <c r="J1824" i="5"/>
  <c r="H1824" i="5" s="1"/>
  <c r="J1825" i="5"/>
  <c r="H1825" i="5" s="1"/>
  <c r="J1826" i="5"/>
  <c r="H1826" i="5" s="1"/>
  <c r="J1827" i="5"/>
  <c r="H1827" i="5" s="1"/>
  <c r="J1828" i="5"/>
  <c r="H1828" i="5" s="1"/>
  <c r="J1829" i="5"/>
  <c r="H1829" i="5" s="1"/>
  <c r="J1830" i="5"/>
  <c r="H1830" i="5" s="1"/>
  <c r="J1831" i="5"/>
  <c r="H1831" i="5" s="1"/>
  <c r="J1832" i="5"/>
  <c r="H1832" i="5" s="1"/>
  <c r="J1833" i="5"/>
  <c r="H1833" i="5" s="1"/>
  <c r="J1834" i="5"/>
  <c r="H1834" i="5" s="1"/>
  <c r="J1835" i="5"/>
  <c r="H1835" i="5" s="1"/>
  <c r="J1836" i="5"/>
  <c r="H1836" i="5" s="1"/>
  <c r="J1837" i="5"/>
  <c r="H1837" i="5" s="1"/>
  <c r="J1838" i="5"/>
  <c r="H1838" i="5" s="1"/>
  <c r="J1839" i="5"/>
  <c r="H1839" i="5" s="1"/>
  <c r="J1840" i="5"/>
  <c r="H1840" i="5" s="1"/>
  <c r="J1841" i="5"/>
  <c r="H1841" i="5" s="1"/>
  <c r="J1842" i="5"/>
  <c r="H1842" i="5" s="1"/>
  <c r="J1843" i="5"/>
  <c r="H1843" i="5" s="1"/>
  <c r="J1844" i="5"/>
  <c r="H1844" i="5" s="1"/>
  <c r="J1845" i="5"/>
  <c r="H1845" i="5" s="1"/>
  <c r="J1846" i="5"/>
  <c r="H1846" i="5" s="1"/>
  <c r="J1847" i="5"/>
  <c r="H1847" i="5" s="1"/>
  <c r="J1848" i="5"/>
  <c r="H1848" i="5" s="1"/>
  <c r="J1849" i="5"/>
  <c r="H1849" i="5" s="1"/>
  <c r="J1850" i="5"/>
  <c r="H1850" i="5" s="1"/>
  <c r="J1851" i="5"/>
  <c r="H1851" i="5" s="1"/>
  <c r="J1852" i="5"/>
  <c r="H1852" i="5" s="1"/>
  <c r="J1853" i="5"/>
  <c r="H1853" i="5" s="1"/>
  <c r="J1854" i="5"/>
  <c r="H1854" i="5" s="1"/>
  <c r="J1855" i="5"/>
  <c r="H1855" i="5" s="1"/>
  <c r="J1856" i="5"/>
  <c r="H1856" i="5" s="1"/>
  <c r="J1857" i="5"/>
  <c r="H1857" i="5" s="1"/>
  <c r="J1858" i="5"/>
  <c r="H1858" i="5" s="1"/>
  <c r="J1859" i="5"/>
  <c r="H1859" i="5" s="1"/>
  <c r="J1860" i="5"/>
  <c r="H1860" i="5" s="1"/>
  <c r="J1861" i="5"/>
  <c r="H1861" i="5" s="1"/>
  <c r="J1862" i="5"/>
  <c r="H1862" i="5" s="1"/>
  <c r="J1863" i="5"/>
  <c r="H1863" i="5" s="1"/>
  <c r="J1864" i="5"/>
  <c r="H1864" i="5" s="1"/>
  <c r="J1865" i="5"/>
  <c r="H1865" i="5" s="1"/>
  <c r="J1866" i="5"/>
  <c r="H1866" i="5" s="1"/>
  <c r="J1867" i="5"/>
  <c r="H1867" i="5" s="1"/>
  <c r="J1868" i="5"/>
  <c r="H1868" i="5" s="1"/>
  <c r="J1869" i="5"/>
  <c r="H1869" i="5" s="1"/>
  <c r="J1870" i="5"/>
  <c r="H1870" i="5" s="1"/>
  <c r="J1871" i="5"/>
  <c r="H1871" i="5" s="1"/>
  <c r="J1872" i="5"/>
  <c r="H1872" i="5" s="1"/>
  <c r="J1873" i="5"/>
  <c r="H1873" i="5" s="1"/>
  <c r="J1874" i="5"/>
  <c r="H1874" i="5" s="1"/>
  <c r="J1875" i="5"/>
  <c r="H1875" i="5" s="1"/>
  <c r="J1876" i="5"/>
  <c r="H1876" i="5" s="1"/>
  <c r="J1877" i="5"/>
  <c r="H1877" i="5" s="1"/>
  <c r="J1878" i="5"/>
  <c r="H1878" i="5" s="1"/>
  <c r="J1879" i="5"/>
  <c r="H1879" i="5" s="1"/>
  <c r="J1880" i="5"/>
  <c r="H1880" i="5" s="1"/>
  <c r="J1881" i="5"/>
  <c r="H1881" i="5" s="1"/>
  <c r="J1882" i="5"/>
  <c r="H1882" i="5" s="1"/>
  <c r="J1883" i="5"/>
  <c r="H1883" i="5" s="1"/>
  <c r="J1884" i="5"/>
  <c r="H1884" i="5" s="1"/>
  <c r="J1885" i="5"/>
  <c r="H1885" i="5" s="1"/>
  <c r="J1886" i="5"/>
  <c r="H1886" i="5" s="1"/>
  <c r="J1887" i="5"/>
  <c r="H1887" i="5" s="1"/>
  <c r="J1888" i="5"/>
  <c r="H1888" i="5" s="1"/>
  <c r="J1889" i="5"/>
  <c r="H1889" i="5" s="1"/>
  <c r="J1890" i="5"/>
  <c r="H1890" i="5" s="1"/>
  <c r="J1891" i="5"/>
  <c r="H1891" i="5" s="1"/>
  <c r="J1892" i="5"/>
  <c r="H1892" i="5" s="1"/>
  <c r="J1893" i="5"/>
  <c r="H1893" i="5" s="1"/>
  <c r="J1894" i="5"/>
  <c r="H1894" i="5" s="1"/>
  <c r="J1895" i="5"/>
  <c r="H1895" i="5" s="1"/>
  <c r="J1896" i="5"/>
  <c r="H1896" i="5" s="1"/>
  <c r="J1897" i="5"/>
  <c r="H1897" i="5" s="1"/>
  <c r="J1898" i="5"/>
  <c r="H1898" i="5" s="1"/>
  <c r="J1899" i="5"/>
  <c r="H1899" i="5" s="1"/>
  <c r="J1900" i="5"/>
  <c r="H1900" i="5" s="1"/>
  <c r="J1901" i="5"/>
  <c r="H1901" i="5" s="1"/>
  <c r="J1902" i="5"/>
  <c r="H1902" i="5" s="1"/>
  <c r="J1903" i="5"/>
  <c r="H1903" i="5" s="1"/>
  <c r="J1904" i="5"/>
  <c r="H1904" i="5" s="1"/>
  <c r="J1905" i="5"/>
  <c r="H1905" i="5" s="1"/>
  <c r="J1906" i="5"/>
  <c r="H1906" i="5" s="1"/>
  <c r="J1907" i="5"/>
  <c r="H1907" i="5" s="1"/>
  <c r="J1908" i="5"/>
  <c r="H1908" i="5" s="1"/>
  <c r="J1909" i="5"/>
  <c r="H1909" i="5" s="1"/>
  <c r="J1910" i="5"/>
  <c r="H1910" i="5" s="1"/>
  <c r="J1911" i="5"/>
  <c r="H1911" i="5" s="1"/>
  <c r="J1912" i="5"/>
  <c r="H1912" i="5" s="1"/>
  <c r="J1913" i="5"/>
  <c r="H1913" i="5" s="1"/>
  <c r="J1914" i="5"/>
  <c r="H1914" i="5" s="1"/>
  <c r="J1915" i="5"/>
  <c r="H1915" i="5" s="1"/>
  <c r="J1916" i="5"/>
  <c r="H1916" i="5" s="1"/>
  <c r="J1917" i="5"/>
  <c r="H1917" i="5" s="1"/>
  <c r="J1918" i="5"/>
  <c r="H1918" i="5" s="1"/>
  <c r="J1919" i="5"/>
  <c r="H1919" i="5" s="1"/>
  <c r="J1920" i="5"/>
  <c r="H1920" i="5" s="1"/>
  <c r="J1921" i="5"/>
  <c r="H1921" i="5" s="1"/>
  <c r="J1922" i="5"/>
  <c r="H1922" i="5" s="1"/>
  <c r="J1923" i="5"/>
  <c r="H1923" i="5" s="1"/>
  <c r="J1924" i="5"/>
  <c r="H1924" i="5" s="1"/>
  <c r="J1925" i="5"/>
  <c r="H1925" i="5" s="1"/>
  <c r="J1926" i="5"/>
  <c r="H1926" i="5" s="1"/>
  <c r="J1927" i="5"/>
  <c r="H1927" i="5" s="1"/>
  <c r="J1928" i="5"/>
  <c r="H1928" i="5" s="1"/>
  <c r="J1929" i="5"/>
  <c r="H1929" i="5" s="1"/>
  <c r="J1930" i="5"/>
  <c r="H1930" i="5" s="1"/>
  <c r="J1931" i="5"/>
  <c r="H1931" i="5" s="1"/>
  <c r="J1932" i="5"/>
  <c r="H1932" i="5" s="1"/>
  <c r="J1933" i="5"/>
  <c r="H1933" i="5" s="1"/>
  <c r="J1934" i="5"/>
  <c r="H1934" i="5" s="1"/>
  <c r="J1935" i="5"/>
  <c r="H1935" i="5" s="1"/>
  <c r="J1936" i="5"/>
  <c r="H1936" i="5" s="1"/>
  <c r="J1937" i="5"/>
  <c r="H1937" i="5" s="1"/>
  <c r="J1938" i="5"/>
  <c r="H1938" i="5" s="1"/>
  <c r="J1939" i="5"/>
  <c r="H1939" i="5" s="1"/>
  <c r="J1940" i="5"/>
  <c r="H1940" i="5" s="1"/>
  <c r="J1941" i="5"/>
  <c r="H1941" i="5" s="1"/>
  <c r="J1942" i="5"/>
  <c r="H1942" i="5" s="1"/>
  <c r="J1943" i="5"/>
  <c r="H1943" i="5" s="1"/>
  <c r="J1944" i="5"/>
  <c r="H1944" i="5" s="1"/>
  <c r="J1945" i="5"/>
  <c r="H1945" i="5" s="1"/>
  <c r="J1946" i="5"/>
  <c r="H1946" i="5" s="1"/>
  <c r="J1947" i="5"/>
  <c r="H1947" i="5" s="1"/>
  <c r="J1948" i="5"/>
  <c r="H1948" i="5" s="1"/>
  <c r="J1949" i="5"/>
  <c r="H1949" i="5" s="1"/>
  <c r="J1950" i="5"/>
  <c r="H1950" i="5" s="1"/>
  <c r="J1951" i="5"/>
  <c r="H1951" i="5" s="1"/>
  <c r="J1952" i="5"/>
  <c r="H1952" i="5" s="1"/>
  <c r="J1953" i="5"/>
  <c r="H1953" i="5" s="1"/>
  <c r="J1954" i="5"/>
  <c r="H1954" i="5" s="1"/>
  <c r="J1955" i="5"/>
  <c r="H1955" i="5" s="1"/>
  <c r="J1956" i="5"/>
  <c r="H1956" i="5" s="1"/>
  <c r="J1957" i="5"/>
  <c r="H1957" i="5" s="1"/>
  <c r="J1958" i="5"/>
  <c r="H1958" i="5" s="1"/>
  <c r="J1959" i="5"/>
  <c r="H1959" i="5" s="1"/>
  <c r="J1960" i="5"/>
  <c r="H1960" i="5" s="1"/>
  <c r="J1961" i="5"/>
  <c r="H1961" i="5" s="1"/>
  <c r="J1962" i="5"/>
  <c r="H1962" i="5" s="1"/>
  <c r="J1963" i="5"/>
  <c r="H1963" i="5" s="1"/>
  <c r="J1964" i="5"/>
  <c r="H1964" i="5" s="1"/>
  <c r="J1965" i="5"/>
  <c r="H1965" i="5" s="1"/>
  <c r="J1966" i="5"/>
  <c r="H1966" i="5" s="1"/>
  <c r="J1967" i="5"/>
  <c r="H1967" i="5" s="1"/>
  <c r="J1968" i="5"/>
  <c r="H1968" i="5" s="1"/>
  <c r="J1969" i="5"/>
  <c r="H1969" i="5" s="1"/>
  <c r="J1970" i="5"/>
  <c r="H1970" i="5" s="1"/>
  <c r="J1971" i="5"/>
  <c r="H1971" i="5" s="1"/>
  <c r="J1972" i="5"/>
  <c r="H1972" i="5" s="1"/>
  <c r="J1973" i="5"/>
  <c r="H1973" i="5" s="1"/>
  <c r="J1974" i="5"/>
  <c r="H1974" i="5" s="1"/>
  <c r="J1975" i="5"/>
  <c r="H1975" i="5" s="1"/>
  <c r="J1976" i="5"/>
  <c r="H1976" i="5" s="1"/>
  <c r="J1977" i="5"/>
  <c r="H1977" i="5" s="1"/>
  <c r="J1978" i="5"/>
  <c r="H1978" i="5" s="1"/>
  <c r="J1979" i="5"/>
  <c r="H1979" i="5" s="1"/>
  <c r="J1980" i="5"/>
  <c r="H1980" i="5" s="1"/>
  <c r="J1981" i="5"/>
  <c r="H1981" i="5" s="1"/>
  <c r="J1982" i="5"/>
  <c r="H1982" i="5" s="1"/>
  <c r="J1983" i="5"/>
  <c r="H1983" i="5" s="1"/>
  <c r="J1984" i="5"/>
  <c r="H1984" i="5" s="1"/>
  <c r="J1985" i="5"/>
  <c r="H1985" i="5" s="1"/>
  <c r="J1986" i="5"/>
  <c r="H1986" i="5" s="1"/>
  <c r="J1987" i="5"/>
  <c r="H1987" i="5" s="1"/>
  <c r="J1988" i="5"/>
  <c r="H1988" i="5" s="1"/>
  <c r="J1989" i="5"/>
  <c r="H1989" i="5" s="1"/>
  <c r="J1990" i="5"/>
  <c r="H1990" i="5" s="1"/>
  <c r="J1991" i="5"/>
  <c r="H1991" i="5" s="1"/>
  <c r="J1992" i="5"/>
  <c r="H1992" i="5" s="1"/>
  <c r="J1993" i="5"/>
  <c r="H1993" i="5" s="1"/>
  <c r="J1994" i="5"/>
  <c r="H1994" i="5" s="1"/>
  <c r="J1995" i="5"/>
  <c r="H1995" i="5" s="1"/>
  <c r="J1996" i="5"/>
  <c r="H1996" i="5" s="1"/>
  <c r="J1997" i="5"/>
  <c r="H1997" i="5" s="1"/>
  <c r="J1998" i="5"/>
  <c r="H1998" i="5" s="1"/>
  <c r="J1999" i="5"/>
  <c r="H1999" i="5" s="1"/>
  <c r="J2000" i="5"/>
  <c r="H2000" i="5" s="1"/>
  <c r="J2001" i="5"/>
  <c r="H2001" i="5" s="1"/>
  <c r="J2002" i="5"/>
  <c r="H2002" i="5" s="1"/>
  <c r="J2003" i="5"/>
  <c r="H2003" i="5" s="1"/>
  <c r="J2004" i="5"/>
  <c r="H2004" i="5" s="1"/>
  <c r="J2005" i="5"/>
  <c r="H2005" i="5" s="1"/>
  <c r="J2006" i="5"/>
  <c r="H2006" i="5" s="1"/>
  <c r="J2007" i="5"/>
  <c r="H2007" i="5" s="1"/>
  <c r="J2008" i="5"/>
  <c r="H2008" i="5" s="1"/>
  <c r="J2009" i="5"/>
  <c r="H2009" i="5" s="1"/>
  <c r="J2010" i="5"/>
  <c r="H2010" i="5" s="1"/>
  <c r="J2011" i="5"/>
  <c r="H2011" i="5" s="1"/>
  <c r="J2012" i="5"/>
  <c r="H2012" i="5" s="1"/>
  <c r="J2013" i="5"/>
  <c r="H2013" i="5" s="1"/>
  <c r="J2014" i="5"/>
  <c r="H2014" i="5" s="1"/>
  <c r="J2015" i="5"/>
  <c r="H2015" i="5" s="1"/>
  <c r="J2016" i="5"/>
  <c r="H2016" i="5" s="1"/>
  <c r="J2017" i="5"/>
  <c r="H2017" i="5" s="1"/>
  <c r="J2018" i="5"/>
  <c r="H2018" i="5" s="1"/>
  <c r="J2019" i="5"/>
  <c r="H2019" i="5" s="1"/>
  <c r="J2020" i="5"/>
  <c r="H2020" i="5" s="1"/>
  <c r="J2021" i="5"/>
  <c r="H2021" i="5" s="1"/>
  <c r="J2022" i="5"/>
  <c r="H2022" i="5" s="1"/>
  <c r="J2023" i="5"/>
  <c r="H2023" i="5" s="1"/>
  <c r="J2024" i="5"/>
  <c r="H2024" i="5" s="1"/>
  <c r="J2025" i="5"/>
  <c r="H2025" i="5" s="1"/>
  <c r="J2026" i="5"/>
  <c r="H2026" i="5" s="1"/>
  <c r="J2027" i="5"/>
  <c r="H2027" i="5" s="1"/>
  <c r="J2028" i="5"/>
  <c r="H2028" i="5" s="1"/>
  <c r="J2029" i="5"/>
  <c r="H2029" i="5" s="1"/>
  <c r="J2030" i="5"/>
  <c r="H2030" i="5" s="1"/>
  <c r="J2031" i="5"/>
  <c r="H2031" i="5" s="1"/>
  <c r="J2032" i="5"/>
  <c r="H2032" i="5" s="1"/>
  <c r="J2033" i="5"/>
  <c r="H2033" i="5" s="1"/>
  <c r="J2034" i="5"/>
  <c r="H2034" i="5" s="1"/>
  <c r="J2035" i="5"/>
  <c r="H2035" i="5" s="1"/>
  <c r="J2036" i="5"/>
  <c r="H2036" i="5" s="1"/>
  <c r="J2037" i="5"/>
  <c r="H2037" i="5" s="1"/>
  <c r="J2038" i="5"/>
  <c r="H2038" i="5" s="1"/>
  <c r="J2039" i="5"/>
  <c r="H2039" i="5" s="1"/>
  <c r="J2040" i="5"/>
  <c r="H2040" i="5" s="1"/>
  <c r="J2041" i="5"/>
  <c r="H2041" i="5" s="1"/>
  <c r="J2042" i="5"/>
  <c r="H2042" i="5" s="1"/>
  <c r="J2043" i="5"/>
  <c r="H2043" i="5" s="1"/>
  <c r="J2044" i="5"/>
  <c r="H2044" i="5" s="1"/>
  <c r="J2045" i="5"/>
  <c r="H2045" i="5" s="1"/>
  <c r="J2046" i="5"/>
  <c r="H2046" i="5" s="1"/>
  <c r="J2047" i="5"/>
  <c r="H2047" i="5" s="1"/>
  <c r="J2048" i="5"/>
  <c r="H2048" i="5" s="1"/>
  <c r="J2049" i="5"/>
  <c r="H2049" i="5" s="1"/>
  <c r="J2050" i="5"/>
  <c r="H2050" i="5" s="1"/>
  <c r="J2051" i="5"/>
  <c r="H2051" i="5" s="1"/>
  <c r="J2052" i="5"/>
  <c r="H2052" i="5" s="1"/>
  <c r="J2053" i="5"/>
  <c r="H2053" i="5" s="1"/>
  <c r="J2054" i="5"/>
  <c r="H2054" i="5" s="1"/>
  <c r="J2055" i="5"/>
  <c r="H2055" i="5" s="1"/>
  <c r="J2056" i="5"/>
  <c r="H2056" i="5" s="1"/>
  <c r="J2057" i="5"/>
  <c r="H2057" i="5" s="1"/>
  <c r="J2058" i="5"/>
  <c r="H2058" i="5" s="1"/>
  <c r="J2059" i="5"/>
  <c r="H2059" i="5" s="1"/>
  <c r="J2060" i="5"/>
  <c r="H2060" i="5" s="1"/>
  <c r="J2061" i="5"/>
  <c r="H2061" i="5" s="1"/>
  <c r="J2062" i="5"/>
  <c r="H2062" i="5" s="1"/>
  <c r="J2063" i="5"/>
  <c r="H2063" i="5" s="1"/>
  <c r="J2064" i="5"/>
  <c r="H2064" i="5" s="1"/>
  <c r="J2065" i="5"/>
  <c r="H2065" i="5" s="1"/>
  <c r="J2066" i="5"/>
  <c r="H2066" i="5" s="1"/>
  <c r="J2067" i="5"/>
  <c r="H2067" i="5" s="1"/>
  <c r="J2068" i="5"/>
  <c r="H2068" i="5" s="1"/>
  <c r="J2069" i="5"/>
  <c r="H2069" i="5" s="1"/>
  <c r="J2070" i="5"/>
  <c r="H2070" i="5" s="1"/>
  <c r="J2071" i="5"/>
  <c r="H2071" i="5" s="1"/>
  <c r="J2072" i="5"/>
  <c r="H2072" i="5" s="1"/>
  <c r="J2073" i="5"/>
  <c r="H2073" i="5" s="1"/>
  <c r="J2074" i="5"/>
  <c r="H2074" i="5" s="1"/>
  <c r="J2075" i="5"/>
  <c r="H2075" i="5" s="1"/>
  <c r="J2076" i="5"/>
  <c r="H2076" i="5" s="1"/>
  <c r="J2077" i="5"/>
  <c r="H2077" i="5" s="1"/>
  <c r="J2078" i="5"/>
  <c r="H2078" i="5" s="1"/>
  <c r="J2079" i="5"/>
  <c r="H2079" i="5" s="1"/>
  <c r="J2080" i="5"/>
  <c r="H2080" i="5" s="1"/>
  <c r="J2081" i="5"/>
  <c r="H2081" i="5" s="1"/>
  <c r="J2082" i="5"/>
  <c r="H2082" i="5" s="1"/>
  <c r="J2083" i="5"/>
  <c r="H2083" i="5" s="1"/>
  <c r="J2084" i="5"/>
  <c r="H2084" i="5" s="1"/>
  <c r="J2085" i="5"/>
  <c r="H2085" i="5" s="1"/>
  <c r="J2086" i="5"/>
  <c r="H2086" i="5" s="1"/>
  <c r="J2087" i="5"/>
  <c r="H2087" i="5" s="1"/>
  <c r="J2088" i="5"/>
  <c r="H2088" i="5" s="1"/>
  <c r="J2089" i="5"/>
  <c r="H2089" i="5" s="1"/>
  <c r="J2090" i="5"/>
  <c r="H2090" i="5" s="1"/>
  <c r="J2091" i="5"/>
  <c r="H2091" i="5" s="1"/>
  <c r="J2092" i="5"/>
  <c r="H2092" i="5" s="1"/>
  <c r="J2093" i="5"/>
  <c r="H2093" i="5" s="1"/>
  <c r="J2094" i="5"/>
  <c r="H2094" i="5" s="1"/>
  <c r="J2095" i="5"/>
  <c r="H2095" i="5" s="1"/>
  <c r="J2096" i="5"/>
  <c r="H2096" i="5" s="1"/>
  <c r="J2097" i="5"/>
  <c r="H2097" i="5" s="1"/>
  <c r="J2098" i="5"/>
  <c r="H2098" i="5" s="1"/>
  <c r="J2099" i="5"/>
  <c r="H2099" i="5" s="1"/>
  <c r="J2100" i="5"/>
  <c r="H2100" i="5" s="1"/>
  <c r="J2101" i="5"/>
  <c r="H2101" i="5" s="1"/>
  <c r="J2102" i="5"/>
  <c r="H2102" i="5" s="1"/>
  <c r="J2103" i="5"/>
  <c r="H2103" i="5" s="1"/>
  <c r="J2104" i="5"/>
  <c r="H2104" i="5" s="1"/>
  <c r="J2105" i="5"/>
  <c r="H2105" i="5" s="1"/>
  <c r="J2106" i="5"/>
  <c r="H2106" i="5" s="1"/>
  <c r="J2107" i="5"/>
  <c r="H2107" i="5" s="1"/>
  <c r="J2108" i="5"/>
  <c r="H2108" i="5" s="1"/>
  <c r="J2109" i="5"/>
  <c r="H2109" i="5" s="1"/>
  <c r="J2110" i="5"/>
  <c r="H2110" i="5" s="1"/>
  <c r="J2111" i="5"/>
  <c r="H2111" i="5" s="1"/>
  <c r="J2112" i="5"/>
  <c r="H2112" i="5" s="1"/>
  <c r="J2113" i="5"/>
  <c r="H2113" i="5" s="1"/>
  <c r="J2114" i="5"/>
  <c r="H2114" i="5" s="1"/>
  <c r="J2115" i="5"/>
  <c r="H2115" i="5" s="1"/>
  <c r="J2116" i="5"/>
  <c r="H2116" i="5" s="1"/>
  <c r="J2117" i="5"/>
  <c r="H2117" i="5" s="1"/>
  <c r="J2118" i="5"/>
  <c r="H2118" i="5" s="1"/>
  <c r="J2119" i="5"/>
  <c r="H2119" i="5" s="1"/>
  <c r="J2120" i="5"/>
  <c r="H2120" i="5" s="1"/>
  <c r="J2121" i="5"/>
  <c r="H2121" i="5" s="1"/>
  <c r="J2122" i="5"/>
  <c r="H2122" i="5" s="1"/>
  <c r="J2123" i="5"/>
  <c r="H2123" i="5" s="1"/>
  <c r="J2124" i="5"/>
  <c r="H2124" i="5" s="1"/>
  <c r="J2125" i="5"/>
  <c r="H2125" i="5" s="1"/>
  <c r="J2126" i="5"/>
  <c r="H2126" i="5" s="1"/>
  <c r="J2127" i="5"/>
  <c r="H2127" i="5" s="1"/>
  <c r="J2128" i="5"/>
  <c r="H2128" i="5" s="1"/>
  <c r="J2129" i="5"/>
  <c r="H2129" i="5" s="1"/>
  <c r="J2130" i="5"/>
  <c r="H2130" i="5" s="1"/>
  <c r="J2131" i="5"/>
  <c r="H2131" i="5" s="1"/>
  <c r="J2132" i="5"/>
  <c r="H2132" i="5" s="1"/>
  <c r="J2133" i="5"/>
  <c r="H2133" i="5" s="1"/>
  <c r="J2134" i="5"/>
  <c r="H2134" i="5" s="1"/>
  <c r="J2135" i="5"/>
  <c r="H2135" i="5" s="1"/>
  <c r="J2136" i="5"/>
  <c r="H2136" i="5" s="1"/>
  <c r="J2137" i="5"/>
  <c r="H2137" i="5" s="1"/>
  <c r="J2138" i="5"/>
  <c r="H2138" i="5" s="1"/>
  <c r="J2139" i="5"/>
  <c r="H2139" i="5" s="1"/>
  <c r="J2140" i="5"/>
  <c r="H2140" i="5" s="1"/>
  <c r="J2141" i="5"/>
  <c r="H2141" i="5" s="1"/>
  <c r="J2142" i="5"/>
  <c r="H2142" i="5" s="1"/>
  <c r="J2143" i="5"/>
  <c r="H2143" i="5" s="1"/>
  <c r="J2144" i="5"/>
  <c r="H2144" i="5" s="1"/>
  <c r="J2145" i="5"/>
  <c r="H2145" i="5" s="1"/>
  <c r="J2146" i="5"/>
  <c r="H2146" i="5" s="1"/>
  <c r="J2147" i="5"/>
  <c r="H2147" i="5" s="1"/>
  <c r="J2148" i="5"/>
  <c r="H2148" i="5" s="1"/>
  <c r="J2149" i="5"/>
  <c r="H2149" i="5" s="1"/>
  <c r="J2150" i="5"/>
  <c r="H2150" i="5" s="1"/>
  <c r="J2151" i="5"/>
  <c r="H2151" i="5" s="1"/>
  <c r="J2152" i="5"/>
  <c r="H2152" i="5" s="1"/>
  <c r="J2153" i="5"/>
  <c r="H2153" i="5" s="1"/>
  <c r="J2154" i="5"/>
  <c r="H2154" i="5" s="1"/>
  <c r="J2155" i="5"/>
  <c r="H2155" i="5" s="1"/>
  <c r="J2156" i="5"/>
  <c r="H2156" i="5" s="1"/>
  <c r="J2157" i="5"/>
  <c r="H2157" i="5" s="1"/>
  <c r="J2158" i="5"/>
  <c r="H2158" i="5" s="1"/>
  <c r="J2159" i="5"/>
  <c r="H2159" i="5" s="1"/>
  <c r="J2160" i="5"/>
  <c r="H2160" i="5" s="1"/>
  <c r="J2161" i="5"/>
  <c r="H2161" i="5" s="1"/>
  <c r="J2162" i="5"/>
  <c r="H2162" i="5" s="1"/>
  <c r="J2163" i="5"/>
  <c r="H2163" i="5" s="1"/>
  <c r="J2164" i="5"/>
  <c r="H2164" i="5" s="1"/>
  <c r="J2165" i="5"/>
  <c r="H2165" i="5" s="1"/>
  <c r="J2166" i="5"/>
  <c r="H2166" i="5" s="1"/>
  <c r="J2167" i="5"/>
  <c r="H2167" i="5" s="1"/>
  <c r="J2168" i="5"/>
  <c r="H2168" i="5" s="1"/>
  <c r="J2169" i="5"/>
  <c r="H2169" i="5" s="1"/>
  <c r="J2170" i="5"/>
  <c r="H2170" i="5" s="1"/>
  <c r="J2171" i="5"/>
  <c r="H2171" i="5" s="1"/>
  <c r="J2172" i="5"/>
  <c r="H2172" i="5" s="1"/>
  <c r="J2173" i="5"/>
  <c r="H2173" i="5" s="1"/>
  <c r="J2174" i="5"/>
  <c r="H2174" i="5" s="1"/>
  <c r="J2175" i="5"/>
  <c r="H2175" i="5" s="1"/>
  <c r="J2176" i="5"/>
  <c r="H2176" i="5" s="1"/>
  <c r="J2177" i="5"/>
  <c r="H2177" i="5" s="1"/>
  <c r="J2178" i="5"/>
  <c r="H2178" i="5" s="1"/>
  <c r="J2179" i="5"/>
  <c r="H2179" i="5" s="1"/>
  <c r="J2180" i="5"/>
  <c r="H2180" i="5" s="1"/>
  <c r="J2181" i="5"/>
  <c r="H2181" i="5" s="1"/>
  <c r="J2182" i="5"/>
  <c r="H2182" i="5" s="1"/>
  <c r="J2183" i="5"/>
  <c r="H2183" i="5" s="1"/>
  <c r="J2184" i="5"/>
  <c r="H2184" i="5" s="1"/>
  <c r="J2185" i="5"/>
  <c r="H2185" i="5" s="1"/>
  <c r="J2186" i="5"/>
  <c r="H2186" i="5" s="1"/>
  <c r="J2187" i="5"/>
  <c r="H2187" i="5" s="1"/>
  <c r="J2188" i="5"/>
  <c r="H2188" i="5" s="1"/>
  <c r="J2189" i="5"/>
  <c r="H2189" i="5" s="1"/>
  <c r="J2190" i="5"/>
  <c r="H2190" i="5" s="1"/>
  <c r="J2191" i="5"/>
  <c r="H2191" i="5" s="1"/>
  <c r="J2192" i="5"/>
  <c r="H2192" i="5" s="1"/>
  <c r="J2193" i="5"/>
  <c r="H2193" i="5" s="1"/>
  <c r="J2194" i="5"/>
  <c r="H2194" i="5" s="1"/>
  <c r="J2195" i="5"/>
  <c r="H2195" i="5" s="1"/>
  <c r="J2196" i="5"/>
  <c r="H2196" i="5" s="1"/>
  <c r="J2197" i="5"/>
  <c r="H2197" i="5" s="1"/>
  <c r="J2198" i="5"/>
  <c r="H2198" i="5" s="1"/>
  <c r="J2199" i="5"/>
  <c r="H2199" i="5" s="1"/>
  <c r="J2200" i="5"/>
  <c r="H2200" i="5" s="1"/>
  <c r="J2201" i="5"/>
  <c r="H2201" i="5" s="1"/>
  <c r="J2202" i="5"/>
  <c r="H2202" i="5" s="1"/>
  <c r="J2203" i="5"/>
  <c r="H2203" i="5" s="1"/>
  <c r="J2204" i="5"/>
  <c r="H2204" i="5" s="1"/>
  <c r="J2205" i="5"/>
  <c r="H2205" i="5" s="1"/>
  <c r="J2206" i="5"/>
  <c r="H2206" i="5" s="1"/>
  <c r="J2207" i="5"/>
  <c r="H2207" i="5" s="1"/>
  <c r="J2208" i="5"/>
  <c r="H2208" i="5" s="1"/>
  <c r="J2209" i="5"/>
  <c r="H2209" i="5" s="1"/>
  <c r="J2210" i="5"/>
  <c r="H2210" i="5" s="1"/>
  <c r="J2211" i="5"/>
  <c r="H2211" i="5" s="1"/>
  <c r="J2212" i="5"/>
  <c r="H2212" i="5" s="1"/>
  <c r="J2213" i="5"/>
  <c r="H2213" i="5" s="1"/>
  <c r="J2214" i="5"/>
  <c r="H2214" i="5" s="1"/>
  <c r="J2215" i="5"/>
  <c r="H2215" i="5" s="1"/>
  <c r="J2216" i="5"/>
  <c r="H2216" i="5" s="1"/>
  <c r="J2217" i="5"/>
  <c r="H2217" i="5" s="1"/>
  <c r="J2218" i="5"/>
  <c r="H2218" i="5" s="1"/>
  <c r="J2219" i="5"/>
  <c r="H2219" i="5" s="1"/>
  <c r="J2220" i="5"/>
  <c r="H2220" i="5" s="1"/>
  <c r="J2221" i="5"/>
  <c r="H2221" i="5" s="1"/>
  <c r="J2222" i="5"/>
  <c r="H2222" i="5" s="1"/>
  <c r="J2223" i="5"/>
  <c r="H2223" i="5" s="1"/>
  <c r="J2224" i="5"/>
  <c r="H2224" i="5" s="1"/>
  <c r="J2225" i="5"/>
  <c r="H2225" i="5" s="1"/>
  <c r="J2226" i="5"/>
  <c r="H2226" i="5" s="1"/>
  <c r="J2227" i="5"/>
  <c r="H2227" i="5" s="1"/>
  <c r="J2228" i="5"/>
  <c r="H2228" i="5" s="1"/>
  <c r="J2229" i="5"/>
  <c r="H2229" i="5" s="1"/>
  <c r="J2230" i="5"/>
  <c r="H2230" i="5" s="1"/>
  <c r="J2231" i="5"/>
  <c r="H2231" i="5" s="1"/>
  <c r="J2232" i="5"/>
  <c r="H2232" i="5" s="1"/>
  <c r="J2233" i="5"/>
  <c r="H2233" i="5" s="1"/>
  <c r="J2234" i="5"/>
  <c r="H2234" i="5" s="1"/>
  <c r="J2235" i="5"/>
  <c r="H2235" i="5" s="1"/>
  <c r="J2236" i="5"/>
  <c r="H2236" i="5" s="1"/>
  <c r="J2237" i="5"/>
  <c r="H2237" i="5" s="1"/>
  <c r="J2238" i="5"/>
  <c r="H2238" i="5" s="1"/>
  <c r="J2239" i="5"/>
  <c r="H2239" i="5" s="1"/>
  <c r="J2240" i="5"/>
  <c r="H2240" i="5" s="1"/>
  <c r="J2241" i="5"/>
  <c r="H2241" i="5" s="1"/>
  <c r="J2242" i="5"/>
  <c r="H2242" i="5" s="1"/>
  <c r="J2243" i="5"/>
  <c r="H2243" i="5" s="1"/>
  <c r="J2244" i="5"/>
  <c r="H2244" i="5" s="1"/>
  <c r="J2245" i="5"/>
  <c r="H2245" i="5" s="1"/>
  <c r="J2246" i="5"/>
  <c r="H2246" i="5" s="1"/>
  <c r="J2247" i="5"/>
  <c r="H2247" i="5" s="1"/>
  <c r="J2248" i="5"/>
  <c r="H2248" i="5" s="1"/>
  <c r="J2249" i="5"/>
  <c r="H2249" i="5" s="1"/>
  <c r="J2250" i="5"/>
  <c r="H2250" i="5" s="1"/>
  <c r="J2251" i="5"/>
  <c r="H2251" i="5" s="1"/>
  <c r="J2252" i="5"/>
  <c r="H2252" i="5" s="1"/>
  <c r="J2253" i="5"/>
  <c r="H2253" i="5" s="1"/>
  <c r="J2254" i="5"/>
  <c r="H2254" i="5" s="1"/>
  <c r="J2255" i="5"/>
  <c r="H2255" i="5" s="1"/>
  <c r="J2256" i="5"/>
  <c r="H2256" i="5" s="1"/>
  <c r="J2257" i="5"/>
  <c r="H2257" i="5" s="1"/>
  <c r="J2258" i="5"/>
  <c r="H2258" i="5" s="1"/>
  <c r="J2259" i="5"/>
  <c r="H2259" i="5" s="1"/>
  <c r="J2260" i="5"/>
  <c r="H2260" i="5" s="1"/>
  <c r="J2261" i="5"/>
  <c r="H2261" i="5" s="1"/>
  <c r="J2262" i="5"/>
  <c r="H2262" i="5" s="1"/>
  <c r="J2263" i="5"/>
  <c r="H2263" i="5" s="1"/>
  <c r="J2264" i="5"/>
  <c r="H2264" i="5" s="1"/>
  <c r="J2265" i="5"/>
  <c r="H2265" i="5" s="1"/>
  <c r="J2266" i="5"/>
  <c r="H2266" i="5" s="1"/>
  <c r="J2267" i="5"/>
  <c r="H2267" i="5" s="1"/>
  <c r="J2268" i="5"/>
  <c r="H2268" i="5" s="1"/>
  <c r="J2269" i="5"/>
  <c r="H2269" i="5" s="1"/>
  <c r="J2270" i="5"/>
  <c r="H2270" i="5" s="1"/>
  <c r="J2271" i="5"/>
  <c r="H2271" i="5" s="1"/>
  <c r="J2272" i="5"/>
  <c r="H2272" i="5" s="1"/>
  <c r="J2273" i="5"/>
  <c r="H2273" i="5" s="1"/>
  <c r="J2274" i="5"/>
  <c r="H2274" i="5" s="1"/>
  <c r="J2275" i="5"/>
  <c r="H2275" i="5" s="1"/>
  <c r="J2276" i="5"/>
  <c r="H2276" i="5" s="1"/>
  <c r="J2277" i="5"/>
  <c r="H2277" i="5" s="1"/>
  <c r="J2278" i="5"/>
  <c r="H2278" i="5" s="1"/>
  <c r="J2279" i="5"/>
  <c r="H2279" i="5" s="1"/>
  <c r="J2280" i="5"/>
  <c r="H2280" i="5" s="1"/>
  <c r="J2281" i="5"/>
  <c r="H2281" i="5" s="1"/>
  <c r="J2282" i="5"/>
  <c r="H2282" i="5" s="1"/>
  <c r="J2283" i="5"/>
  <c r="H2283" i="5" s="1"/>
  <c r="J2284" i="5"/>
  <c r="H2284" i="5" s="1"/>
  <c r="J2285" i="5"/>
  <c r="H2285" i="5" s="1"/>
  <c r="J2286" i="5"/>
  <c r="H2286" i="5" s="1"/>
  <c r="J2287" i="5"/>
  <c r="H2287" i="5" s="1"/>
  <c r="J2288" i="5"/>
  <c r="H2288" i="5" s="1"/>
  <c r="J2289" i="5"/>
  <c r="H2289" i="5" s="1"/>
  <c r="J2290" i="5"/>
  <c r="H2290" i="5" s="1"/>
  <c r="J2291" i="5"/>
  <c r="H2291" i="5" s="1"/>
  <c r="J2292" i="5"/>
  <c r="H2292" i="5" s="1"/>
  <c r="J2293" i="5"/>
  <c r="H2293" i="5" s="1"/>
  <c r="J2294" i="5"/>
  <c r="H2294" i="5" s="1"/>
  <c r="J2295" i="5"/>
  <c r="H2295" i="5" s="1"/>
  <c r="J2296" i="5"/>
  <c r="H2296" i="5" s="1"/>
  <c r="J2297" i="5"/>
  <c r="H2297" i="5" s="1"/>
  <c r="J2298" i="5"/>
  <c r="H2298" i="5" s="1"/>
  <c r="J2299" i="5"/>
  <c r="H2299" i="5" s="1"/>
  <c r="J2300" i="5"/>
  <c r="H2300" i="5" s="1"/>
  <c r="J2301" i="5"/>
  <c r="H2301" i="5" s="1"/>
  <c r="J2302" i="5"/>
  <c r="H2302" i="5" s="1"/>
  <c r="J2303" i="5"/>
  <c r="H2303" i="5" s="1"/>
  <c r="J2304" i="5"/>
  <c r="H2304" i="5" s="1"/>
  <c r="J2305" i="5"/>
  <c r="H2305" i="5" s="1"/>
  <c r="J2306" i="5"/>
  <c r="H2306" i="5" s="1"/>
  <c r="J2307" i="5"/>
  <c r="H2307" i="5" s="1"/>
  <c r="J2308" i="5"/>
  <c r="H2308" i="5" s="1"/>
  <c r="J2309" i="5"/>
  <c r="H2309" i="5" s="1"/>
  <c r="J2310" i="5"/>
  <c r="H2310" i="5" s="1"/>
  <c r="J2311" i="5"/>
  <c r="H2311" i="5" s="1"/>
  <c r="J2312" i="5"/>
  <c r="H2312" i="5" s="1"/>
  <c r="J2313" i="5"/>
  <c r="H2313" i="5" s="1"/>
  <c r="J2314" i="5"/>
  <c r="H2314" i="5" s="1"/>
  <c r="J2315" i="5"/>
  <c r="H2315" i="5" s="1"/>
  <c r="J2316" i="5"/>
  <c r="H2316" i="5" s="1"/>
  <c r="J2317" i="5"/>
  <c r="H2317" i="5" s="1"/>
  <c r="J2318" i="5"/>
  <c r="H2318" i="5" s="1"/>
  <c r="J2319" i="5"/>
  <c r="H2319" i="5" s="1"/>
  <c r="J2320" i="5"/>
  <c r="H2320" i="5" s="1"/>
  <c r="J2321" i="5"/>
  <c r="H2321" i="5" s="1"/>
  <c r="J2322" i="5"/>
  <c r="H2322" i="5" s="1"/>
  <c r="J2323" i="5"/>
  <c r="H2323" i="5" s="1"/>
  <c r="J2324" i="5"/>
  <c r="H2324" i="5" s="1"/>
  <c r="J2325" i="5"/>
  <c r="H2325" i="5" s="1"/>
  <c r="J2326" i="5"/>
  <c r="H2326" i="5" s="1"/>
  <c r="J2327" i="5"/>
  <c r="H2327" i="5" s="1"/>
  <c r="J2328" i="5"/>
  <c r="H2328" i="5" s="1"/>
  <c r="J2329" i="5"/>
  <c r="H2329" i="5" s="1"/>
  <c r="J2330" i="5"/>
  <c r="H2330" i="5" s="1"/>
  <c r="J2331" i="5"/>
  <c r="H2331" i="5" s="1"/>
  <c r="J2332" i="5"/>
  <c r="H2332" i="5" s="1"/>
  <c r="J2333" i="5"/>
  <c r="H2333" i="5" s="1"/>
  <c r="J2334" i="5"/>
  <c r="H2334" i="5" s="1"/>
  <c r="J2335" i="5"/>
  <c r="H2335" i="5" s="1"/>
  <c r="J2336" i="5"/>
  <c r="H2336" i="5" s="1"/>
  <c r="J2337" i="5"/>
  <c r="H2337" i="5" s="1"/>
  <c r="J2338" i="5"/>
  <c r="H2338" i="5" s="1"/>
  <c r="J2339" i="5"/>
  <c r="H2339" i="5" s="1"/>
  <c r="J2340" i="5"/>
  <c r="H2340" i="5" s="1"/>
  <c r="J2341" i="5"/>
  <c r="H2341" i="5" s="1"/>
  <c r="J2342" i="5"/>
  <c r="H2342" i="5" s="1"/>
  <c r="J2343" i="5"/>
  <c r="H2343" i="5" s="1"/>
  <c r="J2344" i="5"/>
  <c r="H2344" i="5" s="1"/>
  <c r="J2345" i="5"/>
  <c r="H2345" i="5" s="1"/>
  <c r="J2346" i="5"/>
  <c r="H2346" i="5" s="1"/>
  <c r="J2347" i="5"/>
  <c r="H2347" i="5" s="1"/>
  <c r="J2348" i="5"/>
  <c r="H2348" i="5" s="1"/>
  <c r="J2349" i="5"/>
  <c r="H2349" i="5" s="1"/>
  <c r="J2350" i="5"/>
  <c r="H2350" i="5" s="1"/>
  <c r="J2351" i="5"/>
  <c r="H2351" i="5" s="1"/>
  <c r="J2352" i="5"/>
  <c r="H2352" i="5" s="1"/>
  <c r="J2353" i="5"/>
  <c r="H2353" i="5" s="1"/>
  <c r="J2354" i="5"/>
  <c r="H2354" i="5" s="1"/>
  <c r="J2355" i="5"/>
  <c r="H2355" i="5" s="1"/>
  <c r="J2356" i="5"/>
  <c r="H2356" i="5" s="1"/>
  <c r="J2357" i="5"/>
  <c r="H2357" i="5" s="1"/>
  <c r="J2358" i="5"/>
  <c r="H2358" i="5" s="1"/>
  <c r="J2359" i="5"/>
  <c r="H2359" i="5" s="1"/>
  <c r="J2360" i="5"/>
  <c r="H2360" i="5" s="1"/>
  <c r="J2361" i="5"/>
  <c r="H2361" i="5" s="1"/>
  <c r="J2362" i="5"/>
  <c r="H2362" i="5" s="1"/>
  <c r="J2363" i="5"/>
  <c r="H2363" i="5" s="1"/>
  <c r="J2364" i="5"/>
  <c r="H2364" i="5" s="1"/>
  <c r="J2365" i="5"/>
  <c r="H2365" i="5" s="1"/>
  <c r="J2366" i="5"/>
  <c r="H2366" i="5" s="1"/>
  <c r="J2367" i="5"/>
  <c r="H2367" i="5" s="1"/>
  <c r="J2368" i="5"/>
  <c r="H2368" i="5" s="1"/>
  <c r="J2369" i="5"/>
  <c r="H2369" i="5" s="1"/>
  <c r="J2370" i="5"/>
  <c r="H2370" i="5" s="1"/>
  <c r="J2371" i="5"/>
  <c r="H2371" i="5" s="1"/>
  <c r="J2372" i="5"/>
  <c r="H2372" i="5" s="1"/>
  <c r="J2373" i="5"/>
  <c r="H2373" i="5" s="1"/>
  <c r="J2374" i="5"/>
  <c r="H2374" i="5" s="1"/>
  <c r="J2375" i="5"/>
  <c r="H2375" i="5" s="1"/>
  <c r="J2376" i="5"/>
  <c r="H2376" i="5" s="1"/>
  <c r="J2377" i="5"/>
  <c r="H2377" i="5" s="1"/>
  <c r="J2378" i="5"/>
  <c r="H2378" i="5" s="1"/>
  <c r="J2379" i="5"/>
  <c r="H2379" i="5" s="1"/>
  <c r="J2380" i="5"/>
  <c r="H2380" i="5" s="1"/>
  <c r="J2381" i="5"/>
  <c r="H2381" i="5" s="1"/>
  <c r="J2382" i="5"/>
  <c r="H2382" i="5" s="1"/>
  <c r="J2383" i="5"/>
  <c r="H2383" i="5" s="1"/>
  <c r="J2384" i="5"/>
  <c r="H2384" i="5" s="1"/>
  <c r="J2385" i="5"/>
  <c r="H2385" i="5" s="1"/>
  <c r="J2386" i="5"/>
  <c r="H2386" i="5" s="1"/>
  <c r="J2387" i="5"/>
  <c r="H2387" i="5" s="1"/>
  <c r="J2388" i="5"/>
  <c r="H2388" i="5" s="1"/>
  <c r="J2389" i="5"/>
  <c r="H2389" i="5" s="1"/>
  <c r="J2390" i="5"/>
  <c r="H2390" i="5" s="1"/>
  <c r="J2391" i="5"/>
  <c r="H2391" i="5" s="1"/>
  <c r="J2392" i="5"/>
  <c r="H2392" i="5" s="1"/>
  <c r="J2393" i="5"/>
  <c r="H2393" i="5" s="1"/>
  <c r="J2394" i="5"/>
  <c r="H2394" i="5" s="1"/>
  <c r="J2395" i="5"/>
  <c r="H2395" i="5" s="1"/>
  <c r="J2396" i="5"/>
  <c r="H2396" i="5" s="1"/>
  <c r="J2397" i="5"/>
  <c r="H2397" i="5" s="1"/>
  <c r="J2398" i="5"/>
  <c r="H2398" i="5" s="1"/>
  <c r="J2399" i="5"/>
  <c r="H2399" i="5" s="1"/>
  <c r="J2400" i="5"/>
  <c r="H2400" i="5" s="1"/>
  <c r="J2401" i="5"/>
  <c r="H2401" i="5" s="1"/>
  <c r="J2402" i="5"/>
  <c r="H2402" i="5" s="1"/>
  <c r="J2403" i="5"/>
  <c r="H2403" i="5" s="1"/>
  <c r="J2404" i="5"/>
  <c r="H2404" i="5" s="1"/>
  <c r="J2405" i="5"/>
  <c r="H2405" i="5" s="1"/>
  <c r="J2406" i="5"/>
  <c r="H2406" i="5" s="1"/>
  <c r="J2407" i="5"/>
  <c r="H2407" i="5" s="1"/>
  <c r="J2408" i="5"/>
  <c r="H2408" i="5" s="1"/>
  <c r="J2409" i="5"/>
  <c r="H2409" i="5" s="1"/>
  <c r="J2410" i="5"/>
  <c r="H2410" i="5" s="1"/>
  <c r="J2411" i="5"/>
  <c r="H2411" i="5" s="1"/>
  <c r="J2412" i="5"/>
  <c r="H2412" i="5" s="1"/>
  <c r="J2413" i="5"/>
  <c r="H2413" i="5" s="1"/>
  <c r="J2414" i="5"/>
  <c r="H2414" i="5" s="1"/>
  <c r="J2415" i="5"/>
  <c r="H2415" i="5" s="1"/>
  <c r="J2416" i="5"/>
  <c r="H2416" i="5" s="1"/>
  <c r="J2417" i="5"/>
  <c r="H2417" i="5" s="1"/>
  <c r="J2418" i="5"/>
  <c r="H2418" i="5" s="1"/>
  <c r="J2419" i="5"/>
  <c r="H2419" i="5" s="1"/>
  <c r="J2420" i="5"/>
  <c r="H2420" i="5" s="1"/>
  <c r="J2421" i="5"/>
  <c r="H2421" i="5" s="1"/>
  <c r="J2422" i="5"/>
  <c r="H2422" i="5" s="1"/>
  <c r="J2423" i="5"/>
  <c r="H2423" i="5" s="1"/>
  <c r="J2424" i="5"/>
  <c r="H2424" i="5" s="1"/>
  <c r="J2425" i="5"/>
  <c r="H2425" i="5" s="1"/>
  <c r="J2426" i="5"/>
  <c r="H2426" i="5" s="1"/>
  <c r="J2427" i="5"/>
  <c r="H2427" i="5" s="1"/>
  <c r="J2428" i="5"/>
  <c r="H2428" i="5" s="1"/>
  <c r="J2429" i="5"/>
  <c r="H2429" i="5" s="1"/>
  <c r="J2430" i="5"/>
  <c r="H2430" i="5" s="1"/>
  <c r="J2431" i="5"/>
  <c r="H2431" i="5" s="1"/>
  <c r="J2432" i="5"/>
  <c r="H2432" i="5" s="1"/>
  <c r="J2433" i="5"/>
  <c r="H2433" i="5" s="1"/>
  <c r="J2434" i="5"/>
  <c r="H2434" i="5" s="1"/>
  <c r="J2435" i="5"/>
  <c r="H2435" i="5" s="1"/>
  <c r="J2436" i="5"/>
  <c r="H2436" i="5" s="1"/>
  <c r="J2437" i="5"/>
  <c r="H2437" i="5" s="1"/>
  <c r="J2438" i="5"/>
  <c r="H2438" i="5" s="1"/>
  <c r="J2439" i="5"/>
  <c r="H2439" i="5" s="1"/>
  <c r="J2440" i="5"/>
  <c r="H2440" i="5" s="1"/>
  <c r="J2441" i="5"/>
  <c r="H2441" i="5" s="1"/>
  <c r="J2442" i="5"/>
  <c r="H2442" i="5" s="1"/>
  <c r="J2443" i="5"/>
  <c r="H2443" i="5" s="1"/>
  <c r="J2444" i="5"/>
  <c r="H2444" i="5" s="1"/>
  <c r="J2445" i="5"/>
  <c r="H2445" i="5" s="1"/>
  <c r="J2446" i="5"/>
  <c r="H2446" i="5" s="1"/>
  <c r="J2447" i="5"/>
  <c r="H2447" i="5" s="1"/>
  <c r="J2448" i="5"/>
  <c r="H2448" i="5" s="1"/>
  <c r="J2449" i="5"/>
  <c r="H2449" i="5" s="1"/>
  <c r="J2450" i="5"/>
  <c r="H2450" i="5" s="1"/>
  <c r="J2451" i="5"/>
  <c r="H2451" i="5" s="1"/>
  <c r="J2452" i="5"/>
  <c r="H2452" i="5" s="1"/>
  <c r="J2453" i="5"/>
  <c r="H2453" i="5" s="1"/>
  <c r="J2454" i="5"/>
  <c r="H2454" i="5" s="1"/>
  <c r="J2455" i="5"/>
  <c r="H2455" i="5" s="1"/>
  <c r="J2456" i="5"/>
  <c r="H2456" i="5" s="1"/>
  <c r="J2457" i="5"/>
  <c r="H2457" i="5" s="1"/>
  <c r="J2458" i="5"/>
  <c r="H2458" i="5" s="1"/>
  <c r="J2459" i="5"/>
  <c r="H2459" i="5" s="1"/>
  <c r="J2460" i="5"/>
  <c r="H2460" i="5" s="1"/>
  <c r="J2461" i="5"/>
  <c r="H2461" i="5" s="1"/>
  <c r="J2462" i="5"/>
  <c r="H2462" i="5" s="1"/>
  <c r="J2463" i="5"/>
  <c r="H2463" i="5" s="1"/>
  <c r="J2464" i="5"/>
  <c r="H2464" i="5" s="1"/>
  <c r="J2465" i="5"/>
  <c r="H2465" i="5" s="1"/>
  <c r="J2466" i="5"/>
  <c r="H2466" i="5" s="1"/>
  <c r="J2467" i="5"/>
  <c r="H2467" i="5" s="1"/>
  <c r="J2468" i="5"/>
  <c r="H2468" i="5" s="1"/>
  <c r="J2469" i="5"/>
  <c r="H2469" i="5" s="1"/>
  <c r="J2470" i="5"/>
  <c r="H2470" i="5" s="1"/>
  <c r="J2471" i="5"/>
  <c r="H2471" i="5" s="1"/>
  <c r="J2472" i="5"/>
  <c r="H2472" i="5" s="1"/>
  <c r="J2473" i="5"/>
  <c r="H2473" i="5" s="1"/>
  <c r="J2474" i="5"/>
  <c r="H2474" i="5" s="1"/>
  <c r="J2475" i="5"/>
  <c r="H2475" i="5" s="1"/>
  <c r="J2476" i="5"/>
  <c r="H2476" i="5" s="1"/>
  <c r="J2477" i="5"/>
  <c r="H2477" i="5" s="1"/>
  <c r="J2478" i="5"/>
  <c r="H2478" i="5" s="1"/>
  <c r="J2479" i="5"/>
  <c r="H2479" i="5" s="1"/>
  <c r="J2480" i="5"/>
  <c r="H2480" i="5" s="1"/>
  <c r="J2481" i="5"/>
  <c r="H2481" i="5" s="1"/>
  <c r="J2482" i="5"/>
  <c r="H2482" i="5" s="1"/>
  <c r="J2483" i="5"/>
  <c r="H2483" i="5" s="1"/>
  <c r="J2484" i="5"/>
  <c r="H2484" i="5" s="1"/>
  <c r="J2485" i="5"/>
  <c r="H2485" i="5" s="1"/>
  <c r="J2486" i="5"/>
  <c r="H2486" i="5" s="1"/>
  <c r="J2487" i="5"/>
  <c r="H2487" i="5" s="1"/>
  <c r="J2488" i="5"/>
  <c r="H2488" i="5" s="1"/>
  <c r="J2489" i="5"/>
  <c r="H2489" i="5" s="1"/>
  <c r="J2490" i="5"/>
  <c r="H2490" i="5" s="1"/>
  <c r="J2491" i="5"/>
  <c r="H2491" i="5" s="1"/>
  <c r="J2492" i="5"/>
  <c r="H2492" i="5" s="1"/>
  <c r="J2493" i="5"/>
  <c r="H2493" i="5" s="1"/>
  <c r="J2494" i="5"/>
  <c r="H2494" i="5" s="1"/>
  <c r="J2495" i="5"/>
  <c r="H2495" i="5" s="1"/>
  <c r="J2496" i="5"/>
  <c r="H2496" i="5" s="1"/>
  <c r="J2497" i="5"/>
  <c r="H2497" i="5" s="1"/>
  <c r="J2498" i="5"/>
  <c r="H2498" i="5" s="1"/>
  <c r="J2499" i="5"/>
  <c r="H2499" i="5" s="1"/>
  <c r="J2500" i="5"/>
  <c r="H2500" i="5" s="1"/>
  <c r="J2501" i="5"/>
  <c r="H2501" i="5" s="1"/>
  <c r="J2502" i="5"/>
  <c r="H2502" i="5" s="1"/>
  <c r="J2503" i="5"/>
  <c r="H2503" i="5" s="1"/>
  <c r="J2504" i="5"/>
  <c r="H2504" i="5" s="1"/>
  <c r="J2505" i="5"/>
  <c r="H2505" i="5" s="1"/>
  <c r="J2506" i="5"/>
  <c r="H2506" i="5" s="1"/>
  <c r="J2507" i="5"/>
  <c r="H2507" i="5" s="1"/>
  <c r="J2508" i="5"/>
  <c r="H2508" i="5" s="1"/>
  <c r="J2509" i="5"/>
  <c r="H2509" i="5" s="1"/>
  <c r="J2510" i="5"/>
  <c r="H2510" i="5" s="1"/>
  <c r="J2511" i="5"/>
  <c r="H2511" i="5" s="1"/>
  <c r="J2512" i="5"/>
  <c r="H2512" i="5" s="1"/>
  <c r="J2513" i="5"/>
  <c r="H2513" i="5" s="1"/>
  <c r="J2514" i="5"/>
  <c r="H2514" i="5" s="1"/>
  <c r="J2515" i="5"/>
  <c r="H2515" i="5" s="1"/>
  <c r="J2516" i="5"/>
  <c r="H2516" i="5" s="1"/>
  <c r="J2517" i="5"/>
  <c r="H2517" i="5" s="1"/>
  <c r="J2518" i="5"/>
  <c r="H2518" i="5" s="1"/>
  <c r="J2519" i="5"/>
  <c r="H2519" i="5" s="1"/>
  <c r="J2520" i="5"/>
  <c r="H2520" i="5" s="1"/>
  <c r="J2521" i="5"/>
  <c r="H2521" i="5" s="1"/>
  <c r="J2522" i="5"/>
  <c r="H2522" i="5" s="1"/>
  <c r="J2523" i="5"/>
  <c r="H2523" i="5" s="1"/>
  <c r="J2524" i="5"/>
  <c r="H2524" i="5" s="1"/>
  <c r="J2525" i="5"/>
  <c r="H2525" i="5" s="1"/>
  <c r="J2526" i="5"/>
  <c r="H2526" i="5" s="1"/>
  <c r="J2527" i="5"/>
  <c r="H2527" i="5" s="1"/>
  <c r="J2528" i="5"/>
  <c r="H2528" i="5" s="1"/>
  <c r="J2529" i="5"/>
  <c r="H2529" i="5" s="1"/>
  <c r="J2530" i="5"/>
  <c r="H2530" i="5" s="1"/>
  <c r="J2531" i="5"/>
  <c r="H2531" i="5" s="1"/>
  <c r="J2532" i="5"/>
  <c r="H2532" i="5" s="1"/>
  <c r="J2533" i="5"/>
  <c r="H2533" i="5" s="1"/>
  <c r="J2534" i="5"/>
  <c r="H2534" i="5" s="1"/>
  <c r="J2535" i="5"/>
  <c r="H2535" i="5" s="1"/>
  <c r="J2536" i="5"/>
  <c r="H2536" i="5" s="1"/>
  <c r="J2537" i="5"/>
  <c r="H2537" i="5" s="1"/>
  <c r="J2538" i="5"/>
  <c r="H2538" i="5" s="1"/>
  <c r="J2539" i="5"/>
  <c r="H2539" i="5" s="1"/>
  <c r="J2540" i="5"/>
  <c r="H2540" i="5" s="1"/>
  <c r="J2541" i="5"/>
  <c r="H2541" i="5" s="1"/>
  <c r="J2542" i="5"/>
  <c r="H2542" i="5" s="1"/>
  <c r="J2543" i="5"/>
  <c r="H2543" i="5" s="1"/>
  <c r="J2544" i="5"/>
  <c r="H2544" i="5" s="1"/>
  <c r="J2545" i="5"/>
  <c r="H2545" i="5" s="1"/>
  <c r="J2546" i="5"/>
  <c r="H2546" i="5" s="1"/>
  <c r="J2547" i="5"/>
  <c r="H2547" i="5" s="1"/>
  <c r="J2548" i="5"/>
  <c r="H2548" i="5" s="1"/>
  <c r="J2549" i="5"/>
  <c r="H2549" i="5" s="1"/>
  <c r="J2550" i="5"/>
  <c r="H2550" i="5" s="1"/>
  <c r="J2551" i="5"/>
  <c r="H2551" i="5" s="1"/>
  <c r="J2552" i="5"/>
  <c r="H2552" i="5" s="1"/>
  <c r="J2553" i="5"/>
  <c r="H2553" i="5" s="1"/>
  <c r="J2554" i="5"/>
  <c r="H2554" i="5" s="1"/>
  <c r="J2555" i="5"/>
  <c r="H2555" i="5" s="1"/>
  <c r="J2556" i="5"/>
  <c r="H2556" i="5" s="1"/>
  <c r="J2557" i="5"/>
  <c r="H2557" i="5" s="1"/>
  <c r="J2558" i="5"/>
  <c r="H2558" i="5" s="1"/>
  <c r="J2559" i="5"/>
  <c r="H2559" i="5" s="1"/>
  <c r="J2560" i="5"/>
  <c r="H2560" i="5" s="1"/>
  <c r="J2561" i="5"/>
  <c r="H2561" i="5" s="1"/>
  <c r="J2562" i="5"/>
  <c r="H2562" i="5" s="1"/>
  <c r="J2563" i="5"/>
  <c r="H2563" i="5" s="1"/>
  <c r="J2564" i="5"/>
  <c r="H2564" i="5" s="1"/>
  <c r="J2565" i="5"/>
  <c r="H2565" i="5" s="1"/>
  <c r="J2566" i="5"/>
  <c r="H2566" i="5" s="1"/>
  <c r="J2567" i="5"/>
  <c r="H2567" i="5" s="1"/>
  <c r="J2568" i="5"/>
  <c r="H2568" i="5" s="1"/>
  <c r="J2569" i="5"/>
  <c r="H2569" i="5" s="1"/>
  <c r="J2570" i="5"/>
  <c r="H2570" i="5" s="1"/>
  <c r="J2571" i="5"/>
  <c r="H2571" i="5" s="1"/>
  <c r="J2572" i="5"/>
  <c r="H2572" i="5" s="1"/>
  <c r="J2573" i="5"/>
  <c r="H2573" i="5" s="1"/>
  <c r="J2574" i="5"/>
  <c r="H2574" i="5" s="1"/>
  <c r="J2575" i="5"/>
  <c r="H2575" i="5" s="1"/>
  <c r="J2576" i="5"/>
  <c r="H2576" i="5" s="1"/>
  <c r="J2577" i="5"/>
  <c r="H2577" i="5" s="1"/>
  <c r="J2578" i="5"/>
  <c r="H2578" i="5" s="1"/>
  <c r="J2579" i="5"/>
  <c r="H2579" i="5" s="1"/>
  <c r="J2580" i="5"/>
  <c r="H2580" i="5" s="1"/>
  <c r="J2581" i="5"/>
  <c r="H2581" i="5" s="1"/>
  <c r="J2582" i="5"/>
  <c r="H2582" i="5" s="1"/>
  <c r="J2583" i="5"/>
  <c r="H2583" i="5" s="1"/>
  <c r="J2584" i="5"/>
  <c r="H2584" i="5" s="1"/>
  <c r="J2585" i="5"/>
  <c r="H2585" i="5" s="1"/>
  <c r="J2586" i="5"/>
  <c r="H2586" i="5" s="1"/>
  <c r="J2587" i="5"/>
  <c r="H2587" i="5" s="1"/>
  <c r="J2588" i="5"/>
  <c r="H2588" i="5" s="1"/>
  <c r="J2589" i="5"/>
  <c r="H2589" i="5" s="1"/>
  <c r="J2590" i="5"/>
  <c r="H2590" i="5" s="1"/>
  <c r="J2591" i="5"/>
  <c r="H2591" i="5" s="1"/>
  <c r="J2592" i="5"/>
  <c r="H2592" i="5" s="1"/>
  <c r="J2593" i="5"/>
  <c r="H2593" i="5" s="1"/>
  <c r="J2594" i="5"/>
  <c r="H2594" i="5" s="1"/>
  <c r="J2595" i="5"/>
  <c r="H2595" i="5" s="1"/>
  <c r="J2596" i="5"/>
  <c r="H2596" i="5" s="1"/>
  <c r="J2597" i="5"/>
  <c r="H2597" i="5" s="1"/>
  <c r="J2598" i="5"/>
  <c r="H2598" i="5" s="1"/>
  <c r="J2599" i="5"/>
  <c r="H2599" i="5" s="1"/>
  <c r="J2600" i="5"/>
  <c r="H2600" i="5" s="1"/>
  <c r="J2601" i="5"/>
  <c r="H2601" i="5" s="1"/>
  <c r="J2602" i="5"/>
  <c r="H2602" i="5" s="1"/>
  <c r="J2603" i="5"/>
  <c r="H2603" i="5" s="1"/>
  <c r="J2604" i="5"/>
  <c r="H2604" i="5" s="1"/>
  <c r="J2605" i="5"/>
  <c r="H2605" i="5" s="1"/>
  <c r="J2606" i="5"/>
  <c r="H2606" i="5" s="1"/>
  <c r="J2607" i="5"/>
  <c r="H2607" i="5" s="1"/>
  <c r="J2608" i="5"/>
  <c r="H2608" i="5" s="1"/>
  <c r="J2609" i="5"/>
  <c r="H2609" i="5" s="1"/>
  <c r="J2610" i="5"/>
  <c r="H2610" i="5" s="1"/>
  <c r="J2611" i="5"/>
  <c r="H2611" i="5" s="1"/>
  <c r="J2612" i="5"/>
  <c r="H2612" i="5" s="1"/>
  <c r="J2613" i="5"/>
  <c r="H2613" i="5" s="1"/>
  <c r="J2614" i="5"/>
  <c r="H2614" i="5" s="1"/>
  <c r="J2615" i="5"/>
  <c r="H2615" i="5" s="1"/>
  <c r="J2616" i="5"/>
  <c r="H2616" i="5" s="1"/>
  <c r="J2617" i="5"/>
  <c r="H2617" i="5" s="1"/>
  <c r="J2618" i="5"/>
  <c r="H2618" i="5" s="1"/>
  <c r="J2619" i="5"/>
  <c r="H2619" i="5" s="1"/>
  <c r="J2620" i="5"/>
  <c r="H2620" i="5" s="1"/>
  <c r="J2621" i="5"/>
  <c r="H2621" i="5" s="1"/>
  <c r="J2622" i="5"/>
  <c r="H2622" i="5" s="1"/>
  <c r="J2623" i="5"/>
  <c r="H2623" i="5" s="1"/>
  <c r="J2624" i="5"/>
  <c r="H2624" i="5" s="1"/>
  <c r="J2625" i="5"/>
  <c r="H2625" i="5" s="1"/>
  <c r="J2626" i="5"/>
  <c r="H2626" i="5" s="1"/>
  <c r="J2627" i="5"/>
  <c r="H2627" i="5" s="1"/>
  <c r="J2628" i="5"/>
  <c r="H2628" i="5" s="1"/>
  <c r="J2629" i="5"/>
  <c r="H2629" i="5" s="1"/>
  <c r="J2630" i="5"/>
  <c r="H2630" i="5" s="1"/>
  <c r="J2631" i="5"/>
  <c r="H2631" i="5" s="1"/>
  <c r="J2632" i="5"/>
  <c r="H2632" i="5" s="1"/>
  <c r="J2633" i="5"/>
  <c r="H2633" i="5" s="1"/>
  <c r="J2634" i="5"/>
  <c r="H2634" i="5" s="1"/>
  <c r="J2635" i="5"/>
  <c r="H2635" i="5" s="1"/>
  <c r="J2636" i="5"/>
  <c r="H2636" i="5" s="1"/>
  <c r="J2637" i="5"/>
  <c r="H2637" i="5" s="1"/>
  <c r="J2638" i="5"/>
  <c r="H2638" i="5" s="1"/>
  <c r="J2639" i="5"/>
  <c r="H2639" i="5" s="1"/>
  <c r="J2640" i="5"/>
  <c r="H2640" i="5" s="1"/>
  <c r="J2641" i="5"/>
  <c r="H2641" i="5" s="1"/>
  <c r="J2642" i="5"/>
  <c r="H2642" i="5" s="1"/>
  <c r="J2643" i="5"/>
  <c r="H2643" i="5" s="1"/>
  <c r="J2644" i="5"/>
  <c r="H2644" i="5" s="1"/>
  <c r="J2645" i="5"/>
  <c r="H2645" i="5" s="1"/>
  <c r="J2646" i="5"/>
  <c r="H2646" i="5" s="1"/>
  <c r="J2647" i="5"/>
  <c r="H2647" i="5" s="1"/>
  <c r="J2648" i="5"/>
  <c r="H2648" i="5" s="1"/>
  <c r="J2649" i="5"/>
  <c r="H2649" i="5" s="1"/>
  <c r="J2650" i="5"/>
  <c r="H2650" i="5" s="1"/>
  <c r="J2651" i="5"/>
  <c r="H2651" i="5" s="1"/>
  <c r="J2652" i="5"/>
  <c r="H2652" i="5" s="1"/>
  <c r="J2653" i="5"/>
  <c r="H2653" i="5" s="1"/>
  <c r="J2654" i="5"/>
  <c r="H2654" i="5" s="1"/>
  <c r="J2655" i="5"/>
  <c r="H2655" i="5" s="1"/>
  <c r="J2656" i="5"/>
  <c r="H2656" i="5" s="1"/>
  <c r="J2657" i="5"/>
  <c r="H2657" i="5" s="1"/>
  <c r="J2658" i="5"/>
  <c r="H2658" i="5" s="1"/>
  <c r="J2659" i="5"/>
  <c r="H2659" i="5" s="1"/>
  <c r="J2660" i="5"/>
  <c r="H2660" i="5" s="1"/>
  <c r="J2661" i="5"/>
  <c r="H2661" i="5" s="1"/>
  <c r="J2662" i="5"/>
  <c r="H2662" i="5" s="1"/>
  <c r="J2663" i="5"/>
  <c r="H2663" i="5" s="1"/>
  <c r="J2664" i="5"/>
  <c r="H2664" i="5" s="1"/>
  <c r="J2665" i="5"/>
  <c r="H2665" i="5" s="1"/>
  <c r="J2666" i="5"/>
  <c r="H2666" i="5" s="1"/>
  <c r="J2667" i="5"/>
  <c r="H2667" i="5" s="1"/>
  <c r="J2668" i="5"/>
  <c r="H2668" i="5" s="1"/>
  <c r="J2669" i="5"/>
  <c r="H2669" i="5" s="1"/>
  <c r="J2670" i="5"/>
  <c r="H2670" i="5" s="1"/>
  <c r="J2671" i="5"/>
  <c r="H2671" i="5" s="1"/>
  <c r="J2672" i="5"/>
  <c r="H2672" i="5" s="1"/>
  <c r="J2673" i="5"/>
  <c r="H2673" i="5" s="1"/>
  <c r="J2674" i="5"/>
  <c r="H2674" i="5" s="1"/>
  <c r="J2675" i="5"/>
  <c r="H2675" i="5" s="1"/>
  <c r="J2676" i="5"/>
  <c r="H2676" i="5" s="1"/>
  <c r="J2677" i="5"/>
  <c r="H2677" i="5" s="1"/>
  <c r="J2678" i="5"/>
  <c r="H2678" i="5" s="1"/>
  <c r="J2679" i="5"/>
  <c r="H2679" i="5" s="1"/>
  <c r="J2680" i="5"/>
  <c r="H2680" i="5" s="1"/>
  <c r="J2681" i="5"/>
  <c r="H2681" i="5" s="1"/>
  <c r="J2682" i="5"/>
  <c r="H2682" i="5" s="1"/>
  <c r="J2683" i="5"/>
  <c r="H2683" i="5" s="1"/>
  <c r="J2684" i="5"/>
  <c r="H2684" i="5" s="1"/>
  <c r="J2685" i="5"/>
  <c r="H2685" i="5" s="1"/>
  <c r="J2686" i="5"/>
  <c r="H2686" i="5" s="1"/>
  <c r="J2687" i="5"/>
  <c r="H2687" i="5" s="1"/>
  <c r="J2688" i="5"/>
  <c r="H2688" i="5" s="1"/>
  <c r="J2689" i="5"/>
  <c r="H2689" i="5" s="1"/>
  <c r="J2690" i="5"/>
  <c r="H2690" i="5" s="1"/>
  <c r="J2691" i="5"/>
  <c r="H2691" i="5" s="1"/>
  <c r="J2692" i="5"/>
  <c r="H2692" i="5" s="1"/>
  <c r="J2693" i="5"/>
  <c r="H2693" i="5" s="1"/>
  <c r="J2694" i="5"/>
  <c r="H2694" i="5" s="1"/>
  <c r="J2695" i="5"/>
  <c r="H2695" i="5" s="1"/>
  <c r="J2696" i="5"/>
  <c r="H2696" i="5" s="1"/>
  <c r="J2697" i="5"/>
  <c r="H2697" i="5" s="1"/>
  <c r="J2698" i="5"/>
  <c r="H2698" i="5" s="1"/>
  <c r="J2699" i="5"/>
  <c r="H2699" i="5" s="1"/>
  <c r="J2700" i="5"/>
  <c r="H2700" i="5" s="1"/>
  <c r="J2701" i="5"/>
  <c r="H2701" i="5" s="1"/>
  <c r="J2702" i="5"/>
  <c r="H2702" i="5" s="1"/>
  <c r="J2703" i="5"/>
  <c r="H2703" i="5" s="1"/>
  <c r="J2704" i="5"/>
  <c r="H2704" i="5" s="1"/>
  <c r="J2705" i="5"/>
  <c r="H2705" i="5" s="1"/>
  <c r="J2706" i="5"/>
  <c r="H2706" i="5" s="1"/>
  <c r="J2707" i="5"/>
  <c r="H2707" i="5" s="1"/>
  <c r="J2708" i="5"/>
  <c r="H2708" i="5" s="1"/>
  <c r="J2709" i="5"/>
  <c r="H2709" i="5" s="1"/>
  <c r="J2710" i="5"/>
  <c r="H2710" i="5" s="1"/>
  <c r="J2711" i="5"/>
  <c r="H2711" i="5" s="1"/>
  <c r="J2712" i="5"/>
  <c r="H2712" i="5" s="1"/>
  <c r="J2713" i="5"/>
  <c r="H2713" i="5" s="1"/>
  <c r="J2714" i="5"/>
  <c r="H2714" i="5" s="1"/>
  <c r="J2715" i="5"/>
  <c r="H2715" i="5" s="1"/>
  <c r="J2716" i="5"/>
  <c r="H2716" i="5" s="1"/>
  <c r="J2717" i="5"/>
  <c r="H2717" i="5" s="1"/>
  <c r="J2718" i="5"/>
  <c r="H2718" i="5" s="1"/>
  <c r="J2719" i="5"/>
  <c r="H2719" i="5" s="1"/>
  <c r="J2720" i="5"/>
  <c r="H2720" i="5" s="1"/>
  <c r="J2721" i="5"/>
  <c r="H2721" i="5" s="1"/>
  <c r="J2722" i="5"/>
  <c r="H2722" i="5" s="1"/>
  <c r="J2723" i="5"/>
  <c r="H2723" i="5" s="1"/>
  <c r="J2724" i="5"/>
  <c r="H2724" i="5" s="1"/>
  <c r="J2725" i="5"/>
  <c r="H2725" i="5" s="1"/>
  <c r="J2726" i="5"/>
  <c r="H2726" i="5" s="1"/>
  <c r="J2727" i="5"/>
  <c r="H2727" i="5" s="1"/>
  <c r="J2728" i="5"/>
  <c r="H2728" i="5" s="1"/>
  <c r="J2729" i="5"/>
  <c r="H2729" i="5" s="1"/>
  <c r="J2730" i="5"/>
  <c r="H2730" i="5" s="1"/>
  <c r="J2731" i="5"/>
  <c r="H2731" i="5" s="1"/>
  <c r="J2732" i="5"/>
  <c r="H2732" i="5" s="1"/>
  <c r="J2733" i="5"/>
  <c r="H2733" i="5" s="1"/>
  <c r="J2734" i="5"/>
  <c r="H2734" i="5" s="1"/>
  <c r="J2735" i="5"/>
  <c r="H2735" i="5" s="1"/>
  <c r="J2736" i="5"/>
  <c r="H2736" i="5" s="1"/>
  <c r="J2737" i="5"/>
  <c r="H2737" i="5" s="1"/>
  <c r="J2738" i="5"/>
  <c r="H2738" i="5" s="1"/>
  <c r="J2739" i="5"/>
  <c r="H2739" i="5" s="1"/>
  <c r="J2740" i="5"/>
  <c r="H2740" i="5" s="1"/>
  <c r="J2741" i="5"/>
  <c r="H2741" i="5" s="1"/>
  <c r="J2742" i="5"/>
  <c r="H2742" i="5" s="1"/>
  <c r="J2743" i="5"/>
  <c r="H2743" i="5" s="1"/>
  <c r="J2744" i="5"/>
  <c r="H2744" i="5" s="1"/>
  <c r="J2745" i="5"/>
  <c r="H2745" i="5" s="1"/>
  <c r="J2746" i="5"/>
  <c r="H2746" i="5" s="1"/>
  <c r="J2747" i="5"/>
  <c r="H2747" i="5" s="1"/>
  <c r="J2748" i="5"/>
  <c r="H2748" i="5" s="1"/>
  <c r="J2749" i="5"/>
  <c r="H2749" i="5" s="1"/>
  <c r="J2750" i="5"/>
  <c r="H2750" i="5" s="1"/>
  <c r="J2751" i="5"/>
  <c r="H2751" i="5" s="1"/>
  <c r="J2752" i="5"/>
  <c r="H2752" i="5" s="1"/>
  <c r="J2753" i="5"/>
  <c r="H2753" i="5" s="1"/>
  <c r="J2754" i="5"/>
  <c r="H2754" i="5" s="1"/>
  <c r="J2755" i="5"/>
  <c r="H2755" i="5" s="1"/>
  <c r="J2756" i="5"/>
  <c r="H2756" i="5" s="1"/>
  <c r="J2757" i="5"/>
  <c r="H2757" i="5" s="1"/>
  <c r="J2758" i="5"/>
  <c r="H2758" i="5" s="1"/>
  <c r="J2759" i="5"/>
  <c r="H2759" i="5" s="1"/>
  <c r="J2760" i="5"/>
  <c r="H2760" i="5" s="1"/>
  <c r="J2761" i="5"/>
  <c r="H2761" i="5" s="1"/>
  <c r="J2762" i="5"/>
  <c r="H2762" i="5" s="1"/>
  <c r="J2763" i="5"/>
  <c r="H2763" i="5" s="1"/>
  <c r="J2764" i="5"/>
  <c r="H2764" i="5" s="1"/>
  <c r="J2765" i="5"/>
  <c r="H2765" i="5" s="1"/>
  <c r="J2766" i="5"/>
  <c r="H2766" i="5" s="1"/>
  <c r="J2767" i="5"/>
  <c r="H2767" i="5" s="1"/>
  <c r="J2768" i="5"/>
  <c r="H2768" i="5" s="1"/>
  <c r="J2769" i="5"/>
  <c r="H2769" i="5" s="1"/>
  <c r="J2770" i="5"/>
  <c r="H2770" i="5" s="1"/>
  <c r="J2771" i="5"/>
  <c r="H2771" i="5" s="1"/>
  <c r="J2772" i="5"/>
  <c r="H2772" i="5" s="1"/>
  <c r="J2773" i="5"/>
  <c r="H2773" i="5" s="1"/>
  <c r="J2774" i="5"/>
  <c r="H2774" i="5" s="1"/>
  <c r="J2775" i="5"/>
  <c r="H2775" i="5" s="1"/>
  <c r="J2776" i="5"/>
  <c r="H2776" i="5" s="1"/>
  <c r="J2777" i="5"/>
  <c r="H2777" i="5" s="1"/>
  <c r="J2778" i="5"/>
  <c r="H2778" i="5" s="1"/>
  <c r="J2779" i="5"/>
  <c r="H2779" i="5" s="1"/>
  <c r="J2780" i="5"/>
  <c r="H2780" i="5" s="1"/>
  <c r="J2781" i="5"/>
  <c r="H2781" i="5" s="1"/>
  <c r="J2782" i="5"/>
  <c r="H2782" i="5" s="1"/>
  <c r="J2783" i="5"/>
  <c r="H2783" i="5" s="1"/>
  <c r="J2784" i="5"/>
  <c r="H2784" i="5" s="1"/>
  <c r="J2785" i="5"/>
  <c r="H2785" i="5" s="1"/>
  <c r="J2786" i="5"/>
  <c r="H2786" i="5" s="1"/>
  <c r="J2787" i="5"/>
  <c r="H2787" i="5" s="1"/>
  <c r="J2788" i="5"/>
  <c r="H2788" i="5" s="1"/>
  <c r="J2789" i="5"/>
  <c r="H2789" i="5" s="1"/>
  <c r="J2790" i="5"/>
  <c r="H2790" i="5" s="1"/>
  <c r="J2791" i="5"/>
  <c r="H2791" i="5" s="1"/>
  <c r="J2792" i="5"/>
  <c r="H2792" i="5" s="1"/>
  <c r="J2793" i="5"/>
  <c r="H2793" i="5" s="1"/>
  <c r="J2794" i="5"/>
  <c r="H2794" i="5" s="1"/>
  <c r="J2795" i="5"/>
  <c r="H2795" i="5" s="1"/>
  <c r="J2796" i="5"/>
  <c r="H2796" i="5" s="1"/>
  <c r="J2797" i="5"/>
  <c r="H2797" i="5" s="1"/>
  <c r="J2798" i="5"/>
  <c r="H2798" i="5" s="1"/>
  <c r="J2799" i="5"/>
  <c r="H2799" i="5" s="1"/>
  <c r="J2800" i="5"/>
  <c r="H2800" i="5" s="1"/>
  <c r="J2801" i="5"/>
  <c r="H2801" i="5" s="1"/>
  <c r="J2802" i="5"/>
  <c r="H2802" i="5" s="1"/>
  <c r="J2803" i="5"/>
  <c r="H2803" i="5" s="1"/>
  <c r="J2804" i="5"/>
  <c r="H2804" i="5" s="1"/>
  <c r="J2805" i="5"/>
  <c r="H2805" i="5" s="1"/>
  <c r="J2806" i="5"/>
  <c r="H2806" i="5" s="1"/>
  <c r="J2807" i="5"/>
  <c r="H2807" i="5" s="1"/>
  <c r="J2808" i="5"/>
  <c r="H2808" i="5" s="1"/>
  <c r="J2809" i="5"/>
  <c r="H2809" i="5" s="1"/>
  <c r="J2810" i="5"/>
  <c r="H2810" i="5" s="1"/>
  <c r="J2811" i="5"/>
  <c r="H2811" i="5" s="1"/>
  <c r="J2812" i="5"/>
  <c r="H2812" i="5" s="1"/>
  <c r="J2813" i="5"/>
  <c r="H2813" i="5" s="1"/>
  <c r="J2814" i="5"/>
  <c r="H2814" i="5" s="1"/>
  <c r="J2815" i="5"/>
  <c r="H2815" i="5" s="1"/>
  <c r="J2816" i="5"/>
  <c r="H2816" i="5" s="1"/>
  <c r="J2817" i="5"/>
  <c r="H2817" i="5" s="1"/>
  <c r="J2818" i="5"/>
  <c r="H2818" i="5" s="1"/>
  <c r="J2819" i="5"/>
  <c r="H2819" i="5" s="1"/>
  <c r="J2820" i="5"/>
  <c r="H2820" i="5" s="1"/>
  <c r="J2821" i="5"/>
  <c r="H2821" i="5" s="1"/>
  <c r="J2822" i="5"/>
  <c r="H2822" i="5" s="1"/>
  <c r="J2823" i="5"/>
  <c r="H2823" i="5" s="1"/>
  <c r="J2824" i="5"/>
  <c r="H2824" i="5" s="1"/>
  <c r="J2825" i="5"/>
  <c r="H2825" i="5" s="1"/>
  <c r="J2826" i="5"/>
  <c r="H2826" i="5" s="1"/>
  <c r="J2827" i="5"/>
  <c r="H2827" i="5" s="1"/>
  <c r="J2828" i="5"/>
  <c r="H2828" i="5" s="1"/>
  <c r="J2829" i="5"/>
  <c r="H2829" i="5" s="1"/>
  <c r="J2830" i="5"/>
  <c r="H2830" i="5" s="1"/>
  <c r="J2831" i="5"/>
  <c r="H2831" i="5" s="1"/>
  <c r="J2832" i="5"/>
  <c r="H2832" i="5" s="1"/>
  <c r="J2833" i="5"/>
  <c r="H2833" i="5" s="1"/>
  <c r="J2834" i="5"/>
  <c r="H2834" i="5" s="1"/>
  <c r="J2835" i="5"/>
  <c r="H2835" i="5" s="1"/>
  <c r="J2836" i="5"/>
  <c r="H2836" i="5" s="1"/>
  <c r="J2837" i="5"/>
  <c r="H2837" i="5" s="1"/>
  <c r="J2838" i="5"/>
  <c r="H2838" i="5" s="1"/>
  <c r="J2839" i="5"/>
  <c r="H2839" i="5" s="1"/>
  <c r="J2840" i="5"/>
  <c r="H2840" i="5" s="1"/>
  <c r="J2841" i="5"/>
  <c r="H2841" i="5" s="1"/>
  <c r="J2842" i="5"/>
  <c r="H2842" i="5" s="1"/>
  <c r="J2843" i="5"/>
  <c r="H2843" i="5" s="1"/>
  <c r="J2844" i="5"/>
  <c r="H2844" i="5" s="1"/>
  <c r="J2845" i="5"/>
  <c r="H2845" i="5" s="1"/>
  <c r="J2846" i="5"/>
  <c r="H2846" i="5" s="1"/>
  <c r="J2847" i="5"/>
  <c r="H2847" i="5" s="1"/>
  <c r="J2848" i="5"/>
  <c r="H2848" i="5" s="1"/>
  <c r="J2849" i="5"/>
  <c r="H2849" i="5" s="1"/>
  <c r="J2850" i="5"/>
  <c r="H2850" i="5" s="1"/>
  <c r="J2851" i="5"/>
  <c r="H2851" i="5" s="1"/>
  <c r="J2852" i="5"/>
  <c r="H2852" i="5" s="1"/>
  <c r="J2853" i="5"/>
  <c r="H2853" i="5" s="1"/>
  <c r="J2854" i="5"/>
  <c r="H2854" i="5" s="1"/>
  <c r="J2855" i="5"/>
  <c r="H2855" i="5" s="1"/>
  <c r="J2856" i="5"/>
  <c r="H2856" i="5" s="1"/>
  <c r="J2857" i="5"/>
  <c r="H2857" i="5" s="1"/>
  <c r="J2858" i="5"/>
  <c r="H2858" i="5" s="1"/>
  <c r="J2859" i="5"/>
  <c r="H2859" i="5" s="1"/>
  <c r="J2860" i="5"/>
  <c r="H2860" i="5" s="1"/>
  <c r="J2861" i="5"/>
  <c r="H2861" i="5" s="1"/>
  <c r="J2862" i="5"/>
  <c r="H2862" i="5" s="1"/>
  <c r="J2863" i="5"/>
  <c r="H2863" i="5" s="1"/>
  <c r="J2864" i="5"/>
  <c r="H2864" i="5" s="1"/>
  <c r="J2865" i="5"/>
  <c r="H2865" i="5" s="1"/>
  <c r="J2866" i="5"/>
  <c r="H2866" i="5" s="1"/>
  <c r="J2867" i="5"/>
  <c r="H2867" i="5" s="1"/>
  <c r="J2868" i="5"/>
  <c r="H2868" i="5" s="1"/>
  <c r="J2869" i="5"/>
  <c r="H2869" i="5" s="1"/>
  <c r="J2870" i="5"/>
  <c r="H2870" i="5" s="1"/>
  <c r="J2871" i="5"/>
  <c r="H2871" i="5" s="1"/>
  <c r="J2872" i="5"/>
  <c r="H2872" i="5" s="1"/>
  <c r="J2873" i="5"/>
  <c r="H2873" i="5" s="1"/>
  <c r="J2874" i="5"/>
  <c r="H2874" i="5" s="1"/>
  <c r="J2875" i="5"/>
  <c r="H2875" i="5" s="1"/>
  <c r="J2876" i="5"/>
  <c r="H2876" i="5" s="1"/>
  <c r="J2877" i="5"/>
  <c r="H2877" i="5" s="1"/>
  <c r="J2878" i="5"/>
  <c r="H2878" i="5" s="1"/>
  <c r="J2879" i="5"/>
  <c r="H2879" i="5" s="1"/>
  <c r="J2880" i="5"/>
  <c r="H2880" i="5" s="1"/>
  <c r="J2881" i="5"/>
  <c r="H2881" i="5" s="1"/>
  <c r="J2882" i="5"/>
  <c r="H2882" i="5" s="1"/>
  <c r="J2883" i="5"/>
  <c r="H2883" i="5" s="1"/>
  <c r="J2884" i="5"/>
  <c r="H2884" i="5" s="1"/>
  <c r="J2885" i="5"/>
  <c r="H2885" i="5" s="1"/>
  <c r="J2886" i="5"/>
  <c r="H2886" i="5" s="1"/>
  <c r="J2887" i="5"/>
  <c r="H2887" i="5" s="1"/>
  <c r="J2888" i="5"/>
  <c r="H2888" i="5" s="1"/>
  <c r="J2889" i="5"/>
  <c r="H2889" i="5" s="1"/>
  <c r="J2890" i="5"/>
  <c r="H2890" i="5" s="1"/>
  <c r="J2891" i="5"/>
  <c r="H2891" i="5" s="1"/>
  <c r="J2892" i="5"/>
  <c r="H2892" i="5" s="1"/>
  <c r="J2893" i="5"/>
  <c r="H2893" i="5" s="1"/>
  <c r="J2894" i="5"/>
  <c r="H2894" i="5" s="1"/>
  <c r="J2895" i="5"/>
  <c r="H2895" i="5" s="1"/>
  <c r="J2896" i="5"/>
  <c r="H2896" i="5" s="1"/>
  <c r="J2897" i="5"/>
  <c r="H2897" i="5" s="1"/>
  <c r="J2898" i="5"/>
  <c r="H2898" i="5" s="1"/>
  <c r="J2899" i="5"/>
  <c r="H2899" i="5" s="1"/>
  <c r="J2900" i="5"/>
  <c r="H2900" i="5" s="1"/>
  <c r="J2901" i="5"/>
  <c r="H2901" i="5" s="1"/>
  <c r="J2902" i="5"/>
  <c r="H2902" i="5" s="1"/>
  <c r="J2903" i="5"/>
  <c r="H2903" i="5" s="1"/>
  <c r="J2904" i="5"/>
  <c r="H2904" i="5" s="1"/>
  <c r="J2905" i="5"/>
  <c r="H2905" i="5" s="1"/>
  <c r="J2906" i="5"/>
  <c r="H2906" i="5" s="1"/>
  <c r="J2907" i="5"/>
  <c r="H2907" i="5" s="1"/>
  <c r="J2908" i="5"/>
  <c r="H2908" i="5" s="1"/>
  <c r="J2909" i="5"/>
  <c r="H2909" i="5" s="1"/>
  <c r="J2910" i="5"/>
  <c r="H2910" i="5" s="1"/>
  <c r="J2911" i="5"/>
  <c r="H2911" i="5" s="1"/>
  <c r="J2912" i="5"/>
  <c r="H2912" i="5" s="1"/>
  <c r="J2913" i="5"/>
  <c r="H2913" i="5" s="1"/>
  <c r="J2914" i="5"/>
  <c r="H2914" i="5" s="1"/>
  <c r="J2915" i="5"/>
  <c r="H2915" i="5" s="1"/>
  <c r="J2916" i="5"/>
  <c r="H2916" i="5" s="1"/>
  <c r="J2917" i="5"/>
  <c r="H2917" i="5" s="1"/>
  <c r="J2918" i="5"/>
  <c r="H2918" i="5" s="1"/>
  <c r="J2919" i="5"/>
  <c r="H2919" i="5" s="1"/>
  <c r="J2920" i="5"/>
  <c r="H2920" i="5" s="1"/>
  <c r="J2921" i="5"/>
  <c r="H2921" i="5" s="1"/>
  <c r="J2922" i="5"/>
  <c r="H2922" i="5" s="1"/>
  <c r="J2923" i="5"/>
  <c r="H2923" i="5" s="1"/>
  <c r="J2924" i="5"/>
  <c r="H2924" i="5" s="1"/>
  <c r="J2925" i="5"/>
  <c r="H2925" i="5" s="1"/>
  <c r="J2926" i="5"/>
  <c r="H2926" i="5" s="1"/>
  <c r="J2927" i="5"/>
  <c r="H2927" i="5" s="1"/>
  <c r="J2928" i="5"/>
  <c r="H2928" i="5" s="1"/>
  <c r="J2929" i="5"/>
  <c r="H2929" i="5" s="1"/>
  <c r="J2930" i="5"/>
  <c r="H2930" i="5" s="1"/>
  <c r="J2931" i="5"/>
  <c r="H2931" i="5" s="1"/>
  <c r="J2932" i="5"/>
  <c r="H2932" i="5" s="1"/>
  <c r="J2933" i="5"/>
  <c r="H2933" i="5" s="1"/>
  <c r="J2934" i="5"/>
  <c r="H2934" i="5" s="1"/>
  <c r="J2935" i="5"/>
  <c r="H2935" i="5" s="1"/>
  <c r="J2936" i="5"/>
  <c r="H2936" i="5" s="1"/>
  <c r="J2937" i="5"/>
  <c r="H2937" i="5" s="1"/>
  <c r="J2938" i="5"/>
  <c r="H2938" i="5" s="1"/>
  <c r="J2939" i="5"/>
  <c r="H2939" i="5" s="1"/>
  <c r="J2940" i="5"/>
  <c r="H2940" i="5" s="1"/>
  <c r="J2941" i="5"/>
  <c r="H2941" i="5" s="1"/>
  <c r="J2942" i="5"/>
  <c r="H2942" i="5" s="1"/>
  <c r="J2943" i="5"/>
  <c r="H2943" i="5" s="1"/>
  <c r="J2944" i="5"/>
  <c r="H2944" i="5" s="1"/>
  <c r="J2945" i="5"/>
  <c r="H2945" i="5" s="1"/>
  <c r="J2946" i="5"/>
  <c r="H2946" i="5" s="1"/>
  <c r="J2947" i="5"/>
  <c r="H2947" i="5" s="1"/>
  <c r="J2948" i="5"/>
  <c r="H2948" i="5" s="1"/>
  <c r="J2949" i="5"/>
  <c r="H2949" i="5" s="1"/>
  <c r="J2950" i="5"/>
  <c r="H2950" i="5" s="1"/>
  <c r="J2951" i="5"/>
  <c r="H2951" i="5" s="1"/>
  <c r="J2952" i="5"/>
  <c r="H2952" i="5" s="1"/>
  <c r="J2953" i="5"/>
  <c r="H2953" i="5" s="1"/>
  <c r="J2954" i="5"/>
  <c r="H2954" i="5" s="1"/>
  <c r="J2955" i="5"/>
  <c r="H2955" i="5" s="1"/>
  <c r="J2956" i="5"/>
  <c r="H2956" i="5" s="1"/>
  <c r="J2957" i="5"/>
  <c r="H2957" i="5" s="1"/>
  <c r="J2958" i="5"/>
  <c r="H2958" i="5" s="1"/>
  <c r="J2959" i="5"/>
  <c r="H2959" i="5" s="1"/>
  <c r="J2960" i="5"/>
  <c r="H2960" i="5" s="1"/>
  <c r="J2961" i="5"/>
  <c r="H2961" i="5" s="1"/>
  <c r="J2962" i="5"/>
  <c r="H2962" i="5" s="1"/>
  <c r="J2963" i="5"/>
  <c r="H2963" i="5" s="1"/>
  <c r="J2964" i="5"/>
  <c r="H2964" i="5" s="1"/>
  <c r="J2965" i="5"/>
  <c r="H2965" i="5" s="1"/>
  <c r="J2966" i="5"/>
  <c r="H2966" i="5" s="1"/>
  <c r="J2967" i="5"/>
  <c r="H2967" i="5" s="1"/>
  <c r="J2968" i="5"/>
  <c r="H2968" i="5" s="1"/>
  <c r="J2969" i="5"/>
  <c r="H2969" i="5" s="1"/>
  <c r="J2970" i="5"/>
  <c r="H2970" i="5" s="1"/>
  <c r="J2971" i="5"/>
  <c r="H2971" i="5" s="1"/>
  <c r="J2972" i="5"/>
  <c r="H2972" i="5" s="1"/>
  <c r="J2973" i="5"/>
  <c r="H2973" i="5" s="1"/>
  <c r="J2974" i="5"/>
  <c r="H2974" i="5" s="1"/>
  <c r="J2975" i="5"/>
  <c r="H2975" i="5" s="1"/>
  <c r="J2976" i="5"/>
  <c r="H2976" i="5" s="1"/>
  <c r="J2977" i="5"/>
  <c r="H2977" i="5" s="1"/>
  <c r="J2978" i="5"/>
  <c r="H2978" i="5" s="1"/>
  <c r="J2979" i="5"/>
  <c r="H2979" i="5" s="1"/>
  <c r="J2980" i="5"/>
  <c r="H2980" i="5" s="1"/>
  <c r="J2981" i="5"/>
  <c r="H2981" i="5" s="1"/>
  <c r="J2982" i="5"/>
  <c r="H2982" i="5" s="1"/>
  <c r="J2983" i="5"/>
  <c r="H2983" i="5" s="1"/>
  <c r="J2984" i="5"/>
  <c r="H2984" i="5" s="1"/>
  <c r="J2985" i="5"/>
  <c r="H2985" i="5" s="1"/>
  <c r="J2986" i="5"/>
  <c r="H2986" i="5" s="1"/>
  <c r="J2987" i="5"/>
  <c r="H2987" i="5" s="1"/>
  <c r="J2988" i="5"/>
  <c r="H2988" i="5" s="1"/>
  <c r="J2989" i="5"/>
  <c r="H2989" i="5" s="1"/>
  <c r="J2990" i="5"/>
  <c r="H2990" i="5" s="1"/>
  <c r="J2991" i="5"/>
  <c r="H2991" i="5" s="1"/>
  <c r="J2992" i="5"/>
  <c r="H2992" i="5" s="1"/>
  <c r="J2993" i="5"/>
  <c r="H2993" i="5" s="1"/>
  <c r="J2994" i="5"/>
  <c r="H2994" i="5" s="1"/>
  <c r="J2995" i="5"/>
  <c r="H2995" i="5" s="1"/>
  <c r="J2996" i="5"/>
  <c r="H2996" i="5" s="1"/>
  <c r="J2997" i="5"/>
  <c r="H2997" i="5" s="1"/>
  <c r="J2998" i="5"/>
  <c r="H2998" i="5" s="1"/>
  <c r="J2999" i="5"/>
  <c r="H2999" i="5" s="1"/>
  <c r="J3000" i="5"/>
  <c r="H3000" i="5" s="1"/>
  <c r="J3001" i="5"/>
  <c r="H3001" i="5" s="1"/>
  <c r="J3002" i="5"/>
  <c r="H3002" i="5" s="1"/>
  <c r="J3003" i="5"/>
  <c r="H3003" i="5" s="1"/>
  <c r="J3004" i="5"/>
  <c r="H3004" i="5" s="1"/>
  <c r="J3005" i="5"/>
  <c r="H3005" i="5" s="1"/>
  <c r="J3006" i="5"/>
  <c r="H3006" i="5" s="1"/>
  <c r="J3007" i="5"/>
  <c r="H3007" i="5" s="1"/>
  <c r="J3008" i="5"/>
  <c r="H3008" i="5" s="1"/>
  <c r="J3009" i="5"/>
  <c r="H3009" i="5" s="1"/>
  <c r="J3010" i="5"/>
  <c r="H3010" i="5" s="1"/>
  <c r="J3011" i="5"/>
  <c r="H3011" i="5" s="1"/>
  <c r="J3012" i="5"/>
  <c r="H3012" i="5" s="1"/>
  <c r="J3013" i="5"/>
  <c r="H3013" i="5" s="1"/>
  <c r="J3014" i="5"/>
  <c r="H3014" i="5" s="1"/>
  <c r="J3015" i="5"/>
  <c r="H3015" i="5" s="1"/>
  <c r="J3016" i="5"/>
  <c r="H3016" i="5" s="1"/>
  <c r="J3017" i="5"/>
  <c r="H3017" i="5" s="1"/>
  <c r="J3018" i="5"/>
  <c r="H3018" i="5" s="1"/>
  <c r="J3019" i="5"/>
  <c r="H3019" i="5" s="1"/>
  <c r="J3020" i="5"/>
  <c r="H3020" i="5" s="1"/>
  <c r="J3021" i="5"/>
  <c r="H3021" i="5" s="1"/>
  <c r="J3022" i="5"/>
  <c r="H3022" i="5" s="1"/>
  <c r="J3023" i="5"/>
  <c r="H3023" i="5" s="1"/>
  <c r="J3024" i="5"/>
  <c r="H3024" i="5" s="1"/>
  <c r="J3025" i="5"/>
  <c r="H3025" i="5" s="1"/>
  <c r="J3026" i="5"/>
  <c r="H3026" i="5" s="1"/>
  <c r="J3027" i="5"/>
  <c r="H3027" i="5" s="1"/>
  <c r="J3028" i="5"/>
  <c r="H3028" i="5" s="1"/>
  <c r="J3029" i="5"/>
  <c r="H3029" i="5" s="1"/>
  <c r="J3030" i="5"/>
  <c r="H3030" i="5" s="1"/>
  <c r="J3031" i="5"/>
  <c r="H3031" i="5" s="1"/>
  <c r="J3032" i="5"/>
  <c r="H3032" i="5" s="1"/>
  <c r="J3033" i="5"/>
  <c r="H3033" i="5" s="1"/>
  <c r="J3034" i="5"/>
  <c r="H3034" i="5" s="1"/>
  <c r="J3035" i="5"/>
  <c r="H3035" i="5" s="1"/>
  <c r="J3036" i="5"/>
  <c r="H3036" i="5" s="1"/>
  <c r="J3037" i="5"/>
  <c r="H3037" i="5" s="1"/>
  <c r="J3038" i="5"/>
  <c r="H3038" i="5" s="1"/>
  <c r="J3039" i="5"/>
  <c r="H3039" i="5" s="1"/>
  <c r="J3040" i="5"/>
  <c r="H3040" i="5" s="1"/>
  <c r="J3041" i="5"/>
  <c r="H3041" i="5" s="1"/>
  <c r="J3042" i="5"/>
  <c r="H3042" i="5" s="1"/>
  <c r="J3043" i="5"/>
  <c r="H3043" i="5" s="1"/>
  <c r="J3044" i="5"/>
  <c r="H3044" i="5" s="1"/>
  <c r="J3045" i="5"/>
  <c r="H3045" i="5" s="1"/>
  <c r="J3046" i="5"/>
  <c r="H3046" i="5" s="1"/>
  <c r="J3047" i="5"/>
  <c r="H3047" i="5" s="1"/>
  <c r="J3048" i="5"/>
  <c r="H3048" i="5" s="1"/>
  <c r="J3049" i="5"/>
  <c r="H3049" i="5" s="1"/>
  <c r="J3050" i="5"/>
  <c r="H3050" i="5" s="1"/>
  <c r="J3051" i="5"/>
  <c r="H3051" i="5" s="1"/>
  <c r="J3052" i="5"/>
  <c r="H3052" i="5" s="1"/>
  <c r="J3053" i="5"/>
  <c r="H3053" i="5" s="1"/>
  <c r="J3054" i="5"/>
  <c r="H3054" i="5" s="1"/>
  <c r="J3055" i="5"/>
  <c r="H3055" i="5" s="1"/>
  <c r="J3056" i="5"/>
  <c r="H3056" i="5" s="1"/>
  <c r="J3057" i="5"/>
  <c r="H3057" i="5" s="1"/>
  <c r="J3058" i="5"/>
  <c r="H3058" i="5" s="1"/>
  <c r="J3059" i="5"/>
  <c r="H3059" i="5" s="1"/>
  <c r="J3060" i="5"/>
  <c r="H3060" i="5" s="1"/>
  <c r="J3061" i="5"/>
  <c r="H3061" i="5" s="1"/>
  <c r="J3062" i="5"/>
  <c r="H3062" i="5" s="1"/>
  <c r="J3063" i="5"/>
  <c r="H3063" i="5" s="1"/>
  <c r="J3064" i="5"/>
  <c r="H3064" i="5" s="1"/>
  <c r="J3065" i="5"/>
  <c r="H3065" i="5" s="1"/>
  <c r="J3066" i="5"/>
  <c r="H3066" i="5" s="1"/>
  <c r="J3067" i="5"/>
  <c r="H3067" i="5" s="1"/>
  <c r="J3068" i="5"/>
  <c r="H3068" i="5" s="1"/>
  <c r="J3069" i="5"/>
  <c r="H3069" i="5" s="1"/>
  <c r="J3070" i="5"/>
  <c r="H3070" i="5" s="1"/>
  <c r="J3071" i="5"/>
  <c r="H3071" i="5" s="1"/>
  <c r="J3072" i="5"/>
  <c r="H3072" i="5" s="1"/>
  <c r="J3073" i="5"/>
  <c r="H3073" i="5" s="1"/>
  <c r="J3074" i="5"/>
  <c r="H3074" i="5" s="1"/>
  <c r="J3075" i="5"/>
  <c r="H3075" i="5" s="1"/>
  <c r="J3076" i="5"/>
  <c r="H3076" i="5" s="1"/>
  <c r="J3077" i="5"/>
  <c r="H3077" i="5" s="1"/>
  <c r="J3078" i="5"/>
  <c r="H3078" i="5" s="1"/>
  <c r="J3079" i="5"/>
  <c r="H3079" i="5" s="1"/>
  <c r="J3080" i="5"/>
  <c r="H3080" i="5" s="1"/>
  <c r="J3081" i="5"/>
  <c r="H3081" i="5" s="1"/>
  <c r="J3082" i="5"/>
  <c r="H3082" i="5" s="1"/>
  <c r="J3083" i="5"/>
  <c r="H3083" i="5" s="1"/>
  <c r="J3084" i="5"/>
  <c r="H3084" i="5" s="1"/>
  <c r="J3085" i="5"/>
  <c r="H3085" i="5" s="1"/>
  <c r="J3086" i="5"/>
  <c r="H3086" i="5" s="1"/>
  <c r="J3087" i="5"/>
  <c r="H3087" i="5" s="1"/>
  <c r="J3088" i="5"/>
  <c r="H3088" i="5" s="1"/>
  <c r="J3089" i="5"/>
  <c r="H3089" i="5" s="1"/>
  <c r="J3090" i="5"/>
  <c r="H3090" i="5" s="1"/>
  <c r="J3091" i="5"/>
  <c r="H3091" i="5" s="1"/>
  <c r="J3092" i="5"/>
  <c r="H3092" i="5" s="1"/>
  <c r="J3093" i="5"/>
  <c r="H3093" i="5" s="1"/>
  <c r="J3094" i="5"/>
  <c r="H3094" i="5" s="1"/>
  <c r="J3095" i="5"/>
  <c r="H3095" i="5" s="1"/>
  <c r="J3096" i="5"/>
  <c r="H3096" i="5" s="1"/>
  <c r="J3097" i="5"/>
  <c r="H3097" i="5" s="1"/>
  <c r="J3098" i="5"/>
  <c r="H3098" i="5" s="1"/>
  <c r="J3099" i="5"/>
  <c r="H3099" i="5" s="1"/>
  <c r="J3100" i="5"/>
  <c r="H3100" i="5" s="1"/>
  <c r="J3101" i="5"/>
  <c r="H3101" i="5" s="1"/>
  <c r="J3102" i="5"/>
  <c r="H3102" i="5" s="1"/>
  <c r="J3103" i="5"/>
  <c r="H3103" i="5" s="1"/>
  <c r="J3104" i="5"/>
  <c r="H3104" i="5" s="1"/>
  <c r="J3105" i="5"/>
  <c r="H3105" i="5" s="1"/>
  <c r="J3106" i="5"/>
  <c r="H3106" i="5" s="1"/>
  <c r="J3107" i="5"/>
  <c r="H3107" i="5" s="1"/>
  <c r="J3108" i="5"/>
  <c r="H3108" i="5" s="1"/>
  <c r="J3109" i="5"/>
  <c r="H3109" i="5" s="1"/>
  <c r="J3110" i="5"/>
  <c r="H3110" i="5" s="1"/>
  <c r="J3111" i="5"/>
  <c r="H3111" i="5" s="1"/>
  <c r="J3112" i="5"/>
  <c r="H3112" i="5" s="1"/>
  <c r="J3113" i="5"/>
  <c r="H3113" i="5" s="1"/>
  <c r="J3114" i="5"/>
  <c r="H3114" i="5" s="1"/>
  <c r="J3115" i="5"/>
  <c r="H3115" i="5" s="1"/>
  <c r="J3116" i="5"/>
  <c r="H3116" i="5" s="1"/>
  <c r="J3117" i="5"/>
  <c r="H3117" i="5" s="1"/>
  <c r="J3118" i="5"/>
  <c r="H3118" i="5" s="1"/>
  <c r="J3119" i="5"/>
  <c r="H3119" i="5" s="1"/>
  <c r="J3120" i="5"/>
  <c r="H3120" i="5" s="1"/>
  <c r="J3121" i="5"/>
  <c r="H3121" i="5" s="1"/>
  <c r="J3122" i="5"/>
  <c r="H3122" i="5" s="1"/>
  <c r="J3123" i="5"/>
  <c r="H3123" i="5" s="1"/>
  <c r="J3124" i="5"/>
  <c r="H3124" i="5" s="1"/>
  <c r="J3125" i="5"/>
  <c r="H3125" i="5" s="1"/>
  <c r="J3126" i="5"/>
  <c r="H3126" i="5" s="1"/>
  <c r="J3127" i="5"/>
  <c r="H3127" i="5" s="1"/>
  <c r="J3128" i="5"/>
  <c r="H3128" i="5" s="1"/>
  <c r="J3129" i="5"/>
  <c r="H3129" i="5" s="1"/>
  <c r="J3130" i="5"/>
  <c r="H3130" i="5" s="1"/>
  <c r="J3131" i="5"/>
  <c r="H3131" i="5" s="1"/>
  <c r="J3132" i="5"/>
  <c r="H3132" i="5" s="1"/>
  <c r="J3133" i="5"/>
  <c r="H3133" i="5" s="1"/>
  <c r="J3134" i="5"/>
  <c r="H3134" i="5" s="1"/>
  <c r="J3135" i="5"/>
  <c r="H3135" i="5" s="1"/>
  <c r="J3136" i="5"/>
  <c r="H3136" i="5" s="1"/>
  <c r="J3137" i="5"/>
  <c r="H3137" i="5" s="1"/>
  <c r="J3138" i="5"/>
  <c r="H3138" i="5" s="1"/>
  <c r="J3139" i="5"/>
  <c r="H3139" i="5" s="1"/>
  <c r="J3140" i="5"/>
  <c r="H3140" i="5" s="1"/>
  <c r="J3141" i="5"/>
  <c r="H3141" i="5" s="1"/>
  <c r="J3142" i="5"/>
  <c r="H3142" i="5" s="1"/>
  <c r="J3143" i="5"/>
  <c r="H3143" i="5" s="1"/>
  <c r="J3144" i="5"/>
  <c r="H3144" i="5" s="1"/>
  <c r="J3145" i="5"/>
  <c r="H3145" i="5" s="1"/>
  <c r="J3146" i="5"/>
  <c r="H3146" i="5" s="1"/>
  <c r="J3147" i="5"/>
  <c r="H3147" i="5" s="1"/>
  <c r="J3148" i="5"/>
  <c r="H3148" i="5" s="1"/>
  <c r="J3149" i="5"/>
  <c r="H3149" i="5" s="1"/>
  <c r="J3150" i="5"/>
  <c r="H3150" i="5" s="1"/>
  <c r="J3151" i="5"/>
  <c r="H3151" i="5" s="1"/>
  <c r="J3152" i="5"/>
  <c r="H3152" i="5" s="1"/>
  <c r="J3153" i="5"/>
  <c r="H3153" i="5" s="1"/>
  <c r="J3154" i="5"/>
  <c r="H3154" i="5" s="1"/>
  <c r="J3155" i="5"/>
  <c r="H3155" i="5" s="1"/>
  <c r="J3156" i="5"/>
  <c r="H3156" i="5" s="1"/>
  <c r="J3157" i="5"/>
  <c r="H3157" i="5" s="1"/>
  <c r="J3158" i="5"/>
  <c r="H3158" i="5" s="1"/>
  <c r="J3159" i="5"/>
  <c r="H3159" i="5" s="1"/>
  <c r="J3160" i="5"/>
  <c r="H3160" i="5" s="1"/>
  <c r="J3161" i="5"/>
  <c r="H3161" i="5" s="1"/>
  <c r="J3162" i="5"/>
  <c r="H3162" i="5" s="1"/>
  <c r="J3163" i="5"/>
  <c r="H3163" i="5" s="1"/>
  <c r="J3164" i="5"/>
  <c r="H3164" i="5" s="1"/>
  <c r="J3165" i="5"/>
  <c r="H3165" i="5" s="1"/>
  <c r="J3166" i="5"/>
  <c r="H3166" i="5" s="1"/>
  <c r="J3167" i="5"/>
  <c r="H3167" i="5" s="1"/>
  <c r="J3168" i="5"/>
  <c r="H3168" i="5" s="1"/>
  <c r="J3169" i="5"/>
  <c r="H3169" i="5" s="1"/>
  <c r="J3170" i="5"/>
  <c r="H3170" i="5" s="1"/>
  <c r="J3171" i="5"/>
  <c r="H3171" i="5" s="1"/>
  <c r="J3172" i="5"/>
  <c r="H3172" i="5" s="1"/>
  <c r="J3173" i="5"/>
  <c r="H3173" i="5" s="1"/>
  <c r="J3174" i="5"/>
  <c r="H3174" i="5" s="1"/>
  <c r="J3175" i="5"/>
  <c r="H3175" i="5" s="1"/>
  <c r="J3176" i="5"/>
  <c r="H3176" i="5" s="1"/>
  <c r="J3177" i="5"/>
  <c r="H3177" i="5" s="1"/>
  <c r="J3178" i="5"/>
  <c r="H3178" i="5" s="1"/>
  <c r="J3179" i="5"/>
  <c r="H3179" i="5" s="1"/>
  <c r="J3180" i="5"/>
  <c r="H3180" i="5" s="1"/>
  <c r="J3181" i="5"/>
  <c r="H3181" i="5" s="1"/>
  <c r="J3182" i="5"/>
  <c r="H3182" i="5" s="1"/>
  <c r="J3183" i="5"/>
  <c r="H3183" i="5" s="1"/>
  <c r="J3184" i="5"/>
  <c r="H3184" i="5" s="1"/>
  <c r="J3185" i="5"/>
  <c r="H3185" i="5" s="1"/>
  <c r="J3186" i="5"/>
  <c r="H3186" i="5" s="1"/>
  <c r="J3187" i="5"/>
  <c r="H3187" i="5" s="1"/>
  <c r="J3188" i="5"/>
  <c r="H3188" i="5" s="1"/>
  <c r="J3189" i="5"/>
  <c r="H3189" i="5" s="1"/>
  <c r="J3190" i="5"/>
  <c r="H3190" i="5" s="1"/>
  <c r="J3191" i="5"/>
  <c r="H3191" i="5" s="1"/>
  <c r="J3192" i="5"/>
  <c r="H3192" i="5" s="1"/>
  <c r="J3193" i="5"/>
  <c r="H3193" i="5" s="1"/>
  <c r="J3194" i="5"/>
  <c r="H3194" i="5" s="1"/>
  <c r="J3195" i="5"/>
  <c r="H3195" i="5" s="1"/>
  <c r="J3196" i="5"/>
  <c r="H3196" i="5" s="1"/>
  <c r="J3197" i="5"/>
  <c r="H3197" i="5" s="1"/>
  <c r="J3198" i="5"/>
  <c r="H3198" i="5" s="1"/>
  <c r="J3199" i="5"/>
  <c r="H3199" i="5" s="1"/>
  <c r="J3200" i="5"/>
  <c r="H3200" i="5" s="1"/>
  <c r="J3201" i="5"/>
  <c r="H3201" i="5" s="1"/>
  <c r="J3202" i="5"/>
  <c r="H3202" i="5" s="1"/>
  <c r="J3203" i="5"/>
  <c r="H3203" i="5" s="1"/>
  <c r="J3204" i="5"/>
  <c r="H3204" i="5" s="1"/>
  <c r="J3205" i="5"/>
  <c r="H3205" i="5" s="1"/>
  <c r="J3206" i="5"/>
  <c r="H3206" i="5" s="1"/>
  <c r="J3207" i="5"/>
  <c r="H3207" i="5" s="1"/>
  <c r="J3208" i="5"/>
  <c r="H3208" i="5" s="1"/>
  <c r="J3209" i="5"/>
  <c r="H3209" i="5" s="1"/>
  <c r="J3210" i="5"/>
  <c r="H3210" i="5" s="1"/>
  <c r="J3211" i="5"/>
  <c r="H3211" i="5" s="1"/>
  <c r="J3212" i="5"/>
  <c r="H3212" i="5" s="1"/>
  <c r="J3213" i="5"/>
  <c r="H3213" i="5" s="1"/>
  <c r="J3214" i="5"/>
  <c r="H3214" i="5" s="1"/>
  <c r="J3215" i="5"/>
  <c r="H3215" i="5" s="1"/>
  <c r="J3216" i="5"/>
  <c r="H3216" i="5" s="1"/>
  <c r="J3217" i="5"/>
  <c r="H3217" i="5" s="1"/>
  <c r="J3218" i="5"/>
  <c r="H3218" i="5" s="1"/>
  <c r="J3219" i="5"/>
  <c r="H3219" i="5" s="1"/>
  <c r="J3220" i="5"/>
  <c r="H3220" i="5" s="1"/>
  <c r="J3221" i="5"/>
  <c r="H3221" i="5" s="1"/>
  <c r="J3222" i="5"/>
  <c r="H3222" i="5" s="1"/>
  <c r="J3223" i="5"/>
  <c r="H3223" i="5" s="1"/>
  <c r="J3224" i="5"/>
  <c r="H3224" i="5" s="1"/>
  <c r="J3225" i="5"/>
  <c r="H3225" i="5" s="1"/>
  <c r="J3226" i="5"/>
  <c r="H3226" i="5" s="1"/>
  <c r="J3227" i="5"/>
  <c r="H3227" i="5" s="1"/>
  <c r="J3228" i="5"/>
  <c r="H3228" i="5" s="1"/>
  <c r="J3229" i="5"/>
  <c r="H3229" i="5" s="1"/>
  <c r="J3230" i="5"/>
  <c r="H3230" i="5" s="1"/>
  <c r="J3231" i="5"/>
  <c r="H3231" i="5" s="1"/>
  <c r="J3232" i="5"/>
  <c r="H3232" i="5" s="1"/>
  <c r="J3233" i="5"/>
  <c r="H3233" i="5" s="1"/>
  <c r="J3234" i="5"/>
  <c r="H3234" i="5" s="1"/>
  <c r="J3235" i="5"/>
  <c r="H3235" i="5" s="1"/>
  <c r="J3236" i="5"/>
  <c r="H3236" i="5" s="1"/>
  <c r="J3237" i="5"/>
  <c r="H3237" i="5" s="1"/>
  <c r="J3238" i="5"/>
  <c r="H3238" i="5" s="1"/>
  <c r="J3239" i="5"/>
  <c r="H3239" i="5" s="1"/>
  <c r="J3240" i="5"/>
  <c r="H3240" i="5" s="1"/>
  <c r="J3241" i="5"/>
  <c r="H3241" i="5" s="1"/>
  <c r="J3242" i="5"/>
  <c r="H3242" i="5" s="1"/>
  <c r="J3243" i="5"/>
  <c r="H3243" i="5" s="1"/>
  <c r="J3244" i="5"/>
  <c r="H3244" i="5" s="1"/>
  <c r="J3245" i="5"/>
  <c r="H3245" i="5" s="1"/>
  <c r="J3246" i="5"/>
  <c r="H3246" i="5" s="1"/>
  <c r="J3247" i="5"/>
  <c r="H3247" i="5" s="1"/>
  <c r="J3248" i="5"/>
  <c r="H3248" i="5" s="1"/>
  <c r="J3249" i="5"/>
  <c r="H3249" i="5" s="1"/>
  <c r="J3250" i="5"/>
  <c r="H3250" i="5" s="1"/>
  <c r="J3251" i="5"/>
  <c r="H3251" i="5" s="1"/>
  <c r="J3252" i="5"/>
  <c r="H3252" i="5" s="1"/>
  <c r="J3253" i="5"/>
  <c r="H3253" i="5" s="1"/>
  <c r="J3254" i="5"/>
  <c r="H3254" i="5" s="1"/>
  <c r="J3255" i="5"/>
  <c r="H3255" i="5" s="1"/>
  <c r="J3256" i="5"/>
  <c r="H3256" i="5" s="1"/>
  <c r="J3257" i="5"/>
  <c r="H3257" i="5" s="1"/>
  <c r="J3258" i="5"/>
  <c r="H3258" i="5" s="1"/>
  <c r="J3259" i="5"/>
  <c r="H3259" i="5" s="1"/>
  <c r="J3260" i="5"/>
  <c r="H3260" i="5" s="1"/>
  <c r="J3261" i="5"/>
  <c r="H3261" i="5" s="1"/>
  <c r="J3262" i="5"/>
  <c r="H3262" i="5" s="1"/>
  <c r="J3263" i="5"/>
  <c r="H3263" i="5" s="1"/>
  <c r="J3264" i="5"/>
  <c r="H3264" i="5" s="1"/>
  <c r="J3265" i="5"/>
  <c r="H3265" i="5" s="1"/>
  <c r="J3266" i="5"/>
  <c r="H3266" i="5" s="1"/>
  <c r="J3267" i="5"/>
  <c r="H3267" i="5" s="1"/>
  <c r="J3268" i="5"/>
  <c r="H3268" i="5" s="1"/>
  <c r="J3269" i="5"/>
  <c r="H3269" i="5" s="1"/>
  <c r="J3270" i="5"/>
  <c r="H3270" i="5" s="1"/>
  <c r="J3271" i="5"/>
  <c r="H3271" i="5" s="1"/>
  <c r="J3272" i="5"/>
  <c r="H3272" i="5" s="1"/>
  <c r="J3273" i="5"/>
  <c r="H3273" i="5" s="1"/>
  <c r="J3274" i="5"/>
  <c r="H3274" i="5" s="1"/>
  <c r="J3275" i="5"/>
  <c r="H3275" i="5" s="1"/>
  <c r="J3276" i="5"/>
  <c r="H3276" i="5" s="1"/>
  <c r="J3277" i="5"/>
  <c r="H3277" i="5" s="1"/>
  <c r="J3278" i="5"/>
  <c r="H3278" i="5" s="1"/>
  <c r="J3279" i="5"/>
  <c r="H3279" i="5" s="1"/>
  <c r="J3280" i="5"/>
  <c r="H3280" i="5" s="1"/>
  <c r="J3281" i="5"/>
  <c r="H3281" i="5" s="1"/>
  <c r="J3282" i="5"/>
  <c r="H3282" i="5" s="1"/>
  <c r="J3283" i="5"/>
  <c r="H3283" i="5" s="1"/>
  <c r="J3284" i="5"/>
  <c r="H3284" i="5" s="1"/>
  <c r="J3285" i="5"/>
  <c r="H3285" i="5" s="1"/>
  <c r="J3286" i="5"/>
  <c r="H3286" i="5" s="1"/>
  <c r="J3287" i="5"/>
  <c r="H3287" i="5" s="1"/>
  <c r="J3288" i="5"/>
  <c r="H3288" i="5" s="1"/>
  <c r="J3289" i="5"/>
  <c r="H3289" i="5" s="1"/>
  <c r="J3290" i="5"/>
  <c r="H3290" i="5" s="1"/>
  <c r="J3291" i="5"/>
  <c r="H3291" i="5" s="1"/>
  <c r="J3292" i="5"/>
  <c r="H3292" i="5" s="1"/>
  <c r="J3293" i="5"/>
  <c r="H3293" i="5" s="1"/>
  <c r="J3294" i="5"/>
  <c r="H3294" i="5" s="1"/>
  <c r="J3295" i="5"/>
  <c r="H3295" i="5" s="1"/>
  <c r="J3296" i="5"/>
  <c r="H3296" i="5" s="1"/>
  <c r="J3297" i="5"/>
  <c r="H3297" i="5" s="1"/>
  <c r="J3298" i="5"/>
  <c r="H3298" i="5" s="1"/>
  <c r="J3299" i="5"/>
  <c r="H3299" i="5" s="1"/>
  <c r="J3300" i="5"/>
  <c r="H3300" i="5" s="1"/>
  <c r="J3301" i="5"/>
  <c r="H3301" i="5" s="1"/>
  <c r="J3302" i="5"/>
  <c r="H3302" i="5" s="1"/>
  <c r="J3303" i="5"/>
  <c r="H3303" i="5" s="1"/>
  <c r="J3304" i="5"/>
  <c r="H3304" i="5" s="1"/>
  <c r="J3305" i="5"/>
  <c r="H3305" i="5" s="1"/>
  <c r="J3306" i="5"/>
  <c r="H3306" i="5" s="1"/>
  <c r="J3307" i="5"/>
  <c r="H3307" i="5" s="1"/>
  <c r="J3308" i="5"/>
  <c r="H3308" i="5" s="1"/>
  <c r="J3309" i="5"/>
  <c r="H3309" i="5" s="1"/>
  <c r="J3310" i="5"/>
  <c r="H3310" i="5" s="1"/>
  <c r="J3311" i="5"/>
  <c r="H3311" i="5" s="1"/>
  <c r="J3312" i="5"/>
  <c r="H3312" i="5" s="1"/>
  <c r="J3313" i="5"/>
  <c r="H3313" i="5" s="1"/>
  <c r="J3314" i="5"/>
  <c r="H3314" i="5" s="1"/>
  <c r="J3315" i="5"/>
  <c r="H3315" i="5" s="1"/>
  <c r="J3316" i="5"/>
  <c r="H3316" i="5" s="1"/>
  <c r="J3317" i="5"/>
  <c r="H3317" i="5" s="1"/>
  <c r="J3318" i="5"/>
  <c r="H3318" i="5" s="1"/>
  <c r="J3319" i="5"/>
  <c r="H3319" i="5" s="1"/>
  <c r="J3320" i="5"/>
  <c r="H3320" i="5" s="1"/>
  <c r="J3321" i="5"/>
  <c r="H3321" i="5" s="1"/>
  <c r="J3322" i="5"/>
  <c r="H3322" i="5" s="1"/>
  <c r="J3323" i="5"/>
  <c r="H3323" i="5" s="1"/>
  <c r="J3324" i="5"/>
  <c r="H3324" i="5" s="1"/>
  <c r="J3325" i="5"/>
  <c r="H3325" i="5" s="1"/>
  <c r="J3326" i="5"/>
  <c r="H3326" i="5" s="1"/>
  <c r="J3327" i="5"/>
  <c r="H3327" i="5" s="1"/>
  <c r="J3328" i="5"/>
  <c r="H3328" i="5" s="1"/>
  <c r="J3329" i="5"/>
  <c r="H3329" i="5" s="1"/>
  <c r="J3330" i="5"/>
  <c r="H3330" i="5" s="1"/>
  <c r="J3331" i="5"/>
  <c r="H3331" i="5" s="1"/>
  <c r="J3332" i="5"/>
  <c r="H3332" i="5" s="1"/>
  <c r="J3333" i="5"/>
  <c r="H3333" i="5" s="1"/>
  <c r="J3334" i="5"/>
  <c r="H3334" i="5" s="1"/>
  <c r="J3335" i="5"/>
  <c r="H3335" i="5" s="1"/>
  <c r="J3336" i="5"/>
  <c r="H3336" i="5" s="1"/>
  <c r="J3337" i="5"/>
  <c r="H3337" i="5" s="1"/>
  <c r="J3338" i="5"/>
  <c r="H3338" i="5" s="1"/>
  <c r="J3339" i="5"/>
  <c r="H3339" i="5" s="1"/>
  <c r="J3340" i="5"/>
  <c r="H3340" i="5" s="1"/>
  <c r="J3341" i="5"/>
  <c r="H3341" i="5" s="1"/>
  <c r="J3342" i="5"/>
  <c r="H3342" i="5" s="1"/>
  <c r="J3343" i="5"/>
  <c r="H3343" i="5" s="1"/>
  <c r="J3344" i="5"/>
  <c r="H3344" i="5" s="1"/>
  <c r="J3345" i="5"/>
  <c r="H3345" i="5" s="1"/>
  <c r="J3346" i="5"/>
  <c r="H3346" i="5" s="1"/>
  <c r="J3347" i="5"/>
  <c r="H3347" i="5" s="1"/>
  <c r="J3348" i="5"/>
  <c r="H3348" i="5" s="1"/>
  <c r="J3349" i="5"/>
  <c r="H3349" i="5" s="1"/>
  <c r="J3350" i="5"/>
  <c r="H3350" i="5" s="1"/>
  <c r="J3351" i="5"/>
  <c r="H3351" i="5" s="1"/>
  <c r="J3352" i="5"/>
  <c r="H3352" i="5" s="1"/>
  <c r="J3353" i="5"/>
  <c r="H3353" i="5" s="1"/>
  <c r="J3354" i="5"/>
  <c r="H3354" i="5" s="1"/>
  <c r="J3355" i="5"/>
  <c r="H3355" i="5" s="1"/>
  <c r="J3356" i="5"/>
  <c r="H3356" i="5" s="1"/>
  <c r="J3357" i="5"/>
  <c r="H3357" i="5" s="1"/>
  <c r="J3358" i="5"/>
  <c r="H3358" i="5" s="1"/>
  <c r="J3359" i="5"/>
  <c r="H3359" i="5" s="1"/>
  <c r="J3360" i="5"/>
  <c r="H3360" i="5" s="1"/>
  <c r="J3361" i="5"/>
  <c r="H3361" i="5" s="1"/>
  <c r="J3362" i="5"/>
  <c r="H3362" i="5" s="1"/>
  <c r="J3363" i="5"/>
  <c r="H3363" i="5" s="1"/>
  <c r="J3364" i="5"/>
  <c r="H3364" i="5" s="1"/>
  <c r="J3365" i="5"/>
  <c r="H3365" i="5" s="1"/>
  <c r="J3366" i="5"/>
  <c r="H3366" i="5" s="1"/>
  <c r="J3367" i="5"/>
  <c r="H3367" i="5" s="1"/>
  <c r="J3368" i="5"/>
  <c r="H3368" i="5" s="1"/>
  <c r="J3369" i="5"/>
  <c r="H3369" i="5" s="1"/>
  <c r="J3370" i="5"/>
  <c r="H3370" i="5" s="1"/>
  <c r="J3371" i="5"/>
  <c r="H3371" i="5" s="1"/>
  <c r="J3372" i="5"/>
  <c r="H3372" i="5" s="1"/>
  <c r="J3373" i="5"/>
  <c r="H3373" i="5" s="1"/>
  <c r="J3374" i="5"/>
  <c r="H3374" i="5" s="1"/>
  <c r="J3375" i="5"/>
  <c r="H3375" i="5" s="1"/>
  <c r="J3376" i="5"/>
  <c r="H3376" i="5" s="1"/>
  <c r="J3377" i="5"/>
  <c r="H3377" i="5" s="1"/>
  <c r="J3378" i="5"/>
  <c r="H3378" i="5" s="1"/>
  <c r="J3379" i="5"/>
  <c r="H3379" i="5" s="1"/>
  <c r="J3380" i="5"/>
  <c r="H3380" i="5" s="1"/>
  <c r="J3381" i="5"/>
  <c r="H3381" i="5" s="1"/>
  <c r="J3382" i="5"/>
  <c r="H3382" i="5" s="1"/>
  <c r="J3383" i="5"/>
  <c r="H3383" i="5" s="1"/>
  <c r="J3384" i="5"/>
  <c r="H3384" i="5" s="1"/>
  <c r="J3385" i="5"/>
  <c r="H3385" i="5" s="1"/>
  <c r="J3386" i="5"/>
  <c r="H3386" i="5" s="1"/>
  <c r="J3387" i="5"/>
  <c r="H3387" i="5" s="1"/>
  <c r="J3388" i="5"/>
  <c r="H3388" i="5" s="1"/>
  <c r="J3389" i="5"/>
  <c r="H3389" i="5" s="1"/>
  <c r="J3390" i="5"/>
  <c r="H3390" i="5" s="1"/>
  <c r="J3391" i="5"/>
  <c r="H3391" i="5" s="1"/>
  <c r="J3392" i="5"/>
  <c r="H3392" i="5" s="1"/>
  <c r="J3393" i="5"/>
  <c r="H3393" i="5" s="1"/>
  <c r="J3394" i="5"/>
  <c r="H3394" i="5" s="1"/>
  <c r="J3395" i="5"/>
  <c r="H3395" i="5" s="1"/>
  <c r="J3396" i="5"/>
  <c r="H3396" i="5" s="1"/>
  <c r="J3397" i="5"/>
  <c r="H3397" i="5" s="1"/>
  <c r="J3398" i="5"/>
  <c r="H3398" i="5" s="1"/>
  <c r="J3399" i="5"/>
  <c r="H3399" i="5" s="1"/>
  <c r="J3400" i="5"/>
  <c r="H3400" i="5" s="1"/>
  <c r="J3401" i="5"/>
  <c r="H3401" i="5" s="1"/>
  <c r="J3402" i="5"/>
  <c r="H3402" i="5" s="1"/>
  <c r="J3403" i="5"/>
  <c r="H3403" i="5" s="1"/>
  <c r="J3404" i="5"/>
  <c r="H3404" i="5" s="1"/>
  <c r="J3405" i="5"/>
  <c r="H3405" i="5" s="1"/>
  <c r="J3406" i="5"/>
  <c r="H3406" i="5" s="1"/>
  <c r="J3407" i="5"/>
  <c r="H3407" i="5" s="1"/>
  <c r="J3408" i="5"/>
  <c r="H3408" i="5" s="1"/>
  <c r="J3409" i="5"/>
  <c r="H3409" i="5" s="1"/>
  <c r="J3410" i="5"/>
  <c r="H3410" i="5" s="1"/>
  <c r="J3411" i="5"/>
  <c r="H3411" i="5" s="1"/>
  <c r="J3412" i="5"/>
  <c r="H3412" i="5" s="1"/>
  <c r="J3413" i="5"/>
  <c r="H3413" i="5" s="1"/>
  <c r="J3414" i="5"/>
  <c r="H3414" i="5" s="1"/>
  <c r="J3415" i="5"/>
  <c r="H3415" i="5" s="1"/>
  <c r="J3416" i="5"/>
  <c r="H3416" i="5" s="1"/>
  <c r="J3417" i="5"/>
  <c r="H3417" i="5" s="1"/>
  <c r="J3418" i="5"/>
  <c r="H3418" i="5" s="1"/>
  <c r="J3419" i="5"/>
  <c r="H3419" i="5" s="1"/>
  <c r="J3420" i="5"/>
  <c r="H3420" i="5" s="1"/>
  <c r="J3421" i="5"/>
  <c r="H3421" i="5" s="1"/>
  <c r="J3422" i="5"/>
  <c r="H3422" i="5" s="1"/>
  <c r="J3423" i="5"/>
  <c r="H3423" i="5" s="1"/>
  <c r="J3424" i="5"/>
  <c r="H3424" i="5" s="1"/>
  <c r="J3425" i="5"/>
  <c r="H3425" i="5" s="1"/>
  <c r="J3426" i="5"/>
  <c r="H3426" i="5" s="1"/>
  <c r="J3427" i="5"/>
  <c r="H3427" i="5" s="1"/>
  <c r="J3428" i="5"/>
  <c r="H3428" i="5" s="1"/>
  <c r="J3429" i="5"/>
  <c r="H3429" i="5" s="1"/>
  <c r="J3430" i="5"/>
  <c r="H3430" i="5" s="1"/>
  <c r="J3431" i="5"/>
  <c r="H3431" i="5" s="1"/>
  <c r="J3432" i="5"/>
  <c r="H3432" i="5" s="1"/>
  <c r="J3433" i="5"/>
  <c r="H3433" i="5" s="1"/>
  <c r="J3434" i="5"/>
  <c r="H3434" i="5" s="1"/>
  <c r="J3435" i="5"/>
  <c r="H3435" i="5" s="1"/>
  <c r="J3436" i="5"/>
  <c r="H3436" i="5" s="1"/>
  <c r="J3437" i="5"/>
  <c r="H3437" i="5" s="1"/>
  <c r="J3438" i="5"/>
  <c r="H3438" i="5" s="1"/>
  <c r="J3439" i="5"/>
  <c r="H3439" i="5" s="1"/>
  <c r="J3440" i="5"/>
  <c r="H3440" i="5" s="1"/>
  <c r="J3441" i="5"/>
  <c r="H3441" i="5" s="1"/>
  <c r="J3442" i="5"/>
  <c r="H3442" i="5" s="1"/>
  <c r="J3443" i="5"/>
  <c r="H3443" i="5" s="1"/>
  <c r="J3444" i="5"/>
  <c r="H3444" i="5" s="1"/>
  <c r="J3445" i="5"/>
  <c r="H3445" i="5" s="1"/>
  <c r="J3446" i="5"/>
  <c r="H3446" i="5" s="1"/>
  <c r="J3447" i="5"/>
  <c r="H3447" i="5" s="1"/>
  <c r="J3448" i="5"/>
  <c r="H3448" i="5" s="1"/>
  <c r="J3449" i="5"/>
  <c r="H3449" i="5" s="1"/>
  <c r="J3450" i="5"/>
  <c r="H3450" i="5" s="1"/>
  <c r="J3451" i="5"/>
  <c r="H3451" i="5" s="1"/>
  <c r="J3452" i="5"/>
  <c r="H3452" i="5" s="1"/>
  <c r="J3453" i="5"/>
  <c r="H3453" i="5" s="1"/>
  <c r="J3454" i="5"/>
  <c r="H3454" i="5" s="1"/>
  <c r="J3455" i="5"/>
  <c r="H3455" i="5" s="1"/>
  <c r="J3456" i="5"/>
  <c r="H3456" i="5" s="1"/>
  <c r="J3457" i="5"/>
  <c r="H3457" i="5" s="1"/>
  <c r="J3458" i="5"/>
  <c r="H3458" i="5" s="1"/>
  <c r="J3459" i="5"/>
  <c r="H3459" i="5" s="1"/>
  <c r="J3460" i="5"/>
  <c r="H3460" i="5" s="1"/>
  <c r="J3461" i="5"/>
  <c r="H3461" i="5" s="1"/>
  <c r="J3462" i="5"/>
  <c r="H3462" i="5" s="1"/>
  <c r="J3463" i="5"/>
  <c r="H3463" i="5" s="1"/>
  <c r="J3464" i="5"/>
  <c r="H3464" i="5" s="1"/>
  <c r="J3465" i="5"/>
  <c r="H3465" i="5" s="1"/>
  <c r="J3466" i="5"/>
  <c r="H3466" i="5" s="1"/>
  <c r="J3467" i="5"/>
  <c r="H3467" i="5" s="1"/>
  <c r="J3468" i="5"/>
  <c r="H3468" i="5" s="1"/>
  <c r="J3469" i="5"/>
  <c r="H3469" i="5" s="1"/>
  <c r="J3470" i="5"/>
  <c r="H3470" i="5" s="1"/>
  <c r="J3471" i="5"/>
  <c r="H3471" i="5" s="1"/>
  <c r="J3472" i="5"/>
  <c r="H3472" i="5" s="1"/>
  <c r="J3473" i="5"/>
  <c r="H3473" i="5" s="1"/>
  <c r="J3474" i="5"/>
  <c r="H3474" i="5" s="1"/>
  <c r="J3475" i="5"/>
  <c r="H3475" i="5" s="1"/>
  <c r="J3476" i="5"/>
  <c r="H3476" i="5" s="1"/>
  <c r="J3477" i="5"/>
  <c r="H3477" i="5" s="1"/>
  <c r="J3478" i="5"/>
  <c r="H3478" i="5" s="1"/>
  <c r="J3479" i="5"/>
  <c r="H3479" i="5" s="1"/>
  <c r="J3480" i="5"/>
  <c r="H3480" i="5" s="1"/>
  <c r="J3481" i="5"/>
  <c r="H3481" i="5" s="1"/>
  <c r="J3482" i="5"/>
  <c r="H3482" i="5" s="1"/>
  <c r="J3483" i="5"/>
  <c r="H3483" i="5" s="1"/>
  <c r="J3484" i="5"/>
  <c r="H3484" i="5" s="1"/>
  <c r="J3485" i="5"/>
  <c r="H3485" i="5" s="1"/>
  <c r="J3486" i="5"/>
  <c r="H3486" i="5" s="1"/>
  <c r="J3487" i="5"/>
  <c r="H3487" i="5" s="1"/>
  <c r="J3488" i="5"/>
  <c r="H3488" i="5" s="1"/>
  <c r="J3489" i="5"/>
  <c r="H3489" i="5" s="1"/>
  <c r="J3490" i="5"/>
  <c r="H3490" i="5" s="1"/>
  <c r="J3491" i="5"/>
  <c r="H3491" i="5" s="1"/>
  <c r="J3492" i="5"/>
  <c r="H3492" i="5" s="1"/>
  <c r="J3493" i="5"/>
  <c r="H3493" i="5" s="1"/>
  <c r="J3494" i="5"/>
  <c r="H3494" i="5" s="1"/>
  <c r="J3495" i="5"/>
  <c r="H3495" i="5" s="1"/>
  <c r="J3496" i="5"/>
  <c r="H3496" i="5" s="1"/>
  <c r="J3497" i="5"/>
  <c r="H3497" i="5" s="1"/>
  <c r="J3498" i="5"/>
  <c r="H3498" i="5" s="1"/>
  <c r="J3499" i="5"/>
  <c r="H3499" i="5" s="1"/>
  <c r="J3500" i="5"/>
  <c r="H3500" i="5" s="1"/>
  <c r="J3501" i="5"/>
  <c r="H3501" i="5" s="1"/>
  <c r="J3502" i="5"/>
  <c r="H3502" i="5" s="1"/>
  <c r="J3503" i="5"/>
  <c r="H3503" i="5" s="1"/>
  <c r="J3504" i="5"/>
  <c r="H3504" i="5" s="1"/>
  <c r="J3505" i="5"/>
  <c r="H3505" i="5" s="1"/>
  <c r="J3506" i="5"/>
  <c r="H3506" i="5" s="1"/>
  <c r="J3507" i="5"/>
  <c r="H3507" i="5" s="1"/>
  <c r="J3508" i="5"/>
  <c r="H3508" i="5" s="1"/>
  <c r="J3509" i="5"/>
  <c r="H3509" i="5" s="1"/>
  <c r="J3510" i="5"/>
  <c r="H3510" i="5" s="1"/>
  <c r="J3511" i="5"/>
  <c r="H3511" i="5" s="1"/>
  <c r="J3512" i="5"/>
  <c r="H3512" i="5" s="1"/>
  <c r="J3513" i="5"/>
  <c r="H3513" i="5" s="1"/>
  <c r="J3514" i="5"/>
  <c r="H3514" i="5" s="1"/>
  <c r="J3515" i="5"/>
  <c r="H3515" i="5" s="1"/>
  <c r="J3516" i="5"/>
  <c r="H3516" i="5" s="1"/>
  <c r="J3517" i="5"/>
  <c r="H3517" i="5" s="1"/>
  <c r="J3518" i="5"/>
  <c r="H3518" i="5" s="1"/>
  <c r="J3519" i="5"/>
  <c r="H3519" i="5" s="1"/>
  <c r="J3520" i="5"/>
  <c r="H3520" i="5" s="1"/>
  <c r="J3521" i="5"/>
  <c r="H3521" i="5" s="1"/>
  <c r="J3522" i="5"/>
  <c r="H3522" i="5" s="1"/>
  <c r="J3523" i="5"/>
  <c r="H3523" i="5" s="1"/>
  <c r="J3524" i="5"/>
  <c r="H3524" i="5" s="1"/>
  <c r="J3525" i="5"/>
  <c r="H3525" i="5" s="1"/>
  <c r="J3526" i="5"/>
  <c r="H3526" i="5" s="1"/>
  <c r="J3527" i="5"/>
  <c r="H3527" i="5" s="1"/>
  <c r="J3528" i="5"/>
  <c r="H3528" i="5" s="1"/>
  <c r="J3529" i="5"/>
  <c r="H3529" i="5" s="1"/>
  <c r="J3530" i="5"/>
  <c r="H3530" i="5" s="1"/>
  <c r="J3531" i="5"/>
  <c r="H3531" i="5" s="1"/>
  <c r="J3532" i="5"/>
  <c r="H3532" i="5" s="1"/>
  <c r="J3533" i="5"/>
  <c r="H3533" i="5" s="1"/>
  <c r="J3534" i="5"/>
  <c r="H3534" i="5" s="1"/>
  <c r="J3535" i="5"/>
  <c r="H3535" i="5" s="1"/>
  <c r="J3536" i="5"/>
  <c r="H3536" i="5" s="1"/>
  <c r="J3537" i="5"/>
  <c r="H3537" i="5" s="1"/>
  <c r="J3538" i="5"/>
  <c r="H3538" i="5" s="1"/>
  <c r="J3539" i="5"/>
  <c r="H3539" i="5" s="1"/>
  <c r="J3540" i="5"/>
  <c r="H3540" i="5" s="1"/>
  <c r="J3541" i="5"/>
  <c r="H3541" i="5" s="1"/>
  <c r="J3542" i="5"/>
  <c r="H3542" i="5" s="1"/>
  <c r="J3543" i="5"/>
  <c r="H3543" i="5" s="1"/>
  <c r="J3544" i="5"/>
  <c r="H3544" i="5" s="1"/>
  <c r="J3545" i="5"/>
  <c r="H3545" i="5" s="1"/>
  <c r="J3546" i="5"/>
  <c r="H3546" i="5" s="1"/>
  <c r="J3547" i="5"/>
  <c r="H3547" i="5" s="1"/>
  <c r="J3548" i="5"/>
  <c r="H3548" i="5" s="1"/>
  <c r="J3549" i="5"/>
  <c r="H3549" i="5" s="1"/>
  <c r="J3550" i="5"/>
  <c r="H3550" i="5" s="1"/>
  <c r="J3551" i="5"/>
  <c r="H3551" i="5" s="1"/>
  <c r="J3552" i="5"/>
  <c r="H3552" i="5" s="1"/>
  <c r="J3553" i="5"/>
  <c r="H3553" i="5" s="1"/>
  <c r="J3554" i="5"/>
  <c r="H3554" i="5" s="1"/>
  <c r="J3555" i="5"/>
  <c r="H3555" i="5" s="1"/>
  <c r="J3556" i="5"/>
  <c r="H3556" i="5" s="1"/>
  <c r="J3557" i="5"/>
  <c r="H3557" i="5" s="1"/>
  <c r="J3558" i="5"/>
  <c r="H3558" i="5" s="1"/>
  <c r="J3559" i="5"/>
  <c r="H3559" i="5" s="1"/>
  <c r="J3560" i="5"/>
  <c r="H3560" i="5" s="1"/>
  <c r="J3561" i="5"/>
  <c r="H3561" i="5" s="1"/>
  <c r="J3562" i="5"/>
  <c r="H3562" i="5" s="1"/>
  <c r="J3563" i="5"/>
  <c r="H3563" i="5" s="1"/>
  <c r="J3564" i="5"/>
  <c r="H3564" i="5" s="1"/>
  <c r="J3565" i="5"/>
  <c r="H3565" i="5" s="1"/>
  <c r="J3566" i="5"/>
  <c r="H3566" i="5" s="1"/>
  <c r="J3567" i="5"/>
  <c r="H3567" i="5" s="1"/>
  <c r="J3568" i="5"/>
  <c r="H3568" i="5" s="1"/>
  <c r="J3569" i="5"/>
  <c r="H3569" i="5" s="1"/>
  <c r="J3570" i="5"/>
  <c r="H3570" i="5" s="1"/>
  <c r="J3571" i="5"/>
  <c r="H3571" i="5" s="1"/>
  <c r="J3572" i="5"/>
  <c r="H3572" i="5" s="1"/>
  <c r="J3573" i="5"/>
  <c r="H3573" i="5" s="1"/>
  <c r="J3574" i="5"/>
  <c r="H3574" i="5" s="1"/>
  <c r="J3575" i="5"/>
  <c r="H3575" i="5" s="1"/>
  <c r="J3576" i="5"/>
  <c r="H3576" i="5" s="1"/>
  <c r="J3577" i="5"/>
  <c r="H3577" i="5" s="1"/>
  <c r="J3578" i="5"/>
  <c r="H3578" i="5" s="1"/>
  <c r="J3579" i="5"/>
  <c r="H3579" i="5" s="1"/>
  <c r="J3580" i="5"/>
  <c r="H3580" i="5" s="1"/>
  <c r="J3581" i="5"/>
  <c r="H3581" i="5" s="1"/>
  <c r="J3582" i="5"/>
  <c r="H3582" i="5" s="1"/>
  <c r="J3583" i="5"/>
  <c r="H3583" i="5" s="1"/>
  <c r="J3584" i="5"/>
  <c r="H3584" i="5" s="1"/>
  <c r="J3585" i="5"/>
  <c r="H3585" i="5" s="1"/>
  <c r="J3586" i="5"/>
  <c r="H3586" i="5" s="1"/>
  <c r="J3587" i="5"/>
  <c r="H3587" i="5" s="1"/>
  <c r="J3588" i="5"/>
  <c r="H3588" i="5" s="1"/>
  <c r="J3589" i="5"/>
  <c r="H3589" i="5" s="1"/>
  <c r="J3590" i="5"/>
  <c r="H3590" i="5" s="1"/>
  <c r="J3591" i="5"/>
  <c r="H3591" i="5" s="1"/>
  <c r="J3592" i="5"/>
  <c r="H3592" i="5" s="1"/>
  <c r="J3593" i="5"/>
  <c r="H3593" i="5" s="1"/>
  <c r="J3594" i="5"/>
  <c r="H3594" i="5" s="1"/>
  <c r="J3595" i="5"/>
  <c r="H3595" i="5" s="1"/>
  <c r="J3596" i="5"/>
  <c r="H3596" i="5" s="1"/>
  <c r="J3597" i="5"/>
  <c r="H3597" i="5" s="1"/>
  <c r="J3598" i="5"/>
  <c r="H3598" i="5" s="1"/>
  <c r="J3599" i="5"/>
  <c r="H3599" i="5" s="1"/>
  <c r="J3600" i="5"/>
  <c r="H3600" i="5" s="1"/>
  <c r="J3601" i="5"/>
  <c r="H3601" i="5" s="1"/>
  <c r="J3602" i="5"/>
  <c r="H3602" i="5" s="1"/>
  <c r="J3603" i="5"/>
  <c r="H3603" i="5" s="1"/>
  <c r="J3604" i="5"/>
  <c r="H3604" i="5" s="1"/>
  <c r="J3605" i="5"/>
  <c r="H3605" i="5" s="1"/>
  <c r="J3606" i="5"/>
  <c r="H3606" i="5" s="1"/>
  <c r="J3607" i="5"/>
  <c r="H3607" i="5" s="1"/>
  <c r="J3608" i="5"/>
  <c r="H3608" i="5" s="1"/>
  <c r="J3609" i="5"/>
  <c r="H3609" i="5" s="1"/>
  <c r="J3610" i="5"/>
  <c r="H3610" i="5" s="1"/>
  <c r="J3611" i="5"/>
  <c r="H3611" i="5" s="1"/>
  <c r="J3612" i="5"/>
  <c r="H3612" i="5" s="1"/>
  <c r="J3613" i="5"/>
  <c r="H3613" i="5" s="1"/>
  <c r="J3614" i="5"/>
  <c r="H3614" i="5" s="1"/>
  <c r="J3615" i="5"/>
  <c r="H3615" i="5" s="1"/>
  <c r="J3616" i="5"/>
  <c r="H3616" i="5" s="1"/>
  <c r="J3617" i="5"/>
  <c r="H3617" i="5" s="1"/>
  <c r="J3618" i="5"/>
  <c r="H3618" i="5" s="1"/>
  <c r="J3619" i="5"/>
  <c r="H3619" i="5" s="1"/>
  <c r="J3620" i="5"/>
  <c r="H3620" i="5" s="1"/>
  <c r="J3621" i="5"/>
  <c r="H3621" i="5" s="1"/>
  <c r="J3622" i="5"/>
  <c r="H3622" i="5" s="1"/>
  <c r="J3623" i="5"/>
  <c r="H3623" i="5" s="1"/>
  <c r="J3624" i="5"/>
  <c r="H3624" i="5" s="1"/>
  <c r="J3625" i="5"/>
  <c r="H3625" i="5" s="1"/>
  <c r="J3626" i="5"/>
  <c r="H3626" i="5" s="1"/>
  <c r="J3627" i="5"/>
  <c r="H3627" i="5" s="1"/>
  <c r="J3628" i="5"/>
  <c r="H3628" i="5" s="1"/>
  <c r="J3629" i="5"/>
  <c r="H3629" i="5" s="1"/>
  <c r="J3630" i="5"/>
  <c r="H3630" i="5" s="1"/>
  <c r="J3631" i="5"/>
  <c r="H3631" i="5" s="1"/>
  <c r="J3632" i="5"/>
  <c r="H3632" i="5" s="1"/>
  <c r="J3633" i="5"/>
  <c r="H3633" i="5" s="1"/>
  <c r="J3634" i="5"/>
  <c r="H3634" i="5" s="1"/>
  <c r="J3635" i="5"/>
  <c r="H3635" i="5" s="1"/>
  <c r="J3636" i="5"/>
  <c r="H3636" i="5" s="1"/>
  <c r="J3637" i="5"/>
  <c r="H3637" i="5" s="1"/>
  <c r="J3638" i="5"/>
  <c r="H3638" i="5" s="1"/>
  <c r="J3639" i="5"/>
  <c r="H3639" i="5" s="1"/>
  <c r="J3640" i="5"/>
  <c r="H3640" i="5" s="1"/>
  <c r="J3641" i="5"/>
  <c r="H3641" i="5" s="1"/>
  <c r="J3642" i="5"/>
  <c r="H3642" i="5" s="1"/>
  <c r="J3643" i="5"/>
  <c r="H3643" i="5" s="1"/>
  <c r="J3644" i="5"/>
  <c r="H3644" i="5" s="1"/>
  <c r="J3645" i="5"/>
  <c r="H3645" i="5" s="1"/>
  <c r="J3646" i="5"/>
  <c r="H3646" i="5" s="1"/>
  <c r="J3647" i="5"/>
  <c r="H3647" i="5" s="1"/>
  <c r="J3648" i="5"/>
  <c r="H3648" i="5" s="1"/>
  <c r="J3649" i="5"/>
  <c r="H3649" i="5" s="1"/>
  <c r="J3650" i="5"/>
  <c r="H3650" i="5" s="1"/>
  <c r="J3651" i="5"/>
  <c r="H3651" i="5" s="1"/>
  <c r="J3652" i="5"/>
  <c r="H3652" i="5" s="1"/>
  <c r="J3653" i="5"/>
  <c r="H3653" i="5" s="1"/>
  <c r="J3654" i="5"/>
  <c r="H3654" i="5" s="1"/>
  <c r="J3655" i="5"/>
  <c r="H3655" i="5" s="1"/>
  <c r="J3656" i="5"/>
  <c r="H3656" i="5" s="1"/>
  <c r="J3657" i="5"/>
  <c r="H3657" i="5" s="1"/>
  <c r="J3658" i="5"/>
  <c r="H3658" i="5" s="1"/>
  <c r="J3659" i="5"/>
  <c r="H3659" i="5" s="1"/>
  <c r="J3660" i="5"/>
  <c r="H3660" i="5" s="1"/>
  <c r="J3661" i="5"/>
  <c r="H3661" i="5" s="1"/>
  <c r="J3662" i="5"/>
  <c r="H3662" i="5" s="1"/>
  <c r="J3663" i="5"/>
  <c r="H3663" i="5" s="1"/>
  <c r="J3664" i="5"/>
  <c r="H3664" i="5" s="1"/>
  <c r="J3665" i="5"/>
  <c r="H3665" i="5" s="1"/>
  <c r="J3666" i="5"/>
  <c r="H3666" i="5" s="1"/>
  <c r="J3667" i="5"/>
  <c r="H3667" i="5" s="1"/>
  <c r="J3668" i="5"/>
  <c r="H3668" i="5" s="1"/>
  <c r="J3669" i="5"/>
  <c r="H3669" i="5" s="1"/>
  <c r="J3670" i="5"/>
  <c r="H3670" i="5" s="1"/>
  <c r="J3671" i="5"/>
  <c r="H3671" i="5" s="1"/>
  <c r="J3672" i="5"/>
  <c r="H3672" i="5" s="1"/>
  <c r="J3673" i="5"/>
  <c r="H3673" i="5" s="1"/>
  <c r="J3674" i="5"/>
  <c r="H3674" i="5" s="1"/>
  <c r="J3675" i="5"/>
  <c r="H3675" i="5" s="1"/>
  <c r="J3676" i="5"/>
  <c r="H3676" i="5" s="1"/>
  <c r="J3677" i="5"/>
  <c r="H3677" i="5" s="1"/>
  <c r="J3678" i="5"/>
  <c r="H3678" i="5" s="1"/>
  <c r="J3679" i="5"/>
  <c r="H3679" i="5" s="1"/>
  <c r="J3680" i="5"/>
  <c r="H3680" i="5" s="1"/>
  <c r="J3681" i="5"/>
  <c r="H3681" i="5" s="1"/>
  <c r="J3682" i="5"/>
  <c r="H3682" i="5" s="1"/>
  <c r="J3683" i="5"/>
  <c r="H3683" i="5" s="1"/>
  <c r="J3684" i="5"/>
  <c r="H3684" i="5" s="1"/>
  <c r="J3685" i="5"/>
  <c r="H3685" i="5" s="1"/>
  <c r="J3686" i="5"/>
  <c r="H3686" i="5" s="1"/>
  <c r="J3687" i="5"/>
  <c r="H3687" i="5" s="1"/>
  <c r="J3688" i="5"/>
  <c r="H3688" i="5" s="1"/>
  <c r="J3689" i="5"/>
  <c r="H3689" i="5" s="1"/>
  <c r="J3690" i="5"/>
  <c r="H3690" i="5" s="1"/>
  <c r="J3691" i="5"/>
  <c r="H3691" i="5" s="1"/>
  <c r="J3692" i="5"/>
  <c r="H3692" i="5" s="1"/>
  <c r="J3693" i="5"/>
  <c r="H3693" i="5" s="1"/>
  <c r="J3694" i="5"/>
  <c r="H3694" i="5" s="1"/>
  <c r="J3695" i="5"/>
  <c r="H3695" i="5" s="1"/>
  <c r="J3696" i="5"/>
  <c r="H3696" i="5" s="1"/>
  <c r="J3697" i="5"/>
  <c r="H3697" i="5" s="1"/>
  <c r="J3698" i="5"/>
  <c r="H3698" i="5" s="1"/>
  <c r="J3699" i="5"/>
  <c r="H3699" i="5" s="1"/>
  <c r="J3700" i="5"/>
  <c r="H3700" i="5" s="1"/>
  <c r="J3701" i="5"/>
  <c r="H3701" i="5" s="1"/>
  <c r="J3702" i="5"/>
  <c r="H3702" i="5" s="1"/>
  <c r="J3703" i="5"/>
  <c r="H3703" i="5" s="1"/>
  <c r="J3704" i="5"/>
  <c r="H3704" i="5" s="1"/>
  <c r="J3705" i="5"/>
  <c r="H3705" i="5" s="1"/>
  <c r="J3706" i="5"/>
  <c r="H3706" i="5" s="1"/>
  <c r="J3707" i="5"/>
  <c r="H3707" i="5" s="1"/>
  <c r="J3708" i="5"/>
  <c r="H3708" i="5" s="1"/>
  <c r="J3709" i="5"/>
  <c r="H3709" i="5" s="1"/>
  <c r="J3710" i="5"/>
  <c r="H3710" i="5" s="1"/>
  <c r="J3711" i="5"/>
  <c r="H3711" i="5" s="1"/>
  <c r="J3712" i="5"/>
  <c r="H3712" i="5" s="1"/>
  <c r="J3713" i="5"/>
  <c r="H3713" i="5" s="1"/>
  <c r="J3714" i="5"/>
  <c r="H3714" i="5" s="1"/>
  <c r="J3715" i="5"/>
  <c r="H3715" i="5" s="1"/>
  <c r="J3716" i="5"/>
  <c r="H3716" i="5" s="1"/>
  <c r="J3717" i="5"/>
  <c r="H3717" i="5" s="1"/>
  <c r="J3718" i="5"/>
  <c r="H3718" i="5" s="1"/>
  <c r="J3719" i="5"/>
  <c r="H3719" i="5" s="1"/>
  <c r="J3720" i="5"/>
  <c r="H3720" i="5" s="1"/>
  <c r="J3721" i="5"/>
  <c r="H3721" i="5" s="1"/>
  <c r="J3722" i="5"/>
  <c r="H3722" i="5" s="1"/>
  <c r="J3723" i="5"/>
  <c r="H3723" i="5" s="1"/>
  <c r="J3724" i="5"/>
  <c r="H3724" i="5" s="1"/>
  <c r="J3725" i="5"/>
  <c r="H3725" i="5" s="1"/>
  <c r="J3726" i="5"/>
  <c r="H3726" i="5" s="1"/>
  <c r="J3727" i="5"/>
  <c r="H3727" i="5" s="1"/>
  <c r="J3728" i="5"/>
  <c r="H3728" i="5" s="1"/>
  <c r="J3729" i="5"/>
  <c r="H3729" i="5" s="1"/>
  <c r="J3730" i="5"/>
  <c r="H3730" i="5" s="1"/>
  <c r="J3731" i="5"/>
  <c r="H3731" i="5" s="1"/>
  <c r="J3732" i="5"/>
  <c r="H3732" i="5" s="1"/>
  <c r="J3733" i="5"/>
  <c r="H3733" i="5" s="1"/>
  <c r="J3734" i="5"/>
  <c r="H3734" i="5" s="1"/>
  <c r="J3735" i="5"/>
  <c r="H3735" i="5" s="1"/>
  <c r="J3736" i="5"/>
  <c r="H3736" i="5" s="1"/>
  <c r="J3737" i="5"/>
  <c r="H3737" i="5" s="1"/>
  <c r="J3738" i="5"/>
  <c r="H3738" i="5" s="1"/>
  <c r="J3739" i="5"/>
  <c r="H3739" i="5" s="1"/>
  <c r="J3740" i="5"/>
  <c r="H3740" i="5" s="1"/>
  <c r="J3741" i="5"/>
  <c r="H3741" i="5" s="1"/>
  <c r="J3742" i="5"/>
  <c r="H3742" i="5" s="1"/>
  <c r="J3743" i="5"/>
  <c r="H3743" i="5" s="1"/>
  <c r="J3744" i="5"/>
  <c r="H3744" i="5" s="1"/>
  <c r="J3745" i="5"/>
  <c r="H3745" i="5" s="1"/>
  <c r="J3746" i="5"/>
  <c r="H3746" i="5" s="1"/>
  <c r="J3747" i="5"/>
  <c r="H3747" i="5" s="1"/>
  <c r="J3748" i="5"/>
  <c r="H3748" i="5" s="1"/>
  <c r="J3749" i="5"/>
  <c r="H3749" i="5" s="1"/>
  <c r="J3750" i="5"/>
  <c r="H3750" i="5" s="1"/>
  <c r="J3751" i="5"/>
  <c r="H3751" i="5" s="1"/>
  <c r="J3752" i="5"/>
  <c r="H3752" i="5" s="1"/>
  <c r="J3753" i="5"/>
  <c r="H3753" i="5" s="1"/>
  <c r="J3754" i="5"/>
  <c r="H3754" i="5" s="1"/>
  <c r="J3755" i="5"/>
  <c r="H3755" i="5" s="1"/>
  <c r="J3756" i="5"/>
  <c r="H3756" i="5" s="1"/>
  <c r="J3757" i="5"/>
  <c r="H3757" i="5" s="1"/>
  <c r="J3758" i="5"/>
  <c r="H3758" i="5" s="1"/>
  <c r="J3759" i="5"/>
  <c r="H3759" i="5" s="1"/>
  <c r="J3760" i="5"/>
  <c r="H3760" i="5" s="1"/>
  <c r="J3761" i="5"/>
  <c r="H3761" i="5" s="1"/>
  <c r="J3762" i="5"/>
  <c r="H3762" i="5" s="1"/>
  <c r="J3763" i="5"/>
  <c r="H3763" i="5" s="1"/>
  <c r="J3764" i="5"/>
  <c r="H3764" i="5" s="1"/>
  <c r="J3765" i="5"/>
  <c r="H3765" i="5" s="1"/>
  <c r="J3766" i="5"/>
  <c r="H3766" i="5" s="1"/>
  <c r="J3767" i="5"/>
  <c r="H3767" i="5" s="1"/>
  <c r="J3768" i="5"/>
  <c r="H3768" i="5" s="1"/>
  <c r="J3769" i="5"/>
  <c r="H3769" i="5" s="1"/>
  <c r="J3770" i="5"/>
  <c r="H3770" i="5" s="1"/>
  <c r="J3771" i="5"/>
  <c r="H3771" i="5" s="1"/>
  <c r="J3772" i="5"/>
  <c r="H3772" i="5" s="1"/>
  <c r="J3773" i="5"/>
  <c r="H3773" i="5" s="1"/>
  <c r="J3774" i="5"/>
  <c r="H3774" i="5" s="1"/>
  <c r="J3775" i="5"/>
  <c r="H3775" i="5" s="1"/>
  <c r="J3776" i="5"/>
  <c r="H3776" i="5" s="1"/>
  <c r="J3777" i="5"/>
  <c r="H3777" i="5" s="1"/>
  <c r="J3778" i="5"/>
  <c r="H3778" i="5" s="1"/>
  <c r="J3779" i="5"/>
  <c r="H3779" i="5" s="1"/>
  <c r="J3780" i="5"/>
  <c r="H3780" i="5" s="1"/>
  <c r="J3781" i="5"/>
  <c r="H3781" i="5" s="1"/>
  <c r="J3782" i="5"/>
  <c r="H3782" i="5" s="1"/>
  <c r="J3783" i="5"/>
  <c r="H3783" i="5" s="1"/>
  <c r="J3784" i="5"/>
  <c r="H3784" i="5" s="1"/>
  <c r="J3785" i="5"/>
  <c r="H3785" i="5" s="1"/>
  <c r="J3786" i="5"/>
  <c r="H3786" i="5" s="1"/>
  <c r="J3787" i="5"/>
  <c r="H3787" i="5" s="1"/>
  <c r="J3788" i="5"/>
  <c r="H3788" i="5" s="1"/>
  <c r="J3789" i="5"/>
  <c r="H3789" i="5" s="1"/>
  <c r="J3790" i="5"/>
  <c r="H3790" i="5" s="1"/>
  <c r="J3791" i="5"/>
  <c r="H3791" i="5" s="1"/>
  <c r="J3792" i="5"/>
  <c r="H3792" i="5" s="1"/>
  <c r="J3793" i="5"/>
  <c r="H3793" i="5" s="1"/>
  <c r="J3794" i="5"/>
  <c r="H3794" i="5" s="1"/>
  <c r="J3795" i="5"/>
  <c r="H3795" i="5" s="1"/>
  <c r="J3796" i="5"/>
  <c r="H3796" i="5" s="1"/>
  <c r="J3797" i="5"/>
  <c r="H3797" i="5" s="1"/>
  <c r="J3798" i="5"/>
  <c r="H3798" i="5" s="1"/>
  <c r="J3799" i="5"/>
  <c r="H3799" i="5" s="1"/>
  <c r="J3800" i="5"/>
  <c r="H3800" i="5" s="1"/>
  <c r="J3801" i="5"/>
  <c r="H3801" i="5" s="1"/>
  <c r="J3802" i="5"/>
  <c r="H3802" i="5" s="1"/>
  <c r="J3803" i="5"/>
  <c r="H3803" i="5" s="1"/>
  <c r="J3804" i="5"/>
  <c r="H3804" i="5" s="1"/>
  <c r="J3805" i="5"/>
  <c r="H3805" i="5" s="1"/>
  <c r="J3806" i="5"/>
  <c r="H3806" i="5" s="1"/>
  <c r="J3807" i="5"/>
  <c r="H3807" i="5" s="1"/>
  <c r="J3808" i="5"/>
  <c r="H3808" i="5" s="1"/>
  <c r="J3809" i="5"/>
  <c r="H3809" i="5" s="1"/>
  <c r="J3810" i="5"/>
  <c r="H3810" i="5" s="1"/>
  <c r="J3811" i="5"/>
  <c r="H3811" i="5" s="1"/>
  <c r="J3812" i="5"/>
  <c r="H3812" i="5" s="1"/>
  <c r="J3813" i="5"/>
  <c r="H3813" i="5" s="1"/>
  <c r="J3814" i="5"/>
  <c r="H3814" i="5" s="1"/>
  <c r="J3815" i="5"/>
  <c r="H3815" i="5" s="1"/>
  <c r="J3816" i="5"/>
  <c r="H3816" i="5" s="1"/>
  <c r="J3817" i="5"/>
  <c r="H3817" i="5" s="1"/>
  <c r="J3818" i="5"/>
  <c r="H3818" i="5" s="1"/>
  <c r="J3819" i="5"/>
  <c r="H3819" i="5" s="1"/>
  <c r="J3820" i="5"/>
  <c r="H3820" i="5" s="1"/>
  <c r="J3821" i="5"/>
  <c r="H3821" i="5" s="1"/>
  <c r="J3822" i="5"/>
  <c r="H3822" i="5" s="1"/>
  <c r="J3823" i="5"/>
  <c r="H3823" i="5" s="1"/>
  <c r="J3824" i="5"/>
  <c r="H3824" i="5" s="1"/>
  <c r="J3825" i="5"/>
  <c r="H3825" i="5" s="1"/>
  <c r="J3826" i="5"/>
  <c r="H3826" i="5" s="1"/>
  <c r="J3827" i="5"/>
  <c r="H3827" i="5" s="1"/>
  <c r="J3828" i="5"/>
  <c r="H3828" i="5" s="1"/>
  <c r="J3829" i="5"/>
  <c r="H3829" i="5" s="1"/>
  <c r="J3830" i="5"/>
  <c r="H3830" i="5" s="1"/>
  <c r="J3831" i="5"/>
  <c r="H3831" i="5" s="1"/>
  <c r="J3832" i="5"/>
  <c r="H3832" i="5" s="1"/>
  <c r="J3833" i="5"/>
  <c r="H3833" i="5" s="1"/>
  <c r="J3834" i="5"/>
  <c r="H3834" i="5" s="1"/>
  <c r="J3835" i="5"/>
  <c r="H3835" i="5" s="1"/>
  <c r="J3836" i="5"/>
  <c r="H3836" i="5" s="1"/>
  <c r="J3837" i="5"/>
  <c r="H3837" i="5" s="1"/>
  <c r="J3838" i="5"/>
  <c r="H3838" i="5" s="1"/>
  <c r="J3839" i="5"/>
  <c r="H3839" i="5" s="1"/>
  <c r="J3840" i="5"/>
  <c r="H3840" i="5" s="1"/>
  <c r="J3841" i="5"/>
  <c r="H3841" i="5" s="1"/>
  <c r="J3842" i="5"/>
  <c r="H3842" i="5" s="1"/>
  <c r="J3843" i="5"/>
  <c r="H3843" i="5" s="1"/>
  <c r="J3844" i="5"/>
  <c r="H3844" i="5" s="1"/>
  <c r="J3845" i="5"/>
  <c r="H3845" i="5" s="1"/>
  <c r="J3846" i="5"/>
  <c r="H3846" i="5" s="1"/>
  <c r="J3847" i="5"/>
  <c r="H3847" i="5" s="1"/>
  <c r="J3848" i="5"/>
  <c r="H3848" i="5" s="1"/>
  <c r="J3849" i="5"/>
  <c r="H3849" i="5" s="1"/>
  <c r="J3850" i="5"/>
  <c r="H3850" i="5" s="1"/>
  <c r="J3851" i="5"/>
  <c r="H3851" i="5" s="1"/>
  <c r="J3852" i="5"/>
  <c r="H3852" i="5" s="1"/>
  <c r="J3853" i="5"/>
  <c r="H3853" i="5" s="1"/>
  <c r="J3854" i="5"/>
  <c r="H3854" i="5" s="1"/>
  <c r="J3855" i="5"/>
  <c r="H3855" i="5" s="1"/>
  <c r="J3856" i="5"/>
  <c r="H3856" i="5" s="1"/>
  <c r="J3857" i="5"/>
  <c r="H3857" i="5" s="1"/>
  <c r="J3858" i="5"/>
  <c r="H3858" i="5" s="1"/>
  <c r="J3859" i="5"/>
  <c r="H3859" i="5" s="1"/>
  <c r="J3860" i="5"/>
  <c r="H3860" i="5" s="1"/>
  <c r="J3861" i="5"/>
  <c r="H3861" i="5" s="1"/>
  <c r="J3862" i="5"/>
  <c r="H3862" i="5" s="1"/>
  <c r="J3863" i="5"/>
  <c r="H3863" i="5" s="1"/>
  <c r="J3864" i="5"/>
  <c r="H3864" i="5" s="1"/>
  <c r="J3865" i="5"/>
  <c r="H3865" i="5" s="1"/>
  <c r="J3866" i="5"/>
  <c r="H3866" i="5" s="1"/>
  <c r="J3867" i="5"/>
  <c r="H3867" i="5" s="1"/>
  <c r="J3868" i="5"/>
  <c r="H3868" i="5" s="1"/>
  <c r="J3869" i="5"/>
  <c r="H3869" i="5" s="1"/>
  <c r="J3870" i="5"/>
  <c r="H3870" i="5" s="1"/>
  <c r="J3871" i="5"/>
  <c r="H3871" i="5" s="1"/>
  <c r="J3872" i="5"/>
  <c r="H3872" i="5" s="1"/>
  <c r="J3873" i="5"/>
  <c r="H3873" i="5" s="1"/>
  <c r="J3874" i="5"/>
  <c r="H3874" i="5" s="1"/>
  <c r="J3875" i="5"/>
  <c r="H3875" i="5" s="1"/>
  <c r="J3876" i="5"/>
  <c r="H3876" i="5" s="1"/>
  <c r="J3877" i="5"/>
  <c r="H3877" i="5" s="1"/>
  <c r="J3878" i="5"/>
  <c r="H3878" i="5" s="1"/>
  <c r="J3879" i="5"/>
  <c r="H3879" i="5" s="1"/>
  <c r="J3880" i="5"/>
  <c r="H3880" i="5" s="1"/>
  <c r="J3881" i="5"/>
  <c r="H3881" i="5" s="1"/>
  <c r="J3882" i="5"/>
  <c r="H3882" i="5" s="1"/>
  <c r="J3883" i="5"/>
  <c r="H3883" i="5" s="1"/>
  <c r="J3884" i="5"/>
  <c r="H3884" i="5" s="1"/>
  <c r="J3885" i="5"/>
  <c r="H3885" i="5" s="1"/>
  <c r="J3886" i="5"/>
  <c r="H3886" i="5" s="1"/>
  <c r="J3887" i="5"/>
  <c r="H3887" i="5" s="1"/>
  <c r="J3888" i="5"/>
  <c r="H3888" i="5" s="1"/>
  <c r="J3889" i="5"/>
  <c r="H3889" i="5" s="1"/>
  <c r="J3890" i="5"/>
  <c r="H3890" i="5" s="1"/>
  <c r="J3891" i="5"/>
  <c r="H3891" i="5" s="1"/>
  <c r="J3892" i="5"/>
  <c r="H3892" i="5" s="1"/>
  <c r="J3893" i="5"/>
  <c r="H3893" i="5" s="1"/>
  <c r="J3894" i="5"/>
  <c r="H3894" i="5" s="1"/>
  <c r="J3895" i="5"/>
  <c r="H3895" i="5" s="1"/>
  <c r="J3896" i="5"/>
  <c r="H3896" i="5" s="1"/>
  <c r="J3897" i="5"/>
  <c r="H3897" i="5" s="1"/>
  <c r="J3898" i="5"/>
  <c r="H3898" i="5" s="1"/>
  <c r="J3899" i="5"/>
  <c r="H3899" i="5" s="1"/>
  <c r="J3900" i="5"/>
  <c r="H3900" i="5" s="1"/>
  <c r="J3901" i="5"/>
  <c r="H3901" i="5" s="1"/>
  <c r="J3902" i="5"/>
  <c r="H3902" i="5" s="1"/>
  <c r="J3903" i="5"/>
  <c r="H3903" i="5" s="1"/>
  <c r="J3904" i="5"/>
  <c r="H3904" i="5" s="1"/>
  <c r="J3905" i="5"/>
  <c r="H3905" i="5" s="1"/>
  <c r="J3906" i="5"/>
  <c r="H3906" i="5" s="1"/>
  <c r="J3907" i="5"/>
  <c r="H3907" i="5" s="1"/>
  <c r="J3908" i="5"/>
  <c r="H3908" i="5" s="1"/>
  <c r="J3909" i="5"/>
  <c r="H3909" i="5" s="1"/>
  <c r="J3910" i="5"/>
  <c r="H3910" i="5" s="1"/>
  <c r="J3911" i="5"/>
  <c r="H3911" i="5" s="1"/>
  <c r="J3912" i="5"/>
  <c r="H3912" i="5" s="1"/>
  <c r="J3913" i="5"/>
  <c r="H3913" i="5" s="1"/>
  <c r="J3914" i="5"/>
  <c r="H3914" i="5" s="1"/>
  <c r="J3915" i="5"/>
  <c r="H3915" i="5" s="1"/>
  <c r="J3916" i="5"/>
  <c r="H3916" i="5" s="1"/>
  <c r="J3917" i="5"/>
  <c r="H3917" i="5" s="1"/>
  <c r="J3918" i="5"/>
  <c r="H3918" i="5" s="1"/>
  <c r="J3919" i="5"/>
  <c r="H3919" i="5" s="1"/>
  <c r="J3920" i="5"/>
  <c r="H3920" i="5" s="1"/>
  <c r="J3921" i="5"/>
  <c r="H3921" i="5" s="1"/>
  <c r="J3922" i="5"/>
  <c r="H3922" i="5" s="1"/>
  <c r="J3923" i="5"/>
  <c r="H3923" i="5" s="1"/>
  <c r="J3924" i="5"/>
  <c r="H3924" i="5" s="1"/>
  <c r="J3925" i="5"/>
  <c r="H3925" i="5" s="1"/>
  <c r="J3926" i="5"/>
  <c r="H3926" i="5" s="1"/>
  <c r="J3927" i="5"/>
  <c r="H3927" i="5" s="1"/>
  <c r="J3928" i="5"/>
  <c r="H3928" i="5" s="1"/>
  <c r="J3929" i="5"/>
  <c r="H3929" i="5" s="1"/>
  <c r="J3930" i="5"/>
  <c r="H3930" i="5" s="1"/>
  <c r="J3931" i="5"/>
  <c r="H3931" i="5" s="1"/>
  <c r="J3932" i="5"/>
  <c r="H3932" i="5" s="1"/>
  <c r="J3933" i="5"/>
  <c r="H3933" i="5" s="1"/>
  <c r="J3934" i="5"/>
  <c r="H3934" i="5" s="1"/>
  <c r="J3935" i="5"/>
  <c r="H3935" i="5" s="1"/>
  <c r="J3936" i="5"/>
  <c r="H3936" i="5" s="1"/>
  <c r="J3937" i="5"/>
  <c r="H3937" i="5" s="1"/>
  <c r="J3938" i="5"/>
  <c r="H3938" i="5" s="1"/>
  <c r="J3939" i="5"/>
  <c r="H3939" i="5" s="1"/>
  <c r="J3940" i="5"/>
  <c r="H3940" i="5" s="1"/>
  <c r="J3941" i="5"/>
  <c r="H3941" i="5" s="1"/>
  <c r="J3942" i="5"/>
  <c r="H3942" i="5" s="1"/>
  <c r="J3943" i="5"/>
  <c r="H3943" i="5" s="1"/>
  <c r="J3944" i="5"/>
  <c r="H3944" i="5" s="1"/>
  <c r="J3945" i="5"/>
  <c r="H3945" i="5" s="1"/>
  <c r="J3946" i="5"/>
  <c r="H3946" i="5" s="1"/>
  <c r="J3947" i="5"/>
  <c r="H3947" i="5" s="1"/>
  <c r="J3948" i="5"/>
  <c r="H3948" i="5" s="1"/>
  <c r="J3949" i="5"/>
  <c r="H3949" i="5" s="1"/>
  <c r="J3950" i="5"/>
  <c r="H3950" i="5" s="1"/>
  <c r="J3951" i="5"/>
  <c r="H3951" i="5" s="1"/>
  <c r="J3952" i="5"/>
  <c r="H3952" i="5" s="1"/>
  <c r="J3953" i="5"/>
  <c r="H3953" i="5" s="1"/>
  <c r="J3954" i="5"/>
  <c r="H3954" i="5" s="1"/>
  <c r="J3955" i="5"/>
  <c r="H3955" i="5" s="1"/>
  <c r="J3956" i="5"/>
  <c r="H3956" i="5" s="1"/>
  <c r="J3957" i="5"/>
  <c r="H3957" i="5" s="1"/>
  <c r="J3958" i="5"/>
  <c r="H3958" i="5" s="1"/>
  <c r="J3959" i="5"/>
  <c r="H3959" i="5" s="1"/>
  <c r="J3960" i="5"/>
  <c r="H3960" i="5" s="1"/>
  <c r="J3961" i="5"/>
  <c r="H3961" i="5" s="1"/>
  <c r="J3962" i="5"/>
  <c r="H3962" i="5" s="1"/>
  <c r="J3963" i="5"/>
  <c r="H3963" i="5" s="1"/>
  <c r="J3964" i="5"/>
  <c r="H3964" i="5" s="1"/>
  <c r="J3965" i="5"/>
  <c r="H3965" i="5" s="1"/>
  <c r="J3966" i="5"/>
  <c r="H3966" i="5" s="1"/>
  <c r="J3967" i="5"/>
  <c r="H3967" i="5" s="1"/>
  <c r="J3968" i="5"/>
  <c r="H3968" i="5" s="1"/>
  <c r="J3969" i="5"/>
  <c r="H3969" i="5" s="1"/>
  <c r="J3970" i="5"/>
  <c r="H3970" i="5" s="1"/>
  <c r="J3971" i="5"/>
  <c r="H3971" i="5" s="1"/>
  <c r="J3972" i="5"/>
  <c r="H3972" i="5" s="1"/>
  <c r="J3973" i="5"/>
  <c r="H3973" i="5" s="1"/>
  <c r="J3974" i="5"/>
  <c r="H3974" i="5" s="1"/>
  <c r="J3975" i="5"/>
  <c r="H3975" i="5" s="1"/>
  <c r="J3976" i="5"/>
  <c r="H3976" i="5" s="1"/>
  <c r="J3977" i="5"/>
  <c r="H3977" i="5" s="1"/>
  <c r="J3978" i="5"/>
  <c r="H3978" i="5" s="1"/>
  <c r="J3979" i="5"/>
  <c r="H3979" i="5" s="1"/>
  <c r="J3980" i="5"/>
  <c r="H3980" i="5" s="1"/>
  <c r="J3981" i="5"/>
  <c r="H3981" i="5" s="1"/>
  <c r="J3982" i="5"/>
  <c r="H3982" i="5" s="1"/>
  <c r="J3983" i="5"/>
  <c r="H3983" i="5" s="1"/>
  <c r="J3984" i="5"/>
  <c r="H3984" i="5" s="1"/>
  <c r="J3985" i="5"/>
  <c r="H3985" i="5" s="1"/>
  <c r="J3986" i="5"/>
  <c r="H3986" i="5" s="1"/>
  <c r="J3987" i="5"/>
  <c r="H3987" i="5" s="1"/>
  <c r="J3988" i="5"/>
  <c r="H3988" i="5" s="1"/>
  <c r="J3989" i="5"/>
  <c r="H3989" i="5" s="1"/>
  <c r="J3990" i="5"/>
  <c r="H3990" i="5" s="1"/>
  <c r="J3991" i="5"/>
  <c r="H3991" i="5" s="1"/>
  <c r="J3992" i="5"/>
  <c r="H3992" i="5" s="1"/>
  <c r="J3993" i="5"/>
  <c r="H3993" i="5" s="1"/>
  <c r="J3994" i="5"/>
  <c r="H3994" i="5" s="1"/>
  <c r="J3995" i="5"/>
  <c r="H3995" i="5" s="1"/>
  <c r="J3996" i="5"/>
  <c r="H3996" i="5" s="1"/>
  <c r="J3997" i="5"/>
  <c r="H3997" i="5" s="1"/>
  <c r="J3998" i="5"/>
  <c r="H3998" i="5" s="1"/>
  <c r="J3999" i="5"/>
  <c r="H3999" i="5" s="1"/>
  <c r="J4000" i="5"/>
  <c r="H4000" i="5" s="1"/>
  <c r="J4001" i="5"/>
  <c r="H4001" i="5" s="1"/>
  <c r="J4002" i="5"/>
  <c r="H4002" i="5" s="1"/>
  <c r="J4003" i="5"/>
  <c r="H4003" i="5" s="1"/>
  <c r="J4004" i="5"/>
  <c r="H4004" i="5" s="1"/>
  <c r="J4005" i="5"/>
  <c r="H4005" i="5" s="1"/>
  <c r="J4006" i="5"/>
  <c r="H4006" i="5" s="1"/>
  <c r="J4007" i="5"/>
  <c r="H4007" i="5" s="1"/>
  <c r="J4008" i="5"/>
  <c r="H4008" i="5" s="1"/>
  <c r="J4009" i="5"/>
  <c r="H4009" i="5" s="1"/>
  <c r="J4010" i="5"/>
  <c r="H4010" i="5" s="1"/>
  <c r="J4011" i="5"/>
  <c r="H4011" i="5" s="1"/>
  <c r="J4012" i="5"/>
  <c r="H4012" i="5" s="1"/>
  <c r="J4013" i="5"/>
  <c r="H4013" i="5" s="1"/>
  <c r="J4014" i="5"/>
  <c r="H4014" i="5" s="1"/>
  <c r="J4015" i="5"/>
  <c r="H4015" i="5" s="1"/>
  <c r="J4016" i="5"/>
  <c r="H4016" i="5" s="1"/>
  <c r="J4017" i="5"/>
  <c r="H4017" i="5" s="1"/>
  <c r="J4018" i="5"/>
  <c r="H4018" i="5" s="1"/>
  <c r="J4019" i="5"/>
  <c r="H4019" i="5" s="1"/>
  <c r="J4020" i="5"/>
  <c r="H4020" i="5" s="1"/>
  <c r="J4021" i="5"/>
  <c r="H4021" i="5" s="1"/>
  <c r="J4022" i="5"/>
  <c r="H4022" i="5" s="1"/>
  <c r="J4023" i="5"/>
  <c r="H4023" i="5" s="1"/>
  <c r="J4024" i="5"/>
  <c r="H4024" i="5" s="1"/>
  <c r="J4025" i="5"/>
  <c r="H4025" i="5" s="1"/>
  <c r="J4026" i="5"/>
  <c r="H4026" i="5" s="1"/>
  <c r="J4027" i="5"/>
  <c r="H4027" i="5" s="1"/>
  <c r="J4028" i="5"/>
  <c r="H4028" i="5" s="1"/>
  <c r="J4029" i="5"/>
  <c r="H4029" i="5" s="1"/>
  <c r="J4030" i="5"/>
  <c r="H4030" i="5" s="1"/>
  <c r="J4031" i="5"/>
  <c r="H4031" i="5" s="1"/>
  <c r="J4032" i="5"/>
  <c r="H4032" i="5" s="1"/>
  <c r="J4033" i="5"/>
  <c r="H4033" i="5" s="1"/>
  <c r="J4034" i="5"/>
  <c r="H4034" i="5" s="1"/>
  <c r="J4035" i="5"/>
  <c r="H4035" i="5" s="1"/>
  <c r="J4036" i="5"/>
  <c r="H4036" i="5" s="1"/>
  <c r="J4037" i="5"/>
  <c r="H4037" i="5" s="1"/>
  <c r="J4038" i="5"/>
  <c r="H4038" i="5" s="1"/>
  <c r="J4039" i="5"/>
  <c r="H4039" i="5" s="1"/>
  <c r="J4040" i="5"/>
  <c r="H4040" i="5" s="1"/>
  <c r="J4041" i="5"/>
  <c r="H4041" i="5" s="1"/>
  <c r="J4042" i="5"/>
  <c r="H4042" i="5" s="1"/>
  <c r="J4043" i="5"/>
  <c r="H4043" i="5" s="1"/>
  <c r="J4044" i="5"/>
  <c r="H4044" i="5" s="1"/>
  <c r="J4045" i="5"/>
  <c r="H4045" i="5" s="1"/>
  <c r="J4046" i="5"/>
  <c r="H4046" i="5" s="1"/>
  <c r="J4047" i="5"/>
  <c r="H4047" i="5" s="1"/>
  <c r="J4048" i="5"/>
  <c r="H4048" i="5" s="1"/>
  <c r="J4049" i="5"/>
  <c r="H4049" i="5" s="1"/>
  <c r="J4050" i="5"/>
  <c r="H4050" i="5" s="1"/>
  <c r="J4051" i="5"/>
  <c r="H4051" i="5" s="1"/>
  <c r="J4052" i="5"/>
  <c r="H4052" i="5" s="1"/>
  <c r="J4053" i="5"/>
  <c r="H4053" i="5" s="1"/>
  <c r="J4054" i="5"/>
  <c r="H4054" i="5" s="1"/>
  <c r="J4055" i="5"/>
  <c r="H4055" i="5" s="1"/>
  <c r="J4056" i="5"/>
  <c r="H4056" i="5" s="1"/>
  <c r="J4057" i="5"/>
  <c r="H4057" i="5" s="1"/>
  <c r="J4058" i="5"/>
  <c r="H4058" i="5" s="1"/>
  <c r="J4059" i="5"/>
  <c r="H4059" i="5" s="1"/>
  <c r="J4060" i="5"/>
  <c r="H4060" i="5" s="1"/>
  <c r="J4061" i="5"/>
  <c r="H4061" i="5" s="1"/>
  <c r="J4062" i="5"/>
  <c r="H4062" i="5" s="1"/>
  <c r="J4063" i="5"/>
  <c r="H4063" i="5" s="1"/>
  <c r="J4064" i="5"/>
  <c r="H4064" i="5" s="1"/>
  <c r="J4065" i="5"/>
  <c r="H4065" i="5" s="1"/>
  <c r="J4066" i="5"/>
  <c r="H4066" i="5" s="1"/>
  <c r="J4067" i="5"/>
  <c r="H4067" i="5" s="1"/>
  <c r="J4068" i="5"/>
  <c r="H4068" i="5" s="1"/>
  <c r="J4069" i="5"/>
  <c r="H4069" i="5" s="1"/>
  <c r="J4070" i="5"/>
  <c r="H4070" i="5" s="1"/>
  <c r="J4071" i="5"/>
  <c r="H4071" i="5" s="1"/>
  <c r="J4072" i="5"/>
  <c r="H4072" i="5" s="1"/>
  <c r="J4073" i="5"/>
  <c r="H4073" i="5" s="1"/>
  <c r="J4074" i="5"/>
  <c r="H4074" i="5" s="1"/>
  <c r="J4075" i="5"/>
  <c r="H4075" i="5" s="1"/>
  <c r="J4076" i="5"/>
  <c r="H4076" i="5" s="1"/>
  <c r="J4077" i="5"/>
  <c r="H4077" i="5" s="1"/>
  <c r="J4078" i="5"/>
  <c r="H4078" i="5" s="1"/>
  <c r="J4079" i="5"/>
  <c r="H4079" i="5" s="1"/>
  <c r="J4080" i="5"/>
  <c r="H4080" i="5" s="1"/>
  <c r="J4081" i="5"/>
  <c r="H4081" i="5" s="1"/>
  <c r="J4082" i="5"/>
  <c r="H4082" i="5" s="1"/>
  <c r="J4083" i="5"/>
  <c r="H4083" i="5" s="1"/>
  <c r="J4084" i="5"/>
  <c r="H4084" i="5" s="1"/>
  <c r="J4085" i="5"/>
  <c r="H4085" i="5" s="1"/>
  <c r="J4086" i="5"/>
  <c r="H4086" i="5" s="1"/>
  <c r="J4087" i="5"/>
  <c r="H4087" i="5" s="1"/>
  <c r="J4088" i="5"/>
  <c r="H4088" i="5" s="1"/>
  <c r="J4089" i="5"/>
  <c r="H4089" i="5" s="1"/>
  <c r="J4090" i="5"/>
  <c r="H4090" i="5" s="1"/>
  <c r="J4091" i="5"/>
  <c r="H4091" i="5" s="1"/>
  <c r="J4092" i="5"/>
  <c r="H4092" i="5" s="1"/>
  <c r="J4093" i="5"/>
  <c r="H4093" i="5" s="1"/>
  <c r="J4094" i="5"/>
  <c r="H4094" i="5" s="1"/>
  <c r="J4095" i="5"/>
  <c r="H4095" i="5" s="1"/>
  <c r="J4096" i="5"/>
  <c r="H4096" i="5" s="1"/>
  <c r="J4097" i="5"/>
  <c r="H4097" i="5" s="1"/>
  <c r="J4098" i="5"/>
  <c r="H4098" i="5" s="1"/>
  <c r="J4099" i="5"/>
  <c r="H4099" i="5" s="1"/>
  <c r="J4100" i="5"/>
  <c r="H4100" i="5" s="1"/>
  <c r="J4101" i="5"/>
  <c r="H4101" i="5" s="1"/>
  <c r="J4102" i="5"/>
  <c r="H4102" i="5" s="1"/>
  <c r="J4103" i="5"/>
  <c r="H4103" i="5" s="1"/>
  <c r="J4104" i="5"/>
  <c r="H4104" i="5" s="1"/>
  <c r="J4105" i="5"/>
  <c r="H4105" i="5" s="1"/>
  <c r="J4106" i="5"/>
  <c r="H4106" i="5" s="1"/>
  <c r="J4107" i="5"/>
  <c r="H4107" i="5" s="1"/>
  <c r="J4108" i="5"/>
  <c r="H4108" i="5" s="1"/>
  <c r="J4109" i="5"/>
  <c r="H4109" i="5" s="1"/>
  <c r="J4110" i="5"/>
  <c r="H4110" i="5" s="1"/>
  <c r="J4111" i="5"/>
  <c r="H4111" i="5" s="1"/>
  <c r="J4112" i="5"/>
  <c r="H4112" i="5" s="1"/>
  <c r="J4113" i="5"/>
  <c r="H4113" i="5" s="1"/>
  <c r="J4114" i="5"/>
  <c r="H4114" i="5" s="1"/>
  <c r="J4115" i="5"/>
  <c r="H4115" i="5" s="1"/>
  <c r="J4116" i="5"/>
  <c r="H4116" i="5" s="1"/>
  <c r="J4117" i="5"/>
  <c r="H4117" i="5" s="1"/>
  <c r="J4118" i="5"/>
  <c r="H4118" i="5" s="1"/>
  <c r="J4119" i="5"/>
  <c r="H4119" i="5" s="1"/>
  <c r="J4120" i="5"/>
  <c r="H4120" i="5" s="1"/>
  <c r="J4121" i="5"/>
  <c r="H4121" i="5" s="1"/>
  <c r="J4122" i="5"/>
  <c r="H4122" i="5" s="1"/>
  <c r="J4123" i="5"/>
  <c r="H4123" i="5" s="1"/>
  <c r="J4124" i="5"/>
  <c r="H4124" i="5" s="1"/>
  <c r="J4125" i="5"/>
  <c r="H4125" i="5" s="1"/>
  <c r="J4126" i="5"/>
  <c r="H4126" i="5" s="1"/>
  <c r="J4127" i="5"/>
  <c r="H4127" i="5" s="1"/>
  <c r="J4128" i="5"/>
  <c r="H4128" i="5" s="1"/>
  <c r="J4129" i="5"/>
  <c r="H4129" i="5" s="1"/>
  <c r="J4130" i="5"/>
  <c r="H4130" i="5" s="1"/>
  <c r="J4131" i="5"/>
  <c r="H4131" i="5" s="1"/>
  <c r="J4132" i="5"/>
  <c r="H4132" i="5" s="1"/>
  <c r="J4133" i="5"/>
  <c r="H4133" i="5" s="1"/>
  <c r="J4134" i="5"/>
  <c r="H4134" i="5" s="1"/>
  <c r="J4135" i="5"/>
  <c r="H4135" i="5" s="1"/>
  <c r="J4136" i="5"/>
  <c r="H4136" i="5" s="1"/>
  <c r="J4137" i="5"/>
  <c r="H4137" i="5" s="1"/>
  <c r="J4138" i="5"/>
  <c r="H4138" i="5" s="1"/>
  <c r="J4139" i="5"/>
  <c r="H4139" i="5" s="1"/>
  <c r="J4140" i="5"/>
  <c r="H4140" i="5" s="1"/>
  <c r="J4141" i="5"/>
  <c r="H4141" i="5" s="1"/>
  <c r="J4142" i="5"/>
  <c r="H4142" i="5" s="1"/>
  <c r="J4143" i="5"/>
  <c r="H4143" i="5" s="1"/>
  <c r="J4144" i="5"/>
  <c r="H4144" i="5" s="1"/>
  <c r="J4145" i="5"/>
  <c r="H4145" i="5" s="1"/>
  <c r="J4146" i="5"/>
  <c r="H4146" i="5" s="1"/>
  <c r="J4147" i="5"/>
  <c r="H4147" i="5" s="1"/>
  <c r="J4148" i="5"/>
  <c r="H4148" i="5" s="1"/>
  <c r="J4149" i="5"/>
  <c r="H4149" i="5" s="1"/>
  <c r="J4150" i="5"/>
  <c r="H4150" i="5" s="1"/>
  <c r="J4151" i="5"/>
  <c r="H4151" i="5" s="1"/>
  <c r="J4152" i="5"/>
  <c r="H4152" i="5" s="1"/>
  <c r="J4153" i="5"/>
  <c r="H4153" i="5" s="1"/>
  <c r="J4154" i="5"/>
  <c r="H4154" i="5" s="1"/>
  <c r="J4155" i="5"/>
  <c r="H4155" i="5" s="1"/>
  <c r="J4156" i="5"/>
  <c r="H4156" i="5" s="1"/>
  <c r="J4157" i="5"/>
  <c r="H4157" i="5" s="1"/>
  <c r="J4158" i="5"/>
  <c r="H4158" i="5" s="1"/>
  <c r="J4159" i="5"/>
  <c r="H4159" i="5" s="1"/>
  <c r="J4160" i="5"/>
  <c r="H4160" i="5" s="1"/>
  <c r="J4161" i="5"/>
  <c r="H4161" i="5" s="1"/>
  <c r="J4162" i="5"/>
  <c r="H4162" i="5" s="1"/>
  <c r="J4163" i="5"/>
  <c r="H4163" i="5" s="1"/>
  <c r="J4164" i="5"/>
  <c r="H4164" i="5" s="1"/>
  <c r="J4165" i="5"/>
  <c r="H4165" i="5" s="1"/>
  <c r="J4166" i="5"/>
  <c r="H4166" i="5" s="1"/>
  <c r="J4167" i="5"/>
  <c r="H4167" i="5" s="1"/>
  <c r="J4168" i="5"/>
  <c r="H4168" i="5" s="1"/>
  <c r="J4169" i="5"/>
  <c r="H4169" i="5" s="1"/>
  <c r="J4170" i="5"/>
  <c r="H4170" i="5" s="1"/>
  <c r="J4171" i="5"/>
  <c r="H4171" i="5" s="1"/>
  <c r="J4172" i="5"/>
  <c r="H4172" i="5" s="1"/>
  <c r="J4173" i="5"/>
  <c r="H4173" i="5" s="1"/>
  <c r="J4174" i="5"/>
  <c r="H4174" i="5" s="1"/>
  <c r="J4175" i="5"/>
  <c r="H4175" i="5" s="1"/>
  <c r="J4176" i="5"/>
  <c r="H4176" i="5" s="1"/>
  <c r="J4177" i="5"/>
  <c r="H4177" i="5" s="1"/>
  <c r="J4178" i="5"/>
  <c r="H4178" i="5" s="1"/>
  <c r="J4179" i="5"/>
  <c r="H4179" i="5" s="1"/>
  <c r="J4180" i="5"/>
  <c r="H4180" i="5" s="1"/>
  <c r="J4181" i="5"/>
  <c r="H4181" i="5" s="1"/>
  <c r="J4182" i="5"/>
  <c r="H4182" i="5" s="1"/>
  <c r="J4183" i="5"/>
  <c r="H4183" i="5" s="1"/>
  <c r="J4184" i="5"/>
  <c r="H4184" i="5" s="1"/>
  <c r="J4185" i="5"/>
  <c r="H4185" i="5" s="1"/>
  <c r="J4186" i="5"/>
  <c r="H4186" i="5" s="1"/>
  <c r="J4187" i="5"/>
  <c r="H4187" i="5" s="1"/>
  <c r="J4188" i="5"/>
  <c r="H4188" i="5" s="1"/>
  <c r="J4189" i="5"/>
  <c r="H4189" i="5" s="1"/>
  <c r="J4190" i="5"/>
  <c r="H4190" i="5" s="1"/>
  <c r="J4191" i="5"/>
  <c r="H4191" i="5" s="1"/>
  <c r="J4192" i="5"/>
  <c r="H4192" i="5" s="1"/>
  <c r="J4193" i="5"/>
  <c r="H4193" i="5" s="1"/>
  <c r="J4194" i="5"/>
  <c r="H4194" i="5" s="1"/>
  <c r="J4195" i="5"/>
  <c r="H4195" i="5" s="1"/>
  <c r="J4196" i="5"/>
  <c r="H4196" i="5" s="1"/>
  <c r="J4197" i="5"/>
  <c r="H4197" i="5" s="1"/>
  <c r="J4198" i="5"/>
  <c r="H4198" i="5" s="1"/>
  <c r="J4199" i="5"/>
  <c r="H4199" i="5" s="1"/>
  <c r="J4200" i="5"/>
  <c r="H4200" i="5" s="1"/>
  <c r="J4201" i="5"/>
  <c r="H4201" i="5" s="1"/>
  <c r="J4202" i="5"/>
  <c r="H4202" i="5" s="1"/>
  <c r="J4203" i="5"/>
  <c r="H4203" i="5" s="1"/>
  <c r="J4204" i="5"/>
  <c r="H4204" i="5" s="1"/>
  <c r="J4205" i="5"/>
  <c r="H4205" i="5" s="1"/>
  <c r="J4206" i="5"/>
  <c r="H4206" i="5" s="1"/>
  <c r="J4207" i="5"/>
  <c r="H4207" i="5" s="1"/>
  <c r="J4208" i="5"/>
  <c r="H4208" i="5" s="1"/>
  <c r="J4209" i="5"/>
  <c r="H4209" i="5" s="1"/>
  <c r="J4210" i="5"/>
  <c r="H4210" i="5" s="1"/>
  <c r="J4211" i="5"/>
  <c r="H4211" i="5" s="1"/>
  <c r="J4212" i="5"/>
  <c r="H4212" i="5" s="1"/>
  <c r="J4213" i="5"/>
  <c r="H4213" i="5" s="1"/>
  <c r="J4214" i="5"/>
  <c r="H4214" i="5" s="1"/>
  <c r="J4215" i="5"/>
  <c r="H4215" i="5" s="1"/>
  <c r="J4216" i="5"/>
  <c r="H4216" i="5" s="1"/>
  <c r="J4217" i="5"/>
  <c r="H4217" i="5" s="1"/>
  <c r="J4218" i="5"/>
  <c r="H4218" i="5" s="1"/>
  <c r="J4219" i="5"/>
  <c r="H4219" i="5" s="1"/>
  <c r="J4220" i="5"/>
  <c r="H4220" i="5" s="1"/>
  <c r="J4221" i="5"/>
  <c r="H4221" i="5" s="1"/>
  <c r="J4222" i="5"/>
  <c r="H4222" i="5" s="1"/>
  <c r="J4223" i="5"/>
  <c r="H4223" i="5" s="1"/>
  <c r="J4224" i="5"/>
  <c r="H4224" i="5" s="1"/>
  <c r="J4225" i="5"/>
  <c r="H4225" i="5" s="1"/>
  <c r="J4226" i="5"/>
  <c r="H4226" i="5" s="1"/>
  <c r="J4227" i="5"/>
  <c r="H4227" i="5" s="1"/>
  <c r="J4228" i="5"/>
  <c r="H4228" i="5" s="1"/>
  <c r="J4229" i="5"/>
  <c r="H4229" i="5" s="1"/>
  <c r="J4230" i="5"/>
  <c r="H4230" i="5" s="1"/>
  <c r="J4231" i="5"/>
  <c r="H4231" i="5" s="1"/>
  <c r="J4232" i="5"/>
  <c r="H4232" i="5" s="1"/>
  <c r="J4233" i="5"/>
  <c r="H4233" i="5" s="1"/>
  <c r="J4234" i="5"/>
  <c r="H4234" i="5" s="1"/>
  <c r="J4235" i="5"/>
  <c r="H4235" i="5" s="1"/>
  <c r="J4236" i="5"/>
  <c r="H4236" i="5" s="1"/>
  <c r="J4237" i="5"/>
  <c r="H4237" i="5" s="1"/>
  <c r="J4238" i="5"/>
  <c r="H4238" i="5" s="1"/>
  <c r="J4239" i="5"/>
  <c r="H4239" i="5" s="1"/>
  <c r="J4240" i="5"/>
  <c r="H4240" i="5" s="1"/>
  <c r="J4241" i="5"/>
  <c r="H4241" i="5" s="1"/>
  <c r="J4242" i="5"/>
  <c r="H4242" i="5" s="1"/>
  <c r="J4243" i="5"/>
  <c r="H4243" i="5" s="1"/>
  <c r="J4244" i="5"/>
  <c r="H4244" i="5" s="1"/>
  <c r="J4245" i="5"/>
  <c r="H4245" i="5" s="1"/>
  <c r="J4246" i="5"/>
  <c r="H4246" i="5" s="1"/>
  <c r="J4247" i="5"/>
  <c r="H4247" i="5" s="1"/>
  <c r="J4248" i="5"/>
  <c r="H4248" i="5" s="1"/>
  <c r="J4249" i="5"/>
  <c r="H4249" i="5" s="1"/>
  <c r="J4250" i="5"/>
  <c r="H4250" i="5" s="1"/>
  <c r="J4251" i="5"/>
  <c r="H4251" i="5" s="1"/>
  <c r="J4252" i="5"/>
  <c r="H4252" i="5" s="1"/>
  <c r="J4253" i="5"/>
  <c r="H4253" i="5" s="1"/>
  <c r="J4254" i="5"/>
  <c r="H4254" i="5" s="1"/>
  <c r="J4255" i="5"/>
  <c r="H4255" i="5" s="1"/>
  <c r="J4256" i="5"/>
  <c r="H4256" i="5" s="1"/>
  <c r="J4257" i="5"/>
  <c r="H4257" i="5" s="1"/>
  <c r="J4258" i="5"/>
  <c r="H4258" i="5" s="1"/>
  <c r="J4259" i="5"/>
  <c r="H4259" i="5" s="1"/>
  <c r="J4260" i="5"/>
  <c r="H4260" i="5" s="1"/>
  <c r="J4261" i="5"/>
  <c r="H4261" i="5" s="1"/>
  <c r="J4262" i="5"/>
  <c r="H4262" i="5" s="1"/>
  <c r="J4263" i="5"/>
  <c r="H4263" i="5" s="1"/>
  <c r="J4264" i="5"/>
  <c r="H4264" i="5" s="1"/>
  <c r="J4265" i="5"/>
  <c r="H4265" i="5" s="1"/>
  <c r="J4266" i="5"/>
  <c r="H4266" i="5" s="1"/>
  <c r="J4267" i="5"/>
  <c r="H4267" i="5" s="1"/>
  <c r="J4268" i="5"/>
  <c r="H4268" i="5" s="1"/>
  <c r="J4269" i="5"/>
  <c r="H4269" i="5" s="1"/>
  <c r="J4270" i="5"/>
  <c r="H4270" i="5" s="1"/>
  <c r="J4271" i="5"/>
  <c r="H4271" i="5" s="1"/>
  <c r="J4272" i="5"/>
  <c r="H4272" i="5" s="1"/>
  <c r="J4273" i="5"/>
  <c r="H4273" i="5" s="1"/>
  <c r="J4274" i="5"/>
  <c r="H4274" i="5" s="1"/>
  <c r="J4275" i="5"/>
  <c r="H4275" i="5" s="1"/>
  <c r="J4276" i="5"/>
  <c r="H4276" i="5" s="1"/>
  <c r="J4277" i="5"/>
  <c r="H4277" i="5" s="1"/>
  <c r="J4278" i="5"/>
  <c r="H4278" i="5" s="1"/>
  <c r="J4279" i="5"/>
  <c r="H4279" i="5" s="1"/>
  <c r="J4280" i="5"/>
  <c r="H4280" i="5" s="1"/>
  <c r="J4281" i="5"/>
  <c r="H4281" i="5" s="1"/>
  <c r="J4282" i="5"/>
  <c r="H4282" i="5" s="1"/>
  <c r="J4283" i="5"/>
  <c r="H4283" i="5" s="1"/>
  <c r="J4284" i="5"/>
  <c r="H4284" i="5" s="1"/>
  <c r="J4285" i="5"/>
  <c r="H4285" i="5" s="1"/>
  <c r="J4286" i="5"/>
  <c r="H4286" i="5" s="1"/>
  <c r="J4287" i="5"/>
  <c r="H4287" i="5" s="1"/>
  <c r="J4288" i="5"/>
  <c r="H4288" i="5" s="1"/>
  <c r="J4289" i="5"/>
  <c r="H4289" i="5" s="1"/>
  <c r="J4290" i="5"/>
  <c r="H4290" i="5" s="1"/>
  <c r="J4291" i="5"/>
  <c r="H4291" i="5" s="1"/>
  <c r="J4292" i="5"/>
  <c r="H4292" i="5" s="1"/>
  <c r="J4293" i="5"/>
  <c r="H4293" i="5" s="1"/>
  <c r="J4294" i="5"/>
  <c r="H4294" i="5" s="1"/>
  <c r="J4295" i="5"/>
  <c r="H4295" i="5" s="1"/>
  <c r="J4296" i="5"/>
  <c r="H4296" i="5" s="1"/>
  <c r="J4297" i="5"/>
  <c r="H4297" i="5" s="1"/>
  <c r="J4298" i="5"/>
  <c r="H4298" i="5" s="1"/>
  <c r="J4299" i="5"/>
  <c r="H4299" i="5" s="1"/>
  <c r="J4300" i="5"/>
  <c r="H4300" i="5" s="1"/>
  <c r="J4301" i="5"/>
  <c r="H4301" i="5" s="1"/>
  <c r="J4302" i="5"/>
  <c r="H4302" i="5" s="1"/>
  <c r="J4303" i="5"/>
  <c r="H4303" i="5" s="1"/>
  <c r="J4304" i="5"/>
  <c r="H4304" i="5" s="1"/>
  <c r="J4305" i="5"/>
  <c r="H4305" i="5" s="1"/>
  <c r="J4306" i="5"/>
  <c r="H4306" i="5" s="1"/>
  <c r="J4307" i="5"/>
  <c r="H4307" i="5" s="1"/>
  <c r="J4308" i="5"/>
  <c r="H4308" i="5" s="1"/>
  <c r="J4309" i="5"/>
  <c r="H4309" i="5" s="1"/>
  <c r="J4310" i="5"/>
  <c r="H4310" i="5" s="1"/>
  <c r="J4311" i="5"/>
  <c r="H4311" i="5" s="1"/>
  <c r="J4312" i="5"/>
  <c r="H4312" i="5" s="1"/>
  <c r="J4313" i="5"/>
  <c r="H4313" i="5" s="1"/>
  <c r="J4314" i="5"/>
  <c r="H4314" i="5" s="1"/>
  <c r="J4315" i="5"/>
  <c r="H4315" i="5" s="1"/>
  <c r="J4316" i="5"/>
  <c r="H4316" i="5" s="1"/>
  <c r="J4317" i="5"/>
  <c r="H4317" i="5" s="1"/>
  <c r="J4318" i="5"/>
  <c r="H4318" i="5" s="1"/>
  <c r="J4319" i="5"/>
  <c r="H4319" i="5" s="1"/>
  <c r="J4320" i="5"/>
  <c r="H4320" i="5" s="1"/>
  <c r="J4321" i="5"/>
  <c r="H4321" i="5" s="1"/>
  <c r="J4322" i="5"/>
  <c r="H4322" i="5" s="1"/>
  <c r="J4323" i="5"/>
  <c r="H4323" i="5" s="1"/>
  <c r="J4324" i="5"/>
  <c r="H4324" i="5" s="1"/>
  <c r="J4325" i="5"/>
  <c r="H4325" i="5" s="1"/>
  <c r="J4326" i="5"/>
  <c r="H4326" i="5" s="1"/>
  <c r="J4327" i="5"/>
  <c r="H4327" i="5" s="1"/>
  <c r="J4328" i="5"/>
  <c r="H4328" i="5" s="1"/>
  <c r="J4329" i="5"/>
  <c r="H4329" i="5" s="1"/>
  <c r="J4330" i="5"/>
  <c r="H4330" i="5" s="1"/>
  <c r="J4331" i="5"/>
  <c r="H4331" i="5" s="1"/>
  <c r="J4332" i="5"/>
  <c r="H4332" i="5" s="1"/>
  <c r="J4333" i="5"/>
  <c r="H4333" i="5" s="1"/>
  <c r="J4334" i="5"/>
  <c r="H4334" i="5" s="1"/>
  <c r="J4335" i="5"/>
  <c r="H4335" i="5" s="1"/>
  <c r="J4336" i="5"/>
  <c r="H4336" i="5" s="1"/>
  <c r="J4337" i="5"/>
  <c r="H4337" i="5" s="1"/>
  <c r="J4338" i="5"/>
  <c r="H4338" i="5" s="1"/>
  <c r="J4339" i="5"/>
  <c r="H4339" i="5" s="1"/>
  <c r="J4340" i="5"/>
  <c r="H4340" i="5" s="1"/>
  <c r="J4341" i="5"/>
  <c r="H4341" i="5" s="1"/>
  <c r="J4342" i="5"/>
  <c r="H4342" i="5" s="1"/>
  <c r="J4343" i="5"/>
  <c r="H4343" i="5" s="1"/>
  <c r="J4344" i="5"/>
  <c r="H4344" i="5" s="1"/>
  <c r="J4345" i="5"/>
  <c r="H4345" i="5" s="1"/>
  <c r="J4346" i="5"/>
  <c r="H4346" i="5" s="1"/>
  <c r="J4347" i="5"/>
  <c r="H4347" i="5" s="1"/>
  <c r="J4348" i="5"/>
  <c r="H4348" i="5" s="1"/>
  <c r="J4349" i="5"/>
  <c r="H4349" i="5" s="1"/>
  <c r="J4350" i="5"/>
  <c r="H4350" i="5" s="1"/>
  <c r="J4351" i="5"/>
  <c r="H4351" i="5" s="1"/>
  <c r="J4352" i="5"/>
  <c r="H4352" i="5" s="1"/>
  <c r="J4353" i="5"/>
  <c r="H4353" i="5" s="1"/>
  <c r="J4354" i="5"/>
  <c r="H4354" i="5" s="1"/>
  <c r="J4355" i="5"/>
  <c r="H4355" i="5" s="1"/>
  <c r="J4356" i="5"/>
  <c r="H4356" i="5" s="1"/>
  <c r="J4357" i="5"/>
  <c r="H4357" i="5" s="1"/>
  <c r="J4358" i="5"/>
  <c r="H4358" i="5" s="1"/>
  <c r="J4359" i="5"/>
  <c r="H4359" i="5" s="1"/>
  <c r="J4360" i="5"/>
  <c r="H4360" i="5" s="1"/>
  <c r="J4361" i="5"/>
  <c r="H4361" i="5" s="1"/>
  <c r="J4362" i="5"/>
  <c r="H4362" i="5" s="1"/>
  <c r="J4363" i="5"/>
  <c r="H4363" i="5" s="1"/>
  <c r="J4364" i="5"/>
  <c r="H4364" i="5" s="1"/>
  <c r="J4365" i="5"/>
  <c r="H4365" i="5" s="1"/>
  <c r="J4366" i="5"/>
  <c r="H4366" i="5" s="1"/>
  <c r="J4367" i="5"/>
  <c r="H4367" i="5" s="1"/>
  <c r="J4368" i="5"/>
  <c r="H4368" i="5" s="1"/>
  <c r="J4369" i="5"/>
  <c r="H4369" i="5" s="1"/>
  <c r="J4370" i="5"/>
  <c r="H4370" i="5" s="1"/>
  <c r="J4371" i="5"/>
  <c r="H4371" i="5" s="1"/>
  <c r="J4372" i="5"/>
  <c r="H4372" i="5" s="1"/>
  <c r="J4373" i="5"/>
  <c r="H4373" i="5" s="1"/>
  <c r="J4374" i="5"/>
  <c r="H4374" i="5" s="1"/>
  <c r="J4375" i="5"/>
  <c r="H4375" i="5" s="1"/>
  <c r="J4376" i="5"/>
  <c r="H4376" i="5" s="1"/>
  <c r="J4377" i="5"/>
  <c r="H4377" i="5" s="1"/>
  <c r="J4378" i="5"/>
  <c r="H4378" i="5" s="1"/>
  <c r="J4379" i="5"/>
  <c r="H4379" i="5" s="1"/>
  <c r="J4380" i="5"/>
  <c r="H4380" i="5" s="1"/>
  <c r="J4381" i="5"/>
  <c r="H4381" i="5" s="1"/>
  <c r="J4382" i="5"/>
  <c r="H4382" i="5" s="1"/>
  <c r="J4383" i="5"/>
  <c r="H4383" i="5" s="1"/>
  <c r="J4384" i="5"/>
  <c r="H4384" i="5" s="1"/>
  <c r="J4385" i="5"/>
  <c r="H4385" i="5" s="1"/>
  <c r="J4386" i="5"/>
  <c r="H4386" i="5" s="1"/>
  <c r="J4387" i="5"/>
  <c r="H4387" i="5" s="1"/>
  <c r="J4388" i="5"/>
  <c r="H4388" i="5" s="1"/>
  <c r="J4389" i="5"/>
  <c r="H4389" i="5" s="1"/>
  <c r="J4390" i="5"/>
  <c r="H4390" i="5" s="1"/>
  <c r="J4391" i="5"/>
  <c r="H4391" i="5" s="1"/>
  <c r="J4392" i="5"/>
  <c r="H4392" i="5" s="1"/>
  <c r="J4393" i="5"/>
  <c r="H4393" i="5" s="1"/>
  <c r="J4394" i="5"/>
  <c r="H4394" i="5" s="1"/>
  <c r="J4395" i="5"/>
  <c r="H4395" i="5" s="1"/>
  <c r="J4396" i="5"/>
  <c r="H4396" i="5" s="1"/>
  <c r="J4397" i="5"/>
  <c r="H4397" i="5" s="1"/>
  <c r="J4398" i="5"/>
  <c r="H4398" i="5" s="1"/>
  <c r="J4399" i="5"/>
  <c r="H4399" i="5" s="1"/>
  <c r="J4400" i="5"/>
  <c r="H4400" i="5" s="1"/>
  <c r="J4401" i="5"/>
  <c r="H4401" i="5" s="1"/>
  <c r="J4402" i="5"/>
  <c r="H4402" i="5" s="1"/>
  <c r="J4403" i="5"/>
  <c r="H4403" i="5" s="1"/>
  <c r="J4404" i="5"/>
  <c r="H4404" i="5" s="1"/>
  <c r="J4405" i="5"/>
  <c r="H4405" i="5" s="1"/>
  <c r="J4406" i="5"/>
  <c r="H4406" i="5" s="1"/>
  <c r="J4407" i="5"/>
  <c r="H4407" i="5" s="1"/>
  <c r="J4408" i="5"/>
  <c r="H4408" i="5" s="1"/>
  <c r="J4409" i="5"/>
  <c r="H4409" i="5" s="1"/>
  <c r="J4410" i="5"/>
  <c r="H4410" i="5" s="1"/>
  <c r="J4411" i="5"/>
  <c r="H4411" i="5" s="1"/>
  <c r="J4412" i="5"/>
  <c r="H4412" i="5" s="1"/>
  <c r="J4413" i="5"/>
  <c r="H4413" i="5" s="1"/>
  <c r="J4414" i="5"/>
  <c r="H4414" i="5" s="1"/>
  <c r="J4415" i="5"/>
  <c r="H4415" i="5" s="1"/>
  <c r="J4416" i="5"/>
  <c r="H4416" i="5" s="1"/>
  <c r="J4417" i="5"/>
  <c r="H4417" i="5" s="1"/>
  <c r="J4418" i="5"/>
  <c r="H4418" i="5" s="1"/>
  <c r="J4419" i="5"/>
  <c r="H4419" i="5" s="1"/>
  <c r="J4420" i="5"/>
  <c r="H4420" i="5" s="1"/>
  <c r="J4421" i="5"/>
  <c r="H4421" i="5" s="1"/>
  <c r="J4422" i="5"/>
  <c r="H4422" i="5" s="1"/>
  <c r="J4423" i="5"/>
  <c r="H4423" i="5" s="1"/>
  <c r="J4424" i="5"/>
  <c r="H4424" i="5" s="1"/>
  <c r="J4425" i="5"/>
  <c r="H4425" i="5" s="1"/>
  <c r="J4426" i="5"/>
  <c r="H4426" i="5" s="1"/>
  <c r="J4427" i="5"/>
  <c r="H4427" i="5" s="1"/>
  <c r="J4428" i="5"/>
  <c r="H4428" i="5" s="1"/>
  <c r="J4429" i="5"/>
  <c r="H4429" i="5" s="1"/>
  <c r="J4430" i="5"/>
  <c r="H4430" i="5" s="1"/>
  <c r="J4431" i="5"/>
  <c r="H4431" i="5" s="1"/>
  <c r="J4432" i="5"/>
  <c r="H4432" i="5" s="1"/>
  <c r="J4433" i="5"/>
  <c r="H4433" i="5" s="1"/>
  <c r="J4434" i="5"/>
  <c r="H4434" i="5" s="1"/>
  <c r="J4435" i="5"/>
  <c r="H4435" i="5" s="1"/>
  <c r="J4436" i="5"/>
  <c r="H4436" i="5" s="1"/>
  <c r="J4437" i="5"/>
  <c r="H4437" i="5" s="1"/>
  <c r="J4438" i="5"/>
  <c r="H4438" i="5" s="1"/>
  <c r="J4439" i="5"/>
  <c r="H4439" i="5" s="1"/>
  <c r="J4440" i="5"/>
  <c r="H4440" i="5" s="1"/>
  <c r="J4441" i="5"/>
  <c r="H4441" i="5" s="1"/>
  <c r="J4442" i="5"/>
  <c r="H4442" i="5" s="1"/>
  <c r="J4443" i="5"/>
  <c r="H4443" i="5" s="1"/>
  <c r="J4444" i="5"/>
  <c r="H4444" i="5" s="1"/>
  <c r="J4445" i="5"/>
  <c r="H4445" i="5" s="1"/>
  <c r="J4446" i="5"/>
  <c r="H4446" i="5" s="1"/>
  <c r="J4447" i="5"/>
  <c r="H4447" i="5" s="1"/>
  <c r="J4448" i="5"/>
  <c r="H4448" i="5" s="1"/>
  <c r="J4449" i="5"/>
  <c r="H4449" i="5" s="1"/>
  <c r="J4450" i="5"/>
  <c r="H4450" i="5" s="1"/>
  <c r="J4451" i="5"/>
  <c r="H4451" i="5" s="1"/>
  <c r="J4452" i="5"/>
  <c r="H4452" i="5" s="1"/>
  <c r="J4453" i="5"/>
  <c r="H4453" i="5" s="1"/>
  <c r="J4454" i="5"/>
  <c r="H4454" i="5" s="1"/>
  <c r="J4455" i="5"/>
  <c r="H4455" i="5" s="1"/>
  <c r="J4456" i="5"/>
  <c r="H4456" i="5" s="1"/>
  <c r="J4457" i="5"/>
  <c r="H4457" i="5" s="1"/>
  <c r="J4458" i="5"/>
  <c r="H4458" i="5" s="1"/>
  <c r="J4459" i="5"/>
  <c r="H4459" i="5" s="1"/>
  <c r="J4460" i="5"/>
  <c r="H4460" i="5" s="1"/>
  <c r="J4461" i="5"/>
  <c r="H4461" i="5" s="1"/>
  <c r="J4462" i="5"/>
  <c r="H4462" i="5" s="1"/>
  <c r="J4463" i="5"/>
  <c r="H4463" i="5" s="1"/>
  <c r="J4464" i="5"/>
  <c r="H4464" i="5" s="1"/>
  <c r="J4465" i="5"/>
  <c r="H4465" i="5" s="1"/>
  <c r="J4466" i="5"/>
  <c r="H4466" i="5" s="1"/>
  <c r="J4467" i="5"/>
  <c r="H4467" i="5" s="1"/>
  <c r="J4468" i="5"/>
  <c r="H4468" i="5" s="1"/>
  <c r="J4469" i="5"/>
  <c r="H4469" i="5" s="1"/>
  <c r="J4470" i="5"/>
  <c r="H4470" i="5" s="1"/>
  <c r="J4471" i="5"/>
  <c r="H4471" i="5" s="1"/>
  <c r="J4472" i="5"/>
  <c r="H4472" i="5" s="1"/>
  <c r="J4473" i="5"/>
  <c r="H4473" i="5" s="1"/>
  <c r="J4474" i="5"/>
  <c r="H4474" i="5" s="1"/>
  <c r="J4475" i="5"/>
  <c r="H4475" i="5" s="1"/>
  <c r="J4476" i="5"/>
  <c r="H4476" i="5" s="1"/>
  <c r="J4477" i="5"/>
  <c r="H4477" i="5" s="1"/>
  <c r="J4478" i="5"/>
  <c r="H4478" i="5" s="1"/>
  <c r="J4479" i="5"/>
  <c r="H4479" i="5" s="1"/>
  <c r="J4480" i="5"/>
  <c r="H4480" i="5" s="1"/>
  <c r="J4481" i="5"/>
  <c r="H4481" i="5" s="1"/>
  <c r="J4482" i="5"/>
  <c r="H4482" i="5" s="1"/>
  <c r="J4483" i="5"/>
  <c r="H4483" i="5" s="1"/>
  <c r="J4484" i="5"/>
  <c r="H4484" i="5" s="1"/>
  <c r="J4485" i="5"/>
  <c r="H4485" i="5" s="1"/>
  <c r="J4486" i="5"/>
  <c r="H4486" i="5" s="1"/>
  <c r="J4487" i="5"/>
  <c r="H4487" i="5" s="1"/>
  <c r="J4488" i="5"/>
  <c r="H4488" i="5" s="1"/>
  <c r="J4489" i="5"/>
  <c r="H4489" i="5" s="1"/>
  <c r="J4490" i="5"/>
  <c r="H4490" i="5" s="1"/>
  <c r="J4491" i="5"/>
  <c r="H4491" i="5" s="1"/>
  <c r="J4492" i="5"/>
  <c r="H4492" i="5" s="1"/>
  <c r="J4493" i="5"/>
  <c r="H4493" i="5" s="1"/>
  <c r="J4494" i="5"/>
  <c r="H4494" i="5" s="1"/>
  <c r="J4495" i="5"/>
  <c r="H4495" i="5" s="1"/>
  <c r="J4496" i="5"/>
  <c r="H4496" i="5" s="1"/>
  <c r="J4497" i="5"/>
  <c r="H4497" i="5" s="1"/>
  <c r="J4498" i="5"/>
  <c r="H4498" i="5" s="1"/>
  <c r="J4499" i="5"/>
  <c r="H4499" i="5" s="1"/>
  <c r="J4500" i="5"/>
  <c r="H4500" i="5" s="1"/>
  <c r="J4501" i="5"/>
  <c r="H4501" i="5" s="1"/>
  <c r="J4502" i="5"/>
  <c r="H4502" i="5" s="1"/>
  <c r="J4503" i="5"/>
  <c r="H4503" i="5" s="1"/>
  <c r="J4504" i="5"/>
  <c r="H4504" i="5" s="1"/>
  <c r="J4505" i="5"/>
  <c r="H4505" i="5" s="1"/>
  <c r="J4506" i="5"/>
  <c r="H4506" i="5" s="1"/>
  <c r="J4507" i="5"/>
  <c r="H4507" i="5" s="1"/>
  <c r="J4508" i="5"/>
  <c r="H4508" i="5" s="1"/>
  <c r="J4509" i="5"/>
  <c r="H4509" i="5" s="1"/>
  <c r="J4510" i="5"/>
  <c r="H4510" i="5" s="1"/>
  <c r="J4511" i="5"/>
  <c r="H4511" i="5" s="1"/>
  <c r="J4512" i="5"/>
  <c r="H4512" i="5" s="1"/>
  <c r="J4513" i="5"/>
  <c r="H4513" i="5" s="1"/>
  <c r="J4514" i="5"/>
  <c r="H4514" i="5" s="1"/>
  <c r="J4515" i="5"/>
  <c r="H4515" i="5" s="1"/>
  <c r="J4516" i="5"/>
  <c r="H4516" i="5" s="1"/>
  <c r="J4517" i="5"/>
  <c r="H4517" i="5" s="1"/>
  <c r="J4518" i="5"/>
  <c r="H4518" i="5" s="1"/>
  <c r="J4519" i="5"/>
  <c r="H4519" i="5" s="1"/>
  <c r="J4520" i="5"/>
  <c r="H4520" i="5" s="1"/>
  <c r="J4521" i="5"/>
  <c r="H4521" i="5" s="1"/>
  <c r="J4522" i="5"/>
  <c r="H4522" i="5" s="1"/>
  <c r="J4523" i="5"/>
  <c r="H4523" i="5" s="1"/>
  <c r="J4524" i="5"/>
  <c r="H4524" i="5" s="1"/>
  <c r="J4525" i="5"/>
  <c r="H4525" i="5" s="1"/>
  <c r="J4526" i="5"/>
  <c r="H4526" i="5" s="1"/>
  <c r="J4527" i="5"/>
  <c r="H4527" i="5" s="1"/>
  <c r="J4528" i="5"/>
  <c r="H4528" i="5" s="1"/>
  <c r="J4529" i="5"/>
  <c r="H4529" i="5" s="1"/>
  <c r="J4530" i="5"/>
  <c r="H4530" i="5" s="1"/>
  <c r="J4531" i="5"/>
  <c r="H4531" i="5" s="1"/>
  <c r="J4532" i="5"/>
  <c r="H4532" i="5" s="1"/>
  <c r="J4533" i="5"/>
  <c r="H4533" i="5" s="1"/>
  <c r="J4534" i="5"/>
  <c r="H4534" i="5" s="1"/>
  <c r="J4535" i="5"/>
  <c r="H4535" i="5" s="1"/>
  <c r="J4536" i="5"/>
  <c r="H4536" i="5" s="1"/>
  <c r="J4537" i="5"/>
  <c r="H4537" i="5" s="1"/>
  <c r="J4538" i="5"/>
  <c r="H4538" i="5" s="1"/>
  <c r="J4539" i="5"/>
  <c r="H4539" i="5" s="1"/>
  <c r="J4540" i="5"/>
  <c r="H4540" i="5" s="1"/>
  <c r="J4541" i="5"/>
  <c r="H4541" i="5" s="1"/>
  <c r="J4542" i="5"/>
  <c r="H4542" i="5" s="1"/>
  <c r="J4543" i="5"/>
  <c r="H4543" i="5" s="1"/>
  <c r="J4544" i="5"/>
  <c r="H4544" i="5" s="1"/>
  <c r="J4545" i="5"/>
  <c r="H4545" i="5" s="1"/>
  <c r="J4546" i="5"/>
  <c r="H4546" i="5" s="1"/>
  <c r="J4547" i="5"/>
  <c r="H4547" i="5" s="1"/>
  <c r="J4548" i="5"/>
  <c r="H4548" i="5" s="1"/>
  <c r="J4549" i="5"/>
  <c r="H4549" i="5" s="1"/>
  <c r="J4550" i="5"/>
  <c r="H4550" i="5" s="1"/>
  <c r="J4551" i="5"/>
  <c r="H4551" i="5" s="1"/>
  <c r="J4552" i="5"/>
  <c r="H4552" i="5" s="1"/>
  <c r="J4553" i="5"/>
  <c r="H4553" i="5" s="1"/>
  <c r="J4554" i="5"/>
  <c r="H4554" i="5" s="1"/>
  <c r="J4555" i="5"/>
  <c r="H4555" i="5" s="1"/>
  <c r="J4556" i="5"/>
  <c r="H4556" i="5" s="1"/>
  <c r="J4557" i="5"/>
  <c r="H4557" i="5" s="1"/>
  <c r="J4558" i="5"/>
  <c r="H4558" i="5" s="1"/>
  <c r="J4559" i="5"/>
  <c r="H4559" i="5" s="1"/>
  <c r="J4560" i="5"/>
  <c r="H4560" i="5" s="1"/>
  <c r="J4561" i="5"/>
  <c r="H4561" i="5" s="1"/>
  <c r="J4562" i="5"/>
  <c r="H4562" i="5" s="1"/>
  <c r="J4563" i="5"/>
  <c r="H4563" i="5" s="1"/>
  <c r="J4564" i="5"/>
  <c r="H4564" i="5" s="1"/>
  <c r="J4565" i="5"/>
  <c r="H4565" i="5" s="1"/>
  <c r="J4566" i="5"/>
  <c r="H4566" i="5" s="1"/>
  <c r="J4567" i="5"/>
  <c r="H4567" i="5" s="1"/>
  <c r="J4568" i="5"/>
  <c r="H4568" i="5" s="1"/>
  <c r="J4569" i="5"/>
  <c r="H4569" i="5" s="1"/>
  <c r="J4570" i="5"/>
  <c r="H4570" i="5" s="1"/>
  <c r="J4571" i="5"/>
  <c r="H4571" i="5" s="1"/>
  <c r="J4572" i="5"/>
  <c r="H4572" i="5" s="1"/>
  <c r="J4573" i="5"/>
  <c r="H4573" i="5" s="1"/>
  <c r="J4574" i="5"/>
  <c r="H4574" i="5" s="1"/>
  <c r="J4575" i="5"/>
  <c r="H4575" i="5" s="1"/>
  <c r="J4576" i="5"/>
  <c r="H4576" i="5" s="1"/>
  <c r="J4577" i="5"/>
  <c r="H4577" i="5" s="1"/>
  <c r="J4578" i="5"/>
  <c r="H4578" i="5" s="1"/>
  <c r="J4579" i="5"/>
  <c r="H4579" i="5" s="1"/>
  <c r="J4580" i="5"/>
  <c r="H4580" i="5" s="1"/>
  <c r="J4581" i="5"/>
  <c r="H4581" i="5" s="1"/>
  <c r="J4582" i="5"/>
  <c r="H4582" i="5" s="1"/>
  <c r="J4583" i="5"/>
  <c r="H4583" i="5" s="1"/>
  <c r="J4584" i="5"/>
  <c r="H4584" i="5" s="1"/>
  <c r="J4585" i="5"/>
  <c r="H4585" i="5" s="1"/>
  <c r="J4586" i="5"/>
  <c r="H4586" i="5" s="1"/>
  <c r="J4587" i="5"/>
  <c r="H4587" i="5" s="1"/>
  <c r="J4588" i="5"/>
  <c r="H4588" i="5" s="1"/>
  <c r="J4589" i="5"/>
  <c r="H4589" i="5" s="1"/>
  <c r="J4590" i="5"/>
  <c r="H4590" i="5" s="1"/>
  <c r="J4591" i="5"/>
  <c r="H4591" i="5" s="1"/>
  <c r="J4592" i="5"/>
  <c r="H4592" i="5" s="1"/>
  <c r="J4593" i="5"/>
  <c r="H4593" i="5" s="1"/>
  <c r="J4594" i="5"/>
  <c r="H4594" i="5" s="1"/>
  <c r="J4595" i="5"/>
  <c r="H4595" i="5" s="1"/>
  <c r="J4596" i="5"/>
  <c r="H4596" i="5" s="1"/>
  <c r="J4597" i="5"/>
  <c r="H4597" i="5" s="1"/>
  <c r="J4598" i="5"/>
  <c r="H4598" i="5" s="1"/>
  <c r="J4599" i="5"/>
  <c r="H4599" i="5" s="1"/>
  <c r="J4600" i="5"/>
  <c r="H4600" i="5" s="1"/>
  <c r="J4601" i="5"/>
  <c r="H4601" i="5" s="1"/>
  <c r="J4602" i="5"/>
  <c r="H4602" i="5" s="1"/>
  <c r="J4603" i="5"/>
  <c r="H4603" i="5" s="1"/>
  <c r="J4604" i="5"/>
  <c r="H4604" i="5" s="1"/>
  <c r="J4605" i="5"/>
  <c r="H4605" i="5" s="1"/>
  <c r="J4606" i="5"/>
  <c r="H4606" i="5" s="1"/>
  <c r="J4607" i="5"/>
  <c r="H4607" i="5" s="1"/>
  <c r="J4608" i="5"/>
  <c r="H4608" i="5" s="1"/>
  <c r="J4609" i="5"/>
  <c r="H4609" i="5" s="1"/>
  <c r="J4610" i="5"/>
  <c r="H4610" i="5" s="1"/>
  <c r="J4611" i="5"/>
  <c r="H4611" i="5" s="1"/>
  <c r="J4612" i="5"/>
  <c r="H4612" i="5" s="1"/>
  <c r="J4613" i="5"/>
  <c r="H4613" i="5" s="1"/>
  <c r="J4614" i="5"/>
  <c r="H4614" i="5" s="1"/>
  <c r="J4615" i="5"/>
  <c r="H4615" i="5" s="1"/>
  <c r="J4616" i="5"/>
  <c r="H4616" i="5" s="1"/>
  <c r="J4617" i="5"/>
  <c r="H4617" i="5" s="1"/>
  <c r="J4618" i="5"/>
  <c r="H4618" i="5" s="1"/>
  <c r="J4619" i="5"/>
  <c r="H4619" i="5" s="1"/>
  <c r="J4620" i="5"/>
  <c r="H4620" i="5" s="1"/>
  <c r="J4621" i="5"/>
  <c r="H4621" i="5" s="1"/>
  <c r="J4622" i="5"/>
  <c r="H4622" i="5" s="1"/>
  <c r="J4623" i="5"/>
  <c r="H4623" i="5" s="1"/>
  <c r="J4624" i="5"/>
  <c r="H4624" i="5" s="1"/>
  <c r="J4625" i="5"/>
  <c r="H4625" i="5" s="1"/>
  <c r="J4626" i="5"/>
  <c r="H4626" i="5" s="1"/>
  <c r="J4627" i="5"/>
  <c r="H4627" i="5" s="1"/>
  <c r="J4628" i="5"/>
  <c r="H4628" i="5" s="1"/>
  <c r="J4629" i="5"/>
  <c r="H4629" i="5" s="1"/>
  <c r="J4630" i="5"/>
  <c r="H4630" i="5" s="1"/>
  <c r="J4631" i="5"/>
  <c r="H4631" i="5" s="1"/>
  <c r="J4632" i="5"/>
  <c r="H4632" i="5" s="1"/>
  <c r="J4633" i="5"/>
  <c r="H4633" i="5" s="1"/>
  <c r="J4634" i="5"/>
  <c r="H4634" i="5" s="1"/>
  <c r="J4635" i="5"/>
  <c r="H4635" i="5" s="1"/>
  <c r="J4636" i="5"/>
  <c r="H4636" i="5" s="1"/>
  <c r="J4637" i="5"/>
  <c r="H4637" i="5" s="1"/>
  <c r="J4638" i="5"/>
  <c r="H4638" i="5" s="1"/>
  <c r="J4639" i="5"/>
  <c r="H4639" i="5" s="1"/>
  <c r="J4640" i="5"/>
  <c r="H4640" i="5" s="1"/>
  <c r="J4641" i="5"/>
  <c r="H4641" i="5" s="1"/>
  <c r="J4642" i="5"/>
  <c r="H4642" i="5" s="1"/>
  <c r="J4643" i="5"/>
  <c r="H4643" i="5" s="1"/>
  <c r="J4644" i="5"/>
  <c r="H4644" i="5" s="1"/>
  <c r="J4645" i="5"/>
  <c r="H4645" i="5" s="1"/>
  <c r="J4646" i="5"/>
  <c r="H4646" i="5" s="1"/>
  <c r="J4647" i="5"/>
  <c r="H4647" i="5" s="1"/>
  <c r="J4648" i="5"/>
  <c r="H4648" i="5" s="1"/>
  <c r="J4649" i="5"/>
  <c r="H4649" i="5" s="1"/>
  <c r="J4650" i="5"/>
  <c r="H4650" i="5" s="1"/>
  <c r="J4651" i="5"/>
  <c r="H4651" i="5" s="1"/>
  <c r="J4652" i="5"/>
  <c r="H4652" i="5" s="1"/>
  <c r="J4653" i="5"/>
  <c r="H4653" i="5" s="1"/>
  <c r="J4654" i="5"/>
  <c r="H4654" i="5" s="1"/>
  <c r="J4655" i="5"/>
  <c r="H4655" i="5" s="1"/>
  <c r="J4656" i="5"/>
  <c r="H4656" i="5" s="1"/>
  <c r="J4657" i="5"/>
  <c r="H4657" i="5" s="1"/>
  <c r="J4658" i="5"/>
  <c r="H4658" i="5" s="1"/>
  <c r="J4659" i="5"/>
  <c r="H4659" i="5" s="1"/>
  <c r="J4660" i="5"/>
  <c r="H4660" i="5" s="1"/>
  <c r="J4661" i="5"/>
  <c r="H4661" i="5" s="1"/>
  <c r="J4662" i="5"/>
  <c r="H4662" i="5" s="1"/>
  <c r="J4663" i="5"/>
  <c r="H4663" i="5" s="1"/>
  <c r="J4664" i="5"/>
  <c r="H4664" i="5" s="1"/>
  <c r="J4665" i="5"/>
  <c r="H4665" i="5" s="1"/>
  <c r="J4666" i="5"/>
  <c r="H4666" i="5" s="1"/>
  <c r="J4667" i="5"/>
  <c r="H4667" i="5" s="1"/>
  <c r="J4668" i="5"/>
  <c r="H4668" i="5" s="1"/>
  <c r="J4669" i="5"/>
  <c r="H4669" i="5" s="1"/>
  <c r="J4670" i="5"/>
  <c r="H4670" i="5" s="1"/>
  <c r="J4671" i="5"/>
  <c r="H4671" i="5" s="1"/>
  <c r="J4672" i="5"/>
  <c r="H4672" i="5" s="1"/>
  <c r="J4673" i="5"/>
  <c r="H4673" i="5" s="1"/>
  <c r="J4674" i="5"/>
  <c r="H4674" i="5" s="1"/>
  <c r="J4675" i="5"/>
  <c r="H4675" i="5" s="1"/>
  <c r="J4676" i="5"/>
  <c r="H4676" i="5" s="1"/>
  <c r="J4677" i="5"/>
  <c r="H4677" i="5" s="1"/>
  <c r="J4678" i="5"/>
  <c r="H4678" i="5" s="1"/>
  <c r="J4679" i="5"/>
  <c r="H4679" i="5" s="1"/>
  <c r="J4680" i="5"/>
  <c r="H4680" i="5" s="1"/>
  <c r="J4681" i="5"/>
  <c r="H4681" i="5" s="1"/>
  <c r="J4682" i="5"/>
  <c r="H4682" i="5" s="1"/>
  <c r="J4683" i="5"/>
  <c r="H4683" i="5" s="1"/>
  <c r="J4684" i="5"/>
  <c r="H4684" i="5" s="1"/>
  <c r="J4685" i="5"/>
  <c r="H4685" i="5" s="1"/>
  <c r="J4686" i="5"/>
  <c r="H4686" i="5" s="1"/>
  <c r="J4687" i="5"/>
  <c r="H4687" i="5" s="1"/>
  <c r="J4688" i="5"/>
  <c r="H4688" i="5" s="1"/>
  <c r="J4689" i="5"/>
  <c r="H4689" i="5" s="1"/>
  <c r="J4690" i="5"/>
  <c r="H4690" i="5" s="1"/>
  <c r="J4691" i="5"/>
  <c r="H4691" i="5" s="1"/>
  <c r="J4692" i="5"/>
  <c r="H4692" i="5" s="1"/>
  <c r="J4693" i="5"/>
  <c r="H4693" i="5" s="1"/>
  <c r="J4694" i="5"/>
  <c r="H4694" i="5" s="1"/>
  <c r="J4695" i="5"/>
  <c r="H4695" i="5" s="1"/>
  <c r="J4696" i="5"/>
  <c r="H4696" i="5" s="1"/>
  <c r="J4697" i="5"/>
  <c r="H4697" i="5" s="1"/>
  <c r="J4698" i="5"/>
  <c r="H4698" i="5" s="1"/>
  <c r="J4699" i="5"/>
  <c r="H4699" i="5" s="1"/>
  <c r="J4700" i="5"/>
  <c r="H4700" i="5" s="1"/>
  <c r="J4701" i="5"/>
  <c r="H4701" i="5" s="1"/>
  <c r="J4702" i="5"/>
  <c r="H4702" i="5" s="1"/>
  <c r="J4703" i="5"/>
  <c r="H4703" i="5" s="1"/>
  <c r="J4704" i="5"/>
  <c r="H4704" i="5" s="1"/>
  <c r="J4705" i="5"/>
  <c r="H4705" i="5" s="1"/>
  <c r="J4706" i="5"/>
  <c r="H4706" i="5" s="1"/>
  <c r="J4707" i="5"/>
  <c r="H4707" i="5" s="1"/>
  <c r="J4708" i="5"/>
  <c r="H4708" i="5" s="1"/>
  <c r="J4709" i="5"/>
  <c r="H4709" i="5" s="1"/>
  <c r="J4710" i="5"/>
  <c r="H4710" i="5" s="1"/>
  <c r="J4711" i="5"/>
  <c r="H4711" i="5" s="1"/>
  <c r="J4712" i="5"/>
  <c r="H4712" i="5" s="1"/>
  <c r="J4713" i="5"/>
  <c r="H4713" i="5" s="1"/>
  <c r="J4714" i="5"/>
  <c r="H4714" i="5" s="1"/>
  <c r="J4715" i="5"/>
  <c r="H4715" i="5" s="1"/>
  <c r="J4716" i="5"/>
  <c r="H4716" i="5" s="1"/>
  <c r="J4717" i="5"/>
  <c r="H4717" i="5" s="1"/>
  <c r="J4718" i="5"/>
  <c r="H4718" i="5" s="1"/>
  <c r="J4719" i="5"/>
  <c r="H4719" i="5" s="1"/>
  <c r="J4720" i="5"/>
  <c r="H4720" i="5" s="1"/>
  <c r="J4721" i="5"/>
  <c r="H4721" i="5" s="1"/>
  <c r="J4722" i="5"/>
  <c r="H4722" i="5" s="1"/>
  <c r="J4723" i="5"/>
  <c r="H4723" i="5" s="1"/>
  <c r="J4724" i="5"/>
  <c r="H4724" i="5" s="1"/>
  <c r="J4725" i="5"/>
  <c r="H4725" i="5" s="1"/>
  <c r="J4726" i="5"/>
  <c r="H4726" i="5" s="1"/>
  <c r="J4727" i="5"/>
  <c r="H4727" i="5" s="1"/>
  <c r="J4728" i="5"/>
  <c r="H4728" i="5" s="1"/>
  <c r="J4729" i="5"/>
  <c r="H4729" i="5" s="1"/>
  <c r="J4730" i="5"/>
  <c r="H4730" i="5" s="1"/>
  <c r="J4731" i="5"/>
  <c r="H4731" i="5" s="1"/>
  <c r="J4732" i="5"/>
  <c r="H4732" i="5" s="1"/>
  <c r="J4733" i="5"/>
  <c r="H4733" i="5" s="1"/>
  <c r="J4734" i="5"/>
  <c r="H4734" i="5" s="1"/>
  <c r="J4735" i="5"/>
  <c r="H4735" i="5" s="1"/>
  <c r="J4736" i="5"/>
  <c r="H4736" i="5" s="1"/>
  <c r="J4737" i="5"/>
  <c r="H4737" i="5" s="1"/>
  <c r="J4738" i="5"/>
  <c r="H4738" i="5" s="1"/>
  <c r="J4739" i="5"/>
  <c r="H4739" i="5" s="1"/>
  <c r="J4740" i="5"/>
  <c r="H4740" i="5" s="1"/>
  <c r="J4741" i="5"/>
  <c r="H4741" i="5" s="1"/>
  <c r="J4742" i="5"/>
  <c r="H4742" i="5" s="1"/>
  <c r="J4743" i="5"/>
  <c r="H4743" i="5" s="1"/>
  <c r="J4744" i="5"/>
  <c r="H4744" i="5" s="1"/>
  <c r="J4745" i="5"/>
  <c r="H4745" i="5" s="1"/>
  <c r="J4746" i="5"/>
  <c r="H4746" i="5" s="1"/>
  <c r="J4747" i="5"/>
  <c r="H4747" i="5" s="1"/>
  <c r="J4748" i="5"/>
  <c r="H4748" i="5" s="1"/>
  <c r="J4749" i="5"/>
  <c r="H4749" i="5" s="1"/>
  <c r="J4750" i="5"/>
  <c r="H4750" i="5" s="1"/>
  <c r="J4751" i="5"/>
  <c r="H4751" i="5" s="1"/>
  <c r="J4752" i="5"/>
  <c r="H4752" i="5" s="1"/>
  <c r="J4753" i="5"/>
  <c r="H4753" i="5" s="1"/>
  <c r="J4754" i="5"/>
  <c r="H4754" i="5" s="1"/>
  <c r="J4755" i="5"/>
  <c r="H4755" i="5" s="1"/>
  <c r="J4756" i="5"/>
  <c r="H4756" i="5" s="1"/>
  <c r="J4757" i="5"/>
  <c r="H4757" i="5" s="1"/>
  <c r="J4758" i="5"/>
  <c r="H4758" i="5" s="1"/>
  <c r="J4759" i="5"/>
  <c r="H4759" i="5" s="1"/>
  <c r="J4760" i="5"/>
  <c r="H4760" i="5" s="1"/>
  <c r="J4761" i="5"/>
  <c r="H4761" i="5" s="1"/>
  <c r="J4762" i="5"/>
  <c r="H4762" i="5" s="1"/>
  <c r="J4763" i="5"/>
  <c r="H4763" i="5" s="1"/>
  <c r="J4764" i="5"/>
  <c r="H4764" i="5" s="1"/>
  <c r="J4765" i="5"/>
  <c r="H4765" i="5" s="1"/>
  <c r="J4766" i="5"/>
  <c r="H4766" i="5" s="1"/>
  <c r="J4767" i="5"/>
  <c r="H4767" i="5" s="1"/>
  <c r="J4768" i="5"/>
  <c r="H4768" i="5" s="1"/>
  <c r="J4769" i="5"/>
  <c r="H4769" i="5" s="1"/>
  <c r="J4770" i="5"/>
  <c r="H4770" i="5" s="1"/>
  <c r="J4771" i="5"/>
  <c r="H4771" i="5" s="1"/>
  <c r="J4772" i="5"/>
  <c r="H4772" i="5" s="1"/>
  <c r="J4773" i="5"/>
  <c r="H4773" i="5" s="1"/>
  <c r="J4774" i="5"/>
  <c r="H4774" i="5" s="1"/>
  <c r="J4775" i="5"/>
  <c r="H4775" i="5" s="1"/>
  <c r="J4776" i="5"/>
  <c r="H4776" i="5" s="1"/>
  <c r="J4777" i="5"/>
  <c r="H4777" i="5" s="1"/>
  <c r="J4778" i="5"/>
  <c r="H4778" i="5" s="1"/>
  <c r="J4779" i="5"/>
  <c r="H4779" i="5" s="1"/>
  <c r="J4780" i="5"/>
  <c r="H4780" i="5" s="1"/>
  <c r="J4781" i="5"/>
  <c r="H4781" i="5" s="1"/>
  <c r="J4782" i="5"/>
  <c r="H4782" i="5" s="1"/>
  <c r="J4783" i="5"/>
  <c r="H4783" i="5" s="1"/>
  <c r="J4784" i="5"/>
  <c r="H4784" i="5" s="1"/>
  <c r="J4785" i="5"/>
  <c r="H4785" i="5" s="1"/>
  <c r="J4786" i="5"/>
  <c r="H4786" i="5" s="1"/>
  <c r="J4787" i="5"/>
  <c r="H4787" i="5" s="1"/>
  <c r="J4788" i="5"/>
  <c r="H4788" i="5" s="1"/>
  <c r="J4789" i="5"/>
  <c r="H4789" i="5" s="1"/>
  <c r="J4790" i="5"/>
  <c r="H4790" i="5" s="1"/>
  <c r="J4791" i="5"/>
  <c r="H4791" i="5" s="1"/>
  <c r="J4792" i="5"/>
  <c r="H4792" i="5" s="1"/>
  <c r="J4793" i="5"/>
  <c r="H4793" i="5" s="1"/>
  <c r="J4794" i="5"/>
  <c r="H4794" i="5" s="1"/>
  <c r="J4795" i="5"/>
  <c r="H4795" i="5" s="1"/>
  <c r="J4796" i="5"/>
  <c r="H4796" i="5" s="1"/>
  <c r="J4797" i="5"/>
  <c r="H4797" i="5" s="1"/>
  <c r="J4798" i="5"/>
  <c r="H4798" i="5" s="1"/>
  <c r="J4799" i="5"/>
  <c r="H4799" i="5" s="1"/>
  <c r="J4800" i="5"/>
  <c r="H4800" i="5" s="1"/>
  <c r="J4801" i="5"/>
  <c r="H4801" i="5" s="1"/>
  <c r="J4802" i="5"/>
  <c r="H4802" i="5" s="1"/>
  <c r="J4803" i="5"/>
  <c r="H4803" i="5" s="1"/>
  <c r="J4804" i="5"/>
  <c r="H4804" i="5" s="1"/>
  <c r="J4805" i="5"/>
  <c r="H4805" i="5" s="1"/>
  <c r="J4806" i="5"/>
  <c r="H4806" i="5" s="1"/>
  <c r="J4807" i="5"/>
  <c r="H4807" i="5" s="1"/>
  <c r="J4808" i="5"/>
  <c r="H4808" i="5" s="1"/>
  <c r="J4809" i="5"/>
  <c r="H4809" i="5" s="1"/>
  <c r="J4810" i="5"/>
  <c r="H4810" i="5" s="1"/>
  <c r="J4811" i="5"/>
  <c r="H4811" i="5" s="1"/>
  <c r="J4812" i="5"/>
  <c r="H4812" i="5" s="1"/>
  <c r="J4813" i="5"/>
  <c r="H4813" i="5" s="1"/>
  <c r="J4814" i="5"/>
  <c r="H4814" i="5" s="1"/>
  <c r="J4815" i="5"/>
  <c r="H4815" i="5" s="1"/>
  <c r="J4816" i="5"/>
  <c r="H4816" i="5" s="1"/>
  <c r="J4817" i="5"/>
  <c r="H4817" i="5" s="1"/>
  <c r="J4818" i="5"/>
  <c r="H4818" i="5" s="1"/>
  <c r="J4819" i="5"/>
  <c r="H4819" i="5" s="1"/>
  <c r="J4820" i="5"/>
  <c r="H4820" i="5" s="1"/>
  <c r="J4821" i="5"/>
  <c r="H4821" i="5" s="1"/>
  <c r="J4822" i="5"/>
  <c r="H4822" i="5" s="1"/>
  <c r="J4823" i="5"/>
  <c r="H4823" i="5" s="1"/>
  <c r="J4824" i="5"/>
  <c r="H4824" i="5" s="1"/>
  <c r="J4825" i="5"/>
  <c r="H4825" i="5" s="1"/>
  <c r="J4826" i="5"/>
  <c r="H4826" i="5" s="1"/>
  <c r="J4827" i="5"/>
  <c r="H4827" i="5" s="1"/>
  <c r="J4828" i="5"/>
  <c r="H4828" i="5" s="1"/>
  <c r="J4829" i="5"/>
  <c r="H4829" i="5" s="1"/>
  <c r="J4830" i="5"/>
  <c r="H4830" i="5" s="1"/>
  <c r="J4831" i="5"/>
  <c r="H4831" i="5" s="1"/>
  <c r="J4832" i="5"/>
  <c r="H4832" i="5" s="1"/>
  <c r="J4833" i="5"/>
  <c r="H4833" i="5" s="1"/>
  <c r="J4834" i="5"/>
  <c r="H4834" i="5" s="1"/>
  <c r="J4835" i="5"/>
  <c r="H4835" i="5" s="1"/>
  <c r="J4836" i="5"/>
  <c r="H4836" i="5" s="1"/>
  <c r="J4837" i="5"/>
  <c r="H4837" i="5" s="1"/>
  <c r="J4838" i="5"/>
  <c r="H4838" i="5" s="1"/>
  <c r="J4839" i="5"/>
  <c r="H4839" i="5" s="1"/>
  <c r="J4840" i="5"/>
  <c r="H4840" i="5" s="1"/>
  <c r="J4841" i="5"/>
  <c r="H4841" i="5" s="1"/>
  <c r="J4842" i="5"/>
  <c r="H4842" i="5" s="1"/>
  <c r="J4843" i="5"/>
  <c r="H4843" i="5" s="1"/>
  <c r="J4844" i="5"/>
  <c r="H4844" i="5" s="1"/>
  <c r="J4845" i="5"/>
  <c r="H4845" i="5" s="1"/>
  <c r="J4846" i="5"/>
  <c r="H4846" i="5" s="1"/>
  <c r="J4847" i="5"/>
  <c r="H4847" i="5" s="1"/>
  <c r="J4848" i="5"/>
  <c r="H4848" i="5" s="1"/>
  <c r="J4849" i="5"/>
  <c r="H4849" i="5" s="1"/>
  <c r="J4850" i="5"/>
  <c r="H4850" i="5" s="1"/>
  <c r="J4851" i="5"/>
  <c r="H4851" i="5" s="1"/>
  <c r="J4852" i="5"/>
  <c r="H4852" i="5" s="1"/>
  <c r="J4853" i="5"/>
  <c r="H4853" i="5" s="1"/>
  <c r="J4854" i="5"/>
  <c r="H4854" i="5" s="1"/>
  <c r="J4855" i="5"/>
  <c r="H4855" i="5" s="1"/>
  <c r="J4856" i="5"/>
  <c r="H4856" i="5" s="1"/>
  <c r="J4857" i="5"/>
  <c r="H4857" i="5" s="1"/>
  <c r="J4858" i="5"/>
  <c r="H4858" i="5" s="1"/>
  <c r="J4859" i="5"/>
  <c r="H4859" i="5" s="1"/>
  <c r="J4860" i="5"/>
  <c r="H4860" i="5" s="1"/>
  <c r="J4861" i="5"/>
  <c r="H4861" i="5" s="1"/>
  <c r="J4862" i="5"/>
  <c r="H4862" i="5" s="1"/>
  <c r="J4863" i="5"/>
  <c r="H4863" i="5" s="1"/>
  <c r="J4864" i="5"/>
  <c r="H4864" i="5" s="1"/>
  <c r="J4865" i="5"/>
  <c r="H4865" i="5" s="1"/>
  <c r="J4866" i="5"/>
  <c r="H4866" i="5" s="1"/>
  <c r="J4867" i="5"/>
  <c r="H4867" i="5" s="1"/>
  <c r="J4868" i="5"/>
  <c r="H4868" i="5" s="1"/>
  <c r="J4869" i="5"/>
  <c r="H4869" i="5" s="1"/>
  <c r="J4870" i="5"/>
  <c r="H4870" i="5" s="1"/>
  <c r="J4871" i="5"/>
  <c r="H4871" i="5" s="1"/>
  <c r="J4872" i="5"/>
  <c r="H4872" i="5" s="1"/>
  <c r="J4873" i="5"/>
  <c r="H4873" i="5" s="1"/>
  <c r="J4874" i="5"/>
  <c r="H4874" i="5" s="1"/>
  <c r="J4875" i="5"/>
  <c r="H4875" i="5" s="1"/>
  <c r="J4876" i="5"/>
  <c r="H4876" i="5" s="1"/>
  <c r="J4877" i="5"/>
  <c r="H4877" i="5" s="1"/>
  <c r="J4878" i="5"/>
  <c r="H4878" i="5" s="1"/>
  <c r="J4879" i="5"/>
  <c r="H4879" i="5" s="1"/>
  <c r="J4880" i="5"/>
  <c r="H4880" i="5" s="1"/>
  <c r="J4881" i="5"/>
  <c r="H4881" i="5" s="1"/>
  <c r="J4882" i="5"/>
  <c r="H4882" i="5" s="1"/>
  <c r="J4883" i="5"/>
  <c r="H4883" i="5" s="1"/>
  <c r="J4884" i="5"/>
  <c r="H4884" i="5" s="1"/>
  <c r="J4885" i="5"/>
  <c r="H4885" i="5" s="1"/>
  <c r="J4886" i="5"/>
  <c r="H4886" i="5" s="1"/>
  <c r="J4887" i="5"/>
  <c r="H4887" i="5" s="1"/>
  <c r="J4888" i="5"/>
  <c r="H4888" i="5" s="1"/>
  <c r="J4889" i="5"/>
  <c r="H4889" i="5" s="1"/>
  <c r="J4890" i="5"/>
  <c r="H4890" i="5" s="1"/>
  <c r="J4891" i="5"/>
  <c r="H4891" i="5" s="1"/>
  <c r="J4892" i="5"/>
  <c r="H4892" i="5" s="1"/>
  <c r="J4893" i="5"/>
  <c r="H4893" i="5" s="1"/>
  <c r="J4894" i="5"/>
  <c r="H4894" i="5" s="1"/>
  <c r="J4895" i="5"/>
  <c r="H4895" i="5" s="1"/>
  <c r="J4896" i="5"/>
  <c r="H4896" i="5" s="1"/>
  <c r="J4897" i="5"/>
  <c r="H4897" i="5" s="1"/>
  <c r="J4898" i="5"/>
  <c r="H4898" i="5" s="1"/>
  <c r="J4899" i="5"/>
  <c r="H4899" i="5" s="1"/>
  <c r="J4900" i="5"/>
  <c r="H4900" i="5" s="1"/>
  <c r="J4901" i="5"/>
  <c r="H4901" i="5" s="1"/>
  <c r="J4902" i="5"/>
  <c r="H4902" i="5" s="1"/>
  <c r="J4903" i="5"/>
  <c r="H4903" i="5" s="1"/>
  <c r="J4904" i="5"/>
  <c r="H4904" i="5" s="1"/>
  <c r="J4905" i="5"/>
  <c r="H4905" i="5" s="1"/>
  <c r="J4906" i="5"/>
  <c r="H4906" i="5" s="1"/>
  <c r="J4907" i="5"/>
  <c r="H4907" i="5" s="1"/>
  <c r="J4908" i="5"/>
  <c r="H4908" i="5" s="1"/>
  <c r="J4909" i="5"/>
  <c r="H4909" i="5" s="1"/>
  <c r="J4910" i="5"/>
  <c r="H4910" i="5" s="1"/>
  <c r="J4911" i="5"/>
  <c r="H4911" i="5" s="1"/>
  <c r="J4912" i="5"/>
  <c r="H4912" i="5" s="1"/>
  <c r="J4913" i="5"/>
  <c r="H4913" i="5" s="1"/>
  <c r="J4914" i="5"/>
  <c r="H4914" i="5" s="1"/>
  <c r="J4915" i="5"/>
  <c r="H4915" i="5" s="1"/>
  <c r="J4916" i="5"/>
  <c r="H4916" i="5" s="1"/>
  <c r="J4917" i="5"/>
  <c r="H4917" i="5" s="1"/>
  <c r="J4918" i="5"/>
  <c r="H4918" i="5" s="1"/>
  <c r="J4919" i="5"/>
  <c r="H4919" i="5" s="1"/>
  <c r="J4920" i="5"/>
  <c r="H4920" i="5" s="1"/>
  <c r="J4921" i="5"/>
  <c r="H4921" i="5" s="1"/>
  <c r="J4922" i="5"/>
  <c r="H4922" i="5" s="1"/>
  <c r="J4923" i="5"/>
  <c r="H4923" i="5" s="1"/>
  <c r="J4924" i="5"/>
  <c r="H4924" i="5" s="1"/>
  <c r="J4925" i="5"/>
  <c r="H4925" i="5" s="1"/>
  <c r="J4926" i="5"/>
  <c r="H4926" i="5" s="1"/>
  <c r="J4927" i="5"/>
  <c r="H4927" i="5" s="1"/>
  <c r="J4928" i="5"/>
  <c r="H4928" i="5" s="1"/>
  <c r="J4929" i="5"/>
  <c r="H4929" i="5" s="1"/>
  <c r="J4930" i="5"/>
  <c r="H4930" i="5" s="1"/>
  <c r="J4931" i="5"/>
  <c r="H4931" i="5" s="1"/>
  <c r="J4932" i="5"/>
  <c r="H4932" i="5" s="1"/>
  <c r="J4933" i="5"/>
  <c r="H4933" i="5" s="1"/>
  <c r="J4934" i="5"/>
  <c r="H4934" i="5" s="1"/>
  <c r="J4935" i="5"/>
  <c r="H4935" i="5" s="1"/>
  <c r="J4936" i="5"/>
  <c r="H4936" i="5" s="1"/>
  <c r="J4937" i="5"/>
  <c r="H4937" i="5" s="1"/>
  <c r="J4938" i="5"/>
  <c r="H4938" i="5" s="1"/>
  <c r="J4939" i="5"/>
  <c r="H4939" i="5" s="1"/>
  <c r="J4940" i="5"/>
  <c r="H4940" i="5" s="1"/>
  <c r="J4941" i="5"/>
  <c r="H4941" i="5" s="1"/>
  <c r="J4942" i="5"/>
  <c r="H4942" i="5" s="1"/>
  <c r="J4943" i="5"/>
  <c r="H4943" i="5" s="1"/>
  <c r="J4944" i="5"/>
  <c r="H4944" i="5" s="1"/>
  <c r="J4945" i="5"/>
  <c r="H4945" i="5" s="1"/>
  <c r="J4946" i="5"/>
  <c r="H4946" i="5" s="1"/>
  <c r="J4947" i="5"/>
  <c r="H4947" i="5" s="1"/>
  <c r="J4948" i="5"/>
  <c r="H4948" i="5" s="1"/>
  <c r="J4949" i="5"/>
  <c r="H4949" i="5" s="1"/>
  <c r="J4950" i="5"/>
  <c r="H4950" i="5" s="1"/>
  <c r="J4951" i="5"/>
  <c r="H4951" i="5" s="1"/>
  <c r="J4952" i="5"/>
  <c r="H4952" i="5" s="1"/>
  <c r="J4953" i="5"/>
  <c r="H4953" i="5" s="1"/>
  <c r="J4954" i="5"/>
  <c r="H4954" i="5" s="1"/>
  <c r="J4955" i="5"/>
  <c r="H4955" i="5" s="1"/>
  <c r="J4956" i="5"/>
  <c r="H4956" i="5" s="1"/>
  <c r="J4957" i="5"/>
  <c r="H4957" i="5" s="1"/>
  <c r="J4958" i="5"/>
  <c r="H4958" i="5" s="1"/>
  <c r="J4959" i="5"/>
  <c r="H4959" i="5" s="1"/>
  <c r="J4960" i="5"/>
  <c r="H4960" i="5" s="1"/>
  <c r="J4961" i="5"/>
  <c r="H4961" i="5" s="1"/>
  <c r="J4962" i="5"/>
  <c r="H4962" i="5" s="1"/>
  <c r="J4963" i="5"/>
  <c r="H4963" i="5" s="1"/>
  <c r="J4964" i="5"/>
  <c r="H4964" i="5" s="1"/>
  <c r="J4965" i="5"/>
  <c r="H4965" i="5" s="1"/>
  <c r="J4966" i="5"/>
  <c r="H4966" i="5" s="1"/>
  <c r="J4967" i="5"/>
  <c r="H4967" i="5" s="1"/>
  <c r="J4968" i="5"/>
  <c r="H4968" i="5" s="1"/>
  <c r="J4969" i="5"/>
  <c r="H4969" i="5" s="1"/>
  <c r="J4970" i="5"/>
  <c r="H4970" i="5" s="1"/>
  <c r="J4971" i="5"/>
  <c r="H4971" i="5" s="1"/>
  <c r="J4972" i="5"/>
  <c r="H4972" i="5" s="1"/>
  <c r="J4973" i="5"/>
  <c r="H4973" i="5" s="1"/>
  <c r="J4974" i="5"/>
  <c r="H4974" i="5" s="1"/>
  <c r="J4975" i="5"/>
  <c r="H4975" i="5" s="1"/>
  <c r="J4976" i="5"/>
  <c r="H4976" i="5" s="1"/>
  <c r="J4977" i="5"/>
  <c r="H4977" i="5" s="1"/>
  <c r="J4978" i="5"/>
  <c r="H4978" i="5" s="1"/>
  <c r="J4979" i="5"/>
  <c r="H4979" i="5" s="1"/>
  <c r="J4980" i="5"/>
  <c r="H4980" i="5" s="1"/>
  <c r="J4981" i="5"/>
  <c r="H4981" i="5" s="1"/>
  <c r="J4982" i="5"/>
  <c r="H4982" i="5" s="1"/>
  <c r="J4983" i="5"/>
  <c r="H4983" i="5" s="1"/>
  <c r="J4984" i="5"/>
  <c r="H4984" i="5" s="1"/>
  <c r="J4985" i="5"/>
  <c r="H4985" i="5" s="1"/>
  <c r="J4986" i="5"/>
  <c r="H4986" i="5" s="1"/>
  <c r="J4987" i="5"/>
  <c r="H4987" i="5" s="1"/>
  <c r="J4988" i="5"/>
  <c r="H4988" i="5" s="1"/>
  <c r="J4989" i="5"/>
  <c r="H4989" i="5" s="1"/>
  <c r="J4990" i="5"/>
  <c r="H4990" i="5" s="1"/>
  <c r="J4991" i="5"/>
  <c r="H4991" i="5" s="1"/>
  <c r="J4992" i="5"/>
  <c r="H4992" i="5" s="1"/>
  <c r="J4993" i="5"/>
  <c r="H4993" i="5" s="1"/>
  <c r="J4994" i="5"/>
  <c r="H4994" i="5" s="1"/>
  <c r="J4995" i="5"/>
  <c r="H4995" i="5" s="1"/>
  <c r="J4996" i="5"/>
  <c r="H4996" i="5" s="1"/>
  <c r="J4997" i="5"/>
  <c r="H4997" i="5" s="1"/>
  <c r="J4998" i="5"/>
  <c r="H4998" i="5" s="1"/>
  <c r="J4999" i="5"/>
  <c r="H4999" i="5" s="1"/>
  <c r="J5000" i="5"/>
  <c r="H5000" i="5" s="1"/>
  <c r="J5001" i="5"/>
  <c r="H5001" i="5" s="1"/>
  <c r="J5002" i="5"/>
  <c r="H5002" i="5" s="1"/>
  <c r="J5003" i="5"/>
  <c r="H5003" i="5" s="1"/>
  <c r="J5004" i="5"/>
  <c r="H5004" i="5" s="1"/>
  <c r="J5005" i="5"/>
  <c r="H5005" i="5" s="1"/>
  <c r="J5006" i="5"/>
  <c r="H5006" i="5" s="1"/>
  <c r="J5007" i="5"/>
  <c r="H5007" i="5" s="1"/>
  <c r="J5008" i="5"/>
  <c r="H5008" i="5" s="1"/>
  <c r="J5009" i="5"/>
  <c r="H5009" i="5" s="1"/>
  <c r="J5010" i="5"/>
  <c r="H5010" i="5" s="1"/>
  <c r="J5011" i="5"/>
  <c r="H5011" i="5" s="1"/>
  <c r="J5012" i="5"/>
  <c r="H5012" i="5" s="1"/>
  <c r="J5013" i="5"/>
  <c r="H5013" i="5" s="1"/>
  <c r="J5014" i="5"/>
  <c r="H5014" i="5" s="1"/>
  <c r="J5015" i="5"/>
  <c r="H5015" i="5" s="1"/>
  <c r="J5016" i="5"/>
  <c r="H5016" i="5" s="1"/>
  <c r="J5017" i="5"/>
  <c r="H5017" i="5" s="1"/>
  <c r="J5018" i="5"/>
  <c r="H5018" i="5" s="1"/>
  <c r="J5019" i="5"/>
  <c r="H5019" i="5" s="1"/>
  <c r="J5020" i="5"/>
  <c r="H5020" i="5" s="1"/>
  <c r="J5021" i="5"/>
  <c r="H5021" i="5" s="1"/>
  <c r="J5022" i="5"/>
  <c r="H5022" i="5" s="1"/>
  <c r="J5023" i="5"/>
  <c r="H5023" i="5" s="1"/>
  <c r="J5024" i="5"/>
  <c r="H5024" i="5" s="1"/>
  <c r="J5025" i="5"/>
  <c r="H5025" i="5" s="1"/>
  <c r="J5026" i="5"/>
  <c r="H5026" i="5" s="1"/>
  <c r="J5027" i="5"/>
  <c r="H5027" i="5" s="1"/>
  <c r="J5028" i="5"/>
  <c r="H5028" i="5" s="1"/>
  <c r="J5029" i="5"/>
  <c r="H5029" i="5" s="1"/>
  <c r="J5030" i="5"/>
  <c r="H5030" i="5" s="1"/>
  <c r="J5031" i="5"/>
  <c r="H5031" i="5" s="1"/>
  <c r="J5032" i="5"/>
  <c r="H5032" i="5" s="1"/>
  <c r="J5033" i="5"/>
  <c r="H5033" i="5" s="1"/>
  <c r="J5034" i="5"/>
  <c r="H5034" i="5" s="1"/>
  <c r="J5035" i="5"/>
  <c r="H5035" i="5" s="1"/>
  <c r="J5036" i="5"/>
  <c r="H5036" i="5" s="1"/>
  <c r="J5037" i="5"/>
  <c r="H5037" i="5" s="1"/>
  <c r="J5038" i="5"/>
  <c r="H5038" i="5" s="1"/>
  <c r="J5039" i="5"/>
  <c r="H5039" i="5" s="1"/>
  <c r="J5040" i="5"/>
  <c r="H5040" i="5" s="1"/>
  <c r="J5041" i="5"/>
  <c r="H5041" i="5" s="1"/>
  <c r="J5042" i="5"/>
  <c r="H5042" i="5" s="1"/>
  <c r="J5043" i="5"/>
  <c r="H5043" i="5" s="1"/>
  <c r="J5044" i="5"/>
  <c r="H5044" i="5" s="1"/>
  <c r="J5045" i="5"/>
  <c r="H5045" i="5" s="1"/>
  <c r="J5046" i="5"/>
  <c r="H5046" i="5" s="1"/>
  <c r="J5047" i="5"/>
  <c r="H5047" i="5" s="1"/>
  <c r="J5048" i="5"/>
  <c r="H5048" i="5" s="1"/>
  <c r="J5049" i="5"/>
  <c r="H5049" i="5" s="1"/>
  <c r="J5050" i="5"/>
  <c r="H5050" i="5" s="1"/>
  <c r="J5051" i="5"/>
  <c r="H5051" i="5" s="1"/>
  <c r="J5052" i="5"/>
  <c r="H5052" i="5" s="1"/>
  <c r="J5053" i="5"/>
  <c r="H5053" i="5" s="1"/>
  <c r="J5054" i="5"/>
  <c r="H5054" i="5" s="1"/>
  <c r="J5055" i="5"/>
  <c r="H5055" i="5" s="1"/>
  <c r="J5056" i="5"/>
  <c r="H5056" i="5" s="1"/>
  <c r="J5057" i="5"/>
  <c r="H5057" i="5" s="1"/>
  <c r="J5058" i="5"/>
  <c r="H5058" i="5" s="1"/>
  <c r="J5059" i="5"/>
  <c r="H5059" i="5" s="1"/>
  <c r="J5060" i="5"/>
  <c r="H5060" i="5" s="1"/>
  <c r="J5061" i="5"/>
  <c r="H5061" i="5" s="1"/>
  <c r="J5062" i="5"/>
  <c r="H5062" i="5" s="1"/>
  <c r="J5063" i="5"/>
  <c r="H5063" i="5" s="1"/>
  <c r="J5064" i="5"/>
  <c r="H5064" i="5" s="1"/>
  <c r="J5065" i="5"/>
  <c r="H5065" i="5" s="1"/>
  <c r="J5066" i="5"/>
  <c r="H5066" i="5" s="1"/>
  <c r="J5067" i="5"/>
  <c r="H5067" i="5" s="1"/>
  <c r="J5068" i="5"/>
  <c r="H5068" i="5" s="1"/>
  <c r="J5069" i="5"/>
  <c r="H5069" i="5" s="1"/>
  <c r="J5070" i="5"/>
  <c r="H5070" i="5" s="1"/>
  <c r="J5071" i="5"/>
  <c r="H5071" i="5" s="1"/>
  <c r="J5072" i="5"/>
  <c r="H5072" i="5" s="1"/>
  <c r="J5073" i="5"/>
  <c r="H5073" i="5" s="1"/>
  <c r="J5074" i="5"/>
  <c r="H5074" i="5" s="1"/>
  <c r="J5075" i="5"/>
  <c r="H5075" i="5" s="1"/>
  <c r="J5076" i="5"/>
  <c r="H5076" i="5" s="1"/>
  <c r="J5077" i="5"/>
  <c r="H5077" i="5" s="1"/>
  <c r="J5078" i="5"/>
  <c r="H5078" i="5" s="1"/>
  <c r="J5079" i="5"/>
  <c r="H5079" i="5" s="1"/>
  <c r="J5080" i="5"/>
  <c r="H5080" i="5" s="1"/>
  <c r="J5081" i="5"/>
  <c r="H5081" i="5" s="1"/>
  <c r="J5082" i="5"/>
  <c r="H5082" i="5" s="1"/>
  <c r="J5083" i="5"/>
  <c r="H5083" i="5" s="1"/>
  <c r="J5084" i="5"/>
  <c r="H5084" i="5" s="1"/>
  <c r="J5085" i="5"/>
  <c r="H5085" i="5" s="1"/>
  <c r="J5086" i="5"/>
  <c r="H5086" i="5" s="1"/>
  <c r="J5087" i="5"/>
  <c r="H5087" i="5" s="1"/>
  <c r="J5088" i="5"/>
  <c r="H5088" i="5" s="1"/>
  <c r="J5089" i="5"/>
  <c r="H5089" i="5" s="1"/>
  <c r="J5090" i="5"/>
  <c r="H5090" i="5" s="1"/>
  <c r="J5091" i="5"/>
  <c r="H5091" i="5" s="1"/>
  <c r="J5092" i="5"/>
  <c r="H5092" i="5" s="1"/>
  <c r="J5093" i="5"/>
  <c r="H5093" i="5" s="1"/>
  <c r="J5094" i="5"/>
  <c r="H5094" i="5" s="1"/>
  <c r="J5095" i="5"/>
  <c r="H5095" i="5" s="1"/>
  <c r="J5096" i="5"/>
  <c r="H5096" i="5" s="1"/>
  <c r="J5097" i="5"/>
  <c r="H5097" i="5" s="1"/>
  <c r="J5098" i="5"/>
  <c r="H5098" i="5" s="1"/>
  <c r="J5099" i="5"/>
  <c r="H5099" i="5" s="1"/>
  <c r="J5100" i="5"/>
  <c r="H5100" i="5" s="1"/>
  <c r="J5101" i="5"/>
  <c r="H5101" i="5" s="1"/>
  <c r="J5102" i="5"/>
  <c r="H5102" i="5" s="1"/>
  <c r="J5103" i="5"/>
  <c r="H5103" i="5" s="1"/>
  <c r="J5104" i="5"/>
  <c r="H5104" i="5" s="1"/>
  <c r="J5105" i="5"/>
  <c r="H5105" i="5" s="1"/>
  <c r="J5106" i="5"/>
  <c r="H5106" i="5" s="1"/>
  <c r="J5107" i="5"/>
  <c r="H5107" i="5" s="1"/>
  <c r="J5108" i="5"/>
  <c r="H5108" i="5" s="1"/>
  <c r="J5109" i="5"/>
  <c r="H5109" i="5" s="1"/>
  <c r="J5110" i="5"/>
  <c r="H5110" i="5" s="1"/>
  <c r="J5111" i="5"/>
  <c r="H5111" i="5" s="1"/>
  <c r="J5112" i="5"/>
  <c r="H5112" i="5" s="1"/>
  <c r="J5113" i="5"/>
  <c r="H5113" i="5" s="1"/>
  <c r="J5114" i="5"/>
  <c r="H5114" i="5" s="1"/>
  <c r="J5115" i="5"/>
  <c r="H5115" i="5" s="1"/>
  <c r="J5116" i="5"/>
  <c r="H5116" i="5" s="1"/>
  <c r="J5117" i="5"/>
  <c r="H5117" i="5" s="1"/>
  <c r="J5118" i="5"/>
  <c r="H5118" i="5" s="1"/>
  <c r="J5119" i="5"/>
  <c r="H5119" i="5" s="1"/>
  <c r="J5120" i="5"/>
  <c r="H5120" i="5" s="1"/>
  <c r="J5121" i="5"/>
  <c r="H5121" i="5" s="1"/>
  <c r="J5122" i="5"/>
  <c r="H5122" i="5" s="1"/>
  <c r="J5123" i="5"/>
  <c r="H5123" i="5" s="1"/>
  <c r="J5124" i="5"/>
  <c r="H5124" i="5" s="1"/>
  <c r="J5125" i="5"/>
  <c r="H5125" i="5" s="1"/>
  <c r="J5126" i="5"/>
  <c r="H5126" i="5" s="1"/>
  <c r="J5127" i="5"/>
  <c r="H5127" i="5" s="1"/>
  <c r="J5128" i="5"/>
  <c r="H5128" i="5" s="1"/>
  <c r="J5129" i="5"/>
  <c r="H5129" i="5" s="1"/>
  <c r="J5130" i="5"/>
  <c r="H5130" i="5" s="1"/>
  <c r="J5131" i="5"/>
  <c r="H5131" i="5" s="1"/>
  <c r="J5132" i="5"/>
  <c r="H5132" i="5" s="1"/>
  <c r="J5133" i="5"/>
  <c r="H5133" i="5" s="1"/>
  <c r="J5134" i="5"/>
  <c r="H5134" i="5" s="1"/>
  <c r="J5135" i="5"/>
  <c r="H5135" i="5" s="1"/>
  <c r="J5136" i="5"/>
  <c r="H5136" i="5" s="1"/>
  <c r="J5137" i="5"/>
  <c r="H5137" i="5" s="1"/>
  <c r="J5138" i="5"/>
  <c r="H5138" i="5" s="1"/>
  <c r="J5139" i="5"/>
  <c r="H5139" i="5" s="1"/>
  <c r="J5140" i="5"/>
  <c r="H5140" i="5" s="1"/>
  <c r="J5141" i="5"/>
  <c r="H5141" i="5" s="1"/>
  <c r="J5142" i="5"/>
  <c r="H5142" i="5" s="1"/>
  <c r="J5143" i="5"/>
  <c r="H5143" i="5" s="1"/>
  <c r="J5144" i="5"/>
  <c r="H5144" i="5" s="1"/>
  <c r="J5145" i="5"/>
  <c r="H5145" i="5" s="1"/>
  <c r="J5146" i="5"/>
  <c r="H5146" i="5" s="1"/>
  <c r="J5147" i="5"/>
  <c r="H5147" i="5" s="1"/>
  <c r="J5148" i="5"/>
  <c r="H5148" i="5" s="1"/>
  <c r="J5149" i="5"/>
  <c r="H5149" i="5" s="1"/>
  <c r="J5150" i="5"/>
  <c r="H5150" i="5" s="1"/>
  <c r="J5151" i="5"/>
  <c r="H5151" i="5" s="1"/>
  <c r="J5152" i="5"/>
  <c r="H5152" i="5" s="1"/>
  <c r="J5153" i="5"/>
  <c r="H5153" i="5" s="1"/>
  <c r="J5154" i="5"/>
  <c r="H5154" i="5" s="1"/>
  <c r="J5155" i="5"/>
  <c r="H5155" i="5" s="1"/>
  <c r="J5156" i="5"/>
  <c r="H5156" i="5" s="1"/>
  <c r="J5157" i="5"/>
  <c r="H5157" i="5" s="1"/>
  <c r="J5158" i="5"/>
  <c r="H5158" i="5" s="1"/>
  <c r="J5159" i="5"/>
  <c r="H5159" i="5" s="1"/>
  <c r="J5160" i="5"/>
  <c r="H5160" i="5" s="1"/>
  <c r="J5161" i="5"/>
  <c r="H5161" i="5" s="1"/>
  <c r="J5162" i="5"/>
  <c r="H5162" i="5" s="1"/>
  <c r="J5163" i="5"/>
  <c r="H5163" i="5" s="1"/>
  <c r="J5164" i="5"/>
  <c r="H5164" i="5" s="1"/>
  <c r="J5165" i="5"/>
  <c r="H5165" i="5" s="1"/>
  <c r="J5166" i="5"/>
  <c r="H5166" i="5" s="1"/>
  <c r="J5167" i="5"/>
  <c r="H5167" i="5" s="1"/>
  <c r="J5168" i="5"/>
  <c r="H5168" i="5" s="1"/>
  <c r="J5169" i="5"/>
  <c r="H5169" i="5" s="1"/>
  <c r="J5170" i="5"/>
  <c r="H5170" i="5" s="1"/>
  <c r="J5171" i="5"/>
  <c r="H5171" i="5" s="1"/>
  <c r="J5172" i="5"/>
  <c r="H5172" i="5" s="1"/>
  <c r="J5173" i="5"/>
  <c r="H5173" i="5" s="1"/>
  <c r="J5174" i="5"/>
  <c r="H5174" i="5" s="1"/>
  <c r="J5175" i="5"/>
  <c r="H5175" i="5" s="1"/>
  <c r="J5176" i="5"/>
  <c r="H5176" i="5" s="1"/>
  <c r="J5177" i="5"/>
  <c r="H5177" i="5" s="1"/>
  <c r="J5178" i="5"/>
  <c r="H5178" i="5" s="1"/>
  <c r="J5179" i="5"/>
  <c r="H5179" i="5" s="1"/>
  <c r="J5180" i="5"/>
  <c r="H5180" i="5" s="1"/>
  <c r="J5181" i="5"/>
  <c r="H5181" i="5" s="1"/>
  <c r="J5182" i="5"/>
  <c r="H5182" i="5" s="1"/>
  <c r="J5183" i="5"/>
  <c r="H5183" i="5" s="1"/>
  <c r="J5184" i="5"/>
  <c r="H5184" i="5" s="1"/>
  <c r="J5185" i="5"/>
  <c r="H5185" i="5" s="1"/>
  <c r="J5186" i="5"/>
  <c r="H5186" i="5" s="1"/>
  <c r="J5187" i="5"/>
  <c r="H5187" i="5" s="1"/>
  <c r="J5188" i="5"/>
  <c r="H5188" i="5" s="1"/>
  <c r="J5189" i="5"/>
  <c r="H5189" i="5" s="1"/>
  <c r="J5190" i="5"/>
  <c r="H5190" i="5" s="1"/>
  <c r="J5191" i="5"/>
  <c r="H5191" i="5" s="1"/>
  <c r="J5192" i="5"/>
  <c r="H5192" i="5" s="1"/>
  <c r="J5193" i="5"/>
  <c r="H5193" i="5" s="1"/>
  <c r="J5194" i="5"/>
  <c r="H5194" i="5" s="1"/>
  <c r="J5195" i="5"/>
  <c r="H5195" i="5" s="1"/>
  <c r="J5196" i="5"/>
  <c r="H5196" i="5" s="1"/>
  <c r="J5197" i="5"/>
  <c r="H5197" i="5" s="1"/>
  <c r="J5198" i="5"/>
  <c r="H5198" i="5" s="1"/>
  <c r="J5199" i="5"/>
  <c r="H5199" i="5" s="1"/>
  <c r="J5200" i="5"/>
  <c r="H5200" i="5" s="1"/>
  <c r="J5201" i="5"/>
  <c r="H5201" i="5" s="1"/>
  <c r="J5202" i="5"/>
  <c r="H5202" i="5" s="1"/>
  <c r="J5203" i="5"/>
  <c r="H5203" i="5" s="1"/>
  <c r="J5204" i="5"/>
  <c r="H5204" i="5" s="1"/>
  <c r="J5205" i="5"/>
  <c r="H5205" i="5" s="1"/>
  <c r="J5206" i="5"/>
  <c r="H5206" i="5" s="1"/>
  <c r="J5207" i="5"/>
  <c r="H5207" i="5" s="1"/>
  <c r="J5208" i="5"/>
  <c r="H5208" i="5" s="1"/>
  <c r="J5209" i="5"/>
  <c r="H5209" i="5" s="1"/>
  <c r="J5210" i="5"/>
  <c r="H5210" i="5" s="1"/>
  <c r="J5211" i="5"/>
  <c r="H5211" i="5" s="1"/>
  <c r="J5212" i="5"/>
  <c r="H5212" i="5" s="1"/>
  <c r="J5213" i="5"/>
  <c r="H5213" i="5" s="1"/>
  <c r="J5214" i="5"/>
  <c r="H5214" i="5" s="1"/>
  <c r="J5215" i="5"/>
  <c r="H5215" i="5" s="1"/>
  <c r="J5216" i="5"/>
  <c r="H5216" i="5" s="1"/>
  <c r="J5217" i="5"/>
  <c r="H5217" i="5" s="1"/>
  <c r="J5218" i="5"/>
  <c r="H5218" i="5" s="1"/>
  <c r="J5219" i="5"/>
  <c r="H5219" i="5" s="1"/>
  <c r="J5220" i="5"/>
  <c r="H5220" i="5" s="1"/>
  <c r="J5221" i="5"/>
  <c r="H5221" i="5" s="1"/>
  <c r="J5222" i="5"/>
  <c r="H5222" i="5" s="1"/>
  <c r="J5223" i="5"/>
  <c r="H5223" i="5" s="1"/>
  <c r="J5224" i="5"/>
  <c r="H5224" i="5" s="1"/>
  <c r="J5225" i="5"/>
  <c r="H5225" i="5" s="1"/>
  <c r="J5226" i="5"/>
  <c r="H5226" i="5" s="1"/>
  <c r="J5227" i="5"/>
  <c r="H5227" i="5" s="1"/>
  <c r="J5228" i="5"/>
  <c r="H5228" i="5" s="1"/>
  <c r="J5229" i="5"/>
  <c r="H5229" i="5" s="1"/>
  <c r="J5230" i="5"/>
  <c r="H5230" i="5" s="1"/>
  <c r="J5231" i="5"/>
  <c r="H5231" i="5" s="1"/>
  <c r="J5232" i="5"/>
  <c r="H5232" i="5" s="1"/>
  <c r="J5233" i="5"/>
  <c r="H5233" i="5" s="1"/>
  <c r="J5234" i="5"/>
  <c r="H5234" i="5" s="1"/>
  <c r="J5235" i="5"/>
  <c r="H5235" i="5" s="1"/>
  <c r="J5236" i="5"/>
  <c r="H5236" i="5" s="1"/>
  <c r="J5237" i="5"/>
  <c r="H5237" i="5" s="1"/>
  <c r="J5238" i="5"/>
  <c r="H5238" i="5" s="1"/>
  <c r="J5239" i="5"/>
  <c r="H5239" i="5" s="1"/>
  <c r="J5240" i="5"/>
  <c r="H5240" i="5" s="1"/>
  <c r="J5241" i="5"/>
  <c r="H5241" i="5" s="1"/>
  <c r="J5242" i="5"/>
  <c r="H5242" i="5" s="1"/>
  <c r="J5243" i="5"/>
  <c r="H5243" i="5" s="1"/>
  <c r="J5244" i="5"/>
  <c r="H5244" i="5" s="1"/>
  <c r="J5245" i="5"/>
  <c r="H5245" i="5" s="1"/>
  <c r="J5246" i="5"/>
  <c r="H5246" i="5" s="1"/>
  <c r="J5247" i="5"/>
  <c r="H5247" i="5" s="1"/>
  <c r="J5248" i="5"/>
  <c r="H5248" i="5" s="1"/>
  <c r="J5249" i="5"/>
  <c r="H5249" i="5" s="1"/>
  <c r="J5250" i="5"/>
  <c r="H5250" i="5" s="1"/>
  <c r="J5251" i="5"/>
  <c r="H5251" i="5" s="1"/>
  <c r="J5252" i="5"/>
  <c r="H5252" i="5" s="1"/>
  <c r="J5253" i="5"/>
  <c r="H5253" i="5" s="1"/>
  <c r="J5254" i="5"/>
  <c r="H5254" i="5" s="1"/>
  <c r="J5255" i="5"/>
  <c r="H5255" i="5" s="1"/>
  <c r="J5256" i="5"/>
  <c r="H5256" i="5" s="1"/>
  <c r="J5257" i="5"/>
  <c r="H5257" i="5" s="1"/>
  <c r="J5258" i="5"/>
  <c r="H5258" i="5" s="1"/>
  <c r="J5259" i="5"/>
  <c r="H5259" i="5" s="1"/>
  <c r="J5260" i="5"/>
  <c r="H5260" i="5" s="1"/>
  <c r="J5261" i="5"/>
  <c r="H5261" i="5" s="1"/>
  <c r="J5262" i="5"/>
  <c r="H5262" i="5" s="1"/>
  <c r="J5263" i="5"/>
  <c r="H5263" i="5" s="1"/>
  <c r="J5264" i="5"/>
  <c r="H5264" i="5" s="1"/>
  <c r="J5265" i="5"/>
  <c r="H5265" i="5" s="1"/>
  <c r="J5266" i="5"/>
  <c r="H5266" i="5" s="1"/>
  <c r="J5267" i="5"/>
  <c r="H5267" i="5" s="1"/>
  <c r="J5268" i="5"/>
  <c r="H5268" i="5" s="1"/>
  <c r="J5269" i="5"/>
  <c r="H5269" i="5" s="1"/>
  <c r="J5270" i="5"/>
  <c r="H5270" i="5" s="1"/>
  <c r="J5271" i="5"/>
  <c r="H5271" i="5" s="1"/>
  <c r="J5272" i="5"/>
  <c r="H5272" i="5" s="1"/>
  <c r="J5273" i="5"/>
  <c r="H5273" i="5" s="1"/>
  <c r="J5274" i="5"/>
  <c r="H5274" i="5" s="1"/>
  <c r="J5275" i="5"/>
  <c r="H5275" i="5" s="1"/>
  <c r="J5276" i="5"/>
  <c r="H5276" i="5" s="1"/>
  <c r="J5277" i="5"/>
  <c r="H5277" i="5" s="1"/>
  <c r="J5278" i="5"/>
  <c r="H5278" i="5" s="1"/>
  <c r="J5279" i="5"/>
  <c r="H5279" i="5" s="1"/>
  <c r="J5280" i="5"/>
  <c r="H5280" i="5" s="1"/>
  <c r="J5281" i="5"/>
  <c r="H5281" i="5" s="1"/>
  <c r="J5282" i="5"/>
  <c r="H5282" i="5" s="1"/>
  <c r="J5283" i="5"/>
  <c r="H5283" i="5" s="1"/>
  <c r="J5284" i="5"/>
  <c r="H5284" i="5" s="1"/>
  <c r="J5285" i="5"/>
  <c r="H5285" i="5" s="1"/>
  <c r="J5286" i="5"/>
  <c r="H5286" i="5" s="1"/>
  <c r="J5287" i="5"/>
  <c r="H5287" i="5" s="1"/>
  <c r="J5288" i="5"/>
  <c r="H5288" i="5" s="1"/>
  <c r="J5289" i="5"/>
  <c r="H5289" i="5" s="1"/>
  <c r="J5290" i="5"/>
  <c r="H5290" i="5" s="1"/>
  <c r="J5291" i="5"/>
  <c r="H5291" i="5" s="1"/>
  <c r="J5292" i="5"/>
  <c r="H5292" i="5" s="1"/>
  <c r="J5293" i="5"/>
  <c r="H5293" i="5" s="1"/>
  <c r="J5294" i="5"/>
  <c r="H5294" i="5" s="1"/>
  <c r="J5295" i="5"/>
  <c r="H5295" i="5" s="1"/>
  <c r="J5296" i="5"/>
  <c r="H5296" i="5" s="1"/>
  <c r="J5297" i="5"/>
  <c r="H5297" i="5" s="1"/>
  <c r="J5298" i="5"/>
  <c r="H5298" i="5" s="1"/>
  <c r="J5299" i="5"/>
  <c r="H5299" i="5" s="1"/>
  <c r="J5300" i="5"/>
  <c r="H5300" i="5" s="1"/>
  <c r="J5301" i="5"/>
  <c r="H5301" i="5" s="1"/>
  <c r="J5302" i="5"/>
  <c r="H5302" i="5" s="1"/>
  <c r="J5303" i="5"/>
  <c r="H5303" i="5" s="1"/>
  <c r="J5304" i="5"/>
  <c r="H5304" i="5" s="1"/>
  <c r="J5305" i="5"/>
  <c r="H5305" i="5" s="1"/>
  <c r="J5306" i="5"/>
  <c r="H5306" i="5" s="1"/>
  <c r="J5307" i="5"/>
  <c r="H5307" i="5" s="1"/>
  <c r="J5308" i="5"/>
  <c r="H5308" i="5" s="1"/>
  <c r="J5309" i="5"/>
  <c r="H5309" i="5" s="1"/>
  <c r="J5310" i="5"/>
  <c r="H5310" i="5" s="1"/>
  <c r="J5311" i="5"/>
  <c r="H5311" i="5" s="1"/>
  <c r="J5312" i="5"/>
  <c r="H5312" i="5" s="1"/>
  <c r="J5313" i="5"/>
  <c r="H5313" i="5" s="1"/>
  <c r="J5314" i="5"/>
  <c r="H5314" i="5" s="1"/>
  <c r="J5315" i="5"/>
  <c r="H5315" i="5" s="1"/>
  <c r="J5316" i="5"/>
  <c r="H5316" i="5" s="1"/>
  <c r="J5317" i="5"/>
  <c r="H5317" i="5" s="1"/>
  <c r="J5318" i="5"/>
  <c r="H5318" i="5" s="1"/>
  <c r="J5319" i="5"/>
  <c r="H5319" i="5" s="1"/>
  <c r="J5320" i="5"/>
  <c r="H5320" i="5" s="1"/>
  <c r="J5321" i="5"/>
  <c r="H5321" i="5" s="1"/>
  <c r="J5322" i="5"/>
  <c r="H5322" i="5" s="1"/>
  <c r="J5323" i="5"/>
  <c r="H5323" i="5" s="1"/>
  <c r="J5324" i="5"/>
  <c r="H5324" i="5" s="1"/>
  <c r="J5325" i="5"/>
  <c r="H5325" i="5" s="1"/>
  <c r="J5326" i="5"/>
  <c r="H5326" i="5" s="1"/>
  <c r="J5327" i="5"/>
  <c r="H5327" i="5" s="1"/>
  <c r="J5328" i="5"/>
  <c r="H5328" i="5" s="1"/>
  <c r="J5329" i="5"/>
  <c r="H5329" i="5" s="1"/>
  <c r="J5330" i="5"/>
  <c r="H5330" i="5" s="1"/>
  <c r="J5331" i="5"/>
  <c r="H5331" i="5" s="1"/>
  <c r="J5332" i="5"/>
  <c r="H5332" i="5" s="1"/>
  <c r="J5333" i="5"/>
  <c r="H5333" i="5" s="1"/>
  <c r="J5334" i="5"/>
  <c r="H5334" i="5" s="1"/>
  <c r="J5335" i="5"/>
  <c r="H5335" i="5" s="1"/>
  <c r="J5336" i="5"/>
  <c r="H5336" i="5" s="1"/>
  <c r="J5337" i="5"/>
  <c r="H5337" i="5" s="1"/>
  <c r="J5338" i="5"/>
  <c r="H5338" i="5" s="1"/>
  <c r="J5339" i="5"/>
  <c r="H5339" i="5" s="1"/>
  <c r="J5340" i="5"/>
  <c r="H5340" i="5" s="1"/>
  <c r="J5341" i="5"/>
  <c r="H5341" i="5" s="1"/>
  <c r="J5342" i="5"/>
  <c r="H5342" i="5" s="1"/>
  <c r="J5343" i="5"/>
  <c r="H5343" i="5" s="1"/>
  <c r="J5344" i="5"/>
  <c r="H5344" i="5" s="1"/>
  <c r="J5345" i="5"/>
  <c r="H5345" i="5" s="1"/>
  <c r="J5346" i="5"/>
  <c r="H5346" i="5" s="1"/>
  <c r="J5347" i="5"/>
  <c r="H5347" i="5" s="1"/>
  <c r="J5348" i="5"/>
  <c r="H5348" i="5" s="1"/>
  <c r="J5349" i="5"/>
  <c r="H5349" i="5" s="1"/>
  <c r="J5350" i="5"/>
  <c r="H5350" i="5" s="1"/>
  <c r="J5351" i="5"/>
  <c r="H5351" i="5" s="1"/>
  <c r="J5352" i="5"/>
  <c r="H5352" i="5" s="1"/>
  <c r="J5353" i="5"/>
  <c r="H5353" i="5" s="1"/>
  <c r="J5354" i="5"/>
  <c r="H5354" i="5" s="1"/>
  <c r="J5355" i="5"/>
  <c r="H5355" i="5" s="1"/>
  <c r="J5356" i="5"/>
  <c r="H5356" i="5" s="1"/>
  <c r="J5357" i="5"/>
  <c r="H5357" i="5" s="1"/>
  <c r="J5358" i="5"/>
  <c r="H5358" i="5" s="1"/>
  <c r="J5359" i="5"/>
  <c r="H5359" i="5" s="1"/>
  <c r="J5360" i="5"/>
  <c r="H5360" i="5" s="1"/>
  <c r="J5361" i="5"/>
  <c r="H5361" i="5" s="1"/>
  <c r="J5362" i="5"/>
  <c r="H5362" i="5" s="1"/>
  <c r="J5363" i="5"/>
  <c r="H5363" i="5" s="1"/>
  <c r="J5364" i="5"/>
  <c r="H5364" i="5" s="1"/>
  <c r="J5365" i="5"/>
  <c r="H5365" i="5" s="1"/>
  <c r="J5366" i="5"/>
  <c r="H5366" i="5" s="1"/>
  <c r="J5367" i="5"/>
  <c r="H5367" i="5" s="1"/>
  <c r="J5368" i="5"/>
  <c r="H5368" i="5" s="1"/>
  <c r="J5369" i="5"/>
  <c r="H5369" i="5" s="1"/>
  <c r="J5370" i="5"/>
  <c r="H5370" i="5" s="1"/>
  <c r="J5371" i="5"/>
  <c r="H5371" i="5" s="1"/>
  <c r="J5372" i="5"/>
  <c r="H5372" i="5" s="1"/>
  <c r="J5373" i="5"/>
  <c r="H5373" i="5" s="1"/>
  <c r="J5374" i="5"/>
  <c r="H5374" i="5" s="1"/>
  <c r="J5375" i="5"/>
  <c r="H5375" i="5" s="1"/>
  <c r="J5376" i="5"/>
  <c r="H5376" i="5" s="1"/>
  <c r="J5377" i="5"/>
  <c r="H5377" i="5" s="1"/>
  <c r="J5378" i="5"/>
  <c r="H5378" i="5" s="1"/>
  <c r="J5379" i="5"/>
  <c r="H5379" i="5" s="1"/>
  <c r="J5380" i="5"/>
  <c r="H5380" i="5" s="1"/>
  <c r="J5381" i="5"/>
  <c r="H5381" i="5" s="1"/>
  <c r="J5382" i="5"/>
  <c r="H5382" i="5" s="1"/>
  <c r="J5383" i="5"/>
  <c r="H5383" i="5" s="1"/>
  <c r="J5384" i="5"/>
  <c r="H5384" i="5" s="1"/>
  <c r="J5385" i="5"/>
  <c r="H5385" i="5" s="1"/>
  <c r="J5386" i="5"/>
  <c r="H5386" i="5" s="1"/>
  <c r="J5387" i="5"/>
  <c r="H5387" i="5" s="1"/>
  <c r="J5388" i="5"/>
  <c r="H5388" i="5" s="1"/>
  <c r="J5389" i="5"/>
  <c r="H5389" i="5" s="1"/>
  <c r="J5390" i="5"/>
  <c r="H5390" i="5" s="1"/>
  <c r="J5391" i="5"/>
  <c r="H5391" i="5" s="1"/>
  <c r="J5392" i="5"/>
  <c r="H5392" i="5" s="1"/>
  <c r="J5393" i="5"/>
  <c r="H5393" i="5" s="1"/>
  <c r="J5394" i="5"/>
  <c r="H5394" i="5" s="1"/>
  <c r="J5395" i="5"/>
  <c r="H5395" i="5" s="1"/>
  <c r="J5396" i="5"/>
  <c r="H5396" i="5" s="1"/>
  <c r="J5397" i="5"/>
  <c r="H5397" i="5" s="1"/>
  <c r="J5398" i="5"/>
  <c r="H5398" i="5" s="1"/>
  <c r="J5399" i="5"/>
  <c r="H5399" i="5" s="1"/>
  <c r="J5400" i="5"/>
  <c r="H5400" i="5" s="1"/>
  <c r="J5401" i="5"/>
  <c r="H5401" i="5" s="1"/>
  <c r="J5402" i="5"/>
  <c r="H5402" i="5" s="1"/>
  <c r="J5403" i="5"/>
  <c r="H5403" i="5" s="1"/>
  <c r="J5404" i="5"/>
  <c r="H5404" i="5" s="1"/>
  <c r="J5405" i="5"/>
  <c r="H5405" i="5" s="1"/>
  <c r="J5406" i="5"/>
  <c r="H5406" i="5" s="1"/>
  <c r="J5407" i="5"/>
  <c r="H5407" i="5" s="1"/>
  <c r="J5408" i="5"/>
  <c r="H5408" i="5" s="1"/>
  <c r="J5409" i="5"/>
  <c r="H5409" i="5" s="1"/>
  <c r="J5410" i="5"/>
  <c r="H5410" i="5" s="1"/>
  <c r="J5411" i="5"/>
  <c r="H5411" i="5" s="1"/>
  <c r="J5412" i="5"/>
  <c r="H5412" i="5" s="1"/>
  <c r="J5413" i="5"/>
  <c r="H5413" i="5" s="1"/>
  <c r="J5414" i="5"/>
  <c r="H5414" i="5" s="1"/>
  <c r="J5415" i="5"/>
  <c r="H5415" i="5" s="1"/>
  <c r="J5416" i="5"/>
  <c r="H5416" i="5" s="1"/>
  <c r="J5417" i="5"/>
  <c r="H5417" i="5" s="1"/>
  <c r="J5418" i="5"/>
  <c r="H5418" i="5" s="1"/>
  <c r="J5419" i="5"/>
  <c r="H5419" i="5" s="1"/>
  <c r="J5420" i="5"/>
  <c r="H5420" i="5" s="1"/>
  <c r="J5421" i="5"/>
  <c r="H5421" i="5" s="1"/>
  <c r="J5422" i="5"/>
  <c r="H5422" i="5" s="1"/>
  <c r="J5423" i="5"/>
  <c r="H5423" i="5" s="1"/>
  <c r="J5424" i="5"/>
  <c r="H5424" i="5" s="1"/>
  <c r="J5425" i="5"/>
  <c r="H5425" i="5" s="1"/>
  <c r="J5426" i="5"/>
  <c r="H5426" i="5" s="1"/>
  <c r="J5427" i="5"/>
  <c r="H5427" i="5" s="1"/>
  <c r="J5428" i="5"/>
  <c r="H5428" i="5" s="1"/>
  <c r="J5429" i="5"/>
  <c r="H5429" i="5" s="1"/>
  <c r="J5430" i="5"/>
  <c r="H5430" i="5" s="1"/>
  <c r="J5431" i="5"/>
  <c r="H5431" i="5" s="1"/>
  <c r="J5432" i="5"/>
  <c r="H5432" i="5" s="1"/>
  <c r="J5433" i="5"/>
  <c r="H5433" i="5" s="1"/>
  <c r="J5434" i="5"/>
  <c r="H5434" i="5" s="1"/>
  <c r="J5435" i="5"/>
  <c r="H5435" i="5" s="1"/>
  <c r="J5436" i="5"/>
  <c r="H5436" i="5" s="1"/>
  <c r="J5437" i="5"/>
  <c r="H5437" i="5" s="1"/>
  <c r="J5438" i="5"/>
  <c r="H5438" i="5" s="1"/>
  <c r="J5439" i="5"/>
  <c r="H5439" i="5" s="1"/>
  <c r="J5440" i="5"/>
  <c r="H5440" i="5" s="1"/>
  <c r="J5441" i="5"/>
  <c r="H5441" i="5" s="1"/>
  <c r="J5442" i="5"/>
  <c r="H5442" i="5" s="1"/>
  <c r="J5443" i="5"/>
  <c r="H5443" i="5" s="1"/>
  <c r="J5444" i="5"/>
  <c r="H5444" i="5" s="1"/>
  <c r="J5445" i="5"/>
  <c r="H5445" i="5" s="1"/>
  <c r="J5446" i="5"/>
  <c r="H5446" i="5" s="1"/>
  <c r="J5447" i="5"/>
  <c r="H5447" i="5" s="1"/>
  <c r="J5448" i="5"/>
  <c r="H5448" i="5" s="1"/>
  <c r="J5449" i="5"/>
  <c r="H5449" i="5" s="1"/>
  <c r="J5450" i="5"/>
  <c r="H5450" i="5" s="1"/>
  <c r="J5451" i="5"/>
  <c r="H5451" i="5" s="1"/>
  <c r="J5452" i="5"/>
  <c r="H5452" i="5" s="1"/>
  <c r="J5453" i="5"/>
  <c r="H5453" i="5" s="1"/>
  <c r="J5454" i="5"/>
  <c r="H5454" i="5" s="1"/>
  <c r="J5455" i="5"/>
  <c r="H5455" i="5" s="1"/>
  <c r="J5456" i="5"/>
  <c r="H5456" i="5" s="1"/>
  <c r="J5457" i="5"/>
  <c r="H5457" i="5" s="1"/>
  <c r="J5458" i="5"/>
  <c r="H5458" i="5" s="1"/>
  <c r="J5459" i="5"/>
  <c r="H5459" i="5" s="1"/>
  <c r="J5460" i="5"/>
  <c r="H5460" i="5" s="1"/>
  <c r="J5461" i="5"/>
  <c r="H5461" i="5" s="1"/>
  <c r="J5462" i="5"/>
  <c r="H5462" i="5" s="1"/>
  <c r="J5463" i="5"/>
  <c r="H5463" i="5" s="1"/>
  <c r="J5464" i="5"/>
  <c r="H5464" i="5" s="1"/>
  <c r="J5465" i="5"/>
  <c r="H5465" i="5" s="1"/>
  <c r="J5466" i="5"/>
  <c r="H5466" i="5" s="1"/>
  <c r="J5467" i="5"/>
  <c r="H5467" i="5" s="1"/>
  <c r="J5468" i="5"/>
  <c r="H5468" i="5" s="1"/>
  <c r="J5469" i="5"/>
  <c r="H5469" i="5" s="1"/>
  <c r="J5470" i="5"/>
  <c r="H5470" i="5" s="1"/>
  <c r="J5471" i="5"/>
  <c r="H5471" i="5" s="1"/>
  <c r="J5472" i="5"/>
  <c r="H5472" i="5" s="1"/>
  <c r="J5473" i="5"/>
  <c r="H5473" i="5" s="1"/>
  <c r="J5474" i="5"/>
  <c r="H5474" i="5" s="1"/>
  <c r="J5475" i="5"/>
  <c r="H5475" i="5" s="1"/>
  <c r="J5476" i="5"/>
  <c r="H5476" i="5" s="1"/>
  <c r="J5477" i="5"/>
  <c r="H5477" i="5" s="1"/>
  <c r="J5478" i="5"/>
  <c r="H5478" i="5" s="1"/>
  <c r="J5479" i="5"/>
  <c r="H5479" i="5" s="1"/>
  <c r="J5480" i="5"/>
  <c r="H5480" i="5" s="1"/>
  <c r="J5481" i="5"/>
  <c r="H5481" i="5" s="1"/>
  <c r="J5482" i="5"/>
  <c r="H5482" i="5" s="1"/>
  <c r="J5483" i="5"/>
  <c r="H5483" i="5" s="1"/>
  <c r="J5484" i="5"/>
  <c r="H5484" i="5" s="1"/>
  <c r="J5485" i="5"/>
  <c r="H5485" i="5" s="1"/>
  <c r="J5486" i="5"/>
  <c r="H5486" i="5" s="1"/>
  <c r="J5487" i="5"/>
  <c r="H5487" i="5" s="1"/>
  <c r="J5488" i="5"/>
  <c r="H5488" i="5" s="1"/>
  <c r="J5489" i="5"/>
  <c r="H5489" i="5" s="1"/>
  <c r="J5490" i="5"/>
  <c r="H5490" i="5" s="1"/>
  <c r="J5491" i="5"/>
  <c r="H5491" i="5" s="1"/>
  <c r="J5492" i="5"/>
  <c r="H5492" i="5" s="1"/>
  <c r="J5493" i="5"/>
  <c r="H5493" i="5" s="1"/>
  <c r="J5494" i="5"/>
  <c r="H5494" i="5" s="1"/>
  <c r="J5495" i="5"/>
  <c r="H5495" i="5" s="1"/>
  <c r="J5496" i="5"/>
  <c r="H5496" i="5" s="1"/>
  <c r="J5497" i="5"/>
  <c r="H5497" i="5" s="1"/>
  <c r="J5498" i="5"/>
  <c r="H5498" i="5" s="1"/>
  <c r="J5499" i="5"/>
  <c r="H5499" i="5" s="1"/>
  <c r="J5500" i="5"/>
  <c r="H5500" i="5" s="1"/>
  <c r="J5501" i="5"/>
  <c r="H5501" i="5" s="1"/>
  <c r="J5502" i="5"/>
  <c r="H5502" i="5" s="1"/>
  <c r="J5503" i="5"/>
  <c r="H5503" i="5" s="1"/>
  <c r="J5504" i="5"/>
  <c r="H5504" i="5" s="1"/>
  <c r="J5505" i="5"/>
  <c r="H5505" i="5" s="1"/>
  <c r="J5506" i="5"/>
  <c r="H5506" i="5" s="1"/>
  <c r="J5507" i="5"/>
  <c r="H5507" i="5" s="1"/>
  <c r="J5508" i="5"/>
  <c r="H5508" i="5" s="1"/>
  <c r="J5509" i="5"/>
  <c r="H5509" i="5" s="1"/>
  <c r="J5510" i="5"/>
  <c r="H5510" i="5" s="1"/>
  <c r="J5511" i="5"/>
  <c r="H5511" i="5" s="1"/>
  <c r="J5512" i="5"/>
  <c r="H5512" i="5" s="1"/>
  <c r="J5513" i="5"/>
  <c r="H5513" i="5" s="1"/>
  <c r="J5514" i="5"/>
  <c r="H5514" i="5" s="1"/>
  <c r="J5515" i="5"/>
  <c r="H5515" i="5" s="1"/>
  <c r="J5516" i="5"/>
  <c r="H5516" i="5" s="1"/>
  <c r="J5517" i="5"/>
  <c r="H5517" i="5" s="1"/>
  <c r="J5518" i="5"/>
  <c r="H5518" i="5" s="1"/>
  <c r="J5519" i="5"/>
  <c r="H5519" i="5" s="1"/>
  <c r="J5520" i="5"/>
  <c r="H5520" i="5" s="1"/>
  <c r="J5521" i="5"/>
  <c r="H5521" i="5" s="1"/>
  <c r="J5522" i="5"/>
  <c r="H5522" i="5" s="1"/>
  <c r="J5523" i="5"/>
  <c r="H5523" i="5" s="1"/>
  <c r="J5524" i="5"/>
  <c r="H5524" i="5" s="1"/>
  <c r="J5525" i="5"/>
  <c r="H5525" i="5" s="1"/>
  <c r="J5526" i="5"/>
  <c r="H5526" i="5" s="1"/>
  <c r="J5527" i="5"/>
  <c r="H5527" i="5" s="1"/>
  <c r="J5528" i="5"/>
  <c r="H5528" i="5" s="1"/>
  <c r="J5529" i="5"/>
  <c r="H5529" i="5" s="1"/>
  <c r="J5530" i="5"/>
  <c r="H5530" i="5" s="1"/>
  <c r="J5531" i="5"/>
  <c r="H5531" i="5" s="1"/>
  <c r="J5532" i="5"/>
  <c r="H5532" i="5" s="1"/>
  <c r="J5533" i="5"/>
  <c r="H5533" i="5" s="1"/>
  <c r="J5534" i="5"/>
  <c r="H5534" i="5" s="1"/>
  <c r="J5535" i="5"/>
  <c r="H5535" i="5" s="1"/>
  <c r="J5536" i="5"/>
  <c r="H5536" i="5" s="1"/>
  <c r="J5537" i="5"/>
  <c r="H5537" i="5" s="1"/>
  <c r="J5538" i="5"/>
  <c r="H5538" i="5" s="1"/>
  <c r="J5539" i="5"/>
  <c r="H5539" i="5" s="1"/>
  <c r="J5540" i="5"/>
  <c r="H5540" i="5" s="1"/>
  <c r="J5541" i="5"/>
  <c r="H5541" i="5" s="1"/>
  <c r="J5542" i="5"/>
  <c r="H5542" i="5" s="1"/>
  <c r="J5543" i="5"/>
  <c r="H5543" i="5" s="1"/>
  <c r="J5544" i="5"/>
  <c r="H5544" i="5" s="1"/>
  <c r="J5545" i="5"/>
  <c r="H5545" i="5" s="1"/>
  <c r="J5546" i="5"/>
  <c r="H5546" i="5" s="1"/>
  <c r="J5547" i="5"/>
  <c r="H5547" i="5" s="1"/>
  <c r="J5548" i="5"/>
  <c r="H5548" i="5" s="1"/>
  <c r="J5549" i="5"/>
  <c r="H5549" i="5" s="1"/>
  <c r="J5550" i="5"/>
  <c r="H5550" i="5" s="1"/>
  <c r="J5551" i="5"/>
  <c r="H5551" i="5" s="1"/>
  <c r="J5552" i="5"/>
  <c r="H5552" i="5" s="1"/>
  <c r="J5553" i="5"/>
  <c r="H5553" i="5" s="1"/>
  <c r="J5554" i="5"/>
  <c r="H5554" i="5" s="1"/>
  <c r="J5555" i="5"/>
  <c r="H5555" i="5" s="1"/>
  <c r="J5556" i="5"/>
  <c r="H5556" i="5" s="1"/>
  <c r="J5557" i="5"/>
  <c r="H5557" i="5" s="1"/>
  <c r="J5558" i="5"/>
  <c r="H5558" i="5" s="1"/>
  <c r="J5559" i="5"/>
  <c r="H5559" i="5" s="1"/>
  <c r="J5560" i="5"/>
  <c r="H5560" i="5" s="1"/>
  <c r="J5561" i="5"/>
  <c r="H5561" i="5" s="1"/>
  <c r="J5562" i="5"/>
  <c r="H5562" i="5" s="1"/>
  <c r="J5563" i="5"/>
  <c r="H5563" i="5" s="1"/>
  <c r="J5564" i="5"/>
  <c r="H5564" i="5" s="1"/>
  <c r="J5565" i="5"/>
  <c r="H5565" i="5" s="1"/>
  <c r="J5566" i="5"/>
  <c r="H5566" i="5" s="1"/>
  <c r="J5567" i="5"/>
  <c r="H5567" i="5" s="1"/>
  <c r="J5568" i="5"/>
  <c r="H5568" i="5" s="1"/>
  <c r="J5569" i="5"/>
  <c r="H5569" i="5" s="1"/>
  <c r="J5570" i="5"/>
  <c r="H5570" i="5" s="1"/>
  <c r="J5571" i="5"/>
  <c r="H5571" i="5" s="1"/>
  <c r="J5572" i="5"/>
  <c r="H5572" i="5" s="1"/>
  <c r="J5573" i="5"/>
  <c r="H5573" i="5" s="1"/>
  <c r="J5574" i="5"/>
  <c r="H5574" i="5" s="1"/>
  <c r="J5575" i="5"/>
  <c r="H5575" i="5" s="1"/>
  <c r="J5576" i="5"/>
  <c r="H5576" i="5" s="1"/>
  <c r="J5577" i="5"/>
  <c r="H5577" i="5" s="1"/>
  <c r="J5578" i="5"/>
  <c r="H5578" i="5" s="1"/>
  <c r="J5579" i="5"/>
  <c r="H5579" i="5" s="1"/>
  <c r="J5580" i="5"/>
  <c r="H5580" i="5" s="1"/>
  <c r="J5581" i="5"/>
  <c r="H5581" i="5" s="1"/>
  <c r="J5582" i="5"/>
  <c r="H5582" i="5" s="1"/>
  <c r="J5583" i="5"/>
  <c r="H5583" i="5" s="1"/>
  <c r="J5584" i="5"/>
  <c r="H5584" i="5" s="1"/>
  <c r="J5585" i="5"/>
  <c r="H5585" i="5" s="1"/>
  <c r="J5586" i="5"/>
  <c r="H5586" i="5" s="1"/>
  <c r="J5587" i="5"/>
  <c r="H5587" i="5" s="1"/>
  <c r="J5588" i="5"/>
  <c r="H5588" i="5" s="1"/>
  <c r="J5589" i="5"/>
  <c r="H5589" i="5" s="1"/>
  <c r="J5590" i="5"/>
  <c r="H5590" i="5" s="1"/>
  <c r="J5591" i="5"/>
  <c r="H5591" i="5" s="1"/>
  <c r="J5592" i="5"/>
  <c r="H5592" i="5" s="1"/>
  <c r="J5593" i="5"/>
  <c r="H5593" i="5" s="1"/>
  <c r="J5594" i="5"/>
  <c r="H5594" i="5" s="1"/>
  <c r="J5595" i="5"/>
  <c r="H5595" i="5" s="1"/>
  <c r="J5596" i="5"/>
  <c r="H5596" i="5" s="1"/>
  <c r="J5597" i="5"/>
  <c r="H5597" i="5" s="1"/>
  <c r="J5598" i="5"/>
  <c r="H5598" i="5" s="1"/>
  <c r="J5599" i="5"/>
  <c r="H5599" i="5" s="1"/>
  <c r="J5600" i="5"/>
  <c r="H5600" i="5" s="1"/>
  <c r="J5601" i="5"/>
  <c r="H5601" i="5" s="1"/>
  <c r="J5602" i="5"/>
  <c r="H5602" i="5" s="1"/>
  <c r="J5603" i="5"/>
  <c r="H5603" i="5" s="1"/>
  <c r="J5604" i="5"/>
  <c r="H5604" i="5" s="1"/>
  <c r="J5605" i="5"/>
  <c r="H5605" i="5" s="1"/>
  <c r="J5606" i="5"/>
  <c r="H5606" i="5" s="1"/>
  <c r="J5607" i="5"/>
  <c r="H5607" i="5" s="1"/>
  <c r="J5608" i="5"/>
  <c r="H5608" i="5" s="1"/>
  <c r="J5609" i="5"/>
  <c r="H5609" i="5" s="1"/>
  <c r="J5610" i="5"/>
  <c r="H5610" i="5" s="1"/>
  <c r="J5611" i="5"/>
  <c r="H5611" i="5" s="1"/>
  <c r="J5612" i="5"/>
  <c r="H5612" i="5" s="1"/>
  <c r="J5613" i="5"/>
  <c r="H5613" i="5" s="1"/>
  <c r="J5614" i="5"/>
  <c r="H5614" i="5" s="1"/>
  <c r="J5615" i="5"/>
  <c r="H5615" i="5" s="1"/>
  <c r="J5616" i="5"/>
  <c r="H5616" i="5" s="1"/>
  <c r="J5617" i="5"/>
  <c r="H5617" i="5" s="1"/>
  <c r="J5618" i="5"/>
  <c r="H5618" i="5" s="1"/>
  <c r="J5619" i="5"/>
  <c r="H5619" i="5" s="1"/>
  <c r="J5620" i="5"/>
  <c r="H5620" i="5" s="1"/>
  <c r="J5621" i="5"/>
  <c r="H5621" i="5" s="1"/>
  <c r="J5622" i="5"/>
  <c r="H5622" i="5" s="1"/>
  <c r="J5623" i="5"/>
  <c r="H5623" i="5" s="1"/>
  <c r="J5624" i="5"/>
  <c r="H5624" i="5" s="1"/>
  <c r="J5625" i="5"/>
  <c r="H5625" i="5" s="1"/>
  <c r="J5626" i="5"/>
  <c r="H5626" i="5" s="1"/>
  <c r="J5627" i="5"/>
  <c r="H5627" i="5" s="1"/>
  <c r="J5628" i="5"/>
  <c r="H5628" i="5" s="1"/>
  <c r="J5629" i="5"/>
  <c r="H5629" i="5" s="1"/>
  <c r="J5630" i="5"/>
  <c r="H5630" i="5" s="1"/>
  <c r="J5631" i="5"/>
  <c r="H5631" i="5" s="1"/>
  <c r="J5632" i="5"/>
  <c r="H5632" i="5" s="1"/>
  <c r="J5633" i="5"/>
  <c r="H5633" i="5" s="1"/>
  <c r="J5634" i="5"/>
  <c r="H5634" i="5" s="1"/>
  <c r="J5635" i="5"/>
  <c r="H5635" i="5" s="1"/>
  <c r="J5636" i="5"/>
  <c r="H5636" i="5" s="1"/>
  <c r="J5637" i="5"/>
  <c r="H5637" i="5" s="1"/>
  <c r="J5638" i="5"/>
  <c r="H5638" i="5" s="1"/>
  <c r="J5639" i="5"/>
  <c r="H5639" i="5" s="1"/>
  <c r="J5640" i="5"/>
  <c r="H5640" i="5" s="1"/>
  <c r="J5641" i="5"/>
  <c r="H5641" i="5" s="1"/>
  <c r="J5642" i="5"/>
  <c r="H5642" i="5" s="1"/>
  <c r="J5643" i="5"/>
  <c r="H5643" i="5" s="1"/>
  <c r="J5644" i="5"/>
  <c r="H5644" i="5" s="1"/>
  <c r="J5645" i="5"/>
  <c r="H5645" i="5" s="1"/>
  <c r="J5646" i="5"/>
  <c r="H5646" i="5" s="1"/>
  <c r="J5647" i="5"/>
  <c r="H5647" i="5" s="1"/>
  <c r="J5648" i="5"/>
  <c r="H5648" i="5" s="1"/>
  <c r="J5649" i="5"/>
  <c r="H5649" i="5" s="1"/>
  <c r="J5650" i="5"/>
  <c r="H5650" i="5" s="1"/>
  <c r="J5651" i="5"/>
  <c r="H5651" i="5" s="1"/>
  <c r="J5652" i="5"/>
  <c r="H5652" i="5" s="1"/>
  <c r="J5653" i="5"/>
  <c r="H5653" i="5" s="1"/>
  <c r="J5654" i="5"/>
  <c r="H5654" i="5" s="1"/>
  <c r="J5655" i="5"/>
  <c r="H5655" i="5" s="1"/>
  <c r="J5656" i="5"/>
  <c r="H5656" i="5" s="1"/>
  <c r="J5657" i="5"/>
  <c r="H5657" i="5" s="1"/>
  <c r="J5658" i="5"/>
  <c r="H5658" i="5" s="1"/>
  <c r="J5659" i="5"/>
  <c r="H5659" i="5" s="1"/>
  <c r="J5660" i="5"/>
  <c r="H5660" i="5" s="1"/>
  <c r="J5661" i="5"/>
  <c r="H5661" i="5" s="1"/>
  <c r="J5662" i="5"/>
  <c r="H5662" i="5" s="1"/>
  <c r="J5663" i="5"/>
  <c r="H5663" i="5" s="1"/>
  <c r="J5664" i="5"/>
  <c r="H5664" i="5" s="1"/>
  <c r="J5665" i="5"/>
  <c r="H5665" i="5" s="1"/>
  <c r="J5666" i="5"/>
  <c r="H5666" i="5" s="1"/>
  <c r="J5667" i="5"/>
  <c r="H5667" i="5" s="1"/>
  <c r="J5668" i="5"/>
  <c r="H5668" i="5" s="1"/>
  <c r="J5669" i="5"/>
  <c r="H5669" i="5" s="1"/>
  <c r="J5670" i="5"/>
  <c r="H5670" i="5" s="1"/>
  <c r="J5671" i="5"/>
  <c r="H5671" i="5" s="1"/>
  <c r="J5672" i="5"/>
  <c r="H5672" i="5" s="1"/>
  <c r="J5673" i="5"/>
  <c r="H5673" i="5" s="1"/>
  <c r="J5674" i="5"/>
  <c r="H5674" i="5" s="1"/>
  <c r="J5675" i="5"/>
  <c r="H5675" i="5" s="1"/>
  <c r="J5676" i="5"/>
  <c r="H5676" i="5" s="1"/>
  <c r="J5677" i="5"/>
  <c r="H5677" i="5" s="1"/>
  <c r="J5678" i="5"/>
  <c r="H5678" i="5" s="1"/>
  <c r="J5679" i="5"/>
  <c r="H5679" i="5" s="1"/>
  <c r="J5680" i="5"/>
  <c r="H5680" i="5" s="1"/>
  <c r="J5681" i="5"/>
  <c r="H5681" i="5" s="1"/>
  <c r="J5682" i="5"/>
  <c r="H5682" i="5" s="1"/>
  <c r="J5683" i="5"/>
  <c r="H5683" i="5" s="1"/>
  <c r="J5684" i="5"/>
  <c r="H5684" i="5" s="1"/>
  <c r="J5685" i="5"/>
  <c r="H5685" i="5" s="1"/>
  <c r="J5686" i="5"/>
  <c r="H5686" i="5" s="1"/>
  <c r="J5687" i="5"/>
  <c r="H5687" i="5" s="1"/>
  <c r="J5688" i="5"/>
  <c r="H5688" i="5" s="1"/>
  <c r="J5689" i="5"/>
  <c r="H5689" i="5" s="1"/>
  <c r="J5690" i="5"/>
  <c r="H5690" i="5" s="1"/>
  <c r="J5691" i="5"/>
  <c r="H5691" i="5" s="1"/>
  <c r="J5692" i="5"/>
  <c r="H5692" i="5" s="1"/>
  <c r="J5693" i="5"/>
  <c r="H5693" i="5" s="1"/>
  <c r="J5694" i="5"/>
  <c r="H5694" i="5" s="1"/>
  <c r="J5695" i="5"/>
  <c r="H5695" i="5" s="1"/>
  <c r="J5696" i="5"/>
  <c r="H5696" i="5" s="1"/>
  <c r="J5697" i="5"/>
  <c r="H5697" i="5" s="1"/>
  <c r="J5698" i="5"/>
  <c r="H5698" i="5" s="1"/>
  <c r="J5699" i="5"/>
  <c r="H5699" i="5" s="1"/>
  <c r="J5700" i="5"/>
  <c r="H5700" i="5" s="1"/>
  <c r="J5701" i="5"/>
  <c r="H5701" i="5" s="1"/>
  <c r="J5702" i="5"/>
  <c r="H5702" i="5" s="1"/>
  <c r="J5703" i="5"/>
  <c r="H5703" i="5" s="1"/>
  <c r="J5704" i="5"/>
  <c r="H5704" i="5" s="1"/>
  <c r="J5705" i="5"/>
  <c r="H5705" i="5" s="1"/>
  <c r="J5706" i="5"/>
  <c r="H5706" i="5" s="1"/>
  <c r="J5707" i="5"/>
  <c r="H5707" i="5" s="1"/>
  <c r="J5708" i="5"/>
  <c r="H5708" i="5" s="1"/>
  <c r="J5709" i="5"/>
  <c r="H5709" i="5" s="1"/>
  <c r="J5710" i="5"/>
  <c r="H5710" i="5" s="1"/>
  <c r="J5711" i="5"/>
  <c r="H5711" i="5" s="1"/>
  <c r="J5712" i="5"/>
  <c r="H5712" i="5" s="1"/>
  <c r="J5713" i="5"/>
  <c r="H5713" i="5" s="1"/>
  <c r="J5714" i="5"/>
  <c r="H5714" i="5" s="1"/>
  <c r="J5715" i="5"/>
  <c r="H5715" i="5" s="1"/>
  <c r="J5716" i="5"/>
  <c r="H5716" i="5" s="1"/>
  <c r="J5717" i="5"/>
  <c r="H5717" i="5" s="1"/>
  <c r="J5718" i="5"/>
  <c r="H5718" i="5" s="1"/>
  <c r="J5719" i="5"/>
  <c r="H5719" i="5" s="1"/>
  <c r="J5720" i="5"/>
  <c r="H5720" i="5" s="1"/>
  <c r="J5721" i="5"/>
  <c r="H5721" i="5" s="1"/>
  <c r="J5722" i="5"/>
  <c r="H5722" i="5" s="1"/>
  <c r="J5723" i="5"/>
  <c r="H5723" i="5" s="1"/>
  <c r="J5724" i="5"/>
  <c r="H5724" i="5" s="1"/>
  <c r="J5725" i="5"/>
  <c r="H5725" i="5" s="1"/>
  <c r="J5726" i="5"/>
  <c r="H5726" i="5" s="1"/>
  <c r="J5727" i="5"/>
  <c r="H5727" i="5" s="1"/>
  <c r="J5728" i="5"/>
  <c r="H5728" i="5" s="1"/>
  <c r="J5729" i="5"/>
  <c r="H5729" i="5" s="1"/>
  <c r="J5730" i="5"/>
  <c r="H5730" i="5" s="1"/>
  <c r="J5731" i="5"/>
  <c r="H5731" i="5" s="1"/>
  <c r="J5732" i="5"/>
  <c r="H5732" i="5" s="1"/>
  <c r="J5733" i="5"/>
  <c r="H5733" i="5" s="1"/>
  <c r="J5734" i="5"/>
  <c r="H5734" i="5" s="1"/>
  <c r="J5735" i="5"/>
  <c r="H5735" i="5" s="1"/>
  <c r="J5736" i="5"/>
  <c r="H5736" i="5" s="1"/>
  <c r="J5737" i="5"/>
  <c r="H5737" i="5" s="1"/>
  <c r="J5738" i="5"/>
  <c r="H5738" i="5" s="1"/>
  <c r="J5739" i="5"/>
  <c r="H5739" i="5" s="1"/>
  <c r="J5740" i="5"/>
  <c r="H5740" i="5" s="1"/>
  <c r="J5741" i="5"/>
  <c r="H5741" i="5" s="1"/>
  <c r="J5742" i="5"/>
  <c r="H5742" i="5" s="1"/>
  <c r="J5743" i="5"/>
  <c r="H5743" i="5" s="1"/>
  <c r="J5744" i="5"/>
  <c r="H5744" i="5" s="1"/>
  <c r="J5745" i="5"/>
  <c r="H5745" i="5" s="1"/>
  <c r="J5746" i="5"/>
  <c r="H5746" i="5" s="1"/>
  <c r="J5747" i="5"/>
  <c r="H5747" i="5" s="1"/>
  <c r="J5748" i="5"/>
  <c r="H5748" i="5" s="1"/>
  <c r="J5749" i="5"/>
  <c r="H5749" i="5" s="1"/>
  <c r="J5750" i="5"/>
  <c r="H5750" i="5" s="1"/>
  <c r="J5751" i="5"/>
  <c r="H5751" i="5" s="1"/>
  <c r="J5752" i="5"/>
  <c r="H5752" i="5" s="1"/>
  <c r="J5753" i="5"/>
  <c r="H5753" i="5" s="1"/>
  <c r="J5754" i="5"/>
  <c r="H5754" i="5" s="1"/>
  <c r="J5755" i="5"/>
  <c r="H5755" i="5" s="1"/>
  <c r="J5756" i="5"/>
  <c r="H5756" i="5" s="1"/>
  <c r="J5757" i="5"/>
  <c r="H5757" i="5" s="1"/>
  <c r="J5758" i="5"/>
  <c r="H5758" i="5" s="1"/>
  <c r="J5759" i="5"/>
  <c r="H5759" i="5" s="1"/>
  <c r="J5760" i="5"/>
  <c r="H5760" i="5" s="1"/>
  <c r="J5761" i="5"/>
  <c r="H5761" i="5" s="1"/>
  <c r="J5762" i="5"/>
  <c r="H5762" i="5" s="1"/>
  <c r="J5763" i="5"/>
  <c r="H5763" i="5" s="1"/>
  <c r="J5764" i="5"/>
  <c r="H5764" i="5" s="1"/>
  <c r="J5765" i="5"/>
  <c r="H5765" i="5" s="1"/>
  <c r="J5766" i="5"/>
  <c r="H5766" i="5" s="1"/>
  <c r="J5767" i="5"/>
  <c r="H5767" i="5" s="1"/>
  <c r="J5768" i="5"/>
  <c r="H5768" i="5" s="1"/>
  <c r="J5769" i="5"/>
  <c r="H5769" i="5" s="1"/>
  <c r="J5770" i="5"/>
  <c r="H5770" i="5" s="1"/>
  <c r="J5771" i="5"/>
  <c r="H5771" i="5" s="1"/>
  <c r="J5772" i="5"/>
  <c r="H5772" i="5" s="1"/>
  <c r="J5773" i="5"/>
  <c r="H5773" i="5" s="1"/>
  <c r="J5774" i="5"/>
  <c r="H5774" i="5" s="1"/>
  <c r="J5775" i="5"/>
  <c r="H5775" i="5" s="1"/>
  <c r="J5776" i="5"/>
  <c r="H5776" i="5" s="1"/>
  <c r="J5777" i="5"/>
  <c r="H5777" i="5" s="1"/>
  <c r="J5778" i="5"/>
  <c r="H5778" i="5" s="1"/>
  <c r="J5779" i="5"/>
  <c r="H5779" i="5" s="1"/>
  <c r="J5780" i="5"/>
  <c r="H5780" i="5" s="1"/>
  <c r="J5781" i="5"/>
  <c r="H5781" i="5" s="1"/>
  <c r="J5782" i="5"/>
  <c r="H5782" i="5" s="1"/>
  <c r="J5783" i="5"/>
  <c r="H5783" i="5" s="1"/>
  <c r="J5784" i="5"/>
  <c r="H5784" i="5" s="1"/>
  <c r="J5785" i="5"/>
  <c r="H5785" i="5" s="1"/>
  <c r="J5786" i="5"/>
  <c r="H5786" i="5" s="1"/>
  <c r="J5787" i="5"/>
  <c r="H5787" i="5" s="1"/>
  <c r="J5788" i="5"/>
  <c r="H5788" i="5" s="1"/>
  <c r="J5789" i="5"/>
  <c r="H5789" i="5" s="1"/>
  <c r="J5790" i="5"/>
  <c r="H5790" i="5" s="1"/>
  <c r="J5791" i="5"/>
  <c r="H5791" i="5" s="1"/>
  <c r="J5792" i="5"/>
  <c r="H5792" i="5" s="1"/>
  <c r="J5793" i="5"/>
  <c r="H5793" i="5" s="1"/>
  <c r="J5794" i="5"/>
  <c r="H5794" i="5" s="1"/>
  <c r="J5795" i="5"/>
  <c r="H5795" i="5" s="1"/>
  <c r="J5796" i="5"/>
  <c r="H5796" i="5" s="1"/>
  <c r="J5797" i="5"/>
  <c r="H5797" i="5" s="1"/>
  <c r="J5798" i="5"/>
  <c r="H5798" i="5" s="1"/>
  <c r="J5799" i="5"/>
  <c r="H5799" i="5" s="1"/>
  <c r="J5800" i="5"/>
  <c r="H5800" i="5" s="1"/>
  <c r="J5801" i="5"/>
  <c r="H5801" i="5" s="1"/>
  <c r="J5802" i="5"/>
  <c r="H5802" i="5" s="1"/>
  <c r="J5803" i="5"/>
  <c r="H5803" i="5" s="1"/>
  <c r="J5804" i="5"/>
  <c r="H5804" i="5" s="1"/>
  <c r="J5805" i="5"/>
  <c r="H5805" i="5" s="1"/>
  <c r="J5806" i="5"/>
  <c r="H5806" i="5" s="1"/>
  <c r="J5807" i="5"/>
  <c r="H5807" i="5" s="1"/>
  <c r="J5808" i="5"/>
  <c r="H5808" i="5" s="1"/>
  <c r="J5809" i="5"/>
  <c r="H5809" i="5" s="1"/>
  <c r="J5810" i="5"/>
  <c r="H5810" i="5" s="1"/>
  <c r="J5811" i="5"/>
  <c r="H5811" i="5" s="1"/>
  <c r="J5812" i="5"/>
  <c r="H5812" i="5" s="1"/>
  <c r="J5813" i="5"/>
  <c r="H5813" i="5" s="1"/>
  <c r="J5814" i="5"/>
  <c r="H5814" i="5" s="1"/>
  <c r="J5815" i="5"/>
  <c r="H5815" i="5" s="1"/>
  <c r="J5816" i="5"/>
  <c r="H5816" i="5" s="1"/>
  <c r="J5817" i="5"/>
  <c r="H5817" i="5" s="1"/>
  <c r="J5818" i="5"/>
  <c r="H5818" i="5" s="1"/>
  <c r="J5819" i="5"/>
  <c r="H5819" i="5" s="1"/>
  <c r="J5820" i="5"/>
  <c r="H5820" i="5" s="1"/>
  <c r="J5821" i="5"/>
  <c r="H5821" i="5" s="1"/>
  <c r="J5822" i="5"/>
  <c r="H5822" i="5" s="1"/>
  <c r="J5823" i="5"/>
  <c r="H5823" i="5" s="1"/>
  <c r="J5824" i="5"/>
  <c r="H5824" i="5" s="1"/>
  <c r="J5825" i="5"/>
  <c r="H5825" i="5" s="1"/>
  <c r="J5826" i="5"/>
  <c r="H5826" i="5" s="1"/>
  <c r="J5827" i="5"/>
  <c r="H5827" i="5" s="1"/>
  <c r="J5828" i="5"/>
  <c r="H5828" i="5" s="1"/>
  <c r="J5829" i="5"/>
  <c r="H5829" i="5" s="1"/>
  <c r="J5830" i="5"/>
  <c r="H5830" i="5" s="1"/>
  <c r="J5831" i="5"/>
  <c r="H5831" i="5" s="1"/>
  <c r="J5832" i="5"/>
  <c r="H5832" i="5" s="1"/>
  <c r="J5833" i="5"/>
  <c r="H5833" i="5" s="1"/>
  <c r="J5834" i="5"/>
  <c r="H5834" i="5" s="1"/>
  <c r="J5835" i="5"/>
  <c r="H5835" i="5" s="1"/>
  <c r="J5836" i="5"/>
  <c r="H5836" i="5" s="1"/>
  <c r="J5837" i="5"/>
  <c r="H5837" i="5" s="1"/>
  <c r="J5838" i="5"/>
  <c r="H5838" i="5" s="1"/>
  <c r="J5839" i="5"/>
  <c r="H5839" i="5" s="1"/>
  <c r="J5840" i="5"/>
  <c r="H5840" i="5" s="1"/>
  <c r="J5841" i="5"/>
  <c r="H5841" i="5" s="1"/>
  <c r="J5842" i="5"/>
  <c r="H5842" i="5" s="1"/>
  <c r="J5843" i="5"/>
  <c r="H5843" i="5" s="1"/>
  <c r="J5844" i="5"/>
  <c r="H5844" i="5" s="1"/>
  <c r="J5845" i="5"/>
  <c r="H5845" i="5" s="1"/>
  <c r="J5846" i="5"/>
  <c r="H5846" i="5" s="1"/>
  <c r="J5847" i="5"/>
  <c r="H5847" i="5" s="1"/>
  <c r="J5848" i="5"/>
  <c r="H5848" i="5" s="1"/>
  <c r="J5849" i="5"/>
  <c r="H5849" i="5" s="1"/>
  <c r="J5850" i="5"/>
  <c r="H5850" i="5" s="1"/>
  <c r="J5851" i="5"/>
  <c r="H5851" i="5" s="1"/>
  <c r="J5852" i="5"/>
  <c r="H5852" i="5" s="1"/>
  <c r="J5853" i="5"/>
  <c r="H5853" i="5" s="1"/>
  <c r="J5854" i="5"/>
  <c r="H5854" i="5" s="1"/>
  <c r="J5855" i="5"/>
  <c r="H5855" i="5" s="1"/>
  <c r="J5856" i="5"/>
  <c r="H5856" i="5" s="1"/>
  <c r="J5857" i="5"/>
  <c r="H5857" i="5" s="1"/>
  <c r="J5858" i="5"/>
  <c r="H5858" i="5" s="1"/>
  <c r="J5859" i="5"/>
  <c r="H5859" i="5" s="1"/>
  <c r="J5860" i="5"/>
  <c r="H5860" i="5" s="1"/>
  <c r="J5861" i="5"/>
  <c r="H5861" i="5" s="1"/>
  <c r="J5862" i="5"/>
  <c r="H5862" i="5" s="1"/>
  <c r="J5863" i="5"/>
  <c r="H5863" i="5" s="1"/>
  <c r="J5864" i="5"/>
  <c r="H5864" i="5" s="1"/>
  <c r="J5865" i="5"/>
  <c r="H5865" i="5" s="1"/>
  <c r="J5866" i="5"/>
  <c r="H5866" i="5" s="1"/>
  <c r="J5867" i="5"/>
  <c r="H5867" i="5" s="1"/>
  <c r="J5868" i="5"/>
  <c r="H5868" i="5" s="1"/>
  <c r="J5869" i="5"/>
  <c r="H5869" i="5" s="1"/>
  <c r="J5870" i="5"/>
  <c r="H5870" i="5" s="1"/>
  <c r="J5871" i="5"/>
  <c r="H5871" i="5" s="1"/>
  <c r="J5872" i="5"/>
  <c r="H5872" i="5" s="1"/>
  <c r="J5873" i="5"/>
  <c r="H5873" i="5" s="1"/>
  <c r="J5874" i="5"/>
  <c r="H5874" i="5" s="1"/>
  <c r="J5875" i="5"/>
  <c r="H5875" i="5" s="1"/>
  <c r="J5876" i="5"/>
  <c r="H5876" i="5" s="1"/>
  <c r="J5877" i="5"/>
  <c r="H5877" i="5" s="1"/>
  <c r="J5878" i="5"/>
  <c r="H5878" i="5" s="1"/>
  <c r="J5879" i="5"/>
  <c r="H5879" i="5" s="1"/>
  <c r="J5880" i="5"/>
  <c r="H5880" i="5" s="1"/>
  <c r="J5881" i="5"/>
  <c r="H5881" i="5" s="1"/>
  <c r="J5882" i="5"/>
  <c r="H5882" i="5" s="1"/>
  <c r="J5883" i="5"/>
  <c r="H5883" i="5" s="1"/>
  <c r="J5884" i="5"/>
  <c r="H5884" i="5" s="1"/>
  <c r="J5885" i="5"/>
  <c r="H5885" i="5" s="1"/>
  <c r="J5886" i="5"/>
  <c r="H5886" i="5" s="1"/>
  <c r="J5887" i="5"/>
  <c r="H5887" i="5" s="1"/>
  <c r="J5888" i="5"/>
  <c r="H5888" i="5" s="1"/>
  <c r="J5889" i="5"/>
  <c r="H5889" i="5" s="1"/>
  <c r="J5890" i="5"/>
  <c r="H5890" i="5" s="1"/>
  <c r="J5891" i="5"/>
  <c r="H5891" i="5" s="1"/>
  <c r="J5892" i="5"/>
  <c r="H5892" i="5" s="1"/>
  <c r="J5893" i="5"/>
  <c r="H5893" i="5" s="1"/>
  <c r="J5894" i="5"/>
  <c r="H5894" i="5" s="1"/>
  <c r="J5895" i="5"/>
  <c r="H5895" i="5" s="1"/>
  <c r="J5896" i="5"/>
  <c r="H5896" i="5" s="1"/>
  <c r="J5897" i="5"/>
  <c r="H5897" i="5" s="1"/>
  <c r="J5898" i="5"/>
  <c r="H5898" i="5" s="1"/>
  <c r="J5899" i="5"/>
  <c r="H5899" i="5" s="1"/>
  <c r="J5900" i="5"/>
  <c r="H5900" i="5" s="1"/>
  <c r="J5901" i="5"/>
  <c r="H5901" i="5" s="1"/>
  <c r="J5902" i="5"/>
  <c r="H5902" i="5" s="1"/>
  <c r="J5903" i="5"/>
  <c r="H5903" i="5" s="1"/>
  <c r="J5904" i="5"/>
  <c r="H5904" i="5" s="1"/>
  <c r="J5905" i="5"/>
  <c r="H5905" i="5" s="1"/>
  <c r="J5906" i="5"/>
  <c r="H5906" i="5" s="1"/>
  <c r="J5907" i="5"/>
  <c r="H5907" i="5" s="1"/>
  <c r="J5908" i="5"/>
  <c r="H5908" i="5" s="1"/>
  <c r="J5909" i="5"/>
  <c r="H5909" i="5" s="1"/>
  <c r="J5910" i="5"/>
  <c r="H5910" i="5" s="1"/>
  <c r="J5911" i="5"/>
  <c r="H5911" i="5" s="1"/>
  <c r="J5912" i="5"/>
  <c r="H5912" i="5" s="1"/>
  <c r="J5913" i="5"/>
  <c r="H5913" i="5" s="1"/>
  <c r="J5914" i="5"/>
  <c r="H5914" i="5" s="1"/>
  <c r="J5915" i="5"/>
  <c r="H5915" i="5" s="1"/>
  <c r="J5916" i="5"/>
  <c r="H5916" i="5" s="1"/>
  <c r="J5917" i="5"/>
  <c r="H5917" i="5" s="1"/>
  <c r="J5918" i="5"/>
  <c r="H5918" i="5" s="1"/>
  <c r="J5919" i="5"/>
  <c r="H5919" i="5" s="1"/>
  <c r="J5920" i="5"/>
  <c r="H5920" i="5" s="1"/>
  <c r="J5921" i="5"/>
  <c r="H5921" i="5" s="1"/>
  <c r="J5922" i="5"/>
  <c r="H5922" i="5" s="1"/>
  <c r="J5923" i="5"/>
  <c r="H5923" i="5" s="1"/>
  <c r="J5924" i="5"/>
  <c r="H5924" i="5" s="1"/>
  <c r="J5925" i="5"/>
  <c r="H5925" i="5" s="1"/>
  <c r="J5926" i="5"/>
  <c r="H5926" i="5" s="1"/>
  <c r="J5927" i="5"/>
  <c r="H5927" i="5" s="1"/>
  <c r="J5928" i="5"/>
  <c r="H5928" i="5" s="1"/>
  <c r="J5929" i="5"/>
  <c r="H5929" i="5" s="1"/>
  <c r="J5930" i="5"/>
  <c r="H5930" i="5" s="1"/>
  <c r="J5931" i="5"/>
  <c r="H5931" i="5" s="1"/>
  <c r="J5932" i="5"/>
  <c r="H5932" i="5" s="1"/>
  <c r="J5933" i="5"/>
  <c r="H5933" i="5" s="1"/>
  <c r="J5934" i="5"/>
  <c r="H5934" i="5" s="1"/>
  <c r="J5935" i="5"/>
  <c r="H5935" i="5" s="1"/>
  <c r="J5936" i="5"/>
  <c r="H5936" i="5" s="1"/>
  <c r="J5937" i="5"/>
  <c r="H5937" i="5" s="1"/>
  <c r="J5938" i="5"/>
  <c r="H5938" i="5" s="1"/>
  <c r="J5939" i="5"/>
  <c r="H5939" i="5" s="1"/>
  <c r="J5940" i="5"/>
  <c r="H5940" i="5" s="1"/>
  <c r="J5941" i="5"/>
  <c r="H5941" i="5" s="1"/>
  <c r="J5942" i="5"/>
  <c r="H5942" i="5" s="1"/>
  <c r="J5943" i="5"/>
  <c r="H5943" i="5" s="1"/>
  <c r="J5944" i="5"/>
  <c r="H5944" i="5" s="1"/>
  <c r="J5945" i="5"/>
  <c r="H5945" i="5" s="1"/>
  <c r="J5946" i="5"/>
  <c r="H5946" i="5" s="1"/>
  <c r="J5947" i="5"/>
  <c r="H5947" i="5" s="1"/>
  <c r="J5948" i="5"/>
  <c r="H5948" i="5" s="1"/>
  <c r="J5949" i="5"/>
  <c r="H5949" i="5" s="1"/>
  <c r="J5950" i="5"/>
  <c r="H5950" i="5" s="1"/>
  <c r="J5951" i="5"/>
  <c r="H5951" i="5" s="1"/>
  <c r="J5952" i="5"/>
  <c r="H5952" i="5" s="1"/>
  <c r="J5953" i="5"/>
  <c r="H5953" i="5" s="1"/>
  <c r="J5954" i="5"/>
  <c r="H5954" i="5" s="1"/>
  <c r="J5955" i="5"/>
  <c r="H5955" i="5" s="1"/>
  <c r="J5956" i="5"/>
  <c r="H5956" i="5" s="1"/>
  <c r="J5957" i="5"/>
  <c r="H5957" i="5" s="1"/>
  <c r="J5958" i="5"/>
  <c r="H5958" i="5" s="1"/>
  <c r="J5959" i="5"/>
  <c r="H5959" i="5" s="1"/>
  <c r="J5960" i="5"/>
  <c r="H5960" i="5" s="1"/>
  <c r="J5961" i="5"/>
  <c r="H5961" i="5" s="1"/>
  <c r="J5962" i="5"/>
  <c r="H5962" i="5" s="1"/>
  <c r="J5963" i="5"/>
  <c r="H5963" i="5" s="1"/>
  <c r="J5964" i="5"/>
  <c r="H5964" i="5" s="1"/>
  <c r="J5965" i="5"/>
  <c r="H5965" i="5" s="1"/>
  <c r="J5966" i="5"/>
  <c r="H5966" i="5" s="1"/>
  <c r="J5967" i="5"/>
  <c r="H5967" i="5" s="1"/>
  <c r="J5968" i="5"/>
  <c r="H5968" i="5" s="1"/>
  <c r="J5969" i="5"/>
  <c r="H5969" i="5" s="1"/>
  <c r="J5970" i="5"/>
  <c r="H5970" i="5" s="1"/>
  <c r="J5971" i="5"/>
  <c r="H5971" i="5" s="1"/>
  <c r="J5972" i="5"/>
  <c r="H5972" i="5" s="1"/>
  <c r="J5973" i="5"/>
  <c r="H5973" i="5" s="1"/>
  <c r="J5974" i="5"/>
  <c r="H5974" i="5" s="1"/>
  <c r="J5975" i="5"/>
  <c r="H5975" i="5" s="1"/>
  <c r="J5976" i="5"/>
  <c r="H5976" i="5" s="1"/>
  <c r="J5977" i="5"/>
  <c r="H5977" i="5" s="1"/>
  <c r="J5978" i="5"/>
  <c r="H5978" i="5" s="1"/>
  <c r="J5979" i="5"/>
  <c r="H5979" i="5" s="1"/>
  <c r="J5980" i="5"/>
  <c r="H5980" i="5" s="1"/>
  <c r="J5981" i="5"/>
  <c r="H5981" i="5" s="1"/>
  <c r="J5982" i="5"/>
  <c r="H5982" i="5" s="1"/>
  <c r="J5983" i="5"/>
  <c r="H5983" i="5" s="1"/>
  <c r="J5984" i="5"/>
  <c r="H5984" i="5" s="1"/>
  <c r="J5985" i="5"/>
  <c r="H5985" i="5" s="1"/>
  <c r="J5986" i="5"/>
  <c r="H5986" i="5" s="1"/>
  <c r="J5987" i="5"/>
  <c r="H5987" i="5" s="1"/>
  <c r="J5988" i="5"/>
  <c r="H5988" i="5" s="1"/>
  <c r="J5989" i="5"/>
  <c r="H5989" i="5" s="1"/>
  <c r="J5990" i="5"/>
  <c r="H5990" i="5" s="1"/>
  <c r="J5991" i="5"/>
  <c r="H5991" i="5" s="1"/>
  <c r="J5992" i="5"/>
  <c r="H5992" i="5" s="1"/>
  <c r="J5993" i="5"/>
  <c r="H5993" i="5" s="1"/>
  <c r="J5994" i="5"/>
  <c r="H5994" i="5" s="1"/>
  <c r="J5995" i="5"/>
  <c r="H5995" i="5" s="1"/>
  <c r="J5996" i="5"/>
  <c r="H5996" i="5" s="1"/>
  <c r="J5997" i="5"/>
  <c r="H5997" i="5" s="1"/>
  <c r="J5998" i="5"/>
  <c r="H5998" i="5" s="1"/>
  <c r="J5999" i="5"/>
  <c r="H5999" i="5" s="1"/>
  <c r="J6000" i="5"/>
  <c r="H6000" i="5" s="1"/>
  <c r="J6001" i="5"/>
  <c r="H6001" i="5" s="1"/>
  <c r="J6002" i="5"/>
  <c r="H6002" i="5" s="1"/>
  <c r="J6003" i="5"/>
  <c r="H6003" i="5" s="1"/>
  <c r="J6004" i="5"/>
  <c r="H6004" i="5" s="1"/>
  <c r="J6005" i="5"/>
  <c r="H6005" i="5" s="1"/>
  <c r="J6006" i="5"/>
  <c r="H6006" i="5" s="1"/>
  <c r="J6007" i="5"/>
  <c r="H6007" i="5" s="1"/>
  <c r="J6008" i="5"/>
  <c r="H6008" i="5" s="1"/>
  <c r="J6009" i="5"/>
  <c r="H6009" i="5" s="1"/>
  <c r="J6010" i="5"/>
  <c r="H6010" i="5" s="1"/>
  <c r="J6011" i="5"/>
  <c r="H6011" i="5" s="1"/>
  <c r="J6012" i="5"/>
  <c r="H6012" i="5" s="1"/>
  <c r="J6013" i="5"/>
  <c r="H6013" i="5" s="1"/>
  <c r="J6014" i="5"/>
  <c r="H6014" i="5" s="1"/>
  <c r="J6015" i="5"/>
  <c r="H6015" i="5" s="1"/>
  <c r="J6016" i="5"/>
  <c r="H6016" i="5" s="1"/>
  <c r="J6017" i="5"/>
  <c r="H6017" i="5" s="1"/>
  <c r="J6018" i="5"/>
  <c r="H6018" i="5" s="1"/>
  <c r="J6019" i="5"/>
  <c r="H6019" i="5" s="1"/>
  <c r="J6020" i="5"/>
  <c r="H6020" i="5" s="1"/>
  <c r="J6021" i="5"/>
  <c r="H6021" i="5" s="1"/>
  <c r="J6022" i="5"/>
  <c r="H6022" i="5" s="1"/>
  <c r="J6023" i="5"/>
  <c r="H6023" i="5" s="1"/>
  <c r="J6024" i="5"/>
  <c r="H6024" i="5" s="1"/>
  <c r="J6025" i="5"/>
  <c r="H6025" i="5" s="1"/>
  <c r="J6026" i="5"/>
  <c r="H6026" i="5" s="1"/>
  <c r="J6027" i="5"/>
  <c r="H6027" i="5" s="1"/>
  <c r="J6028" i="5"/>
  <c r="H6028" i="5" s="1"/>
  <c r="J6029" i="5"/>
  <c r="H6029" i="5" s="1"/>
  <c r="J6030" i="5"/>
  <c r="H6030" i="5" s="1"/>
  <c r="J6031" i="5"/>
  <c r="H6031" i="5" s="1"/>
  <c r="J6032" i="5"/>
  <c r="H6032" i="5" s="1"/>
  <c r="J6033" i="5"/>
  <c r="H6033" i="5" s="1"/>
  <c r="J6034" i="5"/>
  <c r="H6034" i="5" s="1"/>
  <c r="J6035" i="5"/>
  <c r="H6035" i="5" s="1"/>
  <c r="J6036" i="5"/>
  <c r="H6036" i="5" s="1"/>
  <c r="J6037" i="5"/>
  <c r="H6037" i="5" s="1"/>
  <c r="J6038" i="5"/>
  <c r="H6038" i="5" s="1"/>
  <c r="J6039" i="5"/>
  <c r="H6039" i="5" s="1"/>
  <c r="J6040" i="5"/>
  <c r="H6040" i="5" s="1"/>
  <c r="J6041" i="5"/>
  <c r="H6041" i="5" s="1"/>
  <c r="J6042" i="5"/>
  <c r="H6042" i="5" s="1"/>
  <c r="J6043" i="5"/>
  <c r="H6043" i="5" s="1"/>
  <c r="J6044" i="5"/>
  <c r="H6044" i="5" s="1"/>
  <c r="J6045" i="5"/>
  <c r="H6045" i="5" s="1"/>
  <c r="J6046" i="5"/>
  <c r="H6046" i="5" s="1"/>
  <c r="J6047" i="5"/>
  <c r="H6047" i="5" s="1"/>
  <c r="J6048" i="5"/>
  <c r="H6048" i="5" s="1"/>
  <c r="J6049" i="5"/>
  <c r="H6049" i="5" s="1"/>
  <c r="J6050" i="5"/>
  <c r="H6050" i="5" s="1"/>
  <c r="J6051" i="5"/>
  <c r="H6051" i="5" s="1"/>
  <c r="J6052" i="5"/>
  <c r="H6052" i="5" s="1"/>
  <c r="J6053" i="5"/>
  <c r="H6053" i="5" s="1"/>
  <c r="J6054" i="5"/>
  <c r="H6054" i="5" s="1"/>
  <c r="J6055" i="5"/>
  <c r="H6055" i="5" s="1"/>
  <c r="J6056" i="5"/>
  <c r="H6056" i="5" s="1"/>
  <c r="J6057" i="5"/>
  <c r="H6057" i="5" s="1"/>
  <c r="J6058" i="5"/>
  <c r="H6058" i="5" s="1"/>
  <c r="J6059" i="5"/>
  <c r="H6059" i="5" s="1"/>
  <c r="J6060" i="5"/>
  <c r="H6060" i="5" s="1"/>
  <c r="J6061" i="5"/>
  <c r="H6061" i="5" s="1"/>
  <c r="J6062" i="5"/>
  <c r="H6062" i="5" s="1"/>
  <c r="J6063" i="5"/>
  <c r="H6063" i="5" s="1"/>
  <c r="J6064" i="5"/>
  <c r="H6064" i="5" s="1"/>
  <c r="J6065" i="5"/>
  <c r="H6065" i="5" s="1"/>
  <c r="J6066" i="5"/>
  <c r="H6066" i="5" s="1"/>
  <c r="J6067" i="5"/>
  <c r="H6067" i="5" s="1"/>
  <c r="J6068" i="5"/>
  <c r="H6068" i="5" s="1"/>
  <c r="J6069" i="5"/>
  <c r="H6069" i="5" s="1"/>
  <c r="J6070" i="5"/>
  <c r="H6070" i="5" s="1"/>
  <c r="J6071" i="5"/>
  <c r="H6071" i="5" s="1"/>
  <c r="J6072" i="5"/>
  <c r="H6072" i="5" s="1"/>
  <c r="J6073" i="5"/>
  <c r="H6073" i="5" s="1"/>
  <c r="J6074" i="5"/>
  <c r="H6074" i="5" s="1"/>
  <c r="J6075" i="5"/>
  <c r="H6075" i="5" s="1"/>
  <c r="J6076" i="5"/>
  <c r="H6076" i="5" s="1"/>
  <c r="J6077" i="5"/>
  <c r="H6077" i="5" s="1"/>
  <c r="J6078" i="5"/>
  <c r="H6078" i="5" s="1"/>
  <c r="J6079" i="5"/>
  <c r="H6079" i="5" s="1"/>
  <c r="J6080" i="5"/>
  <c r="H6080" i="5" s="1"/>
  <c r="J6081" i="5"/>
  <c r="H6081" i="5" s="1"/>
  <c r="J6082" i="5"/>
  <c r="H6082" i="5" s="1"/>
  <c r="J6083" i="5"/>
  <c r="H6083" i="5" s="1"/>
  <c r="J6084" i="5"/>
  <c r="H6084" i="5" s="1"/>
  <c r="J6085" i="5"/>
  <c r="H6085" i="5" s="1"/>
  <c r="J6086" i="5"/>
  <c r="H6086" i="5" s="1"/>
  <c r="J6087" i="5"/>
  <c r="H6087" i="5" s="1"/>
  <c r="J6088" i="5"/>
  <c r="H6088" i="5" s="1"/>
  <c r="J6089" i="5"/>
  <c r="H6089" i="5" s="1"/>
  <c r="J6090" i="5"/>
  <c r="H6090" i="5" s="1"/>
  <c r="J6091" i="5"/>
  <c r="H6091" i="5" s="1"/>
  <c r="J6092" i="5"/>
  <c r="H6092" i="5" s="1"/>
  <c r="J6093" i="5"/>
  <c r="H6093" i="5" s="1"/>
  <c r="J6094" i="5"/>
  <c r="H6094" i="5" s="1"/>
  <c r="J6095" i="5"/>
  <c r="H6095" i="5" s="1"/>
  <c r="J6096" i="5"/>
  <c r="H6096" i="5" s="1"/>
  <c r="J6097" i="5"/>
  <c r="H6097" i="5" s="1"/>
  <c r="J6098" i="5"/>
  <c r="H6098" i="5" s="1"/>
  <c r="J6099" i="5"/>
  <c r="H6099" i="5" s="1"/>
  <c r="J6100" i="5"/>
  <c r="H6100" i="5" s="1"/>
  <c r="J6101" i="5"/>
  <c r="H6101" i="5" s="1"/>
  <c r="J6102" i="5"/>
  <c r="H6102" i="5" s="1"/>
  <c r="J6103" i="5"/>
  <c r="H6103" i="5" s="1"/>
  <c r="J6104" i="5"/>
  <c r="H6104" i="5" s="1"/>
  <c r="J6105" i="5"/>
  <c r="H6105" i="5" s="1"/>
  <c r="J6106" i="5"/>
  <c r="H6106" i="5" s="1"/>
  <c r="J6107" i="5"/>
  <c r="H6107" i="5" s="1"/>
  <c r="J6108" i="5"/>
  <c r="H6108" i="5" s="1"/>
  <c r="J6109" i="5"/>
  <c r="H6109" i="5" s="1"/>
  <c r="J6110" i="5"/>
  <c r="H6110" i="5" s="1"/>
  <c r="J6111" i="5"/>
  <c r="H6111" i="5" s="1"/>
  <c r="J6112" i="5"/>
  <c r="H6112" i="5" s="1"/>
  <c r="J6113" i="5"/>
  <c r="H6113" i="5" s="1"/>
  <c r="J6114" i="5"/>
  <c r="H6114" i="5" s="1"/>
  <c r="J6115" i="5"/>
  <c r="H6115" i="5" s="1"/>
  <c r="J6116" i="5"/>
  <c r="H6116" i="5" s="1"/>
  <c r="J6117" i="5"/>
  <c r="H6117" i="5" s="1"/>
  <c r="J6118" i="5"/>
  <c r="H6118" i="5" s="1"/>
  <c r="J6119" i="5"/>
  <c r="H6119" i="5" s="1"/>
  <c r="J6120" i="5"/>
  <c r="H6120" i="5" s="1"/>
  <c r="J6121" i="5"/>
  <c r="H6121" i="5" s="1"/>
  <c r="J6122" i="5"/>
  <c r="H6122" i="5" s="1"/>
  <c r="J6123" i="5"/>
  <c r="H6123" i="5" s="1"/>
  <c r="J6124" i="5"/>
  <c r="H6124" i="5" s="1"/>
  <c r="J6125" i="5"/>
  <c r="H6125" i="5" s="1"/>
  <c r="J6126" i="5"/>
  <c r="H6126" i="5" s="1"/>
  <c r="J6127" i="5"/>
  <c r="H6127" i="5" s="1"/>
  <c r="J6128" i="5"/>
  <c r="H6128" i="5" s="1"/>
  <c r="J6129" i="5"/>
  <c r="H6129" i="5" s="1"/>
  <c r="J6130" i="5"/>
  <c r="H6130" i="5" s="1"/>
  <c r="J6131" i="5"/>
  <c r="H6131" i="5" s="1"/>
  <c r="J6132" i="5"/>
  <c r="H6132" i="5" s="1"/>
  <c r="J6133" i="5"/>
  <c r="H6133" i="5" s="1"/>
  <c r="J6134" i="5"/>
  <c r="H6134" i="5" s="1"/>
  <c r="J6135" i="5"/>
  <c r="H6135" i="5" s="1"/>
  <c r="J6136" i="5"/>
  <c r="H6136" i="5" s="1"/>
  <c r="J6137" i="5"/>
  <c r="H6137" i="5" s="1"/>
  <c r="J6138" i="5"/>
  <c r="H6138" i="5" s="1"/>
  <c r="J6139" i="5"/>
  <c r="H6139" i="5" s="1"/>
  <c r="J6140" i="5"/>
  <c r="H6140" i="5" s="1"/>
  <c r="J6141" i="5"/>
  <c r="H6141" i="5" s="1"/>
  <c r="J6142" i="5"/>
  <c r="H6142" i="5" s="1"/>
  <c r="J6143" i="5"/>
  <c r="H6143" i="5" s="1"/>
  <c r="J6144" i="5"/>
  <c r="H6144" i="5" s="1"/>
  <c r="J6145" i="5"/>
  <c r="H6145" i="5" s="1"/>
  <c r="J6146" i="5"/>
  <c r="H6146" i="5" s="1"/>
  <c r="J6147" i="5"/>
  <c r="H6147" i="5" s="1"/>
  <c r="J6148" i="5"/>
  <c r="H6148" i="5" s="1"/>
  <c r="J6149" i="5"/>
  <c r="H6149" i="5" s="1"/>
  <c r="J6150" i="5"/>
  <c r="H6150" i="5" s="1"/>
  <c r="J6151" i="5"/>
  <c r="H6151" i="5" s="1"/>
  <c r="J6152" i="5"/>
  <c r="H6152" i="5" s="1"/>
  <c r="J6153" i="5"/>
  <c r="H6153" i="5" s="1"/>
  <c r="J6154" i="5"/>
  <c r="H6154" i="5" s="1"/>
  <c r="J6155" i="5"/>
  <c r="H6155" i="5" s="1"/>
  <c r="J6156" i="5"/>
  <c r="H6156" i="5" s="1"/>
  <c r="J6157" i="5"/>
  <c r="H6157" i="5" s="1"/>
  <c r="J6158" i="5"/>
  <c r="H6158" i="5" s="1"/>
  <c r="J6159" i="5"/>
  <c r="H6159" i="5" s="1"/>
  <c r="J6160" i="5"/>
  <c r="H6160" i="5" s="1"/>
  <c r="J6161" i="5"/>
  <c r="H6161" i="5" s="1"/>
  <c r="J6162" i="5"/>
  <c r="H6162" i="5" s="1"/>
  <c r="J6163" i="5"/>
  <c r="H6163" i="5" s="1"/>
  <c r="J6164" i="5"/>
  <c r="H6164" i="5" s="1"/>
  <c r="J6165" i="5"/>
  <c r="H6165" i="5" s="1"/>
  <c r="J6166" i="5"/>
  <c r="H6166" i="5" s="1"/>
  <c r="J6167" i="5"/>
  <c r="H6167" i="5" s="1"/>
  <c r="J6168" i="5"/>
  <c r="H6168" i="5" s="1"/>
  <c r="J6169" i="5"/>
  <c r="H6169" i="5" s="1"/>
  <c r="J6170" i="5"/>
  <c r="H6170" i="5" s="1"/>
  <c r="J6171" i="5"/>
  <c r="H6171" i="5" s="1"/>
  <c r="J6172" i="5"/>
  <c r="H6172" i="5" s="1"/>
  <c r="J6173" i="5"/>
  <c r="H6173" i="5" s="1"/>
  <c r="J6174" i="5"/>
  <c r="H6174" i="5" s="1"/>
  <c r="J6175" i="5"/>
  <c r="H6175" i="5" s="1"/>
  <c r="J6176" i="5"/>
  <c r="H6176" i="5" s="1"/>
  <c r="J6177" i="5"/>
  <c r="H6177" i="5" s="1"/>
  <c r="J6178" i="5"/>
  <c r="H6178" i="5" s="1"/>
  <c r="J6179" i="5"/>
  <c r="H6179" i="5" s="1"/>
  <c r="J6180" i="5"/>
  <c r="H6180" i="5" s="1"/>
  <c r="J6181" i="5"/>
  <c r="H6181" i="5" s="1"/>
  <c r="J6182" i="5"/>
  <c r="H6182" i="5" s="1"/>
  <c r="J6183" i="5"/>
  <c r="H6183" i="5" s="1"/>
  <c r="J6184" i="5"/>
  <c r="H6184" i="5" s="1"/>
  <c r="J6185" i="5"/>
  <c r="H6185" i="5" s="1"/>
  <c r="J6186" i="5"/>
  <c r="H6186" i="5" s="1"/>
  <c r="J6187" i="5"/>
  <c r="H6187" i="5" s="1"/>
  <c r="J6188" i="5"/>
  <c r="H6188" i="5" s="1"/>
  <c r="J6189" i="5"/>
  <c r="H6189" i="5" s="1"/>
  <c r="J6190" i="5"/>
  <c r="H6190" i="5" s="1"/>
  <c r="J6191" i="5"/>
  <c r="H6191" i="5" s="1"/>
  <c r="J6192" i="5"/>
  <c r="H6192" i="5" s="1"/>
  <c r="J6193" i="5"/>
  <c r="H6193" i="5" s="1"/>
  <c r="J6194" i="5"/>
  <c r="H6194" i="5" s="1"/>
  <c r="J6195" i="5"/>
  <c r="H6195" i="5" s="1"/>
  <c r="J6196" i="5"/>
  <c r="H6196" i="5" s="1"/>
  <c r="J6197" i="5"/>
  <c r="H6197" i="5" s="1"/>
  <c r="J6198" i="5"/>
  <c r="H6198" i="5" s="1"/>
  <c r="J6199" i="5"/>
  <c r="H6199" i="5" s="1"/>
  <c r="J6200" i="5"/>
  <c r="H6200" i="5" s="1"/>
  <c r="J6201" i="5"/>
  <c r="H6201" i="5" s="1"/>
  <c r="J6202" i="5"/>
  <c r="H6202" i="5" s="1"/>
  <c r="J6203" i="5"/>
  <c r="H6203" i="5" s="1"/>
  <c r="J6204" i="5"/>
  <c r="H6204" i="5" s="1"/>
  <c r="J6205" i="5"/>
  <c r="H6205" i="5" s="1"/>
  <c r="J6206" i="5"/>
  <c r="H6206" i="5" s="1"/>
  <c r="J6207" i="5"/>
  <c r="H6207" i="5" s="1"/>
  <c r="J6208" i="5"/>
  <c r="H6208" i="5" s="1"/>
  <c r="J6209" i="5"/>
  <c r="H6209" i="5" s="1"/>
  <c r="J6210" i="5"/>
  <c r="H6210" i="5" s="1"/>
  <c r="J6211" i="5"/>
  <c r="H6211" i="5" s="1"/>
  <c r="J6212" i="5"/>
  <c r="H6212" i="5" s="1"/>
  <c r="J6213" i="5"/>
  <c r="H6213" i="5" s="1"/>
  <c r="J6214" i="5"/>
  <c r="H6214" i="5" s="1"/>
  <c r="J6215" i="5"/>
  <c r="H6215" i="5" s="1"/>
  <c r="J6216" i="5"/>
  <c r="H6216" i="5" s="1"/>
  <c r="J6217" i="5"/>
  <c r="H6217" i="5" s="1"/>
  <c r="J6218" i="5"/>
  <c r="H6218" i="5" s="1"/>
  <c r="J6219" i="5"/>
  <c r="H6219" i="5" s="1"/>
  <c r="J6220" i="5"/>
  <c r="H6220" i="5" s="1"/>
  <c r="J6221" i="5"/>
  <c r="H6221" i="5" s="1"/>
  <c r="J6222" i="5"/>
  <c r="H6222" i="5" s="1"/>
  <c r="J6223" i="5"/>
  <c r="H6223" i="5" s="1"/>
  <c r="J6224" i="5"/>
  <c r="H6224" i="5" s="1"/>
  <c r="J6225" i="5"/>
  <c r="H6225" i="5" s="1"/>
  <c r="J6226" i="5"/>
  <c r="H6226" i="5" s="1"/>
  <c r="J6227" i="5"/>
  <c r="H6227" i="5" s="1"/>
  <c r="J6228" i="5"/>
  <c r="H6228" i="5" s="1"/>
  <c r="J6229" i="5"/>
  <c r="H6229" i="5" s="1"/>
  <c r="J6230" i="5"/>
  <c r="H6230" i="5" s="1"/>
  <c r="J6231" i="5"/>
  <c r="H6231" i="5" s="1"/>
  <c r="J6232" i="5"/>
  <c r="H6232" i="5" s="1"/>
  <c r="J6233" i="5"/>
  <c r="H6233" i="5" s="1"/>
  <c r="J6234" i="5"/>
  <c r="H6234" i="5" s="1"/>
  <c r="J6235" i="5"/>
  <c r="H6235" i="5" s="1"/>
  <c r="J6236" i="5"/>
  <c r="H6236" i="5" s="1"/>
  <c r="J6237" i="5"/>
  <c r="H6237" i="5" s="1"/>
  <c r="J6238" i="5"/>
  <c r="H6238" i="5" s="1"/>
  <c r="J6239" i="5"/>
  <c r="H6239" i="5" s="1"/>
  <c r="J6240" i="5"/>
  <c r="H6240" i="5" s="1"/>
  <c r="J6241" i="5"/>
  <c r="H6241" i="5" s="1"/>
  <c r="J6242" i="5"/>
  <c r="H6242" i="5" s="1"/>
  <c r="J6243" i="5"/>
  <c r="H6243" i="5" s="1"/>
  <c r="J6244" i="5"/>
  <c r="H6244" i="5" s="1"/>
  <c r="J6245" i="5"/>
  <c r="H6245" i="5" s="1"/>
  <c r="J6246" i="5"/>
  <c r="H6246" i="5" s="1"/>
  <c r="J6247" i="5"/>
  <c r="H6247" i="5" s="1"/>
  <c r="J6248" i="5"/>
  <c r="H6248" i="5" s="1"/>
  <c r="J6249" i="5"/>
  <c r="H6249" i="5" s="1"/>
  <c r="J6250" i="5"/>
  <c r="H6250" i="5" s="1"/>
  <c r="J6251" i="5"/>
  <c r="H6251" i="5" s="1"/>
  <c r="J6252" i="5"/>
  <c r="H6252" i="5" s="1"/>
  <c r="J6253" i="5"/>
  <c r="H6253" i="5" s="1"/>
  <c r="J6254" i="5"/>
  <c r="H6254" i="5" s="1"/>
  <c r="J6255" i="5"/>
  <c r="H6255" i="5" s="1"/>
  <c r="J6256" i="5"/>
  <c r="H6256" i="5" s="1"/>
  <c r="J6257" i="5"/>
  <c r="H6257" i="5" s="1"/>
  <c r="J6258" i="5"/>
  <c r="H6258" i="5" s="1"/>
  <c r="J6259" i="5"/>
  <c r="H6259" i="5" s="1"/>
  <c r="J6260" i="5"/>
  <c r="H6260" i="5" s="1"/>
  <c r="J6261" i="5"/>
  <c r="H6261" i="5" s="1"/>
  <c r="J6262" i="5"/>
  <c r="H6262" i="5" s="1"/>
  <c r="J6263" i="5"/>
  <c r="H6263" i="5" s="1"/>
  <c r="J6264" i="5"/>
  <c r="H6264" i="5" s="1"/>
  <c r="J6265" i="5"/>
  <c r="H6265" i="5" s="1"/>
  <c r="J6266" i="5"/>
  <c r="H6266" i="5" s="1"/>
  <c r="J6267" i="5"/>
  <c r="H6267" i="5" s="1"/>
  <c r="J6268" i="5"/>
  <c r="H6268" i="5" s="1"/>
  <c r="J6269" i="5"/>
  <c r="H6269" i="5" s="1"/>
  <c r="J6270" i="5"/>
  <c r="H6270" i="5" s="1"/>
  <c r="J6271" i="5"/>
  <c r="H6271" i="5" s="1"/>
  <c r="J6272" i="5"/>
  <c r="H6272" i="5" s="1"/>
  <c r="J6273" i="5"/>
  <c r="H6273" i="5" s="1"/>
  <c r="J6274" i="5"/>
  <c r="H6274" i="5" s="1"/>
  <c r="J6275" i="5"/>
  <c r="H6275" i="5" s="1"/>
  <c r="J6276" i="5"/>
  <c r="H6276" i="5" s="1"/>
  <c r="J6277" i="5"/>
  <c r="H6277" i="5" s="1"/>
  <c r="J6278" i="5"/>
  <c r="H6278" i="5" s="1"/>
  <c r="J6279" i="5"/>
  <c r="H6279" i="5" s="1"/>
  <c r="J6280" i="5"/>
  <c r="H6280" i="5" s="1"/>
  <c r="J6281" i="5"/>
  <c r="H6281" i="5" s="1"/>
  <c r="J6282" i="5"/>
  <c r="H6282" i="5" s="1"/>
  <c r="J6283" i="5"/>
  <c r="H6283" i="5" s="1"/>
  <c r="J6284" i="5"/>
  <c r="H6284" i="5" s="1"/>
  <c r="J6285" i="5"/>
  <c r="H6285" i="5" s="1"/>
  <c r="J6286" i="5"/>
  <c r="H6286" i="5" s="1"/>
  <c r="J6287" i="5"/>
  <c r="H6287" i="5" s="1"/>
  <c r="J6288" i="5"/>
  <c r="H6288" i="5" s="1"/>
  <c r="J6289" i="5"/>
  <c r="H6289" i="5" s="1"/>
  <c r="J6290" i="5"/>
  <c r="H6290" i="5" s="1"/>
  <c r="J6291" i="5"/>
  <c r="H6291" i="5" s="1"/>
  <c r="J6292" i="5"/>
  <c r="H6292" i="5" s="1"/>
  <c r="J6293" i="5"/>
  <c r="H6293" i="5" s="1"/>
  <c r="J6294" i="5"/>
  <c r="H6294" i="5" s="1"/>
  <c r="J6295" i="5"/>
  <c r="H6295" i="5" s="1"/>
  <c r="J6296" i="5"/>
  <c r="H6296" i="5" s="1"/>
  <c r="J6297" i="5"/>
  <c r="H6297" i="5" s="1"/>
  <c r="J6298" i="5"/>
  <c r="H6298" i="5" s="1"/>
  <c r="J6299" i="5"/>
  <c r="H6299" i="5" s="1"/>
  <c r="J6300" i="5"/>
  <c r="H6300" i="5" s="1"/>
  <c r="J6301" i="5"/>
  <c r="H6301" i="5" s="1"/>
  <c r="J6302" i="5"/>
  <c r="H6302" i="5" s="1"/>
  <c r="J6303" i="5"/>
  <c r="H6303" i="5" s="1"/>
  <c r="J6304" i="5"/>
  <c r="H6304" i="5" s="1"/>
  <c r="J6305" i="5"/>
  <c r="H6305" i="5" s="1"/>
  <c r="J6306" i="5"/>
  <c r="H6306" i="5" s="1"/>
  <c r="J6307" i="5"/>
  <c r="H6307" i="5" s="1"/>
  <c r="J6308" i="5"/>
  <c r="H6308" i="5" s="1"/>
  <c r="J6309" i="5"/>
  <c r="H6309" i="5" s="1"/>
  <c r="J6310" i="5"/>
  <c r="H6310" i="5" s="1"/>
  <c r="J6311" i="5"/>
  <c r="H6311" i="5" s="1"/>
  <c r="J6312" i="5"/>
  <c r="H6312" i="5" s="1"/>
  <c r="J6313" i="5"/>
  <c r="H6313" i="5" s="1"/>
  <c r="J6314" i="5"/>
  <c r="H6314" i="5" s="1"/>
  <c r="J6315" i="5"/>
  <c r="H6315" i="5" s="1"/>
  <c r="J6316" i="5"/>
  <c r="H6316" i="5" s="1"/>
  <c r="J6317" i="5"/>
  <c r="H6317" i="5" s="1"/>
  <c r="J6318" i="5"/>
  <c r="H6318" i="5" s="1"/>
  <c r="J6319" i="5"/>
  <c r="H6319" i="5" s="1"/>
  <c r="J6320" i="5"/>
  <c r="H6320" i="5" s="1"/>
  <c r="J6321" i="5"/>
  <c r="H6321" i="5" s="1"/>
  <c r="J6322" i="5"/>
  <c r="H6322" i="5" s="1"/>
  <c r="J6323" i="5"/>
  <c r="H6323" i="5" s="1"/>
  <c r="J6324" i="5"/>
  <c r="H6324" i="5" s="1"/>
  <c r="J6325" i="5"/>
  <c r="H6325" i="5" s="1"/>
  <c r="J6326" i="5"/>
  <c r="H6326" i="5" s="1"/>
  <c r="J6327" i="5"/>
  <c r="H6327" i="5" s="1"/>
  <c r="J6328" i="5"/>
  <c r="H6328" i="5" s="1"/>
  <c r="J6329" i="5"/>
  <c r="H6329" i="5" s="1"/>
  <c r="J6330" i="5"/>
  <c r="H6330" i="5" s="1"/>
  <c r="J6331" i="5"/>
  <c r="H6331" i="5" s="1"/>
  <c r="J6332" i="5"/>
  <c r="H6332" i="5" s="1"/>
  <c r="J6333" i="5"/>
  <c r="H6333" i="5" s="1"/>
  <c r="J6334" i="5"/>
  <c r="H6334" i="5" s="1"/>
  <c r="J6335" i="5"/>
  <c r="H6335" i="5" s="1"/>
  <c r="J6336" i="5"/>
  <c r="H6336" i="5" s="1"/>
  <c r="J6337" i="5"/>
  <c r="H6337" i="5" s="1"/>
  <c r="J6338" i="5"/>
  <c r="H6338" i="5" s="1"/>
  <c r="J6339" i="5"/>
  <c r="H6339" i="5" s="1"/>
  <c r="J6340" i="5"/>
  <c r="H6340" i="5" s="1"/>
  <c r="J6341" i="5"/>
  <c r="H6341" i="5" s="1"/>
  <c r="J6342" i="5"/>
  <c r="H6342" i="5" s="1"/>
  <c r="J6343" i="5"/>
  <c r="H6343" i="5" s="1"/>
  <c r="J6344" i="5"/>
  <c r="H6344" i="5" s="1"/>
  <c r="J6345" i="5"/>
  <c r="H6345" i="5" s="1"/>
  <c r="J6346" i="5"/>
  <c r="H6346" i="5" s="1"/>
  <c r="J6347" i="5"/>
  <c r="H6347" i="5" s="1"/>
  <c r="J6348" i="5"/>
  <c r="H6348" i="5" s="1"/>
  <c r="J6349" i="5"/>
  <c r="H6349" i="5" s="1"/>
  <c r="J6350" i="5"/>
  <c r="H6350" i="5" s="1"/>
  <c r="J6351" i="5"/>
  <c r="H6351" i="5" s="1"/>
  <c r="J6352" i="5"/>
  <c r="H6352" i="5" s="1"/>
  <c r="J6353" i="5"/>
  <c r="H6353" i="5" s="1"/>
  <c r="J6354" i="5"/>
  <c r="H6354" i="5" s="1"/>
  <c r="J6355" i="5"/>
  <c r="H6355" i="5" s="1"/>
  <c r="J6356" i="5"/>
  <c r="H6356" i="5" s="1"/>
  <c r="J6357" i="5"/>
  <c r="H6357" i="5" s="1"/>
  <c r="J6358" i="5"/>
  <c r="H6358" i="5" s="1"/>
  <c r="J6359" i="5"/>
  <c r="H6359" i="5" s="1"/>
  <c r="J6360" i="5"/>
  <c r="H6360" i="5" s="1"/>
  <c r="J6361" i="5"/>
  <c r="H6361" i="5" s="1"/>
  <c r="J6362" i="5"/>
  <c r="H6362" i="5" s="1"/>
  <c r="J6363" i="5"/>
  <c r="H6363" i="5" s="1"/>
  <c r="J6364" i="5"/>
  <c r="H6364" i="5" s="1"/>
  <c r="J6365" i="5"/>
  <c r="H6365" i="5" s="1"/>
  <c r="J6366" i="5"/>
  <c r="H6366" i="5" s="1"/>
  <c r="J6367" i="5"/>
  <c r="H6367" i="5" s="1"/>
  <c r="J6368" i="5"/>
  <c r="H6368" i="5" s="1"/>
  <c r="J6369" i="5"/>
  <c r="H6369" i="5" s="1"/>
  <c r="J6370" i="5"/>
  <c r="H6370" i="5" s="1"/>
  <c r="J6371" i="5"/>
  <c r="H6371" i="5" s="1"/>
  <c r="J6372" i="5"/>
  <c r="H6372" i="5" s="1"/>
  <c r="J6373" i="5"/>
  <c r="H6373" i="5" s="1"/>
  <c r="J6374" i="5"/>
  <c r="H6374" i="5" s="1"/>
  <c r="J6375" i="5"/>
  <c r="H6375" i="5" s="1"/>
  <c r="J6376" i="5"/>
  <c r="H6376" i="5" s="1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D1773" i="7"/>
  <c r="D1774" i="7"/>
  <c r="D1775" i="7"/>
  <c r="D1776" i="7"/>
  <c r="D1777" i="7"/>
  <c r="D1778" i="7"/>
  <c r="D1779" i="7"/>
  <c r="D1780" i="7"/>
  <c r="D1781" i="7"/>
  <c r="D1782" i="7"/>
  <c r="D1783" i="7"/>
  <c r="D1784" i="7"/>
  <c r="D1785" i="7"/>
  <c r="D1786" i="7"/>
  <c r="D1787" i="7"/>
  <c r="D1788" i="7"/>
  <c r="D1789" i="7"/>
  <c r="D1790" i="7"/>
  <c r="D1791" i="7"/>
  <c r="D1792" i="7"/>
  <c r="D1793" i="7"/>
  <c r="D1794" i="7"/>
  <c r="D1795" i="7"/>
  <c r="D1796" i="7"/>
  <c r="D1797" i="7"/>
  <c r="D1798" i="7"/>
  <c r="D1799" i="7"/>
  <c r="D1800" i="7"/>
  <c r="D1801" i="7"/>
  <c r="D1802" i="7"/>
  <c r="D1803" i="7"/>
  <c r="D1804" i="7"/>
  <c r="D1805" i="7"/>
  <c r="D1806" i="7"/>
  <c r="D1807" i="7"/>
  <c r="D1808" i="7"/>
  <c r="D1809" i="7"/>
  <c r="D1810" i="7"/>
  <c r="D1811" i="7"/>
  <c r="D1812" i="7"/>
  <c r="D1813" i="7"/>
  <c r="D1814" i="7"/>
  <c r="D1815" i="7"/>
  <c r="D1816" i="7"/>
  <c r="D1817" i="7"/>
  <c r="D1818" i="7"/>
  <c r="D1819" i="7"/>
  <c r="D1820" i="7"/>
  <c r="D1821" i="7"/>
  <c r="D1822" i="7"/>
  <c r="D1823" i="7"/>
  <c r="D1824" i="7"/>
  <c r="D1825" i="7"/>
  <c r="D1826" i="7"/>
  <c r="D1827" i="7"/>
  <c r="D1828" i="7"/>
  <c r="D1829" i="7"/>
  <c r="D1830" i="7"/>
  <c r="D1831" i="7"/>
  <c r="D1832" i="7"/>
  <c r="D1833" i="7"/>
  <c r="D1834" i="7"/>
  <c r="D1835" i="7"/>
  <c r="D1836" i="7"/>
  <c r="D1837" i="7"/>
  <c r="D1838" i="7"/>
  <c r="D1839" i="7"/>
  <c r="D1840" i="7"/>
  <c r="D1841" i="7"/>
  <c r="D1842" i="7"/>
  <c r="D1843" i="7"/>
  <c r="D1844" i="7"/>
  <c r="D1845" i="7"/>
  <c r="D1846" i="7"/>
  <c r="D1847" i="7"/>
  <c r="D1848" i="7"/>
  <c r="D1849" i="7"/>
  <c r="D1850" i="7"/>
  <c r="D1851" i="7"/>
  <c r="D1852" i="7"/>
  <c r="D1853" i="7"/>
  <c r="D1854" i="7"/>
  <c r="D1855" i="7"/>
  <c r="D1856" i="7"/>
  <c r="D1857" i="7"/>
  <c r="D1858" i="7"/>
  <c r="D1859" i="7"/>
  <c r="D1860" i="7"/>
  <c r="D1861" i="7"/>
  <c r="D1862" i="7"/>
  <c r="D1863" i="7"/>
  <c r="D1864" i="7"/>
  <c r="D1865" i="7"/>
  <c r="D1866" i="7"/>
  <c r="D1867" i="7"/>
  <c r="D1868" i="7"/>
  <c r="D1869" i="7"/>
  <c r="D1870" i="7"/>
  <c r="D1871" i="7"/>
  <c r="D1872" i="7"/>
  <c r="D1873" i="7"/>
  <c r="D1874" i="7"/>
  <c r="D1875" i="7"/>
  <c r="D1876" i="7"/>
  <c r="D1877" i="7"/>
  <c r="D1878" i="7"/>
  <c r="D1879" i="7"/>
  <c r="D1880" i="7"/>
  <c r="D1881" i="7"/>
  <c r="D1882" i="7"/>
  <c r="D1883" i="7"/>
  <c r="D1884" i="7"/>
  <c r="D1885" i="7"/>
  <c r="D1886" i="7"/>
  <c r="D1887" i="7"/>
  <c r="D1888" i="7"/>
  <c r="D1889" i="7"/>
  <c r="D1890" i="7"/>
  <c r="D1891" i="7"/>
  <c r="D1892" i="7"/>
  <c r="D1893" i="7"/>
  <c r="D1894" i="7"/>
  <c r="D1895" i="7"/>
  <c r="D1896" i="7"/>
  <c r="D1897" i="7"/>
  <c r="D1898" i="7"/>
  <c r="D1899" i="7"/>
  <c r="D1900" i="7"/>
  <c r="D1901" i="7"/>
  <c r="D1902" i="7"/>
  <c r="D1903" i="7"/>
  <c r="D1904" i="7"/>
  <c r="D1905" i="7"/>
  <c r="D1906" i="7"/>
  <c r="D1907" i="7"/>
  <c r="D1908" i="7"/>
  <c r="D1909" i="7"/>
  <c r="D1910" i="7"/>
  <c r="D1911" i="7"/>
  <c r="D1912" i="7"/>
  <c r="D1913" i="7"/>
  <c r="D1914" i="7"/>
  <c r="D1915" i="7"/>
  <c r="D1916" i="7"/>
  <c r="D1917" i="7"/>
  <c r="D1918" i="7"/>
  <c r="D1919" i="7"/>
  <c r="D1920" i="7"/>
  <c r="D1921" i="7"/>
  <c r="D1922" i="7"/>
  <c r="D1923" i="7"/>
  <c r="D1924" i="7"/>
  <c r="D1925" i="7"/>
  <c r="D1926" i="7"/>
  <c r="D1927" i="7"/>
  <c r="D1928" i="7"/>
  <c r="D1929" i="7"/>
  <c r="D1930" i="7"/>
  <c r="D1931" i="7"/>
  <c r="D1932" i="7"/>
  <c r="D1933" i="7"/>
  <c r="D1934" i="7"/>
  <c r="D1935" i="7"/>
  <c r="D1936" i="7"/>
  <c r="D1937" i="7"/>
  <c r="D1938" i="7"/>
  <c r="D1939" i="7"/>
  <c r="D1940" i="7"/>
  <c r="D1941" i="7"/>
  <c r="D1942" i="7"/>
  <c r="D1943" i="7"/>
  <c r="D1944" i="7"/>
  <c r="D1945" i="7"/>
  <c r="D1946" i="7"/>
  <c r="D1947" i="7"/>
  <c r="D1948" i="7"/>
  <c r="D1949" i="7"/>
  <c r="D1950" i="7"/>
  <c r="D1951" i="7"/>
  <c r="D1952" i="7"/>
  <c r="D1953" i="7"/>
  <c r="D1954" i="7"/>
  <c r="D1955" i="7"/>
  <c r="D1956" i="7"/>
  <c r="D1957" i="7"/>
  <c r="D1958" i="7"/>
  <c r="D1959" i="7"/>
  <c r="D1960" i="7"/>
  <c r="D1961" i="7"/>
  <c r="D1962" i="7"/>
  <c r="D1963" i="7"/>
  <c r="D1964" i="7"/>
  <c r="D1965" i="7"/>
  <c r="D1966" i="7"/>
  <c r="D1967" i="7"/>
  <c r="D1968" i="7"/>
  <c r="D1969" i="7"/>
  <c r="D1970" i="7"/>
  <c r="D1971" i="7"/>
  <c r="D1972" i="7"/>
  <c r="D1973" i="7"/>
  <c r="D1974" i="7"/>
  <c r="D1975" i="7"/>
  <c r="D1976" i="7"/>
  <c r="D1977" i="7"/>
  <c r="D1978" i="7"/>
  <c r="D1979" i="7"/>
  <c r="D1980" i="7"/>
  <c r="D1981" i="7"/>
  <c r="D1982" i="7"/>
  <c r="D1983" i="7"/>
  <c r="D1984" i="7"/>
  <c r="D1985" i="7"/>
  <c r="D1986" i="7"/>
  <c r="D1987" i="7"/>
  <c r="D1988" i="7"/>
  <c r="D1989" i="7"/>
  <c r="D1990" i="7"/>
  <c r="D1991" i="7"/>
  <c r="D1992" i="7"/>
  <c r="D1993" i="7"/>
  <c r="D1994" i="7"/>
  <c r="D1995" i="7"/>
  <c r="D1996" i="7"/>
  <c r="D1997" i="7"/>
  <c r="D1998" i="7"/>
  <c r="D1999" i="7"/>
  <c r="D2000" i="7"/>
  <c r="D2001" i="7"/>
  <c r="D2002" i="7"/>
  <c r="D2003" i="7"/>
  <c r="D2004" i="7"/>
  <c r="D2005" i="7"/>
  <c r="D2006" i="7"/>
  <c r="D2007" i="7"/>
  <c r="D2008" i="7"/>
  <c r="D2009" i="7"/>
  <c r="D2010" i="7"/>
  <c r="D2011" i="7"/>
  <c r="D2012" i="7"/>
  <c r="D2013" i="7"/>
  <c r="D2014" i="7"/>
  <c r="D2015" i="7"/>
  <c r="D2016" i="7"/>
  <c r="D2017" i="7"/>
  <c r="D2018" i="7"/>
  <c r="D2019" i="7"/>
  <c r="D2020" i="7"/>
  <c r="D2021" i="7"/>
  <c r="D2022" i="7"/>
  <c r="D2023" i="7"/>
  <c r="D2024" i="7"/>
  <c r="D2025" i="7"/>
  <c r="D2026" i="7"/>
  <c r="D2027" i="7"/>
  <c r="D2028" i="7"/>
  <c r="D2029" i="7"/>
  <c r="D2030" i="7"/>
  <c r="D2031" i="7"/>
  <c r="D2032" i="7"/>
  <c r="D2033" i="7"/>
  <c r="D2034" i="7"/>
  <c r="D2035" i="7"/>
  <c r="D2036" i="7"/>
  <c r="D2037" i="7"/>
  <c r="D2038" i="7"/>
  <c r="D2039" i="7"/>
  <c r="D2040" i="7"/>
  <c r="D2041" i="7"/>
  <c r="D2042" i="7"/>
  <c r="D2043" i="7"/>
  <c r="D2044" i="7"/>
  <c r="D2045" i="7"/>
  <c r="D2046" i="7"/>
  <c r="D2047" i="7"/>
  <c r="D2048" i="7"/>
  <c r="D2049" i="7"/>
  <c r="D2050" i="7"/>
  <c r="D2051" i="7"/>
  <c r="D2052" i="7"/>
  <c r="D2053" i="7"/>
  <c r="D2054" i="7"/>
  <c r="D2055" i="7"/>
  <c r="D2056" i="7"/>
  <c r="D2057" i="7"/>
  <c r="D2058" i="7"/>
  <c r="D2059" i="7"/>
  <c r="D2060" i="7"/>
  <c r="D2061" i="7"/>
  <c r="D2062" i="7"/>
  <c r="D2063" i="7"/>
  <c r="D2064" i="7"/>
  <c r="D2065" i="7"/>
  <c r="D2066" i="7"/>
  <c r="D2067" i="7"/>
  <c r="D2068" i="7"/>
  <c r="D2069" i="7"/>
  <c r="D2070" i="7"/>
  <c r="D2071" i="7"/>
  <c r="D2072" i="7"/>
  <c r="D2073" i="7"/>
  <c r="D2074" i="7"/>
  <c r="D2075" i="7"/>
  <c r="D2076" i="7"/>
  <c r="D2077" i="7"/>
  <c r="D2078" i="7"/>
  <c r="D2079" i="7"/>
  <c r="D2080" i="7"/>
  <c r="D2081" i="7"/>
  <c r="D2082" i="7"/>
  <c r="D2083" i="7"/>
  <c r="D2084" i="7"/>
  <c r="D2085" i="7"/>
  <c r="D2086" i="7"/>
  <c r="D2087" i="7"/>
  <c r="D2088" i="7"/>
  <c r="D2089" i="7"/>
  <c r="D2090" i="7"/>
  <c r="D2091" i="7"/>
  <c r="D2092" i="7"/>
  <c r="D2093" i="7"/>
  <c r="D2094" i="7"/>
  <c r="D2095" i="7"/>
  <c r="D2096" i="7"/>
  <c r="D2097" i="7"/>
  <c r="D2098" i="7"/>
  <c r="D2099" i="7"/>
  <c r="D2100" i="7"/>
  <c r="D2101" i="7"/>
  <c r="D2102" i="7"/>
  <c r="D2103" i="7"/>
  <c r="D2104" i="7"/>
  <c r="D2105" i="7"/>
  <c r="D2106" i="7"/>
  <c r="D2107" i="7"/>
  <c r="D2108" i="7"/>
  <c r="D2109" i="7"/>
  <c r="D2110" i="7"/>
  <c r="D2111" i="7"/>
  <c r="D2112" i="7"/>
  <c r="D2113" i="7"/>
  <c r="D2114" i="7"/>
  <c r="D2115" i="7"/>
  <c r="D2116" i="7"/>
  <c r="D2117" i="7"/>
  <c r="D2118" i="7"/>
  <c r="D2119" i="7"/>
  <c r="D2120" i="7"/>
  <c r="D2121" i="7"/>
  <c r="D2122" i="7"/>
  <c r="D2123" i="7"/>
  <c r="D2124" i="7"/>
  <c r="D2125" i="7"/>
  <c r="D2126" i="7"/>
  <c r="D2127" i="7"/>
  <c r="D2128" i="7"/>
  <c r="D2129" i="7"/>
  <c r="D2130" i="7"/>
  <c r="D2131" i="7"/>
  <c r="D2132" i="7"/>
  <c r="D2133" i="7"/>
  <c r="D2134" i="7"/>
  <c r="D2135" i="7"/>
  <c r="D2136" i="7"/>
  <c r="D2137" i="7"/>
  <c r="D2138" i="7"/>
  <c r="D2139" i="7"/>
  <c r="D2140" i="7"/>
  <c r="D2141" i="7"/>
  <c r="D2142" i="7"/>
  <c r="D2143" i="7"/>
  <c r="D2144" i="7"/>
  <c r="D2145" i="7"/>
  <c r="D2146" i="7"/>
  <c r="D2147" i="7"/>
  <c r="D2148" i="7"/>
  <c r="D2149" i="7"/>
  <c r="D2150" i="7"/>
  <c r="D2151" i="7"/>
  <c r="D2152" i="7"/>
  <c r="D2153" i="7"/>
  <c r="D2154" i="7"/>
  <c r="D2155" i="7"/>
  <c r="D2156" i="7"/>
  <c r="D2157" i="7"/>
  <c r="D2158" i="7"/>
  <c r="D2159" i="7"/>
  <c r="D2160" i="7"/>
  <c r="D2161" i="7"/>
  <c r="D2162" i="7"/>
  <c r="D2163" i="7"/>
  <c r="D2164" i="7"/>
  <c r="D2165" i="7"/>
  <c r="D2166" i="7"/>
  <c r="D2167" i="7"/>
  <c r="D2168" i="7"/>
  <c r="D2169" i="7"/>
  <c r="D2170" i="7"/>
  <c r="D2171" i="7"/>
  <c r="D2172" i="7"/>
  <c r="D2173" i="7"/>
  <c r="D2174" i="7"/>
  <c r="D2175" i="7"/>
  <c r="D2176" i="7"/>
  <c r="D2177" i="7"/>
  <c r="D2178" i="7"/>
  <c r="D2179" i="7"/>
  <c r="D2180" i="7"/>
  <c r="D2181" i="7"/>
  <c r="D2182" i="7"/>
  <c r="D2183" i="7"/>
  <c r="D2184" i="7"/>
  <c r="D2185" i="7"/>
  <c r="D2186" i="7"/>
  <c r="D2187" i="7"/>
  <c r="D2188" i="7"/>
  <c r="D2189" i="7"/>
  <c r="D2190" i="7"/>
  <c r="D2191" i="7"/>
  <c r="D2192" i="7"/>
  <c r="D2193" i="7"/>
  <c r="D2194" i="7"/>
  <c r="D2195" i="7"/>
  <c r="D2196" i="7"/>
  <c r="D2197" i="7"/>
  <c r="D2198" i="7"/>
  <c r="D2199" i="7"/>
  <c r="D2200" i="7"/>
  <c r="D2201" i="7"/>
  <c r="D2202" i="7"/>
  <c r="D2203" i="7"/>
  <c r="D2204" i="7"/>
  <c r="D2205" i="7"/>
  <c r="D2206" i="7"/>
  <c r="D2207" i="7"/>
  <c r="D2208" i="7"/>
  <c r="D2209" i="7"/>
  <c r="D2210" i="7"/>
  <c r="D2211" i="7"/>
  <c r="D2212" i="7"/>
  <c r="D2213" i="7"/>
  <c r="D2214" i="7"/>
  <c r="D2215" i="7"/>
  <c r="D2216" i="7"/>
  <c r="D2217" i="7"/>
  <c r="D2218" i="7"/>
  <c r="D2219" i="7"/>
  <c r="D2220" i="7"/>
  <c r="D2221" i="7"/>
  <c r="D2222" i="7"/>
  <c r="D2223" i="7"/>
  <c r="D2224" i="7"/>
  <c r="D2225" i="7"/>
  <c r="D2226" i="7"/>
  <c r="D2227" i="7"/>
  <c r="D2228" i="7"/>
  <c r="D2229" i="7"/>
  <c r="D2230" i="7"/>
  <c r="D2231" i="7"/>
  <c r="D2232" i="7"/>
  <c r="D2233" i="7"/>
  <c r="D2234" i="7"/>
  <c r="D2235" i="7"/>
  <c r="D2236" i="7"/>
  <c r="D2237" i="7"/>
  <c r="D2238" i="7"/>
  <c r="D2239" i="7"/>
  <c r="D2240" i="7"/>
  <c r="D2241" i="7"/>
  <c r="D2242" i="7"/>
  <c r="D2243" i="7"/>
  <c r="D2244" i="7"/>
  <c r="D2245" i="7"/>
  <c r="D2246" i="7"/>
  <c r="D2247" i="7"/>
  <c r="D2248" i="7"/>
  <c r="D2249" i="7"/>
  <c r="D2250" i="7"/>
  <c r="D2251" i="7"/>
  <c r="D2252" i="7"/>
  <c r="D2253" i="7"/>
  <c r="D2254" i="7"/>
  <c r="D2255" i="7"/>
  <c r="D2256" i="7"/>
  <c r="D2257" i="7"/>
  <c r="D2258" i="7"/>
  <c r="D2259" i="7"/>
  <c r="D2260" i="7"/>
  <c r="D2261" i="7"/>
  <c r="D2262" i="7"/>
  <c r="D2263" i="7"/>
  <c r="D2264" i="7"/>
  <c r="D2265" i="7"/>
  <c r="D2266" i="7"/>
  <c r="D2267" i="7"/>
  <c r="D2268" i="7"/>
  <c r="D2269" i="7"/>
  <c r="D2270" i="7"/>
  <c r="D2271" i="7"/>
  <c r="D2272" i="7"/>
  <c r="D2273" i="7"/>
  <c r="D2274" i="7"/>
  <c r="D2275" i="7"/>
  <c r="D2276" i="7"/>
  <c r="D2277" i="7"/>
  <c r="D2278" i="7"/>
  <c r="D2279" i="7"/>
  <c r="D2280" i="7"/>
  <c r="D2281" i="7"/>
  <c r="D2282" i="7"/>
  <c r="D2283" i="7"/>
  <c r="D2284" i="7"/>
  <c r="D2285" i="7"/>
  <c r="D2286" i="7"/>
  <c r="D2287" i="7"/>
  <c r="D2288" i="7"/>
  <c r="D2289" i="7"/>
  <c r="D2290" i="7"/>
  <c r="D2291" i="7"/>
  <c r="D2292" i="7"/>
  <c r="D2293" i="7"/>
  <c r="D2294" i="7"/>
  <c r="D2295" i="7"/>
  <c r="D2296" i="7"/>
  <c r="D2297" i="7"/>
  <c r="D2298" i="7"/>
  <c r="D2299" i="7"/>
  <c r="D2300" i="7"/>
  <c r="D2301" i="7"/>
  <c r="D2302" i="7"/>
  <c r="D2303" i="7"/>
  <c r="D2304" i="7"/>
  <c r="D2305" i="7"/>
  <c r="D2306" i="7"/>
  <c r="D2307" i="7"/>
  <c r="D2308" i="7"/>
  <c r="D2309" i="7"/>
  <c r="D2310" i="7"/>
  <c r="D2311" i="7"/>
  <c r="D2312" i="7"/>
  <c r="D2313" i="7"/>
  <c r="D2314" i="7"/>
  <c r="D2315" i="7"/>
  <c r="D2316" i="7"/>
  <c r="D2317" i="7"/>
  <c r="D2318" i="7"/>
  <c r="D2319" i="7"/>
  <c r="D2320" i="7"/>
  <c r="D2321" i="7"/>
  <c r="D2322" i="7"/>
  <c r="D2323" i="7"/>
  <c r="D2324" i="7"/>
  <c r="D2325" i="7"/>
  <c r="D2326" i="7"/>
  <c r="D2327" i="7"/>
  <c r="D2328" i="7"/>
  <c r="D2329" i="7"/>
  <c r="D2330" i="7"/>
  <c r="D2331" i="7"/>
  <c r="D2332" i="7"/>
  <c r="D2333" i="7"/>
  <c r="D2334" i="7"/>
  <c r="D2335" i="7"/>
  <c r="D2336" i="7"/>
  <c r="D2337" i="7"/>
  <c r="D2338" i="7"/>
  <c r="D2339" i="7"/>
  <c r="D2340" i="7"/>
  <c r="D2341" i="7"/>
  <c r="D2342" i="7"/>
  <c r="D2343" i="7"/>
  <c r="D2344" i="7"/>
  <c r="D2345" i="7"/>
  <c r="D2346" i="7"/>
  <c r="D2347" i="7"/>
  <c r="D2348" i="7"/>
  <c r="D2349" i="7"/>
  <c r="D2350" i="7"/>
  <c r="D2351" i="7"/>
  <c r="D2352" i="7"/>
  <c r="D2353" i="7"/>
  <c r="D2354" i="7"/>
  <c r="D2355" i="7"/>
  <c r="D2356" i="7"/>
  <c r="D2357" i="7"/>
  <c r="D2358" i="7"/>
  <c r="D2359" i="7"/>
  <c r="D2360" i="7"/>
  <c r="D2361" i="7"/>
  <c r="D2362" i="7"/>
  <c r="D2363" i="7"/>
  <c r="D2364" i="7"/>
  <c r="D2365" i="7"/>
  <c r="D2366" i="7"/>
  <c r="D2367" i="7"/>
  <c r="D2368" i="7"/>
  <c r="D2369" i="7"/>
  <c r="D2370" i="7"/>
  <c r="D2371" i="7"/>
  <c r="D2372" i="7"/>
  <c r="D2373" i="7"/>
  <c r="D2374" i="7"/>
  <c r="D2375" i="7"/>
  <c r="D2376" i="7"/>
  <c r="D2377" i="7"/>
  <c r="D2378" i="7"/>
  <c r="D2379" i="7"/>
  <c r="D2380" i="7"/>
  <c r="D2381" i="7"/>
  <c r="D2382" i="7"/>
  <c r="D2383" i="7"/>
  <c r="D2384" i="7"/>
  <c r="D2385" i="7"/>
  <c r="D2386" i="7"/>
  <c r="D2387" i="7"/>
  <c r="D2388" i="7"/>
  <c r="D2389" i="7"/>
  <c r="D2390" i="7"/>
  <c r="D2391" i="7"/>
  <c r="D2392" i="7"/>
  <c r="D2393" i="7"/>
  <c r="D2394" i="7"/>
  <c r="D2395" i="7"/>
  <c r="D2396" i="7"/>
  <c r="D2397" i="7"/>
  <c r="D2398" i="7"/>
  <c r="D2399" i="7"/>
  <c r="D2400" i="7"/>
  <c r="D2401" i="7"/>
  <c r="D2402" i="7"/>
  <c r="D2403" i="7"/>
  <c r="D2404" i="7"/>
  <c r="D2405" i="7"/>
  <c r="D2406" i="7"/>
  <c r="D2407" i="7"/>
  <c r="D2408" i="7"/>
  <c r="D2409" i="7"/>
  <c r="D2410" i="7"/>
  <c r="D2411" i="7"/>
  <c r="D2412" i="7"/>
  <c r="D2413" i="7"/>
  <c r="D2414" i="7"/>
  <c r="D2415" i="7"/>
  <c r="D2416" i="7"/>
  <c r="D2417" i="7"/>
  <c r="D2418" i="7"/>
  <c r="D2419" i="7"/>
  <c r="D2420" i="7"/>
  <c r="D2421" i="7"/>
  <c r="D2422" i="7"/>
  <c r="D2423" i="7"/>
  <c r="D2424" i="7"/>
  <c r="D2425" i="7"/>
  <c r="D2426" i="7"/>
  <c r="D2427" i="7"/>
  <c r="D2428" i="7"/>
  <c r="D2429" i="7"/>
  <c r="D2430" i="7"/>
  <c r="D2431" i="7"/>
  <c r="D2432" i="7"/>
  <c r="D2433" i="7"/>
  <c r="D2434" i="7"/>
  <c r="D2435" i="7"/>
  <c r="D2436" i="7"/>
  <c r="D2437" i="7"/>
  <c r="D2438" i="7"/>
  <c r="D2439" i="7"/>
  <c r="D2440" i="7"/>
  <c r="D2441" i="7"/>
  <c r="D2442" i="7"/>
  <c r="D2443" i="7"/>
  <c r="D2444" i="7"/>
  <c r="D2445" i="7"/>
  <c r="D2446" i="7"/>
  <c r="D2447" i="7"/>
  <c r="D2448" i="7"/>
  <c r="D2449" i="7"/>
  <c r="D2450" i="7"/>
  <c r="D2451" i="7"/>
  <c r="D2452" i="7"/>
  <c r="D2453" i="7"/>
  <c r="D2454" i="7"/>
  <c r="D2455" i="7"/>
  <c r="D2456" i="7"/>
  <c r="D2457" i="7"/>
  <c r="D2458" i="7"/>
  <c r="D2459" i="7"/>
  <c r="D2460" i="7"/>
  <c r="D2461" i="7"/>
  <c r="D2462" i="7"/>
  <c r="D2463" i="7"/>
  <c r="D2464" i="7"/>
  <c r="D2465" i="7"/>
  <c r="D2466" i="7"/>
  <c r="D2467" i="7"/>
  <c r="D2468" i="7"/>
  <c r="D2469" i="7"/>
  <c r="D2470" i="7"/>
  <c r="D2471" i="7"/>
  <c r="D2472" i="7"/>
  <c r="D2473" i="7"/>
  <c r="D2474" i="7"/>
  <c r="D2475" i="7"/>
  <c r="D2476" i="7"/>
  <c r="D2477" i="7"/>
  <c r="D2478" i="7"/>
  <c r="D2479" i="7"/>
  <c r="D2480" i="7"/>
  <c r="D2481" i="7"/>
  <c r="D2482" i="7"/>
  <c r="D2483" i="7"/>
  <c r="D2484" i="7"/>
  <c r="D2485" i="7"/>
  <c r="D2486" i="7"/>
  <c r="D2487" i="7"/>
  <c r="D2488" i="7"/>
  <c r="D2489" i="7"/>
  <c r="D2490" i="7"/>
  <c r="D2491" i="7"/>
  <c r="D2492" i="7"/>
  <c r="D2493" i="7"/>
  <c r="D2494" i="7"/>
  <c r="D2495" i="7"/>
  <c r="D2496" i="7"/>
  <c r="D2497" i="7"/>
  <c r="D2498" i="7"/>
  <c r="D2499" i="7"/>
  <c r="D2500" i="7"/>
  <c r="D2501" i="7"/>
  <c r="D2502" i="7"/>
  <c r="D2503" i="7"/>
  <c r="D2504" i="7"/>
  <c r="D2505" i="7"/>
  <c r="D2506" i="7"/>
  <c r="D2507" i="7"/>
  <c r="D2508" i="7"/>
  <c r="D2509" i="7"/>
  <c r="D2510" i="7"/>
  <c r="D2511" i="7"/>
  <c r="D2512" i="7"/>
  <c r="D2513" i="7"/>
  <c r="D2514" i="7"/>
  <c r="D2515" i="7"/>
  <c r="D2516" i="7"/>
  <c r="D2517" i="7"/>
  <c r="D2518" i="7"/>
  <c r="D2519" i="7"/>
  <c r="D2520" i="7"/>
  <c r="D2521" i="7"/>
  <c r="D2522" i="7"/>
  <c r="D2523" i="7"/>
  <c r="D2524" i="7"/>
  <c r="D2525" i="7"/>
  <c r="D2526" i="7"/>
  <c r="D2527" i="7"/>
  <c r="D2528" i="7"/>
  <c r="D2529" i="7"/>
  <c r="D2530" i="7"/>
  <c r="D2531" i="7"/>
  <c r="D2532" i="7"/>
  <c r="D2533" i="7"/>
  <c r="D2534" i="7"/>
  <c r="D2535" i="7"/>
  <c r="D2536" i="7"/>
  <c r="D2537" i="7"/>
  <c r="D2538" i="7"/>
  <c r="D2539" i="7"/>
  <c r="D2540" i="7"/>
  <c r="D2541" i="7"/>
  <c r="D2542" i="7"/>
  <c r="D2543" i="7"/>
  <c r="D2544" i="7"/>
  <c r="D2545" i="7"/>
  <c r="D2546" i="7"/>
  <c r="D2547" i="7"/>
  <c r="D2548" i="7"/>
  <c r="D2549" i="7"/>
  <c r="D2550" i="7"/>
  <c r="D2551" i="7"/>
  <c r="D2552" i="7"/>
  <c r="D2553" i="7"/>
  <c r="D2554" i="7"/>
  <c r="D2555" i="7"/>
  <c r="D2556" i="7"/>
  <c r="D2557" i="7"/>
  <c r="D2558" i="7"/>
  <c r="D2559" i="7"/>
  <c r="D2560" i="7"/>
  <c r="D2561" i="7"/>
  <c r="D2562" i="7"/>
  <c r="D2563" i="7"/>
  <c r="D2564" i="7"/>
  <c r="D2565" i="7"/>
  <c r="D2566" i="7"/>
  <c r="D2567" i="7"/>
  <c r="D2568" i="7"/>
  <c r="D2569" i="7"/>
  <c r="D2570" i="7"/>
  <c r="D2571" i="7"/>
  <c r="D2572" i="7"/>
  <c r="D2573" i="7"/>
  <c r="D2574" i="7"/>
  <c r="D2575" i="7"/>
  <c r="D2576" i="7"/>
  <c r="D2577" i="7"/>
  <c r="D2578" i="7"/>
  <c r="D2579" i="7"/>
  <c r="D2580" i="7"/>
  <c r="D2581" i="7"/>
  <c r="D2582" i="7"/>
  <c r="D2583" i="7"/>
  <c r="D2584" i="7"/>
  <c r="D2585" i="7"/>
  <c r="D2586" i="7"/>
  <c r="D2587" i="7"/>
  <c r="D2588" i="7"/>
  <c r="D2589" i="7"/>
  <c r="D2590" i="7"/>
  <c r="D2591" i="7"/>
  <c r="D2592" i="7"/>
  <c r="D2593" i="7"/>
  <c r="D2594" i="7"/>
  <c r="D2595" i="7"/>
  <c r="D2596" i="7"/>
  <c r="D2597" i="7"/>
  <c r="D2598" i="7"/>
  <c r="D2599" i="7"/>
  <c r="D2600" i="7"/>
  <c r="D2601" i="7"/>
  <c r="D2602" i="7"/>
  <c r="D2603" i="7"/>
  <c r="D2604" i="7"/>
  <c r="D2605" i="7"/>
  <c r="D2606" i="7"/>
  <c r="D2607" i="7"/>
  <c r="D2608" i="7"/>
  <c r="D2609" i="7"/>
  <c r="D2610" i="7"/>
  <c r="D2611" i="7"/>
  <c r="D2612" i="7"/>
  <c r="D2613" i="7"/>
  <c r="D2614" i="7"/>
  <c r="D2615" i="7"/>
  <c r="D2616" i="7"/>
  <c r="D2617" i="7"/>
  <c r="D2618" i="7"/>
  <c r="D2619" i="7"/>
  <c r="D2620" i="7"/>
  <c r="D2621" i="7"/>
  <c r="D2622" i="7"/>
  <c r="D2623" i="7"/>
  <c r="D2624" i="7"/>
  <c r="D2625" i="7"/>
  <c r="D2626" i="7"/>
  <c r="D2627" i="7"/>
  <c r="D2628" i="7"/>
  <c r="D2629" i="7"/>
  <c r="D2630" i="7"/>
  <c r="D2631" i="7"/>
  <c r="D2632" i="7"/>
  <c r="D2633" i="7"/>
  <c r="D2634" i="7"/>
  <c r="D2635" i="7"/>
  <c r="D2636" i="7"/>
  <c r="D2637" i="7"/>
  <c r="D2638" i="7"/>
  <c r="D2639" i="7"/>
  <c r="D2640" i="7"/>
  <c r="D2641" i="7"/>
  <c r="D2642" i="7"/>
  <c r="D2643" i="7"/>
  <c r="D2644" i="7"/>
  <c r="D2645" i="7"/>
  <c r="D2646" i="7"/>
  <c r="D2647" i="7"/>
  <c r="D2648" i="7"/>
  <c r="D2649" i="7"/>
  <c r="D2650" i="7"/>
  <c r="D2651" i="7"/>
  <c r="D2652" i="7"/>
  <c r="D2653" i="7"/>
  <c r="D2654" i="7"/>
  <c r="D2655" i="7"/>
  <c r="D2656" i="7"/>
  <c r="D2657" i="7"/>
  <c r="D2658" i="7"/>
  <c r="D2659" i="7"/>
  <c r="D2660" i="7"/>
  <c r="D2661" i="7"/>
  <c r="D2662" i="7"/>
  <c r="D2663" i="7"/>
  <c r="D2664" i="7"/>
  <c r="D2665" i="7"/>
  <c r="D2666" i="7"/>
  <c r="D2667" i="7"/>
  <c r="D2668" i="7"/>
  <c r="D2669" i="7"/>
  <c r="D2670" i="7"/>
  <c r="D2671" i="7"/>
  <c r="D2672" i="7"/>
  <c r="D2673" i="7"/>
  <c r="D2674" i="7"/>
  <c r="D2675" i="7"/>
  <c r="D2676" i="7"/>
  <c r="D2677" i="7"/>
  <c r="D2678" i="7"/>
  <c r="D2679" i="7"/>
  <c r="D2680" i="7"/>
  <c r="D2681" i="7"/>
  <c r="D2682" i="7"/>
  <c r="D2683" i="7"/>
  <c r="D2684" i="7"/>
  <c r="D2685" i="7"/>
  <c r="D2686" i="7"/>
  <c r="D2687" i="7"/>
  <c r="D2688" i="7"/>
  <c r="D2689" i="7"/>
  <c r="D2690" i="7"/>
  <c r="D2691" i="7"/>
  <c r="D2692" i="7"/>
  <c r="D2693" i="7"/>
  <c r="D2694" i="7"/>
  <c r="D2695" i="7"/>
  <c r="D2696" i="7"/>
  <c r="D2697" i="7"/>
  <c r="D2698" i="7"/>
  <c r="D2699" i="7"/>
  <c r="D2700" i="7"/>
  <c r="D2701" i="7"/>
  <c r="D2702" i="7"/>
  <c r="D2703" i="7"/>
  <c r="D2704" i="7"/>
  <c r="D2705" i="7"/>
  <c r="D2706" i="7"/>
  <c r="D2707" i="7"/>
  <c r="D2708" i="7"/>
  <c r="D2709" i="7"/>
  <c r="D2710" i="7"/>
  <c r="D2711" i="7"/>
  <c r="D2712" i="7"/>
  <c r="D2713" i="7"/>
  <c r="D2714" i="7"/>
  <c r="D2715" i="7"/>
  <c r="D2716" i="7"/>
  <c r="D2717" i="7"/>
  <c r="D2718" i="7"/>
  <c r="D2719" i="7"/>
  <c r="D2720" i="7"/>
  <c r="D2721" i="7"/>
  <c r="D2722" i="7"/>
  <c r="D2723" i="7"/>
  <c r="D2724" i="7"/>
  <c r="D2725" i="7"/>
  <c r="D2726" i="7"/>
  <c r="D2727" i="7"/>
  <c r="D2728" i="7"/>
  <c r="D2729" i="7"/>
  <c r="D2730" i="7"/>
  <c r="D2731" i="7"/>
  <c r="D2732" i="7"/>
  <c r="D2733" i="7"/>
  <c r="D2734" i="7"/>
  <c r="D2735" i="7"/>
  <c r="D2736" i="7"/>
  <c r="D2737" i="7"/>
  <c r="D2738" i="7"/>
  <c r="D2739" i="7"/>
  <c r="D2740" i="7"/>
  <c r="D2741" i="7"/>
  <c r="D2742" i="7"/>
  <c r="D2743" i="7"/>
  <c r="D2744" i="7"/>
  <c r="D2745" i="7"/>
  <c r="D2746" i="7"/>
  <c r="D2747" i="7"/>
  <c r="D2748" i="7"/>
  <c r="D2749" i="7"/>
  <c r="D2750" i="7"/>
  <c r="D2751" i="7"/>
  <c r="D2752" i="7"/>
  <c r="D2753" i="7"/>
  <c r="D2754" i="7"/>
  <c r="D2755" i="7"/>
  <c r="D2756" i="7"/>
  <c r="D2757" i="7"/>
  <c r="D2758" i="7"/>
  <c r="D2759" i="7"/>
  <c r="D2760" i="7"/>
  <c r="D2761" i="7"/>
  <c r="D2762" i="7"/>
  <c r="D2763" i="7"/>
  <c r="D2764" i="7"/>
  <c r="D2765" i="7"/>
  <c r="D2766" i="7"/>
  <c r="D2767" i="7"/>
  <c r="D2768" i="7"/>
  <c r="D2769" i="7"/>
  <c r="D2770" i="7"/>
  <c r="D2771" i="7"/>
  <c r="D2772" i="7"/>
  <c r="D2773" i="7"/>
  <c r="D2774" i="7"/>
  <c r="D2775" i="7"/>
  <c r="D2776" i="7"/>
  <c r="D2777" i="7"/>
  <c r="D2778" i="7"/>
  <c r="D2779" i="7"/>
  <c r="D2780" i="7"/>
  <c r="D2781" i="7"/>
  <c r="D2782" i="7"/>
  <c r="D2783" i="7"/>
  <c r="D2784" i="7"/>
  <c r="D2785" i="7"/>
  <c r="D2786" i="7"/>
  <c r="D2787" i="7"/>
  <c r="D2788" i="7"/>
  <c r="D2789" i="7"/>
  <c r="D2790" i="7"/>
  <c r="D2791" i="7"/>
  <c r="D2792" i="7"/>
  <c r="D2793" i="7"/>
  <c r="D2794" i="7"/>
  <c r="D2795" i="7"/>
  <c r="D2796" i="7"/>
  <c r="D2797" i="7"/>
  <c r="D2798" i="7"/>
  <c r="D2799" i="7"/>
  <c r="D2800" i="7"/>
  <c r="D2801" i="7"/>
  <c r="D2802" i="7"/>
  <c r="D2803" i="7"/>
  <c r="D2804" i="7"/>
  <c r="D2805" i="7"/>
  <c r="D2806" i="7"/>
  <c r="D2807" i="7"/>
  <c r="D2808" i="7"/>
  <c r="D2809" i="7"/>
  <c r="D2810" i="7"/>
  <c r="D2811" i="7"/>
  <c r="D2812" i="7"/>
  <c r="D2813" i="7"/>
  <c r="D2814" i="7"/>
  <c r="D2815" i="7"/>
  <c r="D2816" i="7"/>
  <c r="D2817" i="7"/>
  <c r="D2818" i="7"/>
  <c r="D2819" i="7"/>
  <c r="D2820" i="7"/>
  <c r="D2821" i="7"/>
  <c r="D2822" i="7"/>
  <c r="D2823" i="7"/>
  <c r="D2824" i="7"/>
  <c r="D2825" i="7"/>
  <c r="D2826" i="7"/>
  <c r="D2827" i="7"/>
  <c r="D2828" i="7"/>
  <c r="D2829" i="7"/>
  <c r="D2830" i="7"/>
  <c r="D2831" i="7"/>
  <c r="D2832" i="7"/>
  <c r="D2833" i="7"/>
  <c r="D2834" i="7"/>
  <c r="D2835" i="7"/>
  <c r="D2836" i="7"/>
  <c r="D2837" i="7"/>
  <c r="D2838" i="7"/>
  <c r="D2839" i="7"/>
  <c r="D2840" i="7"/>
  <c r="D2841" i="7"/>
  <c r="D2842" i="7"/>
  <c r="D2843" i="7"/>
  <c r="D2844" i="7"/>
  <c r="D2845" i="7"/>
  <c r="D2846" i="7"/>
  <c r="D2847" i="7"/>
  <c r="D2848" i="7"/>
  <c r="D2849" i="7"/>
  <c r="D2850" i="7"/>
  <c r="D2851" i="7"/>
  <c r="D2852" i="7"/>
  <c r="D2853" i="7"/>
  <c r="D2854" i="7"/>
  <c r="D2855" i="7"/>
  <c r="D2856" i="7"/>
  <c r="D2857" i="7"/>
  <c r="D2858" i="7"/>
  <c r="D2859" i="7"/>
  <c r="D2860" i="7"/>
  <c r="D2861" i="7"/>
  <c r="D2862" i="7"/>
  <c r="D2863" i="7"/>
  <c r="D2864" i="7"/>
  <c r="D2865" i="7"/>
  <c r="D2866" i="7"/>
  <c r="D2867" i="7"/>
  <c r="D2868" i="7"/>
  <c r="D2869" i="7"/>
  <c r="D2870" i="7"/>
  <c r="D2871" i="7"/>
  <c r="D2872" i="7"/>
  <c r="D2873" i="7"/>
  <c r="D2874" i="7"/>
  <c r="D2875" i="7"/>
  <c r="D2876" i="7"/>
  <c r="D2877" i="7"/>
  <c r="D2878" i="7"/>
  <c r="D2879" i="7"/>
  <c r="D2880" i="7"/>
  <c r="D2881" i="7"/>
  <c r="D2882" i="7"/>
  <c r="D2883" i="7"/>
  <c r="D2884" i="7"/>
  <c r="D2885" i="7"/>
  <c r="D2886" i="7"/>
  <c r="D2887" i="7"/>
  <c r="D2888" i="7"/>
  <c r="D2889" i="7"/>
  <c r="D2890" i="7"/>
  <c r="D2891" i="7"/>
  <c r="D2892" i="7"/>
  <c r="D2893" i="7"/>
  <c r="D2894" i="7"/>
  <c r="D2895" i="7"/>
  <c r="D2896" i="7"/>
  <c r="D2897" i="7"/>
  <c r="D2898" i="7"/>
  <c r="D2899" i="7"/>
  <c r="D2900" i="7"/>
  <c r="D2901" i="7"/>
  <c r="D2902" i="7"/>
  <c r="D2903" i="7"/>
  <c r="D2904" i="7"/>
  <c r="D2905" i="7"/>
  <c r="D2906" i="7"/>
  <c r="D2907" i="7"/>
  <c r="D2908" i="7"/>
  <c r="D2909" i="7"/>
  <c r="D2910" i="7"/>
  <c r="D2911" i="7"/>
  <c r="D2912" i="7"/>
  <c r="D2913" i="7"/>
  <c r="D2914" i="7"/>
  <c r="D2915" i="7"/>
  <c r="D2916" i="7"/>
  <c r="D2917" i="7"/>
  <c r="D2918" i="7"/>
  <c r="D2919" i="7"/>
  <c r="D2920" i="7"/>
  <c r="D2921" i="7"/>
  <c r="D2922" i="7"/>
  <c r="D2923" i="7"/>
  <c r="D2924" i="7"/>
  <c r="D2925" i="7"/>
  <c r="D2926" i="7"/>
  <c r="D2927" i="7"/>
  <c r="D2928" i="7"/>
  <c r="D2929" i="7"/>
  <c r="D2930" i="7"/>
  <c r="D2931" i="7"/>
  <c r="D2932" i="7"/>
  <c r="D2933" i="7"/>
  <c r="D2934" i="7"/>
  <c r="D2935" i="7"/>
  <c r="D2936" i="7"/>
  <c r="D2937" i="7"/>
  <c r="D2938" i="7"/>
  <c r="D2939" i="7"/>
  <c r="D2940" i="7"/>
  <c r="D2941" i="7"/>
  <c r="D2942" i="7"/>
  <c r="D2943" i="7"/>
  <c r="D2944" i="7"/>
  <c r="D2945" i="7"/>
  <c r="D2946" i="7"/>
  <c r="D2947" i="7"/>
  <c r="D2948" i="7"/>
  <c r="D2949" i="7"/>
  <c r="D2950" i="7"/>
  <c r="D2951" i="7"/>
  <c r="D2952" i="7"/>
  <c r="D2953" i="7"/>
  <c r="D2954" i="7"/>
  <c r="D2955" i="7"/>
  <c r="D2956" i="7"/>
  <c r="D2957" i="7"/>
  <c r="D2958" i="7"/>
  <c r="D2959" i="7"/>
  <c r="D2960" i="7"/>
  <c r="D2961" i="7"/>
  <c r="D2962" i="7"/>
  <c r="D2963" i="7"/>
  <c r="D2964" i="7"/>
  <c r="D2965" i="7"/>
  <c r="D2966" i="7"/>
  <c r="D2967" i="7"/>
  <c r="D2968" i="7"/>
  <c r="D2969" i="7"/>
  <c r="D2970" i="7"/>
  <c r="D2971" i="7"/>
  <c r="D2972" i="7"/>
  <c r="D2973" i="7"/>
  <c r="D2974" i="7"/>
  <c r="D2975" i="7"/>
  <c r="D2976" i="7"/>
  <c r="D2977" i="7"/>
  <c r="D2978" i="7"/>
  <c r="D2979" i="7"/>
  <c r="D2980" i="7"/>
  <c r="D2981" i="7"/>
  <c r="D2982" i="7"/>
  <c r="D2983" i="7"/>
  <c r="D2984" i="7"/>
  <c r="D2985" i="7"/>
  <c r="D2986" i="7"/>
  <c r="D2987" i="7"/>
  <c r="D2988" i="7"/>
  <c r="D2989" i="7"/>
  <c r="D2990" i="7"/>
  <c r="D2991" i="7"/>
  <c r="D2992" i="7"/>
  <c r="D2993" i="7"/>
  <c r="D2994" i="7"/>
  <c r="D2995" i="7"/>
  <c r="D2996" i="7"/>
  <c r="D2997" i="7"/>
  <c r="D2998" i="7"/>
  <c r="D2999" i="7"/>
  <c r="D3000" i="7"/>
  <c r="D3001" i="7"/>
  <c r="D3002" i="7"/>
  <c r="D3003" i="7"/>
  <c r="D3004" i="7"/>
  <c r="D3005" i="7"/>
  <c r="D3006" i="7"/>
  <c r="D3007" i="7"/>
  <c r="D3008" i="7"/>
  <c r="D3009" i="7"/>
  <c r="D3010" i="7"/>
  <c r="D3011" i="7"/>
  <c r="D3012" i="7"/>
  <c r="D3013" i="7"/>
  <c r="D3014" i="7"/>
  <c r="D3015" i="7"/>
  <c r="D3016" i="7"/>
  <c r="D3017" i="7"/>
  <c r="D3018" i="7"/>
  <c r="D3019" i="7"/>
  <c r="D3020" i="7"/>
  <c r="D3021" i="7"/>
  <c r="D3022" i="7"/>
  <c r="D3023" i="7"/>
  <c r="D3024" i="7"/>
  <c r="D3025" i="7"/>
  <c r="D3026" i="7"/>
  <c r="D3027" i="7"/>
  <c r="D3028" i="7"/>
  <c r="D3029" i="7"/>
  <c r="D3030" i="7"/>
  <c r="D3031" i="7"/>
  <c r="D3032" i="7"/>
  <c r="D3033" i="7"/>
  <c r="D3034" i="7"/>
  <c r="D3035" i="7"/>
  <c r="D3036" i="7"/>
  <c r="D3037" i="7"/>
  <c r="D3038" i="7"/>
  <c r="D3039" i="7"/>
  <c r="D3040" i="7"/>
  <c r="D3041" i="7"/>
  <c r="D3042" i="7"/>
  <c r="D3043" i="7"/>
  <c r="D3044" i="7"/>
  <c r="D3045" i="7"/>
  <c r="D3046" i="7"/>
  <c r="D3047" i="7"/>
  <c r="D3048" i="7"/>
  <c r="D3049" i="7"/>
  <c r="D3050" i="7"/>
  <c r="D3051" i="7"/>
  <c r="D3052" i="7"/>
  <c r="D3053" i="7"/>
  <c r="D3054" i="7"/>
  <c r="D3055" i="7"/>
  <c r="D3056" i="7"/>
  <c r="D3057" i="7"/>
  <c r="D3058" i="7"/>
  <c r="D3059" i="7"/>
  <c r="D3060" i="7"/>
  <c r="D3061" i="7"/>
  <c r="D3062" i="7"/>
  <c r="D3063" i="7"/>
  <c r="D3064" i="7"/>
  <c r="D3065" i="7"/>
  <c r="D3066" i="7"/>
  <c r="D3067" i="7"/>
  <c r="D3068" i="7"/>
  <c r="D3069" i="7"/>
  <c r="D3070" i="7"/>
  <c r="D3071" i="7"/>
  <c r="D3072" i="7"/>
  <c r="D3073" i="7"/>
  <c r="D3074" i="7"/>
  <c r="D3075" i="7"/>
  <c r="D3076" i="7"/>
  <c r="D3077" i="7"/>
  <c r="D3078" i="7"/>
  <c r="D3079" i="7"/>
  <c r="D3080" i="7"/>
  <c r="D3081" i="7"/>
  <c r="D3082" i="7"/>
  <c r="D3083" i="7"/>
  <c r="D3084" i="7"/>
  <c r="D3085" i="7"/>
  <c r="D3086" i="7"/>
  <c r="D3087" i="7"/>
  <c r="D3088" i="7"/>
  <c r="D3089" i="7"/>
  <c r="D3090" i="7"/>
  <c r="D3091" i="7"/>
  <c r="D3092" i="7"/>
  <c r="D3093" i="7"/>
  <c r="D3094" i="7"/>
  <c r="D3095" i="7"/>
  <c r="D3096" i="7"/>
  <c r="D3097" i="7"/>
  <c r="D3098" i="7"/>
  <c r="D3099" i="7"/>
  <c r="D3100" i="7"/>
  <c r="D3101" i="7"/>
  <c r="D3102" i="7"/>
  <c r="D3103" i="7"/>
  <c r="D3104" i="7"/>
  <c r="D3105" i="7"/>
  <c r="D3106" i="7"/>
  <c r="D3107" i="7"/>
  <c r="D3108" i="7"/>
  <c r="D3109" i="7"/>
  <c r="D3110" i="7"/>
  <c r="D3111" i="7"/>
  <c r="D3112" i="7"/>
  <c r="D3113" i="7"/>
  <c r="D3114" i="7"/>
  <c r="D3115" i="7"/>
  <c r="D3116" i="7"/>
  <c r="D3117" i="7"/>
  <c r="D3118" i="7"/>
  <c r="D3119" i="7"/>
  <c r="D3120" i="7"/>
  <c r="D3121" i="7"/>
  <c r="D3122" i="7"/>
  <c r="D3123" i="7"/>
  <c r="D3124" i="7"/>
  <c r="D3125" i="7"/>
  <c r="D3126" i="7"/>
  <c r="D3127" i="7"/>
  <c r="D3128" i="7"/>
  <c r="D3129" i="7"/>
  <c r="D3130" i="7"/>
  <c r="D3131" i="7"/>
  <c r="D3132" i="7"/>
  <c r="D3133" i="7"/>
  <c r="D3134" i="7"/>
  <c r="D3135" i="7"/>
  <c r="D3136" i="7"/>
  <c r="D3137" i="7"/>
  <c r="D3138" i="7"/>
  <c r="D3139" i="7"/>
  <c r="D3140" i="7"/>
  <c r="D3141" i="7"/>
  <c r="D3142" i="7"/>
  <c r="D3143" i="7"/>
  <c r="D3144" i="7"/>
  <c r="D3145" i="7"/>
  <c r="D3146" i="7"/>
  <c r="D3147" i="7"/>
  <c r="D3148" i="7"/>
  <c r="D3149" i="7"/>
  <c r="D3150" i="7"/>
  <c r="D3151" i="7"/>
  <c r="D3152" i="7"/>
  <c r="D3153" i="7"/>
  <c r="D3154" i="7"/>
  <c r="D3155" i="7"/>
  <c r="D3156" i="7"/>
  <c r="D3157" i="7"/>
  <c r="D3158" i="7"/>
  <c r="D3159" i="7"/>
  <c r="D3160" i="7"/>
  <c r="D3161" i="7"/>
  <c r="D3162" i="7"/>
  <c r="D3163" i="7"/>
  <c r="D3164" i="7"/>
  <c r="D3165" i="7"/>
  <c r="D3166" i="7"/>
  <c r="D3167" i="7"/>
  <c r="D3168" i="7"/>
  <c r="D3169" i="7"/>
  <c r="D3170" i="7"/>
  <c r="D3171" i="7"/>
  <c r="D3172" i="7"/>
  <c r="D3173" i="7"/>
  <c r="D3174" i="7"/>
  <c r="D3175" i="7"/>
  <c r="D3176" i="7"/>
  <c r="D3177" i="7"/>
  <c r="D3178" i="7"/>
  <c r="D3179" i="7"/>
  <c r="D3180" i="7"/>
  <c r="D3181" i="7"/>
  <c r="D3182" i="7"/>
  <c r="D3183" i="7"/>
  <c r="D3184" i="7"/>
  <c r="D3185" i="7"/>
  <c r="D3186" i="7"/>
  <c r="D3187" i="7"/>
  <c r="D3188" i="7"/>
  <c r="D3189" i="7"/>
  <c r="D3190" i="7"/>
  <c r="D3191" i="7"/>
  <c r="D3192" i="7"/>
  <c r="D3193" i="7"/>
  <c r="D3194" i="7"/>
  <c r="D3195" i="7"/>
  <c r="D3196" i="7"/>
  <c r="D3197" i="7"/>
  <c r="D3198" i="7"/>
  <c r="D3199" i="7"/>
  <c r="D3200" i="7"/>
  <c r="D3201" i="7"/>
  <c r="D3202" i="7"/>
  <c r="D3203" i="7"/>
  <c r="D3204" i="7"/>
  <c r="D3205" i="7"/>
  <c r="D3206" i="7"/>
  <c r="D3207" i="7"/>
  <c r="D3208" i="7"/>
  <c r="D3209" i="7"/>
  <c r="D3210" i="7"/>
  <c r="D3211" i="7"/>
  <c r="D3212" i="7"/>
  <c r="D3213" i="7"/>
  <c r="D3214" i="7"/>
  <c r="D3215" i="7"/>
  <c r="D3216" i="7"/>
  <c r="D3217" i="7"/>
  <c r="D3218" i="7"/>
  <c r="D3219" i="7"/>
  <c r="D3220" i="7"/>
  <c r="D3221" i="7"/>
  <c r="D3222" i="7"/>
  <c r="D3223" i="7"/>
  <c r="D3224" i="7"/>
  <c r="D3225" i="7"/>
  <c r="D3226" i="7"/>
  <c r="D3227" i="7"/>
  <c r="D3228" i="7"/>
  <c r="D3229" i="7"/>
  <c r="D3230" i="7"/>
  <c r="D3231" i="7"/>
  <c r="D3232" i="7"/>
  <c r="D3233" i="7"/>
  <c r="D3234" i="7"/>
  <c r="D3235" i="7"/>
  <c r="D3236" i="7"/>
  <c r="D3237" i="7"/>
  <c r="D3238" i="7"/>
  <c r="D3239" i="7"/>
  <c r="D3240" i="7"/>
  <c r="D3241" i="7"/>
  <c r="D3242" i="7"/>
  <c r="D3243" i="7"/>
  <c r="D3244" i="7"/>
  <c r="D3245" i="7"/>
  <c r="D3246" i="7"/>
  <c r="D3247" i="7"/>
  <c r="D3248" i="7"/>
  <c r="D3249" i="7"/>
  <c r="D3250" i="7"/>
  <c r="D3251" i="7"/>
  <c r="D3252" i="7"/>
  <c r="D3253" i="7"/>
  <c r="D3254" i="7"/>
  <c r="D3255" i="7"/>
  <c r="D3256" i="7"/>
  <c r="D3257" i="7"/>
  <c r="D3258" i="7"/>
  <c r="D3259" i="7"/>
  <c r="D3260" i="7"/>
  <c r="D3261" i="7"/>
  <c r="D3262" i="7"/>
  <c r="D3263" i="7"/>
  <c r="D3264" i="7"/>
  <c r="D3265" i="7"/>
  <c r="D3266" i="7"/>
  <c r="D3267" i="7"/>
  <c r="D3268" i="7"/>
  <c r="D3269" i="7"/>
  <c r="D3270" i="7"/>
  <c r="D3271" i="7"/>
  <c r="D3272" i="7"/>
  <c r="D3273" i="7"/>
  <c r="D3274" i="7"/>
  <c r="D3275" i="7"/>
  <c r="D3276" i="7"/>
  <c r="D3277" i="7"/>
  <c r="D3278" i="7"/>
  <c r="D3279" i="7"/>
  <c r="D3280" i="7"/>
  <c r="D3281" i="7"/>
  <c r="D3282" i="7"/>
  <c r="D3283" i="7"/>
  <c r="D3284" i="7"/>
  <c r="D3285" i="7"/>
  <c r="D3286" i="7"/>
  <c r="D3287" i="7"/>
  <c r="D3288" i="7"/>
  <c r="D3289" i="7"/>
  <c r="D3290" i="7"/>
  <c r="D3291" i="7"/>
  <c r="D3292" i="7"/>
  <c r="D3293" i="7"/>
  <c r="D3294" i="7"/>
  <c r="D3295" i="7"/>
  <c r="D3296" i="7"/>
  <c r="D3297" i="7"/>
  <c r="D3298" i="7"/>
  <c r="D3299" i="7"/>
  <c r="D3300" i="7"/>
  <c r="D3301" i="7"/>
  <c r="D3302" i="7"/>
  <c r="D3303" i="7"/>
  <c r="D3304" i="7"/>
  <c r="D3305" i="7"/>
  <c r="D3306" i="7"/>
  <c r="D3307" i="7"/>
  <c r="D3308" i="7"/>
  <c r="D3309" i="7"/>
  <c r="D3310" i="7"/>
  <c r="D3311" i="7"/>
  <c r="D3312" i="7"/>
  <c r="D3313" i="7"/>
  <c r="D3314" i="7"/>
  <c r="D3315" i="7"/>
  <c r="D3316" i="7"/>
  <c r="D3317" i="7"/>
  <c r="D3318" i="7"/>
  <c r="D3319" i="7"/>
  <c r="D3320" i="7"/>
  <c r="D3321" i="7"/>
  <c r="D3322" i="7"/>
  <c r="D3323" i="7"/>
  <c r="D3324" i="7"/>
  <c r="D3325" i="7"/>
  <c r="D3326" i="7"/>
  <c r="D3327" i="7"/>
  <c r="D3328" i="7"/>
  <c r="D3329" i="7"/>
  <c r="D3330" i="7"/>
  <c r="D3331" i="7"/>
  <c r="D3332" i="7"/>
  <c r="D3333" i="7"/>
  <c r="D3334" i="7"/>
  <c r="D3335" i="7"/>
  <c r="D3336" i="7"/>
  <c r="D3337" i="7"/>
  <c r="D3338" i="7"/>
  <c r="D3339" i="7"/>
  <c r="D3340" i="7"/>
  <c r="D3341" i="7"/>
  <c r="D3342" i="7"/>
  <c r="D3343" i="7"/>
  <c r="D3344" i="7"/>
  <c r="D3345" i="7"/>
  <c r="D3346" i="7"/>
  <c r="D3347" i="7"/>
  <c r="D3348" i="7"/>
  <c r="D3349" i="7"/>
  <c r="D3350" i="7"/>
  <c r="D3351" i="7"/>
  <c r="D3352" i="7"/>
  <c r="D3353" i="7"/>
  <c r="D3354" i="7"/>
  <c r="D3355" i="7"/>
  <c r="D3356" i="7"/>
  <c r="D3357" i="7"/>
  <c r="D3358" i="7"/>
  <c r="D3359" i="7"/>
  <c r="D3360" i="7"/>
  <c r="D3361" i="7"/>
  <c r="D3362" i="7"/>
  <c r="D3363" i="7"/>
  <c r="D3364" i="7"/>
  <c r="D3365" i="7"/>
  <c r="D3366" i="7"/>
  <c r="D3367" i="7"/>
  <c r="D3368" i="7"/>
  <c r="D3369" i="7"/>
  <c r="D3370" i="7"/>
  <c r="D3371" i="7"/>
  <c r="D3372" i="7"/>
  <c r="D3373" i="7"/>
  <c r="D3374" i="7"/>
  <c r="D3375" i="7"/>
  <c r="D3376" i="7"/>
  <c r="D3377" i="7"/>
  <c r="D3378" i="7"/>
  <c r="D3379" i="7"/>
  <c r="D3380" i="7"/>
  <c r="D3381" i="7"/>
  <c r="D3382" i="7"/>
  <c r="D3383" i="7"/>
  <c r="D3384" i="7"/>
  <c r="D3385" i="7"/>
  <c r="D3386" i="7"/>
  <c r="D3387" i="7"/>
  <c r="D3388" i="7"/>
  <c r="D3389" i="7"/>
  <c r="D3390" i="7"/>
  <c r="D3391" i="7"/>
  <c r="D3392" i="7"/>
  <c r="D3393" i="7"/>
  <c r="D3394" i="7"/>
  <c r="D3395" i="7"/>
  <c r="D3396" i="7"/>
  <c r="D3397" i="7"/>
  <c r="D3398" i="7"/>
  <c r="D3399" i="7"/>
  <c r="D3400" i="7"/>
  <c r="D3401" i="7"/>
  <c r="D3402" i="7"/>
  <c r="D3403" i="7"/>
  <c r="D3404" i="7"/>
  <c r="D3405" i="7"/>
  <c r="D3406" i="7"/>
  <c r="D3407" i="7"/>
  <c r="D3408" i="7"/>
  <c r="D3409" i="7"/>
  <c r="D3410" i="7"/>
  <c r="D3411" i="7"/>
  <c r="D3412" i="7"/>
  <c r="D3413" i="7"/>
  <c r="D3414" i="7"/>
  <c r="D3415" i="7"/>
  <c r="D3416" i="7"/>
  <c r="D3417" i="7"/>
  <c r="D3418" i="7"/>
  <c r="D3419" i="7"/>
  <c r="D3420" i="7"/>
  <c r="D3421" i="7"/>
  <c r="D3422" i="7"/>
  <c r="D3423" i="7"/>
  <c r="D3424" i="7"/>
  <c r="D3425" i="7"/>
  <c r="D3426" i="7"/>
  <c r="D3427" i="7"/>
  <c r="D3428" i="7"/>
  <c r="D3429" i="7"/>
  <c r="D3430" i="7"/>
  <c r="D3431" i="7"/>
  <c r="D3432" i="7"/>
  <c r="D3433" i="7"/>
  <c r="D3434" i="7"/>
  <c r="D3435" i="7"/>
  <c r="D3436" i="7"/>
  <c r="D3437" i="7"/>
  <c r="D3438" i="7"/>
  <c r="D3439" i="7"/>
  <c r="D3440" i="7"/>
  <c r="D3441" i="7"/>
  <c r="D3442" i="7"/>
  <c r="D3443" i="7"/>
  <c r="D3444" i="7"/>
  <c r="D3445" i="7"/>
  <c r="D3446" i="7"/>
  <c r="D3447" i="7"/>
  <c r="D3448" i="7"/>
  <c r="D3449" i="7"/>
  <c r="D3450" i="7"/>
  <c r="D3451" i="7"/>
  <c r="D3452" i="7"/>
  <c r="D3453" i="7"/>
  <c r="D3454" i="7"/>
  <c r="D3455" i="7"/>
  <c r="D3456" i="7"/>
  <c r="D3457" i="7"/>
  <c r="D3458" i="7"/>
  <c r="D3459" i="7"/>
  <c r="D3460" i="7"/>
  <c r="D3461" i="7"/>
  <c r="D3462" i="7"/>
  <c r="D3463" i="7"/>
  <c r="D3464" i="7"/>
  <c r="D3465" i="7"/>
  <c r="D3466" i="7"/>
  <c r="D3467" i="7"/>
  <c r="D3468" i="7"/>
  <c r="D3469" i="7"/>
  <c r="D3470" i="7"/>
  <c r="D3471" i="7"/>
  <c r="D3472" i="7"/>
  <c r="D3473" i="7"/>
  <c r="D3474" i="7"/>
  <c r="D3475" i="7"/>
  <c r="D3476" i="7"/>
  <c r="D3477" i="7"/>
  <c r="D3478" i="7"/>
  <c r="D3479" i="7"/>
  <c r="D3480" i="7"/>
  <c r="D3481" i="7"/>
  <c r="D3482" i="7"/>
  <c r="D3483" i="7"/>
  <c r="D3484" i="7"/>
  <c r="D3485" i="7"/>
  <c r="D3486" i="7"/>
  <c r="D3487" i="7"/>
  <c r="D3488" i="7"/>
  <c r="D3489" i="7"/>
  <c r="D3490" i="7"/>
  <c r="D3491" i="7"/>
  <c r="D3492" i="7"/>
  <c r="D3493" i="7"/>
  <c r="D3494" i="7"/>
  <c r="D3495" i="7"/>
  <c r="D3496" i="7"/>
  <c r="D3497" i="7"/>
  <c r="D3498" i="7"/>
  <c r="D3499" i="7"/>
  <c r="D3500" i="7"/>
  <c r="D3501" i="7"/>
  <c r="D3502" i="7"/>
  <c r="D3503" i="7"/>
  <c r="D3504" i="7"/>
  <c r="D3505" i="7"/>
  <c r="D3506" i="7"/>
  <c r="D3507" i="7"/>
  <c r="D3508" i="7"/>
  <c r="D3509" i="7"/>
  <c r="D3510" i="7"/>
  <c r="D3511" i="7"/>
  <c r="D3512" i="7"/>
  <c r="D3513" i="7"/>
  <c r="D3514" i="7"/>
  <c r="D3515" i="7"/>
  <c r="D3516" i="7"/>
  <c r="D3517" i="7"/>
  <c r="D3518" i="7"/>
  <c r="D3519" i="7"/>
  <c r="D3520" i="7"/>
  <c r="D3521" i="7"/>
  <c r="D3522" i="7"/>
  <c r="D3523" i="7"/>
  <c r="D3524" i="7"/>
  <c r="D3525" i="7"/>
  <c r="D3526" i="7"/>
  <c r="D3527" i="7"/>
  <c r="D3528" i="7"/>
  <c r="D3529" i="7"/>
  <c r="D3530" i="7"/>
  <c r="D3531" i="7"/>
  <c r="D3532" i="7"/>
  <c r="D3533" i="7"/>
  <c r="D3534" i="7"/>
  <c r="D3535" i="7"/>
  <c r="D3536" i="7"/>
  <c r="D3537" i="7"/>
  <c r="D3538" i="7"/>
  <c r="D3539" i="7"/>
  <c r="D3540" i="7"/>
  <c r="D3541" i="7"/>
  <c r="D3542" i="7"/>
  <c r="D3543" i="7"/>
  <c r="D3544" i="7"/>
  <c r="D3545" i="7"/>
  <c r="D3546" i="7"/>
  <c r="D3547" i="7"/>
  <c r="D3548" i="7"/>
  <c r="D3549" i="7"/>
  <c r="D3550" i="7"/>
  <c r="D3551" i="7"/>
  <c r="D3552" i="7"/>
  <c r="D3553" i="7"/>
  <c r="D3554" i="7"/>
  <c r="D3555" i="7"/>
  <c r="D3556" i="7"/>
  <c r="D3557" i="7"/>
  <c r="D3558" i="7"/>
  <c r="D3559" i="7"/>
  <c r="D3560" i="7"/>
  <c r="D3561" i="7"/>
  <c r="D3562" i="7"/>
  <c r="D3563" i="7"/>
  <c r="D3564" i="7"/>
  <c r="D3565" i="7"/>
  <c r="D3566" i="7"/>
  <c r="D3567" i="7"/>
  <c r="D3568" i="7"/>
  <c r="D3569" i="7"/>
  <c r="D3570" i="7"/>
  <c r="D3571" i="7"/>
  <c r="D3572" i="7"/>
  <c r="D3573" i="7"/>
  <c r="D3574" i="7"/>
  <c r="D3575" i="7"/>
  <c r="D3576" i="7"/>
  <c r="D3577" i="7"/>
  <c r="D3578" i="7"/>
  <c r="D3579" i="7"/>
  <c r="D3580" i="7"/>
  <c r="D3581" i="7"/>
  <c r="D3582" i="7"/>
  <c r="D3583" i="7"/>
  <c r="D3584" i="7"/>
  <c r="D3585" i="7"/>
  <c r="D3586" i="7"/>
  <c r="D3587" i="7"/>
  <c r="D3588" i="7"/>
  <c r="D3589" i="7"/>
  <c r="D3590" i="7"/>
  <c r="D3591" i="7"/>
  <c r="D3592" i="7"/>
  <c r="D3593" i="7"/>
  <c r="D3594" i="7"/>
  <c r="D3595" i="7"/>
  <c r="D3596" i="7"/>
  <c r="D3597" i="7"/>
  <c r="D3598" i="7"/>
  <c r="D3599" i="7"/>
  <c r="D3600" i="7"/>
  <c r="D3601" i="7"/>
  <c r="D3602" i="7"/>
  <c r="D3603" i="7"/>
  <c r="D3604" i="7"/>
  <c r="D3605" i="7"/>
  <c r="D3606" i="7"/>
  <c r="D3607" i="7"/>
  <c r="D3608" i="7"/>
  <c r="D3609" i="7"/>
  <c r="D3610" i="7"/>
  <c r="D3611" i="7"/>
  <c r="D3612" i="7"/>
  <c r="D3613" i="7"/>
  <c r="D3614" i="7"/>
  <c r="D3615" i="7"/>
  <c r="D3616" i="7"/>
  <c r="D3617" i="7"/>
  <c r="D3618" i="7"/>
  <c r="D3619" i="7"/>
  <c r="D3620" i="7"/>
  <c r="D3621" i="7"/>
  <c r="D3622" i="7"/>
  <c r="D3623" i="7"/>
  <c r="D3624" i="7"/>
  <c r="D3625" i="7"/>
  <c r="D3626" i="7"/>
  <c r="D3627" i="7"/>
  <c r="D3628" i="7"/>
  <c r="D3629" i="7"/>
  <c r="D3630" i="7"/>
  <c r="D3631" i="7"/>
  <c r="D3632" i="7"/>
  <c r="D3633" i="7"/>
  <c r="D3634" i="7"/>
  <c r="D3635" i="7"/>
  <c r="D3636" i="7"/>
  <c r="D3637" i="7"/>
  <c r="D3638" i="7"/>
  <c r="D3639" i="7"/>
  <c r="D3640" i="7"/>
  <c r="D3641" i="7"/>
  <c r="D3642" i="7"/>
  <c r="D3643" i="7"/>
  <c r="D3644" i="7"/>
  <c r="D3645" i="7"/>
  <c r="D3646" i="7"/>
  <c r="D3647" i="7"/>
  <c r="D3648" i="7"/>
  <c r="D3649" i="7"/>
  <c r="D3650" i="7"/>
  <c r="D3651" i="7"/>
  <c r="D3652" i="7"/>
  <c r="D3653" i="7"/>
  <c r="D3654" i="7"/>
  <c r="D3655" i="7"/>
  <c r="D3656" i="7"/>
  <c r="D3657" i="7"/>
  <c r="D3658" i="7"/>
  <c r="D3659" i="7"/>
  <c r="D3660" i="7"/>
  <c r="D3661" i="7"/>
  <c r="D3662" i="7"/>
  <c r="D3663" i="7"/>
  <c r="D3664" i="7"/>
  <c r="D3665" i="7"/>
  <c r="D3666" i="7"/>
  <c r="D3667" i="7"/>
  <c r="D3668" i="7"/>
  <c r="D3669" i="7"/>
  <c r="D3670" i="7"/>
  <c r="D3671" i="7"/>
  <c r="D3672" i="7"/>
  <c r="D3673" i="7"/>
  <c r="D3674" i="7"/>
  <c r="D3675" i="7"/>
  <c r="D3676" i="7"/>
  <c r="D3677" i="7"/>
  <c r="D3678" i="7"/>
  <c r="D3679" i="7"/>
  <c r="D3680" i="7"/>
  <c r="D3681" i="7"/>
  <c r="D3682" i="7"/>
  <c r="D3683" i="7"/>
  <c r="D3684" i="7"/>
  <c r="D3685" i="7"/>
  <c r="D3686" i="7"/>
  <c r="D3687" i="7"/>
  <c r="D3688" i="7"/>
  <c r="D3689" i="7"/>
  <c r="D3690" i="7"/>
  <c r="D3691" i="7"/>
  <c r="D3692" i="7"/>
  <c r="D3693" i="7"/>
  <c r="D3694" i="7"/>
  <c r="D3695" i="7"/>
  <c r="D3696" i="7"/>
  <c r="D3697" i="7"/>
  <c r="D3698" i="7"/>
  <c r="D3699" i="7"/>
  <c r="D3700" i="7"/>
  <c r="D3701" i="7"/>
  <c r="D3702" i="7"/>
  <c r="D3703" i="7"/>
  <c r="D3704" i="7"/>
  <c r="D3705" i="7"/>
  <c r="D3706" i="7"/>
  <c r="D3707" i="7"/>
  <c r="D3708" i="7"/>
  <c r="D3709" i="7"/>
  <c r="D3710" i="7"/>
  <c r="D3711" i="7"/>
  <c r="D3712" i="7"/>
  <c r="D3713" i="7"/>
  <c r="D3714" i="7"/>
  <c r="D3715" i="7"/>
  <c r="D3716" i="7"/>
  <c r="D3717" i="7"/>
  <c r="D3718" i="7"/>
  <c r="D3719" i="7"/>
  <c r="D3720" i="7"/>
  <c r="D3721" i="7"/>
  <c r="D3722" i="7"/>
  <c r="D3723" i="7"/>
  <c r="D3724" i="7"/>
  <c r="D3725" i="7"/>
  <c r="D3726" i="7"/>
  <c r="D3727" i="7"/>
  <c r="D3728" i="7"/>
  <c r="D3729" i="7"/>
  <c r="D3730" i="7"/>
  <c r="D3731" i="7"/>
  <c r="D3732" i="7"/>
  <c r="D3733" i="7"/>
  <c r="D3734" i="7"/>
  <c r="D3735" i="7"/>
  <c r="D3736" i="7"/>
  <c r="D3737" i="7"/>
  <c r="D3738" i="7"/>
  <c r="D3739" i="7"/>
  <c r="D3740" i="7"/>
  <c r="D3741" i="7"/>
  <c r="D3742" i="7"/>
  <c r="D3743" i="7"/>
  <c r="D3744" i="7"/>
  <c r="D3745" i="7"/>
  <c r="D3746" i="7"/>
  <c r="D3747" i="7"/>
  <c r="D3748" i="7"/>
  <c r="D3749" i="7"/>
  <c r="D3750" i="7"/>
  <c r="D3751" i="7"/>
  <c r="D3752" i="7"/>
  <c r="D3753" i="7"/>
  <c r="D3754" i="7"/>
  <c r="D3755" i="7"/>
  <c r="D3756" i="7"/>
  <c r="D3757" i="7"/>
  <c r="D3758" i="7"/>
  <c r="D3759" i="7"/>
  <c r="D3760" i="7"/>
  <c r="D3761" i="7"/>
  <c r="D3762" i="7"/>
  <c r="D3763" i="7"/>
  <c r="D3764" i="7"/>
  <c r="D3765" i="7"/>
  <c r="D3766" i="7"/>
  <c r="D3767" i="7"/>
  <c r="D3768" i="7"/>
  <c r="D3769" i="7"/>
  <c r="D3770" i="7"/>
  <c r="D3771" i="7"/>
  <c r="D3772" i="7"/>
  <c r="D3773" i="7"/>
  <c r="D3774" i="7"/>
  <c r="D3775" i="7"/>
  <c r="D3776" i="7"/>
  <c r="D3777" i="7"/>
  <c r="D3778" i="7"/>
  <c r="D3779" i="7"/>
  <c r="D3780" i="7"/>
  <c r="D3781" i="7"/>
  <c r="D3782" i="7"/>
  <c r="D3783" i="7"/>
  <c r="D3784" i="7"/>
  <c r="D3785" i="7"/>
  <c r="D3786" i="7"/>
  <c r="D3787" i="7"/>
  <c r="D3788" i="7"/>
  <c r="D3789" i="7"/>
  <c r="D3790" i="7"/>
  <c r="D3791" i="7"/>
  <c r="D3792" i="7"/>
  <c r="D3793" i="7"/>
  <c r="D3794" i="7"/>
  <c r="D3795" i="7"/>
  <c r="D3796" i="7"/>
  <c r="D3797" i="7"/>
  <c r="D3798" i="7"/>
  <c r="D3799" i="7"/>
  <c r="D3800" i="7"/>
  <c r="D3801" i="7"/>
  <c r="D3802" i="7"/>
  <c r="D3803" i="7"/>
  <c r="D3804" i="7"/>
  <c r="D3805" i="7"/>
  <c r="D3806" i="7"/>
  <c r="D3807" i="7"/>
  <c r="D3808" i="7"/>
  <c r="D3809" i="7"/>
  <c r="D3810" i="7"/>
  <c r="D3811" i="7"/>
  <c r="D3812" i="7"/>
  <c r="D3813" i="7"/>
  <c r="D3814" i="7"/>
  <c r="D3815" i="7"/>
  <c r="D3816" i="7"/>
  <c r="D3817" i="7"/>
  <c r="D3818" i="7"/>
  <c r="D3819" i="7"/>
  <c r="D3820" i="7"/>
  <c r="D3821" i="7"/>
  <c r="D3822" i="7"/>
  <c r="D3823" i="7"/>
  <c r="D3824" i="7"/>
  <c r="D3825" i="7"/>
  <c r="D3826" i="7"/>
  <c r="D3827" i="7"/>
  <c r="D3828" i="7"/>
  <c r="D3829" i="7"/>
  <c r="D3830" i="7"/>
  <c r="D3831" i="7"/>
  <c r="D3832" i="7"/>
  <c r="D3833" i="7"/>
  <c r="D3834" i="7"/>
  <c r="D3835" i="7"/>
  <c r="D3836" i="7"/>
  <c r="D3837" i="7"/>
  <c r="D3838" i="7"/>
  <c r="D3839" i="7"/>
  <c r="D3840" i="7"/>
  <c r="D3841" i="7"/>
  <c r="D3842" i="7"/>
  <c r="D3843" i="7"/>
  <c r="D3844" i="7"/>
  <c r="D3845" i="7"/>
  <c r="D3846" i="7"/>
  <c r="D3847" i="7"/>
  <c r="D3848" i="7"/>
  <c r="D3849" i="7"/>
  <c r="D3850" i="7"/>
  <c r="D3851" i="7"/>
  <c r="D3852" i="7"/>
  <c r="D3853" i="7"/>
  <c r="D3854" i="7"/>
  <c r="D3855" i="7"/>
  <c r="D3856" i="7"/>
  <c r="D3857" i="7"/>
  <c r="D3858" i="7"/>
  <c r="D3859" i="7"/>
  <c r="D3860" i="7"/>
  <c r="D3861" i="7"/>
  <c r="D3862" i="7"/>
  <c r="D3863" i="7"/>
  <c r="D3864" i="7"/>
  <c r="D3865" i="7"/>
  <c r="D3866" i="7"/>
  <c r="D3867" i="7"/>
  <c r="D3868" i="7"/>
  <c r="D3869" i="7"/>
  <c r="D3870" i="7"/>
  <c r="D3871" i="7"/>
  <c r="D3872" i="7"/>
  <c r="D3873" i="7"/>
  <c r="D3874" i="7"/>
  <c r="D3875" i="7"/>
  <c r="D3876" i="7"/>
  <c r="D3877" i="7"/>
  <c r="D3878" i="7"/>
  <c r="D3879" i="7"/>
  <c r="D3880" i="7"/>
  <c r="D3881" i="7"/>
  <c r="D3882" i="7"/>
  <c r="D3883" i="7"/>
  <c r="D3884" i="7"/>
  <c r="D3885" i="7"/>
  <c r="D3886" i="7"/>
  <c r="D3887" i="7"/>
  <c r="D3888" i="7"/>
  <c r="D3889" i="7"/>
  <c r="D3890" i="7"/>
  <c r="D3891" i="7"/>
  <c r="D3892" i="7"/>
  <c r="D3893" i="7"/>
  <c r="D3894" i="7"/>
  <c r="D3895" i="7"/>
  <c r="D3896" i="7"/>
  <c r="D3897" i="7"/>
  <c r="D3898" i="7"/>
  <c r="D3899" i="7"/>
  <c r="D3900" i="7"/>
  <c r="D3901" i="7"/>
  <c r="D3902" i="7"/>
  <c r="D3903" i="7"/>
  <c r="D3904" i="7"/>
  <c r="D3905" i="7"/>
  <c r="D3906" i="7"/>
  <c r="D3907" i="7"/>
  <c r="D3908" i="7"/>
  <c r="D3909" i="7"/>
  <c r="D3910" i="7"/>
  <c r="D3911" i="7"/>
  <c r="D3912" i="7"/>
  <c r="D3913" i="7"/>
  <c r="D3914" i="7"/>
  <c r="D3915" i="7"/>
  <c r="D3916" i="7"/>
  <c r="D3917" i="7"/>
  <c r="D3918" i="7"/>
  <c r="D3919" i="7"/>
  <c r="D3920" i="7"/>
  <c r="D3921" i="7"/>
  <c r="D3922" i="7"/>
  <c r="D3923" i="7"/>
  <c r="D3924" i="7"/>
  <c r="D3925" i="7"/>
  <c r="D3926" i="7"/>
  <c r="D3927" i="7"/>
  <c r="D3928" i="7"/>
  <c r="D3929" i="7"/>
  <c r="D3930" i="7"/>
  <c r="D3931" i="7"/>
  <c r="D3932" i="7"/>
  <c r="D3933" i="7"/>
  <c r="D3934" i="7"/>
  <c r="D3935" i="7"/>
  <c r="D3936" i="7"/>
  <c r="D3937" i="7"/>
  <c r="D3938" i="7"/>
  <c r="D3939" i="7"/>
  <c r="D3940" i="7"/>
  <c r="D3941" i="7"/>
  <c r="D3942" i="7"/>
  <c r="D3943" i="7"/>
  <c r="D3944" i="7"/>
  <c r="D3945" i="7"/>
  <c r="D3946" i="7"/>
  <c r="D3947" i="7"/>
  <c r="D3948" i="7"/>
  <c r="D3949" i="7"/>
  <c r="D3950" i="7"/>
  <c r="D3951" i="7"/>
  <c r="D3952" i="7"/>
  <c r="D3953" i="7"/>
  <c r="D3954" i="7"/>
  <c r="D3955" i="7"/>
  <c r="D3956" i="7"/>
  <c r="D3957" i="7"/>
  <c r="D3958" i="7"/>
  <c r="D3959" i="7"/>
  <c r="D3960" i="7"/>
  <c r="D3961" i="7"/>
  <c r="D3962" i="7"/>
  <c r="D3963" i="7"/>
  <c r="D3964" i="7"/>
  <c r="D3965" i="7"/>
  <c r="D3966" i="7"/>
  <c r="D3967" i="7"/>
  <c r="D3968" i="7"/>
  <c r="D3969" i="7"/>
  <c r="D3970" i="7"/>
  <c r="D3971" i="7"/>
  <c r="D3972" i="7"/>
  <c r="D3973" i="7"/>
  <c r="D3974" i="7"/>
  <c r="D3975" i="7"/>
  <c r="D3976" i="7"/>
  <c r="D3977" i="7"/>
  <c r="D3978" i="7"/>
  <c r="D3979" i="7"/>
  <c r="D3980" i="7"/>
  <c r="D3981" i="7"/>
  <c r="D3982" i="7"/>
  <c r="D3983" i="7"/>
  <c r="D3984" i="7"/>
  <c r="D3985" i="7"/>
  <c r="D3986" i="7"/>
  <c r="D3987" i="7"/>
  <c r="D3988" i="7"/>
  <c r="D3989" i="7"/>
  <c r="D3990" i="7"/>
  <c r="D3991" i="7"/>
  <c r="D3992" i="7"/>
  <c r="D3993" i="7"/>
  <c r="D3994" i="7"/>
  <c r="D3995" i="7"/>
  <c r="D3996" i="7"/>
  <c r="D3997" i="7"/>
  <c r="D3998" i="7"/>
  <c r="D3999" i="7"/>
  <c r="D4000" i="7"/>
  <c r="D4001" i="7"/>
  <c r="D4002" i="7"/>
  <c r="D4003" i="7"/>
  <c r="D4004" i="7"/>
  <c r="D4005" i="7"/>
  <c r="D4006" i="7"/>
  <c r="D4007" i="7"/>
  <c r="D4008" i="7"/>
  <c r="D4009" i="7"/>
  <c r="D4010" i="7"/>
  <c r="D4011" i="7"/>
  <c r="D4012" i="7"/>
  <c r="D4013" i="7"/>
  <c r="D4014" i="7"/>
  <c r="D4015" i="7"/>
  <c r="D4016" i="7"/>
  <c r="D4017" i="7"/>
  <c r="D4018" i="7"/>
  <c r="D4019" i="7"/>
  <c r="D4020" i="7"/>
  <c r="D4021" i="7"/>
  <c r="D4022" i="7"/>
  <c r="D4023" i="7"/>
  <c r="D4024" i="7"/>
  <c r="D4025" i="7"/>
  <c r="D4026" i="7"/>
  <c r="D4027" i="7"/>
  <c r="D4028" i="7"/>
  <c r="D4029" i="7"/>
  <c r="D4030" i="7"/>
  <c r="D4031" i="7"/>
  <c r="D4032" i="7"/>
  <c r="D4033" i="7"/>
  <c r="D4034" i="7"/>
  <c r="D4035" i="7"/>
  <c r="D4036" i="7"/>
  <c r="D4037" i="7"/>
  <c r="D4038" i="7"/>
  <c r="D4039" i="7"/>
  <c r="D4040" i="7"/>
  <c r="D4041" i="7"/>
  <c r="D4042" i="7"/>
  <c r="D4043" i="7"/>
  <c r="D4044" i="7"/>
  <c r="D4045" i="7"/>
  <c r="D4046" i="7"/>
  <c r="D4047" i="7"/>
  <c r="D4048" i="7"/>
  <c r="D4049" i="7"/>
  <c r="D4050" i="7"/>
  <c r="D4051" i="7"/>
  <c r="D4052" i="7"/>
  <c r="D4053" i="7"/>
  <c r="D4054" i="7"/>
  <c r="D4055" i="7"/>
  <c r="D4056" i="7"/>
  <c r="D4057" i="7"/>
  <c r="D4058" i="7"/>
  <c r="D4059" i="7"/>
  <c r="D4060" i="7"/>
  <c r="D4061" i="7"/>
  <c r="D4062" i="7"/>
  <c r="D4063" i="7"/>
  <c r="D4064" i="7"/>
  <c r="D4065" i="7"/>
  <c r="D4066" i="7"/>
  <c r="D4067" i="7"/>
  <c r="D4068" i="7"/>
  <c r="D4069" i="7"/>
  <c r="D4070" i="7"/>
  <c r="D4071" i="7"/>
  <c r="D4072" i="7"/>
  <c r="D4073" i="7"/>
  <c r="D4074" i="7"/>
  <c r="D4075" i="7"/>
  <c r="D4076" i="7"/>
  <c r="D4077" i="7"/>
  <c r="D4078" i="7"/>
  <c r="D4079" i="7"/>
  <c r="D4080" i="7"/>
  <c r="D4081" i="7"/>
  <c r="D4082" i="7"/>
  <c r="D4083" i="7"/>
  <c r="D4084" i="7"/>
  <c r="D4085" i="7"/>
  <c r="D4086" i="7"/>
  <c r="D4087" i="7"/>
  <c r="D4088" i="7"/>
  <c r="D4089" i="7"/>
  <c r="D4090" i="7"/>
  <c r="D4091" i="7"/>
  <c r="D4092" i="7"/>
  <c r="D4093" i="7"/>
  <c r="D4094" i="7"/>
  <c r="D4095" i="7"/>
  <c r="D4096" i="7"/>
  <c r="D4097" i="7"/>
  <c r="D4098" i="7"/>
  <c r="D4099" i="7"/>
  <c r="D4100" i="7"/>
  <c r="D4101" i="7"/>
  <c r="D4102" i="7"/>
  <c r="D4103" i="7"/>
  <c r="D4104" i="7"/>
  <c r="D4105" i="7"/>
  <c r="D4106" i="7"/>
  <c r="D4107" i="7"/>
  <c r="D4108" i="7"/>
  <c r="D4109" i="7"/>
  <c r="D4110" i="7"/>
  <c r="D4111" i="7"/>
  <c r="D4112" i="7"/>
  <c r="D4113" i="7"/>
  <c r="D4114" i="7"/>
  <c r="D4115" i="7"/>
  <c r="D4116" i="7"/>
  <c r="D4117" i="7"/>
  <c r="D4118" i="7"/>
  <c r="D4119" i="7"/>
  <c r="D4120" i="7"/>
  <c r="D4121" i="7"/>
  <c r="D4122" i="7"/>
  <c r="D4123" i="7"/>
  <c r="D4124" i="7"/>
  <c r="D4125" i="7"/>
  <c r="D4126" i="7"/>
  <c r="D4127" i="7"/>
  <c r="D4128" i="7"/>
  <c r="D4129" i="7"/>
  <c r="D4130" i="7"/>
  <c r="D4131" i="7"/>
  <c r="D4132" i="7"/>
  <c r="D4133" i="7"/>
  <c r="D4134" i="7"/>
  <c r="D4135" i="7"/>
  <c r="D4136" i="7"/>
  <c r="D4137" i="7"/>
  <c r="D4138" i="7"/>
  <c r="D4139" i="7"/>
  <c r="D4140" i="7"/>
  <c r="D4141" i="7"/>
  <c r="D4142" i="7"/>
  <c r="D4143" i="7"/>
  <c r="D4144" i="7"/>
  <c r="D4145" i="7"/>
  <c r="D4146" i="7"/>
  <c r="D4147" i="7"/>
  <c r="D4148" i="7"/>
  <c r="D4149" i="7"/>
  <c r="D4150" i="7"/>
  <c r="D4151" i="7"/>
  <c r="D4152" i="7"/>
  <c r="D4153" i="7"/>
  <c r="D4154" i="7"/>
  <c r="D4155" i="7"/>
  <c r="D4156" i="7"/>
  <c r="D4157" i="7"/>
  <c r="D4158" i="7"/>
  <c r="D4159" i="7"/>
  <c r="D4160" i="7"/>
  <c r="D4161" i="7"/>
  <c r="D4162" i="7"/>
  <c r="D4163" i="7"/>
  <c r="D4164" i="7"/>
  <c r="D4165" i="7"/>
  <c r="D4166" i="7"/>
  <c r="D4167" i="7"/>
  <c r="D4168" i="7"/>
  <c r="D4169" i="7"/>
  <c r="D4170" i="7"/>
  <c r="D4171" i="7"/>
  <c r="D4172" i="7"/>
  <c r="D4173" i="7"/>
  <c r="D4174" i="7"/>
  <c r="D4175" i="7"/>
  <c r="D4176" i="7"/>
  <c r="D4177" i="7"/>
  <c r="D4178" i="7"/>
  <c r="D4179" i="7"/>
  <c r="D4180" i="7"/>
  <c r="D4181" i="7"/>
  <c r="D4182" i="7"/>
  <c r="D4183" i="7"/>
  <c r="D4184" i="7"/>
  <c r="D4185" i="7"/>
  <c r="D4186" i="7"/>
  <c r="D4187" i="7"/>
  <c r="D4188" i="7"/>
  <c r="D4189" i="7"/>
  <c r="D4190" i="7"/>
  <c r="D4191" i="7"/>
  <c r="D4192" i="7"/>
  <c r="D4193" i="7"/>
  <c r="D4194" i="7"/>
  <c r="D4195" i="7"/>
  <c r="D4196" i="7"/>
  <c r="D4197" i="7"/>
  <c r="D4198" i="7"/>
  <c r="D4199" i="7"/>
  <c r="D4200" i="7"/>
  <c r="D4201" i="7"/>
  <c r="D4202" i="7"/>
  <c r="D4203" i="7"/>
  <c r="D4204" i="7"/>
  <c r="D4205" i="7"/>
  <c r="D4206" i="7"/>
  <c r="D4207" i="7"/>
  <c r="D4208" i="7"/>
  <c r="D4209" i="7"/>
  <c r="D4210" i="7"/>
  <c r="D4211" i="7"/>
  <c r="D4212" i="7"/>
  <c r="D4213" i="7"/>
  <c r="D4214" i="7"/>
  <c r="D4215" i="7"/>
  <c r="D4216" i="7"/>
  <c r="D4217" i="7"/>
  <c r="D4218" i="7"/>
  <c r="D4219" i="7"/>
  <c r="D4220" i="7"/>
  <c r="D4221" i="7"/>
  <c r="D4222" i="7"/>
  <c r="D4223" i="7"/>
  <c r="D4224" i="7"/>
  <c r="D4225" i="7"/>
  <c r="D4226" i="7"/>
  <c r="D4227" i="7"/>
  <c r="D4228" i="7"/>
  <c r="D4229" i="7"/>
  <c r="D4230" i="7"/>
  <c r="D4231" i="7"/>
  <c r="D4232" i="7"/>
  <c r="D4233" i="7"/>
  <c r="D4234" i="7"/>
  <c r="D4235" i="7"/>
  <c r="D4236" i="7"/>
  <c r="D4237" i="7"/>
  <c r="D4238" i="7"/>
  <c r="D4239" i="7"/>
  <c r="D4240" i="7"/>
  <c r="D4241" i="7"/>
  <c r="D4242" i="7"/>
  <c r="D4243" i="7"/>
  <c r="D4244" i="7"/>
  <c r="D4245" i="7"/>
  <c r="D4246" i="7"/>
  <c r="D4247" i="7"/>
  <c r="D4248" i="7"/>
  <c r="D4249" i="7"/>
  <c r="D4250" i="7"/>
  <c r="D4251" i="7"/>
  <c r="D4252" i="7"/>
  <c r="D4253" i="7"/>
  <c r="D4254" i="7"/>
  <c r="D4255" i="7"/>
  <c r="D4256" i="7"/>
  <c r="D4257" i="7"/>
  <c r="D4258" i="7"/>
  <c r="D4259" i="7"/>
  <c r="D4260" i="7"/>
  <c r="D4261" i="7"/>
  <c r="D4262" i="7"/>
  <c r="D4263" i="7"/>
  <c r="D4264" i="7"/>
  <c r="D4265" i="7"/>
  <c r="D4266" i="7"/>
  <c r="D4267" i="7"/>
  <c r="D4268" i="7"/>
  <c r="D4269" i="7"/>
  <c r="D4270" i="7"/>
  <c r="D4271" i="7"/>
  <c r="D4272" i="7"/>
  <c r="D4273" i="7"/>
  <c r="D4274" i="7"/>
  <c r="D4275" i="7"/>
  <c r="D4276" i="7"/>
  <c r="D4277" i="7"/>
  <c r="D4278" i="7"/>
  <c r="D4279" i="7"/>
  <c r="D4280" i="7"/>
  <c r="D4281" i="7"/>
  <c r="D4282" i="7"/>
  <c r="D4283" i="7"/>
  <c r="D4284" i="7"/>
  <c r="D4285" i="7"/>
  <c r="D4286" i="7"/>
  <c r="D4287" i="7"/>
  <c r="D4288" i="7"/>
  <c r="D4289" i="7"/>
  <c r="D4290" i="7"/>
  <c r="D4291" i="7"/>
  <c r="D4292" i="7"/>
  <c r="D4293" i="7"/>
  <c r="D4294" i="7"/>
  <c r="D4295" i="7"/>
  <c r="D4296" i="7"/>
  <c r="D4297" i="7"/>
  <c r="D4298" i="7"/>
  <c r="D4299" i="7"/>
  <c r="D4300" i="7"/>
  <c r="D4301" i="7"/>
  <c r="D4302" i="7"/>
  <c r="D4303" i="7"/>
  <c r="D4304" i="7"/>
  <c r="D4305" i="7"/>
  <c r="D4306" i="7"/>
  <c r="D4307" i="7"/>
  <c r="D4308" i="7"/>
  <c r="D4309" i="7"/>
  <c r="D4310" i="7"/>
  <c r="D4311" i="7"/>
  <c r="D4312" i="7"/>
  <c r="D4313" i="7"/>
  <c r="D4314" i="7"/>
  <c r="D4315" i="7"/>
  <c r="D4316" i="7"/>
  <c r="D4317" i="7"/>
  <c r="D4318" i="7"/>
  <c r="D4319" i="7"/>
  <c r="D4320" i="7"/>
  <c r="D4321" i="7"/>
  <c r="D4322" i="7"/>
  <c r="D4323" i="7"/>
  <c r="D4324" i="7"/>
  <c r="D4325" i="7"/>
  <c r="D4326" i="7"/>
  <c r="D4327" i="7"/>
  <c r="D4328" i="7"/>
  <c r="D4329" i="7"/>
  <c r="D4330" i="7"/>
  <c r="D4331" i="7"/>
  <c r="D4332" i="7"/>
  <c r="D4333" i="7"/>
  <c r="D4334" i="7"/>
  <c r="D4335" i="7"/>
  <c r="D4336" i="7"/>
  <c r="D4337" i="7"/>
  <c r="D4338" i="7"/>
  <c r="D4339" i="7"/>
  <c r="D4340" i="7"/>
  <c r="D4341" i="7"/>
  <c r="D4342" i="7"/>
  <c r="D4343" i="7"/>
  <c r="D4344" i="7"/>
  <c r="D4345" i="7"/>
  <c r="D4346" i="7"/>
  <c r="D4347" i="7"/>
  <c r="D4348" i="7"/>
  <c r="D4349" i="7"/>
  <c r="D4350" i="7"/>
  <c r="D4351" i="7"/>
  <c r="D4352" i="7"/>
  <c r="D4353" i="7"/>
  <c r="D4354" i="7"/>
  <c r="D4355" i="7"/>
  <c r="D4356" i="7"/>
  <c r="D4357" i="7"/>
  <c r="D4358" i="7"/>
  <c r="D4359" i="7"/>
  <c r="D4360" i="7"/>
  <c r="D4361" i="7"/>
  <c r="D4362" i="7"/>
  <c r="D4363" i="7"/>
  <c r="D4364" i="7"/>
  <c r="D4365" i="7"/>
  <c r="D4366" i="7"/>
  <c r="D4367" i="7"/>
  <c r="D4368" i="7"/>
  <c r="D4369" i="7"/>
  <c r="D4370" i="7"/>
  <c r="D4371" i="7"/>
  <c r="D4372" i="7"/>
  <c r="D4373" i="7"/>
  <c r="D4374" i="7"/>
  <c r="D4375" i="7"/>
  <c r="D4376" i="7"/>
  <c r="D4377" i="7"/>
  <c r="D4378" i="7"/>
  <c r="D4379" i="7"/>
  <c r="D4380" i="7"/>
  <c r="D4381" i="7"/>
  <c r="D4382" i="7"/>
  <c r="D4383" i="7"/>
  <c r="D4384" i="7"/>
  <c r="D4385" i="7"/>
  <c r="D4386" i="7"/>
  <c r="D4387" i="7"/>
  <c r="D4388" i="7"/>
  <c r="D4389" i="7"/>
  <c r="D4390" i="7"/>
  <c r="D4391" i="7"/>
  <c r="D4392" i="7"/>
  <c r="D4393" i="7"/>
  <c r="D4394" i="7"/>
  <c r="D4395" i="7"/>
  <c r="D4396" i="7"/>
  <c r="D4397" i="7"/>
  <c r="D4398" i="7"/>
  <c r="D4399" i="7"/>
  <c r="D4400" i="7"/>
  <c r="D4401" i="7"/>
  <c r="D4402" i="7"/>
  <c r="D4403" i="7"/>
  <c r="D4404" i="7"/>
  <c r="D4405" i="7"/>
  <c r="D4406" i="7"/>
  <c r="D4407" i="7"/>
  <c r="D4408" i="7"/>
  <c r="D4409" i="7"/>
  <c r="D4410" i="7"/>
  <c r="D4411" i="7"/>
  <c r="D4412" i="7"/>
  <c r="D4413" i="7"/>
  <c r="D4414" i="7"/>
  <c r="D4415" i="7"/>
  <c r="D4416" i="7"/>
  <c r="D4417" i="7"/>
  <c r="D4418" i="7"/>
  <c r="D4419" i="7"/>
  <c r="D4420" i="7"/>
  <c r="D4421" i="7"/>
  <c r="D4422" i="7"/>
  <c r="D4423" i="7"/>
  <c r="D4424" i="7"/>
  <c r="D4425" i="7"/>
  <c r="D4426" i="7"/>
  <c r="D4427" i="7"/>
  <c r="D4428" i="7"/>
  <c r="D4429" i="7"/>
  <c r="D4430" i="7"/>
  <c r="D4431" i="7"/>
  <c r="D4432" i="7"/>
  <c r="D4433" i="7"/>
  <c r="D4434" i="7"/>
  <c r="D4435" i="7"/>
  <c r="D4436" i="7"/>
  <c r="D4437" i="7"/>
  <c r="D4438" i="7"/>
  <c r="D4439" i="7"/>
  <c r="D4440" i="7"/>
  <c r="D4441" i="7"/>
  <c r="D4442" i="7"/>
  <c r="D4443" i="7"/>
  <c r="D4444" i="7"/>
  <c r="D4445" i="7"/>
  <c r="D4446" i="7"/>
  <c r="D4447" i="7"/>
  <c r="D4448" i="7"/>
  <c r="D4449" i="7"/>
  <c r="D4450" i="7"/>
  <c r="D4451" i="7"/>
  <c r="D4452" i="7"/>
  <c r="D4453" i="7"/>
  <c r="D4454" i="7"/>
  <c r="D4455" i="7"/>
  <c r="D4456" i="7"/>
  <c r="D4457" i="7"/>
  <c r="D4458" i="7"/>
  <c r="D4459" i="7"/>
  <c r="D4460" i="7"/>
  <c r="D4461" i="7"/>
  <c r="D4462" i="7"/>
  <c r="D4463" i="7"/>
  <c r="D4464" i="7"/>
  <c r="D4465" i="7"/>
  <c r="D4466" i="7"/>
  <c r="D4467" i="7"/>
  <c r="D4468" i="7"/>
  <c r="D4469" i="7"/>
  <c r="D4470" i="7"/>
  <c r="D4471" i="7"/>
  <c r="D4472" i="7"/>
  <c r="D4473" i="7"/>
  <c r="D4474" i="7"/>
  <c r="D4475" i="7"/>
  <c r="D4476" i="7"/>
  <c r="D4477" i="7"/>
  <c r="D4478" i="7"/>
  <c r="D4479" i="7"/>
  <c r="D4480" i="7"/>
  <c r="D4481" i="7"/>
  <c r="D4482" i="7"/>
  <c r="D4483" i="7"/>
  <c r="D4484" i="7"/>
  <c r="D4485" i="7"/>
  <c r="D4486" i="7"/>
  <c r="D4487" i="7"/>
  <c r="D4488" i="7"/>
  <c r="D4489" i="7"/>
  <c r="D4490" i="7"/>
  <c r="D4491" i="7"/>
  <c r="D4492" i="7"/>
  <c r="D4493" i="7"/>
  <c r="D4494" i="7"/>
  <c r="D4495" i="7"/>
  <c r="D4496" i="7"/>
  <c r="D4497" i="7"/>
  <c r="D4498" i="7"/>
  <c r="D4499" i="7"/>
  <c r="D4500" i="7"/>
  <c r="D4501" i="7"/>
  <c r="D4502" i="7"/>
  <c r="D4503" i="7"/>
  <c r="D4504" i="7"/>
  <c r="D4505" i="7"/>
  <c r="D4506" i="7"/>
  <c r="D4507" i="7"/>
  <c r="D4508" i="7"/>
  <c r="D4509" i="7"/>
  <c r="D4510" i="7"/>
  <c r="D4511" i="7"/>
  <c r="D4512" i="7"/>
  <c r="D4513" i="7"/>
  <c r="D4514" i="7"/>
  <c r="D4515" i="7"/>
  <c r="D4516" i="7"/>
  <c r="D4517" i="7"/>
  <c r="D4518" i="7"/>
  <c r="D4519" i="7"/>
  <c r="D4520" i="7"/>
  <c r="D4521" i="7"/>
  <c r="D4522" i="7"/>
  <c r="D4523" i="7"/>
  <c r="D4524" i="7"/>
  <c r="D4525" i="7"/>
  <c r="D4526" i="7"/>
  <c r="D4527" i="7"/>
  <c r="D4528" i="7"/>
  <c r="D4529" i="7"/>
  <c r="D4530" i="7"/>
  <c r="D4531" i="7"/>
  <c r="D4532" i="7"/>
  <c r="D4533" i="7"/>
  <c r="D4534" i="7"/>
  <c r="D4535" i="7"/>
  <c r="D4536" i="7"/>
  <c r="D4537" i="7"/>
  <c r="D4538" i="7"/>
  <c r="D4539" i="7"/>
  <c r="D4540" i="7"/>
  <c r="D4541" i="7"/>
  <c r="D4542" i="7"/>
  <c r="D4543" i="7"/>
  <c r="D4544" i="7"/>
  <c r="D4545" i="7"/>
  <c r="D4546" i="7"/>
  <c r="D4547" i="7"/>
  <c r="D4548" i="7"/>
  <c r="D4549" i="7"/>
  <c r="D4550" i="7"/>
  <c r="D4551" i="7"/>
  <c r="D4552" i="7"/>
  <c r="D4553" i="7"/>
  <c r="D4554" i="7"/>
  <c r="D4555" i="7"/>
  <c r="D4556" i="7"/>
  <c r="D4557" i="7"/>
  <c r="D4558" i="7"/>
  <c r="D4559" i="7"/>
  <c r="D4560" i="7"/>
  <c r="D4561" i="7"/>
  <c r="D4562" i="7"/>
  <c r="D4563" i="7"/>
  <c r="D4564" i="7"/>
  <c r="D4565" i="7"/>
  <c r="D4566" i="7"/>
  <c r="D4567" i="7"/>
  <c r="D4568" i="7"/>
  <c r="D4569" i="7"/>
  <c r="D4570" i="7"/>
  <c r="D4571" i="7"/>
  <c r="D4572" i="7"/>
  <c r="D4573" i="7"/>
  <c r="D4574" i="7"/>
  <c r="D4575" i="7"/>
  <c r="D4576" i="7"/>
  <c r="D4577" i="7"/>
  <c r="D4578" i="7"/>
  <c r="D4579" i="7"/>
  <c r="D4580" i="7"/>
  <c r="D4581" i="7"/>
  <c r="D4582" i="7"/>
  <c r="D4583" i="7"/>
  <c r="D4584" i="7"/>
  <c r="D4585" i="7"/>
  <c r="D4586" i="7"/>
  <c r="D4587" i="7"/>
  <c r="D4588" i="7"/>
  <c r="D4589" i="7"/>
  <c r="D4590" i="7"/>
  <c r="D4591" i="7"/>
  <c r="D4592" i="7"/>
  <c r="D4593" i="7"/>
  <c r="D4594" i="7"/>
  <c r="D4595" i="7"/>
  <c r="D4596" i="7"/>
  <c r="D4597" i="7"/>
  <c r="D4598" i="7"/>
  <c r="D4599" i="7"/>
  <c r="D4600" i="7"/>
  <c r="D4601" i="7"/>
  <c r="D4602" i="7"/>
  <c r="D4603" i="7"/>
  <c r="D4604" i="7"/>
  <c r="D4605" i="7"/>
  <c r="D4606" i="7"/>
  <c r="D4607" i="7"/>
  <c r="D4608" i="7"/>
  <c r="D4609" i="7"/>
  <c r="D4610" i="7"/>
  <c r="D4611" i="7"/>
  <c r="D4612" i="7"/>
  <c r="D4613" i="7"/>
  <c r="D4614" i="7"/>
  <c r="D4615" i="7"/>
  <c r="D4616" i="7"/>
  <c r="D4617" i="7"/>
  <c r="D4618" i="7"/>
  <c r="D4619" i="7"/>
  <c r="D4620" i="7"/>
  <c r="D4621" i="7"/>
  <c r="D4622" i="7"/>
  <c r="D4623" i="7"/>
  <c r="D4624" i="7"/>
  <c r="D4625" i="7"/>
  <c r="D4626" i="7"/>
  <c r="D4627" i="7"/>
  <c r="D4628" i="7"/>
  <c r="D4629" i="7"/>
  <c r="D4630" i="7"/>
  <c r="D4631" i="7"/>
  <c r="D4632" i="7"/>
  <c r="D4633" i="7"/>
  <c r="D4634" i="7"/>
  <c r="D4635" i="7"/>
  <c r="D4636" i="7"/>
  <c r="D4637" i="7"/>
  <c r="D4638" i="7"/>
  <c r="D4639" i="7"/>
  <c r="D4640" i="7"/>
  <c r="D4641" i="7"/>
  <c r="D4642" i="7"/>
  <c r="D4643" i="7"/>
  <c r="D4644" i="7"/>
  <c r="D4645" i="7"/>
  <c r="D4646" i="7"/>
  <c r="D4647" i="7"/>
  <c r="D4648" i="7"/>
  <c r="D4649" i="7"/>
  <c r="D4650" i="7"/>
  <c r="D4651" i="7"/>
  <c r="D4652" i="7"/>
  <c r="D4653" i="7"/>
  <c r="D4654" i="7"/>
  <c r="D4655" i="7"/>
  <c r="D4656" i="7"/>
  <c r="D4657" i="7"/>
  <c r="D4658" i="7"/>
  <c r="D4659" i="7"/>
  <c r="D4660" i="7"/>
  <c r="D4661" i="7"/>
  <c r="D4662" i="7"/>
  <c r="D4663" i="7"/>
  <c r="D4664" i="7"/>
  <c r="D4665" i="7"/>
  <c r="D4666" i="7"/>
  <c r="D4667" i="7"/>
  <c r="D4668" i="7"/>
  <c r="D4669" i="7"/>
  <c r="D4670" i="7"/>
  <c r="D4671" i="7"/>
  <c r="D4672" i="7"/>
  <c r="D4673" i="7"/>
  <c r="D4674" i="7"/>
  <c r="D4675" i="7"/>
  <c r="D4676" i="7"/>
  <c r="D4677" i="7"/>
  <c r="D4678" i="7"/>
  <c r="D4679" i="7"/>
  <c r="D4680" i="7"/>
  <c r="D4681" i="7"/>
  <c r="D4682" i="7"/>
  <c r="D4683" i="7"/>
  <c r="D4684" i="7"/>
  <c r="D4685" i="7"/>
  <c r="D4686" i="7"/>
  <c r="D4687" i="7"/>
  <c r="D4688" i="7"/>
  <c r="D4689" i="7"/>
  <c r="D4690" i="7"/>
  <c r="D4691" i="7"/>
  <c r="D4692" i="7"/>
  <c r="D4693" i="7"/>
  <c r="D4694" i="7"/>
  <c r="D4695" i="7"/>
  <c r="D4696" i="7"/>
  <c r="D4697" i="7"/>
  <c r="D4698" i="7"/>
  <c r="D4699" i="7"/>
  <c r="D4700" i="7"/>
  <c r="D4701" i="7"/>
  <c r="D4702" i="7"/>
  <c r="D4703" i="7"/>
  <c r="D4704" i="7"/>
  <c r="D4705" i="7"/>
  <c r="D4706" i="7"/>
  <c r="D4707" i="7"/>
  <c r="D4708" i="7"/>
  <c r="D4709" i="7"/>
  <c r="D4710" i="7"/>
  <c r="D4711" i="7"/>
  <c r="D4712" i="7"/>
  <c r="D4713" i="7"/>
  <c r="D4714" i="7"/>
  <c r="D4715" i="7"/>
  <c r="D4716" i="7"/>
  <c r="D4717" i="7"/>
  <c r="D4718" i="7"/>
  <c r="D4719" i="7"/>
  <c r="D4720" i="7"/>
  <c r="D4721" i="7"/>
  <c r="D4722" i="7"/>
  <c r="D4723" i="7"/>
  <c r="D4724" i="7"/>
  <c r="D4725" i="7"/>
  <c r="D4726" i="7"/>
  <c r="D4727" i="7"/>
  <c r="D4728" i="7"/>
  <c r="D4729" i="7"/>
  <c r="D4730" i="7"/>
  <c r="D4731" i="7"/>
  <c r="D4732" i="7"/>
  <c r="D4733" i="7"/>
  <c r="D4734" i="7"/>
  <c r="D4735" i="7"/>
  <c r="D4736" i="7"/>
  <c r="D4737" i="7"/>
  <c r="D4738" i="7"/>
  <c r="D4739" i="7"/>
  <c r="D4740" i="7"/>
  <c r="D4741" i="7"/>
  <c r="D4742" i="7"/>
  <c r="D4743" i="7"/>
  <c r="D4744" i="7"/>
  <c r="D4745" i="7"/>
  <c r="D4746" i="7"/>
  <c r="D4747" i="7"/>
  <c r="D4748" i="7"/>
  <c r="D4749" i="7"/>
  <c r="D4750" i="7"/>
  <c r="D4751" i="7"/>
  <c r="D4752" i="7"/>
  <c r="D4753" i="7"/>
  <c r="D4754" i="7"/>
  <c r="D4755" i="7"/>
  <c r="D4756" i="7"/>
  <c r="D4757" i="7"/>
  <c r="D4758" i="7"/>
  <c r="D4759" i="7"/>
  <c r="D4760" i="7"/>
  <c r="D4761" i="7"/>
  <c r="D4762" i="7"/>
  <c r="D4763" i="7"/>
  <c r="D4764" i="7"/>
  <c r="D4765" i="7"/>
  <c r="D4766" i="7"/>
  <c r="D4767" i="7"/>
  <c r="D4768" i="7"/>
  <c r="D4769" i="7"/>
  <c r="D4770" i="7"/>
  <c r="D4771" i="7"/>
  <c r="D4772" i="7"/>
  <c r="D4773" i="7"/>
  <c r="D4774" i="7"/>
  <c r="D4775" i="7"/>
  <c r="D4776" i="7"/>
  <c r="D4777" i="7"/>
  <c r="D4778" i="7"/>
  <c r="D4779" i="7"/>
  <c r="D4780" i="7"/>
  <c r="D4781" i="7"/>
  <c r="D4782" i="7"/>
  <c r="D4783" i="7"/>
  <c r="D4784" i="7"/>
  <c r="D4785" i="7"/>
  <c r="D4786" i="7"/>
  <c r="D4787" i="7"/>
  <c r="D4788" i="7"/>
  <c r="D4789" i="7"/>
  <c r="D4790" i="7"/>
  <c r="D4791" i="7"/>
  <c r="D4792" i="7"/>
  <c r="D4793" i="7"/>
  <c r="D4794" i="7"/>
  <c r="D4795" i="7"/>
  <c r="D4796" i="7"/>
  <c r="D4797" i="7"/>
  <c r="D4798" i="7"/>
  <c r="D4799" i="7"/>
  <c r="D4800" i="7"/>
  <c r="D4801" i="7"/>
  <c r="D4802" i="7"/>
  <c r="D4803" i="7"/>
  <c r="D4804" i="7"/>
  <c r="D4805" i="7"/>
  <c r="D4806" i="7"/>
  <c r="D4807" i="7"/>
  <c r="D4808" i="7"/>
  <c r="D4809" i="7"/>
  <c r="D4810" i="7"/>
  <c r="D4811" i="7"/>
  <c r="D4812" i="7"/>
  <c r="D4813" i="7"/>
  <c r="D4814" i="7"/>
  <c r="D4815" i="7"/>
  <c r="D4816" i="7"/>
  <c r="D4817" i="7"/>
  <c r="D4818" i="7"/>
  <c r="D4819" i="7"/>
  <c r="D4820" i="7"/>
  <c r="D4821" i="7"/>
  <c r="D4822" i="7"/>
  <c r="D4823" i="7"/>
  <c r="D4824" i="7"/>
  <c r="D4825" i="7"/>
  <c r="D4826" i="7"/>
  <c r="D4827" i="7"/>
  <c r="D4828" i="7"/>
  <c r="D4829" i="7"/>
  <c r="D4830" i="7"/>
  <c r="D4831" i="7"/>
  <c r="D4832" i="7"/>
  <c r="D4833" i="7"/>
  <c r="D4834" i="7"/>
  <c r="D4835" i="7"/>
  <c r="D4836" i="7"/>
  <c r="D4837" i="7"/>
  <c r="D4838" i="7"/>
  <c r="D4839" i="7"/>
  <c r="D4840" i="7"/>
  <c r="D4841" i="7"/>
  <c r="D4842" i="7"/>
  <c r="D4843" i="7"/>
  <c r="D4844" i="7"/>
  <c r="D4845" i="7"/>
  <c r="D4846" i="7"/>
  <c r="D4847" i="7"/>
  <c r="D4848" i="7"/>
  <c r="D4849" i="7"/>
  <c r="D4850" i="7"/>
  <c r="D4851" i="7"/>
  <c r="D4852" i="7"/>
  <c r="D4853" i="7"/>
  <c r="D4854" i="7"/>
  <c r="D4855" i="7"/>
  <c r="D4856" i="7"/>
  <c r="D4857" i="7"/>
  <c r="D4858" i="7"/>
  <c r="D4859" i="7"/>
  <c r="D4860" i="7"/>
  <c r="D4861" i="7"/>
  <c r="D4862" i="7"/>
  <c r="D4863" i="7"/>
  <c r="D4864" i="7"/>
  <c r="D4865" i="7"/>
  <c r="D4866" i="7"/>
  <c r="D4867" i="7"/>
  <c r="D4868" i="7"/>
  <c r="D4869" i="7"/>
  <c r="D4870" i="7"/>
  <c r="D4871" i="7"/>
  <c r="D4872" i="7"/>
  <c r="D4873" i="7"/>
  <c r="D4874" i="7"/>
  <c r="D4875" i="7"/>
  <c r="D4876" i="7"/>
  <c r="D4877" i="7"/>
  <c r="D4878" i="7"/>
  <c r="D4879" i="7"/>
  <c r="D4880" i="7"/>
  <c r="D4881" i="7"/>
  <c r="D4882" i="7"/>
  <c r="D4883" i="7"/>
  <c r="D4884" i="7"/>
  <c r="D4885" i="7"/>
  <c r="D4886" i="7"/>
  <c r="D4887" i="7"/>
  <c r="D4888" i="7"/>
  <c r="D4889" i="7"/>
  <c r="D4890" i="7"/>
  <c r="D4891" i="7"/>
  <c r="D4892" i="7"/>
  <c r="D4893" i="7"/>
  <c r="D4894" i="7"/>
  <c r="D4895" i="7"/>
  <c r="D4896" i="7"/>
  <c r="D4897" i="7"/>
  <c r="D4898" i="7"/>
  <c r="D4899" i="7"/>
  <c r="D4900" i="7"/>
  <c r="D4901" i="7"/>
  <c r="D4902" i="7"/>
  <c r="D4903" i="7"/>
  <c r="D4904" i="7"/>
  <c r="D4905" i="7"/>
  <c r="D4906" i="7"/>
  <c r="D4907" i="7"/>
  <c r="D4908" i="7"/>
  <c r="D4909" i="7"/>
  <c r="D4910" i="7"/>
  <c r="D4911" i="7"/>
  <c r="D4912" i="7"/>
  <c r="D4913" i="7"/>
  <c r="D4914" i="7"/>
  <c r="D4915" i="7"/>
  <c r="D4916" i="7"/>
  <c r="D4917" i="7"/>
  <c r="D4918" i="7"/>
  <c r="D4919" i="7"/>
  <c r="D4920" i="7"/>
  <c r="D4921" i="7"/>
  <c r="D4922" i="7"/>
  <c r="D4923" i="7"/>
  <c r="D4924" i="7"/>
  <c r="D4925" i="7"/>
  <c r="D4926" i="7"/>
  <c r="D4927" i="7"/>
  <c r="D4928" i="7"/>
  <c r="D4929" i="7"/>
  <c r="D4930" i="7"/>
  <c r="D4931" i="7"/>
  <c r="D4932" i="7"/>
  <c r="D4933" i="7"/>
  <c r="D4934" i="7"/>
  <c r="D4935" i="7"/>
  <c r="D4936" i="7"/>
  <c r="D4937" i="7"/>
  <c r="D4938" i="7"/>
  <c r="D4939" i="7"/>
  <c r="D4940" i="7"/>
  <c r="D4941" i="7"/>
  <c r="D4942" i="7"/>
  <c r="D4943" i="7"/>
  <c r="D4944" i="7"/>
  <c r="D4945" i="7"/>
  <c r="D4946" i="7"/>
  <c r="D4947" i="7"/>
  <c r="D4948" i="7"/>
  <c r="D4949" i="7"/>
  <c r="D4950" i="7"/>
  <c r="D4951" i="7"/>
  <c r="D4952" i="7"/>
  <c r="D4953" i="7"/>
  <c r="D4954" i="7"/>
  <c r="D4955" i="7"/>
  <c r="D4956" i="7"/>
  <c r="D4957" i="7"/>
  <c r="D4958" i="7"/>
  <c r="D4959" i="7"/>
  <c r="D4960" i="7"/>
  <c r="D4961" i="7"/>
  <c r="D4962" i="7"/>
  <c r="D4963" i="7"/>
  <c r="D4964" i="7"/>
  <c r="D4965" i="7"/>
  <c r="D4966" i="7"/>
  <c r="D4967" i="7"/>
  <c r="D4968" i="7"/>
  <c r="D4969" i="7"/>
  <c r="D4970" i="7"/>
  <c r="D4971" i="7"/>
  <c r="D4972" i="7"/>
  <c r="D4973" i="7"/>
  <c r="D4974" i="7"/>
  <c r="D4975" i="7"/>
  <c r="D4976" i="7"/>
  <c r="D4977" i="7"/>
  <c r="D4978" i="7"/>
  <c r="D4979" i="7"/>
  <c r="D4980" i="7"/>
  <c r="D4981" i="7"/>
  <c r="D4982" i="7"/>
  <c r="D4983" i="7"/>
  <c r="D4984" i="7"/>
  <c r="D4985" i="7"/>
  <c r="D4986" i="7"/>
  <c r="D4987" i="7"/>
  <c r="D4988" i="7"/>
  <c r="D4989" i="7"/>
  <c r="D4990" i="7"/>
  <c r="D4991" i="7"/>
  <c r="D4992" i="7"/>
  <c r="D4993" i="7"/>
  <c r="D4994" i="7"/>
  <c r="D4995" i="7"/>
  <c r="D4996" i="7"/>
  <c r="D4997" i="7"/>
  <c r="D4998" i="7"/>
  <c r="D4999" i="7"/>
  <c r="D5000" i="7"/>
  <c r="D5001" i="7"/>
  <c r="D5002" i="7"/>
  <c r="D5003" i="7"/>
  <c r="D5004" i="7"/>
  <c r="D5005" i="7"/>
  <c r="D5006" i="7"/>
  <c r="D5007" i="7"/>
  <c r="D5008" i="7"/>
  <c r="D5009" i="7"/>
  <c r="D5010" i="7"/>
  <c r="D5011" i="7"/>
  <c r="D5012" i="7"/>
  <c r="D5013" i="7"/>
  <c r="D5014" i="7"/>
  <c r="D5015" i="7"/>
  <c r="D5016" i="7"/>
  <c r="D5017" i="7"/>
  <c r="D5018" i="7"/>
  <c r="D5019" i="7"/>
  <c r="D5020" i="7"/>
  <c r="D5021" i="7"/>
  <c r="D5022" i="7"/>
  <c r="D5023" i="7"/>
  <c r="D5024" i="7"/>
  <c r="D5025" i="7"/>
  <c r="D5026" i="7"/>
  <c r="D5027" i="7"/>
  <c r="D5028" i="7"/>
  <c r="D5029" i="7"/>
  <c r="D5030" i="7"/>
  <c r="D5031" i="7"/>
  <c r="D5032" i="7"/>
  <c r="D5033" i="7"/>
  <c r="D5034" i="7"/>
  <c r="D5035" i="7"/>
  <c r="D5036" i="7"/>
  <c r="D5037" i="7"/>
  <c r="D5038" i="7"/>
  <c r="D5039" i="7"/>
  <c r="D5040" i="7"/>
  <c r="D5041" i="7"/>
  <c r="D5042" i="7"/>
  <c r="D5043" i="7"/>
  <c r="D5044" i="7"/>
  <c r="D5045" i="7"/>
  <c r="D5046" i="7"/>
  <c r="D5047" i="7"/>
  <c r="D5048" i="7"/>
  <c r="D5049" i="7"/>
  <c r="D5050" i="7"/>
  <c r="D5051" i="7"/>
  <c r="D5052" i="7"/>
  <c r="D5053" i="7"/>
  <c r="D5054" i="7"/>
  <c r="D5055" i="7"/>
  <c r="D5056" i="7"/>
  <c r="D5057" i="7"/>
  <c r="D5058" i="7"/>
  <c r="D5059" i="7"/>
  <c r="D5060" i="7"/>
  <c r="D5061" i="7"/>
  <c r="D5062" i="7"/>
  <c r="D5063" i="7"/>
  <c r="D5064" i="7"/>
  <c r="D5065" i="7"/>
  <c r="D5066" i="7"/>
  <c r="D5067" i="7"/>
  <c r="D5068" i="7"/>
  <c r="D5069" i="7"/>
  <c r="D5070" i="7"/>
  <c r="D5071" i="7"/>
  <c r="D5072" i="7"/>
  <c r="D5073" i="7"/>
  <c r="D5074" i="7"/>
  <c r="D5075" i="7"/>
  <c r="D5076" i="7"/>
  <c r="D5077" i="7"/>
  <c r="D5078" i="7"/>
  <c r="D5079" i="7"/>
  <c r="D5080" i="7"/>
  <c r="D5081" i="7"/>
  <c r="D5082" i="7"/>
  <c r="D5083" i="7"/>
  <c r="D5084" i="7"/>
  <c r="D5085" i="7"/>
  <c r="D5086" i="7"/>
  <c r="D5087" i="7"/>
  <c r="D5088" i="7"/>
  <c r="D5089" i="7"/>
  <c r="D5090" i="7"/>
  <c r="D5091" i="7"/>
  <c r="D5092" i="7"/>
  <c r="D5093" i="7"/>
  <c r="D5094" i="7"/>
  <c r="D5095" i="7"/>
  <c r="D5096" i="7"/>
  <c r="D5097" i="7"/>
  <c r="D5098" i="7"/>
  <c r="D5099" i="7"/>
  <c r="D5100" i="7"/>
  <c r="D5101" i="7"/>
  <c r="D5102" i="7"/>
  <c r="D5103" i="7"/>
  <c r="D5104" i="7"/>
  <c r="D5105" i="7"/>
  <c r="D5106" i="7"/>
  <c r="D5107" i="7"/>
  <c r="D5108" i="7"/>
  <c r="D5109" i="7"/>
  <c r="D5110" i="7"/>
  <c r="D5111" i="7"/>
  <c r="D5112" i="7"/>
  <c r="D5113" i="7"/>
  <c r="D5114" i="7"/>
  <c r="D5115" i="7"/>
  <c r="D5116" i="7"/>
  <c r="D5117" i="7"/>
  <c r="D5118" i="7"/>
  <c r="D5119" i="7"/>
  <c r="D5120" i="7"/>
  <c r="D5121" i="7"/>
  <c r="D5122" i="7"/>
  <c r="D5123" i="7"/>
  <c r="D5124" i="7"/>
  <c r="D5125" i="7"/>
  <c r="D5126" i="7"/>
  <c r="D5127" i="7"/>
  <c r="D5128" i="7"/>
  <c r="D5129" i="7"/>
  <c r="D5130" i="7"/>
  <c r="D5131" i="7"/>
  <c r="D5132" i="7"/>
  <c r="D5133" i="7"/>
  <c r="D5134" i="7"/>
  <c r="D5135" i="7"/>
  <c r="D5136" i="7"/>
  <c r="D5137" i="7"/>
  <c r="D5138" i="7"/>
  <c r="D5139" i="7"/>
  <c r="D5140" i="7"/>
  <c r="D5141" i="7"/>
  <c r="D5142" i="7"/>
  <c r="D5143" i="7"/>
  <c r="D5144" i="7"/>
  <c r="D5145" i="7"/>
  <c r="D5146" i="7"/>
  <c r="D5147" i="7"/>
  <c r="D5148" i="7"/>
  <c r="D5149" i="7"/>
  <c r="D5150" i="7"/>
  <c r="D5151" i="7"/>
  <c r="D5152" i="7"/>
  <c r="D5153" i="7"/>
  <c r="D5154" i="7"/>
  <c r="D5155" i="7"/>
  <c r="D5156" i="7"/>
  <c r="D5157" i="7"/>
  <c r="D5158" i="7"/>
  <c r="D5159" i="7"/>
  <c r="D5160" i="7"/>
  <c r="D5161" i="7"/>
  <c r="D5162" i="7"/>
  <c r="D5163" i="7"/>
  <c r="D5164" i="7"/>
  <c r="D5165" i="7"/>
  <c r="D5166" i="7"/>
  <c r="D5167" i="7"/>
  <c r="D5168" i="7"/>
  <c r="D5169" i="7"/>
  <c r="D5170" i="7"/>
  <c r="D5171" i="7"/>
  <c r="D5172" i="7"/>
  <c r="D5173" i="7"/>
  <c r="D5174" i="7"/>
  <c r="D5175" i="7"/>
  <c r="D5176" i="7"/>
  <c r="D5177" i="7"/>
  <c r="D5178" i="7"/>
  <c r="D5179" i="7"/>
  <c r="D5180" i="7"/>
  <c r="D5181" i="7"/>
  <c r="D5182" i="7"/>
  <c r="D5183" i="7"/>
  <c r="D5184" i="7"/>
  <c r="D5185" i="7"/>
  <c r="D5186" i="7"/>
  <c r="D5187" i="7"/>
  <c r="D5188" i="7"/>
  <c r="D5189" i="7"/>
  <c r="D5190" i="7"/>
  <c r="D5191" i="7"/>
  <c r="D5192" i="7"/>
  <c r="D5193" i="7"/>
  <c r="D5194" i="7"/>
  <c r="D5195" i="7"/>
  <c r="D5196" i="7"/>
  <c r="D5197" i="7"/>
  <c r="D5198" i="7"/>
  <c r="D5199" i="7"/>
  <c r="D5200" i="7"/>
  <c r="D5201" i="7"/>
  <c r="D5202" i="7"/>
  <c r="D5203" i="7"/>
  <c r="D5204" i="7"/>
  <c r="D5205" i="7"/>
  <c r="D5206" i="7"/>
  <c r="D5207" i="7"/>
  <c r="D5208" i="7"/>
  <c r="D5209" i="7"/>
  <c r="D5210" i="7"/>
  <c r="D5211" i="7"/>
  <c r="D5212" i="7"/>
  <c r="D5213" i="7"/>
  <c r="D5214" i="7"/>
  <c r="D5215" i="7"/>
  <c r="D5216" i="7"/>
  <c r="D5217" i="7"/>
  <c r="D5218" i="7"/>
  <c r="D5219" i="7"/>
  <c r="D5220" i="7"/>
  <c r="D5221" i="7"/>
  <c r="D5222" i="7"/>
  <c r="D5223" i="7"/>
  <c r="D5224" i="7"/>
  <c r="D5225" i="7"/>
  <c r="D5226" i="7"/>
  <c r="D5227" i="7"/>
  <c r="D5228" i="7"/>
  <c r="D5229" i="7"/>
  <c r="D5230" i="7"/>
  <c r="D5231" i="7"/>
  <c r="D5232" i="7"/>
  <c r="D5233" i="7"/>
  <c r="D5234" i="7"/>
  <c r="D5235" i="7"/>
  <c r="D5236" i="7"/>
  <c r="D5237" i="7"/>
  <c r="D5238" i="7"/>
  <c r="D5239" i="7"/>
  <c r="D5240" i="7"/>
  <c r="D5241" i="7"/>
  <c r="D5242" i="7"/>
  <c r="D5243" i="7"/>
  <c r="D5244" i="7"/>
  <c r="D5245" i="7"/>
  <c r="D5246" i="7"/>
  <c r="D5247" i="7"/>
  <c r="D5248" i="7"/>
  <c r="D5249" i="7"/>
  <c r="D5250" i="7"/>
  <c r="D5251" i="7"/>
  <c r="D5252" i="7"/>
  <c r="D5253" i="7"/>
  <c r="D5254" i="7"/>
  <c r="D5255" i="7"/>
  <c r="D5256" i="7"/>
  <c r="D5257" i="7"/>
  <c r="D5258" i="7"/>
  <c r="D5259" i="7"/>
  <c r="D5260" i="7"/>
  <c r="D5261" i="7"/>
  <c r="D5262" i="7"/>
  <c r="D5263" i="7"/>
  <c r="D5264" i="7"/>
  <c r="D5265" i="7"/>
  <c r="D5266" i="7"/>
  <c r="D5267" i="7"/>
  <c r="D5268" i="7"/>
  <c r="D5269" i="7"/>
  <c r="D5270" i="7"/>
  <c r="D5271" i="7"/>
  <c r="D5272" i="7"/>
  <c r="D5273" i="7"/>
  <c r="D5274" i="7"/>
  <c r="D5275" i="7"/>
  <c r="D5276" i="7"/>
  <c r="D5277" i="7"/>
  <c r="D5278" i="7"/>
  <c r="D5279" i="7"/>
  <c r="D5280" i="7"/>
  <c r="D5281" i="7"/>
  <c r="D5282" i="7"/>
  <c r="D5283" i="7"/>
  <c r="D5284" i="7"/>
  <c r="D5285" i="7"/>
  <c r="D5286" i="7"/>
  <c r="D5287" i="7"/>
  <c r="D5288" i="7"/>
  <c r="D5289" i="7"/>
  <c r="D5290" i="7"/>
  <c r="D5291" i="7"/>
  <c r="D5292" i="7"/>
  <c r="D5293" i="7"/>
  <c r="D5294" i="7"/>
  <c r="D5295" i="7"/>
  <c r="D5296" i="7"/>
  <c r="D5297" i="7"/>
  <c r="D5298" i="7"/>
  <c r="D5299" i="7"/>
  <c r="D5300" i="7"/>
  <c r="D5301" i="7"/>
  <c r="D5302" i="7"/>
  <c r="D5303" i="7"/>
  <c r="D5304" i="7"/>
  <c r="D5305" i="7"/>
  <c r="D5306" i="7"/>
  <c r="D5307" i="7"/>
  <c r="D5308" i="7"/>
  <c r="D5309" i="7"/>
  <c r="D5310" i="7"/>
  <c r="D5311" i="7"/>
  <c r="D5312" i="7"/>
  <c r="D5313" i="7"/>
  <c r="D5314" i="7"/>
  <c r="D5315" i="7"/>
  <c r="D5316" i="7"/>
  <c r="D5317" i="7"/>
  <c r="D5318" i="7"/>
  <c r="D5319" i="7"/>
  <c r="D5320" i="7"/>
  <c r="D5321" i="7"/>
  <c r="D5322" i="7"/>
  <c r="D5323" i="7"/>
  <c r="D5324" i="7"/>
  <c r="D5325" i="7"/>
  <c r="D5326" i="7"/>
  <c r="D5327" i="7"/>
  <c r="D5328" i="7"/>
  <c r="D5329" i="7"/>
  <c r="D5330" i="7"/>
  <c r="D5331" i="7"/>
  <c r="D5332" i="7"/>
  <c r="D5333" i="7"/>
  <c r="D5334" i="7"/>
  <c r="D5335" i="7"/>
  <c r="D5336" i="7"/>
  <c r="D5337" i="7"/>
  <c r="D5338" i="7"/>
  <c r="D5339" i="7"/>
  <c r="D5340" i="7"/>
  <c r="D5341" i="7"/>
  <c r="D5342" i="7"/>
  <c r="D5343" i="7"/>
  <c r="D5344" i="7"/>
  <c r="D5345" i="7"/>
  <c r="D5346" i="7"/>
  <c r="D5347" i="7"/>
  <c r="D5348" i="7"/>
  <c r="D5349" i="7"/>
  <c r="D5350" i="7"/>
  <c r="D5351" i="7"/>
  <c r="D5352" i="7"/>
  <c r="D5353" i="7"/>
  <c r="D5354" i="7"/>
  <c r="D5355" i="7"/>
  <c r="D5356" i="7"/>
  <c r="D5357" i="7"/>
  <c r="D5358" i="7"/>
  <c r="D5359" i="7"/>
  <c r="D5360" i="7"/>
  <c r="D5361" i="7"/>
  <c r="D5362" i="7"/>
  <c r="D5363" i="7"/>
  <c r="D5364" i="7"/>
  <c r="D5365" i="7"/>
  <c r="D5366" i="7"/>
  <c r="D5367" i="7"/>
  <c r="D5368" i="7"/>
  <c r="D5369" i="7"/>
  <c r="D5370" i="7"/>
  <c r="D5371" i="7"/>
  <c r="D5372" i="7"/>
  <c r="D5373" i="7"/>
  <c r="D5374" i="7"/>
  <c r="D5375" i="7"/>
  <c r="D5376" i="7"/>
  <c r="D5377" i="7"/>
  <c r="D5378" i="7"/>
  <c r="D5379" i="7"/>
  <c r="D5380" i="7"/>
  <c r="D5381" i="7"/>
  <c r="D5382" i="7"/>
  <c r="D5383" i="7"/>
  <c r="D5384" i="7"/>
  <c r="D5385" i="7"/>
  <c r="D5386" i="7"/>
  <c r="D5387" i="7"/>
  <c r="D5388" i="7"/>
  <c r="D5389" i="7"/>
  <c r="D5390" i="7"/>
  <c r="D5391" i="7"/>
  <c r="D5392" i="7"/>
  <c r="D5393" i="7"/>
  <c r="D5394" i="7"/>
  <c r="D5395" i="7"/>
  <c r="D5396" i="7"/>
  <c r="D5397" i="7"/>
  <c r="D5398" i="7"/>
  <c r="D5399" i="7"/>
  <c r="D5400" i="7"/>
  <c r="D5401" i="7"/>
  <c r="D5402" i="7"/>
  <c r="D5403" i="7"/>
  <c r="D5404" i="7"/>
  <c r="D5405" i="7"/>
  <c r="D5406" i="7"/>
  <c r="D5407" i="7"/>
  <c r="D5408" i="7"/>
  <c r="D5409" i="7"/>
  <c r="D5410" i="7"/>
  <c r="D5411" i="7"/>
  <c r="D5412" i="7"/>
  <c r="D5413" i="7"/>
  <c r="D5414" i="7"/>
  <c r="D5415" i="7"/>
  <c r="D5416" i="7"/>
  <c r="D5417" i="7"/>
  <c r="D5418" i="7"/>
  <c r="D5419" i="7"/>
  <c r="D5420" i="7"/>
  <c r="D5421" i="7"/>
  <c r="D5422" i="7"/>
  <c r="D5423" i="7"/>
  <c r="D5424" i="7"/>
  <c r="D5425" i="7"/>
  <c r="D5426" i="7"/>
  <c r="D5427" i="7"/>
  <c r="D5428" i="7"/>
  <c r="D5429" i="7"/>
  <c r="D5430" i="7"/>
  <c r="D5431" i="7"/>
  <c r="D5432" i="7"/>
  <c r="D5433" i="7"/>
  <c r="D5434" i="7"/>
  <c r="D5435" i="7"/>
  <c r="D5436" i="7"/>
  <c r="D5437" i="7"/>
  <c r="D5438" i="7"/>
  <c r="D5439" i="7"/>
  <c r="D5440" i="7"/>
  <c r="D5441" i="7"/>
  <c r="D5442" i="7"/>
  <c r="D5443" i="7"/>
  <c r="D5444" i="7"/>
  <c r="D5445" i="7"/>
  <c r="D5446" i="7"/>
  <c r="D5447" i="7"/>
  <c r="D5448" i="7"/>
  <c r="D5449" i="7"/>
  <c r="D5450" i="7"/>
  <c r="D5451" i="7"/>
  <c r="D5452" i="7"/>
  <c r="D5453" i="7"/>
  <c r="D5454" i="7"/>
  <c r="D5455" i="7"/>
  <c r="D5456" i="7"/>
  <c r="D5457" i="7"/>
  <c r="D5458" i="7"/>
  <c r="D5459" i="7"/>
  <c r="D5460" i="7"/>
  <c r="D5461" i="7"/>
  <c r="D5462" i="7"/>
  <c r="D5463" i="7"/>
  <c r="D5464" i="7"/>
  <c r="D5465" i="7"/>
  <c r="D5466" i="7"/>
  <c r="D5467" i="7"/>
  <c r="D5468" i="7"/>
  <c r="D5469" i="7"/>
  <c r="D5470" i="7"/>
  <c r="D5471" i="7"/>
  <c r="D5472" i="7"/>
  <c r="D5473" i="7"/>
  <c r="D5474" i="7"/>
  <c r="D5475" i="7"/>
  <c r="D5476" i="7"/>
  <c r="D5477" i="7"/>
  <c r="D5478" i="7"/>
  <c r="D5479" i="7"/>
  <c r="D5480" i="7"/>
  <c r="D5481" i="7"/>
  <c r="D5482" i="7"/>
  <c r="D5483" i="7"/>
  <c r="D5484" i="7"/>
  <c r="D5485" i="7"/>
  <c r="D5486" i="7"/>
  <c r="D5487" i="7"/>
  <c r="D5488" i="7"/>
  <c r="D5489" i="7"/>
  <c r="D5490" i="7"/>
  <c r="D5491" i="7"/>
  <c r="D5492" i="7"/>
  <c r="D5493" i="7"/>
  <c r="D5494" i="7"/>
  <c r="D5495" i="7"/>
  <c r="D5496" i="7"/>
  <c r="D5497" i="7"/>
  <c r="D5498" i="7"/>
  <c r="D5499" i="7"/>
  <c r="D5500" i="7"/>
  <c r="D5501" i="7"/>
  <c r="D5502" i="7"/>
  <c r="D5503" i="7"/>
  <c r="D5504" i="7"/>
  <c r="D5505" i="7"/>
  <c r="D5506" i="7"/>
  <c r="D5507" i="7"/>
  <c r="D5508" i="7"/>
  <c r="D5509" i="7"/>
  <c r="D5510" i="7"/>
  <c r="D5511" i="7"/>
  <c r="D5512" i="7"/>
  <c r="D5513" i="7"/>
  <c r="D5514" i="7"/>
  <c r="D5515" i="7"/>
  <c r="D5516" i="7"/>
  <c r="D5517" i="7"/>
  <c r="D5518" i="7"/>
  <c r="D5519" i="7"/>
  <c r="D5520" i="7"/>
  <c r="D5521" i="7"/>
  <c r="D5522" i="7"/>
  <c r="D5523" i="7"/>
  <c r="D5524" i="7"/>
  <c r="D5525" i="7"/>
  <c r="D5526" i="7"/>
  <c r="D5527" i="7"/>
  <c r="D5528" i="7"/>
  <c r="D5529" i="7"/>
  <c r="D5530" i="7"/>
  <c r="D5531" i="7"/>
  <c r="D5532" i="7"/>
  <c r="D5533" i="7"/>
  <c r="D5534" i="7"/>
  <c r="D5535" i="7"/>
  <c r="D5536" i="7"/>
  <c r="D5537" i="7"/>
  <c r="D5538" i="7"/>
  <c r="D5539" i="7"/>
  <c r="D5540" i="7"/>
  <c r="D5541" i="7"/>
  <c r="D5542" i="7"/>
  <c r="D5543" i="7"/>
  <c r="D5544" i="7"/>
  <c r="D5545" i="7"/>
  <c r="D5546" i="7"/>
  <c r="D5547" i="7"/>
  <c r="D5548" i="7"/>
  <c r="D5549" i="7"/>
  <c r="D5550" i="7"/>
  <c r="D5551" i="7"/>
  <c r="D5552" i="7"/>
  <c r="D5553" i="7"/>
  <c r="D5554" i="7"/>
  <c r="D5555" i="7"/>
  <c r="D5556" i="7"/>
  <c r="D5557" i="7"/>
  <c r="D5558" i="7"/>
  <c r="D5559" i="7"/>
  <c r="D5560" i="7"/>
  <c r="D5561" i="7"/>
  <c r="D5562" i="7"/>
  <c r="D5563" i="7"/>
  <c r="D5564" i="7"/>
  <c r="D5565" i="7"/>
  <c r="D5566" i="7"/>
  <c r="D5567" i="7"/>
  <c r="D5568" i="7"/>
  <c r="D5569" i="7"/>
  <c r="D5570" i="7"/>
  <c r="D5571" i="7"/>
  <c r="D5572" i="7"/>
  <c r="D5573" i="7"/>
  <c r="D5574" i="7"/>
  <c r="D5575" i="7"/>
  <c r="D5576" i="7"/>
  <c r="D5577" i="7"/>
  <c r="D5578" i="7"/>
  <c r="D5579" i="7"/>
  <c r="D5580" i="7"/>
  <c r="D5581" i="7"/>
  <c r="D5582" i="7"/>
  <c r="D5583" i="7"/>
  <c r="D5584" i="7"/>
  <c r="D5585" i="7"/>
  <c r="D5586" i="7"/>
  <c r="D5587" i="7"/>
  <c r="D5588" i="7"/>
  <c r="D5589" i="7"/>
  <c r="D5590" i="7"/>
  <c r="D5591" i="7"/>
  <c r="D5592" i="7"/>
  <c r="D5593" i="7"/>
  <c r="D5594" i="7"/>
  <c r="D5595" i="7"/>
  <c r="D5596" i="7"/>
  <c r="D5597" i="7"/>
  <c r="D5598" i="7"/>
  <c r="D5599" i="7"/>
  <c r="D5600" i="7"/>
  <c r="D5601" i="7"/>
  <c r="D5602" i="7"/>
  <c r="D5603" i="7"/>
  <c r="D5604" i="7"/>
  <c r="D5605" i="7"/>
  <c r="D5606" i="7"/>
  <c r="D5607" i="7"/>
  <c r="D5608" i="7"/>
  <c r="D5609" i="7"/>
  <c r="D5610" i="7"/>
  <c r="D5611" i="7"/>
  <c r="D5612" i="7"/>
  <c r="D5613" i="7"/>
  <c r="D5614" i="7"/>
  <c r="D5615" i="7"/>
  <c r="D5616" i="7"/>
  <c r="D5617" i="7"/>
  <c r="D5618" i="7"/>
  <c r="D5619" i="7"/>
  <c r="D5620" i="7"/>
  <c r="D5621" i="7"/>
  <c r="D5622" i="7"/>
  <c r="D5623" i="7"/>
  <c r="D5624" i="7"/>
  <c r="D5625" i="7"/>
  <c r="D5626" i="7"/>
  <c r="D5627" i="7"/>
  <c r="D5628" i="7"/>
  <c r="D5629" i="7"/>
  <c r="D5630" i="7"/>
  <c r="D5631" i="7"/>
  <c r="D5632" i="7"/>
  <c r="D5633" i="7"/>
  <c r="D5634" i="7"/>
  <c r="D5635" i="7"/>
  <c r="D5636" i="7"/>
  <c r="D5637" i="7"/>
  <c r="D5638" i="7"/>
  <c r="D5639" i="7"/>
  <c r="D5640" i="7"/>
  <c r="D5641" i="7"/>
  <c r="D5642" i="7"/>
  <c r="D5643" i="7"/>
  <c r="D5644" i="7"/>
  <c r="D5645" i="7"/>
  <c r="D5646" i="7"/>
  <c r="D5647" i="7"/>
  <c r="D5648" i="7"/>
  <c r="D5649" i="7"/>
  <c r="D5650" i="7"/>
  <c r="D5651" i="7"/>
  <c r="D5652" i="7"/>
  <c r="D5653" i="7"/>
  <c r="D5654" i="7"/>
  <c r="D5655" i="7"/>
  <c r="D5656" i="7"/>
  <c r="D5657" i="7"/>
  <c r="D5658" i="7"/>
  <c r="D5659" i="7"/>
  <c r="D5660" i="7"/>
  <c r="D5661" i="7"/>
  <c r="D5662" i="7"/>
  <c r="D5663" i="7"/>
  <c r="D5664" i="7"/>
  <c r="D5665" i="7"/>
  <c r="D5666" i="7"/>
  <c r="D5667" i="7"/>
  <c r="D5668" i="7"/>
  <c r="D5669" i="7"/>
  <c r="D5670" i="7"/>
  <c r="D5671" i="7"/>
  <c r="D5672" i="7"/>
  <c r="D5673" i="7"/>
  <c r="D5674" i="7"/>
  <c r="D5675" i="7"/>
  <c r="D5676" i="7"/>
  <c r="D5677" i="7"/>
  <c r="D5678" i="7"/>
  <c r="D5679" i="7"/>
  <c r="D5680" i="7"/>
  <c r="D5681" i="7"/>
  <c r="D5682" i="7"/>
  <c r="D5683" i="7"/>
  <c r="D5684" i="7"/>
  <c r="D5685" i="7"/>
  <c r="D5686" i="7"/>
  <c r="D5687" i="7"/>
  <c r="D5688" i="7"/>
  <c r="D5689" i="7"/>
  <c r="D5690" i="7"/>
  <c r="D5691" i="7"/>
  <c r="D5692" i="7"/>
  <c r="D5693" i="7"/>
  <c r="D5694" i="7"/>
  <c r="D5695" i="7"/>
  <c r="D5696" i="7"/>
  <c r="D5697" i="7"/>
  <c r="D5698" i="7"/>
  <c r="D5699" i="7"/>
  <c r="D5700" i="7"/>
  <c r="D5701" i="7"/>
  <c r="D5702" i="7"/>
  <c r="D5703" i="7"/>
  <c r="D5704" i="7"/>
  <c r="D5705" i="7"/>
  <c r="D5706" i="7"/>
  <c r="D5707" i="7"/>
  <c r="D5708" i="7"/>
  <c r="D5709" i="7"/>
  <c r="D5710" i="7"/>
  <c r="D5711" i="7"/>
  <c r="D5712" i="7"/>
  <c r="D5713" i="7"/>
  <c r="D5714" i="7"/>
  <c r="D5715" i="7"/>
  <c r="D5716" i="7"/>
  <c r="D5717" i="7"/>
  <c r="D5718" i="7"/>
  <c r="D5719" i="7"/>
  <c r="D5720" i="7"/>
  <c r="D5721" i="7"/>
  <c r="D5722" i="7"/>
  <c r="D5723" i="7"/>
  <c r="D5724" i="7"/>
  <c r="D5725" i="7"/>
  <c r="D5726" i="7"/>
  <c r="D5727" i="7"/>
  <c r="D5728" i="7"/>
  <c r="D5729" i="7"/>
  <c r="D5730" i="7"/>
  <c r="D5731" i="7"/>
  <c r="D5732" i="7"/>
  <c r="D5733" i="7"/>
  <c r="D5734" i="7"/>
  <c r="D5735" i="7"/>
  <c r="D5736" i="7"/>
  <c r="D5737" i="7"/>
  <c r="D5738" i="7"/>
  <c r="D5739" i="7"/>
  <c r="D5740" i="7"/>
  <c r="D5741" i="7"/>
  <c r="D5742" i="7"/>
  <c r="D5743" i="7"/>
  <c r="D5744" i="7"/>
  <c r="D5745" i="7"/>
  <c r="D5746" i="7"/>
  <c r="D5747" i="7"/>
  <c r="D5748" i="7"/>
  <c r="D5749" i="7"/>
  <c r="D5750" i="7"/>
  <c r="D5751" i="7"/>
  <c r="D5752" i="7"/>
  <c r="D5753" i="7"/>
  <c r="D5754" i="7"/>
  <c r="D5755" i="7"/>
  <c r="D5756" i="7"/>
  <c r="D5757" i="7"/>
  <c r="D5758" i="7"/>
  <c r="D5759" i="7"/>
  <c r="D5760" i="7"/>
  <c r="D5761" i="7"/>
  <c r="D5762" i="7"/>
  <c r="D5763" i="7"/>
  <c r="D5764" i="7"/>
  <c r="D5765" i="7"/>
  <c r="D5766" i="7"/>
  <c r="D5767" i="7"/>
  <c r="D5768" i="7"/>
  <c r="D5769" i="7"/>
  <c r="D5770" i="7"/>
  <c r="D5771" i="7"/>
  <c r="D5772" i="7"/>
  <c r="D5773" i="7"/>
  <c r="D5774" i="7"/>
  <c r="D5775" i="7"/>
  <c r="D5776" i="7"/>
  <c r="D5777" i="7"/>
  <c r="D5778" i="7"/>
  <c r="D5779" i="7"/>
  <c r="D5780" i="7"/>
  <c r="D5781" i="7"/>
  <c r="D5782" i="7"/>
  <c r="D5783" i="7"/>
  <c r="D5784" i="7"/>
  <c r="D5785" i="7"/>
  <c r="D5786" i="7"/>
  <c r="D5787" i="7"/>
  <c r="D5788" i="7"/>
  <c r="D5789" i="7"/>
  <c r="D5790" i="7"/>
  <c r="D5791" i="7"/>
  <c r="D5792" i="7"/>
  <c r="D5793" i="7"/>
  <c r="D5794" i="7"/>
  <c r="D5795" i="7"/>
  <c r="D5796" i="7"/>
  <c r="D5797" i="7"/>
  <c r="D5798" i="7"/>
  <c r="D5799" i="7"/>
  <c r="D5800" i="7"/>
  <c r="D5801" i="7"/>
  <c r="D5802" i="7"/>
  <c r="D5803" i="7"/>
  <c r="D5804" i="7"/>
  <c r="D5805" i="7"/>
  <c r="D5806" i="7"/>
  <c r="D5807" i="7"/>
  <c r="D5808" i="7"/>
  <c r="D5809" i="7"/>
  <c r="D5810" i="7"/>
  <c r="D5811" i="7"/>
  <c r="D5812" i="7"/>
  <c r="D5813" i="7"/>
  <c r="D5814" i="7"/>
  <c r="D5815" i="7"/>
  <c r="D5816" i="7"/>
  <c r="D5817" i="7"/>
  <c r="D5818" i="7"/>
  <c r="D5819" i="7"/>
  <c r="D5820" i="7"/>
  <c r="D5821" i="7"/>
  <c r="D5822" i="7"/>
  <c r="D5823" i="7"/>
  <c r="D5824" i="7"/>
  <c r="D5825" i="7"/>
  <c r="D5826" i="7"/>
  <c r="D5827" i="7"/>
  <c r="D5828" i="7"/>
  <c r="D5829" i="7"/>
  <c r="D5830" i="7"/>
  <c r="D5831" i="7"/>
  <c r="D5832" i="7"/>
  <c r="D5833" i="7"/>
  <c r="D5834" i="7"/>
  <c r="D5835" i="7"/>
  <c r="D5836" i="7"/>
  <c r="D5837" i="7"/>
  <c r="D5838" i="7"/>
  <c r="D5839" i="7"/>
  <c r="D5840" i="7"/>
  <c r="D5841" i="7"/>
  <c r="D5842" i="7"/>
  <c r="D5843" i="7"/>
  <c r="D5844" i="7"/>
  <c r="D5845" i="7"/>
  <c r="D5846" i="7"/>
  <c r="D5847" i="7"/>
  <c r="D5848" i="7"/>
  <c r="D5849" i="7"/>
  <c r="D5850" i="7"/>
  <c r="D5851" i="7"/>
  <c r="D5852" i="7"/>
  <c r="D5853" i="7"/>
  <c r="D5854" i="7"/>
  <c r="D5855" i="7"/>
  <c r="D5856" i="7"/>
  <c r="D5857" i="7"/>
  <c r="D5858" i="7"/>
  <c r="D5859" i="7"/>
  <c r="D5860" i="7"/>
  <c r="D5861" i="7"/>
  <c r="D5862" i="7"/>
  <c r="D5863" i="7"/>
  <c r="D5864" i="7"/>
  <c r="D5865" i="7"/>
  <c r="D5866" i="7"/>
  <c r="D5867" i="7"/>
  <c r="D5868" i="7"/>
  <c r="D5869" i="7"/>
  <c r="D5870" i="7"/>
  <c r="D5871" i="7"/>
  <c r="D5872" i="7"/>
  <c r="D5873" i="7"/>
  <c r="D5874" i="7"/>
  <c r="D5875" i="7"/>
  <c r="D5876" i="7"/>
  <c r="D5877" i="7"/>
  <c r="D5878" i="7"/>
  <c r="D5879" i="7"/>
  <c r="D5880" i="7"/>
  <c r="D5881" i="7"/>
  <c r="D5882" i="7"/>
  <c r="D5883" i="7"/>
  <c r="D5884" i="7"/>
  <c r="D5885" i="7"/>
  <c r="D5886" i="7"/>
  <c r="D5887" i="7"/>
  <c r="D5888" i="7"/>
  <c r="D5889" i="7"/>
  <c r="D5890" i="7"/>
  <c r="D5891" i="7"/>
  <c r="D5892" i="7"/>
  <c r="D5893" i="7"/>
  <c r="D5894" i="7"/>
  <c r="D5895" i="7"/>
  <c r="D5896" i="7"/>
  <c r="D5897" i="7"/>
  <c r="D5898" i="7"/>
  <c r="D5899" i="7"/>
  <c r="D5900" i="7"/>
  <c r="D5901" i="7"/>
  <c r="D5902" i="7"/>
  <c r="D5903" i="7"/>
  <c r="D5904" i="7"/>
  <c r="D5905" i="7"/>
  <c r="D5906" i="7"/>
  <c r="D5907" i="7"/>
  <c r="D5908" i="7"/>
  <c r="D5909" i="7"/>
  <c r="D5910" i="7"/>
  <c r="D5911" i="7"/>
  <c r="D5912" i="7"/>
  <c r="D5913" i="7"/>
  <c r="D5914" i="7"/>
  <c r="D5915" i="7"/>
  <c r="D5916" i="7"/>
  <c r="D5917" i="7"/>
  <c r="D5918" i="7"/>
  <c r="D5919" i="7"/>
  <c r="D5920" i="7"/>
  <c r="D5921" i="7"/>
  <c r="D5922" i="7"/>
  <c r="D5923" i="7"/>
  <c r="D5924" i="7"/>
  <c r="D5925" i="7"/>
  <c r="D5926" i="7"/>
  <c r="D5927" i="7"/>
  <c r="D5928" i="7"/>
  <c r="D5929" i="7"/>
  <c r="D5930" i="7"/>
  <c r="D5931" i="7"/>
  <c r="D5932" i="7"/>
  <c r="D5933" i="7"/>
  <c r="D5934" i="7"/>
  <c r="D5935" i="7"/>
  <c r="D5936" i="7"/>
  <c r="D5937" i="7"/>
  <c r="D5938" i="7"/>
  <c r="D5939" i="7"/>
  <c r="D5940" i="7"/>
  <c r="D5941" i="7"/>
  <c r="D5942" i="7"/>
  <c r="D5943" i="7"/>
  <c r="D5944" i="7"/>
  <c r="D5945" i="7"/>
  <c r="D5946" i="7"/>
  <c r="D5947" i="7"/>
  <c r="D5948" i="7"/>
  <c r="D5949" i="7"/>
  <c r="D5950" i="7"/>
  <c r="D5951" i="7"/>
  <c r="D5952" i="7"/>
  <c r="D5953" i="7"/>
  <c r="D5954" i="7"/>
  <c r="D5955" i="7"/>
  <c r="D5956" i="7"/>
  <c r="D5957" i="7"/>
  <c r="D5958" i="7"/>
  <c r="D5959" i="7"/>
  <c r="D5960" i="7"/>
  <c r="D5961" i="7"/>
  <c r="D5962" i="7"/>
  <c r="D5963" i="7"/>
  <c r="D5964" i="7"/>
  <c r="D5965" i="7"/>
  <c r="D5966" i="7"/>
  <c r="D5967" i="7"/>
  <c r="D5968" i="7"/>
  <c r="D5969" i="7"/>
  <c r="D5970" i="7"/>
  <c r="D5971" i="7"/>
  <c r="D5972" i="7"/>
  <c r="D5973" i="7"/>
  <c r="D5974" i="7"/>
  <c r="D5975" i="7"/>
  <c r="D5976" i="7"/>
  <c r="D5977" i="7"/>
  <c r="D5978" i="7"/>
  <c r="D5979" i="7"/>
  <c r="D5980" i="7"/>
  <c r="D5981" i="7"/>
  <c r="D5982" i="7"/>
  <c r="D5983" i="7"/>
  <c r="D5984" i="7"/>
  <c r="D5985" i="7"/>
  <c r="D5986" i="7"/>
  <c r="D5987" i="7"/>
  <c r="D5988" i="7"/>
  <c r="D5989" i="7"/>
  <c r="D5990" i="7"/>
  <c r="D5991" i="7"/>
  <c r="D5992" i="7"/>
  <c r="D5993" i="7"/>
  <c r="D5994" i="7"/>
  <c r="D5995" i="7"/>
  <c r="D5996" i="7"/>
  <c r="D5997" i="7"/>
  <c r="D5998" i="7"/>
  <c r="D5999" i="7"/>
  <c r="D6000" i="7"/>
  <c r="D6001" i="7"/>
  <c r="D6002" i="7"/>
  <c r="D6003" i="7"/>
  <c r="D6004" i="7"/>
  <c r="D6005" i="7"/>
  <c r="D6006" i="7"/>
  <c r="D6007" i="7"/>
  <c r="D6008" i="7"/>
  <c r="D6009" i="7"/>
  <c r="D6010" i="7"/>
  <c r="D6011" i="7"/>
  <c r="D6012" i="7"/>
  <c r="D6013" i="7"/>
  <c r="D6014" i="7"/>
  <c r="D6015" i="7"/>
  <c r="D6016" i="7"/>
  <c r="D6017" i="7"/>
  <c r="D6018" i="7"/>
  <c r="D6019" i="7"/>
  <c r="D6020" i="7"/>
  <c r="D6021" i="7"/>
  <c r="D6022" i="7"/>
  <c r="D6023" i="7"/>
  <c r="D6024" i="7"/>
  <c r="D6025" i="7"/>
  <c r="D6026" i="7"/>
  <c r="D9" i="1" a="1"/>
  <c r="D9" i="1" s="1"/>
  <c r="D8" i="1" a="1"/>
  <c r="D8" i="1" s="1"/>
  <c r="D12" i="1" a="1"/>
  <c r="D12" i="1" s="1"/>
  <c r="D11" i="1" a="1"/>
  <c r="D11" i="1" s="1"/>
  <c r="D10" i="1" a="1"/>
  <c r="D10" i="1" s="1"/>
  <c r="D7" i="1" a="1"/>
  <c r="D7" i="1" s="1"/>
  <c r="D6" i="1"/>
  <c r="D5" i="1"/>
  <c r="D4" i="1"/>
  <c r="D3" i="1"/>
  <c r="D2" i="1"/>
  <c r="E16" i="1" l="1"/>
  <c r="H3" i="5"/>
  <c r="E19" i="1"/>
  <c r="E1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43276E-8AEB-064D-80F4-33DD7A45AC59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6A3A93F3-D8BB-5243-B2D8-A333113A04B7}" keepAlive="1" name="Query - inventory_snapshots" description="Connection to the 'inventory_snapshots' query in the workbook." type="5" refreshedVersion="0" background="1">
    <dbPr connection="Provider=Microsoft.Mashup.OleDb.1;Data Source=$Workbook$;Location=inventory_snapshots;Extended Properties=&quot;&quot;" command="SELECT * FROM [inventory_snapshots]"/>
  </connection>
  <connection id="3" xr16:uid="{880C439F-FD66-6249-A569-8D216A133527}" keepAlive="1" name="Query - order_items" description="Connection to the 'order_items' query in the workbook." type="5" refreshedVersion="0" background="1">
    <dbPr connection="Provider=Microsoft.Mashup.OleDb.1;Data Source=$Workbook$;Location=order_items;Extended Properties=&quot;&quot;" command="SELECT * FROM [order_items]"/>
  </connection>
  <connection id="4" xr16:uid="{0A8471DC-1AEF-3A44-A409-F4F82D7F1F6B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5" xr16:uid="{E2C4B442-3A11-6C4F-98B7-05B8ED4236F4}" keepAlive="1" name="Query - shipments" description="Connection to the 'shipments' query in the workbook." type="5" refreshedVersion="8" background="1" saveData="1">
    <dbPr connection="Provider=Microsoft.Mashup.OleDb.1;Data Source=$Workbook$;Location=shipments;Extended Properties=&quot;&quot;" command="SELECT * FROM [shipments]"/>
  </connection>
  <connection id="6" xr16:uid="{DF4316DC-9CE1-6C4E-ADC1-7C74F545A290}" keepAlive="1" name="Query - shipments (2)" description="Connection to the 'shipments (2)' query in the workbook." type="5" refreshedVersion="0" background="1">
    <dbPr connection="Provider=Microsoft.Mashup.OleDb.1;Data Source=$Workbook$;Location=&quot;shipments (2)&quot;;Extended Properties=&quot;&quot;" command="SELECT * FROM [shipments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<sst xmlns="http://schemas.openxmlformats.org/spreadsheetml/2006/main" count="51237" uniqueCount="13405">
  <si>
    <t>customer_id</t>
  </si>
  <si>
    <t>customer_name</t>
  </si>
  <si>
    <t>segment</t>
  </si>
  <si>
    <t>city</t>
  </si>
  <si>
    <t>country</t>
  </si>
  <si>
    <t>signup_date</t>
  </si>
  <si>
    <t>C0001</t>
  </si>
  <si>
    <t>House and Sons</t>
  </si>
  <si>
    <t>Consumer</t>
  </si>
  <si>
    <t>South Todd</t>
  </si>
  <si>
    <t>Latvia</t>
  </si>
  <si>
    <t>C0002</t>
  </si>
  <si>
    <t>Barrera-Martin</t>
  </si>
  <si>
    <t>South Josephmouth</t>
  </si>
  <si>
    <t>Sweden</t>
  </si>
  <si>
    <t>C0003</t>
  </si>
  <si>
    <t>Bernard, Cowan and Peters</t>
  </si>
  <si>
    <t>Mooreport</t>
  </si>
  <si>
    <t>Estonia</t>
  </si>
  <si>
    <t>C0004</t>
  </si>
  <si>
    <t>Noah Brown</t>
  </si>
  <si>
    <t>SME</t>
  </si>
  <si>
    <t>Brianshire</t>
  </si>
  <si>
    <t>Poland</t>
  </si>
  <si>
    <t>C0005</t>
  </si>
  <si>
    <t>Moore, Yu and Miller</t>
  </si>
  <si>
    <t>North Brooke</t>
  </si>
  <si>
    <t>C0006</t>
  </si>
  <si>
    <t>Powell PLC</t>
  </si>
  <si>
    <t>New Brooke</t>
  </si>
  <si>
    <t>C0007</t>
  </si>
  <si>
    <t>Sandoval-Cunningham</t>
  </si>
  <si>
    <t>Sarahborough</t>
  </si>
  <si>
    <t>Netherlands</t>
  </si>
  <si>
    <t>C0008</t>
  </si>
  <si>
    <t>Allen-Foster</t>
  </si>
  <si>
    <t>Enterprise</t>
  </si>
  <si>
    <t>Stephenland</t>
  </si>
  <si>
    <t>C0009</t>
  </si>
  <si>
    <t>Murillo, Ferrell and Jones</t>
  </si>
  <si>
    <t>New Joseph</t>
  </si>
  <si>
    <t>Lithuania</t>
  </si>
  <si>
    <t>C0010</t>
  </si>
  <si>
    <t>Suarez LLC</t>
  </si>
  <si>
    <t>Ericside</t>
  </si>
  <si>
    <t>C0011</t>
  </si>
  <si>
    <t>Riggs, Roman and Rice</t>
  </si>
  <si>
    <t>Sarahville</t>
  </si>
  <si>
    <t>C0012</t>
  </si>
  <si>
    <t>Brian Rodriguez</t>
  </si>
  <si>
    <t>West Juan</t>
  </si>
  <si>
    <t>C0013</t>
  </si>
  <si>
    <t>Harris-Walters</t>
  </si>
  <si>
    <t>Williamview</t>
  </si>
  <si>
    <t>Germany</t>
  </si>
  <si>
    <t>C0014</t>
  </si>
  <si>
    <t>Anna Henderson</t>
  </si>
  <si>
    <t>Bradleymouth</t>
  </si>
  <si>
    <t>C0015</t>
  </si>
  <si>
    <t>Whitney, Martin and Ramos</t>
  </si>
  <si>
    <t>Hoffmanville</t>
  </si>
  <si>
    <t>C0016</t>
  </si>
  <si>
    <t>Mckee, Gardner and Davenport</t>
  </si>
  <si>
    <t>South David</t>
  </si>
  <si>
    <t>C0017</t>
  </si>
  <si>
    <t>Nolan and Sons</t>
  </si>
  <si>
    <t>Lake Curtis</t>
  </si>
  <si>
    <t>C0018</t>
  </si>
  <si>
    <t>Jennifer Oliver</t>
  </si>
  <si>
    <t>East Michelle</t>
  </si>
  <si>
    <t>C0019</t>
  </si>
  <si>
    <t>Keith Inc</t>
  </si>
  <si>
    <t>Lake Sandra</t>
  </si>
  <si>
    <t>C0020</t>
  </si>
  <si>
    <t>Pham-Shields</t>
  </si>
  <si>
    <t>West Erik</t>
  </si>
  <si>
    <t>Norway</t>
  </si>
  <si>
    <t>C0021</t>
  </si>
  <si>
    <t>Andrew Ruiz</t>
  </si>
  <si>
    <t>Port Samantha</t>
  </si>
  <si>
    <t>C0022</t>
  </si>
  <si>
    <t>Shelby Walker</t>
  </si>
  <si>
    <t>South Mark</t>
  </si>
  <si>
    <t>Finland</t>
  </si>
  <si>
    <t>C0023</t>
  </si>
  <si>
    <t>Bell-Hicks</t>
  </si>
  <si>
    <t>Sheilaville</t>
  </si>
  <si>
    <t>C0024</t>
  </si>
  <si>
    <t>White-Estes</t>
  </si>
  <si>
    <t>Benjaminchester</t>
  </si>
  <si>
    <t>C0025</t>
  </si>
  <si>
    <t>Graham-Joyce</t>
  </si>
  <si>
    <t>South Rachelborough</t>
  </si>
  <si>
    <t>C0026</t>
  </si>
  <si>
    <t>April Frost</t>
  </si>
  <si>
    <t>West Ryan</t>
  </si>
  <si>
    <t>C0027</t>
  </si>
  <si>
    <t>Hanson-Alvarado</t>
  </si>
  <si>
    <t>Lake Rachelhaven</t>
  </si>
  <si>
    <t>C0028</t>
  </si>
  <si>
    <t>Nguyen-Terry</t>
  </si>
  <si>
    <t>East Robert</t>
  </si>
  <si>
    <t>C0029</t>
  </si>
  <si>
    <t>Adkins, Thompson and Carroll</t>
  </si>
  <si>
    <t>Kelleytown</t>
  </si>
  <si>
    <t>Denmark</t>
  </si>
  <si>
    <t>C0030</t>
  </si>
  <si>
    <t>Richard Lawson</t>
  </si>
  <si>
    <t>Stevenmouth</t>
  </si>
  <si>
    <t>C0031</t>
  </si>
  <si>
    <t>Kennedy, Santana and Flynn</t>
  </si>
  <si>
    <t>Lake Christopher</t>
  </si>
  <si>
    <t>C0032</t>
  </si>
  <si>
    <t>Frances Cardenas</t>
  </si>
  <si>
    <t>Lake Lance</t>
  </si>
  <si>
    <t>C0033</t>
  </si>
  <si>
    <t>Angel Riggs</t>
  </si>
  <si>
    <t>South Robertshire</t>
  </si>
  <si>
    <t>C0034</t>
  </si>
  <si>
    <t>Cruz, Ross and Hernandez</t>
  </si>
  <si>
    <t>Port Michelleville</t>
  </si>
  <si>
    <t>C0035</t>
  </si>
  <si>
    <t>Thompson Ltd</t>
  </si>
  <si>
    <t>Williamsbury</t>
  </si>
  <si>
    <t>C0036</t>
  </si>
  <si>
    <t>Casey Marshall</t>
  </si>
  <si>
    <t>Stephaniemouth</t>
  </si>
  <si>
    <t>C0037</t>
  </si>
  <si>
    <t>Mcclain, Simmons and Meadows</t>
  </si>
  <si>
    <t>Merrittfort</t>
  </si>
  <si>
    <t>C0038</t>
  </si>
  <si>
    <t>Sara Ramirez</t>
  </si>
  <si>
    <t>Simsview</t>
  </si>
  <si>
    <t>C0039</t>
  </si>
  <si>
    <t>Mitchell, Nelson and Flores</t>
  </si>
  <si>
    <t>East Edwardfurt</t>
  </si>
  <si>
    <t>C0040</t>
  </si>
  <si>
    <t>Lewis, Perry and Rivera</t>
  </si>
  <si>
    <t>Perryborough</t>
  </si>
  <si>
    <t>C0041</t>
  </si>
  <si>
    <t>Stein-Silva</t>
  </si>
  <si>
    <t>Port Nicoleshire</t>
  </si>
  <si>
    <t>C0042</t>
  </si>
  <si>
    <t>Guy Molina</t>
  </si>
  <si>
    <t>Medinaside</t>
  </si>
  <si>
    <t>C0043</t>
  </si>
  <si>
    <t>Katherine Nelson</t>
  </si>
  <si>
    <t>Johnsonmouth</t>
  </si>
  <si>
    <t>C0044</t>
  </si>
  <si>
    <t>Ramsey-Pittman</t>
  </si>
  <si>
    <t>New Amanda</t>
  </si>
  <si>
    <t>C0045</t>
  </si>
  <si>
    <t>Elliott, Johnson and Day</t>
  </si>
  <si>
    <t>Port Steven</t>
  </si>
  <si>
    <t>C0046</t>
  </si>
  <si>
    <t>Murphy-Gibson</t>
  </si>
  <si>
    <t>Kathleenfurt</t>
  </si>
  <si>
    <t>C0047</t>
  </si>
  <si>
    <t>King-Miller</t>
  </si>
  <si>
    <t>Lake Amberstad</t>
  </si>
  <si>
    <t>C0048</t>
  </si>
  <si>
    <t>Harrington Ltd</t>
  </si>
  <si>
    <t>Port Anthonybury</t>
  </si>
  <si>
    <t>C0049</t>
  </si>
  <si>
    <t>Howell and Sons</t>
  </si>
  <si>
    <t>South Elizabeth</t>
  </si>
  <si>
    <t>C0050</t>
  </si>
  <si>
    <t>Marshall LLC</t>
  </si>
  <si>
    <t>Garyville</t>
  </si>
  <si>
    <t>C0051</t>
  </si>
  <si>
    <t>Eric Lane</t>
  </si>
  <si>
    <t>Barbarafurt</t>
  </si>
  <si>
    <t>C0052</t>
  </si>
  <si>
    <t>Angela Vaughn</t>
  </si>
  <si>
    <t>North Heidi</t>
  </si>
  <si>
    <t>C0053</t>
  </si>
  <si>
    <t>Renee Hogan</t>
  </si>
  <si>
    <t>West Amandastad</t>
  </si>
  <si>
    <t>C0054</t>
  </si>
  <si>
    <t>Peterson, Atkinson and Short</t>
  </si>
  <si>
    <t>South Susanmouth</t>
  </si>
  <si>
    <t>C0055</t>
  </si>
  <si>
    <t>Thompson-Boyd</t>
  </si>
  <si>
    <t>Christinaside</t>
  </si>
  <si>
    <t>C0056</t>
  </si>
  <si>
    <t>Graham-Simon</t>
  </si>
  <si>
    <t>Marcusbury</t>
  </si>
  <si>
    <t>C0057</t>
  </si>
  <si>
    <t>Ramirez Group</t>
  </si>
  <si>
    <t>C0058</t>
  </si>
  <si>
    <t>Rogers-Snyder</t>
  </si>
  <si>
    <t>Hunterborough</t>
  </si>
  <si>
    <t>C0059</t>
  </si>
  <si>
    <t>Peterson-Beard</t>
  </si>
  <si>
    <t>Angelahaven</t>
  </si>
  <si>
    <t>C0060</t>
  </si>
  <si>
    <t>Allen Group</t>
  </si>
  <si>
    <t>Petersbury</t>
  </si>
  <si>
    <t>C0061</t>
  </si>
  <si>
    <t>Katherine Mcguire</t>
  </si>
  <si>
    <t>West Jeffreybury</t>
  </si>
  <si>
    <t>C0062</t>
  </si>
  <si>
    <t>Kara Schmidt</t>
  </si>
  <si>
    <t>Barajasside</t>
  </si>
  <si>
    <t>C0063</t>
  </si>
  <si>
    <t>Chavez, Parker and Hall</t>
  </si>
  <si>
    <t>West David</t>
  </si>
  <si>
    <t>C0064</t>
  </si>
  <si>
    <t>Lopez, Robinson and Washington</t>
  </si>
  <si>
    <t>Tinaborough</t>
  </si>
  <si>
    <t>C0065</t>
  </si>
  <si>
    <t>White-Smith</t>
  </si>
  <si>
    <t>West Brandon</t>
  </si>
  <si>
    <t>C0066</t>
  </si>
  <si>
    <t>Terry-Martinez</t>
  </si>
  <si>
    <t>Garciatown</t>
  </si>
  <si>
    <t>C0067</t>
  </si>
  <si>
    <t>Mendoza-Peterson</t>
  </si>
  <si>
    <t>West Shelleyfort</t>
  </si>
  <si>
    <t>C0068</t>
  </si>
  <si>
    <t>Morales Inc</t>
  </si>
  <si>
    <t>East Edwardshire</t>
  </si>
  <si>
    <t>C0069</t>
  </si>
  <si>
    <t>David Grant</t>
  </si>
  <si>
    <t>Obrienbury</t>
  </si>
  <si>
    <t>C0070</t>
  </si>
  <si>
    <t>Hayes-Ramos</t>
  </si>
  <si>
    <t>Torreston</t>
  </si>
  <si>
    <t>C0071</t>
  </si>
  <si>
    <t>Garcia, Farmer and Garrett</t>
  </si>
  <si>
    <t>Donnaburgh</t>
  </si>
  <si>
    <t>C0072</t>
  </si>
  <si>
    <t>Jones, Smith and Hayes</t>
  </si>
  <si>
    <t>Carterbury</t>
  </si>
  <si>
    <t>C0073</t>
  </si>
  <si>
    <t>Warner-Gibson</t>
  </si>
  <si>
    <t>West Kristin</t>
  </si>
  <si>
    <t>C0074</t>
  </si>
  <si>
    <t>Lara, Gonzalez and Wilson</t>
  </si>
  <si>
    <t>Lake Edward</t>
  </si>
  <si>
    <t>C0075</t>
  </si>
  <si>
    <t>Jones and Sons</t>
  </si>
  <si>
    <t>Brookeshire</t>
  </si>
  <si>
    <t>C0076</t>
  </si>
  <si>
    <t>Martinez-Barker</t>
  </si>
  <si>
    <t>Benderhaven</t>
  </si>
  <si>
    <t>C0077</t>
  </si>
  <si>
    <t>Miller-Williams</t>
  </si>
  <si>
    <t>Navarroview</t>
  </si>
  <si>
    <t>C0078</t>
  </si>
  <si>
    <t>Hayden PLC</t>
  </si>
  <si>
    <t>Port Emilyview</t>
  </si>
  <si>
    <t>C0079</t>
  </si>
  <si>
    <t>Casey Stone</t>
  </si>
  <si>
    <t>Moonburgh</t>
  </si>
  <si>
    <t>C0080</t>
  </si>
  <si>
    <t>Walters-Vasquez</t>
  </si>
  <si>
    <t>South Michaelmouth</t>
  </si>
  <si>
    <t>C0081</t>
  </si>
  <si>
    <t>Hodge LLC</t>
  </si>
  <si>
    <t>Steeleport</t>
  </si>
  <si>
    <t>C0082</t>
  </si>
  <si>
    <t>Philip Johnson</t>
  </si>
  <si>
    <t>West Johnnyville</t>
  </si>
  <si>
    <t>C0083</t>
  </si>
  <si>
    <t>Hancock-Bryan</t>
  </si>
  <si>
    <t>Lake Mollymouth</t>
  </si>
  <si>
    <t>C0084</t>
  </si>
  <si>
    <t>Stone PLC</t>
  </si>
  <si>
    <t>Garrettton</t>
  </si>
  <si>
    <t>C0085</t>
  </si>
  <si>
    <t>Tanya Kim</t>
  </si>
  <si>
    <t>Martinezbury</t>
  </si>
  <si>
    <t>C0086</t>
  </si>
  <si>
    <t>Adam Russell</t>
  </si>
  <si>
    <t>Port Robin</t>
  </si>
  <si>
    <t>C0087</t>
  </si>
  <si>
    <t>Holland and Sons</t>
  </si>
  <si>
    <t>Cantuport</t>
  </si>
  <si>
    <t>C0088</t>
  </si>
  <si>
    <t>Ruben Baird</t>
  </si>
  <si>
    <t>South Andrea</t>
  </si>
  <si>
    <t>C0089</t>
  </si>
  <si>
    <t>Katie Suarez</t>
  </si>
  <si>
    <t>West Kendrachester</t>
  </si>
  <si>
    <t>C0090</t>
  </si>
  <si>
    <t>Debra Smith</t>
  </si>
  <si>
    <t>Maryshire</t>
  </si>
  <si>
    <t>C0091</t>
  </si>
  <si>
    <t>Grimes-Griffin</t>
  </si>
  <si>
    <t>Reedside</t>
  </si>
  <si>
    <t>C0092</t>
  </si>
  <si>
    <t>Timothy Kane</t>
  </si>
  <si>
    <t>New Patrick</t>
  </si>
  <si>
    <t>C0093</t>
  </si>
  <si>
    <t>Williams-Garner</t>
  </si>
  <si>
    <t>Hughesberg</t>
  </si>
  <si>
    <t>C0094</t>
  </si>
  <si>
    <t>Jonathan Lawrence</t>
  </si>
  <si>
    <t>Port Meganville</t>
  </si>
  <si>
    <t>C0095</t>
  </si>
  <si>
    <t>Smith-Thomas</t>
  </si>
  <si>
    <t>North Terrance</t>
  </si>
  <si>
    <t>C0096</t>
  </si>
  <si>
    <t>Hanson-Sanders</t>
  </si>
  <si>
    <t>Port Markside</t>
  </si>
  <si>
    <t>C0097</t>
  </si>
  <si>
    <t>Sims-Clay</t>
  </si>
  <si>
    <t>Brennanton</t>
  </si>
  <si>
    <t>C0098</t>
  </si>
  <si>
    <t>Welch LLC</t>
  </si>
  <si>
    <t>C0099</t>
  </si>
  <si>
    <t>Michele Garcia</t>
  </si>
  <si>
    <t>Lake Kevin</t>
  </si>
  <si>
    <t>C0100</t>
  </si>
  <si>
    <t>Flynn-Carter</t>
  </si>
  <si>
    <t>Ryanbury</t>
  </si>
  <si>
    <t>C0101</t>
  </si>
  <si>
    <t>Maldonado, White and Thompson</t>
  </si>
  <si>
    <t>Harveybury</t>
  </si>
  <si>
    <t>C0102</t>
  </si>
  <si>
    <t>Thomas, Murray and King</t>
  </si>
  <si>
    <t>Elizabethmouth</t>
  </si>
  <si>
    <t>C0103</t>
  </si>
  <si>
    <t>Payne, Jones and Landry</t>
  </si>
  <si>
    <t>Daniellechester</t>
  </si>
  <si>
    <t>C0104</t>
  </si>
  <si>
    <t>Eric Kidd</t>
  </si>
  <si>
    <t>Rodriguezfurt</t>
  </si>
  <si>
    <t>C0105</t>
  </si>
  <si>
    <t>Phillips, Lyons and Johnson</t>
  </si>
  <si>
    <t>Hillshire</t>
  </si>
  <si>
    <t>C0106</t>
  </si>
  <si>
    <t>Valerie Lozano</t>
  </si>
  <si>
    <t>Wallport</t>
  </si>
  <si>
    <t>C0107</t>
  </si>
  <si>
    <t>Lawson LLC</t>
  </si>
  <si>
    <t>Lake James</t>
  </si>
  <si>
    <t>C0108</t>
  </si>
  <si>
    <t>Patricia Becker</t>
  </si>
  <si>
    <t>Lake Colton</t>
  </si>
  <si>
    <t>C0109</t>
  </si>
  <si>
    <t>Parker Group</t>
  </si>
  <si>
    <t>New Michaelberg</t>
  </si>
  <si>
    <t>C0110</t>
  </si>
  <si>
    <t>Murphy-Perry</t>
  </si>
  <si>
    <t>East Kristin</t>
  </si>
  <si>
    <t>C0111</t>
  </si>
  <si>
    <t>Schmidt-Mcintyre</t>
  </si>
  <si>
    <t>West Robin</t>
  </si>
  <si>
    <t>C0112</t>
  </si>
  <si>
    <t>Elizabeth Harrell</t>
  </si>
  <si>
    <t>South Sydneyberg</t>
  </si>
  <si>
    <t>C0113</t>
  </si>
  <si>
    <t>Michael Craig</t>
  </si>
  <si>
    <t>Coffeyside</t>
  </si>
  <si>
    <t>C0114</t>
  </si>
  <si>
    <t>Smith-Herrera</t>
  </si>
  <si>
    <t>Richardsonview</t>
  </si>
  <si>
    <t>C0115</t>
  </si>
  <si>
    <t>Teresa Rodriguez</t>
  </si>
  <si>
    <t>South Angel</t>
  </si>
  <si>
    <t>C0116</t>
  </si>
  <si>
    <t>Murphy, Bishop and Holland</t>
  </si>
  <si>
    <t>Blankenshipport</t>
  </si>
  <si>
    <t>C0117</t>
  </si>
  <si>
    <t>Andrew Johnson</t>
  </si>
  <si>
    <t>Wilsonbury</t>
  </si>
  <si>
    <t>C0118</t>
  </si>
  <si>
    <t>Price LLC</t>
  </si>
  <si>
    <t>Matthewsberg</t>
  </si>
  <si>
    <t>C0119</t>
  </si>
  <si>
    <t>Garcia, Burns and Russell</t>
  </si>
  <si>
    <t>Antoniostad</t>
  </si>
  <si>
    <t>C0120</t>
  </si>
  <si>
    <t>Sampson-Foley</t>
  </si>
  <si>
    <t>Lake Michaelstad</t>
  </si>
  <si>
    <t>C0121</t>
  </si>
  <si>
    <t>Lopez-Martinez</t>
  </si>
  <si>
    <t>Davisborough</t>
  </si>
  <si>
    <t>C0122</t>
  </si>
  <si>
    <t>Maddox, Williams and Cook</t>
  </si>
  <si>
    <t>Port Anne</t>
  </si>
  <si>
    <t>C0123</t>
  </si>
  <si>
    <t>Clark, Robinson and Kane</t>
  </si>
  <si>
    <t>Kimtown</t>
  </si>
  <si>
    <t>C0124</t>
  </si>
  <si>
    <t>Huerta PLC</t>
  </si>
  <si>
    <t>Laurenville</t>
  </si>
  <si>
    <t>C0125</t>
  </si>
  <si>
    <t>Adrian Tyler</t>
  </si>
  <si>
    <t>New Mario</t>
  </si>
  <si>
    <t>C0126</t>
  </si>
  <si>
    <t>Martinez Group</t>
  </si>
  <si>
    <t>Lake Brycemouth</t>
  </si>
  <si>
    <t>C0127</t>
  </si>
  <si>
    <t>Wheeler, Hayes and Walker</t>
  </si>
  <si>
    <t>Lake Kristahaven</t>
  </si>
  <si>
    <t>C0128</t>
  </si>
  <si>
    <t>Maynard, Brown and Mendoza</t>
  </si>
  <si>
    <t>Simmonsville</t>
  </si>
  <si>
    <t>C0129</t>
  </si>
  <si>
    <t>Angel Miller</t>
  </si>
  <si>
    <t>North David</t>
  </si>
  <si>
    <t>C0130</t>
  </si>
  <si>
    <t>Kelley, Nguyen and Vang</t>
  </si>
  <si>
    <t>Shawnchester</t>
  </si>
  <si>
    <t>C0131</t>
  </si>
  <si>
    <t>Wilson, Pena and Rich</t>
  </si>
  <si>
    <t>South Shannon</t>
  </si>
  <si>
    <t>C0132</t>
  </si>
  <si>
    <t>Wilcox-Ross</t>
  </si>
  <si>
    <t>West Ronaldview</t>
  </si>
  <si>
    <t>C0133</t>
  </si>
  <si>
    <t>Thomas Jones</t>
  </si>
  <si>
    <t>North Ryanstad</t>
  </si>
  <si>
    <t>C0134</t>
  </si>
  <si>
    <t>Brown, Frye and Hoffman</t>
  </si>
  <si>
    <t>South Michaelchester</t>
  </si>
  <si>
    <t>C0135</t>
  </si>
  <si>
    <t>Williams, Roberts and Edwards</t>
  </si>
  <si>
    <t>New Williamberg</t>
  </si>
  <si>
    <t>C0136</t>
  </si>
  <si>
    <t>Boone LLC</t>
  </si>
  <si>
    <t>Dannyview</t>
  </si>
  <si>
    <t>C0137</t>
  </si>
  <si>
    <t>Bruce-Villegas</t>
  </si>
  <si>
    <t>New Sarahview</t>
  </si>
  <si>
    <t>C0138</t>
  </si>
  <si>
    <t>Park-Parker</t>
  </si>
  <si>
    <t>Michaelburgh</t>
  </si>
  <si>
    <t>C0139</t>
  </si>
  <si>
    <t>Sandoval, Jones and Figueroa</t>
  </si>
  <si>
    <t>North Julieborough</t>
  </si>
  <si>
    <t>C0140</t>
  </si>
  <si>
    <t>Peterson-Wood</t>
  </si>
  <si>
    <t>Kimberlyshire</t>
  </si>
  <si>
    <t>C0141</t>
  </si>
  <si>
    <t>Moore PLC</t>
  </si>
  <si>
    <t>Lake Christophermouth</t>
  </si>
  <si>
    <t>C0142</t>
  </si>
  <si>
    <t>Lawson-Perry</t>
  </si>
  <si>
    <t>Port William</t>
  </si>
  <si>
    <t>C0143</t>
  </si>
  <si>
    <t>Campbell Ltd</t>
  </si>
  <si>
    <t>Roseport</t>
  </si>
  <si>
    <t>C0144</t>
  </si>
  <si>
    <t>Joyce-Brown</t>
  </si>
  <si>
    <t>West Sierra</t>
  </si>
  <si>
    <t>C0145</t>
  </si>
  <si>
    <t>Roberts-Wilson</t>
  </si>
  <si>
    <t>Burgessburgh</t>
  </si>
  <si>
    <t>C0146</t>
  </si>
  <si>
    <t>Padilla, Mason and Whitaker</t>
  </si>
  <si>
    <t>Charleston</t>
  </si>
  <si>
    <t>C0147</t>
  </si>
  <si>
    <t>Morse-Atkins</t>
  </si>
  <si>
    <t>Berrychester</t>
  </si>
  <si>
    <t>C0148</t>
  </si>
  <si>
    <t>Smith-Nguyen</t>
  </si>
  <si>
    <t>Collierstad</t>
  </si>
  <si>
    <t>C0149</t>
  </si>
  <si>
    <t>Sanchez PLC</t>
  </si>
  <si>
    <t>Warrenfurt</t>
  </si>
  <si>
    <t>C0150</t>
  </si>
  <si>
    <t>Connie Maxwell</t>
  </si>
  <si>
    <t>New Cynthiahaven</t>
  </si>
  <si>
    <t>C0151</t>
  </si>
  <si>
    <t>Bell-Mullen</t>
  </si>
  <si>
    <t>East Curtis</t>
  </si>
  <si>
    <t>C0152</t>
  </si>
  <si>
    <t>Morrison Ltd</t>
  </si>
  <si>
    <t>East Stephaniefort</t>
  </si>
  <si>
    <t>C0153</t>
  </si>
  <si>
    <t>Wolf, Cole and Glass</t>
  </si>
  <si>
    <t>Michellemouth</t>
  </si>
  <si>
    <t>C0154</t>
  </si>
  <si>
    <t>Jeremy Turner</t>
  </si>
  <si>
    <t>Brittanystad</t>
  </si>
  <si>
    <t>C0155</t>
  </si>
  <si>
    <t>Murray-Johnson</t>
  </si>
  <si>
    <t>Marieland</t>
  </si>
  <si>
    <t>C0156</t>
  </si>
  <si>
    <t>Gilbert PLC</t>
  </si>
  <si>
    <t>Fordside</t>
  </si>
  <si>
    <t>C0157</t>
  </si>
  <si>
    <t>Huang, Cole and Pacheco</t>
  </si>
  <si>
    <t>West Cassidy</t>
  </si>
  <si>
    <t>C0158</t>
  </si>
  <si>
    <t>Joanna Shepherd</t>
  </si>
  <si>
    <t>Toniland</t>
  </si>
  <si>
    <t>C0159</t>
  </si>
  <si>
    <t>Williams Ltd</t>
  </si>
  <si>
    <t>Ritterhaven</t>
  </si>
  <si>
    <t>C0160</t>
  </si>
  <si>
    <t>Jake Campbell</t>
  </si>
  <si>
    <t>Schroederton</t>
  </si>
  <si>
    <t>C0161</t>
  </si>
  <si>
    <t>Cook, Rivera and Grant</t>
  </si>
  <si>
    <t>Mitchellberg</t>
  </si>
  <si>
    <t>C0162</t>
  </si>
  <si>
    <t>Alvarado, Rangel and Collins</t>
  </si>
  <si>
    <t>Andersonland</t>
  </si>
  <si>
    <t>C0163</t>
  </si>
  <si>
    <t>Schneider-Murphy</t>
  </si>
  <si>
    <t>Lake Jacqueline</t>
  </si>
  <si>
    <t>C0164</t>
  </si>
  <si>
    <t>Susan Davis DDS</t>
  </si>
  <si>
    <t>Andrewport</t>
  </si>
  <si>
    <t>C0165</t>
  </si>
  <si>
    <t>Peterson Group</t>
  </si>
  <si>
    <t>East Zoe</t>
  </si>
  <si>
    <t>C0166</t>
  </si>
  <si>
    <t>Richard-Garcia</t>
  </si>
  <si>
    <t>Lake Matthewberg</t>
  </si>
  <si>
    <t>C0167</t>
  </si>
  <si>
    <t>Martin Ltd</t>
  </si>
  <si>
    <t>Lake Samuel</t>
  </si>
  <si>
    <t>C0168</t>
  </si>
  <si>
    <t>Ball, Montes and Bishop</t>
  </si>
  <si>
    <t>Youngbury</t>
  </si>
  <si>
    <t>C0169</t>
  </si>
  <si>
    <t>Mckee-Lee</t>
  </si>
  <si>
    <t>Murrayport</t>
  </si>
  <si>
    <t>C0170</t>
  </si>
  <si>
    <t>Rose, Burch and Montoya</t>
  </si>
  <si>
    <t>Port John</t>
  </si>
  <si>
    <t>C0171</t>
  </si>
  <si>
    <t>Spencer-Garcia</t>
  </si>
  <si>
    <t>West Christopherburgh</t>
  </si>
  <si>
    <t>C0172</t>
  </si>
  <si>
    <t>Hernandez, Kim and Potts</t>
  </si>
  <si>
    <t>Port Shannon</t>
  </si>
  <si>
    <t>C0173</t>
  </si>
  <si>
    <t>Perry Group</t>
  </si>
  <si>
    <t>Joeland</t>
  </si>
  <si>
    <t>C0174</t>
  </si>
  <si>
    <t>Timothy Combs</t>
  </si>
  <si>
    <t>Laceyberg</t>
  </si>
  <si>
    <t>C0175</t>
  </si>
  <si>
    <t>Horton-Taylor</t>
  </si>
  <si>
    <t>Westtown</t>
  </si>
  <si>
    <t>C0176</t>
  </si>
  <si>
    <t>Scott and Sons</t>
  </si>
  <si>
    <t>Rodriguezport</t>
  </si>
  <si>
    <t>C0177</t>
  </si>
  <si>
    <t>David Fowler</t>
  </si>
  <si>
    <t>Brownfort</t>
  </si>
  <si>
    <t>C0178</t>
  </si>
  <si>
    <t>Chen PLC</t>
  </si>
  <si>
    <t>Lake Douglas</t>
  </si>
  <si>
    <t>C0179</t>
  </si>
  <si>
    <t>Cynthia Butler</t>
  </si>
  <si>
    <t>New Theresaland</t>
  </si>
  <si>
    <t>C0180</t>
  </si>
  <si>
    <t>Romero, Mcneil and Spencer</t>
  </si>
  <si>
    <t>Markston</t>
  </si>
  <si>
    <t>C0181</t>
  </si>
  <si>
    <t>King-Smith</t>
  </si>
  <si>
    <t>West Johnville</t>
  </si>
  <si>
    <t>C0182</t>
  </si>
  <si>
    <t>Sherman, Anderson and Bell</t>
  </si>
  <si>
    <t>Lisaburgh</t>
  </si>
  <si>
    <t>C0183</t>
  </si>
  <si>
    <t>Veronica Mendoza</t>
  </si>
  <si>
    <t>Port Dennis</t>
  </si>
  <si>
    <t>C0184</t>
  </si>
  <si>
    <t>Johnson-Harris</t>
  </si>
  <si>
    <t>North Leslie</t>
  </si>
  <si>
    <t>C0185</t>
  </si>
  <si>
    <t>Hays-Daniels</t>
  </si>
  <si>
    <t>Benjaminborough</t>
  </si>
  <si>
    <t>C0186</t>
  </si>
  <si>
    <t>Glenn LLC</t>
  </si>
  <si>
    <t>Davidstad</t>
  </si>
  <si>
    <t>C0187</t>
  </si>
  <si>
    <t>Paul-Kline</t>
  </si>
  <si>
    <t>Morganburgh</t>
  </si>
  <si>
    <t>C0188</t>
  </si>
  <si>
    <t>Richardson-Salinas</t>
  </si>
  <si>
    <t>Lauriechester</t>
  </si>
  <si>
    <t>C0189</t>
  </si>
  <si>
    <t>Carney, White and Carter</t>
  </si>
  <si>
    <t>North Markport</t>
  </si>
  <si>
    <t>C0190</t>
  </si>
  <si>
    <t>Robbins, Jackson and Wallace</t>
  </si>
  <si>
    <t>Williamsstad</t>
  </si>
  <si>
    <t>C0191</t>
  </si>
  <si>
    <t>Hill-Whitney</t>
  </si>
  <si>
    <t>North Emilyfurt</t>
  </si>
  <si>
    <t>C0192</t>
  </si>
  <si>
    <t>Shelton, Cisneros and Thomas</t>
  </si>
  <si>
    <t>Johnsonland</t>
  </si>
  <si>
    <t>C0193</t>
  </si>
  <si>
    <t>Diaz, Reyes and Bradley</t>
  </si>
  <si>
    <t>Lake Shannon</t>
  </si>
  <si>
    <t>C0194</t>
  </si>
  <si>
    <t>Hines-Berry</t>
  </si>
  <si>
    <t>Raymondview</t>
  </si>
  <si>
    <t>C0195</t>
  </si>
  <si>
    <t>Johnson and Sons</t>
  </si>
  <si>
    <t>Holmesside</t>
  </si>
  <si>
    <t>C0196</t>
  </si>
  <si>
    <t>Michele Lewis</t>
  </si>
  <si>
    <t>Heatherfort</t>
  </si>
  <si>
    <t>C0197</t>
  </si>
  <si>
    <t>Farrell Group</t>
  </si>
  <si>
    <t>Lake Sean</t>
  </si>
  <si>
    <t>C0198</t>
  </si>
  <si>
    <t>Sarah Flores</t>
  </si>
  <si>
    <t>Jennaside</t>
  </si>
  <si>
    <t>C0199</t>
  </si>
  <si>
    <t>Sarah Joseph</t>
  </si>
  <si>
    <t>Port Michael</t>
  </si>
  <si>
    <t>C0200</t>
  </si>
  <si>
    <t>Conner and Sons</t>
  </si>
  <si>
    <t>Johnsonside</t>
  </si>
  <si>
    <t>C0201</t>
  </si>
  <si>
    <t>Lara-Arnold</t>
  </si>
  <si>
    <t>North Kylefort</t>
  </si>
  <si>
    <t>C0202</t>
  </si>
  <si>
    <t>Morrow-Jones</t>
  </si>
  <si>
    <t>Dawnmouth</t>
  </si>
  <si>
    <t>C0203</t>
  </si>
  <si>
    <t>Cooper, Humphrey and Deleon</t>
  </si>
  <si>
    <t>Port Tammy</t>
  </si>
  <si>
    <t>C0204</t>
  </si>
  <si>
    <t>Amy Martinez</t>
  </si>
  <si>
    <t>West Fred</t>
  </si>
  <si>
    <t>C0205</t>
  </si>
  <si>
    <t>Perez, Meza and Stone</t>
  </si>
  <si>
    <t>Meghanview</t>
  </si>
  <si>
    <t>C0206</t>
  </si>
  <si>
    <t>Hill, Weber and Mendez</t>
  </si>
  <si>
    <t>New Danielleshire</t>
  </si>
  <si>
    <t>C0207</t>
  </si>
  <si>
    <t>Matthew Le</t>
  </si>
  <si>
    <t>Meganshire</t>
  </si>
  <si>
    <t>C0208</t>
  </si>
  <si>
    <t>Miller Ltd</t>
  </si>
  <si>
    <t>Debrashire</t>
  </si>
  <si>
    <t>C0209</t>
  </si>
  <si>
    <t>Kathleen Burton</t>
  </si>
  <si>
    <t>Dawnport</t>
  </si>
  <si>
    <t>C0210</t>
  </si>
  <si>
    <t>Sullivan, Chavez and Barker</t>
  </si>
  <si>
    <t>South Robert</t>
  </si>
  <si>
    <t>C0211</t>
  </si>
  <si>
    <t>Lawson-Edwards</t>
  </si>
  <si>
    <t>Jessicastad</t>
  </si>
  <si>
    <t>C0212</t>
  </si>
  <si>
    <t>Hodges PLC</t>
  </si>
  <si>
    <t>C0213</t>
  </si>
  <si>
    <t>Thomas Inc</t>
  </si>
  <si>
    <t>Soniachester</t>
  </si>
  <si>
    <t>C0214</t>
  </si>
  <si>
    <t>Li PLC</t>
  </si>
  <si>
    <t>Jamesburgh</t>
  </si>
  <si>
    <t>C0215</t>
  </si>
  <si>
    <t>Owens, Koch and Jimenez</t>
  </si>
  <si>
    <t>South Williambury</t>
  </si>
  <si>
    <t>C0216</t>
  </si>
  <si>
    <t>Anthony Simpson</t>
  </si>
  <si>
    <t>Mitchelltown</t>
  </si>
  <si>
    <t>C0217</t>
  </si>
  <si>
    <t>Anderson-Baker</t>
  </si>
  <si>
    <t>Kathrynstad</t>
  </si>
  <si>
    <t>C0218</t>
  </si>
  <si>
    <t>Hudson and Sons</t>
  </si>
  <si>
    <t>Angelaland</t>
  </si>
  <si>
    <t>C0219</t>
  </si>
  <si>
    <t>Duran-Ramirez</t>
  </si>
  <si>
    <t>East Theresafurt</t>
  </si>
  <si>
    <t>C0220</t>
  </si>
  <si>
    <t>Grant-Diaz</t>
  </si>
  <si>
    <t>East Carrie</t>
  </si>
  <si>
    <t>C0221</t>
  </si>
  <si>
    <t>Williams and Sons</t>
  </si>
  <si>
    <t>Lindahaven</t>
  </si>
  <si>
    <t>C0222</t>
  </si>
  <si>
    <t>Kaylee Murphy</t>
  </si>
  <si>
    <t>Franciscoport</t>
  </si>
  <si>
    <t>C0223</t>
  </si>
  <si>
    <t>Katrina Burns</t>
  </si>
  <si>
    <t>Thomastown</t>
  </si>
  <si>
    <t>C0224</t>
  </si>
  <si>
    <t>Rodriguez, Butler and Parker</t>
  </si>
  <si>
    <t>New Thomasshire</t>
  </si>
  <si>
    <t>C0225</t>
  </si>
  <si>
    <t>Williams, Castillo and Warren</t>
  </si>
  <si>
    <t>Hernandezbury</t>
  </si>
  <si>
    <t>C0226</t>
  </si>
  <si>
    <t>Rodriguez, Smith and Edwards</t>
  </si>
  <si>
    <t>South Hannah</t>
  </si>
  <si>
    <t>C0227</t>
  </si>
  <si>
    <t>Knapp, Salas and Fitzgerald</t>
  </si>
  <si>
    <t>Lake Devinborough</t>
  </si>
  <si>
    <t>C0228</t>
  </si>
  <si>
    <t>Mendoza, Bennett and Frye</t>
  </si>
  <si>
    <t>Barrmouth</t>
  </si>
  <si>
    <t>C0229</t>
  </si>
  <si>
    <t>Ingram, Le and Schneider</t>
  </si>
  <si>
    <t>Chelseaborough</t>
  </si>
  <si>
    <t>C0230</t>
  </si>
  <si>
    <t>Grant-Walker</t>
  </si>
  <si>
    <t>Kellieborough</t>
  </si>
  <si>
    <t>C0231</t>
  </si>
  <si>
    <t>Stewart-Bailey</t>
  </si>
  <si>
    <t>Keithshire</t>
  </si>
  <si>
    <t>C0232</t>
  </si>
  <si>
    <t>Huang-Foster</t>
  </si>
  <si>
    <t>Stephanieberg</t>
  </si>
  <si>
    <t>C0233</t>
  </si>
  <si>
    <t>Moses-Miller</t>
  </si>
  <si>
    <t>Douglasfort</t>
  </si>
  <si>
    <t>C0234</t>
  </si>
  <si>
    <t>Nelson, Hoffman and Nelson</t>
  </si>
  <si>
    <t>New Joycebury</t>
  </si>
  <si>
    <t>C0235</t>
  </si>
  <si>
    <t>Stein, Perez and Hall</t>
  </si>
  <si>
    <t>South Markfort</t>
  </si>
  <si>
    <t>C0236</t>
  </si>
  <si>
    <t>Smith PLC</t>
  </si>
  <si>
    <t>South Denise</t>
  </si>
  <si>
    <t>C0237</t>
  </si>
  <si>
    <t>Matthew Avila</t>
  </si>
  <si>
    <t>Manuelton</t>
  </si>
  <si>
    <t>C0238</t>
  </si>
  <si>
    <t>Kenneth Nichols</t>
  </si>
  <si>
    <t>East Robertburgh</t>
  </si>
  <si>
    <t>C0239</t>
  </si>
  <si>
    <t>Russell French</t>
  </si>
  <si>
    <t>Lake Suzanne</t>
  </si>
  <si>
    <t>C0240</t>
  </si>
  <si>
    <t>West Justinside</t>
  </si>
  <si>
    <t>C0241</t>
  </si>
  <si>
    <t>Rosales Group</t>
  </si>
  <si>
    <t>Jamesville</t>
  </si>
  <si>
    <t>C0242</t>
  </si>
  <si>
    <t>Stevens, Scott and Lopez</t>
  </si>
  <si>
    <t>Krystalshire</t>
  </si>
  <si>
    <t>C0243</t>
  </si>
  <si>
    <t>Wilcoxhaven</t>
  </si>
  <si>
    <t>C0244</t>
  </si>
  <si>
    <t>Caldwell-Lopez</t>
  </si>
  <si>
    <t>South Marcus</t>
  </si>
  <si>
    <t>C0245</t>
  </si>
  <si>
    <t>Reyes-Griffin</t>
  </si>
  <si>
    <t>Stephanieport</t>
  </si>
  <si>
    <t>C0246</t>
  </si>
  <si>
    <t>Smith, Valdez and Schwartz</t>
  </si>
  <si>
    <t>Lake Davidport</t>
  </si>
  <si>
    <t>C0247</t>
  </si>
  <si>
    <t>Shaw, Jacobson and Padilla</t>
  </si>
  <si>
    <t>Hannahport</t>
  </si>
  <si>
    <t>C0248</t>
  </si>
  <si>
    <t>Robinson and Sons</t>
  </si>
  <si>
    <t>Hernandezstad</t>
  </si>
  <si>
    <t>C0249</t>
  </si>
  <si>
    <t>Durham, Todd and Pham</t>
  </si>
  <si>
    <t>C0250</t>
  </si>
  <si>
    <t>Fox PLC</t>
  </si>
  <si>
    <t>Christianshire</t>
  </si>
  <si>
    <t>C0251</t>
  </si>
  <si>
    <t>Leach, Harris and Herrera</t>
  </si>
  <si>
    <t>West Melissa</t>
  </si>
  <si>
    <t>C0252</t>
  </si>
  <si>
    <t>Harris, Aguilar and Davis</t>
  </si>
  <si>
    <t>Stokesmouth</t>
  </si>
  <si>
    <t>C0253</t>
  </si>
  <si>
    <t>Bryant-Brown</t>
  </si>
  <si>
    <t>Chambersport</t>
  </si>
  <si>
    <t>C0254</t>
  </si>
  <si>
    <t>Robert Reese</t>
  </si>
  <si>
    <t>North Rodneyland</t>
  </si>
  <si>
    <t>C0255</t>
  </si>
  <si>
    <t>Michael Inc</t>
  </si>
  <si>
    <t>Johnsonchester</t>
  </si>
  <si>
    <t>C0256</t>
  </si>
  <si>
    <t>Cannon Ltd</t>
  </si>
  <si>
    <t>Brooksfurt</t>
  </si>
  <si>
    <t>C0257</t>
  </si>
  <si>
    <t>Bennett-Vega</t>
  </si>
  <si>
    <t>Lake Michelle</t>
  </si>
  <si>
    <t>C0258</t>
  </si>
  <si>
    <t>Jenna Anderson DVM</t>
  </si>
  <si>
    <t>Port Andrewport</t>
  </si>
  <si>
    <t>C0259</t>
  </si>
  <si>
    <t>Jessica Gray</t>
  </si>
  <si>
    <t>East Steven</t>
  </si>
  <si>
    <t>C0260</t>
  </si>
  <si>
    <t>Shaun Cannon</t>
  </si>
  <si>
    <t>Port Donnatown</t>
  </si>
  <si>
    <t>C0261</t>
  </si>
  <si>
    <t>Garcia Inc</t>
  </si>
  <si>
    <t>Harperton</t>
  </si>
  <si>
    <t>C0262</t>
  </si>
  <si>
    <t>Morales and Sons</t>
  </si>
  <si>
    <t>Port Michelle</t>
  </si>
  <si>
    <t>C0263</t>
  </si>
  <si>
    <t>Holder, Young and Hendricks</t>
  </si>
  <si>
    <t>Barbaramouth</t>
  </si>
  <si>
    <t>C0264</t>
  </si>
  <si>
    <t>Odom PLC</t>
  </si>
  <si>
    <t>South Kevin</t>
  </si>
  <si>
    <t>C0265</t>
  </si>
  <si>
    <t>Hobbs, Buck and Garrett</t>
  </si>
  <si>
    <t>Peterston</t>
  </si>
  <si>
    <t>C0266</t>
  </si>
  <si>
    <t>Powers, Floyd and Flores</t>
  </si>
  <si>
    <t>Russellport</t>
  </si>
  <si>
    <t>C0267</t>
  </si>
  <si>
    <t>Wells, Atkinson and Turner</t>
  </si>
  <si>
    <t>C0268</t>
  </si>
  <si>
    <t>Faulkner-Grant</t>
  </si>
  <si>
    <t>South John</t>
  </si>
  <si>
    <t>C0269</t>
  </si>
  <si>
    <t>Miller, Cole and Watson</t>
  </si>
  <si>
    <t>North Joseph</t>
  </si>
  <si>
    <t>C0270</t>
  </si>
  <si>
    <t>Williams, Jones and Ballard</t>
  </si>
  <si>
    <t>South Jason</t>
  </si>
  <si>
    <t>C0271</t>
  </si>
  <si>
    <t>Krueger-Smith</t>
  </si>
  <si>
    <t>Lake David</t>
  </si>
  <si>
    <t>C0272</t>
  </si>
  <si>
    <t>Rocha-Dominguez</t>
  </si>
  <si>
    <t>South Rose</t>
  </si>
  <si>
    <t>C0273</t>
  </si>
  <si>
    <t>James-Ferguson</t>
  </si>
  <si>
    <t>Kylestad</t>
  </si>
  <si>
    <t>C0274</t>
  </si>
  <si>
    <t>Owens-Lang</t>
  </si>
  <si>
    <t>Gillmouth</t>
  </si>
  <si>
    <t>C0275</t>
  </si>
  <si>
    <t>Edwards-Williams</t>
  </si>
  <si>
    <t>Lake Dustin</t>
  </si>
  <si>
    <t>C0276</t>
  </si>
  <si>
    <t>Riley, Butler and Hernandez</t>
  </si>
  <si>
    <t>Jerryshire</t>
  </si>
  <si>
    <t>C0277</t>
  </si>
  <si>
    <t>Pierce-Harding</t>
  </si>
  <si>
    <t>Jonathanfort</t>
  </si>
  <si>
    <t>C0278</t>
  </si>
  <si>
    <t>Singh, Murray and Oconnor</t>
  </si>
  <si>
    <t>Garyside</t>
  </si>
  <si>
    <t>C0279</t>
  </si>
  <si>
    <t>Mooney, Bernard and Warren</t>
  </si>
  <si>
    <t>Port Elizabethtown</t>
  </si>
  <si>
    <t>C0280</t>
  </si>
  <si>
    <t>Hall, Mann and Smith</t>
  </si>
  <si>
    <t>Brooksfort</t>
  </si>
  <si>
    <t>C0281</t>
  </si>
  <si>
    <t>Joseph Jenkins</t>
  </si>
  <si>
    <t>New Jenniferside</t>
  </si>
  <si>
    <t>C0282</t>
  </si>
  <si>
    <t>Shaw Ltd</t>
  </si>
  <si>
    <t>Drakeburgh</t>
  </si>
  <si>
    <t>C0283</t>
  </si>
  <si>
    <t>Chase Lee</t>
  </si>
  <si>
    <t>Lisaview</t>
  </si>
  <si>
    <t>C0284</t>
  </si>
  <si>
    <t>Watson Group</t>
  </si>
  <si>
    <t>Cunninghambury</t>
  </si>
  <si>
    <t>C0285</t>
  </si>
  <si>
    <t>Valdez Ltd</t>
  </si>
  <si>
    <t>North Richardfurt</t>
  </si>
  <si>
    <t>C0286</t>
  </si>
  <si>
    <t>Adam Jackson</t>
  </si>
  <si>
    <t>Brucemouth</t>
  </si>
  <si>
    <t>C0287</t>
  </si>
  <si>
    <t>Anna Rice</t>
  </si>
  <si>
    <t>East Jasonshire</t>
  </si>
  <si>
    <t>C0288</t>
  </si>
  <si>
    <t>Glass Ltd</t>
  </si>
  <si>
    <t>Rachelshire</t>
  </si>
  <si>
    <t>C0289</t>
  </si>
  <si>
    <t>Mcfarland LLC</t>
  </si>
  <si>
    <t>East Brendafurt</t>
  </si>
  <si>
    <t>C0290</t>
  </si>
  <si>
    <t>Martin-Allen</t>
  </si>
  <si>
    <t>Rhodesside</t>
  </si>
  <si>
    <t>C0291</t>
  </si>
  <si>
    <t>Taylor, Hinton and Ramsey</t>
  </si>
  <si>
    <t>Brianchester</t>
  </si>
  <si>
    <t>C0292</t>
  </si>
  <si>
    <t>Peterson PLC</t>
  </si>
  <si>
    <t>Novakmouth</t>
  </si>
  <si>
    <t>C0293</t>
  </si>
  <si>
    <t>Bowers-Hayes</t>
  </si>
  <si>
    <t>West Angela</t>
  </si>
  <si>
    <t>C0294</t>
  </si>
  <si>
    <t>Frazier Ltd</t>
  </si>
  <si>
    <t>Millerport</t>
  </si>
  <si>
    <t>C0295</t>
  </si>
  <si>
    <t>Jones, Adams and James</t>
  </si>
  <si>
    <t>Lake Peter</t>
  </si>
  <si>
    <t>C0296</t>
  </si>
  <si>
    <t>Tommy Wallace</t>
  </si>
  <si>
    <t>Curtisland</t>
  </si>
  <si>
    <t>C0297</t>
  </si>
  <si>
    <t>Justin Russell</t>
  </si>
  <si>
    <t>North Michaelland</t>
  </si>
  <si>
    <t>C0298</t>
  </si>
  <si>
    <t>Shields-Smith</t>
  </si>
  <si>
    <t>Hughesland</t>
  </si>
  <si>
    <t>C0299</t>
  </si>
  <si>
    <t>Stein, Spence and Armstrong</t>
  </si>
  <si>
    <t>Lake Oscar</t>
  </si>
  <si>
    <t>C0300</t>
  </si>
  <si>
    <t>Johnny Brown</t>
  </si>
  <si>
    <t>Hillport</t>
  </si>
  <si>
    <t>order_id</t>
  </si>
  <si>
    <t>ORD000104</t>
  </si>
  <si>
    <t>ORD000258</t>
  </si>
  <si>
    <t>ORD003300</t>
  </si>
  <si>
    <t>ORD003057</t>
  </si>
  <si>
    <t>ORD000697</t>
  </si>
  <si>
    <t>ORD004047</t>
  </si>
  <si>
    <t>ORD005666</t>
  </si>
  <si>
    <t>ORD003739</t>
  </si>
  <si>
    <t>ORD003779</t>
  </si>
  <si>
    <t>ORD002570</t>
  </si>
  <si>
    <t>ORD003191</t>
  </si>
  <si>
    <t>ORD002284</t>
  </si>
  <si>
    <t>ORD004946</t>
  </si>
  <si>
    <t>ORD000875</t>
  </si>
  <si>
    <t>ORD000802</t>
  </si>
  <si>
    <t>ORD005834</t>
  </si>
  <si>
    <t>ORD000840</t>
  </si>
  <si>
    <t>ORD000004</t>
  </si>
  <si>
    <t>ORD005195</t>
  </si>
  <si>
    <t>ORD000910</t>
  </si>
  <si>
    <t>ORD005909</t>
  </si>
  <si>
    <t>ORD004418</t>
  </si>
  <si>
    <t>ORD000563</t>
  </si>
  <si>
    <t>ORD000289</t>
  </si>
  <si>
    <t>ORD005641</t>
  </si>
  <si>
    <t>ORD005650</t>
  </si>
  <si>
    <t>ORD003814</t>
  </si>
  <si>
    <t>ORD003176</t>
  </si>
  <si>
    <t>ORD002824</t>
  </si>
  <si>
    <t>ORD002314</t>
  </si>
  <si>
    <t>ORD003871</t>
  </si>
  <si>
    <t>ORD000815</t>
  </si>
  <si>
    <t>ORD001126</t>
  </si>
  <si>
    <t>ORD002483</t>
  </si>
  <si>
    <t>ORD002449</t>
  </si>
  <si>
    <t>ORD004155</t>
  </si>
  <si>
    <t>ORD005273</t>
  </si>
  <si>
    <t>ORD001381</t>
  </si>
  <si>
    <t>ORD004066</t>
  </si>
  <si>
    <t>ORD004746</t>
  </si>
  <si>
    <t>ORD005990</t>
  </si>
  <si>
    <t>ORD001146</t>
  </si>
  <si>
    <t>ORD000214</t>
  </si>
  <si>
    <t>ORD005496</t>
  </si>
  <si>
    <t>ORD001692</t>
  </si>
  <si>
    <t>ORD001428</t>
  </si>
  <si>
    <t>ORD002211</t>
  </si>
  <si>
    <t>ORD001117</t>
  </si>
  <si>
    <t>ORD004081</t>
  </si>
  <si>
    <t>ORD000585</t>
  </si>
  <si>
    <t>ORD002415</t>
  </si>
  <si>
    <t>ORD004806</t>
  </si>
  <si>
    <t>ORD003945</t>
  </si>
  <si>
    <t>ORD005318</t>
  </si>
  <si>
    <t>ORD002193</t>
  </si>
  <si>
    <t>ORD000028</t>
  </si>
  <si>
    <t>ORD001776</t>
  </si>
  <si>
    <t>ORD000266</t>
  </si>
  <si>
    <t>ORD001576</t>
  </si>
  <si>
    <t>ORD002213</t>
  </si>
  <si>
    <t>ORD002207</t>
  </si>
  <si>
    <t>ORD001827</t>
  </si>
  <si>
    <t>ORD000089</t>
  </si>
  <si>
    <t>ORD001449</t>
  </si>
  <si>
    <t>ORD001238</t>
  </si>
  <si>
    <t>ORD001750</t>
  </si>
  <si>
    <t>ORD004436</t>
  </si>
  <si>
    <t>ORD003169</t>
  </si>
  <si>
    <t>ORD001009</t>
  </si>
  <si>
    <t>ORD000339</t>
  </si>
  <si>
    <t>ORD005170</t>
  </si>
  <si>
    <t>ORD000647</t>
  </si>
  <si>
    <t>ORD005417</t>
  </si>
  <si>
    <t>ORD002669</t>
  </si>
  <si>
    <t>ORD000745</t>
  </si>
  <si>
    <t>ORD004501</t>
  </si>
  <si>
    <t>ORD002888</t>
  </si>
  <si>
    <t>ORD002389</t>
  </si>
  <si>
    <t>ORD000205</t>
  </si>
  <si>
    <t>ORD000769</t>
  </si>
  <si>
    <t>ORD000318</t>
  </si>
  <si>
    <t>ORD000749</t>
  </si>
  <si>
    <t>ORD005457</t>
  </si>
  <si>
    <t>ORD001624</t>
  </si>
  <si>
    <t>ORD004197</t>
  </si>
  <si>
    <t>ORD005664</t>
  </si>
  <si>
    <t>ORD002963</t>
  </si>
  <si>
    <t>ORD002598</t>
  </si>
  <si>
    <t>ORD000812</t>
  </si>
  <si>
    <t>ORD000845</t>
  </si>
  <si>
    <t>ORD001701</t>
  </si>
  <si>
    <t>ORD001854</t>
  </si>
  <si>
    <t>ORD002661</t>
  </si>
  <si>
    <t>ORD000829</t>
  </si>
  <si>
    <t>ORD002547</t>
  </si>
  <si>
    <t>ORD004982</t>
  </si>
  <si>
    <t>ORD004716</t>
  </si>
  <si>
    <t>ORD004563</t>
  </si>
  <si>
    <t>ORD000202</t>
  </si>
  <si>
    <t>ORD000739</t>
  </si>
  <si>
    <t>ORD002725</t>
  </si>
  <si>
    <t>ORD004063</t>
  </si>
  <si>
    <t>ORD000954</t>
  </si>
  <si>
    <t>ORD001157</t>
  </si>
  <si>
    <t>ORD000364</t>
  </si>
  <si>
    <t>ORD002262</t>
  </si>
  <si>
    <t>ORD002388</t>
  </si>
  <si>
    <t>ORD001070</t>
  </si>
  <si>
    <t>ORD003936</t>
  </si>
  <si>
    <t>ORD001940</t>
  </si>
  <si>
    <t>ORD002269</t>
  </si>
  <si>
    <t>ORD005572</t>
  </si>
  <si>
    <t>ORD003383</t>
  </si>
  <si>
    <t>ORD004524</t>
  </si>
  <si>
    <t>ORD005352</t>
  </si>
  <si>
    <t>ORD005226</t>
  </si>
  <si>
    <t>ORD005876</t>
  </si>
  <si>
    <t>ORD002579</t>
  </si>
  <si>
    <t>ORD004111</t>
  </si>
  <si>
    <t>ORD001326</t>
  </si>
  <si>
    <t>ORD000800</t>
  </si>
  <si>
    <t>ORD005648</t>
  </si>
  <si>
    <t>ORD004722</t>
  </si>
  <si>
    <t>ORD005163</t>
  </si>
  <si>
    <t>ORD002644</t>
  </si>
  <si>
    <t>ORD005462</t>
  </si>
  <si>
    <t>ORD000249</t>
  </si>
  <si>
    <t>ORD005517</t>
  </si>
  <si>
    <t>ORD001427</t>
  </si>
  <si>
    <t>ORD003901</t>
  </si>
  <si>
    <t>ORD001303</t>
  </si>
  <si>
    <t>ORD000122</t>
  </si>
  <si>
    <t>ORD001989</t>
  </si>
  <si>
    <t>ORD001494</t>
  </si>
  <si>
    <t>ORD005340</t>
  </si>
  <si>
    <t>ORD002155</t>
  </si>
  <si>
    <t>ORD000947</t>
  </si>
  <si>
    <t>ORD003074</t>
  </si>
  <si>
    <t>ORD003353</t>
  </si>
  <si>
    <t>ORD003854</t>
  </si>
  <si>
    <t>ORD001843</t>
  </si>
  <si>
    <t>ORD004520</t>
  </si>
  <si>
    <t>ORD005978</t>
  </si>
  <si>
    <t>ORD004755</t>
  </si>
  <si>
    <t>ORD001807</t>
  </si>
  <si>
    <t>ORD004164</t>
  </si>
  <si>
    <t>ORD000684</t>
  </si>
  <si>
    <t>ORD004740</t>
  </si>
  <si>
    <t>ORD000522</t>
  </si>
  <si>
    <t>ORD005830</t>
  </si>
  <si>
    <t>ORD004385</t>
  </si>
  <si>
    <t>ORD003197</t>
  </si>
  <si>
    <t>ORD000695</t>
  </si>
  <si>
    <t>ORD000722</t>
  </si>
  <si>
    <t>ORD005426</t>
  </si>
  <si>
    <t>ORD002989</t>
  </si>
  <si>
    <t>ORD002079</t>
  </si>
  <si>
    <t>ORD000596</t>
  </si>
  <si>
    <t>ORD003612</t>
  </si>
  <si>
    <t>ORD004195</t>
  </si>
  <si>
    <t>ORD004872</t>
  </si>
  <si>
    <t>ORD005464</t>
  </si>
  <si>
    <t>ORD004039</t>
  </si>
  <si>
    <t>ORD004911</t>
  </si>
  <si>
    <t>ORD004799</t>
  </si>
  <si>
    <t>ORD005583</t>
  </si>
  <si>
    <t>ORD000627</t>
  </si>
  <si>
    <t>ORD001366</t>
  </si>
  <si>
    <t>ORD004248</t>
  </si>
  <si>
    <t>ORD005754</t>
  </si>
  <si>
    <t>ORD002629</t>
  </si>
  <si>
    <t>ORD002668</t>
  </si>
  <si>
    <t>ORD000400</t>
  </si>
  <si>
    <t>ORD002691</t>
  </si>
  <si>
    <t>ORD004010</t>
  </si>
  <si>
    <t>ORD000378</t>
  </si>
  <si>
    <t>ORD005787</t>
  </si>
  <si>
    <t>ORD005186</t>
  </si>
  <si>
    <t>ORD003210</t>
  </si>
  <si>
    <t>ORD005561</t>
  </si>
  <si>
    <t>ORD004930</t>
  </si>
  <si>
    <t>ORD003337</t>
  </si>
  <si>
    <t>ORD005803</t>
  </si>
  <si>
    <t>ORD004719</t>
  </si>
  <si>
    <t>ORD001322</t>
  </si>
  <si>
    <t>ORD000964</t>
  </si>
  <si>
    <t>ORD003502</t>
  </si>
  <si>
    <t>ORD001738</t>
  </si>
  <si>
    <t>ORD004141</t>
  </si>
  <si>
    <t>ORD000953</t>
  </si>
  <si>
    <t>ORD005728</t>
  </si>
  <si>
    <t>ORD001354</t>
  </si>
  <si>
    <t>ORD002650</t>
  </si>
  <si>
    <t>ORD005915</t>
  </si>
  <si>
    <t>ORD004600</t>
  </si>
  <si>
    <t>ORD005204</t>
  </si>
  <si>
    <t>ORD002072</t>
  </si>
  <si>
    <t>ORD004032</t>
  </si>
  <si>
    <t>ORD005598</t>
  </si>
  <si>
    <t>ORD001098</t>
  </si>
  <si>
    <t>ORD001309</t>
  </si>
  <si>
    <t>ORD004407</t>
  </si>
  <si>
    <t>ORD004905</t>
  </si>
  <si>
    <t>ORD003491</t>
  </si>
  <si>
    <t>ORD003678</t>
  </si>
  <si>
    <t>ORD000274</t>
  </si>
  <si>
    <t>ORD001280</t>
  </si>
  <si>
    <t>ORD000016</t>
  </si>
  <si>
    <t>ORD004717</t>
  </si>
  <si>
    <t>ORD000939</t>
  </si>
  <si>
    <t>ORD001210</t>
  </si>
  <si>
    <t>ORD001023</t>
  </si>
  <si>
    <t>ORD004261</t>
  </si>
  <si>
    <t>ORD002518</t>
  </si>
  <si>
    <t>ORD005179</t>
  </si>
  <si>
    <t>ORD001830</t>
  </si>
  <si>
    <t>ORD003812</t>
  </si>
  <si>
    <t>ORD003439</t>
  </si>
  <si>
    <t>ORD005734</t>
  </si>
  <si>
    <t>ORD003648</t>
  </si>
  <si>
    <t>ORD000185</t>
  </si>
  <si>
    <t>ORD003223</t>
  </si>
  <si>
    <t>ORD005011</t>
  </si>
  <si>
    <t>ORD003750</t>
  </si>
  <si>
    <t>ORD004178</t>
  </si>
  <si>
    <t>ORD000208</t>
  </si>
  <si>
    <t>ORD005659</t>
  </si>
  <si>
    <t>ORD003105</t>
  </si>
  <si>
    <t>ORD001431</t>
  </si>
  <si>
    <t>ORD005796</t>
  </si>
  <si>
    <t>ORD003190</t>
  </si>
  <si>
    <t>ORD002919</t>
  </si>
  <si>
    <t>ORD005702</t>
  </si>
  <si>
    <t>ORD004764</t>
  </si>
  <si>
    <t>ORD000605</t>
  </si>
  <si>
    <t>ORD000641</t>
  </si>
  <si>
    <t>ORD005067</t>
  </si>
  <si>
    <t>ORD004266</t>
  </si>
  <si>
    <t>ORD005227</t>
  </si>
  <si>
    <t>ORD003013</t>
  </si>
  <si>
    <t>ORD000187</t>
  </si>
  <si>
    <t>ORD004760</t>
  </si>
  <si>
    <t>ORD001253</t>
  </si>
  <si>
    <t>ORD001081</t>
  </si>
  <si>
    <t>ORD004561</t>
  </si>
  <si>
    <t>ORD002115</t>
  </si>
  <si>
    <t>ORD000073</t>
  </si>
  <si>
    <t>ORD003554</t>
  </si>
  <si>
    <t>ORD004459</t>
  </si>
  <si>
    <t>ORD004112</t>
  </si>
  <si>
    <t>ORD002492</t>
  </si>
  <si>
    <t>ORD004015</t>
  </si>
  <si>
    <t>ORD000969</t>
  </si>
  <si>
    <t>ORD002371</t>
  </si>
  <si>
    <t>ORD001222</t>
  </si>
  <si>
    <t>ORD001292</t>
  </si>
  <si>
    <t>ORD005134</t>
  </si>
  <si>
    <t>ORD004479</t>
  </si>
  <si>
    <t>ORD004587</t>
  </si>
  <si>
    <t>ORD004305</t>
  </si>
  <si>
    <t>ORD002710</t>
  </si>
  <si>
    <t>ORD002551</t>
  </si>
  <si>
    <t>ORD003215</t>
  </si>
  <si>
    <t>ORD005357</t>
  </si>
  <si>
    <t>ORD004969</t>
  </si>
  <si>
    <t>ORD001855</t>
  </si>
  <si>
    <t>ORD003235</t>
  </si>
  <si>
    <t>ORD003350</t>
  </si>
  <si>
    <t>ORD005406</t>
  </si>
  <si>
    <t>ORD002525</t>
  </si>
  <si>
    <t>ORD004616</t>
  </si>
  <si>
    <t>ORD004409</t>
  </si>
  <si>
    <t>ORD005261</t>
  </si>
  <si>
    <t>ORD000113</t>
  </si>
  <si>
    <t>ORD001804</t>
  </si>
  <si>
    <t>ORD001665</t>
  </si>
  <si>
    <t>ORD002426</t>
  </si>
  <si>
    <t>ORD000751</t>
  </si>
  <si>
    <t>ORD004677</t>
  </si>
  <si>
    <t>ORD000949</t>
  </si>
  <si>
    <t>ORD005527</t>
  </si>
  <si>
    <t>ORD001323</t>
  </si>
  <si>
    <t>ORD004172</t>
  </si>
  <si>
    <t>ORD005964</t>
  </si>
  <si>
    <t>ORD001936</t>
  </si>
  <si>
    <t>ORD005376</t>
  </si>
  <si>
    <t>ORD003925</t>
  </si>
  <si>
    <t>ORD005362</t>
  </si>
  <si>
    <t>ORD005813</t>
  </si>
  <si>
    <t>ORD000041</t>
  </si>
  <si>
    <t>ORD003456</t>
  </si>
  <si>
    <t>ORD003576</t>
  </si>
  <si>
    <t>ORD002290</t>
  </si>
  <si>
    <t>ORD002969</t>
  </si>
  <si>
    <t>ORD004088</t>
  </si>
  <si>
    <t>ORD003568</t>
  </si>
  <si>
    <t>ORD004756</t>
  </si>
  <si>
    <t>ORD003861</t>
  </si>
  <si>
    <t>ORD004146</t>
  </si>
  <si>
    <t>ORD005233</t>
  </si>
  <si>
    <t>ORD002253</t>
  </si>
  <si>
    <t>ORD001595</t>
  </si>
  <si>
    <t>ORD002113</t>
  </si>
  <si>
    <t>ORD005985</t>
  </si>
  <si>
    <t>ORD004393</t>
  </si>
  <si>
    <t>ORD000890</t>
  </si>
  <si>
    <t>ORD001188</t>
  </si>
  <si>
    <t>ORD004665</t>
  </si>
  <si>
    <t>ORD000276</t>
  </si>
  <si>
    <t>ORD003792</t>
  </si>
  <si>
    <t>ORD004254</t>
  </si>
  <si>
    <t>ORD004044</t>
  </si>
  <si>
    <t>ORD004054</t>
  </si>
  <si>
    <t>ORD005171</t>
  </si>
  <si>
    <t>ORD000578</t>
  </si>
  <si>
    <t>ORD002964</t>
  </si>
  <si>
    <t>ORD001140</t>
  </si>
  <si>
    <t>ORD002967</t>
  </si>
  <si>
    <t>ORD004620</t>
  </si>
  <si>
    <t>ORD003762</t>
  </si>
  <si>
    <t>ORD004028</t>
  </si>
  <si>
    <t>ORD001092</t>
  </si>
  <si>
    <t>ORD004622</t>
  </si>
  <si>
    <t>ORD003756</t>
  </si>
  <si>
    <t>ORD000386</t>
  </si>
  <si>
    <t>ORD002559</t>
  </si>
  <si>
    <t>ORD001554</t>
  </si>
  <si>
    <t>ORD002289</t>
  </si>
  <si>
    <t>ORD005957</t>
  </si>
  <si>
    <t>ORD002275</t>
  </si>
  <si>
    <t>ORD003751</t>
  </si>
  <si>
    <t>ORD003367</t>
  </si>
  <si>
    <t>ORD000243</t>
  </si>
  <si>
    <t>ORD000847</t>
  </si>
  <si>
    <t>ORD003293</t>
  </si>
  <si>
    <t>ORD000464</t>
  </si>
  <si>
    <t>ORD004729</t>
  </si>
  <si>
    <t>ORD003447</t>
  </si>
  <si>
    <t>ORD005991</t>
  </si>
  <si>
    <t>ORD001344</t>
  </si>
  <si>
    <t>ORD003844</t>
  </si>
  <si>
    <t>ORD001997</t>
  </si>
  <si>
    <t>ORD003269</t>
  </si>
  <si>
    <t>ORD003193</t>
  </si>
  <si>
    <t>ORD000290</t>
  </si>
  <si>
    <t>ORD004219</t>
  </si>
  <si>
    <t>ORD001723</t>
  </si>
  <si>
    <t>ORD004299</t>
  </si>
  <si>
    <t>ORD003824</t>
  </si>
  <si>
    <t>ORD001178</t>
  </si>
  <si>
    <t>ORD001670</t>
  </si>
  <si>
    <t>ORD004291</t>
  </si>
  <si>
    <t>ORD002178</t>
  </si>
  <si>
    <t>ORD004724</t>
  </si>
  <si>
    <t>ORD004163</t>
  </si>
  <si>
    <t>ORD004598</t>
  </si>
  <si>
    <t>ORD001999</t>
  </si>
  <si>
    <t>ORD003797</t>
  </si>
  <si>
    <t>ORD005929</t>
  </si>
  <si>
    <t>ORD000979</t>
  </si>
  <si>
    <t>ORD002270</t>
  </si>
  <si>
    <t>ORD002809</t>
  </si>
  <si>
    <t>ORD001345</t>
  </si>
  <si>
    <t>ORD000587</t>
  </si>
  <si>
    <t>ORD005588</t>
  </si>
  <si>
    <t>ORD005903</t>
  </si>
  <si>
    <t>ORD003258</t>
  </si>
  <si>
    <t>ORD005673</t>
  </si>
  <si>
    <t>ORD004881</t>
  </si>
  <si>
    <t>ORD002747</t>
  </si>
  <si>
    <t>ORD001638</t>
  </si>
  <si>
    <t>ORD002390</t>
  </si>
  <si>
    <t>ORD001714</t>
  </si>
  <si>
    <t>ORD002053</t>
  </si>
  <si>
    <t>ORD001063</t>
  </si>
  <si>
    <t>ORD003511</t>
  </si>
  <si>
    <t>ORD003098</t>
  </si>
  <si>
    <t>ORD004126</t>
  </si>
  <si>
    <t>ORD003897</t>
  </si>
  <si>
    <t>ORD001401</t>
  </si>
  <si>
    <t>ORD004613</t>
  </si>
  <si>
    <t>ORD002313</t>
  </si>
  <si>
    <t>ORD000559</t>
  </si>
  <si>
    <t>ORD000500</t>
  </si>
  <si>
    <t>ORD002476</t>
  </si>
  <si>
    <t>ORD002406</t>
  </si>
  <si>
    <t>ORD003108</t>
  </si>
  <si>
    <t>ORD000381</t>
  </si>
  <si>
    <t>ORD005743</t>
  </si>
  <si>
    <t>ORD000626</t>
  </si>
  <si>
    <t>ORD000777</t>
  </si>
  <si>
    <t>ORD003910</t>
  </si>
  <si>
    <t>ORD001668</t>
  </si>
  <si>
    <t>ORD000728</t>
  </si>
  <si>
    <t>ORD002418</t>
  </si>
  <si>
    <t>ORD002556</t>
  </si>
  <si>
    <t>ORD004417</t>
  </si>
  <si>
    <t>ORD001607</t>
  </si>
  <si>
    <t>ORD001168</t>
  </si>
  <si>
    <t>ORD001644</t>
  </si>
  <si>
    <t>ORD005549</t>
  </si>
  <si>
    <t>ORD002356</t>
  </si>
  <si>
    <t>ORD002604</t>
  </si>
  <si>
    <t>ORD002910</t>
  </si>
  <si>
    <t>ORD004640</t>
  </si>
  <si>
    <t>ORD003042</t>
  </si>
  <si>
    <t>ORD004474</t>
  </si>
  <si>
    <t>ORD001462</t>
  </si>
  <si>
    <t>ORD005711</t>
  </si>
  <si>
    <t>ORD002973</t>
  </si>
  <si>
    <t>ORD002907</t>
  </si>
  <si>
    <t>ORD003976</t>
  </si>
  <si>
    <t>ORD000839</t>
  </si>
  <si>
    <t>ORD005956</t>
  </si>
  <si>
    <t>ORD003912</t>
  </si>
  <si>
    <t>ORD004560</t>
  </si>
  <si>
    <t>ORD005026</t>
  </si>
  <si>
    <t>ORD003495</t>
  </si>
  <si>
    <t>ORD005108</t>
  </si>
  <si>
    <t>ORD000583</t>
  </si>
  <si>
    <t>ORD001161</t>
  </si>
  <si>
    <t>ORD005392</t>
  </si>
  <si>
    <t>ORD002720</t>
  </si>
  <si>
    <t>ORD003299</t>
  </si>
  <si>
    <t>ORD000662</t>
  </si>
  <si>
    <t>ORD003666</t>
  </si>
  <si>
    <t>ORD003980</t>
  </si>
  <si>
    <t>ORD005791</t>
  </si>
  <si>
    <t>ORD001143</t>
  </si>
  <si>
    <t>ORD004540</t>
  </si>
  <si>
    <t>ORD000200</t>
  </si>
  <si>
    <t>ORD000036</t>
  </si>
  <si>
    <t>ORD000278</t>
  </si>
  <si>
    <t>ORD004948</t>
  </si>
  <si>
    <t>ORD005616</t>
  </si>
  <si>
    <t>ORD000080</t>
  </si>
  <si>
    <t>ORD003062</t>
  </si>
  <si>
    <t>ORD000618</t>
  </si>
  <si>
    <t>ORD003033</t>
  </si>
  <si>
    <t>ORD001958</t>
  </si>
  <si>
    <t>ORD002954</t>
  </si>
  <si>
    <t>ORD003083</t>
  </si>
  <si>
    <t>ORD005491</t>
  </si>
  <si>
    <t>ORD001421</t>
  </si>
  <si>
    <t>ORD003085</t>
  </si>
  <si>
    <t>ORD004435</t>
  </si>
  <si>
    <t>ORD004817</t>
  </si>
  <si>
    <t>ORD003968</t>
  </si>
  <si>
    <t>ORD004790</t>
  </si>
  <si>
    <t>ORD003384</t>
  </si>
  <si>
    <t>ORD005898</t>
  </si>
  <si>
    <t>ORD002785</t>
  </si>
  <si>
    <t>ORD004092</t>
  </si>
  <si>
    <t>ORD002891</t>
  </si>
  <si>
    <t>ORD001173</t>
  </si>
  <si>
    <t>ORD005953</t>
  </si>
  <si>
    <t>ORD004005</t>
  </si>
  <si>
    <t>ORD000231</t>
  </si>
  <si>
    <t>ORD004139</t>
  </si>
  <si>
    <t>ORD004797</t>
  </si>
  <si>
    <t>ORD004667</t>
  </si>
  <si>
    <t>ORD001779</t>
  </si>
  <si>
    <t>ORD000499</t>
  </si>
  <si>
    <t>ORD003580</t>
  </si>
  <si>
    <t>ORD000867</t>
  </si>
  <si>
    <t>ORD005837</t>
  </si>
  <si>
    <t>ORD000412</t>
  </si>
  <si>
    <t>ORD002711</t>
  </si>
  <si>
    <t>ORD005657</t>
  </si>
  <si>
    <t>ORD005810</t>
  </si>
  <si>
    <t>ORD004391</t>
  </si>
  <si>
    <t>ORD001559</t>
  </si>
  <si>
    <t>ORD003990</t>
  </si>
  <si>
    <t>ORD005368</t>
  </si>
  <si>
    <t>ORD001551</t>
  </si>
  <si>
    <t>ORD005858</t>
  </si>
  <si>
    <t>ORD002601</t>
  </si>
  <si>
    <t>ORD000888</t>
  </si>
  <si>
    <t>ORD001808</t>
  </si>
  <si>
    <t>ORD003393</t>
  </si>
  <si>
    <t>ORD002405</t>
  </si>
  <si>
    <t>ORD000799</t>
  </si>
  <si>
    <t>ORD004207</t>
  </si>
  <si>
    <t>ORD001231</t>
  </si>
  <si>
    <t>ORD005262</t>
  </si>
  <si>
    <t>ORD004109</t>
  </si>
  <si>
    <t>ORD005242</t>
  </si>
  <si>
    <t>ORD002186</t>
  </si>
  <si>
    <t>ORD000130</t>
  </si>
  <si>
    <t>ORD004377</t>
  </si>
  <si>
    <t>ORD004286</t>
  </si>
  <si>
    <t>ORD002665</t>
  </si>
  <si>
    <t>ORD005339</t>
  </si>
  <si>
    <t>ORD005349</t>
  </si>
  <si>
    <t>ORD005889</t>
  </si>
  <si>
    <t>ORD000917</t>
  </si>
  <si>
    <t>ORD001839</t>
  </si>
  <si>
    <t>ORD005531</t>
  </si>
  <si>
    <t>ORD005855</t>
  </si>
  <si>
    <t>ORD003834</t>
  </si>
  <si>
    <t>ORD003604</t>
  </si>
  <si>
    <t>ORD003031</t>
  </si>
  <si>
    <t>ORD001441</t>
  </si>
  <si>
    <t>ORD005448</t>
  </si>
  <si>
    <t>ORD003000</t>
  </si>
  <si>
    <t>ORD001802</t>
  </si>
  <si>
    <t>ORD004353</t>
  </si>
  <si>
    <t>ORD004663</t>
  </si>
  <si>
    <t>ORD005383</t>
  </si>
  <si>
    <t>ORD000794</t>
  </si>
  <si>
    <t>ORD001365</t>
  </si>
  <si>
    <t>ORD002513</t>
  </si>
  <si>
    <t>ORD000983</t>
  </si>
  <si>
    <t>ORD002164</t>
  </si>
  <si>
    <t>ORD002393</t>
  </si>
  <si>
    <t>ORD000259</t>
  </si>
  <si>
    <t>ORD001517</t>
  </si>
  <si>
    <t>ORD001243</t>
  </si>
  <si>
    <t>ORD003961</t>
  </si>
  <si>
    <t>ORD004117</t>
  </si>
  <si>
    <t>ORD005364</t>
  </si>
  <si>
    <t>ORD000878</t>
  </si>
  <si>
    <t>ORD003918</t>
  </si>
  <si>
    <t>ORD005600</t>
  </si>
  <si>
    <t>ORD003592</t>
  </si>
  <si>
    <t>ORD004419</t>
  </si>
  <si>
    <t>ORD002689</t>
  </si>
  <si>
    <t>ORD001397</t>
  </si>
  <si>
    <t>ORD004372</t>
  </si>
  <si>
    <t>ORD000239</t>
  </si>
  <si>
    <t>ORD005580</t>
  </si>
  <si>
    <t>ORD000119</t>
  </si>
  <si>
    <t>ORD005886</t>
  </si>
  <si>
    <t>ORD000065</t>
  </si>
  <si>
    <t>ORD003956</t>
  </si>
  <si>
    <t>ORD003582</t>
  </si>
  <si>
    <t>ORD000490</t>
  </si>
  <si>
    <t>ORD001064</t>
  </si>
  <si>
    <t>ORD003712</t>
  </si>
  <si>
    <t>ORD003493</t>
  </si>
  <si>
    <t>ORD001305</t>
  </si>
  <si>
    <t>ORD001663</t>
  </si>
  <si>
    <t>ORD001948</t>
  </si>
  <si>
    <t>ORD002948</t>
  </si>
  <si>
    <t>ORD001797</t>
  </si>
  <si>
    <t>ORD001782</t>
  </si>
  <si>
    <t>ORD002859</t>
  </si>
  <si>
    <t>ORD002708</t>
  </si>
  <si>
    <t>ORD004875</t>
  </si>
  <si>
    <t>ORD004240</t>
  </si>
  <si>
    <t>ORD000031</t>
  </si>
  <si>
    <t>ORD000134</t>
  </si>
  <si>
    <t>ORD003731</t>
  </si>
  <si>
    <t>ORD001928</t>
  </si>
  <si>
    <t>ORD003994</t>
  </si>
  <si>
    <t>ORD004181</t>
  </si>
  <si>
    <t>ORD004078</t>
  </si>
  <si>
    <t>ORD001699</t>
  </si>
  <si>
    <t>ORD004466</t>
  </si>
  <si>
    <t>ORD004871</t>
  </si>
  <si>
    <t>ORD002409</t>
  </si>
  <si>
    <t>ORD005823</t>
  </si>
  <si>
    <t>ORD003760</t>
  </si>
  <si>
    <t>ORD000337</t>
  </si>
  <si>
    <t>ORD002416</t>
  </si>
  <si>
    <t>ORD004159</t>
  </si>
  <si>
    <t>ORD000643</t>
  </si>
  <si>
    <t>ORD002605</t>
  </si>
  <si>
    <t>ORD002070</t>
  </si>
  <si>
    <t>ORD003443</t>
  </si>
  <si>
    <t>ORD004504</t>
  </si>
  <si>
    <t>ORD001895</t>
  </si>
  <si>
    <t>ORD001229</t>
  </si>
  <si>
    <t>ORD003795</t>
  </si>
  <si>
    <t>ORD001882</t>
  </si>
  <si>
    <t>ORD001390</t>
  </si>
  <si>
    <t>ORD003556</t>
  </si>
  <si>
    <t>ORD000173</t>
  </si>
  <si>
    <t>ORD002491</t>
  </si>
  <si>
    <t>ORD002037</t>
  </si>
  <si>
    <t>ORD001113</t>
  </si>
  <si>
    <t>ORD002987</t>
  </si>
  <si>
    <t>ORD001548</t>
  </si>
  <si>
    <t>ORD003313</t>
  </si>
  <si>
    <t>ORD001710</t>
  </si>
  <si>
    <t>ORD000835</t>
  </si>
  <si>
    <t>ORD002823</t>
  </si>
  <si>
    <t>ORD002131</t>
  </si>
  <si>
    <t>ORD000251</t>
  </si>
  <si>
    <t>ORD003952</t>
  </si>
  <si>
    <t>ORD003291</t>
  </si>
  <si>
    <t>ORD002234</t>
  </si>
  <si>
    <t>ORD001347</t>
  </si>
  <si>
    <t>ORD004030</t>
  </si>
  <si>
    <t>ORD002482</t>
  </si>
  <si>
    <t>ORD002591</t>
  </si>
  <si>
    <t>ORD004485</t>
  </si>
  <si>
    <t>ORD001759</t>
  </si>
  <si>
    <t>ORD000193</t>
  </si>
  <si>
    <t>ORD003059</t>
  </si>
  <si>
    <t>ORD000810</t>
  </si>
  <si>
    <t>ORD000419</t>
  </si>
  <si>
    <t>ORD005687</t>
  </si>
  <si>
    <t>ORD002803</t>
  </si>
  <si>
    <t>ORD000811</t>
  </si>
  <si>
    <t>ORD001724</t>
  </si>
  <si>
    <t>ORD002901</t>
  </si>
  <si>
    <t>ORD000308</t>
  </si>
  <si>
    <t>ORD002069</t>
  </si>
  <si>
    <t>ORD001287</t>
  </si>
  <si>
    <t>ORD003326</t>
  </si>
  <si>
    <t>ORD005579</t>
  </si>
  <si>
    <t>ORD002714</t>
  </si>
  <si>
    <t>ORD002646</t>
  </si>
  <si>
    <t>ORD001615</t>
  </si>
  <si>
    <t>ORD004692</t>
  </si>
  <si>
    <t>ORD005284</t>
  </si>
  <si>
    <t>ORD000550</t>
  </si>
  <si>
    <t>ORD004975</t>
  </si>
  <si>
    <t>ORD001736</t>
  </si>
  <si>
    <t>ORD002974</t>
  </si>
  <si>
    <t>ORD001745</t>
  </si>
  <si>
    <t>ORD002639</t>
  </si>
  <si>
    <t>ORD001108</t>
  </si>
  <si>
    <t>ORD002780</t>
  </si>
  <si>
    <t>ORD002152</t>
  </si>
  <si>
    <t>ORD005782</t>
  </si>
  <si>
    <t>ORD003467</t>
  </si>
  <si>
    <t>ORD001600</t>
  </si>
  <si>
    <t>ORD000955</t>
  </si>
  <si>
    <t>ORD004547</t>
  </si>
  <si>
    <t>ORD003979</t>
  </si>
  <si>
    <t>ORD004082</t>
  </si>
  <si>
    <t>ORD002195</t>
  </si>
  <si>
    <t>ORD005722</t>
  </si>
  <si>
    <t>ORD000323</t>
  </si>
  <si>
    <t>ORD004484</t>
  </si>
  <si>
    <t>ORD004482</t>
  </si>
  <si>
    <t>ORD001673</t>
  </si>
  <si>
    <t>ORD004831</t>
  </si>
  <si>
    <t>ORD001812</t>
  </si>
  <si>
    <t>ORD004565</t>
  </si>
  <si>
    <t>ORD001112</t>
  </si>
  <si>
    <t>ORD001951</t>
  </si>
  <si>
    <t>ORD001032</t>
  </si>
  <si>
    <t>ORD003975</t>
  </si>
  <si>
    <t>ORD000956</t>
  </si>
  <si>
    <t>ORD001016</t>
  </si>
  <si>
    <t>ORD004707</t>
  </si>
  <si>
    <t>ORD000370</t>
  </si>
  <si>
    <t>ORD004728</t>
  </si>
  <si>
    <t>ORD005154</t>
  </si>
  <si>
    <t>ORD003301</t>
  </si>
  <si>
    <t>ORD002038</t>
  </si>
  <si>
    <t>ORD005467</t>
  </si>
  <si>
    <t>ORD000138</t>
  </si>
  <si>
    <t>ORD003003</t>
  </si>
  <si>
    <t>ORD002883</t>
  </si>
  <si>
    <t>ORD001661</t>
  </si>
  <si>
    <t>ORD005431</t>
  </si>
  <si>
    <t>ORD005199</t>
  </si>
  <si>
    <t>ORD005314</t>
  </si>
  <si>
    <t>ORD005165</t>
  </si>
  <si>
    <t>ORD001886</t>
  </si>
  <si>
    <t>ORD002288</t>
  </si>
  <si>
    <t>ORD003651</t>
  </si>
  <si>
    <t>ORD002225</t>
  </si>
  <si>
    <t>ORD001282</t>
  </si>
  <si>
    <t>ORD004601</t>
  </si>
  <si>
    <t>ORD004581</t>
  </si>
  <si>
    <t>ORD001083</t>
  </si>
  <si>
    <t>ORD001560</t>
  </si>
  <si>
    <t>ORD001136</t>
  </si>
  <si>
    <t>ORD005629</t>
  </si>
  <si>
    <t>ORD002998</t>
  </si>
  <si>
    <t>ORD005336</t>
  </si>
  <si>
    <t>ORD002074</t>
  </si>
  <si>
    <t>ORD002555</t>
  </si>
  <si>
    <t>ORD005874</t>
  </si>
  <si>
    <t>ORD001913</t>
  </si>
  <si>
    <t>ORD003879</t>
  </si>
  <si>
    <t>ORD000306</t>
  </si>
  <si>
    <t>ORD005125</t>
  </si>
  <si>
    <t>ORD005441</t>
  </si>
  <si>
    <t>ORD002873</t>
  </si>
  <si>
    <t>ORD003178</t>
  </si>
  <si>
    <t>ORD002849</t>
  </si>
  <si>
    <t>ORD005027</t>
  </si>
  <si>
    <t>ORD001261</t>
  </si>
  <si>
    <t>ORD000868</t>
  </si>
  <si>
    <t>ORD001196</t>
  </si>
  <si>
    <t>ORD001068</t>
  </si>
  <si>
    <t>ORD001611</t>
  </si>
  <si>
    <t>ORD003184</t>
  </si>
  <si>
    <t>ORD000660</t>
  </si>
  <si>
    <t>ORD004224</t>
  </si>
  <si>
    <t>ORD001929</t>
  </si>
  <si>
    <t>ORD004194</t>
  </si>
  <si>
    <t>ORD000096</t>
  </si>
  <si>
    <t>ORD003274</t>
  </si>
  <si>
    <t>ORD001318</t>
  </si>
  <si>
    <t>ORD001694</t>
  </si>
  <si>
    <t>ORD002134</t>
  </si>
  <si>
    <t>ORD002296</t>
  </si>
  <si>
    <t>ORD002218</t>
  </si>
  <si>
    <t>ORD000465</t>
  </si>
  <si>
    <t>ORD003005</t>
  </si>
  <si>
    <t>ORD004786</t>
  </si>
  <si>
    <t>ORD005851</t>
  </si>
  <si>
    <t>ORD000682</t>
  </si>
  <si>
    <t>ORD001278</t>
  </si>
  <si>
    <t>ORD000778</t>
  </si>
  <si>
    <t>ORD005292</t>
  </si>
  <si>
    <t>ORD003680</t>
  </si>
  <si>
    <t>ORD002349</t>
  </si>
  <si>
    <t>ORD005950</t>
  </si>
  <si>
    <t>ORD000560</t>
  </si>
  <si>
    <t>ORD002080</t>
  </si>
  <si>
    <t>ORD004053</t>
  </si>
  <si>
    <t>ORD001921</t>
  </si>
  <si>
    <t>ORD000926</t>
  </si>
  <si>
    <t>ORD000796</t>
  </si>
  <si>
    <t>ORD003570</t>
  </si>
  <si>
    <t>ORD000958</t>
  </si>
  <si>
    <t>ORD002002</t>
  </si>
  <si>
    <t>ORD004829</t>
  </si>
  <si>
    <t>ORD005133</t>
  </si>
  <si>
    <t>ORD000342</t>
  </si>
  <si>
    <t>ORD001147</t>
  </si>
  <si>
    <t>ORD001707</t>
  </si>
  <si>
    <t>ORD002952</t>
  </si>
  <si>
    <t>ORD000061</t>
  </si>
  <si>
    <t>ORD003793</t>
  </si>
  <si>
    <t>ORD000863</t>
  </si>
  <si>
    <t>ORD002804</t>
  </si>
  <si>
    <t>ORD002372</t>
  </si>
  <si>
    <t>ORD004215</t>
  </si>
  <si>
    <t>ORD005735</t>
  </si>
  <si>
    <t>ORD004036</t>
  </si>
  <si>
    <t>ORD004558</t>
  </si>
  <si>
    <t>ORD004334</t>
  </si>
  <si>
    <t>ORD004307</t>
  </si>
  <si>
    <t>ORD001527</t>
  </si>
  <si>
    <t>ORD000706</t>
  </si>
  <si>
    <t>ORD004403</t>
  </si>
  <si>
    <t>ORD004289</t>
  </si>
  <si>
    <t>ORD001798</t>
  </si>
  <si>
    <t>ORD002124</t>
  </si>
  <si>
    <t>ORD000923</t>
  </si>
  <si>
    <t>ORD005721</t>
  </si>
  <si>
    <t>ORD000506</t>
  </si>
  <si>
    <t>ORD005356</t>
  </si>
  <si>
    <t>ORD002379</t>
  </si>
  <si>
    <t>ORD002119</t>
  </si>
  <si>
    <t>ORD002906</t>
  </si>
  <si>
    <t>ORD000280</t>
  </si>
  <si>
    <t>ORD000111</t>
  </si>
  <si>
    <t>ORD000473</t>
  </si>
  <si>
    <t>ORD004569</t>
  </si>
  <si>
    <t>ORD004134</t>
  </si>
  <si>
    <t>ORD005414</t>
  </si>
  <si>
    <t>ORD002938</t>
  </si>
  <si>
    <t>ORD000463</t>
  </si>
  <si>
    <t>ORD001987</t>
  </si>
  <si>
    <t>ORD003407</t>
  </si>
  <si>
    <t>ORD003867</t>
  </si>
  <si>
    <t>ORD002013</t>
  </si>
  <si>
    <t>ORD000219</t>
  </si>
  <si>
    <t>ORD005013</t>
  </si>
  <si>
    <t>ORD003863</t>
  </si>
  <si>
    <t>ORD000404</t>
  </si>
  <si>
    <t>ORD003391</t>
  </si>
  <si>
    <t>ORD000146</t>
  </si>
  <si>
    <t>ORD005906</t>
  </si>
  <si>
    <t>ORD005653</t>
  </si>
  <si>
    <t>ORD005668</t>
  </si>
  <si>
    <t>ORD001749</t>
  </si>
  <si>
    <t>ORD003195</t>
  </si>
  <si>
    <t>ORD004300</t>
  </si>
  <si>
    <t>ORD003937</t>
  </si>
  <si>
    <t>ORD000329</t>
  </si>
  <si>
    <t>ORD001329</t>
  </si>
  <si>
    <t>ORD003073</t>
  </si>
  <si>
    <t>ORD004365</t>
  </si>
  <si>
    <t>ORD001889</t>
  </si>
  <si>
    <t>ORD003394</t>
  </si>
  <si>
    <t>ORD005976</t>
  </si>
  <si>
    <t>ORD002120</t>
  </si>
  <si>
    <t>ORD001562</t>
  </si>
  <si>
    <t>ORD000082</t>
  </si>
  <si>
    <t>ORD004368</t>
  </si>
  <si>
    <t>ORD005094</t>
  </si>
  <si>
    <t>ORD005559</t>
  </si>
  <si>
    <t>ORD000046</t>
  </si>
  <si>
    <t>ORD001177</t>
  </si>
  <si>
    <t>ORD005742</t>
  </si>
  <si>
    <t>ORD001018</t>
  </si>
  <si>
    <t>ORD003165</t>
  </si>
  <si>
    <t>ORD001697</t>
  </si>
  <si>
    <t>ORD000092</t>
  </si>
  <si>
    <t>ORD000588</t>
  </si>
  <si>
    <t>ORD001448</t>
  </si>
  <si>
    <t>ORD001020</t>
  </si>
  <si>
    <t>ORD002688</t>
  </si>
  <si>
    <t>ORD001973</t>
  </si>
  <si>
    <t>ORD001382</t>
  </si>
  <si>
    <t>ORD005365</t>
  </si>
  <si>
    <t>ORD002911</t>
  </si>
  <si>
    <t>ORD005137</t>
  </si>
  <si>
    <t>ORD004623</t>
  </si>
  <si>
    <t>ORD002526</t>
  </si>
  <si>
    <t>ORD000788</t>
  </si>
  <si>
    <t>ORD005674</t>
  </si>
  <si>
    <t>ORD005916</t>
  </si>
  <si>
    <t>ORD001903</t>
  </si>
  <si>
    <t>ORD001505</t>
  </si>
  <si>
    <t>ORD005635</t>
  </si>
  <si>
    <t>ORD003475</t>
  </si>
  <si>
    <t>ORD002600</t>
  </si>
  <si>
    <t>ORD001400</t>
  </si>
  <si>
    <t>ORD003972</t>
  </si>
  <si>
    <t>ORD001904</t>
  </si>
  <si>
    <t>ORD004879</t>
  </si>
  <si>
    <t>ORD003915</t>
  </si>
  <si>
    <t>ORD001897</t>
  </si>
  <si>
    <t>ORD001194</t>
  </si>
  <si>
    <t>ORD001191</t>
  </si>
  <si>
    <t>ORD000546</t>
  </si>
  <si>
    <t>ORD004022</t>
  </si>
  <si>
    <t>ORD004985</t>
  </si>
  <si>
    <t>ORD005832</t>
  </si>
  <si>
    <t>ORD005100</t>
  </si>
  <si>
    <t>ORD002315</t>
  </si>
  <si>
    <t>ORD001295</t>
  </si>
  <si>
    <t>ORD000623</t>
  </si>
  <si>
    <t>ORD003145</t>
  </si>
  <si>
    <t>ORD001631</t>
  </si>
  <si>
    <t>ORD004064</t>
  </si>
  <si>
    <t>ORD005042</t>
  </si>
  <si>
    <t>ORD005371</t>
  </si>
  <si>
    <t>ORD000620</t>
  </si>
  <si>
    <t>ORD002329</t>
  </si>
  <si>
    <t>ORD004115</t>
  </si>
  <si>
    <t>ORD000678</t>
  </si>
  <si>
    <t>ORD004203</t>
  </si>
  <si>
    <t>ORD002144</t>
  </si>
  <si>
    <t>ORD002183</t>
  </si>
  <si>
    <t>ORD003537</t>
  </si>
  <si>
    <t>ORD003211</t>
  </si>
  <si>
    <t>ORD004512</t>
  </si>
  <si>
    <t>ORD003339</t>
  </si>
  <si>
    <t>ORD003250</t>
  </si>
  <si>
    <t>ORD002856</t>
  </si>
  <si>
    <t>ORD004105</t>
  </si>
  <si>
    <t>ORD003785</t>
  </si>
  <si>
    <t>ORD001163</t>
  </si>
  <si>
    <t>ORD004635</t>
  </si>
  <si>
    <t>ORD003636</t>
  </si>
  <si>
    <t>ORD003763</t>
  </si>
  <si>
    <t>ORD005651</t>
  </si>
  <si>
    <t>ORD000982</t>
  </si>
  <si>
    <t>ORD001334</t>
  </si>
  <si>
    <t>ORD002675</t>
  </si>
  <si>
    <t>ORD001269</t>
  </si>
  <si>
    <t>ORD004742</t>
  </si>
  <si>
    <t>ORD000055</t>
  </si>
  <si>
    <t>ORD001380</t>
  </si>
  <si>
    <t>ORD001206</t>
  </si>
  <si>
    <t>ORD000469</t>
  </si>
  <si>
    <t>ORD005515</t>
  </si>
  <si>
    <t>ORD004960</t>
  </si>
  <si>
    <t>ORD005255</t>
  </si>
  <si>
    <t>ORD001657</t>
  </si>
  <si>
    <t>ORD003908</t>
  </si>
  <si>
    <t>ORD004352</t>
  </si>
  <si>
    <t>ORD003657</t>
  </si>
  <si>
    <t>ORD005286</t>
  </si>
  <si>
    <t>ORD005169</t>
  </si>
  <si>
    <t>ORD001979</t>
  </si>
  <si>
    <t>ORD004757</t>
  </si>
  <si>
    <t>ORD002067</t>
  </si>
  <si>
    <t>ORD004924</t>
  </si>
  <si>
    <t>ORD005321</t>
  </si>
  <si>
    <t>ORD004397</t>
  </si>
  <si>
    <t>ORD002381</t>
  </si>
  <si>
    <t>ORD005384</t>
  </si>
  <si>
    <t>ORD005334</t>
  </si>
  <si>
    <t>ORD001396</t>
  </si>
  <si>
    <t>ORD005198</t>
  </si>
  <si>
    <t>ORD001590</t>
  </si>
  <si>
    <t>ORD000689</t>
  </si>
  <si>
    <t>ORD004958</t>
  </si>
  <si>
    <t>ORD000922</t>
  </si>
  <si>
    <t>ORD003676</t>
  </si>
  <si>
    <t>ORD001003</t>
  </si>
  <si>
    <t>ORD002205</t>
  </si>
  <si>
    <t>ORD004519</t>
  </si>
  <si>
    <t>ORD002715</t>
  </si>
  <si>
    <t>ORD003160</t>
  </si>
  <si>
    <t>ORD000369</t>
  </si>
  <si>
    <t>ORD003133</t>
  </si>
  <si>
    <t>ORD002537</t>
  </si>
  <si>
    <t>ORD002874</t>
  </si>
  <si>
    <t>ORD001065</t>
  </si>
  <si>
    <t>ORD002575</t>
  </si>
  <si>
    <t>ORD003290</t>
  </si>
  <si>
    <t>ORD005279</t>
  </si>
  <si>
    <t>ORD003833</t>
  </si>
  <si>
    <t>ORD000492</t>
  </si>
  <si>
    <t>ORD001353</t>
  </si>
  <si>
    <t>ORD001528</t>
  </si>
  <si>
    <t>ORD003890</t>
  </si>
  <si>
    <t>ORD001395</t>
  </si>
  <si>
    <t>ORD000724</t>
  </si>
  <si>
    <t>ORD002400</t>
  </si>
  <si>
    <t>ORD004144</t>
  </si>
  <si>
    <t>ORD004918</t>
  </si>
  <si>
    <t>ORD004453</t>
  </si>
  <si>
    <t>ORD003920</t>
  </si>
  <si>
    <t>ORD004661</t>
  </si>
  <si>
    <t>ORD004575</t>
  </si>
  <si>
    <t>ORD001512</t>
  </si>
  <si>
    <t>ORD005253</t>
  </si>
  <si>
    <t>ORD003883</t>
  </si>
  <si>
    <t>ORD002807</t>
  </si>
  <si>
    <t>ORD005374</t>
  </si>
  <si>
    <t>ORD005005</t>
  </si>
  <si>
    <t>ORD003249</t>
  </si>
  <si>
    <t>ORD001110</t>
  </si>
  <si>
    <t>ORD000069</t>
  </si>
  <si>
    <t>ORD005511</t>
  </si>
  <si>
    <t>ORD003765</t>
  </si>
  <si>
    <t>ORD001919</t>
  </si>
  <si>
    <t>ORD005759</t>
  </si>
  <si>
    <t>ORD005936</t>
  </si>
  <si>
    <t>ORD001129</t>
  </si>
  <si>
    <t>ORD000827</t>
  </si>
  <si>
    <t>ORD001743</t>
  </si>
  <si>
    <t>ORD005655</t>
  </si>
  <si>
    <t>ORD005789</t>
  </si>
  <si>
    <t>ORD000671</t>
  </si>
  <si>
    <t>ORD004173</t>
  </si>
  <si>
    <t>ORD003070</t>
  </si>
  <si>
    <t>ORD005388</t>
  </si>
  <si>
    <t>ORD001154</t>
  </si>
  <si>
    <t>ORD003784</t>
  </si>
  <si>
    <t>ORD002465</t>
  </si>
  <si>
    <t>ORD002839</t>
  </si>
  <si>
    <t>ORD003868</t>
  </si>
  <si>
    <t>ORD003180</t>
  </si>
  <si>
    <t>ORD005630</t>
  </si>
  <si>
    <t>ORD000886</t>
  </si>
  <si>
    <t>ORD005900</t>
  </si>
  <si>
    <t>ORD001858</t>
  </si>
  <si>
    <t>ORD005980</t>
  </si>
  <si>
    <t>ORD002670</t>
  </si>
  <si>
    <t>ORD001862</t>
  </si>
  <si>
    <t>ORD004791</t>
  </si>
  <si>
    <t>ORD004488</t>
  </si>
  <si>
    <t>ORD000820</t>
  </si>
  <si>
    <t>ORD000959</t>
  </si>
  <si>
    <t>ORD003126</t>
  </si>
  <si>
    <t>ORD002700</t>
  </si>
  <si>
    <t>ORD003396</t>
  </si>
  <si>
    <t>ORD000142</t>
  </si>
  <si>
    <t>ORD001816</t>
  </si>
  <si>
    <t>ORD003482</t>
  </si>
  <si>
    <t>ORD003999</t>
  </si>
  <si>
    <t>ORD005797</t>
  </si>
  <si>
    <t>ORD002265</t>
  </si>
  <si>
    <t>ORD004566</t>
  </si>
  <si>
    <t>ORD002117</t>
  </si>
  <si>
    <t>ORD003603</t>
  </si>
  <si>
    <t>ORD003306</t>
  </si>
  <si>
    <t>ORD003328</t>
  </si>
  <si>
    <t>ORD002480</t>
  </si>
  <si>
    <t>ORD000525</t>
  </si>
  <si>
    <t>ORD001955</t>
  </si>
  <si>
    <t>ORD001461</t>
  </si>
  <si>
    <t>ORD003395</t>
  </si>
  <si>
    <t>ORD002909</t>
  </si>
  <si>
    <t>ORD001878</t>
  </si>
  <si>
    <t>ORD000375</t>
  </si>
  <si>
    <t>ORD002280</t>
  </si>
  <si>
    <t>ORD004577</t>
  </si>
  <si>
    <t>ORD005087</t>
  </si>
  <si>
    <t>ORD003698</t>
  </si>
  <si>
    <t>ORD005873</t>
  </si>
  <si>
    <t>ORD004941</t>
  </si>
  <si>
    <t>ORD003032</t>
  </si>
  <si>
    <t>ORD004979</t>
  </si>
  <si>
    <t>ORD003179</t>
  </si>
  <si>
    <t>ORD005672</t>
  </si>
  <si>
    <t>ORD003040</t>
  </si>
  <si>
    <t>ORD000260</t>
  </si>
  <si>
    <t>ORD001598</t>
  </si>
  <si>
    <t>ORD001203</t>
  </si>
  <si>
    <t>ORD005486</t>
  </si>
  <si>
    <t>ORD004121</t>
  </si>
  <si>
    <t>ORD003585</t>
  </si>
  <si>
    <t>ORD000937</t>
  </si>
  <si>
    <t>ORD004646</t>
  </si>
  <si>
    <t>ORD002278</t>
  </si>
  <si>
    <t>ORD004544</t>
  </si>
  <si>
    <t>ORD005215</t>
  </si>
  <si>
    <t>ORD005088</t>
  </si>
  <si>
    <t>ORD004768</t>
  </si>
  <si>
    <t>ORD001885</t>
  </si>
  <si>
    <t>ORD003260</t>
  </si>
  <si>
    <t>ORD001544</t>
  </si>
  <si>
    <t>ORD001227</t>
  </si>
  <si>
    <t>ORD000538</t>
  </si>
  <si>
    <t>ORD005489</t>
  </si>
  <si>
    <t>ORD001526</t>
  </si>
  <si>
    <t>ORD000100</t>
  </si>
  <si>
    <t>ORD003075</t>
  </si>
  <si>
    <t>ORD002611</t>
  </si>
  <si>
    <t>ORD001672</t>
  </si>
  <si>
    <t>ORD003926</t>
  </si>
  <si>
    <t>ORD001874</t>
  </si>
  <si>
    <t>ORD002099</t>
  </si>
  <si>
    <t>ORD005703</t>
  </si>
  <si>
    <t>ORD002297</t>
  </si>
  <si>
    <t>ORD004211</t>
  </si>
  <si>
    <t>ORD002918</t>
  </si>
  <si>
    <t>ORD005066</t>
  </si>
  <si>
    <t>ORD004292</t>
  </si>
  <si>
    <t>ORD005114</t>
  </si>
  <si>
    <t>ORD001558</t>
  </si>
  <si>
    <t>ORD002125</t>
  </si>
  <si>
    <t>ORD005051</t>
  </si>
  <si>
    <t>ORD004942</t>
  </si>
  <si>
    <t>ORD000599</t>
  </si>
  <si>
    <t>ORD001909</t>
  </si>
  <si>
    <t>ORD000593</t>
  </si>
  <si>
    <t>ORD003247</t>
  </si>
  <si>
    <t>ORD004016</t>
  </si>
  <si>
    <t>ORD002750</t>
  </si>
  <si>
    <t>ORD005360</t>
  </si>
  <si>
    <t>ORD004591</t>
  </si>
  <si>
    <t>ORD005563</t>
  </si>
  <si>
    <t>ORD005719</t>
  </si>
  <si>
    <t>ORD005224</t>
  </si>
  <si>
    <t>ORD003168</t>
  </si>
  <si>
    <t>ORD000664</t>
  </si>
  <si>
    <t>ORD000437</t>
  </si>
  <si>
    <t>ORD003091</t>
  </si>
  <si>
    <t>ORD005540</t>
  </si>
  <si>
    <t>ORD003633</t>
  </si>
  <si>
    <t>ORD000199</t>
  </si>
  <si>
    <t>ORD001681</t>
  </si>
  <si>
    <t>ORD004973</t>
  </si>
  <si>
    <t>ORD003881</t>
  </si>
  <si>
    <t>ORD005604</t>
  </si>
  <si>
    <t>ORD000271</t>
  </si>
  <si>
    <t>ORD003866</t>
  </si>
  <si>
    <t>ORD001880</t>
  </si>
  <si>
    <t>ORD002619</t>
  </si>
  <si>
    <t>ORD002020</t>
  </si>
  <si>
    <t>ORD001379</t>
  </si>
  <si>
    <t>ORD005827</t>
  </si>
  <si>
    <t>ORD002905</t>
  </si>
  <si>
    <t>ORD003473</t>
  </si>
  <si>
    <t>ORD000021</t>
  </si>
  <si>
    <t>ORD000962</t>
  </si>
  <si>
    <t>ORD005249</t>
  </si>
  <si>
    <t>ORD005522</t>
  </si>
  <si>
    <t>ORD002642</t>
  </si>
  <si>
    <t>ORD003279</t>
  </si>
  <si>
    <t>ORD005320</t>
  </si>
  <si>
    <t>ORD004803</t>
  </si>
  <si>
    <t>ORD005520</t>
  </si>
  <si>
    <t>ORD000825</t>
  </si>
  <si>
    <t>ORD001716</t>
  </si>
  <si>
    <t>ORD000750</t>
  </si>
  <si>
    <t>ORD005901</t>
  </si>
  <si>
    <t>ORD004596</t>
  </si>
  <si>
    <t>ORD002596</t>
  </si>
  <si>
    <t>ORD000210</t>
  </si>
  <si>
    <t>ORD000376</t>
  </si>
  <si>
    <t>ORD004951</t>
  </si>
  <si>
    <t>ORD003089</t>
  </si>
  <si>
    <t>ORD000035</t>
  </si>
  <si>
    <t>ORD001368</t>
  </si>
  <si>
    <t>ORD000422</t>
  </si>
  <si>
    <t>ORD004910</t>
  </si>
  <si>
    <t>ORD000744</t>
  </si>
  <si>
    <t>ORD001848</t>
  </si>
  <si>
    <t>ORD005992</t>
  </si>
  <si>
    <t>ORD000483</t>
  </si>
  <si>
    <t>ORD002868</t>
  </si>
  <si>
    <t>ORD003671</t>
  </si>
  <si>
    <t>ORD004147</t>
  </si>
  <si>
    <t>ORD000314</t>
  </si>
  <si>
    <t>ORD002897</t>
  </si>
  <si>
    <t>ORD001639</t>
  </si>
  <si>
    <t>ORD003016</t>
  </si>
  <si>
    <t>ORD004963</t>
  </si>
  <si>
    <t>ORD001452</t>
  </si>
  <si>
    <t>ORD001151</t>
  </si>
  <si>
    <t>ORD003981</t>
  </si>
  <si>
    <t>ORD002899</t>
  </si>
  <si>
    <t>ORD001686</t>
  </si>
  <si>
    <t>ORD001429</t>
  </si>
  <si>
    <t>ORD005792</t>
  </si>
  <si>
    <t>ORD003241</t>
  </si>
  <si>
    <t>ORD002024</t>
  </si>
  <si>
    <t>ORD001291</t>
  </si>
  <si>
    <t>ORD001651</t>
  </si>
  <si>
    <t>ORD000120</t>
  </si>
  <si>
    <t>ORD002383</t>
  </si>
  <si>
    <t>ORD000029</t>
  </si>
  <si>
    <t>ORD003099</t>
  </si>
  <si>
    <t>ORD004212</t>
  </si>
  <si>
    <t>ORD004204</t>
  </si>
  <si>
    <t>ORD002593</t>
  </si>
  <si>
    <t>ORD000990</t>
  </si>
  <si>
    <t>ORD004517</t>
  </si>
  <si>
    <t>ORD001062</t>
  </si>
  <si>
    <t>ORD002949</t>
  </si>
  <si>
    <t>ORD003907</t>
  </si>
  <si>
    <t>ORD004362</t>
  </si>
  <si>
    <t>ORD003673</t>
  </si>
  <si>
    <t>ORD002102</t>
  </si>
  <si>
    <t>ORD002479</t>
  </si>
  <si>
    <t>ORD003141</t>
  </si>
  <si>
    <t>ORD004000</t>
  </si>
  <si>
    <t>ORD001907</t>
  </si>
  <si>
    <t>ORD003919</t>
  </si>
  <si>
    <t>ORD003432</t>
  </si>
  <si>
    <t>ORD004398</t>
  </si>
  <si>
    <t>ORD000571</t>
  </si>
  <si>
    <t>ORD003840</t>
  </si>
  <si>
    <t>ORD004061</t>
  </si>
  <si>
    <t>ORD001264</t>
  </si>
  <si>
    <t>ORD004130</t>
  </si>
  <si>
    <t>ORD005049</t>
  </si>
  <si>
    <t>ORD003766</t>
  </si>
  <si>
    <t>ORD004376</t>
  </si>
  <si>
    <t>ORD004320</t>
  </si>
  <si>
    <t>ORD001934</t>
  </si>
  <si>
    <t>ORD005738</t>
  </si>
  <si>
    <t>ORD000893</t>
  </si>
  <si>
    <t>ORD000816</t>
  </si>
  <si>
    <t>ORD004308</t>
  </si>
  <si>
    <t>ORD002993</t>
  </si>
  <si>
    <t>ORD001545</t>
  </si>
  <si>
    <t>ORD000281</t>
  </si>
  <si>
    <t>ORD004205</t>
  </si>
  <si>
    <t>ORD005052</t>
  </si>
  <si>
    <t>ORD001183</t>
  </si>
  <si>
    <t>ORD002979</t>
  </si>
  <si>
    <t>ORD003497</t>
  </si>
  <si>
    <t>ORD003422</t>
  </si>
  <si>
    <t>ORD003045</t>
  </si>
  <si>
    <t>ORD003891</t>
  </si>
  <si>
    <t>ORD002790</t>
  </si>
  <si>
    <t>ORD000398</t>
  </si>
  <si>
    <t>ORD002230</t>
  </si>
  <si>
    <t>ORD003884</t>
  </si>
  <si>
    <t>ORD004025</t>
  </si>
  <si>
    <t>ORD002694</t>
  </si>
  <si>
    <t>ORD002792</t>
  </si>
  <si>
    <t>ORD001105</t>
  </si>
  <si>
    <t>ORD000455</t>
  </si>
  <si>
    <t>ORD000496</t>
  </si>
  <si>
    <t>ORD001399</t>
  </si>
  <si>
    <t>ORD003096</t>
  </si>
  <si>
    <t>ORD002777</t>
  </si>
  <si>
    <t>ORD003338</t>
  </si>
  <si>
    <t>ORD004648</t>
  </si>
  <si>
    <t>ORD000646</t>
  </si>
  <si>
    <t>ORD001522</t>
  </si>
  <si>
    <t>ORD003020</t>
  </si>
  <si>
    <t>ORD002734</t>
  </si>
  <si>
    <t>ORD005986</t>
  </si>
  <si>
    <t>ORD000019</t>
  </si>
  <si>
    <t>ORD001853</t>
  </si>
  <si>
    <t>ORD003006</t>
  </si>
  <si>
    <t>ORD005649</t>
  </si>
  <si>
    <t>ORD005506</t>
  </si>
  <si>
    <t>ORD003687</t>
  </si>
  <si>
    <t>ORD000936</t>
  </si>
  <si>
    <t>ORD005438</t>
  </si>
  <si>
    <t>ORD005688</t>
  </si>
  <si>
    <t>ORD005490</t>
  </si>
  <si>
    <t>ORD003121</t>
  </si>
  <si>
    <t>ORD000186</t>
  </si>
  <si>
    <t>ORD001304</t>
  </si>
  <si>
    <t>ORD005948</t>
  </si>
  <si>
    <t>ORD005712</t>
  </si>
  <si>
    <t>ORD000102</t>
  </si>
  <si>
    <t>ORD004329</t>
  </si>
  <si>
    <t>ORD000141</t>
  </si>
  <si>
    <t>ORD004414</t>
  </si>
  <si>
    <t>ORD002196</t>
  </si>
  <si>
    <t>ORD000568</t>
  </si>
  <si>
    <t>ORD002566</t>
  </si>
  <si>
    <t>ORD005545</t>
  </si>
  <si>
    <t>ORD001578</t>
  </si>
  <si>
    <t>ORD003686</t>
  </si>
  <si>
    <t>ORD001093</t>
  </si>
  <si>
    <t>ORD005400</t>
  </si>
  <si>
    <t>ORD003630</t>
  </si>
  <si>
    <t>ORD003909</t>
  </si>
  <si>
    <t>ORD002050</t>
  </si>
  <si>
    <t>ORD002736</t>
  </si>
  <si>
    <t>ORD005342</t>
  </si>
  <si>
    <t>ORD000708</t>
  </si>
  <si>
    <t>ORD005219</t>
  </si>
  <si>
    <t>ORD005647</t>
  </si>
  <si>
    <t>ORD000977</t>
  </si>
  <si>
    <t>ORD000782</t>
  </si>
  <si>
    <t>ORD005617</t>
  </si>
  <si>
    <t>ORD000295</t>
  </si>
  <si>
    <t>ORD004340</t>
  </si>
  <si>
    <t>ORD002431</t>
  </si>
  <si>
    <t>ORD001755</t>
  </si>
  <si>
    <t>ORD001403</t>
  </si>
  <si>
    <t>ORD005350</t>
  </si>
  <si>
    <t>ORD002221</t>
  </si>
  <si>
    <t>ORD002214</t>
  </si>
  <si>
    <t>ORD003243</t>
  </si>
  <si>
    <t>ORD000458</t>
  </si>
  <si>
    <t>ORD004653</t>
  </si>
  <si>
    <t>ORD001407</t>
  </si>
  <si>
    <t>ORD005952</t>
  </si>
  <si>
    <t>ORD004232</t>
  </si>
  <si>
    <t>ORD005144</t>
  </si>
  <si>
    <t>ORD001072</t>
  </si>
  <si>
    <t>ORD001299</t>
  </si>
  <si>
    <t>ORD001302</t>
  </si>
  <si>
    <t>ORD004912</t>
  </si>
  <si>
    <t>ORD000320</t>
  </si>
  <si>
    <t>ORD004021</t>
  </si>
  <si>
    <t>ORD003242</t>
  </si>
  <si>
    <t>ORD003378</t>
  </si>
  <si>
    <t>ORD002638</t>
  </si>
  <si>
    <t>ORD002151</t>
  </si>
  <si>
    <t>ORD004168</t>
  </si>
  <si>
    <t>ORD003970</t>
  </si>
  <si>
    <t>ORD004955</t>
  </si>
  <si>
    <t>ORD001946</t>
  </si>
  <si>
    <t>ORD002000</t>
  </si>
  <si>
    <t>ORD003324</t>
  </si>
  <si>
    <t>ORD002719</t>
  </si>
  <si>
    <t>ORD004017</t>
  </si>
  <si>
    <t>ORD004072</t>
  </si>
  <si>
    <t>ORD002437</t>
  </si>
  <si>
    <t>ORD000131</t>
  </si>
  <si>
    <t>ORD005764</t>
  </si>
  <si>
    <t>ORD004429</t>
  </si>
  <si>
    <t>ORD003598</t>
  </si>
  <si>
    <t>ORD004301</t>
  </si>
  <si>
    <t>ORD003691</t>
  </si>
  <si>
    <t>ORD005230</t>
  </si>
  <si>
    <t>ORD003934</t>
  </si>
  <si>
    <t>ORD001917</t>
  </si>
  <si>
    <t>ORD005925</t>
  </si>
  <si>
    <t>ORD003689</t>
  </si>
  <si>
    <t>ORD000576</t>
  </si>
  <si>
    <t>ORD005093</t>
  </si>
  <si>
    <t>ORD003827</t>
  </si>
  <si>
    <t>ORD005816</t>
  </si>
  <si>
    <t>ORD004209</t>
  </si>
  <si>
    <t>ORD004378</t>
  </si>
  <si>
    <t>ORD002094</t>
  </si>
  <si>
    <t>ORD002577</t>
  </si>
  <si>
    <t>ORD002081</t>
  </si>
  <si>
    <t>ORD003847</t>
  </si>
  <si>
    <t>ORD001458</t>
  </si>
  <si>
    <t>ORD005057</t>
  </si>
  <si>
    <t>ORD001972</t>
  </si>
  <si>
    <t>ORD001753</t>
  </si>
  <si>
    <t>ORD000805</t>
  </si>
  <si>
    <t>ORD000336</t>
  </si>
  <si>
    <t>ORD005516</t>
  </si>
  <si>
    <t>ORD004752</t>
  </si>
  <si>
    <t>ORD003320</t>
  </si>
  <si>
    <t>ORD000501</t>
  </si>
  <si>
    <t>ORD004279</t>
  </si>
  <si>
    <t>ORD000384</t>
  </si>
  <si>
    <t>ORD001606</t>
  </si>
  <si>
    <t>ORD002533</t>
  </si>
  <si>
    <t>ORD003410</t>
  </si>
  <si>
    <t>ORD004904</t>
  </si>
  <si>
    <t>ORD003848</t>
  </si>
  <si>
    <t>ORD003767</t>
  </si>
  <si>
    <t>ORD005871</t>
  </si>
  <si>
    <t>ORD000685</t>
  </si>
  <si>
    <t>ORD000547</t>
  </si>
  <si>
    <t>ORD004782</t>
  </si>
  <si>
    <t>ORD005507</t>
  </si>
  <si>
    <t>ORD000325</t>
  </si>
  <si>
    <t>ORD004883</t>
  </si>
  <si>
    <t>ORD003022</t>
  </si>
  <si>
    <t>ORD003702</t>
  </si>
  <si>
    <t>ORD003058</t>
  </si>
  <si>
    <t>ORD003308</t>
  </si>
  <si>
    <t>ORD003640</t>
  </si>
  <si>
    <t>ORD003309</t>
  </si>
  <si>
    <t>ORD000771</t>
  </si>
  <si>
    <t>ORD005828</t>
  </si>
  <si>
    <t>ORD005640</t>
  </si>
  <si>
    <t>ORD000650</t>
  </si>
  <si>
    <t>ORD002200</t>
  </si>
  <si>
    <t>ORD004165</t>
  </si>
  <si>
    <t>ORD001005</t>
  </si>
  <si>
    <t>ORD003008</t>
  </si>
  <si>
    <t>ORD004736</t>
  </si>
  <si>
    <t>ORD002073</t>
  </si>
  <si>
    <t>ORD001476</t>
  </si>
  <si>
    <t>ORD001534</t>
  </si>
  <si>
    <t>ORD005926</t>
  </si>
  <si>
    <t>ORD004779</t>
  </si>
  <si>
    <t>ORD000659</t>
  </si>
  <si>
    <t>ORD002620</t>
  </si>
  <si>
    <t>ORD001695</t>
  </si>
  <si>
    <t>ORD000564</t>
  </si>
  <si>
    <t>ORD005790</t>
  </si>
  <si>
    <t>ORD003933</t>
  </si>
  <si>
    <t>ORD002928</t>
  </si>
  <si>
    <t>ORD004237</t>
  </si>
  <si>
    <t>ORD001026</t>
  </si>
  <si>
    <t>ORD003093</t>
  </si>
  <si>
    <t>ORD001495</t>
  </si>
  <si>
    <t>ORD003549</t>
  </si>
  <si>
    <t>ORD000598</t>
  </si>
  <si>
    <t>ORD001059</t>
  </si>
  <si>
    <t>ORD001561</t>
  </si>
  <si>
    <t>ORD005512</t>
  </si>
  <si>
    <t>ORD001592</t>
  </si>
  <si>
    <t>ORD000943</t>
  </si>
  <si>
    <t>ORD000869</t>
  </si>
  <si>
    <t>ORD003228</t>
  </si>
  <si>
    <t>ORD003706</t>
  </si>
  <si>
    <t>ORD001446</t>
  </si>
  <si>
    <t>ORD000279</t>
  </si>
  <si>
    <t>ORD002279</t>
  </si>
  <si>
    <t>ORD001650</t>
  </si>
  <si>
    <t>ORD002671</t>
  </si>
  <si>
    <t>ORD001248</t>
  </si>
  <si>
    <t>ORD005029</t>
  </si>
  <si>
    <t>ORD002531</t>
  </si>
  <si>
    <t>ORD004917</t>
  </si>
  <si>
    <t>ORD005913</t>
  </si>
  <si>
    <t>ORD001591</t>
  </si>
  <si>
    <t>ORD000698</t>
  </si>
  <si>
    <t>ORD005375</t>
  </si>
  <si>
    <t>ORD000637</t>
  </si>
  <si>
    <t>ORD005433</t>
  </si>
  <si>
    <t>ORD003289</t>
  </si>
  <si>
    <t>ORD000498</t>
  </si>
  <si>
    <t>ORD005211</t>
  </si>
  <si>
    <t>ORD005449</t>
  </si>
  <si>
    <t>ORD004465</t>
  </si>
  <si>
    <t>ORD001498</t>
  </si>
  <si>
    <t>ORD002084</t>
  </si>
  <si>
    <t>ORD002762</t>
  </si>
  <si>
    <t>ORD003151</t>
  </si>
  <si>
    <t>ORD000743</t>
  </si>
  <si>
    <t>ORD001088</t>
  </si>
  <si>
    <t>ORD005747</t>
  </si>
  <si>
    <t>ORD005041</t>
  </si>
  <si>
    <t>ORD002484</t>
  </si>
  <si>
    <t>ORD004795</t>
  </si>
  <si>
    <t>ORD004367</t>
  </si>
  <si>
    <t>ORD004882</t>
  </si>
  <si>
    <t>ORD005298</t>
  </si>
  <si>
    <t>ORD004680</t>
  </si>
  <si>
    <t>ORD003573</t>
  </si>
  <si>
    <t>ORD002889</t>
  </si>
  <si>
    <t>ORD001608</t>
  </si>
  <si>
    <t>ORD005124</t>
  </si>
  <si>
    <t>ORD001838</t>
  </si>
  <si>
    <t>ORD004522</t>
  </si>
  <si>
    <t>ORD001284</t>
  </si>
  <si>
    <t>ORD005774</t>
  </si>
  <si>
    <t>ORD005293</t>
  </si>
  <si>
    <t>ORD002201</t>
  </si>
  <si>
    <t>ORD002434</t>
  </si>
  <si>
    <t>ORD005727</t>
  </si>
  <si>
    <t>ORD001735</t>
  </si>
  <si>
    <t>ORD000932</t>
  </si>
  <si>
    <t>ORD001765</t>
  </si>
  <si>
    <t>ORD000123</t>
  </si>
  <si>
    <t>ORD002930</t>
  </si>
  <si>
    <t>ORD001704</t>
  </si>
  <si>
    <t>ORD004373</t>
  </si>
  <si>
    <t>ORD002810</t>
  </si>
  <si>
    <t>ORD005085</t>
  </si>
  <si>
    <t>ORD002663</t>
  </si>
  <si>
    <t>ORD000975</t>
  </si>
  <si>
    <t>ORD005590</t>
  </si>
  <si>
    <t>ORD003492</t>
  </si>
  <si>
    <t>ORD001470</t>
  </si>
  <si>
    <t>ORD003365</t>
  </si>
  <si>
    <t>ORD002451</t>
  </si>
  <si>
    <t>ORD002392</t>
  </si>
  <si>
    <t>ORD002622</t>
  </si>
  <si>
    <t>ORD002625</t>
  </si>
  <si>
    <t>ORD005335</t>
  </si>
  <si>
    <t>ORD002326</t>
  </si>
  <si>
    <t>ORD002016</t>
  </si>
  <si>
    <t>ORD004381</t>
  </si>
  <si>
    <t>ORD000586</t>
  </si>
  <si>
    <t>ORD004382</t>
  </si>
  <si>
    <t>ORD005469</t>
  </si>
  <si>
    <t>ORD000453</t>
  </si>
  <si>
    <t>ORD004468</t>
  </si>
  <si>
    <t>ORD000832</t>
  </si>
  <si>
    <t>ORD000615</t>
  </si>
  <si>
    <t>ORD003951</t>
  </si>
  <si>
    <t>ORD004176</t>
  </si>
  <si>
    <t>ORD003054</t>
  </si>
  <si>
    <t>ORD002456</t>
  </si>
  <si>
    <t>ORD005768</t>
  </si>
  <si>
    <t>ORD000429</t>
  </si>
  <si>
    <t>ORD000552</t>
  </si>
  <si>
    <t>ORD004697</t>
  </si>
  <si>
    <t>ORD000126</t>
  </si>
  <si>
    <t>ORD002655</t>
  </si>
  <si>
    <t>ORD003993</t>
  </si>
  <si>
    <t>ORD005602</t>
  </si>
  <si>
    <t>ORD004611</t>
  </si>
  <si>
    <t>ORD003616</t>
  </si>
  <si>
    <t>ORD000740</t>
  </si>
  <si>
    <t>ORD001180</t>
  </si>
  <si>
    <t>ORD004220</t>
  </si>
  <si>
    <t>ORD005713</t>
  </si>
  <si>
    <t>ORD005670</t>
  </si>
  <si>
    <t>ORD004629</t>
  </si>
  <si>
    <t>ORD000822</t>
  </si>
  <si>
    <t>ORD004338</t>
  </si>
  <si>
    <t>ORD005401</t>
  </si>
  <si>
    <t>ORD004160</t>
  </si>
  <si>
    <t>ORD002648</t>
  </si>
  <si>
    <t>ORD003948</t>
  </si>
  <si>
    <t>ORD001268</t>
  </si>
  <si>
    <t>ORD003754</t>
  </si>
  <si>
    <t>ORD000965</t>
  </si>
  <si>
    <t>ORD000363</t>
  </si>
  <si>
    <t>ORD005618</t>
  </si>
  <si>
    <t>ORD005484</t>
  </si>
  <si>
    <t>ORD001553</t>
  </si>
  <si>
    <t>ORD000344</t>
  </si>
  <si>
    <t>ORD004699</t>
  </si>
  <si>
    <t>ORD002797</t>
  </si>
  <si>
    <t>ORD001035</t>
  </si>
  <si>
    <t>ORD001501</t>
  </si>
  <si>
    <t>ORD005386</t>
  </si>
  <si>
    <t>ORD003150</t>
  </si>
  <si>
    <t>ORD004464</t>
  </si>
  <si>
    <t>ORD004166</t>
  </si>
  <si>
    <t>ORD003048</t>
  </si>
  <si>
    <t>ORD001285</t>
  </si>
  <si>
    <t>ORD001049</t>
  </si>
  <si>
    <t>ORD001805</t>
  </si>
  <si>
    <t>ORD003101</t>
  </si>
  <si>
    <t>ORD000961</t>
  </si>
  <si>
    <t>ORD002932</t>
  </si>
  <si>
    <t>ORD003405</t>
  </si>
  <si>
    <t>ORD000327</t>
  </si>
  <si>
    <t>ORD003305</t>
  </si>
  <si>
    <t>ORD002923</t>
  </si>
  <si>
    <t>ORD000885</t>
  </si>
  <si>
    <t>ORD000874</t>
  </si>
  <si>
    <t>ORD001067</t>
  </si>
  <si>
    <t>ORD004685</t>
  </si>
  <si>
    <t>ORD000209</t>
  </si>
  <si>
    <t>ORD002003</t>
  </si>
  <si>
    <t>ORD004083</t>
  </si>
  <si>
    <t>ORD001393</t>
  </si>
  <si>
    <t>ORD002139</t>
  </si>
  <si>
    <t>ORD003528</t>
  </si>
  <si>
    <t>ORD005624</t>
  </si>
  <si>
    <t>ORD004705</t>
  </si>
  <si>
    <t>ORD003562</t>
  </si>
  <si>
    <t>ORD004839</t>
  </si>
  <si>
    <t>ORD000014</t>
  </si>
  <si>
    <t>ORD005409</t>
  </si>
  <si>
    <t>ORD003167</t>
  </si>
  <si>
    <t>ORD004238</t>
  </si>
  <si>
    <t>ORD003202</t>
  </si>
  <si>
    <t>ORD000371</t>
  </si>
  <si>
    <t>ORD005018</t>
  </si>
  <si>
    <t>ORD002247</t>
  </si>
  <si>
    <t>ORD001620</t>
  </si>
  <si>
    <t>ORD002936</t>
  </si>
  <si>
    <t>ORD003018</t>
  </si>
  <si>
    <t>ORD000861</t>
  </si>
  <si>
    <t>ORD000850</t>
  </si>
  <si>
    <t>ORD003927</t>
  </si>
  <si>
    <t>ORD005019</t>
  </si>
  <si>
    <t>ORD003800</t>
  </si>
  <si>
    <t>ORD002772</t>
  </si>
  <si>
    <t>ORD000317</t>
  </si>
  <si>
    <t>ORD002950</t>
  </si>
  <si>
    <t>ORD003985</t>
  </si>
  <si>
    <t>ORD002047</t>
  </si>
  <si>
    <t>ORD003829</t>
  </si>
  <si>
    <t>ORD002855</t>
  </si>
  <si>
    <t>ORD001963</t>
  </si>
  <si>
    <t>ORD004302</t>
  </si>
  <si>
    <t>ORD003584</t>
  </si>
  <si>
    <t>ORD001916</t>
  </si>
  <si>
    <t>ORD004866</t>
  </si>
  <si>
    <t>ORD005594</t>
  </si>
  <si>
    <t>ORD000675</t>
  </si>
  <si>
    <t>ORD000460</t>
  </si>
  <si>
    <t>ORD004932</t>
  </si>
  <si>
    <t>ORD003953</t>
  </si>
  <si>
    <t>ORD004543</t>
  </si>
  <si>
    <t>ORD005923</t>
  </si>
  <si>
    <t>ORD000392</t>
  </si>
  <si>
    <t>ORD001837</t>
  </si>
  <si>
    <t>ORD004345</t>
  </si>
  <si>
    <t>ORD000242</t>
  </si>
  <si>
    <t>ORD002107</t>
  </si>
  <si>
    <t>ORD000883</t>
  </si>
  <si>
    <t>ORD000823</t>
  </si>
  <si>
    <t>ORD003714</t>
  </si>
  <si>
    <t>ORD000995</t>
  </si>
  <si>
    <t>ORD002126</t>
  </si>
  <si>
    <t>ORD000085</t>
  </si>
  <si>
    <t>ORD000223</t>
  </si>
  <si>
    <t>ORD001584</t>
  </si>
  <si>
    <t>ORD001737</t>
  </si>
  <si>
    <t>ORD002501</t>
  </si>
  <si>
    <t>ORD003198</t>
  </si>
  <si>
    <t>ORD001835</t>
  </si>
  <si>
    <t>ORD000467</t>
  </si>
  <si>
    <t>ORD003617</t>
  </si>
  <si>
    <t>ORD000442</t>
  </si>
  <si>
    <t>ORD003533</t>
  </si>
  <si>
    <t>ORD005552</t>
  </si>
  <si>
    <t>ORD000804</t>
  </si>
  <si>
    <t>ORD003586</t>
  </si>
  <si>
    <t>ORD000216</t>
  </si>
  <si>
    <t>ORD000418</t>
  </si>
  <si>
    <t>ORD000459</t>
  </si>
  <si>
    <t>ORD000577</t>
  </si>
  <si>
    <t>ORD001747</t>
  </si>
  <si>
    <t>ORD000930</t>
  </si>
  <si>
    <t>ORD002726</t>
  </si>
  <si>
    <t>ORD004602</t>
  </si>
  <si>
    <t>ORD003727</t>
  </si>
  <si>
    <t>ORD001237</t>
  </si>
  <si>
    <t>ORD000896</t>
  </si>
  <si>
    <t>ORD003715</t>
  </si>
  <si>
    <t>ORD002962</t>
  </si>
  <si>
    <t>ORD003183</t>
  </si>
  <si>
    <t>ORD001279</t>
  </si>
  <si>
    <t>ORD005937</t>
  </si>
  <si>
    <t>ORD005840</t>
  </si>
  <si>
    <t>ORD003429</t>
  </si>
  <si>
    <t>ORD000476</t>
  </si>
  <si>
    <t>ORD003964</t>
  </si>
  <si>
    <t>ORD004135</t>
  </si>
  <si>
    <t>ORD002008</t>
  </si>
  <si>
    <t>ORD002239</t>
  </si>
  <si>
    <t>ORD005207</t>
  </si>
  <si>
    <t>ORD003303</t>
  </si>
  <si>
    <t>ORD002254</t>
  </si>
  <si>
    <t>ORD002497</t>
  </si>
  <si>
    <t>ORD002417</t>
  </si>
  <si>
    <t>ORD000604</t>
  </si>
  <si>
    <t>ORD004067</t>
  </si>
  <si>
    <t>ORD000022</t>
  </si>
  <si>
    <t>ORD001596</t>
  </si>
  <si>
    <t>ORD005946</t>
  </si>
  <si>
    <t>ORD004059</t>
  </si>
  <si>
    <t>ORD001796</t>
  </si>
  <si>
    <t>ORD000143</t>
  </si>
  <si>
    <t>ORD000005</t>
  </si>
  <si>
    <t>ORD002176</t>
  </si>
  <si>
    <t>ORD003565</t>
  </si>
  <si>
    <t>ORD004357</t>
  </si>
  <si>
    <t>ORD002865</t>
  </si>
  <si>
    <t>ORD004140</t>
  </si>
  <si>
    <t>ORD003044</t>
  </si>
  <si>
    <t>ORD004945</t>
  </si>
  <si>
    <t>ORD004455</t>
  </si>
  <si>
    <t>ORD002012</t>
  </si>
  <si>
    <t>ORD000110</t>
  </si>
  <si>
    <t>ORD001394</t>
  </si>
  <si>
    <t>ORD002878</t>
  </si>
  <si>
    <t>ORD005058</t>
  </si>
  <si>
    <t>ORD003067</t>
  </si>
  <si>
    <t>ORD002597</t>
  </si>
  <si>
    <t>ORD001957</t>
  </si>
  <si>
    <t>ORD002056</t>
  </si>
  <si>
    <t>ORD004634</t>
  </si>
  <si>
    <t>ORD005459</t>
  </si>
  <si>
    <t>ORD005182</t>
  </si>
  <si>
    <t>ORD004836</t>
  </si>
  <si>
    <t>ORD005287</t>
  </si>
  <si>
    <t>ORD004108</t>
  </si>
  <si>
    <t>ORD000967</t>
  </si>
  <si>
    <t>ORD005149</t>
  </si>
  <si>
    <t>ORD003995</t>
  </si>
  <si>
    <t>ORD005174</t>
  </si>
  <si>
    <t>ORD003571</t>
  </si>
  <si>
    <t>ORD005733</t>
  </si>
  <si>
    <t>ORD003046</t>
  </si>
  <si>
    <t>ORD004662</t>
  </si>
  <si>
    <t>ORD001508</t>
  </si>
  <si>
    <t>ORD002350</t>
  </si>
  <si>
    <t>ORD002343</t>
  </si>
  <si>
    <t>ORD002977</t>
  </si>
  <si>
    <t>ORD003434</t>
  </si>
  <si>
    <t>ORD002884</t>
  </si>
  <si>
    <t>ORD005961</t>
  </si>
  <si>
    <t>ORD004947</t>
  </si>
  <si>
    <t>ORD005327</t>
  </si>
  <si>
    <t>ORD004107</t>
  </si>
  <si>
    <t>ORD000403</t>
  </si>
  <si>
    <t>ORD002033</t>
  </si>
  <si>
    <t>ORD004379</t>
  </si>
  <si>
    <t>ORD005379</t>
  </si>
  <si>
    <t>ORD002635</t>
  </si>
  <si>
    <t>ORD000843</t>
  </si>
  <si>
    <t>ORD003832</t>
  </si>
  <si>
    <t>ORD001240</t>
  </si>
  <si>
    <t>ORD004864</t>
  </si>
  <si>
    <t>ORD005238</t>
  </si>
  <si>
    <t>ORD004949</t>
  </si>
  <si>
    <t>ORD004124</t>
  </si>
  <si>
    <t>ORD002836</t>
  </si>
  <si>
    <t>ORD005820</t>
  </si>
  <si>
    <t>ORD002958</t>
  </si>
  <si>
    <t>ORD002976</t>
  </si>
  <si>
    <t>ORD003941</t>
  </si>
  <si>
    <t>ORD005597</t>
  </si>
  <si>
    <t>ORD000597</t>
  </si>
  <si>
    <t>ORD003652</t>
  </si>
  <si>
    <t>ORD004626</t>
  </si>
  <si>
    <t>ORD000245</t>
  </si>
  <si>
    <t>ORD004326</t>
  </si>
  <si>
    <t>ORD005031</t>
  </si>
  <si>
    <t>ORD000925</t>
  </si>
  <si>
    <t>ORD000361</t>
  </si>
  <si>
    <t>ORD003775</t>
  </si>
  <si>
    <t>ORD005548</t>
  </si>
  <si>
    <t>ORD000672</t>
  </si>
  <si>
    <t>ORD002703</t>
  </si>
  <si>
    <t>ORD001069</t>
  </si>
  <si>
    <t>ORD000396</t>
  </si>
  <si>
    <t>ORD005829</t>
  </si>
  <si>
    <t>ORD005970</t>
  </si>
  <si>
    <t>ORD001581</t>
  </si>
  <si>
    <t>ORD000826</t>
  </si>
  <si>
    <t>ORD000701</t>
  </si>
  <si>
    <t>ORD000232</t>
  </si>
  <si>
    <t>ORD000435</t>
  </si>
  <si>
    <t>ORD001614</t>
  </si>
  <si>
    <t>ORD002462</t>
  </si>
  <si>
    <t>ORD005737</t>
  </si>
  <si>
    <t>ORD000008</t>
  </si>
  <si>
    <t>ORD002255</t>
  </si>
  <si>
    <t>ORD001971</t>
  </si>
  <si>
    <t>ORD002676</t>
  </si>
  <si>
    <t>ORD000935</t>
  </si>
  <si>
    <t>ORD000372</t>
  </si>
  <si>
    <t>ORD004183</t>
  </si>
  <si>
    <t>ORD002368</t>
  </si>
  <si>
    <t>ORD000900</t>
  </si>
  <si>
    <t>ORD004732</t>
  </si>
  <si>
    <t>ORD003146</t>
  </si>
  <si>
    <t>ORD003231</t>
  </si>
  <si>
    <t>ORD000180</t>
  </si>
  <si>
    <t>ORD004652</t>
  </si>
  <si>
    <t>ORD005611</t>
  </si>
  <si>
    <t>ORD000194</t>
  </si>
  <si>
    <t>ORD001124</t>
  </si>
  <si>
    <t>ORD000121</t>
  </si>
  <si>
    <t>ORD003408</t>
  </si>
  <si>
    <t>ORD004778</t>
  </si>
  <si>
    <t>ORD003204</t>
  </si>
  <si>
    <t>ORD005942</t>
  </si>
  <si>
    <t>ORD002235</t>
  </si>
  <si>
    <t>ORD004711</t>
  </si>
  <si>
    <t>ORD001993</t>
  </si>
  <si>
    <t>ORD003237</t>
  </si>
  <si>
    <t>ORD003677</t>
  </si>
  <si>
    <t>ORD003004</t>
  </si>
  <si>
    <t>ORD000747</t>
  </si>
  <si>
    <t>ORD001340</t>
  </si>
  <si>
    <t>ORD005715</t>
  </si>
  <si>
    <t>ORD000617</t>
  </si>
  <si>
    <t>ORD001717</t>
  </si>
  <si>
    <t>ORD000523</t>
  </si>
  <si>
    <t>ORD002325</t>
  </si>
  <si>
    <t>ORD005410</t>
  </si>
  <si>
    <t>ORD004570</t>
  </si>
  <si>
    <t>ORD005184</t>
  </si>
  <si>
    <t>ORD000304</t>
  </si>
  <si>
    <t>ORD003600</t>
  </si>
  <si>
    <t>ORD000488</t>
  </si>
  <si>
    <t>ORD005817</t>
  </si>
  <si>
    <t>ORD002362</t>
  </si>
  <si>
    <t>ORD002500</t>
  </si>
  <si>
    <t>ORD001131</t>
  </si>
  <si>
    <t>ORD005302</t>
  </si>
  <si>
    <t>ORD001130</t>
  </si>
  <si>
    <t>ORD000172</t>
  </si>
  <si>
    <t>ORD002064</t>
  </si>
  <si>
    <t>ORD000198</t>
  </si>
  <si>
    <t>ORD005355</t>
  </si>
  <si>
    <t>ORD004356</t>
  </si>
  <si>
    <t>ORD005941</t>
  </si>
  <si>
    <t>ORD000503</t>
  </si>
  <si>
    <t>ORD004478</t>
  </si>
  <si>
    <t>ORD000222</t>
  </si>
  <si>
    <t>ORD001101</t>
  </si>
  <si>
    <t>ORD005291</t>
  </si>
  <si>
    <t>ORD005138</t>
  </si>
  <si>
    <t>ORD004868</t>
  </si>
  <si>
    <t>ORD004706</t>
  </si>
  <si>
    <t>ORD004339</t>
  </si>
  <si>
    <t>ORD004033</t>
  </si>
  <si>
    <t>ORD003292</t>
  </si>
  <si>
    <t>ORD003325</t>
  </si>
  <si>
    <t>ORD003457</t>
  </si>
  <si>
    <t>ORD001795</t>
  </si>
  <si>
    <t>ORD005079</t>
  </si>
  <si>
    <t>ORD004425</t>
  </si>
  <si>
    <t>ORD005581</t>
  </si>
  <si>
    <t>ORD003978</t>
  </si>
  <si>
    <t>ORD002863</t>
  </si>
  <si>
    <t>ORD004239</t>
  </si>
  <si>
    <t>ORD003477</t>
  </si>
  <si>
    <t>ORD001901</t>
  </si>
  <si>
    <t>ORD001975</t>
  </si>
  <si>
    <t>ORD002177</t>
  </si>
  <si>
    <t>ORD005164</t>
  </si>
  <si>
    <t>ORD000841</t>
  </si>
  <si>
    <t>ORD002731</t>
  </si>
  <si>
    <t>ORD001818</t>
  </si>
  <si>
    <t>ORD005814</t>
  </si>
  <si>
    <t>ORD004408</t>
  </si>
  <si>
    <t>ORD003747</t>
  </si>
  <si>
    <t>ORD004174</t>
  </si>
  <si>
    <t>ORD002757</t>
  </si>
  <si>
    <t>ORD002241</t>
  </si>
  <si>
    <t>ORD001135</t>
  </si>
  <si>
    <t>ORD003152</t>
  </si>
  <si>
    <t>ORD004427</t>
  </si>
  <si>
    <t>ORD005264</t>
  </si>
  <si>
    <t>ORD005251</t>
  </si>
  <si>
    <t>ORD003266</t>
  </si>
  <si>
    <t>ORD002153</t>
  </si>
  <si>
    <t>ORD001872</t>
  </si>
  <si>
    <t>ORD000449</t>
  </si>
  <si>
    <t>ORD005418</t>
  </si>
  <si>
    <t>ORD003690</t>
  </si>
  <si>
    <t>ORD003947</t>
  </si>
  <si>
    <t>ORD005924</t>
  </si>
  <si>
    <t>ORD001784</t>
  </si>
  <si>
    <t>ORD000058</t>
  </si>
  <si>
    <t>ORD002168</t>
  </si>
  <si>
    <t>ORD001610</t>
  </si>
  <si>
    <t>ORD002623</t>
  </si>
  <si>
    <t>ORD005947</t>
  </si>
  <si>
    <t>ORD004718</t>
  </si>
  <si>
    <t>ORD002324</t>
  </si>
  <si>
    <t>ORD000264</t>
  </si>
  <si>
    <t>ORD002185</t>
  </si>
  <si>
    <t>ORD000526</t>
  </si>
  <si>
    <t>ORD001566</t>
  </si>
  <si>
    <t>ORD002421</t>
  </si>
  <si>
    <t>ORD002837</t>
  </si>
  <si>
    <t>ORD003769</t>
  </si>
  <si>
    <t>ORD005975</t>
  </si>
  <si>
    <t>ORD003082</t>
  </si>
  <si>
    <t>ORD003516</t>
  </si>
  <si>
    <t>ORD005468</t>
  </si>
  <si>
    <t>ORD002783</t>
  </si>
  <si>
    <t>ORD002712</t>
  </si>
  <si>
    <t>ORD003251</t>
  </si>
  <si>
    <t>ORD005481</t>
  </si>
  <si>
    <t>ORD003340</t>
  </si>
  <si>
    <t>ORD005397</t>
  </si>
  <si>
    <t>ORD002440</t>
  </si>
  <si>
    <t>ORD004120</t>
  </si>
  <si>
    <t>ORD003127</t>
  </si>
  <si>
    <t>ORD002848</t>
  </si>
  <si>
    <t>ORD004818</t>
  </si>
  <si>
    <t>ORD005070</t>
  </si>
  <si>
    <t>ORD001709</t>
  </si>
  <si>
    <t>ORD002319</t>
  </si>
  <si>
    <t>ORD004655</t>
  </si>
  <si>
    <t>ORD004557</t>
  </si>
  <si>
    <t>ORD005483</t>
  </si>
  <si>
    <t>ORD005844</t>
  </si>
  <si>
    <t>ORD000338</t>
  </si>
  <si>
    <t>ORD005146</t>
  </si>
  <si>
    <t>ORD002706</t>
  </si>
  <si>
    <t>ORD005485</t>
  </si>
  <si>
    <t>ORD005777</t>
  </si>
  <si>
    <t>ORD000504</t>
  </si>
  <si>
    <t>ORD005155</t>
  </si>
  <si>
    <t>ORD001761</t>
  </si>
  <si>
    <t>ORD002127</t>
  </si>
  <si>
    <t>ORD002867</t>
  </si>
  <si>
    <t>ORD005344</t>
  </si>
  <si>
    <t>ORD005628</t>
  </si>
  <si>
    <t>ORD000929</t>
  </si>
  <si>
    <t>ORD000524</t>
  </si>
  <si>
    <t>ORD005996</t>
  </si>
  <si>
    <t>ORD004273</t>
  </si>
  <si>
    <t>ORD000539</t>
  </si>
  <si>
    <t>ORD000254</t>
  </si>
  <si>
    <t>ORD001424</t>
  </si>
  <si>
    <t>ORD004526</t>
  </si>
  <si>
    <t>ORD000424</t>
  </si>
  <si>
    <t>ORD001447</t>
  </si>
  <si>
    <t>ORD000394</t>
  </si>
  <si>
    <t>ORD000003</t>
  </si>
  <si>
    <t>ORD002328</t>
  </si>
  <si>
    <t>ORD005910</t>
  </si>
  <si>
    <t>ORD005304</t>
  </si>
  <si>
    <t>ORD002833</t>
  </si>
  <si>
    <t>ORD001491</t>
  </si>
  <si>
    <t>ORD000817</t>
  </si>
  <si>
    <t>ORD004893</t>
  </si>
  <si>
    <t>ORD004432</t>
  </si>
  <si>
    <t>ORD002578</t>
  </si>
  <si>
    <t>ORD002121</t>
  </si>
  <si>
    <t>ORD005514</t>
  </si>
  <si>
    <t>ORD004438</t>
  </si>
  <si>
    <t>ORD001609</t>
  </si>
  <si>
    <t>ORD005201</t>
  </si>
  <si>
    <t>ORD000477</t>
  </si>
  <si>
    <t>ORD003115</t>
  </si>
  <si>
    <t>ORD000600</t>
  </si>
  <si>
    <t>ORD005852</t>
  </si>
  <si>
    <t>ORD002539</t>
  </si>
  <si>
    <t>ORD001577</t>
  </si>
  <si>
    <t>ORD000133</t>
  </si>
  <si>
    <t>ORD001152</t>
  </si>
  <si>
    <t>ORD003507</t>
  </si>
  <si>
    <t>ORD003314</t>
  </si>
  <si>
    <t>ORD002631</t>
  </si>
  <si>
    <t>ORD003545</t>
  </si>
  <si>
    <t>ORD005120</t>
  </si>
  <si>
    <t>ORD002489</t>
  </si>
  <si>
    <t>ORD005411</t>
  </si>
  <si>
    <t>ORD002768</t>
  </si>
  <si>
    <t>ORD004976</t>
  </si>
  <si>
    <t>ORD003113</t>
  </si>
  <si>
    <t>ORD005582</t>
  </si>
  <si>
    <t>ORD003172</t>
  </si>
  <si>
    <t>ORD005323</t>
  </si>
  <si>
    <t>ORD004058</t>
  </si>
  <si>
    <t>ORD002966</t>
  </si>
  <si>
    <t>ORD002831</t>
  </si>
  <si>
    <t>ORD001582</t>
  </si>
  <si>
    <t>ORD003982</t>
  </si>
  <si>
    <t>ORD002628</t>
  </si>
  <si>
    <t>ORD005824</t>
  </si>
  <si>
    <t>ORD002704</t>
  </si>
  <si>
    <t>ORD004686</t>
  </si>
  <si>
    <t>ORD005912</t>
  </si>
  <si>
    <t>ORD001216</t>
  </si>
  <si>
    <t>ORD000681</t>
  </si>
  <si>
    <t>ORD003716</t>
  </si>
  <si>
    <t>ORD003823</t>
  </si>
  <si>
    <t>ORD001641</t>
  </si>
  <si>
    <t>ORD003831</t>
  </si>
  <si>
    <t>ORD004863</t>
  </si>
  <si>
    <t>ORD002827</t>
  </si>
  <si>
    <t>ORD005228</t>
  </si>
  <si>
    <t>ORD005634</t>
  </si>
  <si>
    <t>ORD003371</t>
  </si>
  <si>
    <t>ORD001832</t>
  </si>
  <si>
    <t>ORD005393</t>
  </si>
  <si>
    <t>ORD001626</t>
  </si>
  <si>
    <t>ORD005107</t>
  </si>
  <si>
    <t>ORD002039</t>
  </si>
  <si>
    <t>ORD005995</t>
  </si>
  <si>
    <t>ORD002399</t>
  </si>
  <si>
    <t>ORD003955</t>
  </si>
  <si>
    <t>ORD004983</t>
  </si>
  <si>
    <t>ORD005429</t>
  </si>
  <si>
    <t>ORD001947</t>
  </si>
  <si>
    <t>ORD000293</t>
  </si>
  <si>
    <t>ORD005865</t>
  </si>
  <si>
    <t>ORD003783</t>
  </si>
  <si>
    <t>ORD000354</t>
  </si>
  <si>
    <t>ORD003468</t>
  </si>
  <si>
    <t>ORD001201</t>
  </si>
  <si>
    <t>ORD000380</t>
  </si>
  <si>
    <t>ORD004901</t>
  </si>
  <si>
    <t>ORD005750</t>
  </si>
  <si>
    <t>ORD003055</t>
  </si>
  <si>
    <t>ORD004580</t>
  </si>
  <si>
    <t>ORD005784</t>
  </si>
  <si>
    <t>ORD000433</t>
  </si>
  <si>
    <t>ORD003737</t>
  </si>
  <si>
    <t>ORD003898</t>
  </si>
  <si>
    <t>ORD000651</t>
  </si>
  <si>
    <t>ORD003218</t>
  </si>
  <si>
    <t>ORD001472</t>
  </si>
  <si>
    <t>ORD002478</t>
  </si>
  <si>
    <t>ORD004792</t>
  </si>
  <si>
    <t>ORD000779</t>
  </si>
  <si>
    <t>ORD003774</t>
  </si>
  <si>
    <t>ORD003319</t>
  </si>
  <si>
    <t>ORD000132</t>
  </si>
  <si>
    <t>ORD003543</t>
  </si>
  <si>
    <t>ORD003316</t>
  </si>
  <si>
    <t>ORD003068</t>
  </si>
  <si>
    <t>ORD002204</t>
  </si>
  <si>
    <t>ORD002353</t>
  </si>
  <si>
    <t>ORD004031</t>
  </si>
  <si>
    <t>ORD001841</t>
  </si>
  <si>
    <t>ORD003738</t>
  </si>
  <si>
    <t>ORD004621</t>
  </si>
  <si>
    <t>ORD002511</t>
  </si>
  <si>
    <t>ORD001331</t>
  </si>
  <si>
    <t>ORD005160</t>
  </si>
  <si>
    <t>ORD003120</t>
  </si>
  <si>
    <t>ORD001994</t>
  </si>
  <si>
    <t>ORD004906</t>
  </si>
  <si>
    <t>ORD003479</t>
  </si>
  <si>
    <t>ORD004323</t>
  </si>
  <si>
    <t>ORD003364</t>
  </si>
  <si>
    <t>ORD005216</t>
  </si>
  <si>
    <t>ORD002052</t>
  </si>
  <si>
    <t>ORD000240</t>
  </si>
  <si>
    <t>ORD001460</t>
  </si>
  <si>
    <t>ORD002940</t>
  </si>
  <si>
    <t>ORD003114</t>
  </si>
  <si>
    <t>ORD002110</t>
  </si>
  <si>
    <t>ORD005894</t>
  </si>
  <si>
    <t>ORD005123</t>
  </si>
  <si>
    <t>ORD002188</t>
  </si>
  <si>
    <t>ORD004619</t>
  </si>
  <si>
    <t>ORD004410</t>
  </si>
  <si>
    <t>ORD003030</t>
  </si>
  <si>
    <t>ORD003504</t>
  </si>
  <si>
    <t>ORD003893</t>
  </si>
  <si>
    <t>ORD002285</t>
  </si>
  <si>
    <t>ORD002058</t>
  </si>
  <si>
    <t>ORD000645</t>
  </si>
  <si>
    <t>ORD004360</t>
  </si>
  <si>
    <t>ORD005480</t>
  </si>
  <si>
    <t>ORD004974</t>
  </si>
  <si>
    <t>ORD004627</t>
  </si>
  <si>
    <t>ORD002184</t>
  </si>
  <si>
    <t>ORD000006</t>
  </si>
  <si>
    <t>ORD000118</t>
  </si>
  <si>
    <t>ORD003534</t>
  </si>
  <si>
    <t>ORD003805</t>
  </si>
  <si>
    <t>ORD000335</t>
  </si>
  <si>
    <t>ORD003263</t>
  </si>
  <si>
    <t>ORD005788</t>
  </si>
  <si>
    <t>ORD001080</t>
  </si>
  <si>
    <t>ORD001388</t>
  </si>
  <si>
    <t>ORD000495</t>
  </si>
  <si>
    <t>ORD002433</t>
  </si>
  <si>
    <t>ORD001586</t>
  </si>
  <si>
    <t>ORD004383</t>
  </si>
  <si>
    <t>ORD003196</t>
  </si>
  <si>
    <t>ORD002354</t>
  </si>
  <si>
    <t>ORD001351</t>
  </si>
  <si>
    <t>ORD002890</t>
  </si>
  <si>
    <t>ORD001455</t>
  </si>
  <si>
    <t>ORD005479</t>
  </si>
  <si>
    <t>ORD004143</t>
  </si>
  <si>
    <t>ORD004534</t>
  </si>
  <si>
    <t>ORD005325</t>
  </si>
  <si>
    <t>ORD004645</t>
  </si>
  <si>
    <t>ORD002872</t>
  </si>
  <si>
    <t>ORD005760</t>
  </si>
  <si>
    <t>ORD001978</t>
  </si>
  <si>
    <t>ORD002549</t>
  </si>
  <si>
    <t>ORD004505</t>
  </si>
  <si>
    <t>ORD000313</t>
  </si>
  <si>
    <t>ORD000241</t>
  </si>
  <si>
    <t>ORD004849</t>
  </si>
  <si>
    <t>ORD000063</t>
  </si>
  <si>
    <t>ORD002778</t>
  </si>
  <si>
    <t>ORD003726</t>
  </si>
  <si>
    <t>ORD002557</t>
  </si>
  <si>
    <t>ORD002871</t>
  </si>
  <si>
    <t>ORD000736</t>
  </si>
  <si>
    <t>ORD005938</t>
  </si>
  <si>
    <t>ORD003552</t>
  </si>
  <si>
    <t>ORD005221</t>
  </si>
  <si>
    <t>ORD001027</t>
  </si>
  <si>
    <t>ORD003505</t>
  </si>
  <si>
    <t>ORD001850</t>
  </si>
  <si>
    <t>ORD002141</t>
  </si>
  <si>
    <t>ORD004332</t>
  </si>
  <si>
    <t>ORD003001</t>
  </si>
  <si>
    <t>ORD005022</t>
  </si>
  <si>
    <t>ORD001033</t>
  </si>
  <si>
    <t>ORD005225</t>
  </si>
  <si>
    <t>ORD003917</t>
  </si>
  <si>
    <t>ORD003553</t>
  </si>
  <si>
    <t>ORD001511</t>
  </si>
  <si>
    <t>ORD005200</t>
  </si>
  <si>
    <t>ORD002659</t>
  </si>
  <si>
    <t>ORD003489</t>
  </si>
  <si>
    <t>ORD004525</t>
  </si>
  <si>
    <t>ORD005981</t>
  </si>
  <si>
    <t>ORD003888</t>
  </si>
  <si>
    <t>ORD000622</t>
  </si>
  <si>
    <t>ORD002835</t>
  </si>
  <si>
    <t>ORD003773</t>
  </si>
  <si>
    <t>ORD002435</t>
  </si>
  <si>
    <t>ORD002467</t>
  </si>
  <si>
    <t>ORD005351</t>
  </si>
  <si>
    <t>ORD005358</t>
  </si>
  <si>
    <t>ORD000305</t>
  </si>
  <si>
    <t>ORD000515</t>
  </si>
  <si>
    <t>ORD004785</t>
  </si>
  <si>
    <t>ORD000365</t>
  </si>
  <si>
    <t>ORD003286</t>
  </si>
  <si>
    <t>ORD003946</t>
  </si>
  <si>
    <t>ORD003809</t>
  </si>
  <si>
    <t>ORD005723</t>
  </si>
  <si>
    <t>ORD001679</t>
  </si>
  <si>
    <t>ORD002727</t>
  </si>
  <si>
    <t>ORD000461</t>
  </si>
  <si>
    <t>ORD005661</t>
  </si>
  <si>
    <t>ORD001037</t>
  </si>
  <si>
    <t>ORD004715</t>
  </si>
  <si>
    <t>ORD002496</t>
  </si>
  <si>
    <t>ORD000858</t>
  </si>
  <si>
    <t>ORD005843</t>
  </si>
  <si>
    <t>ORD000614</t>
  </si>
  <si>
    <t>ORD004507</t>
  </si>
  <si>
    <t>ORD005625</t>
  </si>
  <si>
    <t>ORD003508</t>
  </si>
  <si>
    <t>ORD002686</t>
  </si>
  <si>
    <t>ORD003639</t>
  </si>
  <si>
    <t>ORD005557</t>
  </si>
  <si>
    <t>ORD005943</t>
  </si>
  <si>
    <t>ORD005799</t>
  </si>
  <si>
    <t>ORD000905</t>
  </si>
  <si>
    <t>ORD000921</t>
  </si>
  <si>
    <t>ORD003819</t>
  </si>
  <si>
    <t>ORD004471</t>
  </si>
  <si>
    <t>ORD002065</t>
  </si>
  <si>
    <t>ORD002217</t>
  </si>
  <si>
    <t>ORD002811</t>
  </si>
  <si>
    <t>ORD004576</t>
  </si>
  <si>
    <t>ORD005573</t>
  </si>
  <si>
    <t>ORD005627</t>
  </si>
  <si>
    <t>ORD005524</t>
  </si>
  <si>
    <t>ORD000302</t>
  </si>
  <si>
    <t>ORD001258</t>
  </si>
  <si>
    <t>ORD003347</t>
  </si>
  <si>
    <t>ORD002086</t>
  </si>
  <si>
    <t>ORD002142</t>
  </si>
  <si>
    <t>ORD003110</t>
  </si>
  <si>
    <t>ORD001024</t>
  </si>
  <si>
    <t>ORD001731</t>
  </si>
  <si>
    <t>ORD001479</t>
  </si>
  <si>
    <t>ORD002219</t>
  </si>
  <si>
    <t>ORD000957</t>
  </si>
  <si>
    <t>ORD002174</t>
  </si>
  <si>
    <t>ORD004023</t>
  </si>
  <si>
    <t>ORD000742</t>
  </si>
  <si>
    <t>ORD004694</t>
  </si>
  <si>
    <t>ORD000772</t>
  </si>
  <si>
    <t>ORD005551</t>
  </si>
  <si>
    <t>ORD001500</t>
  </si>
  <si>
    <t>ORD004950</t>
  </si>
  <si>
    <t>ORD003674</t>
  </si>
  <si>
    <t>ORD003416</t>
  </si>
  <si>
    <t>ORD005111</t>
  </si>
  <si>
    <t>ORD001720</t>
  </si>
  <si>
    <t>ORD002345</t>
  </si>
  <si>
    <t>ORD001200</t>
  </si>
  <si>
    <t>ORD000640</t>
  </si>
  <si>
    <t>ORD004275</t>
  </si>
  <si>
    <t>ORD004214</t>
  </si>
  <si>
    <t>ORD000166</t>
  </si>
  <si>
    <t>ORD005053</t>
  </si>
  <si>
    <t>ORD004913</t>
  </si>
  <si>
    <t>ORD004720</t>
  </si>
  <si>
    <t>ORD002137</t>
  </si>
  <si>
    <t>ORD003536</t>
  </si>
  <si>
    <t>ORD000849</t>
  </si>
  <si>
    <t>ORD000287</t>
  </si>
  <si>
    <t>ORD003578</t>
  </si>
  <si>
    <t>ORD004056</t>
  </si>
  <si>
    <t>ORD004399</t>
  </si>
  <si>
    <t>ORD005564</t>
  </si>
  <si>
    <t>ORD001703</t>
  </si>
  <si>
    <t>ORD001471</t>
  </si>
  <si>
    <t>ORD001773</t>
  </si>
  <si>
    <t>ORD002027</t>
  </si>
  <si>
    <t>ORD001535</t>
  </si>
  <si>
    <t>ORD001912</t>
  </si>
  <si>
    <t>ORD005689</t>
  </si>
  <si>
    <t>ORD003845</t>
  </si>
  <si>
    <t>ORD001078</t>
  </si>
  <si>
    <t>ORD001616</t>
  </si>
  <si>
    <t>ORD000677</t>
  </si>
  <si>
    <t>ORD004624</t>
  </si>
  <si>
    <t>ORD001822</t>
  </si>
  <si>
    <t>ORD005116</t>
  </si>
  <si>
    <t>ORD002224</t>
  </si>
  <si>
    <t>ORD004926</t>
  </si>
  <si>
    <t>ORD000356</t>
  </si>
  <si>
    <t>ORD000574</t>
  </si>
  <si>
    <t>ORD002740</t>
  </si>
  <si>
    <t>ORD001249</t>
  </si>
  <si>
    <t>ORD005701</t>
  </si>
  <si>
    <t>ORD001307</t>
  </si>
  <si>
    <t>ORD005532</t>
  </si>
  <si>
    <t>ORD005189</t>
  </si>
  <si>
    <t>ORD002312</t>
  </si>
  <si>
    <t>ORD001306</t>
  </si>
  <si>
    <t>ORD000833</t>
  </si>
  <si>
    <t>ORD005290</t>
  </si>
  <si>
    <t>ORD000540</t>
  </si>
  <si>
    <t>ORD001212</t>
  </si>
  <si>
    <t>ORD005643</t>
  </si>
  <si>
    <t>ORD004069</t>
  </si>
  <si>
    <t>ORD002412</t>
  </si>
  <si>
    <t>ORD002317</t>
  </si>
  <si>
    <t>ORD001055</t>
  </si>
  <si>
    <t>ORD002602</t>
  </si>
  <si>
    <t>ORD005878</t>
  </si>
  <si>
    <t>ORD001057</t>
  </si>
  <si>
    <t>ORD005218</t>
  </si>
  <si>
    <t>ORD002701</t>
  </si>
  <si>
    <t>ORD005416</t>
  </si>
  <si>
    <t>ORD000946</t>
  </si>
  <si>
    <t>ORD001814</t>
  </si>
  <si>
    <t>ORD003181</t>
  </si>
  <si>
    <t>ORD004827</t>
  </si>
  <si>
    <t>ORD005130</t>
  </si>
  <si>
    <t>ORD000298</t>
  </si>
  <si>
    <t>ORD002699</t>
  </si>
  <si>
    <t>ORD002959</t>
  </si>
  <si>
    <t>ORD001573</t>
  </si>
  <si>
    <t>ORD000347</t>
  </si>
  <si>
    <t>ORD001748</t>
  </si>
  <si>
    <t>ORD004695</t>
  </si>
  <si>
    <t>ORD001967</t>
  </si>
  <si>
    <t>ORD004957</t>
  </si>
  <si>
    <t>ORD004852</t>
  </si>
  <si>
    <t>ORD005177</t>
  </si>
  <si>
    <t>ORD001567</t>
  </si>
  <si>
    <t>ORD002603</t>
  </si>
  <si>
    <t>ORD003928</t>
  </si>
  <si>
    <t>ORD000994</t>
  </si>
  <si>
    <t>ORD001502</t>
  </si>
  <si>
    <t>ORD000452</t>
  </si>
  <si>
    <t>ORD004749</t>
  </si>
  <si>
    <t>ORD001915</t>
  </si>
  <si>
    <t>ORD003466</t>
  </si>
  <si>
    <t>ORD005751</t>
  </si>
  <si>
    <t>ORD002340</t>
  </si>
  <si>
    <t>ORD000481</t>
  </si>
  <si>
    <t>ORD004027</t>
  </si>
  <si>
    <t>ORD005720</t>
  </si>
  <si>
    <t>ORD003037</t>
  </si>
  <si>
    <t>ORD002538</t>
  </si>
  <si>
    <t>ORD000474</t>
  </si>
  <si>
    <t>ORD003377</t>
  </si>
  <si>
    <t>ORD001952</t>
  </si>
  <si>
    <t>ORD003201</t>
  </si>
  <si>
    <t>ORD005739</t>
  </si>
  <si>
    <t>ORD002220</t>
  </si>
  <si>
    <t>ORD004726</t>
  </si>
  <si>
    <t>ORD003688</t>
  </si>
  <si>
    <t>ORD000725</t>
  </si>
  <si>
    <t>ORD000351</t>
  </si>
  <si>
    <t>ORD000766</t>
  </si>
  <si>
    <t>ORD004612</t>
  </si>
  <si>
    <t>ORD000189</t>
  </si>
  <si>
    <t>ORD005877</t>
  </si>
  <si>
    <t>ORD004907</t>
  </si>
  <si>
    <t>ORD005685</t>
  </si>
  <si>
    <t>ORD005237</t>
  </si>
  <si>
    <t>ORD005732</t>
  </si>
  <si>
    <t>ORD000661</t>
  </si>
  <si>
    <t>ORD003225</t>
  </si>
  <si>
    <t>ORD002248</t>
  </si>
  <si>
    <t>ORD002828</t>
  </si>
  <si>
    <t>ORD001856</t>
  </si>
  <si>
    <t>ORD004762</t>
  </si>
  <si>
    <t>ORD003575</t>
  </si>
  <si>
    <t>ORD001593</t>
  </si>
  <si>
    <t>ORD003277</t>
  </si>
  <si>
    <t>ORD004649</t>
  </si>
  <si>
    <t>ORD001621</t>
  </si>
  <si>
    <t>ORD002759</t>
  </si>
  <si>
    <t>ORD003188</t>
  </si>
  <si>
    <t>ORD002311</t>
  </si>
  <si>
    <t>ORD000985</t>
  </si>
  <si>
    <t>ORD000485</t>
  </si>
  <si>
    <t>ORD001603</t>
  </si>
  <si>
    <t>ORD005785</t>
  </si>
  <si>
    <t>ORD003221</t>
  </si>
  <si>
    <t>ORD004369</t>
  </si>
  <si>
    <t>ORD001836</t>
  </si>
  <si>
    <t>ORD004285</t>
  </si>
  <si>
    <t>ORD000425</t>
  </si>
  <si>
    <t>ORD005370</t>
  </si>
  <si>
    <t>ORD002690</t>
  </si>
  <si>
    <t>ORD001605</t>
  </si>
  <si>
    <t>ORD001633</t>
  </si>
  <si>
    <t>ORD005299</t>
  </si>
  <si>
    <t>ORD002627</t>
  </si>
  <si>
    <t>ORD004062</t>
  </si>
  <si>
    <t>ORD000086</t>
  </si>
  <si>
    <t>ORD002585</t>
  </si>
  <si>
    <t>ORD005960</t>
  </si>
  <si>
    <t>ORD005382</t>
  </si>
  <si>
    <t>ORD001618</t>
  </si>
  <si>
    <t>ORD003142</t>
  </si>
  <si>
    <t>ORD003352</t>
  </si>
  <si>
    <t>ORD000084</t>
  </si>
  <si>
    <t>ORD004439</t>
  </si>
  <si>
    <t>ORD005954</t>
  </si>
  <si>
    <t>ORD004100</t>
  </si>
  <si>
    <t>ORD004012</t>
  </si>
  <si>
    <t>ORD001369</t>
  </si>
  <si>
    <t>ORD002189</t>
  </si>
  <si>
    <t>ORD003822</t>
  </si>
  <si>
    <t>ORD003481</t>
  </si>
  <si>
    <t>ORD000090</t>
  </si>
  <si>
    <t>ORD000083</t>
  </si>
  <si>
    <t>ORD005932</t>
  </si>
  <si>
    <t>ORD004968</t>
  </si>
  <si>
    <t>ORD002844</t>
  </si>
  <si>
    <t>ORD002133</t>
  </si>
  <si>
    <t>ORD002822</t>
  </si>
  <si>
    <t>ORD000062</t>
  </si>
  <si>
    <t>ORD002522</t>
  </si>
  <si>
    <t>ORD000908</t>
  </si>
  <si>
    <t>ORD002055</t>
  </si>
  <si>
    <t>ORD001865</t>
  </si>
  <si>
    <t>ORD004676</t>
  </si>
  <si>
    <t>ORD001519</t>
  </si>
  <si>
    <t>ORD005153</t>
  </si>
  <si>
    <t>ORD000902</t>
  </si>
  <si>
    <t>ORD001348</t>
  </si>
  <si>
    <t>ORD002445</t>
  </si>
  <si>
    <t>ORD004097</t>
  </si>
  <si>
    <t>ORD002879</t>
  </si>
  <si>
    <t>ORD003772</t>
  </si>
  <si>
    <t>ORD000109</t>
  </si>
  <si>
    <t>ORD004394</t>
  </si>
  <si>
    <t>ORD004862</t>
  </si>
  <si>
    <t>ORD005547</t>
  </si>
  <si>
    <t>ORD002471</t>
  </si>
  <si>
    <t>ORD004218</t>
  </si>
  <si>
    <t>ORD003368</t>
  </si>
  <si>
    <t>ORD001480</t>
  </si>
  <si>
    <t>ORD002766</t>
  </si>
  <si>
    <t>ORD005645</t>
  </si>
  <si>
    <t>ORD002359</t>
  </si>
  <si>
    <t>ORD005972</t>
  </si>
  <si>
    <t>ORD003682</t>
  </si>
  <si>
    <t>ORD000528</t>
  </si>
  <si>
    <t>ORD004801</t>
  </si>
  <si>
    <t>ORD005205</t>
  </si>
  <si>
    <t>ORD005881</t>
  </si>
  <si>
    <t>ORD001193</t>
  </si>
  <si>
    <t>ORD001497</t>
  </si>
  <si>
    <t>ORD000582</t>
  </si>
  <si>
    <t>ORD005586</t>
  </si>
  <si>
    <t>ORD003906</t>
  </si>
  <si>
    <t>ORD000656</t>
  </si>
  <si>
    <t>ORD004774</t>
  </si>
  <si>
    <t>ORD000999</t>
  </si>
  <si>
    <t>ORD004696</t>
  </si>
  <si>
    <t>ORD004835</t>
  </si>
  <si>
    <t>ORD001383</t>
  </si>
  <si>
    <t>ORD001844</t>
  </si>
  <si>
    <t>ORD002941</t>
  </si>
  <si>
    <t>ORD004182</t>
  </si>
  <si>
    <t>ORD001219</t>
  </si>
  <si>
    <t>ORD000649</t>
  </si>
  <si>
    <t>ORD004734</t>
  </si>
  <si>
    <t>ORD001817</t>
  </si>
  <si>
    <t>ORD004252</t>
  </si>
  <si>
    <t>ORD001252</t>
  </si>
  <si>
    <t>ORD001414</t>
  </si>
  <si>
    <t>ORD002847</t>
  </si>
  <si>
    <t>ORD004313</t>
  </si>
  <si>
    <t>ORD005359</t>
  </si>
  <si>
    <t>ORD005536</t>
  </si>
  <si>
    <t>ORD005804</t>
  </si>
  <si>
    <t>ORD004473</t>
  </si>
  <si>
    <t>ORD001145</t>
  </si>
  <si>
    <t>ORD002342</t>
  </si>
  <si>
    <t>ORD001555</t>
  </si>
  <si>
    <t>ORD002895</t>
  </si>
  <si>
    <t>ORD001659</t>
  </si>
  <si>
    <t>ORD002798</t>
  </si>
  <si>
    <t>ORD003450</t>
  </si>
  <si>
    <t>ORD000328</t>
  </si>
  <si>
    <t>ORD002097</t>
  </si>
  <si>
    <t>ORD000912</t>
  </si>
  <si>
    <t>ORD000128</t>
  </si>
  <si>
    <t>ORD000044</t>
  </si>
  <si>
    <t>ORD004590</t>
  </si>
  <si>
    <t>ORD005842</t>
  </si>
  <si>
    <t>ORD002294</t>
  </si>
  <si>
    <t>ORD004351</t>
  </si>
  <si>
    <t>ORD004617</t>
  </si>
  <si>
    <t>ORD004152</t>
  </si>
  <si>
    <t>ORD003194</t>
  </si>
  <si>
    <t>ORD000291</t>
  </si>
  <si>
    <t>ORD000471</t>
  </si>
  <si>
    <t>ORD001549</t>
  </si>
  <si>
    <t>ORD002781</t>
  </si>
  <si>
    <t>ORD003470</t>
  </si>
  <si>
    <t>ORD003009</t>
  </si>
  <si>
    <t>ORD001742</t>
  </si>
  <si>
    <t>ORD004813</t>
  </si>
  <si>
    <t>ORD004034</t>
  </si>
  <si>
    <t>ORD002028</t>
  </si>
  <si>
    <t>ORD005966</t>
  </si>
  <si>
    <t>ORD000854</t>
  </si>
  <si>
    <t>ORD003541</t>
  </si>
  <si>
    <t>ORD004552</t>
  </si>
  <si>
    <t>ORD004796</t>
  </si>
  <si>
    <t>ORD002111</t>
  </si>
  <si>
    <t>ORD004959</t>
  </si>
  <si>
    <t>ORD005812</t>
  </si>
  <si>
    <t>ORD005587</t>
  </si>
  <si>
    <t>ORD000595</t>
  </si>
  <si>
    <t>ORD000876</t>
  </si>
  <si>
    <t>ORD005081</t>
  </si>
  <si>
    <t>ORD004253</t>
  </si>
  <si>
    <t>ORD003382</t>
  </si>
  <si>
    <t>ORD003166</t>
  </si>
  <si>
    <t>ORD004327</t>
  </si>
  <si>
    <t>ORD004551</t>
  </si>
  <si>
    <t>ORD004245</t>
  </si>
  <si>
    <t>ORD005048</t>
  </si>
  <si>
    <t>ORD003755</t>
  </si>
  <si>
    <t>ORD005800</t>
  </si>
  <si>
    <t>ORD005451</t>
  </si>
  <si>
    <t>ORD003517</t>
  </si>
  <si>
    <t>ORD004267</t>
  </si>
  <si>
    <t>ORD000478</t>
  </si>
  <si>
    <t>ORD001265</t>
  </si>
  <si>
    <t>ORD004788</t>
  </si>
  <si>
    <t>ORD003346</t>
  </si>
  <si>
    <t>ORD005151</t>
  </si>
  <si>
    <t>ORD004828</t>
  </si>
  <si>
    <t>ORD003850</t>
  </si>
  <si>
    <t>ORD002192</t>
  </si>
  <si>
    <t>ORD001613</t>
  </si>
  <si>
    <t>ORD000732</t>
  </si>
  <si>
    <t>ORD000644</t>
  </si>
  <si>
    <t>ORD002249</t>
  </si>
  <si>
    <t>ORD003768</t>
  </si>
  <si>
    <t>ORD001523</t>
  </si>
  <si>
    <t>ORD000612</t>
  </si>
  <si>
    <t>ORD000160</t>
  </si>
  <si>
    <t>ORD000927</t>
  </si>
  <si>
    <t>ORD000806</t>
  </si>
  <si>
    <t>ORD003531</t>
  </si>
  <si>
    <t>ORD004157</t>
  </si>
  <si>
    <t>ORD002978</t>
  </si>
  <si>
    <t>ORD005917</t>
  </si>
  <si>
    <t>ORD000765</t>
  </si>
  <si>
    <t>ORD002775</t>
  </si>
  <si>
    <t>ORD002770</t>
  </si>
  <si>
    <t>ORD004380</t>
  </si>
  <si>
    <t>ORD002032</t>
  </si>
  <si>
    <t>ORD002651</t>
  </si>
  <si>
    <t>ORD004255</t>
  </si>
  <si>
    <t>ORD000053</t>
  </si>
  <si>
    <t>ORD001255</t>
  </si>
  <si>
    <t>ORD004896</t>
  </si>
  <si>
    <t>ORD002216</t>
  </si>
  <si>
    <t>ORD000756</t>
  </si>
  <si>
    <t>ORD001478</t>
  </si>
  <si>
    <t>ORD000521</t>
  </si>
  <si>
    <t>ORD004228</t>
  </si>
  <si>
    <t>ORD002191</t>
  </si>
  <si>
    <t>ORD000156</t>
  </si>
  <si>
    <t>ORD004939</t>
  </si>
  <si>
    <t>ORD000489</t>
  </si>
  <si>
    <t>ORD000184</t>
  </si>
  <si>
    <t>ORD005217</t>
  </si>
  <si>
    <t>ORD005002</t>
  </si>
  <si>
    <t>ORD005040</t>
  </si>
  <si>
    <t>ORD000657</t>
  </si>
  <si>
    <t>ORD002041</t>
  </si>
  <si>
    <t>ORD000680</t>
  </si>
  <si>
    <t>ORD000270</t>
  </si>
  <si>
    <t>ORD000809</t>
  </si>
  <si>
    <t>ORD000385</t>
  </si>
  <si>
    <t>ORD003988</t>
  </si>
  <si>
    <t>ORD000530</t>
  </si>
  <si>
    <t>ORD004297</t>
  </si>
  <si>
    <t>ORD003949</t>
  </si>
  <si>
    <t>ORD001726</t>
  </si>
  <si>
    <t>ORD004698</t>
  </si>
  <si>
    <t>ORD002498</t>
  </si>
  <si>
    <t>ORD001800</t>
  </si>
  <si>
    <t>ORD000393</t>
  </si>
  <si>
    <t>ORD004647</t>
  </si>
  <si>
    <t>ORD001712</t>
  </si>
  <si>
    <t>ORD005652</t>
  </si>
  <si>
    <t>ORD005706</t>
  </si>
  <si>
    <t>ORD003135</t>
  </si>
  <si>
    <t>ORD003560</t>
  </si>
  <si>
    <t>ORD003438</t>
  </si>
  <si>
    <t>ORD001956</t>
  </si>
  <si>
    <t>ORD004333</t>
  </si>
  <si>
    <t>ORD005191</t>
  </si>
  <si>
    <t>ORD001294</t>
  </si>
  <si>
    <t>ORD005998</t>
  </si>
  <si>
    <t>ORD000789</t>
  </si>
  <si>
    <t>ORD000996</t>
  </si>
  <si>
    <t>ORD003342</t>
  </si>
  <si>
    <t>ORD000836</t>
  </si>
  <si>
    <t>ORD002658</t>
  </si>
  <si>
    <t>ORD001440</t>
  </si>
  <si>
    <t>ORD001316</t>
  </si>
  <si>
    <t>ORD004177</t>
  </si>
  <si>
    <t>ORD001297</t>
  </si>
  <si>
    <t>ORD003529</t>
  </si>
  <si>
    <t>ORD004158</t>
  </si>
  <si>
    <t>ORD004814</t>
  </si>
  <si>
    <t>ORD004502</t>
  </si>
  <si>
    <t>ORD001128</t>
  </si>
  <si>
    <t>ORD000352</t>
  </si>
  <si>
    <t>ORD000283</t>
  </si>
  <si>
    <t>ORD004191</t>
  </si>
  <si>
    <t>ORD004460</t>
  </si>
  <si>
    <t>ORD004876</t>
  </si>
  <si>
    <t>ORD001636</t>
  </si>
  <si>
    <t>ORD002251</t>
  </si>
  <si>
    <t>ORD005576</t>
  </si>
  <si>
    <t>ORD001029</t>
  </si>
  <si>
    <t>ORD005084</t>
  </si>
  <si>
    <t>ORD001134</t>
  </si>
  <si>
    <t>ORD002825</t>
  </si>
  <si>
    <t>ORD000023</t>
  </si>
  <si>
    <t>ORD002162</t>
  </si>
  <si>
    <t>ORD000112</t>
  </si>
  <si>
    <t>ORD000456</t>
  </si>
  <si>
    <t>ORD000161</t>
  </si>
  <si>
    <t>ORD001734</t>
  </si>
  <si>
    <t>ORD004190</t>
  </si>
  <si>
    <t>ORD000237</t>
  </si>
  <si>
    <t>ORD000821</t>
  </si>
  <si>
    <t>ORD001702</t>
  </si>
  <si>
    <t>ORD003095</t>
  </si>
  <si>
    <t>ORD004007</t>
  </si>
  <si>
    <t>ORD003581</t>
  </si>
  <si>
    <t>ORD003161</t>
  </si>
  <si>
    <t>ORD005585</t>
  </si>
  <si>
    <t>ORD005183</t>
  </si>
  <si>
    <t>ORD001602</t>
  </si>
  <si>
    <t>ORD004038</t>
  </si>
  <si>
    <t>ORD001464</t>
  </si>
  <si>
    <t>ORD001013</t>
  </si>
  <si>
    <t>ORD004029</t>
  </si>
  <si>
    <t>ORD001520</t>
  </si>
  <si>
    <t>ORD002554</t>
  </si>
  <si>
    <t>ORD000273</t>
  </si>
  <si>
    <t>ORD000494</t>
  </si>
  <si>
    <t>ORD001156</t>
  </si>
  <si>
    <t>ORD005077</t>
  </si>
  <si>
    <t>ORD000072</t>
  </si>
  <si>
    <t>ORD002430</t>
  </si>
  <si>
    <t>ORD000150</t>
  </si>
  <si>
    <t>ORD005425</t>
  </si>
  <si>
    <t>ORD000045</t>
  </si>
  <si>
    <t>ORD000103</t>
  </si>
  <si>
    <t>ORD002150</t>
  </si>
  <si>
    <t>ORD001829</t>
  </si>
  <si>
    <t>ORD004509</t>
  </si>
  <si>
    <t>ORD000091</t>
  </si>
  <si>
    <t>ORD004637</t>
  </si>
  <si>
    <t>ORD004170</t>
  </si>
  <si>
    <t>ORD002584</t>
  </si>
  <si>
    <t>ORD004769</t>
  </si>
  <si>
    <t>ORD005584</t>
  </si>
  <si>
    <t>ORD000557</t>
  </si>
  <si>
    <t>ORD003315</t>
  </si>
  <si>
    <t>ORD002161</t>
  </si>
  <si>
    <t>ORD000360</t>
  </si>
  <si>
    <t>ORD004636</t>
  </si>
  <si>
    <t>ORD003728</t>
  </si>
  <si>
    <t>ORD004370</t>
  </si>
  <si>
    <t>ORD005612</t>
  </si>
  <si>
    <t>ORD001190</t>
  </si>
  <si>
    <t>ORD005891</t>
  </si>
  <si>
    <t>ORD003268</t>
  </si>
  <si>
    <t>ORD004610</t>
  </si>
  <si>
    <t>ORD000399</t>
  </si>
  <si>
    <t>ORD002510</t>
  </si>
  <si>
    <t>ORD003875</t>
  </si>
  <si>
    <t>ORD004196</t>
  </si>
  <si>
    <t>ORD004080</t>
  </si>
  <si>
    <t>ORD002361</t>
  </si>
  <si>
    <t>ORD005288</t>
  </si>
  <si>
    <t>ORD000738</t>
  </si>
  <si>
    <t>ORD005663</t>
  </si>
  <si>
    <t>ORD003199</t>
  </si>
  <si>
    <t>ORD003323</t>
  </si>
  <si>
    <t>ORD001207</t>
  </si>
  <si>
    <t>ORD001740</t>
  </si>
  <si>
    <t>ORD003764</t>
  </si>
  <si>
    <t>ORD001043</t>
  </si>
  <si>
    <t>ORD002011</t>
  </si>
  <si>
    <t>ORD000733</t>
  </si>
  <si>
    <t>ORD001321</t>
  </si>
  <si>
    <t>ORD004789</t>
  </si>
  <si>
    <t>ORD001991</t>
  </si>
  <si>
    <t>ORD005692</t>
  </si>
  <si>
    <t>ORD005770</t>
  </si>
  <si>
    <t>ORD003226</t>
  </si>
  <si>
    <t>ORD001325</t>
  </si>
  <si>
    <t>ORD005857</t>
  </si>
  <si>
    <t>ORD003080</t>
  </si>
  <si>
    <t>ORD002452</t>
  </si>
  <si>
    <t>ORD000324</t>
  </si>
  <si>
    <t>ORD005175</t>
  </si>
  <si>
    <t>ORD000348</t>
  </si>
  <si>
    <t>ORD000430</t>
  </si>
  <si>
    <t>ORD004070</t>
  </si>
  <si>
    <t>ORD004855</t>
  </si>
  <si>
    <t>ORD004481</t>
  </si>
  <si>
    <t>ORD000852</t>
  </si>
  <si>
    <t>ORD001727</t>
  </si>
  <si>
    <t>ORD005465</t>
  </si>
  <si>
    <t>ORD002019</t>
  </si>
  <si>
    <t>ORD005920</t>
  </si>
  <si>
    <t>ORD002122</t>
  </si>
  <si>
    <t>ORD004151</t>
  </si>
  <si>
    <t>ORD002333</t>
  </si>
  <si>
    <t>ORD000505</t>
  </si>
  <si>
    <t>ORD003594</t>
  </si>
  <si>
    <t>ORD000714</t>
  </si>
  <si>
    <t>ORD003317</t>
  </si>
  <si>
    <t>ORD002454</t>
  </si>
  <si>
    <t>ORD004199</t>
  </si>
  <si>
    <t>ORD005508</t>
  </si>
  <si>
    <t>ORD000294</t>
  </si>
  <si>
    <t>ORD001041</t>
  </si>
  <si>
    <t>ORD000970</t>
  </si>
  <si>
    <t>ORD001687</t>
  </si>
  <si>
    <t>ORD001355</t>
  </si>
  <si>
    <t>ORD001741</t>
  </si>
  <si>
    <t>ORD001042</t>
  </si>
  <si>
    <t>ORD002226</t>
  </si>
  <si>
    <t>ORD003524</t>
  </si>
  <si>
    <t>ORD000941</t>
  </si>
  <si>
    <t>ORD000262</t>
  </si>
  <si>
    <t>ORD003627</t>
  </si>
  <si>
    <t>ORD003282</t>
  </si>
  <si>
    <t>ORD001137</t>
  </si>
  <si>
    <t>ORD005478</t>
  </si>
  <si>
    <t>ORD004684</t>
  </si>
  <si>
    <t>ORD004545</t>
  </si>
  <si>
    <t>ORD000730</t>
  </si>
  <si>
    <t>ORD003164</t>
  </si>
  <si>
    <t>ORD000760</t>
  </si>
  <si>
    <t>ORD005826</t>
  </si>
  <si>
    <t>ORD002788</t>
  </si>
  <si>
    <t>ORD001831</t>
  </si>
  <si>
    <t>ORD004994</t>
  </si>
  <si>
    <t>ORD003041</t>
  </si>
  <si>
    <t>ORD003149</t>
  </si>
  <si>
    <t>ORD002968</t>
  </si>
  <si>
    <t>ORD004564</t>
  </si>
  <si>
    <t>ORD004412</t>
  </si>
  <si>
    <t>ORD002564</t>
  </si>
  <si>
    <t>ORD004469</t>
  </si>
  <si>
    <t>ORD005389</t>
  </si>
  <si>
    <t>ORD003409</t>
  </si>
  <si>
    <t>ORD001162</t>
  </si>
  <si>
    <t>ORD000828</t>
  </si>
  <si>
    <t>ORD003435</t>
  </si>
  <si>
    <t>ORD004290</t>
  </si>
  <si>
    <t>ORD001960</t>
  </si>
  <si>
    <t>ORD001643</t>
  </si>
  <si>
    <t>ORD001250</t>
  </si>
  <si>
    <t>ORD002271</t>
  </si>
  <si>
    <t>ORD005240</t>
  </si>
  <si>
    <t>ORD000227</t>
  </si>
  <si>
    <t>ORD005899</t>
  </si>
  <si>
    <t>ORD001864</t>
  </si>
  <si>
    <t>ORD002697</t>
  </si>
  <si>
    <t>ORD003856</t>
  </si>
  <si>
    <t>ORD003186</t>
  </si>
  <si>
    <t>ORD000076</t>
  </si>
  <si>
    <t>ORD004745</t>
  </si>
  <si>
    <t>ORD004539</t>
  </si>
  <si>
    <t>ORD004781</t>
  </si>
  <si>
    <t>ORD000402</t>
  </si>
  <si>
    <t>ORD001236</t>
  </si>
  <si>
    <t>ORD004145</t>
  </si>
  <si>
    <t>ORD003697</t>
  </si>
  <si>
    <t>ORD001197</t>
  </si>
  <si>
    <t>ORD002814</t>
  </si>
  <si>
    <t>ORD000472</t>
  </si>
  <si>
    <t>ORD004404</t>
  </si>
  <si>
    <t>ORD005141</t>
  </si>
  <si>
    <t>ORD002512</t>
  </si>
  <si>
    <t>ORD001493</t>
  </si>
  <si>
    <t>ORD000709</t>
  </si>
  <si>
    <t>ORD001150</t>
  </si>
  <si>
    <t>ORD000774</t>
  </si>
  <si>
    <t>ORD003613</t>
  </si>
  <si>
    <t>ORD002616</t>
  </si>
  <si>
    <t>ORD003012</t>
  </si>
  <si>
    <t>ORD004631</t>
  </si>
  <si>
    <t>ORD001172</t>
  </si>
  <si>
    <t>ORD001629</t>
  </si>
  <si>
    <t>ORD002373</t>
  </si>
  <si>
    <t>ORD005836</t>
  </si>
  <si>
    <t>ORD005385</t>
  </si>
  <si>
    <t>ORD002568</t>
  </si>
  <si>
    <t>ORD002040</t>
  </si>
  <si>
    <t>ORD001167</t>
  </si>
  <si>
    <t>ORD002385</t>
  </si>
  <si>
    <t>ORD004815</t>
  </si>
  <si>
    <t>ORD000541</t>
  </si>
  <si>
    <t>ORD002693</t>
  </si>
  <si>
    <t>ORD004688</t>
  </si>
  <si>
    <t>ORD003713</t>
  </si>
  <si>
    <t>ORD000108</t>
  </si>
  <si>
    <t>ORD005440</t>
  </si>
  <si>
    <t>ORD005442</t>
  </si>
  <si>
    <t>ORD004657</t>
  </si>
  <si>
    <t>ORD004889</t>
  </si>
  <si>
    <t>ORD003158</t>
  </si>
  <si>
    <t>ORD001160</t>
  </si>
  <si>
    <t>ORD002523</t>
  </si>
  <si>
    <t>ORD005458</t>
  </si>
  <si>
    <t>ORD004588</t>
  </si>
  <si>
    <t>ORD000754</t>
  </si>
  <si>
    <t>ORD005477</t>
  </si>
  <si>
    <t>ORD001256</t>
  </si>
  <si>
    <t>ORD000319</t>
  </si>
  <si>
    <t>ORD000353</t>
  </si>
  <si>
    <t>ORD005691</t>
  </si>
  <si>
    <t>ORD004366</t>
  </si>
  <si>
    <t>ORD002357</t>
  </si>
  <si>
    <t>ORD001700</t>
  </si>
  <si>
    <t>ORD003515</t>
  </si>
  <si>
    <t>ORD001506</t>
  </si>
  <si>
    <t>ORD000027</t>
  </si>
  <si>
    <t>ORD000898</t>
  </si>
  <si>
    <t>ORD002147</t>
  </si>
  <si>
    <t>ORD004751</t>
  </si>
  <si>
    <t>ORD001806</t>
  </si>
  <si>
    <t>ORD005933</t>
  </si>
  <si>
    <t>ORD001496</t>
  </si>
  <si>
    <t>ORD002751</t>
  </si>
  <si>
    <t>ORD004754</t>
  </si>
  <si>
    <t>ORD002005</t>
  </si>
  <si>
    <t>ORD000431</t>
  </si>
  <si>
    <t>ORD003998</t>
  </si>
  <si>
    <t>ORD004727</t>
  </si>
  <si>
    <t>ORD001774</t>
  </si>
  <si>
    <t>ORD002101</t>
  </si>
  <si>
    <t>ORD001778</t>
  </si>
  <si>
    <t>ORD001920</t>
  </si>
  <si>
    <t>ORD003332</t>
  </si>
  <si>
    <t>ORD000250</t>
  </si>
  <si>
    <t>ORD000077</t>
  </si>
  <si>
    <t>ORD004101</t>
  </si>
  <si>
    <t>ORD005487</t>
  </si>
  <si>
    <t>ORD002561</t>
  </si>
  <si>
    <t>ORD004783</t>
  </si>
  <si>
    <t>ORD000853</t>
  </si>
  <si>
    <t>ORD003837</t>
  </si>
  <si>
    <t>ORD005746</t>
  </si>
  <si>
    <t>ORD004169</t>
  </si>
  <si>
    <t>ORD004263</t>
  </si>
  <si>
    <t>ORD003273</t>
  </si>
  <si>
    <t>ORD004052</t>
  </si>
  <si>
    <t>ORD002765</t>
  </si>
  <si>
    <t>ORD001793</t>
  </si>
  <si>
    <t>ORD000780</t>
  </si>
  <si>
    <t>ORD003376</t>
  </si>
  <si>
    <t>ORD003187</t>
  </si>
  <si>
    <t>ORD000427</t>
  </si>
  <si>
    <t>ORD000094</t>
  </si>
  <si>
    <t>ORD001102</t>
  </si>
  <si>
    <t>ORD001847</t>
  </si>
  <si>
    <t>ORD000154</t>
  </si>
  <si>
    <t>ORD001245</t>
  </si>
  <si>
    <t>ORD000159</t>
  </si>
  <si>
    <t>ORD000920</t>
  </si>
  <si>
    <t>ORD000181</t>
  </si>
  <si>
    <t>ORD005039</t>
  </si>
  <si>
    <t>ORD000213</t>
  </si>
  <si>
    <t>ORD003857</t>
  </si>
  <si>
    <t>ORD001486</t>
  </si>
  <si>
    <t>ORD003441</t>
  </si>
  <si>
    <t>ORD001647</t>
  </si>
  <si>
    <t>ORD002504</t>
  </si>
  <si>
    <t>ORD000519</t>
  </si>
  <si>
    <t>ORD002988</t>
  </si>
  <si>
    <t>ORD000087</t>
  </si>
  <si>
    <t>ORD001184</t>
  </si>
  <si>
    <t>ORD002972</t>
  </si>
  <si>
    <t>ORD001849</t>
  </si>
  <si>
    <t>ORD001777</t>
  </si>
  <si>
    <t>ORD004136</t>
  </si>
  <si>
    <t>ORD001082</t>
  </si>
  <si>
    <t>ORD003206</t>
  </si>
  <si>
    <t>ORD004304</t>
  </si>
  <si>
    <t>ORD003271</t>
  </si>
  <si>
    <t>ORD003056</t>
  </si>
  <si>
    <t>ORD000144</t>
  </si>
  <si>
    <t>ORD000468</t>
  </si>
  <si>
    <t>ORD001336</t>
  </si>
  <si>
    <t>ORD004710</t>
  </si>
  <si>
    <t>ORD002505</t>
  </si>
  <si>
    <t>ORD000628</t>
  </si>
  <si>
    <t>ORD003302</t>
  </si>
  <si>
    <t>ORD001144</t>
  </si>
  <si>
    <t>ORD000572</t>
  </si>
  <si>
    <t>ORD000914</t>
  </si>
  <si>
    <t>ORD002402</t>
  </si>
  <si>
    <t>ORD005025</t>
  </si>
  <si>
    <t>ORD005896</t>
  </si>
  <si>
    <t>ORD002464</t>
  </si>
  <si>
    <t>ORD005716</t>
  </si>
  <si>
    <t>ORD000261</t>
  </si>
  <si>
    <t>ORD003865</t>
  </si>
  <si>
    <t>ORD004065</t>
  </si>
  <si>
    <t>ORD004413</t>
  </si>
  <si>
    <t>ORD000931</t>
  </si>
  <si>
    <t>ORD003428</t>
  </si>
  <si>
    <t>ORD005935</t>
  </si>
  <si>
    <t>ORD005346</t>
  </si>
  <si>
    <t>ORD002677</t>
  </si>
  <si>
    <t>ORD004538</t>
  </si>
  <si>
    <t>ORD004605</t>
  </si>
  <si>
    <t>ORD003078</t>
  </si>
  <si>
    <t>ORD004832</t>
  </si>
  <si>
    <t>ORD003548</t>
  </si>
  <si>
    <t>ORD003307</t>
  </si>
  <si>
    <t>ORD004046</t>
  </si>
  <si>
    <t>ORD001801</t>
  </si>
  <si>
    <t>ORD002009</t>
  </si>
  <si>
    <t>ORD004019</t>
  </si>
  <si>
    <t>ORD001879</t>
  </si>
  <si>
    <t>ORD004206</t>
  </si>
  <si>
    <t>ORD004578</t>
  </si>
  <si>
    <t>ORD000124</t>
  </si>
  <si>
    <t>ORD004654</t>
  </si>
  <si>
    <t>ORD000729</t>
  </si>
  <si>
    <t>ORD004303</t>
  </si>
  <si>
    <t>ORD005931</t>
  </si>
  <si>
    <t>ORD005157</t>
  </si>
  <si>
    <t>ORD002521</t>
  </si>
  <si>
    <t>ORD001746</t>
  </si>
  <si>
    <t>ORD005497</t>
  </si>
  <si>
    <t>ORD000784</t>
  </si>
  <si>
    <t>ORD004921</t>
  </si>
  <si>
    <t>ORD003572</t>
  </si>
  <si>
    <t>ORD003404</t>
  </si>
  <si>
    <t>ORD001924</t>
  </si>
  <si>
    <t>ORD000690</t>
  </si>
  <si>
    <t>ORD001079</t>
  </si>
  <si>
    <t>ORD002490</t>
  </si>
  <si>
    <t>ORD000536</t>
  </si>
  <si>
    <t>ORD001398</t>
  </si>
  <si>
    <t>ORD002408</t>
  </si>
  <si>
    <t>ORD000783</t>
  </si>
  <si>
    <t>ORD004925</t>
  </si>
  <si>
    <t>ORD000581</t>
  </si>
  <si>
    <t>ORD001232</t>
  </si>
  <si>
    <t>ORD000548</t>
  </si>
  <si>
    <t>ORD002236</t>
  </si>
  <si>
    <t>ORD004024</t>
  </si>
  <si>
    <t>ORD000665</t>
  </si>
  <si>
    <t>ORD005436</t>
  </si>
  <si>
    <t>ORD003499</t>
  </si>
  <si>
    <t>ORD002206</t>
  </si>
  <si>
    <t>ORD001119</t>
  </si>
  <si>
    <t>ORD000551</t>
  </si>
  <si>
    <t>ORD002365</t>
  </si>
  <si>
    <t>ORD003344</t>
  </si>
  <si>
    <t>ORD005147</t>
  </si>
  <si>
    <t>ORD002246</t>
  </si>
  <si>
    <t>ORD002229</t>
  </si>
  <si>
    <t>ORD001370</t>
  </si>
  <si>
    <t>ORD000865</t>
  </si>
  <si>
    <t>ORD003446</t>
  </si>
  <si>
    <t>ORD004099</t>
  </si>
  <si>
    <t>ORD005453</t>
  </si>
  <si>
    <t>ORD001060</t>
  </si>
  <si>
    <t>ORD002181</t>
  </si>
  <si>
    <t>ORD000487</t>
  </si>
  <si>
    <t>ORD005256</t>
  </si>
  <si>
    <t>ORD004923</t>
  </si>
  <si>
    <t>ORD004934</t>
  </si>
  <si>
    <t>ORD002730</t>
  </si>
  <si>
    <t>ORD005348</t>
  </si>
  <si>
    <t>ORD004584</t>
  </si>
  <si>
    <t>ORD004878</t>
  </si>
  <si>
    <t>ORD003220</t>
  </si>
  <si>
    <t>ORD005542</t>
  </si>
  <si>
    <t>ORD001466</t>
  </si>
  <si>
    <t>ORD001195</t>
  </si>
  <si>
    <t>ORD004035</t>
  </si>
  <si>
    <t>ORD005969</t>
  </si>
  <si>
    <t>ORD001085</t>
  </si>
  <si>
    <t>ORD005795</t>
  </si>
  <si>
    <t>ORD002534</t>
  </si>
  <si>
    <t>ORD005610</t>
  </si>
  <si>
    <t>ORD000537</t>
  </si>
  <si>
    <t>ORD003852</t>
  </si>
  <si>
    <t>ORD005767</t>
  </si>
  <si>
    <t>ORD003501</t>
  </si>
  <si>
    <t>ORD003932</t>
  </si>
  <si>
    <t>ORD004915</t>
  </si>
  <si>
    <t>ORD002647</t>
  </si>
  <si>
    <t>ORD005872</t>
  </si>
  <si>
    <t>ORD001363</t>
  </si>
  <si>
    <t>ORD004922</t>
  </si>
  <si>
    <t>ORD003374</t>
  </si>
  <si>
    <t>ORD001788</t>
  </si>
  <si>
    <t>ORD004392</t>
  </si>
  <si>
    <t>ORD003815</t>
  </si>
  <si>
    <t>ORD002898</t>
  </si>
  <si>
    <t>ORD003634</t>
  </si>
  <si>
    <t>ORD001684</t>
  </si>
  <si>
    <t>ORD002404</t>
  </si>
  <si>
    <t>ORD005231</t>
  </si>
  <si>
    <t>ORD000892</t>
  </si>
  <si>
    <t>ORD001463</t>
  </si>
  <si>
    <t>ORD001507</t>
  </si>
  <si>
    <t>ORD002165</t>
  </si>
  <si>
    <t>ORD001488</t>
  </si>
  <si>
    <t>ORD005395</t>
  </si>
  <si>
    <t>ORD000432</t>
  </si>
  <si>
    <t>ORD001099</t>
  </si>
  <si>
    <t>ORD002514</t>
  </si>
  <si>
    <t>ORD001810</t>
  </si>
  <si>
    <t>ORD001224</t>
  </si>
  <si>
    <t>ORD004529</t>
  </si>
  <si>
    <t>ORD004388</t>
  </si>
  <si>
    <t>ORD002487</t>
  </si>
  <si>
    <t>ORD005637</t>
  </si>
  <si>
    <t>ORD000269</t>
  </si>
  <si>
    <t>ORD000158</t>
  </si>
  <si>
    <t>ORD004668</t>
  </si>
  <si>
    <t>ORD004133</t>
  </si>
  <si>
    <t>ORD002396</t>
  </si>
  <si>
    <t>ORD005380</t>
  </si>
  <si>
    <t>ORD000881</t>
  </si>
  <si>
    <t>ORD000603</t>
  </si>
  <si>
    <t>ORD000718</t>
  </si>
  <si>
    <t>ORD004826</t>
  </si>
  <si>
    <t>ORD004568</t>
  </si>
  <si>
    <t>ORD002468</t>
  </si>
  <si>
    <t>ORD001569</t>
  </si>
  <si>
    <t>ORD000099</t>
  </si>
  <si>
    <t>ORD001538</t>
  </si>
  <si>
    <t>ORD005135</t>
  </si>
  <si>
    <t>ORD001158</t>
  </si>
  <si>
    <t>ORD002129</t>
  </si>
  <si>
    <t>ORD005977</t>
  </si>
  <si>
    <t>ORD004127</t>
  </si>
  <si>
    <t>ORD002156</t>
  </si>
  <si>
    <t>ORD003843</t>
  </si>
  <si>
    <t>ORD004938</t>
  </si>
  <si>
    <t>ORD005993</t>
  </si>
  <si>
    <t>ORD002411</t>
  </si>
  <si>
    <t>ORD002240</t>
  </si>
  <si>
    <t>ORD004809</t>
  </si>
  <si>
    <t>ORD002818</t>
  </si>
  <si>
    <t>ORD000565</t>
  </si>
  <si>
    <t>ORD000591</t>
  </si>
  <si>
    <t>ORD000049</t>
  </si>
  <si>
    <t>ORD003304</t>
  </si>
  <si>
    <t>ORD002870</t>
  </si>
  <si>
    <t>ORD003023</t>
  </si>
  <si>
    <t>ORD005412</t>
  </si>
  <si>
    <t>ORD003729</t>
  </si>
  <si>
    <t>ORD003017</t>
  </si>
  <si>
    <t>ORD003874</t>
  </si>
  <si>
    <t>ORD002268</t>
  </si>
  <si>
    <t>ORD005534</t>
  </si>
  <si>
    <t>ORD000534</t>
  </si>
  <si>
    <t>ORD003002</t>
  </si>
  <si>
    <t>ORD001166</t>
  </si>
  <si>
    <t>ORD000518</t>
  </si>
  <si>
    <t>ORD002320</t>
  </si>
  <si>
    <t>ORD005456</t>
  </si>
  <si>
    <t>ORD004599</t>
  </si>
  <si>
    <t>ORD002819</t>
  </si>
  <si>
    <t>ORD004884</t>
  </si>
  <si>
    <t>ORD003645</t>
  </si>
  <si>
    <t>ORD005446</t>
  </si>
  <si>
    <t>ORD000648</t>
  </si>
  <si>
    <t>ORD000341</t>
  </si>
  <si>
    <t>ORD002582</t>
  </si>
  <si>
    <t>ORD000846</t>
  </si>
  <si>
    <t>ORD002881</t>
  </si>
  <si>
    <t>ORD004387</t>
  </si>
  <si>
    <t>ORD003885</t>
  </si>
  <si>
    <t>ORD004691</t>
  </si>
  <si>
    <t>ORD004472</t>
  </si>
  <si>
    <t>ORD001976</t>
  </si>
  <si>
    <t>ORD003523</t>
  </si>
  <si>
    <t>ORD000039</t>
  </si>
  <si>
    <t>ORD005578</t>
  </si>
  <si>
    <t>ORD001834</t>
  </si>
  <si>
    <t>ORD001089</t>
  </si>
  <si>
    <t>ORD001531</t>
  </si>
  <si>
    <t>ORD003285</t>
  </si>
  <si>
    <t>ORD000762</t>
  </si>
  <si>
    <t>ORD003219</t>
  </si>
  <si>
    <t>ORD000735</t>
  </si>
  <si>
    <t>ORD003734</t>
  </si>
  <si>
    <t>ORD004293</t>
  </si>
  <si>
    <t>ORD000998</t>
  </si>
  <si>
    <t>ORD001729</t>
  </si>
  <si>
    <t>ORD001635</t>
  </si>
  <si>
    <t>ORD005178</t>
  </si>
  <si>
    <t>ORD004952</t>
  </si>
  <si>
    <t>ORD002014</t>
  </si>
  <si>
    <t>ORD002990</t>
  </si>
  <si>
    <t>ORD005528</t>
  </si>
  <si>
    <t>ORD004860</t>
  </si>
  <si>
    <t>ORD000909</t>
  </si>
  <si>
    <t>ORD001225</t>
  </si>
  <si>
    <t>ORD004227</t>
  </si>
  <si>
    <t>ORD001966</t>
  </si>
  <si>
    <t>ORD003710</t>
  </si>
  <si>
    <t>ORD004006</t>
  </si>
  <si>
    <t>ORD005808</t>
  </si>
  <si>
    <t>ORD002961</t>
  </si>
  <si>
    <t>ORD004731</t>
  </si>
  <si>
    <t>ORD001208</t>
  </si>
  <si>
    <t>ORD001564</t>
  </si>
  <si>
    <t>ORD000316</t>
  </si>
  <si>
    <t>ORD004497</t>
  </si>
  <si>
    <t>ORD000024</t>
  </si>
  <si>
    <t>ORD005744</t>
  </si>
  <si>
    <t>ORD001876</t>
  </si>
  <si>
    <t>ORD004495</t>
  </si>
  <si>
    <t>ORD001676</t>
  </si>
  <si>
    <t>ORD005698</t>
  </si>
  <si>
    <t>ORD003973</t>
  </si>
  <si>
    <t>ORD002673</t>
  </si>
  <si>
    <t>ORD001642</t>
  </si>
  <si>
    <t>ORD003722</t>
  </si>
  <si>
    <t>ORD005883</t>
  </si>
  <si>
    <t>ORD003551</t>
  </si>
  <si>
    <t>ORD001623</t>
  </si>
  <si>
    <t>ORD000872</t>
  </si>
  <si>
    <t>ORD005150</t>
  </si>
  <si>
    <t>ORD004687</t>
  </si>
  <si>
    <t>ORD004607</t>
  </si>
  <si>
    <t>ORD000447</t>
  </si>
  <si>
    <t>ORD000763</t>
  </si>
  <si>
    <t>ORD001819</t>
  </si>
  <si>
    <t>ORD005988</t>
  </si>
  <si>
    <t>ORD000322</t>
  </si>
  <si>
    <t>ORD005110</t>
  </si>
  <si>
    <t>ORD002613</t>
  </si>
  <si>
    <t>ORD000167</t>
  </si>
  <si>
    <t>ORD001772</t>
  </si>
  <si>
    <t>ORD000625</t>
  </si>
  <si>
    <t>ORD004700</t>
  </si>
  <si>
    <t>ORD002767</t>
  </si>
  <si>
    <t>ORD004583</t>
  </si>
  <si>
    <t>ORD003349</t>
  </si>
  <si>
    <t>ORD004317</t>
  </si>
  <si>
    <t>ORD003532</t>
  </si>
  <si>
    <t>ORD005143</t>
  </si>
  <si>
    <t>ORD004259</t>
  </si>
  <si>
    <t>ORD000151</t>
  </si>
  <si>
    <t>ORD005354</t>
  </si>
  <si>
    <t>ORD003100</t>
  </si>
  <si>
    <t>ORD004690</t>
  </si>
  <si>
    <t>ORD000215</t>
  </si>
  <si>
    <t>ORD005879</t>
  </si>
  <si>
    <t>ORD002843</t>
  </si>
  <si>
    <t>ORD000997</t>
  </si>
  <si>
    <t>ORD001767</t>
  </si>
  <si>
    <t>ORD003050</t>
  </si>
  <si>
    <t>ORD005684</t>
  </si>
  <si>
    <t>ORD005024</t>
  </si>
  <si>
    <t>ORD003461</t>
  </si>
  <si>
    <t>ORD000613</t>
  </si>
  <si>
    <t>ORD002776</t>
  </si>
  <si>
    <t>ORD005319</t>
  </si>
  <si>
    <t>ORD004434</t>
  </si>
  <si>
    <t>ORD000033</t>
  </si>
  <si>
    <t>ORD000915</t>
  </si>
  <si>
    <t>ORD000012</t>
  </si>
  <si>
    <t>ORD003748</t>
  </si>
  <si>
    <t>ORD002300</t>
  </si>
  <si>
    <t>ORD004198</t>
  </si>
  <si>
    <t>ORD002992</t>
  </si>
  <si>
    <t>ORD001230</t>
  </si>
  <si>
    <t>ORD004550</t>
  </si>
  <si>
    <t>ORD001337</t>
  </si>
  <si>
    <t>ORD002098</t>
  </si>
  <si>
    <t>ORD003596</t>
  </si>
  <si>
    <t>ORD004683</t>
  </si>
  <si>
    <t>ORD001242</t>
  </si>
  <si>
    <t>ORD004457</t>
  </si>
  <si>
    <t>ORD001992</t>
  </si>
  <si>
    <t>ORD005614</t>
  </si>
  <si>
    <t>ORD003259</t>
  </si>
  <si>
    <t>ORD003174</t>
  </si>
  <si>
    <t>ORD000268</t>
  </si>
  <si>
    <t>ORD000554</t>
  </si>
  <si>
    <t>ORD002447</t>
  </si>
  <si>
    <t>ORD004188</t>
  </si>
  <si>
    <t>ORD004318</t>
  </si>
  <si>
    <t>ORD003860</t>
  </si>
  <si>
    <t>ORD002364</t>
  </si>
  <si>
    <t>ORD004306</t>
  </si>
  <si>
    <t>ORD003119</t>
  </si>
  <si>
    <t>ORD002118</t>
  </si>
  <si>
    <t>ORD002075</t>
  </si>
  <si>
    <t>ORD003590</t>
  </si>
  <si>
    <t>ORD004899</t>
  </si>
  <si>
    <t>ORD001314</t>
  </si>
  <si>
    <t>ORD005140</t>
  </si>
  <si>
    <t>ORD004277</t>
  </si>
  <si>
    <t>ORD004348</t>
  </si>
  <si>
    <t>ORD004014</t>
  </si>
  <si>
    <t>ORD004891</t>
  </si>
  <si>
    <t>ORD004679</t>
  </si>
  <si>
    <t>ORD001290</t>
  </si>
  <si>
    <t>ORD002983</t>
  </si>
  <si>
    <t>ORD004396</t>
  </si>
  <si>
    <t>ORD003602</t>
  </si>
  <si>
    <t>ORD002066</t>
  </si>
  <si>
    <t>ORD005822</t>
  </si>
  <si>
    <t>ORD003413</t>
  </si>
  <si>
    <t>ORD001204</t>
  </si>
  <si>
    <t>ORD001310</t>
  </si>
  <si>
    <t>ORD001090</t>
  </si>
  <si>
    <t>ORD000153</t>
  </si>
  <si>
    <t>ORD005014</t>
  </si>
  <si>
    <t>ORD005109</t>
  </si>
  <si>
    <t>ORD003203</t>
  </si>
  <si>
    <t>ORD001372</t>
  </si>
  <si>
    <t>ORD004324</t>
  </si>
  <si>
    <t>ORD005592</t>
  </si>
  <si>
    <t>ORD002542</t>
  </si>
  <si>
    <t>ORD000785</t>
  </si>
  <si>
    <t>ORD004916</t>
  </si>
  <si>
    <t>ORD002752</t>
  </si>
  <si>
    <t>ORD003965</t>
  </si>
  <si>
    <t>ORD003813</t>
  </si>
  <si>
    <t>ORD003770</t>
  </si>
  <si>
    <t>ORD003903</t>
  </si>
  <si>
    <t>ORD005294</t>
  </si>
  <si>
    <t>ORD002308</t>
  </si>
  <si>
    <t>ORD000791</t>
  </si>
  <si>
    <t>ORD004114</t>
  </si>
  <si>
    <t>ORD000446</t>
  </si>
  <si>
    <t>ORD004750</t>
  </si>
  <si>
    <t>ORD001254</t>
  </si>
  <si>
    <t>ORD003076</t>
  </si>
  <si>
    <t>ORD005868</t>
  </si>
  <si>
    <t>ORD005714</t>
  </si>
  <si>
    <t>ORD004233</t>
  </si>
  <si>
    <t>ORD001986</t>
  </si>
  <si>
    <t>ORD001981</t>
  </si>
  <si>
    <t>ORD004422</t>
  </si>
  <si>
    <t>ORD001417</t>
  </si>
  <si>
    <t>ORD002854</t>
  </si>
  <si>
    <t>ORD002753</t>
  </si>
  <si>
    <t>ORD002925</t>
  </si>
  <si>
    <t>ORD005968</t>
  </si>
  <si>
    <t>ORD004258</t>
  </si>
  <si>
    <t>ORD002922</t>
  </si>
  <si>
    <t>ORD001270</t>
  </si>
  <si>
    <t>ORD005521</t>
  </si>
  <si>
    <t>ORD005188</t>
  </si>
  <si>
    <t>ORD001010</t>
  </si>
  <si>
    <t>ORD002096</t>
  </si>
  <si>
    <t>ORD005646</t>
  </si>
  <si>
    <t>ORD003373</t>
  </si>
  <si>
    <t>ORD004268</t>
  </si>
  <si>
    <t>ORD003359</t>
  </si>
  <si>
    <t>ORD001073</t>
  </si>
  <si>
    <t>ORD004216</t>
  </si>
  <si>
    <t>ORD003892</t>
  </si>
  <si>
    <t>ORD001008</t>
  </si>
  <si>
    <t>ORD000713</t>
  </si>
  <si>
    <t>ORD002970</t>
  </si>
  <si>
    <t>ORD004296</t>
  </si>
  <si>
    <t>ORD002485</t>
  </si>
  <si>
    <t>ORD003538</t>
  </si>
  <si>
    <t>ORD002209</t>
  </si>
  <si>
    <t>ORD000887</t>
  </si>
  <si>
    <t>ORD004953</t>
  </si>
  <si>
    <t>ORD000196</t>
  </si>
  <si>
    <t>ORD003870</t>
  </si>
  <si>
    <t>ORD001138</t>
  </si>
  <si>
    <t>ORD000377</t>
  </si>
  <si>
    <t>ORD002001</t>
  </si>
  <si>
    <t>ORD004513</t>
  </si>
  <si>
    <t>ORD003989</t>
  </si>
  <si>
    <t>ORD004514</t>
  </si>
  <si>
    <t>ORD002927</t>
  </si>
  <si>
    <t>ORD004336</t>
  </si>
  <si>
    <t>ORD001662</t>
  </si>
  <si>
    <t>ORD004074</t>
  </si>
  <si>
    <t>ORD001267</t>
  </si>
  <si>
    <t>ORD001931</t>
  </si>
  <si>
    <t>ORD001792</t>
  </si>
  <si>
    <t>ORD004314</t>
  </si>
  <si>
    <t>ORD005523</t>
  </si>
  <si>
    <t>ORD005045</t>
  </si>
  <si>
    <t>ORD000973</t>
  </si>
  <si>
    <t>ORD001185</t>
  </si>
  <si>
    <t>ORD005776</t>
  </si>
  <si>
    <t>ORD004593</t>
  </si>
  <si>
    <t>ORD000162</t>
  </si>
  <si>
    <t>ORD002128</t>
  </si>
  <si>
    <t>ORD001300</t>
  </si>
  <si>
    <t>ORD003488</t>
  </si>
  <si>
    <t>ORD005765</t>
  </si>
  <si>
    <t>ORD003791</t>
  </si>
  <si>
    <t>ORD002085</t>
  </si>
  <si>
    <t>ORD000974</t>
  </si>
  <si>
    <t>ORD002031</t>
  </si>
  <si>
    <t>ORD002931</t>
  </si>
  <si>
    <t>ORD001899</t>
  </si>
  <si>
    <t>ORD003808</t>
  </si>
  <si>
    <t>ORD003437</t>
  </si>
  <si>
    <t>ORD004270</t>
  </si>
  <si>
    <t>ORD003134</t>
  </si>
  <si>
    <t>ORD003567</t>
  </si>
  <si>
    <t>ORD004364</t>
  </si>
  <si>
    <t>ORD005276</t>
  </si>
  <si>
    <t>ORD000734</t>
  </si>
  <si>
    <t>ORD002095</t>
  </si>
  <si>
    <t>ORD001678</t>
  </si>
  <si>
    <t>ORD002145</t>
  </si>
  <si>
    <t>ORD000517</t>
  </si>
  <si>
    <t>ORD001513</t>
  </si>
  <si>
    <t>ORD002610</t>
  </si>
  <si>
    <t>ORD005667</t>
  </si>
  <si>
    <t>ORD002083</t>
  </si>
  <si>
    <t>ORD000787</t>
  </si>
  <si>
    <t>ORD002606</t>
  </si>
  <si>
    <t>ORD001453</t>
  </si>
  <si>
    <t>ORD001315</t>
  </si>
  <si>
    <t>ORD003230</t>
  </si>
  <si>
    <t>ORD005639</t>
  </si>
  <si>
    <t>ORD003415</t>
  </si>
  <si>
    <t>ORD001125</t>
  </si>
  <si>
    <t>ORD005500</t>
  </si>
  <si>
    <t>ORD002545</t>
  </si>
  <si>
    <t>ORD004350</t>
  </si>
  <si>
    <t>ORD003487</t>
  </si>
  <si>
    <t>ORD003322</t>
  </si>
  <si>
    <t>ORD005074</t>
  </si>
  <si>
    <t>ORD005762</t>
  </si>
  <si>
    <t>ORD002782</t>
  </si>
  <si>
    <t>ORD003608</t>
  </si>
  <si>
    <t>ORD002413</t>
  </si>
  <si>
    <t>ORD000140</t>
  </si>
  <si>
    <t>ORD005285</t>
  </si>
  <si>
    <t>ORD005870</t>
  </si>
  <si>
    <t>ORD003063</t>
  </si>
  <si>
    <t>ORD003246</t>
  </si>
  <si>
    <t>ORD000533</t>
  </si>
  <si>
    <t>ORD000064</t>
  </si>
  <si>
    <t>ORD001852</t>
  </si>
  <si>
    <t>ORD003615</t>
  </si>
  <si>
    <t>ORD000960</t>
  </si>
  <si>
    <t>ORD001276</t>
  </si>
  <si>
    <t>ORD002092</t>
  </si>
  <si>
    <t>ORD004845</t>
  </si>
  <si>
    <t>ORD001405</t>
  </si>
  <si>
    <t>ORD000010</t>
  </si>
  <si>
    <t>ORD002043</t>
  </si>
  <si>
    <t>ORD001949</t>
  </si>
  <si>
    <t>ORD002846</t>
  </si>
  <si>
    <t>ORD002553</t>
  </si>
  <si>
    <t>ORD003849</t>
  </si>
  <si>
    <t>ORD002724</t>
  </si>
  <si>
    <t>ORD000333</t>
  </si>
  <si>
    <t>ORD003622</t>
  </si>
  <si>
    <t>ORD002395</t>
  </si>
  <si>
    <t>ORD004515</t>
  </si>
  <si>
    <t>ORD001221</t>
  </si>
  <si>
    <t>ORD003171</t>
  </si>
  <si>
    <t>ORD003092</t>
  </si>
  <si>
    <t>ORD005072</t>
  </si>
  <si>
    <t>ORD000272</t>
  </si>
  <si>
    <t>ORD001933</t>
  </si>
  <si>
    <t>ORD000632</t>
  </si>
  <si>
    <t>ORD004315</t>
  </si>
  <si>
    <t>ORD005210</t>
  </si>
  <si>
    <t>ORD002806</t>
  </si>
  <si>
    <t>ORD005717</t>
  </si>
  <si>
    <t>ORD003816</t>
  </si>
  <si>
    <t>ORD002681</t>
  </si>
  <si>
    <t>ORD002684</t>
  </si>
  <si>
    <t>ORD005367</t>
  </si>
  <si>
    <t>ORD000235</t>
  </si>
  <si>
    <t>ORD005330</t>
  </si>
  <si>
    <t>ORD003287</t>
  </si>
  <si>
    <t>ORD005145</t>
  </si>
  <si>
    <t>ORD005307</t>
  </si>
  <si>
    <t>ORD005301</t>
  </si>
  <si>
    <t>ORD004325</t>
  </si>
  <si>
    <t>ORD000406</t>
  </si>
  <si>
    <t>ORD004920</t>
  </si>
  <si>
    <t>ORD002336</t>
  </si>
  <si>
    <t>ORD002864</t>
  </si>
  <si>
    <t>ORD002088</t>
  </si>
  <si>
    <t>ORD002351</t>
  </si>
  <si>
    <t>ORD004050</t>
  </si>
  <si>
    <t>ORD005390</t>
  </si>
  <si>
    <t>ORD005017</t>
  </si>
  <si>
    <t>ORD002718</t>
  </si>
  <si>
    <t>ORD000527</t>
  </si>
  <si>
    <t>ORD002517</t>
  </si>
  <si>
    <t>ORD005347</t>
  </si>
  <si>
    <t>ORD003930</t>
  </si>
  <si>
    <t>ORD002530</t>
  </si>
  <si>
    <t>ORD001289</t>
  </si>
  <si>
    <t>ORD001826</t>
  </si>
  <si>
    <t>ORD005591</t>
  </si>
  <si>
    <t>ORD000721</t>
  </si>
  <si>
    <t>ORD003886</t>
  </si>
  <si>
    <t>ORD000857</t>
  </si>
  <si>
    <t>ORD000558</t>
  </si>
  <si>
    <t>ORD005068</t>
  </si>
  <si>
    <t>ORD005274</t>
  </si>
  <si>
    <t>ORD002541</t>
  </si>
  <si>
    <t>ORD003629</t>
  </si>
  <si>
    <t>ORD001435</t>
  </si>
  <si>
    <t>ORD004281</t>
  </si>
  <si>
    <t>ORD005061</t>
  </si>
  <si>
    <t>ORD004574</t>
  </si>
  <si>
    <t>ORD003605</t>
  </si>
  <si>
    <t>ORD001685</t>
  </si>
  <si>
    <t>ORD003749</t>
  </si>
  <si>
    <t>ORD001021</t>
  </si>
  <si>
    <t>ORD002006</t>
  </si>
  <si>
    <t>ORD004452</t>
  </si>
  <si>
    <t>ORD000512</t>
  </si>
  <si>
    <t>ORD005391</t>
  </si>
  <si>
    <t>ORD004002</t>
  </si>
  <si>
    <t>ORD001887</t>
  </si>
  <si>
    <t>ORD004880</t>
  </si>
  <si>
    <t>ORD003938</t>
  </si>
  <si>
    <t>ORD001799</t>
  </si>
  <si>
    <t>ORD001149</t>
  </si>
  <si>
    <t>ORD002108</t>
  </si>
  <si>
    <t>ORD001563</t>
  </si>
  <si>
    <t>ORD003452</t>
  </si>
  <si>
    <t>ORD002996</t>
  </si>
  <si>
    <t>ORD003561</t>
  </si>
  <si>
    <t>ORD005326</t>
  </si>
  <si>
    <t>ORD001744</t>
  </si>
  <si>
    <t>ORD002841</t>
  </si>
  <si>
    <t>ORD000607</t>
  </si>
  <si>
    <t>ORD003400</t>
  </si>
  <si>
    <t>ORD000638</t>
  </si>
  <si>
    <t>ORD001332</t>
  </si>
  <si>
    <t>ORD005806</t>
  </si>
  <si>
    <t>ORD001649</t>
  </si>
  <si>
    <t>ORD001182</t>
  </si>
  <si>
    <t>ORD004463</t>
  </si>
  <si>
    <t>ORD005329</t>
  </si>
  <si>
    <t>ORD002210</t>
  </si>
  <si>
    <t>ORD001770</t>
  </si>
  <si>
    <t>ORD001756</t>
  </si>
  <si>
    <t>ORD005118</t>
  </si>
  <si>
    <t>ORD001346</t>
  </si>
  <si>
    <t>ORD005460</t>
  </si>
  <si>
    <t>ORD000511</t>
  </si>
  <si>
    <t>ORD001677</t>
  </si>
  <si>
    <t>ORD002062</t>
  </si>
  <si>
    <t>ORD004026</t>
  </si>
  <si>
    <t>ORD003224</t>
  </si>
  <si>
    <t>ORD005818</t>
  </si>
  <si>
    <t>ORD000457</t>
  </si>
  <si>
    <t>ORD001809</t>
  </si>
  <si>
    <t>ORD003842</t>
  </si>
  <si>
    <t>ORD000757</t>
  </si>
  <si>
    <t>ORD003343</t>
  </si>
  <si>
    <t>ORD004049</t>
  </si>
  <si>
    <t>ORD002860</t>
  </si>
  <si>
    <t>ORD001066</t>
  </si>
  <si>
    <t>ORD001266</t>
  </si>
  <si>
    <t>ORD004954</t>
  </si>
  <si>
    <t>ORD001820</t>
  </si>
  <si>
    <t>ORD000692</t>
  </si>
  <si>
    <t>ORD004937</t>
  </si>
  <si>
    <t>ORD004748</t>
  </si>
  <si>
    <t>ORD005078</t>
  </si>
  <si>
    <t>ORD000502</t>
  </si>
  <si>
    <t>ORD002169</t>
  </si>
  <si>
    <t>ORD003692</t>
  </si>
  <si>
    <t>ORD004498</t>
  </si>
  <si>
    <t>ORD001039</t>
  </si>
  <si>
    <t>ORD001022</t>
  </si>
  <si>
    <t>ORD002742</t>
  </si>
  <si>
    <t>ORD000358</t>
  </si>
  <si>
    <t>ORD003656</t>
  </si>
  <si>
    <t>ORD002653</t>
  </si>
  <si>
    <t>ORD002945</t>
  </si>
  <si>
    <t>ORD001509</t>
  </si>
  <si>
    <t>ORD000211</t>
  </si>
  <si>
    <t>ORD005119</t>
  </si>
  <si>
    <t>ORD002082</t>
  </si>
  <si>
    <t>ORD004272</t>
  </si>
  <si>
    <t>ORD004001</t>
  </si>
  <si>
    <t>ORD000737</t>
  </si>
  <si>
    <t>ORD005638</t>
  </si>
  <si>
    <t>ORD000383</t>
  </si>
  <si>
    <t>ORD004873</t>
  </si>
  <si>
    <t>ORD005445</t>
  </si>
  <si>
    <t>ORD004614</t>
  </si>
  <si>
    <t>ORD002532</t>
  </si>
  <si>
    <t>ORD002842</t>
  </si>
  <si>
    <t>ORD000717</t>
  </si>
  <si>
    <t>ORD003606</t>
  </si>
  <si>
    <t>ORD005861</t>
  </si>
  <si>
    <t>ORD000904</t>
  </si>
  <si>
    <t>ORD002975</t>
  </si>
  <si>
    <t>ORD001335</t>
  </si>
  <si>
    <t>ORD001343</t>
  </si>
  <si>
    <t>ORD005821</t>
  </si>
  <si>
    <t>ORD002281</t>
  </si>
  <si>
    <t>ORD002692</t>
  </si>
  <si>
    <t>ORD001103</t>
  </si>
  <si>
    <t>ORD001031</t>
  </si>
  <si>
    <t>ORD005863</t>
  </si>
  <si>
    <t>ORD003157</t>
  </si>
  <si>
    <t>ORD003345</t>
  </si>
  <si>
    <t>ORD003478</t>
  </si>
  <si>
    <t>ORD004328</t>
  </si>
  <si>
    <t>ORD005378</t>
  </si>
  <si>
    <t>ORD001669</t>
  </si>
  <si>
    <t>ORD003653</t>
  </si>
  <si>
    <t>ORD003708</t>
  </si>
  <si>
    <t>ORD002660</t>
  </si>
  <si>
    <t>ORD001107</t>
  </si>
  <si>
    <t>ORD005101</t>
  </si>
  <si>
    <t>ORD003821</t>
  </si>
  <si>
    <t>ORD001625</t>
  </si>
  <si>
    <t>ORD002543</t>
  </si>
  <si>
    <t>ORD001384</t>
  </si>
  <si>
    <t>ORD003711</t>
  </si>
  <si>
    <t>ORD003971</t>
  </si>
  <si>
    <t>ORD005553</t>
  </si>
  <si>
    <t>ORD005686</t>
  </si>
  <si>
    <t>ORD005962</t>
  </si>
  <si>
    <t>ORD000945</t>
  </si>
  <si>
    <t>ORD003905</t>
  </si>
  <si>
    <t>ORD003685</t>
  </si>
  <si>
    <t>ORD000508</t>
  </si>
  <si>
    <t>ORD004511</t>
  </si>
  <si>
    <t>ORD002004</t>
  </si>
  <si>
    <t>ORD001789</t>
  </si>
  <si>
    <t>ORD002698</t>
  </si>
  <si>
    <t>ORD004243</t>
  </si>
  <si>
    <t>ORD001121</t>
  </si>
  <si>
    <t>ORD002347</t>
  </si>
  <si>
    <t>ORD002222</t>
  </si>
  <si>
    <t>ORD003514</t>
  </si>
  <si>
    <t>ORD000773</t>
  </si>
  <si>
    <t>ORD001696</t>
  </si>
  <si>
    <t>ORD004402</t>
  </si>
  <si>
    <t>ORD001220</t>
  </si>
  <si>
    <t>ORD005353</t>
  </si>
  <si>
    <t>ORD005419</t>
  </si>
  <si>
    <t>ORD003389</t>
  </si>
  <si>
    <t>ORD001557</t>
  </si>
  <si>
    <t>ORD004943</t>
  </si>
  <si>
    <t>ORD001540</t>
  </si>
  <si>
    <t>ORD005444</t>
  </si>
  <si>
    <t>ORD000497</t>
  </si>
  <si>
    <t>ORD005775</t>
  </si>
  <si>
    <t>ORD002036</t>
  </si>
  <si>
    <t>ORD002477</t>
  </si>
  <si>
    <t>ORD004759</t>
  </si>
  <si>
    <t>ORD002633</t>
  </si>
  <si>
    <t>ORD000228</t>
  </si>
  <si>
    <t>ORD005073</t>
  </si>
  <si>
    <t>ORD002272</t>
  </si>
  <si>
    <t>ORD003794</t>
  </si>
  <si>
    <t>ORD005660</t>
  </si>
  <si>
    <t>ORD003401</t>
  </si>
  <si>
    <t>ORD005271</t>
  </si>
  <si>
    <t>ORD004013</t>
  </si>
  <si>
    <t>ORD002378</t>
  </si>
  <si>
    <t>ORD005892</t>
  </si>
  <si>
    <t>ORD004433</t>
  </si>
  <si>
    <t>ORD000884</t>
  </si>
  <si>
    <t>ORD001001</t>
  </si>
  <si>
    <t>ORD001209</t>
  </si>
  <si>
    <t>ORD001666</t>
  </si>
  <si>
    <t>ORD001094</t>
  </si>
  <si>
    <t>ORD004669</t>
  </si>
  <si>
    <t>ORD005222</t>
  </si>
  <si>
    <t>ORD000436</t>
  </si>
  <si>
    <t>ORD003736</t>
  </si>
  <si>
    <t>ORD000566</t>
  </si>
  <si>
    <t>ORD004406</t>
  </si>
  <si>
    <t>ORD002427</t>
  </si>
  <si>
    <t>ORD002334</t>
  </si>
  <si>
    <t>ORD001758</t>
  </si>
  <si>
    <t>ORD005192</t>
  </si>
  <si>
    <t>ORD001719</t>
  </si>
  <si>
    <t>ORD003500</t>
  </si>
  <si>
    <t>ORD003104</t>
  </si>
  <si>
    <t>ORD000579</t>
  </si>
  <si>
    <t>ORD001688</t>
  </si>
  <si>
    <t>ORD001634</t>
  </si>
  <si>
    <t>ORD005474</t>
  </si>
  <si>
    <t>ORD001411</t>
  </si>
  <si>
    <t>ORD002063</t>
  </si>
  <si>
    <t>ORD001084</t>
  </si>
  <si>
    <t>ORD004582</t>
  </si>
  <si>
    <t>ORD002109</t>
  </si>
  <si>
    <t>ORD001169</t>
  </si>
  <si>
    <t>ORD001541</t>
  </si>
  <si>
    <t>ORD005999</t>
  </si>
  <si>
    <t>ORD004877</t>
  </si>
  <si>
    <t>ORD002432</t>
  </si>
  <si>
    <t>ORD000070</t>
  </si>
  <si>
    <t>ORD001926</t>
  </si>
  <si>
    <t>ORD001030</t>
  </si>
  <si>
    <t>ORD005461</t>
  </si>
  <si>
    <t>ORD002560</t>
  </si>
  <si>
    <t>ORD000924</t>
  </si>
  <si>
    <t>ORD002664</t>
  </si>
  <si>
    <t>ORD004833</t>
  </si>
  <si>
    <t>ORD003610</t>
  </si>
  <si>
    <t>ORD002746</t>
  </si>
  <si>
    <t>ORD005250</t>
  </si>
  <si>
    <t>ORD003735</t>
  </si>
  <si>
    <t>ORD001923</t>
  </si>
  <si>
    <t>ORD003254</t>
  </si>
  <si>
    <t>ORD002926</t>
  </si>
  <si>
    <t>ORD001412</t>
  </si>
  <si>
    <t>ORD000220</t>
  </si>
  <si>
    <t>ORD002999</t>
  </si>
  <si>
    <t>ORD000157</t>
  </si>
  <si>
    <t>ORD004870</t>
  </si>
  <si>
    <t>ORD001324</t>
  </si>
  <si>
    <t>ORD002609</t>
  </si>
  <si>
    <t>ORD005263</t>
  </si>
  <si>
    <t>ORD001950</t>
  </si>
  <si>
    <t>ORD005315</t>
  </si>
  <si>
    <t>ORD001490</t>
  </si>
  <si>
    <t>ORD003430</t>
  </si>
  <si>
    <t>ORD004355</t>
  </si>
  <si>
    <t>ORD000746</t>
  </si>
  <si>
    <t>ORD002034</t>
  </si>
  <si>
    <t>ORD005439</t>
  </si>
  <si>
    <t>ORD000407</t>
  </si>
  <si>
    <t>ORD003052</t>
  </si>
  <si>
    <t>ORD000247</t>
  </si>
  <si>
    <t>ORD002756</t>
  </si>
  <si>
    <t>ORD003229</t>
  </si>
  <si>
    <t>ORD004020</t>
  </si>
  <si>
    <t>ORD003718</t>
  </si>
  <si>
    <t>ORD001977</t>
  </si>
  <si>
    <t>ORD003321</t>
  </si>
  <si>
    <t>ORD001783</t>
  </si>
  <si>
    <t>ORD001815</t>
  </si>
  <si>
    <t>ORD005427</t>
  </si>
  <si>
    <t>ORD003683</t>
  </si>
  <si>
    <t>ORD002953</t>
  </si>
  <si>
    <t>ORD000630</t>
  </si>
  <si>
    <t>ORD000350</t>
  </si>
  <si>
    <t>ORD005766</t>
  </si>
  <si>
    <t>ORD005741</t>
  </si>
  <si>
    <t>ORD003485</t>
  </si>
  <si>
    <t>ORD005550</t>
  </si>
  <si>
    <t>ORD005680</t>
  </si>
  <si>
    <t>ORD004316</t>
  </si>
  <si>
    <t>ORD003939</t>
  </si>
  <si>
    <t>ORD001257</t>
  </si>
  <si>
    <t>ORD005921</t>
  </si>
  <si>
    <t>ORD003880</t>
  </si>
  <si>
    <t>ORD004641</t>
  </si>
  <si>
    <t>ORD002817</t>
  </si>
  <si>
    <t>ORD000702</t>
  </si>
  <si>
    <t>ORD001648</t>
  </si>
  <si>
    <t>ORD005472</t>
  </si>
  <si>
    <t>ORD000830</t>
  </si>
  <si>
    <t>ORD005473</t>
  </si>
  <si>
    <t>ORD002382</t>
  </si>
  <si>
    <t>ORD001115</t>
  </si>
  <si>
    <t>ORD003170</t>
  </si>
  <si>
    <t>ORD004235</t>
  </si>
  <si>
    <t>ORD003490</t>
  </si>
  <si>
    <t>ORD004997</t>
  </si>
  <si>
    <t>ORD003163</t>
  </si>
  <si>
    <t>ORD000976</t>
  </si>
  <si>
    <t>ORD005633</t>
  </si>
  <si>
    <t>ORD001781</t>
  </si>
  <si>
    <t>ORD000362</t>
  </si>
  <si>
    <t>ORD002401</t>
  </si>
  <si>
    <t>ORD001902</t>
  </si>
  <si>
    <t>ORD005258</t>
  </si>
  <si>
    <t>ORD002448</t>
  </si>
  <si>
    <t>ORD005690</t>
  </si>
  <si>
    <t>ORD001159</t>
  </si>
  <si>
    <t>ORD003476</t>
  </si>
  <si>
    <t>ORD001410</t>
  </si>
  <si>
    <t>ORD001413</t>
  </si>
  <si>
    <t>ORD001721</t>
  </si>
  <si>
    <t>ORD000340</t>
  </si>
  <si>
    <t>ORD005994</t>
  </si>
  <si>
    <t>ORD005407</t>
  </si>
  <si>
    <t>ORD002010</t>
  </si>
  <si>
    <t>ORD003010</t>
  </si>
  <si>
    <t>ORD002228</t>
  </si>
  <si>
    <t>ORD003209</t>
  </si>
  <si>
    <t>ORD000115</t>
  </si>
  <si>
    <t>ORD000741</t>
  </si>
  <si>
    <t>ORD000711</t>
  </si>
  <si>
    <t>ORD002403</t>
  </si>
  <si>
    <t>ORD003175</t>
  </si>
  <si>
    <t>ORD005220</t>
  </si>
  <si>
    <t>ORD003039</t>
  </si>
  <si>
    <t>ORD002764</t>
  </si>
  <si>
    <t>ORD002935</t>
  </si>
  <si>
    <t>ORD002439</t>
  </si>
  <si>
    <t>ORD004837</t>
  </si>
  <si>
    <t>ORD005756</t>
  </si>
  <si>
    <t>ORD001155</t>
  </si>
  <si>
    <t>ORD001769</t>
  </si>
  <si>
    <t>ORD003253</t>
  </si>
  <si>
    <t>ORD005726</t>
  </si>
  <si>
    <t>ORD002327</t>
  </si>
  <si>
    <t>ORD003027</t>
  </si>
  <si>
    <t>ORD003147</t>
  </si>
  <si>
    <t>ORD002516</t>
  </si>
  <si>
    <t>ORD000423</t>
  </si>
  <si>
    <t>ORD001813</t>
  </si>
  <si>
    <t>ORD001550</t>
  </si>
  <si>
    <t>ORD002450</t>
  </si>
  <si>
    <t>ORD002301</t>
  </si>
  <si>
    <t>ORD000334</t>
  </si>
  <si>
    <t>ORD001288</t>
  </si>
  <si>
    <t>ORD005452</t>
  </si>
  <si>
    <t>ORD001165</t>
  </si>
  <si>
    <t>ORD004977</t>
  </si>
  <si>
    <t>ORD003424</t>
  </si>
  <si>
    <t>ORD001652</t>
  </si>
  <si>
    <t>ORD004405</t>
  </si>
  <si>
    <t>ORD000899</t>
  </si>
  <si>
    <t>ORD003660</t>
  </si>
  <si>
    <t>ORD002322</t>
  </si>
  <si>
    <t>ORD001425</t>
  </si>
  <si>
    <t>ORD001937</t>
  </si>
  <si>
    <t>ORD000866</t>
  </si>
  <si>
    <t>ORD001467</t>
  </si>
  <si>
    <t>ORD002091</t>
  </si>
  <si>
    <t>ORD002459</t>
  </si>
  <si>
    <t>ORD003626</t>
  </si>
  <si>
    <t>ORD004446</t>
  </si>
  <si>
    <t>ORD002914</t>
  </si>
  <si>
    <t>ORD005560</t>
  </si>
  <si>
    <t>ORD001175</t>
  </si>
  <si>
    <t>ORD004009</t>
  </si>
  <si>
    <t>ORD001436</t>
  </si>
  <si>
    <t>ORD000903</t>
  </si>
  <si>
    <t>ORD001456</t>
  </si>
  <si>
    <t>ORD005897</t>
  </si>
  <si>
    <t>ORD000355</t>
  </si>
  <si>
    <t>ORD004840</t>
  </si>
  <si>
    <t>ORD000916</t>
  </si>
  <si>
    <t>ORD004363</t>
  </si>
  <si>
    <t>ORD005539</t>
  </si>
  <si>
    <t>ORD003189</t>
  </si>
  <si>
    <t>ORD000516</t>
  </si>
  <si>
    <t>ORD005605</t>
  </si>
  <si>
    <t>ORD005669</t>
  </si>
  <si>
    <t>ORD002965</t>
  </si>
  <si>
    <t>ORD005016</t>
  </si>
  <si>
    <t>ORD004739</t>
  </si>
  <si>
    <t>ORD000700</t>
  </si>
  <si>
    <t>ORD002298</t>
  </si>
  <si>
    <t>ORD002044</t>
  </si>
  <si>
    <t>ORD003423</t>
  </si>
  <si>
    <t>ORD002656</t>
  </si>
  <si>
    <t>ORD001375</t>
  </si>
  <si>
    <t>ORD004678</t>
  </si>
  <si>
    <t>ORD002608</t>
  </si>
  <si>
    <t>ORD003721</t>
  </si>
  <si>
    <t>ORD004660</t>
  </si>
  <si>
    <t>ORD001012</t>
  </si>
  <si>
    <t>ORD001416</t>
  </si>
  <si>
    <t>ORD004280</t>
  </si>
  <si>
    <t>ORD001301</t>
  </si>
  <si>
    <t>ORD005911</t>
  </si>
  <si>
    <t>ORD004003</t>
  </si>
  <si>
    <t>ORD003839</t>
  </si>
  <si>
    <t>ORD002722</t>
  </si>
  <si>
    <t>ORD005297</t>
  </si>
  <si>
    <t>ORD004787</t>
  </si>
  <si>
    <t>ORD004048</t>
  </si>
  <si>
    <t>ORD004981</t>
  </si>
  <si>
    <t>ORD004780</t>
  </si>
  <si>
    <t>ORD002657</t>
  </si>
  <si>
    <t>ORD002160</t>
  </si>
  <si>
    <t>ORD001572</t>
  </si>
  <si>
    <t>ORD005519</t>
  </si>
  <si>
    <t>ORD003510</t>
  </si>
  <si>
    <t>ORD004805</t>
  </si>
  <si>
    <t>ORD003977</t>
  </si>
  <si>
    <t>ORD000149</t>
  </si>
  <si>
    <t>ORD004741</t>
  </si>
  <si>
    <t>ORD004671</t>
  </si>
  <si>
    <t>ORD005159</t>
  </si>
  <si>
    <t>ORD005945</t>
  </si>
  <si>
    <t>ORD000531</t>
  </si>
  <si>
    <t>ORD000987</t>
  </si>
  <si>
    <t>ORD005069</t>
  </si>
  <si>
    <t>ORD005139</t>
  </si>
  <si>
    <t>ORD005167</t>
  </si>
  <si>
    <t>ORD004335</t>
  </si>
  <si>
    <t>ORD000764</t>
  </si>
  <si>
    <t>ORD005369</t>
  </si>
  <si>
    <t>ORD005693</t>
  </si>
  <si>
    <t>ORD001942</t>
  </si>
  <si>
    <t>ORD005082</t>
  </si>
  <si>
    <t>ORD003724</t>
  </si>
  <si>
    <t>ORD005020</t>
  </si>
  <si>
    <t>ORD004673</t>
  </si>
  <si>
    <t>ORD005509</t>
  </si>
  <si>
    <t>ORD001293</t>
  </si>
  <si>
    <t>ORD003173</t>
  </si>
  <si>
    <t>ORD002754</t>
  </si>
  <si>
    <t>ORD000359</t>
  </si>
  <si>
    <t>ORD004812</t>
  </si>
  <si>
    <t>ORD003520</t>
  </si>
  <si>
    <t>ORD005006</t>
  </si>
  <si>
    <t>ORD004656</t>
  </si>
  <si>
    <t>ORD003436</t>
  </si>
  <si>
    <t>ORD002341</t>
  </si>
  <si>
    <t>ORD004681</t>
  </si>
  <si>
    <t>ORD000034</t>
  </si>
  <si>
    <t>ORD000330</t>
  </si>
  <si>
    <t>ORD004523</t>
  </si>
  <si>
    <t>ORD003641</t>
  </si>
  <si>
    <t>ORD004858</t>
  </si>
  <si>
    <t>ORD004816</t>
  </si>
  <si>
    <t>ORD001732</t>
  </si>
  <si>
    <t>ORD005300</t>
  </si>
  <si>
    <t>ORD002784</t>
  </si>
  <si>
    <t>ORD005677</t>
  </si>
  <si>
    <t>ORD001537</t>
  </si>
  <si>
    <t>ORD001888</t>
  </si>
  <si>
    <t>ORD004675</t>
  </si>
  <si>
    <t>ORD001387</t>
  </si>
  <si>
    <t>ORD004192</t>
  </si>
  <si>
    <t>ORD005272</t>
  </si>
  <si>
    <t>ORD002157</t>
  </si>
  <si>
    <t>ORD004193</t>
  </si>
  <si>
    <t>ORD004549</t>
  </si>
  <si>
    <t>ORD000687</t>
  </si>
  <si>
    <t>ORD003387</t>
  </si>
  <si>
    <t>ORD001262</t>
  </si>
  <si>
    <t>ORD004825</t>
  </si>
  <si>
    <t>ORD003525</t>
  </si>
  <si>
    <t>ORD004553</t>
  </si>
  <si>
    <t>ORD004573</t>
  </si>
  <si>
    <t>ORD005927</t>
  </si>
  <si>
    <t>ORD001406</t>
  </si>
  <si>
    <t>ORD000693</t>
  </si>
  <si>
    <t>ORD002796</t>
  </si>
  <si>
    <t>ORD002997</t>
  </si>
  <si>
    <t>ORD000727</t>
  </si>
  <si>
    <t>ORD005102</t>
  </si>
  <si>
    <t>ORD003458</t>
  </si>
  <si>
    <t>ORD004712</t>
  </si>
  <si>
    <t>ORD001454</t>
  </si>
  <si>
    <t>ORD004651</t>
  </si>
  <si>
    <t>ORD004542</t>
  </si>
  <si>
    <t>ORD004693</t>
  </si>
  <si>
    <t>ORD002805</t>
  </si>
  <si>
    <t>ORD005793</t>
  </si>
  <si>
    <t>ORD001764</t>
  </si>
  <si>
    <t>ORD003043</t>
  </si>
  <si>
    <t>ORD003922</t>
  </si>
  <si>
    <t>ORD001988</t>
  </si>
  <si>
    <t>ORD004830</t>
  </si>
  <si>
    <t>ORD000674</t>
  </si>
  <si>
    <t>ORD000397</t>
  </si>
  <si>
    <t>ORD000753</t>
  </si>
  <si>
    <t>ORD005043</t>
  </si>
  <si>
    <t>ORD004375</t>
  </si>
  <si>
    <t>ORD004282</t>
  </si>
  <si>
    <t>ORD003138</t>
  </si>
  <si>
    <t>ORD004567</t>
  </si>
  <si>
    <t>ORD004702</t>
  </si>
  <si>
    <t>ORD004162</t>
  </si>
  <si>
    <t>ORD003962</t>
  </si>
  <si>
    <t>ORD005243</t>
  </si>
  <si>
    <t>ORD000129</t>
  </si>
  <si>
    <t>ORD000803</t>
  </si>
  <si>
    <t>ORD000388</t>
  </si>
  <si>
    <t>ORD004480</t>
  </si>
  <si>
    <t>ORD003599</t>
  </si>
  <si>
    <t>ORD003278</t>
  </si>
  <si>
    <t>ORD001007</t>
  </si>
  <si>
    <t>ORD000808</t>
  </si>
  <si>
    <t>ORD003547</t>
  </si>
  <si>
    <t>ORD003846</t>
  </si>
  <si>
    <t>ORD005544</t>
  </si>
  <si>
    <t>ORD000653</t>
  </si>
  <si>
    <t>ORD001671</t>
  </si>
  <si>
    <t>ORD002046</t>
  </si>
  <si>
    <t>ORD001894</t>
  </si>
  <si>
    <t>ORD005421</t>
  </si>
  <si>
    <t>ORD004461</t>
  </si>
  <si>
    <t>ORD001153</t>
  </si>
  <si>
    <t>ORD004040</t>
  </si>
  <si>
    <t>ORD002840</t>
  </si>
  <si>
    <t>ORD001017</t>
  </si>
  <si>
    <t>ORD002335</t>
  </si>
  <si>
    <t>ORD003942</t>
  </si>
  <si>
    <t>ORD002316</t>
  </si>
  <si>
    <t>ORD005570</t>
  </si>
  <si>
    <t>ORD000952</t>
  </si>
  <si>
    <t>ORD002414</t>
  </si>
  <si>
    <t>ORD002250</t>
  </si>
  <si>
    <t>ORD004284</t>
  </si>
  <si>
    <t>ORD000127</t>
  </si>
  <si>
    <t>ORD001422</t>
  </si>
  <si>
    <t>ORD000968</t>
  </si>
  <si>
    <t>ORD003902</t>
  </si>
  <si>
    <t>ORD005656</t>
  </si>
  <si>
    <t>ORD002590</t>
  </si>
  <si>
    <t>ORD002059</t>
  </si>
  <si>
    <t>ORD003445</t>
  </si>
  <si>
    <t>ORD004914</t>
  </si>
  <si>
    <t>ORD001604</t>
  </si>
  <si>
    <t>ORD000666</t>
  </si>
  <si>
    <t>ORD005778</t>
  </si>
  <si>
    <t>ORD004226</t>
  </si>
  <si>
    <t>ORD003521</t>
  </si>
  <si>
    <t>ORD001358</t>
  </si>
  <si>
    <t>ORD001439</t>
  </si>
  <si>
    <t>ORD001333</t>
  </si>
  <si>
    <t>ORD002258</t>
  </si>
  <si>
    <t>ORD002571</t>
  </si>
  <si>
    <t>ORD004359</t>
  </si>
  <si>
    <t>ORD004854</t>
  </si>
  <si>
    <t>ORD003236</t>
  </si>
  <si>
    <t>ORD005162</t>
  </si>
  <si>
    <t>ORD005208</t>
  </si>
  <si>
    <t>ORD000203</t>
  </si>
  <si>
    <t>ORD002830</t>
  </si>
  <si>
    <t>ORD002049</t>
  </si>
  <si>
    <t>ORD005166</t>
  </si>
  <si>
    <t>ORD005090</t>
  </si>
  <si>
    <t>ORD002612</t>
  </si>
  <si>
    <t>ORD001867</t>
  </si>
  <si>
    <t>ORD004374</t>
  </si>
  <si>
    <t>ORD003272</t>
  </si>
  <si>
    <t>ORD005463</t>
  </si>
  <si>
    <t>ORD000759</t>
  </si>
  <si>
    <t>ORD005245</t>
  </si>
  <si>
    <t>ORD000015</t>
  </si>
  <si>
    <t>ORD003281</t>
  </si>
  <si>
    <t>ORD004444</t>
  </si>
  <si>
    <t>ORD000814</t>
  </si>
  <si>
    <t>ORD003503</t>
  </si>
  <si>
    <t>ORD000797</t>
  </si>
  <si>
    <t>ORD004278</t>
  </si>
  <si>
    <t>ORD002243</t>
  </si>
  <si>
    <t>ORD005492</t>
  </si>
  <si>
    <t>ORD003974</t>
  </si>
  <si>
    <t>ORD000911</t>
  </si>
  <si>
    <t>ORD005574</t>
  </si>
  <si>
    <t>ORD005494</t>
  </si>
  <si>
    <t>ORD005513</t>
  </si>
  <si>
    <t>ORD002645</t>
  </si>
  <si>
    <t>ORD004312</t>
  </si>
  <si>
    <t>ORD005983</t>
  </si>
  <si>
    <t>ORD004200</t>
  </si>
  <si>
    <t>ORD002630</t>
  </si>
  <si>
    <t>ORD002943</t>
  </si>
  <si>
    <t>ORD005257</t>
  </si>
  <si>
    <t>ORD004865</t>
  </si>
  <si>
    <t>ORD004967</t>
  </si>
  <si>
    <t>ORD003694</t>
  </si>
  <si>
    <t>ORD005939</t>
  </si>
  <si>
    <t>ORD003192</t>
  </si>
  <si>
    <t>ORD005212</t>
  </si>
  <si>
    <t>ORD005063</t>
  </si>
  <si>
    <t>ORD005415</t>
  </si>
  <si>
    <t>ORD001860</t>
  </si>
  <si>
    <t>ORD001883</t>
  </si>
  <si>
    <t>ORD005408</t>
  </si>
  <si>
    <t>ORD005281</t>
  </si>
  <si>
    <t>ORD004251</t>
  </si>
  <si>
    <t>ORD003102</t>
  </si>
  <si>
    <t>ORD000221</t>
  </si>
  <si>
    <t>ORD004011</t>
  </si>
  <si>
    <t>ORD003024</t>
  </si>
  <si>
    <t>ORD005955</t>
  </si>
  <si>
    <t>ORD004431</t>
  </si>
  <si>
    <t>ORD005080</t>
  </si>
  <si>
    <t>ORD004244</t>
  </si>
  <si>
    <t>ORD000009</t>
  </si>
  <si>
    <t>ORD004689</t>
  </si>
  <si>
    <t>ORD000311</t>
  </si>
  <si>
    <t>ORD004991</t>
  </si>
  <si>
    <t>ORD004892</t>
  </si>
  <si>
    <t>ORD005181</t>
  </si>
  <si>
    <t>ORD003550</t>
  </si>
  <si>
    <t>ORD002358</t>
  </si>
  <si>
    <t>ORD004257</t>
  </si>
  <si>
    <t>ORD005805</t>
  </si>
  <si>
    <t>ORD002733</t>
  </si>
  <si>
    <t>ORD003577</t>
  </si>
  <si>
    <t>ORD005036</t>
  </si>
  <si>
    <t>ORD003512</t>
  </si>
  <si>
    <t>ORD003427</t>
  </si>
  <si>
    <t>ORD003771</t>
  </si>
  <si>
    <t>ORD002786</t>
  </si>
  <si>
    <t>ORD000862</t>
  </si>
  <si>
    <t>ORD004073</t>
  </si>
  <si>
    <t>ORD000991</t>
  </si>
  <si>
    <t>ORD005786</t>
  </si>
  <si>
    <t>ORD000038</t>
  </si>
  <si>
    <t>ORD005781</t>
  </si>
  <si>
    <t>ORD004772</t>
  </si>
  <si>
    <t>ORD004389</t>
  </si>
  <si>
    <t>ORD000007</t>
  </si>
  <si>
    <t>ORD002885</t>
  </si>
  <si>
    <t>ORD005538</t>
  </si>
  <si>
    <t>ORD003015</t>
  </si>
  <si>
    <t>ORD003876</t>
  </si>
  <si>
    <t>ORD005387</t>
  </si>
  <si>
    <t>ORD004309</t>
  </si>
  <si>
    <t>ORD003899</t>
  </si>
  <si>
    <t>ORD004337</t>
  </si>
  <si>
    <t>ORD000177</t>
  </si>
  <si>
    <t>ORD005725</t>
  </si>
  <si>
    <t>ORD002138</t>
  </si>
  <si>
    <t>ORD002045</t>
  </si>
  <si>
    <t>ORD003778</t>
  </si>
  <si>
    <t>ORD001821</t>
  </si>
  <si>
    <t>ORD005194</t>
  </si>
  <si>
    <t>ORD001339</t>
  </si>
  <si>
    <t>ORD002291</t>
  </si>
  <si>
    <t>ORD000105</t>
  </si>
  <si>
    <t>ORD004426</t>
  </si>
  <si>
    <t>ORD004846</t>
  </si>
  <si>
    <t>ORD005247</t>
  </si>
  <si>
    <t>ORD002544</t>
  </si>
  <si>
    <t>ORD001443</t>
  </si>
  <si>
    <t>ORD003650</t>
  </si>
  <si>
    <t>ORD002793</t>
  </si>
  <si>
    <t>ORD005736</t>
  </si>
  <si>
    <t>ORD000405</t>
  </si>
  <si>
    <t>ORD002771</t>
  </si>
  <si>
    <t>ORD005562</t>
  </si>
  <si>
    <t>ORD002626</t>
  </si>
  <si>
    <t>ORD002263</t>
  </si>
  <si>
    <t>ORD002077</t>
  </si>
  <si>
    <t>ORD001489</t>
  </si>
  <si>
    <t>ORD002707</t>
  </si>
  <si>
    <t>ORD001893</t>
  </si>
  <si>
    <t>ORD003559</t>
  </si>
  <si>
    <t>ORD002363</t>
  </si>
  <si>
    <t>ORD002194</t>
  </si>
  <si>
    <t>ORD005501</t>
  </si>
  <si>
    <t>ORD003275</t>
  </si>
  <si>
    <t>ORD001420</t>
  </si>
  <si>
    <t>ORD002794</t>
  </si>
  <si>
    <t>ORD002481</t>
  </si>
  <si>
    <t>ORD003103</t>
  </si>
  <si>
    <t>ORD004887</t>
  </si>
  <si>
    <t>ORD002369</t>
  </si>
  <si>
    <t>ORD003858</t>
  </si>
  <si>
    <t>ORD002030</t>
  </si>
  <si>
    <t>ORD005202</t>
  </si>
  <si>
    <t>ORD005632</t>
  </si>
  <si>
    <t>ORD000195</t>
  </si>
  <si>
    <t>ORD002937</t>
  </si>
  <si>
    <t>ORD004713</t>
  </si>
  <si>
    <t>ORD002550</t>
  </si>
  <si>
    <t>ORD001036</t>
  </si>
  <si>
    <t>ORD002662</t>
  </si>
  <si>
    <t>ORD003117</t>
  </si>
  <si>
    <t>ORD004249</t>
  </si>
  <si>
    <t>ORD003480</t>
  </si>
  <si>
    <t>ORD001790</t>
  </si>
  <si>
    <t>ORD001851</t>
  </si>
  <si>
    <t>ORD005105</t>
  </si>
  <si>
    <t>ORD002955</t>
  </si>
  <si>
    <t>ORD004956</t>
  </si>
  <si>
    <t>ORD001705</t>
  </si>
  <si>
    <t>ORD001689</t>
  </si>
  <si>
    <t>ORD004670</t>
  </si>
  <si>
    <t>ORD002132</t>
  </si>
  <si>
    <t>ORD004179</t>
  </si>
  <si>
    <t>ORD005098</t>
  </si>
  <si>
    <t>ORD000066</t>
  </si>
  <si>
    <t>ORD001690</t>
  </si>
  <si>
    <t>ORD004004</t>
  </si>
  <si>
    <t>ORD003632</t>
  </si>
  <si>
    <t>ORD005729</t>
  </si>
  <si>
    <t>ORD004458</t>
  </si>
  <si>
    <t>ORD003369</t>
  </si>
  <si>
    <t>ORD003679</t>
  </si>
  <si>
    <t>ORD004766</t>
  </si>
  <si>
    <t>ORD000233</t>
  </si>
  <si>
    <t>ORD002913</t>
  </si>
  <si>
    <t>ORD001096</t>
  </si>
  <si>
    <t>ORD000288</t>
  </si>
  <si>
    <t>ORD000042</t>
  </si>
  <si>
    <t>ORD002617</t>
  </si>
  <si>
    <t>ORD002199</t>
  </si>
  <si>
    <t>ORD000529</t>
  </si>
  <si>
    <t>ORD000837</t>
  </si>
  <si>
    <t>ORD005310</t>
  </si>
  <si>
    <t>ORD004103</t>
  </si>
  <si>
    <t>ORD001516</t>
  </si>
  <si>
    <t>ORD005683</t>
  </si>
  <si>
    <t>ORD004167</t>
  </si>
  <si>
    <t>ORD001733</t>
  </si>
  <si>
    <t>ORD002834</t>
  </si>
  <si>
    <t>ORD002007</t>
  </si>
  <si>
    <t>ORD001667</t>
  </si>
  <si>
    <t>ORD000238</t>
  </si>
  <si>
    <t>ORD002375</t>
  </si>
  <si>
    <t>ORD001587</t>
  </si>
  <si>
    <t>ORD001438</t>
  </si>
  <si>
    <t>ORD004343</t>
  </si>
  <si>
    <t>ORD004894</t>
  </si>
  <si>
    <t>ORD005845</t>
  </si>
  <si>
    <t>ORD001752</t>
  </si>
  <si>
    <t>ORD003530</t>
  </si>
  <si>
    <t>ORD002337</t>
  </si>
  <si>
    <t>ORD003381</t>
  </si>
  <si>
    <t>ORD002760</t>
  </si>
  <si>
    <t>ORD005037</t>
  </si>
  <si>
    <t>ORD003746</t>
  </si>
  <si>
    <t>ORD003380</t>
  </si>
  <si>
    <t>ORD005825</t>
  </si>
  <si>
    <t>ORD004208</t>
  </si>
  <si>
    <t>ORD003139</t>
  </si>
  <si>
    <t>ORD000114</t>
  </si>
  <si>
    <t>ORD005631</t>
  </si>
  <si>
    <t>ORD003402</t>
  </si>
  <si>
    <t>ORD000060</t>
  </si>
  <si>
    <t>ORD003889</t>
  </si>
  <si>
    <t>ORD002436</t>
  </si>
  <si>
    <t>ORD001768</t>
  </si>
  <si>
    <t>ORD003670</t>
  </si>
  <si>
    <t>ORD003245</t>
  </si>
  <si>
    <t>ORD004743</t>
  </si>
  <si>
    <t>ORD001404</t>
  </si>
  <si>
    <t>ORD004494</t>
  </si>
  <si>
    <t>ORD005613</t>
  </si>
  <si>
    <t>ORD003790</t>
  </si>
  <si>
    <t>ORD004330</t>
  </si>
  <si>
    <t>ORD000257</t>
  </si>
  <si>
    <t>ORD001503</t>
  </si>
  <si>
    <t>ORD004415</t>
  </si>
  <si>
    <t>ORD005071</t>
  </si>
  <si>
    <t>ORD000834</t>
  </si>
  <si>
    <t>ORD000752</t>
  </si>
  <si>
    <t>ORD001330</t>
  </si>
  <si>
    <t>ORD004572</t>
  </si>
  <si>
    <t>ORD004420</t>
  </si>
  <si>
    <t>ORD003200</t>
  </si>
  <si>
    <t>ORD000838</t>
  </si>
  <si>
    <t>ORD003143</t>
  </si>
  <si>
    <t>ORD004810</t>
  </si>
  <si>
    <t>ORD005601</t>
  </si>
  <si>
    <t>ORD003375</t>
  </si>
  <si>
    <t>ORD000616</t>
  </si>
  <si>
    <t>ORD002104</t>
  </si>
  <si>
    <t>ORD005567</t>
  </si>
  <si>
    <t>ORD005203</t>
  </si>
  <si>
    <t>ORD001389</t>
  </si>
  <si>
    <t>ORD001637</t>
  </si>
  <si>
    <t>ORD004850</t>
  </si>
  <si>
    <t>ORD004537</t>
  </si>
  <si>
    <t>ORD003034</t>
  </si>
  <si>
    <t>ORD004644</t>
  </si>
  <si>
    <t>ORD001869</t>
  </si>
  <si>
    <t>ORD004142</t>
  </si>
  <si>
    <t>ORD000067</t>
  </si>
  <si>
    <t>ORD005254</t>
  </si>
  <si>
    <t>ORD002552</t>
  </si>
  <si>
    <t>ORD005422</t>
  </si>
  <si>
    <t>ORD003535</t>
  </si>
  <si>
    <t>ORD002876</t>
  </si>
  <si>
    <t>ORD002875</t>
  </si>
  <si>
    <t>ORD001728</t>
  </si>
  <si>
    <t>ORD005193</t>
  </si>
  <si>
    <t>ORD004051</t>
  </si>
  <si>
    <t>ORD002744</t>
  </si>
  <si>
    <t>ORD005361</t>
  </si>
  <si>
    <t>ORD005402</t>
  </si>
  <si>
    <t>ORD003486</t>
  </si>
  <si>
    <t>ORD004714</t>
  </si>
  <si>
    <t>ORD004589</t>
  </si>
  <si>
    <t>ORD000088</t>
  </si>
  <si>
    <t>ORD001468</t>
  </si>
  <si>
    <t>ORD005502</t>
  </si>
  <si>
    <t>ORD005753</t>
  </si>
  <si>
    <t>ORD000368</t>
  </si>
  <si>
    <t>ORD003454</t>
  </si>
  <si>
    <t>ORD002624</t>
  </si>
  <si>
    <t>ORD000602</t>
  </si>
  <si>
    <t>ORD004322</t>
  </si>
  <si>
    <t>ORD002042</t>
  </si>
  <si>
    <t>ORD003406</t>
  </si>
  <si>
    <t>ORD004506</t>
  </si>
  <si>
    <t>ORD001273</t>
  </si>
  <si>
    <t>ORD000856</t>
  </si>
  <si>
    <t>ORD000345</t>
  </si>
  <si>
    <t>ORD004966</t>
  </si>
  <si>
    <t>ORD002332</t>
  </si>
  <si>
    <t>ORD001465</t>
  </si>
  <si>
    <t>ORD003140</t>
  </si>
  <si>
    <t>ORD000168</t>
  </si>
  <si>
    <t>ORD002787</t>
  </si>
  <si>
    <t>ORD005280</t>
  </si>
  <si>
    <t>ORD003509</t>
  </si>
  <si>
    <t>ORD004091</t>
  </si>
  <si>
    <t>ORD002299</t>
  </si>
  <si>
    <t>ORD000309</t>
  </si>
  <si>
    <t>ORD001935</t>
  </si>
  <si>
    <t>ORD005366</t>
  </si>
  <si>
    <t>ORD005856</t>
  </si>
  <si>
    <t>ORD000731</t>
  </si>
  <si>
    <t>ORD004793</t>
  </si>
  <si>
    <t>ORD004384</t>
  </si>
  <si>
    <t>ORD002528</t>
  </si>
  <si>
    <t>ORD003464</t>
  </si>
  <si>
    <t>ORD000770</t>
  </si>
  <si>
    <t>ORD002264</t>
  </si>
  <si>
    <t>ORD000894</t>
  </si>
  <si>
    <t>ORD000978</t>
  </si>
  <si>
    <t>ORD002615</t>
  </si>
  <si>
    <t>ORD005679</t>
  </si>
  <si>
    <t>ORD002023</t>
  </si>
  <si>
    <t>ORD003425</t>
  </si>
  <si>
    <t>ORD001260</t>
  </si>
  <si>
    <t>ORD000292</t>
  </si>
  <si>
    <t>ORD004556</t>
  </si>
  <si>
    <t>ORD003014</t>
  </si>
  <si>
    <t>ORD001730</t>
  </si>
  <si>
    <t>ORD004096</t>
  </si>
  <si>
    <t>ORD003707</t>
  </si>
  <si>
    <t>ORD003366</t>
  </si>
  <si>
    <t>ORD001251</t>
  </si>
  <si>
    <t>ORD000542</t>
  </si>
  <si>
    <t>ORD004585</t>
  </si>
  <si>
    <t>ORD000642</t>
  </si>
  <si>
    <t>ORD002172</t>
  </si>
  <si>
    <t>ORD003810</t>
  </si>
  <si>
    <t>ORD000217</t>
  </si>
  <si>
    <t>ORD000720</t>
  </si>
  <si>
    <t>ORD005697</t>
  </si>
  <si>
    <t>ORD000387</t>
  </si>
  <si>
    <t>ORD005252</t>
  </si>
  <si>
    <t>ORD002739</t>
  </si>
  <si>
    <t>ORD000634</t>
  </si>
  <si>
    <t>ORD000174</t>
  </si>
  <si>
    <t>ORD003397</t>
  </si>
  <si>
    <t>ORD000390</t>
  </si>
  <si>
    <t>ORD005030</t>
  </si>
  <si>
    <t>ORD005731</t>
  </si>
  <si>
    <t>ORD002135</t>
  </si>
  <si>
    <t>ORD000401</t>
  </si>
  <si>
    <t>ORD002475</t>
  </si>
  <si>
    <t>ORD001028</t>
  </si>
  <si>
    <t>ORD003472</t>
  </si>
  <si>
    <t>ORD004113</t>
  </si>
  <si>
    <t>ORD001698</t>
  </si>
  <si>
    <t>ORD003637</t>
  </si>
  <si>
    <t>ORD004554</t>
  </si>
  <si>
    <t>ORD000357</t>
  </si>
  <si>
    <t>ORD004682</t>
  </si>
  <si>
    <t>ORD001313</t>
  </si>
  <si>
    <t>ORD002946</t>
  </si>
  <si>
    <t>ORD003494</t>
  </si>
  <si>
    <t>ORD001051</t>
  </si>
  <si>
    <t>ORD003097</t>
  </si>
  <si>
    <t>ORD005430</t>
  </si>
  <si>
    <t>ORD004441</t>
  </si>
  <si>
    <t>ORD003546</t>
  </si>
  <si>
    <t>ORD002295</t>
  </si>
  <si>
    <t>ORD000201</t>
  </si>
  <si>
    <t>ORD004608</t>
  </si>
  <si>
    <t>ORD005213</t>
  </si>
  <si>
    <t>ORD001487</t>
  </si>
  <si>
    <t>ORD002398</t>
  </si>
  <si>
    <t>ORD005997</t>
  </si>
  <si>
    <t>ORD001432</t>
  </si>
  <si>
    <t>ORD002203</t>
  </si>
  <si>
    <t>ORD001866</t>
  </si>
  <si>
    <t>ORD005373</t>
  </si>
  <si>
    <t>ORD005987</t>
  </si>
  <si>
    <t>ORD002252</t>
  </si>
  <si>
    <t>ORD001612</t>
  </si>
  <si>
    <t>ORD002649</t>
  </si>
  <si>
    <t>ORD002503</t>
  </si>
  <si>
    <t>ORD000373</t>
  </si>
  <si>
    <t>ORD000807</t>
  </si>
  <si>
    <t>ORD004703</t>
  </si>
  <si>
    <t>ORD002729</t>
  </si>
  <si>
    <t>ORD003621</t>
  </si>
  <si>
    <t>ORD004902</t>
  </si>
  <si>
    <t>ORD000601</t>
  </si>
  <si>
    <t>ORD001675</t>
  </si>
  <si>
    <t>ORD003855</t>
  </si>
  <si>
    <t>ORD004530</t>
  </si>
  <si>
    <t>ORD003440</t>
  </si>
  <si>
    <t>ORD001617</t>
  </si>
  <si>
    <t>ORD005054</t>
  </si>
  <si>
    <t>ORD004811</t>
  </si>
  <si>
    <t>ORD004844</t>
  </si>
  <si>
    <t>ORD001004</t>
  </si>
  <si>
    <t>ORD004562</t>
  </si>
  <si>
    <t>ORD003851</t>
  </si>
  <si>
    <t>ORD004609</t>
  </si>
  <si>
    <t>ORD005918</t>
  </si>
  <si>
    <t>ORD000395</t>
  </si>
  <si>
    <t>ORD000696</t>
  </si>
  <si>
    <t>ORD003356</t>
  </si>
  <si>
    <t>ORD004535</t>
  </si>
  <si>
    <t>ORD001873</t>
  </si>
  <si>
    <t>ORD005482</t>
  </si>
  <si>
    <t>ORD003019</t>
  </si>
  <si>
    <t>ORD003362</t>
  </si>
  <si>
    <t>ORD003426</t>
  </si>
  <si>
    <t>ORD001408</t>
  </si>
  <si>
    <t>ORD004856</t>
  </si>
  <si>
    <t>ORD003060</t>
  </si>
  <si>
    <t>ORD004708</t>
  </si>
  <si>
    <t>ORD002862</t>
  </si>
  <si>
    <t>ORD005654</t>
  </si>
  <si>
    <t>ORD005589</t>
  </si>
  <si>
    <t>ORD005176</t>
  </si>
  <si>
    <t>ORD004298</t>
  </si>
  <si>
    <t>ORD003796</t>
  </si>
  <si>
    <t>ORD003583</t>
  </si>
  <si>
    <t>ORD003153</t>
  </si>
  <si>
    <t>ORD003992</t>
  </si>
  <si>
    <t>ORD003360</t>
  </si>
  <si>
    <t>ORD001974</t>
  </si>
  <si>
    <t>ORD001985</t>
  </si>
  <si>
    <t>ORD004400</t>
  </si>
  <si>
    <t>ORD001713</t>
  </si>
  <si>
    <t>ORD003388</t>
  </si>
  <si>
    <t>ORD001693</t>
  </si>
  <si>
    <t>ORD003144</t>
  </si>
  <si>
    <t>ORD003029</t>
  </si>
  <si>
    <t>ORD003028</t>
  </si>
  <si>
    <t>ORD005185</t>
  </si>
  <si>
    <t>ORD004234</t>
  </si>
  <si>
    <t>ORD000037</t>
  </si>
  <si>
    <t>ORD005009</t>
  </si>
  <si>
    <t>ORD005626</t>
  </si>
  <si>
    <t>ORD000366</t>
  </si>
  <si>
    <t>ORD000285</t>
  </si>
  <si>
    <t>ORD005317</t>
  </si>
  <si>
    <t>ORD001982</t>
  </si>
  <si>
    <t>ORD002304</t>
  </si>
  <si>
    <t>ORD000569</t>
  </si>
  <si>
    <t>ORD000346</t>
  </si>
  <si>
    <t>ORD005136</t>
  </si>
  <si>
    <t>ORD005038</t>
  </si>
  <si>
    <t>ORD002166</t>
  </si>
  <si>
    <t>ORD001423</t>
  </si>
  <si>
    <t>ORD002017</t>
  </si>
  <si>
    <t>ORD000918</t>
  </si>
  <si>
    <t>ORD003619</t>
  </si>
  <si>
    <t>ORD003569</t>
  </si>
  <si>
    <t>ORD002261</t>
  </si>
  <si>
    <t>ORD005405</t>
  </si>
  <si>
    <t>ORD002321</t>
  </si>
  <si>
    <t>ORD004618</t>
  </si>
  <si>
    <t>ORD004821</t>
  </si>
  <si>
    <t>ORD003705</t>
  </si>
  <si>
    <t>ORD005880</t>
  </si>
  <si>
    <t>ORD002507</t>
  </si>
  <si>
    <t>ORD003798</t>
  </si>
  <si>
    <t>ORD001515</t>
  </si>
  <si>
    <t>ORD005129</t>
  </si>
  <si>
    <t>ORD003526</t>
  </si>
  <si>
    <t>ORD003331</t>
  </si>
  <si>
    <t>ORD001824</t>
  </si>
  <si>
    <t>ORD001186</t>
  </si>
  <si>
    <t>ORD002737</t>
  </si>
  <si>
    <t>ORD005303</t>
  </si>
  <si>
    <t>ORD004424</t>
  </si>
  <si>
    <t>ORD004230</t>
  </si>
  <si>
    <t>ORD001568</t>
  </si>
  <si>
    <t>ORD000175</t>
  </si>
  <si>
    <t>ORD005158</t>
  </si>
  <si>
    <t>ORD002469</t>
  </si>
  <si>
    <t>ORD001996</t>
  </si>
  <si>
    <t>ORD001533</t>
  </si>
  <si>
    <t>ORD002488</t>
  </si>
  <si>
    <t>ORD004841</t>
  </si>
  <si>
    <t>ORD001640</t>
  </si>
  <si>
    <t>ORD002508</t>
  </si>
  <si>
    <t>ORD004131</t>
  </si>
  <si>
    <t>ORD000543</t>
  </si>
  <si>
    <t>ORD001565</t>
  </si>
  <si>
    <t>ORD002305</t>
  </si>
  <si>
    <t>ORD002419</t>
  </si>
  <si>
    <t>ORD000081</t>
  </si>
  <si>
    <t>ORD004075</t>
  </si>
  <si>
    <t>ORD005973</t>
  </si>
  <si>
    <t>ORD003696</t>
  </si>
  <si>
    <t>ORD005835</t>
  </si>
  <si>
    <t>ORD002494</t>
  </si>
  <si>
    <t>ORD003471</t>
  </si>
  <si>
    <t>ORD005034</t>
  </si>
  <si>
    <t>ORD002021</t>
  </si>
  <si>
    <t>ORD002982</t>
  </si>
  <si>
    <t>ORD001682</t>
  </si>
  <si>
    <t>ORD001263</t>
  </si>
  <si>
    <t>ORD004087</t>
  </si>
  <si>
    <t>ORD005131</t>
  </si>
  <si>
    <t>ORD003699</t>
  </si>
  <si>
    <t>ORD003544</t>
  </si>
  <si>
    <t>ORD005949</t>
  </si>
  <si>
    <t>ORD001961</t>
  </si>
  <si>
    <t>ORD001047</t>
  </si>
  <si>
    <t>ORD002595</t>
  </si>
  <si>
    <t>ORD003216</t>
  </si>
  <si>
    <t>ORD005761</t>
  </si>
  <si>
    <t>ORD003963</t>
  </si>
  <si>
    <t>ORD000282</t>
  </si>
  <si>
    <t>ORD000071</t>
  </si>
  <si>
    <t>ORD001360</t>
  </si>
  <si>
    <t>ORD001655</t>
  </si>
  <si>
    <t>ORD003390</t>
  </si>
  <si>
    <t>ORD002758</t>
  </si>
  <si>
    <t>ORD000963</t>
  </si>
  <si>
    <t>ORD002384</t>
  </si>
  <si>
    <t>ORD001518</t>
  </si>
  <si>
    <t>ORD001656</t>
  </si>
  <si>
    <t>ORD005309</t>
  </si>
  <si>
    <t>ORD002589</t>
  </si>
  <si>
    <t>ORD005306</t>
  </si>
  <si>
    <t>ORD005864</t>
  </si>
  <si>
    <t>ORD002933</t>
  </si>
  <si>
    <t>ORD003959</t>
  </si>
  <si>
    <t>ORD001006</t>
  </si>
  <si>
    <t>ORD005050</t>
  </si>
  <si>
    <t>ORD003940</t>
  </si>
  <si>
    <t>ORD005278</t>
  </si>
  <si>
    <t>ORD003733</t>
  </si>
  <si>
    <t>ORD005239</t>
  </si>
  <si>
    <t>ORD001787</t>
  </si>
  <si>
    <t>ORD004467</t>
  </si>
  <si>
    <t>ORD002458</t>
  </si>
  <si>
    <t>ORD001711</t>
  </si>
  <si>
    <t>ORD000218</t>
  </si>
  <si>
    <t>ORD001556</t>
  </si>
  <si>
    <t>ORD000048</t>
  </si>
  <si>
    <t>ORD005095</t>
  </si>
  <si>
    <t>ORD004242</t>
  </si>
  <si>
    <t>ORD003662</t>
  </si>
  <si>
    <t>ORD003379</t>
  </si>
  <si>
    <t>ORD003106</t>
  </si>
  <si>
    <t>ORD005332</t>
  </si>
  <si>
    <t>ORD001349</t>
  </si>
  <si>
    <t>ORD003817</t>
  </si>
  <si>
    <t>ORD004672</t>
  </si>
  <si>
    <t>ORD000059</t>
  </si>
  <si>
    <t>ORD001939</t>
  </si>
  <si>
    <t>ORD003557</t>
  </si>
  <si>
    <t>ORD000147</t>
  </si>
  <si>
    <t>ORD003296</t>
  </si>
  <si>
    <t>ORD004180</t>
  </si>
  <si>
    <t>ORD005122</t>
  </si>
  <si>
    <t>ORD000244</t>
  </si>
  <si>
    <t>ORD003597</t>
  </si>
  <si>
    <t>ORD004744</t>
  </si>
  <si>
    <t>ORD002292</t>
  </si>
  <si>
    <t>ORD004508</t>
  </si>
  <si>
    <t>ORD005848</t>
  </si>
  <si>
    <t>ORD001077</t>
  </si>
  <si>
    <t>ORD004867</t>
  </si>
  <si>
    <t>ORD003411</t>
  </si>
  <si>
    <t>ORD004971</t>
  </si>
  <si>
    <t>ORD003357</t>
  </si>
  <si>
    <t>ORD000182</t>
  </si>
  <si>
    <t>ORD000795</t>
  </si>
  <si>
    <t>ORD005642</t>
  </si>
  <si>
    <t>ORD003341</t>
  </si>
  <si>
    <t>ORD002939</t>
  </si>
  <si>
    <t>ORD003969</t>
  </si>
  <si>
    <t>ORD001132</t>
  </si>
  <si>
    <t>ORD000520</t>
  </si>
  <si>
    <t>ORD005476</t>
  </si>
  <si>
    <t>ORD003527</t>
  </si>
  <si>
    <t>ORD001106</t>
  </si>
  <si>
    <t>ORD004213</t>
  </si>
  <si>
    <t>ORD000786</t>
  </si>
  <si>
    <t>ORD002136</t>
  </si>
  <si>
    <t>ORD000212</t>
  </si>
  <si>
    <t>ORD004462</t>
  </si>
  <si>
    <t>ORD004451</t>
  </si>
  <si>
    <t>ORD000667</t>
  </si>
  <si>
    <t>ORD004842</t>
  </si>
  <si>
    <t>ORD003264</t>
  </si>
  <si>
    <t>ORD001482</t>
  </si>
  <si>
    <t>ORD002054</t>
  </si>
  <si>
    <t>ORD002474</t>
  </si>
  <si>
    <t>ORD004834</t>
  </si>
  <si>
    <t>ORD002360</t>
  </si>
  <si>
    <t>ORD001811</t>
  </si>
  <si>
    <t>ORD004528</t>
  </si>
  <si>
    <t>ORD004965</t>
  </si>
  <si>
    <t>ORD005533</t>
  </si>
  <si>
    <t>ORD000117</t>
  </si>
  <si>
    <t>ORD001868</t>
  </si>
  <si>
    <t>ORD002509</t>
  </si>
  <si>
    <t>ORD004555</t>
  </si>
  <si>
    <t>ORD000621</t>
  </si>
  <si>
    <t>ORD005621</t>
  </si>
  <si>
    <t>ORD000992</t>
  </si>
  <si>
    <t>ORD004869</t>
  </si>
  <si>
    <t>ORD003026</t>
  </si>
  <si>
    <t>ORD004859</t>
  </si>
  <si>
    <t>ORD004730</t>
  </si>
  <si>
    <t>ORD000712</t>
  </si>
  <si>
    <t>ORD002453</t>
  </si>
  <si>
    <t>ORD001477</t>
  </si>
  <si>
    <t>ORD000379</t>
  </si>
  <si>
    <t>ORD005718</t>
  </si>
  <si>
    <t>ORD002921</t>
  </si>
  <si>
    <t>ORD000420</t>
  </si>
  <si>
    <t>ORD005000</t>
  </si>
  <si>
    <t>ORD002026</t>
  </si>
  <si>
    <t>ORD000584</t>
  </si>
  <si>
    <t>ORD005495</t>
  </si>
  <si>
    <t>ORD002493</t>
  </si>
  <si>
    <t>ORD005940</t>
  </si>
  <si>
    <t>ORD001945</t>
  </si>
  <si>
    <t>ORD002858</t>
  </si>
  <si>
    <t>ORD002738</t>
  </si>
  <si>
    <t>ORD000758</t>
  </si>
  <si>
    <t>ORD000986</t>
  </si>
  <si>
    <t>ORD002801</t>
  </si>
  <si>
    <t>ORD001552</t>
  </si>
  <si>
    <t>ORD005259</t>
  </si>
  <si>
    <t>ORD001654</t>
  </si>
  <si>
    <t>ORD000307</t>
  </si>
  <si>
    <t>ORD000482</t>
  </si>
  <si>
    <t>ORD002838</t>
  </si>
  <si>
    <t>ORD005021</t>
  </si>
  <si>
    <t>ORD005270</t>
  </si>
  <si>
    <t>ORD005846</t>
  </si>
  <si>
    <t>ORD002900</t>
  </si>
  <si>
    <t>ORD001044</t>
  </si>
  <si>
    <t>ORD000652</t>
  </si>
  <si>
    <t>ORD005503</t>
  </si>
  <si>
    <t>ORD000813</t>
  </si>
  <si>
    <t>ORD001965</t>
  </si>
  <si>
    <t>ORD001530</t>
  </si>
  <si>
    <t>ORD004761</t>
  </si>
  <si>
    <t>ORD001075</t>
  </si>
  <si>
    <t>ORD003148</t>
  </si>
  <si>
    <t>ORD003802</t>
  </si>
  <si>
    <t>ORD000609</t>
  </si>
  <si>
    <t>ORD004265</t>
  </si>
  <si>
    <t>ORD003911</t>
  </si>
  <si>
    <t>ORD002960</t>
  </si>
  <si>
    <t>ORD002089</t>
  </si>
  <si>
    <t>ORD005396</t>
  </si>
  <si>
    <t>ORD000040</t>
  </si>
  <si>
    <t>ORD002799</t>
  </si>
  <si>
    <t>ORD004122</t>
  </si>
  <si>
    <t>ORD001780</t>
  </si>
  <si>
    <t>ORD001944</t>
  </si>
  <si>
    <t>ORD004984</t>
  </si>
  <si>
    <t>ORD001627</t>
  </si>
  <si>
    <t>ORD004885</t>
  </si>
  <si>
    <t>ORD003984</t>
  </si>
  <si>
    <t>ORD001771</t>
  </si>
  <si>
    <t>ORD002866</t>
  </si>
  <si>
    <t>ORD005558</t>
  </si>
  <si>
    <t>ORD000510</t>
  </si>
  <si>
    <t>ORD003419</t>
  </si>
  <si>
    <t>ORD002425</t>
  </si>
  <si>
    <t>ORD002463</t>
  </si>
  <si>
    <t>ORD002223</t>
  </si>
  <si>
    <t>ORD003312</t>
  </si>
  <si>
    <t>ORD002374</t>
  </si>
  <si>
    <t>ORD003803</t>
  </si>
  <si>
    <t>ORD004933</t>
  </si>
  <si>
    <t>ORD005749</t>
  </si>
  <si>
    <t>ORD003644</t>
  </si>
  <si>
    <t>ORD001571</t>
  </si>
  <si>
    <t>ORD000716</t>
  </si>
  <si>
    <t>ORD003212</t>
  </si>
  <si>
    <t>ORD000415</t>
  </si>
  <si>
    <t>ORD001437</t>
  </si>
  <si>
    <t>ORD002994</t>
  </si>
  <si>
    <t>ORD002163</t>
  </si>
  <si>
    <t>ORD003128</t>
  </si>
  <si>
    <t>ORD001828</t>
  </si>
  <si>
    <t>ORD005724</t>
  </si>
  <si>
    <t>ORD000790</t>
  </si>
  <si>
    <t>ORD001377</t>
  </si>
  <si>
    <t>ORD005556</t>
  </si>
  <si>
    <t>ORD005083</t>
  </si>
  <si>
    <t>ORD003354</t>
  </si>
  <si>
    <t>ORD000891</t>
  </si>
  <si>
    <t>ORD000170</t>
  </si>
  <si>
    <t>ORD002546</t>
  </si>
  <si>
    <t>ORD005234</t>
  </si>
  <si>
    <t>ORD003935</t>
  </si>
  <si>
    <t>ORD001357</t>
  </si>
  <si>
    <t>ORD002852</t>
  </si>
  <si>
    <t>ORD003116</t>
  </si>
  <si>
    <t>ORD002573</t>
  </si>
  <si>
    <t>ORD003088</t>
  </si>
  <si>
    <t>ORD005152</t>
  </si>
  <si>
    <t>ORD002574</t>
  </si>
  <si>
    <t>ORD002519</t>
  </si>
  <si>
    <t>ORD001433</t>
  </si>
  <si>
    <t>ORD002386</t>
  </si>
  <si>
    <t>ORD000567</t>
  </si>
  <si>
    <t>ORD004138</t>
  </si>
  <si>
    <t>ORD004808</t>
  </si>
  <si>
    <t>ORD003252</t>
  </si>
  <si>
    <t>ORD003222</t>
  </si>
  <si>
    <t>ORD003072</t>
  </si>
  <si>
    <t>ORD005700</t>
  </si>
  <si>
    <t>ORD002674</t>
  </si>
  <si>
    <t>ORD004149</t>
  </si>
  <si>
    <t>ORD002303</t>
  </si>
  <si>
    <t>ORD003601</t>
  </si>
  <si>
    <t>ORD003742</t>
  </si>
  <si>
    <t>ORD003820</t>
  </si>
  <si>
    <t>ORD002114</t>
  </si>
  <si>
    <t>ORD005404</t>
  </si>
  <si>
    <t>ORD002025</t>
  </si>
  <si>
    <t>ORD005802</t>
  </si>
  <si>
    <t>ORD000284</t>
  </si>
  <si>
    <t>ORD000592</t>
  </si>
  <si>
    <t>ORD001274</t>
  </si>
  <si>
    <t>ORD004928</t>
  </si>
  <si>
    <t>ORD003111</t>
  </si>
  <si>
    <t>ORD003403</t>
  </si>
  <si>
    <t>ORD005535</t>
  </si>
  <si>
    <t>ORD004798</t>
  </si>
  <si>
    <t>ORD001142</t>
  </si>
  <si>
    <t>ORD003841</t>
  </si>
  <si>
    <t>ORD003484</t>
  </si>
  <si>
    <t>ORD003950</t>
  </si>
  <si>
    <t>ORD001715</t>
  </si>
  <si>
    <t>ORD000633</t>
  </si>
  <si>
    <t>ORD001891</t>
  </si>
  <si>
    <t>ORD005343</t>
  </si>
  <si>
    <t>ORD005794</t>
  </si>
  <si>
    <t>ORD005530</t>
  </si>
  <si>
    <t>ORD000553</t>
  </si>
  <si>
    <t>ORD005773</t>
  </si>
  <si>
    <t>ORD004294</t>
  </si>
  <si>
    <t>ORD005771</t>
  </si>
  <si>
    <t>ORD004084</t>
  </si>
  <si>
    <t>ORD005312</t>
  </si>
  <si>
    <t>ORD004037</t>
  </si>
  <si>
    <t>ORD001877</t>
  </si>
  <si>
    <t>ORD003654</t>
  </si>
  <si>
    <t>ORD001619</t>
  </si>
  <si>
    <t>ORD003214</t>
  </si>
  <si>
    <t>ORD005277</t>
  </si>
  <si>
    <t>ORD003348</t>
  </si>
  <si>
    <t>ORD005869</t>
  </si>
  <si>
    <t>ORD001630</t>
  </si>
  <si>
    <t>ORD004483</t>
  </si>
  <si>
    <t>ORD002621</t>
  </si>
  <si>
    <t>ORD003094</t>
  </si>
  <si>
    <t>ORD002035</t>
  </si>
  <si>
    <t>ORD005196</t>
  </si>
  <si>
    <t>ORD000493</t>
  </si>
  <si>
    <t>ORD001418</t>
  </si>
  <si>
    <t>ORD002745</t>
  </si>
  <si>
    <t>ORD004437</t>
  </si>
  <si>
    <t>ORD002984</t>
  </si>
  <si>
    <t>ORD004262</t>
  </si>
  <si>
    <t>ORD002051</t>
  </si>
  <si>
    <t>ORD001211</t>
  </si>
  <si>
    <t>ORD004518</t>
  </si>
  <si>
    <t>ORD003451</t>
  </si>
  <si>
    <t>ORD000155</t>
  </si>
  <si>
    <t>ORD002391</t>
  </si>
  <si>
    <t>ORD004475</t>
  </si>
  <si>
    <t>ORD005434</t>
  </si>
  <si>
    <t>ORD002173</t>
  </si>
  <si>
    <t>ORD001052</t>
  </si>
  <si>
    <t>ORD005622</t>
  </si>
  <si>
    <t>ORD004638</t>
  </si>
  <si>
    <t>ORD005214</t>
  </si>
  <si>
    <t>ORD005435</t>
  </si>
  <si>
    <t>ORD005838</t>
  </si>
  <si>
    <t>ORD003967</t>
  </si>
  <si>
    <t>ORD002460</t>
  </si>
  <si>
    <t>ORD001574</t>
  </si>
  <si>
    <t>ORD001597</t>
  </si>
  <si>
    <t>ORD005229</t>
  </si>
  <si>
    <t>ORD002886</t>
  </si>
  <si>
    <t>ORD004346</t>
  </si>
  <si>
    <t>ORD002581</t>
  </si>
  <si>
    <t>ORD003563</t>
  </si>
  <si>
    <t>ORD004440</t>
  </si>
  <si>
    <t>ORD000466</t>
  </si>
  <si>
    <t>ORD004057</t>
  </si>
  <si>
    <t>ORD004119</t>
  </si>
  <si>
    <t>ORD003830</t>
  </si>
  <si>
    <t>ORD000052</t>
  </si>
  <si>
    <t>ORD003859</t>
  </si>
  <si>
    <t>ORD002893</t>
  </si>
  <si>
    <t>ORD004900</t>
  </si>
  <si>
    <t>ORD005115</t>
  </si>
  <si>
    <t>ORD001187</t>
  </si>
  <si>
    <t>ORD003047</t>
  </si>
  <si>
    <t>ORD002558</t>
  </si>
  <si>
    <t>ORD001141</t>
  </si>
  <si>
    <t>ORD002618</t>
  </si>
  <si>
    <t>ORD004927</t>
  </si>
  <si>
    <t>ORD004449</t>
  </si>
  <si>
    <t>ORD003873</t>
  </si>
  <si>
    <t>ORD000164</t>
  </si>
  <si>
    <t>ORD003753</t>
  </si>
  <si>
    <t>ORD004104</t>
  </si>
  <si>
    <t>ORD003966</t>
  </si>
  <si>
    <t>ORD004639</t>
  </si>
  <si>
    <t>ORD005004</t>
  </si>
  <si>
    <t>ORD000514</t>
  </si>
  <si>
    <t>ORD000248</t>
  </si>
  <si>
    <t>ORD002679</t>
  </si>
  <si>
    <t>ORD000236</t>
  </si>
  <si>
    <t>ORD004628</t>
  </si>
  <si>
    <t>ORD000950</t>
  </si>
  <si>
    <t>ORD002587</t>
  </si>
  <si>
    <t>ORD001871</t>
  </si>
  <si>
    <t>ORD005498</t>
  </si>
  <si>
    <t>ORD003267</t>
  </si>
  <si>
    <t>ORD004944</t>
  </si>
  <si>
    <t>ORD005730</t>
  </si>
  <si>
    <t>ORD002812</t>
  </si>
  <si>
    <t>ORD001109</t>
  </si>
  <si>
    <t>ORD001247</t>
  </si>
  <si>
    <t>ORD002920</t>
  </si>
  <si>
    <t>ORD003459</t>
  </si>
  <si>
    <t>ORD002583</t>
  </si>
  <si>
    <t>ORD001543</t>
  </si>
  <si>
    <t>ORD003270</t>
  </si>
  <si>
    <t>ORD001785</t>
  </si>
  <si>
    <t>ORD000889</t>
  </si>
  <si>
    <t>ORD005112</t>
  </si>
  <si>
    <t>ORD002455</t>
  </si>
  <si>
    <t>ORD001133</t>
  </si>
  <si>
    <t>ORD002934</t>
  </si>
  <si>
    <t>ORD003806</t>
  </si>
  <si>
    <t>ORD003894</t>
  </si>
  <si>
    <t>ORD002190</t>
  </si>
  <si>
    <t>ORD001757</t>
  </si>
  <si>
    <t>ORD001091</t>
  </si>
  <si>
    <t>ORD002721</t>
  </si>
  <si>
    <t>ORD002980</t>
  </si>
  <si>
    <t>ORD005394</t>
  </si>
  <si>
    <t>ORD002232</t>
  </si>
  <si>
    <t>ORD000611</t>
  </si>
  <si>
    <t>ORD002929</t>
  </si>
  <si>
    <t>ORD003162</t>
  </si>
  <si>
    <t>ORD004895</t>
  </si>
  <si>
    <t>ORD002367</t>
  </si>
  <si>
    <t>ORD003835</t>
  </si>
  <si>
    <t>ORD001215</t>
  </si>
  <si>
    <t>ORD002410</t>
  </si>
  <si>
    <t>ORD001076</t>
  </si>
  <si>
    <t>ORD005884</t>
  </si>
  <si>
    <t>ORD000095</t>
  </si>
  <si>
    <t>ORD005707</t>
  </si>
  <si>
    <t>ORD004430</t>
  </si>
  <si>
    <t>ORD005599</t>
  </si>
  <si>
    <t>ORD002717</t>
  </si>
  <si>
    <t>ORD000509</t>
  </si>
  <si>
    <t>ORD000332</t>
  </si>
  <si>
    <t>ORD000448</t>
  </si>
  <si>
    <t>ORD005967</t>
  </si>
  <si>
    <t>ORD001045</t>
  </si>
  <si>
    <t>ORD003923</t>
  </si>
  <si>
    <t>ORD002293</t>
  </si>
  <si>
    <t>ORD000654</t>
  </si>
  <si>
    <t>ORD004443</t>
  </si>
  <si>
    <t>ORD004223</t>
  </si>
  <si>
    <t>ORD002896</t>
  </si>
  <si>
    <t>ORD003513</t>
  </si>
  <si>
    <t>ORD003954</t>
  </si>
  <si>
    <t>ORD001019</t>
  </si>
  <si>
    <t>ORD005905</t>
  </si>
  <si>
    <t>ORD001359</t>
  </si>
  <si>
    <t>ORD001521</t>
  </si>
  <si>
    <t>ORD002599</t>
  </si>
  <si>
    <t>ORD000484</t>
  </si>
  <si>
    <t>ORD003789</t>
  </si>
  <si>
    <t>ORD003672</t>
  </si>
  <si>
    <t>ORD000263</t>
  </si>
  <si>
    <t>ORD003921</t>
  </si>
  <si>
    <t>ORD004615</t>
  </si>
  <si>
    <t>ORD002869</t>
  </si>
  <si>
    <t>ORD002520</t>
  </si>
  <si>
    <t>ORD000944</t>
  </si>
  <si>
    <t>ORD000451</t>
  </si>
  <si>
    <t>ORD004153</t>
  </si>
  <si>
    <t>ORD001356</t>
  </si>
  <si>
    <t>ORD001925</t>
  </si>
  <si>
    <t>ORD001312</t>
  </si>
  <si>
    <t>ORD003579</t>
  </si>
  <si>
    <t>ORD005103</t>
  </si>
  <si>
    <t>ORD004490</t>
  </si>
  <si>
    <t>ORD003555</t>
  </si>
  <si>
    <t>ORD005908</t>
  </si>
  <si>
    <t>ORD004874</t>
  </si>
  <si>
    <t>ORD000676</t>
  </si>
  <si>
    <t>ORD000824</t>
  </si>
  <si>
    <t>ORD002924</t>
  </si>
  <si>
    <t>ORD001444</t>
  </si>
  <si>
    <t>ORD005172</t>
  </si>
  <si>
    <t>ORD003455</t>
  </si>
  <si>
    <t>ORD001171</t>
  </si>
  <si>
    <t>ORD005267</t>
  </si>
  <si>
    <t>ORD000480</t>
  </si>
  <si>
    <t>ORD005265</t>
  </si>
  <si>
    <t>ORD000561</t>
  </si>
  <si>
    <t>ORD002912</t>
  </si>
  <si>
    <t>ORD002821</t>
  </si>
  <si>
    <t>ORD001213</t>
  </si>
  <si>
    <t>ORD004060</t>
  </si>
  <si>
    <t>ORD003154</t>
  </si>
  <si>
    <t>ORD002231</t>
  </si>
  <si>
    <t>ORD000842</t>
  </si>
  <si>
    <t>ORD001570</t>
  </si>
  <si>
    <t>ORD002672</t>
  </si>
  <si>
    <t>ORD000246</t>
  </si>
  <si>
    <t>ORD004137</t>
  </si>
  <si>
    <t>ORD004321</t>
  </si>
  <si>
    <t>ORD002344</t>
  </si>
  <si>
    <t>ORD000663</t>
  </si>
  <si>
    <t>ORD001015</t>
  </si>
  <si>
    <t>ORD003703</t>
  </si>
  <si>
    <t>ORD000286</t>
  </si>
  <si>
    <t>ORD003265</t>
  </si>
  <si>
    <t>ORD002407</t>
  </si>
  <si>
    <t>ORD001990</t>
  </si>
  <si>
    <t>ORD004201</t>
  </si>
  <si>
    <t>ORD004331</t>
  </si>
  <si>
    <t>ORD002743</t>
  </si>
  <si>
    <t>ORD002242</t>
  </si>
  <si>
    <t>ORD003609</t>
  </si>
  <si>
    <t>ORD001056</t>
  </si>
  <si>
    <t>ORD000454</t>
  </si>
  <si>
    <t>ORD003205</t>
  </si>
  <si>
    <t>ORD005432</t>
  </si>
  <si>
    <t>ORD001941</t>
  </si>
  <si>
    <t>ORD002682</t>
  </si>
  <si>
    <t>ORD003877</t>
  </si>
  <si>
    <t>ORD001214</t>
  </si>
  <si>
    <t>ORD005678</t>
  </si>
  <si>
    <t>ORD001542</t>
  </si>
  <si>
    <t>ORD000951</t>
  </si>
  <si>
    <t>ORD001583</t>
  </si>
  <si>
    <t>ORD004186</t>
  </si>
  <si>
    <t>ORD003693</t>
  </si>
  <si>
    <t>ORD003916</t>
  </si>
  <si>
    <t>ORD001311</t>
  </si>
  <si>
    <t>ORD005809</t>
  </si>
  <si>
    <t>ORD005694</t>
  </si>
  <si>
    <t>ORD003638</t>
  </si>
  <si>
    <t>ORD000691</t>
  </si>
  <si>
    <t>ORD004964</t>
  </si>
  <si>
    <t>ORD004499</t>
  </si>
  <si>
    <t>ORD005779</t>
  </si>
  <si>
    <t>ORD005671</t>
  </si>
  <si>
    <t>ORD005099</t>
  </si>
  <si>
    <t>ORD004018</t>
  </si>
  <si>
    <t>ORD002850</t>
  </si>
  <si>
    <t>ORD000544</t>
  </si>
  <si>
    <t>ORD003752</t>
  </si>
  <si>
    <t>ORD003256</t>
  </si>
  <si>
    <t>ORD003788</t>
  </si>
  <si>
    <t>ORD004500</t>
  </si>
  <si>
    <t>ORD002245</t>
  </si>
  <si>
    <t>ORD003131</t>
  </si>
  <si>
    <t>ORD001930</t>
  </si>
  <si>
    <t>ORD001524</t>
  </si>
  <si>
    <t>ORD003614</t>
  </si>
  <si>
    <t>ORD002716</t>
  </si>
  <si>
    <t>ORD005295</t>
  </si>
  <si>
    <t>ORD002607</t>
  </si>
  <si>
    <t>ORD003182</t>
  </si>
  <si>
    <t>ORD001896</t>
  </si>
  <si>
    <t>ORD002947</t>
  </si>
  <si>
    <t>ORD001754</t>
  </si>
  <si>
    <t>ORD000068</t>
  </si>
  <si>
    <t>ORD003799</t>
  </si>
  <si>
    <t>ORD004642</t>
  </si>
  <si>
    <t>ORD004559</t>
  </si>
  <si>
    <t>ORD003564</t>
  </si>
  <si>
    <t>ORD002902</t>
  </si>
  <si>
    <t>ORD000234</t>
  </si>
  <si>
    <t>ORD004491</t>
  </si>
  <si>
    <t>ORD002237</t>
  </si>
  <si>
    <t>ORD005075</t>
  </si>
  <si>
    <t>ORD004533</t>
  </si>
  <si>
    <t>ORD004260</t>
  </si>
  <si>
    <t>ORD003248</t>
  </si>
  <si>
    <t>ORD001547</t>
  </si>
  <si>
    <t>ORD002563</t>
  </si>
  <si>
    <t>ORD000776</t>
  </si>
  <si>
    <t>ORD001469</t>
  </si>
  <si>
    <t>ORD000253</t>
  </si>
  <si>
    <t>ORD005934</t>
  </si>
  <si>
    <t>ORD002535</t>
  </si>
  <si>
    <t>ORD002380</t>
  </si>
  <si>
    <t>ORD000793</t>
  </si>
  <si>
    <t>ORD003869</t>
  </si>
  <si>
    <t>ORD004674</t>
  </si>
  <si>
    <t>ORD003460</t>
  </si>
  <si>
    <t>ORD000748</t>
  </si>
  <si>
    <t>ORD000679</t>
  </si>
  <si>
    <t>ORD004231</t>
  </si>
  <si>
    <t>ORD004988</t>
  </si>
  <si>
    <t>ORD004071</t>
  </si>
  <si>
    <t>ORD005443</t>
  </si>
  <si>
    <t>ORD004536</t>
  </si>
  <si>
    <t>ORD000580</t>
  </si>
  <si>
    <t>ORD005930</t>
  </si>
  <si>
    <t>ORD002851</t>
  </si>
  <si>
    <t>ORD002307</t>
  </si>
  <si>
    <t>ORD002506</t>
  </si>
  <si>
    <t>ORD002773</t>
  </si>
  <si>
    <t>ORD000116</t>
  </si>
  <si>
    <t>ORD005505</t>
  </si>
  <si>
    <t>ORD001104</t>
  </si>
  <si>
    <t>ORD001842</t>
  </si>
  <si>
    <t>ORD004287</t>
  </si>
  <si>
    <t>ORD005623</t>
  </si>
  <si>
    <t>ORD001298</t>
  </si>
  <si>
    <t>ORD001900</t>
  </si>
  <si>
    <t>ORD004643</t>
  </si>
  <si>
    <t>ORD004804</t>
  </si>
  <si>
    <t>ORD002466</t>
  </si>
  <si>
    <t>ORD000047</t>
  </si>
  <si>
    <t>ORD000310</t>
  </si>
  <si>
    <t>ORD001283</t>
  </si>
  <si>
    <t>ORD001525</t>
  </si>
  <si>
    <t>ORD003776</t>
  </si>
  <si>
    <t>ORD003399</t>
  </si>
  <si>
    <t>ORD005337</t>
  </si>
  <si>
    <t>ORD004246</t>
  </si>
  <si>
    <t>ORD003261</t>
  </si>
  <si>
    <t>ORD000408</t>
  </si>
  <si>
    <t>ORD003811</t>
  </si>
  <si>
    <t>ORD005377</t>
  </si>
  <si>
    <t>ORD004721</t>
  </si>
  <si>
    <t>ORD004704</t>
  </si>
  <si>
    <t>ORD004271</t>
  </si>
  <si>
    <t>ORD000331</t>
  </si>
  <si>
    <t>ORD002170</t>
  </si>
  <si>
    <t>ORD005236</t>
  </si>
  <si>
    <t>ORD001430</t>
  </si>
  <si>
    <t>ORD000312</t>
  </si>
  <si>
    <t>ORD003130</t>
  </si>
  <si>
    <t>ORD001763</t>
  </si>
  <si>
    <t>ORD005971</t>
  </si>
  <si>
    <t>ORD000018</t>
  </si>
  <si>
    <t>ORD004450</t>
  </si>
  <si>
    <t>ORD004354</t>
  </si>
  <si>
    <t>ORD005466</t>
  </si>
  <si>
    <t>ORD005001</t>
  </si>
  <si>
    <t>ORD001529</t>
  </si>
  <si>
    <t>ORD004156</t>
  </si>
  <si>
    <t>ORD004487</t>
  </si>
  <si>
    <t>ORD001095</t>
  </si>
  <si>
    <t>ORD005180</t>
  </si>
  <si>
    <t>ORD002470</t>
  </si>
  <si>
    <t>ORD003618</t>
  </si>
  <si>
    <t>ORD000860</t>
  </si>
  <si>
    <t>ORD000013</t>
  </si>
  <si>
    <t>ORD004853</t>
  </si>
  <si>
    <t>ORD005895</t>
  </si>
  <si>
    <t>ORD002420</t>
  </si>
  <si>
    <t>ORD000389</t>
  </si>
  <si>
    <t>ORD004516</t>
  </si>
  <si>
    <t>ORD005345</t>
  </si>
  <si>
    <t>ORD005142</t>
  </si>
  <si>
    <t>ORD000938</t>
  </si>
  <si>
    <t>ORD005399</t>
  </si>
  <si>
    <t>ORD002068</t>
  </si>
  <si>
    <t>ORD000428</t>
  </si>
  <si>
    <t>ORD005780</t>
  </si>
  <si>
    <t>ORD001308</t>
  </si>
  <si>
    <t>ORD001374</t>
  </si>
  <si>
    <t>ORD004401</t>
  </si>
  <si>
    <t>ORD001378</t>
  </si>
  <si>
    <t>ORD000409</t>
  </si>
  <si>
    <t>ORD000981</t>
  </si>
  <si>
    <t>ORD001442</t>
  </si>
  <si>
    <t>ORD003355</t>
  </si>
  <si>
    <t>ORD004184</t>
  </si>
  <si>
    <t>ORD004546</t>
  </si>
  <si>
    <t>ORD000513</t>
  </si>
  <si>
    <t>ORD002158</t>
  </si>
  <si>
    <t>ORD004776</t>
  </si>
  <si>
    <t>ORD001725</t>
  </si>
  <si>
    <t>ORD003649</t>
  </si>
  <si>
    <t>ORD003086</t>
  </si>
  <si>
    <t>ORD002446</t>
  </si>
  <si>
    <t>ORD004128</t>
  </si>
  <si>
    <t>ORD001892</t>
  </si>
  <si>
    <t>ORD003996</t>
  </si>
  <si>
    <t>ORD002149</t>
  </si>
  <si>
    <t>ORD000933</t>
  </si>
  <si>
    <t>ORD004758</t>
  </si>
  <si>
    <t>ORD003233</t>
  </si>
  <si>
    <t>ORD005008</t>
  </si>
  <si>
    <t>ORD005091</t>
  </si>
  <si>
    <t>ORD005904</t>
  </si>
  <si>
    <t>ORD003743</t>
  </si>
  <si>
    <t>ORD002123</t>
  </si>
  <si>
    <t>ORD005860</t>
  </si>
  <si>
    <t>ORD000966</t>
  </si>
  <si>
    <t>ORD000178</t>
  </si>
  <si>
    <t>ORD001857</t>
  </si>
  <si>
    <t>ORD004775</t>
  </si>
  <si>
    <t>ORD004089</t>
  </si>
  <si>
    <t>ORD002090</t>
  </si>
  <si>
    <t>ORD003329</t>
  </si>
  <si>
    <t>ORD002820</t>
  </si>
  <si>
    <t>ORD005173</t>
  </si>
  <si>
    <t>ORD002815</t>
  </si>
  <si>
    <t>ORD000303</t>
  </si>
  <si>
    <t>ORD001870</t>
  </si>
  <si>
    <t>ORD002140</t>
  </si>
  <si>
    <t>ORD003255</t>
  </si>
  <si>
    <t>ORD001622</t>
  </si>
  <si>
    <t>ORD004118</t>
  </si>
  <si>
    <t>ORD005569</t>
  </si>
  <si>
    <t>ORD005757</t>
  </si>
  <si>
    <t>ORD004595</t>
  </si>
  <si>
    <t>ORD001392</t>
  </si>
  <si>
    <t>ORD000635</t>
  </si>
  <si>
    <t>ORD001959</t>
  </si>
  <si>
    <t>ORD003838</t>
  </si>
  <si>
    <t>ORD002146</t>
  </si>
  <si>
    <t>ORD004202</t>
  </si>
  <si>
    <t>ORD001038</t>
  </si>
  <si>
    <t>ORD004709</t>
  </si>
  <si>
    <t>ORD003358</t>
  </si>
  <si>
    <t>ORD005839</t>
  </si>
  <si>
    <t>ORD005922</t>
  </si>
  <si>
    <t>ORD001984</t>
  </si>
  <si>
    <t>ORD000882</t>
  </si>
  <si>
    <t>ORD005055</t>
  </si>
  <si>
    <t>ORD002892</t>
  </si>
  <si>
    <t>ORD004225</t>
  </si>
  <si>
    <t>ORD005710</t>
  </si>
  <si>
    <t>ORD005046</t>
  </si>
  <si>
    <t>ORD005308</t>
  </si>
  <si>
    <t>ORD001097</t>
  </si>
  <si>
    <t>ORD002713</t>
  </si>
  <si>
    <t>ORD004095</t>
  </si>
  <si>
    <t>ORD002502</t>
  </si>
  <si>
    <t>ORD004931</t>
  </si>
  <si>
    <t>ORD005758</t>
  </si>
  <si>
    <t>ORD001846</t>
  </si>
  <si>
    <t>ORD004936</t>
  </si>
  <si>
    <t>ORD004274</t>
  </si>
  <si>
    <t>ORD001918</t>
  </si>
  <si>
    <t>ORD000204</t>
  </si>
  <si>
    <t>ORD005266</t>
  </si>
  <si>
    <t>ORD001127</t>
  </si>
  <si>
    <t>ORD003761</t>
  </si>
  <si>
    <t>ORD004386</t>
  </si>
  <si>
    <t>ORD004256</t>
  </si>
  <si>
    <t>ORD005763</t>
  </si>
  <si>
    <t>ORD003244</t>
  </si>
  <si>
    <t>ORD003066</t>
  </si>
  <si>
    <t>ORD002116</t>
  </si>
  <si>
    <t>ORD003522</t>
  </si>
  <si>
    <t>ORD001998</t>
  </si>
  <si>
    <t>ORD005363</t>
  </si>
  <si>
    <t>ORD003862</t>
  </si>
  <si>
    <t>ORD003646</t>
  </si>
  <si>
    <t>ORD001415</t>
  </si>
  <si>
    <t>ORD004725</t>
  </si>
  <si>
    <t>ORD000801</t>
  </si>
  <si>
    <t>ORD004765</t>
  </si>
  <si>
    <t>ORD002022</t>
  </si>
  <si>
    <t>ORD000707</t>
  </si>
  <si>
    <t>ORD002015</t>
  </si>
  <si>
    <t>ORD003745</t>
  </si>
  <si>
    <t>ORD001040</t>
  </si>
  <si>
    <t>ORD003647</t>
  </si>
  <si>
    <t>ORD004940</t>
  </si>
  <si>
    <t>ORD003386</t>
  </si>
  <si>
    <t>ORD004763</t>
  </si>
  <si>
    <t>ORD000252</t>
  </si>
  <si>
    <t>ORD001546</t>
  </si>
  <si>
    <t>ORD005148</t>
  </si>
  <si>
    <t>ORD002652</t>
  </si>
  <si>
    <t>ORD000906</t>
  </si>
  <si>
    <t>ORD001898</t>
  </si>
  <si>
    <t>ORD003704</t>
  </si>
  <si>
    <t>ORD000545</t>
  </si>
  <si>
    <t>ORD001914</t>
  </si>
  <si>
    <t>ORD000507</t>
  </si>
  <si>
    <t>ORD003882</t>
  </si>
  <si>
    <t>ORD005260</t>
  </si>
  <si>
    <t>ORD001908</t>
  </si>
  <si>
    <t>ORD004288</t>
  </si>
  <si>
    <t>ORD001653</t>
  </si>
  <si>
    <t>ORD002106</t>
  </si>
  <si>
    <t>ORD004802</t>
  </si>
  <si>
    <t>ORD000673</t>
  </si>
  <si>
    <t>ORD003038</t>
  </si>
  <si>
    <t>ORD001683</t>
  </si>
  <si>
    <t>ORD001861</t>
  </si>
  <si>
    <t>ORD002702</t>
  </si>
  <si>
    <t>ORD002705</t>
  </si>
  <si>
    <t>ORD000349</t>
  </si>
  <si>
    <t>ORD000848</t>
  </si>
  <si>
    <t>ORD000139</t>
  </si>
  <si>
    <t>ORD000326</t>
  </si>
  <si>
    <t>ORD004650</t>
  </si>
  <si>
    <t>ORD000054</t>
  </si>
  <si>
    <t>ORD005537</t>
  </si>
  <si>
    <t>ORD004349</t>
  </si>
  <si>
    <t>ORD005403</t>
  </si>
  <si>
    <t>ORD002687</t>
  </si>
  <si>
    <t>ORD002376</t>
  </si>
  <si>
    <t>ORD001434</t>
  </si>
  <si>
    <t>ORD002148</t>
  </si>
  <si>
    <t>ORD002377</t>
  </si>
  <si>
    <t>ORD002394</t>
  </si>
  <si>
    <t>ORD001539</t>
  </si>
  <si>
    <t>ORD001000</t>
  </si>
  <si>
    <t>ORD000315</t>
  </si>
  <si>
    <t>ORD001164</t>
  </si>
  <si>
    <t>ORD005959</t>
  </si>
  <si>
    <t>ORD004824</t>
  </si>
  <si>
    <t>ORD003333</t>
  </si>
  <si>
    <t>ORD003448</t>
  </si>
  <si>
    <t>ORD005620</t>
  </si>
  <si>
    <t>ORD005328</t>
  </si>
  <si>
    <t>ORD002981</t>
  </si>
  <si>
    <t>ORD001580</t>
  </si>
  <si>
    <t>ORD005554</t>
  </si>
  <si>
    <t>ORD002887</t>
  </si>
  <si>
    <t>ORD000183</t>
  </si>
  <si>
    <t>ORD002423</t>
  </si>
  <si>
    <t>ORD005003</t>
  </si>
  <si>
    <t>ORD005275</t>
  </si>
  <si>
    <t>ORD004886</t>
  </si>
  <si>
    <t>ORD004454</t>
  </si>
  <si>
    <t>ORD000942</t>
  </si>
  <si>
    <t>ORD004269</t>
  </si>
  <si>
    <t>ORD002422</t>
  </si>
  <si>
    <t>ORD003642</t>
  </si>
  <si>
    <t>ORD002536</t>
  </si>
  <si>
    <t>ORD002845</t>
  </si>
  <si>
    <t>ORD002277</t>
  </si>
  <si>
    <t>ORD003418</t>
  </si>
  <si>
    <t>ORD004510</t>
  </si>
  <si>
    <t>ORD000594</t>
  </si>
  <si>
    <t>ORD000470</t>
  </si>
  <si>
    <t>ORD004822</t>
  </si>
  <si>
    <t>ORD004888</t>
  </si>
  <si>
    <t>ORD005867</t>
  </si>
  <si>
    <t>ORD002370</t>
  </si>
  <si>
    <t>ORD005424</t>
  </si>
  <si>
    <t>ORD002397</t>
  </si>
  <si>
    <t>ORD003740</t>
  </si>
  <si>
    <t>ORD003469</t>
  </si>
  <si>
    <t>ORD002274</t>
  </si>
  <si>
    <t>ORD002956</t>
  </si>
  <si>
    <t>ORD005096</t>
  </si>
  <si>
    <t>ORD000165</t>
  </si>
  <si>
    <t>ORD001485</t>
  </si>
  <si>
    <t>ORD004347</t>
  </si>
  <si>
    <t>ORD004735</t>
  </si>
  <si>
    <t>ORD004496</t>
  </si>
  <si>
    <t>ORD004898</t>
  </si>
  <si>
    <t>ORD001969</t>
  </si>
  <si>
    <t>ORD005565</t>
  </si>
  <si>
    <t>ORD004125</t>
  </si>
  <si>
    <t>ORD004738</t>
  </si>
  <si>
    <t>ORD003294</t>
  </si>
  <si>
    <t>ORD005023</t>
  </si>
  <si>
    <t>ORD005450</t>
  </si>
  <si>
    <t>ORD001061</t>
  </si>
  <si>
    <t>ORD004548</t>
  </si>
  <si>
    <t>ORD002428</t>
  </si>
  <si>
    <t>ORD002763</t>
  </si>
  <si>
    <t>ORD002175</t>
  </si>
  <si>
    <t>ORD002227</t>
  </si>
  <si>
    <t>ORD003420</t>
  </si>
  <si>
    <t>ORD001932</t>
  </si>
  <si>
    <t>ORD001825</t>
  </si>
  <si>
    <t>ORD003664</t>
  </si>
  <si>
    <t>ORD005807</t>
  </si>
  <si>
    <t>ORD003330</t>
  </si>
  <si>
    <t>ORD004476</t>
  </si>
  <si>
    <t>ORD004632</t>
  </si>
  <si>
    <t>ORD001762</t>
  </si>
  <si>
    <t>ORD001575</t>
  </si>
  <si>
    <t>ORD004448</t>
  </si>
  <si>
    <t>ORD004390</t>
  </si>
  <si>
    <t>ORD005128</t>
  </si>
  <si>
    <t>ORD001116</t>
  </si>
  <si>
    <t>ORD005333</t>
  </si>
  <si>
    <t>ORD003071</t>
  </si>
  <si>
    <t>ORD003663</t>
  </si>
  <si>
    <t>ORD001228</t>
  </si>
  <si>
    <t>ORD004187</t>
  </si>
  <si>
    <t>ORD005056</t>
  </si>
  <si>
    <t>ORD003207</t>
  </si>
  <si>
    <t>ORD002572</t>
  </si>
  <si>
    <t>ORD000001</t>
  </si>
  <si>
    <t>ORD001646</t>
  </si>
  <si>
    <t>ORD003498</t>
  </si>
  <si>
    <t>ORD000683</t>
  </si>
  <si>
    <t>ORD005381</t>
  </si>
  <si>
    <t>ORD000382</t>
  </si>
  <si>
    <t>ORD001492</t>
  </si>
  <si>
    <t>ORD004042</t>
  </si>
  <si>
    <t>ORD004723</t>
  </si>
  <si>
    <t>ORD005012</t>
  </si>
  <si>
    <t>ORD000705</t>
  </si>
  <si>
    <t>ORD005305</t>
  </si>
  <si>
    <t>ORD000619</t>
  </si>
  <si>
    <t>ORD001645</t>
  </si>
  <si>
    <t>ORD001510</t>
  </si>
  <si>
    <t>ORD004416</t>
  </si>
  <si>
    <t>ORD000224</t>
  </si>
  <si>
    <t>ORD005571</t>
  </si>
  <si>
    <t>ORD004310</t>
  </si>
  <si>
    <t>ORD000573</t>
  </si>
  <si>
    <t>ORD003593</t>
  </si>
  <si>
    <t>ORD000078</t>
  </si>
  <si>
    <t>ORD005313</t>
  </si>
  <si>
    <t>ORD001025</t>
  </si>
  <si>
    <t>ORD000440</t>
  </si>
  <si>
    <t>ORD005187</t>
  </si>
  <si>
    <t>ORD002685</t>
  </si>
  <si>
    <t>ORD003506</t>
  </si>
  <si>
    <t>ORD000343</t>
  </si>
  <si>
    <t>ORD000475</t>
  </si>
  <si>
    <t>ORD003624</t>
  </si>
  <si>
    <t>ORD002346</t>
  </si>
  <si>
    <t>ORD002594</t>
  </si>
  <si>
    <t>ORD002592</t>
  </si>
  <si>
    <t>ORD003887</t>
  </si>
  <si>
    <t>ORD002643</t>
  </si>
  <si>
    <t>ORD001859</t>
  </si>
  <si>
    <t>ORD002861</t>
  </si>
  <si>
    <t>ORD000491</t>
  </si>
  <si>
    <t>ORD005841</t>
  </si>
  <si>
    <t>ORD003681</t>
  </si>
  <si>
    <t>ORD005454</t>
  </si>
  <si>
    <t>ORD000374</t>
  </si>
  <si>
    <t>ORD002443</t>
  </si>
  <si>
    <t>ORD005028</t>
  </si>
  <si>
    <t>ORD000686</t>
  </si>
  <si>
    <t>ORD005755</t>
  </si>
  <si>
    <t>ORD000255</t>
  </si>
  <si>
    <t>ORD005268</t>
  </si>
  <si>
    <t>ORD000002</t>
  </si>
  <si>
    <t>ORD005914</t>
  </si>
  <si>
    <t>ORD001875</t>
  </si>
  <si>
    <t>ORD005493</t>
  </si>
  <si>
    <t>ORD002457</t>
  </si>
  <si>
    <t>ORD001223</t>
  </si>
  <si>
    <t>ORD003732</t>
  </si>
  <si>
    <t>ORD000296</t>
  </si>
  <si>
    <t>ORD000710</t>
  </si>
  <si>
    <t>ORD002060</t>
  </si>
  <si>
    <t>ORD004737</t>
  </si>
  <si>
    <t>ORD005510</t>
  </si>
  <si>
    <t>ORD003496</t>
  </si>
  <si>
    <t>ORD002330</t>
  </si>
  <si>
    <t>ORD002995</t>
  </si>
  <si>
    <t>ORD005636</t>
  </si>
  <si>
    <t>ORD002971</t>
  </si>
  <si>
    <t>ORD002667</t>
  </si>
  <si>
    <t>ORD002197</t>
  </si>
  <si>
    <t>ORD005244</t>
  </si>
  <si>
    <t>ORD005888</t>
  </si>
  <si>
    <t>ORD001943</t>
  </si>
  <si>
    <t>ORD001352</t>
  </si>
  <si>
    <t>ORD000190</t>
  </si>
  <si>
    <t>ORD003595</t>
  </si>
  <si>
    <t>ORD005413</t>
  </si>
  <si>
    <t>ORD001373</t>
  </si>
  <si>
    <t>ORD001296</t>
  </si>
  <si>
    <t>ORD002486</t>
  </si>
  <si>
    <t>ORD000556</t>
  </si>
  <si>
    <t>ORD001111</t>
  </si>
  <si>
    <t>ORD001189</t>
  </si>
  <si>
    <t>ORD003720</t>
  </si>
  <si>
    <t>ORD003628</t>
  </si>
  <si>
    <t>ORD004794</t>
  </si>
  <si>
    <t>ORD001218</t>
  </si>
  <si>
    <t>ORD003828</t>
  </si>
  <si>
    <t>ORD000988</t>
  </si>
  <si>
    <t>ORD004423</t>
  </si>
  <si>
    <t>ORD002048</t>
  </si>
  <si>
    <t>ORD001708</t>
  </si>
  <si>
    <t>ORD000668</t>
  </si>
  <si>
    <t>ORD004970</t>
  </si>
  <si>
    <t>ORD002424</t>
  </si>
  <si>
    <t>ORD000057</t>
  </si>
  <si>
    <t>ORD003695</t>
  </si>
  <si>
    <t>ORD001054</t>
  </si>
  <si>
    <t>ORD002529</t>
  </si>
  <si>
    <t>ORD003035</t>
  </si>
  <si>
    <t>ORD003421</t>
  </si>
  <si>
    <t>ORD004094</t>
  </si>
  <si>
    <t>ORD000704</t>
  </si>
  <si>
    <t>ORD002769</t>
  </si>
  <si>
    <t>ORD003558</t>
  </si>
  <si>
    <t>ORD000017</t>
  </si>
  <si>
    <t>ORD005372</t>
  </si>
  <si>
    <t>ORD000135</t>
  </si>
  <si>
    <t>ORD004098</t>
  </si>
  <si>
    <t>ORD000438</t>
  </si>
  <si>
    <t>ORD003635</t>
  </si>
  <si>
    <t>ORD005849</t>
  </si>
  <si>
    <t>ORD005541</t>
  </si>
  <si>
    <t>ORD003759</t>
  </si>
  <si>
    <t>ORD000445</t>
  </si>
  <si>
    <t>ORD002567</t>
  </si>
  <si>
    <t>ORD003240</t>
  </si>
  <si>
    <t>ORD002748</t>
  </si>
  <si>
    <t>ORD004664</t>
  </si>
  <si>
    <t>ORD002257</t>
  </si>
  <si>
    <t>ORD001192</t>
  </si>
  <si>
    <t>ORD003053</t>
  </si>
  <si>
    <t>ORD001087</t>
  </si>
  <si>
    <t>ORD000426</t>
  </si>
  <si>
    <t>ORD003983</t>
  </si>
  <si>
    <t>ORD001114</t>
  </si>
  <si>
    <t>ORD000275</t>
  </si>
  <si>
    <t>ORD005296</t>
  </si>
  <si>
    <t>ORD001181</t>
  </si>
  <si>
    <t>ORD003667</t>
  </si>
  <si>
    <t>ORD002524</t>
  </si>
  <si>
    <t>ORD003065</t>
  </si>
  <si>
    <t>ORD003625</t>
  </si>
  <si>
    <t>ORD001536</t>
  </si>
  <si>
    <t>ORD003818</t>
  </si>
  <si>
    <t>ORD005104</t>
  </si>
  <si>
    <t>ORD005907</t>
  </si>
  <si>
    <t>ORD002696</t>
  </si>
  <si>
    <t>ORD003836</t>
  </si>
  <si>
    <t>ORD003896</t>
  </si>
  <si>
    <t>ORD005831</t>
  </si>
  <si>
    <t>ORD000871</t>
  </si>
  <si>
    <t>ORD004962</t>
  </si>
  <si>
    <t>ORD000768</t>
  </si>
  <si>
    <t>ORD001954</t>
  </si>
  <si>
    <t>ORD005833</t>
  </si>
  <si>
    <t>ORD002238</t>
  </si>
  <si>
    <t>ORD001205</t>
  </si>
  <si>
    <t>ORD004276</t>
  </si>
  <si>
    <t>ORD005859</t>
  </si>
  <si>
    <t>ORD001122</t>
  </si>
  <si>
    <t>ORD002903</t>
  </si>
  <si>
    <t>ORD001962</t>
  </si>
  <si>
    <t>ORD005798</t>
  </si>
  <si>
    <t>ORD003474</t>
  </si>
  <si>
    <t>ORD003777</t>
  </si>
  <si>
    <t>ORD000864</t>
  </si>
  <si>
    <t>ORD005044</t>
  </si>
  <si>
    <t>ORD002723</t>
  </si>
  <si>
    <t>ORD004442</t>
  </si>
  <si>
    <t>ORD001275</t>
  </si>
  <si>
    <t>ORD001320</t>
  </si>
  <si>
    <t>ORD003709</t>
  </si>
  <si>
    <t>ORD000051</t>
  </si>
  <si>
    <t>ORD005241</t>
  </si>
  <si>
    <t>ORD005065</t>
  </si>
  <si>
    <t>ORD004217</t>
  </si>
  <si>
    <t>ORD005593</t>
  </si>
  <si>
    <t>ORD001317</t>
  </si>
  <si>
    <t>ORD000075</t>
  </si>
  <si>
    <t>ORD001968</t>
  </si>
  <si>
    <t>ORD001217</t>
  </si>
  <si>
    <t>ORD004093</t>
  </si>
  <si>
    <t>ORD000844</t>
  </si>
  <si>
    <t>ORD002339</t>
  </si>
  <si>
    <t>ORD002741</t>
  </si>
  <si>
    <t>ORD001286</t>
  </si>
  <si>
    <t>ORD001995</t>
  </si>
  <si>
    <t>ORD000479</t>
  </si>
  <si>
    <t>ORD003462</t>
  </si>
  <si>
    <t>ORD004666</t>
  </si>
  <si>
    <t>ORD004171</t>
  </si>
  <si>
    <t>ORD000575</t>
  </si>
  <si>
    <t>ORD001457</t>
  </si>
  <si>
    <t>ORD003669</t>
  </si>
  <si>
    <t>ORD005132</t>
  </si>
  <si>
    <t>ORD004077</t>
  </si>
  <si>
    <t>ORD002366</t>
  </si>
  <si>
    <t>ORD005060</t>
  </si>
  <si>
    <t>ORD000655</t>
  </si>
  <si>
    <t>ORD005117</t>
  </si>
  <si>
    <t>ORD003807</t>
  </si>
  <si>
    <t>ORD005282</t>
  </si>
  <si>
    <t>ORD003741</t>
  </si>
  <si>
    <t>ORD001234</t>
  </si>
  <si>
    <t>ORD002310</t>
  </si>
  <si>
    <t>ORD004008</t>
  </si>
  <si>
    <t>ORD004998</t>
  </si>
  <si>
    <t>ORD003719</t>
  </si>
  <si>
    <t>ORD002562</t>
  </si>
  <si>
    <t>ORD003385</t>
  </si>
  <si>
    <t>ORD000441</t>
  </si>
  <si>
    <t>ORD000984</t>
  </si>
  <si>
    <t>ORD001881</t>
  </si>
  <si>
    <t>ORD003449</t>
  </si>
  <si>
    <t>ORD000206</t>
  </si>
  <si>
    <t>ORD005890</t>
  </si>
  <si>
    <t>ORD003361</t>
  </si>
  <si>
    <t>ORD002105</t>
  </si>
  <si>
    <t>ORD003757</t>
  </si>
  <si>
    <t>ORD001409</t>
  </si>
  <si>
    <t>ORD004597</t>
  </si>
  <si>
    <t>ORD005875</t>
  </si>
  <si>
    <t>ORD000532</t>
  </si>
  <si>
    <t>ORD003723</t>
  </si>
  <si>
    <t>ORD004838</t>
  </si>
  <si>
    <t>ORD000980</t>
  </si>
  <si>
    <t>ORD000590</t>
  </si>
  <si>
    <t>ORD002286</t>
  </si>
  <si>
    <t>ORD001905</t>
  </si>
  <si>
    <t>ORD001451</t>
  </si>
  <si>
    <t>ORD001174</t>
  </si>
  <si>
    <t>ORD000606</t>
  </si>
  <si>
    <t>ORD001786</t>
  </si>
  <si>
    <t>ORD000176</t>
  </si>
  <si>
    <t>ORD005699</t>
  </si>
  <si>
    <t>ORD001481</t>
  </si>
  <si>
    <t>ORD003483</t>
  </si>
  <si>
    <t>ORD000413</t>
  </si>
  <si>
    <t>ORD001391</t>
  </si>
  <si>
    <t>ORD001342</t>
  </si>
  <si>
    <t>ORD005979</t>
  </si>
  <si>
    <t>ORD002078</t>
  </si>
  <si>
    <t>ORD003744</t>
  </si>
  <si>
    <t>ORD003631</t>
  </si>
  <si>
    <t>ORD005887</t>
  </si>
  <si>
    <t>ORD003372</t>
  </si>
  <si>
    <t>ORD000079</t>
  </si>
  <si>
    <t>ORD002908</t>
  </si>
  <si>
    <t>ORD004189</t>
  </si>
  <si>
    <t>ORD004445</t>
  </si>
  <si>
    <t>ORD003825</t>
  </si>
  <si>
    <t>ORD005518</t>
  </si>
  <si>
    <t>ORD000265</t>
  </si>
  <si>
    <t>ORD004980</t>
  </si>
  <si>
    <t>ORD004395</t>
  </si>
  <si>
    <t>ORD001599</t>
  </si>
  <si>
    <t>ORD002323</t>
  </si>
  <si>
    <t>ORD004361</t>
  </si>
  <si>
    <t>ORD005815</t>
  </si>
  <si>
    <t>ORD005423</t>
  </si>
  <si>
    <t>ORD005606</t>
  </si>
  <si>
    <t>ORD001179</t>
  </si>
  <si>
    <t>ORD002071</t>
  </si>
  <si>
    <t>ORD003787</t>
  </si>
  <si>
    <t>ORD005607</t>
  </si>
  <si>
    <t>ORD004978</t>
  </si>
  <si>
    <t>ORD002387</t>
  </si>
  <si>
    <t>ORD002276</t>
  </si>
  <si>
    <t>ORD001341</t>
  </si>
  <si>
    <t>ORD005850</t>
  </si>
  <si>
    <t>ORD003238</t>
  </si>
  <si>
    <t>ORD002641</t>
  </si>
  <si>
    <t>ORD004221</t>
  </si>
  <si>
    <t>ORD000011</t>
  </si>
  <si>
    <t>ORD000439</t>
  </si>
  <si>
    <t>ORD001367</t>
  </si>
  <si>
    <t>ORD000972</t>
  </si>
  <si>
    <t>ORD004807</t>
  </si>
  <si>
    <t>ORD002461</t>
  </si>
  <si>
    <t>ORD001483</t>
  </si>
  <si>
    <t>ORD005974</t>
  </si>
  <si>
    <t>ORD000670</t>
  </si>
  <si>
    <t>ORD002915</t>
  </si>
  <si>
    <t>ORD005289</t>
  </si>
  <si>
    <t>ORD002894</t>
  </si>
  <si>
    <t>ORD004222</t>
  </si>
  <si>
    <t>ORD002306</t>
  </si>
  <si>
    <t>ORD005696</t>
  </si>
  <si>
    <t>ORD005783</t>
  </si>
  <si>
    <t>ORD001927</t>
  </si>
  <si>
    <t>ORD001338</t>
  </si>
  <si>
    <t>ORD003588</t>
  </si>
  <si>
    <t>ORD003077</t>
  </si>
  <si>
    <t>ORD005156</t>
  </si>
  <si>
    <t>ORD004295</t>
  </si>
  <si>
    <t>ORD000629</t>
  </si>
  <si>
    <t>ORD000410</t>
  </si>
  <si>
    <t>ORD005769</t>
  </si>
  <si>
    <t>ORD001199</t>
  </si>
  <si>
    <t>ORD002637</t>
  </si>
  <si>
    <t>ORD003668</t>
  </si>
  <si>
    <t>ORD002680</t>
  </si>
  <si>
    <t>ORD001202</t>
  </si>
  <si>
    <t>ORD005331</t>
  </si>
  <si>
    <t>ORD004110</t>
  </si>
  <si>
    <t>ORD000761</t>
  </si>
  <si>
    <t>ORD003107</t>
  </si>
  <si>
    <t>ORD003611</t>
  </si>
  <si>
    <t>ORD004753</t>
  </si>
  <si>
    <t>ORD004079</t>
  </si>
  <si>
    <t>ORD004633</t>
  </si>
  <si>
    <t>ORD005064</t>
  </si>
  <si>
    <t>ORD005609</t>
  </si>
  <si>
    <t>ORD001601</t>
  </si>
  <si>
    <t>ORD002212</t>
  </si>
  <si>
    <t>ORD005232</t>
  </si>
  <si>
    <t>ORD003417</t>
  </si>
  <si>
    <t>ORD001594</t>
  </si>
  <si>
    <t>ORD001459</t>
  </si>
  <si>
    <t>ORD004579</t>
  </si>
  <si>
    <t>ORD005341</t>
  </si>
  <si>
    <t>ORD005958</t>
  </si>
  <si>
    <t>ORD002179</t>
  </si>
  <si>
    <t>ORD003112</t>
  </si>
  <si>
    <t>ORD002282</t>
  </si>
  <si>
    <t>ORD000694</t>
  </si>
  <si>
    <t>ORD005089</t>
  </si>
  <si>
    <t>ORD001579</t>
  </si>
  <si>
    <t>ORD002061</t>
  </si>
  <si>
    <t>ORD005752</t>
  </si>
  <si>
    <t>ORD004658</t>
  </si>
  <si>
    <t>ORD002985</t>
  </si>
  <si>
    <t>ORD002352</t>
  </si>
  <si>
    <t>ORD002614</t>
  </si>
  <si>
    <t>ORD003931</t>
  </si>
  <si>
    <t>ORD003717</t>
  </si>
  <si>
    <t>ORD003064</t>
  </si>
  <si>
    <t>ORD004908</t>
  </si>
  <si>
    <t>ORD001371</t>
  </si>
  <si>
    <t>ORD004250</t>
  </si>
  <si>
    <t>ORD005853</t>
  </si>
  <si>
    <t>ORD000043</t>
  </si>
  <si>
    <t>ORD001241</t>
  </si>
  <si>
    <t>ORD001419</t>
  </si>
  <si>
    <t>ORD000879</t>
  </si>
  <si>
    <t>ORD001484</t>
  </si>
  <si>
    <t>ORD003780</t>
  </si>
  <si>
    <t>ORD002472</t>
  </si>
  <si>
    <t>ORD004456</t>
  </si>
  <si>
    <t>ORD000056</t>
  </si>
  <si>
    <t>ORD000880</t>
  </si>
  <si>
    <t>ORD001319</t>
  </si>
  <si>
    <t>ORD002634</t>
  </si>
  <si>
    <t>ORD004123</t>
  </si>
  <si>
    <t>ORD004777</t>
  </si>
  <si>
    <t>ORD001239</t>
  </si>
  <si>
    <t>ORD001514</t>
  </si>
  <si>
    <t>ORD000136</t>
  </si>
  <si>
    <t>ORD002259</t>
  </si>
  <si>
    <t>ORD002829</t>
  </si>
  <si>
    <t>ORD005951</t>
  </si>
  <si>
    <t>ORD005097</t>
  </si>
  <si>
    <t>ORD001863</t>
  </si>
  <si>
    <t>ORD003929</t>
  </si>
  <si>
    <t>ORD003232</t>
  </si>
  <si>
    <t>ORD005161</t>
  </si>
  <si>
    <t>ORD003957</t>
  </si>
  <si>
    <t>ORD004493</t>
  </si>
  <si>
    <t>ORD001499</t>
  </si>
  <si>
    <t>ORD004150</t>
  </si>
  <si>
    <t>ORD005847</t>
  </si>
  <si>
    <t>ORD002942</t>
  </si>
  <si>
    <t>ORD000179</t>
  </si>
  <si>
    <t>ORD002789</t>
  </si>
  <si>
    <t>ORD004604</t>
  </si>
  <si>
    <t>ORD003213</t>
  </si>
  <si>
    <t>ORD000301</t>
  </si>
  <si>
    <t>ORD003276</t>
  </si>
  <si>
    <t>ORD001664</t>
  </si>
  <si>
    <t>ORD005658</t>
  </si>
  <si>
    <t>ORD001002</t>
  </si>
  <si>
    <t>ORD003262</t>
  </si>
  <si>
    <t>ORD004175</t>
  </si>
  <si>
    <t>ORD003591</t>
  </si>
  <si>
    <t>ORD005092</t>
  </si>
  <si>
    <t>ORD004823</t>
  </si>
  <si>
    <t>ORD000229</t>
  </si>
  <si>
    <t>ORD000819</t>
  </si>
  <si>
    <t>ORD000989</t>
  </si>
  <si>
    <t>ORD000030</t>
  </si>
  <si>
    <t>ORD001658</t>
  </si>
  <si>
    <t>ORD000562</t>
  </si>
  <si>
    <t>ORD003465</t>
  </si>
  <si>
    <t>ORD005862</t>
  </si>
  <si>
    <t>ORD000226</t>
  </si>
  <si>
    <t>ORD004102</t>
  </si>
  <si>
    <t>ORD005324</t>
  </si>
  <si>
    <t>ORD004090</t>
  </si>
  <si>
    <t>ORD004541</t>
  </si>
  <si>
    <t>ORD003444</t>
  </si>
  <si>
    <t>ORD004129</t>
  </si>
  <si>
    <t>ORD003011</t>
  </si>
  <si>
    <t>ORD005062</t>
  </si>
  <si>
    <t>ORD004990</t>
  </si>
  <si>
    <t>ORD000669</t>
  </si>
  <si>
    <t>ORD002944</t>
  </si>
  <si>
    <t>ORD003007</t>
  </si>
  <si>
    <t>ORD005455</t>
  </si>
  <si>
    <t>ORD005568</t>
  </si>
  <si>
    <t>ORD003540</t>
  </si>
  <si>
    <t>ORD000152</t>
  </si>
  <si>
    <t>ORD001803</t>
  </si>
  <si>
    <t>ORD004319</t>
  </si>
  <si>
    <t>ORD000703</t>
  </si>
  <si>
    <t>ORD005745</t>
  </si>
  <si>
    <t>ORD001445</t>
  </si>
  <si>
    <t>ORD002951</t>
  </si>
  <si>
    <t>ORD003518</t>
  </si>
  <si>
    <t>ORD000855</t>
  </si>
  <si>
    <t>ORD001833</t>
  </si>
  <si>
    <t>ORD002882</t>
  </si>
  <si>
    <t>ORD003295</t>
  </si>
  <si>
    <t>ORD005546</t>
  </si>
  <si>
    <t>ORD004210</t>
  </si>
  <si>
    <t>ORD002338</t>
  </si>
  <si>
    <t>ORD005197</t>
  </si>
  <si>
    <t>ORD000207</t>
  </si>
  <si>
    <t>ORD001148</t>
  </si>
  <si>
    <t>ORD003137</t>
  </si>
  <si>
    <t>ORD003298</t>
  </si>
  <si>
    <t>ORD003239</t>
  </si>
  <si>
    <t>ORD004986</t>
  </si>
  <si>
    <t>ORD006000</t>
  </si>
  <si>
    <t>ORD004996</t>
  </si>
  <si>
    <t>ORD004929</t>
  </si>
  <si>
    <t>ORD001246</t>
  </si>
  <si>
    <t>ORD004085</t>
  </si>
  <si>
    <t>ORD003853</t>
  </si>
  <si>
    <t>ORD002732</t>
  </si>
  <si>
    <t>ORD003334</t>
  </si>
  <si>
    <t>ORD002666</t>
  </si>
  <si>
    <t>ORD005338</t>
  </si>
  <si>
    <t>ORD001983</t>
  </si>
  <si>
    <t>ORD000870</t>
  </si>
  <si>
    <t>ORD001660</t>
  </si>
  <si>
    <t>ORD003234</t>
  </si>
  <si>
    <t>ORD004770</t>
  </si>
  <si>
    <t>ORD003051</t>
  </si>
  <si>
    <t>ORD005555</t>
  </si>
  <si>
    <t>ORD002678</t>
  </si>
  <si>
    <t>ORD005471</t>
  </si>
  <si>
    <t>ORD003398</t>
  </si>
  <si>
    <t>ORD003079</t>
  </si>
  <si>
    <t>ORD003986</t>
  </si>
  <si>
    <t>ORD001139</t>
  </si>
  <si>
    <t>ORD002695</t>
  </si>
  <si>
    <t>ORD004236</t>
  </si>
  <si>
    <t>ORD004586</t>
  </si>
  <si>
    <t>ORD005010</t>
  </si>
  <si>
    <t>ORD005577</t>
  </si>
  <si>
    <t>ORD004909</t>
  </si>
  <si>
    <t>ORD004311</t>
  </si>
  <si>
    <t>ORD005566</t>
  </si>
  <si>
    <t>ORD003370</t>
  </si>
  <si>
    <t>ORD002180</t>
  </si>
  <si>
    <t>ORD004411</t>
  </si>
  <si>
    <t>ORD002187</t>
  </si>
  <si>
    <t>ORD002640</t>
  </si>
  <si>
    <t>ORD005811</t>
  </si>
  <si>
    <t>ORD000417</t>
  </si>
  <si>
    <t>ORD005126</t>
  </si>
  <si>
    <t>ORD002087</t>
  </si>
  <si>
    <t>ORD004055</t>
  </si>
  <si>
    <t>ORD003987</t>
  </si>
  <si>
    <t>ORD002755</t>
  </si>
  <si>
    <t>ORD000137</t>
  </si>
  <si>
    <t>ORD004843</t>
  </si>
  <si>
    <t>ORD001475</t>
  </si>
  <si>
    <t>ORD001123</t>
  </si>
  <si>
    <t>ORD004890</t>
  </si>
  <si>
    <t>ORD004132</t>
  </si>
  <si>
    <t>ORD000026</t>
  </si>
  <si>
    <t>ORD000658</t>
  </si>
  <si>
    <t>ORD003943</t>
  </si>
  <si>
    <t>ORD005499</t>
  </si>
  <si>
    <t>ORD000450</t>
  </si>
  <si>
    <t>ORD003433</t>
  </si>
  <si>
    <t>ORD003297</t>
  </si>
  <si>
    <t>ORD003125</t>
  </si>
  <si>
    <t>ORD001402</t>
  </si>
  <si>
    <t>ORD003283</t>
  </si>
  <si>
    <t>ORD001259</t>
  </si>
  <si>
    <t>ORD004848</t>
  </si>
  <si>
    <t>ORD001271</t>
  </si>
  <si>
    <t>ORD005982</t>
  </si>
  <si>
    <t>ORD001450</t>
  </si>
  <si>
    <t>ORD001053</t>
  </si>
  <si>
    <t>ORD002826</t>
  </si>
  <si>
    <t>ORD002438</t>
  </si>
  <si>
    <t>ORD003991</t>
  </si>
  <si>
    <t>ORD004341</t>
  </si>
  <si>
    <t>ORD000277</t>
  </si>
  <si>
    <t>ORD002442</t>
  </si>
  <si>
    <t>ORD002159</t>
  </si>
  <si>
    <t>ORD000589</t>
  </si>
  <si>
    <t>ORD002208</t>
  </si>
  <si>
    <t>ORD000971</t>
  </si>
  <si>
    <t>ORD004851</t>
  </si>
  <si>
    <t>ORD003185</t>
  </si>
  <si>
    <t>ORD002709</t>
  </si>
  <si>
    <t>ORD004241</t>
  </si>
  <si>
    <t>ORD003335</t>
  </si>
  <si>
    <t>ORD001760</t>
  </si>
  <si>
    <t>ORD002182</t>
  </si>
  <si>
    <t>ORD003758</t>
  </si>
  <si>
    <t>ORD005420</t>
  </si>
  <si>
    <t>ORD004264</t>
  </si>
  <si>
    <t>ORD002273</t>
  </si>
  <si>
    <t>ORD003826</t>
  </si>
  <si>
    <t>ORD000928</t>
  </si>
  <si>
    <t>ORD003227</t>
  </si>
  <si>
    <t>ORD003069</t>
  </si>
  <si>
    <t>ORD005989</t>
  </si>
  <si>
    <t>ORD000025</t>
  </si>
  <si>
    <t>ORD004903</t>
  </si>
  <si>
    <t>ORD005919</t>
  </si>
  <si>
    <t>ORD000444</t>
  </si>
  <si>
    <t>ORD004247</t>
  </si>
  <si>
    <t>ORD005819</t>
  </si>
  <si>
    <t>ORD002143</t>
  </si>
  <si>
    <t>ORD000755</t>
  </si>
  <si>
    <t>ORD002266</t>
  </si>
  <si>
    <t>ORD001048</t>
  </si>
  <si>
    <t>ORD000781</t>
  </si>
  <si>
    <t>ORD000901</t>
  </si>
  <si>
    <t>ORD003036</t>
  </si>
  <si>
    <t>ORD004961</t>
  </si>
  <si>
    <t>ORD001953</t>
  </si>
  <si>
    <t>ORD002761</t>
  </si>
  <si>
    <t>ORD001198</t>
  </si>
  <si>
    <t>ORD000101</t>
  </si>
  <si>
    <t>ORD001050</t>
  </si>
  <si>
    <t>ORD001628</t>
  </si>
  <si>
    <t>ORD005854</t>
  </si>
  <si>
    <t>ORD002832</t>
  </si>
  <si>
    <t>ORD003801</t>
  </si>
  <si>
    <t>ORD002444</t>
  </si>
  <si>
    <t>ORD001272</t>
  </si>
  <si>
    <t>ORD005708</t>
  </si>
  <si>
    <t>ORD002749</t>
  </si>
  <si>
    <t>ORD005475</t>
  </si>
  <si>
    <t>ORD000767</t>
  </si>
  <si>
    <t>ORD004847</t>
  </si>
  <si>
    <t>ORD005059</t>
  </si>
  <si>
    <t>ORD001890</t>
  </si>
  <si>
    <t>ORD003661</t>
  </si>
  <si>
    <t>ORD003061</t>
  </si>
  <si>
    <t>ORD000169</t>
  </si>
  <si>
    <t>ORD000074</t>
  </si>
  <si>
    <t>ORD002654</t>
  </si>
  <si>
    <t>ORD002986</t>
  </si>
  <si>
    <t>ORD001884</t>
  </si>
  <si>
    <t>ORD004045</t>
  </si>
  <si>
    <t>ORD002167</t>
  </si>
  <si>
    <t>ORD005235</t>
  </si>
  <si>
    <t>ORD002569</t>
  </si>
  <si>
    <t>ORD000993</t>
  </si>
  <si>
    <t>ORD005596</t>
  </si>
  <si>
    <t>ORD003217</t>
  </si>
  <si>
    <t>ORD001906</t>
  </si>
  <si>
    <t>ORD005190</t>
  </si>
  <si>
    <t>ORD003087</t>
  </si>
  <si>
    <t>ORD001385</t>
  </si>
  <si>
    <t>ORD003442</t>
  </si>
  <si>
    <t>ORD001739</t>
  </si>
  <si>
    <t>ORD005675</t>
  </si>
  <si>
    <t>ORD001504</t>
  </si>
  <si>
    <t>ORD002565</t>
  </si>
  <si>
    <t>ORD001632</t>
  </si>
  <si>
    <t>ORD003725</t>
  </si>
  <si>
    <t>ORD002103</t>
  </si>
  <si>
    <t>ORD000267</t>
  </si>
  <si>
    <t>ORD001034</t>
  </si>
  <si>
    <t>ORD002632</t>
  </si>
  <si>
    <t>ORD003587</t>
  </si>
  <si>
    <t>ORD002586</t>
  </si>
  <si>
    <t>ORD001845</t>
  </si>
  <si>
    <t>ORD005944</t>
  </si>
  <si>
    <t>ORD005665</t>
  </si>
  <si>
    <t>ORD002215</t>
  </si>
  <si>
    <t>ORD000145</t>
  </si>
  <si>
    <t>ORD004428</t>
  </si>
  <si>
    <t>ORD003960</t>
  </si>
  <si>
    <t>ORD004344</t>
  </si>
  <si>
    <t>ORD004470</t>
  </si>
  <si>
    <t>ORD004477</t>
  </si>
  <si>
    <t>ORD002548</t>
  </si>
  <si>
    <t>ORD000321</t>
  </si>
  <si>
    <t>ORD004733</t>
  </si>
  <si>
    <t>ORD001588</t>
  </si>
  <si>
    <t>ORD005428</t>
  </si>
  <si>
    <t>ORD001585</t>
  </si>
  <si>
    <t>ORD003574</t>
  </si>
  <si>
    <t>ORD003700</t>
  </si>
  <si>
    <t>ORD002283</t>
  </si>
  <si>
    <t>ORD005311</t>
  </si>
  <si>
    <t>ORD004527</t>
  </si>
  <si>
    <t>ORD001011</t>
  </si>
  <si>
    <t>ORD003914</t>
  </si>
  <si>
    <t>ORD003025</t>
  </si>
  <si>
    <t>ORD003997</t>
  </si>
  <si>
    <t>ORD000192</t>
  </si>
  <si>
    <t>ORD004784</t>
  </si>
  <si>
    <t>ORD001176</t>
  </si>
  <si>
    <t>ORD004532</t>
  </si>
  <si>
    <t>ORD004993</t>
  </si>
  <si>
    <t>ORD001691</t>
  </si>
  <si>
    <t>ORD001281</t>
  </si>
  <si>
    <t>ORD003351</t>
  </si>
  <si>
    <t>ORD005283</t>
  </si>
  <si>
    <t>ORD005113</t>
  </si>
  <si>
    <t>ORD002233</t>
  </si>
  <si>
    <t>ORD000688</t>
  </si>
  <si>
    <t>ORD005662</t>
  </si>
  <si>
    <t>ORD000639</t>
  </si>
  <si>
    <t>ORD000570</t>
  </si>
  <si>
    <t>ORD003655</t>
  </si>
  <si>
    <t>ORD000934</t>
  </si>
  <si>
    <t>ORD005504</t>
  </si>
  <si>
    <t>ORD001170</t>
  </si>
  <si>
    <t>ORD001361</t>
  </si>
  <si>
    <t>ORD004630</t>
  </si>
  <si>
    <t>ORD003288</t>
  </si>
  <si>
    <t>ORD003463</t>
  </si>
  <si>
    <t>ORD001823</t>
  </si>
  <si>
    <t>ORD002791</t>
  </si>
  <si>
    <t>ORD000197</t>
  </si>
  <si>
    <t>ORD004592</t>
  </si>
  <si>
    <t>ORD005033</t>
  </si>
  <si>
    <t>ORD003090</t>
  </si>
  <si>
    <t>ORD003786</t>
  </si>
  <si>
    <t>ORD005076</t>
  </si>
  <si>
    <t>ORD002429</t>
  </si>
  <si>
    <t>ORD002076</t>
  </si>
  <si>
    <t>ORD005398</t>
  </si>
  <si>
    <t>ORD004492</t>
  </si>
  <si>
    <t>ORD001706</t>
  </si>
  <si>
    <t>ORD000148</t>
  </si>
  <si>
    <t>ORD000798</t>
  </si>
  <si>
    <t>ORD001751</t>
  </si>
  <si>
    <t>ORD000624</t>
  </si>
  <si>
    <t>ORD002287</t>
  </si>
  <si>
    <t>ORD004068</t>
  </si>
  <si>
    <t>ORD002029</t>
  </si>
  <si>
    <t>ORD005106</t>
  </si>
  <si>
    <t>ORD005615</t>
  </si>
  <si>
    <t>ORD005007</t>
  </si>
  <si>
    <t>ORD004992</t>
  </si>
  <si>
    <t>ORD001474</t>
  </si>
  <si>
    <t>ORD000723</t>
  </si>
  <si>
    <t>ORD001362</t>
  </si>
  <si>
    <t>ORD000107</t>
  </si>
  <si>
    <t>ORD004447</t>
  </si>
  <si>
    <t>ORD005644</t>
  </si>
  <si>
    <t>ORD004747</t>
  </si>
  <si>
    <t>ORD004486</t>
  </si>
  <si>
    <t>ORD001473</t>
  </si>
  <si>
    <t>ORD001118</t>
  </si>
  <si>
    <t>ORD000555</t>
  </si>
  <si>
    <t>ORD000300</t>
  </si>
  <si>
    <t>ORD000171</t>
  </si>
  <si>
    <t>ORD003327</t>
  </si>
  <si>
    <t>ORD003804</t>
  </si>
  <si>
    <t>ORD003675</t>
  </si>
  <si>
    <t>ORD001277</t>
  </si>
  <si>
    <t>ORD002355</t>
  </si>
  <si>
    <t>ORD003620</t>
  </si>
  <si>
    <t>ORD000416</t>
  </si>
  <si>
    <t>ORD004861</t>
  </si>
  <si>
    <t>ORD004283</t>
  </si>
  <si>
    <t>ORD003924</t>
  </si>
  <si>
    <t>ORD001840</t>
  </si>
  <si>
    <t>ORD002957</t>
  </si>
  <si>
    <t>ORD002318</t>
  </si>
  <si>
    <t>ORD002916</t>
  </si>
  <si>
    <t>ORD000631</t>
  </si>
  <si>
    <t>ORD005047</t>
  </si>
  <si>
    <t>ORD000163</t>
  </si>
  <si>
    <t>ORD000414</t>
  </si>
  <si>
    <t>ORD001074</t>
  </si>
  <si>
    <t>ORD002018</t>
  </si>
  <si>
    <t>ORD005127</t>
  </si>
  <si>
    <t>ORD000877</t>
  </si>
  <si>
    <t>ORD000818</t>
  </si>
  <si>
    <t>ORD004919</t>
  </si>
  <si>
    <t>ORD002256</t>
  </si>
  <si>
    <t>ORD002735</t>
  </si>
  <si>
    <t>ORD000873</t>
  </si>
  <si>
    <t>ORD004342</t>
  </si>
  <si>
    <t>ORD003684</t>
  </si>
  <si>
    <t>ORD000230</t>
  </si>
  <si>
    <t>ORD000907</t>
  </si>
  <si>
    <t>ORD002057</t>
  </si>
  <si>
    <t>ORD000897</t>
  </si>
  <si>
    <t>ORD005322</t>
  </si>
  <si>
    <t>ORD003872</t>
  </si>
  <si>
    <t>ORD002154</t>
  </si>
  <si>
    <t>ORD000792</t>
  </si>
  <si>
    <t>ORD001911</t>
  </si>
  <si>
    <t>ORD001328</t>
  </si>
  <si>
    <t>ORD002309</t>
  </si>
  <si>
    <t>ORD002877</t>
  </si>
  <si>
    <t>ORD005748</t>
  </si>
  <si>
    <t>ORD000699</t>
  </si>
  <si>
    <t>ORD003084</t>
  </si>
  <si>
    <t>ORD003081</t>
  </si>
  <si>
    <t>ORD004987</t>
  </si>
  <si>
    <t>ORD001718</t>
  </si>
  <si>
    <t>ORD002580</t>
  </si>
  <si>
    <t>ORD000895</t>
  </si>
  <si>
    <t>ORD003021</t>
  </si>
  <si>
    <t>ORD003542</t>
  </si>
  <si>
    <t>ORD005248</t>
  </si>
  <si>
    <t>ORD005543</t>
  </si>
  <si>
    <t>ORD004154</t>
  </si>
  <si>
    <t>ORD001980</t>
  </si>
  <si>
    <t>ORD001058</t>
  </si>
  <si>
    <t>ORD003310</t>
  </si>
  <si>
    <t>ORD003519</t>
  </si>
  <si>
    <t>ORD002331</t>
  </si>
  <si>
    <t>ORD003659</t>
  </si>
  <si>
    <t>ORD000093</t>
  </si>
  <si>
    <t>ORD001235</t>
  </si>
  <si>
    <t>ORD001014</t>
  </si>
  <si>
    <t>ORD003864</t>
  </si>
  <si>
    <t>ORD000948</t>
  </si>
  <si>
    <t>ORD001794</t>
  </si>
  <si>
    <t>ORD005206</t>
  </si>
  <si>
    <t>ORD000191</t>
  </si>
  <si>
    <t>ORD001532</t>
  </si>
  <si>
    <t>ORD002683</t>
  </si>
  <si>
    <t>ORD002813</t>
  </si>
  <si>
    <t>ORD003895</t>
  </si>
  <si>
    <t>ORD003589</t>
  </si>
  <si>
    <t>ORD004820</t>
  </si>
  <si>
    <t>ORD003177</t>
  </si>
  <si>
    <t>ORD002112</t>
  </si>
  <si>
    <t>ORD004773</t>
  </si>
  <si>
    <t>ORD000106</t>
  </si>
  <si>
    <t>ORD003414</t>
  </si>
  <si>
    <t>ORD002802</t>
  </si>
  <si>
    <t>ORD001964</t>
  </si>
  <si>
    <t>ORD004999</t>
  </si>
  <si>
    <t>ORD002302</t>
  </si>
  <si>
    <t>ORD005529</t>
  </si>
  <si>
    <t>ORD000775</t>
  </si>
  <si>
    <t>ORD001233</t>
  </si>
  <si>
    <t>ORD000859</t>
  </si>
  <si>
    <t>ORD005525</t>
  </si>
  <si>
    <t>ORD005086</t>
  </si>
  <si>
    <t>ORD003155</t>
  </si>
  <si>
    <t>ORD004594</t>
  </si>
  <si>
    <t>ORD005965</t>
  </si>
  <si>
    <t>ORD005704</t>
  </si>
  <si>
    <t>ORD003431</t>
  </si>
  <si>
    <t>ORD004161</t>
  </si>
  <si>
    <t>ORD004371</t>
  </si>
  <si>
    <t>ORD000726</t>
  </si>
  <si>
    <t>ORD001680</t>
  </si>
  <si>
    <t>ORD005246</t>
  </si>
  <si>
    <t>ORD002202</t>
  </si>
  <si>
    <t>ORD003944</t>
  </si>
  <si>
    <t>ORD001364</t>
  </si>
  <si>
    <t>ORD000411</t>
  </si>
  <si>
    <t>ORD000831</t>
  </si>
  <si>
    <t>ORD003782</t>
  </si>
  <si>
    <t>ORD000913</t>
  </si>
  <si>
    <t>ORD002093</t>
  </si>
  <si>
    <t>ORD000391</t>
  </si>
  <si>
    <t>ORD005470</t>
  </si>
  <si>
    <t>ORD004819</t>
  </si>
  <si>
    <t>ORD004358</t>
  </si>
  <si>
    <t>ORD004995</t>
  </si>
  <si>
    <t>ORD002244</t>
  </si>
  <si>
    <t>ORD003124</t>
  </si>
  <si>
    <t>ORD003122</t>
  </si>
  <si>
    <t>ORD003958</t>
  </si>
  <si>
    <t>ORD000719</t>
  </si>
  <si>
    <t>ORD003453</t>
  </si>
  <si>
    <t>ORD002441</t>
  </si>
  <si>
    <t>ORD003257</t>
  </si>
  <si>
    <t>ORD003109</t>
  </si>
  <si>
    <t>ORD003412</t>
  </si>
  <si>
    <t>ORD005902</t>
  </si>
  <si>
    <t>ORD003049</t>
  </si>
  <si>
    <t>ORD005032</t>
  </si>
  <si>
    <t>ORD000421</t>
  </si>
  <si>
    <t>ORD002198</t>
  </si>
  <si>
    <t>ORD004106</t>
  </si>
  <si>
    <t>ORD003878</t>
  </si>
  <si>
    <t>ORD003913</t>
  </si>
  <si>
    <t>ORD003118</t>
  </si>
  <si>
    <t>ORD001938</t>
  </si>
  <si>
    <t>ORD001120</t>
  </si>
  <si>
    <t>ORD004116</t>
  </si>
  <si>
    <t>ORD000535</t>
  </si>
  <si>
    <t>ORD000549</t>
  </si>
  <si>
    <t>ORD005681</t>
  </si>
  <si>
    <t>ORD000299</t>
  </si>
  <si>
    <t>ORD003363</t>
  </si>
  <si>
    <t>ORD003730</t>
  </si>
  <si>
    <t>ORD002171</t>
  </si>
  <si>
    <t>ORD001386</t>
  </si>
  <si>
    <t>ORD003208</t>
  </si>
  <si>
    <t>ORD003136</t>
  </si>
  <si>
    <t>ORD003900</t>
  </si>
  <si>
    <t>ORD005893</t>
  </si>
  <si>
    <t>ORD005772</t>
  </si>
  <si>
    <t>ORD005488</t>
  </si>
  <si>
    <t>ORD004185</t>
  </si>
  <si>
    <t>ORD003159</t>
  </si>
  <si>
    <t>ORD005740</t>
  </si>
  <si>
    <t>ORD000098</t>
  </si>
  <si>
    <t>ORD002100</t>
  </si>
  <si>
    <t>ORD004606</t>
  </si>
  <si>
    <t>ORD002260</t>
  </si>
  <si>
    <t>ORD004800</t>
  </si>
  <si>
    <t>ORD001970</t>
  </si>
  <si>
    <t>ORD002795</t>
  </si>
  <si>
    <t>ORD001046</t>
  </si>
  <si>
    <t>ORD005603</t>
  </si>
  <si>
    <t>ORD000940</t>
  </si>
  <si>
    <t>ORD005526</t>
  </si>
  <si>
    <t>ORD005963</t>
  </si>
  <si>
    <t>ORD000608</t>
  </si>
  <si>
    <t>ORD002527</t>
  </si>
  <si>
    <t>ORD002540</t>
  </si>
  <si>
    <t>ORD001071</t>
  </si>
  <si>
    <t>ORD000297</t>
  </si>
  <si>
    <t>ORD000050</t>
  </si>
  <si>
    <t>ORD005608</t>
  </si>
  <si>
    <t>ORD000225</t>
  </si>
  <si>
    <t>ORD001775</t>
  </si>
  <si>
    <t>ORD001244</t>
  </si>
  <si>
    <t>ORD003280</t>
  </si>
  <si>
    <t>ORD001922</t>
  </si>
  <si>
    <t>ORD000851</t>
  </si>
  <si>
    <t>ORD005882</t>
  </si>
  <si>
    <t>ORD001226</t>
  </si>
  <si>
    <t>ORD004659</t>
  </si>
  <si>
    <t>ORD002853</t>
  </si>
  <si>
    <t>ORD004701</t>
  </si>
  <si>
    <t>ORD003318</t>
  </si>
  <si>
    <t>ORD000443</t>
  </si>
  <si>
    <t>ORD002473</t>
  </si>
  <si>
    <t>ORD005695</t>
  </si>
  <si>
    <t>ORD005121</t>
  </si>
  <si>
    <t>ORD002588</t>
  </si>
  <si>
    <t>ORD002816</t>
  </si>
  <si>
    <t>ORD002917</t>
  </si>
  <si>
    <t>ORD000188</t>
  </si>
  <si>
    <t>ORD004503</t>
  </si>
  <si>
    <t>ORD005269</t>
  </si>
  <si>
    <t>ORD002800</t>
  </si>
  <si>
    <t>ORD003904</t>
  </si>
  <si>
    <t>ORD004076</t>
  </si>
  <si>
    <t>ORD005984</t>
  </si>
  <si>
    <t>ORD000462</t>
  </si>
  <si>
    <t>ORD004767</t>
  </si>
  <si>
    <t>ORD003132</t>
  </si>
  <si>
    <t>ORD000715</t>
  </si>
  <si>
    <t>ORD005447</t>
  </si>
  <si>
    <t>ORD004521</t>
  </si>
  <si>
    <t>ORD000636</t>
  </si>
  <si>
    <t>ORD004086</t>
  </si>
  <si>
    <t>ORD004625</t>
  </si>
  <si>
    <t>ORD002267</t>
  </si>
  <si>
    <t>ORD004041</t>
  </si>
  <si>
    <t>ORD004043</t>
  </si>
  <si>
    <t>ORD001766</t>
  </si>
  <si>
    <t>ORD002348</t>
  </si>
  <si>
    <t>ORD005015</t>
  </si>
  <si>
    <t>ORD002904</t>
  </si>
  <si>
    <t>ORD005595</t>
  </si>
  <si>
    <t>ORD000610</t>
  </si>
  <si>
    <t>ORD000486</t>
  </si>
  <si>
    <t>ORD005575</t>
  </si>
  <si>
    <t>ORD001086</t>
  </si>
  <si>
    <t>ORD002130</t>
  </si>
  <si>
    <t>ORD005801</t>
  </si>
  <si>
    <t>ORD004421</t>
  </si>
  <si>
    <t>ORD003539</t>
  </si>
  <si>
    <t>ORD003129</t>
  </si>
  <si>
    <t>ORD000020</t>
  </si>
  <si>
    <t>ORD004935</t>
  </si>
  <si>
    <t>ORD001674</t>
  </si>
  <si>
    <t>ORD005437</t>
  </si>
  <si>
    <t>ORD002857</t>
  </si>
  <si>
    <t>ORD001791</t>
  </si>
  <si>
    <t>ORD005709</t>
  </si>
  <si>
    <t>ORD005619</t>
  </si>
  <si>
    <t>ORD004897</t>
  </si>
  <si>
    <t>ORD005676</t>
  </si>
  <si>
    <t>ORD000097</t>
  </si>
  <si>
    <t>ORD003156</t>
  </si>
  <si>
    <t>ORD002495</t>
  </si>
  <si>
    <t>ORD004571</t>
  </si>
  <si>
    <t>ORD005885</t>
  </si>
  <si>
    <t>ORD000367</t>
  </si>
  <si>
    <t>ORD001722</t>
  </si>
  <si>
    <t>ORD003658</t>
  </si>
  <si>
    <t>ORD001910</t>
  </si>
  <si>
    <t>ORD004857</t>
  </si>
  <si>
    <t>ORD000919</t>
  </si>
  <si>
    <t>ORD001426</t>
  </si>
  <si>
    <t>ORD002808</t>
  </si>
  <si>
    <t>ORD004489</t>
  </si>
  <si>
    <t>ORD003566</t>
  </si>
  <si>
    <t>ORD005866</t>
  </si>
  <si>
    <t>ORD004603</t>
  </si>
  <si>
    <t>ORD004531</t>
  </si>
  <si>
    <t>ORD002991</t>
  </si>
  <si>
    <t>ORD005928</t>
  </si>
  <si>
    <t>ORD005682</t>
  </si>
  <si>
    <t>ORD003392</t>
  </si>
  <si>
    <t>ORD004229</t>
  </si>
  <si>
    <t>ORD003123</t>
  </si>
  <si>
    <t>ORD003311</t>
  </si>
  <si>
    <t>ORD001589</t>
  </si>
  <si>
    <t>ORD003665</t>
  </si>
  <si>
    <t>ORD002499</t>
  </si>
  <si>
    <t>ORD000032</t>
  </si>
  <si>
    <t>ORD003284</t>
  </si>
  <si>
    <t>ORD001376</t>
  </si>
  <si>
    <t>ORD001327</t>
  </si>
  <si>
    <t>ORD003781</t>
  </si>
  <si>
    <t>ORD005209</t>
  </si>
  <si>
    <t>ORD001350</t>
  </si>
  <si>
    <t>ORD000256</t>
  </si>
  <si>
    <t>ORD004989</t>
  </si>
  <si>
    <t>ORD003643</t>
  </si>
  <si>
    <t>ORD003623</t>
  </si>
  <si>
    <t>ORD004148</t>
  </si>
  <si>
    <t>ORD004972</t>
  </si>
  <si>
    <t>ORD005035</t>
  </si>
  <si>
    <t>ORD005223</t>
  </si>
  <si>
    <t>ORD005316</t>
  </si>
  <si>
    <t>ORD002728</t>
  </si>
  <si>
    <t>ORD003701</t>
  </si>
  <si>
    <t>ORD000125</t>
  </si>
  <si>
    <t>ORD002779</t>
  </si>
  <si>
    <t>ORD002880</t>
  </si>
  <si>
    <t>ORD005168</t>
  </si>
  <si>
    <t>ORD002774</t>
  </si>
  <si>
    <t>ORD002636</t>
  </si>
  <si>
    <t>ORD000434</t>
  </si>
  <si>
    <t>ORD004771</t>
  </si>
  <si>
    <t>ORD003336</t>
  </si>
  <si>
    <t>ORD001100</t>
  </si>
  <si>
    <t>ORD002515</t>
  </si>
  <si>
    <t>ORD003607</t>
  </si>
  <si>
    <t>ORD005705</t>
  </si>
  <si>
    <t>ORD002576</t>
  </si>
  <si>
    <t>shipment_id</t>
  </si>
  <si>
    <t>carrier</t>
  </si>
  <si>
    <t>ship_date</t>
  </si>
  <si>
    <t>scheduled_delivery_date</t>
  </si>
  <si>
    <t>actual_delivery_date</t>
  </si>
  <si>
    <t>shipping_cost_eur</t>
  </si>
  <si>
    <t>delivery_status</t>
  </si>
  <si>
    <t>SHP0000001</t>
  </si>
  <si>
    <t>UPS</t>
  </si>
  <si>
    <t>Delivered</t>
  </si>
  <si>
    <t>SHP0000002</t>
  </si>
  <si>
    <t>SHP0000003</t>
  </si>
  <si>
    <t>DPD</t>
  </si>
  <si>
    <t>delivered</t>
  </si>
  <si>
    <t>SHP0000004</t>
  </si>
  <si>
    <t>DHL</t>
  </si>
  <si>
    <t>DELIVERED</t>
  </si>
  <si>
    <t>SHP0000005</t>
  </si>
  <si>
    <t>Matkahuolto</t>
  </si>
  <si>
    <t>SHP0000006</t>
  </si>
  <si>
    <t>SHP0000007</t>
  </si>
  <si>
    <t>SHP0000008</t>
  </si>
  <si>
    <t>PostNord</t>
  </si>
  <si>
    <t>SHP0000009</t>
  </si>
  <si>
    <t>SHP0000010</t>
  </si>
  <si>
    <t>Budbee</t>
  </si>
  <si>
    <t>SHP0000011</t>
  </si>
  <si>
    <t>Bring</t>
  </si>
  <si>
    <t>SHP0000012</t>
  </si>
  <si>
    <t>SHP0000013</t>
  </si>
  <si>
    <t>SHP0000014</t>
  </si>
  <si>
    <t>SHP0000015</t>
  </si>
  <si>
    <t>SHP0000016</t>
  </si>
  <si>
    <t>in transit</t>
  </si>
  <si>
    <t>SHP0000017</t>
  </si>
  <si>
    <t>SHP0000018</t>
  </si>
  <si>
    <t/>
  </si>
  <si>
    <t>SHP0000019</t>
  </si>
  <si>
    <t>SHP0000020</t>
  </si>
  <si>
    <t>SHP0000021</t>
  </si>
  <si>
    <t>SHP0000022</t>
  </si>
  <si>
    <t>SHP0000023</t>
  </si>
  <si>
    <t>SHP0000024</t>
  </si>
  <si>
    <t>DB Schenker</t>
  </si>
  <si>
    <t>SHP0000025</t>
  </si>
  <si>
    <t>IN TRANSIT</t>
  </si>
  <si>
    <t>SHP0000026</t>
  </si>
  <si>
    <t>SHP0000027</t>
  </si>
  <si>
    <t>SHP0000028</t>
  </si>
  <si>
    <t>SHP0000029</t>
  </si>
  <si>
    <t>Cancelled</t>
  </si>
  <si>
    <t>SHP0000030</t>
  </si>
  <si>
    <t>SHP0000031</t>
  </si>
  <si>
    <t>SHP0000032</t>
  </si>
  <si>
    <t>SHP0000033</t>
  </si>
  <si>
    <t>SHP0000034</t>
  </si>
  <si>
    <t>SHP0000035</t>
  </si>
  <si>
    <t>SHP0000036</t>
  </si>
  <si>
    <t>SHP0000037</t>
  </si>
  <si>
    <t>CANCELLED</t>
  </si>
  <si>
    <t>SHP0000038</t>
  </si>
  <si>
    <t>SHP0000039</t>
  </si>
  <si>
    <t>SHP0000040</t>
  </si>
  <si>
    <t>SHP0000041</t>
  </si>
  <si>
    <t>In Transit</t>
  </si>
  <si>
    <t>SHP0000042</t>
  </si>
  <si>
    <t>cancelled</t>
  </si>
  <si>
    <t>SHP0000043</t>
  </si>
  <si>
    <t>SHP0000044</t>
  </si>
  <si>
    <t>SHP0000045</t>
  </si>
  <si>
    <t>SHP0000046</t>
  </si>
  <si>
    <t>SHP0000047</t>
  </si>
  <si>
    <t>SHP0000048</t>
  </si>
  <si>
    <t>SHP0000049</t>
  </si>
  <si>
    <t>SHP0000050</t>
  </si>
  <si>
    <t>SHP0000051</t>
  </si>
  <si>
    <t>SHP0000052</t>
  </si>
  <si>
    <t>SHP0000053</t>
  </si>
  <si>
    <t>SHP0000054</t>
  </si>
  <si>
    <t>SHP0000055</t>
  </si>
  <si>
    <t>SHP0000056</t>
  </si>
  <si>
    <t>SHP0000057</t>
  </si>
  <si>
    <t>SHP0000058</t>
  </si>
  <si>
    <t>SHP0000059</t>
  </si>
  <si>
    <t>SHP0000060</t>
  </si>
  <si>
    <t>SHP0000061</t>
  </si>
  <si>
    <t>SHP0000062</t>
  </si>
  <si>
    <t>SHP0000063</t>
  </si>
  <si>
    <t>SHP0000064</t>
  </si>
  <si>
    <t>SHP0000065</t>
  </si>
  <si>
    <t>SHP0000066</t>
  </si>
  <si>
    <t>SHP0000067</t>
  </si>
  <si>
    <t>SHP0000068</t>
  </si>
  <si>
    <t>SHP0000069</t>
  </si>
  <si>
    <t>SHP0000070</t>
  </si>
  <si>
    <t>SHP0000071</t>
  </si>
  <si>
    <t>SHP0000072</t>
  </si>
  <si>
    <t>SHP0000073</t>
  </si>
  <si>
    <t>SHP0000074</t>
  </si>
  <si>
    <t>SHP0000075</t>
  </si>
  <si>
    <t>SHP0000076</t>
  </si>
  <si>
    <t>SHP0000077</t>
  </si>
  <si>
    <t>SHP0000078</t>
  </si>
  <si>
    <t>SHP0000079</t>
  </si>
  <si>
    <t>SHP0000080</t>
  </si>
  <si>
    <t>SHP0000081</t>
  </si>
  <si>
    <t>SHP0000082</t>
  </si>
  <si>
    <t>SHP0000083</t>
  </si>
  <si>
    <t>SHP0000084</t>
  </si>
  <si>
    <t>SHP0000085</t>
  </si>
  <si>
    <t>SHP0000086</t>
  </si>
  <si>
    <t>SHP0000087</t>
  </si>
  <si>
    <t>SHP0000088</t>
  </si>
  <si>
    <t>SHP0000089</t>
  </si>
  <si>
    <t>SHP0000090</t>
  </si>
  <si>
    <t>SHP0000091</t>
  </si>
  <si>
    <t>SHP0000092</t>
  </si>
  <si>
    <t>SHP0000093</t>
  </si>
  <si>
    <t>SHP0000094</t>
  </si>
  <si>
    <t>SHP0000095</t>
  </si>
  <si>
    <t>SHP0000096</t>
  </si>
  <si>
    <t>SHP0000097</t>
  </si>
  <si>
    <t>SHP0000098</t>
  </si>
  <si>
    <t>SHP0000099</t>
  </si>
  <si>
    <t>SHP0000100</t>
  </si>
  <si>
    <t>SHP0000101</t>
  </si>
  <si>
    <t>SHP0000102</t>
  </si>
  <si>
    <t>SHP0000103</t>
  </si>
  <si>
    <t>SHP0000104</t>
  </si>
  <si>
    <t>SHP0000105</t>
  </si>
  <si>
    <t>SHP0000106</t>
  </si>
  <si>
    <t>SHP0000107</t>
  </si>
  <si>
    <t>SHP0000108</t>
  </si>
  <si>
    <t>SHP0000109</t>
  </si>
  <si>
    <t>SHP0000110</t>
  </si>
  <si>
    <t>SHP0000111</t>
  </si>
  <si>
    <t>SHP0000112</t>
  </si>
  <si>
    <t>SHP0000113</t>
  </si>
  <si>
    <t>SHP0000114</t>
  </si>
  <si>
    <t>SHP0000115</t>
  </si>
  <si>
    <t>SHP0000116</t>
  </si>
  <si>
    <t>SHP0000117</t>
  </si>
  <si>
    <t>SHP0000118</t>
  </si>
  <si>
    <t>SHP0000119</t>
  </si>
  <si>
    <t>SHP0000120</t>
  </si>
  <si>
    <t>SHP0000121</t>
  </si>
  <si>
    <t>SHP0000122</t>
  </si>
  <si>
    <t>SHP0000123</t>
  </si>
  <si>
    <t>SHP0000124</t>
  </si>
  <si>
    <t>SHP0000125</t>
  </si>
  <si>
    <t>SHP0000126</t>
  </si>
  <si>
    <t>SHP0000127</t>
  </si>
  <si>
    <t>SHP0000128</t>
  </si>
  <si>
    <t>SHP0000129</t>
  </si>
  <si>
    <t>SHP0000130</t>
  </si>
  <si>
    <t>SHP0000131</t>
  </si>
  <si>
    <t>SHP0000132</t>
  </si>
  <si>
    <t>SHP0000133</t>
  </si>
  <si>
    <t>SHP0000134</t>
  </si>
  <si>
    <t>SHP0000135</t>
  </si>
  <si>
    <t>SHP0000136</t>
  </si>
  <si>
    <t>SHP0000137</t>
  </si>
  <si>
    <t>SHP0000138</t>
  </si>
  <si>
    <t>SHP0000139</t>
  </si>
  <si>
    <t>SHP0000140</t>
  </si>
  <si>
    <t>SHP0000141</t>
  </si>
  <si>
    <t>SHP0000142</t>
  </si>
  <si>
    <t>SHP0000143</t>
  </si>
  <si>
    <t>SHP0000144</t>
  </si>
  <si>
    <t>SHP0000145</t>
  </si>
  <si>
    <t>SHP0000146</t>
  </si>
  <si>
    <t>SHP0000147</t>
  </si>
  <si>
    <t>SHP0000148</t>
  </si>
  <si>
    <t>SHP0000149</t>
  </si>
  <si>
    <t>SHP0000150</t>
  </si>
  <si>
    <t>SHP0000151</t>
  </si>
  <si>
    <t>SHP0000152</t>
  </si>
  <si>
    <t>SHP0000153</t>
  </si>
  <si>
    <t>SHP0000154</t>
  </si>
  <si>
    <t>SHP0000155</t>
  </si>
  <si>
    <t>SHP0000156</t>
  </si>
  <si>
    <t>SHP0000157</t>
  </si>
  <si>
    <t>SHP0000158</t>
  </si>
  <si>
    <t>SHP0000159</t>
  </si>
  <si>
    <t>SHP0000160</t>
  </si>
  <si>
    <t>SHP0000161</t>
  </si>
  <si>
    <t>SHP0000162</t>
  </si>
  <si>
    <t>SHP0000163</t>
  </si>
  <si>
    <t>SHP0000164</t>
  </si>
  <si>
    <t>SHP0000165</t>
  </si>
  <si>
    <t>SHP0000166</t>
  </si>
  <si>
    <t>SHP0000167</t>
  </si>
  <si>
    <t>SHP0000168</t>
  </si>
  <si>
    <t>SHP0000169</t>
  </si>
  <si>
    <t>SHP0000170</t>
  </si>
  <si>
    <t>SHP0000171</t>
  </si>
  <si>
    <t>SHP0000172</t>
  </si>
  <si>
    <t>SHP0000173</t>
  </si>
  <si>
    <t>SHP0000174</t>
  </si>
  <si>
    <t>SHP0000175</t>
  </si>
  <si>
    <t>SHP0000176</t>
  </si>
  <si>
    <t>SHP0000177</t>
  </si>
  <si>
    <t>SHP0000178</t>
  </si>
  <si>
    <t>SHP0000179</t>
  </si>
  <si>
    <t>SHP0000180</t>
  </si>
  <si>
    <t>SHP0000181</t>
  </si>
  <si>
    <t>SHP0000182</t>
  </si>
  <si>
    <t>SHP0000183</t>
  </si>
  <si>
    <t>SHP0000184</t>
  </si>
  <si>
    <t>SHP0000185</t>
  </si>
  <si>
    <t>SHP0000186</t>
  </si>
  <si>
    <t>SHP0000187</t>
  </si>
  <si>
    <t>SHP0000188</t>
  </si>
  <si>
    <t>SHP0000189</t>
  </si>
  <si>
    <t>SHP0000190</t>
  </si>
  <si>
    <t>SHP0000191</t>
  </si>
  <si>
    <t>SHP0000192</t>
  </si>
  <si>
    <t>SHP0000193</t>
  </si>
  <si>
    <t>SHP0000194</t>
  </si>
  <si>
    <t>SHP0000195</t>
  </si>
  <si>
    <t>SHP0000196</t>
  </si>
  <si>
    <t>SHP0000197</t>
  </si>
  <si>
    <t>SHP0000198</t>
  </si>
  <si>
    <t>SHP0000199</t>
  </si>
  <si>
    <t>SHP0000200</t>
  </si>
  <si>
    <t>SHP0000201</t>
  </si>
  <si>
    <t>SHP0000202</t>
  </si>
  <si>
    <t>SHP0000203</t>
  </si>
  <si>
    <t>SHP0000204</t>
  </si>
  <si>
    <t>SHP0000205</t>
  </si>
  <si>
    <t>SHP0000206</t>
  </si>
  <si>
    <t>SHP0000207</t>
  </si>
  <si>
    <t>SHP0000208</t>
  </si>
  <si>
    <t>SHP0000209</t>
  </si>
  <si>
    <t>SHP0000210</t>
  </si>
  <si>
    <t>SHP0000211</t>
  </si>
  <si>
    <t>SHP0000212</t>
  </si>
  <si>
    <t>SHP0000213</t>
  </si>
  <si>
    <t>SHP0000214</t>
  </si>
  <si>
    <t>SHP0000215</t>
  </si>
  <si>
    <t>SHP0000216</t>
  </si>
  <si>
    <t>SHP0000217</t>
  </si>
  <si>
    <t>SHP0000218</t>
  </si>
  <si>
    <t>SHP0000219</t>
  </si>
  <si>
    <t>SHP0000220</t>
  </si>
  <si>
    <t>SHP0000221</t>
  </si>
  <si>
    <t>SHP0000222</t>
  </si>
  <si>
    <t>SHP0000223</t>
  </si>
  <si>
    <t>SHP0000224</t>
  </si>
  <si>
    <t>SHP0000225</t>
  </si>
  <si>
    <t>SHP0000226</t>
  </si>
  <si>
    <t>SHP0000227</t>
  </si>
  <si>
    <t>SHP0000228</t>
  </si>
  <si>
    <t>SHP0000229</t>
  </si>
  <si>
    <t>SHP0000230</t>
  </si>
  <si>
    <t>SHP0000231</t>
  </si>
  <si>
    <t>SHP0000232</t>
  </si>
  <si>
    <t>SHP0000233</t>
  </si>
  <si>
    <t>SHP0000234</t>
  </si>
  <si>
    <t>SHP0000235</t>
  </si>
  <si>
    <t>SHP0000236</t>
  </si>
  <si>
    <t>SHP0000237</t>
  </si>
  <si>
    <t>SHP0000238</t>
  </si>
  <si>
    <t>SHP0000239</t>
  </si>
  <si>
    <t>SHP0000240</t>
  </si>
  <si>
    <t>SHP0000241</t>
  </si>
  <si>
    <t>SHP0000242</t>
  </si>
  <si>
    <t>SHP0000243</t>
  </si>
  <si>
    <t>SHP0000244</t>
  </si>
  <si>
    <t>SHP0000245</t>
  </si>
  <si>
    <t>SHP0000246</t>
  </si>
  <si>
    <t>SHP0000247</t>
  </si>
  <si>
    <t>SHP0000248</t>
  </si>
  <si>
    <t>SHP0000249</t>
  </si>
  <si>
    <t>SHP0000250</t>
  </si>
  <si>
    <t>SHP0000251</t>
  </si>
  <si>
    <t>SHP0000252</t>
  </si>
  <si>
    <t>SHP0000253</t>
  </si>
  <si>
    <t>SHP0000254</t>
  </si>
  <si>
    <t>SHP0000255</t>
  </si>
  <si>
    <t>SHP0000256</t>
  </si>
  <si>
    <t>SHP0000257</t>
  </si>
  <si>
    <t>SHP0000258</t>
  </si>
  <si>
    <t>SHP0000259</t>
  </si>
  <si>
    <t>SHP0000260</t>
  </si>
  <si>
    <t>SHP0000261</t>
  </si>
  <si>
    <t>SHP0000262</t>
  </si>
  <si>
    <t>SHP0000263</t>
  </si>
  <si>
    <t>SHP0000264</t>
  </si>
  <si>
    <t>SHP0000265</t>
  </si>
  <si>
    <t>SHP0000266</t>
  </si>
  <si>
    <t>SHP0000267</t>
  </si>
  <si>
    <t>SHP0000268</t>
  </si>
  <si>
    <t>SHP0000269</t>
  </si>
  <si>
    <t>SHP0000270</t>
  </si>
  <si>
    <t>SHP0000271</t>
  </si>
  <si>
    <t>SHP0000272</t>
  </si>
  <si>
    <t>SHP0000273</t>
  </si>
  <si>
    <t>SHP0000274</t>
  </si>
  <si>
    <t>SHP0000275</t>
  </si>
  <si>
    <t>SHP0000276</t>
  </si>
  <si>
    <t>SHP0000277</t>
  </si>
  <si>
    <t>SHP0000278</t>
  </si>
  <si>
    <t>SHP0000279</t>
  </si>
  <si>
    <t>SHP0000280</t>
  </si>
  <si>
    <t>SHP0000281</t>
  </si>
  <si>
    <t>SHP0000282</t>
  </si>
  <si>
    <t>SHP0000283</t>
  </si>
  <si>
    <t>SHP0000284</t>
  </si>
  <si>
    <t>SHP0000285</t>
  </si>
  <si>
    <t>SHP0000286</t>
  </si>
  <si>
    <t>SHP0000287</t>
  </si>
  <si>
    <t>SHP0000288</t>
  </si>
  <si>
    <t>SHP0000289</t>
  </si>
  <si>
    <t>SHP0000290</t>
  </si>
  <si>
    <t>SHP0000291</t>
  </si>
  <si>
    <t>SHP0000292</t>
  </si>
  <si>
    <t>SHP0000293</t>
  </si>
  <si>
    <t>SHP0000294</t>
  </si>
  <si>
    <t>SHP0000295</t>
  </si>
  <si>
    <t>SHP0000296</t>
  </si>
  <si>
    <t>SHP0000297</t>
  </si>
  <si>
    <t>SHP0000298</t>
  </si>
  <si>
    <t>SHP0000299</t>
  </si>
  <si>
    <t>SHP0000300</t>
  </si>
  <si>
    <t>SHP0000301</t>
  </si>
  <si>
    <t>SHP0000302</t>
  </si>
  <si>
    <t>SHP0000303</t>
  </si>
  <si>
    <t>SHP0000304</t>
  </si>
  <si>
    <t>SHP0000305</t>
  </si>
  <si>
    <t>SHP0000306</t>
  </si>
  <si>
    <t>SHP0000307</t>
  </si>
  <si>
    <t>SHP0000308</t>
  </si>
  <si>
    <t>SHP0000309</t>
  </si>
  <si>
    <t>SHP0000310</t>
  </si>
  <si>
    <t>SHP0000311</t>
  </si>
  <si>
    <t>SHP0000312</t>
  </si>
  <si>
    <t>SHP0000313</t>
  </si>
  <si>
    <t>SHP0000314</t>
  </si>
  <si>
    <t>SHP0000315</t>
  </si>
  <si>
    <t>SHP0000316</t>
  </si>
  <si>
    <t>SHP0000317</t>
  </si>
  <si>
    <t>SHP0000318</t>
  </si>
  <si>
    <t>SHP0000319</t>
  </si>
  <si>
    <t>SHP0000320</t>
  </si>
  <si>
    <t>SHP0000321</t>
  </si>
  <si>
    <t>SHP0000322</t>
  </si>
  <si>
    <t>SHP0000323</t>
  </si>
  <si>
    <t>SHP0000324</t>
  </si>
  <si>
    <t>SHP0000325</t>
  </si>
  <si>
    <t>SHP0000326</t>
  </si>
  <si>
    <t>SHP0000327</t>
  </si>
  <si>
    <t>SHP0000328</t>
  </si>
  <si>
    <t>SHP0000329</t>
  </si>
  <si>
    <t>SHP0000330</t>
  </si>
  <si>
    <t>SHP0000331</t>
  </si>
  <si>
    <t>SHP0000332</t>
  </si>
  <si>
    <t>SHP0000333</t>
  </si>
  <si>
    <t>SHP0000334</t>
  </si>
  <si>
    <t>SHP0000335</t>
  </si>
  <si>
    <t>SHP0000336</t>
  </si>
  <si>
    <t>SHP0000337</t>
  </si>
  <si>
    <t>SHP0000338</t>
  </si>
  <si>
    <t>SHP0000339</t>
  </si>
  <si>
    <t>SHP0000340</t>
  </si>
  <si>
    <t>SHP0000341</t>
  </si>
  <si>
    <t>SHP0000342</t>
  </si>
  <si>
    <t>SHP0000343</t>
  </si>
  <si>
    <t>SHP0000344</t>
  </si>
  <si>
    <t>SHP0000345</t>
  </si>
  <si>
    <t>SHP0000346</t>
  </si>
  <si>
    <t>SHP0000347</t>
  </si>
  <si>
    <t>SHP0000348</t>
  </si>
  <si>
    <t>SHP0000349</t>
  </si>
  <si>
    <t>SHP0000350</t>
  </si>
  <si>
    <t>SHP0000351</t>
  </si>
  <si>
    <t>SHP0000352</t>
  </si>
  <si>
    <t>SHP0000353</t>
  </si>
  <si>
    <t>SHP0000354</t>
  </si>
  <si>
    <t>SHP0000355</t>
  </si>
  <si>
    <t>SHP0000356</t>
  </si>
  <si>
    <t>SHP0000357</t>
  </si>
  <si>
    <t>SHP0000358</t>
  </si>
  <si>
    <t>SHP0000359</t>
  </si>
  <si>
    <t>SHP0000360</t>
  </si>
  <si>
    <t>SHP0000361</t>
  </si>
  <si>
    <t>SHP0000362</t>
  </si>
  <si>
    <t>SHP0000363</t>
  </si>
  <si>
    <t>SHP0000364</t>
  </si>
  <si>
    <t>SHP0000365</t>
  </si>
  <si>
    <t>SHP0000366</t>
  </si>
  <si>
    <t>SHP0000367</t>
  </si>
  <si>
    <t>SHP0000368</t>
  </si>
  <si>
    <t>SHP0000369</t>
  </si>
  <si>
    <t>SHP0000370</t>
  </si>
  <si>
    <t>SHP0000371</t>
  </si>
  <si>
    <t>SHP0000372</t>
  </si>
  <si>
    <t>SHP0000373</t>
  </si>
  <si>
    <t>SHP0000374</t>
  </si>
  <si>
    <t>SHP0000375</t>
  </si>
  <si>
    <t>SHP0000376</t>
  </si>
  <si>
    <t>SHP0000377</t>
  </si>
  <si>
    <t>SHP0000378</t>
  </si>
  <si>
    <t>SHP0000379</t>
  </si>
  <si>
    <t>SHP0000380</t>
  </si>
  <si>
    <t>SHP0000381</t>
  </si>
  <si>
    <t>SHP0000382</t>
  </si>
  <si>
    <t>SHP0000383</t>
  </si>
  <si>
    <t>SHP0000384</t>
  </si>
  <si>
    <t>SHP0000385</t>
  </si>
  <si>
    <t>SHP0000386</t>
  </si>
  <si>
    <t>SHP0000387</t>
  </si>
  <si>
    <t>SHP0000388</t>
  </si>
  <si>
    <t>SHP0000389</t>
  </si>
  <si>
    <t>SHP0000390</t>
  </si>
  <si>
    <t>SHP0000391</t>
  </si>
  <si>
    <t>SHP0000392</t>
  </si>
  <si>
    <t>SHP0000393</t>
  </si>
  <si>
    <t>SHP0000394</t>
  </si>
  <si>
    <t>SHP0000395</t>
  </si>
  <si>
    <t>SHP0000396</t>
  </si>
  <si>
    <t>SHP0000397</t>
  </si>
  <si>
    <t>SHP0000398</t>
  </si>
  <si>
    <t>SHP0000399</t>
  </si>
  <si>
    <t>SHP0000400</t>
  </si>
  <si>
    <t>SHP0000401</t>
  </si>
  <si>
    <t>SHP0000402</t>
  </si>
  <si>
    <t>SHP0000403</t>
  </si>
  <si>
    <t>SHP0000404</t>
  </si>
  <si>
    <t>SHP0000405</t>
  </si>
  <si>
    <t>SHP0000406</t>
  </si>
  <si>
    <t>SHP0000407</t>
  </si>
  <si>
    <t>SHP0000408</t>
  </si>
  <si>
    <t>SHP0000409</t>
  </si>
  <si>
    <t>SHP0000410</t>
  </si>
  <si>
    <t>SHP0000411</t>
  </si>
  <si>
    <t>SHP0000412</t>
  </si>
  <si>
    <t>SHP0000413</t>
  </si>
  <si>
    <t>SHP0000414</t>
  </si>
  <si>
    <t>SHP0000415</t>
  </si>
  <si>
    <t>SHP0000416</t>
  </si>
  <si>
    <t>SHP0000417</t>
  </si>
  <si>
    <t>SHP0000418</t>
  </si>
  <si>
    <t>SHP0000419</t>
  </si>
  <si>
    <t>SHP0000420</t>
  </si>
  <si>
    <t>SHP0000421</t>
  </si>
  <si>
    <t>SHP0000422</t>
  </si>
  <si>
    <t>SHP0000423</t>
  </si>
  <si>
    <t>SHP0000424</t>
  </si>
  <si>
    <t>SHP0000425</t>
  </si>
  <si>
    <t>SHP0000426</t>
  </si>
  <si>
    <t>SHP0000427</t>
  </si>
  <si>
    <t>SHP0000428</t>
  </si>
  <si>
    <t>SHP0000429</t>
  </si>
  <si>
    <t>SHP0000430</t>
  </si>
  <si>
    <t>SHP0000431</t>
  </si>
  <si>
    <t>SHP0000432</t>
  </si>
  <si>
    <t>SHP0000433</t>
  </si>
  <si>
    <t>SHP0000434</t>
  </si>
  <si>
    <t>SHP0000435</t>
  </si>
  <si>
    <t>SHP0000436</t>
  </si>
  <si>
    <t>SHP0000437</t>
  </si>
  <si>
    <t>SHP0000438</t>
  </si>
  <si>
    <t>SHP0000439</t>
  </si>
  <si>
    <t>SHP0000440</t>
  </si>
  <si>
    <t>SHP0000441</t>
  </si>
  <si>
    <t>SHP0000442</t>
  </si>
  <si>
    <t>SHP0000443</t>
  </si>
  <si>
    <t>SHP0000444</t>
  </si>
  <si>
    <t>SHP0000445</t>
  </si>
  <si>
    <t>SHP0000446</t>
  </si>
  <si>
    <t>SHP0000447</t>
  </si>
  <si>
    <t>SHP0000448</t>
  </si>
  <si>
    <t>SHP0000449</t>
  </si>
  <si>
    <t>SHP0000450</t>
  </si>
  <si>
    <t>SHP0000451</t>
  </si>
  <si>
    <t>SHP0000452</t>
  </si>
  <si>
    <t>SHP0000453</t>
  </si>
  <si>
    <t>SHP0000454</t>
  </si>
  <si>
    <t>SHP0000455</t>
  </si>
  <si>
    <t>SHP0000456</t>
  </si>
  <si>
    <t>SHP0000457</t>
  </si>
  <si>
    <t>SHP0000458</t>
  </si>
  <si>
    <t>SHP0000459</t>
  </si>
  <si>
    <t>SHP0000460</t>
  </si>
  <si>
    <t>SHP0000461</t>
  </si>
  <si>
    <t>SHP0000462</t>
  </si>
  <si>
    <t>SHP0000463</t>
  </si>
  <si>
    <t>SHP0000464</t>
  </si>
  <si>
    <t>SHP0000465</t>
  </si>
  <si>
    <t>SHP0000466</t>
  </si>
  <si>
    <t>SHP0000467</t>
  </si>
  <si>
    <t>SHP0000468</t>
  </si>
  <si>
    <t>SHP0000469</t>
  </si>
  <si>
    <t>SHP0000470</t>
  </si>
  <si>
    <t>SHP0000471</t>
  </si>
  <si>
    <t>SHP0000472</t>
  </si>
  <si>
    <t>SHP0000473</t>
  </si>
  <si>
    <t>SHP0000474</t>
  </si>
  <si>
    <t>SHP0000475</t>
  </si>
  <si>
    <t>SHP0000476</t>
  </si>
  <si>
    <t>SHP0000477</t>
  </si>
  <si>
    <t>SHP0000478</t>
  </si>
  <si>
    <t>SHP0000479</t>
  </si>
  <si>
    <t>SHP0000480</t>
  </si>
  <si>
    <t>SHP0000481</t>
  </si>
  <si>
    <t>SHP0000482</t>
  </si>
  <si>
    <t>SHP0000483</t>
  </si>
  <si>
    <t>SHP0000484</t>
  </si>
  <si>
    <t>SHP0000485</t>
  </si>
  <si>
    <t>SHP0000486</t>
  </si>
  <si>
    <t>SHP0000487</t>
  </si>
  <si>
    <t>SHP0000488</t>
  </si>
  <si>
    <t>SHP0000489</t>
  </si>
  <si>
    <t>SHP0000490</t>
  </si>
  <si>
    <t>SHP0000491</t>
  </si>
  <si>
    <t>SHP0000492</t>
  </si>
  <si>
    <t>SHP0000493</t>
  </si>
  <si>
    <t>SHP0000494</t>
  </si>
  <si>
    <t>SHP0000495</t>
  </si>
  <si>
    <t>SHP0000496</t>
  </si>
  <si>
    <t>SHP0000497</t>
  </si>
  <si>
    <t>SHP0000498</t>
  </si>
  <si>
    <t>SHP0000499</t>
  </si>
  <si>
    <t>SHP0000500</t>
  </si>
  <si>
    <t>SHP0000501</t>
  </si>
  <si>
    <t>SHP0000502</t>
  </si>
  <si>
    <t>SHP0000503</t>
  </si>
  <si>
    <t>SHP0000504</t>
  </si>
  <si>
    <t>SHP0000505</t>
  </si>
  <si>
    <t>SHP0000506</t>
  </si>
  <si>
    <t>SHP0000507</t>
  </si>
  <si>
    <t>SHP0000508</t>
  </si>
  <si>
    <t>SHP0000509</t>
  </si>
  <si>
    <t>SHP0000510</t>
  </si>
  <si>
    <t>SHP0000511</t>
  </si>
  <si>
    <t>SHP0000512</t>
  </si>
  <si>
    <t>SHP0000513</t>
  </si>
  <si>
    <t>SHP0000514</t>
  </si>
  <si>
    <t>SHP0000515</t>
  </si>
  <si>
    <t>SHP0000516</t>
  </si>
  <si>
    <t>SHP0000517</t>
  </si>
  <si>
    <t>SHP0000518</t>
  </si>
  <si>
    <t>SHP0000519</t>
  </si>
  <si>
    <t>SHP0000520</t>
  </si>
  <si>
    <t>SHP0000521</t>
  </si>
  <si>
    <t>SHP0000522</t>
  </si>
  <si>
    <t>SHP0000523</t>
  </si>
  <si>
    <t>SHP0000524</t>
  </si>
  <si>
    <t>SHP0000525</t>
  </si>
  <si>
    <t>SHP0000526</t>
  </si>
  <si>
    <t>SHP0000527</t>
  </si>
  <si>
    <t>SHP0000528</t>
  </si>
  <si>
    <t>SHP0000529</t>
  </si>
  <si>
    <t>SHP0000530</t>
  </si>
  <si>
    <t>SHP0000531</t>
  </si>
  <si>
    <t>SHP0000532</t>
  </si>
  <si>
    <t>SHP0000533</t>
  </si>
  <si>
    <t>SHP0000534</t>
  </si>
  <si>
    <t>SHP0000535</t>
  </si>
  <si>
    <t>SHP0000536</t>
  </si>
  <si>
    <t>SHP0000537</t>
  </si>
  <si>
    <t>SHP0000538</t>
  </si>
  <si>
    <t>SHP0000539</t>
  </si>
  <si>
    <t>SHP0000540</t>
  </si>
  <si>
    <t>SHP0000541</t>
  </si>
  <si>
    <t>SHP0000542</t>
  </si>
  <si>
    <t>SHP0000543</t>
  </si>
  <si>
    <t>SHP0000544</t>
  </si>
  <si>
    <t>SHP0000545</t>
  </si>
  <si>
    <t>SHP0000546</t>
  </si>
  <si>
    <t>SHP0000547</t>
  </si>
  <si>
    <t>SHP0000548</t>
  </si>
  <si>
    <t>SHP0000549</t>
  </si>
  <si>
    <t>SHP0000550</t>
  </si>
  <si>
    <t>SHP0000551</t>
  </si>
  <si>
    <t>SHP0000552</t>
  </si>
  <si>
    <t>SHP0000553</t>
  </si>
  <si>
    <t>SHP0000554</t>
  </si>
  <si>
    <t>SHP0000555</t>
  </si>
  <si>
    <t>SHP0000556</t>
  </si>
  <si>
    <t>SHP0000557</t>
  </si>
  <si>
    <t>SHP0000558</t>
  </si>
  <si>
    <t>SHP0000559</t>
  </si>
  <si>
    <t>SHP0000560</t>
  </si>
  <si>
    <t>SHP0000561</t>
  </si>
  <si>
    <t>SHP0000562</t>
  </si>
  <si>
    <t>SHP0000563</t>
  </si>
  <si>
    <t>SHP0000564</t>
  </si>
  <si>
    <t>SHP0000565</t>
  </si>
  <si>
    <t>SHP0000566</t>
  </si>
  <si>
    <t>SHP0000567</t>
  </si>
  <si>
    <t>SHP0000568</t>
  </si>
  <si>
    <t>SHP0000569</t>
  </si>
  <si>
    <t>SHP0000570</t>
  </si>
  <si>
    <t>SHP0000571</t>
  </si>
  <si>
    <t>SHP0000572</t>
  </si>
  <si>
    <t>SHP0000573</t>
  </si>
  <si>
    <t>SHP0000574</t>
  </si>
  <si>
    <t>SHP0000575</t>
  </si>
  <si>
    <t>SHP0000576</t>
  </si>
  <si>
    <t>SHP0000577</t>
  </si>
  <si>
    <t>SHP0000578</t>
  </si>
  <si>
    <t>SHP0000579</t>
  </si>
  <si>
    <t>SHP0000580</t>
  </si>
  <si>
    <t>SHP0000581</t>
  </si>
  <si>
    <t>SHP0000582</t>
  </si>
  <si>
    <t>SHP0000583</t>
  </si>
  <si>
    <t>SHP0000584</t>
  </si>
  <si>
    <t>SHP0000585</t>
  </si>
  <si>
    <t>SHP0000586</t>
  </si>
  <si>
    <t>SHP0000587</t>
  </si>
  <si>
    <t>SHP0000588</t>
  </si>
  <si>
    <t>SHP0000589</t>
  </si>
  <si>
    <t>SHP0000590</t>
  </si>
  <si>
    <t>SHP0000591</t>
  </si>
  <si>
    <t>SHP0000592</t>
  </si>
  <si>
    <t>SHP0000593</t>
  </si>
  <si>
    <t>SHP0000594</t>
  </si>
  <si>
    <t>SHP0000595</t>
  </si>
  <si>
    <t>SHP0000596</t>
  </si>
  <si>
    <t>SHP0000597</t>
  </si>
  <si>
    <t>SHP0000598</t>
  </si>
  <si>
    <t>SHP0000599</t>
  </si>
  <si>
    <t>SHP0000600</t>
  </si>
  <si>
    <t>SHP0000601</t>
  </si>
  <si>
    <t>SHP0000602</t>
  </si>
  <si>
    <t>SHP0000603</t>
  </si>
  <si>
    <t>SHP0000604</t>
  </si>
  <si>
    <t>SHP0000605</t>
  </si>
  <si>
    <t>SHP0000606</t>
  </si>
  <si>
    <t>SHP0000607</t>
  </si>
  <si>
    <t>SHP0000608</t>
  </si>
  <si>
    <t>SHP0000609</t>
  </si>
  <si>
    <t>SHP0000610</t>
  </si>
  <si>
    <t>SHP0000611</t>
  </si>
  <si>
    <t>SHP0000612</t>
  </si>
  <si>
    <t>SHP0000613</t>
  </si>
  <si>
    <t>SHP0000614</t>
  </si>
  <si>
    <t>SHP0000615</t>
  </si>
  <si>
    <t>SHP0000616</t>
  </si>
  <si>
    <t>SHP0000617</t>
  </si>
  <si>
    <t>SHP0000618</t>
  </si>
  <si>
    <t>SHP0000619</t>
  </si>
  <si>
    <t>SHP0000620</t>
  </si>
  <si>
    <t>SHP0000621</t>
  </si>
  <si>
    <t>SHP0000622</t>
  </si>
  <si>
    <t>SHP0000623</t>
  </si>
  <si>
    <t>SHP0000624</t>
  </si>
  <si>
    <t>SHP0000625</t>
  </si>
  <si>
    <t>SHP0000626</t>
  </si>
  <si>
    <t>SHP0000627</t>
  </si>
  <si>
    <t>SHP0000628</t>
  </si>
  <si>
    <t>SHP0000629</t>
  </si>
  <si>
    <t>SHP0000630</t>
  </si>
  <si>
    <t>SHP0000631</t>
  </si>
  <si>
    <t>SHP0000632</t>
  </si>
  <si>
    <t>SHP0000633</t>
  </si>
  <si>
    <t>SHP0000634</t>
  </si>
  <si>
    <t>SHP0000635</t>
  </si>
  <si>
    <t>SHP0000636</t>
  </si>
  <si>
    <t>SHP0000637</t>
  </si>
  <si>
    <t>SHP0000638</t>
  </si>
  <si>
    <t>SHP0000639</t>
  </si>
  <si>
    <t>SHP0000640</t>
  </si>
  <si>
    <t>SHP0000641</t>
  </si>
  <si>
    <t>SHP0000642</t>
  </si>
  <si>
    <t>SHP0000643</t>
  </si>
  <si>
    <t>SHP0000644</t>
  </si>
  <si>
    <t>SHP0000645</t>
  </si>
  <si>
    <t>SHP0000646</t>
  </si>
  <si>
    <t>SHP0000647</t>
  </si>
  <si>
    <t>SHP0000648</t>
  </si>
  <si>
    <t>SHP0000649</t>
  </si>
  <si>
    <t>SHP0000650</t>
  </si>
  <si>
    <t>SHP0000651</t>
  </si>
  <si>
    <t>SHP0000652</t>
  </si>
  <si>
    <t>SHP0000653</t>
  </si>
  <si>
    <t>SHP0000654</t>
  </si>
  <si>
    <t>SHP0000655</t>
  </si>
  <si>
    <t>SHP0000656</t>
  </si>
  <si>
    <t>SHP0000657</t>
  </si>
  <si>
    <t>SHP0000658</t>
  </si>
  <si>
    <t>SHP0000659</t>
  </si>
  <si>
    <t>SHP0000660</t>
  </si>
  <si>
    <t>SHP0000661</t>
  </si>
  <si>
    <t>SHP0000662</t>
  </si>
  <si>
    <t>SHP0000663</t>
  </si>
  <si>
    <t>SHP0000664</t>
  </si>
  <si>
    <t>SHP0000665</t>
  </si>
  <si>
    <t>SHP0000666</t>
  </si>
  <si>
    <t>SHP0000667</t>
  </si>
  <si>
    <t>SHP0000668</t>
  </si>
  <si>
    <t>SHP0000669</t>
  </si>
  <si>
    <t>SHP0000670</t>
  </si>
  <si>
    <t>SHP0000671</t>
  </si>
  <si>
    <t>SHP0000672</t>
  </si>
  <si>
    <t>SHP0000673</t>
  </si>
  <si>
    <t>SHP0000674</t>
  </si>
  <si>
    <t>SHP0000675</t>
  </si>
  <si>
    <t>SHP0000676</t>
  </si>
  <si>
    <t>SHP0000677</t>
  </si>
  <si>
    <t>SHP0000678</t>
  </si>
  <si>
    <t>SHP0000679</t>
  </si>
  <si>
    <t>SHP0000680</t>
  </si>
  <si>
    <t>SHP0000681</t>
  </si>
  <si>
    <t>SHP0000682</t>
  </si>
  <si>
    <t>SHP0000683</t>
  </si>
  <si>
    <t>SHP0000684</t>
  </si>
  <si>
    <t>SHP0000685</t>
  </si>
  <si>
    <t>SHP0000686</t>
  </si>
  <si>
    <t>SHP0000687</t>
  </si>
  <si>
    <t>SHP0000688</t>
  </si>
  <si>
    <t>SHP0000689</t>
  </si>
  <si>
    <t>SHP0000690</t>
  </si>
  <si>
    <t>SHP0000691</t>
  </si>
  <si>
    <t>SHP0000692</t>
  </si>
  <si>
    <t>SHP0000693</t>
  </si>
  <si>
    <t>SHP0000694</t>
  </si>
  <si>
    <t>SHP0000695</t>
  </si>
  <si>
    <t>SHP0000696</t>
  </si>
  <si>
    <t>SHP0000697</t>
  </si>
  <si>
    <t>SHP0000698</t>
  </si>
  <si>
    <t>SHP0000699</t>
  </si>
  <si>
    <t>SHP0000700</t>
  </si>
  <si>
    <t>SHP0000701</t>
  </si>
  <si>
    <t>SHP0000702</t>
  </si>
  <si>
    <t>SHP0000703</t>
  </si>
  <si>
    <t>SHP0000704</t>
  </si>
  <si>
    <t>SHP0000705</t>
  </si>
  <si>
    <t>SHP0000706</t>
  </si>
  <si>
    <t>SHP0000707</t>
  </si>
  <si>
    <t>SHP0000708</t>
  </si>
  <si>
    <t>SHP0000709</t>
  </si>
  <si>
    <t>SHP0000710</t>
  </si>
  <si>
    <t>SHP0000711</t>
  </si>
  <si>
    <t>SHP0000712</t>
  </si>
  <si>
    <t>SHP0000713</t>
  </si>
  <si>
    <t>SHP0000714</t>
  </si>
  <si>
    <t>SHP0000715</t>
  </si>
  <si>
    <t>SHP0000716</t>
  </si>
  <si>
    <t>SHP0000717</t>
  </si>
  <si>
    <t>SHP0000718</t>
  </si>
  <si>
    <t>SHP0000719</t>
  </si>
  <si>
    <t>SHP0000720</t>
  </si>
  <si>
    <t>SHP0000721</t>
  </si>
  <si>
    <t>SHP0000722</t>
  </si>
  <si>
    <t>SHP0000723</t>
  </si>
  <si>
    <t>SHP0000724</t>
  </si>
  <si>
    <t>SHP0000725</t>
  </si>
  <si>
    <t>SHP0000726</t>
  </si>
  <si>
    <t>SHP0000727</t>
  </si>
  <si>
    <t>SHP0000728</t>
  </si>
  <si>
    <t>SHP0000729</t>
  </si>
  <si>
    <t>SHP0000730</t>
  </si>
  <si>
    <t>SHP0000731</t>
  </si>
  <si>
    <t>SHP0000732</t>
  </si>
  <si>
    <t>SHP0000733</t>
  </si>
  <si>
    <t>SHP0000734</t>
  </si>
  <si>
    <t>SHP0000735</t>
  </si>
  <si>
    <t>SHP0000736</t>
  </si>
  <si>
    <t>SHP0000737</t>
  </si>
  <si>
    <t>SHP0000738</t>
  </si>
  <si>
    <t>SHP0000739</t>
  </si>
  <si>
    <t>SHP0000740</t>
  </si>
  <si>
    <t>SHP0000741</t>
  </si>
  <si>
    <t>SHP0000742</t>
  </si>
  <si>
    <t>SHP0000743</t>
  </si>
  <si>
    <t>SHP0000744</t>
  </si>
  <si>
    <t>SHP0000745</t>
  </si>
  <si>
    <t>SHP0000746</t>
  </si>
  <si>
    <t>SHP0000747</t>
  </si>
  <si>
    <t>SHP0000748</t>
  </si>
  <si>
    <t>SHP0000749</t>
  </si>
  <si>
    <t>SHP0000750</t>
  </si>
  <si>
    <t>SHP0000751</t>
  </si>
  <si>
    <t>SHP0000752</t>
  </si>
  <si>
    <t>SHP0000753</t>
  </si>
  <si>
    <t>SHP0000754</t>
  </si>
  <si>
    <t>SHP0000755</t>
  </si>
  <si>
    <t>SHP0000756</t>
  </si>
  <si>
    <t>SHP0000757</t>
  </si>
  <si>
    <t>SHP0000758</t>
  </si>
  <si>
    <t>SHP0000759</t>
  </si>
  <si>
    <t>SHP0000760</t>
  </si>
  <si>
    <t>SHP0000761</t>
  </si>
  <si>
    <t>SHP0000762</t>
  </si>
  <si>
    <t>SHP0000763</t>
  </si>
  <si>
    <t>SHP0000764</t>
  </si>
  <si>
    <t>SHP0000765</t>
  </si>
  <si>
    <t>SHP0000766</t>
  </si>
  <si>
    <t>SHP0000767</t>
  </si>
  <si>
    <t>SHP0000768</t>
  </si>
  <si>
    <t>SHP0000769</t>
  </si>
  <si>
    <t>SHP0000770</t>
  </si>
  <si>
    <t>SHP0000771</t>
  </si>
  <si>
    <t>SHP0000772</t>
  </si>
  <si>
    <t>SHP0000773</t>
  </si>
  <si>
    <t>SHP0000774</t>
  </si>
  <si>
    <t>SHP0000775</t>
  </si>
  <si>
    <t>SHP0000776</t>
  </si>
  <si>
    <t>SHP0000777</t>
  </si>
  <si>
    <t>SHP0000778</t>
  </si>
  <si>
    <t>SHP0000779</t>
  </si>
  <si>
    <t>SHP0000780</t>
  </si>
  <si>
    <t>SHP0000781</t>
  </si>
  <si>
    <t>SHP0000782</t>
  </si>
  <si>
    <t>SHP0000783</t>
  </si>
  <si>
    <t>SHP0000784</t>
  </si>
  <si>
    <t>SHP0000785</t>
  </si>
  <si>
    <t>SHP0000786</t>
  </si>
  <si>
    <t>SHP0000787</t>
  </si>
  <si>
    <t>SHP0000788</t>
  </si>
  <si>
    <t>SHP0000789</t>
  </si>
  <si>
    <t>SHP0000790</t>
  </si>
  <si>
    <t>SHP0000791</t>
  </si>
  <si>
    <t>SHP0000792</t>
  </si>
  <si>
    <t>SHP0000793</t>
  </si>
  <si>
    <t>SHP0000794</t>
  </si>
  <si>
    <t>SHP0000795</t>
  </si>
  <si>
    <t>SHP0000796</t>
  </si>
  <si>
    <t>SHP0000797</t>
  </si>
  <si>
    <t>SHP0000798</t>
  </si>
  <si>
    <t>SHP0000799</t>
  </si>
  <si>
    <t>SHP0000800</t>
  </si>
  <si>
    <t>SHP0000801</t>
  </si>
  <si>
    <t>SHP0000802</t>
  </si>
  <si>
    <t>SHP0000803</t>
  </si>
  <si>
    <t>SHP0000804</t>
  </si>
  <si>
    <t>SHP0000805</t>
  </si>
  <si>
    <t>SHP0000806</t>
  </si>
  <si>
    <t>SHP0000807</t>
  </si>
  <si>
    <t>SHP0000808</t>
  </si>
  <si>
    <t>SHP0000809</t>
  </si>
  <si>
    <t>SHP0000810</t>
  </si>
  <si>
    <t>SHP0000811</t>
  </si>
  <si>
    <t>SHP0000812</t>
  </si>
  <si>
    <t>SHP0000813</t>
  </si>
  <si>
    <t>SHP0000814</t>
  </si>
  <si>
    <t>SHP0000815</t>
  </si>
  <si>
    <t>SHP0000816</t>
  </si>
  <si>
    <t>SHP0000817</t>
  </si>
  <si>
    <t>SHP0000818</t>
  </si>
  <si>
    <t>SHP0000819</t>
  </si>
  <si>
    <t>SHP0000820</t>
  </si>
  <si>
    <t>SHP0000821</t>
  </si>
  <si>
    <t>SHP0000822</t>
  </si>
  <si>
    <t>SHP0000823</t>
  </si>
  <si>
    <t>SHP0000824</t>
  </si>
  <si>
    <t>SHP0000825</t>
  </si>
  <si>
    <t>SHP0000826</t>
  </si>
  <si>
    <t>SHP0000827</t>
  </si>
  <si>
    <t>SHP0000828</t>
  </si>
  <si>
    <t>SHP0000829</t>
  </si>
  <si>
    <t>SHP0000830</t>
  </si>
  <si>
    <t>SHP0000831</t>
  </si>
  <si>
    <t>SHP0000832</t>
  </si>
  <si>
    <t>SHP0000833</t>
  </si>
  <si>
    <t>SHP0000834</t>
  </si>
  <si>
    <t>SHP0000835</t>
  </si>
  <si>
    <t>SHP0000836</t>
  </si>
  <si>
    <t>SHP0000837</t>
  </si>
  <si>
    <t>SHP0000838</t>
  </si>
  <si>
    <t>SHP0000839</t>
  </si>
  <si>
    <t>SHP0000840</t>
  </si>
  <si>
    <t>SHP0000841</t>
  </si>
  <si>
    <t>SHP0000842</t>
  </si>
  <si>
    <t>SHP0000843</t>
  </si>
  <si>
    <t>SHP0000844</t>
  </si>
  <si>
    <t>SHP0000845</t>
  </si>
  <si>
    <t>SHP0000846</t>
  </si>
  <si>
    <t>SHP0000847</t>
  </si>
  <si>
    <t>SHP0000848</t>
  </si>
  <si>
    <t>SHP0000849</t>
  </si>
  <si>
    <t>SHP0000850</t>
  </si>
  <si>
    <t>SHP0000851</t>
  </si>
  <si>
    <t>SHP0000852</t>
  </si>
  <si>
    <t>SHP0000853</t>
  </si>
  <si>
    <t>SHP0000854</t>
  </si>
  <si>
    <t>SHP0000855</t>
  </si>
  <si>
    <t>SHP0000856</t>
  </si>
  <si>
    <t>SHP0000857</t>
  </si>
  <si>
    <t>SHP0000858</t>
  </si>
  <si>
    <t>SHP0000859</t>
  </si>
  <si>
    <t>SHP0000860</t>
  </si>
  <si>
    <t>SHP0000861</t>
  </si>
  <si>
    <t>SHP0000862</t>
  </si>
  <si>
    <t>SHP0000863</t>
  </si>
  <si>
    <t>SHP0000864</t>
  </si>
  <si>
    <t>SHP0000865</t>
  </si>
  <si>
    <t>SHP0000866</t>
  </si>
  <si>
    <t>SHP0000867</t>
  </si>
  <si>
    <t>SHP0000868</t>
  </si>
  <si>
    <t>SHP0000869</t>
  </si>
  <si>
    <t>SHP0000870</t>
  </si>
  <si>
    <t>SHP0000871</t>
  </si>
  <si>
    <t>SHP0000872</t>
  </si>
  <si>
    <t>SHP0000873</t>
  </si>
  <si>
    <t>SHP0000874</t>
  </si>
  <si>
    <t>SHP0000875</t>
  </si>
  <si>
    <t>SHP0000876</t>
  </si>
  <si>
    <t>SHP0000877</t>
  </si>
  <si>
    <t>SHP0000878</t>
  </si>
  <si>
    <t>SHP0000879</t>
  </si>
  <si>
    <t>SHP0000880</t>
  </si>
  <si>
    <t>SHP0000881</t>
  </si>
  <si>
    <t>SHP0000882</t>
  </si>
  <si>
    <t>SHP0000883</t>
  </si>
  <si>
    <t>SHP0000884</t>
  </si>
  <si>
    <t>SHP0000885</t>
  </si>
  <si>
    <t>SHP0000886</t>
  </si>
  <si>
    <t>SHP0000887</t>
  </si>
  <si>
    <t>SHP0000888</t>
  </si>
  <si>
    <t>SHP0000889</t>
  </si>
  <si>
    <t>SHP0000890</t>
  </si>
  <si>
    <t>SHP0000891</t>
  </si>
  <si>
    <t>SHP0000892</t>
  </si>
  <si>
    <t>SHP0000893</t>
  </si>
  <si>
    <t>SHP0000894</t>
  </si>
  <si>
    <t>SHP0000895</t>
  </si>
  <si>
    <t>SHP0000896</t>
  </si>
  <si>
    <t>SHP0000897</t>
  </si>
  <si>
    <t>SHP0000898</t>
  </si>
  <si>
    <t>SHP0000899</t>
  </si>
  <si>
    <t>SHP0000900</t>
  </si>
  <si>
    <t>SHP0000901</t>
  </si>
  <si>
    <t>SHP0000902</t>
  </si>
  <si>
    <t>SHP0000903</t>
  </si>
  <si>
    <t>SHP0000904</t>
  </si>
  <si>
    <t>SHP0000905</t>
  </si>
  <si>
    <t>SHP0000906</t>
  </si>
  <si>
    <t>SHP0000907</t>
  </si>
  <si>
    <t>SHP0000908</t>
  </si>
  <si>
    <t>SHP0000909</t>
  </si>
  <si>
    <t>SHP0000910</t>
  </si>
  <si>
    <t>SHP0000911</t>
  </si>
  <si>
    <t>SHP0000912</t>
  </si>
  <si>
    <t>SHP0000913</t>
  </si>
  <si>
    <t>SHP0000914</t>
  </si>
  <si>
    <t>SHP0000915</t>
  </si>
  <si>
    <t>SHP0000916</t>
  </si>
  <si>
    <t>SHP0000917</t>
  </si>
  <si>
    <t>SHP0000918</t>
  </si>
  <si>
    <t>SHP0000919</t>
  </si>
  <si>
    <t>SHP0000920</t>
  </si>
  <si>
    <t>SHP0000921</t>
  </si>
  <si>
    <t>SHP0000922</t>
  </si>
  <si>
    <t>SHP0000923</t>
  </si>
  <si>
    <t>SHP0000924</t>
  </si>
  <si>
    <t>SHP0000925</t>
  </si>
  <si>
    <t>SHP0000926</t>
  </si>
  <si>
    <t>SHP0000927</t>
  </si>
  <si>
    <t>SHP0000928</t>
  </si>
  <si>
    <t>SHP0000929</t>
  </si>
  <si>
    <t>SHP0000930</t>
  </si>
  <si>
    <t>SHP0000931</t>
  </si>
  <si>
    <t>SHP0000932</t>
  </si>
  <si>
    <t>SHP0000933</t>
  </si>
  <si>
    <t>SHP0000934</t>
  </si>
  <si>
    <t>SHP0000935</t>
  </si>
  <si>
    <t>SHP0000936</t>
  </si>
  <si>
    <t>SHP0000937</t>
  </si>
  <si>
    <t>SHP0000938</t>
  </si>
  <si>
    <t>SHP0000939</t>
  </si>
  <si>
    <t>SHP0000940</t>
  </si>
  <si>
    <t>SHP0000941</t>
  </si>
  <si>
    <t>SHP0000942</t>
  </si>
  <si>
    <t>SHP0000943</t>
  </si>
  <si>
    <t>SHP0000944</t>
  </si>
  <si>
    <t>SHP0000945</t>
  </si>
  <si>
    <t>SHP0000946</t>
  </si>
  <si>
    <t>SHP0000947</t>
  </si>
  <si>
    <t>SHP0000948</t>
  </si>
  <si>
    <t>SHP0000949</t>
  </si>
  <si>
    <t>SHP0000950</t>
  </si>
  <si>
    <t>SHP0000951</t>
  </si>
  <si>
    <t>SHP0000952</t>
  </si>
  <si>
    <t>SHP0000953</t>
  </si>
  <si>
    <t>SHP0000954</t>
  </si>
  <si>
    <t>SHP0000955</t>
  </si>
  <si>
    <t>SHP0000956</t>
  </si>
  <si>
    <t>SHP0000957</t>
  </si>
  <si>
    <t>SHP0000958</t>
  </si>
  <si>
    <t>SHP0000959</t>
  </si>
  <si>
    <t>SHP0000960</t>
  </si>
  <si>
    <t>SHP0000961</t>
  </si>
  <si>
    <t>SHP0000962</t>
  </si>
  <si>
    <t>SHP0000963</t>
  </si>
  <si>
    <t>SHP0000964</t>
  </si>
  <si>
    <t>SHP0000965</t>
  </si>
  <si>
    <t>SHP0000966</t>
  </si>
  <si>
    <t>SHP0000967</t>
  </si>
  <si>
    <t>SHP0000968</t>
  </si>
  <si>
    <t>SHP0000969</t>
  </si>
  <si>
    <t>SHP0000970</t>
  </si>
  <si>
    <t>SHP0000971</t>
  </si>
  <si>
    <t>SHP0000972</t>
  </si>
  <si>
    <t>SHP0000973</t>
  </si>
  <si>
    <t>SHP0000974</t>
  </si>
  <si>
    <t>SHP0000975</t>
  </si>
  <si>
    <t>SHP0000976</t>
  </si>
  <si>
    <t>SHP0000977</t>
  </si>
  <si>
    <t>SHP0000978</t>
  </si>
  <si>
    <t>SHP0000979</t>
  </si>
  <si>
    <t>SHP0000980</t>
  </si>
  <si>
    <t>SHP0000981</t>
  </si>
  <si>
    <t>SHP0000982</t>
  </si>
  <si>
    <t>SHP0000983</t>
  </si>
  <si>
    <t>SHP0000984</t>
  </si>
  <si>
    <t>SHP0000985</t>
  </si>
  <si>
    <t>SHP0000986</t>
  </si>
  <si>
    <t>SHP0000987</t>
  </si>
  <si>
    <t>SHP0000988</t>
  </si>
  <si>
    <t>SHP0000989</t>
  </si>
  <si>
    <t>SHP0000990</t>
  </si>
  <si>
    <t>SHP0000991</t>
  </si>
  <si>
    <t>SHP0000992</t>
  </si>
  <si>
    <t>SHP0000993</t>
  </si>
  <si>
    <t>SHP0000994</t>
  </si>
  <si>
    <t>SHP0000995</t>
  </si>
  <si>
    <t>SHP0000996</t>
  </si>
  <si>
    <t>SHP0000997</t>
  </si>
  <si>
    <t>SHP0000998</t>
  </si>
  <si>
    <t>SHP0000999</t>
  </si>
  <si>
    <t>SHP0001000</t>
  </si>
  <si>
    <t>SHP0001001</t>
  </si>
  <si>
    <t>SHP0001002</t>
  </si>
  <si>
    <t>SHP0001003</t>
  </si>
  <si>
    <t>SHP0001004</t>
  </si>
  <si>
    <t>SHP0001005</t>
  </si>
  <si>
    <t>SHP0001006</t>
  </si>
  <si>
    <t>SHP0001007</t>
  </si>
  <si>
    <t>SHP0001008</t>
  </si>
  <si>
    <t>SHP0001009</t>
  </si>
  <si>
    <t>SHP0001010</t>
  </si>
  <si>
    <t>SHP0001011</t>
  </si>
  <si>
    <t>SHP0001012</t>
  </si>
  <si>
    <t>SHP0001013</t>
  </si>
  <si>
    <t>SHP0001014</t>
  </si>
  <si>
    <t>SHP0001015</t>
  </si>
  <si>
    <t>SHP0001016</t>
  </si>
  <si>
    <t>SHP0001017</t>
  </si>
  <si>
    <t>SHP0001018</t>
  </si>
  <si>
    <t>SHP0001019</t>
  </si>
  <si>
    <t>SHP0001020</t>
  </si>
  <si>
    <t>SHP0001021</t>
  </si>
  <si>
    <t>SHP0001022</t>
  </si>
  <si>
    <t>SHP0001023</t>
  </si>
  <si>
    <t>SHP0001024</t>
  </si>
  <si>
    <t>SHP0001025</t>
  </si>
  <si>
    <t>SHP0001026</t>
  </si>
  <si>
    <t>SHP0001027</t>
  </si>
  <si>
    <t>SHP0001028</t>
  </si>
  <si>
    <t>SHP0001029</t>
  </si>
  <si>
    <t>SHP0001030</t>
  </si>
  <si>
    <t>SHP0001031</t>
  </si>
  <si>
    <t>SHP0001032</t>
  </si>
  <si>
    <t>SHP0001033</t>
  </si>
  <si>
    <t>SHP0001034</t>
  </si>
  <si>
    <t>SHP0001035</t>
  </si>
  <si>
    <t>SHP0001036</t>
  </si>
  <si>
    <t>SHP0001037</t>
  </si>
  <si>
    <t>SHP0001038</t>
  </si>
  <si>
    <t>SHP0001039</t>
  </si>
  <si>
    <t>SHP0001040</t>
  </si>
  <si>
    <t>SHP0001041</t>
  </si>
  <si>
    <t>SHP0001042</t>
  </si>
  <si>
    <t>SHP0001043</t>
  </si>
  <si>
    <t>SHP0001044</t>
  </si>
  <si>
    <t>SHP0001045</t>
  </si>
  <si>
    <t>SHP0001046</t>
  </si>
  <si>
    <t>SHP0001047</t>
  </si>
  <si>
    <t>SHP0001048</t>
  </si>
  <si>
    <t>SHP0001049</t>
  </si>
  <si>
    <t>SHP0001050</t>
  </si>
  <si>
    <t>SHP0001051</t>
  </si>
  <si>
    <t>SHP0001052</t>
  </si>
  <si>
    <t>SHP0001053</t>
  </si>
  <si>
    <t>SHP0001054</t>
  </si>
  <si>
    <t>SHP0001055</t>
  </si>
  <si>
    <t>SHP0001056</t>
  </si>
  <si>
    <t>SHP0001057</t>
  </si>
  <si>
    <t>SHP0001058</t>
  </si>
  <si>
    <t>SHP0001059</t>
  </si>
  <si>
    <t>SHP0001060</t>
  </si>
  <si>
    <t>SHP0001061</t>
  </si>
  <si>
    <t>SHP0001062</t>
  </si>
  <si>
    <t>SHP0001063</t>
  </si>
  <si>
    <t>SHP0001064</t>
  </si>
  <si>
    <t>SHP0001065</t>
  </si>
  <si>
    <t>SHP0001066</t>
  </si>
  <si>
    <t>SHP0001067</t>
  </si>
  <si>
    <t>SHP0001068</t>
  </si>
  <si>
    <t>SHP0001069</t>
  </si>
  <si>
    <t>SHP0001070</t>
  </si>
  <si>
    <t>SHP0001071</t>
  </si>
  <si>
    <t>SHP0001072</t>
  </si>
  <si>
    <t>SHP0001073</t>
  </si>
  <si>
    <t>SHP0001074</t>
  </si>
  <si>
    <t>SHP0001075</t>
  </si>
  <si>
    <t>SHP0001076</t>
  </si>
  <si>
    <t>SHP0001077</t>
  </si>
  <si>
    <t>SHP0001078</t>
  </si>
  <si>
    <t>SHP0001079</t>
  </si>
  <si>
    <t>SHP0001080</t>
  </si>
  <si>
    <t>SHP0001081</t>
  </si>
  <si>
    <t>SHP0001082</t>
  </si>
  <si>
    <t>SHP0001083</t>
  </si>
  <si>
    <t>SHP0001084</t>
  </si>
  <si>
    <t>SHP0001085</t>
  </si>
  <si>
    <t>SHP0001086</t>
  </si>
  <si>
    <t>SHP0001087</t>
  </si>
  <si>
    <t>SHP0001088</t>
  </si>
  <si>
    <t>SHP0001089</t>
  </si>
  <si>
    <t>SHP0001090</t>
  </si>
  <si>
    <t>SHP0001091</t>
  </si>
  <si>
    <t>SHP0001092</t>
  </si>
  <si>
    <t>SHP0001093</t>
  </si>
  <si>
    <t>SHP0001094</t>
  </si>
  <si>
    <t>SHP0001095</t>
  </si>
  <si>
    <t>SHP0001096</t>
  </si>
  <si>
    <t>SHP0001097</t>
  </si>
  <si>
    <t>SHP0001098</t>
  </si>
  <si>
    <t>SHP0001099</t>
  </si>
  <si>
    <t>SHP0001100</t>
  </si>
  <si>
    <t>SHP0001101</t>
  </si>
  <si>
    <t>SHP0001102</t>
  </si>
  <si>
    <t>SHP0001103</t>
  </si>
  <si>
    <t>SHP0001104</t>
  </si>
  <si>
    <t>SHP0001105</t>
  </si>
  <si>
    <t>SHP0001106</t>
  </si>
  <si>
    <t>SHP0001107</t>
  </si>
  <si>
    <t>SHP0001108</t>
  </si>
  <si>
    <t>SHP0001109</t>
  </si>
  <si>
    <t>SHP0001110</t>
  </si>
  <si>
    <t>SHP0001111</t>
  </si>
  <si>
    <t>SHP0001112</t>
  </si>
  <si>
    <t>SHP0001113</t>
  </si>
  <si>
    <t>SHP0001114</t>
  </si>
  <si>
    <t>SHP0001115</t>
  </si>
  <si>
    <t>SHP0001116</t>
  </si>
  <si>
    <t>SHP0001117</t>
  </si>
  <si>
    <t>SHP0001118</t>
  </si>
  <si>
    <t>SHP0001119</t>
  </si>
  <si>
    <t>SHP0001120</t>
  </si>
  <si>
    <t>SHP0001121</t>
  </si>
  <si>
    <t>SHP0001122</t>
  </si>
  <si>
    <t>SHP0001123</t>
  </si>
  <si>
    <t>SHP0001124</t>
  </si>
  <si>
    <t>SHP0001125</t>
  </si>
  <si>
    <t>SHP0001126</t>
  </si>
  <si>
    <t>SHP0001127</t>
  </si>
  <si>
    <t>SHP0001128</t>
  </si>
  <si>
    <t>SHP0001129</t>
  </si>
  <si>
    <t>SHP0001130</t>
  </si>
  <si>
    <t>SHP0001131</t>
  </si>
  <si>
    <t>SHP0001132</t>
  </si>
  <si>
    <t>SHP0001133</t>
  </si>
  <si>
    <t>SHP0001134</t>
  </si>
  <si>
    <t>SHP0001135</t>
  </si>
  <si>
    <t>SHP0001136</t>
  </si>
  <si>
    <t>SHP0001137</t>
  </si>
  <si>
    <t>SHP0001138</t>
  </si>
  <si>
    <t>SHP0001139</t>
  </si>
  <si>
    <t>SHP0001140</t>
  </si>
  <si>
    <t>SHP0001141</t>
  </si>
  <si>
    <t>SHP0001142</t>
  </si>
  <si>
    <t>SHP0001143</t>
  </si>
  <si>
    <t>SHP0001144</t>
  </si>
  <si>
    <t>SHP0001145</t>
  </si>
  <si>
    <t>SHP0001146</t>
  </si>
  <si>
    <t>SHP0001147</t>
  </si>
  <si>
    <t>SHP0001148</t>
  </si>
  <si>
    <t>SHP0001149</t>
  </si>
  <si>
    <t>SHP0001150</t>
  </si>
  <si>
    <t>SHP0001151</t>
  </si>
  <si>
    <t>SHP0001152</t>
  </si>
  <si>
    <t>SHP0001153</t>
  </si>
  <si>
    <t>SHP0001154</t>
  </si>
  <si>
    <t>SHP0001155</t>
  </si>
  <si>
    <t>SHP0001156</t>
  </si>
  <si>
    <t>SHP0001157</t>
  </si>
  <si>
    <t>SHP0001158</t>
  </si>
  <si>
    <t>SHP0001159</t>
  </si>
  <si>
    <t>SHP0001160</t>
  </si>
  <si>
    <t>SHP0001161</t>
  </si>
  <si>
    <t>SHP0001162</t>
  </si>
  <si>
    <t>SHP0001163</t>
  </si>
  <si>
    <t>SHP0001164</t>
  </si>
  <si>
    <t>SHP0001165</t>
  </si>
  <si>
    <t>SHP0001166</t>
  </si>
  <si>
    <t>SHP0001167</t>
  </si>
  <si>
    <t>SHP0001168</t>
  </si>
  <si>
    <t>SHP0001169</t>
  </si>
  <si>
    <t>SHP0001170</t>
  </si>
  <si>
    <t>SHP0001171</t>
  </si>
  <si>
    <t>SHP0001172</t>
  </si>
  <si>
    <t>SHP0001173</t>
  </si>
  <si>
    <t>SHP0001174</t>
  </si>
  <si>
    <t>SHP0001175</t>
  </si>
  <si>
    <t>SHP0001176</t>
  </si>
  <si>
    <t>SHP0001177</t>
  </si>
  <si>
    <t>SHP0001178</t>
  </si>
  <si>
    <t>SHP0001179</t>
  </si>
  <si>
    <t>SHP0001180</t>
  </si>
  <si>
    <t>SHP0001181</t>
  </si>
  <si>
    <t>SHP0001182</t>
  </si>
  <si>
    <t>SHP0001183</t>
  </si>
  <si>
    <t>SHP0001184</t>
  </si>
  <si>
    <t>SHP0001185</t>
  </si>
  <si>
    <t>SHP0001186</t>
  </si>
  <si>
    <t>SHP0001187</t>
  </si>
  <si>
    <t>SHP0001188</t>
  </si>
  <si>
    <t>SHP0001189</t>
  </si>
  <si>
    <t>SHP0001190</t>
  </si>
  <si>
    <t>SHP0001191</t>
  </si>
  <si>
    <t>SHP0001192</t>
  </si>
  <si>
    <t>SHP0001193</t>
  </si>
  <si>
    <t>SHP0001194</t>
  </si>
  <si>
    <t>SHP0001195</t>
  </si>
  <si>
    <t>SHP0001196</t>
  </si>
  <si>
    <t>SHP0001197</t>
  </si>
  <si>
    <t>SHP0001198</t>
  </si>
  <si>
    <t>SHP0001199</t>
  </si>
  <si>
    <t>SHP0001200</t>
  </si>
  <si>
    <t>SHP0001201</t>
  </si>
  <si>
    <t>SHP0001202</t>
  </si>
  <si>
    <t>SHP0001203</t>
  </si>
  <si>
    <t>SHP0001204</t>
  </si>
  <si>
    <t>SHP0001205</t>
  </si>
  <si>
    <t>SHP0001206</t>
  </si>
  <si>
    <t>SHP0001207</t>
  </si>
  <si>
    <t>SHP0001208</t>
  </si>
  <si>
    <t>SHP0001209</t>
  </si>
  <si>
    <t>SHP0001210</t>
  </si>
  <si>
    <t>SHP0001211</t>
  </si>
  <si>
    <t>SHP0001212</t>
  </si>
  <si>
    <t>SHP0001213</t>
  </si>
  <si>
    <t>SHP0001214</t>
  </si>
  <si>
    <t>SHP0001215</t>
  </si>
  <si>
    <t>SHP0001216</t>
  </si>
  <si>
    <t>SHP0001217</t>
  </si>
  <si>
    <t>SHP0001218</t>
  </si>
  <si>
    <t>SHP0001219</t>
  </si>
  <si>
    <t>SHP0001220</t>
  </si>
  <si>
    <t>SHP0001221</t>
  </si>
  <si>
    <t>SHP0001222</t>
  </si>
  <si>
    <t>SHP0001223</t>
  </si>
  <si>
    <t>SHP0001224</t>
  </si>
  <si>
    <t>SHP0001225</t>
  </si>
  <si>
    <t>SHP0001226</t>
  </si>
  <si>
    <t>SHP0001227</t>
  </si>
  <si>
    <t>SHP0001228</t>
  </si>
  <si>
    <t>SHP0001229</t>
  </si>
  <si>
    <t>SHP0001230</t>
  </si>
  <si>
    <t>SHP0001231</t>
  </si>
  <si>
    <t>SHP0001232</t>
  </si>
  <si>
    <t>SHP0001233</t>
  </si>
  <si>
    <t>SHP0001234</t>
  </si>
  <si>
    <t>SHP0001235</t>
  </si>
  <si>
    <t>SHP0001236</t>
  </si>
  <si>
    <t>SHP0001237</t>
  </si>
  <si>
    <t>SHP0001238</t>
  </si>
  <si>
    <t>SHP0001239</t>
  </si>
  <si>
    <t>SHP0001240</t>
  </si>
  <si>
    <t>SHP0001241</t>
  </si>
  <si>
    <t>SHP0001242</t>
  </si>
  <si>
    <t>SHP0001243</t>
  </si>
  <si>
    <t>SHP0001244</t>
  </si>
  <si>
    <t>SHP0001245</t>
  </si>
  <si>
    <t>SHP0001246</t>
  </si>
  <si>
    <t>SHP0001247</t>
  </si>
  <si>
    <t>SHP0001248</t>
  </si>
  <si>
    <t>SHP0001249</t>
  </si>
  <si>
    <t>SHP0001250</t>
  </si>
  <si>
    <t>SHP0001251</t>
  </si>
  <si>
    <t>SHP0001252</t>
  </si>
  <si>
    <t>SHP0001253</t>
  </si>
  <si>
    <t>SHP0001254</t>
  </si>
  <si>
    <t>SHP0001255</t>
  </si>
  <si>
    <t>SHP0001256</t>
  </si>
  <si>
    <t>SHP0001257</t>
  </si>
  <si>
    <t>SHP0001258</t>
  </si>
  <si>
    <t>SHP0001259</t>
  </si>
  <si>
    <t>SHP0001260</t>
  </si>
  <si>
    <t>SHP0001261</t>
  </si>
  <si>
    <t>SHP0001262</t>
  </si>
  <si>
    <t>SHP0001263</t>
  </si>
  <si>
    <t>SHP0001264</t>
  </si>
  <si>
    <t>SHP0001265</t>
  </si>
  <si>
    <t>SHP0001266</t>
  </si>
  <si>
    <t>SHP0001267</t>
  </si>
  <si>
    <t>SHP0001268</t>
  </si>
  <si>
    <t>SHP0001269</t>
  </si>
  <si>
    <t>SHP0001270</t>
  </si>
  <si>
    <t>SHP0001271</t>
  </si>
  <si>
    <t>SHP0001272</t>
  </si>
  <si>
    <t>SHP0001273</t>
  </si>
  <si>
    <t>SHP0001274</t>
  </si>
  <si>
    <t>SHP0001275</t>
  </si>
  <si>
    <t>SHP0001276</t>
  </si>
  <si>
    <t>SHP0001277</t>
  </si>
  <si>
    <t>SHP0001278</t>
  </si>
  <si>
    <t>SHP0001279</t>
  </si>
  <si>
    <t>SHP0001280</t>
  </si>
  <si>
    <t>SHP0001281</t>
  </si>
  <si>
    <t>SHP0001282</t>
  </si>
  <si>
    <t>SHP0001283</t>
  </si>
  <si>
    <t>SHP0001284</t>
  </si>
  <si>
    <t>SHP0001285</t>
  </si>
  <si>
    <t>SHP0001286</t>
  </si>
  <si>
    <t>SHP0001287</t>
  </si>
  <si>
    <t>SHP0001288</t>
  </si>
  <si>
    <t>SHP0001289</t>
  </si>
  <si>
    <t>SHP0001290</t>
  </si>
  <si>
    <t>SHP0001291</t>
  </si>
  <si>
    <t>SHP0001292</t>
  </si>
  <si>
    <t>SHP0001293</t>
  </si>
  <si>
    <t>SHP0001294</t>
  </si>
  <si>
    <t>SHP0001295</t>
  </si>
  <si>
    <t>SHP0001296</t>
  </si>
  <si>
    <t>SHP0001297</t>
  </si>
  <si>
    <t>SHP0001298</t>
  </si>
  <si>
    <t>SHP0001299</t>
  </si>
  <si>
    <t>SHP0001300</t>
  </si>
  <si>
    <t>SHP0001301</t>
  </si>
  <si>
    <t>SHP0001302</t>
  </si>
  <si>
    <t>SHP0001303</t>
  </si>
  <si>
    <t>SHP0001304</t>
  </si>
  <si>
    <t>SHP0001305</t>
  </si>
  <si>
    <t>SHP0001306</t>
  </si>
  <si>
    <t>SHP0001307</t>
  </si>
  <si>
    <t>SHP0001308</t>
  </si>
  <si>
    <t>SHP0001309</t>
  </si>
  <si>
    <t>SHP0001310</t>
  </si>
  <si>
    <t>SHP0001311</t>
  </si>
  <si>
    <t>SHP0001312</t>
  </si>
  <si>
    <t>SHP0001313</t>
  </si>
  <si>
    <t>SHP0001314</t>
  </si>
  <si>
    <t>SHP0001315</t>
  </si>
  <si>
    <t>SHP0001316</t>
  </si>
  <si>
    <t>SHP0001317</t>
  </si>
  <si>
    <t>SHP0001318</t>
  </si>
  <si>
    <t>SHP0001319</t>
  </si>
  <si>
    <t>SHP0001320</t>
  </si>
  <si>
    <t>SHP0001321</t>
  </si>
  <si>
    <t>SHP0001322</t>
  </si>
  <si>
    <t>SHP0001323</t>
  </si>
  <si>
    <t>SHP0001324</t>
  </si>
  <si>
    <t>SHP0001325</t>
  </si>
  <si>
    <t>SHP0001326</t>
  </si>
  <si>
    <t>SHP0001327</t>
  </si>
  <si>
    <t>SHP0001328</t>
  </si>
  <si>
    <t>SHP0001329</t>
  </si>
  <si>
    <t>SHP0001330</t>
  </si>
  <si>
    <t>SHP0001331</t>
  </si>
  <si>
    <t>SHP0001332</t>
  </si>
  <si>
    <t>SHP0001333</t>
  </si>
  <si>
    <t>SHP0001334</t>
  </si>
  <si>
    <t>SHP0001335</t>
  </si>
  <si>
    <t>SHP0001336</t>
  </si>
  <si>
    <t>SHP0001337</t>
  </si>
  <si>
    <t>SHP0001338</t>
  </si>
  <si>
    <t>SHP0001339</t>
  </si>
  <si>
    <t>SHP0001340</t>
  </si>
  <si>
    <t>SHP0001341</t>
  </si>
  <si>
    <t>SHP0001342</t>
  </si>
  <si>
    <t>SHP0001343</t>
  </si>
  <si>
    <t>SHP0001344</t>
  </si>
  <si>
    <t>SHP0001345</t>
  </si>
  <si>
    <t>SHP0001346</t>
  </si>
  <si>
    <t>SHP0001347</t>
  </si>
  <si>
    <t>SHP0001348</t>
  </si>
  <si>
    <t>SHP0001349</t>
  </si>
  <si>
    <t>SHP0001350</t>
  </si>
  <si>
    <t>SHP0001351</t>
  </si>
  <si>
    <t>SHP0001352</t>
  </si>
  <si>
    <t>SHP0001353</t>
  </si>
  <si>
    <t>SHP0001354</t>
  </si>
  <si>
    <t>SHP0001355</t>
  </si>
  <si>
    <t>SHP0001356</t>
  </si>
  <si>
    <t>SHP0001357</t>
  </si>
  <si>
    <t>SHP0001358</t>
  </si>
  <si>
    <t>SHP0001359</t>
  </si>
  <si>
    <t>SHP0001360</t>
  </si>
  <si>
    <t>SHP0001361</t>
  </si>
  <si>
    <t>SHP0001362</t>
  </si>
  <si>
    <t>SHP0001363</t>
  </si>
  <si>
    <t>SHP0001364</t>
  </si>
  <si>
    <t>SHP0001365</t>
  </si>
  <si>
    <t>SHP0001366</t>
  </si>
  <si>
    <t>SHP0001367</t>
  </si>
  <si>
    <t>SHP0001368</t>
  </si>
  <si>
    <t>SHP0001369</t>
  </si>
  <si>
    <t>SHP0001370</t>
  </si>
  <si>
    <t>SHP0001371</t>
  </si>
  <si>
    <t>SHP0001372</t>
  </si>
  <si>
    <t>SHP0001373</t>
  </si>
  <si>
    <t>SHP0001374</t>
  </si>
  <si>
    <t>SHP0001375</t>
  </si>
  <si>
    <t>SHP0001376</t>
  </si>
  <si>
    <t>SHP0001377</t>
  </si>
  <si>
    <t>SHP0001378</t>
  </si>
  <si>
    <t>SHP0001379</t>
  </si>
  <si>
    <t>SHP0001380</t>
  </si>
  <si>
    <t>SHP0001381</t>
  </si>
  <si>
    <t>SHP0001382</t>
  </si>
  <si>
    <t>SHP0001383</t>
  </si>
  <si>
    <t>SHP0001384</t>
  </si>
  <si>
    <t>SHP0001385</t>
  </si>
  <si>
    <t>SHP0001386</t>
  </si>
  <si>
    <t>SHP0001387</t>
  </si>
  <si>
    <t>SHP0001388</t>
  </si>
  <si>
    <t>SHP0001389</t>
  </si>
  <si>
    <t>SHP0001390</t>
  </si>
  <si>
    <t>SHP0001391</t>
  </si>
  <si>
    <t>SHP0001392</t>
  </si>
  <si>
    <t>SHP0001393</t>
  </si>
  <si>
    <t>SHP0001394</t>
  </si>
  <si>
    <t>SHP0001395</t>
  </si>
  <si>
    <t>SHP0001396</t>
  </si>
  <si>
    <t>SHP0001397</t>
  </si>
  <si>
    <t>SHP0001398</t>
  </si>
  <si>
    <t>SHP0001399</t>
  </si>
  <si>
    <t>SHP0001400</t>
  </si>
  <si>
    <t>SHP0001401</t>
  </si>
  <si>
    <t>SHP0001402</t>
  </si>
  <si>
    <t>SHP0001403</t>
  </si>
  <si>
    <t>SHP0001404</t>
  </si>
  <si>
    <t>SHP0001405</t>
  </si>
  <si>
    <t>SHP0001406</t>
  </si>
  <si>
    <t>SHP0001407</t>
  </si>
  <si>
    <t>SHP0001408</t>
  </si>
  <si>
    <t>SHP0001409</t>
  </si>
  <si>
    <t>SHP0001410</t>
  </si>
  <si>
    <t>SHP0001411</t>
  </si>
  <si>
    <t>SHP0001412</t>
  </si>
  <si>
    <t>SHP0001413</t>
  </si>
  <si>
    <t>SHP0001414</t>
  </si>
  <si>
    <t>SHP0001415</t>
  </si>
  <si>
    <t>SHP0001416</t>
  </si>
  <si>
    <t>SHP0001417</t>
  </si>
  <si>
    <t>SHP0001418</t>
  </si>
  <si>
    <t>SHP0001419</t>
  </si>
  <si>
    <t>SHP0001420</t>
  </si>
  <si>
    <t>SHP0001421</t>
  </si>
  <si>
    <t>SHP0001422</t>
  </si>
  <si>
    <t>SHP0001423</t>
  </si>
  <si>
    <t>SHP0001424</t>
  </si>
  <si>
    <t>SHP0001425</t>
  </si>
  <si>
    <t>SHP0001426</t>
  </si>
  <si>
    <t>SHP0001427</t>
  </si>
  <si>
    <t>SHP0001428</t>
  </si>
  <si>
    <t>SHP0001429</t>
  </si>
  <si>
    <t>SHP0001430</t>
  </si>
  <si>
    <t>SHP0001431</t>
  </si>
  <si>
    <t>SHP0001432</t>
  </si>
  <si>
    <t>SHP0001433</t>
  </si>
  <si>
    <t>SHP0001434</t>
  </si>
  <si>
    <t>SHP0001435</t>
  </si>
  <si>
    <t>SHP0001436</t>
  </si>
  <si>
    <t>SHP0001437</t>
  </si>
  <si>
    <t>SHP0001438</t>
  </si>
  <si>
    <t>SHP0001439</t>
  </si>
  <si>
    <t>SHP0001440</t>
  </si>
  <si>
    <t>SHP0001441</t>
  </si>
  <si>
    <t>SHP0001442</t>
  </si>
  <si>
    <t>SHP0001443</t>
  </si>
  <si>
    <t>SHP0001444</t>
  </si>
  <si>
    <t>SHP0001445</t>
  </si>
  <si>
    <t>SHP0001446</t>
  </si>
  <si>
    <t>SHP0001447</t>
  </si>
  <si>
    <t>SHP0001448</t>
  </si>
  <si>
    <t>SHP0001449</t>
  </si>
  <si>
    <t>SHP0001450</t>
  </si>
  <si>
    <t>SHP0001451</t>
  </si>
  <si>
    <t>SHP0001452</t>
  </si>
  <si>
    <t>SHP0001453</t>
  </si>
  <si>
    <t>SHP0001454</t>
  </si>
  <si>
    <t>SHP0001455</t>
  </si>
  <si>
    <t>SHP0001456</t>
  </si>
  <si>
    <t>SHP0001457</t>
  </si>
  <si>
    <t>SHP0001458</t>
  </si>
  <si>
    <t>SHP0001459</t>
  </si>
  <si>
    <t>SHP0001460</t>
  </si>
  <si>
    <t>SHP0001461</t>
  </si>
  <si>
    <t>SHP0001462</t>
  </si>
  <si>
    <t>SHP0001463</t>
  </si>
  <si>
    <t>SHP0001464</t>
  </si>
  <si>
    <t>SHP0001465</t>
  </si>
  <si>
    <t>SHP0001466</t>
  </si>
  <si>
    <t>SHP0001467</t>
  </si>
  <si>
    <t>SHP0001468</t>
  </si>
  <si>
    <t>SHP0001469</t>
  </si>
  <si>
    <t>SHP0001470</t>
  </si>
  <si>
    <t>SHP0001471</t>
  </si>
  <si>
    <t>SHP0001472</t>
  </si>
  <si>
    <t>SHP0001473</t>
  </si>
  <si>
    <t>SHP0001474</t>
  </si>
  <si>
    <t>SHP0001475</t>
  </si>
  <si>
    <t>SHP0001476</t>
  </si>
  <si>
    <t>SHP0001477</t>
  </si>
  <si>
    <t>SHP0001478</t>
  </si>
  <si>
    <t>SHP0001479</t>
  </si>
  <si>
    <t>SHP0001480</t>
  </si>
  <si>
    <t>SHP0001481</t>
  </si>
  <si>
    <t>SHP0001482</t>
  </si>
  <si>
    <t>SHP0001483</t>
  </si>
  <si>
    <t>SHP0001484</t>
  </si>
  <si>
    <t>SHP0001485</t>
  </si>
  <si>
    <t>SHP0001486</t>
  </si>
  <si>
    <t>SHP0001487</t>
  </si>
  <si>
    <t>SHP0001488</t>
  </si>
  <si>
    <t>SHP0001489</t>
  </si>
  <si>
    <t>SHP0001490</t>
  </si>
  <si>
    <t>SHP0001491</t>
  </si>
  <si>
    <t>SHP0001492</t>
  </si>
  <si>
    <t>SHP0001493</t>
  </si>
  <si>
    <t>SHP0001494</t>
  </si>
  <si>
    <t>SHP0001495</t>
  </si>
  <si>
    <t>SHP0001496</t>
  </si>
  <si>
    <t>SHP0001497</t>
  </si>
  <si>
    <t>SHP0001498</t>
  </si>
  <si>
    <t>SHP0001499</t>
  </si>
  <si>
    <t>SHP0001500</t>
  </si>
  <si>
    <t>SHP0001501</t>
  </si>
  <si>
    <t>SHP0001502</t>
  </si>
  <si>
    <t>SHP0001503</t>
  </si>
  <si>
    <t>SHP0001504</t>
  </si>
  <si>
    <t>SHP0001505</t>
  </si>
  <si>
    <t>SHP0001506</t>
  </si>
  <si>
    <t>SHP0001507</t>
  </si>
  <si>
    <t>SHP0001508</t>
  </si>
  <si>
    <t>SHP0001509</t>
  </si>
  <si>
    <t>SHP0001510</t>
  </si>
  <si>
    <t>SHP0001511</t>
  </si>
  <si>
    <t>SHP0001512</t>
  </si>
  <si>
    <t>SHP0001513</t>
  </si>
  <si>
    <t>SHP0001514</t>
  </si>
  <si>
    <t>SHP0001515</t>
  </si>
  <si>
    <t>SHP0001516</t>
  </si>
  <si>
    <t>SHP0001517</t>
  </si>
  <si>
    <t>SHP0001518</t>
  </si>
  <si>
    <t>SHP0001519</t>
  </si>
  <si>
    <t>SHP0001520</t>
  </si>
  <si>
    <t>SHP0001521</t>
  </si>
  <si>
    <t>SHP0001522</t>
  </si>
  <si>
    <t>SHP0001523</t>
  </si>
  <si>
    <t>SHP0001524</t>
  </si>
  <si>
    <t>SHP0001525</t>
  </si>
  <si>
    <t>SHP0001526</t>
  </si>
  <si>
    <t>SHP0001527</t>
  </si>
  <si>
    <t>SHP0001528</t>
  </si>
  <si>
    <t>SHP0001529</t>
  </si>
  <si>
    <t>SHP0001530</t>
  </si>
  <si>
    <t>SHP0001531</t>
  </si>
  <si>
    <t>SHP0001532</t>
  </si>
  <si>
    <t>SHP0001533</t>
  </si>
  <si>
    <t>SHP0001534</t>
  </si>
  <si>
    <t>SHP0001535</t>
  </si>
  <si>
    <t>SHP0001536</t>
  </si>
  <si>
    <t>SHP0001537</t>
  </si>
  <si>
    <t>SHP0001538</t>
  </si>
  <si>
    <t>SHP0001539</t>
  </si>
  <si>
    <t>SHP0001540</t>
  </si>
  <si>
    <t>SHP0001541</t>
  </si>
  <si>
    <t>SHP0001542</t>
  </si>
  <si>
    <t>SHP0001543</t>
  </si>
  <si>
    <t>SHP0001544</t>
  </si>
  <si>
    <t>SHP0001545</t>
  </si>
  <si>
    <t>SHP0001546</t>
  </si>
  <si>
    <t>SHP0001547</t>
  </si>
  <si>
    <t>SHP0001548</t>
  </si>
  <si>
    <t>SHP0001549</t>
  </si>
  <si>
    <t>SHP0001550</t>
  </si>
  <si>
    <t>SHP0001551</t>
  </si>
  <si>
    <t>SHP0001552</t>
  </si>
  <si>
    <t>SHP0001553</t>
  </si>
  <si>
    <t>SHP0001554</t>
  </si>
  <si>
    <t>SHP0001555</t>
  </si>
  <si>
    <t>SHP0001556</t>
  </si>
  <si>
    <t>SHP0001557</t>
  </si>
  <si>
    <t>SHP0001558</t>
  </si>
  <si>
    <t>SHP0001559</t>
  </si>
  <si>
    <t>SHP0001560</t>
  </si>
  <si>
    <t>SHP0001561</t>
  </si>
  <si>
    <t>SHP0001562</t>
  </si>
  <si>
    <t>SHP0001563</t>
  </si>
  <si>
    <t>SHP0001564</t>
  </si>
  <si>
    <t>SHP0001565</t>
  </si>
  <si>
    <t>SHP0001566</t>
  </si>
  <si>
    <t>SHP0001567</t>
  </si>
  <si>
    <t>SHP0001568</t>
  </si>
  <si>
    <t>SHP0001569</t>
  </si>
  <si>
    <t>SHP0001570</t>
  </si>
  <si>
    <t>SHP0001571</t>
  </si>
  <si>
    <t>SHP0001572</t>
  </si>
  <si>
    <t>SHP0001573</t>
  </si>
  <si>
    <t>SHP0001574</t>
  </si>
  <si>
    <t>SHP0001575</t>
  </si>
  <si>
    <t>SHP0001576</t>
  </si>
  <si>
    <t>SHP0001577</t>
  </si>
  <si>
    <t>SHP0001578</t>
  </si>
  <si>
    <t>SHP0001579</t>
  </si>
  <si>
    <t>SHP0001580</t>
  </si>
  <si>
    <t>SHP0001581</t>
  </si>
  <si>
    <t>SHP0001582</t>
  </si>
  <si>
    <t>SHP0001583</t>
  </si>
  <si>
    <t>SHP0001584</t>
  </si>
  <si>
    <t>SHP0001585</t>
  </si>
  <si>
    <t>SHP0001586</t>
  </si>
  <si>
    <t>SHP0001587</t>
  </si>
  <si>
    <t>SHP0001588</t>
  </si>
  <si>
    <t>SHP0001589</t>
  </si>
  <si>
    <t>SHP0001590</t>
  </si>
  <si>
    <t>SHP0001591</t>
  </si>
  <si>
    <t>SHP0001592</t>
  </si>
  <si>
    <t>SHP0001593</t>
  </si>
  <si>
    <t>SHP0001594</t>
  </si>
  <si>
    <t>SHP0001595</t>
  </si>
  <si>
    <t>SHP0001596</t>
  </si>
  <si>
    <t>SHP0001597</t>
  </si>
  <si>
    <t>SHP0001598</t>
  </si>
  <si>
    <t>SHP0001599</t>
  </si>
  <si>
    <t>SHP0001600</t>
  </si>
  <si>
    <t>SHP0001601</t>
  </si>
  <si>
    <t>SHP0001602</t>
  </si>
  <si>
    <t>SHP0001603</t>
  </si>
  <si>
    <t>SHP0001604</t>
  </si>
  <si>
    <t>SHP0001605</t>
  </si>
  <si>
    <t>SHP0001606</t>
  </si>
  <si>
    <t>SHP0001607</t>
  </si>
  <si>
    <t>SHP0001608</t>
  </si>
  <si>
    <t>SHP0001609</t>
  </si>
  <si>
    <t>SHP0001610</t>
  </si>
  <si>
    <t>SHP0001611</t>
  </si>
  <si>
    <t>SHP0001612</t>
  </si>
  <si>
    <t>SHP0001613</t>
  </si>
  <si>
    <t>SHP0001614</t>
  </si>
  <si>
    <t>SHP0001615</t>
  </si>
  <si>
    <t>SHP0001616</t>
  </si>
  <si>
    <t>SHP0001617</t>
  </si>
  <si>
    <t>SHP0001618</t>
  </si>
  <si>
    <t>SHP0001619</t>
  </si>
  <si>
    <t>SHP0001620</t>
  </si>
  <si>
    <t>SHP0001621</t>
  </si>
  <si>
    <t>SHP0001622</t>
  </si>
  <si>
    <t>SHP0001623</t>
  </si>
  <si>
    <t>SHP0001624</t>
  </si>
  <si>
    <t>SHP0001625</t>
  </si>
  <si>
    <t>SHP0001626</t>
  </si>
  <si>
    <t>SHP0001627</t>
  </si>
  <si>
    <t>SHP0001628</t>
  </si>
  <si>
    <t>SHP0001629</t>
  </si>
  <si>
    <t>SHP0001630</t>
  </si>
  <si>
    <t>SHP0001631</t>
  </si>
  <si>
    <t>SHP0001632</t>
  </si>
  <si>
    <t>SHP0001633</t>
  </si>
  <si>
    <t>SHP0001634</t>
  </si>
  <si>
    <t>SHP0001635</t>
  </si>
  <si>
    <t>SHP0001636</t>
  </si>
  <si>
    <t>SHP0001637</t>
  </si>
  <si>
    <t>SHP0001638</t>
  </si>
  <si>
    <t>SHP0001639</t>
  </si>
  <si>
    <t>SHP0001640</t>
  </si>
  <si>
    <t>SHP0001641</t>
  </si>
  <si>
    <t>SHP0001642</t>
  </si>
  <si>
    <t>SHP0001643</t>
  </si>
  <si>
    <t>SHP0001644</t>
  </si>
  <si>
    <t>SHP0001645</t>
  </si>
  <si>
    <t>SHP0001646</t>
  </si>
  <si>
    <t>SHP0001647</t>
  </si>
  <si>
    <t>SHP0001648</t>
  </si>
  <si>
    <t>SHP0001649</t>
  </si>
  <si>
    <t>SHP0001650</t>
  </si>
  <si>
    <t>SHP0001651</t>
  </si>
  <si>
    <t>SHP0001652</t>
  </si>
  <si>
    <t>SHP0001653</t>
  </si>
  <si>
    <t>SHP0001654</t>
  </si>
  <si>
    <t>SHP0001655</t>
  </si>
  <si>
    <t>SHP0001656</t>
  </si>
  <si>
    <t>SHP0001657</t>
  </si>
  <si>
    <t>SHP0001658</t>
  </si>
  <si>
    <t>SHP0001659</t>
  </si>
  <si>
    <t>SHP0001660</t>
  </si>
  <si>
    <t>SHP0001661</t>
  </si>
  <si>
    <t>SHP0001662</t>
  </si>
  <si>
    <t>SHP0001663</t>
  </si>
  <si>
    <t>SHP0001664</t>
  </si>
  <si>
    <t>SHP0001665</t>
  </si>
  <si>
    <t>SHP0001666</t>
  </si>
  <si>
    <t>SHP0001667</t>
  </si>
  <si>
    <t>SHP0001668</t>
  </si>
  <si>
    <t>SHP0001669</t>
  </si>
  <si>
    <t>SHP0001670</t>
  </si>
  <si>
    <t>SHP0001671</t>
  </si>
  <si>
    <t>SHP0001672</t>
  </si>
  <si>
    <t>SHP0001673</t>
  </si>
  <si>
    <t>SHP0001674</t>
  </si>
  <si>
    <t>SHP0001675</t>
  </si>
  <si>
    <t>SHP0001676</t>
  </si>
  <si>
    <t>SHP0001677</t>
  </si>
  <si>
    <t>SHP0001678</t>
  </si>
  <si>
    <t>SHP0001679</t>
  </si>
  <si>
    <t>SHP0001680</t>
  </si>
  <si>
    <t>SHP0001681</t>
  </si>
  <si>
    <t>SHP0001682</t>
  </si>
  <si>
    <t>SHP0001683</t>
  </si>
  <si>
    <t>SHP0001684</t>
  </si>
  <si>
    <t>SHP0001685</t>
  </si>
  <si>
    <t>SHP0001686</t>
  </si>
  <si>
    <t>SHP0001687</t>
  </si>
  <si>
    <t>SHP0001688</t>
  </si>
  <si>
    <t>SHP0001689</t>
  </si>
  <si>
    <t>SHP0001690</t>
  </si>
  <si>
    <t>SHP0001691</t>
  </si>
  <si>
    <t>SHP0001692</t>
  </si>
  <si>
    <t>SHP0001693</t>
  </si>
  <si>
    <t>SHP0001694</t>
  </si>
  <si>
    <t>SHP0001695</t>
  </si>
  <si>
    <t>SHP0001696</t>
  </si>
  <si>
    <t>SHP0001697</t>
  </si>
  <si>
    <t>SHP0001698</t>
  </si>
  <si>
    <t>SHP0001699</t>
  </si>
  <si>
    <t>SHP0001700</t>
  </si>
  <si>
    <t>SHP0001701</t>
  </si>
  <si>
    <t>SHP0001702</t>
  </si>
  <si>
    <t>SHP0001703</t>
  </si>
  <si>
    <t>SHP0001704</t>
  </si>
  <si>
    <t>SHP0001705</t>
  </si>
  <si>
    <t>SHP0001706</t>
  </si>
  <si>
    <t>SHP0001707</t>
  </si>
  <si>
    <t>SHP0001708</t>
  </si>
  <si>
    <t>SHP0001709</t>
  </si>
  <si>
    <t>SHP0001710</t>
  </si>
  <si>
    <t>SHP0001711</t>
  </si>
  <si>
    <t>SHP0001712</t>
  </si>
  <si>
    <t>SHP0001713</t>
  </si>
  <si>
    <t>SHP0001714</t>
  </si>
  <si>
    <t>SHP0001715</t>
  </si>
  <si>
    <t>SHP0001716</t>
  </si>
  <si>
    <t>SHP0001717</t>
  </si>
  <si>
    <t>SHP0001718</t>
  </si>
  <si>
    <t>SHP0001719</t>
  </si>
  <si>
    <t>SHP0001720</t>
  </si>
  <si>
    <t>SHP0001721</t>
  </si>
  <si>
    <t>SHP0001722</t>
  </si>
  <si>
    <t>SHP0001723</t>
  </si>
  <si>
    <t>SHP0001724</t>
  </si>
  <si>
    <t>SHP0001725</t>
  </si>
  <si>
    <t>SHP0001726</t>
  </si>
  <si>
    <t>SHP0001727</t>
  </si>
  <si>
    <t>SHP0001728</t>
  </si>
  <si>
    <t>SHP0001729</t>
  </si>
  <si>
    <t>SHP0001730</t>
  </si>
  <si>
    <t>SHP0001731</t>
  </si>
  <si>
    <t>SHP0001732</t>
  </si>
  <si>
    <t>SHP0001733</t>
  </si>
  <si>
    <t>SHP0001734</t>
  </si>
  <si>
    <t>SHP0001735</t>
  </si>
  <si>
    <t>SHP0001736</t>
  </si>
  <si>
    <t>SHP0001737</t>
  </si>
  <si>
    <t>SHP0001738</t>
  </si>
  <si>
    <t>SHP0001739</t>
  </si>
  <si>
    <t>SHP0001740</t>
  </si>
  <si>
    <t>SHP0001741</t>
  </si>
  <si>
    <t>SHP0001742</t>
  </si>
  <si>
    <t>SHP0001743</t>
  </si>
  <si>
    <t>SHP0001744</t>
  </si>
  <si>
    <t>SHP0001745</t>
  </si>
  <si>
    <t>SHP0001746</t>
  </si>
  <si>
    <t>SHP0001747</t>
  </si>
  <si>
    <t>SHP0001748</t>
  </si>
  <si>
    <t>SHP0001749</t>
  </si>
  <si>
    <t>SHP0001750</t>
  </si>
  <si>
    <t>SHP0001751</t>
  </si>
  <si>
    <t>SHP0001752</t>
  </si>
  <si>
    <t>SHP0001753</t>
  </si>
  <si>
    <t>SHP0001754</t>
  </si>
  <si>
    <t>SHP0001755</t>
  </si>
  <si>
    <t>SHP0001756</t>
  </si>
  <si>
    <t>SHP0001757</t>
  </si>
  <si>
    <t>SHP0001758</t>
  </si>
  <si>
    <t>SHP0001759</t>
  </si>
  <si>
    <t>SHP0001760</t>
  </si>
  <si>
    <t>SHP0001761</t>
  </si>
  <si>
    <t>SHP0001762</t>
  </si>
  <si>
    <t>SHP0001763</t>
  </si>
  <si>
    <t>SHP0001764</t>
  </si>
  <si>
    <t>SHP0001765</t>
  </si>
  <si>
    <t>SHP0001766</t>
  </si>
  <si>
    <t>SHP0001767</t>
  </si>
  <si>
    <t>SHP0001768</t>
  </si>
  <si>
    <t>SHP0001769</t>
  </si>
  <si>
    <t>SHP0001770</t>
  </si>
  <si>
    <t>SHP0001771</t>
  </si>
  <si>
    <t>SHP0001772</t>
  </si>
  <si>
    <t>SHP0001773</t>
  </si>
  <si>
    <t>SHP0001774</t>
  </si>
  <si>
    <t>SHP0001775</t>
  </si>
  <si>
    <t>SHP0001776</t>
  </si>
  <si>
    <t>SHP0001777</t>
  </si>
  <si>
    <t>SHP0001778</t>
  </si>
  <si>
    <t>SHP0001779</t>
  </si>
  <si>
    <t>SHP0001780</t>
  </si>
  <si>
    <t>SHP0001781</t>
  </si>
  <si>
    <t>SHP0001782</t>
  </si>
  <si>
    <t>SHP0001783</t>
  </si>
  <si>
    <t>SHP0001784</t>
  </si>
  <si>
    <t>SHP0001785</t>
  </si>
  <si>
    <t>SHP0001786</t>
  </si>
  <si>
    <t>SHP0001787</t>
  </si>
  <si>
    <t>SHP0001788</t>
  </si>
  <si>
    <t>SHP0001789</t>
  </si>
  <si>
    <t>SHP0001790</t>
  </si>
  <si>
    <t>SHP0001791</t>
  </si>
  <si>
    <t>SHP0001792</t>
  </si>
  <si>
    <t>SHP0001793</t>
  </si>
  <si>
    <t>SHP0001794</t>
  </si>
  <si>
    <t>SHP0001795</t>
  </si>
  <si>
    <t>SHP0001796</t>
  </si>
  <si>
    <t>SHP0001797</t>
  </si>
  <si>
    <t>SHP0001798</t>
  </si>
  <si>
    <t>SHP0001799</t>
  </si>
  <si>
    <t>SHP0001800</t>
  </si>
  <si>
    <t>SHP0001801</t>
  </si>
  <si>
    <t>SHP0001802</t>
  </si>
  <si>
    <t>SHP0001803</t>
  </si>
  <si>
    <t>SHP0001804</t>
  </si>
  <si>
    <t>SHP0001805</t>
  </si>
  <si>
    <t>SHP0001806</t>
  </si>
  <si>
    <t>SHP0001807</t>
  </si>
  <si>
    <t>SHP0001808</t>
  </si>
  <si>
    <t>SHP0001809</t>
  </si>
  <si>
    <t>SHP0001810</t>
  </si>
  <si>
    <t>SHP0001811</t>
  </si>
  <si>
    <t>SHP0001812</t>
  </si>
  <si>
    <t>SHP0001813</t>
  </si>
  <si>
    <t>SHP0001814</t>
  </si>
  <si>
    <t>SHP0001815</t>
  </si>
  <si>
    <t>SHP0001816</t>
  </si>
  <si>
    <t>SHP0001817</t>
  </si>
  <si>
    <t>SHP0001818</t>
  </si>
  <si>
    <t>SHP0001819</t>
  </si>
  <si>
    <t>SHP0001820</t>
  </si>
  <si>
    <t>SHP0001821</t>
  </si>
  <si>
    <t>SHP0001822</t>
  </si>
  <si>
    <t>SHP0001823</t>
  </si>
  <si>
    <t>SHP0001824</t>
  </si>
  <si>
    <t>SHP0001825</t>
  </si>
  <si>
    <t>SHP0001826</t>
  </si>
  <si>
    <t>SHP0001827</t>
  </si>
  <si>
    <t>SHP0001828</t>
  </si>
  <si>
    <t>SHP0001829</t>
  </si>
  <si>
    <t>SHP0001830</t>
  </si>
  <si>
    <t>SHP0001831</t>
  </si>
  <si>
    <t>SHP0001832</t>
  </si>
  <si>
    <t>SHP0001833</t>
  </si>
  <si>
    <t>SHP0001834</t>
  </si>
  <si>
    <t>SHP0001835</t>
  </si>
  <si>
    <t>SHP0001836</t>
  </si>
  <si>
    <t>SHP0001837</t>
  </si>
  <si>
    <t>SHP0001838</t>
  </si>
  <si>
    <t>SHP0001839</t>
  </si>
  <si>
    <t>SHP0001840</t>
  </si>
  <si>
    <t>SHP0001841</t>
  </si>
  <si>
    <t>SHP0001842</t>
  </si>
  <si>
    <t>SHP0001843</t>
  </si>
  <si>
    <t>SHP0001844</t>
  </si>
  <si>
    <t>SHP0001845</t>
  </si>
  <si>
    <t>SHP0001846</t>
  </si>
  <si>
    <t>SHP0001847</t>
  </si>
  <si>
    <t>SHP0001848</t>
  </si>
  <si>
    <t>SHP0001849</t>
  </si>
  <si>
    <t>SHP0001850</t>
  </si>
  <si>
    <t>SHP0001851</t>
  </si>
  <si>
    <t>SHP0001852</t>
  </si>
  <si>
    <t>SHP0001853</t>
  </si>
  <si>
    <t>SHP0001854</t>
  </si>
  <si>
    <t>SHP0001855</t>
  </si>
  <si>
    <t>SHP0001856</t>
  </si>
  <si>
    <t>SHP0001857</t>
  </si>
  <si>
    <t>SHP0001858</t>
  </si>
  <si>
    <t>SHP0001859</t>
  </si>
  <si>
    <t>SHP0001860</t>
  </si>
  <si>
    <t>SHP0001861</t>
  </si>
  <si>
    <t>SHP0001862</t>
  </si>
  <si>
    <t>SHP0001863</t>
  </si>
  <si>
    <t>SHP0001864</t>
  </si>
  <si>
    <t>SHP0001865</t>
  </si>
  <si>
    <t>SHP0001866</t>
  </si>
  <si>
    <t>SHP0001867</t>
  </si>
  <si>
    <t>SHP0001868</t>
  </si>
  <si>
    <t>SHP0001869</t>
  </si>
  <si>
    <t>SHP0001870</t>
  </si>
  <si>
    <t>SHP0001871</t>
  </si>
  <si>
    <t>SHP0001872</t>
  </si>
  <si>
    <t>SHP0001873</t>
  </si>
  <si>
    <t>SHP0001874</t>
  </si>
  <si>
    <t>SHP0001875</t>
  </si>
  <si>
    <t>SHP0001876</t>
  </si>
  <si>
    <t>SHP0001877</t>
  </si>
  <si>
    <t>SHP0001878</t>
  </si>
  <si>
    <t>SHP0001879</t>
  </si>
  <si>
    <t>SHP0001880</t>
  </si>
  <si>
    <t>SHP0001881</t>
  </si>
  <si>
    <t>SHP0001882</t>
  </si>
  <si>
    <t>SHP0001883</t>
  </si>
  <si>
    <t>SHP0001884</t>
  </si>
  <si>
    <t>SHP0001885</t>
  </si>
  <si>
    <t>SHP0001886</t>
  </si>
  <si>
    <t>SHP0001887</t>
  </si>
  <si>
    <t>SHP0001888</t>
  </si>
  <si>
    <t>SHP0001889</t>
  </si>
  <si>
    <t>SHP0001890</t>
  </si>
  <si>
    <t>SHP0001891</t>
  </si>
  <si>
    <t>SHP0001892</t>
  </si>
  <si>
    <t>SHP0001893</t>
  </si>
  <si>
    <t>SHP0001894</t>
  </si>
  <si>
    <t>SHP0001895</t>
  </si>
  <si>
    <t>SHP0001896</t>
  </si>
  <si>
    <t>SHP0001897</t>
  </si>
  <si>
    <t>SHP0001898</t>
  </si>
  <si>
    <t>SHP0001899</t>
  </si>
  <si>
    <t>SHP0001900</t>
  </si>
  <si>
    <t>SHP0001901</t>
  </si>
  <si>
    <t>SHP0001902</t>
  </si>
  <si>
    <t>SHP0001903</t>
  </si>
  <si>
    <t>SHP0001904</t>
  </si>
  <si>
    <t>SHP0001905</t>
  </si>
  <si>
    <t>SHP0001906</t>
  </si>
  <si>
    <t>SHP0001907</t>
  </si>
  <si>
    <t>SHP0001908</t>
  </si>
  <si>
    <t>SHP0001909</t>
  </si>
  <si>
    <t>SHP0001910</t>
  </si>
  <si>
    <t>SHP0001911</t>
  </si>
  <si>
    <t>SHP0001912</t>
  </si>
  <si>
    <t>SHP0001913</t>
  </si>
  <si>
    <t>SHP0001914</t>
  </si>
  <si>
    <t>SHP0001915</t>
  </si>
  <si>
    <t>SHP0001916</t>
  </si>
  <si>
    <t>SHP0001917</t>
  </si>
  <si>
    <t>SHP0001918</t>
  </si>
  <si>
    <t>SHP0001919</t>
  </si>
  <si>
    <t>SHP0001920</t>
  </si>
  <si>
    <t>SHP0001921</t>
  </si>
  <si>
    <t>SHP0001922</t>
  </si>
  <si>
    <t>SHP0001923</t>
  </si>
  <si>
    <t>SHP0001924</t>
  </si>
  <si>
    <t>SHP0001925</t>
  </si>
  <si>
    <t>SHP0001926</t>
  </si>
  <si>
    <t>SHP0001927</t>
  </si>
  <si>
    <t>SHP0001928</t>
  </si>
  <si>
    <t>SHP0001929</t>
  </si>
  <si>
    <t>SHP0001930</t>
  </si>
  <si>
    <t>SHP0001931</t>
  </si>
  <si>
    <t>SHP0001932</t>
  </si>
  <si>
    <t>SHP0001933</t>
  </si>
  <si>
    <t>SHP0001934</t>
  </si>
  <si>
    <t>SHP0001935</t>
  </si>
  <si>
    <t>SHP0001936</t>
  </si>
  <si>
    <t>SHP0001937</t>
  </si>
  <si>
    <t>SHP0001938</t>
  </si>
  <si>
    <t>SHP0001939</t>
  </si>
  <si>
    <t>SHP0001940</t>
  </si>
  <si>
    <t>SHP0001941</t>
  </si>
  <si>
    <t>SHP0001942</t>
  </si>
  <si>
    <t>SHP0001943</t>
  </si>
  <si>
    <t>SHP0001944</t>
  </si>
  <si>
    <t>SHP0001945</t>
  </si>
  <si>
    <t>SHP0001946</t>
  </si>
  <si>
    <t>SHP0001947</t>
  </si>
  <si>
    <t>SHP0001948</t>
  </si>
  <si>
    <t>SHP0001949</t>
  </si>
  <si>
    <t>SHP0001950</t>
  </si>
  <si>
    <t>SHP0001951</t>
  </si>
  <si>
    <t>SHP0001952</t>
  </si>
  <si>
    <t>SHP0001953</t>
  </si>
  <si>
    <t>SHP0001954</t>
  </si>
  <si>
    <t>SHP0001955</t>
  </si>
  <si>
    <t>SHP0001956</t>
  </si>
  <si>
    <t>SHP0001957</t>
  </si>
  <si>
    <t>SHP0001958</t>
  </si>
  <si>
    <t>SHP0001959</t>
  </si>
  <si>
    <t>SHP0001960</t>
  </si>
  <si>
    <t>SHP0001961</t>
  </si>
  <si>
    <t>SHP0001962</t>
  </si>
  <si>
    <t>SHP0001963</t>
  </si>
  <si>
    <t>SHP0001964</t>
  </si>
  <si>
    <t>SHP0001965</t>
  </si>
  <si>
    <t>SHP0001966</t>
  </si>
  <si>
    <t>SHP0001967</t>
  </si>
  <si>
    <t>SHP0001968</t>
  </si>
  <si>
    <t>SHP0001969</t>
  </si>
  <si>
    <t>SHP0001970</t>
  </si>
  <si>
    <t>SHP0001971</t>
  </si>
  <si>
    <t>SHP0001972</t>
  </si>
  <si>
    <t>SHP0001973</t>
  </si>
  <si>
    <t>SHP0001974</t>
  </si>
  <si>
    <t>SHP0001975</t>
  </si>
  <si>
    <t>SHP0001976</t>
  </si>
  <si>
    <t>SHP0001977</t>
  </si>
  <si>
    <t>SHP0001978</t>
  </si>
  <si>
    <t>SHP0001979</t>
  </si>
  <si>
    <t>SHP0001980</t>
  </si>
  <si>
    <t>SHP0001981</t>
  </si>
  <si>
    <t>SHP0001982</t>
  </si>
  <si>
    <t>SHP0001983</t>
  </si>
  <si>
    <t>SHP0001984</t>
  </si>
  <si>
    <t>SHP0001985</t>
  </si>
  <si>
    <t>SHP0001986</t>
  </si>
  <si>
    <t>SHP0001987</t>
  </si>
  <si>
    <t>SHP0001988</t>
  </si>
  <si>
    <t>SHP0001989</t>
  </si>
  <si>
    <t>SHP0001990</t>
  </si>
  <si>
    <t>SHP0001991</t>
  </si>
  <si>
    <t>SHP0001992</t>
  </si>
  <si>
    <t>SHP0001993</t>
  </si>
  <si>
    <t>SHP0001994</t>
  </si>
  <si>
    <t>SHP0001995</t>
  </si>
  <si>
    <t>SHP0001996</t>
  </si>
  <si>
    <t>SHP0001997</t>
  </si>
  <si>
    <t>SHP0001998</t>
  </si>
  <si>
    <t>SHP0001999</t>
  </si>
  <si>
    <t>SHP0002000</t>
  </si>
  <si>
    <t>SHP0002001</t>
  </si>
  <si>
    <t>SHP0002002</t>
  </si>
  <si>
    <t>SHP0002003</t>
  </si>
  <si>
    <t>SHP0002004</t>
  </si>
  <si>
    <t>SHP0002005</t>
  </si>
  <si>
    <t>SHP0002006</t>
  </si>
  <si>
    <t>SHP0002007</t>
  </si>
  <si>
    <t>SHP0002008</t>
  </si>
  <si>
    <t>SHP0002009</t>
  </si>
  <si>
    <t>SHP0002010</t>
  </si>
  <si>
    <t>SHP0002011</t>
  </si>
  <si>
    <t>SHP0002012</t>
  </si>
  <si>
    <t>SHP0002013</t>
  </si>
  <si>
    <t>SHP0002014</t>
  </si>
  <si>
    <t>SHP0002015</t>
  </si>
  <si>
    <t>SHP0002016</t>
  </si>
  <si>
    <t>SHP0002017</t>
  </si>
  <si>
    <t>SHP0002018</t>
  </si>
  <si>
    <t>SHP0002019</t>
  </si>
  <si>
    <t>SHP0002020</t>
  </si>
  <si>
    <t>SHP0002021</t>
  </si>
  <si>
    <t>SHP0002022</t>
  </si>
  <si>
    <t>SHP0002023</t>
  </si>
  <si>
    <t>SHP0002024</t>
  </si>
  <si>
    <t>SHP0002025</t>
  </si>
  <si>
    <t>SHP0002026</t>
  </si>
  <si>
    <t>SHP0002027</t>
  </si>
  <si>
    <t>SHP0002028</t>
  </si>
  <si>
    <t>SHP0002029</t>
  </si>
  <si>
    <t>SHP0002030</t>
  </si>
  <si>
    <t>SHP0002031</t>
  </si>
  <si>
    <t>SHP0002032</t>
  </si>
  <si>
    <t>SHP0002033</t>
  </si>
  <si>
    <t>SHP0002034</t>
  </si>
  <si>
    <t>SHP0002035</t>
  </si>
  <si>
    <t>SHP0002036</t>
  </si>
  <si>
    <t>SHP0002037</t>
  </si>
  <si>
    <t>SHP0002038</t>
  </si>
  <si>
    <t>SHP0002039</t>
  </si>
  <si>
    <t>SHP0002040</t>
  </si>
  <si>
    <t>SHP0002041</t>
  </si>
  <si>
    <t>SHP0002042</t>
  </si>
  <si>
    <t>SHP0002043</t>
  </si>
  <si>
    <t>SHP0002044</t>
  </si>
  <si>
    <t>SHP0002045</t>
  </si>
  <si>
    <t>SHP0002046</t>
  </si>
  <si>
    <t>SHP0002047</t>
  </si>
  <si>
    <t>SHP0002048</t>
  </si>
  <si>
    <t>SHP0002049</t>
  </si>
  <si>
    <t>SHP0002050</t>
  </si>
  <si>
    <t>SHP0002051</t>
  </si>
  <si>
    <t>SHP0002052</t>
  </si>
  <si>
    <t>SHP0002053</t>
  </si>
  <si>
    <t>SHP0002054</t>
  </si>
  <si>
    <t>SHP0002055</t>
  </si>
  <si>
    <t>SHP0002056</t>
  </si>
  <si>
    <t>SHP0002057</t>
  </si>
  <si>
    <t>SHP0002058</t>
  </si>
  <si>
    <t>SHP0002059</t>
  </si>
  <si>
    <t>SHP0002060</t>
  </si>
  <si>
    <t>SHP0002061</t>
  </si>
  <si>
    <t>SHP0002062</t>
  </si>
  <si>
    <t>SHP0002063</t>
  </si>
  <si>
    <t>SHP0002064</t>
  </si>
  <si>
    <t>SHP0002065</t>
  </si>
  <si>
    <t>SHP0002066</t>
  </si>
  <si>
    <t>SHP0002067</t>
  </si>
  <si>
    <t>SHP0002068</t>
  </si>
  <si>
    <t>SHP0002069</t>
  </si>
  <si>
    <t>SHP0002070</t>
  </si>
  <si>
    <t>SHP0002071</t>
  </si>
  <si>
    <t>SHP0002072</t>
  </si>
  <si>
    <t>SHP0002073</t>
  </si>
  <si>
    <t>SHP0002074</t>
  </si>
  <si>
    <t>SHP0002075</t>
  </si>
  <si>
    <t>SHP0002076</t>
  </si>
  <si>
    <t>SHP0002077</t>
  </si>
  <si>
    <t>SHP0002078</t>
  </si>
  <si>
    <t>SHP0002079</t>
  </si>
  <si>
    <t>SHP0002080</t>
  </si>
  <si>
    <t>SHP0002081</t>
  </si>
  <si>
    <t>SHP0002082</t>
  </si>
  <si>
    <t>SHP0002083</t>
  </si>
  <si>
    <t>SHP0002084</t>
  </si>
  <si>
    <t>SHP0002085</t>
  </si>
  <si>
    <t>SHP0002086</t>
  </si>
  <si>
    <t>SHP0002087</t>
  </si>
  <si>
    <t>SHP0002088</t>
  </si>
  <si>
    <t>SHP0002089</t>
  </si>
  <si>
    <t>SHP0002090</t>
  </si>
  <si>
    <t>SHP0002091</t>
  </si>
  <si>
    <t>SHP0002092</t>
  </si>
  <si>
    <t>SHP0002093</t>
  </si>
  <si>
    <t>SHP0002094</t>
  </si>
  <si>
    <t>SHP0002095</t>
  </si>
  <si>
    <t>SHP0002096</t>
  </si>
  <si>
    <t>SHP0002097</t>
  </si>
  <si>
    <t>SHP0002098</t>
  </si>
  <si>
    <t>SHP0002099</t>
  </si>
  <si>
    <t>SHP0002100</t>
  </si>
  <si>
    <t>SHP0002101</t>
  </si>
  <si>
    <t>SHP0002102</t>
  </si>
  <si>
    <t>SHP0002103</t>
  </si>
  <si>
    <t>SHP0002104</t>
  </si>
  <si>
    <t>SHP0002105</t>
  </si>
  <si>
    <t>SHP0002106</t>
  </si>
  <si>
    <t>SHP0002107</t>
  </si>
  <si>
    <t>SHP0002108</t>
  </si>
  <si>
    <t>SHP0002109</t>
  </si>
  <si>
    <t>SHP0002110</t>
  </si>
  <si>
    <t>SHP0002111</t>
  </si>
  <si>
    <t>SHP0002112</t>
  </si>
  <si>
    <t>SHP0002113</t>
  </si>
  <si>
    <t>SHP0002114</t>
  </si>
  <si>
    <t>SHP0002115</t>
  </si>
  <si>
    <t>SHP0002116</t>
  </si>
  <si>
    <t>SHP0002117</t>
  </si>
  <si>
    <t>SHP0002118</t>
  </si>
  <si>
    <t>SHP0002119</t>
  </si>
  <si>
    <t>SHP0002120</t>
  </si>
  <si>
    <t>SHP0002121</t>
  </si>
  <si>
    <t>SHP0002122</t>
  </si>
  <si>
    <t>SHP0002123</t>
  </si>
  <si>
    <t>SHP0002124</t>
  </si>
  <si>
    <t>SHP0002125</t>
  </si>
  <si>
    <t>SHP0002126</t>
  </si>
  <si>
    <t>SHP0002127</t>
  </si>
  <si>
    <t>SHP0002128</t>
  </si>
  <si>
    <t>SHP0002129</t>
  </si>
  <si>
    <t>SHP0002130</t>
  </si>
  <si>
    <t>SHP0002131</t>
  </si>
  <si>
    <t>SHP0002132</t>
  </si>
  <si>
    <t>SHP0002133</t>
  </si>
  <si>
    <t>SHP0002134</t>
  </si>
  <si>
    <t>SHP0002135</t>
  </si>
  <si>
    <t>SHP0002136</t>
  </si>
  <si>
    <t>SHP0002137</t>
  </si>
  <si>
    <t>SHP0002138</t>
  </si>
  <si>
    <t>SHP0002139</t>
  </si>
  <si>
    <t>SHP0002140</t>
  </si>
  <si>
    <t>SHP0002141</t>
  </si>
  <si>
    <t>SHP0002142</t>
  </si>
  <si>
    <t>SHP0002143</t>
  </si>
  <si>
    <t>SHP0002144</t>
  </si>
  <si>
    <t>SHP0002145</t>
  </si>
  <si>
    <t>SHP0002146</t>
  </si>
  <si>
    <t>SHP0002147</t>
  </si>
  <si>
    <t>SHP0002148</t>
  </si>
  <si>
    <t>SHP0002149</t>
  </si>
  <si>
    <t>SHP0002150</t>
  </si>
  <si>
    <t>SHP0002151</t>
  </si>
  <si>
    <t>SHP0002152</t>
  </si>
  <si>
    <t>SHP0002153</t>
  </si>
  <si>
    <t>SHP0002154</t>
  </si>
  <si>
    <t>SHP0002155</t>
  </si>
  <si>
    <t>SHP0002156</t>
  </si>
  <si>
    <t>SHP0002157</t>
  </si>
  <si>
    <t>SHP0002158</t>
  </si>
  <si>
    <t>SHP0002159</t>
  </si>
  <si>
    <t>SHP0002160</t>
  </si>
  <si>
    <t>SHP0002161</t>
  </si>
  <si>
    <t>SHP0002162</t>
  </si>
  <si>
    <t>SHP0002163</t>
  </si>
  <si>
    <t>SHP0002164</t>
  </si>
  <si>
    <t>SHP0002165</t>
  </si>
  <si>
    <t>SHP0002166</t>
  </si>
  <si>
    <t>SHP0002167</t>
  </si>
  <si>
    <t>SHP0002168</t>
  </si>
  <si>
    <t>SHP0002169</t>
  </si>
  <si>
    <t>SHP0002170</t>
  </si>
  <si>
    <t>SHP0002171</t>
  </si>
  <si>
    <t>SHP0002172</t>
  </si>
  <si>
    <t>SHP0002173</t>
  </si>
  <si>
    <t>SHP0002174</t>
  </si>
  <si>
    <t>SHP0002175</t>
  </si>
  <si>
    <t>SHP0002176</t>
  </si>
  <si>
    <t>SHP0002177</t>
  </si>
  <si>
    <t>SHP0002178</t>
  </si>
  <si>
    <t>SHP0002179</t>
  </si>
  <si>
    <t>SHP0002180</t>
  </si>
  <si>
    <t>SHP0002181</t>
  </si>
  <si>
    <t>SHP0002182</t>
  </si>
  <si>
    <t>SHP0002183</t>
  </si>
  <si>
    <t>SHP0002184</t>
  </si>
  <si>
    <t>SHP0002185</t>
  </si>
  <si>
    <t>SHP0002186</t>
  </si>
  <si>
    <t>SHP0002187</t>
  </si>
  <si>
    <t>SHP0002188</t>
  </si>
  <si>
    <t>SHP0002189</t>
  </si>
  <si>
    <t>SHP0002190</t>
  </si>
  <si>
    <t>SHP0002191</t>
  </si>
  <si>
    <t>SHP0002192</t>
  </si>
  <si>
    <t>SHP0002193</t>
  </si>
  <si>
    <t>SHP0002194</t>
  </si>
  <si>
    <t>SHP0002195</t>
  </si>
  <si>
    <t>SHP0002196</t>
  </si>
  <si>
    <t>SHP0002197</t>
  </si>
  <si>
    <t>SHP0002198</t>
  </si>
  <si>
    <t>SHP0002199</t>
  </si>
  <si>
    <t>SHP0002200</t>
  </si>
  <si>
    <t>SHP0002201</t>
  </si>
  <si>
    <t>SHP0002202</t>
  </si>
  <si>
    <t>SHP0002203</t>
  </si>
  <si>
    <t>SHP0002204</t>
  </si>
  <si>
    <t>SHP0002205</t>
  </si>
  <si>
    <t>SHP0002206</t>
  </si>
  <si>
    <t>SHP0002207</t>
  </si>
  <si>
    <t>SHP0002208</t>
  </si>
  <si>
    <t>SHP0002209</t>
  </si>
  <si>
    <t>SHP0002210</t>
  </si>
  <si>
    <t>SHP0002211</t>
  </si>
  <si>
    <t>SHP0002212</t>
  </si>
  <si>
    <t>SHP0002213</t>
  </si>
  <si>
    <t>SHP0002214</t>
  </si>
  <si>
    <t>SHP0002215</t>
  </si>
  <si>
    <t>SHP0002216</t>
  </si>
  <si>
    <t>SHP0002217</t>
  </si>
  <si>
    <t>SHP0002218</t>
  </si>
  <si>
    <t>SHP0002219</t>
  </si>
  <si>
    <t>SHP0002220</t>
  </si>
  <si>
    <t>SHP0002221</t>
  </si>
  <si>
    <t>SHP0002222</t>
  </si>
  <si>
    <t>SHP0002223</t>
  </si>
  <si>
    <t>SHP0002224</t>
  </si>
  <si>
    <t>SHP0002225</t>
  </si>
  <si>
    <t>SHP0002226</t>
  </si>
  <si>
    <t>SHP0002227</t>
  </si>
  <si>
    <t>SHP0002228</t>
  </si>
  <si>
    <t>SHP0002229</t>
  </si>
  <si>
    <t>SHP0002230</t>
  </si>
  <si>
    <t>SHP0002231</t>
  </si>
  <si>
    <t>SHP0002232</t>
  </si>
  <si>
    <t>SHP0002233</t>
  </si>
  <si>
    <t>SHP0002234</t>
  </si>
  <si>
    <t>SHP0002235</t>
  </si>
  <si>
    <t>SHP0002236</t>
  </si>
  <si>
    <t>SHP0002237</t>
  </si>
  <si>
    <t>SHP0002238</t>
  </si>
  <si>
    <t>SHP0002239</t>
  </si>
  <si>
    <t>SHP0002240</t>
  </si>
  <si>
    <t>SHP0002241</t>
  </si>
  <si>
    <t>SHP0002242</t>
  </si>
  <si>
    <t>SHP0002243</t>
  </si>
  <si>
    <t>SHP0002244</t>
  </si>
  <si>
    <t>SHP0002245</t>
  </si>
  <si>
    <t>SHP0002246</t>
  </si>
  <si>
    <t>SHP0002247</t>
  </si>
  <si>
    <t>SHP0002248</t>
  </si>
  <si>
    <t>SHP0002249</t>
  </si>
  <si>
    <t>SHP0002250</t>
  </si>
  <si>
    <t>SHP0002251</t>
  </si>
  <si>
    <t>SHP0002252</t>
  </si>
  <si>
    <t>SHP0002253</t>
  </si>
  <si>
    <t>SHP0002254</t>
  </si>
  <si>
    <t>SHP0002255</t>
  </si>
  <si>
    <t>SHP0002256</t>
  </si>
  <si>
    <t>SHP0002257</t>
  </si>
  <si>
    <t>SHP0002258</t>
  </si>
  <si>
    <t>SHP0002259</t>
  </si>
  <si>
    <t>SHP0002260</t>
  </si>
  <si>
    <t>SHP0002261</t>
  </si>
  <si>
    <t>SHP0002262</t>
  </si>
  <si>
    <t>SHP0002263</t>
  </si>
  <si>
    <t>SHP0002264</t>
  </si>
  <si>
    <t>SHP0002265</t>
  </si>
  <si>
    <t>SHP0002266</t>
  </si>
  <si>
    <t>SHP0002267</t>
  </si>
  <si>
    <t>SHP0002268</t>
  </si>
  <si>
    <t>SHP0002269</t>
  </si>
  <si>
    <t>SHP0002270</t>
  </si>
  <si>
    <t>SHP0002271</t>
  </si>
  <si>
    <t>SHP0002272</t>
  </si>
  <si>
    <t>SHP0002273</t>
  </si>
  <si>
    <t>SHP0002274</t>
  </si>
  <si>
    <t>SHP0002275</t>
  </si>
  <si>
    <t>SHP0002276</t>
  </si>
  <si>
    <t>SHP0002277</t>
  </si>
  <si>
    <t>SHP0002278</t>
  </si>
  <si>
    <t>SHP0002279</t>
  </si>
  <si>
    <t>SHP0002280</t>
  </si>
  <si>
    <t>SHP0002281</t>
  </si>
  <si>
    <t>SHP0002282</t>
  </si>
  <si>
    <t>SHP0002283</t>
  </si>
  <si>
    <t>SHP0002284</t>
  </si>
  <si>
    <t>SHP0002285</t>
  </si>
  <si>
    <t>SHP0002286</t>
  </si>
  <si>
    <t>SHP0002287</t>
  </si>
  <si>
    <t>SHP0002288</t>
  </si>
  <si>
    <t>SHP0002289</t>
  </si>
  <si>
    <t>SHP0002290</t>
  </si>
  <si>
    <t>SHP0002291</t>
  </si>
  <si>
    <t>SHP0002292</t>
  </si>
  <si>
    <t>SHP0002293</t>
  </si>
  <si>
    <t>SHP0002294</t>
  </si>
  <si>
    <t>SHP0002295</t>
  </si>
  <si>
    <t>SHP0002296</t>
  </si>
  <si>
    <t>SHP0002297</t>
  </si>
  <si>
    <t>SHP0002298</t>
  </si>
  <si>
    <t>SHP0002299</t>
  </si>
  <si>
    <t>SHP0002300</t>
  </si>
  <si>
    <t>SHP0002301</t>
  </si>
  <si>
    <t>SHP0002302</t>
  </si>
  <si>
    <t>SHP0002303</t>
  </si>
  <si>
    <t>SHP0002304</t>
  </si>
  <si>
    <t>SHP0002305</t>
  </si>
  <si>
    <t>SHP0002306</t>
  </si>
  <si>
    <t>SHP0002307</t>
  </si>
  <si>
    <t>SHP0002308</t>
  </si>
  <si>
    <t>SHP0002309</t>
  </si>
  <si>
    <t>SHP0002310</t>
  </si>
  <si>
    <t>SHP0002311</t>
  </si>
  <si>
    <t>SHP0002312</t>
  </si>
  <si>
    <t>SHP0002313</t>
  </si>
  <si>
    <t>SHP0002314</t>
  </si>
  <si>
    <t>SHP0002315</t>
  </si>
  <si>
    <t>SHP0002316</t>
  </si>
  <si>
    <t>SHP0002317</t>
  </si>
  <si>
    <t>SHP0002318</t>
  </si>
  <si>
    <t>SHP0002319</t>
  </si>
  <si>
    <t>SHP0002320</t>
  </si>
  <si>
    <t>SHP0002321</t>
  </si>
  <si>
    <t>SHP0002322</t>
  </si>
  <si>
    <t>SHP0002323</t>
  </si>
  <si>
    <t>SHP0002324</t>
  </si>
  <si>
    <t>SHP0002325</t>
  </si>
  <si>
    <t>SHP0002326</t>
  </si>
  <si>
    <t>SHP0002327</t>
  </si>
  <si>
    <t>SHP0002328</t>
  </si>
  <si>
    <t>SHP0002329</t>
  </si>
  <si>
    <t>SHP0002330</t>
  </si>
  <si>
    <t>SHP0002331</t>
  </si>
  <si>
    <t>SHP0002332</t>
  </si>
  <si>
    <t>SHP0002333</t>
  </si>
  <si>
    <t>SHP0002334</t>
  </si>
  <si>
    <t>SHP0002335</t>
  </si>
  <si>
    <t>SHP0002336</t>
  </si>
  <si>
    <t>SHP0002337</t>
  </si>
  <si>
    <t>SHP0002338</t>
  </si>
  <si>
    <t>SHP0002339</t>
  </si>
  <si>
    <t>SHP0002340</t>
  </si>
  <si>
    <t>SHP0002341</t>
  </si>
  <si>
    <t>SHP0002342</t>
  </si>
  <si>
    <t>SHP0002343</t>
  </si>
  <si>
    <t>SHP0002344</t>
  </si>
  <si>
    <t>SHP0002345</t>
  </si>
  <si>
    <t>SHP0002346</t>
  </si>
  <si>
    <t>SHP0002347</t>
  </si>
  <si>
    <t>SHP0002348</t>
  </si>
  <si>
    <t>SHP0002349</t>
  </si>
  <si>
    <t>SHP0002350</t>
  </si>
  <si>
    <t>SHP0002351</t>
  </si>
  <si>
    <t>SHP0002352</t>
  </si>
  <si>
    <t>SHP0002353</t>
  </si>
  <si>
    <t>SHP0002354</t>
  </si>
  <si>
    <t>SHP0002355</t>
  </si>
  <si>
    <t>SHP0002356</t>
  </si>
  <si>
    <t>SHP0002357</t>
  </si>
  <si>
    <t>SHP0002358</t>
  </si>
  <si>
    <t>SHP0002359</t>
  </si>
  <si>
    <t>SHP0002360</t>
  </si>
  <si>
    <t>SHP0002361</t>
  </si>
  <si>
    <t>SHP0002362</t>
  </si>
  <si>
    <t>SHP0002363</t>
  </si>
  <si>
    <t>SHP0002364</t>
  </si>
  <si>
    <t>SHP0002365</t>
  </si>
  <si>
    <t>SHP0002366</t>
  </si>
  <si>
    <t>SHP0002367</t>
  </si>
  <si>
    <t>SHP0002368</t>
  </si>
  <si>
    <t>SHP0002369</t>
  </si>
  <si>
    <t>SHP0002370</t>
  </si>
  <si>
    <t>SHP0002371</t>
  </si>
  <si>
    <t>SHP0002372</t>
  </si>
  <si>
    <t>SHP0002373</t>
  </si>
  <si>
    <t>SHP0002374</t>
  </si>
  <si>
    <t>SHP0002375</t>
  </si>
  <si>
    <t>SHP0002376</t>
  </si>
  <si>
    <t>SHP0002377</t>
  </si>
  <si>
    <t>SHP0002378</t>
  </si>
  <si>
    <t>SHP0002379</t>
  </si>
  <si>
    <t>SHP0002380</t>
  </si>
  <si>
    <t>SHP0002381</t>
  </si>
  <si>
    <t>SHP0002382</t>
  </si>
  <si>
    <t>SHP0002383</t>
  </si>
  <si>
    <t>SHP0002384</t>
  </si>
  <si>
    <t>SHP0002385</t>
  </si>
  <si>
    <t>SHP0002386</t>
  </si>
  <si>
    <t>SHP0002387</t>
  </si>
  <si>
    <t>SHP0002388</t>
  </si>
  <si>
    <t>SHP0002389</t>
  </si>
  <si>
    <t>SHP0002390</t>
  </si>
  <si>
    <t>SHP0002391</t>
  </si>
  <si>
    <t>SHP0002392</t>
  </si>
  <si>
    <t>SHP0002393</t>
  </si>
  <si>
    <t>SHP0002394</t>
  </si>
  <si>
    <t>SHP0002395</t>
  </si>
  <si>
    <t>SHP0002396</t>
  </si>
  <si>
    <t>SHP0002397</t>
  </si>
  <si>
    <t>SHP0002398</t>
  </si>
  <si>
    <t>SHP0002399</t>
  </si>
  <si>
    <t>SHP0002400</t>
  </si>
  <si>
    <t>SHP0002401</t>
  </si>
  <si>
    <t>SHP0002402</t>
  </si>
  <si>
    <t>SHP0002403</t>
  </si>
  <si>
    <t>SHP0002404</t>
  </si>
  <si>
    <t>SHP0002405</t>
  </si>
  <si>
    <t>SHP0002406</t>
  </si>
  <si>
    <t>SHP0002407</t>
  </si>
  <si>
    <t>SHP0002408</t>
  </si>
  <si>
    <t>SHP0002409</t>
  </si>
  <si>
    <t>SHP0002410</t>
  </si>
  <si>
    <t>SHP0002411</t>
  </si>
  <si>
    <t>SHP0002412</t>
  </si>
  <si>
    <t>SHP0002413</t>
  </si>
  <si>
    <t>SHP0002414</t>
  </si>
  <si>
    <t>SHP0002415</t>
  </si>
  <si>
    <t>SHP0002416</t>
  </si>
  <si>
    <t>SHP0002417</t>
  </si>
  <si>
    <t>SHP0002418</t>
  </si>
  <si>
    <t>SHP0002419</t>
  </si>
  <si>
    <t>SHP0002420</t>
  </si>
  <si>
    <t>SHP0002421</t>
  </si>
  <si>
    <t>SHP0002422</t>
  </si>
  <si>
    <t>SHP0002423</t>
  </si>
  <si>
    <t>SHP0002424</t>
  </si>
  <si>
    <t>SHP0002425</t>
  </si>
  <si>
    <t>SHP0002426</t>
  </si>
  <si>
    <t>SHP0002427</t>
  </si>
  <si>
    <t>SHP0002428</t>
  </si>
  <si>
    <t>SHP0002429</t>
  </si>
  <si>
    <t>SHP0002430</t>
  </si>
  <si>
    <t>SHP0002431</t>
  </si>
  <si>
    <t>SHP0002432</t>
  </si>
  <si>
    <t>SHP0002433</t>
  </si>
  <si>
    <t>SHP0002434</t>
  </si>
  <si>
    <t>SHP0002435</t>
  </si>
  <si>
    <t>SHP0002436</t>
  </si>
  <si>
    <t>SHP0002437</t>
  </si>
  <si>
    <t>SHP0002438</t>
  </si>
  <si>
    <t>SHP0002439</t>
  </si>
  <si>
    <t>SHP0002440</t>
  </si>
  <si>
    <t>SHP0002441</t>
  </si>
  <si>
    <t>SHP0002442</t>
  </si>
  <si>
    <t>SHP0002443</t>
  </si>
  <si>
    <t>SHP0002444</t>
  </si>
  <si>
    <t>SHP0002445</t>
  </si>
  <si>
    <t>SHP0002446</t>
  </si>
  <si>
    <t>SHP0002447</t>
  </si>
  <si>
    <t>SHP0002448</t>
  </si>
  <si>
    <t>SHP0002449</t>
  </si>
  <si>
    <t>SHP0002450</t>
  </si>
  <si>
    <t>SHP0002451</t>
  </si>
  <si>
    <t>SHP0002452</t>
  </si>
  <si>
    <t>SHP0002453</t>
  </si>
  <si>
    <t>SHP0002454</t>
  </si>
  <si>
    <t>SHP0002455</t>
  </si>
  <si>
    <t>SHP0002456</t>
  </si>
  <si>
    <t>SHP0002457</t>
  </si>
  <si>
    <t>SHP0002458</t>
  </si>
  <si>
    <t>SHP0002459</t>
  </si>
  <si>
    <t>SHP0002460</t>
  </si>
  <si>
    <t>SHP0002461</t>
  </si>
  <si>
    <t>SHP0002462</t>
  </si>
  <si>
    <t>SHP0002463</t>
  </si>
  <si>
    <t>SHP0002464</t>
  </si>
  <si>
    <t>SHP0002465</t>
  </si>
  <si>
    <t>SHP0002466</t>
  </si>
  <si>
    <t>SHP0002467</t>
  </si>
  <si>
    <t>SHP0002468</t>
  </si>
  <si>
    <t>SHP0002469</t>
  </si>
  <si>
    <t>SHP0002470</t>
  </si>
  <si>
    <t>SHP0002471</t>
  </si>
  <si>
    <t>SHP0002472</t>
  </si>
  <si>
    <t>SHP0002473</t>
  </si>
  <si>
    <t>SHP0002474</t>
  </si>
  <si>
    <t>SHP0002475</t>
  </si>
  <si>
    <t>SHP0002476</t>
  </si>
  <si>
    <t>SHP0002477</t>
  </si>
  <si>
    <t>SHP0002478</t>
  </si>
  <si>
    <t>SHP0002479</t>
  </si>
  <si>
    <t>SHP0002480</t>
  </si>
  <si>
    <t>SHP0002481</t>
  </si>
  <si>
    <t>SHP0002482</t>
  </si>
  <si>
    <t>SHP0002483</t>
  </si>
  <si>
    <t>SHP0002484</t>
  </si>
  <si>
    <t>SHP0002485</t>
  </si>
  <si>
    <t>SHP0002486</t>
  </si>
  <si>
    <t>SHP0002487</t>
  </si>
  <si>
    <t>SHP0002488</t>
  </si>
  <si>
    <t>SHP0002489</t>
  </si>
  <si>
    <t>SHP0002490</t>
  </si>
  <si>
    <t>SHP0002491</t>
  </si>
  <si>
    <t>SHP0002492</t>
  </si>
  <si>
    <t>SHP0002493</t>
  </si>
  <si>
    <t>SHP0002494</t>
  </si>
  <si>
    <t>SHP0002495</t>
  </si>
  <si>
    <t>SHP0002496</t>
  </si>
  <si>
    <t>SHP0002497</t>
  </si>
  <si>
    <t>SHP0002498</t>
  </si>
  <si>
    <t>SHP0002499</t>
  </si>
  <si>
    <t>SHP0002500</t>
  </si>
  <si>
    <t>SHP0002501</t>
  </si>
  <si>
    <t>SHP0002502</t>
  </si>
  <si>
    <t>SHP0002503</t>
  </si>
  <si>
    <t>SHP0002504</t>
  </si>
  <si>
    <t>SHP0002505</t>
  </si>
  <si>
    <t>SHP0002506</t>
  </si>
  <si>
    <t>SHP0002507</t>
  </si>
  <si>
    <t>SHP0002508</t>
  </si>
  <si>
    <t>SHP0002509</t>
  </si>
  <si>
    <t>SHP0002510</t>
  </si>
  <si>
    <t>SHP0002511</t>
  </si>
  <si>
    <t>SHP0002512</t>
  </si>
  <si>
    <t>SHP0002513</t>
  </si>
  <si>
    <t>SHP0002514</t>
  </si>
  <si>
    <t>SHP0002515</t>
  </si>
  <si>
    <t>SHP0002516</t>
  </si>
  <si>
    <t>SHP0002517</t>
  </si>
  <si>
    <t>SHP0002518</t>
  </si>
  <si>
    <t>SHP0002519</t>
  </si>
  <si>
    <t>SHP0002520</t>
  </si>
  <si>
    <t>SHP0002521</t>
  </si>
  <si>
    <t>SHP0002522</t>
  </si>
  <si>
    <t>SHP0002523</t>
  </si>
  <si>
    <t>SHP0002524</t>
  </si>
  <si>
    <t>SHP0002525</t>
  </si>
  <si>
    <t>SHP0002526</t>
  </si>
  <si>
    <t>SHP0002527</t>
  </si>
  <si>
    <t>SHP0002528</t>
  </si>
  <si>
    <t>SHP0002529</t>
  </si>
  <si>
    <t>SHP0002530</t>
  </si>
  <si>
    <t>SHP0002531</t>
  </si>
  <si>
    <t>SHP0002532</t>
  </si>
  <si>
    <t>SHP0002533</t>
  </si>
  <si>
    <t>SHP0002534</t>
  </si>
  <si>
    <t>SHP0002535</t>
  </si>
  <si>
    <t>SHP0002536</t>
  </si>
  <si>
    <t>SHP0002537</t>
  </si>
  <si>
    <t>SHP0002538</t>
  </si>
  <si>
    <t>SHP0002539</t>
  </si>
  <si>
    <t>SHP0002540</t>
  </si>
  <si>
    <t>SHP0002541</t>
  </si>
  <si>
    <t>SHP0002542</t>
  </si>
  <si>
    <t>SHP0002543</t>
  </si>
  <si>
    <t>SHP0002544</t>
  </si>
  <si>
    <t>SHP0002545</t>
  </si>
  <si>
    <t>SHP0002546</t>
  </si>
  <si>
    <t>SHP0002547</t>
  </si>
  <si>
    <t>SHP0002548</t>
  </si>
  <si>
    <t>SHP0002549</t>
  </si>
  <si>
    <t>SHP0002550</t>
  </si>
  <si>
    <t>SHP0002551</t>
  </si>
  <si>
    <t>SHP0002552</t>
  </si>
  <si>
    <t>SHP0002553</t>
  </si>
  <si>
    <t>SHP0002554</t>
  </si>
  <si>
    <t>SHP0002555</t>
  </si>
  <si>
    <t>SHP0002556</t>
  </si>
  <si>
    <t>SHP0002557</t>
  </si>
  <si>
    <t>SHP0002558</t>
  </si>
  <si>
    <t>SHP0002559</t>
  </si>
  <si>
    <t>SHP0002560</t>
  </si>
  <si>
    <t>SHP0002561</t>
  </si>
  <si>
    <t>SHP0002562</t>
  </si>
  <si>
    <t>SHP0002563</t>
  </si>
  <si>
    <t>SHP0002564</t>
  </si>
  <si>
    <t>SHP0002565</t>
  </si>
  <si>
    <t>SHP0002566</t>
  </si>
  <si>
    <t>SHP0002567</t>
  </si>
  <si>
    <t>SHP0002568</t>
  </si>
  <si>
    <t>SHP0002569</t>
  </si>
  <si>
    <t>SHP0002570</t>
  </si>
  <si>
    <t>SHP0002571</t>
  </si>
  <si>
    <t>SHP0002572</t>
  </si>
  <si>
    <t>SHP0002573</t>
  </si>
  <si>
    <t>SHP0002574</t>
  </si>
  <si>
    <t>SHP0002575</t>
  </si>
  <si>
    <t>SHP0002576</t>
  </si>
  <si>
    <t>SHP0002577</t>
  </si>
  <si>
    <t>SHP0002578</t>
  </si>
  <si>
    <t>SHP0002579</t>
  </si>
  <si>
    <t>SHP0002580</t>
  </si>
  <si>
    <t>SHP0002581</t>
  </si>
  <si>
    <t>SHP0002582</t>
  </si>
  <si>
    <t>SHP0002583</t>
  </si>
  <si>
    <t>SHP0002584</t>
  </si>
  <si>
    <t>SHP0002585</t>
  </si>
  <si>
    <t>SHP0002586</t>
  </si>
  <si>
    <t>SHP0002587</t>
  </si>
  <si>
    <t>SHP0002588</t>
  </si>
  <si>
    <t>SHP0002589</t>
  </si>
  <si>
    <t>SHP0002590</t>
  </si>
  <si>
    <t>SHP0002591</t>
  </si>
  <si>
    <t>SHP0002592</t>
  </si>
  <si>
    <t>SHP0002593</t>
  </si>
  <si>
    <t>SHP0002594</t>
  </si>
  <si>
    <t>SHP0002595</t>
  </si>
  <si>
    <t>SHP0002596</t>
  </si>
  <si>
    <t>SHP0002597</t>
  </si>
  <si>
    <t>SHP0002598</t>
  </si>
  <si>
    <t>SHP0002599</t>
  </si>
  <si>
    <t>SHP0002600</t>
  </si>
  <si>
    <t>SHP0002601</t>
  </si>
  <si>
    <t>SHP0002602</t>
  </si>
  <si>
    <t>SHP0002603</t>
  </si>
  <si>
    <t>SHP0002604</t>
  </si>
  <si>
    <t>SHP0002605</t>
  </si>
  <si>
    <t>SHP0002606</t>
  </si>
  <si>
    <t>SHP0002607</t>
  </si>
  <si>
    <t>SHP0002608</t>
  </si>
  <si>
    <t>SHP0002609</t>
  </si>
  <si>
    <t>SHP0002610</t>
  </si>
  <si>
    <t>SHP0002611</t>
  </si>
  <si>
    <t>SHP0002612</t>
  </si>
  <si>
    <t>SHP0002613</t>
  </si>
  <si>
    <t>SHP0002614</t>
  </si>
  <si>
    <t>SHP0002615</t>
  </si>
  <si>
    <t>SHP0002616</t>
  </si>
  <si>
    <t>SHP0002617</t>
  </si>
  <si>
    <t>SHP0002618</t>
  </si>
  <si>
    <t>SHP0002619</t>
  </si>
  <si>
    <t>SHP0002620</t>
  </si>
  <si>
    <t>SHP0002621</t>
  </si>
  <si>
    <t>SHP0002622</t>
  </si>
  <si>
    <t>SHP0002623</t>
  </si>
  <si>
    <t>SHP0002624</t>
  </si>
  <si>
    <t>SHP0002625</t>
  </si>
  <si>
    <t>SHP0002626</t>
  </si>
  <si>
    <t>SHP0002627</t>
  </si>
  <si>
    <t>SHP0002628</t>
  </si>
  <si>
    <t>SHP0002629</t>
  </si>
  <si>
    <t>SHP0002630</t>
  </si>
  <si>
    <t>SHP0002631</t>
  </si>
  <si>
    <t>SHP0002632</t>
  </si>
  <si>
    <t>SHP0002633</t>
  </si>
  <si>
    <t>SHP0002634</t>
  </si>
  <si>
    <t>SHP0002635</t>
  </si>
  <si>
    <t>SHP0002636</t>
  </si>
  <si>
    <t>SHP0002637</t>
  </si>
  <si>
    <t>SHP0002638</t>
  </si>
  <si>
    <t>SHP0002639</t>
  </si>
  <si>
    <t>SHP0002640</t>
  </si>
  <si>
    <t>SHP0002641</t>
  </si>
  <si>
    <t>SHP0002642</t>
  </si>
  <si>
    <t>SHP0002643</t>
  </si>
  <si>
    <t>SHP0002644</t>
  </si>
  <si>
    <t>SHP0002645</t>
  </si>
  <si>
    <t>SHP0002646</t>
  </si>
  <si>
    <t>SHP0002647</t>
  </si>
  <si>
    <t>SHP0002648</t>
  </si>
  <si>
    <t>SHP0002649</t>
  </si>
  <si>
    <t>SHP0002650</t>
  </si>
  <si>
    <t>SHP0002651</t>
  </si>
  <si>
    <t>SHP0002652</t>
  </si>
  <si>
    <t>SHP0002653</t>
  </si>
  <si>
    <t>SHP0002654</t>
  </si>
  <si>
    <t>SHP0002655</t>
  </si>
  <si>
    <t>SHP0002656</t>
  </si>
  <si>
    <t>SHP0002657</t>
  </si>
  <si>
    <t>SHP0002658</t>
  </si>
  <si>
    <t>SHP0002659</t>
  </si>
  <si>
    <t>SHP0002660</t>
  </si>
  <si>
    <t>SHP0002661</t>
  </si>
  <si>
    <t>SHP0002662</t>
  </si>
  <si>
    <t>SHP0002663</t>
  </si>
  <si>
    <t>SHP0002664</t>
  </si>
  <si>
    <t>SHP0002665</t>
  </si>
  <si>
    <t>SHP0002666</t>
  </si>
  <si>
    <t>SHP0002667</t>
  </si>
  <si>
    <t>SHP0002668</t>
  </si>
  <si>
    <t>SHP0002669</t>
  </si>
  <si>
    <t>SHP0002670</t>
  </si>
  <si>
    <t>SHP0002671</t>
  </si>
  <si>
    <t>SHP0002672</t>
  </si>
  <si>
    <t>SHP0002673</t>
  </si>
  <si>
    <t>SHP0002674</t>
  </si>
  <si>
    <t>SHP0002675</t>
  </si>
  <si>
    <t>SHP0002676</t>
  </si>
  <si>
    <t>SHP0002677</t>
  </si>
  <si>
    <t>SHP0002678</t>
  </si>
  <si>
    <t>SHP0002679</t>
  </si>
  <si>
    <t>SHP0002680</t>
  </si>
  <si>
    <t>SHP0002681</t>
  </si>
  <si>
    <t>SHP0002682</t>
  </si>
  <si>
    <t>SHP0002683</t>
  </si>
  <si>
    <t>SHP0002684</t>
  </si>
  <si>
    <t>SHP0002685</t>
  </si>
  <si>
    <t>SHP0002686</t>
  </si>
  <si>
    <t>SHP0002687</t>
  </si>
  <si>
    <t>SHP0002688</t>
  </si>
  <si>
    <t>SHP0002689</t>
  </si>
  <si>
    <t>SHP0002690</t>
  </si>
  <si>
    <t>SHP0002691</t>
  </si>
  <si>
    <t>SHP0002692</t>
  </si>
  <si>
    <t>SHP0002693</t>
  </si>
  <si>
    <t>SHP0002694</t>
  </si>
  <si>
    <t>SHP0002695</t>
  </si>
  <si>
    <t>SHP0002696</t>
  </si>
  <si>
    <t>SHP0002697</t>
  </si>
  <si>
    <t>SHP0002698</t>
  </si>
  <si>
    <t>SHP0002699</t>
  </si>
  <si>
    <t>SHP0002700</t>
  </si>
  <si>
    <t>SHP0002701</t>
  </si>
  <si>
    <t>SHP0002702</t>
  </si>
  <si>
    <t>SHP0002703</t>
  </si>
  <si>
    <t>SHP0002704</t>
  </si>
  <si>
    <t>SHP0002705</t>
  </si>
  <si>
    <t>SHP0002706</t>
  </si>
  <si>
    <t>SHP0002707</t>
  </si>
  <si>
    <t>SHP0002708</t>
  </si>
  <si>
    <t>SHP0002709</t>
  </si>
  <si>
    <t>SHP0002710</t>
  </si>
  <si>
    <t>SHP0002711</t>
  </si>
  <si>
    <t>SHP0002712</t>
  </si>
  <si>
    <t>SHP0002713</t>
  </si>
  <si>
    <t>SHP0002714</t>
  </si>
  <si>
    <t>SHP0002715</t>
  </si>
  <si>
    <t>SHP0002716</t>
  </si>
  <si>
    <t>SHP0002717</t>
  </si>
  <si>
    <t>SHP0002718</t>
  </si>
  <si>
    <t>SHP0002719</t>
  </si>
  <si>
    <t>SHP0002720</t>
  </si>
  <si>
    <t>SHP0002721</t>
  </si>
  <si>
    <t>SHP0002722</t>
  </si>
  <si>
    <t>SHP0002723</t>
  </si>
  <si>
    <t>SHP0002724</t>
  </si>
  <si>
    <t>SHP0002725</t>
  </si>
  <si>
    <t>SHP0002726</t>
  </si>
  <si>
    <t>SHP0002727</t>
  </si>
  <si>
    <t>SHP0002728</t>
  </si>
  <si>
    <t>SHP0002729</t>
  </si>
  <si>
    <t>SHP0002730</t>
  </si>
  <si>
    <t>SHP0002731</t>
  </si>
  <si>
    <t>SHP0002732</t>
  </si>
  <si>
    <t>SHP0002733</t>
  </si>
  <si>
    <t>SHP0002734</t>
  </si>
  <si>
    <t>SHP0002735</t>
  </si>
  <si>
    <t>SHP0002736</t>
  </si>
  <si>
    <t>SHP0002737</t>
  </si>
  <si>
    <t>SHP0002738</t>
  </si>
  <si>
    <t>SHP0002739</t>
  </si>
  <si>
    <t>SHP0002740</t>
  </si>
  <si>
    <t>SHP0002741</t>
  </si>
  <si>
    <t>SHP0002742</t>
  </si>
  <si>
    <t>SHP0002743</t>
  </si>
  <si>
    <t>SHP0002744</t>
  </si>
  <si>
    <t>SHP0002745</t>
  </si>
  <si>
    <t>SHP0002746</t>
  </si>
  <si>
    <t>SHP0002747</t>
  </si>
  <si>
    <t>SHP0002748</t>
  </si>
  <si>
    <t>SHP0002749</t>
  </si>
  <si>
    <t>SHP0002750</t>
  </si>
  <si>
    <t>SHP0002751</t>
  </si>
  <si>
    <t>SHP0002752</t>
  </si>
  <si>
    <t>SHP0002753</t>
  </si>
  <si>
    <t>SHP0002754</t>
  </si>
  <si>
    <t>SHP0002755</t>
  </si>
  <si>
    <t>SHP0002756</t>
  </si>
  <si>
    <t>SHP0002757</t>
  </si>
  <si>
    <t>SHP0002758</t>
  </si>
  <si>
    <t>SHP0002759</t>
  </si>
  <si>
    <t>SHP0002760</t>
  </si>
  <si>
    <t>SHP0002761</t>
  </si>
  <si>
    <t>SHP0002762</t>
  </si>
  <si>
    <t>SHP0002763</t>
  </si>
  <si>
    <t>SHP0002764</t>
  </si>
  <si>
    <t>SHP0002765</t>
  </si>
  <si>
    <t>SHP0002766</t>
  </si>
  <si>
    <t>SHP0002767</t>
  </si>
  <si>
    <t>SHP0002768</t>
  </si>
  <si>
    <t>SHP0002769</t>
  </si>
  <si>
    <t>SHP0002770</t>
  </si>
  <si>
    <t>SHP0002771</t>
  </si>
  <si>
    <t>SHP0002772</t>
  </si>
  <si>
    <t>SHP0002773</t>
  </si>
  <si>
    <t>SHP0002774</t>
  </si>
  <si>
    <t>SHP0002775</t>
  </si>
  <si>
    <t>SHP0002776</t>
  </si>
  <si>
    <t>SHP0002777</t>
  </si>
  <si>
    <t>SHP0002778</t>
  </si>
  <si>
    <t>SHP0002779</t>
  </si>
  <si>
    <t>SHP0002780</t>
  </si>
  <si>
    <t>SHP0002781</t>
  </si>
  <si>
    <t>SHP0002782</t>
  </si>
  <si>
    <t>SHP0002783</t>
  </si>
  <si>
    <t>SHP0002784</t>
  </si>
  <si>
    <t>SHP0002785</t>
  </si>
  <si>
    <t>SHP0002786</t>
  </si>
  <si>
    <t>SHP0002787</t>
  </si>
  <si>
    <t>SHP0002788</t>
  </si>
  <si>
    <t>SHP0002789</t>
  </si>
  <si>
    <t>SHP0002790</t>
  </si>
  <si>
    <t>SHP0002791</t>
  </si>
  <si>
    <t>SHP0002792</t>
  </si>
  <si>
    <t>SHP0002793</t>
  </si>
  <si>
    <t>SHP0002794</t>
  </si>
  <si>
    <t>SHP0002795</t>
  </si>
  <si>
    <t>SHP0002796</t>
  </si>
  <si>
    <t>SHP0002797</t>
  </si>
  <si>
    <t>SHP0002798</t>
  </si>
  <si>
    <t>SHP0002799</t>
  </si>
  <si>
    <t>SHP0002800</t>
  </si>
  <si>
    <t>SHP0002801</t>
  </si>
  <si>
    <t>SHP0002802</t>
  </si>
  <si>
    <t>SHP0002803</t>
  </si>
  <si>
    <t>SHP0002804</t>
  </si>
  <si>
    <t>SHP0002805</t>
  </si>
  <si>
    <t>SHP0002806</t>
  </si>
  <si>
    <t>SHP0002807</t>
  </si>
  <si>
    <t>SHP0002808</t>
  </si>
  <si>
    <t>SHP0002809</t>
  </si>
  <si>
    <t>SHP0002810</t>
  </si>
  <si>
    <t>SHP0002811</t>
  </si>
  <si>
    <t>SHP0002812</t>
  </si>
  <si>
    <t>SHP0002813</t>
  </si>
  <si>
    <t>SHP0002814</t>
  </si>
  <si>
    <t>SHP0002815</t>
  </si>
  <si>
    <t>SHP0002816</t>
  </si>
  <si>
    <t>SHP0002817</t>
  </si>
  <si>
    <t>SHP0002818</t>
  </si>
  <si>
    <t>SHP0002819</t>
  </si>
  <si>
    <t>SHP0002820</t>
  </si>
  <si>
    <t>SHP0002821</t>
  </si>
  <si>
    <t>SHP0002822</t>
  </si>
  <si>
    <t>SHP0002823</t>
  </si>
  <si>
    <t>SHP0002824</t>
  </si>
  <si>
    <t>SHP0002825</t>
  </si>
  <si>
    <t>SHP0002826</t>
  </si>
  <si>
    <t>SHP0002827</t>
  </si>
  <si>
    <t>SHP0002828</t>
  </si>
  <si>
    <t>SHP0002829</t>
  </si>
  <si>
    <t>SHP0002830</t>
  </si>
  <si>
    <t>SHP0002831</t>
  </si>
  <si>
    <t>SHP0002832</t>
  </si>
  <si>
    <t>SHP0002833</t>
  </si>
  <si>
    <t>SHP0002834</t>
  </si>
  <si>
    <t>SHP0002835</t>
  </si>
  <si>
    <t>SHP0002836</t>
  </si>
  <si>
    <t>SHP0002837</t>
  </si>
  <si>
    <t>SHP0002838</t>
  </si>
  <si>
    <t>SHP0002839</t>
  </si>
  <si>
    <t>SHP0002840</t>
  </si>
  <si>
    <t>SHP0002841</t>
  </si>
  <si>
    <t>SHP0002842</t>
  </si>
  <si>
    <t>SHP0002843</t>
  </si>
  <si>
    <t>SHP0002844</t>
  </si>
  <si>
    <t>SHP0002845</t>
  </si>
  <si>
    <t>SHP0002846</t>
  </si>
  <si>
    <t>SHP0002847</t>
  </si>
  <si>
    <t>SHP0002848</t>
  </si>
  <si>
    <t>SHP0002849</t>
  </si>
  <si>
    <t>SHP0002850</t>
  </si>
  <si>
    <t>SHP0002851</t>
  </si>
  <si>
    <t>SHP0002852</t>
  </si>
  <si>
    <t>SHP0002853</t>
  </si>
  <si>
    <t>SHP0002854</t>
  </si>
  <si>
    <t>SHP0002855</t>
  </si>
  <si>
    <t>SHP0002856</t>
  </si>
  <si>
    <t>SHP0002857</t>
  </si>
  <si>
    <t>SHP0002858</t>
  </si>
  <si>
    <t>SHP0002859</t>
  </si>
  <si>
    <t>SHP0002860</t>
  </si>
  <si>
    <t>SHP0002861</t>
  </si>
  <si>
    <t>SHP0002862</t>
  </si>
  <si>
    <t>SHP0002863</t>
  </si>
  <si>
    <t>SHP0002864</t>
  </si>
  <si>
    <t>SHP0002865</t>
  </si>
  <si>
    <t>SHP0002866</t>
  </si>
  <si>
    <t>SHP0002867</t>
  </si>
  <si>
    <t>SHP0002868</t>
  </si>
  <si>
    <t>SHP0002869</t>
  </si>
  <si>
    <t>SHP0002870</t>
  </si>
  <si>
    <t>SHP0002871</t>
  </si>
  <si>
    <t>SHP0002872</t>
  </si>
  <si>
    <t>SHP0002873</t>
  </si>
  <si>
    <t>SHP0002874</t>
  </si>
  <si>
    <t>SHP0002875</t>
  </si>
  <si>
    <t>SHP0002876</t>
  </si>
  <si>
    <t>SHP0002877</t>
  </si>
  <si>
    <t>SHP0002878</t>
  </si>
  <si>
    <t>SHP0002879</t>
  </si>
  <si>
    <t>SHP0002880</t>
  </si>
  <si>
    <t>SHP0002881</t>
  </si>
  <si>
    <t>SHP0002882</t>
  </si>
  <si>
    <t>SHP0002883</t>
  </si>
  <si>
    <t>SHP0002884</t>
  </si>
  <si>
    <t>SHP0002885</t>
  </si>
  <si>
    <t>SHP0002886</t>
  </si>
  <si>
    <t>SHP0002887</t>
  </si>
  <si>
    <t>SHP0002888</t>
  </si>
  <si>
    <t>SHP0002889</t>
  </si>
  <si>
    <t>SHP0002890</t>
  </si>
  <si>
    <t>SHP0002891</t>
  </si>
  <si>
    <t>SHP0002892</t>
  </si>
  <si>
    <t>SHP0002893</t>
  </si>
  <si>
    <t>SHP0002894</t>
  </si>
  <si>
    <t>SHP0002895</t>
  </si>
  <si>
    <t>SHP0002896</t>
  </si>
  <si>
    <t>SHP0002897</t>
  </si>
  <si>
    <t>SHP0002898</t>
  </si>
  <si>
    <t>SHP0002899</t>
  </si>
  <si>
    <t>SHP0002900</t>
  </si>
  <si>
    <t>SHP0002901</t>
  </si>
  <si>
    <t>SHP0002902</t>
  </si>
  <si>
    <t>SHP0002903</t>
  </si>
  <si>
    <t>SHP0002904</t>
  </si>
  <si>
    <t>SHP0002905</t>
  </si>
  <si>
    <t>SHP0002906</t>
  </si>
  <si>
    <t>SHP0002907</t>
  </si>
  <si>
    <t>SHP0002908</t>
  </si>
  <si>
    <t>SHP0002909</t>
  </si>
  <si>
    <t>SHP0002910</t>
  </si>
  <si>
    <t>SHP0002911</t>
  </si>
  <si>
    <t>SHP0002912</t>
  </si>
  <si>
    <t>SHP0002913</t>
  </si>
  <si>
    <t>SHP0002914</t>
  </si>
  <si>
    <t>SHP0002915</t>
  </si>
  <si>
    <t>SHP0002916</t>
  </si>
  <si>
    <t>SHP0002917</t>
  </si>
  <si>
    <t>SHP0002918</t>
  </si>
  <si>
    <t>SHP0002919</t>
  </si>
  <si>
    <t>SHP0002920</t>
  </si>
  <si>
    <t>SHP0002921</t>
  </si>
  <si>
    <t>SHP0002922</t>
  </si>
  <si>
    <t>SHP0002923</t>
  </si>
  <si>
    <t>SHP0002924</t>
  </si>
  <si>
    <t>SHP0002925</t>
  </si>
  <si>
    <t>SHP0002926</t>
  </si>
  <si>
    <t>SHP0002927</t>
  </si>
  <si>
    <t>SHP0002928</t>
  </si>
  <si>
    <t>SHP0002929</t>
  </si>
  <si>
    <t>SHP0002930</t>
  </si>
  <si>
    <t>SHP0002931</t>
  </si>
  <si>
    <t>SHP0002932</t>
  </si>
  <si>
    <t>SHP0002933</t>
  </si>
  <si>
    <t>SHP0002934</t>
  </si>
  <si>
    <t>SHP0002935</t>
  </si>
  <si>
    <t>SHP0002936</t>
  </si>
  <si>
    <t>SHP0002937</t>
  </si>
  <si>
    <t>SHP0002938</t>
  </si>
  <si>
    <t>SHP0002939</t>
  </si>
  <si>
    <t>SHP0002940</t>
  </si>
  <si>
    <t>SHP0002941</t>
  </si>
  <si>
    <t>SHP0002942</t>
  </si>
  <si>
    <t>SHP0002943</t>
  </si>
  <si>
    <t>SHP0002944</t>
  </si>
  <si>
    <t>SHP0002945</t>
  </si>
  <si>
    <t>SHP0002946</t>
  </si>
  <si>
    <t>SHP0002947</t>
  </si>
  <si>
    <t>SHP0002948</t>
  </si>
  <si>
    <t>SHP0002949</t>
  </si>
  <si>
    <t>SHP0002950</t>
  </si>
  <si>
    <t>SHP0002951</t>
  </si>
  <si>
    <t>SHP0002952</t>
  </si>
  <si>
    <t>SHP0002953</t>
  </si>
  <si>
    <t>SHP0002954</t>
  </si>
  <si>
    <t>SHP0002955</t>
  </si>
  <si>
    <t>SHP0002956</t>
  </si>
  <si>
    <t>SHP0002957</t>
  </si>
  <si>
    <t>SHP0002958</t>
  </si>
  <si>
    <t>SHP0002959</t>
  </si>
  <si>
    <t>SHP0002960</t>
  </si>
  <si>
    <t>SHP0002961</t>
  </si>
  <si>
    <t>SHP0002962</t>
  </si>
  <si>
    <t>SHP0002963</t>
  </si>
  <si>
    <t>SHP0002964</t>
  </si>
  <si>
    <t>SHP0002965</t>
  </si>
  <si>
    <t>SHP0002966</t>
  </si>
  <si>
    <t>SHP0002967</t>
  </si>
  <si>
    <t>SHP0002968</t>
  </si>
  <si>
    <t>SHP0002969</t>
  </si>
  <si>
    <t>SHP0002970</t>
  </si>
  <si>
    <t>SHP0002971</t>
  </si>
  <si>
    <t>SHP0002972</t>
  </si>
  <si>
    <t>SHP0002973</t>
  </si>
  <si>
    <t>SHP0002974</t>
  </si>
  <si>
    <t>SHP0002975</t>
  </si>
  <si>
    <t>SHP0002976</t>
  </si>
  <si>
    <t>SHP0002977</t>
  </si>
  <si>
    <t>SHP0002978</t>
  </si>
  <si>
    <t>SHP0002979</t>
  </si>
  <si>
    <t>SHP0002980</t>
  </si>
  <si>
    <t>SHP0002981</t>
  </si>
  <si>
    <t>SHP0002982</t>
  </si>
  <si>
    <t>SHP0002983</t>
  </si>
  <si>
    <t>SHP0002984</t>
  </si>
  <si>
    <t>SHP0002985</t>
  </si>
  <si>
    <t>SHP0002986</t>
  </si>
  <si>
    <t>SHP0002987</t>
  </si>
  <si>
    <t>SHP0002988</t>
  </si>
  <si>
    <t>SHP0002989</t>
  </si>
  <si>
    <t>SHP0002990</t>
  </si>
  <si>
    <t>SHP0002991</t>
  </si>
  <si>
    <t>SHP0002992</t>
  </si>
  <si>
    <t>SHP0002993</t>
  </si>
  <si>
    <t>SHP0002994</t>
  </si>
  <si>
    <t>SHP0002995</t>
  </si>
  <si>
    <t>SHP0002996</t>
  </si>
  <si>
    <t>SHP0002997</t>
  </si>
  <si>
    <t>SHP0002998</t>
  </si>
  <si>
    <t>SHP0002999</t>
  </si>
  <si>
    <t>SHP0003000</t>
  </si>
  <si>
    <t>SHP0003001</t>
  </si>
  <si>
    <t>SHP0003002</t>
  </si>
  <si>
    <t>SHP0003003</t>
  </si>
  <si>
    <t>SHP0003004</t>
  </si>
  <si>
    <t>SHP0003005</t>
  </si>
  <si>
    <t>SHP0003006</t>
  </si>
  <si>
    <t>SHP0003007</t>
  </si>
  <si>
    <t>SHP0003008</t>
  </si>
  <si>
    <t>SHP0003009</t>
  </si>
  <si>
    <t>SHP0003010</t>
  </si>
  <si>
    <t>SHP0003011</t>
  </si>
  <si>
    <t>SHP0003012</t>
  </si>
  <si>
    <t>SHP0003013</t>
  </si>
  <si>
    <t>SHP0003014</t>
  </si>
  <si>
    <t>SHP0003015</t>
  </si>
  <si>
    <t>SHP0003016</t>
  </si>
  <si>
    <t>SHP0003017</t>
  </si>
  <si>
    <t>SHP0003018</t>
  </si>
  <si>
    <t>SHP0003019</t>
  </si>
  <si>
    <t>SHP0003020</t>
  </si>
  <si>
    <t>SHP0003021</t>
  </si>
  <si>
    <t>SHP0003022</t>
  </si>
  <si>
    <t>SHP0003023</t>
  </si>
  <si>
    <t>SHP0003024</t>
  </si>
  <si>
    <t>SHP0003025</t>
  </si>
  <si>
    <t>SHP0003026</t>
  </si>
  <si>
    <t>SHP0003027</t>
  </si>
  <si>
    <t>SHP0003028</t>
  </si>
  <si>
    <t>SHP0003029</t>
  </si>
  <si>
    <t>SHP0003030</t>
  </si>
  <si>
    <t>SHP0003031</t>
  </si>
  <si>
    <t>SHP0003032</t>
  </si>
  <si>
    <t>SHP0003033</t>
  </si>
  <si>
    <t>SHP0003034</t>
  </si>
  <si>
    <t>SHP0003035</t>
  </si>
  <si>
    <t>SHP0003036</t>
  </si>
  <si>
    <t>SHP0003037</t>
  </si>
  <si>
    <t>SHP0003038</t>
  </si>
  <si>
    <t>SHP0003039</t>
  </si>
  <si>
    <t>SHP0003040</t>
  </si>
  <si>
    <t>SHP0003041</t>
  </si>
  <si>
    <t>SHP0003042</t>
  </si>
  <si>
    <t>SHP0003043</t>
  </si>
  <si>
    <t>SHP0003044</t>
  </si>
  <si>
    <t>SHP0003045</t>
  </si>
  <si>
    <t>SHP0003046</t>
  </si>
  <si>
    <t>SHP0003047</t>
  </si>
  <si>
    <t>SHP0003048</t>
  </si>
  <si>
    <t>SHP0003049</t>
  </si>
  <si>
    <t>SHP0003050</t>
  </si>
  <si>
    <t>SHP0003051</t>
  </si>
  <si>
    <t>SHP0003052</t>
  </si>
  <si>
    <t>SHP0003053</t>
  </si>
  <si>
    <t>SHP0003054</t>
  </si>
  <si>
    <t>SHP0003055</t>
  </si>
  <si>
    <t>SHP0003056</t>
  </si>
  <si>
    <t>SHP0003057</t>
  </si>
  <si>
    <t>SHP0003058</t>
  </si>
  <si>
    <t>SHP0003059</t>
  </si>
  <si>
    <t>SHP0003060</t>
  </si>
  <si>
    <t>SHP0003061</t>
  </si>
  <si>
    <t>SHP0003062</t>
  </si>
  <si>
    <t>SHP0003063</t>
  </si>
  <si>
    <t>SHP0003064</t>
  </si>
  <si>
    <t>SHP0003065</t>
  </si>
  <si>
    <t>SHP0003066</t>
  </si>
  <si>
    <t>SHP0003067</t>
  </si>
  <si>
    <t>SHP0003068</t>
  </si>
  <si>
    <t>SHP0003069</t>
  </si>
  <si>
    <t>SHP0003070</t>
  </si>
  <si>
    <t>SHP0003071</t>
  </si>
  <si>
    <t>SHP0003072</t>
  </si>
  <si>
    <t>SHP0003073</t>
  </si>
  <si>
    <t>SHP0003074</t>
  </si>
  <si>
    <t>SHP0003075</t>
  </si>
  <si>
    <t>SHP0003076</t>
  </si>
  <si>
    <t>SHP0003077</t>
  </si>
  <si>
    <t>SHP0003078</t>
  </si>
  <si>
    <t>SHP0003079</t>
  </si>
  <si>
    <t>SHP0003080</t>
  </si>
  <si>
    <t>SHP0003081</t>
  </si>
  <si>
    <t>SHP0003082</t>
  </si>
  <si>
    <t>SHP0003083</t>
  </si>
  <si>
    <t>SHP0003084</t>
  </si>
  <si>
    <t>SHP0003085</t>
  </si>
  <si>
    <t>SHP0003086</t>
  </si>
  <si>
    <t>SHP0003087</t>
  </si>
  <si>
    <t>SHP0003088</t>
  </si>
  <si>
    <t>SHP0003089</t>
  </si>
  <si>
    <t>SHP0003090</t>
  </si>
  <si>
    <t>SHP0003091</t>
  </si>
  <si>
    <t>SHP0003092</t>
  </si>
  <si>
    <t>SHP0003093</t>
  </si>
  <si>
    <t>SHP0003094</t>
  </si>
  <si>
    <t>SHP0003095</t>
  </si>
  <si>
    <t>SHP0003096</t>
  </si>
  <si>
    <t>SHP0003097</t>
  </si>
  <si>
    <t>SHP0003098</t>
  </si>
  <si>
    <t>SHP0003099</t>
  </si>
  <si>
    <t>SHP0003100</t>
  </si>
  <si>
    <t>SHP0003101</t>
  </si>
  <si>
    <t>SHP0003102</t>
  </si>
  <si>
    <t>SHP0003103</t>
  </si>
  <si>
    <t>SHP0003104</t>
  </si>
  <si>
    <t>SHP0003105</t>
  </si>
  <si>
    <t>SHP0003106</t>
  </si>
  <si>
    <t>SHP0003107</t>
  </si>
  <si>
    <t>SHP0003108</t>
  </si>
  <si>
    <t>SHP0003109</t>
  </si>
  <si>
    <t>SHP0003110</t>
  </si>
  <si>
    <t>SHP0003111</t>
  </si>
  <si>
    <t>SHP0003112</t>
  </si>
  <si>
    <t>SHP0003113</t>
  </si>
  <si>
    <t>SHP0003114</t>
  </si>
  <si>
    <t>SHP0003115</t>
  </si>
  <si>
    <t>SHP0003116</t>
  </si>
  <si>
    <t>SHP0003117</t>
  </si>
  <si>
    <t>SHP0003118</t>
  </si>
  <si>
    <t>SHP0003119</t>
  </si>
  <si>
    <t>SHP0003120</t>
  </si>
  <si>
    <t>SHP0003121</t>
  </si>
  <si>
    <t>SHP0003122</t>
  </si>
  <si>
    <t>SHP0003123</t>
  </si>
  <si>
    <t>SHP0003124</t>
  </si>
  <si>
    <t>SHP0003125</t>
  </si>
  <si>
    <t>SHP0003126</t>
  </si>
  <si>
    <t>SHP0003127</t>
  </si>
  <si>
    <t>SHP0003128</t>
  </si>
  <si>
    <t>SHP0003129</t>
  </si>
  <si>
    <t>SHP0003130</t>
  </si>
  <si>
    <t>SHP0003131</t>
  </si>
  <si>
    <t>SHP0003132</t>
  </si>
  <si>
    <t>SHP0003133</t>
  </si>
  <si>
    <t>SHP0003134</t>
  </si>
  <si>
    <t>SHP0003135</t>
  </si>
  <si>
    <t>SHP0003136</t>
  </si>
  <si>
    <t>SHP0003137</t>
  </si>
  <si>
    <t>SHP0003138</t>
  </si>
  <si>
    <t>SHP0003139</t>
  </si>
  <si>
    <t>SHP0003140</t>
  </si>
  <si>
    <t>SHP0003141</t>
  </si>
  <si>
    <t>SHP0003142</t>
  </si>
  <si>
    <t>SHP0003143</t>
  </si>
  <si>
    <t>SHP0003144</t>
  </si>
  <si>
    <t>SHP0003145</t>
  </si>
  <si>
    <t>SHP0003146</t>
  </si>
  <si>
    <t>SHP0003147</t>
  </si>
  <si>
    <t>SHP0003148</t>
  </si>
  <si>
    <t>SHP0003149</t>
  </si>
  <si>
    <t>SHP0003150</t>
  </si>
  <si>
    <t>SHP0003151</t>
  </si>
  <si>
    <t>SHP0003152</t>
  </si>
  <si>
    <t>SHP0003153</t>
  </si>
  <si>
    <t>SHP0003154</t>
  </si>
  <si>
    <t>SHP0003155</t>
  </si>
  <si>
    <t>SHP0003156</t>
  </si>
  <si>
    <t>SHP0003157</t>
  </si>
  <si>
    <t>SHP0003158</t>
  </si>
  <si>
    <t>SHP0003159</t>
  </si>
  <si>
    <t>SHP0003160</t>
  </si>
  <si>
    <t>SHP0003161</t>
  </si>
  <si>
    <t>SHP0003162</t>
  </si>
  <si>
    <t>SHP0003163</t>
  </si>
  <si>
    <t>SHP0003164</t>
  </si>
  <si>
    <t>SHP0003165</t>
  </si>
  <si>
    <t>SHP0003166</t>
  </si>
  <si>
    <t>SHP0003167</t>
  </si>
  <si>
    <t>SHP0003168</t>
  </si>
  <si>
    <t>SHP0003169</t>
  </si>
  <si>
    <t>SHP0003170</t>
  </si>
  <si>
    <t>SHP0003171</t>
  </si>
  <si>
    <t>SHP0003172</t>
  </si>
  <si>
    <t>SHP0003173</t>
  </si>
  <si>
    <t>SHP0003174</t>
  </si>
  <si>
    <t>SHP0003175</t>
  </si>
  <si>
    <t>SHP0003176</t>
  </si>
  <si>
    <t>SHP0003177</t>
  </si>
  <si>
    <t>SHP0003178</t>
  </si>
  <si>
    <t>SHP0003179</t>
  </si>
  <si>
    <t>SHP0003180</t>
  </si>
  <si>
    <t>SHP0003181</t>
  </si>
  <si>
    <t>SHP0003182</t>
  </si>
  <si>
    <t>SHP0003183</t>
  </si>
  <si>
    <t>SHP0003184</t>
  </si>
  <si>
    <t>SHP0003185</t>
  </si>
  <si>
    <t>SHP0003186</t>
  </si>
  <si>
    <t>SHP0003187</t>
  </si>
  <si>
    <t>SHP0003188</t>
  </si>
  <si>
    <t>SHP0003189</t>
  </si>
  <si>
    <t>SHP0003190</t>
  </si>
  <si>
    <t>SHP0003191</t>
  </si>
  <si>
    <t>SHP0003192</t>
  </si>
  <si>
    <t>SHP0003193</t>
  </si>
  <si>
    <t>SHP0003194</t>
  </si>
  <si>
    <t>SHP0003195</t>
  </si>
  <si>
    <t>SHP0003196</t>
  </si>
  <si>
    <t>SHP0003197</t>
  </si>
  <si>
    <t>SHP0003198</t>
  </si>
  <si>
    <t>SHP0003199</t>
  </si>
  <si>
    <t>SHP0003200</t>
  </si>
  <si>
    <t>SHP0003201</t>
  </si>
  <si>
    <t>SHP0003202</t>
  </si>
  <si>
    <t>SHP0003203</t>
  </si>
  <si>
    <t>SHP0003204</t>
  </si>
  <si>
    <t>SHP0003205</t>
  </si>
  <si>
    <t>SHP0003206</t>
  </si>
  <si>
    <t>SHP0003207</t>
  </si>
  <si>
    <t>SHP0003208</t>
  </si>
  <si>
    <t>SHP0003209</t>
  </si>
  <si>
    <t>SHP0003210</t>
  </si>
  <si>
    <t>SHP0003211</t>
  </si>
  <si>
    <t>SHP0003212</t>
  </si>
  <si>
    <t>SHP0003213</t>
  </si>
  <si>
    <t>SHP0003214</t>
  </si>
  <si>
    <t>SHP0003215</t>
  </si>
  <si>
    <t>SHP0003216</t>
  </si>
  <si>
    <t>SHP0003217</t>
  </si>
  <si>
    <t>SHP0003218</t>
  </si>
  <si>
    <t>SHP0003219</t>
  </si>
  <si>
    <t>SHP0003220</t>
  </si>
  <si>
    <t>SHP0003221</t>
  </si>
  <si>
    <t>SHP0003222</t>
  </si>
  <si>
    <t>SHP0003223</t>
  </si>
  <si>
    <t>SHP0003224</t>
  </si>
  <si>
    <t>SHP0003225</t>
  </si>
  <si>
    <t>SHP0003226</t>
  </si>
  <si>
    <t>SHP0003227</t>
  </si>
  <si>
    <t>SHP0003228</t>
  </si>
  <si>
    <t>SHP0003229</t>
  </si>
  <si>
    <t>SHP0003230</t>
  </si>
  <si>
    <t>SHP0003231</t>
  </si>
  <si>
    <t>SHP0003232</t>
  </si>
  <si>
    <t>SHP0003233</t>
  </si>
  <si>
    <t>SHP0003234</t>
  </si>
  <si>
    <t>SHP0003235</t>
  </si>
  <si>
    <t>SHP0003236</t>
  </si>
  <si>
    <t>SHP0003237</t>
  </si>
  <si>
    <t>SHP0003238</t>
  </si>
  <si>
    <t>SHP0003239</t>
  </si>
  <si>
    <t>SHP0003240</t>
  </si>
  <si>
    <t>SHP0003241</t>
  </si>
  <si>
    <t>SHP0003242</t>
  </si>
  <si>
    <t>SHP0003243</t>
  </si>
  <si>
    <t>SHP0003244</t>
  </si>
  <si>
    <t>SHP0003245</t>
  </si>
  <si>
    <t>SHP0003246</t>
  </si>
  <si>
    <t>SHP0003247</t>
  </si>
  <si>
    <t>SHP0003248</t>
  </si>
  <si>
    <t>SHP0003249</t>
  </si>
  <si>
    <t>SHP0003250</t>
  </si>
  <si>
    <t>SHP0003251</t>
  </si>
  <si>
    <t>SHP0003252</t>
  </si>
  <si>
    <t>SHP0003253</t>
  </si>
  <si>
    <t>SHP0003254</t>
  </si>
  <si>
    <t>SHP0003255</t>
  </si>
  <si>
    <t>SHP0003256</t>
  </si>
  <si>
    <t>SHP0003257</t>
  </si>
  <si>
    <t>SHP0003258</t>
  </si>
  <si>
    <t>SHP0003259</t>
  </si>
  <si>
    <t>SHP0003260</t>
  </si>
  <si>
    <t>SHP0003261</t>
  </si>
  <si>
    <t>SHP0003262</t>
  </si>
  <si>
    <t>SHP0003263</t>
  </si>
  <si>
    <t>SHP0003264</t>
  </si>
  <si>
    <t>SHP0003265</t>
  </si>
  <si>
    <t>SHP0003266</t>
  </si>
  <si>
    <t>SHP0003267</t>
  </si>
  <si>
    <t>SHP0003268</t>
  </si>
  <si>
    <t>SHP0003269</t>
  </si>
  <si>
    <t>SHP0003270</t>
  </si>
  <si>
    <t>SHP0003271</t>
  </si>
  <si>
    <t>SHP0003272</t>
  </si>
  <si>
    <t>SHP0003273</t>
  </si>
  <si>
    <t>SHP0003274</t>
  </si>
  <si>
    <t>SHP0003275</t>
  </si>
  <si>
    <t>SHP0003276</t>
  </si>
  <si>
    <t>SHP0003277</t>
  </si>
  <si>
    <t>SHP0003278</t>
  </si>
  <si>
    <t>SHP0003279</t>
  </si>
  <si>
    <t>SHP0003280</t>
  </si>
  <si>
    <t>SHP0003281</t>
  </si>
  <si>
    <t>SHP0003282</t>
  </si>
  <si>
    <t>SHP0003283</t>
  </si>
  <si>
    <t>SHP0003284</t>
  </si>
  <si>
    <t>SHP0003285</t>
  </si>
  <si>
    <t>SHP0003286</t>
  </si>
  <si>
    <t>SHP0003287</t>
  </si>
  <si>
    <t>SHP0003288</t>
  </si>
  <si>
    <t>SHP0003289</t>
  </si>
  <si>
    <t>SHP0003290</t>
  </si>
  <si>
    <t>SHP0003291</t>
  </si>
  <si>
    <t>SHP0003292</t>
  </si>
  <si>
    <t>SHP0003293</t>
  </si>
  <si>
    <t>SHP0003294</t>
  </si>
  <si>
    <t>SHP0003295</t>
  </si>
  <si>
    <t>SHP0003296</t>
  </si>
  <si>
    <t>SHP0003297</t>
  </si>
  <si>
    <t>SHP0003298</t>
  </si>
  <si>
    <t>SHP0003299</t>
  </si>
  <si>
    <t>SHP0003300</t>
  </si>
  <si>
    <t>SHP0003301</t>
  </si>
  <si>
    <t>SHP0003302</t>
  </si>
  <si>
    <t>SHP0003303</t>
  </si>
  <si>
    <t>SHP0003304</t>
  </si>
  <si>
    <t>SHP0003305</t>
  </si>
  <si>
    <t>SHP0003306</t>
  </si>
  <si>
    <t>SHP0003307</t>
  </si>
  <si>
    <t>SHP0003308</t>
  </si>
  <si>
    <t>SHP0003309</t>
  </si>
  <si>
    <t>SHP0003310</t>
  </si>
  <si>
    <t>SHP0003311</t>
  </si>
  <si>
    <t>SHP0003312</t>
  </si>
  <si>
    <t>SHP0003313</t>
  </si>
  <si>
    <t>SHP0003314</t>
  </si>
  <si>
    <t>SHP0003315</t>
  </si>
  <si>
    <t>SHP0003316</t>
  </si>
  <si>
    <t>SHP0003317</t>
  </si>
  <si>
    <t>SHP0003318</t>
  </si>
  <si>
    <t>SHP0003319</t>
  </si>
  <si>
    <t>SHP0003320</t>
  </si>
  <si>
    <t>SHP0003321</t>
  </si>
  <si>
    <t>SHP0003322</t>
  </si>
  <si>
    <t>SHP0003323</t>
  </si>
  <si>
    <t>SHP0003324</t>
  </si>
  <si>
    <t>SHP0003325</t>
  </si>
  <si>
    <t>SHP0003326</t>
  </si>
  <si>
    <t>SHP0003327</t>
  </si>
  <si>
    <t>SHP0003328</t>
  </si>
  <si>
    <t>SHP0003329</t>
  </si>
  <si>
    <t>SHP0003330</t>
  </si>
  <si>
    <t>SHP0003331</t>
  </si>
  <si>
    <t>SHP0003332</t>
  </si>
  <si>
    <t>SHP0003333</t>
  </si>
  <si>
    <t>SHP0003334</t>
  </si>
  <si>
    <t>SHP0003335</t>
  </si>
  <si>
    <t>SHP0003336</t>
  </si>
  <si>
    <t>SHP0003337</t>
  </si>
  <si>
    <t>SHP0003338</t>
  </si>
  <si>
    <t>SHP0003339</t>
  </si>
  <si>
    <t>SHP0003340</t>
  </si>
  <si>
    <t>SHP0003341</t>
  </si>
  <si>
    <t>SHP0003342</t>
  </si>
  <si>
    <t>SHP0003343</t>
  </si>
  <si>
    <t>SHP0003344</t>
  </si>
  <si>
    <t>SHP0003345</t>
  </si>
  <si>
    <t>SHP0003346</t>
  </si>
  <si>
    <t>SHP0003347</t>
  </si>
  <si>
    <t>SHP0003348</t>
  </si>
  <si>
    <t>SHP0003349</t>
  </si>
  <si>
    <t>SHP0003350</t>
  </si>
  <si>
    <t>SHP0003351</t>
  </si>
  <si>
    <t>SHP0003352</t>
  </si>
  <si>
    <t>SHP0003353</t>
  </si>
  <si>
    <t>SHP0003354</t>
  </si>
  <si>
    <t>SHP0003355</t>
  </si>
  <si>
    <t>SHP0003356</t>
  </si>
  <si>
    <t>SHP0003357</t>
  </si>
  <si>
    <t>SHP0003358</t>
  </si>
  <si>
    <t>SHP0003359</t>
  </si>
  <si>
    <t>SHP0003360</t>
  </si>
  <si>
    <t>SHP0003361</t>
  </si>
  <si>
    <t>SHP0003362</t>
  </si>
  <si>
    <t>SHP0003363</t>
  </si>
  <si>
    <t>SHP0003364</t>
  </si>
  <si>
    <t>SHP0003365</t>
  </si>
  <si>
    <t>SHP0003366</t>
  </si>
  <si>
    <t>SHP0003367</t>
  </si>
  <si>
    <t>SHP0003368</t>
  </si>
  <si>
    <t>SHP0003369</t>
  </si>
  <si>
    <t>SHP0003370</t>
  </si>
  <si>
    <t>SHP0003371</t>
  </si>
  <si>
    <t>SHP0003372</t>
  </si>
  <si>
    <t>SHP0003373</t>
  </si>
  <si>
    <t>SHP0003374</t>
  </si>
  <si>
    <t>SHP0003375</t>
  </si>
  <si>
    <t>SHP0003376</t>
  </si>
  <si>
    <t>SHP0003377</t>
  </si>
  <si>
    <t>SHP0003378</t>
  </si>
  <si>
    <t>SHP0003379</t>
  </si>
  <si>
    <t>SHP0003380</t>
  </si>
  <si>
    <t>SHP0003381</t>
  </si>
  <si>
    <t>SHP0003382</t>
  </si>
  <si>
    <t>SHP0003383</t>
  </si>
  <si>
    <t>SHP0003384</t>
  </si>
  <si>
    <t>SHP0003385</t>
  </si>
  <si>
    <t>SHP0003386</t>
  </si>
  <si>
    <t>SHP0003387</t>
  </si>
  <si>
    <t>SHP0003388</t>
  </si>
  <si>
    <t>SHP0003389</t>
  </si>
  <si>
    <t>SHP0003390</t>
  </si>
  <si>
    <t>SHP0003391</t>
  </si>
  <si>
    <t>SHP0003392</t>
  </si>
  <si>
    <t>SHP0003393</t>
  </si>
  <si>
    <t>SHP0003394</t>
  </si>
  <si>
    <t>SHP0003395</t>
  </si>
  <si>
    <t>SHP0003396</t>
  </si>
  <si>
    <t>SHP0003397</t>
  </si>
  <si>
    <t>SHP0003398</t>
  </si>
  <si>
    <t>SHP0003399</t>
  </si>
  <si>
    <t>SHP0003400</t>
  </si>
  <si>
    <t>SHP0003401</t>
  </si>
  <si>
    <t>SHP0003402</t>
  </si>
  <si>
    <t>SHP0003403</t>
  </si>
  <si>
    <t>SHP0003404</t>
  </si>
  <si>
    <t>SHP0003405</t>
  </si>
  <si>
    <t>SHP0003406</t>
  </si>
  <si>
    <t>SHP0003407</t>
  </si>
  <si>
    <t>SHP0003408</t>
  </si>
  <si>
    <t>SHP0003409</t>
  </si>
  <si>
    <t>SHP0003410</t>
  </si>
  <si>
    <t>SHP0003411</t>
  </si>
  <si>
    <t>SHP0003412</t>
  </si>
  <si>
    <t>SHP0003413</t>
  </si>
  <si>
    <t>SHP0003414</t>
  </si>
  <si>
    <t>SHP0003415</t>
  </si>
  <si>
    <t>SHP0003416</t>
  </si>
  <si>
    <t>SHP0003417</t>
  </si>
  <si>
    <t>SHP0003418</t>
  </si>
  <si>
    <t>SHP0003419</t>
  </si>
  <si>
    <t>SHP0003420</t>
  </si>
  <si>
    <t>SHP0003421</t>
  </si>
  <si>
    <t>SHP0003422</t>
  </si>
  <si>
    <t>SHP0003423</t>
  </si>
  <si>
    <t>SHP0003424</t>
  </si>
  <si>
    <t>SHP0003425</t>
  </si>
  <si>
    <t>SHP0003426</t>
  </si>
  <si>
    <t>SHP0003427</t>
  </si>
  <si>
    <t>SHP0003428</t>
  </si>
  <si>
    <t>SHP0003429</t>
  </si>
  <si>
    <t>SHP0003430</t>
  </si>
  <si>
    <t>SHP0003431</t>
  </si>
  <si>
    <t>SHP0003432</t>
  </si>
  <si>
    <t>SHP0003433</t>
  </si>
  <si>
    <t>SHP0003434</t>
  </si>
  <si>
    <t>SHP0003435</t>
  </si>
  <si>
    <t>SHP0003436</t>
  </si>
  <si>
    <t>SHP0003437</t>
  </si>
  <si>
    <t>SHP0003438</t>
  </si>
  <si>
    <t>SHP0003439</t>
  </si>
  <si>
    <t>SHP0003440</t>
  </si>
  <si>
    <t>SHP0003441</t>
  </si>
  <si>
    <t>SHP0003442</t>
  </si>
  <si>
    <t>SHP0003443</t>
  </si>
  <si>
    <t>SHP0003444</t>
  </si>
  <si>
    <t>SHP0003445</t>
  </si>
  <si>
    <t>SHP0003446</t>
  </si>
  <si>
    <t>SHP0003447</t>
  </si>
  <si>
    <t>SHP0003448</t>
  </si>
  <si>
    <t>SHP0003449</t>
  </si>
  <si>
    <t>SHP0003450</t>
  </si>
  <si>
    <t>SHP0003451</t>
  </si>
  <si>
    <t>SHP0003452</t>
  </si>
  <si>
    <t>SHP0003453</t>
  </si>
  <si>
    <t>SHP0003454</t>
  </si>
  <si>
    <t>SHP0003455</t>
  </si>
  <si>
    <t>SHP0003456</t>
  </si>
  <si>
    <t>SHP0003457</t>
  </si>
  <si>
    <t>SHP0003458</t>
  </si>
  <si>
    <t>SHP0003459</t>
  </si>
  <si>
    <t>SHP0003460</t>
  </si>
  <si>
    <t>SHP0003461</t>
  </si>
  <si>
    <t>SHP0003462</t>
  </si>
  <si>
    <t>SHP0003463</t>
  </si>
  <si>
    <t>SHP0003464</t>
  </si>
  <si>
    <t>SHP0003465</t>
  </si>
  <si>
    <t>SHP0003466</t>
  </si>
  <si>
    <t>SHP0003467</t>
  </si>
  <si>
    <t>SHP0003468</t>
  </si>
  <si>
    <t>SHP0003469</t>
  </si>
  <si>
    <t>SHP0003470</t>
  </si>
  <si>
    <t>SHP0003471</t>
  </si>
  <si>
    <t>SHP0003472</t>
  </si>
  <si>
    <t>SHP0003473</t>
  </si>
  <si>
    <t>SHP0003474</t>
  </si>
  <si>
    <t>SHP0003475</t>
  </si>
  <si>
    <t>SHP0003476</t>
  </si>
  <si>
    <t>SHP0003477</t>
  </si>
  <si>
    <t>SHP0003478</t>
  </si>
  <si>
    <t>SHP0003479</t>
  </si>
  <si>
    <t>SHP0003480</t>
  </si>
  <si>
    <t>SHP0003481</t>
  </si>
  <si>
    <t>SHP0003482</t>
  </si>
  <si>
    <t>SHP0003483</t>
  </si>
  <si>
    <t>SHP0003484</t>
  </si>
  <si>
    <t>SHP0003485</t>
  </si>
  <si>
    <t>SHP0003486</t>
  </si>
  <si>
    <t>SHP0003487</t>
  </si>
  <si>
    <t>SHP0003488</t>
  </si>
  <si>
    <t>SHP0003489</t>
  </si>
  <si>
    <t>SHP0003490</t>
  </si>
  <si>
    <t>SHP0003491</t>
  </si>
  <si>
    <t>SHP0003492</t>
  </si>
  <si>
    <t>SHP0003493</t>
  </si>
  <si>
    <t>SHP0003494</t>
  </si>
  <si>
    <t>SHP0003495</t>
  </si>
  <si>
    <t>SHP0003496</t>
  </si>
  <si>
    <t>SHP0003497</t>
  </si>
  <si>
    <t>SHP0003498</t>
  </si>
  <si>
    <t>SHP0003499</t>
  </si>
  <si>
    <t>SHP0003500</t>
  </si>
  <si>
    <t>SHP0003501</t>
  </si>
  <si>
    <t>SHP0003502</t>
  </si>
  <si>
    <t>SHP0003503</t>
  </si>
  <si>
    <t>SHP0003504</t>
  </si>
  <si>
    <t>SHP0003505</t>
  </si>
  <si>
    <t>SHP0003506</t>
  </si>
  <si>
    <t>SHP0003507</t>
  </si>
  <si>
    <t>SHP0003508</t>
  </si>
  <si>
    <t>SHP0003509</t>
  </si>
  <si>
    <t>SHP0003510</t>
  </si>
  <si>
    <t>SHP0003511</t>
  </si>
  <si>
    <t>SHP0003512</t>
  </si>
  <si>
    <t>SHP0003513</t>
  </si>
  <si>
    <t>SHP0003514</t>
  </si>
  <si>
    <t>SHP0003515</t>
  </si>
  <si>
    <t>SHP0003516</t>
  </si>
  <si>
    <t>SHP0003517</t>
  </si>
  <si>
    <t>SHP0003518</t>
  </si>
  <si>
    <t>SHP0003519</t>
  </si>
  <si>
    <t>SHP0003520</t>
  </si>
  <si>
    <t>SHP0003521</t>
  </si>
  <si>
    <t>SHP0003522</t>
  </si>
  <si>
    <t>SHP0003523</t>
  </si>
  <si>
    <t>SHP0003524</t>
  </si>
  <si>
    <t>SHP0003525</t>
  </si>
  <si>
    <t>SHP0003526</t>
  </si>
  <si>
    <t>SHP0003527</t>
  </si>
  <si>
    <t>SHP0003528</t>
  </si>
  <si>
    <t>SHP0003529</t>
  </si>
  <si>
    <t>SHP0003530</t>
  </si>
  <si>
    <t>SHP0003531</t>
  </si>
  <si>
    <t>SHP0003532</t>
  </si>
  <si>
    <t>SHP0003533</t>
  </si>
  <si>
    <t>SHP0003534</t>
  </si>
  <si>
    <t>SHP0003535</t>
  </si>
  <si>
    <t>SHP0003536</t>
  </si>
  <si>
    <t>SHP0003537</t>
  </si>
  <si>
    <t>SHP0003538</t>
  </si>
  <si>
    <t>SHP0003539</t>
  </si>
  <si>
    <t>SHP0003540</t>
  </si>
  <si>
    <t>SHP0003541</t>
  </si>
  <si>
    <t>SHP0003542</t>
  </si>
  <si>
    <t>SHP0003543</t>
  </si>
  <si>
    <t>SHP0003544</t>
  </si>
  <si>
    <t>SHP0003545</t>
  </si>
  <si>
    <t>SHP0003546</t>
  </si>
  <si>
    <t>SHP0003547</t>
  </si>
  <si>
    <t>SHP0003548</t>
  </si>
  <si>
    <t>SHP0003549</t>
  </si>
  <si>
    <t>SHP0003550</t>
  </si>
  <si>
    <t>SHP0003551</t>
  </si>
  <si>
    <t>SHP0003552</t>
  </si>
  <si>
    <t>SHP0003553</t>
  </si>
  <si>
    <t>SHP0003554</t>
  </si>
  <si>
    <t>SHP0003555</t>
  </si>
  <si>
    <t>SHP0003556</t>
  </si>
  <si>
    <t>SHP0003557</t>
  </si>
  <si>
    <t>SHP0003558</t>
  </si>
  <si>
    <t>SHP0003559</t>
  </si>
  <si>
    <t>SHP0003560</t>
  </si>
  <si>
    <t>SHP0003561</t>
  </si>
  <si>
    <t>SHP0003562</t>
  </si>
  <si>
    <t>SHP0003563</t>
  </si>
  <si>
    <t>SHP0003564</t>
  </si>
  <si>
    <t>SHP0003565</t>
  </si>
  <si>
    <t>SHP0003566</t>
  </si>
  <si>
    <t>SHP0003567</t>
  </si>
  <si>
    <t>SHP0003568</t>
  </si>
  <si>
    <t>SHP0003569</t>
  </si>
  <si>
    <t>SHP0003570</t>
  </si>
  <si>
    <t>SHP0003571</t>
  </si>
  <si>
    <t>SHP0003572</t>
  </si>
  <si>
    <t>SHP0003573</t>
  </si>
  <si>
    <t>SHP0003574</t>
  </si>
  <si>
    <t>SHP0003575</t>
  </si>
  <si>
    <t>SHP0003576</t>
  </si>
  <si>
    <t>SHP0003577</t>
  </si>
  <si>
    <t>SHP0003578</t>
  </si>
  <si>
    <t>SHP0003579</t>
  </si>
  <si>
    <t>SHP0003580</t>
  </si>
  <si>
    <t>SHP0003581</t>
  </si>
  <si>
    <t>SHP0003582</t>
  </si>
  <si>
    <t>SHP0003583</t>
  </si>
  <si>
    <t>SHP0003584</t>
  </si>
  <si>
    <t>SHP0003585</t>
  </si>
  <si>
    <t>SHP0003586</t>
  </si>
  <si>
    <t>SHP0003587</t>
  </si>
  <si>
    <t>SHP0003588</t>
  </si>
  <si>
    <t>SHP0003589</t>
  </si>
  <si>
    <t>SHP0003590</t>
  </si>
  <si>
    <t>SHP0003591</t>
  </si>
  <si>
    <t>SHP0003592</t>
  </si>
  <si>
    <t>SHP0003593</t>
  </si>
  <si>
    <t>SHP0003594</t>
  </si>
  <si>
    <t>SHP0003595</t>
  </si>
  <si>
    <t>SHP0003596</t>
  </si>
  <si>
    <t>SHP0003597</t>
  </si>
  <si>
    <t>SHP0003598</t>
  </si>
  <si>
    <t>SHP0003599</t>
  </si>
  <si>
    <t>SHP0003600</t>
  </si>
  <si>
    <t>SHP0003601</t>
  </si>
  <si>
    <t>SHP0003602</t>
  </si>
  <si>
    <t>SHP0003603</t>
  </si>
  <si>
    <t>SHP0003604</t>
  </si>
  <si>
    <t>SHP0003605</t>
  </si>
  <si>
    <t>SHP0003606</t>
  </si>
  <si>
    <t>SHP0003607</t>
  </si>
  <si>
    <t>SHP0003608</t>
  </si>
  <si>
    <t>SHP0003609</t>
  </si>
  <si>
    <t>SHP0003610</t>
  </si>
  <si>
    <t>SHP0003611</t>
  </si>
  <si>
    <t>SHP0003612</t>
  </si>
  <si>
    <t>SHP0003613</t>
  </si>
  <si>
    <t>SHP0003614</t>
  </si>
  <si>
    <t>SHP0003615</t>
  </si>
  <si>
    <t>SHP0003616</t>
  </si>
  <si>
    <t>SHP0003617</t>
  </si>
  <si>
    <t>SHP0003618</t>
  </si>
  <si>
    <t>SHP0003619</t>
  </si>
  <si>
    <t>SHP0003620</t>
  </si>
  <si>
    <t>SHP0003621</t>
  </si>
  <si>
    <t>SHP0003622</t>
  </si>
  <si>
    <t>SHP0003623</t>
  </si>
  <si>
    <t>SHP0003624</t>
  </si>
  <si>
    <t>SHP0003625</t>
  </si>
  <si>
    <t>SHP0003626</t>
  </si>
  <si>
    <t>SHP0003627</t>
  </si>
  <si>
    <t>SHP0003628</t>
  </si>
  <si>
    <t>SHP0003629</t>
  </si>
  <si>
    <t>SHP0003630</t>
  </si>
  <si>
    <t>SHP0003631</t>
  </si>
  <si>
    <t>SHP0003632</t>
  </si>
  <si>
    <t>SHP0003633</t>
  </si>
  <si>
    <t>SHP0003634</t>
  </si>
  <si>
    <t>SHP0003635</t>
  </si>
  <si>
    <t>SHP0003636</t>
  </si>
  <si>
    <t>SHP0003637</t>
  </si>
  <si>
    <t>SHP0003638</t>
  </si>
  <si>
    <t>SHP0003639</t>
  </si>
  <si>
    <t>SHP0003640</t>
  </si>
  <si>
    <t>SHP0003641</t>
  </si>
  <si>
    <t>SHP0003642</t>
  </si>
  <si>
    <t>SHP0003643</t>
  </si>
  <si>
    <t>SHP0003644</t>
  </si>
  <si>
    <t>SHP0003645</t>
  </si>
  <si>
    <t>SHP0003646</t>
  </si>
  <si>
    <t>SHP0003647</t>
  </si>
  <si>
    <t>SHP0003648</t>
  </si>
  <si>
    <t>SHP0003649</t>
  </si>
  <si>
    <t>SHP0003650</t>
  </si>
  <si>
    <t>SHP0003651</t>
  </si>
  <si>
    <t>SHP0003652</t>
  </si>
  <si>
    <t>SHP0003653</t>
  </si>
  <si>
    <t>SHP0003654</t>
  </si>
  <si>
    <t>SHP0003655</t>
  </si>
  <si>
    <t>SHP0003656</t>
  </si>
  <si>
    <t>SHP0003657</t>
  </si>
  <si>
    <t>SHP0003658</t>
  </si>
  <si>
    <t>SHP0003659</t>
  </si>
  <si>
    <t>SHP0003660</t>
  </si>
  <si>
    <t>SHP0003661</t>
  </si>
  <si>
    <t>SHP0003662</t>
  </si>
  <si>
    <t>SHP0003663</t>
  </si>
  <si>
    <t>SHP0003664</t>
  </si>
  <si>
    <t>SHP0003665</t>
  </si>
  <si>
    <t>SHP0003666</t>
  </si>
  <si>
    <t>SHP0003667</t>
  </si>
  <si>
    <t>SHP0003668</t>
  </si>
  <si>
    <t>SHP0003669</t>
  </si>
  <si>
    <t>SHP0003670</t>
  </si>
  <si>
    <t>SHP0003671</t>
  </si>
  <si>
    <t>SHP0003672</t>
  </si>
  <si>
    <t>SHP0003673</t>
  </si>
  <si>
    <t>SHP0003674</t>
  </si>
  <si>
    <t>SHP0003675</t>
  </si>
  <si>
    <t>SHP0003676</t>
  </si>
  <si>
    <t>SHP0003677</t>
  </si>
  <si>
    <t>SHP0003678</t>
  </si>
  <si>
    <t>SHP0003679</t>
  </si>
  <si>
    <t>SHP0003680</t>
  </si>
  <si>
    <t>SHP0003681</t>
  </si>
  <si>
    <t>SHP0003682</t>
  </si>
  <si>
    <t>SHP0003683</t>
  </si>
  <si>
    <t>SHP0003684</t>
  </si>
  <si>
    <t>SHP0003685</t>
  </si>
  <si>
    <t>SHP0003686</t>
  </si>
  <si>
    <t>SHP0003687</t>
  </si>
  <si>
    <t>SHP0003688</t>
  </si>
  <si>
    <t>SHP0003689</t>
  </si>
  <si>
    <t>SHP0003690</t>
  </si>
  <si>
    <t>SHP0003691</t>
  </si>
  <si>
    <t>SHP0003692</t>
  </si>
  <si>
    <t>SHP0003693</t>
  </si>
  <si>
    <t>SHP0003694</t>
  </si>
  <si>
    <t>SHP0003695</t>
  </si>
  <si>
    <t>SHP0003696</t>
  </si>
  <si>
    <t>SHP0003697</t>
  </si>
  <si>
    <t>SHP0003698</t>
  </si>
  <si>
    <t>SHP0003699</t>
  </si>
  <si>
    <t>SHP0003700</t>
  </si>
  <si>
    <t>SHP0003701</t>
  </si>
  <si>
    <t>SHP0003702</t>
  </si>
  <si>
    <t>SHP0003703</t>
  </si>
  <si>
    <t>SHP0003704</t>
  </si>
  <si>
    <t>SHP0003705</t>
  </si>
  <si>
    <t>SHP0003706</t>
  </si>
  <si>
    <t>SHP0003707</t>
  </si>
  <si>
    <t>SHP0003708</t>
  </si>
  <si>
    <t>SHP0003709</t>
  </si>
  <si>
    <t>SHP0003710</t>
  </si>
  <si>
    <t>SHP0003711</t>
  </si>
  <si>
    <t>SHP0003712</t>
  </si>
  <si>
    <t>SHP0003713</t>
  </si>
  <si>
    <t>SHP0003714</t>
  </si>
  <si>
    <t>SHP0003715</t>
  </si>
  <si>
    <t>SHP0003716</t>
  </si>
  <si>
    <t>SHP0003717</t>
  </si>
  <si>
    <t>SHP0003718</t>
  </si>
  <si>
    <t>SHP0003719</t>
  </si>
  <si>
    <t>SHP0003720</t>
  </si>
  <si>
    <t>SHP0003721</t>
  </si>
  <si>
    <t>SHP0003722</t>
  </si>
  <si>
    <t>SHP0003723</t>
  </si>
  <si>
    <t>SHP0003724</t>
  </si>
  <si>
    <t>SHP0003725</t>
  </si>
  <si>
    <t>SHP0003726</t>
  </si>
  <si>
    <t>SHP0003727</t>
  </si>
  <si>
    <t>SHP0003728</t>
  </si>
  <si>
    <t>SHP0003729</t>
  </si>
  <si>
    <t>SHP0003730</t>
  </si>
  <si>
    <t>SHP0003731</t>
  </si>
  <si>
    <t>SHP0003732</t>
  </si>
  <si>
    <t>SHP0003733</t>
  </si>
  <si>
    <t>SHP0003734</t>
  </si>
  <si>
    <t>SHP0003735</t>
  </si>
  <si>
    <t>SHP0003736</t>
  </si>
  <si>
    <t>SHP0003737</t>
  </si>
  <si>
    <t>SHP0003738</t>
  </si>
  <si>
    <t>SHP0003739</t>
  </si>
  <si>
    <t>SHP0003740</t>
  </si>
  <si>
    <t>SHP0003741</t>
  </si>
  <si>
    <t>SHP0003742</t>
  </si>
  <si>
    <t>SHP0003743</t>
  </si>
  <si>
    <t>SHP0003744</t>
  </si>
  <si>
    <t>SHP0003745</t>
  </si>
  <si>
    <t>SHP0003746</t>
  </si>
  <si>
    <t>SHP0003747</t>
  </si>
  <si>
    <t>SHP0003748</t>
  </si>
  <si>
    <t>SHP0003749</t>
  </si>
  <si>
    <t>SHP0003750</t>
  </si>
  <si>
    <t>SHP0003751</t>
  </si>
  <si>
    <t>SHP0003752</t>
  </si>
  <si>
    <t>SHP0003753</t>
  </si>
  <si>
    <t>SHP0003754</t>
  </si>
  <si>
    <t>SHP0003755</t>
  </si>
  <si>
    <t>SHP0003756</t>
  </si>
  <si>
    <t>SHP0003757</t>
  </si>
  <si>
    <t>SHP0003758</t>
  </si>
  <si>
    <t>SHP0003759</t>
  </si>
  <si>
    <t>SHP0003760</t>
  </si>
  <si>
    <t>SHP0003761</t>
  </si>
  <si>
    <t>SHP0003762</t>
  </si>
  <si>
    <t>SHP0003763</t>
  </si>
  <si>
    <t>SHP0003764</t>
  </si>
  <si>
    <t>SHP0003765</t>
  </si>
  <si>
    <t>SHP0003766</t>
  </si>
  <si>
    <t>SHP0003767</t>
  </si>
  <si>
    <t>SHP0003768</t>
  </si>
  <si>
    <t>SHP0003769</t>
  </si>
  <si>
    <t>SHP0003770</t>
  </si>
  <si>
    <t>SHP0003771</t>
  </si>
  <si>
    <t>SHP0003772</t>
  </si>
  <si>
    <t>SHP0003773</t>
  </si>
  <si>
    <t>SHP0003774</t>
  </si>
  <si>
    <t>SHP0003775</t>
  </si>
  <si>
    <t>SHP0003776</t>
  </si>
  <si>
    <t>SHP0003777</t>
  </si>
  <si>
    <t>SHP0003778</t>
  </si>
  <si>
    <t>SHP0003779</t>
  </si>
  <si>
    <t>SHP0003780</t>
  </si>
  <si>
    <t>SHP0003781</t>
  </si>
  <si>
    <t>SHP0003782</t>
  </si>
  <si>
    <t>SHP0003783</t>
  </si>
  <si>
    <t>SHP0003784</t>
  </si>
  <si>
    <t>SHP0003785</t>
  </si>
  <si>
    <t>SHP0003786</t>
  </si>
  <si>
    <t>SHP0003787</t>
  </si>
  <si>
    <t>SHP0003788</t>
  </si>
  <si>
    <t>SHP0003789</t>
  </si>
  <si>
    <t>SHP0003790</t>
  </si>
  <si>
    <t>SHP0003791</t>
  </si>
  <si>
    <t>SHP0003792</t>
  </si>
  <si>
    <t>SHP0003793</t>
  </si>
  <si>
    <t>SHP0003794</t>
  </si>
  <si>
    <t>SHP0003795</t>
  </si>
  <si>
    <t>SHP0003796</t>
  </si>
  <si>
    <t>SHP0003797</t>
  </si>
  <si>
    <t>SHP0003798</t>
  </si>
  <si>
    <t>SHP0003799</t>
  </si>
  <si>
    <t>SHP0003800</t>
  </si>
  <si>
    <t>SHP0003801</t>
  </si>
  <si>
    <t>SHP0003802</t>
  </si>
  <si>
    <t>SHP0003803</t>
  </si>
  <si>
    <t>SHP0003804</t>
  </si>
  <si>
    <t>SHP0003805</t>
  </si>
  <si>
    <t>SHP0003806</t>
  </si>
  <si>
    <t>SHP0003807</t>
  </si>
  <si>
    <t>SHP0003808</t>
  </si>
  <si>
    <t>SHP0003809</t>
  </si>
  <si>
    <t>SHP0003810</t>
  </si>
  <si>
    <t>SHP0003811</t>
  </si>
  <si>
    <t>SHP0003812</t>
  </si>
  <si>
    <t>SHP0003813</t>
  </si>
  <si>
    <t>SHP0003814</t>
  </si>
  <si>
    <t>SHP0003815</t>
  </si>
  <si>
    <t>SHP0003816</t>
  </si>
  <si>
    <t>SHP0003817</t>
  </si>
  <si>
    <t>SHP0003818</t>
  </si>
  <si>
    <t>SHP0003819</t>
  </si>
  <si>
    <t>SHP0003820</t>
  </si>
  <si>
    <t>SHP0003821</t>
  </si>
  <si>
    <t>SHP0003822</t>
  </si>
  <si>
    <t>SHP0003823</t>
  </si>
  <si>
    <t>SHP0003824</t>
  </si>
  <si>
    <t>SHP0003825</t>
  </si>
  <si>
    <t>SHP0003826</t>
  </si>
  <si>
    <t>SHP0003827</t>
  </si>
  <si>
    <t>SHP0003828</t>
  </si>
  <si>
    <t>SHP0003829</t>
  </si>
  <si>
    <t>SHP0003830</t>
  </si>
  <si>
    <t>SHP0003831</t>
  </si>
  <si>
    <t>SHP0003832</t>
  </si>
  <si>
    <t>SHP0003833</t>
  </si>
  <si>
    <t>SHP0003834</t>
  </si>
  <si>
    <t>SHP0003835</t>
  </si>
  <si>
    <t>SHP0003836</t>
  </si>
  <si>
    <t>SHP0003837</t>
  </si>
  <si>
    <t>SHP0003838</t>
  </si>
  <si>
    <t>SHP0003839</t>
  </si>
  <si>
    <t>SHP0003840</t>
  </si>
  <si>
    <t>SHP0003841</t>
  </si>
  <si>
    <t>SHP0003842</t>
  </si>
  <si>
    <t>SHP0003843</t>
  </si>
  <si>
    <t>SHP0003844</t>
  </si>
  <si>
    <t>SHP0003845</t>
  </si>
  <si>
    <t>SHP0003846</t>
  </si>
  <si>
    <t>SHP0003847</t>
  </si>
  <si>
    <t>SHP0003848</t>
  </si>
  <si>
    <t>SHP0003849</t>
  </si>
  <si>
    <t>SHP0003850</t>
  </si>
  <si>
    <t>SHP0003851</t>
  </si>
  <si>
    <t>SHP0003852</t>
  </si>
  <si>
    <t>SHP0003853</t>
  </si>
  <si>
    <t>SHP0003854</t>
  </si>
  <si>
    <t>SHP0003855</t>
  </si>
  <si>
    <t>SHP0003856</t>
  </si>
  <si>
    <t>SHP0003857</t>
  </si>
  <si>
    <t>SHP0003858</t>
  </si>
  <si>
    <t>SHP0003859</t>
  </si>
  <si>
    <t>SHP0003860</t>
  </si>
  <si>
    <t>SHP0003861</t>
  </si>
  <si>
    <t>SHP0003862</t>
  </si>
  <si>
    <t>SHP0003863</t>
  </si>
  <si>
    <t>SHP0003864</t>
  </si>
  <si>
    <t>SHP0003865</t>
  </si>
  <si>
    <t>SHP0003866</t>
  </si>
  <si>
    <t>SHP0003867</t>
  </si>
  <si>
    <t>SHP0003868</t>
  </si>
  <si>
    <t>SHP0003869</t>
  </si>
  <si>
    <t>SHP0003870</t>
  </si>
  <si>
    <t>SHP0003871</t>
  </si>
  <si>
    <t>SHP0003872</t>
  </si>
  <si>
    <t>SHP0003873</t>
  </si>
  <si>
    <t>SHP0003874</t>
  </si>
  <si>
    <t>SHP0003875</t>
  </si>
  <si>
    <t>SHP0003876</t>
  </si>
  <si>
    <t>SHP0003877</t>
  </si>
  <si>
    <t>SHP0003878</t>
  </si>
  <si>
    <t>SHP0003879</t>
  </si>
  <si>
    <t>SHP0003880</t>
  </si>
  <si>
    <t>SHP0003881</t>
  </si>
  <si>
    <t>SHP0003882</t>
  </si>
  <si>
    <t>SHP0003883</t>
  </si>
  <si>
    <t>SHP0003884</t>
  </si>
  <si>
    <t>SHP0003885</t>
  </si>
  <si>
    <t>SHP0003886</t>
  </si>
  <si>
    <t>SHP0003887</t>
  </si>
  <si>
    <t>SHP0003888</t>
  </si>
  <si>
    <t>SHP0003889</t>
  </si>
  <si>
    <t>SHP0003890</t>
  </si>
  <si>
    <t>SHP0003891</t>
  </si>
  <si>
    <t>SHP0003892</t>
  </si>
  <si>
    <t>SHP0003893</t>
  </si>
  <si>
    <t>SHP0003894</t>
  </si>
  <si>
    <t>SHP0003895</t>
  </si>
  <si>
    <t>SHP0003896</t>
  </si>
  <si>
    <t>SHP0003897</t>
  </si>
  <si>
    <t>SHP0003898</t>
  </si>
  <si>
    <t>SHP0003899</t>
  </si>
  <si>
    <t>SHP0003900</t>
  </si>
  <si>
    <t>SHP0003901</t>
  </si>
  <si>
    <t>SHP0003902</t>
  </si>
  <si>
    <t>SHP0003903</t>
  </si>
  <si>
    <t>SHP0003904</t>
  </si>
  <si>
    <t>SHP0003905</t>
  </si>
  <si>
    <t>SHP0003906</t>
  </si>
  <si>
    <t>SHP0003907</t>
  </si>
  <si>
    <t>SHP0003908</t>
  </si>
  <si>
    <t>SHP0003909</t>
  </si>
  <si>
    <t>SHP0003910</t>
  </si>
  <si>
    <t>SHP0003911</t>
  </si>
  <si>
    <t>SHP0003912</t>
  </si>
  <si>
    <t>SHP0003913</t>
  </si>
  <si>
    <t>SHP0003914</t>
  </si>
  <si>
    <t>SHP0003915</t>
  </si>
  <si>
    <t>SHP0003916</t>
  </si>
  <si>
    <t>SHP0003917</t>
  </si>
  <si>
    <t>SHP0003918</t>
  </si>
  <si>
    <t>SHP0003919</t>
  </si>
  <si>
    <t>SHP0003920</t>
  </si>
  <si>
    <t>SHP0003921</t>
  </si>
  <si>
    <t>SHP0003922</t>
  </si>
  <si>
    <t>SHP0003923</t>
  </si>
  <si>
    <t>SHP0003924</t>
  </si>
  <si>
    <t>SHP0003925</t>
  </si>
  <si>
    <t>SHP0003926</t>
  </si>
  <si>
    <t>SHP0003927</t>
  </si>
  <si>
    <t>SHP0003928</t>
  </si>
  <si>
    <t>SHP0003929</t>
  </si>
  <si>
    <t>SHP0003930</t>
  </si>
  <si>
    <t>SHP0003931</t>
  </si>
  <si>
    <t>SHP0003932</t>
  </si>
  <si>
    <t>SHP0003933</t>
  </si>
  <si>
    <t>SHP0003934</t>
  </si>
  <si>
    <t>SHP0003935</t>
  </si>
  <si>
    <t>SHP0003936</t>
  </si>
  <si>
    <t>SHP0003937</t>
  </si>
  <si>
    <t>SHP0003938</t>
  </si>
  <si>
    <t>SHP0003939</t>
  </si>
  <si>
    <t>SHP0003940</t>
  </si>
  <si>
    <t>SHP0003941</t>
  </si>
  <si>
    <t>SHP0003942</t>
  </si>
  <si>
    <t>SHP0003943</t>
  </si>
  <si>
    <t>SHP0003944</t>
  </si>
  <si>
    <t>SHP0003945</t>
  </si>
  <si>
    <t>SHP0003946</t>
  </si>
  <si>
    <t>SHP0003947</t>
  </si>
  <si>
    <t>SHP0003948</t>
  </si>
  <si>
    <t>SHP0003949</t>
  </si>
  <si>
    <t>SHP0003950</t>
  </si>
  <si>
    <t>SHP0003951</t>
  </si>
  <si>
    <t>SHP0003952</t>
  </si>
  <si>
    <t>SHP0003953</t>
  </si>
  <si>
    <t>SHP0003954</t>
  </si>
  <si>
    <t>SHP0003955</t>
  </si>
  <si>
    <t>SHP0003956</t>
  </si>
  <si>
    <t>SHP0003957</t>
  </si>
  <si>
    <t>SHP0003958</t>
  </si>
  <si>
    <t>SHP0003959</t>
  </si>
  <si>
    <t>SHP0003960</t>
  </si>
  <si>
    <t>SHP0003961</t>
  </si>
  <si>
    <t>SHP0003962</t>
  </si>
  <si>
    <t>SHP0003963</t>
  </si>
  <si>
    <t>SHP0003964</t>
  </si>
  <si>
    <t>SHP0003965</t>
  </si>
  <si>
    <t>SHP0003966</t>
  </si>
  <si>
    <t>SHP0003967</t>
  </si>
  <si>
    <t>SHP0003968</t>
  </si>
  <si>
    <t>SHP0003969</t>
  </si>
  <si>
    <t>SHP0003970</t>
  </si>
  <si>
    <t>SHP0003971</t>
  </si>
  <si>
    <t>SHP0003972</t>
  </si>
  <si>
    <t>SHP0003973</t>
  </si>
  <si>
    <t>SHP0003974</t>
  </si>
  <si>
    <t>SHP0003975</t>
  </si>
  <si>
    <t>SHP0003976</t>
  </si>
  <si>
    <t>SHP0003977</t>
  </si>
  <si>
    <t>SHP0003978</t>
  </si>
  <si>
    <t>SHP0003979</t>
  </si>
  <si>
    <t>SHP0003980</t>
  </si>
  <si>
    <t>SHP0003981</t>
  </si>
  <si>
    <t>SHP0003982</t>
  </si>
  <si>
    <t>SHP0003983</t>
  </si>
  <si>
    <t>SHP0003984</t>
  </si>
  <si>
    <t>SHP0003985</t>
  </si>
  <si>
    <t>SHP0003986</t>
  </si>
  <si>
    <t>SHP0003987</t>
  </si>
  <si>
    <t>SHP0003988</t>
  </si>
  <si>
    <t>SHP0003989</t>
  </si>
  <si>
    <t>SHP0003990</t>
  </si>
  <si>
    <t>SHP0003991</t>
  </si>
  <si>
    <t>SHP0003992</t>
  </si>
  <si>
    <t>SHP0003993</t>
  </si>
  <si>
    <t>SHP0003994</t>
  </si>
  <si>
    <t>SHP0003995</t>
  </si>
  <si>
    <t>SHP0003996</t>
  </si>
  <si>
    <t>SHP0003997</t>
  </si>
  <si>
    <t>SHP0003998</t>
  </si>
  <si>
    <t>SHP0003999</t>
  </si>
  <si>
    <t>SHP0004000</t>
  </si>
  <si>
    <t>SHP0004001</t>
  </si>
  <si>
    <t>SHP0004002</t>
  </si>
  <si>
    <t>SHP0004003</t>
  </si>
  <si>
    <t>SHP0004004</t>
  </si>
  <si>
    <t>SHP0004005</t>
  </si>
  <si>
    <t>SHP0004006</t>
  </si>
  <si>
    <t>SHP0004007</t>
  </si>
  <si>
    <t>SHP0004008</t>
  </si>
  <si>
    <t>SHP0004009</t>
  </si>
  <si>
    <t>SHP0004010</t>
  </si>
  <si>
    <t>SHP0004011</t>
  </si>
  <si>
    <t>SHP0004012</t>
  </si>
  <si>
    <t>SHP0004013</t>
  </si>
  <si>
    <t>SHP0004014</t>
  </si>
  <si>
    <t>SHP0004015</t>
  </si>
  <si>
    <t>SHP0004016</t>
  </si>
  <si>
    <t>SHP0004017</t>
  </si>
  <si>
    <t>SHP0004018</t>
  </si>
  <si>
    <t>SHP0004019</t>
  </si>
  <si>
    <t>SHP0004020</t>
  </si>
  <si>
    <t>SHP0004021</t>
  </si>
  <si>
    <t>SHP0004022</t>
  </si>
  <si>
    <t>SHP0004023</t>
  </si>
  <si>
    <t>SHP0004024</t>
  </si>
  <si>
    <t>SHP0004025</t>
  </si>
  <si>
    <t>SHP0004026</t>
  </si>
  <si>
    <t>SHP0004027</t>
  </si>
  <si>
    <t>SHP0004028</t>
  </si>
  <si>
    <t>SHP0004029</t>
  </si>
  <si>
    <t>SHP0004030</t>
  </si>
  <si>
    <t>SHP0004031</t>
  </si>
  <si>
    <t>SHP0004032</t>
  </si>
  <si>
    <t>SHP0004033</t>
  </si>
  <si>
    <t>SHP0004034</t>
  </si>
  <si>
    <t>SHP0004035</t>
  </si>
  <si>
    <t>SHP0004036</t>
  </si>
  <si>
    <t>SHP0004037</t>
  </si>
  <si>
    <t>SHP0004038</t>
  </si>
  <si>
    <t>SHP0004039</t>
  </si>
  <si>
    <t>SHP0004040</t>
  </si>
  <si>
    <t>SHP0004041</t>
  </si>
  <si>
    <t>SHP0004042</t>
  </si>
  <si>
    <t>SHP0004043</t>
  </si>
  <si>
    <t>SHP0004044</t>
  </si>
  <si>
    <t>SHP0004045</t>
  </si>
  <si>
    <t>SHP0004046</t>
  </si>
  <si>
    <t>SHP0004047</t>
  </si>
  <si>
    <t>SHP0004048</t>
  </si>
  <si>
    <t>SHP0004049</t>
  </si>
  <si>
    <t>SHP0004050</t>
  </si>
  <si>
    <t>SHP0004051</t>
  </si>
  <si>
    <t>SHP0004052</t>
  </si>
  <si>
    <t>SHP0004053</t>
  </si>
  <si>
    <t>SHP0004054</t>
  </si>
  <si>
    <t>SHP0004055</t>
  </si>
  <si>
    <t>SHP0004056</t>
  </si>
  <si>
    <t>SHP0004057</t>
  </si>
  <si>
    <t>SHP0004058</t>
  </si>
  <si>
    <t>SHP0004059</t>
  </si>
  <si>
    <t>SHP0004060</t>
  </si>
  <si>
    <t>SHP0004061</t>
  </si>
  <si>
    <t>SHP0004062</t>
  </si>
  <si>
    <t>SHP0004063</t>
  </si>
  <si>
    <t>SHP0004064</t>
  </si>
  <si>
    <t>SHP0004065</t>
  </si>
  <si>
    <t>SHP0004066</t>
  </si>
  <si>
    <t>SHP0004067</t>
  </si>
  <si>
    <t>SHP0004068</t>
  </si>
  <si>
    <t>SHP0004069</t>
  </si>
  <si>
    <t>SHP0004070</t>
  </si>
  <si>
    <t>SHP0004071</t>
  </si>
  <si>
    <t>SHP0004072</t>
  </si>
  <si>
    <t>SHP0004073</t>
  </si>
  <si>
    <t>SHP0004074</t>
  </si>
  <si>
    <t>SHP0004075</t>
  </si>
  <si>
    <t>SHP0004076</t>
  </si>
  <si>
    <t>SHP0004077</t>
  </si>
  <si>
    <t>SHP0004078</t>
  </si>
  <si>
    <t>SHP0004079</t>
  </si>
  <si>
    <t>SHP0004080</t>
  </si>
  <si>
    <t>SHP0004081</t>
  </si>
  <si>
    <t>SHP0004082</t>
  </si>
  <si>
    <t>SHP0004083</t>
  </si>
  <si>
    <t>SHP0004084</t>
  </si>
  <si>
    <t>SHP0004085</t>
  </si>
  <si>
    <t>SHP0004086</t>
  </si>
  <si>
    <t>SHP0004087</t>
  </si>
  <si>
    <t>SHP0004088</t>
  </si>
  <si>
    <t>SHP0004089</t>
  </si>
  <si>
    <t>SHP0004090</t>
  </si>
  <si>
    <t>SHP0004091</t>
  </si>
  <si>
    <t>SHP0004092</t>
  </si>
  <si>
    <t>SHP0004093</t>
  </si>
  <si>
    <t>SHP0004094</t>
  </si>
  <si>
    <t>SHP0004095</t>
  </si>
  <si>
    <t>SHP0004096</t>
  </si>
  <si>
    <t>SHP0004097</t>
  </si>
  <si>
    <t>SHP0004098</t>
  </si>
  <si>
    <t>SHP0004099</t>
  </si>
  <si>
    <t>SHP0004100</t>
  </si>
  <si>
    <t>SHP0004101</t>
  </si>
  <si>
    <t>SHP0004102</t>
  </si>
  <si>
    <t>SHP0004103</t>
  </si>
  <si>
    <t>SHP0004104</t>
  </si>
  <si>
    <t>SHP0004105</t>
  </si>
  <si>
    <t>SHP0004106</t>
  </si>
  <si>
    <t>SHP0004107</t>
  </si>
  <si>
    <t>SHP0004108</t>
  </si>
  <si>
    <t>SHP0004109</t>
  </si>
  <si>
    <t>SHP0004110</t>
  </si>
  <si>
    <t>SHP0004111</t>
  </si>
  <si>
    <t>SHP0004112</t>
  </si>
  <si>
    <t>SHP0004113</t>
  </si>
  <si>
    <t>SHP0004114</t>
  </si>
  <si>
    <t>SHP0004115</t>
  </si>
  <si>
    <t>SHP0004116</t>
  </si>
  <si>
    <t>SHP0004117</t>
  </si>
  <si>
    <t>SHP0004118</t>
  </si>
  <si>
    <t>SHP0004119</t>
  </si>
  <si>
    <t>SHP0004120</t>
  </si>
  <si>
    <t>SHP0004121</t>
  </si>
  <si>
    <t>SHP0004122</t>
  </si>
  <si>
    <t>SHP0004123</t>
  </si>
  <si>
    <t>SHP0004124</t>
  </si>
  <si>
    <t>SHP0004125</t>
  </si>
  <si>
    <t>SHP0004126</t>
  </si>
  <si>
    <t>SHP0004127</t>
  </si>
  <si>
    <t>SHP0004128</t>
  </si>
  <si>
    <t>SHP0004129</t>
  </si>
  <si>
    <t>SHP0004130</t>
  </si>
  <si>
    <t>SHP0004131</t>
  </si>
  <si>
    <t>SHP0004132</t>
  </si>
  <si>
    <t>SHP0004133</t>
  </si>
  <si>
    <t>SHP0004134</t>
  </si>
  <si>
    <t>SHP0004135</t>
  </si>
  <si>
    <t>SHP0004136</t>
  </si>
  <si>
    <t>SHP0004137</t>
  </si>
  <si>
    <t>SHP0004138</t>
  </si>
  <si>
    <t>SHP0004139</t>
  </si>
  <si>
    <t>SHP0004140</t>
  </si>
  <si>
    <t>SHP0004141</t>
  </si>
  <si>
    <t>SHP0004142</t>
  </si>
  <si>
    <t>SHP0004143</t>
  </si>
  <si>
    <t>SHP0004144</t>
  </si>
  <si>
    <t>SHP0004145</t>
  </si>
  <si>
    <t>SHP0004146</t>
  </si>
  <si>
    <t>SHP0004147</t>
  </si>
  <si>
    <t>SHP0004148</t>
  </si>
  <si>
    <t>SHP0004149</t>
  </si>
  <si>
    <t>SHP0004150</t>
  </si>
  <si>
    <t>SHP0004151</t>
  </si>
  <si>
    <t>SHP0004152</t>
  </si>
  <si>
    <t>SHP0004153</t>
  </si>
  <si>
    <t>SHP0004154</t>
  </si>
  <si>
    <t>SHP0004155</t>
  </si>
  <si>
    <t>SHP0004156</t>
  </si>
  <si>
    <t>SHP0004157</t>
  </si>
  <si>
    <t>SHP0004158</t>
  </si>
  <si>
    <t>SHP0004159</t>
  </si>
  <si>
    <t>SHP0004160</t>
  </si>
  <si>
    <t>SHP0004161</t>
  </si>
  <si>
    <t>SHP0004162</t>
  </si>
  <si>
    <t>SHP0004163</t>
  </si>
  <si>
    <t>SHP0004164</t>
  </si>
  <si>
    <t>SHP0004165</t>
  </si>
  <si>
    <t>SHP0004166</t>
  </si>
  <si>
    <t>SHP0004167</t>
  </si>
  <si>
    <t>SHP0004168</t>
  </si>
  <si>
    <t>SHP0004169</t>
  </si>
  <si>
    <t>SHP0004170</t>
  </si>
  <si>
    <t>SHP0004171</t>
  </si>
  <si>
    <t>SHP0004172</t>
  </si>
  <si>
    <t>SHP0004173</t>
  </si>
  <si>
    <t>SHP0004174</t>
  </si>
  <si>
    <t>SHP0004175</t>
  </si>
  <si>
    <t>SHP0004176</t>
  </si>
  <si>
    <t>SHP0004177</t>
  </si>
  <si>
    <t>SHP0004178</t>
  </si>
  <si>
    <t>SHP0004179</t>
  </si>
  <si>
    <t>SHP0004180</t>
  </si>
  <si>
    <t>SHP0004181</t>
  </si>
  <si>
    <t>SHP0004182</t>
  </si>
  <si>
    <t>SHP0004183</t>
  </si>
  <si>
    <t>SHP0004184</t>
  </si>
  <si>
    <t>SHP0004185</t>
  </si>
  <si>
    <t>SHP0004186</t>
  </si>
  <si>
    <t>SHP0004187</t>
  </si>
  <si>
    <t>SHP0004188</t>
  </si>
  <si>
    <t>SHP0004189</t>
  </si>
  <si>
    <t>SHP0004190</t>
  </si>
  <si>
    <t>SHP0004191</t>
  </si>
  <si>
    <t>SHP0004192</t>
  </si>
  <si>
    <t>SHP0004193</t>
  </si>
  <si>
    <t>SHP0004194</t>
  </si>
  <si>
    <t>SHP0004195</t>
  </si>
  <si>
    <t>SHP0004196</t>
  </si>
  <si>
    <t>SHP0004197</t>
  </si>
  <si>
    <t>SHP0004198</t>
  </si>
  <si>
    <t>SHP0004199</t>
  </si>
  <si>
    <t>SHP0004200</t>
  </si>
  <si>
    <t>SHP0004201</t>
  </si>
  <si>
    <t>SHP0004202</t>
  </si>
  <si>
    <t>SHP0004203</t>
  </si>
  <si>
    <t>SHP0004204</t>
  </si>
  <si>
    <t>SHP0004205</t>
  </si>
  <si>
    <t>SHP0004206</t>
  </si>
  <si>
    <t>SHP0004207</t>
  </si>
  <si>
    <t>SHP0004208</t>
  </si>
  <si>
    <t>SHP0004209</t>
  </si>
  <si>
    <t>SHP0004210</t>
  </si>
  <si>
    <t>SHP0004211</t>
  </si>
  <si>
    <t>SHP0004212</t>
  </si>
  <si>
    <t>SHP0004213</t>
  </si>
  <si>
    <t>SHP0004214</t>
  </si>
  <si>
    <t>SHP0004215</t>
  </si>
  <si>
    <t>SHP0004216</t>
  </si>
  <si>
    <t>SHP0004217</t>
  </si>
  <si>
    <t>SHP0004218</t>
  </si>
  <si>
    <t>SHP0004219</t>
  </si>
  <si>
    <t>SHP0004220</t>
  </si>
  <si>
    <t>SHP0004221</t>
  </si>
  <si>
    <t>SHP0004222</t>
  </si>
  <si>
    <t>SHP0004223</t>
  </si>
  <si>
    <t>SHP0004224</t>
  </si>
  <si>
    <t>SHP0004225</t>
  </si>
  <si>
    <t>SHP0004226</t>
  </si>
  <si>
    <t>SHP0004227</t>
  </si>
  <si>
    <t>SHP0004228</t>
  </si>
  <si>
    <t>SHP0004229</t>
  </si>
  <si>
    <t>SHP0004230</t>
  </si>
  <si>
    <t>SHP0004231</t>
  </si>
  <si>
    <t>SHP0004232</t>
  </si>
  <si>
    <t>SHP0004233</t>
  </si>
  <si>
    <t>SHP0004234</t>
  </si>
  <si>
    <t>SHP0004235</t>
  </si>
  <si>
    <t>SHP0004236</t>
  </si>
  <si>
    <t>SHP0004237</t>
  </si>
  <si>
    <t>SHP0004238</t>
  </si>
  <si>
    <t>SHP0004239</t>
  </si>
  <si>
    <t>SHP0004240</t>
  </si>
  <si>
    <t>SHP0004241</t>
  </si>
  <si>
    <t>SHP0004242</t>
  </si>
  <si>
    <t>SHP0004243</t>
  </si>
  <si>
    <t>SHP0004244</t>
  </si>
  <si>
    <t>SHP0004245</t>
  </si>
  <si>
    <t>SHP0004246</t>
  </si>
  <si>
    <t>SHP0004247</t>
  </si>
  <si>
    <t>SHP0004248</t>
  </si>
  <si>
    <t>SHP0004249</t>
  </si>
  <si>
    <t>SHP0004250</t>
  </si>
  <si>
    <t>SHP0004251</t>
  </si>
  <si>
    <t>SHP0004252</t>
  </si>
  <si>
    <t>SHP0004253</t>
  </si>
  <si>
    <t>SHP0004254</t>
  </si>
  <si>
    <t>SHP0004255</t>
  </si>
  <si>
    <t>SHP0004256</t>
  </si>
  <si>
    <t>SHP0004257</t>
  </si>
  <si>
    <t>SHP0004258</t>
  </si>
  <si>
    <t>SHP0004259</t>
  </si>
  <si>
    <t>SHP0004260</t>
  </si>
  <si>
    <t>SHP0004261</t>
  </si>
  <si>
    <t>SHP0004262</t>
  </si>
  <si>
    <t>SHP0004263</t>
  </si>
  <si>
    <t>SHP0004264</t>
  </si>
  <si>
    <t>SHP0004265</t>
  </si>
  <si>
    <t>SHP0004266</t>
  </si>
  <si>
    <t>SHP0004267</t>
  </si>
  <si>
    <t>SHP0004268</t>
  </si>
  <si>
    <t>SHP0004269</t>
  </si>
  <si>
    <t>SHP0004270</t>
  </si>
  <si>
    <t>SHP0004271</t>
  </si>
  <si>
    <t>SHP0004272</t>
  </si>
  <si>
    <t>SHP0004273</t>
  </si>
  <si>
    <t>SHP0004274</t>
  </si>
  <si>
    <t>SHP0004275</t>
  </si>
  <si>
    <t>SHP0004276</t>
  </si>
  <si>
    <t>SHP0004277</t>
  </si>
  <si>
    <t>SHP0004278</t>
  </si>
  <si>
    <t>SHP0004279</t>
  </si>
  <si>
    <t>SHP0004280</t>
  </si>
  <si>
    <t>SHP0004281</t>
  </si>
  <si>
    <t>SHP0004282</t>
  </si>
  <si>
    <t>SHP0004283</t>
  </si>
  <si>
    <t>SHP0004284</t>
  </si>
  <si>
    <t>SHP0004285</t>
  </si>
  <si>
    <t>SHP0004286</t>
  </si>
  <si>
    <t>SHP0004287</t>
  </si>
  <si>
    <t>SHP0004288</t>
  </si>
  <si>
    <t>SHP0004289</t>
  </si>
  <si>
    <t>SHP0004290</t>
  </si>
  <si>
    <t>SHP0004291</t>
  </si>
  <si>
    <t>SHP0004292</t>
  </si>
  <si>
    <t>SHP0004293</t>
  </si>
  <si>
    <t>SHP0004294</t>
  </si>
  <si>
    <t>SHP0004295</t>
  </si>
  <si>
    <t>SHP0004296</t>
  </si>
  <si>
    <t>SHP0004297</t>
  </si>
  <si>
    <t>SHP0004298</t>
  </si>
  <si>
    <t>SHP0004299</t>
  </si>
  <si>
    <t>SHP0004300</t>
  </si>
  <si>
    <t>SHP0004301</t>
  </si>
  <si>
    <t>SHP0004302</t>
  </si>
  <si>
    <t>SHP0004303</t>
  </si>
  <si>
    <t>SHP0004304</t>
  </si>
  <si>
    <t>SHP0004305</t>
  </si>
  <si>
    <t>SHP0004306</t>
  </si>
  <si>
    <t>SHP0004307</t>
  </si>
  <si>
    <t>SHP0004308</t>
  </si>
  <si>
    <t>SHP0004309</t>
  </si>
  <si>
    <t>SHP0004310</t>
  </si>
  <si>
    <t>SHP0004311</t>
  </si>
  <si>
    <t>SHP0004312</t>
  </si>
  <si>
    <t>SHP0004313</t>
  </si>
  <si>
    <t>SHP0004314</t>
  </si>
  <si>
    <t>SHP0004315</t>
  </si>
  <si>
    <t>SHP0004316</t>
  </si>
  <si>
    <t>SHP0004317</t>
  </si>
  <si>
    <t>SHP0004318</t>
  </si>
  <si>
    <t>SHP0004319</t>
  </si>
  <si>
    <t>SHP0004320</t>
  </si>
  <si>
    <t>SHP0004321</t>
  </si>
  <si>
    <t>SHP0004322</t>
  </si>
  <si>
    <t>SHP0004323</t>
  </si>
  <si>
    <t>SHP0004324</t>
  </si>
  <si>
    <t>SHP0004325</t>
  </si>
  <si>
    <t>SHP0004326</t>
  </si>
  <si>
    <t>SHP0004327</t>
  </si>
  <si>
    <t>SHP0004328</t>
  </si>
  <si>
    <t>SHP0004329</t>
  </si>
  <si>
    <t>SHP0004330</t>
  </si>
  <si>
    <t>SHP0004331</t>
  </si>
  <si>
    <t>SHP0004332</t>
  </si>
  <si>
    <t>SHP0004333</t>
  </si>
  <si>
    <t>SHP0004334</t>
  </si>
  <si>
    <t>SHP0004335</t>
  </si>
  <si>
    <t>SHP0004336</t>
  </si>
  <si>
    <t>SHP0004337</t>
  </si>
  <si>
    <t>SHP0004338</t>
  </si>
  <si>
    <t>SHP0004339</t>
  </si>
  <si>
    <t>SHP0004340</t>
  </si>
  <si>
    <t>SHP0004341</t>
  </si>
  <si>
    <t>SHP0004342</t>
  </si>
  <si>
    <t>SHP0004343</t>
  </si>
  <si>
    <t>SHP0004344</t>
  </si>
  <si>
    <t>SHP0004345</t>
  </si>
  <si>
    <t>SHP0004346</t>
  </si>
  <si>
    <t>SHP0004347</t>
  </si>
  <si>
    <t>SHP0004348</t>
  </si>
  <si>
    <t>SHP0004349</t>
  </si>
  <si>
    <t>SHP0004350</t>
  </si>
  <si>
    <t>SHP0004351</t>
  </si>
  <si>
    <t>SHP0004352</t>
  </si>
  <si>
    <t>SHP0004353</t>
  </si>
  <si>
    <t>SHP0004354</t>
  </si>
  <si>
    <t>SHP0004355</t>
  </si>
  <si>
    <t>SHP0004356</t>
  </si>
  <si>
    <t>SHP0004357</t>
  </si>
  <si>
    <t>SHP0004358</t>
  </si>
  <si>
    <t>SHP0004359</t>
  </si>
  <si>
    <t>SHP0004360</t>
  </si>
  <si>
    <t>SHP0004361</t>
  </si>
  <si>
    <t>SHP0004362</t>
  </si>
  <si>
    <t>SHP0004363</t>
  </si>
  <si>
    <t>SHP0004364</t>
  </si>
  <si>
    <t>SHP0004365</t>
  </si>
  <si>
    <t>SHP0004366</t>
  </si>
  <si>
    <t>SHP0004367</t>
  </si>
  <si>
    <t>SHP0004368</t>
  </si>
  <si>
    <t>SHP0004369</t>
  </si>
  <si>
    <t>SHP0004370</t>
  </si>
  <si>
    <t>SHP0004371</t>
  </si>
  <si>
    <t>SHP0004372</t>
  </si>
  <si>
    <t>SHP0004373</t>
  </si>
  <si>
    <t>SHP0004374</t>
  </si>
  <si>
    <t>SHP0004375</t>
  </si>
  <si>
    <t>SHP0004376</t>
  </si>
  <si>
    <t>SHP0004377</t>
  </si>
  <si>
    <t>SHP0004378</t>
  </si>
  <si>
    <t>SHP0004379</t>
  </si>
  <si>
    <t>SHP0004380</t>
  </si>
  <si>
    <t>SHP0004381</t>
  </si>
  <si>
    <t>SHP0004382</t>
  </si>
  <si>
    <t>SHP0004383</t>
  </si>
  <si>
    <t>SHP0004384</t>
  </si>
  <si>
    <t>SHP0004385</t>
  </si>
  <si>
    <t>SHP0004386</t>
  </si>
  <si>
    <t>SHP0004387</t>
  </si>
  <si>
    <t>SHP0004388</t>
  </si>
  <si>
    <t>SHP0004389</t>
  </si>
  <si>
    <t>SHP0004390</t>
  </si>
  <si>
    <t>SHP0004391</t>
  </si>
  <si>
    <t>SHP0004392</t>
  </si>
  <si>
    <t>SHP0004393</t>
  </si>
  <si>
    <t>SHP0004394</t>
  </si>
  <si>
    <t>SHP0004395</t>
  </si>
  <si>
    <t>SHP0004396</t>
  </si>
  <si>
    <t>SHP0004397</t>
  </si>
  <si>
    <t>SHP0004398</t>
  </si>
  <si>
    <t>SHP0004399</t>
  </si>
  <si>
    <t>SHP0004400</t>
  </si>
  <si>
    <t>SHP0004401</t>
  </si>
  <si>
    <t>SHP0004402</t>
  </si>
  <si>
    <t>SHP0004403</t>
  </si>
  <si>
    <t>SHP0004404</t>
  </si>
  <si>
    <t>SHP0004405</t>
  </si>
  <si>
    <t>SHP0004406</t>
  </si>
  <si>
    <t>SHP0004407</t>
  </si>
  <si>
    <t>SHP0004408</t>
  </si>
  <si>
    <t>SHP0004409</t>
  </si>
  <si>
    <t>SHP0004410</t>
  </si>
  <si>
    <t>SHP0004411</t>
  </si>
  <si>
    <t>SHP0004412</t>
  </si>
  <si>
    <t>SHP0004413</t>
  </si>
  <si>
    <t>SHP0004414</t>
  </si>
  <si>
    <t>SHP0004415</t>
  </si>
  <si>
    <t>SHP0004416</t>
  </si>
  <si>
    <t>SHP0004417</t>
  </si>
  <si>
    <t>SHP0004418</t>
  </si>
  <si>
    <t>SHP0004419</t>
  </si>
  <si>
    <t>SHP0004420</t>
  </si>
  <si>
    <t>SHP0004421</t>
  </si>
  <si>
    <t>SHP0004422</t>
  </si>
  <si>
    <t>SHP0004423</t>
  </si>
  <si>
    <t>SHP0004424</t>
  </si>
  <si>
    <t>SHP0004425</t>
  </si>
  <si>
    <t>SHP0004426</t>
  </si>
  <si>
    <t>SHP0004427</t>
  </si>
  <si>
    <t>SHP0004428</t>
  </si>
  <si>
    <t>SHP0004429</t>
  </si>
  <si>
    <t>SHP0004430</t>
  </si>
  <si>
    <t>SHP0004431</t>
  </si>
  <si>
    <t>SHP0004432</t>
  </si>
  <si>
    <t>SHP0004433</t>
  </si>
  <si>
    <t>SHP0004434</t>
  </si>
  <si>
    <t>SHP0004435</t>
  </si>
  <si>
    <t>SHP0004436</t>
  </si>
  <si>
    <t>SHP0004437</t>
  </si>
  <si>
    <t>SHP0004438</t>
  </si>
  <si>
    <t>SHP0004439</t>
  </si>
  <si>
    <t>SHP0004440</t>
  </si>
  <si>
    <t>SHP0004441</t>
  </si>
  <si>
    <t>SHP0004442</t>
  </si>
  <si>
    <t>SHP0004443</t>
  </si>
  <si>
    <t>SHP0004444</t>
  </si>
  <si>
    <t>SHP0004445</t>
  </si>
  <si>
    <t>SHP0004446</t>
  </si>
  <si>
    <t>SHP0004447</t>
  </si>
  <si>
    <t>SHP0004448</t>
  </si>
  <si>
    <t>SHP0004449</t>
  </si>
  <si>
    <t>SHP0004450</t>
  </si>
  <si>
    <t>SHP0004451</t>
  </si>
  <si>
    <t>SHP0004452</t>
  </si>
  <si>
    <t>SHP0004453</t>
  </si>
  <si>
    <t>SHP0004454</t>
  </si>
  <si>
    <t>SHP0004455</t>
  </si>
  <si>
    <t>SHP0004456</t>
  </si>
  <si>
    <t>SHP0004457</t>
  </si>
  <si>
    <t>SHP0004458</t>
  </si>
  <si>
    <t>SHP0004459</t>
  </si>
  <si>
    <t>SHP0004460</t>
  </si>
  <si>
    <t>SHP0004461</t>
  </si>
  <si>
    <t>SHP0004462</t>
  </si>
  <si>
    <t>SHP0004463</t>
  </si>
  <si>
    <t>SHP0004464</t>
  </si>
  <si>
    <t>SHP0004465</t>
  </si>
  <si>
    <t>SHP0004466</t>
  </si>
  <si>
    <t>SHP0004467</t>
  </si>
  <si>
    <t>SHP0004468</t>
  </si>
  <si>
    <t>SHP0004469</t>
  </si>
  <si>
    <t>SHP0004470</t>
  </si>
  <si>
    <t>SHP0004471</t>
  </si>
  <si>
    <t>SHP0004472</t>
  </si>
  <si>
    <t>SHP0004473</t>
  </si>
  <si>
    <t>SHP0004474</t>
  </si>
  <si>
    <t>SHP0004475</t>
  </si>
  <si>
    <t>SHP0004476</t>
  </si>
  <si>
    <t>SHP0004477</t>
  </si>
  <si>
    <t>SHP0004478</t>
  </si>
  <si>
    <t>SHP0004479</t>
  </si>
  <si>
    <t>SHP0004480</t>
  </si>
  <si>
    <t>SHP0004481</t>
  </si>
  <si>
    <t>SHP0004482</t>
  </si>
  <si>
    <t>SHP0004483</t>
  </si>
  <si>
    <t>SHP0004484</t>
  </si>
  <si>
    <t>SHP0004485</t>
  </si>
  <si>
    <t>SHP0004486</t>
  </si>
  <si>
    <t>SHP0004487</t>
  </si>
  <si>
    <t>SHP0004488</t>
  </si>
  <si>
    <t>SHP0004489</t>
  </si>
  <si>
    <t>SHP0004490</t>
  </si>
  <si>
    <t>SHP0004491</t>
  </si>
  <si>
    <t>SHP0004492</t>
  </si>
  <si>
    <t>SHP0004493</t>
  </si>
  <si>
    <t>SHP0004494</t>
  </si>
  <si>
    <t>SHP0004495</t>
  </si>
  <si>
    <t>SHP0004496</t>
  </si>
  <si>
    <t>SHP0004497</t>
  </si>
  <si>
    <t>SHP0004498</t>
  </si>
  <si>
    <t>SHP0004499</t>
  </si>
  <si>
    <t>SHP0004500</t>
  </si>
  <si>
    <t>SHP0004501</t>
  </si>
  <si>
    <t>SHP0004502</t>
  </si>
  <si>
    <t>SHP0004503</t>
  </si>
  <si>
    <t>SHP0004504</t>
  </si>
  <si>
    <t>SHP0004505</t>
  </si>
  <si>
    <t>SHP0004506</t>
  </si>
  <si>
    <t>SHP0004507</t>
  </si>
  <si>
    <t>SHP0004508</t>
  </si>
  <si>
    <t>SHP0004509</t>
  </si>
  <si>
    <t>SHP0004510</t>
  </si>
  <si>
    <t>SHP0004511</t>
  </si>
  <si>
    <t>SHP0004512</t>
  </si>
  <si>
    <t>SHP0004513</t>
  </si>
  <si>
    <t>SHP0004514</t>
  </si>
  <si>
    <t>SHP0004515</t>
  </si>
  <si>
    <t>SHP0004516</t>
  </si>
  <si>
    <t>SHP0004517</t>
  </si>
  <si>
    <t>SHP0004518</t>
  </si>
  <si>
    <t>SHP0004519</t>
  </si>
  <si>
    <t>SHP0004520</t>
  </si>
  <si>
    <t>SHP0004521</t>
  </si>
  <si>
    <t>SHP0004522</t>
  </si>
  <si>
    <t>SHP0004523</t>
  </si>
  <si>
    <t>SHP0004524</t>
  </si>
  <si>
    <t>SHP0004525</t>
  </si>
  <si>
    <t>SHP0004526</t>
  </si>
  <si>
    <t>SHP0004527</t>
  </si>
  <si>
    <t>SHP0004528</t>
  </si>
  <si>
    <t>SHP0004529</t>
  </si>
  <si>
    <t>SHP0004530</t>
  </si>
  <si>
    <t>SHP0004531</t>
  </si>
  <si>
    <t>SHP0004532</t>
  </si>
  <si>
    <t>SHP0004533</t>
  </si>
  <si>
    <t>SHP0004534</t>
  </si>
  <si>
    <t>SHP0004535</t>
  </si>
  <si>
    <t>SHP0004536</t>
  </si>
  <si>
    <t>SHP0004537</t>
  </si>
  <si>
    <t>SHP0004538</t>
  </si>
  <si>
    <t>SHP0004539</t>
  </si>
  <si>
    <t>SHP0004540</t>
  </si>
  <si>
    <t>SHP0004541</t>
  </si>
  <si>
    <t>SHP0004542</t>
  </si>
  <si>
    <t>SHP0004543</t>
  </si>
  <si>
    <t>SHP0004544</t>
  </si>
  <si>
    <t>SHP0004545</t>
  </si>
  <si>
    <t>SHP0004546</t>
  </si>
  <si>
    <t>SHP0004547</t>
  </si>
  <si>
    <t>SHP0004548</t>
  </si>
  <si>
    <t>SHP0004549</t>
  </si>
  <si>
    <t>SHP0004550</t>
  </si>
  <si>
    <t>SHP0004551</t>
  </si>
  <si>
    <t>SHP0004552</t>
  </si>
  <si>
    <t>SHP0004553</t>
  </si>
  <si>
    <t>SHP0004554</t>
  </si>
  <si>
    <t>SHP0004555</t>
  </si>
  <si>
    <t>SHP0004556</t>
  </si>
  <si>
    <t>SHP0004557</t>
  </si>
  <si>
    <t>SHP0004558</t>
  </si>
  <si>
    <t>SHP0004559</t>
  </si>
  <si>
    <t>SHP0004560</t>
  </si>
  <si>
    <t>SHP0004561</t>
  </si>
  <si>
    <t>SHP0004562</t>
  </si>
  <si>
    <t>SHP0004563</t>
  </si>
  <si>
    <t>SHP0004564</t>
  </si>
  <si>
    <t>SHP0004565</t>
  </si>
  <si>
    <t>SHP0004566</t>
  </si>
  <si>
    <t>SHP0004567</t>
  </si>
  <si>
    <t>SHP0004568</t>
  </si>
  <si>
    <t>SHP0004569</t>
  </si>
  <si>
    <t>SHP0004570</t>
  </si>
  <si>
    <t>SHP0004571</t>
  </si>
  <si>
    <t>SHP0004572</t>
  </si>
  <si>
    <t>SHP0004573</t>
  </si>
  <si>
    <t>SHP0004574</t>
  </si>
  <si>
    <t>SHP0004575</t>
  </si>
  <si>
    <t>SHP0004576</t>
  </si>
  <si>
    <t>SHP0004577</t>
  </si>
  <si>
    <t>SHP0004578</t>
  </si>
  <si>
    <t>SHP0004579</t>
  </si>
  <si>
    <t>SHP0004580</t>
  </si>
  <si>
    <t>SHP0004581</t>
  </si>
  <si>
    <t>SHP0004582</t>
  </si>
  <si>
    <t>SHP0004583</t>
  </si>
  <si>
    <t>SHP0004584</t>
  </si>
  <si>
    <t>SHP0004585</t>
  </si>
  <si>
    <t>SHP0004586</t>
  </si>
  <si>
    <t>SHP0004587</t>
  </si>
  <si>
    <t>SHP0004588</t>
  </si>
  <si>
    <t>SHP0004589</t>
  </si>
  <si>
    <t>SHP0004590</t>
  </si>
  <si>
    <t>SHP0004591</t>
  </si>
  <si>
    <t>SHP0004592</t>
  </si>
  <si>
    <t>SHP0004593</t>
  </si>
  <si>
    <t>SHP0004594</t>
  </si>
  <si>
    <t>SHP0004595</t>
  </si>
  <si>
    <t>SHP0004596</t>
  </si>
  <si>
    <t>SHP0004597</t>
  </si>
  <si>
    <t>SHP0004598</t>
  </si>
  <si>
    <t>SHP0004599</t>
  </si>
  <si>
    <t>SHP0004600</t>
  </si>
  <si>
    <t>SHP0004601</t>
  </si>
  <si>
    <t>SHP0004602</t>
  </si>
  <si>
    <t>SHP0004603</t>
  </si>
  <si>
    <t>SHP0004604</t>
  </si>
  <si>
    <t>SHP0004605</t>
  </si>
  <si>
    <t>SHP0004606</t>
  </si>
  <si>
    <t>SHP0004607</t>
  </si>
  <si>
    <t>SHP0004608</t>
  </si>
  <si>
    <t>SHP0004609</t>
  </si>
  <si>
    <t>SHP0004610</t>
  </si>
  <si>
    <t>SHP0004611</t>
  </si>
  <si>
    <t>SHP0004612</t>
  </si>
  <si>
    <t>SHP0004613</t>
  </si>
  <si>
    <t>SHP0004614</t>
  </si>
  <si>
    <t>SHP0004615</t>
  </si>
  <si>
    <t>SHP0004616</t>
  </si>
  <si>
    <t>SHP0004617</t>
  </si>
  <si>
    <t>SHP0004618</t>
  </si>
  <si>
    <t>SHP0004619</t>
  </si>
  <si>
    <t>SHP0004620</t>
  </si>
  <si>
    <t>SHP0004621</t>
  </si>
  <si>
    <t>SHP0004622</t>
  </si>
  <si>
    <t>SHP0004623</t>
  </si>
  <si>
    <t>SHP0004624</t>
  </si>
  <si>
    <t>SHP0004625</t>
  </si>
  <si>
    <t>SHP0004626</t>
  </si>
  <si>
    <t>SHP0004627</t>
  </si>
  <si>
    <t>SHP0004628</t>
  </si>
  <si>
    <t>SHP0004629</t>
  </si>
  <si>
    <t>SHP0004630</t>
  </si>
  <si>
    <t>SHP0004631</t>
  </si>
  <si>
    <t>SHP0004632</t>
  </si>
  <si>
    <t>SHP0004633</t>
  </si>
  <si>
    <t>SHP0004634</t>
  </si>
  <si>
    <t>SHP0004635</t>
  </si>
  <si>
    <t>SHP0004636</t>
  </si>
  <si>
    <t>SHP0004637</t>
  </si>
  <si>
    <t>SHP0004638</t>
  </si>
  <si>
    <t>SHP0004639</t>
  </si>
  <si>
    <t>SHP0004640</t>
  </si>
  <si>
    <t>SHP0004641</t>
  </si>
  <si>
    <t>SHP0004642</t>
  </si>
  <si>
    <t>SHP0004643</t>
  </si>
  <si>
    <t>SHP0004644</t>
  </si>
  <si>
    <t>SHP0004645</t>
  </si>
  <si>
    <t>SHP0004646</t>
  </si>
  <si>
    <t>SHP0004647</t>
  </si>
  <si>
    <t>SHP0004648</t>
  </si>
  <si>
    <t>SHP0004649</t>
  </si>
  <si>
    <t>SHP0004650</t>
  </si>
  <si>
    <t>SHP0004651</t>
  </si>
  <si>
    <t>SHP0004652</t>
  </si>
  <si>
    <t>SHP0004653</t>
  </si>
  <si>
    <t>SHP0004654</t>
  </si>
  <si>
    <t>SHP0004655</t>
  </si>
  <si>
    <t>SHP0004656</t>
  </si>
  <si>
    <t>SHP0004657</t>
  </si>
  <si>
    <t>SHP0004658</t>
  </si>
  <si>
    <t>SHP0004659</t>
  </si>
  <si>
    <t>SHP0004660</t>
  </si>
  <si>
    <t>SHP0004661</t>
  </si>
  <si>
    <t>SHP0004662</t>
  </si>
  <si>
    <t>SHP0004663</t>
  </si>
  <si>
    <t>SHP0004664</t>
  </si>
  <si>
    <t>SHP0004665</t>
  </si>
  <si>
    <t>SHP0004666</t>
  </si>
  <si>
    <t>SHP0004667</t>
  </si>
  <si>
    <t>SHP0004668</t>
  </si>
  <si>
    <t>SHP0004669</t>
  </si>
  <si>
    <t>SHP0004670</t>
  </si>
  <si>
    <t>SHP0004671</t>
  </si>
  <si>
    <t>SHP0004672</t>
  </si>
  <si>
    <t>SHP0004673</t>
  </si>
  <si>
    <t>SHP0004674</t>
  </si>
  <si>
    <t>SHP0004675</t>
  </si>
  <si>
    <t>SHP0004676</t>
  </si>
  <si>
    <t>SHP0004677</t>
  </si>
  <si>
    <t>SHP0004678</t>
  </si>
  <si>
    <t>SHP0004679</t>
  </si>
  <si>
    <t>SHP0004680</t>
  </si>
  <si>
    <t>SHP0004681</t>
  </si>
  <si>
    <t>SHP0004682</t>
  </si>
  <si>
    <t>SHP0004683</t>
  </si>
  <si>
    <t>SHP0004684</t>
  </si>
  <si>
    <t>SHP0004685</t>
  </si>
  <si>
    <t>SHP0004686</t>
  </si>
  <si>
    <t>SHP0004687</t>
  </si>
  <si>
    <t>SHP0004688</t>
  </si>
  <si>
    <t>SHP0004689</t>
  </si>
  <si>
    <t>SHP0004690</t>
  </si>
  <si>
    <t>SHP0004691</t>
  </si>
  <si>
    <t>SHP0004692</t>
  </si>
  <si>
    <t>SHP0004693</t>
  </si>
  <si>
    <t>SHP0004694</t>
  </si>
  <si>
    <t>SHP0004695</t>
  </si>
  <si>
    <t>SHP0004696</t>
  </si>
  <si>
    <t>SHP0004697</t>
  </si>
  <si>
    <t>SHP0004698</t>
  </si>
  <si>
    <t>SHP0004699</t>
  </si>
  <si>
    <t>SHP0004700</t>
  </si>
  <si>
    <t>SHP0004701</t>
  </si>
  <si>
    <t>SHP0004702</t>
  </si>
  <si>
    <t>SHP0004703</t>
  </si>
  <si>
    <t>SHP0004704</t>
  </si>
  <si>
    <t>SHP0004705</t>
  </si>
  <si>
    <t>SHP0004706</t>
  </si>
  <si>
    <t>SHP0004707</t>
  </si>
  <si>
    <t>SHP0004708</t>
  </si>
  <si>
    <t>SHP0004709</t>
  </si>
  <si>
    <t>SHP0004710</t>
  </si>
  <si>
    <t>SHP0004711</t>
  </si>
  <si>
    <t>SHP0004712</t>
  </si>
  <si>
    <t>SHP0004713</t>
  </si>
  <si>
    <t>SHP0004714</t>
  </si>
  <si>
    <t>SHP0004715</t>
  </si>
  <si>
    <t>SHP0004716</t>
  </si>
  <si>
    <t>SHP0004717</t>
  </si>
  <si>
    <t>SHP0004718</t>
  </si>
  <si>
    <t>SHP0004719</t>
  </si>
  <si>
    <t>SHP0004720</t>
  </si>
  <si>
    <t>SHP0004721</t>
  </si>
  <si>
    <t>SHP0004722</t>
  </si>
  <si>
    <t>SHP0004723</t>
  </si>
  <si>
    <t>SHP0004724</t>
  </si>
  <si>
    <t>SHP0004725</t>
  </si>
  <si>
    <t>SHP0004726</t>
  </si>
  <si>
    <t>SHP0004727</t>
  </si>
  <si>
    <t>SHP0004728</t>
  </si>
  <si>
    <t>SHP0004729</t>
  </si>
  <si>
    <t>SHP0004730</t>
  </si>
  <si>
    <t>SHP0004731</t>
  </si>
  <si>
    <t>SHP0004732</t>
  </si>
  <si>
    <t>SHP0004733</t>
  </si>
  <si>
    <t>SHP0004734</t>
  </si>
  <si>
    <t>SHP0004735</t>
  </si>
  <si>
    <t>SHP0004736</t>
  </si>
  <si>
    <t>SHP0004737</t>
  </si>
  <si>
    <t>SHP0004738</t>
  </si>
  <si>
    <t>SHP0004739</t>
  </si>
  <si>
    <t>SHP0004740</t>
  </si>
  <si>
    <t>SHP0004741</t>
  </si>
  <si>
    <t>SHP0004742</t>
  </si>
  <si>
    <t>SHP0004743</t>
  </si>
  <si>
    <t>SHP0004744</t>
  </si>
  <si>
    <t>SHP0004745</t>
  </si>
  <si>
    <t>SHP0004746</t>
  </si>
  <si>
    <t>SHP0004747</t>
  </si>
  <si>
    <t>SHP0004748</t>
  </si>
  <si>
    <t>SHP0004749</t>
  </si>
  <si>
    <t>SHP0004750</t>
  </si>
  <si>
    <t>SHP0004751</t>
  </si>
  <si>
    <t>SHP0004752</t>
  </si>
  <si>
    <t>SHP0004753</t>
  </si>
  <si>
    <t>SHP0004754</t>
  </si>
  <si>
    <t>SHP0004755</t>
  </si>
  <si>
    <t>SHP0004756</t>
  </si>
  <si>
    <t>SHP0004757</t>
  </si>
  <si>
    <t>SHP0004758</t>
  </si>
  <si>
    <t>SHP0004759</t>
  </si>
  <si>
    <t>SHP0004760</t>
  </si>
  <si>
    <t>SHP0004761</t>
  </si>
  <si>
    <t>SHP0004762</t>
  </si>
  <si>
    <t>SHP0004763</t>
  </si>
  <si>
    <t>SHP0004764</t>
  </si>
  <si>
    <t>SHP0004765</t>
  </si>
  <si>
    <t>SHP0004766</t>
  </si>
  <si>
    <t>SHP0004767</t>
  </si>
  <si>
    <t>SHP0004768</t>
  </si>
  <si>
    <t>SHP0004769</t>
  </si>
  <si>
    <t>SHP0004770</t>
  </si>
  <si>
    <t>SHP0004771</t>
  </si>
  <si>
    <t>SHP0004772</t>
  </si>
  <si>
    <t>SHP0004773</t>
  </si>
  <si>
    <t>SHP0004774</t>
  </si>
  <si>
    <t>SHP0004775</t>
  </si>
  <si>
    <t>SHP0004776</t>
  </si>
  <si>
    <t>SHP0004777</t>
  </si>
  <si>
    <t>SHP0004778</t>
  </si>
  <si>
    <t>SHP0004779</t>
  </si>
  <si>
    <t>SHP0004780</t>
  </si>
  <si>
    <t>SHP0004781</t>
  </si>
  <si>
    <t>SHP0004782</t>
  </si>
  <si>
    <t>SHP0004783</t>
  </si>
  <si>
    <t>SHP0004784</t>
  </si>
  <si>
    <t>SHP0004785</t>
  </si>
  <si>
    <t>SHP0004786</t>
  </si>
  <si>
    <t>SHP0004787</t>
  </si>
  <si>
    <t>SHP0004788</t>
  </si>
  <si>
    <t>SHP0004789</t>
  </si>
  <si>
    <t>SHP0004790</t>
  </si>
  <si>
    <t>SHP0004791</t>
  </si>
  <si>
    <t>SHP0004792</t>
  </si>
  <si>
    <t>SHP0004793</t>
  </si>
  <si>
    <t>SHP0004794</t>
  </si>
  <si>
    <t>SHP0004795</t>
  </si>
  <si>
    <t>SHP0004796</t>
  </si>
  <si>
    <t>SHP0004797</t>
  </si>
  <si>
    <t>SHP0004798</t>
  </si>
  <si>
    <t>SHP0004799</t>
  </si>
  <si>
    <t>SHP0004800</t>
  </si>
  <si>
    <t>SHP0004801</t>
  </si>
  <si>
    <t>SHP0004802</t>
  </si>
  <si>
    <t>SHP0004803</t>
  </si>
  <si>
    <t>SHP0004804</t>
  </si>
  <si>
    <t>SHP0004805</t>
  </si>
  <si>
    <t>SHP0004806</t>
  </si>
  <si>
    <t>SHP0004807</t>
  </si>
  <si>
    <t>SHP0004808</t>
  </si>
  <si>
    <t>SHP0004809</t>
  </si>
  <si>
    <t>SHP0004810</t>
  </si>
  <si>
    <t>SHP0004811</t>
  </si>
  <si>
    <t>SHP0004812</t>
  </si>
  <si>
    <t>SHP0004813</t>
  </si>
  <si>
    <t>SHP0004814</t>
  </si>
  <si>
    <t>SHP0004815</t>
  </si>
  <si>
    <t>SHP0004816</t>
  </si>
  <si>
    <t>SHP0004817</t>
  </si>
  <si>
    <t>SHP0004818</t>
  </si>
  <si>
    <t>SHP0004819</t>
  </si>
  <si>
    <t>SHP0004820</t>
  </si>
  <si>
    <t>SHP0004821</t>
  </si>
  <si>
    <t>SHP0004822</t>
  </si>
  <si>
    <t>SHP0004823</t>
  </si>
  <si>
    <t>SHP0004824</t>
  </si>
  <si>
    <t>SHP0004825</t>
  </si>
  <si>
    <t>SHP0004826</t>
  </si>
  <si>
    <t>SHP0004827</t>
  </si>
  <si>
    <t>SHP0004828</t>
  </si>
  <si>
    <t>SHP0004829</t>
  </si>
  <si>
    <t>SHP0004830</t>
  </si>
  <si>
    <t>SHP0004831</t>
  </si>
  <si>
    <t>SHP0004832</t>
  </si>
  <si>
    <t>SHP0004833</t>
  </si>
  <si>
    <t>SHP0004834</t>
  </si>
  <si>
    <t>SHP0004835</t>
  </si>
  <si>
    <t>SHP0004836</t>
  </si>
  <si>
    <t>SHP0004837</t>
  </si>
  <si>
    <t>SHP0004838</t>
  </si>
  <si>
    <t>SHP0004839</t>
  </si>
  <si>
    <t>SHP0004840</t>
  </si>
  <si>
    <t>SHP0004841</t>
  </si>
  <si>
    <t>SHP0004842</t>
  </si>
  <si>
    <t>SHP0004843</t>
  </si>
  <si>
    <t>SHP0004844</t>
  </si>
  <si>
    <t>SHP0004845</t>
  </si>
  <si>
    <t>SHP0004846</t>
  </si>
  <si>
    <t>SHP0004847</t>
  </si>
  <si>
    <t>SHP0004848</t>
  </si>
  <si>
    <t>SHP0004849</t>
  </si>
  <si>
    <t>SHP0004850</t>
  </si>
  <si>
    <t>SHP0004851</t>
  </si>
  <si>
    <t>SHP0004852</t>
  </si>
  <si>
    <t>SHP0004853</t>
  </si>
  <si>
    <t>SHP0004854</t>
  </si>
  <si>
    <t>SHP0004855</t>
  </si>
  <si>
    <t>SHP0004856</t>
  </si>
  <si>
    <t>SHP0004857</t>
  </si>
  <si>
    <t>SHP0004858</t>
  </si>
  <si>
    <t>SHP0004859</t>
  </si>
  <si>
    <t>SHP0004860</t>
  </si>
  <si>
    <t>SHP0004861</t>
  </si>
  <si>
    <t>SHP0004862</t>
  </si>
  <si>
    <t>SHP0004863</t>
  </si>
  <si>
    <t>SHP0004864</t>
  </si>
  <si>
    <t>SHP0004865</t>
  </si>
  <si>
    <t>SHP0004866</t>
  </si>
  <si>
    <t>SHP0004867</t>
  </si>
  <si>
    <t>SHP0004868</t>
  </si>
  <si>
    <t>SHP0004869</t>
  </si>
  <si>
    <t>SHP0004870</t>
  </si>
  <si>
    <t>SHP0004871</t>
  </si>
  <si>
    <t>SHP0004872</t>
  </si>
  <si>
    <t>SHP0004873</t>
  </si>
  <si>
    <t>SHP0004874</t>
  </si>
  <si>
    <t>SHP0004875</t>
  </si>
  <si>
    <t>SHP0004876</t>
  </si>
  <si>
    <t>SHP0004877</t>
  </si>
  <si>
    <t>SHP0004878</t>
  </si>
  <si>
    <t>SHP0004879</t>
  </si>
  <si>
    <t>SHP0004880</t>
  </si>
  <si>
    <t>SHP0004881</t>
  </si>
  <si>
    <t>SHP0004882</t>
  </si>
  <si>
    <t>SHP0004883</t>
  </si>
  <si>
    <t>SHP0004884</t>
  </si>
  <si>
    <t>SHP0004885</t>
  </si>
  <si>
    <t>SHP0004886</t>
  </si>
  <si>
    <t>SHP0004887</t>
  </si>
  <si>
    <t>SHP0004888</t>
  </si>
  <si>
    <t>SHP0004889</t>
  </si>
  <si>
    <t>SHP0004890</t>
  </si>
  <si>
    <t>SHP0004891</t>
  </si>
  <si>
    <t>SHP0004892</t>
  </si>
  <si>
    <t>SHP0004893</t>
  </si>
  <si>
    <t>SHP0004894</t>
  </si>
  <si>
    <t>SHP0004895</t>
  </si>
  <si>
    <t>SHP0004896</t>
  </si>
  <si>
    <t>SHP0004897</t>
  </si>
  <si>
    <t>SHP0004898</t>
  </si>
  <si>
    <t>SHP0004899</t>
  </si>
  <si>
    <t>SHP0004900</t>
  </si>
  <si>
    <t>SHP0004901</t>
  </si>
  <si>
    <t>SHP0004902</t>
  </si>
  <si>
    <t>SHP0004903</t>
  </si>
  <si>
    <t>SHP0004904</t>
  </si>
  <si>
    <t>SHP0004905</t>
  </si>
  <si>
    <t>SHP0004906</t>
  </si>
  <si>
    <t>SHP0004907</t>
  </si>
  <si>
    <t>SHP0004908</t>
  </si>
  <si>
    <t>SHP0004909</t>
  </si>
  <si>
    <t>SHP0004910</t>
  </si>
  <si>
    <t>SHP0004911</t>
  </si>
  <si>
    <t>SHP0004912</t>
  </si>
  <si>
    <t>SHP0004913</t>
  </si>
  <si>
    <t>SHP0004914</t>
  </si>
  <si>
    <t>SHP0004915</t>
  </si>
  <si>
    <t>SHP0004916</t>
  </si>
  <si>
    <t>SHP0004917</t>
  </si>
  <si>
    <t>SHP0004918</t>
  </si>
  <si>
    <t>SHP0004919</t>
  </si>
  <si>
    <t>SHP0004920</t>
  </si>
  <si>
    <t>SHP0004921</t>
  </si>
  <si>
    <t>SHP0004922</t>
  </si>
  <si>
    <t>SHP0004923</t>
  </si>
  <si>
    <t>SHP0004924</t>
  </si>
  <si>
    <t>SHP0004925</t>
  </si>
  <si>
    <t>SHP0004926</t>
  </si>
  <si>
    <t>SHP0004927</t>
  </si>
  <si>
    <t>SHP0004928</t>
  </si>
  <si>
    <t>SHP0004929</t>
  </si>
  <si>
    <t>SHP0004930</t>
  </si>
  <si>
    <t>SHP0004931</t>
  </si>
  <si>
    <t>SHP0004932</t>
  </si>
  <si>
    <t>SHP0004933</t>
  </si>
  <si>
    <t>SHP0004934</t>
  </si>
  <si>
    <t>SHP0004935</t>
  </si>
  <si>
    <t>SHP0004936</t>
  </si>
  <si>
    <t>SHP0004937</t>
  </si>
  <si>
    <t>SHP0004938</t>
  </si>
  <si>
    <t>SHP0004939</t>
  </si>
  <si>
    <t>SHP0004940</t>
  </si>
  <si>
    <t>SHP0004941</t>
  </si>
  <si>
    <t>SHP0004942</t>
  </si>
  <si>
    <t>SHP0004943</t>
  </si>
  <si>
    <t>SHP0004944</t>
  </si>
  <si>
    <t>SHP0004945</t>
  </si>
  <si>
    <t>SHP0004946</t>
  </si>
  <si>
    <t>SHP0004947</t>
  </si>
  <si>
    <t>SHP0004948</t>
  </si>
  <si>
    <t>SHP0004949</t>
  </si>
  <si>
    <t>SHP0004950</t>
  </si>
  <si>
    <t>SHP0004951</t>
  </si>
  <si>
    <t>SHP0004952</t>
  </si>
  <si>
    <t>SHP0004953</t>
  </si>
  <si>
    <t>SHP0004954</t>
  </si>
  <si>
    <t>SHP0004955</t>
  </si>
  <si>
    <t>SHP0004956</t>
  </si>
  <si>
    <t>SHP0004957</t>
  </si>
  <si>
    <t>SHP0004958</t>
  </si>
  <si>
    <t>SHP0004959</t>
  </si>
  <si>
    <t>SHP0004960</t>
  </si>
  <si>
    <t>SHP0004961</t>
  </si>
  <si>
    <t>SHP0004962</t>
  </si>
  <si>
    <t>SHP0004963</t>
  </si>
  <si>
    <t>SHP0004964</t>
  </si>
  <si>
    <t>SHP0004965</t>
  </si>
  <si>
    <t>SHP0004966</t>
  </si>
  <si>
    <t>SHP0004967</t>
  </si>
  <si>
    <t>SHP0004968</t>
  </si>
  <si>
    <t>SHP0004969</t>
  </si>
  <si>
    <t>SHP0004970</t>
  </si>
  <si>
    <t>SHP0004971</t>
  </si>
  <si>
    <t>SHP0004972</t>
  </si>
  <si>
    <t>SHP0004973</t>
  </si>
  <si>
    <t>SHP0004974</t>
  </si>
  <si>
    <t>SHP0004975</t>
  </si>
  <si>
    <t>SHP0004976</t>
  </si>
  <si>
    <t>SHP0004977</t>
  </si>
  <si>
    <t>SHP0004978</t>
  </si>
  <si>
    <t>SHP0004979</t>
  </si>
  <si>
    <t>SHP0004980</t>
  </si>
  <si>
    <t>SHP0004981</t>
  </si>
  <si>
    <t>SHP0004982</t>
  </si>
  <si>
    <t>SHP0004983</t>
  </si>
  <si>
    <t>SHP0004984</t>
  </si>
  <si>
    <t>SHP0004985</t>
  </si>
  <si>
    <t>SHP0004986</t>
  </si>
  <si>
    <t>SHP0004987</t>
  </si>
  <si>
    <t>SHP0004988</t>
  </si>
  <si>
    <t>SHP0004989</t>
  </si>
  <si>
    <t>SHP0004990</t>
  </si>
  <si>
    <t>SHP0004991</t>
  </si>
  <si>
    <t>SHP0004992</t>
  </si>
  <si>
    <t>SHP0004993</t>
  </si>
  <si>
    <t>SHP0004994</t>
  </si>
  <si>
    <t>SHP0004995</t>
  </si>
  <si>
    <t>SHP0004996</t>
  </si>
  <si>
    <t>SHP0004997</t>
  </si>
  <si>
    <t>SHP0004998</t>
  </si>
  <si>
    <t>SHP0004999</t>
  </si>
  <si>
    <t>SHP0005000</t>
  </si>
  <si>
    <t>SHP0005001</t>
  </si>
  <si>
    <t>SHP0005002</t>
  </si>
  <si>
    <t>SHP0005003</t>
  </si>
  <si>
    <t>SHP0005004</t>
  </si>
  <si>
    <t>SHP0005005</t>
  </si>
  <si>
    <t>SHP0005006</t>
  </si>
  <si>
    <t>SHP0005007</t>
  </si>
  <si>
    <t>SHP0005008</t>
  </si>
  <si>
    <t>SHP0005009</t>
  </si>
  <si>
    <t>SHP0005010</t>
  </si>
  <si>
    <t>SHP0005011</t>
  </si>
  <si>
    <t>SHP0005012</t>
  </si>
  <si>
    <t>SHP0005013</t>
  </si>
  <si>
    <t>SHP0005014</t>
  </si>
  <si>
    <t>SHP0005015</t>
  </si>
  <si>
    <t>SHP0005016</t>
  </si>
  <si>
    <t>SHP0005017</t>
  </si>
  <si>
    <t>SHP0005018</t>
  </si>
  <si>
    <t>SHP0005019</t>
  </si>
  <si>
    <t>SHP0005020</t>
  </si>
  <si>
    <t>SHP0005021</t>
  </si>
  <si>
    <t>SHP0005022</t>
  </si>
  <si>
    <t>SHP0005023</t>
  </si>
  <si>
    <t>SHP0005024</t>
  </si>
  <si>
    <t>SHP0005025</t>
  </si>
  <si>
    <t>SHP0005026</t>
  </si>
  <si>
    <t>SHP0005027</t>
  </si>
  <si>
    <t>SHP0005028</t>
  </si>
  <si>
    <t>SHP0005029</t>
  </si>
  <si>
    <t>SHP0005030</t>
  </si>
  <si>
    <t>SHP0005031</t>
  </si>
  <si>
    <t>SHP0005032</t>
  </si>
  <si>
    <t>SHP0005033</t>
  </si>
  <si>
    <t>SHP0005034</t>
  </si>
  <si>
    <t>SHP0005035</t>
  </si>
  <si>
    <t>SHP0005036</t>
  </si>
  <si>
    <t>SHP0005037</t>
  </si>
  <si>
    <t>SHP0005038</t>
  </si>
  <si>
    <t>SHP0005039</t>
  </si>
  <si>
    <t>SHP0005040</t>
  </si>
  <si>
    <t>SHP0005041</t>
  </si>
  <si>
    <t>SHP0005042</t>
  </si>
  <si>
    <t>SHP0005043</t>
  </si>
  <si>
    <t>SHP0005044</t>
  </si>
  <si>
    <t>SHP0005045</t>
  </si>
  <si>
    <t>SHP0005046</t>
  </si>
  <si>
    <t>SHP0005047</t>
  </si>
  <si>
    <t>SHP0005048</t>
  </si>
  <si>
    <t>SHP0005049</t>
  </si>
  <si>
    <t>SHP0005050</t>
  </si>
  <si>
    <t>SHP0005051</t>
  </si>
  <si>
    <t>SHP0005052</t>
  </si>
  <si>
    <t>SHP0005053</t>
  </si>
  <si>
    <t>SHP0005054</t>
  </si>
  <si>
    <t>SHP0005055</t>
  </si>
  <si>
    <t>SHP0005056</t>
  </si>
  <si>
    <t>SHP0005057</t>
  </si>
  <si>
    <t>SHP0005058</t>
  </si>
  <si>
    <t>SHP0005059</t>
  </si>
  <si>
    <t>SHP0005060</t>
  </si>
  <si>
    <t>SHP0005061</t>
  </si>
  <si>
    <t>SHP0005062</t>
  </si>
  <si>
    <t>SHP0005063</t>
  </si>
  <si>
    <t>SHP0005064</t>
  </si>
  <si>
    <t>SHP0005065</t>
  </si>
  <si>
    <t>SHP0005066</t>
  </si>
  <si>
    <t>SHP0005067</t>
  </si>
  <si>
    <t>SHP0005068</t>
  </si>
  <si>
    <t>SHP0005069</t>
  </si>
  <si>
    <t>SHP0005070</t>
  </si>
  <si>
    <t>SHP0005071</t>
  </si>
  <si>
    <t>SHP0005072</t>
  </si>
  <si>
    <t>SHP0005073</t>
  </si>
  <si>
    <t>SHP0005074</t>
  </si>
  <si>
    <t>SHP0005075</t>
  </si>
  <si>
    <t>SHP0005076</t>
  </si>
  <si>
    <t>SHP0005077</t>
  </si>
  <si>
    <t>SHP0005078</t>
  </si>
  <si>
    <t>SHP0005079</t>
  </si>
  <si>
    <t>SHP0005080</t>
  </si>
  <si>
    <t>SHP0005081</t>
  </si>
  <si>
    <t>SHP0005082</t>
  </si>
  <si>
    <t>SHP0005083</t>
  </si>
  <si>
    <t>SHP0005084</t>
  </si>
  <si>
    <t>SHP0005085</t>
  </si>
  <si>
    <t>SHP0005086</t>
  </si>
  <si>
    <t>SHP0005087</t>
  </si>
  <si>
    <t>SHP0005088</t>
  </si>
  <si>
    <t>SHP0005089</t>
  </si>
  <si>
    <t>SHP0005090</t>
  </si>
  <si>
    <t>SHP0005091</t>
  </si>
  <si>
    <t>SHP0005092</t>
  </si>
  <si>
    <t>SHP0005093</t>
  </si>
  <si>
    <t>SHP0005094</t>
  </si>
  <si>
    <t>SHP0005095</t>
  </si>
  <si>
    <t>SHP0005096</t>
  </si>
  <si>
    <t>SHP0005097</t>
  </si>
  <si>
    <t>SHP0005098</t>
  </si>
  <si>
    <t>SHP0005099</t>
  </si>
  <si>
    <t>SHP0005100</t>
  </si>
  <si>
    <t>SHP0005101</t>
  </si>
  <si>
    <t>SHP0005102</t>
  </si>
  <si>
    <t>SHP0005103</t>
  </si>
  <si>
    <t>SHP0005104</t>
  </si>
  <si>
    <t>SHP0005105</t>
  </si>
  <si>
    <t>SHP0005106</t>
  </si>
  <si>
    <t>SHP0005107</t>
  </si>
  <si>
    <t>SHP0005108</t>
  </si>
  <si>
    <t>SHP0005109</t>
  </si>
  <si>
    <t>SHP0005110</t>
  </si>
  <si>
    <t>SHP0005111</t>
  </si>
  <si>
    <t>SHP0005112</t>
  </si>
  <si>
    <t>SHP0005113</t>
  </si>
  <si>
    <t>SHP0005114</t>
  </si>
  <si>
    <t>SHP0005115</t>
  </si>
  <si>
    <t>SHP0005116</t>
  </si>
  <si>
    <t>SHP0005117</t>
  </si>
  <si>
    <t>SHP0005118</t>
  </si>
  <si>
    <t>SHP0005119</t>
  </si>
  <si>
    <t>SHP0005120</t>
  </si>
  <si>
    <t>SHP0005121</t>
  </si>
  <si>
    <t>SHP0005122</t>
  </si>
  <si>
    <t>SHP0005123</t>
  </si>
  <si>
    <t>SHP0005124</t>
  </si>
  <si>
    <t>SHP0005125</t>
  </si>
  <si>
    <t>SHP0005126</t>
  </si>
  <si>
    <t>SHP0005127</t>
  </si>
  <si>
    <t>SHP0005128</t>
  </si>
  <si>
    <t>SHP0005129</t>
  </si>
  <si>
    <t>SHP0005130</t>
  </si>
  <si>
    <t>SHP0005131</t>
  </si>
  <si>
    <t>SHP0005132</t>
  </si>
  <si>
    <t>SHP0005133</t>
  </si>
  <si>
    <t>SHP0005134</t>
  </si>
  <si>
    <t>SHP0005135</t>
  </si>
  <si>
    <t>SHP0005136</t>
  </si>
  <si>
    <t>SHP0005137</t>
  </si>
  <si>
    <t>SHP0005138</t>
  </si>
  <si>
    <t>SHP0005139</t>
  </si>
  <si>
    <t>SHP0005140</t>
  </si>
  <si>
    <t>SHP0005141</t>
  </si>
  <si>
    <t>SHP0005142</t>
  </si>
  <si>
    <t>SHP0005143</t>
  </si>
  <si>
    <t>SHP0005144</t>
  </si>
  <si>
    <t>SHP0005145</t>
  </si>
  <si>
    <t>SHP0005146</t>
  </si>
  <si>
    <t>SHP0005147</t>
  </si>
  <si>
    <t>SHP0005148</t>
  </si>
  <si>
    <t>SHP0005149</t>
  </si>
  <si>
    <t>SHP0005150</t>
  </si>
  <si>
    <t>SHP0005151</t>
  </si>
  <si>
    <t>SHP0005152</t>
  </si>
  <si>
    <t>SHP0005153</t>
  </si>
  <si>
    <t>SHP0005154</t>
  </si>
  <si>
    <t>SHP0005155</t>
  </si>
  <si>
    <t>SHP0005156</t>
  </si>
  <si>
    <t>SHP0005157</t>
  </si>
  <si>
    <t>SHP0005158</t>
  </si>
  <si>
    <t>SHP0005159</t>
  </si>
  <si>
    <t>SHP0005160</t>
  </si>
  <si>
    <t>SHP0005161</t>
  </si>
  <si>
    <t>SHP0005162</t>
  </si>
  <si>
    <t>SHP0005163</t>
  </si>
  <si>
    <t>SHP0005164</t>
  </si>
  <si>
    <t>SHP0005165</t>
  </si>
  <si>
    <t>SHP0005166</t>
  </si>
  <si>
    <t>SHP0005167</t>
  </si>
  <si>
    <t>SHP0005168</t>
  </si>
  <si>
    <t>SHP0005169</t>
  </si>
  <si>
    <t>SHP0005170</t>
  </si>
  <si>
    <t>SHP0005171</t>
  </si>
  <si>
    <t>SHP0005172</t>
  </si>
  <si>
    <t>SHP0005173</t>
  </si>
  <si>
    <t>SHP0005174</t>
  </si>
  <si>
    <t>SHP0005175</t>
  </si>
  <si>
    <t>SHP0005176</t>
  </si>
  <si>
    <t>SHP0005177</t>
  </si>
  <si>
    <t>SHP0005178</t>
  </si>
  <si>
    <t>SHP0005179</t>
  </si>
  <si>
    <t>SHP0005180</t>
  </si>
  <si>
    <t>SHP0005181</t>
  </si>
  <si>
    <t>SHP0005182</t>
  </si>
  <si>
    <t>SHP0005183</t>
  </si>
  <si>
    <t>SHP0005184</t>
  </si>
  <si>
    <t>SHP0005185</t>
  </si>
  <si>
    <t>SHP0005186</t>
  </si>
  <si>
    <t>SHP0005187</t>
  </si>
  <si>
    <t>SHP0005188</t>
  </si>
  <si>
    <t>SHP0005189</t>
  </si>
  <si>
    <t>SHP0005190</t>
  </si>
  <si>
    <t>SHP0005191</t>
  </si>
  <si>
    <t>SHP0005192</t>
  </si>
  <si>
    <t>SHP0005193</t>
  </si>
  <si>
    <t>SHP0005194</t>
  </si>
  <si>
    <t>SHP0005195</t>
  </si>
  <si>
    <t>SHP0005196</t>
  </si>
  <si>
    <t>SHP0005197</t>
  </si>
  <si>
    <t>SHP0005198</t>
  </si>
  <si>
    <t>SHP0005199</t>
  </si>
  <si>
    <t>SHP0005200</t>
  </si>
  <si>
    <t>SHP0005201</t>
  </si>
  <si>
    <t>SHP0005202</t>
  </si>
  <si>
    <t>SHP0005203</t>
  </si>
  <si>
    <t>SHP0005204</t>
  </si>
  <si>
    <t>SHP0005205</t>
  </si>
  <si>
    <t>SHP0005206</t>
  </si>
  <si>
    <t>SHP0005207</t>
  </si>
  <si>
    <t>SHP0005208</t>
  </si>
  <si>
    <t>SHP0005209</t>
  </si>
  <si>
    <t>SHP0005210</t>
  </si>
  <si>
    <t>SHP0005211</t>
  </si>
  <si>
    <t>SHP0005212</t>
  </si>
  <si>
    <t>SHP0005213</t>
  </si>
  <si>
    <t>SHP0005214</t>
  </si>
  <si>
    <t>SHP0005215</t>
  </si>
  <si>
    <t>SHP0005216</t>
  </si>
  <si>
    <t>SHP0005217</t>
  </si>
  <si>
    <t>SHP0005218</t>
  </si>
  <si>
    <t>SHP0005219</t>
  </si>
  <si>
    <t>SHP0005220</t>
  </si>
  <si>
    <t>SHP0005221</t>
  </si>
  <si>
    <t>SHP0005222</t>
  </si>
  <si>
    <t>SHP0005223</t>
  </si>
  <si>
    <t>SHP0005224</t>
  </si>
  <si>
    <t>SHP0005225</t>
  </si>
  <si>
    <t>SHP0005226</t>
  </si>
  <si>
    <t>SHP0005227</t>
  </si>
  <si>
    <t>SHP0005228</t>
  </si>
  <si>
    <t>SHP0005229</t>
  </si>
  <si>
    <t>SHP0005230</t>
  </si>
  <si>
    <t>SHP0005231</t>
  </si>
  <si>
    <t>SHP0005232</t>
  </si>
  <si>
    <t>SHP0005233</t>
  </si>
  <si>
    <t>SHP0005234</t>
  </si>
  <si>
    <t>SHP0005235</t>
  </si>
  <si>
    <t>SHP0005236</t>
  </si>
  <si>
    <t>SHP0005237</t>
  </si>
  <si>
    <t>SHP0005238</t>
  </si>
  <si>
    <t>SHP0005239</t>
  </si>
  <si>
    <t>SHP0005240</t>
  </si>
  <si>
    <t>SHP0005241</t>
  </si>
  <si>
    <t>SHP0005242</t>
  </si>
  <si>
    <t>SHP0005243</t>
  </si>
  <si>
    <t>SHP0005244</t>
  </si>
  <si>
    <t>SHP0005245</t>
  </si>
  <si>
    <t>SHP0005246</t>
  </si>
  <si>
    <t>SHP0005247</t>
  </si>
  <si>
    <t>SHP0005248</t>
  </si>
  <si>
    <t>SHP0005249</t>
  </si>
  <si>
    <t>SHP0005250</t>
  </si>
  <si>
    <t>SHP0005251</t>
  </si>
  <si>
    <t>SHP0005252</t>
  </si>
  <si>
    <t>SHP0005253</t>
  </si>
  <si>
    <t>SHP0005254</t>
  </si>
  <si>
    <t>SHP0005255</t>
  </si>
  <si>
    <t>SHP0005256</t>
  </si>
  <si>
    <t>SHP0005257</t>
  </si>
  <si>
    <t>SHP0005258</t>
  </si>
  <si>
    <t>SHP0005259</t>
  </si>
  <si>
    <t>SHP0005260</t>
  </si>
  <si>
    <t>SHP0005261</t>
  </si>
  <si>
    <t>SHP0005262</t>
  </si>
  <si>
    <t>SHP0005263</t>
  </si>
  <si>
    <t>SHP0005264</t>
  </si>
  <si>
    <t>SHP0005265</t>
  </si>
  <si>
    <t>SHP0005266</t>
  </si>
  <si>
    <t>SHP0005267</t>
  </si>
  <si>
    <t>SHP0005268</t>
  </si>
  <si>
    <t>SHP0005269</t>
  </si>
  <si>
    <t>SHP0005270</t>
  </si>
  <si>
    <t>SHP0005271</t>
  </si>
  <si>
    <t>SHP0005272</t>
  </si>
  <si>
    <t>SHP0005273</t>
  </si>
  <si>
    <t>SHP0005274</t>
  </si>
  <si>
    <t>SHP0005275</t>
  </si>
  <si>
    <t>SHP0005276</t>
  </si>
  <si>
    <t>SHP0005277</t>
  </si>
  <si>
    <t>SHP0005278</t>
  </si>
  <si>
    <t>SHP0005279</t>
  </si>
  <si>
    <t>SHP0005280</t>
  </si>
  <si>
    <t>SHP0005281</t>
  </si>
  <si>
    <t>SHP0005282</t>
  </si>
  <si>
    <t>SHP0005283</t>
  </si>
  <si>
    <t>SHP0005284</t>
  </si>
  <si>
    <t>SHP0005285</t>
  </si>
  <si>
    <t>SHP0005286</t>
  </si>
  <si>
    <t>SHP0005287</t>
  </si>
  <si>
    <t>SHP0005288</t>
  </si>
  <si>
    <t>SHP0005289</t>
  </si>
  <si>
    <t>SHP0005290</t>
  </si>
  <si>
    <t>SHP0005291</t>
  </si>
  <si>
    <t>SHP0005292</t>
  </si>
  <si>
    <t>SHP0005293</t>
  </si>
  <si>
    <t>SHP0005294</t>
  </si>
  <si>
    <t>SHP0005295</t>
  </si>
  <si>
    <t>SHP0005296</t>
  </si>
  <si>
    <t>SHP0005297</t>
  </si>
  <si>
    <t>SHP0005298</t>
  </si>
  <si>
    <t>SHP0005299</t>
  </si>
  <si>
    <t>SHP0005300</t>
  </si>
  <si>
    <t>SHP0005301</t>
  </si>
  <si>
    <t>SHP0005302</t>
  </si>
  <si>
    <t>SHP0005303</t>
  </si>
  <si>
    <t>SHP0005304</t>
  </si>
  <si>
    <t>SHP0005305</t>
  </si>
  <si>
    <t>SHP0005306</t>
  </si>
  <si>
    <t>SHP0005307</t>
  </si>
  <si>
    <t>SHP0005308</t>
  </si>
  <si>
    <t>SHP0005309</t>
  </si>
  <si>
    <t>SHP0005310</t>
  </si>
  <si>
    <t>SHP0005311</t>
  </si>
  <si>
    <t>SHP0005312</t>
  </si>
  <si>
    <t>SHP0005313</t>
  </si>
  <si>
    <t>SHP0005314</t>
  </si>
  <si>
    <t>SHP0005315</t>
  </si>
  <si>
    <t>SHP0005316</t>
  </si>
  <si>
    <t>SHP0005317</t>
  </si>
  <si>
    <t>SHP0005318</t>
  </si>
  <si>
    <t>SHP0005319</t>
  </si>
  <si>
    <t>SHP0005320</t>
  </si>
  <si>
    <t>SHP0005321</t>
  </si>
  <si>
    <t>SHP0005322</t>
  </si>
  <si>
    <t>SHP0005323</t>
  </si>
  <si>
    <t>SHP0005324</t>
  </si>
  <si>
    <t>SHP0005325</t>
  </si>
  <si>
    <t>SHP0005326</t>
  </si>
  <si>
    <t>SHP0005327</t>
  </si>
  <si>
    <t>SHP0005328</t>
  </si>
  <si>
    <t>SHP0005329</t>
  </si>
  <si>
    <t>SHP0005330</t>
  </si>
  <si>
    <t>SHP0005331</t>
  </si>
  <si>
    <t>SHP0005332</t>
  </si>
  <si>
    <t>SHP0005333</t>
  </si>
  <si>
    <t>SHP0005334</t>
  </si>
  <si>
    <t>SHP0005335</t>
  </si>
  <si>
    <t>SHP0005336</t>
  </si>
  <si>
    <t>SHP0005337</t>
  </si>
  <si>
    <t>SHP0005338</t>
  </si>
  <si>
    <t>SHP0005339</t>
  </si>
  <si>
    <t>SHP0005340</t>
  </si>
  <si>
    <t>SHP0005341</t>
  </si>
  <si>
    <t>SHP0005342</t>
  </si>
  <si>
    <t>SHP0005343</t>
  </si>
  <si>
    <t>SHP0005344</t>
  </si>
  <si>
    <t>SHP0005345</t>
  </si>
  <si>
    <t>SHP0005346</t>
  </si>
  <si>
    <t>SHP0005347</t>
  </si>
  <si>
    <t>SHP0005348</t>
  </si>
  <si>
    <t>SHP0005349</t>
  </si>
  <si>
    <t>SHP0005350</t>
  </si>
  <si>
    <t>SHP0005351</t>
  </si>
  <si>
    <t>SHP0005352</t>
  </si>
  <si>
    <t>SHP0005353</t>
  </si>
  <si>
    <t>SHP0005354</t>
  </si>
  <si>
    <t>SHP0005355</t>
  </si>
  <si>
    <t>SHP0005356</t>
  </si>
  <si>
    <t>SHP0005357</t>
  </si>
  <si>
    <t>SHP0005358</t>
  </si>
  <si>
    <t>SHP0005359</t>
  </si>
  <si>
    <t>SHP0005360</t>
  </si>
  <si>
    <t>SHP0005361</t>
  </si>
  <si>
    <t>SHP0005362</t>
  </si>
  <si>
    <t>SHP0005363</t>
  </si>
  <si>
    <t>SHP0005364</t>
  </si>
  <si>
    <t>SHP0005365</t>
  </si>
  <si>
    <t>SHP0005366</t>
  </si>
  <si>
    <t>SHP0005367</t>
  </si>
  <si>
    <t>SHP0005368</t>
  </si>
  <si>
    <t>SHP0005369</t>
  </si>
  <si>
    <t>SHP0005370</t>
  </si>
  <si>
    <t>SHP0005371</t>
  </si>
  <si>
    <t>SHP0005372</t>
  </si>
  <si>
    <t>SHP0005373</t>
  </si>
  <si>
    <t>SHP0005374</t>
  </si>
  <si>
    <t>SHP0005375</t>
  </si>
  <si>
    <t>SHP0005376</t>
  </si>
  <si>
    <t>SHP0005377</t>
  </si>
  <si>
    <t>SHP0005378</t>
  </si>
  <si>
    <t>SHP0005379</t>
  </si>
  <si>
    <t>SHP0005380</t>
  </si>
  <si>
    <t>SHP0005381</t>
  </si>
  <si>
    <t>SHP0005382</t>
  </si>
  <si>
    <t>SHP0005383</t>
  </si>
  <si>
    <t>SHP0005384</t>
  </si>
  <si>
    <t>SHP0005385</t>
  </si>
  <si>
    <t>SHP0005386</t>
  </si>
  <si>
    <t>SHP0005387</t>
  </si>
  <si>
    <t>SHP0005388</t>
  </si>
  <si>
    <t>SHP0005389</t>
  </si>
  <si>
    <t>SHP0005390</t>
  </si>
  <si>
    <t>SHP0005391</t>
  </si>
  <si>
    <t>SHP0005392</t>
  </si>
  <si>
    <t>SHP0005393</t>
  </si>
  <si>
    <t>SHP0005394</t>
  </si>
  <si>
    <t>SHP0005395</t>
  </si>
  <si>
    <t>SHP0005396</t>
  </si>
  <si>
    <t>SHP0005397</t>
  </si>
  <si>
    <t>SHP0005398</t>
  </si>
  <si>
    <t>SHP0005399</t>
  </si>
  <si>
    <t>SHP0005400</t>
  </si>
  <si>
    <t>SHP0005401</t>
  </si>
  <si>
    <t>SHP0005402</t>
  </si>
  <si>
    <t>SHP0005403</t>
  </si>
  <si>
    <t>SHP0005404</t>
  </si>
  <si>
    <t>SHP0005405</t>
  </si>
  <si>
    <t>SHP0005406</t>
  </si>
  <si>
    <t>SHP0005407</t>
  </si>
  <si>
    <t>SHP0005408</t>
  </si>
  <si>
    <t>SHP0005409</t>
  </si>
  <si>
    <t>SHP0005410</t>
  </si>
  <si>
    <t>SHP0005411</t>
  </si>
  <si>
    <t>SHP0005412</t>
  </si>
  <si>
    <t>SHP0005413</t>
  </si>
  <si>
    <t>SHP0005414</t>
  </si>
  <si>
    <t>SHP0005415</t>
  </si>
  <si>
    <t>SHP0005416</t>
  </si>
  <si>
    <t>SHP0005417</t>
  </si>
  <si>
    <t>SHP0005418</t>
  </si>
  <si>
    <t>SHP0005419</t>
  </si>
  <si>
    <t>SHP0005420</t>
  </si>
  <si>
    <t>SHP0005421</t>
  </si>
  <si>
    <t>SHP0005422</t>
  </si>
  <si>
    <t>SHP0005423</t>
  </si>
  <si>
    <t>SHP0005424</t>
  </si>
  <si>
    <t>SHP0005425</t>
  </si>
  <si>
    <t>SHP0005426</t>
  </si>
  <si>
    <t>SHP0005427</t>
  </si>
  <si>
    <t>SHP0005428</t>
  </si>
  <si>
    <t>SHP0005429</t>
  </si>
  <si>
    <t>SHP0005430</t>
  </si>
  <si>
    <t>SHP0005431</t>
  </si>
  <si>
    <t>SHP0005432</t>
  </si>
  <si>
    <t>SHP0005433</t>
  </si>
  <si>
    <t>SHP0005434</t>
  </si>
  <si>
    <t>SHP0005435</t>
  </si>
  <si>
    <t>SHP0005436</t>
  </si>
  <si>
    <t>SHP0005437</t>
  </si>
  <si>
    <t>SHP0005438</t>
  </si>
  <si>
    <t>SHP0005439</t>
  </si>
  <si>
    <t>SHP0005440</t>
  </si>
  <si>
    <t>SHP0005441</t>
  </si>
  <si>
    <t>SHP0005442</t>
  </si>
  <si>
    <t>SHP0005443</t>
  </si>
  <si>
    <t>SHP0005444</t>
  </si>
  <si>
    <t>SHP0005445</t>
  </si>
  <si>
    <t>SHP0005446</t>
  </si>
  <si>
    <t>SHP0005447</t>
  </si>
  <si>
    <t>SHP0005448</t>
  </si>
  <si>
    <t>SHP0005449</t>
  </si>
  <si>
    <t>SHP0005450</t>
  </si>
  <si>
    <t>SHP0005451</t>
  </si>
  <si>
    <t>SHP0005452</t>
  </si>
  <si>
    <t>SHP0005453</t>
  </si>
  <si>
    <t>SHP0005454</t>
  </si>
  <si>
    <t>SHP0005455</t>
  </si>
  <si>
    <t>SHP0005456</t>
  </si>
  <si>
    <t>SHP0005457</t>
  </si>
  <si>
    <t>SHP0005458</t>
  </si>
  <si>
    <t>SHP0005459</t>
  </si>
  <si>
    <t>SHP0005460</t>
  </si>
  <si>
    <t>SHP0005461</t>
  </si>
  <si>
    <t>SHP0005462</t>
  </si>
  <si>
    <t>SHP0005463</t>
  </si>
  <si>
    <t>SHP0005464</t>
  </si>
  <si>
    <t>SHP0005465</t>
  </si>
  <si>
    <t>SHP0005466</t>
  </si>
  <si>
    <t>SHP0005467</t>
  </si>
  <si>
    <t>SHP0005468</t>
  </si>
  <si>
    <t>SHP0005469</t>
  </si>
  <si>
    <t>SHP0005470</t>
  </si>
  <si>
    <t>SHP0005471</t>
  </si>
  <si>
    <t>SHP0005472</t>
  </si>
  <si>
    <t>SHP0005473</t>
  </si>
  <si>
    <t>SHP0005474</t>
  </si>
  <si>
    <t>SHP0005475</t>
  </si>
  <si>
    <t>SHP0005476</t>
  </si>
  <si>
    <t>SHP0005477</t>
  </si>
  <si>
    <t>SHP0005478</t>
  </si>
  <si>
    <t>SHP0005479</t>
  </si>
  <si>
    <t>SHP0005480</t>
  </si>
  <si>
    <t>SHP0005481</t>
  </si>
  <si>
    <t>SHP0005482</t>
  </si>
  <si>
    <t>SHP0005483</t>
  </si>
  <si>
    <t>SHP0005484</t>
  </si>
  <si>
    <t>SHP0005485</t>
  </si>
  <si>
    <t>SHP0005486</t>
  </si>
  <si>
    <t>SHP0005487</t>
  </si>
  <si>
    <t>SHP0005488</t>
  </si>
  <si>
    <t>SHP0005489</t>
  </si>
  <si>
    <t>SHP0005490</t>
  </si>
  <si>
    <t>SHP0005491</t>
  </si>
  <si>
    <t>SHP0005492</t>
  </si>
  <si>
    <t>SHP0005493</t>
  </si>
  <si>
    <t>SHP0005494</t>
  </si>
  <si>
    <t>SHP0005495</t>
  </si>
  <si>
    <t>SHP0005496</t>
  </si>
  <si>
    <t>SHP0005497</t>
  </si>
  <si>
    <t>SHP0005498</t>
  </si>
  <si>
    <t>SHP0005499</t>
  </si>
  <si>
    <t>SHP0005500</t>
  </si>
  <si>
    <t>SHP0005501</t>
  </si>
  <si>
    <t>SHP0005502</t>
  </si>
  <si>
    <t>SHP0005503</t>
  </si>
  <si>
    <t>SHP0005504</t>
  </si>
  <si>
    <t>SHP0005505</t>
  </si>
  <si>
    <t>SHP0005506</t>
  </si>
  <si>
    <t>SHP0005507</t>
  </si>
  <si>
    <t>SHP0005508</t>
  </si>
  <si>
    <t>SHP0005509</t>
  </si>
  <si>
    <t>SHP0005510</t>
  </si>
  <si>
    <t>SHP0005511</t>
  </si>
  <si>
    <t>SHP0005512</t>
  </si>
  <si>
    <t>SHP0005513</t>
  </si>
  <si>
    <t>SHP0005514</t>
  </si>
  <si>
    <t>SHP0005515</t>
  </si>
  <si>
    <t>SHP0005516</t>
  </si>
  <si>
    <t>SHP0005517</t>
  </si>
  <si>
    <t>SHP0005518</t>
  </si>
  <si>
    <t>SHP0005519</t>
  </si>
  <si>
    <t>SHP0005520</t>
  </si>
  <si>
    <t>SHP0005521</t>
  </si>
  <si>
    <t>SHP0005522</t>
  </si>
  <si>
    <t>SHP0005523</t>
  </si>
  <si>
    <t>SHP0005524</t>
  </si>
  <si>
    <t>SHP0005525</t>
  </si>
  <si>
    <t>SHP0005526</t>
  </si>
  <si>
    <t>SHP0005527</t>
  </si>
  <si>
    <t>SHP0005528</t>
  </si>
  <si>
    <t>SHP0005529</t>
  </si>
  <si>
    <t>SHP0005530</t>
  </si>
  <si>
    <t>SHP0005531</t>
  </si>
  <si>
    <t>SHP0005532</t>
  </si>
  <si>
    <t>SHP0005533</t>
  </si>
  <si>
    <t>SHP0005534</t>
  </si>
  <si>
    <t>SHP0005535</t>
  </si>
  <si>
    <t>SHP0005536</t>
  </si>
  <si>
    <t>SHP0005537</t>
  </si>
  <si>
    <t>SHP0005538</t>
  </si>
  <si>
    <t>SHP0005539</t>
  </si>
  <si>
    <t>SHP0005540</t>
  </si>
  <si>
    <t>SHP0005541</t>
  </si>
  <si>
    <t>SHP0005542</t>
  </si>
  <si>
    <t>SHP0005543</t>
  </si>
  <si>
    <t>SHP0005544</t>
  </si>
  <si>
    <t>SHP0005545</t>
  </si>
  <si>
    <t>SHP0005546</t>
  </si>
  <si>
    <t>SHP0005547</t>
  </si>
  <si>
    <t>SHP0005548</t>
  </si>
  <si>
    <t>SHP0005549</t>
  </si>
  <si>
    <t>SHP0005550</t>
  </si>
  <si>
    <t>SHP0005551</t>
  </si>
  <si>
    <t>SHP0005552</t>
  </si>
  <si>
    <t>SHP0005553</t>
  </si>
  <si>
    <t>SHP0005554</t>
  </si>
  <si>
    <t>SHP0005555</t>
  </si>
  <si>
    <t>SHP0005556</t>
  </si>
  <si>
    <t>SHP0005557</t>
  </si>
  <si>
    <t>SHP0005558</t>
  </si>
  <si>
    <t>SHP0005559</t>
  </si>
  <si>
    <t>SHP0005560</t>
  </si>
  <si>
    <t>SHP0005561</t>
  </si>
  <si>
    <t>SHP0005562</t>
  </si>
  <si>
    <t>SHP0005563</t>
  </si>
  <si>
    <t>SHP0005564</t>
  </si>
  <si>
    <t>SHP0005565</t>
  </si>
  <si>
    <t>SHP0005566</t>
  </si>
  <si>
    <t>SHP0005567</t>
  </si>
  <si>
    <t>SHP0005568</t>
  </si>
  <si>
    <t>SHP0005569</t>
  </si>
  <si>
    <t>SHP0005570</t>
  </si>
  <si>
    <t>SHP0005571</t>
  </si>
  <si>
    <t>SHP0005572</t>
  </si>
  <si>
    <t>SHP0005573</t>
  </si>
  <si>
    <t>SHP0005574</t>
  </si>
  <si>
    <t>SHP0005575</t>
  </si>
  <si>
    <t>SHP0005576</t>
  </si>
  <si>
    <t>SHP0005577</t>
  </si>
  <si>
    <t>SHP0005578</t>
  </si>
  <si>
    <t>SHP0005579</t>
  </si>
  <si>
    <t>SHP0005580</t>
  </si>
  <si>
    <t>SHP0005581</t>
  </si>
  <si>
    <t>SHP0005582</t>
  </si>
  <si>
    <t>SHP0005583</t>
  </si>
  <si>
    <t>SHP0005584</t>
  </si>
  <si>
    <t>SHP0005585</t>
  </si>
  <si>
    <t>SHP0005586</t>
  </si>
  <si>
    <t>SHP0005587</t>
  </si>
  <si>
    <t>SHP0005588</t>
  </si>
  <si>
    <t>SHP0005589</t>
  </si>
  <si>
    <t>SHP0005590</t>
  </si>
  <si>
    <t>SHP0005591</t>
  </si>
  <si>
    <t>SHP0005592</t>
  </si>
  <si>
    <t>SHP0005593</t>
  </si>
  <si>
    <t>SHP0005594</t>
  </si>
  <si>
    <t>SHP0005595</t>
  </si>
  <si>
    <t>SHP0005596</t>
  </si>
  <si>
    <t>SHP0005597</t>
  </si>
  <si>
    <t>SHP0005598</t>
  </si>
  <si>
    <t>SHP0005599</t>
  </si>
  <si>
    <t>SHP0005600</t>
  </si>
  <si>
    <t>SHP0005601</t>
  </si>
  <si>
    <t>SHP0005602</t>
  </si>
  <si>
    <t>SHP0005603</t>
  </si>
  <si>
    <t>SHP0005604</t>
  </si>
  <si>
    <t>SHP0005605</t>
  </si>
  <si>
    <t>SHP0005606</t>
  </si>
  <si>
    <t>SHP0005607</t>
  </si>
  <si>
    <t>SHP0005608</t>
  </si>
  <si>
    <t>SHP0005609</t>
  </si>
  <si>
    <t>SHP0005610</t>
  </si>
  <si>
    <t>SHP0005611</t>
  </si>
  <si>
    <t>SHP0005612</t>
  </si>
  <si>
    <t>SHP0005613</t>
  </si>
  <si>
    <t>SHP0005614</t>
  </si>
  <si>
    <t>SHP0005615</t>
  </si>
  <si>
    <t>SHP0005616</t>
  </si>
  <si>
    <t>SHP0005617</t>
  </si>
  <si>
    <t>SHP0005618</t>
  </si>
  <si>
    <t>SHP0005619</t>
  </si>
  <si>
    <t>SHP0005620</t>
  </si>
  <si>
    <t>SHP0005621</t>
  </si>
  <si>
    <t>SHP0005622</t>
  </si>
  <si>
    <t>SHP0005623</t>
  </si>
  <si>
    <t>SHP0005624</t>
  </si>
  <si>
    <t>SHP0005625</t>
  </si>
  <si>
    <t>SHP0005626</t>
  </si>
  <si>
    <t>SHP0005627</t>
  </si>
  <si>
    <t>SHP0005628</t>
  </si>
  <si>
    <t>SHP0005629</t>
  </si>
  <si>
    <t>SHP0005630</t>
  </si>
  <si>
    <t>SHP0005631</t>
  </si>
  <si>
    <t>SHP0005632</t>
  </si>
  <si>
    <t>SHP0005633</t>
  </si>
  <si>
    <t>SHP0005634</t>
  </si>
  <si>
    <t>SHP0005635</t>
  </si>
  <si>
    <t>SHP0005636</t>
  </si>
  <si>
    <t>SHP0005637</t>
  </si>
  <si>
    <t>SHP0005638</t>
  </si>
  <si>
    <t>SHP0005639</t>
  </si>
  <si>
    <t>SHP0005640</t>
  </si>
  <si>
    <t>SHP0005641</t>
  </si>
  <si>
    <t>SHP0005642</t>
  </si>
  <si>
    <t>SHP0005643</t>
  </si>
  <si>
    <t>SHP0005644</t>
  </si>
  <si>
    <t>SHP0005645</t>
  </si>
  <si>
    <t>SHP0005646</t>
  </si>
  <si>
    <t>SHP0005647</t>
  </si>
  <si>
    <t>SHP0005648</t>
  </si>
  <si>
    <t>SHP0005649</t>
  </si>
  <si>
    <t>SHP0005650</t>
  </si>
  <si>
    <t>SHP0005651</t>
  </si>
  <si>
    <t>SHP0005652</t>
  </si>
  <si>
    <t>SHP0005653</t>
  </si>
  <si>
    <t>SHP0005654</t>
  </si>
  <si>
    <t>SHP0005655</t>
  </si>
  <si>
    <t>SHP0005656</t>
  </si>
  <si>
    <t>SHP0005657</t>
  </si>
  <si>
    <t>SHP0005658</t>
  </si>
  <si>
    <t>SHP0005659</t>
  </si>
  <si>
    <t>SHP0005660</t>
  </si>
  <si>
    <t>SHP0005661</t>
  </si>
  <si>
    <t>SHP0005662</t>
  </si>
  <si>
    <t>SHP0005663</t>
  </si>
  <si>
    <t>SHP0005664</t>
  </si>
  <si>
    <t>SHP0005665</t>
  </si>
  <si>
    <t>SHP0005666</t>
  </si>
  <si>
    <t>SHP0005667</t>
  </si>
  <si>
    <t>SHP0005668</t>
  </si>
  <si>
    <t>SHP0005669</t>
  </si>
  <si>
    <t>SHP0005670</t>
  </si>
  <si>
    <t>SHP0005671</t>
  </si>
  <si>
    <t>SHP0005672</t>
  </si>
  <si>
    <t>SHP0005673</t>
  </si>
  <si>
    <t>SHP0005674</t>
  </si>
  <si>
    <t>SHP0005675</t>
  </si>
  <si>
    <t>SHP0005676</t>
  </si>
  <si>
    <t>SHP0005677</t>
  </si>
  <si>
    <t>SHP0005678</t>
  </si>
  <si>
    <t>SHP0005679</t>
  </si>
  <si>
    <t>SHP0005680</t>
  </si>
  <si>
    <t>SHP0005681</t>
  </si>
  <si>
    <t>SHP0005682</t>
  </si>
  <si>
    <t>SHP0005683</t>
  </si>
  <si>
    <t>SHP0005684</t>
  </si>
  <si>
    <t>SHP0005685</t>
  </si>
  <si>
    <t>SHP0005686</t>
  </si>
  <si>
    <t>SHP0005687</t>
  </si>
  <si>
    <t>SHP0005688</t>
  </si>
  <si>
    <t>SHP0005689</t>
  </si>
  <si>
    <t>SHP0005690</t>
  </si>
  <si>
    <t>SHP0005691</t>
  </si>
  <si>
    <t>SHP0005692</t>
  </si>
  <si>
    <t>SHP0005693</t>
  </si>
  <si>
    <t>SHP0005694</t>
  </si>
  <si>
    <t>SHP0005695</t>
  </si>
  <si>
    <t>SHP0005696</t>
  </si>
  <si>
    <t>SHP0005697</t>
  </si>
  <si>
    <t>SHP0005698</t>
  </si>
  <si>
    <t>SHP0005699</t>
  </si>
  <si>
    <t>SHP0005700</t>
  </si>
  <si>
    <t>SHP0005701</t>
  </si>
  <si>
    <t>SHP0005702</t>
  </si>
  <si>
    <t>SHP0005703</t>
  </si>
  <si>
    <t>SHP0005704</t>
  </si>
  <si>
    <t>SHP0005705</t>
  </si>
  <si>
    <t>SHP0005706</t>
  </si>
  <si>
    <t>SHP0005707</t>
  </si>
  <si>
    <t>SHP0005708</t>
  </si>
  <si>
    <t>SHP0005709</t>
  </si>
  <si>
    <t>SHP0005710</t>
  </si>
  <si>
    <t>SHP0005711</t>
  </si>
  <si>
    <t>SHP0005712</t>
  </si>
  <si>
    <t>SHP0005713</t>
  </si>
  <si>
    <t>SHP0005714</t>
  </si>
  <si>
    <t>SHP0005715</t>
  </si>
  <si>
    <t>SHP0005716</t>
  </si>
  <si>
    <t>SHP0005717</t>
  </si>
  <si>
    <t>SHP0005718</t>
  </si>
  <si>
    <t>SHP0005719</t>
  </si>
  <si>
    <t>SHP0005720</t>
  </si>
  <si>
    <t>SHP0005721</t>
  </si>
  <si>
    <t>SHP0005722</t>
  </si>
  <si>
    <t>SHP0005723</t>
  </si>
  <si>
    <t>SHP0005724</t>
  </si>
  <si>
    <t>SHP0005725</t>
  </si>
  <si>
    <t>SHP0005726</t>
  </si>
  <si>
    <t>SHP0005727</t>
  </si>
  <si>
    <t>SHP0005728</t>
  </si>
  <si>
    <t>SHP0005729</t>
  </si>
  <si>
    <t>SHP0005730</t>
  </si>
  <si>
    <t>SHP0005731</t>
  </si>
  <si>
    <t>SHP0005732</t>
  </si>
  <si>
    <t>SHP0005733</t>
  </si>
  <si>
    <t>SHP0005734</t>
  </si>
  <si>
    <t>SHP0005735</t>
  </si>
  <si>
    <t>SHP0005736</t>
  </si>
  <si>
    <t>SHP0005737</t>
  </si>
  <si>
    <t>SHP0005738</t>
  </si>
  <si>
    <t>SHP0005739</t>
  </si>
  <si>
    <t>SHP0005740</t>
  </si>
  <si>
    <t>SHP0005741</t>
  </si>
  <si>
    <t>SHP0005742</t>
  </si>
  <si>
    <t>SHP0005743</t>
  </si>
  <si>
    <t>SHP0005744</t>
  </si>
  <si>
    <t>SHP0005745</t>
  </si>
  <si>
    <t>SHP0005746</t>
  </si>
  <si>
    <t>SHP0005747</t>
  </si>
  <si>
    <t>SHP0005748</t>
  </si>
  <si>
    <t>SHP0005749</t>
  </si>
  <si>
    <t>SHP0005750</t>
  </si>
  <si>
    <t>SHP0005751</t>
  </si>
  <si>
    <t>SHP0005752</t>
  </si>
  <si>
    <t>SHP0005753</t>
  </si>
  <si>
    <t>SHP0005754</t>
  </si>
  <si>
    <t>SHP0005755</t>
  </si>
  <si>
    <t>SHP0005756</t>
  </si>
  <si>
    <t>SHP0005757</t>
  </si>
  <si>
    <t>SHP0005758</t>
  </si>
  <si>
    <t>SHP0005759</t>
  </si>
  <si>
    <t>SHP0005760</t>
  </si>
  <si>
    <t>SHP0005761</t>
  </si>
  <si>
    <t>SHP0005762</t>
  </si>
  <si>
    <t>SHP0005763</t>
  </si>
  <si>
    <t>SHP0005764</t>
  </si>
  <si>
    <t>SHP0005765</t>
  </si>
  <si>
    <t>SHP0005766</t>
  </si>
  <si>
    <t>SHP0005767</t>
  </si>
  <si>
    <t>SHP0005768</t>
  </si>
  <si>
    <t>SHP0005769</t>
  </si>
  <si>
    <t>SHP0005770</t>
  </si>
  <si>
    <t>SHP0005771</t>
  </si>
  <si>
    <t>SHP0005772</t>
  </si>
  <si>
    <t>SHP0005773</t>
  </si>
  <si>
    <t>SHP0005774</t>
  </si>
  <si>
    <t>SHP0005775</t>
  </si>
  <si>
    <t>SHP0005776</t>
  </si>
  <si>
    <t>SHP0005777</t>
  </si>
  <si>
    <t>SHP0005778</t>
  </si>
  <si>
    <t>SHP0005779</t>
  </si>
  <si>
    <t>SHP0005780</t>
  </si>
  <si>
    <t>SHP0005781</t>
  </si>
  <si>
    <t>SHP0005782</t>
  </si>
  <si>
    <t>SHP0005783</t>
  </si>
  <si>
    <t>SHP0005784</t>
  </si>
  <si>
    <t>SHP0005785</t>
  </si>
  <si>
    <t>SHP0005786</t>
  </si>
  <si>
    <t>SHP0005787</t>
  </si>
  <si>
    <t>SHP0005788</t>
  </si>
  <si>
    <t>SHP0005789</t>
  </si>
  <si>
    <t>SHP0005790</t>
  </si>
  <si>
    <t>SHP0005791</t>
  </si>
  <si>
    <t>SHP0005792</t>
  </si>
  <si>
    <t>SHP0005793</t>
  </si>
  <si>
    <t>SHP0005794</t>
  </si>
  <si>
    <t>SHP0005795</t>
  </si>
  <si>
    <t>SHP0005796</t>
  </si>
  <si>
    <t>SHP0005797</t>
  </si>
  <si>
    <t>SHP0005798</t>
  </si>
  <si>
    <t>SHP0005799</t>
  </si>
  <si>
    <t>SHP0005800</t>
  </si>
  <si>
    <t>SHP0005801</t>
  </si>
  <si>
    <t>SHP0005802</t>
  </si>
  <si>
    <t>SHP0005803</t>
  </si>
  <si>
    <t>SHP0005804</t>
  </si>
  <si>
    <t>SHP0005805</t>
  </si>
  <si>
    <t>SHP0005806</t>
  </si>
  <si>
    <t>SHP0005807</t>
  </si>
  <si>
    <t>SHP0005808</t>
  </si>
  <si>
    <t>SHP0005809</t>
  </si>
  <si>
    <t>SHP0005810</t>
  </si>
  <si>
    <t>SHP0005811</t>
  </si>
  <si>
    <t>SHP0005812</t>
  </si>
  <si>
    <t>SHP0005813</t>
  </si>
  <si>
    <t>SHP0005814</t>
  </si>
  <si>
    <t>SHP0005815</t>
  </si>
  <si>
    <t>SHP0005816</t>
  </si>
  <si>
    <t>SHP0005817</t>
  </si>
  <si>
    <t>SHP0005818</t>
  </si>
  <si>
    <t>SHP0005819</t>
  </si>
  <si>
    <t>SHP0005820</t>
  </si>
  <si>
    <t>SHP0005821</t>
  </si>
  <si>
    <t>SHP0005822</t>
  </si>
  <si>
    <t>SHP0005823</t>
  </si>
  <si>
    <t>SHP0005824</t>
  </si>
  <si>
    <t>SHP0005825</t>
  </si>
  <si>
    <t>SHP0005826</t>
  </si>
  <si>
    <t>SHP0005827</t>
  </si>
  <si>
    <t>SHP0005828</t>
  </si>
  <si>
    <t>SHP0005829</t>
  </si>
  <si>
    <t>SHP0005830</t>
  </si>
  <si>
    <t>SHP0005831</t>
  </si>
  <si>
    <t>SHP0005832</t>
  </si>
  <si>
    <t>SHP0005833</t>
  </si>
  <si>
    <t>SHP0005834</t>
  </si>
  <si>
    <t>SHP0005835</t>
  </si>
  <si>
    <t>SHP0005836</t>
  </si>
  <si>
    <t>SHP0005837</t>
  </si>
  <si>
    <t>SHP0005838</t>
  </si>
  <si>
    <t>SHP0005839</t>
  </si>
  <si>
    <t>SHP0005840</t>
  </si>
  <si>
    <t>SHP0005841</t>
  </si>
  <si>
    <t>SHP0005842</t>
  </si>
  <si>
    <t>SHP0005843</t>
  </si>
  <si>
    <t>SHP0005844</t>
  </si>
  <si>
    <t>SHP0005845</t>
  </si>
  <si>
    <t>SHP0005846</t>
  </si>
  <si>
    <t>SHP0005847</t>
  </si>
  <si>
    <t>SHP0005848</t>
  </si>
  <si>
    <t>SHP0005849</t>
  </si>
  <si>
    <t>SHP0005850</t>
  </si>
  <si>
    <t>SHP0005851</t>
  </si>
  <si>
    <t>SHP0005852</t>
  </si>
  <si>
    <t>SHP0005853</t>
  </si>
  <si>
    <t>SHP0005854</t>
  </si>
  <si>
    <t>SHP0005855</t>
  </si>
  <si>
    <t>SHP0005856</t>
  </si>
  <si>
    <t>SHP0005857</t>
  </si>
  <si>
    <t>SHP0005858</t>
  </si>
  <si>
    <t>SHP0005859</t>
  </si>
  <si>
    <t>SHP0005860</t>
  </si>
  <si>
    <t>SHP0005861</t>
  </si>
  <si>
    <t>SHP0005862</t>
  </si>
  <si>
    <t>SHP0005863</t>
  </si>
  <si>
    <t>SHP0005864</t>
  </si>
  <si>
    <t>SHP0005865</t>
  </si>
  <si>
    <t>SHP0005866</t>
  </si>
  <si>
    <t>SHP0005867</t>
  </si>
  <si>
    <t>SHP0005868</t>
  </si>
  <si>
    <t>SHP0005869</t>
  </si>
  <si>
    <t>SHP0005870</t>
  </si>
  <si>
    <t>SHP0005871</t>
  </si>
  <si>
    <t>SHP0005872</t>
  </si>
  <si>
    <t>SHP0005873</t>
  </si>
  <si>
    <t>SHP0005874</t>
  </si>
  <si>
    <t>SHP0005875</t>
  </si>
  <si>
    <t>SHP0005876</t>
  </si>
  <si>
    <t>SHP0005877</t>
  </si>
  <si>
    <t>SHP0005878</t>
  </si>
  <si>
    <t>SHP0005879</t>
  </si>
  <si>
    <t>SHP0005880</t>
  </si>
  <si>
    <t>SHP0005881</t>
  </si>
  <si>
    <t>SHP0005882</t>
  </si>
  <si>
    <t>SHP0005883</t>
  </si>
  <si>
    <t>SHP0005884</t>
  </si>
  <si>
    <t>SHP0005885</t>
  </si>
  <si>
    <t>SHP0005886</t>
  </si>
  <si>
    <t>SHP0005887</t>
  </si>
  <si>
    <t>SHP0005888</t>
  </si>
  <si>
    <t>SHP0005889</t>
  </si>
  <si>
    <t>SHP0005890</t>
  </si>
  <si>
    <t>SHP0005891</t>
  </si>
  <si>
    <t>SHP0005892</t>
  </si>
  <si>
    <t>SHP0005893</t>
  </si>
  <si>
    <t>SHP0005894</t>
  </si>
  <si>
    <t>SHP0005895</t>
  </si>
  <si>
    <t>SHP0005896</t>
  </si>
  <si>
    <t>SHP0005897</t>
  </si>
  <si>
    <t>SHP0005898</t>
  </si>
  <si>
    <t>SHP0005899</t>
  </si>
  <si>
    <t>SHP0005900</t>
  </si>
  <si>
    <t>SHP0005901</t>
  </si>
  <si>
    <t>SHP0005902</t>
  </si>
  <si>
    <t>SHP0005903</t>
  </si>
  <si>
    <t>SHP0005904</t>
  </si>
  <si>
    <t>SHP0005905</t>
  </si>
  <si>
    <t>SHP0005906</t>
  </si>
  <si>
    <t>SHP0005907</t>
  </si>
  <si>
    <t>SHP0005908</t>
  </si>
  <si>
    <t>SHP0005909</t>
  </si>
  <si>
    <t>SHP0005910</t>
  </si>
  <si>
    <t>SHP0005911</t>
  </si>
  <si>
    <t>SHP0005912</t>
  </si>
  <si>
    <t>SHP0005913</t>
  </si>
  <si>
    <t>SHP0005914</t>
  </si>
  <si>
    <t>SHP0005915</t>
  </si>
  <si>
    <t>SHP0005916</t>
  </si>
  <si>
    <t>SHP0005917</t>
  </si>
  <si>
    <t>SHP0005918</t>
  </si>
  <si>
    <t>SHP0005919</t>
  </si>
  <si>
    <t>SHP0005920</t>
  </si>
  <si>
    <t>SHP0005921</t>
  </si>
  <si>
    <t>SHP0005922</t>
  </si>
  <si>
    <t>SHP0005923</t>
  </si>
  <si>
    <t>SHP0005924</t>
  </si>
  <si>
    <t>SHP0005925</t>
  </si>
  <si>
    <t>SHP0005926</t>
  </si>
  <si>
    <t>SHP0005927</t>
  </si>
  <si>
    <t>SHP0005928</t>
  </si>
  <si>
    <t>SHP0005929</t>
  </si>
  <si>
    <t>SHP0005930</t>
  </si>
  <si>
    <t>SHP0005931</t>
  </si>
  <si>
    <t>SHP0005932</t>
  </si>
  <si>
    <t>SHP0005933</t>
  </si>
  <si>
    <t>SHP0005934</t>
  </si>
  <si>
    <t>SHP0005935</t>
  </si>
  <si>
    <t>SHP0005936</t>
  </si>
  <si>
    <t>SHP0005937</t>
  </si>
  <si>
    <t>SHP0005938</t>
  </si>
  <si>
    <t>SHP0005939</t>
  </si>
  <si>
    <t>SHP0005940</t>
  </si>
  <si>
    <t>SHP0005941</t>
  </si>
  <si>
    <t>SHP0005942</t>
  </si>
  <si>
    <t>SHP0005943</t>
  </si>
  <si>
    <t>SHP0005944</t>
  </si>
  <si>
    <t>SHP0005945</t>
  </si>
  <si>
    <t>SHP0005946</t>
  </si>
  <si>
    <t>SHP0005947</t>
  </si>
  <si>
    <t>SHP0005948</t>
  </si>
  <si>
    <t>SHP0005949</t>
  </si>
  <si>
    <t>SHP0005950</t>
  </si>
  <si>
    <t>SHP0005951</t>
  </si>
  <si>
    <t>SHP0005952</t>
  </si>
  <si>
    <t>SHP0005953</t>
  </si>
  <si>
    <t>SHP0005954</t>
  </si>
  <si>
    <t>SHP0005955</t>
  </si>
  <si>
    <t>SHP0005956</t>
  </si>
  <si>
    <t>SHP0005957</t>
  </si>
  <si>
    <t>SHP0005958</t>
  </si>
  <si>
    <t>SHP0005959</t>
  </si>
  <si>
    <t>SHP0005960</t>
  </si>
  <si>
    <t>SHP0005961</t>
  </si>
  <si>
    <t>SHP0005962</t>
  </si>
  <si>
    <t>SHP0005963</t>
  </si>
  <si>
    <t>SHP0005964</t>
  </si>
  <si>
    <t>SHP0005965</t>
  </si>
  <si>
    <t>SHP0005966</t>
  </si>
  <si>
    <t>SHP0005967</t>
  </si>
  <si>
    <t>SHP0005968</t>
  </si>
  <si>
    <t>SHP0005969</t>
  </si>
  <si>
    <t>SHP0005970</t>
  </si>
  <si>
    <t>SHP0005971</t>
  </si>
  <si>
    <t>SHP0005972</t>
  </si>
  <si>
    <t>SHP0005973</t>
  </si>
  <si>
    <t>SHP0005974</t>
  </si>
  <si>
    <t>SHP0005975</t>
  </si>
  <si>
    <t>SHP0005976</t>
  </si>
  <si>
    <t>SHP0005977</t>
  </si>
  <si>
    <t>SHP0005978</t>
  </si>
  <si>
    <t>SHP0005979</t>
  </si>
  <si>
    <t>SHP0005980</t>
  </si>
  <si>
    <t>SHP0005981</t>
  </si>
  <si>
    <t>SHP0005982</t>
  </si>
  <si>
    <t>SHP0005983</t>
  </si>
  <si>
    <t>SHP0005984</t>
  </si>
  <si>
    <t>SHP0005985</t>
  </si>
  <si>
    <t>SHP0005986</t>
  </si>
  <si>
    <t>SHP0005987</t>
  </si>
  <si>
    <t>SHP0005988</t>
  </si>
  <si>
    <t>SHP0005989</t>
  </si>
  <si>
    <t>SHP0005990</t>
  </si>
  <si>
    <t>SHP0005991</t>
  </si>
  <si>
    <t>SHP0005992</t>
  </si>
  <si>
    <t>SHP0005993</t>
  </si>
  <si>
    <t>SHP0005994</t>
  </si>
  <si>
    <t>SHP0005995</t>
  </si>
  <si>
    <t>SHP0005996</t>
  </si>
  <si>
    <t>SHP0005997</t>
  </si>
  <si>
    <t>SHP0005998</t>
  </si>
  <si>
    <t>SHP0005999</t>
  </si>
  <si>
    <t>SHP0006000</t>
  </si>
  <si>
    <t>SHP0006001</t>
  </si>
  <si>
    <t>SHP0006002</t>
  </si>
  <si>
    <t>SHP0006003</t>
  </si>
  <si>
    <t>SHP0006004</t>
  </si>
  <si>
    <t>SHP0006005</t>
  </si>
  <si>
    <t>SHP0006006</t>
  </si>
  <si>
    <t>SHP0006007</t>
  </si>
  <si>
    <t>SHP0006008</t>
  </si>
  <si>
    <t>SHP0006009</t>
  </si>
  <si>
    <t>SHP0006010</t>
  </si>
  <si>
    <t>SHP0006011</t>
  </si>
  <si>
    <t>SHP0006012</t>
  </si>
  <si>
    <t>SHP0006013</t>
  </si>
  <si>
    <t>SHP0006014</t>
  </si>
  <si>
    <t>SHP0006015</t>
  </si>
  <si>
    <t>SHP0006016</t>
  </si>
  <si>
    <t>SHP0006017</t>
  </si>
  <si>
    <t>SHP0006018</t>
  </si>
  <si>
    <t>SHP0006019</t>
  </si>
  <si>
    <t>SHP0006020</t>
  </si>
  <si>
    <t>SHP0006021</t>
  </si>
  <si>
    <t>SHP0006022</t>
  </si>
  <si>
    <t>SHP0006023</t>
  </si>
  <si>
    <t>SHP0006024</t>
  </si>
  <si>
    <t>SHP0006025</t>
  </si>
  <si>
    <t>SHP0006026</t>
  </si>
  <si>
    <t>SHP0006027</t>
  </si>
  <si>
    <t>SHP0006028</t>
  </si>
  <si>
    <t>SHP0006029</t>
  </si>
  <si>
    <t>SHP0006030</t>
  </si>
  <si>
    <t>SHP0006031</t>
  </si>
  <si>
    <t>SHP0006032</t>
  </si>
  <si>
    <t>SHP0006033</t>
  </si>
  <si>
    <t>SHP0006034</t>
  </si>
  <si>
    <t>SHP0006035</t>
  </si>
  <si>
    <t>SHP0006036</t>
  </si>
  <si>
    <t>SHP0006037</t>
  </si>
  <si>
    <t>SHP0006038</t>
  </si>
  <si>
    <t>SHP0006039</t>
  </si>
  <si>
    <t>SHP0006040</t>
  </si>
  <si>
    <t>SHP0006041</t>
  </si>
  <si>
    <t>SHP0006042</t>
  </si>
  <si>
    <t>SHP0006043</t>
  </si>
  <si>
    <t>SHP0006044</t>
  </si>
  <si>
    <t>SHP0006045</t>
  </si>
  <si>
    <t>SHP0006046</t>
  </si>
  <si>
    <t>SHP0006047</t>
  </si>
  <si>
    <t>SHP0006048</t>
  </si>
  <si>
    <t>SHP0006049</t>
  </si>
  <si>
    <t>SHP0006050</t>
  </si>
  <si>
    <t>SHP0006051</t>
  </si>
  <si>
    <t>SHP0006052</t>
  </si>
  <si>
    <t>SHP0006053</t>
  </si>
  <si>
    <t>SHP0006054</t>
  </si>
  <si>
    <t>SHP0006055</t>
  </si>
  <si>
    <t>SHP0006056</t>
  </si>
  <si>
    <t>SHP0006057</t>
  </si>
  <si>
    <t>SHP0006058</t>
  </si>
  <si>
    <t>SHP0006059</t>
  </si>
  <si>
    <t>SHP0006060</t>
  </si>
  <si>
    <t>SHP0006061</t>
  </si>
  <si>
    <t>SHP0006062</t>
  </si>
  <si>
    <t>SHP0006063</t>
  </si>
  <si>
    <t>SHP0006064</t>
  </si>
  <si>
    <t>SHP0006065</t>
  </si>
  <si>
    <t>SHP0006066</t>
  </si>
  <si>
    <t>SHP0006067</t>
  </si>
  <si>
    <t>SHP0006068</t>
  </si>
  <si>
    <t>SHP0006069</t>
  </si>
  <si>
    <t>SHP0006070</t>
  </si>
  <si>
    <t>SHP0006071</t>
  </si>
  <si>
    <t>SHP0006072</t>
  </si>
  <si>
    <t>SHP0006073</t>
  </si>
  <si>
    <t>SHP0006074</t>
  </si>
  <si>
    <t>SHP0006075</t>
  </si>
  <si>
    <t>SHP0006076</t>
  </si>
  <si>
    <t>SHP0006077</t>
  </si>
  <si>
    <t>SHP0006078</t>
  </si>
  <si>
    <t>SHP0006079</t>
  </si>
  <si>
    <t>SHP0006080</t>
  </si>
  <si>
    <t>SHP0006081</t>
  </si>
  <si>
    <t>SHP0006082</t>
  </si>
  <si>
    <t>SHP0006083</t>
  </si>
  <si>
    <t>SHP0006084</t>
  </si>
  <si>
    <t>SHP0006085</t>
  </si>
  <si>
    <t>SHP0006086</t>
  </si>
  <si>
    <t>SHP0006087</t>
  </si>
  <si>
    <t>SHP0006088</t>
  </si>
  <si>
    <t>SHP0006089</t>
  </si>
  <si>
    <t>SHP0006090</t>
  </si>
  <si>
    <t>SHP0006091</t>
  </si>
  <si>
    <t>SHP0006092</t>
  </si>
  <si>
    <t>SHP0006093</t>
  </si>
  <si>
    <t>SHP0006094</t>
  </si>
  <si>
    <t>SHP0006095</t>
  </si>
  <si>
    <t>SHP0006096</t>
  </si>
  <si>
    <t>SHP0006097</t>
  </si>
  <si>
    <t>SHP0006098</t>
  </si>
  <si>
    <t>SHP0006099</t>
  </si>
  <si>
    <t>SHP0006100</t>
  </si>
  <si>
    <t>SHP0006101</t>
  </si>
  <si>
    <t>SHP0006102</t>
  </si>
  <si>
    <t>SHP0006103</t>
  </si>
  <si>
    <t>SHP0006104</t>
  </si>
  <si>
    <t>SHP0006105</t>
  </si>
  <si>
    <t>SHP0006106</t>
  </si>
  <si>
    <t>SHP0006107</t>
  </si>
  <si>
    <t>SHP0006108</t>
  </si>
  <si>
    <t>SHP0006109</t>
  </si>
  <si>
    <t>SHP0006110</t>
  </si>
  <si>
    <t>SHP0006111</t>
  </si>
  <si>
    <t>SHP0006112</t>
  </si>
  <si>
    <t>SHP0006113</t>
  </si>
  <si>
    <t>SHP0006114</t>
  </si>
  <si>
    <t>SHP0006115</t>
  </si>
  <si>
    <t>SHP0006116</t>
  </si>
  <si>
    <t>SHP0006117</t>
  </si>
  <si>
    <t>SHP0006118</t>
  </si>
  <si>
    <t>SHP0006119</t>
  </si>
  <si>
    <t>SHP0006120</t>
  </si>
  <si>
    <t>SHP0006121</t>
  </si>
  <si>
    <t>SHP0006122</t>
  </si>
  <si>
    <t>SHP0006123</t>
  </si>
  <si>
    <t>SHP0006124</t>
  </si>
  <si>
    <t>SHP0006125</t>
  </si>
  <si>
    <t>SHP0006126</t>
  </si>
  <si>
    <t>SHP0006127</t>
  </si>
  <si>
    <t>SHP0006128</t>
  </si>
  <si>
    <t>SHP0006129</t>
  </si>
  <si>
    <t>SHP0006130</t>
  </si>
  <si>
    <t>SHP0006131</t>
  </si>
  <si>
    <t>SHP0006132</t>
  </si>
  <si>
    <t>SHP0006133</t>
  </si>
  <si>
    <t>SHP0006134</t>
  </si>
  <si>
    <t>SHP0006135</t>
  </si>
  <si>
    <t>SHP0006136</t>
  </si>
  <si>
    <t>SHP0006137</t>
  </si>
  <si>
    <t>SHP0006138</t>
  </si>
  <si>
    <t>SHP0006139</t>
  </si>
  <si>
    <t>SHP0006140</t>
  </si>
  <si>
    <t>SHP0006141</t>
  </si>
  <si>
    <t>SHP0006142</t>
  </si>
  <si>
    <t>SHP0006143</t>
  </si>
  <si>
    <t>SHP0006144</t>
  </si>
  <si>
    <t>SHP0006145</t>
  </si>
  <si>
    <t>SHP0006146</t>
  </si>
  <si>
    <t>SHP0006147</t>
  </si>
  <si>
    <t>SHP0006148</t>
  </si>
  <si>
    <t>SHP0006149</t>
  </si>
  <si>
    <t>SHP0006150</t>
  </si>
  <si>
    <t>SHP0006151</t>
  </si>
  <si>
    <t>SHP0006152</t>
  </si>
  <si>
    <t>SHP0006153</t>
  </si>
  <si>
    <t>SHP0006154</t>
  </si>
  <si>
    <t>SHP0006155</t>
  </si>
  <si>
    <t>SHP0006156</t>
  </si>
  <si>
    <t>SHP0006157</t>
  </si>
  <si>
    <t>SHP0006158</t>
  </si>
  <si>
    <t>SHP0006159</t>
  </si>
  <si>
    <t>SHP0006160</t>
  </si>
  <si>
    <t>SHP0006161</t>
  </si>
  <si>
    <t>SHP0006162</t>
  </si>
  <si>
    <t>SHP0006163</t>
  </si>
  <si>
    <t>SHP0006164</t>
  </si>
  <si>
    <t>SHP0006165</t>
  </si>
  <si>
    <t>SHP0006166</t>
  </si>
  <si>
    <t>SHP0006167</t>
  </si>
  <si>
    <t>SHP0006168</t>
  </si>
  <si>
    <t>SHP0006169</t>
  </si>
  <si>
    <t>SHP0006170</t>
  </si>
  <si>
    <t>SHP0006171</t>
  </si>
  <si>
    <t>SHP0006172</t>
  </si>
  <si>
    <t>SHP0006173</t>
  </si>
  <si>
    <t>SHP0006174</t>
  </si>
  <si>
    <t>SHP0006175</t>
  </si>
  <si>
    <t>SHP0006176</t>
  </si>
  <si>
    <t>SHP0006177</t>
  </si>
  <si>
    <t>SHP0006178</t>
  </si>
  <si>
    <t>SHP0006179</t>
  </si>
  <si>
    <t>SHP0006180</t>
  </si>
  <si>
    <t>SHP0006181</t>
  </si>
  <si>
    <t>SHP0006182</t>
  </si>
  <si>
    <t>SHP0006183</t>
  </si>
  <si>
    <t>SHP0006184</t>
  </si>
  <si>
    <t>SHP0006185</t>
  </si>
  <si>
    <t>SHP0006186</t>
  </si>
  <si>
    <t>SHP0006187</t>
  </si>
  <si>
    <t>SHP0006188</t>
  </si>
  <si>
    <t>SHP0006189</t>
  </si>
  <si>
    <t>SHP0006190</t>
  </si>
  <si>
    <t>SHP0006191</t>
  </si>
  <si>
    <t>SHP0006192</t>
  </si>
  <si>
    <t>SHP0006193</t>
  </si>
  <si>
    <t>SHP0006194</t>
  </si>
  <si>
    <t>SHP0006195</t>
  </si>
  <si>
    <t>SHP0006196</t>
  </si>
  <si>
    <t>SHP0006197</t>
  </si>
  <si>
    <t>SHP0006198</t>
  </si>
  <si>
    <t>SHP0006199</t>
  </si>
  <si>
    <t>SHP0006200</t>
  </si>
  <si>
    <t>SHP0006201</t>
  </si>
  <si>
    <t>SHP0006202</t>
  </si>
  <si>
    <t>SHP0006203</t>
  </si>
  <si>
    <t>SHP0006204</t>
  </si>
  <si>
    <t>SHP0006205</t>
  </si>
  <si>
    <t>SHP0006206</t>
  </si>
  <si>
    <t>SHP0006207</t>
  </si>
  <si>
    <t>SHP0006208</t>
  </si>
  <si>
    <t>SHP0006209</t>
  </si>
  <si>
    <t>SHP0006210</t>
  </si>
  <si>
    <t>SHP0006211</t>
  </si>
  <si>
    <t>SHP0006212</t>
  </si>
  <si>
    <t>SHP0006213</t>
  </si>
  <si>
    <t>SHP0006214</t>
  </si>
  <si>
    <t>SHP0006215</t>
  </si>
  <si>
    <t>SHP0006216</t>
  </si>
  <si>
    <t>SHP0006217</t>
  </si>
  <si>
    <t>SHP0006218</t>
  </si>
  <si>
    <t>SHP0006219</t>
  </si>
  <si>
    <t>SHP0006220</t>
  </si>
  <si>
    <t>SHP0006221</t>
  </si>
  <si>
    <t>SHP0006222</t>
  </si>
  <si>
    <t>SHP0006223</t>
  </si>
  <si>
    <t>SHP0006224</t>
  </si>
  <si>
    <t>SHP0006225</t>
  </si>
  <si>
    <t>SHP0006226</t>
  </si>
  <si>
    <t>SHP0006227</t>
  </si>
  <si>
    <t>SHP0006228</t>
  </si>
  <si>
    <t>SHP0006229</t>
  </si>
  <si>
    <t>SHP0006230</t>
  </si>
  <si>
    <t>SHP0006231</t>
  </si>
  <si>
    <t>SHP0006232</t>
  </si>
  <si>
    <t>SHP0006233</t>
  </si>
  <si>
    <t>SHP0006234</t>
  </si>
  <si>
    <t>SHP0006235</t>
  </si>
  <si>
    <t>SHP0006236</t>
  </si>
  <si>
    <t>SHP0006237</t>
  </si>
  <si>
    <t>SHP0006238</t>
  </si>
  <si>
    <t>SHP0006239</t>
  </si>
  <si>
    <t>SHP0006240</t>
  </si>
  <si>
    <t>SHP0006241</t>
  </si>
  <si>
    <t>SHP0006242</t>
  </si>
  <si>
    <t>SHP0006243</t>
  </si>
  <si>
    <t>SHP0006244</t>
  </si>
  <si>
    <t>SHP0006245</t>
  </si>
  <si>
    <t>SHP0006246</t>
  </si>
  <si>
    <t>SHP0006247</t>
  </si>
  <si>
    <t>SHP0006248</t>
  </si>
  <si>
    <t>SHP0006249</t>
  </si>
  <si>
    <t>SHP0006250</t>
  </si>
  <si>
    <t>SHP0006251</t>
  </si>
  <si>
    <t>SHP0006252</t>
  </si>
  <si>
    <t>SHP0006253</t>
  </si>
  <si>
    <t>SHP0006254</t>
  </si>
  <si>
    <t>SHP0006255</t>
  </si>
  <si>
    <t>SHP0006256</t>
  </si>
  <si>
    <t>SHP0006257</t>
  </si>
  <si>
    <t>SHP0006258</t>
  </si>
  <si>
    <t>SHP0006259</t>
  </si>
  <si>
    <t>SHP0006260</t>
  </si>
  <si>
    <t>SHP0006261</t>
  </si>
  <si>
    <t>SHP0006262</t>
  </si>
  <si>
    <t>SHP0006263</t>
  </si>
  <si>
    <t>SHP0006264</t>
  </si>
  <si>
    <t>SHP0006265</t>
  </si>
  <si>
    <t>SHP0006266</t>
  </si>
  <si>
    <t>SHP0006267</t>
  </si>
  <si>
    <t>SHP0006268</t>
  </si>
  <si>
    <t>SHP0006269</t>
  </si>
  <si>
    <t>SHP0006270</t>
  </si>
  <si>
    <t>SHP0006271</t>
  </si>
  <si>
    <t>SHP0006272</t>
  </si>
  <si>
    <t>SHP0006273</t>
  </si>
  <si>
    <t>SHP0006274</t>
  </si>
  <si>
    <t>SHP0006275</t>
  </si>
  <si>
    <t>SHP0006276</t>
  </si>
  <si>
    <t>SHP0006277</t>
  </si>
  <si>
    <t>SHP0006278</t>
  </si>
  <si>
    <t>SHP0006279</t>
  </si>
  <si>
    <t>SHP0006280</t>
  </si>
  <si>
    <t>SHP0006281</t>
  </si>
  <si>
    <t>SHP0006282</t>
  </si>
  <si>
    <t>SHP0006283</t>
  </si>
  <si>
    <t>SHP0006284</t>
  </si>
  <si>
    <t>SHP0006285</t>
  </si>
  <si>
    <t>SHP0006286</t>
  </si>
  <si>
    <t>SHP0006287</t>
  </si>
  <si>
    <t>SHP0006288</t>
  </si>
  <si>
    <t>SHP0006289</t>
  </si>
  <si>
    <t>SHP0006290</t>
  </si>
  <si>
    <t>SHP0006291</t>
  </si>
  <si>
    <t>SHP0006292</t>
  </si>
  <si>
    <t>SHP0006293</t>
  </si>
  <si>
    <t>SHP0006294</t>
  </si>
  <si>
    <t>SHP0006295</t>
  </si>
  <si>
    <t>SHP0006296</t>
  </si>
  <si>
    <t>SHP0006297</t>
  </si>
  <si>
    <t>SHP0006298</t>
  </si>
  <si>
    <t>SHP0006299</t>
  </si>
  <si>
    <t>SHP0006300</t>
  </si>
  <si>
    <t>SHP0006301</t>
  </si>
  <si>
    <t>SHP0006302</t>
  </si>
  <si>
    <t>SHP0006303</t>
  </si>
  <si>
    <t>SHP0006304</t>
  </si>
  <si>
    <t>SHP0006305</t>
  </si>
  <si>
    <t>SHP0006306</t>
  </si>
  <si>
    <t>SHP0006307</t>
  </si>
  <si>
    <t>SHP0006308</t>
  </si>
  <si>
    <t>SHP0006309</t>
  </si>
  <si>
    <t>SHP0006310</t>
  </si>
  <si>
    <t>SHP0006311</t>
  </si>
  <si>
    <t>SHP0006312</t>
  </si>
  <si>
    <t>SHP0006313</t>
  </si>
  <si>
    <t>SHP0006314</t>
  </si>
  <si>
    <t>SHP0006315</t>
  </si>
  <si>
    <t>SHP0006316</t>
  </si>
  <si>
    <t>SHP0006317</t>
  </si>
  <si>
    <t>SHP0006318</t>
  </si>
  <si>
    <t>SHP0006319</t>
  </si>
  <si>
    <t>SHP0006320</t>
  </si>
  <si>
    <t>SHP0006321</t>
  </si>
  <si>
    <t>SHP0006322</t>
  </si>
  <si>
    <t>SHP0006323</t>
  </si>
  <si>
    <t>SHP0006324</t>
  </si>
  <si>
    <t>SHP0006325</t>
  </si>
  <si>
    <t>SHP0006326</t>
  </si>
  <si>
    <t>SHP0006327</t>
  </si>
  <si>
    <t>SHP0006328</t>
  </si>
  <si>
    <t>SHP0006329</t>
  </si>
  <si>
    <t>SHP0006330</t>
  </si>
  <si>
    <t>SHP0006331</t>
  </si>
  <si>
    <t>SHP0006332</t>
  </si>
  <si>
    <t>SHP0006333</t>
  </si>
  <si>
    <t>SHP0006334</t>
  </si>
  <si>
    <t>SHP0006335</t>
  </si>
  <si>
    <t>SHP0006336</t>
  </si>
  <si>
    <t>SHP0006337</t>
  </si>
  <si>
    <t>SHP0006338</t>
  </si>
  <si>
    <t>SHP0006339</t>
  </si>
  <si>
    <t>SHP0006340</t>
  </si>
  <si>
    <t>SHP0006341</t>
  </si>
  <si>
    <t>SHP0006342</t>
  </si>
  <si>
    <t>SHP0006343</t>
  </si>
  <si>
    <t>SHP0006344</t>
  </si>
  <si>
    <t>SHP0006345</t>
  </si>
  <si>
    <t>SHP0006346</t>
  </si>
  <si>
    <t>SHP0006347</t>
  </si>
  <si>
    <t>SHP0006348</t>
  </si>
  <si>
    <t>SHP0006349</t>
  </si>
  <si>
    <t>SHP0006350</t>
  </si>
  <si>
    <t>SHP0006351</t>
  </si>
  <si>
    <t>SHP0006352</t>
  </si>
  <si>
    <t>SHP0006353</t>
  </si>
  <si>
    <t>SHP0006354</t>
  </si>
  <si>
    <t>SHP0006355</t>
  </si>
  <si>
    <t>SHP0006356</t>
  </si>
  <si>
    <t>SHP0006357</t>
  </si>
  <si>
    <t>SHP0006358</t>
  </si>
  <si>
    <t>SHP0006359</t>
  </si>
  <si>
    <t>SHP0006360</t>
  </si>
  <si>
    <t>SHP0006361</t>
  </si>
  <si>
    <t>SHP0006362</t>
  </si>
  <si>
    <t>SHP0006363</t>
  </si>
  <si>
    <t>SHP0006364</t>
  </si>
  <si>
    <t>SHP0006365</t>
  </si>
  <si>
    <t>SHP0006366</t>
  </si>
  <si>
    <t>SHP0006367</t>
  </si>
  <si>
    <t>SHP0006368</t>
  </si>
  <si>
    <t>SHP0006369</t>
  </si>
  <si>
    <t>SHP0006370</t>
  </si>
  <si>
    <t>SHP0006371</t>
  </si>
  <si>
    <t>SHP0006372</t>
  </si>
  <si>
    <t>SHP0006373</t>
  </si>
  <si>
    <t>SHP0006374</t>
  </si>
  <si>
    <t>SHP0006375</t>
  </si>
  <si>
    <t>order_date</t>
  </si>
  <si>
    <t>order_priority</t>
  </si>
  <si>
    <t>region</t>
  </si>
  <si>
    <t>Economy</t>
  </si>
  <si>
    <t>Standard</t>
  </si>
  <si>
    <t>Express</t>
  </si>
  <si>
    <t>standard</t>
  </si>
  <si>
    <t>EXPRESS</t>
  </si>
  <si>
    <t>same day</t>
  </si>
  <si>
    <t>Same Day</t>
  </si>
  <si>
    <t>STANDARD</t>
  </si>
  <si>
    <t>SAME DAY</t>
  </si>
  <si>
    <t>economy</t>
  </si>
  <si>
    <t>express</t>
  </si>
  <si>
    <t>C0344</t>
  </si>
  <si>
    <t>ECONOMY</t>
  </si>
  <si>
    <t>C0315</t>
  </si>
  <si>
    <t>C0301</t>
  </si>
  <si>
    <t>C0314</t>
  </si>
  <si>
    <t>C0334</t>
  </si>
  <si>
    <t>C0348</t>
  </si>
  <si>
    <t>C0311</t>
  </si>
  <si>
    <t>C0328</t>
  </si>
  <si>
    <t>C0349</t>
  </si>
  <si>
    <t>C0345</t>
  </si>
  <si>
    <t>C0329</t>
  </si>
  <si>
    <t>C0304</t>
  </si>
  <si>
    <t>C0326</t>
  </si>
  <si>
    <t>C0316</t>
  </si>
  <si>
    <t>C0350</t>
  </si>
  <si>
    <t>C0318</t>
  </si>
  <si>
    <t>C0306</t>
  </si>
  <si>
    <t>C0302</t>
  </si>
  <si>
    <t>C0319</t>
  </si>
  <si>
    <t>C0317</t>
  </si>
  <si>
    <t>C0335</t>
  </si>
  <si>
    <t>C0343</t>
  </si>
  <si>
    <t>C0325</t>
  </si>
  <si>
    <t>C0340</t>
  </si>
  <si>
    <t>C0313</t>
  </si>
  <si>
    <t>C0341</t>
  </si>
  <si>
    <t>C0347</t>
  </si>
  <si>
    <t>C0303</t>
  </si>
  <si>
    <t>C0310</t>
  </si>
  <si>
    <t>C0336</t>
  </si>
  <si>
    <t>C0305</t>
  </si>
  <si>
    <t>C0320</t>
  </si>
  <si>
    <t>C0309</t>
  </si>
  <si>
    <t>C0331</t>
  </si>
  <si>
    <t>Table</t>
  </si>
  <si>
    <t>Field</t>
  </si>
  <si>
    <t>Issue</t>
  </si>
  <si>
    <t>Count</t>
  </si>
  <si>
    <t xml:space="preserve">Formular used </t>
  </si>
  <si>
    <t>Raw_Order</t>
  </si>
  <si>
    <t>Customer_ID</t>
  </si>
  <si>
    <t>Blanks</t>
  </si>
  <si>
    <t>COUNTBLANK</t>
  </si>
  <si>
    <t>Raw_Shipment</t>
  </si>
  <si>
    <t>Carrier</t>
  </si>
  <si>
    <t>Shiping_cost_eur</t>
  </si>
  <si>
    <t>Region</t>
  </si>
  <si>
    <t>Delivery_status</t>
  </si>
  <si>
    <t>Inconsistent Casing (DELIVERED)</t>
  </si>
  <si>
    <t>Inconsistent Casing(Delivered)</t>
  </si>
  <si>
    <t>Blank</t>
  </si>
  <si>
    <t>Inconsistent Casing (STANDARD)</t>
  </si>
  <si>
    <t>SUMPRODUCT, EXACT</t>
  </si>
  <si>
    <t>Inconsistent Casing(delivered)</t>
  </si>
  <si>
    <t>Inconsistent Casing (Standard)</t>
  </si>
  <si>
    <t>Inconsistent Casing (standard)</t>
  </si>
  <si>
    <t>Inconsistent casing occurs across other colums too in diffrent tables and fileds</t>
  </si>
  <si>
    <t>Clean_Order_Priority</t>
  </si>
  <si>
    <t>Cleaned_delivery_status</t>
  </si>
  <si>
    <t>Country</t>
  </si>
  <si>
    <t>Nordics</t>
  </si>
  <si>
    <t>Baltics</t>
  </si>
  <si>
    <t>Central Europe</t>
  </si>
  <si>
    <t>Customer_Country</t>
  </si>
  <si>
    <t>Derived_Region</t>
  </si>
  <si>
    <t>Delivery_Performance</t>
  </si>
  <si>
    <t>Total Delivered</t>
  </si>
  <si>
    <t>On Time</t>
  </si>
  <si>
    <t>Late</t>
  </si>
  <si>
    <t>POSTNORD</t>
  </si>
  <si>
    <t>Ontime delivery rate</t>
  </si>
  <si>
    <t>Total Delivered Orders</t>
  </si>
  <si>
    <t>Overall Network On-Time Rate (%)</t>
  </si>
  <si>
    <t>Total Shipping Cost (€)</t>
  </si>
  <si>
    <t>Overall On-Time Rate</t>
  </si>
  <si>
    <t>Total Shipping Spend</t>
  </si>
  <si>
    <t>On-Time Delivery Performance &amp; Logistics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</si>
</sst>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0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2"/>
      <color theme="8" tint="-0.499984740745262"/>
      <name val="Aptos Narrow"/>
      <family val="2"/>
      <scheme val="minor"/>
    </font>
    <font>
      <sz val="12"/>
      <name val="Aptos Narrow"/>
      <scheme val="minor"/>
    </font>
    <font>
      <b/>
      <sz val="22"/>
      <name val="Aptos Narrow"/>
      <scheme val="minor"/>
    </font>
    <font>
      <sz val="18"/>
      <name val="Aptos Narrow"/>
      <scheme val="minor"/>
    </font>
    <font>
      <sz val="22"/>
      <color theme="1"/>
      <name val="Aptos Narrow (Body)"/>
    </font>
    <font>
      <sz val="2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/>
    <xf numFmtId="0" fontId="2" fillId="0" borderId="0" xfId="0" applyFont="1"/>
    <xf numFmtId="10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0" fontId="4" fillId="0" borderId="0" xfId="0" applyFont="1"/>
    <xf numFmtId="0" fontId="0" fillId="0" borderId="0" xfId="0" applyAlignment="1">
      <alignment horizontal="center" vertical="center" wrapText="1"/>
    </xf>
    <xf numFmtId="0" fontId="5" fillId="2" borderId="0" xfId="0" applyFont="1" applyFill="1"/>
    <xf numFmtId="0" fontId="6" fillId="2" borderId="0" xfId="0" applyFont="1" applyFill="1"/>
    <xf numFmtId="0" fontId="5" fillId="0" borderId="0" xfId="0" applyFont="1"/>
    <xf numFmtId="0" fontId="7" fillId="3" borderId="0" xfId="0" applyFont="1" applyFill="1" applyAlignment="1">
      <alignment horizontal="center" vertical="center"/>
    </xf>
    <xf numFmtId="0" fontId="7" fillId="2" borderId="0" xfId="0" applyFont="1" applyFill="1"/>
    <xf numFmtId="10" fontId="7" fillId="3" borderId="0" xfId="0" applyNumberFormat="1" applyFont="1" applyFill="1" applyAlignment="1">
      <alignment horizontal="center"/>
    </xf>
    <xf numFmtId="164" fontId="7" fillId="3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FI" sz="1400" b="0" i="0" u="none" strike="noStrike" baseline="0"/>
              <a:t>On-Time Delivery Rate by Carrier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Raw_shipments!$N$29</c:f>
              <c:strCache>
                <c:ptCount val="1"/>
                <c:pt idx="0">
                  <c:v>On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Raw_shipments!$M$30:$M$37</c:f>
              <c:strCache>
                <c:ptCount val="8"/>
                <c:pt idx="0">
                  <c:v>DHL</c:v>
                </c:pt>
                <c:pt idx="1">
                  <c:v>POSTNORD</c:v>
                </c:pt>
                <c:pt idx="2">
                  <c:v>Matkahuolto</c:v>
                </c:pt>
                <c:pt idx="3">
                  <c:v>UPS</c:v>
                </c:pt>
                <c:pt idx="4">
                  <c:v>Budbee</c:v>
                </c:pt>
                <c:pt idx="5">
                  <c:v>Bring</c:v>
                </c:pt>
                <c:pt idx="6">
                  <c:v>DB Schenker</c:v>
                </c:pt>
                <c:pt idx="7">
                  <c:v>DPD</c:v>
                </c:pt>
              </c:strCache>
            </c:strRef>
          </c:cat>
          <c:val>
            <c:numRef>
              <c:f>Raw_shipments!$N$30:$N$37</c:f>
              <c:numCache>
                <c:formatCode>0.00%</c:formatCode>
                <c:ptCount val="8"/>
                <c:pt idx="0">
                  <c:v>0.35671641791044778</c:v>
                </c:pt>
                <c:pt idx="1">
                  <c:v>0.37091988130563797</c:v>
                </c:pt>
                <c:pt idx="2">
                  <c:v>0.36217948717948717</c:v>
                </c:pt>
                <c:pt idx="3">
                  <c:v>0.34761904761904761</c:v>
                </c:pt>
                <c:pt idx="4">
                  <c:v>0.39002932551319647</c:v>
                </c:pt>
                <c:pt idx="5">
                  <c:v>0.37518248175182484</c:v>
                </c:pt>
                <c:pt idx="6">
                  <c:v>0.35483870967741937</c:v>
                </c:pt>
                <c:pt idx="7">
                  <c:v>0.36858006042296071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AB-0846-84AD-E1FE29D7F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7202368"/>
        <c:axId val="1435013056"/>
      </c:barChart>
      <c:catAx>
        <c:axId val="145720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435013056"/>
        <c:crosses val="autoZero"/>
        <c:auto val="1"/>
        <c:lblAlgn val="ctr"/>
        <c:lblOffset val="100"/>
        <c:noMultiLvlLbl val="0"/>
      </c:catAx>
      <c:valAx>
        <c:axId val="143501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45720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FI" sz="1400" b="0" i="0" u="none" strike="noStrike" baseline="0"/>
              <a:t>On-Time Delivery Rate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Raw_shipments!$Q$29</c:f>
              <c:strCache>
                <c:ptCount val="1"/>
                <c:pt idx="0">
                  <c:v>Ontime delivery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Raw_shipments!$P$30:$P$32</c:f>
              <c:strCache>
                <c:ptCount val="3"/>
                <c:pt idx="0">
                  <c:v>Nordics</c:v>
                </c:pt>
                <c:pt idx="1">
                  <c:v>Baltics</c:v>
                </c:pt>
                <c:pt idx="2">
                  <c:v>Central Europe</c:v>
                </c:pt>
              </c:strCache>
            </c:strRef>
          </c:cat>
          <c:val>
            <c:numRef>
              <c:f>Raw_shipments!$Q$30:$Q$32</c:f>
              <c:numCache>
                <c:formatCode>0.00%</c:formatCode>
                <c:ptCount val="3"/>
                <c:pt idx="0">
                  <c:v>0.37253798536859878</c:v>
                </c:pt>
                <c:pt idx="1">
                  <c:v>0.36449704142011835</c:v>
                </c:pt>
                <c:pt idx="2">
                  <c:v>0.35509983810037776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9A-FE4A-9987-6DBB25265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6114752"/>
        <c:axId val="1426122816"/>
      </c:barChart>
      <c:catAx>
        <c:axId val="142611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426122816"/>
        <c:crosses val="autoZero"/>
        <c:auto val="1"/>
        <c:lblAlgn val="ctr"/>
        <c:lblOffset val="100"/>
        <c:noMultiLvlLbl val="0"/>
      </c:catAx>
      <c:valAx>
        <c:axId val="142612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426114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28308</xdr:colOff>
      <xdr:row>8</xdr:row>
      <xdr:rowOff>124333</xdr:rowOff>
    </xdr:from>
    <xdr:to>
      <xdr:col>3</xdr:col>
      <xdr:colOff>1106354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1CAD28-4CE0-102A-3508-7BA24A6DD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1490069</xdr:colOff>
      <xdr:row>8</xdr:row>
      <xdr:rowOff>131070</xdr:rowOff>
    </xdr:from>
    <xdr:to>
      <xdr:col>6</xdr:col>
      <xdr:colOff>70771</xdr:colOff>
      <xdr:row>23</xdr:row>
      <xdr:rowOff>193892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9D84B0-4669-6175-63D7-B1069B1E69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AB43CF5-2AE9-7747-9BE3-9DF335421CCF}" autoFormatId="16" applyNumberFormats="0" applyBorderFormats="0" applyFontFormats="0" applyPatternFormats="0" applyAlignmentFormats="0" applyWidthHeightFormats="0">
  <queryTableRefresh nextId="8">
    <queryTableFields count="7">
      <queryTableField id="1" name="customer_id" tableColumnId="1"/>
      <queryTableField id="7" dataBound="0" tableColumnId="7"/>
      <queryTableField id="2" name="customer_name" tableColumnId="2"/>
      <queryTableField id="3" name="segment" tableColumnId="3"/>
      <queryTableField id="4" name="city" tableColumnId="4"/>
      <queryTableField id="5" name="country" tableColumnId="5"/>
      <queryTableField id="6" name="signup_dat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A6C65EB-E66B-C744-9214-091650D8B0CA}" autoFormatId="16" applyNumberFormats="0" applyBorderFormats="0" applyFontFormats="0" applyPatternFormats="0" applyAlignmentFormats="0" applyWidthHeightFormats="0">
  <queryTableRefresh nextId="12">
    <queryTableFields count="11">
      <queryTableField id="1" name="shipment_id" tableColumnId="1"/>
      <queryTableField id="2" name="order_id" tableColumnId="2"/>
      <queryTableField id="3" name="carrier" tableColumnId="3"/>
      <queryTableField id="4" name="ship_date" tableColumnId="4"/>
      <queryTableField id="5" name="scheduled_delivery_date" tableColumnId="5"/>
      <queryTableField id="6" name="actual_delivery_date" tableColumnId="6"/>
      <queryTableField id="7" name="shipping_cost_eur" tableColumnId="7"/>
      <queryTableField id="10" dataBound="0" tableColumnId="10"/>
      <queryTableField id="11" dataBound="0" tableColumnId="11"/>
      <queryTableField id="9" dataBound="0" tableColumnId="9"/>
      <queryTableField id="8" name="delivery_status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4ED1F09-4B70-8648-9821-BC0C70CCC0A7}" autoFormatId="16" applyNumberFormats="0" applyBorderFormats="0" applyFontFormats="0" applyPatternFormats="0" applyAlignmentFormats="0" applyWidthHeightFormats="0">
  <queryTableRefresh nextId="10">
    <queryTableFields count="8">
      <queryTableField id="1" name="order_id" tableColumnId="1"/>
      <queryTableField id="2" name="customer_id" tableColumnId="2"/>
      <queryTableField id="3" name="order_date" tableColumnId="3"/>
      <queryTableField id="6" dataBound="0" tableColumnId="6"/>
      <queryTableField id="4" name="order_priority" tableColumnId="4"/>
      <queryTableField id="9" dataBound="0" tableColumnId="9"/>
      <queryTableField id="8" dataBound="0" tableColumnId="8"/>
      <queryTableField id="5" name="reg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4A7E06-12B2-404F-ADBA-48862898EDF0}" name="customers" displayName="customers" ref="A1:G301" tableType="queryTable" totalsRowShown="0">
  <autoFilter ref="A1:G301" xr:uid="{274A7E06-12B2-404F-ADBA-48862898EDF0}"/>
  <tableColumns count="7">
    <tableColumn id="1" xr3:uid="{8AE36F70-B261-744A-90DE-6E6D864FB9EC}" uniqueName="1" name="customer_id" queryTableFieldId="1" dataDxfId="28"/>
    <tableColumn id="7" xr3:uid="{88EA2CEF-1B34-464D-9D6C-56C5D93F540E}" uniqueName="7" name="Customer_Country" queryTableFieldId="7" dataDxfId="27">
      <calculatedColumnFormula>IFERROR(INDEX(customers[country], MATCH(customers[[#This Row],[customer_id]], customers[customer_id], 0)), "Unmapped")</calculatedColumnFormula>
    </tableColumn>
    <tableColumn id="2" xr3:uid="{3019856A-AB10-2249-9096-2D84A863F205}" uniqueName="2" name="customer_name" queryTableFieldId="2" dataDxfId="26"/>
    <tableColumn id="3" xr3:uid="{F70C58B3-DDCF-4B41-9113-B96C3E5CDA38}" uniqueName="3" name="segment" queryTableFieldId="3" dataDxfId="25"/>
    <tableColumn id="4" xr3:uid="{C3865994-CE32-5A48-AD90-9E95B30EA920}" uniqueName="4" name="city" queryTableFieldId="4" dataDxfId="24"/>
    <tableColumn id="5" xr3:uid="{5884F7BA-6295-2342-BCA0-0DF9B635BA40}" uniqueName="5" name="country" queryTableFieldId="5" dataDxfId="23"/>
    <tableColumn id="6" xr3:uid="{5453E163-0228-234D-B256-F1D65D1BC756}" uniqueName="6" name="signup_date" queryTableFieldId="6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204DADD-ED55-B244-BB95-1ED8E24E7B8C}" name="shipments" displayName="shipments" ref="A1:K6376" tableType="queryTable" totalsRowShown="0">
  <autoFilter ref="A1:K6376" xr:uid="{1204DADD-ED55-B244-BB95-1ED8E24E7B8C}"/>
  <tableColumns count="11">
    <tableColumn id="1" xr3:uid="{0A925837-EF39-3C4D-B167-4F1C02429318}" uniqueName="1" name="shipment_id" queryTableFieldId="1" dataDxfId="21"/>
    <tableColumn id="2" xr3:uid="{5CCE70CF-3A91-5C40-862A-F427B5D0B2A0}" uniqueName="2" name="order_id" queryTableFieldId="2" dataDxfId="20"/>
    <tableColumn id="3" xr3:uid="{1C2A21B6-1380-754F-A9F0-00B335FEA39E}" uniqueName="3" name="carrier" queryTableFieldId="3" dataDxfId="19"/>
    <tableColumn id="4" xr3:uid="{01AB15F3-C70D-324C-AEB8-76B72506A03D}" uniqueName="4" name="ship_date" queryTableFieldId="4" dataDxfId="18"/>
    <tableColumn id="5" xr3:uid="{02E0EF7B-B0C4-194C-B0BA-41879AC95761}" uniqueName="5" name="scheduled_delivery_date" queryTableFieldId="5" dataDxfId="17"/>
    <tableColumn id="6" xr3:uid="{E32C02DE-7563-3049-A23D-6184E3473D2E}" uniqueName="6" name="actual_delivery_date" queryTableFieldId="6" dataDxfId="16"/>
    <tableColumn id="7" xr3:uid="{AF286FAB-AEBE-0644-AAFC-1383DFCAD8E7}" uniqueName="7" name="shipping_cost_eur" queryTableFieldId="7"/>
    <tableColumn id="10" xr3:uid="{A27CEE7E-6717-904A-8060-24A08FB878AE}" uniqueName="10" name="Delivery_Performance" queryTableFieldId="10" dataDxfId="15">
      <calculatedColumnFormula>IF(shipments[[#This Row],[Cleaned_delivery_status]]="Cancelled", "Cancelled", IF(ISBLANK(shipments[[#This Row],[actual_delivery_date]]), "In Transit", IF(shipments[[#This Row],[actual_delivery_date]]&lt;=shipments[[#This Row],[scheduled_delivery_date]], "On Time", "Late")))</calculatedColumnFormula>
    </tableColumn>
    <tableColumn id="11" xr3:uid="{09E2B4F5-C44C-0247-9CA2-1E75B2D71558}" uniqueName="11" name="Region" queryTableFieldId="11" dataDxfId="14">
      <calculatedColumnFormula>IFERROR(INDEX(Raw_orders!G:G, MATCH(shipments[[#This Row],[order_id]],Raw_orders!A:A, 0)), "Unknown")</calculatedColumnFormula>
    </tableColumn>
    <tableColumn id="9" xr3:uid="{00820525-54B9-7442-B335-AD7C1C71A8E4}" uniqueName="9" name="Cleaned_delivery_status" queryTableFieldId="9" dataDxfId="13">
      <calculatedColumnFormula>PROPER(shipments[[#This Row],[delivery_status]])</calculatedColumnFormula>
    </tableColumn>
    <tableColumn id="8" xr3:uid="{F4B6D8AA-73C4-B444-A234-5C815E04249B}" uniqueName="8" name="delivery_status" queryTableFieldId="8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21AB28-0BC3-2A42-A24F-A333D36E33C8}" name="orders" displayName="orders" ref="A1:H6026" tableType="queryTable" totalsRowShown="0">
  <autoFilter ref="A1:H6026" xr:uid="{4621AB28-0BC3-2A42-A24F-A333D36E33C8}"/>
  <tableColumns count="8">
    <tableColumn id="1" xr3:uid="{B80C62B2-DEA9-544D-8C38-DF5674BC20BF}" uniqueName="1" name="order_id" queryTableFieldId="1" dataDxfId="11"/>
    <tableColumn id="2" xr3:uid="{3B0668EA-E810-B049-AC94-722775A4BC7B}" uniqueName="2" name="customer_id" queryTableFieldId="2" dataDxfId="10"/>
    <tableColumn id="3" xr3:uid="{9420A456-D1BB-8B4F-A4AC-1F6EDE364C21}" uniqueName="3" name="order_date" queryTableFieldId="3" dataDxfId="9"/>
    <tableColumn id="6" xr3:uid="{580DA55E-46BF-0E4F-A96E-344BE50F7905}" uniqueName="6" name="Clean_Order_Priority" queryTableFieldId="6" dataDxfId="8">
      <calculatedColumnFormula>PROPER(orders[[#This Row],[order_priority]])</calculatedColumnFormula>
    </tableColumn>
    <tableColumn id="4" xr3:uid="{B361B5A5-DA63-4042-9E80-BEE89277E678}" uniqueName="4" name="order_priority" queryTableFieldId="4" dataDxfId="7"/>
    <tableColumn id="9" xr3:uid="{04DC10F5-644D-8D44-8115-9AF5896B3674}" uniqueName="9" name="Customer_Country" queryTableFieldId="9" dataDxfId="6">
      <calculatedColumnFormula>IFERROR(INDEX(customers[country], MATCH(orders[[#This Row],[customer_id]], customers[customer_id], 0)), "Unmapped")</calculatedColumnFormula>
    </tableColumn>
    <tableColumn id="8" xr3:uid="{7A890631-A76B-4C4E-82F5-2A90B5583C03}" uniqueName="8" name="Derived_Region" queryTableFieldId="8" dataDxfId="5">
      <calculatedColumnFormula>IFERROR(INDEX(Region_Map[Region], MATCH(orders[[#This Row],[Customer_Country]], Region_Map[Country], 0)), "Unknown")</calculatedColumnFormula>
    </tableColumn>
    <tableColumn id="5" xr3:uid="{BB98462E-8F96-CF41-B5D1-4411CD23B67A}" uniqueName="5" name="region" queryTableFieldId="5" dataDxf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DE142A-6F55-FC47-86DA-50109DB16812}" name="Region_Map" displayName="Region_Map" ref="J4:K14" totalsRowShown="0" headerRowDxfId="3" dataDxfId="2">
  <autoFilter ref="J4:K14" xr:uid="{E8DE142A-6F55-FC47-86DA-50109DB16812}"/>
  <tableColumns count="2">
    <tableColumn id="1" xr3:uid="{919B4371-69A6-EA4A-A273-91FED62397AC}" name="Country" dataDxfId="1"/>
    <tableColumn id="2" xr3:uid="{EDBA8D98-FE02-F440-A082-D60D82F0848C}" name="Region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75428-524D-0840-85B4-33DC25EF680B}">
  <dimension ref="A1:G301"/>
  <sheetViews>
    <sheetView workbookViewId="0">
      <selection activeCell="B1" sqref="B1"/>
    </sheetView>
  </sheetViews>
  <sheetFormatPr baseColWidth="10" defaultRowHeight="16"/>
  <cols>
    <col min="1" max="1" width="14" bestFit="1" customWidth="1"/>
    <col min="2" max="2" width="19.5" bestFit="1" customWidth="1"/>
    <col min="3" max="3" width="28.1640625" bestFit="1" customWidth="1"/>
    <col min="4" max="4" width="11" bestFit="1" customWidth="1"/>
    <col min="5" max="5" width="20.1640625" bestFit="1" customWidth="1"/>
    <col min="6" max="6" width="11.1640625" bestFit="1" customWidth="1"/>
    <col min="7" max="7" width="13.6640625" bestFit="1" customWidth="1"/>
  </cols>
  <sheetData>
    <row r="1" spans="1:7">
      <c r="A1" t="s">
        <v>0</v>
      </c>
      <c r="B1" t="s">
        <v>13391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 t="str">
        <f>IFERROR(INDEX(customers[country], MATCH(customers[[#This Row],[customer_id]], customers[customer_id], 0)), "Unmapped")</f>
        <v>Latvia</v>
      </c>
      <c r="C2" t="s">
        <v>7</v>
      </c>
      <c r="D2" t="s">
        <v>8</v>
      </c>
      <c r="E2" t="s">
        <v>9</v>
      </c>
      <c r="F2" t="s">
        <v>10</v>
      </c>
      <c r="G2" s="1">
        <v>44807</v>
      </c>
    </row>
    <row r="3" spans="1:7">
      <c r="A3" t="s">
        <v>11</v>
      </c>
      <c r="B3" t="str">
        <f>IFERROR(INDEX(customers[country], MATCH(customers[[#This Row],[customer_id]], customers[customer_id], 0)), "Unmapped")</f>
        <v>Sweden</v>
      </c>
      <c r="C3" t="s">
        <v>12</v>
      </c>
      <c r="D3" t="s">
        <v>8</v>
      </c>
      <c r="E3" t="s">
        <v>13</v>
      </c>
      <c r="F3" t="s">
        <v>14</v>
      </c>
      <c r="G3" s="1">
        <v>44935</v>
      </c>
    </row>
    <row r="4" spans="1:7">
      <c r="A4" t="s">
        <v>15</v>
      </c>
      <c r="B4" t="str">
        <f>IFERROR(INDEX(customers[country], MATCH(customers[[#This Row],[customer_id]], customers[customer_id], 0)), "Unmapped")</f>
        <v>Estonia</v>
      </c>
      <c r="C4" t="s">
        <v>16</v>
      </c>
      <c r="D4" t="s">
        <v>8</v>
      </c>
      <c r="E4" t="s">
        <v>17</v>
      </c>
      <c r="F4" t="s">
        <v>18</v>
      </c>
      <c r="G4" s="1">
        <v>44814</v>
      </c>
    </row>
    <row r="5" spans="1:7">
      <c r="A5" t="s">
        <v>19</v>
      </c>
      <c r="B5" t="str">
        <f>IFERROR(INDEX(customers[country], MATCH(customers[[#This Row],[customer_id]], customers[customer_id], 0)), "Unmapped")</f>
        <v>Poland</v>
      </c>
      <c r="C5" t="s">
        <v>20</v>
      </c>
      <c r="D5" t="s">
        <v>21</v>
      </c>
      <c r="E5" t="s">
        <v>22</v>
      </c>
      <c r="F5" t="s">
        <v>23</v>
      </c>
      <c r="G5" s="1">
        <v>45279</v>
      </c>
    </row>
    <row r="6" spans="1:7">
      <c r="A6" t="s">
        <v>24</v>
      </c>
      <c r="B6" t="str">
        <f>IFERROR(INDEX(customers[country], MATCH(customers[[#This Row],[customer_id]], customers[customer_id], 0)), "Unmapped")</f>
        <v>Sweden</v>
      </c>
      <c r="C6" t="s">
        <v>25</v>
      </c>
      <c r="D6" t="s">
        <v>21</v>
      </c>
      <c r="E6" t="s">
        <v>26</v>
      </c>
      <c r="F6" t="s">
        <v>14</v>
      </c>
      <c r="G6" s="1">
        <v>45636</v>
      </c>
    </row>
    <row r="7" spans="1:7">
      <c r="A7" t="s">
        <v>27</v>
      </c>
      <c r="B7" t="str">
        <f>IFERROR(INDEX(customers[country], MATCH(customers[[#This Row],[customer_id]], customers[customer_id], 0)), "Unmapped")</f>
        <v>Latvia</v>
      </c>
      <c r="C7" t="s">
        <v>28</v>
      </c>
      <c r="D7" t="s">
        <v>21</v>
      </c>
      <c r="E7" t="s">
        <v>29</v>
      </c>
      <c r="F7" t="s">
        <v>10</v>
      </c>
      <c r="G7" s="1">
        <v>45536</v>
      </c>
    </row>
    <row r="8" spans="1:7">
      <c r="A8" t="s">
        <v>30</v>
      </c>
      <c r="B8" t="str">
        <f>IFERROR(INDEX(customers[country], MATCH(customers[[#This Row],[customer_id]], customers[customer_id], 0)), "Unmapped")</f>
        <v>Netherlands</v>
      </c>
      <c r="C8" t="s">
        <v>31</v>
      </c>
      <c r="D8" t="s">
        <v>21</v>
      </c>
      <c r="E8" t="s">
        <v>32</v>
      </c>
      <c r="F8" t="s">
        <v>33</v>
      </c>
      <c r="G8" s="1">
        <v>45626</v>
      </c>
    </row>
    <row r="9" spans="1:7">
      <c r="A9" t="s">
        <v>34</v>
      </c>
      <c r="B9" t="str">
        <f>IFERROR(INDEX(customers[country], MATCH(customers[[#This Row],[customer_id]], customers[customer_id], 0)), "Unmapped")</f>
        <v>Sweden</v>
      </c>
      <c r="C9" t="s">
        <v>35</v>
      </c>
      <c r="D9" t="s">
        <v>36</v>
      </c>
      <c r="E9" t="s">
        <v>37</v>
      </c>
      <c r="F9" t="s">
        <v>14</v>
      </c>
      <c r="G9" s="1">
        <v>44439</v>
      </c>
    </row>
    <row r="10" spans="1:7">
      <c r="A10" t="s">
        <v>38</v>
      </c>
      <c r="B10" t="str">
        <f>IFERROR(INDEX(customers[country], MATCH(customers[[#This Row],[customer_id]], customers[customer_id], 0)), "Unmapped")</f>
        <v>Lithuania</v>
      </c>
      <c r="C10" t="s">
        <v>39</v>
      </c>
      <c r="D10" t="s">
        <v>21</v>
      </c>
      <c r="E10" t="s">
        <v>40</v>
      </c>
      <c r="F10" t="s">
        <v>41</v>
      </c>
      <c r="G10" s="1">
        <v>46100</v>
      </c>
    </row>
    <row r="11" spans="1:7">
      <c r="A11" t="s">
        <v>42</v>
      </c>
      <c r="B11" t="str">
        <f>IFERROR(INDEX(customers[country], MATCH(customers[[#This Row],[customer_id]], customers[customer_id], 0)), "Unmapped")</f>
        <v>Estonia</v>
      </c>
      <c r="C11" t="s">
        <v>43</v>
      </c>
      <c r="D11" t="s">
        <v>8</v>
      </c>
      <c r="E11" t="s">
        <v>44</v>
      </c>
      <c r="F11" t="s">
        <v>18</v>
      </c>
      <c r="G11" s="1">
        <v>45687</v>
      </c>
    </row>
    <row r="12" spans="1:7">
      <c r="A12" t="s">
        <v>45</v>
      </c>
      <c r="B12" t="str">
        <f>IFERROR(INDEX(customers[country], MATCH(customers[[#This Row],[customer_id]], customers[customer_id], 0)), "Unmapped")</f>
        <v>Netherlands</v>
      </c>
      <c r="C12" t="s">
        <v>46</v>
      </c>
      <c r="D12" t="s">
        <v>8</v>
      </c>
      <c r="E12" t="s">
        <v>47</v>
      </c>
      <c r="F12" t="s">
        <v>33</v>
      </c>
      <c r="G12" s="1">
        <v>46110</v>
      </c>
    </row>
    <row r="13" spans="1:7">
      <c r="A13" t="s">
        <v>48</v>
      </c>
      <c r="B13" t="str">
        <f>IFERROR(INDEX(customers[country], MATCH(customers[[#This Row],[customer_id]], customers[customer_id], 0)), "Unmapped")</f>
        <v>Poland</v>
      </c>
      <c r="C13" t="s">
        <v>49</v>
      </c>
      <c r="D13" t="s">
        <v>8</v>
      </c>
      <c r="E13" t="s">
        <v>50</v>
      </c>
      <c r="F13" t="s">
        <v>23</v>
      </c>
      <c r="G13" s="1">
        <v>44801</v>
      </c>
    </row>
    <row r="14" spans="1:7">
      <c r="A14" t="s">
        <v>51</v>
      </c>
      <c r="B14" t="str">
        <f>IFERROR(INDEX(customers[country], MATCH(customers[[#This Row],[customer_id]], customers[customer_id], 0)), "Unmapped")</f>
        <v>Germany</v>
      </c>
      <c r="C14" t="s">
        <v>52</v>
      </c>
      <c r="D14" t="s">
        <v>21</v>
      </c>
      <c r="E14" t="s">
        <v>53</v>
      </c>
      <c r="F14" t="s">
        <v>54</v>
      </c>
      <c r="G14" s="1">
        <v>46049</v>
      </c>
    </row>
    <row r="15" spans="1:7">
      <c r="A15" t="s">
        <v>55</v>
      </c>
      <c r="B15" t="str">
        <f>IFERROR(INDEX(customers[country], MATCH(customers[[#This Row],[customer_id]], customers[customer_id], 0)), "Unmapped")</f>
        <v>Netherlands</v>
      </c>
      <c r="C15" t="s">
        <v>56</v>
      </c>
      <c r="D15" t="s">
        <v>8</v>
      </c>
      <c r="E15" t="s">
        <v>57</v>
      </c>
      <c r="F15" t="s">
        <v>33</v>
      </c>
      <c r="G15" s="1">
        <v>45808</v>
      </c>
    </row>
    <row r="16" spans="1:7">
      <c r="A16" t="s">
        <v>58</v>
      </c>
      <c r="B16" t="str">
        <f>IFERROR(INDEX(customers[country], MATCH(customers[[#This Row],[customer_id]], customers[customer_id], 0)), "Unmapped")</f>
        <v>Germany</v>
      </c>
      <c r="C16" t="s">
        <v>59</v>
      </c>
      <c r="D16" t="s">
        <v>21</v>
      </c>
      <c r="E16" t="s">
        <v>60</v>
      </c>
      <c r="F16" t="s">
        <v>54</v>
      </c>
      <c r="G16" s="1">
        <v>44558</v>
      </c>
    </row>
    <row r="17" spans="1:7">
      <c r="A17" t="s">
        <v>61</v>
      </c>
      <c r="B17" t="str">
        <f>IFERROR(INDEX(customers[country], MATCH(customers[[#This Row],[customer_id]], customers[customer_id], 0)), "Unmapped")</f>
        <v>Netherlands</v>
      </c>
      <c r="C17" t="s">
        <v>62</v>
      </c>
      <c r="D17" t="s">
        <v>21</v>
      </c>
      <c r="E17" t="s">
        <v>63</v>
      </c>
      <c r="F17" t="s">
        <v>33</v>
      </c>
      <c r="G17" s="1">
        <v>44976</v>
      </c>
    </row>
    <row r="18" spans="1:7">
      <c r="A18" t="s">
        <v>64</v>
      </c>
      <c r="B18" t="str">
        <f>IFERROR(INDEX(customers[country], MATCH(customers[[#This Row],[customer_id]], customers[customer_id], 0)), "Unmapped")</f>
        <v>Netherlands</v>
      </c>
      <c r="C18" t="s">
        <v>65</v>
      </c>
      <c r="D18" t="s">
        <v>21</v>
      </c>
      <c r="E18" t="s">
        <v>66</v>
      </c>
      <c r="F18" t="s">
        <v>33</v>
      </c>
      <c r="G18" s="1">
        <v>45824</v>
      </c>
    </row>
    <row r="19" spans="1:7">
      <c r="A19" t="s">
        <v>67</v>
      </c>
      <c r="B19" t="str">
        <f>IFERROR(INDEX(customers[country], MATCH(customers[[#This Row],[customer_id]], customers[customer_id], 0)), "Unmapped")</f>
        <v>Estonia</v>
      </c>
      <c r="C19" t="s">
        <v>68</v>
      </c>
      <c r="D19" t="s">
        <v>8</v>
      </c>
      <c r="E19" t="s">
        <v>69</v>
      </c>
      <c r="F19" t="s">
        <v>18</v>
      </c>
      <c r="G19" s="1">
        <v>46177</v>
      </c>
    </row>
    <row r="20" spans="1:7">
      <c r="A20" t="s">
        <v>70</v>
      </c>
      <c r="B20" t="str">
        <f>IFERROR(INDEX(customers[country], MATCH(customers[[#This Row],[customer_id]], customers[customer_id], 0)), "Unmapped")</f>
        <v>Estonia</v>
      </c>
      <c r="C20" t="s">
        <v>71</v>
      </c>
      <c r="D20" t="s">
        <v>8</v>
      </c>
      <c r="E20" t="s">
        <v>72</v>
      </c>
      <c r="F20" t="s">
        <v>18</v>
      </c>
      <c r="G20" s="1">
        <v>45828</v>
      </c>
    </row>
    <row r="21" spans="1:7">
      <c r="A21" t="s">
        <v>73</v>
      </c>
      <c r="B21" t="str">
        <f>IFERROR(INDEX(customers[country], MATCH(customers[[#This Row],[customer_id]], customers[customer_id], 0)), "Unmapped")</f>
        <v>Norway</v>
      </c>
      <c r="C21" t="s">
        <v>74</v>
      </c>
      <c r="D21" t="s">
        <v>21</v>
      </c>
      <c r="E21" t="s">
        <v>75</v>
      </c>
      <c r="F21" t="s">
        <v>76</v>
      </c>
      <c r="G21" s="1">
        <v>45683</v>
      </c>
    </row>
    <row r="22" spans="1:7">
      <c r="A22" t="s">
        <v>77</v>
      </c>
      <c r="B22" t="str">
        <f>IFERROR(INDEX(customers[country], MATCH(customers[[#This Row],[customer_id]], customers[customer_id], 0)), "Unmapped")</f>
        <v>Lithuania</v>
      </c>
      <c r="C22" t="s">
        <v>78</v>
      </c>
      <c r="D22" t="s">
        <v>21</v>
      </c>
      <c r="E22" t="s">
        <v>79</v>
      </c>
      <c r="F22" t="s">
        <v>41</v>
      </c>
      <c r="G22" s="1">
        <v>45051</v>
      </c>
    </row>
    <row r="23" spans="1:7">
      <c r="A23" t="s">
        <v>80</v>
      </c>
      <c r="B23" t="str">
        <f>IFERROR(INDEX(customers[country], MATCH(customers[[#This Row],[customer_id]], customers[customer_id], 0)), "Unmapped")</f>
        <v>Finland</v>
      </c>
      <c r="C23" t="s">
        <v>81</v>
      </c>
      <c r="D23" t="s">
        <v>21</v>
      </c>
      <c r="E23" t="s">
        <v>82</v>
      </c>
      <c r="F23" t="s">
        <v>83</v>
      </c>
      <c r="G23" s="1">
        <v>45976</v>
      </c>
    </row>
    <row r="24" spans="1:7">
      <c r="A24" t="s">
        <v>84</v>
      </c>
      <c r="B24" t="str">
        <f>IFERROR(INDEX(customers[country], MATCH(customers[[#This Row],[customer_id]], customers[customer_id], 0)), "Unmapped")</f>
        <v>Lithuania</v>
      </c>
      <c r="C24" t="s">
        <v>85</v>
      </c>
      <c r="D24" t="s">
        <v>8</v>
      </c>
      <c r="E24" t="s">
        <v>86</v>
      </c>
      <c r="F24" t="s">
        <v>41</v>
      </c>
      <c r="G24" s="1">
        <v>45999</v>
      </c>
    </row>
    <row r="25" spans="1:7">
      <c r="A25" t="s">
        <v>87</v>
      </c>
      <c r="B25" t="str">
        <f>IFERROR(INDEX(customers[country], MATCH(customers[[#This Row],[customer_id]], customers[customer_id], 0)), "Unmapped")</f>
        <v>Latvia</v>
      </c>
      <c r="C25" t="s">
        <v>88</v>
      </c>
      <c r="D25" t="s">
        <v>8</v>
      </c>
      <c r="E25" t="s">
        <v>89</v>
      </c>
      <c r="F25" t="s">
        <v>10</v>
      </c>
      <c r="G25" s="1">
        <v>45044</v>
      </c>
    </row>
    <row r="26" spans="1:7">
      <c r="A26" t="s">
        <v>90</v>
      </c>
      <c r="B26" t="str">
        <f>IFERROR(INDEX(customers[country], MATCH(customers[[#This Row],[customer_id]], customers[customer_id], 0)), "Unmapped")</f>
        <v>Netherlands</v>
      </c>
      <c r="C26" t="s">
        <v>91</v>
      </c>
      <c r="D26" t="s">
        <v>36</v>
      </c>
      <c r="E26" t="s">
        <v>92</v>
      </c>
      <c r="F26" t="s">
        <v>33</v>
      </c>
      <c r="G26" s="1">
        <v>44880</v>
      </c>
    </row>
    <row r="27" spans="1:7">
      <c r="A27" t="s">
        <v>93</v>
      </c>
      <c r="B27" t="str">
        <f>IFERROR(INDEX(customers[country], MATCH(customers[[#This Row],[customer_id]], customers[customer_id], 0)), "Unmapped")</f>
        <v>Norway</v>
      </c>
      <c r="C27" t="s">
        <v>94</v>
      </c>
      <c r="D27" t="s">
        <v>21</v>
      </c>
      <c r="E27" t="s">
        <v>95</v>
      </c>
      <c r="F27" t="s">
        <v>76</v>
      </c>
      <c r="G27" s="1">
        <v>46128</v>
      </c>
    </row>
    <row r="28" spans="1:7">
      <c r="A28" t="s">
        <v>96</v>
      </c>
      <c r="B28" t="str">
        <f>IFERROR(INDEX(customers[country], MATCH(customers[[#This Row],[customer_id]], customers[customer_id], 0)), "Unmapped")</f>
        <v>Sweden</v>
      </c>
      <c r="C28" t="s">
        <v>97</v>
      </c>
      <c r="D28" t="s">
        <v>21</v>
      </c>
      <c r="E28" t="s">
        <v>98</v>
      </c>
      <c r="F28" t="s">
        <v>14</v>
      </c>
      <c r="G28" s="1">
        <v>44978</v>
      </c>
    </row>
    <row r="29" spans="1:7">
      <c r="A29" t="s">
        <v>99</v>
      </c>
      <c r="B29" t="str">
        <f>IFERROR(INDEX(customers[country], MATCH(customers[[#This Row],[customer_id]], customers[customer_id], 0)), "Unmapped")</f>
        <v>Poland</v>
      </c>
      <c r="C29" t="s">
        <v>100</v>
      </c>
      <c r="D29" t="s">
        <v>8</v>
      </c>
      <c r="E29" t="s">
        <v>101</v>
      </c>
      <c r="F29" t="s">
        <v>23</v>
      </c>
      <c r="G29" s="1">
        <v>46112</v>
      </c>
    </row>
    <row r="30" spans="1:7">
      <c r="A30" t="s">
        <v>102</v>
      </c>
      <c r="B30" t="str">
        <f>IFERROR(INDEX(customers[country], MATCH(customers[[#This Row],[customer_id]], customers[customer_id], 0)), "Unmapped")</f>
        <v>Denmark</v>
      </c>
      <c r="C30" t="s">
        <v>103</v>
      </c>
      <c r="D30" t="s">
        <v>8</v>
      </c>
      <c r="E30" t="s">
        <v>104</v>
      </c>
      <c r="F30" t="s">
        <v>105</v>
      </c>
      <c r="G30" s="1">
        <v>44969</v>
      </c>
    </row>
    <row r="31" spans="1:7">
      <c r="A31" t="s">
        <v>106</v>
      </c>
      <c r="B31" t="str">
        <f>IFERROR(INDEX(customers[country], MATCH(customers[[#This Row],[customer_id]], customers[customer_id], 0)), "Unmapped")</f>
        <v>Lithuania</v>
      </c>
      <c r="C31" t="s">
        <v>107</v>
      </c>
      <c r="D31" t="s">
        <v>21</v>
      </c>
      <c r="E31" t="s">
        <v>108</v>
      </c>
      <c r="F31" t="s">
        <v>41</v>
      </c>
      <c r="G31" s="1">
        <v>45637</v>
      </c>
    </row>
    <row r="32" spans="1:7">
      <c r="A32" t="s">
        <v>109</v>
      </c>
      <c r="B32" t="str">
        <f>IFERROR(INDEX(customers[country], MATCH(customers[[#This Row],[customer_id]], customers[customer_id], 0)), "Unmapped")</f>
        <v>Netherlands</v>
      </c>
      <c r="C32" t="s">
        <v>110</v>
      </c>
      <c r="D32" t="s">
        <v>21</v>
      </c>
      <c r="E32" t="s">
        <v>111</v>
      </c>
      <c r="F32" t="s">
        <v>33</v>
      </c>
      <c r="G32" s="1">
        <v>45349</v>
      </c>
    </row>
    <row r="33" spans="1:7">
      <c r="A33" t="s">
        <v>112</v>
      </c>
      <c r="B33" t="str">
        <f>IFERROR(INDEX(customers[country], MATCH(customers[[#This Row],[customer_id]], customers[customer_id], 0)), "Unmapped")</f>
        <v>Finland</v>
      </c>
      <c r="C33" t="s">
        <v>113</v>
      </c>
      <c r="D33" t="s">
        <v>36</v>
      </c>
      <c r="E33" t="s">
        <v>114</v>
      </c>
      <c r="F33" t="s">
        <v>83</v>
      </c>
      <c r="G33" s="1">
        <v>45872</v>
      </c>
    </row>
    <row r="34" spans="1:7">
      <c r="A34" t="s">
        <v>115</v>
      </c>
      <c r="B34" t="str">
        <f>IFERROR(INDEX(customers[country], MATCH(customers[[#This Row],[customer_id]], customers[customer_id], 0)), "Unmapped")</f>
        <v>Finland</v>
      </c>
      <c r="C34" t="s">
        <v>116</v>
      </c>
      <c r="D34" t="s">
        <v>8</v>
      </c>
      <c r="E34" t="s">
        <v>117</v>
      </c>
      <c r="F34" t="s">
        <v>83</v>
      </c>
      <c r="G34" s="1">
        <v>44772</v>
      </c>
    </row>
    <row r="35" spans="1:7">
      <c r="A35" t="s">
        <v>118</v>
      </c>
      <c r="B35" t="str">
        <f>IFERROR(INDEX(customers[country], MATCH(customers[[#This Row],[customer_id]], customers[customer_id], 0)), "Unmapped")</f>
        <v>Denmark</v>
      </c>
      <c r="C35" t="s">
        <v>119</v>
      </c>
      <c r="D35" t="s">
        <v>21</v>
      </c>
      <c r="E35" t="s">
        <v>120</v>
      </c>
      <c r="F35" t="s">
        <v>105</v>
      </c>
      <c r="G35" s="1">
        <v>45821</v>
      </c>
    </row>
    <row r="36" spans="1:7">
      <c r="A36" t="s">
        <v>121</v>
      </c>
      <c r="B36" t="str">
        <f>IFERROR(INDEX(customers[country], MATCH(customers[[#This Row],[customer_id]], customers[customer_id], 0)), "Unmapped")</f>
        <v>Estonia</v>
      </c>
      <c r="C36" t="s">
        <v>122</v>
      </c>
      <c r="D36" t="s">
        <v>8</v>
      </c>
      <c r="E36" t="s">
        <v>123</v>
      </c>
      <c r="F36" t="s">
        <v>18</v>
      </c>
      <c r="G36" s="1">
        <v>46071</v>
      </c>
    </row>
    <row r="37" spans="1:7">
      <c r="A37" t="s">
        <v>124</v>
      </c>
      <c r="B37" t="str">
        <f>IFERROR(INDEX(customers[country], MATCH(customers[[#This Row],[customer_id]], customers[customer_id], 0)), "Unmapped")</f>
        <v>Lithuania</v>
      </c>
      <c r="C37" t="s">
        <v>125</v>
      </c>
      <c r="D37" t="s">
        <v>8</v>
      </c>
      <c r="E37" t="s">
        <v>126</v>
      </c>
      <c r="F37" t="s">
        <v>41</v>
      </c>
      <c r="G37" s="1">
        <v>45523</v>
      </c>
    </row>
    <row r="38" spans="1:7">
      <c r="A38" t="s">
        <v>127</v>
      </c>
      <c r="B38" t="str">
        <f>IFERROR(INDEX(customers[country], MATCH(customers[[#This Row],[customer_id]], customers[customer_id], 0)), "Unmapped")</f>
        <v>Denmark</v>
      </c>
      <c r="C38" t="s">
        <v>128</v>
      </c>
      <c r="D38" t="s">
        <v>21</v>
      </c>
      <c r="E38" t="s">
        <v>129</v>
      </c>
      <c r="F38" t="s">
        <v>105</v>
      </c>
      <c r="G38" s="1">
        <v>45231</v>
      </c>
    </row>
    <row r="39" spans="1:7">
      <c r="A39" t="s">
        <v>130</v>
      </c>
      <c r="B39" t="str">
        <f>IFERROR(INDEX(customers[country], MATCH(customers[[#This Row],[customer_id]], customers[customer_id], 0)), "Unmapped")</f>
        <v>Latvia</v>
      </c>
      <c r="C39" t="s">
        <v>131</v>
      </c>
      <c r="D39" t="s">
        <v>36</v>
      </c>
      <c r="E39" t="s">
        <v>132</v>
      </c>
      <c r="F39" t="s">
        <v>10</v>
      </c>
      <c r="G39" s="1">
        <v>45213</v>
      </c>
    </row>
    <row r="40" spans="1:7">
      <c r="A40" t="s">
        <v>133</v>
      </c>
      <c r="B40" t="str">
        <f>IFERROR(INDEX(customers[country], MATCH(customers[[#This Row],[customer_id]], customers[customer_id], 0)), "Unmapped")</f>
        <v>Finland</v>
      </c>
      <c r="C40" t="s">
        <v>134</v>
      </c>
      <c r="D40" t="s">
        <v>8</v>
      </c>
      <c r="E40" t="s">
        <v>135</v>
      </c>
      <c r="F40" t="s">
        <v>83</v>
      </c>
      <c r="G40" s="1">
        <v>45670</v>
      </c>
    </row>
    <row r="41" spans="1:7">
      <c r="A41" t="s">
        <v>136</v>
      </c>
      <c r="B41" t="str">
        <f>IFERROR(INDEX(customers[country], MATCH(customers[[#This Row],[customer_id]], customers[customer_id], 0)), "Unmapped")</f>
        <v>Sweden</v>
      </c>
      <c r="C41" t="s">
        <v>137</v>
      </c>
      <c r="D41" t="s">
        <v>21</v>
      </c>
      <c r="E41" t="s">
        <v>138</v>
      </c>
      <c r="F41" t="s">
        <v>14</v>
      </c>
      <c r="G41" s="1">
        <v>45919</v>
      </c>
    </row>
    <row r="42" spans="1:7">
      <c r="A42" t="s">
        <v>139</v>
      </c>
      <c r="B42" t="str">
        <f>IFERROR(INDEX(customers[country], MATCH(customers[[#This Row],[customer_id]], customers[customer_id], 0)), "Unmapped")</f>
        <v>Netherlands</v>
      </c>
      <c r="C42" t="s">
        <v>140</v>
      </c>
      <c r="D42" t="s">
        <v>21</v>
      </c>
      <c r="E42" t="s">
        <v>141</v>
      </c>
      <c r="F42" t="s">
        <v>33</v>
      </c>
      <c r="G42" s="1">
        <v>45106</v>
      </c>
    </row>
    <row r="43" spans="1:7">
      <c r="A43" t="s">
        <v>142</v>
      </c>
      <c r="B43" t="str">
        <f>IFERROR(INDEX(customers[country], MATCH(customers[[#This Row],[customer_id]], customers[customer_id], 0)), "Unmapped")</f>
        <v>Estonia</v>
      </c>
      <c r="C43" t="s">
        <v>143</v>
      </c>
      <c r="D43" t="s">
        <v>8</v>
      </c>
      <c r="E43" t="s">
        <v>144</v>
      </c>
      <c r="F43" t="s">
        <v>18</v>
      </c>
      <c r="G43" s="1">
        <v>45860</v>
      </c>
    </row>
    <row r="44" spans="1:7">
      <c r="A44" t="s">
        <v>145</v>
      </c>
      <c r="B44" t="str">
        <f>IFERROR(INDEX(customers[country], MATCH(customers[[#This Row],[customer_id]], customers[customer_id], 0)), "Unmapped")</f>
        <v>Latvia</v>
      </c>
      <c r="C44" t="s">
        <v>146</v>
      </c>
      <c r="D44" t="s">
        <v>36</v>
      </c>
      <c r="E44" t="s">
        <v>147</v>
      </c>
      <c r="F44" t="s">
        <v>10</v>
      </c>
      <c r="G44" s="1">
        <v>45624</v>
      </c>
    </row>
    <row r="45" spans="1:7">
      <c r="A45" t="s">
        <v>148</v>
      </c>
      <c r="B45" t="str">
        <f>IFERROR(INDEX(customers[country], MATCH(customers[[#This Row],[customer_id]], customers[customer_id], 0)), "Unmapped")</f>
        <v>Poland</v>
      </c>
      <c r="C45" t="s">
        <v>149</v>
      </c>
      <c r="D45" t="s">
        <v>36</v>
      </c>
      <c r="E45" t="s">
        <v>150</v>
      </c>
      <c r="F45" t="s">
        <v>23</v>
      </c>
      <c r="G45" s="1">
        <v>46052</v>
      </c>
    </row>
    <row r="46" spans="1:7">
      <c r="A46" t="s">
        <v>151</v>
      </c>
      <c r="B46" t="str">
        <f>IFERROR(INDEX(customers[country], MATCH(customers[[#This Row],[customer_id]], customers[customer_id], 0)), "Unmapped")</f>
        <v>Sweden</v>
      </c>
      <c r="C46" t="s">
        <v>152</v>
      </c>
      <c r="D46" t="s">
        <v>8</v>
      </c>
      <c r="E46" t="s">
        <v>153</v>
      </c>
      <c r="F46" t="s">
        <v>14</v>
      </c>
      <c r="G46" s="1">
        <v>44513</v>
      </c>
    </row>
    <row r="47" spans="1:7">
      <c r="A47" t="s">
        <v>154</v>
      </c>
      <c r="B47" t="str">
        <f>IFERROR(INDEX(customers[country], MATCH(customers[[#This Row],[customer_id]], customers[customer_id], 0)), "Unmapped")</f>
        <v>Lithuania</v>
      </c>
      <c r="C47" t="s">
        <v>155</v>
      </c>
      <c r="D47" t="s">
        <v>21</v>
      </c>
      <c r="E47" t="s">
        <v>156</v>
      </c>
      <c r="F47" t="s">
        <v>41</v>
      </c>
      <c r="G47" s="1">
        <v>44923</v>
      </c>
    </row>
    <row r="48" spans="1:7">
      <c r="A48" t="s">
        <v>157</v>
      </c>
      <c r="B48" t="str">
        <f>IFERROR(INDEX(customers[country], MATCH(customers[[#This Row],[customer_id]], customers[customer_id], 0)), "Unmapped")</f>
        <v>Lithuania</v>
      </c>
      <c r="C48" t="s">
        <v>158</v>
      </c>
      <c r="D48" t="s">
        <v>21</v>
      </c>
      <c r="E48" t="s">
        <v>159</v>
      </c>
      <c r="F48" t="s">
        <v>41</v>
      </c>
      <c r="G48" s="1">
        <v>44825</v>
      </c>
    </row>
    <row r="49" spans="1:7">
      <c r="A49" t="s">
        <v>160</v>
      </c>
      <c r="B49" t="str">
        <f>IFERROR(INDEX(customers[country], MATCH(customers[[#This Row],[customer_id]], customers[customer_id], 0)), "Unmapped")</f>
        <v>Denmark</v>
      </c>
      <c r="C49" t="s">
        <v>161</v>
      </c>
      <c r="D49" t="s">
        <v>8</v>
      </c>
      <c r="E49" t="s">
        <v>162</v>
      </c>
      <c r="F49" t="s">
        <v>105</v>
      </c>
      <c r="G49" s="1">
        <v>44781</v>
      </c>
    </row>
    <row r="50" spans="1:7">
      <c r="A50" t="s">
        <v>163</v>
      </c>
      <c r="B50" t="str">
        <f>IFERROR(INDEX(customers[country], MATCH(customers[[#This Row],[customer_id]], customers[customer_id], 0)), "Unmapped")</f>
        <v>Germany</v>
      </c>
      <c r="C50" t="s">
        <v>164</v>
      </c>
      <c r="D50" t="s">
        <v>21</v>
      </c>
      <c r="E50" t="s">
        <v>165</v>
      </c>
      <c r="F50" t="s">
        <v>54</v>
      </c>
      <c r="G50" s="1">
        <v>45436</v>
      </c>
    </row>
    <row r="51" spans="1:7">
      <c r="A51" t="s">
        <v>166</v>
      </c>
      <c r="B51" t="str">
        <f>IFERROR(INDEX(customers[country], MATCH(customers[[#This Row],[customer_id]], customers[customer_id], 0)), "Unmapped")</f>
        <v>Denmark</v>
      </c>
      <c r="C51" t="s">
        <v>167</v>
      </c>
      <c r="D51" t="s">
        <v>8</v>
      </c>
      <c r="E51" t="s">
        <v>168</v>
      </c>
      <c r="F51" t="s">
        <v>105</v>
      </c>
      <c r="G51" s="1">
        <v>45820</v>
      </c>
    </row>
    <row r="52" spans="1:7">
      <c r="A52" t="s">
        <v>169</v>
      </c>
      <c r="B52" t="str">
        <f>IFERROR(INDEX(customers[country], MATCH(customers[[#This Row],[customer_id]], customers[customer_id], 0)), "Unmapped")</f>
        <v>Norway</v>
      </c>
      <c r="C52" t="s">
        <v>170</v>
      </c>
      <c r="D52" t="s">
        <v>8</v>
      </c>
      <c r="E52" t="s">
        <v>171</v>
      </c>
      <c r="F52" t="s">
        <v>76</v>
      </c>
      <c r="G52" s="1">
        <v>45135</v>
      </c>
    </row>
    <row r="53" spans="1:7">
      <c r="A53" t="s">
        <v>172</v>
      </c>
      <c r="B53" t="str">
        <f>IFERROR(INDEX(customers[country], MATCH(customers[[#This Row],[customer_id]], customers[customer_id], 0)), "Unmapped")</f>
        <v>Denmark</v>
      </c>
      <c r="C53" t="s">
        <v>173</v>
      </c>
      <c r="D53" t="s">
        <v>8</v>
      </c>
      <c r="E53" t="s">
        <v>174</v>
      </c>
      <c r="F53" t="s">
        <v>105</v>
      </c>
      <c r="G53" s="1">
        <v>44964</v>
      </c>
    </row>
    <row r="54" spans="1:7">
      <c r="A54" t="s">
        <v>175</v>
      </c>
      <c r="B54" t="str">
        <f>IFERROR(INDEX(customers[country], MATCH(customers[[#This Row],[customer_id]], customers[customer_id], 0)), "Unmapped")</f>
        <v>Sweden</v>
      </c>
      <c r="C54" t="s">
        <v>176</v>
      </c>
      <c r="D54" t="s">
        <v>21</v>
      </c>
      <c r="E54" t="s">
        <v>177</v>
      </c>
      <c r="F54" t="s">
        <v>14</v>
      </c>
      <c r="G54" s="1">
        <v>44546</v>
      </c>
    </row>
    <row r="55" spans="1:7">
      <c r="A55" t="s">
        <v>178</v>
      </c>
      <c r="B55" t="str">
        <f>IFERROR(INDEX(customers[country], MATCH(customers[[#This Row],[customer_id]], customers[customer_id], 0)), "Unmapped")</f>
        <v>Poland</v>
      </c>
      <c r="C55" t="s">
        <v>179</v>
      </c>
      <c r="D55" t="s">
        <v>21</v>
      </c>
      <c r="E55" t="s">
        <v>180</v>
      </c>
      <c r="F55" t="s">
        <v>23</v>
      </c>
      <c r="G55" s="1">
        <v>45694</v>
      </c>
    </row>
    <row r="56" spans="1:7">
      <c r="A56" t="s">
        <v>181</v>
      </c>
      <c r="B56" t="str">
        <f>IFERROR(INDEX(customers[country], MATCH(customers[[#This Row],[customer_id]], customers[customer_id], 0)), "Unmapped")</f>
        <v>Netherlands</v>
      </c>
      <c r="C56" t="s">
        <v>182</v>
      </c>
      <c r="D56" t="s">
        <v>36</v>
      </c>
      <c r="E56" t="s">
        <v>183</v>
      </c>
      <c r="F56" t="s">
        <v>33</v>
      </c>
      <c r="G56" s="1">
        <v>45815</v>
      </c>
    </row>
    <row r="57" spans="1:7">
      <c r="A57" t="s">
        <v>184</v>
      </c>
      <c r="B57" t="str">
        <f>IFERROR(INDEX(customers[country], MATCH(customers[[#This Row],[customer_id]], customers[customer_id], 0)), "Unmapped")</f>
        <v>Netherlands</v>
      </c>
      <c r="C57" t="s">
        <v>185</v>
      </c>
      <c r="D57" t="s">
        <v>36</v>
      </c>
      <c r="E57" t="s">
        <v>186</v>
      </c>
      <c r="F57" t="s">
        <v>33</v>
      </c>
      <c r="G57" s="1">
        <v>45915</v>
      </c>
    </row>
    <row r="58" spans="1:7">
      <c r="A58" t="s">
        <v>187</v>
      </c>
      <c r="B58" t="str">
        <f>IFERROR(INDEX(customers[country], MATCH(customers[[#This Row],[customer_id]], customers[customer_id], 0)), "Unmapped")</f>
        <v>Latvia</v>
      </c>
      <c r="C58" t="s">
        <v>188</v>
      </c>
      <c r="D58" t="s">
        <v>21</v>
      </c>
      <c r="E58" t="s">
        <v>153</v>
      </c>
      <c r="F58" t="s">
        <v>10</v>
      </c>
      <c r="G58" s="1">
        <v>45519</v>
      </c>
    </row>
    <row r="59" spans="1:7">
      <c r="A59" t="s">
        <v>189</v>
      </c>
      <c r="B59" t="str">
        <f>IFERROR(INDEX(customers[country], MATCH(customers[[#This Row],[customer_id]], customers[customer_id], 0)), "Unmapped")</f>
        <v>Norway</v>
      </c>
      <c r="C59" t="s">
        <v>190</v>
      </c>
      <c r="D59" t="s">
        <v>8</v>
      </c>
      <c r="E59" t="s">
        <v>191</v>
      </c>
      <c r="F59" t="s">
        <v>76</v>
      </c>
      <c r="G59" s="1">
        <v>45060</v>
      </c>
    </row>
    <row r="60" spans="1:7">
      <c r="A60" t="s">
        <v>192</v>
      </c>
      <c r="B60" t="str">
        <f>IFERROR(INDEX(customers[country], MATCH(customers[[#This Row],[customer_id]], customers[customer_id], 0)), "Unmapped")</f>
        <v>Estonia</v>
      </c>
      <c r="C60" t="s">
        <v>193</v>
      </c>
      <c r="D60" t="s">
        <v>21</v>
      </c>
      <c r="E60" t="s">
        <v>194</v>
      </c>
      <c r="F60" t="s">
        <v>18</v>
      </c>
      <c r="G60" s="1">
        <v>46126</v>
      </c>
    </row>
    <row r="61" spans="1:7">
      <c r="A61" t="s">
        <v>195</v>
      </c>
      <c r="B61" t="str">
        <f>IFERROR(INDEX(customers[country], MATCH(customers[[#This Row],[customer_id]], customers[customer_id], 0)), "Unmapped")</f>
        <v>Latvia</v>
      </c>
      <c r="C61" t="s">
        <v>196</v>
      </c>
      <c r="D61" t="s">
        <v>8</v>
      </c>
      <c r="E61" t="s">
        <v>197</v>
      </c>
      <c r="F61" t="s">
        <v>10</v>
      </c>
      <c r="G61" s="1">
        <v>45664</v>
      </c>
    </row>
    <row r="62" spans="1:7">
      <c r="A62" t="s">
        <v>198</v>
      </c>
      <c r="B62" t="str">
        <f>IFERROR(INDEX(customers[country], MATCH(customers[[#This Row],[customer_id]], customers[customer_id], 0)), "Unmapped")</f>
        <v>Poland</v>
      </c>
      <c r="C62" t="s">
        <v>199</v>
      </c>
      <c r="D62" t="s">
        <v>8</v>
      </c>
      <c r="E62" t="s">
        <v>200</v>
      </c>
      <c r="F62" t="s">
        <v>23</v>
      </c>
      <c r="G62" s="1">
        <v>44973</v>
      </c>
    </row>
    <row r="63" spans="1:7">
      <c r="A63" t="s">
        <v>201</v>
      </c>
      <c r="B63" t="str">
        <f>IFERROR(INDEX(customers[country], MATCH(customers[[#This Row],[customer_id]], customers[customer_id], 0)), "Unmapped")</f>
        <v>Estonia</v>
      </c>
      <c r="C63" t="s">
        <v>202</v>
      </c>
      <c r="D63" t="s">
        <v>36</v>
      </c>
      <c r="E63" t="s">
        <v>203</v>
      </c>
      <c r="F63" t="s">
        <v>18</v>
      </c>
      <c r="G63" s="1">
        <v>45017</v>
      </c>
    </row>
    <row r="64" spans="1:7">
      <c r="A64" t="s">
        <v>204</v>
      </c>
      <c r="B64" t="str">
        <f>IFERROR(INDEX(customers[country], MATCH(customers[[#This Row],[customer_id]], customers[customer_id], 0)), "Unmapped")</f>
        <v>Sweden</v>
      </c>
      <c r="C64" t="s">
        <v>205</v>
      </c>
      <c r="D64" t="s">
        <v>21</v>
      </c>
      <c r="E64" t="s">
        <v>206</v>
      </c>
      <c r="F64" t="s">
        <v>14</v>
      </c>
      <c r="G64" s="1">
        <v>45385</v>
      </c>
    </row>
    <row r="65" spans="1:7">
      <c r="A65" t="s">
        <v>207</v>
      </c>
      <c r="B65" t="str">
        <f>IFERROR(INDEX(customers[country], MATCH(customers[[#This Row],[customer_id]], customers[customer_id], 0)), "Unmapped")</f>
        <v>Poland</v>
      </c>
      <c r="C65" t="s">
        <v>208</v>
      </c>
      <c r="D65" t="s">
        <v>36</v>
      </c>
      <c r="E65" t="s">
        <v>209</v>
      </c>
      <c r="F65" t="s">
        <v>23</v>
      </c>
      <c r="G65" s="1">
        <v>44955</v>
      </c>
    </row>
    <row r="66" spans="1:7">
      <c r="A66" t="s">
        <v>210</v>
      </c>
      <c r="B66" t="str">
        <f>IFERROR(INDEX(customers[country], MATCH(customers[[#This Row],[customer_id]], customers[customer_id], 0)), "Unmapped")</f>
        <v>Finland</v>
      </c>
      <c r="C66" t="s">
        <v>211</v>
      </c>
      <c r="D66" t="s">
        <v>21</v>
      </c>
      <c r="E66" t="s">
        <v>212</v>
      </c>
      <c r="F66" t="s">
        <v>83</v>
      </c>
      <c r="G66" s="1">
        <v>44520</v>
      </c>
    </row>
    <row r="67" spans="1:7">
      <c r="A67" t="s">
        <v>213</v>
      </c>
      <c r="B67" t="str">
        <f>IFERROR(INDEX(customers[country], MATCH(customers[[#This Row],[customer_id]], customers[customer_id], 0)), "Unmapped")</f>
        <v>Denmark</v>
      </c>
      <c r="C67" t="s">
        <v>214</v>
      </c>
      <c r="D67" t="s">
        <v>8</v>
      </c>
      <c r="E67" t="s">
        <v>215</v>
      </c>
      <c r="F67" t="s">
        <v>105</v>
      </c>
      <c r="G67" s="1">
        <v>45454</v>
      </c>
    </row>
    <row r="68" spans="1:7">
      <c r="A68" t="s">
        <v>216</v>
      </c>
      <c r="B68" t="str">
        <f>IFERROR(INDEX(customers[country], MATCH(customers[[#This Row],[customer_id]], customers[customer_id], 0)), "Unmapped")</f>
        <v>Norway</v>
      </c>
      <c r="C68" t="s">
        <v>217</v>
      </c>
      <c r="D68" t="s">
        <v>8</v>
      </c>
      <c r="E68" t="s">
        <v>218</v>
      </c>
      <c r="F68" t="s">
        <v>76</v>
      </c>
      <c r="G68" s="1">
        <v>44628</v>
      </c>
    </row>
    <row r="69" spans="1:7">
      <c r="A69" t="s">
        <v>219</v>
      </c>
      <c r="B69" t="str">
        <f>IFERROR(INDEX(customers[country], MATCH(customers[[#This Row],[customer_id]], customers[customer_id], 0)), "Unmapped")</f>
        <v>Latvia</v>
      </c>
      <c r="C69" t="s">
        <v>220</v>
      </c>
      <c r="D69" t="s">
        <v>8</v>
      </c>
      <c r="E69" t="s">
        <v>221</v>
      </c>
      <c r="F69" t="s">
        <v>10</v>
      </c>
      <c r="G69" s="1">
        <v>46128</v>
      </c>
    </row>
    <row r="70" spans="1:7">
      <c r="A70" t="s">
        <v>222</v>
      </c>
      <c r="B70" t="str">
        <f>IFERROR(INDEX(customers[country], MATCH(customers[[#This Row],[customer_id]], customers[customer_id], 0)), "Unmapped")</f>
        <v>Norway</v>
      </c>
      <c r="C70" t="s">
        <v>223</v>
      </c>
      <c r="D70" t="s">
        <v>21</v>
      </c>
      <c r="E70" t="s">
        <v>224</v>
      </c>
      <c r="F70" t="s">
        <v>76</v>
      </c>
      <c r="G70" s="1">
        <v>45816</v>
      </c>
    </row>
    <row r="71" spans="1:7">
      <c r="A71" t="s">
        <v>225</v>
      </c>
      <c r="B71" t="str">
        <f>IFERROR(INDEX(customers[country], MATCH(customers[[#This Row],[customer_id]], customers[customer_id], 0)), "Unmapped")</f>
        <v>Poland</v>
      </c>
      <c r="C71" t="s">
        <v>226</v>
      </c>
      <c r="D71" t="s">
        <v>21</v>
      </c>
      <c r="E71" t="s">
        <v>227</v>
      </c>
      <c r="F71" t="s">
        <v>23</v>
      </c>
      <c r="G71" s="1">
        <v>45518</v>
      </c>
    </row>
    <row r="72" spans="1:7">
      <c r="A72" t="s">
        <v>228</v>
      </c>
      <c r="B72" t="str">
        <f>IFERROR(INDEX(customers[country], MATCH(customers[[#This Row],[customer_id]], customers[customer_id], 0)), "Unmapped")</f>
        <v>Latvia</v>
      </c>
      <c r="C72" t="s">
        <v>229</v>
      </c>
      <c r="D72" t="s">
        <v>8</v>
      </c>
      <c r="E72" t="s">
        <v>230</v>
      </c>
      <c r="F72" t="s">
        <v>10</v>
      </c>
      <c r="G72" s="1">
        <v>44854</v>
      </c>
    </row>
    <row r="73" spans="1:7">
      <c r="A73" t="s">
        <v>231</v>
      </c>
      <c r="B73" t="str">
        <f>IFERROR(INDEX(customers[country], MATCH(customers[[#This Row],[customer_id]], customers[customer_id], 0)), "Unmapped")</f>
        <v>Lithuania</v>
      </c>
      <c r="C73" t="s">
        <v>232</v>
      </c>
      <c r="D73" t="s">
        <v>21</v>
      </c>
      <c r="E73" t="s">
        <v>233</v>
      </c>
      <c r="F73" t="s">
        <v>41</v>
      </c>
      <c r="G73" s="1">
        <v>44940</v>
      </c>
    </row>
    <row r="74" spans="1:7">
      <c r="A74" t="s">
        <v>234</v>
      </c>
      <c r="B74" t="str">
        <f>IFERROR(INDEX(customers[country], MATCH(customers[[#This Row],[customer_id]], customers[customer_id], 0)), "Unmapped")</f>
        <v>Finland</v>
      </c>
      <c r="C74" t="s">
        <v>235</v>
      </c>
      <c r="D74" t="s">
        <v>21</v>
      </c>
      <c r="E74" t="s">
        <v>236</v>
      </c>
      <c r="F74" t="s">
        <v>83</v>
      </c>
      <c r="G74" s="1">
        <v>45546</v>
      </c>
    </row>
    <row r="75" spans="1:7">
      <c r="A75" t="s">
        <v>237</v>
      </c>
      <c r="B75" t="str">
        <f>IFERROR(INDEX(customers[country], MATCH(customers[[#This Row],[customer_id]], customers[customer_id], 0)), "Unmapped")</f>
        <v>Sweden</v>
      </c>
      <c r="C75" t="s">
        <v>238</v>
      </c>
      <c r="D75" t="s">
        <v>21</v>
      </c>
      <c r="E75" t="s">
        <v>239</v>
      </c>
      <c r="F75" t="s">
        <v>14</v>
      </c>
      <c r="G75" s="1">
        <v>44900</v>
      </c>
    </row>
    <row r="76" spans="1:7">
      <c r="A76" t="s">
        <v>240</v>
      </c>
      <c r="B76" t="str">
        <f>IFERROR(INDEX(customers[country], MATCH(customers[[#This Row],[customer_id]], customers[customer_id], 0)), "Unmapped")</f>
        <v>Lithuania</v>
      </c>
      <c r="C76" t="s">
        <v>241</v>
      </c>
      <c r="D76" t="s">
        <v>21</v>
      </c>
      <c r="E76" t="s">
        <v>242</v>
      </c>
      <c r="F76" t="s">
        <v>41</v>
      </c>
      <c r="G76" s="1">
        <v>46078</v>
      </c>
    </row>
    <row r="77" spans="1:7">
      <c r="A77" t="s">
        <v>243</v>
      </c>
      <c r="B77" t="str">
        <f>IFERROR(INDEX(customers[country], MATCH(customers[[#This Row],[customer_id]], customers[customer_id], 0)), "Unmapped")</f>
        <v>Netherlands</v>
      </c>
      <c r="C77" t="s">
        <v>244</v>
      </c>
      <c r="D77" t="s">
        <v>8</v>
      </c>
      <c r="E77" t="s">
        <v>245</v>
      </c>
      <c r="F77" t="s">
        <v>33</v>
      </c>
      <c r="G77" s="1">
        <v>45393</v>
      </c>
    </row>
    <row r="78" spans="1:7">
      <c r="A78" t="s">
        <v>246</v>
      </c>
      <c r="B78" t="str">
        <f>IFERROR(INDEX(customers[country], MATCH(customers[[#This Row],[customer_id]], customers[customer_id], 0)), "Unmapped")</f>
        <v>Netherlands</v>
      </c>
      <c r="C78" t="s">
        <v>247</v>
      </c>
      <c r="D78" t="s">
        <v>36</v>
      </c>
      <c r="E78" t="s">
        <v>248</v>
      </c>
      <c r="F78" t="s">
        <v>33</v>
      </c>
      <c r="G78" s="1">
        <v>44469</v>
      </c>
    </row>
    <row r="79" spans="1:7">
      <c r="A79" t="s">
        <v>249</v>
      </c>
      <c r="B79" t="str">
        <f>IFERROR(INDEX(customers[country], MATCH(customers[[#This Row],[customer_id]], customers[customer_id], 0)), "Unmapped")</f>
        <v>Estonia</v>
      </c>
      <c r="C79" t="s">
        <v>250</v>
      </c>
      <c r="D79" t="s">
        <v>21</v>
      </c>
      <c r="E79" t="s">
        <v>251</v>
      </c>
      <c r="F79" t="s">
        <v>18</v>
      </c>
      <c r="G79" s="1">
        <v>45458</v>
      </c>
    </row>
    <row r="80" spans="1:7">
      <c r="A80" t="s">
        <v>252</v>
      </c>
      <c r="B80" t="str">
        <f>IFERROR(INDEX(customers[country], MATCH(customers[[#This Row],[customer_id]], customers[customer_id], 0)), "Unmapped")</f>
        <v>Lithuania</v>
      </c>
      <c r="C80" t="s">
        <v>253</v>
      </c>
      <c r="D80" t="s">
        <v>21</v>
      </c>
      <c r="E80" t="s">
        <v>254</v>
      </c>
      <c r="F80" t="s">
        <v>41</v>
      </c>
      <c r="G80" s="1">
        <v>46214</v>
      </c>
    </row>
    <row r="81" spans="1:7">
      <c r="A81" t="s">
        <v>255</v>
      </c>
      <c r="B81" t="str">
        <f>IFERROR(INDEX(customers[country], MATCH(customers[[#This Row],[customer_id]], customers[customer_id], 0)), "Unmapped")</f>
        <v>Sweden</v>
      </c>
      <c r="C81" t="s">
        <v>256</v>
      </c>
      <c r="D81" t="s">
        <v>8</v>
      </c>
      <c r="E81" t="s">
        <v>257</v>
      </c>
      <c r="F81" t="s">
        <v>14</v>
      </c>
      <c r="G81" s="1">
        <v>44999</v>
      </c>
    </row>
    <row r="82" spans="1:7">
      <c r="A82" t="s">
        <v>258</v>
      </c>
      <c r="B82" t="str">
        <f>IFERROR(INDEX(customers[country], MATCH(customers[[#This Row],[customer_id]], customers[customer_id], 0)), "Unmapped")</f>
        <v>Latvia</v>
      </c>
      <c r="C82" t="s">
        <v>259</v>
      </c>
      <c r="D82" t="s">
        <v>21</v>
      </c>
      <c r="E82" t="s">
        <v>260</v>
      </c>
      <c r="F82" t="s">
        <v>10</v>
      </c>
      <c r="G82" s="1">
        <v>45613</v>
      </c>
    </row>
    <row r="83" spans="1:7">
      <c r="A83" t="s">
        <v>261</v>
      </c>
      <c r="B83" t="str">
        <f>IFERROR(INDEX(customers[country], MATCH(customers[[#This Row],[customer_id]], customers[customer_id], 0)), "Unmapped")</f>
        <v>Germany</v>
      </c>
      <c r="C83" t="s">
        <v>262</v>
      </c>
      <c r="D83" t="s">
        <v>21</v>
      </c>
      <c r="E83" t="s">
        <v>263</v>
      </c>
      <c r="F83" t="s">
        <v>54</v>
      </c>
      <c r="G83" s="1">
        <v>46166</v>
      </c>
    </row>
    <row r="84" spans="1:7">
      <c r="A84" t="s">
        <v>264</v>
      </c>
      <c r="B84" t="str">
        <f>IFERROR(INDEX(customers[country], MATCH(customers[[#This Row],[customer_id]], customers[customer_id], 0)), "Unmapped")</f>
        <v>Germany</v>
      </c>
      <c r="C84" t="s">
        <v>265</v>
      </c>
      <c r="D84" t="s">
        <v>8</v>
      </c>
      <c r="E84" t="s">
        <v>266</v>
      </c>
      <c r="F84" t="s">
        <v>54</v>
      </c>
      <c r="G84" s="1">
        <v>45165</v>
      </c>
    </row>
    <row r="85" spans="1:7">
      <c r="A85" t="s">
        <v>267</v>
      </c>
      <c r="B85" t="str">
        <f>IFERROR(INDEX(customers[country], MATCH(customers[[#This Row],[customer_id]], customers[customer_id], 0)), "Unmapped")</f>
        <v>Norway</v>
      </c>
      <c r="C85" t="s">
        <v>268</v>
      </c>
      <c r="D85" t="s">
        <v>8</v>
      </c>
      <c r="E85" t="s">
        <v>269</v>
      </c>
      <c r="F85" t="s">
        <v>76</v>
      </c>
      <c r="G85" s="1">
        <v>44788</v>
      </c>
    </row>
    <row r="86" spans="1:7">
      <c r="A86" t="s">
        <v>270</v>
      </c>
      <c r="B86" t="str">
        <f>IFERROR(INDEX(customers[country], MATCH(customers[[#This Row],[customer_id]], customers[customer_id], 0)), "Unmapped")</f>
        <v>Poland</v>
      </c>
      <c r="C86" t="s">
        <v>271</v>
      </c>
      <c r="D86" t="s">
        <v>36</v>
      </c>
      <c r="E86" t="s">
        <v>272</v>
      </c>
      <c r="F86" t="s">
        <v>23</v>
      </c>
      <c r="G86" s="1">
        <v>45698</v>
      </c>
    </row>
    <row r="87" spans="1:7">
      <c r="A87" t="s">
        <v>273</v>
      </c>
      <c r="B87" t="str">
        <f>IFERROR(INDEX(customers[country], MATCH(customers[[#This Row],[customer_id]], customers[customer_id], 0)), "Unmapped")</f>
        <v>Norway</v>
      </c>
      <c r="C87" t="s">
        <v>274</v>
      </c>
      <c r="D87" t="s">
        <v>21</v>
      </c>
      <c r="E87" t="s">
        <v>275</v>
      </c>
      <c r="F87" t="s">
        <v>76</v>
      </c>
      <c r="G87" s="1">
        <v>45252</v>
      </c>
    </row>
    <row r="88" spans="1:7">
      <c r="A88" t="s">
        <v>276</v>
      </c>
      <c r="B88" t="str">
        <f>IFERROR(INDEX(customers[country], MATCH(customers[[#This Row],[customer_id]], customers[customer_id], 0)), "Unmapped")</f>
        <v>Sweden</v>
      </c>
      <c r="C88" t="s">
        <v>277</v>
      </c>
      <c r="D88" t="s">
        <v>21</v>
      </c>
      <c r="E88" t="s">
        <v>278</v>
      </c>
      <c r="F88" t="s">
        <v>14</v>
      </c>
      <c r="G88" s="1">
        <v>45337</v>
      </c>
    </row>
    <row r="89" spans="1:7">
      <c r="A89" t="s">
        <v>279</v>
      </c>
      <c r="B89" t="str">
        <f>IFERROR(INDEX(customers[country], MATCH(customers[[#This Row],[customer_id]], customers[customer_id], 0)), "Unmapped")</f>
        <v>Germany</v>
      </c>
      <c r="C89" t="s">
        <v>280</v>
      </c>
      <c r="D89" t="s">
        <v>8</v>
      </c>
      <c r="E89" t="s">
        <v>281</v>
      </c>
      <c r="F89" t="s">
        <v>54</v>
      </c>
      <c r="G89" s="1">
        <v>45112</v>
      </c>
    </row>
    <row r="90" spans="1:7">
      <c r="A90" t="s">
        <v>282</v>
      </c>
      <c r="B90" t="str">
        <f>IFERROR(INDEX(customers[country], MATCH(customers[[#This Row],[customer_id]], customers[customer_id], 0)), "Unmapped")</f>
        <v>Netherlands</v>
      </c>
      <c r="C90" t="s">
        <v>283</v>
      </c>
      <c r="D90" t="s">
        <v>8</v>
      </c>
      <c r="E90" t="s">
        <v>284</v>
      </c>
      <c r="F90" t="s">
        <v>33</v>
      </c>
      <c r="G90" s="1">
        <v>45033</v>
      </c>
    </row>
    <row r="91" spans="1:7">
      <c r="A91" t="s">
        <v>285</v>
      </c>
      <c r="B91" t="str">
        <f>IFERROR(INDEX(customers[country], MATCH(customers[[#This Row],[customer_id]], customers[customer_id], 0)), "Unmapped")</f>
        <v>Norway</v>
      </c>
      <c r="C91" t="s">
        <v>286</v>
      </c>
      <c r="D91" t="s">
        <v>21</v>
      </c>
      <c r="E91" t="s">
        <v>287</v>
      </c>
      <c r="F91" t="s">
        <v>76</v>
      </c>
      <c r="G91" s="1">
        <v>46218</v>
      </c>
    </row>
    <row r="92" spans="1:7">
      <c r="A92" t="s">
        <v>288</v>
      </c>
      <c r="B92" t="str">
        <f>IFERROR(INDEX(customers[country], MATCH(customers[[#This Row],[customer_id]], customers[customer_id], 0)), "Unmapped")</f>
        <v>Netherlands</v>
      </c>
      <c r="C92" t="s">
        <v>289</v>
      </c>
      <c r="D92" t="s">
        <v>8</v>
      </c>
      <c r="E92" t="s">
        <v>290</v>
      </c>
      <c r="F92" t="s">
        <v>33</v>
      </c>
      <c r="G92" s="1">
        <v>45793</v>
      </c>
    </row>
    <row r="93" spans="1:7">
      <c r="A93" t="s">
        <v>291</v>
      </c>
      <c r="B93" t="str">
        <f>IFERROR(INDEX(customers[country], MATCH(customers[[#This Row],[customer_id]], customers[customer_id], 0)), "Unmapped")</f>
        <v>Poland</v>
      </c>
      <c r="C93" t="s">
        <v>292</v>
      </c>
      <c r="D93" t="s">
        <v>8</v>
      </c>
      <c r="E93" t="s">
        <v>293</v>
      </c>
      <c r="F93" t="s">
        <v>23</v>
      </c>
      <c r="G93" s="1">
        <v>45961</v>
      </c>
    </row>
    <row r="94" spans="1:7">
      <c r="A94" t="s">
        <v>294</v>
      </c>
      <c r="B94" t="str">
        <f>IFERROR(INDEX(customers[country], MATCH(customers[[#This Row],[customer_id]], customers[customer_id], 0)), "Unmapped")</f>
        <v>Denmark</v>
      </c>
      <c r="C94" t="s">
        <v>295</v>
      </c>
      <c r="D94" t="s">
        <v>21</v>
      </c>
      <c r="E94" t="s">
        <v>296</v>
      </c>
      <c r="F94" t="s">
        <v>105</v>
      </c>
      <c r="G94" s="1">
        <v>45313</v>
      </c>
    </row>
    <row r="95" spans="1:7">
      <c r="A95" t="s">
        <v>297</v>
      </c>
      <c r="B95" t="str">
        <f>IFERROR(INDEX(customers[country], MATCH(customers[[#This Row],[customer_id]], customers[customer_id], 0)), "Unmapped")</f>
        <v>Poland</v>
      </c>
      <c r="C95" t="s">
        <v>298</v>
      </c>
      <c r="D95" t="s">
        <v>8</v>
      </c>
      <c r="E95" t="s">
        <v>299</v>
      </c>
      <c r="F95" t="s">
        <v>23</v>
      </c>
      <c r="G95" s="1">
        <v>45368</v>
      </c>
    </row>
    <row r="96" spans="1:7">
      <c r="A96" t="s">
        <v>300</v>
      </c>
      <c r="B96" t="str">
        <f>IFERROR(INDEX(customers[country], MATCH(customers[[#This Row],[customer_id]], customers[customer_id], 0)), "Unmapped")</f>
        <v>Poland</v>
      </c>
      <c r="C96" t="s">
        <v>301</v>
      </c>
      <c r="D96" t="s">
        <v>8</v>
      </c>
      <c r="E96" t="s">
        <v>302</v>
      </c>
      <c r="F96" t="s">
        <v>23</v>
      </c>
      <c r="G96" s="1">
        <v>46164</v>
      </c>
    </row>
    <row r="97" spans="1:7">
      <c r="A97" t="s">
        <v>303</v>
      </c>
      <c r="B97" t="str">
        <f>IFERROR(INDEX(customers[country], MATCH(customers[[#This Row],[customer_id]], customers[customer_id], 0)), "Unmapped")</f>
        <v>Netherlands</v>
      </c>
      <c r="C97" t="s">
        <v>304</v>
      </c>
      <c r="D97" t="s">
        <v>8</v>
      </c>
      <c r="E97" t="s">
        <v>305</v>
      </c>
      <c r="F97" t="s">
        <v>33</v>
      </c>
      <c r="G97" s="1">
        <v>45105</v>
      </c>
    </row>
    <row r="98" spans="1:7">
      <c r="A98" t="s">
        <v>306</v>
      </c>
      <c r="B98" t="str">
        <f>IFERROR(INDEX(customers[country], MATCH(customers[[#This Row],[customer_id]], customers[customer_id], 0)), "Unmapped")</f>
        <v>Estonia</v>
      </c>
      <c r="C98" t="s">
        <v>307</v>
      </c>
      <c r="D98" t="s">
        <v>21</v>
      </c>
      <c r="E98" t="s">
        <v>308</v>
      </c>
      <c r="F98" t="s">
        <v>18</v>
      </c>
      <c r="G98" s="1">
        <v>45532</v>
      </c>
    </row>
    <row r="99" spans="1:7">
      <c r="A99" t="s">
        <v>309</v>
      </c>
      <c r="B99" t="str">
        <f>IFERROR(INDEX(customers[country], MATCH(customers[[#This Row],[customer_id]], customers[customer_id], 0)), "Unmapped")</f>
        <v>Lithuania</v>
      </c>
      <c r="C99" t="s">
        <v>310</v>
      </c>
      <c r="D99" t="s">
        <v>21</v>
      </c>
      <c r="E99" t="s">
        <v>111</v>
      </c>
      <c r="F99" t="s">
        <v>41</v>
      </c>
      <c r="G99" s="1">
        <v>46181</v>
      </c>
    </row>
    <row r="100" spans="1:7">
      <c r="A100" t="s">
        <v>311</v>
      </c>
      <c r="B100" t="str">
        <f>IFERROR(INDEX(customers[country], MATCH(customers[[#This Row],[customer_id]], customers[customer_id], 0)), "Unmapped")</f>
        <v>Netherlands</v>
      </c>
      <c r="C100" t="s">
        <v>312</v>
      </c>
      <c r="D100" t="s">
        <v>8</v>
      </c>
      <c r="E100" t="s">
        <v>313</v>
      </c>
      <c r="F100" t="s">
        <v>33</v>
      </c>
      <c r="G100" s="1">
        <v>44475</v>
      </c>
    </row>
    <row r="101" spans="1:7">
      <c r="A101" t="s">
        <v>314</v>
      </c>
      <c r="B101" t="str">
        <f>IFERROR(INDEX(customers[country], MATCH(customers[[#This Row],[customer_id]], customers[customer_id], 0)), "Unmapped")</f>
        <v>Poland</v>
      </c>
      <c r="C101" t="s">
        <v>315</v>
      </c>
      <c r="D101" t="s">
        <v>21</v>
      </c>
      <c r="E101" t="s">
        <v>316</v>
      </c>
      <c r="F101" t="s">
        <v>23</v>
      </c>
      <c r="G101" s="1">
        <v>45377</v>
      </c>
    </row>
    <row r="102" spans="1:7">
      <c r="A102" t="s">
        <v>317</v>
      </c>
      <c r="B102" t="str">
        <f>IFERROR(INDEX(customers[country], MATCH(customers[[#This Row],[customer_id]], customers[customer_id], 0)), "Unmapped")</f>
        <v>Sweden</v>
      </c>
      <c r="C102" t="s">
        <v>318</v>
      </c>
      <c r="D102" t="s">
        <v>21</v>
      </c>
      <c r="E102" t="s">
        <v>319</v>
      </c>
      <c r="F102" t="s">
        <v>14</v>
      </c>
      <c r="G102" s="1">
        <v>45317</v>
      </c>
    </row>
    <row r="103" spans="1:7">
      <c r="A103" t="s">
        <v>320</v>
      </c>
      <c r="B103" t="str">
        <f>IFERROR(INDEX(customers[country], MATCH(customers[[#This Row],[customer_id]], customers[customer_id], 0)), "Unmapped")</f>
        <v>Sweden</v>
      </c>
      <c r="C103" t="s">
        <v>321</v>
      </c>
      <c r="D103" t="s">
        <v>21</v>
      </c>
      <c r="E103" t="s">
        <v>322</v>
      </c>
      <c r="F103" t="s">
        <v>14</v>
      </c>
      <c r="G103" s="1">
        <v>46042</v>
      </c>
    </row>
    <row r="104" spans="1:7">
      <c r="A104" t="s">
        <v>323</v>
      </c>
      <c r="B104" t="str">
        <f>IFERROR(INDEX(customers[country], MATCH(customers[[#This Row],[customer_id]], customers[customer_id], 0)), "Unmapped")</f>
        <v>Estonia</v>
      </c>
      <c r="C104" t="s">
        <v>324</v>
      </c>
      <c r="D104" t="s">
        <v>21</v>
      </c>
      <c r="E104" t="s">
        <v>325</v>
      </c>
      <c r="F104" t="s">
        <v>18</v>
      </c>
      <c r="G104" s="1">
        <v>45663</v>
      </c>
    </row>
    <row r="105" spans="1:7">
      <c r="A105" t="s">
        <v>326</v>
      </c>
      <c r="B105" t="str">
        <f>IFERROR(INDEX(customers[country], MATCH(customers[[#This Row],[customer_id]], customers[customer_id], 0)), "Unmapped")</f>
        <v>Lithuania</v>
      </c>
      <c r="C105" t="s">
        <v>327</v>
      </c>
      <c r="D105" t="s">
        <v>36</v>
      </c>
      <c r="E105" t="s">
        <v>328</v>
      </c>
      <c r="F105" t="s">
        <v>41</v>
      </c>
      <c r="G105" s="1">
        <v>45450</v>
      </c>
    </row>
    <row r="106" spans="1:7">
      <c r="A106" t="s">
        <v>329</v>
      </c>
      <c r="B106" t="str">
        <f>IFERROR(INDEX(customers[country], MATCH(customers[[#This Row],[customer_id]], customers[customer_id], 0)), "Unmapped")</f>
        <v>Poland</v>
      </c>
      <c r="C106" t="s">
        <v>330</v>
      </c>
      <c r="D106" t="s">
        <v>36</v>
      </c>
      <c r="E106" t="s">
        <v>331</v>
      </c>
      <c r="F106" t="s">
        <v>23</v>
      </c>
      <c r="G106" s="1">
        <v>45977</v>
      </c>
    </row>
    <row r="107" spans="1:7">
      <c r="A107" t="s">
        <v>332</v>
      </c>
      <c r="B107" t="str">
        <f>IFERROR(INDEX(customers[country], MATCH(customers[[#This Row],[customer_id]], customers[customer_id], 0)), "Unmapped")</f>
        <v>Lithuania</v>
      </c>
      <c r="C107" t="s">
        <v>333</v>
      </c>
      <c r="D107" t="s">
        <v>21</v>
      </c>
      <c r="E107" t="s">
        <v>334</v>
      </c>
      <c r="F107" t="s">
        <v>41</v>
      </c>
      <c r="G107" s="1">
        <v>45817</v>
      </c>
    </row>
    <row r="108" spans="1:7">
      <c r="A108" t="s">
        <v>335</v>
      </c>
      <c r="B108" t="str">
        <f>IFERROR(INDEX(customers[country], MATCH(customers[[#This Row],[customer_id]], customers[customer_id], 0)), "Unmapped")</f>
        <v>Denmark</v>
      </c>
      <c r="C108" t="s">
        <v>336</v>
      </c>
      <c r="D108" t="s">
        <v>8</v>
      </c>
      <c r="E108" t="s">
        <v>337</v>
      </c>
      <c r="F108" t="s">
        <v>105</v>
      </c>
      <c r="G108" s="1">
        <v>44873</v>
      </c>
    </row>
    <row r="109" spans="1:7">
      <c r="A109" t="s">
        <v>338</v>
      </c>
      <c r="B109" t="str">
        <f>IFERROR(INDEX(customers[country], MATCH(customers[[#This Row],[customer_id]], customers[customer_id], 0)), "Unmapped")</f>
        <v>Denmark</v>
      </c>
      <c r="C109" t="s">
        <v>339</v>
      </c>
      <c r="D109" t="s">
        <v>36</v>
      </c>
      <c r="E109" t="s">
        <v>340</v>
      </c>
      <c r="F109" t="s">
        <v>105</v>
      </c>
      <c r="G109" s="1">
        <v>45550</v>
      </c>
    </row>
    <row r="110" spans="1:7">
      <c r="A110" t="s">
        <v>341</v>
      </c>
      <c r="B110" t="str">
        <f>IFERROR(INDEX(customers[country], MATCH(customers[[#This Row],[customer_id]], customers[customer_id], 0)), "Unmapped")</f>
        <v>Latvia</v>
      </c>
      <c r="C110" t="s">
        <v>342</v>
      </c>
      <c r="D110" t="s">
        <v>8</v>
      </c>
      <c r="E110" t="s">
        <v>343</v>
      </c>
      <c r="F110" t="s">
        <v>10</v>
      </c>
      <c r="G110" s="1">
        <v>44584</v>
      </c>
    </row>
    <row r="111" spans="1:7">
      <c r="A111" t="s">
        <v>344</v>
      </c>
      <c r="B111" t="str">
        <f>IFERROR(INDEX(customers[country], MATCH(customers[[#This Row],[customer_id]], customers[customer_id], 0)), "Unmapped")</f>
        <v>Estonia</v>
      </c>
      <c r="C111" t="s">
        <v>345</v>
      </c>
      <c r="D111" t="s">
        <v>8</v>
      </c>
      <c r="E111" t="s">
        <v>346</v>
      </c>
      <c r="F111" t="s">
        <v>18</v>
      </c>
      <c r="G111" s="1">
        <v>45997</v>
      </c>
    </row>
    <row r="112" spans="1:7">
      <c r="A112" t="s">
        <v>347</v>
      </c>
      <c r="B112" t="str">
        <f>IFERROR(INDEX(customers[country], MATCH(customers[[#This Row],[customer_id]], customers[customer_id], 0)), "Unmapped")</f>
        <v>Norway</v>
      </c>
      <c r="C112" t="s">
        <v>348</v>
      </c>
      <c r="D112" t="s">
        <v>8</v>
      </c>
      <c r="E112" t="s">
        <v>349</v>
      </c>
      <c r="F112" t="s">
        <v>76</v>
      </c>
      <c r="G112" s="1">
        <v>46119</v>
      </c>
    </row>
    <row r="113" spans="1:7">
      <c r="A113" t="s">
        <v>350</v>
      </c>
      <c r="B113" t="str">
        <f>IFERROR(INDEX(customers[country], MATCH(customers[[#This Row],[customer_id]], customers[customer_id], 0)), "Unmapped")</f>
        <v>Netherlands</v>
      </c>
      <c r="C113" t="s">
        <v>351</v>
      </c>
      <c r="D113" t="s">
        <v>8</v>
      </c>
      <c r="E113" t="s">
        <v>352</v>
      </c>
      <c r="F113" t="s">
        <v>33</v>
      </c>
      <c r="G113" s="1">
        <v>45778</v>
      </c>
    </row>
    <row r="114" spans="1:7">
      <c r="A114" t="s">
        <v>353</v>
      </c>
      <c r="B114" t="str">
        <f>IFERROR(INDEX(customers[country], MATCH(customers[[#This Row],[customer_id]], customers[customer_id], 0)), "Unmapped")</f>
        <v>Estonia</v>
      </c>
      <c r="C114" t="s">
        <v>354</v>
      </c>
      <c r="D114" t="s">
        <v>8</v>
      </c>
      <c r="E114" t="s">
        <v>355</v>
      </c>
      <c r="F114" t="s">
        <v>18</v>
      </c>
      <c r="G114" s="1">
        <v>45080</v>
      </c>
    </row>
    <row r="115" spans="1:7">
      <c r="A115" t="s">
        <v>356</v>
      </c>
      <c r="B115" t="str">
        <f>IFERROR(INDEX(customers[country], MATCH(customers[[#This Row],[customer_id]], customers[customer_id], 0)), "Unmapped")</f>
        <v>Netherlands</v>
      </c>
      <c r="C115" t="s">
        <v>357</v>
      </c>
      <c r="D115" t="s">
        <v>8</v>
      </c>
      <c r="E115" t="s">
        <v>358</v>
      </c>
      <c r="F115" t="s">
        <v>33</v>
      </c>
      <c r="G115" s="1">
        <v>45473</v>
      </c>
    </row>
    <row r="116" spans="1:7">
      <c r="A116" t="s">
        <v>359</v>
      </c>
      <c r="B116" t="str">
        <f>IFERROR(INDEX(customers[country], MATCH(customers[[#This Row],[customer_id]], customers[customer_id], 0)), "Unmapped")</f>
        <v>Estonia</v>
      </c>
      <c r="C116" t="s">
        <v>360</v>
      </c>
      <c r="D116" t="s">
        <v>8</v>
      </c>
      <c r="E116" t="s">
        <v>361</v>
      </c>
      <c r="F116" t="s">
        <v>18</v>
      </c>
      <c r="G116" s="1">
        <v>46011</v>
      </c>
    </row>
    <row r="117" spans="1:7">
      <c r="A117" t="s">
        <v>362</v>
      </c>
      <c r="B117" t="str">
        <f>IFERROR(INDEX(customers[country], MATCH(customers[[#This Row],[customer_id]], customers[customer_id], 0)), "Unmapped")</f>
        <v>Denmark</v>
      </c>
      <c r="C117" t="s">
        <v>363</v>
      </c>
      <c r="D117" t="s">
        <v>21</v>
      </c>
      <c r="E117" t="s">
        <v>364</v>
      </c>
      <c r="F117" t="s">
        <v>105</v>
      </c>
      <c r="G117" s="1">
        <v>45589</v>
      </c>
    </row>
    <row r="118" spans="1:7">
      <c r="A118" t="s">
        <v>365</v>
      </c>
      <c r="B118" t="str">
        <f>IFERROR(INDEX(customers[country], MATCH(customers[[#This Row],[customer_id]], customers[customer_id], 0)), "Unmapped")</f>
        <v>Poland</v>
      </c>
      <c r="C118" t="s">
        <v>366</v>
      </c>
      <c r="D118" t="s">
        <v>21</v>
      </c>
      <c r="E118" t="s">
        <v>367</v>
      </c>
      <c r="F118" t="s">
        <v>23</v>
      </c>
      <c r="G118" s="1">
        <v>46017</v>
      </c>
    </row>
    <row r="119" spans="1:7">
      <c r="A119" t="s">
        <v>368</v>
      </c>
      <c r="B119" t="str">
        <f>IFERROR(INDEX(customers[country], MATCH(customers[[#This Row],[customer_id]], customers[customer_id], 0)), "Unmapped")</f>
        <v>Poland</v>
      </c>
      <c r="C119" t="s">
        <v>369</v>
      </c>
      <c r="D119" t="s">
        <v>8</v>
      </c>
      <c r="E119" t="s">
        <v>370</v>
      </c>
      <c r="F119" t="s">
        <v>23</v>
      </c>
      <c r="G119" s="1">
        <v>46014</v>
      </c>
    </row>
    <row r="120" spans="1:7">
      <c r="A120" t="s">
        <v>371</v>
      </c>
      <c r="B120" t="str">
        <f>IFERROR(INDEX(customers[country], MATCH(customers[[#This Row],[customer_id]], customers[customer_id], 0)), "Unmapped")</f>
        <v>Germany</v>
      </c>
      <c r="C120" t="s">
        <v>372</v>
      </c>
      <c r="D120" t="s">
        <v>21</v>
      </c>
      <c r="E120" t="s">
        <v>373</v>
      </c>
      <c r="F120" t="s">
        <v>54</v>
      </c>
      <c r="G120" s="1">
        <v>44813</v>
      </c>
    </row>
    <row r="121" spans="1:7">
      <c r="A121" t="s">
        <v>374</v>
      </c>
      <c r="B121" t="str">
        <f>IFERROR(INDEX(customers[country], MATCH(customers[[#This Row],[customer_id]], customers[customer_id], 0)), "Unmapped")</f>
        <v>Estonia</v>
      </c>
      <c r="C121" t="s">
        <v>375</v>
      </c>
      <c r="D121" t="s">
        <v>21</v>
      </c>
      <c r="E121" t="s">
        <v>376</v>
      </c>
      <c r="F121" t="s">
        <v>18</v>
      </c>
      <c r="G121" s="1">
        <v>44531</v>
      </c>
    </row>
    <row r="122" spans="1:7">
      <c r="A122" t="s">
        <v>377</v>
      </c>
      <c r="B122" t="str">
        <f>IFERROR(INDEX(customers[country], MATCH(customers[[#This Row],[customer_id]], customers[customer_id], 0)), "Unmapped")</f>
        <v>Denmark</v>
      </c>
      <c r="C122" t="s">
        <v>378</v>
      </c>
      <c r="D122" t="s">
        <v>8</v>
      </c>
      <c r="E122" t="s">
        <v>379</v>
      </c>
      <c r="F122" t="s">
        <v>105</v>
      </c>
      <c r="G122" s="1">
        <v>45576</v>
      </c>
    </row>
    <row r="123" spans="1:7">
      <c r="A123" t="s">
        <v>380</v>
      </c>
      <c r="B123" t="str">
        <f>IFERROR(INDEX(customers[country], MATCH(customers[[#This Row],[customer_id]], customers[customer_id], 0)), "Unmapped")</f>
        <v>Sweden</v>
      </c>
      <c r="C123" t="s">
        <v>381</v>
      </c>
      <c r="D123" t="s">
        <v>8</v>
      </c>
      <c r="E123" t="s">
        <v>382</v>
      </c>
      <c r="F123" t="s">
        <v>14</v>
      </c>
      <c r="G123" s="1">
        <v>44546</v>
      </c>
    </row>
    <row r="124" spans="1:7">
      <c r="A124" t="s">
        <v>383</v>
      </c>
      <c r="B124" t="str">
        <f>IFERROR(INDEX(customers[country], MATCH(customers[[#This Row],[customer_id]], customers[customer_id], 0)), "Unmapped")</f>
        <v>Germany</v>
      </c>
      <c r="C124" t="s">
        <v>384</v>
      </c>
      <c r="D124" t="s">
        <v>21</v>
      </c>
      <c r="E124" t="s">
        <v>385</v>
      </c>
      <c r="F124" t="s">
        <v>54</v>
      </c>
      <c r="G124" s="1">
        <v>44921</v>
      </c>
    </row>
    <row r="125" spans="1:7">
      <c r="A125" t="s">
        <v>386</v>
      </c>
      <c r="B125" t="str">
        <f>IFERROR(INDEX(customers[country], MATCH(customers[[#This Row],[customer_id]], customers[customer_id], 0)), "Unmapped")</f>
        <v>Germany</v>
      </c>
      <c r="C125" t="s">
        <v>387</v>
      </c>
      <c r="D125" t="s">
        <v>8</v>
      </c>
      <c r="E125" t="s">
        <v>388</v>
      </c>
      <c r="F125" t="s">
        <v>54</v>
      </c>
      <c r="G125" s="1">
        <v>45610</v>
      </c>
    </row>
    <row r="126" spans="1:7">
      <c r="A126" t="s">
        <v>389</v>
      </c>
      <c r="B126" t="str">
        <f>IFERROR(INDEX(customers[country], MATCH(customers[[#This Row],[customer_id]], customers[customer_id], 0)), "Unmapped")</f>
        <v>Poland</v>
      </c>
      <c r="C126" t="s">
        <v>390</v>
      </c>
      <c r="D126" t="s">
        <v>8</v>
      </c>
      <c r="E126" t="s">
        <v>391</v>
      </c>
      <c r="F126" t="s">
        <v>23</v>
      </c>
      <c r="G126" s="1">
        <v>44736</v>
      </c>
    </row>
    <row r="127" spans="1:7">
      <c r="A127" t="s">
        <v>392</v>
      </c>
      <c r="B127" t="str">
        <f>IFERROR(INDEX(customers[country], MATCH(customers[[#This Row],[customer_id]], customers[customer_id], 0)), "Unmapped")</f>
        <v>Latvia</v>
      </c>
      <c r="C127" t="s">
        <v>393</v>
      </c>
      <c r="D127" t="s">
        <v>8</v>
      </c>
      <c r="E127" t="s">
        <v>394</v>
      </c>
      <c r="F127" t="s">
        <v>10</v>
      </c>
      <c r="G127" s="1">
        <v>45821</v>
      </c>
    </row>
    <row r="128" spans="1:7">
      <c r="A128" t="s">
        <v>395</v>
      </c>
      <c r="B128" t="str">
        <f>IFERROR(INDEX(customers[country], MATCH(customers[[#This Row],[customer_id]], customers[customer_id], 0)), "Unmapped")</f>
        <v>Sweden</v>
      </c>
      <c r="C128" t="s">
        <v>396</v>
      </c>
      <c r="D128" t="s">
        <v>21</v>
      </c>
      <c r="E128" t="s">
        <v>397</v>
      </c>
      <c r="F128" t="s">
        <v>14</v>
      </c>
      <c r="G128" s="1">
        <v>44965</v>
      </c>
    </row>
    <row r="129" spans="1:7">
      <c r="A129" t="s">
        <v>398</v>
      </c>
      <c r="B129" t="str">
        <f>IFERROR(INDEX(customers[country], MATCH(customers[[#This Row],[customer_id]], customers[customer_id], 0)), "Unmapped")</f>
        <v>Sweden</v>
      </c>
      <c r="C129" t="s">
        <v>399</v>
      </c>
      <c r="D129" t="s">
        <v>21</v>
      </c>
      <c r="E129" t="s">
        <v>400</v>
      </c>
      <c r="F129" t="s">
        <v>14</v>
      </c>
      <c r="G129" s="1">
        <v>45304</v>
      </c>
    </row>
    <row r="130" spans="1:7">
      <c r="A130" t="s">
        <v>401</v>
      </c>
      <c r="B130" t="str">
        <f>IFERROR(INDEX(customers[country], MATCH(customers[[#This Row],[customer_id]], customers[customer_id], 0)), "Unmapped")</f>
        <v>Latvia</v>
      </c>
      <c r="C130" t="s">
        <v>402</v>
      </c>
      <c r="D130" t="s">
        <v>8</v>
      </c>
      <c r="E130" t="s">
        <v>403</v>
      </c>
      <c r="F130" t="s">
        <v>10</v>
      </c>
      <c r="G130" s="1">
        <v>45544</v>
      </c>
    </row>
    <row r="131" spans="1:7">
      <c r="A131" t="s">
        <v>404</v>
      </c>
      <c r="B131" t="str">
        <f>IFERROR(INDEX(customers[country], MATCH(customers[[#This Row],[customer_id]], customers[customer_id], 0)), "Unmapped")</f>
        <v>Latvia</v>
      </c>
      <c r="C131" t="s">
        <v>405</v>
      </c>
      <c r="D131" t="s">
        <v>8</v>
      </c>
      <c r="E131" t="s">
        <v>406</v>
      </c>
      <c r="F131" t="s">
        <v>10</v>
      </c>
      <c r="G131" s="1">
        <v>44601</v>
      </c>
    </row>
    <row r="132" spans="1:7">
      <c r="A132" t="s">
        <v>407</v>
      </c>
      <c r="B132" t="str">
        <f>IFERROR(INDEX(customers[country], MATCH(customers[[#This Row],[customer_id]], customers[customer_id], 0)), "Unmapped")</f>
        <v>Poland</v>
      </c>
      <c r="C132" t="s">
        <v>408</v>
      </c>
      <c r="D132" t="s">
        <v>8</v>
      </c>
      <c r="E132" t="s">
        <v>409</v>
      </c>
      <c r="F132" t="s">
        <v>23</v>
      </c>
      <c r="G132" s="1">
        <v>44833</v>
      </c>
    </row>
    <row r="133" spans="1:7">
      <c r="A133" t="s">
        <v>410</v>
      </c>
      <c r="B133" t="str">
        <f>IFERROR(INDEX(customers[country], MATCH(customers[[#This Row],[customer_id]], customers[customer_id], 0)), "Unmapped")</f>
        <v>Norway</v>
      </c>
      <c r="C133" t="s">
        <v>411</v>
      </c>
      <c r="D133" t="s">
        <v>8</v>
      </c>
      <c r="E133" t="s">
        <v>412</v>
      </c>
      <c r="F133" t="s">
        <v>76</v>
      </c>
      <c r="G133" s="1">
        <v>45095</v>
      </c>
    </row>
    <row r="134" spans="1:7">
      <c r="A134" t="s">
        <v>413</v>
      </c>
      <c r="B134" t="str">
        <f>IFERROR(INDEX(customers[country], MATCH(customers[[#This Row],[customer_id]], customers[customer_id], 0)), "Unmapped")</f>
        <v>Poland</v>
      </c>
      <c r="C134" t="s">
        <v>414</v>
      </c>
      <c r="D134" t="s">
        <v>8</v>
      </c>
      <c r="E134" t="s">
        <v>415</v>
      </c>
      <c r="F134" t="s">
        <v>23</v>
      </c>
      <c r="G134" s="1">
        <v>45881</v>
      </c>
    </row>
    <row r="135" spans="1:7">
      <c r="A135" t="s">
        <v>416</v>
      </c>
      <c r="B135" t="str">
        <f>IFERROR(INDEX(customers[country], MATCH(customers[[#This Row],[customer_id]], customers[customer_id], 0)), "Unmapped")</f>
        <v>Denmark</v>
      </c>
      <c r="C135" t="s">
        <v>417</v>
      </c>
      <c r="D135" t="s">
        <v>8</v>
      </c>
      <c r="E135" t="s">
        <v>418</v>
      </c>
      <c r="F135" t="s">
        <v>105</v>
      </c>
      <c r="G135" s="1">
        <v>45982</v>
      </c>
    </row>
    <row r="136" spans="1:7">
      <c r="A136" t="s">
        <v>419</v>
      </c>
      <c r="B136" t="str">
        <f>IFERROR(INDEX(customers[country], MATCH(customers[[#This Row],[customer_id]], customers[customer_id], 0)), "Unmapped")</f>
        <v>Estonia</v>
      </c>
      <c r="C136" t="s">
        <v>420</v>
      </c>
      <c r="D136" t="s">
        <v>36</v>
      </c>
      <c r="E136" t="s">
        <v>421</v>
      </c>
      <c r="F136" t="s">
        <v>18</v>
      </c>
      <c r="G136" s="1">
        <v>45603</v>
      </c>
    </row>
    <row r="137" spans="1:7">
      <c r="A137" t="s">
        <v>422</v>
      </c>
      <c r="B137" t="str">
        <f>IFERROR(INDEX(customers[country], MATCH(customers[[#This Row],[customer_id]], customers[customer_id], 0)), "Unmapped")</f>
        <v>Germany</v>
      </c>
      <c r="C137" t="s">
        <v>423</v>
      </c>
      <c r="D137" t="s">
        <v>8</v>
      </c>
      <c r="E137" t="s">
        <v>424</v>
      </c>
      <c r="F137" t="s">
        <v>54</v>
      </c>
      <c r="G137" s="1">
        <v>45454</v>
      </c>
    </row>
    <row r="138" spans="1:7">
      <c r="A138" t="s">
        <v>425</v>
      </c>
      <c r="B138" t="str">
        <f>IFERROR(INDEX(customers[country], MATCH(customers[[#This Row],[customer_id]], customers[customer_id], 0)), "Unmapped")</f>
        <v>Denmark</v>
      </c>
      <c r="C138" t="s">
        <v>426</v>
      </c>
      <c r="D138" t="s">
        <v>36</v>
      </c>
      <c r="E138" t="s">
        <v>427</v>
      </c>
      <c r="F138" t="s">
        <v>105</v>
      </c>
      <c r="G138" s="1">
        <v>44475</v>
      </c>
    </row>
    <row r="139" spans="1:7">
      <c r="A139" t="s">
        <v>428</v>
      </c>
      <c r="B139" t="str">
        <f>IFERROR(INDEX(customers[country], MATCH(customers[[#This Row],[customer_id]], customers[customer_id], 0)), "Unmapped")</f>
        <v>Finland</v>
      </c>
      <c r="C139" t="s">
        <v>429</v>
      </c>
      <c r="D139" t="s">
        <v>8</v>
      </c>
      <c r="E139" t="s">
        <v>430</v>
      </c>
      <c r="F139" t="s">
        <v>83</v>
      </c>
      <c r="G139" s="1">
        <v>45986</v>
      </c>
    </row>
    <row r="140" spans="1:7">
      <c r="A140" t="s">
        <v>431</v>
      </c>
      <c r="B140" t="str">
        <f>IFERROR(INDEX(customers[country], MATCH(customers[[#This Row],[customer_id]], customers[customer_id], 0)), "Unmapped")</f>
        <v>Sweden</v>
      </c>
      <c r="C140" t="s">
        <v>432</v>
      </c>
      <c r="D140" t="s">
        <v>8</v>
      </c>
      <c r="E140" t="s">
        <v>433</v>
      </c>
      <c r="F140" t="s">
        <v>14</v>
      </c>
      <c r="G140" s="1">
        <v>45099</v>
      </c>
    </row>
    <row r="141" spans="1:7">
      <c r="A141" t="s">
        <v>434</v>
      </c>
      <c r="B141" t="str">
        <f>IFERROR(INDEX(customers[country], MATCH(customers[[#This Row],[customer_id]], customers[customer_id], 0)), "Unmapped")</f>
        <v>Lithuania</v>
      </c>
      <c r="C141" t="s">
        <v>435</v>
      </c>
      <c r="D141" t="s">
        <v>36</v>
      </c>
      <c r="E141" t="s">
        <v>436</v>
      </c>
      <c r="F141" t="s">
        <v>41</v>
      </c>
      <c r="G141" s="1">
        <v>45494</v>
      </c>
    </row>
    <row r="142" spans="1:7">
      <c r="A142" t="s">
        <v>437</v>
      </c>
      <c r="B142" t="str">
        <f>IFERROR(INDEX(customers[country], MATCH(customers[[#This Row],[customer_id]], customers[customer_id], 0)), "Unmapped")</f>
        <v>Lithuania</v>
      </c>
      <c r="C142" t="s">
        <v>438</v>
      </c>
      <c r="D142" t="s">
        <v>8</v>
      </c>
      <c r="E142" t="s">
        <v>439</v>
      </c>
      <c r="F142" t="s">
        <v>41</v>
      </c>
      <c r="G142" s="1">
        <v>45612</v>
      </c>
    </row>
    <row r="143" spans="1:7">
      <c r="A143" t="s">
        <v>440</v>
      </c>
      <c r="B143" t="str">
        <f>IFERROR(INDEX(customers[country], MATCH(customers[[#This Row],[customer_id]], customers[customer_id], 0)), "Unmapped")</f>
        <v>Poland</v>
      </c>
      <c r="C143" t="s">
        <v>441</v>
      </c>
      <c r="D143" t="s">
        <v>21</v>
      </c>
      <c r="E143" t="s">
        <v>442</v>
      </c>
      <c r="F143" t="s">
        <v>23</v>
      </c>
      <c r="G143" s="1">
        <v>45043</v>
      </c>
    </row>
    <row r="144" spans="1:7">
      <c r="A144" t="s">
        <v>443</v>
      </c>
      <c r="B144" t="str">
        <f>IFERROR(INDEX(customers[country], MATCH(customers[[#This Row],[customer_id]], customers[customer_id], 0)), "Unmapped")</f>
        <v>Estonia</v>
      </c>
      <c r="C144" t="s">
        <v>444</v>
      </c>
      <c r="D144" t="s">
        <v>21</v>
      </c>
      <c r="E144" t="s">
        <v>445</v>
      </c>
      <c r="F144" t="s">
        <v>18</v>
      </c>
      <c r="G144" s="1">
        <v>44504</v>
      </c>
    </row>
    <row r="145" spans="1:7">
      <c r="A145" t="s">
        <v>446</v>
      </c>
      <c r="B145" t="str">
        <f>IFERROR(INDEX(customers[country], MATCH(customers[[#This Row],[customer_id]], customers[customer_id], 0)), "Unmapped")</f>
        <v>Sweden</v>
      </c>
      <c r="C145" t="s">
        <v>447</v>
      </c>
      <c r="D145" t="s">
        <v>36</v>
      </c>
      <c r="E145" t="s">
        <v>448</v>
      </c>
      <c r="F145" t="s">
        <v>14</v>
      </c>
      <c r="G145" s="1">
        <v>45801</v>
      </c>
    </row>
    <row r="146" spans="1:7">
      <c r="A146" t="s">
        <v>449</v>
      </c>
      <c r="B146" t="str">
        <f>IFERROR(INDEX(customers[country], MATCH(customers[[#This Row],[customer_id]], customers[customer_id], 0)), "Unmapped")</f>
        <v>Norway</v>
      </c>
      <c r="C146" t="s">
        <v>450</v>
      </c>
      <c r="D146" t="s">
        <v>8</v>
      </c>
      <c r="E146" t="s">
        <v>451</v>
      </c>
      <c r="F146" t="s">
        <v>76</v>
      </c>
      <c r="G146" s="1">
        <v>44655</v>
      </c>
    </row>
    <row r="147" spans="1:7">
      <c r="A147" t="s">
        <v>452</v>
      </c>
      <c r="B147" t="str">
        <f>IFERROR(INDEX(customers[country], MATCH(customers[[#This Row],[customer_id]], customers[customer_id], 0)), "Unmapped")</f>
        <v>Sweden</v>
      </c>
      <c r="C147" t="s">
        <v>453</v>
      </c>
      <c r="D147" t="s">
        <v>8</v>
      </c>
      <c r="E147" t="s">
        <v>454</v>
      </c>
      <c r="F147" t="s">
        <v>14</v>
      </c>
      <c r="G147" s="1">
        <v>45206</v>
      </c>
    </row>
    <row r="148" spans="1:7">
      <c r="A148" t="s">
        <v>455</v>
      </c>
      <c r="B148" t="str">
        <f>IFERROR(INDEX(customers[country], MATCH(customers[[#This Row],[customer_id]], customers[customer_id], 0)), "Unmapped")</f>
        <v>Poland</v>
      </c>
      <c r="C148" t="s">
        <v>456</v>
      </c>
      <c r="D148" t="s">
        <v>8</v>
      </c>
      <c r="E148" t="s">
        <v>457</v>
      </c>
      <c r="F148" t="s">
        <v>23</v>
      </c>
      <c r="G148" s="1">
        <v>44943</v>
      </c>
    </row>
    <row r="149" spans="1:7">
      <c r="A149" t="s">
        <v>458</v>
      </c>
      <c r="B149" t="str">
        <f>IFERROR(INDEX(customers[country], MATCH(customers[[#This Row],[customer_id]], customers[customer_id], 0)), "Unmapped")</f>
        <v>Poland</v>
      </c>
      <c r="C149" t="s">
        <v>459</v>
      </c>
      <c r="D149" t="s">
        <v>8</v>
      </c>
      <c r="E149" t="s">
        <v>460</v>
      </c>
      <c r="F149" t="s">
        <v>23</v>
      </c>
      <c r="G149" s="1">
        <v>44581</v>
      </c>
    </row>
    <row r="150" spans="1:7">
      <c r="A150" t="s">
        <v>461</v>
      </c>
      <c r="B150" t="str">
        <f>IFERROR(INDEX(customers[country], MATCH(customers[[#This Row],[customer_id]], customers[customer_id], 0)), "Unmapped")</f>
        <v>Latvia</v>
      </c>
      <c r="C150" t="s">
        <v>462</v>
      </c>
      <c r="D150" t="s">
        <v>8</v>
      </c>
      <c r="E150" t="s">
        <v>463</v>
      </c>
      <c r="F150" t="s">
        <v>10</v>
      </c>
      <c r="G150" s="1">
        <v>45987</v>
      </c>
    </row>
    <row r="151" spans="1:7">
      <c r="A151" t="s">
        <v>464</v>
      </c>
      <c r="B151" t="str">
        <f>IFERROR(INDEX(customers[country], MATCH(customers[[#This Row],[customer_id]], customers[customer_id], 0)), "Unmapped")</f>
        <v>Finland</v>
      </c>
      <c r="C151" t="s">
        <v>465</v>
      </c>
      <c r="D151" t="s">
        <v>21</v>
      </c>
      <c r="E151" t="s">
        <v>466</v>
      </c>
      <c r="F151" t="s">
        <v>83</v>
      </c>
      <c r="G151" s="1">
        <v>45339</v>
      </c>
    </row>
    <row r="152" spans="1:7">
      <c r="A152" t="s">
        <v>467</v>
      </c>
      <c r="B152" t="str">
        <f>IFERROR(INDEX(customers[country], MATCH(customers[[#This Row],[customer_id]], customers[customer_id], 0)), "Unmapped")</f>
        <v>Latvia</v>
      </c>
      <c r="C152" t="s">
        <v>468</v>
      </c>
      <c r="D152" t="s">
        <v>21</v>
      </c>
      <c r="E152" t="s">
        <v>469</v>
      </c>
      <c r="F152" t="s">
        <v>10</v>
      </c>
      <c r="G152" s="1">
        <v>44882</v>
      </c>
    </row>
    <row r="153" spans="1:7">
      <c r="A153" t="s">
        <v>470</v>
      </c>
      <c r="B153" t="str">
        <f>IFERROR(INDEX(customers[country], MATCH(customers[[#This Row],[customer_id]], customers[customer_id], 0)), "Unmapped")</f>
        <v>Norway</v>
      </c>
      <c r="C153" t="s">
        <v>471</v>
      </c>
      <c r="D153" t="s">
        <v>8</v>
      </c>
      <c r="E153" t="s">
        <v>472</v>
      </c>
      <c r="F153" t="s">
        <v>76</v>
      </c>
      <c r="G153" s="1">
        <v>45256</v>
      </c>
    </row>
    <row r="154" spans="1:7">
      <c r="A154" t="s">
        <v>473</v>
      </c>
      <c r="B154" t="str">
        <f>IFERROR(INDEX(customers[country], MATCH(customers[[#This Row],[customer_id]], customers[customer_id], 0)), "Unmapped")</f>
        <v>Netherlands</v>
      </c>
      <c r="C154" t="s">
        <v>474</v>
      </c>
      <c r="D154" t="s">
        <v>8</v>
      </c>
      <c r="E154" t="s">
        <v>475</v>
      </c>
      <c r="F154" t="s">
        <v>33</v>
      </c>
      <c r="G154" s="1">
        <v>44694</v>
      </c>
    </row>
    <row r="155" spans="1:7">
      <c r="A155" t="s">
        <v>476</v>
      </c>
      <c r="B155" t="str">
        <f>IFERROR(INDEX(customers[country], MATCH(customers[[#This Row],[customer_id]], customers[customer_id], 0)), "Unmapped")</f>
        <v>Norway</v>
      </c>
      <c r="C155" t="s">
        <v>477</v>
      </c>
      <c r="D155" t="s">
        <v>21</v>
      </c>
      <c r="E155" t="s">
        <v>478</v>
      </c>
      <c r="F155" t="s">
        <v>76</v>
      </c>
      <c r="G155" s="1">
        <v>45334</v>
      </c>
    </row>
    <row r="156" spans="1:7">
      <c r="A156" t="s">
        <v>479</v>
      </c>
      <c r="B156" t="str">
        <f>IFERROR(INDEX(customers[country], MATCH(customers[[#This Row],[customer_id]], customers[customer_id], 0)), "Unmapped")</f>
        <v>Latvia</v>
      </c>
      <c r="C156" t="s">
        <v>480</v>
      </c>
      <c r="D156" t="s">
        <v>36</v>
      </c>
      <c r="E156" t="s">
        <v>481</v>
      </c>
      <c r="F156" t="s">
        <v>10</v>
      </c>
      <c r="G156" s="1">
        <v>45581</v>
      </c>
    </row>
    <row r="157" spans="1:7">
      <c r="A157" t="s">
        <v>482</v>
      </c>
      <c r="B157" t="str">
        <f>IFERROR(INDEX(customers[country], MATCH(customers[[#This Row],[customer_id]], customers[customer_id], 0)), "Unmapped")</f>
        <v>Finland</v>
      </c>
      <c r="C157" t="s">
        <v>483</v>
      </c>
      <c r="D157" t="s">
        <v>21</v>
      </c>
      <c r="E157" t="s">
        <v>484</v>
      </c>
      <c r="F157" t="s">
        <v>83</v>
      </c>
      <c r="G157" s="1">
        <v>46137</v>
      </c>
    </row>
    <row r="158" spans="1:7">
      <c r="A158" t="s">
        <v>485</v>
      </c>
      <c r="B158" t="str">
        <f>IFERROR(INDEX(customers[country], MATCH(customers[[#This Row],[customer_id]], customers[customer_id], 0)), "Unmapped")</f>
        <v>Latvia</v>
      </c>
      <c r="C158" t="s">
        <v>486</v>
      </c>
      <c r="D158" t="s">
        <v>21</v>
      </c>
      <c r="E158" t="s">
        <v>487</v>
      </c>
      <c r="F158" t="s">
        <v>10</v>
      </c>
      <c r="G158" s="1">
        <v>45323</v>
      </c>
    </row>
    <row r="159" spans="1:7">
      <c r="A159" t="s">
        <v>488</v>
      </c>
      <c r="B159" t="str">
        <f>IFERROR(INDEX(customers[country], MATCH(customers[[#This Row],[customer_id]], customers[customer_id], 0)), "Unmapped")</f>
        <v>Netherlands</v>
      </c>
      <c r="C159" t="s">
        <v>489</v>
      </c>
      <c r="D159" t="s">
        <v>8</v>
      </c>
      <c r="E159" t="s">
        <v>490</v>
      </c>
      <c r="F159" t="s">
        <v>33</v>
      </c>
      <c r="G159" s="1">
        <v>45329</v>
      </c>
    </row>
    <row r="160" spans="1:7">
      <c r="A160" t="s">
        <v>491</v>
      </c>
      <c r="B160" t="str">
        <f>IFERROR(INDEX(customers[country], MATCH(customers[[#This Row],[customer_id]], customers[customer_id], 0)), "Unmapped")</f>
        <v>Latvia</v>
      </c>
      <c r="C160" t="s">
        <v>492</v>
      </c>
      <c r="D160" t="s">
        <v>8</v>
      </c>
      <c r="E160" t="s">
        <v>493</v>
      </c>
      <c r="F160" t="s">
        <v>10</v>
      </c>
      <c r="G160" s="1">
        <v>45362</v>
      </c>
    </row>
    <row r="161" spans="1:7">
      <c r="A161" t="s">
        <v>494</v>
      </c>
      <c r="B161" t="str">
        <f>IFERROR(INDEX(customers[country], MATCH(customers[[#This Row],[customer_id]], customers[customer_id], 0)), "Unmapped")</f>
        <v>Sweden</v>
      </c>
      <c r="C161" t="s">
        <v>495</v>
      </c>
      <c r="D161" t="s">
        <v>8</v>
      </c>
      <c r="E161" t="s">
        <v>496</v>
      </c>
      <c r="F161" t="s">
        <v>14</v>
      </c>
      <c r="G161" s="1">
        <v>45841</v>
      </c>
    </row>
    <row r="162" spans="1:7">
      <c r="A162" t="s">
        <v>497</v>
      </c>
      <c r="B162" t="str">
        <f>IFERROR(INDEX(customers[country], MATCH(customers[[#This Row],[customer_id]], customers[customer_id], 0)), "Unmapped")</f>
        <v>Germany</v>
      </c>
      <c r="C162" t="s">
        <v>498</v>
      </c>
      <c r="D162" t="s">
        <v>21</v>
      </c>
      <c r="E162" t="s">
        <v>499</v>
      </c>
      <c r="F162" t="s">
        <v>54</v>
      </c>
      <c r="G162" s="1">
        <v>45022</v>
      </c>
    </row>
    <row r="163" spans="1:7">
      <c r="A163" t="s">
        <v>500</v>
      </c>
      <c r="B163" t="str">
        <f>IFERROR(INDEX(customers[country], MATCH(customers[[#This Row],[customer_id]], customers[customer_id], 0)), "Unmapped")</f>
        <v>Estonia</v>
      </c>
      <c r="C163" t="s">
        <v>501</v>
      </c>
      <c r="D163" t="s">
        <v>21</v>
      </c>
      <c r="E163" t="s">
        <v>502</v>
      </c>
      <c r="F163" t="s">
        <v>18</v>
      </c>
      <c r="G163" s="1">
        <v>44979</v>
      </c>
    </row>
    <row r="164" spans="1:7">
      <c r="A164" t="s">
        <v>503</v>
      </c>
      <c r="B164" t="str">
        <f>IFERROR(INDEX(customers[country], MATCH(customers[[#This Row],[customer_id]], customers[customer_id], 0)), "Unmapped")</f>
        <v>Denmark</v>
      </c>
      <c r="C164" t="s">
        <v>504</v>
      </c>
      <c r="D164" t="s">
        <v>8</v>
      </c>
      <c r="E164" t="s">
        <v>505</v>
      </c>
      <c r="F164" t="s">
        <v>105</v>
      </c>
      <c r="G164" s="1">
        <v>46124</v>
      </c>
    </row>
    <row r="165" spans="1:7">
      <c r="A165" t="s">
        <v>506</v>
      </c>
      <c r="B165" t="str">
        <f>IFERROR(INDEX(customers[country], MATCH(customers[[#This Row],[customer_id]], customers[customer_id], 0)), "Unmapped")</f>
        <v>Poland</v>
      </c>
      <c r="C165" t="s">
        <v>507</v>
      </c>
      <c r="D165" t="s">
        <v>8</v>
      </c>
      <c r="E165" t="s">
        <v>508</v>
      </c>
      <c r="F165" t="s">
        <v>23</v>
      </c>
      <c r="G165" s="1">
        <v>44746</v>
      </c>
    </row>
    <row r="166" spans="1:7">
      <c r="A166" t="s">
        <v>509</v>
      </c>
      <c r="B166" t="str">
        <f>IFERROR(INDEX(customers[country], MATCH(customers[[#This Row],[customer_id]], customers[customer_id], 0)), "Unmapped")</f>
        <v>Sweden</v>
      </c>
      <c r="C166" t="s">
        <v>510</v>
      </c>
      <c r="D166" t="s">
        <v>36</v>
      </c>
      <c r="E166" t="s">
        <v>511</v>
      </c>
      <c r="F166" t="s">
        <v>14</v>
      </c>
      <c r="G166" s="1">
        <v>44701</v>
      </c>
    </row>
    <row r="167" spans="1:7">
      <c r="A167" t="s">
        <v>512</v>
      </c>
      <c r="B167" t="str">
        <f>IFERROR(INDEX(customers[country], MATCH(customers[[#This Row],[customer_id]], customers[customer_id], 0)), "Unmapped")</f>
        <v>Poland</v>
      </c>
      <c r="C167" t="s">
        <v>513</v>
      </c>
      <c r="D167" t="s">
        <v>21</v>
      </c>
      <c r="E167" t="s">
        <v>514</v>
      </c>
      <c r="F167" t="s">
        <v>23</v>
      </c>
      <c r="G167" s="1">
        <v>45496</v>
      </c>
    </row>
    <row r="168" spans="1:7">
      <c r="A168" t="s">
        <v>515</v>
      </c>
      <c r="B168" t="str">
        <f>IFERROR(INDEX(customers[country], MATCH(customers[[#This Row],[customer_id]], customers[customer_id], 0)), "Unmapped")</f>
        <v>Latvia</v>
      </c>
      <c r="C168" t="s">
        <v>516</v>
      </c>
      <c r="D168" t="s">
        <v>21</v>
      </c>
      <c r="E168" t="s">
        <v>517</v>
      </c>
      <c r="F168" t="s">
        <v>10</v>
      </c>
      <c r="G168" s="1">
        <v>45161</v>
      </c>
    </row>
    <row r="169" spans="1:7">
      <c r="A169" t="s">
        <v>518</v>
      </c>
      <c r="B169" t="str">
        <f>IFERROR(INDEX(customers[country], MATCH(customers[[#This Row],[customer_id]], customers[customer_id], 0)), "Unmapped")</f>
        <v>Germany</v>
      </c>
      <c r="C169" t="s">
        <v>519</v>
      </c>
      <c r="D169" t="s">
        <v>36</v>
      </c>
      <c r="E169" t="s">
        <v>520</v>
      </c>
      <c r="F169" t="s">
        <v>54</v>
      </c>
      <c r="G169" s="1">
        <v>44979</v>
      </c>
    </row>
    <row r="170" spans="1:7">
      <c r="A170" t="s">
        <v>521</v>
      </c>
      <c r="B170" t="str">
        <f>IFERROR(INDEX(customers[country], MATCH(customers[[#This Row],[customer_id]], customers[customer_id], 0)), "Unmapped")</f>
        <v>Norway</v>
      </c>
      <c r="C170" t="s">
        <v>522</v>
      </c>
      <c r="D170" t="s">
        <v>36</v>
      </c>
      <c r="E170" t="s">
        <v>523</v>
      </c>
      <c r="F170" t="s">
        <v>76</v>
      </c>
      <c r="G170" s="1">
        <v>45821</v>
      </c>
    </row>
    <row r="171" spans="1:7">
      <c r="A171" t="s">
        <v>524</v>
      </c>
      <c r="B171" t="str">
        <f>IFERROR(INDEX(customers[country], MATCH(customers[[#This Row],[customer_id]], customers[customer_id], 0)), "Unmapped")</f>
        <v>Norway</v>
      </c>
      <c r="C171" t="s">
        <v>525</v>
      </c>
      <c r="D171" t="s">
        <v>21</v>
      </c>
      <c r="E171" t="s">
        <v>526</v>
      </c>
      <c r="F171" t="s">
        <v>76</v>
      </c>
      <c r="G171" s="1">
        <v>45575</v>
      </c>
    </row>
    <row r="172" spans="1:7">
      <c r="A172" t="s">
        <v>527</v>
      </c>
      <c r="B172" t="str">
        <f>IFERROR(INDEX(customers[country], MATCH(customers[[#This Row],[customer_id]], customers[customer_id], 0)), "Unmapped")</f>
        <v>Sweden</v>
      </c>
      <c r="C172" t="s">
        <v>528</v>
      </c>
      <c r="D172" t="s">
        <v>21</v>
      </c>
      <c r="E172" t="s">
        <v>529</v>
      </c>
      <c r="F172" t="s">
        <v>14</v>
      </c>
      <c r="G172" s="1">
        <v>44913</v>
      </c>
    </row>
    <row r="173" spans="1:7">
      <c r="A173" t="s">
        <v>530</v>
      </c>
      <c r="B173" t="str">
        <f>IFERROR(INDEX(customers[country], MATCH(customers[[#This Row],[customer_id]], customers[customer_id], 0)), "Unmapped")</f>
        <v>Denmark</v>
      </c>
      <c r="C173" t="s">
        <v>531</v>
      </c>
      <c r="D173" t="s">
        <v>8</v>
      </c>
      <c r="E173" t="s">
        <v>532</v>
      </c>
      <c r="F173" t="s">
        <v>105</v>
      </c>
      <c r="G173" s="1">
        <v>45051</v>
      </c>
    </row>
    <row r="174" spans="1:7">
      <c r="A174" t="s">
        <v>533</v>
      </c>
      <c r="B174" t="str">
        <f>IFERROR(INDEX(customers[country], MATCH(customers[[#This Row],[customer_id]], customers[customer_id], 0)), "Unmapped")</f>
        <v>Germany</v>
      </c>
      <c r="C174" t="s">
        <v>534</v>
      </c>
      <c r="D174" t="s">
        <v>8</v>
      </c>
      <c r="E174" t="s">
        <v>535</v>
      </c>
      <c r="F174" t="s">
        <v>54</v>
      </c>
      <c r="G174" s="1">
        <v>45096</v>
      </c>
    </row>
    <row r="175" spans="1:7">
      <c r="A175" t="s">
        <v>536</v>
      </c>
      <c r="B175" t="str">
        <f>IFERROR(INDEX(customers[country], MATCH(customers[[#This Row],[customer_id]], customers[customer_id], 0)), "Unmapped")</f>
        <v>Germany</v>
      </c>
      <c r="C175" t="s">
        <v>537</v>
      </c>
      <c r="D175" t="s">
        <v>36</v>
      </c>
      <c r="E175" t="s">
        <v>538</v>
      </c>
      <c r="F175" t="s">
        <v>54</v>
      </c>
      <c r="G175" s="1">
        <v>44491</v>
      </c>
    </row>
    <row r="176" spans="1:7">
      <c r="A176" t="s">
        <v>539</v>
      </c>
      <c r="B176" t="str">
        <f>IFERROR(INDEX(customers[country], MATCH(customers[[#This Row],[customer_id]], customers[customer_id], 0)), "Unmapped")</f>
        <v>Sweden</v>
      </c>
      <c r="C176" t="s">
        <v>540</v>
      </c>
      <c r="D176" t="s">
        <v>36</v>
      </c>
      <c r="E176" t="s">
        <v>541</v>
      </c>
      <c r="F176" t="s">
        <v>14</v>
      </c>
      <c r="G176" s="1">
        <v>46050</v>
      </c>
    </row>
    <row r="177" spans="1:7">
      <c r="A177" t="s">
        <v>542</v>
      </c>
      <c r="B177" t="str">
        <f>IFERROR(INDEX(customers[country], MATCH(customers[[#This Row],[customer_id]], customers[customer_id], 0)), "Unmapped")</f>
        <v>Poland</v>
      </c>
      <c r="C177" t="s">
        <v>543</v>
      </c>
      <c r="D177" t="s">
        <v>21</v>
      </c>
      <c r="E177" t="s">
        <v>544</v>
      </c>
      <c r="F177" t="s">
        <v>23</v>
      </c>
      <c r="G177" s="1">
        <v>44850</v>
      </c>
    </row>
    <row r="178" spans="1:7">
      <c r="A178" t="s">
        <v>545</v>
      </c>
      <c r="B178" t="str">
        <f>IFERROR(INDEX(customers[country], MATCH(customers[[#This Row],[customer_id]], customers[customer_id], 0)), "Unmapped")</f>
        <v>Netherlands</v>
      </c>
      <c r="C178" t="s">
        <v>546</v>
      </c>
      <c r="D178" t="s">
        <v>36</v>
      </c>
      <c r="E178" t="s">
        <v>547</v>
      </c>
      <c r="F178" t="s">
        <v>33</v>
      </c>
      <c r="G178" s="1">
        <v>45495</v>
      </c>
    </row>
    <row r="179" spans="1:7">
      <c r="A179" t="s">
        <v>548</v>
      </c>
      <c r="B179" t="str">
        <f>IFERROR(INDEX(customers[country], MATCH(customers[[#This Row],[customer_id]], customers[customer_id], 0)), "Unmapped")</f>
        <v>Sweden</v>
      </c>
      <c r="C179" t="s">
        <v>549</v>
      </c>
      <c r="D179" t="s">
        <v>21</v>
      </c>
      <c r="E179" t="s">
        <v>550</v>
      </c>
      <c r="F179" t="s">
        <v>14</v>
      </c>
      <c r="G179" s="1">
        <v>45194</v>
      </c>
    </row>
    <row r="180" spans="1:7">
      <c r="A180" t="s">
        <v>551</v>
      </c>
      <c r="B180" t="str">
        <f>IFERROR(INDEX(customers[country], MATCH(customers[[#This Row],[customer_id]], customers[customer_id], 0)), "Unmapped")</f>
        <v>Latvia</v>
      </c>
      <c r="C180" t="s">
        <v>552</v>
      </c>
      <c r="D180" t="s">
        <v>21</v>
      </c>
      <c r="E180" t="s">
        <v>553</v>
      </c>
      <c r="F180" t="s">
        <v>10</v>
      </c>
      <c r="G180" s="1">
        <v>46136</v>
      </c>
    </row>
    <row r="181" spans="1:7">
      <c r="A181" t="s">
        <v>554</v>
      </c>
      <c r="B181" t="str">
        <f>IFERROR(INDEX(customers[country], MATCH(customers[[#This Row],[customer_id]], customers[customer_id], 0)), "Unmapped")</f>
        <v>Germany</v>
      </c>
      <c r="C181" t="s">
        <v>555</v>
      </c>
      <c r="D181" t="s">
        <v>8</v>
      </c>
      <c r="E181" t="s">
        <v>556</v>
      </c>
      <c r="F181" t="s">
        <v>54</v>
      </c>
      <c r="G181" s="1">
        <v>45565</v>
      </c>
    </row>
    <row r="182" spans="1:7">
      <c r="A182" t="s">
        <v>557</v>
      </c>
      <c r="B182" t="str">
        <f>IFERROR(INDEX(customers[country], MATCH(customers[[#This Row],[customer_id]], customers[customer_id], 0)), "Unmapped")</f>
        <v>Norway</v>
      </c>
      <c r="C182" t="s">
        <v>558</v>
      </c>
      <c r="D182" t="s">
        <v>36</v>
      </c>
      <c r="E182" t="s">
        <v>559</v>
      </c>
      <c r="F182" t="s">
        <v>76</v>
      </c>
      <c r="G182" s="1">
        <v>45809</v>
      </c>
    </row>
    <row r="183" spans="1:7">
      <c r="A183" t="s">
        <v>560</v>
      </c>
      <c r="B183" t="str">
        <f>IFERROR(INDEX(customers[country], MATCH(customers[[#This Row],[customer_id]], customers[customer_id], 0)), "Unmapped")</f>
        <v>Finland</v>
      </c>
      <c r="C183" t="s">
        <v>561</v>
      </c>
      <c r="D183" t="s">
        <v>21</v>
      </c>
      <c r="E183" t="s">
        <v>562</v>
      </c>
      <c r="F183" t="s">
        <v>83</v>
      </c>
      <c r="G183" s="1">
        <v>45915</v>
      </c>
    </row>
    <row r="184" spans="1:7">
      <c r="A184" t="s">
        <v>563</v>
      </c>
      <c r="B184" t="str">
        <f>IFERROR(INDEX(customers[country], MATCH(customers[[#This Row],[customer_id]], customers[customer_id], 0)), "Unmapped")</f>
        <v>Estonia</v>
      </c>
      <c r="C184" t="s">
        <v>564</v>
      </c>
      <c r="D184" t="s">
        <v>8</v>
      </c>
      <c r="E184" t="s">
        <v>565</v>
      </c>
      <c r="F184" t="s">
        <v>18</v>
      </c>
      <c r="G184" s="1">
        <v>45709</v>
      </c>
    </row>
    <row r="185" spans="1:7">
      <c r="A185" t="s">
        <v>566</v>
      </c>
      <c r="B185" t="str">
        <f>IFERROR(INDEX(customers[country], MATCH(customers[[#This Row],[customer_id]], customers[customer_id], 0)), "Unmapped")</f>
        <v>Denmark</v>
      </c>
      <c r="C185" t="s">
        <v>567</v>
      </c>
      <c r="D185" t="s">
        <v>36</v>
      </c>
      <c r="E185" t="s">
        <v>568</v>
      </c>
      <c r="F185" t="s">
        <v>105</v>
      </c>
      <c r="G185" s="1">
        <v>44980</v>
      </c>
    </row>
    <row r="186" spans="1:7">
      <c r="A186" t="s">
        <v>569</v>
      </c>
      <c r="B186" t="str">
        <f>IFERROR(INDEX(customers[country], MATCH(customers[[#This Row],[customer_id]], customers[customer_id], 0)), "Unmapped")</f>
        <v>Estonia</v>
      </c>
      <c r="C186" t="s">
        <v>570</v>
      </c>
      <c r="D186" t="s">
        <v>8</v>
      </c>
      <c r="E186" t="s">
        <v>571</v>
      </c>
      <c r="F186" t="s">
        <v>18</v>
      </c>
      <c r="G186" s="1">
        <v>44937</v>
      </c>
    </row>
    <row r="187" spans="1:7">
      <c r="A187" t="s">
        <v>572</v>
      </c>
      <c r="B187" t="str">
        <f>IFERROR(INDEX(customers[country], MATCH(customers[[#This Row],[customer_id]], customers[customer_id], 0)), "Unmapped")</f>
        <v>Germany</v>
      </c>
      <c r="C187" t="s">
        <v>573</v>
      </c>
      <c r="D187" t="s">
        <v>21</v>
      </c>
      <c r="E187" t="s">
        <v>574</v>
      </c>
      <c r="F187" t="s">
        <v>54</v>
      </c>
      <c r="G187" s="1">
        <v>45208</v>
      </c>
    </row>
    <row r="188" spans="1:7">
      <c r="A188" t="s">
        <v>575</v>
      </c>
      <c r="B188" t="str">
        <f>IFERROR(INDEX(customers[country], MATCH(customers[[#This Row],[customer_id]], customers[customer_id], 0)), "Unmapped")</f>
        <v>Netherlands</v>
      </c>
      <c r="C188" t="s">
        <v>576</v>
      </c>
      <c r="D188" t="s">
        <v>21</v>
      </c>
      <c r="E188" t="s">
        <v>577</v>
      </c>
      <c r="F188" t="s">
        <v>33</v>
      </c>
      <c r="G188" s="1">
        <v>45314</v>
      </c>
    </row>
    <row r="189" spans="1:7">
      <c r="A189" t="s">
        <v>578</v>
      </c>
      <c r="B189" t="str">
        <f>IFERROR(INDEX(customers[country], MATCH(customers[[#This Row],[customer_id]], customers[customer_id], 0)), "Unmapped")</f>
        <v>Norway</v>
      </c>
      <c r="C189" t="s">
        <v>579</v>
      </c>
      <c r="D189" t="s">
        <v>21</v>
      </c>
      <c r="E189" t="s">
        <v>580</v>
      </c>
      <c r="F189" t="s">
        <v>76</v>
      </c>
      <c r="G189" s="1">
        <v>44564</v>
      </c>
    </row>
    <row r="190" spans="1:7">
      <c r="A190" t="s">
        <v>581</v>
      </c>
      <c r="B190" t="str">
        <f>IFERROR(INDEX(customers[country], MATCH(customers[[#This Row],[customer_id]], customers[customer_id], 0)), "Unmapped")</f>
        <v>Norway</v>
      </c>
      <c r="C190" t="s">
        <v>582</v>
      </c>
      <c r="D190" t="s">
        <v>21</v>
      </c>
      <c r="E190" t="s">
        <v>583</v>
      </c>
      <c r="F190" t="s">
        <v>76</v>
      </c>
      <c r="G190" s="1">
        <v>44973</v>
      </c>
    </row>
    <row r="191" spans="1:7">
      <c r="A191" t="s">
        <v>584</v>
      </c>
      <c r="B191" t="str">
        <f>IFERROR(INDEX(customers[country], MATCH(customers[[#This Row],[customer_id]], customers[customer_id], 0)), "Unmapped")</f>
        <v>Netherlands</v>
      </c>
      <c r="C191" t="s">
        <v>585</v>
      </c>
      <c r="D191" t="s">
        <v>36</v>
      </c>
      <c r="E191" t="s">
        <v>586</v>
      </c>
      <c r="F191" t="s">
        <v>33</v>
      </c>
      <c r="G191" s="1">
        <v>45527</v>
      </c>
    </row>
    <row r="192" spans="1:7">
      <c r="A192" t="s">
        <v>587</v>
      </c>
      <c r="B192" t="str">
        <f>IFERROR(INDEX(customers[country], MATCH(customers[[#This Row],[customer_id]], customers[customer_id], 0)), "Unmapped")</f>
        <v>Finland</v>
      </c>
      <c r="C192" t="s">
        <v>588</v>
      </c>
      <c r="D192" t="s">
        <v>8</v>
      </c>
      <c r="E192" t="s">
        <v>589</v>
      </c>
      <c r="F192" t="s">
        <v>83</v>
      </c>
      <c r="G192" s="1">
        <v>45075</v>
      </c>
    </row>
    <row r="193" spans="1:7">
      <c r="A193" t="s">
        <v>590</v>
      </c>
      <c r="B193" t="str">
        <f>IFERROR(INDEX(customers[country], MATCH(customers[[#This Row],[customer_id]], customers[customer_id], 0)), "Unmapped")</f>
        <v>Finland</v>
      </c>
      <c r="C193" t="s">
        <v>591</v>
      </c>
      <c r="D193" t="s">
        <v>21</v>
      </c>
      <c r="E193" t="s">
        <v>592</v>
      </c>
      <c r="F193" t="s">
        <v>83</v>
      </c>
      <c r="G193" s="1">
        <v>44847</v>
      </c>
    </row>
    <row r="194" spans="1:7">
      <c r="A194" t="s">
        <v>593</v>
      </c>
      <c r="B194" t="str">
        <f>IFERROR(INDEX(customers[country], MATCH(customers[[#This Row],[customer_id]], customers[customer_id], 0)), "Unmapped")</f>
        <v>Estonia</v>
      </c>
      <c r="C194" t="s">
        <v>594</v>
      </c>
      <c r="D194" t="s">
        <v>21</v>
      </c>
      <c r="E194" t="s">
        <v>595</v>
      </c>
      <c r="F194" t="s">
        <v>18</v>
      </c>
      <c r="G194" s="1">
        <v>45089</v>
      </c>
    </row>
    <row r="195" spans="1:7">
      <c r="A195" t="s">
        <v>596</v>
      </c>
      <c r="B195" t="str">
        <f>IFERROR(INDEX(customers[country], MATCH(customers[[#This Row],[customer_id]], customers[customer_id], 0)), "Unmapped")</f>
        <v>Lithuania</v>
      </c>
      <c r="C195" t="s">
        <v>597</v>
      </c>
      <c r="D195" t="s">
        <v>8</v>
      </c>
      <c r="E195" t="s">
        <v>598</v>
      </c>
      <c r="F195" t="s">
        <v>41</v>
      </c>
      <c r="G195" s="1">
        <v>44871</v>
      </c>
    </row>
    <row r="196" spans="1:7">
      <c r="A196" t="s">
        <v>599</v>
      </c>
      <c r="B196" t="str">
        <f>IFERROR(INDEX(customers[country], MATCH(customers[[#This Row],[customer_id]], customers[customer_id], 0)), "Unmapped")</f>
        <v>Germany</v>
      </c>
      <c r="C196" t="s">
        <v>600</v>
      </c>
      <c r="D196" t="s">
        <v>36</v>
      </c>
      <c r="E196" t="s">
        <v>601</v>
      </c>
      <c r="F196" t="s">
        <v>54</v>
      </c>
      <c r="G196" s="1">
        <v>44634</v>
      </c>
    </row>
    <row r="197" spans="1:7">
      <c r="A197" t="s">
        <v>602</v>
      </c>
      <c r="B197" t="str">
        <f>IFERROR(INDEX(customers[country], MATCH(customers[[#This Row],[customer_id]], customers[customer_id], 0)), "Unmapped")</f>
        <v>Poland</v>
      </c>
      <c r="C197" t="s">
        <v>603</v>
      </c>
      <c r="D197" t="s">
        <v>21</v>
      </c>
      <c r="E197" t="s">
        <v>604</v>
      </c>
      <c r="F197" t="s">
        <v>23</v>
      </c>
      <c r="G197" s="1">
        <v>44782</v>
      </c>
    </row>
    <row r="198" spans="1:7">
      <c r="A198" t="s">
        <v>605</v>
      </c>
      <c r="B198" t="str">
        <f>IFERROR(INDEX(customers[country], MATCH(customers[[#This Row],[customer_id]], customers[customer_id], 0)), "Unmapped")</f>
        <v>Lithuania</v>
      </c>
      <c r="C198" t="s">
        <v>606</v>
      </c>
      <c r="D198" t="s">
        <v>8</v>
      </c>
      <c r="E198" t="s">
        <v>607</v>
      </c>
      <c r="F198" t="s">
        <v>41</v>
      </c>
      <c r="G198" s="1">
        <v>44580</v>
      </c>
    </row>
    <row r="199" spans="1:7">
      <c r="A199" t="s">
        <v>608</v>
      </c>
      <c r="B199" t="str">
        <f>IFERROR(INDEX(customers[country], MATCH(customers[[#This Row],[customer_id]], customers[customer_id], 0)), "Unmapped")</f>
        <v>Finland</v>
      </c>
      <c r="C199" t="s">
        <v>609</v>
      </c>
      <c r="D199" t="s">
        <v>8</v>
      </c>
      <c r="E199" t="s">
        <v>610</v>
      </c>
      <c r="F199" t="s">
        <v>83</v>
      </c>
      <c r="G199" s="1">
        <v>45397</v>
      </c>
    </row>
    <row r="200" spans="1:7">
      <c r="A200" t="s">
        <v>611</v>
      </c>
      <c r="B200" t="str">
        <f>IFERROR(INDEX(customers[country], MATCH(customers[[#This Row],[customer_id]], customers[customer_id], 0)), "Unmapped")</f>
        <v>Poland</v>
      </c>
      <c r="C200" t="s">
        <v>612</v>
      </c>
      <c r="D200" t="s">
        <v>21</v>
      </c>
      <c r="E200" t="s">
        <v>613</v>
      </c>
      <c r="F200" t="s">
        <v>23</v>
      </c>
      <c r="G200" s="1">
        <v>44825</v>
      </c>
    </row>
    <row r="201" spans="1:7">
      <c r="A201" t="s">
        <v>614</v>
      </c>
      <c r="B201" t="str">
        <f>IFERROR(INDEX(customers[country], MATCH(customers[[#This Row],[customer_id]], customers[customer_id], 0)), "Unmapped")</f>
        <v>Latvia</v>
      </c>
      <c r="C201" t="s">
        <v>615</v>
      </c>
      <c r="D201" t="s">
        <v>8</v>
      </c>
      <c r="E201" t="s">
        <v>616</v>
      </c>
      <c r="F201" t="s">
        <v>10</v>
      </c>
      <c r="G201" s="1">
        <v>45451</v>
      </c>
    </row>
    <row r="202" spans="1:7">
      <c r="A202" t="s">
        <v>617</v>
      </c>
      <c r="B202" t="str">
        <f>IFERROR(INDEX(customers[country], MATCH(customers[[#This Row],[customer_id]], customers[customer_id], 0)), "Unmapped")</f>
        <v>Latvia</v>
      </c>
      <c r="C202" t="s">
        <v>618</v>
      </c>
      <c r="D202" t="s">
        <v>8</v>
      </c>
      <c r="E202" t="s">
        <v>619</v>
      </c>
      <c r="F202" t="s">
        <v>10</v>
      </c>
      <c r="G202" s="1">
        <v>45367</v>
      </c>
    </row>
    <row r="203" spans="1:7">
      <c r="A203" t="s">
        <v>620</v>
      </c>
      <c r="B203" t="str">
        <f>IFERROR(INDEX(customers[country], MATCH(customers[[#This Row],[customer_id]], customers[customer_id], 0)), "Unmapped")</f>
        <v>Latvia</v>
      </c>
      <c r="C203" t="s">
        <v>621</v>
      </c>
      <c r="D203" t="s">
        <v>8</v>
      </c>
      <c r="E203" t="s">
        <v>622</v>
      </c>
      <c r="F203" t="s">
        <v>10</v>
      </c>
      <c r="G203" s="1">
        <v>45260</v>
      </c>
    </row>
    <row r="204" spans="1:7">
      <c r="A204" t="s">
        <v>623</v>
      </c>
      <c r="B204" t="str">
        <f>IFERROR(INDEX(customers[country], MATCH(customers[[#This Row],[customer_id]], customers[customer_id], 0)), "Unmapped")</f>
        <v>Denmark</v>
      </c>
      <c r="C204" t="s">
        <v>624</v>
      </c>
      <c r="D204" t="s">
        <v>8</v>
      </c>
      <c r="E204" t="s">
        <v>625</v>
      </c>
      <c r="F204" t="s">
        <v>105</v>
      </c>
      <c r="G204" s="1">
        <v>45200</v>
      </c>
    </row>
    <row r="205" spans="1:7">
      <c r="A205" t="s">
        <v>626</v>
      </c>
      <c r="B205" t="str">
        <f>IFERROR(INDEX(customers[country], MATCH(customers[[#This Row],[customer_id]], customers[customer_id], 0)), "Unmapped")</f>
        <v>Denmark</v>
      </c>
      <c r="C205" t="s">
        <v>627</v>
      </c>
      <c r="D205" t="s">
        <v>8</v>
      </c>
      <c r="E205" t="s">
        <v>628</v>
      </c>
      <c r="F205" t="s">
        <v>105</v>
      </c>
      <c r="G205" s="1">
        <v>45002</v>
      </c>
    </row>
    <row r="206" spans="1:7">
      <c r="A206" t="s">
        <v>629</v>
      </c>
      <c r="B206" t="str">
        <f>IFERROR(INDEX(customers[country], MATCH(customers[[#This Row],[customer_id]], customers[customer_id], 0)), "Unmapped")</f>
        <v>Lithuania</v>
      </c>
      <c r="C206" t="s">
        <v>630</v>
      </c>
      <c r="D206" t="s">
        <v>8</v>
      </c>
      <c r="E206" t="s">
        <v>631</v>
      </c>
      <c r="F206" t="s">
        <v>41</v>
      </c>
      <c r="G206" s="1">
        <v>44775</v>
      </c>
    </row>
    <row r="207" spans="1:7">
      <c r="A207" t="s">
        <v>632</v>
      </c>
      <c r="B207" t="str">
        <f>IFERROR(INDEX(customers[country], MATCH(customers[[#This Row],[customer_id]], customers[customer_id], 0)), "Unmapped")</f>
        <v>Norway</v>
      </c>
      <c r="C207" t="s">
        <v>633</v>
      </c>
      <c r="D207" t="s">
        <v>36</v>
      </c>
      <c r="E207" t="s">
        <v>634</v>
      </c>
      <c r="F207" t="s">
        <v>76</v>
      </c>
      <c r="G207" s="1">
        <v>46115</v>
      </c>
    </row>
    <row r="208" spans="1:7">
      <c r="A208" t="s">
        <v>635</v>
      </c>
      <c r="B208" t="str">
        <f>IFERROR(INDEX(customers[country], MATCH(customers[[#This Row],[customer_id]], customers[customer_id], 0)), "Unmapped")</f>
        <v>Latvia</v>
      </c>
      <c r="C208" t="s">
        <v>636</v>
      </c>
      <c r="D208" t="s">
        <v>8</v>
      </c>
      <c r="E208" t="s">
        <v>637</v>
      </c>
      <c r="F208" t="s">
        <v>10</v>
      </c>
      <c r="G208" s="1">
        <v>44497</v>
      </c>
    </row>
    <row r="209" spans="1:7">
      <c r="A209" t="s">
        <v>638</v>
      </c>
      <c r="B209" t="str">
        <f>IFERROR(INDEX(customers[country], MATCH(customers[[#This Row],[customer_id]], customers[customer_id], 0)), "Unmapped")</f>
        <v>Germany</v>
      </c>
      <c r="C209" t="s">
        <v>639</v>
      </c>
      <c r="D209" t="s">
        <v>36</v>
      </c>
      <c r="E209" t="s">
        <v>640</v>
      </c>
      <c r="F209" t="s">
        <v>54</v>
      </c>
      <c r="G209" s="1">
        <v>45171</v>
      </c>
    </row>
    <row r="210" spans="1:7">
      <c r="A210" t="s">
        <v>641</v>
      </c>
      <c r="B210" t="str">
        <f>IFERROR(INDEX(customers[country], MATCH(customers[[#This Row],[customer_id]], customers[customer_id], 0)), "Unmapped")</f>
        <v>Poland</v>
      </c>
      <c r="C210" t="s">
        <v>642</v>
      </c>
      <c r="D210" t="s">
        <v>36</v>
      </c>
      <c r="E210" t="s">
        <v>643</v>
      </c>
      <c r="F210" t="s">
        <v>23</v>
      </c>
      <c r="G210" s="1">
        <v>45290</v>
      </c>
    </row>
    <row r="211" spans="1:7">
      <c r="A211" t="s">
        <v>644</v>
      </c>
      <c r="B211" t="str">
        <f>IFERROR(INDEX(customers[country], MATCH(customers[[#This Row],[customer_id]], customers[customer_id], 0)), "Unmapped")</f>
        <v>Germany</v>
      </c>
      <c r="C211" t="s">
        <v>645</v>
      </c>
      <c r="D211" t="s">
        <v>8</v>
      </c>
      <c r="E211" t="s">
        <v>646</v>
      </c>
      <c r="F211" t="s">
        <v>54</v>
      </c>
      <c r="G211" s="1">
        <v>45257</v>
      </c>
    </row>
    <row r="212" spans="1:7">
      <c r="A212" t="s">
        <v>647</v>
      </c>
      <c r="B212" t="str">
        <f>IFERROR(INDEX(customers[country], MATCH(customers[[#This Row],[customer_id]], customers[customer_id], 0)), "Unmapped")</f>
        <v>Netherlands</v>
      </c>
      <c r="C212" t="s">
        <v>648</v>
      </c>
      <c r="D212" t="s">
        <v>8</v>
      </c>
      <c r="E212" t="s">
        <v>649</v>
      </c>
      <c r="F212" t="s">
        <v>33</v>
      </c>
      <c r="G212" s="1">
        <v>46175</v>
      </c>
    </row>
    <row r="213" spans="1:7">
      <c r="A213" t="s">
        <v>650</v>
      </c>
      <c r="B213" t="str">
        <f>IFERROR(INDEX(customers[country], MATCH(customers[[#This Row],[customer_id]], customers[customer_id], 0)), "Unmapped")</f>
        <v>Poland</v>
      </c>
      <c r="C213" t="s">
        <v>651</v>
      </c>
      <c r="D213" t="s">
        <v>21</v>
      </c>
      <c r="E213" t="s">
        <v>559</v>
      </c>
      <c r="F213" t="s">
        <v>23</v>
      </c>
      <c r="G213" s="1">
        <v>44903</v>
      </c>
    </row>
    <row r="214" spans="1:7">
      <c r="A214" t="s">
        <v>652</v>
      </c>
      <c r="B214" t="str">
        <f>IFERROR(INDEX(customers[country], MATCH(customers[[#This Row],[customer_id]], customers[customer_id], 0)), "Unmapped")</f>
        <v>Poland</v>
      </c>
      <c r="C214" t="s">
        <v>653</v>
      </c>
      <c r="D214" t="s">
        <v>8</v>
      </c>
      <c r="E214" t="s">
        <v>654</v>
      </c>
      <c r="F214" t="s">
        <v>23</v>
      </c>
      <c r="G214" s="1">
        <v>44869</v>
      </c>
    </row>
    <row r="215" spans="1:7">
      <c r="A215" t="s">
        <v>655</v>
      </c>
      <c r="B215" t="str">
        <f>IFERROR(INDEX(customers[country], MATCH(customers[[#This Row],[customer_id]], customers[customer_id], 0)), "Unmapped")</f>
        <v>Sweden</v>
      </c>
      <c r="C215" t="s">
        <v>656</v>
      </c>
      <c r="D215" t="s">
        <v>36</v>
      </c>
      <c r="E215" t="s">
        <v>657</v>
      </c>
      <c r="F215" t="s">
        <v>14</v>
      </c>
      <c r="G215" s="1">
        <v>45318</v>
      </c>
    </row>
    <row r="216" spans="1:7">
      <c r="A216" t="s">
        <v>658</v>
      </c>
      <c r="B216" t="str">
        <f>IFERROR(INDEX(customers[country], MATCH(customers[[#This Row],[customer_id]], customers[customer_id], 0)), "Unmapped")</f>
        <v>Latvia</v>
      </c>
      <c r="C216" t="s">
        <v>659</v>
      </c>
      <c r="D216" t="s">
        <v>8</v>
      </c>
      <c r="E216" t="s">
        <v>660</v>
      </c>
      <c r="F216" t="s">
        <v>10</v>
      </c>
      <c r="G216" s="1">
        <v>44809</v>
      </c>
    </row>
    <row r="217" spans="1:7">
      <c r="A217" t="s">
        <v>661</v>
      </c>
      <c r="B217" t="str">
        <f>IFERROR(INDEX(customers[country], MATCH(customers[[#This Row],[customer_id]], customers[customer_id], 0)), "Unmapped")</f>
        <v>Lithuania</v>
      </c>
      <c r="C217" t="s">
        <v>662</v>
      </c>
      <c r="D217" t="s">
        <v>21</v>
      </c>
      <c r="E217" t="s">
        <v>663</v>
      </c>
      <c r="F217" t="s">
        <v>41</v>
      </c>
      <c r="G217" s="1">
        <v>45945</v>
      </c>
    </row>
    <row r="218" spans="1:7">
      <c r="A218" t="s">
        <v>664</v>
      </c>
      <c r="B218" t="str">
        <f>IFERROR(INDEX(customers[country], MATCH(customers[[#This Row],[customer_id]], customers[customer_id], 0)), "Unmapped")</f>
        <v>Latvia</v>
      </c>
      <c r="C218" t="s">
        <v>665</v>
      </c>
      <c r="D218" t="s">
        <v>8</v>
      </c>
      <c r="E218" t="s">
        <v>666</v>
      </c>
      <c r="F218" t="s">
        <v>10</v>
      </c>
      <c r="G218" s="1">
        <v>44504</v>
      </c>
    </row>
    <row r="219" spans="1:7">
      <c r="A219" t="s">
        <v>667</v>
      </c>
      <c r="B219" t="str">
        <f>IFERROR(INDEX(customers[country], MATCH(customers[[#This Row],[customer_id]], customers[customer_id], 0)), "Unmapped")</f>
        <v>Germany</v>
      </c>
      <c r="C219" t="s">
        <v>668</v>
      </c>
      <c r="D219" t="s">
        <v>21</v>
      </c>
      <c r="E219" t="s">
        <v>669</v>
      </c>
      <c r="F219" t="s">
        <v>54</v>
      </c>
      <c r="G219" s="1">
        <v>45117</v>
      </c>
    </row>
    <row r="220" spans="1:7">
      <c r="A220" t="s">
        <v>670</v>
      </c>
      <c r="B220" t="str">
        <f>IFERROR(INDEX(customers[country], MATCH(customers[[#This Row],[customer_id]], customers[customer_id], 0)), "Unmapped")</f>
        <v>Netherlands</v>
      </c>
      <c r="C220" t="s">
        <v>671</v>
      </c>
      <c r="D220" t="s">
        <v>8</v>
      </c>
      <c r="E220" t="s">
        <v>672</v>
      </c>
      <c r="F220" t="s">
        <v>33</v>
      </c>
      <c r="G220" s="1">
        <v>45093</v>
      </c>
    </row>
    <row r="221" spans="1:7">
      <c r="A221" t="s">
        <v>673</v>
      </c>
      <c r="B221" t="str">
        <f>IFERROR(INDEX(customers[country], MATCH(customers[[#This Row],[customer_id]], customers[customer_id], 0)), "Unmapped")</f>
        <v>Sweden</v>
      </c>
      <c r="C221" t="s">
        <v>674</v>
      </c>
      <c r="D221" t="s">
        <v>21</v>
      </c>
      <c r="E221" t="s">
        <v>675</v>
      </c>
      <c r="F221" t="s">
        <v>14</v>
      </c>
      <c r="G221" s="1">
        <v>45144</v>
      </c>
    </row>
    <row r="222" spans="1:7">
      <c r="A222" t="s">
        <v>676</v>
      </c>
      <c r="B222" t="str">
        <f>IFERROR(INDEX(customers[country], MATCH(customers[[#This Row],[customer_id]], customers[customer_id], 0)), "Unmapped")</f>
        <v>Latvia</v>
      </c>
      <c r="C222" t="s">
        <v>677</v>
      </c>
      <c r="D222" t="s">
        <v>8</v>
      </c>
      <c r="E222" t="s">
        <v>678</v>
      </c>
      <c r="F222" t="s">
        <v>10</v>
      </c>
      <c r="G222" s="1">
        <v>45244</v>
      </c>
    </row>
    <row r="223" spans="1:7">
      <c r="A223" t="s">
        <v>679</v>
      </c>
      <c r="B223" t="str">
        <f>IFERROR(INDEX(customers[country], MATCH(customers[[#This Row],[customer_id]], customers[customer_id], 0)), "Unmapped")</f>
        <v>Norway</v>
      </c>
      <c r="C223" t="s">
        <v>680</v>
      </c>
      <c r="D223" t="s">
        <v>21</v>
      </c>
      <c r="E223" t="s">
        <v>681</v>
      </c>
      <c r="F223" t="s">
        <v>76</v>
      </c>
      <c r="G223" s="1">
        <v>45489</v>
      </c>
    </row>
    <row r="224" spans="1:7">
      <c r="A224" t="s">
        <v>682</v>
      </c>
      <c r="B224" t="str">
        <f>IFERROR(INDEX(customers[country], MATCH(customers[[#This Row],[customer_id]], customers[customer_id], 0)), "Unmapped")</f>
        <v>Germany</v>
      </c>
      <c r="C224" t="s">
        <v>683</v>
      </c>
      <c r="D224" t="s">
        <v>8</v>
      </c>
      <c r="E224" t="s">
        <v>684</v>
      </c>
      <c r="F224" t="s">
        <v>54</v>
      </c>
      <c r="G224" s="1">
        <v>45084</v>
      </c>
    </row>
    <row r="225" spans="1:7">
      <c r="A225" t="s">
        <v>685</v>
      </c>
      <c r="B225" t="str">
        <f>IFERROR(INDEX(customers[country], MATCH(customers[[#This Row],[customer_id]], customers[customer_id], 0)), "Unmapped")</f>
        <v>Latvia</v>
      </c>
      <c r="C225" t="s">
        <v>686</v>
      </c>
      <c r="D225" t="s">
        <v>21</v>
      </c>
      <c r="E225" t="s">
        <v>687</v>
      </c>
      <c r="F225" t="s">
        <v>10</v>
      </c>
      <c r="G225" s="1">
        <v>45461</v>
      </c>
    </row>
    <row r="226" spans="1:7">
      <c r="A226" t="s">
        <v>688</v>
      </c>
      <c r="B226" t="str">
        <f>IFERROR(INDEX(customers[country], MATCH(customers[[#This Row],[customer_id]], customers[customer_id], 0)), "Unmapped")</f>
        <v>Norway</v>
      </c>
      <c r="C226" t="s">
        <v>689</v>
      </c>
      <c r="D226" t="s">
        <v>21</v>
      </c>
      <c r="E226" t="s">
        <v>690</v>
      </c>
      <c r="F226" t="s">
        <v>76</v>
      </c>
      <c r="G226" s="1">
        <v>44479</v>
      </c>
    </row>
    <row r="227" spans="1:7">
      <c r="A227" t="s">
        <v>691</v>
      </c>
      <c r="B227" t="str">
        <f>IFERROR(INDEX(customers[country], MATCH(customers[[#This Row],[customer_id]], customers[customer_id], 0)), "Unmapped")</f>
        <v>Latvia</v>
      </c>
      <c r="C227" t="s">
        <v>692</v>
      </c>
      <c r="D227" t="s">
        <v>8</v>
      </c>
      <c r="E227" t="s">
        <v>693</v>
      </c>
      <c r="F227" t="s">
        <v>10</v>
      </c>
      <c r="G227" s="1">
        <v>45160</v>
      </c>
    </row>
    <row r="228" spans="1:7">
      <c r="A228" t="s">
        <v>694</v>
      </c>
      <c r="B228" t="str">
        <f>IFERROR(INDEX(customers[country], MATCH(customers[[#This Row],[customer_id]], customers[customer_id], 0)), "Unmapped")</f>
        <v>Lithuania</v>
      </c>
      <c r="C228" t="s">
        <v>695</v>
      </c>
      <c r="D228" t="s">
        <v>21</v>
      </c>
      <c r="E228" t="s">
        <v>696</v>
      </c>
      <c r="F228" t="s">
        <v>41</v>
      </c>
      <c r="G228" s="1">
        <v>45430</v>
      </c>
    </row>
    <row r="229" spans="1:7">
      <c r="A229" t="s">
        <v>697</v>
      </c>
      <c r="B229" t="str">
        <f>IFERROR(INDEX(customers[country], MATCH(customers[[#This Row],[customer_id]], customers[customer_id], 0)), "Unmapped")</f>
        <v>Estonia</v>
      </c>
      <c r="C229" t="s">
        <v>698</v>
      </c>
      <c r="D229" t="s">
        <v>21</v>
      </c>
      <c r="E229" t="s">
        <v>699</v>
      </c>
      <c r="F229" t="s">
        <v>18</v>
      </c>
      <c r="G229" s="1">
        <v>45404</v>
      </c>
    </row>
    <row r="230" spans="1:7">
      <c r="A230" t="s">
        <v>700</v>
      </c>
      <c r="B230" t="str">
        <f>IFERROR(INDEX(customers[country], MATCH(customers[[#This Row],[customer_id]], customers[customer_id], 0)), "Unmapped")</f>
        <v>Germany</v>
      </c>
      <c r="C230" t="s">
        <v>701</v>
      </c>
      <c r="D230" t="s">
        <v>21</v>
      </c>
      <c r="E230" t="s">
        <v>702</v>
      </c>
      <c r="F230" t="s">
        <v>54</v>
      </c>
      <c r="G230" s="1">
        <v>46143</v>
      </c>
    </row>
    <row r="231" spans="1:7">
      <c r="A231" t="s">
        <v>703</v>
      </c>
      <c r="B231" t="str">
        <f>IFERROR(INDEX(customers[country], MATCH(customers[[#This Row],[customer_id]], customers[customer_id], 0)), "Unmapped")</f>
        <v>Estonia</v>
      </c>
      <c r="C231" t="s">
        <v>704</v>
      </c>
      <c r="D231" t="s">
        <v>8</v>
      </c>
      <c r="E231" t="s">
        <v>705</v>
      </c>
      <c r="F231" t="s">
        <v>18</v>
      </c>
      <c r="G231" s="1">
        <v>45663</v>
      </c>
    </row>
    <row r="232" spans="1:7">
      <c r="A232" t="s">
        <v>706</v>
      </c>
      <c r="B232" t="str">
        <f>IFERROR(INDEX(customers[country], MATCH(customers[[#This Row],[customer_id]], customers[customer_id], 0)), "Unmapped")</f>
        <v>Latvia</v>
      </c>
      <c r="C232" t="s">
        <v>707</v>
      </c>
      <c r="D232" t="s">
        <v>36</v>
      </c>
      <c r="E232" t="s">
        <v>708</v>
      </c>
      <c r="F232" t="s">
        <v>10</v>
      </c>
      <c r="G232" s="1">
        <v>45638</v>
      </c>
    </row>
    <row r="233" spans="1:7">
      <c r="A233" t="s">
        <v>709</v>
      </c>
      <c r="B233" t="str">
        <f>IFERROR(INDEX(customers[country], MATCH(customers[[#This Row],[customer_id]], customers[customer_id], 0)), "Unmapped")</f>
        <v>Netherlands</v>
      </c>
      <c r="C233" t="s">
        <v>710</v>
      </c>
      <c r="D233" t="s">
        <v>36</v>
      </c>
      <c r="E233" t="s">
        <v>711</v>
      </c>
      <c r="F233" t="s">
        <v>33</v>
      </c>
      <c r="G233" s="1">
        <v>44944</v>
      </c>
    </row>
    <row r="234" spans="1:7">
      <c r="A234" t="s">
        <v>712</v>
      </c>
      <c r="B234" t="str">
        <f>IFERROR(INDEX(customers[country], MATCH(customers[[#This Row],[customer_id]], customers[customer_id], 0)), "Unmapped")</f>
        <v>Finland</v>
      </c>
      <c r="C234" t="s">
        <v>713</v>
      </c>
      <c r="D234" t="s">
        <v>8</v>
      </c>
      <c r="E234" t="s">
        <v>714</v>
      </c>
      <c r="F234" t="s">
        <v>83</v>
      </c>
      <c r="G234" s="1">
        <v>44807</v>
      </c>
    </row>
    <row r="235" spans="1:7">
      <c r="A235" t="s">
        <v>715</v>
      </c>
      <c r="B235" t="str">
        <f>IFERROR(INDEX(customers[country], MATCH(customers[[#This Row],[customer_id]], customers[customer_id], 0)), "Unmapped")</f>
        <v>Netherlands</v>
      </c>
      <c r="C235" t="s">
        <v>716</v>
      </c>
      <c r="D235" t="s">
        <v>21</v>
      </c>
      <c r="E235" t="s">
        <v>717</v>
      </c>
      <c r="F235" t="s">
        <v>33</v>
      </c>
      <c r="G235" s="1">
        <v>44858</v>
      </c>
    </row>
    <row r="236" spans="1:7">
      <c r="A236" t="s">
        <v>718</v>
      </c>
      <c r="B236" t="str">
        <f>IFERROR(INDEX(customers[country], MATCH(customers[[#This Row],[customer_id]], customers[customer_id], 0)), "Unmapped")</f>
        <v>Netherlands</v>
      </c>
      <c r="C236" t="s">
        <v>719</v>
      </c>
      <c r="D236" t="s">
        <v>21</v>
      </c>
      <c r="E236" t="s">
        <v>720</v>
      </c>
      <c r="F236" t="s">
        <v>33</v>
      </c>
      <c r="G236" s="1">
        <v>44603</v>
      </c>
    </row>
    <row r="237" spans="1:7">
      <c r="A237" t="s">
        <v>721</v>
      </c>
      <c r="B237" t="str">
        <f>IFERROR(INDEX(customers[country], MATCH(customers[[#This Row],[customer_id]], customers[customer_id], 0)), "Unmapped")</f>
        <v>Netherlands</v>
      </c>
      <c r="C237" t="s">
        <v>722</v>
      </c>
      <c r="D237" t="s">
        <v>8</v>
      </c>
      <c r="E237" t="s">
        <v>723</v>
      </c>
      <c r="F237" t="s">
        <v>33</v>
      </c>
      <c r="G237" s="1">
        <v>46005</v>
      </c>
    </row>
    <row r="238" spans="1:7">
      <c r="A238" t="s">
        <v>724</v>
      </c>
      <c r="B238" t="str">
        <f>IFERROR(INDEX(customers[country], MATCH(customers[[#This Row],[customer_id]], customers[customer_id], 0)), "Unmapped")</f>
        <v>Denmark</v>
      </c>
      <c r="C238" t="s">
        <v>725</v>
      </c>
      <c r="D238" t="s">
        <v>36</v>
      </c>
      <c r="E238" t="s">
        <v>726</v>
      </c>
      <c r="F238" t="s">
        <v>105</v>
      </c>
      <c r="G238" s="1">
        <v>46054</v>
      </c>
    </row>
    <row r="239" spans="1:7">
      <c r="A239" t="s">
        <v>727</v>
      </c>
      <c r="B239" t="str">
        <f>IFERROR(INDEX(customers[country], MATCH(customers[[#This Row],[customer_id]], customers[customer_id], 0)), "Unmapped")</f>
        <v>Sweden</v>
      </c>
      <c r="C239" t="s">
        <v>728</v>
      </c>
      <c r="D239" t="s">
        <v>8</v>
      </c>
      <c r="E239" t="s">
        <v>729</v>
      </c>
      <c r="F239" t="s">
        <v>14</v>
      </c>
      <c r="G239" s="1">
        <v>46101</v>
      </c>
    </row>
    <row r="240" spans="1:7">
      <c r="A240" t="s">
        <v>730</v>
      </c>
      <c r="B240" t="str">
        <f>IFERROR(INDEX(customers[country], MATCH(customers[[#This Row],[customer_id]], customers[customer_id], 0)), "Unmapped")</f>
        <v>Lithuania</v>
      </c>
      <c r="C240" t="s">
        <v>731</v>
      </c>
      <c r="D240" t="s">
        <v>21</v>
      </c>
      <c r="E240" t="s">
        <v>732</v>
      </c>
      <c r="F240" t="s">
        <v>41</v>
      </c>
      <c r="G240" s="1">
        <v>46087</v>
      </c>
    </row>
    <row r="241" spans="1:7">
      <c r="A241" t="s">
        <v>733</v>
      </c>
      <c r="B241" t="str">
        <f>IFERROR(INDEX(customers[country], MATCH(customers[[#This Row],[customer_id]], customers[customer_id], 0)), "Unmapped")</f>
        <v>Lithuania</v>
      </c>
      <c r="C241" t="s">
        <v>722</v>
      </c>
      <c r="D241" t="s">
        <v>21</v>
      </c>
      <c r="E241" t="s">
        <v>734</v>
      </c>
      <c r="F241" t="s">
        <v>41</v>
      </c>
      <c r="G241" s="1">
        <v>45365</v>
      </c>
    </row>
    <row r="242" spans="1:7">
      <c r="A242" t="s">
        <v>735</v>
      </c>
      <c r="B242" t="str">
        <f>IFERROR(INDEX(customers[country], MATCH(customers[[#This Row],[customer_id]], customers[customer_id], 0)), "Unmapped")</f>
        <v>Poland</v>
      </c>
      <c r="C242" t="s">
        <v>736</v>
      </c>
      <c r="D242" t="s">
        <v>21</v>
      </c>
      <c r="E242" t="s">
        <v>737</v>
      </c>
      <c r="F242" t="s">
        <v>23</v>
      </c>
      <c r="G242" s="1">
        <v>45017</v>
      </c>
    </row>
    <row r="243" spans="1:7">
      <c r="A243" t="s">
        <v>738</v>
      </c>
      <c r="B243" t="str">
        <f>IFERROR(INDEX(customers[country], MATCH(customers[[#This Row],[customer_id]], customers[customer_id], 0)), "Unmapped")</f>
        <v>Finland</v>
      </c>
      <c r="C243" t="s">
        <v>739</v>
      </c>
      <c r="D243" t="s">
        <v>21</v>
      </c>
      <c r="E243" t="s">
        <v>740</v>
      </c>
      <c r="F243" t="s">
        <v>83</v>
      </c>
      <c r="G243" s="1">
        <v>45634</v>
      </c>
    </row>
    <row r="244" spans="1:7">
      <c r="A244" t="s">
        <v>741</v>
      </c>
      <c r="B244" t="str">
        <f>IFERROR(INDEX(customers[country], MATCH(customers[[#This Row],[customer_id]], customers[customer_id], 0)), "Unmapped")</f>
        <v>Germany</v>
      </c>
      <c r="C244" t="s">
        <v>122</v>
      </c>
      <c r="D244" t="s">
        <v>21</v>
      </c>
      <c r="E244" t="s">
        <v>742</v>
      </c>
      <c r="F244" t="s">
        <v>54</v>
      </c>
      <c r="G244" s="1">
        <v>45012</v>
      </c>
    </row>
    <row r="245" spans="1:7">
      <c r="A245" t="s">
        <v>743</v>
      </c>
      <c r="B245" t="str">
        <f>IFERROR(INDEX(customers[country], MATCH(customers[[#This Row],[customer_id]], customers[customer_id], 0)), "Unmapped")</f>
        <v>Germany</v>
      </c>
      <c r="C245" t="s">
        <v>744</v>
      </c>
      <c r="D245" t="s">
        <v>36</v>
      </c>
      <c r="E245" t="s">
        <v>745</v>
      </c>
      <c r="F245" t="s">
        <v>54</v>
      </c>
      <c r="G245" s="1">
        <v>44868</v>
      </c>
    </row>
    <row r="246" spans="1:7">
      <c r="A246" t="s">
        <v>746</v>
      </c>
      <c r="B246" t="str">
        <f>IFERROR(INDEX(customers[country], MATCH(customers[[#This Row],[customer_id]], customers[customer_id], 0)), "Unmapped")</f>
        <v>Poland</v>
      </c>
      <c r="C246" t="s">
        <v>747</v>
      </c>
      <c r="D246" t="s">
        <v>8</v>
      </c>
      <c r="E246" t="s">
        <v>748</v>
      </c>
      <c r="F246" t="s">
        <v>23</v>
      </c>
      <c r="G246" s="1">
        <v>45469</v>
      </c>
    </row>
    <row r="247" spans="1:7">
      <c r="A247" t="s">
        <v>749</v>
      </c>
      <c r="B247" t="str">
        <f>IFERROR(INDEX(customers[country], MATCH(customers[[#This Row],[customer_id]], customers[customer_id], 0)), "Unmapped")</f>
        <v>Latvia</v>
      </c>
      <c r="C247" t="s">
        <v>750</v>
      </c>
      <c r="D247" t="s">
        <v>36</v>
      </c>
      <c r="E247" t="s">
        <v>751</v>
      </c>
      <c r="F247" t="s">
        <v>10</v>
      </c>
      <c r="G247" s="1">
        <v>44710</v>
      </c>
    </row>
    <row r="248" spans="1:7">
      <c r="A248" t="s">
        <v>752</v>
      </c>
      <c r="B248" t="str">
        <f>IFERROR(INDEX(customers[country], MATCH(customers[[#This Row],[customer_id]], customers[customer_id], 0)), "Unmapped")</f>
        <v>Estonia</v>
      </c>
      <c r="C248" t="s">
        <v>753</v>
      </c>
      <c r="D248" t="s">
        <v>8</v>
      </c>
      <c r="E248" t="s">
        <v>754</v>
      </c>
      <c r="F248" t="s">
        <v>18</v>
      </c>
      <c r="G248" s="1">
        <v>45083</v>
      </c>
    </row>
    <row r="249" spans="1:7">
      <c r="A249" t="s">
        <v>755</v>
      </c>
      <c r="B249" t="str">
        <f>IFERROR(INDEX(customers[country], MATCH(customers[[#This Row],[customer_id]], customers[customer_id], 0)), "Unmapped")</f>
        <v>Denmark</v>
      </c>
      <c r="C249" t="s">
        <v>756</v>
      </c>
      <c r="D249" t="s">
        <v>8</v>
      </c>
      <c r="E249" t="s">
        <v>757</v>
      </c>
      <c r="F249" t="s">
        <v>105</v>
      </c>
      <c r="G249" s="1">
        <v>45170</v>
      </c>
    </row>
    <row r="250" spans="1:7">
      <c r="A250" t="s">
        <v>758</v>
      </c>
      <c r="B250" t="str">
        <f>IFERROR(INDEX(customers[country], MATCH(customers[[#This Row],[customer_id]], customers[customer_id], 0)), "Unmapped")</f>
        <v>Estonia</v>
      </c>
      <c r="C250" t="s">
        <v>759</v>
      </c>
      <c r="D250" t="s">
        <v>21</v>
      </c>
      <c r="E250" t="s">
        <v>526</v>
      </c>
      <c r="F250" t="s">
        <v>18</v>
      </c>
      <c r="G250" s="1">
        <v>45779</v>
      </c>
    </row>
    <row r="251" spans="1:7">
      <c r="A251" t="s">
        <v>760</v>
      </c>
      <c r="B251" t="str">
        <f>IFERROR(INDEX(customers[country], MATCH(customers[[#This Row],[customer_id]], customers[customer_id], 0)), "Unmapped")</f>
        <v>Poland</v>
      </c>
      <c r="C251" t="s">
        <v>761</v>
      </c>
      <c r="D251" t="s">
        <v>8</v>
      </c>
      <c r="E251" t="s">
        <v>762</v>
      </c>
      <c r="F251" t="s">
        <v>23</v>
      </c>
      <c r="G251" s="1">
        <v>44624</v>
      </c>
    </row>
    <row r="252" spans="1:7">
      <c r="A252" t="s">
        <v>763</v>
      </c>
      <c r="B252" t="str">
        <f>IFERROR(INDEX(customers[country], MATCH(customers[[#This Row],[customer_id]], customers[customer_id], 0)), "Unmapped")</f>
        <v>Estonia</v>
      </c>
      <c r="C252" t="s">
        <v>764</v>
      </c>
      <c r="D252" t="s">
        <v>21</v>
      </c>
      <c r="E252" t="s">
        <v>765</v>
      </c>
      <c r="F252" t="s">
        <v>18</v>
      </c>
      <c r="G252" s="1">
        <v>45216</v>
      </c>
    </row>
    <row r="253" spans="1:7">
      <c r="A253" t="s">
        <v>766</v>
      </c>
      <c r="B253" t="str">
        <f>IFERROR(INDEX(customers[country], MATCH(customers[[#This Row],[customer_id]], customers[customer_id], 0)), "Unmapped")</f>
        <v>Germany</v>
      </c>
      <c r="C253" t="s">
        <v>767</v>
      </c>
      <c r="D253" t="s">
        <v>36</v>
      </c>
      <c r="E253" t="s">
        <v>768</v>
      </c>
      <c r="F253" t="s">
        <v>54</v>
      </c>
      <c r="G253" s="1">
        <v>44660</v>
      </c>
    </row>
    <row r="254" spans="1:7">
      <c r="A254" t="s">
        <v>769</v>
      </c>
      <c r="B254" t="str">
        <f>IFERROR(INDEX(customers[country], MATCH(customers[[#This Row],[customer_id]], customers[customer_id], 0)), "Unmapped")</f>
        <v>Latvia</v>
      </c>
      <c r="C254" t="s">
        <v>770</v>
      </c>
      <c r="D254" t="s">
        <v>21</v>
      </c>
      <c r="E254" t="s">
        <v>771</v>
      </c>
      <c r="F254" t="s">
        <v>10</v>
      </c>
      <c r="G254" s="1">
        <v>45722</v>
      </c>
    </row>
    <row r="255" spans="1:7">
      <c r="A255" t="s">
        <v>772</v>
      </c>
      <c r="B255" t="str">
        <f>IFERROR(INDEX(customers[country], MATCH(customers[[#This Row],[customer_id]], customers[customer_id], 0)), "Unmapped")</f>
        <v>Estonia</v>
      </c>
      <c r="C255" t="s">
        <v>773</v>
      </c>
      <c r="D255" t="s">
        <v>36</v>
      </c>
      <c r="E255" t="s">
        <v>774</v>
      </c>
      <c r="F255" t="s">
        <v>18</v>
      </c>
      <c r="G255" s="1">
        <v>45395</v>
      </c>
    </row>
    <row r="256" spans="1:7">
      <c r="A256" t="s">
        <v>775</v>
      </c>
      <c r="B256" t="str">
        <f>IFERROR(INDEX(customers[country], MATCH(customers[[#This Row],[customer_id]], customers[customer_id], 0)), "Unmapped")</f>
        <v>Sweden</v>
      </c>
      <c r="C256" t="s">
        <v>776</v>
      </c>
      <c r="D256" t="s">
        <v>8</v>
      </c>
      <c r="E256" t="s">
        <v>777</v>
      </c>
      <c r="F256" t="s">
        <v>14</v>
      </c>
      <c r="G256" s="1">
        <v>44746</v>
      </c>
    </row>
    <row r="257" spans="1:7">
      <c r="A257" t="s">
        <v>778</v>
      </c>
      <c r="B257" t="str">
        <f>IFERROR(INDEX(customers[country], MATCH(customers[[#This Row],[customer_id]], customers[customer_id], 0)), "Unmapped")</f>
        <v>Estonia</v>
      </c>
      <c r="C257" t="s">
        <v>779</v>
      </c>
      <c r="D257" t="s">
        <v>8</v>
      </c>
      <c r="E257" t="s">
        <v>780</v>
      </c>
      <c r="F257" t="s">
        <v>18</v>
      </c>
      <c r="G257" s="1">
        <v>45229</v>
      </c>
    </row>
    <row r="258" spans="1:7">
      <c r="A258" t="s">
        <v>781</v>
      </c>
      <c r="B258" t="str">
        <f>IFERROR(INDEX(customers[country], MATCH(customers[[#This Row],[customer_id]], customers[customer_id], 0)), "Unmapped")</f>
        <v>Germany</v>
      </c>
      <c r="C258" t="s">
        <v>782</v>
      </c>
      <c r="D258" t="s">
        <v>21</v>
      </c>
      <c r="E258" t="s">
        <v>783</v>
      </c>
      <c r="F258" t="s">
        <v>54</v>
      </c>
      <c r="G258" s="1">
        <v>44636</v>
      </c>
    </row>
    <row r="259" spans="1:7">
      <c r="A259" t="s">
        <v>784</v>
      </c>
      <c r="B259" t="str">
        <f>IFERROR(INDEX(customers[country], MATCH(customers[[#This Row],[customer_id]], customers[customer_id], 0)), "Unmapped")</f>
        <v>Estonia</v>
      </c>
      <c r="C259" t="s">
        <v>785</v>
      </c>
      <c r="D259" t="s">
        <v>21</v>
      </c>
      <c r="E259" t="s">
        <v>786</v>
      </c>
      <c r="F259" t="s">
        <v>18</v>
      </c>
      <c r="G259" s="1">
        <v>45255</v>
      </c>
    </row>
    <row r="260" spans="1:7">
      <c r="A260" t="s">
        <v>787</v>
      </c>
      <c r="B260" t="str">
        <f>IFERROR(INDEX(customers[country], MATCH(customers[[#This Row],[customer_id]], customers[customer_id], 0)), "Unmapped")</f>
        <v>Netherlands</v>
      </c>
      <c r="C260" t="s">
        <v>788</v>
      </c>
      <c r="D260" t="s">
        <v>8</v>
      </c>
      <c r="E260" t="s">
        <v>789</v>
      </c>
      <c r="F260" t="s">
        <v>33</v>
      </c>
      <c r="G260" s="1">
        <v>44701</v>
      </c>
    </row>
    <row r="261" spans="1:7">
      <c r="A261" t="s">
        <v>790</v>
      </c>
      <c r="B261" t="str">
        <f>IFERROR(INDEX(customers[country], MATCH(customers[[#This Row],[customer_id]], customers[customer_id], 0)), "Unmapped")</f>
        <v>Germany</v>
      </c>
      <c r="C261" t="s">
        <v>791</v>
      </c>
      <c r="D261" t="s">
        <v>8</v>
      </c>
      <c r="E261" t="s">
        <v>792</v>
      </c>
      <c r="F261" t="s">
        <v>54</v>
      </c>
      <c r="G261" s="1">
        <v>44855</v>
      </c>
    </row>
    <row r="262" spans="1:7">
      <c r="A262" t="s">
        <v>793</v>
      </c>
      <c r="B262" t="str">
        <f>IFERROR(INDEX(customers[country], MATCH(customers[[#This Row],[customer_id]], customers[customer_id], 0)), "Unmapped")</f>
        <v>Sweden</v>
      </c>
      <c r="C262" t="s">
        <v>794</v>
      </c>
      <c r="D262" t="s">
        <v>21</v>
      </c>
      <c r="E262" t="s">
        <v>795</v>
      </c>
      <c r="F262" t="s">
        <v>14</v>
      </c>
      <c r="G262" s="1">
        <v>44862</v>
      </c>
    </row>
    <row r="263" spans="1:7">
      <c r="A263" t="s">
        <v>796</v>
      </c>
      <c r="B263" t="str">
        <f>IFERROR(INDEX(customers[country], MATCH(customers[[#This Row],[customer_id]], customers[customer_id], 0)), "Unmapped")</f>
        <v>Sweden</v>
      </c>
      <c r="C263" t="s">
        <v>797</v>
      </c>
      <c r="D263" t="s">
        <v>8</v>
      </c>
      <c r="E263" t="s">
        <v>798</v>
      </c>
      <c r="F263" t="s">
        <v>14</v>
      </c>
      <c r="G263" s="1">
        <v>44524</v>
      </c>
    </row>
    <row r="264" spans="1:7">
      <c r="A264" t="s">
        <v>799</v>
      </c>
      <c r="B264" t="str">
        <f>IFERROR(INDEX(customers[country], MATCH(customers[[#This Row],[customer_id]], customers[customer_id], 0)), "Unmapped")</f>
        <v>Germany</v>
      </c>
      <c r="C264" t="s">
        <v>800</v>
      </c>
      <c r="D264" t="s">
        <v>8</v>
      </c>
      <c r="E264" t="s">
        <v>801</v>
      </c>
      <c r="F264" t="s">
        <v>54</v>
      </c>
      <c r="G264" s="1">
        <v>44848</v>
      </c>
    </row>
    <row r="265" spans="1:7">
      <c r="A265" t="s">
        <v>802</v>
      </c>
      <c r="B265" t="str">
        <f>IFERROR(INDEX(customers[country], MATCH(customers[[#This Row],[customer_id]], customers[customer_id], 0)), "Unmapped")</f>
        <v>Poland</v>
      </c>
      <c r="C265" t="s">
        <v>803</v>
      </c>
      <c r="D265" t="s">
        <v>8</v>
      </c>
      <c r="E265" t="s">
        <v>804</v>
      </c>
      <c r="F265" t="s">
        <v>23</v>
      </c>
      <c r="G265" s="1">
        <v>44532</v>
      </c>
    </row>
    <row r="266" spans="1:7">
      <c r="A266" t="s">
        <v>805</v>
      </c>
      <c r="B266" t="str">
        <f>IFERROR(INDEX(customers[country], MATCH(customers[[#This Row],[customer_id]], customers[customer_id], 0)), "Unmapped")</f>
        <v>Estonia</v>
      </c>
      <c r="C266" t="s">
        <v>806</v>
      </c>
      <c r="D266" t="s">
        <v>21</v>
      </c>
      <c r="E266" t="s">
        <v>807</v>
      </c>
      <c r="F266" t="s">
        <v>18</v>
      </c>
      <c r="G266" s="1">
        <v>46170</v>
      </c>
    </row>
    <row r="267" spans="1:7">
      <c r="A267" t="s">
        <v>808</v>
      </c>
      <c r="B267" t="str">
        <f>IFERROR(INDEX(customers[country], MATCH(customers[[#This Row],[customer_id]], customers[customer_id], 0)), "Unmapped")</f>
        <v>Sweden</v>
      </c>
      <c r="C267" t="s">
        <v>809</v>
      </c>
      <c r="D267" t="s">
        <v>8</v>
      </c>
      <c r="E267" t="s">
        <v>810</v>
      </c>
      <c r="F267" t="s">
        <v>14</v>
      </c>
      <c r="G267" s="1">
        <v>45099</v>
      </c>
    </row>
    <row r="268" spans="1:7">
      <c r="A268" t="s">
        <v>811</v>
      </c>
      <c r="B268" t="str">
        <f>IFERROR(INDEX(customers[country], MATCH(customers[[#This Row],[customer_id]], customers[customer_id], 0)), "Unmapped")</f>
        <v>Finland</v>
      </c>
      <c r="C268" t="s">
        <v>812</v>
      </c>
      <c r="D268" t="s">
        <v>8</v>
      </c>
      <c r="E268" t="s">
        <v>153</v>
      </c>
      <c r="F268" t="s">
        <v>83</v>
      </c>
      <c r="G268" s="1">
        <v>44526</v>
      </c>
    </row>
    <row r="269" spans="1:7">
      <c r="A269" t="s">
        <v>813</v>
      </c>
      <c r="B269" t="str">
        <f>IFERROR(INDEX(customers[country], MATCH(customers[[#This Row],[customer_id]], customers[customer_id], 0)), "Unmapped")</f>
        <v>Norway</v>
      </c>
      <c r="C269" t="s">
        <v>814</v>
      </c>
      <c r="D269" t="s">
        <v>8</v>
      </c>
      <c r="E269" t="s">
        <v>815</v>
      </c>
      <c r="F269" t="s">
        <v>76</v>
      </c>
      <c r="G269" s="1">
        <v>44788</v>
      </c>
    </row>
    <row r="270" spans="1:7">
      <c r="A270" t="s">
        <v>816</v>
      </c>
      <c r="B270" t="str">
        <f>IFERROR(INDEX(customers[country], MATCH(customers[[#This Row],[customer_id]], customers[customer_id], 0)), "Unmapped")</f>
        <v>Lithuania</v>
      </c>
      <c r="C270" t="s">
        <v>817</v>
      </c>
      <c r="D270" t="s">
        <v>8</v>
      </c>
      <c r="E270" t="s">
        <v>818</v>
      </c>
      <c r="F270" t="s">
        <v>41</v>
      </c>
      <c r="G270" s="1">
        <v>45633</v>
      </c>
    </row>
    <row r="271" spans="1:7">
      <c r="A271" t="s">
        <v>819</v>
      </c>
      <c r="B271" t="str">
        <f>IFERROR(INDEX(customers[country], MATCH(customers[[#This Row],[customer_id]], customers[customer_id], 0)), "Unmapped")</f>
        <v>Estonia</v>
      </c>
      <c r="C271" t="s">
        <v>820</v>
      </c>
      <c r="D271" t="s">
        <v>8</v>
      </c>
      <c r="E271" t="s">
        <v>821</v>
      </c>
      <c r="F271" t="s">
        <v>18</v>
      </c>
      <c r="G271" s="1">
        <v>46052</v>
      </c>
    </row>
    <row r="272" spans="1:7">
      <c r="A272" t="s">
        <v>822</v>
      </c>
      <c r="B272" t="str">
        <f>IFERROR(INDEX(customers[country], MATCH(customers[[#This Row],[customer_id]], customers[customer_id], 0)), "Unmapped")</f>
        <v>Netherlands</v>
      </c>
      <c r="C272" t="s">
        <v>823</v>
      </c>
      <c r="D272" t="s">
        <v>36</v>
      </c>
      <c r="E272" t="s">
        <v>824</v>
      </c>
      <c r="F272" t="s">
        <v>33</v>
      </c>
      <c r="G272" s="1">
        <v>46219</v>
      </c>
    </row>
    <row r="273" spans="1:7">
      <c r="A273" t="s">
        <v>825</v>
      </c>
      <c r="B273" t="str">
        <f>IFERROR(INDEX(customers[country], MATCH(customers[[#This Row],[customer_id]], customers[customer_id], 0)), "Unmapped")</f>
        <v>Latvia</v>
      </c>
      <c r="C273" t="s">
        <v>826</v>
      </c>
      <c r="D273" t="s">
        <v>36</v>
      </c>
      <c r="E273" t="s">
        <v>827</v>
      </c>
      <c r="F273" t="s">
        <v>10</v>
      </c>
      <c r="G273" s="1">
        <v>45415</v>
      </c>
    </row>
    <row r="274" spans="1:7">
      <c r="A274" t="s">
        <v>828</v>
      </c>
      <c r="B274" t="str">
        <f>IFERROR(INDEX(customers[country], MATCH(customers[[#This Row],[customer_id]], customers[customer_id], 0)), "Unmapped")</f>
        <v>Germany</v>
      </c>
      <c r="C274" t="s">
        <v>829</v>
      </c>
      <c r="D274" t="s">
        <v>36</v>
      </c>
      <c r="E274" t="s">
        <v>830</v>
      </c>
      <c r="F274" t="s">
        <v>54</v>
      </c>
      <c r="G274" s="1">
        <v>45344</v>
      </c>
    </row>
    <row r="275" spans="1:7">
      <c r="A275" t="s">
        <v>831</v>
      </c>
      <c r="B275" t="str">
        <f>IFERROR(INDEX(customers[country], MATCH(customers[[#This Row],[customer_id]], customers[customer_id], 0)), "Unmapped")</f>
        <v>Norway</v>
      </c>
      <c r="C275" t="s">
        <v>832</v>
      </c>
      <c r="D275" t="s">
        <v>8</v>
      </c>
      <c r="E275" t="s">
        <v>833</v>
      </c>
      <c r="F275" t="s">
        <v>76</v>
      </c>
      <c r="G275" s="1">
        <v>46066</v>
      </c>
    </row>
    <row r="276" spans="1:7">
      <c r="A276" t="s">
        <v>834</v>
      </c>
      <c r="B276" t="str">
        <f>IFERROR(INDEX(customers[country], MATCH(customers[[#This Row],[customer_id]], customers[customer_id], 0)), "Unmapped")</f>
        <v>Denmark</v>
      </c>
      <c r="C276" t="s">
        <v>835</v>
      </c>
      <c r="D276" t="s">
        <v>8</v>
      </c>
      <c r="E276" t="s">
        <v>836</v>
      </c>
      <c r="F276" t="s">
        <v>105</v>
      </c>
      <c r="G276" s="1">
        <v>44891</v>
      </c>
    </row>
    <row r="277" spans="1:7">
      <c r="A277" t="s">
        <v>837</v>
      </c>
      <c r="B277" t="str">
        <f>IFERROR(INDEX(customers[country], MATCH(customers[[#This Row],[customer_id]], customers[customer_id], 0)), "Unmapped")</f>
        <v>Poland</v>
      </c>
      <c r="C277" t="s">
        <v>838</v>
      </c>
      <c r="D277" t="s">
        <v>21</v>
      </c>
      <c r="E277" t="s">
        <v>839</v>
      </c>
      <c r="F277" t="s">
        <v>23</v>
      </c>
      <c r="G277" s="1">
        <v>45920</v>
      </c>
    </row>
    <row r="278" spans="1:7">
      <c r="A278" t="s">
        <v>840</v>
      </c>
      <c r="B278" t="str">
        <f>IFERROR(INDEX(customers[country], MATCH(customers[[#This Row],[customer_id]], customers[customer_id], 0)), "Unmapped")</f>
        <v>Finland</v>
      </c>
      <c r="C278" t="s">
        <v>841</v>
      </c>
      <c r="D278" t="s">
        <v>21</v>
      </c>
      <c r="E278" t="s">
        <v>842</v>
      </c>
      <c r="F278" t="s">
        <v>83</v>
      </c>
      <c r="G278" s="1">
        <v>46159</v>
      </c>
    </row>
    <row r="279" spans="1:7">
      <c r="A279" t="s">
        <v>843</v>
      </c>
      <c r="B279" t="str">
        <f>IFERROR(INDEX(customers[country], MATCH(customers[[#This Row],[customer_id]], customers[customer_id], 0)), "Unmapped")</f>
        <v>Netherlands</v>
      </c>
      <c r="C279" t="s">
        <v>844</v>
      </c>
      <c r="D279" t="s">
        <v>8</v>
      </c>
      <c r="E279" t="s">
        <v>845</v>
      </c>
      <c r="F279" t="s">
        <v>33</v>
      </c>
      <c r="G279" s="1">
        <v>45300</v>
      </c>
    </row>
    <row r="280" spans="1:7">
      <c r="A280" t="s">
        <v>846</v>
      </c>
      <c r="B280" t="str">
        <f>IFERROR(INDEX(customers[country], MATCH(customers[[#This Row],[customer_id]], customers[customer_id], 0)), "Unmapped")</f>
        <v>Netherlands</v>
      </c>
      <c r="C280" t="s">
        <v>847</v>
      </c>
      <c r="D280" t="s">
        <v>36</v>
      </c>
      <c r="E280" t="s">
        <v>848</v>
      </c>
      <c r="F280" t="s">
        <v>33</v>
      </c>
      <c r="G280" s="1">
        <v>45164</v>
      </c>
    </row>
    <row r="281" spans="1:7">
      <c r="A281" t="s">
        <v>849</v>
      </c>
      <c r="B281" t="str">
        <f>IFERROR(INDEX(customers[country], MATCH(customers[[#This Row],[customer_id]], customers[customer_id], 0)), "Unmapped")</f>
        <v>Lithuania</v>
      </c>
      <c r="C281" t="s">
        <v>850</v>
      </c>
      <c r="D281" t="s">
        <v>8</v>
      </c>
      <c r="E281" t="s">
        <v>851</v>
      </c>
      <c r="F281" t="s">
        <v>41</v>
      </c>
      <c r="G281" s="1">
        <v>45607</v>
      </c>
    </row>
    <row r="282" spans="1:7">
      <c r="A282" t="s">
        <v>852</v>
      </c>
      <c r="B282" t="str">
        <f>IFERROR(INDEX(customers[country], MATCH(customers[[#This Row],[customer_id]], customers[customer_id], 0)), "Unmapped")</f>
        <v>Sweden</v>
      </c>
      <c r="C282" t="s">
        <v>853</v>
      </c>
      <c r="D282" t="s">
        <v>8</v>
      </c>
      <c r="E282" t="s">
        <v>854</v>
      </c>
      <c r="F282" t="s">
        <v>14</v>
      </c>
      <c r="G282" s="1">
        <v>46179</v>
      </c>
    </row>
    <row r="283" spans="1:7">
      <c r="A283" t="s">
        <v>855</v>
      </c>
      <c r="B283" t="str">
        <f>IFERROR(INDEX(customers[country], MATCH(customers[[#This Row],[customer_id]], customers[customer_id], 0)), "Unmapped")</f>
        <v>Latvia</v>
      </c>
      <c r="C283" t="s">
        <v>856</v>
      </c>
      <c r="D283" t="s">
        <v>8</v>
      </c>
      <c r="E283" t="s">
        <v>857</v>
      </c>
      <c r="F283" t="s">
        <v>10</v>
      </c>
      <c r="G283" s="1">
        <v>44615</v>
      </c>
    </row>
    <row r="284" spans="1:7">
      <c r="A284" t="s">
        <v>858</v>
      </c>
      <c r="B284" t="str">
        <f>IFERROR(INDEX(customers[country], MATCH(customers[[#This Row],[customer_id]], customers[customer_id], 0)), "Unmapped")</f>
        <v>Lithuania</v>
      </c>
      <c r="C284" t="s">
        <v>859</v>
      </c>
      <c r="D284" t="s">
        <v>21</v>
      </c>
      <c r="E284" t="s">
        <v>860</v>
      </c>
      <c r="F284" t="s">
        <v>41</v>
      </c>
      <c r="G284" s="1">
        <v>45851</v>
      </c>
    </row>
    <row r="285" spans="1:7">
      <c r="A285" t="s">
        <v>861</v>
      </c>
      <c r="B285" t="str">
        <f>IFERROR(INDEX(customers[country], MATCH(customers[[#This Row],[customer_id]], customers[customer_id], 0)), "Unmapped")</f>
        <v>Latvia</v>
      </c>
      <c r="C285" t="s">
        <v>862</v>
      </c>
      <c r="D285" t="s">
        <v>21</v>
      </c>
      <c r="E285" t="s">
        <v>863</v>
      </c>
      <c r="F285" t="s">
        <v>10</v>
      </c>
      <c r="G285" s="1">
        <v>44962</v>
      </c>
    </row>
    <row r="286" spans="1:7">
      <c r="A286" t="s">
        <v>864</v>
      </c>
      <c r="B286" t="str">
        <f>IFERROR(INDEX(customers[country], MATCH(customers[[#This Row],[customer_id]], customers[customer_id], 0)), "Unmapped")</f>
        <v>Finland</v>
      </c>
      <c r="C286" t="s">
        <v>865</v>
      </c>
      <c r="D286" t="s">
        <v>8</v>
      </c>
      <c r="E286" t="s">
        <v>866</v>
      </c>
      <c r="F286" t="s">
        <v>83</v>
      </c>
      <c r="G286" s="1">
        <v>45416</v>
      </c>
    </row>
    <row r="287" spans="1:7">
      <c r="A287" t="s">
        <v>867</v>
      </c>
      <c r="B287" t="str">
        <f>IFERROR(INDEX(customers[country], MATCH(customers[[#This Row],[customer_id]], customers[customer_id], 0)), "Unmapped")</f>
        <v>Denmark</v>
      </c>
      <c r="C287" t="s">
        <v>868</v>
      </c>
      <c r="D287" t="s">
        <v>8</v>
      </c>
      <c r="E287" t="s">
        <v>869</v>
      </c>
      <c r="F287" t="s">
        <v>105</v>
      </c>
      <c r="G287" s="1">
        <v>45439</v>
      </c>
    </row>
    <row r="288" spans="1:7">
      <c r="A288" t="s">
        <v>870</v>
      </c>
      <c r="B288" t="str">
        <f>IFERROR(INDEX(customers[country], MATCH(customers[[#This Row],[customer_id]], customers[customer_id], 0)), "Unmapped")</f>
        <v>Estonia</v>
      </c>
      <c r="C288" t="s">
        <v>871</v>
      </c>
      <c r="D288" t="s">
        <v>21</v>
      </c>
      <c r="E288" t="s">
        <v>872</v>
      </c>
      <c r="F288" t="s">
        <v>18</v>
      </c>
      <c r="G288" s="1">
        <v>45277</v>
      </c>
    </row>
    <row r="289" spans="1:7">
      <c r="A289" t="s">
        <v>873</v>
      </c>
      <c r="B289" t="str">
        <f>IFERROR(INDEX(customers[country], MATCH(customers[[#This Row],[customer_id]], customers[customer_id], 0)), "Unmapped")</f>
        <v>Estonia</v>
      </c>
      <c r="C289" t="s">
        <v>874</v>
      </c>
      <c r="D289" t="s">
        <v>21</v>
      </c>
      <c r="E289" t="s">
        <v>875</v>
      </c>
      <c r="F289" t="s">
        <v>18</v>
      </c>
      <c r="G289" s="1">
        <v>45605</v>
      </c>
    </row>
    <row r="290" spans="1:7">
      <c r="A290" t="s">
        <v>876</v>
      </c>
      <c r="B290" t="str">
        <f>IFERROR(INDEX(customers[country], MATCH(customers[[#This Row],[customer_id]], customers[customer_id], 0)), "Unmapped")</f>
        <v>Estonia</v>
      </c>
      <c r="C290" t="s">
        <v>877</v>
      </c>
      <c r="D290" t="s">
        <v>8</v>
      </c>
      <c r="E290" t="s">
        <v>878</v>
      </c>
      <c r="F290" t="s">
        <v>18</v>
      </c>
      <c r="G290" s="1">
        <v>46092</v>
      </c>
    </row>
    <row r="291" spans="1:7">
      <c r="A291" t="s">
        <v>879</v>
      </c>
      <c r="B291" t="str">
        <f>IFERROR(INDEX(customers[country], MATCH(customers[[#This Row],[customer_id]], customers[customer_id], 0)), "Unmapped")</f>
        <v>Norway</v>
      </c>
      <c r="C291" t="s">
        <v>880</v>
      </c>
      <c r="D291" t="s">
        <v>8</v>
      </c>
      <c r="E291" t="s">
        <v>881</v>
      </c>
      <c r="F291" t="s">
        <v>76</v>
      </c>
      <c r="G291" s="1">
        <v>45019</v>
      </c>
    </row>
    <row r="292" spans="1:7">
      <c r="A292" t="s">
        <v>882</v>
      </c>
      <c r="B292" t="str">
        <f>IFERROR(INDEX(customers[country], MATCH(customers[[#This Row],[customer_id]], customers[customer_id], 0)), "Unmapped")</f>
        <v>Netherlands</v>
      </c>
      <c r="C292" t="s">
        <v>883</v>
      </c>
      <c r="D292" t="s">
        <v>21</v>
      </c>
      <c r="E292" t="s">
        <v>884</v>
      </c>
      <c r="F292" t="s">
        <v>33</v>
      </c>
      <c r="G292" s="1">
        <v>44840</v>
      </c>
    </row>
    <row r="293" spans="1:7">
      <c r="A293" t="s">
        <v>885</v>
      </c>
      <c r="B293" t="str">
        <f>IFERROR(INDEX(customers[country], MATCH(customers[[#This Row],[customer_id]], customers[customer_id], 0)), "Unmapped")</f>
        <v>Poland</v>
      </c>
      <c r="C293" t="s">
        <v>886</v>
      </c>
      <c r="D293" t="s">
        <v>21</v>
      </c>
      <c r="E293" t="s">
        <v>887</v>
      </c>
      <c r="F293" t="s">
        <v>23</v>
      </c>
      <c r="G293" s="1">
        <v>44476</v>
      </c>
    </row>
    <row r="294" spans="1:7">
      <c r="A294" t="s">
        <v>888</v>
      </c>
      <c r="B294" t="str">
        <f>IFERROR(INDEX(customers[country], MATCH(customers[[#This Row],[customer_id]], customers[customer_id], 0)), "Unmapped")</f>
        <v>Denmark</v>
      </c>
      <c r="C294" t="s">
        <v>889</v>
      </c>
      <c r="D294" t="s">
        <v>21</v>
      </c>
      <c r="E294" t="s">
        <v>890</v>
      </c>
      <c r="F294" t="s">
        <v>105</v>
      </c>
      <c r="G294" s="1">
        <v>45097</v>
      </c>
    </row>
    <row r="295" spans="1:7">
      <c r="A295" t="s">
        <v>891</v>
      </c>
      <c r="B295" t="str">
        <f>IFERROR(INDEX(customers[country], MATCH(customers[[#This Row],[customer_id]], customers[customer_id], 0)), "Unmapped")</f>
        <v>Netherlands</v>
      </c>
      <c r="C295" t="s">
        <v>892</v>
      </c>
      <c r="D295" t="s">
        <v>8</v>
      </c>
      <c r="E295" t="s">
        <v>893</v>
      </c>
      <c r="F295" t="s">
        <v>33</v>
      </c>
      <c r="G295" s="1">
        <v>45857</v>
      </c>
    </row>
    <row r="296" spans="1:7">
      <c r="A296" t="s">
        <v>894</v>
      </c>
      <c r="B296" t="str">
        <f>IFERROR(INDEX(customers[country], MATCH(customers[[#This Row],[customer_id]], customers[customer_id], 0)), "Unmapped")</f>
        <v>Poland</v>
      </c>
      <c r="C296" t="s">
        <v>895</v>
      </c>
      <c r="D296" t="s">
        <v>8</v>
      </c>
      <c r="E296" t="s">
        <v>896</v>
      </c>
      <c r="F296" t="s">
        <v>23</v>
      </c>
      <c r="G296" s="1">
        <v>45071</v>
      </c>
    </row>
    <row r="297" spans="1:7">
      <c r="A297" t="s">
        <v>897</v>
      </c>
      <c r="B297" t="str">
        <f>IFERROR(INDEX(customers[country], MATCH(customers[[#This Row],[customer_id]], customers[customer_id], 0)), "Unmapped")</f>
        <v>Netherlands</v>
      </c>
      <c r="C297" t="s">
        <v>898</v>
      </c>
      <c r="D297" t="s">
        <v>21</v>
      </c>
      <c r="E297" t="s">
        <v>899</v>
      </c>
      <c r="F297" t="s">
        <v>33</v>
      </c>
      <c r="G297" s="1">
        <v>44759</v>
      </c>
    </row>
    <row r="298" spans="1:7">
      <c r="A298" t="s">
        <v>900</v>
      </c>
      <c r="B298" t="str">
        <f>IFERROR(INDEX(customers[country], MATCH(customers[[#This Row],[customer_id]], customers[customer_id], 0)), "Unmapped")</f>
        <v>Germany</v>
      </c>
      <c r="C298" t="s">
        <v>901</v>
      </c>
      <c r="D298" t="s">
        <v>21</v>
      </c>
      <c r="E298" t="s">
        <v>902</v>
      </c>
      <c r="F298" t="s">
        <v>54</v>
      </c>
      <c r="G298" s="1">
        <v>45495</v>
      </c>
    </row>
    <row r="299" spans="1:7">
      <c r="A299" t="s">
        <v>903</v>
      </c>
      <c r="B299" t="str">
        <f>IFERROR(INDEX(customers[country], MATCH(customers[[#This Row],[customer_id]], customers[customer_id], 0)), "Unmapped")</f>
        <v>Norway</v>
      </c>
      <c r="C299" t="s">
        <v>904</v>
      </c>
      <c r="D299" t="s">
        <v>21</v>
      </c>
      <c r="E299" t="s">
        <v>905</v>
      </c>
      <c r="F299" t="s">
        <v>76</v>
      </c>
      <c r="G299" s="1">
        <v>45725</v>
      </c>
    </row>
    <row r="300" spans="1:7">
      <c r="A300" t="s">
        <v>906</v>
      </c>
      <c r="B300" t="str">
        <f>IFERROR(INDEX(customers[country], MATCH(customers[[#This Row],[customer_id]], customers[customer_id], 0)), "Unmapped")</f>
        <v>Sweden</v>
      </c>
      <c r="C300" t="s">
        <v>907</v>
      </c>
      <c r="D300" t="s">
        <v>21</v>
      </c>
      <c r="E300" t="s">
        <v>908</v>
      </c>
      <c r="F300" t="s">
        <v>14</v>
      </c>
      <c r="G300" s="1">
        <v>44672</v>
      </c>
    </row>
    <row r="301" spans="1:7">
      <c r="A301" t="s">
        <v>909</v>
      </c>
      <c r="B301" t="str">
        <f>IFERROR(INDEX(customers[country], MATCH(customers[[#This Row],[customer_id]], customers[customer_id], 0)), "Unmapped")</f>
        <v>Poland</v>
      </c>
      <c r="C301" t="s">
        <v>910</v>
      </c>
      <c r="D301" t="s">
        <v>21</v>
      </c>
      <c r="E301" t="s">
        <v>911</v>
      </c>
      <c r="F301" t="s">
        <v>23</v>
      </c>
      <c r="G301" s="1">
        <v>45293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B99C7-3EAD-BA4B-B68D-339B92019A65}">
  <dimension ref="A1:Q6376"/>
  <sheetViews>
    <sheetView topLeftCell="F1" zoomScale="92" workbookViewId="0">
      <selection activeCell="P36" sqref="P36"/>
    </sheetView>
  </sheetViews>
  <sheetFormatPr baseColWidth="10" defaultRowHeight="16"/>
  <cols>
    <col min="1" max="1" width="13.83203125" bestFit="1" customWidth="1"/>
    <col min="2" max="2" width="11" bestFit="1" customWidth="1"/>
    <col min="3" max="3" width="11.5" bestFit="1" customWidth="1"/>
    <col min="4" max="4" width="11.6640625" bestFit="1" customWidth="1"/>
    <col min="5" max="5" width="24.1640625" bestFit="1" customWidth="1"/>
    <col min="6" max="6" width="20.6640625" bestFit="1" customWidth="1"/>
    <col min="7" max="7" width="18.83203125" bestFit="1" customWidth="1"/>
    <col min="8" max="8" width="22.1640625" bestFit="1" customWidth="1"/>
    <col min="9" max="9" width="22.1640625" customWidth="1"/>
    <col min="10" max="10" width="24.1640625" bestFit="1" customWidth="1"/>
    <col min="11" max="11" width="16.1640625" hidden="1" customWidth="1"/>
    <col min="13" max="13" width="29.1640625" bestFit="1" customWidth="1"/>
    <col min="14" max="14" width="13.33203125" bestFit="1" customWidth="1"/>
    <col min="16" max="16" width="13.33203125" bestFit="1" customWidth="1"/>
    <col min="17" max="17" width="17.6640625" bestFit="1" customWidth="1"/>
  </cols>
  <sheetData>
    <row r="1" spans="1:17">
      <c r="A1" t="s">
        <v>6913</v>
      </c>
      <c r="B1" t="s">
        <v>912</v>
      </c>
      <c r="C1" t="s">
        <v>6914</v>
      </c>
      <c r="D1" t="s">
        <v>6915</v>
      </c>
      <c r="E1" t="s">
        <v>6916</v>
      </c>
      <c r="F1" t="s">
        <v>6917</v>
      </c>
      <c r="G1" t="s">
        <v>6918</v>
      </c>
      <c r="H1" t="s">
        <v>13393</v>
      </c>
      <c r="I1" t="s">
        <v>13374</v>
      </c>
      <c r="J1" t="s">
        <v>13386</v>
      </c>
      <c r="K1" t="s">
        <v>6919</v>
      </c>
    </row>
    <row r="2" spans="1:17">
      <c r="A2" t="s">
        <v>6920</v>
      </c>
      <c r="B2" t="s">
        <v>913</v>
      </c>
      <c r="C2" t="s">
        <v>6921</v>
      </c>
      <c r="D2" s="1">
        <v>45390</v>
      </c>
      <c r="E2" s="1">
        <v>45400</v>
      </c>
      <c r="F2" s="1">
        <v>45405</v>
      </c>
      <c r="G2">
        <v>57.47</v>
      </c>
      <c r="H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" t="str">
        <f>IFERROR(INDEX(Raw_orders!G:G, MATCH(shipments[[#This Row],[order_id]],Raw_orders!A:A, 0)), "Unknown")</f>
        <v>Nordics</v>
      </c>
      <c r="J2" t="str">
        <f>PROPER(shipments[[#This Row],[delivery_status]])</f>
        <v>Delivered</v>
      </c>
      <c r="K2" t="s">
        <v>6922</v>
      </c>
    </row>
    <row r="3" spans="1:17">
      <c r="A3" t="s">
        <v>6923</v>
      </c>
      <c r="B3" t="s">
        <v>914</v>
      </c>
      <c r="C3" t="s">
        <v>6921</v>
      </c>
      <c r="D3" s="1">
        <v>45275</v>
      </c>
      <c r="E3" s="1">
        <v>45282</v>
      </c>
      <c r="F3" s="1">
        <v>45289</v>
      </c>
      <c r="G3">
        <v>47.42</v>
      </c>
      <c r="H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" t="str">
        <f>IFERROR(INDEX(Raw_orders!G:G, MATCH(shipments[[#This Row],[order_id]],Raw_orders!A:A, 0)), "Unknown")</f>
        <v>Central Europe</v>
      </c>
      <c r="J3" t="str">
        <f>PROPER(shipments[[#This Row],[delivery_status]])</f>
        <v>Delivered</v>
      </c>
      <c r="K3" t="s">
        <v>6922</v>
      </c>
    </row>
    <row r="4" spans="1:17">
      <c r="A4" t="s">
        <v>6924</v>
      </c>
      <c r="B4" t="s">
        <v>915</v>
      </c>
      <c r="C4" t="s">
        <v>6925</v>
      </c>
      <c r="D4" s="1">
        <v>44993</v>
      </c>
      <c r="E4" s="1">
        <v>44996</v>
      </c>
      <c r="F4" s="1">
        <v>45006</v>
      </c>
      <c r="G4">
        <v>48.51</v>
      </c>
      <c r="H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" t="str">
        <f>IFERROR(INDEX(Raw_orders!G:G, MATCH(shipments[[#This Row],[order_id]],Raw_orders!A:A, 0)), "Unknown")</f>
        <v>Baltics</v>
      </c>
      <c r="J4" t="str">
        <f>PROPER(shipments[[#This Row],[delivery_status]])</f>
        <v>Delivered</v>
      </c>
      <c r="K4" t="s">
        <v>6926</v>
      </c>
      <c r="N4" t="s">
        <v>13394</v>
      </c>
      <c r="O4" t="s">
        <v>13395</v>
      </c>
      <c r="P4" t="s">
        <v>13396</v>
      </c>
      <c r="Q4" t="s">
        <v>13398</v>
      </c>
    </row>
    <row r="5" spans="1:17">
      <c r="A5" t="s">
        <v>6927</v>
      </c>
      <c r="B5" t="s">
        <v>916</v>
      </c>
      <c r="C5" t="s">
        <v>6928</v>
      </c>
      <c r="D5" s="1">
        <v>45321</v>
      </c>
      <c r="E5" s="1">
        <v>45324</v>
      </c>
      <c r="F5" s="1">
        <v>45338</v>
      </c>
      <c r="G5">
        <v>53.15</v>
      </c>
      <c r="H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" t="str">
        <f>IFERROR(INDEX(Raw_orders!G:G, MATCH(shipments[[#This Row],[order_id]],Raw_orders!A:A, 0)), "Unknown")</f>
        <v>Nordics</v>
      </c>
      <c r="J5" t="str">
        <f>PROPER(shipments[[#This Row],[delivery_status]])</f>
        <v>Delivered</v>
      </c>
      <c r="K5" t="s">
        <v>6929</v>
      </c>
      <c r="M5" t="s">
        <v>6928</v>
      </c>
      <c r="N5">
        <f>COUNTIFS(C:C,"DHL",J:J,"Delivered")</f>
        <v>670</v>
      </c>
      <c r="O5">
        <f>COUNTIFS(shipments[carrier], "DHL", shipments[Delivery_Performance], "On Time")</f>
        <v>239</v>
      </c>
      <c r="P5">
        <f>COUNTIFS(shipments[carrier], "DHL", shipments[Delivery_Performance], "Late")</f>
        <v>431</v>
      </c>
      <c r="Q5" s="5">
        <f>(O5/N5)</f>
        <v>0.35671641791044778</v>
      </c>
    </row>
    <row r="6" spans="1:17">
      <c r="A6" t="s">
        <v>6930</v>
      </c>
      <c r="B6" t="s">
        <v>917</v>
      </c>
      <c r="C6" t="s">
        <v>6931</v>
      </c>
      <c r="D6" s="1">
        <v>45239</v>
      </c>
      <c r="E6" s="1">
        <v>45246</v>
      </c>
      <c r="F6" s="1">
        <v>45246</v>
      </c>
      <c r="G6">
        <v>40.549999999999997</v>
      </c>
      <c r="H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" t="str">
        <f>IFERROR(INDEX(Raw_orders!G:G, MATCH(shipments[[#This Row],[order_id]],Raw_orders!A:A, 0)), "Unknown")</f>
        <v>Baltics</v>
      </c>
      <c r="J6" t="str">
        <f>PROPER(shipments[[#This Row],[delivery_status]])</f>
        <v>Delivered</v>
      </c>
      <c r="K6" t="s">
        <v>6926</v>
      </c>
      <c r="M6" t="s">
        <v>13397</v>
      </c>
      <c r="N6">
        <f>COUNTIFS(C:C,"PostNord",J:J,"Delivered")</f>
        <v>674</v>
      </c>
      <c r="O6">
        <f>COUNTIFS(shipments[carrier], "PostNord", shipments[Delivery_Performance], "On Time")</f>
        <v>250</v>
      </c>
      <c r="P6">
        <f>COUNTIFS(shipments[carrier], "PostNord", shipments[Delivery_Performance], "Late")</f>
        <v>424</v>
      </c>
      <c r="Q6" s="5">
        <f>(O6/N6)</f>
        <v>0.37091988130563797</v>
      </c>
    </row>
    <row r="7" spans="1:17">
      <c r="A7" t="s">
        <v>6932</v>
      </c>
      <c r="B7" t="s">
        <v>918</v>
      </c>
      <c r="C7" t="s">
        <v>6921</v>
      </c>
      <c r="D7" s="1">
        <v>45620</v>
      </c>
      <c r="E7" s="1">
        <v>45623</v>
      </c>
      <c r="F7" s="1">
        <v>45625</v>
      </c>
      <c r="G7">
        <v>58.52</v>
      </c>
      <c r="H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" t="str">
        <f>IFERROR(INDEX(Raw_orders!G:G, MATCH(shipments[[#This Row],[order_id]],Raw_orders!A:A, 0)), "Unknown")</f>
        <v>Nordics</v>
      </c>
      <c r="J7" t="str">
        <f>PROPER(shipments[[#This Row],[delivery_status]])</f>
        <v>Delivered</v>
      </c>
      <c r="K7" t="s">
        <v>6926</v>
      </c>
      <c r="M7" t="s">
        <v>6931</v>
      </c>
      <c r="N7">
        <f>COUNTIFS(C:C,M7,J:J,"Delivered")</f>
        <v>624</v>
      </c>
      <c r="O7">
        <f>COUNTIFS(shipments[carrier], M7, shipments[Delivery_Performance], "On Time")</f>
        <v>226</v>
      </c>
      <c r="P7">
        <f>COUNTIFS(shipments[carrier], M7, shipments[Delivery_Performance], "Late")</f>
        <v>398</v>
      </c>
      <c r="Q7" s="5">
        <f>(O7/N7)</f>
        <v>0.36217948717948717</v>
      </c>
    </row>
    <row r="8" spans="1:17">
      <c r="A8" t="s">
        <v>6933</v>
      </c>
      <c r="B8" t="s">
        <v>919</v>
      </c>
      <c r="C8" t="s">
        <v>6921</v>
      </c>
      <c r="D8" s="1">
        <v>45310</v>
      </c>
      <c r="E8" s="1">
        <v>45315</v>
      </c>
      <c r="F8" s="1">
        <v>45323</v>
      </c>
      <c r="G8">
        <v>25.11</v>
      </c>
      <c r="H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" t="str">
        <f>IFERROR(INDEX(Raw_orders!G:G, MATCH(shipments[[#This Row],[order_id]],Raw_orders!A:A, 0)), "Unknown")</f>
        <v>Nordics</v>
      </c>
      <c r="J8" t="str">
        <f>PROPER(shipments[[#This Row],[delivery_status]])</f>
        <v>Delivered</v>
      </c>
      <c r="K8" t="s">
        <v>6926</v>
      </c>
      <c r="M8" t="s">
        <v>6921</v>
      </c>
      <c r="N8">
        <f>COUNTIFS(C:C,M8,J:J,"Delivered")</f>
        <v>630</v>
      </c>
      <c r="O8">
        <f>COUNTIFS(shipments[carrier], M8, shipments[Delivery_Performance], "On Time")</f>
        <v>219</v>
      </c>
      <c r="P8">
        <f>COUNTIFS(shipments[carrier], M8, shipments[Delivery_Performance], "Late")</f>
        <v>411</v>
      </c>
      <c r="Q8" s="5">
        <f t="shared" ref="Q8:Q12" si="0">(O8/N8)</f>
        <v>0.34761904761904761</v>
      </c>
    </row>
    <row r="9" spans="1:17">
      <c r="A9" t="s">
        <v>6934</v>
      </c>
      <c r="B9" t="s">
        <v>920</v>
      </c>
      <c r="C9" t="s">
        <v>6935</v>
      </c>
      <c r="D9" s="1">
        <v>44986</v>
      </c>
      <c r="E9" s="1">
        <v>44991</v>
      </c>
      <c r="F9" s="1">
        <v>44990</v>
      </c>
      <c r="G9">
        <v>61.23</v>
      </c>
      <c r="H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9" t="str">
        <f>IFERROR(INDEX(Raw_orders!G:G, MATCH(shipments[[#This Row],[order_id]],Raw_orders!A:A, 0)), "Unknown")</f>
        <v>Central Europe</v>
      </c>
      <c r="J9" t="str">
        <f>PROPER(shipments[[#This Row],[delivery_status]])</f>
        <v>Delivered</v>
      </c>
      <c r="K9" t="s">
        <v>6926</v>
      </c>
      <c r="M9" t="s">
        <v>6938</v>
      </c>
      <c r="N9">
        <f t="shared" ref="N9:N12" si="1">COUNTIFS(C:C,M9,J:J,"Delivered")</f>
        <v>682</v>
      </c>
      <c r="O9">
        <f>COUNTIFS(shipments[carrier], M9, shipments[Delivery_Performance], "On Time")</f>
        <v>266</v>
      </c>
      <c r="P9">
        <f>COUNTIFS(shipments[carrier], M9, shipments[Delivery_Performance], "Late")</f>
        <v>416</v>
      </c>
      <c r="Q9" s="5">
        <f t="shared" si="0"/>
        <v>0.39002932551319647</v>
      </c>
    </row>
    <row r="10" spans="1:17">
      <c r="A10" t="s">
        <v>6936</v>
      </c>
      <c r="B10" t="s">
        <v>921</v>
      </c>
      <c r="C10" t="s">
        <v>6935</v>
      </c>
      <c r="D10" s="1">
        <v>45006</v>
      </c>
      <c r="E10" s="1">
        <v>45013</v>
      </c>
      <c r="F10" s="1">
        <v>45013</v>
      </c>
      <c r="G10">
        <v>4.79</v>
      </c>
      <c r="H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0" t="str">
        <f>IFERROR(INDEX(Raw_orders!G:G, MATCH(shipments[[#This Row],[order_id]],Raw_orders!A:A, 0)), "Unknown")</f>
        <v>Baltics</v>
      </c>
      <c r="J10" t="str">
        <f>PROPER(shipments[[#This Row],[delivery_status]])</f>
        <v>Delivered</v>
      </c>
      <c r="K10" t="s">
        <v>6926</v>
      </c>
      <c r="M10" t="s">
        <v>6940</v>
      </c>
      <c r="N10">
        <f t="shared" si="1"/>
        <v>685</v>
      </c>
      <c r="O10">
        <f>COUNTIFS(shipments[carrier], M10, shipments[Delivery_Performance], "On Time")</f>
        <v>257</v>
      </c>
      <c r="P10">
        <f>COUNTIFS(shipments[carrier], M10, shipments[Delivery_Performance], "Late")</f>
        <v>428</v>
      </c>
      <c r="Q10" s="5">
        <f t="shared" si="0"/>
        <v>0.37518248175182484</v>
      </c>
    </row>
    <row r="11" spans="1:17">
      <c r="A11" t="s">
        <v>6937</v>
      </c>
      <c r="B11" t="s">
        <v>922</v>
      </c>
      <c r="C11" t="s">
        <v>6938</v>
      </c>
      <c r="D11" s="1">
        <v>45542</v>
      </c>
      <c r="E11" s="1">
        <v>45547</v>
      </c>
      <c r="F11" s="1">
        <v>45555</v>
      </c>
      <c r="G11">
        <v>57.47</v>
      </c>
      <c r="H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" t="str">
        <f>IFERROR(INDEX(Raw_orders!G:G, MATCH(shipments[[#This Row],[order_id]],Raw_orders!A:A, 0)), "Unknown")</f>
        <v>Nordics</v>
      </c>
      <c r="J11" t="str">
        <f>PROPER(shipments[[#This Row],[delivery_status]])</f>
        <v>Delivered</v>
      </c>
      <c r="K11" t="s">
        <v>6926</v>
      </c>
      <c r="M11" t="s">
        <v>6956</v>
      </c>
      <c r="N11">
        <f t="shared" si="1"/>
        <v>620</v>
      </c>
      <c r="O11">
        <f>COUNTIFS(shipments[carrier], M11, shipments[Delivery_Performance], "On Time")</f>
        <v>220</v>
      </c>
      <c r="P11">
        <f>COUNTIFS(shipments[carrier], M11, shipments[Delivery_Performance], "Late")</f>
        <v>400</v>
      </c>
      <c r="Q11" s="5">
        <f t="shared" si="0"/>
        <v>0.35483870967741937</v>
      </c>
    </row>
    <row r="12" spans="1:17" ht="17">
      <c r="A12" t="s">
        <v>6939</v>
      </c>
      <c r="B12" t="s">
        <v>923</v>
      </c>
      <c r="C12" t="s">
        <v>6940</v>
      </c>
      <c r="D12" s="1">
        <v>45228</v>
      </c>
      <c r="E12" s="1">
        <v>45231</v>
      </c>
      <c r="F12" s="1">
        <v>45231</v>
      </c>
      <c r="G12">
        <v>27.82</v>
      </c>
      <c r="H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" t="str">
        <f>IFERROR(INDEX(Raw_orders!G:G, MATCH(shipments[[#This Row],[order_id]],Raw_orders!A:A, 0)), "Unknown")</f>
        <v>Baltics</v>
      </c>
      <c r="J12" t="str">
        <f>PROPER(shipments[[#This Row],[delivery_status]])</f>
        <v>Delivered</v>
      </c>
      <c r="K12" t="s">
        <v>6926</v>
      </c>
      <c r="M12" s="6" t="s">
        <v>6925</v>
      </c>
      <c r="N12">
        <f t="shared" si="1"/>
        <v>662</v>
      </c>
      <c r="O12">
        <f>COUNTIFS(shipments[carrier], M12, shipments[Delivery_Performance], "On Time")</f>
        <v>244</v>
      </c>
      <c r="P12">
        <f>COUNTIFS(shipments[carrier], M12, shipments[Delivery_Performance], "Late")</f>
        <v>418</v>
      </c>
      <c r="Q12" s="5">
        <f t="shared" si="0"/>
        <v>0.36858006042296071</v>
      </c>
    </row>
    <row r="13" spans="1:17">
      <c r="A13" t="s">
        <v>6941</v>
      </c>
      <c r="B13" t="s">
        <v>924</v>
      </c>
      <c r="C13" t="s">
        <v>6921</v>
      </c>
      <c r="D13" s="1">
        <v>45509</v>
      </c>
      <c r="E13" s="1">
        <v>45514</v>
      </c>
      <c r="F13" s="1">
        <v>45522</v>
      </c>
      <c r="G13">
        <v>16.29</v>
      </c>
      <c r="H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" t="str">
        <f>IFERROR(INDEX(Raw_orders!G:G, MATCH(shipments[[#This Row],[order_id]],Raw_orders!A:A, 0)), "Unknown")</f>
        <v>Central Europe</v>
      </c>
      <c r="J13" t="str">
        <f>PROPER(shipments[[#This Row],[delivery_status]])</f>
        <v>Delivered</v>
      </c>
      <c r="K13" t="s">
        <v>6929</v>
      </c>
    </row>
    <row r="14" spans="1:17">
      <c r="A14" t="s">
        <v>6942</v>
      </c>
      <c r="B14" t="s">
        <v>925</v>
      </c>
      <c r="C14" t="s">
        <v>6925</v>
      </c>
      <c r="D14" s="1">
        <v>45343</v>
      </c>
      <c r="E14" s="1">
        <v>45348</v>
      </c>
      <c r="F14" s="1">
        <v>45359</v>
      </c>
      <c r="G14">
        <v>47.59</v>
      </c>
      <c r="H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" t="str">
        <f>IFERROR(INDEX(Raw_orders!G:G, MATCH(shipments[[#This Row],[order_id]],Raw_orders!A:A, 0)), "Unknown")</f>
        <v>Central Europe</v>
      </c>
      <c r="J14" t="str">
        <f>PROPER(shipments[[#This Row],[delivery_status]])</f>
        <v>Delivered</v>
      </c>
      <c r="K14" t="s">
        <v>6926</v>
      </c>
    </row>
    <row r="15" spans="1:17">
      <c r="A15" t="s">
        <v>6943</v>
      </c>
      <c r="B15" t="s">
        <v>926</v>
      </c>
      <c r="C15" t="s">
        <v>6940</v>
      </c>
      <c r="D15" s="1">
        <v>45329</v>
      </c>
      <c r="E15" s="1">
        <v>45334</v>
      </c>
      <c r="F15" s="1">
        <v>45337</v>
      </c>
      <c r="G15">
        <v>7.71</v>
      </c>
      <c r="H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" t="str">
        <f>IFERROR(INDEX(Raw_orders!G:G, MATCH(shipments[[#This Row],[order_id]],Raw_orders!A:A, 0)), "Unknown")</f>
        <v>Nordics</v>
      </c>
      <c r="J15" t="str">
        <f>PROPER(shipments[[#This Row],[delivery_status]])</f>
        <v>Delivered</v>
      </c>
      <c r="K15" t="s">
        <v>6922</v>
      </c>
      <c r="N15" t="s">
        <v>13394</v>
      </c>
      <c r="O15" t="s">
        <v>13395</v>
      </c>
      <c r="P15" t="s">
        <v>13396</v>
      </c>
      <c r="Q15" t="s">
        <v>13398</v>
      </c>
    </row>
    <row r="16" spans="1:17">
      <c r="A16" t="s">
        <v>6944</v>
      </c>
      <c r="B16" t="s">
        <v>927</v>
      </c>
      <c r="C16" t="s">
        <v>6925</v>
      </c>
      <c r="D16" s="1">
        <v>45467</v>
      </c>
      <c r="E16" s="1">
        <v>45477</v>
      </c>
      <c r="F16" s="1">
        <v>45480</v>
      </c>
      <c r="G16">
        <v>45.08</v>
      </c>
      <c r="H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" t="str">
        <f>IFERROR(INDEX(Raw_orders!G:G, MATCH(shipments[[#This Row],[order_id]],Raw_orders!A:A, 0)), "Unknown")</f>
        <v>Central Europe</v>
      </c>
      <c r="J16" t="str">
        <f>PROPER(shipments[[#This Row],[delivery_status]])</f>
        <v>Delivered</v>
      </c>
      <c r="K16" t="s">
        <v>6926</v>
      </c>
      <c r="M16" t="s">
        <v>13388</v>
      </c>
      <c r="N16">
        <f>COUNTIFS(I:I,M16,J:J,"Delivered")</f>
        <v>1777</v>
      </c>
      <c r="O16">
        <f>COUNTIFS(I:I, M16, H:H, "On Time")</f>
        <v>662</v>
      </c>
      <c r="P16">
        <f>COUNTIFS(I:I,M16,H:H,P15)</f>
        <v>1115</v>
      </c>
      <c r="Q16" s="5">
        <f>(O16/N16)</f>
        <v>0.37253798536859878</v>
      </c>
    </row>
    <row r="17" spans="1:17">
      <c r="A17" t="s">
        <v>6945</v>
      </c>
      <c r="B17" t="s">
        <v>928</v>
      </c>
      <c r="C17" t="s">
        <v>6928</v>
      </c>
      <c r="D17" s="1">
        <v>45235</v>
      </c>
      <c r="E17" s="1">
        <v>45242</v>
      </c>
      <c r="F17" s="1"/>
      <c r="G17">
        <v>21.44</v>
      </c>
      <c r="H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7" t="str">
        <f>IFERROR(INDEX(Raw_orders!G:G, MATCH(shipments[[#This Row],[order_id]],Raw_orders!A:A, 0)), "Unknown")</f>
        <v>Unknown</v>
      </c>
      <c r="J17" t="str">
        <f>PROPER(shipments[[#This Row],[delivery_status]])</f>
        <v>In Transit</v>
      </c>
      <c r="K17" t="s">
        <v>6946</v>
      </c>
      <c r="M17" t="s">
        <v>13389</v>
      </c>
      <c r="N17">
        <f t="shared" ref="N17:N18" si="2">COUNTIFS(I:I,M17,J:J,"Delivered")</f>
        <v>1690</v>
      </c>
      <c r="O17">
        <f t="shared" ref="O17:O18" si="3">COUNTIFS(I:I, M17, H:H, "On Time")</f>
        <v>616</v>
      </c>
      <c r="P17">
        <f>COUNTIFS(I:I,M17,H:H,P15)</f>
        <v>1074</v>
      </c>
      <c r="Q17" s="5">
        <f t="shared" ref="Q17:Q18" si="4">(O17/N17)</f>
        <v>0.36449704142011835</v>
      </c>
    </row>
    <row r="18" spans="1:17">
      <c r="A18" t="s">
        <v>6947</v>
      </c>
      <c r="B18" t="s">
        <v>929</v>
      </c>
      <c r="C18" t="s">
        <v>6925</v>
      </c>
      <c r="D18" s="1">
        <v>45314</v>
      </c>
      <c r="E18" s="1">
        <v>45316</v>
      </c>
      <c r="F18" s="1">
        <v>45321</v>
      </c>
      <c r="G18">
        <v>49.57</v>
      </c>
      <c r="H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" t="str">
        <f>IFERROR(INDEX(Raw_orders!G:G, MATCH(shipments[[#This Row],[order_id]],Raw_orders!A:A, 0)), "Unknown")</f>
        <v>Baltics</v>
      </c>
      <c r="J18" t="str">
        <f>PROPER(shipments[[#This Row],[delivery_status]])</f>
        <v>Delivered</v>
      </c>
      <c r="K18" t="s">
        <v>6926</v>
      </c>
      <c r="M18" t="s">
        <v>13390</v>
      </c>
      <c r="N18">
        <f t="shared" si="2"/>
        <v>1853</v>
      </c>
      <c r="O18">
        <f t="shared" si="3"/>
        <v>658</v>
      </c>
      <c r="P18">
        <f>COUNTIFS(I:I,M18,H:H,P15)</f>
        <v>1195</v>
      </c>
      <c r="Q18" s="5">
        <f t="shared" si="4"/>
        <v>0.35509983810037776</v>
      </c>
    </row>
    <row r="19" spans="1:17">
      <c r="A19" t="s">
        <v>6948</v>
      </c>
      <c r="B19" t="s">
        <v>930</v>
      </c>
      <c r="C19" t="s">
        <v>6949</v>
      </c>
      <c r="D19" s="1">
        <v>45588</v>
      </c>
      <c r="E19" s="1">
        <v>45595</v>
      </c>
      <c r="F19" s="1">
        <v>45594</v>
      </c>
      <c r="G19">
        <v>22.54</v>
      </c>
      <c r="H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9" t="str">
        <f>IFERROR(INDEX(Raw_orders!G:G, MATCH(shipments[[#This Row],[order_id]],Raw_orders!A:A, 0)), "Unknown")</f>
        <v>Central Europe</v>
      </c>
      <c r="J19" t="str">
        <f>PROPER(shipments[[#This Row],[delivery_status]])</f>
        <v>Delivered</v>
      </c>
      <c r="K19" t="s">
        <v>6926</v>
      </c>
    </row>
    <row r="20" spans="1:17">
      <c r="A20" t="s">
        <v>6950</v>
      </c>
      <c r="B20" t="s">
        <v>931</v>
      </c>
      <c r="C20" t="s">
        <v>6935</v>
      </c>
      <c r="D20" s="1">
        <v>45485</v>
      </c>
      <c r="E20" s="1">
        <v>45490</v>
      </c>
      <c r="F20" s="1"/>
      <c r="G20">
        <v>46.55</v>
      </c>
      <c r="H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0" t="str">
        <f>IFERROR(INDEX(Raw_orders!G:G, MATCH(shipments[[#This Row],[order_id]],Raw_orders!A:A, 0)), "Unknown")</f>
        <v>Nordics</v>
      </c>
      <c r="J20" t="str">
        <f>PROPER(shipments[[#This Row],[delivery_status]])</f>
        <v>In Transit</v>
      </c>
      <c r="K20" t="s">
        <v>6946</v>
      </c>
    </row>
    <row r="21" spans="1:17">
      <c r="A21" t="s">
        <v>6951</v>
      </c>
      <c r="B21" t="s">
        <v>932</v>
      </c>
      <c r="C21" t="s">
        <v>6935</v>
      </c>
      <c r="D21" s="1">
        <v>45298</v>
      </c>
      <c r="E21" s="1">
        <v>45301</v>
      </c>
      <c r="F21" s="1">
        <v>45302</v>
      </c>
      <c r="G21">
        <v>59.52</v>
      </c>
      <c r="H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" t="str">
        <f>IFERROR(INDEX(Raw_orders!G:G, MATCH(shipments[[#This Row],[order_id]],Raw_orders!A:A, 0)), "Unknown")</f>
        <v>Baltics</v>
      </c>
      <c r="J21" t="str">
        <f>PROPER(shipments[[#This Row],[delivery_status]])</f>
        <v>Delivered</v>
      </c>
      <c r="K21" t="s">
        <v>6922</v>
      </c>
    </row>
    <row r="22" spans="1:17">
      <c r="A22" t="s">
        <v>6952</v>
      </c>
      <c r="B22" t="s">
        <v>932</v>
      </c>
      <c r="C22" t="s">
        <v>6938</v>
      </c>
      <c r="D22" s="1">
        <v>45296</v>
      </c>
      <c r="E22" s="1">
        <v>45306</v>
      </c>
      <c r="F22" s="1">
        <v>45308</v>
      </c>
      <c r="G22">
        <v>58.19</v>
      </c>
      <c r="H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" t="str">
        <f>IFERROR(INDEX(Raw_orders!G:G, MATCH(shipments[[#This Row],[order_id]],Raw_orders!A:A, 0)), "Unknown")</f>
        <v>Baltics</v>
      </c>
      <c r="J22" t="str">
        <f>PROPER(shipments[[#This Row],[delivery_status]])</f>
        <v>Delivered</v>
      </c>
      <c r="K22" t="s">
        <v>6922</v>
      </c>
      <c r="M22" t="s">
        <v>13399</v>
      </c>
      <c r="N22">
        <f>COUNTIF(shipments[Cleaned_delivery_status], "Delivered")</f>
        <v>5406</v>
      </c>
    </row>
    <row r="23" spans="1:17">
      <c r="A23" t="s">
        <v>6953</v>
      </c>
      <c r="B23" t="s">
        <v>933</v>
      </c>
      <c r="C23" t="s">
        <v>6938</v>
      </c>
      <c r="D23" s="1">
        <v>45246</v>
      </c>
      <c r="E23" s="1">
        <v>45249</v>
      </c>
      <c r="F23" s="1">
        <v>45259</v>
      </c>
      <c r="G23">
        <v>42.31</v>
      </c>
      <c r="H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" t="str">
        <f>IFERROR(INDEX(Raw_orders!G:G, MATCH(shipments[[#This Row],[order_id]],Raw_orders!A:A, 0)), "Unknown")</f>
        <v>Baltics</v>
      </c>
      <c r="J23" t="str">
        <f>PROPER(shipments[[#This Row],[delivery_status]])</f>
        <v>Delivered</v>
      </c>
      <c r="K23" t="s">
        <v>6929</v>
      </c>
      <c r="M23" t="s">
        <v>13400</v>
      </c>
      <c r="N23" s="5">
        <f>COUNTIFS(shipments[Cleaned_delivery_status], "Delivered", shipments[Delivery_Performance], "On Time") / COUNTIF(shipments[Cleaned_delivery_status], "Delivered")</f>
        <v>0.36570477247502775</v>
      </c>
    </row>
    <row r="24" spans="1:17">
      <c r="A24" t="s">
        <v>6954</v>
      </c>
      <c r="B24" t="s">
        <v>934</v>
      </c>
      <c r="C24" t="s">
        <v>6935</v>
      </c>
      <c r="D24" s="1">
        <v>45097</v>
      </c>
      <c r="E24" s="1">
        <v>45102</v>
      </c>
      <c r="F24" s="1"/>
      <c r="G24">
        <v>6.01</v>
      </c>
      <c r="H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4" t="str">
        <f>IFERROR(INDEX(Raw_orders!G:G, MATCH(shipments[[#This Row],[order_id]],Raw_orders!A:A, 0)), "Unknown")</f>
        <v>Nordics</v>
      </c>
      <c r="J24" t="str">
        <f>PROPER(shipments[[#This Row],[delivery_status]])</f>
        <v>In Transit</v>
      </c>
      <c r="K24" t="s">
        <v>6946</v>
      </c>
      <c r="M24" t="s">
        <v>13401</v>
      </c>
      <c r="N24" s="7">
        <f>SUM(G:G)</f>
        <v>217738.12000000049</v>
      </c>
    </row>
    <row r="25" spans="1:17">
      <c r="A25" t="s">
        <v>6955</v>
      </c>
      <c r="B25" t="s">
        <v>935</v>
      </c>
      <c r="C25" t="s">
        <v>6956</v>
      </c>
      <c r="D25" s="1">
        <v>45038</v>
      </c>
      <c r="E25" s="1">
        <v>45041</v>
      </c>
      <c r="F25" s="1">
        <v>45042</v>
      </c>
      <c r="G25">
        <v>10.220000000000001</v>
      </c>
      <c r="H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" t="str">
        <f>IFERROR(INDEX(Raw_orders!G:G, MATCH(shipments[[#This Row],[order_id]],Raw_orders!A:A, 0)), "Unknown")</f>
        <v>Nordics</v>
      </c>
      <c r="J25" t="str">
        <f>PROPER(shipments[[#This Row],[delivery_status]])</f>
        <v>Delivered</v>
      </c>
      <c r="K25" t="s">
        <v>6929</v>
      </c>
    </row>
    <row r="26" spans="1:17">
      <c r="A26" t="s">
        <v>6957</v>
      </c>
      <c r="B26" t="s">
        <v>936</v>
      </c>
      <c r="C26" t="s">
        <v>6935</v>
      </c>
      <c r="D26" s="1">
        <v>45033</v>
      </c>
      <c r="E26" s="1">
        <v>45043</v>
      </c>
      <c r="F26" s="1"/>
      <c r="G26">
        <v>15.78</v>
      </c>
      <c r="H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6" t="str">
        <f>IFERROR(INDEX(Raw_orders!G:G, MATCH(shipments[[#This Row],[order_id]],Raw_orders!A:A, 0)), "Unknown")</f>
        <v>Nordics</v>
      </c>
      <c r="J26" t="str">
        <f>PROPER(shipments[[#This Row],[delivery_status]])</f>
        <v>In Transit</v>
      </c>
      <c r="K26" t="s">
        <v>6958</v>
      </c>
    </row>
    <row r="27" spans="1:17">
      <c r="A27" t="s">
        <v>6959</v>
      </c>
      <c r="B27" t="s">
        <v>937</v>
      </c>
      <c r="C27" t="s">
        <v>6940</v>
      </c>
      <c r="D27" s="1">
        <v>45348</v>
      </c>
      <c r="E27" s="1">
        <v>45355</v>
      </c>
      <c r="F27" s="1">
        <v>45356</v>
      </c>
      <c r="G27">
        <v>10.75</v>
      </c>
      <c r="H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" t="str">
        <f>IFERROR(INDEX(Raw_orders!G:G, MATCH(shipments[[#This Row],[order_id]],Raw_orders!A:A, 0)), "Unknown")</f>
        <v>Central Europe</v>
      </c>
      <c r="J27" t="str">
        <f>PROPER(shipments[[#This Row],[delivery_status]])</f>
        <v>Delivered</v>
      </c>
      <c r="K27" t="s">
        <v>6926</v>
      </c>
    </row>
    <row r="28" spans="1:17">
      <c r="A28" t="s">
        <v>6960</v>
      </c>
      <c r="B28" t="s">
        <v>938</v>
      </c>
      <c r="C28" t="s">
        <v>6949</v>
      </c>
      <c r="D28" s="1">
        <v>45042</v>
      </c>
      <c r="E28" s="1">
        <v>45052</v>
      </c>
      <c r="F28" s="1">
        <v>45052</v>
      </c>
      <c r="G28">
        <v>51.79</v>
      </c>
      <c r="H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8" t="str">
        <f>IFERROR(INDEX(Raw_orders!G:G, MATCH(shipments[[#This Row],[order_id]],Raw_orders!A:A, 0)), "Unknown")</f>
        <v>Nordics</v>
      </c>
      <c r="J28" t="str">
        <f>PROPER(shipments[[#This Row],[delivery_status]])</f>
        <v>Delivered</v>
      </c>
      <c r="K28" t="s">
        <v>6929</v>
      </c>
    </row>
    <row r="29" spans="1:17">
      <c r="A29" t="s">
        <v>6961</v>
      </c>
      <c r="B29" t="s">
        <v>938</v>
      </c>
      <c r="C29" t="s">
        <v>6940</v>
      </c>
      <c r="D29" s="1">
        <v>45043</v>
      </c>
      <c r="E29" s="1">
        <v>45046</v>
      </c>
      <c r="F29" s="1">
        <v>45049</v>
      </c>
      <c r="G29">
        <v>58.78</v>
      </c>
      <c r="H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" t="str">
        <f>IFERROR(INDEX(Raw_orders!G:G, MATCH(shipments[[#This Row],[order_id]],Raw_orders!A:A, 0)), "Unknown")</f>
        <v>Nordics</v>
      </c>
      <c r="J29" t="str">
        <f>PROPER(shipments[[#This Row],[delivery_status]])</f>
        <v>Delivered</v>
      </c>
      <c r="K29" t="s">
        <v>6922</v>
      </c>
      <c r="M29" t="s">
        <v>13372</v>
      </c>
      <c r="N29" t="s">
        <v>13395</v>
      </c>
      <c r="Q29" s="5" t="s">
        <v>13398</v>
      </c>
    </row>
    <row r="30" spans="1:17">
      <c r="A30" t="s">
        <v>6962</v>
      </c>
      <c r="B30" t="s">
        <v>939</v>
      </c>
      <c r="C30" t="s">
        <v>6938</v>
      </c>
      <c r="D30" s="1">
        <v>44987</v>
      </c>
      <c r="E30" s="1">
        <v>44994</v>
      </c>
      <c r="F30" s="1"/>
      <c r="G30">
        <v>34.6</v>
      </c>
      <c r="H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0" t="str">
        <f>IFERROR(INDEX(Raw_orders!G:G, MATCH(shipments[[#This Row],[order_id]],Raw_orders!A:A, 0)), "Unknown")</f>
        <v>Central Europe</v>
      </c>
      <c r="J30" t="str">
        <f>PROPER(shipments[[#This Row],[delivery_status]])</f>
        <v>Cancelled</v>
      </c>
      <c r="K30" t="s">
        <v>6963</v>
      </c>
      <c r="M30" t="s">
        <v>6928</v>
      </c>
      <c r="N30" s="5">
        <v>0.35671641791044778</v>
      </c>
      <c r="P30" t="s">
        <v>13388</v>
      </c>
      <c r="Q30" s="5">
        <v>0.37253798536859878</v>
      </c>
    </row>
    <row r="31" spans="1:17">
      <c r="A31" t="s">
        <v>6964</v>
      </c>
      <c r="B31" t="s">
        <v>940</v>
      </c>
      <c r="C31" t="s">
        <v>6931</v>
      </c>
      <c r="D31" s="1">
        <v>45239</v>
      </c>
      <c r="E31" s="1">
        <v>45246</v>
      </c>
      <c r="F31" s="1">
        <v>45249</v>
      </c>
      <c r="G31">
        <v>57.71</v>
      </c>
      <c r="H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" t="str">
        <f>IFERROR(INDEX(Raw_orders!G:G, MATCH(shipments[[#This Row],[order_id]],Raw_orders!A:A, 0)), "Unknown")</f>
        <v>Baltics</v>
      </c>
      <c r="J31" t="str">
        <f>PROPER(shipments[[#This Row],[delivery_status]])</f>
        <v>Delivered</v>
      </c>
      <c r="K31" t="s">
        <v>6922</v>
      </c>
      <c r="M31" t="s">
        <v>13397</v>
      </c>
      <c r="N31" s="5">
        <v>0.37091988130563797</v>
      </c>
      <c r="P31" t="s">
        <v>13389</v>
      </c>
      <c r="Q31" s="5">
        <v>0.36449704142011835</v>
      </c>
    </row>
    <row r="32" spans="1:17">
      <c r="A32" t="s">
        <v>6965</v>
      </c>
      <c r="B32" t="s">
        <v>941</v>
      </c>
      <c r="C32" t="s">
        <v>6938</v>
      </c>
      <c r="D32" s="1">
        <v>44982</v>
      </c>
      <c r="E32" s="1">
        <v>44989</v>
      </c>
      <c r="F32" s="1">
        <v>44991</v>
      </c>
      <c r="G32">
        <v>28.78</v>
      </c>
      <c r="H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" t="str">
        <f>IFERROR(INDEX(Raw_orders!G:G, MATCH(shipments[[#This Row],[order_id]],Raw_orders!A:A, 0)), "Unknown")</f>
        <v>Central Europe</v>
      </c>
      <c r="J32" t="str">
        <f>PROPER(shipments[[#This Row],[delivery_status]])</f>
        <v>Delivered</v>
      </c>
      <c r="K32" t="s">
        <v>6922</v>
      </c>
      <c r="M32" t="s">
        <v>6931</v>
      </c>
      <c r="N32" s="5">
        <v>0.36217948717948717</v>
      </c>
      <c r="P32" t="s">
        <v>13390</v>
      </c>
      <c r="Q32" s="5">
        <v>0.35509983810037776</v>
      </c>
    </row>
    <row r="33" spans="1:14">
      <c r="A33" t="s">
        <v>6966</v>
      </c>
      <c r="B33" t="s">
        <v>942</v>
      </c>
      <c r="C33" t="s">
        <v>6940</v>
      </c>
      <c r="D33" s="1">
        <v>45204</v>
      </c>
      <c r="E33" s="1">
        <v>45206</v>
      </c>
      <c r="F33" s="1">
        <v>45216</v>
      </c>
      <c r="G33">
        <v>26.25</v>
      </c>
      <c r="H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" t="str">
        <f>IFERROR(INDEX(Raw_orders!G:G, MATCH(shipments[[#This Row],[order_id]],Raw_orders!A:A, 0)), "Unknown")</f>
        <v>Central Europe</v>
      </c>
      <c r="J33" t="str">
        <f>PROPER(shipments[[#This Row],[delivery_status]])</f>
        <v>Delivered</v>
      </c>
      <c r="K33" t="s">
        <v>6926</v>
      </c>
      <c r="M33" t="s">
        <v>6921</v>
      </c>
      <c r="N33" s="5">
        <v>0.34761904761904761</v>
      </c>
    </row>
    <row r="34" spans="1:14">
      <c r="A34" t="s">
        <v>6967</v>
      </c>
      <c r="B34" t="s">
        <v>943</v>
      </c>
      <c r="C34" t="s">
        <v>6921</v>
      </c>
      <c r="D34" s="1">
        <v>44963</v>
      </c>
      <c r="E34" s="1">
        <v>44970</v>
      </c>
      <c r="F34" s="1">
        <v>44978</v>
      </c>
      <c r="G34">
        <v>6.72</v>
      </c>
      <c r="H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" t="str">
        <f>IFERROR(INDEX(Raw_orders!G:G, MATCH(shipments[[#This Row],[order_id]],Raw_orders!A:A, 0)), "Unknown")</f>
        <v>Central Europe</v>
      </c>
      <c r="J34" t="str">
        <f>PROPER(shipments[[#This Row],[delivery_status]])</f>
        <v>Delivered</v>
      </c>
      <c r="K34" t="s">
        <v>6926</v>
      </c>
      <c r="M34" t="s">
        <v>6938</v>
      </c>
      <c r="N34" s="5">
        <v>0.39002932551319647</v>
      </c>
    </row>
    <row r="35" spans="1:14">
      <c r="A35" t="s">
        <v>6968</v>
      </c>
      <c r="B35" t="s">
        <v>944</v>
      </c>
      <c r="C35" t="s">
        <v>6921</v>
      </c>
      <c r="D35" s="1">
        <v>45162</v>
      </c>
      <c r="E35" s="1">
        <v>45172</v>
      </c>
      <c r="F35" s="1">
        <v>45172</v>
      </c>
      <c r="G35">
        <v>26.4</v>
      </c>
      <c r="H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5" t="str">
        <f>IFERROR(INDEX(Raw_orders!G:G, MATCH(shipments[[#This Row],[order_id]],Raw_orders!A:A, 0)), "Unknown")</f>
        <v>Baltics</v>
      </c>
      <c r="J35" t="str">
        <f>PROPER(shipments[[#This Row],[delivery_status]])</f>
        <v>Delivered</v>
      </c>
      <c r="K35" t="s">
        <v>6926</v>
      </c>
      <c r="M35" t="s">
        <v>6940</v>
      </c>
      <c r="N35" s="5">
        <v>0.37518248175182484</v>
      </c>
    </row>
    <row r="36" spans="1:14">
      <c r="A36" t="s">
        <v>6969</v>
      </c>
      <c r="B36" t="s">
        <v>945</v>
      </c>
      <c r="C36" t="s">
        <v>6938</v>
      </c>
      <c r="D36" s="1">
        <v>45070</v>
      </c>
      <c r="E36" s="1">
        <v>45072</v>
      </c>
      <c r="F36" s="1"/>
      <c r="G36">
        <v>17.93</v>
      </c>
      <c r="H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6" t="str">
        <f>IFERROR(INDEX(Raw_orders!G:G, MATCH(shipments[[#This Row],[order_id]],Raw_orders!A:A, 0)), "Unknown")</f>
        <v>Baltics</v>
      </c>
      <c r="J36" t="str">
        <f>PROPER(shipments[[#This Row],[delivery_status]])</f>
        <v>Cancelled</v>
      </c>
      <c r="K36" t="s">
        <v>6963</v>
      </c>
      <c r="M36" t="s">
        <v>6956</v>
      </c>
      <c r="N36" s="5">
        <v>0.35483870967741937</v>
      </c>
    </row>
    <row r="37" spans="1:14" ht="17">
      <c r="A37" t="s">
        <v>6970</v>
      </c>
      <c r="B37" t="s">
        <v>946</v>
      </c>
      <c r="C37" t="s">
        <v>6921</v>
      </c>
      <c r="D37" s="1">
        <v>45144</v>
      </c>
      <c r="E37" s="1">
        <v>45151</v>
      </c>
      <c r="F37" s="1">
        <v>45154</v>
      </c>
      <c r="G37">
        <v>41.16</v>
      </c>
      <c r="H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" t="str">
        <f>IFERROR(INDEX(Raw_orders!G:G, MATCH(shipments[[#This Row],[order_id]],Raw_orders!A:A, 0)), "Unknown")</f>
        <v>Unknown</v>
      </c>
      <c r="J37" t="str">
        <f>PROPER(shipments[[#This Row],[delivery_status]])</f>
        <v>Delivered</v>
      </c>
      <c r="K37" t="s">
        <v>6922</v>
      </c>
      <c r="M37" s="6" t="s">
        <v>6925</v>
      </c>
      <c r="N37" s="5">
        <v>0.36858006042296071</v>
      </c>
    </row>
    <row r="38" spans="1:14">
      <c r="A38" t="s">
        <v>6971</v>
      </c>
      <c r="B38" t="s">
        <v>947</v>
      </c>
      <c r="C38" t="s">
        <v>6921</v>
      </c>
      <c r="D38" s="1">
        <v>45460</v>
      </c>
      <c r="E38" s="1">
        <v>45462</v>
      </c>
      <c r="F38" s="1"/>
      <c r="G38">
        <v>35.299999999999997</v>
      </c>
      <c r="H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8" t="str">
        <f>IFERROR(INDEX(Raw_orders!G:G, MATCH(shipments[[#This Row],[order_id]],Raw_orders!A:A, 0)), "Unknown")</f>
        <v>Baltics</v>
      </c>
      <c r="J38" t="str">
        <f>PROPER(shipments[[#This Row],[delivery_status]])</f>
        <v>Cancelled</v>
      </c>
      <c r="K38" t="s">
        <v>6972</v>
      </c>
    </row>
    <row r="39" spans="1:14">
      <c r="A39" t="s">
        <v>6973</v>
      </c>
      <c r="B39" t="s">
        <v>948</v>
      </c>
      <c r="C39" t="s">
        <v>6921</v>
      </c>
      <c r="D39" s="1">
        <v>45150</v>
      </c>
      <c r="E39" s="1">
        <v>45155</v>
      </c>
      <c r="F39" s="1">
        <v>45155</v>
      </c>
      <c r="G39">
        <v>4.72</v>
      </c>
      <c r="H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" t="str">
        <f>IFERROR(INDEX(Raw_orders!G:G, MATCH(shipments[[#This Row],[order_id]],Raw_orders!A:A, 0)), "Unknown")</f>
        <v>Central Europe</v>
      </c>
      <c r="J39" t="str">
        <f>PROPER(shipments[[#This Row],[delivery_status]])</f>
        <v>Delivered</v>
      </c>
      <c r="K39" t="s">
        <v>6929</v>
      </c>
    </row>
    <row r="40" spans="1:14">
      <c r="A40" t="s">
        <v>6974</v>
      </c>
      <c r="B40" t="s">
        <v>949</v>
      </c>
      <c r="C40" t="s">
        <v>6928</v>
      </c>
      <c r="D40" s="1">
        <v>45215</v>
      </c>
      <c r="E40" s="1">
        <v>45218</v>
      </c>
      <c r="F40" s="1">
        <v>45218</v>
      </c>
      <c r="G40">
        <v>18.309999999999999</v>
      </c>
      <c r="H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0" t="str">
        <f>IFERROR(INDEX(Raw_orders!G:G, MATCH(shipments[[#This Row],[order_id]],Raw_orders!A:A, 0)), "Unknown")</f>
        <v>Baltics</v>
      </c>
      <c r="J40" t="str">
        <f>PROPER(shipments[[#This Row],[delivery_status]])</f>
        <v>Delivered</v>
      </c>
      <c r="K40" t="s">
        <v>6929</v>
      </c>
    </row>
    <row r="41" spans="1:14">
      <c r="A41" t="s">
        <v>6975</v>
      </c>
      <c r="B41" t="s">
        <v>950</v>
      </c>
      <c r="C41" t="s">
        <v>6921</v>
      </c>
      <c r="D41" s="1">
        <v>45307</v>
      </c>
      <c r="E41" s="1">
        <v>45310</v>
      </c>
      <c r="F41" s="1">
        <v>45324</v>
      </c>
      <c r="H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" t="str">
        <f>IFERROR(INDEX(Raw_orders!G:G, MATCH(shipments[[#This Row],[order_id]],Raw_orders!A:A, 0)), "Unknown")</f>
        <v>Central Europe</v>
      </c>
      <c r="J41" t="str">
        <f>PROPER(shipments[[#This Row],[delivery_status]])</f>
        <v>Delivered</v>
      </c>
      <c r="K41" t="s">
        <v>6926</v>
      </c>
    </row>
    <row r="42" spans="1:14">
      <c r="A42" t="s">
        <v>6976</v>
      </c>
      <c r="B42" t="s">
        <v>951</v>
      </c>
      <c r="C42" t="s">
        <v>6935</v>
      </c>
      <c r="D42" s="1">
        <v>45391</v>
      </c>
      <c r="E42" s="1">
        <v>45393</v>
      </c>
      <c r="F42" s="1"/>
      <c r="G42">
        <v>55.06</v>
      </c>
      <c r="H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2" t="str">
        <f>IFERROR(INDEX(Raw_orders!G:G, MATCH(shipments[[#This Row],[order_id]],Raw_orders!A:A, 0)), "Unknown")</f>
        <v>Nordics</v>
      </c>
      <c r="J42" t="str">
        <f>PROPER(shipments[[#This Row],[delivery_status]])</f>
        <v>In Transit</v>
      </c>
      <c r="K42" t="s">
        <v>6977</v>
      </c>
    </row>
    <row r="43" spans="1:14">
      <c r="A43" t="s">
        <v>6978</v>
      </c>
      <c r="B43" t="s">
        <v>952</v>
      </c>
      <c r="C43" t="s">
        <v>6925</v>
      </c>
      <c r="D43" s="1">
        <v>45026</v>
      </c>
      <c r="E43" s="1">
        <v>45029</v>
      </c>
      <c r="F43" s="1"/>
      <c r="G43">
        <v>11.37</v>
      </c>
      <c r="H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3" t="str">
        <f>IFERROR(INDEX(Raw_orders!G:G, MATCH(shipments[[#This Row],[order_id]],Raw_orders!A:A, 0)), "Unknown")</f>
        <v>Nordics</v>
      </c>
      <c r="J43" t="str">
        <f>PROPER(shipments[[#This Row],[delivery_status]])</f>
        <v>Cancelled</v>
      </c>
      <c r="K43" t="s">
        <v>6979</v>
      </c>
    </row>
    <row r="44" spans="1:14">
      <c r="A44" t="s">
        <v>6980</v>
      </c>
      <c r="B44" t="s">
        <v>953</v>
      </c>
      <c r="C44" t="s">
        <v>6921</v>
      </c>
      <c r="D44" s="1">
        <v>45233</v>
      </c>
      <c r="E44" s="1">
        <v>45240</v>
      </c>
      <c r="F44" s="1">
        <v>45241</v>
      </c>
      <c r="G44">
        <v>30.3</v>
      </c>
      <c r="H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" t="str">
        <f>IFERROR(INDEX(Raw_orders!G:G, MATCH(shipments[[#This Row],[order_id]],Raw_orders!A:A, 0)), "Unknown")</f>
        <v>Nordics</v>
      </c>
      <c r="J44" t="str">
        <f>PROPER(shipments[[#This Row],[delivery_status]])</f>
        <v>Delivered</v>
      </c>
      <c r="K44" t="s">
        <v>6926</v>
      </c>
    </row>
    <row r="45" spans="1:14">
      <c r="A45" t="s">
        <v>6981</v>
      </c>
      <c r="B45" t="s">
        <v>954</v>
      </c>
      <c r="C45" t="s">
        <v>6956</v>
      </c>
      <c r="D45" s="1">
        <v>45316</v>
      </c>
      <c r="E45" s="1">
        <v>45319</v>
      </c>
      <c r="F45" s="1">
        <v>45331</v>
      </c>
      <c r="G45">
        <v>21.18</v>
      </c>
      <c r="H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" t="str">
        <f>IFERROR(INDEX(Raw_orders!G:G, MATCH(shipments[[#This Row],[order_id]],Raw_orders!A:A, 0)), "Unknown")</f>
        <v>Nordics</v>
      </c>
      <c r="J45" t="str">
        <f>PROPER(shipments[[#This Row],[delivery_status]])</f>
        <v>Delivered</v>
      </c>
      <c r="K45" t="s">
        <v>6929</v>
      </c>
    </row>
    <row r="46" spans="1:14">
      <c r="A46" t="s">
        <v>6982</v>
      </c>
      <c r="B46" t="s">
        <v>955</v>
      </c>
      <c r="C46" t="s">
        <v>6938</v>
      </c>
      <c r="D46" s="1">
        <v>45374</v>
      </c>
      <c r="E46" s="1">
        <v>45377</v>
      </c>
      <c r="F46" s="1">
        <v>45380</v>
      </c>
      <c r="G46">
        <v>62.69</v>
      </c>
      <c r="H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" t="str">
        <f>IFERROR(INDEX(Raw_orders!G:G, MATCH(shipments[[#This Row],[order_id]],Raw_orders!A:A, 0)), "Unknown")</f>
        <v>Baltics</v>
      </c>
      <c r="J46" t="str">
        <f>PROPER(shipments[[#This Row],[delivery_status]])</f>
        <v>Delivered</v>
      </c>
      <c r="K46" t="s">
        <v>6922</v>
      </c>
    </row>
    <row r="47" spans="1:14">
      <c r="A47" t="s">
        <v>6983</v>
      </c>
      <c r="B47" t="s">
        <v>956</v>
      </c>
      <c r="C47" t="s">
        <v>6956</v>
      </c>
      <c r="D47" s="1">
        <v>45043</v>
      </c>
      <c r="E47" s="1">
        <v>45050</v>
      </c>
      <c r="F47" s="1">
        <v>45052</v>
      </c>
      <c r="G47">
        <v>16.23</v>
      </c>
      <c r="H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" t="str">
        <f>IFERROR(INDEX(Raw_orders!G:G, MATCH(shipments[[#This Row],[order_id]],Raw_orders!A:A, 0)), "Unknown")</f>
        <v>Baltics</v>
      </c>
      <c r="J47" t="str">
        <f>PROPER(shipments[[#This Row],[delivery_status]])</f>
        <v>Delivered</v>
      </c>
      <c r="K47" t="s">
        <v>6922</v>
      </c>
    </row>
    <row r="48" spans="1:14">
      <c r="A48" t="s">
        <v>6984</v>
      </c>
      <c r="B48" t="s">
        <v>957</v>
      </c>
      <c r="C48" t="s">
        <v>6935</v>
      </c>
      <c r="D48" s="1">
        <v>45318</v>
      </c>
      <c r="E48" s="1">
        <v>45321</v>
      </c>
      <c r="F48" s="1">
        <v>45320</v>
      </c>
      <c r="G48">
        <v>59.16</v>
      </c>
      <c r="H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8" t="str">
        <f>IFERROR(INDEX(Raw_orders!G:G, MATCH(shipments[[#This Row],[order_id]],Raw_orders!A:A, 0)), "Unknown")</f>
        <v>Baltics</v>
      </c>
      <c r="J48" t="str">
        <f>PROPER(shipments[[#This Row],[delivery_status]])</f>
        <v>Delivered</v>
      </c>
      <c r="K48" t="s">
        <v>6929</v>
      </c>
    </row>
    <row r="49" spans="1:11">
      <c r="A49" t="s">
        <v>6985</v>
      </c>
      <c r="B49" t="s">
        <v>958</v>
      </c>
      <c r="C49" t="s">
        <v>6940</v>
      </c>
      <c r="D49" s="1">
        <v>45611</v>
      </c>
      <c r="E49" s="1">
        <v>45618</v>
      </c>
      <c r="F49" s="1">
        <v>45620</v>
      </c>
      <c r="G49">
        <v>49.33</v>
      </c>
      <c r="H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" t="str">
        <f>IFERROR(INDEX(Raw_orders!G:G, MATCH(shipments[[#This Row],[order_id]],Raw_orders!A:A, 0)), "Unknown")</f>
        <v>Central Europe</v>
      </c>
      <c r="J49" t="str">
        <f>PROPER(shipments[[#This Row],[delivery_status]])</f>
        <v>Delivered</v>
      </c>
      <c r="K49" t="s">
        <v>6922</v>
      </c>
    </row>
    <row r="50" spans="1:11">
      <c r="A50" t="s">
        <v>6986</v>
      </c>
      <c r="B50" t="s">
        <v>958</v>
      </c>
      <c r="C50" t="s">
        <v>6935</v>
      </c>
      <c r="D50" s="1">
        <v>45614</v>
      </c>
      <c r="E50" s="1">
        <v>45624</v>
      </c>
      <c r="F50" s="1">
        <v>45638</v>
      </c>
      <c r="G50">
        <v>61.49</v>
      </c>
      <c r="H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" t="str">
        <f>IFERROR(INDEX(Raw_orders!G:G, MATCH(shipments[[#This Row],[order_id]],Raw_orders!A:A, 0)), "Unknown")</f>
        <v>Central Europe</v>
      </c>
      <c r="J50" t="str">
        <f>PROPER(shipments[[#This Row],[delivery_status]])</f>
        <v>Delivered</v>
      </c>
      <c r="K50" t="s">
        <v>6922</v>
      </c>
    </row>
    <row r="51" spans="1:11">
      <c r="A51" t="s">
        <v>6987</v>
      </c>
      <c r="B51" t="s">
        <v>959</v>
      </c>
      <c r="C51" t="s">
        <v>6940</v>
      </c>
      <c r="D51" s="1">
        <v>45451</v>
      </c>
      <c r="E51" s="1">
        <v>45458</v>
      </c>
      <c r="F51" s="1">
        <v>45463</v>
      </c>
      <c r="H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" t="str">
        <f>IFERROR(INDEX(Raw_orders!G:G, MATCH(shipments[[#This Row],[order_id]],Raw_orders!A:A, 0)), "Unknown")</f>
        <v>Central Europe</v>
      </c>
      <c r="J51" t="str">
        <f>PROPER(shipments[[#This Row],[delivery_status]])</f>
        <v>Delivered</v>
      </c>
      <c r="K51" t="s">
        <v>6922</v>
      </c>
    </row>
    <row r="52" spans="1:11">
      <c r="A52" t="s">
        <v>6988</v>
      </c>
      <c r="B52" t="s">
        <v>960</v>
      </c>
      <c r="C52" t="s">
        <v>6940</v>
      </c>
      <c r="D52" s="1">
        <v>45381</v>
      </c>
      <c r="E52" s="1">
        <v>45384</v>
      </c>
      <c r="F52" s="1">
        <v>45390</v>
      </c>
      <c r="G52">
        <v>20.07</v>
      </c>
      <c r="H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" t="str">
        <f>IFERROR(INDEX(Raw_orders!G:G, MATCH(shipments[[#This Row],[order_id]],Raw_orders!A:A, 0)), "Unknown")</f>
        <v>Central Europe</v>
      </c>
      <c r="J52" t="str">
        <f>PROPER(shipments[[#This Row],[delivery_status]])</f>
        <v>Delivered</v>
      </c>
      <c r="K52" t="s">
        <v>6929</v>
      </c>
    </row>
    <row r="53" spans="1:11">
      <c r="A53" t="s">
        <v>6989</v>
      </c>
      <c r="B53" t="s">
        <v>961</v>
      </c>
      <c r="C53" t="s">
        <v>6931</v>
      </c>
      <c r="D53" s="1">
        <v>45452</v>
      </c>
      <c r="E53" s="1">
        <v>45459</v>
      </c>
      <c r="F53" s="1"/>
      <c r="G53">
        <v>6.16</v>
      </c>
      <c r="H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3" t="str">
        <f>IFERROR(INDEX(Raw_orders!G:G, MATCH(shipments[[#This Row],[order_id]],Raw_orders!A:A, 0)), "Unknown")</f>
        <v>Central Europe</v>
      </c>
      <c r="J53" t="str">
        <f>PROPER(shipments[[#This Row],[delivery_status]])</f>
        <v>In Transit</v>
      </c>
      <c r="K53" t="s">
        <v>6958</v>
      </c>
    </row>
    <row r="54" spans="1:11">
      <c r="A54" t="s">
        <v>6990</v>
      </c>
      <c r="B54" t="s">
        <v>962</v>
      </c>
      <c r="C54" t="s">
        <v>6935</v>
      </c>
      <c r="D54" s="1">
        <v>44990</v>
      </c>
      <c r="E54" s="1">
        <v>44995</v>
      </c>
      <c r="F54" s="1">
        <v>45008</v>
      </c>
      <c r="G54">
        <v>48.51</v>
      </c>
      <c r="H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" t="str">
        <f>IFERROR(INDEX(Raw_orders!G:G, MATCH(shipments[[#This Row],[order_id]],Raw_orders!A:A, 0)), "Unknown")</f>
        <v>Baltics</v>
      </c>
      <c r="J54" t="str">
        <f>PROPER(shipments[[#This Row],[delivery_status]])</f>
        <v>Delivered</v>
      </c>
      <c r="K54" t="s">
        <v>6922</v>
      </c>
    </row>
    <row r="55" spans="1:11">
      <c r="A55" t="s">
        <v>6991</v>
      </c>
      <c r="B55" t="s">
        <v>963</v>
      </c>
      <c r="C55" t="s">
        <v>6938</v>
      </c>
      <c r="D55" s="1">
        <v>45115</v>
      </c>
      <c r="E55" s="1">
        <v>45117</v>
      </c>
      <c r="F55" s="1">
        <v>45117</v>
      </c>
      <c r="G55">
        <v>22.94</v>
      </c>
      <c r="H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5" t="str">
        <f>IFERROR(INDEX(Raw_orders!G:G, MATCH(shipments[[#This Row],[order_id]],Raw_orders!A:A, 0)), "Unknown")</f>
        <v>Baltics</v>
      </c>
      <c r="J55" t="str">
        <f>PROPER(shipments[[#This Row],[delivery_status]])</f>
        <v>Delivered</v>
      </c>
      <c r="K55" t="s">
        <v>6929</v>
      </c>
    </row>
    <row r="56" spans="1:11">
      <c r="A56" t="s">
        <v>6992</v>
      </c>
      <c r="B56" t="s">
        <v>964</v>
      </c>
      <c r="C56" t="s">
        <v>6925</v>
      </c>
      <c r="D56" s="1">
        <v>45411</v>
      </c>
      <c r="E56" s="1">
        <v>45413</v>
      </c>
      <c r="F56" s="1">
        <v>45418</v>
      </c>
      <c r="G56">
        <v>31.85</v>
      </c>
      <c r="H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" t="str">
        <f>IFERROR(INDEX(Raw_orders!G:G, MATCH(shipments[[#This Row],[order_id]],Raw_orders!A:A, 0)), "Unknown")</f>
        <v>Central Europe</v>
      </c>
      <c r="J56" t="str">
        <f>PROPER(shipments[[#This Row],[delivery_status]])</f>
        <v>Delivered</v>
      </c>
      <c r="K56" t="s">
        <v>6929</v>
      </c>
    </row>
    <row r="57" spans="1:11">
      <c r="A57" t="s">
        <v>6993</v>
      </c>
      <c r="B57" t="s">
        <v>965</v>
      </c>
      <c r="C57" t="s">
        <v>6928</v>
      </c>
      <c r="D57" s="1">
        <v>45082</v>
      </c>
      <c r="E57" s="1">
        <v>45085</v>
      </c>
      <c r="F57" s="1">
        <v>45099</v>
      </c>
      <c r="G57">
        <v>10.65</v>
      </c>
      <c r="H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" t="str">
        <f>IFERROR(INDEX(Raw_orders!G:G, MATCH(shipments[[#This Row],[order_id]],Raw_orders!A:A, 0)), "Unknown")</f>
        <v>Nordics</v>
      </c>
      <c r="J57" t="str">
        <f>PROPER(shipments[[#This Row],[delivery_status]])</f>
        <v>Delivered</v>
      </c>
      <c r="K57" t="s">
        <v>6922</v>
      </c>
    </row>
    <row r="58" spans="1:11">
      <c r="A58" t="s">
        <v>6994</v>
      </c>
      <c r="B58" t="s">
        <v>966</v>
      </c>
      <c r="C58" t="s">
        <v>6921</v>
      </c>
      <c r="D58" s="1">
        <v>45241</v>
      </c>
      <c r="E58" s="1">
        <v>45251</v>
      </c>
      <c r="F58" s="1">
        <v>45259</v>
      </c>
      <c r="G58">
        <v>34.4</v>
      </c>
      <c r="H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" t="str">
        <f>IFERROR(INDEX(Raw_orders!G:G, MATCH(shipments[[#This Row],[order_id]],Raw_orders!A:A, 0)), "Unknown")</f>
        <v>Nordics</v>
      </c>
      <c r="J58" t="str">
        <f>PROPER(shipments[[#This Row],[delivery_status]])</f>
        <v>Delivered</v>
      </c>
      <c r="K58" t="s">
        <v>6929</v>
      </c>
    </row>
    <row r="59" spans="1:11">
      <c r="A59" t="s">
        <v>6995</v>
      </c>
      <c r="B59" t="s">
        <v>967</v>
      </c>
      <c r="C59" t="s">
        <v>6925</v>
      </c>
      <c r="D59" s="1">
        <v>45408</v>
      </c>
      <c r="E59" s="1">
        <v>45415</v>
      </c>
      <c r="F59" s="1"/>
      <c r="H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9" t="str">
        <f>IFERROR(INDEX(Raw_orders!G:G, MATCH(shipments[[#This Row],[order_id]],Raw_orders!A:A, 0)), "Unknown")</f>
        <v>Nordics</v>
      </c>
      <c r="J59" t="str">
        <f>PROPER(shipments[[#This Row],[delivery_status]])</f>
        <v>In Transit</v>
      </c>
      <c r="K59" t="s">
        <v>6958</v>
      </c>
    </row>
    <row r="60" spans="1:11">
      <c r="A60" t="s">
        <v>6996</v>
      </c>
      <c r="B60" t="s">
        <v>967</v>
      </c>
      <c r="C60" t="s">
        <v>6925</v>
      </c>
      <c r="D60" s="1">
        <v>45408</v>
      </c>
      <c r="E60" s="1">
        <v>45411</v>
      </c>
      <c r="F60" s="1"/>
      <c r="G60">
        <v>13.85</v>
      </c>
      <c r="H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0" t="str">
        <f>IFERROR(INDEX(Raw_orders!G:G, MATCH(shipments[[#This Row],[order_id]],Raw_orders!A:A, 0)), "Unknown")</f>
        <v>Nordics</v>
      </c>
      <c r="J60" t="str">
        <f>PROPER(shipments[[#This Row],[delivery_status]])</f>
        <v>In Transit</v>
      </c>
      <c r="K60" t="s">
        <v>6958</v>
      </c>
    </row>
    <row r="61" spans="1:11">
      <c r="A61" t="s">
        <v>6997</v>
      </c>
      <c r="B61" t="s">
        <v>968</v>
      </c>
      <c r="C61" t="s">
        <v>6940</v>
      </c>
      <c r="D61" s="1">
        <v>45598</v>
      </c>
      <c r="E61" s="1">
        <v>45603</v>
      </c>
      <c r="F61" s="1">
        <v>45608</v>
      </c>
      <c r="G61">
        <v>21.17</v>
      </c>
      <c r="H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" t="str">
        <f>IFERROR(INDEX(Raw_orders!G:G, MATCH(shipments[[#This Row],[order_id]],Raw_orders!A:A, 0)), "Unknown")</f>
        <v>Central Europe</v>
      </c>
      <c r="J61" t="str">
        <f>PROPER(shipments[[#This Row],[delivery_status]])</f>
        <v>Delivered</v>
      </c>
      <c r="K61" t="s">
        <v>6929</v>
      </c>
    </row>
    <row r="62" spans="1:11">
      <c r="A62" t="s">
        <v>6998</v>
      </c>
      <c r="B62" t="s">
        <v>969</v>
      </c>
      <c r="C62" t="s">
        <v>6928</v>
      </c>
      <c r="D62" s="1">
        <v>45382</v>
      </c>
      <c r="E62" s="1">
        <v>45385</v>
      </c>
      <c r="F62" s="1">
        <v>45387</v>
      </c>
      <c r="G62">
        <v>64.47</v>
      </c>
      <c r="H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" t="str">
        <f>IFERROR(INDEX(Raw_orders!G:G, MATCH(shipments[[#This Row],[order_id]],Raw_orders!A:A, 0)), "Unknown")</f>
        <v>Nordics</v>
      </c>
      <c r="J62" t="str">
        <f>PROPER(shipments[[#This Row],[delivery_status]])</f>
        <v>Delivered</v>
      </c>
      <c r="K62" t="s">
        <v>6922</v>
      </c>
    </row>
    <row r="63" spans="1:11">
      <c r="A63" t="s">
        <v>6999</v>
      </c>
      <c r="B63" t="s">
        <v>970</v>
      </c>
      <c r="C63" t="s">
        <v>6928</v>
      </c>
      <c r="D63" s="1">
        <v>45460</v>
      </c>
      <c r="E63" s="1">
        <v>45470</v>
      </c>
      <c r="F63" s="1">
        <v>45473</v>
      </c>
      <c r="G63">
        <v>27.65</v>
      </c>
      <c r="H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" t="str">
        <f>IFERROR(INDEX(Raw_orders!G:G, MATCH(shipments[[#This Row],[order_id]],Raw_orders!A:A, 0)), "Unknown")</f>
        <v>Central Europe</v>
      </c>
      <c r="J63" t="str">
        <f>PROPER(shipments[[#This Row],[delivery_status]])</f>
        <v>Delivered</v>
      </c>
      <c r="K63" t="s">
        <v>6929</v>
      </c>
    </row>
    <row r="64" spans="1:11">
      <c r="A64" t="s">
        <v>7000</v>
      </c>
      <c r="B64" t="s">
        <v>971</v>
      </c>
      <c r="C64" t="s">
        <v>6928</v>
      </c>
      <c r="D64" s="1">
        <v>45555</v>
      </c>
      <c r="E64" s="1">
        <v>45562</v>
      </c>
      <c r="F64" s="1">
        <v>45562</v>
      </c>
      <c r="G64">
        <v>38.82</v>
      </c>
      <c r="H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4" t="str">
        <f>IFERROR(INDEX(Raw_orders!G:G, MATCH(shipments[[#This Row],[order_id]],Raw_orders!A:A, 0)), "Unknown")</f>
        <v>Nordics</v>
      </c>
      <c r="J64" t="str">
        <f>PROPER(shipments[[#This Row],[delivery_status]])</f>
        <v>Delivered</v>
      </c>
      <c r="K64" t="s">
        <v>6929</v>
      </c>
    </row>
    <row r="65" spans="1:11">
      <c r="A65" t="s">
        <v>7001</v>
      </c>
      <c r="B65" t="s">
        <v>972</v>
      </c>
      <c r="C65" t="s">
        <v>6925</v>
      </c>
      <c r="D65" s="1">
        <v>45245</v>
      </c>
      <c r="E65" s="1">
        <v>45252</v>
      </c>
      <c r="F65" s="1">
        <v>45251</v>
      </c>
      <c r="G65">
        <v>24.15</v>
      </c>
      <c r="H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5" t="str">
        <f>IFERROR(INDEX(Raw_orders!G:G, MATCH(shipments[[#This Row],[order_id]],Raw_orders!A:A, 0)), "Unknown")</f>
        <v>Nordics</v>
      </c>
      <c r="J65" t="str">
        <f>PROPER(shipments[[#This Row],[delivery_status]])</f>
        <v>Delivered</v>
      </c>
      <c r="K65" t="s">
        <v>6922</v>
      </c>
    </row>
    <row r="66" spans="1:11">
      <c r="A66" t="s">
        <v>7002</v>
      </c>
      <c r="B66" t="s">
        <v>973</v>
      </c>
      <c r="C66" t="s">
        <v>6938</v>
      </c>
      <c r="D66" s="1">
        <v>45560</v>
      </c>
      <c r="E66" s="1">
        <v>45562</v>
      </c>
      <c r="F66" s="1"/>
      <c r="G66">
        <v>34.93</v>
      </c>
      <c r="H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66" t="str">
        <f>IFERROR(INDEX(Raw_orders!G:G, MATCH(shipments[[#This Row],[order_id]],Raw_orders!A:A, 0)), "Unknown")</f>
        <v>Baltics</v>
      </c>
      <c r="J66" t="str">
        <f>PROPER(shipments[[#This Row],[delivery_status]])</f>
        <v>Cancelled</v>
      </c>
      <c r="K66" t="s">
        <v>6963</v>
      </c>
    </row>
    <row r="67" spans="1:11">
      <c r="A67" t="s">
        <v>7003</v>
      </c>
      <c r="B67" t="s">
        <v>974</v>
      </c>
      <c r="C67" t="s">
        <v>6956</v>
      </c>
      <c r="D67" s="1">
        <v>45306</v>
      </c>
      <c r="E67" s="1">
        <v>45313</v>
      </c>
      <c r="F67" s="1">
        <v>45315</v>
      </c>
      <c r="G67">
        <v>26.44</v>
      </c>
      <c r="H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7" t="str">
        <f>IFERROR(INDEX(Raw_orders!G:G, MATCH(shipments[[#This Row],[order_id]],Raw_orders!A:A, 0)), "Unknown")</f>
        <v>Nordics</v>
      </c>
      <c r="J67" t="str">
        <f>PROPER(shipments[[#This Row],[delivery_status]])</f>
        <v>Delivered</v>
      </c>
      <c r="K67" t="s">
        <v>6922</v>
      </c>
    </row>
    <row r="68" spans="1:11">
      <c r="A68" t="s">
        <v>7004</v>
      </c>
      <c r="B68" t="s">
        <v>975</v>
      </c>
      <c r="C68" t="s">
        <v>6931</v>
      </c>
      <c r="D68" s="1">
        <v>45393</v>
      </c>
      <c r="E68" s="1">
        <v>45395</v>
      </c>
      <c r="F68" s="1">
        <v>45395</v>
      </c>
      <c r="G68">
        <v>8.9600000000000009</v>
      </c>
      <c r="H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8" t="str">
        <f>IFERROR(INDEX(Raw_orders!G:G, MATCH(shipments[[#This Row],[order_id]],Raw_orders!A:A, 0)), "Unknown")</f>
        <v>Nordics</v>
      </c>
      <c r="J68" t="str">
        <f>PROPER(shipments[[#This Row],[delivery_status]])</f>
        <v>Delivered</v>
      </c>
      <c r="K68" t="s">
        <v>6929</v>
      </c>
    </row>
    <row r="69" spans="1:11">
      <c r="A69" t="s">
        <v>7005</v>
      </c>
      <c r="B69" t="s">
        <v>976</v>
      </c>
      <c r="C69" t="s">
        <v>6956</v>
      </c>
      <c r="D69" s="1">
        <v>44971</v>
      </c>
      <c r="E69" s="1">
        <v>44974</v>
      </c>
      <c r="F69" s="1">
        <v>44975</v>
      </c>
      <c r="G69">
        <v>19.36</v>
      </c>
      <c r="H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9" t="str">
        <f>IFERROR(INDEX(Raw_orders!G:G, MATCH(shipments[[#This Row],[order_id]],Raw_orders!A:A, 0)), "Unknown")</f>
        <v>Nordics</v>
      </c>
      <c r="J69" t="str">
        <f>PROPER(shipments[[#This Row],[delivery_status]])</f>
        <v>Delivered</v>
      </c>
      <c r="K69" t="s">
        <v>6926</v>
      </c>
    </row>
    <row r="70" spans="1:11">
      <c r="A70" t="s">
        <v>7006</v>
      </c>
      <c r="B70" t="s">
        <v>976</v>
      </c>
      <c r="C70" t="s">
        <v>6931</v>
      </c>
      <c r="D70" s="1">
        <v>44970</v>
      </c>
      <c r="E70" s="1">
        <v>44980</v>
      </c>
      <c r="F70" s="1">
        <v>44980</v>
      </c>
      <c r="G70">
        <v>48.72</v>
      </c>
      <c r="H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70" t="str">
        <f>IFERROR(INDEX(Raw_orders!G:G, MATCH(shipments[[#This Row],[order_id]],Raw_orders!A:A, 0)), "Unknown")</f>
        <v>Nordics</v>
      </c>
      <c r="J70" t="str">
        <f>PROPER(shipments[[#This Row],[delivery_status]])</f>
        <v>Delivered</v>
      </c>
      <c r="K70" t="s">
        <v>6926</v>
      </c>
    </row>
    <row r="71" spans="1:11">
      <c r="A71" t="s">
        <v>7007</v>
      </c>
      <c r="B71" t="s">
        <v>977</v>
      </c>
      <c r="C71" t="s">
        <v>6928</v>
      </c>
      <c r="D71" s="1">
        <v>44988</v>
      </c>
      <c r="E71" s="1">
        <v>44995</v>
      </c>
      <c r="F71" s="1"/>
      <c r="G71">
        <v>47.87</v>
      </c>
      <c r="H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71" t="str">
        <f>IFERROR(INDEX(Raw_orders!G:G, MATCH(shipments[[#This Row],[order_id]],Raw_orders!A:A, 0)), "Unknown")</f>
        <v>Baltics</v>
      </c>
      <c r="J71" t="str">
        <f>PROPER(shipments[[#This Row],[delivery_status]])</f>
        <v>Cancelled</v>
      </c>
      <c r="K71" t="s">
        <v>6979</v>
      </c>
    </row>
    <row r="72" spans="1:11">
      <c r="A72" t="s">
        <v>7008</v>
      </c>
      <c r="B72" t="s">
        <v>978</v>
      </c>
      <c r="C72" t="s">
        <v>6956</v>
      </c>
      <c r="D72" s="1">
        <v>45338</v>
      </c>
      <c r="E72" s="1">
        <v>45340</v>
      </c>
      <c r="F72" s="1"/>
      <c r="G72">
        <v>14.85</v>
      </c>
      <c r="H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72" t="str">
        <f>IFERROR(INDEX(Raw_orders!G:G, MATCH(shipments[[#This Row],[order_id]],Raw_orders!A:A, 0)), "Unknown")</f>
        <v>Central Europe</v>
      </c>
      <c r="J72" t="str">
        <f>PROPER(shipments[[#This Row],[delivery_status]])</f>
        <v>In Transit</v>
      </c>
      <c r="K72" t="s">
        <v>6946</v>
      </c>
    </row>
    <row r="73" spans="1:11">
      <c r="A73" t="s">
        <v>7009</v>
      </c>
      <c r="B73" t="s">
        <v>979</v>
      </c>
      <c r="C73" t="s">
        <v>6925</v>
      </c>
      <c r="D73" s="1">
        <v>45560</v>
      </c>
      <c r="E73" s="1">
        <v>45563</v>
      </c>
      <c r="F73" s="1">
        <v>45562</v>
      </c>
      <c r="G73">
        <v>64.22</v>
      </c>
      <c r="H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73" t="str">
        <f>IFERROR(INDEX(Raw_orders!G:G, MATCH(shipments[[#This Row],[order_id]],Raw_orders!A:A, 0)), "Unknown")</f>
        <v>Nordics</v>
      </c>
      <c r="J73" t="str">
        <f>PROPER(shipments[[#This Row],[delivery_status]])</f>
        <v>Delivered</v>
      </c>
      <c r="K73" t="s">
        <v>6929</v>
      </c>
    </row>
    <row r="74" spans="1:11">
      <c r="A74" t="s">
        <v>7010</v>
      </c>
      <c r="B74" t="s">
        <v>980</v>
      </c>
      <c r="C74" t="s">
        <v>6935</v>
      </c>
      <c r="D74" s="1">
        <v>45169</v>
      </c>
      <c r="E74" s="1">
        <v>45179</v>
      </c>
      <c r="F74" s="1"/>
      <c r="G74">
        <v>8.18</v>
      </c>
      <c r="H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74" t="str">
        <f>IFERROR(INDEX(Raw_orders!G:G, MATCH(shipments[[#This Row],[order_id]],Raw_orders!A:A, 0)), "Unknown")</f>
        <v>Central Europe</v>
      </c>
      <c r="J74" t="str">
        <f>PROPER(shipments[[#This Row],[delivery_status]])</f>
        <v>In Transit</v>
      </c>
      <c r="K74" t="s">
        <v>6977</v>
      </c>
    </row>
    <row r="75" spans="1:11">
      <c r="A75" t="s">
        <v>7011</v>
      </c>
      <c r="B75" t="s">
        <v>981</v>
      </c>
      <c r="C75" t="s">
        <v>6925</v>
      </c>
      <c r="D75" s="1">
        <v>45514</v>
      </c>
      <c r="E75" s="1">
        <v>45521</v>
      </c>
      <c r="F75" s="1">
        <v>45521</v>
      </c>
      <c r="G75">
        <v>33.22</v>
      </c>
      <c r="H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75" t="str">
        <f>IFERROR(INDEX(Raw_orders!G:G, MATCH(shipments[[#This Row],[order_id]],Raw_orders!A:A, 0)), "Unknown")</f>
        <v>Baltics</v>
      </c>
      <c r="J75" t="str">
        <f>PROPER(shipments[[#This Row],[delivery_status]])</f>
        <v>Delivered</v>
      </c>
      <c r="K75" t="s">
        <v>6929</v>
      </c>
    </row>
    <row r="76" spans="1:11">
      <c r="A76" t="s">
        <v>7012</v>
      </c>
      <c r="B76" t="s">
        <v>982</v>
      </c>
      <c r="C76" t="s">
        <v>6925</v>
      </c>
      <c r="D76" s="1">
        <v>45580</v>
      </c>
      <c r="E76" s="1">
        <v>45582</v>
      </c>
      <c r="F76" s="1">
        <v>45583</v>
      </c>
      <c r="G76">
        <v>57.35</v>
      </c>
      <c r="H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6" t="str">
        <f>IFERROR(INDEX(Raw_orders!G:G, MATCH(shipments[[#This Row],[order_id]],Raw_orders!A:A, 0)), "Unknown")</f>
        <v>Baltics</v>
      </c>
      <c r="J76" t="str">
        <f>PROPER(shipments[[#This Row],[delivery_status]])</f>
        <v>Delivered</v>
      </c>
      <c r="K76" t="s">
        <v>6929</v>
      </c>
    </row>
    <row r="77" spans="1:11">
      <c r="A77" t="s">
        <v>7013</v>
      </c>
      <c r="B77" t="s">
        <v>982</v>
      </c>
      <c r="C77" t="s">
        <v>6940</v>
      </c>
      <c r="D77" s="1">
        <v>45582</v>
      </c>
      <c r="E77" s="1">
        <v>45585</v>
      </c>
      <c r="F77" s="1">
        <v>45593</v>
      </c>
      <c r="G77">
        <v>47.22</v>
      </c>
      <c r="H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7" t="str">
        <f>IFERROR(INDEX(Raw_orders!G:G, MATCH(shipments[[#This Row],[order_id]],Raw_orders!A:A, 0)), "Unknown")</f>
        <v>Baltics</v>
      </c>
      <c r="J77" t="str">
        <f>PROPER(shipments[[#This Row],[delivery_status]])</f>
        <v>Delivered</v>
      </c>
      <c r="K77" t="s">
        <v>6929</v>
      </c>
    </row>
    <row r="78" spans="1:11">
      <c r="A78" t="s">
        <v>7014</v>
      </c>
      <c r="B78" t="s">
        <v>983</v>
      </c>
      <c r="C78" t="s">
        <v>6956</v>
      </c>
      <c r="D78" s="1">
        <v>45621</v>
      </c>
      <c r="E78" s="1">
        <v>45624</v>
      </c>
      <c r="F78" s="1">
        <v>45629</v>
      </c>
      <c r="G78">
        <v>60.05</v>
      </c>
      <c r="H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8" t="str">
        <f>IFERROR(INDEX(Raw_orders!G:G, MATCH(shipments[[#This Row],[order_id]],Raw_orders!A:A, 0)), "Unknown")</f>
        <v>Baltics</v>
      </c>
      <c r="J78" t="str">
        <f>PROPER(shipments[[#This Row],[delivery_status]])</f>
        <v>Delivered</v>
      </c>
      <c r="K78" t="s">
        <v>6929</v>
      </c>
    </row>
    <row r="79" spans="1:11">
      <c r="A79" t="s">
        <v>7015</v>
      </c>
      <c r="B79" t="s">
        <v>984</v>
      </c>
      <c r="C79" t="s">
        <v>6956</v>
      </c>
      <c r="D79" s="1">
        <v>45198</v>
      </c>
      <c r="E79" s="1">
        <v>45203</v>
      </c>
      <c r="F79" s="1">
        <v>45213</v>
      </c>
      <c r="G79">
        <v>20.67</v>
      </c>
      <c r="H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9" t="str">
        <f>IFERROR(INDEX(Raw_orders!G:G, MATCH(shipments[[#This Row],[order_id]],Raw_orders!A:A, 0)), "Unknown")</f>
        <v>Baltics</v>
      </c>
      <c r="J79" t="str">
        <f>PROPER(shipments[[#This Row],[delivery_status]])</f>
        <v>Delivered</v>
      </c>
      <c r="K79" t="s">
        <v>6922</v>
      </c>
    </row>
    <row r="80" spans="1:11">
      <c r="A80" t="s">
        <v>7016</v>
      </c>
      <c r="B80" t="s">
        <v>985</v>
      </c>
      <c r="C80" t="s">
        <v>6956</v>
      </c>
      <c r="D80" s="1">
        <v>45287</v>
      </c>
      <c r="E80" s="1">
        <v>45289</v>
      </c>
      <c r="F80" s="1">
        <v>45288</v>
      </c>
      <c r="G80">
        <v>36.840000000000003</v>
      </c>
      <c r="H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80" t="str">
        <f>IFERROR(INDEX(Raw_orders!G:G, MATCH(shipments[[#This Row],[order_id]],Raw_orders!A:A, 0)), "Unknown")</f>
        <v>Nordics</v>
      </c>
      <c r="J80" t="str">
        <f>PROPER(shipments[[#This Row],[delivery_status]])</f>
        <v>Delivered</v>
      </c>
      <c r="K80" t="s">
        <v>6929</v>
      </c>
    </row>
    <row r="81" spans="1:11">
      <c r="A81" t="s">
        <v>7017</v>
      </c>
      <c r="B81" t="s">
        <v>986</v>
      </c>
      <c r="C81" t="s">
        <v>6940</v>
      </c>
      <c r="D81" s="1">
        <v>45575</v>
      </c>
      <c r="E81" s="1">
        <v>45585</v>
      </c>
      <c r="F81" s="1">
        <v>45585</v>
      </c>
      <c r="G81">
        <v>11.39</v>
      </c>
      <c r="H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81" t="str">
        <f>IFERROR(INDEX(Raw_orders!G:G, MATCH(shipments[[#This Row],[order_id]],Raw_orders!A:A, 0)), "Unknown")</f>
        <v>Central Europe</v>
      </c>
      <c r="J81" t="str">
        <f>PROPER(shipments[[#This Row],[delivery_status]])</f>
        <v>Delivered</v>
      </c>
      <c r="K81" t="s">
        <v>6929</v>
      </c>
    </row>
    <row r="82" spans="1:11">
      <c r="A82" t="s">
        <v>7018</v>
      </c>
      <c r="B82" t="s">
        <v>987</v>
      </c>
      <c r="C82" t="s">
        <v>6935</v>
      </c>
      <c r="D82" s="1">
        <v>45597</v>
      </c>
      <c r="E82" s="1">
        <v>45602</v>
      </c>
      <c r="F82" s="1">
        <v>45604</v>
      </c>
      <c r="G82">
        <v>25.94</v>
      </c>
      <c r="H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2" t="str">
        <f>IFERROR(INDEX(Raw_orders!G:G, MATCH(shipments[[#This Row],[order_id]],Raw_orders!A:A, 0)), "Unknown")</f>
        <v>Central Europe</v>
      </c>
      <c r="J82" t="str">
        <f>PROPER(shipments[[#This Row],[delivery_status]])</f>
        <v>Delivered</v>
      </c>
      <c r="K82" t="s">
        <v>6929</v>
      </c>
    </row>
    <row r="83" spans="1:11">
      <c r="A83" t="s">
        <v>7019</v>
      </c>
      <c r="B83" t="s">
        <v>988</v>
      </c>
      <c r="C83" t="s">
        <v>6928</v>
      </c>
      <c r="D83" s="1">
        <v>45410</v>
      </c>
      <c r="E83" s="1">
        <v>45420</v>
      </c>
      <c r="F83" s="1">
        <v>45425</v>
      </c>
      <c r="G83">
        <v>36.58</v>
      </c>
      <c r="H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3" t="str">
        <f>IFERROR(INDEX(Raw_orders!G:G, MATCH(shipments[[#This Row],[order_id]],Raw_orders!A:A, 0)), "Unknown")</f>
        <v>Baltics</v>
      </c>
      <c r="J83" t="str">
        <f>PROPER(shipments[[#This Row],[delivery_status]])</f>
        <v>Delivered</v>
      </c>
      <c r="K83" t="s">
        <v>6922</v>
      </c>
    </row>
    <row r="84" spans="1:11">
      <c r="A84" t="s">
        <v>7020</v>
      </c>
      <c r="B84" t="s">
        <v>989</v>
      </c>
      <c r="C84" t="s">
        <v>6956</v>
      </c>
      <c r="D84" s="1">
        <v>45121</v>
      </c>
      <c r="E84" s="1">
        <v>45126</v>
      </c>
      <c r="F84" s="1">
        <v>45129</v>
      </c>
      <c r="G84">
        <v>26.27</v>
      </c>
      <c r="H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4" t="str">
        <f>IFERROR(INDEX(Raw_orders!G:G, MATCH(shipments[[#This Row],[order_id]],Raw_orders!A:A, 0)), "Unknown")</f>
        <v>Nordics</v>
      </c>
      <c r="J84" t="str">
        <f>PROPER(shipments[[#This Row],[delivery_status]])</f>
        <v>Delivered</v>
      </c>
      <c r="K84" t="s">
        <v>6926</v>
      </c>
    </row>
    <row r="85" spans="1:11">
      <c r="A85" t="s">
        <v>7021</v>
      </c>
      <c r="B85" t="s">
        <v>989</v>
      </c>
      <c r="C85" t="s">
        <v>6928</v>
      </c>
      <c r="D85" s="1">
        <v>45120</v>
      </c>
      <c r="E85" s="1">
        <v>45125</v>
      </c>
      <c r="F85" s="1">
        <v>45130</v>
      </c>
      <c r="G85">
        <v>28.63</v>
      </c>
      <c r="H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5" t="str">
        <f>IFERROR(INDEX(Raw_orders!G:G, MATCH(shipments[[#This Row],[order_id]],Raw_orders!A:A, 0)), "Unknown")</f>
        <v>Nordics</v>
      </c>
      <c r="J85" t="str">
        <f>PROPER(shipments[[#This Row],[delivery_status]])</f>
        <v>Delivered</v>
      </c>
      <c r="K85" t="s">
        <v>6922</v>
      </c>
    </row>
    <row r="86" spans="1:11">
      <c r="A86" t="s">
        <v>7022</v>
      </c>
      <c r="B86" t="s">
        <v>990</v>
      </c>
      <c r="C86" t="s">
        <v>6935</v>
      </c>
      <c r="D86" s="1">
        <v>45331</v>
      </c>
      <c r="E86" s="1">
        <v>45336</v>
      </c>
      <c r="F86" s="1">
        <v>45336</v>
      </c>
      <c r="G86">
        <v>40.18</v>
      </c>
      <c r="H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86" t="str">
        <f>IFERROR(INDEX(Raw_orders!G:G, MATCH(shipments[[#This Row],[order_id]],Raw_orders!A:A, 0)), "Unknown")</f>
        <v>Central Europe</v>
      </c>
      <c r="J86" t="str">
        <f>PROPER(shipments[[#This Row],[delivery_status]])</f>
        <v>Delivered</v>
      </c>
      <c r="K86" t="s">
        <v>6929</v>
      </c>
    </row>
    <row r="87" spans="1:11">
      <c r="A87" t="s">
        <v>7023</v>
      </c>
      <c r="B87" t="s">
        <v>991</v>
      </c>
      <c r="C87" t="s">
        <v>6940</v>
      </c>
      <c r="D87" s="1">
        <v>45629</v>
      </c>
      <c r="E87" s="1">
        <v>45632</v>
      </c>
      <c r="F87" s="1">
        <v>45637</v>
      </c>
      <c r="G87">
        <v>21.98</v>
      </c>
      <c r="H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7" t="str">
        <f>IFERROR(INDEX(Raw_orders!G:G, MATCH(shipments[[#This Row],[order_id]],Raw_orders!A:A, 0)), "Unknown")</f>
        <v>Central Europe</v>
      </c>
      <c r="J87" t="str">
        <f>PROPER(shipments[[#This Row],[delivery_status]])</f>
        <v>Delivered</v>
      </c>
      <c r="K87" t="s">
        <v>6926</v>
      </c>
    </row>
    <row r="88" spans="1:11">
      <c r="A88" t="s">
        <v>7024</v>
      </c>
      <c r="B88" t="s">
        <v>992</v>
      </c>
      <c r="C88" t="s">
        <v>6935</v>
      </c>
      <c r="D88" s="1">
        <v>44936</v>
      </c>
      <c r="E88" s="1">
        <v>44939</v>
      </c>
      <c r="F88" s="1">
        <v>44939</v>
      </c>
      <c r="G88">
        <v>34.130000000000003</v>
      </c>
      <c r="H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88" t="str">
        <f>IFERROR(INDEX(Raw_orders!G:G, MATCH(shipments[[#This Row],[order_id]],Raw_orders!A:A, 0)), "Unknown")</f>
        <v>Nordics</v>
      </c>
      <c r="J88" t="str">
        <f>PROPER(shipments[[#This Row],[delivery_status]])</f>
        <v>Delivered</v>
      </c>
      <c r="K88" t="s">
        <v>6926</v>
      </c>
    </row>
    <row r="89" spans="1:11">
      <c r="A89" t="s">
        <v>7025</v>
      </c>
      <c r="B89" t="s">
        <v>993</v>
      </c>
      <c r="C89" t="s">
        <v>6938</v>
      </c>
      <c r="D89" s="1">
        <v>45159</v>
      </c>
      <c r="E89" s="1">
        <v>45166</v>
      </c>
      <c r="F89" s="1">
        <v>45168</v>
      </c>
      <c r="G89">
        <v>50.15</v>
      </c>
      <c r="H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9" t="str">
        <f>IFERROR(INDEX(Raw_orders!G:G, MATCH(shipments[[#This Row],[order_id]],Raw_orders!A:A, 0)), "Unknown")</f>
        <v>Baltics</v>
      </c>
      <c r="J89" t="str">
        <f>PROPER(shipments[[#This Row],[delivery_status]])</f>
        <v>Delivered</v>
      </c>
      <c r="K89" t="s">
        <v>6929</v>
      </c>
    </row>
    <row r="90" spans="1:11">
      <c r="A90" t="s">
        <v>7026</v>
      </c>
      <c r="B90" t="s">
        <v>994</v>
      </c>
      <c r="C90" t="s">
        <v>6921</v>
      </c>
      <c r="D90" s="1">
        <v>45288</v>
      </c>
      <c r="E90" s="1">
        <v>45295</v>
      </c>
      <c r="F90" s="1">
        <v>45303</v>
      </c>
      <c r="G90">
        <v>34.130000000000003</v>
      </c>
      <c r="H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0" t="str">
        <f>IFERROR(INDEX(Raw_orders!G:G, MATCH(shipments[[#This Row],[order_id]],Raw_orders!A:A, 0)), "Unknown")</f>
        <v>Nordics</v>
      </c>
      <c r="J90" t="str">
        <f>PROPER(shipments[[#This Row],[delivery_status]])</f>
        <v>Delivered</v>
      </c>
      <c r="K90" t="s">
        <v>6926</v>
      </c>
    </row>
    <row r="91" spans="1:11">
      <c r="A91" t="s">
        <v>7027</v>
      </c>
      <c r="B91" t="s">
        <v>995</v>
      </c>
      <c r="C91" t="s">
        <v>6940</v>
      </c>
      <c r="D91" s="1">
        <v>44939</v>
      </c>
      <c r="E91" s="1">
        <v>44942</v>
      </c>
      <c r="F91" s="1">
        <v>44941</v>
      </c>
      <c r="G91">
        <v>26.65</v>
      </c>
      <c r="H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91" t="str">
        <f>IFERROR(INDEX(Raw_orders!G:G, MATCH(shipments[[#This Row],[order_id]],Raw_orders!A:A, 0)), "Unknown")</f>
        <v>Nordics</v>
      </c>
      <c r="J91" t="str">
        <f>PROPER(shipments[[#This Row],[delivery_status]])</f>
        <v>Delivered</v>
      </c>
      <c r="K91" t="s">
        <v>6929</v>
      </c>
    </row>
    <row r="92" spans="1:11">
      <c r="A92" t="s">
        <v>7028</v>
      </c>
      <c r="B92" t="s">
        <v>996</v>
      </c>
      <c r="C92" t="s">
        <v>6921</v>
      </c>
      <c r="D92" s="1">
        <v>45514</v>
      </c>
      <c r="E92" s="1">
        <v>45517</v>
      </c>
      <c r="F92" s="1">
        <v>45517</v>
      </c>
      <c r="G92">
        <v>43.54</v>
      </c>
      <c r="H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92" t="str">
        <f>IFERROR(INDEX(Raw_orders!G:G, MATCH(shipments[[#This Row],[order_id]],Raw_orders!A:A, 0)), "Unknown")</f>
        <v>Nordics</v>
      </c>
      <c r="J92" t="str">
        <f>PROPER(shipments[[#This Row],[delivery_status]])</f>
        <v>Delivered</v>
      </c>
      <c r="K92" t="s">
        <v>6929</v>
      </c>
    </row>
    <row r="93" spans="1:11">
      <c r="A93" t="s">
        <v>7029</v>
      </c>
      <c r="B93" t="s">
        <v>997</v>
      </c>
      <c r="C93" t="s">
        <v>6921</v>
      </c>
      <c r="D93" s="1">
        <v>45043</v>
      </c>
      <c r="E93" s="1">
        <v>45045</v>
      </c>
      <c r="F93" s="1">
        <v>45048</v>
      </c>
      <c r="G93">
        <v>29.97</v>
      </c>
      <c r="H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3" t="str">
        <f>IFERROR(INDEX(Raw_orders!G:G, MATCH(shipments[[#This Row],[order_id]],Raw_orders!A:A, 0)), "Unknown")</f>
        <v>Nordics</v>
      </c>
      <c r="J93" t="str">
        <f>PROPER(shipments[[#This Row],[delivery_status]])</f>
        <v>Delivered</v>
      </c>
      <c r="K93" t="s">
        <v>6926</v>
      </c>
    </row>
    <row r="94" spans="1:11">
      <c r="A94" t="s">
        <v>7030</v>
      </c>
      <c r="B94" t="s">
        <v>998</v>
      </c>
      <c r="C94" t="s">
        <v>6935</v>
      </c>
      <c r="D94" s="1">
        <v>45413</v>
      </c>
      <c r="E94" s="1">
        <v>45423</v>
      </c>
      <c r="F94" s="1">
        <v>45423</v>
      </c>
      <c r="G94">
        <v>34.74</v>
      </c>
      <c r="H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94" t="str">
        <f>IFERROR(INDEX(Raw_orders!G:G, MATCH(shipments[[#This Row],[order_id]],Raw_orders!A:A, 0)), "Unknown")</f>
        <v>Unknown</v>
      </c>
      <c r="J94" t="str">
        <f>PROPER(shipments[[#This Row],[delivery_status]])</f>
        <v>Delivered</v>
      </c>
      <c r="K94" t="s">
        <v>6926</v>
      </c>
    </row>
    <row r="95" spans="1:11">
      <c r="A95" t="s">
        <v>7031</v>
      </c>
      <c r="B95" t="s">
        <v>999</v>
      </c>
      <c r="C95" t="s">
        <v>6956</v>
      </c>
      <c r="D95" s="1">
        <v>45022</v>
      </c>
      <c r="E95" s="1">
        <v>45032</v>
      </c>
      <c r="F95" s="1">
        <v>45037</v>
      </c>
      <c r="G95">
        <v>48.5</v>
      </c>
      <c r="H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5" t="str">
        <f>IFERROR(INDEX(Raw_orders!G:G, MATCH(shipments[[#This Row],[order_id]],Raw_orders!A:A, 0)), "Unknown")</f>
        <v>Central Europe</v>
      </c>
      <c r="J95" t="str">
        <f>PROPER(shipments[[#This Row],[delivery_status]])</f>
        <v>Delivered</v>
      </c>
      <c r="K95" t="s">
        <v>6926</v>
      </c>
    </row>
    <row r="96" spans="1:11">
      <c r="A96" t="s">
        <v>7032</v>
      </c>
      <c r="B96" t="s">
        <v>1000</v>
      </c>
      <c r="C96" t="s">
        <v>6956</v>
      </c>
      <c r="D96" s="1">
        <v>45572</v>
      </c>
      <c r="E96" s="1">
        <v>45582</v>
      </c>
      <c r="F96" s="1">
        <v>45585</v>
      </c>
      <c r="G96">
        <v>10.01</v>
      </c>
      <c r="H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6" t="str">
        <f>IFERROR(INDEX(Raw_orders!G:G, MATCH(shipments[[#This Row],[order_id]],Raw_orders!A:A, 0)), "Unknown")</f>
        <v>Baltics</v>
      </c>
      <c r="J96" t="str">
        <f>PROPER(shipments[[#This Row],[delivery_status]])</f>
        <v>Delivered</v>
      </c>
      <c r="K96" t="s">
        <v>6929</v>
      </c>
    </row>
    <row r="97" spans="1:11">
      <c r="A97" t="s">
        <v>7033</v>
      </c>
      <c r="B97" t="s">
        <v>1001</v>
      </c>
      <c r="C97" t="s">
        <v>6956</v>
      </c>
      <c r="D97" s="1">
        <v>45079</v>
      </c>
      <c r="E97" s="1">
        <v>45082</v>
      </c>
      <c r="F97" s="1">
        <v>45082</v>
      </c>
      <c r="G97">
        <v>25.7</v>
      </c>
      <c r="H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97" t="str">
        <f>IFERROR(INDEX(Raw_orders!G:G, MATCH(shipments[[#This Row],[order_id]],Raw_orders!A:A, 0)), "Unknown")</f>
        <v>Central Europe</v>
      </c>
      <c r="J97" t="str">
        <f>PROPER(shipments[[#This Row],[delivery_status]])</f>
        <v>Delivered</v>
      </c>
      <c r="K97" t="s">
        <v>6922</v>
      </c>
    </row>
    <row r="98" spans="1:11">
      <c r="A98" t="s">
        <v>7034</v>
      </c>
      <c r="B98" t="s">
        <v>1002</v>
      </c>
      <c r="C98" t="s">
        <v>6928</v>
      </c>
      <c r="D98" s="1">
        <v>45361</v>
      </c>
      <c r="E98" s="1">
        <v>45368</v>
      </c>
      <c r="F98" s="1">
        <v>45371</v>
      </c>
      <c r="G98">
        <v>26.74</v>
      </c>
      <c r="H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8" t="str">
        <f>IFERROR(INDEX(Raw_orders!G:G, MATCH(shipments[[#This Row],[order_id]],Raw_orders!A:A, 0)), "Unknown")</f>
        <v>Baltics</v>
      </c>
      <c r="J98" t="str">
        <f>PROPER(shipments[[#This Row],[delivery_status]])</f>
        <v>Delivered</v>
      </c>
      <c r="K98" t="s">
        <v>6926</v>
      </c>
    </row>
    <row r="99" spans="1:11">
      <c r="A99" t="s">
        <v>7035</v>
      </c>
      <c r="B99" t="s">
        <v>1003</v>
      </c>
      <c r="C99" t="s">
        <v>6938</v>
      </c>
      <c r="D99" s="1">
        <v>44983</v>
      </c>
      <c r="E99" s="1">
        <v>44985</v>
      </c>
      <c r="F99" s="1"/>
      <c r="G99">
        <v>62.9</v>
      </c>
      <c r="H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99" t="str">
        <f>IFERROR(INDEX(Raw_orders!G:G, MATCH(shipments[[#This Row],[order_id]],Raw_orders!A:A, 0)), "Unknown")</f>
        <v>Unknown</v>
      </c>
      <c r="J99" t="str">
        <f>PROPER(shipments[[#This Row],[delivery_status]])</f>
        <v>In Transit</v>
      </c>
      <c r="K99" t="s">
        <v>6946</v>
      </c>
    </row>
    <row r="100" spans="1:11">
      <c r="A100" t="s">
        <v>7036</v>
      </c>
      <c r="B100" t="s">
        <v>1004</v>
      </c>
      <c r="C100" t="s">
        <v>6956</v>
      </c>
      <c r="D100" s="1">
        <v>45506</v>
      </c>
      <c r="E100" s="1">
        <v>45513</v>
      </c>
      <c r="F100" s="1"/>
      <c r="G100">
        <v>43.21</v>
      </c>
      <c r="H1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00" t="str">
        <f>IFERROR(INDEX(Raw_orders!G:G, MATCH(shipments[[#This Row],[order_id]],Raw_orders!A:A, 0)), "Unknown")</f>
        <v>Central Europe</v>
      </c>
      <c r="J100" t="str">
        <f>PROPER(shipments[[#This Row],[delivery_status]])</f>
        <v>Cancelled</v>
      </c>
      <c r="K100" t="s">
        <v>6979</v>
      </c>
    </row>
    <row r="101" spans="1:11">
      <c r="A101" t="s">
        <v>7037</v>
      </c>
      <c r="B101" t="s">
        <v>1005</v>
      </c>
      <c r="C101" t="s">
        <v>6928</v>
      </c>
      <c r="D101" s="1">
        <v>45250</v>
      </c>
      <c r="E101" s="1">
        <v>45255</v>
      </c>
      <c r="F101" s="1">
        <v>45260</v>
      </c>
      <c r="G101">
        <v>25.92</v>
      </c>
      <c r="H1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1" t="str">
        <f>IFERROR(INDEX(Raw_orders!G:G, MATCH(shipments[[#This Row],[order_id]],Raw_orders!A:A, 0)), "Unknown")</f>
        <v>Central Europe</v>
      </c>
      <c r="J101" t="str">
        <f>PROPER(shipments[[#This Row],[delivery_status]])</f>
        <v>Delivered</v>
      </c>
      <c r="K101" t="s">
        <v>6922</v>
      </c>
    </row>
    <row r="102" spans="1:11">
      <c r="A102" t="s">
        <v>7038</v>
      </c>
      <c r="B102" t="s">
        <v>1006</v>
      </c>
      <c r="C102" t="s">
        <v>6931</v>
      </c>
      <c r="D102" s="1">
        <v>45250</v>
      </c>
      <c r="E102" s="1">
        <v>45252</v>
      </c>
      <c r="F102" s="1">
        <v>45254</v>
      </c>
      <c r="G102">
        <v>7.59</v>
      </c>
      <c r="H1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2" t="str">
        <f>IFERROR(INDEX(Raw_orders!G:G, MATCH(shipments[[#This Row],[order_id]],Raw_orders!A:A, 0)), "Unknown")</f>
        <v>Nordics</v>
      </c>
      <c r="J102" t="str">
        <f>PROPER(shipments[[#This Row],[delivery_status]])</f>
        <v>Delivered</v>
      </c>
      <c r="K102" t="s">
        <v>6929</v>
      </c>
    </row>
    <row r="103" spans="1:11">
      <c r="A103" t="s">
        <v>7039</v>
      </c>
      <c r="B103" t="s">
        <v>1007</v>
      </c>
      <c r="C103" t="s">
        <v>6956</v>
      </c>
      <c r="D103" s="1">
        <v>45045</v>
      </c>
      <c r="E103" s="1">
        <v>45048</v>
      </c>
      <c r="F103" s="1"/>
      <c r="G103">
        <v>23.42</v>
      </c>
      <c r="H1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03" t="str">
        <f>IFERROR(INDEX(Raw_orders!G:G, MATCH(shipments[[#This Row],[order_id]],Raw_orders!A:A, 0)), "Unknown")</f>
        <v>Nordics</v>
      </c>
      <c r="J103" t="str">
        <f>PROPER(shipments[[#This Row],[delivery_status]])</f>
        <v>Cancelled</v>
      </c>
      <c r="K103" t="s">
        <v>6963</v>
      </c>
    </row>
    <row r="104" spans="1:11">
      <c r="A104" t="s">
        <v>7040</v>
      </c>
      <c r="B104" t="s">
        <v>1007</v>
      </c>
      <c r="C104" t="s">
        <v>6938</v>
      </c>
      <c r="D104" s="1">
        <v>45046</v>
      </c>
      <c r="E104" s="1">
        <v>45049</v>
      </c>
      <c r="F104" s="1"/>
      <c r="G104">
        <v>33.15</v>
      </c>
      <c r="H1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04" t="str">
        <f>IFERROR(INDEX(Raw_orders!G:G, MATCH(shipments[[#This Row],[order_id]],Raw_orders!A:A, 0)), "Unknown")</f>
        <v>Nordics</v>
      </c>
      <c r="J104" t="str">
        <f>PROPER(shipments[[#This Row],[delivery_status]])</f>
        <v>Cancelled</v>
      </c>
      <c r="K104" t="s">
        <v>6963</v>
      </c>
    </row>
    <row r="105" spans="1:11">
      <c r="A105" t="s">
        <v>7041</v>
      </c>
      <c r="B105" t="s">
        <v>1008</v>
      </c>
      <c r="C105" t="s">
        <v>6956</v>
      </c>
      <c r="D105" s="1">
        <v>45279</v>
      </c>
      <c r="E105" s="1">
        <v>45282</v>
      </c>
      <c r="F105" s="1">
        <v>45295</v>
      </c>
      <c r="G105">
        <v>55.86</v>
      </c>
      <c r="H1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5" t="str">
        <f>IFERROR(INDEX(Raw_orders!G:G, MATCH(shipments[[#This Row],[order_id]],Raw_orders!A:A, 0)), "Unknown")</f>
        <v>Central Europe</v>
      </c>
      <c r="J105" t="str">
        <f>PROPER(shipments[[#This Row],[delivery_status]])</f>
        <v>Delivered</v>
      </c>
      <c r="K105" t="s">
        <v>6922</v>
      </c>
    </row>
    <row r="106" spans="1:11">
      <c r="A106" t="s">
        <v>7042</v>
      </c>
      <c r="B106" t="s">
        <v>1009</v>
      </c>
      <c r="C106" t="s">
        <v>6928</v>
      </c>
      <c r="D106" s="1">
        <v>45462</v>
      </c>
      <c r="E106" s="1">
        <v>45467</v>
      </c>
      <c r="F106" s="1">
        <v>45467</v>
      </c>
      <c r="G106">
        <v>37.9</v>
      </c>
      <c r="H1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06" t="str">
        <f>IFERROR(INDEX(Raw_orders!G:G, MATCH(shipments[[#This Row],[order_id]],Raw_orders!A:A, 0)), "Unknown")</f>
        <v>Baltics</v>
      </c>
      <c r="J106" t="str">
        <f>PROPER(shipments[[#This Row],[delivery_status]])</f>
        <v>Delivered</v>
      </c>
      <c r="K106" t="s">
        <v>6926</v>
      </c>
    </row>
    <row r="107" spans="1:11">
      <c r="A107" t="s">
        <v>7043</v>
      </c>
      <c r="B107" t="s">
        <v>1010</v>
      </c>
      <c r="C107" t="s">
        <v>6921</v>
      </c>
      <c r="D107" s="1">
        <v>45115</v>
      </c>
      <c r="E107" s="1">
        <v>45117</v>
      </c>
      <c r="F107" s="1">
        <v>45117</v>
      </c>
      <c r="G107">
        <v>18.309999999999999</v>
      </c>
      <c r="H1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07" t="str">
        <f>IFERROR(INDEX(Raw_orders!G:G, MATCH(shipments[[#This Row],[order_id]],Raw_orders!A:A, 0)), "Unknown")</f>
        <v>Nordics</v>
      </c>
      <c r="J107" t="str">
        <f>PROPER(shipments[[#This Row],[delivery_status]])</f>
        <v>Delivered</v>
      </c>
      <c r="K107" t="s">
        <v>6926</v>
      </c>
    </row>
    <row r="108" spans="1:11">
      <c r="A108" t="s">
        <v>7044</v>
      </c>
      <c r="B108" t="s">
        <v>1011</v>
      </c>
      <c r="C108" t="s">
        <v>6928</v>
      </c>
      <c r="D108" s="1">
        <v>45503</v>
      </c>
      <c r="E108" s="1">
        <v>45513</v>
      </c>
      <c r="F108" s="1">
        <v>45523</v>
      </c>
      <c r="G108">
        <v>6.35</v>
      </c>
      <c r="H1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8" t="str">
        <f>IFERROR(INDEX(Raw_orders!G:G, MATCH(shipments[[#This Row],[order_id]],Raw_orders!A:A, 0)), "Unknown")</f>
        <v>Baltics</v>
      </c>
      <c r="J108" t="str">
        <f>PROPER(shipments[[#This Row],[delivery_status]])</f>
        <v>Delivered</v>
      </c>
      <c r="K108" t="s">
        <v>6926</v>
      </c>
    </row>
    <row r="109" spans="1:11">
      <c r="A109" t="s">
        <v>7045</v>
      </c>
      <c r="B109" t="s">
        <v>1012</v>
      </c>
      <c r="C109" t="s">
        <v>6935</v>
      </c>
      <c r="D109" s="1">
        <v>45457</v>
      </c>
      <c r="E109" s="1">
        <v>45460</v>
      </c>
      <c r="F109" s="1"/>
      <c r="G109">
        <v>13.75</v>
      </c>
      <c r="H1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09" t="str">
        <f>IFERROR(INDEX(Raw_orders!G:G, MATCH(shipments[[#This Row],[order_id]],Raw_orders!A:A, 0)), "Unknown")</f>
        <v>Central Europe</v>
      </c>
      <c r="J109" t="str">
        <f>PROPER(shipments[[#This Row],[delivery_status]])</f>
        <v>In Transit</v>
      </c>
      <c r="K109" t="s">
        <v>6977</v>
      </c>
    </row>
    <row r="110" spans="1:11">
      <c r="A110" t="s">
        <v>7046</v>
      </c>
      <c r="B110" t="s">
        <v>1013</v>
      </c>
      <c r="C110" t="s">
        <v>6956</v>
      </c>
      <c r="D110" s="1">
        <v>45617</v>
      </c>
      <c r="E110" s="1">
        <v>45622</v>
      </c>
      <c r="F110" s="1">
        <v>45622</v>
      </c>
      <c r="G110">
        <v>64.11</v>
      </c>
      <c r="H1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10" t="str">
        <f>IFERROR(INDEX(Raw_orders!G:G, MATCH(shipments[[#This Row],[order_id]],Raw_orders!A:A, 0)), "Unknown")</f>
        <v>Baltics</v>
      </c>
      <c r="J110" t="str">
        <f>PROPER(shipments[[#This Row],[delivery_status]])</f>
        <v>Delivered</v>
      </c>
      <c r="K110" t="s">
        <v>6926</v>
      </c>
    </row>
    <row r="111" spans="1:11">
      <c r="A111" t="s">
        <v>7047</v>
      </c>
      <c r="B111" t="s">
        <v>1014</v>
      </c>
      <c r="C111" t="s">
        <v>6921</v>
      </c>
      <c r="D111" s="1">
        <v>45503</v>
      </c>
      <c r="E111" s="1">
        <v>45505</v>
      </c>
      <c r="F111" s="1">
        <v>45505</v>
      </c>
      <c r="G111">
        <v>25.94</v>
      </c>
      <c r="H1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11" t="str">
        <f>IFERROR(INDEX(Raw_orders!G:G, MATCH(shipments[[#This Row],[order_id]],Raw_orders!A:A, 0)), "Unknown")</f>
        <v>Nordics</v>
      </c>
      <c r="J111" t="str">
        <f>PROPER(shipments[[#This Row],[delivery_status]])</f>
        <v>Delivered</v>
      </c>
      <c r="K111" t="s">
        <v>6929</v>
      </c>
    </row>
    <row r="112" spans="1:11">
      <c r="A112" t="s">
        <v>7048</v>
      </c>
      <c r="B112" t="s">
        <v>1015</v>
      </c>
      <c r="C112" t="s">
        <v>6956</v>
      </c>
      <c r="D112" s="1">
        <v>45367</v>
      </c>
      <c r="E112" s="1">
        <v>45369</v>
      </c>
      <c r="F112" s="1">
        <v>45368</v>
      </c>
      <c r="G112">
        <v>22.89</v>
      </c>
      <c r="H1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12" t="str">
        <f>IFERROR(INDEX(Raw_orders!G:G, MATCH(shipments[[#This Row],[order_id]],Raw_orders!A:A, 0)), "Unknown")</f>
        <v>Baltics</v>
      </c>
      <c r="J112" t="str">
        <f>PROPER(shipments[[#This Row],[delivery_status]])</f>
        <v>Delivered</v>
      </c>
      <c r="K112" t="s">
        <v>6929</v>
      </c>
    </row>
    <row r="113" spans="1:11">
      <c r="A113" t="s">
        <v>7049</v>
      </c>
      <c r="B113" t="s">
        <v>1016</v>
      </c>
      <c r="C113" t="s">
        <v>6956</v>
      </c>
      <c r="D113" s="1">
        <v>45410</v>
      </c>
      <c r="E113" s="1">
        <v>45415</v>
      </c>
      <c r="F113" s="1">
        <v>45415</v>
      </c>
      <c r="G113">
        <v>6.94</v>
      </c>
      <c r="H1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13" t="str">
        <f>IFERROR(INDEX(Raw_orders!G:G, MATCH(shipments[[#This Row],[order_id]],Raw_orders!A:A, 0)), "Unknown")</f>
        <v>Central Europe</v>
      </c>
      <c r="J113" t="str">
        <f>PROPER(shipments[[#This Row],[delivery_status]])</f>
        <v>Delivered</v>
      </c>
      <c r="K113" t="s">
        <v>6929</v>
      </c>
    </row>
    <row r="114" spans="1:11">
      <c r="A114" t="s">
        <v>7050</v>
      </c>
      <c r="B114" t="s">
        <v>1017</v>
      </c>
      <c r="C114" t="s">
        <v>6938</v>
      </c>
      <c r="D114" s="1">
        <v>44999</v>
      </c>
      <c r="E114" s="1">
        <v>45004</v>
      </c>
      <c r="F114" s="1">
        <v>45005</v>
      </c>
      <c r="G114">
        <v>61.36</v>
      </c>
      <c r="H1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4" t="str">
        <f>IFERROR(INDEX(Raw_orders!G:G, MATCH(shipments[[#This Row],[order_id]],Raw_orders!A:A, 0)), "Unknown")</f>
        <v>Central Europe</v>
      </c>
      <c r="J114" t="str">
        <f>PROPER(shipments[[#This Row],[delivery_status]])</f>
        <v>Delivered</v>
      </c>
      <c r="K114" t="s">
        <v>6926</v>
      </c>
    </row>
    <row r="115" spans="1:11">
      <c r="A115" t="s">
        <v>7051</v>
      </c>
      <c r="B115" t="s">
        <v>1018</v>
      </c>
      <c r="C115" t="s">
        <v>6935</v>
      </c>
      <c r="D115" s="1">
        <v>45025</v>
      </c>
      <c r="E115" s="1">
        <v>45035</v>
      </c>
      <c r="F115" s="1">
        <v>45043</v>
      </c>
      <c r="G115">
        <v>27.9</v>
      </c>
      <c r="H1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5" t="str">
        <f>IFERROR(INDEX(Raw_orders!G:G, MATCH(shipments[[#This Row],[order_id]],Raw_orders!A:A, 0)), "Unknown")</f>
        <v>Nordics</v>
      </c>
      <c r="J115" t="str">
        <f>PROPER(shipments[[#This Row],[delivery_status]])</f>
        <v>Delivered</v>
      </c>
      <c r="K115" t="s">
        <v>6922</v>
      </c>
    </row>
    <row r="116" spans="1:11">
      <c r="A116" t="s">
        <v>7052</v>
      </c>
      <c r="B116" t="s">
        <v>1019</v>
      </c>
      <c r="C116" t="s">
        <v>6925</v>
      </c>
      <c r="D116" s="1">
        <v>45313</v>
      </c>
      <c r="E116" s="1">
        <v>45315</v>
      </c>
      <c r="F116" s="1"/>
      <c r="G116">
        <v>11.78</v>
      </c>
      <c r="H1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16" t="str">
        <f>IFERROR(INDEX(Raw_orders!G:G, MATCH(shipments[[#This Row],[order_id]],Raw_orders!A:A, 0)), "Unknown")</f>
        <v>Baltics</v>
      </c>
      <c r="J116" t="str">
        <f>PROPER(shipments[[#This Row],[delivery_status]])</f>
        <v>Cancelled</v>
      </c>
      <c r="K116" t="s">
        <v>6963</v>
      </c>
    </row>
    <row r="117" spans="1:11">
      <c r="A117" t="s">
        <v>7053</v>
      </c>
      <c r="B117" t="s">
        <v>1020</v>
      </c>
      <c r="C117" t="s">
        <v>6928</v>
      </c>
      <c r="D117" s="1">
        <v>45344</v>
      </c>
      <c r="E117" s="1">
        <v>45346</v>
      </c>
      <c r="F117" s="1"/>
      <c r="G117">
        <v>19.5</v>
      </c>
      <c r="H1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17" t="str">
        <f>IFERROR(INDEX(Raw_orders!G:G, MATCH(shipments[[#This Row],[order_id]],Raw_orders!A:A, 0)), "Unknown")</f>
        <v>Central Europe</v>
      </c>
      <c r="J117" t="str">
        <f>PROPER(shipments[[#This Row],[delivery_status]])</f>
        <v>Cancelled</v>
      </c>
      <c r="K117" t="s">
        <v>6972</v>
      </c>
    </row>
    <row r="118" spans="1:11">
      <c r="A118" t="s">
        <v>7054</v>
      </c>
      <c r="B118" t="s">
        <v>1021</v>
      </c>
      <c r="C118" t="s">
        <v>6931</v>
      </c>
      <c r="D118" s="1">
        <v>45329</v>
      </c>
      <c r="E118" s="1">
        <v>45336</v>
      </c>
      <c r="F118" s="1">
        <v>45337</v>
      </c>
      <c r="G118">
        <v>42.5</v>
      </c>
      <c r="H1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8" t="str">
        <f>IFERROR(INDEX(Raw_orders!G:G, MATCH(shipments[[#This Row],[order_id]],Raw_orders!A:A, 0)), "Unknown")</f>
        <v>Central Europe</v>
      </c>
      <c r="J118" t="str">
        <f>PROPER(shipments[[#This Row],[delivery_status]])</f>
        <v>Delivered</v>
      </c>
      <c r="K118" t="s">
        <v>6926</v>
      </c>
    </row>
    <row r="119" spans="1:11">
      <c r="A119" t="s">
        <v>7055</v>
      </c>
      <c r="B119" t="s">
        <v>1022</v>
      </c>
      <c r="C119" t="s">
        <v>6956</v>
      </c>
      <c r="D119" s="1">
        <v>44932</v>
      </c>
      <c r="E119" s="1">
        <v>44934</v>
      </c>
      <c r="F119" s="1">
        <v>44934</v>
      </c>
      <c r="G119">
        <v>34.54</v>
      </c>
      <c r="H1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19" t="str">
        <f>IFERROR(INDEX(Raw_orders!G:G, MATCH(shipments[[#This Row],[order_id]],Raw_orders!A:A, 0)), "Unknown")</f>
        <v>Central Europe</v>
      </c>
      <c r="J119" t="str">
        <f>PROPER(shipments[[#This Row],[delivery_status]])</f>
        <v>Delivered</v>
      </c>
      <c r="K119" t="s">
        <v>6926</v>
      </c>
    </row>
    <row r="120" spans="1:11">
      <c r="A120" t="s">
        <v>7056</v>
      </c>
      <c r="B120" t="s">
        <v>1023</v>
      </c>
      <c r="C120" t="s">
        <v>6938</v>
      </c>
      <c r="D120" s="1">
        <v>45121</v>
      </c>
      <c r="E120" s="1">
        <v>45124</v>
      </c>
      <c r="F120" s="1">
        <v>45133</v>
      </c>
      <c r="G120">
        <v>50.28</v>
      </c>
      <c r="H1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0" t="str">
        <f>IFERROR(INDEX(Raw_orders!G:G, MATCH(shipments[[#This Row],[order_id]],Raw_orders!A:A, 0)), "Unknown")</f>
        <v>Baltics</v>
      </c>
      <c r="J120" t="str">
        <f>PROPER(shipments[[#This Row],[delivery_status]])</f>
        <v>Delivered</v>
      </c>
      <c r="K120" t="s">
        <v>6926</v>
      </c>
    </row>
    <row r="121" spans="1:11">
      <c r="A121" t="s">
        <v>7057</v>
      </c>
      <c r="B121" t="s">
        <v>1024</v>
      </c>
      <c r="C121" t="s">
        <v>6925</v>
      </c>
      <c r="D121" s="1">
        <v>45353</v>
      </c>
      <c r="E121" s="1">
        <v>45358</v>
      </c>
      <c r="F121" s="1">
        <v>45357</v>
      </c>
      <c r="G121">
        <v>26.91</v>
      </c>
      <c r="H1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1" t="str">
        <f>IFERROR(INDEX(Raw_orders!G:G, MATCH(shipments[[#This Row],[order_id]],Raw_orders!A:A, 0)), "Unknown")</f>
        <v>Baltics</v>
      </c>
      <c r="J121" t="str">
        <f>PROPER(shipments[[#This Row],[delivery_status]])</f>
        <v>Delivered</v>
      </c>
      <c r="K121" t="s">
        <v>6926</v>
      </c>
    </row>
    <row r="122" spans="1:11">
      <c r="A122" t="s">
        <v>7058</v>
      </c>
      <c r="B122" t="s">
        <v>1025</v>
      </c>
      <c r="C122" t="s">
        <v>6921</v>
      </c>
      <c r="D122" s="1">
        <v>45396</v>
      </c>
      <c r="E122" s="1">
        <v>45401</v>
      </c>
      <c r="F122" s="1">
        <v>45401</v>
      </c>
      <c r="G122">
        <v>41.88</v>
      </c>
      <c r="H1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2" t="str">
        <f>IFERROR(INDEX(Raw_orders!G:G, MATCH(shipments[[#This Row],[order_id]],Raw_orders!A:A, 0)), "Unknown")</f>
        <v>Baltics</v>
      </c>
      <c r="J122" t="str">
        <f>PROPER(shipments[[#This Row],[delivery_status]])</f>
        <v>Delivered</v>
      </c>
      <c r="K122" t="s">
        <v>6922</v>
      </c>
    </row>
    <row r="123" spans="1:11">
      <c r="A123" t="s">
        <v>7059</v>
      </c>
      <c r="B123" t="s">
        <v>1026</v>
      </c>
      <c r="C123" t="s">
        <v>6928</v>
      </c>
      <c r="D123" s="1">
        <v>45424</v>
      </c>
      <c r="E123" s="1">
        <v>45427</v>
      </c>
      <c r="F123" s="1">
        <v>45427</v>
      </c>
      <c r="G123">
        <v>40.24</v>
      </c>
      <c r="H1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3" t="str">
        <f>IFERROR(INDEX(Raw_orders!G:G, MATCH(shipments[[#This Row],[order_id]],Raw_orders!A:A, 0)), "Unknown")</f>
        <v>Central Europe</v>
      </c>
      <c r="J123" t="str">
        <f>PROPER(shipments[[#This Row],[delivery_status]])</f>
        <v>Delivered</v>
      </c>
      <c r="K123" t="s">
        <v>6926</v>
      </c>
    </row>
    <row r="124" spans="1:11">
      <c r="A124" t="s">
        <v>7060</v>
      </c>
      <c r="B124" t="s">
        <v>1027</v>
      </c>
      <c r="C124" t="s">
        <v>6935</v>
      </c>
      <c r="D124" s="1">
        <v>44985</v>
      </c>
      <c r="E124" s="1">
        <v>44987</v>
      </c>
      <c r="F124" s="1"/>
      <c r="G124">
        <v>52.04</v>
      </c>
      <c r="H1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24" t="str">
        <f>IFERROR(INDEX(Raw_orders!G:G, MATCH(shipments[[#This Row],[order_id]],Raw_orders!A:A, 0)), "Unknown")</f>
        <v>Baltics</v>
      </c>
      <c r="J124" t="str">
        <f>PROPER(shipments[[#This Row],[delivery_status]])</f>
        <v>Cancelled</v>
      </c>
      <c r="K124" t="s">
        <v>6972</v>
      </c>
    </row>
    <row r="125" spans="1:11">
      <c r="A125" t="s">
        <v>7061</v>
      </c>
      <c r="B125" t="s">
        <v>1028</v>
      </c>
      <c r="C125" t="s">
        <v>6928</v>
      </c>
      <c r="D125" s="1">
        <v>45028</v>
      </c>
      <c r="E125" s="1">
        <v>45033</v>
      </c>
      <c r="F125" s="1">
        <v>45033</v>
      </c>
      <c r="G125">
        <v>60.35</v>
      </c>
      <c r="H1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5" t="str">
        <f>IFERROR(INDEX(Raw_orders!G:G, MATCH(shipments[[#This Row],[order_id]],Raw_orders!A:A, 0)), "Unknown")</f>
        <v>Nordics</v>
      </c>
      <c r="J125" t="str">
        <f>PROPER(shipments[[#This Row],[delivery_status]])</f>
        <v>Delivered</v>
      </c>
      <c r="K125" t="s">
        <v>6929</v>
      </c>
    </row>
    <row r="126" spans="1:11">
      <c r="A126" t="s">
        <v>7062</v>
      </c>
      <c r="B126" t="s">
        <v>1029</v>
      </c>
      <c r="C126" t="s">
        <v>6925</v>
      </c>
      <c r="D126" s="1">
        <v>44941</v>
      </c>
      <c r="E126" s="1">
        <v>44944</v>
      </c>
      <c r="F126" s="1">
        <v>44949</v>
      </c>
      <c r="G126">
        <v>5.76</v>
      </c>
      <c r="H1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6" t="str">
        <f>IFERROR(INDEX(Raw_orders!G:G, MATCH(shipments[[#This Row],[order_id]],Raw_orders!A:A, 0)), "Unknown")</f>
        <v>Nordics</v>
      </c>
      <c r="J126" t="str">
        <f>PROPER(shipments[[#This Row],[delivery_status]])</f>
        <v>Delivered</v>
      </c>
      <c r="K126" t="s">
        <v>6922</v>
      </c>
    </row>
    <row r="127" spans="1:11">
      <c r="A127" t="s">
        <v>7063</v>
      </c>
      <c r="B127" t="s">
        <v>1030</v>
      </c>
      <c r="C127" t="s">
        <v>6925</v>
      </c>
      <c r="D127" s="1">
        <v>45016</v>
      </c>
      <c r="E127" s="1">
        <v>45018</v>
      </c>
      <c r="F127" s="1">
        <v>45018</v>
      </c>
      <c r="G127">
        <v>7.06</v>
      </c>
      <c r="H1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7" t="str">
        <f>IFERROR(INDEX(Raw_orders!G:G, MATCH(shipments[[#This Row],[order_id]],Raw_orders!A:A, 0)), "Unknown")</f>
        <v>Central Europe</v>
      </c>
      <c r="J127" t="str">
        <f>PROPER(shipments[[#This Row],[delivery_status]])</f>
        <v>Delivered</v>
      </c>
      <c r="K127" t="s">
        <v>6922</v>
      </c>
    </row>
    <row r="128" spans="1:11">
      <c r="A128" t="s">
        <v>7064</v>
      </c>
      <c r="B128" t="s">
        <v>1030</v>
      </c>
      <c r="C128" t="s">
        <v>6940</v>
      </c>
      <c r="D128" s="1">
        <v>45018</v>
      </c>
      <c r="E128" s="1">
        <v>45023</v>
      </c>
      <c r="F128" s="1">
        <v>45022</v>
      </c>
      <c r="G128">
        <v>15.16</v>
      </c>
      <c r="H1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8" t="str">
        <f>IFERROR(INDEX(Raw_orders!G:G, MATCH(shipments[[#This Row],[order_id]],Raw_orders!A:A, 0)), "Unknown")</f>
        <v>Central Europe</v>
      </c>
      <c r="J128" t="str">
        <f>PROPER(shipments[[#This Row],[delivery_status]])</f>
        <v>Delivered</v>
      </c>
      <c r="K128" t="s">
        <v>6922</v>
      </c>
    </row>
    <row r="129" spans="1:11">
      <c r="A129" t="s">
        <v>7065</v>
      </c>
      <c r="B129" t="s">
        <v>1031</v>
      </c>
      <c r="C129" t="s">
        <v>6956</v>
      </c>
      <c r="D129" s="1">
        <v>45420</v>
      </c>
      <c r="E129" s="1">
        <v>45430</v>
      </c>
      <c r="F129" s="1"/>
      <c r="G129">
        <v>4.54</v>
      </c>
      <c r="H1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29" t="str">
        <f>IFERROR(INDEX(Raw_orders!G:G, MATCH(shipments[[#This Row],[order_id]],Raw_orders!A:A, 0)), "Unknown")</f>
        <v>Nordics</v>
      </c>
      <c r="J129" t="str">
        <f>PROPER(shipments[[#This Row],[delivery_status]])</f>
        <v>Cancelled</v>
      </c>
      <c r="K129" t="s">
        <v>6972</v>
      </c>
    </row>
    <row r="130" spans="1:11">
      <c r="A130" t="s">
        <v>7066</v>
      </c>
      <c r="B130" t="s">
        <v>1032</v>
      </c>
      <c r="C130" t="s">
        <v>6925</v>
      </c>
      <c r="D130" s="1">
        <v>45347</v>
      </c>
      <c r="E130" s="1">
        <v>45354</v>
      </c>
      <c r="F130" s="1">
        <v>45354</v>
      </c>
      <c r="G130">
        <v>15.46</v>
      </c>
      <c r="H1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30" t="str">
        <f>IFERROR(INDEX(Raw_orders!G:G, MATCH(shipments[[#This Row],[order_id]],Raw_orders!A:A, 0)), "Unknown")</f>
        <v>Nordics</v>
      </c>
      <c r="J130" t="str">
        <f>PROPER(shipments[[#This Row],[delivery_status]])</f>
        <v>Delivered</v>
      </c>
      <c r="K130" t="s">
        <v>6929</v>
      </c>
    </row>
    <row r="131" spans="1:11">
      <c r="A131" t="s">
        <v>7067</v>
      </c>
      <c r="B131" t="s">
        <v>1033</v>
      </c>
      <c r="C131" t="s">
        <v>6940</v>
      </c>
      <c r="D131" s="1">
        <v>45107</v>
      </c>
      <c r="E131" s="1">
        <v>45110</v>
      </c>
      <c r="F131" s="1"/>
      <c r="G131">
        <v>39.25</v>
      </c>
      <c r="H1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31" t="str">
        <f>IFERROR(INDEX(Raw_orders!G:G, MATCH(shipments[[#This Row],[order_id]],Raw_orders!A:A, 0)), "Unknown")</f>
        <v>Nordics</v>
      </c>
      <c r="J131" t="str">
        <f>PROPER(shipments[[#This Row],[delivery_status]])</f>
        <v>Cancelled</v>
      </c>
      <c r="K131" t="s">
        <v>6979</v>
      </c>
    </row>
    <row r="132" spans="1:11">
      <c r="A132" t="s">
        <v>7068</v>
      </c>
      <c r="B132" t="s">
        <v>1034</v>
      </c>
      <c r="C132" t="s">
        <v>6928</v>
      </c>
      <c r="D132" s="1">
        <v>45289</v>
      </c>
      <c r="E132" s="1">
        <v>45294</v>
      </c>
      <c r="F132" s="1">
        <v>45296</v>
      </c>
      <c r="G132">
        <v>31.17</v>
      </c>
      <c r="H1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2" t="str">
        <f>IFERROR(INDEX(Raw_orders!G:G, MATCH(shipments[[#This Row],[order_id]],Raw_orders!A:A, 0)), "Unknown")</f>
        <v>Baltics</v>
      </c>
      <c r="J132" t="str">
        <f>PROPER(shipments[[#This Row],[delivery_status]])</f>
        <v>Delivered</v>
      </c>
      <c r="K132" t="s">
        <v>6929</v>
      </c>
    </row>
    <row r="133" spans="1:11">
      <c r="A133" t="s">
        <v>7069</v>
      </c>
      <c r="B133" t="s">
        <v>1035</v>
      </c>
      <c r="C133" t="s">
        <v>6925</v>
      </c>
      <c r="D133" s="1">
        <v>45578</v>
      </c>
      <c r="E133" s="1">
        <v>45588</v>
      </c>
      <c r="F133" s="1">
        <v>45601</v>
      </c>
      <c r="G133">
        <v>8.5299999999999994</v>
      </c>
      <c r="H1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3" t="str">
        <f>IFERROR(INDEX(Raw_orders!G:G, MATCH(shipments[[#This Row],[order_id]],Raw_orders!A:A, 0)), "Unknown")</f>
        <v>Central Europe</v>
      </c>
      <c r="J133" t="str">
        <f>PROPER(shipments[[#This Row],[delivery_status]])</f>
        <v>Delivered</v>
      </c>
      <c r="K133" t="s">
        <v>6922</v>
      </c>
    </row>
    <row r="134" spans="1:11">
      <c r="A134" t="s">
        <v>7070</v>
      </c>
      <c r="B134" t="s">
        <v>1036</v>
      </c>
      <c r="C134" t="s">
        <v>6956</v>
      </c>
      <c r="D134" s="1">
        <v>44970</v>
      </c>
      <c r="E134" s="1">
        <v>44972</v>
      </c>
      <c r="F134" s="1">
        <v>44972</v>
      </c>
      <c r="G134">
        <v>29.14</v>
      </c>
      <c r="H1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34" t="str">
        <f>IFERROR(INDEX(Raw_orders!G:G, MATCH(shipments[[#This Row],[order_id]],Raw_orders!A:A, 0)), "Unknown")</f>
        <v>Baltics</v>
      </c>
      <c r="J134" t="str">
        <f>PROPER(shipments[[#This Row],[delivery_status]])</f>
        <v>Delivered</v>
      </c>
      <c r="K134" t="s">
        <v>6926</v>
      </c>
    </row>
    <row r="135" spans="1:11">
      <c r="A135" t="s">
        <v>7071</v>
      </c>
      <c r="B135" t="s">
        <v>1037</v>
      </c>
      <c r="C135" t="s">
        <v>6921</v>
      </c>
      <c r="D135" s="1">
        <v>45548</v>
      </c>
      <c r="E135" s="1">
        <v>45555</v>
      </c>
      <c r="F135" s="1"/>
      <c r="G135">
        <v>4.78</v>
      </c>
      <c r="H1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35" t="str">
        <f>IFERROR(INDEX(Raw_orders!G:G, MATCH(shipments[[#This Row],[order_id]],Raw_orders!A:A, 0)), "Unknown")</f>
        <v>Central Europe</v>
      </c>
      <c r="J135" t="str">
        <f>PROPER(shipments[[#This Row],[delivery_status]])</f>
        <v>In Transit</v>
      </c>
      <c r="K135" t="s">
        <v>6946</v>
      </c>
    </row>
    <row r="136" spans="1:11">
      <c r="A136" t="s">
        <v>7072</v>
      </c>
      <c r="B136" t="s">
        <v>1038</v>
      </c>
      <c r="C136" t="s">
        <v>6940</v>
      </c>
      <c r="D136" s="1">
        <v>45010</v>
      </c>
      <c r="E136" s="1">
        <v>45020</v>
      </c>
      <c r="F136" s="1">
        <v>45021</v>
      </c>
      <c r="G136">
        <v>62.92</v>
      </c>
      <c r="H1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6" t="str">
        <f>IFERROR(INDEX(Raw_orders!G:G, MATCH(shipments[[#This Row],[order_id]],Raw_orders!A:A, 0)), "Unknown")</f>
        <v>Nordics</v>
      </c>
      <c r="J136" t="str">
        <f>PROPER(shipments[[#This Row],[delivery_status]])</f>
        <v>Delivered</v>
      </c>
      <c r="K136" t="s">
        <v>6922</v>
      </c>
    </row>
    <row r="137" spans="1:11">
      <c r="A137" t="s">
        <v>7073</v>
      </c>
      <c r="B137" t="s">
        <v>1039</v>
      </c>
      <c r="C137" t="s">
        <v>6925</v>
      </c>
      <c r="D137" s="1">
        <v>45519</v>
      </c>
      <c r="E137" s="1">
        <v>45522</v>
      </c>
      <c r="F137" s="1">
        <v>45522</v>
      </c>
      <c r="G137">
        <v>6.9</v>
      </c>
      <c r="H1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37" t="str">
        <f>IFERROR(INDEX(Raw_orders!G:G, MATCH(shipments[[#This Row],[order_id]],Raw_orders!A:A, 0)), "Unknown")</f>
        <v>Baltics</v>
      </c>
      <c r="J137" t="str">
        <f>PROPER(shipments[[#This Row],[delivery_status]])</f>
        <v>Delivered</v>
      </c>
      <c r="K137" t="s">
        <v>6922</v>
      </c>
    </row>
    <row r="138" spans="1:11">
      <c r="A138" t="s">
        <v>7074</v>
      </c>
      <c r="B138" t="s">
        <v>1040</v>
      </c>
      <c r="C138" t="s">
        <v>6938</v>
      </c>
      <c r="D138" s="1">
        <v>45259</v>
      </c>
      <c r="E138" s="1">
        <v>45262</v>
      </c>
      <c r="F138" s="1">
        <v>45261</v>
      </c>
      <c r="G138">
        <v>6.77</v>
      </c>
      <c r="H1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38" t="str">
        <f>IFERROR(INDEX(Raw_orders!G:G, MATCH(shipments[[#This Row],[order_id]],Raw_orders!A:A, 0)), "Unknown")</f>
        <v>Baltics</v>
      </c>
      <c r="J138" t="str">
        <f>PROPER(shipments[[#This Row],[delivery_status]])</f>
        <v>Delivered</v>
      </c>
      <c r="K138" t="s">
        <v>6922</v>
      </c>
    </row>
    <row r="139" spans="1:11">
      <c r="A139" t="s">
        <v>7075</v>
      </c>
      <c r="B139" t="s">
        <v>1041</v>
      </c>
      <c r="C139" t="s">
        <v>6956</v>
      </c>
      <c r="D139" s="1">
        <v>45551</v>
      </c>
      <c r="E139" s="1">
        <v>45561</v>
      </c>
      <c r="F139" s="1">
        <v>45566</v>
      </c>
      <c r="G139">
        <v>23.84</v>
      </c>
      <c r="H1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9" t="str">
        <f>IFERROR(INDEX(Raw_orders!G:G, MATCH(shipments[[#This Row],[order_id]],Raw_orders!A:A, 0)), "Unknown")</f>
        <v>Baltics</v>
      </c>
      <c r="J139" t="str">
        <f>PROPER(shipments[[#This Row],[delivery_status]])</f>
        <v>Delivered</v>
      </c>
      <c r="K139" t="s">
        <v>6926</v>
      </c>
    </row>
    <row r="140" spans="1:11">
      <c r="A140" t="s">
        <v>7076</v>
      </c>
      <c r="B140" t="s">
        <v>1042</v>
      </c>
      <c r="C140" t="s">
        <v>6940</v>
      </c>
      <c r="D140" s="1">
        <v>45023</v>
      </c>
      <c r="E140" s="1">
        <v>45028</v>
      </c>
      <c r="F140" s="1">
        <v>45031</v>
      </c>
      <c r="G140">
        <v>15.43</v>
      </c>
      <c r="H1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0" t="str">
        <f>IFERROR(INDEX(Raw_orders!G:G, MATCH(shipments[[#This Row],[order_id]],Raw_orders!A:A, 0)), "Unknown")</f>
        <v>Central Europe</v>
      </c>
      <c r="J140" t="str">
        <f>PROPER(shipments[[#This Row],[delivery_status]])</f>
        <v>Delivered</v>
      </c>
      <c r="K140" t="s">
        <v>6929</v>
      </c>
    </row>
    <row r="141" spans="1:11">
      <c r="A141" t="s">
        <v>7077</v>
      </c>
      <c r="B141" t="s">
        <v>1043</v>
      </c>
      <c r="C141" t="s">
        <v>6940</v>
      </c>
      <c r="D141" s="1">
        <v>45303</v>
      </c>
      <c r="E141" s="1">
        <v>45310</v>
      </c>
      <c r="F141" s="1">
        <v>45310</v>
      </c>
      <c r="G141">
        <v>24.06</v>
      </c>
      <c r="H1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41" t="str">
        <f>IFERROR(INDEX(Raw_orders!G:G, MATCH(shipments[[#This Row],[order_id]],Raw_orders!A:A, 0)), "Unknown")</f>
        <v>Nordics</v>
      </c>
      <c r="J141" t="str">
        <f>PROPER(shipments[[#This Row],[delivery_status]])</f>
        <v>Delivered</v>
      </c>
      <c r="K141" t="s">
        <v>6929</v>
      </c>
    </row>
    <row r="142" spans="1:11">
      <c r="A142" t="s">
        <v>7078</v>
      </c>
      <c r="B142" t="s">
        <v>1044</v>
      </c>
      <c r="C142" t="s">
        <v>6935</v>
      </c>
      <c r="D142" s="1">
        <v>45427</v>
      </c>
      <c r="E142" s="1">
        <v>45429</v>
      </c>
      <c r="F142" s="1">
        <v>45429</v>
      </c>
      <c r="G142">
        <v>10.01</v>
      </c>
      <c r="H1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42" t="str">
        <f>IFERROR(INDEX(Raw_orders!G:G, MATCH(shipments[[#This Row],[order_id]],Raw_orders!A:A, 0)), "Unknown")</f>
        <v>Baltics</v>
      </c>
      <c r="J142" t="str">
        <f>PROPER(shipments[[#This Row],[delivery_status]])</f>
        <v>Delivered</v>
      </c>
      <c r="K142" t="s">
        <v>6922</v>
      </c>
    </row>
    <row r="143" spans="1:11">
      <c r="A143" t="s">
        <v>7079</v>
      </c>
      <c r="B143" t="s">
        <v>1045</v>
      </c>
      <c r="C143" t="s">
        <v>6925</v>
      </c>
      <c r="D143" s="1">
        <v>45018</v>
      </c>
      <c r="E143" s="1">
        <v>45021</v>
      </c>
      <c r="F143" s="1">
        <v>45022</v>
      </c>
      <c r="G143">
        <v>26.78</v>
      </c>
      <c r="H1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3" t="str">
        <f>IFERROR(INDEX(Raw_orders!G:G, MATCH(shipments[[#This Row],[order_id]],Raw_orders!A:A, 0)), "Unknown")</f>
        <v>Baltics</v>
      </c>
      <c r="J143" t="str">
        <f>PROPER(shipments[[#This Row],[delivery_status]])</f>
        <v>Delivered</v>
      </c>
      <c r="K143" t="s">
        <v>6926</v>
      </c>
    </row>
    <row r="144" spans="1:11">
      <c r="A144" t="s">
        <v>7080</v>
      </c>
      <c r="B144" t="s">
        <v>1046</v>
      </c>
      <c r="C144" t="s">
        <v>6935</v>
      </c>
      <c r="D144" s="1">
        <v>45227</v>
      </c>
      <c r="E144" s="1">
        <v>45237</v>
      </c>
      <c r="F144" s="1"/>
      <c r="G144">
        <v>39.49</v>
      </c>
      <c r="H1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44" t="str">
        <f>IFERROR(INDEX(Raw_orders!G:G, MATCH(shipments[[#This Row],[order_id]],Raw_orders!A:A, 0)), "Unknown")</f>
        <v>Central Europe</v>
      </c>
      <c r="J144" t="str">
        <f>PROPER(shipments[[#This Row],[delivery_status]])</f>
        <v>Cancelled</v>
      </c>
      <c r="K144" t="s">
        <v>6972</v>
      </c>
    </row>
    <row r="145" spans="1:11">
      <c r="A145" t="s">
        <v>7081</v>
      </c>
      <c r="B145" t="s">
        <v>1047</v>
      </c>
      <c r="C145" t="s">
        <v>6938</v>
      </c>
      <c r="D145" s="1">
        <v>45429</v>
      </c>
      <c r="E145" s="1">
        <v>45432</v>
      </c>
      <c r="F145" s="1">
        <v>45445</v>
      </c>
      <c r="G145">
        <v>59.7</v>
      </c>
      <c r="H1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5" t="str">
        <f>IFERROR(INDEX(Raw_orders!G:G, MATCH(shipments[[#This Row],[order_id]],Raw_orders!A:A, 0)), "Unknown")</f>
        <v>Nordics</v>
      </c>
      <c r="J145" t="str">
        <f>PROPER(shipments[[#This Row],[delivery_status]])</f>
        <v>Delivered</v>
      </c>
      <c r="K145" t="s">
        <v>6929</v>
      </c>
    </row>
    <row r="146" spans="1:11">
      <c r="A146" t="s">
        <v>7082</v>
      </c>
      <c r="B146" t="s">
        <v>1048</v>
      </c>
      <c r="C146" t="s">
        <v>6940</v>
      </c>
      <c r="D146" s="1">
        <v>45096</v>
      </c>
      <c r="E146" s="1">
        <v>45106</v>
      </c>
      <c r="F146" s="1"/>
      <c r="G146">
        <v>53.96</v>
      </c>
      <c r="H1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46" t="str">
        <f>IFERROR(INDEX(Raw_orders!G:G, MATCH(shipments[[#This Row],[order_id]],Raw_orders!A:A, 0)), "Unknown")</f>
        <v>Central Europe</v>
      </c>
      <c r="J146" t="str">
        <f>PROPER(shipments[[#This Row],[delivery_status]])</f>
        <v>Cancelled</v>
      </c>
      <c r="K146" t="s">
        <v>6979</v>
      </c>
    </row>
    <row r="147" spans="1:11">
      <c r="A147" t="s">
        <v>7083</v>
      </c>
      <c r="B147" t="s">
        <v>1049</v>
      </c>
      <c r="C147" t="s">
        <v>6931</v>
      </c>
      <c r="D147" s="1">
        <v>45090</v>
      </c>
      <c r="E147" s="1">
        <v>45100</v>
      </c>
      <c r="F147" s="1">
        <v>45107</v>
      </c>
      <c r="G147">
        <v>64.709999999999994</v>
      </c>
      <c r="H1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7" t="str">
        <f>IFERROR(INDEX(Raw_orders!G:G, MATCH(shipments[[#This Row],[order_id]],Raw_orders!A:A, 0)), "Unknown")</f>
        <v>Central Europe</v>
      </c>
      <c r="J147" t="str">
        <f>PROPER(shipments[[#This Row],[delivery_status]])</f>
        <v>Delivered</v>
      </c>
      <c r="K147" t="s">
        <v>6922</v>
      </c>
    </row>
    <row r="148" spans="1:11">
      <c r="A148" t="s">
        <v>7084</v>
      </c>
      <c r="B148" t="s">
        <v>1050</v>
      </c>
      <c r="C148" t="s">
        <v>6928</v>
      </c>
      <c r="D148" s="1">
        <v>45192</v>
      </c>
      <c r="E148" s="1">
        <v>45195</v>
      </c>
      <c r="F148" s="1">
        <v>45198</v>
      </c>
      <c r="G148">
        <v>17.260000000000002</v>
      </c>
      <c r="H1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8" t="str">
        <f>IFERROR(INDEX(Raw_orders!G:G, MATCH(shipments[[#This Row],[order_id]],Raw_orders!A:A, 0)), "Unknown")</f>
        <v>Nordics</v>
      </c>
      <c r="J148" t="str">
        <f>PROPER(shipments[[#This Row],[delivery_status]])</f>
        <v>Delivered</v>
      </c>
      <c r="K148" t="s">
        <v>6929</v>
      </c>
    </row>
    <row r="149" spans="1:11">
      <c r="A149" t="s">
        <v>7085</v>
      </c>
      <c r="B149" t="s">
        <v>1051</v>
      </c>
      <c r="C149" t="s">
        <v>6928</v>
      </c>
      <c r="D149" s="1">
        <v>45134</v>
      </c>
      <c r="E149" s="1">
        <v>45144</v>
      </c>
      <c r="F149" s="1">
        <v>45143</v>
      </c>
      <c r="G149">
        <v>56.24</v>
      </c>
      <c r="H1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49" t="str">
        <f>IFERROR(INDEX(Raw_orders!G:G, MATCH(shipments[[#This Row],[order_id]],Raw_orders!A:A, 0)), "Unknown")</f>
        <v>Baltics</v>
      </c>
      <c r="J149" t="str">
        <f>PROPER(shipments[[#This Row],[delivery_status]])</f>
        <v>Delivered</v>
      </c>
      <c r="K149" t="s">
        <v>6922</v>
      </c>
    </row>
    <row r="150" spans="1:11">
      <c r="A150" t="s">
        <v>7086</v>
      </c>
      <c r="B150" t="s">
        <v>1052</v>
      </c>
      <c r="C150" t="s">
        <v>6949</v>
      </c>
      <c r="D150" s="1">
        <v>45177</v>
      </c>
      <c r="E150" s="1">
        <v>45182</v>
      </c>
      <c r="F150" s="1">
        <v>45182</v>
      </c>
      <c r="G150">
        <v>63.07</v>
      </c>
      <c r="H1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50" t="str">
        <f>IFERROR(INDEX(Raw_orders!G:G, MATCH(shipments[[#This Row],[order_id]],Raw_orders!A:A, 0)), "Unknown")</f>
        <v>Nordics</v>
      </c>
      <c r="J150" t="str">
        <f>PROPER(shipments[[#This Row],[delivery_status]])</f>
        <v>Delivered</v>
      </c>
      <c r="K150" t="s">
        <v>6922</v>
      </c>
    </row>
    <row r="151" spans="1:11">
      <c r="A151" t="s">
        <v>7087</v>
      </c>
      <c r="B151" t="s">
        <v>1053</v>
      </c>
      <c r="C151" t="s">
        <v>6925</v>
      </c>
      <c r="D151" s="1">
        <v>45564</v>
      </c>
      <c r="E151" s="1">
        <v>45571</v>
      </c>
      <c r="F151" s="1"/>
      <c r="G151">
        <v>53.14</v>
      </c>
      <c r="H1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51" t="str">
        <f>IFERROR(INDEX(Raw_orders!G:G, MATCH(shipments[[#This Row],[order_id]],Raw_orders!A:A, 0)), "Unknown")</f>
        <v>Nordics</v>
      </c>
      <c r="J151" t="str">
        <f>PROPER(shipments[[#This Row],[delivery_status]])</f>
        <v>In Transit</v>
      </c>
      <c r="K151" t="s">
        <v>6977</v>
      </c>
    </row>
    <row r="152" spans="1:11">
      <c r="A152" t="s">
        <v>7088</v>
      </c>
      <c r="B152" t="s">
        <v>1054</v>
      </c>
      <c r="C152" t="s">
        <v>6935</v>
      </c>
      <c r="D152" s="1">
        <v>45302</v>
      </c>
      <c r="E152" s="1">
        <v>45305</v>
      </c>
      <c r="F152" s="1">
        <v>45310</v>
      </c>
      <c r="G152">
        <v>42.04</v>
      </c>
      <c r="H1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2" t="str">
        <f>IFERROR(INDEX(Raw_orders!G:G, MATCH(shipments[[#This Row],[order_id]],Raw_orders!A:A, 0)), "Unknown")</f>
        <v>Central Europe</v>
      </c>
      <c r="J152" t="str">
        <f>PROPER(shipments[[#This Row],[delivery_status]])</f>
        <v>Delivered</v>
      </c>
      <c r="K152" t="s">
        <v>6926</v>
      </c>
    </row>
    <row r="153" spans="1:11">
      <c r="A153" t="s">
        <v>7089</v>
      </c>
      <c r="B153" t="s">
        <v>1055</v>
      </c>
      <c r="C153" t="s">
        <v>6938</v>
      </c>
      <c r="D153" s="1">
        <v>45416</v>
      </c>
      <c r="E153" s="1">
        <v>45419</v>
      </c>
      <c r="F153" s="1"/>
      <c r="G153">
        <v>30.88</v>
      </c>
      <c r="H1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53" t="str">
        <f>IFERROR(INDEX(Raw_orders!G:G, MATCH(shipments[[#This Row],[order_id]],Raw_orders!A:A, 0)), "Unknown")</f>
        <v>Central Europe</v>
      </c>
      <c r="J153" t="str">
        <f>PROPER(shipments[[#This Row],[delivery_status]])</f>
        <v>In Transit</v>
      </c>
      <c r="K153" t="s">
        <v>6977</v>
      </c>
    </row>
    <row r="154" spans="1:11">
      <c r="A154" t="s">
        <v>7090</v>
      </c>
      <c r="B154" t="s">
        <v>1056</v>
      </c>
      <c r="C154" t="s">
        <v>6940</v>
      </c>
      <c r="D154" s="1">
        <v>45533</v>
      </c>
      <c r="E154" s="1">
        <v>45535</v>
      </c>
      <c r="F154" s="1">
        <v>45537</v>
      </c>
      <c r="G154">
        <v>15.45</v>
      </c>
      <c r="H1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4" t="str">
        <f>IFERROR(INDEX(Raw_orders!G:G, MATCH(shipments[[#This Row],[order_id]],Raw_orders!A:A, 0)), "Unknown")</f>
        <v>Central Europe</v>
      </c>
      <c r="J154" t="str">
        <f>PROPER(shipments[[#This Row],[delivery_status]])</f>
        <v>Delivered</v>
      </c>
      <c r="K154" t="s">
        <v>6922</v>
      </c>
    </row>
    <row r="155" spans="1:11">
      <c r="A155" t="s">
        <v>7091</v>
      </c>
      <c r="B155" t="s">
        <v>1057</v>
      </c>
      <c r="C155" t="s">
        <v>6938</v>
      </c>
      <c r="D155" s="1">
        <v>45025</v>
      </c>
      <c r="E155" s="1">
        <v>45030</v>
      </c>
      <c r="F155" s="1">
        <v>45032</v>
      </c>
      <c r="G155">
        <v>58.6</v>
      </c>
      <c r="H1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5" t="str">
        <f>IFERROR(INDEX(Raw_orders!G:G, MATCH(shipments[[#This Row],[order_id]],Raw_orders!A:A, 0)), "Unknown")</f>
        <v>Central Europe</v>
      </c>
      <c r="J155" t="str">
        <f>PROPER(shipments[[#This Row],[delivery_status]])</f>
        <v>Delivered</v>
      </c>
      <c r="K155" t="s">
        <v>6922</v>
      </c>
    </row>
    <row r="156" spans="1:11">
      <c r="A156" t="s">
        <v>7092</v>
      </c>
      <c r="B156" t="s">
        <v>1058</v>
      </c>
      <c r="C156" t="s">
        <v>6940</v>
      </c>
      <c r="D156" s="1">
        <v>45380</v>
      </c>
      <c r="E156" s="1">
        <v>45385</v>
      </c>
      <c r="F156" s="1">
        <v>45388</v>
      </c>
      <c r="G156">
        <v>15.89</v>
      </c>
      <c r="H1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6" t="str">
        <f>IFERROR(INDEX(Raw_orders!G:G, MATCH(shipments[[#This Row],[order_id]],Raw_orders!A:A, 0)), "Unknown")</f>
        <v>Nordics</v>
      </c>
      <c r="J156" t="str">
        <f>PROPER(shipments[[#This Row],[delivery_status]])</f>
        <v>Delivered</v>
      </c>
      <c r="K156" t="s">
        <v>6922</v>
      </c>
    </row>
    <row r="157" spans="1:11">
      <c r="A157" t="s">
        <v>7093</v>
      </c>
      <c r="B157" t="s">
        <v>1059</v>
      </c>
      <c r="C157" t="s">
        <v>6940</v>
      </c>
      <c r="D157" s="1">
        <v>45259</v>
      </c>
      <c r="E157" s="1">
        <v>45269</v>
      </c>
      <c r="F157" s="1">
        <v>45272</v>
      </c>
      <c r="G157">
        <v>37.44</v>
      </c>
      <c r="H1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7" t="str">
        <f>IFERROR(INDEX(Raw_orders!G:G, MATCH(shipments[[#This Row],[order_id]],Raw_orders!A:A, 0)), "Unknown")</f>
        <v>Nordics</v>
      </c>
      <c r="J157" t="str">
        <f>PROPER(shipments[[#This Row],[delivery_status]])</f>
        <v>Delivered</v>
      </c>
      <c r="K157" t="s">
        <v>6929</v>
      </c>
    </row>
    <row r="158" spans="1:11">
      <c r="A158" t="s">
        <v>7094</v>
      </c>
      <c r="B158" t="s">
        <v>1060</v>
      </c>
      <c r="C158" t="s">
        <v>6921</v>
      </c>
      <c r="D158" s="1">
        <v>45020</v>
      </c>
      <c r="E158" s="1">
        <v>45027</v>
      </c>
      <c r="F158" s="1">
        <v>45032</v>
      </c>
      <c r="G158">
        <v>8.32</v>
      </c>
      <c r="H1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8" t="str">
        <f>IFERROR(INDEX(Raw_orders!G:G, MATCH(shipments[[#This Row],[order_id]],Raw_orders!A:A, 0)), "Unknown")</f>
        <v>Baltics</v>
      </c>
      <c r="J158" t="str">
        <f>PROPER(shipments[[#This Row],[delivery_status]])</f>
        <v>Delivered</v>
      </c>
      <c r="K158" t="s">
        <v>6926</v>
      </c>
    </row>
    <row r="159" spans="1:11">
      <c r="A159" t="s">
        <v>7095</v>
      </c>
      <c r="B159" t="s">
        <v>1061</v>
      </c>
      <c r="C159" t="s">
        <v>6931</v>
      </c>
      <c r="D159" s="1">
        <v>45186</v>
      </c>
      <c r="E159" s="1">
        <v>45196</v>
      </c>
      <c r="F159" s="1">
        <v>45210</v>
      </c>
      <c r="G159">
        <v>41.42</v>
      </c>
      <c r="H1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9" t="str">
        <f>IFERROR(INDEX(Raw_orders!G:G, MATCH(shipments[[#This Row],[order_id]],Raw_orders!A:A, 0)), "Unknown")</f>
        <v>Nordics</v>
      </c>
      <c r="J159" t="str">
        <f>PROPER(shipments[[#This Row],[delivery_status]])</f>
        <v>Delivered</v>
      </c>
      <c r="K159" t="s">
        <v>6926</v>
      </c>
    </row>
    <row r="160" spans="1:11">
      <c r="A160" t="s">
        <v>7096</v>
      </c>
      <c r="B160" t="s">
        <v>1062</v>
      </c>
      <c r="C160" t="s">
        <v>6938</v>
      </c>
      <c r="D160" s="1">
        <v>45579</v>
      </c>
      <c r="E160" s="1">
        <v>45584</v>
      </c>
      <c r="F160" s="1">
        <v>45586</v>
      </c>
      <c r="G160">
        <v>43.36</v>
      </c>
      <c r="H1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0" t="str">
        <f>IFERROR(INDEX(Raw_orders!G:G, MATCH(shipments[[#This Row],[order_id]],Raw_orders!A:A, 0)), "Unknown")</f>
        <v>Nordics</v>
      </c>
      <c r="J160" t="str">
        <f>PROPER(shipments[[#This Row],[delivery_status]])</f>
        <v>Delivered</v>
      </c>
      <c r="K160" t="s">
        <v>6929</v>
      </c>
    </row>
    <row r="161" spans="1:11">
      <c r="A161" t="s">
        <v>7097</v>
      </c>
      <c r="B161" t="s">
        <v>1063</v>
      </c>
      <c r="C161" t="s">
        <v>6935</v>
      </c>
      <c r="D161" s="1">
        <v>45439</v>
      </c>
      <c r="E161" s="1">
        <v>45444</v>
      </c>
      <c r="F161" s="1">
        <v>45444</v>
      </c>
      <c r="G161">
        <v>52.72</v>
      </c>
      <c r="H1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1" t="str">
        <f>IFERROR(INDEX(Raw_orders!G:G, MATCH(shipments[[#This Row],[order_id]],Raw_orders!A:A, 0)), "Unknown")</f>
        <v>Nordics</v>
      </c>
      <c r="J161" t="str">
        <f>PROPER(shipments[[#This Row],[delivery_status]])</f>
        <v>Delivered</v>
      </c>
      <c r="K161" t="s">
        <v>6929</v>
      </c>
    </row>
    <row r="162" spans="1:11">
      <c r="A162" t="s">
        <v>7098</v>
      </c>
      <c r="B162" t="s">
        <v>1064</v>
      </c>
      <c r="C162" t="s">
        <v>6925</v>
      </c>
      <c r="D162" s="1">
        <v>45419</v>
      </c>
      <c r="E162" s="1">
        <v>45421</v>
      </c>
      <c r="F162" s="1">
        <v>45429</v>
      </c>
      <c r="G162">
        <v>53.95</v>
      </c>
      <c r="H1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2" t="str">
        <f>IFERROR(INDEX(Raw_orders!G:G, MATCH(shipments[[#This Row],[order_id]],Raw_orders!A:A, 0)), "Unknown")</f>
        <v>Baltics</v>
      </c>
      <c r="J162" t="str">
        <f>PROPER(shipments[[#This Row],[delivery_status]])</f>
        <v>Delivered</v>
      </c>
      <c r="K162" t="s">
        <v>6922</v>
      </c>
    </row>
    <row r="163" spans="1:11">
      <c r="A163" t="s">
        <v>7099</v>
      </c>
      <c r="B163" t="s">
        <v>1065</v>
      </c>
      <c r="C163" t="s">
        <v>6935</v>
      </c>
      <c r="D163" s="1">
        <v>45430</v>
      </c>
      <c r="E163" s="1">
        <v>45432</v>
      </c>
      <c r="F163" s="1">
        <v>45434</v>
      </c>
      <c r="G163">
        <v>43.24</v>
      </c>
      <c r="H1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3" t="str">
        <f>IFERROR(INDEX(Raw_orders!G:G, MATCH(shipments[[#This Row],[order_id]],Raw_orders!A:A, 0)), "Unknown")</f>
        <v>Nordics</v>
      </c>
      <c r="J163" t="str">
        <f>PROPER(shipments[[#This Row],[delivery_status]])</f>
        <v>Delivered</v>
      </c>
      <c r="K163" t="s">
        <v>6922</v>
      </c>
    </row>
    <row r="164" spans="1:11">
      <c r="A164" t="s">
        <v>7100</v>
      </c>
      <c r="B164" t="s">
        <v>1066</v>
      </c>
      <c r="C164" t="s">
        <v>6940</v>
      </c>
      <c r="D164" s="1">
        <v>45491</v>
      </c>
      <c r="E164" s="1">
        <v>45493</v>
      </c>
      <c r="F164" s="1">
        <v>45493</v>
      </c>
      <c r="G164">
        <v>42.85</v>
      </c>
      <c r="H1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4" t="str">
        <f>IFERROR(INDEX(Raw_orders!G:G, MATCH(shipments[[#This Row],[order_id]],Raw_orders!A:A, 0)), "Unknown")</f>
        <v>Central Europe</v>
      </c>
      <c r="J164" t="str">
        <f>PROPER(shipments[[#This Row],[delivery_status]])</f>
        <v>Delivered</v>
      </c>
      <c r="K164" t="s">
        <v>6922</v>
      </c>
    </row>
    <row r="165" spans="1:11">
      <c r="A165" t="s">
        <v>7101</v>
      </c>
      <c r="B165" t="s">
        <v>1067</v>
      </c>
      <c r="C165" t="s">
        <v>6921</v>
      </c>
      <c r="D165" s="1">
        <v>45311</v>
      </c>
      <c r="E165" s="1">
        <v>45314</v>
      </c>
      <c r="F165" s="1">
        <v>45316</v>
      </c>
      <c r="G165">
        <v>47.6</v>
      </c>
      <c r="H1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5" t="str">
        <f>IFERROR(INDEX(Raw_orders!G:G, MATCH(shipments[[#This Row],[order_id]],Raw_orders!A:A, 0)), "Unknown")</f>
        <v>Central Europe</v>
      </c>
      <c r="J165" t="str">
        <f>PROPER(shipments[[#This Row],[delivery_status]])</f>
        <v>Delivered</v>
      </c>
      <c r="K165" t="s">
        <v>6926</v>
      </c>
    </row>
    <row r="166" spans="1:11">
      <c r="A166" t="s">
        <v>7102</v>
      </c>
      <c r="B166" t="s">
        <v>1068</v>
      </c>
      <c r="C166" t="s">
        <v>6928</v>
      </c>
      <c r="D166" s="1">
        <v>45177</v>
      </c>
      <c r="E166" s="1">
        <v>45182</v>
      </c>
      <c r="F166" s="1">
        <v>45182</v>
      </c>
      <c r="G166">
        <v>42.33</v>
      </c>
      <c r="H1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6" t="str">
        <f>IFERROR(INDEX(Raw_orders!G:G, MATCH(shipments[[#This Row],[order_id]],Raw_orders!A:A, 0)), "Unknown")</f>
        <v>Central Europe</v>
      </c>
      <c r="J166" t="str">
        <f>PROPER(shipments[[#This Row],[delivery_status]])</f>
        <v>Delivered</v>
      </c>
      <c r="K166" t="s">
        <v>6922</v>
      </c>
    </row>
    <row r="167" spans="1:11">
      <c r="A167" t="s">
        <v>7103</v>
      </c>
      <c r="B167" t="s">
        <v>1069</v>
      </c>
      <c r="C167" t="s">
        <v>6931</v>
      </c>
      <c r="D167" s="1">
        <v>45567</v>
      </c>
      <c r="E167" s="1">
        <v>45570</v>
      </c>
      <c r="F167" s="1">
        <v>45570</v>
      </c>
      <c r="G167">
        <v>12.99</v>
      </c>
      <c r="H1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7" t="str">
        <f>IFERROR(INDEX(Raw_orders!G:G, MATCH(shipments[[#This Row],[order_id]],Raw_orders!A:A, 0)), "Unknown")</f>
        <v>Baltics</v>
      </c>
      <c r="J167" t="str">
        <f>PROPER(shipments[[#This Row],[delivery_status]])</f>
        <v>Delivered</v>
      </c>
      <c r="K167" t="s">
        <v>6926</v>
      </c>
    </row>
    <row r="168" spans="1:11">
      <c r="A168" t="s">
        <v>7104</v>
      </c>
      <c r="B168" t="s">
        <v>1070</v>
      </c>
      <c r="C168" t="s">
        <v>6938</v>
      </c>
      <c r="D168" s="1">
        <v>45429</v>
      </c>
      <c r="E168" s="1">
        <v>45432</v>
      </c>
      <c r="F168" s="1">
        <v>45432</v>
      </c>
      <c r="G168">
        <v>36.6</v>
      </c>
      <c r="H1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8" t="str">
        <f>IFERROR(INDEX(Raw_orders!G:G, MATCH(shipments[[#This Row],[order_id]],Raw_orders!A:A, 0)), "Unknown")</f>
        <v>Nordics</v>
      </c>
      <c r="J168" t="str">
        <f>PROPER(shipments[[#This Row],[delivery_status]])</f>
        <v>Delivered</v>
      </c>
      <c r="K168" t="s">
        <v>6922</v>
      </c>
    </row>
    <row r="169" spans="1:11">
      <c r="A169" t="s">
        <v>7105</v>
      </c>
      <c r="B169" t="s">
        <v>1071</v>
      </c>
      <c r="C169" t="s">
        <v>6928</v>
      </c>
      <c r="D169" s="1">
        <v>45251</v>
      </c>
      <c r="E169" s="1">
        <v>45256</v>
      </c>
      <c r="F169" s="1">
        <v>45255</v>
      </c>
      <c r="G169">
        <v>23.18</v>
      </c>
      <c r="H1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9" t="str">
        <f>IFERROR(INDEX(Raw_orders!G:G, MATCH(shipments[[#This Row],[order_id]],Raw_orders!A:A, 0)), "Unknown")</f>
        <v>Nordics</v>
      </c>
      <c r="J169" t="str">
        <f>PROPER(shipments[[#This Row],[delivery_status]])</f>
        <v>Delivered</v>
      </c>
      <c r="K169" t="s">
        <v>6926</v>
      </c>
    </row>
    <row r="170" spans="1:11">
      <c r="A170" t="s">
        <v>7106</v>
      </c>
      <c r="B170" t="s">
        <v>1072</v>
      </c>
      <c r="C170" t="s">
        <v>6938</v>
      </c>
      <c r="D170" s="1">
        <v>45464</v>
      </c>
      <c r="E170" s="1">
        <v>45471</v>
      </c>
      <c r="F170" s="1">
        <v>45473</v>
      </c>
      <c r="G170">
        <v>47.44</v>
      </c>
      <c r="H1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0" t="str">
        <f>IFERROR(INDEX(Raw_orders!G:G, MATCH(shipments[[#This Row],[order_id]],Raw_orders!A:A, 0)), "Unknown")</f>
        <v>Central Europe</v>
      </c>
      <c r="J170" t="str">
        <f>PROPER(shipments[[#This Row],[delivery_status]])</f>
        <v>Delivered</v>
      </c>
      <c r="K170" t="s">
        <v>6929</v>
      </c>
    </row>
    <row r="171" spans="1:11">
      <c r="A171" t="s">
        <v>7107</v>
      </c>
      <c r="B171" t="s">
        <v>1073</v>
      </c>
      <c r="C171" t="s">
        <v>6935</v>
      </c>
      <c r="D171" s="1">
        <v>45445</v>
      </c>
      <c r="E171" s="1">
        <v>45455</v>
      </c>
      <c r="F171" s="1">
        <v>45463</v>
      </c>
      <c r="G171">
        <v>59.48</v>
      </c>
      <c r="H1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1" t="str">
        <f>IFERROR(INDEX(Raw_orders!G:G, MATCH(shipments[[#This Row],[order_id]],Raw_orders!A:A, 0)), "Unknown")</f>
        <v>Central Europe</v>
      </c>
      <c r="J171" t="str">
        <f>PROPER(shipments[[#This Row],[delivery_status]])</f>
        <v>Delivered</v>
      </c>
      <c r="K171" t="s">
        <v>6922</v>
      </c>
    </row>
    <row r="172" spans="1:11">
      <c r="A172" t="s">
        <v>7108</v>
      </c>
      <c r="B172" t="s">
        <v>1074</v>
      </c>
      <c r="C172" t="s">
        <v>6921</v>
      </c>
      <c r="D172" s="1">
        <v>44994</v>
      </c>
      <c r="E172" s="1">
        <v>44997</v>
      </c>
      <c r="F172" s="1">
        <v>44997</v>
      </c>
      <c r="G172">
        <v>42.56</v>
      </c>
      <c r="H1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72" t="str">
        <f>IFERROR(INDEX(Raw_orders!G:G, MATCH(shipments[[#This Row],[order_id]],Raw_orders!A:A, 0)), "Unknown")</f>
        <v>Baltics</v>
      </c>
      <c r="J172" t="str">
        <f>PROPER(shipments[[#This Row],[delivery_status]])</f>
        <v>Delivered</v>
      </c>
      <c r="K172" t="s">
        <v>6922</v>
      </c>
    </row>
    <row r="173" spans="1:11">
      <c r="A173" t="s">
        <v>7109</v>
      </c>
      <c r="B173" t="s">
        <v>1075</v>
      </c>
      <c r="C173" t="s">
        <v>6949</v>
      </c>
      <c r="D173" s="1">
        <v>45079</v>
      </c>
      <c r="E173" s="1">
        <v>45081</v>
      </c>
      <c r="F173" s="1">
        <v>45089</v>
      </c>
      <c r="G173">
        <v>29.14</v>
      </c>
      <c r="H1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3" t="str">
        <f>IFERROR(INDEX(Raw_orders!G:G, MATCH(shipments[[#This Row],[order_id]],Raw_orders!A:A, 0)), "Unknown")</f>
        <v>Unknown</v>
      </c>
      <c r="J173" t="str">
        <f>PROPER(shipments[[#This Row],[delivery_status]])</f>
        <v>Delivered</v>
      </c>
      <c r="K173" t="s">
        <v>6929</v>
      </c>
    </row>
    <row r="174" spans="1:11">
      <c r="A174" t="s">
        <v>7110</v>
      </c>
      <c r="B174" t="s">
        <v>1076</v>
      </c>
      <c r="C174" t="s">
        <v>6921</v>
      </c>
      <c r="D174" s="1">
        <v>45338</v>
      </c>
      <c r="E174" s="1">
        <v>45343</v>
      </c>
      <c r="F174" s="1"/>
      <c r="G174">
        <v>33.81</v>
      </c>
      <c r="H1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74" t="str">
        <f>IFERROR(INDEX(Raw_orders!G:G, MATCH(shipments[[#This Row],[order_id]],Raw_orders!A:A, 0)), "Unknown")</f>
        <v>Baltics</v>
      </c>
      <c r="J174" t="str">
        <f>PROPER(shipments[[#This Row],[delivery_status]])</f>
        <v>Cancelled</v>
      </c>
      <c r="K174" t="s">
        <v>6979</v>
      </c>
    </row>
    <row r="175" spans="1:11">
      <c r="A175" t="s">
        <v>7111</v>
      </c>
      <c r="B175" t="s">
        <v>1077</v>
      </c>
      <c r="C175" t="s">
        <v>6928</v>
      </c>
      <c r="D175" s="1">
        <v>45283</v>
      </c>
      <c r="E175" s="1">
        <v>45293</v>
      </c>
      <c r="F175" s="1">
        <v>45295</v>
      </c>
      <c r="G175">
        <v>58.28</v>
      </c>
      <c r="H1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5" t="str">
        <f>IFERROR(INDEX(Raw_orders!G:G, MATCH(shipments[[#This Row],[order_id]],Raw_orders!A:A, 0)), "Unknown")</f>
        <v>Baltics</v>
      </c>
      <c r="J175" t="str">
        <f>PROPER(shipments[[#This Row],[delivery_status]])</f>
        <v>Delivered</v>
      </c>
      <c r="K175" t="s">
        <v>6922</v>
      </c>
    </row>
    <row r="176" spans="1:11">
      <c r="A176" t="s">
        <v>7112</v>
      </c>
      <c r="B176" t="s">
        <v>1078</v>
      </c>
      <c r="C176" t="s">
        <v>6928</v>
      </c>
      <c r="D176" s="1">
        <v>45511</v>
      </c>
      <c r="E176" s="1">
        <v>45514</v>
      </c>
      <c r="F176" s="1"/>
      <c r="G176">
        <v>20.83</v>
      </c>
      <c r="H1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76" t="str">
        <f>IFERROR(INDEX(Raw_orders!G:G, MATCH(shipments[[#This Row],[order_id]],Raw_orders!A:A, 0)), "Unknown")</f>
        <v>Baltics</v>
      </c>
      <c r="J176" t="str">
        <f>PROPER(shipments[[#This Row],[delivery_status]])</f>
        <v>Cancelled</v>
      </c>
      <c r="K176" t="s">
        <v>6972</v>
      </c>
    </row>
    <row r="177" spans="1:11">
      <c r="A177" t="s">
        <v>7113</v>
      </c>
      <c r="B177" t="s">
        <v>1079</v>
      </c>
      <c r="C177" t="s">
        <v>6956</v>
      </c>
      <c r="D177" s="1">
        <v>45472</v>
      </c>
      <c r="E177" s="1">
        <v>45479</v>
      </c>
      <c r="F177" s="1">
        <v>45479</v>
      </c>
      <c r="G177">
        <v>20.5</v>
      </c>
      <c r="H1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77" t="str">
        <f>IFERROR(INDEX(Raw_orders!G:G, MATCH(shipments[[#This Row],[order_id]],Raw_orders!A:A, 0)), "Unknown")</f>
        <v>Nordics</v>
      </c>
      <c r="J177" t="str">
        <f>PROPER(shipments[[#This Row],[delivery_status]])</f>
        <v>Delivered</v>
      </c>
      <c r="K177" t="s">
        <v>6926</v>
      </c>
    </row>
    <row r="178" spans="1:11">
      <c r="A178" t="s">
        <v>7114</v>
      </c>
      <c r="B178" t="s">
        <v>1080</v>
      </c>
      <c r="C178" t="s">
        <v>6921</v>
      </c>
      <c r="D178" s="1">
        <v>45289</v>
      </c>
      <c r="E178" s="1">
        <v>45294</v>
      </c>
      <c r="F178" s="1">
        <v>45302</v>
      </c>
      <c r="G178">
        <v>21.57</v>
      </c>
      <c r="H1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8" t="str">
        <f>IFERROR(INDEX(Raw_orders!G:G, MATCH(shipments[[#This Row],[order_id]],Raw_orders!A:A, 0)), "Unknown")</f>
        <v>Baltics</v>
      </c>
      <c r="J178" t="str">
        <f>PROPER(shipments[[#This Row],[delivery_status]])</f>
        <v>Delivered</v>
      </c>
      <c r="K178" t="s">
        <v>6922</v>
      </c>
    </row>
    <row r="179" spans="1:11">
      <c r="A179" t="s">
        <v>7115</v>
      </c>
      <c r="B179" t="s">
        <v>1081</v>
      </c>
      <c r="C179" t="s">
        <v>6938</v>
      </c>
      <c r="D179" s="1">
        <v>44964</v>
      </c>
      <c r="E179" s="1">
        <v>44967</v>
      </c>
      <c r="F179" s="1">
        <v>44973</v>
      </c>
      <c r="G179">
        <v>21.75</v>
      </c>
      <c r="H1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9" t="str">
        <f>IFERROR(INDEX(Raw_orders!G:G, MATCH(shipments[[#This Row],[order_id]],Raw_orders!A:A, 0)), "Unknown")</f>
        <v>Central Europe</v>
      </c>
      <c r="J179" t="str">
        <f>PROPER(shipments[[#This Row],[delivery_status]])</f>
        <v>Delivered</v>
      </c>
      <c r="K179" t="s">
        <v>6929</v>
      </c>
    </row>
    <row r="180" spans="1:11">
      <c r="A180" t="s">
        <v>7116</v>
      </c>
      <c r="B180" t="s">
        <v>1082</v>
      </c>
      <c r="C180" t="s">
        <v>6925</v>
      </c>
      <c r="D180" s="1">
        <v>45442</v>
      </c>
      <c r="E180" s="1">
        <v>45447</v>
      </c>
      <c r="F180" s="1">
        <v>45447</v>
      </c>
      <c r="G180">
        <v>61.9</v>
      </c>
      <c r="H1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0" t="str">
        <f>IFERROR(INDEX(Raw_orders!G:G, MATCH(shipments[[#This Row],[order_id]],Raw_orders!A:A, 0)), "Unknown")</f>
        <v>Central Europe</v>
      </c>
      <c r="J180" t="str">
        <f>PROPER(shipments[[#This Row],[delivery_status]])</f>
        <v>Delivered</v>
      </c>
      <c r="K180" t="s">
        <v>6929</v>
      </c>
    </row>
    <row r="181" spans="1:11">
      <c r="A181" t="s">
        <v>7117</v>
      </c>
      <c r="B181" t="s">
        <v>1083</v>
      </c>
      <c r="C181" t="s">
        <v>6921</v>
      </c>
      <c r="D181" s="1">
        <v>44957</v>
      </c>
      <c r="E181" s="1">
        <v>44964</v>
      </c>
      <c r="F181" s="1">
        <v>44972</v>
      </c>
      <c r="G181">
        <v>53.2</v>
      </c>
      <c r="H1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1" t="str">
        <f>IFERROR(INDEX(Raw_orders!G:G, MATCH(shipments[[#This Row],[order_id]],Raw_orders!A:A, 0)), "Unknown")</f>
        <v>Central Europe</v>
      </c>
      <c r="J181" t="str">
        <f>PROPER(shipments[[#This Row],[delivery_status]])</f>
        <v>Delivered</v>
      </c>
      <c r="K181" t="s">
        <v>6929</v>
      </c>
    </row>
    <row r="182" spans="1:11">
      <c r="A182" t="s">
        <v>7118</v>
      </c>
      <c r="B182" t="s">
        <v>1084</v>
      </c>
      <c r="C182" t="s">
        <v>6921</v>
      </c>
      <c r="D182" s="1">
        <v>45170</v>
      </c>
      <c r="E182" s="1">
        <v>45175</v>
      </c>
      <c r="F182" s="1">
        <v>45175</v>
      </c>
      <c r="G182">
        <v>31.04</v>
      </c>
      <c r="H1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2" t="str">
        <f>IFERROR(INDEX(Raw_orders!G:G, MATCH(shipments[[#This Row],[order_id]],Raw_orders!A:A, 0)), "Unknown")</f>
        <v>Nordics</v>
      </c>
      <c r="J182" t="str">
        <f>PROPER(shipments[[#This Row],[delivery_status]])</f>
        <v>Delivered</v>
      </c>
      <c r="K182" t="s">
        <v>6922</v>
      </c>
    </row>
    <row r="183" spans="1:11">
      <c r="A183" t="s">
        <v>7119</v>
      </c>
      <c r="B183" t="s">
        <v>1085</v>
      </c>
      <c r="C183" t="s">
        <v>6921</v>
      </c>
      <c r="D183" s="1">
        <v>45540</v>
      </c>
      <c r="E183" s="1">
        <v>45542</v>
      </c>
      <c r="F183" s="1">
        <v>45545</v>
      </c>
      <c r="G183">
        <v>24.96</v>
      </c>
      <c r="H1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3" t="str">
        <f>IFERROR(INDEX(Raw_orders!G:G, MATCH(shipments[[#This Row],[order_id]],Raw_orders!A:A, 0)), "Unknown")</f>
        <v>Baltics</v>
      </c>
      <c r="J183" t="str">
        <f>PROPER(shipments[[#This Row],[delivery_status]])</f>
        <v>Delivered</v>
      </c>
      <c r="K183" t="s">
        <v>6922</v>
      </c>
    </row>
    <row r="184" spans="1:11">
      <c r="A184" t="s">
        <v>7120</v>
      </c>
      <c r="B184" t="s">
        <v>1086</v>
      </c>
      <c r="C184" t="s">
        <v>6935</v>
      </c>
      <c r="D184" s="1">
        <v>45480</v>
      </c>
      <c r="E184" s="1">
        <v>45485</v>
      </c>
      <c r="F184" s="1">
        <v>45490</v>
      </c>
      <c r="G184">
        <v>32.53</v>
      </c>
      <c r="H1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4" t="str">
        <f>IFERROR(INDEX(Raw_orders!G:G, MATCH(shipments[[#This Row],[order_id]],Raw_orders!A:A, 0)), "Unknown")</f>
        <v>Nordics</v>
      </c>
      <c r="J184" t="str">
        <f>PROPER(shipments[[#This Row],[delivery_status]])</f>
        <v>Delivered</v>
      </c>
      <c r="K184" t="s">
        <v>6926</v>
      </c>
    </row>
    <row r="185" spans="1:11">
      <c r="A185" t="s">
        <v>7121</v>
      </c>
      <c r="B185" t="s">
        <v>1087</v>
      </c>
      <c r="C185" t="s">
        <v>6931</v>
      </c>
      <c r="D185" s="1">
        <v>45000</v>
      </c>
      <c r="E185" s="1">
        <v>45002</v>
      </c>
      <c r="F185" s="1">
        <v>45002</v>
      </c>
      <c r="G185">
        <v>53.88</v>
      </c>
      <c r="H1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5" t="str">
        <f>IFERROR(INDEX(Raw_orders!G:G, MATCH(shipments[[#This Row],[order_id]],Raw_orders!A:A, 0)), "Unknown")</f>
        <v>Central Europe</v>
      </c>
      <c r="J185" t="str">
        <f>PROPER(shipments[[#This Row],[delivery_status]])</f>
        <v>Delivered</v>
      </c>
      <c r="K185" t="s">
        <v>6929</v>
      </c>
    </row>
    <row r="186" spans="1:11">
      <c r="A186" t="s">
        <v>7122</v>
      </c>
      <c r="B186" t="s">
        <v>1088</v>
      </c>
      <c r="C186" t="s">
        <v>6956</v>
      </c>
      <c r="D186" s="1">
        <v>44983</v>
      </c>
      <c r="E186" s="1">
        <v>44993</v>
      </c>
      <c r="F186" s="1">
        <v>44993</v>
      </c>
      <c r="G186">
        <v>34.61</v>
      </c>
      <c r="H1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6" t="str">
        <f>IFERROR(INDEX(Raw_orders!G:G, MATCH(shipments[[#This Row],[order_id]],Raw_orders!A:A, 0)), "Unknown")</f>
        <v>Central Europe</v>
      </c>
      <c r="J186" t="str">
        <f>PROPER(shipments[[#This Row],[delivery_status]])</f>
        <v>Delivered</v>
      </c>
      <c r="K186" t="s">
        <v>6929</v>
      </c>
    </row>
    <row r="187" spans="1:11">
      <c r="A187" t="s">
        <v>7123</v>
      </c>
      <c r="B187" t="s">
        <v>1088</v>
      </c>
      <c r="C187" t="s">
        <v>6928</v>
      </c>
      <c r="D187" s="1">
        <v>44985</v>
      </c>
      <c r="E187" s="1">
        <v>44992</v>
      </c>
      <c r="F187" s="1">
        <v>44992</v>
      </c>
      <c r="G187">
        <v>27.77</v>
      </c>
      <c r="H1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7" t="str">
        <f>IFERROR(INDEX(Raw_orders!G:G, MATCH(shipments[[#This Row],[order_id]],Raw_orders!A:A, 0)), "Unknown")</f>
        <v>Central Europe</v>
      </c>
      <c r="J187" t="str">
        <f>PROPER(shipments[[#This Row],[delivery_status]])</f>
        <v>Delivered</v>
      </c>
      <c r="K187" t="s">
        <v>6926</v>
      </c>
    </row>
    <row r="188" spans="1:11">
      <c r="A188" t="s">
        <v>7124</v>
      </c>
      <c r="B188" t="s">
        <v>1089</v>
      </c>
      <c r="C188" t="s">
        <v>6956</v>
      </c>
      <c r="D188" s="1">
        <v>44978</v>
      </c>
      <c r="E188" s="1">
        <v>44980</v>
      </c>
      <c r="F188" s="1">
        <v>44985</v>
      </c>
      <c r="G188">
        <v>23.41</v>
      </c>
      <c r="H1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8" t="str">
        <f>IFERROR(INDEX(Raw_orders!G:G, MATCH(shipments[[#This Row],[order_id]],Raw_orders!A:A, 0)), "Unknown")</f>
        <v>Nordics</v>
      </c>
      <c r="J188" t="str">
        <f>PROPER(shipments[[#This Row],[delivery_status]])</f>
        <v>Delivered</v>
      </c>
      <c r="K188" t="s">
        <v>6922</v>
      </c>
    </row>
    <row r="189" spans="1:11">
      <c r="A189" t="s">
        <v>7125</v>
      </c>
      <c r="B189" t="s">
        <v>1090</v>
      </c>
      <c r="C189" t="s">
        <v>6921</v>
      </c>
      <c r="D189" s="1">
        <v>45408</v>
      </c>
      <c r="E189" s="1">
        <v>45410</v>
      </c>
      <c r="F189" s="1">
        <v>45409</v>
      </c>
      <c r="G189">
        <v>28.66</v>
      </c>
      <c r="H1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9" t="str">
        <f>IFERROR(INDEX(Raw_orders!G:G, MATCH(shipments[[#This Row],[order_id]],Raw_orders!A:A, 0)), "Unknown")</f>
        <v>Central Europe</v>
      </c>
      <c r="J189" t="str">
        <f>PROPER(shipments[[#This Row],[delivery_status]])</f>
        <v>Delivered</v>
      </c>
      <c r="K189" t="s">
        <v>6926</v>
      </c>
    </row>
    <row r="190" spans="1:11">
      <c r="A190" t="s">
        <v>7126</v>
      </c>
      <c r="B190" t="s">
        <v>1091</v>
      </c>
      <c r="C190" t="s">
        <v>6935</v>
      </c>
      <c r="D190" s="1">
        <v>45194</v>
      </c>
      <c r="E190" s="1">
        <v>45196</v>
      </c>
      <c r="F190" s="1">
        <v>45195</v>
      </c>
      <c r="G190">
        <v>60.99</v>
      </c>
      <c r="H1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90" t="str">
        <f>IFERROR(INDEX(Raw_orders!G:G, MATCH(shipments[[#This Row],[order_id]],Raw_orders!A:A, 0)), "Unknown")</f>
        <v>Baltics</v>
      </c>
      <c r="J190" t="str">
        <f>PROPER(shipments[[#This Row],[delivery_status]])</f>
        <v>Delivered</v>
      </c>
      <c r="K190" t="s">
        <v>6929</v>
      </c>
    </row>
    <row r="191" spans="1:11">
      <c r="A191" t="s">
        <v>7127</v>
      </c>
      <c r="B191" t="s">
        <v>1092</v>
      </c>
      <c r="C191" t="s">
        <v>6940</v>
      </c>
      <c r="D191" s="1">
        <v>45151</v>
      </c>
      <c r="E191" s="1">
        <v>45156</v>
      </c>
      <c r="F191" s="1">
        <v>45157</v>
      </c>
      <c r="G191">
        <v>6.87</v>
      </c>
      <c r="H1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1" t="str">
        <f>IFERROR(INDEX(Raw_orders!G:G, MATCH(shipments[[#This Row],[order_id]],Raw_orders!A:A, 0)), "Unknown")</f>
        <v>Central Europe</v>
      </c>
      <c r="J191" t="str">
        <f>PROPER(shipments[[#This Row],[delivery_status]])</f>
        <v>Delivered</v>
      </c>
      <c r="K191" t="s">
        <v>6926</v>
      </c>
    </row>
    <row r="192" spans="1:11">
      <c r="A192" t="s">
        <v>7128</v>
      </c>
      <c r="B192" t="s">
        <v>1093</v>
      </c>
      <c r="C192" t="s">
        <v>6940</v>
      </c>
      <c r="D192" s="1">
        <v>45044</v>
      </c>
      <c r="E192" s="1">
        <v>45054</v>
      </c>
      <c r="F192" s="1">
        <v>45054</v>
      </c>
      <c r="G192">
        <v>61.39</v>
      </c>
      <c r="H1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92" t="str">
        <f>IFERROR(INDEX(Raw_orders!G:G, MATCH(shipments[[#This Row],[order_id]],Raw_orders!A:A, 0)), "Unknown")</f>
        <v>Baltics</v>
      </c>
      <c r="J192" t="str">
        <f>PROPER(shipments[[#This Row],[delivery_status]])</f>
        <v>Delivered</v>
      </c>
      <c r="K192" t="s">
        <v>6929</v>
      </c>
    </row>
    <row r="193" spans="1:11">
      <c r="A193" t="s">
        <v>7129</v>
      </c>
      <c r="B193" t="s">
        <v>1094</v>
      </c>
      <c r="C193" t="s">
        <v>6956</v>
      </c>
      <c r="D193" s="1">
        <v>45054</v>
      </c>
      <c r="E193" s="1">
        <v>45061</v>
      </c>
      <c r="F193" s="1">
        <v>45061</v>
      </c>
      <c r="G193">
        <v>54.48</v>
      </c>
      <c r="H1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93" t="str">
        <f>IFERROR(INDEX(Raw_orders!G:G, MATCH(shipments[[#This Row],[order_id]],Raw_orders!A:A, 0)), "Unknown")</f>
        <v>Baltics</v>
      </c>
      <c r="J193" t="str">
        <f>PROPER(shipments[[#This Row],[delivery_status]])</f>
        <v>Delivered</v>
      </c>
      <c r="K193" t="s">
        <v>6929</v>
      </c>
    </row>
    <row r="194" spans="1:11">
      <c r="A194" t="s">
        <v>7130</v>
      </c>
      <c r="B194" t="s">
        <v>1095</v>
      </c>
      <c r="C194" t="s">
        <v>6925</v>
      </c>
      <c r="D194" s="1">
        <v>45016</v>
      </c>
      <c r="E194" s="1">
        <v>45023</v>
      </c>
      <c r="F194" s="1">
        <v>45023</v>
      </c>
      <c r="G194">
        <v>17.09</v>
      </c>
      <c r="H1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94" t="str">
        <f>IFERROR(INDEX(Raw_orders!G:G, MATCH(shipments[[#This Row],[order_id]],Raw_orders!A:A, 0)), "Unknown")</f>
        <v>Nordics</v>
      </c>
      <c r="J194" t="str">
        <f>PROPER(shipments[[#This Row],[delivery_status]])</f>
        <v>Delivered</v>
      </c>
      <c r="K194" t="s">
        <v>6922</v>
      </c>
    </row>
    <row r="195" spans="1:11">
      <c r="A195" t="s">
        <v>7131</v>
      </c>
      <c r="B195" t="s">
        <v>1096</v>
      </c>
      <c r="C195" t="s">
        <v>6940</v>
      </c>
      <c r="D195" s="1">
        <v>45425</v>
      </c>
      <c r="E195" s="1">
        <v>45427</v>
      </c>
      <c r="F195" s="1">
        <v>45432</v>
      </c>
      <c r="G195">
        <v>32.64</v>
      </c>
      <c r="H1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5" t="str">
        <f>IFERROR(INDEX(Raw_orders!G:G, MATCH(shipments[[#This Row],[order_id]],Raw_orders!A:A, 0)), "Unknown")</f>
        <v>Nordics</v>
      </c>
      <c r="J195" t="str">
        <f>PROPER(shipments[[#This Row],[delivery_status]])</f>
        <v>Delivered</v>
      </c>
      <c r="K195" t="s">
        <v>6922</v>
      </c>
    </row>
    <row r="196" spans="1:11">
      <c r="A196" t="s">
        <v>7132</v>
      </c>
      <c r="B196" t="s">
        <v>1097</v>
      </c>
      <c r="C196" t="s">
        <v>6956</v>
      </c>
      <c r="D196" s="1">
        <v>45625</v>
      </c>
      <c r="E196" s="1">
        <v>45627</v>
      </c>
      <c r="F196" s="1"/>
      <c r="G196">
        <v>46.06</v>
      </c>
      <c r="H1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96" t="str">
        <f>IFERROR(INDEX(Raw_orders!G:G, MATCH(shipments[[#This Row],[order_id]],Raw_orders!A:A, 0)), "Unknown")</f>
        <v>Central Europe</v>
      </c>
      <c r="J196" t="str">
        <f>PROPER(shipments[[#This Row],[delivery_status]])</f>
        <v>Cancelled</v>
      </c>
      <c r="K196" t="s">
        <v>6972</v>
      </c>
    </row>
    <row r="197" spans="1:11">
      <c r="A197" t="s">
        <v>7133</v>
      </c>
      <c r="B197" t="s">
        <v>1097</v>
      </c>
      <c r="C197" t="s">
        <v>6925</v>
      </c>
      <c r="D197" s="1">
        <v>45626</v>
      </c>
      <c r="E197" s="1">
        <v>45628</v>
      </c>
      <c r="F197" s="1">
        <v>45630</v>
      </c>
      <c r="G197">
        <v>46.63</v>
      </c>
      <c r="H1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7" t="str">
        <f>IFERROR(INDEX(Raw_orders!G:G, MATCH(shipments[[#This Row],[order_id]],Raw_orders!A:A, 0)), "Unknown")</f>
        <v>Central Europe</v>
      </c>
      <c r="J197" t="str">
        <f>PROPER(shipments[[#This Row],[delivery_status]])</f>
        <v>Delivered</v>
      </c>
      <c r="K197" t="s">
        <v>6929</v>
      </c>
    </row>
    <row r="198" spans="1:11">
      <c r="A198" t="s">
        <v>7134</v>
      </c>
      <c r="B198" t="s">
        <v>1098</v>
      </c>
      <c r="C198" t="s">
        <v>6938</v>
      </c>
      <c r="D198" s="1">
        <v>45473</v>
      </c>
      <c r="E198" s="1">
        <v>45483</v>
      </c>
      <c r="F198" s="1">
        <v>45485</v>
      </c>
      <c r="G198">
        <v>38.64</v>
      </c>
      <c r="H1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8" t="str">
        <f>IFERROR(INDEX(Raw_orders!G:G, MATCH(shipments[[#This Row],[order_id]],Raw_orders!A:A, 0)), "Unknown")</f>
        <v>Central Europe</v>
      </c>
      <c r="J198" t="str">
        <f>PROPER(shipments[[#This Row],[delivery_status]])</f>
        <v>Delivered</v>
      </c>
      <c r="K198" t="s">
        <v>6926</v>
      </c>
    </row>
    <row r="199" spans="1:11">
      <c r="A199" t="s">
        <v>7135</v>
      </c>
      <c r="B199" t="s">
        <v>1099</v>
      </c>
      <c r="C199" t="s">
        <v>6921</v>
      </c>
      <c r="D199" s="1">
        <v>45546</v>
      </c>
      <c r="E199" s="1">
        <v>45551</v>
      </c>
      <c r="F199" s="1">
        <v>45559</v>
      </c>
      <c r="G199">
        <v>46.7</v>
      </c>
      <c r="H1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9" t="str">
        <f>IFERROR(INDEX(Raw_orders!G:G, MATCH(shipments[[#This Row],[order_id]],Raw_orders!A:A, 0)), "Unknown")</f>
        <v>Central Europe</v>
      </c>
      <c r="J199" t="str">
        <f>PROPER(shipments[[#This Row],[delivery_status]])</f>
        <v>Delivered</v>
      </c>
      <c r="K199" t="s">
        <v>6922</v>
      </c>
    </row>
    <row r="200" spans="1:11">
      <c r="A200" t="s">
        <v>7136</v>
      </c>
      <c r="B200" t="s">
        <v>1100</v>
      </c>
      <c r="C200" t="s">
        <v>6956</v>
      </c>
      <c r="D200" s="1">
        <v>45505</v>
      </c>
      <c r="E200" s="1">
        <v>45512</v>
      </c>
      <c r="F200" s="1">
        <v>45524</v>
      </c>
      <c r="G200">
        <v>40.340000000000003</v>
      </c>
      <c r="H2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0" t="str">
        <f>IFERROR(INDEX(Raw_orders!G:G, MATCH(shipments[[#This Row],[order_id]],Raw_orders!A:A, 0)), "Unknown")</f>
        <v>Nordics</v>
      </c>
      <c r="J200" t="str">
        <f>PROPER(shipments[[#This Row],[delivery_status]])</f>
        <v>Delivered</v>
      </c>
      <c r="K200" t="s">
        <v>6926</v>
      </c>
    </row>
    <row r="201" spans="1:11">
      <c r="A201" t="s">
        <v>7137</v>
      </c>
      <c r="B201" t="s">
        <v>1101</v>
      </c>
      <c r="C201" t="s">
        <v>6938</v>
      </c>
      <c r="D201" s="1">
        <v>45510</v>
      </c>
      <c r="E201" s="1">
        <v>45513</v>
      </c>
      <c r="F201" s="1">
        <v>45514</v>
      </c>
      <c r="G201">
        <v>17.45</v>
      </c>
      <c r="H2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1" t="str">
        <f>IFERROR(INDEX(Raw_orders!G:G, MATCH(shipments[[#This Row],[order_id]],Raw_orders!A:A, 0)), "Unknown")</f>
        <v>Nordics</v>
      </c>
      <c r="J201" t="str">
        <f>PROPER(shipments[[#This Row],[delivery_status]])</f>
        <v>Delivered</v>
      </c>
      <c r="K201" t="s">
        <v>6929</v>
      </c>
    </row>
    <row r="202" spans="1:11">
      <c r="A202" t="s">
        <v>7138</v>
      </c>
      <c r="B202" t="s">
        <v>1101</v>
      </c>
      <c r="C202" t="s">
        <v>6925</v>
      </c>
      <c r="D202" s="1">
        <v>45512</v>
      </c>
      <c r="E202" s="1">
        <v>45517</v>
      </c>
      <c r="F202" s="1"/>
      <c r="G202">
        <v>61.6</v>
      </c>
      <c r="H2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02" t="str">
        <f>IFERROR(INDEX(Raw_orders!G:G, MATCH(shipments[[#This Row],[order_id]],Raw_orders!A:A, 0)), "Unknown")</f>
        <v>Nordics</v>
      </c>
      <c r="J202" t="str">
        <f>PROPER(shipments[[#This Row],[delivery_status]])</f>
        <v>Cancelled</v>
      </c>
      <c r="K202" t="s">
        <v>6963</v>
      </c>
    </row>
    <row r="203" spans="1:11">
      <c r="A203" t="s">
        <v>7139</v>
      </c>
      <c r="B203" t="s">
        <v>1102</v>
      </c>
      <c r="C203" t="s">
        <v>6956</v>
      </c>
      <c r="D203" s="1">
        <v>45550</v>
      </c>
      <c r="E203" s="1">
        <v>45555</v>
      </c>
      <c r="F203" s="1">
        <v>45555</v>
      </c>
      <c r="G203">
        <v>61.25</v>
      </c>
      <c r="H2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03" t="str">
        <f>IFERROR(INDEX(Raw_orders!G:G, MATCH(shipments[[#This Row],[order_id]],Raw_orders!A:A, 0)), "Unknown")</f>
        <v>Baltics</v>
      </c>
      <c r="J203" t="str">
        <f>PROPER(shipments[[#This Row],[delivery_status]])</f>
        <v>Delivered</v>
      </c>
      <c r="K203" t="s">
        <v>6922</v>
      </c>
    </row>
    <row r="204" spans="1:11">
      <c r="A204" t="s">
        <v>7140</v>
      </c>
      <c r="B204" t="s">
        <v>1103</v>
      </c>
      <c r="C204" t="s">
        <v>6928</v>
      </c>
      <c r="D204" s="1">
        <v>45052</v>
      </c>
      <c r="E204" s="1">
        <v>45055</v>
      </c>
      <c r="F204" s="1">
        <v>45055</v>
      </c>
      <c r="G204">
        <v>55.35</v>
      </c>
      <c r="H2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04" t="str">
        <f>IFERROR(INDEX(Raw_orders!G:G, MATCH(shipments[[#This Row],[order_id]],Raw_orders!A:A, 0)), "Unknown")</f>
        <v>Baltics</v>
      </c>
      <c r="J204" t="str">
        <f>PROPER(shipments[[#This Row],[delivery_status]])</f>
        <v>Delivered</v>
      </c>
      <c r="K204" t="s">
        <v>6929</v>
      </c>
    </row>
    <row r="205" spans="1:11">
      <c r="A205" t="s">
        <v>7141</v>
      </c>
      <c r="B205" t="s">
        <v>1104</v>
      </c>
      <c r="C205" t="s">
        <v>6935</v>
      </c>
      <c r="D205" s="1">
        <v>45627</v>
      </c>
      <c r="E205" s="1">
        <v>45637</v>
      </c>
      <c r="F205" s="1"/>
      <c r="G205">
        <v>23.97</v>
      </c>
      <c r="H2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05" t="str">
        <f>IFERROR(INDEX(Raw_orders!G:G, MATCH(shipments[[#This Row],[order_id]],Raw_orders!A:A, 0)), "Unknown")</f>
        <v>Central Europe</v>
      </c>
      <c r="J205" t="str">
        <f>PROPER(shipments[[#This Row],[delivery_status]])</f>
        <v>Cancelled</v>
      </c>
      <c r="K205" t="s">
        <v>6972</v>
      </c>
    </row>
    <row r="206" spans="1:11">
      <c r="A206" t="s">
        <v>7142</v>
      </c>
      <c r="B206" t="s">
        <v>1105</v>
      </c>
      <c r="C206" t="s">
        <v>6938</v>
      </c>
      <c r="D206" s="1">
        <v>45028</v>
      </c>
      <c r="E206" s="1">
        <v>45033</v>
      </c>
      <c r="F206" s="1">
        <v>45033</v>
      </c>
      <c r="G206">
        <v>53.08</v>
      </c>
      <c r="H2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06" t="str">
        <f>IFERROR(INDEX(Raw_orders!G:G, MATCH(shipments[[#This Row],[order_id]],Raw_orders!A:A, 0)), "Unknown")</f>
        <v>Nordics</v>
      </c>
      <c r="J206" t="str">
        <f>PROPER(shipments[[#This Row],[delivery_status]])</f>
        <v>Delivered</v>
      </c>
      <c r="K206" t="s">
        <v>6922</v>
      </c>
    </row>
    <row r="207" spans="1:11">
      <c r="A207" t="s">
        <v>7143</v>
      </c>
      <c r="B207" t="s">
        <v>1106</v>
      </c>
      <c r="C207" t="s">
        <v>6928</v>
      </c>
      <c r="D207" s="1">
        <v>45501</v>
      </c>
      <c r="E207" s="1">
        <v>45511</v>
      </c>
      <c r="F207" s="1"/>
      <c r="G207">
        <v>58.81</v>
      </c>
      <c r="H2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07" t="str">
        <f>IFERROR(INDEX(Raw_orders!G:G, MATCH(shipments[[#This Row],[order_id]],Raw_orders!A:A, 0)), "Unknown")</f>
        <v>Baltics</v>
      </c>
      <c r="J207" t="str">
        <f>PROPER(shipments[[#This Row],[delivery_status]])</f>
        <v>In Transit</v>
      </c>
      <c r="K207" t="s">
        <v>6946</v>
      </c>
    </row>
    <row r="208" spans="1:11">
      <c r="A208" t="s">
        <v>7144</v>
      </c>
      <c r="B208" t="s">
        <v>1107</v>
      </c>
      <c r="C208" t="s">
        <v>6928</v>
      </c>
      <c r="D208" s="1">
        <v>45616</v>
      </c>
      <c r="E208" s="1">
        <v>45618</v>
      </c>
      <c r="F208" s="1">
        <v>45620</v>
      </c>
      <c r="G208">
        <v>5.62</v>
      </c>
      <c r="H2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8" t="str">
        <f>IFERROR(INDEX(Raw_orders!G:G, MATCH(shipments[[#This Row],[order_id]],Raw_orders!A:A, 0)), "Unknown")</f>
        <v>Central Europe</v>
      </c>
      <c r="J208" t="str">
        <f>PROPER(shipments[[#This Row],[delivery_status]])</f>
        <v>Delivered</v>
      </c>
      <c r="K208" t="s">
        <v>6922</v>
      </c>
    </row>
    <row r="209" spans="1:11">
      <c r="A209" t="s">
        <v>7145</v>
      </c>
      <c r="B209" t="s">
        <v>1108</v>
      </c>
      <c r="C209" t="s">
        <v>6921</v>
      </c>
      <c r="D209" s="1">
        <v>44974</v>
      </c>
      <c r="E209" s="1">
        <v>44981</v>
      </c>
      <c r="F209" s="1">
        <v>44981</v>
      </c>
      <c r="G209">
        <v>11.82</v>
      </c>
      <c r="H2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09" t="str">
        <f>IFERROR(INDEX(Raw_orders!G:G, MATCH(shipments[[#This Row],[order_id]],Raw_orders!A:A, 0)), "Unknown")</f>
        <v>Baltics</v>
      </c>
      <c r="J209" t="str">
        <f>PROPER(shipments[[#This Row],[delivery_status]])</f>
        <v>Delivered</v>
      </c>
      <c r="K209" t="s">
        <v>6929</v>
      </c>
    </row>
    <row r="210" spans="1:11">
      <c r="A210" t="s">
        <v>7146</v>
      </c>
      <c r="B210" t="s">
        <v>1109</v>
      </c>
      <c r="C210" t="s">
        <v>6921</v>
      </c>
      <c r="D210" s="1">
        <v>45110</v>
      </c>
      <c r="E210" s="1">
        <v>45120</v>
      </c>
      <c r="F210" s="1">
        <v>45122</v>
      </c>
      <c r="G210">
        <v>36.299999999999997</v>
      </c>
      <c r="H2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0" t="str">
        <f>IFERROR(INDEX(Raw_orders!G:G, MATCH(shipments[[#This Row],[order_id]],Raw_orders!A:A, 0)), "Unknown")</f>
        <v>Nordics</v>
      </c>
      <c r="J210" t="str">
        <f>PROPER(shipments[[#This Row],[delivery_status]])</f>
        <v>Delivered</v>
      </c>
      <c r="K210" t="s">
        <v>6926</v>
      </c>
    </row>
    <row r="211" spans="1:11">
      <c r="A211" t="s">
        <v>7147</v>
      </c>
      <c r="B211" t="s">
        <v>1110</v>
      </c>
      <c r="C211" t="s">
        <v>6921</v>
      </c>
      <c r="D211" s="1">
        <v>45266</v>
      </c>
      <c r="E211" s="1">
        <v>45268</v>
      </c>
      <c r="F211" s="1"/>
      <c r="G211">
        <v>30.49</v>
      </c>
      <c r="H2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11" t="str">
        <f>IFERROR(INDEX(Raw_orders!G:G, MATCH(shipments[[#This Row],[order_id]],Raw_orders!A:A, 0)), "Unknown")</f>
        <v>Nordics</v>
      </c>
      <c r="J211" t="str">
        <f>PROPER(shipments[[#This Row],[delivery_status]])</f>
        <v>Cancelled</v>
      </c>
      <c r="K211" t="s">
        <v>6972</v>
      </c>
    </row>
    <row r="212" spans="1:11">
      <c r="A212" t="s">
        <v>7148</v>
      </c>
      <c r="B212" t="s">
        <v>1111</v>
      </c>
      <c r="C212" t="s">
        <v>6935</v>
      </c>
      <c r="D212" s="1">
        <v>45496</v>
      </c>
      <c r="E212" s="1">
        <v>45506</v>
      </c>
      <c r="F212" s="1">
        <v>45506</v>
      </c>
      <c r="G212">
        <v>59.42</v>
      </c>
      <c r="H2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12" t="str">
        <f>IFERROR(INDEX(Raw_orders!G:G, MATCH(shipments[[#This Row],[order_id]],Raw_orders!A:A, 0)), "Unknown")</f>
        <v>Nordics</v>
      </c>
      <c r="J212" t="str">
        <f>PROPER(shipments[[#This Row],[delivery_status]])</f>
        <v>Delivered</v>
      </c>
      <c r="K212" t="s">
        <v>6929</v>
      </c>
    </row>
    <row r="213" spans="1:11">
      <c r="A213" t="s">
        <v>7149</v>
      </c>
      <c r="B213" t="s">
        <v>1112</v>
      </c>
      <c r="C213" t="s">
        <v>6925</v>
      </c>
      <c r="D213" s="1">
        <v>45547</v>
      </c>
      <c r="E213" s="1">
        <v>45557</v>
      </c>
      <c r="F213" s="1">
        <v>45558</v>
      </c>
      <c r="G213">
        <v>34.39</v>
      </c>
      <c r="H2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3" t="str">
        <f>IFERROR(INDEX(Raw_orders!G:G, MATCH(shipments[[#This Row],[order_id]],Raw_orders!A:A, 0)), "Unknown")</f>
        <v>Central Europe</v>
      </c>
      <c r="J213" t="str">
        <f>PROPER(shipments[[#This Row],[delivery_status]])</f>
        <v>Delivered</v>
      </c>
      <c r="K213" t="s">
        <v>6926</v>
      </c>
    </row>
    <row r="214" spans="1:11">
      <c r="A214" t="s">
        <v>7150</v>
      </c>
      <c r="B214" t="s">
        <v>1113</v>
      </c>
      <c r="C214" t="s">
        <v>6956</v>
      </c>
      <c r="D214" s="1">
        <v>45327</v>
      </c>
      <c r="E214" s="1">
        <v>45329</v>
      </c>
      <c r="F214" s="1">
        <v>45330</v>
      </c>
      <c r="G214">
        <v>50.23</v>
      </c>
      <c r="H2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4" t="str">
        <f>IFERROR(INDEX(Raw_orders!G:G, MATCH(shipments[[#This Row],[order_id]],Raw_orders!A:A, 0)), "Unknown")</f>
        <v>Baltics</v>
      </c>
      <c r="J214" t="str">
        <f>PROPER(shipments[[#This Row],[delivery_status]])</f>
        <v>Delivered</v>
      </c>
      <c r="K214" t="s">
        <v>6926</v>
      </c>
    </row>
    <row r="215" spans="1:11">
      <c r="A215" t="s">
        <v>7151</v>
      </c>
      <c r="B215" t="s">
        <v>1114</v>
      </c>
      <c r="C215" t="s">
        <v>6940</v>
      </c>
      <c r="D215" s="1">
        <v>45173</v>
      </c>
      <c r="E215" s="1">
        <v>45175</v>
      </c>
      <c r="F215" s="1">
        <v>45175</v>
      </c>
      <c r="G215">
        <v>19.53</v>
      </c>
      <c r="H2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15" t="str">
        <f>IFERROR(INDEX(Raw_orders!G:G, MATCH(shipments[[#This Row],[order_id]],Raw_orders!A:A, 0)), "Unknown")</f>
        <v>Nordics</v>
      </c>
      <c r="J215" t="str">
        <f>PROPER(shipments[[#This Row],[delivery_status]])</f>
        <v>Delivered</v>
      </c>
      <c r="K215" t="s">
        <v>6922</v>
      </c>
    </row>
    <row r="216" spans="1:11">
      <c r="A216" t="s">
        <v>7152</v>
      </c>
      <c r="B216" t="s">
        <v>1115</v>
      </c>
      <c r="C216" t="s">
        <v>6935</v>
      </c>
      <c r="D216" s="1">
        <v>45490</v>
      </c>
      <c r="E216" s="1">
        <v>45500</v>
      </c>
      <c r="F216" s="1"/>
      <c r="G216">
        <v>34.799999999999997</v>
      </c>
      <c r="H2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16" t="str">
        <f>IFERROR(INDEX(Raw_orders!G:G, MATCH(shipments[[#This Row],[order_id]],Raw_orders!A:A, 0)), "Unknown")</f>
        <v>Nordics</v>
      </c>
      <c r="J216" t="str">
        <f>PROPER(shipments[[#This Row],[delivery_status]])</f>
        <v>Cancelled</v>
      </c>
      <c r="K216" t="s">
        <v>6972</v>
      </c>
    </row>
    <row r="217" spans="1:11">
      <c r="A217" t="s">
        <v>7153</v>
      </c>
      <c r="B217" t="s">
        <v>1115</v>
      </c>
      <c r="C217" t="s">
        <v>6949</v>
      </c>
      <c r="D217" s="1">
        <v>45490</v>
      </c>
      <c r="E217" s="1">
        <v>45500</v>
      </c>
      <c r="F217" s="1">
        <v>45499</v>
      </c>
      <c r="G217">
        <v>30.08</v>
      </c>
      <c r="H2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17" t="str">
        <f>IFERROR(INDEX(Raw_orders!G:G, MATCH(shipments[[#This Row],[order_id]],Raw_orders!A:A, 0)), "Unknown")</f>
        <v>Nordics</v>
      </c>
      <c r="J217" t="str">
        <f>PROPER(shipments[[#This Row],[delivery_status]])</f>
        <v>Delivered</v>
      </c>
      <c r="K217" t="s">
        <v>6929</v>
      </c>
    </row>
    <row r="218" spans="1:11">
      <c r="A218" t="s">
        <v>7154</v>
      </c>
      <c r="B218" t="s">
        <v>1116</v>
      </c>
      <c r="C218" t="s">
        <v>6940</v>
      </c>
      <c r="D218" s="1">
        <v>45451</v>
      </c>
      <c r="E218" s="1">
        <v>45453</v>
      </c>
      <c r="F218" s="1">
        <v>45453</v>
      </c>
      <c r="G218">
        <v>51.58</v>
      </c>
      <c r="H2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18" t="str">
        <f>IFERROR(INDEX(Raw_orders!G:G, MATCH(shipments[[#This Row],[order_id]],Raw_orders!A:A, 0)), "Unknown")</f>
        <v>Central Europe</v>
      </c>
      <c r="J218" t="str">
        <f>PROPER(shipments[[#This Row],[delivery_status]])</f>
        <v>Delivered</v>
      </c>
      <c r="K218" t="s">
        <v>6922</v>
      </c>
    </row>
    <row r="219" spans="1:11">
      <c r="A219" t="s">
        <v>7155</v>
      </c>
      <c r="B219" t="s">
        <v>1117</v>
      </c>
      <c r="C219" t="s">
        <v>6928</v>
      </c>
      <c r="D219" s="1">
        <v>45257</v>
      </c>
      <c r="E219" s="1">
        <v>45267</v>
      </c>
      <c r="F219" s="1">
        <v>45270</v>
      </c>
      <c r="G219">
        <v>27.01</v>
      </c>
      <c r="H2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9" t="str">
        <f>IFERROR(INDEX(Raw_orders!G:G, MATCH(shipments[[#This Row],[order_id]],Raw_orders!A:A, 0)), "Unknown")</f>
        <v>Central Europe</v>
      </c>
      <c r="J219" t="str">
        <f>PROPER(shipments[[#This Row],[delivery_status]])</f>
        <v>Delivered</v>
      </c>
      <c r="K219" t="s">
        <v>6926</v>
      </c>
    </row>
    <row r="220" spans="1:11">
      <c r="A220" t="s">
        <v>7156</v>
      </c>
      <c r="B220" t="s">
        <v>1118</v>
      </c>
      <c r="C220" t="s">
        <v>6921</v>
      </c>
      <c r="D220" s="1">
        <v>45385</v>
      </c>
      <c r="E220" s="1">
        <v>45388</v>
      </c>
      <c r="F220" s="1"/>
      <c r="G220">
        <v>38.58</v>
      </c>
      <c r="H2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20" t="str">
        <f>IFERROR(INDEX(Raw_orders!G:G, MATCH(shipments[[#This Row],[order_id]],Raw_orders!A:A, 0)), "Unknown")</f>
        <v>Central Europe</v>
      </c>
      <c r="J220" t="str">
        <f>PROPER(shipments[[#This Row],[delivery_status]])</f>
        <v>In Transit</v>
      </c>
      <c r="K220" t="s">
        <v>6958</v>
      </c>
    </row>
    <row r="221" spans="1:11">
      <c r="A221" t="s">
        <v>7157</v>
      </c>
      <c r="B221" t="s">
        <v>1119</v>
      </c>
      <c r="C221" t="s">
        <v>6925</v>
      </c>
      <c r="D221" s="1">
        <v>45121</v>
      </c>
      <c r="E221" s="1">
        <v>45123</v>
      </c>
      <c r="F221" s="1">
        <v>45126</v>
      </c>
      <c r="G221">
        <v>17.45</v>
      </c>
      <c r="H2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1" t="str">
        <f>IFERROR(INDEX(Raw_orders!G:G, MATCH(shipments[[#This Row],[order_id]],Raw_orders!A:A, 0)), "Unknown")</f>
        <v>Nordics</v>
      </c>
      <c r="J221" t="str">
        <f>PROPER(shipments[[#This Row],[delivery_status]])</f>
        <v>Delivered</v>
      </c>
      <c r="K221" t="s">
        <v>6929</v>
      </c>
    </row>
    <row r="222" spans="1:11">
      <c r="A222" t="s">
        <v>7158</v>
      </c>
      <c r="B222" t="s">
        <v>1120</v>
      </c>
      <c r="C222" t="s">
        <v>6931</v>
      </c>
      <c r="D222" s="1">
        <v>45420</v>
      </c>
      <c r="E222" s="1">
        <v>45425</v>
      </c>
      <c r="F222" s="1"/>
      <c r="G222">
        <v>62.59</v>
      </c>
      <c r="H2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22" t="str">
        <f>IFERROR(INDEX(Raw_orders!G:G, MATCH(shipments[[#This Row],[order_id]],Raw_orders!A:A, 0)), "Unknown")</f>
        <v>Nordics</v>
      </c>
      <c r="J222" t="str">
        <f>PROPER(shipments[[#This Row],[delivery_status]])</f>
        <v>In Transit</v>
      </c>
      <c r="K222" t="s">
        <v>6977</v>
      </c>
    </row>
    <row r="223" spans="1:11">
      <c r="A223" t="s">
        <v>7159</v>
      </c>
      <c r="B223" t="s">
        <v>1120</v>
      </c>
      <c r="C223" t="s">
        <v>6921</v>
      </c>
      <c r="D223" s="1">
        <v>45420</v>
      </c>
      <c r="E223" s="1">
        <v>45427</v>
      </c>
      <c r="F223" s="1">
        <v>45429</v>
      </c>
      <c r="G223">
        <v>21.61</v>
      </c>
      <c r="H2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3" t="str">
        <f>IFERROR(INDEX(Raw_orders!G:G, MATCH(shipments[[#This Row],[order_id]],Raw_orders!A:A, 0)), "Unknown")</f>
        <v>Nordics</v>
      </c>
      <c r="J223" t="str">
        <f>PROPER(shipments[[#This Row],[delivery_status]])</f>
        <v>Delivered</v>
      </c>
      <c r="K223" t="s">
        <v>6926</v>
      </c>
    </row>
    <row r="224" spans="1:11">
      <c r="A224" t="s">
        <v>7160</v>
      </c>
      <c r="B224" t="s">
        <v>1121</v>
      </c>
      <c r="C224" t="s">
        <v>6925</v>
      </c>
      <c r="D224" s="1">
        <v>45623</v>
      </c>
      <c r="E224" s="1">
        <v>45625</v>
      </c>
      <c r="F224" s="1">
        <v>45639</v>
      </c>
      <c r="G224">
        <v>50.64</v>
      </c>
      <c r="H2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4" t="str">
        <f>IFERROR(INDEX(Raw_orders!G:G, MATCH(shipments[[#This Row],[order_id]],Raw_orders!A:A, 0)), "Unknown")</f>
        <v>Nordics</v>
      </c>
      <c r="J224" t="str">
        <f>PROPER(shipments[[#This Row],[delivery_status]])</f>
        <v>Delivered</v>
      </c>
      <c r="K224" t="s">
        <v>6926</v>
      </c>
    </row>
    <row r="225" spans="1:11">
      <c r="A225" t="s">
        <v>7161</v>
      </c>
      <c r="B225" t="s">
        <v>1122</v>
      </c>
      <c r="C225" t="s">
        <v>6935</v>
      </c>
      <c r="D225" s="1">
        <v>45357</v>
      </c>
      <c r="E225" s="1">
        <v>45367</v>
      </c>
      <c r="F225" s="1">
        <v>45372</v>
      </c>
      <c r="G225">
        <v>62.99</v>
      </c>
      <c r="H2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5" t="str">
        <f>IFERROR(INDEX(Raw_orders!G:G, MATCH(shipments[[#This Row],[order_id]],Raw_orders!A:A, 0)), "Unknown")</f>
        <v>Baltics</v>
      </c>
      <c r="J225" t="str">
        <f>PROPER(shipments[[#This Row],[delivery_status]])</f>
        <v>Delivered</v>
      </c>
      <c r="K225" t="s">
        <v>6929</v>
      </c>
    </row>
    <row r="226" spans="1:11">
      <c r="A226" t="s">
        <v>7162</v>
      </c>
      <c r="B226" t="s">
        <v>1123</v>
      </c>
      <c r="C226" t="s">
        <v>6925</v>
      </c>
      <c r="D226" s="1">
        <v>45026</v>
      </c>
      <c r="E226" s="1">
        <v>45033</v>
      </c>
      <c r="F226" s="1">
        <v>45033</v>
      </c>
      <c r="G226">
        <v>35.08</v>
      </c>
      <c r="H2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26" t="str">
        <f>IFERROR(INDEX(Raw_orders!G:G, MATCH(shipments[[#This Row],[order_id]],Raw_orders!A:A, 0)), "Unknown")</f>
        <v>Central Europe</v>
      </c>
      <c r="J226" t="str">
        <f>PROPER(shipments[[#This Row],[delivery_status]])</f>
        <v>Delivered</v>
      </c>
      <c r="K226" t="s">
        <v>6926</v>
      </c>
    </row>
    <row r="227" spans="1:11">
      <c r="A227" t="s">
        <v>7163</v>
      </c>
      <c r="B227" t="s">
        <v>1124</v>
      </c>
      <c r="C227" t="s">
        <v>6925</v>
      </c>
      <c r="D227" s="1">
        <v>45597</v>
      </c>
      <c r="E227" s="1">
        <v>45600</v>
      </c>
      <c r="F227" s="1">
        <v>45601</v>
      </c>
      <c r="G227">
        <v>12.43</v>
      </c>
      <c r="H2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7" t="str">
        <f>IFERROR(INDEX(Raw_orders!G:G, MATCH(shipments[[#This Row],[order_id]],Raw_orders!A:A, 0)), "Unknown")</f>
        <v>Nordics</v>
      </c>
      <c r="J227" t="str">
        <f>PROPER(shipments[[#This Row],[delivery_status]])</f>
        <v>Delivered</v>
      </c>
      <c r="K227" t="s">
        <v>6929</v>
      </c>
    </row>
    <row r="228" spans="1:11">
      <c r="A228" t="s">
        <v>7164</v>
      </c>
      <c r="B228" t="s">
        <v>1125</v>
      </c>
      <c r="C228" t="s">
        <v>6928</v>
      </c>
      <c r="D228" s="1">
        <v>45581</v>
      </c>
      <c r="E228" s="1">
        <v>45584</v>
      </c>
      <c r="F228" s="1">
        <v>45586</v>
      </c>
      <c r="G228">
        <v>62.8</v>
      </c>
      <c r="H2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8" t="str">
        <f>IFERROR(INDEX(Raw_orders!G:G, MATCH(shipments[[#This Row],[order_id]],Raw_orders!A:A, 0)), "Unknown")</f>
        <v>Nordics</v>
      </c>
      <c r="J228" t="str">
        <f>PROPER(shipments[[#This Row],[delivery_status]])</f>
        <v>Delivered</v>
      </c>
      <c r="K228" t="s">
        <v>6926</v>
      </c>
    </row>
    <row r="229" spans="1:11">
      <c r="A229" t="s">
        <v>7165</v>
      </c>
      <c r="B229" t="s">
        <v>1126</v>
      </c>
      <c r="C229" t="s">
        <v>6931</v>
      </c>
      <c r="D229" s="1">
        <v>45491</v>
      </c>
      <c r="E229" s="1">
        <v>45498</v>
      </c>
      <c r="F229" s="1">
        <v>45498</v>
      </c>
      <c r="G229">
        <v>41.33</v>
      </c>
      <c r="H2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29" t="str">
        <f>IFERROR(INDEX(Raw_orders!G:G, MATCH(shipments[[#This Row],[order_id]],Raw_orders!A:A, 0)), "Unknown")</f>
        <v>Central Europe</v>
      </c>
      <c r="J229" t="str">
        <f>PROPER(shipments[[#This Row],[delivery_status]])</f>
        <v>Delivered</v>
      </c>
      <c r="K229" t="s">
        <v>6922</v>
      </c>
    </row>
    <row r="230" spans="1:11">
      <c r="A230" t="s">
        <v>7166</v>
      </c>
      <c r="B230" t="s">
        <v>1127</v>
      </c>
      <c r="C230" t="s">
        <v>6935</v>
      </c>
      <c r="D230" s="1">
        <v>45624</v>
      </c>
      <c r="E230" s="1">
        <v>45634</v>
      </c>
      <c r="F230" s="1">
        <v>45634</v>
      </c>
      <c r="G230">
        <v>27.45</v>
      </c>
      <c r="H2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30" t="str">
        <f>IFERROR(INDEX(Raw_orders!G:G, MATCH(shipments[[#This Row],[order_id]],Raw_orders!A:A, 0)), "Unknown")</f>
        <v>Central Europe</v>
      </c>
      <c r="J230" t="str">
        <f>PROPER(shipments[[#This Row],[delivery_status]])</f>
        <v>Delivered</v>
      </c>
      <c r="K230" t="s">
        <v>6929</v>
      </c>
    </row>
    <row r="231" spans="1:11">
      <c r="A231" t="s">
        <v>7167</v>
      </c>
      <c r="B231" t="s">
        <v>1128</v>
      </c>
      <c r="C231" t="s">
        <v>6928</v>
      </c>
      <c r="D231" s="1">
        <v>45530</v>
      </c>
      <c r="E231" s="1">
        <v>45537</v>
      </c>
      <c r="F231" s="1"/>
      <c r="G231">
        <v>58.91</v>
      </c>
      <c r="H2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31" t="str">
        <f>IFERROR(INDEX(Raw_orders!G:G, MATCH(shipments[[#This Row],[order_id]],Raw_orders!A:A, 0)), "Unknown")</f>
        <v>Nordics</v>
      </c>
      <c r="J231" t="str">
        <f>PROPER(shipments[[#This Row],[delivery_status]])</f>
        <v>In Transit</v>
      </c>
      <c r="K231" t="s">
        <v>6946</v>
      </c>
    </row>
    <row r="232" spans="1:11">
      <c r="A232" t="s">
        <v>7168</v>
      </c>
      <c r="B232" t="s">
        <v>1129</v>
      </c>
      <c r="C232" t="s">
        <v>6938</v>
      </c>
      <c r="D232" s="1">
        <v>45408</v>
      </c>
      <c r="E232" s="1">
        <v>45415</v>
      </c>
      <c r="F232" s="1">
        <v>45415</v>
      </c>
      <c r="G232">
        <v>30.27</v>
      </c>
      <c r="H2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32" t="str">
        <f>IFERROR(INDEX(Raw_orders!G:G, MATCH(shipments[[#This Row],[order_id]],Raw_orders!A:A, 0)), "Unknown")</f>
        <v>Nordics</v>
      </c>
      <c r="J232" t="str">
        <f>PROPER(shipments[[#This Row],[delivery_status]])</f>
        <v>Delivered</v>
      </c>
      <c r="K232" t="s">
        <v>6926</v>
      </c>
    </row>
    <row r="233" spans="1:11">
      <c r="A233" t="s">
        <v>7169</v>
      </c>
      <c r="B233" t="s">
        <v>1129</v>
      </c>
      <c r="C233" t="s">
        <v>6931</v>
      </c>
      <c r="D233" s="1">
        <v>45407</v>
      </c>
      <c r="E233" s="1">
        <v>45409</v>
      </c>
      <c r="F233" s="1">
        <v>45409</v>
      </c>
      <c r="G233">
        <v>38.79</v>
      </c>
      <c r="H2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33" t="str">
        <f>IFERROR(INDEX(Raw_orders!G:G, MATCH(shipments[[#This Row],[order_id]],Raw_orders!A:A, 0)), "Unknown")</f>
        <v>Nordics</v>
      </c>
      <c r="J233" t="str">
        <f>PROPER(shipments[[#This Row],[delivery_status]])</f>
        <v>Delivered</v>
      </c>
      <c r="K233" t="s">
        <v>6929</v>
      </c>
    </row>
    <row r="234" spans="1:11">
      <c r="A234" t="s">
        <v>7170</v>
      </c>
      <c r="B234" t="s">
        <v>1130</v>
      </c>
      <c r="C234" t="s">
        <v>6935</v>
      </c>
      <c r="D234" s="1">
        <v>45475</v>
      </c>
      <c r="E234" s="1">
        <v>45485</v>
      </c>
      <c r="F234" s="1">
        <v>45487</v>
      </c>
      <c r="G234">
        <v>62.44</v>
      </c>
      <c r="H2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4" t="str">
        <f>IFERROR(INDEX(Raw_orders!G:G, MATCH(shipments[[#This Row],[order_id]],Raw_orders!A:A, 0)), "Unknown")</f>
        <v>Nordics</v>
      </c>
      <c r="J234" t="str">
        <f>PROPER(shipments[[#This Row],[delivery_status]])</f>
        <v>Delivered</v>
      </c>
      <c r="K234" t="s">
        <v>6926</v>
      </c>
    </row>
    <row r="235" spans="1:11">
      <c r="A235" t="s">
        <v>7171</v>
      </c>
      <c r="B235" t="s">
        <v>1131</v>
      </c>
      <c r="C235" t="s">
        <v>6928</v>
      </c>
      <c r="D235" s="1">
        <v>45239</v>
      </c>
      <c r="E235" s="1">
        <v>45241</v>
      </c>
      <c r="F235" s="1">
        <v>45246</v>
      </c>
      <c r="G235">
        <v>8.35</v>
      </c>
      <c r="H2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5" t="str">
        <f>IFERROR(INDEX(Raw_orders!G:G, MATCH(shipments[[#This Row],[order_id]],Raw_orders!A:A, 0)), "Unknown")</f>
        <v>Unknown</v>
      </c>
      <c r="J235" t="str">
        <f>PROPER(shipments[[#This Row],[delivery_status]])</f>
        <v>Delivered</v>
      </c>
      <c r="K235" t="s">
        <v>6922</v>
      </c>
    </row>
    <row r="236" spans="1:11">
      <c r="A236" t="s">
        <v>7172</v>
      </c>
      <c r="B236" t="s">
        <v>1132</v>
      </c>
      <c r="C236" t="s">
        <v>6938</v>
      </c>
      <c r="D236" s="1">
        <v>45482</v>
      </c>
      <c r="E236" s="1">
        <v>45485</v>
      </c>
      <c r="F236" s="1">
        <v>45487</v>
      </c>
      <c r="G236">
        <v>62.5</v>
      </c>
      <c r="H2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6" t="str">
        <f>IFERROR(INDEX(Raw_orders!G:G, MATCH(shipments[[#This Row],[order_id]],Raw_orders!A:A, 0)), "Unknown")</f>
        <v>Nordics</v>
      </c>
      <c r="J236" t="str">
        <f>PROPER(shipments[[#This Row],[delivery_status]])</f>
        <v>Delivered</v>
      </c>
      <c r="K236" t="s">
        <v>6926</v>
      </c>
    </row>
    <row r="237" spans="1:11">
      <c r="A237" t="s">
        <v>7173</v>
      </c>
      <c r="B237" t="s">
        <v>1133</v>
      </c>
      <c r="C237" t="s">
        <v>6938</v>
      </c>
      <c r="D237" s="1">
        <v>45501</v>
      </c>
      <c r="E237" s="1">
        <v>45504</v>
      </c>
      <c r="F237" s="1">
        <v>45506</v>
      </c>
      <c r="G237">
        <v>23.36</v>
      </c>
      <c r="H2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7" t="str">
        <f>IFERROR(INDEX(Raw_orders!G:G, MATCH(shipments[[#This Row],[order_id]],Raw_orders!A:A, 0)), "Unknown")</f>
        <v>Baltics</v>
      </c>
      <c r="J237" t="str">
        <f>PROPER(shipments[[#This Row],[delivery_status]])</f>
        <v>Delivered</v>
      </c>
      <c r="K237" t="s">
        <v>6922</v>
      </c>
    </row>
    <row r="238" spans="1:11">
      <c r="A238" t="s">
        <v>7174</v>
      </c>
      <c r="B238" t="s">
        <v>1134</v>
      </c>
      <c r="C238" t="s">
        <v>6956</v>
      </c>
      <c r="D238" s="1">
        <v>45409</v>
      </c>
      <c r="E238" s="1">
        <v>45414</v>
      </c>
      <c r="F238" s="1">
        <v>45413</v>
      </c>
      <c r="G238">
        <v>41.75</v>
      </c>
      <c r="H2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38" t="str">
        <f>IFERROR(INDEX(Raw_orders!G:G, MATCH(shipments[[#This Row],[order_id]],Raw_orders!A:A, 0)), "Unknown")</f>
        <v>Nordics</v>
      </c>
      <c r="J238" t="str">
        <f>PROPER(shipments[[#This Row],[delivery_status]])</f>
        <v>Delivered</v>
      </c>
      <c r="K238" t="s">
        <v>6926</v>
      </c>
    </row>
    <row r="239" spans="1:11">
      <c r="A239" t="s">
        <v>7175</v>
      </c>
      <c r="B239" t="s">
        <v>1135</v>
      </c>
      <c r="C239" t="s">
        <v>6931</v>
      </c>
      <c r="D239" s="1">
        <v>45142</v>
      </c>
      <c r="E239" s="1">
        <v>45147</v>
      </c>
      <c r="F239" s="1">
        <v>45150</v>
      </c>
      <c r="G239">
        <v>53.78</v>
      </c>
      <c r="H2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9" t="str">
        <f>IFERROR(INDEX(Raw_orders!G:G, MATCH(shipments[[#This Row],[order_id]],Raw_orders!A:A, 0)), "Unknown")</f>
        <v>Nordics</v>
      </c>
      <c r="J239" t="str">
        <f>PROPER(shipments[[#This Row],[delivery_status]])</f>
        <v>Delivered</v>
      </c>
      <c r="K239" t="s">
        <v>6929</v>
      </c>
    </row>
    <row r="240" spans="1:11">
      <c r="A240" t="s">
        <v>7176</v>
      </c>
      <c r="B240" t="s">
        <v>1135</v>
      </c>
      <c r="C240" t="s">
        <v>6935</v>
      </c>
      <c r="D240" s="1">
        <v>45143</v>
      </c>
      <c r="E240" s="1">
        <v>45153</v>
      </c>
      <c r="F240" s="1">
        <v>45152</v>
      </c>
      <c r="G240">
        <v>25.37</v>
      </c>
      <c r="H2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40" t="str">
        <f>IFERROR(INDEX(Raw_orders!G:G, MATCH(shipments[[#This Row],[order_id]],Raw_orders!A:A, 0)), "Unknown")</f>
        <v>Nordics</v>
      </c>
      <c r="J240" t="str">
        <f>PROPER(shipments[[#This Row],[delivery_status]])</f>
        <v>Delivered</v>
      </c>
      <c r="K240" t="s">
        <v>6929</v>
      </c>
    </row>
    <row r="241" spans="1:11">
      <c r="A241" t="s">
        <v>7177</v>
      </c>
      <c r="B241" t="s">
        <v>1136</v>
      </c>
      <c r="C241" t="s">
        <v>6956</v>
      </c>
      <c r="D241" s="1">
        <v>45053</v>
      </c>
      <c r="E241" s="1">
        <v>45055</v>
      </c>
      <c r="F241" s="1">
        <v>45059</v>
      </c>
      <c r="G241">
        <v>39.69</v>
      </c>
      <c r="H2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1" t="str">
        <f>IFERROR(INDEX(Raw_orders!G:G, MATCH(shipments[[#This Row],[order_id]],Raw_orders!A:A, 0)), "Unknown")</f>
        <v>Nordics</v>
      </c>
      <c r="J241" t="str">
        <f>PROPER(shipments[[#This Row],[delivery_status]])</f>
        <v>Delivered</v>
      </c>
      <c r="K241" t="s">
        <v>6926</v>
      </c>
    </row>
    <row r="242" spans="1:11">
      <c r="A242" t="s">
        <v>7178</v>
      </c>
      <c r="B242" t="s">
        <v>1137</v>
      </c>
      <c r="C242" t="s">
        <v>6956</v>
      </c>
      <c r="D242" s="1">
        <v>44943</v>
      </c>
      <c r="E242" s="1">
        <v>44946</v>
      </c>
      <c r="F242" s="1">
        <v>44954</v>
      </c>
      <c r="G242">
        <v>29.81</v>
      </c>
      <c r="H2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2" t="str">
        <f>IFERROR(INDEX(Raw_orders!G:G, MATCH(shipments[[#This Row],[order_id]],Raw_orders!A:A, 0)), "Unknown")</f>
        <v>Baltics</v>
      </c>
      <c r="J242" t="str">
        <f>PROPER(shipments[[#This Row],[delivery_status]])</f>
        <v>Delivered</v>
      </c>
      <c r="K242" t="s">
        <v>6929</v>
      </c>
    </row>
    <row r="243" spans="1:11">
      <c r="A243" t="s">
        <v>7179</v>
      </c>
      <c r="B243" t="s">
        <v>1138</v>
      </c>
      <c r="C243" t="s">
        <v>6921</v>
      </c>
      <c r="D243" s="1">
        <v>45116</v>
      </c>
      <c r="E243" s="1">
        <v>45121</v>
      </c>
      <c r="F243" s="1"/>
      <c r="G243">
        <v>32.770000000000003</v>
      </c>
      <c r="H2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43" t="str">
        <f>IFERROR(INDEX(Raw_orders!G:G, MATCH(shipments[[#This Row],[order_id]],Raw_orders!A:A, 0)), "Unknown")</f>
        <v>Central Europe</v>
      </c>
      <c r="J243" t="str">
        <f>PROPER(shipments[[#This Row],[delivery_status]])</f>
        <v>Cancelled</v>
      </c>
      <c r="K243" t="s">
        <v>6979</v>
      </c>
    </row>
    <row r="244" spans="1:11">
      <c r="A244" t="s">
        <v>7180</v>
      </c>
      <c r="B244" t="s">
        <v>1139</v>
      </c>
      <c r="C244" t="s">
        <v>6921</v>
      </c>
      <c r="D244" s="1">
        <v>45244</v>
      </c>
      <c r="E244" s="1">
        <v>45254</v>
      </c>
      <c r="F244" s="1">
        <v>45255</v>
      </c>
      <c r="G244">
        <v>50.83</v>
      </c>
      <c r="H2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4" t="str">
        <f>IFERROR(INDEX(Raw_orders!G:G, MATCH(shipments[[#This Row],[order_id]],Raw_orders!A:A, 0)), "Unknown")</f>
        <v>Nordics</v>
      </c>
      <c r="J244" t="str">
        <f>PROPER(shipments[[#This Row],[delivery_status]])</f>
        <v>Delivered</v>
      </c>
      <c r="K244" t="s">
        <v>6922</v>
      </c>
    </row>
    <row r="245" spans="1:11">
      <c r="A245" t="s">
        <v>7181</v>
      </c>
      <c r="B245" t="s">
        <v>1140</v>
      </c>
      <c r="C245" t="s">
        <v>6940</v>
      </c>
      <c r="D245" s="1">
        <v>45545</v>
      </c>
      <c r="E245" s="1">
        <v>45550</v>
      </c>
      <c r="F245" s="1">
        <v>45550</v>
      </c>
      <c r="G245">
        <v>49.05</v>
      </c>
      <c r="H2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45" t="str">
        <f>IFERROR(INDEX(Raw_orders!G:G, MATCH(shipments[[#This Row],[order_id]],Raw_orders!A:A, 0)), "Unknown")</f>
        <v>Nordics</v>
      </c>
      <c r="J245" t="str">
        <f>PROPER(shipments[[#This Row],[delivery_status]])</f>
        <v>Delivered</v>
      </c>
      <c r="K245" t="s">
        <v>6926</v>
      </c>
    </row>
    <row r="246" spans="1:11">
      <c r="A246" t="s">
        <v>7182</v>
      </c>
      <c r="B246" t="s">
        <v>1141</v>
      </c>
      <c r="C246" t="s">
        <v>6928</v>
      </c>
      <c r="D246" s="1">
        <v>45048</v>
      </c>
      <c r="E246" s="1">
        <v>45053</v>
      </c>
      <c r="F246" s="1"/>
      <c r="G246">
        <v>26.39</v>
      </c>
      <c r="H2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46" t="str">
        <f>IFERROR(INDEX(Raw_orders!G:G, MATCH(shipments[[#This Row],[order_id]],Raw_orders!A:A, 0)), "Unknown")</f>
        <v>Baltics</v>
      </c>
      <c r="J246" t="str">
        <f>PROPER(shipments[[#This Row],[delivery_status]])</f>
        <v>Cancelled</v>
      </c>
      <c r="K246" t="s">
        <v>6979</v>
      </c>
    </row>
    <row r="247" spans="1:11">
      <c r="A247" t="s">
        <v>7183</v>
      </c>
      <c r="B247" t="s">
        <v>1142</v>
      </c>
      <c r="C247" t="s">
        <v>6931</v>
      </c>
      <c r="D247" s="1">
        <v>45348</v>
      </c>
      <c r="E247" s="1">
        <v>45358</v>
      </c>
      <c r="F247" s="1">
        <v>45357</v>
      </c>
      <c r="G247">
        <v>55.26</v>
      </c>
      <c r="H2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47" t="str">
        <f>IFERROR(INDEX(Raw_orders!G:G, MATCH(shipments[[#This Row],[order_id]],Raw_orders!A:A, 0)), "Unknown")</f>
        <v>Nordics</v>
      </c>
      <c r="J247" t="str">
        <f>PROPER(shipments[[#This Row],[delivery_status]])</f>
        <v>Delivered</v>
      </c>
      <c r="K247" t="s">
        <v>6926</v>
      </c>
    </row>
    <row r="248" spans="1:11">
      <c r="A248" t="s">
        <v>7184</v>
      </c>
      <c r="B248" t="s">
        <v>1143</v>
      </c>
      <c r="C248" t="s">
        <v>6935</v>
      </c>
      <c r="D248" s="1">
        <v>45130</v>
      </c>
      <c r="E248" s="1">
        <v>45137</v>
      </c>
      <c r="F248" s="1">
        <v>45142</v>
      </c>
      <c r="G248">
        <v>46.08</v>
      </c>
      <c r="H2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8" t="str">
        <f>IFERROR(INDEX(Raw_orders!G:G, MATCH(shipments[[#This Row],[order_id]],Raw_orders!A:A, 0)), "Unknown")</f>
        <v>Nordics</v>
      </c>
      <c r="J248" t="str">
        <f>PROPER(shipments[[#This Row],[delivery_status]])</f>
        <v>Delivered</v>
      </c>
      <c r="K248" t="s">
        <v>6922</v>
      </c>
    </row>
    <row r="249" spans="1:11">
      <c r="A249" t="s">
        <v>7185</v>
      </c>
      <c r="B249" t="s">
        <v>1144</v>
      </c>
      <c r="C249" t="s">
        <v>6949</v>
      </c>
      <c r="D249" s="1">
        <v>45086</v>
      </c>
      <c r="E249" s="1">
        <v>45088</v>
      </c>
      <c r="F249" s="1">
        <v>45096</v>
      </c>
      <c r="G249">
        <v>31.75</v>
      </c>
      <c r="H2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9" t="str">
        <f>IFERROR(INDEX(Raw_orders!G:G, MATCH(shipments[[#This Row],[order_id]],Raw_orders!A:A, 0)), "Unknown")</f>
        <v>Baltics</v>
      </c>
      <c r="J249" t="str">
        <f>PROPER(shipments[[#This Row],[delivery_status]])</f>
        <v>Delivered</v>
      </c>
      <c r="K249" t="s">
        <v>6929</v>
      </c>
    </row>
    <row r="250" spans="1:11">
      <c r="A250" t="s">
        <v>7186</v>
      </c>
      <c r="B250" t="s">
        <v>1145</v>
      </c>
      <c r="C250" t="s">
        <v>6925</v>
      </c>
      <c r="D250" s="1">
        <v>45508</v>
      </c>
      <c r="E250" s="1">
        <v>45518</v>
      </c>
      <c r="F250" s="1">
        <v>45523</v>
      </c>
      <c r="G250">
        <v>58.18</v>
      </c>
      <c r="H2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0" t="str">
        <f>IFERROR(INDEX(Raw_orders!G:G, MATCH(shipments[[#This Row],[order_id]],Raw_orders!A:A, 0)), "Unknown")</f>
        <v>Nordics</v>
      </c>
      <c r="J250" t="str">
        <f>PROPER(shipments[[#This Row],[delivery_status]])</f>
        <v>Delivered</v>
      </c>
      <c r="K250" t="s">
        <v>6926</v>
      </c>
    </row>
    <row r="251" spans="1:11">
      <c r="A251" t="s">
        <v>7187</v>
      </c>
      <c r="B251" t="s">
        <v>1146</v>
      </c>
      <c r="C251" t="s">
        <v>6921</v>
      </c>
      <c r="D251" s="1">
        <v>45417</v>
      </c>
      <c r="E251" s="1">
        <v>45427</v>
      </c>
      <c r="F251" s="1">
        <v>45440</v>
      </c>
      <c r="G251">
        <v>10.029999999999999</v>
      </c>
      <c r="H2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1" t="str">
        <f>IFERROR(INDEX(Raw_orders!G:G, MATCH(shipments[[#This Row],[order_id]],Raw_orders!A:A, 0)), "Unknown")</f>
        <v>Central Europe</v>
      </c>
      <c r="J251" t="str">
        <f>PROPER(shipments[[#This Row],[delivery_status]])</f>
        <v>Delivered</v>
      </c>
      <c r="K251" t="s">
        <v>6926</v>
      </c>
    </row>
    <row r="252" spans="1:11">
      <c r="A252" t="s">
        <v>7188</v>
      </c>
      <c r="B252" t="s">
        <v>1147</v>
      </c>
      <c r="C252" t="s">
        <v>6925</v>
      </c>
      <c r="D252" s="1">
        <v>44982</v>
      </c>
      <c r="E252" s="1">
        <v>44989</v>
      </c>
      <c r="F252" s="1">
        <v>44992</v>
      </c>
      <c r="G252">
        <v>20.49</v>
      </c>
      <c r="H2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2" t="str">
        <f>IFERROR(INDEX(Raw_orders!G:G, MATCH(shipments[[#This Row],[order_id]],Raw_orders!A:A, 0)), "Unknown")</f>
        <v>Central Europe</v>
      </c>
      <c r="J252" t="str">
        <f>PROPER(shipments[[#This Row],[delivery_status]])</f>
        <v>Delivered</v>
      </c>
      <c r="K252" t="s">
        <v>6926</v>
      </c>
    </row>
    <row r="253" spans="1:11">
      <c r="A253" t="s">
        <v>7189</v>
      </c>
      <c r="B253" t="s">
        <v>1148</v>
      </c>
      <c r="C253" t="s">
        <v>6935</v>
      </c>
      <c r="D253" s="1">
        <v>45127</v>
      </c>
      <c r="E253" s="1">
        <v>45132</v>
      </c>
      <c r="F253" s="1">
        <v>45133</v>
      </c>
      <c r="G253">
        <v>24.9</v>
      </c>
      <c r="H2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3" t="str">
        <f>IFERROR(INDEX(Raw_orders!G:G, MATCH(shipments[[#This Row],[order_id]],Raw_orders!A:A, 0)), "Unknown")</f>
        <v>Baltics</v>
      </c>
      <c r="J253" t="str">
        <f>PROPER(shipments[[#This Row],[delivery_status]])</f>
        <v>Delivered</v>
      </c>
      <c r="K253" t="s">
        <v>6926</v>
      </c>
    </row>
    <row r="254" spans="1:11">
      <c r="A254" t="s">
        <v>7190</v>
      </c>
      <c r="B254" t="s">
        <v>1149</v>
      </c>
      <c r="C254" t="s">
        <v>6940</v>
      </c>
      <c r="D254" s="1">
        <v>45292</v>
      </c>
      <c r="E254" s="1">
        <v>45299</v>
      </c>
      <c r="F254" s="1">
        <v>45307</v>
      </c>
      <c r="G254">
        <v>47.7</v>
      </c>
      <c r="H2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4" t="str">
        <f>IFERROR(INDEX(Raw_orders!G:G, MATCH(shipments[[#This Row],[order_id]],Raw_orders!A:A, 0)), "Unknown")</f>
        <v>Baltics</v>
      </c>
      <c r="J254" t="str">
        <f>PROPER(shipments[[#This Row],[delivery_status]])</f>
        <v>Delivered</v>
      </c>
      <c r="K254" t="s">
        <v>6929</v>
      </c>
    </row>
    <row r="255" spans="1:11">
      <c r="A255" t="s">
        <v>7191</v>
      </c>
      <c r="B255" t="s">
        <v>1150</v>
      </c>
      <c r="C255" t="s">
        <v>6925</v>
      </c>
      <c r="D255" s="1">
        <v>45460</v>
      </c>
      <c r="E255" s="1">
        <v>45462</v>
      </c>
      <c r="F255" s="1">
        <v>45467</v>
      </c>
      <c r="G255">
        <v>59.8</v>
      </c>
      <c r="H2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5" t="str">
        <f>IFERROR(INDEX(Raw_orders!G:G, MATCH(shipments[[#This Row],[order_id]],Raw_orders!A:A, 0)), "Unknown")</f>
        <v>Central Europe</v>
      </c>
      <c r="J255" t="str">
        <f>PROPER(shipments[[#This Row],[delivery_status]])</f>
        <v>Delivered</v>
      </c>
      <c r="K255" t="s">
        <v>6926</v>
      </c>
    </row>
    <row r="256" spans="1:11">
      <c r="A256" t="s">
        <v>7192</v>
      </c>
      <c r="B256" t="s">
        <v>1151</v>
      </c>
      <c r="C256" t="s">
        <v>6956</v>
      </c>
      <c r="D256" s="1">
        <v>45611</v>
      </c>
      <c r="E256" s="1">
        <v>45614</v>
      </c>
      <c r="F256" s="1"/>
      <c r="G256">
        <v>59.08</v>
      </c>
      <c r="H2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56" t="str">
        <f>IFERROR(INDEX(Raw_orders!G:G, MATCH(shipments[[#This Row],[order_id]],Raw_orders!A:A, 0)), "Unknown")</f>
        <v>Baltics</v>
      </c>
      <c r="J256" t="str">
        <f>PROPER(shipments[[#This Row],[delivery_status]])</f>
        <v>Cancelled</v>
      </c>
      <c r="K256" t="s">
        <v>6963</v>
      </c>
    </row>
    <row r="257" spans="1:11">
      <c r="A257" t="s">
        <v>7193</v>
      </c>
      <c r="B257" t="s">
        <v>1152</v>
      </c>
      <c r="C257" t="s">
        <v>6940</v>
      </c>
      <c r="D257" s="1">
        <v>45111</v>
      </c>
      <c r="E257" s="1">
        <v>45121</v>
      </c>
      <c r="F257" s="1">
        <v>45124</v>
      </c>
      <c r="G257">
        <v>42.14</v>
      </c>
      <c r="H2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7" t="str">
        <f>IFERROR(INDEX(Raw_orders!G:G, MATCH(shipments[[#This Row],[order_id]],Raw_orders!A:A, 0)), "Unknown")</f>
        <v>Nordics</v>
      </c>
      <c r="J257" t="str">
        <f>PROPER(shipments[[#This Row],[delivery_status]])</f>
        <v>Delivered</v>
      </c>
      <c r="K257" t="s">
        <v>6926</v>
      </c>
    </row>
    <row r="258" spans="1:11">
      <c r="A258" t="s">
        <v>7194</v>
      </c>
      <c r="B258" t="s">
        <v>1153</v>
      </c>
      <c r="C258" t="s">
        <v>6935</v>
      </c>
      <c r="D258" s="1">
        <v>45007</v>
      </c>
      <c r="E258" s="1">
        <v>45010</v>
      </c>
      <c r="F258" s="1">
        <v>45012</v>
      </c>
      <c r="G258">
        <v>9.36</v>
      </c>
      <c r="H2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8" t="str">
        <f>IFERROR(INDEX(Raw_orders!G:G, MATCH(shipments[[#This Row],[order_id]],Raw_orders!A:A, 0)), "Unknown")</f>
        <v>Baltics</v>
      </c>
      <c r="J258" t="str">
        <f>PROPER(shipments[[#This Row],[delivery_status]])</f>
        <v>Delivered</v>
      </c>
      <c r="K258" t="s">
        <v>6922</v>
      </c>
    </row>
    <row r="259" spans="1:11">
      <c r="A259" t="s">
        <v>7195</v>
      </c>
      <c r="B259" t="s">
        <v>1154</v>
      </c>
      <c r="C259" t="s">
        <v>6956</v>
      </c>
      <c r="D259" s="1">
        <v>45425</v>
      </c>
      <c r="E259" s="1">
        <v>45427</v>
      </c>
      <c r="F259" s="1">
        <v>45429</v>
      </c>
      <c r="G259">
        <v>30.69</v>
      </c>
      <c r="H2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9" t="str">
        <f>IFERROR(INDEX(Raw_orders!G:G, MATCH(shipments[[#This Row],[order_id]],Raw_orders!A:A, 0)), "Unknown")</f>
        <v>Nordics</v>
      </c>
      <c r="J259" t="str">
        <f>PROPER(shipments[[#This Row],[delivery_status]])</f>
        <v>Delivered</v>
      </c>
      <c r="K259" t="s">
        <v>6922</v>
      </c>
    </row>
    <row r="260" spans="1:11">
      <c r="A260" t="s">
        <v>7196</v>
      </c>
      <c r="B260" t="s">
        <v>1155</v>
      </c>
      <c r="C260" t="s">
        <v>6921</v>
      </c>
      <c r="D260" s="1">
        <v>45410</v>
      </c>
      <c r="E260" s="1">
        <v>45415</v>
      </c>
      <c r="F260" s="1">
        <v>45416</v>
      </c>
      <c r="G260">
        <v>46.04</v>
      </c>
      <c r="H2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0" t="str">
        <f>IFERROR(INDEX(Raw_orders!G:G, MATCH(shipments[[#This Row],[order_id]],Raw_orders!A:A, 0)), "Unknown")</f>
        <v>Nordics</v>
      </c>
      <c r="J260" t="str">
        <f>PROPER(shipments[[#This Row],[delivery_status]])</f>
        <v>Delivered</v>
      </c>
      <c r="K260" t="s">
        <v>6929</v>
      </c>
    </row>
    <row r="261" spans="1:11">
      <c r="A261" t="s">
        <v>7197</v>
      </c>
      <c r="B261" t="s">
        <v>1156</v>
      </c>
      <c r="C261" t="s">
        <v>6928</v>
      </c>
      <c r="D261" s="1">
        <v>45557</v>
      </c>
      <c r="E261" s="1">
        <v>45559</v>
      </c>
      <c r="F261" s="1">
        <v>45561</v>
      </c>
      <c r="G261">
        <v>29.95</v>
      </c>
      <c r="H2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1" t="str">
        <f>IFERROR(INDEX(Raw_orders!G:G, MATCH(shipments[[#This Row],[order_id]],Raw_orders!A:A, 0)), "Unknown")</f>
        <v>Central Europe</v>
      </c>
      <c r="J261" t="str">
        <f>PROPER(shipments[[#This Row],[delivery_status]])</f>
        <v>Delivered</v>
      </c>
      <c r="K261" t="s">
        <v>6926</v>
      </c>
    </row>
    <row r="262" spans="1:11">
      <c r="A262" t="s">
        <v>7198</v>
      </c>
      <c r="B262" t="s">
        <v>1157</v>
      </c>
      <c r="C262" t="s">
        <v>6921</v>
      </c>
      <c r="D262" s="1">
        <v>45194</v>
      </c>
      <c r="E262" s="1">
        <v>45201</v>
      </c>
      <c r="F262" s="1">
        <v>45204</v>
      </c>
      <c r="G262">
        <v>64.739999999999995</v>
      </c>
      <c r="H2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2" t="str">
        <f>IFERROR(INDEX(Raw_orders!G:G, MATCH(shipments[[#This Row],[order_id]],Raw_orders!A:A, 0)), "Unknown")</f>
        <v>Nordics</v>
      </c>
      <c r="J262" t="str">
        <f>PROPER(shipments[[#This Row],[delivery_status]])</f>
        <v>Delivered</v>
      </c>
      <c r="K262" t="s">
        <v>6926</v>
      </c>
    </row>
    <row r="263" spans="1:11">
      <c r="A263" t="s">
        <v>7199</v>
      </c>
      <c r="B263" t="s">
        <v>1158</v>
      </c>
      <c r="C263" t="s">
        <v>6928</v>
      </c>
      <c r="D263" s="1">
        <v>45211</v>
      </c>
      <c r="E263" s="1">
        <v>45213</v>
      </c>
      <c r="F263" s="1">
        <v>45214</v>
      </c>
      <c r="G263">
        <v>55.25</v>
      </c>
      <c r="H2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3" t="str">
        <f>IFERROR(INDEX(Raw_orders!G:G, MATCH(shipments[[#This Row],[order_id]],Raw_orders!A:A, 0)), "Unknown")</f>
        <v>Nordics</v>
      </c>
      <c r="J263" t="str">
        <f>PROPER(shipments[[#This Row],[delivery_status]])</f>
        <v>Delivered</v>
      </c>
      <c r="K263" t="s">
        <v>6926</v>
      </c>
    </row>
    <row r="264" spans="1:11">
      <c r="A264" t="s">
        <v>7200</v>
      </c>
      <c r="B264" t="s">
        <v>1159</v>
      </c>
      <c r="C264" t="s">
        <v>6956</v>
      </c>
      <c r="D264" s="1">
        <v>44977</v>
      </c>
      <c r="E264" s="1">
        <v>44987</v>
      </c>
      <c r="F264" s="1"/>
      <c r="G264">
        <v>11.72</v>
      </c>
      <c r="H2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64" t="str">
        <f>IFERROR(INDEX(Raw_orders!G:G, MATCH(shipments[[#This Row],[order_id]],Raw_orders!A:A, 0)), "Unknown")</f>
        <v>Central Europe</v>
      </c>
      <c r="J264" t="str">
        <f>PROPER(shipments[[#This Row],[delivery_status]])</f>
        <v>Cancelled</v>
      </c>
      <c r="K264" t="s">
        <v>6979</v>
      </c>
    </row>
    <row r="265" spans="1:11">
      <c r="A265" t="s">
        <v>7201</v>
      </c>
      <c r="B265" t="s">
        <v>1160</v>
      </c>
      <c r="C265" t="s">
        <v>6938</v>
      </c>
      <c r="D265" s="1">
        <v>45521</v>
      </c>
      <c r="E265" s="1">
        <v>45531</v>
      </c>
      <c r="F265" s="1"/>
      <c r="G265">
        <v>49.91</v>
      </c>
      <c r="H2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65" t="str">
        <f>IFERROR(INDEX(Raw_orders!G:G, MATCH(shipments[[#This Row],[order_id]],Raw_orders!A:A, 0)), "Unknown")</f>
        <v>Baltics</v>
      </c>
      <c r="J265" t="str">
        <f>PROPER(shipments[[#This Row],[delivery_status]])</f>
        <v>Cancelled</v>
      </c>
      <c r="K265" t="s">
        <v>6963</v>
      </c>
    </row>
    <row r="266" spans="1:11">
      <c r="A266" t="s">
        <v>7202</v>
      </c>
      <c r="B266" t="s">
        <v>1161</v>
      </c>
      <c r="C266" t="s">
        <v>6928</v>
      </c>
      <c r="D266" s="1">
        <v>44995</v>
      </c>
      <c r="E266" s="1">
        <v>45000</v>
      </c>
      <c r="F266" s="1">
        <v>45005</v>
      </c>
      <c r="G266">
        <v>48.2</v>
      </c>
      <c r="H2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6" t="str">
        <f>IFERROR(INDEX(Raw_orders!G:G, MATCH(shipments[[#This Row],[order_id]],Raw_orders!A:A, 0)), "Unknown")</f>
        <v>Nordics</v>
      </c>
      <c r="J266" t="str">
        <f>PROPER(shipments[[#This Row],[delivery_status]])</f>
        <v>Delivered</v>
      </c>
      <c r="K266" t="s">
        <v>6922</v>
      </c>
    </row>
    <row r="267" spans="1:11">
      <c r="A267" t="s">
        <v>7203</v>
      </c>
      <c r="B267" t="s">
        <v>1162</v>
      </c>
      <c r="C267" t="s">
        <v>6940</v>
      </c>
      <c r="D267" s="1">
        <v>45280</v>
      </c>
      <c r="E267" s="1">
        <v>45282</v>
      </c>
      <c r="F267" s="1">
        <v>45281</v>
      </c>
      <c r="G267">
        <v>8.26</v>
      </c>
      <c r="H2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67" t="str">
        <f>IFERROR(INDEX(Raw_orders!G:G, MATCH(shipments[[#This Row],[order_id]],Raw_orders!A:A, 0)), "Unknown")</f>
        <v>Unknown</v>
      </c>
      <c r="J267" t="str">
        <f>PROPER(shipments[[#This Row],[delivery_status]])</f>
        <v>Delivered</v>
      </c>
      <c r="K267" t="s">
        <v>6922</v>
      </c>
    </row>
    <row r="268" spans="1:11">
      <c r="A268" t="s">
        <v>7204</v>
      </c>
      <c r="B268" t="s">
        <v>1163</v>
      </c>
      <c r="C268" t="s">
        <v>6931</v>
      </c>
      <c r="D268" s="1">
        <v>45082</v>
      </c>
      <c r="E268" s="1">
        <v>45087</v>
      </c>
      <c r="F268" s="1"/>
      <c r="G268">
        <v>8.08</v>
      </c>
      <c r="H2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68" t="str">
        <f>IFERROR(INDEX(Raw_orders!G:G, MATCH(shipments[[#This Row],[order_id]],Raw_orders!A:A, 0)), "Unknown")</f>
        <v>Central Europe</v>
      </c>
      <c r="J268" t="str">
        <f>PROPER(shipments[[#This Row],[delivery_status]])</f>
        <v>In Transit</v>
      </c>
      <c r="K268" t="s">
        <v>6946</v>
      </c>
    </row>
    <row r="269" spans="1:11">
      <c r="A269" t="s">
        <v>7205</v>
      </c>
      <c r="B269" t="s">
        <v>1164</v>
      </c>
      <c r="C269" t="s">
        <v>6925</v>
      </c>
      <c r="D269" s="1">
        <v>44932</v>
      </c>
      <c r="E269" s="1">
        <v>44937</v>
      </c>
      <c r="F269" s="1">
        <v>44937</v>
      </c>
      <c r="G269">
        <v>50.64</v>
      </c>
      <c r="H2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69" t="str">
        <f>IFERROR(INDEX(Raw_orders!G:G, MATCH(shipments[[#This Row],[order_id]],Raw_orders!A:A, 0)), "Unknown")</f>
        <v>Central Europe</v>
      </c>
      <c r="J269" t="str">
        <f>PROPER(shipments[[#This Row],[delivery_status]])</f>
        <v>Delivered</v>
      </c>
      <c r="K269" t="s">
        <v>6922</v>
      </c>
    </row>
    <row r="270" spans="1:11">
      <c r="A270" t="s">
        <v>7206</v>
      </c>
      <c r="B270" t="s">
        <v>1165</v>
      </c>
      <c r="C270" t="s">
        <v>6921</v>
      </c>
      <c r="D270" s="1">
        <v>45183</v>
      </c>
      <c r="E270" s="1">
        <v>45188</v>
      </c>
      <c r="F270" s="1"/>
      <c r="G270">
        <v>16.57</v>
      </c>
      <c r="H2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70" t="str">
        <f>IFERROR(INDEX(Raw_orders!G:G, MATCH(shipments[[#This Row],[order_id]],Raw_orders!A:A, 0)), "Unknown")</f>
        <v>Central Europe</v>
      </c>
      <c r="J270" t="str">
        <f>PROPER(shipments[[#This Row],[delivery_status]])</f>
        <v>In Transit</v>
      </c>
      <c r="K270" t="s">
        <v>6958</v>
      </c>
    </row>
    <row r="271" spans="1:11">
      <c r="A271" t="s">
        <v>7207</v>
      </c>
      <c r="B271" t="s">
        <v>1166</v>
      </c>
      <c r="C271" t="s">
        <v>6949</v>
      </c>
      <c r="D271" s="1">
        <v>44981</v>
      </c>
      <c r="E271" s="1">
        <v>44991</v>
      </c>
      <c r="F271" s="1">
        <v>44994</v>
      </c>
      <c r="G271">
        <v>51.84</v>
      </c>
      <c r="H2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1" t="str">
        <f>IFERROR(INDEX(Raw_orders!G:G, MATCH(shipments[[#This Row],[order_id]],Raw_orders!A:A, 0)), "Unknown")</f>
        <v>Baltics</v>
      </c>
      <c r="J271" t="str">
        <f>PROPER(shipments[[#This Row],[delivery_status]])</f>
        <v>Delivered</v>
      </c>
      <c r="K271" t="s">
        <v>6926</v>
      </c>
    </row>
    <row r="272" spans="1:11">
      <c r="A272" t="s">
        <v>7208</v>
      </c>
      <c r="B272" t="s">
        <v>1167</v>
      </c>
      <c r="C272" t="s">
        <v>6928</v>
      </c>
      <c r="D272" s="1">
        <v>45477</v>
      </c>
      <c r="E272" s="1">
        <v>45484</v>
      </c>
      <c r="F272" s="1">
        <v>45488</v>
      </c>
      <c r="G272">
        <v>21.91</v>
      </c>
      <c r="H2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2" t="str">
        <f>IFERROR(INDEX(Raw_orders!G:G, MATCH(shipments[[#This Row],[order_id]],Raw_orders!A:A, 0)), "Unknown")</f>
        <v>Central Europe</v>
      </c>
      <c r="J272" t="str">
        <f>PROPER(shipments[[#This Row],[delivery_status]])</f>
        <v>Delivered</v>
      </c>
      <c r="K272" t="s">
        <v>6926</v>
      </c>
    </row>
    <row r="273" spans="1:11">
      <c r="A273" t="s">
        <v>7209</v>
      </c>
      <c r="B273" t="s">
        <v>1168</v>
      </c>
      <c r="C273" t="s">
        <v>6956</v>
      </c>
      <c r="D273" s="1">
        <v>45586</v>
      </c>
      <c r="E273" s="1">
        <v>45588</v>
      </c>
      <c r="F273" s="1">
        <v>45593</v>
      </c>
      <c r="G273">
        <v>13.46</v>
      </c>
      <c r="H2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3" t="str">
        <f>IFERROR(INDEX(Raw_orders!G:G, MATCH(shipments[[#This Row],[order_id]],Raw_orders!A:A, 0)), "Unknown")</f>
        <v>Baltics</v>
      </c>
      <c r="J273" t="str">
        <f>PROPER(shipments[[#This Row],[delivery_status]])</f>
        <v>Delivered</v>
      </c>
      <c r="K273" t="s">
        <v>6926</v>
      </c>
    </row>
    <row r="274" spans="1:11">
      <c r="A274" t="s">
        <v>7210</v>
      </c>
      <c r="B274" t="s">
        <v>1169</v>
      </c>
      <c r="C274" t="s">
        <v>6931</v>
      </c>
      <c r="D274" s="1">
        <v>45355</v>
      </c>
      <c r="E274" s="1">
        <v>45362</v>
      </c>
      <c r="F274" s="1"/>
      <c r="G274">
        <v>43.42</v>
      </c>
      <c r="H2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74" t="str">
        <f>IFERROR(INDEX(Raw_orders!G:G, MATCH(shipments[[#This Row],[order_id]],Raw_orders!A:A, 0)), "Unknown")</f>
        <v>Nordics</v>
      </c>
      <c r="J274" t="str">
        <f>PROPER(shipments[[#This Row],[delivery_status]])</f>
        <v>In Transit</v>
      </c>
      <c r="K274" t="s">
        <v>6958</v>
      </c>
    </row>
    <row r="275" spans="1:11">
      <c r="A275" t="s">
        <v>7211</v>
      </c>
      <c r="B275" t="s">
        <v>1170</v>
      </c>
      <c r="C275" t="s">
        <v>6925</v>
      </c>
      <c r="D275" s="1">
        <v>45402</v>
      </c>
      <c r="E275" s="1">
        <v>45405</v>
      </c>
      <c r="F275" s="1">
        <v>45414</v>
      </c>
      <c r="G275">
        <v>47.52</v>
      </c>
      <c r="H2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5" t="str">
        <f>IFERROR(INDEX(Raw_orders!G:G, MATCH(shipments[[#This Row],[order_id]],Raw_orders!A:A, 0)), "Unknown")</f>
        <v>Unknown</v>
      </c>
      <c r="J275" t="str">
        <f>PROPER(shipments[[#This Row],[delivery_status]])</f>
        <v>Delivered</v>
      </c>
      <c r="K275" t="s">
        <v>6922</v>
      </c>
    </row>
    <row r="276" spans="1:11">
      <c r="A276" t="s">
        <v>7212</v>
      </c>
      <c r="B276" t="s">
        <v>1171</v>
      </c>
      <c r="C276" t="s">
        <v>6928</v>
      </c>
      <c r="D276" s="1">
        <v>45189</v>
      </c>
      <c r="E276" s="1">
        <v>45194</v>
      </c>
      <c r="F276" s="1">
        <v>45195</v>
      </c>
      <c r="G276">
        <v>47.89</v>
      </c>
      <c r="H2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6" t="str">
        <f>IFERROR(INDEX(Raw_orders!G:G, MATCH(shipments[[#This Row],[order_id]],Raw_orders!A:A, 0)), "Unknown")</f>
        <v>Baltics</v>
      </c>
      <c r="J276" t="str">
        <f>PROPER(shipments[[#This Row],[delivery_status]])</f>
        <v>Delivered</v>
      </c>
      <c r="K276" t="s">
        <v>6922</v>
      </c>
    </row>
    <row r="277" spans="1:11">
      <c r="A277" t="s">
        <v>7213</v>
      </c>
      <c r="B277" t="s">
        <v>1172</v>
      </c>
      <c r="C277" t="s">
        <v>6925</v>
      </c>
      <c r="D277" s="1">
        <v>45320</v>
      </c>
      <c r="E277" s="1">
        <v>45322</v>
      </c>
      <c r="F277" s="1">
        <v>45322</v>
      </c>
      <c r="G277">
        <v>54.6</v>
      </c>
      <c r="H2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7" t="str">
        <f>IFERROR(INDEX(Raw_orders!G:G, MATCH(shipments[[#This Row],[order_id]],Raw_orders!A:A, 0)), "Unknown")</f>
        <v>Central Europe</v>
      </c>
      <c r="J277" t="str">
        <f>PROPER(shipments[[#This Row],[delivery_status]])</f>
        <v>Delivered</v>
      </c>
      <c r="K277" t="s">
        <v>6929</v>
      </c>
    </row>
    <row r="278" spans="1:11">
      <c r="A278" t="s">
        <v>7214</v>
      </c>
      <c r="B278" t="s">
        <v>1173</v>
      </c>
      <c r="C278" t="s">
        <v>6931</v>
      </c>
      <c r="D278" s="1">
        <v>45074</v>
      </c>
      <c r="E278" s="1">
        <v>45084</v>
      </c>
      <c r="F278" s="1">
        <v>45083</v>
      </c>
      <c r="H2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8" t="str">
        <f>IFERROR(INDEX(Raw_orders!G:G, MATCH(shipments[[#This Row],[order_id]],Raw_orders!A:A, 0)), "Unknown")</f>
        <v>Nordics</v>
      </c>
      <c r="J278" t="str">
        <f>PROPER(shipments[[#This Row],[delivery_status]])</f>
        <v>Delivered</v>
      </c>
      <c r="K278" t="s">
        <v>6922</v>
      </c>
    </row>
    <row r="279" spans="1:11">
      <c r="A279" t="s">
        <v>7215</v>
      </c>
      <c r="B279" t="s">
        <v>1174</v>
      </c>
      <c r="C279" t="s">
        <v>6940</v>
      </c>
      <c r="D279" s="1">
        <v>45365</v>
      </c>
      <c r="E279" s="1">
        <v>45375</v>
      </c>
      <c r="F279" s="1">
        <v>45375</v>
      </c>
      <c r="G279">
        <v>19.920000000000002</v>
      </c>
      <c r="H2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9" t="str">
        <f>IFERROR(INDEX(Raw_orders!G:G, MATCH(shipments[[#This Row],[order_id]],Raw_orders!A:A, 0)), "Unknown")</f>
        <v>Nordics</v>
      </c>
      <c r="J279" t="str">
        <f>PROPER(shipments[[#This Row],[delivery_status]])</f>
        <v>Delivered</v>
      </c>
      <c r="K279" t="s">
        <v>6922</v>
      </c>
    </row>
    <row r="280" spans="1:11">
      <c r="A280" t="s">
        <v>7216</v>
      </c>
      <c r="B280" t="s">
        <v>1175</v>
      </c>
      <c r="C280" t="s">
        <v>6925</v>
      </c>
      <c r="D280" s="1">
        <v>45255</v>
      </c>
      <c r="E280" s="1">
        <v>45265</v>
      </c>
      <c r="F280" s="1">
        <v>45266</v>
      </c>
      <c r="G280">
        <v>34.46</v>
      </c>
      <c r="H2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0" t="str">
        <f>IFERROR(INDEX(Raw_orders!G:G, MATCH(shipments[[#This Row],[order_id]],Raw_orders!A:A, 0)), "Unknown")</f>
        <v>Central Europe</v>
      </c>
      <c r="J280" t="str">
        <f>PROPER(shipments[[#This Row],[delivery_status]])</f>
        <v>Delivered</v>
      </c>
      <c r="K280" t="s">
        <v>6929</v>
      </c>
    </row>
    <row r="281" spans="1:11">
      <c r="A281" t="s">
        <v>7217</v>
      </c>
      <c r="B281" t="s">
        <v>1176</v>
      </c>
      <c r="C281" t="s">
        <v>6940</v>
      </c>
      <c r="D281" s="1">
        <v>45460</v>
      </c>
      <c r="E281" s="1">
        <v>45467</v>
      </c>
      <c r="F281" s="1"/>
      <c r="G281">
        <v>15.84</v>
      </c>
      <c r="H2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81" t="str">
        <f>IFERROR(INDEX(Raw_orders!G:G, MATCH(shipments[[#This Row],[order_id]],Raw_orders!A:A, 0)), "Unknown")</f>
        <v>Nordics</v>
      </c>
      <c r="J281" t="str">
        <f>PROPER(shipments[[#This Row],[delivery_status]])</f>
        <v>Cancelled</v>
      </c>
      <c r="K281" t="s">
        <v>6963</v>
      </c>
    </row>
    <row r="282" spans="1:11">
      <c r="A282" t="s">
        <v>7218</v>
      </c>
      <c r="B282" t="s">
        <v>1177</v>
      </c>
      <c r="C282" t="s">
        <v>6935</v>
      </c>
      <c r="D282" s="1">
        <v>45459</v>
      </c>
      <c r="E282" s="1">
        <v>45469</v>
      </c>
      <c r="F282" s="1">
        <v>45477</v>
      </c>
      <c r="G282">
        <v>62</v>
      </c>
      <c r="H2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2" t="str">
        <f>IFERROR(INDEX(Raw_orders!G:G, MATCH(shipments[[#This Row],[order_id]],Raw_orders!A:A, 0)), "Unknown")</f>
        <v>Nordics</v>
      </c>
      <c r="J282" t="str">
        <f>PROPER(shipments[[#This Row],[delivery_status]])</f>
        <v>Delivered</v>
      </c>
      <c r="K282" t="s">
        <v>6922</v>
      </c>
    </row>
    <row r="283" spans="1:11">
      <c r="A283" t="s">
        <v>7219</v>
      </c>
      <c r="B283" t="s">
        <v>1178</v>
      </c>
      <c r="C283" t="s">
        <v>6931</v>
      </c>
      <c r="D283" s="1">
        <v>45559</v>
      </c>
      <c r="E283" s="1">
        <v>45562</v>
      </c>
      <c r="F283" s="1">
        <v>45561</v>
      </c>
      <c r="G283">
        <v>9.52</v>
      </c>
      <c r="H2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83" t="str">
        <f>IFERROR(INDEX(Raw_orders!G:G, MATCH(shipments[[#This Row],[order_id]],Raw_orders!A:A, 0)), "Unknown")</f>
        <v>Nordics</v>
      </c>
      <c r="J283" t="str">
        <f>PROPER(shipments[[#This Row],[delivery_status]])</f>
        <v>Delivered</v>
      </c>
      <c r="K283" t="s">
        <v>6926</v>
      </c>
    </row>
    <row r="284" spans="1:11">
      <c r="A284" t="s">
        <v>7220</v>
      </c>
      <c r="B284" t="s">
        <v>1179</v>
      </c>
      <c r="C284" t="s">
        <v>6935</v>
      </c>
      <c r="D284" s="1">
        <v>45354</v>
      </c>
      <c r="E284" s="1">
        <v>45359</v>
      </c>
      <c r="F284" s="1">
        <v>45364</v>
      </c>
      <c r="G284">
        <v>55.24</v>
      </c>
      <c r="H2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4" t="str">
        <f>IFERROR(INDEX(Raw_orders!G:G, MATCH(shipments[[#This Row],[order_id]],Raw_orders!A:A, 0)), "Unknown")</f>
        <v>Central Europe</v>
      </c>
      <c r="J284" t="str">
        <f>PROPER(shipments[[#This Row],[delivery_status]])</f>
        <v>Delivered</v>
      </c>
      <c r="K284" t="s">
        <v>6926</v>
      </c>
    </row>
    <row r="285" spans="1:11">
      <c r="A285" t="s">
        <v>7221</v>
      </c>
      <c r="B285" t="s">
        <v>1180</v>
      </c>
      <c r="C285" t="s">
        <v>6931</v>
      </c>
      <c r="D285" s="1">
        <v>45354</v>
      </c>
      <c r="E285" s="1">
        <v>45357</v>
      </c>
      <c r="F285" s="1">
        <v>45357</v>
      </c>
      <c r="G285">
        <v>38.090000000000003</v>
      </c>
      <c r="H2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85" t="str">
        <f>IFERROR(INDEX(Raw_orders!G:G, MATCH(shipments[[#This Row],[order_id]],Raw_orders!A:A, 0)), "Unknown")</f>
        <v>Baltics</v>
      </c>
      <c r="J285" t="str">
        <f>PROPER(shipments[[#This Row],[delivery_status]])</f>
        <v>Delivered</v>
      </c>
      <c r="K285" t="s">
        <v>6926</v>
      </c>
    </row>
    <row r="286" spans="1:11">
      <c r="A286" t="s">
        <v>7222</v>
      </c>
      <c r="B286" t="s">
        <v>1181</v>
      </c>
      <c r="C286" t="s">
        <v>6938</v>
      </c>
      <c r="D286" s="1">
        <v>45138</v>
      </c>
      <c r="E286" s="1">
        <v>45148</v>
      </c>
      <c r="F286" s="1">
        <v>45149</v>
      </c>
      <c r="G286">
        <v>61.78</v>
      </c>
      <c r="H2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6" t="str">
        <f>IFERROR(INDEX(Raw_orders!G:G, MATCH(shipments[[#This Row],[order_id]],Raw_orders!A:A, 0)), "Unknown")</f>
        <v>Baltics</v>
      </c>
      <c r="J286" t="str">
        <f>PROPER(shipments[[#This Row],[delivery_status]])</f>
        <v>Delivered</v>
      </c>
      <c r="K286" t="s">
        <v>6926</v>
      </c>
    </row>
    <row r="287" spans="1:11">
      <c r="A287" t="s">
        <v>7223</v>
      </c>
      <c r="B287" t="s">
        <v>1182</v>
      </c>
      <c r="C287" t="s">
        <v>6949</v>
      </c>
      <c r="D287" s="1">
        <v>45450</v>
      </c>
      <c r="E287" s="1">
        <v>45453</v>
      </c>
      <c r="F287" s="1">
        <v>45452</v>
      </c>
      <c r="G287">
        <v>24.06</v>
      </c>
      <c r="H2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87" t="str">
        <f>IFERROR(INDEX(Raw_orders!G:G, MATCH(shipments[[#This Row],[order_id]],Raw_orders!A:A, 0)), "Unknown")</f>
        <v>Nordics</v>
      </c>
      <c r="J287" t="str">
        <f>PROPER(shipments[[#This Row],[delivery_status]])</f>
        <v>Delivered</v>
      </c>
      <c r="K287" t="s">
        <v>6926</v>
      </c>
    </row>
    <row r="288" spans="1:11">
      <c r="A288" t="s">
        <v>7224</v>
      </c>
      <c r="B288" t="s">
        <v>1183</v>
      </c>
      <c r="C288" t="s">
        <v>6921</v>
      </c>
      <c r="D288" s="1">
        <v>45188</v>
      </c>
      <c r="E288" s="1">
        <v>45191</v>
      </c>
      <c r="F288" s="1">
        <v>45196</v>
      </c>
      <c r="G288">
        <v>32.31</v>
      </c>
      <c r="H2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8" t="str">
        <f>IFERROR(INDEX(Raw_orders!G:G, MATCH(shipments[[#This Row],[order_id]],Raw_orders!A:A, 0)), "Unknown")</f>
        <v>Central Europe</v>
      </c>
      <c r="J288" t="str">
        <f>PROPER(shipments[[#This Row],[delivery_status]])</f>
        <v>Delivered</v>
      </c>
      <c r="K288" t="s">
        <v>6929</v>
      </c>
    </row>
    <row r="289" spans="1:11">
      <c r="A289" t="s">
        <v>7225</v>
      </c>
      <c r="B289" t="s">
        <v>1184</v>
      </c>
      <c r="C289" t="s">
        <v>6921</v>
      </c>
      <c r="D289" s="1">
        <v>44956</v>
      </c>
      <c r="E289" s="1">
        <v>44963</v>
      </c>
      <c r="F289" s="1">
        <v>44965</v>
      </c>
      <c r="G289">
        <v>64.72</v>
      </c>
      <c r="H2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9" t="str">
        <f>IFERROR(INDEX(Raw_orders!G:G, MATCH(shipments[[#This Row],[order_id]],Raw_orders!A:A, 0)), "Unknown")</f>
        <v>Baltics</v>
      </c>
      <c r="J289" t="str">
        <f>PROPER(shipments[[#This Row],[delivery_status]])</f>
        <v>Delivered</v>
      </c>
      <c r="K289" t="s">
        <v>6926</v>
      </c>
    </row>
    <row r="290" spans="1:11">
      <c r="A290" t="s">
        <v>7226</v>
      </c>
      <c r="B290" t="s">
        <v>1185</v>
      </c>
      <c r="C290" t="s">
        <v>6921</v>
      </c>
      <c r="D290" s="1">
        <v>45513</v>
      </c>
      <c r="E290" s="1">
        <v>45516</v>
      </c>
      <c r="F290" s="1">
        <v>45515</v>
      </c>
      <c r="G290">
        <v>52.11</v>
      </c>
      <c r="H2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90" t="str">
        <f>IFERROR(INDEX(Raw_orders!G:G, MATCH(shipments[[#This Row],[order_id]],Raw_orders!A:A, 0)), "Unknown")</f>
        <v>Baltics</v>
      </c>
      <c r="J290" t="str">
        <f>PROPER(shipments[[#This Row],[delivery_status]])</f>
        <v>Delivered</v>
      </c>
      <c r="K290" t="s">
        <v>6929</v>
      </c>
    </row>
    <row r="291" spans="1:11">
      <c r="A291" t="s">
        <v>7227</v>
      </c>
      <c r="B291" t="s">
        <v>1186</v>
      </c>
      <c r="C291" t="s">
        <v>6940</v>
      </c>
      <c r="D291" s="1">
        <v>45486</v>
      </c>
      <c r="E291" s="1">
        <v>45489</v>
      </c>
      <c r="F291" s="1">
        <v>45493</v>
      </c>
      <c r="G291">
        <v>31.99</v>
      </c>
      <c r="H2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1" t="str">
        <f>IFERROR(INDEX(Raw_orders!G:G, MATCH(shipments[[#This Row],[order_id]],Raw_orders!A:A, 0)), "Unknown")</f>
        <v>Nordics</v>
      </c>
      <c r="J291" t="str">
        <f>PROPER(shipments[[#This Row],[delivery_status]])</f>
        <v>Delivered</v>
      </c>
      <c r="K291" t="s">
        <v>6929</v>
      </c>
    </row>
    <row r="292" spans="1:11">
      <c r="A292" t="s">
        <v>7228</v>
      </c>
      <c r="B292" t="s">
        <v>1187</v>
      </c>
      <c r="C292" t="s">
        <v>6925</v>
      </c>
      <c r="D292" s="1">
        <v>45295</v>
      </c>
      <c r="E292" s="1">
        <v>45300</v>
      </c>
      <c r="F292" s="1">
        <v>45308</v>
      </c>
      <c r="G292">
        <v>33.799999999999997</v>
      </c>
      <c r="H2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2" t="str">
        <f>IFERROR(INDEX(Raw_orders!G:G, MATCH(shipments[[#This Row],[order_id]],Raw_orders!A:A, 0)), "Unknown")</f>
        <v>Baltics</v>
      </c>
      <c r="J292" t="str">
        <f>PROPER(shipments[[#This Row],[delivery_status]])</f>
        <v>Delivered</v>
      </c>
      <c r="K292" t="s">
        <v>6929</v>
      </c>
    </row>
    <row r="293" spans="1:11">
      <c r="A293" t="s">
        <v>7229</v>
      </c>
      <c r="B293" t="s">
        <v>1188</v>
      </c>
      <c r="C293" t="s">
        <v>6940</v>
      </c>
      <c r="D293" s="1">
        <v>45015</v>
      </c>
      <c r="E293" s="1">
        <v>45025</v>
      </c>
      <c r="F293" s="1"/>
      <c r="G293">
        <v>34.119999999999997</v>
      </c>
      <c r="H2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93" t="str">
        <f>IFERROR(INDEX(Raw_orders!G:G, MATCH(shipments[[#This Row],[order_id]],Raw_orders!A:A, 0)), "Unknown")</f>
        <v>Nordics</v>
      </c>
      <c r="J293" t="str">
        <f>PROPER(shipments[[#This Row],[delivery_status]])</f>
        <v>Cancelled</v>
      </c>
      <c r="K293" t="s">
        <v>6963</v>
      </c>
    </row>
    <row r="294" spans="1:11">
      <c r="A294" t="s">
        <v>7230</v>
      </c>
      <c r="B294" t="s">
        <v>1189</v>
      </c>
      <c r="C294" t="s">
        <v>6940</v>
      </c>
      <c r="D294" s="1">
        <v>45356</v>
      </c>
      <c r="E294" s="1">
        <v>45359</v>
      </c>
      <c r="F294" s="1">
        <v>45364</v>
      </c>
      <c r="G294">
        <v>11.26</v>
      </c>
      <c r="H2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4" t="str">
        <f>IFERROR(INDEX(Raw_orders!G:G, MATCH(shipments[[#This Row],[order_id]],Raw_orders!A:A, 0)), "Unknown")</f>
        <v>Nordics</v>
      </c>
      <c r="J294" t="str">
        <f>PROPER(shipments[[#This Row],[delivery_status]])</f>
        <v>Delivered</v>
      </c>
      <c r="K294" t="s">
        <v>6929</v>
      </c>
    </row>
    <row r="295" spans="1:11">
      <c r="A295" t="s">
        <v>7231</v>
      </c>
      <c r="B295" t="s">
        <v>1190</v>
      </c>
      <c r="C295" t="s">
        <v>6931</v>
      </c>
      <c r="D295" s="1">
        <v>45318</v>
      </c>
      <c r="E295" s="1">
        <v>45321</v>
      </c>
      <c r="F295" s="1">
        <v>45323</v>
      </c>
      <c r="G295">
        <v>21.28</v>
      </c>
      <c r="H2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5" t="str">
        <f>IFERROR(INDEX(Raw_orders!G:G, MATCH(shipments[[#This Row],[order_id]],Raw_orders!A:A, 0)), "Unknown")</f>
        <v>Central Europe</v>
      </c>
      <c r="J295" t="str">
        <f>PROPER(shipments[[#This Row],[delivery_status]])</f>
        <v>Delivered</v>
      </c>
      <c r="K295" t="s">
        <v>6922</v>
      </c>
    </row>
    <row r="296" spans="1:11">
      <c r="A296" t="s">
        <v>7232</v>
      </c>
      <c r="B296" t="s">
        <v>1191</v>
      </c>
      <c r="C296" t="s">
        <v>6928</v>
      </c>
      <c r="D296" s="1">
        <v>45593</v>
      </c>
      <c r="E296" s="1">
        <v>45603</v>
      </c>
      <c r="F296" s="1">
        <v>45612</v>
      </c>
      <c r="G296">
        <v>40.39</v>
      </c>
      <c r="H2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6" t="str">
        <f>IFERROR(INDEX(Raw_orders!G:G, MATCH(shipments[[#This Row],[order_id]],Raw_orders!A:A, 0)), "Unknown")</f>
        <v>Nordics</v>
      </c>
      <c r="J296" t="str">
        <f>PROPER(shipments[[#This Row],[delivery_status]])</f>
        <v>Delivered</v>
      </c>
      <c r="K296" t="s">
        <v>6922</v>
      </c>
    </row>
    <row r="297" spans="1:11">
      <c r="A297" t="s">
        <v>7233</v>
      </c>
      <c r="B297" t="s">
        <v>1192</v>
      </c>
      <c r="C297" t="s">
        <v>6938</v>
      </c>
      <c r="D297" s="1">
        <v>45359</v>
      </c>
      <c r="E297" s="1">
        <v>45369</v>
      </c>
      <c r="F297" s="1">
        <v>45377</v>
      </c>
      <c r="G297">
        <v>29.27</v>
      </c>
      <c r="H2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7" t="str">
        <f>IFERROR(INDEX(Raw_orders!G:G, MATCH(shipments[[#This Row],[order_id]],Raw_orders!A:A, 0)), "Unknown")</f>
        <v>Central Europe</v>
      </c>
      <c r="J297" t="str">
        <f>PROPER(shipments[[#This Row],[delivery_status]])</f>
        <v>Delivered</v>
      </c>
      <c r="K297" t="s">
        <v>6926</v>
      </c>
    </row>
    <row r="298" spans="1:11">
      <c r="A298" t="s">
        <v>7234</v>
      </c>
      <c r="B298" t="s">
        <v>1193</v>
      </c>
      <c r="C298" t="s">
        <v>6949</v>
      </c>
      <c r="D298" s="1">
        <v>45302</v>
      </c>
      <c r="E298" s="1">
        <v>45304</v>
      </c>
      <c r="F298" s="1">
        <v>45309</v>
      </c>
      <c r="G298">
        <v>43.43</v>
      </c>
      <c r="H2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8" t="str">
        <f>IFERROR(INDEX(Raw_orders!G:G, MATCH(shipments[[#This Row],[order_id]],Raw_orders!A:A, 0)), "Unknown")</f>
        <v>Central Europe</v>
      </c>
      <c r="J298" t="str">
        <f>PROPER(shipments[[#This Row],[delivery_status]])</f>
        <v>Delivered</v>
      </c>
      <c r="K298" t="s">
        <v>6922</v>
      </c>
    </row>
    <row r="299" spans="1:11">
      <c r="A299" t="s">
        <v>7235</v>
      </c>
      <c r="B299" t="s">
        <v>1194</v>
      </c>
      <c r="C299" t="s">
        <v>6921</v>
      </c>
      <c r="D299" s="1">
        <v>45515</v>
      </c>
      <c r="E299" s="1">
        <v>45522</v>
      </c>
      <c r="F299" s="1"/>
      <c r="G299">
        <v>29.29</v>
      </c>
      <c r="H2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99" t="str">
        <f>IFERROR(INDEX(Raw_orders!G:G, MATCH(shipments[[#This Row],[order_id]],Raw_orders!A:A, 0)), "Unknown")</f>
        <v>Baltics</v>
      </c>
      <c r="J299" t="str">
        <f>PROPER(shipments[[#This Row],[delivery_status]])</f>
        <v>In Transit</v>
      </c>
      <c r="K299" t="s">
        <v>6958</v>
      </c>
    </row>
    <row r="300" spans="1:11">
      <c r="A300" t="s">
        <v>7236</v>
      </c>
      <c r="B300" t="s">
        <v>1195</v>
      </c>
      <c r="C300" t="s">
        <v>6956</v>
      </c>
      <c r="D300" s="1">
        <v>45126</v>
      </c>
      <c r="E300" s="1">
        <v>45131</v>
      </c>
      <c r="F300" s="1">
        <v>45130</v>
      </c>
      <c r="G300">
        <v>24.62</v>
      </c>
      <c r="H3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00" t="str">
        <f>IFERROR(INDEX(Raw_orders!G:G, MATCH(shipments[[#This Row],[order_id]],Raw_orders!A:A, 0)), "Unknown")</f>
        <v>Baltics</v>
      </c>
      <c r="J300" t="str">
        <f>PROPER(shipments[[#This Row],[delivery_status]])</f>
        <v>Delivered</v>
      </c>
      <c r="K300" t="s">
        <v>6929</v>
      </c>
    </row>
    <row r="301" spans="1:11">
      <c r="A301" t="s">
        <v>7237</v>
      </c>
      <c r="B301" t="s">
        <v>1195</v>
      </c>
      <c r="C301" t="s">
        <v>6940</v>
      </c>
      <c r="D301" s="1">
        <v>45126</v>
      </c>
      <c r="E301" s="1">
        <v>45131</v>
      </c>
      <c r="F301" s="1">
        <v>45130</v>
      </c>
      <c r="G301">
        <v>50.87</v>
      </c>
      <c r="H3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01" t="str">
        <f>IFERROR(INDEX(Raw_orders!G:G, MATCH(shipments[[#This Row],[order_id]],Raw_orders!A:A, 0)), "Unknown")</f>
        <v>Baltics</v>
      </c>
      <c r="J301" t="str">
        <f>PROPER(shipments[[#This Row],[delivery_status]])</f>
        <v>Delivered</v>
      </c>
      <c r="K301" t="s">
        <v>6929</v>
      </c>
    </row>
    <row r="302" spans="1:11">
      <c r="A302" t="s">
        <v>7238</v>
      </c>
      <c r="B302" t="s">
        <v>1196</v>
      </c>
      <c r="C302" t="s">
        <v>6940</v>
      </c>
      <c r="D302" s="1">
        <v>45597</v>
      </c>
      <c r="E302" s="1">
        <v>45600</v>
      </c>
      <c r="F302" s="1">
        <v>45609</v>
      </c>
      <c r="G302">
        <v>14.83</v>
      </c>
      <c r="H3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2" t="str">
        <f>IFERROR(INDEX(Raw_orders!G:G, MATCH(shipments[[#This Row],[order_id]],Raw_orders!A:A, 0)), "Unknown")</f>
        <v>Central Europe</v>
      </c>
      <c r="J302" t="str">
        <f>PROPER(shipments[[#This Row],[delivery_status]])</f>
        <v>Delivered</v>
      </c>
      <c r="K302" t="s">
        <v>6922</v>
      </c>
    </row>
    <row r="303" spans="1:11">
      <c r="A303" t="s">
        <v>7239</v>
      </c>
      <c r="B303" t="s">
        <v>1197</v>
      </c>
      <c r="C303" t="s">
        <v>6949</v>
      </c>
      <c r="D303" s="1">
        <v>45510</v>
      </c>
      <c r="E303" s="1">
        <v>45513</v>
      </c>
      <c r="F303" s="1">
        <v>45514</v>
      </c>
      <c r="G303">
        <v>56.21</v>
      </c>
      <c r="H3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3" t="str">
        <f>IFERROR(INDEX(Raw_orders!G:G, MATCH(shipments[[#This Row],[order_id]],Raw_orders!A:A, 0)), "Unknown")</f>
        <v>Nordics</v>
      </c>
      <c r="J303" t="str">
        <f>PROPER(shipments[[#This Row],[delivery_status]])</f>
        <v>Delivered</v>
      </c>
      <c r="K303" t="s">
        <v>6929</v>
      </c>
    </row>
    <row r="304" spans="1:11">
      <c r="A304" t="s">
        <v>7240</v>
      </c>
      <c r="B304" t="s">
        <v>1198</v>
      </c>
      <c r="C304" t="s">
        <v>6925</v>
      </c>
      <c r="D304" s="1">
        <v>45058</v>
      </c>
      <c r="E304" s="1">
        <v>45060</v>
      </c>
      <c r="F304" s="1">
        <v>45063</v>
      </c>
      <c r="G304">
        <v>31.33</v>
      </c>
      <c r="H3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4" t="str">
        <f>IFERROR(INDEX(Raw_orders!G:G, MATCH(shipments[[#This Row],[order_id]],Raw_orders!A:A, 0)), "Unknown")</f>
        <v>Nordics</v>
      </c>
      <c r="J304" t="str">
        <f>PROPER(shipments[[#This Row],[delivery_status]])</f>
        <v>Delivered</v>
      </c>
      <c r="K304" t="s">
        <v>6926</v>
      </c>
    </row>
    <row r="305" spans="1:11">
      <c r="A305" t="s">
        <v>7241</v>
      </c>
      <c r="B305" t="s">
        <v>1199</v>
      </c>
      <c r="C305" t="s">
        <v>6928</v>
      </c>
      <c r="D305" s="1">
        <v>45357</v>
      </c>
      <c r="E305" s="1">
        <v>45359</v>
      </c>
      <c r="F305" s="1">
        <v>45365</v>
      </c>
      <c r="G305">
        <v>4.5199999999999996</v>
      </c>
      <c r="H3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5" t="str">
        <f>IFERROR(INDEX(Raw_orders!G:G, MATCH(shipments[[#This Row],[order_id]],Raw_orders!A:A, 0)), "Unknown")</f>
        <v>Nordics</v>
      </c>
      <c r="J305" t="str">
        <f>PROPER(shipments[[#This Row],[delivery_status]])</f>
        <v>Delivered</v>
      </c>
      <c r="K305" t="s">
        <v>6929</v>
      </c>
    </row>
    <row r="306" spans="1:11">
      <c r="A306" t="s">
        <v>7242</v>
      </c>
      <c r="B306" t="s">
        <v>1200</v>
      </c>
      <c r="C306" t="s">
        <v>6956</v>
      </c>
      <c r="D306" s="1">
        <v>45626</v>
      </c>
      <c r="E306" s="1">
        <v>45629</v>
      </c>
      <c r="F306" s="1"/>
      <c r="G306">
        <v>21.25</v>
      </c>
      <c r="H3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06" t="str">
        <f>IFERROR(INDEX(Raw_orders!G:G, MATCH(shipments[[#This Row],[order_id]],Raw_orders!A:A, 0)), "Unknown")</f>
        <v>Nordics</v>
      </c>
      <c r="J306" t="str">
        <f>PROPER(shipments[[#This Row],[delivery_status]])</f>
        <v>Cancelled</v>
      </c>
      <c r="K306" t="s">
        <v>6963</v>
      </c>
    </row>
    <row r="307" spans="1:11">
      <c r="A307" t="s">
        <v>7243</v>
      </c>
      <c r="B307" t="s">
        <v>1201</v>
      </c>
      <c r="C307" t="s">
        <v>6921</v>
      </c>
      <c r="D307" s="1">
        <v>45576</v>
      </c>
      <c r="E307" s="1">
        <v>45578</v>
      </c>
      <c r="F307" s="1">
        <v>45586</v>
      </c>
      <c r="G307">
        <v>12.78</v>
      </c>
      <c r="H3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7" t="str">
        <f>IFERROR(INDEX(Raw_orders!G:G, MATCH(shipments[[#This Row],[order_id]],Raw_orders!A:A, 0)), "Unknown")</f>
        <v>Central Europe</v>
      </c>
      <c r="J307" t="str">
        <f>PROPER(shipments[[#This Row],[delivery_status]])</f>
        <v>Delivered</v>
      </c>
      <c r="K307" t="s">
        <v>6929</v>
      </c>
    </row>
    <row r="308" spans="1:11">
      <c r="A308" t="s">
        <v>7244</v>
      </c>
      <c r="B308" t="s">
        <v>1202</v>
      </c>
      <c r="C308" t="s">
        <v>6925</v>
      </c>
      <c r="D308" s="1">
        <v>45129</v>
      </c>
      <c r="E308" s="1">
        <v>45131</v>
      </c>
      <c r="F308" s="1">
        <v>45139</v>
      </c>
      <c r="G308">
        <v>11.58</v>
      </c>
      <c r="H3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8" t="str">
        <f>IFERROR(INDEX(Raw_orders!G:G, MATCH(shipments[[#This Row],[order_id]],Raw_orders!A:A, 0)), "Unknown")</f>
        <v>Central Europe</v>
      </c>
      <c r="J308" t="str">
        <f>PROPER(shipments[[#This Row],[delivery_status]])</f>
        <v>Delivered</v>
      </c>
      <c r="K308" t="s">
        <v>6926</v>
      </c>
    </row>
    <row r="309" spans="1:11">
      <c r="A309" t="s">
        <v>7245</v>
      </c>
      <c r="B309" t="s">
        <v>1203</v>
      </c>
      <c r="C309" t="s">
        <v>6956</v>
      </c>
      <c r="D309" s="1">
        <v>45393</v>
      </c>
      <c r="E309" s="1">
        <v>45403</v>
      </c>
      <c r="F309" s="1">
        <v>45406</v>
      </c>
      <c r="G309">
        <v>5.69</v>
      </c>
      <c r="H3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9" t="str">
        <f>IFERROR(INDEX(Raw_orders!G:G, MATCH(shipments[[#This Row],[order_id]],Raw_orders!A:A, 0)), "Unknown")</f>
        <v>Baltics</v>
      </c>
      <c r="J309" t="str">
        <f>PROPER(shipments[[#This Row],[delivery_status]])</f>
        <v>Delivered</v>
      </c>
      <c r="K309" t="s">
        <v>6922</v>
      </c>
    </row>
    <row r="310" spans="1:11">
      <c r="A310" t="s">
        <v>7246</v>
      </c>
      <c r="B310" t="s">
        <v>1204</v>
      </c>
      <c r="C310" t="s">
        <v>6938</v>
      </c>
      <c r="D310" s="1">
        <v>45626</v>
      </c>
      <c r="E310" s="1">
        <v>45628</v>
      </c>
      <c r="F310" s="1"/>
      <c r="G310">
        <v>55.77</v>
      </c>
      <c r="H3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10" t="str">
        <f>IFERROR(INDEX(Raw_orders!G:G, MATCH(shipments[[#This Row],[order_id]],Raw_orders!A:A, 0)), "Unknown")</f>
        <v>Baltics</v>
      </c>
      <c r="J310" t="str">
        <f>PROPER(shipments[[#This Row],[delivery_status]])</f>
        <v>Cancelled</v>
      </c>
      <c r="K310" t="s">
        <v>6979</v>
      </c>
    </row>
    <row r="311" spans="1:11">
      <c r="A311" t="s">
        <v>7247</v>
      </c>
      <c r="B311" t="s">
        <v>1205</v>
      </c>
      <c r="C311" t="s">
        <v>6928</v>
      </c>
      <c r="D311" s="1">
        <v>45319</v>
      </c>
      <c r="E311" s="1">
        <v>45321</v>
      </c>
      <c r="F311" s="1">
        <v>45321</v>
      </c>
      <c r="G311">
        <v>54.85</v>
      </c>
      <c r="H3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11" t="str">
        <f>IFERROR(INDEX(Raw_orders!G:G, MATCH(shipments[[#This Row],[order_id]],Raw_orders!A:A, 0)), "Unknown")</f>
        <v>Central Europe</v>
      </c>
      <c r="J311" t="str">
        <f>PROPER(shipments[[#This Row],[delivery_status]])</f>
        <v>Delivered</v>
      </c>
      <c r="K311" t="s">
        <v>6922</v>
      </c>
    </row>
    <row r="312" spans="1:11">
      <c r="A312" t="s">
        <v>7248</v>
      </c>
      <c r="B312" t="s">
        <v>1206</v>
      </c>
      <c r="C312" t="s">
        <v>6921</v>
      </c>
      <c r="D312" s="1">
        <v>44952</v>
      </c>
      <c r="E312" s="1">
        <v>44959</v>
      </c>
      <c r="F312" s="1">
        <v>44961</v>
      </c>
      <c r="G312">
        <v>42.33</v>
      </c>
      <c r="H3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2" t="str">
        <f>IFERROR(INDEX(Raw_orders!G:G, MATCH(shipments[[#This Row],[order_id]],Raw_orders!A:A, 0)), "Unknown")</f>
        <v>Nordics</v>
      </c>
      <c r="J312" t="str">
        <f>PROPER(shipments[[#This Row],[delivery_status]])</f>
        <v>Delivered</v>
      </c>
      <c r="K312" t="s">
        <v>6926</v>
      </c>
    </row>
    <row r="313" spans="1:11">
      <c r="A313" t="s">
        <v>7249</v>
      </c>
      <c r="B313" t="s">
        <v>1207</v>
      </c>
      <c r="C313" t="s">
        <v>6921</v>
      </c>
      <c r="D313" s="1">
        <v>45549</v>
      </c>
      <c r="E313" s="1">
        <v>45552</v>
      </c>
      <c r="F313" s="1">
        <v>45560</v>
      </c>
      <c r="G313">
        <v>12.48</v>
      </c>
      <c r="H3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3" t="str">
        <f>IFERROR(INDEX(Raw_orders!G:G, MATCH(shipments[[#This Row],[order_id]],Raw_orders!A:A, 0)), "Unknown")</f>
        <v>Nordics</v>
      </c>
      <c r="J313" t="str">
        <f>PROPER(shipments[[#This Row],[delivery_status]])</f>
        <v>Delivered</v>
      </c>
      <c r="K313" t="s">
        <v>6929</v>
      </c>
    </row>
    <row r="314" spans="1:11">
      <c r="A314" t="s">
        <v>7250</v>
      </c>
      <c r="B314" t="s">
        <v>1208</v>
      </c>
      <c r="C314" t="s">
        <v>6940</v>
      </c>
      <c r="D314" s="1">
        <v>45271</v>
      </c>
      <c r="E314" s="1">
        <v>45276</v>
      </c>
      <c r="F314" s="1">
        <v>45288</v>
      </c>
      <c r="G314">
        <v>56.29</v>
      </c>
      <c r="H3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4" t="str">
        <f>IFERROR(INDEX(Raw_orders!G:G, MATCH(shipments[[#This Row],[order_id]],Raw_orders!A:A, 0)), "Unknown")</f>
        <v>Central Europe</v>
      </c>
      <c r="J314" t="str">
        <f>PROPER(shipments[[#This Row],[delivery_status]])</f>
        <v>Delivered</v>
      </c>
      <c r="K314" t="s">
        <v>6929</v>
      </c>
    </row>
    <row r="315" spans="1:11">
      <c r="A315" t="s">
        <v>7251</v>
      </c>
      <c r="B315" t="s">
        <v>1209</v>
      </c>
      <c r="C315" t="s">
        <v>6925</v>
      </c>
      <c r="D315" s="1">
        <v>45447</v>
      </c>
      <c r="E315" s="1">
        <v>45452</v>
      </c>
      <c r="F315" s="1">
        <v>45455</v>
      </c>
      <c r="G315">
        <v>42.26</v>
      </c>
      <c r="H3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5" t="str">
        <f>IFERROR(INDEX(Raw_orders!G:G, MATCH(shipments[[#This Row],[order_id]],Raw_orders!A:A, 0)), "Unknown")</f>
        <v>Nordics</v>
      </c>
      <c r="J315" t="str">
        <f>PROPER(shipments[[#This Row],[delivery_status]])</f>
        <v>Delivered</v>
      </c>
      <c r="K315" t="s">
        <v>6929</v>
      </c>
    </row>
    <row r="316" spans="1:11">
      <c r="A316" t="s">
        <v>7252</v>
      </c>
      <c r="B316" t="s">
        <v>1210</v>
      </c>
      <c r="C316" t="s">
        <v>6921</v>
      </c>
      <c r="D316" s="1">
        <v>45531</v>
      </c>
      <c r="E316" s="1">
        <v>45536</v>
      </c>
      <c r="F316" s="1">
        <v>45541</v>
      </c>
      <c r="G316">
        <v>46.41</v>
      </c>
      <c r="H3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6" t="str">
        <f>IFERROR(INDEX(Raw_orders!G:G, MATCH(shipments[[#This Row],[order_id]],Raw_orders!A:A, 0)), "Unknown")</f>
        <v>Central Europe</v>
      </c>
      <c r="J316" t="str">
        <f>PROPER(shipments[[#This Row],[delivery_status]])</f>
        <v>Delivered</v>
      </c>
      <c r="K316" t="s">
        <v>6929</v>
      </c>
    </row>
    <row r="317" spans="1:11">
      <c r="A317" t="s">
        <v>7253</v>
      </c>
      <c r="B317" t="s">
        <v>1211</v>
      </c>
      <c r="C317" t="s">
        <v>6940</v>
      </c>
      <c r="D317" s="1">
        <v>45227</v>
      </c>
      <c r="E317" s="1">
        <v>45229</v>
      </c>
      <c r="F317" s="1">
        <v>45230</v>
      </c>
      <c r="G317">
        <v>53.69</v>
      </c>
      <c r="H3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7" t="str">
        <f>IFERROR(INDEX(Raw_orders!G:G, MATCH(shipments[[#This Row],[order_id]],Raw_orders!A:A, 0)), "Unknown")</f>
        <v>Unknown</v>
      </c>
      <c r="J317" t="str">
        <f>PROPER(shipments[[#This Row],[delivery_status]])</f>
        <v>Delivered</v>
      </c>
      <c r="K317" t="s">
        <v>6926</v>
      </c>
    </row>
    <row r="318" spans="1:11">
      <c r="A318" t="s">
        <v>7254</v>
      </c>
      <c r="B318" t="s">
        <v>1212</v>
      </c>
      <c r="C318" t="s">
        <v>6925</v>
      </c>
      <c r="D318" s="1">
        <v>45321</v>
      </c>
      <c r="E318" s="1">
        <v>45323</v>
      </c>
      <c r="F318" s="1">
        <v>45324</v>
      </c>
      <c r="G318">
        <v>42.93</v>
      </c>
      <c r="H3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8" t="str">
        <f>IFERROR(INDEX(Raw_orders!G:G, MATCH(shipments[[#This Row],[order_id]],Raw_orders!A:A, 0)), "Unknown")</f>
        <v>Central Europe</v>
      </c>
      <c r="J318" t="str">
        <f>PROPER(shipments[[#This Row],[delivery_status]])</f>
        <v>Delivered</v>
      </c>
      <c r="K318" t="s">
        <v>6929</v>
      </c>
    </row>
    <row r="319" spans="1:11">
      <c r="A319" t="s">
        <v>7255</v>
      </c>
      <c r="B319" t="s">
        <v>1213</v>
      </c>
      <c r="C319" t="s">
        <v>6935</v>
      </c>
      <c r="D319" s="1">
        <v>45097</v>
      </c>
      <c r="E319" s="1">
        <v>45102</v>
      </c>
      <c r="F319" s="1"/>
      <c r="G319">
        <v>30.97</v>
      </c>
      <c r="H3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19" t="str">
        <f>IFERROR(INDEX(Raw_orders!G:G, MATCH(shipments[[#This Row],[order_id]],Raw_orders!A:A, 0)), "Unknown")</f>
        <v>Central Europe</v>
      </c>
      <c r="J319" t="str">
        <f>PROPER(shipments[[#This Row],[delivery_status]])</f>
        <v>In Transit</v>
      </c>
      <c r="K319" t="s">
        <v>6958</v>
      </c>
    </row>
    <row r="320" spans="1:11">
      <c r="A320" t="s">
        <v>7256</v>
      </c>
      <c r="B320" t="s">
        <v>1214</v>
      </c>
      <c r="C320" t="s">
        <v>6925</v>
      </c>
      <c r="D320" s="1">
        <v>45365</v>
      </c>
      <c r="E320" s="1">
        <v>45368</v>
      </c>
      <c r="F320" s="1">
        <v>45368</v>
      </c>
      <c r="G320">
        <v>11.97</v>
      </c>
      <c r="H3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20" t="str">
        <f>IFERROR(INDEX(Raw_orders!G:G, MATCH(shipments[[#This Row],[order_id]],Raw_orders!A:A, 0)), "Unknown")</f>
        <v>Nordics</v>
      </c>
      <c r="J320" t="str">
        <f>PROPER(shipments[[#This Row],[delivery_status]])</f>
        <v>Delivered</v>
      </c>
      <c r="K320" t="s">
        <v>6929</v>
      </c>
    </row>
    <row r="321" spans="1:11">
      <c r="A321" t="s">
        <v>7257</v>
      </c>
      <c r="B321" t="s">
        <v>1215</v>
      </c>
      <c r="C321" t="s">
        <v>6956</v>
      </c>
      <c r="D321" s="1">
        <v>45304</v>
      </c>
      <c r="E321" s="1">
        <v>45309</v>
      </c>
      <c r="F321" s="1">
        <v>45321</v>
      </c>
      <c r="G321">
        <v>36.880000000000003</v>
      </c>
      <c r="H3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1" t="str">
        <f>IFERROR(INDEX(Raw_orders!G:G, MATCH(shipments[[#This Row],[order_id]],Raw_orders!A:A, 0)), "Unknown")</f>
        <v>Central Europe</v>
      </c>
      <c r="J321" t="str">
        <f>PROPER(shipments[[#This Row],[delivery_status]])</f>
        <v>Delivered</v>
      </c>
      <c r="K321" t="s">
        <v>6922</v>
      </c>
    </row>
    <row r="322" spans="1:11">
      <c r="A322" t="s">
        <v>7258</v>
      </c>
      <c r="B322" t="s">
        <v>1215</v>
      </c>
      <c r="C322" t="s">
        <v>6925</v>
      </c>
      <c r="D322" s="1">
        <v>45304</v>
      </c>
      <c r="E322" s="1">
        <v>45306</v>
      </c>
      <c r="F322" s="1">
        <v>45314</v>
      </c>
      <c r="G322">
        <v>21.02</v>
      </c>
      <c r="H3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2" t="str">
        <f>IFERROR(INDEX(Raw_orders!G:G, MATCH(shipments[[#This Row],[order_id]],Raw_orders!A:A, 0)), "Unknown")</f>
        <v>Central Europe</v>
      </c>
      <c r="J322" t="str">
        <f>PROPER(shipments[[#This Row],[delivery_status]])</f>
        <v>Delivered</v>
      </c>
      <c r="K322" t="s">
        <v>6922</v>
      </c>
    </row>
    <row r="323" spans="1:11">
      <c r="A323" t="s">
        <v>7259</v>
      </c>
      <c r="B323" t="s">
        <v>1216</v>
      </c>
      <c r="C323" t="s">
        <v>6935</v>
      </c>
      <c r="D323" s="1">
        <v>45316</v>
      </c>
      <c r="E323" s="1">
        <v>45323</v>
      </c>
      <c r="F323" s="1">
        <v>45331</v>
      </c>
      <c r="G323">
        <v>31.11</v>
      </c>
      <c r="H3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3" t="str">
        <f>IFERROR(INDEX(Raw_orders!G:G, MATCH(shipments[[#This Row],[order_id]],Raw_orders!A:A, 0)), "Unknown")</f>
        <v>Nordics</v>
      </c>
      <c r="J323" t="str">
        <f>PROPER(shipments[[#This Row],[delivery_status]])</f>
        <v>Delivered</v>
      </c>
      <c r="K323" t="s">
        <v>6926</v>
      </c>
    </row>
    <row r="324" spans="1:11">
      <c r="A324" t="s">
        <v>7260</v>
      </c>
      <c r="B324" t="s">
        <v>1217</v>
      </c>
      <c r="C324" t="s">
        <v>6928</v>
      </c>
      <c r="D324" s="1">
        <v>45447</v>
      </c>
      <c r="E324" s="1">
        <v>45457</v>
      </c>
      <c r="F324" s="1"/>
      <c r="G324">
        <v>6.59</v>
      </c>
      <c r="H3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24" t="str">
        <f>IFERROR(INDEX(Raw_orders!G:G, MATCH(shipments[[#This Row],[order_id]],Raw_orders!A:A, 0)), "Unknown")</f>
        <v>Nordics</v>
      </c>
      <c r="J324" t="str">
        <f>PROPER(shipments[[#This Row],[delivery_status]])</f>
        <v>In Transit</v>
      </c>
      <c r="K324" t="s">
        <v>6946</v>
      </c>
    </row>
    <row r="325" spans="1:11">
      <c r="A325" t="s">
        <v>7261</v>
      </c>
      <c r="B325" t="s">
        <v>1218</v>
      </c>
      <c r="C325" t="s">
        <v>6931</v>
      </c>
      <c r="D325" s="1">
        <v>45255</v>
      </c>
      <c r="E325" s="1">
        <v>45265</v>
      </c>
      <c r="F325" s="1">
        <v>45273</v>
      </c>
      <c r="G325">
        <v>32.22</v>
      </c>
      <c r="H3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5" t="str">
        <f>IFERROR(INDEX(Raw_orders!G:G, MATCH(shipments[[#This Row],[order_id]],Raw_orders!A:A, 0)), "Unknown")</f>
        <v>Central Europe</v>
      </c>
      <c r="J325" t="str">
        <f>PROPER(shipments[[#This Row],[delivery_status]])</f>
        <v>Delivered</v>
      </c>
      <c r="K325" t="s">
        <v>6926</v>
      </c>
    </row>
    <row r="326" spans="1:11">
      <c r="A326" t="s">
        <v>7262</v>
      </c>
      <c r="B326" t="s">
        <v>1219</v>
      </c>
      <c r="C326" t="s">
        <v>6938</v>
      </c>
      <c r="D326" s="1">
        <v>45340</v>
      </c>
      <c r="E326" s="1">
        <v>45350</v>
      </c>
      <c r="F326" s="1">
        <v>45358</v>
      </c>
      <c r="G326">
        <v>55.99</v>
      </c>
      <c r="H3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6" t="str">
        <f>IFERROR(INDEX(Raw_orders!G:G, MATCH(shipments[[#This Row],[order_id]],Raw_orders!A:A, 0)), "Unknown")</f>
        <v>Central Europe</v>
      </c>
      <c r="J326" t="str">
        <f>PROPER(shipments[[#This Row],[delivery_status]])</f>
        <v>Delivered</v>
      </c>
      <c r="K326" t="s">
        <v>6929</v>
      </c>
    </row>
    <row r="327" spans="1:11">
      <c r="A327" t="s">
        <v>7263</v>
      </c>
      <c r="B327" t="s">
        <v>1220</v>
      </c>
      <c r="C327" t="s">
        <v>6956</v>
      </c>
      <c r="D327" s="1">
        <v>45265</v>
      </c>
      <c r="E327" s="1">
        <v>45270</v>
      </c>
      <c r="F327" s="1">
        <v>45280</v>
      </c>
      <c r="G327">
        <v>16.78</v>
      </c>
      <c r="H3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7" t="str">
        <f>IFERROR(INDEX(Raw_orders!G:G, MATCH(shipments[[#This Row],[order_id]],Raw_orders!A:A, 0)), "Unknown")</f>
        <v>Central Europe</v>
      </c>
      <c r="J327" t="str">
        <f>PROPER(shipments[[#This Row],[delivery_status]])</f>
        <v>Delivered</v>
      </c>
      <c r="K327" t="s">
        <v>6922</v>
      </c>
    </row>
    <row r="328" spans="1:11">
      <c r="A328" t="s">
        <v>7264</v>
      </c>
      <c r="B328" t="s">
        <v>1221</v>
      </c>
      <c r="C328" t="s">
        <v>6938</v>
      </c>
      <c r="D328" s="1">
        <v>45597</v>
      </c>
      <c r="E328" s="1">
        <v>45604</v>
      </c>
      <c r="F328" s="1">
        <v>45614</v>
      </c>
      <c r="G328">
        <v>60.39</v>
      </c>
      <c r="H3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8" t="str">
        <f>IFERROR(INDEX(Raw_orders!G:G, MATCH(shipments[[#This Row],[order_id]],Raw_orders!A:A, 0)), "Unknown")</f>
        <v>Nordics</v>
      </c>
      <c r="J328" t="str">
        <f>PROPER(shipments[[#This Row],[delivery_status]])</f>
        <v>Delivered</v>
      </c>
      <c r="K328" t="s">
        <v>6922</v>
      </c>
    </row>
    <row r="329" spans="1:11">
      <c r="A329" t="s">
        <v>7265</v>
      </c>
      <c r="B329" t="s">
        <v>1222</v>
      </c>
      <c r="C329" t="s">
        <v>6921</v>
      </c>
      <c r="D329" s="1">
        <v>45199</v>
      </c>
      <c r="E329" s="1">
        <v>45206</v>
      </c>
      <c r="F329" s="1"/>
      <c r="G329">
        <v>45.82</v>
      </c>
      <c r="H3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29" t="str">
        <f>IFERROR(INDEX(Raw_orders!G:G, MATCH(shipments[[#This Row],[order_id]],Raw_orders!A:A, 0)), "Unknown")</f>
        <v>Central Europe</v>
      </c>
      <c r="J329" t="str">
        <f>PROPER(shipments[[#This Row],[delivery_status]])</f>
        <v>In Transit</v>
      </c>
      <c r="K329" t="s">
        <v>6958</v>
      </c>
    </row>
    <row r="330" spans="1:11">
      <c r="A330" t="s">
        <v>7266</v>
      </c>
      <c r="B330" t="s">
        <v>1223</v>
      </c>
      <c r="C330" t="s">
        <v>6956</v>
      </c>
      <c r="D330" s="1">
        <v>45431</v>
      </c>
      <c r="E330" s="1">
        <v>45438</v>
      </c>
      <c r="F330" s="1"/>
      <c r="G330">
        <v>5.04</v>
      </c>
      <c r="H3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30" t="str">
        <f>IFERROR(INDEX(Raw_orders!G:G, MATCH(shipments[[#This Row],[order_id]],Raw_orders!A:A, 0)), "Unknown")</f>
        <v>Central Europe</v>
      </c>
      <c r="J330" t="str">
        <f>PROPER(shipments[[#This Row],[delivery_status]])</f>
        <v>In Transit</v>
      </c>
      <c r="K330" t="s">
        <v>6946</v>
      </c>
    </row>
    <row r="331" spans="1:11">
      <c r="A331" t="s">
        <v>7267</v>
      </c>
      <c r="B331" t="s">
        <v>1224</v>
      </c>
      <c r="C331" t="s">
        <v>6928</v>
      </c>
      <c r="D331" s="1">
        <v>45493</v>
      </c>
      <c r="E331" s="1">
        <v>45498</v>
      </c>
      <c r="F331" s="1">
        <v>45498</v>
      </c>
      <c r="G331">
        <v>9.01</v>
      </c>
      <c r="H3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31" t="str">
        <f>IFERROR(INDEX(Raw_orders!G:G, MATCH(shipments[[#This Row],[order_id]],Raw_orders!A:A, 0)), "Unknown")</f>
        <v>Central Europe</v>
      </c>
      <c r="J331" t="str">
        <f>PROPER(shipments[[#This Row],[delivery_status]])</f>
        <v>Delivered</v>
      </c>
      <c r="K331" t="s">
        <v>6929</v>
      </c>
    </row>
    <row r="332" spans="1:11">
      <c r="A332" t="s">
        <v>7268</v>
      </c>
      <c r="B332" t="s">
        <v>1224</v>
      </c>
      <c r="C332" t="s">
        <v>6925</v>
      </c>
      <c r="D332" s="1">
        <v>45493</v>
      </c>
      <c r="E332" s="1">
        <v>45496</v>
      </c>
      <c r="F332" s="1">
        <v>45497</v>
      </c>
      <c r="G332">
        <v>45.9</v>
      </c>
      <c r="H3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2" t="str">
        <f>IFERROR(INDEX(Raw_orders!G:G, MATCH(shipments[[#This Row],[order_id]],Raw_orders!A:A, 0)), "Unknown")</f>
        <v>Central Europe</v>
      </c>
      <c r="J332" t="str">
        <f>PROPER(shipments[[#This Row],[delivery_status]])</f>
        <v>Delivered</v>
      </c>
      <c r="K332" t="s">
        <v>6922</v>
      </c>
    </row>
    <row r="333" spans="1:11">
      <c r="A333" t="s">
        <v>7269</v>
      </c>
      <c r="B333" t="s">
        <v>1225</v>
      </c>
      <c r="C333" t="s">
        <v>6921</v>
      </c>
      <c r="D333" s="1">
        <v>45055</v>
      </c>
      <c r="E333" s="1">
        <v>45065</v>
      </c>
      <c r="F333" s="1">
        <v>45070</v>
      </c>
      <c r="G333">
        <v>29.25</v>
      </c>
      <c r="H3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3" t="str">
        <f>IFERROR(INDEX(Raw_orders!G:G, MATCH(shipments[[#This Row],[order_id]],Raw_orders!A:A, 0)), "Unknown")</f>
        <v>Central Europe</v>
      </c>
      <c r="J333" t="str">
        <f>PROPER(shipments[[#This Row],[delivery_status]])</f>
        <v>Delivered</v>
      </c>
      <c r="K333" t="s">
        <v>6922</v>
      </c>
    </row>
    <row r="334" spans="1:11">
      <c r="A334" t="s">
        <v>7270</v>
      </c>
      <c r="B334" t="s">
        <v>1226</v>
      </c>
      <c r="C334" t="s">
        <v>6949</v>
      </c>
      <c r="D334" s="1">
        <v>45205</v>
      </c>
      <c r="E334" s="1">
        <v>45215</v>
      </c>
      <c r="F334" s="1">
        <v>45215</v>
      </c>
      <c r="H3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34" t="str">
        <f>IFERROR(INDEX(Raw_orders!G:G, MATCH(shipments[[#This Row],[order_id]],Raw_orders!A:A, 0)), "Unknown")</f>
        <v>Baltics</v>
      </c>
      <c r="J334" t="str">
        <f>PROPER(shipments[[#This Row],[delivery_status]])</f>
        <v>Delivered</v>
      </c>
      <c r="K334" t="s">
        <v>6922</v>
      </c>
    </row>
    <row r="335" spans="1:11">
      <c r="A335" t="s">
        <v>7271</v>
      </c>
      <c r="B335" t="s">
        <v>1227</v>
      </c>
      <c r="C335" t="s">
        <v>6935</v>
      </c>
      <c r="D335" s="1">
        <v>44976</v>
      </c>
      <c r="E335" s="1">
        <v>44979</v>
      </c>
      <c r="F335" s="1">
        <v>44982</v>
      </c>
      <c r="G335">
        <v>46.65</v>
      </c>
      <c r="H3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5" t="str">
        <f>IFERROR(INDEX(Raw_orders!G:G, MATCH(shipments[[#This Row],[order_id]],Raw_orders!A:A, 0)), "Unknown")</f>
        <v>Baltics</v>
      </c>
      <c r="J335" t="str">
        <f>PROPER(shipments[[#This Row],[delivery_status]])</f>
        <v>Delivered</v>
      </c>
      <c r="K335" t="s">
        <v>6929</v>
      </c>
    </row>
    <row r="336" spans="1:11">
      <c r="A336" t="s">
        <v>7272</v>
      </c>
      <c r="B336" t="s">
        <v>1228</v>
      </c>
      <c r="C336" t="s">
        <v>6938</v>
      </c>
      <c r="D336" s="1">
        <v>45315</v>
      </c>
      <c r="E336" s="1">
        <v>45325</v>
      </c>
      <c r="F336" s="1"/>
      <c r="G336">
        <v>50.37</v>
      </c>
      <c r="H3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36" t="str">
        <f>IFERROR(INDEX(Raw_orders!G:G, MATCH(shipments[[#This Row],[order_id]],Raw_orders!A:A, 0)), "Unknown")</f>
        <v>Nordics</v>
      </c>
      <c r="J336" t="str">
        <f>PROPER(shipments[[#This Row],[delivery_status]])</f>
        <v>Cancelled</v>
      </c>
      <c r="K336" t="s">
        <v>6963</v>
      </c>
    </row>
    <row r="337" spans="1:11">
      <c r="A337" t="s">
        <v>7273</v>
      </c>
      <c r="B337" t="s">
        <v>1228</v>
      </c>
      <c r="C337" t="s">
        <v>6925</v>
      </c>
      <c r="D337" s="1">
        <v>45317</v>
      </c>
      <c r="E337" s="1">
        <v>45322</v>
      </c>
      <c r="F337" s="1">
        <v>45329</v>
      </c>
      <c r="G337">
        <v>64.489999999999995</v>
      </c>
      <c r="H3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7" t="str">
        <f>IFERROR(INDEX(Raw_orders!G:G, MATCH(shipments[[#This Row],[order_id]],Raw_orders!A:A, 0)), "Unknown")</f>
        <v>Nordics</v>
      </c>
      <c r="J337" t="str">
        <f>PROPER(shipments[[#This Row],[delivery_status]])</f>
        <v>Delivered</v>
      </c>
      <c r="K337" t="s">
        <v>6929</v>
      </c>
    </row>
    <row r="338" spans="1:11">
      <c r="A338" t="s">
        <v>7274</v>
      </c>
      <c r="B338" t="s">
        <v>1229</v>
      </c>
      <c r="C338" t="s">
        <v>6935</v>
      </c>
      <c r="D338" s="1">
        <v>44948</v>
      </c>
      <c r="E338" s="1">
        <v>44953</v>
      </c>
      <c r="F338" s="1">
        <v>44966</v>
      </c>
      <c r="G338">
        <v>36.31</v>
      </c>
      <c r="H3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8" t="str">
        <f>IFERROR(INDEX(Raw_orders!G:G, MATCH(shipments[[#This Row],[order_id]],Raw_orders!A:A, 0)), "Unknown")</f>
        <v>Baltics</v>
      </c>
      <c r="J338" t="str">
        <f>PROPER(shipments[[#This Row],[delivery_status]])</f>
        <v>Delivered</v>
      </c>
      <c r="K338" t="s">
        <v>6926</v>
      </c>
    </row>
    <row r="339" spans="1:11">
      <c r="A339" t="s">
        <v>7275</v>
      </c>
      <c r="B339" t="s">
        <v>1230</v>
      </c>
      <c r="C339" t="s">
        <v>6935</v>
      </c>
      <c r="D339" s="1">
        <v>45529</v>
      </c>
      <c r="E339" s="1">
        <v>45531</v>
      </c>
      <c r="F339" s="1">
        <v>45536</v>
      </c>
      <c r="G339">
        <v>33</v>
      </c>
      <c r="H3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9" t="str">
        <f>IFERROR(INDEX(Raw_orders!G:G, MATCH(shipments[[#This Row],[order_id]],Raw_orders!A:A, 0)), "Unknown")</f>
        <v>Baltics</v>
      </c>
      <c r="J339" t="str">
        <f>PROPER(shipments[[#This Row],[delivery_status]])</f>
        <v>Delivered</v>
      </c>
      <c r="K339" t="s">
        <v>6922</v>
      </c>
    </row>
    <row r="340" spans="1:11">
      <c r="A340" t="s">
        <v>7276</v>
      </c>
      <c r="B340" t="s">
        <v>1231</v>
      </c>
      <c r="C340" t="s">
        <v>6938</v>
      </c>
      <c r="D340" s="1">
        <v>45370</v>
      </c>
      <c r="E340" s="1">
        <v>45373</v>
      </c>
      <c r="F340" s="1">
        <v>45375</v>
      </c>
      <c r="G340">
        <v>32.130000000000003</v>
      </c>
      <c r="H3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0" t="str">
        <f>IFERROR(INDEX(Raw_orders!G:G, MATCH(shipments[[#This Row],[order_id]],Raw_orders!A:A, 0)), "Unknown")</f>
        <v>Unknown</v>
      </c>
      <c r="J340" t="str">
        <f>PROPER(shipments[[#This Row],[delivery_status]])</f>
        <v>Delivered</v>
      </c>
      <c r="K340" t="s">
        <v>6926</v>
      </c>
    </row>
    <row r="341" spans="1:11">
      <c r="A341" t="s">
        <v>7277</v>
      </c>
      <c r="B341" t="s">
        <v>1232</v>
      </c>
      <c r="C341" t="s">
        <v>6935</v>
      </c>
      <c r="D341" s="1">
        <v>45408</v>
      </c>
      <c r="E341" s="1">
        <v>45415</v>
      </c>
      <c r="F341" s="1">
        <v>45415</v>
      </c>
      <c r="G341">
        <v>17.16</v>
      </c>
      <c r="H3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41" t="str">
        <f>IFERROR(INDEX(Raw_orders!G:G, MATCH(shipments[[#This Row],[order_id]],Raw_orders!A:A, 0)), "Unknown")</f>
        <v>Central Europe</v>
      </c>
      <c r="J341" t="str">
        <f>PROPER(shipments[[#This Row],[delivery_status]])</f>
        <v>Delivered</v>
      </c>
      <c r="K341" t="s">
        <v>6922</v>
      </c>
    </row>
    <row r="342" spans="1:11">
      <c r="A342" t="s">
        <v>7278</v>
      </c>
      <c r="B342" t="s">
        <v>1233</v>
      </c>
      <c r="C342" t="s">
        <v>6935</v>
      </c>
      <c r="D342" s="1">
        <v>44932</v>
      </c>
      <c r="E342" s="1">
        <v>44939</v>
      </c>
      <c r="F342" s="1">
        <v>44941</v>
      </c>
      <c r="G342">
        <v>35.67</v>
      </c>
      <c r="H3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2" t="str">
        <f>IFERROR(INDEX(Raw_orders!G:G, MATCH(shipments[[#This Row],[order_id]],Raw_orders!A:A, 0)), "Unknown")</f>
        <v>Central Europe</v>
      </c>
      <c r="J342" t="str">
        <f>PROPER(shipments[[#This Row],[delivery_status]])</f>
        <v>Delivered</v>
      </c>
      <c r="K342" t="s">
        <v>6922</v>
      </c>
    </row>
    <row r="343" spans="1:11">
      <c r="A343" t="s">
        <v>7279</v>
      </c>
      <c r="B343" t="s">
        <v>1234</v>
      </c>
      <c r="C343" t="s">
        <v>6931</v>
      </c>
      <c r="D343" s="1">
        <v>45389</v>
      </c>
      <c r="E343" s="1">
        <v>45394</v>
      </c>
      <c r="F343" s="1">
        <v>45399</v>
      </c>
      <c r="G343">
        <v>62.96</v>
      </c>
      <c r="H3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3" t="str">
        <f>IFERROR(INDEX(Raw_orders!G:G, MATCH(shipments[[#This Row],[order_id]],Raw_orders!A:A, 0)), "Unknown")</f>
        <v>Baltics</v>
      </c>
      <c r="J343" t="str">
        <f>PROPER(shipments[[#This Row],[delivery_status]])</f>
        <v>Delivered</v>
      </c>
      <c r="K343" t="s">
        <v>6929</v>
      </c>
    </row>
    <row r="344" spans="1:11">
      <c r="A344" t="s">
        <v>7280</v>
      </c>
      <c r="B344" t="s">
        <v>1235</v>
      </c>
      <c r="C344" t="s">
        <v>6940</v>
      </c>
      <c r="D344" s="1">
        <v>45102</v>
      </c>
      <c r="E344" s="1">
        <v>45109</v>
      </c>
      <c r="F344" s="1">
        <v>45109</v>
      </c>
      <c r="G344">
        <v>46.69</v>
      </c>
      <c r="H3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44" t="str">
        <f>IFERROR(INDEX(Raw_orders!G:G, MATCH(shipments[[#This Row],[order_id]],Raw_orders!A:A, 0)), "Unknown")</f>
        <v>Baltics</v>
      </c>
      <c r="J344" t="str">
        <f>PROPER(shipments[[#This Row],[delivery_status]])</f>
        <v>Delivered</v>
      </c>
      <c r="K344" t="s">
        <v>6929</v>
      </c>
    </row>
    <row r="345" spans="1:11">
      <c r="A345" t="s">
        <v>7281</v>
      </c>
      <c r="B345" t="s">
        <v>1236</v>
      </c>
      <c r="C345" t="s">
        <v>6956</v>
      </c>
      <c r="D345" s="1">
        <v>45117</v>
      </c>
      <c r="E345" s="1">
        <v>45122</v>
      </c>
      <c r="F345" s="1">
        <v>45121</v>
      </c>
      <c r="G345">
        <v>62.79</v>
      </c>
      <c r="H3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45" t="str">
        <f>IFERROR(INDEX(Raw_orders!G:G, MATCH(shipments[[#This Row],[order_id]],Raw_orders!A:A, 0)), "Unknown")</f>
        <v>Central Europe</v>
      </c>
      <c r="J345" t="str">
        <f>PROPER(shipments[[#This Row],[delivery_status]])</f>
        <v>Delivered</v>
      </c>
      <c r="K345" t="s">
        <v>6922</v>
      </c>
    </row>
    <row r="346" spans="1:11">
      <c r="A346" t="s">
        <v>7282</v>
      </c>
      <c r="B346" t="s">
        <v>1237</v>
      </c>
      <c r="C346" t="s">
        <v>6928</v>
      </c>
      <c r="D346" s="1">
        <v>45384</v>
      </c>
      <c r="E346" s="1">
        <v>45391</v>
      </c>
      <c r="F346" s="1">
        <v>45391</v>
      </c>
      <c r="G346">
        <v>27.84</v>
      </c>
      <c r="H3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46" t="str">
        <f>IFERROR(INDEX(Raw_orders!G:G, MATCH(shipments[[#This Row],[order_id]],Raw_orders!A:A, 0)), "Unknown")</f>
        <v>Baltics</v>
      </c>
      <c r="J346" t="str">
        <f>PROPER(shipments[[#This Row],[delivery_status]])</f>
        <v>Delivered</v>
      </c>
      <c r="K346" t="s">
        <v>6922</v>
      </c>
    </row>
    <row r="347" spans="1:11">
      <c r="A347" t="s">
        <v>7283</v>
      </c>
      <c r="B347" t="s">
        <v>1238</v>
      </c>
      <c r="C347" t="s">
        <v>6935</v>
      </c>
      <c r="D347" s="1">
        <v>45497</v>
      </c>
      <c r="E347" s="1">
        <v>45504</v>
      </c>
      <c r="F347" s="1">
        <v>45504</v>
      </c>
      <c r="G347">
        <v>29.47</v>
      </c>
      <c r="H3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47" t="str">
        <f>IFERROR(INDEX(Raw_orders!G:G, MATCH(shipments[[#This Row],[order_id]],Raw_orders!A:A, 0)), "Unknown")</f>
        <v>Central Europe</v>
      </c>
      <c r="J347" t="str">
        <f>PROPER(shipments[[#This Row],[delivery_status]])</f>
        <v>Delivered</v>
      </c>
      <c r="K347" t="s">
        <v>6926</v>
      </c>
    </row>
    <row r="348" spans="1:11">
      <c r="A348" t="s">
        <v>7284</v>
      </c>
      <c r="B348" t="s">
        <v>1239</v>
      </c>
      <c r="C348" t="s">
        <v>6935</v>
      </c>
      <c r="D348" s="1">
        <v>44951</v>
      </c>
      <c r="E348" s="1">
        <v>44954</v>
      </c>
      <c r="F348" s="1">
        <v>44968</v>
      </c>
      <c r="G348">
        <v>23.97</v>
      </c>
      <c r="H3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8" t="str">
        <f>IFERROR(INDEX(Raw_orders!G:G, MATCH(shipments[[#This Row],[order_id]],Raw_orders!A:A, 0)), "Unknown")</f>
        <v>Nordics</v>
      </c>
      <c r="J348" t="str">
        <f>PROPER(shipments[[#This Row],[delivery_status]])</f>
        <v>Delivered</v>
      </c>
      <c r="K348" t="s">
        <v>6922</v>
      </c>
    </row>
    <row r="349" spans="1:11">
      <c r="A349" t="s">
        <v>7285</v>
      </c>
      <c r="B349" t="s">
        <v>1240</v>
      </c>
      <c r="C349" t="s">
        <v>6940</v>
      </c>
      <c r="D349" s="1">
        <v>45344</v>
      </c>
      <c r="E349" s="1">
        <v>45354</v>
      </c>
      <c r="F349" s="1">
        <v>45355</v>
      </c>
      <c r="G349">
        <v>19.34</v>
      </c>
      <c r="H3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9" t="str">
        <f>IFERROR(INDEX(Raw_orders!G:G, MATCH(shipments[[#This Row],[order_id]],Raw_orders!A:A, 0)), "Unknown")</f>
        <v>Central Europe</v>
      </c>
      <c r="J349" t="str">
        <f>PROPER(shipments[[#This Row],[delivery_status]])</f>
        <v>Delivered</v>
      </c>
      <c r="K349" t="s">
        <v>6929</v>
      </c>
    </row>
    <row r="350" spans="1:11">
      <c r="A350" t="s">
        <v>7286</v>
      </c>
      <c r="B350" t="s">
        <v>1241</v>
      </c>
      <c r="C350" t="s">
        <v>6928</v>
      </c>
      <c r="D350" s="1">
        <v>45123</v>
      </c>
      <c r="E350" s="1">
        <v>45125</v>
      </c>
      <c r="F350" s="1">
        <v>45128</v>
      </c>
      <c r="H3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0" t="str">
        <f>IFERROR(INDEX(Raw_orders!G:G, MATCH(shipments[[#This Row],[order_id]],Raw_orders!A:A, 0)), "Unknown")</f>
        <v>Baltics</v>
      </c>
      <c r="J350" t="str">
        <f>PROPER(shipments[[#This Row],[delivery_status]])</f>
        <v>Delivered</v>
      </c>
      <c r="K350" t="s">
        <v>6929</v>
      </c>
    </row>
    <row r="351" spans="1:11">
      <c r="A351" t="s">
        <v>7287</v>
      </c>
      <c r="B351" t="s">
        <v>1242</v>
      </c>
      <c r="C351" t="s">
        <v>6921</v>
      </c>
      <c r="D351" s="1">
        <v>45206</v>
      </c>
      <c r="E351" s="1">
        <v>45209</v>
      </c>
      <c r="F351" s="1">
        <v>45209</v>
      </c>
      <c r="G351">
        <v>5.5</v>
      </c>
      <c r="H3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51" t="str">
        <f>IFERROR(INDEX(Raw_orders!G:G, MATCH(shipments[[#This Row],[order_id]],Raw_orders!A:A, 0)), "Unknown")</f>
        <v>Baltics</v>
      </c>
      <c r="J351" t="str">
        <f>PROPER(shipments[[#This Row],[delivery_status]])</f>
        <v>Delivered</v>
      </c>
      <c r="K351" t="s">
        <v>6922</v>
      </c>
    </row>
    <row r="352" spans="1:11">
      <c r="A352" t="s">
        <v>7288</v>
      </c>
      <c r="B352" t="s">
        <v>1242</v>
      </c>
      <c r="C352" t="s">
        <v>6921</v>
      </c>
      <c r="D352" s="1">
        <v>45209</v>
      </c>
      <c r="E352" s="1">
        <v>45219</v>
      </c>
      <c r="F352" s="1"/>
      <c r="G352">
        <v>47.55</v>
      </c>
      <c r="H3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52" t="str">
        <f>IFERROR(INDEX(Raw_orders!G:G, MATCH(shipments[[#This Row],[order_id]],Raw_orders!A:A, 0)), "Unknown")</f>
        <v>Baltics</v>
      </c>
      <c r="J352" t="str">
        <f>PROPER(shipments[[#This Row],[delivery_status]])</f>
        <v>In Transit</v>
      </c>
      <c r="K352" t="s">
        <v>6958</v>
      </c>
    </row>
    <row r="353" spans="1:11">
      <c r="A353" t="s">
        <v>7289</v>
      </c>
      <c r="B353" t="s">
        <v>1243</v>
      </c>
      <c r="C353" t="s">
        <v>6928</v>
      </c>
      <c r="D353" s="1">
        <v>45546</v>
      </c>
      <c r="E353" s="1">
        <v>45549</v>
      </c>
      <c r="F353" s="1">
        <v>45554</v>
      </c>
      <c r="G353">
        <v>20.14</v>
      </c>
      <c r="H3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3" t="str">
        <f>IFERROR(INDEX(Raw_orders!G:G, MATCH(shipments[[#This Row],[order_id]],Raw_orders!A:A, 0)), "Unknown")</f>
        <v>Baltics</v>
      </c>
      <c r="J353" t="str">
        <f>PROPER(shipments[[#This Row],[delivery_status]])</f>
        <v>Delivered</v>
      </c>
      <c r="K353" t="s">
        <v>6929</v>
      </c>
    </row>
    <row r="354" spans="1:11">
      <c r="A354" t="s">
        <v>7290</v>
      </c>
      <c r="B354" t="s">
        <v>1244</v>
      </c>
      <c r="C354" t="s">
        <v>6935</v>
      </c>
      <c r="D354" s="1">
        <v>45513</v>
      </c>
      <c r="E354" s="1">
        <v>45516</v>
      </c>
      <c r="F354" s="1">
        <v>45522</v>
      </c>
      <c r="G354">
        <v>10.65</v>
      </c>
      <c r="H3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4" t="str">
        <f>IFERROR(INDEX(Raw_orders!G:G, MATCH(shipments[[#This Row],[order_id]],Raw_orders!A:A, 0)), "Unknown")</f>
        <v>Central Europe</v>
      </c>
      <c r="J354" t="str">
        <f>PROPER(shipments[[#This Row],[delivery_status]])</f>
        <v>Delivered</v>
      </c>
      <c r="K354" t="s">
        <v>6922</v>
      </c>
    </row>
    <row r="355" spans="1:11">
      <c r="A355" t="s">
        <v>7291</v>
      </c>
      <c r="B355" t="s">
        <v>1245</v>
      </c>
      <c r="C355" t="s">
        <v>6949</v>
      </c>
      <c r="D355" s="1">
        <v>45444</v>
      </c>
      <c r="E355" s="1">
        <v>45454</v>
      </c>
      <c r="F355" s="1"/>
      <c r="G355">
        <v>46.12</v>
      </c>
      <c r="H3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55" t="str">
        <f>IFERROR(INDEX(Raw_orders!G:G, MATCH(shipments[[#This Row],[order_id]],Raw_orders!A:A, 0)), "Unknown")</f>
        <v>Nordics</v>
      </c>
      <c r="J355" t="str">
        <f>PROPER(shipments[[#This Row],[delivery_status]])</f>
        <v>In Transit</v>
      </c>
      <c r="K355" t="s">
        <v>6958</v>
      </c>
    </row>
    <row r="356" spans="1:11">
      <c r="A356" t="s">
        <v>7292</v>
      </c>
      <c r="B356" t="s">
        <v>1246</v>
      </c>
      <c r="C356" t="s">
        <v>6949</v>
      </c>
      <c r="D356" s="1">
        <v>45231</v>
      </c>
      <c r="E356" s="1">
        <v>45234</v>
      </c>
      <c r="F356" s="1">
        <v>45242</v>
      </c>
      <c r="G356">
        <v>64.75</v>
      </c>
      <c r="H3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6" t="str">
        <f>IFERROR(INDEX(Raw_orders!G:G, MATCH(shipments[[#This Row],[order_id]],Raw_orders!A:A, 0)), "Unknown")</f>
        <v>Baltics</v>
      </c>
      <c r="J356" t="str">
        <f>PROPER(shipments[[#This Row],[delivery_status]])</f>
        <v>Delivered</v>
      </c>
      <c r="K356" t="s">
        <v>6922</v>
      </c>
    </row>
    <row r="357" spans="1:11">
      <c r="A357" t="s">
        <v>7293</v>
      </c>
      <c r="B357" t="s">
        <v>1247</v>
      </c>
      <c r="C357" t="s">
        <v>6935</v>
      </c>
      <c r="D357" s="1">
        <v>45500</v>
      </c>
      <c r="E357" s="1">
        <v>45510</v>
      </c>
      <c r="F357" s="1">
        <v>45510</v>
      </c>
      <c r="G357">
        <v>37.75</v>
      </c>
      <c r="H3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57" t="str">
        <f>IFERROR(INDEX(Raw_orders!G:G, MATCH(shipments[[#This Row],[order_id]],Raw_orders!A:A, 0)), "Unknown")</f>
        <v>Nordics</v>
      </c>
      <c r="J357" t="str">
        <f>PROPER(shipments[[#This Row],[delivery_status]])</f>
        <v>Delivered</v>
      </c>
      <c r="K357" t="s">
        <v>6929</v>
      </c>
    </row>
    <row r="358" spans="1:11">
      <c r="A358" t="s">
        <v>7294</v>
      </c>
      <c r="B358" t="s">
        <v>1248</v>
      </c>
      <c r="C358" t="s">
        <v>6935</v>
      </c>
      <c r="D358" s="1">
        <v>45089</v>
      </c>
      <c r="E358" s="1">
        <v>45092</v>
      </c>
      <c r="F358" s="1">
        <v>45092</v>
      </c>
      <c r="G358">
        <v>50.34</v>
      </c>
      <c r="H3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58" t="str">
        <f>IFERROR(INDEX(Raw_orders!G:G, MATCH(shipments[[#This Row],[order_id]],Raw_orders!A:A, 0)), "Unknown")</f>
        <v>Unknown</v>
      </c>
      <c r="J358" t="str">
        <f>PROPER(shipments[[#This Row],[delivery_status]])</f>
        <v>Delivered</v>
      </c>
      <c r="K358" t="s">
        <v>6922</v>
      </c>
    </row>
    <row r="359" spans="1:11">
      <c r="A359" t="s">
        <v>7295</v>
      </c>
      <c r="B359" t="s">
        <v>1249</v>
      </c>
      <c r="C359" t="s">
        <v>6931</v>
      </c>
      <c r="D359" s="1">
        <v>45499</v>
      </c>
      <c r="E359" s="1">
        <v>45509</v>
      </c>
      <c r="F359" s="1"/>
      <c r="G359">
        <v>59.41</v>
      </c>
      <c r="H3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59" t="str">
        <f>IFERROR(INDEX(Raw_orders!G:G, MATCH(shipments[[#This Row],[order_id]],Raw_orders!A:A, 0)), "Unknown")</f>
        <v>Nordics</v>
      </c>
      <c r="J359" t="str">
        <f>PROPER(shipments[[#This Row],[delivery_status]])</f>
        <v>In Transit</v>
      </c>
      <c r="K359" t="s">
        <v>6958</v>
      </c>
    </row>
    <row r="360" spans="1:11">
      <c r="A360" t="s">
        <v>7296</v>
      </c>
      <c r="B360" t="s">
        <v>1250</v>
      </c>
      <c r="C360" t="s">
        <v>6940</v>
      </c>
      <c r="D360" s="1">
        <v>45533</v>
      </c>
      <c r="E360" s="1">
        <v>45536</v>
      </c>
      <c r="F360" s="1">
        <v>45536</v>
      </c>
      <c r="G360">
        <v>40.090000000000003</v>
      </c>
      <c r="H3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0" t="str">
        <f>IFERROR(INDEX(Raw_orders!G:G, MATCH(shipments[[#This Row],[order_id]],Raw_orders!A:A, 0)), "Unknown")</f>
        <v>Nordics</v>
      </c>
      <c r="J360" t="str">
        <f>PROPER(shipments[[#This Row],[delivery_status]])</f>
        <v>Delivered</v>
      </c>
      <c r="K360" t="s">
        <v>6929</v>
      </c>
    </row>
    <row r="361" spans="1:11">
      <c r="A361" t="s">
        <v>7297</v>
      </c>
      <c r="B361" t="s">
        <v>1251</v>
      </c>
      <c r="C361" t="s">
        <v>6956</v>
      </c>
      <c r="D361" s="1">
        <v>45571</v>
      </c>
      <c r="E361" s="1">
        <v>45581</v>
      </c>
      <c r="F361" s="1">
        <v>45584</v>
      </c>
      <c r="G361">
        <v>42.83</v>
      </c>
      <c r="H3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1" t="str">
        <f>IFERROR(INDEX(Raw_orders!G:G, MATCH(shipments[[#This Row],[order_id]],Raw_orders!A:A, 0)), "Unknown")</f>
        <v>Central Europe</v>
      </c>
      <c r="J361" t="str">
        <f>PROPER(shipments[[#This Row],[delivery_status]])</f>
        <v>Delivered</v>
      </c>
      <c r="K361" t="s">
        <v>6929</v>
      </c>
    </row>
    <row r="362" spans="1:11">
      <c r="A362" t="s">
        <v>7298</v>
      </c>
      <c r="B362" t="s">
        <v>1252</v>
      </c>
      <c r="C362" t="s">
        <v>6956</v>
      </c>
      <c r="D362" s="1">
        <v>45048</v>
      </c>
      <c r="E362" s="1">
        <v>45058</v>
      </c>
      <c r="F362" s="1">
        <v>45060</v>
      </c>
      <c r="G362">
        <v>43.23</v>
      </c>
      <c r="H3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2" t="str">
        <f>IFERROR(INDEX(Raw_orders!G:G, MATCH(shipments[[#This Row],[order_id]],Raw_orders!A:A, 0)), "Unknown")</f>
        <v>Central Europe</v>
      </c>
      <c r="J362" t="str">
        <f>PROPER(shipments[[#This Row],[delivery_status]])</f>
        <v>Delivered</v>
      </c>
      <c r="K362" t="s">
        <v>6929</v>
      </c>
    </row>
    <row r="363" spans="1:11">
      <c r="A363" t="s">
        <v>7299</v>
      </c>
      <c r="B363" t="s">
        <v>1253</v>
      </c>
      <c r="C363" t="s">
        <v>6956</v>
      </c>
      <c r="D363" s="1">
        <v>44984</v>
      </c>
      <c r="E363" s="1">
        <v>44987</v>
      </c>
      <c r="F363" s="1">
        <v>44997</v>
      </c>
      <c r="G363">
        <v>10.09</v>
      </c>
      <c r="H3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3" t="str">
        <f>IFERROR(INDEX(Raw_orders!G:G, MATCH(shipments[[#This Row],[order_id]],Raw_orders!A:A, 0)), "Unknown")</f>
        <v>Baltics</v>
      </c>
      <c r="J363" t="str">
        <f>PROPER(shipments[[#This Row],[delivery_status]])</f>
        <v>Delivered</v>
      </c>
      <c r="K363" t="s">
        <v>6926</v>
      </c>
    </row>
    <row r="364" spans="1:11">
      <c r="A364" t="s">
        <v>7300</v>
      </c>
      <c r="B364" t="s">
        <v>1254</v>
      </c>
      <c r="C364" t="s">
        <v>6921</v>
      </c>
      <c r="D364" s="1">
        <v>45389</v>
      </c>
      <c r="E364" s="1">
        <v>45391</v>
      </c>
      <c r="F364" s="1">
        <v>45391</v>
      </c>
      <c r="G364">
        <v>31.16</v>
      </c>
      <c r="H3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4" t="str">
        <f>IFERROR(INDEX(Raw_orders!G:G, MATCH(shipments[[#This Row],[order_id]],Raw_orders!A:A, 0)), "Unknown")</f>
        <v>Nordics</v>
      </c>
      <c r="J364" t="str">
        <f>PROPER(shipments[[#This Row],[delivery_status]])</f>
        <v>Delivered</v>
      </c>
      <c r="K364" t="s">
        <v>6922</v>
      </c>
    </row>
    <row r="365" spans="1:11">
      <c r="A365" t="s">
        <v>7301</v>
      </c>
      <c r="B365" t="s">
        <v>1255</v>
      </c>
      <c r="C365" t="s">
        <v>6928</v>
      </c>
      <c r="D365" s="1">
        <v>45025</v>
      </c>
      <c r="E365" s="1">
        <v>45028</v>
      </c>
      <c r="F365" s="1">
        <v>45028</v>
      </c>
      <c r="G365">
        <v>29.84</v>
      </c>
      <c r="H3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5" t="str">
        <f>IFERROR(INDEX(Raw_orders!G:G, MATCH(shipments[[#This Row],[order_id]],Raw_orders!A:A, 0)), "Unknown")</f>
        <v>Baltics</v>
      </c>
      <c r="J365" t="str">
        <f>PROPER(shipments[[#This Row],[delivery_status]])</f>
        <v>Delivered</v>
      </c>
      <c r="K365" t="s">
        <v>6922</v>
      </c>
    </row>
    <row r="366" spans="1:11">
      <c r="A366" t="s">
        <v>7302</v>
      </c>
      <c r="B366" t="s">
        <v>1256</v>
      </c>
      <c r="C366" t="s">
        <v>6928</v>
      </c>
      <c r="D366" s="1">
        <v>45272</v>
      </c>
      <c r="E366" s="1">
        <v>45282</v>
      </c>
      <c r="F366" s="1"/>
      <c r="G366">
        <v>35.24</v>
      </c>
      <c r="H3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66" t="str">
        <f>IFERROR(INDEX(Raw_orders!G:G, MATCH(shipments[[#This Row],[order_id]],Raw_orders!A:A, 0)), "Unknown")</f>
        <v>Nordics</v>
      </c>
      <c r="J366" t="str">
        <f>PROPER(shipments[[#This Row],[delivery_status]])</f>
        <v>In Transit</v>
      </c>
      <c r="K366" t="s">
        <v>6977</v>
      </c>
    </row>
    <row r="367" spans="1:11">
      <c r="A367" t="s">
        <v>7303</v>
      </c>
      <c r="B367" t="s">
        <v>1257</v>
      </c>
      <c r="C367" t="s">
        <v>6938</v>
      </c>
      <c r="D367" s="1">
        <v>45249</v>
      </c>
      <c r="E367" s="1">
        <v>45256</v>
      </c>
      <c r="F367" s="1">
        <v>45255</v>
      </c>
      <c r="G367">
        <v>15.1</v>
      </c>
      <c r="H3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7" t="str">
        <f>IFERROR(INDEX(Raw_orders!G:G, MATCH(shipments[[#This Row],[order_id]],Raw_orders!A:A, 0)), "Unknown")</f>
        <v>Nordics</v>
      </c>
      <c r="J367" t="str">
        <f>PROPER(shipments[[#This Row],[delivery_status]])</f>
        <v>Delivered</v>
      </c>
      <c r="K367" t="s">
        <v>6926</v>
      </c>
    </row>
    <row r="368" spans="1:11">
      <c r="A368" t="s">
        <v>7304</v>
      </c>
      <c r="B368" t="s">
        <v>1258</v>
      </c>
      <c r="C368" t="s">
        <v>6956</v>
      </c>
      <c r="D368" s="1">
        <v>45384</v>
      </c>
      <c r="E368" s="1">
        <v>45386</v>
      </c>
      <c r="F368" s="1">
        <v>45386</v>
      </c>
      <c r="G368">
        <v>10.63</v>
      </c>
      <c r="H3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8" t="str">
        <f>IFERROR(INDEX(Raw_orders!G:G, MATCH(shipments[[#This Row],[order_id]],Raw_orders!A:A, 0)), "Unknown")</f>
        <v>Baltics</v>
      </c>
      <c r="J368" t="str">
        <f>PROPER(shipments[[#This Row],[delivery_status]])</f>
        <v>Delivered</v>
      </c>
      <c r="K368" t="s">
        <v>6922</v>
      </c>
    </row>
    <row r="369" spans="1:11">
      <c r="A369" t="s">
        <v>7305</v>
      </c>
      <c r="B369" t="s">
        <v>1259</v>
      </c>
      <c r="C369" t="s">
        <v>6935</v>
      </c>
      <c r="D369" s="1">
        <v>45541</v>
      </c>
      <c r="E369" s="1">
        <v>45544</v>
      </c>
      <c r="F369" s="1">
        <v>45544</v>
      </c>
      <c r="G369">
        <v>15.59</v>
      </c>
      <c r="H3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9" t="str">
        <f>IFERROR(INDEX(Raw_orders!G:G, MATCH(shipments[[#This Row],[order_id]],Raw_orders!A:A, 0)), "Unknown")</f>
        <v>Baltics</v>
      </c>
      <c r="J369" t="str">
        <f>PROPER(shipments[[#This Row],[delivery_status]])</f>
        <v>Delivered</v>
      </c>
      <c r="K369" t="s">
        <v>6922</v>
      </c>
    </row>
    <row r="370" spans="1:11">
      <c r="A370" t="s">
        <v>7306</v>
      </c>
      <c r="B370" t="s">
        <v>1260</v>
      </c>
      <c r="C370" t="s">
        <v>6925</v>
      </c>
      <c r="D370" s="1">
        <v>45031</v>
      </c>
      <c r="E370" s="1">
        <v>45041</v>
      </c>
      <c r="F370" s="1">
        <v>45041</v>
      </c>
      <c r="G370">
        <v>61.9</v>
      </c>
      <c r="H3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70" t="str">
        <f>IFERROR(INDEX(Raw_orders!G:G, MATCH(shipments[[#This Row],[order_id]],Raw_orders!A:A, 0)), "Unknown")</f>
        <v>Central Europe</v>
      </c>
      <c r="J370" t="str">
        <f>PROPER(shipments[[#This Row],[delivery_status]])</f>
        <v>Delivered</v>
      </c>
      <c r="K370" t="s">
        <v>6922</v>
      </c>
    </row>
    <row r="371" spans="1:11">
      <c r="A371" t="s">
        <v>7307</v>
      </c>
      <c r="B371" t="s">
        <v>1261</v>
      </c>
      <c r="C371" t="s">
        <v>6925</v>
      </c>
      <c r="D371" s="1">
        <v>45095</v>
      </c>
      <c r="E371" s="1">
        <v>45105</v>
      </c>
      <c r="F371" s="1"/>
      <c r="G371">
        <v>48.3</v>
      </c>
      <c r="H3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71" t="str">
        <f>IFERROR(INDEX(Raw_orders!G:G, MATCH(shipments[[#This Row],[order_id]],Raw_orders!A:A, 0)), "Unknown")</f>
        <v>Nordics</v>
      </c>
      <c r="J371" t="str">
        <f>PROPER(shipments[[#This Row],[delivery_status]])</f>
        <v>In Transit</v>
      </c>
      <c r="K371" t="s">
        <v>6958</v>
      </c>
    </row>
    <row r="372" spans="1:11">
      <c r="A372" t="s">
        <v>7308</v>
      </c>
      <c r="B372" t="s">
        <v>1262</v>
      </c>
      <c r="C372" t="s">
        <v>6940</v>
      </c>
      <c r="D372" s="1">
        <v>45570</v>
      </c>
      <c r="E372" s="1">
        <v>45573</v>
      </c>
      <c r="F372" s="1">
        <v>45573</v>
      </c>
      <c r="G372">
        <v>19.84</v>
      </c>
      <c r="H3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72" t="str">
        <f>IFERROR(INDEX(Raw_orders!G:G, MATCH(shipments[[#This Row],[order_id]],Raw_orders!A:A, 0)), "Unknown")</f>
        <v>Central Europe</v>
      </c>
      <c r="J372" t="str">
        <f>PROPER(shipments[[#This Row],[delivery_status]])</f>
        <v>Delivered</v>
      </c>
      <c r="K372" t="s">
        <v>6929</v>
      </c>
    </row>
    <row r="373" spans="1:11">
      <c r="A373" t="s">
        <v>7309</v>
      </c>
      <c r="B373" t="s">
        <v>1263</v>
      </c>
      <c r="C373" t="s">
        <v>6931</v>
      </c>
      <c r="D373" s="1">
        <v>45504</v>
      </c>
      <c r="E373" s="1">
        <v>45509</v>
      </c>
      <c r="F373" s="1"/>
      <c r="G373">
        <v>32.79</v>
      </c>
      <c r="H3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73" t="str">
        <f>IFERROR(INDEX(Raw_orders!G:G, MATCH(shipments[[#This Row],[order_id]],Raw_orders!A:A, 0)), "Unknown")</f>
        <v>Baltics</v>
      </c>
      <c r="J373" t="str">
        <f>PROPER(shipments[[#This Row],[delivery_status]])</f>
        <v>In Transit</v>
      </c>
      <c r="K373" t="s">
        <v>6958</v>
      </c>
    </row>
    <row r="374" spans="1:11">
      <c r="A374" t="s">
        <v>7310</v>
      </c>
      <c r="B374" t="s">
        <v>1264</v>
      </c>
      <c r="C374" t="s">
        <v>6921</v>
      </c>
      <c r="D374" s="1">
        <v>45575</v>
      </c>
      <c r="E374" s="1">
        <v>45578</v>
      </c>
      <c r="F374" s="1">
        <v>45583</v>
      </c>
      <c r="G374">
        <v>22.74</v>
      </c>
      <c r="H3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4" t="str">
        <f>IFERROR(INDEX(Raw_orders!G:G, MATCH(shipments[[#This Row],[order_id]],Raw_orders!A:A, 0)), "Unknown")</f>
        <v>Central Europe</v>
      </c>
      <c r="J374" t="str">
        <f>PROPER(shipments[[#This Row],[delivery_status]])</f>
        <v>Delivered</v>
      </c>
      <c r="K374" t="s">
        <v>6926</v>
      </c>
    </row>
    <row r="375" spans="1:11">
      <c r="A375" t="s">
        <v>7311</v>
      </c>
      <c r="B375" t="s">
        <v>1265</v>
      </c>
      <c r="C375" t="s">
        <v>6925</v>
      </c>
      <c r="D375" s="1">
        <v>44981</v>
      </c>
      <c r="E375" s="1">
        <v>44983</v>
      </c>
      <c r="F375" s="1">
        <v>44983</v>
      </c>
      <c r="G375">
        <v>32.99</v>
      </c>
      <c r="H3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75" t="str">
        <f>IFERROR(INDEX(Raw_orders!G:G, MATCH(shipments[[#This Row],[order_id]],Raw_orders!A:A, 0)), "Unknown")</f>
        <v>Central Europe</v>
      </c>
      <c r="J375" t="str">
        <f>PROPER(shipments[[#This Row],[delivery_status]])</f>
        <v>Delivered</v>
      </c>
      <c r="K375" t="s">
        <v>6926</v>
      </c>
    </row>
    <row r="376" spans="1:11">
      <c r="A376" t="s">
        <v>7312</v>
      </c>
      <c r="B376" t="s">
        <v>1266</v>
      </c>
      <c r="C376" t="s">
        <v>6935</v>
      </c>
      <c r="D376" s="1">
        <v>45014</v>
      </c>
      <c r="E376" s="1">
        <v>45016</v>
      </c>
      <c r="F376" s="1"/>
      <c r="G376">
        <v>57.17</v>
      </c>
      <c r="H3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76" t="str">
        <f>IFERROR(INDEX(Raw_orders!G:G, MATCH(shipments[[#This Row],[order_id]],Raw_orders!A:A, 0)), "Unknown")</f>
        <v>Baltics</v>
      </c>
      <c r="J376" t="str">
        <f>PROPER(shipments[[#This Row],[delivery_status]])</f>
        <v>In Transit</v>
      </c>
      <c r="K376" t="s">
        <v>6946</v>
      </c>
    </row>
    <row r="377" spans="1:11">
      <c r="A377" t="s">
        <v>7313</v>
      </c>
      <c r="B377" t="s">
        <v>1267</v>
      </c>
      <c r="C377" t="s">
        <v>6925</v>
      </c>
      <c r="D377" s="1">
        <v>45347</v>
      </c>
      <c r="E377" s="1">
        <v>45349</v>
      </c>
      <c r="F377" s="1">
        <v>45357</v>
      </c>
      <c r="G377">
        <v>13.74</v>
      </c>
      <c r="H3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7" t="str">
        <f>IFERROR(INDEX(Raw_orders!G:G, MATCH(shipments[[#This Row],[order_id]],Raw_orders!A:A, 0)), "Unknown")</f>
        <v>Nordics</v>
      </c>
      <c r="J377" t="str">
        <f>PROPER(shipments[[#This Row],[delivery_status]])</f>
        <v>Delivered</v>
      </c>
      <c r="K377" t="s">
        <v>6922</v>
      </c>
    </row>
    <row r="378" spans="1:11">
      <c r="A378" t="s">
        <v>7314</v>
      </c>
      <c r="B378" t="s">
        <v>1268</v>
      </c>
      <c r="C378" t="s">
        <v>6928</v>
      </c>
      <c r="D378" s="1">
        <v>45293</v>
      </c>
      <c r="E378" s="1">
        <v>45303</v>
      </c>
      <c r="F378" s="1">
        <v>45303</v>
      </c>
      <c r="G378">
        <v>64.7</v>
      </c>
      <c r="H3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78" t="str">
        <f>IFERROR(INDEX(Raw_orders!G:G, MATCH(shipments[[#This Row],[order_id]],Raw_orders!A:A, 0)), "Unknown")</f>
        <v>Nordics</v>
      </c>
      <c r="J378" t="str">
        <f>PROPER(shipments[[#This Row],[delivery_status]])</f>
        <v>Delivered</v>
      </c>
      <c r="K378" t="s">
        <v>6929</v>
      </c>
    </row>
    <row r="379" spans="1:11">
      <c r="A379" t="s">
        <v>7315</v>
      </c>
      <c r="B379" t="s">
        <v>1268</v>
      </c>
      <c r="C379" t="s">
        <v>6931</v>
      </c>
      <c r="D379" s="1">
        <v>45291</v>
      </c>
      <c r="E379" s="1">
        <v>45296</v>
      </c>
      <c r="F379" s="1"/>
      <c r="G379">
        <v>34.19</v>
      </c>
      <c r="H3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79" t="str">
        <f>IFERROR(INDEX(Raw_orders!G:G, MATCH(shipments[[#This Row],[order_id]],Raw_orders!A:A, 0)), "Unknown")</f>
        <v>Nordics</v>
      </c>
      <c r="J379" t="str">
        <f>PROPER(shipments[[#This Row],[delivery_status]])</f>
        <v>Cancelled</v>
      </c>
      <c r="K379" t="s">
        <v>6979</v>
      </c>
    </row>
    <row r="380" spans="1:11">
      <c r="A380" t="s">
        <v>7316</v>
      </c>
      <c r="B380" t="s">
        <v>1269</v>
      </c>
      <c r="C380" t="s">
        <v>6956</v>
      </c>
      <c r="D380" s="1">
        <v>45149</v>
      </c>
      <c r="E380" s="1">
        <v>45154</v>
      </c>
      <c r="F380" s="1">
        <v>45153</v>
      </c>
      <c r="G380">
        <v>43.74</v>
      </c>
      <c r="H3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0" t="str">
        <f>IFERROR(INDEX(Raw_orders!G:G, MATCH(shipments[[#This Row],[order_id]],Raw_orders!A:A, 0)), "Unknown")</f>
        <v>Baltics</v>
      </c>
      <c r="J380" t="str">
        <f>PROPER(shipments[[#This Row],[delivery_status]])</f>
        <v>Delivered</v>
      </c>
      <c r="K380" t="s">
        <v>6922</v>
      </c>
    </row>
    <row r="381" spans="1:11">
      <c r="A381" t="s">
        <v>7317</v>
      </c>
      <c r="B381" t="s">
        <v>1270</v>
      </c>
      <c r="C381" t="s">
        <v>6928</v>
      </c>
      <c r="D381" s="1">
        <v>45050</v>
      </c>
      <c r="E381" s="1">
        <v>45060</v>
      </c>
      <c r="F381" s="1">
        <v>45071</v>
      </c>
      <c r="G381">
        <v>22.06</v>
      </c>
      <c r="H3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1" t="str">
        <f>IFERROR(INDEX(Raw_orders!G:G, MATCH(shipments[[#This Row],[order_id]],Raw_orders!A:A, 0)), "Unknown")</f>
        <v>Nordics</v>
      </c>
      <c r="J381" t="str">
        <f>PROPER(shipments[[#This Row],[delivery_status]])</f>
        <v>Delivered</v>
      </c>
      <c r="K381" t="s">
        <v>6922</v>
      </c>
    </row>
    <row r="382" spans="1:11">
      <c r="A382" t="s">
        <v>7318</v>
      </c>
      <c r="B382" t="s">
        <v>1271</v>
      </c>
      <c r="C382" t="s">
        <v>6956</v>
      </c>
      <c r="D382" s="1">
        <v>45228</v>
      </c>
      <c r="E382" s="1">
        <v>45235</v>
      </c>
      <c r="F382" s="1">
        <v>45238</v>
      </c>
      <c r="G382">
        <v>15.32</v>
      </c>
      <c r="H3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2" t="str">
        <f>IFERROR(INDEX(Raw_orders!G:G, MATCH(shipments[[#This Row],[order_id]],Raw_orders!A:A, 0)), "Unknown")</f>
        <v>Nordics</v>
      </c>
      <c r="J382" t="str">
        <f>PROPER(shipments[[#This Row],[delivery_status]])</f>
        <v>Delivered</v>
      </c>
      <c r="K382" t="s">
        <v>6929</v>
      </c>
    </row>
    <row r="383" spans="1:11">
      <c r="A383" t="s">
        <v>7319</v>
      </c>
      <c r="B383" t="s">
        <v>1272</v>
      </c>
      <c r="C383" t="s">
        <v>6925</v>
      </c>
      <c r="D383" s="1">
        <v>45080</v>
      </c>
      <c r="E383" s="1">
        <v>45082</v>
      </c>
      <c r="F383" s="1">
        <v>45081</v>
      </c>
      <c r="G383">
        <v>27</v>
      </c>
      <c r="H3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3" t="str">
        <f>IFERROR(INDEX(Raw_orders!G:G, MATCH(shipments[[#This Row],[order_id]],Raw_orders!A:A, 0)), "Unknown")</f>
        <v>Central Europe</v>
      </c>
      <c r="J383" t="str">
        <f>PROPER(shipments[[#This Row],[delivery_status]])</f>
        <v>Delivered</v>
      </c>
      <c r="K383" t="s">
        <v>6929</v>
      </c>
    </row>
    <row r="384" spans="1:11">
      <c r="A384" t="s">
        <v>7320</v>
      </c>
      <c r="B384" t="s">
        <v>1273</v>
      </c>
      <c r="C384" t="s">
        <v>6940</v>
      </c>
      <c r="D384" s="1">
        <v>45369</v>
      </c>
      <c r="E384" s="1">
        <v>45376</v>
      </c>
      <c r="F384" s="1">
        <v>45376</v>
      </c>
      <c r="G384">
        <v>45.61</v>
      </c>
      <c r="H3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4" t="str">
        <f>IFERROR(INDEX(Raw_orders!G:G, MATCH(shipments[[#This Row],[order_id]],Raw_orders!A:A, 0)), "Unknown")</f>
        <v>Nordics</v>
      </c>
      <c r="J384" t="str">
        <f>PROPER(shipments[[#This Row],[delivery_status]])</f>
        <v>Delivered</v>
      </c>
      <c r="K384" t="s">
        <v>6929</v>
      </c>
    </row>
    <row r="385" spans="1:11">
      <c r="A385" t="s">
        <v>7321</v>
      </c>
      <c r="B385" t="s">
        <v>1274</v>
      </c>
      <c r="C385" t="s">
        <v>6928</v>
      </c>
      <c r="D385" s="1">
        <v>45281</v>
      </c>
      <c r="E385" s="1">
        <v>45283</v>
      </c>
      <c r="F385" s="1">
        <v>45283</v>
      </c>
      <c r="G385">
        <v>38.78</v>
      </c>
      <c r="H3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5" t="str">
        <f>IFERROR(INDEX(Raw_orders!G:G, MATCH(shipments[[#This Row],[order_id]],Raw_orders!A:A, 0)), "Unknown")</f>
        <v>Central Europe</v>
      </c>
      <c r="J385" t="str">
        <f>PROPER(shipments[[#This Row],[delivery_status]])</f>
        <v>Delivered</v>
      </c>
      <c r="K385" t="s">
        <v>6926</v>
      </c>
    </row>
    <row r="386" spans="1:11">
      <c r="A386" t="s">
        <v>7322</v>
      </c>
      <c r="B386" t="s">
        <v>1275</v>
      </c>
      <c r="C386" t="s">
        <v>6931</v>
      </c>
      <c r="D386" s="1">
        <v>44940</v>
      </c>
      <c r="E386" s="1">
        <v>44943</v>
      </c>
      <c r="F386" s="1">
        <v>44948</v>
      </c>
      <c r="G386">
        <v>56.26</v>
      </c>
      <c r="H3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6" t="str">
        <f>IFERROR(INDEX(Raw_orders!G:G, MATCH(shipments[[#This Row],[order_id]],Raw_orders!A:A, 0)), "Unknown")</f>
        <v>Central Europe</v>
      </c>
      <c r="J386" t="str">
        <f>PROPER(shipments[[#This Row],[delivery_status]])</f>
        <v>Delivered</v>
      </c>
      <c r="K386" t="s">
        <v>6929</v>
      </c>
    </row>
    <row r="387" spans="1:11">
      <c r="A387" t="s">
        <v>7323</v>
      </c>
      <c r="B387" t="s">
        <v>1276</v>
      </c>
      <c r="C387" t="s">
        <v>6925</v>
      </c>
      <c r="D387" s="1">
        <v>45468</v>
      </c>
      <c r="E387" s="1">
        <v>45478</v>
      </c>
      <c r="F387" s="1"/>
      <c r="G387">
        <v>17.149999999999999</v>
      </c>
      <c r="H3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87" t="str">
        <f>IFERROR(INDEX(Raw_orders!G:G, MATCH(shipments[[#This Row],[order_id]],Raw_orders!A:A, 0)), "Unknown")</f>
        <v>Baltics</v>
      </c>
      <c r="J387" t="str">
        <f>PROPER(shipments[[#This Row],[delivery_status]])</f>
        <v>In Transit</v>
      </c>
      <c r="K387" t="s">
        <v>6946</v>
      </c>
    </row>
    <row r="388" spans="1:11">
      <c r="A388" t="s">
        <v>7324</v>
      </c>
      <c r="B388" t="s">
        <v>1277</v>
      </c>
      <c r="C388" t="s">
        <v>6938</v>
      </c>
      <c r="D388" s="1">
        <v>45066</v>
      </c>
      <c r="E388" s="1">
        <v>45069</v>
      </c>
      <c r="F388" s="1">
        <v>45069</v>
      </c>
      <c r="G388">
        <v>17.920000000000002</v>
      </c>
      <c r="H3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8" t="str">
        <f>IFERROR(INDEX(Raw_orders!G:G, MATCH(shipments[[#This Row],[order_id]],Raw_orders!A:A, 0)), "Unknown")</f>
        <v>Baltics</v>
      </c>
      <c r="J388" t="str">
        <f>PROPER(shipments[[#This Row],[delivery_status]])</f>
        <v>Delivered</v>
      </c>
      <c r="K388" t="s">
        <v>6926</v>
      </c>
    </row>
    <row r="389" spans="1:11">
      <c r="A389" t="s">
        <v>7325</v>
      </c>
      <c r="B389" t="s">
        <v>1278</v>
      </c>
      <c r="C389" t="s">
        <v>6925</v>
      </c>
      <c r="D389" s="1">
        <v>45484</v>
      </c>
      <c r="E389" s="1">
        <v>45491</v>
      </c>
      <c r="F389" s="1">
        <v>45490</v>
      </c>
      <c r="G389">
        <v>6.87</v>
      </c>
      <c r="H3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9" t="str">
        <f>IFERROR(INDEX(Raw_orders!G:G, MATCH(shipments[[#This Row],[order_id]],Raw_orders!A:A, 0)), "Unknown")</f>
        <v>Central Europe</v>
      </c>
      <c r="J389" t="str">
        <f>PROPER(shipments[[#This Row],[delivery_status]])</f>
        <v>Delivered</v>
      </c>
      <c r="K389" t="s">
        <v>6922</v>
      </c>
    </row>
    <row r="390" spans="1:11">
      <c r="A390" t="s">
        <v>7326</v>
      </c>
      <c r="B390" t="s">
        <v>1279</v>
      </c>
      <c r="C390" t="s">
        <v>6935</v>
      </c>
      <c r="D390" s="1">
        <v>45025</v>
      </c>
      <c r="E390" s="1">
        <v>45028</v>
      </c>
      <c r="F390" s="1">
        <v>45031</v>
      </c>
      <c r="G390">
        <v>17.72</v>
      </c>
      <c r="H3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0" t="str">
        <f>IFERROR(INDEX(Raw_orders!G:G, MATCH(shipments[[#This Row],[order_id]],Raw_orders!A:A, 0)), "Unknown")</f>
        <v>Nordics</v>
      </c>
      <c r="J390" t="str">
        <f>PROPER(shipments[[#This Row],[delivery_status]])</f>
        <v>Delivered</v>
      </c>
      <c r="K390" t="s">
        <v>6929</v>
      </c>
    </row>
    <row r="391" spans="1:11">
      <c r="A391" t="s">
        <v>7327</v>
      </c>
      <c r="B391" t="s">
        <v>1280</v>
      </c>
      <c r="C391" t="s">
        <v>6938</v>
      </c>
      <c r="D391" s="1">
        <v>45072</v>
      </c>
      <c r="E391" s="1">
        <v>45074</v>
      </c>
      <c r="F391" s="1">
        <v>45082</v>
      </c>
      <c r="G391">
        <v>38.94</v>
      </c>
      <c r="H3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1" t="str">
        <f>IFERROR(INDEX(Raw_orders!G:G, MATCH(shipments[[#This Row],[order_id]],Raw_orders!A:A, 0)), "Unknown")</f>
        <v>Baltics</v>
      </c>
      <c r="J391" t="str">
        <f>PROPER(shipments[[#This Row],[delivery_status]])</f>
        <v>Delivered</v>
      </c>
      <c r="K391" t="s">
        <v>6929</v>
      </c>
    </row>
    <row r="392" spans="1:11">
      <c r="A392" t="s">
        <v>7328</v>
      </c>
      <c r="B392" t="s">
        <v>1280</v>
      </c>
      <c r="C392" t="s">
        <v>6938</v>
      </c>
      <c r="D392" s="1">
        <v>45074</v>
      </c>
      <c r="E392" s="1">
        <v>45076</v>
      </c>
      <c r="F392" s="1">
        <v>45085</v>
      </c>
      <c r="G392">
        <v>14.9</v>
      </c>
      <c r="H3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2" t="str">
        <f>IFERROR(INDEX(Raw_orders!G:G, MATCH(shipments[[#This Row],[order_id]],Raw_orders!A:A, 0)), "Unknown")</f>
        <v>Baltics</v>
      </c>
      <c r="J392" t="str">
        <f>PROPER(shipments[[#This Row],[delivery_status]])</f>
        <v>Delivered</v>
      </c>
      <c r="K392" t="s">
        <v>6929</v>
      </c>
    </row>
    <row r="393" spans="1:11">
      <c r="A393" t="s">
        <v>7329</v>
      </c>
      <c r="B393" t="s">
        <v>1281</v>
      </c>
      <c r="C393" t="s">
        <v>6921</v>
      </c>
      <c r="D393" s="1">
        <v>45200</v>
      </c>
      <c r="E393" s="1">
        <v>45205</v>
      </c>
      <c r="F393" s="1">
        <v>45219</v>
      </c>
      <c r="G393">
        <v>45.48</v>
      </c>
      <c r="H3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3" t="str">
        <f>IFERROR(INDEX(Raw_orders!G:G, MATCH(shipments[[#This Row],[order_id]],Raw_orders!A:A, 0)), "Unknown")</f>
        <v>Nordics</v>
      </c>
      <c r="J393" t="str">
        <f>PROPER(shipments[[#This Row],[delivery_status]])</f>
        <v>Delivered</v>
      </c>
      <c r="K393" t="s">
        <v>6922</v>
      </c>
    </row>
    <row r="394" spans="1:11">
      <c r="A394" t="s">
        <v>7330</v>
      </c>
      <c r="B394" t="s">
        <v>1282</v>
      </c>
      <c r="C394" t="s">
        <v>6949</v>
      </c>
      <c r="D394" s="1">
        <v>45529</v>
      </c>
      <c r="E394" s="1">
        <v>45531</v>
      </c>
      <c r="F394" s="1">
        <v>45539</v>
      </c>
      <c r="G394">
        <v>52.33</v>
      </c>
      <c r="H3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4" t="str">
        <f>IFERROR(INDEX(Raw_orders!G:G, MATCH(shipments[[#This Row],[order_id]],Raw_orders!A:A, 0)), "Unknown")</f>
        <v>Nordics</v>
      </c>
      <c r="J394" t="str">
        <f>PROPER(shipments[[#This Row],[delivery_status]])</f>
        <v>Delivered</v>
      </c>
      <c r="K394" t="s">
        <v>6922</v>
      </c>
    </row>
    <row r="395" spans="1:11">
      <c r="A395" t="s">
        <v>7331</v>
      </c>
      <c r="B395" t="s">
        <v>1283</v>
      </c>
      <c r="C395" t="s">
        <v>6940</v>
      </c>
      <c r="D395" s="1">
        <v>45003</v>
      </c>
      <c r="E395" s="1">
        <v>45008</v>
      </c>
      <c r="F395" s="1">
        <v>45008</v>
      </c>
      <c r="G395">
        <v>58.73</v>
      </c>
      <c r="H3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5" t="str">
        <f>IFERROR(INDEX(Raw_orders!G:G, MATCH(shipments[[#This Row],[order_id]],Raw_orders!A:A, 0)), "Unknown")</f>
        <v>Central Europe</v>
      </c>
      <c r="J395" t="str">
        <f>PROPER(shipments[[#This Row],[delivery_status]])</f>
        <v>Delivered</v>
      </c>
      <c r="K395" t="s">
        <v>6929</v>
      </c>
    </row>
    <row r="396" spans="1:11">
      <c r="A396" t="s">
        <v>7332</v>
      </c>
      <c r="B396" t="s">
        <v>1284</v>
      </c>
      <c r="C396" t="s">
        <v>6940</v>
      </c>
      <c r="D396" s="1">
        <v>45152</v>
      </c>
      <c r="E396" s="1">
        <v>45157</v>
      </c>
      <c r="F396" s="1">
        <v>45162</v>
      </c>
      <c r="G396">
        <v>41.63</v>
      </c>
      <c r="H3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6" t="str">
        <f>IFERROR(INDEX(Raw_orders!G:G, MATCH(shipments[[#This Row],[order_id]],Raw_orders!A:A, 0)), "Unknown")</f>
        <v>Baltics</v>
      </c>
      <c r="J396" t="str">
        <f>PROPER(shipments[[#This Row],[delivery_status]])</f>
        <v>Delivered</v>
      </c>
      <c r="K396" t="s">
        <v>6929</v>
      </c>
    </row>
    <row r="397" spans="1:11">
      <c r="A397" t="s">
        <v>7333</v>
      </c>
      <c r="B397" t="s">
        <v>1285</v>
      </c>
      <c r="C397" t="s">
        <v>6935</v>
      </c>
      <c r="D397" s="1">
        <v>45230</v>
      </c>
      <c r="E397" s="1">
        <v>45233</v>
      </c>
      <c r="F397" s="1">
        <v>45233</v>
      </c>
      <c r="G397">
        <v>11.85</v>
      </c>
      <c r="H3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7" t="str">
        <f>IFERROR(INDEX(Raw_orders!G:G, MATCH(shipments[[#This Row],[order_id]],Raw_orders!A:A, 0)), "Unknown")</f>
        <v>Nordics</v>
      </c>
      <c r="J397" t="str">
        <f>PROPER(shipments[[#This Row],[delivery_status]])</f>
        <v>Delivered</v>
      </c>
      <c r="K397" t="s">
        <v>6922</v>
      </c>
    </row>
    <row r="398" spans="1:11">
      <c r="A398" t="s">
        <v>7334</v>
      </c>
      <c r="B398" t="s">
        <v>1286</v>
      </c>
      <c r="C398" t="s">
        <v>6928</v>
      </c>
      <c r="D398" s="1">
        <v>44973</v>
      </c>
      <c r="E398" s="1">
        <v>44976</v>
      </c>
      <c r="F398" s="1">
        <v>44978</v>
      </c>
      <c r="G398">
        <v>26.65</v>
      </c>
      <c r="H3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8" t="str">
        <f>IFERROR(INDEX(Raw_orders!G:G, MATCH(shipments[[#This Row],[order_id]],Raw_orders!A:A, 0)), "Unknown")</f>
        <v>Central Europe</v>
      </c>
      <c r="J398" t="str">
        <f>PROPER(shipments[[#This Row],[delivery_status]])</f>
        <v>Delivered</v>
      </c>
      <c r="K398" t="s">
        <v>6929</v>
      </c>
    </row>
    <row r="399" spans="1:11">
      <c r="A399" t="s">
        <v>7335</v>
      </c>
      <c r="B399" t="s">
        <v>1287</v>
      </c>
      <c r="C399" t="s">
        <v>6938</v>
      </c>
      <c r="D399" s="1">
        <v>45311</v>
      </c>
      <c r="E399" s="1">
        <v>45314</v>
      </c>
      <c r="F399" s="1">
        <v>45316</v>
      </c>
      <c r="G399">
        <v>17.670000000000002</v>
      </c>
      <c r="H3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9" t="str">
        <f>IFERROR(INDEX(Raw_orders!G:G, MATCH(shipments[[#This Row],[order_id]],Raw_orders!A:A, 0)), "Unknown")</f>
        <v>Unknown</v>
      </c>
      <c r="J399" t="str">
        <f>PROPER(shipments[[#This Row],[delivery_status]])</f>
        <v>Delivered</v>
      </c>
      <c r="K399" t="s">
        <v>6926</v>
      </c>
    </row>
    <row r="400" spans="1:11">
      <c r="A400" t="s">
        <v>7336</v>
      </c>
      <c r="B400" t="s">
        <v>1288</v>
      </c>
      <c r="C400" t="s">
        <v>6928</v>
      </c>
      <c r="D400" s="1">
        <v>45420</v>
      </c>
      <c r="E400" s="1">
        <v>45427</v>
      </c>
      <c r="F400" s="1">
        <v>45432</v>
      </c>
      <c r="G400">
        <v>29.26</v>
      </c>
      <c r="H4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0" t="str">
        <f>IFERROR(INDEX(Raw_orders!G:G, MATCH(shipments[[#This Row],[order_id]],Raw_orders!A:A, 0)), "Unknown")</f>
        <v>Nordics</v>
      </c>
      <c r="J400" t="str">
        <f>PROPER(shipments[[#This Row],[delivery_status]])</f>
        <v>Delivered</v>
      </c>
      <c r="K400" t="s">
        <v>6922</v>
      </c>
    </row>
    <row r="401" spans="1:11">
      <c r="A401" t="s">
        <v>7337</v>
      </c>
      <c r="B401" t="s">
        <v>1289</v>
      </c>
      <c r="C401" t="s">
        <v>6921</v>
      </c>
      <c r="D401" s="1">
        <v>45497</v>
      </c>
      <c r="E401" s="1">
        <v>45499</v>
      </c>
      <c r="F401" s="1">
        <v>45502</v>
      </c>
      <c r="G401">
        <v>48.62</v>
      </c>
      <c r="H4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1" t="str">
        <f>IFERROR(INDEX(Raw_orders!G:G, MATCH(shipments[[#This Row],[order_id]],Raw_orders!A:A, 0)), "Unknown")</f>
        <v>Central Europe</v>
      </c>
      <c r="J401" t="str">
        <f>PROPER(shipments[[#This Row],[delivery_status]])</f>
        <v>Delivered</v>
      </c>
      <c r="K401" t="s">
        <v>6929</v>
      </c>
    </row>
    <row r="402" spans="1:11">
      <c r="A402" t="s">
        <v>7338</v>
      </c>
      <c r="B402" t="s">
        <v>1290</v>
      </c>
      <c r="C402" t="s">
        <v>6928</v>
      </c>
      <c r="D402" s="1">
        <v>45307</v>
      </c>
      <c r="E402" s="1">
        <v>45317</v>
      </c>
      <c r="F402" s="1">
        <v>45325</v>
      </c>
      <c r="G402">
        <v>39.950000000000003</v>
      </c>
      <c r="H4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2" t="str">
        <f>IFERROR(INDEX(Raw_orders!G:G, MATCH(shipments[[#This Row],[order_id]],Raw_orders!A:A, 0)), "Unknown")</f>
        <v>Central Europe</v>
      </c>
      <c r="J402" t="str">
        <f>PROPER(shipments[[#This Row],[delivery_status]])</f>
        <v>Delivered</v>
      </c>
      <c r="K402" t="s">
        <v>6929</v>
      </c>
    </row>
    <row r="403" spans="1:11">
      <c r="A403" t="s">
        <v>7339</v>
      </c>
      <c r="B403" t="s">
        <v>1291</v>
      </c>
      <c r="C403" t="s">
        <v>6935</v>
      </c>
      <c r="D403" s="1">
        <v>44930</v>
      </c>
      <c r="E403" s="1">
        <v>44932</v>
      </c>
      <c r="F403" s="1">
        <v>44934</v>
      </c>
      <c r="G403">
        <v>11.35</v>
      </c>
      <c r="H4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3" t="str">
        <f>IFERROR(INDEX(Raw_orders!G:G, MATCH(shipments[[#This Row],[order_id]],Raw_orders!A:A, 0)), "Unknown")</f>
        <v>Baltics</v>
      </c>
      <c r="J403" t="str">
        <f>PROPER(shipments[[#This Row],[delivery_status]])</f>
        <v>Delivered</v>
      </c>
      <c r="K403" t="s">
        <v>6922</v>
      </c>
    </row>
    <row r="404" spans="1:11">
      <c r="A404" t="s">
        <v>7340</v>
      </c>
      <c r="B404" t="s">
        <v>1292</v>
      </c>
      <c r="C404" t="s">
        <v>6921</v>
      </c>
      <c r="D404" s="1">
        <v>45532</v>
      </c>
      <c r="E404" s="1">
        <v>45534</v>
      </c>
      <c r="F404" s="1"/>
      <c r="G404">
        <v>37.92</v>
      </c>
      <c r="H4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04" t="str">
        <f>IFERROR(INDEX(Raw_orders!G:G, MATCH(shipments[[#This Row],[order_id]],Raw_orders!A:A, 0)), "Unknown")</f>
        <v>Baltics</v>
      </c>
      <c r="J404" t="str">
        <f>PROPER(shipments[[#This Row],[delivery_status]])</f>
        <v>In Transit</v>
      </c>
      <c r="K404" t="s">
        <v>6958</v>
      </c>
    </row>
    <row r="405" spans="1:11">
      <c r="A405" t="s">
        <v>7341</v>
      </c>
      <c r="B405" t="s">
        <v>1293</v>
      </c>
      <c r="C405" t="s">
        <v>6940</v>
      </c>
      <c r="D405" s="1">
        <v>45173</v>
      </c>
      <c r="E405" s="1">
        <v>45175</v>
      </c>
      <c r="F405" s="1"/>
      <c r="G405">
        <v>40.96</v>
      </c>
      <c r="H4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05" t="str">
        <f>IFERROR(INDEX(Raw_orders!G:G, MATCH(shipments[[#This Row],[order_id]],Raw_orders!A:A, 0)), "Unknown")</f>
        <v>Baltics</v>
      </c>
      <c r="J405" t="str">
        <f>PROPER(shipments[[#This Row],[delivery_status]])</f>
        <v>Cancelled</v>
      </c>
      <c r="K405" t="s">
        <v>6963</v>
      </c>
    </row>
    <row r="406" spans="1:11">
      <c r="A406" t="s">
        <v>7342</v>
      </c>
      <c r="B406" t="s">
        <v>1294</v>
      </c>
      <c r="C406" t="s">
        <v>6931</v>
      </c>
      <c r="D406" s="1">
        <v>45574</v>
      </c>
      <c r="E406" s="1">
        <v>45584</v>
      </c>
      <c r="F406" s="1">
        <v>45584</v>
      </c>
      <c r="G406">
        <v>50.94</v>
      </c>
      <c r="H4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06" t="str">
        <f>IFERROR(INDEX(Raw_orders!G:G, MATCH(shipments[[#This Row],[order_id]],Raw_orders!A:A, 0)), "Unknown")</f>
        <v>Nordics</v>
      </c>
      <c r="J406" t="str">
        <f>PROPER(shipments[[#This Row],[delivery_status]])</f>
        <v>Delivered</v>
      </c>
      <c r="K406" t="s">
        <v>6922</v>
      </c>
    </row>
    <row r="407" spans="1:11">
      <c r="A407" t="s">
        <v>7343</v>
      </c>
      <c r="B407" t="s">
        <v>1295</v>
      </c>
      <c r="C407" t="s">
        <v>6935</v>
      </c>
      <c r="D407" s="1">
        <v>45509</v>
      </c>
      <c r="E407" s="1">
        <v>45512</v>
      </c>
      <c r="F407" s="1"/>
      <c r="G407">
        <v>19.05</v>
      </c>
      <c r="H4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07" t="str">
        <f>IFERROR(INDEX(Raw_orders!G:G, MATCH(shipments[[#This Row],[order_id]],Raw_orders!A:A, 0)), "Unknown")</f>
        <v>Baltics</v>
      </c>
      <c r="J407" t="str">
        <f>PROPER(shipments[[#This Row],[delivery_status]])</f>
        <v>In Transit</v>
      </c>
      <c r="K407" t="s">
        <v>6958</v>
      </c>
    </row>
    <row r="408" spans="1:11">
      <c r="A408" t="s">
        <v>7344</v>
      </c>
      <c r="B408" t="s">
        <v>1296</v>
      </c>
      <c r="C408" t="s">
        <v>6921</v>
      </c>
      <c r="D408" s="1">
        <v>45027</v>
      </c>
      <c r="E408" s="1">
        <v>45029</v>
      </c>
      <c r="F408" s="1">
        <v>45031</v>
      </c>
      <c r="G408">
        <v>19.989999999999998</v>
      </c>
      <c r="H4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8" t="str">
        <f>IFERROR(INDEX(Raw_orders!G:G, MATCH(shipments[[#This Row],[order_id]],Raw_orders!A:A, 0)), "Unknown")</f>
        <v>Nordics</v>
      </c>
      <c r="J408" t="str">
        <f>PROPER(shipments[[#This Row],[delivery_status]])</f>
        <v>Delivered</v>
      </c>
      <c r="K408" t="s">
        <v>6922</v>
      </c>
    </row>
    <row r="409" spans="1:11">
      <c r="A409" t="s">
        <v>7345</v>
      </c>
      <c r="B409" t="s">
        <v>1297</v>
      </c>
      <c r="C409" t="s">
        <v>6928</v>
      </c>
      <c r="D409" s="1">
        <v>45242</v>
      </c>
      <c r="E409" s="1">
        <v>45247</v>
      </c>
      <c r="F409" s="1">
        <v>45250</v>
      </c>
      <c r="G409">
        <v>35.270000000000003</v>
      </c>
      <c r="H4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9" t="str">
        <f>IFERROR(INDEX(Raw_orders!G:G, MATCH(shipments[[#This Row],[order_id]],Raw_orders!A:A, 0)), "Unknown")</f>
        <v>Baltics</v>
      </c>
      <c r="J409" t="str">
        <f>PROPER(shipments[[#This Row],[delivery_status]])</f>
        <v>Delivered</v>
      </c>
      <c r="K409" t="s">
        <v>6926</v>
      </c>
    </row>
    <row r="410" spans="1:11">
      <c r="A410" t="s">
        <v>7346</v>
      </c>
      <c r="B410" t="s">
        <v>1298</v>
      </c>
      <c r="C410" t="s">
        <v>6925</v>
      </c>
      <c r="D410" s="1">
        <v>45363</v>
      </c>
      <c r="E410" s="1">
        <v>45365</v>
      </c>
      <c r="F410" s="1">
        <v>45368</v>
      </c>
      <c r="G410">
        <v>47.24</v>
      </c>
      <c r="H4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0" t="str">
        <f>IFERROR(INDEX(Raw_orders!G:G, MATCH(shipments[[#This Row],[order_id]],Raw_orders!A:A, 0)), "Unknown")</f>
        <v>Nordics</v>
      </c>
      <c r="J410" t="str">
        <f>PROPER(shipments[[#This Row],[delivery_status]])</f>
        <v>Delivered</v>
      </c>
      <c r="K410" t="s">
        <v>6926</v>
      </c>
    </row>
    <row r="411" spans="1:11">
      <c r="A411" t="s">
        <v>7347</v>
      </c>
      <c r="B411" t="s">
        <v>1299</v>
      </c>
      <c r="C411" t="s">
        <v>6956</v>
      </c>
      <c r="D411" s="1">
        <v>45225</v>
      </c>
      <c r="E411" s="1">
        <v>45227</v>
      </c>
      <c r="F411" s="1">
        <v>45235</v>
      </c>
      <c r="G411">
        <v>25.83</v>
      </c>
      <c r="H4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1" t="str">
        <f>IFERROR(INDEX(Raw_orders!G:G, MATCH(shipments[[#This Row],[order_id]],Raw_orders!A:A, 0)), "Unknown")</f>
        <v>Nordics</v>
      </c>
      <c r="J411" t="str">
        <f>PROPER(shipments[[#This Row],[delivery_status]])</f>
        <v>Delivered</v>
      </c>
      <c r="K411" t="s">
        <v>6922</v>
      </c>
    </row>
    <row r="412" spans="1:11">
      <c r="A412" t="s">
        <v>7348</v>
      </c>
      <c r="B412" t="s">
        <v>1300</v>
      </c>
      <c r="C412" t="s">
        <v>6921</v>
      </c>
      <c r="D412" s="1">
        <v>45300</v>
      </c>
      <c r="E412" s="1">
        <v>45310</v>
      </c>
      <c r="F412" s="1">
        <v>45312</v>
      </c>
      <c r="G412">
        <v>61.07</v>
      </c>
      <c r="H4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2" t="str">
        <f>IFERROR(INDEX(Raw_orders!G:G, MATCH(shipments[[#This Row],[order_id]],Raw_orders!A:A, 0)), "Unknown")</f>
        <v>Nordics</v>
      </c>
      <c r="J412" t="str">
        <f>PROPER(shipments[[#This Row],[delivery_status]])</f>
        <v>Delivered</v>
      </c>
      <c r="K412" t="s">
        <v>6929</v>
      </c>
    </row>
    <row r="413" spans="1:11">
      <c r="A413" t="s">
        <v>7349</v>
      </c>
      <c r="B413" t="s">
        <v>1301</v>
      </c>
      <c r="C413" t="s">
        <v>6956</v>
      </c>
      <c r="D413" s="1">
        <v>45157</v>
      </c>
      <c r="E413" s="1">
        <v>45160</v>
      </c>
      <c r="F413" s="1">
        <v>45162</v>
      </c>
      <c r="G413">
        <v>44.81</v>
      </c>
      <c r="H4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3" t="str">
        <f>IFERROR(INDEX(Raw_orders!G:G, MATCH(shipments[[#This Row],[order_id]],Raw_orders!A:A, 0)), "Unknown")</f>
        <v>Central Europe</v>
      </c>
      <c r="J413" t="str">
        <f>PROPER(shipments[[#This Row],[delivery_status]])</f>
        <v>Delivered</v>
      </c>
      <c r="K413" t="s">
        <v>6929</v>
      </c>
    </row>
    <row r="414" spans="1:11">
      <c r="A414" t="s">
        <v>7350</v>
      </c>
      <c r="B414" t="s">
        <v>1302</v>
      </c>
      <c r="C414" t="s">
        <v>6938</v>
      </c>
      <c r="D414" s="1">
        <v>45194</v>
      </c>
      <c r="E414" s="1">
        <v>45199</v>
      </c>
      <c r="F414" s="1">
        <v>45201</v>
      </c>
      <c r="G414">
        <v>49.12</v>
      </c>
      <c r="H4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4" t="str">
        <f>IFERROR(INDEX(Raw_orders!G:G, MATCH(shipments[[#This Row],[order_id]],Raw_orders!A:A, 0)), "Unknown")</f>
        <v>Nordics</v>
      </c>
      <c r="J414" t="str">
        <f>PROPER(shipments[[#This Row],[delivery_status]])</f>
        <v>Delivered</v>
      </c>
      <c r="K414" t="s">
        <v>6926</v>
      </c>
    </row>
    <row r="415" spans="1:11">
      <c r="A415" t="s">
        <v>7351</v>
      </c>
      <c r="B415" t="s">
        <v>1303</v>
      </c>
      <c r="C415" t="s">
        <v>6931</v>
      </c>
      <c r="D415" s="1">
        <v>45218</v>
      </c>
      <c r="E415" s="1">
        <v>45228</v>
      </c>
      <c r="F415" s="1"/>
      <c r="G415">
        <v>6.16</v>
      </c>
      <c r="H4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15" t="str">
        <f>IFERROR(INDEX(Raw_orders!G:G, MATCH(shipments[[#This Row],[order_id]],Raw_orders!A:A, 0)), "Unknown")</f>
        <v>Nordics</v>
      </c>
      <c r="J415" t="str">
        <f>PROPER(shipments[[#This Row],[delivery_status]])</f>
        <v>In Transit</v>
      </c>
      <c r="K415" t="s">
        <v>6958</v>
      </c>
    </row>
    <row r="416" spans="1:11">
      <c r="A416" t="s">
        <v>7352</v>
      </c>
      <c r="B416" t="s">
        <v>1304</v>
      </c>
      <c r="C416" t="s">
        <v>6925</v>
      </c>
      <c r="D416" s="1">
        <v>45530</v>
      </c>
      <c r="E416" s="1">
        <v>45537</v>
      </c>
      <c r="F416" s="1">
        <v>45537</v>
      </c>
      <c r="G416">
        <v>15.31</v>
      </c>
      <c r="H4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16" t="str">
        <f>IFERROR(INDEX(Raw_orders!G:G, MATCH(shipments[[#This Row],[order_id]],Raw_orders!A:A, 0)), "Unknown")</f>
        <v>Baltics</v>
      </c>
      <c r="J416" t="str">
        <f>PROPER(shipments[[#This Row],[delivery_status]])</f>
        <v>Delivered</v>
      </c>
      <c r="K416" t="s">
        <v>6929</v>
      </c>
    </row>
    <row r="417" spans="1:11">
      <c r="A417" t="s">
        <v>7353</v>
      </c>
      <c r="B417" t="s">
        <v>1305</v>
      </c>
      <c r="C417" t="s">
        <v>6925</v>
      </c>
      <c r="D417" s="1">
        <v>45167</v>
      </c>
      <c r="E417" s="1">
        <v>45174</v>
      </c>
      <c r="F417" s="1">
        <v>45186</v>
      </c>
      <c r="G417">
        <v>56.22</v>
      </c>
      <c r="H4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7" t="str">
        <f>IFERROR(INDEX(Raw_orders!G:G, MATCH(shipments[[#This Row],[order_id]],Raw_orders!A:A, 0)), "Unknown")</f>
        <v>Central Europe</v>
      </c>
      <c r="J417" t="str">
        <f>PROPER(shipments[[#This Row],[delivery_status]])</f>
        <v>Delivered</v>
      </c>
      <c r="K417" t="s">
        <v>6929</v>
      </c>
    </row>
    <row r="418" spans="1:11">
      <c r="A418" t="s">
        <v>7354</v>
      </c>
      <c r="B418" t="s">
        <v>1306</v>
      </c>
      <c r="C418" t="s">
        <v>6928</v>
      </c>
      <c r="D418" s="1">
        <v>45245</v>
      </c>
      <c r="E418" s="1">
        <v>45248</v>
      </c>
      <c r="F418" s="1">
        <v>45247</v>
      </c>
      <c r="G418">
        <v>36.56</v>
      </c>
      <c r="H4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18" t="str">
        <f>IFERROR(INDEX(Raw_orders!G:G, MATCH(shipments[[#This Row],[order_id]],Raw_orders!A:A, 0)), "Unknown")</f>
        <v>Central Europe</v>
      </c>
      <c r="J418" t="str">
        <f>PROPER(shipments[[#This Row],[delivery_status]])</f>
        <v>Delivered</v>
      </c>
      <c r="K418" t="s">
        <v>6926</v>
      </c>
    </row>
    <row r="419" spans="1:11">
      <c r="A419" t="s">
        <v>7355</v>
      </c>
      <c r="B419" t="s">
        <v>1307</v>
      </c>
      <c r="C419" t="s">
        <v>6938</v>
      </c>
      <c r="D419" s="1">
        <v>44982</v>
      </c>
      <c r="E419" s="1">
        <v>44992</v>
      </c>
      <c r="F419" s="1">
        <v>44992</v>
      </c>
      <c r="G419">
        <v>13.8</v>
      </c>
      <c r="H4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19" t="str">
        <f>IFERROR(INDEX(Raw_orders!G:G, MATCH(shipments[[#This Row],[order_id]],Raw_orders!A:A, 0)), "Unknown")</f>
        <v>Baltics</v>
      </c>
      <c r="J419" t="str">
        <f>PROPER(shipments[[#This Row],[delivery_status]])</f>
        <v>Delivered</v>
      </c>
      <c r="K419" t="s">
        <v>6929</v>
      </c>
    </row>
    <row r="420" spans="1:11">
      <c r="A420" t="s">
        <v>7356</v>
      </c>
      <c r="B420" t="s">
        <v>1308</v>
      </c>
      <c r="C420" t="s">
        <v>6925</v>
      </c>
      <c r="D420" s="1">
        <v>45177</v>
      </c>
      <c r="E420" s="1">
        <v>45184</v>
      </c>
      <c r="F420" s="1">
        <v>45184</v>
      </c>
      <c r="G420">
        <v>44.6</v>
      </c>
      <c r="H4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20" t="str">
        <f>IFERROR(INDEX(Raw_orders!G:G, MATCH(shipments[[#This Row],[order_id]],Raw_orders!A:A, 0)), "Unknown")</f>
        <v>Nordics</v>
      </c>
      <c r="J420" t="str">
        <f>PROPER(shipments[[#This Row],[delivery_status]])</f>
        <v>Delivered</v>
      </c>
      <c r="K420" t="s">
        <v>6929</v>
      </c>
    </row>
    <row r="421" spans="1:11">
      <c r="A421" t="s">
        <v>7357</v>
      </c>
      <c r="B421" t="s">
        <v>1309</v>
      </c>
      <c r="C421" t="s">
        <v>6938</v>
      </c>
      <c r="D421" s="1">
        <v>45335</v>
      </c>
      <c r="E421" s="1">
        <v>45337</v>
      </c>
      <c r="F421" s="1"/>
      <c r="G421">
        <v>32.340000000000003</v>
      </c>
      <c r="H4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21" t="str">
        <f>IFERROR(INDEX(Raw_orders!G:G, MATCH(shipments[[#This Row],[order_id]],Raw_orders!A:A, 0)), "Unknown")</f>
        <v>Baltics</v>
      </c>
      <c r="J421" t="str">
        <f>PROPER(shipments[[#This Row],[delivery_status]])</f>
        <v>In Transit</v>
      </c>
      <c r="K421" t="s">
        <v>6946</v>
      </c>
    </row>
    <row r="422" spans="1:11">
      <c r="A422" t="s">
        <v>7358</v>
      </c>
      <c r="B422" t="s">
        <v>1310</v>
      </c>
      <c r="C422" t="s">
        <v>6940</v>
      </c>
      <c r="D422" s="1">
        <v>45282</v>
      </c>
      <c r="E422" s="1">
        <v>45285</v>
      </c>
      <c r="F422" s="1">
        <v>45284</v>
      </c>
      <c r="G422">
        <v>22.55</v>
      </c>
      <c r="H4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22" t="str">
        <f>IFERROR(INDEX(Raw_orders!G:G, MATCH(shipments[[#This Row],[order_id]],Raw_orders!A:A, 0)), "Unknown")</f>
        <v>Nordics</v>
      </c>
      <c r="J422" t="str">
        <f>PROPER(shipments[[#This Row],[delivery_status]])</f>
        <v>Delivered</v>
      </c>
      <c r="K422" t="s">
        <v>6926</v>
      </c>
    </row>
    <row r="423" spans="1:11">
      <c r="A423" t="s">
        <v>7359</v>
      </c>
      <c r="B423" t="s">
        <v>1311</v>
      </c>
      <c r="C423" t="s">
        <v>6938</v>
      </c>
      <c r="D423" s="1">
        <v>45624</v>
      </c>
      <c r="E423" s="1">
        <v>45631</v>
      </c>
      <c r="F423" s="1">
        <v>45634</v>
      </c>
      <c r="G423">
        <v>16.010000000000002</v>
      </c>
      <c r="H4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3" t="str">
        <f>IFERROR(INDEX(Raw_orders!G:G, MATCH(shipments[[#This Row],[order_id]],Raw_orders!A:A, 0)), "Unknown")</f>
        <v>Nordics</v>
      </c>
      <c r="J423" t="str">
        <f>PROPER(shipments[[#This Row],[delivery_status]])</f>
        <v>Delivered</v>
      </c>
      <c r="K423" t="s">
        <v>6929</v>
      </c>
    </row>
    <row r="424" spans="1:11">
      <c r="A424" t="s">
        <v>7360</v>
      </c>
      <c r="B424" t="s">
        <v>1312</v>
      </c>
      <c r="C424" t="s">
        <v>6925</v>
      </c>
      <c r="D424" s="1">
        <v>45035</v>
      </c>
      <c r="E424" s="1">
        <v>45042</v>
      </c>
      <c r="F424" s="1">
        <v>45045</v>
      </c>
      <c r="G424">
        <v>19.09</v>
      </c>
      <c r="H4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4" t="str">
        <f>IFERROR(INDEX(Raw_orders!G:G, MATCH(shipments[[#This Row],[order_id]],Raw_orders!A:A, 0)), "Unknown")</f>
        <v>Nordics</v>
      </c>
      <c r="J424" t="str">
        <f>PROPER(shipments[[#This Row],[delivery_status]])</f>
        <v>Delivered</v>
      </c>
      <c r="K424" t="s">
        <v>6926</v>
      </c>
    </row>
    <row r="425" spans="1:11">
      <c r="A425" t="s">
        <v>7361</v>
      </c>
      <c r="B425" t="s">
        <v>1313</v>
      </c>
      <c r="C425" t="s">
        <v>6931</v>
      </c>
      <c r="D425" s="1">
        <v>45042</v>
      </c>
      <c r="E425" s="1">
        <v>45047</v>
      </c>
      <c r="F425" s="1">
        <v>45050</v>
      </c>
      <c r="G425">
        <v>53.21</v>
      </c>
      <c r="H4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5" t="str">
        <f>IFERROR(INDEX(Raw_orders!G:G, MATCH(shipments[[#This Row],[order_id]],Raw_orders!A:A, 0)), "Unknown")</f>
        <v>Nordics</v>
      </c>
      <c r="J425" t="str">
        <f>PROPER(shipments[[#This Row],[delivery_status]])</f>
        <v>Delivered</v>
      </c>
      <c r="K425" t="s">
        <v>6926</v>
      </c>
    </row>
    <row r="426" spans="1:11">
      <c r="A426" t="s">
        <v>7362</v>
      </c>
      <c r="B426" t="s">
        <v>1314</v>
      </c>
      <c r="C426" t="s">
        <v>6921</v>
      </c>
      <c r="D426" s="1">
        <v>45386</v>
      </c>
      <c r="E426" s="1">
        <v>45389</v>
      </c>
      <c r="F426" s="1">
        <v>45394</v>
      </c>
      <c r="G426">
        <v>27.1</v>
      </c>
      <c r="H4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6" t="str">
        <f>IFERROR(INDEX(Raw_orders!G:G, MATCH(shipments[[#This Row],[order_id]],Raw_orders!A:A, 0)), "Unknown")</f>
        <v>Nordics</v>
      </c>
      <c r="J426" t="str">
        <f>PROPER(shipments[[#This Row],[delivery_status]])</f>
        <v>Delivered</v>
      </c>
      <c r="K426" t="s">
        <v>6922</v>
      </c>
    </row>
    <row r="427" spans="1:11">
      <c r="A427" t="s">
        <v>7363</v>
      </c>
      <c r="B427" t="s">
        <v>1315</v>
      </c>
      <c r="C427" t="s">
        <v>6938</v>
      </c>
      <c r="D427" s="1">
        <v>45072</v>
      </c>
      <c r="E427" s="1">
        <v>45079</v>
      </c>
      <c r="F427" s="1">
        <v>45078</v>
      </c>
      <c r="G427">
        <v>45.27</v>
      </c>
      <c r="H4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27" t="str">
        <f>IFERROR(INDEX(Raw_orders!G:G, MATCH(shipments[[#This Row],[order_id]],Raw_orders!A:A, 0)), "Unknown")</f>
        <v>Nordics</v>
      </c>
      <c r="J427" t="str">
        <f>PROPER(shipments[[#This Row],[delivery_status]])</f>
        <v>Delivered</v>
      </c>
      <c r="K427" t="s">
        <v>6929</v>
      </c>
    </row>
    <row r="428" spans="1:11">
      <c r="A428" t="s">
        <v>7364</v>
      </c>
      <c r="B428" t="s">
        <v>1316</v>
      </c>
      <c r="C428" t="s">
        <v>6931</v>
      </c>
      <c r="D428" s="1">
        <v>45012</v>
      </c>
      <c r="E428" s="1">
        <v>45015</v>
      </c>
      <c r="F428" s="1"/>
      <c r="G428">
        <v>14.82</v>
      </c>
      <c r="H4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28" t="str">
        <f>IFERROR(INDEX(Raw_orders!G:G, MATCH(shipments[[#This Row],[order_id]],Raw_orders!A:A, 0)), "Unknown")</f>
        <v>Central Europe</v>
      </c>
      <c r="J428" t="str">
        <f>PROPER(shipments[[#This Row],[delivery_status]])</f>
        <v>In Transit</v>
      </c>
      <c r="K428" t="s">
        <v>6958</v>
      </c>
    </row>
    <row r="429" spans="1:11">
      <c r="A429" t="s">
        <v>7365</v>
      </c>
      <c r="B429" t="s">
        <v>1317</v>
      </c>
      <c r="C429" t="s">
        <v>6925</v>
      </c>
      <c r="D429" s="1">
        <v>45392</v>
      </c>
      <c r="E429" s="1">
        <v>45395</v>
      </c>
      <c r="F429" s="1">
        <v>45397</v>
      </c>
      <c r="G429">
        <v>19.66</v>
      </c>
      <c r="H4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9" t="str">
        <f>IFERROR(INDEX(Raw_orders!G:G, MATCH(shipments[[#This Row],[order_id]],Raw_orders!A:A, 0)), "Unknown")</f>
        <v>Central Europe</v>
      </c>
      <c r="J429" t="str">
        <f>PROPER(shipments[[#This Row],[delivery_status]])</f>
        <v>Delivered</v>
      </c>
      <c r="K429" t="s">
        <v>6926</v>
      </c>
    </row>
    <row r="430" spans="1:11">
      <c r="A430" t="s">
        <v>7366</v>
      </c>
      <c r="B430" t="s">
        <v>1318</v>
      </c>
      <c r="C430" t="s">
        <v>6938</v>
      </c>
      <c r="D430" s="1">
        <v>44997</v>
      </c>
      <c r="E430" s="1">
        <v>44999</v>
      </c>
      <c r="F430" s="1"/>
      <c r="G430">
        <v>25.63</v>
      </c>
      <c r="H4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30" t="str">
        <f>IFERROR(INDEX(Raw_orders!G:G, MATCH(shipments[[#This Row],[order_id]],Raw_orders!A:A, 0)), "Unknown")</f>
        <v>Baltics</v>
      </c>
      <c r="J430" t="str">
        <f>PROPER(shipments[[#This Row],[delivery_status]])</f>
        <v>In Transit</v>
      </c>
      <c r="K430" t="s">
        <v>6977</v>
      </c>
    </row>
    <row r="431" spans="1:11">
      <c r="A431" t="s">
        <v>7367</v>
      </c>
      <c r="B431" t="s">
        <v>1319</v>
      </c>
      <c r="C431" t="s">
        <v>6956</v>
      </c>
      <c r="D431" s="1">
        <v>45521</v>
      </c>
      <c r="E431" s="1">
        <v>45524</v>
      </c>
      <c r="F431" s="1">
        <v>45527</v>
      </c>
      <c r="G431">
        <v>63.1</v>
      </c>
      <c r="H4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1" t="str">
        <f>IFERROR(INDEX(Raw_orders!G:G, MATCH(shipments[[#This Row],[order_id]],Raw_orders!A:A, 0)), "Unknown")</f>
        <v>Nordics</v>
      </c>
      <c r="J431" t="str">
        <f>PROPER(shipments[[#This Row],[delivery_status]])</f>
        <v>Delivered</v>
      </c>
      <c r="K431" t="s">
        <v>6926</v>
      </c>
    </row>
    <row r="432" spans="1:11">
      <c r="A432" t="s">
        <v>7368</v>
      </c>
      <c r="B432" t="s">
        <v>1320</v>
      </c>
      <c r="C432" t="s">
        <v>6938</v>
      </c>
      <c r="D432" s="1">
        <v>45219</v>
      </c>
      <c r="E432" s="1">
        <v>45222</v>
      </c>
      <c r="F432" s="1">
        <v>45234</v>
      </c>
      <c r="G432">
        <v>47.18</v>
      </c>
      <c r="H4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2" t="str">
        <f>IFERROR(INDEX(Raw_orders!G:G, MATCH(shipments[[#This Row],[order_id]],Raw_orders!A:A, 0)), "Unknown")</f>
        <v>Nordics</v>
      </c>
      <c r="J432" t="str">
        <f>PROPER(shipments[[#This Row],[delivery_status]])</f>
        <v>Delivered</v>
      </c>
      <c r="K432" t="s">
        <v>6929</v>
      </c>
    </row>
    <row r="433" spans="1:11">
      <c r="A433" t="s">
        <v>7369</v>
      </c>
      <c r="B433" t="s">
        <v>1321</v>
      </c>
      <c r="C433" t="s">
        <v>6938</v>
      </c>
      <c r="D433" s="1">
        <v>45008</v>
      </c>
      <c r="E433" s="1">
        <v>45011</v>
      </c>
      <c r="F433" s="1">
        <v>45014</v>
      </c>
      <c r="H4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3" t="str">
        <f>IFERROR(INDEX(Raw_orders!G:G, MATCH(shipments[[#This Row],[order_id]],Raw_orders!A:A, 0)), "Unknown")</f>
        <v>Nordics</v>
      </c>
      <c r="J433" t="str">
        <f>PROPER(shipments[[#This Row],[delivery_status]])</f>
        <v>Delivered</v>
      </c>
      <c r="K433" t="s">
        <v>6922</v>
      </c>
    </row>
    <row r="434" spans="1:11">
      <c r="A434" t="s">
        <v>7370</v>
      </c>
      <c r="B434" t="s">
        <v>1322</v>
      </c>
      <c r="C434" t="s">
        <v>6935</v>
      </c>
      <c r="D434" s="1">
        <v>45324</v>
      </c>
      <c r="E434" s="1">
        <v>45331</v>
      </c>
      <c r="F434" s="1">
        <v>45331</v>
      </c>
      <c r="G434">
        <v>11.64</v>
      </c>
      <c r="H4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34" t="str">
        <f>IFERROR(INDEX(Raw_orders!G:G, MATCH(shipments[[#This Row],[order_id]],Raw_orders!A:A, 0)), "Unknown")</f>
        <v>Baltics</v>
      </c>
      <c r="J434" t="str">
        <f>PROPER(shipments[[#This Row],[delivery_status]])</f>
        <v>Delivered</v>
      </c>
      <c r="K434" t="s">
        <v>6926</v>
      </c>
    </row>
    <row r="435" spans="1:11">
      <c r="A435" t="s">
        <v>7371</v>
      </c>
      <c r="B435" t="s">
        <v>1323</v>
      </c>
      <c r="C435" t="s">
        <v>6925</v>
      </c>
      <c r="D435" s="1">
        <v>45430</v>
      </c>
      <c r="E435" s="1">
        <v>45437</v>
      </c>
      <c r="F435" s="1">
        <v>45436</v>
      </c>
      <c r="G435">
        <v>49.77</v>
      </c>
      <c r="H4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35" t="str">
        <f>IFERROR(INDEX(Raw_orders!G:G, MATCH(shipments[[#This Row],[order_id]],Raw_orders!A:A, 0)), "Unknown")</f>
        <v>Nordics</v>
      </c>
      <c r="J435" t="str">
        <f>PROPER(shipments[[#This Row],[delivery_status]])</f>
        <v>Delivered</v>
      </c>
      <c r="K435" t="s">
        <v>6926</v>
      </c>
    </row>
    <row r="436" spans="1:11">
      <c r="A436" t="s">
        <v>7372</v>
      </c>
      <c r="B436" t="s">
        <v>1324</v>
      </c>
      <c r="C436" t="s">
        <v>6940</v>
      </c>
      <c r="D436" s="1">
        <v>45569</v>
      </c>
      <c r="E436" s="1">
        <v>45571</v>
      </c>
      <c r="F436" s="1">
        <v>45571</v>
      </c>
      <c r="G436">
        <v>34.14</v>
      </c>
      <c r="H4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36" t="str">
        <f>IFERROR(INDEX(Raw_orders!G:G, MATCH(shipments[[#This Row],[order_id]],Raw_orders!A:A, 0)), "Unknown")</f>
        <v>Nordics</v>
      </c>
      <c r="J436" t="str">
        <f>PROPER(shipments[[#This Row],[delivery_status]])</f>
        <v>Delivered</v>
      </c>
      <c r="K436" t="s">
        <v>6929</v>
      </c>
    </row>
    <row r="437" spans="1:11">
      <c r="A437" t="s">
        <v>7373</v>
      </c>
      <c r="B437" t="s">
        <v>1325</v>
      </c>
      <c r="C437" t="s">
        <v>6925</v>
      </c>
      <c r="D437" s="1">
        <v>45628</v>
      </c>
      <c r="E437" s="1">
        <v>45631</v>
      </c>
      <c r="F437" s="1">
        <v>45635</v>
      </c>
      <c r="G437">
        <v>24.46</v>
      </c>
      <c r="H4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7" t="str">
        <f>IFERROR(INDEX(Raw_orders!G:G, MATCH(shipments[[#This Row],[order_id]],Raw_orders!A:A, 0)), "Unknown")</f>
        <v>Baltics</v>
      </c>
      <c r="J437" t="str">
        <f>PROPER(shipments[[#This Row],[delivery_status]])</f>
        <v>Delivered</v>
      </c>
      <c r="K437" t="s">
        <v>6926</v>
      </c>
    </row>
    <row r="438" spans="1:11">
      <c r="A438" t="s">
        <v>7374</v>
      </c>
      <c r="B438" t="s">
        <v>1325</v>
      </c>
      <c r="C438" t="s">
        <v>6940</v>
      </c>
      <c r="D438" s="1">
        <v>45628</v>
      </c>
      <c r="E438" s="1">
        <v>45633</v>
      </c>
      <c r="F438" s="1">
        <v>45641</v>
      </c>
      <c r="G438">
        <v>49.13</v>
      </c>
      <c r="H4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8" t="str">
        <f>IFERROR(INDEX(Raw_orders!G:G, MATCH(shipments[[#This Row],[order_id]],Raw_orders!A:A, 0)), "Unknown")</f>
        <v>Baltics</v>
      </c>
      <c r="J438" t="str">
        <f>PROPER(shipments[[#This Row],[delivery_status]])</f>
        <v>Delivered</v>
      </c>
      <c r="K438" t="s">
        <v>6922</v>
      </c>
    </row>
    <row r="439" spans="1:11">
      <c r="A439" t="s">
        <v>7375</v>
      </c>
      <c r="B439" t="s">
        <v>1326</v>
      </c>
      <c r="C439" t="s">
        <v>6925</v>
      </c>
      <c r="D439" s="1">
        <v>45500</v>
      </c>
      <c r="E439" s="1">
        <v>45502</v>
      </c>
      <c r="F439" s="1">
        <v>45510</v>
      </c>
      <c r="G439">
        <v>49.75</v>
      </c>
      <c r="H4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9" t="str">
        <f>IFERROR(INDEX(Raw_orders!G:G, MATCH(shipments[[#This Row],[order_id]],Raw_orders!A:A, 0)), "Unknown")</f>
        <v>Central Europe</v>
      </c>
      <c r="J439" t="str">
        <f>PROPER(shipments[[#This Row],[delivery_status]])</f>
        <v>Delivered</v>
      </c>
      <c r="K439" t="s">
        <v>6922</v>
      </c>
    </row>
    <row r="440" spans="1:11">
      <c r="A440" t="s">
        <v>7376</v>
      </c>
      <c r="B440" t="s">
        <v>1327</v>
      </c>
      <c r="C440" t="s">
        <v>6940</v>
      </c>
      <c r="D440" s="1">
        <v>45002</v>
      </c>
      <c r="E440" s="1">
        <v>45007</v>
      </c>
      <c r="F440" s="1">
        <v>45007</v>
      </c>
      <c r="G440">
        <v>17.940000000000001</v>
      </c>
      <c r="H4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40" t="str">
        <f>IFERROR(INDEX(Raw_orders!G:G, MATCH(shipments[[#This Row],[order_id]],Raw_orders!A:A, 0)), "Unknown")</f>
        <v>Baltics</v>
      </c>
      <c r="J440" t="str">
        <f>PROPER(shipments[[#This Row],[delivery_status]])</f>
        <v>Delivered</v>
      </c>
      <c r="K440" t="s">
        <v>6926</v>
      </c>
    </row>
    <row r="441" spans="1:11">
      <c r="A441" t="s">
        <v>7377</v>
      </c>
      <c r="B441" t="s">
        <v>1328</v>
      </c>
      <c r="C441" t="s">
        <v>6925</v>
      </c>
      <c r="D441" s="1">
        <v>45250</v>
      </c>
      <c r="E441" s="1">
        <v>45252</v>
      </c>
      <c r="F441" s="1">
        <v>45260</v>
      </c>
      <c r="G441">
        <v>52.94</v>
      </c>
      <c r="H4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1" t="str">
        <f>IFERROR(INDEX(Raw_orders!G:G, MATCH(shipments[[#This Row],[order_id]],Raw_orders!A:A, 0)), "Unknown")</f>
        <v>Central Europe</v>
      </c>
      <c r="J441" t="str">
        <f>PROPER(shipments[[#This Row],[delivery_status]])</f>
        <v>Delivered</v>
      </c>
      <c r="K441" t="s">
        <v>6926</v>
      </c>
    </row>
    <row r="442" spans="1:11">
      <c r="A442" t="s">
        <v>7378</v>
      </c>
      <c r="B442" t="s">
        <v>1328</v>
      </c>
      <c r="C442" t="s">
        <v>6921</v>
      </c>
      <c r="D442" s="1">
        <v>45251</v>
      </c>
      <c r="E442" s="1">
        <v>45258</v>
      </c>
      <c r="F442" s="1">
        <v>45266</v>
      </c>
      <c r="G442">
        <v>10.7</v>
      </c>
      <c r="H4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2" t="str">
        <f>IFERROR(INDEX(Raw_orders!G:G, MATCH(shipments[[#This Row],[order_id]],Raw_orders!A:A, 0)), "Unknown")</f>
        <v>Central Europe</v>
      </c>
      <c r="J442" t="str">
        <f>PROPER(shipments[[#This Row],[delivery_status]])</f>
        <v>Delivered</v>
      </c>
      <c r="K442" t="s">
        <v>6929</v>
      </c>
    </row>
    <row r="443" spans="1:11">
      <c r="A443" t="s">
        <v>7379</v>
      </c>
      <c r="B443" t="s">
        <v>1329</v>
      </c>
      <c r="C443" t="s">
        <v>6921</v>
      </c>
      <c r="D443" s="1">
        <v>45542</v>
      </c>
      <c r="E443" s="1">
        <v>45545</v>
      </c>
      <c r="F443" s="1">
        <v>45553</v>
      </c>
      <c r="G443">
        <v>48.36</v>
      </c>
      <c r="H4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3" t="str">
        <f>IFERROR(INDEX(Raw_orders!G:G, MATCH(shipments[[#This Row],[order_id]],Raw_orders!A:A, 0)), "Unknown")</f>
        <v>Central Europe</v>
      </c>
      <c r="J443" t="str">
        <f>PROPER(shipments[[#This Row],[delivery_status]])</f>
        <v>Delivered</v>
      </c>
      <c r="K443" t="s">
        <v>6922</v>
      </c>
    </row>
    <row r="444" spans="1:11">
      <c r="A444" t="s">
        <v>7380</v>
      </c>
      <c r="B444" t="s">
        <v>1330</v>
      </c>
      <c r="C444" t="s">
        <v>6956</v>
      </c>
      <c r="D444" s="1">
        <v>45445</v>
      </c>
      <c r="E444" s="1">
        <v>45452</v>
      </c>
      <c r="F444" s="1">
        <v>45455</v>
      </c>
      <c r="G444">
        <v>36.89</v>
      </c>
      <c r="H4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4" t="str">
        <f>IFERROR(INDEX(Raw_orders!G:G, MATCH(shipments[[#This Row],[order_id]],Raw_orders!A:A, 0)), "Unknown")</f>
        <v>Central Europe</v>
      </c>
      <c r="J444" t="str">
        <f>PROPER(shipments[[#This Row],[delivery_status]])</f>
        <v>Delivered</v>
      </c>
      <c r="K444" t="s">
        <v>6922</v>
      </c>
    </row>
    <row r="445" spans="1:11">
      <c r="A445" t="s">
        <v>7381</v>
      </c>
      <c r="B445" t="s">
        <v>1331</v>
      </c>
      <c r="C445" t="s">
        <v>6949</v>
      </c>
      <c r="D445" s="1">
        <v>45326</v>
      </c>
      <c r="E445" s="1">
        <v>45331</v>
      </c>
      <c r="F445" s="1">
        <v>45336</v>
      </c>
      <c r="G445">
        <v>47.51</v>
      </c>
      <c r="H4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5" t="str">
        <f>IFERROR(INDEX(Raw_orders!G:G, MATCH(shipments[[#This Row],[order_id]],Raw_orders!A:A, 0)), "Unknown")</f>
        <v>Nordics</v>
      </c>
      <c r="J445" t="str">
        <f>PROPER(shipments[[#This Row],[delivery_status]])</f>
        <v>Delivered</v>
      </c>
      <c r="K445" t="s">
        <v>6929</v>
      </c>
    </row>
    <row r="446" spans="1:11">
      <c r="A446" t="s">
        <v>7382</v>
      </c>
      <c r="B446" t="s">
        <v>1332</v>
      </c>
      <c r="C446" t="s">
        <v>6931</v>
      </c>
      <c r="D446" s="1">
        <v>45160</v>
      </c>
      <c r="E446" s="1">
        <v>45167</v>
      </c>
      <c r="F446" s="1">
        <v>45172</v>
      </c>
      <c r="G446">
        <v>60.17</v>
      </c>
      <c r="H4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6" t="str">
        <f>IFERROR(INDEX(Raw_orders!G:G, MATCH(shipments[[#This Row],[order_id]],Raw_orders!A:A, 0)), "Unknown")</f>
        <v>Central Europe</v>
      </c>
      <c r="J446" t="str">
        <f>PROPER(shipments[[#This Row],[delivery_status]])</f>
        <v>Delivered</v>
      </c>
      <c r="K446" t="s">
        <v>6926</v>
      </c>
    </row>
    <row r="447" spans="1:11">
      <c r="A447" t="s">
        <v>7383</v>
      </c>
      <c r="B447" t="s">
        <v>1333</v>
      </c>
      <c r="C447" t="s">
        <v>6925</v>
      </c>
      <c r="D447" s="1">
        <v>44962</v>
      </c>
      <c r="E447" s="1">
        <v>44969</v>
      </c>
      <c r="F447" s="1">
        <v>44970</v>
      </c>
      <c r="G447">
        <v>56.33</v>
      </c>
      <c r="H4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7" t="str">
        <f>IFERROR(INDEX(Raw_orders!G:G, MATCH(shipments[[#This Row],[order_id]],Raw_orders!A:A, 0)), "Unknown")</f>
        <v>Central Europe</v>
      </c>
      <c r="J447" t="str">
        <f>PROPER(shipments[[#This Row],[delivery_status]])</f>
        <v>Delivered</v>
      </c>
      <c r="K447" t="s">
        <v>6922</v>
      </c>
    </row>
    <row r="448" spans="1:11">
      <c r="A448" t="s">
        <v>7384</v>
      </c>
      <c r="B448" t="s">
        <v>1334</v>
      </c>
      <c r="C448" t="s">
        <v>6925</v>
      </c>
      <c r="D448" s="1">
        <v>45191</v>
      </c>
      <c r="E448" s="1">
        <v>45201</v>
      </c>
      <c r="F448" s="1">
        <v>45201</v>
      </c>
      <c r="G448">
        <v>4.79</v>
      </c>
      <c r="H4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48" t="str">
        <f>IFERROR(INDEX(Raw_orders!G:G, MATCH(shipments[[#This Row],[order_id]],Raw_orders!A:A, 0)), "Unknown")</f>
        <v>Baltics</v>
      </c>
      <c r="J448" t="str">
        <f>PROPER(shipments[[#This Row],[delivery_status]])</f>
        <v>Delivered</v>
      </c>
      <c r="K448" t="s">
        <v>6929</v>
      </c>
    </row>
    <row r="449" spans="1:11">
      <c r="A449" t="s">
        <v>7385</v>
      </c>
      <c r="B449" t="s">
        <v>1335</v>
      </c>
      <c r="C449" t="s">
        <v>6940</v>
      </c>
      <c r="D449" s="1">
        <v>45080</v>
      </c>
      <c r="E449" s="1">
        <v>45082</v>
      </c>
      <c r="F449" s="1">
        <v>45082</v>
      </c>
      <c r="G449">
        <v>13.21</v>
      </c>
      <c r="H4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49" t="str">
        <f>IFERROR(INDEX(Raw_orders!G:G, MATCH(shipments[[#This Row],[order_id]],Raw_orders!A:A, 0)), "Unknown")</f>
        <v>Baltics</v>
      </c>
      <c r="J449" t="str">
        <f>PROPER(shipments[[#This Row],[delivery_status]])</f>
        <v>Delivered</v>
      </c>
      <c r="K449" t="s">
        <v>6922</v>
      </c>
    </row>
    <row r="450" spans="1:11">
      <c r="A450" t="s">
        <v>7386</v>
      </c>
      <c r="B450" t="s">
        <v>1336</v>
      </c>
      <c r="C450" t="s">
        <v>6928</v>
      </c>
      <c r="D450" s="1">
        <v>45309</v>
      </c>
      <c r="E450" s="1">
        <v>45319</v>
      </c>
      <c r="F450" s="1">
        <v>45321</v>
      </c>
      <c r="G450">
        <v>31.39</v>
      </c>
      <c r="H4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0" t="str">
        <f>IFERROR(INDEX(Raw_orders!G:G, MATCH(shipments[[#This Row],[order_id]],Raw_orders!A:A, 0)), "Unknown")</f>
        <v>Central Europe</v>
      </c>
      <c r="J450" t="str">
        <f>PROPER(shipments[[#This Row],[delivery_status]])</f>
        <v>Delivered</v>
      </c>
      <c r="K450" t="s">
        <v>6922</v>
      </c>
    </row>
    <row r="451" spans="1:11">
      <c r="A451" t="s">
        <v>7387</v>
      </c>
      <c r="B451" t="s">
        <v>1337</v>
      </c>
      <c r="C451" t="s">
        <v>6928</v>
      </c>
      <c r="D451" s="1">
        <v>45168</v>
      </c>
      <c r="E451" s="1">
        <v>45173</v>
      </c>
      <c r="F451" s="1">
        <v>45176</v>
      </c>
      <c r="G451">
        <v>23.32</v>
      </c>
      <c r="H4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1" t="str">
        <f>IFERROR(INDEX(Raw_orders!G:G, MATCH(shipments[[#This Row],[order_id]],Raw_orders!A:A, 0)), "Unknown")</f>
        <v>Baltics</v>
      </c>
      <c r="J451" t="str">
        <f>PROPER(shipments[[#This Row],[delivery_status]])</f>
        <v>Delivered</v>
      </c>
      <c r="K451" t="s">
        <v>6926</v>
      </c>
    </row>
    <row r="452" spans="1:11">
      <c r="A452" t="s">
        <v>7388</v>
      </c>
      <c r="B452" t="s">
        <v>1338</v>
      </c>
      <c r="C452" t="s">
        <v>6940</v>
      </c>
      <c r="D452" s="1">
        <v>44982</v>
      </c>
      <c r="E452" s="1">
        <v>44984</v>
      </c>
      <c r="F452" s="1">
        <v>44998</v>
      </c>
      <c r="G452">
        <v>60.89</v>
      </c>
      <c r="H4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2" t="str">
        <f>IFERROR(INDEX(Raw_orders!G:G, MATCH(shipments[[#This Row],[order_id]],Raw_orders!A:A, 0)), "Unknown")</f>
        <v>Central Europe</v>
      </c>
      <c r="J452" t="str">
        <f>PROPER(shipments[[#This Row],[delivery_status]])</f>
        <v>Delivered</v>
      </c>
      <c r="K452" t="s">
        <v>6929</v>
      </c>
    </row>
    <row r="453" spans="1:11">
      <c r="A453" t="s">
        <v>7389</v>
      </c>
      <c r="B453" t="s">
        <v>1339</v>
      </c>
      <c r="C453" t="s">
        <v>6956</v>
      </c>
      <c r="D453" s="1">
        <v>45165</v>
      </c>
      <c r="E453" s="1">
        <v>45172</v>
      </c>
      <c r="F453" s="1">
        <v>45172</v>
      </c>
      <c r="G453">
        <v>58.64</v>
      </c>
      <c r="H4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53" t="str">
        <f>IFERROR(INDEX(Raw_orders!G:G, MATCH(shipments[[#This Row],[order_id]],Raw_orders!A:A, 0)), "Unknown")</f>
        <v>Nordics</v>
      </c>
      <c r="J453" t="str">
        <f>PROPER(shipments[[#This Row],[delivery_status]])</f>
        <v>Delivered</v>
      </c>
      <c r="K453" t="s">
        <v>6922</v>
      </c>
    </row>
    <row r="454" spans="1:11">
      <c r="A454" t="s">
        <v>7390</v>
      </c>
      <c r="B454" t="s">
        <v>1340</v>
      </c>
      <c r="C454" t="s">
        <v>6949</v>
      </c>
      <c r="D454" s="1">
        <v>44976</v>
      </c>
      <c r="E454" s="1">
        <v>44981</v>
      </c>
      <c r="F454" s="1"/>
      <c r="G454">
        <v>20.28</v>
      </c>
      <c r="H4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54" t="str">
        <f>IFERROR(INDEX(Raw_orders!G:G, MATCH(shipments[[#This Row],[order_id]],Raw_orders!A:A, 0)), "Unknown")</f>
        <v>Baltics</v>
      </c>
      <c r="J454" t="str">
        <f>PROPER(shipments[[#This Row],[delivery_status]])</f>
        <v>In Transit</v>
      </c>
      <c r="K454" t="s">
        <v>6958</v>
      </c>
    </row>
    <row r="455" spans="1:11">
      <c r="A455" t="s">
        <v>7391</v>
      </c>
      <c r="B455" t="s">
        <v>1341</v>
      </c>
      <c r="C455" t="s">
        <v>6956</v>
      </c>
      <c r="D455" s="1">
        <v>45057</v>
      </c>
      <c r="E455" s="1">
        <v>45064</v>
      </c>
      <c r="F455" s="1"/>
      <c r="G455">
        <v>49.88</v>
      </c>
      <c r="H4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55" t="str">
        <f>IFERROR(INDEX(Raw_orders!G:G, MATCH(shipments[[#This Row],[order_id]],Raw_orders!A:A, 0)), "Unknown")</f>
        <v>Central Europe</v>
      </c>
      <c r="J455" t="str">
        <f>PROPER(shipments[[#This Row],[delivery_status]])</f>
        <v>Cancelled</v>
      </c>
      <c r="K455" t="s">
        <v>6979</v>
      </c>
    </row>
    <row r="456" spans="1:11">
      <c r="A456" t="s">
        <v>7392</v>
      </c>
      <c r="B456" t="s">
        <v>1342</v>
      </c>
      <c r="C456" t="s">
        <v>6921</v>
      </c>
      <c r="D456" s="1">
        <v>45117</v>
      </c>
      <c r="E456" s="1">
        <v>45122</v>
      </c>
      <c r="F456" s="1">
        <v>45127</v>
      </c>
      <c r="G456">
        <v>28.54</v>
      </c>
      <c r="H4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6" t="str">
        <f>IFERROR(INDEX(Raw_orders!G:G, MATCH(shipments[[#This Row],[order_id]],Raw_orders!A:A, 0)), "Unknown")</f>
        <v>Nordics</v>
      </c>
      <c r="J456" t="str">
        <f>PROPER(shipments[[#This Row],[delivery_status]])</f>
        <v>Delivered</v>
      </c>
      <c r="K456" t="s">
        <v>6922</v>
      </c>
    </row>
    <row r="457" spans="1:11">
      <c r="A457" t="s">
        <v>7393</v>
      </c>
      <c r="B457" t="s">
        <v>1343</v>
      </c>
      <c r="C457" t="s">
        <v>6935</v>
      </c>
      <c r="D457" s="1">
        <v>45318</v>
      </c>
      <c r="E457" s="1">
        <v>45328</v>
      </c>
      <c r="F457" s="1">
        <v>45328</v>
      </c>
      <c r="G457">
        <v>48.35</v>
      </c>
      <c r="H4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57" t="str">
        <f>IFERROR(INDEX(Raw_orders!G:G, MATCH(shipments[[#This Row],[order_id]],Raw_orders!A:A, 0)), "Unknown")</f>
        <v>Baltics</v>
      </c>
      <c r="J457" t="str">
        <f>PROPER(shipments[[#This Row],[delivery_status]])</f>
        <v>Delivered</v>
      </c>
      <c r="K457" t="s">
        <v>6922</v>
      </c>
    </row>
    <row r="458" spans="1:11">
      <c r="A458" t="s">
        <v>7394</v>
      </c>
      <c r="B458" t="s">
        <v>1344</v>
      </c>
      <c r="C458" t="s">
        <v>6935</v>
      </c>
      <c r="D458" s="1">
        <v>45576</v>
      </c>
      <c r="E458" s="1">
        <v>45586</v>
      </c>
      <c r="F458" s="1">
        <v>45587</v>
      </c>
      <c r="G458">
        <v>25.47</v>
      </c>
      <c r="H4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8" t="str">
        <f>IFERROR(INDEX(Raw_orders!G:G, MATCH(shipments[[#This Row],[order_id]],Raw_orders!A:A, 0)), "Unknown")</f>
        <v>Baltics</v>
      </c>
      <c r="J458" t="str">
        <f>PROPER(shipments[[#This Row],[delivery_status]])</f>
        <v>Delivered</v>
      </c>
      <c r="K458" t="s">
        <v>6926</v>
      </c>
    </row>
    <row r="459" spans="1:11">
      <c r="A459" t="s">
        <v>7395</v>
      </c>
      <c r="B459" t="s">
        <v>1345</v>
      </c>
      <c r="C459" t="s">
        <v>6956</v>
      </c>
      <c r="D459" s="1">
        <v>45011</v>
      </c>
      <c r="E459" s="1">
        <v>45018</v>
      </c>
      <c r="F459" s="1">
        <v>45021</v>
      </c>
      <c r="G459">
        <v>18.55</v>
      </c>
      <c r="H4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9" t="str">
        <f>IFERROR(INDEX(Raw_orders!G:G, MATCH(shipments[[#This Row],[order_id]],Raw_orders!A:A, 0)), "Unknown")</f>
        <v>Central Europe</v>
      </c>
      <c r="J459" t="str">
        <f>PROPER(shipments[[#This Row],[delivery_status]])</f>
        <v>Delivered</v>
      </c>
      <c r="K459" t="s">
        <v>6922</v>
      </c>
    </row>
    <row r="460" spans="1:11">
      <c r="A460" t="s">
        <v>7396</v>
      </c>
      <c r="B460" t="s">
        <v>1346</v>
      </c>
      <c r="C460" t="s">
        <v>6928</v>
      </c>
      <c r="D460" s="1">
        <v>44951</v>
      </c>
      <c r="E460" s="1">
        <v>44954</v>
      </c>
      <c r="F460" s="1">
        <v>44962</v>
      </c>
      <c r="G460">
        <v>54.86</v>
      </c>
      <c r="H4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0" t="str">
        <f>IFERROR(INDEX(Raw_orders!G:G, MATCH(shipments[[#This Row],[order_id]],Raw_orders!A:A, 0)), "Unknown")</f>
        <v>Nordics</v>
      </c>
      <c r="J460" t="str">
        <f>PROPER(shipments[[#This Row],[delivery_status]])</f>
        <v>Delivered</v>
      </c>
      <c r="K460" t="s">
        <v>6926</v>
      </c>
    </row>
    <row r="461" spans="1:11">
      <c r="A461" t="s">
        <v>7397</v>
      </c>
      <c r="B461" t="s">
        <v>1347</v>
      </c>
      <c r="C461" t="s">
        <v>6931</v>
      </c>
      <c r="D461" s="1">
        <v>45051</v>
      </c>
      <c r="E461" s="1">
        <v>45061</v>
      </c>
      <c r="F461" s="1">
        <v>45072</v>
      </c>
      <c r="G461">
        <v>32.51</v>
      </c>
      <c r="H4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1" t="str">
        <f>IFERROR(INDEX(Raw_orders!G:G, MATCH(shipments[[#This Row],[order_id]],Raw_orders!A:A, 0)), "Unknown")</f>
        <v>Baltics</v>
      </c>
      <c r="J461" t="str">
        <f>PROPER(shipments[[#This Row],[delivery_status]])</f>
        <v>Delivered</v>
      </c>
      <c r="K461" t="s">
        <v>6922</v>
      </c>
    </row>
    <row r="462" spans="1:11">
      <c r="A462" t="s">
        <v>7398</v>
      </c>
      <c r="B462" t="s">
        <v>1348</v>
      </c>
      <c r="C462" t="s">
        <v>6935</v>
      </c>
      <c r="D462" s="1">
        <v>45084</v>
      </c>
      <c r="E462" s="1">
        <v>45089</v>
      </c>
      <c r="F462" s="1">
        <v>45090</v>
      </c>
      <c r="G462">
        <v>63.02</v>
      </c>
      <c r="H4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2" t="str">
        <f>IFERROR(INDEX(Raw_orders!G:G, MATCH(shipments[[#This Row],[order_id]],Raw_orders!A:A, 0)), "Unknown")</f>
        <v>Baltics</v>
      </c>
      <c r="J462" t="str">
        <f>PROPER(shipments[[#This Row],[delivery_status]])</f>
        <v>Delivered</v>
      </c>
      <c r="K462" t="s">
        <v>6926</v>
      </c>
    </row>
    <row r="463" spans="1:11">
      <c r="A463" t="s">
        <v>7399</v>
      </c>
      <c r="B463" t="s">
        <v>1349</v>
      </c>
      <c r="C463" t="s">
        <v>6925</v>
      </c>
      <c r="D463" s="1">
        <v>45145</v>
      </c>
      <c r="E463" s="1">
        <v>45150</v>
      </c>
      <c r="F463" s="1"/>
      <c r="G463">
        <v>19.27</v>
      </c>
      <c r="H4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63" t="str">
        <f>IFERROR(INDEX(Raw_orders!G:G, MATCH(shipments[[#This Row],[order_id]],Raw_orders!A:A, 0)), "Unknown")</f>
        <v>Nordics</v>
      </c>
      <c r="J463" t="str">
        <f>PROPER(shipments[[#This Row],[delivery_status]])</f>
        <v>Cancelled</v>
      </c>
      <c r="K463" t="s">
        <v>6963</v>
      </c>
    </row>
    <row r="464" spans="1:11">
      <c r="A464" t="s">
        <v>7400</v>
      </c>
      <c r="B464" t="s">
        <v>1350</v>
      </c>
      <c r="C464" t="s">
        <v>6931</v>
      </c>
      <c r="D464" s="1">
        <v>45626</v>
      </c>
      <c r="E464" s="1">
        <v>45628</v>
      </c>
      <c r="F464" s="1">
        <v>45636</v>
      </c>
      <c r="G464">
        <v>26</v>
      </c>
      <c r="H4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4" t="str">
        <f>IFERROR(INDEX(Raw_orders!G:G, MATCH(shipments[[#This Row],[order_id]],Raw_orders!A:A, 0)), "Unknown")</f>
        <v>Central Europe</v>
      </c>
      <c r="J464" t="str">
        <f>PROPER(shipments[[#This Row],[delivery_status]])</f>
        <v>Delivered</v>
      </c>
      <c r="K464" t="s">
        <v>6926</v>
      </c>
    </row>
    <row r="465" spans="1:11">
      <c r="A465" t="s">
        <v>7401</v>
      </c>
      <c r="B465" t="s">
        <v>1351</v>
      </c>
      <c r="C465" t="s">
        <v>6925</v>
      </c>
      <c r="D465" s="1">
        <v>44955</v>
      </c>
      <c r="E465" s="1">
        <v>44958</v>
      </c>
      <c r="F465" s="1">
        <v>44959</v>
      </c>
      <c r="G465">
        <v>62.73</v>
      </c>
      <c r="H4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5" t="str">
        <f>IFERROR(INDEX(Raw_orders!G:G, MATCH(shipments[[#This Row],[order_id]],Raw_orders!A:A, 0)), "Unknown")</f>
        <v>Central Europe</v>
      </c>
      <c r="J465" t="str">
        <f>PROPER(shipments[[#This Row],[delivery_status]])</f>
        <v>Delivered</v>
      </c>
      <c r="K465" t="s">
        <v>6926</v>
      </c>
    </row>
    <row r="466" spans="1:11">
      <c r="A466" t="s">
        <v>7402</v>
      </c>
      <c r="B466" t="s">
        <v>1352</v>
      </c>
      <c r="C466" t="s">
        <v>6938</v>
      </c>
      <c r="D466" s="1">
        <v>45574</v>
      </c>
      <c r="E466" s="1">
        <v>45579</v>
      </c>
      <c r="F466" s="1">
        <v>45578</v>
      </c>
      <c r="G466">
        <v>58.63</v>
      </c>
      <c r="H4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66" t="str">
        <f>IFERROR(INDEX(Raw_orders!G:G, MATCH(shipments[[#This Row],[order_id]],Raw_orders!A:A, 0)), "Unknown")</f>
        <v>Nordics</v>
      </c>
      <c r="J466" t="str">
        <f>PROPER(shipments[[#This Row],[delivery_status]])</f>
        <v>Delivered</v>
      </c>
      <c r="K466" t="s">
        <v>6922</v>
      </c>
    </row>
    <row r="467" spans="1:11">
      <c r="A467" t="s">
        <v>7403</v>
      </c>
      <c r="B467" t="s">
        <v>1353</v>
      </c>
      <c r="C467" t="s">
        <v>6931</v>
      </c>
      <c r="D467" s="1">
        <v>45057</v>
      </c>
      <c r="E467" s="1">
        <v>45059</v>
      </c>
      <c r="F467" s="1">
        <v>45059</v>
      </c>
      <c r="G467">
        <v>8.68</v>
      </c>
      <c r="H4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67" t="str">
        <f>IFERROR(INDEX(Raw_orders!G:G, MATCH(shipments[[#This Row],[order_id]],Raw_orders!A:A, 0)), "Unknown")</f>
        <v>Central Europe</v>
      </c>
      <c r="J467" t="str">
        <f>PROPER(shipments[[#This Row],[delivery_status]])</f>
        <v>Delivered</v>
      </c>
      <c r="K467" t="s">
        <v>6926</v>
      </c>
    </row>
    <row r="468" spans="1:11">
      <c r="A468" t="s">
        <v>7404</v>
      </c>
      <c r="B468" t="s">
        <v>1353</v>
      </c>
      <c r="C468" t="s">
        <v>6921</v>
      </c>
      <c r="D468" s="1">
        <v>45060</v>
      </c>
      <c r="E468" s="1">
        <v>45062</v>
      </c>
      <c r="F468" s="1">
        <v>45067</v>
      </c>
      <c r="G468">
        <v>61.99</v>
      </c>
      <c r="H4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8" t="str">
        <f>IFERROR(INDEX(Raw_orders!G:G, MATCH(shipments[[#This Row],[order_id]],Raw_orders!A:A, 0)), "Unknown")</f>
        <v>Central Europe</v>
      </c>
      <c r="J468" t="str">
        <f>PROPER(shipments[[#This Row],[delivery_status]])</f>
        <v>Delivered</v>
      </c>
      <c r="K468" t="s">
        <v>6929</v>
      </c>
    </row>
    <row r="469" spans="1:11">
      <c r="A469" t="s">
        <v>7405</v>
      </c>
      <c r="B469" t="s">
        <v>1354</v>
      </c>
      <c r="C469" t="s">
        <v>6935</v>
      </c>
      <c r="D469" s="1">
        <v>44971</v>
      </c>
      <c r="E469" s="1">
        <v>44981</v>
      </c>
      <c r="F469" s="1"/>
      <c r="G469">
        <v>36.97</v>
      </c>
      <c r="H4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69" t="str">
        <f>IFERROR(INDEX(Raw_orders!G:G, MATCH(shipments[[#This Row],[order_id]],Raw_orders!A:A, 0)), "Unknown")</f>
        <v>Nordics</v>
      </c>
      <c r="J469" t="str">
        <f>PROPER(shipments[[#This Row],[delivery_status]])</f>
        <v>In Transit</v>
      </c>
      <c r="K469" t="s">
        <v>6977</v>
      </c>
    </row>
    <row r="470" spans="1:11">
      <c r="A470" t="s">
        <v>7406</v>
      </c>
      <c r="B470" t="s">
        <v>1355</v>
      </c>
      <c r="C470" t="s">
        <v>6935</v>
      </c>
      <c r="D470" s="1">
        <v>45579</v>
      </c>
      <c r="E470" s="1">
        <v>45584</v>
      </c>
      <c r="F470" s="1">
        <v>45584</v>
      </c>
      <c r="H4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70" t="str">
        <f>IFERROR(INDEX(Raw_orders!G:G, MATCH(shipments[[#This Row],[order_id]],Raw_orders!A:A, 0)), "Unknown")</f>
        <v>Nordics</v>
      </c>
      <c r="J470" t="str">
        <f>PROPER(shipments[[#This Row],[delivery_status]])</f>
        <v>Delivered</v>
      </c>
      <c r="K470" t="s">
        <v>6926</v>
      </c>
    </row>
    <row r="471" spans="1:11">
      <c r="A471" t="s">
        <v>7407</v>
      </c>
      <c r="B471" t="s">
        <v>1356</v>
      </c>
      <c r="C471" t="s">
        <v>6931</v>
      </c>
      <c r="D471" s="1">
        <v>45352</v>
      </c>
      <c r="E471" s="1">
        <v>45359</v>
      </c>
      <c r="F471" s="1">
        <v>45364</v>
      </c>
      <c r="G471">
        <v>51.35</v>
      </c>
      <c r="H4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1" t="str">
        <f>IFERROR(INDEX(Raw_orders!G:G, MATCH(shipments[[#This Row],[order_id]],Raw_orders!A:A, 0)), "Unknown")</f>
        <v>Nordics</v>
      </c>
      <c r="J471" t="str">
        <f>PROPER(shipments[[#This Row],[delivery_status]])</f>
        <v>Delivered</v>
      </c>
      <c r="K471" t="s">
        <v>6926</v>
      </c>
    </row>
    <row r="472" spans="1:11">
      <c r="A472" t="s">
        <v>7408</v>
      </c>
      <c r="B472" t="s">
        <v>1357</v>
      </c>
      <c r="C472" t="s">
        <v>6935</v>
      </c>
      <c r="D472" s="1">
        <v>45490</v>
      </c>
      <c r="E472" s="1">
        <v>45495</v>
      </c>
      <c r="F472" s="1">
        <v>45497</v>
      </c>
      <c r="G472">
        <v>37.549999999999997</v>
      </c>
      <c r="H4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2" t="str">
        <f>IFERROR(INDEX(Raw_orders!G:G, MATCH(shipments[[#This Row],[order_id]],Raw_orders!A:A, 0)), "Unknown")</f>
        <v>Central Europe</v>
      </c>
      <c r="J472" t="str">
        <f>PROPER(shipments[[#This Row],[delivery_status]])</f>
        <v>Delivered</v>
      </c>
      <c r="K472" t="s">
        <v>6922</v>
      </c>
    </row>
    <row r="473" spans="1:11">
      <c r="A473" t="s">
        <v>7409</v>
      </c>
      <c r="B473" t="s">
        <v>1358</v>
      </c>
      <c r="C473" t="s">
        <v>6938</v>
      </c>
      <c r="D473" s="1">
        <v>45193</v>
      </c>
      <c r="E473" s="1">
        <v>45200</v>
      </c>
      <c r="F473" s="1">
        <v>45202</v>
      </c>
      <c r="G473">
        <v>16.37</v>
      </c>
      <c r="H4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3" t="str">
        <f>IFERROR(INDEX(Raw_orders!G:G, MATCH(shipments[[#This Row],[order_id]],Raw_orders!A:A, 0)), "Unknown")</f>
        <v>Nordics</v>
      </c>
      <c r="J473" t="str">
        <f>PROPER(shipments[[#This Row],[delivery_status]])</f>
        <v>Delivered</v>
      </c>
      <c r="K473" t="s">
        <v>6922</v>
      </c>
    </row>
    <row r="474" spans="1:11">
      <c r="A474" t="s">
        <v>7410</v>
      </c>
      <c r="B474" t="s">
        <v>1359</v>
      </c>
      <c r="C474" t="s">
        <v>6949</v>
      </c>
      <c r="D474" s="1">
        <v>45130</v>
      </c>
      <c r="E474" s="1">
        <v>45135</v>
      </c>
      <c r="F474" s="1">
        <v>45137</v>
      </c>
      <c r="G474">
        <v>63.62</v>
      </c>
      <c r="H4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4" t="str">
        <f>IFERROR(INDEX(Raw_orders!G:G, MATCH(shipments[[#This Row],[order_id]],Raw_orders!A:A, 0)), "Unknown")</f>
        <v>Nordics</v>
      </c>
      <c r="J474" t="str">
        <f>PROPER(shipments[[#This Row],[delivery_status]])</f>
        <v>Delivered</v>
      </c>
      <c r="K474" t="s">
        <v>6926</v>
      </c>
    </row>
    <row r="475" spans="1:11">
      <c r="A475" t="s">
        <v>7411</v>
      </c>
      <c r="B475" t="s">
        <v>1360</v>
      </c>
      <c r="C475" t="s">
        <v>6935</v>
      </c>
      <c r="D475" s="1">
        <v>45349</v>
      </c>
      <c r="E475" s="1">
        <v>45351</v>
      </c>
      <c r="F475" s="1">
        <v>45352</v>
      </c>
      <c r="G475">
        <v>19.670000000000002</v>
      </c>
      <c r="H4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5" t="str">
        <f>IFERROR(INDEX(Raw_orders!G:G, MATCH(shipments[[#This Row],[order_id]],Raw_orders!A:A, 0)), "Unknown")</f>
        <v>Baltics</v>
      </c>
      <c r="J475" t="str">
        <f>PROPER(shipments[[#This Row],[delivery_status]])</f>
        <v>Delivered</v>
      </c>
      <c r="K475" t="s">
        <v>6922</v>
      </c>
    </row>
    <row r="476" spans="1:11">
      <c r="A476" t="s">
        <v>7412</v>
      </c>
      <c r="B476" t="s">
        <v>1361</v>
      </c>
      <c r="C476" t="s">
        <v>6925</v>
      </c>
      <c r="D476" s="1">
        <v>45525</v>
      </c>
      <c r="E476" s="1">
        <v>45530</v>
      </c>
      <c r="F476" s="1">
        <v>45532</v>
      </c>
      <c r="G476">
        <v>63.62</v>
      </c>
      <c r="H4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6" t="str">
        <f>IFERROR(INDEX(Raw_orders!G:G, MATCH(shipments[[#This Row],[order_id]],Raw_orders!A:A, 0)), "Unknown")</f>
        <v>Nordics</v>
      </c>
      <c r="J476" t="str">
        <f>PROPER(shipments[[#This Row],[delivery_status]])</f>
        <v>Delivered</v>
      </c>
      <c r="K476" t="s">
        <v>6922</v>
      </c>
    </row>
    <row r="477" spans="1:11">
      <c r="A477" t="s">
        <v>7413</v>
      </c>
      <c r="B477" t="s">
        <v>1362</v>
      </c>
      <c r="C477" t="s">
        <v>6925</v>
      </c>
      <c r="D477" s="1">
        <v>45190</v>
      </c>
      <c r="E477" s="1">
        <v>45193</v>
      </c>
      <c r="F477" s="1">
        <v>45198</v>
      </c>
      <c r="G477">
        <v>55.01</v>
      </c>
      <c r="H4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7" t="str">
        <f>IFERROR(INDEX(Raw_orders!G:G, MATCH(shipments[[#This Row],[order_id]],Raw_orders!A:A, 0)), "Unknown")</f>
        <v>Baltics</v>
      </c>
      <c r="J477" t="str">
        <f>PROPER(shipments[[#This Row],[delivery_status]])</f>
        <v>Delivered</v>
      </c>
      <c r="K477" t="s">
        <v>6929</v>
      </c>
    </row>
    <row r="478" spans="1:11">
      <c r="A478" t="s">
        <v>7414</v>
      </c>
      <c r="B478" t="s">
        <v>1363</v>
      </c>
      <c r="C478" t="s">
        <v>6940</v>
      </c>
      <c r="D478" s="1">
        <v>45055</v>
      </c>
      <c r="E478" s="1">
        <v>45060</v>
      </c>
      <c r="F478" s="1">
        <v>45060</v>
      </c>
      <c r="G478">
        <v>54.56</v>
      </c>
      <c r="H4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78" t="str">
        <f>IFERROR(INDEX(Raw_orders!G:G, MATCH(shipments[[#This Row],[order_id]],Raw_orders!A:A, 0)), "Unknown")</f>
        <v>Baltics</v>
      </c>
      <c r="J478" t="str">
        <f>PROPER(shipments[[#This Row],[delivery_status]])</f>
        <v>Delivered</v>
      </c>
      <c r="K478" t="s">
        <v>6922</v>
      </c>
    </row>
    <row r="479" spans="1:11">
      <c r="A479" t="s">
        <v>7415</v>
      </c>
      <c r="B479" t="s">
        <v>1364</v>
      </c>
      <c r="C479" t="s">
        <v>6921</v>
      </c>
      <c r="D479" s="1">
        <v>44967</v>
      </c>
      <c r="E479" s="1">
        <v>44970</v>
      </c>
      <c r="F479" s="1"/>
      <c r="G479">
        <v>42.6</v>
      </c>
      <c r="H4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79" t="str">
        <f>IFERROR(INDEX(Raw_orders!G:G, MATCH(shipments[[#This Row],[order_id]],Raw_orders!A:A, 0)), "Unknown")</f>
        <v>Central Europe</v>
      </c>
      <c r="J479" t="str">
        <f>PROPER(shipments[[#This Row],[delivery_status]])</f>
        <v>In Transit</v>
      </c>
      <c r="K479" t="s">
        <v>6946</v>
      </c>
    </row>
    <row r="480" spans="1:11">
      <c r="A480" t="s">
        <v>7416</v>
      </c>
      <c r="B480" t="s">
        <v>1365</v>
      </c>
      <c r="C480" t="s">
        <v>6931</v>
      </c>
      <c r="D480" s="1">
        <v>45590</v>
      </c>
      <c r="E480" s="1">
        <v>45600</v>
      </c>
      <c r="F480" s="1">
        <v>45610</v>
      </c>
      <c r="G480">
        <v>48.71</v>
      </c>
      <c r="H4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0" t="str">
        <f>IFERROR(INDEX(Raw_orders!G:G, MATCH(shipments[[#This Row],[order_id]],Raw_orders!A:A, 0)), "Unknown")</f>
        <v>Central Europe</v>
      </c>
      <c r="J480" t="str">
        <f>PROPER(shipments[[#This Row],[delivery_status]])</f>
        <v>Delivered</v>
      </c>
      <c r="K480" t="s">
        <v>6926</v>
      </c>
    </row>
    <row r="481" spans="1:11">
      <c r="A481" t="s">
        <v>7417</v>
      </c>
      <c r="B481" t="s">
        <v>1366</v>
      </c>
      <c r="C481" t="s">
        <v>6956</v>
      </c>
      <c r="D481" s="1">
        <v>45301</v>
      </c>
      <c r="E481" s="1">
        <v>45308</v>
      </c>
      <c r="F481" s="1">
        <v>45316</v>
      </c>
      <c r="G481">
        <v>10.32</v>
      </c>
      <c r="H4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1" t="str">
        <f>IFERROR(INDEX(Raw_orders!G:G, MATCH(shipments[[#This Row],[order_id]],Raw_orders!A:A, 0)), "Unknown")</f>
        <v>Nordics</v>
      </c>
      <c r="J481" t="str">
        <f>PROPER(shipments[[#This Row],[delivery_status]])</f>
        <v>Delivered</v>
      </c>
      <c r="K481" t="s">
        <v>6929</v>
      </c>
    </row>
    <row r="482" spans="1:11">
      <c r="A482" t="s">
        <v>7418</v>
      </c>
      <c r="B482" t="s">
        <v>1367</v>
      </c>
      <c r="C482" t="s">
        <v>6931</v>
      </c>
      <c r="D482" s="1">
        <v>45092</v>
      </c>
      <c r="E482" s="1">
        <v>45099</v>
      </c>
      <c r="F482" s="1">
        <v>45104</v>
      </c>
      <c r="G482">
        <v>56.56</v>
      </c>
      <c r="H4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2" t="str">
        <f>IFERROR(INDEX(Raw_orders!G:G, MATCH(shipments[[#This Row],[order_id]],Raw_orders!A:A, 0)), "Unknown")</f>
        <v>Central Europe</v>
      </c>
      <c r="J482" t="str">
        <f>PROPER(shipments[[#This Row],[delivery_status]])</f>
        <v>Delivered</v>
      </c>
      <c r="K482" t="s">
        <v>6929</v>
      </c>
    </row>
    <row r="483" spans="1:11">
      <c r="A483" t="s">
        <v>7419</v>
      </c>
      <c r="B483" t="s">
        <v>1368</v>
      </c>
      <c r="C483" t="s">
        <v>6931</v>
      </c>
      <c r="D483" s="1">
        <v>45582</v>
      </c>
      <c r="E483" s="1">
        <v>45584</v>
      </c>
      <c r="F483" s="1"/>
      <c r="G483">
        <v>64.67</v>
      </c>
      <c r="H4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83" t="str">
        <f>IFERROR(INDEX(Raw_orders!G:G, MATCH(shipments[[#This Row],[order_id]],Raw_orders!A:A, 0)), "Unknown")</f>
        <v>Central Europe</v>
      </c>
      <c r="J483" t="str">
        <f>PROPER(shipments[[#This Row],[delivery_status]])</f>
        <v>Cancelled</v>
      </c>
      <c r="K483" t="s">
        <v>6972</v>
      </c>
    </row>
    <row r="484" spans="1:11">
      <c r="A484" t="s">
        <v>7420</v>
      </c>
      <c r="B484" t="s">
        <v>1369</v>
      </c>
      <c r="C484" t="s">
        <v>6921</v>
      </c>
      <c r="D484" s="1">
        <v>45091</v>
      </c>
      <c r="E484" s="1">
        <v>45094</v>
      </c>
      <c r="F484" s="1"/>
      <c r="G484">
        <v>37.840000000000003</v>
      </c>
      <c r="H4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84" t="str">
        <f>IFERROR(INDEX(Raw_orders!G:G, MATCH(shipments[[#This Row],[order_id]],Raw_orders!A:A, 0)), "Unknown")</f>
        <v>Central Europe</v>
      </c>
      <c r="J484" t="str">
        <f>PROPER(shipments[[#This Row],[delivery_status]])</f>
        <v>Cancelled</v>
      </c>
      <c r="K484" t="s">
        <v>6972</v>
      </c>
    </row>
    <row r="485" spans="1:11">
      <c r="A485" t="s">
        <v>7421</v>
      </c>
      <c r="B485" t="s">
        <v>1370</v>
      </c>
      <c r="C485" t="s">
        <v>6921</v>
      </c>
      <c r="D485" s="1">
        <v>45076</v>
      </c>
      <c r="E485" s="1">
        <v>45081</v>
      </c>
      <c r="F485" s="1"/>
      <c r="G485">
        <v>17.149999999999999</v>
      </c>
      <c r="H4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85" t="str">
        <f>IFERROR(INDEX(Raw_orders!G:G, MATCH(shipments[[#This Row],[order_id]],Raw_orders!A:A, 0)), "Unknown")</f>
        <v>Nordics</v>
      </c>
      <c r="J485" t="str">
        <f>PROPER(shipments[[#This Row],[delivery_status]])</f>
        <v>In Transit</v>
      </c>
      <c r="K485" t="s">
        <v>6977</v>
      </c>
    </row>
    <row r="486" spans="1:11">
      <c r="A486" t="s">
        <v>7422</v>
      </c>
      <c r="B486" t="s">
        <v>1371</v>
      </c>
      <c r="C486" t="s">
        <v>6938</v>
      </c>
      <c r="D486" s="1">
        <v>45123</v>
      </c>
      <c r="E486" s="1">
        <v>45133</v>
      </c>
      <c r="F486" s="1">
        <v>45140</v>
      </c>
      <c r="G486">
        <v>38.03</v>
      </c>
      <c r="H4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6" t="str">
        <f>IFERROR(INDEX(Raw_orders!G:G, MATCH(shipments[[#This Row],[order_id]],Raw_orders!A:A, 0)), "Unknown")</f>
        <v>Central Europe</v>
      </c>
      <c r="J486" t="str">
        <f>PROPER(shipments[[#This Row],[delivery_status]])</f>
        <v>Delivered</v>
      </c>
      <c r="K486" t="s">
        <v>6929</v>
      </c>
    </row>
    <row r="487" spans="1:11">
      <c r="A487" t="s">
        <v>7423</v>
      </c>
      <c r="B487" t="s">
        <v>1372</v>
      </c>
      <c r="C487" t="s">
        <v>6921</v>
      </c>
      <c r="D487" s="1">
        <v>45559</v>
      </c>
      <c r="E487" s="1">
        <v>45569</v>
      </c>
      <c r="F487" s="1">
        <v>45577</v>
      </c>
      <c r="G487">
        <v>62.44</v>
      </c>
      <c r="H4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7" t="str">
        <f>IFERROR(INDEX(Raw_orders!G:G, MATCH(shipments[[#This Row],[order_id]],Raw_orders!A:A, 0)), "Unknown")</f>
        <v>Central Europe</v>
      </c>
      <c r="J487" t="str">
        <f>PROPER(shipments[[#This Row],[delivery_status]])</f>
        <v>Delivered</v>
      </c>
      <c r="K487" t="s">
        <v>6926</v>
      </c>
    </row>
    <row r="488" spans="1:11">
      <c r="A488" t="s">
        <v>7424</v>
      </c>
      <c r="B488" t="s">
        <v>1373</v>
      </c>
      <c r="C488" t="s">
        <v>6928</v>
      </c>
      <c r="D488" s="1">
        <v>45129</v>
      </c>
      <c r="E488" s="1">
        <v>45131</v>
      </c>
      <c r="F488" s="1">
        <v>45134</v>
      </c>
      <c r="G488">
        <v>29.36</v>
      </c>
      <c r="H4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8" t="str">
        <f>IFERROR(INDEX(Raw_orders!G:G, MATCH(shipments[[#This Row],[order_id]],Raw_orders!A:A, 0)), "Unknown")</f>
        <v>Central Europe</v>
      </c>
      <c r="J488" t="str">
        <f>PROPER(shipments[[#This Row],[delivery_status]])</f>
        <v>Delivered</v>
      </c>
      <c r="K488" t="s">
        <v>6922</v>
      </c>
    </row>
    <row r="489" spans="1:11">
      <c r="A489" t="s">
        <v>7425</v>
      </c>
      <c r="B489" t="s">
        <v>1374</v>
      </c>
      <c r="C489" t="s">
        <v>6925</v>
      </c>
      <c r="D489" s="1">
        <v>44961</v>
      </c>
      <c r="E489" s="1">
        <v>44971</v>
      </c>
      <c r="F489" s="1">
        <v>44973</v>
      </c>
      <c r="G489">
        <v>39.31</v>
      </c>
      <c r="H4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9" t="str">
        <f>IFERROR(INDEX(Raw_orders!G:G, MATCH(shipments[[#This Row],[order_id]],Raw_orders!A:A, 0)), "Unknown")</f>
        <v>Central Europe</v>
      </c>
      <c r="J489" t="str">
        <f>PROPER(shipments[[#This Row],[delivery_status]])</f>
        <v>Delivered</v>
      </c>
      <c r="K489" t="s">
        <v>6929</v>
      </c>
    </row>
    <row r="490" spans="1:11">
      <c r="A490" t="s">
        <v>7426</v>
      </c>
      <c r="B490" t="s">
        <v>1375</v>
      </c>
      <c r="C490" t="s">
        <v>6921</v>
      </c>
      <c r="D490" s="1">
        <v>44981</v>
      </c>
      <c r="E490" s="1">
        <v>44986</v>
      </c>
      <c r="F490" s="1">
        <v>44986</v>
      </c>
      <c r="G490">
        <v>31.68</v>
      </c>
      <c r="H4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90" t="str">
        <f>IFERROR(INDEX(Raw_orders!G:G, MATCH(shipments[[#This Row],[order_id]],Raw_orders!A:A, 0)), "Unknown")</f>
        <v>Central Europe</v>
      </c>
      <c r="J490" t="str">
        <f>PROPER(shipments[[#This Row],[delivery_status]])</f>
        <v>Delivered</v>
      </c>
      <c r="K490" t="s">
        <v>6929</v>
      </c>
    </row>
    <row r="491" spans="1:11">
      <c r="A491" t="s">
        <v>7427</v>
      </c>
      <c r="B491" t="s">
        <v>1376</v>
      </c>
      <c r="C491" t="s">
        <v>6938</v>
      </c>
      <c r="D491" s="1">
        <v>45447</v>
      </c>
      <c r="E491" s="1">
        <v>45457</v>
      </c>
      <c r="F491" s="1">
        <v>45457</v>
      </c>
      <c r="G491">
        <v>64.78</v>
      </c>
      <c r="H4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91" t="str">
        <f>IFERROR(INDEX(Raw_orders!G:G, MATCH(shipments[[#This Row],[order_id]],Raw_orders!A:A, 0)), "Unknown")</f>
        <v>Baltics</v>
      </c>
      <c r="J491" t="str">
        <f>PROPER(shipments[[#This Row],[delivery_status]])</f>
        <v>Delivered</v>
      </c>
      <c r="K491" t="s">
        <v>6926</v>
      </c>
    </row>
    <row r="492" spans="1:11">
      <c r="A492" t="s">
        <v>7428</v>
      </c>
      <c r="B492" t="s">
        <v>1377</v>
      </c>
      <c r="C492" t="s">
        <v>6956</v>
      </c>
      <c r="D492" s="1">
        <v>45035</v>
      </c>
      <c r="E492" s="1">
        <v>45045</v>
      </c>
      <c r="F492" s="1">
        <v>45048</v>
      </c>
      <c r="G492">
        <v>16.2</v>
      </c>
      <c r="H4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2" t="str">
        <f>IFERROR(INDEX(Raw_orders!G:G, MATCH(shipments[[#This Row],[order_id]],Raw_orders!A:A, 0)), "Unknown")</f>
        <v>Nordics</v>
      </c>
      <c r="J492" t="str">
        <f>PROPER(shipments[[#This Row],[delivery_status]])</f>
        <v>Delivered</v>
      </c>
      <c r="K492" t="s">
        <v>6929</v>
      </c>
    </row>
    <row r="493" spans="1:11">
      <c r="A493" t="s">
        <v>7429</v>
      </c>
      <c r="B493" t="s">
        <v>1378</v>
      </c>
      <c r="C493" t="s">
        <v>6938</v>
      </c>
      <c r="D493" s="1">
        <v>45014</v>
      </c>
      <c r="E493" s="1">
        <v>45017</v>
      </c>
      <c r="F493" s="1">
        <v>45018</v>
      </c>
      <c r="G493">
        <v>51.11</v>
      </c>
      <c r="H4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3" t="str">
        <f>IFERROR(INDEX(Raw_orders!G:G, MATCH(shipments[[#This Row],[order_id]],Raw_orders!A:A, 0)), "Unknown")</f>
        <v>Nordics</v>
      </c>
      <c r="J493" t="str">
        <f>PROPER(shipments[[#This Row],[delivery_status]])</f>
        <v>Delivered</v>
      </c>
      <c r="K493" t="s">
        <v>6929</v>
      </c>
    </row>
    <row r="494" spans="1:11">
      <c r="A494" t="s">
        <v>7430</v>
      </c>
      <c r="B494" t="s">
        <v>1379</v>
      </c>
      <c r="C494" t="s">
        <v>6928</v>
      </c>
      <c r="D494" s="1">
        <v>45580</v>
      </c>
      <c r="E494" s="1">
        <v>45590</v>
      </c>
      <c r="F494" s="1">
        <v>45598</v>
      </c>
      <c r="G494">
        <v>46.86</v>
      </c>
      <c r="H4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4" t="str">
        <f>IFERROR(INDEX(Raw_orders!G:G, MATCH(shipments[[#This Row],[order_id]],Raw_orders!A:A, 0)), "Unknown")</f>
        <v>Nordics</v>
      </c>
      <c r="J494" t="str">
        <f>PROPER(shipments[[#This Row],[delivery_status]])</f>
        <v>Delivered</v>
      </c>
      <c r="K494" t="s">
        <v>6922</v>
      </c>
    </row>
    <row r="495" spans="1:11">
      <c r="A495" t="s">
        <v>7431</v>
      </c>
      <c r="B495" t="s">
        <v>1380</v>
      </c>
      <c r="C495" t="s">
        <v>6940</v>
      </c>
      <c r="D495" s="1">
        <v>45588</v>
      </c>
      <c r="E495" s="1">
        <v>45593</v>
      </c>
      <c r="F495" s="1">
        <v>45598</v>
      </c>
      <c r="G495">
        <v>17.760000000000002</v>
      </c>
      <c r="H4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5" t="str">
        <f>IFERROR(INDEX(Raw_orders!G:G, MATCH(shipments[[#This Row],[order_id]],Raw_orders!A:A, 0)), "Unknown")</f>
        <v>Central Europe</v>
      </c>
      <c r="J495" t="str">
        <f>PROPER(shipments[[#This Row],[delivery_status]])</f>
        <v>Delivered</v>
      </c>
      <c r="K495" t="s">
        <v>6926</v>
      </c>
    </row>
    <row r="496" spans="1:11">
      <c r="A496" t="s">
        <v>7432</v>
      </c>
      <c r="B496" t="s">
        <v>1381</v>
      </c>
      <c r="C496" t="s">
        <v>6935</v>
      </c>
      <c r="D496" s="1">
        <v>45030</v>
      </c>
      <c r="E496" s="1">
        <v>45033</v>
      </c>
      <c r="F496" s="1">
        <v>45033</v>
      </c>
      <c r="G496">
        <v>35.54</v>
      </c>
      <c r="H4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96" t="str">
        <f>IFERROR(INDEX(Raw_orders!G:G, MATCH(shipments[[#This Row],[order_id]],Raw_orders!A:A, 0)), "Unknown")</f>
        <v>Central Europe</v>
      </c>
      <c r="J496" t="str">
        <f>PROPER(shipments[[#This Row],[delivery_status]])</f>
        <v>Delivered</v>
      </c>
      <c r="K496" t="s">
        <v>6926</v>
      </c>
    </row>
    <row r="497" spans="1:11">
      <c r="A497" t="s">
        <v>7433</v>
      </c>
      <c r="B497" t="s">
        <v>1382</v>
      </c>
      <c r="C497" t="s">
        <v>6938</v>
      </c>
      <c r="D497" s="1">
        <v>45337</v>
      </c>
      <c r="E497" s="1">
        <v>45342</v>
      </c>
      <c r="F497" s="1"/>
      <c r="G497">
        <v>10.050000000000001</v>
      </c>
      <c r="H4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97" t="str">
        <f>IFERROR(INDEX(Raw_orders!G:G, MATCH(shipments[[#This Row],[order_id]],Raw_orders!A:A, 0)), "Unknown")</f>
        <v>Baltics</v>
      </c>
      <c r="J497" t="str">
        <f>PROPER(shipments[[#This Row],[delivery_status]])</f>
        <v>Cancelled</v>
      </c>
      <c r="K497" t="s">
        <v>6979</v>
      </c>
    </row>
    <row r="498" spans="1:11">
      <c r="A498" t="s">
        <v>7434</v>
      </c>
      <c r="B498" t="s">
        <v>1383</v>
      </c>
      <c r="C498" t="s">
        <v>6938</v>
      </c>
      <c r="D498" s="1">
        <v>45090</v>
      </c>
      <c r="E498" s="1">
        <v>45093</v>
      </c>
      <c r="F498" s="1">
        <v>45094</v>
      </c>
      <c r="G498">
        <v>38.270000000000003</v>
      </c>
      <c r="H4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8" t="str">
        <f>IFERROR(INDEX(Raw_orders!G:G, MATCH(shipments[[#This Row],[order_id]],Raw_orders!A:A, 0)), "Unknown")</f>
        <v>Nordics</v>
      </c>
      <c r="J498" t="str">
        <f>PROPER(shipments[[#This Row],[delivery_status]])</f>
        <v>Delivered</v>
      </c>
      <c r="K498" t="s">
        <v>6922</v>
      </c>
    </row>
    <row r="499" spans="1:11">
      <c r="A499" t="s">
        <v>7435</v>
      </c>
      <c r="B499" t="s">
        <v>1384</v>
      </c>
      <c r="C499" t="s">
        <v>6928</v>
      </c>
      <c r="D499" s="1">
        <v>45486</v>
      </c>
      <c r="E499" s="1">
        <v>45493</v>
      </c>
      <c r="F499" s="1">
        <v>45501</v>
      </c>
      <c r="G499">
        <v>57.5</v>
      </c>
      <c r="H4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9" t="str">
        <f>IFERROR(INDEX(Raw_orders!G:G, MATCH(shipments[[#This Row],[order_id]],Raw_orders!A:A, 0)), "Unknown")</f>
        <v>Nordics</v>
      </c>
      <c r="J499" t="str">
        <f>PROPER(shipments[[#This Row],[delivery_status]])</f>
        <v>Delivered</v>
      </c>
      <c r="K499" t="s">
        <v>6929</v>
      </c>
    </row>
    <row r="500" spans="1:11">
      <c r="A500" t="s">
        <v>7436</v>
      </c>
      <c r="B500" t="s">
        <v>1385</v>
      </c>
      <c r="C500" t="s">
        <v>6956</v>
      </c>
      <c r="D500" s="1">
        <v>44962</v>
      </c>
      <c r="E500" s="1">
        <v>44969</v>
      </c>
      <c r="F500" s="1">
        <v>44977</v>
      </c>
      <c r="G500">
        <v>22.63</v>
      </c>
      <c r="H5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0" t="str">
        <f>IFERROR(INDEX(Raw_orders!G:G, MATCH(shipments[[#This Row],[order_id]],Raw_orders!A:A, 0)), "Unknown")</f>
        <v>Baltics</v>
      </c>
      <c r="J500" t="str">
        <f>PROPER(shipments[[#This Row],[delivery_status]])</f>
        <v>Delivered</v>
      </c>
      <c r="K500" t="s">
        <v>6922</v>
      </c>
    </row>
    <row r="501" spans="1:11">
      <c r="A501" t="s">
        <v>7437</v>
      </c>
      <c r="B501" t="s">
        <v>1386</v>
      </c>
      <c r="C501" t="s">
        <v>6935</v>
      </c>
      <c r="D501" s="1">
        <v>45560</v>
      </c>
      <c r="E501" s="1">
        <v>45562</v>
      </c>
      <c r="F501" s="1">
        <v>45562</v>
      </c>
      <c r="G501">
        <v>27.93</v>
      </c>
      <c r="H5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01" t="str">
        <f>IFERROR(INDEX(Raw_orders!G:G, MATCH(shipments[[#This Row],[order_id]],Raw_orders!A:A, 0)), "Unknown")</f>
        <v>Nordics</v>
      </c>
      <c r="J501" t="str">
        <f>PROPER(shipments[[#This Row],[delivery_status]])</f>
        <v>Delivered</v>
      </c>
      <c r="K501" t="s">
        <v>6929</v>
      </c>
    </row>
    <row r="502" spans="1:11">
      <c r="A502" t="s">
        <v>7438</v>
      </c>
      <c r="B502" t="s">
        <v>1387</v>
      </c>
      <c r="C502" t="s">
        <v>6956</v>
      </c>
      <c r="D502" s="1">
        <v>45436</v>
      </c>
      <c r="E502" s="1">
        <v>45446</v>
      </c>
      <c r="F502" s="1"/>
      <c r="G502">
        <v>23.77</v>
      </c>
      <c r="H5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02" t="str">
        <f>IFERROR(INDEX(Raw_orders!G:G, MATCH(shipments[[#This Row],[order_id]],Raw_orders!A:A, 0)), "Unknown")</f>
        <v>Baltics</v>
      </c>
      <c r="J502" t="str">
        <f>PROPER(shipments[[#This Row],[delivery_status]])</f>
        <v>In Transit</v>
      </c>
      <c r="K502" t="s">
        <v>6977</v>
      </c>
    </row>
    <row r="503" spans="1:11">
      <c r="A503" t="s">
        <v>7439</v>
      </c>
      <c r="B503" t="s">
        <v>1388</v>
      </c>
      <c r="C503" t="s">
        <v>6931</v>
      </c>
      <c r="D503" s="1">
        <v>45410</v>
      </c>
      <c r="E503" s="1">
        <v>45413</v>
      </c>
      <c r="F503" s="1">
        <v>45415</v>
      </c>
      <c r="G503">
        <v>22.42</v>
      </c>
      <c r="H5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3" t="str">
        <f>IFERROR(INDEX(Raw_orders!G:G, MATCH(shipments[[#This Row],[order_id]],Raw_orders!A:A, 0)), "Unknown")</f>
        <v>Baltics</v>
      </c>
      <c r="J503" t="str">
        <f>PROPER(shipments[[#This Row],[delivery_status]])</f>
        <v>Delivered</v>
      </c>
      <c r="K503" t="s">
        <v>6922</v>
      </c>
    </row>
    <row r="504" spans="1:11">
      <c r="A504" t="s">
        <v>7440</v>
      </c>
      <c r="B504" t="s">
        <v>1389</v>
      </c>
      <c r="C504" t="s">
        <v>6956</v>
      </c>
      <c r="D504" s="1">
        <v>45367</v>
      </c>
      <c r="E504" s="1">
        <v>45377</v>
      </c>
      <c r="F504" s="1">
        <v>45387</v>
      </c>
      <c r="G504">
        <v>12.17</v>
      </c>
      <c r="H5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4" t="str">
        <f>IFERROR(INDEX(Raw_orders!G:G, MATCH(shipments[[#This Row],[order_id]],Raw_orders!A:A, 0)), "Unknown")</f>
        <v>Nordics</v>
      </c>
      <c r="J504" t="str">
        <f>PROPER(shipments[[#This Row],[delivery_status]])</f>
        <v>Delivered</v>
      </c>
      <c r="K504" t="s">
        <v>6929</v>
      </c>
    </row>
    <row r="505" spans="1:11">
      <c r="A505" t="s">
        <v>7441</v>
      </c>
      <c r="B505" t="s">
        <v>1390</v>
      </c>
      <c r="C505" t="s">
        <v>6956</v>
      </c>
      <c r="D505" s="1">
        <v>45478</v>
      </c>
      <c r="E505" s="1">
        <v>45481</v>
      </c>
      <c r="F505" s="1">
        <v>45481</v>
      </c>
      <c r="G505">
        <v>10.06</v>
      </c>
      <c r="H5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05" t="str">
        <f>IFERROR(INDEX(Raw_orders!G:G, MATCH(shipments[[#This Row],[order_id]],Raw_orders!A:A, 0)), "Unknown")</f>
        <v>Nordics</v>
      </c>
      <c r="J505" t="str">
        <f>PROPER(shipments[[#This Row],[delivery_status]])</f>
        <v>Delivered</v>
      </c>
      <c r="K505" t="s">
        <v>6929</v>
      </c>
    </row>
    <row r="506" spans="1:11">
      <c r="A506" t="s">
        <v>7442</v>
      </c>
      <c r="B506" t="s">
        <v>1391</v>
      </c>
      <c r="C506" t="s">
        <v>6928</v>
      </c>
      <c r="D506" s="1">
        <v>45537</v>
      </c>
      <c r="E506" s="1">
        <v>45540</v>
      </c>
      <c r="F506" s="1"/>
      <c r="H5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06" t="str">
        <f>IFERROR(INDEX(Raw_orders!G:G, MATCH(shipments[[#This Row],[order_id]],Raw_orders!A:A, 0)), "Unknown")</f>
        <v>Central Europe</v>
      </c>
      <c r="J506" t="str">
        <f>PROPER(shipments[[#This Row],[delivery_status]])</f>
        <v>Cancelled</v>
      </c>
      <c r="K506" t="s">
        <v>6963</v>
      </c>
    </row>
    <row r="507" spans="1:11">
      <c r="A507" t="s">
        <v>7443</v>
      </c>
      <c r="B507" t="s">
        <v>1392</v>
      </c>
      <c r="C507" t="s">
        <v>6925</v>
      </c>
      <c r="D507" s="1">
        <v>45270</v>
      </c>
      <c r="E507" s="1">
        <v>45277</v>
      </c>
      <c r="F507" s="1"/>
      <c r="G507">
        <v>12.68</v>
      </c>
      <c r="H5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07" t="str">
        <f>IFERROR(INDEX(Raw_orders!G:G, MATCH(shipments[[#This Row],[order_id]],Raw_orders!A:A, 0)), "Unknown")</f>
        <v>Baltics</v>
      </c>
      <c r="J507" t="str">
        <f>PROPER(shipments[[#This Row],[delivery_status]])</f>
        <v>Cancelled</v>
      </c>
      <c r="K507" t="s">
        <v>6963</v>
      </c>
    </row>
    <row r="508" spans="1:11">
      <c r="A508" t="s">
        <v>7444</v>
      </c>
      <c r="B508" t="s">
        <v>1393</v>
      </c>
      <c r="C508" t="s">
        <v>6931</v>
      </c>
      <c r="D508" s="1">
        <v>44944</v>
      </c>
      <c r="E508" s="1">
        <v>44949</v>
      </c>
      <c r="F508" s="1">
        <v>44954</v>
      </c>
      <c r="G508">
        <v>44.27</v>
      </c>
      <c r="H5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8" t="str">
        <f>IFERROR(INDEX(Raw_orders!G:G, MATCH(shipments[[#This Row],[order_id]],Raw_orders!A:A, 0)), "Unknown")</f>
        <v>Nordics</v>
      </c>
      <c r="J508" t="str">
        <f>PROPER(shipments[[#This Row],[delivery_status]])</f>
        <v>Delivered</v>
      </c>
      <c r="K508" t="s">
        <v>6922</v>
      </c>
    </row>
    <row r="509" spans="1:11">
      <c r="A509" t="s">
        <v>7445</v>
      </c>
      <c r="B509" t="s">
        <v>1394</v>
      </c>
      <c r="C509" t="s">
        <v>6928</v>
      </c>
      <c r="D509" s="1">
        <v>45332</v>
      </c>
      <c r="E509" s="1">
        <v>45339</v>
      </c>
      <c r="F509" s="1"/>
      <c r="G509">
        <v>49.11</v>
      </c>
      <c r="H5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09" t="str">
        <f>IFERROR(INDEX(Raw_orders!G:G, MATCH(shipments[[#This Row],[order_id]],Raw_orders!A:A, 0)), "Unknown")</f>
        <v>Central Europe</v>
      </c>
      <c r="J509" t="str">
        <f>PROPER(shipments[[#This Row],[delivery_status]])</f>
        <v>In Transit</v>
      </c>
      <c r="K509" t="s">
        <v>6958</v>
      </c>
    </row>
    <row r="510" spans="1:11">
      <c r="A510" t="s">
        <v>7446</v>
      </c>
      <c r="B510" t="s">
        <v>1395</v>
      </c>
      <c r="C510" t="s">
        <v>6940</v>
      </c>
      <c r="D510" s="1">
        <v>45297</v>
      </c>
      <c r="E510" s="1">
        <v>45299</v>
      </c>
      <c r="F510" s="1">
        <v>45307</v>
      </c>
      <c r="G510">
        <v>29.41</v>
      </c>
      <c r="H5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0" t="str">
        <f>IFERROR(INDEX(Raw_orders!G:G, MATCH(shipments[[#This Row],[order_id]],Raw_orders!A:A, 0)), "Unknown")</f>
        <v>Baltics</v>
      </c>
      <c r="J510" t="str">
        <f>PROPER(shipments[[#This Row],[delivery_status]])</f>
        <v>Delivered</v>
      </c>
      <c r="K510" t="s">
        <v>6926</v>
      </c>
    </row>
    <row r="511" spans="1:11">
      <c r="A511" t="s">
        <v>7447</v>
      </c>
      <c r="B511" t="s">
        <v>1396</v>
      </c>
      <c r="C511" t="s">
        <v>6935</v>
      </c>
      <c r="D511" s="1">
        <v>45439</v>
      </c>
      <c r="E511" s="1">
        <v>45446</v>
      </c>
      <c r="F511" s="1">
        <v>45446</v>
      </c>
      <c r="G511">
        <v>51.45</v>
      </c>
      <c r="H5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11" t="str">
        <f>IFERROR(INDEX(Raw_orders!G:G, MATCH(shipments[[#This Row],[order_id]],Raw_orders!A:A, 0)), "Unknown")</f>
        <v>Baltics</v>
      </c>
      <c r="J511" t="str">
        <f>PROPER(shipments[[#This Row],[delivery_status]])</f>
        <v>Delivered</v>
      </c>
      <c r="K511" t="s">
        <v>6926</v>
      </c>
    </row>
    <row r="512" spans="1:11">
      <c r="A512" t="s">
        <v>7448</v>
      </c>
      <c r="B512" t="s">
        <v>1397</v>
      </c>
      <c r="C512" t="s">
        <v>6928</v>
      </c>
      <c r="D512" s="1">
        <v>45506</v>
      </c>
      <c r="E512" s="1">
        <v>45516</v>
      </c>
      <c r="F512" s="1">
        <v>45518</v>
      </c>
      <c r="G512">
        <v>8.8699999999999992</v>
      </c>
      <c r="H5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2" t="str">
        <f>IFERROR(INDEX(Raw_orders!G:G, MATCH(shipments[[#This Row],[order_id]],Raw_orders!A:A, 0)), "Unknown")</f>
        <v>Baltics</v>
      </c>
      <c r="J512" t="str">
        <f>PROPER(shipments[[#This Row],[delivery_status]])</f>
        <v>Delivered</v>
      </c>
      <c r="K512" t="s">
        <v>6922</v>
      </c>
    </row>
    <row r="513" spans="1:11">
      <c r="A513" t="s">
        <v>7449</v>
      </c>
      <c r="B513" t="s">
        <v>1398</v>
      </c>
      <c r="C513" t="s">
        <v>6956</v>
      </c>
      <c r="D513" s="1">
        <v>45375</v>
      </c>
      <c r="E513" s="1">
        <v>45378</v>
      </c>
      <c r="F513" s="1">
        <v>45383</v>
      </c>
      <c r="G513">
        <v>60.35</v>
      </c>
      <c r="H5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3" t="str">
        <f>IFERROR(INDEX(Raw_orders!G:G, MATCH(shipments[[#This Row],[order_id]],Raw_orders!A:A, 0)), "Unknown")</f>
        <v>Central Europe</v>
      </c>
      <c r="J513" t="str">
        <f>PROPER(shipments[[#This Row],[delivery_status]])</f>
        <v>Delivered</v>
      </c>
      <c r="K513" t="s">
        <v>6929</v>
      </c>
    </row>
    <row r="514" spans="1:11">
      <c r="A514" t="s">
        <v>7450</v>
      </c>
      <c r="B514" t="s">
        <v>1399</v>
      </c>
      <c r="C514" t="s">
        <v>6938</v>
      </c>
      <c r="D514" s="1">
        <v>45163</v>
      </c>
      <c r="E514" s="1">
        <v>45166</v>
      </c>
      <c r="F514" s="1">
        <v>45166</v>
      </c>
      <c r="G514">
        <v>31.55</v>
      </c>
      <c r="H5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14" t="str">
        <f>IFERROR(INDEX(Raw_orders!G:G, MATCH(shipments[[#This Row],[order_id]],Raw_orders!A:A, 0)), "Unknown")</f>
        <v>Baltics</v>
      </c>
      <c r="J514" t="str">
        <f>PROPER(shipments[[#This Row],[delivery_status]])</f>
        <v>Delivered</v>
      </c>
      <c r="K514" t="s">
        <v>6926</v>
      </c>
    </row>
    <row r="515" spans="1:11">
      <c r="A515" t="s">
        <v>7451</v>
      </c>
      <c r="B515" t="s">
        <v>1400</v>
      </c>
      <c r="C515" t="s">
        <v>6938</v>
      </c>
      <c r="D515" s="1">
        <v>45328</v>
      </c>
      <c r="E515" s="1">
        <v>45331</v>
      </c>
      <c r="F515" s="1">
        <v>45331</v>
      </c>
      <c r="G515">
        <v>4.62</v>
      </c>
      <c r="H5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15" t="str">
        <f>IFERROR(INDEX(Raw_orders!G:G, MATCH(shipments[[#This Row],[order_id]],Raw_orders!A:A, 0)), "Unknown")</f>
        <v>Central Europe</v>
      </c>
      <c r="J515" t="str">
        <f>PROPER(shipments[[#This Row],[delivery_status]])</f>
        <v>Delivered</v>
      </c>
      <c r="K515" t="s">
        <v>6922</v>
      </c>
    </row>
    <row r="516" spans="1:11">
      <c r="A516" t="s">
        <v>7452</v>
      </c>
      <c r="B516" t="s">
        <v>1401</v>
      </c>
      <c r="C516" t="s">
        <v>6938</v>
      </c>
      <c r="D516" s="1">
        <v>44983</v>
      </c>
      <c r="E516" s="1">
        <v>44985</v>
      </c>
      <c r="F516" s="1">
        <v>44993</v>
      </c>
      <c r="G516">
        <v>53.94</v>
      </c>
      <c r="H5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6" t="str">
        <f>IFERROR(INDEX(Raw_orders!G:G, MATCH(shipments[[#This Row],[order_id]],Raw_orders!A:A, 0)), "Unknown")</f>
        <v>Baltics</v>
      </c>
      <c r="J516" t="str">
        <f>PROPER(shipments[[#This Row],[delivery_status]])</f>
        <v>Delivered</v>
      </c>
      <c r="K516" t="s">
        <v>6922</v>
      </c>
    </row>
    <row r="517" spans="1:11">
      <c r="A517" t="s">
        <v>7453</v>
      </c>
      <c r="B517" t="s">
        <v>1402</v>
      </c>
      <c r="C517" t="s">
        <v>6931</v>
      </c>
      <c r="D517" s="1">
        <v>45533</v>
      </c>
      <c r="E517" s="1">
        <v>45538</v>
      </c>
      <c r="F517" s="1">
        <v>45540</v>
      </c>
      <c r="G517">
        <v>22.83</v>
      </c>
      <c r="H5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7" t="str">
        <f>IFERROR(INDEX(Raw_orders!G:G, MATCH(shipments[[#This Row],[order_id]],Raw_orders!A:A, 0)), "Unknown")</f>
        <v>Nordics</v>
      </c>
      <c r="J517" t="str">
        <f>PROPER(shipments[[#This Row],[delivery_status]])</f>
        <v>Delivered</v>
      </c>
      <c r="K517" t="s">
        <v>6929</v>
      </c>
    </row>
    <row r="518" spans="1:11">
      <c r="A518" t="s">
        <v>7454</v>
      </c>
      <c r="B518" t="s">
        <v>1403</v>
      </c>
      <c r="C518" t="s">
        <v>6956</v>
      </c>
      <c r="D518" s="1">
        <v>45479</v>
      </c>
      <c r="E518" s="1">
        <v>45486</v>
      </c>
      <c r="F518" s="1">
        <v>45485</v>
      </c>
      <c r="G518">
        <v>53.83</v>
      </c>
      <c r="H5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18" t="str">
        <f>IFERROR(INDEX(Raw_orders!G:G, MATCH(shipments[[#This Row],[order_id]],Raw_orders!A:A, 0)), "Unknown")</f>
        <v>Central Europe</v>
      </c>
      <c r="J518" t="str">
        <f>PROPER(shipments[[#This Row],[delivery_status]])</f>
        <v>Delivered</v>
      </c>
      <c r="K518" t="s">
        <v>6929</v>
      </c>
    </row>
    <row r="519" spans="1:11">
      <c r="A519" t="s">
        <v>7455</v>
      </c>
      <c r="B519" t="s">
        <v>1404</v>
      </c>
      <c r="C519" t="s">
        <v>6938</v>
      </c>
      <c r="D519" s="1">
        <v>45047</v>
      </c>
      <c r="E519" s="1">
        <v>45054</v>
      </c>
      <c r="F519" s="1">
        <v>45057</v>
      </c>
      <c r="G519">
        <v>37.01</v>
      </c>
      <c r="H5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9" t="str">
        <f>IFERROR(INDEX(Raw_orders!G:G, MATCH(shipments[[#This Row],[order_id]],Raw_orders!A:A, 0)), "Unknown")</f>
        <v>Central Europe</v>
      </c>
      <c r="J519" t="str">
        <f>PROPER(shipments[[#This Row],[delivery_status]])</f>
        <v>Delivered</v>
      </c>
      <c r="K519" t="s">
        <v>6926</v>
      </c>
    </row>
    <row r="520" spans="1:11">
      <c r="A520" t="s">
        <v>7456</v>
      </c>
      <c r="B520" t="s">
        <v>1405</v>
      </c>
      <c r="C520" t="s">
        <v>6931</v>
      </c>
      <c r="D520" s="1">
        <v>45250</v>
      </c>
      <c r="E520" s="1">
        <v>45252</v>
      </c>
      <c r="F520" s="1">
        <v>45252</v>
      </c>
      <c r="G520">
        <v>7.9</v>
      </c>
      <c r="H5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20" t="str">
        <f>IFERROR(INDEX(Raw_orders!G:G, MATCH(shipments[[#This Row],[order_id]],Raw_orders!A:A, 0)), "Unknown")</f>
        <v>Baltics</v>
      </c>
      <c r="J520" t="str">
        <f>PROPER(shipments[[#This Row],[delivery_status]])</f>
        <v>Delivered</v>
      </c>
      <c r="K520" t="s">
        <v>6929</v>
      </c>
    </row>
    <row r="521" spans="1:11">
      <c r="A521" t="s">
        <v>7457</v>
      </c>
      <c r="B521" t="s">
        <v>1406</v>
      </c>
      <c r="C521" t="s">
        <v>6935</v>
      </c>
      <c r="D521" s="1">
        <v>45613</v>
      </c>
      <c r="E521" s="1">
        <v>45616</v>
      </c>
      <c r="F521" s="1">
        <v>45618</v>
      </c>
      <c r="G521">
        <v>39.42</v>
      </c>
      <c r="H5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1" t="str">
        <f>IFERROR(INDEX(Raw_orders!G:G, MATCH(shipments[[#This Row],[order_id]],Raw_orders!A:A, 0)), "Unknown")</f>
        <v>Central Europe</v>
      </c>
      <c r="J521" t="str">
        <f>PROPER(shipments[[#This Row],[delivery_status]])</f>
        <v>Delivered</v>
      </c>
      <c r="K521" t="s">
        <v>6929</v>
      </c>
    </row>
    <row r="522" spans="1:11">
      <c r="A522" t="s">
        <v>7458</v>
      </c>
      <c r="B522" t="s">
        <v>1407</v>
      </c>
      <c r="C522" t="s">
        <v>6931</v>
      </c>
      <c r="D522" s="1">
        <v>45269</v>
      </c>
      <c r="E522" s="1">
        <v>45279</v>
      </c>
      <c r="F522" s="1">
        <v>45286</v>
      </c>
      <c r="G522">
        <v>33.86</v>
      </c>
      <c r="H5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2" t="str">
        <f>IFERROR(INDEX(Raw_orders!G:G, MATCH(shipments[[#This Row],[order_id]],Raw_orders!A:A, 0)), "Unknown")</f>
        <v>Nordics</v>
      </c>
      <c r="J522" t="str">
        <f>PROPER(shipments[[#This Row],[delivery_status]])</f>
        <v>Delivered</v>
      </c>
      <c r="K522" t="s">
        <v>6926</v>
      </c>
    </row>
    <row r="523" spans="1:11">
      <c r="A523" t="s">
        <v>7459</v>
      </c>
      <c r="B523" t="s">
        <v>1408</v>
      </c>
      <c r="C523" t="s">
        <v>6921</v>
      </c>
      <c r="D523" s="1">
        <v>45369</v>
      </c>
      <c r="E523" s="1">
        <v>45374</v>
      </c>
      <c r="F523" s="1">
        <v>45374</v>
      </c>
      <c r="G523">
        <v>40.93</v>
      </c>
      <c r="H5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23" t="str">
        <f>IFERROR(INDEX(Raw_orders!G:G, MATCH(shipments[[#This Row],[order_id]],Raw_orders!A:A, 0)), "Unknown")</f>
        <v>Baltics</v>
      </c>
      <c r="J523" t="str">
        <f>PROPER(shipments[[#This Row],[delivery_status]])</f>
        <v>Delivered</v>
      </c>
      <c r="K523" t="s">
        <v>6926</v>
      </c>
    </row>
    <row r="524" spans="1:11">
      <c r="A524" t="s">
        <v>7460</v>
      </c>
      <c r="B524" t="s">
        <v>1409</v>
      </c>
      <c r="C524" t="s">
        <v>6925</v>
      </c>
      <c r="D524" s="1">
        <v>45085</v>
      </c>
      <c r="E524" s="1">
        <v>45088</v>
      </c>
      <c r="F524" s="1">
        <v>45088</v>
      </c>
      <c r="G524">
        <v>57.44</v>
      </c>
      <c r="H5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24" t="str">
        <f>IFERROR(INDEX(Raw_orders!G:G, MATCH(shipments[[#This Row],[order_id]],Raw_orders!A:A, 0)), "Unknown")</f>
        <v>Nordics</v>
      </c>
      <c r="J524" t="str">
        <f>PROPER(shipments[[#This Row],[delivery_status]])</f>
        <v>Delivered</v>
      </c>
      <c r="K524" t="s">
        <v>6926</v>
      </c>
    </row>
    <row r="525" spans="1:11">
      <c r="A525" t="s">
        <v>7461</v>
      </c>
      <c r="B525" t="s">
        <v>1410</v>
      </c>
      <c r="C525" t="s">
        <v>6956</v>
      </c>
      <c r="D525" s="1">
        <v>45391</v>
      </c>
      <c r="E525" s="1">
        <v>45394</v>
      </c>
      <c r="F525" s="1">
        <v>45402</v>
      </c>
      <c r="G525">
        <v>50.83</v>
      </c>
      <c r="H5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5" t="str">
        <f>IFERROR(INDEX(Raw_orders!G:G, MATCH(shipments[[#This Row],[order_id]],Raw_orders!A:A, 0)), "Unknown")</f>
        <v>Central Europe</v>
      </c>
      <c r="J525" t="str">
        <f>PROPER(shipments[[#This Row],[delivery_status]])</f>
        <v>Delivered</v>
      </c>
      <c r="K525" t="s">
        <v>6926</v>
      </c>
    </row>
    <row r="526" spans="1:11">
      <c r="A526" t="s">
        <v>7462</v>
      </c>
      <c r="B526" t="s">
        <v>1411</v>
      </c>
      <c r="C526" t="s">
        <v>6928</v>
      </c>
      <c r="D526" s="1">
        <v>44971</v>
      </c>
      <c r="E526" s="1">
        <v>44978</v>
      </c>
      <c r="F526" s="1">
        <v>44989</v>
      </c>
      <c r="H5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6" t="str">
        <f>IFERROR(INDEX(Raw_orders!G:G, MATCH(shipments[[#This Row],[order_id]],Raw_orders!A:A, 0)), "Unknown")</f>
        <v>Nordics</v>
      </c>
      <c r="J526" t="str">
        <f>PROPER(shipments[[#This Row],[delivery_status]])</f>
        <v>Delivered</v>
      </c>
      <c r="K526" t="s">
        <v>6926</v>
      </c>
    </row>
    <row r="527" spans="1:11">
      <c r="A527" t="s">
        <v>7463</v>
      </c>
      <c r="B527" t="s">
        <v>1412</v>
      </c>
      <c r="C527" t="s">
        <v>6956</v>
      </c>
      <c r="D527" s="1">
        <v>45017</v>
      </c>
      <c r="E527" s="1">
        <v>45019</v>
      </c>
      <c r="F527" s="1">
        <v>45019</v>
      </c>
      <c r="G527">
        <v>24.18</v>
      </c>
      <c r="H5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27" t="str">
        <f>IFERROR(INDEX(Raw_orders!G:G, MATCH(shipments[[#This Row],[order_id]],Raw_orders!A:A, 0)), "Unknown")</f>
        <v>Nordics</v>
      </c>
      <c r="J527" t="str">
        <f>PROPER(shipments[[#This Row],[delivery_status]])</f>
        <v>Delivered</v>
      </c>
      <c r="K527" t="s">
        <v>6922</v>
      </c>
    </row>
    <row r="528" spans="1:11">
      <c r="A528" t="s">
        <v>7464</v>
      </c>
      <c r="B528" t="s">
        <v>1413</v>
      </c>
      <c r="C528" t="s">
        <v>6921</v>
      </c>
      <c r="D528" s="1">
        <v>45584</v>
      </c>
      <c r="E528" s="1">
        <v>45591</v>
      </c>
      <c r="F528" s="1">
        <v>45592</v>
      </c>
      <c r="G528">
        <v>34.9</v>
      </c>
      <c r="H5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8" t="str">
        <f>IFERROR(INDEX(Raw_orders!G:G, MATCH(shipments[[#This Row],[order_id]],Raw_orders!A:A, 0)), "Unknown")</f>
        <v>Baltics</v>
      </c>
      <c r="J528" t="str">
        <f>PROPER(shipments[[#This Row],[delivery_status]])</f>
        <v>Delivered</v>
      </c>
      <c r="K528" t="s">
        <v>6922</v>
      </c>
    </row>
    <row r="529" spans="1:11">
      <c r="A529" t="s">
        <v>7465</v>
      </c>
      <c r="B529" t="s">
        <v>1414</v>
      </c>
      <c r="C529" t="s">
        <v>6925</v>
      </c>
      <c r="D529" s="1">
        <v>44939</v>
      </c>
      <c r="E529" s="1">
        <v>44946</v>
      </c>
      <c r="F529" s="1">
        <v>44946</v>
      </c>
      <c r="G529">
        <v>24.75</v>
      </c>
      <c r="H5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29" t="str">
        <f>IFERROR(INDEX(Raw_orders!G:G, MATCH(shipments[[#This Row],[order_id]],Raw_orders!A:A, 0)), "Unknown")</f>
        <v>Central Europe</v>
      </c>
      <c r="J529" t="str">
        <f>PROPER(shipments[[#This Row],[delivery_status]])</f>
        <v>Delivered</v>
      </c>
      <c r="K529" t="s">
        <v>6922</v>
      </c>
    </row>
    <row r="530" spans="1:11">
      <c r="A530" t="s">
        <v>7466</v>
      </c>
      <c r="B530" t="s">
        <v>1415</v>
      </c>
      <c r="C530" t="s">
        <v>6921</v>
      </c>
      <c r="D530" s="1">
        <v>45392</v>
      </c>
      <c r="E530" s="1">
        <v>45394</v>
      </c>
      <c r="F530" s="1"/>
      <c r="G530">
        <v>5.4</v>
      </c>
      <c r="H5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30" t="str">
        <f>IFERROR(INDEX(Raw_orders!G:G, MATCH(shipments[[#This Row],[order_id]],Raw_orders!A:A, 0)), "Unknown")</f>
        <v>Baltics</v>
      </c>
      <c r="J530" t="str">
        <f>PROPER(shipments[[#This Row],[delivery_status]])</f>
        <v>In Transit</v>
      </c>
      <c r="K530" t="s">
        <v>6946</v>
      </c>
    </row>
    <row r="531" spans="1:11">
      <c r="A531" t="s">
        <v>7467</v>
      </c>
      <c r="B531" t="s">
        <v>1416</v>
      </c>
      <c r="C531" t="s">
        <v>6928</v>
      </c>
      <c r="D531" s="1">
        <v>45161</v>
      </c>
      <c r="E531" s="1">
        <v>45164</v>
      </c>
      <c r="F531" s="1">
        <v>45167</v>
      </c>
      <c r="G531">
        <v>22.63</v>
      </c>
      <c r="H5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1" t="str">
        <f>IFERROR(INDEX(Raw_orders!G:G, MATCH(shipments[[#This Row],[order_id]],Raw_orders!A:A, 0)), "Unknown")</f>
        <v>Nordics</v>
      </c>
      <c r="J531" t="str">
        <f>PROPER(shipments[[#This Row],[delivery_status]])</f>
        <v>Delivered</v>
      </c>
      <c r="K531" t="s">
        <v>6922</v>
      </c>
    </row>
    <row r="532" spans="1:11">
      <c r="A532" t="s">
        <v>7468</v>
      </c>
      <c r="B532" t="s">
        <v>1417</v>
      </c>
      <c r="C532" t="s">
        <v>6931</v>
      </c>
      <c r="D532" s="1">
        <v>45199</v>
      </c>
      <c r="E532" s="1">
        <v>45209</v>
      </c>
      <c r="F532" s="1"/>
      <c r="G532">
        <v>61.52</v>
      </c>
      <c r="H5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32" t="str">
        <f>IFERROR(INDEX(Raw_orders!G:G, MATCH(shipments[[#This Row],[order_id]],Raw_orders!A:A, 0)), "Unknown")</f>
        <v>Baltics</v>
      </c>
      <c r="J532" t="str">
        <f>PROPER(shipments[[#This Row],[delivery_status]])</f>
        <v>In Transit</v>
      </c>
      <c r="K532" t="s">
        <v>6977</v>
      </c>
    </row>
    <row r="533" spans="1:11">
      <c r="A533" t="s">
        <v>7469</v>
      </c>
      <c r="B533" t="s">
        <v>1418</v>
      </c>
      <c r="C533" t="s">
        <v>6931</v>
      </c>
      <c r="D533" s="1">
        <v>45491</v>
      </c>
      <c r="E533" s="1">
        <v>45496</v>
      </c>
      <c r="F533" s="1">
        <v>45501</v>
      </c>
      <c r="G533">
        <v>43.92</v>
      </c>
      <c r="H5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3" t="str">
        <f>IFERROR(INDEX(Raw_orders!G:G, MATCH(shipments[[#This Row],[order_id]],Raw_orders!A:A, 0)), "Unknown")</f>
        <v>Nordics</v>
      </c>
      <c r="J533" t="str">
        <f>PROPER(shipments[[#This Row],[delivery_status]])</f>
        <v>Delivered</v>
      </c>
      <c r="K533" t="s">
        <v>6926</v>
      </c>
    </row>
    <row r="534" spans="1:11">
      <c r="A534" t="s">
        <v>7470</v>
      </c>
      <c r="B534" t="s">
        <v>1419</v>
      </c>
      <c r="C534" t="s">
        <v>6921</v>
      </c>
      <c r="D534" s="1">
        <v>45593</v>
      </c>
      <c r="E534" s="1">
        <v>45596</v>
      </c>
      <c r="F534" s="1"/>
      <c r="G534">
        <v>50.44</v>
      </c>
      <c r="H5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34" t="str">
        <f>IFERROR(INDEX(Raw_orders!G:G, MATCH(shipments[[#This Row],[order_id]],Raw_orders!A:A, 0)), "Unknown")</f>
        <v>Nordics</v>
      </c>
      <c r="J534" t="str">
        <f>PROPER(shipments[[#This Row],[delivery_status]])</f>
        <v>In Transit</v>
      </c>
      <c r="K534" t="s">
        <v>6946</v>
      </c>
    </row>
    <row r="535" spans="1:11">
      <c r="A535" t="s">
        <v>7471</v>
      </c>
      <c r="B535" t="s">
        <v>1420</v>
      </c>
      <c r="C535" t="s">
        <v>6956</v>
      </c>
      <c r="D535" s="1">
        <v>45175</v>
      </c>
      <c r="E535" s="1">
        <v>45177</v>
      </c>
      <c r="F535" s="1">
        <v>45185</v>
      </c>
      <c r="G535">
        <v>6.3</v>
      </c>
      <c r="H5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5" t="str">
        <f>IFERROR(INDEX(Raw_orders!G:G, MATCH(shipments[[#This Row],[order_id]],Raw_orders!A:A, 0)), "Unknown")</f>
        <v>Central Europe</v>
      </c>
      <c r="J535" t="str">
        <f>PROPER(shipments[[#This Row],[delivery_status]])</f>
        <v>Delivered</v>
      </c>
      <c r="K535" t="s">
        <v>6929</v>
      </c>
    </row>
    <row r="536" spans="1:11">
      <c r="A536" t="s">
        <v>7472</v>
      </c>
      <c r="B536" t="s">
        <v>1421</v>
      </c>
      <c r="C536" t="s">
        <v>6956</v>
      </c>
      <c r="D536" s="1">
        <v>45353</v>
      </c>
      <c r="E536" s="1">
        <v>45360</v>
      </c>
      <c r="F536" s="1">
        <v>45365</v>
      </c>
      <c r="G536">
        <v>62.1</v>
      </c>
      <c r="H5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6" t="str">
        <f>IFERROR(INDEX(Raw_orders!G:G, MATCH(shipments[[#This Row],[order_id]],Raw_orders!A:A, 0)), "Unknown")</f>
        <v>Baltics</v>
      </c>
      <c r="J536" t="str">
        <f>PROPER(shipments[[#This Row],[delivery_status]])</f>
        <v>Delivered</v>
      </c>
      <c r="K536" t="s">
        <v>6929</v>
      </c>
    </row>
    <row r="537" spans="1:11">
      <c r="A537" t="s">
        <v>7473</v>
      </c>
      <c r="B537" t="s">
        <v>1421</v>
      </c>
      <c r="C537" t="s">
        <v>6940</v>
      </c>
      <c r="D537" s="1">
        <v>45353</v>
      </c>
      <c r="E537" s="1">
        <v>45355</v>
      </c>
      <c r="F537" s="1"/>
      <c r="G537">
        <v>37.25</v>
      </c>
      <c r="H5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37" t="str">
        <f>IFERROR(INDEX(Raw_orders!G:G, MATCH(shipments[[#This Row],[order_id]],Raw_orders!A:A, 0)), "Unknown")</f>
        <v>Baltics</v>
      </c>
      <c r="J537" t="str">
        <f>PROPER(shipments[[#This Row],[delivery_status]])</f>
        <v>Cancelled</v>
      </c>
      <c r="K537" t="s">
        <v>6979</v>
      </c>
    </row>
    <row r="538" spans="1:11">
      <c r="A538" t="s">
        <v>7474</v>
      </c>
      <c r="B538" t="s">
        <v>1422</v>
      </c>
      <c r="C538" t="s">
        <v>6928</v>
      </c>
      <c r="D538" s="1">
        <v>45078</v>
      </c>
      <c r="E538" s="1">
        <v>45088</v>
      </c>
      <c r="F538" s="1">
        <v>45096</v>
      </c>
      <c r="G538">
        <v>20.309999999999999</v>
      </c>
      <c r="H5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8" t="str">
        <f>IFERROR(INDEX(Raw_orders!G:G, MATCH(shipments[[#This Row],[order_id]],Raw_orders!A:A, 0)), "Unknown")</f>
        <v>Nordics</v>
      </c>
      <c r="J538" t="str">
        <f>PROPER(shipments[[#This Row],[delivery_status]])</f>
        <v>Delivered</v>
      </c>
      <c r="K538" t="s">
        <v>6922</v>
      </c>
    </row>
    <row r="539" spans="1:11">
      <c r="A539" t="s">
        <v>7475</v>
      </c>
      <c r="B539" t="s">
        <v>1423</v>
      </c>
      <c r="C539" t="s">
        <v>6928</v>
      </c>
      <c r="D539" s="1">
        <v>45569</v>
      </c>
      <c r="E539" s="1">
        <v>45574</v>
      </c>
      <c r="F539" s="1">
        <v>45579</v>
      </c>
      <c r="G539">
        <v>11.95</v>
      </c>
      <c r="H5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9" t="str">
        <f>IFERROR(INDEX(Raw_orders!G:G, MATCH(shipments[[#This Row],[order_id]],Raw_orders!A:A, 0)), "Unknown")</f>
        <v>Central Europe</v>
      </c>
      <c r="J539" t="str">
        <f>PROPER(shipments[[#This Row],[delivery_status]])</f>
        <v>Delivered</v>
      </c>
      <c r="K539" t="s">
        <v>6926</v>
      </c>
    </row>
    <row r="540" spans="1:11">
      <c r="A540" t="s">
        <v>7476</v>
      </c>
      <c r="B540" t="s">
        <v>1424</v>
      </c>
      <c r="C540" t="s">
        <v>6931</v>
      </c>
      <c r="D540" s="1">
        <v>45519</v>
      </c>
      <c r="E540" s="1">
        <v>45522</v>
      </c>
      <c r="F540" s="1">
        <v>45528</v>
      </c>
      <c r="G540">
        <v>40.909999999999997</v>
      </c>
      <c r="H5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0" t="str">
        <f>IFERROR(INDEX(Raw_orders!G:G, MATCH(shipments[[#This Row],[order_id]],Raw_orders!A:A, 0)), "Unknown")</f>
        <v>Baltics</v>
      </c>
      <c r="J540" t="str">
        <f>PROPER(shipments[[#This Row],[delivery_status]])</f>
        <v>Delivered</v>
      </c>
      <c r="K540" t="s">
        <v>6929</v>
      </c>
    </row>
    <row r="541" spans="1:11">
      <c r="A541" t="s">
        <v>7477</v>
      </c>
      <c r="B541" t="s">
        <v>1425</v>
      </c>
      <c r="C541" t="s">
        <v>6921</v>
      </c>
      <c r="D541" s="1">
        <v>45297</v>
      </c>
      <c r="E541" s="1">
        <v>45300</v>
      </c>
      <c r="F541" s="1">
        <v>45300</v>
      </c>
      <c r="G541">
        <v>19.260000000000002</v>
      </c>
      <c r="H5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1" t="str">
        <f>IFERROR(INDEX(Raw_orders!G:G, MATCH(shipments[[#This Row],[order_id]],Raw_orders!A:A, 0)), "Unknown")</f>
        <v>Baltics</v>
      </c>
      <c r="J541" t="str">
        <f>PROPER(shipments[[#This Row],[delivery_status]])</f>
        <v>Delivered</v>
      </c>
      <c r="K541" t="s">
        <v>6922</v>
      </c>
    </row>
    <row r="542" spans="1:11">
      <c r="A542" t="s">
        <v>7478</v>
      </c>
      <c r="B542" t="s">
        <v>1426</v>
      </c>
      <c r="C542" t="s">
        <v>6931</v>
      </c>
      <c r="D542" s="1">
        <v>45289</v>
      </c>
      <c r="E542" s="1">
        <v>45292</v>
      </c>
      <c r="F542" s="1"/>
      <c r="G542">
        <v>10.25</v>
      </c>
      <c r="H5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42" t="str">
        <f>IFERROR(INDEX(Raw_orders!G:G, MATCH(shipments[[#This Row],[order_id]],Raw_orders!A:A, 0)), "Unknown")</f>
        <v>Nordics</v>
      </c>
      <c r="J542" t="str">
        <f>PROPER(shipments[[#This Row],[delivery_status]])</f>
        <v>In Transit</v>
      </c>
      <c r="K542" t="s">
        <v>6946</v>
      </c>
    </row>
    <row r="543" spans="1:11">
      <c r="A543" t="s">
        <v>7479</v>
      </c>
      <c r="B543" t="s">
        <v>1426</v>
      </c>
      <c r="C543" t="s">
        <v>6921</v>
      </c>
      <c r="D543" s="1">
        <v>45291</v>
      </c>
      <c r="E543" s="1">
        <v>45296</v>
      </c>
      <c r="F543" s="1">
        <v>45304</v>
      </c>
      <c r="G543">
        <v>56.97</v>
      </c>
      <c r="H5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3" t="str">
        <f>IFERROR(INDEX(Raw_orders!G:G, MATCH(shipments[[#This Row],[order_id]],Raw_orders!A:A, 0)), "Unknown")</f>
        <v>Nordics</v>
      </c>
      <c r="J543" t="str">
        <f>PROPER(shipments[[#This Row],[delivery_status]])</f>
        <v>Delivered</v>
      </c>
      <c r="K543" t="s">
        <v>6926</v>
      </c>
    </row>
    <row r="544" spans="1:11">
      <c r="A544" t="s">
        <v>7480</v>
      </c>
      <c r="B544" t="s">
        <v>1427</v>
      </c>
      <c r="C544" t="s">
        <v>6956</v>
      </c>
      <c r="D544" s="1">
        <v>45286</v>
      </c>
      <c r="E544" s="1">
        <v>45296</v>
      </c>
      <c r="F544" s="1">
        <v>45301</v>
      </c>
      <c r="G544">
        <v>43.17</v>
      </c>
      <c r="H5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4" t="str">
        <f>IFERROR(INDEX(Raw_orders!G:G, MATCH(shipments[[#This Row],[order_id]],Raw_orders!A:A, 0)), "Unknown")</f>
        <v>Nordics</v>
      </c>
      <c r="J544" t="str">
        <f>PROPER(shipments[[#This Row],[delivery_status]])</f>
        <v>Delivered</v>
      </c>
      <c r="K544" t="s">
        <v>6926</v>
      </c>
    </row>
    <row r="545" spans="1:11">
      <c r="A545" t="s">
        <v>7481</v>
      </c>
      <c r="B545" t="s">
        <v>1428</v>
      </c>
      <c r="C545" t="s">
        <v>6940</v>
      </c>
      <c r="D545" s="1">
        <v>45154</v>
      </c>
      <c r="E545" s="1">
        <v>45159</v>
      </c>
      <c r="F545" s="1">
        <v>45164</v>
      </c>
      <c r="G545">
        <v>33.01</v>
      </c>
      <c r="H5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5" t="str">
        <f>IFERROR(INDEX(Raw_orders!G:G, MATCH(shipments[[#This Row],[order_id]],Raw_orders!A:A, 0)), "Unknown")</f>
        <v>Baltics</v>
      </c>
      <c r="J545" t="str">
        <f>PROPER(shipments[[#This Row],[delivery_status]])</f>
        <v>Delivered</v>
      </c>
      <c r="K545" t="s">
        <v>6926</v>
      </c>
    </row>
    <row r="546" spans="1:11">
      <c r="A546" t="s">
        <v>7482</v>
      </c>
      <c r="B546" t="s">
        <v>1429</v>
      </c>
      <c r="C546" t="s">
        <v>6938</v>
      </c>
      <c r="D546" s="1">
        <v>45354</v>
      </c>
      <c r="E546" s="1">
        <v>45357</v>
      </c>
      <c r="F546" s="1">
        <v>45357</v>
      </c>
      <c r="H5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6" t="str">
        <f>IFERROR(INDEX(Raw_orders!G:G, MATCH(shipments[[#This Row],[order_id]],Raw_orders!A:A, 0)), "Unknown")</f>
        <v>Baltics</v>
      </c>
      <c r="J546" t="str">
        <f>PROPER(shipments[[#This Row],[delivery_status]])</f>
        <v>Delivered</v>
      </c>
      <c r="K546" t="s">
        <v>6926</v>
      </c>
    </row>
    <row r="547" spans="1:11">
      <c r="A547" t="s">
        <v>7483</v>
      </c>
      <c r="B547" t="s">
        <v>1430</v>
      </c>
      <c r="C547" t="s">
        <v>6928</v>
      </c>
      <c r="D547" s="1">
        <v>45357</v>
      </c>
      <c r="E547" s="1">
        <v>45364</v>
      </c>
      <c r="F547" s="1">
        <v>45365</v>
      </c>
      <c r="G547">
        <v>45.9</v>
      </c>
      <c r="H5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7" t="str">
        <f>IFERROR(INDEX(Raw_orders!G:G, MATCH(shipments[[#This Row],[order_id]],Raw_orders!A:A, 0)), "Unknown")</f>
        <v>Central Europe</v>
      </c>
      <c r="J547" t="str">
        <f>PROPER(shipments[[#This Row],[delivery_status]])</f>
        <v>Delivered</v>
      </c>
      <c r="K547" t="s">
        <v>6929</v>
      </c>
    </row>
    <row r="548" spans="1:11">
      <c r="A548" t="s">
        <v>7484</v>
      </c>
      <c r="B548" t="s">
        <v>1431</v>
      </c>
      <c r="C548" t="s">
        <v>6940</v>
      </c>
      <c r="D548" s="1">
        <v>45625</v>
      </c>
      <c r="E548" s="1">
        <v>45632</v>
      </c>
      <c r="F548" s="1">
        <v>45631</v>
      </c>
      <c r="G548">
        <v>56.97</v>
      </c>
      <c r="H5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8" t="str">
        <f>IFERROR(INDEX(Raw_orders!G:G, MATCH(shipments[[#This Row],[order_id]],Raw_orders!A:A, 0)), "Unknown")</f>
        <v>Baltics</v>
      </c>
      <c r="J548" t="str">
        <f>PROPER(shipments[[#This Row],[delivery_status]])</f>
        <v>Delivered</v>
      </c>
      <c r="K548" t="s">
        <v>6922</v>
      </c>
    </row>
    <row r="549" spans="1:11">
      <c r="A549" t="s">
        <v>7485</v>
      </c>
      <c r="B549" t="s">
        <v>1432</v>
      </c>
      <c r="C549" t="s">
        <v>6938</v>
      </c>
      <c r="D549" s="1">
        <v>45378</v>
      </c>
      <c r="E549" s="1">
        <v>45388</v>
      </c>
      <c r="F549" s="1">
        <v>45388</v>
      </c>
      <c r="G549">
        <v>57.7</v>
      </c>
      <c r="H5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9" t="str">
        <f>IFERROR(INDEX(Raw_orders!G:G, MATCH(shipments[[#This Row],[order_id]],Raw_orders!A:A, 0)), "Unknown")</f>
        <v>Baltics</v>
      </c>
      <c r="J549" t="str">
        <f>PROPER(shipments[[#This Row],[delivery_status]])</f>
        <v>Delivered</v>
      </c>
      <c r="K549" t="s">
        <v>6926</v>
      </c>
    </row>
    <row r="550" spans="1:11">
      <c r="A550" t="s">
        <v>7486</v>
      </c>
      <c r="B550" t="s">
        <v>1433</v>
      </c>
      <c r="C550" t="s">
        <v>6940</v>
      </c>
      <c r="D550" s="1">
        <v>45281</v>
      </c>
      <c r="E550" s="1">
        <v>45284</v>
      </c>
      <c r="F550" s="1"/>
      <c r="G550">
        <v>25.26</v>
      </c>
      <c r="H5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50" t="str">
        <f>IFERROR(INDEX(Raw_orders!G:G, MATCH(shipments[[#This Row],[order_id]],Raw_orders!A:A, 0)), "Unknown")</f>
        <v>Nordics</v>
      </c>
      <c r="J550" t="str">
        <f>PROPER(shipments[[#This Row],[delivery_status]])</f>
        <v>In Transit</v>
      </c>
      <c r="K550" t="s">
        <v>6946</v>
      </c>
    </row>
    <row r="551" spans="1:11">
      <c r="A551" t="s">
        <v>7487</v>
      </c>
      <c r="B551" t="s">
        <v>1434</v>
      </c>
      <c r="C551" t="s">
        <v>6931</v>
      </c>
      <c r="D551" s="1">
        <v>45471</v>
      </c>
      <c r="E551" s="1">
        <v>45481</v>
      </c>
      <c r="F551" s="1">
        <v>45489</v>
      </c>
      <c r="G551">
        <v>39.799999999999997</v>
      </c>
      <c r="H5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1" t="str">
        <f>IFERROR(INDEX(Raw_orders!G:G, MATCH(shipments[[#This Row],[order_id]],Raw_orders!A:A, 0)), "Unknown")</f>
        <v>Nordics</v>
      </c>
      <c r="J551" t="str">
        <f>PROPER(shipments[[#This Row],[delivery_status]])</f>
        <v>Delivered</v>
      </c>
      <c r="K551" t="s">
        <v>6926</v>
      </c>
    </row>
    <row r="552" spans="1:11">
      <c r="A552" t="s">
        <v>7488</v>
      </c>
      <c r="B552" t="s">
        <v>1435</v>
      </c>
      <c r="C552" t="s">
        <v>6940</v>
      </c>
      <c r="D552" s="1">
        <v>45383</v>
      </c>
      <c r="E552" s="1">
        <v>45388</v>
      </c>
      <c r="F552" s="1">
        <v>45387</v>
      </c>
      <c r="G552">
        <v>13.33</v>
      </c>
      <c r="H5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52" t="str">
        <f>IFERROR(INDEX(Raw_orders!G:G, MATCH(shipments[[#This Row],[order_id]],Raw_orders!A:A, 0)), "Unknown")</f>
        <v>Baltics</v>
      </c>
      <c r="J552" t="str">
        <f>PROPER(shipments[[#This Row],[delivery_status]])</f>
        <v>Delivered</v>
      </c>
      <c r="K552" t="s">
        <v>6922</v>
      </c>
    </row>
    <row r="553" spans="1:11">
      <c r="A553" t="s">
        <v>7489</v>
      </c>
      <c r="B553" t="s">
        <v>1436</v>
      </c>
      <c r="C553" t="s">
        <v>6928</v>
      </c>
      <c r="D553" s="1">
        <v>45089</v>
      </c>
      <c r="E553" s="1">
        <v>45094</v>
      </c>
      <c r="F553" s="1">
        <v>45093</v>
      </c>
      <c r="G553">
        <v>24.25</v>
      </c>
      <c r="H5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53" t="str">
        <f>IFERROR(INDEX(Raw_orders!G:G, MATCH(shipments[[#This Row],[order_id]],Raw_orders!A:A, 0)), "Unknown")</f>
        <v>Baltics</v>
      </c>
      <c r="J553" t="str">
        <f>PROPER(shipments[[#This Row],[delivery_status]])</f>
        <v>Delivered</v>
      </c>
      <c r="K553" t="s">
        <v>6929</v>
      </c>
    </row>
    <row r="554" spans="1:11">
      <c r="A554" t="s">
        <v>7490</v>
      </c>
      <c r="B554" t="s">
        <v>1437</v>
      </c>
      <c r="C554" t="s">
        <v>6938</v>
      </c>
      <c r="D554" s="1">
        <v>44951</v>
      </c>
      <c r="E554" s="1">
        <v>44956</v>
      </c>
      <c r="F554" s="1">
        <v>44961</v>
      </c>
      <c r="G554">
        <v>46.04</v>
      </c>
      <c r="H5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4" t="str">
        <f>IFERROR(INDEX(Raw_orders!G:G, MATCH(shipments[[#This Row],[order_id]],Raw_orders!A:A, 0)), "Unknown")</f>
        <v>Baltics</v>
      </c>
      <c r="J554" t="str">
        <f>PROPER(shipments[[#This Row],[delivery_status]])</f>
        <v>Delivered</v>
      </c>
      <c r="K554" t="s">
        <v>6926</v>
      </c>
    </row>
    <row r="555" spans="1:11">
      <c r="A555" t="s">
        <v>7491</v>
      </c>
      <c r="B555" t="s">
        <v>1438</v>
      </c>
      <c r="C555" t="s">
        <v>6935</v>
      </c>
      <c r="D555" s="1">
        <v>45622</v>
      </c>
      <c r="E555" s="1">
        <v>45629</v>
      </c>
      <c r="F555" s="1">
        <v>45630</v>
      </c>
      <c r="G555">
        <v>58.01</v>
      </c>
      <c r="H5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5" t="str">
        <f>IFERROR(INDEX(Raw_orders!G:G, MATCH(shipments[[#This Row],[order_id]],Raw_orders!A:A, 0)), "Unknown")</f>
        <v>Central Europe</v>
      </c>
      <c r="J555" t="str">
        <f>PROPER(shipments[[#This Row],[delivery_status]])</f>
        <v>Delivered</v>
      </c>
      <c r="K555" t="s">
        <v>6922</v>
      </c>
    </row>
    <row r="556" spans="1:11">
      <c r="A556" t="s">
        <v>7492</v>
      </c>
      <c r="B556" t="s">
        <v>1439</v>
      </c>
      <c r="C556" t="s">
        <v>6935</v>
      </c>
      <c r="D556" s="1">
        <v>45481</v>
      </c>
      <c r="E556" s="1">
        <v>45486</v>
      </c>
      <c r="F556" s="1">
        <v>45486</v>
      </c>
      <c r="G556">
        <v>31.81</v>
      </c>
      <c r="H5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56" t="str">
        <f>IFERROR(INDEX(Raw_orders!G:G, MATCH(shipments[[#This Row],[order_id]],Raw_orders!A:A, 0)), "Unknown")</f>
        <v>Baltics</v>
      </c>
      <c r="J556" t="str">
        <f>PROPER(shipments[[#This Row],[delivery_status]])</f>
        <v>Delivered</v>
      </c>
      <c r="K556" t="s">
        <v>6922</v>
      </c>
    </row>
    <row r="557" spans="1:11">
      <c r="A557" t="s">
        <v>7493</v>
      </c>
      <c r="B557" t="s">
        <v>1440</v>
      </c>
      <c r="C557" t="s">
        <v>6928</v>
      </c>
      <c r="D557" s="1">
        <v>45152</v>
      </c>
      <c r="E557" s="1">
        <v>45162</v>
      </c>
      <c r="F557" s="1">
        <v>45165</v>
      </c>
      <c r="G557">
        <v>19.53</v>
      </c>
      <c r="H5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7" t="str">
        <f>IFERROR(INDEX(Raw_orders!G:G, MATCH(shipments[[#This Row],[order_id]],Raw_orders!A:A, 0)), "Unknown")</f>
        <v>Nordics</v>
      </c>
      <c r="J557" t="str">
        <f>PROPER(shipments[[#This Row],[delivery_status]])</f>
        <v>Delivered</v>
      </c>
      <c r="K557" t="s">
        <v>6929</v>
      </c>
    </row>
    <row r="558" spans="1:11">
      <c r="A558" t="s">
        <v>7494</v>
      </c>
      <c r="B558" t="s">
        <v>1441</v>
      </c>
      <c r="C558" t="s">
        <v>6931</v>
      </c>
      <c r="D558" s="1">
        <v>45219</v>
      </c>
      <c r="E558" s="1">
        <v>45224</v>
      </c>
      <c r="F558" s="1">
        <v>45224</v>
      </c>
      <c r="G558">
        <v>27.86</v>
      </c>
      <c r="H5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58" t="str">
        <f>IFERROR(INDEX(Raw_orders!G:G, MATCH(shipments[[#This Row],[order_id]],Raw_orders!A:A, 0)), "Unknown")</f>
        <v>Baltics</v>
      </c>
      <c r="J558" t="str">
        <f>PROPER(shipments[[#This Row],[delivery_status]])</f>
        <v>Delivered</v>
      </c>
      <c r="K558" t="s">
        <v>6926</v>
      </c>
    </row>
    <row r="559" spans="1:11">
      <c r="A559" t="s">
        <v>7495</v>
      </c>
      <c r="B559" t="s">
        <v>1442</v>
      </c>
      <c r="C559" t="s">
        <v>6938</v>
      </c>
      <c r="D559" s="1">
        <v>45504</v>
      </c>
      <c r="E559" s="1">
        <v>45511</v>
      </c>
      <c r="F559" s="1">
        <v>45516</v>
      </c>
      <c r="G559">
        <v>35.04</v>
      </c>
      <c r="H5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9" t="str">
        <f>IFERROR(INDEX(Raw_orders!G:G, MATCH(shipments[[#This Row],[order_id]],Raw_orders!A:A, 0)), "Unknown")</f>
        <v>Nordics</v>
      </c>
      <c r="J559" t="str">
        <f>PROPER(shipments[[#This Row],[delivery_status]])</f>
        <v>Delivered</v>
      </c>
      <c r="K559" t="s">
        <v>6929</v>
      </c>
    </row>
    <row r="560" spans="1:11">
      <c r="A560" t="s">
        <v>7496</v>
      </c>
      <c r="B560" t="s">
        <v>1443</v>
      </c>
      <c r="C560" t="s">
        <v>6956</v>
      </c>
      <c r="D560" s="1">
        <v>45231</v>
      </c>
      <c r="E560" s="1">
        <v>45236</v>
      </c>
      <c r="F560" s="1"/>
      <c r="G560">
        <v>9.49</v>
      </c>
      <c r="H5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60" t="str">
        <f>IFERROR(INDEX(Raw_orders!G:G, MATCH(shipments[[#This Row],[order_id]],Raw_orders!A:A, 0)), "Unknown")</f>
        <v>Unknown</v>
      </c>
      <c r="J560" t="str">
        <f>PROPER(shipments[[#This Row],[delivery_status]])</f>
        <v>In Transit</v>
      </c>
      <c r="K560" t="s">
        <v>6977</v>
      </c>
    </row>
    <row r="561" spans="1:11">
      <c r="A561" t="s">
        <v>7497</v>
      </c>
      <c r="B561" t="s">
        <v>1444</v>
      </c>
      <c r="C561" t="s">
        <v>6925</v>
      </c>
      <c r="D561" s="1">
        <v>44947</v>
      </c>
      <c r="E561" s="1">
        <v>44957</v>
      </c>
      <c r="F561" s="1">
        <v>44957</v>
      </c>
      <c r="G561">
        <v>13.16</v>
      </c>
      <c r="H5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1" t="str">
        <f>IFERROR(INDEX(Raw_orders!G:G, MATCH(shipments[[#This Row],[order_id]],Raw_orders!A:A, 0)), "Unknown")</f>
        <v>Unknown</v>
      </c>
      <c r="J561" t="str">
        <f>PROPER(shipments[[#This Row],[delivery_status]])</f>
        <v>Delivered</v>
      </c>
      <c r="K561" t="s">
        <v>6926</v>
      </c>
    </row>
    <row r="562" spans="1:11">
      <c r="A562" t="s">
        <v>7498</v>
      </c>
      <c r="B562" t="s">
        <v>1445</v>
      </c>
      <c r="C562" t="s">
        <v>6928</v>
      </c>
      <c r="D562" s="1">
        <v>45170</v>
      </c>
      <c r="E562" s="1">
        <v>45180</v>
      </c>
      <c r="F562" s="1">
        <v>45194</v>
      </c>
      <c r="G562">
        <v>63.01</v>
      </c>
      <c r="H5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2" t="str">
        <f>IFERROR(INDEX(Raw_orders!G:G, MATCH(shipments[[#This Row],[order_id]],Raw_orders!A:A, 0)), "Unknown")</f>
        <v>Baltics</v>
      </c>
      <c r="J562" t="str">
        <f>PROPER(shipments[[#This Row],[delivery_status]])</f>
        <v>Delivered</v>
      </c>
      <c r="K562" t="s">
        <v>6922</v>
      </c>
    </row>
    <row r="563" spans="1:11">
      <c r="A563" t="s">
        <v>7499</v>
      </c>
      <c r="B563" t="s">
        <v>1446</v>
      </c>
      <c r="C563" t="s">
        <v>6921</v>
      </c>
      <c r="D563" s="1">
        <v>45170</v>
      </c>
      <c r="E563" s="1">
        <v>45175</v>
      </c>
      <c r="F563" s="1">
        <v>45178</v>
      </c>
      <c r="H5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3" t="str">
        <f>IFERROR(INDEX(Raw_orders!G:G, MATCH(shipments[[#This Row],[order_id]],Raw_orders!A:A, 0)), "Unknown")</f>
        <v>Central Europe</v>
      </c>
      <c r="J563" t="str">
        <f>PROPER(shipments[[#This Row],[delivery_status]])</f>
        <v>Delivered</v>
      </c>
      <c r="K563" t="s">
        <v>6926</v>
      </c>
    </row>
    <row r="564" spans="1:11">
      <c r="A564" t="s">
        <v>7500</v>
      </c>
      <c r="B564" t="s">
        <v>1447</v>
      </c>
      <c r="C564" t="s">
        <v>6928</v>
      </c>
      <c r="D564" s="1">
        <v>45007</v>
      </c>
      <c r="E564" s="1">
        <v>45012</v>
      </c>
      <c r="F564" s="1">
        <v>45012</v>
      </c>
      <c r="G564">
        <v>44.65</v>
      </c>
      <c r="H5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4" t="str">
        <f>IFERROR(INDEX(Raw_orders!G:G, MATCH(shipments[[#This Row],[order_id]],Raw_orders!A:A, 0)), "Unknown")</f>
        <v>Nordics</v>
      </c>
      <c r="J564" t="str">
        <f>PROPER(shipments[[#This Row],[delivery_status]])</f>
        <v>Delivered</v>
      </c>
      <c r="K564" t="s">
        <v>6926</v>
      </c>
    </row>
    <row r="565" spans="1:11">
      <c r="A565" t="s">
        <v>7501</v>
      </c>
      <c r="B565" t="s">
        <v>1448</v>
      </c>
      <c r="C565" t="s">
        <v>6935</v>
      </c>
      <c r="D565" s="1">
        <v>45521</v>
      </c>
      <c r="E565" s="1">
        <v>45526</v>
      </c>
      <c r="F565" s="1">
        <v>45531</v>
      </c>
      <c r="G565">
        <v>63.38</v>
      </c>
      <c r="H5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5" t="str">
        <f>IFERROR(INDEX(Raw_orders!G:G, MATCH(shipments[[#This Row],[order_id]],Raw_orders!A:A, 0)), "Unknown")</f>
        <v>Baltics</v>
      </c>
      <c r="J565" t="str">
        <f>PROPER(shipments[[#This Row],[delivery_status]])</f>
        <v>Delivered</v>
      </c>
      <c r="K565" t="s">
        <v>6922</v>
      </c>
    </row>
    <row r="566" spans="1:11">
      <c r="A566" t="s">
        <v>7502</v>
      </c>
      <c r="B566" t="s">
        <v>1449</v>
      </c>
      <c r="C566" t="s">
        <v>6940</v>
      </c>
      <c r="D566" s="1">
        <v>45149</v>
      </c>
      <c r="E566" s="1">
        <v>45154</v>
      </c>
      <c r="F566" s="1">
        <v>45159</v>
      </c>
      <c r="G566">
        <v>34.39</v>
      </c>
      <c r="H5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6" t="str">
        <f>IFERROR(INDEX(Raw_orders!G:G, MATCH(shipments[[#This Row],[order_id]],Raw_orders!A:A, 0)), "Unknown")</f>
        <v>Central Europe</v>
      </c>
      <c r="J566" t="str">
        <f>PROPER(shipments[[#This Row],[delivery_status]])</f>
        <v>Delivered</v>
      </c>
      <c r="K566" t="s">
        <v>6922</v>
      </c>
    </row>
    <row r="567" spans="1:11">
      <c r="A567" t="s">
        <v>7503</v>
      </c>
      <c r="B567" t="s">
        <v>1450</v>
      </c>
      <c r="C567" t="s">
        <v>6940</v>
      </c>
      <c r="D567" s="1">
        <v>45411</v>
      </c>
      <c r="E567" s="1">
        <v>45416</v>
      </c>
      <c r="F567" s="1">
        <v>45416</v>
      </c>
      <c r="G567">
        <v>46.43</v>
      </c>
      <c r="H5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7" t="str">
        <f>IFERROR(INDEX(Raw_orders!G:G, MATCH(shipments[[#This Row],[order_id]],Raw_orders!A:A, 0)), "Unknown")</f>
        <v>Central Europe</v>
      </c>
      <c r="J567" t="str">
        <f>PROPER(shipments[[#This Row],[delivery_status]])</f>
        <v>Delivered</v>
      </c>
      <c r="K567" t="s">
        <v>6922</v>
      </c>
    </row>
    <row r="568" spans="1:11">
      <c r="A568" t="s">
        <v>7504</v>
      </c>
      <c r="B568" t="s">
        <v>1451</v>
      </c>
      <c r="C568" t="s">
        <v>6928</v>
      </c>
      <c r="D568" s="1">
        <v>45015</v>
      </c>
      <c r="E568" s="1">
        <v>45018</v>
      </c>
      <c r="F568" s="1">
        <v>45020</v>
      </c>
      <c r="G568">
        <v>42.11</v>
      </c>
      <c r="H5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8" t="str">
        <f>IFERROR(INDEX(Raw_orders!G:G, MATCH(shipments[[#This Row],[order_id]],Raw_orders!A:A, 0)), "Unknown")</f>
        <v>Central Europe</v>
      </c>
      <c r="J568" t="str">
        <f>PROPER(shipments[[#This Row],[delivery_status]])</f>
        <v>Delivered</v>
      </c>
      <c r="K568" t="s">
        <v>6922</v>
      </c>
    </row>
    <row r="569" spans="1:11">
      <c r="A569" t="s">
        <v>7505</v>
      </c>
      <c r="B569" t="s">
        <v>1452</v>
      </c>
      <c r="C569" t="s">
        <v>6921</v>
      </c>
      <c r="D569" s="1">
        <v>45128</v>
      </c>
      <c r="E569" s="1">
        <v>45131</v>
      </c>
      <c r="F569" s="1">
        <v>45134</v>
      </c>
      <c r="G569">
        <v>20.059999999999999</v>
      </c>
      <c r="H5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9" t="str">
        <f>IFERROR(INDEX(Raw_orders!G:G, MATCH(shipments[[#This Row],[order_id]],Raw_orders!A:A, 0)), "Unknown")</f>
        <v>Central Europe</v>
      </c>
      <c r="J569" t="str">
        <f>PROPER(shipments[[#This Row],[delivery_status]])</f>
        <v>Delivered</v>
      </c>
      <c r="K569" t="s">
        <v>6922</v>
      </c>
    </row>
    <row r="570" spans="1:11">
      <c r="A570" t="s">
        <v>7506</v>
      </c>
      <c r="B570" t="s">
        <v>1452</v>
      </c>
      <c r="C570" t="s">
        <v>6928</v>
      </c>
      <c r="D570" s="1">
        <v>45129</v>
      </c>
      <c r="E570" s="1">
        <v>45132</v>
      </c>
      <c r="F570" s="1">
        <v>45132</v>
      </c>
      <c r="G570">
        <v>60.71</v>
      </c>
      <c r="H5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70" t="str">
        <f>IFERROR(INDEX(Raw_orders!G:G, MATCH(shipments[[#This Row],[order_id]],Raw_orders!A:A, 0)), "Unknown")</f>
        <v>Central Europe</v>
      </c>
      <c r="J570" t="str">
        <f>PROPER(shipments[[#This Row],[delivery_status]])</f>
        <v>Delivered</v>
      </c>
      <c r="K570" t="s">
        <v>6926</v>
      </c>
    </row>
    <row r="571" spans="1:11">
      <c r="A571" t="s">
        <v>7507</v>
      </c>
      <c r="B571" t="s">
        <v>1453</v>
      </c>
      <c r="C571" t="s">
        <v>6956</v>
      </c>
      <c r="D571" s="1">
        <v>45332</v>
      </c>
      <c r="E571" s="1">
        <v>45334</v>
      </c>
      <c r="F571" s="1"/>
      <c r="H5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71" t="str">
        <f>IFERROR(INDEX(Raw_orders!G:G, MATCH(shipments[[#This Row],[order_id]],Raw_orders!A:A, 0)), "Unknown")</f>
        <v>Central Europe</v>
      </c>
      <c r="J571" t="str">
        <f>PROPER(shipments[[#This Row],[delivery_status]])</f>
        <v>Cancelled</v>
      </c>
      <c r="K571" t="s">
        <v>6963</v>
      </c>
    </row>
    <row r="572" spans="1:11">
      <c r="A572" t="s">
        <v>7508</v>
      </c>
      <c r="B572" t="s">
        <v>1454</v>
      </c>
      <c r="C572" t="s">
        <v>6921</v>
      </c>
      <c r="D572" s="1">
        <v>45147</v>
      </c>
      <c r="E572" s="1">
        <v>45152</v>
      </c>
      <c r="F572" s="1">
        <v>45165</v>
      </c>
      <c r="G572">
        <v>44.45</v>
      </c>
      <c r="H5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2" t="str">
        <f>IFERROR(INDEX(Raw_orders!G:G, MATCH(shipments[[#This Row],[order_id]],Raw_orders!A:A, 0)), "Unknown")</f>
        <v>Nordics</v>
      </c>
      <c r="J572" t="str">
        <f>PROPER(shipments[[#This Row],[delivery_status]])</f>
        <v>Delivered</v>
      </c>
      <c r="K572" t="s">
        <v>6922</v>
      </c>
    </row>
    <row r="573" spans="1:11">
      <c r="A573" t="s">
        <v>7509</v>
      </c>
      <c r="B573" t="s">
        <v>1455</v>
      </c>
      <c r="C573" t="s">
        <v>6938</v>
      </c>
      <c r="D573" s="1">
        <v>45360</v>
      </c>
      <c r="E573" s="1">
        <v>45370</v>
      </c>
      <c r="F573" s="1"/>
      <c r="G573">
        <v>43.75</v>
      </c>
      <c r="H5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73" t="str">
        <f>IFERROR(INDEX(Raw_orders!G:G, MATCH(shipments[[#This Row],[order_id]],Raw_orders!A:A, 0)), "Unknown")</f>
        <v>Nordics</v>
      </c>
      <c r="J573" t="str">
        <f>PROPER(shipments[[#This Row],[delivery_status]])</f>
        <v>In Transit</v>
      </c>
      <c r="K573" t="s">
        <v>6977</v>
      </c>
    </row>
    <row r="574" spans="1:11">
      <c r="A574" t="s">
        <v>7510</v>
      </c>
      <c r="B574" t="s">
        <v>1455</v>
      </c>
      <c r="C574" t="s">
        <v>6938</v>
      </c>
      <c r="D574" s="1">
        <v>45361</v>
      </c>
      <c r="E574" s="1">
        <v>45364</v>
      </c>
      <c r="F574" s="1">
        <v>45363</v>
      </c>
      <c r="G574">
        <v>50.47</v>
      </c>
      <c r="H5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74" t="str">
        <f>IFERROR(INDEX(Raw_orders!G:G, MATCH(shipments[[#This Row],[order_id]],Raw_orders!A:A, 0)), "Unknown")</f>
        <v>Nordics</v>
      </c>
      <c r="J574" t="str">
        <f>PROPER(shipments[[#This Row],[delivery_status]])</f>
        <v>Delivered</v>
      </c>
      <c r="K574" t="s">
        <v>6929</v>
      </c>
    </row>
    <row r="575" spans="1:11">
      <c r="A575" t="s">
        <v>7511</v>
      </c>
      <c r="B575" t="s">
        <v>1456</v>
      </c>
      <c r="C575" t="s">
        <v>6921</v>
      </c>
      <c r="D575" s="1">
        <v>44967</v>
      </c>
      <c r="E575" s="1">
        <v>44970</v>
      </c>
      <c r="F575" s="1">
        <v>44970</v>
      </c>
      <c r="G575">
        <v>55.68</v>
      </c>
      <c r="H5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75" t="str">
        <f>IFERROR(INDEX(Raw_orders!G:G, MATCH(shipments[[#This Row],[order_id]],Raw_orders!A:A, 0)), "Unknown")</f>
        <v>Baltics</v>
      </c>
      <c r="J575" t="str">
        <f>PROPER(shipments[[#This Row],[delivery_status]])</f>
        <v>Delivered</v>
      </c>
      <c r="K575" t="s">
        <v>6929</v>
      </c>
    </row>
    <row r="576" spans="1:11">
      <c r="A576" t="s">
        <v>7512</v>
      </c>
      <c r="B576" t="s">
        <v>1457</v>
      </c>
      <c r="C576" t="s">
        <v>6928</v>
      </c>
      <c r="D576" s="1">
        <v>45507</v>
      </c>
      <c r="E576" s="1">
        <v>45509</v>
      </c>
      <c r="F576" s="1">
        <v>45517</v>
      </c>
      <c r="G576">
        <v>42.73</v>
      </c>
      <c r="H5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6" t="str">
        <f>IFERROR(INDEX(Raw_orders!G:G, MATCH(shipments[[#This Row],[order_id]],Raw_orders!A:A, 0)), "Unknown")</f>
        <v>Nordics</v>
      </c>
      <c r="J576" t="str">
        <f>PROPER(shipments[[#This Row],[delivery_status]])</f>
        <v>Delivered</v>
      </c>
      <c r="K576" t="s">
        <v>6922</v>
      </c>
    </row>
    <row r="577" spans="1:11">
      <c r="A577" t="s">
        <v>7513</v>
      </c>
      <c r="B577" t="s">
        <v>1458</v>
      </c>
      <c r="C577" t="s">
        <v>6956</v>
      </c>
      <c r="D577" s="1">
        <v>45519</v>
      </c>
      <c r="E577" s="1">
        <v>45529</v>
      </c>
      <c r="F577" s="1">
        <v>45536</v>
      </c>
      <c r="G577">
        <v>15.53</v>
      </c>
      <c r="H5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7" t="str">
        <f>IFERROR(INDEX(Raw_orders!G:G, MATCH(shipments[[#This Row],[order_id]],Raw_orders!A:A, 0)), "Unknown")</f>
        <v>Nordics</v>
      </c>
      <c r="J577" t="str">
        <f>PROPER(shipments[[#This Row],[delivery_status]])</f>
        <v>Delivered</v>
      </c>
      <c r="K577" t="s">
        <v>6929</v>
      </c>
    </row>
    <row r="578" spans="1:11">
      <c r="A578" t="s">
        <v>7514</v>
      </c>
      <c r="B578" t="s">
        <v>1459</v>
      </c>
      <c r="C578" t="s">
        <v>6935</v>
      </c>
      <c r="D578" s="1">
        <v>45377</v>
      </c>
      <c r="E578" s="1">
        <v>45382</v>
      </c>
      <c r="F578" s="1">
        <v>45393</v>
      </c>
      <c r="G578">
        <v>27.9</v>
      </c>
      <c r="H5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8" t="str">
        <f>IFERROR(INDEX(Raw_orders!G:G, MATCH(shipments[[#This Row],[order_id]],Raw_orders!A:A, 0)), "Unknown")</f>
        <v>Baltics</v>
      </c>
      <c r="J578" t="str">
        <f>PROPER(shipments[[#This Row],[delivery_status]])</f>
        <v>Delivered</v>
      </c>
      <c r="K578" t="s">
        <v>6922</v>
      </c>
    </row>
    <row r="579" spans="1:11">
      <c r="A579" t="s">
        <v>7515</v>
      </c>
      <c r="B579" t="s">
        <v>1460</v>
      </c>
      <c r="C579" t="s">
        <v>6949</v>
      </c>
      <c r="D579" s="1">
        <v>45002</v>
      </c>
      <c r="E579" s="1">
        <v>45007</v>
      </c>
      <c r="F579" s="1">
        <v>45007</v>
      </c>
      <c r="G579">
        <v>14.15</v>
      </c>
      <c r="H5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79" t="str">
        <f>IFERROR(INDEX(Raw_orders!G:G, MATCH(shipments[[#This Row],[order_id]],Raw_orders!A:A, 0)), "Unknown")</f>
        <v>Nordics</v>
      </c>
      <c r="J579" t="str">
        <f>PROPER(shipments[[#This Row],[delivery_status]])</f>
        <v>Delivered</v>
      </c>
      <c r="K579" t="s">
        <v>6922</v>
      </c>
    </row>
    <row r="580" spans="1:11">
      <c r="A580" t="s">
        <v>7516</v>
      </c>
      <c r="B580" t="s">
        <v>1461</v>
      </c>
      <c r="C580" t="s">
        <v>6940</v>
      </c>
      <c r="D580" s="1">
        <v>45580</v>
      </c>
      <c r="E580" s="1">
        <v>45583</v>
      </c>
      <c r="F580" s="1">
        <v>45585</v>
      </c>
      <c r="G580">
        <v>10.85</v>
      </c>
      <c r="H5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0" t="str">
        <f>IFERROR(INDEX(Raw_orders!G:G, MATCH(shipments[[#This Row],[order_id]],Raw_orders!A:A, 0)), "Unknown")</f>
        <v>Nordics</v>
      </c>
      <c r="J580" t="str">
        <f>PROPER(shipments[[#This Row],[delivery_status]])</f>
        <v>Delivered</v>
      </c>
      <c r="K580" t="s">
        <v>6929</v>
      </c>
    </row>
    <row r="581" spans="1:11">
      <c r="A581" t="s">
        <v>7517</v>
      </c>
      <c r="B581" t="s">
        <v>1462</v>
      </c>
      <c r="C581" t="s">
        <v>6938</v>
      </c>
      <c r="D581" s="1">
        <v>45162</v>
      </c>
      <c r="E581" s="1">
        <v>45167</v>
      </c>
      <c r="F581" s="1">
        <v>45168</v>
      </c>
      <c r="G581">
        <v>54.27</v>
      </c>
      <c r="H5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1" t="str">
        <f>IFERROR(INDEX(Raw_orders!G:G, MATCH(shipments[[#This Row],[order_id]],Raw_orders!A:A, 0)), "Unknown")</f>
        <v>Central Europe</v>
      </c>
      <c r="J581" t="str">
        <f>PROPER(shipments[[#This Row],[delivery_status]])</f>
        <v>Delivered</v>
      </c>
      <c r="K581" t="s">
        <v>6929</v>
      </c>
    </row>
    <row r="582" spans="1:11">
      <c r="A582" t="s">
        <v>7518</v>
      </c>
      <c r="B582" t="s">
        <v>1463</v>
      </c>
      <c r="C582" t="s">
        <v>6931</v>
      </c>
      <c r="D582" s="1">
        <v>45251</v>
      </c>
      <c r="E582" s="1">
        <v>45254</v>
      </c>
      <c r="F582" s="1">
        <v>45262</v>
      </c>
      <c r="G582">
        <v>33.950000000000003</v>
      </c>
      <c r="H5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2" t="str">
        <f>IFERROR(INDEX(Raw_orders!G:G, MATCH(shipments[[#This Row],[order_id]],Raw_orders!A:A, 0)), "Unknown")</f>
        <v>Nordics</v>
      </c>
      <c r="J582" t="str">
        <f>PROPER(shipments[[#This Row],[delivery_status]])</f>
        <v>Delivered</v>
      </c>
      <c r="K582" t="s">
        <v>6929</v>
      </c>
    </row>
    <row r="583" spans="1:11">
      <c r="A583" t="s">
        <v>7519</v>
      </c>
      <c r="B583" t="s">
        <v>1464</v>
      </c>
      <c r="C583" t="s">
        <v>6925</v>
      </c>
      <c r="D583" s="1">
        <v>45307</v>
      </c>
      <c r="E583" s="1">
        <v>45309</v>
      </c>
      <c r="F583" s="1">
        <v>45314</v>
      </c>
      <c r="G583">
        <v>13.12</v>
      </c>
      <c r="H5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3" t="str">
        <f>IFERROR(INDEX(Raw_orders!G:G, MATCH(shipments[[#This Row],[order_id]],Raw_orders!A:A, 0)), "Unknown")</f>
        <v>Baltics</v>
      </c>
      <c r="J583" t="str">
        <f>PROPER(shipments[[#This Row],[delivery_status]])</f>
        <v>Delivered</v>
      </c>
      <c r="K583" t="s">
        <v>6929</v>
      </c>
    </row>
    <row r="584" spans="1:11">
      <c r="A584" t="s">
        <v>7520</v>
      </c>
      <c r="B584" t="s">
        <v>1465</v>
      </c>
      <c r="C584" t="s">
        <v>6928</v>
      </c>
      <c r="D584" s="1">
        <v>45619</v>
      </c>
      <c r="E584" s="1">
        <v>45621</v>
      </c>
      <c r="F584" s="1">
        <v>45620</v>
      </c>
      <c r="G584">
        <v>59.12</v>
      </c>
      <c r="H5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84" t="str">
        <f>IFERROR(INDEX(Raw_orders!G:G, MATCH(shipments[[#This Row],[order_id]],Raw_orders!A:A, 0)), "Unknown")</f>
        <v>Central Europe</v>
      </c>
      <c r="J584" t="str">
        <f>PROPER(shipments[[#This Row],[delivery_status]])</f>
        <v>Delivered</v>
      </c>
      <c r="K584" t="s">
        <v>6922</v>
      </c>
    </row>
    <row r="585" spans="1:11">
      <c r="A585" t="s">
        <v>7521</v>
      </c>
      <c r="B585" t="s">
        <v>1466</v>
      </c>
      <c r="C585" t="s">
        <v>6925</v>
      </c>
      <c r="D585" s="1">
        <v>45082</v>
      </c>
      <c r="E585" s="1">
        <v>45084</v>
      </c>
      <c r="F585" s="1">
        <v>45087</v>
      </c>
      <c r="G585">
        <v>39.29</v>
      </c>
      <c r="H5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5" t="str">
        <f>IFERROR(INDEX(Raw_orders!G:G, MATCH(shipments[[#This Row],[order_id]],Raw_orders!A:A, 0)), "Unknown")</f>
        <v>Nordics</v>
      </c>
      <c r="J585" t="str">
        <f>PROPER(shipments[[#This Row],[delivery_status]])</f>
        <v>Delivered</v>
      </c>
      <c r="K585" t="s">
        <v>6929</v>
      </c>
    </row>
    <row r="586" spans="1:11">
      <c r="A586" t="s">
        <v>7522</v>
      </c>
      <c r="B586" t="s">
        <v>1466</v>
      </c>
      <c r="C586" t="s">
        <v>6928</v>
      </c>
      <c r="D586" s="1">
        <v>45085</v>
      </c>
      <c r="E586" s="1">
        <v>45092</v>
      </c>
      <c r="F586" s="1">
        <v>45092</v>
      </c>
      <c r="G586">
        <v>8.81</v>
      </c>
      <c r="H5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86" t="str">
        <f>IFERROR(INDEX(Raw_orders!G:G, MATCH(shipments[[#This Row],[order_id]],Raw_orders!A:A, 0)), "Unknown")</f>
        <v>Nordics</v>
      </c>
      <c r="J586" t="str">
        <f>PROPER(shipments[[#This Row],[delivery_status]])</f>
        <v>Delivered</v>
      </c>
      <c r="K586" t="s">
        <v>6929</v>
      </c>
    </row>
    <row r="587" spans="1:11">
      <c r="A587" t="s">
        <v>7523</v>
      </c>
      <c r="B587" t="s">
        <v>1467</v>
      </c>
      <c r="C587" t="s">
        <v>6938</v>
      </c>
      <c r="D587" s="1">
        <v>45272</v>
      </c>
      <c r="E587" s="1">
        <v>45279</v>
      </c>
      <c r="F587" s="1">
        <v>45280</v>
      </c>
      <c r="G587">
        <v>30.42</v>
      </c>
      <c r="H5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7" t="str">
        <f>IFERROR(INDEX(Raw_orders!G:G, MATCH(shipments[[#This Row],[order_id]],Raw_orders!A:A, 0)), "Unknown")</f>
        <v>Central Europe</v>
      </c>
      <c r="J587" t="str">
        <f>PROPER(shipments[[#This Row],[delivery_status]])</f>
        <v>Delivered</v>
      </c>
      <c r="K587" t="s">
        <v>6926</v>
      </c>
    </row>
    <row r="588" spans="1:11">
      <c r="A588" t="s">
        <v>7524</v>
      </c>
      <c r="B588" t="s">
        <v>1468</v>
      </c>
      <c r="C588" t="s">
        <v>6956</v>
      </c>
      <c r="D588" s="1">
        <v>45448</v>
      </c>
      <c r="E588" s="1">
        <v>45455</v>
      </c>
      <c r="F588" s="1">
        <v>45455</v>
      </c>
      <c r="G588">
        <v>13.39</v>
      </c>
      <c r="H5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88" t="str">
        <f>IFERROR(INDEX(Raw_orders!G:G, MATCH(shipments[[#This Row],[order_id]],Raw_orders!A:A, 0)), "Unknown")</f>
        <v>Nordics</v>
      </c>
      <c r="J588" t="str">
        <f>PROPER(shipments[[#This Row],[delivery_status]])</f>
        <v>Delivered</v>
      </c>
      <c r="K588" t="s">
        <v>6922</v>
      </c>
    </row>
    <row r="589" spans="1:11">
      <c r="A589" t="s">
        <v>7525</v>
      </c>
      <c r="B589" t="s">
        <v>1469</v>
      </c>
      <c r="C589" t="s">
        <v>6925</v>
      </c>
      <c r="D589" s="1">
        <v>45311</v>
      </c>
      <c r="E589" s="1">
        <v>45318</v>
      </c>
      <c r="F589" s="1">
        <v>45318</v>
      </c>
      <c r="G589">
        <v>64.849999999999994</v>
      </c>
      <c r="H5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89" t="str">
        <f>IFERROR(INDEX(Raw_orders!G:G, MATCH(shipments[[#This Row],[order_id]],Raw_orders!A:A, 0)), "Unknown")</f>
        <v>Nordics</v>
      </c>
      <c r="J589" t="str">
        <f>PROPER(shipments[[#This Row],[delivery_status]])</f>
        <v>Delivered</v>
      </c>
      <c r="K589" t="s">
        <v>6922</v>
      </c>
    </row>
    <row r="590" spans="1:11">
      <c r="A590" t="s">
        <v>7526</v>
      </c>
      <c r="B590" t="s">
        <v>1470</v>
      </c>
      <c r="C590" t="s">
        <v>6938</v>
      </c>
      <c r="D590" s="1">
        <v>45363</v>
      </c>
      <c r="E590" s="1">
        <v>45373</v>
      </c>
      <c r="F590" s="1">
        <v>45376</v>
      </c>
      <c r="G590">
        <v>23.84</v>
      </c>
      <c r="H5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0" t="str">
        <f>IFERROR(INDEX(Raw_orders!G:G, MATCH(shipments[[#This Row],[order_id]],Raw_orders!A:A, 0)), "Unknown")</f>
        <v>Central Europe</v>
      </c>
      <c r="J590" t="str">
        <f>PROPER(shipments[[#This Row],[delivery_status]])</f>
        <v>Delivered</v>
      </c>
      <c r="K590" t="s">
        <v>6929</v>
      </c>
    </row>
    <row r="591" spans="1:11">
      <c r="A591" t="s">
        <v>7527</v>
      </c>
      <c r="B591" t="s">
        <v>1471</v>
      </c>
      <c r="C591" t="s">
        <v>6938</v>
      </c>
      <c r="D591" s="1">
        <v>45453</v>
      </c>
      <c r="E591" s="1">
        <v>45460</v>
      </c>
      <c r="F591" s="1">
        <v>45462</v>
      </c>
      <c r="G591">
        <v>49.82</v>
      </c>
      <c r="H5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1" t="str">
        <f>IFERROR(INDEX(Raw_orders!G:G, MATCH(shipments[[#This Row],[order_id]],Raw_orders!A:A, 0)), "Unknown")</f>
        <v>Baltics</v>
      </c>
      <c r="J591" t="str">
        <f>PROPER(shipments[[#This Row],[delivery_status]])</f>
        <v>Delivered</v>
      </c>
      <c r="K591" t="s">
        <v>6929</v>
      </c>
    </row>
    <row r="592" spans="1:11">
      <c r="A592" t="s">
        <v>7528</v>
      </c>
      <c r="B592" t="s">
        <v>1472</v>
      </c>
      <c r="C592" t="s">
        <v>6931</v>
      </c>
      <c r="D592" s="1">
        <v>45625</v>
      </c>
      <c r="E592" s="1">
        <v>45628</v>
      </c>
      <c r="F592" s="1">
        <v>45633</v>
      </c>
      <c r="G592">
        <v>20.07</v>
      </c>
      <c r="H5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2" t="str">
        <f>IFERROR(INDEX(Raw_orders!G:G, MATCH(shipments[[#This Row],[order_id]],Raw_orders!A:A, 0)), "Unknown")</f>
        <v>Baltics</v>
      </c>
      <c r="J592" t="str">
        <f>PROPER(shipments[[#This Row],[delivery_status]])</f>
        <v>Delivered</v>
      </c>
      <c r="K592" t="s">
        <v>6929</v>
      </c>
    </row>
    <row r="593" spans="1:11">
      <c r="A593" t="s">
        <v>7529</v>
      </c>
      <c r="B593" t="s">
        <v>1473</v>
      </c>
      <c r="C593" t="s">
        <v>6921</v>
      </c>
      <c r="D593" s="1">
        <v>45273</v>
      </c>
      <c r="E593" s="1">
        <v>45276</v>
      </c>
      <c r="F593" s="1">
        <v>45276</v>
      </c>
      <c r="G593">
        <v>19.93</v>
      </c>
      <c r="H5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93" t="str">
        <f>IFERROR(INDEX(Raw_orders!G:G, MATCH(shipments[[#This Row],[order_id]],Raw_orders!A:A, 0)), "Unknown")</f>
        <v>Central Europe</v>
      </c>
      <c r="J593" t="str">
        <f>PROPER(shipments[[#This Row],[delivery_status]])</f>
        <v>Delivered</v>
      </c>
      <c r="K593" t="s">
        <v>6926</v>
      </c>
    </row>
    <row r="594" spans="1:11">
      <c r="A594" t="s">
        <v>7530</v>
      </c>
      <c r="B594" t="s">
        <v>1474</v>
      </c>
      <c r="C594" t="s">
        <v>6925</v>
      </c>
      <c r="D594" s="1">
        <v>45387</v>
      </c>
      <c r="E594" s="1">
        <v>45397</v>
      </c>
      <c r="F594" s="1">
        <v>45405</v>
      </c>
      <c r="G594">
        <v>50.85</v>
      </c>
      <c r="H5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4" t="str">
        <f>IFERROR(INDEX(Raw_orders!G:G, MATCH(shipments[[#This Row],[order_id]],Raw_orders!A:A, 0)), "Unknown")</f>
        <v>Central Europe</v>
      </c>
      <c r="J594" t="str">
        <f>PROPER(shipments[[#This Row],[delivery_status]])</f>
        <v>Delivered</v>
      </c>
      <c r="K594" t="s">
        <v>6926</v>
      </c>
    </row>
    <row r="595" spans="1:11">
      <c r="A595" t="s">
        <v>7531</v>
      </c>
      <c r="B595" t="s">
        <v>1475</v>
      </c>
      <c r="C595" t="s">
        <v>6931</v>
      </c>
      <c r="D595" s="1">
        <v>45044</v>
      </c>
      <c r="E595" s="1">
        <v>45049</v>
      </c>
      <c r="F595" s="1">
        <v>45049</v>
      </c>
      <c r="G595">
        <v>43.65</v>
      </c>
      <c r="H5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95" t="str">
        <f>IFERROR(INDEX(Raw_orders!G:G, MATCH(shipments[[#This Row],[order_id]],Raw_orders!A:A, 0)), "Unknown")</f>
        <v>Nordics</v>
      </c>
      <c r="J595" t="str">
        <f>PROPER(shipments[[#This Row],[delivery_status]])</f>
        <v>Delivered</v>
      </c>
      <c r="K595" t="s">
        <v>6922</v>
      </c>
    </row>
    <row r="596" spans="1:11">
      <c r="A596" t="s">
        <v>7532</v>
      </c>
      <c r="B596" t="s">
        <v>1476</v>
      </c>
      <c r="C596" t="s">
        <v>6931</v>
      </c>
      <c r="D596" s="1">
        <v>45068</v>
      </c>
      <c r="E596" s="1">
        <v>45073</v>
      </c>
      <c r="F596" s="1">
        <v>45083</v>
      </c>
      <c r="G596">
        <v>40.020000000000003</v>
      </c>
      <c r="H5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6" t="str">
        <f>IFERROR(INDEX(Raw_orders!G:G, MATCH(shipments[[#This Row],[order_id]],Raw_orders!A:A, 0)), "Unknown")</f>
        <v>Baltics</v>
      </c>
      <c r="J596" t="str">
        <f>PROPER(shipments[[#This Row],[delivery_status]])</f>
        <v>Delivered</v>
      </c>
      <c r="K596" t="s">
        <v>6929</v>
      </c>
    </row>
    <row r="597" spans="1:11">
      <c r="A597" t="s">
        <v>7533</v>
      </c>
      <c r="B597" t="s">
        <v>1477</v>
      </c>
      <c r="C597" t="s">
        <v>6931</v>
      </c>
      <c r="D597" s="1">
        <v>45348</v>
      </c>
      <c r="E597" s="1">
        <v>45350</v>
      </c>
      <c r="F597" s="1">
        <v>45360</v>
      </c>
      <c r="G597">
        <v>64.62</v>
      </c>
      <c r="H5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7" t="str">
        <f>IFERROR(INDEX(Raw_orders!G:G, MATCH(shipments[[#This Row],[order_id]],Raw_orders!A:A, 0)), "Unknown")</f>
        <v>Nordics</v>
      </c>
      <c r="J597" t="str">
        <f>PROPER(shipments[[#This Row],[delivery_status]])</f>
        <v>Delivered</v>
      </c>
      <c r="K597" t="s">
        <v>6929</v>
      </c>
    </row>
    <row r="598" spans="1:11">
      <c r="A598" t="s">
        <v>7534</v>
      </c>
      <c r="B598" t="s">
        <v>1478</v>
      </c>
      <c r="C598" t="s">
        <v>6921</v>
      </c>
      <c r="D598" s="1">
        <v>45483</v>
      </c>
      <c r="E598" s="1">
        <v>45493</v>
      </c>
      <c r="F598" s="1">
        <v>45498</v>
      </c>
      <c r="G598">
        <v>36.42</v>
      </c>
      <c r="H5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8" t="str">
        <f>IFERROR(INDEX(Raw_orders!G:G, MATCH(shipments[[#This Row],[order_id]],Raw_orders!A:A, 0)), "Unknown")</f>
        <v>Central Europe</v>
      </c>
      <c r="J598" t="str">
        <f>PROPER(shipments[[#This Row],[delivery_status]])</f>
        <v>Delivered</v>
      </c>
      <c r="K598" t="s">
        <v>6926</v>
      </c>
    </row>
    <row r="599" spans="1:11">
      <c r="A599" t="s">
        <v>7535</v>
      </c>
      <c r="B599" t="s">
        <v>1479</v>
      </c>
      <c r="C599" t="s">
        <v>6935</v>
      </c>
      <c r="D599" s="1">
        <v>44970</v>
      </c>
      <c r="E599" s="1">
        <v>44972</v>
      </c>
      <c r="F599" s="1">
        <v>44971</v>
      </c>
      <c r="G599">
        <v>22.44</v>
      </c>
      <c r="H5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99" t="str">
        <f>IFERROR(INDEX(Raw_orders!G:G, MATCH(shipments[[#This Row],[order_id]],Raw_orders!A:A, 0)), "Unknown")</f>
        <v>Baltics</v>
      </c>
      <c r="J599" t="str">
        <f>PROPER(shipments[[#This Row],[delivery_status]])</f>
        <v>Delivered</v>
      </c>
      <c r="K599" t="s">
        <v>6922</v>
      </c>
    </row>
    <row r="600" spans="1:11">
      <c r="A600" t="s">
        <v>7536</v>
      </c>
      <c r="B600" t="s">
        <v>1480</v>
      </c>
      <c r="C600" t="s">
        <v>6931</v>
      </c>
      <c r="D600" s="1">
        <v>44959</v>
      </c>
      <c r="E600" s="1">
        <v>44962</v>
      </c>
      <c r="F600" s="1">
        <v>44965</v>
      </c>
      <c r="G600">
        <v>23.11</v>
      </c>
      <c r="H6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0" t="str">
        <f>IFERROR(INDEX(Raw_orders!G:G, MATCH(shipments[[#This Row],[order_id]],Raw_orders!A:A, 0)), "Unknown")</f>
        <v>Baltics</v>
      </c>
      <c r="J600" t="str">
        <f>PROPER(shipments[[#This Row],[delivery_status]])</f>
        <v>Delivered</v>
      </c>
      <c r="K600" t="s">
        <v>6922</v>
      </c>
    </row>
    <row r="601" spans="1:11">
      <c r="A601" t="s">
        <v>7537</v>
      </c>
      <c r="B601" t="s">
        <v>1481</v>
      </c>
      <c r="C601" t="s">
        <v>6940</v>
      </c>
      <c r="D601" s="1">
        <v>45348</v>
      </c>
      <c r="E601" s="1">
        <v>45350</v>
      </c>
      <c r="F601" s="1">
        <v>45350</v>
      </c>
      <c r="G601">
        <v>56.84</v>
      </c>
      <c r="H6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1" t="str">
        <f>IFERROR(INDEX(Raw_orders!G:G, MATCH(shipments[[#This Row],[order_id]],Raw_orders!A:A, 0)), "Unknown")</f>
        <v>Central Europe</v>
      </c>
      <c r="J601" t="str">
        <f>PROPER(shipments[[#This Row],[delivery_status]])</f>
        <v>Delivered</v>
      </c>
      <c r="K601" t="s">
        <v>6929</v>
      </c>
    </row>
    <row r="602" spans="1:11">
      <c r="A602" t="s">
        <v>7538</v>
      </c>
      <c r="B602" t="s">
        <v>1482</v>
      </c>
      <c r="C602" t="s">
        <v>6925</v>
      </c>
      <c r="D602" s="1">
        <v>45535</v>
      </c>
      <c r="E602" s="1">
        <v>45540</v>
      </c>
      <c r="F602" s="1">
        <v>45548</v>
      </c>
      <c r="G602">
        <v>20.41</v>
      </c>
      <c r="H6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2" t="str">
        <f>IFERROR(INDEX(Raw_orders!G:G, MATCH(shipments[[#This Row],[order_id]],Raw_orders!A:A, 0)), "Unknown")</f>
        <v>Nordics</v>
      </c>
      <c r="J602" t="str">
        <f>PROPER(shipments[[#This Row],[delivery_status]])</f>
        <v>Delivered</v>
      </c>
      <c r="K602" t="s">
        <v>6922</v>
      </c>
    </row>
    <row r="603" spans="1:11">
      <c r="A603" t="s">
        <v>7539</v>
      </c>
      <c r="B603" t="s">
        <v>1483</v>
      </c>
      <c r="C603" t="s">
        <v>6921</v>
      </c>
      <c r="D603" s="1">
        <v>45446</v>
      </c>
      <c r="E603" s="1">
        <v>45451</v>
      </c>
      <c r="F603" s="1">
        <v>45453</v>
      </c>
      <c r="G603">
        <v>62.91</v>
      </c>
      <c r="H6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3" t="str">
        <f>IFERROR(INDEX(Raw_orders!G:G, MATCH(shipments[[#This Row],[order_id]],Raw_orders!A:A, 0)), "Unknown")</f>
        <v>Central Europe</v>
      </c>
      <c r="J603" t="str">
        <f>PROPER(shipments[[#This Row],[delivery_status]])</f>
        <v>Delivered</v>
      </c>
      <c r="K603" t="s">
        <v>6922</v>
      </c>
    </row>
    <row r="604" spans="1:11">
      <c r="A604" t="s">
        <v>7540</v>
      </c>
      <c r="B604" t="s">
        <v>1484</v>
      </c>
      <c r="C604" t="s">
        <v>6938</v>
      </c>
      <c r="D604" s="1">
        <v>45597</v>
      </c>
      <c r="E604" s="1">
        <v>45604</v>
      </c>
      <c r="F604" s="1">
        <v>45609</v>
      </c>
      <c r="G604">
        <v>30.61</v>
      </c>
      <c r="H6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4" t="str">
        <f>IFERROR(INDEX(Raw_orders!G:G, MATCH(shipments[[#This Row],[order_id]],Raw_orders!A:A, 0)), "Unknown")</f>
        <v>Central Europe</v>
      </c>
      <c r="J604" t="str">
        <f>PROPER(shipments[[#This Row],[delivery_status]])</f>
        <v>Delivered</v>
      </c>
      <c r="K604" t="s">
        <v>6926</v>
      </c>
    </row>
    <row r="605" spans="1:11">
      <c r="A605" t="s">
        <v>7541</v>
      </c>
      <c r="B605" t="s">
        <v>1485</v>
      </c>
      <c r="C605" t="s">
        <v>6921</v>
      </c>
      <c r="D605" s="1">
        <v>45429</v>
      </c>
      <c r="E605" s="1">
        <v>45431</v>
      </c>
      <c r="F605" s="1">
        <v>45434</v>
      </c>
      <c r="G605">
        <v>12.97</v>
      </c>
      <c r="H6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5" t="str">
        <f>IFERROR(INDEX(Raw_orders!G:G, MATCH(shipments[[#This Row],[order_id]],Raw_orders!A:A, 0)), "Unknown")</f>
        <v>Nordics</v>
      </c>
      <c r="J605" t="str">
        <f>PROPER(shipments[[#This Row],[delivery_status]])</f>
        <v>Delivered</v>
      </c>
      <c r="K605" t="s">
        <v>6929</v>
      </c>
    </row>
    <row r="606" spans="1:11">
      <c r="A606" t="s">
        <v>7542</v>
      </c>
      <c r="B606" t="s">
        <v>1486</v>
      </c>
      <c r="C606" t="s">
        <v>6938</v>
      </c>
      <c r="D606" s="1">
        <v>45112</v>
      </c>
      <c r="E606" s="1">
        <v>45114</v>
      </c>
      <c r="F606" s="1">
        <v>45122</v>
      </c>
      <c r="G606">
        <v>33.369999999999997</v>
      </c>
      <c r="H6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6" t="str">
        <f>IFERROR(INDEX(Raw_orders!G:G, MATCH(shipments[[#This Row],[order_id]],Raw_orders!A:A, 0)), "Unknown")</f>
        <v>Baltics</v>
      </c>
      <c r="J606" t="str">
        <f>PROPER(shipments[[#This Row],[delivery_status]])</f>
        <v>Delivered</v>
      </c>
      <c r="K606" t="s">
        <v>6929</v>
      </c>
    </row>
    <row r="607" spans="1:11">
      <c r="A607" t="s">
        <v>7543</v>
      </c>
      <c r="B607" t="s">
        <v>1487</v>
      </c>
      <c r="C607" t="s">
        <v>6921</v>
      </c>
      <c r="D607" s="1">
        <v>45502</v>
      </c>
      <c r="E607" s="1">
        <v>45512</v>
      </c>
      <c r="F607" s="1">
        <v>45521</v>
      </c>
      <c r="G607">
        <v>5.65</v>
      </c>
      <c r="H6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7" t="str">
        <f>IFERROR(INDEX(Raw_orders!G:G, MATCH(shipments[[#This Row],[order_id]],Raw_orders!A:A, 0)), "Unknown")</f>
        <v>Nordics</v>
      </c>
      <c r="J607" t="str">
        <f>PROPER(shipments[[#This Row],[delivery_status]])</f>
        <v>Delivered</v>
      </c>
      <c r="K607" t="s">
        <v>6929</v>
      </c>
    </row>
    <row r="608" spans="1:11">
      <c r="A608" t="s">
        <v>7544</v>
      </c>
      <c r="B608" t="s">
        <v>1488</v>
      </c>
      <c r="C608" t="s">
        <v>6940</v>
      </c>
      <c r="D608" s="1">
        <v>45137</v>
      </c>
      <c r="E608" s="1">
        <v>45142</v>
      </c>
      <c r="F608" s="1">
        <v>45147</v>
      </c>
      <c r="G608">
        <v>53.05</v>
      </c>
      <c r="H6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8" t="str">
        <f>IFERROR(INDEX(Raw_orders!G:G, MATCH(shipments[[#This Row],[order_id]],Raw_orders!A:A, 0)), "Unknown")</f>
        <v>Nordics</v>
      </c>
      <c r="J608" t="str">
        <f>PROPER(shipments[[#This Row],[delivery_status]])</f>
        <v>Delivered</v>
      </c>
      <c r="K608" t="s">
        <v>6926</v>
      </c>
    </row>
    <row r="609" spans="1:11">
      <c r="A609" t="s">
        <v>7545</v>
      </c>
      <c r="B609" t="s">
        <v>1489</v>
      </c>
      <c r="C609" t="s">
        <v>6928</v>
      </c>
      <c r="D609" s="1">
        <v>45234</v>
      </c>
      <c r="E609" s="1">
        <v>45237</v>
      </c>
      <c r="F609" s="1">
        <v>45236</v>
      </c>
      <c r="G609">
        <v>33.31</v>
      </c>
      <c r="H6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9" t="str">
        <f>IFERROR(INDEX(Raw_orders!G:G, MATCH(shipments[[#This Row],[order_id]],Raw_orders!A:A, 0)), "Unknown")</f>
        <v>Baltics</v>
      </c>
      <c r="J609" t="str">
        <f>PROPER(shipments[[#This Row],[delivery_status]])</f>
        <v>Delivered</v>
      </c>
      <c r="K609" t="s">
        <v>6926</v>
      </c>
    </row>
    <row r="610" spans="1:11">
      <c r="A610" t="s">
        <v>7546</v>
      </c>
      <c r="B610" t="s">
        <v>1490</v>
      </c>
      <c r="C610" t="s">
        <v>6928</v>
      </c>
      <c r="D610" s="1">
        <v>45069</v>
      </c>
      <c r="E610" s="1">
        <v>45074</v>
      </c>
      <c r="F610" s="1">
        <v>45075</v>
      </c>
      <c r="G610">
        <v>44.28</v>
      </c>
      <c r="H6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0" t="str">
        <f>IFERROR(INDEX(Raw_orders!G:G, MATCH(shipments[[#This Row],[order_id]],Raw_orders!A:A, 0)), "Unknown")</f>
        <v>Nordics</v>
      </c>
      <c r="J610" t="str">
        <f>PROPER(shipments[[#This Row],[delivery_status]])</f>
        <v>Delivered</v>
      </c>
      <c r="K610" t="s">
        <v>6929</v>
      </c>
    </row>
    <row r="611" spans="1:11">
      <c r="A611" t="s">
        <v>7547</v>
      </c>
      <c r="B611" t="s">
        <v>1491</v>
      </c>
      <c r="C611" t="s">
        <v>6925</v>
      </c>
      <c r="D611" s="1">
        <v>45148</v>
      </c>
      <c r="E611" s="1">
        <v>45158</v>
      </c>
      <c r="F611" s="1"/>
      <c r="G611">
        <v>27.05</v>
      </c>
      <c r="H6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11" t="str">
        <f>IFERROR(INDEX(Raw_orders!G:G, MATCH(shipments[[#This Row],[order_id]],Raw_orders!A:A, 0)), "Unknown")</f>
        <v>Baltics</v>
      </c>
      <c r="J611" t="str">
        <f>PROPER(shipments[[#This Row],[delivery_status]])</f>
        <v>In Transit</v>
      </c>
      <c r="K611" t="s">
        <v>6977</v>
      </c>
    </row>
    <row r="612" spans="1:11">
      <c r="A612" t="s">
        <v>7548</v>
      </c>
      <c r="B612" t="s">
        <v>1492</v>
      </c>
      <c r="C612" t="s">
        <v>6931</v>
      </c>
      <c r="D612" s="1">
        <v>45130</v>
      </c>
      <c r="E612" s="1">
        <v>45137</v>
      </c>
      <c r="F612" s="1">
        <v>45137</v>
      </c>
      <c r="G612">
        <v>64.930000000000007</v>
      </c>
      <c r="H6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12" t="str">
        <f>IFERROR(INDEX(Raw_orders!G:G, MATCH(shipments[[#This Row],[order_id]],Raw_orders!A:A, 0)), "Unknown")</f>
        <v>Central Europe</v>
      </c>
      <c r="J612" t="str">
        <f>PROPER(shipments[[#This Row],[delivery_status]])</f>
        <v>Delivered</v>
      </c>
      <c r="K612" t="s">
        <v>6926</v>
      </c>
    </row>
    <row r="613" spans="1:11">
      <c r="A613" t="s">
        <v>7549</v>
      </c>
      <c r="B613" t="s">
        <v>1493</v>
      </c>
      <c r="C613" t="s">
        <v>6940</v>
      </c>
      <c r="D613" s="1">
        <v>45189</v>
      </c>
      <c r="E613" s="1">
        <v>45194</v>
      </c>
      <c r="F613" s="1">
        <v>45195</v>
      </c>
      <c r="G613">
        <v>58.72</v>
      </c>
      <c r="H6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3" t="str">
        <f>IFERROR(INDEX(Raw_orders!G:G, MATCH(shipments[[#This Row],[order_id]],Raw_orders!A:A, 0)), "Unknown")</f>
        <v>Baltics</v>
      </c>
      <c r="J613" t="str">
        <f>PROPER(shipments[[#This Row],[delivery_status]])</f>
        <v>Delivered</v>
      </c>
      <c r="K613" t="s">
        <v>6922</v>
      </c>
    </row>
    <row r="614" spans="1:11">
      <c r="A614" t="s">
        <v>7550</v>
      </c>
      <c r="B614" t="s">
        <v>1494</v>
      </c>
      <c r="C614" t="s">
        <v>6938</v>
      </c>
      <c r="D614" s="1">
        <v>45084</v>
      </c>
      <c r="E614" s="1">
        <v>45086</v>
      </c>
      <c r="F614" s="1">
        <v>45086</v>
      </c>
      <c r="G614">
        <v>45.7</v>
      </c>
      <c r="H6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14" t="str">
        <f>IFERROR(INDEX(Raw_orders!G:G, MATCH(shipments[[#This Row],[order_id]],Raw_orders!A:A, 0)), "Unknown")</f>
        <v>Baltics</v>
      </c>
      <c r="J614" t="str">
        <f>PROPER(shipments[[#This Row],[delivery_status]])</f>
        <v>Delivered</v>
      </c>
      <c r="K614" t="s">
        <v>6929</v>
      </c>
    </row>
    <row r="615" spans="1:11">
      <c r="A615" t="s">
        <v>7551</v>
      </c>
      <c r="B615" t="s">
        <v>1495</v>
      </c>
      <c r="C615" t="s">
        <v>6928</v>
      </c>
      <c r="D615" s="1">
        <v>45269</v>
      </c>
      <c r="E615" s="1">
        <v>45271</v>
      </c>
      <c r="F615" s="1">
        <v>45271</v>
      </c>
      <c r="G615">
        <v>6.24</v>
      </c>
      <c r="H6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15" t="str">
        <f>IFERROR(INDEX(Raw_orders!G:G, MATCH(shipments[[#This Row],[order_id]],Raw_orders!A:A, 0)), "Unknown")</f>
        <v>Central Europe</v>
      </c>
      <c r="J615" t="str">
        <f>PROPER(shipments[[#This Row],[delivery_status]])</f>
        <v>Delivered</v>
      </c>
      <c r="K615" t="s">
        <v>6926</v>
      </c>
    </row>
    <row r="616" spans="1:11">
      <c r="A616" t="s">
        <v>7552</v>
      </c>
      <c r="B616" t="s">
        <v>1495</v>
      </c>
      <c r="C616" t="s">
        <v>6949</v>
      </c>
      <c r="D616" s="1">
        <v>45272</v>
      </c>
      <c r="E616" s="1">
        <v>45282</v>
      </c>
      <c r="F616" s="1">
        <v>45282</v>
      </c>
      <c r="G616">
        <v>32.19</v>
      </c>
      <c r="H6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16" t="str">
        <f>IFERROR(INDEX(Raw_orders!G:G, MATCH(shipments[[#This Row],[order_id]],Raw_orders!A:A, 0)), "Unknown")</f>
        <v>Central Europe</v>
      </c>
      <c r="J616" t="str">
        <f>PROPER(shipments[[#This Row],[delivery_status]])</f>
        <v>Delivered</v>
      </c>
      <c r="K616" t="s">
        <v>6926</v>
      </c>
    </row>
    <row r="617" spans="1:11">
      <c r="A617" t="s">
        <v>7553</v>
      </c>
      <c r="B617" t="s">
        <v>1496</v>
      </c>
      <c r="C617" t="s">
        <v>6956</v>
      </c>
      <c r="D617" s="1">
        <v>45227</v>
      </c>
      <c r="E617" s="1">
        <v>45229</v>
      </c>
      <c r="F617" s="1">
        <v>45237</v>
      </c>
      <c r="G617">
        <v>5.53</v>
      </c>
      <c r="H6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7" t="str">
        <f>IFERROR(INDEX(Raw_orders!G:G, MATCH(shipments[[#This Row],[order_id]],Raw_orders!A:A, 0)), "Unknown")</f>
        <v>Nordics</v>
      </c>
      <c r="J617" t="str">
        <f>PROPER(shipments[[#This Row],[delivery_status]])</f>
        <v>Delivered</v>
      </c>
      <c r="K617" t="s">
        <v>6926</v>
      </c>
    </row>
    <row r="618" spans="1:11">
      <c r="A618" t="s">
        <v>7554</v>
      </c>
      <c r="B618" t="s">
        <v>1497</v>
      </c>
      <c r="C618" t="s">
        <v>6956</v>
      </c>
      <c r="D618" s="1">
        <v>45189</v>
      </c>
      <c r="E618" s="1">
        <v>45194</v>
      </c>
      <c r="F618" s="1">
        <v>45200</v>
      </c>
      <c r="H6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8" t="str">
        <f>IFERROR(INDEX(Raw_orders!G:G, MATCH(shipments[[#This Row],[order_id]],Raw_orders!A:A, 0)), "Unknown")</f>
        <v>Nordics</v>
      </c>
      <c r="J618" t="str">
        <f>PROPER(shipments[[#This Row],[delivery_status]])</f>
        <v>Delivered</v>
      </c>
      <c r="K618" t="s">
        <v>6922</v>
      </c>
    </row>
    <row r="619" spans="1:11">
      <c r="A619" t="s">
        <v>7555</v>
      </c>
      <c r="B619" t="s">
        <v>1498</v>
      </c>
      <c r="C619" t="s">
        <v>6935</v>
      </c>
      <c r="D619" s="1">
        <v>45019</v>
      </c>
      <c r="E619" s="1">
        <v>45029</v>
      </c>
      <c r="F619" s="1">
        <v>45031</v>
      </c>
      <c r="G619">
        <v>64.650000000000006</v>
      </c>
      <c r="H6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9" t="str">
        <f>IFERROR(INDEX(Raw_orders!G:G, MATCH(shipments[[#This Row],[order_id]],Raw_orders!A:A, 0)), "Unknown")</f>
        <v>Nordics</v>
      </c>
      <c r="J619" t="str">
        <f>PROPER(shipments[[#This Row],[delivery_status]])</f>
        <v>Delivered</v>
      </c>
      <c r="K619" t="s">
        <v>6926</v>
      </c>
    </row>
    <row r="620" spans="1:11">
      <c r="A620" t="s">
        <v>7556</v>
      </c>
      <c r="B620" t="s">
        <v>1499</v>
      </c>
      <c r="C620" t="s">
        <v>6928</v>
      </c>
      <c r="D620" s="1">
        <v>44992</v>
      </c>
      <c r="E620" s="1">
        <v>44995</v>
      </c>
      <c r="F620" s="1">
        <v>45007</v>
      </c>
      <c r="G620">
        <v>52.26</v>
      </c>
      <c r="H6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0" t="str">
        <f>IFERROR(INDEX(Raw_orders!G:G, MATCH(shipments[[#This Row],[order_id]],Raw_orders!A:A, 0)), "Unknown")</f>
        <v>Central Europe</v>
      </c>
      <c r="J620" t="str">
        <f>PROPER(shipments[[#This Row],[delivery_status]])</f>
        <v>Delivered</v>
      </c>
      <c r="K620" t="s">
        <v>6926</v>
      </c>
    </row>
    <row r="621" spans="1:11">
      <c r="A621" t="s">
        <v>7557</v>
      </c>
      <c r="B621" t="s">
        <v>1500</v>
      </c>
      <c r="C621" t="s">
        <v>6935</v>
      </c>
      <c r="D621" s="1">
        <v>44988</v>
      </c>
      <c r="E621" s="1">
        <v>44995</v>
      </c>
      <c r="F621" s="1">
        <v>45003</v>
      </c>
      <c r="G621">
        <v>10.5</v>
      </c>
      <c r="H6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1" t="str">
        <f>IFERROR(INDEX(Raw_orders!G:G, MATCH(shipments[[#This Row],[order_id]],Raw_orders!A:A, 0)), "Unknown")</f>
        <v>Nordics</v>
      </c>
      <c r="J621" t="str">
        <f>PROPER(shipments[[#This Row],[delivery_status]])</f>
        <v>Delivered</v>
      </c>
      <c r="K621" t="s">
        <v>6929</v>
      </c>
    </row>
    <row r="622" spans="1:11">
      <c r="A622" t="s">
        <v>7558</v>
      </c>
      <c r="B622" t="s">
        <v>1501</v>
      </c>
      <c r="C622" t="s">
        <v>6935</v>
      </c>
      <c r="D622" s="1">
        <v>45076</v>
      </c>
      <c r="E622" s="1">
        <v>45083</v>
      </c>
      <c r="F622" s="1"/>
      <c r="G622">
        <v>17.760000000000002</v>
      </c>
      <c r="H6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22" t="str">
        <f>IFERROR(INDEX(Raw_orders!G:G, MATCH(shipments[[#This Row],[order_id]],Raw_orders!A:A, 0)), "Unknown")</f>
        <v>Baltics</v>
      </c>
      <c r="J622" t="str">
        <f>PROPER(shipments[[#This Row],[delivery_status]])</f>
        <v>In Transit</v>
      </c>
      <c r="K622" t="s">
        <v>6977</v>
      </c>
    </row>
    <row r="623" spans="1:11">
      <c r="A623" t="s">
        <v>7559</v>
      </c>
      <c r="B623" t="s">
        <v>1502</v>
      </c>
      <c r="C623" t="s">
        <v>6956</v>
      </c>
      <c r="D623" s="1">
        <v>45582</v>
      </c>
      <c r="E623" s="1">
        <v>45585</v>
      </c>
      <c r="F623" s="1"/>
      <c r="G623">
        <v>59.69</v>
      </c>
      <c r="H6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23" t="str">
        <f>IFERROR(INDEX(Raw_orders!G:G, MATCH(shipments[[#This Row],[order_id]],Raw_orders!A:A, 0)), "Unknown")</f>
        <v>Nordics</v>
      </c>
      <c r="J623" t="str">
        <f>PROPER(shipments[[#This Row],[delivery_status]])</f>
        <v>In Transit</v>
      </c>
      <c r="K623" t="s">
        <v>6977</v>
      </c>
    </row>
    <row r="624" spans="1:11">
      <c r="A624" t="s">
        <v>7560</v>
      </c>
      <c r="B624" t="s">
        <v>1503</v>
      </c>
      <c r="C624" t="s">
        <v>6940</v>
      </c>
      <c r="D624" s="1">
        <v>45293</v>
      </c>
      <c r="E624" s="1">
        <v>45298</v>
      </c>
      <c r="F624" s="1">
        <v>45303</v>
      </c>
      <c r="G624">
        <v>11.09</v>
      </c>
      <c r="H6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4" t="str">
        <f>IFERROR(INDEX(Raw_orders!G:G, MATCH(shipments[[#This Row],[order_id]],Raw_orders!A:A, 0)), "Unknown")</f>
        <v>Central Europe</v>
      </c>
      <c r="J624" t="str">
        <f>PROPER(shipments[[#This Row],[delivery_status]])</f>
        <v>Delivered</v>
      </c>
      <c r="K624" t="s">
        <v>6926</v>
      </c>
    </row>
    <row r="625" spans="1:11">
      <c r="A625" t="s">
        <v>7561</v>
      </c>
      <c r="B625" t="s">
        <v>1503</v>
      </c>
      <c r="C625" t="s">
        <v>6940</v>
      </c>
      <c r="D625" s="1">
        <v>45294</v>
      </c>
      <c r="E625" s="1">
        <v>45301</v>
      </c>
      <c r="F625" s="1">
        <v>45301</v>
      </c>
      <c r="G625">
        <v>5.86</v>
      </c>
      <c r="H6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25" t="str">
        <f>IFERROR(INDEX(Raw_orders!G:G, MATCH(shipments[[#This Row],[order_id]],Raw_orders!A:A, 0)), "Unknown")</f>
        <v>Central Europe</v>
      </c>
      <c r="J625" t="str">
        <f>PROPER(shipments[[#This Row],[delivery_status]])</f>
        <v>Delivered</v>
      </c>
      <c r="K625" t="s">
        <v>6926</v>
      </c>
    </row>
    <row r="626" spans="1:11">
      <c r="A626" t="s">
        <v>7562</v>
      </c>
      <c r="B626" t="s">
        <v>1504</v>
      </c>
      <c r="C626" t="s">
        <v>6940</v>
      </c>
      <c r="D626" s="1">
        <v>45207</v>
      </c>
      <c r="E626" s="1">
        <v>45217</v>
      </c>
      <c r="F626" s="1">
        <v>45217</v>
      </c>
      <c r="G626">
        <v>22.93</v>
      </c>
      <c r="H6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26" t="str">
        <f>IFERROR(INDEX(Raw_orders!G:G, MATCH(shipments[[#This Row],[order_id]],Raw_orders!A:A, 0)), "Unknown")</f>
        <v>Baltics</v>
      </c>
      <c r="J626" t="str">
        <f>PROPER(shipments[[#This Row],[delivery_status]])</f>
        <v>Delivered</v>
      </c>
      <c r="K626" t="s">
        <v>6926</v>
      </c>
    </row>
    <row r="627" spans="1:11">
      <c r="A627" t="s">
        <v>7563</v>
      </c>
      <c r="B627" t="s">
        <v>1505</v>
      </c>
      <c r="C627" t="s">
        <v>6938</v>
      </c>
      <c r="D627" s="1">
        <v>45482</v>
      </c>
      <c r="E627" s="1">
        <v>45489</v>
      </c>
      <c r="F627" s="1">
        <v>45489</v>
      </c>
      <c r="G627">
        <v>15.95</v>
      </c>
      <c r="H6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27" t="str">
        <f>IFERROR(INDEX(Raw_orders!G:G, MATCH(shipments[[#This Row],[order_id]],Raw_orders!A:A, 0)), "Unknown")</f>
        <v>Nordics</v>
      </c>
      <c r="J627" t="str">
        <f>PROPER(shipments[[#This Row],[delivery_status]])</f>
        <v>Delivered</v>
      </c>
      <c r="K627" t="s">
        <v>6922</v>
      </c>
    </row>
    <row r="628" spans="1:11">
      <c r="A628" t="s">
        <v>7564</v>
      </c>
      <c r="B628" t="s">
        <v>1506</v>
      </c>
      <c r="C628" t="s">
        <v>6956</v>
      </c>
      <c r="D628" s="1">
        <v>45591</v>
      </c>
      <c r="E628" s="1">
        <v>45601</v>
      </c>
      <c r="F628" s="1">
        <v>45602</v>
      </c>
      <c r="G628">
        <v>59.93</v>
      </c>
      <c r="H6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8" t="str">
        <f>IFERROR(INDEX(Raw_orders!G:G, MATCH(shipments[[#This Row],[order_id]],Raw_orders!A:A, 0)), "Unknown")</f>
        <v>Baltics</v>
      </c>
      <c r="J628" t="str">
        <f>PROPER(shipments[[#This Row],[delivery_status]])</f>
        <v>Delivered</v>
      </c>
      <c r="K628" t="s">
        <v>6929</v>
      </c>
    </row>
    <row r="629" spans="1:11">
      <c r="A629" t="s">
        <v>7565</v>
      </c>
      <c r="B629" t="s">
        <v>1507</v>
      </c>
      <c r="C629" t="s">
        <v>6940</v>
      </c>
      <c r="D629" s="1">
        <v>45113</v>
      </c>
      <c r="E629" s="1">
        <v>45116</v>
      </c>
      <c r="F629" s="1">
        <v>45116</v>
      </c>
      <c r="G629">
        <v>22</v>
      </c>
      <c r="H6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29" t="str">
        <f>IFERROR(INDEX(Raw_orders!G:G, MATCH(shipments[[#This Row],[order_id]],Raw_orders!A:A, 0)), "Unknown")</f>
        <v>Nordics</v>
      </c>
      <c r="J629" t="str">
        <f>PROPER(shipments[[#This Row],[delivery_status]])</f>
        <v>Delivered</v>
      </c>
      <c r="K629" t="s">
        <v>6929</v>
      </c>
    </row>
    <row r="630" spans="1:11">
      <c r="A630" t="s">
        <v>7566</v>
      </c>
      <c r="B630" t="s">
        <v>1508</v>
      </c>
      <c r="C630" t="s">
        <v>6928</v>
      </c>
      <c r="D630" s="1">
        <v>45144</v>
      </c>
      <c r="E630" s="1">
        <v>45149</v>
      </c>
      <c r="F630" s="1"/>
      <c r="G630">
        <v>62.02</v>
      </c>
      <c r="H6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30" t="str">
        <f>IFERROR(INDEX(Raw_orders!G:G, MATCH(shipments[[#This Row],[order_id]],Raw_orders!A:A, 0)), "Unknown")</f>
        <v>Baltics</v>
      </c>
      <c r="J630" t="str">
        <f>PROPER(shipments[[#This Row],[delivery_status]])</f>
        <v>In Transit</v>
      </c>
      <c r="K630" t="s">
        <v>6977</v>
      </c>
    </row>
    <row r="631" spans="1:11">
      <c r="A631" t="s">
        <v>7567</v>
      </c>
      <c r="B631" t="s">
        <v>1508</v>
      </c>
      <c r="C631" t="s">
        <v>6956</v>
      </c>
      <c r="D631" s="1">
        <v>45145</v>
      </c>
      <c r="E631" s="1">
        <v>45155</v>
      </c>
      <c r="F631" s="1">
        <v>45155</v>
      </c>
      <c r="G631">
        <v>22.78</v>
      </c>
      <c r="H6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31" t="str">
        <f>IFERROR(INDEX(Raw_orders!G:G, MATCH(shipments[[#This Row],[order_id]],Raw_orders!A:A, 0)), "Unknown")</f>
        <v>Baltics</v>
      </c>
      <c r="J631" t="str">
        <f>PROPER(shipments[[#This Row],[delivery_status]])</f>
        <v>Delivered</v>
      </c>
      <c r="K631" t="s">
        <v>6929</v>
      </c>
    </row>
    <row r="632" spans="1:11">
      <c r="A632" t="s">
        <v>7568</v>
      </c>
      <c r="B632" t="s">
        <v>1509</v>
      </c>
      <c r="C632" t="s">
        <v>6956</v>
      </c>
      <c r="D632" s="1">
        <v>45047</v>
      </c>
      <c r="E632" s="1">
        <v>45050</v>
      </c>
      <c r="F632" s="1">
        <v>45053</v>
      </c>
      <c r="G632">
        <v>41.37</v>
      </c>
      <c r="H6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2" t="str">
        <f>IFERROR(INDEX(Raw_orders!G:G, MATCH(shipments[[#This Row],[order_id]],Raw_orders!A:A, 0)), "Unknown")</f>
        <v>Nordics</v>
      </c>
      <c r="J632" t="str">
        <f>PROPER(shipments[[#This Row],[delivery_status]])</f>
        <v>Delivered</v>
      </c>
      <c r="K632" t="s">
        <v>6929</v>
      </c>
    </row>
    <row r="633" spans="1:11">
      <c r="A633" t="s">
        <v>7569</v>
      </c>
      <c r="B633" t="s">
        <v>1509</v>
      </c>
      <c r="C633" t="s">
        <v>6931</v>
      </c>
      <c r="D633" s="1">
        <v>45046</v>
      </c>
      <c r="E633" s="1">
        <v>45051</v>
      </c>
      <c r="F633" s="1">
        <v>45051</v>
      </c>
      <c r="G633">
        <v>4.87</v>
      </c>
      <c r="H6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33" t="str">
        <f>IFERROR(INDEX(Raw_orders!G:G, MATCH(shipments[[#This Row],[order_id]],Raw_orders!A:A, 0)), "Unknown")</f>
        <v>Nordics</v>
      </c>
      <c r="J633" t="str">
        <f>PROPER(shipments[[#This Row],[delivery_status]])</f>
        <v>Delivered</v>
      </c>
      <c r="K633" t="s">
        <v>6926</v>
      </c>
    </row>
    <row r="634" spans="1:11">
      <c r="A634" t="s">
        <v>7570</v>
      </c>
      <c r="B634" t="s">
        <v>1510</v>
      </c>
      <c r="C634" t="s">
        <v>6931</v>
      </c>
      <c r="D634" s="1">
        <v>45074</v>
      </c>
      <c r="E634" s="1">
        <v>45081</v>
      </c>
      <c r="F634" s="1"/>
      <c r="G634">
        <v>40.57</v>
      </c>
      <c r="H6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34" t="str">
        <f>IFERROR(INDEX(Raw_orders!G:G, MATCH(shipments[[#This Row],[order_id]],Raw_orders!A:A, 0)), "Unknown")</f>
        <v>Central Europe</v>
      </c>
      <c r="J634" t="str">
        <f>PROPER(shipments[[#This Row],[delivery_status]])</f>
        <v>In Transit</v>
      </c>
      <c r="K634" t="s">
        <v>6958</v>
      </c>
    </row>
    <row r="635" spans="1:11">
      <c r="A635" t="s">
        <v>7571</v>
      </c>
      <c r="B635" t="s">
        <v>1511</v>
      </c>
      <c r="C635" t="s">
        <v>6938</v>
      </c>
      <c r="D635" s="1">
        <v>45275</v>
      </c>
      <c r="E635" s="1">
        <v>45280</v>
      </c>
      <c r="F635" s="1">
        <v>45283</v>
      </c>
      <c r="G635">
        <v>13.29</v>
      </c>
      <c r="H6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5" t="str">
        <f>IFERROR(INDEX(Raw_orders!G:G, MATCH(shipments[[#This Row],[order_id]],Raw_orders!A:A, 0)), "Unknown")</f>
        <v>Central Europe</v>
      </c>
      <c r="J635" t="str">
        <f>PROPER(shipments[[#This Row],[delivery_status]])</f>
        <v>Delivered</v>
      </c>
      <c r="K635" t="s">
        <v>6926</v>
      </c>
    </row>
    <row r="636" spans="1:11">
      <c r="A636" t="s">
        <v>7572</v>
      </c>
      <c r="B636" t="s">
        <v>1512</v>
      </c>
      <c r="C636" t="s">
        <v>6940</v>
      </c>
      <c r="D636" s="1">
        <v>45455</v>
      </c>
      <c r="E636" s="1">
        <v>45457</v>
      </c>
      <c r="F636" s="1">
        <v>45463</v>
      </c>
      <c r="G636">
        <v>30.29</v>
      </c>
      <c r="H6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6" t="str">
        <f>IFERROR(INDEX(Raw_orders!G:G, MATCH(shipments[[#This Row],[order_id]],Raw_orders!A:A, 0)), "Unknown")</f>
        <v>Central Europe</v>
      </c>
      <c r="J636" t="str">
        <f>PROPER(shipments[[#This Row],[delivery_status]])</f>
        <v>Delivered</v>
      </c>
      <c r="K636" t="s">
        <v>6929</v>
      </c>
    </row>
    <row r="637" spans="1:11">
      <c r="A637" t="s">
        <v>7573</v>
      </c>
      <c r="B637" t="s">
        <v>1513</v>
      </c>
      <c r="C637" t="s">
        <v>6940</v>
      </c>
      <c r="D637" s="1">
        <v>45613</v>
      </c>
      <c r="E637" s="1">
        <v>45615</v>
      </c>
      <c r="F637" s="1">
        <v>45628</v>
      </c>
      <c r="G637">
        <v>57.89</v>
      </c>
      <c r="H6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7" t="str">
        <f>IFERROR(INDEX(Raw_orders!G:G, MATCH(shipments[[#This Row],[order_id]],Raw_orders!A:A, 0)), "Unknown")</f>
        <v>Central Europe</v>
      </c>
      <c r="J637" t="str">
        <f>PROPER(shipments[[#This Row],[delivery_status]])</f>
        <v>Delivered</v>
      </c>
      <c r="K637" t="s">
        <v>6922</v>
      </c>
    </row>
    <row r="638" spans="1:11">
      <c r="A638" t="s">
        <v>7574</v>
      </c>
      <c r="B638" t="s">
        <v>1514</v>
      </c>
      <c r="C638" t="s">
        <v>6940</v>
      </c>
      <c r="D638" s="1">
        <v>45429</v>
      </c>
      <c r="E638" s="1">
        <v>45434</v>
      </c>
      <c r="F638" s="1">
        <v>45437</v>
      </c>
      <c r="G638">
        <v>48.4</v>
      </c>
      <c r="H6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8" t="str">
        <f>IFERROR(INDEX(Raw_orders!G:G, MATCH(shipments[[#This Row],[order_id]],Raw_orders!A:A, 0)), "Unknown")</f>
        <v>Baltics</v>
      </c>
      <c r="J638" t="str">
        <f>PROPER(shipments[[#This Row],[delivery_status]])</f>
        <v>Delivered</v>
      </c>
      <c r="K638" t="s">
        <v>6929</v>
      </c>
    </row>
    <row r="639" spans="1:11">
      <c r="A639" t="s">
        <v>7575</v>
      </c>
      <c r="B639" t="s">
        <v>1515</v>
      </c>
      <c r="C639" t="s">
        <v>6935</v>
      </c>
      <c r="D639" s="1">
        <v>45347</v>
      </c>
      <c r="E639" s="1">
        <v>45349</v>
      </c>
      <c r="F639" s="1">
        <v>45351</v>
      </c>
      <c r="G639">
        <v>39.67</v>
      </c>
      <c r="H6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9" t="str">
        <f>IFERROR(INDEX(Raw_orders!G:G, MATCH(shipments[[#This Row],[order_id]],Raw_orders!A:A, 0)), "Unknown")</f>
        <v>Nordics</v>
      </c>
      <c r="J639" t="str">
        <f>PROPER(shipments[[#This Row],[delivery_status]])</f>
        <v>Delivered</v>
      </c>
      <c r="K639" t="s">
        <v>6929</v>
      </c>
    </row>
    <row r="640" spans="1:11">
      <c r="A640" t="s">
        <v>7576</v>
      </c>
      <c r="B640" t="s">
        <v>1516</v>
      </c>
      <c r="C640" t="s">
        <v>6938</v>
      </c>
      <c r="D640" s="1">
        <v>44983</v>
      </c>
      <c r="E640" s="1">
        <v>44988</v>
      </c>
      <c r="F640" s="1">
        <v>44988</v>
      </c>
      <c r="G640">
        <v>28.17</v>
      </c>
      <c r="H6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40" t="str">
        <f>IFERROR(INDEX(Raw_orders!G:G, MATCH(shipments[[#This Row],[order_id]],Raw_orders!A:A, 0)), "Unknown")</f>
        <v>Central Europe</v>
      </c>
      <c r="J640" t="str">
        <f>PROPER(shipments[[#This Row],[delivery_status]])</f>
        <v>Delivered</v>
      </c>
      <c r="K640" t="s">
        <v>6922</v>
      </c>
    </row>
    <row r="641" spans="1:11">
      <c r="A641" t="s">
        <v>7577</v>
      </c>
      <c r="B641" t="s">
        <v>1517</v>
      </c>
      <c r="C641" t="s">
        <v>6938</v>
      </c>
      <c r="D641" s="1">
        <v>45201</v>
      </c>
      <c r="E641" s="1">
        <v>45204</v>
      </c>
      <c r="F641" s="1">
        <v>45204</v>
      </c>
      <c r="G641">
        <v>50.32</v>
      </c>
      <c r="H6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41" t="str">
        <f>IFERROR(INDEX(Raw_orders!G:G, MATCH(shipments[[#This Row],[order_id]],Raw_orders!A:A, 0)), "Unknown")</f>
        <v>Nordics</v>
      </c>
      <c r="J641" t="str">
        <f>PROPER(shipments[[#This Row],[delivery_status]])</f>
        <v>Delivered</v>
      </c>
      <c r="K641" t="s">
        <v>6926</v>
      </c>
    </row>
    <row r="642" spans="1:11">
      <c r="A642" t="s">
        <v>7578</v>
      </c>
      <c r="B642" t="s">
        <v>1518</v>
      </c>
      <c r="C642" t="s">
        <v>6938</v>
      </c>
      <c r="D642" s="1">
        <v>45389</v>
      </c>
      <c r="E642" s="1">
        <v>45399</v>
      </c>
      <c r="F642" s="1">
        <v>45401</v>
      </c>
      <c r="G642">
        <v>6.56</v>
      </c>
      <c r="H6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42" t="str">
        <f>IFERROR(INDEX(Raw_orders!G:G, MATCH(shipments[[#This Row],[order_id]],Raw_orders!A:A, 0)), "Unknown")</f>
        <v>Baltics</v>
      </c>
      <c r="J642" t="str">
        <f>PROPER(shipments[[#This Row],[delivery_status]])</f>
        <v>Delivered</v>
      </c>
      <c r="K642" t="s">
        <v>6926</v>
      </c>
    </row>
    <row r="643" spans="1:11">
      <c r="A643" t="s">
        <v>7579</v>
      </c>
      <c r="B643" t="s">
        <v>1519</v>
      </c>
      <c r="C643" t="s">
        <v>6935</v>
      </c>
      <c r="D643" s="1">
        <v>45241</v>
      </c>
      <c r="E643" s="1">
        <v>45248</v>
      </c>
      <c r="F643" s="1">
        <v>45248</v>
      </c>
      <c r="G643">
        <v>33.409999999999997</v>
      </c>
      <c r="H6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43" t="str">
        <f>IFERROR(INDEX(Raw_orders!G:G, MATCH(shipments[[#This Row],[order_id]],Raw_orders!A:A, 0)), "Unknown")</f>
        <v>Baltics</v>
      </c>
      <c r="J643" t="str">
        <f>PROPER(shipments[[#This Row],[delivery_status]])</f>
        <v>Delivered</v>
      </c>
      <c r="K643" t="s">
        <v>6922</v>
      </c>
    </row>
    <row r="644" spans="1:11">
      <c r="A644" t="s">
        <v>7580</v>
      </c>
      <c r="B644" t="s">
        <v>1520</v>
      </c>
      <c r="C644" t="s">
        <v>6940</v>
      </c>
      <c r="D644" s="1">
        <v>45471</v>
      </c>
      <c r="E644" s="1">
        <v>45474</v>
      </c>
      <c r="F644" s="1">
        <v>45482</v>
      </c>
      <c r="G644">
        <v>48.05</v>
      </c>
      <c r="H6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44" t="str">
        <f>IFERROR(INDEX(Raw_orders!G:G, MATCH(shipments[[#This Row],[order_id]],Raw_orders!A:A, 0)), "Unknown")</f>
        <v>Nordics</v>
      </c>
      <c r="J644" t="str">
        <f>PROPER(shipments[[#This Row],[delivery_status]])</f>
        <v>Delivered</v>
      </c>
      <c r="K644" t="s">
        <v>6922</v>
      </c>
    </row>
    <row r="645" spans="1:11">
      <c r="A645" t="s">
        <v>7581</v>
      </c>
      <c r="B645" t="s">
        <v>1521</v>
      </c>
      <c r="C645" t="s">
        <v>6928</v>
      </c>
      <c r="D645" s="1">
        <v>45441</v>
      </c>
      <c r="E645" s="1">
        <v>45444</v>
      </c>
      <c r="F645" s="1">
        <v>45444</v>
      </c>
      <c r="G645">
        <v>12.84</v>
      </c>
      <c r="H6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45" t="str">
        <f>IFERROR(INDEX(Raw_orders!G:G, MATCH(shipments[[#This Row],[order_id]],Raw_orders!A:A, 0)), "Unknown")</f>
        <v>Baltics</v>
      </c>
      <c r="J645" t="str">
        <f>PROPER(shipments[[#This Row],[delivery_status]])</f>
        <v>Delivered</v>
      </c>
      <c r="K645" t="s">
        <v>6922</v>
      </c>
    </row>
    <row r="646" spans="1:11">
      <c r="A646" t="s">
        <v>7582</v>
      </c>
      <c r="B646" t="s">
        <v>1522</v>
      </c>
      <c r="C646" t="s">
        <v>6956</v>
      </c>
      <c r="D646" s="1">
        <v>45323</v>
      </c>
      <c r="E646" s="1">
        <v>45328</v>
      </c>
      <c r="F646" s="1">
        <v>45328</v>
      </c>
      <c r="G646">
        <v>31.2</v>
      </c>
      <c r="H6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46" t="str">
        <f>IFERROR(INDEX(Raw_orders!G:G, MATCH(shipments[[#This Row],[order_id]],Raw_orders!A:A, 0)), "Unknown")</f>
        <v>Baltics</v>
      </c>
      <c r="J646" t="str">
        <f>PROPER(shipments[[#This Row],[delivery_status]])</f>
        <v>Delivered</v>
      </c>
      <c r="K646" t="s">
        <v>6929</v>
      </c>
    </row>
    <row r="647" spans="1:11">
      <c r="A647" t="s">
        <v>7583</v>
      </c>
      <c r="B647" t="s">
        <v>1523</v>
      </c>
      <c r="C647" t="s">
        <v>6940</v>
      </c>
      <c r="D647" s="1">
        <v>45045</v>
      </c>
      <c r="E647" s="1">
        <v>45052</v>
      </c>
      <c r="F647" s="1">
        <v>45054</v>
      </c>
      <c r="G647">
        <v>26.87</v>
      </c>
      <c r="H6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47" t="str">
        <f>IFERROR(INDEX(Raw_orders!G:G, MATCH(shipments[[#This Row],[order_id]],Raw_orders!A:A, 0)), "Unknown")</f>
        <v>Central Europe</v>
      </c>
      <c r="J647" t="str">
        <f>PROPER(shipments[[#This Row],[delivery_status]])</f>
        <v>Delivered</v>
      </c>
      <c r="K647" t="s">
        <v>6926</v>
      </c>
    </row>
    <row r="648" spans="1:11">
      <c r="A648" t="s">
        <v>7584</v>
      </c>
      <c r="B648" t="s">
        <v>1524</v>
      </c>
      <c r="C648" t="s">
        <v>6949</v>
      </c>
      <c r="D648" s="1">
        <v>45489</v>
      </c>
      <c r="E648" s="1">
        <v>45496</v>
      </c>
      <c r="F648" s="1">
        <v>45498</v>
      </c>
      <c r="G648">
        <v>60.37</v>
      </c>
      <c r="H6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48" t="str">
        <f>IFERROR(INDEX(Raw_orders!G:G, MATCH(shipments[[#This Row],[order_id]],Raw_orders!A:A, 0)), "Unknown")</f>
        <v>Nordics</v>
      </c>
      <c r="J648" t="str">
        <f>PROPER(shipments[[#This Row],[delivery_status]])</f>
        <v>Delivered</v>
      </c>
      <c r="K648" t="s">
        <v>6926</v>
      </c>
    </row>
    <row r="649" spans="1:11">
      <c r="A649" t="s">
        <v>7585</v>
      </c>
      <c r="B649" t="s">
        <v>1525</v>
      </c>
      <c r="C649" t="s">
        <v>6940</v>
      </c>
      <c r="D649" s="1">
        <v>45154</v>
      </c>
      <c r="E649" s="1">
        <v>45161</v>
      </c>
      <c r="F649" s="1">
        <v>45161</v>
      </c>
      <c r="G649">
        <v>61.33</v>
      </c>
      <c r="H6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49" t="str">
        <f>IFERROR(INDEX(Raw_orders!G:G, MATCH(shipments[[#This Row],[order_id]],Raw_orders!A:A, 0)), "Unknown")</f>
        <v>Baltics</v>
      </c>
      <c r="J649" t="str">
        <f>PROPER(shipments[[#This Row],[delivery_status]])</f>
        <v>Delivered</v>
      </c>
      <c r="K649" t="s">
        <v>6929</v>
      </c>
    </row>
    <row r="650" spans="1:11">
      <c r="A650" t="s">
        <v>7586</v>
      </c>
      <c r="B650" t="s">
        <v>1526</v>
      </c>
      <c r="C650" t="s">
        <v>6940</v>
      </c>
      <c r="D650" s="1">
        <v>45038</v>
      </c>
      <c r="E650" s="1">
        <v>45048</v>
      </c>
      <c r="F650" s="1"/>
      <c r="G650">
        <v>29.5</v>
      </c>
      <c r="H6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650" t="str">
        <f>IFERROR(INDEX(Raw_orders!G:G, MATCH(shipments[[#This Row],[order_id]],Raw_orders!A:A, 0)), "Unknown")</f>
        <v>Central Europe</v>
      </c>
      <c r="J650" t="str">
        <f>PROPER(shipments[[#This Row],[delivery_status]])</f>
        <v>Cancelled</v>
      </c>
      <c r="K650" t="s">
        <v>6972</v>
      </c>
    </row>
    <row r="651" spans="1:11">
      <c r="A651" t="s">
        <v>7587</v>
      </c>
      <c r="B651" t="s">
        <v>1527</v>
      </c>
      <c r="C651" t="s">
        <v>6928</v>
      </c>
      <c r="D651" s="1">
        <v>45434</v>
      </c>
      <c r="E651" s="1">
        <v>45436</v>
      </c>
      <c r="F651" s="1">
        <v>45438</v>
      </c>
      <c r="G651">
        <v>45.46</v>
      </c>
      <c r="H6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51" t="str">
        <f>IFERROR(INDEX(Raw_orders!G:G, MATCH(shipments[[#This Row],[order_id]],Raw_orders!A:A, 0)), "Unknown")</f>
        <v>Baltics</v>
      </c>
      <c r="J651" t="str">
        <f>PROPER(shipments[[#This Row],[delivery_status]])</f>
        <v>Delivered</v>
      </c>
      <c r="K651" t="s">
        <v>6922</v>
      </c>
    </row>
    <row r="652" spans="1:11">
      <c r="A652" t="s">
        <v>7588</v>
      </c>
      <c r="B652" t="s">
        <v>1528</v>
      </c>
      <c r="C652" t="s">
        <v>6935</v>
      </c>
      <c r="D652" s="1">
        <v>45078</v>
      </c>
      <c r="E652" s="1">
        <v>45085</v>
      </c>
      <c r="F652" s="1">
        <v>45087</v>
      </c>
      <c r="G652">
        <v>19.55</v>
      </c>
      <c r="H6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52" t="str">
        <f>IFERROR(INDEX(Raw_orders!G:G, MATCH(shipments[[#This Row],[order_id]],Raw_orders!A:A, 0)), "Unknown")</f>
        <v>Nordics</v>
      </c>
      <c r="J652" t="str">
        <f>PROPER(shipments[[#This Row],[delivery_status]])</f>
        <v>Delivered</v>
      </c>
      <c r="K652" t="s">
        <v>6922</v>
      </c>
    </row>
    <row r="653" spans="1:11">
      <c r="A653" t="s">
        <v>7589</v>
      </c>
      <c r="B653" t="s">
        <v>1529</v>
      </c>
      <c r="C653" t="s">
        <v>6921</v>
      </c>
      <c r="D653" s="1">
        <v>45590</v>
      </c>
      <c r="E653" s="1">
        <v>45593</v>
      </c>
      <c r="F653" s="1">
        <v>45594</v>
      </c>
      <c r="G653">
        <v>54.06</v>
      </c>
      <c r="H6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53" t="str">
        <f>IFERROR(INDEX(Raw_orders!G:G, MATCH(shipments[[#This Row],[order_id]],Raw_orders!A:A, 0)), "Unknown")</f>
        <v>Nordics</v>
      </c>
      <c r="J653" t="str">
        <f>PROPER(shipments[[#This Row],[delivery_status]])</f>
        <v>Delivered</v>
      </c>
      <c r="K653" t="s">
        <v>6926</v>
      </c>
    </row>
    <row r="654" spans="1:11">
      <c r="A654" t="s">
        <v>7590</v>
      </c>
      <c r="B654" t="s">
        <v>1530</v>
      </c>
      <c r="C654" t="s">
        <v>6928</v>
      </c>
      <c r="D654" s="1">
        <v>45332</v>
      </c>
      <c r="E654" s="1">
        <v>45334</v>
      </c>
      <c r="F654" s="1"/>
      <c r="G654">
        <v>43.49</v>
      </c>
      <c r="H6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54" t="str">
        <f>IFERROR(INDEX(Raw_orders!G:G, MATCH(shipments[[#This Row],[order_id]],Raw_orders!A:A, 0)), "Unknown")</f>
        <v>Central Europe</v>
      </c>
      <c r="J654" t="str">
        <f>PROPER(shipments[[#This Row],[delivery_status]])</f>
        <v>In Transit</v>
      </c>
      <c r="K654" t="s">
        <v>6946</v>
      </c>
    </row>
    <row r="655" spans="1:11">
      <c r="A655" t="s">
        <v>7591</v>
      </c>
      <c r="B655" t="s">
        <v>1531</v>
      </c>
      <c r="C655" t="s">
        <v>6921</v>
      </c>
      <c r="D655" s="1">
        <v>45015</v>
      </c>
      <c r="E655" s="1">
        <v>45025</v>
      </c>
      <c r="F655" s="1"/>
      <c r="G655">
        <v>58.88</v>
      </c>
      <c r="H6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655" t="str">
        <f>IFERROR(INDEX(Raw_orders!G:G, MATCH(shipments[[#This Row],[order_id]],Raw_orders!A:A, 0)), "Unknown")</f>
        <v>Baltics</v>
      </c>
      <c r="J655" t="str">
        <f>PROPER(shipments[[#This Row],[delivery_status]])</f>
        <v>Cancelled</v>
      </c>
      <c r="K655" t="s">
        <v>6963</v>
      </c>
    </row>
    <row r="656" spans="1:11">
      <c r="A656" t="s">
        <v>7592</v>
      </c>
      <c r="B656" t="s">
        <v>1532</v>
      </c>
      <c r="C656" t="s">
        <v>6928</v>
      </c>
      <c r="D656" s="1">
        <v>45236</v>
      </c>
      <c r="E656" s="1">
        <v>45241</v>
      </c>
      <c r="F656" s="1">
        <v>45243</v>
      </c>
      <c r="G656">
        <v>51.82</v>
      </c>
      <c r="H6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56" t="str">
        <f>IFERROR(INDEX(Raw_orders!G:G, MATCH(shipments[[#This Row],[order_id]],Raw_orders!A:A, 0)), "Unknown")</f>
        <v>Nordics</v>
      </c>
      <c r="J656" t="str">
        <f>PROPER(shipments[[#This Row],[delivery_status]])</f>
        <v>Delivered</v>
      </c>
      <c r="K656" t="s">
        <v>6926</v>
      </c>
    </row>
    <row r="657" spans="1:11">
      <c r="A657" t="s">
        <v>7593</v>
      </c>
      <c r="B657" t="s">
        <v>1532</v>
      </c>
      <c r="C657" t="s">
        <v>6956</v>
      </c>
      <c r="D657" s="1">
        <v>45233</v>
      </c>
      <c r="E657" s="1">
        <v>45243</v>
      </c>
      <c r="F657" s="1">
        <v>45248</v>
      </c>
      <c r="G657">
        <v>18.48</v>
      </c>
      <c r="H6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57" t="str">
        <f>IFERROR(INDEX(Raw_orders!G:G, MATCH(shipments[[#This Row],[order_id]],Raw_orders!A:A, 0)), "Unknown")</f>
        <v>Nordics</v>
      </c>
      <c r="J657" t="str">
        <f>PROPER(shipments[[#This Row],[delivery_status]])</f>
        <v>Delivered</v>
      </c>
      <c r="K657" t="s">
        <v>6929</v>
      </c>
    </row>
    <row r="658" spans="1:11">
      <c r="A658" t="s">
        <v>7594</v>
      </c>
      <c r="B658" t="s">
        <v>1533</v>
      </c>
      <c r="C658" t="s">
        <v>6928</v>
      </c>
      <c r="D658" s="1">
        <v>45427</v>
      </c>
      <c r="E658" s="1">
        <v>45437</v>
      </c>
      <c r="F658" s="1">
        <v>45451</v>
      </c>
      <c r="G658">
        <v>14.65</v>
      </c>
      <c r="H6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58" t="str">
        <f>IFERROR(INDEX(Raw_orders!G:G, MATCH(shipments[[#This Row],[order_id]],Raw_orders!A:A, 0)), "Unknown")</f>
        <v>Nordics</v>
      </c>
      <c r="J658" t="str">
        <f>PROPER(shipments[[#This Row],[delivery_status]])</f>
        <v>Delivered</v>
      </c>
      <c r="K658" t="s">
        <v>6929</v>
      </c>
    </row>
    <row r="659" spans="1:11">
      <c r="A659" t="s">
        <v>7595</v>
      </c>
      <c r="B659" t="s">
        <v>1534</v>
      </c>
      <c r="C659" t="s">
        <v>6949</v>
      </c>
      <c r="D659" s="1">
        <v>45021</v>
      </c>
      <c r="E659" s="1">
        <v>45028</v>
      </c>
      <c r="F659" s="1">
        <v>45027</v>
      </c>
      <c r="G659">
        <v>41.84</v>
      </c>
      <c r="H6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59" t="str">
        <f>IFERROR(INDEX(Raw_orders!G:G, MATCH(shipments[[#This Row],[order_id]],Raw_orders!A:A, 0)), "Unknown")</f>
        <v>Nordics</v>
      </c>
      <c r="J659" t="str">
        <f>PROPER(shipments[[#This Row],[delivery_status]])</f>
        <v>Delivered</v>
      </c>
      <c r="K659" t="s">
        <v>6926</v>
      </c>
    </row>
    <row r="660" spans="1:11">
      <c r="A660" t="s">
        <v>7596</v>
      </c>
      <c r="B660" t="s">
        <v>1535</v>
      </c>
      <c r="C660" t="s">
        <v>6935</v>
      </c>
      <c r="D660" s="1">
        <v>45171</v>
      </c>
      <c r="E660" s="1">
        <v>45173</v>
      </c>
      <c r="F660" s="1">
        <v>45178</v>
      </c>
      <c r="G660">
        <v>31.78</v>
      </c>
      <c r="H6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60" t="str">
        <f>IFERROR(INDEX(Raw_orders!G:G, MATCH(shipments[[#This Row],[order_id]],Raw_orders!A:A, 0)), "Unknown")</f>
        <v>Nordics</v>
      </c>
      <c r="J660" t="str">
        <f>PROPER(shipments[[#This Row],[delivery_status]])</f>
        <v>Delivered</v>
      </c>
      <c r="K660" t="s">
        <v>6926</v>
      </c>
    </row>
    <row r="661" spans="1:11">
      <c r="A661" t="s">
        <v>7597</v>
      </c>
      <c r="B661" t="s">
        <v>1536</v>
      </c>
      <c r="C661" t="s">
        <v>6931</v>
      </c>
      <c r="D661" s="1">
        <v>45456</v>
      </c>
      <c r="E661" s="1">
        <v>45466</v>
      </c>
      <c r="F661" s="1">
        <v>45466</v>
      </c>
      <c r="G661">
        <v>57.01</v>
      </c>
      <c r="H6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61" t="str">
        <f>IFERROR(INDEX(Raw_orders!G:G, MATCH(shipments[[#This Row],[order_id]],Raw_orders!A:A, 0)), "Unknown")</f>
        <v>Central Europe</v>
      </c>
      <c r="J661" t="str">
        <f>PROPER(shipments[[#This Row],[delivery_status]])</f>
        <v>Delivered</v>
      </c>
      <c r="K661" t="s">
        <v>6926</v>
      </c>
    </row>
    <row r="662" spans="1:11">
      <c r="A662" t="s">
        <v>7598</v>
      </c>
      <c r="B662" t="s">
        <v>1537</v>
      </c>
      <c r="C662" t="s">
        <v>6956</v>
      </c>
      <c r="D662" s="1">
        <v>45442</v>
      </c>
      <c r="E662" s="1">
        <v>45444</v>
      </c>
      <c r="F662" s="1">
        <v>45447</v>
      </c>
      <c r="H6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62" t="str">
        <f>IFERROR(INDEX(Raw_orders!G:G, MATCH(shipments[[#This Row],[order_id]],Raw_orders!A:A, 0)), "Unknown")</f>
        <v>Central Europe</v>
      </c>
      <c r="J662" t="str">
        <f>PROPER(shipments[[#This Row],[delivery_status]])</f>
        <v>Delivered</v>
      </c>
      <c r="K662" t="s">
        <v>6926</v>
      </c>
    </row>
    <row r="663" spans="1:11">
      <c r="A663" t="s">
        <v>7599</v>
      </c>
      <c r="B663" t="s">
        <v>1538</v>
      </c>
      <c r="C663" t="s">
        <v>6938</v>
      </c>
      <c r="D663" s="1">
        <v>44970</v>
      </c>
      <c r="E663" s="1">
        <v>44972</v>
      </c>
      <c r="F663" s="1">
        <v>44981</v>
      </c>
      <c r="G663">
        <v>61.26</v>
      </c>
      <c r="H6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63" t="str">
        <f>IFERROR(INDEX(Raw_orders!G:G, MATCH(shipments[[#This Row],[order_id]],Raw_orders!A:A, 0)), "Unknown")</f>
        <v>Nordics</v>
      </c>
      <c r="J663" t="str">
        <f>PROPER(shipments[[#This Row],[delivery_status]])</f>
        <v>Delivered</v>
      </c>
      <c r="K663" t="s">
        <v>6922</v>
      </c>
    </row>
    <row r="664" spans="1:11">
      <c r="A664" t="s">
        <v>7600</v>
      </c>
      <c r="B664" t="s">
        <v>1539</v>
      </c>
      <c r="C664" t="s">
        <v>6925</v>
      </c>
      <c r="D664" s="1">
        <v>45151</v>
      </c>
      <c r="E664" s="1">
        <v>45153</v>
      </c>
      <c r="F664" s="1">
        <v>45152</v>
      </c>
      <c r="G664">
        <v>37.42</v>
      </c>
      <c r="H6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64" t="str">
        <f>IFERROR(INDEX(Raw_orders!G:G, MATCH(shipments[[#This Row],[order_id]],Raw_orders!A:A, 0)), "Unknown")</f>
        <v>Nordics</v>
      </c>
      <c r="J664" t="str">
        <f>PROPER(shipments[[#This Row],[delivery_status]])</f>
        <v>Delivered</v>
      </c>
      <c r="K664" t="s">
        <v>6929</v>
      </c>
    </row>
    <row r="665" spans="1:11">
      <c r="A665" t="s">
        <v>7601</v>
      </c>
      <c r="B665" t="s">
        <v>1540</v>
      </c>
      <c r="C665" t="s">
        <v>6938</v>
      </c>
      <c r="D665" s="1">
        <v>45058</v>
      </c>
      <c r="E665" s="1">
        <v>45068</v>
      </c>
      <c r="F665" s="1">
        <v>45075</v>
      </c>
      <c r="G665">
        <v>23.42</v>
      </c>
      <c r="H6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65" t="str">
        <f>IFERROR(INDEX(Raw_orders!G:G, MATCH(shipments[[#This Row],[order_id]],Raw_orders!A:A, 0)), "Unknown")</f>
        <v>Nordics</v>
      </c>
      <c r="J665" t="str">
        <f>PROPER(shipments[[#This Row],[delivery_status]])</f>
        <v>Delivered</v>
      </c>
      <c r="K665" t="s">
        <v>6922</v>
      </c>
    </row>
    <row r="666" spans="1:11">
      <c r="A666" t="s">
        <v>7602</v>
      </c>
      <c r="B666" t="s">
        <v>1541</v>
      </c>
      <c r="C666" t="s">
        <v>6935</v>
      </c>
      <c r="D666" s="1">
        <v>45048</v>
      </c>
      <c r="E666" s="1">
        <v>45055</v>
      </c>
      <c r="F666" s="1">
        <v>45055</v>
      </c>
      <c r="G666">
        <v>45.42</v>
      </c>
      <c r="H6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66" t="str">
        <f>IFERROR(INDEX(Raw_orders!G:G, MATCH(shipments[[#This Row],[order_id]],Raw_orders!A:A, 0)), "Unknown")</f>
        <v>Baltics</v>
      </c>
      <c r="J666" t="str">
        <f>PROPER(shipments[[#This Row],[delivery_status]])</f>
        <v>Delivered</v>
      </c>
      <c r="K666" t="s">
        <v>6922</v>
      </c>
    </row>
    <row r="667" spans="1:11">
      <c r="A667" t="s">
        <v>7603</v>
      </c>
      <c r="B667" t="s">
        <v>1542</v>
      </c>
      <c r="C667" t="s">
        <v>6940</v>
      </c>
      <c r="D667" s="1">
        <v>45281</v>
      </c>
      <c r="E667" s="1">
        <v>45283</v>
      </c>
      <c r="F667" s="1">
        <v>45290</v>
      </c>
      <c r="G667">
        <v>57</v>
      </c>
      <c r="H6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67" t="str">
        <f>IFERROR(INDEX(Raw_orders!G:G, MATCH(shipments[[#This Row],[order_id]],Raw_orders!A:A, 0)), "Unknown")</f>
        <v>Central Europe</v>
      </c>
      <c r="J667" t="str">
        <f>PROPER(shipments[[#This Row],[delivery_status]])</f>
        <v>Delivered</v>
      </c>
      <c r="K667" t="s">
        <v>6922</v>
      </c>
    </row>
    <row r="668" spans="1:11">
      <c r="A668" t="s">
        <v>7604</v>
      </c>
      <c r="B668" t="s">
        <v>1543</v>
      </c>
      <c r="C668" t="s">
        <v>6935</v>
      </c>
      <c r="D668" s="1">
        <v>44944</v>
      </c>
      <c r="E668" s="1">
        <v>44951</v>
      </c>
      <c r="F668" s="1">
        <v>44959</v>
      </c>
      <c r="G668">
        <v>37.39</v>
      </c>
      <c r="H6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68" t="str">
        <f>IFERROR(INDEX(Raw_orders!G:G, MATCH(shipments[[#This Row],[order_id]],Raw_orders!A:A, 0)), "Unknown")</f>
        <v>Central Europe</v>
      </c>
      <c r="J668" t="str">
        <f>PROPER(shipments[[#This Row],[delivery_status]])</f>
        <v>Delivered</v>
      </c>
      <c r="K668" t="s">
        <v>6922</v>
      </c>
    </row>
    <row r="669" spans="1:11">
      <c r="A669" t="s">
        <v>7605</v>
      </c>
      <c r="B669" t="s">
        <v>1544</v>
      </c>
      <c r="C669" t="s">
        <v>6925</v>
      </c>
      <c r="D669" s="1">
        <v>45495</v>
      </c>
      <c r="E669" s="1">
        <v>45505</v>
      </c>
      <c r="F669" s="1">
        <v>45505</v>
      </c>
      <c r="G669">
        <v>7.48</v>
      </c>
      <c r="H6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69" t="str">
        <f>IFERROR(INDEX(Raw_orders!G:G, MATCH(shipments[[#This Row],[order_id]],Raw_orders!A:A, 0)), "Unknown")</f>
        <v>Central Europe</v>
      </c>
      <c r="J669" t="str">
        <f>PROPER(shipments[[#This Row],[delivery_status]])</f>
        <v>Delivered</v>
      </c>
      <c r="K669" t="s">
        <v>6926</v>
      </c>
    </row>
    <row r="670" spans="1:11">
      <c r="A670" t="s">
        <v>7606</v>
      </c>
      <c r="B670" t="s">
        <v>1545</v>
      </c>
      <c r="C670" t="s">
        <v>6931</v>
      </c>
      <c r="D670" s="1">
        <v>45352</v>
      </c>
      <c r="E670" s="1">
        <v>45362</v>
      </c>
      <c r="F670" s="1">
        <v>45367</v>
      </c>
      <c r="G670">
        <v>15.32</v>
      </c>
      <c r="H6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70" t="str">
        <f>IFERROR(INDEX(Raw_orders!G:G, MATCH(shipments[[#This Row],[order_id]],Raw_orders!A:A, 0)), "Unknown")</f>
        <v>Baltics</v>
      </c>
      <c r="J670" t="str">
        <f>PROPER(shipments[[#This Row],[delivery_status]])</f>
        <v>Delivered</v>
      </c>
      <c r="K670" t="s">
        <v>6929</v>
      </c>
    </row>
    <row r="671" spans="1:11">
      <c r="A671" t="s">
        <v>7607</v>
      </c>
      <c r="B671" t="s">
        <v>1546</v>
      </c>
      <c r="C671" t="s">
        <v>6956</v>
      </c>
      <c r="D671" s="1">
        <v>45169</v>
      </c>
      <c r="E671" s="1">
        <v>45174</v>
      </c>
      <c r="F671" s="1">
        <v>45174</v>
      </c>
      <c r="G671">
        <v>15.18</v>
      </c>
      <c r="H6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71" t="str">
        <f>IFERROR(INDEX(Raw_orders!G:G, MATCH(shipments[[#This Row],[order_id]],Raw_orders!A:A, 0)), "Unknown")</f>
        <v>Baltics</v>
      </c>
      <c r="J671" t="str">
        <f>PROPER(shipments[[#This Row],[delivery_status]])</f>
        <v>Delivered</v>
      </c>
      <c r="K671" t="s">
        <v>6929</v>
      </c>
    </row>
    <row r="672" spans="1:11">
      <c r="A672" t="s">
        <v>7608</v>
      </c>
      <c r="B672" t="s">
        <v>1547</v>
      </c>
      <c r="C672" t="s">
        <v>6956</v>
      </c>
      <c r="D672" s="1">
        <v>45626</v>
      </c>
      <c r="E672" s="1">
        <v>45628</v>
      </c>
      <c r="F672" s="1">
        <v>45628</v>
      </c>
      <c r="G672">
        <v>24.03</v>
      </c>
      <c r="H6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72" t="str">
        <f>IFERROR(INDEX(Raw_orders!G:G, MATCH(shipments[[#This Row],[order_id]],Raw_orders!A:A, 0)), "Unknown")</f>
        <v>Central Europe</v>
      </c>
      <c r="J672" t="str">
        <f>PROPER(shipments[[#This Row],[delivery_status]])</f>
        <v>Delivered</v>
      </c>
      <c r="K672" t="s">
        <v>6926</v>
      </c>
    </row>
    <row r="673" spans="1:11">
      <c r="A673" t="s">
        <v>7609</v>
      </c>
      <c r="B673" t="s">
        <v>1548</v>
      </c>
      <c r="C673" t="s">
        <v>6938</v>
      </c>
      <c r="D673" s="1">
        <v>45199</v>
      </c>
      <c r="E673" s="1">
        <v>45206</v>
      </c>
      <c r="F673" s="1">
        <v>45205</v>
      </c>
      <c r="G673">
        <v>36.619999999999997</v>
      </c>
      <c r="H6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73" t="str">
        <f>IFERROR(INDEX(Raw_orders!G:G, MATCH(shipments[[#This Row],[order_id]],Raw_orders!A:A, 0)), "Unknown")</f>
        <v>Central Europe</v>
      </c>
      <c r="J673" t="str">
        <f>PROPER(shipments[[#This Row],[delivery_status]])</f>
        <v>Delivered</v>
      </c>
      <c r="K673" t="s">
        <v>6922</v>
      </c>
    </row>
    <row r="674" spans="1:11">
      <c r="A674" t="s">
        <v>7610</v>
      </c>
      <c r="B674" t="s">
        <v>1549</v>
      </c>
      <c r="C674" t="s">
        <v>6928</v>
      </c>
      <c r="D674" s="1">
        <v>45601</v>
      </c>
      <c r="E674" s="1">
        <v>45611</v>
      </c>
      <c r="F674" s="1">
        <v>45616</v>
      </c>
      <c r="G674">
        <v>26.09</v>
      </c>
      <c r="H6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74" t="str">
        <f>IFERROR(INDEX(Raw_orders!G:G, MATCH(shipments[[#This Row],[order_id]],Raw_orders!A:A, 0)), "Unknown")</f>
        <v>Central Europe</v>
      </c>
      <c r="J674" t="str">
        <f>PROPER(shipments[[#This Row],[delivery_status]])</f>
        <v>Delivered</v>
      </c>
      <c r="K674" t="s">
        <v>6926</v>
      </c>
    </row>
    <row r="675" spans="1:11">
      <c r="A675" t="s">
        <v>7611</v>
      </c>
      <c r="B675" t="s">
        <v>1550</v>
      </c>
      <c r="C675" t="s">
        <v>6921</v>
      </c>
      <c r="D675" s="1">
        <v>45437</v>
      </c>
      <c r="E675" s="1">
        <v>45440</v>
      </c>
      <c r="F675" s="1"/>
      <c r="G675">
        <v>28.58</v>
      </c>
      <c r="H6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75" t="str">
        <f>IFERROR(INDEX(Raw_orders!G:G, MATCH(shipments[[#This Row],[order_id]],Raw_orders!A:A, 0)), "Unknown")</f>
        <v>Nordics</v>
      </c>
      <c r="J675" t="str">
        <f>PROPER(shipments[[#This Row],[delivery_status]])</f>
        <v>In Transit</v>
      </c>
      <c r="K675" t="s">
        <v>6977</v>
      </c>
    </row>
    <row r="676" spans="1:11">
      <c r="A676" t="s">
        <v>7612</v>
      </c>
      <c r="B676" t="s">
        <v>1551</v>
      </c>
      <c r="C676" t="s">
        <v>6940</v>
      </c>
      <c r="D676" s="1">
        <v>45523</v>
      </c>
      <c r="E676" s="1">
        <v>45526</v>
      </c>
      <c r="F676" s="1">
        <v>45529</v>
      </c>
      <c r="G676">
        <v>39.479999999999997</v>
      </c>
      <c r="H6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76" t="str">
        <f>IFERROR(INDEX(Raw_orders!G:G, MATCH(shipments[[#This Row],[order_id]],Raw_orders!A:A, 0)), "Unknown")</f>
        <v>Baltics</v>
      </c>
      <c r="J676" t="str">
        <f>PROPER(shipments[[#This Row],[delivery_status]])</f>
        <v>Delivered</v>
      </c>
      <c r="K676" t="s">
        <v>6926</v>
      </c>
    </row>
    <row r="677" spans="1:11">
      <c r="A677" t="s">
        <v>7613</v>
      </c>
      <c r="B677" t="s">
        <v>1551</v>
      </c>
      <c r="C677" t="s">
        <v>6935</v>
      </c>
      <c r="D677" s="1">
        <v>45522</v>
      </c>
      <c r="E677" s="1">
        <v>45532</v>
      </c>
      <c r="F677" s="1">
        <v>45532</v>
      </c>
      <c r="G677">
        <v>21.13</v>
      </c>
      <c r="H6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77" t="str">
        <f>IFERROR(INDEX(Raw_orders!G:G, MATCH(shipments[[#This Row],[order_id]],Raw_orders!A:A, 0)), "Unknown")</f>
        <v>Baltics</v>
      </c>
      <c r="J677" t="str">
        <f>PROPER(shipments[[#This Row],[delivery_status]])</f>
        <v>Delivered</v>
      </c>
      <c r="K677" t="s">
        <v>6922</v>
      </c>
    </row>
    <row r="678" spans="1:11">
      <c r="A678" t="s">
        <v>7614</v>
      </c>
      <c r="B678" t="s">
        <v>1552</v>
      </c>
      <c r="C678" t="s">
        <v>6921</v>
      </c>
      <c r="D678" s="1">
        <v>45223</v>
      </c>
      <c r="E678" s="1">
        <v>45233</v>
      </c>
      <c r="F678" s="1"/>
      <c r="G678">
        <v>51.24</v>
      </c>
      <c r="H6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678" t="str">
        <f>IFERROR(INDEX(Raw_orders!G:G, MATCH(shipments[[#This Row],[order_id]],Raw_orders!A:A, 0)), "Unknown")</f>
        <v>Nordics</v>
      </c>
      <c r="J678" t="str">
        <f>PROPER(shipments[[#This Row],[delivery_status]])</f>
        <v>Cancelled</v>
      </c>
      <c r="K678" t="s">
        <v>6979</v>
      </c>
    </row>
    <row r="679" spans="1:11">
      <c r="A679" t="s">
        <v>7615</v>
      </c>
      <c r="B679" t="s">
        <v>1553</v>
      </c>
      <c r="C679" t="s">
        <v>6938</v>
      </c>
      <c r="D679" s="1">
        <v>45509</v>
      </c>
      <c r="E679" s="1">
        <v>45516</v>
      </c>
      <c r="F679" s="1">
        <v>45516</v>
      </c>
      <c r="G679">
        <v>51.68</v>
      </c>
      <c r="H6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79" t="str">
        <f>IFERROR(INDEX(Raw_orders!G:G, MATCH(shipments[[#This Row],[order_id]],Raw_orders!A:A, 0)), "Unknown")</f>
        <v>Central Europe</v>
      </c>
      <c r="J679" t="str">
        <f>PROPER(shipments[[#This Row],[delivery_status]])</f>
        <v>Delivered</v>
      </c>
      <c r="K679" t="s">
        <v>6929</v>
      </c>
    </row>
    <row r="680" spans="1:11">
      <c r="A680" t="s">
        <v>7616</v>
      </c>
      <c r="B680" t="s">
        <v>1554</v>
      </c>
      <c r="C680" t="s">
        <v>6935</v>
      </c>
      <c r="D680" s="1">
        <v>45210</v>
      </c>
      <c r="E680" s="1">
        <v>45220</v>
      </c>
      <c r="F680" s="1">
        <v>45222</v>
      </c>
      <c r="H6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80" t="str">
        <f>IFERROR(INDEX(Raw_orders!G:G, MATCH(shipments[[#This Row],[order_id]],Raw_orders!A:A, 0)), "Unknown")</f>
        <v>Nordics</v>
      </c>
      <c r="J680" t="str">
        <f>PROPER(shipments[[#This Row],[delivery_status]])</f>
        <v>Delivered</v>
      </c>
      <c r="K680" t="s">
        <v>6926</v>
      </c>
    </row>
    <row r="681" spans="1:11">
      <c r="A681" t="s">
        <v>7617</v>
      </c>
      <c r="B681" t="s">
        <v>1555</v>
      </c>
      <c r="C681" t="s">
        <v>6928</v>
      </c>
      <c r="D681" s="1">
        <v>45266</v>
      </c>
      <c r="E681" s="1">
        <v>45273</v>
      </c>
      <c r="F681" s="1">
        <v>45273</v>
      </c>
      <c r="G681">
        <v>34</v>
      </c>
      <c r="H6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81" t="str">
        <f>IFERROR(INDEX(Raw_orders!G:G, MATCH(shipments[[#This Row],[order_id]],Raw_orders!A:A, 0)), "Unknown")</f>
        <v>Nordics</v>
      </c>
      <c r="J681" t="str">
        <f>PROPER(shipments[[#This Row],[delivery_status]])</f>
        <v>Delivered</v>
      </c>
      <c r="K681" t="s">
        <v>6926</v>
      </c>
    </row>
    <row r="682" spans="1:11">
      <c r="A682" t="s">
        <v>7618</v>
      </c>
      <c r="B682" t="s">
        <v>1556</v>
      </c>
      <c r="C682" t="s">
        <v>6938</v>
      </c>
      <c r="D682" s="1">
        <v>45286</v>
      </c>
      <c r="E682" s="1">
        <v>45296</v>
      </c>
      <c r="F682" s="1">
        <v>45301</v>
      </c>
      <c r="G682">
        <v>22.09</v>
      </c>
      <c r="H6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82" t="str">
        <f>IFERROR(INDEX(Raw_orders!G:G, MATCH(shipments[[#This Row],[order_id]],Raw_orders!A:A, 0)), "Unknown")</f>
        <v>Baltics</v>
      </c>
      <c r="J682" t="str">
        <f>PROPER(shipments[[#This Row],[delivery_status]])</f>
        <v>Delivered</v>
      </c>
      <c r="K682" t="s">
        <v>6922</v>
      </c>
    </row>
    <row r="683" spans="1:11">
      <c r="A683" t="s">
        <v>7619</v>
      </c>
      <c r="B683" t="s">
        <v>1557</v>
      </c>
      <c r="C683" t="s">
        <v>6956</v>
      </c>
      <c r="D683" s="1">
        <v>45035</v>
      </c>
      <c r="E683" s="1">
        <v>45037</v>
      </c>
      <c r="F683" s="1"/>
      <c r="G683">
        <v>17.420000000000002</v>
      </c>
      <c r="H6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683" t="str">
        <f>IFERROR(INDEX(Raw_orders!G:G, MATCH(shipments[[#This Row],[order_id]],Raw_orders!A:A, 0)), "Unknown")</f>
        <v>Baltics</v>
      </c>
      <c r="J683" t="str">
        <f>PROPER(shipments[[#This Row],[delivery_status]])</f>
        <v>Cancelled</v>
      </c>
      <c r="K683" t="s">
        <v>6979</v>
      </c>
    </row>
    <row r="684" spans="1:11">
      <c r="A684" t="s">
        <v>7620</v>
      </c>
      <c r="B684" t="s">
        <v>1557</v>
      </c>
      <c r="C684" t="s">
        <v>6938</v>
      </c>
      <c r="D684" s="1">
        <v>45032</v>
      </c>
      <c r="E684" s="1">
        <v>45035</v>
      </c>
      <c r="F684" s="1">
        <v>45040</v>
      </c>
      <c r="G684">
        <v>41.21</v>
      </c>
      <c r="H6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84" t="str">
        <f>IFERROR(INDEX(Raw_orders!G:G, MATCH(shipments[[#This Row],[order_id]],Raw_orders!A:A, 0)), "Unknown")</f>
        <v>Baltics</v>
      </c>
      <c r="J684" t="str">
        <f>PROPER(shipments[[#This Row],[delivery_status]])</f>
        <v>Delivered</v>
      </c>
      <c r="K684" t="s">
        <v>6929</v>
      </c>
    </row>
    <row r="685" spans="1:11">
      <c r="A685" t="s">
        <v>7621</v>
      </c>
      <c r="B685" t="s">
        <v>1558</v>
      </c>
      <c r="C685" t="s">
        <v>6928</v>
      </c>
      <c r="D685" s="1">
        <v>45373</v>
      </c>
      <c r="E685" s="1">
        <v>45375</v>
      </c>
      <c r="F685" s="1">
        <v>45383</v>
      </c>
      <c r="G685">
        <v>11.89</v>
      </c>
      <c r="H6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85" t="str">
        <f>IFERROR(INDEX(Raw_orders!G:G, MATCH(shipments[[#This Row],[order_id]],Raw_orders!A:A, 0)), "Unknown")</f>
        <v>Baltics</v>
      </c>
      <c r="J685" t="str">
        <f>PROPER(shipments[[#This Row],[delivery_status]])</f>
        <v>Delivered</v>
      </c>
      <c r="K685" t="s">
        <v>6926</v>
      </c>
    </row>
    <row r="686" spans="1:11">
      <c r="A686" t="s">
        <v>7622</v>
      </c>
      <c r="B686" t="s">
        <v>1559</v>
      </c>
      <c r="C686" t="s">
        <v>6940</v>
      </c>
      <c r="D686" s="1">
        <v>45476</v>
      </c>
      <c r="E686" s="1">
        <v>45481</v>
      </c>
      <c r="F686" s="1">
        <v>45481</v>
      </c>
      <c r="G686">
        <v>48.7</v>
      </c>
      <c r="H6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86" t="str">
        <f>IFERROR(INDEX(Raw_orders!G:G, MATCH(shipments[[#This Row],[order_id]],Raw_orders!A:A, 0)), "Unknown")</f>
        <v>Nordics</v>
      </c>
      <c r="J686" t="str">
        <f>PROPER(shipments[[#This Row],[delivery_status]])</f>
        <v>Delivered</v>
      </c>
      <c r="K686" t="s">
        <v>6929</v>
      </c>
    </row>
    <row r="687" spans="1:11">
      <c r="A687" t="s">
        <v>7623</v>
      </c>
      <c r="B687" t="s">
        <v>1560</v>
      </c>
      <c r="C687" t="s">
        <v>6935</v>
      </c>
      <c r="D687" s="1">
        <v>45248</v>
      </c>
      <c r="E687" s="1">
        <v>45253</v>
      </c>
      <c r="F687" s="1">
        <v>45253</v>
      </c>
      <c r="G687">
        <v>9.6300000000000008</v>
      </c>
      <c r="H6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87" t="str">
        <f>IFERROR(INDEX(Raw_orders!G:G, MATCH(shipments[[#This Row],[order_id]],Raw_orders!A:A, 0)), "Unknown")</f>
        <v>Central Europe</v>
      </c>
      <c r="J687" t="str">
        <f>PROPER(shipments[[#This Row],[delivery_status]])</f>
        <v>Delivered</v>
      </c>
      <c r="K687" t="s">
        <v>6926</v>
      </c>
    </row>
    <row r="688" spans="1:11">
      <c r="A688" t="s">
        <v>7624</v>
      </c>
      <c r="B688" t="s">
        <v>1561</v>
      </c>
      <c r="C688" t="s">
        <v>6921</v>
      </c>
      <c r="D688" s="1">
        <v>45539</v>
      </c>
      <c r="E688" s="1">
        <v>45542</v>
      </c>
      <c r="F688" s="1">
        <v>45542</v>
      </c>
      <c r="G688">
        <v>19.18</v>
      </c>
      <c r="H6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88" t="str">
        <f>IFERROR(INDEX(Raw_orders!G:G, MATCH(shipments[[#This Row],[order_id]],Raw_orders!A:A, 0)), "Unknown")</f>
        <v>Nordics</v>
      </c>
      <c r="J688" t="str">
        <f>PROPER(shipments[[#This Row],[delivery_status]])</f>
        <v>Delivered</v>
      </c>
      <c r="K688" t="s">
        <v>6929</v>
      </c>
    </row>
    <row r="689" spans="1:11">
      <c r="A689" t="s">
        <v>7625</v>
      </c>
      <c r="B689" t="s">
        <v>1562</v>
      </c>
      <c r="C689" t="s">
        <v>6928</v>
      </c>
      <c r="D689" s="1">
        <v>45308</v>
      </c>
      <c r="E689" s="1">
        <v>45311</v>
      </c>
      <c r="F689" s="1">
        <v>45311</v>
      </c>
      <c r="G689">
        <v>47.01</v>
      </c>
      <c r="H6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89" t="str">
        <f>IFERROR(INDEX(Raw_orders!G:G, MATCH(shipments[[#This Row],[order_id]],Raw_orders!A:A, 0)), "Unknown")</f>
        <v>Nordics</v>
      </c>
      <c r="J689" t="str">
        <f>PROPER(shipments[[#This Row],[delivery_status]])</f>
        <v>Delivered</v>
      </c>
      <c r="K689" t="s">
        <v>6926</v>
      </c>
    </row>
    <row r="690" spans="1:11">
      <c r="A690" t="s">
        <v>7626</v>
      </c>
      <c r="B690" t="s">
        <v>1563</v>
      </c>
      <c r="C690" t="s">
        <v>6931</v>
      </c>
      <c r="D690" s="1">
        <v>45322</v>
      </c>
      <c r="E690" s="1">
        <v>45327</v>
      </c>
      <c r="F690" s="1">
        <v>45327</v>
      </c>
      <c r="G690">
        <v>45.54</v>
      </c>
      <c r="H6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90" t="str">
        <f>IFERROR(INDEX(Raw_orders!G:G, MATCH(shipments[[#This Row],[order_id]],Raw_orders!A:A, 0)), "Unknown")</f>
        <v>Nordics</v>
      </c>
      <c r="J690" t="str">
        <f>PROPER(shipments[[#This Row],[delivery_status]])</f>
        <v>Delivered</v>
      </c>
      <c r="K690" t="s">
        <v>6929</v>
      </c>
    </row>
    <row r="691" spans="1:11">
      <c r="A691" t="s">
        <v>7627</v>
      </c>
      <c r="B691" t="s">
        <v>1564</v>
      </c>
      <c r="C691" t="s">
        <v>6928</v>
      </c>
      <c r="D691" s="1">
        <v>45391</v>
      </c>
      <c r="E691" s="1">
        <v>45396</v>
      </c>
      <c r="F691" s="1">
        <v>45395</v>
      </c>
      <c r="G691">
        <v>52.95</v>
      </c>
      <c r="H6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91" t="str">
        <f>IFERROR(INDEX(Raw_orders!G:G, MATCH(shipments[[#This Row],[order_id]],Raw_orders!A:A, 0)), "Unknown")</f>
        <v>Baltics</v>
      </c>
      <c r="J691" t="str">
        <f>PROPER(shipments[[#This Row],[delivery_status]])</f>
        <v>Delivered</v>
      </c>
      <c r="K691" t="s">
        <v>6929</v>
      </c>
    </row>
    <row r="692" spans="1:11">
      <c r="A692" t="s">
        <v>7628</v>
      </c>
      <c r="B692" t="s">
        <v>1565</v>
      </c>
      <c r="C692" t="s">
        <v>6931</v>
      </c>
      <c r="D692" s="1">
        <v>44988</v>
      </c>
      <c r="E692" s="1">
        <v>44998</v>
      </c>
      <c r="F692" s="1">
        <v>44999</v>
      </c>
      <c r="G692">
        <v>60.63</v>
      </c>
      <c r="H6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92" t="str">
        <f>IFERROR(INDEX(Raw_orders!G:G, MATCH(shipments[[#This Row],[order_id]],Raw_orders!A:A, 0)), "Unknown")</f>
        <v>Nordics</v>
      </c>
      <c r="J692" t="str">
        <f>PROPER(shipments[[#This Row],[delivery_status]])</f>
        <v>Delivered</v>
      </c>
      <c r="K692" t="s">
        <v>6926</v>
      </c>
    </row>
    <row r="693" spans="1:11">
      <c r="A693" t="s">
        <v>7629</v>
      </c>
      <c r="B693" t="s">
        <v>1566</v>
      </c>
      <c r="C693" t="s">
        <v>6938</v>
      </c>
      <c r="D693" s="1">
        <v>45434</v>
      </c>
      <c r="E693" s="1">
        <v>45444</v>
      </c>
      <c r="F693" s="1">
        <v>45446</v>
      </c>
      <c r="G693">
        <v>17.34</v>
      </c>
      <c r="H6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93" t="str">
        <f>IFERROR(INDEX(Raw_orders!G:G, MATCH(shipments[[#This Row],[order_id]],Raw_orders!A:A, 0)), "Unknown")</f>
        <v>Baltics</v>
      </c>
      <c r="J693" t="str">
        <f>PROPER(shipments[[#This Row],[delivery_status]])</f>
        <v>Delivered</v>
      </c>
      <c r="K693" t="s">
        <v>6926</v>
      </c>
    </row>
    <row r="694" spans="1:11">
      <c r="A694" t="s">
        <v>7630</v>
      </c>
      <c r="B694" t="s">
        <v>1567</v>
      </c>
      <c r="C694" t="s">
        <v>6928</v>
      </c>
      <c r="D694" s="1">
        <v>45587</v>
      </c>
      <c r="E694" s="1">
        <v>45589</v>
      </c>
      <c r="F694" s="1">
        <v>45594</v>
      </c>
      <c r="G694">
        <v>58.85</v>
      </c>
      <c r="H6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94" t="str">
        <f>IFERROR(INDEX(Raw_orders!G:G, MATCH(shipments[[#This Row],[order_id]],Raw_orders!A:A, 0)), "Unknown")</f>
        <v>Baltics</v>
      </c>
      <c r="J694" t="str">
        <f>PROPER(shipments[[#This Row],[delivery_status]])</f>
        <v>Delivered</v>
      </c>
      <c r="K694" t="s">
        <v>6926</v>
      </c>
    </row>
    <row r="695" spans="1:11">
      <c r="A695" t="s">
        <v>7631</v>
      </c>
      <c r="B695" t="s">
        <v>1568</v>
      </c>
      <c r="C695" t="s">
        <v>6928</v>
      </c>
      <c r="D695" s="1">
        <v>45144</v>
      </c>
      <c r="E695" s="1">
        <v>45146</v>
      </c>
      <c r="F695" s="1">
        <v>45154</v>
      </c>
      <c r="G695">
        <v>45.75</v>
      </c>
      <c r="H6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95" t="str">
        <f>IFERROR(INDEX(Raw_orders!G:G, MATCH(shipments[[#This Row],[order_id]],Raw_orders!A:A, 0)), "Unknown")</f>
        <v>Baltics</v>
      </c>
      <c r="J695" t="str">
        <f>PROPER(shipments[[#This Row],[delivery_status]])</f>
        <v>Delivered</v>
      </c>
      <c r="K695" t="s">
        <v>6926</v>
      </c>
    </row>
    <row r="696" spans="1:11">
      <c r="A696" t="s">
        <v>7632</v>
      </c>
      <c r="B696" t="s">
        <v>1569</v>
      </c>
      <c r="C696" t="s">
        <v>6940</v>
      </c>
      <c r="D696" s="1">
        <v>45572</v>
      </c>
      <c r="E696" s="1">
        <v>45574</v>
      </c>
      <c r="F696" s="1">
        <v>45582</v>
      </c>
      <c r="G696">
        <v>34.31</v>
      </c>
      <c r="H6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96" t="str">
        <f>IFERROR(INDEX(Raw_orders!G:G, MATCH(shipments[[#This Row],[order_id]],Raw_orders!A:A, 0)), "Unknown")</f>
        <v>Central Europe</v>
      </c>
      <c r="J696" t="str">
        <f>PROPER(shipments[[#This Row],[delivery_status]])</f>
        <v>Delivered</v>
      </c>
      <c r="K696" t="s">
        <v>6929</v>
      </c>
    </row>
    <row r="697" spans="1:11">
      <c r="A697" t="s">
        <v>7633</v>
      </c>
      <c r="B697" t="s">
        <v>1570</v>
      </c>
      <c r="C697" t="s">
        <v>6928</v>
      </c>
      <c r="D697" s="1">
        <v>45466</v>
      </c>
      <c r="E697" s="1">
        <v>45476</v>
      </c>
      <c r="F697" s="1">
        <v>45489</v>
      </c>
      <c r="G697">
        <v>22.01</v>
      </c>
      <c r="H6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97" t="str">
        <f>IFERROR(INDEX(Raw_orders!G:G, MATCH(shipments[[#This Row],[order_id]],Raw_orders!A:A, 0)), "Unknown")</f>
        <v>Central Europe</v>
      </c>
      <c r="J697" t="str">
        <f>PROPER(shipments[[#This Row],[delivery_status]])</f>
        <v>Delivered</v>
      </c>
      <c r="K697" t="s">
        <v>6922</v>
      </c>
    </row>
    <row r="698" spans="1:11">
      <c r="A698" t="s">
        <v>7634</v>
      </c>
      <c r="B698" t="s">
        <v>1571</v>
      </c>
      <c r="C698" t="s">
        <v>6925</v>
      </c>
      <c r="D698" s="1">
        <v>45107</v>
      </c>
      <c r="E698" s="1">
        <v>45112</v>
      </c>
      <c r="F698" s="1">
        <v>45112</v>
      </c>
      <c r="G698">
        <v>16.41</v>
      </c>
      <c r="H6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98" t="str">
        <f>IFERROR(INDEX(Raw_orders!G:G, MATCH(shipments[[#This Row],[order_id]],Raw_orders!A:A, 0)), "Unknown")</f>
        <v>Nordics</v>
      </c>
      <c r="J698" t="str">
        <f>PROPER(shipments[[#This Row],[delivery_status]])</f>
        <v>Delivered</v>
      </c>
      <c r="K698" t="s">
        <v>6926</v>
      </c>
    </row>
    <row r="699" spans="1:11">
      <c r="A699" t="s">
        <v>7635</v>
      </c>
      <c r="B699" t="s">
        <v>1572</v>
      </c>
      <c r="C699" t="s">
        <v>6938</v>
      </c>
      <c r="D699" s="1">
        <v>45189</v>
      </c>
      <c r="E699" s="1">
        <v>45194</v>
      </c>
      <c r="F699" s="1">
        <v>45194</v>
      </c>
      <c r="G699">
        <v>60.04</v>
      </c>
      <c r="H6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99" t="str">
        <f>IFERROR(INDEX(Raw_orders!G:G, MATCH(shipments[[#This Row],[order_id]],Raw_orders!A:A, 0)), "Unknown")</f>
        <v>Baltics</v>
      </c>
      <c r="J699" t="str">
        <f>PROPER(shipments[[#This Row],[delivery_status]])</f>
        <v>Delivered</v>
      </c>
      <c r="K699" t="s">
        <v>6929</v>
      </c>
    </row>
    <row r="700" spans="1:11">
      <c r="A700" t="s">
        <v>7636</v>
      </c>
      <c r="B700" t="s">
        <v>1573</v>
      </c>
      <c r="C700" t="s">
        <v>6928</v>
      </c>
      <c r="D700" s="1">
        <v>45434</v>
      </c>
      <c r="E700" s="1">
        <v>45436</v>
      </c>
      <c r="F700" s="1">
        <v>45448</v>
      </c>
      <c r="G700">
        <v>10.54</v>
      </c>
      <c r="H7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00" t="str">
        <f>IFERROR(INDEX(Raw_orders!G:G, MATCH(shipments[[#This Row],[order_id]],Raw_orders!A:A, 0)), "Unknown")</f>
        <v>Nordics</v>
      </c>
      <c r="J700" t="str">
        <f>PROPER(shipments[[#This Row],[delivery_status]])</f>
        <v>Delivered</v>
      </c>
      <c r="K700" t="s">
        <v>6926</v>
      </c>
    </row>
    <row r="701" spans="1:11">
      <c r="A701" t="s">
        <v>7637</v>
      </c>
      <c r="B701" t="s">
        <v>1573</v>
      </c>
      <c r="C701" t="s">
        <v>6925</v>
      </c>
      <c r="D701" s="1">
        <v>45431</v>
      </c>
      <c r="E701" s="1">
        <v>45436</v>
      </c>
      <c r="F701" s="1">
        <v>45436</v>
      </c>
      <c r="G701">
        <v>21.98</v>
      </c>
      <c r="H7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701" t="str">
        <f>IFERROR(INDEX(Raw_orders!G:G, MATCH(shipments[[#This Row],[order_id]],Raw_orders!A:A, 0)), "Unknown")</f>
        <v>Nordics</v>
      </c>
      <c r="J701" t="str">
        <f>PROPER(shipments[[#This Row],[delivery_status]])</f>
        <v>Delivered</v>
      </c>
      <c r="K701" t="s">
        <v>6922</v>
      </c>
    </row>
    <row r="702" spans="1:11">
      <c r="A702" t="s">
        <v>7638</v>
      </c>
      <c r="B702" t="s">
        <v>1574</v>
      </c>
      <c r="C702" t="s">
        <v>6956</v>
      </c>
      <c r="D702" s="1">
        <v>45495</v>
      </c>
      <c r="E702" s="1">
        <v>45497</v>
      </c>
      <c r="F702" s="1">
        <v>45506</v>
      </c>
      <c r="G702">
        <v>18.59</v>
      </c>
      <c r="H7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02" t="str">
        <f>IFERROR(INDEX(Raw_orders!G:G, MATCH(shipments[[#This Row],[order_id]],Raw_orders!A:A, 0)), "Unknown")</f>
        <v>Nordics</v>
      </c>
      <c r="J702" t="str">
        <f>PROPER(shipments[[#This Row],[delivery_status]])</f>
        <v>Delivered</v>
      </c>
      <c r="K702" t="s">
        <v>6922</v>
      </c>
    </row>
    <row r="703" spans="1:11">
      <c r="A703" t="s">
        <v>7639</v>
      </c>
      <c r="B703" t="s">
        <v>1575</v>
      </c>
      <c r="C703" t="s">
        <v>6928</v>
      </c>
      <c r="D703" s="1">
        <v>45176</v>
      </c>
      <c r="E703" s="1">
        <v>45183</v>
      </c>
      <c r="F703" s="1">
        <v>45184</v>
      </c>
      <c r="G703">
        <v>39.409999999999997</v>
      </c>
      <c r="H7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03" t="str">
        <f>IFERROR(INDEX(Raw_orders!G:G, MATCH(shipments[[#This Row],[order_id]],Raw_orders!A:A, 0)), "Unknown")</f>
        <v>Central Europe</v>
      </c>
      <c r="J703" t="str">
        <f>PROPER(shipments[[#This Row],[delivery_status]])</f>
        <v>Delivered</v>
      </c>
      <c r="K703" t="s">
        <v>6922</v>
      </c>
    </row>
    <row r="704" spans="1:11">
      <c r="A704" t="s">
        <v>7640</v>
      </c>
      <c r="B704" t="s">
        <v>1575</v>
      </c>
      <c r="C704" t="s">
        <v>6956</v>
      </c>
      <c r="D704" s="1">
        <v>45177</v>
      </c>
      <c r="E704" s="1">
        <v>45187</v>
      </c>
      <c r="F704" s="1">
        <v>45187</v>
      </c>
      <c r="G704">
        <v>63.57</v>
      </c>
      <c r="H7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704" t="str">
        <f>IFERROR(INDEX(Raw_orders!G:G, MATCH(shipments[[#This Row],[order_id]],Raw_orders!A:A, 0)), "Unknown")</f>
        <v>Central Europe</v>
      </c>
      <c r="J704" t="str">
        <f>PROPER(shipments[[#This Row],[delivery_status]])</f>
        <v>Delivered</v>
      </c>
      <c r="K704" t="s">
        <v>6926</v>
      </c>
    </row>
    <row r="705" spans="1:11">
      <c r="A705" t="s">
        <v>7641</v>
      </c>
      <c r="B705" t="s">
        <v>1576</v>
      </c>
      <c r="C705" t="s">
        <v>6921</v>
      </c>
      <c r="D705" s="1">
        <v>44965</v>
      </c>
      <c r="E705" s="1">
        <v>44970</v>
      </c>
      <c r="F705" s="1">
        <v>44979</v>
      </c>
      <c r="H7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05" t="str">
        <f>IFERROR(INDEX(Raw_orders!G:G, MATCH(shipments[[#This Row],[order_id]],Raw_orders!A:A, 0)), "Unknown")</f>
        <v>Baltics</v>
      </c>
      <c r="J705" t="str">
        <f>PROPER(shipments[[#This Row],[delivery_status]])</f>
        <v>Delivered</v>
      </c>
      <c r="K705" t="s">
        <v>6926</v>
      </c>
    </row>
    <row r="706" spans="1:11">
      <c r="A706" t="s">
        <v>7642</v>
      </c>
      <c r="B706" t="s">
        <v>1577</v>
      </c>
      <c r="C706" t="s">
        <v>6940</v>
      </c>
      <c r="D706" s="1">
        <v>45326</v>
      </c>
      <c r="E706" s="1">
        <v>45333</v>
      </c>
      <c r="F706" s="1">
        <v>45344</v>
      </c>
      <c r="G706">
        <v>21.66</v>
      </c>
      <c r="H7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06" t="str">
        <f>IFERROR(INDEX(Raw_orders!G:G, MATCH(shipments[[#This Row],[order_id]],Raw_orders!A:A, 0)), "Unknown")</f>
        <v>Baltics</v>
      </c>
      <c r="J706" t="str">
        <f>PROPER(shipments[[#This Row],[delivery_status]])</f>
        <v>Delivered</v>
      </c>
      <c r="K706" t="s">
        <v>6922</v>
      </c>
    </row>
    <row r="707" spans="1:11">
      <c r="A707" t="s">
        <v>7643</v>
      </c>
      <c r="B707" t="s">
        <v>1578</v>
      </c>
      <c r="C707" t="s">
        <v>6956</v>
      </c>
      <c r="D707" s="1">
        <v>45315</v>
      </c>
      <c r="E707" s="1">
        <v>45320</v>
      </c>
      <c r="F707" s="1">
        <v>45320</v>
      </c>
      <c r="G707">
        <v>48.61</v>
      </c>
      <c r="H7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707" t="str">
        <f>IFERROR(INDEX(Raw_orders!G:G, MATCH(shipments[[#This Row],[order_id]],Raw_orders!A:A, 0)), "Unknown")</f>
        <v>Baltics</v>
      </c>
      <c r="J707" t="str">
        <f>PROPER(shipments[[#This Row],[delivery_status]])</f>
        <v>Delivered</v>
      </c>
      <c r="K707" t="s">
        <v>6929</v>
      </c>
    </row>
    <row r="708" spans="1:11">
      <c r="A708" t="s">
        <v>7644</v>
      </c>
      <c r="B708" t="s">
        <v>1579</v>
      </c>
      <c r="C708" t="s">
        <v>6931</v>
      </c>
      <c r="D708" s="1">
        <v>45019</v>
      </c>
      <c r="E708" s="1">
        <v>45026</v>
      </c>
      <c r="F708" s="1"/>
      <c r="G708">
        <v>33.549999999999997</v>
      </c>
      <c r="H7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708" t="str">
        <f>IFERROR(INDEX(Raw_orders!G:G, MATCH(shipments[[#This Row],[order_id]],Raw_orders!A:A, 0)), "Unknown")</f>
        <v>Baltics</v>
      </c>
      <c r="J708" t="str">
        <f>PROPER(shipments[[#This Row],[delivery_status]])</f>
        <v>In Transit</v>
      </c>
      <c r="K708" t="s">
        <v>6946</v>
      </c>
    </row>
    <row r="709" spans="1:11">
      <c r="A709" t="s">
        <v>7645</v>
      </c>
      <c r="B709" t="s">
        <v>1580</v>
      </c>
      <c r="C709" t="s">
        <v>6935</v>
      </c>
      <c r="D709" s="1">
        <v>45432</v>
      </c>
      <c r="E709" s="1">
        <v>45437</v>
      </c>
      <c r="F709" s="1">
        <v>45445</v>
      </c>
      <c r="G709">
        <v>35.159999999999997</v>
      </c>
      <c r="H7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09" t="str">
        <f>IFERROR(INDEX(Raw_orders!G:G, MATCH(shipments[[#This Row],[order_id]],Raw_orders!A:A, 0)), "Unknown")</f>
        <v>Central Europe</v>
      </c>
      <c r="J709" t="str">
        <f>PROPER(shipments[[#This Row],[delivery_status]])</f>
        <v>Delivered</v>
      </c>
      <c r="K709" t="s">
        <v>6929</v>
      </c>
    </row>
    <row r="710" spans="1:11">
      <c r="A710" t="s">
        <v>7646</v>
      </c>
      <c r="B710" t="s">
        <v>1581</v>
      </c>
      <c r="C710" t="s">
        <v>6938</v>
      </c>
      <c r="D710" s="1">
        <v>45503</v>
      </c>
      <c r="E710" s="1">
        <v>45505</v>
      </c>
      <c r="F710" s="1">
        <v>45519</v>
      </c>
      <c r="G710">
        <v>12.98</v>
      </c>
      <c r="H7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10" t="str">
        <f>IFERROR(INDEX(Raw_orders!G:G, MATCH(shipments[[#This Row],[order_id]],Raw_orders!A:A, 0)), "Unknown")</f>
        <v>Baltics</v>
      </c>
      <c r="J710" t="str">
        <f>PROPER(shipments[[#This Row],[delivery_status]])</f>
        <v>Delivered</v>
      </c>
      <c r="K710" t="s">
        <v>6922</v>
      </c>
    </row>
    <row r="711" spans="1:11">
      <c r="A711" t="s">
        <v>7647</v>
      </c>
      <c r="B711" t="s">
        <v>1582</v>
      </c>
      <c r="C711" t="s">
        <v>6935</v>
      </c>
      <c r="D711" s="1">
        <v>45220</v>
      </c>
      <c r="E711" s="1">
        <v>45225</v>
      </c>
      <c r="F711" s="1">
        <v>45229</v>
      </c>
      <c r="G711">
        <v>12.34</v>
      </c>
      <c r="H7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11" t="str">
        <f>IFERROR(INDEX(Raw_orders!G:G, MATCH(shipments[[#This Row],[order_id]],Raw_orders!A:A, 0)), "Unknown")</f>
        <v>Baltics</v>
      </c>
      <c r="J711" t="str">
        <f>PROPER(shipments[[#This Row],[delivery_status]])</f>
        <v>Delivered</v>
      </c>
      <c r="K711" t="s">
        <v>6922</v>
      </c>
    </row>
    <row r="712" spans="1:11">
      <c r="A712" t="s">
        <v>7648</v>
      </c>
      <c r="B712" t="s">
        <v>1583</v>
      </c>
      <c r="C712" t="s">
        <v>6940</v>
      </c>
      <c r="D712" s="1">
        <v>45351</v>
      </c>
      <c r="E712" s="1">
        <v>45356</v>
      </c>
      <c r="F712" s="1">
        <v>45358</v>
      </c>
      <c r="G712">
        <v>31.13</v>
      </c>
      <c r="H7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12" t="str">
        <f>IFERROR(INDEX(Raw_orders!G:G, MATCH(shipments[[#This Row],[order_id]],Raw_orders!A:A, 0)), "Unknown")</f>
        <v>Nordics</v>
      </c>
      <c r="J712" t="str">
        <f>PROPER(shipments[[#This Row],[delivery_status]])</f>
        <v>Delivered</v>
      </c>
      <c r="K712" t="s">
        <v>6926</v>
      </c>
    </row>
    <row r="713" spans="1:11">
      <c r="A713" t="s">
        <v>7649</v>
      </c>
      <c r="B713" t="s">
        <v>1584</v>
      </c>
      <c r="C713" t="s">
        <v>6921</v>
      </c>
      <c r="D713" s="1">
        <v>45449</v>
      </c>
      <c r="E713" s="1">
        <v>45459</v>
      </c>
      <c r="F713" s="1">
        <v>45461</v>
      </c>
      <c r="G713">
        <v>4.6100000000000003</v>
      </c>
      <c r="H7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13" t="str">
        <f>IFERROR(INDEX(Raw_orders!G:G, MATCH(shipments[[#This Row],[order_id]],Raw_orders!A:A, 0)), "Unknown")</f>
        <v>Baltics</v>
      </c>
      <c r="J713" t="str">
        <f>PROPER(shipments[[#This Row],[delivery_status]])</f>
        <v>Delivered</v>
      </c>
      <c r="K713" t="s">
        <v>6929</v>
      </c>
    </row>
    <row r="714" spans="1:11">
      <c r="A714" t="s">
        <v>7650</v>
      </c>
      <c r="B714" t="s">
        <v>1585</v>
      </c>
      <c r="C714" t="s">
        <v>6925</v>
      </c>
      <c r="D714" s="1">
        <v>45443</v>
      </c>
      <c r="E714" s="1">
        <v>45450</v>
      </c>
      <c r="F714" s="1">
        <v>45458</v>
      </c>
      <c r="G714">
        <v>25.05</v>
      </c>
      <c r="H7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14" t="str">
        <f>IFERROR(INDEX(Raw_orders!G:G, MATCH(shipments[[#This Row],[order_id]],Raw_orders!A:A, 0)), "Unknown")</f>
        <v>Central Europe</v>
      </c>
      <c r="J714" t="str">
        <f>PROPER(shipments[[#This Row],[delivery_status]])</f>
        <v>Delivered</v>
      </c>
      <c r="K714" t="s">
        <v>6929</v>
      </c>
    </row>
    <row r="715" spans="1:11">
      <c r="A715" t="s">
        <v>7651</v>
      </c>
      <c r="B715" t="s">
        <v>1586</v>
      </c>
      <c r="C715" t="s">
        <v>6956</v>
      </c>
      <c r="D715" s="1">
        <v>45248</v>
      </c>
      <c r="E715" s="1">
        <v>45251</v>
      </c>
      <c r="F715" s="1">
        <v>45251</v>
      </c>
      <c r="G715">
        <v>7.42</v>
      </c>
      <c r="H7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715" t="str">
        <f>IFERROR(INDEX(Raw_orders!G:G, MATCH(shipments[[#This Row],[order_id]],Raw_orders!A:A, 0)), "Unknown")</f>
        <v>Central Europe</v>
      </c>
      <c r="J715" t="str">
        <f>PROPER(shipments[[#This Row],[delivery_status]])</f>
        <v>Delivered</v>
      </c>
      <c r="K715" t="s">
        <v>6922</v>
      </c>
    </row>
    <row r="716" spans="1:11">
      <c r="A716" t="s">
        <v>7652</v>
      </c>
      <c r="B716" t="s">
        <v>1587</v>
      </c>
      <c r="C716" t="s">
        <v>6921</v>
      </c>
      <c r="D716" s="1">
        <v>45499</v>
      </c>
      <c r="E716" s="1">
        <v>45509</v>
      </c>
      <c r="F716" s="1">
        <v>45523</v>
      </c>
      <c r="G716">
        <v>28.48</v>
      </c>
      <c r="H7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16" t="str">
        <f>IFERROR(INDEX(Raw_orders!G:G, MATCH(shipments[[#This Row],[order_id]],Raw_orders!A:A, 0)), "Unknown")</f>
        <v>Central Europe</v>
      </c>
      <c r="J716" t="str">
        <f>PROPER(shipments[[#This Row],[delivery_status]])</f>
        <v>Delivered</v>
      </c>
      <c r="K716" t="s">
        <v>6922</v>
      </c>
    </row>
    <row r="717" spans="1:11">
      <c r="A717" t="s">
        <v>7653</v>
      </c>
      <c r="B717" t="s">
        <v>1588</v>
      </c>
      <c r="C717" t="s">
        <v>6931</v>
      </c>
      <c r="D717" s="1">
        <v>45417</v>
      </c>
      <c r="E717" s="1">
        <v>45427</v>
      </c>
      <c r="F717" s="1">
        <v>45438</v>
      </c>
      <c r="G717">
        <v>54.54</v>
      </c>
      <c r="H7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17" t="str">
        <f>IFERROR(INDEX(Raw_orders!G:G, MATCH(shipments[[#This Row],[order_id]],Raw_orders!A:A, 0)), "Unknown")</f>
        <v>Nordics</v>
      </c>
      <c r="J717" t="str">
        <f>PROPER(shipments[[#This Row],[delivery_status]])</f>
        <v>Delivered</v>
      </c>
      <c r="K717" t="s">
        <v>6922</v>
      </c>
    </row>
    <row r="718" spans="1:11">
      <c r="A718" t="s">
        <v>7654</v>
      </c>
      <c r="B718" t="s">
        <v>1589</v>
      </c>
      <c r="C718" t="s">
        <v>6940</v>
      </c>
      <c r="D718" s="1">
        <v>45464</v>
      </c>
      <c r="E718" s="1">
        <v>45469</v>
      </c>
      <c r="F718" s="1">
        <v>45470</v>
      </c>
      <c r="G718">
        <v>31.32</v>
      </c>
      <c r="H7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18" t="str">
        <f>IFERROR(INDEX(Raw_orders!G:G, MATCH(shipments[[#This Row],[order_id]],Raw_orders!A:A, 0)), "Unknown")</f>
        <v>Baltics</v>
      </c>
      <c r="J718" t="str">
        <f>PROPER(shipments[[#This Row],[delivery_status]])</f>
        <v>Delivered</v>
      </c>
      <c r="K718" t="s">
        <v>6929</v>
      </c>
    </row>
    <row r="719" spans="1:11">
      <c r="A719" t="s">
        <v>7655</v>
      </c>
      <c r="B719" t="s">
        <v>1590</v>
      </c>
      <c r="C719" t="s">
        <v>6935</v>
      </c>
      <c r="D719" s="1">
        <v>45521</v>
      </c>
      <c r="E719" s="1">
        <v>45523</v>
      </c>
      <c r="F719" s="1">
        <v>45524</v>
      </c>
      <c r="G719">
        <v>11.17</v>
      </c>
      <c r="H7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19" t="str">
        <f>IFERROR(INDEX(Raw_orders!G:G, MATCH(shipments[[#This Row],[order_id]],Raw_orders!A:A, 0)), "Unknown")</f>
        <v>Central Europe</v>
      </c>
      <c r="J719" t="str">
        <f>PROPER(shipments[[#This Row],[delivery_status]])</f>
        <v>Delivered</v>
      </c>
      <c r="K719" t="s">
        <v>6929</v>
      </c>
    </row>
    <row r="720" spans="1:11">
      <c r="A720" t="s">
        <v>7656</v>
      </c>
      <c r="B720" t="s">
        <v>1591</v>
      </c>
      <c r="C720" t="s">
        <v>6938</v>
      </c>
      <c r="D720" s="1">
        <v>45286</v>
      </c>
      <c r="E720" s="1">
        <v>45293</v>
      </c>
      <c r="F720" s="1">
        <v>45292</v>
      </c>
      <c r="G720">
        <v>18.68</v>
      </c>
      <c r="H7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720" t="str">
        <f>IFERROR(INDEX(Raw_orders!G:G, MATCH(shipments[[#This Row],[order_id]],Raw_orders!A:A, 0)), "Unknown")</f>
        <v>Central Europe</v>
      </c>
      <c r="J720" t="str">
        <f>PROPER(shipments[[#This Row],[delivery_status]])</f>
        <v>Delivered</v>
      </c>
      <c r="K720" t="s">
        <v>6926</v>
      </c>
    </row>
    <row r="721" spans="1:11">
      <c r="A721" t="s">
        <v>7657</v>
      </c>
      <c r="B721" t="s">
        <v>1592</v>
      </c>
      <c r="C721" t="s">
        <v>6928</v>
      </c>
      <c r="D721" s="1">
        <v>45287</v>
      </c>
      <c r="E721" s="1">
        <v>45294</v>
      </c>
      <c r="F721" s="1">
        <v>45308</v>
      </c>
      <c r="G721">
        <v>52.16</v>
      </c>
      <c r="H7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21" t="str">
        <f>IFERROR(INDEX(Raw_orders!G:G, MATCH(shipments[[#This Row],[order_id]],Raw_orders!A:A, 0)), "Unknown")</f>
        <v>Baltics</v>
      </c>
      <c r="J721" t="str">
        <f>PROPER(shipments[[#This Row],[delivery_status]])</f>
        <v>Delivered</v>
      </c>
      <c r="K721" t="s">
        <v>6926</v>
      </c>
    </row>
    <row r="722" spans="1:11">
      <c r="A722" t="s">
        <v>7658</v>
      </c>
      <c r="B722" t="s">
        <v>1593</v>
      </c>
      <c r="C722" t="s">
        <v>6938</v>
      </c>
      <c r="D722" s="1">
        <v>44958</v>
      </c>
      <c r="E722" s="1">
        <v>44965</v>
      </c>
      <c r="F722" s="1">
        <v>44968</v>
      </c>
      <c r="G722">
        <v>45.1</v>
      </c>
      <c r="H7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22" t="str">
        <f>IFERROR(INDEX(Raw_orders!G:G, MATCH(shipments[[#This Row],[order_id]],Raw_orders!A:A, 0)), "Unknown")</f>
        <v>Central Europe</v>
      </c>
      <c r="J722" t="str">
        <f>PROPER(shipments[[#This Row],[delivery_status]])</f>
        <v>Delivered</v>
      </c>
      <c r="K722" t="s">
        <v>6922</v>
      </c>
    </row>
    <row r="723" spans="1:11">
      <c r="A723" t="s">
        <v>7659</v>
      </c>
      <c r="B723" t="s">
        <v>1594</v>
      </c>
      <c r="C723" t="s">
        <v>6928</v>
      </c>
      <c r="D723" s="1">
        <v>45010</v>
      </c>
      <c r="E723" s="1">
        <v>45013</v>
      </c>
      <c r="F723" s="1">
        <v>45013</v>
      </c>
      <c r="G723">
        <v>29.08</v>
      </c>
      <c r="H7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723" t="str">
        <f>IFERROR(INDEX(Raw_orders!G:G, MATCH(shipments[[#This Row],[order_id]],Raw_orders!A:A, 0)), "Unknown")</f>
        <v>Baltics</v>
      </c>
      <c r="J723" t="str">
        <f>PROPER(shipments[[#This Row],[delivery_status]])</f>
        <v>Delivered</v>
      </c>
      <c r="K723" t="s">
        <v>6922</v>
      </c>
    </row>
    <row r="724" spans="1:11">
      <c r="A724" t="s">
        <v>7660</v>
      </c>
      <c r="B724" t="s">
        <v>1595</v>
      </c>
      <c r="C724" t="s">
        <v>6940</v>
      </c>
      <c r="D724" s="1">
        <v>45616</v>
      </c>
      <c r="E724" s="1">
        <v>45626</v>
      </c>
      <c r="F724" s="1">
        <v>45627</v>
      </c>
      <c r="G724">
        <v>42.32</v>
      </c>
      <c r="H7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24" t="str">
        <f>IFERROR(INDEX(Raw_orders!G:G, MATCH(shipments[[#This Row],[order_id]],Raw_orders!A:A, 0)), "Unknown")</f>
        <v>Central Europe</v>
      </c>
      <c r="J724" t="str">
        <f>PROPER(shipments[[#This Row],[delivery_status]])</f>
        <v>Delivered</v>
      </c>
      <c r="K724" t="s">
        <v>6926</v>
      </c>
    </row>
    <row r="725" spans="1:11">
      <c r="A725" t="s">
        <v>7661</v>
      </c>
      <c r="B725" t="s">
        <v>1596</v>
      </c>
      <c r="C725" t="s">
        <v>6938</v>
      </c>
      <c r="D725" s="1">
        <v>45352</v>
      </c>
      <c r="E725" s="1">
        <v>45362</v>
      </c>
      <c r="F725" s="1">
        <v>45362</v>
      </c>
      <c r="H7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725" t="str">
        <f>IFERROR(INDEX(Raw_orders!G:G, MATCH(shipments[[#This Row],[order_id]],Raw_orders!A:A, 0)), "Unknown")</f>
        <v>Central Europe</v>
      </c>
      <c r="J725" t="str">
        <f>PROPER(shipments[[#This Row],[delivery_status]])</f>
        <v>Delivered</v>
      </c>
      <c r="K725" t="s">
        <v>6922</v>
      </c>
    </row>
    <row r="726" spans="1:11">
      <c r="A726" t="s">
        <v>7662</v>
      </c>
      <c r="B726" t="s">
        <v>1597</v>
      </c>
      <c r="C726" t="s">
        <v>6935</v>
      </c>
      <c r="D726" s="1">
        <v>45279</v>
      </c>
      <c r="E726" s="1">
        <v>45286</v>
      </c>
      <c r="F726" s="1">
        <v>45286</v>
      </c>
      <c r="G726">
        <v>27.31</v>
      </c>
      <c r="H7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726" t="str">
        <f>IFERROR(INDEX(Raw_orders!G:G, MATCH(shipments[[#This Row],[order_id]],Raw_orders!A:A, 0)), "Unknown")</f>
        <v>Central Europe</v>
      </c>
      <c r="J726" t="str">
        <f>PROPER(shipments[[#This Row],[delivery_status]])</f>
        <v>Delivered</v>
      </c>
      <c r="K726" t="s">
        <v>6922</v>
      </c>
    </row>
    <row r="727" spans="1:11">
      <c r="A727" t="s">
        <v>7663</v>
      </c>
      <c r="B727" t="s">
        <v>1598</v>
      </c>
      <c r="C727" t="s">
        <v>6928</v>
      </c>
      <c r="D727" s="1">
        <v>44964</v>
      </c>
      <c r="E727" s="1">
        <v>44974</v>
      </c>
      <c r="F727" s="1"/>
      <c r="G727">
        <v>40.69</v>
      </c>
      <c r="H7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727" t="str">
        <f>IFERROR(INDEX(Raw_orders!G:G, MATCH(shipments[[#This Row],[order_id]],Raw_orders!A:A, 0)), "Unknown")</f>
        <v>Central Europe</v>
      </c>
      <c r="J727" t="str">
        <f>PROPER(shipments[[#This Row],[delivery_status]])</f>
        <v>In Transit</v>
      </c>
      <c r="K727" t="s">
        <v>6977</v>
      </c>
    </row>
    <row r="728" spans="1:11">
      <c r="A728" t="s">
        <v>7664</v>
      </c>
      <c r="B728" t="s">
        <v>1599</v>
      </c>
      <c r="C728" t="s">
        <v>6925</v>
      </c>
      <c r="D728" s="1">
        <v>45189</v>
      </c>
      <c r="E728" s="1">
        <v>45194</v>
      </c>
      <c r="F728" s="1"/>
      <c r="G728">
        <v>19.04</v>
      </c>
      <c r="H7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728" t="str">
        <f>IFERROR(INDEX(Raw_orders!G:G, MATCH(shipments[[#This Row],[order_id]],Raw_orders!A:A, 0)), "Unknown")</f>
        <v>Central Europe</v>
      </c>
      <c r="J728" t="str">
        <f>PROPER(shipments[[#This Row],[delivery_status]])</f>
        <v>Cancelled</v>
      </c>
      <c r="K728" t="s">
        <v>6972</v>
      </c>
    </row>
    <row r="729" spans="1:11">
      <c r="A729" t="s">
        <v>7665</v>
      </c>
      <c r="B729" t="s">
        <v>1600</v>
      </c>
      <c r="C729" t="s">
        <v>6931</v>
      </c>
      <c r="D729" s="1">
        <v>45504</v>
      </c>
      <c r="E729" s="1">
        <v>45507</v>
      </c>
      <c r="F729" s="1"/>
      <c r="G729">
        <v>35.619999999999997</v>
      </c>
      <c r="H7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729" t="str">
        <f>IFERROR(INDEX(Raw_orders!G:G, MATCH(shipments[[#This Row],[order_id]],Raw_orders!A:A, 0)), "Unknown")</f>
        <v>Central Europe</v>
      </c>
      <c r="J729" t="str">
        <f>PROPER(shipments[[#This Row],[delivery_status]])</f>
        <v>Cancelled</v>
      </c>
      <c r="K729" t="s">
        <v>6972</v>
      </c>
    </row>
    <row r="730" spans="1:11">
      <c r="A730" t="s">
        <v>7666</v>
      </c>
      <c r="B730" t="s">
        <v>1601</v>
      </c>
      <c r="C730" t="s">
        <v>6940</v>
      </c>
      <c r="D730" s="1">
        <v>44949</v>
      </c>
      <c r="E730" s="1">
        <v>44959</v>
      </c>
      <c r="F730" s="1"/>
      <c r="G730">
        <v>29.99</v>
      </c>
      <c r="H7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730" t="str">
        <f>IFERROR(INDEX(Raw_orders!G:G, MATCH(shipments[[#This Row],[order_id]],Raw_orders!A:A, 0)), "Unknown")</f>
        <v>Central Europe</v>
      </c>
      <c r="J730" t="str">
        <f>PROPER(shipments[[#This Row],[delivery_status]])</f>
        <v>In Transit</v>
      </c>
      <c r="K730" t="s">
        <v>6977</v>
      </c>
    </row>
    <row r="731" spans="1:11">
      <c r="A731" t="s">
        <v>7667</v>
      </c>
      <c r="B731" t="s">
        <v>1602</v>
      </c>
      <c r="C731" t="s">
        <v>6928</v>
      </c>
      <c r="D731" s="1">
        <v>45297</v>
      </c>
      <c r="E731" s="1">
        <v>45302</v>
      </c>
      <c r="F731" s="1">
        <v>45316</v>
      </c>
      <c r="G731">
        <v>63</v>
      </c>
      <c r="H7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31" t="str">
        <f>IFERROR(INDEX(Raw_orders!G:G, MATCH(shipments[[#This Row],[order_id]],Raw_orders!A:A, 0)), "Unknown")</f>
        <v>Nordics</v>
      </c>
      <c r="J731" t="str">
        <f>PROPER(shipments[[#This Row],[delivery_status]])</f>
        <v>Delivered</v>
      </c>
      <c r="K731" t="s">
        <v>6926</v>
      </c>
    </row>
    <row r="732" spans="1:11">
      <c r="A732" t="s">
        <v>7668</v>
      </c>
      <c r="B732" t="s">
        <v>1603</v>
      </c>
      <c r="C732" t="s">
        <v>6928</v>
      </c>
      <c r="D732" s="1">
        <v>45497</v>
      </c>
      <c r="E732" s="1">
        <v>45507</v>
      </c>
      <c r="F732" s="1">
        <v>45506</v>
      </c>
      <c r="G732">
        <v>29.55</v>
      </c>
      <c r="H7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732" t="str">
        <f>IFERROR(INDEX(Raw_orders!G:G, MATCH(shipments[[#This Row],[order_id]],Raw_orders!A:A, 0)), "Unknown")</f>
        <v>Central Europe</v>
      </c>
      <c r="J732" t="str">
        <f>PROPER(shipments[[#This Row],[delivery_status]])</f>
        <v>Delivered</v>
      </c>
      <c r="K732" t="s">
        <v>6926</v>
      </c>
    </row>
    <row r="733" spans="1:11">
      <c r="A733" t="s">
        <v>7669</v>
      </c>
      <c r="B733" t="s">
        <v>1604</v>
      </c>
      <c r="C733" t="s">
        <v>6925</v>
      </c>
      <c r="D733" s="1">
        <v>45599</v>
      </c>
      <c r="E733" s="1">
        <v>45602</v>
      </c>
      <c r="F733" s="1">
        <v>45602</v>
      </c>
      <c r="G733">
        <v>38.880000000000003</v>
      </c>
      <c r="H7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733" t="str">
        <f>IFERROR(INDEX(Raw_orders!G:G, MATCH(shipments[[#This Row],[order_id]],Raw_orders!A:A, 0)), "Unknown")</f>
        <v>Nordics</v>
      </c>
      <c r="J733" t="str">
        <f>PROPER(shipments[[#This Row],[delivery_status]])</f>
        <v>Delivered</v>
      </c>
      <c r="K733" t="s">
        <v>6922</v>
      </c>
    </row>
    <row r="734" spans="1:11">
      <c r="A734" t="s">
        <v>7670</v>
      </c>
      <c r="B734" t="s">
        <v>1605</v>
      </c>
      <c r="C734" t="s">
        <v>6921</v>
      </c>
      <c r="D734" s="1">
        <v>45151</v>
      </c>
      <c r="E734" s="1">
        <v>45153</v>
      </c>
      <c r="F734" s="1">
        <v>45166</v>
      </c>
      <c r="G734">
        <v>28.5</v>
      </c>
      <c r="H7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34" t="str">
        <f>IFERROR(INDEX(Raw_orders!G:G, MATCH(shipments[[#This Row],[order_id]],Raw_orders!A:A, 0)), "Unknown")</f>
        <v>Central Europe</v>
      </c>
      <c r="J734" t="str">
        <f>PROPER(shipments[[#This Row],[delivery_status]])</f>
        <v>Delivered</v>
      </c>
      <c r="K734" t="s">
        <v>6922</v>
      </c>
    </row>
    <row r="735" spans="1:11">
      <c r="A735" t="s">
        <v>7671</v>
      </c>
      <c r="B735" t="s">
        <v>1606</v>
      </c>
      <c r="C735" t="s">
        <v>6935</v>
      </c>
      <c r="D735" s="1">
        <v>45598</v>
      </c>
      <c r="E735" s="1">
        <v>45600</v>
      </c>
      <c r="F735" s="1">
        <v>45614</v>
      </c>
      <c r="G735">
        <v>51.23</v>
      </c>
      <c r="H7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35" t="str">
        <f>IFERROR(INDEX(Raw_orders!G:G, MATCH(shipments[[#This Row],[order_id]],Raw_orders!A:A, 0)), "Unknown")</f>
        <v>Baltics</v>
      </c>
      <c r="J735" t="str">
        <f>PROPER(shipments[[#This Row],[delivery_status]])</f>
        <v>Delivered</v>
      </c>
      <c r="K735" t="s">
        <v>6926</v>
      </c>
    </row>
    <row r="736" spans="1:11">
      <c r="A736" t="s">
        <v>7672</v>
      </c>
      <c r="B736" t="s">
        <v>1607</v>
      </c>
      <c r="C736" t="s">
        <v>6938</v>
      </c>
      <c r="D736" s="1">
        <v>45483</v>
      </c>
      <c r="E736" s="1">
        <v>45486</v>
      </c>
      <c r="F736" s="1">
        <v>45486</v>
      </c>
      <c r="G736">
        <v>39.79</v>
      </c>
      <c r="H7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736" t="str">
        <f>IFERROR(INDEX(Raw_orders!G:G, MATCH(shipments[[#This Row],[order_id]],Raw_orders!A:A, 0)), "Unknown")</f>
        <v>Nordics</v>
      </c>
      <c r="J736" t="str">
        <f>PROPER(shipments[[#This Row],[delivery_status]])</f>
        <v>Delivered</v>
      </c>
      <c r="K736" t="s">
        <v>6922</v>
      </c>
    </row>
    <row r="737" spans="1:11">
      <c r="A737" t="s">
        <v>7673</v>
      </c>
      <c r="B737" t="s">
        <v>1608</v>
      </c>
      <c r="C737" t="s">
        <v>6925</v>
      </c>
      <c r="D737" s="1">
        <v>45003</v>
      </c>
      <c r="E737" s="1">
        <v>45008</v>
      </c>
      <c r="F737" s="1">
        <v>45008</v>
      </c>
      <c r="G737">
        <v>33.44</v>
      </c>
      <c r="H7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737" t="str">
        <f>IFERROR(INDEX(Raw_orders!G:G, MATCH(shipments[[#This Row],[order_id]],Raw_orders!A:A, 0)), "Unknown")</f>
        <v>Central Europe</v>
      </c>
      <c r="J737" t="str">
        <f>PROPER(shipments[[#This Row],[delivery_status]])</f>
        <v>Delivered</v>
      </c>
      <c r="K737" t="s">
        <v>6929</v>
      </c>
    </row>
    <row r="738" spans="1:11">
      <c r="A738" t="s">
        <v>7674</v>
      </c>
      <c r="B738" t="s">
        <v>1609</v>
      </c>
      <c r="C738" t="s">
        <v>6940</v>
      </c>
      <c r="D738" s="1">
        <v>45310</v>
      </c>
      <c r="E738" s="1">
        <v>45320</v>
      </c>
      <c r="F738" s="1">
        <v>45323</v>
      </c>
      <c r="G738">
        <v>29.9</v>
      </c>
      <c r="H7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38" t="str">
        <f>IFERROR(INDEX(Raw_orders!G:G, MATCH(shipments[[#This Row],[order_id]],Raw_orders!A:A, 0)), "Unknown")</f>
        <v>Central Europe</v>
      </c>
      <c r="J738" t="str">
        <f>PROPER(shipments[[#This Row],[delivery_status]])</f>
        <v>Delivered</v>
      </c>
      <c r="K738" t="s">
        <v>6926</v>
      </c>
    </row>
    <row r="739" spans="1:11">
      <c r="A739" t="s">
        <v>7675</v>
      </c>
      <c r="B739" t="s">
        <v>1610</v>
      </c>
      <c r="C739" t="s">
        <v>6928</v>
      </c>
      <c r="D739" s="1">
        <v>45470</v>
      </c>
      <c r="E739" s="1">
        <v>45472</v>
      </c>
      <c r="F739" s="1">
        <v>45471</v>
      </c>
      <c r="G739">
        <v>6.01</v>
      </c>
      <c r="H7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739" t="str">
        <f>IFERROR(INDEX(Raw_orders!G:G, MATCH(shipments[[#This Row],[order_id]],Raw_orders!A:A, 0)), "Unknown")</f>
        <v>Baltics</v>
      </c>
      <c r="J739" t="str">
        <f>PROPER(shipments[[#This Row],[delivery_status]])</f>
        <v>Delivered</v>
      </c>
      <c r="K739" t="s">
        <v>6922</v>
      </c>
    </row>
    <row r="740" spans="1:11">
      <c r="A740" t="s">
        <v>7676</v>
      </c>
      <c r="B740" t="s">
        <v>1611</v>
      </c>
      <c r="C740" t="s">
        <v>6940</v>
      </c>
      <c r="D740" s="1">
        <v>45404</v>
      </c>
      <c r="E740" s="1">
        <v>45414</v>
      </c>
      <c r="F740" s="1">
        <v>45422</v>
      </c>
      <c r="G740">
        <v>58.9</v>
      </c>
      <c r="H7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40" t="str">
        <f>IFERROR(INDEX(Raw_orders!G:G, MATCH(shipments[[#This Row],[order_id]],Raw_orders!A:A, 0)), "Unknown")</f>
        <v>Nordics</v>
      </c>
      <c r="J740" t="str">
        <f>PROPER(shipments[[#This Row],[delivery_status]])</f>
        <v>Delivered</v>
      </c>
      <c r="K740" t="s">
        <v>6926</v>
      </c>
    </row>
    <row r="741" spans="1:11">
      <c r="A741" t="s">
        <v>7677</v>
      </c>
      <c r="B741" t="s">
        <v>1612</v>
      </c>
      <c r="C741" t="s">
        <v>6949</v>
      </c>
      <c r="D741" s="1">
        <v>45182</v>
      </c>
      <c r="E741" s="1">
        <v>45184</v>
      </c>
      <c r="F741" s="1">
        <v>45185</v>
      </c>
      <c r="G741">
        <v>29.91</v>
      </c>
      <c r="H7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41" t="str">
        <f>IFERROR(INDEX(Raw_orders!G:G, MATCH(shipments[[#This Row],[order_id]],Raw_orders!A:A, 0)), "Unknown")</f>
        <v>Central Europe</v>
      </c>
      <c r="J741" t="str">
        <f>PROPER(shipments[[#This Row],[delivery_status]])</f>
        <v>Delivered</v>
      </c>
      <c r="K741" t="s">
        <v>6926</v>
      </c>
    </row>
    <row r="742" spans="1:11">
      <c r="A742" t="s">
        <v>7678</v>
      </c>
      <c r="B742" t="s">
        <v>1613</v>
      </c>
      <c r="C742" t="s">
        <v>6938</v>
      </c>
      <c r="D742" s="1">
        <v>45428</v>
      </c>
      <c r="E742" s="1">
        <v>45433</v>
      </c>
      <c r="F742" s="1">
        <v>45433</v>
      </c>
      <c r="G742">
        <v>37.229999999999997</v>
      </c>
      <c r="H7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742" t="str">
        <f>IFERROR(INDEX(Raw_orders!G:G, MATCH(shipments[[#This Row],[order_id]],Raw_orders!A:A, 0)), "Unknown")</f>
        <v>Central Europe</v>
      </c>
      <c r="J742" t="str">
        <f>PROPER(shipments[[#This Row],[delivery_status]])</f>
        <v>Delivered</v>
      </c>
      <c r="K742" t="s">
        <v>6926</v>
      </c>
    </row>
    <row r="743" spans="1:11">
      <c r="A743" t="s">
        <v>7679</v>
      </c>
      <c r="B743" t="s">
        <v>1614</v>
      </c>
      <c r="C743" t="s">
        <v>6931</v>
      </c>
      <c r="D743" s="1">
        <v>45029</v>
      </c>
      <c r="E743" s="1">
        <v>45039</v>
      </c>
      <c r="F743" s="1">
        <v>45039</v>
      </c>
      <c r="G743">
        <v>56.34</v>
      </c>
      <c r="H7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743" t="str">
        <f>IFERROR(INDEX(Raw_orders!G:G, MATCH(shipments[[#This Row],[order_id]],Raw_orders!A:A, 0)), "Unknown")</f>
        <v>Nordics</v>
      </c>
      <c r="J743" t="str">
        <f>PROPER(shipments[[#This Row],[delivery_status]])</f>
        <v>Delivered</v>
      </c>
      <c r="K743" t="s">
        <v>6929</v>
      </c>
    </row>
    <row r="744" spans="1:11">
      <c r="A744" t="s">
        <v>7680</v>
      </c>
      <c r="B744" t="s">
        <v>1615</v>
      </c>
      <c r="C744" t="s">
        <v>6925</v>
      </c>
      <c r="D744" s="1">
        <v>45004</v>
      </c>
      <c r="E744" s="1">
        <v>45011</v>
      </c>
      <c r="F744" s="1">
        <v>45011</v>
      </c>
      <c r="G744">
        <v>10.37</v>
      </c>
      <c r="H7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744" t="str">
        <f>IFERROR(INDEX(Raw_orders!G:G, MATCH(shipments[[#This Row],[order_id]],Raw_orders!A:A, 0)), "Unknown")</f>
        <v>Baltics</v>
      </c>
      <c r="J744" t="str">
        <f>PROPER(shipments[[#This Row],[delivery_status]])</f>
        <v>Delivered</v>
      </c>
      <c r="K744" t="s">
        <v>6929</v>
      </c>
    </row>
    <row r="745" spans="1:11">
      <c r="A745" t="s">
        <v>7681</v>
      </c>
      <c r="B745" t="s">
        <v>1616</v>
      </c>
      <c r="C745" t="s">
        <v>6931</v>
      </c>
      <c r="D745" s="1">
        <v>45407</v>
      </c>
      <c r="E745" s="1">
        <v>45417</v>
      </c>
      <c r="F745" s="1">
        <v>45420</v>
      </c>
      <c r="G745">
        <v>60.95</v>
      </c>
      <c r="H7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45" t="str">
        <f>IFERROR(INDEX(Raw_orders!G:G, MATCH(shipments[[#This Row],[order_id]],Raw_orders!A:A, 0)), "Unknown")</f>
        <v>Central Europe</v>
      </c>
      <c r="J745" t="str">
        <f>PROPER(shipments[[#This Row],[delivery_status]])</f>
        <v>Delivered</v>
      </c>
      <c r="K745" t="s">
        <v>6926</v>
      </c>
    </row>
    <row r="746" spans="1:11">
      <c r="A746" t="s">
        <v>7682</v>
      </c>
      <c r="B746" t="s">
        <v>1617</v>
      </c>
      <c r="C746" t="s">
        <v>6931</v>
      </c>
      <c r="D746" s="1">
        <v>45004</v>
      </c>
      <c r="E746" s="1">
        <v>45009</v>
      </c>
      <c r="F746" s="1">
        <v>45009</v>
      </c>
      <c r="G746">
        <v>35.03</v>
      </c>
      <c r="H7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746" t="str">
        <f>IFERROR(INDEX(Raw_orders!G:G, MATCH(shipments[[#This Row],[order_id]],Raw_orders!A:A, 0)), "Unknown")</f>
        <v>Central Europe</v>
      </c>
      <c r="J746" t="str">
        <f>PROPER(shipments[[#This Row],[delivery_status]])</f>
        <v>Delivered</v>
      </c>
      <c r="K746" t="s">
        <v>6926</v>
      </c>
    </row>
    <row r="747" spans="1:11">
      <c r="A747" t="s">
        <v>7683</v>
      </c>
      <c r="B747" t="s">
        <v>1618</v>
      </c>
      <c r="C747" t="s">
        <v>6925</v>
      </c>
      <c r="D747" s="1">
        <v>45517</v>
      </c>
      <c r="E747" s="1">
        <v>45522</v>
      </c>
      <c r="F747" s="1">
        <v>45530</v>
      </c>
      <c r="G747">
        <v>18.97</v>
      </c>
      <c r="H7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47" t="str">
        <f>IFERROR(INDEX(Raw_orders!G:G, MATCH(shipments[[#This Row],[order_id]],Raw_orders!A:A, 0)), "Unknown")</f>
        <v>Baltics</v>
      </c>
      <c r="J747" t="str">
        <f>PROPER(shipments[[#This Row],[delivery_status]])</f>
        <v>Delivered</v>
      </c>
      <c r="K747" t="s">
        <v>6926</v>
      </c>
    </row>
    <row r="748" spans="1:11">
      <c r="A748" t="s">
        <v>7684</v>
      </c>
      <c r="B748" t="s">
        <v>1619</v>
      </c>
      <c r="C748" t="s">
        <v>6956</v>
      </c>
      <c r="D748" s="1">
        <v>45079</v>
      </c>
      <c r="E748" s="1">
        <v>45081</v>
      </c>
      <c r="F748" s="1">
        <v>45086</v>
      </c>
      <c r="G748">
        <v>64.489999999999995</v>
      </c>
      <c r="H7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48" t="str">
        <f>IFERROR(INDEX(Raw_orders!G:G, MATCH(shipments[[#This Row],[order_id]],Raw_orders!A:A, 0)), "Unknown")</f>
        <v>Baltics</v>
      </c>
      <c r="J748" t="str">
        <f>PROPER(shipments[[#This Row],[delivery_status]])</f>
        <v>Delivered</v>
      </c>
      <c r="K748" t="s">
        <v>6926</v>
      </c>
    </row>
    <row r="749" spans="1:11">
      <c r="A749" t="s">
        <v>7685</v>
      </c>
      <c r="B749" t="s">
        <v>1620</v>
      </c>
      <c r="C749" t="s">
        <v>6928</v>
      </c>
      <c r="D749" s="1">
        <v>45363</v>
      </c>
      <c r="E749" s="1">
        <v>45370</v>
      </c>
      <c r="F749" s="1">
        <v>45370</v>
      </c>
      <c r="G749">
        <v>18.239999999999998</v>
      </c>
      <c r="H7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749" t="str">
        <f>IFERROR(INDEX(Raw_orders!G:G, MATCH(shipments[[#This Row],[order_id]],Raw_orders!A:A, 0)), "Unknown")</f>
        <v>Nordics</v>
      </c>
      <c r="J749" t="str">
        <f>PROPER(shipments[[#This Row],[delivery_status]])</f>
        <v>Delivered</v>
      </c>
      <c r="K749" t="s">
        <v>6929</v>
      </c>
    </row>
    <row r="750" spans="1:11">
      <c r="A750" t="s">
        <v>7686</v>
      </c>
      <c r="B750" t="s">
        <v>1621</v>
      </c>
      <c r="C750" t="s">
        <v>6940</v>
      </c>
      <c r="D750" s="1">
        <v>45023</v>
      </c>
      <c r="E750" s="1">
        <v>45028</v>
      </c>
      <c r="F750" s="1">
        <v>45029</v>
      </c>
      <c r="G750">
        <v>25.62</v>
      </c>
      <c r="H7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50" t="str">
        <f>IFERROR(INDEX(Raw_orders!G:G, MATCH(shipments[[#This Row],[order_id]],Raw_orders!A:A, 0)), "Unknown")</f>
        <v>Baltics</v>
      </c>
      <c r="J750" t="str">
        <f>PROPER(shipments[[#This Row],[delivery_status]])</f>
        <v>Delivered</v>
      </c>
      <c r="K750" t="s">
        <v>6929</v>
      </c>
    </row>
    <row r="751" spans="1:11">
      <c r="A751" t="s">
        <v>7687</v>
      </c>
      <c r="B751" t="s">
        <v>1622</v>
      </c>
      <c r="C751" t="s">
        <v>6956</v>
      </c>
      <c r="D751" s="1">
        <v>45315</v>
      </c>
      <c r="E751" s="1">
        <v>45325</v>
      </c>
      <c r="F751" s="1">
        <v>45326</v>
      </c>
      <c r="G751">
        <v>9.51</v>
      </c>
      <c r="H7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51" t="str">
        <f>IFERROR(INDEX(Raw_orders!G:G, MATCH(shipments[[#This Row],[order_id]],Raw_orders!A:A, 0)), "Unknown")</f>
        <v>Nordics</v>
      </c>
      <c r="J751" t="str">
        <f>PROPER(shipments[[#This Row],[delivery_status]])</f>
        <v>Delivered</v>
      </c>
      <c r="K751" t="s">
        <v>6922</v>
      </c>
    </row>
    <row r="752" spans="1:11">
      <c r="A752" t="s">
        <v>7688</v>
      </c>
      <c r="B752" t="s">
        <v>1623</v>
      </c>
      <c r="C752" t="s">
        <v>6931</v>
      </c>
      <c r="D752" s="1">
        <v>45373</v>
      </c>
      <c r="E752" s="1">
        <v>45383</v>
      </c>
      <c r="F752" s="1">
        <v>45388</v>
      </c>
      <c r="G752">
        <v>17.72</v>
      </c>
      <c r="H7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52" t="str">
        <f>IFERROR(INDEX(Raw_orders!G:G, MATCH(shipments[[#This Row],[order_id]],Raw_orders!A:A, 0)), "Unknown")</f>
        <v>Central Europe</v>
      </c>
      <c r="J752" t="str">
        <f>PROPER(shipments[[#This Row],[delivery_status]])</f>
        <v>Delivered</v>
      </c>
      <c r="K752" t="s">
        <v>6926</v>
      </c>
    </row>
    <row r="753" spans="1:11">
      <c r="A753" t="s">
        <v>7689</v>
      </c>
      <c r="B753" t="s">
        <v>1624</v>
      </c>
      <c r="C753" t="s">
        <v>6935</v>
      </c>
      <c r="D753" s="1">
        <v>45198</v>
      </c>
      <c r="E753" s="1">
        <v>45201</v>
      </c>
      <c r="F753" s="1">
        <v>45201</v>
      </c>
      <c r="G753">
        <v>52.86</v>
      </c>
      <c r="H7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753" t="str">
        <f>IFERROR(INDEX(Raw_orders!G:G, MATCH(shipments[[#This Row],[order_id]],Raw_orders!A:A, 0)), "Unknown")</f>
        <v>Nordics</v>
      </c>
      <c r="J753" t="str">
        <f>PROPER(shipments[[#This Row],[delivery_status]])</f>
        <v>Delivered</v>
      </c>
      <c r="K753" t="s">
        <v>6929</v>
      </c>
    </row>
    <row r="754" spans="1:11">
      <c r="A754" t="s">
        <v>7690</v>
      </c>
      <c r="B754" t="s">
        <v>1625</v>
      </c>
      <c r="C754" t="s">
        <v>6940</v>
      </c>
      <c r="D754" s="1">
        <v>44947</v>
      </c>
      <c r="E754" s="1">
        <v>44952</v>
      </c>
      <c r="F754" s="1"/>
      <c r="G754">
        <v>49.04</v>
      </c>
      <c r="H7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754" t="str">
        <f>IFERROR(INDEX(Raw_orders!G:G, MATCH(shipments[[#This Row],[order_id]],Raw_orders!A:A, 0)), "Unknown")</f>
        <v>Central Europe</v>
      </c>
      <c r="J754" t="str">
        <f>PROPER(shipments[[#This Row],[delivery_status]])</f>
        <v>In Transit</v>
      </c>
      <c r="K754" t="s">
        <v>6946</v>
      </c>
    </row>
    <row r="755" spans="1:11">
      <c r="A755" t="s">
        <v>7691</v>
      </c>
      <c r="B755" t="s">
        <v>1626</v>
      </c>
      <c r="C755" t="s">
        <v>6925</v>
      </c>
      <c r="D755" s="1">
        <v>45007</v>
      </c>
      <c r="E755" s="1">
        <v>45009</v>
      </c>
      <c r="F755" s="1">
        <v>45009</v>
      </c>
      <c r="G755">
        <v>41.82</v>
      </c>
      <c r="H7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755" t="str">
        <f>IFERROR(INDEX(Raw_orders!G:G, MATCH(shipments[[#This Row],[order_id]],Raw_orders!A:A, 0)), "Unknown")</f>
        <v>Baltics</v>
      </c>
      <c r="J755" t="str">
        <f>PROPER(shipments[[#This Row],[delivery_status]])</f>
        <v>Delivered</v>
      </c>
      <c r="K755" t="s">
        <v>6922</v>
      </c>
    </row>
    <row r="756" spans="1:11">
      <c r="A756" t="s">
        <v>7692</v>
      </c>
      <c r="B756" t="s">
        <v>1626</v>
      </c>
      <c r="C756" t="s">
        <v>6956</v>
      </c>
      <c r="D756" s="1">
        <v>45007</v>
      </c>
      <c r="E756" s="1">
        <v>45014</v>
      </c>
      <c r="F756" s="1"/>
      <c r="G756">
        <v>26.31</v>
      </c>
      <c r="H7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756" t="str">
        <f>IFERROR(INDEX(Raw_orders!G:G, MATCH(shipments[[#This Row],[order_id]],Raw_orders!A:A, 0)), "Unknown")</f>
        <v>Baltics</v>
      </c>
      <c r="J756" t="str">
        <f>PROPER(shipments[[#This Row],[delivery_status]])</f>
        <v>Cancelled</v>
      </c>
      <c r="K756" t="s">
        <v>6979</v>
      </c>
    </row>
    <row r="757" spans="1:11">
      <c r="A757" t="s">
        <v>7693</v>
      </c>
      <c r="B757" t="s">
        <v>1627</v>
      </c>
      <c r="C757" t="s">
        <v>6935</v>
      </c>
      <c r="D757" s="1">
        <v>45102</v>
      </c>
      <c r="E757" s="1">
        <v>45112</v>
      </c>
      <c r="F757" s="1">
        <v>45120</v>
      </c>
      <c r="G757">
        <v>20.97</v>
      </c>
      <c r="H7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57" t="str">
        <f>IFERROR(INDEX(Raw_orders!G:G, MATCH(shipments[[#This Row],[order_id]],Raw_orders!A:A, 0)), "Unknown")</f>
        <v>Baltics</v>
      </c>
      <c r="J757" t="str">
        <f>PROPER(shipments[[#This Row],[delivery_status]])</f>
        <v>Delivered</v>
      </c>
      <c r="K757" t="s">
        <v>6929</v>
      </c>
    </row>
    <row r="758" spans="1:11">
      <c r="A758" t="s">
        <v>7694</v>
      </c>
      <c r="B758" t="s">
        <v>1628</v>
      </c>
      <c r="C758" t="s">
        <v>6956</v>
      </c>
      <c r="D758" s="1">
        <v>45384</v>
      </c>
      <c r="E758" s="1">
        <v>45386</v>
      </c>
      <c r="F758" s="1"/>
      <c r="G758">
        <v>49.7</v>
      </c>
      <c r="H7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758" t="str">
        <f>IFERROR(INDEX(Raw_orders!G:G, MATCH(shipments[[#This Row],[order_id]],Raw_orders!A:A, 0)), "Unknown")</f>
        <v>Baltics</v>
      </c>
      <c r="J758" t="str">
        <f>PROPER(shipments[[#This Row],[delivery_status]])</f>
        <v>In Transit</v>
      </c>
      <c r="K758" t="s">
        <v>6946</v>
      </c>
    </row>
    <row r="759" spans="1:11">
      <c r="A759" t="s">
        <v>7695</v>
      </c>
      <c r="B759" t="s">
        <v>1629</v>
      </c>
      <c r="C759" t="s">
        <v>6938</v>
      </c>
      <c r="D759" s="1">
        <v>45187</v>
      </c>
      <c r="E759" s="1">
        <v>45189</v>
      </c>
      <c r="F759" s="1">
        <v>45189</v>
      </c>
      <c r="G759">
        <v>52.83</v>
      </c>
      <c r="H7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759" t="str">
        <f>IFERROR(INDEX(Raw_orders!G:G, MATCH(shipments[[#This Row],[order_id]],Raw_orders!A:A, 0)), "Unknown")</f>
        <v>Baltics</v>
      </c>
      <c r="J759" t="str">
        <f>PROPER(shipments[[#This Row],[delivery_status]])</f>
        <v>Delivered</v>
      </c>
      <c r="K759" t="s">
        <v>6922</v>
      </c>
    </row>
    <row r="760" spans="1:11">
      <c r="A760" t="s">
        <v>7696</v>
      </c>
      <c r="B760" t="s">
        <v>1630</v>
      </c>
      <c r="C760" t="s">
        <v>6928</v>
      </c>
      <c r="D760" s="1">
        <v>45015</v>
      </c>
      <c r="E760" s="1">
        <v>45022</v>
      </c>
      <c r="F760" s="1">
        <v>45023</v>
      </c>
      <c r="G760">
        <v>31.31</v>
      </c>
      <c r="H7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60" t="str">
        <f>IFERROR(INDEX(Raw_orders!G:G, MATCH(shipments[[#This Row],[order_id]],Raw_orders!A:A, 0)), "Unknown")</f>
        <v>Nordics</v>
      </c>
      <c r="J760" t="str">
        <f>PROPER(shipments[[#This Row],[delivery_status]])</f>
        <v>Delivered</v>
      </c>
      <c r="K760" t="s">
        <v>6926</v>
      </c>
    </row>
    <row r="761" spans="1:11">
      <c r="A761" t="s">
        <v>7697</v>
      </c>
      <c r="B761" t="s">
        <v>1631</v>
      </c>
      <c r="C761" t="s">
        <v>6928</v>
      </c>
      <c r="D761" s="1">
        <v>45026</v>
      </c>
      <c r="E761" s="1">
        <v>45031</v>
      </c>
      <c r="F761" s="1">
        <v>45033</v>
      </c>
      <c r="G761">
        <v>27.36</v>
      </c>
      <c r="H7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61" t="str">
        <f>IFERROR(INDEX(Raw_orders!G:G, MATCH(shipments[[#This Row],[order_id]],Raw_orders!A:A, 0)), "Unknown")</f>
        <v>Nordics</v>
      </c>
      <c r="J761" t="str">
        <f>PROPER(shipments[[#This Row],[delivery_status]])</f>
        <v>Delivered</v>
      </c>
      <c r="K761" t="s">
        <v>6929</v>
      </c>
    </row>
    <row r="762" spans="1:11">
      <c r="A762" t="s">
        <v>7698</v>
      </c>
      <c r="B762" t="s">
        <v>1632</v>
      </c>
      <c r="C762" t="s">
        <v>6940</v>
      </c>
      <c r="D762" s="1">
        <v>45119</v>
      </c>
      <c r="E762" s="1">
        <v>45129</v>
      </c>
      <c r="F762" s="1"/>
      <c r="G762">
        <v>57.17</v>
      </c>
      <c r="H7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762" t="str">
        <f>IFERROR(INDEX(Raw_orders!G:G, MATCH(shipments[[#This Row],[order_id]],Raw_orders!A:A, 0)), "Unknown")</f>
        <v>Central Europe</v>
      </c>
      <c r="J762" t="str">
        <f>PROPER(shipments[[#This Row],[delivery_status]])</f>
        <v>Cancelled</v>
      </c>
      <c r="K762" t="s">
        <v>6963</v>
      </c>
    </row>
    <row r="763" spans="1:11">
      <c r="A763" t="s">
        <v>7699</v>
      </c>
      <c r="B763" t="s">
        <v>1633</v>
      </c>
      <c r="C763" t="s">
        <v>6925</v>
      </c>
      <c r="D763" s="1">
        <v>45069</v>
      </c>
      <c r="E763" s="1">
        <v>45071</v>
      </c>
      <c r="F763" s="1">
        <v>45074</v>
      </c>
      <c r="G763">
        <v>31.83</v>
      </c>
      <c r="H7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63" t="str">
        <f>IFERROR(INDEX(Raw_orders!G:G, MATCH(shipments[[#This Row],[order_id]],Raw_orders!A:A, 0)), "Unknown")</f>
        <v>Nordics</v>
      </c>
      <c r="J763" t="str">
        <f>PROPER(shipments[[#This Row],[delivery_status]])</f>
        <v>Delivered</v>
      </c>
      <c r="K763" t="s">
        <v>6929</v>
      </c>
    </row>
    <row r="764" spans="1:11">
      <c r="A764" t="s">
        <v>7700</v>
      </c>
      <c r="B764" t="s">
        <v>1634</v>
      </c>
      <c r="C764" t="s">
        <v>6935</v>
      </c>
      <c r="D764" s="1">
        <v>45489</v>
      </c>
      <c r="E764" s="1">
        <v>45496</v>
      </c>
      <c r="F764" s="1">
        <v>45497</v>
      </c>
      <c r="G764">
        <v>32.74</v>
      </c>
      <c r="H7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64" t="str">
        <f>IFERROR(INDEX(Raw_orders!G:G, MATCH(shipments[[#This Row],[order_id]],Raw_orders!A:A, 0)), "Unknown")</f>
        <v>Baltics</v>
      </c>
      <c r="J764" t="str">
        <f>PROPER(shipments[[#This Row],[delivery_status]])</f>
        <v>Delivered</v>
      </c>
      <c r="K764" t="s">
        <v>6926</v>
      </c>
    </row>
    <row r="765" spans="1:11">
      <c r="A765" t="s">
        <v>7701</v>
      </c>
      <c r="B765" t="s">
        <v>1635</v>
      </c>
      <c r="C765" t="s">
        <v>6931</v>
      </c>
      <c r="D765" s="1">
        <v>44975</v>
      </c>
      <c r="E765" s="1">
        <v>44977</v>
      </c>
      <c r="F765" s="1">
        <v>44977</v>
      </c>
      <c r="G765">
        <v>16.47</v>
      </c>
      <c r="H7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765" t="str">
        <f>IFERROR(INDEX(Raw_orders!G:G, MATCH(shipments[[#This Row],[order_id]],Raw_orders!A:A, 0)), "Unknown")</f>
        <v>Nordics</v>
      </c>
      <c r="J765" t="str">
        <f>PROPER(shipments[[#This Row],[delivery_status]])</f>
        <v>Delivered</v>
      </c>
      <c r="K765" t="s">
        <v>6922</v>
      </c>
    </row>
    <row r="766" spans="1:11">
      <c r="A766" t="s">
        <v>7702</v>
      </c>
      <c r="B766" t="s">
        <v>1636</v>
      </c>
      <c r="C766" t="s">
        <v>6928</v>
      </c>
      <c r="D766" s="1">
        <v>45005</v>
      </c>
      <c r="E766" s="1">
        <v>45008</v>
      </c>
      <c r="F766" s="1">
        <v>45013</v>
      </c>
      <c r="G766">
        <v>14.75</v>
      </c>
      <c r="H7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66" t="str">
        <f>IFERROR(INDEX(Raw_orders!G:G, MATCH(shipments[[#This Row],[order_id]],Raw_orders!A:A, 0)), "Unknown")</f>
        <v>Baltics</v>
      </c>
      <c r="J766" t="str">
        <f>PROPER(shipments[[#This Row],[delivery_status]])</f>
        <v>Delivered</v>
      </c>
      <c r="K766" t="s">
        <v>6929</v>
      </c>
    </row>
    <row r="767" spans="1:11">
      <c r="A767" t="s">
        <v>7703</v>
      </c>
      <c r="B767" t="s">
        <v>1637</v>
      </c>
      <c r="C767" t="s">
        <v>6940</v>
      </c>
      <c r="D767" s="1">
        <v>45079</v>
      </c>
      <c r="E767" s="1">
        <v>45089</v>
      </c>
      <c r="F767" s="1">
        <v>45089</v>
      </c>
      <c r="G767">
        <v>26.93</v>
      </c>
      <c r="H7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767" t="str">
        <f>IFERROR(INDEX(Raw_orders!G:G, MATCH(shipments[[#This Row],[order_id]],Raw_orders!A:A, 0)), "Unknown")</f>
        <v>Baltics</v>
      </c>
      <c r="J767" t="str">
        <f>PROPER(shipments[[#This Row],[delivery_status]])</f>
        <v>Delivered</v>
      </c>
      <c r="K767" t="s">
        <v>6929</v>
      </c>
    </row>
    <row r="768" spans="1:11">
      <c r="A768" t="s">
        <v>7704</v>
      </c>
      <c r="B768" t="s">
        <v>1638</v>
      </c>
      <c r="C768" t="s">
        <v>6931</v>
      </c>
      <c r="D768" s="1">
        <v>45460</v>
      </c>
      <c r="E768" s="1">
        <v>45470</v>
      </c>
      <c r="F768" s="1">
        <v>45480</v>
      </c>
      <c r="G768">
        <v>19.89</v>
      </c>
      <c r="H7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68" t="str">
        <f>IFERROR(INDEX(Raw_orders!G:G, MATCH(shipments[[#This Row],[order_id]],Raw_orders!A:A, 0)), "Unknown")</f>
        <v>Central Europe</v>
      </c>
      <c r="J768" t="str">
        <f>PROPER(shipments[[#This Row],[delivery_status]])</f>
        <v>Delivered</v>
      </c>
      <c r="K768" t="s">
        <v>6922</v>
      </c>
    </row>
    <row r="769" spans="1:11">
      <c r="A769" t="s">
        <v>7705</v>
      </c>
      <c r="B769" t="s">
        <v>1639</v>
      </c>
      <c r="C769" t="s">
        <v>6938</v>
      </c>
      <c r="D769" s="1">
        <v>45159</v>
      </c>
      <c r="E769" s="1">
        <v>45162</v>
      </c>
      <c r="F769" s="1">
        <v>45170</v>
      </c>
      <c r="G769">
        <v>52.68</v>
      </c>
      <c r="H7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69" t="str">
        <f>IFERROR(INDEX(Raw_orders!G:G, MATCH(shipments[[#This Row],[order_id]],Raw_orders!A:A, 0)), "Unknown")</f>
        <v>Nordics</v>
      </c>
      <c r="J769" t="str">
        <f>PROPER(shipments[[#This Row],[delivery_status]])</f>
        <v>Delivered</v>
      </c>
      <c r="K769" t="s">
        <v>6929</v>
      </c>
    </row>
    <row r="770" spans="1:11">
      <c r="A770" t="s">
        <v>7706</v>
      </c>
      <c r="B770" t="s">
        <v>1639</v>
      </c>
      <c r="C770" t="s">
        <v>6925</v>
      </c>
      <c r="D770" s="1">
        <v>45159</v>
      </c>
      <c r="E770" s="1">
        <v>45164</v>
      </c>
      <c r="F770" s="1">
        <v>45166</v>
      </c>
      <c r="G770">
        <v>9.0399999999999991</v>
      </c>
      <c r="H7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70" t="str">
        <f>IFERROR(INDEX(Raw_orders!G:G, MATCH(shipments[[#This Row],[order_id]],Raw_orders!A:A, 0)), "Unknown")</f>
        <v>Nordics</v>
      </c>
      <c r="J770" t="str">
        <f>PROPER(shipments[[#This Row],[delivery_status]])</f>
        <v>Delivered</v>
      </c>
      <c r="K770" t="s">
        <v>6922</v>
      </c>
    </row>
    <row r="771" spans="1:11">
      <c r="A771" t="s">
        <v>7707</v>
      </c>
      <c r="B771" t="s">
        <v>1640</v>
      </c>
      <c r="C771" t="s">
        <v>6938</v>
      </c>
      <c r="D771" s="1">
        <v>44960</v>
      </c>
      <c r="E771" s="1">
        <v>44963</v>
      </c>
      <c r="F771" s="1">
        <v>44963</v>
      </c>
      <c r="G771">
        <v>55.84</v>
      </c>
      <c r="H7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771" t="str">
        <f>IFERROR(INDEX(Raw_orders!G:G, MATCH(shipments[[#This Row],[order_id]],Raw_orders!A:A, 0)), "Unknown")</f>
        <v>Nordics</v>
      </c>
      <c r="J771" t="str">
        <f>PROPER(shipments[[#This Row],[delivery_status]])</f>
        <v>Delivered</v>
      </c>
      <c r="K771" t="s">
        <v>6922</v>
      </c>
    </row>
    <row r="772" spans="1:11">
      <c r="A772" t="s">
        <v>7708</v>
      </c>
      <c r="B772" t="s">
        <v>1641</v>
      </c>
      <c r="C772" t="s">
        <v>6956</v>
      </c>
      <c r="D772" s="1">
        <v>45295</v>
      </c>
      <c r="E772" s="1">
        <v>45300</v>
      </c>
      <c r="F772" s="1">
        <v>45300</v>
      </c>
      <c r="G772">
        <v>53.92</v>
      </c>
      <c r="H7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772" t="str">
        <f>IFERROR(INDEX(Raw_orders!G:G, MATCH(shipments[[#This Row],[order_id]],Raw_orders!A:A, 0)), "Unknown")</f>
        <v>Baltics</v>
      </c>
      <c r="J772" t="str">
        <f>PROPER(shipments[[#This Row],[delivery_status]])</f>
        <v>Delivered</v>
      </c>
      <c r="K772" t="s">
        <v>6926</v>
      </c>
    </row>
    <row r="773" spans="1:11">
      <c r="A773" t="s">
        <v>7709</v>
      </c>
      <c r="B773" t="s">
        <v>1641</v>
      </c>
      <c r="C773" t="s">
        <v>6925</v>
      </c>
      <c r="D773" s="1">
        <v>45293</v>
      </c>
      <c r="E773" s="1">
        <v>45298</v>
      </c>
      <c r="F773" s="1">
        <v>45306</v>
      </c>
      <c r="G773">
        <v>59.84</v>
      </c>
      <c r="H7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73" t="str">
        <f>IFERROR(INDEX(Raw_orders!G:G, MATCH(shipments[[#This Row],[order_id]],Raw_orders!A:A, 0)), "Unknown")</f>
        <v>Baltics</v>
      </c>
      <c r="J773" t="str">
        <f>PROPER(shipments[[#This Row],[delivery_status]])</f>
        <v>Delivered</v>
      </c>
      <c r="K773" t="s">
        <v>6922</v>
      </c>
    </row>
    <row r="774" spans="1:11">
      <c r="A774" t="s">
        <v>7710</v>
      </c>
      <c r="B774" t="s">
        <v>1642</v>
      </c>
      <c r="C774" t="s">
        <v>6940</v>
      </c>
      <c r="D774" s="1">
        <v>45097</v>
      </c>
      <c r="E774" s="1">
        <v>45107</v>
      </c>
      <c r="F774" s="1">
        <v>45121</v>
      </c>
      <c r="G774">
        <v>62.75</v>
      </c>
      <c r="H7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74" t="str">
        <f>IFERROR(INDEX(Raw_orders!G:G, MATCH(shipments[[#This Row],[order_id]],Raw_orders!A:A, 0)), "Unknown")</f>
        <v>Central Europe</v>
      </c>
      <c r="J774" t="str">
        <f>PROPER(shipments[[#This Row],[delivery_status]])</f>
        <v>Delivered</v>
      </c>
      <c r="K774" t="s">
        <v>6922</v>
      </c>
    </row>
    <row r="775" spans="1:11">
      <c r="A775" t="s">
        <v>7711</v>
      </c>
      <c r="B775" t="s">
        <v>1643</v>
      </c>
      <c r="C775" t="s">
        <v>6928</v>
      </c>
      <c r="D775" s="1">
        <v>45250</v>
      </c>
      <c r="E775" s="1">
        <v>45252</v>
      </c>
      <c r="F775" s="1">
        <v>45255</v>
      </c>
      <c r="G775">
        <v>59.12</v>
      </c>
      <c r="H7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75" t="str">
        <f>IFERROR(INDEX(Raw_orders!G:G, MATCH(shipments[[#This Row],[order_id]],Raw_orders!A:A, 0)), "Unknown")</f>
        <v>Central Europe</v>
      </c>
      <c r="J775" t="str">
        <f>PROPER(shipments[[#This Row],[delivery_status]])</f>
        <v>Delivered</v>
      </c>
      <c r="K775" t="s">
        <v>6926</v>
      </c>
    </row>
    <row r="776" spans="1:11">
      <c r="A776" t="s">
        <v>7712</v>
      </c>
      <c r="B776" t="s">
        <v>1644</v>
      </c>
      <c r="C776" t="s">
        <v>6935</v>
      </c>
      <c r="D776" s="1">
        <v>45099</v>
      </c>
      <c r="E776" s="1">
        <v>45102</v>
      </c>
      <c r="F776" s="1">
        <v>45107</v>
      </c>
      <c r="G776">
        <v>49.65</v>
      </c>
      <c r="H7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76" t="str">
        <f>IFERROR(INDEX(Raw_orders!G:G, MATCH(shipments[[#This Row],[order_id]],Raw_orders!A:A, 0)), "Unknown")</f>
        <v>Baltics</v>
      </c>
      <c r="J776" t="str">
        <f>PROPER(shipments[[#This Row],[delivery_status]])</f>
        <v>Delivered</v>
      </c>
      <c r="K776" t="s">
        <v>6922</v>
      </c>
    </row>
    <row r="777" spans="1:11">
      <c r="A777" t="s">
        <v>7713</v>
      </c>
      <c r="B777" t="s">
        <v>1645</v>
      </c>
      <c r="C777" t="s">
        <v>6935</v>
      </c>
      <c r="D777" s="1">
        <v>45234</v>
      </c>
      <c r="E777" s="1">
        <v>45239</v>
      </c>
      <c r="F777" s="1">
        <v>45239</v>
      </c>
      <c r="G777">
        <v>7.04</v>
      </c>
      <c r="H7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777" t="str">
        <f>IFERROR(INDEX(Raw_orders!G:G, MATCH(shipments[[#This Row],[order_id]],Raw_orders!A:A, 0)), "Unknown")</f>
        <v>Nordics</v>
      </c>
      <c r="J777" t="str">
        <f>PROPER(shipments[[#This Row],[delivery_status]])</f>
        <v>Delivered</v>
      </c>
      <c r="K777" t="s">
        <v>6926</v>
      </c>
    </row>
    <row r="778" spans="1:11">
      <c r="A778" t="s">
        <v>7714</v>
      </c>
      <c r="B778" t="s">
        <v>1646</v>
      </c>
      <c r="C778" t="s">
        <v>6931</v>
      </c>
      <c r="D778" s="1">
        <v>45572</v>
      </c>
      <c r="E778" s="1">
        <v>45574</v>
      </c>
      <c r="F778" s="1">
        <v>45575</v>
      </c>
      <c r="G778">
        <v>46</v>
      </c>
      <c r="H7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78" t="str">
        <f>IFERROR(INDEX(Raw_orders!G:G, MATCH(shipments[[#This Row],[order_id]],Raw_orders!A:A, 0)), "Unknown")</f>
        <v>Central Europe</v>
      </c>
      <c r="J778" t="str">
        <f>PROPER(shipments[[#This Row],[delivery_status]])</f>
        <v>Delivered</v>
      </c>
      <c r="K778" t="s">
        <v>6926</v>
      </c>
    </row>
    <row r="779" spans="1:11">
      <c r="A779" t="s">
        <v>7715</v>
      </c>
      <c r="B779" t="s">
        <v>1647</v>
      </c>
      <c r="C779" t="s">
        <v>6935</v>
      </c>
      <c r="D779" s="1">
        <v>45057</v>
      </c>
      <c r="E779" s="1">
        <v>45060</v>
      </c>
      <c r="F779" s="1">
        <v>45065</v>
      </c>
      <c r="G779">
        <v>47.99</v>
      </c>
      <c r="H7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79" t="str">
        <f>IFERROR(INDEX(Raw_orders!G:G, MATCH(shipments[[#This Row],[order_id]],Raw_orders!A:A, 0)), "Unknown")</f>
        <v>Baltics</v>
      </c>
      <c r="J779" t="str">
        <f>PROPER(shipments[[#This Row],[delivery_status]])</f>
        <v>Delivered</v>
      </c>
      <c r="K779" t="s">
        <v>6922</v>
      </c>
    </row>
    <row r="780" spans="1:11">
      <c r="A780" t="s">
        <v>7716</v>
      </c>
      <c r="B780" t="s">
        <v>1648</v>
      </c>
      <c r="C780" t="s">
        <v>6935</v>
      </c>
      <c r="D780" s="1">
        <v>45476</v>
      </c>
      <c r="E780" s="1">
        <v>45481</v>
      </c>
      <c r="F780" s="1">
        <v>45489</v>
      </c>
      <c r="G780">
        <v>32.5</v>
      </c>
      <c r="H7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80" t="str">
        <f>IFERROR(INDEX(Raw_orders!G:G, MATCH(shipments[[#This Row],[order_id]],Raw_orders!A:A, 0)), "Unknown")</f>
        <v>Baltics</v>
      </c>
      <c r="J780" t="str">
        <f>PROPER(shipments[[#This Row],[delivery_status]])</f>
        <v>Delivered</v>
      </c>
      <c r="K780" t="s">
        <v>6929</v>
      </c>
    </row>
    <row r="781" spans="1:11">
      <c r="A781" t="s">
        <v>7717</v>
      </c>
      <c r="B781" t="s">
        <v>1649</v>
      </c>
      <c r="C781" t="s">
        <v>6935</v>
      </c>
      <c r="D781" s="1">
        <v>44939</v>
      </c>
      <c r="E781" s="1">
        <v>44946</v>
      </c>
      <c r="F781" s="1">
        <v>44946</v>
      </c>
      <c r="G781">
        <v>18.12</v>
      </c>
      <c r="H7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781" t="str">
        <f>IFERROR(INDEX(Raw_orders!G:G, MATCH(shipments[[#This Row],[order_id]],Raw_orders!A:A, 0)), "Unknown")</f>
        <v>Unknown</v>
      </c>
      <c r="J781" t="str">
        <f>PROPER(shipments[[#This Row],[delivery_status]])</f>
        <v>Delivered</v>
      </c>
      <c r="K781" t="s">
        <v>6929</v>
      </c>
    </row>
    <row r="782" spans="1:11">
      <c r="A782" t="s">
        <v>7718</v>
      </c>
      <c r="B782" t="s">
        <v>1650</v>
      </c>
      <c r="C782" t="s">
        <v>6921</v>
      </c>
      <c r="D782" s="1">
        <v>45197</v>
      </c>
      <c r="E782" s="1">
        <v>45200</v>
      </c>
      <c r="F782" s="1">
        <v>45199</v>
      </c>
      <c r="G782">
        <v>51.95</v>
      </c>
      <c r="H7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782" t="str">
        <f>IFERROR(INDEX(Raw_orders!G:G, MATCH(shipments[[#This Row],[order_id]],Raw_orders!A:A, 0)), "Unknown")</f>
        <v>Baltics</v>
      </c>
      <c r="J782" t="str">
        <f>PROPER(shipments[[#This Row],[delivery_status]])</f>
        <v>Delivered</v>
      </c>
      <c r="K782" t="s">
        <v>6922</v>
      </c>
    </row>
    <row r="783" spans="1:11">
      <c r="A783" t="s">
        <v>7719</v>
      </c>
      <c r="B783" t="s">
        <v>1651</v>
      </c>
      <c r="C783" t="s">
        <v>6935</v>
      </c>
      <c r="D783" s="1">
        <v>45093</v>
      </c>
      <c r="E783" s="1">
        <v>45096</v>
      </c>
      <c r="F783" s="1">
        <v>45101</v>
      </c>
      <c r="G783">
        <v>64.2</v>
      </c>
      <c r="H7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83" t="str">
        <f>IFERROR(INDEX(Raw_orders!G:G, MATCH(shipments[[#This Row],[order_id]],Raw_orders!A:A, 0)), "Unknown")</f>
        <v>Baltics</v>
      </c>
      <c r="J783" t="str">
        <f>PROPER(shipments[[#This Row],[delivery_status]])</f>
        <v>Delivered</v>
      </c>
      <c r="K783" t="s">
        <v>6922</v>
      </c>
    </row>
    <row r="784" spans="1:11">
      <c r="A784" t="s">
        <v>7720</v>
      </c>
      <c r="B784" t="s">
        <v>1652</v>
      </c>
      <c r="C784" t="s">
        <v>6938</v>
      </c>
      <c r="D784" s="1">
        <v>45052</v>
      </c>
      <c r="E784" s="1">
        <v>45057</v>
      </c>
      <c r="F784" s="1">
        <v>45066</v>
      </c>
      <c r="G784">
        <v>58.29</v>
      </c>
      <c r="H7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84" t="str">
        <f>IFERROR(INDEX(Raw_orders!G:G, MATCH(shipments[[#This Row],[order_id]],Raw_orders!A:A, 0)), "Unknown")</f>
        <v>Baltics</v>
      </c>
      <c r="J784" t="str">
        <f>PROPER(shipments[[#This Row],[delivery_status]])</f>
        <v>Delivered</v>
      </c>
      <c r="K784" t="s">
        <v>6926</v>
      </c>
    </row>
    <row r="785" spans="1:11">
      <c r="A785" t="s">
        <v>7721</v>
      </c>
      <c r="B785" t="s">
        <v>1653</v>
      </c>
      <c r="C785" t="s">
        <v>6928</v>
      </c>
      <c r="D785" s="1">
        <v>45225</v>
      </c>
      <c r="E785" s="1">
        <v>45235</v>
      </c>
      <c r="F785" s="1">
        <v>45240</v>
      </c>
      <c r="G785">
        <v>54.81</v>
      </c>
      <c r="H7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85" t="str">
        <f>IFERROR(INDEX(Raw_orders!G:G, MATCH(shipments[[#This Row],[order_id]],Raw_orders!A:A, 0)), "Unknown")</f>
        <v>Nordics</v>
      </c>
      <c r="J785" t="str">
        <f>PROPER(shipments[[#This Row],[delivery_status]])</f>
        <v>Delivered</v>
      </c>
      <c r="K785" t="s">
        <v>6929</v>
      </c>
    </row>
    <row r="786" spans="1:11">
      <c r="A786" t="s">
        <v>7722</v>
      </c>
      <c r="B786" t="s">
        <v>1654</v>
      </c>
      <c r="C786" t="s">
        <v>6938</v>
      </c>
      <c r="D786" s="1">
        <v>45335</v>
      </c>
      <c r="E786" s="1">
        <v>45340</v>
      </c>
      <c r="F786" s="1">
        <v>45344</v>
      </c>
      <c r="G786">
        <v>48.74</v>
      </c>
      <c r="H7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86" t="str">
        <f>IFERROR(INDEX(Raw_orders!G:G, MATCH(shipments[[#This Row],[order_id]],Raw_orders!A:A, 0)), "Unknown")</f>
        <v>Central Europe</v>
      </c>
      <c r="J786" t="str">
        <f>PROPER(shipments[[#This Row],[delivery_status]])</f>
        <v>Delivered</v>
      </c>
      <c r="K786" t="s">
        <v>6922</v>
      </c>
    </row>
    <row r="787" spans="1:11">
      <c r="A787" t="s">
        <v>7723</v>
      </c>
      <c r="B787" t="s">
        <v>1655</v>
      </c>
      <c r="C787" t="s">
        <v>6928</v>
      </c>
      <c r="D787" s="1">
        <v>45188</v>
      </c>
      <c r="E787" s="1">
        <v>45190</v>
      </c>
      <c r="F787" s="1">
        <v>45201</v>
      </c>
      <c r="G787">
        <v>59.76</v>
      </c>
      <c r="H7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87" t="str">
        <f>IFERROR(INDEX(Raw_orders!G:G, MATCH(shipments[[#This Row],[order_id]],Raw_orders!A:A, 0)), "Unknown")</f>
        <v>Baltics</v>
      </c>
      <c r="J787" t="str">
        <f>PROPER(shipments[[#This Row],[delivery_status]])</f>
        <v>Delivered</v>
      </c>
      <c r="K787" t="s">
        <v>6929</v>
      </c>
    </row>
    <row r="788" spans="1:11">
      <c r="A788" t="s">
        <v>7724</v>
      </c>
      <c r="B788" t="s">
        <v>1656</v>
      </c>
      <c r="C788" t="s">
        <v>6931</v>
      </c>
      <c r="D788" s="1">
        <v>45605</v>
      </c>
      <c r="E788" s="1">
        <v>45615</v>
      </c>
      <c r="F788" s="1">
        <v>45616</v>
      </c>
      <c r="G788">
        <v>55.32</v>
      </c>
      <c r="H7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88" t="str">
        <f>IFERROR(INDEX(Raw_orders!G:G, MATCH(shipments[[#This Row],[order_id]],Raw_orders!A:A, 0)), "Unknown")</f>
        <v>Nordics</v>
      </c>
      <c r="J788" t="str">
        <f>PROPER(shipments[[#This Row],[delivery_status]])</f>
        <v>Delivered</v>
      </c>
      <c r="K788" t="s">
        <v>6929</v>
      </c>
    </row>
    <row r="789" spans="1:11">
      <c r="A789" t="s">
        <v>7725</v>
      </c>
      <c r="B789" t="s">
        <v>1657</v>
      </c>
      <c r="C789" t="s">
        <v>6938</v>
      </c>
      <c r="D789" s="1">
        <v>45589</v>
      </c>
      <c r="E789" s="1">
        <v>45599</v>
      </c>
      <c r="F789" s="1"/>
      <c r="G789">
        <v>50.97</v>
      </c>
      <c r="H7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789" t="str">
        <f>IFERROR(INDEX(Raw_orders!G:G, MATCH(shipments[[#This Row],[order_id]],Raw_orders!A:A, 0)), "Unknown")</f>
        <v>Baltics</v>
      </c>
      <c r="J789" t="str">
        <f>PROPER(shipments[[#This Row],[delivery_status]])</f>
        <v>In Transit</v>
      </c>
      <c r="K789" t="s">
        <v>6977</v>
      </c>
    </row>
    <row r="790" spans="1:11">
      <c r="A790" t="s">
        <v>7726</v>
      </c>
      <c r="B790" t="s">
        <v>1658</v>
      </c>
      <c r="C790" t="s">
        <v>6931</v>
      </c>
      <c r="D790" s="1">
        <v>45105</v>
      </c>
      <c r="E790" s="1">
        <v>45110</v>
      </c>
      <c r="F790" s="1">
        <v>45110</v>
      </c>
      <c r="G790">
        <v>28.18</v>
      </c>
      <c r="H7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790" t="str">
        <f>IFERROR(INDEX(Raw_orders!G:G, MATCH(shipments[[#This Row],[order_id]],Raw_orders!A:A, 0)), "Unknown")</f>
        <v>Baltics</v>
      </c>
      <c r="J790" t="str">
        <f>PROPER(shipments[[#This Row],[delivery_status]])</f>
        <v>Delivered</v>
      </c>
      <c r="K790" t="s">
        <v>6922</v>
      </c>
    </row>
    <row r="791" spans="1:11">
      <c r="A791" t="s">
        <v>7727</v>
      </c>
      <c r="B791" t="s">
        <v>1659</v>
      </c>
      <c r="C791" t="s">
        <v>6956</v>
      </c>
      <c r="D791" s="1">
        <v>45532</v>
      </c>
      <c r="E791" s="1">
        <v>45534</v>
      </c>
      <c r="F791" s="1">
        <v>45533</v>
      </c>
      <c r="G791">
        <v>46.54</v>
      </c>
      <c r="H7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791" t="str">
        <f>IFERROR(INDEX(Raw_orders!G:G, MATCH(shipments[[#This Row],[order_id]],Raw_orders!A:A, 0)), "Unknown")</f>
        <v>Nordics</v>
      </c>
      <c r="J791" t="str">
        <f>PROPER(shipments[[#This Row],[delivery_status]])</f>
        <v>Delivered</v>
      </c>
      <c r="K791" t="s">
        <v>6929</v>
      </c>
    </row>
    <row r="792" spans="1:11">
      <c r="A792" t="s">
        <v>7728</v>
      </c>
      <c r="B792" t="s">
        <v>1660</v>
      </c>
      <c r="C792" t="s">
        <v>6931</v>
      </c>
      <c r="D792" s="1">
        <v>45080</v>
      </c>
      <c r="E792" s="1">
        <v>45082</v>
      </c>
      <c r="F792" s="1">
        <v>45087</v>
      </c>
      <c r="G792">
        <v>27.41</v>
      </c>
      <c r="H7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92" t="str">
        <f>IFERROR(INDEX(Raw_orders!G:G, MATCH(shipments[[#This Row],[order_id]],Raw_orders!A:A, 0)), "Unknown")</f>
        <v>Baltics</v>
      </c>
      <c r="J792" t="str">
        <f>PROPER(shipments[[#This Row],[delivery_status]])</f>
        <v>Delivered</v>
      </c>
      <c r="K792" t="s">
        <v>6926</v>
      </c>
    </row>
    <row r="793" spans="1:11">
      <c r="A793" t="s">
        <v>7729</v>
      </c>
      <c r="B793" t="s">
        <v>1661</v>
      </c>
      <c r="C793" t="s">
        <v>6925</v>
      </c>
      <c r="D793" s="1">
        <v>45228</v>
      </c>
      <c r="E793" s="1">
        <v>45230</v>
      </c>
      <c r="F793" s="1">
        <v>45244</v>
      </c>
      <c r="G793">
        <v>44.61</v>
      </c>
      <c r="H7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93" t="str">
        <f>IFERROR(INDEX(Raw_orders!G:G, MATCH(shipments[[#This Row],[order_id]],Raw_orders!A:A, 0)), "Unknown")</f>
        <v>Nordics</v>
      </c>
      <c r="J793" t="str">
        <f>PROPER(shipments[[#This Row],[delivery_status]])</f>
        <v>Delivered</v>
      </c>
      <c r="K793" t="s">
        <v>6926</v>
      </c>
    </row>
    <row r="794" spans="1:11">
      <c r="A794" t="s">
        <v>7730</v>
      </c>
      <c r="B794" t="s">
        <v>1662</v>
      </c>
      <c r="C794" t="s">
        <v>6949</v>
      </c>
      <c r="D794" s="1">
        <v>45582</v>
      </c>
      <c r="E794" s="1">
        <v>45592</v>
      </c>
      <c r="F794" s="1">
        <v>45591</v>
      </c>
      <c r="G794">
        <v>57.8</v>
      </c>
      <c r="H7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794" t="str">
        <f>IFERROR(INDEX(Raw_orders!G:G, MATCH(shipments[[#This Row],[order_id]],Raw_orders!A:A, 0)), "Unknown")</f>
        <v>Nordics</v>
      </c>
      <c r="J794" t="str">
        <f>PROPER(shipments[[#This Row],[delivery_status]])</f>
        <v>Delivered</v>
      </c>
      <c r="K794" t="s">
        <v>6922</v>
      </c>
    </row>
    <row r="795" spans="1:11">
      <c r="A795" t="s">
        <v>7731</v>
      </c>
      <c r="B795" t="s">
        <v>1663</v>
      </c>
      <c r="C795" t="s">
        <v>6921</v>
      </c>
      <c r="D795" s="1">
        <v>45286</v>
      </c>
      <c r="E795" s="1">
        <v>45289</v>
      </c>
      <c r="F795" s="1">
        <v>45294</v>
      </c>
      <c r="G795">
        <v>61.74</v>
      </c>
      <c r="H7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95" t="str">
        <f>IFERROR(INDEX(Raw_orders!G:G, MATCH(shipments[[#This Row],[order_id]],Raw_orders!A:A, 0)), "Unknown")</f>
        <v>Nordics</v>
      </c>
      <c r="J795" t="str">
        <f>PROPER(shipments[[#This Row],[delivery_status]])</f>
        <v>Delivered</v>
      </c>
      <c r="K795" t="s">
        <v>6926</v>
      </c>
    </row>
    <row r="796" spans="1:11">
      <c r="A796" t="s">
        <v>7732</v>
      </c>
      <c r="B796" t="s">
        <v>1664</v>
      </c>
      <c r="C796" t="s">
        <v>6949</v>
      </c>
      <c r="D796" s="1">
        <v>45290</v>
      </c>
      <c r="E796" s="1">
        <v>45292</v>
      </c>
      <c r="F796" s="1">
        <v>45295</v>
      </c>
      <c r="G796">
        <v>17.170000000000002</v>
      </c>
      <c r="H7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96" t="str">
        <f>IFERROR(INDEX(Raw_orders!G:G, MATCH(shipments[[#This Row],[order_id]],Raw_orders!A:A, 0)), "Unknown")</f>
        <v>Central Europe</v>
      </c>
      <c r="J796" t="str">
        <f>PROPER(shipments[[#This Row],[delivery_status]])</f>
        <v>Delivered</v>
      </c>
      <c r="K796" t="s">
        <v>6926</v>
      </c>
    </row>
    <row r="797" spans="1:11">
      <c r="A797" t="s">
        <v>7733</v>
      </c>
      <c r="B797" t="s">
        <v>1665</v>
      </c>
      <c r="C797" t="s">
        <v>6928</v>
      </c>
      <c r="D797" s="1">
        <v>45162</v>
      </c>
      <c r="E797" s="1">
        <v>45167</v>
      </c>
      <c r="F797" s="1">
        <v>45168</v>
      </c>
      <c r="G797">
        <v>39.799999999999997</v>
      </c>
      <c r="H7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97" t="str">
        <f>IFERROR(INDEX(Raw_orders!G:G, MATCH(shipments[[#This Row],[order_id]],Raw_orders!A:A, 0)), "Unknown")</f>
        <v>Baltics</v>
      </c>
      <c r="J797" t="str">
        <f>PROPER(shipments[[#This Row],[delivery_status]])</f>
        <v>Delivered</v>
      </c>
      <c r="K797" t="s">
        <v>6926</v>
      </c>
    </row>
    <row r="798" spans="1:11">
      <c r="A798" t="s">
        <v>7734</v>
      </c>
      <c r="B798" t="s">
        <v>1666</v>
      </c>
      <c r="C798" t="s">
        <v>6928</v>
      </c>
      <c r="D798" s="1">
        <v>45321</v>
      </c>
      <c r="E798" s="1">
        <v>45323</v>
      </c>
      <c r="F798" s="1">
        <v>45324</v>
      </c>
      <c r="G798">
        <v>39.92</v>
      </c>
      <c r="H7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98" t="str">
        <f>IFERROR(INDEX(Raw_orders!G:G, MATCH(shipments[[#This Row],[order_id]],Raw_orders!A:A, 0)), "Unknown")</f>
        <v>Nordics</v>
      </c>
      <c r="J798" t="str">
        <f>PROPER(shipments[[#This Row],[delivery_status]])</f>
        <v>Delivered</v>
      </c>
      <c r="K798" t="s">
        <v>6926</v>
      </c>
    </row>
    <row r="799" spans="1:11">
      <c r="A799" t="s">
        <v>7735</v>
      </c>
      <c r="B799" t="s">
        <v>1667</v>
      </c>
      <c r="C799" t="s">
        <v>6935</v>
      </c>
      <c r="D799" s="1">
        <v>45268</v>
      </c>
      <c r="E799" s="1">
        <v>45271</v>
      </c>
      <c r="F799" s="1">
        <v>45276</v>
      </c>
      <c r="G799">
        <v>48.11</v>
      </c>
      <c r="H7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799" t="str">
        <f>IFERROR(INDEX(Raw_orders!G:G, MATCH(shipments[[#This Row],[order_id]],Raw_orders!A:A, 0)), "Unknown")</f>
        <v>Baltics</v>
      </c>
      <c r="J799" t="str">
        <f>PROPER(shipments[[#This Row],[delivery_status]])</f>
        <v>Delivered</v>
      </c>
      <c r="K799" t="s">
        <v>6929</v>
      </c>
    </row>
    <row r="800" spans="1:11">
      <c r="A800" t="s">
        <v>7736</v>
      </c>
      <c r="B800" t="s">
        <v>1668</v>
      </c>
      <c r="C800" t="s">
        <v>6931</v>
      </c>
      <c r="D800" s="1">
        <v>45219</v>
      </c>
      <c r="E800" s="1">
        <v>45226</v>
      </c>
      <c r="F800" s="1">
        <v>45232</v>
      </c>
      <c r="G800">
        <v>14.47</v>
      </c>
      <c r="H8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00" t="str">
        <f>IFERROR(INDEX(Raw_orders!G:G, MATCH(shipments[[#This Row],[order_id]],Raw_orders!A:A, 0)), "Unknown")</f>
        <v>Baltics</v>
      </c>
      <c r="J800" t="str">
        <f>PROPER(shipments[[#This Row],[delivery_status]])</f>
        <v>Delivered</v>
      </c>
      <c r="K800" t="s">
        <v>6929</v>
      </c>
    </row>
    <row r="801" spans="1:11">
      <c r="A801" t="s">
        <v>7737</v>
      </c>
      <c r="B801" t="s">
        <v>1668</v>
      </c>
      <c r="C801" t="s">
        <v>6940</v>
      </c>
      <c r="D801" s="1">
        <v>45217</v>
      </c>
      <c r="E801" s="1">
        <v>45219</v>
      </c>
      <c r="F801" s="1">
        <v>45222</v>
      </c>
      <c r="G801">
        <v>35.65</v>
      </c>
      <c r="H8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01" t="str">
        <f>IFERROR(INDEX(Raw_orders!G:G, MATCH(shipments[[#This Row],[order_id]],Raw_orders!A:A, 0)), "Unknown")</f>
        <v>Baltics</v>
      </c>
      <c r="J801" t="str">
        <f>PROPER(shipments[[#This Row],[delivery_status]])</f>
        <v>Delivered</v>
      </c>
      <c r="K801" t="s">
        <v>6926</v>
      </c>
    </row>
    <row r="802" spans="1:11">
      <c r="A802" t="s">
        <v>7738</v>
      </c>
      <c r="B802" t="s">
        <v>1669</v>
      </c>
      <c r="C802" t="s">
        <v>6931</v>
      </c>
      <c r="D802" s="1">
        <v>45118</v>
      </c>
      <c r="E802" s="1">
        <v>45121</v>
      </c>
      <c r="F802" s="1">
        <v>45122</v>
      </c>
      <c r="G802">
        <v>50.55</v>
      </c>
      <c r="H8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02" t="str">
        <f>IFERROR(INDEX(Raw_orders!G:G, MATCH(shipments[[#This Row],[order_id]],Raw_orders!A:A, 0)), "Unknown")</f>
        <v>Central Europe</v>
      </c>
      <c r="J802" t="str">
        <f>PROPER(shipments[[#This Row],[delivery_status]])</f>
        <v>Delivered</v>
      </c>
      <c r="K802" t="s">
        <v>6929</v>
      </c>
    </row>
    <row r="803" spans="1:11">
      <c r="A803" t="s">
        <v>7739</v>
      </c>
      <c r="B803" t="s">
        <v>1669</v>
      </c>
      <c r="C803" t="s">
        <v>6956</v>
      </c>
      <c r="D803" s="1">
        <v>45119</v>
      </c>
      <c r="E803" s="1">
        <v>45129</v>
      </c>
      <c r="F803" s="1">
        <v>45134</v>
      </c>
      <c r="G803">
        <v>62.47</v>
      </c>
      <c r="H8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03" t="str">
        <f>IFERROR(INDEX(Raw_orders!G:G, MATCH(shipments[[#This Row],[order_id]],Raw_orders!A:A, 0)), "Unknown")</f>
        <v>Central Europe</v>
      </c>
      <c r="J803" t="str">
        <f>PROPER(shipments[[#This Row],[delivery_status]])</f>
        <v>Delivered</v>
      </c>
      <c r="K803" t="s">
        <v>6929</v>
      </c>
    </row>
    <row r="804" spans="1:11">
      <c r="A804" t="s">
        <v>7740</v>
      </c>
      <c r="B804" t="s">
        <v>1670</v>
      </c>
      <c r="C804" t="s">
        <v>6928</v>
      </c>
      <c r="D804" s="1">
        <v>45107</v>
      </c>
      <c r="E804" s="1">
        <v>45109</v>
      </c>
      <c r="F804" s="1">
        <v>45110</v>
      </c>
      <c r="G804">
        <v>39.15</v>
      </c>
      <c r="H8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04" t="str">
        <f>IFERROR(INDEX(Raw_orders!G:G, MATCH(shipments[[#This Row],[order_id]],Raw_orders!A:A, 0)), "Unknown")</f>
        <v>Baltics</v>
      </c>
      <c r="J804" t="str">
        <f>PROPER(shipments[[#This Row],[delivery_status]])</f>
        <v>Delivered</v>
      </c>
      <c r="K804" t="s">
        <v>6922</v>
      </c>
    </row>
    <row r="805" spans="1:11">
      <c r="A805" t="s">
        <v>7741</v>
      </c>
      <c r="B805" t="s">
        <v>1671</v>
      </c>
      <c r="C805" t="s">
        <v>6935</v>
      </c>
      <c r="D805" s="1">
        <v>45316</v>
      </c>
      <c r="E805" s="1">
        <v>45323</v>
      </c>
      <c r="F805" s="1">
        <v>45325</v>
      </c>
      <c r="G805">
        <v>11.04</v>
      </c>
      <c r="H8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05" t="str">
        <f>IFERROR(INDEX(Raw_orders!G:G, MATCH(shipments[[#This Row],[order_id]],Raw_orders!A:A, 0)), "Unknown")</f>
        <v>Baltics</v>
      </c>
      <c r="J805" t="str">
        <f>PROPER(shipments[[#This Row],[delivery_status]])</f>
        <v>Delivered</v>
      </c>
      <c r="K805" t="s">
        <v>6926</v>
      </c>
    </row>
    <row r="806" spans="1:11">
      <c r="A806" t="s">
        <v>7742</v>
      </c>
      <c r="B806" t="s">
        <v>1672</v>
      </c>
      <c r="C806" t="s">
        <v>6938</v>
      </c>
      <c r="D806" s="1">
        <v>45287</v>
      </c>
      <c r="E806" s="1">
        <v>45294</v>
      </c>
      <c r="F806" s="1">
        <v>45294</v>
      </c>
      <c r="G806">
        <v>7.52</v>
      </c>
      <c r="H8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806" t="str">
        <f>IFERROR(INDEX(Raw_orders!G:G, MATCH(shipments[[#This Row],[order_id]],Raw_orders!A:A, 0)), "Unknown")</f>
        <v>Central Europe</v>
      </c>
      <c r="J806" t="str">
        <f>PROPER(shipments[[#This Row],[delivery_status]])</f>
        <v>Delivered</v>
      </c>
      <c r="K806" t="s">
        <v>6926</v>
      </c>
    </row>
    <row r="807" spans="1:11">
      <c r="A807" t="s">
        <v>7743</v>
      </c>
      <c r="B807" t="s">
        <v>1672</v>
      </c>
      <c r="C807" t="s">
        <v>6938</v>
      </c>
      <c r="D807" s="1">
        <v>45287</v>
      </c>
      <c r="E807" s="1">
        <v>45290</v>
      </c>
      <c r="F807" s="1">
        <v>45290</v>
      </c>
      <c r="G807">
        <v>47.47</v>
      </c>
      <c r="H8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807" t="str">
        <f>IFERROR(INDEX(Raw_orders!G:G, MATCH(shipments[[#This Row],[order_id]],Raw_orders!A:A, 0)), "Unknown")</f>
        <v>Central Europe</v>
      </c>
      <c r="J807" t="str">
        <f>PROPER(shipments[[#This Row],[delivery_status]])</f>
        <v>Delivered</v>
      </c>
      <c r="K807" t="s">
        <v>6926</v>
      </c>
    </row>
    <row r="808" spans="1:11">
      <c r="A808" t="s">
        <v>7744</v>
      </c>
      <c r="B808" t="s">
        <v>1673</v>
      </c>
      <c r="C808" t="s">
        <v>6925</v>
      </c>
      <c r="D808" s="1">
        <v>45035</v>
      </c>
      <c r="E808" s="1">
        <v>45038</v>
      </c>
      <c r="F808" s="1">
        <v>45037</v>
      </c>
      <c r="G808">
        <v>10.95</v>
      </c>
      <c r="H8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808" t="str">
        <f>IFERROR(INDEX(Raw_orders!G:G, MATCH(shipments[[#This Row],[order_id]],Raw_orders!A:A, 0)), "Unknown")</f>
        <v>Nordics</v>
      </c>
      <c r="J808" t="str">
        <f>PROPER(shipments[[#This Row],[delivery_status]])</f>
        <v>Delivered</v>
      </c>
      <c r="K808" t="s">
        <v>6922</v>
      </c>
    </row>
    <row r="809" spans="1:11">
      <c r="A809" t="s">
        <v>7745</v>
      </c>
      <c r="B809" t="s">
        <v>1674</v>
      </c>
      <c r="C809" t="s">
        <v>6940</v>
      </c>
      <c r="D809" s="1">
        <v>44947</v>
      </c>
      <c r="E809" s="1">
        <v>44954</v>
      </c>
      <c r="F809" s="1">
        <v>44955</v>
      </c>
      <c r="G809">
        <v>56.03</v>
      </c>
      <c r="H8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09" t="str">
        <f>IFERROR(INDEX(Raw_orders!G:G, MATCH(shipments[[#This Row],[order_id]],Raw_orders!A:A, 0)), "Unknown")</f>
        <v>Central Europe</v>
      </c>
      <c r="J809" t="str">
        <f>PROPER(shipments[[#This Row],[delivery_status]])</f>
        <v>Delivered</v>
      </c>
      <c r="K809" t="s">
        <v>6926</v>
      </c>
    </row>
    <row r="810" spans="1:11">
      <c r="A810" t="s">
        <v>7746</v>
      </c>
      <c r="B810" t="s">
        <v>1675</v>
      </c>
      <c r="C810" t="s">
        <v>6956</v>
      </c>
      <c r="D810" s="1">
        <v>45094</v>
      </c>
      <c r="E810" s="1">
        <v>45101</v>
      </c>
      <c r="F810" s="1">
        <v>45101</v>
      </c>
      <c r="G810">
        <v>40.42</v>
      </c>
      <c r="H8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810" t="str">
        <f>IFERROR(INDEX(Raw_orders!G:G, MATCH(shipments[[#This Row],[order_id]],Raw_orders!A:A, 0)), "Unknown")</f>
        <v>Central Europe</v>
      </c>
      <c r="J810" t="str">
        <f>PROPER(shipments[[#This Row],[delivery_status]])</f>
        <v>Delivered</v>
      </c>
      <c r="K810" t="s">
        <v>6922</v>
      </c>
    </row>
    <row r="811" spans="1:11">
      <c r="A811" t="s">
        <v>7747</v>
      </c>
      <c r="B811" t="s">
        <v>1676</v>
      </c>
      <c r="C811" t="s">
        <v>6935</v>
      </c>
      <c r="D811" s="1">
        <v>45242</v>
      </c>
      <c r="E811" s="1">
        <v>45244</v>
      </c>
      <c r="F811" s="1">
        <v>45256</v>
      </c>
      <c r="G811">
        <v>42.34</v>
      </c>
      <c r="H8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11" t="str">
        <f>IFERROR(INDEX(Raw_orders!G:G, MATCH(shipments[[#This Row],[order_id]],Raw_orders!A:A, 0)), "Unknown")</f>
        <v>Baltics</v>
      </c>
      <c r="J811" t="str">
        <f>PROPER(shipments[[#This Row],[delivery_status]])</f>
        <v>Delivered</v>
      </c>
      <c r="K811" t="s">
        <v>6926</v>
      </c>
    </row>
    <row r="812" spans="1:11">
      <c r="A812" t="s">
        <v>7748</v>
      </c>
      <c r="B812" t="s">
        <v>1677</v>
      </c>
      <c r="C812" t="s">
        <v>6928</v>
      </c>
      <c r="D812" s="1">
        <v>45177</v>
      </c>
      <c r="E812" s="1">
        <v>45187</v>
      </c>
      <c r="F812" s="1"/>
      <c r="G812">
        <v>16.54</v>
      </c>
      <c r="H8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812" t="str">
        <f>IFERROR(INDEX(Raw_orders!G:G, MATCH(shipments[[#This Row],[order_id]],Raw_orders!A:A, 0)), "Unknown")</f>
        <v>Central Europe</v>
      </c>
      <c r="J812" t="str">
        <f>PROPER(shipments[[#This Row],[delivery_status]])</f>
        <v>In Transit</v>
      </c>
      <c r="K812" t="s">
        <v>6977</v>
      </c>
    </row>
    <row r="813" spans="1:11">
      <c r="A813" t="s">
        <v>7749</v>
      </c>
      <c r="B813" t="s">
        <v>1678</v>
      </c>
      <c r="C813" t="s">
        <v>6928</v>
      </c>
      <c r="D813" s="1">
        <v>44940</v>
      </c>
      <c r="E813" s="1">
        <v>44950</v>
      </c>
      <c r="F813" s="1"/>
      <c r="G813">
        <v>22.75</v>
      </c>
      <c r="H8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813" t="str">
        <f>IFERROR(INDEX(Raw_orders!G:G, MATCH(shipments[[#This Row],[order_id]],Raw_orders!A:A, 0)), "Unknown")</f>
        <v>Central Europe</v>
      </c>
      <c r="J813" t="str">
        <f>PROPER(shipments[[#This Row],[delivery_status]])</f>
        <v>In Transit</v>
      </c>
      <c r="K813" t="s">
        <v>6977</v>
      </c>
    </row>
    <row r="814" spans="1:11">
      <c r="A814" t="s">
        <v>7750</v>
      </c>
      <c r="B814" t="s">
        <v>1679</v>
      </c>
      <c r="C814" t="s">
        <v>6925</v>
      </c>
      <c r="D814" s="1">
        <v>45114</v>
      </c>
      <c r="E814" s="1">
        <v>45119</v>
      </c>
      <c r="F814" s="1">
        <v>45132</v>
      </c>
      <c r="G814">
        <v>41.24</v>
      </c>
      <c r="H8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14" t="str">
        <f>IFERROR(INDEX(Raw_orders!G:G, MATCH(shipments[[#This Row],[order_id]],Raw_orders!A:A, 0)), "Unknown")</f>
        <v>Central Europe</v>
      </c>
      <c r="J814" t="str">
        <f>PROPER(shipments[[#This Row],[delivery_status]])</f>
        <v>Delivered</v>
      </c>
      <c r="K814" t="s">
        <v>6922</v>
      </c>
    </row>
    <row r="815" spans="1:11">
      <c r="A815" t="s">
        <v>7751</v>
      </c>
      <c r="B815" t="s">
        <v>1680</v>
      </c>
      <c r="C815" t="s">
        <v>6940</v>
      </c>
      <c r="D815" s="1">
        <v>45591</v>
      </c>
      <c r="E815" s="1">
        <v>45601</v>
      </c>
      <c r="F815" s="1">
        <v>45606</v>
      </c>
      <c r="G815">
        <v>62.45</v>
      </c>
      <c r="H8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15" t="str">
        <f>IFERROR(INDEX(Raw_orders!G:G, MATCH(shipments[[#This Row],[order_id]],Raw_orders!A:A, 0)), "Unknown")</f>
        <v>Baltics</v>
      </c>
      <c r="J815" t="str">
        <f>PROPER(shipments[[#This Row],[delivery_status]])</f>
        <v>Delivered</v>
      </c>
      <c r="K815" t="s">
        <v>6929</v>
      </c>
    </row>
    <row r="816" spans="1:11">
      <c r="A816" t="s">
        <v>7752</v>
      </c>
      <c r="B816" t="s">
        <v>1681</v>
      </c>
      <c r="C816" t="s">
        <v>6921</v>
      </c>
      <c r="D816" s="1">
        <v>45333</v>
      </c>
      <c r="E816" s="1">
        <v>45335</v>
      </c>
      <c r="F816" s="1">
        <v>45345</v>
      </c>
      <c r="G816">
        <v>32.869999999999997</v>
      </c>
      <c r="H8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16" t="str">
        <f>IFERROR(INDEX(Raw_orders!G:G, MATCH(shipments[[#This Row],[order_id]],Raw_orders!A:A, 0)), "Unknown")</f>
        <v>Baltics</v>
      </c>
      <c r="J816" t="str">
        <f>PROPER(shipments[[#This Row],[delivery_status]])</f>
        <v>Delivered</v>
      </c>
      <c r="K816" t="s">
        <v>6922</v>
      </c>
    </row>
    <row r="817" spans="1:11">
      <c r="A817" t="s">
        <v>7753</v>
      </c>
      <c r="B817" t="s">
        <v>1682</v>
      </c>
      <c r="C817" t="s">
        <v>6921</v>
      </c>
      <c r="D817" s="1">
        <v>45246</v>
      </c>
      <c r="E817" s="1">
        <v>45249</v>
      </c>
      <c r="F817" s="1">
        <v>45260</v>
      </c>
      <c r="G817">
        <v>59.54</v>
      </c>
      <c r="H8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17" t="str">
        <f>IFERROR(INDEX(Raw_orders!G:G, MATCH(shipments[[#This Row],[order_id]],Raw_orders!A:A, 0)), "Unknown")</f>
        <v>Central Europe</v>
      </c>
      <c r="J817" t="str">
        <f>PROPER(shipments[[#This Row],[delivery_status]])</f>
        <v>Delivered</v>
      </c>
      <c r="K817" t="s">
        <v>6926</v>
      </c>
    </row>
    <row r="818" spans="1:11">
      <c r="A818" t="s">
        <v>7754</v>
      </c>
      <c r="B818" t="s">
        <v>1683</v>
      </c>
      <c r="C818" t="s">
        <v>6935</v>
      </c>
      <c r="D818" s="1">
        <v>45013</v>
      </c>
      <c r="E818" s="1">
        <v>45016</v>
      </c>
      <c r="F818" s="1">
        <v>45016</v>
      </c>
      <c r="G818">
        <v>24.12</v>
      </c>
      <c r="H8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818" t="str">
        <f>IFERROR(INDEX(Raw_orders!G:G, MATCH(shipments[[#This Row],[order_id]],Raw_orders!A:A, 0)), "Unknown")</f>
        <v>Baltics</v>
      </c>
      <c r="J818" t="str">
        <f>PROPER(shipments[[#This Row],[delivery_status]])</f>
        <v>Delivered</v>
      </c>
      <c r="K818" t="s">
        <v>6922</v>
      </c>
    </row>
    <row r="819" spans="1:11">
      <c r="A819" t="s">
        <v>7755</v>
      </c>
      <c r="B819" t="s">
        <v>1683</v>
      </c>
      <c r="C819" t="s">
        <v>6938</v>
      </c>
      <c r="D819" s="1">
        <v>45015</v>
      </c>
      <c r="E819" s="1">
        <v>45022</v>
      </c>
      <c r="F819" s="1">
        <v>45025</v>
      </c>
      <c r="G819">
        <v>23.51</v>
      </c>
      <c r="H8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19" t="str">
        <f>IFERROR(INDEX(Raw_orders!G:G, MATCH(shipments[[#This Row],[order_id]],Raw_orders!A:A, 0)), "Unknown")</f>
        <v>Baltics</v>
      </c>
      <c r="J819" t="str">
        <f>PROPER(shipments[[#This Row],[delivery_status]])</f>
        <v>Delivered</v>
      </c>
      <c r="K819" t="s">
        <v>6929</v>
      </c>
    </row>
    <row r="820" spans="1:11">
      <c r="A820" t="s">
        <v>7756</v>
      </c>
      <c r="B820" t="s">
        <v>1684</v>
      </c>
      <c r="C820" t="s">
        <v>6956</v>
      </c>
      <c r="D820" s="1">
        <v>45600</v>
      </c>
      <c r="E820" s="1">
        <v>45603</v>
      </c>
      <c r="F820" s="1">
        <v>45612</v>
      </c>
      <c r="G820">
        <v>6.47</v>
      </c>
      <c r="H8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20" t="str">
        <f>IFERROR(INDEX(Raw_orders!G:G, MATCH(shipments[[#This Row],[order_id]],Raw_orders!A:A, 0)), "Unknown")</f>
        <v>Central Europe</v>
      </c>
      <c r="J820" t="str">
        <f>PROPER(shipments[[#This Row],[delivery_status]])</f>
        <v>Delivered</v>
      </c>
      <c r="K820" t="s">
        <v>6922</v>
      </c>
    </row>
    <row r="821" spans="1:11">
      <c r="A821" t="s">
        <v>7757</v>
      </c>
      <c r="B821" t="s">
        <v>1685</v>
      </c>
      <c r="C821" t="s">
        <v>6956</v>
      </c>
      <c r="D821" s="1">
        <v>45457</v>
      </c>
      <c r="E821" s="1">
        <v>45459</v>
      </c>
      <c r="F821" s="1"/>
      <c r="G821">
        <v>38.43</v>
      </c>
      <c r="H8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821" t="str">
        <f>IFERROR(INDEX(Raw_orders!G:G, MATCH(shipments[[#This Row],[order_id]],Raw_orders!A:A, 0)), "Unknown")</f>
        <v>Central Europe</v>
      </c>
      <c r="J821" t="str">
        <f>PROPER(shipments[[#This Row],[delivery_status]])</f>
        <v>In Transit</v>
      </c>
      <c r="K821" t="s">
        <v>6977</v>
      </c>
    </row>
    <row r="822" spans="1:11">
      <c r="A822" t="s">
        <v>7758</v>
      </c>
      <c r="B822" t="s">
        <v>1686</v>
      </c>
      <c r="C822" t="s">
        <v>6925</v>
      </c>
      <c r="D822" s="1">
        <v>44996</v>
      </c>
      <c r="E822" s="1">
        <v>44999</v>
      </c>
      <c r="F822" s="1">
        <v>44999</v>
      </c>
      <c r="G822">
        <v>6.14</v>
      </c>
      <c r="H8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822" t="str">
        <f>IFERROR(INDEX(Raw_orders!G:G, MATCH(shipments[[#This Row],[order_id]],Raw_orders!A:A, 0)), "Unknown")</f>
        <v>Nordics</v>
      </c>
      <c r="J822" t="str">
        <f>PROPER(shipments[[#This Row],[delivery_status]])</f>
        <v>Delivered</v>
      </c>
      <c r="K822" t="s">
        <v>6922</v>
      </c>
    </row>
    <row r="823" spans="1:11">
      <c r="A823" t="s">
        <v>7759</v>
      </c>
      <c r="B823" t="s">
        <v>1687</v>
      </c>
      <c r="C823" t="s">
        <v>6928</v>
      </c>
      <c r="D823" s="1">
        <v>45619</v>
      </c>
      <c r="E823" s="1">
        <v>45622</v>
      </c>
      <c r="F823" s="1">
        <v>45631</v>
      </c>
      <c r="G823">
        <v>7.65</v>
      </c>
      <c r="H8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23" t="str">
        <f>IFERROR(INDEX(Raw_orders!G:G, MATCH(shipments[[#This Row],[order_id]],Raw_orders!A:A, 0)), "Unknown")</f>
        <v>Nordics</v>
      </c>
      <c r="J823" t="str">
        <f>PROPER(shipments[[#This Row],[delivery_status]])</f>
        <v>Delivered</v>
      </c>
      <c r="K823" t="s">
        <v>6922</v>
      </c>
    </row>
    <row r="824" spans="1:11">
      <c r="A824" t="s">
        <v>7760</v>
      </c>
      <c r="B824" t="s">
        <v>1688</v>
      </c>
      <c r="C824" t="s">
        <v>6938</v>
      </c>
      <c r="D824" s="1">
        <v>45280</v>
      </c>
      <c r="E824" s="1">
        <v>45283</v>
      </c>
      <c r="F824" s="1">
        <v>45289</v>
      </c>
      <c r="G824">
        <v>59.26</v>
      </c>
      <c r="H8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24" t="str">
        <f>IFERROR(INDEX(Raw_orders!G:G, MATCH(shipments[[#This Row],[order_id]],Raw_orders!A:A, 0)), "Unknown")</f>
        <v>Nordics</v>
      </c>
      <c r="J824" t="str">
        <f>PROPER(shipments[[#This Row],[delivery_status]])</f>
        <v>Delivered</v>
      </c>
      <c r="K824" t="s">
        <v>6926</v>
      </c>
    </row>
    <row r="825" spans="1:11">
      <c r="A825" t="s">
        <v>7761</v>
      </c>
      <c r="B825" t="s">
        <v>1689</v>
      </c>
      <c r="C825" t="s">
        <v>6940</v>
      </c>
      <c r="D825" s="1">
        <v>45072</v>
      </c>
      <c r="E825" s="1">
        <v>45077</v>
      </c>
      <c r="F825" s="1">
        <v>45087</v>
      </c>
      <c r="G825">
        <v>35.270000000000003</v>
      </c>
      <c r="H8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25" t="str">
        <f>IFERROR(INDEX(Raw_orders!G:G, MATCH(shipments[[#This Row],[order_id]],Raw_orders!A:A, 0)), "Unknown")</f>
        <v>Nordics</v>
      </c>
      <c r="J825" t="str">
        <f>PROPER(shipments[[#This Row],[delivery_status]])</f>
        <v>Delivered</v>
      </c>
      <c r="K825" t="s">
        <v>6922</v>
      </c>
    </row>
    <row r="826" spans="1:11">
      <c r="A826" t="s">
        <v>7762</v>
      </c>
      <c r="B826" t="s">
        <v>1690</v>
      </c>
      <c r="C826" t="s">
        <v>6938</v>
      </c>
      <c r="D826" s="1">
        <v>45139</v>
      </c>
      <c r="E826" s="1">
        <v>45142</v>
      </c>
      <c r="F826" s="1">
        <v>45154</v>
      </c>
      <c r="G826">
        <v>19.670000000000002</v>
      </c>
      <c r="H8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26" t="str">
        <f>IFERROR(INDEX(Raw_orders!G:G, MATCH(shipments[[#This Row],[order_id]],Raw_orders!A:A, 0)), "Unknown")</f>
        <v>Nordics</v>
      </c>
      <c r="J826" t="str">
        <f>PROPER(shipments[[#This Row],[delivery_status]])</f>
        <v>Delivered</v>
      </c>
      <c r="K826" t="s">
        <v>6926</v>
      </c>
    </row>
    <row r="827" spans="1:11">
      <c r="A827" t="s">
        <v>7763</v>
      </c>
      <c r="B827" t="s">
        <v>1691</v>
      </c>
      <c r="C827" t="s">
        <v>6956</v>
      </c>
      <c r="D827" s="1">
        <v>45093</v>
      </c>
      <c r="E827" s="1">
        <v>45103</v>
      </c>
      <c r="F827" s="1">
        <v>45103</v>
      </c>
      <c r="G827">
        <v>62.26</v>
      </c>
      <c r="H8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827" t="str">
        <f>IFERROR(INDEX(Raw_orders!G:G, MATCH(shipments[[#This Row],[order_id]],Raw_orders!A:A, 0)), "Unknown")</f>
        <v>Nordics</v>
      </c>
      <c r="J827" t="str">
        <f>PROPER(shipments[[#This Row],[delivery_status]])</f>
        <v>Delivered</v>
      </c>
      <c r="K827" t="s">
        <v>6929</v>
      </c>
    </row>
    <row r="828" spans="1:11">
      <c r="A828" t="s">
        <v>7764</v>
      </c>
      <c r="B828" t="s">
        <v>1692</v>
      </c>
      <c r="C828" t="s">
        <v>6928</v>
      </c>
      <c r="D828" s="1">
        <v>45303</v>
      </c>
      <c r="E828" s="1">
        <v>45313</v>
      </c>
      <c r="F828" s="1">
        <v>45315</v>
      </c>
      <c r="G828">
        <v>30.99</v>
      </c>
      <c r="H8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28" t="str">
        <f>IFERROR(INDEX(Raw_orders!G:G, MATCH(shipments[[#This Row],[order_id]],Raw_orders!A:A, 0)), "Unknown")</f>
        <v>Central Europe</v>
      </c>
      <c r="J828" t="str">
        <f>PROPER(shipments[[#This Row],[delivery_status]])</f>
        <v>Delivered</v>
      </c>
      <c r="K828" t="s">
        <v>6922</v>
      </c>
    </row>
    <row r="829" spans="1:11">
      <c r="A829" t="s">
        <v>7765</v>
      </c>
      <c r="B829" t="s">
        <v>1692</v>
      </c>
      <c r="C829" t="s">
        <v>6925</v>
      </c>
      <c r="D829" s="1">
        <v>45304</v>
      </c>
      <c r="E829" s="1">
        <v>45309</v>
      </c>
      <c r="F829" s="1">
        <v>45321</v>
      </c>
      <c r="G829">
        <v>61.02</v>
      </c>
      <c r="H8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29" t="str">
        <f>IFERROR(INDEX(Raw_orders!G:G, MATCH(shipments[[#This Row],[order_id]],Raw_orders!A:A, 0)), "Unknown")</f>
        <v>Central Europe</v>
      </c>
      <c r="J829" t="str">
        <f>PROPER(shipments[[#This Row],[delivery_status]])</f>
        <v>Delivered</v>
      </c>
      <c r="K829" t="s">
        <v>6922</v>
      </c>
    </row>
    <row r="830" spans="1:11">
      <c r="A830" t="s">
        <v>7766</v>
      </c>
      <c r="B830" t="s">
        <v>1693</v>
      </c>
      <c r="C830" t="s">
        <v>6925</v>
      </c>
      <c r="D830" s="1">
        <v>45205</v>
      </c>
      <c r="E830" s="1">
        <v>45208</v>
      </c>
      <c r="F830" s="1"/>
      <c r="G830">
        <v>33.200000000000003</v>
      </c>
      <c r="H8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830" t="str">
        <f>IFERROR(INDEX(Raw_orders!G:G, MATCH(shipments[[#This Row],[order_id]],Raw_orders!A:A, 0)), "Unknown")</f>
        <v>Nordics</v>
      </c>
      <c r="J830" t="str">
        <f>PROPER(shipments[[#This Row],[delivery_status]])</f>
        <v>In Transit</v>
      </c>
      <c r="K830" t="s">
        <v>6958</v>
      </c>
    </row>
    <row r="831" spans="1:11">
      <c r="A831" t="s">
        <v>7767</v>
      </c>
      <c r="B831" t="s">
        <v>1694</v>
      </c>
      <c r="C831" t="s">
        <v>6938</v>
      </c>
      <c r="D831" s="1">
        <v>44997</v>
      </c>
      <c r="E831" s="1">
        <v>45007</v>
      </c>
      <c r="F831" s="1">
        <v>45010</v>
      </c>
      <c r="G831">
        <v>24.02</v>
      </c>
      <c r="H8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31" t="str">
        <f>IFERROR(INDEX(Raw_orders!G:G, MATCH(shipments[[#This Row],[order_id]],Raw_orders!A:A, 0)), "Unknown")</f>
        <v>Baltics</v>
      </c>
      <c r="J831" t="str">
        <f>PROPER(shipments[[#This Row],[delivery_status]])</f>
        <v>Delivered</v>
      </c>
      <c r="K831" t="s">
        <v>6922</v>
      </c>
    </row>
    <row r="832" spans="1:11">
      <c r="A832" t="s">
        <v>7768</v>
      </c>
      <c r="B832" t="s">
        <v>1695</v>
      </c>
      <c r="C832" t="s">
        <v>6949</v>
      </c>
      <c r="D832" s="1">
        <v>45600</v>
      </c>
      <c r="E832" s="1">
        <v>45607</v>
      </c>
      <c r="F832" s="1">
        <v>45612</v>
      </c>
      <c r="G832">
        <v>24.94</v>
      </c>
      <c r="H8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32" t="str">
        <f>IFERROR(INDEX(Raw_orders!G:G, MATCH(shipments[[#This Row],[order_id]],Raw_orders!A:A, 0)), "Unknown")</f>
        <v>Nordics</v>
      </c>
      <c r="J832" t="str">
        <f>PROPER(shipments[[#This Row],[delivery_status]])</f>
        <v>Delivered</v>
      </c>
      <c r="K832" t="s">
        <v>6929</v>
      </c>
    </row>
    <row r="833" spans="1:11">
      <c r="A833" t="s">
        <v>7769</v>
      </c>
      <c r="B833" t="s">
        <v>1696</v>
      </c>
      <c r="C833" t="s">
        <v>6949</v>
      </c>
      <c r="D833" s="1">
        <v>45266</v>
      </c>
      <c r="E833" s="1">
        <v>45271</v>
      </c>
      <c r="F833" s="1">
        <v>45270</v>
      </c>
      <c r="G833">
        <v>23.4</v>
      </c>
      <c r="H8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833" t="str">
        <f>IFERROR(INDEX(Raw_orders!G:G, MATCH(shipments[[#This Row],[order_id]],Raw_orders!A:A, 0)), "Unknown")</f>
        <v>Central Europe</v>
      </c>
      <c r="J833" t="str">
        <f>PROPER(shipments[[#This Row],[delivery_status]])</f>
        <v>Delivered</v>
      </c>
      <c r="K833" t="s">
        <v>6922</v>
      </c>
    </row>
    <row r="834" spans="1:11">
      <c r="A834" t="s">
        <v>7770</v>
      </c>
      <c r="B834" t="s">
        <v>1697</v>
      </c>
      <c r="C834" t="s">
        <v>6938</v>
      </c>
      <c r="D834" s="1">
        <v>44932</v>
      </c>
      <c r="E834" s="1">
        <v>44939</v>
      </c>
      <c r="F834" s="1">
        <v>44941</v>
      </c>
      <c r="G834">
        <v>6.41</v>
      </c>
      <c r="H8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34" t="str">
        <f>IFERROR(INDEX(Raw_orders!G:G, MATCH(shipments[[#This Row],[order_id]],Raw_orders!A:A, 0)), "Unknown")</f>
        <v>Central Europe</v>
      </c>
      <c r="J834" t="str">
        <f>PROPER(shipments[[#This Row],[delivery_status]])</f>
        <v>Delivered</v>
      </c>
      <c r="K834" t="s">
        <v>6926</v>
      </c>
    </row>
    <row r="835" spans="1:11">
      <c r="A835" t="s">
        <v>7771</v>
      </c>
      <c r="B835" t="s">
        <v>1698</v>
      </c>
      <c r="C835" t="s">
        <v>6938</v>
      </c>
      <c r="D835" s="1">
        <v>45092</v>
      </c>
      <c r="E835" s="1">
        <v>45097</v>
      </c>
      <c r="F835" s="1">
        <v>45097</v>
      </c>
      <c r="G835">
        <v>43.13</v>
      </c>
      <c r="H8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835" t="str">
        <f>IFERROR(INDEX(Raw_orders!G:G, MATCH(shipments[[#This Row],[order_id]],Raw_orders!A:A, 0)), "Unknown")</f>
        <v>Baltics</v>
      </c>
      <c r="J835" t="str">
        <f>PROPER(shipments[[#This Row],[delivery_status]])</f>
        <v>Delivered</v>
      </c>
      <c r="K835" t="s">
        <v>6922</v>
      </c>
    </row>
    <row r="836" spans="1:11">
      <c r="A836" t="s">
        <v>7772</v>
      </c>
      <c r="B836" t="s">
        <v>1699</v>
      </c>
      <c r="C836" t="s">
        <v>6921</v>
      </c>
      <c r="D836" s="1">
        <v>45024</v>
      </c>
      <c r="E836" s="1">
        <v>45034</v>
      </c>
      <c r="F836" s="1">
        <v>45034</v>
      </c>
      <c r="G836">
        <v>33.950000000000003</v>
      </c>
      <c r="H8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836" t="str">
        <f>IFERROR(INDEX(Raw_orders!G:G, MATCH(shipments[[#This Row],[order_id]],Raw_orders!A:A, 0)), "Unknown")</f>
        <v>Central Europe</v>
      </c>
      <c r="J836" t="str">
        <f>PROPER(shipments[[#This Row],[delivery_status]])</f>
        <v>Delivered</v>
      </c>
      <c r="K836" t="s">
        <v>6929</v>
      </c>
    </row>
    <row r="837" spans="1:11">
      <c r="A837" t="s">
        <v>7773</v>
      </c>
      <c r="B837" t="s">
        <v>1700</v>
      </c>
      <c r="C837" t="s">
        <v>6949</v>
      </c>
      <c r="D837" s="1">
        <v>45400</v>
      </c>
      <c r="E837" s="1">
        <v>45405</v>
      </c>
      <c r="F837" s="1">
        <v>45417</v>
      </c>
      <c r="G837">
        <v>14.3</v>
      </c>
      <c r="H8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37" t="str">
        <f>IFERROR(INDEX(Raw_orders!G:G, MATCH(shipments[[#This Row],[order_id]],Raw_orders!A:A, 0)), "Unknown")</f>
        <v>Nordics</v>
      </c>
      <c r="J837" t="str">
        <f>PROPER(shipments[[#This Row],[delivery_status]])</f>
        <v>Delivered</v>
      </c>
      <c r="K837" t="s">
        <v>6922</v>
      </c>
    </row>
    <row r="838" spans="1:11">
      <c r="A838" t="s">
        <v>7774</v>
      </c>
      <c r="B838" t="s">
        <v>1701</v>
      </c>
      <c r="C838" t="s">
        <v>6938</v>
      </c>
      <c r="D838" s="1">
        <v>45005</v>
      </c>
      <c r="E838" s="1">
        <v>45015</v>
      </c>
      <c r="F838" s="1">
        <v>45015</v>
      </c>
      <c r="G838">
        <v>21.05</v>
      </c>
      <c r="H8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838" t="str">
        <f>IFERROR(INDEX(Raw_orders!G:G, MATCH(shipments[[#This Row],[order_id]],Raw_orders!A:A, 0)), "Unknown")</f>
        <v>Nordics</v>
      </c>
      <c r="J838" t="str">
        <f>PROPER(shipments[[#This Row],[delivery_status]])</f>
        <v>Delivered</v>
      </c>
      <c r="K838" t="s">
        <v>6929</v>
      </c>
    </row>
    <row r="839" spans="1:11">
      <c r="A839" t="s">
        <v>7775</v>
      </c>
      <c r="B839" t="s">
        <v>1702</v>
      </c>
      <c r="C839" t="s">
        <v>6935</v>
      </c>
      <c r="D839" s="1">
        <v>45552</v>
      </c>
      <c r="E839" s="1">
        <v>45557</v>
      </c>
      <c r="F839" s="1">
        <v>45557</v>
      </c>
      <c r="G839">
        <v>36.049999999999997</v>
      </c>
      <c r="H8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839" t="str">
        <f>IFERROR(INDEX(Raw_orders!G:G, MATCH(shipments[[#This Row],[order_id]],Raw_orders!A:A, 0)), "Unknown")</f>
        <v>Central Europe</v>
      </c>
      <c r="J839" t="str">
        <f>PROPER(shipments[[#This Row],[delivery_status]])</f>
        <v>Delivered</v>
      </c>
      <c r="K839" t="s">
        <v>6926</v>
      </c>
    </row>
    <row r="840" spans="1:11">
      <c r="A840" t="s">
        <v>7776</v>
      </c>
      <c r="B840" t="s">
        <v>1703</v>
      </c>
      <c r="C840" t="s">
        <v>6921</v>
      </c>
      <c r="D840" s="1">
        <v>44972</v>
      </c>
      <c r="E840" s="1">
        <v>44974</v>
      </c>
      <c r="F840" s="1"/>
      <c r="G840">
        <v>45.92</v>
      </c>
      <c r="H8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840" t="str">
        <f>IFERROR(INDEX(Raw_orders!G:G, MATCH(shipments[[#This Row],[order_id]],Raw_orders!A:A, 0)), "Unknown")</f>
        <v>Central Europe</v>
      </c>
      <c r="J840" t="str">
        <f>PROPER(shipments[[#This Row],[delivery_status]])</f>
        <v>In Transit</v>
      </c>
      <c r="K840" t="s">
        <v>6977</v>
      </c>
    </row>
    <row r="841" spans="1:11">
      <c r="A841" t="s">
        <v>7777</v>
      </c>
      <c r="B841" t="s">
        <v>1704</v>
      </c>
      <c r="C841" t="s">
        <v>6928</v>
      </c>
      <c r="D841" s="1">
        <v>45073</v>
      </c>
      <c r="E841" s="1">
        <v>45080</v>
      </c>
      <c r="F841" s="1">
        <v>45080</v>
      </c>
      <c r="G841">
        <v>49.32</v>
      </c>
      <c r="H8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841" t="str">
        <f>IFERROR(INDEX(Raw_orders!G:G, MATCH(shipments[[#This Row],[order_id]],Raw_orders!A:A, 0)), "Unknown")</f>
        <v>Nordics</v>
      </c>
      <c r="J841" t="str">
        <f>PROPER(shipments[[#This Row],[delivery_status]])</f>
        <v>Delivered</v>
      </c>
      <c r="K841" t="s">
        <v>6926</v>
      </c>
    </row>
    <row r="842" spans="1:11">
      <c r="A842" t="s">
        <v>7778</v>
      </c>
      <c r="B842" t="s">
        <v>1705</v>
      </c>
      <c r="C842" t="s">
        <v>6921</v>
      </c>
      <c r="D842" s="1">
        <v>45560</v>
      </c>
      <c r="E842" s="1">
        <v>45565</v>
      </c>
      <c r="F842" s="1">
        <v>45564</v>
      </c>
      <c r="G842">
        <v>40.81</v>
      </c>
      <c r="H8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842" t="str">
        <f>IFERROR(INDEX(Raw_orders!G:G, MATCH(shipments[[#This Row],[order_id]],Raw_orders!A:A, 0)), "Unknown")</f>
        <v>Baltics</v>
      </c>
      <c r="J842" t="str">
        <f>PROPER(shipments[[#This Row],[delivery_status]])</f>
        <v>Delivered</v>
      </c>
      <c r="K842" t="s">
        <v>6929</v>
      </c>
    </row>
    <row r="843" spans="1:11">
      <c r="A843" t="s">
        <v>7779</v>
      </c>
      <c r="B843" t="s">
        <v>1705</v>
      </c>
      <c r="C843" t="s">
        <v>6938</v>
      </c>
      <c r="D843" s="1">
        <v>45560</v>
      </c>
      <c r="E843" s="1">
        <v>45567</v>
      </c>
      <c r="F843" s="1">
        <v>45578</v>
      </c>
      <c r="G843">
        <v>23.69</v>
      </c>
      <c r="H8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43" t="str">
        <f>IFERROR(INDEX(Raw_orders!G:G, MATCH(shipments[[#This Row],[order_id]],Raw_orders!A:A, 0)), "Unknown")</f>
        <v>Baltics</v>
      </c>
      <c r="J843" t="str">
        <f>PROPER(shipments[[#This Row],[delivery_status]])</f>
        <v>Delivered</v>
      </c>
      <c r="K843" t="s">
        <v>6922</v>
      </c>
    </row>
    <row r="844" spans="1:11">
      <c r="A844" t="s">
        <v>7780</v>
      </c>
      <c r="B844" t="s">
        <v>1706</v>
      </c>
      <c r="C844" t="s">
        <v>6931</v>
      </c>
      <c r="D844" s="1">
        <v>45363</v>
      </c>
      <c r="E844" s="1">
        <v>45365</v>
      </c>
      <c r="F844" s="1">
        <v>45376</v>
      </c>
      <c r="G844">
        <v>45.49</v>
      </c>
      <c r="H8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44" t="str">
        <f>IFERROR(INDEX(Raw_orders!G:G, MATCH(shipments[[#This Row],[order_id]],Raw_orders!A:A, 0)), "Unknown")</f>
        <v>Baltics</v>
      </c>
      <c r="J844" t="str">
        <f>PROPER(shipments[[#This Row],[delivery_status]])</f>
        <v>Delivered</v>
      </c>
      <c r="K844" t="s">
        <v>6922</v>
      </c>
    </row>
    <row r="845" spans="1:11">
      <c r="A845" t="s">
        <v>7781</v>
      </c>
      <c r="B845" t="s">
        <v>1707</v>
      </c>
      <c r="C845" t="s">
        <v>6956</v>
      </c>
      <c r="D845" s="1">
        <v>45002</v>
      </c>
      <c r="E845" s="1">
        <v>45005</v>
      </c>
      <c r="F845" s="1">
        <v>45010</v>
      </c>
      <c r="G845">
        <v>60.17</v>
      </c>
      <c r="H8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45" t="str">
        <f>IFERROR(INDEX(Raw_orders!G:G, MATCH(shipments[[#This Row],[order_id]],Raw_orders!A:A, 0)), "Unknown")</f>
        <v>Nordics</v>
      </c>
      <c r="J845" t="str">
        <f>PROPER(shipments[[#This Row],[delivery_status]])</f>
        <v>Delivered</v>
      </c>
      <c r="K845" t="s">
        <v>6926</v>
      </c>
    </row>
    <row r="846" spans="1:11">
      <c r="A846" t="s">
        <v>7782</v>
      </c>
      <c r="B846" t="s">
        <v>1708</v>
      </c>
      <c r="C846" t="s">
        <v>6931</v>
      </c>
      <c r="D846" s="1">
        <v>45592</v>
      </c>
      <c r="E846" s="1">
        <v>45602</v>
      </c>
      <c r="F846" s="1">
        <v>45607</v>
      </c>
      <c r="G846">
        <v>55.45</v>
      </c>
      <c r="H8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46" t="str">
        <f>IFERROR(INDEX(Raw_orders!G:G, MATCH(shipments[[#This Row],[order_id]],Raw_orders!A:A, 0)), "Unknown")</f>
        <v>Baltics</v>
      </c>
      <c r="J846" t="str">
        <f>PROPER(shipments[[#This Row],[delivery_status]])</f>
        <v>Delivered</v>
      </c>
      <c r="K846" t="s">
        <v>6922</v>
      </c>
    </row>
    <row r="847" spans="1:11">
      <c r="A847" t="s">
        <v>7783</v>
      </c>
      <c r="B847" t="s">
        <v>1709</v>
      </c>
      <c r="C847" t="s">
        <v>6925</v>
      </c>
      <c r="D847" s="1">
        <v>45179</v>
      </c>
      <c r="E847" s="1">
        <v>45189</v>
      </c>
      <c r="F847" s="1">
        <v>45188</v>
      </c>
      <c r="G847">
        <v>54.54</v>
      </c>
      <c r="H8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847" t="str">
        <f>IFERROR(INDEX(Raw_orders!G:G, MATCH(shipments[[#This Row],[order_id]],Raw_orders!A:A, 0)), "Unknown")</f>
        <v>Baltics</v>
      </c>
      <c r="J847" t="str">
        <f>PROPER(shipments[[#This Row],[delivery_status]])</f>
        <v>Delivered</v>
      </c>
      <c r="K847" t="s">
        <v>6926</v>
      </c>
    </row>
    <row r="848" spans="1:11">
      <c r="A848" t="s">
        <v>7784</v>
      </c>
      <c r="B848" t="s">
        <v>1710</v>
      </c>
      <c r="C848" t="s">
        <v>6940</v>
      </c>
      <c r="D848" s="1">
        <v>45118</v>
      </c>
      <c r="E848" s="1">
        <v>45121</v>
      </c>
      <c r="F848" s="1">
        <v>45124</v>
      </c>
      <c r="G848">
        <v>23.07</v>
      </c>
      <c r="H8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48" t="str">
        <f>IFERROR(INDEX(Raw_orders!G:G, MATCH(shipments[[#This Row],[order_id]],Raw_orders!A:A, 0)), "Unknown")</f>
        <v>Nordics</v>
      </c>
      <c r="J848" t="str">
        <f>PROPER(shipments[[#This Row],[delivery_status]])</f>
        <v>Delivered</v>
      </c>
      <c r="K848" t="s">
        <v>6922</v>
      </c>
    </row>
    <row r="849" spans="1:11">
      <c r="A849" t="s">
        <v>7785</v>
      </c>
      <c r="B849" t="s">
        <v>1711</v>
      </c>
      <c r="C849" t="s">
        <v>6935</v>
      </c>
      <c r="D849" s="1">
        <v>45094</v>
      </c>
      <c r="E849" s="1">
        <v>45099</v>
      </c>
      <c r="F849" s="1">
        <v>45098</v>
      </c>
      <c r="G849">
        <v>49.39</v>
      </c>
      <c r="H8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849" t="str">
        <f>IFERROR(INDEX(Raw_orders!G:G, MATCH(shipments[[#This Row],[order_id]],Raw_orders!A:A, 0)), "Unknown")</f>
        <v>Nordics</v>
      </c>
      <c r="J849" t="str">
        <f>PROPER(shipments[[#This Row],[delivery_status]])</f>
        <v>Delivered</v>
      </c>
      <c r="K849" t="s">
        <v>6929</v>
      </c>
    </row>
    <row r="850" spans="1:11">
      <c r="A850" t="s">
        <v>7786</v>
      </c>
      <c r="B850" t="s">
        <v>1712</v>
      </c>
      <c r="C850" t="s">
        <v>6931</v>
      </c>
      <c r="D850" s="1">
        <v>45435</v>
      </c>
      <c r="E850" s="1">
        <v>45442</v>
      </c>
      <c r="F850" s="1">
        <v>45447</v>
      </c>
      <c r="G850">
        <v>32.159999999999997</v>
      </c>
      <c r="H8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50" t="str">
        <f>IFERROR(INDEX(Raw_orders!G:G, MATCH(shipments[[#This Row],[order_id]],Raw_orders!A:A, 0)), "Unknown")</f>
        <v>Baltics</v>
      </c>
      <c r="J850" t="str">
        <f>PROPER(shipments[[#This Row],[delivery_status]])</f>
        <v>Delivered</v>
      </c>
      <c r="K850" t="s">
        <v>6926</v>
      </c>
    </row>
    <row r="851" spans="1:11">
      <c r="A851" t="s">
        <v>7787</v>
      </c>
      <c r="B851" t="s">
        <v>1713</v>
      </c>
      <c r="C851" t="s">
        <v>6940</v>
      </c>
      <c r="D851" s="1">
        <v>45379</v>
      </c>
      <c r="E851" s="1">
        <v>45384</v>
      </c>
      <c r="F851" s="1">
        <v>45384</v>
      </c>
      <c r="G851">
        <v>22.22</v>
      </c>
      <c r="H8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851" t="str">
        <f>IFERROR(INDEX(Raw_orders!G:G, MATCH(shipments[[#This Row],[order_id]],Raw_orders!A:A, 0)), "Unknown")</f>
        <v>Central Europe</v>
      </c>
      <c r="J851" t="str">
        <f>PROPER(shipments[[#This Row],[delivery_status]])</f>
        <v>Delivered</v>
      </c>
      <c r="K851" t="s">
        <v>6922</v>
      </c>
    </row>
    <row r="852" spans="1:11">
      <c r="A852" t="s">
        <v>7788</v>
      </c>
      <c r="B852" t="s">
        <v>1714</v>
      </c>
      <c r="C852" t="s">
        <v>6940</v>
      </c>
      <c r="D852" s="1">
        <v>45482</v>
      </c>
      <c r="E852" s="1">
        <v>45489</v>
      </c>
      <c r="F852" s="1">
        <v>45489</v>
      </c>
      <c r="G852">
        <v>15.93</v>
      </c>
      <c r="H8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852" t="str">
        <f>IFERROR(INDEX(Raw_orders!G:G, MATCH(shipments[[#This Row],[order_id]],Raw_orders!A:A, 0)), "Unknown")</f>
        <v>Baltics</v>
      </c>
      <c r="J852" t="str">
        <f>PROPER(shipments[[#This Row],[delivery_status]])</f>
        <v>Delivered</v>
      </c>
      <c r="K852" t="s">
        <v>6926</v>
      </c>
    </row>
    <row r="853" spans="1:11">
      <c r="A853" t="s">
        <v>7789</v>
      </c>
      <c r="B853" t="s">
        <v>1715</v>
      </c>
      <c r="C853" t="s">
        <v>6940</v>
      </c>
      <c r="D853" s="1">
        <v>45014</v>
      </c>
      <c r="E853" s="1">
        <v>45024</v>
      </c>
      <c r="F853" s="1">
        <v>45029</v>
      </c>
      <c r="G853">
        <v>12.85</v>
      </c>
      <c r="H8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53" t="str">
        <f>IFERROR(INDEX(Raw_orders!G:G, MATCH(shipments[[#This Row],[order_id]],Raw_orders!A:A, 0)), "Unknown")</f>
        <v>Baltics</v>
      </c>
      <c r="J853" t="str">
        <f>PROPER(shipments[[#This Row],[delivery_status]])</f>
        <v>Delivered</v>
      </c>
      <c r="K853" t="s">
        <v>6922</v>
      </c>
    </row>
    <row r="854" spans="1:11">
      <c r="A854" t="s">
        <v>7790</v>
      </c>
      <c r="B854" t="s">
        <v>1716</v>
      </c>
      <c r="C854" t="s">
        <v>6921</v>
      </c>
      <c r="D854" s="1">
        <v>45100</v>
      </c>
      <c r="E854" s="1">
        <v>45107</v>
      </c>
      <c r="F854" s="1">
        <v>45111</v>
      </c>
      <c r="G854">
        <v>46.88</v>
      </c>
      <c r="H8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54" t="str">
        <f>IFERROR(INDEX(Raw_orders!G:G, MATCH(shipments[[#This Row],[order_id]],Raw_orders!A:A, 0)), "Unknown")</f>
        <v>Central Europe</v>
      </c>
      <c r="J854" t="str">
        <f>PROPER(shipments[[#This Row],[delivery_status]])</f>
        <v>Delivered</v>
      </c>
      <c r="K854" t="s">
        <v>6926</v>
      </c>
    </row>
    <row r="855" spans="1:11">
      <c r="A855" t="s">
        <v>7791</v>
      </c>
      <c r="B855" t="s">
        <v>1717</v>
      </c>
      <c r="C855" t="s">
        <v>6956</v>
      </c>
      <c r="D855" s="1">
        <v>45605</v>
      </c>
      <c r="E855" s="1">
        <v>45610</v>
      </c>
      <c r="F855" s="1">
        <v>45609</v>
      </c>
      <c r="G855">
        <v>49.92</v>
      </c>
      <c r="H8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855" t="str">
        <f>IFERROR(INDEX(Raw_orders!G:G, MATCH(shipments[[#This Row],[order_id]],Raw_orders!A:A, 0)), "Unknown")</f>
        <v>Central Europe</v>
      </c>
      <c r="J855" t="str">
        <f>PROPER(shipments[[#This Row],[delivery_status]])</f>
        <v>Delivered</v>
      </c>
      <c r="K855" t="s">
        <v>6922</v>
      </c>
    </row>
    <row r="856" spans="1:11">
      <c r="A856" t="s">
        <v>7792</v>
      </c>
      <c r="B856" t="s">
        <v>1718</v>
      </c>
      <c r="C856" t="s">
        <v>6925</v>
      </c>
      <c r="D856" s="1">
        <v>44951</v>
      </c>
      <c r="E856" s="1">
        <v>44956</v>
      </c>
      <c r="F856" s="1">
        <v>44955</v>
      </c>
      <c r="G856">
        <v>57.85</v>
      </c>
      <c r="H8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856" t="str">
        <f>IFERROR(INDEX(Raw_orders!G:G, MATCH(shipments[[#This Row],[order_id]],Raw_orders!A:A, 0)), "Unknown")</f>
        <v>Baltics</v>
      </c>
      <c r="J856" t="str">
        <f>PROPER(shipments[[#This Row],[delivery_status]])</f>
        <v>Delivered</v>
      </c>
      <c r="K856" t="s">
        <v>6926</v>
      </c>
    </row>
    <row r="857" spans="1:11">
      <c r="A857" t="s">
        <v>7793</v>
      </c>
      <c r="B857" t="s">
        <v>1719</v>
      </c>
      <c r="C857" t="s">
        <v>6935</v>
      </c>
      <c r="D857" s="1">
        <v>45176</v>
      </c>
      <c r="E857" s="1">
        <v>45183</v>
      </c>
      <c r="F857" s="1">
        <v>45188</v>
      </c>
      <c r="G857">
        <v>39.479999999999997</v>
      </c>
      <c r="H8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57" t="str">
        <f>IFERROR(INDEX(Raw_orders!G:G, MATCH(shipments[[#This Row],[order_id]],Raw_orders!A:A, 0)), "Unknown")</f>
        <v>Nordics</v>
      </c>
      <c r="J857" t="str">
        <f>PROPER(shipments[[#This Row],[delivery_status]])</f>
        <v>Delivered</v>
      </c>
      <c r="K857" t="s">
        <v>6922</v>
      </c>
    </row>
    <row r="858" spans="1:11">
      <c r="A858" t="s">
        <v>7794</v>
      </c>
      <c r="B858" t="s">
        <v>1719</v>
      </c>
      <c r="C858" t="s">
        <v>6938</v>
      </c>
      <c r="D858" s="1">
        <v>45175</v>
      </c>
      <c r="E858" s="1">
        <v>45180</v>
      </c>
      <c r="F858" s="1">
        <v>45189</v>
      </c>
      <c r="G858">
        <v>40.46</v>
      </c>
      <c r="H8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58" t="str">
        <f>IFERROR(INDEX(Raw_orders!G:G, MATCH(shipments[[#This Row],[order_id]],Raw_orders!A:A, 0)), "Unknown")</f>
        <v>Nordics</v>
      </c>
      <c r="J858" t="str">
        <f>PROPER(shipments[[#This Row],[delivery_status]])</f>
        <v>Delivered</v>
      </c>
      <c r="K858" t="s">
        <v>6929</v>
      </c>
    </row>
    <row r="859" spans="1:11">
      <c r="A859" t="s">
        <v>7795</v>
      </c>
      <c r="B859" t="s">
        <v>1720</v>
      </c>
      <c r="C859" t="s">
        <v>6956</v>
      </c>
      <c r="D859" s="1">
        <v>45168</v>
      </c>
      <c r="E859" s="1">
        <v>45170</v>
      </c>
      <c r="F859" s="1">
        <v>45170</v>
      </c>
      <c r="G859">
        <v>55</v>
      </c>
      <c r="H8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859" t="str">
        <f>IFERROR(INDEX(Raw_orders!G:G, MATCH(shipments[[#This Row],[order_id]],Raw_orders!A:A, 0)), "Unknown")</f>
        <v>Baltics</v>
      </c>
      <c r="J859" t="str">
        <f>PROPER(shipments[[#This Row],[delivery_status]])</f>
        <v>Delivered</v>
      </c>
      <c r="K859" t="s">
        <v>6929</v>
      </c>
    </row>
    <row r="860" spans="1:11">
      <c r="A860" t="s">
        <v>7796</v>
      </c>
      <c r="B860" t="s">
        <v>1721</v>
      </c>
      <c r="C860" t="s">
        <v>6928</v>
      </c>
      <c r="D860" s="1">
        <v>45590</v>
      </c>
      <c r="E860" s="1">
        <v>45600</v>
      </c>
      <c r="F860" s="1">
        <v>45602</v>
      </c>
      <c r="H8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60" t="str">
        <f>IFERROR(INDEX(Raw_orders!G:G, MATCH(shipments[[#This Row],[order_id]],Raw_orders!A:A, 0)), "Unknown")</f>
        <v>Central Europe</v>
      </c>
      <c r="J860" t="str">
        <f>PROPER(shipments[[#This Row],[delivery_status]])</f>
        <v>Delivered</v>
      </c>
      <c r="K860" t="s">
        <v>6929</v>
      </c>
    </row>
    <row r="861" spans="1:11">
      <c r="A861" t="s">
        <v>7797</v>
      </c>
      <c r="B861" t="s">
        <v>1722</v>
      </c>
      <c r="C861" t="s">
        <v>6935</v>
      </c>
      <c r="D861" s="1">
        <v>45152</v>
      </c>
      <c r="E861" s="1">
        <v>45162</v>
      </c>
      <c r="F861" s="1">
        <v>45162</v>
      </c>
      <c r="G861">
        <v>10.6</v>
      </c>
      <c r="H8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861" t="str">
        <f>IFERROR(INDEX(Raw_orders!G:G, MATCH(shipments[[#This Row],[order_id]],Raw_orders!A:A, 0)), "Unknown")</f>
        <v>Baltics</v>
      </c>
      <c r="J861" t="str">
        <f>PROPER(shipments[[#This Row],[delivery_status]])</f>
        <v>Delivered</v>
      </c>
      <c r="K861" t="s">
        <v>6929</v>
      </c>
    </row>
    <row r="862" spans="1:11">
      <c r="A862" t="s">
        <v>7798</v>
      </c>
      <c r="B862" t="s">
        <v>1723</v>
      </c>
      <c r="C862" t="s">
        <v>6949</v>
      </c>
      <c r="D862" s="1">
        <v>44937</v>
      </c>
      <c r="E862" s="1">
        <v>44940</v>
      </c>
      <c r="F862" s="1">
        <v>44942</v>
      </c>
      <c r="G862">
        <v>21.67</v>
      </c>
      <c r="H8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62" t="str">
        <f>IFERROR(INDEX(Raw_orders!G:G, MATCH(shipments[[#This Row],[order_id]],Raw_orders!A:A, 0)), "Unknown")</f>
        <v>Baltics</v>
      </c>
      <c r="J862" t="str">
        <f>PROPER(shipments[[#This Row],[delivery_status]])</f>
        <v>Delivered</v>
      </c>
      <c r="K862" t="s">
        <v>6922</v>
      </c>
    </row>
    <row r="863" spans="1:11">
      <c r="A863" t="s">
        <v>7799</v>
      </c>
      <c r="B863" t="s">
        <v>1724</v>
      </c>
      <c r="C863" t="s">
        <v>6938</v>
      </c>
      <c r="D863" s="1">
        <v>45186</v>
      </c>
      <c r="E863" s="1">
        <v>45196</v>
      </c>
      <c r="F863" s="1">
        <v>45195</v>
      </c>
      <c r="G863">
        <v>18.059999999999999</v>
      </c>
      <c r="H8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863" t="str">
        <f>IFERROR(INDEX(Raw_orders!G:G, MATCH(shipments[[#This Row],[order_id]],Raw_orders!A:A, 0)), "Unknown")</f>
        <v>Baltics</v>
      </c>
      <c r="J863" t="str">
        <f>PROPER(shipments[[#This Row],[delivery_status]])</f>
        <v>Delivered</v>
      </c>
      <c r="K863" t="s">
        <v>6922</v>
      </c>
    </row>
    <row r="864" spans="1:11">
      <c r="A864" t="s">
        <v>7800</v>
      </c>
      <c r="B864" t="s">
        <v>1724</v>
      </c>
      <c r="C864" t="s">
        <v>6940</v>
      </c>
      <c r="D864" s="1">
        <v>45186</v>
      </c>
      <c r="E864" s="1">
        <v>45196</v>
      </c>
      <c r="F864" s="1">
        <v>45196</v>
      </c>
      <c r="G864">
        <v>28.02</v>
      </c>
      <c r="H8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864" t="str">
        <f>IFERROR(INDEX(Raw_orders!G:G, MATCH(shipments[[#This Row],[order_id]],Raw_orders!A:A, 0)), "Unknown")</f>
        <v>Baltics</v>
      </c>
      <c r="J864" t="str">
        <f>PROPER(shipments[[#This Row],[delivery_status]])</f>
        <v>Delivered</v>
      </c>
      <c r="K864" t="s">
        <v>6929</v>
      </c>
    </row>
    <row r="865" spans="1:11">
      <c r="A865" t="s">
        <v>7801</v>
      </c>
      <c r="B865" t="s">
        <v>1725</v>
      </c>
      <c r="C865" t="s">
        <v>6935</v>
      </c>
      <c r="D865" s="1">
        <v>45327</v>
      </c>
      <c r="E865" s="1">
        <v>45337</v>
      </c>
      <c r="F865" s="1">
        <v>45336</v>
      </c>
      <c r="H8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865" t="str">
        <f>IFERROR(INDEX(Raw_orders!G:G, MATCH(shipments[[#This Row],[order_id]],Raw_orders!A:A, 0)), "Unknown")</f>
        <v>Central Europe</v>
      </c>
      <c r="J865" t="str">
        <f>PROPER(shipments[[#This Row],[delivery_status]])</f>
        <v>Delivered</v>
      </c>
      <c r="K865" t="s">
        <v>6926</v>
      </c>
    </row>
    <row r="866" spans="1:11">
      <c r="A866" t="s">
        <v>7802</v>
      </c>
      <c r="B866" t="s">
        <v>1726</v>
      </c>
      <c r="C866" t="s">
        <v>6925</v>
      </c>
      <c r="D866" s="1">
        <v>45018</v>
      </c>
      <c r="E866" s="1">
        <v>45025</v>
      </c>
      <c r="F866" s="1">
        <v>45030</v>
      </c>
      <c r="G866">
        <v>6.66</v>
      </c>
      <c r="H8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66" t="str">
        <f>IFERROR(INDEX(Raw_orders!G:G, MATCH(shipments[[#This Row],[order_id]],Raw_orders!A:A, 0)), "Unknown")</f>
        <v>Nordics</v>
      </c>
      <c r="J866" t="str">
        <f>PROPER(shipments[[#This Row],[delivery_status]])</f>
        <v>Delivered</v>
      </c>
      <c r="K866" t="s">
        <v>6929</v>
      </c>
    </row>
    <row r="867" spans="1:11">
      <c r="A867" t="s">
        <v>7803</v>
      </c>
      <c r="B867" t="s">
        <v>1727</v>
      </c>
      <c r="C867" t="s">
        <v>6921</v>
      </c>
      <c r="D867" s="1">
        <v>45064</v>
      </c>
      <c r="E867" s="1">
        <v>45067</v>
      </c>
      <c r="F867" s="1">
        <v>45071</v>
      </c>
      <c r="G867">
        <v>59.55</v>
      </c>
      <c r="H8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67" t="str">
        <f>IFERROR(INDEX(Raw_orders!G:G, MATCH(shipments[[#This Row],[order_id]],Raw_orders!A:A, 0)), "Unknown")</f>
        <v>Central Europe</v>
      </c>
      <c r="J867" t="str">
        <f>PROPER(shipments[[#This Row],[delivery_status]])</f>
        <v>Delivered</v>
      </c>
      <c r="K867" t="s">
        <v>6929</v>
      </c>
    </row>
    <row r="868" spans="1:11">
      <c r="A868" t="s">
        <v>7804</v>
      </c>
      <c r="B868" t="s">
        <v>1728</v>
      </c>
      <c r="C868" t="s">
        <v>6931</v>
      </c>
      <c r="D868" s="1">
        <v>45063</v>
      </c>
      <c r="E868" s="1">
        <v>45068</v>
      </c>
      <c r="F868" s="1"/>
      <c r="G868">
        <v>30.14</v>
      </c>
      <c r="H8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868" t="str">
        <f>IFERROR(INDEX(Raw_orders!G:G, MATCH(shipments[[#This Row],[order_id]],Raw_orders!A:A, 0)), "Unknown")</f>
        <v>Central Europe</v>
      </c>
      <c r="J868" t="str">
        <f>PROPER(shipments[[#This Row],[delivery_status]])</f>
        <v>Cancelled</v>
      </c>
      <c r="K868" t="s">
        <v>6963</v>
      </c>
    </row>
    <row r="869" spans="1:11">
      <c r="A869" t="s">
        <v>7805</v>
      </c>
      <c r="B869" t="s">
        <v>1729</v>
      </c>
      <c r="C869" t="s">
        <v>6921</v>
      </c>
      <c r="D869" s="1">
        <v>45313</v>
      </c>
      <c r="E869" s="1">
        <v>45318</v>
      </c>
      <c r="F869" s="1">
        <v>45323</v>
      </c>
      <c r="G869">
        <v>5.45</v>
      </c>
      <c r="H8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69" t="str">
        <f>IFERROR(INDEX(Raw_orders!G:G, MATCH(shipments[[#This Row],[order_id]],Raw_orders!A:A, 0)), "Unknown")</f>
        <v>Nordics</v>
      </c>
      <c r="J869" t="str">
        <f>PROPER(shipments[[#This Row],[delivery_status]])</f>
        <v>Delivered</v>
      </c>
      <c r="K869" t="s">
        <v>6929</v>
      </c>
    </row>
    <row r="870" spans="1:11">
      <c r="A870" t="s">
        <v>7806</v>
      </c>
      <c r="B870" t="s">
        <v>1730</v>
      </c>
      <c r="C870" t="s">
        <v>6921</v>
      </c>
      <c r="D870" s="1">
        <v>45120</v>
      </c>
      <c r="E870" s="1">
        <v>45122</v>
      </c>
      <c r="F870" s="1">
        <v>45125</v>
      </c>
      <c r="G870">
        <v>63.48</v>
      </c>
      <c r="H8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70" t="str">
        <f>IFERROR(INDEX(Raw_orders!G:G, MATCH(shipments[[#This Row],[order_id]],Raw_orders!A:A, 0)), "Unknown")</f>
        <v>Central Europe</v>
      </c>
      <c r="J870" t="str">
        <f>PROPER(shipments[[#This Row],[delivery_status]])</f>
        <v>Delivered</v>
      </c>
      <c r="K870" t="s">
        <v>6926</v>
      </c>
    </row>
    <row r="871" spans="1:11">
      <c r="A871" t="s">
        <v>7807</v>
      </c>
      <c r="B871" t="s">
        <v>1731</v>
      </c>
      <c r="C871" t="s">
        <v>6940</v>
      </c>
      <c r="D871" s="1">
        <v>45227</v>
      </c>
      <c r="E871" s="1">
        <v>45237</v>
      </c>
      <c r="F871" s="1">
        <v>45237</v>
      </c>
      <c r="G871">
        <v>49.03</v>
      </c>
      <c r="H8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871" t="str">
        <f>IFERROR(INDEX(Raw_orders!G:G, MATCH(shipments[[#This Row],[order_id]],Raw_orders!A:A, 0)), "Unknown")</f>
        <v>Central Europe</v>
      </c>
      <c r="J871" t="str">
        <f>PROPER(shipments[[#This Row],[delivery_status]])</f>
        <v>Delivered</v>
      </c>
      <c r="K871" t="s">
        <v>6926</v>
      </c>
    </row>
    <row r="872" spans="1:11">
      <c r="A872" t="s">
        <v>7808</v>
      </c>
      <c r="B872" t="s">
        <v>1732</v>
      </c>
      <c r="C872" t="s">
        <v>6925</v>
      </c>
      <c r="D872" s="1">
        <v>45309</v>
      </c>
      <c r="E872" s="1">
        <v>45319</v>
      </c>
      <c r="F872" s="1">
        <v>45321</v>
      </c>
      <c r="G872">
        <v>27.94</v>
      </c>
      <c r="H8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72" t="str">
        <f>IFERROR(INDEX(Raw_orders!G:G, MATCH(shipments[[#This Row],[order_id]],Raw_orders!A:A, 0)), "Unknown")</f>
        <v>Central Europe</v>
      </c>
      <c r="J872" t="str">
        <f>PROPER(shipments[[#This Row],[delivery_status]])</f>
        <v>Delivered</v>
      </c>
      <c r="K872" t="s">
        <v>6926</v>
      </c>
    </row>
    <row r="873" spans="1:11">
      <c r="A873" t="s">
        <v>7809</v>
      </c>
      <c r="B873" t="s">
        <v>1733</v>
      </c>
      <c r="C873" t="s">
        <v>6931</v>
      </c>
      <c r="D873" s="1">
        <v>45191</v>
      </c>
      <c r="E873" s="1">
        <v>45193</v>
      </c>
      <c r="F873" s="1">
        <v>45201</v>
      </c>
      <c r="G873">
        <v>59.15</v>
      </c>
      <c r="H8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73" t="str">
        <f>IFERROR(INDEX(Raw_orders!G:G, MATCH(shipments[[#This Row],[order_id]],Raw_orders!A:A, 0)), "Unknown")</f>
        <v>Central Europe</v>
      </c>
      <c r="J873" t="str">
        <f>PROPER(shipments[[#This Row],[delivery_status]])</f>
        <v>Delivered</v>
      </c>
      <c r="K873" t="s">
        <v>6929</v>
      </c>
    </row>
    <row r="874" spans="1:11">
      <c r="A874" t="s">
        <v>7810</v>
      </c>
      <c r="B874" t="s">
        <v>1734</v>
      </c>
      <c r="C874" t="s">
        <v>6940</v>
      </c>
      <c r="D874" s="1">
        <v>44946</v>
      </c>
      <c r="E874" s="1">
        <v>44948</v>
      </c>
      <c r="F874" s="1">
        <v>44947</v>
      </c>
      <c r="G874">
        <v>21.11</v>
      </c>
      <c r="H8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874" t="str">
        <f>IFERROR(INDEX(Raw_orders!G:G, MATCH(shipments[[#This Row],[order_id]],Raw_orders!A:A, 0)), "Unknown")</f>
        <v>Nordics</v>
      </c>
      <c r="J874" t="str">
        <f>PROPER(shipments[[#This Row],[delivery_status]])</f>
        <v>Delivered</v>
      </c>
      <c r="K874" t="s">
        <v>6926</v>
      </c>
    </row>
    <row r="875" spans="1:11">
      <c r="A875" t="s">
        <v>7811</v>
      </c>
      <c r="B875" t="s">
        <v>1735</v>
      </c>
      <c r="C875" t="s">
        <v>6925</v>
      </c>
      <c r="D875" s="1">
        <v>45206</v>
      </c>
      <c r="E875" s="1">
        <v>45209</v>
      </c>
      <c r="F875" s="1">
        <v>45211</v>
      </c>
      <c r="G875">
        <v>59.09</v>
      </c>
      <c r="H8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75" t="str">
        <f>IFERROR(INDEX(Raw_orders!G:G, MATCH(shipments[[#This Row],[order_id]],Raw_orders!A:A, 0)), "Unknown")</f>
        <v>Baltics</v>
      </c>
      <c r="J875" t="str">
        <f>PROPER(shipments[[#This Row],[delivery_status]])</f>
        <v>Delivered</v>
      </c>
      <c r="K875" t="s">
        <v>6926</v>
      </c>
    </row>
    <row r="876" spans="1:11">
      <c r="A876" t="s">
        <v>7812</v>
      </c>
      <c r="B876" t="s">
        <v>1736</v>
      </c>
      <c r="C876" t="s">
        <v>6928</v>
      </c>
      <c r="D876" s="1">
        <v>44933</v>
      </c>
      <c r="E876" s="1">
        <v>44943</v>
      </c>
      <c r="F876" s="1"/>
      <c r="G876">
        <v>4.97</v>
      </c>
      <c r="H8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876" t="str">
        <f>IFERROR(INDEX(Raw_orders!G:G, MATCH(shipments[[#This Row],[order_id]],Raw_orders!A:A, 0)), "Unknown")</f>
        <v>Baltics</v>
      </c>
      <c r="J876" t="str">
        <f>PROPER(shipments[[#This Row],[delivery_status]])</f>
        <v>Cancelled</v>
      </c>
      <c r="K876" t="s">
        <v>6979</v>
      </c>
    </row>
    <row r="877" spans="1:11">
      <c r="A877" t="s">
        <v>7813</v>
      </c>
      <c r="B877" t="s">
        <v>1737</v>
      </c>
      <c r="C877" t="s">
        <v>6921</v>
      </c>
      <c r="D877" s="1">
        <v>45095</v>
      </c>
      <c r="E877" s="1">
        <v>45098</v>
      </c>
      <c r="F877" s="1"/>
      <c r="G877">
        <v>41.72</v>
      </c>
      <c r="H8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877" t="str">
        <f>IFERROR(INDEX(Raw_orders!G:G, MATCH(shipments[[#This Row],[order_id]],Raw_orders!A:A, 0)), "Unknown")</f>
        <v>Nordics</v>
      </c>
      <c r="J877" t="str">
        <f>PROPER(shipments[[#This Row],[delivery_status]])</f>
        <v>Cancelled</v>
      </c>
      <c r="K877" t="s">
        <v>6963</v>
      </c>
    </row>
    <row r="878" spans="1:11">
      <c r="A878" t="s">
        <v>7814</v>
      </c>
      <c r="B878" t="s">
        <v>1738</v>
      </c>
      <c r="C878" t="s">
        <v>6956</v>
      </c>
      <c r="D878" s="1">
        <v>45087</v>
      </c>
      <c r="E878" s="1">
        <v>45094</v>
      </c>
      <c r="F878" s="1">
        <v>45097</v>
      </c>
      <c r="G878">
        <v>29.52</v>
      </c>
      <c r="H8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78" t="str">
        <f>IFERROR(INDEX(Raw_orders!G:G, MATCH(shipments[[#This Row],[order_id]],Raw_orders!A:A, 0)), "Unknown")</f>
        <v>Baltics</v>
      </c>
      <c r="J878" t="str">
        <f>PROPER(shipments[[#This Row],[delivery_status]])</f>
        <v>Delivered</v>
      </c>
      <c r="K878" t="s">
        <v>6926</v>
      </c>
    </row>
    <row r="879" spans="1:11">
      <c r="A879" t="s">
        <v>7815</v>
      </c>
      <c r="B879" t="s">
        <v>1739</v>
      </c>
      <c r="C879" t="s">
        <v>6938</v>
      </c>
      <c r="D879" s="1">
        <v>45044</v>
      </c>
      <c r="E879" s="1">
        <v>45054</v>
      </c>
      <c r="F879" s="1">
        <v>45053</v>
      </c>
      <c r="G879">
        <v>11.59</v>
      </c>
      <c r="H8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879" t="str">
        <f>IFERROR(INDEX(Raw_orders!G:G, MATCH(shipments[[#This Row],[order_id]],Raw_orders!A:A, 0)), "Unknown")</f>
        <v>Central Europe</v>
      </c>
      <c r="J879" t="str">
        <f>PROPER(shipments[[#This Row],[delivery_status]])</f>
        <v>Delivered</v>
      </c>
      <c r="K879" t="s">
        <v>6926</v>
      </c>
    </row>
    <row r="880" spans="1:11">
      <c r="A880" t="s">
        <v>7816</v>
      </c>
      <c r="B880" t="s">
        <v>1740</v>
      </c>
      <c r="C880" t="s">
        <v>6940</v>
      </c>
      <c r="D880" s="1">
        <v>44966</v>
      </c>
      <c r="E880" s="1">
        <v>44976</v>
      </c>
      <c r="F880" s="1">
        <v>44979</v>
      </c>
      <c r="G880">
        <v>28.26</v>
      </c>
      <c r="H8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80" t="str">
        <f>IFERROR(INDEX(Raw_orders!G:G, MATCH(shipments[[#This Row],[order_id]],Raw_orders!A:A, 0)), "Unknown")</f>
        <v>Baltics</v>
      </c>
      <c r="J880" t="str">
        <f>PROPER(shipments[[#This Row],[delivery_status]])</f>
        <v>Delivered</v>
      </c>
      <c r="K880" t="s">
        <v>6922</v>
      </c>
    </row>
    <row r="881" spans="1:11">
      <c r="A881" t="s">
        <v>7817</v>
      </c>
      <c r="B881" t="s">
        <v>1741</v>
      </c>
      <c r="C881" t="s">
        <v>6956</v>
      </c>
      <c r="D881" s="1">
        <v>45084</v>
      </c>
      <c r="E881" s="1">
        <v>45091</v>
      </c>
      <c r="F881" s="1"/>
      <c r="G881">
        <v>44.45</v>
      </c>
      <c r="H8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881" t="str">
        <f>IFERROR(INDEX(Raw_orders!G:G, MATCH(shipments[[#This Row],[order_id]],Raw_orders!A:A, 0)), "Unknown")</f>
        <v>Baltics</v>
      </c>
      <c r="J881" t="str">
        <f>PROPER(shipments[[#This Row],[delivery_status]])</f>
        <v>Cancelled</v>
      </c>
      <c r="K881" t="s">
        <v>6979</v>
      </c>
    </row>
    <row r="882" spans="1:11">
      <c r="A882" t="s">
        <v>7818</v>
      </c>
      <c r="B882" t="s">
        <v>1742</v>
      </c>
      <c r="C882" t="s">
        <v>6940</v>
      </c>
      <c r="D882" s="1">
        <v>45234</v>
      </c>
      <c r="E882" s="1">
        <v>45241</v>
      </c>
      <c r="F882" s="1">
        <v>45246</v>
      </c>
      <c r="G882">
        <v>49.92</v>
      </c>
      <c r="H8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82" t="str">
        <f>IFERROR(INDEX(Raw_orders!G:G, MATCH(shipments[[#This Row],[order_id]],Raw_orders!A:A, 0)), "Unknown")</f>
        <v>Central Europe</v>
      </c>
      <c r="J882" t="str">
        <f>PROPER(shipments[[#This Row],[delivery_status]])</f>
        <v>Delivered</v>
      </c>
      <c r="K882" t="s">
        <v>6926</v>
      </c>
    </row>
    <row r="883" spans="1:11">
      <c r="A883" t="s">
        <v>7819</v>
      </c>
      <c r="B883" t="s">
        <v>1743</v>
      </c>
      <c r="C883" t="s">
        <v>6931</v>
      </c>
      <c r="D883" s="1">
        <v>45102</v>
      </c>
      <c r="E883" s="1">
        <v>45112</v>
      </c>
      <c r="F883" s="1">
        <v>45112</v>
      </c>
      <c r="G883">
        <v>61.22</v>
      </c>
      <c r="H8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883" t="str">
        <f>IFERROR(INDEX(Raw_orders!G:G, MATCH(shipments[[#This Row],[order_id]],Raw_orders!A:A, 0)), "Unknown")</f>
        <v>Central Europe</v>
      </c>
      <c r="J883" t="str">
        <f>PROPER(shipments[[#This Row],[delivery_status]])</f>
        <v>Delivered</v>
      </c>
      <c r="K883" t="s">
        <v>6926</v>
      </c>
    </row>
    <row r="884" spans="1:11">
      <c r="A884" t="s">
        <v>7820</v>
      </c>
      <c r="B884" t="s">
        <v>1744</v>
      </c>
      <c r="C884" t="s">
        <v>6949</v>
      </c>
      <c r="D884" s="1">
        <v>45300</v>
      </c>
      <c r="E884" s="1">
        <v>45305</v>
      </c>
      <c r="F884" s="1">
        <v>45313</v>
      </c>
      <c r="G884">
        <v>40.270000000000003</v>
      </c>
      <c r="H8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84" t="str">
        <f>IFERROR(INDEX(Raw_orders!G:G, MATCH(shipments[[#This Row],[order_id]],Raw_orders!A:A, 0)), "Unknown")</f>
        <v>Central Europe</v>
      </c>
      <c r="J884" t="str">
        <f>PROPER(shipments[[#This Row],[delivery_status]])</f>
        <v>Delivered</v>
      </c>
      <c r="K884" t="s">
        <v>6922</v>
      </c>
    </row>
    <row r="885" spans="1:11">
      <c r="A885" t="s">
        <v>7821</v>
      </c>
      <c r="B885" t="s">
        <v>1745</v>
      </c>
      <c r="C885" t="s">
        <v>6940</v>
      </c>
      <c r="D885" s="1">
        <v>45071</v>
      </c>
      <c r="E885" s="1">
        <v>45078</v>
      </c>
      <c r="F885" s="1">
        <v>45078</v>
      </c>
      <c r="G885">
        <v>15.42</v>
      </c>
      <c r="H8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885" t="str">
        <f>IFERROR(INDEX(Raw_orders!G:G, MATCH(shipments[[#This Row],[order_id]],Raw_orders!A:A, 0)), "Unknown")</f>
        <v>Baltics</v>
      </c>
      <c r="J885" t="str">
        <f>PROPER(shipments[[#This Row],[delivery_status]])</f>
        <v>Delivered</v>
      </c>
      <c r="K885" t="s">
        <v>6926</v>
      </c>
    </row>
    <row r="886" spans="1:11">
      <c r="A886" t="s">
        <v>7822</v>
      </c>
      <c r="B886" t="s">
        <v>1746</v>
      </c>
      <c r="C886" t="s">
        <v>6921</v>
      </c>
      <c r="D886" s="1">
        <v>45570</v>
      </c>
      <c r="E886" s="1">
        <v>45572</v>
      </c>
      <c r="F886" s="1">
        <v>45577</v>
      </c>
      <c r="G886">
        <v>45.65</v>
      </c>
      <c r="H8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86" t="str">
        <f>IFERROR(INDEX(Raw_orders!G:G, MATCH(shipments[[#This Row],[order_id]],Raw_orders!A:A, 0)), "Unknown")</f>
        <v>Central Europe</v>
      </c>
      <c r="J886" t="str">
        <f>PROPER(shipments[[#This Row],[delivery_status]])</f>
        <v>Delivered</v>
      </c>
      <c r="K886" t="s">
        <v>6929</v>
      </c>
    </row>
    <row r="887" spans="1:11">
      <c r="A887" t="s">
        <v>7823</v>
      </c>
      <c r="B887" t="s">
        <v>1747</v>
      </c>
      <c r="C887" t="s">
        <v>6956</v>
      </c>
      <c r="D887" s="1">
        <v>45293</v>
      </c>
      <c r="E887" s="1">
        <v>45303</v>
      </c>
      <c r="F887" s="1">
        <v>45306</v>
      </c>
      <c r="G887">
        <v>45.19</v>
      </c>
      <c r="H8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87" t="str">
        <f>IFERROR(INDEX(Raw_orders!G:G, MATCH(shipments[[#This Row],[order_id]],Raw_orders!A:A, 0)), "Unknown")</f>
        <v>Nordics</v>
      </c>
      <c r="J887" t="str">
        <f>PROPER(shipments[[#This Row],[delivery_status]])</f>
        <v>Delivered</v>
      </c>
      <c r="K887" t="s">
        <v>6926</v>
      </c>
    </row>
    <row r="888" spans="1:11">
      <c r="A888" t="s">
        <v>7824</v>
      </c>
      <c r="B888" t="s">
        <v>1748</v>
      </c>
      <c r="C888" t="s">
        <v>6931</v>
      </c>
      <c r="D888" s="1">
        <v>45393</v>
      </c>
      <c r="E888" s="1">
        <v>45398</v>
      </c>
      <c r="F888" s="1"/>
      <c r="G888">
        <v>16.82</v>
      </c>
      <c r="H8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888" t="str">
        <f>IFERROR(INDEX(Raw_orders!G:G, MATCH(shipments[[#This Row],[order_id]],Raw_orders!A:A, 0)), "Unknown")</f>
        <v>Baltics</v>
      </c>
      <c r="J888" t="str">
        <f>PROPER(shipments[[#This Row],[delivery_status]])</f>
        <v>In Transit</v>
      </c>
      <c r="K888" t="s">
        <v>6958</v>
      </c>
    </row>
    <row r="889" spans="1:11">
      <c r="A889" t="s">
        <v>7825</v>
      </c>
      <c r="B889" t="s">
        <v>1749</v>
      </c>
      <c r="C889" t="s">
        <v>6928</v>
      </c>
      <c r="D889" s="1">
        <v>45131</v>
      </c>
      <c r="E889" s="1">
        <v>45133</v>
      </c>
      <c r="F889" s="1">
        <v>45143</v>
      </c>
      <c r="G889">
        <v>38.700000000000003</v>
      </c>
      <c r="H8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89" t="str">
        <f>IFERROR(INDEX(Raw_orders!G:G, MATCH(shipments[[#This Row],[order_id]],Raw_orders!A:A, 0)), "Unknown")</f>
        <v>Baltics</v>
      </c>
      <c r="J889" t="str">
        <f>PROPER(shipments[[#This Row],[delivery_status]])</f>
        <v>Delivered</v>
      </c>
      <c r="K889" t="s">
        <v>6922</v>
      </c>
    </row>
    <row r="890" spans="1:11">
      <c r="A890" t="s">
        <v>7826</v>
      </c>
      <c r="B890" t="s">
        <v>1750</v>
      </c>
      <c r="C890" t="s">
        <v>6956</v>
      </c>
      <c r="D890" s="1">
        <v>45180</v>
      </c>
      <c r="E890" s="1">
        <v>45190</v>
      </c>
      <c r="F890" s="1">
        <v>45193</v>
      </c>
      <c r="G890">
        <v>56.95</v>
      </c>
      <c r="H8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90" t="str">
        <f>IFERROR(INDEX(Raw_orders!G:G, MATCH(shipments[[#This Row],[order_id]],Raw_orders!A:A, 0)), "Unknown")</f>
        <v>Nordics</v>
      </c>
      <c r="J890" t="str">
        <f>PROPER(shipments[[#This Row],[delivery_status]])</f>
        <v>Delivered</v>
      </c>
      <c r="K890" t="s">
        <v>6929</v>
      </c>
    </row>
    <row r="891" spans="1:11">
      <c r="A891" t="s">
        <v>7827</v>
      </c>
      <c r="B891" t="s">
        <v>1751</v>
      </c>
      <c r="C891" t="s">
        <v>6938</v>
      </c>
      <c r="D891" s="1">
        <v>45622</v>
      </c>
      <c r="E891" s="1">
        <v>45629</v>
      </c>
      <c r="F891" s="1">
        <v>45629</v>
      </c>
      <c r="G891">
        <v>54.67</v>
      </c>
      <c r="H8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891" t="str">
        <f>IFERROR(INDEX(Raw_orders!G:G, MATCH(shipments[[#This Row],[order_id]],Raw_orders!A:A, 0)), "Unknown")</f>
        <v>Nordics</v>
      </c>
      <c r="J891" t="str">
        <f>PROPER(shipments[[#This Row],[delivery_status]])</f>
        <v>Delivered</v>
      </c>
      <c r="K891" t="s">
        <v>6929</v>
      </c>
    </row>
    <row r="892" spans="1:11">
      <c r="A892" t="s">
        <v>7828</v>
      </c>
      <c r="B892" t="s">
        <v>1752</v>
      </c>
      <c r="C892" t="s">
        <v>6931</v>
      </c>
      <c r="D892" s="1">
        <v>45602</v>
      </c>
      <c r="E892" s="1">
        <v>45607</v>
      </c>
      <c r="F892" s="1"/>
      <c r="G892">
        <v>30.33</v>
      </c>
      <c r="H8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892" t="str">
        <f>IFERROR(INDEX(Raw_orders!G:G, MATCH(shipments[[#This Row],[order_id]],Raw_orders!A:A, 0)), "Unknown")</f>
        <v>Central Europe</v>
      </c>
      <c r="J892" t="str">
        <f>PROPER(shipments[[#This Row],[delivery_status]])</f>
        <v>In Transit</v>
      </c>
      <c r="K892" t="s">
        <v>6958</v>
      </c>
    </row>
    <row r="893" spans="1:11">
      <c r="A893" t="s">
        <v>7829</v>
      </c>
      <c r="B893" t="s">
        <v>1753</v>
      </c>
      <c r="C893" t="s">
        <v>6928</v>
      </c>
      <c r="D893" s="1">
        <v>45498</v>
      </c>
      <c r="E893" s="1">
        <v>45500</v>
      </c>
      <c r="F893" s="1">
        <v>45500</v>
      </c>
      <c r="G893">
        <v>30.15</v>
      </c>
      <c r="H8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893" t="str">
        <f>IFERROR(INDEX(Raw_orders!G:G, MATCH(shipments[[#This Row],[order_id]],Raw_orders!A:A, 0)), "Unknown")</f>
        <v>Baltics</v>
      </c>
      <c r="J893" t="str">
        <f>PROPER(shipments[[#This Row],[delivery_status]])</f>
        <v>Delivered</v>
      </c>
      <c r="K893" t="s">
        <v>6922</v>
      </c>
    </row>
    <row r="894" spans="1:11">
      <c r="A894" t="s">
        <v>7830</v>
      </c>
      <c r="B894" t="s">
        <v>1754</v>
      </c>
      <c r="C894" t="s">
        <v>6956</v>
      </c>
      <c r="D894" s="1">
        <v>45384</v>
      </c>
      <c r="E894" s="1">
        <v>45389</v>
      </c>
      <c r="F894" s="1"/>
      <c r="G894">
        <v>15.07</v>
      </c>
      <c r="H8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894" t="str">
        <f>IFERROR(INDEX(Raw_orders!G:G, MATCH(shipments[[#This Row],[order_id]],Raw_orders!A:A, 0)), "Unknown")</f>
        <v>Baltics</v>
      </c>
      <c r="J894" t="str">
        <f>PROPER(shipments[[#This Row],[delivery_status]])</f>
        <v>Cancelled</v>
      </c>
      <c r="K894" t="s">
        <v>6979</v>
      </c>
    </row>
    <row r="895" spans="1:11">
      <c r="A895" t="s">
        <v>7831</v>
      </c>
      <c r="B895" t="s">
        <v>1755</v>
      </c>
      <c r="C895" t="s">
        <v>6938</v>
      </c>
      <c r="D895" s="1">
        <v>45391</v>
      </c>
      <c r="E895" s="1">
        <v>45398</v>
      </c>
      <c r="F895" s="1">
        <v>45406</v>
      </c>
      <c r="G895">
        <v>11.71</v>
      </c>
      <c r="H8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95" t="str">
        <f>IFERROR(INDEX(Raw_orders!G:G, MATCH(shipments[[#This Row],[order_id]],Raw_orders!A:A, 0)), "Unknown")</f>
        <v>Baltics</v>
      </c>
      <c r="J895" t="str">
        <f>PROPER(shipments[[#This Row],[delivery_status]])</f>
        <v>Delivered</v>
      </c>
      <c r="K895" t="s">
        <v>6922</v>
      </c>
    </row>
    <row r="896" spans="1:11">
      <c r="A896" t="s">
        <v>7832</v>
      </c>
      <c r="B896" t="s">
        <v>1756</v>
      </c>
      <c r="C896" t="s">
        <v>6938</v>
      </c>
      <c r="D896" s="1">
        <v>45184</v>
      </c>
      <c r="E896" s="1">
        <v>45189</v>
      </c>
      <c r="F896" s="1">
        <v>45189</v>
      </c>
      <c r="G896">
        <v>6.08</v>
      </c>
      <c r="H8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896" t="str">
        <f>IFERROR(INDEX(Raw_orders!G:G, MATCH(shipments[[#This Row],[order_id]],Raw_orders!A:A, 0)), "Unknown")</f>
        <v>Central Europe</v>
      </c>
      <c r="J896" t="str">
        <f>PROPER(shipments[[#This Row],[delivery_status]])</f>
        <v>Delivered</v>
      </c>
      <c r="K896" t="s">
        <v>6922</v>
      </c>
    </row>
    <row r="897" spans="1:11">
      <c r="A897" t="s">
        <v>7833</v>
      </c>
      <c r="B897" t="s">
        <v>1757</v>
      </c>
      <c r="C897" t="s">
        <v>6938</v>
      </c>
      <c r="D897" s="1">
        <v>45182</v>
      </c>
      <c r="E897" s="1">
        <v>45185</v>
      </c>
      <c r="F897" s="1">
        <v>45188</v>
      </c>
      <c r="G897">
        <v>36.770000000000003</v>
      </c>
      <c r="H8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97" t="str">
        <f>IFERROR(INDEX(Raw_orders!G:G, MATCH(shipments[[#This Row],[order_id]],Raw_orders!A:A, 0)), "Unknown")</f>
        <v>Nordics</v>
      </c>
      <c r="J897" t="str">
        <f>PROPER(shipments[[#This Row],[delivery_status]])</f>
        <v>Delivered</v>
      </c>
      <c r="K897" t="s">
        <v>6922</v>
      </c>
    </row>
    <row r="898" spans="1:11">
      <c r="A898" t="s">
        <v>7834</v>
      </c>
      <c r="B898" t="s">
        <v>1758</v>
      </c>
      <c r="C898" t="s">
        <v>6956</v>
      </c>
      <c r="D898" s="1">
        <v>45402</v>
      </c>
      <c r="E898" s="1">
        <v>45405</v>
      </c>
      <c r="F898" s="1">
        <v>45410</v>
      </c>
      <c r="G898">
        <v>24.95</v>
      </c>
      <c r="H8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898" t="str">
        <f>IFERROR(INDEX(Raw_orders!G:G, MATCH(shipments[[#This Row],[order_id]],Raw_orders!A:A, 0)), "Unknown")</f>
        <v>Baltics</v>
      </c>
      <c r="J898" t="str">
        <f>PROPER(shipments[[#This Row],[delivery_status]])</f>
        <v>Delivered</v>
      </c>
      <c r="K898" t="s">
        <v>6922</v>
      </c>
    </row>
    <row r="899" spans="1:11">
      <c r="A899" t="s">
        <v>7835</v>
      </c>
      <c r="B899" t="s">
        <v>1759</v>
      </c>
      <c r="C899" t="s">
        <v>6928</v>
      </c>
      <c r="D899" s="1">
        <v>45465</v>
      </c>
      <c r="E899" s="1">
        <v>45472</v>
      </c>
      <c r="F899" s="1"/>
      <c r="G899">
        <v>26.35</v>
      </c>
      <c r="H8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899" t="str">
        <f>IFERROR(INDEX(Raw_orders!G:G, MATCH(shipments[[#This Row],[order_id]],Raw_orders!A:A, 0)), "Unknown")</f>
        <v>Nordics</v>
      </c>
      <c r="J899" t="str">
        <f>PROPER(shipments[[#This Row],[delivery_status]])</f>
        <v>Cancelled</v>
      </c>
      <c r="K899" t="s">
        <v>6979</v>
      </c>
    </row>
    <row r="900" spans="1:11">
      <c r="A900" t="s">
        <v>7836</v>
      </c>
      <c r="B900" t="s">
        <v>1760</v>
      </c>
      <c r="C900" t="s">
        <v>6931</v>
      </c>
      <c r="D900" s="1">
        <v>45242</v>
      </c>
      <c r="E900" s="1">
        <v>45244</v>
      </c>
      <c r="F900" s="1">
        <v>45245</v>
      </c>
      <c r="G900">
        <v>20.96</v>
      </c>
      <c r="H9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00" t="str">
        <f>IFERROR(INDEX(Raw_orders!G:G, MATCH(shipments[[#This Row],[order_id]],Raw_orders!A:A, 0)), "Unknown")</f>
        <v>Central Europe</v>
      </c>
      <c r="J900" t="str">
        <f>PROPER(shipments[[#This Row],[delivery_status]])</f>
        <v>Delivered</v>
      </c>
      <c r="K900" t="s">
        <v>6922</v>
      </c>
    </row>
    <row r="901" spans="1:11">
      <c r="A901" t="s">
        <v>7837</v>
      </c>
      <c r="B901" t="s">
        <v>1761</v>
      </c>
      <c r="C901" t="s">
        <v>6940</v>
      </c>
      <c r="D901" s="1">
        <v>45414</v>
      </c>
      <c r="E901" s="1">
        <v>45421</v>
      </c>
      <c r="F901" s="1">
        <v>45429</v>
      </c>
      <c r="G901">
        <v>12.83</v>
      </c>
      <c r="H9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01" t="str">
        <f>IFERROR(INDEX(Raw_orders!G:G, MATCH(shipments[[#This Row],[order_id]],Raw_orders!A:A, 0)), "Unknown")</f>
        <v>Baltics</v>
      </c>
      <c r="J901" t="str">
        <f>PROPER(shipments[[#This Row],[delivery_status]])</f>
        <v>Delivered</v>
      </c>
      <c r="K901" t="s">
        <v>6926</v>
      </c>
    </row>
    <row r="902" spans="1:11">
      <c r="A902" t="s">
        <v>7838</v>
      </c>
      <c r="B902" t="s">
        <v>1762</v>
      </c>
      <c r="C902" t="s">
        <v>6938</v>
      </c>
      <c r="D902" s="1">
        <v>45523</v>
      </c>
      <c r="E902" s="1">
        <v>45530</v>
      </c>
      <c r="F902" s="1">
        <v>45529</v>
      </c>
      <c r="G902">
        <v>53.32</v>
      </c>
      <c r="H9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902" t="str">
        <f>IFERROR(INDEX(Raw_orders!G:G, MATCH(shipments[[#This Row],[order_id]],Raw_orders!A:A, 0)), "Unknown")</f>
        <v>Baltics</v>
      </c>
      <c r="J902" t="str">
        <f>PROPER(shipments[[#This Row],[delivery_status]])</f>
        <v>Delivered</v>
      </c>
      <c r="K902" t="s">
        <v>6922</v>
      </c>
    </row>
    <row r="903" spans="1:11">
      <c r="A903" t="s">
        <v>7839</v>
      </c>
      <c r="B903" t="s">
        <v>1763</v>
      </c>
      <c r="C903" t="s">
        <v>6931</v>
      </c>
      <c r="D903" s="1">
        <v>45054</v>
      </c>
      <c r="E903" s="1">
        <v>45064</v>
      </c>
      <c r="F903" s="1">
        <v>45069</v>
      </c>
      <c r="G903">
        <v>19.690000000000001</v>
      </c>
      <c r="H9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03" t="str">
        <f>IFERROR(INDEX(Raw_orders!G:G, MATCH(shipments[[#This Row],[order_id]],Raw_orders!A:A, 0)), "Unknown")</f>
        <v>Central Europe</v>
      </c>
      <c r="J903" t="str">
        <f>PROPER(shipments[[#This Row],[delivery_status]])</f>
        <v>Delivered</v>
      </c>
      <c r="K903" t="s">
        <v>6922</v>
      </c>
    </row>
    <row r="904" spans="1:11">
      <c r="A904" t="s">
        <v>7840</v>
      </c>
      <c r="B904" t="s">
        <v>1764</v>
      </c>
      <c r="C904" t="s">
        <v>6928</v>
      </c>
      <c r="D904" s="1">
        <v>45383</v>
      </c>
      <c r="E904" s="1">
        <v>45386</v>
      </c>
      <c r="F904" s="1">
        <v>45389</v>
      </c>
      <c r="G904">
        <v>18.510000000000002</v>
      </c>
      <c r="H9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04" t="str">
        <f>IFERROR(INDEX(Raw_orders!G:G, MATCH(shipments[[#This Row],[order_id]],Raw_orders!A:A, 0)), "Unknown")</f>
        <v>Baltics</v>
      </c>
      <c r="J904" t="str">
        <f>PROPER(shipments[[#This Row],[delivery_status]])</f>
        <v>Delivered</v>
      </c>
      <c r="K904" t="s">
        <v>6922</v>
      </c>
    </row>
    <row r="905" spans="1:11">
      <c r="A905" t="s">
        <v>7841</v>
      </c>
      <c r="B905" t="s">
        <v>1765</v>
      </c>
      <c r="C905" t="s">
        <v>6928</v>
      </c>
      <c r="D905" s="1">
        <v>45158</v>
      </c>
      <c r="E905" s="1">
        <v>45161</v>
      </c>
      <c r="F905" s="1">
        <v>45160</v>
      </c>
      <c r="G905">
        <v>44.09</v>
      </c>
      <c r="H9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905" t="str">
        <f>IFERROR(INDEX(Raw_orders!G:G, MATCH(shipments[[#This Row],[order_id]],Raw_orders!A:A, 0)), "Unknown")</f>
        <v>Nordics</v>
      </c>
      <c r="J905" t="str">
        <f>PROPER(shipments[[#This Row],[delivery_status]])</f>
        <v>Delivered</v>
      </c>
      <c r="K905" t="s">
        <v>6922</v>
      </c>
    </row>
    <row r="906" spans="1:11">
      <c r="A906" t="s">
        <v>7842</v>
      </c>
      <c r="B906" t="s">
        <v>1766</v>
      </c>
      <c r="C906" t="s">
        <v>6928</v>
      </c>
      <c r="D906" s="1">
        <v>45438</v>
      </c>
      <c r="E906" s="1">
        <v>45441</v>
      </c>
      <c r="F906" s="1">
        <v>45441</v>
      </c>
      <c r="G906">
        <v>22.82</v>
      </c>
      <c r="H9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906" t="str">
        <f>IFERROR(INDEX(Raw_orders!G:G, MATCH(shipments[[#This Row],[order_id]],Raw_orders!A:A, 0)), "Unknown")</f>
        <v>Baltics</v>
      </c>
      <c r="J906" t="str">
        <f>PROPER(shipments[[#This Row],[delivery_status]])</f>
        <v>Delivered</v>
      </c>
      <c r="K906" t="s">
        <v>6929</v>
      </c>
    </row>
    <row r="907" spans="1:11">
      <c r="A907" t="s">
        <v>7843</v>
      </c>
      <c r="B907" t="s">
        <v>1767</v>
      </c>
      <c r="C907" t="s">
        <v>6921</v>
      </c>
      <c r="D907" s="1">
        <v>45392</v>
      </c>
      <c r="E907" s="1">
        <v>45399</v>
      </c>
      <c r="F907" s="1">
        <v>45399</v>
      </c>
      <c r="G907">
        <v>7.6</v>
      </c>
      <c r="H9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907" t="str">
        <f>IFERROR(INDEX(Raw_orders!G:G, MATCH(shipments[[#This Row],[order_id]],Raw_orders!A:A, 0)), "Unknown")</f>
        <v>Central Europe</v>
      </c>
      <c r="J907" t="str">
        <f>PROPER(shipments[[#This Row],[delivery_status]])</f>
        <v>Delivered</v>
      </c>
      <c r="K907" t="s">
        <v>6929</v>
      </c>
    </row>
    <row r="908" spans="1:11">
      <c r="A908" t="s">
        <v>7844</v>
      </c>
      <c r="B908" t="s">
        <v>1768</v>
      </c>
      <c r="C908" t="s">
        <v>6931</v>
      </c>
      <c r="D908" s="1">
        <v>45520</v>
      </c>
      <c r="E908" s="1">
        <v>45523</v>
      </c>
      <c r="F908" s="1">
        <v>45523</v>
      </c>
      <c r="G908">
        <v>8.02</v>
      </c>
      <c r="H9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908" t="str">
        <f>IFERROR(INDEX(Raw_orders!G:G, MATCH(shipments[[#This Row],[order_id]],Raw_orders!A:A, 0)), "Unknown")</f>
        <v>Nordics</v>
      </c>
      <c r="J908" t="str">
        <f>PROPER(shipments[[#This Row],[delivery_status]])</f>
        <v>Delivered</v>
      </c>
      <c r="K908" t="s">
        <v>6922</v>
      </c>
    </row>
    <row r="909" spans="1:11">
      <c r="A909" t="s">
        <v>7845</v>
      </c>
      <c r="B909" t="s">
        <v>1769</v>
      </c>
      <c r="C909" t="s">
        <v>6938</v>
      </c>
      <c r="D909" s="1">
        <v>45574</v>
      </c>
      <c r="E909" s="1">
        <v>45576</v>
      </c>
      <c r="F909" s="1">
        <v>45589</v>
      </c>
      <c r="G909">
        <v>17.190000000000001</v>
      </c>
      <c r="H9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09" t="str">
        <f>IFERROR(INDEX(Raw_orders!G:G, MATCH(shipments[[#This Row],[order_id]],Raw_orders!A:A, 0)), "Unknown")</f>
        <v>Nordics</v>
      </c>
      <c r="J909" t="str">
        <f>PROPER(shipments[[#This Row],[delivery_status]])</f>
        <v>Delivered</v>
      </c>
      <c r="K909" t="s">
        <v>6929</v>
      </c>
    </row>
    <row r="910" spans="1:11">
      <c r="A910" t="s">
        <v>7846</v>
      </c>
      <c r="B910" t="s">
        <v>1770</v>
      </c>
      <c r="C910" t="s">
        <v>6935</v>
      </c>
      <c r="D910" s="1">
        <v>45502</v>
      </c>
      <c r="E910" s="1">
        <v>45509</v>
      </c>
      <c r="F910" s="1">
        <v>45511</v>
      </c>
      <c r="G910">
        <v>35.520000000000003</v>
      </c>
      <c r="H9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10" t="str">
        <f>IFERROR(INDEX(Raw_orders!G:G, MATCH(shipments[[#This Row],[order_id]],Raw_orders!A:A, 0)), "Unknown")</f>
        <v>Nordics</v>
      </c>
      <c r="J910" t="str">
        <f>PROPER(shipments[[#This Row],[delivery_status]])</f>
        <v>Delivered</v>
      </c>
      <c r="K910" t="s">
        <v>6929</v>
      </c>
    </row>
    <row r="911" spans="1:11">
      <c r="A911" t="s">
        <v>7847</v>
      </c>
      <c r="B911" t="s">
        <v>1771</v>
      </c>
      <c r="C911" t="s">
        <v>6931</v>
      </c>
      <c r="D911" s="1">
        <v>45449</v>
      </c>
      <c r="E911" s="1">
        <v>45452</v>
      </c>
      <c r="F911" s="1">
        <v>45454</v>
      </c>
      <c r="G911">
        <v>26.03</v>
      </c>
      <c r="H9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11" t="str">
        <f>IFERROR(INDEX(Raw_orders!G:G, MATCH(shipments[[#This Row],[order_id]],Raw_orders!A:A, 0)), "Unknown")</f>
        <v>Nordics</v>
      </c>
      <c r="J911" t="str">
        <f>PROPER(shipments[[#This Row],[delivery_status]])</f>
        <v>Delivered</v>
      </c>
      <c r="K911" t="s">
        <v>6926</v>
      </c>
    </row>
    <row r="912" spans="1:11">
      <c r="A912" t="s">
        <v>7848</v>
      </c>
      <c r="B912" t="s">
        <v>1772</v>
      </c>
      <c r="C912" t="s">
        <v>6935</v>
      </c>
      <c r="D912" s="1">
        <v>45346</v>
      </c>
      <c r="E912" s="1">
        <v>45348</v>
      </c>
      <c r="F912" s="1">
        <v>45348</v>
      </c>
      <c r="G912">
        <v>25.27</v>
      </c>
      <c r="H9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912" t="str">
        <f>IFERROR(INDEX(Raw_orders!G:G, MATCH(shipments[[#This Row],[order_id]],Raw_orders!A:A, 0)), "Unknown")</f>
        <v>Central Europe</v>
      </c>
      <c r="J912" t="str">
        <f>PROPER(shipments[[#This Row],[delivery_status]])</f>
        <v>Delivered</v>
      </c>
      <c r="K912" t="s">
        <v>6926</v>
      </c>
    </row>
    <row r="913" spans="1:11">
      <c r="A913" t="s">
        <v>7849</v>
      </c>
      <c r="B913" t="s">
        <v>1773</v>
      </c>
      <c r="C913" t="s">
        <v>6925</v>
      </c>
      <c r="D913" s="1">
        <v>45048</v>
      </c>
      <c r="E913" s="1">
        <v>45053</v>
      </c>
      <c r="F913" s="1">
        <v>45052</v>
      </c>
      <c r="G913">
        <v>40.11</v>
      </c>
      <c r="H9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913" t="str">
        <f>IFERROR(INDEX(Raw_orders!G:G, MATCH(shipments[[#This Row],[order_id]],Raw_orders!A:A, 0)), "Unknown")</f>
        <v>Central Europe</v>
      </c>
      <c r="J913" t="str">
        <f>PROPER(shipments[[#This Row],[delivery_status]])</f>
        <v>Delivered</v>
      </c>
      <c r="K913" t="s">
        <v>6922</v>
      </c>
    </row>
    <row r="914" spans="1:11">
      <c r="A914" t="s">
        <v>7850</v>
      </c>
      <c r="B914" t="s">
        <v>1773</v>
      </c>
      <c r="C914" t="s">
        <v>6921</v>
      </c>
      <c r="D914" s="1">
        <v>45045</v>
      </c>
      <c r="E914" s="1">
        <v>45048</v>
      </c>
      <c r="F914" s="1">
        <v>45056</v>
      </c>
      <c r="G914">
        <v>41.77</v>
      </c>
      <c r="H9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14" t="str">
        <f>IFERROR(INDEX(Raw_orders!G:G, MATCH(shipments[[#This Row],[order_id]],Raw_orders!A:A, 0)), "Unknown")</f>
        <v>Central Europe</v>
      </c>
      <c r="J914" t="str">
        <f>PROPER(shipments[[#This Row],[delivery_status]])</f>
        <v>Delivered</v>
      </c>
      <c r="K914" t="s">
        <v>6922</v>
      </c>
    </row>
    <row r="915" spans="1:11">
      <c r="A915" t="s">
        <v>7851</v>
      </c>
      <c r="B915" t="s">
        <v>1774</v>
      </c>
      <c r="C915" t="s">
        <v>6925</v>
      </c>
      <c r="D915" s="1">
        <v>45392</v>
      </c>
      <c r="E915" s="1">
        <v>45394</v>
      </c>
      <c r="F915" s="1"/>
      <c r="G915">
        <v>35.82</v>
      </c>
      <c r="H9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915" t="str">
        <f>IFERROR(INDEX(Raw_orders!G:G, MATCH(shipments[[#This Row],[order_id]],Raw_orders!A:A, 0)), "Unknown")</f>
        <v>Baltics</v>
      </c>
      <c r="J915" t="str">
        <f>PROPER(shipments[[#This Row],[delivery_status]])</f>
        <v>Cancelled</v>
      </c>
      <c r="K915" t="s">
        <v>6963</v>
      </c>
    </row>
    <row r="916" spans="1:11">
      <c r="A916" t="s">
        <v>7852</v>
      </c>
      <c r="B916" t="s">
        <v>1775</v>
      </c>
      <c r="C916" t="s">
        <v>6921</v>
      </c>
      <c r="D916" s="1">
        <v>44962</v>
      </c>
      <c r="E916" s="1">
        <v>44969</v>
      </c>
      <c r="F916" s="1">
        <v>44970</v>
      </c>
      <c r="G916">
        <v>49.01</v>
      </c>
      <c r="H9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16" t="str">
        <f>IFERROR(INDEX(Raw_orders!G:G, MATCH(shipments[[#This Row],[order_id]],Raw_orders!A:A, 0)), "Unknown")</f>
        <v>Central Europe</v>
      </c>
      <c r="J916" t="str">
        <f>PROPER(shipments[[#This Row],[delivery_status]])</f>
        <v>Delivered</v>
      </c>
      <c r="K916" t="s">
        <v>6926</v>
      </c>
    </row>
    <row r="917" spans="1:11">
      <c r="A917" t="s">
        <v>7853</v>
      </c>
      <c r="B917" t="s">
        <v>1775</v>
      </c>
      <c r="C917" t="s">
        <v>6928</v>
      </c>
      <c r="D917" s="1">
        <v>44960</v>
      </c>
      <c r="E917" s="1">
        <v>44963</v>
      </c>
      <c r="F917" s="1">
        <v>44968</v>
      </c>
      <c r="G917">
        <v>60.61</v>
      </c>
      <c r="H9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17" t="str">
        <f>IFERROR(INDEX(Raw_orders!G:G, MATCH(shipments[[#This Row],[order_id]],Raw_orders!A:A, 0)), "Unknown")</f>
        <v>Central Europe</v>
      </c>
      <c r="J917" t="str">
        <f>PROPER(shipments[[#This Row],[delivery_status]])</f>
        <v>Delivered</v>
      </c>
      <c r="K917" t="s">
        <v>6926</v>
      </c>
    </row>
    <row r="918" spans="1:11">
      <c r="A918" t="s">
        <v>7854</v>
      </c>
      <c r="B918" t="s">
        <v>1776</v>
      </c>
      <c r="C918" t="s">
        <v>6921</v>
      </c>
      <c r="D918" s="1">
        <v>45118</v>
      </c>
      <c r="E918" s="1">
        <v>45121</v>
      </c>
      <c r="F918" s="1">
        <v>45126</v>
      </c>
      <c r="G918">
        <v>61.75</v>
      </c>
      <c r="H9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18" t="str">
        <f>IFERROR(INDEX(Raw_orders!G:G, MATCH(shipments[[#This Row],[order_id]],Raw_orders!A:A, 0)), "Unknown")</f>
        <v>Nordics</v>
      </c>
      <c r="J918" t="str">
        <f>PROPER(shipments[[#This Row],[delivery_status]])</f>
        <v>Delivered</v>
      </c>
      <c r="K918" t="s">
        <v>6929</v>
      </c>
    </row>
    <row r="919" spans="1:11">
      <c r="A919" t="s">
        <v>7855</v>
      </c>
      <c r="B919" t="s">
        <v>1777</v>
      </c>
      <c r="C919" t="s">
        <v>6938</v>
      </c>
      <c r="D919" s="1">
        <v>45160</v>
      </c>
      <c r="E919" s="1">
        <v>45170</v>
      </c>
      <c r="F919" s="1">
        <v>45170</v>
      </c>
      <c r="G919">
        <v>63.97</v>
      </c>
      <c r="H9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919" t="str">
        <f>IFERROR(INDEX(Raw_orders!G:G, MATCH(shipments[[#This Row],[order_id]],Raw_orders!A:A, 0)), "Unknown")</f>
        <v>Central Europe</v>
      </c>
      <c r="J919" t="str">
        <f>PROPER(shipments[[#This Row],[delivery_status]])</f>
        <v>Delivered</v>
      </c>
      <c r="K919" t="s">
        <v>6929</v>
      </c>
    </row>
    <row r="920" spans="1:11">
      <c r="A920" t="s">
        <v>7856</v>
      </c>
      <c r="B920" t="s">
        <v>1778</v>
      </c>
      <c r="C920" t="s">
        <v>6925</v>
      </c>
      <c r="D920" s="1">
        <v>44993</v>
      </c>
      <c r="E920" s="1">
        <v>44995</v>
      </c>
      <c r="F920" s="1">
        <v>44996</v>
      </c>
      <c r="G920">
        <v>25.64</v>
      </c>
      <c r="H9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20" t="str">
        <f>IFERROR(INDEX(Raw_orders!G:G, MATCH(shipments[[#This Row],[order_id]],Raw_orders!A:A, 0)), "Unknown")</f>
        <v>Nordics</v>
      </c>
      <c r="J920" t="str">
        <f>PROPER(shipments[[#This Row],[delivery_status]])</f>
        <v>Delivered</v>
      </c>
      <c r="K920" t="s">
        <v>6926</v>
      </c>
    </row>
    <row r="921" spans="1:11">
      <c r="A921" t="s">
        <v>7857</v>
      </c>
      <c r="B921" t="s">
        <v>1779</v>
      </c>
      <c r="C921" t="s">
        <v>6928</v>
      </c>
      <c r="D921" s="1">
        <v>45128</v>
      </c>
      <c r="E921" s="1">
        <v>45130</v>
      </c>
      <c r="F921" s="1">
        <v>45135</v>
      </c>
      <c r="G921">
        <v>38.36</v>
      </c>
      <c r="H9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21" t="str">
        <f>IFERROR(INDEX(Raw_orders!G:G, MATCH(shipments[[#This Row],[order_id]],Raw_orders!A:A, 0)), "Unknown")</f>
        <v>Nordics</v>
      </c>
      <c r="J921" t="str">
        <f>PROPER(shipments[[#This Row],[delivery_status]])</f>
        <v>Delivered</v>
      </c>
      <c r="K921" t="s">
        <v>6922</v>
      </c>
    </row>
    <row r="922" spans="1:11">
      <c r="A922" t="s">
        <v>7858</v>
      </c>
      <c r="B922" t="s">
        <v>1780</v>
      </c>
      <c r="C922" t="s">
        <v>6956</v>
      </c>
      <c r="D922" s="1">
        <v>45111</v>
      </c>
      <c r="E922" s="1">
        <v>45114</v>
      </c>
      <c r="F922" s="1">
        <v>45122</v>
      </c>
      <c r="G922">
        <v>46.85</v>
      </c>
      <c r="H9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22" t="str">
        <f>IFERROR(INDEX(Raw_orders!G:G, MATCH(shipments[[#This Row],[order_id]],Raw_orders!A:A, 0)), "Unknown")</f>
        <v>Baltics</v>
      </c>
      <c r="J922" t="str">
        <f>PROPER(shipments[[#This Row],[delivery_status]])</f>
        <v>Delivered</v>
      </c>
      <c r="K922" t="s">
        <v>6926</v>
      </c>
    </row>
    <row r="923" spans="1:11">
      <c r="A923" t="s">
        <v>7859</v>
      </c>
      <c r="B923" t="s">
        <v>1781</v>
      </c>
      <c r="C923" t="s">
        <v>6921</v>
      </c>
      <c r="D923" s="1">
        <v>45611</v>
      </c>
      <c r="E923" s="1">
        <v>45614</v>
      </c>
      <c r="F923" s="1">
        <v>45614</v>
      </c>
      <c r="G923">
        <v>34.770000000000003</v>
      </c>
      <c r="H9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923" t="str">
        <f>IFERROR(INDEX(Raw_orders!G:G, MATCH(shipments[[#This Row],[order_id]],Raw_orders!A:A, 0)), "Unknown")</f>
        <v>Central Europe</v>
      </c>
      <c r="J923" t="str">
        <f>PROPER(shipments[[#This Row],[delivery_status]])</f>
        <v>Delivered</v>
      </c>
      <c r="K923" t="s">
        <v>6926</v>
      </c>
    </row>
    <row r="924" spans="1:11">
      <c r="A924" t="s">
        <v>7860</v>
      </c>
      <c r="B924" t="s">
        <v>1782</v>
      </c>
      <c r="C924" t="s">
        <v>6935</v>
      </c>
      <c r="D924" s="1">
        <v>45450</v>
      </c>
      <c r="E924" s="1">
        <v>45452</v>
      </c>
      <c r="F924" s="1">
        <v>45453</v>
      </c>
      <c r="G924">
        <v>30.84</v>
      </c>
      <c r="H9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24" t="str">
        <f>IFERROR(INDEX(Raw_orders!G:G, MATCH(shipments[[#This Row],[order_id]],Raw_orders!A:A, 0)), "Unknown")</f>
        <v>Central Europe</v>
      </c>
      <c r="J924" t="str">
        <f>PROPER(shipments[[#This Row],[delivery_status]])</f>
        <v>Delivered</v>
      </c>
      <c r="K924" t="s">
        <v>6922</v>
      </c>
    </row>
    <row r="925" spans="1:11">
      <c r="A925" t="s">
        <v>7861</v>
      </c>
      <c r="B925" t="s">
        <v>1783</v>
      </c>
      <c r="C925" t="s">
        <v>6956</v>
      </c>
      <c r="D925" s="1">
        <v>45364</v>
      </c>
      <c r="E925" s="1">
        <v>45374</v>
      </c>
      <c r="F925" s="1"/>
      <c r="G925">
        <v>59.55</v>
      </c>
      <c r="H9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925" t="str">
        <f>IFERROR(INDEX(Raw_orders!G:G, MATCH(shipments[[#This Row],[order_id]],Raw_orders!A:A, 0)), "Unknown")</f>
        <v>Nordics</v>
      </c>
      <c r="J925" t="str">
        <f>PROPER(shipments[[#This Row],[delivery_status]])</f>
        <v>In Transit</v>
      </c>
      <c r="K925" t="s">
        <v>6977</v>
      </c>
    </row>
    <row r="926" spans="1:11">
      <c r="A926" t="s">
        <v>7862</v>
      </c>
      <c r="B926" t="s">
        <v>1783</v>
      </c>
      <c r="C926" t="s">
        <v>6956</v>
      </c>
      <c r="D926" s="1">
        <v>45366</v>
      </c>
      <c r="E926" s="1">
        <v>45368</v>
      </c>
      <c r="F926" s="1">
        <v>45372</v>
      </c>
      <c r="G926">
        <v>44.48</v>
      </c>
      <c r="H9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26" t="str">
        <f>IFERROR(INDEX(Raw_orders!G:G, MATCH(shipments[[#This Row],[order_id]],Raw_orders!A:A, 0)), "Unknown")</f>
        <v>Nordics</v>
      </c>
      <c r="J926" t="str">
        <f>PROPER(shipments[[#This Row],[delivery_status]])</f>
        <v>Delivered</v>
      </c>
      <c r="K926" t="s">
        <v>6926</v>
      </c>
    </row>
    <row r="927" spans="1:11">
      <c r="A927" t="s">
        <v>7863</v>
      </c>
      <c r="B927" t="s">
        <v>1784</v>
      </c>
      <c r="C927" t="s">
        <v>6931</v>
      </c>
      <c r="D927" s="1">
        <v>45620</v>
      </c>
      <c r="E927" s="1">
        <v>45630</v>
      </c>
      <c r="F927" s="1">
        <v>45630</v>
      </c>
      <c r="G927">
        <v>5.76</v>
      </c>
      <c r="H9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927" t="str">
        <f>IFERROR(INDEX(Raw_orders!G:G, MATCH(shipments[[#This Row],[order_id]],Raw_orders!A:A, 0)), "Unknown")</f>
        <v>Central Europe</v>
      </c>
      <c r="J927" t="str">
        <f>PROPER(shipments[[#This Row],[delivery_status]])</f>
        <v>Delivered</v>
      </c>
      <c r="K927" t="s">
        <v>6926</v>
      </c>
    </row>
    <row r="928" spans="1:11">
      <c r="A928" t="s">
        <v>7864</v>
      </c>
      <c r="B928" t="s">
        <v>1785</v>
      </c>
      <c r="C928" t="s">
        <v>6935</v>
      </c>
      <c r="D928" s="1">
        <v>45205</v>
      </c>
      <c r="E928" s="1">
        <v>45207</v>
      </c>
      <c r="F928" s="1">
        <v>45212</v>
      </c>
      <c r="G928">
        <v>34.07</v>
      </c>
      <c r="H9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28" t="str">
        <f>IFERROR(INDEX(Raw_orders!G:G, MATCH(shipments[[#This Row],[order_id]],Raw_orders!A:A, 0)), "Unknown")</f>
        <v>Nordics</v>
      </c>
      <c r="J928" t="str">
        <f>PROPER(shipments[[#This Row],[delivery_status]])</f>
        <v>Delivered</v>
      </c>
      <c r="K928" t="s">
        <v>6926</v>
      </c>
    </row>
    <row r="929" spans="1:11">
      <c r="A929" t="s">
        <v>7865</v>
      </c>
      <c r="B929" t="s">
        <v>1786</v>
      </c>
      <c r="C929" t="s">
        <v>6921</v>
      </c>
      <c r="D929" s="1">
        <v>45109</v>
      </c>
      <c r="E929" s="1">
        <v>45114</v>
      </c>
      <c r="F929" s="1">
        <v>45114</v>
      </c>
      <c r="G929">
        <v>34.58</v>
      </c>
      <c r="H9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929" t="str">
        <f>IFERROR(INDEX(Raw_orders!G:G, MATCH(shipments[[#This Row],[order_id]],Raw_orders!A:A, 0)), "Unknown")</f>
        <v>Nordics</v>
      </c>
      <c r="J929" t="str">
        <f>PROPER(shipments[[#This Row],[delivery_status]])</f>
        <v>Delivered</v>
      </c>
      <c r="K929" t="s">
        <v>6926</v>
      </c>
    </row>
    <row r="930" spans="1:11">
      <c r="A930" t="s">
        <v>7866</v>
      </c>
      <c r="B930" t="s">
        <v>1787</v>
      </c>
      <c r="C930" t="s">
        <v>6938</v>
      </c>
      <c r="D930" s="1">
        <v>45355</v>
      </c>
      <c r="E930" s="1">
        <v>45357</v>
      </c>
      <c r="F930" s="1">
        <v>45357</v>
      </c>
      <c r="H9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930" t="str">
        <f>IFERROR(INDEX(Raw_orders!G:G, MATCH(shipments[[#This Row],[order_id]],Raw_orders!A:A, 0)), "Unknown")</f>
        <v>Nordics</v>
      </c>
      <c r="J930" t="str">
        <f>PROPER(shipments[[#This Row],[delivery_status]])</f>
        <v>Delivered</v>
      </c>
      <c r="K930" t="s">
        <v>6926</v>
      </c>
    </row>
    <row r="931" spans="1:11">
      <c r="A931" t="s">
        <v>7867</v>
      </c>
      <c r="B931" t="s">
        <v>1788</v>
      </c>
      <c r="C931" t="s">
        <v>6921</v>
      </c>
      <c r="D931" s="1">
        <v>45449</v>
      </c>
      <c r="E931" s="1">
        <v>45456</v>
      </c>
      <c r="F931" s="1">
        <v>45455</v>
      </c>
      <c r="G931">
        <v>32.270000000000003</v>
      </c>
      <c r="H9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931" t="str">
        <f>IFERROR(INDEX(Raw_orders!G:G, MATCH(shipments[[#This Row],[order_id]],Raw_orders!A:A, 0)), "Unknown")</f>
        <v>Central Europe</v>
      </c>
      <c r="J931" t="str">
        <f>PROPER(shipments[[#This Row],[delivery_status]])</f>
        <v>Delivered</v>
      </c>
      <c r="K931" t="s">
        <v>6922</v>
      </c>
    </row>
    <row r="932" spans="1:11">
      <c r="A932" t="s">
        <v>7868</v>
      </c>
      <c r="B932" t="s">
        <v>1788</v>
      </c>
      <c r="C932" t="s">
        <v>6935</v>
      </c>
      <c r="D932" s="1">
        <v>45450</v>
      </c>
      <c r="E932" s="1">
        <v>45455</v>
      </c>
      <c r="F932" s="1">
        <v>45455</v>
      </c>
      <c r="G932">
        <v>5.97</v>
      </c>
      <c r="H9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932" t="str">
        <f>IFERROR(INDEX(Raw_orders!G:G, MATCH(shipments[[#This Row],[order_id]],Raw_orders!A:A, 0)), "Unknown")</f>
        <v>Central Europe</v>
      </c>
      <c r="J932" t="str">
        <f>PROPER(shipments[[#This Row],[delivery_status]])</f>
        <v>Delivered</v>
      </c>
      <c r="K932" t="s">
        <v>6929</v>
      </c>
    </row>
    <row r="933" spans="1:11">
      <c r="A933" t="s">
        <v>7869</v>
      </c>
      <c r="B933" t="s">
        <v>1789</v>
      </c>
      <c r="C933" t="s">
        <v>6956</v>
      </c>
      <c r="D933" s="1">
        <v>45465</v>
      </c>
      <c r="E933" s="1">
        <v>45472</v>
      </c>
      <c r="F933" s="1"/>
      <c r="G933">
        <v>45.95</v>
      </c>
      <c r="H9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933" t="str">
        <f>IFERROR(INDEX(Raw_orders!G:G, MATCH(shipments[[#This Row],[order_id]],Raw_orders!A:A, 0)), "Unknown")</f>
        <v>Baltics</v>
      </c>
      <c r="J933" t="str">
        <f>PROPER(shipments[[#This Row],[delivery_status]])</f>
        <v>In Transit</v>
      </c>
      <c r="K933" t="s">
        <v>6946</v>
      </c>
    </row>
    <row r="934" spans="1:11">
      <c r="A934" t="s">
        <v>7870</v>
      </c>
      <c r="B934" t="s">
        <v>1790</v>
      </c>
      <c r="C934" t="s">
        <v>6931</v>
      </c>
      <c r="D934" s="1">
        <v>44992</v>
      </c>
      <c r="E934" s="1">
        <v>44997</v>
      </c>
      <c r="F934" s="1">
        <v>44997</v>
      </c>
      <c r="G934">
        <v>8.42</v>
      </c>
      <c r="H9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934" t="str">
        <f>IFERROR(INDEX(Raw_orders!G:G, MATCH(shipments[[#This Row],[order_id]],Raw_orders!A:A, 0)), "Unknown")</f>
        <v>Central Europe</v>
      </c>
      <c r="J934" t="str">
        <f>PROPER(shipments[[#This Row],[delivery_status]])</f>
        <v>Delivered</v>
      </c>
      <c r="K934" t="s">
        <v>6929</v>
      </c>
    </row>
    <row r="935" spans="1:11">
      <c r="A935" t="s">
        <v>7871</v>
      </c>
      <c r="B935" t="s">
        <v>1791</v>
      </c>
      <c r="C935" t="s">
        <v>6956</v>
      </c>
      <c r="D935" s="1">
        <v>45284</v>
      </c>
      <c r="E935" s="1">
        <v>45289</v>
      </c>
      <c r="F935" s="1">
        <v>45290</v>
      </c>
      <c r="G935">
        <v>10.15</v>
      </c>
      <c r="H9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35" t="str">
        <f>IFERROR(INDEX(Raw_orders!G:G, MATCH(shipments[[#This Row],[order_id]],Raw_orders!A:A, 0)), "Unknown")</f>
        <v>Nordics</v>
      </c>
      <c r="J935" t="str">
        <f>PROPER(shipments[[#This Row],[delivery_status]])</f>
        <v>Delivered</v>
      </c>
      <c r="K935" t="s">
        <v>6929</v>
      </c>
    </row>
    <row r="936" spans="1:11">
      <c r="A936" t="s">
        <v>7872</v>
      </c>
      <c r="B936" t="s">
        <v>1792</v>
      </c>
      <c r="C936" t="s">
        <v>6928</v>
      </c>
      <c r="D936" s="1">
        <v>45347</v>
      </c>
      <c r="E936" s="1">
        <v>45350</v>
      </c>
      <c r="F936" s="1">
        <v>45350</v>
      </c>
      <c r="G936">
        <v>10.68</v>
      </c>
      <c r="H9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936" t="str">
        <f>IFERROR(INDEX(Raw_orders!G:G, MATCH(shipments[[#This Row],[order_id]],Raw_orders!A:A, 0)), "Unknown")</f>
        <v>Central Europe</v>
      </c>
      <c r="J936" t="str">
        <f>PROPER(shipments[[#This Row],[delivery_status]])</f>
        <v>Delivered</v>
      </c>
      <c r="K936" t="s">
        <v>6929</v>
      </c>
    </row>
    <row r="937" spans="1:11">
      <c r="A937" t="s">
        <v>7873</v>
      </c>
      <c r="B937" t="s">
        <v>1793</v>
      </c>
      <c r="C937" t="s">
        <v>6940</v>
      </c>
      <c r="D937" s="1">
        <v>44987</v>
      </c>
      <c r="E937" s="1">
        <v>44997</v>
      </c>
      <c r="F937" s="1">
        <v>44996</v>
      </c>
      <c r="G937">
        <v>47.15</v>
      </c>
      <c r="H9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937" t="str">
        <f>IFERROR(INDEX(Raw_orders!G:G, MATCH(shipments[[#This Row],[order_id]],Raw_orders!A:A, 0)), "Unknown")</f>
        <v>Baltics</v>
      </c>
      <c r="J937" t="str">
        <f>PROPER(shipments[[#This Row],[delivery_status]])</f>
        <v>Delivered</v>
      </c>
      <c r="K937" t="s">
        <v>6922</v>
      </c>
    </row>
    <row r="938" spans="1:11">
      <c r="A938" t="s">
        <v>7874</v>
      </c>
      <c r="B938" t="s">
        <v>1794</v>
      </c>
      <c r="C938" t="s">
        <v>6925</v>
      </c>
      <c r="D938" s="1">
        <v>45331</v>
      </c>
      <c r="E938" s="1">
        <v>45338</v>
      </c>
      <c r="F938" s="1">
        <v>45351</v>
      </c>
      <c r="G938">
        <v>64.12</v>
      </c>
      <c r="H9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38" t="str">
        <f>IFERROR(INDEX(Raw_orders!G:G, MATCH(shipments[[#This Row],[order_id]],Raw_orders!A:A, 0)), "Unknown")</f>
        <v>Nordics</v>
      </c>
      <c r="J938" t="str">
        <f>PROPER(shipments[[#This Row],[delivery_status]])</f>
        <v>Delivered</v>
      </c>
      <c r="K938" t="s">
        <v>6926</v>
      </c>
    </row>
    <row r="939" spans="1:11">
      <c r="A939" t="s">
        <v>7875</v>
      </c>
      <c r="B939" t="s">
        <v>1795</v>
      </c>
      <c r="C939" t="s">
        <v>6921</v>
      </c>
      <c r="D939" s="1">
        <v>45476</v>
      </c>
      <c r="E939" s="1">
        <v>45479</v>
      </c>
      <c r="F939" s="1"/>
      <c r="G939">
        <v>8.5299999999999994</v>
      </c>
      <c r="H9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939" t="str">
        <f>IFERROR(INDEX(Raw_orders!G:G, MATCH(shipments[[#This Row],[order_id]],Raw_orders!A:A, 0)), "Unknown")</f>
        <v>Baltics</v>
      </c>
      <c r="J939" t="str">
        <f>PROPER(shipments[[#This Row],[delivery_status]])</f>
        <v>Cancelled</v>
      </c>
      <c r="K939" t="s">
        <v>6979</v>
      </c>
    </row>
    <row r="940" spans="1:11">
      <c r="A940" t="s">
        <v>7876</v>
      </c>
      <c r="B940" t="s">
        <v>1796</v>
      </c>
      <c r="C940" t="s">
        <v>6938</v>
      </c>
      <c r="D940" s="1">
        <v>45052</v>
      </c>
      <c r="E940" s="1">
        <v>45055</v>
      </c>
      <c r="F940" s="1">
        <v>45058</v>
      </c>
      <c r="G940">
        <v>48.81</v>
      </c>
      <c r="H9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40" t="str">
        <f>IFERROR(INDEX(Raw_orders!G:G, MATCH(shipments[[#This Row],[order_id]],Raw_orders!A:A, 0)), "Unknown")</f>
        <v>Nordics</v>
      </c>
      <c r="J940" t="str">
        <f>PROPER(shipments[[#This Row],[delivery_status]])</f>
        <v>Delivered</v>
      </c>
      <c r="K940" t="s">
        <v>6922</v>
      </c>
    </row>
    <row r="941" spans="1:11">
      <c r="A941" t="s">
        <v>7877</v>
      </c>
      <c r="B941" t="s">
        <v>1797</v>
      </c>
      <c r="C941" t="s">
        <v>6949</v>
      </c>
      <c r="D941" s="1">
        <v>45410</v>
      </c>
      <c r="E941" s="1">
        <v>45412</v>
      </c>
      <c r="F941" s="1">
        <v>45413</v>
      </c>
      <c r="H9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41" t="str">
        <f>IFERROR(INDEX(Raw_orders!G:G, MATCH(shipments[[#This Row],[order_id]],Raw_orders!A:A, 0)), "Unknown")</f>
        <v>Nordics</v>
      </c>
      <c r="J941" t="str">
        <f>PROPER(shipments[[#This Row],[delivery_status]])</f>
        <v>Delivered</v>
      </c>
      <c r="K941" t="s">
        <v>6926</v>
      </c>
    </row>
    <row r="942" spans="1:11">
      <c r="A942" t="s">
        <v>7878</v>
      </c>
      <c r="B942" t="s">
        <v>1798</v>
      </c>
      <c r="C942" t="s">
        <v>6931</v>
      </c>
      <c r="D942" s="1">
        <v>45239</v>
      </c>
      <c r="E942" s="1">
        <v>45246</v>
      </c>
      <c r="F942" s="1">
        <v>45249</v>
      </c>
      <c r="G942">
        <v>27.38</v>
      </c>
      <c r="H9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42" t="str">
        <f>IFERROR(INDEX(Raw_orders!G:G, MATCH(shipments[[#This Row],[order_id]],Raw_orders!A:A, 0)), "Unknown")</f>
        <v>Baltics</v>
      </c>
      <c r="J942" t="str">
        <f>PROPER(shipments[[#This Row],[delivery_status]])</f>
        <v>Delivered</v>
      </c>
      <c r="K942" t="s">
        <v>6929</v>
      </c>
    </row>
    <row r="943" spans="1:11">
      <c r="A943" t="s">
        <v>7879</v>
      </c>
      <c r="B943" t="s">
        <v>1799</v>
      </c>
      <c r="C943" t="s">
        <v>6938</v>
      </c>
      <c r="D943" s="1">
        <v>45578</v>
      </c>
      <c r="E943" s="1">
        <v>45580</v>
      </c>
      <c r="F943" s="1">
        <v>45589</v>
      </c>
      <c r="G943">
        <v>38.17</v>
      </c>
      <c r="H9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43" t="str">
        <f>IFERROR(INDEX(Raw_orders!G:G, MATCH(shipments[[#This Row],[order_id]],Raw_orders!A:A, 0)), "Unknown")</f>
        <v>Nordics</v>
      </c>
      <c r="J943" t="str">
        <f>PROPER(shipments[[#This Row],[delivery_status]])</f>
        <v>Delivered</v>
      </c>
      <c r="K943" t="s">
        <v>6929</v>
      </c>
    </row>
    <row r="944" spans="1:11">
      <c r="A944" t="s">
        <v>7880</v>
      </c>
      <c r="B944" t="s">
        <v>1800</v>
      </c>
      <c r="C944" t="s">
        <v>6935</v>
      </c>
      <c r="D944" s="1">
        <v>45379</v>
      </c>
      <c r="E944" s="1">
        <v>45382</v>
      </c>
      <c r="F944" s="1">
        <v>45390</v>
      </c>
      <c r="G944">
        <v>53.21</v>
      </c>
      <c r="H9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44" t="str">
        <f>IFERROR(INDEX(Raw_orders!G:G, MATCH(shipments[[#This Row],[order_id]],Raw_orders!A:A, 0)), "Unknown")</f>
        <v>Nordics</v>
      </c>
      <c r="J944" t="str">
        <f>PROPER(shipments[[#This Row],[delivery_status]])</f>
        <v>Delivered</v>
      </c>
      <c r="K944" t="s">
        <v>6922</v>
      </c>
    </row>
    <row r="945" spans="1:11">
      <c r="A945" t="s">
        <v>7881</v>
      </c>
      <c r="B945" t="s">
        <v>1801</v>
      </c>
      <c r="C945" t="s">
        <v>6931</v>
      </c>
      <c r="D945" s="1">
        <v>45504</v>
      </c>
      <c r="E945" s="1">
        <v>45509</v>
      </c>
      <c r="F945" s="1"/>
      <c r="G945">
        <v>43.78</v>
      </c>
      <c r="H9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945" t="str">
        <f>IFERROR(INDEX(Raw_orders!G:G, MATCH(shipments[[#This Row],[order_id]],Raw_orders!A:A, 0)), "Unknown")</f>
        <v>Nordics</v>
      </c>
      <c r="J945" t="str">
        <f>PROPER(shipments[[#This Row],[delivery_status]])</f>
        <v>In Transit</v>
      </c>
      <c r="K945" t="s">
        <v>6977</v>
      </c>
    </row>
    <row r="946" spans="1:11">
      <c r="A946" t="s">
        <v>7882</v>
      </c>
      <c r="B946" t="s">
        <v>1802</v>
      </c>
      <c r="C946" t="s">
        <v>6940</v>
      </c>
      <c r="D946" s="1">
        <v>45244</v>
      </c>
      <c r="E946" s="1">
        <v>45249</v>
      </c>
      <c r="F946" s="1">
        <v>45259</v>
      </c>
      <c r="G946">
        <v>59.83</v>
      </c>
      <c r="H9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46" t="str">
        <f>IFERROR(INDEX(Raw_orders!G:G, MATCH(shipments[[#This Row],[order_id]],Raw_orders!A:A, 0)), "Unknown")</f>
        <v>Central Europe</v>
      </c>
      <c r="J946" t="str">
        <f>PROPER(shipments[[#This Row],[delivery_status]])</f>
        <v>Delivered</v>
      </c>
      <c r="K946" t="s">
        <v>6929</v>
      </c>
    </row>
    <row r="947" spans="1:11">
      <c r="A947" t="s">
        <v>7883</v>
      </c>
      <c r="B947" t="s">
        <v>1803</v>
      </c>
      <c r="C947" t="s">
        <v>6935</v>
      </c>
      <c r="D947" s="1">
        <v>45609</v>
      </c>
      <c r="E947" s="1">
        <v>45616</v>
      </c>
      <c r="F947" s="1">
        <v>45619</v>
      </c>
      <c r="G947">
        <v>10.29</v>
      </c>
      <c r="H9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47" t="str">
        <f>IFERROR(INDEX(Raw_orders!G:G, MATCH(shipments[[#This Row],[order_id]],Raw_orders!A:A, 0)), "Unknown")</f>
        <v>Central Europe</v>
      </c>
      <c r="J947" t="str">
        <f>PROPER(shipments[[#This Row],[delivery_status]])</f>
        <v>Delivered</v>
      </c>
      <c r="K947" t="s">
        <v>6922</v>
      </c>
    </row>
    <row r="948" spans="1:11">
      <c r="A948" t="s">
        <v>7884</v>
      </c>
      <c r="B948" t="s">
        <v>1804</v>
      </c>
      <c r="C948" t="s">
        <v>6925</v>
      </c>
      <c r="D948" s="1">
        <v>45327</v>
      </c>
      <c r="E948" s="1">
        <v>45332</v>
      </c>
      <c r="F948" s="1">
        <v>45332</v>
      </c>
      <c r="G948">
        <v>40.869999999999997</v>
      </c>
      <c r="H9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948" t="str">
        <f>IFERROR(INDEX(Raw_orders!G:G, MATCH(shipments[[#This Row],[order_id]],Raw_orders!A:A, 0)), "Unknown")</f>
        <v>Central Europe</v>
      </c>
      <c r="J948" t="str">
        <f>PROPER(shipments[[#This Row],[delivery_status]])</f>
        <v>Delivered</v>
      </c>
      <c r="K948" t="s">
        <v>6929</v>
      </c>
    </row>
    <row r="949" spans="1:11">
      <c r="A949" t="s">
        <v>7885</v>
      </c>
      <c r="B949" t="s">
        <v>1805</v>
      </c>
      <c r="C949" t="s">
        <v>6935</v>
      </c>
      <c r="D949" s="1">
        <v>45018</v>
      </c>
      <c r="E949" s="1">
        <v>45023</v>
      </c>
      <c r="F949" s="1">
        <v>45031</v>
      </c>
      <c r="G949">
        <v>18.100000000000001</v>
      </c>
      <c r="H9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49" t="str">
        <f>IFERROR(INDEX(Raw_orders!G:G, MATCH(shipments[[#This Row],[order_id]],Raw_orders!A:A, 0)), "Unknown")</f>
        <v>Baltics</v>
      </c>
      <c r="J949" t="str">
        <f>PROPER(shipments[[#This Row],[delivery_status]])</f>
        <v>Delivered</v>
      </c>
      <c r="K949" t="s">
        <v>6926</v>
      </c>
    </row>
    <row r="950" spans="1:11">
      <c r="A950" t="s">
        <v>7886</v>
      </c>
      <c r="B950" t="s">
        <v>1806</v>
      </c>
      <c r="C950" t="s">
        <v>6935</v>
      </c>
      <c r="D950" s="1">
        <v>45387</v>
      </c>
      <c r="E950" s="1">
        <v>45397</v>
      </c>
      <c r="F950" s="1">
        <v>45397</v>
      </c>
      <c r="G950">
        <v>54.39</v>
      </c>
      <c r="H9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950" t="str">
        <f>IFERROR(INDEX(Raw_orders!G:G, MATCH(shipments[[#This Row],[order_id]],Raw_orders!A:A, 0)), "Unknown")</f>
        <v>Nordics</v>
      </c>
      <c r="J950" t="str">
        <f>PROPER(shipments[[#This Row],[delivery_status]])</f>
        <v>Delivered</v>
      </c>
      <c r="K950" t="s">
        <v>6926</v>
      </c>
    </row>
    <row r="951" spans="1:11">
      <c r="A951" t="s">
        <v>7887</v>
      </c>
      <c r="B951" t="s">
        <v>1807</v>
      </c>
      <c r="C951" t="s">
        <v>6956</v>
      </c>
      <c r="D951" s="1">
        <v>45199</v>
      </c>
      <c r="E951" s="1">
        <v>45201</v>
      </c>
      <c r="F951" s="1">
        <v>45213</v>
      </c>
      <c r="G951">
        <v>55.18</v>
      </c>
      <c r="H9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51" t="str">
        <f>IFERROR(INDEX(Raw_orders!G:G, MATCH(shipments[[#This Row],[order_id]],Raw_orders!A:A, 0)), "Unknown")</f>
        <v>Nordics</v>
      </c>
      <c r="J951" t="str">
        <f>PROPER(shipments[[#This Row],[delivery_status]])</f>
        <v>Delivered</v>
      </c>
      <c r="K951" t="s">
        <v>6926</v>
      </c>
    </row>
    <row r="952" spans="1:11">
      <c r="A952" t="s">
        <v>7888</v>
      </c>
      <c r="B952" t="s">
        <v>1808</v>
      </c>
      <c r="C952" t="s">
        <v>6938</v>
      </c>
      <c r="D952" s="1">
        <v>45011</v>
      </c>
      <c r="E952" s="1">
        <v>45013</v>
      </c>
      <c r="F952" s="1">
        <v>45018</v>
      </c>
      <c r="G952">
        <v>60.7</v>
      </c>
      <c r="H9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52" t="str">
        <f>IFERROR(INDEX(Raw_orders!G:G, MATCH(shipments[[#This Row],[order_id]],Raw_orders!A:A, 0)), "Unknown")</f>
        <v>Central Europe</v>
      </c>
      <c r="J952" t="str">
        <f>PROPER(shipments[[#This Row],[delivery_status]])</f>
        <v>Delivered</v>
      </c>
      <c r="K952" t="s">
        <v>6926</v>
      </c>
    </row>
    <row r="953" spans="1:11">
      <c r="A953" t="s">
        <v>7889</v>
      </c>
      <c r="B953" t="s">
        <v>1809</v>
      </c>
      <c r="C953" t="s">
        <v>6938</v>
      </c>
      <c r="D953" s="1">
        <v>45628</v>
      </c>
      <c r="E953" s="1">
        <v>45635</v>
      </c>
      <c r="F953" s="1">
        <v>45643</v>
      </c>
      <c r="G953">
        <v>20.98</v>
      </c>
      <c r="H9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53" t="str">
        <f>IFERROR(INDEX(Raw_orders!G:G, MATCH(shipments[[#This Row],[order_id]],Raw_orders!A:A, 0)), "Unknown")</f>
        <v>Nordics</v>
      </c>
      <c r="J953" t="str">
        <f>PROPER(shipments[[#This Row],[delivery_status]])</f>
        <v>Delivered</v>
      </c>
      <c r="K953" t="s">
        <v>6922</v>
      </c>
    </row>
    <row r="954" spans="1:11">
      <c r="A954" t="s">
        <v>7890</v>
      </c>
      <c r="B954" t="s">
        <v>1810</v>
      </c>
      <c r="C954" t="s">
        <v>6928</v>
      </c>
      <c r="D954" s="1">
        <v>45055</v>
      </c>
      <c r="E954" s="1">
        <v>45057</v>
      </c>
      <c r="F954" s="1">
        <v>45064</v>
      </c>
      <c r="G954">
        <v>28.76</v>
      </c>
      <c r="H9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54" t="str">
        <f>IFERROR(INDEX(Raw_orders!G:G, MATCH(shipments[[#This Row],[order_id]],Raw_orders!A:A, 0)), "Unknown")</f>
        <v>Baltics</v>
      </c>
      <c r="J954" t="str">
        <f>PROPER(shipments[[#This Row],[delivery_status]])</f>
        <v>Delivered</v>
      </c>
      <c r="K954" t="s">
        <v>6929</v>
      </c>
    </row>
    <row r="955" spans="1:11">
      <c r="A955" t="s">
        <v>7891</v>
      </c>
      <c r="B955" t="s">
        <v>1811</v>
      </c>
      <c r="C955" t="s">
        <v>6931</v>
      </c>
      <c r="D955" s="1">
        <v>45525</v>
      </c>
      <c r="E955" s="1">
        <v>45527</v>
      </c>
      <c r="F955" s="1">
        <v>45530</v>
      </c>
      <c r="G955">
        <v>15.35</v>
      </c>
      <c r="H9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55" t="str">
        <f>IFERROR(INDEX(Raw_orders!G:G, MATCH(shipments[[#This Row],[order_id]],Raw_orders!A:A, 0)), "Unknown")</f>
        <v>Baltics</v>
      </c>
      <c r="J955" t="str">
        <f>PROPER(shipments[[#This Row],[delivery_status]])</f>
        <v>Delivered</v>
      </c>
      <c r="K955" t="s">
        <v>6922</v>
      </c>
    </row>
    <row r="956" spans="1:11">
      <c r="A956" t="s">
        <v>7892</v>
      </c>
      <c r="B956" t="s">
        <v>1812</v>
      </c>
      <c r="C956" t="s">
        <v>6935</v>
      </c>
      <c r="D956" s="1">
        <v>45325</v>
      </c>
      <c r="E956" s="1">
        <v>45327</v>
      </c>
      <c r="F956" s="1">
        <v>45334</v>
      </c>
      <c r="G956">
        <v>58.44</v>
      </c>
      <c r="H9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56" t="str">
        <f>IFERROR(INDEX(Raw_orders!G:G, MATCH(shipments[[#This Row],[order_id]],Raw_orders!A:A, 0)), "Unknown")</f>
        <v>Central Europe</v>
      </c>
      <c r="J956" t="str">
        <f>PROPER(shipments[[#This Row],[delivery_status]])</f>
        <v>Delivered</v>
      </c>
      <c r="K956" t="s">
        <v>6926</v>
      </c>
    </row>
    <row r="957" spans="1:11">
      <c r="A957" t="s">
        <v>7893</v>
      </c>
      <c r="B957" t="s">
        <v>1813</v>
      </c>
      <c r="C957" t="s">
        <v>6938</v>
      </c>
      <c r="D957" s="1">
        <v>45008</v>
      </c>
      <c r="E957" s="1">
        <v>45011</v>
      </c>
      <c r="F957" s="1">
        <v>45017</v>
      </c>
      <c r="G957">
        <v>35.39</v>
      </c>
      <c r="H9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57" t="str">
        <f>IFERROR(INDEX(Raw_orders!G:G, MATCH(shipments[[#This Row],[order_id]],Raw_orders!A:A, 0)), "Unknown")</f>
        <v>Central Europe</v>
      </c>
      <c r="J957" t="str">
        <f>PROPER(shipments[[#This Row],[delivery_status]])</f>
        <v>Delivered</v>
      </c>
      <c r="K957" t="s">
        <v>6926</v>
      </c>
    </row>
    <row r="958" spans="1:11">
      <c r="A958" t="s">
        <v>7894</v>
      </c>
      <c r="B958" t="s">
        <v>1814</v>
      </c>
      <c r="C958" t="s">
        <v>6938</v>
      </c>
      <c r="D958" s="1">
        <v>45293</v>
      </c>
      <c r="E958" s="1">
        <v>45303</v>
      </c>
      <c r="F958" s="1">
        <v>45308</v>
      </c>
      <c r="G958">
        <v>15.15</v>
      </c>
      <c r="H9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58" t="str">
        <f>IFERROR(INDEX(Raw_orders!G:G, MATCH(shipments[[#This Row],[order_id]],Raw_orders!A:A, 0)), "Unknown")</f>
        <v>Baltics</v>
      </c>
      <c r="J958" t="str">
        <f>PROPER(shipments[[#This Row],[delivery_status]])</f>
        <v>Delivered</v>
      </c>
      <c r="K958" t="s">
        <v>6922</v>
      </c>
    </row>
    <row r="959" spans="1:11">
      <c r="A959" t="s">
        <v>7895</v>
      </c>
      <c r="B959" t="s">
        <v>1815</v>
      </c>
      <c r="C959" t="s">
        <v>6940</v>
      </c>
      <c r="D959" s="1">
        <v>45497</v>
      </c>
      <c r="E959" s="1">
        <v>45504</v>
      </c>
      <c r="F959" s="1">
        <v>45506</v>
      </c>
      <c r="G959">
        <v>32.26</v>
      </c>
      <c r="H9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59" t="str">
        <f>IFERROR(INDEX(Raw_orders!G:G, MATCH(shipments[[#This Row],[order_id]],Raw_orders!A:A, 0)), "Unknown")</f>
        <v>Nordics</v>
      </c>
      <c r="J959" t="str">
        <f>PROPER(shipments[[#This Row],[delivery_status]])</f>
        <v>Delivered</v>
      </c>
      <c r="K959" t="s">
        <v>6926</v>
      </c>
    </row>
    <row r="960" spans="1:11">
      <c r="A960" t="s">
        <v>7896</v>
      </c>
      <c r="B960" t="s">
        <v>1816</v>
      </c>
      <c r="C960" t="s">
        <v>6931</v>
      </c>
      <c r="D960" s="1">
        <v>45264</v>
      </c>
      <c r="E960" s="1">
        <v>45266</v>
      </c>
      <c r="F960" s="1">
        <v>45266</v>
      </c>
      <c r="G960">
        <v>57.05</v>
      </c>
      <c r="H9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960" t="str">
        <f>IFERROR(INDEX(Raw_orders!G:G, MATCH(shipments[[#This Row],[order_id]],Raw_orders!A:A, 0)), "Unknown")</f>
        <v>Central Europe</v>
      </c>
      <c r="J960" t="str">
        <f>PROPER(shipments[[#This Row],[delivery_status]])</f>
        <v>Delivered</v>
      </c>
      <c r="K960" t="s">
        <v>6922</v>
      </c>
    </row>
    <row r="961" spans="1:11">
      <c r="A961" t="s">
        <v>7897</v>
      </c>
      <c r="B961" t="s">
        <v>1817</v>
      </c>
      <c r="C961" t="s">
        <v>6938</v>
      </c>
      <c r="D961" s="1">
        <v>45438</v>
      </c>
      <c r="E961" s="1">
        <v>45448</v>
      </c>
      <c r="F961" s="1">
        <v>45448</v>
      </c>
      <c r="G961">
        <v>41.43</v>
      </c>
      <c r="H9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961" t="str">
        <f>IFERROR(INDEX(Raw_orders!G:G, MATCH(shipments[[#This Row],[order_id]],Raw_orders!A:A, 0)), "Unknown")</f>
        <v>Baltics</v>
      </c>
      <c r="J961" t="str">
        <f>PROPER(shipments[[#This Row],[delivery_status]])</f>
        <v>Delivered</v>
      </c>
      <c r="K961" t="s">
        <v>6922</v>
      </c>
    </row>
    <row r="962" spans="1:11">
      <c r="A962" t="s">
        <v>7898</v>
      </c>
      <c r="B962" t="s">
        <v>1818</v>
      </c>
      <c r="C962" t="s">
        <v>6931</v>
      </c>
      <c r="D962" s="1">
        <v>45021</v>
      </c>
      <c r="E962" s="1">
        <v>45024</v>
      </c>
      <c r="F962" s="1">
        <v>45029</v>
      </c>
      <c r="G962">
        <v>39.58</v>
      </c>
      <c r="H9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62" t="str">
        <f>IFERROR(INDEX(Raw_orders!G:G, MATCH(shipments[[#This Row],[order_id]],Raw_orders!A:A, 0)), "Unknown")</f>
        <v>Central Europe</v>
      </c>
      <c r="J962" t="str">
        <f>PROPER(shipments[[#This Row],[delivery_status]])</f>
        <v>Delivered</v>
      </c>
      <c r="K962" t="s">
        <v>6926</v>
      </c>
    </row>
    <row r="963" spans="1:11">
      <c r="A963" t="s">
        <v>7899</v>
      </c>
      <c r="B963" t="s">
        <v>1819</v>
      </c>
      <c r="C963" t="s">
        <v>6938</v>
      </c>
      <c r="D963" s="1">
        <v>45508</v>
      </c>
      <c r="E963" s="1">
        <v>45513</v>
      </c>
      <c r="F963" s="1">
        <v>45524</v>
      </c>
      <c r="G963">
        <v>20.71</v>
      </c>
      <c r="H9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63" t="str">
        <f>IFERROR(INDEX(Raw_orders!G:G, MATCH(shipments[[#This Row],[order_id]],Raw_orders!A:A, 0)), "Unknown")</f>
        <v>Nordics</v>
      </c>
      <c r="J963" t="str">
        <f>PROPER(shipments[[#This Row],[delivery_status]])</f>
        <v>Delivered</v>
      </c>
      <c r="K963" t="s">
        <v>6929</v>
      </c>
    </row>
    <row r="964" spans="1:11">
      <c r="A964" t="s">
        <v>7900</v>
      </c>
      <c r="B964" t="s">
        <v>1820</v>
      </c>
      <c r="C964" t="s">
        <v>6928</v>
      </c>
      <c r="D964" s="1">
        <v>45236</v>
      </c>
      <c r="E964" s="1">
        <v>45238</v>
      </c>
      <c r="F964" s="1">
        <v>45243</v>
      </c>
      <c r="G964">
        <v>31.26</v>
      </c>
      <c r="H9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64" t="str">
        <f>IFERROR(INDEX(Raw_orders!G:G, MATCH(shipments[[#This Row],[order_id]],Raw_orders!A:A, 0)), "Unknown")</f>
        <v>Baltics</v>
      </c>
      <c r="J964" t="str">
        <f>PROPER(shipments[[#This Row],[delivery_status]])</f>
        <v>Delivered</v>
      </c>
      <c r="K964" t="s">
        <v>6922</v>
      </c>
    </row>
    <row r="965" spans="1:11">
      <c r="A965" t="s">
        <v>7901</v>
      </c>
      <c r="B965" t="s">
        <v>1821</v>
      </c>
      <c r="C965" t="s">
        <v>6931</v>
      </c>
      <c r="D965" s="1">
        <v>45459</v>
      </c>
      <c r="E965" s="1">
        <v>45461</v>
      </c>
      <c r="F965" s="1">
        <v>45462</v>
      </c>
      <c r="G965">
        <v>51.68</v>
      </c>
      <c r="H9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65" t="str">
        <f>IFERROR(INDEX(Raw_orders!G:G, MATCH(shipments[[#This Row],[order_id]],Raw_orders!A:A, 0)), "Unknown")</f>
        <v>Central Europe</v>
      </c>
      <c r="J965" t="str">
        <f>PROPER(shipments[[#This Row],[delivery_status]])</f>
        <v>Delivered</v>
      </c>
      <c r="K965" t="s">
        <v>6926</v>
      </c>
    </row>
    <row r="966" spans="1:11">
      <c r="A966" t="s">
        <v>7902</v>
      </c>
      <c r="B966" t="s">
        <v>1822</v>
      </c>
      <c r="C966" t="s">
        <v>6931</v>
      </c>
      <c r="D966" s="1">
        <v>45476</v>
      </c>
      <c r="E966" s="1">
        <v>45486</v>
      </c>
      <c r="F966" s="1">
        <v>45493</v>
      </c>
      <c r="G966">
        <v>47.47</v>
      </c>
      <c r="H9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66" t="str">
        <f>IFERROR(INDEX(Raw_orders!G:G, MATCH(shipments[[#This Row],[order_id]],Raw_orders!A:A, 0)), "Unknown")</f>
        <v>Central Europe</v>
      </c>
      <c r="J966" t="str">
        <f>PROPER(shipments[[#This Row],[delivery_status]])</f>
        <v>Delivered</v>
      </c>
      <c r="K966" t="s">
        <v>6929</v>
      </c>
    </row>
    <row r="967" spans="1:11">
      <c r="A967" t="s">
        <v>7903</v>
      </c>
      <c r="B967" t="s">
        <v>1823</v>
      </c>
      <c r="C967" t="s">
        <v>6935</v>
      </c>
      <c r="D967" s="1">
        <v>45502</v>
      </c>
      <c r="E967" s="1">
        <v>45512</v>
      </c>
      <c r="F967" s="1">
        <v>45511</v>
      </c>
      <c r="G967">
        <v>56.08</v>
      </c>
      <c r="H9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967" t="str">
        <f>IFERROR(INDEX(Raw_orders!G:G, MATCH(shipments[[#This Row],[order_id]],Raw_orders!A:A, 0)), "Unknown")</f>
        <v>Nordics</v>
      </c>
      <c r="J967" t="str">
        <f>PROPER(shipments[[#This Row],[delivery_status]])</f>
        <v>Delivered</v>
      </c>
      <c r="K967" t="s">
        <v>6926</v>
      </c>
    </row>
    <row r="968" spans="1:11">
      <c r="A968" t="s">
        <v>7904</v>
      </c>
      <c r="B968" t="s">
        <v>1824</v>
      </c>
      <c r="C968" t="s">
        <v>6935</v>
      </c>
      <c r="D968" s="1">
        <v>45524</v>
      </c>
      <c r="E968" s="1">
        <v>45527</v>
      </c>
      <c r="F968" s="1">
        <v>45537</v>
      </c>
      <c r="G968">
        <v>50.7</v>
      </c>
      <c r="H9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68" t="str">
        <f>IFERROR(INDEX(Raw_orders!G:G, MATCH(shipments[[#This Row],[order_id]],Raw_orders!A:A, 0)), "Unknown")</f>
        <v>Nordics</v>
      </c>
      <c r="J968" t="str">
        <f>PROPER(shipments[[#This Row],[delivery_status]])</f>
        <v>Delivered</v>
      </c>
      <c r="K968" t="s">
        <v>6929</v>
      </c>
    </row>
    <row r="969" spans="1:11">
      <c r="A969" t="s">
        <v>7905</v>
      </c>
      <c r="B969" t="s">
        <v>1825</v>
      </c>
      <c r="C969" t="s">
        <v>6921</v>
      </c>
      <c r="D969" s="1">
        <v>45373</v>
      </c>
      <c r="E969" s="1">
        <v>45376</v>
      </c>
      <c r="F969" s="1"/>
      <c r="G969">
        <v>16.37</v>
      </c>
      <c r="H9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969" t="str">
        <f>IFERROR(INDEX(Raw_orders!G:G, MATCH(shipments[[#This Row],[order_id]],Raw_orders!A:A, 0)), "Unknown")</f>
        <v>Nordics</v>
      </c>
      <c r="J969" t="str">
        <f>PROPER(shipments[[#This Row],[delivery_status]])</f>
        <v>Cancelled</v>
      </c>
      <c r="K969" t="s">
        <v>6972</v>
      </c>
    </row>
    <row r="970" spans="1:11">
      <c r="A970" t="s">
        <v>7906</v>
      </c>
      <c r="B970" t="s">
        <v>1826</v>
      </c>
      <c r="C970" t="s">
        <v>6931</v>
      </c>
      <c r="D970" s="1">
        <v>45191</v>
      </c>
      <c r="E970" s="1">
        <v>45193</v>
      </c>
      <c r="F970" s="1">
        <v>45193</v>
      </c>
      <c r="G970">
        <v>13.74</v>
      </c>
      <c r="H9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970" t="str">
        <f>IFERROR(INDEX(Raw_orders!G:G, MATCH(shipments[[#This Row],[order_id]],Raw_orders!A:A, 0)), "Unknown")</f>
        <v>Central Europe</v>
      </c>
      <c r="J970" t="str">
        <f>PROPER(shipments[[#This Row],[delivery_status]])</f>
        <v>Delivered</v>
      </c>
      <c r="K970" t="s">
        <v>6929</v>
      </c>
    </row>
    <row r="971" spans="1:11">
      <c r="A971" t="s">
        <v>7907</v>
      </c>
      <c r="B971" t="s">
        <v>1827</v>
      </c>
      <c r="C971" t="s">
        <v>6949</v>
      </c>
      <c r="D971" s="1">
        <v>45013</v>
      </c>
      <c r="E971" s="1">
        <v>45020</v>
      </c>
      <c r="F971" s="1">
        <v>45021</v>
      </c>
      <c r="G971">
        <v>8.66</v>
      </c>
      <c r="H9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71" t="str">
        <f>IFERROR(INDEX(Raw_orders!G:G, MATCH(shipments[[#This Row],[order_id]],Raw_orders!A:A, 0)), "Unknown")</f>
        <v>Nordics</v>
      </c>
      <c r="J971" t="str">
        <f>PROPER(shipments[[#This Row],[delivery_status]])</f>
        <v>Delivered</v>
      </c>
      <c r="K971" t="s">
        <v>6922</v>
      </c>
    </row>
    <row r="972" spans="1:11">
      <c r="A972" t="s">
        <v>7908</v>
      </c>
      <c r="B972" t="s">
        <v>1828</v>
      </c>
      <c r="C972" t="s">
        <v>6938</v>
      </c>
      <c r="D972" s="1">
        <v>45054</v>
      </c>
      <c r="E972" s="1">
        <v>45059</v>
      </c>
      <c r="F972" s="1">
        <v>45067</v>
      </c>
      <c r="G972">
        <v>30.2</v>
      </c>
      <c r="H9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72" t="str">
        <f>IFERROR(INDEX(Raw_orders!G:G, MATCH(shipments[[#This Row],[order_id]],Raw_orders!A:A, 0)), "Unknown")</f>
        <v>Nordics</v>
      </c>
      <c r="J972" t="str">
        <f>PROPER(shipments[[#This Row],[delivery_status]])</f>
        <v>Delivered</v>
      </c>
      <c r="K972" t="s">
        <v>6922</v>
      </c>
    </row>
    <row r="973" spans="1:11">
      <c r="A973" t="s">
        <v>7909</v>
      </c>
      <c r="B973" t="s">
        <v>1829</v>
      </c>
      <c r="C973" t="s">
        <v>6956</v>
      </c>
      <c r="D973" s="1">
        <v>45222</v>
      </c>
      <c r="E973" s="1">
        <v>45224</v>
      </c>
      <c r="F973" s="1">
        <v>45232</v>
      </c>
      <c r="G973">
        <v>42.77</v>
      </c>
      <c r="H9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73" t="str">
        <f>IFERROR(INDEX(Raw_orders!G:G, MATCH(shipments[[#This Row],[order_id]],Raw_orders!A:A, 0)), "Unknown")</f>
        <v>Nordics</v>
      </c>
      <c r="J973" t="str">
        <f>PROPER(shipments[[#This Row],[delivery_status]])</f>
        <v>Delivered</v>
      </c>
      <c r="K973" t="s">
        <v>6922</v>
      </c>
    </row>
    <row r="974" spans="1:11">
      <c r="A974" t="s">
        <v>7910</v>
      </c>
      <c r="B974" t="s">
        <v>1830</v>
      </c>
      <c r="C974" t="s">
        <v>6938</v>
      </c>
      <c r="D974" s="1">
        <v>45208</v>
      </c>
      <c r="E974" s="1">
        <v>45218</v>
      </c>
      <c r="F974" s="1">
        <v>45217</v>
      </c>
      <c r="G974">
        <v>32.57</v>
      </c>
      <c r="H9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974" t="str">
        <f>IFERROR(INDEX(Raw_orders!G:G, MATCH(shipments[[#This Row],[order_id]],Raw_orders!A:A, 0)), "Unknown")</f>
        <v>Nordics</v>
      </c>
      <c r="J974" t="str">
        <f>PROPER(shipments[[#This Row],[delivery_status]])</f>
        <v>Delivered</v>
      </c>
      <c r="K974" t="s">
        <v>6929</v>
      </c>
    </row>
    <row r="975" spans="1:11">
      <c r="A975" t="s">
        <v>7911</v>
      </c>
      <c r="B975" t="s">
        <v>1831</v>
      </c>
      <c r="C975" t="s">
        <v>6925</v>
      </c>
      <c r="D975" s="1">
        <v>45540</v>
      </c>
      <c r="E975" s="1">
        <v>45547</v>
      </c>
      <c r="F975" s="1">
        <v>45552</v>
      </c>
      <c r="G975">
        <v>24.02</v>
      </c>
      <c r="H9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75" t="str">
        <f>IFERROR(INDEX(Raw_orders!G:G, MATCH(shipments[[#This Row],[order_id]],Raw_orders!A:A, 0)), "Unknown")</f>
        <v>Baltics</v>
      </c>
      <c r="J975" t="str">
        <f>PROPER(shipments[[#This Row],[delivery_status]])</f>
        <v>Delivered</v>
      </c>
      <c r="K975" t="s">
        <v>6922</v>
      </c>
    </row>
    <row r="976" spans="1:11">
      <c r="A976" t="s">
        <v>7912</v>
      </c>
      <c r="B976" t="s">
        <v>1832</v>
      </c>
      <c r="C976" t="s">
        <v>6938</v>
      </c>
      <c r="D976" s="1">
        <v>45047</v>
      </c>
      <c r="E976" s="1">
        <v>45054</v>
      </c>
      <c r="F976" s="1">
        <v>45054</v>
      </c>
      <c r="G976">
        <v>52.29</v>
      </c>
      <c r="H9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976" t="str">
        <f>IFERROR(INDEX(Raw_orders!G:G, MATCH(shipments[[#This Row],[order_id]],Raw_orders!A:A, 0)), "Unknown")</f>
        <v>Baltics</v>
      </c>
      <c r="J976" t="str">
        <f>PROPER(shipments[[#This Row],[delivery_status]])</f>
        <v>Delivered</v>
      </c>
      <c r="K976" t="s">
        <v>6922</v>
      </c>
    </row>
    <row r="977" spans="1:11">
      <c r="A977" t="s">
        <v>7913</v>
      </c>
      <c r="B977" t="s">
        <v>1833</v>
      </c>
      <c r="C977" t="s">
        <v>6956</v>
      </c>
      <c r="D977" s="1">
        <v>45593</v>
      </c>
      <c r="E977" s="1">
        <v>45595</v>
      </c>
      <c r="F977" s="1"/>
      <c r="G977">
        <v>4.9400000000000004</v>
      </c>
      <c r="H9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977" t="str">
        <f>IFERROR(INDEX(Raw_orders!G:G, MATCH(shipments[[#This Row],[order_id]],Raw_orders!A:A, 0)), "Unknown")</f>
        <v>Baltics</v>
      </c>
      <c r="J977" t="str">
        <f>PROPER(shipments[[#This Row],[delivery_status]])</f>
        <v>In Transit</v>
      </c>
      <c r="K977" t="s">
        <v>6958</v>
      </c>
    </row>
    <row r="978" spans="1:11">
      <c r="A978" t="s">
        <v>7914</v>
      </c>
      <c r="B978" t="s">
        <v>1834</v>
      </c>
      <c r="C978" t="s">
        <v>6956</v>
      </c>
      <c r="D978" s="1">
        <v>45052</v>
      </c>
      <c r="E978" s="1">
        <v>45059</v>
      </c>
      <c r="F978" s="1">
        <v>45062</v>
      </c>
      <c r="G978">
        <v>5.36</v>
      </c>
      <c r="H9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78" t="str">
        <f>IFERROR(INDEX(Raw_orders!G:G, MATCH(shipments[[#This Row],[order_id]],Raw_orders!A:A, 0)), "Unknown")</f>
        <v>Nordics</v>
      </c>
      <c r="J978" t="str">
        <f>PROPER(shipments[[#This Row],[delivery_status]])</f>
        <v>Delivered</v>
      </c>
      <c r="K978" t="s">
        <v>6922</v>
      </c>
    </row>
    <row r="979" spans="1:11">
      <c r="A979" t="s">
        <v>7915</v>
      </c>
      <c r="B979" t="s">
        <v>1835</v>
      </c>
      <c r="C979" t="s">
        <v>6938</v>
      </c>
      <c r="D979" s="1">
        <v>45133</v>
      </c>
      <c r="E979" s="1">
        <v>45143</v>
      </c>
      <c r="F979" s="1">
        <v>45144</v>
      </c>
      <c r="G979">
        <v>10.94</v>
      </c>
      <c r="H9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79" t="str">
        <f>IFERROR(INDEX(Raw_orders!G:G, MATCH(shipments[[#This Row],[order_id]],Raw_orders!A:A, 0)), "Unknown")</f>
        <v>Central Europe</v>
      </c>
      <c r="J979" t="str">
        <f>PROPER(shipments[[#This Row],[delivery_status]])</f>
        <v>Delivered</v>
      </c>
      <c r="K979" t="s">
        <v>6926</v>
      </c>
    </row>
    <row r="980" spans="1:11">
      <c r="A980" t="s">
        <v>7916</v>
      </c>
      <c r="B980" t="s">
        <v>1836</v>
      </c>
      <c r="C980" t="s">
        <v>6925</v>
      </c>
      <c r="D980" s="1">
        <v>45548</v>
      </c>
      <c r="E980" s="1">
        <v>45555</v>
      </c>
      <c r="F980" s="1">
        <v>45563</v>
      </c>
      <c r="G980">
        <v>48.27</v>
      </c>
      <c r="H9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80" t="str">
        <f>IFERROR(INDEX(Raw_orders!G:G, MATCH(shipments[[#This Row],[order_id]],Raw_orders!A:A, 0)), "Unknown")</f>
        <v>Central Europe</v>
      </c>
      <c r="J980" t="str">
        <f>PROPER(shipments[[#This Row],[delivery_status]])</f>
        <v>Delivered</v>
      </c>
      <c r="K980" t="s">
        <v>6926</v>
      </c>
    </row>
    <row r="981" spans="1:11">
      <c r="A981" t="s">
        <v>7917</v>
      </c>
      <c r="B981" t="s">
        <v>1837</v>
      </c>
      <c r="C981" t="s">
        <v>6956</v>
      </c>
      <c r="D981" s="1">
        <v>45243</v>
      </c>
      <c r="E981" s="1">
        <v>45248</v>
      </c>
      <c r="F981" s="1">
        <v>45252</v>
      </c>
      <c r="G981">
        <v>28.47</v>
      </c>
      <c r="H9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81" t="str">
        <f>IFERROR(INDEX(Raw_orders!G:G, MATCH(shipments[[#This Row],[order_id]],Raw_orders!A:A, 0)), "Unknown")</f>
        <v>Nordics</v>
      </c>
      <c r="J981" t="str">
        <f>PROPER(shipments[[#This Row],[delivery_status]])</f>
        <v>Delivered</v>
      </c>
      <c r="K981" t="s">
        <v>6922</v>
      </c>
    </row>
    <row r="982" spans="1:11">
      <c r="A982" t="s">
        <v>7918</v>
      </c>
      <c r="B982" t="s">
        <v>1838</v>
      </c>
      <c r="C982" t="s">
        <v>6928</v>
      </c>
      <c r="D982" s="1">
        <v>45466</v>
      </c>
      <c r="E982" s="1">
        <v>45476</v>
      </c>
      <c r="F982" s="1">
        <v>45476</v>
      </c>
      <c r="G982">
        <v>41.74</v>
      </c>
      <c r="H9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982" t="str">
        <f>IFERROR(INDEX(Raw_orders!G:G, MATCH(shipments[[#This Row],[order_id]],Raw_orders!A:A, 0)), "Unknown")</f>
        <v>Central Europe</v>
      </c>
      <c r="J982" t="str">
        <f>PROPER(shipments[[#This Row],[delivery_status]])</f>
        <v>Delivered</v>
      </c>
      <c r="K982" t="s">
        <v>6929</v>
      </c>
    </row>
    <row r="983" spans="1:11">
      <c r="A983" t="s">
        <v>7919</v>
      </c>
      <c r="B983" t="s">
        <v>1839</v>
      </c>
      <c r="C983" t="s">
        <v>6956</v>
      </c>
      <c r="D983" s="1">
        <v>44956</v>
      </c>
      <c r="E983" s="1">
        <v>44963</v>
      </c>
      <c r="F983" s="1">
        <v>44964</v>
      </c>
      <c r="G983">
        <v>10.02</v>
      </c>
      <c r="H9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83" t="str">
        <f>IFERROR(INDEX(Raw_orders!G:G, MATCH(shipments[[#This Row],[order_id]],Raw_orders!A:A, 0)), "Unknown")</f>
        <v>Baltics</v>
      </c>
      <c r="J983" t="str">
        <f>PROPER(shipments[[#This Row],[delivery_status]])</f>
        <v>Delivered</v>
      </c>
      <c r="K983" t="s">
        <v>6922</v>
      </c>
    </row>
    <row r="984" spans="1:11">
      <c r="A984" t="s">
        <v>7920</v>
      </c>
      <c r="B984" t="s">
        <v>1840</v>
      </c>
      <c r="C984" t="s">
        <v>6935</v>
      </c>
      <c r="D984" s="1">
        <v>44982</v>
      </c>
      <c r="E984" s="1">
        <v>44985</v>
      </c>
      <c r="F984" s="1">
        <v>44985</v>
      </c>
      <c r="G984">
        <v>53.63</v>
      </c>
      <c r="H9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984" t="str">
        <f>IFERROR(INDEX(Raw_orders!G:G, MATCH(shipments[[#This Row],[order_id]],Raw_orders!A:A, 0)), "Unknown")</f>
        <v>Unknown</v>
      </c>
      <c r="J984" t="str">
        <f>PROPER(shipments[[#This Row],[delivery_status]])</f>
        <v>Delivered</v>
      </c>
      <c r="K984" t="s">
        <v>6926</v>
      </c>
    </row>
    <row r="985" spans="1:11">
      <c r="A985" t="s">
        <v>7921</v>
      </c>
      <c r="B985" t="s">
        <v>1841</v>
      </c>
      <c r="C985" t="s">
        <v>6935</v>
      </c>
      <c r="D985" s="1">
        <v>45279</v>
      </c>
      <c r="E985" s="1">
        <v>45282</v>
      </c>
      <c r="F985" s="1">
        <v>45290</v>
      </c>
      <c r="G985">
        <v>53.04</v>
      </c>
      <c r="H9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85" t="str">
        <f>IFERROR(INDEX(Raw_orders!G:G, MATCH(shipments[[#This Row],[order_id]],Raw_orders!A:A, 0)), "Unknown")</f>
        <v>Central Europe</v>
      </c>
      <c r="J985" t="str">
        <f>PROPER(shipments[[#This Row],[delivery_status]])</f>
        <v>Delivered</v>
      </c>
      <c r="K985" t="s">
        <v>6926</v>
      </c>
    </row>
    <row r="986" spans="1:11">
      <c r="A986" t="s">
        <v>7922</v>
      </c>
      <c r="B986" t="s">
        <v>1842</v>
      </c>
      <c r="C986" t="s">
        <v>6935</v>
      </c>
      <c r="D986" s="1">
        <v>45429</v>
      </c>
      <c r="E986" s="1">
        <v>45432</v>
      </c>
      <c r="F986" s="1">
        <v>45437</v>
      </c>
      <c r="G986">
        <v>10.9</v>
      </c>
      <c r="H9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86" t="str">
        <f>IFERROR(INDEX(Raw_orders!G:G, MATCH(shipments[[#This Row],[order_id]],Raw_orders!A:A, 0)), "Unknown")</f>
        <v>Central Europe</v>
      </c>
      <c r="J986" t="str">
        <f>PROPER(shipments[[#This Row],[delivery_status]])</f>
        <v>Delivered</v>
      </c>
      <c r="K986" t="s">
        <v>6926</v>
      </c>
    </row>
    <row r="987" spans="1:11">
      <c r="A987" t="s">
        <v>7923</v>
      </c>
      <c r="B987" t="s">
        <v>1843</v>
      </c>
      <c r="C987" t="s">
        <v>6921</v>
      </c>
      <c r="D987" s="1">
        <v>45108</v>
      </c>
      <c r="E987" s="1">
        <v>45110</v>
      </c>
      <c r="F987" s="1">
        <v>45114</v>
      </c>
      <c r="G987">
        <v>20.99</v>
      </c>
      <c r="H9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87" t="str">
        <f>IFERROR(INDEX(Raw_orders!G:G, MATCH(shipments[[#This Row],[order_id]],Raw_orders!A:A, 0)), "Unknown")</f>
        <v>Nordics</v>
      </c>
      <c r="J987" t="str">
        <f>PROPER(shipments[[#This Row],[delivery_status]])</f>
        <v>Delivered</v>
      </c>
      <c r="K987" t="s">
        <v>6922</v>
      </c>
    </row>
    <row r="988" spans="1:11">
      <c r="A988" t="s">
        <v>7924</v>
      </c>
      <c r="B988" t="s">
        <v>1844</v>
      </c>
      <c r="C988" t="s">
        <v>6925</v>
      </c>
      <c r="D988" s="1">
        <v>45129</v>
      </c>
      <c r="E988" s="1">
        <v>45134</v>
      </c>
      <c r="F988" s="1">
        <v>45136</v>
      </c>
      <c r="G988">
        <v>54.1</v>
      </c>
      <c r="H9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88" t="str">
        <f>IFERROR(INDEX(Raw_orders!G:G, MATCH(shipments[[#This Row],[order_id]],Raw_orders!A:A, 0)), "Unknown")</f>
        <v>Nordics</v>
      </c>
      <c r="J988" t="str">
        <f>PROPER(shipments[[#This Row],[delivery_status]])</f>
        <v>Delivered</v>
      </c>
      <c r="K988" t="s">
        <v>6929</v>
      </c>
    </row>
    <row r="989" spans="1:11">
      <c r="A989" t="s">
        <v>7925</v>
      </c>
      <c r="B989" t="s">
        <v>1845</v>
      </c>
      <c r="C989" t="s">
        <v>6938</v>
      </c>
      <c r="D989" s="1">
        <v>45284</v>
      </c>
      <c r="E989" s="1">
        <v>45294</v>
      </c>
      <c r="F989" s="1"/>
      <c r="G989">
        <v>28.86</v>
      </c>
      <c r="H9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989" t="str">
        <f>IFERROR(INDEX(Raw_orders!G:G, MATCH(shipments[[#This Row],[order_id]],Raw_orders!A:A, 0)), "Unknown")</f>
        <v>Central Europe</v>
      </c>
      <c r="J989" t="str">
        <f>PROPER(shipments[[#This Row],[delivery_status]])</f>
        <v>Cancelled</v>
      </c>
      <c r="K989" t="s">
        <v>6972</v>
      </c>
    </row>
    <row r="990" spans="1:11">
      <c r="A990" t="s">
        <v>7926</v>
      </c>
      <c r="B990" t="s">
        <v>1846</v>
      </c>
      <c r="C990" t="s">
        <v>6956</v>
      </c>
      <c r="D990" s="1">
        <v>45015</v>
      </c>
      <c r="E990" s="1">
        <v>45022</v>
      </c>
      <c r="F990" s="1">
        <v>45022</v>
      </c>
      <c r="G990">
        <v>43.62</v>
      </c>
      <c r="H9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990" t="str">
        <f>IFERROR(INDEX(Raw_orders!G:G, MATCH(shipments[[#This Row],[order_id]],Raw_orders!A:A, 0)), "Unknown")</f>
        <v>Central Europe</v>
      </c>
      <c r="J990" t="str">
        <f>PROPER(shipments[[#This Row],[delivery_status]])</f>
        <v>Delivered</v>
      </c>
      <c r="K990" t="s">
        <v>6922</v>
      </c>
    </row>
    <row r="991" spans="1:11">
      <c r="A991" t="s">
        <v>7927</v>
      </c>
      <c r="B991" t="s">
        <v>1847</v>
      </c>
      <c r="C991" t="s">
        <v>6940</v>
      </c>
      <c r="D991" s="1">
        <v>45444</v>
      </c>
      <c r="E991" s="1">
        <v>45451</v>
      </c>
      <c r="F991" s="1">
        <v>45456</v>
      </c>
      <c r="G991">
        <v>38.520000000000003</v>
      </c>
      <c r="H9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91" t="str">
        <f>IFERROR(INDEX(Raw_orders!G:G, MATCH(shipments[[#This Row],[order_id]],Raw_orders!A:A, 0)), "Unknown")</f>
        <v>Baltics</v>
      </c>
      <c r="J991" t="str">
        <f>PROPER(shipments[[#This Row],[delivery_status]])</f>
        <v>Delivered</v>
      </c>
      <c r="K991" t="s">
        <v>6922</v>
      </c>
    </row>
    <row r="992" spans="1:11">
      <c r="A992" t="s">
        <v>7928</v>
      </c>
      <c r="B992" t="s">
        <v>1848</v>
      </c>
      <c r="C992" t="s">
        <v>6921</v>
      </c>
      <c r="D992" s="1">
        <v>45427</v>
      </c>
      <c r="E992" s="1">
        <v>45437</v>
      </c>
      <c r="F992" s="1">
        <v>45437</v>
      </c>
      <c r="G992">
        <v>30.4</v>
      </c>
      <c r="H9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992" t="str">
        <f>IFERROR(INDEX(Raw_orders!G:G, MATCH(shipments[[#This Row],[order_id]],Raw_orders!A:A, 0)), "Unknown")</f>
        <v>Baltics</v>
      </c>
      <c r="J992" t="str">
        <f>PROPER(shipments[[#This Row],[delivery_status]])</f>
        <v>Delivered</v>
      </c>
      <c r="K992" t="s">
        <v>6929</v>
      </c>
    </row>
    <row r="993" spans="1:11">
      <c r="A993" t="s">
        <v>7929</v>
      </c>
      <c r="B993" t="s">
        <v>1848</v>
      </c>
      <c r="C993" t="s">
        <v>6956</v>
      </c>
      <c r="D993" s="1">
        <v>45426</v>
      </c>
      <c r="E993" s="1">
        <v>45433</v>
      </c>
      <c r="F993" s="1"/>
      <c r="G993">
        <v>6.66</v>
      </c>
      <c r="H9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993" t="str">
        <f>IFERROR(INDEX(Raw_orders!G:G, MATCH(shipments[[#This Row],[order_id]],Raw_orders!A:A, 0)), "Unknown")</f>
        <v>Baltics</v>
      </c>
      <c r="J993" t="str">
        <f>PROPER(shipments[[#This Row],[delivery_status]])</f>
        <v>In Transit</v>
      </c>
      <c r="K993" t="s">
        <v>6946</v>
      </c>
    </row>
    <row r="994" spans="1:11">
      <c r="A994" t="s">
        <v>7930</v>
      </c>
      <c r="B994" t="s">
        <v>1849</v>
      </c>
      <c r="C994" t="s">
        <v>6938</v>
      </c>
      <c r="D994" s="1">
        <v>45133</v>
      </c>
      <c r="E994" s="1">
        <v>45143</v>
      </c>
      <c r="F994" s="1">
        <v>45144</v>
      </c>
      <c r="G994">
        <v>34.03</v>
      </c>
      <c r="H9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94" t="str">
        <f>IFERROR(INDEX(Raw_orders!G:G, MATCH(shipments[[#This Row],[order_id]],Raw_orders!A:A, 0)), "Unknown")</f>
        <v>Nordics</v>
      </c>
      <c r="J994" t="str">
        <f>PROPER(shipments[[#This Row],[delivery_status]])</f>
        <v>Delivered</v>
      </c>
      <c r="K994" t="s">
        <v>6929</v>
      </c>
    </row>
    <row r="995" spans="1:11">
      <c r="A995" t="s">
        <v>7931</v>
      </c>
      <c r="B995" t="s">
        <v>1850</v>
      </c>
      <c r="C995" t="s">
        <v>6925</v>
      </c>
      <c r="D995" s="1">
        <v>45119</v>
      </c>
      <c r="E995" s="1">
        <v>45122</v>
      </c>
      <c r="F995" s="1">
        <v>45127</v>
      </c>
      <c r="G995">
        <v>45.33</v>
      </c>
      <c r="H9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95" t="str">
        <f>IFERROR(INDEX(Raw_orders!G:G, MATCH(shipments[[#This Row],[order_id]],Raw_orders!A:A, 0)), "Unknown")</f>
        <v>Central Europe</v>
      </c>
      <c r="J995" t="str">
        <f>PROPER(shipments[[#This Row],[delivery_status]])</f>
        <v>Delivered</v>
      </c>
      <c r="K995" t="s">
        <v>6926</v>
      </c>
    </row>
    <row r="996" spans="1:11">
      <c r="A996" t="s">
        <v>7932</v>
      </c>
      <c r="B996" t="s">
        <v>1851</v>
      </c>
      <c r="C996" t="s">
        <v>6956</v>
      </c>
      <c r="D996" s="1">
        <v>45412</v>
      </c>
      <c r="E996" s="1">
        <v>45419</v>
      </c>
      <c r="F996" s="1"/>
      <c r="G996">
        <v>17.38</v>
      </c>
      <c r="H9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996" t="str">
        <f>IFERROR(INDEX(Raw_orders!G:G, MATCH(shipments[[#This Row],[order_id]],Raw_orders!A:A, 0)), "Unknown")</f>
        <v>Nordics</v>
      </c>
      <c r="J996" t="str">
        <f>PROPER(shipments[[#This Row],[delivery_status]])</f>
        <v>Cancelled</v>
      </c>
      <c r="K996" t="s">
        <v>6979</v>
      </c>
    </row>
    <row r="997" spans="1:11">
      <c r="A997" t="s">
        <v>7933</v>
      </c>
      <c r="B997" t="s">
        <v>1852</v>
      </c>
      <c r="C997" t="s">
        <v>6921</v>
      </c>
      <c r="D997" s="1">
        <v>45074</v>
      </c>
      <c r="E997" s="1">
        <v>45077</v>
      </c>
      <c r="F997" s="1">
        <v>45077</v>
      </c>
      <c r="G997">
        <v>5.93</v>
      </c>
      <c r="H9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997" t="str">
        <f>IFERROR(INDEX(Raw_orders!G:G, MATCH(shipments[[#This Row],[order_id]],Raw_orders!A:A, 0)), "Unknown")</f>
        <v>Nordics</v>
      </c>
      <c r="J997" t="str">
        <f>PROPER(shipments[[#This Row],[delivery_status]])</f>
        <v>Delivered</v>
      </c>
      <c r="K997" t="s">
        <v>6929</v>
      </c>
    </row>
    <row r="998" spans="1:11">
      <c r="A998" t="s">
        <v>7934</v>
      </c>
      <c r="B998" t="s">
        <v>1853</v>
      </c>
      <c r="C998" t="s">
        <v>6935</v>
      </c>
      <c r="D998" s="1">
        <v>45089</v>
      </c>
      <c r="E998" s="1">
        <v>45092</v>
      </c>
      <c r="F998" s="1">
        <v>45096</v>
      </c>
      <c r="G998">
        <v>62.72</v>
      </c>
      <c r="H9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98" t="str">
        <f>IFERROR(INDEX(Raw_orders!G:G, MATCH(shipments[[#This Row],[order_id]],Raw_orders!A:A, 0)), "Unknown")</f>
        <v>Baltics</v>
      </c>
      <c r="J998" t="str">
        <f>PROPER(shipments[[#This Row],[delivery_status]])</f>
        <v>Delivered</v>
      </c>
      <c r="K998" t="s">
        <v>6926</v>
      </c>
    </row>
    <row r="999" spans="1:11">
      <c r="A999" t="s">
        <v>7935</v>
      </c>
      <c r="B999" t="s">
        <v>1854</v>
      </c>
      <c r="C999" t="s">
        <v>6935</v>
      </c>
      <c r="D999" s="1">
        <v>45426</v>
      </c>
      <c r="E999" s="1">
        <v>45433</v>
      </c>
      <c r="F999" s="1">
        <v>45438</v>
      </c>
      <c r="G999">
        <v>30.4</v>
      </c>
      <c r="H9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999" t="str">
        <f>IFERROR(INDEX(Raw_orders!G:G, MATCH(shipments[[#This Row],[order_id]],Raw_orders!A:A, 0)), "Unknown")</f>
        <v>Nordics</v>
      </c>
      <c r="J999" t="str">
        <f>PROPER(shipments[[#This Row],[delivery_status]])</f>
        <v>Delivered</v>
      </c>
      <c r="K999" t="s">
        <v>6922</v>
      </c>
    </row>
    <row r="1000" spans="1:11">
      <c r="A1000" t="s">
        <v>7936</v>
      </c>
      <c r="B1000" t="s">
        <v>1855</v>
      </c>
      <c r="C1000" t="s">
        <v>6921</v>
      </c>
      <c r="D1000" s="1">
        <v>45201</v>
      </c>
      <c r="E1000" s="1">
        <v>45203</v>
      </c>
      <c r="F1000" s="1">
        <v>45203</v>
      </c>
      <c r="G1000">
        <v>13.34</v>
      </c>
      <c r="H10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000" t="str">
        <f>IFERROR(INDEX(Raw_orders!G:G, MATCH(shipments[[#This Row],[order_id]],Raw_orders!A:A, 0)), "Unknown")</f>
        <v>Baltics</v>
      </c>
      <c r="J1000" t="str">
        <f>PROPER(shipments[[#This Row],[delivery_status]])</f>
        <v>Delivered</v>
      </c>
      <c r="K1000" t="s">
        <v>6929</v>
      </c>
    </row>
    <row r="1001" spans="1:11">
      <c r="A1001" t="s">
        <v>7937</v>
      </c>
      <c r="B1001" t="s">
        <v>1856</v>
      </c>
      <c r="C1001" t="s">
        <v>6925</v>
      </c>
      <c r="D1001" s="1">
        <v>45417</v>
      </c>
      <c r="E1001" s="1">
        <v>45422</v>
      </c>
      <c r="F1001" s="1">
        <v>45422</v>
      </c>
      <c r="G1001">
        <v>41.28</v>
      </c>
      <c r="H10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001" t="str">
        <f>IFERROR(INDEX(Raw_orders!G:G, MATCH(shipments[[#This Row],[order_id]],Raw_orders!A:A, 0)), "Unknown")</f>
        <v>Central Europe</v>
      </c>
      <c r="J1001" t="str">
        <f>PROPER(shipments[[#This Row],[delivery_status]])</f>
        <v>Delivered</v>
      </c>
      <c r="K1001" t="s">
        <v>6922</v>
      </c>
    </row>
    <row r="1002" spans="1:11">
      <c r="A1002" t="s">
        <v>7938</v>
      </c>
      <c r="B1002" t="s">
        <v>1857</v>
      </c>
      <c r="C1002" t="s">
        <v>6935</v>
      </c>
      <c r="D1002" s="1">
        <v>45200</v>
      </c>
      <c r="E1002" s="1">
        <v>45202</v>
      </c>
      <c r="F1002" s="1">
        <v>45202</v>
      </c>
      <c r="G1002">
        <v>15.2</v>
      </c>
      <c r="H10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002" t="str">
        <f>IFERROR(INDEX(Raw_orders!G:G, MATCH(shipments[[#This Row],[order_id]],Raw_orders!A:A, 0)), "Unknown")</f>
        <v>Central Europe</v>
      </c>
      <c r="J1002" t="str">
        <f>PROPER(shipments[[#This Row],[delivery_status]])</f>
        <v>Delivered</v>
      </c>
      <c r="K1002" t="s">
        <v>6926</v>
      </c>
    </row>
    <row r="1003" spans="1:11">
      <c r="A1003" t="s">
        <v>7939</v>
      </c>
      <c r="B1003" t="s">
        <v>1858</v>
      </c>
      <c r="C1003" t="s">
        <v>6925</v>
      </c>
      <c r="D1003" s="1">
        <v>45362</v>
      </c>
      <c r="E1003" s="1">
        <v>45369</v>
      </c>
      <c r="F1003" s="1">
        <v>45372</v>
      </c>
      <c r="G1003">
        <v>57.33</v>
      </c>
      <c r="H10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03" t="str">
        <f>IFERROR(INDEX(Raw_orders!G:G, MATCH(shipments[[#This Row],[order_id]],Raw_orders!A:A, 0)), "Unknown")</f>
        <v>Central Europe</v>
      </c>
      <c r="J1003" t="str">
        <f>PROPER(shipments[[#This Row],[delivery_status]])</f>
        <v>Delivered</v>
      </c>
      <c r="K1003" t="s">
        <v>6926</v>
      </c>
    </row>
    <row r="1004" spans="1:11">
      <c r="A1004" t="s">
        <v>7940</v>
      </c>
      <c r="B1004" t="s">
        <v>1859</v>
      </c>
      <c r="C1004" t="s">
        <v>6931</v>
      </c>
      <c r="D1004" s="1">
        <v>45411</v>
      </c>
      <c r="E1004" s="1">
        <v>45421</v>
      </c>
      <c r="F1004" s="1">
        <v>45423</v>
      </c>
      <c r="G1004">
        <v>42.68</v>
      </c>
      <c r="H10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04" t="str">
        <f>IFERROR(INDEX(Raw_orders!G:G, MATCH(shipments[[#This Row],[order_id]],Raw_orders!A:A, 0)), "Unknown")</f>
        <v>Central Europe</v>
      </c>
      <c r="J1004" t="str">
        <f>PROPER(shipments[[#This Row],[delivery_status]])</f>
        <v>Delivered</v>
      </c>
      <c r="K1004" t="s">
        <v>6929</v>
      </c>
    </row>
    <row r="1005" spans="1:11">
      <c r="A1005" t="s">
        <v>7941</v>
      </c>
      <c r="B1005" t="s">
        <v>1860</v>
      </c>
      <c r="C1005" t="s">
        <v>6925</v>
      </c>
      <c r="D1005" s="1">
        <v>45503</v>
      </c>
      <c r="E1005" s="1">
        <v>45506</v>
      </c>
      <c r="F1005" s="1">
        <v>45506</v>
      </c>
      <c r="G1005">
        <v>42.74</v>
      </c>
      <c r="H10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005" t="str">
        <f>IFERROR(INDEX(Raw_orders!G:G, MATCH(shipments[[#This Row],[order_id]],Raw_orders!A:A, 0)), "Unknown")</f>
        <v>Central Europe</v>
      </c>
      <c r="J1005" t="str">
        <f>PROPER(shipments[[#This Row],[delivery_status]])</f>
        <v>Delivered</v>
      </c>
      <c r="K1005" t="s">
        <v>6922</v>
      </c>
    </row>
    <row r="1006" spans="1:11">
      <c r="A1006" t="s">
        <v>7942</v>
      </c>
      <c r="B1006" t="s">
        <v>1861</v>
      </c>
      <c r="C1006" t="s">
        <v>6928</v>
      </c>
      <c r="D1006" s="1">
        <v>45626</v>
      </c>
      <c r="E1006" s="1">
        <v>45631</v>
      </c>
      <c r="F1006" s="1">
        <v>45631</v>
      </c>
      <c r="G1006">
        <v>34.700000000000003</v>
      </c>
      <c r="H10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006" t="str">
        <f>IFERROR(INDEX(Raw_orders!G:G, MATCH(shipments[[#This Row],[order_id]],Raw_orders!A:A, 0)), "Unknown")</f>
        <v>Central Europe</v>
      </c>
      <c r="J1006" t="str">
        <f>PROPER(shipments[[#This Row],[delivery_status]])</f>
        <v>Delivered</v>
      </c>
      <c r="K1006" t="s">
        <v>6926</v>
      </c>
    </row>
    <row r="1007" spans="1:11">
      <c r="A1007" t="s">
        <v>7943</v>
      </c>
      <c r="B1007" t="s">
        <v>1862</v>
      </c>
      <c r="C1007" t="s">
        <v>6931</v>
      </c>
      <c r="D1007" s="1">
        <v>44998</v>
      </c>
      <c r="E1007" s="1">
        <v>45001</v>
      </c>
      <c r="F1007" s="1">
        <v>45002</v>
      </c>
      <c r="G1007">
        <v>34.4</v>
      </c>
      <c r="H10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07" t="str">
        <f>IFERROR(INDEX(Raw_orders!G:G, MATCH(shipments[[#This Row],[order_id]],Raw_orders!A:A, 0)), "Unknown")</f>
        <v>Central Europe</v>
      </c>
      <c r="J1007" t="str">
        <f>PROPER(shipments[[#This Row],[delivery_status]])</f>
        <v>Delivered</v>
      </c>
      <c r="K1007" t="s">
        <v>6929</v>
      </c>
    </row>
    <row r="1008" spans="1:11">
      <c r="A1008" t="s">
        <v>7944</v>
      </c>
      <c r="B1008" t="s">
        <v>1863</v>
      </c>
      <c r="C1008" t="s">
        <v>6949</v>
      </c>
      <c r="D1008" s="1">
        <v>45465</v>
      </c>
      <c r="E1008" s="1">
        <v>45475</v>
      </c>
      <c r="F1008" s="1">
        <v>45480</v>
      </c>
      <c r="G1008">
        <v>34.01</v>
      </c>
      <c r="H10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08" t="str">
        <f>IFERROR(INDEX(Raw_orders!G:G, MATCH(shipments[[#This Row],[order_id]],Raw_orders!A:A, 0)), "Unknown")</f>
        <v>Central Europe</v>
      </c>
      <c r="J1008" t="str">
        <f>PROPER(shipments[[#This Row],[delivery_status]])</f>
        <v>Delivered</v>
      </c>
      <c r="K1008" t="s">
        <v>6922</v>
      </c>
    </row>
    <row r="1009" spans="1:11">
      <c r="A1009" t="s">
        <v>7945</v>
      </c>
      <c r="B1009" t="s">
        <v>1864</v>
      </c>
      <c r="C1009" t="s">
        <v>6931</v>
      </c>
      <c r="D1009" s="1">
        <v>45433</v>
      </c>
      <c r="E1009" s="1">
        <v>45436</v>
      </c>
      <c r="F1009" s="1">
        <v>45439</v>
      </c>
      <c r="G1009">
        <v>48.55</v>
      </c>
      <c r="H10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09" t="str">
        <f>IFERROR(INDEX(Raw_orders!G:G, MATCH(shipments[[#This Row],[order_id]],Raw_orders!A:A, 0)), "Unknown")</f>
        <v>Nordics</v>
      </c>
      <c r="J1009" t="str">
        <f>PROPER(shipments[[#This Row],[delivery_status]])</f>
        <v>Delivered</v>
      </c>
      <c r="K1009" t="s">
        <v>6926</v>
      </c>
    </row>
    <row r="1010" spans="1:11">
      <c r="A1010" t="s">
        <v>7946</v>
      </c>
      <c r="B1010" t="s">
        <v>1865</v>
      </c>
      <c r="C1010" t="s">
        <v>6949</v>
      </c>
      <c r="D1010" s="1">
        <v>45269</v>
      </c>
      <c r="E1010" s="1">
        <v>45279</v>
      </c>
      <c r="F1010" s="1">
        <v>45279</v>
      </c>
      <c r="G1010">
        <v>26.36</v>
      </c>
      <c r="H10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010" t="str">
        <f>IFERROR(INDEX(Raw_orders!G:G, MATCH(shipments[[#This Row],[order_id]],Raw_orders!A:A, 0)), "Unknown")</f>
        <v>Nordics</v>
      </c>
      <c r="J1010" t="str">
        <f>PROPER(shipments[[#This Row],[delivery_status]])</f>
        <v>Delivered</v>
      </c>
      <c r="K1010" t="s">
        <v>6929</v>
      </c>
    </row>
    <row r="1011" spans="1:11">
      <c r="A1011" t="s">
        <v>7947</v>
      </c>
      <c r="B1011" t="s">
        <v>1866</v>
      </c>
      <c r="C1011" t="s">
        <v>6940</v>
      </c>
      <c r="D1011" s="1">
        <v>45503</v>
      </c>
      <c r="E1011" s="1">
        <v>45510</v>
      </c>
      <c r="F1011" s="1">
        <v>45513</v>
      </c>
      <c r="G1011">
        <v>14</v>
      </c>
      <c r="H10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11" t="str">
        <f>IFERROR(INDEX(Raw_orders!G:G, MATCH(shipments[[#This Row],[order_id]],Raw_orders!A:A, 0)), "Unknown")</f>
        <v>Nordics</v>
      </c>
      <c r="J1011" t="str">
        <f>PROPER(shipments[[#This Row],[delivery_status]])</f>
        <v>Delivered</v>
      </c>
      <c r="K1011" t="s">
        <v>6929</v>
      </c>
    </row>
    <row r="1012" spans="1:11">
      <c r="A1012" t="s">
        <v>7948</v>
      </c>
      <c r="B1012" t="s">
        <v>1867</v>
      </c>
      <c r="C1012" t="s">
        <v>6921</v>
      </c>
      <c r="D1012" s="1">
        <v>44980</v>
      </c>
      <c r="E1012" s="1">
        <v>44985</v>
      </c>
      <c r="F1012" s="1">
        <v>44993</v>
      </c>
      <c r="G1012">
        <v>8.9700000000000006</v>
      </c>
      <c r="H10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12" t="str">
        <f>IFERROR(INDEX(Raw_orders!G:G, MATCH(shipments[[#This Row],[order_id]],Raw_orders!A:A, 0)), "Unknown")</f>
        <v>Nordics</v>
      </c>
      <c r="J1012" t="str">
        <f>PROPER(shipments[[#This Row],[delivery_status]])</f>
        <v>Delivered</v>
      </c>
      <c r="K1012" t="s">
        <v>6929</v>
      </c>
    </row>
    <row r="1013" spans="1:11">
      <c r="A1013" t="s">
        <v>7949</v>
      </c>
      <c r="B1013" t="s">
        <v>1868</v>
      </c>
      <c r="C1013" t="s">
        <v>6956</v>
      </c>
      <c r="D1013" s="1">
        <v>45117</v>
      </c>
      <c r="E1013" s="1">
        <v>45122</v>
      </c>
      <c r="F1013" s="1">
        <v>45132</v>
      </c>
      <c r="G1013">
        <v>12.59</v>
      </c>
      <c r="H10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13" t="str">
        <f>IFERROR(INDEX(Raw_orders!G:G, MATCH(shipments[[#This Row],[order_id]],Raw_orders!A:A, 0)), "Unknown")</f>
        <v>Baltics</v>
      </c>
      <c r="J1013" t="str">
        <f>PROPER(shipments[[#This Row],[delivery_status]])</f>
        <v>Delivered</v>
      </c>
      <c r="K1013" t="s">
        <v>6922</v>
      </c>
    </row>
    <row r="1014" spans="1:11">
      <c r="A1014" t="s">
        <v>7950</v>
      </c>
      <c r="B1014" t="s">
        <v>1869</v>
      </c>
      <c r="C1014" t="s">
        <v>6935</v>
      </c>
      <c r="D1014" s="1">
        <v>45313</v>
      </c>
      <c r="E1014" s="1">
        <v>45318</v>
      </c>
      <c r="F1014" s="1"/>
      <c r="G1014">
        <v>27.41</v>
      </c>
      <c r="H10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014" t="str">
        <f>IFERROR(INDEX(Raw_orders!G:G, MATCH(shipments[[#This Row],[order_id]],Raw_orders!A:A, 0)), "Unknown")</f>
        <v>Nordics</v>
      </c>
      <c r="J1014" t="str">
        <f>PROPER(shipments[[#This Row],[delivery_status]])</f>
        <v>In Transit</v>
      </c>
      <c r="K1014" t="s">
        <v>6977</v>
      </c>
    </row>
    <row r="1015" spans="1:11">
      <c r="A1015" t="s">
        <v>7951</v>
      </c>
      <c r="B1015" t="s">
        <v>1870</v>
      </c>
      <c r="C1015" t="s">
        <v>6956</v>
      </c>
      <c r="D1015" s="1">
        <v>44983</v>
      </c>
      <c r="E1015" s="1">
        <v>44990</v>
      </c>
      <c r="F1015" s="1">
        <v>44991</v>
      </c>
      <c r="G1015">
        <v>42.43</v>
      </c>
      <c r="H10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15" t="str">
        <f>IFERROR(INDEX(Raw_orders!G:G, MATCH(shipments[[#This Row],[order_id]],Raw_orders!A:A, 0)), "Unknown")</f>
        <v>Central Europe</v>
      </c>
      <c r="J1015" t="str">
        <f>PROPER(shipments[[#This Row],[delivery_status]])</f>
        <v>Delivered</v>
      </c>
      <c r="K1015" t="s">
        <v>6929</v>
      </c>
    </row>
    <row r="1016" spans="1:11">
      <c r="A1016" t="s">
        <v>7952</v>
      </c>
      <c r="B1016" t="s">
        <v>1871</v>
      </c>
      <c r="C1016" t="s">
        <v>6931</v>
      </c>
      <c r="D1016" s="1">
        <v>45266</v>
      </c>
      <c r="E1016" s="1">
        <v>45269</v>
      </c>
      <c r="F1016" s="1">
        <v>45274</v>
      </c>
      <c r="G1016">
        <v>55.61</v>
      </c>
      <c r="H10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16" t="str">
        <f>IFERROR(INDEX(Raw_orders!G:G, MATCH(shipments[[#This Row],[order_id]],Raw_orders!A:A, 0)), "Unknown")</f>
        <v>Unknown</v>
      </c>
      <c r="J1016" t="str">
        <f>PROPER(shipments[[#This Row],[delivery_status]])</f>
        <v>Delivered</v>
      </c>
      <c r="K1016" t="s">
        <v>6929</v>
      </c>
    </row>
    <row r="1017" spans="1:11">
      <c r="A1017" t="s">
        <v>7953</v>
      </c>
      <c r="B1017" t="s">
        <v>1872</v>
      </c>
      <c r="C1017" t="s">
        <v>6931</v>
      </c>
      <c r="D1017" s="1">
        <v>45354</v>
      </c>
      <c r="E1017" s="1">
        <v>45357</v>
      </c>
      <c r="F1017" s="1">
        <v>45357</v>
      </c>
      <c r="G1017">
        <v>39.71</v>
      </c>
      <c r="H10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017" t="str">
        <f>IFERROR(INDEX(Raw_orders!G:G, MATCH(shipments[[#This Row],[order_id]],Raw_orders!A:A, 0)), "Unknown")</f>
        <v>Baltics</v>
      </c>
      <c r="J1017" t="str">
        <f>PROPER(shipments[[#This Row],[delivery_status]])</f>
        <v>Delivered</v>
      </c>
      <c r="K1017" t="s">
        <v>6922</v>
      </c>
    </row>
    <row r="1018" spans="1:11">
      <c r="A1018" t="s">
        <v>7954</v>
      </c>
      <c r="B1018" t="s">
        <v>1873</v>
      </c>
      <c r="C1018" t="s">
        <v>6940</v>
      </c>
      <c r="D1018" s="1">
        <v>45303</v>
      </c>
      <c r="E1018" s="1">
        <v>45310</v>
      </c>
      <c r="F1018" s="1"/>
      <c r="G1018">
        <v>34.380000000000003</v>
      </c>
      <c r="H10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018" t="str">
        <f>IFERROR(INDEX(Raw_orders!G:G, MATCH(shipments[[#This Row],[order_id]],Raw_orders!A:A, 0)), "Unknown")</f>
        <v>Baltics</v>
      </c>
      <c r="J1018" t="str">
        <f>PROPER(shipments[[#This Row],[delivery_status]])</f>
        <v>Cancelled</v>
      </c>
      <c r="K1018" t="s">
        <v>6972</v>
      </c>
    </row>
    <row r="1019" spans="1:11">
      <c r="A1019" t="s">
        <v>7955</v>
      </c>
      <c r="B1019" t="s">
        <v>1874</v>
      </c>
      <c r="C1019" t="s">
        <v>6928</v>
      </c>
      <c r="D1019" s="1">
        <v>45372</v>
      </c>
      <c r="E1019" s="1">
        <v>45375</v>
      </c>
      <c r="F1019" s="1">
        <v>45383</v>
      </c>
      <c r="G1019">
        <v>30.86</v>
      </c>
      <c r="H10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19" t="str">
        <f>IFERROR(INDEX(Raw_orders!G:G, MATCH(shipments[[#This Row],[order_id]],Raw_orders!A:A, 0)), "Unknown")</f>
        <v>Nordics</v>
      </c>
      <c r="J1019" t="str">
        <f>PROPER(shipments[[#This Row],[delivery_status]])</f>
        <v>Delivered</v>
      </c>
      <c r="K1019" t="s">
        <v>6929</v>
      </c>
    </row>
    <row r="1020" spans="1:11">
      <c r="A1020" t="s">
        <v>7956</v>
      </c>
      <c r="B1020" t="s">
        <v>1875</v>
      </c>
      <c r="C1020" t="s">
        <v>6925</v>
      </c>
      <c r="D1020" s="1">
        <v>45013</v>
      </c>
      <c r="E1020" s="1">
        <v>45016</v>
      </c>
      <c r="F1020" s="1"/>
      <c r="G1020">
        <v>53.59</v>
      </c>
      <c r="H10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020" t="str">
        <f>IFERROR(INDEX(Raw_orders!G:G, MATCH(shipments[[#This Row],[order_id]],Raw_orders!A:A, 0)), "Unknown")</f>
        <v>Nordics</v>
      </c>
      <c r="J1020" t="str">
        <f>PROPER(shipments[[#This Row],[delivery_status]])</f>
        <v>In Transit</v>
      </c>
      <c r="K1020" t="s">
        <v>6946</v>
      </c>
    </row>
    <row r="1021" spans="1:11">
      <c r="A1021" t="s">
        <v>7957</v>
      </c>
      <c r="B1021" t="s">
        <v>1876</v>
      </c>
      <c r="C1021" t="s">
        <v>6935</v>
      </c>
      <c r="D1021" s="1">
        <v>45182</v>
      </c>
      <c r="E1021" s="1">
        <v>45192</v>
      </c>
      <c r="F1021" s="1"/>
      <c r="G1021">
        <v>42.12</v>
      </c>
      <c r="H10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021" t="str">
        <f>IFERROR(INDEX(Raw_orders!G:G, MATCH(shipments[[#This Row],[order_id]],Raw_orders!A:A, 0)), "Unknown")</f>
        <v>Central Europe</v>
      </c>
      <c r="J1021" t="str">
        <f>PROPER(shipments[[#This Row],[delivery_status]])</f>
        <v>Cancelled</v>
      </c>
      <c r="K1021" t="s">
        <v>6979</v>
      </c>
    </row>
    <row r="1022" spans="1:11">
      <c r="A1022" t="s">
        <v>7958</v>
      </c>
      <c r="B1022" t="s">
        <v>1877</v>
      </c>
      <c r="C1022" t="s">
        <v>6921</v>
      </c>
      <c r="D1022" s="1">
        <v>45600</v>
      </c>
      <c r="E1022" s="1">
        <v>45603</v>
      </c>
      <c r="F1022" s="1"/>
      <c r="G1022">
        <v>18.12</v>
      </c>
      <c r="H10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022" t="str">
        <f>IFERROR(INDEX(Raw_orders!G:G, MATCH(shipments[[#This Row],[order_id]],Raw_orders!A:A, 0)), "Unknown")</f>
        <v>Nordics</v>
      </c>
      <c r="J1022" t="str">
        <f>PROPER(shipments[[#This Row],[delivery_status]])</f>
        <v>In Transit</v>
      </c>
      <c r="K1022" t="s">
        <v>6958</v>
      </c>
    </row>
    <row r="1023" spans="1:11">
      <c r="A1023" t="s">
        <v>7959</v>
      </c>
      <c r="B1023" t="s">
        <v>1878</v>
      </c>
      <c r="C1023" t="s">
        <v>6928</v>
      </c>
      <c r="D1023" s="1">
        <v>45160</v>
      </c>
      <c r="E1023" s="1">
        <v>45170</v>
      </c>
      <c r="F1023" s="1">
        <v>45172</v>
      </c>
      <c r="G1023">
        <v>64.599999999999994</v>
      </c>
      <c r="H10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23" t="str">
        <f>IFERROR(INDEX(Raw_orders!G:G, MATCH(shipments[[#This Row],[order_id]],Raw_orders!A:A, 0)), "Unknown")</f>
        <v>Baltics</v>
      </c>
      <c r="J1023" t="str">
        <f>PROPER(shipments[[#This Row],[delivery_status]])</f>
        <v>Delivered</v>
      </c>
      <c r="K1023" t="s">
        <v>6929</v>
      </c>
    </row>
    <row r="1024" spans="1:11">
      <c r="A1024" t="s">
        <v>7960</v>
      </c>
      <c r="B1024" t="s">
        <v>1879</v>
      </c>
      <c r="C1024" t="s">
        <v>6949</v>
      </c>
      <c r="D1024" s="1">
        <v>45565</v>
      </c>
      <c r="E1024" s="1">
        <v>45575</v>
      </c>
      <c r="F1024" s="1">
        <v>45575</v>
      </c>
      <c r="G1024">
        <v>61.27</v>
      </c>
      <c r="H10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024" t="str">
        <f>IFERROR(INDEX(Raw_orders!G:G, MATCH(shipments[[#This Row],[order_id]],Raw_orders!A:A, 0)), "Unknown")</f>
        <v>Baltics</v>
      </c>
      <c r="J1024" t="str">
        <f>PROPER(shipments[[#This Row],[delivery_status]])</f>
        <v>Delivered</v>
      </c>
      <c r="K1024" t="s">
        <v>6922</v>
      </c>
    </row>
    <row r="1025" spans="1:11">
      <c r="A1025" t="s">
        <v>7961</v>
      </c>
      <c r="B1025" t="s">
        <v>1879</v>
      </c>
      <c r="C1025" t="s">
        <v>6928</v>
      </c>
      <c r="D1025" s="1">
        <v>45567</v>
      </c>
      <c r="E1025" s="1">
        <v>45577</v>
      </c>
      <c r="F1025" s="1">
        <v>45576</v>
      </c>
      <c r="G1025">
        <v>5.67</v>
      </c>
      <c r="H10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025" t="str">
        <f>IFERROR(INDEX(Raw_orders!G:G, MATCH(shipments[[#This Row],[order_id]],Raw_orders!A:A, 0)), "Unknown")</f>
        <v>Baltics</v>
      </c>
      <c r="J1025" t="str">
        <f>PROPER(shipments[[#This Row],[delivery_status]])</f>
        <v>Delivered</v>
      </c>
      <c r="K1025" t="s">
        <v>6922</v>
      </c>
    </row>
    <row r="1026" spans="1:11">
      <c r="A1026" t="s">
        <v>7962</v>
      </c>
      <c r="B1026" t="s">
        <v>1880</v>
      </c>
      <c r="C1026" t="s">
        <v>6931</v>
      </c>
      <c r="D1026" s="1">
        <v>45445</v>
      </c>
      <c r="E1026" s="1">
        <v>45448</v>
      </c>
      <c r="F1026" s="1"/>
      <c r="G1026">
        <v>43.88</v>
      </c>
      <c r="H10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026" t="str">
        <f>IFERROR(INDEX(Raw_orders!G:G, MATCH(shipments[[#This Row],[order_id]],Raw_orders!A:A, 0)), "Unknown")</f>
        <v>Baltics</v>
      </c>
      <c r="J1026" t="str">
        <f>PROPER(shipments[[#This Row],[delivery_status]])</f>
        <v>In Transit</v>
      </c>
      <c r="K1026" t="s">
        <v>6977</v>
      </c>
    </row>
    <row r="1027" spans="1:11">
      <c r="A1027" t="s">
        <v>7963</v>
      </c>
      <c r="B1027" t="s">
        <v>1881</v>
      </c>
      <c r="C1027" t="s">
        <v>6938</v>
      </c>
      <c r="D1027" s="1">
        <v>45263</v>
      </c>
      <c r="E1027" s="1">
        <v>45268</v>
      </c>
      <c r="F1027" s="1">
        <v>45268</v>
      </c>
      <c r="G1027">
        <v>16.32</v>
      </c>
      <c r="H10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027" t="str">
        <f>IFERROR(INDEX(Raw_orders!G:G, MATCH(shipments[[#This Row],[order_id]],Raw_orders!A:A, 0)), "Unknown")</f>
        <v>Baltics</v>
      </c>
      <c r="J1027" t="str">
        <f>PROPER(shipments[[#This Row],[delivery_status]])</f>
        <v>Delivered</v>
      </c>
      <c r="K1027" t="s">
        <v>6929</v>
      </c>
    </row>
    <row r="1028" spans="1:11">
      <c r="A1028" t="s">
        <v>7964</v>
      </c>
      <c r="B1028" t="s">
        <v>1881</v>
      </c>
      <c r="C1028" t="s">
        <v>6956</v>
      </c>
      <c r="D1028" s="1">
        <v>45263</v>
      </c>
      <c r="E1028" s="1">
        <v>45273</v>
      </c>
      <c r="F1028" s="1">
        <v>45273</v>
      </c>
      <c r="G1028">
        <v>64.77</v>
      </c>
      <c r="H10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028" t="str">
        <f>IFERROR(INDEX(Raw_orders!G:G, MATCH(shipments[[#This Row],[order_id]],Raw_orders!A:A, 0)), "Unknown")</f>
        <v>Baltics</v>
      </c>
      <c r="J1028" t="str">
        <f>PROPER(shipments[[#This Row],[delivery_status]])</f>
        <v>Delivered</v>
      </c>
      <c r="K1028" t="s">
        <v>6922</v>
      </c>
    </row>
    <row r="1029" spans="1:11">
      <c r="A1029" t="s">
        <v>7965</v>
      </c>
      <c r="B1029" t="s">
        <v>1882</v>
      </c>
      <c r="C1029" t="s">
        <v>6921</v>
      </c>
      <c r="D1029" s="1">
        <v>45487</v>
      </c>
      <c r="E1029" s="1">
        <v>45489</v>
      </c>
      <c r="F1029" s="1">
        <v>45497</v>
      </c>
      <c r="G1029">
        <v>4.92</v>
      </c>
      <c r="H10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29" t="str">
        <f>IFERROR(INDEX(Raw_orders!G:G, MATCH(shipments[[#This Row],[order_id]],Raw_orders!A:A, 0)), "Unknown")</f>
        <v>Nordics</v>
      </c>
      <c r="J1029" t="str">
        <f>PROPER(shipments[[#This Row],[delivery_status]])</f>
        <v>Delivered</v>
      </c>
      <c r="K1029" t="s">
        <v>6922</v>
      </c>
    </row>
    <row r="1030" spans="1:11">
      <c r="A1030" t="s">
        <v>7966</v>
      </c>
      <c r="B1030" t="s">
        <v>1883</v>
      </c>
      <c r="C1030" t="s">
        <v>6956</v>
      </c>
      <c r="D1030" s="1">
        <v>45429</v>
      </c>
      <c r="E1030" s="1">
        <v>45431</v>
      </c>
      <c r="F1030" s="1">
        <v>45440</v>
      </c>
      <c r="G1030">
        <v>41.18</v>
      </c>
      <c r="H10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30" t="str">
        <f>IFERROR(INDEX(Raw_orders!G:G, MATCH(shipments[[#This Row],[order_id]],Raw_orders!A:A, 0)), "Unknown")</f>
        <v>Nordics</v>
      </c>
      <c r="J1030" t="str">
        <f>PROPER(shipments[[#This Row],[delivery_status]])</f>
        <v>Delivered</v>
      </c>
      <c r="K1030" t="s">
        <v>6929</v>
      </c>
    </row>
    <row r="1031" spans="1:11">
      <c r="A1031" t="s">
        <v>7967</v>
      </c>
      <c r="B1031" t="s">
        <v>1884</v>
      </c>
      <c r="C1031" t="s">
        <v>6928</v>
      </c>
      <c r="D1031" s="1">
        <v>45005</v>
      </c>
      <c r="E1031" s="1">
        <v>45015</v>
      </c>
      <c r="F1031" s="1">
        <v>45020</v>
      </c>
      <c r="G1031">
        <v>41.76</v>
      </c>
      <c r="H10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31" t="str">
        <f>IFERROR(INDEX(Raw_orders!G:G, MATCH(shipments[[#This Row],[order_id]],Raw_orders!A:A, 0)), "Unknown")</f>
        <v>Nordics</v>
      </c>
      <c r="J1031" t="str">
        <f>PROPER(shipments[[#This Row],[delivery_status]])</f>
        <v>Delivered</v>
      </c>
      <c r="K1031" t="s">
        <v>6926</v>
      </c>
    </row>
    <row r="1032" spans="1:11">
      <c r="A1032" t="s">
        <v>7968</v>
      </c>
      <c r="B1032" t="s">
        <v>1885</v>
      </c>
      <c r="C1032" t="s">
        <v>6956</v>
      </c>
      <c r="D1032" s="1">
        <v>45140</v>
      </c>
      <c r="E1032" s="1">
        <v>45147</v>
      </c>
      <c r="F1032" s="1">
        <v>45147</v>
      </c>
      <c r="G1032">
        <v>62.56</v>
      </c>
      <c r="H10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032" t="str">
        <f>IFERROR(INDEX(Raw_orders!G:G, MATCH(shipments[[#This Row],[order_id]],Raw_orders!A:A, 0)), "Unknown")</f>
        <v>Central Europe</v>
      </c>
      <c r="J1032" t="str">
        <f>PROPER(shipments[[#This Row],[delivery_status]])</f>
        <v>Delivered</v>
      </c>
      <c r="K1032" t="s">
        <v>6926</v>
      </c>
    </row>
    <row r="1033" spans="1:11">
      <c r="A1033" t="s">
        <v>7969</v>
      </c>
      <c r="B1033" t="s">
        <v>1886</v>
      </c>
      <c r="C1033" t="s">
        <v>6931</v>
      </c>
      <c r="D1033" s="1">
        <v>45482</v>
      </c>
      <c r="E1033" s="1">
        <v>45487</v>
      </c>
      <c r="F1033" s="1">
        <v>45493</v>
      </c>
      <c r="G1033">
        <v>8.6300000000000008</v>
      </c>
      <c r="H10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33" t="str">
        <f>IFERROR(INDEX(Raw_orders!G:G, MATCH(shipments[[#This Row],[order_id]],Raw_orders!A:A, 0)), "Unknown")</f>
        <v>Baltics</v>
      </c>
      <c r="J1033" t="str">
        <f>PROPER(shipments[[#This Row],[delivery_status]])</f>
        <v>Delivered</v>
      </c>
      <c r="K1033" t="s">
        <v>6929</v>
      </c>
    </row>
    <row r="1034" spans="1:11">
      <c r="A1034" t="s">
        <v>7970</v>
      </c>
      <c r="B1034" t="s">
        <v>1887</v>
      </c>
      <c r="C1034" t="s">
        <v>6938</v>
      </c>
      <c r="D1034" s="1">
        <v>45348</v>
      </c>
      <c r="E1034" s="1">
        <v>45358</v>
      </c>
      <c r="F1034" s="1">
        <v>45363</v>
      </c>
      <c r="G1034">
        <v>37.880000000000003</v>
      </c>
      <c r="H10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34" t="str">
        <f>IFERROR(INDEX(Raw_orders!G:G, MATCH(shipments[[#This Row],[order_id]],Raw_orders!A:A, 0)), "Unknown")</f>
        <v>Central Europe</v>
      </c>
      <c r="J1034" t="str">
        <f>PROPER(shipments[[#This Row],[delivery_status]])</f>
        <v>Delivered</v>
      </c>
      <c r="K1034" t="s">
        <v>6929</v>
      </c>
    </row>
    <row r="1035" spans="1:11">
      <c r="A1035" t="s">
        <v>7971</v>
      </c>
      <c r="B1035" t="s">
        <v>1888</v>
      </c>
      <c r="C1035" t="s">
        <v>6940</v>
      </c>
      <c r="D1035" s="1">
        <v>45530</v>
      </c>
      <c r="E1035" s="1">
        <v>45533</v>
      </c>
      <c r="F1035" s="1">
        <v>45533</v>
      </c>
      <c r="G1035">
        <v>34.9</v>
      </c>
      <c r="H10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035" t="str">
        <f>IFERROR(INDEX(Raw_orders!G:G, MATCH(shipments[[#This Row],[order_id]],Raw_orders!A:A, 0)), "Unknown")</f>
        <v>Nordics</v>
      </c>
      <c r="J1035" t="str">
        <f>PROPER(shipments[[#This Row],[delivery_status]])</f>
        <v>Delivered</v>
      </c>
      <c r="K1035" t="s">
        <v>6926</v>
      </c>
    </row>
    <row r="1036" spans="1:11">
      <c r="A1036" t="s">
        <v>7972</v>
      </c>
      <c r="B1036" t="s">
        <v>1889</v>
      </c>
      <c r="C1036" t="s">
        <v>6925</v>
      </c>
      <c r="D1036" s="1">
        <v>45077</v>
      </c>
      <c r="E1036" s="1">
        <v>45084</v>
      </c>
      <c r="F1036" s="1">
        <v>45083</v>
      </c>
      <c r="G1036">
        <v>47.69</v>
      </c>
      <c r="H10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036" t="str">
        <f>IFERROR(INDEX(Raw_orders!G:G, MATCH(shipments[[#This Row],[order_id]],Raw_orders!A:A, 0)), "Unknown")</f>
        <v>Central Europe</v>
      </c>
      <c r="J1036" t="str">
        <f>PROPER(shipments[[#This Row],[delivery_status]])</f>
        <v>Delivered</v>
      </c>
      <c r="K1036" t="s">
        <v>6926</v>
      </c>
    </row>
    <row r="1037" spans="1:11">
      <c r="A1037" t="s">
        <v>7973</v>
      </c>
      <c r="B1037" t="s">
        <v>1890</v>
      </c>
      <c r="C1037" t="s">
        <v>6928</v>
      </c>
      <c r="D1037" s="1">
        <v>45363</v>
      </c>
      <c r="E1037" s="1">
        <v>45365</v>
      </c>
      <c r="F1037" s="1"/>
      <c r="G1037">
        <v>5.41</v>
      </c>
      <c r="H10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037" t="str">
        <f>IFERROR(INDEX(Raw_orders!G:G, MATCH(shipments[[#This Row],[order_id]],Raw_orders!A:A, 0)), "Unknown")</f>
        <v>Nordics</v>
      </c>
      <c r="J1037" t="str">
        <f>PROPER(shipments[[#This Row],[delivery_status]])</f>
        <v>In Transit</v>
      </c>
      <c r="K1037" t="s">
        <v>6946</v>
      </c>
    </row>
    <row r="1038" spans="1:11">
      <c r="A1038" t="s">
        <v>7974</v>
      </c>
      <c r="B1038" t="s">
        <v>1891</v>
      </c>
      <c r="C1038" t="s">
        <v>6928</v>
      </c>
      <c r="D1038" s="1">
        <v>45372</v>
      </c>
      <c r="E1038" s="1">
        <v>45375</v>
      </c>
      <c r="F1038" s="1"/>
      <c r="G1038">
        <v>28.51</v>
      </c>
      <c r="H10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038" t="str">
        <f>IFERROR(INDEX(Raw_orders!G:G, MATCH(shipments[[#This Row],[order_id]],Raw_orders!A:A, 0)), "Unknown")</f>
        <v>Central Europe</v>
      </c>
      <c r="J1038" t="str">
        <f>PROPER(shipments[[#This Row],[delivery_status]])</f>
        <v>In Transit</v>
      </c>
      <c r="K1038" t="s">
        <v>6977</v>
      </c>
    </row>
    <row r="1039" spans="1:11">
      <c r="A1039" t="s">
        <v>7975</v>
      </c>
      <c r="B1039" t="s">
        <v>1892</v>
      </c>
      <c r="C1039" t="s">
        <v>6940</v>
      </c>
      <c r="D1039" s="1">
        <v>45186</v>
      </c>
      <c r="E1039" s="1">
        <v>45193</v>
      </c>
      <c r="F1039" s="1">
        <v>45192</v>
      </c>
      <c r="G1039">
        <v>41.78</v>
      </c>
      <c r="H10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039" t="str">
        <f>IFERROR(INDEX(Raw_orders!G:G, MATCH(shipments[[#This Row],[order_id]],Raw_orders!A:A, 0)), "Unknown")</f>
        <v>Nordics</v>
      </c>
      <c r="J1039" t="str">
        <f>PROPER(shipments[[#This Row],[delivery_status]])</f>
        <v>Delivered</v>
      </c>
      <c r="K1039" t="s">
        <v>6922</v>
      </c>
    </row>
    <row r="1040" spans="1:11">
      <c r="A1040" t="s">
        <v>7976</v>
      </c>
      <c r="B1040" t="s">
        <v>1893</v>
      </c>
      <c r="C1040" t="s">
        <v>6931</v>
      </c>
      <c r="D1040" s="1">
        <v>45176</v>
      </c>
      <c r="E1040" s="1">
        <v>45183</v>
      </c>
      <c r="F1040" s="1">
        <v>45188</v>
      </c>
      <c r="G1040">
        <v>37.33</v>
      </c>
      <c r="H10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40" t="str">
        <f>IFERROR(INDEX(Raw_orders!G:G, MATCH(shipments[[#This Row],[order_id]],Raw_orders!A:A, 0)), "Unknown")</f>
        <v>Central Europe</v>
      </c>
      <c r="J1040" t="str">
        <f>PROPER(shipments[[#This Row],[delivery_status]])</f>
        <v>Delivered</v>
      </c>
      <c r="K1040" t="s">
        <v>6929</v>
      </c>
    </row>
    <row r="1041" spans="1:11">
      <c r="A1041" t="s">
        <v>7977</v>
      </c>
      <c r="B1041" t="s">
        <v>1894</v>
      </c>
      <c r="C1041" t="s">
        <v>6938</v>
      </c>
      <c r="D1041" s="1">
        <v>45513</v>
      </c>
      <c r="E1041" s="1">
        <v>45516</v>
      </c>
      <c r="F1041" s="1">
        <v>45516</v>
      </c>
      <c r="G1041">
        <v>50.76</v>
      </c>
      <c r="H10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041" t="str">
        <f>IFERROR(INDEX(Raw_orders!G:G, MATCH(shipments[[#This Row],[order_id]],Raw_orders!A:A, 0)), "Unknown")</f>
        <v>Baltics</v>
      </c>
      <c r="J1041" t="str">
        <f>PROPER(shipments[[#This Row],[delivery_status]])</f>
        <v>Delivered</v>
      </c>
      <c r="K1041" t="s">
        <v>6922</v>
      </c>
    </row>
    <row r="1042" spans="1:11">
      <c r="A1042" t="s">
        <v>7978</v>
      </c>
      <c r="B1042" t="s">
        <v>1895</v>
      </c>
      <c r="C1042" t="s">
        <v>6921</v>
      </c>
      <c r="D1042" s="1">
        <v>45616</v>
      </c>
      <c r="E1042" s="1">
        <v>45623</v>
      </c>
      <c r="F1042" s="1">
        <v>45635</v>
      </c>
      <c r="G1042">
        <v>62.57</v>
      </c>
      <c r="H10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42" t="str">
        <f>IFERROR(INDEX(Raw_orders!G:G, MATCH(shipments[[#This Row],[order_id]],Raw_orders!A:A, 0)), "Unknown")</f>
        <v>Baltics</v>
      </c>
      <c r="J1042" t="str">
        <f>PROPER(shipments[[#This Row],[delivery_status]])</f>
        <v>Delivered</v>
      </c>
      <c r="K1042" t="s">
        <v>6922</v>
      </c>
    </row>
    <row r="1043" spans="1:11">
      <c r="A1043" t="s">
        <v>7979</v>
      </c>
      <c r="B1043" t="s">
        <v>1896</v>
      </c>
      <c r="C1043" t="s">
        <v>6935</v>
      </c>
      <c r="D1043" s="1">
        <v>44976</v>
      </c>
      <c r="E1043" s="1">
        <v>44979</v>
      </c>
      <c r="F1043" s="1">
        <v>44980</v>
      </c>
      <c r="G1043">
        <v>27.99</v>
      </c>
      <c r="H10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43" t="str">
        <f>IFERROR(INDEX(Raw_orders!G:G, MATCH(shipments[[#This Row],[order_id]],Raw_orders!A:A, 0)), "Unknown")</f>
        <v>Baltics</v>
      </c>
      <c r="J1043" t="str">
        <f>PROPER(shipments[[#This Row],[delivery_status]])</f>
        <v>Delivered</v>
      </c>
      <c r="K1043" t="s">
        <v>6929</v>
      </c>
    </row>
    <row r="1044" spans="1:11">
      <c r="A1044" t="s">
        <v>7980</v>
      </c>
      <c r="B1044" t="s">
        <v>1897</v>
      </c>
      <c r="C1044" t="s">
        <v>6928</v>
      </c>
      <c r="D1044" s="1">
        <v>45035</v>
      </c>
      <c r="E1044" s="1">
        <v>45037</v>
      </c>
      <c r="F1044" s="1">
        <v>45041</v>
      </c>
      <c r="G1044">
        <v>38.880000000000003</v>
      </c>
      <c r="H10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44" t="str">
        <f>IFERROR(INDEX(Raw_orders!G:G, MATCH(shipments[[#This Row],[order_id]],Raw_orders!A:A, 0)), "Unknown")</f>
        <v>Central Europe</v>
      </c>
      <c r="J1044" t="str">
        <f>PROPER(shipments[[#This Row],[delivery_status]])</f>
        <v>Delivered</v>
      </c>
      <c r="K1044" t="s">
        <v>6926</v>
      </c>
    </row>
    <row r="1045" spans="1:11">
      <c r="A1045" t="s">
        <v>7981</v>
      </c>
      <c r="B1045" t="s">
        <v>1898</v>
      </c>
      <c r="C1045" t="s">
        <v>6949</v>
      </c>
      <c r="D1045" s="1">
        <v>45365</v>
      </c>
      <c r="E1045" s="1">
        <v>45368</v>
      </c>
      <c r="F1045" s="1"/>
      <c r="G1045">
        <v>32.83</v>
      </c>
      <c r="H10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045" t="str">
        <f>IFERROR(INDEX(Raw_orders!G:G, MATCH(shipments[[#This Row],[order_id]],Raw_orders!A:A, 0)), "Unknown")</f>
        <v>Nordics</v>
      </c>
      <c r="J1045" t="str">
        <f>PROPER(shipments[[#This Row],[delivery_status]])</f>
        <v>Cancelled</v>
      </c>
      <c r="K1045" t="s">
        <v>6963</v>
      </c>
    </row>
    <row r="1046" spans="1:11">
      <c r="A1046" t="s">
        <v>7982</v>
      </c>
      <c r="B1046" t="s">
        <v>1899</v>
      </c>
      <c r="C1046" t="s">
        <v>6925</v>
      </c>
      <c r="D1046" s="1">
        <v>45064</v>
      </c>
      <c r="E1046" s="1">
        <v>45071</v>
      </c>
      <c r="F1046" s="1">
        <v>45073</v>
      </c>
      <c r="G1046">
        <v>60.62</v>
      </c>
      <c r="H10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46" t="str">
        <f>IFERROR(INDEX(Raw_orders!G:G, MATCH(shipments[[#This Row],[order_id]],Raw_orders!A:A, 0)), "Unknown")</f>
        <v>Central Europe</v>
      </c>
      <c r="J1046" t="str">
        <f>PROPER(shipments[[#This Row],[delivery_status]])</f>
        <v>Delivered</v>
      </c>
      <c r="K1046" t="s">
        <v>6922</v>
      </c>
    </row>
    <row r="1047" spans="1:11">
      <c r="A1047" t="s">
        <v>7983</v>
      </c>
      <c r="B1047" t="s">
        <v>1900</v>
      </c>
      <c r="C1047" t="s">
        <v>6921</v>
      </c>
      <c r="D1047" s="1">
        <v>45590</v>
      </c>
      <c r="E1047" s="1">
        <v>45595</v>
      </c>
      <c r="F1047" s="1">
        <v>45608</v>
      </c>
      <c r="G1047">
        <v>22.84</v>
      </c>
      <c r="H10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47" t="str">
        <f>IFERROR(INDEX(Raw_orders!G:G, MATCH(shipments[[#This Row],[order_id]],Raw_orders!A:A, 0)), "Unknown")</f>
        <v>Baltics</v>
      </c>
      <c r="J1047" t="str">
        <f>PROPER(shipments[[#This Row],[delivery_status]])</f>
        <v>Delivered</v>
      </c>
      <c r="K1047" t="s">
        <v>6926</v>
      </c>
    </row>
    <row r="1048" spans="1:11">
      <c r="A1048" t="s">
        <v>7984</v>
      </c>
      <c r="B1048" t="s">
        <v>1901</v>
      </c>
      <c r="C1048" t="s">
        <v>6928</v>
      </c>
      <c r="D1048" s="1">
        <v>45363</v>
      </c>
      <c r="E1048" s="1">
        <v>45370</v>
      </c>
      <c r="F1048" s="1">
        <v>45370</v>
      </c>
      <c r="G1048">
        <v>52.52</v>
      </c>
      <c r="H10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048" t="str">
        <f>IFERROR(INDEX(Raw_orders!G:G, MATCH(shipments[[#This Row],[order_id]],Raw_orders!A:A, 0)), "Unknown")</f>
        <v>Nordics</v>
      </c>
      <c r="J1048" t="str">
        <f>PROPER(shipments[[#This Row],[delivery_status]])</f>
        <v>Delivered</v>
      </c>
      <c r="K1048" t="s">
        <v>6929</v>
      </c>
    </row>
    <row r="1049" spans="1:11">
      <c r="A1049" t="s">
        <v>7985</v>
      </c>
      <c r="B1049" t="s">
        <v>1902</v>
      </c>
      <c r="C1049" t="s">
        <v>6921</v>
      </c>
      <c r="D1049" s="1">
        <v>45374</v>
      </c>
      <c r="E1049" s="1">
        <v>45384</v>
      </c>
      <c r="F1049" s="1">
        <v>45385</v>
      </c>
      <c r="G1049">
        <v>8.16</v>
      </c>
      <c r="H10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49" t="str">
        <f>IFERROR(INDEX(Raw_orders!G:G, MATCH(shipments[[#This Row],[order_id]],Raw_orders!A:A, 0)), "Unknown")</f>
        <v>Baltics</v>
      </c>
      <c r="J1049" t="str">
        <f>PROPER(shipments[[#This Row],[delivery_status]])</f>
        <v>Delivered</v>
      </c>
      <c r="K1049" t="s">
        <v>6926</v>
      </c>
    </row>
    <row r="1050" spans="1:11">
      <c r="A1050" t="s">
        <v>7986</v>
      </c>
      <c r="B1050" t="s">
        <v>1903</v>
      </c>
      <c r="C1050" t="s">
        <v>6928</v>
      </c>
      <c r="D1050" s="1">
        <v>45493</v>
      </c>
      <c r="E1050" s="1">
        <v>45498</v>
      </c>
      <c r="F1050" s="1"/>
      <c r="G1050">
        <v>45.61</v>
      </c>
      <c r="H10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050" t="str">
        <f>IFERROR(INDEX(Raw_orders!G:G, MATCH(shipments[[#This Row],[order_id]],Raw_orders!A:A, 0)), "Unknown")</f>
        <v>Central Europe</v>
      </c>
      <c r="J1050" t="str">
        <f>PROPER(shipments[[#This Row],[delivery_status]])</f>
        <v>In Transit</v>
      </c>
      <c r="K1050" t="s">
        <v>6958</v>
      </c>
    </row>
    <row r="1051" spans="1:11">
      <c r="A1051" t="s">
        <v>7987</v>
      </c>
      <c r="B1051" t="s">
        <v>1904</v>
      </c>
      <c r="C1051" t="s">
        <v>6940</v>
      </c>
      <c r="D1051" s="1">
        <v>45025</v>
      </c>
      <c r="E1051" s="1">
        <v>45028</v>
      </c>
      <c r="F1051" s="1">
        <v>45036</v>
      </c>
      <c r="G1051">
        <v>59.47</v>
      </c>
      <c r="H10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51" t="str">
        <f>IFERROR(INDEX(Raw_orders!G:G, MATCH(shipments[[#This Row],[order_id]],Raw_orders!A:A, 0)), "Unknown")</f>
        <v>Baltics</v>
      </c>
      <c r="J1051" t="str">
        <f>PROPER(shipments[[#This Row],[delivery_status]])</f>
        <v>Delivered</v>
      </c>
      <c r="K1051" t="s">
        <v>6929</v>
      </c>
    </row>
    <row r="1052" spans="1:11">
      <c r="A1052" t="s">
        <v>7988</v>
      </c>
      <c r="B1052" t="s">
        <v>1905</v>
      </c>
      <c r="C1052" t="s">
        <v>6949</v>
      </c>
      <c r="D1052" s="1">
        <v>45397</v>
      </c>
      <c r="E1052" s="1">
        <v>45400</v>
      </c>
      <c r="F1052" s="1">
        <v>45405</v>
      </c>
      <c r="G1052">
        <v>38.119999999999997</v>
      </c>
      <c r="H10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52" t="str">
        <f>IFERROR(INDEX(Raw_orders!G:G, MATCH(shipments[[#This Row],[order_id]],Raw_orders!A:A, 0)), "Unknown")</f>
        <v>Nordics</v>
      </c>
      <c r="J1052" t="str">
        <f>PROPER(shipments[[#This Row],[delivery_status]])</f>
        <v>Delivered</v>
      </c>
      <c r="K1052" t="s">
        <v>6929</v>
      </c>
    </row>
    <row r="1053" spans="1:11">
      <c r="A1053" t="s">
        <v>7989</v>
      </c>
      <c r="B1053" t="s">
        <v>1906</v>
      </c>
      <c r="C1053" t="s">
        <v>6921</v>
      </c>
      <c r="D1053" s="1">
        <v>45108</v>
      </c>
      <c r="E1053" s="1">
        <v>45115</v>
      </c>
      <c r="F1053" s="1">
        <v>45127</v>
      </c>
      <c r="G1053">
        <v>13.01</v>
      </c>
      <c r="H10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53" t="str">
        <f>IFERROR(INDEX(Raw_orders!G:G, MATCH(shipments[[#This Row],[order_id]],Raw_orders!A:A, 0)), "Unknown")</f>
        <v>Baltics</v>
      </c>
      <c r="J1053" t="str">
        <f>PROPER(shipments[[#This Row],[delivery_status]])</f>
        <v>Delivered</v>
      </c>
      <c r="K1053" t="s">
        <v>6929</v>
      </c>
    </row>
    <row r="1054" spans="1:11">
      <c r="A1054" t="s">
        <v>7990</v>
      </c>
      <c r="B1054" t="s">
        <v>1907</v>
      </c>
      <c r="C1054" t="s">
        <v>6931</v>
      </c>
      <c r="D1054" s="1">
        <v>45183</v>
      </c>
      <c r="E1054" s="1">
        <v>45186</v>
      </c>
      <c r="F1054" s="1">
        <v>45189</v>
      </c>
      <c r="G1054">
        <v>64.25</v>
      </c>
      <c r="H10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54" t="str">
        <f>IFERROR(INDEX(Raw_orders!G:G, MATCH(shipments[[#This Row],[order_id]],Raw_orders!A:A, 0)), "Unknown")</f>
        <v>Central Europe</v>
      </c>
      <c r="J1054" t="str">
        <f>PROPER(shipments[[#This Row],[delivery_status]])</f>
        <v>Delivered</v>
      </c>
      <c r="K1054" t="s">
        <v>6922</v>
      </c>
    </row>
    <row r="1055" spans="1:11">
      <c r="A1055" t="s">
        <v>7991</v>
      </c>
      <c r="B1055" t="s">
        <v>1908</v>
      </c>
      <c r="C1055" t="s">
        <v>6956</v>
      </c>
      <c r="D1055" s="1">
        <v>45013</v>
      </c>
      <c r="E1055" s="1">
        <v>45020</v>
      </c>
      <c r="F1055" s="1">
        <v>45023</v>
      </c>
      <c r="G1055">
        <v>15.4</v>
      </c>
      <c r="H10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55" t="str">
        <f>IFERROR(INDEX(Raw_orders!G:G, MATCH(shipments[[#This Row],[order_id]],Raw_orders!A:A, 0)), "Unknown")</f>
        <v>Nordics</v>
      </c>
      <c r="J1055" t="str">
        <f>PROPER(shipments[[#This Row],[delivery_status]])</f>
        <v>Delivered</v>
      </c>
      <c r="K1055" t="s">
        <v>6926</v>
      </c>
    </row>
    <row r="1056" spans="1:11">
      <c r="A1056" t="s">
        <v>7992</v>
      </c>
      <c r="B1056" t="s">
        <v>1909</v>
      </c>
      <c r="C1056" t="s">
        <v>6925</v>
      </c>
      <c r="D1056" s="1">
        <v>45064</v>
      </c>
      <c r="E1056" s="1">
        <v>45066</v>
      </c>
      <c r="F1056" s="1">
        <v>45066</v>
      </c>
      <c r="G1056">
        <v>7.78</v>
      </c>
      <c r="H10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056" t="str">
        <f>IFERROR(INDEX(Raw_orders!G:G, MATCH(shipments[[#This Row],[order_id]],Raw_orders!A:A, 0)), "Unknown")</f>
        <v>Central Europe</v>
      </c>
      <c r="J1056" t="str">
        <f>PROPER(shipments[[#This Row],[delivery_status]])</f>
        <v>Delivered</v>
      </c>
      <c r="K1056" t="s">
        <v>6922</v>
      </c>
    </row>
    <row r="1057" spans="1:11">
      <c r="A1057" t="s">
        <v>7993</v>
      </c>
      <c r="B1057" t="s">
        <v>1910</v>
      </c>
      <c r="C1057" t="s">
        <v>6938</v>
      </c>
      <c r="D1057" s="1">
        <v>45022</v>
      </c>
      <c r="E1057" s="1">
        <v>45029</v>
      </c>
      <c r="F1057" s="1">
        <v>45033</v>
      </c>
      <c r="G1057">
        <v>64.56</v>
      </c>
      <c r="H10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57" t="str">
        <f>IFERROR(INDEX(Raw_orders!G:G, MATCH(shipments[[#This Row],[order_id]],Raw_orders!A:A, 0)), "Unknown")</f>
        <v>Central Europe</v>
      </c>
      <c r="J1057" t="str">
        <f>PROPER(shipments[[#This Row],[delivery_status]])</f>
        <v>Delivered</v>
      </c>
      <c r="K1057" t="s">
        <v>6929</v>
      </c>
    </row>
    <row r="1058" spans="1:11">
      <c r="A1058" t="s">
        <v>7994</v>
      </c>
      <c r="B1058" t="s">
        <v>1911</v>
      </c>
      <c r="C1058" t="s">
        <v>6938</v>
      </c>
      <c r="D1058" s="1">
        <v>45322</v>
      </c>
      <c r="E1058" s="1">
        <v>45327</v>
      </c>
      <c r="F1058" s="1">
        <v>45330</v>
      </c>
      <c r="G1058">
        <v>29.04</v>
      </c>
      <c r="H10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58" t="str">
        <f>IFERROR(INDEX(Raw_orders!G:G, MATCH(shipments[[#This Row],[order_id]],Raw_orders!A:A, 0)), "Unknown")</f>
        <v>Baltics</v>
      </c>
      <c r="J1058" t="str">
        <f>PROPER(shipments[[#This Row],[delivery_status]])</f>
        <v>Delivered</v>
      </c>
      <c r="K1058" t="s">
        <v>6922</v>
      </c>
    </row>
    <row r="1059" spans="1:11">
      <c r="A1059" t="s">
        <v>7995</v>
      </c>
      <c r="B1059" t="s">
        <v>1912</v>
      </c>
      <c r="C1059" t="s">
        <v>6931</v>
      </c>
      <c r="D1059" s="1">
        <v>45251</v>
      </c>
      <c r="E1059" s="1">
        <v>45258</v>
      </c>
      <c r="F1059" s="1"/>
      <c r="G1059">
        <v>12.4</v>
      </c>
      <c r="H10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059" t="str">
        <f>IFERROR(INDEX(Raw_orders!G:G, MATCH(shipments[[#This Row],[order_id]],Raw_orders!A:A, 0)), "Unknown")</f>
        <v>Central Europe</v>
      </c>
      <c r="J1059" t="str">
        <f>PROPER(shipments[[#This Row],[delivery_status]])</f>
        <v>In Transit</v>
      </c>
      <c r="K1059" t="s">
        <v>6977</v>
      </c>
    </row>
    <row r="1060" spans="1:11">
      <c r="A1060" t="s">
        <v>7996</v>
      </c>
      <c r="B1060" t="s">
        <v>1913</v>
      </c>
      <c r="C1060" t="s">
        <v>6956</v>
      </c>
      <c r="D1060" s="1">
        <v>45562</v>
      </c>
      <c r="E1060" s="1">
        <v>45565</v>
      </c>
      <c r="F1060" s="1">
        <v>45567</v>
      </c>
      <c r="G1060">
        <v>6.89</v>
      </c>
      <c r="H10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60" t="str">
        <f>IFERROR(INDEX(Raw_orders!G:G, MATCH(shipments[[#This Row],[order_id]],Raw_orders!A:A, 0)), "Unknown")</f>
        <v>Central Europe</v>
      </c>
      <c r="J1060" t="str">
        <f>PROPER(shipments[[#This Row],[delivery_status]])</f>
        <v>Delivered</v>
      </c>
      <c r="K1060" t="s">
        <v>6922</v>
      </c>
    </row>
    <row r="1061" spans="1:11">
      <c r="A1061" t="s">
        <v>7997</v>
      </c>
      <c r="B1061" t="s">
        <v>1914</v>
      </c>
      <c r="C1061" t="s">
        <v>6931</v>
      </c>
      <c r="D1061" s="1">
        <v>45315</v>
      </c>
      <c r="E1061" s="1">
        <v>45325</v>
      </c>
      <c r="F1061" s="1"/>
      <c r="G1061">
        <v>61.94</v>
      </c>
      <c r="H10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061" t="str">
        <f>IFERROR(INDEX(Raw_orders!G:G, MATCH(shipments[[#This Row],[order_id]],Raw_orders!A:A, 0)), "Unknown")</f>
        <v>Nordics</v>
      </c>
      <c r="J1061" t="str">
        <f>PROPER(shipments[[#This Row],[delivery_status]])</f>
        <v>In Transit</v>
      </c>
      <c r="K1061" t="s">
        <v>6946</v>
      </c>
    </row>
    <row r="1062" spans="1:11">
      <c r="A1062" t="s">
        <v>7998</v>
      </c>
      <c r="B1062" t="s">
        <v>1915</v>
      </c>
      <c r="C1062" t="s">
        <v>6956</v>
      </c>
      <c r="D1062" s="1">
        <v>45520</v>
      </c>
      <c r="E1062" s="1">
        <v>45525</v>
      </c>
      <c r="F1062" s="1">
        <v>45537</v>
      </c>
      <c r="G1062">
        <v>28.22</v>
      </c>
      <c r="H10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62" t="str">
        <f>IFERROR(INDEX(Raw_orders!G:G, MATCH(shipments[[#This Row],[order_id]],Raw_orders!A:A, 0)), "Unknown")</f>
        <v>Unknown</v>
      </c>
      <c r="J1062" t="str">
        <f>PROPER(shipments[[#This Row],[delivery_status]])</f>
        <v>Delivered</v>
      </c>
      <c r="K1062" t="s">
        <v>6926</v>
      </c>
    </row>
    <row r="1063" spans="1:11">
      <c r="A1063" t="s">
        <v>7999</v>
      </c>
      <c r="B1063" t="s">
        <v>1916</v>
      </c>
      <c r="C1063" t="s">
        <v>6956</v>
      </c>
      <c r="D1063" s="1">
        <v>45325</v>
      </c>
      <c r="E1063" s="1">
        <v>45335</v>
      </c>
      <c r="F1063" s="1">
        <v>45335</v>
      </c>
      <c r="G1063">
        <v>5.91</v>
      </c>
      <c r="H10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063" t="str">
        <f>IFERROR(INDEX(Raw_orders!G:G, MATCH(shipments[[#This Row],[order_id]],Raw_orders!A:A, 0)), "Unknown")</f>
        <v>Baltics</v>
      </c>
      <c r="J1063" t="str">
        <f>PROPER(shipments[[#This Row],[delivery_status]])</f>
        <v>Delivered</v>
      </c>
      <c r="K1063" t="s">
        <v>6922</v>
      </c>
    </row>
    <row r="1064" spans="1:11">
      <c r="A1064" t="s">
        <v>8000</v>
      </c>
      <c r="B1064" t="s">
        <v>1916</v>
      </c>
      <c r="C1064" t="s">
        <v>6938</v>
      </c>
      <c r="D1064" s="1">
        <v>45324</v>
      </c>
      <c r="E1064" s="1">
        <v>45327</v>
      </c>
      <c r="F1064" s="1">
        <v>45335</v>
      </c>
      <c r="G1064">
        <v>11.65</v>
      </c>
      <c r="H10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64" t="str">
        <f>IFERROR(INDEX(Raw_orders!G:G, MATCH(shipments[[#This Row],[order_id]],Raw_orders!A:A, 0)), "Unknown")</f>
        <v>Baltics</v>
      </c>
      <c r="J1064" t="str">
        <f>PROPER(shipments[[#This Row],[delivery_status]])</f>
        <v>Delivered</v>
      </c>
      <c r="K1064" t="s">
        <v>6929</v>
      </c>
    </row>
    <row r="1065" spans="1:11">
      <c r="A1065" t="s">
        <v>8001</v>
      </c>
      <c r="B1065" t="s">
        <v>1917</v>
      </c>
      <c r="C1065" t="s">
        <v>6935</v>
      </c>
      <c r="D1065" s="1">
        <v>45062</v>
      </c>
      <c r="E1065" s="1">
        <v>45069</v>
      </c>
      <c r="F1065" s="1">
        <v>45071</v>
      </c>
      <c r="G1065">
        <v>19.41</v>
      </c>
      <c r="H10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65" t="str">
        <f>IFERROR(INDEX(Raw_orders!G:G, MATCH(shipments[[#This Row],[order_id]],Raw_orders!A:A, 0)), "Unknown")</f>
        <v>Baltics</v>
      </c>
      <c r="J1065" t="str">
        <f>PROPER(shipments[[#This Row],[delivery_status]])</f>
        <v>Delivered</v>
      </c>
      <c r="K1065" t="s">
        <v>6929</v>
      </c>
    </row>
    <row r="1066" spans="1:11">
      <c r="A1066" t="s">
        <v>8002</v>
      </c>
      <c r="B1066" t="s">
        <v>1918</v>
      </c>
      <c r="C1066" t="s">
        <v>6925</v>
      </c>
      <c r="D1066" s="1">
        <v>45132</v>
      </c>
      <c r="E1066" s="1">
        <v>45134</v>
      </c>
      <c r="F1066" s="1"/>
      <c r="G1066">
        <v>38.49</v>
      </c>
      <c r="H10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066" t="str">
        <f>IFERROR(INDEX(Raw_orders!G:G, MATCH(shipments[[#This Row],[order_id]],Raw_orders!A:A, 0)), "Unknown")</f>
        <v>Nordics</v>
      </c>
      <c r="J1066" t="str">
        <f>PROPER(shipments[[#This Row],[delivery_status]])</f>
        <v>Cancelled</v>
      </c>
      <c r="K1066" t="s">
        <v>6972</v>
      </c>
    </row>
    <row r="1067" spans="1:11">
      <c r="A1067" t="s">
        <v>8003</v>
      </c>
      <c r="B1067" t="s">
        <v>1919</v>
      </c>
      <c r="C1067" t="s">
        <v>6956</v>
      </c>
      <c r="D1067" s="1">
        <v>45183</v>
      </c>
      <c r="E1067" s="1">
        <v>45188</v>
      </c>
      <c r="F1067" s="1">
        <v>45194</v>
      </c>
      <c r="G1067">
        <v>31.05</v>
      </c>
      <c r="H10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67" t="str">
        <f>IFERROR(INDEX(Raw_orders!G:G, MATCH(shipments[[#This Row],[order_id]],Raw_orders!A:A, 0)), "Unknown")</f>
        <v>Baltics</v>
      </c>
      <c r="J1067" t="str">
        <f>PROPER(shipments[[#This Row],[delivery_status]])</f>
        <v>Delivered</v>
      </c>
      <c r="K1067" t="s">
        <v>6929</v>
      </c>
    </row>
    <row r="1068" spans="1:11">
      <c r="A1068" t="s">
        <v>8004</v>
      </c>
      <c r="B1068" t="s">
        <v>1919</v>
      </c>
      <c r="C1068" t="s">
        <v>6931</v>
      </c>
      <c r="D1068" s="1">
        <v>45180</v>
      </c>
      <c r="E1068" s="1">
        <v>45183</v>
      </c>
      <c r="F1068" s="1">
        <v>45194</v>
      </c>
      <c r="G1068">
        <v>52.11</v>
      </c>
      <c r="H10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68" t="str">
        <f>IFERROR(INDEX(Raw_orders!G:G, MATCH(shipments[[#This Row],[order_id]],Raw_orders!A:A, 0)), "Unknown")</f>
        <v>Baltics</v>
      </c>
      <c r="J1068" t="str">
        <f>PROPER(shipments[[#This Row],[delivery_status]])</f>
        <v>Delivered</v>
      </c>
      <c r="K1068" t="s">
        <v>6926</v>
      </c>
    </row>
    <row r="1069" spans="1:11">
      <c r="A1069" t="s">
        <v>8005</v>
      </c>
      <c r="B1069" t="s">
        <v>1920</v>
      </c>
      <c r="C1069" t="s">
        <v>6921</v>
      </c>
      <c r="D1069" s="1">
        <v>45460</v>
      </c>
      <c r="E1069" s="1">
        <v>45462</v>
      </c>
      <c r="F1069" s="1">
        <v>45462</v>
      </c>
      <c r="G1069">
        <v>40.25</v>
      </c>
      <c r="H10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069" t="str">
        <f>IFERROR(INDEX(Raw_orders!G:G, MATCH(shipments[[#This Row],[order_id]],Raw_orders!A:A, 0)), "Unknown")</f>
        <v>Central Europe</v>
      </c>
      <c r="J1069" t="str">
        <f>PROPER(shipments[[#This Row],[delivery_status]])</f>
        <v>Delivered</v>
      </c>
      <c r="K1069" t="s">
        <v>6929</v>
      </c>
    </row>
    <row r="1070" spans="1:11">
      <c r="A1070" t="s">
        <v>8006</v>
      </c>
      <c r="B1070" t="s">
        <v>1921</v>
      </c>
      <c r="C1070" t="s">
        <v>6935</v>
      </c>
      <c r="D1070" s="1">
        <v>44967</v>
      </c>
      <c r="E1070" s="1">
        <v>44972</v>
      </c>
      <c r="F1070" s="1"/>
      <c r="G1070">
        <v>42.56</v>
      </c>
      <c r="H10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070" t="str">
        <f>IFERROR(INDEX(Raw_orders!G:G, MATCH(shipments[[#This Row],[order_id]],Raw_orders!A:A, 0)), "Unknown")</f>
        <v>Central Europe</v>
      </c>
      <c r="J1070" t="str">
        <f>PROPER(shipments[[#This Row],[delivery_status]])</f>
        <v>In Transit</v>
      </c>
      <c r="K1070" t="s">
        <v>6958</v>
      </c>
    </row>
    <row r="1071" spans="1:11">
      <c r="A1071" t="s">
        <v>8007</v>
      </c>
      <c r="B1071" t="s">
        <v>1922</v>
      </c>
      <c r="C1071" t="s">
        <v>6925</v>
      </c>
      <c r="D1071" s="1">
        <v>45079</v>
      </c>
      <c r="E1071" s="1">
        <v>45089</v>
      </c>
      <c r="F1071" s="1">
        <v>45097</v>
      </c>
      <c r="G1071">
        <v>27.78</v>
      </c>
      <c r="H10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71" t="str">
        <f>IFERROR(INDEX(Raw_orders!G:G, MATCH(shipments[[#This Row],[order_id]],Raw_orders!A:A, 0)), "Unknown")</f>
        <v>Central Europe</v>
      </c>
      <c r="J1071" t="str">
        <f>PROPER(shipments[[#This Row],[delivery_status]])</f>
        <v>Delivered</v>
      </c>
      <c r="K1071" t="s">
        <v>6922</v>
      </c>
    </row>
    <row r="1072" spans="1:11">
      <c r="A1072" t="s">
        <v>8008</v>
      </c>
      <c r="B1072" t="s">
        <v>1923</v>
      </c>
      <c r="C1072" t="s">
        <v>6940</v>
      </c>
      <c r="D1072" s="1">
        <v>44938</v>
      </c>
      <c r="E1072" s="1">
        <v>44943</v>
      </c>
      <c r="F1072" s="1">
        <v>44942</v>
      </c>
      <c r="G1072">
        <v>58.93</v>
      </c>
      <c r="H10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072" t="str">
        <f>IFERROR(INDEX(Raw_orders!G:G, MATCH(shipments[[#This Row],[order_id]],Raw_orders!A:A, 0)), "Unknown")</f>
        <v>Baltics</v>
      </c>
      <c r="J1072" t="str">
        <f>PROPER(shipments[[#This Row],[delivery_status]])</f>
        <v>Delivered</v>
      </c>
      <c r="K1072" t="s">
        <v>6922</v>
      </c>
    </row>
    <row r="1073" spans="1:11">
      <c r="A1073" t="s">
        <v>8009</v>
      </c>
      <c r="B1073" t="s">
        <v>1924</v>
      </c>
      <c r="C1073" t="s">
        <v>6928</v>
      </c>
      <c r="D1073" s="1">
        <v>45150</v>
      </c>
      <c r="E1073" s="1">
        <v>45155</v>
      </c>
      <c r="F1073" s="1">
        <v>45155</v>
      </c>
      <c r="G1073">
        <v>7.04</v>
      </c>
      <c r="H10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073" t="str">
        <f>IFERROR(INDEX(Raw_orders!G:G, MATCH(shipments[[#This Row],[order_id]],Raw_orders!A:A, 0)), "Unknown")</f>
        <v>Baltics</v>
      </c>
      <c r="J1073" t="str">
        <f>PROPER(shipments[[#This Row],[delivery_status]])</f>
        <v>Delivered</v>
      </c>
      <c r="K1073" t="s">
        <v>6926</v>
      </c>
    </row>
    <row r="1074" spans="1:11">
      <c r="A1074" t="s">
        <v>8010</v>
      </c>
      <c r="B1074" t="s">
        <v>1925</v>
      </c>
      <c r="C1074" t="s">
        <v>6921</v>
      </c>
      <c r="D1074" s="1">
        <v>45279</v>
      </c>
      <c r="E1074" s="1">
        <v>45281</v>
      </c>
      <c r="F1074" s="1">
        <v>45284</v>
      </c>
      <c r="G1074">
        <v>20.72</v>
      </c>
      <c r="H10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74" t="str">
        <f>IFERROR(INDEX(Raw_orders!G:G, MATCH(shipments[[#This Row],[order_id]],Raw_orders!A:A, 0)), "Unknown")</f>
        <v>Baltics</v>
      </c>
      <c r="J1074" t="str">
        <f>PROPER(shipments[[#This Row],[delivery_status]])</f>
        <v>Delivered</v>
      </c>
      <c r="K1074" t="s">
        <v>6929</v>
      </c>
    </row>
    <row r="1075" spans="1:11">
      <c r="A1075" t="s">
        <v>8011</v>
      </c>
      <c r="B1075" t="s">
        <v>1925</v>
      </c>
      <c r="C1075" t="s">
        <v>6956</v>
      </c>
      <c r="D1075" s="1">
        <v>45277</v>
      </c>
      <c r="E1075" s="1">
        <v>45282</v>
      </c>
      <c r="F1075" s="1">
        <v>45282</v>
      </c>
      <c r="G1075">
        <v>48.86</v>
      </c>
      <c r="H10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075" t="str">
        <f>IFERROR(INDEX(Raw_orders!G:G, MATCH(shipments[[#This Row],[order_id]],Raw_orders!A:A, 0)), "Unknown")</f>
        <v>Baltics</v>
      </c>
      <c r="J1075" t="str">
        <f>PROPER(shipments[[#This Row],[delivery_status]])</f>
        <v>Delivered</v>
      </c>
      <c r="K1075" t="s">
        <v>6922</v>
      </c>
    </row>
    <row r="1076" spans="1:11">
      <c r="A1076" t="s">
        <v>8012</v>
      </c>
      <c r="B1076" t="s">
        <v>1926</v>
      </c>
      <c r="C1076" t="s">
        <v>6931</v>
      </c>
      <c r="D1076" s="1">
        <v>44954</v>
      </c>
      <c r="E1076" s="1">
        <v>44964</v>
      </c>
      <c r="F1076" s="1"/>
      <c r="G1076">
        <v>37.76</v>
      </c>
      <c r="H10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076" t="str">
        <f>IFERROR(INDEX(Raw_orders!G:G, MATCH(shipments[[#This Row],[order_id]],Raw_orders!A:A, 0)), "Unknown")</f>
        <v>Baltics</v>
      </c>
      <c r="J1076" t="str">
        <f>PROPER(shipments[[#This Row],[delivery_status]])</f>
        <v>In Transit</v>
      </c>
      <c r="K1076" t="s">
        <v>6977</v>
      </c>
    </row>
    <row r="1077" spans="1:11">
      <c r="A1077" t="s">
        <v>8013</v>
      </c>
      <c r="B1077" t="s">
        <v>1927</v>
      </c>
      <c r="C1077" t="s">
        <v>6931</v>
      </c>
      <c r="D1077" s="1">
        <v>45170</v>
      </c>
      <c r="E1077" s="1">
        <v>45177</v>
      </c>
      <c r="F1077" s="1">
        <v>45177</v>
      </c>
      <c r="G1077">
        <v>30.18</v>
      </c>
      <c r="H10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077" t="str">
        <f>IFERROR(INDEX(Raw_orders!G:G, MATCH(shipments[[#This Row],[order_id]],Raw_orders!A:A, 0)), "Unknown")</f>
        <v>Nordics</v>
      </c>
      <c r="J1077" t="str">
        <f>PROPER(shipments[[#This Row],[delivery_status]])</f>
        <v>Delivered</v>
      </c>
      <c r="K1077" t="s">
        <v>6922</v>
      </c>
    </row>
    <row r="1078" spans="1:11">
      <c r="A1078" t="s">
        <v>8014</v>
      </c>
      <c r="B1078" t="s">
        <v>1928</v>
      </c>
      <c r="C1078" t="s">
        <v>6935</v>
      </c>
      <c r="D1078" s="1">
        <v>45270</v>
      </c>
      <c r="E1078" s="1">
        <v>45280</v>
      </c>
      <c r="F1078" s="1">
        <v>45279</v>
      </c>
      <c r="G1078">
        <v>39.53</v>
      </c>
      <c r="H10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078" t="str">
        <f>IFERROR(INDEX(Raw_orders!G:G, MATCH(shipments[[#This Row],[order_id]],Raw_orders!A:A, 0)), "Unknown")</f>
        <v>Central Europe</v>
      </c>
      <c r="J1078" t="str">
        <f>PROPER(shipments[[#This Row],[delivery_status]])</f>
        <v>Delivered</v>
      </c>
      <c r="K1078" t="s">
        <v>6922</v>
      </c>
    </row>
    <row r="1079" spans="1:11">
      <c r="A1079" t="s">
        <v>8015</v>
      </c>
      <c r="B1079" t="s">
        <v>1929</v>
      </c>
      <c r="C1079" t="s">
        <v>6928</v>
      </c>
      <c r="D1079" s="1">
        <v>45286</v>
      </c>
      <c r="E1079" s="1">
        <v>45288</v>
      </c>
      <c r="F1079" s="1">
        <v>45291</v>
      </c>
      <c r="G1079">
        <v>49.12</v>
      </c>
      <c r="H10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79" t="str">
        <f>IFERROR(INDEX(Raw_orders!G:G, MATCH(shipments[[#This Row],[order_id]],Raw_orders!A:A, 0)), "Unknown")</f>
        <v>Central Europe</v>
      </c>
      <c r="J1079" t="str">
        <f>PROPER(shipments[[#This Row],[delivery_status]])</f>
        <v>Delivered</v>
      </c>
      <c r="K1079" t="s">
        <v>6929</v>
      </c>
    </row>
    <row r="1080" spans="1:11">
      <c r="A1080" t="s">
        <v>8016</v>
      </c>
      <c r="B1080" t="s">
        <v>1930</v>
      </c>
      <c r="C1080" t="s">
        <v>6925</v>
      </c>
      <c r="D1080" s="1">
        <v>45415</v>
      </c>
      <c r="E1080" s="1">
        <v>45418</v>
      </c>
      <c r="F1080" s="1">
        <v>45418</v>
      </c>
      <c r="G1080">
        <v>5.23</v>
      </c>
      <c r="H10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080" t="str">
        <f>IFERROR(INDEX(Raw_orders!G:G, MATCH(shipments[[#This Row],[order_id]],Raw_orders!A:A, 0)), "Unknown")</f>
        <v>Baltics</v>
      </c>
      <c r="J1080" t="str">
        <f>PROPER(shipments[[#This Row],[delivery_status]])</f>
        <v>Delivered</v>
      </c>
      <c r="K1080" t="s">
        <v>6922</v>
      </c>
    </row>
    <row r="1081" spans="1:11">
      <c r="A1081" t="s">
        <v>8017</v>
      </c>
      <c r="B1081" t="s">
        <v>1931</v>
      </c>
      <c r="C1081" t="s">
        <v>6931</v>
      </c>
      <c r="D1081" s="1">
        <v>45552</v>
      </c>
      <c r="E1081" s="1">
        <v>45562</v>
      </c>
      <c r="F1081" s="1">
        <v>45562</v>
      </c>
      <c r="G1081">
        <v>56.76</v>
      </c>
      <c r="H10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081" t="str">
        <f>IFERROR(INDEX(Raw_orders!G:G, MATCH(shipments[[#This Row],[order_id]],Raw_orders!A:A, 0)), "Unknown")</f>
        <v>Nordics</v>
      </c>
      <c r="J1081" t="str">
        <f>PROPER(shipments[[#This Row],[delivery_status]])</f>
        <v>Delivered</v>
      </c>
      <c r="K1081" t="s">
        <v>6926</v>
      </c>
    </row>
    <row r="1082" spans="1:11">
      <c r="A1082" t="s">
        <v>8018</v>
      </c>
      <c r="B1082" t="s">
        <v>1932</v>
      </c>
      <c r="C1082" t="s">
        <v>6931</v>
      </c>
      <c r="D1082" s="1">
        <v>45152</v>
      </c>
      <c r="E1082" s="1">
        <v>45157</v>
      </c>
      <c r="F1082" s="1">
        <v>45157</v>
      </c>
      <c r="G1082">
        <v>31.56</v>
      </c>
      <c r="H10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082" t="str">
        <f>IFERROR(INDEX(Raw_orders!G:G, MATCH(shipments[[#This Row],[order_id]],Raw_orders!A:A, 0)), "Unknown")</f>
        <v>Nordics</v>
      </c>
      <c r="J1082" t="str">
        <f>PROPER(shipments[[#This Row],[delivery_status]])</f>
        <v>Delivered</v>
      </c>
      <c r="K1082" t="s">
        <v>6926</v>
      </c>
    </row>
    <row r="1083" spans="1:11">
      <c r="A1083" t="s">
        <v>8019</v>
      </c>
      <c r="B1083" t="s">
        <v>1933</v>
      </c>
      <c r="C1083" t="s">
        <v>6928</v>
      </c>
      <c r="D1083" s="1">
        <v>45050</v>
      </c>
      <c r="E1083" s="1">
        <v>45057</v>
      </c>
      <c r="F1083" s="1">
        <v>45060</v>
      </c>
      <c r="G1083">
        <v>24.24</v>
      </c>
      <c r="H10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83" t="str">
        <f>IFERROR(INDEX(Raw_orders!G:G, MATCH(shipments[[#This Row],[order_id]],Raw_orders!A:A, 0)), "Unknown")</f>
        <v>Nordics</v>
      </c>
      <c r="J1083" t="str">
        <f>PROPER(shipments[[#This Row],[delivery_status]])</f>
        <v>Delivered</v>
      </c>
      <c r="K1083" t="s">
        <v>6929</v>
      </c>
    </row>
    <row r="1084" spans="1:11">
      <c r="A1084" t="s">
        <v>8020</v>
      </c>
      <c r="B1084" t="s">
        <v>1934</v>
      </c>
      <c r="C1084" t="s">
        <v>6921</v>
      </c>
      <c r="D1084" s="1">
        <v>45600</v>
      </c>
      <c r="E1084" s="1">
        <v>45607</v>
      </c>
      <c r="F1084" s="1">
        <v>45609</v>
      </c>
      <c r="G1084">
        <v>41.16</v>
      </c>
      <c r="H10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84" t="str">
        <f>IFERROR(INDEX(Raw_orders!G:G, MATCH(shipments[[#This Row],[order_id]],Raw_orders!A:A, 0)), "Unknown")</f>
        <v>Central Europe</v>
      </c>
      <c r="J1084" t="str">
        <f>PROPER(shipments[[#This Row],[delivery_status]])</f>
        <v>Delivered</v>
      </c>
      <c r="K1084" t="s">
        <v>6926</v>
      </c>
    </row>
    <row r="1085" spans="1:11">
      <c r="A1085" t="s">
        <v>8021</v>
      </c>
      <c r="B1085" t="s">
        <v>1935</v>
      </c>
      <c r="C1085" t="s">
        <v>6940</v>
      </c>
      <c r="D1085" s="1">
        <v>45579</v>
      </c>
      <c r="E1085" s="1">
        <v>45584</v>
      </c>
      <c r="F1085" s="1">
        <v>45598</v>
      </c>
      <c r="G1085">
        <v>28.7</v>
      </c>
      <c r="H10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85" t="str">
        <f>IFERROR(INDEX(Raw_orders!G:G, MATCH(shipments[[#This Row],[order_id]],Raw_orders!A:A, 0)), "Unknown")</f>
        <v>Nordics</v>
      </c>
      <c r="J1085" t="str">
        <f>PROPER(shipments[[#This Row],[delivery_status]])</f>
        <v>Delivered</v>
      </c>
      <c r="K1085" t="s">
        <v>6922</v>
      </c>
    </row>
    <row r="1086" spans="1:11">
      <c r="A1086" t="s">
        <v>8022</v>
      </c>
      <c r="B1086" t="s">
        <v>1936</v>
      </c>
      <c r="C1086" t="s">
        <v>6931</v>
      </c>
      <c r="D1086" s="1">
        <v>45106</v>
      </c>
      <c r="E1086" s="1">
        <v>45108</v>
      </c>
      <c r="F1086" s="1">
        <v>45108</v>
      </c>
      <c r="G1086">
        <v>41.29</v>
      </c>
      <c r="H10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086" t="str">
        <f>IFERROR(INDEX(Raw_orders!G:G, MATCH(shipments[[#This Row],[order_id]],Raw_orders!A:A, 0)), "Unknown")</f>
        <v>Central Europe</v>
      </c>
      <c r="J1086" t="str">
        <f>PROPER(shipments[[#This Row],[delivery_status]])</f>
        <v>Delivered</v>
      </c>
      <c r="K1086" t="s">
        <v>6929</v>
      </c>
    </row>
    <row r="1087" spans="1:11">
      <c r="A1087" t="s">
        <v>8023</v>
      </c>
      <c r="B1087" t="s">
        <v>1937</v>
      </c>
      <c r="C1087" t="s">
        <v>6931</v>
      </c>
      <c r="D1087" s="1">
        <v>45275</v>
      </c>
      <c r="E1087" s="1">
        <v>45285</v>
      </c>
      <c r="F1087" s="1">
        <v>45286</v>
      </c>
      <c r="G1087">
        <v>29.76</v>
      </c>
      <c r="H10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87" t="str">
        <f>IFERROR(INDEX(Raw_orders!G:G, MATCH(shipments[[#This Row],[order_id]],Raw_orders!A:A, 0)), "Unknown")</f>
        <v>Nordics</v>
      </c>
      <c r="J1087" t="str">
        <f>PROPER(shipments[[#This Row],[delivery_status]])</f>
        <v>Delivered</v>
      </c>
      <c r="K1087" t="s">
        <v>6926</v>
      </c>
    </row>
    <row r="1088" spans="1:11">
      <c r="A1088" t="s">
        <v>8024</v>
      </c>
      <c r="B1088" t="s">
        <v>1938</v>
      </c>
      <c r="C1088" t="s">
        <v>6940</v>
      </c>
      <c r="D1088" s="1">
        <v>45278</v>
      </c>
      <c r="E1088" s="1">
        <v>45283</v>
      </c>
      <c r="F1088" s="1">
        <v>45291</v>
      </c>
      <c r="G1088">
        <v>61.64</v>
      </c>
      <c r="H10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88" t="str">
        <f>IFERROR(INDEX(Raw_orders!G:G, MATCH(shipments[[#This Row],[order_id]],Raw_orders!A:A, 0)), "Unknown")</f>
        <v>Nordics</v>
      </c>
      <c r="J1088" t="str">
        <f>PROPER(shipments[[#This Row],[delivery_status]])</f>
        <v>Delivered</v>
      </c>
      <c r="K1088" t="s">
        <v>6922</v>
      </c>
    </row>
    <row r="1089" spans="1:11">
      <c r="A1089" t="s">
        <v>8025</v>
      </c>
      <c r="B1089" t="s">
        <v>1939</v>
      </c>
      <c r="C1089" t="s">
        <v>6956</v>
      </c>
      <c r="D1089" s="1">
        <v>44978</v>
      </c>
      <c r="E1089" s="1">
        <v>44985</v>
      </c>
      <c r="F1089" s="1"/>
      <c r="G1089">
        <v>45.69</v>
      </c>
      <c r="H10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089" t="str">
        <f>IFERROR(INDEX(Raw_orders!G:G, MATCH(shipments[[#This Row],[order_id]],Raw_orders!A:A, 0)), "Unknown")</f>
        <v>Nordics</v>
      </c>
      <c r="J1089" t="str">
        <f>PROPER(shipments[[#This Row],[delivery_status]])</f>
        <v>In Transit</v>
      </c>
      <c r="K1089" t="s">
        <v>6977</v>
      </c>
    </row>
    <row r="1090" spans="1:11">
      <c r="A1090" t="s">
        <v>8026</v>
      </c>
      <c r="B1090" t="s">
        <v>1940</v>
      </c>
      <c r="C1090" t="s">
        <v>6928</v>
      </c>
      <c r="D1090" s="1">
        <v>45124</v>
      </c>
      <c r="E1090" s="1">
        <v>45129</v>
      </c>
      <c r="F1090" s="1">
        <v>45129</v>
      </c>
      <c r="G1090">
        <v>53.3</v>
      </c>
      <c r="H10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090" t="str">
        <f>IFERROR(INDEX(Raw_orders!G:G, MATCH(shipments[[#This Row],[order_id]],Raw_orders!A:A, 0)), "Unknown")</f>
        <v>Nordics</v>
      </c>
      <c r="J1090" t="str">
        <f>PROPER(shipments[[#This Row],[delivery_status]])</f>
        <v>Delivered</v>
      </c>
      <c r="K1090" t="s">
        <v>6922</v>
      </c>
    </row>
    <row r="1091" spans="1:11">
      <c r="A1091" t="s">
        <v>8027</v>
      </c>
      <c r="B1091" t="s">
        <v>1941</v>
      </c>
      <c r="C1091" t="s">
        <v>6925</v>
      </c>
      <c r="D1091" s="1">
        <v>45252</v>
      </c>
      <c r="E1091" s="1">
        <v>45262</v>
      </c>
      <c r="F1091" s="1">
        <v>45263</v>
      </c>
      <c r="G1091">
        <v>32.22</v>
      </c>
      <c r="H10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91" t="str">
        <f>IFERROR(INDEX(Raw_orders!G:G, MATCH(shipments[[#This Row],[order_id]],Raw_orders!A:A, 0)), "Unknown")</f>
        <v>Central Europe</v>
      </c>
      <c r="J1091" t="str">
        <f>PROPER(shipments[[#This Row],[delivery_status]])</f>
        <v>Delivered</v>
      </c>
      <c r="K1091" t="s">
        <v>6929</v>
      </c>
    </row>
    <row r="1092" spans="1:11">
      <c r="A1092" t="s">
        <v>8028</v>
      </c>
      <c r="B1092" t="s">
        <v>1942</v>
      </c>
      <c r="C1092" t="s">
        <v>6935</v>
      </c>
      <c r="D1092" s="1">
        <v>45383</v>
      </c>
      <c r="E1092" s="1">
        <v>45386</v>
      </c>
      <c r="F1092" s="1">
        <v>45386</v>
      </c>
      <c r="G1092">
        <v>63.33</v>
      </c>
      <c r="H10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092" t="str">
        <f>IFERROR(INDEX(Raw_orders!G:G, MATCH(shipments[[#This Row],[order_id]],Raw_orders!A:A, 0)), "Unknown")</f>
        <v>Baltics</v>
      </c>
      <c r="J1092" t="str">
        <f>PROPER(shipments[[#This Row],[delivery_status]])</f>
        <v>Delivered</v>
      </c>
      <c r="K1092" t="s">
        <v>6929</v>
      </c>
    </row>
    <row r="1093" spans="1:11">
      <c r="A1093" t="s">
        <v>8029</v>
      </c>
      <c r="B1093" t="s">
        <v>1943</v>
      </c>
      <c r="C1093" t="s">
        <v>6925</v>
      </c>
      <c r="D1093" s="1">
        <v>45427</v>
      </c>
      <c r="E1093" s="1">
        <v>45432</v>
      </c>
      <c r="F1093" s="1">
        <v>45434</v>
      </c>
      <c r="G1093">
        <v>59.4</v>
      </c>
      <c r="H10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93" t="str">
        <f>IFERROR(INDEX(Raw_orders!G:G, MATCH(shipments[[#This Row],[order_id]],Raw_orders!A:A, 0)), "Unknown")</f>
        <v>Baltics</v>
      </c>
      <c r="J1093" t="str">
        <f>PROPER(shipments[[#This Row],[delivery_status]])</f>
        <v>Delivered</v>
      </c>
      <c r="K1093" t="s">
        <v>6922</v>
      </c>
    </row>
    <row r="1094" spans="1:11">
      <c r="A1094" t="s">
        <v>8030</v>
      </c>
      <c r="B1094" t="s">
        <v>1944</v>
      </c>
      <c r="C1094" t="s">
        <v>6949</v>
      </c>
      <c r="D1094" s="1">
        <v>45366</v>
      </c>
      <c r="E1094" s="1">
        <v>45369</v>
      </c>
      <c r="F1094" s="1">
        <v>45369</v>
      </c>
      <c r="G1094">
        <v>62.4</v>
      </c>
      <c r="H10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094" t="str">
        <f>IFERROR(INDEX(Raw_orders!G:G, MATCH(shipments[[#This Row],[order_id]],Raw_orders!A:A, 0)), "Unknown")</f>
        <v>Central Europe</v>
      </c>
      <c r="J1094" t="str">
        <f>PROPER(shipments[[#This Row],[delivery_status]])</f>
        <v>Delivered</v>
      </c>
      <c r="K1094" t="s">
        <v>6926</v>
      </c>
    </row>
    <row r="1095" spans="1:11">
      <c r="A1095" t="s">
        <v>8031</v>
      </c>
      <c r="B1095" t="s">
        <v>1945</v>
      </c>
      <c r="C1095" t="s">
        <v>6928</v>
      </c>
      <c r="D1095" s="1">
        <v>45313</v>
      </c>
      <c r="E1095" s="1">
        <v>45316</v>
      </c>
      <c r="F1095" s="1">
        <v>45321</v>
      </c>
      <c r="G1095">
        <v>61.48</v>
      </c>
      <c r="H10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95" t="str">
        <f>IFERROR(INDEX(Raw_orders!G:G, MATCH(shipments[[#This Row],[order_id]],Raw_orders!A:A, 0)), "Unknown")</f>
        <v>Nordics</v>
      </c>
      <c r="J1095" t="str">
        <f>PROPER(shipments[[#This Row],[delivery_status]])</f>
        <v>Delivered</v>
      </c>
      <c r="K1095" t="s">
        <v>6926</v>
      </c>
    </row>
    <row r="1096" spans="1:11">
      <c r="A1096" t="s">
        <v>8032</v>
      </c>
      <c r="B1096" t="s">
        <v>1946</v>
      </c>
      <c r="C1096" t="s">
        <v>6921</v>
      </c>
      <c r="D1096" s="1">
        <v>45281</v>
      </c>
      <c r="E1096" s="1">
        <v>45286</v>
      </c>
      <c r="F1096" s="1">
        <v>45294</v>
      </c>
      <c r="G1096">
        <v>9.76</v>
      </c>
      <c r="H10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096" t="str">
        <f>IFERROR(INDEX(Raw_orders!G:G, MATCH(shipments[[#This Row],[order_id]],Raw_orders!A:A, 0)), "Unknown")</f>
        <v>Nordics</v>
      </c>
      <c r="J1096" t="str">
        <f>PROPER(shipments[[#This Row],[delivery_status]])</f>
        <v>Delivered</v>
      </c>
      <c r="K1096" t="s">
        <v>6929</v>
      </c>
    </row>
    <row r="1097" spans="1:11">
      <c r="A1097" t="s">
        <v>8033</v>
      </c>
      <c r="B1097" t="s">
        <v>1947</v>
      </c>
      <c r="C1097" t="s">
        <v>6938</v>
      </c>
      <c r="D1097" s="1">
        <v>45617</v>
      </c>
      <c r="E1097" s="1">
        <v>45619</v>
      </c>
      <c r="F1097" s="1">
        <v>45618</v>
      </c>
      <c r="G1097">
        <v>15.39</v>
      </c>
      <c r="H10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097" t="str">
        <f>IFERROR(INDEX(Raw_orders!G:G, MATCH(shipments[[#This Row],[order_id]],Raw_orders!A:A, 0)), "Unknown")</f>
        <v>Nordics</v>
      </c>
      <c r="J1097" t="str">
        <f>PROPER(shipments[[#This Row],[delivery_status]])</f>
        <v>Delivered</v>
      </c>
      <c r="K1097" t="s">
        <v>6922</v>
      </c>
    </row>
    <row r="1098" spans="1:11">
      <c r="A1098" t="s">
        <v>8034</v>
      </c>
      <c r="B1098" t="s">
        <v>1947</v>
      </c>
      <c r="C1098" t="s">
        <v>6940</v>
      </c>
      <c r="D1098" s="1">
        <v>45618</v>
      </c>
      <c r="E1098" s="1">
        <v>45621</v>
      </c>
      <c r="F1098" s="1">
        <v>45620</v>
      </c>
      <c r="G1098">
        <v>43.2</v>
      </c>
      <c r="H10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098" t="str">
        <f>IFERROR(INDEX(Raw_orders!G:G, MATCH(shipments[[#This Row],[order_id]],Raw_orders!A:A, 0)), "Unknown")</f>
        <v>Nordics</v>
      </c>
      <c r="J1098" t="str">
        <f>PROPER(shipments[[#This Row],[delivery_status]])</f>
        <v>Delivered</v>
      </c>
      <c r="K1098" t="s">
        <v>6922</v>
      </c>
    </row>
    <row r="1099" spans="1:11">
      <c r="A1099" t="s">
        <v>8035</v>
      </c>
      <c r="B1099" t="s">
        <v>1948</v>
      </c>
      <c r="C1099" t="s">
        <v>6956</v>
      </c>
      <c r="D1099" s="1">
        <v>45290</v>
      </c>
      <c r="E1099" s="1">
        <v>45300</v>
      </c>
      <c r="F1099" s="1">
        <v>45300</v>
      </c>
      <c r="G1099">
        <v>49.1</v>
      </c>
      <c r="H10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099" t="str">
        <f>IFERROR(INDEX(Raw_orders!G:G, MATCH(shipments[[#This Row],[order_id]],Raw_orders!A:A, 0)), "Unknown")</f>
        <v>Nordics</v>
      </c>
      <c r="J1099" t="str">
        <f>PROPER(shipments[[#This Row],[delivery_status]])</f>
        <v>Delivered</v>
      </c>
      <c r="K1099" t="s">
        <v>6929</v>
      </c>
    </row>
    <row r="1100" spans="1:11">
      <c r="A1100" t="s">
        <v>8036</v>
      </c>
      <c r="B1100" t="s">
        <v>1949</v>
      </c>
      <c r="C1100" t="s">
        <v>6935</v>
      </c>
      <c r="D1100" s="1">
        <v>45508</v>
      </c>
      <c r="E1100" s="1">
        <v>45518</v>
      </c>
      <c r="F1100" s="1">
        <v>45519</v>
      </c>
      <c r="G1100">
        <v>31.45</v>
      </c>
      <c r="H11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00" t="str">
        <f>IFERROR(INDEX(Raw_orders!G:G, MATCH(shipments[[#This Row],[order_id]],Raw_orders!A:A, 0)), "Unknown")</f>
        <v>Nordics</v>
      </c>
      <c r="J1100" t="str">
        <f>PROPER(shipments[[#This Row],[delivery_status]])</f>
        <v>Delivered</v>
      </c>
      <c r="K1100" t="s">
        <v>6926</v>
      </c>
    </row>
    <row r="1101" spans="1:11">
      <c r="A1101" t="s">
        <v>8037</v>
      </c>
      <c r="B1101" t="s">
        <v>1950</v>
      </c>
      <c r="C1101" t="s">
        <v>6938</v>
      </c>
      <c r="D1101" s="1">
        <v>45030</v>
      </c>
      <c r="E1101" s="1">
        <v>45033</v>
      </c>
      <c r="F1101" s="1"/>
      <c r="G1101">
        <v>40.799999999999997</v>
      </c>
      <c r="H11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101" t="str">
        <f>IFERROR(INDEX(Raw_orders!G:G, MATCH(shipments[[#This Row],[order_id]],Raw_orders!A:A, 0)), "Unknown")</f>
        <v>Central Europe</v>
      </c>
      <c r="J1101" t="str">
        <f>PROPER(shipments[[#This Row],[delivery_status]])</f>
        <v>In Transit</v>
      </c>
      <c r="K1101" t="s">
        <v>6977</v>
      </c>
    </row>
    <row r="1102" spans="1:11">
      <c r="A1102" t="s">
        <v>8038</v>
      </c>
      <c r="B1102" t="s">
        <v>1951</v>
      </c>
      <c r="C1102" t="s">
        <v>6956</v>
      </c>
      <c r="D1102" s="1">
        <v>45054</v>
      </c>
      <c r="E1102" s="1">
        <v>45061</v>
      </c>
      <c r="F1102" s="1">
        <v>45075</v>
      </c>
      <c r="G1102">
        <v>43.33</v>
      </c>
      <c r="H11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02" t="str">
        <f>IFERROR(INDEX(Raw_orders!G:G, MATCH(shipments[[#This Row],[order_id]],Raw_orders!A:A, 0)), "Unknown")</f>
        <v>Baltics</v>
      </c>
      <c r="J1102" t="str">
        <f>PROPER(shipments[[#This Row],[delivery_status]])</f>
        <v>Delivered</v>
      </c>
      <c r="K1102" t="s">
        <v>6926</v>
      </c>
    </row>
    <row r="1103" spans="1:11">
      <c r="A1103" t="s">
        <v>8039</v>
      </c>
      <c r="B1103" t="s">
        <v>1952</v>
      </c>
      <c r="C1103" t="s">
        <v>6921</v>
      </c>
      <c r="D1103" s="1">
        <v>45190</v>
      </c>
      <c r="E1103" s="1">
        <v>45193</v>
      </c>
      <c r="F1103" s="1"/>
      <c r="G1103">
        <v>45.02</v>
      </c>
      <c r="H11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103" t="str">
        <f>IFERROR(INDEX(Raw_orders!G:G, MATCH(shipments[[#This Row],[order_id]],Raw_orders!A:A, 0)), "Unknown")</f>
        <v>Central Europe</v>
      </c>
      <c r="J1103" t="str">
        <f>PROPER(shipments[[#This Row],[delivery_status]])</f>
        <v>Cancelled</v>
      </c>
      <c r="K1103" t="s">
        <v>6963</v>
      </c>
    </row>
    <row r="1104" spans="1:11">
      <c r="A1104" t="s">
        <v>8040</v>
      </c>
      <c r="B1104" t="s">
        <v>1953</v>
      </c>
      <c r="C1104" t="s">
        <v>6956</v>
      </c>
      <c r="D1104" s="1">
        <v>45225</v>
      </c>
      <c r="E1104" s="1">
        <v>45232</v>
      </c>
      <c r="F1104" s="1">
        <v>45234</v>
      </c>
      <c r="G1104">
        <v>63.67</v>
      </c>
      <c r="H11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04" t="str">
        <f>IFERROR(INDEX(Raw_orders!G:G, MATCH(shipments[[#This Row],[order_id]],Raw_orders!A:A, 0)), "Unknown")</f>
        <v>Baltics</v>
      </c>
      <c r="J1104" t="str">
        <f>PROPER(shipments[[#This Row],[delivery_status]])</f>
        <v>Delivered</v>
      </c>
      <c r="K1104" t="s">
        <v>6929</v>
      </c>
    </row>
    <row r="1105" spans="1:11">
      <c r="A1105" t="s">
        <v>8041</v>
      </c>
      <c r="B1105" t="s">
        <v>1954</v>
      </c>
      <c r="C1105" t="s">
        <v>6935</v>
      </c>
      <c r="D1105" s="1">
        <v>45550</v>
      </c>
      <c r="E1105" s="1">
        <v>45560</v>
      </c>
      <c r="F1105" s="1">
        <v>45563</v>
      </c>
      <c r="G1105">
        <v>26.81</v>
      </c>
      <c r="H11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05" t="str">
        <f>IFERROR(INDEX(Raw_orders!G:G, MATCH(shipments[[#This Row],[order_id]],Raw_orders!A:A, 0)), "Unknown")</f>
        <v>Baltics</v>
      </c>
      <c r="J1105" t="str">
        <f>PROPER(shipments[[#This Row],[delivery_status]])</f>
        <v>Delivered</v>
      </c>
      <c r="K1105" t="s">
        <v>6922</v>
      </c>
    </row>
    <row r="1106" spans="1:11">
      <c r="A1106" t="s">
        <v>8042</v>
      </c>
      <c r="B1106" t="s">
        <v>1955</v>
      </c>
      <c r="C1106" t="s">
        <v>6928</v>
      </c>
      <c r="D1106" s="1">
        <v>45453</v>
      </c>
      <c r="E1106" s="1">
        <v>45460</v>
      </c>
      <c r="F1106" s="1">
        <v>45463</v>
      </c>
      <c r="G1106">
        <v>31.53</v>
      </c>
      <c r="H11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06" t="str">
        <f>IFERROR(INDEX(Raw_orders!G:G, MATCH(shipments[[#This Row],[order_id]],Raw_orders!A:A, 0)), "Unknown")</f>
        <v>Central Europe</v>
      </c>
      <c r="J1106" t="str">
        <f>PROPER(shipments[[#This Row],[delivery_status]])</f>
        <v>Delivered</v>
      </c>
      <c r="K1106" t="s">
        <v>6929</v>
      </c>
    </row>
    <row r="1107" spans="1:11">
      <c r="A1107" t="s">
        <v>8043</v>
      </c>
      <c r="B1107" t="s">
        <v>1956</v>
      </c>
      <c r="C1107" t="s">
        <v>6956</v>
      </c>
      <c r="D1107" s="1">
        <v>45102</v>
      </c>
      <c r="E1107" s="1">
        <v>45104</v>
      </c>
      <c r="F1107" s="1">
        <v>45107</v>
      </c>
      <c r="G1107">
        <v>37.119999999999997</v>
      </c>
      <c r="H11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07" t="str">
        <f>IFERROR(INDEX(Raw_orders!G:G, MATCH(shipments[[#This Row],[order_id]],Raw_orders!A:A, 0)), "Unknown")</f>
        <v>Central Europe</v>
      </c>
      <c r="J1107" t="str">
        <f>PROPER(shipments[[#This Row],[delivery_status]])</f>
        <v>Delivered</v>
      </c>
      <c r="K1107" t="s">
        <v>6926</v>
      </c>
    </row>
    <row r="1108" spans="1:11">
      <c r="A1108" t="s">
        <v>8044</v>
      </c>
      <c r="B1108" t="s">
        <v>1956</v>
      </c>
      <c r="C1108" t="s">
        <v>6938</v>
      </c>
      <c r="D1108" s="1">
        <v>45099</v>
      </c>
      <c r="E1108" s="1">
        <v>45106</v>
      </c>
      <c r="F1108" s="1">
        <v>45114</v>
      </c>
      <c r="G1108">
        <v>21.62</v>
      </c>
      <c r="H11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08" t="str">
        <f>IFERROR(INDEX(Raw_orders!G:G, MATCH(shipments[[#This Row],[order_id]],Raw_orders!A:A, 0)), "Unknown")</f>
        <v>Central Europe</v>
      </c>
      <c r="J1108" t="str">
        <f>PROPER(shipments[[#This Row],[delivery_status]])</f>
        <v>Delivered</v>
      </c>
      <c r="K1108" t="s">
        <v>6922</v>
      </c>
    </row>
    <row r="1109" spans="1:11">
      <c r="A1109" t="s">
        <v>8045</v>
      </c>
      <c r="B1109" t="s">
        <v>1957</v>
      </c>
      <c r="C1109" t="s">
        <v>6956</v>
      </c>
      <c r="D1109" s="1">
        <v>44936</v>
      </c>
      <c r="E1109" s="1">
        <v>44946</v>
      </c>
      <c r="F1109" s="1">
        <v>44960</v>
      </c>
      <c r="G1109">
        <v>62.27</v>
      </c>
      <c r="H11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09" t="str">
        <f>IFERROR(INDEX(Raw_orders!G:G, MATCH(shipments[[#This Row],[order_id]],Raw_orders!A:A, 0)), "Unknown")</f>
        <v>Nordics</v>
      </c>
      <c r="J1109" t="str">
        <f>PROPER(shipments[[#This Row],[delivery_status]])</f>
        <v>Delivered</v>
      </c>
      <c r="K1109" t="s">
        <v>6929</v>
      </c>
    </row>
    <row r="1110" spans="1:11">
      <c r="A1110" t="s">
        <v>8046</v>
      </c>
      <c r="B1110" t="s">
        <v>1958</v>
      </c>
      <c r="C1110" t="s">
        <v>6956</v>
      </c>
      <c r="D1110" s="1">
        <v>45414</v>
      </c>
      <c r="E1110" s="1">
        <v>45419</v>
      </c>
      <c r="F1110" s="1">
        <v>45423</v>
      </c>
      <c r="G1110">
        <v>9.7799999999999994</v>
      </c>
      <c r="H11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10" t="str">
        <f>IFERROR(INDEX(Raw_orders!G:G, MATCH(shipments[[#This Row],[order_id]],Raw_orders!A:A, 0)), "Unknown")</f>
        <v>Baltics</v>
      </c>
      <c r="J1110" t="str">
        <f>PROPER(shipments[[#This Row],[delivery_status]])</f>
        <v>Delivered</v>
      </c>
      <c r="K1110" t="s">
        <v>6926</v>
      </c>
    </row>
    <row r="1111" spans="1:11">
      <c r="A1111" t="s">
        <v>8047</v>
      </c>
      <c r="B1111" t="s">
        <v>1959</v>
      </c>
      <c r="C1111" t="s">
        <v>6928</v>
      </c>
      <c r="D1111" s="1">
        <v>45372</v>
      </c>
      <c r="E1111" s="1">
        <v>45382</v>
      </c>
      <c r="F1111" s="1">
        <v>45384</v>
      </c>
      <c r="G1111">
        <v>58.26</v>
      </c>
      <c r="H11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11" t="str">
        <f>IFERROR(INDEX(Raw_orders!G:G, MATCH(shipments[[#This Row],[order_id]],Raw_orders!A:A, 0)), "Unknown")</f>
        <v>Central Europe</v>
      </c>
      <c r="J1111" t="str">
        <f>PROPER(shipments[[#This Row],[delivery_status]])</f>
        <v>Delivered</v>
      </c>
      <c r="K1111" t="s">
        <v>6929</v>
      </c>
    </row>
    <row r="1112" spans="1:11">
      <c r="A1112" t="s">
        <v>8048</v>
      </c>
      <c r="B1112" t="s">
        <v>1960</v>
      </c>
      <c r="C1112" t="s">
        <v>6938</v>
      </c>
      <c r="D1112" s="1">
        <v>45008</v>
      </c>
      <c r="E1112" s="1">
        <v>45018</v>
      </c>
      <c r="F1112" s="1">
        <v>45018</v>
      </c>
      <c r="G1112">
        <v>8.2899999999999991</v>
      </c>
      <c r="H11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112" t="str">
        <f>IFERROR(INDEX(Raw_orders!G:G, MATCH(shipments[[#This Row],[order_id]],Raw_orders!A:A, 0)), "Unknown")</f>
        <v>Nordics</v>
      </c>
      <c r="J1112" t="str">
        <f>PROPER(shipments[[#This Row],[delivery_status]])</f>
        <v>Delivered</v>
      </c>
      <c r="K1112" t="s">
        <v>6922</v>
      </c>
    </row>
    <row r="1113" spans="1:11">
      <c r="A1113" t="s">
        <v>8049</v>
      </c>
      <c r="B1113" t="s">
        <v>1961</v>
      </c>
      <c r="C1113" t="s">
        <v>6925</v>
      </c>
      <c r="D1113" s="1">
        <v>45282</v>
      </c>
      <c r="E1113" s="1">
        <v>45289</v>
      </c>
      <c r="F1113" s="1">
        <v>45294</v>
      </c>
      <c r="G1113">
        <v>21.99</v>
      </c>
      <c r="H11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13" t="str">
        <f>IFERROR(INDEX(Raw_orders!G:G, MATCH(shipments[[#This Row],[order_id]],Raw_orders!A:A, 0)), "Unknown")</f>
        <v>Central Europe</v>
      </c>
      <c r="J1113" t="str">
        <f>PROPER(shipments[[#This Row],[delivery_status]])</f>
        <v>Delivered</v>
      </c>
      <c r="K1113" t="s">
        <v>6929</v>
      </c>
    </row>
    <row r="1114" spans="1:11">
      <c r="A1114" t="s">
        <v>8050</v>
      </c>
      <c r="B1114" t="s">
        <v>1962</v>
      </c>
      <c r="C1114" t="s">
        <v>6935</v>
      </c>
      <c r="D1114" s="1">
        <v>45610</v>
      </c>
      <c r="E1114" s="1">
        <v>45620</v>
      </c>
      <c r="F1114" s="1">
        <v>45619</v>
      </c>
      <c r="G1114">
        <v>16.88</v>
      </c>
      <c r="H11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114" t="str">
        <f>IFERROR(INDEX(Raw_orders!G:G, MATCH(shipments[[#This Row],[order_id]],Raw_orders!A:A, 0)), "Unknown")</f>
        <v>Nordics</v>
      </c>
      <c r="J1114" t="str">
        <f>PROPER(shipments[[#This Row],[delivery_status]])</f>
        <v>Delivered</v>
      </c>
      <c r="K1114" t="s">
        <v>6926</v>
      </c>
    </row>
    <row r="1115" spans="1:11">
      <c r="A1115" t="s">
        <v>8051</v>
      </c>
      <c r="B1115" t="s">
        <v>1963</v>
      </c>
      <c r="C1115" t="s">
        <v>6938</v>
      </c>
      <c r="D1115" s="1">
        <v>45021</v>
      </c>
      <c r="E1115" s="1">
        <v>45024</v>
      </c>
      <c r="F1115" s="1">
        <v>45023</v>
      </c>
      <c r="G1115">
        <v>61.6</v>
      </c>
      <c r="H11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115" t="str">
        <f>IFERROR(INDEX(Raw_orders!G:G, MATCH(shipments[[#This Row],[order_id]],Raw_orders!A:A, 0)), "Unknown")</f>
        <v>Nordics</v>
      </c>
      <c r="J1115" t="str">
        <f>PROPER(shipments[[#This Row],[delivery_status]])</f>
        <v>Delivered</v>
      </c>
      <c r="K1115" t="s">
        <v>6929</v>
      </c>
    </row>
    <row r="1116" spans="1:11">
      <c r="A1116" t="s">
        <v>8052</v>
      </c>
      <c r="B1116" t="s">
        <v>1964</v>
      </c>
      <c r="C1116" t="s">
        <v>6925</v>
      </c>
      <c r="D1116" s="1">
        <v>45107</v>
      </c>
      <c r="E1116" s="1">
        <v>45117</v>
      </c>
      <c r="F1116" s="1">
        <v>45122</v>
      </c>
      <c r="G1116">
        <v>39.5</v>
      </c>
      <c r="H11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16" t="str">
        <f>IFERROR(INDEX(Raw_orders!G:G, MATCH(shipments[[#This Row],[order_id]],Raw_orders!A:A, 0)), "Unknown")</f>
        <v>Baltics</v>
      </c>
      <c r="J1116" t="str">
        <f>PROPER(shipments[[#This Row],[delivery_status]])</f>
        <v>Delivered</v>
      </c>
      <c r="K1116" t="s">
        <v>6926</v>
      </c>
    </row>
    <row r="1117" spans="1:11">
      <c r="A1117" t="s">
        <v>8053</v>
      </c>
      <c r="B1117" t="s">
        <v>1965</v>
      </c>
      <c r="C1117" t="s">
        <v>6921</v>
      </c>
      <c r="D1117" s="1">
        <v>45573</v>
      </c>
      <c r="E1117" s="1">
        <v>45578</v>
      </c>
      <c r="F1117" s="1">
        <v>45578</v>
      </c>
      <c r="G1117">
        <v>21.43</v>
      </c>
      <c r="H11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117" t="str">
        <f>IFERROR(INDEX(Raw_orders!G:G, MATCH(shipments[[#This Row],[order_id]],Raw_orders!A:A, 0)), "Unknown")</f>
        <v>Nordics</v>
      </c>
      <c r="J1117" t="str">
        <f>PROPER(shipments[[#This Row],[delivery_status]])</f>
        <v>Delivered</v>
      </c>
      <c r="K1117" t="s">
        <v>6922</v>
      </c>
    </row>
    <row r="1118" spans="1:11">
      <c r="A1118" t="s">
        <v>8054</v>
      </c>
      <c r="B1118" t="s">
        <v>1966</v>
      </c>
      <c r="C1118" t="s">
        <v>6931</v>
      </c>
      <c r="D1118" s="1">
        <v>45531</v>
      </c>
      <c r="E1118" s="1">
        <v>45538</v>
      </c>
      <c r="F1118" s="1">
        <v>45537</v>
      </c>
      <c r="G1118">
        <v>55.99</v>
      </c>
      <c r="H11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118" t="str">
        <f>IFERROR(INDEX(Raw_orders!G:G, MATCH(shipments[[#This Row],[order_id]],Raw_orders!A:A, 0)), "Unknown")</f>
        <v>Baltics</v>
      </c>
      <c r="J1118" t="str">
        <f>PROPER(shipments[[#This Row],[delivery_status]])</f>
        <v>Delivered</v>
      </c>
      <c r="K1118" t="s">
        <v>6929</v>
      </c>
    </row>
    <row r="1119" spans="1:11">
      <c r="A1119" t="s">
        <v>8055</v>
      </c>
      <c r="B1119" t="s">
        <v>1967</v>
      </c>
      <c r="C1119" t="s">
        <v>6935</v>
      </c>
      <c r="D1119" s="1">
        <v>45334</v>
      </c>
      <c r="E1119" s="1">
        <v>45341</v>
      </c>
      <c r="F1119" s="1">
        <v>45343</v>
      </c>
      <c r="G1119">
        <v>41.7</v>
      </c>
      <c r="H11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19" t="str">
        <f>IFERROR(INDEX(Raw_orders!G:G, MATCH(shipments[[#This Row],[order_id]],Raw_orders!A:A, 0)), "Unknown")</f>
        <v>Nordics</v>
      </c>
      <c r="J1119" t="str">
        <f>PROPER(shipments[[#This Row],[delivery_status]])</f>
        <v>Delivered</v>
      </c>
      <c r="K1119" t="s">
        <v>6922</v>
      </c>
    </row>
    <row r="1120" spans="1:11">
      <c r="A1120" t="s">
        <v>8056</v>
      </c>
      <c r="B1120" t="s">
        <v>1968</v>
      </c>
      <c r="C1120" t="s">
        <v>6938</v>
      </c>
      <c r="D1120" s="1">
        <v>45185</v>
      </c>
      <c r="E1120" s="1">
        <v>45188</v>
      </c>
      <c r="F1120" s="1">
        <v>45187</v>
      </c>
      <c r="G1120">
        <v>18.48</v>
      </c>
      <c r="H11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120" t="str">
        <f>IFERROR(INDEX(Raw_orders!G:G, MATCH(shipments[[#This Row],[order_id]],Raw_orders!A:A, 0)), "Unknown")</f>
        <v>Unknown</v>
      </c>
      <c r="J1120" t="str">
        <f>PROPER(shipments[[#This Row],[delivery_status]])</f>
        <v>Delivered</v>
      </c>
      <c r="K1120" t="s">
        <v>6926</v>
      </c>
    </row>
    <row r="1121" spans="1:11">
      <c r="A1121" t="s">
        <v>8057</v>
      </c>
      <c r="B1121" t="s">
        <v>1969</v>
      </c>
      <c r="C1121" t="s">
        <v>6940</v>
      </c>
      <c r="D1121" s="1">
        <v>45554</v>
      </c>
      <c r="E1121" s="1">
        <v>45556</v>
      </c>
      <c r="F1121" s="1">
        <v>45556</v>
      </c>
      <c r="H11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121" t="str">
        <f>IFERROR(INDEX(Raw_orders!G:G, MATCH(shipments[[#This Row],[order_id]],Raw_orders!A:A, 0)), "Unknown")</f>
        <v>Baltics</v>
      </c>
      <c r="J1121" t="str">
        <f>PROPER(shipments[[#This Row],[delivery_status]])</f>
        <v>Delivered</v>
      </c>
      <c r="K1121" t="s">
        <v>6922</v>
      </c>
    </row>
    <row r="1122" spans="1:11">
      <c r="A1122" t="s">
        <v>8058</v>
      </c>
      <c r="B1122" t="s">
        <v>1970</v>
      </c>
      <c r="C1122" t="s">
        <v>6956</v>
      </c>
      <c r="D1122" s="1">
        <v>45378</v>
      </c>
      <c r="E1122" s="1">
        <v>45383</v>
      </c>
      <c r="F1122" s="1"/>
      <c r="G1122">
        <v>32.69</v>
      </c>
      <c r="H11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122" t="str">
        <f>IFERROR(INDEX(Raw_orders!G:G, MATCH(shipments[[#This Row],[order_id]],Raw_orders!A:A, 0)), "Unknown")</f>
        <v>Central Europe</v>
      </c>
      <c r="J1122" t="str">
        <f>PROPER(shipments[[#This Row],[delivery_status]])</f>
        <v>Cancelled</v>
      </c>
      <c r="K1122" t="s">
        <v>6979</v>
      </c>
    </row>
    <row r="1123" spans="1:11">
      <c r="A1123" t="s">
        <v>8059</v>
      </c>
      <c r="B1123" t="s">
        <v>1971</v>
      </c>
      <c r="C1123" t="s">
        <v>6931</v>
      </c>
      <c r="D1123" s="1">
        <v>45604</v>
      </c>
      <c r="E1123" s="1">
        <v>45614</v>
      </c>
      <c r="F1123" s="1">
        <v>45614</v>
      </c>
      <c r="G1123">
        <v>36.4</v>
      </c>
      <c r="H11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123" t="str">
        <f>IFERROR(INDEX(Raw_orders!G:G, MATCH(shipments[[#This Row],[order_id]],Raw_orders!A:A, 0)), "Unknown")</f>
        <v>Nordics</v>
      </c>
      <c r="J1123" t="str">
        <f>PROPER(shipments[[#This Row],[delivery_status]])</f>
        <v>Delivered</v>
      </c>
      <c r="K1123" t="s">
        <v>6922</v>
      </c>
    </row>
    <row r="1124" spans="1:11">
      <c r="A1124" t="s">
        <v>8060</v>
      </c>
      <c r="B1124" t="s">
        <v>1972</v>
      </c>
      <c r="C1124" t="s">
        <v>6928</v>
      </c>
      <c r="D1124" s="1">
        <v>45564</v>
      </c>
      <c r="E1124" s="1">
        <v>45571</v>
      </c>
      <c r="F1124" s="1">
        <v>45579</v>
      </c>
      <c r="G1124">
        <v>52.87</v>
      </c>
      <c r="H11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24" t="str">
        <f>IFERROR(INDEX(Raw_orders!G:G, MATCH(shipments[[#This Row],[order_id]],Raw_orders!A:A, 0)), "Unknown")</f>
        <v>Central Europe</v>
      </c>
      <c r="J1124" t="str">
        <f>PROPER(shipments[[#This Row],[delivery_status]])</f>
        <v>Delivered</v>
      </c>
      <c r="K1124" t="s">
        <v>6922</v>
      </c>
    </row>
    <row r="1125" spans="1:11">
      <c r="A1125" t="s">
        <v>8061</v>
      </c>
      <c r="B1125" t="s">
        <v>1973</v>
      </c>
      <c r="C1125" t="s">
        <v>6940</v>
      </c>
      <c r="D1125" s="1">
        <v>45624</v>
      </c>
      <c r="E1125" s="1">
        <v>45629</v>
      </c>
      <c r="F1125" s="1"/>
      <c r="G1125">
        <v>38.369999999999997</v>
      </c>
      <c r="H11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125" t="str">
        <f>IFERROR(INDEX(Raw_orders!G:G, MATCH(shipments[[#This Row],[order_id]],Raw_orders!A:A, 0)), "Unknown")</f>
        <v>Central Europe</v>
      </c>
      <c r="J1125" t="str">
        <f>PROPER(shipments[[#This Row],[delivery_status]])</f>
        <v>In Transit</v>
      </c>
      <c r="K1125" t="s">
        <v>6958</v>
      </c>
    </row>
    <row r="1126" spans="1:11">
      <c r="A1126" t="s">
        <v>8062</v>
      </c>
      <c r="B1126" t="s">
        <v>1974</v>
      </c>
      <c r="C1126" t="s">
        <v>6938</v>
      </c>
      <c r="D1126" s="1">
        <v>45541</v>
      </c>
      <c r="E1126" s="1">
        <v>45544</v>
      </c>
      <c r="F1126" s="1">
        <v>45547</v>
      </c>
      <c r="G1126">
        <v>61.25</v>
      </c>
      <c r="H11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26" t="str">
        <f>IFERROR(INDEX(Raw_orders!G:G, MATCH(shipments[[#This Row],[order_id]],Raw_orders!A:A, 0)), "Unknown")</f>
        <v>Central Europe</v>
      </c>
      <c r="J1126" t="str">
        <f>PROPER(shipments[[#This Row],[delivery_status]])</f>
        <v>Delivered</v>
      </c>
      <c r="K1126" t="s">
        <v>6929</v>
      </c>
    </row>
    <row r="1127" spans="1:11">
      <c r="A1127" t="s">
        <v>8063</v>
      </c>
      <c r="B1127" t="s">
        <v>1975</v>
      </c>
      <c r="C1127" t="s">
        <v>6938</v>
      </c>
      <c r="D1127" s="1">
        <v>45302</v>
      </c>
      <c r="E1127" s="1">
        <v>45309</v>
      </c>
      <c r="F1127" s="1">
        <v>45311</v>
      </c>
      <c r="H11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27" t="str">
        <f>IFERROR(INDEX(Raw_orders!G:G, MATCH(shipments[[#This Row],[order_id]],Raw_orders!A:A, 0)), "Unknown")</f>
        <v>Central Europe</v>
      </c>
      <c r="J1127" t="str">
        <f>PROPER(shipments[[#This Row],[delivery_status]])</f>
        <v>Delivered</v>
      </c>
      <c r="K1127" t="s">
        <v>6929</v>
      </c>
    </row>
    <row r="1128" spans="1:11">
      <c r="A1128" t="s">
        <v>8064</v>
      </c>
      <c r="B1128" t="s">
        <v>1976</v>
      </c>
      <c r="C1128" t="s">
        <v>6931</v>
      </c>
      <c r="D1128" s="1">
        <v>45600</v>
      </c>
      <c r="E1128" s="1">
        <v>45602</v>
      </c>
      <c r="F1128" s="1">
        <v>45601</v>
      </c>
      <c r="H11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128" t="str">
        <f>IFERROR(INDEX(Raw_orders!G:G, MATCH(shipments[[#This Row],[order_id]],Raw_orders!A:A, 0)), "Unknown")</f>
        <v>Baltics</v>
      </c>
      <c r="J1128" t="str">
        <f>PROPER(shipments[[#This Row],[delivery_status]])</f>
        <v>Delivered</v>
      </c>
      <c r="K1128" t="s">
        <v>6929</v>
      </c>
    </row>
    <row r="1129" spans="1:11">
      <c r="A1129" t="s">
        <v>8065</v>
      </c>
      <c r="B1129" t="s">
        <v>1977</v>
      </c>
      <c r="C1129" t="s">
        <v>6935</v>
      </c>
      <c r="D1129" s="1">
        <v>45043</v>
      </c>
      <c r="E1129" s="1">
        <v>45048</v>
      </c>
      <c r="F1129" s="1"/>
      <c r="G1129">
        <v>7.14</v>
      </c>
      <c r="H11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129" t="str">
        <f>IFERROR(INDEX(Raw_orders!G:G, MATCH(shipments[[#This Row],[order_id]],Raw_orders!A:A, 0)), "Unknown")</f>
        <v>Nordics</v>
      </c>
      <c r="J1129" t="str">
        <f>PROPER(shipments[[#This Row],[delivery_status]])</f>
        <v>In Transit</v>
      </c>
      <c r="K1129" t="s">
        <v>6958</v>
      </c>
    </row>
    <row r="1130" spans="1:11">
      <c r="A1130" t="s">
        <v>8066</v>
      </c>
      <c r="B1130" t="s">
        <v>1978</v>
      </c>
      <c r="C1130" t="s">
        <v>6938</v>
      </c>
      <c r="D1130" s="1">
        <v>45471</v>
      </c>
      <c r="E1130" s="1">
        <v>45474</v>
      </c>
      <c r="F1130" s="1"/>
      <c r="G1130">
        <v>50.47</v>
      </c>
      <c r="H11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130" t="str">
        <f>IFERROR(INDEX(Raw_orders!G:G, MATCH(shipments[[#This Row],[order_id]],Raw_orders!A:A, 0)), "Unknown")</f>
        <v>Central Europe</v>
      </c>
      <c r="J1130" t="str">
        <f>PROPER(shipments[[#This Row],[delivery_status]])</f>
        <v>In Transit</v>
      </c>
      <c r="K1130" t="s">
        <v>6946</v>
      </c>
    </row>
    <row r="1131" spans="1:11">
      <c r="A1131" t="s">
        <v>8067</v>
      </c>
      <c r="B1131" t="s">
        <v>1979</v>
      </c>
      <c r="C1131" t="s">
        <v>6940</v>
      </c>
      <c r="D1131" s="1">
        <v>45597</v>
      </c>
      <c r="E1131" s="1">
        <v>45607</v>
      </c>
      <c r="F1131" s="1">
        <v>45606</v>
      </c>
      <c r="G1131">
        <v>24.5</v>
      </c>
      <c r="H11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131" t="str">
        <f>IFERROR(INDEX(Raw_orders!G:G, MATCH(shipments[[#This Row],[order_id]],Raw_orders!A:A, 0)), "Unknown")</f>
        <v>Central Europe</v>
      </c>
      <c r="J1131" t="str">
        <f>PROPER(shipments[[#This Row],[delivery_status]])</f>
        <v>Delivered</v>
      </c>
      <c r="K1131" t="s">
        <v>6922</v>
      </c>
    </row>
    <row r="1132" spans="1:11">
      <c r="A1132" t="s">
        <v>8068</v>
      </c>
      <c r="B1132" t="s">
        <v>1980</v>
      </c>
      <c r="C1132" t="s">
        <v>6928</v>
      </c>
      <c r="D1132" s="1">
        <v>45301</v>
      </c>
      <c r="E1132" s="1">
        <v>45311</v>
      </c>
      <c r="F1132" s="1"/>
      <c r="G1132">
        <v>45.87</v>
      </c>
      <c r="H11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132" t="str">
        <f>IFERROR(INDEX(Raw_orders!G:G, MATCH(shipments[[#This Row],[order_id]],Raw_orders!A:A, 0)), "Unknown")</f>
        <v>Central Europe</v>
      </c>
      <c r="J1132" t="str">
        <f>PROPER(shipments[[#This Row],[delivery_status]])</f>
        <v>Cancelled</v>
      </c>
      <c r="K1132" t="s">
        <v>6963</v>
      </c>
    </row>
    <row r="1133" spans="1:11">
      <c r="A1133" t="s">
        <v>8069</v>
      </c>
      <c r="B1133" t="s">
        <v>1981</v>
      </c>
      <c r="C1133" t="s">
        <v>6938</v>
      </c>
      <c r="D1133" s="1">
        <v>45452</v>
      </c>
      <c r="E1133" s="1">
        <v>45459</v>
      </c>
      <c r="F1133" s="1">
        <v>45459</v>
      </c>
      <c r="G1133">
        <v>13.68</v>
      </c>
      <c r="H11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133" t="str">
        <f>IFERROR(INDEX(Raw_orders!G:G, MATCH(shipments[[#This Row],[order_id]],Raw_orders!A:A, 0)), "Unknown")</f>
        <v>Baltics</v>
      </c>
      <c r="J1133" t="str">
        <f>PROPER(shipments[[#This Row],[delivery_status]])</f>
        <v>Delivered</v>
      </c>
      <c r="K1133" t="s">
        <v>6929</v>
      </c>
    </row>
    <row r="1134" spans="1:11">
      <c r="A1134" t="s">
        <v>8070</v>
      </c>
      <c r="B1134" t="s">
        <v>1982</v>
      </c>
      <c r="C1134" t="s">
        <v>6940</v>
      </c>
      <c r="D1134" s="1">
        <v>45147</v>
      </c>
      <c r="E1134" s="1">
        <v>45157</v>
      </c>
      <c r="F1134" s="1">
        <v>45157</v>
      </c>
      <c r="G1134">
        <v>14.56</v>
      </c>
      <c r="H11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134" t="str">
        <f>IFERROR(INDEX(Raw_orders!G:G, MATCH(shipments[[#This Row],[order_id]],Raw_orders!A:A, 0)), "Unknown")</f>
        <v>Central Europe</v>
      </c>
      <c r="J1134" t="str">
        <f>PROPER(shipments[[#This Row],[delivery_status]])</f>
        <v>Delivered</v>
      </c>
      <c r="K1134" t="s">
        <v>6926</v>
      </c>
    </row>
    <row r="1135" spans="1:11">
      <c r="A1135" t="s">
        <v>8071</v>
      </c>
      <c r="B1135" t="s">
        <v>1983</v>
      </c>
      <c r="C1135" t="s">
        <v>6935</v>
      </c>
      <c r="D1135" s="1">
        <v>45595</v>
      </c>
      <c r="E1135" s="1">
        <v>45598</v>
      </c>
      <c r="F1135" s="1">
        <v>45603</v>
      </c>
      <c r="G1135">
        <v>27.15</v>
      </c>
      <c r="H11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35" t="str">
        <f>IFERROR(INDEX(Raw_orders!G:G, MATCH(shipments[[#This Row],[order_id]],Raw_orders!A:A, 0)), "Unknown")</f>
        <v>Baltics</v>
      </c>
      <c r="J1135" t="str">
        <f>PROPER(shipments[[#This Row],[delivery_status]])</f>
        <v>Delivered</v>
      </c>
      <c r="K1135" t="s">
        <v>6929</v>
      </c>
    </row>
    <row r="1136" spans="1:11">
      <c r="A1136" t="s">
        <v>8072</v>
      </c>
      <c r="B1136" t="s">
        <v>1984</v>
      </c>
      <c r="C1136" t="s">
        <v>6928</v>
      </c>
      <c r="D1136" s="1">
        <v>45308</v>
      </c>
      <c r="E1136" s="1">
        <v>45310</v>
      </c>
      <c r="F1136" s="1">
        <v>45309</v>
      </c>
      <c r="G1136">
        <v>56.99</v>
      </c>
      <c r="H11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136" t="str">
        <f>IFERROR(INDEX(Raw_orders!G:G, MATCH(shipments[[#This Row],[order_id]],Raw_orders!A:A, 0)), "Unknown")</f>
        <v>Nordics</v>
      </c>
      <c r="J1136" t="str">
        <f>PROPER(shipments[[#This Row],[delivery_status]])</f>
        <v>Delivered</v>
      </c>
      <c r="K1136" t="s">
        <v>6926</v>
      </c>
    </row>
    <row r="1137" spans="1:11">
      <c r="A1137" t="s">
        <v>8073</v>
      </c>
      <c r="B1137" t="s">
        <v>1985</v>
      </c>
      <c r="C1137" t="s">
        <v>6940</v>
      </c>
      <c r="D1137" s="1">
        <v>45310</v>
      </c>
      <c r="E1137" s="1">
        <v>45317</v>
      </c>
      <c r="F1137" s="1">
        <v>45320</v>
      </c>
      <c r="G1137">
        <v>9.35</v>
      </c>
      <c r="H11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37" t="str">
        <f>IFERROR(INDEX(Raw_orders!G:G, MATCH(shipments[[#This Row],[order_id]],Raw_orders!A:A, 0)), "Unknown")</f>
        <v>Central Europe</v>
      </c>
      <c r="J1137" t="str">
        <f>PROPER(shipments[[#This Row],[delivery_status]])</f>
        <v>Delivered</v>
      </c>
      <c r="K1137" t="s">
        <v>6926</v>
      </c>
    </row>
    <row r="1138" spans="1:11">
      <c r="A1138" t="s">
        <v>8074</v>
      </c>
      <c r="B1138" t="s">
        <v>1986</v>
      </c>
      <c r="C1138" t="s">
        <v>6940</v>
      </c>
      <c r="D1138" s="1">
        <v>45326</v>
      </c>
      <c r="E1138" s="1">
        <v>45336</v>
      </c>
      <c r="F1138" s="1">
        <v>45337</v>
      </c>
      <c r="G1138">
        <v>55.64</v>
      </c>
      <c r="H11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38" t="str">
        <f>IFERROR(INDEX(Raw_orders!G:G, MATCH(shipments[[#This Row],[order_id]],Raw_orders!A:A, 0)), "Unknown")</f>
        <v>Central Europe</v>
      </c>
      <c r="J1138" t="str">
        <f>PROPER(shipments[[#This Row],[delivery_status]])</f>
        <v>Delivered</v>
      </c>
      <c r="K1138" t="s">
        <v>6929</v>
      </c>
    </row>
    <row r="1139" spans="1:11">
      <c r="A1139" t="s">
        <v>8075</v>
      </c>
      <c r="B1139" t="s">
        <v>1987</v>
      </c>
      <c r="C1139" t="s">
        <v>6938</v>
      </c>
      <c r="D1139" s="1">
        <v>45064</v>
      </c>
      <c r="E1139" s="1">
        <v>45074</v>
      </c>
      <c r="F1139" s="1">
        <v>45073</v>
      </c>
      <c r="G1139">
        <v>12.23</v>
      </c>
      <c r="H11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139" t="str">
        <f>IFERROR(INDEX(Raw_orders!G:G, MATCH(shipments[[#This Row],[order_id]],Raw_orders!A:A, 0)), "Unknown")</f>
        <v>Nordics</v>
      </c>
      <c r="J1139" t="str">
        <f>PROPER(shipments[[#This Row],[delivery_status]])</f>
        <v>Delivered</v>
      </c>
      <c r="K1139" t="s">
        <v>6926</v>
      </c>
    </row>
    <row r="1140" spans="1:11">
      <c r="A1140" t="s">
        <v>8076</v>
      </c>
      <c r="B1140" t="s">
        <v>1988</v>
      </c>
      <c r="C1140" t="s">
        <v>6931</v>
      </c>
      <c r="D1140" s="1">
        <v>45281</v>
      </c>
      <c r="E1140" s="1">
        <v>45283</v>
      </c>
      <c r="F1140" s="1"/>
      <c r="G1140">
        <v>59.71</v>
      </c>
      <c r="H11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140" t="str">
        <f>IFERROR(INDEX(Raw_orders!G:G, MATCH(shipments[[#This Row],[order_id]],Raw_orders!A:A, 0)), "Unknown")</f>
        <v>Nordics</v>
      </c>
      <c r="J1140" t="str">
        <f>PROPER(shipments[[#This Row],[delivery_status]])</f>
        <v>In Transit</v>
      </c>
      <c r="K1140" t="s">
        <v>6946</v>
      </c>
    </row>
    <row r="1141" spans="1:11">
      <c r="A1141" t="s">
        <v>8077</v>
      </c>
      <c r="B1141" t="s">
        <v>1989</v>
      </c>
      <c r="C1141" t="s">
        <v>6925</v>
      </c>
      <c r="D1141" s="1">
        <v>45313</v>
      </c>
      <c r="E1141" s="1">
        <v>45318</v>
      </c>
      <c r="F1141" s="1">
        <v>45317</v>
      </c>
      <c r="G1141">
        <v>35.979999999999997</v>
      </c>
      <c r="H11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141" t="str">
        <f>IFERROR(INDEX(Raw_orders!G:G, MATCH(shipments[[#This Row],[order_id]],Raw_orders!A:A, 0)), "Unknown")</f>
        <v>Baltics</v>
      </c>
      <c r="J1141" t="str">
        <f>PROPER(shipments[[#This Row],[delivery_status]])</f>
        <v>Delivered</v>
      </c>
      <c r="K1141" t="s">
        <v>6922</v>
      </c>
    </row>
    <row r="1142" spans="1:11">
      <c r="A1142" t="s">
        <v>8078</v>
      </c>
      <c r="B1142" t="s">
        <v>1990</v>
      </c>
      <c r="C1142" t="s">
        <v>6928</v>
      </c>
      <c r="D1142" s="1">
        <v>45217</v>
      </c>
      <c r="E1142" s="1">
        <v>45222</v>
      </c>
      <c r="F1142" s="1">
        <v>45232</v>
      </c>
      <c r="G1142">
        <v>38.83</v>
      </c>
      <c r="H11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42" t="str">
        <f>IFERROR(INDEX(Raw_orders!G:G, MATCH(shipments[[#This Row],[order_id]],Raw_orders!A:A, 0)), "Unknown")</f>
        <v>Baltics</v>
      </c>
      <c r="J1142" t="str">
        <f>PROPER(shipments[[#This Row],[delivery_status]])</f>
        <v>Delivered</v>
      </c>
      <c r="K1142" t="s">
        <v>6926</v>
      </c>
    </row>
    <row r="1143" spans="1:11">
      <c r="A1143" t="s">
        <v>8079</v>
      </c>
      <c r="B1143" t="s">
        <v>1991</v>
      </c>
      <c r="C1143" t="s">
        <v>6925</v>
      </c>
      <c r="D1143" s="1">
        <v>45612</v>
      </c>
      <c r="E1143" s="1">
        <v>45614</v>
      </c>
      <c r="F1143" s="1">
        <v>45615</v>
      </c>
      <c r="G1143">
        <v>48.49</v>
      </c>
      <c r="H11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43" t="str">
        <f>IFERROR(INDEX(Raw_orders!G:G, MATCH(shipments[[#This Row],[order_id]],Raw_orders!A:A, 0)), "Unknown")</f>
        <v>Central Europe</v>
      </c>
      <c r="J1143" t="str">
        <f>PROPER(shipments[[#This Row],[delivery_status]])</f>
        <v>Delivered</v>
      </c>
      <c r="K1143" t="s">
        <v>6926</v>
      </c>
    </row>
    <row r="1144" spans="1:11">
      <c r="A1144" t="s">
        <v>8080</v>
      </c>
      <c r="B1144" t="s">
        <v>1992</v>
      </c>
      <c r="C1144" t="s">
        <v>6931</v>
      </c>
      <c r="D1144" s="1">
        <v>45141</v>
      </c>
      <c r="E1144" s="1">
        <v>45143</v>
      </c>
      <c r="F1144" s="1">
        <v>45143</v>
      </c>
      <c r="G1144">
        <v>27.13</v>
      </c>
      <c r="H11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144" t="str">
        <f>IFERROR(INDEX(Raw_orders!G:G, MATCH(shipments[[#This Row],[order_id]],Raw_orders!A:A, 0)), "Unknown")</f>
        <v>Nordics</v>
      </c>
      <c r="J1144" t="str">
        <f>PROPER(shipments[[#This Row],[delivery_status]])</f>
        <v>Delivered</v>
      </c>
      <c r="K1144" t="s">
        <v>6922</v>
      </c>
    </row>
    <row r="1145" spans="1:11">
      <c r="A1145" t="s">
        <v>8081</v>
      </c>
      <c r="B1145" t="s">
        <v>1993</v>
      </c>
      <c r="C1145" t="s">
        <v>6925</v>
      </c>
      <c r="D1145" s="1">
        <v>45154</v>
      </c>
      <c r="E1145" s="1">
        <v>45159</v>
      </c>
      <c r="F1145" s="1">
        <v>45159</v>
      </c>
      <c r="G1145">
        <v>43.2</v>
      </c>
      <c r="H11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145" t="str">
        <f>IFERROR(INDEX(Raw_orders!G:G, MATCH(shipments[[#This Row],[order_id]],Raw_orders!A:A, 0)), "Unknown")</f>
        <v>Baltics</v>
      </c>
      <c r="J1145" t="str">
        <f>PROPER(shipments[[#This Row],[delivery_status]])</f>
        <v>Delivered</v>
      </c>
      <c r="K1145" t="s">
        <v>6926</v>
      </c>
    </row>
    <row r="1146" spans="1:11">
      <c r="A1146" t="s">
        <v>8082</v>
      </c>
      <c r="B1146" t="s">
        <v>1994</v>
      </c>
      <c r="C1146" t="s">
        <v>6935</v>
      </c>
      <c r="D1146" s="1">
        <v>45108</v>
      </c>
      <c r="E1146" s="1">
        <v>45115</v>
      </c>
      <c r="F1146" s="1">
        <v>45115</v>
      </c>
      <c r="G1146">
        <v>9.83</v>
      </c>
      <c r="H11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146" t="str">
        <f>IFERROR(INDEX(Raw_orders!G:G, MATCH(shipments[[#This Row],[order_id]],Raw_orders!A:A, 0)), "Unknown")</f>
        <v>Baltics</v>
      </c>
      <c r="J1146" t="str">
        <f>PROPER(shipments[[#This Row],[delivery_status]])</f>
        <v>Delivered</v>
      </c>
      <c r="K1146" t="s">
        <v>6922</v>
      </c>
    </row>
    <row r="1147" spans="1:11">
      <c r="A1147" t="s">
        <v>8083</v>
      </c>
      <c r="B1147" t="s">
        <v>1995</v>
      </c>
      <c r="C1147" t="s">
        <v>6921</v>
      </c>
      <c r="D1147" s="1">
        <v>45528</v>
      </c>
      <c r="E1147" s="1">
        <v>45533</v>
      </c>
      <c r="F1147" s="1">
        <v>45533</v>
      </c>
      <c r="G1147">
        <v>57.38</v>
      </c>
      <c r="H11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147" t="str">
        <f>IFERROR(INDEX(Raw_orders!G:G, MATCH(shipments[[#This Row],[order_id]],Raw_orders!A:A, 0)), "Unknown")</f>
        <v>Nordics</v>
      </c>
      <c r="J1147" t="str">
        <f>PROPER(shipments[[#This Row],[delivery_status]])</f>
        <v>Delivered</v>
      </c>
      <c r="K1147" t="s">
        <v>6929</v>
      </c>
    </row>
    <row r="1148" spans="1:11">
      <c r="A1148" t="s">
        <v>8084</v>
      </c>
      <c r="B1148" t="s">
        <v>1996</v>
      </c>
      <c r="C1148" t="s">
        <v>6935</v>
      </c>
      <c r="D1148" s="1">
        <v>45174</v>
      </c>
      <c r="E1148" s="1">
        <v>45184</v>
      </c>
      <c r="F1148" s="1">
        <v>45192</v>
      </c>
      <c r="G1148">
        <v>52.84</v>
      </c>
      <c r="H11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48" t="str">
        <f>IFERROR(INDEX(Raw_orders!G:G, MATCH(shipments[[#This Row],[order_id]],Raw_orders!A:A, 0)), "Unknown")</f>
        <v>Central Europe</v>
      </c>
      <c r="J1148" t="str">
        <f>PROPER(shipments[[#This Row],[delivery_status]])</f>
        <v>Delivered</v>
      </c>
      <c r="K1148" t="s">
        <v>6922</v>
      </c>
    </row>
    <row r="1149" spans="1:11">
      <c r="A1149" t="s">
        <v>8085</v>
      </c>
      <c r="B1149" t="s">
        <v>1997</v>
      </c>
      <c r="C1149" t="s">
        <v>6940</v>
      </c>
      <c r="D1149" s="1">
        <v>45497</v>
      </c>
      <c r="E1149" s="1">
        <v>45504</v>
      </c>
      <c r="F1149" s="1">
        <v>45509</v>
      </c>
      <c r="G1149">
        <v>63.28</v>
      </c>
      <c r="H11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49" t="str">
        <f>IFERROR(INDEX(Raw_orders!G:G, MATCH(shipments[[#This Row],[order_id]],Raw_orders!A:A, 0)), "Unknown")</f>
        <v>Baltics</v>
      </c>
      <c r="J1149" t="str">
        <f>PROPER(shipments[[#This Row],[delivery_status]])</f>
        <v>Delivered</v>
      </c>
      <c r="K1149" t="s">
        <v>6929</v>
      </c>
    </row>
    <row r="1150" spans="1:11">
      <c r="A1150" t="s">
        <v>8086</v>
      </c>
      <c r="B1150" t="s">
        <v>1998</v>
      </c>
      <c r="C1150" t="s">
        <v>6956</v>
      </c>
      <c r="D1150" s="1">
        <v>45011</v>
      </c>
      <c r="E1150" s="1">
        <v>45013</v>
      </c>
      <c r="F1150" s="1">
        <v>45019</v>
      </c>
      <c r="G1150">
        <v>9.92</v>
      </c>
      <c r="H11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50" t="str">
        <f>IFERROR(INDEX(Raw_orders!G:G, MATCH(shipments[[#This Row],[order_id]],Raw_orders!A:A, 0)), "Unknown")</f>
        <v>Baltics</v>
      </c>
      <c r="J1150" t="str">
        <f>PROPER(shipments[[#This Row],[delivery_status]])</f>
        <v>Delivered</v>
      </c>
      <c r="K1150" t="s">
        <v>6922</v>
      </c>
    </row>
    <row r="1151" spans="1:11">
      <c r="A1151" t="s">
        <v>8087</v>
      </c>
      <c r="B1151" t="s">
        <v>1999</v>
      </c>
      <c r="C1151" t="s">
        <v>6925</v>
      </c>
      <c r="D1151" s="1">
        <v>44947</v>
      </c>
      <c r="E1151" s="1">
        <v>44950</v>
      </c>
      <c r="F1151" s="1">
        <v>44955</v>
      </c>
      <c r="G1151">
        <v>55.67</v>
      </c>
      <c r="H11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51" t="str">
        <f>IFERROR(INDEX(Raw_orders!G:G, MATCH(shipments[[#This Row],[order_id]],Raw_orders!A:A, 0)), "Unknown")</f>
        <v>Baltics</v>
      </c>
      <c r="J1151" t="str">
        <f>PROPER(shipments[[#This Row],[delivery_status]])</f>
        <v>Delivered</v>
      </c>
      <c r="K1151" t="s">
        <v>6922</v>
      </c>
    </row>
    <row r="1152" spans="1:11">
      <c r="A1152" t="s">
        <v>8088</v>
      </c>
      <c r="B1152" t="s">
        <v>2000</v>
      </c>
      <c r="C1152" t="s">
        <v>6931</v>
      </c>
      <c r="D1152" s="1">
        <v>45021</v>
      </c>
      <c r="E1152" s="1">
        <v>45028</v>
      </c>
      <c r="F1152" s="1">
        <v>45028</v>
      </c>
      <c r="G1152">
        <v>38.82</v>
      </c>
      <c r="H11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152" t="str">
        <f>IFERROR(INDEX(Raw_orders!G:G, MATCH(shipments[[#This Row],[order_id]],Raw_orders!A:A, 0)), "Unknown")</f>
        <v>Central Europe</v>
      </c>
      <c r="J1152" t="str">
        <f>PROPER(shipments[[#This Row],[delivery_status]])</f>
        <v>Delivered</v>
      </c>
      <c r="K1152" t="s">
        <v>6922</v>
      </c>
    </row>
    <row r="1153" spans="1:11">
      <c r="A1153" t="s">
        <v>8089</v>
      </c>
      <c r="B1153" t="s">
        <v>2001</v>
      </c>
      <c r="C1153" t="s">
        <v>6940</v>
      </c>
      <c r="D1153" s="1">
        <v>45516</v>
      </c>
      <c r="E1153" s="1">
        <v>45519</v>
      </c>
      <c r="F1153" s="1">
        <v>45520</v>
      </c>
      <c r="G1153">
        <v>14.55</v>
      </c>
      <c r="H11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53" t="str">
        <f>IFERROR(INDEX(Raw_orders!G:G, MATCH(shipments[[#This Row],[order_id]],Raw_orders!A:A, 0)), "Unknown")</f>
        <v>Baltics</v>
      </c>
      <c r="J1153" t="str">
        <f>PROPER(shipments[[#This Row],[delivery_status]])</f>
        <v>Delivered</v>
      </c>
      <c r="K1153" t="s">
        <v>6926</v>
      </c>
    </row>
    <row r="1154" spans="1:11">
      <c r="A1154" t="s">
        <v>8090</v>
      </c>
      <c r="B1154" t="s">
        <v>2002</v>
      </c>
      <c r="C1154" t="s">
        <v>6931</v>
      </c>
      <c r="D1154" s="1">
        <v>44946</v>
      </c>
      <c r="E1154" s="1">
        <v>44956</v>
      </c>
      <c r="F1154" s="1">
        <v>44956</v>
      </c>
      <c r="G1154">
        <v>5.82</v>
      </c>
      <c r="H11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154" t="str">
        <f>IFERROR(INDEX(Raw_orders!G:G, MATCH(shipments[[#This Row],[order_id]],Raw_orders!A:A, 0)), "Unknown")</f>
        <v>Central Europe</v>
      </c>
      <c r="J1154" t="str">
        <f>PROPER(shipments[[#This Row],[delivery_status]])</f>
        <v>Delivered</v>
      </c>
      <c r="K1154" t="s">
        <v>6926</v>
      </c>
    </row>
    <row r="1155" spans="1:11">
      <c r="A1155" t="s">
        <v>8091</v>
      </c>
      <c r="B1155" t="s">
        <v>2003</v>
      </c>
      <c r="C1155" t="s">
        <v>6956</v>
      </c>
      <c r="D1155" s="1">
        <v>45017</v>
      </c>
      <c r="E1155" s="1">
        <v>45019</v>
      </c>
      <c r="F1155" s="1">
        <v>45027</v>
      </c>
      <c r="G1155">
        <v>16.420000000000002</v>
      </c>
      <c r="H11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55" t="str">
        <f>IFERROR(INDEX(Raw_orders!G:G, MATCH(shipments[[#This Row],[order_id]],Raw_orders!A:A, 0)), "Unknown")</f>
        <v>Central Europe</v>
      </c>
      <c r="J1155" t="str">
        <f>PROPER(shipments[[#This Row],[delivery_status]])</f>
        <v>Delivered</v>
      </c>
      <c r="K1155" t="s">
        <v>6922</v>
      </c>
    </row>
    <row r="1156" spans="1:11">
      <c r="A1156" t="s">
        <v>8092</v>
      </c>
      <c r="B1156" t="s">
        <v>2004</v>
      </c>
      <c r="C1156" t="s">
        <v>6938</v>
      </c>
      <c r="D1156" s="1">
        <v>45013</v>
      </c>
      <c r="E1156" s="1">
        <v>45015</v>
      </c>
      <c r="F1156" s="1">
        <v>45020</v>
      </c>
      <c r="G1156">
        <v>7.04</v>
      </c>
      <c r="H11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56" t="str">
        <f>IFERROR(INDEX(Raw_orders!G:G, MATCH(shipments[[#This Row],[order_id]],Raw_orders!A:A, 0)), "Unknown")</f>
        <v>Baltics</v>
      </c>
      <c r="J1156" t="str">
        <f>PROPER(shipments[[#This Row],[delivery_status]])</f>
        <v>Delivered</v>
      </c>
      <c r="K1156" t="s">
        <v>6922</v>
      </c>
    </row>
    <row r="1157" spans="1:11">
      <c r="A1157" t="s">
        <v>8093</v>
      </c>
      <c r="B1157" t="s">
        <v>2005</v>
      </c>
      <c r="C1157" t="s">
        <v>6925</v>
      </c>
      <c r="D1157" s="1">
        <v>44968</v>
      </c>
      <c r="E1157" s="1">
        <v>44975</v>
      </c>
      <c r="F1157" s="1"/>
      <c r="G1157">
        <v>52.46</v>
      </c>
      <c r="H11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157" t="str">
        <f>IFERROR(INDEX(Raw_orders!G:G, MATCH(shipments[[#This Row],[order_id]],Raw_orders!A:A, 0)), "Unknown")</f>
        <v>Central Europe</v>
      </c>
      <c r="J1157" t="str">
        <f>PROPER(shipments[[#This Row],[delivery_status]])</f>
        <v>In Transit</v>
      </c>
      <c r="K1157" t="s">
        <v>6946</v>
      </c>
    </row>
    <row r="1158" spans="1:11">
      <c r="A1158" t="s">
        <v>8094</v>
      </c>
      <c r="B1158" t="s">
        <v>2006</v>
      </c>
      <c r="C1158" t="s">
        <v>6949</v>
      </c>
      <c r="D1158" s="1">
        <v>45452</v>
      </c>
      <c r="E1158" s="1">
        <v>45455</v>
      </c>
      <c r="F1158" s="1">
        <v>45456</v>
      </c>
      <c r="G1158">
        <v>52.73</v>
      </c>
      <c r="H11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58" t="str">
        <f>IFERROR(INDEX(Raw_orders!G:G, MATCH(shipments[[#This Row],[order_id]],Raw_orders!A:A, 0)), "Unknown")</f>
        <v>Nordics</v>
      </c>
      <c r="J1158" t="str">
        <f>PROPER(shipments[[#This Row],[delivery_status]])</f>
        <v>Delivered</v>
      </c>
      <c r="K1158" t="s">
        <v>6926</v>
      </c>
    </row>
    <row r="1159" spans="1:11">
      <c r="A1159" t="s">
        <v>8095</v>
      </c>
      <c r="B1159" t="s">
        <v>2007</v>
      </c>
      <c r="C1159" t="s">
        <v>6921</v>
      </c>
      <c r="D1159" s="1">
        <v>45526</v>
      </c>
      <c r="E1159" s="1">
        <v>45533</v>
      </c>
      <c r="F1159" s="1">
        <v>45541</v>
      </c>
      <c r="G1159">
        <v>38.799999999999997</v>
      </c>
      <c r="H11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59" t="str">
        <f>IFERROR(INDEX(Raw_orders!G:G, MATCH(shipments[[#This Row],[order_id]],Raw_orders!A:A, 0)), "Unknown")</f>
        <v>Nordics</v>
      </c>
      <c r="J1159" t="str">
        <f>PROPER(shipments[[#This Row],[delivery_status]])</f>
        <v>Delivered</v>
      </c>
      <c r="K1159" t="s">
        <v>6929</v>
      </c>
    </row>
    <row r="1160" spans="1:11">
      <c r="A1160" t="s">
        <v>8096</v>
      </c>
      <c r="B1160" t="s">
        <v>2008</v>
      </c>
      <c r="C1160" t="s">
        <v>6956</v>
      </c>
      <c r="D1160" s="1">
        <v>45095</v>
      </c>
      <c r="E1160" s="1">
        <v>45097</v>
      </c>
      <c r="F1160" s="1"/>
      <c r="G1160">
        <v>14.56</v>
      </c>
      <c r="H11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160" t="str">
        <f>IFERROR(INDEX(Raw_orders!G:G, MATCH(shipments[[#This Row],[order_id]],Raw_orders!A:A, 0)), "Unknown")</f>
        <v>Baltics</v>
      </c>
      <c r="J1160" t="str">
        <f>PROPER(shipments[[#This Row],[delivery_status]])</f>
        <v>In Transit</v>
      </c>
      <c r="K1160" t="s">
        <v>6958</v>
      </c>
    </row>
    <row r="1161" spans="1:11">
      <c r="A1161" t="s">
        <v>8097</v>
      </c>
      <c r="B1161" t="s">
        <v>2009</v>
      </c>
      <c r="C1161" t="s">
        <v>6931</v>
      </c>
      <c r="D1161" s="1">
        <v>45189</v>
      </c>
      <c r="E1161" s="1">
        <v>45192</v>
      </c>
      <c r="F1161" s="1"/>
      <c r="H11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161" t="str">
        <f>IFERROR(INDEX(Raw_orders!G:G, MATCH(shipments[[#This Row],[order_id]],Raw_orders!A:A, 0)), "Unknown")</f>
        <v>Central Europe</v>
      </c>
      <c r="J1161" t="str">
        <f>PROPER(shipments[[#This Row],[delivery_status]])</f>
        <v>In Transit</v>
      </c>
      <c r="K1161" t="s">
        <v>6946</v>
      </c>
    </row>
    <row r="1162" spans="1:11">
      <c r="A1162" t="s">
        <v>8098</v>
      </c>
      <c r="B1162" t="s">
        <v>2010</v>
      </c>
      <c r="C1162" t="s">
        <v>6925</v>
      </c>
      <c r="D1162" s="1">
        <v>45279</v>
      </c>
      <c r="E1162" s="1">
        <v>45282</v>
      </c>
      <c r="F1162" s="1">
        <v>45287</v>
      </c>
      <c r="G1162">
        <v>25.79</v>
      </c>
      <c r="H11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62" t="str">
        <f>IFERROR(INDEX(Raw_orders!G:G, MATCH(shipments[[#This Row],[order_id]],Raw_orders!A:A, 0)), "Unknown")</f>
        <v>Baltics</v>
      </c>
      <c r="J1162" t="str">
        <f>PROPER(shipments[[#This Row],[delivery_status]])</f>
        <v>Delivered</v>
      </c>
      <c r="K1162" t="s">
        <v>6926</v>
      </c>
    </row>
    <row r="1163" spans="1:11">
      <c r="A1163" t="s">
        <v>8099</v>
      </c>
      <c r="B1163" t="s">
        <v>2011</v>
      </c>
      <c r="C1163" t="s">
        <v>6956</v>
      </c>
      <c r="D1163" s="1">
        <v>45035</v>
      </c>
      <c r="E1163" s="1">
        <v>45040</v>
      </c>
      <c r="F1163" s="1">
        <v>45040</v>
      </c>
      <c r="G1163">
        <v>31.48</v>
      </c>
      <c r="H11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163" t="str">
        <f>IFERROR(INDEX(Raw_orders!G:G, MATCH(shipments[[#This Row],[order_id]],Raw_orders!A:A, 0)), "Unknown")</f>
        <v>Central Europe</v>
      </c>
      <c r="J1163" t="str">
        <f>PROPER(shipments[[#This Row],[delivery_status]])</f>
        <v>Delivered</v>
      </c>
      <c r="K1163" t="s">
        <v>6929</v>
      </c>
    </row>
    <row r="1164" spans="1:11">
      <c r="A1164" t="s">
        <v>8100</v>
      </c>
      <c r="B1164" t="s">
        <v>2012</v>
      </c>
      <c r="C1164" t="s">
        <v>6921</v>
      </c>
      <c r="D1164" s="1">
        <v>45087</v>
      </c>
      <c r="E1164" s="1">
        <v>45097</v>
      </c>
      <c r="F1164" s="1">
        <v>45099</v>
      </c>
      <c r="G1164">
        <v>30.45</v>
      </c>
      <c r="H11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64" t="str">
        <f>IFERROR(INDEX(Raw_orders!G:G, MATCH(shipments[[#This Row],[order_id]],Raw_orders!A:A, 0)), "Unknown")</f>
        <v>Nordics</v>
      </c>
      <c r="J1164" t="str">
        <f>PROPER(shipments[[#This Row],[delivery_status]])</f>
        <v>Delivered</v>
      </c>
      <c r="K1164" t="s">
        <v>6922</v>
      </c>
    </row>
    <row r="1165" spans="1:11">
      <c r="A1165" t="s">
        <v>8101</v>
      </c>
      <c r="B1165" t="s">
        <v>2013</v>
      </c>
      <c r="C1165" t="s">
        <v>6931</v>
      </c>
      <c r="D1165" s="1">
        <v>45334</v>
      </c>
      <c r="E1165" s="1">
        <v>45336</v>
      </c>
      <c r="F1165" s="1">
        <v>45335</v>
      </c>
      <c r="G1165">
        <v>45.87</v>
      </c>
      <c r="H11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165" t="str">
        <f>IFERROR(INDEX(Raw_orders!G:G, MATCH(shipments[[#This Row],[order_id]],Raw_orders!A:A, 0)), "Unknown")</f>
        <v>Nordics</v>
      </c>
      <c r="J1165" t="str">
        <f>PROPER(shipments[[#This Row],[delivery_status]])</f>
        <v>Delivered</v>
      </c>
      <c r="K1165" t="s">
        <v>6922</v>
      </c>
    </row>
    <row r="1166" spans="1:11">
      <c r="A1166" t="s">
        <v>8102</v>
      </c>
      <c r="B1166" t="s">
        <v>2014</v>
      </c>
      <c r="C1166" t="s">
        <v>6921</v>
      </c>
      <c r="D1166" s="1">
        <v>45419</v>
      </c>
      <c r="E1166" s="1">
        <v>45429</v>
      </c>
      <c r="F1166" s="1">
        <v>45428</v>
      </c>
      <c r="G1166">
        <v>13.32</v>
      </c>
      <c r="H11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166" t="str">
        <f>IFERROR(INDEX(Raw_orders!G:G, MATCH(shipments[[#This Row],[order_id]],Raw_orders!A:A, 0)), "Unknown")</f>
        <v>Central Europe</v>
      </c>
      <c r="J1166" t="str">
        <f>PROPER(shipments[[#This Row],[delivery_status]])</f>
        <v>Delivered</v>
      </c>
      <c r="K1166" t="s">
        <v>6926</v>
      </c>
    </row>
    <row r="1167" spans="1:11">
      <c r="A1167" t="s">
        <v>8103</v>
      </c>
      <c r="B1167" t="s">
        <v>2015</v>
      </c>
      <c r="C1167" t="s">
        <v>6928</v>
      </c>
      <c r="D1167" s="1">
        <v>45425</v>
      </c>
      <c r="E1167" s="1">
        <v>45430</v>
      </c>
      <c r="F1167" s="1">
        <v>45444</v>
      </c>
      <c r="G1167">
        <v>26.53</v>
      </c>
      <c r="H11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67" t="str">
        <f>IFERROR(INDEX(Raw_orders!G:G, MATCH(shipments[[#This Row],[order_id]],Raw_orders!A:A, 0)), "Unknown")</f>
        <v>Nordics</v>
      </c>
      <c r="J1167" t="str">
        <f>PROPER(shipments[[#This Row],[delivery_status]])</f>
        <v>Delivered</v>
      </c>
      <c r="K1167" t="s">
        <v>6922</v>
      </c>
    </row>
    <row r="1168" spans="1:11">
      <c r="A1168" t="s">
        <v>8104</v>
      </c>
      <c r="B1168" t="s">
        <v>2016</v>
      </c>
      <c r="C1168" t="s">
        <v>6938</v>
      </c>
      <c r="D1168" s="1">
        <v>45333</v>
      </c>
      <c r="E1168" s="1">
        <v>45340</v>
      </c>
      <c r="F1168" s="1">
        <v>45348</v>
      </c>
      <c r="G1168">
        <v>25.29</v>
      </c>
      <c r="H11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68" t="str">
        <f>IFERROR(INDEX(Raw_orders!G:G, MATCH(shipments[[#This Row],[order_id]],Raw_orders!A:A, 0)), "Unknown")</f>
        <v>Unknown</v>
      </c>
      <c r="J1168" t="str">
        <f>PROPER(shipments[[#This Row],[delivery_status]])</f>
        <v>Delivered</v>
      </c>
      <c r="K1168" t="s">
        <v>6926</v>
      </c>
    </row>
    <row r="1169" spans="1:11">
      <c r="A1169" t="s">
        <v>8105</v>
      </c>
      <c r="B1169" t="s">
        <v>2017</v>
      </c>
      <c r="C1169" t="s">
        <v>6956</v>
      </c>
      <c r="D1169" s="1">
        <v>45591</v>
      </c>
      <c r="E1169" s="1">
        <v>45594</v>
      </c>
      <c r="F1169" s="1"/>
      <c r="G1169">
        <v>48.4</v>
      </c>
      <c r="H11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169" t="str">
        <f>IFERROR(INDEX(Raw_orders!G:G, MATCH(shipments[[#This Row],[order_id]],Raw_orders!A:A, 0)), "Unknown")</f>
        <v>Baltics</v>
      </c>
      <c r="J1169" t="str">
        <f>PROPER(shipments[[#This Row],[delivery_status]])</f>
        <v>In Transit</v>
      </c>
      <c r="K1169" t="s">
        <v>6946</v>
      </c>
    </row>
    <row r="1170" spans="1:11">
      <c r="A1170" t="s">
        <v>8106</v>
      </c>
      <c r="B1170" t="s">
        <v>2018</v>
      </c>
      <c r="C1170" t="s">
        <v>6928</v>
      </c>
      <c r="D1170" s="1">
        <v>45377</v>
      </c>
      <c r="E1170" s="1">
        <v>45382</v>
      </c>
      <c r="F1170" s="1">
        <v>45396</v>
      </c>
      <c r="G1170">
        <v>32.01</v>
      </c>
      <c r="H11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70" t="str">
        <f>IFERROR(INDEX(Raw_orders!G:G, MATCH(shipments[[#This Row],[order_id]],Raw_orders!A:A, 0)), "Unknown")</f>
        <v>Nordics</v>
      </c>
      <c r="J1170" t="str">
        <f>PROPER(shipments[[#This Row],[delivery_status]])</f>
        <v>Delivered</v>
      </c>
      <c r="K1170" t="s">
        <v>6929</v>
      </c>
    </row>
    <row r="1171" spans="1:11">
      <c r="A1171" t="s">
        <v>8107</v>
      </c>
      <c r="B1171" t="s">
        <v>2019</v>
      </c>
      <c r="C1171" t="s">
        <v>6956</v>
      </c>
      <c r="D1171" s="1">
        <v>44965</v>
      </c>
      <c r="E1171" s="1">
        <v>44972</v>
      </c>
      <c r="F1171" s="1">
        <v>44981</v>
      </c>
      <c r="G1171">
        <v>38.32</v>
      </c>
      <c r="H11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71" t="str">
        <f>IFERROR(INDEX(Raw_orders!G:G, MATCH(shipments[[#This Row],[order_id]],Raw_orders!A:A, 0)), "Unknown")</f>
        <v>Baltics</v>
      </c>
      <c r="J1171" t="str">
        <f>PROPER(shipments[[#This Row],[delivery_status]])</f>
        <v>Delivered</v>
      </c>
      <c r="K1171" t="s">
        <v>6922</v>
      </c>
    </row>
    <row r="1172" spans="1:11">
      <c r="A1172" t="s">
        <v>8108</v>
      </c>
      <c r="B1172" t="s">
        <v>2020</v>
      </c>
      <c r="C1172" t="s">
        <v>6935</v>
      </c>
      <c r="D1172" s="1">
        <v>45444</v>
      </c>
      <c r="E1172" s="1">
        <v>45454</v>
      </c>
      <c r="F1172" s="1">
        <v>45454</v>
      </c>
      <c r="H11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172" t="str">
        <f>IFERROR(INDEX(Raw_orders!G:G, MATCH(shipments[[#This Row],[order_id]],Raw_orders!A:A, 0)), "Unknown")</f>
        <v>Baltics</v>
      </c>
      <c r="J1172" t="str">
        <f>PROPER(shipments[[#This Row],[delivery_status]])</f>
        <v>Delivered</v>
      </c>
      <c r="K1172" t="s">
        <v>6929</v>
      </c>
    </row>
    <row r="1173" spans="1:11">
      <c r="A1173" t="s">
        <v>8109</v>
      </c>
      <c r="B1173" t="s">
        <v>2021</v>
      </c>
      <c r="C1173" t="s">
        <v>6931</v>
      </c>
      <c r="D1173" s="1">
        <v>45291</v>
      </c>
      <c r="E1173" s="1">
        <v>45294</v>
      </c>
      <c r="F1173" s="1">
        <v>45296</v>
      </c>
      <c r="G1173">
        <v>26.23</v>
      </c>
      <c r="H11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73" t="str">
        <f>IFERROR(INDEX(Raw_orders!G:G, MATCH(shipments[[#This Row],[order_id]],Raw_orders!A:A, 0)), "Unknown")</f>
        <v>Baltics</v>
      </c>
      <c r="J1173" t="str">
        <f>PROPER(shipments[[#This Row],[delivery_status]])</f>
        <v>Delivered</v>
      </c>
      <c r="K1173" t="s">
        <v>6929</v>
      </c>
    </row>
    <row r="1174" spans="1:11">
      <c r="A1174" t="s">
        <v>8110</v>
      </c>
      <c r="B1174" t="s">
        <v>2022</v>
      </c>
      <c r="C1174" t="s">
        <v>6925</v>
      </c>
      <c r="D1174" s="1">
        <v>45260</v>
      </c>
      <c r="E1174" s="1">
        <v>45265</v>
      </c>
      <c r="F1174" s="1">
        <v>45278</v>
      </c>
      <c r="G1174">
        <v>62.23</v>
      </c>
      <c r="H11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74" t="str">
        <f>IFERROR(INDEX(Raw_orders!G:G, MATCH(shipments[[#This Row],[order_id]],Raw_orders!A:A, 0)), "Unknown")</f>
        <v>Nordics</v>
      </c>
      <c r="J1174" t="str">
        <f>PROPER(shipments[[#This Row],[delivery_status]])</f>
        <v>Delivered</v>
      </c>
      <c r="K1174" t="s">
        <v>6922</v>
      </c>
    </row>
    <row r="1175" spans="1:11">
      <c r="A1175" t="s">
        <v>8111</v>
      </c>
      <c r="B1175" t="s">
        <v>2023</v>
      </c>
      <c r="C1175" t="s">
        <v>6956</v>
      </c>
      <c r="D1175" s="1">
        <v>45093</v>
      </c>
      <c r="E1175" s="1">
        <v>45096</v>
      </c>
      <c r="F1175" s="1">
        <v>45101</v>
      </c>
      <c r="G1175">
        <v>27.83</v>
      </c>
      <c r="H11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75" t="str">
        <f>IFERROR(INDEX(Raw_orders!G:G, MATCH(shipments[[#This Row],[order_id]],Raw_orders!A:A, 0)), "Unknown")</f>
        <v>Central Europe</v>
      </c>
      <c r="J1175" t="str">
        <f>PROPER(shipments[[#This Row],[delivery_status]])</f>
        <v>Delivered</v>
      </c>
      <c r="K1175" t="s">
        <v>6929</v>
      </c>
    </row>
    <row r="1176" spans="1:11">
      <c r="A1176" t="s">
        <v>8112</v>
      </c>
      <c r="B1176" t="s">
        <v>2024</v>
      </c>
      <c r="C1176" t="s">
        <v>6925</v>
      </c>
      <c r="D1176" s="1">
        <v>45105</v>
      </c>
      <c r="E1176" s="1">
        <v>45115</v>
      </c>
      <c r="F1176" s="1">
        <v>45123</v>
      </c>
      <c r="G1176">
        <v>62.68</v>
      </c>
      <c r="H11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76" t="str">
        <f>IFERROR(INDEX(Raw_orders!G:G, MATCH(shipments[[#This Row],[order_id]],Raw_orders!A:A, 0)), "Unknown")</f>
        <v>Nordics</v>
      </c>
      <c r="J1176" t="str">
        <f>PROPER(shipments[[#This Row],[delivery_status]])</f>
        <v>Delivered</v>
      </c>
      <c r="K1176" t="s">
        <v>6926</v>
      </c>
    </row>
    <row r="1177" spans="1:11">
      <c r="A1177" t="s">
        <v>8113</v>
      </c>
      <c r="B1177" t="s">
        <v>2025</v>
      </c>
      <c r="C1177" t="s">
        <v>6938</v>
      </c>
      <c r="D1177" s="1">
        <v>45336</v>
      </c>
      <c r="E1177" s="1">
        <v>45346</v>
      </c>
      <c r="F1177" s="1">
        <v>45348</v>
      </c>
      <c r="G1177">
        <v>18.260000000000002</v>
      </c>
      <c r="H11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77" t="str">
        <f>IFERROR(INDEX(Raw_orders!G:G, MATCH(shipments[[#This Row],[order_id]],Raw_orders!A:A, 0)), "Unknown")</f>
        <v>Nordics</v>
      </c>
      <c r="J1177" t="str">
        <f>PROPER(shipments[[#This Row],[delivery_status]])</f>
        <v>Delivered</v>
      </c>
      <c r="K1177" t="s">
        <v>6926</v>
      </c>
    </row>
    <row r="1178" spans="1:11">
      <c r="A1178" t="s">
        <v>8114</v>
      </c>
      <c r="B1178" t="s">
        <v>2026</v>
      </c>
      <c r="C1178" t="s">
        <v>6921</v>
      </c>
      <c r="D1178" s="1">
        <v>45325</v>
      </c>
      <c r="E1178" s="1">
        <v>45328</v>
      </c>
      <c r="F1178" s="1">
        <v>45329</v>
      </c>
      <c r="G1178">
        <v>53.56</v>
      </c>
      <c r="H11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78" t="str">
        <f>IFERROR(INDEX(Raw_orders!G:G, MATCH(shipments[[#This Row],[order_id]],Raw_orders!A:A, 0)), "Unknown")</f>
        <v>Central Europe</v>
      </c>
      <c r="J1178" t="str">
        <f>PROPER(shipments[[#This Row],[delivery_status]])</f>
        <v>Delivered</v>
      </c>
      <c r="K1178" t="s">
        <v>6926</v>
      </c>
    </row>
    <row r="1179" spans="1:11">
      <c r="A1179" t="s">
        <v>8115</v>
      </c>
      <c r="B1179" t="s">
        <v>2027</v>
      </c>
      <c r="C1179" t="s">
        <v>6956</v>
      </c>
      <c r="D1179" s="1">
        <v>45477</v>
      </c>
      <c r="E1179" s="1">
        <v>45484</v>
      </c>
      <c r="F1179" s="1">
        <v>45486</v>
      </c>
      <c r="H11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79" t="str">
        <f>IFERROR(INDEX(Raw_orders!G:G, MATCH(shipments[[#This Row],[order_id]],Raw_orders!A:A, 0)), "Unknown")</f>
        <v>Nordics</v>
      </c>
      <c r="J1179" t="str">
        <f>PROPER(shipments[[#This Row],[delivery_status]])</f>
        <v>Delivered</v>
      </c>
      <c r="K1179" t="s">
        <v>6929</v>
      </c>
    </row>
    <row r="1180" spans="1:11">
      <c r="A1180" t="s">
        <v>8116</v>
      </c>
      <c r="B1180" t="s">
        <v>2027</v>
      </c>
      <c r="C1180" t="s">
        <v>6928</v>
      </c>
      <c r="D1180" s="1">
        <v>45477</v>
      </c>
      <c r="E1180" s="1">
        <v>45482</v>
      </c>
      <c r="F1180" s="1">
        <v>45482</v>
      </c>
      <c r="G1180">
        <v>45.09</v>
      </c>
      <c r="H11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180" t="str">
        <f>IFERROR(INDEX(Raw_orders!G:G, MATCH(shipments[[#This Row],[order_id]],Raw_orders!A:A, 0)), "Unknown")</f>
        <v>Nordics</v>
      </c>
      <c r="J1180" t="str">
        <f>PROPER(shipments[[#This Row],[delivery_status]])</f>
        <v>Delivered</v>
      </c>
      <c r="K1180" t="s">
        <v>6929</v>
      </c>
    </row>
    <row r="1181" spans="1:11">
      <c r="A1181" t="s">
        <v>8117</v>
      </c>
      <c r="B1181" t="s">
        <v>2028</v>
      </c>
      <c r="C1181" t="s">
        <v>6928</v>
      </c>
      <c r="D1181" s="1">
        <v>45515</v>
      </c>
      <c r="E1181" s="1">
        <v>45520</v>
      </c>
      <c r="F1181" s="1">
        <v>45525</v>
      </c>
      <c r="G1181">
        <v>26.85</v>
      </c>
      <c r="H11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81" t="str">
        <f>IFERROR(INDEX(Raw_orders!G:G, MATCH(shipments[[#This Row],[order_id]],Raw_orders!A:A, 0)), "Unknown")</f>
        <v>Central Europe</v>
      </c>
      <c r="J1181" t="str">
        <f>PROPER(shipments[[#This Row],[delivery_status]])</f>
        <v>Delivered</v>
      </c>
      <c r="K1181" t="s">
        <v>6929</v>
      </c>
    </row>
    <row r="1182" spans="1:11">
      <c r="A1182" t="s">
        <v>8118</v>
      </c>
      <c r="B1182" t="s">
        <v>2029</v>
      </c>
      <c r="C1182" t="s">
        <v>6921</v>
      </c>
      <c r="D1182" s="1">
        <v>45533</v>
      </c>
      <c r="E1182" s="1">
        <v>45538</v>
      </c>
      <c r="F1182" s="1">
        <v>45547</v>
      </c>
      <c r="G1182">
        <v>49.3</v>
      </c>
      <c r="H11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82" t="str">
        <f>IFERROR(INDEX(Raw_orders!G:G, MATCH(shipments[[#This Row],[order_id]],Raw_orders!A:A, 0)), "Unknown")</f>
        <v>Baltics</v>
      </c>
      <c r="J1182" t="str">
        <f>PROPER(shipments[[#This Row],[delivery_status]])</f>
        <v>Delivered</v>
      </c>
      <c r="K1182" t="s">
        <v>6929</v>
      </c>
    </row>
    <row r="1183" spans="1:11">
      <c r="A1183" t="s">
        <v>8119</v>
      </c>
      <c r="B1183" t="s">
        <v>2029</v>
      </c>
      <c r="C1183" t="s">
        <v>6949</v>
      </c>
      <c r="D1183" s="1">
        <v>45532</v>
      </c>
      <c r="E1183" s="1">
        <v>45535</v>
      </c>
      <c r="F1183" s="1"/>
      <c r="G1183">
        <v>8.35</v>
      </c>
      <c r="H11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183" t="str">
        <f>IFERROR(INDEX(Raw_orders!G:G, MATCH(shipments[[#This Row],[order_id]],Raw_orders!A:A, 0)), "Unknown")</f>
        <v>Baltics</v>
      </c>
      <c r="J1183" t="str">
        <f>PROPER(shipments[[#This Row],[delivery_status]])</f>
        <v>Cancelled</v>
      </c>
      <c r="K1183" t="s">
        <v>6972</v>
      </c>
    </row>
    <row r="1184" spans="1:11">
      <c r="A1184" t="s">
        <v>8120</v>
      </c>
      <c r="B1184" t="s">
        <v>2030</v>
      </c>
      <c r="C1184" t="s">
        <v>6931</v>
      </c>
      <c r="D1184" s="1">
        <v>45550</v>
      </c>
      <c r="E1184" s="1">
        <v>45552</v>
      </c>
      <c r="F1184" s="1">
        <v>45554</v>
      </c>
      <c r="G1184">
        <v>17.78</v>
      </c>
      <c r="H11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84" t="str">
        <f>IFERROR(INDEX(Raw_orders!G:G, MATCH(shipments[[#This Row],[order_id]],Raw_orders!A:A, 0)), "Unknown")</f>
        <v>Central Europe</v>
      </c>
      <c r="J1184" t="str">
        <f>PROPER(shipments[[#This Row],[delivery_status]])</f>
        <v>Delivered</v>
      </c>
      <c r="K1184" t="s">
        <v>6922</v>
      </c>
    </row>
    <row r="1185" spans="1:11">
      <c r="A1185" t="s">
        <v>8121</v>
      </c>
      <c r="B1185" t="s">
        <v>2031</v>
      </c>
      <c r="C1185" t="s">
        <v>6925</v>
      </c>
      <c r="D1185" s="1">
        <v>45105</v>
      </c>
      <c r="E1185" s="1">
        <v>45110</v>
      </c>
      <c r="F1185" s="1">
        <v>45110</v>
      </c>
      <c r="G1185">
        <v>7.61</v>
      </c>
      <c r="H11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185" t="str">
        <f>IFERROR(INDEX(Raw_orders!G:G, MATCH(shipments[[#This Row],[order_id]],Raw_orders!A:A, 0)), "Unknown")</f>
        <v>Nordics</v>
      </c>
      <c r="J1185" t="str">
        <f>PROPER(shipments[[#This Row],[delivery_status]])</f>
        <v>Delivered</v>
      </c>
      <c r="K1185" t="s">
        <v>6929</v>
      </c>
    </row>
    <row r="1186" spans="1:11">
      <c r="A1186" t="s">
        <v>8122</v>
      </c>
      <c r="B1186" t="s">
        <v>2032</v>
      </c>
      <c r="C1186" t="s">
        <v>6921</v>
      </c>
      <c r="D1186" s="1">
        <v>45450</v>
      </c>
      <c r="E1186" s="1">
        <v>45455</v>
      </c>
      <c r="F1186" s="1">
        <v>45454</v>
      </c>
      <c r="G1186">
        <v>8.93</v>
      </c>
      <c r="H11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186" t="str">
        <f>IFERROR(INDEX(Raw_orders!G:G, MATCH(shipments[[#This Row],[order_id]],Raw_orders!A:A, 0)), "Unknown")</f>
        <v>Nordics</v>
      </c>
      <c r="J1186" t="str">
        <f>PROPER(shipments[[#This Row],[delivery_status]])</f>
        <v>Delivered</v>
      </c>
      <c r="K1186" t="s">
        <v>6926</v>
      </c>
    </row>
    <row r="1187" spans="1:11">
      <c r="A1187" t="s">
        <v>8123</v>
      </c>
      <c r="B1187" t="s">
        <v>2033</v>
      </c>
      <c r="C1187" t="s">
        <v>6940</v>
      </c>
      <c r="D1187" s="1">
        <v>45465</v>
      </c>
      <c r="E1187" s="1">
        <v>45467</v>
      </c>
      <c r="F1187" s="1">
        <v>45470</v>
      </c>
      <c r="G1187">
        <v>32.56</v>
      </c>
      <c r="H11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87" t="str">
        <f>IFERROR(INDEX(Raw_orders!G:G, MATCH(shipments[[#This Row],[order_id]],Raw_orders!A:A, 0)), "Unknown")</f>
        <v>Central Europe</v>
      </c>
      <c r="J1187" t="str">
        <f>PROPER(shipments[[#This Row],[delivery_status]])</f>
        <v>Delivered</v>
      </c>
      <c r="K1187" t="s">
        <v>6922</v>
      </c>
    </row>
    <row r="1188" spans="1:11">
      <c r="A1188" t="s">
        <v>8124</v>
      </c>
      <c r="B1188" t="s">
        <v>2034</v>
      </c>
      <c r="C1188" t="s">
        <v>6931</v>
      </c>
      <c r="D1188" s="1">
        <v>45290</v>
      </c>
      <c r="E1188" s="1">
        <v>45293</v>
      </c>
      <c r="F1188" s="1">
        <v>45294</v>
      </c>
      <c r="G1188">
        <v>27.01</v>
      </c>
      <c r="H11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88" t="str">
        <f>IFERROR(INDEX(Raw_orders!G:G, MATCH(shipments[[#This Row],[order_id]],Raw_orders!A:A, 0)), "Unknown")</f>
        <v>Central Europe</v>
      </c>
      <c r="J1188" t="str">
        <f>PROPER(shipments[[#This Row],[delivery_status]])</f>
        <v>Delivered</v>
      </c>
      <c r="K1188" t="s">
        <v>6922</v>
      </c>
    </row>
    <row r="1189" spans="1:11">
      <c r="A1189" t="s">
        <v>8125</v>
      </c>
      <c r="B1189" t="s">
        <v>2035</v>
      </c>
      <c r="C1189" t="s">
        <v>6925</v>
      </c>
      <c r="D1189" s="1">
        <v>45357</v>
      </c>
      <c r="E1189" s="1">
        <v>45367</v>
      </c>
      <c r="F1189" s="1">
        <v>45375</v>
      </c>
      <c r="G1189">
        <v>23.16</v>
      </c>
      <c r="H11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89" t="str">
        <f>IFERROR(INDEX(Raw_orders!G:G, MATCH(shipments[[#This Row],[order_id]],Raw_orders!A:A, 0)), "Unknown")</f>
        <v>Nordics</v>
      </c>
      <c r="J1189" t="str">
        <f>PROPER(shipments[[#This Row],[delivery_status]])</f>
        <v>Delivered</v>
      </c>
      <c r="K1189" t="s">
        <v>6922</v>
      </c>
    </row>
    <row r="1190" spans="1:11">
      <c r="A1190" t="s">
        <v>8126</v>
      </c>
      <c r="B1190" t="s">
        <v>2036</v>
      </c>
      <c r="C1190" t="s">
        <v>6931</v>
      </c>
      <c r="D1190" s="1">
        <v>45558</v>
      </c>
      <c r="E1190" s="1">
        <v>45561</v>
      </c>
      <c r="F1190" s="1"/>
      <c r="G1190">
        <v>37.97</v>
      </c>
      <c r="H11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190" t="str">
        <f>IFERROR(INDEX(Raw_orders!G:G, MATCH(shipments[[#This Row],[order_id]],Raw_orders!A:A, 0)), "Unknown")</f>
        <v>Nordics</v>
      </c>
      <c r="J1190" t="str">
        <f>PROPER(shipments[[#This Row],[delivery_status]])</f>
        <v>In Transit</v>
      </c>
      <c r="K1190" t="s">
        <v>6958</v>
      </c>
    </row>
    <row r="1191" spans="1:11">
      <c r="A1191" t="s">
        <v>8127</v>
      </c>
      <c r="B1191" t="s">
        <v>2037</v>
      </c>
      <c r="C1191" t="s">
        <v>6956</v>
      </c>
      <c r="D1191" s="1">
        <v>44971</v>
      </c>
      <c r="E1191" s="1">
        <v>44978</v>
      </c>
      <c r="F1191" s="1"/>
      <c r="G1191">
        <v>51.26</v>
      </c>
      <c r="H11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191" t="str">
        <f>IFERROR(INDEX(Raw_orders!G:G, MATCH(shipments[[#This Row],[order_id]],Raw_orders!A:A, 0)), "Unknown")</f>
        <v>Baltics</v>
      </c>
      <c r="J1191" t="str">
        <f>PROPER(shipments[[#This Row],[delivery_status]])</f>
        <v>Cancelled</v>
      </c>
      <c r="K1191" t="s">
        <v>6972</v>
      </c>
    </row>
    <row r="1192" spans="1:11">
      <c r="A1192" t="s">
        <v>8128</v>
      </c>
      <c r="B1192" t="s">
        <v>2037</v>
      </c>
      <c r="C1192" t="s">
        <v>6949</v>
      </c>
      <c r="D1192" s="1">
        <v>44974</v>
      </c>
      <c r="E1192" s="1">
        <v>44984</v>
      </c>
      <c r="F1192" s="1">
        <v>44992</v>
      </c>
      <c r="G1192">
        <v>25.04</v>
      </c>
      <c r="H11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92" t="str">
        <f>IFERROR(INDEX(Raw_orders!G:G, MATCH(shipments[[#This Row],[order_id]],Raw_orders!A:A, 0)), "Unknown")</f>
        <v>Baltics</v>
      </c>
      <c r="J1192" t="str">
        <f>PROPER(shipments[[#This Row],[delivery_status]])</f>
        <v>Delivered</v>
      </c>
      <c r="K1192" t="s">
        <v>6926</v>
      </c>
    </row>
    <row r="1193" spans="1:11">
      <c r="A1193" t="s">
        <v>8129</v>
      </c>
      <c r="B1193" t="s">
        <v>2038</v>
      </c>
      <c r="C1193" t="s">
        <v>6935</v>
      </c>
      <c r="D1193" s="1">
        <v>45421</v>
      </c>
      <c r="E1193" s="1">
        <v>45423</v>
      </c>
      <c r="F1193" s="1">
        <v>45432</v>
      </c>
      <c r="G1193">
        <v>20.149999999999999</v>
      </c>
      <c r="H11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93" t="str">
        <f>IFERROR(INDEX(Raw_orders!G:G, MATCH(shipments[[#This Row],[order_id]],Raw_orders!A:A, 0)), "Unknown")</f>
        <v>Central Europe</v>
      </c>
      <c r="J1193" t="str">
        <f>PROPER(shipments[[#This Row],[delivery_status]])</f>
        <v>Delivered</v>
      </c>
      <c r="K1193" t="s">
        <v>6929</v>
      </c>
    </row>
    <row r="1194" spans="1:11">
      <c r="A1194" t="s">
        <v>8130</v>
      </c>
      <c r="B1194" t="s">
        <v>2039</v>
      </c>
      <c r="C1194" t="s">
        <v>6935</v>
      </c>
      <c r="D1194" s="1">
        <v>45426</v>
      </c>
      <c r="E1194" s="1">
        <v>45433</v>
      </c>
      <c r="F1194" s="1">
        <v>45441</v>
      </c>
      <c r="G1194">
        <v>22.43</v>
      </c>
      <c r="H11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94" t="str">
        <f>IFERROR(INDEX(Raw_orders!G:G, MATCH(shipments[[#This Row],[order_id]],Raw_orders!A:A, 0)), "Unknown")</f>
        <v>Central Europe</v>
      </c>
      <c r="J1194" t="str">
        <f>PROPER(shipments[[#This Row],[delivery_status]])</f>
        <v>Delivered</v>
      </c>
      <c r="K1194" t="s">
        <v>6929</v>
      </c>
    </row>
    <row r="1195" spans="1:11">
      <c r="A1195" t="s">
        <v>8131</v>
      </c>
      <c r="B1195" t="s">
        <v>2040</v>
      </c>
      <c r="C1195" t="s">
        <v>6925</v>
      </c>
      <c r="D1195" s="1">
        <v>45198</v>
      </c>
      <c r="E1195" s="1">
        <v>45208</v>
      </c>
      <c r="F1195" s="1">
        <v>45207</v>
      </c>
      <c r="G1195">
        <v>49.59</v>
      </c>
      <c r="H11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195" t="str">
        <f>IFERROR(INDEX(Raw_orders!G:G, MATCH(shipments[[#This Row],[order_id]],Raw_orders!A:A, 0)), "Unknown")</f>
        <v>Central Europe</v>
      </c>
      <c r="J1195" t="str">
        <f>PROPER(shipments[[#This Row],[delivery_status]])</f>
        <v>Delivered</v>
      </c>
      <c r="K1195" t="s">
        <v>6926</v>
      </c>
    </row>
    <row r="1196" spans="1:11">
      <c r="A1196" t="s">
        <v>8132</v>
      </c>
      <c r="B1196" t="s">
        <v>2041</v>
      </c>
      <c r="C1196" t="s">
        <v>6940</v>
      </c>
      <c r="D1196" s="1">
        <v>44942</v>
      </c>
      <c r="E1196" s="1">
        <v>44947</v>
      </c>
      <c r="F1196" s="1"/>
      <c r="G1196">
        <v>34.83</v>
      </c>
      <c r="H11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196" t="str">
        <f>IFERROR(INDEX(Raw_orders!G:G, MATCH(shipments[[#This Row],[order_id]],Raw_orders!A:A, 0)), "Unknown")</f>
        <v>Nordics</v>
      </c>
      <c r="J1196" t="str">
        <f>PROPER(shipments[[#This Row],[delivery_status]])</f>
        <v>In Transit</v>
      </c>
      <c r="K1196" t="s">
        <v>6958</v>
      </c>
    </row>
    <row r="1197" spans="1:11">
      <c r="A1197" t="s">
        <v>8133</v>
      </c>
      <c r="B1197" t="s">
        <v>2042</v>
      </c>
      <c r="C1197" t="s">
        <v>6931</v>
      </c>
      <c r="D1197" s="1">
        <v>44934</v>
      </c>
      <c r="E1197" s="1">
        <v>44941</v>
      </c>
      <c r="F1197" s="1">
        <v>44949</v>
      </c>
      <c r="G1197">
        <v>13.58</v>
      </c>
      <c r="H11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97" t="str">
        <f>IFERROR(INDEX(Raw_orders!G:G, MATCH(shipments[[#This Row],[order_id]],Raw_orders!A:A, 0)), "Unknown")</f>
        <v>Nordics</v>
      </c>
      <c r="J1197" t="str">
        <f>PROPER(shipments[[#This Row],[delivery_status]])</f>
        <v>Delivered</v>
      </c>
      <c r="K1197" t="s">
        <v>6929</v>
      </c>
    </row>
    <row r="1198" spans="1:11">
      <c r="A1198" t="s">
        <v>8134</v>
      </c>
      <c r="B1198" t="s">
        <v>2043</v>
      </c>
      <c r="C1198" t="s">
        <v>6931</v>
      </c>
      <c r="D1198" s="1">
        <v>44932</v>
      </c>
      <c r="E1198" s="1">
        <v>44942</v>
      </c>
      <c r="F1198" s="1"/>
      <c r="G1198">
        <v>45.41</v>
      </c>
      <c r="H11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198" t="str">
        <f>IFERROR(INDEX(Raw_orders!G:G, MATCH(shipments[[#This Row],[order_id]],Raw_orders!A:A, 0)), "Unknown")</f>
        <v>Nordics</v>
      </c>
      <c r="J1198" t="str">
        <f>PROPER(shipments[[#This Row],[delivery_status]])</f>
        <v>In Transit</v>
      </c>
      <c r="K1198" t="s">
        <v>6946</v>
      </c>
    </row>
    <row r="1199" spans="1:11">
      <c r="A1199" t="s">
        <v>8135</v>
      </c>
      <c r="B1199" t="s">
        <v>2044</v>
      </c>
      <c r="C1199" t="s">
        <v>6938</v>
      </c>
      <c r="D1199" s="1">
        <v>45494</v>
      </c>
      <c r="E1199" s="1">
        <v>45499</v>
      </c>
      <c r="F1199" s="1">
        <v>45502</v>
      </c>
      <c r="G1199">
        <v>18.41</v>
      </c>
      <c r="H11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199" t="str">
        <f>IFERROR(INDEX(Raw_orders!G:G, MATCH(shipments[[#This Row],[order_id]],Raw_orders!A:A, 0)), "Unknown")</f>
        <v>Nordics</v>
      </c>
      <c r="J1199" t="str">
        <f>PROPER(shipments[[#This Row],[delivery_status]])</f>
        <v>Delivered</v>
      </c>
      <c r="K1199" t="s">
        <v>6922</v>
      </c>
    </row>
    <row r="1200" spans="1:11">
      <c r="A1200" t="s">
        <v>8136</v>
      </c>
      <c r="B1200" t="s">
        <v>2044</v>
      </c>
      <c r="C1200" t="s">
        <v>6956</v>
      </c>
      <c r="D1200" s="1">
        <v>45496</v>
      </c>
      <c r="E1200" s="1">
        <v>45503</v>
      </c>
      <c r="F1200" s="1">
        <v>45508</v>
      </c>
      <c r="G1200">
        <v>51.08</v>
      </c>
      <c r="H12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00" t="str">
        <f>IFERROR(INDEX(Raw_orders!G:G, MATCH(shipments[[#This Row],[order_id]],Raw_orders!A:A, 0)), "Unknown")</f>
        <v>Nordics</v>
      </c>
      <c r="J1200" t="str">
        <f>PROPER(shipments[[#This Row],[delivery_status]])</f>
        <v>Delivered</v>
      </c>
      <c r="K1200" t="s">
        <v>6929</v>
      </c>
    </row>
    <row r="1201" spans="1:11">
      <c r="A1201" t="s">
        <v>8137</v>
      </c>
      <c r="B1201" t="s">
        <v>2045</v>
      </c>
      <c r="C1201" t="s">
        <v>6940</v>
      </c>
      <c r="D1201" s="1">
        <v>45460</v>
      </c>
      <c r="E1201" s="1">
        <v>45465</v>
      </c>
      <c r="F1201" s="1">
        <v>45466</v>
      </c>
      <c r="G1201">
        <v>31.24</v>
      </c>
      <c r="H12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01" t="str">
        <f>IFERROR(INDEX(Raw_orders!G:G, MATCH(shipments[[#This Row],[order_id]],Raw_orders!A:A, 0)), "Unknown")</f>
        <v>Central Europe</v>
      </c>
      <c r="J1201" t="str">
        <f>PROPER(shipments[[#This Row],[delivery_status]])</f>
        <v>Delivered</v>
      </c>
      <c r="K1201" t="s">
        <v>6929</v>
      </c>
    </row>
    <row r="1202" spans="1:11">
      <c r="A1202" t="s">
        <v>8138</v>
      </c>
      <c r="B1202" t="s">
        <v>2046</v>
      </c>
      <c r="C1202" t="s">
        <v>6935</v>
      </c>
      <c r="D1202" s="1">
        <v>45161</v>
      </c>
      <c r="E1202" s="1">
        <v>45171</v>
      </c>
      <c r="F1202" s="1">
        <v>45177</v>
      </c>
      <c r="G1202">
        <v>8.64</v>
      </c>
      <c r="H12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02" t="str">
        <f>IFERROR(INDEX(Raw_orders!G:G, MATCH(shipments[[#This Row],[order_id]],Raw_orders!A:A, 0)), "Unknown")</f>
        <v>Central Europe</v>
      </c>
      <c r="J1202" t="str">
        <f>PROPER(shipments[[#This Row],[delivery_status]])</f>
        <v>Delivered</v>
      </c>
      <c r="K1202" t="s">
        <v>6922</v>
      </c>
    </row>
    <row r="1203" spans="1:11">
      <c r="A1203" t="s">
        <v>8139</v>
      </c>
      <c r="B1203" t="s">
        <v>2047</v>
      </c>
      <c r="C1203" t="s">
        <v>6935</v>
      </c>
      <c r="D1203" s="1">
        <v>44951</v>
      </c>
      <c r="E1203" s="1">
        <v>44958</v>
      </c>
      <c r="F1203" s="1"/>
      <c r="G1203">
        <v>41.67</v>
      </c>
      <c r="H12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203" t="str">
        <f>IFERROR(INDEX(Raw_orders!G:G, MATCH(shipments[[#This Row],[order_id]],Raw_orders!A:A, 0)), "Unknown")</f>
        <v>Central Europe</v>
      </c>
      <c r="J1203" t="str">
        <f>PROPER(shipments[[#This Row],[delivery_status]])</f>
        <v>In Transit</v>
      </c>
      <c r="K1203" t="s">
        <v>6958</v>
      </c>
    </row>
    <row r="1204" spans="1:11">
      <c r="A1204" t="s">
        <v>8140</v>
      </c>
      <c r="B1204" t="s">
        <v>2048</v>
      </c>
      <c r="C1204" t="s">
        <v>6921</v>
      </c>
      <c r="D1204" s="1">
        <v>45603</v>
      </c>
      <c r="E1204" s="1">
        <v>45605</v>
      </c>
      <c r="F1204" s="1">
        <v>45607</v>
      </c>
      <c r="G1204">
        <v>56.06</v>
      </c>
      <c r="H12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04" t="str">
        <f>IFERROR(INDEX(Raw_orders!G:G, MATCH(shipments[[#This Row],[order_id]],Raw_orders!A:A, 0)), "Unknown")</f>
        <v>Baltics</v>
      </c>
      <c r="J1204" t="str">
        <f>PROPER(shipments[[#This Row],[delivery_status]])</f>
        <v>Delivered</v>
      </c>
      <c r="K1204" t="s">
        <v>6929</v>
      </c>
    </row>
    <row r="1205" spans="1:11">
      <c r="A1205" t="s">
        <v>8141</v>
      </c>
      <c r="B1205" t="s">
        <v>2048</v>
      </c>
      <c r="C1205" t="s">
        <v>6940</v>
      </c>
      <c r="D1205" s="1">
        <v>45600</v>
      </c>
      <c r="E1205" s="1">
        <v>45605</v>
      </c>
      <c r="F1205" s="1">
        <v>45604</v>
      </c>
      <c r="G1205">
        <v>57.34</v>
      </c>
      <c r="H12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05" t="str">
        <f>IFERROR(INDEX(Raw_orders!G:G, MATCH(shipments[[#This Row],[order_id]],Raw_orders!A:A, 0)), "Unknown")</f>
        <v>Baltics</v>
      </c>
      <c r="J1205" t="str">
        <f>PROPER(shipments[[#This Row],[delivery_status]])</f>
        <v>Delivered</v>
      </c>
      <c r="K1205" t="s">
        <v>6926</v>
      </c>
    </row>
    <row r="1206" spans="1:11">
      <c r="A1206" t="s">
        <v>8142</v>
      </c>
      <c r="B1206" t="s">
        <v>2049</v>
      </c>
      <c r="C1206" t="s">
        <v>6938</v>
      </c>
      <c r="D1206" s="1">
        <v>45169</v>
      </c>
      <c r="E1206" s="1">
        <v>45179</v>
      </c>
      <c r="F1206" s="1">
        <v>45179</v>
      </c>
      <c r="G1206">
        <v>45.71</v>
      </c>
      <c r="H12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06" t="str">
        <f>IFERROR(INDEX(Raw_orders!G:G, MATCH(shipments[[#This Row],[order_id]],Raw_orders!A:A, 0)), "Unknown")</f>
        <v>Nordics</v>
      </c>
      <c r="J1206" t="str">
        <f>PROPER(shipments[[#This Row],[delivery_status]])</f>
        <v>Delivered</v>
      </c>
      <c r="K1206" t="s">
        <v>6922</v>
      </c>
    </row>
    <row r="1207" spans="1:11">
      <c r="A1207" t="s">
        <v>8143</v>
      </c>
      <c r="B1207" t="s">
        <v>2050</v>
      </c>
      <c r="C1207" t="s">
        <v>6935</v>
      </c>
      <c r="D1207" s="1">
        <v>45469</v>
      </c>
      <c r="E1207" s="1">
        <v>45476</v>
      </c>
      <c r="F1207" s="1">
        <v>45484</v>
      </c>
      <c r="G1207">
        <v>44.14</v>
      </c>
      <c r="H12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07" t="str">
        <f>IFERROR(INDEX(Raw_orders!G:G, MATCH(shipments[[#This Row],[order_id]],Raw_orders!A:A, 0)), "Unknown")</f>
        <v>Nordics</v>
      </c>
      <c r="J1207" t="str">
        <f>PROPER(shipments[[#This Row],[delivery_status]])</f>
        <v>Delivered</v>
      </c>
      <c r="K1207" t="s">
        <v>6922</v>
      </c>
    </row>
    <row r="1208" spans="1:11">
      <c r="A1208" t="s">
        <v>8144</v>
      </c>
      <c r="B1208" t="s">
        <v>2051</v>
      </c>
      <c r="C1208" t="s">
        <v>6956</v>
      </c>
      <c r="D1208" s="1">
        <v>45104</v>
      </c>
      <c r="E1208" s="1">
        <v>45106</v>
      </c>
      <c r="F1208" s="1"/>
      <c r="G1208">
        <v>59.21</v>
      </c>
      <c r="H12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208" t="str">
        <f>IFERROR(INDEX(Raw_orders!G:G, MATCH(shipments[[#This Row],[order_id]],Raw_orders!A:A, 0)), "Unknown")</f>
        <v>Central Europe</v>
      </c>
      <c r="J1208" t="str">
        <f>PROPER(shipments[[#This Row],[delivery_status]])</f>
        <v>In Transit</v>
      </c>
      <c r="K1208" t="s">
        <v>6958</v>
      </c>
    </row>
    <row r="1209" spans="1:11">
      <c r="A1209" t="s">
        <v>8145</v>
      </c>
      <c r="B1209" t="s">
        <v>2052</v>
      </c>
      <c r="C1209" t="s">
        <v>6928</v>
      </c>
      <c r="D1209" s="1">
        <v>45411</v>
      </c>
      <c r="E1209" s="1">
        <v>45416</v>
      </c>
      <c r="F1209" s="1">
        <v>45416</v>
      </c>
      <c r="G1209">
        <v>23.72</v>
      </c>
      <c r="H12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09" t="str">
        <f>IFERROR(INDEX(Raw_orders!G:G, MATCH(shipments[[#This Row],[order_id]],Raw_orders!A:A, 0)), "Unknown")</f>
        <v>Nordics</v>
      </c>
      <c r="J1209" t="str">
        <f>PROPER(shipments[[#This Row],[delivery_status]])</f>
        <v>Delivered</v>
      </c>
      <c r="K1209" t="s">
        <v>6929</v>
      </c>
    </row>
    <row r="1210" spans="1:11">
      <c r="A1210" t="s">
        <v>8146</v>
      </c>
      <c r="B1210" t="s">
        <v>2053</v>
      </c>
      <c r="C1210" t="s">
        <v>6940</v>
      </c>
      <c r="D1210" s="1">
        <v>45072</v>
      </c>
      <c r="E1210" s="1">
        <v>45079</v>
      </c>
      <c r="F1210" s="1">
        <v>45082</v>
      </c>
      <c r="G1210">
        <v>64.680000000000007</v>
      </c>
      <c r="H12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10" t="str">
        <f>IFERROR(INDEX(Raw_orders!G:G, MATCH(shipments[[#This Row],[order_id]],Raw_orders!A:A, 0)), "Unknown")</f>
        <v>Baltics</v>
      </c>
      <c r="J1210" t="str">
        <f>PROPER(shipments[[#This Row],[delivery_status]])</f>
        <v>Delivered</v>
      </c>
      <c r="K1210" t="s">
        <v>6926</v>
      </c>
    </row>
    <row r="1211" spans="1:11">
      <c r="A1211" t="s">
        <v>8147</v>
      </c>
      <c r="B1211" t="s">
        <v>2054</v>
      </c>
      <c r="C1211" t="s">
        <v>6925</v>
      </c>
      <c r="D1211" s="1">
        <v>45342</v>
      </c>
      <c r="E1211" s="1">
        <v>45349</v>
      </c>
      <c r="F1211" s="1">
        <v>45349</v>
      </c>
      <c r="G1211">
        <v>16.27</v>
      </c>
      <c r="H12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11" t="str">
        <f>IFERROR(INDEX(Raw_orders!G:G, MATCH(shipments[[#This Row],[order_id]],Raw_orders!A:A, 0)), "Unknown")</f>
        <v>Baltics</v>
      </c>
      <c r="J1211" t="str">
        <f>PROPER(shipments[[#This Row],[delivery_status]])</f>
        <v>Delivered</v>
      </c>
      <c r="K1211" t="s">
        <v>6922</v>
      </c>
    </row>
    <row r="1212" spans="1:11">
      <c r="A1212" t="s">
        <v>8148</v>
      </c>
      <c r="B1212" t="s">
        <v>2055</v>
      </c>
      <c r="C1212" t="s">
        <v>6921</v>
      </c>
      <c r="D1212" s="1">
        <v>45613</v>
      </c>
      <c r="E1212" s="1">
        <v>45615</v>
      </c>
      <c r="F1212" s="1">
        <v>45620</v>
      </c>
      <c r="G1212">
        <v>42.92</v>
      </c>
      <c r="H12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12" t="str">
        <f>IFERROR(INDEX(Raw_orders!G:G, MATCH(shipments[[#This Row],[order_id]],Raw_orders!A:A, 0)), "Unknown")</f>
        <v>Baltics</v>
      </c>
      <c r="J1212" t="str">
        <f>PROPER(shipments[[#This Row],[delivery_status]])</f>
        <v>Delivered</v>
      </c>
      <c r="K1212" t="s">
        <v>6922</v>
      </c>
    </row>
    <row r="1213" spans="1:11">
      <c r="A1213" t="s">
        <v>8149</v>
      </c>
      <c r="B1213" t="s">
        <v>2056</v>
      </c>
      <c r="C1213" t="s">
        <v>6928</v>
      </c>
      <c r="D1213" s="1">
        <v>44947</v>
      </c>
      <c r="E1213" s="1">
        <v>44950</v>
      </c>
      <c r="F1213" s="1">
        <v>44958</v>
      </c>
      <c r="G1213">
        <v>47.13</v>
      </c>
      <c r="H12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13" t="str">
        <f>IFERROR(INDEX(Raw_orders!G:G, MATCH(shipments[[#This Row],[order_id]],Raw_orders!A:A, 0)), "Unknown")</f>
        <v>Nordics</v>
      </c>
      <c r="J1213" t="str">
        <f>PROPER(shipments[[#This Row],[delivery_status]])</f>
        <v>Delivered</v>
      </c>
      <c r="K1213" t="s">
        <v>6929</v>
      </c>
    </row>
    <row r="1214" spans="1:11">
      <c r="A1214" t="s">
        <v>8150</v>
      </c>
      <c r="B1214" t="s">
        <v>2057</v>
      </c>
      <c r="C1214" t="s">
        <v>6935</v>
      </c>
      <c r="D1214" s="1">
        <v>45472</v>
      </c>
      <c r="E1214" s="1">
        <v>45479</v>
      </c>
      <c r="F1214" s="1"/>
      <c r="G1214">
        <v>19.34</v>
      </c>
      <c r="H12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214" t="str">
        <f>IFERROR(INDEX(Raw_orders!G:G, MATCH(shipments[[#This Row],[order_id]],Raw_orders!A:A, 0)), "Unknown")</f>
        <v>Central Europe</v>
      </c>
      <c r="J1214" t="str">
        <f>PROPER(shipments[[#This Row],[delivery_status]])</f>
        <v>Cancelled</v>
      </c>
      <c r="K1214" t="s">
        <v>6972</v>
      </c>
    </row>
    <row r="1215" spans="1:11">
      <c r="A1215" t="s">
        <v>8151</v>
      </c>
      <c r="B1215" t="s">
        <v>2058</v>
      </c>
      <c r="C1215" t="s">
        <v>6935</v>
      </c>
      <c r="D1215" s="1">
        <v>45296</v>
      </c>
      <c r="E1215" s="1">
        <v>45301</v>
      </c>
      <c r="F1215" s="1">
        <v>45309</v>
      </c>
      <c r="G1215">
        <v>32.56</v>
      </c>
      <c r="H12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15" t="str">
        <f>IFERROR(INDEX(Raw_orders!G:G, MATCH(shipments[[#This Row],[order_id]],Raw_orders!A:A, 0)), "Unknown")</f>
        <v>Central Europe</v>
      </c>
      <c r="J1215" t="str">
        <f>PROPER(shipments[[#This Row],[delivery_status]])</f>
        <v>Delivered</v>
      </c>
      <c r="K1215" t="s">
        <v>6922</v>
      </c>
    </row>
    <row r="1216" spans="1:11">
      <c r="A1216" t="s">
        <v>8152</v>
      </c>
      <c r="B1216" t="s">
        <v>2059</v>
      </c>
      <c r="C1216" t="s">
        <v>6931</v>
      </c>
      <c r="D1216" s="1">
        <v>45202</v>
      </c>
      <c r="E1216" s="1">
        <v>45204</v>
      </c>
      <c r="F1216" s="1"/>
      <c r="G1216">
        <v>44.85</v>
      </c>
      <c r="H12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216" t="str">
        <f>IFERROR(INDEX(Raw_orders!G:G, MATCH(shipments[[#This Row],[order_id]],Raw_orders!A:A, 0)), "Unknown")</f>
        <v>Nordics</v>
      </c>
      <c r="J1216" t="str">
        <f>PROPER(shipments[[#This Row],[delivery_status]])</f>
        <v>Cancelled</v>
      </c>
      <c r="K1216" t="s">
        <v>6979</v>
      </c>
    </row>
    <row r="1217" spans="1:11">
      <c r="A1217" t="s">
        <v>8153</v>
      </c>
      <c r="B1217" t="s">
        <v>2060</v>
      </c>
      <c r="C1217" t="s">
        <v>6938</v>
      </c>
      <c r="D1217" s="1">
        <v>45261</v>
      </c>
      <c r="E1217" s="1">
        <v>45268</v>
      </c>
      <c r="F1217" s="1">
        <v>45267</v>
      </c>
      <c r="G1217">
        <v>35.619999999999997</v>
      </c>
      <c r="H12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17" t="str">
        <f>IFERROR(INDEX(Raw_orders!G:G, MATCH(shipments[[#This Row],[order_id]],Raw_orders!A:A, 0)), "Unknown")</f>
        <v>Nordics</v>
      </c>
      <c r="J1217" t="str">
        <f>PROPER(shipments[[#This Row],[delivery_status]])</f>
        <v>Delivered</v>
      </c>
      <c r="K1217" t="s">
        <v>6926</v>
      </c>
    </row>
    <row r="1218" spans="1:11">
      <c r="A1218" t="s">
        <v>8154</v>
      </c>
      <c r="B1218" t="s">
        <v>2061</v>
      </c>
      <c r="C1218" t="s">
        <v>6940</v>
      </c>
      <c r="D1218" s="1">
        <v>45516</v>
      </c>
      <c r="E1218" s="1">
        <v>45523</v>
      </c>
      <c r="F1218" s="1">
        <v>45523</v>
      </c>
      <c r="G1218">
        <v>20.5</v>
      </c>
      <c r="H12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18" t="str">
        <f>IFERROR(INDEX(Raw_orders!G:G, MATCH(shipments[[#This Row],[order_id]],Raw_orders!A:A, 0)), "Unknown")</f>
        <v>Nordics</v>
      </c>
      <c r="J1218" t="str">
        <f>PROPER(shipments[[#This Row],[delivery_status]])</f>
        <v>Delivered</v>
      </c>
      <c r="K1218" t="s">
        <v>6929</v>
      </c>
    </row>
    <row r="1219" spans="1:11">
      <c r="A1219" t="s">
        <v>8155</v>
      </c>
      <c r="B1219" t="s">
        <v>2062</v>
      </c>
      <c r="C1219" t="s">
        <v>6940</v>
      </c>
      <c r="D1219" s="1">
        <v>45391</v>
      </c>
      <c r="E1219" s="1">
        <v>45401</v>
      </c>
      <c r="F1219" s="1"/>
      <c r="G1219">
        <v>31.25</v>
      </c>
      <c r="H12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219" t="str">
        <f>IFERROR(INDEX(Raw_orders!G:G, MATCH(shipments[[#This Row],[order_id]],Raw_orders!A:A, 0)), "Unknown")</f>
        <v>Nordics</v>
      </c>
      <c r="J1219" t="str">
        <f>PROPER(shipments[[#This Row],[delivery_status]])</f>
        <v>In Transit</v>
      </c>
      <c r="K1219" t="s">
        <v>6977</v>
      </c>
    </row>
    <row r="1220" spans="1:11">
      <c r="A1220" t="s">
        <v>8156</v>
      </c>
      <c r="B1220" t="s">
        <v>2063</v>
      </c>
      <c r="C1220" t="s">
        <v>6925</v>
      </c>
      <c r="D1220" s="1">
        <v>45517</v>
      </c>
      <c r="E1220" s="1">
        <v>45519</v>
      </c>
      <c r="F1220" s="1">
        <v>45519</v>
      </c>
      <c r="G1220">
        <v>13.52</v>
      </c>
      <c r="H12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20" t="str">
        <f>IFERROR(INDEX(Raw_orders!G:G, MATCH(shipments[[#This Row],[order_id]],Raw_orders!A:A, 0)), "Unknown")</f>
        <v>Central Europe</v>
      </c>
      <c r="J1220" t="str">
        <f>PROPER(shipments[[#This Row],[delivery_status]])</f>
        <v>Delivered</v>
      </c>
      <c r="K1220" t="s">
        <v>6922</v>
      </c>
    </row>
    <row r="1221" spans="1:11">
      <c r="A1221" t="s">
        <v>8157</v>
      </c>
      <c r="B1221" t="s">
        <v>2064</v>
      </c>
      <c r="C1221" t="s">
        <v>6931</v>
      </c>
      <c r="D1221" s="1">
        <v>45156</v>
      </c>
      <c r="E1221" s="1">
        <v>45161</v>
      </c>
      <c r="F1221" s="1">
        <v>45161</v>
      </c>
      <c r="G1221">
        <v>40.549999999999997</v>
      </c>
      <c r="H12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21" t="str">
        <f>IFERROR(INDEX(Raw_orders!G:G, MATCH(shipments[[#This Row],[order_id]],Raw_orders!A:A, 0)), "Unknown")</f>
        <v>Baltics</v>
      </c>
      <c r="J1221" t="str">
        <f>PROPER(shipments[[#This Row],[delivery_status]])</f>
        <v>Delivered</v>
      </c>
      <c r="K1221" t="s">
        <v>6922</v>
      </c>
    </row>
    <row r="1222" spans="1:11">
      <c r="A1222" t="s">
        <v>8158</v>
      </c>
      <c r="B1222" t="s">
        <v>2065</v>
      </c>
      <c r="C1222" t="s">
        <v>6956</v>
      </c>
      <c r="D1222" s="1">
        <v>45506</v>
      </c>
      <c r="E1222" s="1">
        <v>45511</v>
      </c>
      <c r="F1222" s="1"/>
      <c r="G1222">
        <v>39.130000000000003</v>
      </c>
      <c r="H12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222" t="str">
        <f>IFERROR(INDEX(Raw_orders!G:G, MATCH(shipments[[#This Row],[order_id]],Raw_orders!A:A, 0)), "Unknown")</f>
        <v>Nordics</v>
      </c>
      <c r="J1222" t="str">
        <f>PROPER(shipments[[#This Row],[delivery_status]])</f>
        <v>Cancelled</v>
      </c>
      <c r="K1222" t="s">
        <v>6972</v>
      </c>
    </row>
    <row r="1223" spans="1:11">
      <c r="A1223" t="s">
        <v>8159</v>
      </c>
      <c r="B1223" t="s">
        <v>2066</v>
      </c>
      <c r="C1223" t="s">
        <v>6925</v>
      </c>
      <c r="D1223" s="1">
        <v>45219</v>
      </c>
      <c r="E1223" s="1">
        <v>45226</v>
      </c>
      <c r="F1223" s="1">
        <v>45231</v>
      </c>
      <c r="G1223">
        <v>32.04</v>
      </c>
      <c r="H12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23" t="str">
        <f>IFERROR(INDEX(Raw_orders!G:G, MATCH(shipments[[#This Row],[order_id]],Raw_orders!A:A, 0)), "Unknown")</f>
        <v>Central Europe</v>
      </c>
      <c r="J1223" t="str">
        <f>PROPER(shipments[[#This Row],[delivery_status]])</f>
        <v>Delivered</v>
      </c>
      <c r="K1223" t="s">
        <v>6926</v>
      </c>
    </row>
    <row r="1224" spans="1:11">
      <c r="A1224" t="s">
        <v>8160</v>
      </c>
      <c r="B1224" t="s">
        <v>2067</v>
      </c>
      <c r="C1224" t="s">
        <v>6921</v>
      </c>
      <c r="D1224" s="1">
        <v>45155</v>
      </c>
      <c r="E1224" s="1">
        <v>45165</v>
      </c>
      <c r="F1224" s="1"/>
      <c r="G1224">
        <v>36.49</v>
      </c>
      <c r="H12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224" t="str">
        <f>IFERROR(INDEX(Raw_orders!G:G, MATCH(shipments[[#This Row],[order_id]],Raw_orders!A:A, 0)), "Unknown")</f>
        <v>Nordics</v>
      </c>
      <c r="J1224" t="str">
        <f>PROPER(shipments[[#This Row],[delivery_status]])</f>
        <v>In Transit</v>
      </c>
      <c r="K1224" t="s">
        <v>6958</v>
      </c>
    </row>
    <row r="1225" spans="1:11">
      <c r="A1225" t="s">
        <v>8161</v>
      </c>
      <c r="B1225" t="s">
        <v>2068</v>
      </c>
      <c r="C1225" t="s">
        <v>6938</v>
      </c>
      <c r="D1225" s="1">
        <v>45594</v>
      </c>
      <c r="E1225" s="1">
        <v>45597</v>
      </c>
      <c r="F1225" s="1">
        <v>45597</v>
      </c>
      <c r="G1225">
        <v>28.2</v>
      </c>
      <c r="H12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25" t="str">
        <f>IFERROR(INDEX(Raw_orders!G:G, MATCH(shipments[[#This Row],[order_id]],Raw_orders!A:A, 0)), "Unknown")</f>
        <v>Central Europe</v>
      </c>
      <c r="J1225" t="str">
        <f>PROPER(shipments[[#This Row],[delivery_status]])</f>
        <v>Delivered</v>
      </c>
      <c r="K1225" t="s">
        <v>6922</v>
      </c>
    </row>
    <row r="1226" spans="1:11">
      <c r="A1226" t="s">
        <v>8162</v>
      </c>
      <c r="B1226" t="s">
        <v>2069</v>
      </c>
      <c r="C1226" t="s">
        <v>6925</v>
      </c>
      <c r="D1226" s="1">
        <v>45197</v>
      </c>
      <c r="E1226" s="1">
        <v>45202</v>
      </c>
      <c r="F1226" s="1">
        <v>45202</v>
      </c>
      <c r="G1226">
        <v>26.25</v>
      </c>
      <c r="H12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26" t="str">
        <f>IFERROR(INDEX(Raw_orders!G:G, MATCH(shipments[[#This Row],[order_id]],Raw_orders!A:A, 0)), "Unknown")</f>
        <v>Central Europe</v>
      </c>
      <c r="J1226" t="str">
        <f>PROPER(shipments[[#This Row],[delivery_status]])</f>
        <v>Delivered</v>
      </c>
      <c r="K1226" t="s">
        <v>6922</v>
      </c>
    </row>
    <row r="1227" spans="1:11">
      <c r="A1227" t="s">
        <v>8163</v>
      </c>
      <c r="B1227" t="s">
        <v>2070</v>
      </c>
      <c r="C1227" t="s">
        <v>6938</v>
      </c>
      <c r="D1227" s="1">
        <v>45572</v>
      </c>
      <c r="E1227" s="1">
        <v>45574</v>
      </c>
      <c r="F1227" s="1">
        <v>45574</v>
      </c>
      <c r="G1227">
        <v>43.81</v>
      </c>
      <c r="H12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27" t="str">
        <f>IFERROR(INDEX(Raw_orders!G:G, MATCH(shipments[[#This Row],[order_id]],Raw_orders!A:A, 0)), "Unknown")</f>
        <v>Nordics</v>
      </c>
      <c r="J1227" t="str">
        <f>PROPER(shipments[[#This Row],[delivery_status]])</f>
        <v>Delivered</v>
      </c>
      <c r="K1227" t="s">
        <v>6922</v>
      </c>
    </row>
    <row r="1228" spans="1:11">
      <c r="A1228" t="s">
        <v>8164</v>
      </c>
      <c r="B1228" t="s">
        <v>2071</v>
      </c>
      <c r="C1228" t="s">
        <v>6925</v>
      </c>
      <c r="D1228" s="1">
        <v>44949</v>
      </c>
      <c r="E1228" s="1">
        <v>44954</v>
      </c>
      <c r="F1228" s="1">
        <v>44954</v>
      </c>
      <c r="G1228">
        <v>55.79</v>
      </c>
      <c r="H12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28" t="str">
        <f>IFERROR(INDEX(Raw_orders!G:G, MATCH(shipments[[#This Row],[order_id]],Raw_orders!A:A, 0)), "Unknown")</f>
        <v>Nordics</v>
      </c>
      <c r="J1228" t="str">
        <f>PROPER(shipments[[#This Row],[delivery_status]])</f>
        <v>Delivered</v>
      </c>
      <c r="K1228" t="s">
        <v>6926</v>
      </c>
    </row>
    <row r="1229" spans="1:11">
      <c r="A1229" t="s">
        <v>8165</v>
      </c>
      <c r="B1229" t="s">
        <v>2072</v>
      </c>
      <c r="C1229" t="s">
        <v>6935</v>
      </c>
      <c r="D1229" s="1">
        <v>45002</v>
      </c>
      <c r="E1229" s="1">
        <v>45012</v>
      </c>
      <c r="F1229" s="1">
        <v>45012</v>
      </c>
      <c r="H12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29" t="str">
        <f>IFERROR(INDEX(Raw_orders!G:G, MATCH(shipments[[#This Row],[order_id]],Raw_orders!A:A, 0)), "Unknown")</f>
        <v>Baltics</v>
      </c>
      <c r="J1229" t="str">
        <f>PROPER(shipments[[#This Row],[delivery_status]])</f>
        <v>Delivered</v>
      </c>
      <c r="K1229" t="s">
        <v>6926</v>
      </c>
    </row>
    <row r="1230" spans="1:11">
      <c r="A1230" t="s">
        <v>8166</v>
      </c>
      <c r="B1230" t="s">
        <v>2073</v>
      </c>
      <c r="C1230" t="s">
        <v>6935</v>
      </c>
      <c r="D1230" s="1">
        <v>45271</v>
      </c>
      <c r="E1230" s="1">
        <v>45276</v>
      </c>
      <c r="F1230" s="1">
        <v>45278</v>
      </c>
      <c r="G1230">
        <v>50.64</v>
      </c>
      <c r="H12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30" t="str">
        <f>IFERROR(INDEX(Raw_orders!G:G, MATCH(shipments[[#This Row],[order_id]],Raw_orders!A:A, 0)), "Unknown")</f>
        <v>Nordics</v>
      </c>
      <c r="J1230" t="str">
        <f>PROPER(shipments[[#This Row],[delivery_status]])</f>
        <v>Delivered</v>
      </c>
      <c r="K1230" t="s">
        <v>6922</v>
      </c>
    </row>
    <row r="1231" spans="1:11">
      <c r="A1231" t="s">
        <v>8167</v>
      </c>
      <c r="B1231" t="s">
        <v>2074</v>
      </c>
      <c r="C1231" t="s">
        <v>6931</v>
      </c>
      <c r="D1231" s="1">
        <v>44951</v>
      </c>
      <c r="E1231" s="1">
        <v>44958</v>
      </c>
      <c r="F1231" s="1">
        <v>44960</v>
      </c>
      <c r="G1231">
        <v>56.66</v>
      </c>
      <c r="H12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31" t="str">
        <f>IFERROR(INDEX(Raw_orders!G:G, MATCH(shipments[[#This Row],[order_id]],Raw_orders!A:A, 0)), "Unknown")</f>
        <v>Baltics</v>
      </c>
      <c r="J1231" t="str">
        <f>PROPER(shipments[[#This Row],[delivery_status]])</f>
        <v>Delivered</v>
      </c>
      <c r="K1231" t="s">
        <v>6929</v>
      </c>
    </row>
    <row r="1232" spans="1:11">
      <c r="A1232" t="s">
        <v>8168</v>
      </c>
      <c r="B1232" t="s">
        <v>2075</v>
      </c>
      <c r="C1232" t="s">
        <v>6931</v>
      </c>
      <c r="D1232" s="1">
        <v>45235</v>
      </c>
      <c r="E1232" s="1">
        <v>45240</v>
      </c>
      <c r="F1232" s="1">
        <v>45252</v>
      </c>
      <c r="G1232">
        <v>19.3</v>
      </c>
      <c r="H12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32" t="str">
        <f>IFERROR(INDEX(Raw_orders!G:G, MATCH(shipments[[#This Row],[order_id]],Raw_orders!A:A, 0)), "Unknown")</f>
        <v>Baltics</v>
      </c>
      <c r="J1232" t="str">
        <f>PROPER(shipments[[#This Row],[delivery_status]])</f>
        <v>Delivered</v>
      </c>
      <c r="K1232" t="s">
        <v>6926</v>
      </c>
    </row>
    <row r="1233" spans="1:11">
      <c r="A1233" t="s">
        <v>8169</v>
      </c>
      <c r="B1233" t="s">
        <v>2076</v>
      </c>
      <c r="C1233" t="s">
        <v>6928</v>
      </c>
      <c r="D1233" s="1">
        <v>45222</v>
      </c>
      <c r="E1233" s="1">
        <v>45225</v>
      </c>
      <c r="F1233" s="1">
        <v>45225</v>
      </c>
      <c r="G1233">
        <v>43.82</v>
      </c>
      <c r="H12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33" t="str">
        <f>IFERROR(INDEX(Raw_orders!G:G, MATCH(shipments[[#This Row],[order_id]],Raw_orders!A:A, 0)), "Unknown")</f>
        <v>Baltics</v>
      </c>
      <c r="J1233" t="str">
        <f>PROPER(shipments[[#This Row],[delivery_status]])</f>
        <v>Delivered</v>
      </c>
      <c r="K1233" t="s">
        <v>6929</v>
      </c>
    </row>
    <row r="1234" spans="1:11">
      <c r="A1234" t="s">
        <v>8170</v>
      </c>
      <c r="B1234" t="s">
        <v>2077</v>
      </c>
      <c r="C1234" t="s">
        <v>6935</v>
      </c>
      <c r="D1234" s="1">
        <v>45390</v>
      </c>
      <c r="E1234" s="1">
        <v>45393</v>
      </c>
      <c r="F1234" s="1">
        <v>45406</v>
      </c>
      <c r="G1234">
        <v>33.68</v>
      </c>
      <c r="H12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34" t="str">
        <f>IFERROR(INDEX(Raw_orders!G:G, MATCH(shipments[[#This Row],[order_id]],Raw_orders!A:A, 0)), "Unknown")</f>
        <v>Nordics</v>
      </c>
      <c r="J1234" t="str">
        <f>PROPER(shipments[[#This Row],[delivery_status]])</f>
        <v>Delivered</v>
      </c>
      <c r="K1234" t="s">
        <v>6926</v>
      </c>
    </row>
    <row r="1235" spans="1:11">
      <c r="A1235" t="s">
        <v>8171</v>
      </c>
      <c r="B1235" t="s">
        <v>2078</v>
      </c>
      <c r="C1235" t="s">
        <v>6925</v>
      </c>
      <c r="D1235" s="1">
        <v>45537</v>
      </c>
      <c r="E1235" s="1">
        <v>45547</v>
      </c>
      <c r="F1235" s="1">
        <v>45550</v>
      </c>
      <c r="G1235">
        <v>53.25</v>
      </c>
      <c r="H12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35" t="str">
        <f>IFERROR(INDEX(Raw_orders!G:G, MATCH(shipments[[#This Row],[order_id]],Raw_orders!A:A, 0)), "Unknown")</f>
        <v>Baltics</v>
      </c>
      <c r="J1235" t="str">
        <f>PROPER(shipments[[#This Row],[delivery_status]])</f>
        <v>Delivered</v>
      </c>
      <c r="K1235" t="s">
        <v>6926</v>
      </c>
    </row>
    <row r="1236" spans="1:11">
      <c r="A1236" t="s">
        <v>8172</v>
      </c>
      <c r="B1236" t="s">
        <v>2079</v>
      </c>
      <c r="C1236" t="s">
        <v>6921</v>
      </c>
      <c r="D1236" s="1">
        <v>44996</v>
      </c>
      <c r="E1236" s="1">
        <v>45001</v>
      </c>
      <c r="F1236" s="1">
        <v>45004</v>
      </c>
      <c r="G1236">
        <v>50.26</v>
      </c>
      <c r="H12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36" t="str">
        <f>IFERROR(INDEX(Raw_orders!G:G, MATCH(shipments[[#This Row],[order_id]],Raw_orders!A:A, 0)), "Unknown")</f>
        <v>Central Europe</v>
      </c>
      <c r="J1236" t="str">
        <f>PROPER(shipments[[#This Row],[delivery_status]])</f>
        <v>Delivered</v>
      </c>
      <c r="K1236" t="s">
        <v>6922</v>
      </c>
    </row>
    <row r="1237" spans="1:11">
      <c r="A1237" t="s">
        <v>8173</v>
      </c>
      <c r="B1237" t="s">
        <v>2079</v>
      </c>
      <c r="C1237" t="s">
        <v>6931</v>
      </c>
      <c r="D1237" s="1">
        <v>44996</v>
      </c>
      <c r="E1237" s="1">
        <v>44999</v>
      </c>
      <c r="F1237" s="1">
        <v>44999</v>
      </c>
      <c r="G1237">
        <v>62.12</v>
      </c>
      <c r="H12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37" t="str">
        <f>IFERROR(INDEX(Raw_orders!G:G, MATCH(shipments[[#This Row],[order_id]],Raw_orders!A:A, 0)), "Unknown")</f>
        <v>Central Europe</v>
      </c>
      <c r="J1237" t="str">
        <f>PROPER(shipments[[#This Row],[delivery_status]])</f>
        <v>Delivered</v>
      </c>
      <c r="K1237" t="s">
        <v>6922</v>
      </c>
    </row>
    <row r="1238" spans="1:11">
      <c r="A1238" t="s">
        <v>8174</v>
      </c>
      <c r="B1238" t="s">
        <v>2080</v>
      </c>
      <c r="C1238" t="s">
        <v>6940</v>
      </c>
      <c r="D1238" s="1">
        <v>45056</v>
      </c>
      <c r="E1238" s="1">
        <v>45063</v>
      </c>
      <c r="F1238" s="1">
        <v>45066</v>
      </c>
      <c r="G1238">
        <v>25.79</v>
      </c>
      <c r="H12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38" t="str">
        <f>IFERROR(INDEX(Raw_orders!G:G, MATCH(shipments[[#This Row],[order_id]],Raw_orders!A:A, 0)), "Unknown")</f>
        <v>Baltics</v>
      </c>
      <c r="J1238" t="str">
        <f>PROPER(shipments[[#This Row],[delivery_status]])</f>
        <v>Delivered</v>
      </c>
      <c r="K1238" t="s">
        <v>6929</v>
      </c>
    </row>
    <row r="1239" spans="1:11">
      <c r="A1239" t="s">
        <v>8175</v>
      </c>
      <c r="B1239" t="s">
        <v>2081</v>
      </c>
      <c r="C1239" t="s">
        <v>6928</v>
      </c>
      <c r="D1239" s="1">
        <v>45423</v>
      </c>
      <c r="E1239" s="1">
        <v>45428</v>
      </c>
      <c r="F1239" s="1">
        <v>45428</v>
      </c>
      <c r="G1239">
        <v>57.69</v>
      </c>
      <c r="H12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39" t="str">
        <f>IFERROR(INDEX(Raw_orders!G:G, MATCH(shipments[[#This Row],[order_id]],Raw_orders!A:A, 0)), "Unknown")</f>
        <v>Baltics</v>
      </c>
      <c r="J1239" t="str">
        <f>PROPER(shipments[[#This Row],[delivery_status]])</f>
        <v>Delivered</v>
      </c>
      <c r="K1239" t="s">
        <v>6929</v>
      </c>
    </row>
    <row r="1240" spans="1:11">
      <c r="A1240" t="s">
        <v>8176</v>
      </c>
      <c r="B1240" t="s">
        <v>2082</v>
      </c>
      <c r="C1240" t="s">
        <v>6935</v>
      </c>
      <c r="D1240" s="1">
        <v>45243</v>
      </c>
      <c r="E1240" s="1">
        <v>45245</v>
      </c>
      <c r="F1240" s="1"/>
      <c r="G1240">
        <v>44.37</v>
      </c>
      <c r="H12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240" t="str">
        <f>IFERROR(INDEX(Raw_orders!G:G, MATCH(shipments[[#This Row],[order_id]],Raw_orders!A:A, 0)), "Unknown")</f>
        <v>Nordics</v>
      </c>
      <c r="J1240" t="str">
        <f>PROPER(shipments[[#This Row],[delivery_status]])</f>
        <v>Cancelled</v>
      </c>
      <c r="K1240" t="s">
        <v>6972</v>
      </c>
    </row>
    <row r="1241" spans="1:11">
      <c r="A1241" t="s">
        <v>8177</v>
      </c>
      <c r="B1241" t="s">
        <v>2083</v>
      </c>
      <c r="C1241" t="s">
        <v>6928</v>
      </c>
      <c r="D1241" s="1">
        <v>45001</v>
      </c>
      <c r="E1241" s="1">
        <v>45011</v>
      </c>
      <c r="F1241" s="1">
        <v>45021</v>
      </c>
      <c r="G1241">
        <v>45.01</v>
      </c>
      <c r="H12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41" t="str">
        <f>IFERROR(INDEX(Raw_orders!G:G, MATCH(shipments[[#This Row],[order_id]],Raw_orders!A:A, 0)), "Unknown")</f>
        <v>Nordics</v>
      </c>
      <c r="J1241" t="str">
        <f>PROPER(shipments[[#This Row],[delivery_status]])</f>
        <v>Delivered</v>
      </c>
      <c r="K1241" t="s">
        <v>6926</v>
      </c>
    </row>
    <row r="1242" spans="1:11">
      <c r="A1242" t="s">
        <v>8178</v>
      </c>
      <c r="B1242" t="s">
        <v>2083</v>
      </c>
      <c r="C1242" t="s">
        <v>6938</v>
      </c>
      <c r="D1242" s="1">
        <v>45003</v>
      </c>
      <c r="E1242" s="1">
        <v>45005</v>
      </c>
      <c r="F1242" s="1">
        <v>45013</v>
      </c>
      <c r="G1242">
        <v>36.83</v>
      </c>
      <c r="H12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42" t="str">
        <f>IFERROR(INDEX(Raw_orders!G:G, MATCH(shipments[[#This Row],[order_id]],Raw_orders!A:A, 0)), "Unknown")</f>
        <v>Nordics</v>
      </c>
      <c r="J1242" t="str">
        <f>PROPER(shipments[[#This Row],[delivery_status]])</f>
        <v>Delivered</v>
      </c>
      <c r="K1242" t="s">
        <v>6922</v>
      </c>
    </row>
    <row r="1243" spans="1:11">
      <c r="A1243" t="s">
        <v>8179</v>
      </c>
      <c r="B1243" t="s">
        <v>2084</v>
      </c>
      <c r="C1243" t="s">
        <v>6921</v>
      </c>
      <c r="D1243" s="1">
        <v>45105</v>
      </c>
      <c r="E1243" s="1">
        <v>45108</v>
      </c>
      <c r="F1243" s="1">
        <v>45108</v>
      </c>
      <c r="G1243">
        <v>60.83</v>
      </c>
      <c r="H12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43" t="str">
        <f>IFERROR(INDEX(Raw_orders!G:G, MATCH(shipments[[#This Row],[order_id]],Raw_orders!A:A, 0)), "Unknown")</f>
        <v>Nordics</v>
      </c>
      <c r="J1243" t="str">
        <f>PROPER(shipments[[#This Row],[delivery_status]])</f>
        <v>Delivered</v>
      </c>
      <c r="K1243" t="s">
        <v>6922</v>
      </c>
    </row>
    <row r="1244" spans="1:11">
      <c r="A1244" t="s">
        <v>8180</v>
      </c>
      <c r="B1244" t="s">
        <v>2085</v>
      </c>
      <c r="C1244" t="s">
        <v>6925</v>
      </c>
      <c r="D1244" s="1">
        <v>45272</v>
      </c>
      <c r="E1244" s="1">
        <v>45279</v>
      </c>
      <c r="F1244" s="1">
        <v>45281</v>
      </c>
      <c r="G1244">
        <v>42.31</v>
      </c>
      <c r="H12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44" t="str">
        <f>IFERROR(INDEX(Raw_orders!G:G, MATCH(shipments[[#This Row],[order_id]],Raw_orders!A:A, 0)), "Unknown")</f>
        <v>Central Europe</v>
      </c>
      <c r="J1244" t="str">
        <f>PROPER(shipments[[#This Row],[delivery_status]])</f>
        <v>Delivered</v>
      </c>
      <c r="K1244" t="s">
        <v>6922</v>
      </c>
    </row>
    <row r="1245" spans="1:11">
      <c r="A1245" t="s">
        <v>8181</v>
      </c>
      <c r="B1245" t="s">
        <v>2086</v>
      </c>
      <c r="C1245" t="s">
        <v>6940</v>
      </c>
      <c r="D1245" s="1">
        <v>45573</v>
      </c>
      <c r="E1245" s="1">
        <v>45583</v>
      </c>
      <c r="F1245" s="1"/>
      <c r="G1245">
        <v>27.84</v>
      </c>
      <c r="H12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245" t="str">
        <f>IFERROR(INDEX(Raw_orders!G:G, MATCH(shipments[[#This Row],[order_id]],Raw_orders!A:A, 0)), "Unknown")</f>
        <v>Baltics</v>
      </c>
      <c r="J1245" t="str">
        <f>PROPER(shipments[[#This Row],[delivery_status]])</f>
        <v>In Transit</v>
      </c>
      <c r="K1245" t="s">
        <v>6977</v>
      </c>
    </row>
    <row r="1246" spans="1:11">
      <c r="A1246" t="s">
        <v>8182</v>
      </c>
      <c r="B1246" t="s">
        <v>2086</v>
      </c>
      <c r="C1246" t="s">
        <v>6928</v>
      </c>
      <c r="D1246" s="1">
        <v>45570</v>
      </c>
      <c r="E1246" s="1">
        <v>45572</v>
      </c>
      <c r="F1246" s="1">
        <v>45586</v>
      </c>
      <c r="G1246">
        <v>36.26</v>
      </c>
      <c r="H12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46" t="str">
        <f>IFERROR(INDEX(Raw_orders!G:G, MATCH(shipments[[#This Row],[order_id]],Raw_orders!A:A, 0)), "Unknown")</f>
        <v>Baltics</v>
      </c>
      <c r="J1246" t="str">
        <f>PROPER(shipments[[#This Row],[delivery_status]])</f>
        <v>Delivered</v>
      </c>
      <c r="K1246" t="s">
        <v>6922</v>
      </c>
    </row>
    <row r="1247" spans="1:11">
      <c r="A1247" t="s">
        <v>8183</v>
      </c>
      <c r="B1247" t="s">
        <v>2087</v>
      </c>
      <c r="C1247" t="s">
        <v>6949</v>
      </c>
      <c r="D1247" s="1">
        <v>45148</v>
      </c>
      <c r="E1247" s="1">
        <v>45155</v>
      </c>
      <c r="F1247" s="1">
        <v>45157</v>
      </c>
      <c r="G1247">
        <v>54.72</v>
      </c>
      <c r="H12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47" t="str">
        <f>IFERROR(INDEX(Raw_orders!G:G, MATCH(shipments[[#This Row],[order_id]],Raw_orders!A:A, 0)), "Unknown")</f>
        <v>Baltics</v>
      </c>
      <c r="J1247" t="str">
        <f>PROPER(shipments[[#This Row],[delivery_status]])</f>
        <v>Delivered</v>
      </c>
      <c r="K1247" t="s">
        <v>6926</v>
      </c>
    </row>
    <row r="1248" spans="1:11">
      <c r="A1248" t="s">
        <v>8184</v>
      </c>
      <c r="B1248" t="s">
        <v>2088</v>
      </c>
      <c r="C1248" t="s">
        <v>6925</v>
      </c>
      <c r="D1248" s="1">
        <v>44972</v>
      </c>
      <c r="E1248" s="1">
        <v>44977</v>
      </c>
      <c r="F1248" s="1">
        <v>44983</v>
      </c>
      <c r="G1248">
        <v>38.340000000000003</v>
      </c>
      <c r="H12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48" t="str">
        <f>IFERROR(INDEX(Raw_orders!G:G, MATCH(shipments[[#This Row],[order_id]],Raw_orders!A:A, 0)), "Unknown")</f>
        <v>Nordics</v>
      </c>
      <c r="J1248" t="str">
        <f>PROPER(shipments[[#This Row],[delivery_status]])</f>
        <v>Delivered</v>
      </c>
      <c r="K1248" t="s">
        <v>6922</v>
      </c>
    </row>
    <row r="1249" spans="1:11">
      <c r="A1249" t="s">
        <v>8185</v>
      </c>
      <c r="B1249" t="s">
        <v>2089</v>
      </c>
      <c r="C1249" t="s">
        <v>6938</v>
      </c>
      <c r="D1249" s="1">
        <v>45256</v>
      </c>
      <c r="E1249" s="1">
        <v>45263</v>
      </c>
      <c r="F1249" s="1"/>
      <c r="G1249">
        <v>38.54</v>
      </c>
      <c r="H12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249" t="str">
        <f>IFERROR(INDEX(Raw_orders!G:G, MATCH(shipments[[#This Row],[order_id]],Raw_orders!A:A, 0)), "Unknown")</f>
        <v>Central Europe</v>
      </c>
      <c r="J1249" t="str">
        <f>PROPER(shipments[[#This Row],[delivery_status]])</f>
        <v>In Transit</v>
      </c>
      <c r="K1249" t="s">
        <v>6946</v>
      </c>
    </row>
    <row r="1250" spans="1:11">
      <c r="A1250" t="s">
        <v>8186</v>
      </c>
      <c r="B1250" t="s">
        <v>2090</v>
      </c>
      <c r="C1250" t="s">
        <v>6921</v>
      </c>
      <c r="D1250" s="1">
        <v>45447</v>
      </c>
      <c r="E1250" s="1">
        <v>45449</v>
      </c>
      <c r="F1250" s="1">
        <v>45449</v>
      </c>
      <c r="G1250">
        <v>44.01</v>
      </c>
      <c r="H12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50" t="str">
        <f>IFERROR(INDEX(Raw_orders!G:G, MATCH(shipments[[#This Row],[order_id]],Raw_orders!A:A, 0)), "Unknown")</f>
        <v>Nordics</v>
      </c>
      <c r="J1250" t="str">
        <f>PROPER(shipments[[#This Row],[delivery_status]])</f>
        <v>Delivered</v>
      </c>
      <c r="K1250" t="s">
        <v>6929</v>
      </c>
    </row>
    <row r="1251" spans="1:11">
      <c r="A1251" t="s">
        <v>8187</v>
      </c>
      <c r="B1251" t="s">
        <v>2091</v>
      </c>
      <c r="C1251" t="s">
        <v>6925</v>
      </c>
      <c r="D1251" s="1">
        <v>45081</v>
      </c>
      <c r="E1251" s="1">
        <v>45083</v>
      </c>
      <c r="F1251" s="1">
        <v>45089</v>
      </c>
      <c r="G1251">
        <v>34.299999999999997</v>
      </c>
      <c r="H12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51" t="str">
        <f>IFERROR(INDEX(Raw_orders!G:G, MATCH(shipments[[#This Row],[order_id]],Raw_orders!A:A, 0)), "Unknown")</f>
        <v>Nordics</v>
      </c>
      <c r="J1251" t="str">
        <f>PROPER(shipments[[#This Row],[delivery_status]])</f>
        <v>Delivered</v>
      </c>
      <c r="K1251" t="s">
        <v>6929</v>
      </c>
    </row>
    <row r="1252" spans="1:11">
      <c r="A1252" t="s">
        <v>8188</v>
      </c>
      <c r="B1252" t="s">
        <v>2092</v>
      </c>
      <c r="C1252" t="s">
        <v>6949</v>
      </c>
      <c r="D1252" s="1">
        <v>45505</v>
      </c>
      <c r="E1252" s="1">
        <v>45508</v>
      </c>
      <c r="F1252" s="1"/>
      <c r="G1252">
        <v>40.67</v>
      </c>
      <c r="H12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252" t="str">
        <f>IFERROR(INDEX(Raw_orders!G:G, MATCH(shipments[[#This Row],[order_id]],Raw_orders!A:A, 0)), "Unknown")</f>
        <v>Unknown</v>
      </c>
      <c r="J1252" t="str">
        <f>PROPER(shipments[[#This Row],[delivery_status]])</f>
        <v>Cancelled</v>
      </c>
      <c r="K1252" t="s">
        <v>6979</v>
      </c>
    </row>
    <row r="1253" spans="1:11">
      <c r="A1253" t="s">
        <v>8189</v>
      </c>
      <c r="B1253" t="s">
        <v>2093</v>
      </c>
      <c r="C1253" t="s">
        <v>6956</v>
      </c>
      <c r="D1253" s="1">
        <v>45286</v>
      </c>
      <c r="E1253" s="1">
        <v>45289</v>
      </c>
      <c r="F1253" s="1">
        <v>45301</v>
      </c>
      <c r="G1253">
        <v>59.61</v>
      </c>
      <c r="H12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53" t="str">
        <f>IFERROR(INDEX(Raw_orders!G:G, MATCH(shipments[[#This Row],[order_id]],Raw_orders!A:A, 0)), "Unknown")</f>
        <v>Baltics</v>
      </c>
      <c r="J1253" t="str">
        <f>PROPER(shipments[[#This Row],[delivery_status]])</f>
        <v>Delivered</v>
      </c>
      <c r="K1253" t="s">
        <v>6929</v>
      </c>
    </row>
    <row r="1254" spans="1:11">
      <c r="A1254" t="s">
        <v>8190</v>
      </c>
      <c r="B1254" t="s">
        <v>2094</v>
      </c>
      <c r="C1254" t="s">
        <v>6925</v>
      </c>
      <c r="D1254" s="1">
        <v>45133</v>
      </c>
      <c r="E1254" s="1">
        <v>45135</v>
      </c>
      <c r="F1254" s="1">
        <v>45143</v>
      </c>
      <c r="G1254">
        <v>11.95</v>
      </c>
      <c r="H12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54" t="str">
        <f>IFERROR(INDEX(Raw_orders!G:G, MATCH(shipments[[#This Row],[order_id]],Raw_orders!A:A, 0)), "Unknown")</f>
        <v>Baltics</v>
      </c>
      <c r="J1254" t="str">
        <f>PROPER(shipments[[#This Row],[delivery_status]])</f>
        <v>Delivered</v>
      </c>
      <c r="K1254" t="s">
        <v>6929</v>
      </c>
    </row>
    <row r="1255" spans="1:11">
      <c r="A1255" t="s">
        <v>8191</v>
      </c>
      <c r="B1255" t="s">
        <v>2095</v>
      </c>
      <c r="C1255" t="s">
        <v>6940</v>
      </c>
      <c r="D1255" s="1">
        <v>45588</v>
      </c>
      <c r="E1255" s="1">
        <v>45593</v>
      </c>
      <c r="F1255" s="1"/>
      <c r="G1255">
        <v>25.21</v>
      </c>
      <c r="H12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255" t="str">
        <f>IFERROR(INDEX(Raw_orders!G:G, MATCH(shipments[[#This Row],[order_id]],Raw_orders!A:A, 0)), "Unknown")</f>
        <v>Nordics</v>
      </c>
      <c r="J1255" t="str">
        <f>PROPER(shipments[[#This Row],[delivery_status]])</f>
        <v>Cancelled</v>
      </c>
      <c r="K1255" t="s">
        <v>6979</v>
      </c>
    </row>
    <row r="1256" spans="1:11">
      <c r="A1256" t="s">
        <v>8192</v>
      </c>
      <c r="B1256" t="s">
        <v>2096</v>
      </c>
      <c r="C1256" t="s">
        <v>6956</v>
      </c>
      <c r="D1256" s="1">
        <v>44955</v>
      </c>
      <c r="E1256" s="1">
        <v>44965</v>
      </c>
      <c r="F1256" s="1">
        <v>44970</v>
      </c>
      <c r="H12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56" t="str">
        <f>IFERROR(INDEX(Raw_orders!G:G, MATCH(shipments[[#This Row],[order_id]],Raw_orders!A:A, 0)), "Unknown")</f>
        <v>Baltics</v>
      </c>
      <c r="J1256" t="str">
        <f>PROPER(shipments[[#This Row],[delivery_status]])</f>
        <v>Delivered</v>
      </c>
      <c r="K1256" t="s">
        <v>6922</v>
      </c>
    </row>
    <row r="1257" spans="1:11">
      <c r="A1257" t="s">
        <v>8193</v>
      </c>
      <c r="B1257" t="s">
        <v>2097</v>
      </c>
      <c r="C1257" t="s">
        <v>6935</v>
      </c>
      <c r="D1257" s="1">
        <v>45172</v>
      </c>
      <c r="E1257" s="1">
        <v>45175</v>
      </c>
      <c r="F1257" s="1">
        <v>45177</v>
      </c>
      <c r="G1257">
        <v>15.18</v>
      </c>
      <c r="H12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57" t="str">
        <f>IFERROR(INDEX(Raw_orders!G:G, MATCH(shipments[[#This Row],[order_id]],Raw_orders!A:A, 0)), "Unknown")</f>
        <v>Central Europe</v>
      </c>
      <c r="J1257" t="str">
        <f>PROPER(shipments[[#This Row],[delivery_status]])</f>
        <v>Delivered</v>
      </c>
      <c r="K1257" t="s">
        <v>6929</v>
      </c>
    </row>
    <row r="1258" spans="1:11">
      <c r="A1258" t="s">
        <v>8194</v>
      </c>
      <c r="B1258" t="s">
        <v>2098</v>
      </c>
      <c r="C1258" t="s">
        <v>6956</v>
      </c>
      <c r="D1258" s="1">
        <v>45333</v>
      </c>
      <c r="E1258" s="1">
        <v>45343</v>
      </c>
      <c r="F1258" s="1">
        <v>45343</v>
      </c>
      <c r="G1258">
        <v>35.96</v>
      </c>
      <c r="H12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58" t="str">
        <f>IFERROR(INDEX(Raw_orders!G:G, MATCH(shipments[[#This Row],[order_id]],Raw_orders!A:A, 0)), "Unknown")</f>
        <v>Central Europe</v>
      </c>
      <c r="J1258" t="str">
        <f>PROPER(shipments[[#This Row],[delivery_status]])</f>
        <v>Delivered</v>
      </c>
      <c r="K1258" t="s">
        <v>6922</v>
      </c>
    </row>
    <row r="1259" spans="1:11">
      <c r="A1259" t="s">
        <v>8195</v>
      </c>
      <c r="B1259" t="s">
        <v>2099</v>
      </c>
      <c r="C1259" t="s">
        <v>6928</v>
      </c>
      <c r="D1259" s="1">
        <v>45395</v>
      </c>
      <c r="E1259" s="1">
        <v>45405</v>
      </c>
      <c r="F1259" s="1">
        <v>45406</v>
      </c>
      <c r="G1259">
        <v>44.14</v>
      </c>
      <c r="H12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59" t="str">
        <f>IFERROR(INDEX(Raw_orders!G:G, MATCH(shipments[[#This Row],[order_id]],Raw_orders!A:A, 0)), "Unknown")</f>
        <v>Nordics</v>
      </c>
      <c r="J1259" t="str">
        <f>PROPER(shipments[[#This Row],[delivery_status]])</f>
        <v>Delivered</v>
      </c>
      <c r="K1259" t="s">
        <v>6929</v>
      </c>
    </row>
    <row r="1260" spans="1:11">
      <c r="A1260" t="s">
        <v>8196</v>
      </c>
      <c r="B1260" t="s">
        <v>2100</v>
      </c>
      <c r="C1260" t="s">
        <v>6928</v>
      </c>
      <c r="D1260" s="1">
        <v>45431</v>
      </c>
      <c r="E1260" s="1">
        <v>45438</v>
      </c>
      <c r="F1260" s="1"/>
      <c r="G1260">
        <v>13.51</v>
      </c>
      <c r="H12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260" t="str">
        <f>IFERROR(INDEX(Raw_orders!G:G, MATCH(shipments[[#This Row],[order_id]],Raw_orders!A:A, 0)), "Unknown")</f>
        <v>Baltics</v>
      </c>
      <c r="J1260" t="str">
        <f>PROPER(shipments[[#This Row],[delivery_status]])</f>
        <v>In Transit</v>
      </c>
      <c r="K1260" t="s">
        <v>6977</v>
      </c>
    </row>
    <row r="1261" spans="1:11">
      <c r="A1261" t="s">
        <v>8197</v>
      </c>
      <c r="B1261" t="s">
        <v>2101</v>
      </c>
      <c r="C1261" t="s">
        <v>6931</v>
      </c>
      <c r="D1261" s="1">
        <v>45201</v>
      </c>
      <c r="E1261" s="1">
        <v>45203</v>
      </c>
      <c r="F1261" s="1"/>
      <c r="G1261">
        <v>36</v>
      </c>
      <c r="H12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261" t="str">
        <f>IFERROR(INDEX(Raw_orders!G:G, MATCH(shipments[[#This Row],[order_id]],Raw_orders!A:A, 0)), "Unknown")</f>
        <v>Central Europe</v>
      </c>
      <c r="J1261" t="str">
        <f>PROPER(shipments[[#This Row],[delivery_status]])</f>
        <v>In Transit</v>
      </c>
      <c r="K1261" t="s">
        <v>6958</v>
      </c>
    </row>
    <row r="1262" spans="1:11">
      <c r="A1262" t="s">
        <v>8198</v>
      </c>
      <c r="B1262" t="s">
        <v>2102</v>
      </c>
      <c r="C1262" t="s">
        <v>6940</v>
      </c>
      <c r="D1262" s="1">
        <v>45522</v>
      </c>
      <c r="E1262" s="1">
        <v>45525</v>
      </c>
      <c r="F1262" s="1">
        <v>45530</v>
      </c>
      <c r="G1262">
        <v>37.33</v>
      </c>
      <c r="H12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62" t="str">
        <f>IFERROR(INDEX(Raw_orders!G:G, MATCH(shipments[[#This Row],[order_id]],Raw_orders!A:A, 0)), "Unknown")</f>
        <v>Nordics</v>
      </c>
      <c r="J1262" t="str">
        <f>PROPER(shipments[[#This Row],[delivery_status]])</f>
        <v>Delivered</v>
      </c>
      <c r="K1262" t="s">
        <v>6922</v>
      </c>
    </row>
    <row r="1263" spans="1:11">
      <c r="A1263" t="s">
        <v>8199</v>
      </c>
      <c r="B1263" t="s">
        <v>2103</v>
      </c>
      <c r="C1263" t="s">
        <v>6931</v>
      </c>
      <c r="D1263" s="1">
        <v>45052</v>
      </c>
      <c r="E1263" s="1">
        <v>45055</v>
      </c>
      <c r="F1263" s="1">
        <v>45057</v>
      </c>
      <c r="G1263">
        <v>25.78</v>
      </c>
      <c r="H12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63" t="str">
        <f>IFERROR(INDEX(Raw_orders!G:G, MATCH(shipments[[#This Row],[order_id]],Raw_orders!A:A, 0)), "Unknown")</f>
        <v>Nordics</v>
      </c>
      <c r="J1263" t="str">
        <f>PROPER(shipments[[#This Row],[delivery_status]])</f>
        <v>Delivered</v>
      </c>
      <c r="K1263" t="s">
        <v>6922</v>
      </c>
    </row>
    <row r="1264" spans="1:11">
      <c r="A1264" t="s">
        <v>8200</v>
      </c>
      <c r="B1264" t="s">
        <v>2104</v>
      </c>
      <c r="C1264" t="s">
        <v>6956</v>
      </c>
      <c r="D1264" s="1">
        <v>44991</v>
      </c>
      <c r="E1264" s="1">
        <v>44998</v>
      </c>
      <c r="F1264" s="1">
        <v>45001</v>
      </c>
      <c r="G1264">
        <v>45.23</v>
      </c>
      <c r="H12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64" t="str">
        <f>IFERROR(INDEX(Raw_orders!G:G, MATCH(shipments[[#This Row],[order_id]],Raw_orders!A:A, 0)), "Unknown")</f>
        <v>Nordics</v>
      </c>
      <c r="J1264" t="str">
        <f>PROPER(shipments[[#This Row],[delivery_status]])</f>
        <v>Delivered</v>
      </c>
      <c r="K1264" t="s">
        <v>6929</v>
      </c>
    </row>
    <row r="1265" spans="1:11">
      <c r="A1265" t="s">
        <v>8201</v>
      </c>
      <c r="B1265" t="s">
        <v>2105</v>
      </c>
      <c r="C1265" t="s">
        <v>6940</v>
      </c>
      <c r="D1265" s="1">
        <v>45419</v>
      </c>
      <c r="E1265" s="1">
        <v>45422</v>
      </c>
      <c r="F1265" s="1">
        <v>45422</v>
      </c>
      <c r="G1265">
        <v>57.96</v>
      </c>
      <c r="H12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65" t="str">
        <f>IFERROR(INDEX(Raw_orders!G:G, MATCH(shipments[[#This Row],[order_id]],Raw_orders!A:A, 0)), "Unknown")</f>
        <v>Nordics</v>
      </c>
      <c r="J1265" t="str">
        <f>PROPER(shipments[[#This Row],[delivery_status]])</f>
        <v>Delivered</v>
      </c>
      <c r="K1265" t="s">
        <v>6922</v>
      </c>
    </row>
    <row r="1266" spans="1:11">
      <c r="A1266" t="s">
        <v>8202</v>
      </c>
      <c r="B1266" t="s">
        <v>2106</v>
      </c>
      <c r="C1266" t="s">
        <v>6938</v>
      </c>
      <c r="D1266" s="1">
        <v>45032</v>
      </c>
      <c r="E1266" s="1">
        <v>45039</v>
      </c>
      <c r="F1266" s="1">
        <v>45038</v>
      </c>
      <c r="G1266">
        <v>17.54</v>
      </c>
      <c r="H12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66" t="str">
        <f>IFERROR(INDEX(Raw_orders!G:G, MATCH(shipments[[#This Row],[order_id]],Raw_orders!A:A, 0)), "Unknown")</f>
        <v>Nordics</v>
      </c>
      <c r="J1266" t="str">
        <f>PROPER(shipments[[#This Row],[delivery_status]])</f>
        <v>Delivered</v>
      </c>
      <c r="K1266" t="s">
        <v>6922</v>
      </c>
    </row>
    <row r="1267" spans="1:11">
      <c r="A1267" t="s">
        <v>8203</v>
      </c>
      <c r="B1267" t="s">
        <v>2107</v>
      </c>
      <c r="C1267" t="s">
        <v>6935</v>
      </c>
      <c r="D1267" s="1">
        <v>45484</v>
      </c>
      <c r="E1267" s="1">
        <v>45491</v>
      </c>
      <c r="F1267" s="1">
        <v>45501</v>
      </c>
      <c r="G1267">
        <v>46.07</v>
      </c>
      <c r="H12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67" t="str">
        <f>IFERROR(INDEX(Raw_orders!G:G, MATCH(shipments[[#This Row],[order_id]],Raw_orders!A:A, 0)), "Unknown")</f>
        <v>Nordics</v>
      </c>
      <c r="J1267" t="str">
        <f>PROPER(shipments[[#This Row],[delivery_status]])</f>
        <v>Delivered</v>
      </c>
      <c r="K1267" t="s">
        <v>6926</v>
      </c>
    </row>
    <row r="1268" spans="1:11">
      <c r="A1268" t="s">
        <v>8204</v>
      </c>
      <c r="B1268" t="s">
        <v>2108</v>
      </c>
      <c r="C1268" t="s">
        <v>6935</v>
      </c>
      <c r="D1268" s="1">
        <v>45365</v>
      </c>
      <c r="E1268" s="1">
        <v>45375</v>
      </c>
      <c r="F1268" s="1">
        <v>45375</v>
      </c>
      <c r="G1268">
        <v>42.54</v>
      </c>
      <c r="H12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68" t="str">
        <f>IFERROR(INDEX(Raw_orders!G:G, MATCH(shipments[[#This Row],[order_id]],Raw_orders!A:A, 0)), "Unknown")</f>
        <v>Central Europe</v>
      </c>
      <c r="J1268" t="str">
        <f>PROPER(shipments[[#This Row],[delivery_status]])</f>
        <v>Delivered</v>
      </c>
      <c r="K1268" t="s">
        <v>6926</v>
      </c>
    </row>
    <row r="1269" spans="1:11">
      <c r="A1269" t="s">
        <v>8205</v>
      </c>
      <c r="B1269" t="s">
        <v>2109</v>
      </c>
      <c r="C1269" t="s">
        <v>6949</v>
      </c>
      <c r="D1269" s="1">
        <v>45424</v>
      </c>
      <c r="E1269" s="1">
        <v>45431</v>
      </c>
      <c r="F1269" s="1"/>
      <c r="G1269">
        <v>36.39</v>
      </c>
      <c r="H12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269" t="str">
        <f>IFERROR(INDEX(Raw_orders!G:G, MATCH(shipments[[#This Row],[order_id]],Raw_orders!A:A, 0)), "Unknown")</f>
        <v>Central Europe</v>
      </c>
      <c r="J1269" t="str">
        <f>PROPER(shipments[[#This Row],[delivery_status]])</f>
        <v>In Transit</v>
      </c>
      <c r="K1269" t="s">
        <v>6977</v>
      </c>
    </row>
    <row r="1270" spans="1:11">
      <c r="A1270" t="s">
        <v>8206</v>
      </c>
      <c r="B1270" t="s">
        <v>2109</v>
      </c>
      <c r="C1270" t="s">
        <v>6949</v>
      </c>
      <c r="D1270" s="1">
        <v>45423</v>
      </c>
      <c r="E1270" s="1">
        <v>45426</v>
      </c>
      <c r="F1270" s="1">
        <v>45431</v>
      </c>
      <c r="G1270">
        <v>32.83</v>
      </c>
      <c r="H12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70" t="str">
        <f>IFERROR(INDEX(Raw_orders!G:G, MATCH(shipments[[#This Row],[order_id]],Raw_orders!A:A, 0)), "Unknown")</f>
        <v>Central Europe</v>
      </c>
      <c r="J1270" t="str">
        <f>PROPER(shipments[[#This Row],[delivery_status]])</f>
        <v>Delivered</v>
      </c>
      <c r="K1270" t="s">
        <v>6929</v>
      </c>
    </row>
    <row r="1271" spans="1:11">
      <c r="A1271" t="s">
        <v>8207</v>
      </c>
      <c r="B1271" t="s">
        <v>2110</v>
      </c>
      <c r="C1271" t="s">
        <v>6925</v>
      </c>
      <c r="D1271" s="1">
        <v>45595</v>
      </c>
      <c r="E1271" s="1">
        <v>45602</v>
      </c>
      <c r="F1271" s="1">
        <v>45602</v>
      </c>
      <c r="G1271">
        <v>24.69</v>
      </c>
      <c r="H12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71" t="str">
        <f>IFERROR(INDEX(Raw_orders!G:G, MATCH(shipments[[#This Row],[order_id]],Raw_orders!A:A, 0)), "Unknown")</f>
        <v>Nordics</v>
      </c>
      <c r="J1271" t="str">
        <f>PROPER(shipments[[#This Row],[delivery_status]])</f>
        <v>Delivered</v>
      </c>
      <c r="K1271" t="s">
        <v>6922</v>
      </c>
    </row>
    <row r="1272" spans="1:11">
      <c r="A1272" t="s">
        <v>8208</v>
      </c>
      <c r="B1272" t="s">
        <v>2111</v>
      </c>
      <c r="C1272" t="s">
        <v>6938</v>
      </c>
      <c r="D1272" s="1">
        <v>44944</v>
      </c>
      <c r="E1272" s="1">
        <v>44947</v>
      </c>
      <c r="F1272" s="1">
        <v>44946</v>
      </c>
      <c r="G1272">
        <v>48.09</v>
      </c>
      <c r="H12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72" t="str">
        <f>IFERROR(INDEX(Raw_orders!G:G, MATCH(shipments[[#This Row],[order_id]],Raw_orders!A:A, 0)), "Unknown")</f>
        <v>Nordics</v>
      </c>
      <c r="J1272" t="str">
        <f>PROPER(shipments[[#This Row],[delivery_status]])</f>
        <v>Delivered</v>
      </c>
      <c r="K1272" t="s">
        <v>6929</v>
      </c>
    </row>
    <row r="1273" spans="1:11">
      <c r="A1273" t="s">
        <v>8209</v>
      </c>
      <c r="B1273" t="s">
        <v>2112</v>
      </c>
      <c r="C1273" t="s">
        <v>6921</v>
      </c>
      <c r="D1273" s="1">
        <v>45587</v>
      </c>
      <c r="E1273" s="1">
        <v>45594</v>
      </c>
      <c r="F1273" s="1"/>
      <c r="G1273">
        <v>34.6</v>
      </c>
      <c r="H12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273" t="str">
        <f>IFERROR(INDEX(Raw_orders!G:G, MATCH(shipments[[#This Row],[order_id]],Raw_orders!A:A, 0)), "Unknown")</f>
        <v>Baltics</v>
      </c>
      <c r="J1273" t="str">
        <f>PROPER(shipments[[#This Row],[delivery_status]])</f>
        <v>Cancelled</v>
      </c>
      <c r="K1273" t="s">
        <v>6979</v>
      </c>
    </row>
    <row r="1274" spans="1:11">
      <c r="A1274" t="s">
        <v>8210</v>
      </c>
      <c r="B1274" t="s">
        <v>2113</v>
      </c>
      <c r="C1274" t="s">
        <v>6921</v>
      </c>
      <c r="D1274" s="1">
        <v>45188</v>
      </c>
      <c r="E1274" s="1">
        <v>45198</v>
      </c>
      <c r="F1274" s="1">
        <v>45201</v>
      </c>
      <c r="G1274">
        <v>10.1</v>
      </c>
      <c r="H12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74" t="str">
        <f>IFERROR(INDEX(Raw_orders!G:G, MATCH(shipments[[#This Row],[order_id]],Raw_orders!A:A, 0)), "Unknown")</f>
        <v>Nordics</v>
      </c>
      <c r="J1274" t="str">
        <f>PROPER(shipments[[#This Row],[delivery_status]])</f>
        <v>Delivered</v>
      </c>
      <c r="K1274" t="s">
        <v>6926</v>
      </c>
    </row>
    <row r="1275" spans="1:11">
      <c r="A1275" t="s">
        <v>8211</v>
      </c>
      <c r="B1275" t="s">
        <v>2114</v>
      </c>
      <c r="C1275" t="s">
        <v>6940</v>
      </c>
      <c r="D1275" s="1">
        <v>45601</v>
      </c>
      <c r="E1275" s="1">
        <v>45603</v>
      </c>
      <c r="F1275" s="1">
        <v>45608</v>
      </c>
      <c r="G1275">
        <v>5.95</v>
      </c>
      <c r="H12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75" t="str">
        <f>IFERROR(INDEX(Raw_orders!G:G, MATCH(shipments[[#This Row],[order_id]],Raw_orders!A:A, 0)), "Unknown")</f>
        <v>Baltics</v>
      </c>
      <c r="J1275" t="str">
        <f>PROPER(shipments[[#This Row],[delivery_status]])</f>
        <v>Delivered</v>
      </c>
      <c r="K1275" t="s">
        <v>6926</v>
      </c>
    </row>
    <row r="1276" spans="1:11">
      <c r="A1276" t="s">
        <v>8212</v>
      </c>
      <c r="B1276" t="s">
        <v>2114</v>
      </c>
      <c r="C1276" t="s">
        <v>6928</v>
      </c>
      <c r="D1276" s="1">
        <v>45601</v>
      </c>
      <c r="E1276" s="1">
        <v>45606</v>
      </c>
      <c r="F1276" s="1">
        <v>45606</v>
      </c>
      <c r="G1276">
        <v>63.37</v>
      </c>
      <c r="H12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76" t="str">
        <f>IFERROR(INDEX(Raw_orders!G:G, MATCH(shipments[[#This Row],[order_id]],Raw_orders!A:A, 0)), "Unknown")</f>
        <v>Baltics</v>
      </c>
      <c r="J1276" t="str">
        <f>PROPER(shipments[[#This Row],[delivery_status]])</f>
        <v>Delivered</v>
      </c>
      <c r="K1276" t="s">
        <v>6922</v>
      </c>
    </row>
    <row r="1277" spans="1:11">
      <c r="A1277" t="s">
        <v>8213</v>
      </c>
      <c r="B1277" t="s">
        <v>2115</v>
      </c>
      <c r="C1277" t="s">
        <v>6935</v>
      </c>
      <c r="D1277" s="1">
        <v>45512</v>
      </c>
      <c r="E1277" s="1">
        <v>45519</v>
      </c>
      <c r="F1277" s="1">
        <v>45530</v>
      </c>
      <c r="G1277">
        <v>48.1</v>
      </c>
      <c r="H12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77" t="str">
        <f>IFERROR(INDEX(Raw_orders!G:G, MATCH(shipments[[#This Row],[order_id]],Raw_orders!A:A, 0)), "Unknown")</f>
        <v>Central Europe</v>
      </c>
      <c r="J1277" t="str">
        <f>PROPER(shipments[[#This Row],[delivery_status]])</f>
        <v>Delivered</v>
      </c>
      <c r="K1277" t="s">
        <v>6929</v>
      </c>
    </row>
    <row r="1278" spans="1:11">
      <c r="A1278" t="s">
        <v>8214</v>
      </c>
      <c r="B1278" t="s">
        <v>2115</v>
      </c>
      <c r="C1278" t="s">
        <v>6940</v>
      </c>
      <c r="D1278" s="1">
        <v>45511</v>
      </c>
      <c r="E1278" s="1">
        <v>45516</v>
      </c>
      <c r="F1278" s="1">
        <v>45516</v>
      </c>
      <c r="G1278">
        <v>59.26</v>
      </c>
      <c r="H12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78" t="str">
        <f>IFERROR(INDEX(Raw_orders!G:G, MATCH(shipments[[#This Row],[order_id]],Raw_orders!A:A, 0)), "Unknown")</f>
        <v>Central Europe</v>
      </c>
      <c r="J1278" t="str">
        <f>PROPER(shipments[[#This Row],[delivery_status]])</f>
        <v>Delivered</v>
      </c>
      <c r="K1278" t="s">
        <v>6929</v>
      </c>
    </row>
    <row r="1279" spans="1:11">
      <c r="A1279" t="s">
        <v>8215</v>
      </c>
      <c r="B1279" t="s">
        <v>2116</v>
      </c>
      <c r="C1279" t="s">
        <v>6925</v>
      </c>
      <c r="D1279" s="1">
        <v>45578</v>
      </c>
      <c r="E1279" s="1">
        <v>45581</v>
      </c>
      <c r="F1279" s="1">
        <v>45581</v>
      </c>
      <c r="G1279">
        <v>49.19</v>
      </c>
      <c r="H12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79" t="str">
        <f>IFERROR(INDEX(Raw_orders!G:G, MATCH(shipments[[#This Row],[order_id]],Raw_orders!A:A, 0)), "Unknown")</f>
        <v>Baltics</v>
      </c>
      <c r="J1279" t="str">
        <f>PROPER(shipments[[#This Row],[delivery_status]])</f>
        <v>Delivered</v>
      </c>
      <c r="K1279" t="s">
        <v>6926</v>
      </c>
    </row>
    <row r="1280" spans="1:11">
      <c r="A1280" t="s">
        <v>8216</v>
      </c>
      <c r="B1280" t="s">
        <v>2117</v>
      </c>
      <c r="C1280" t="s">
        <v>6956</v>
      </c>
      <c r="D1280" s="1">
        <v>45520</v>
      </c>
      <c r="E1280" s="1">
        <v>45522</v>
      </c>
      <c r="F1280" s="1">
        <v>45524</v>
      </c>
      <c r="G1280">
        <v>12.82</v>
      </c>
      <c r="H12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80" t="str">
        <f>IFERROR(INDEX(Raw_orders!G:G, MATCH(shipments[[#This Row],[order_id]],Raw_orders!A:A, 0)), "Unknown")</f>
        <v>Nordics</v>
      </c>
      <c r="J1280" t="str">
        <f>PROPER(shipments[[#This Row],[delivery_status]])</f>
        <v>Delivered</v>
      </c>
      <c r="K1280" t="s">
        <v>6926</v>
      </c>
    </row>
    <row r="1281" spans="1:11">
      <c r="A1281" t="s">
        <v>8217</v>
      </c>
      <c r="B1281" t="s">
        <v>2117</v>
      </c>
      <c r="C1281" t="s">
        <v>6928</v>
      </c>
      <c r="D1281" s="1">
        <v>45518</v>
      </c>
      <c r="E1281" s="1">
        <v>45525</v>
      </c>
      <c r="F1281" s="1">
        <v>45539</v>
      </c>
      <c r="G1281">
        <v>10.39</v>
      </c>
      <c r="H12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81" t="str">
        <f>IFERROR(INDEX(Raw_orders!G:G, MATCH(shipments[[#This Row],[order_id]],Raw_orders!A:A, 0)), "Unknown")</f>
        <v>Nordics</v>
      </c>
      <c r="J1281" t="str">
        <f>PROPER(shipments[[#This Row],[delivery_status]])</f>
        <v>Delivered</v>
      </c>
      <c r="K1281" t="s">
        <v>6929</v>
      </c>
    </row>
    <row r="1282" spans="1:11">
      <c r="A1282" t="s">
        <v>8218</v>
      </c>
      <c r="B1282" t="s">
        <v>2118</v>
      </c>
      <c r="C1282" t="s">
        <v>6925</v>
      </c>
      <c r="D1282" s="1">
        <v>45499</v>
      </c>
      <c r="E1282" s="1">
        <v>45504</v>
      </c>
      <c r="F1282" s="1">
        <v>45509</v>
      </c>
      <c r="G1282">
        <v>52.4</v>
      </c>
      <c r="H12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82" t="str">
        <f>IFERROR(INDEX(Raw_orders!G:G, MATCH(shipments[[#This Row],[order_id]],Raw_orders!A:A, 0)), "Unknown")</f>
        <v>Central Europe</v>
      </c>
      <c r="J1282" t="str">
        <f>PROPER(shipments[[#This Row],[delivery_status]])</f>
        <v>Delivered</v>
      </c>
      <c r="K1282" t="s">
        <v>6922</v>
      </c>
    </row>
    <row r="1283" spans="1:11">
      <c r="A1283" t="s">
        <v>8219</v>
      </c>
      <c r="B1283" t="s">
        <v>2119</v>
      </c>
      <c r="C1283" t="s">
        <v>6931</v>
      </c>
      <c r="D1283" s="1">
        <v>44932</v>
      </c>
      <c r="E1283" s="1">
        <v>44939</v>
      </c>
      <c r="F1283" s="1">
        <v>44938</v>
      </c>
      <c r="G1283">
        <v>38.64</v>
      </c>
      <c r="H12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83" t="str">
        <f>IFERROR(INDEX(Raw_orders!G:G, MATCH(shipments[[#This Row],[order_id]],Raw_orders!A:A, 0)), "Unknown")</f>
        <v>Nordics</v>
      </c>
      <c r="J1283" t="str">
        <f>PROPER(shipments[[#This Row],[delivery_status]])</f>
        <v>Delivered</v>
      </c>
      <c r="K1283" t="s">
        <v>6926</v>
      </c>
    </row>
    <row r="1284" spans="1:11">
      <c r="A1284" t="s">
        <v>8220</v>
      </c>
      <c r="B1284" t="s">
        <v>2120</v>
      </c>
      <c r="C1284" t="s">
        <v>6921</v>
      </c>
      <c r="D1284" s="1">
        <v>44956</v>
      </c>
      <c r="E1284" s="1">
        <v>44963</v>
      </c>
      <c r="F1284" s="1"/>
      <c r="G1284">
        <v>27.13</v>
      </c>
      <c r="H12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284" t="str">
        <f>IFERROR(INDEX(Raw_orders!G:G, MATCH(shipments[[#This Row],[order_id]],Raw_orders!A:A, 0)), "Unknown")</f>
        <v>Baltics</v>
      </c>
      <c r="J1284" t="str">
        <f>PROPER(shipments[[#This Row],[delivery_status]])</f>
        <v>Cancelled</v>
      </c>
      <c r="K1284" t="s">
        <v>6972</v>
      </c>
    </row>
    <row r="1285" spans="1:11">
      <c r="A1285" t="s">
        <v>8221</v>
      </c>
      <c r="B1285" t="s">
        <v>2121</v>
      </c>
      <c r="C1285" t="s">
        <v>6925</v>
      </c>
      <c r="D1285" s="1">
        <v>45528</v>
      </c>
      <c r="E1285" s="1">
        <v>45538</v>
      </c>
      <c r="F1285" s="1">
        <v>45538</v>
      </c>
      <c r="G1285">
        <v>47.05</v>
      </c>
      <c r="H12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85" t="str">
        <f>IFERROR(INDEX(Raw_orders!G:G, MATCH(shipments[[#This Row],[order_id]],Raw_orders!A:A, 0)), "Unknown")</f>
        <v>Baltics</v>
      </c>
      <c r="J1285" t="str">
        <f>PROPER(shipments[[#This Row],[delivery_status]])</f>
        <v>Delivered</v>
      </c>
      <c r="K1285" t="s">
        <v>6929</v>
      </c>
    </row>
    <row r="1286" spans="1:11">
      <c r="A1286" t="s">
        <v>8222</v>
      </c>
      <c r="B1286" t="s">
        <v>2122</v>
      </c>
      <c r="C1286" t="s">
        <v>6956</v>
      </c>
      <c r="D1286" s="1">
        <v>45418</v>
      </c>
      <c r="E1286" s="1">
        <v>45420</v>
      </c>
      <c r="F1286" s="1">
        <v>45425</v>
      </c>
      <c r="G1286">
        <v>9.15</v>
      </c>
      <c r="H12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86" t="str">
        <f>IFERROR(INDEX(Raw_orders!G:G, MATCH(shipments[[#This Row],[order_id]],Raw_orders!A:A, 0)), "Unknown")</f>
        <v>Nordics</v>
      </c>
      <c r="J1286" t="str">
        <f>PROPER(shipments[[#This Row],[delivery_status]])</f>
        <v>Delivered</v>
      </c>
      <c r="K1286" t="s">
        <v>6926</v>
      </c>
    </row>
    <row r="1287" spans="1:11">
      <c r="A1287" t="s">
        <v>8223</v>
      </c>
      <c r="B1287" t="s">
        <v>2123</v>
      </c>
      <c r="C1287" t="s">
        <v>6956</v>
      </c>
      <c r="D1287" s="1">
        <v>45604</v>
      </c>
      <c r="E1287" s="1">
        <v>45614</v>
      </c>
      <c r="F1287" s="1">
        <v>45614</v>
      </c>
      <c r="G1287">
        <v>32.299999999999997</v>
      </c>
      <c r="H12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87" t="str">
        <f>IFERROR(INDEX(Raw_orders!G:G, MATCH(shipments[[#This Row],[order_id]],Raw_orders!A:A, 0)), "Unknown")</f>
        <v>Nordics</v>
      </c>
      <c r="J1287" t="str">
        <f>PROPER(shipments[[#This Row],[delivery_status]])</f>
        <v>Delivered</v>
      </c>
      <c r="K1287" t="s">
        <v>6926</v>
      </c>
    </row>
    <row r="1288" spans="1:11">
      <c r="A1288" t="s">
        <v>8224</v>
      </c>
      <c r="B1288" t="s">
        <v>2124</v>
      </c>
      <c r="C1288" t="s">
        <v>6956</v>
      </c>
      <c r="D1288" s="1">
        <v>45229</v>
      </c>
      <c r="E1288" s="1">
        <v>45236</v>
      </c>
      <c r="F1288" s="1">
        <v>45236</v>
      </c>
      <c r="G1288">
        <v>40.01</v>
      </c>
      <c r="H12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88" t="str">
        <f>IFERROR(INDEX(Raw_orders!G:G, MATCH(shipments[[#This Row],[order_id]],Raw_orders!A:A, 0)), "Unknown")</f>
        <v>Baltics</v>
      </c>
      <c r="J1288" t="str">
        <f>PROPER(shipments[[#This Row],[delivery_status]])</f>
        <v>Delivered</v>
      </c>
      <c r="K1288" t="s">
        <v>6922</v>
      </c>
    </row>
    <row r="1289" spans="1:11">
      <c r="A1289" t="s">
        <v>8225</v>
      </c>
      <c r="B1289" t="s">
        <v>2124</v>
      </c>
      <c r="C1289" t="s">
        <v>6935</v>
      </c>
      <c r="D1289" s="1">
        <v>45228</v>
      </c>
      <c r="E1289" s="1">
        <v>45238</v>
      </c>
      <c r="F1289" s="1">
        <v>45246</v>
      </c>
      <c r="G1289">
        <v>9.5</v>
      </c>
      <c r="H12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89" t="str">
        <f>IFERROR(INDEX(Raw_orders!G:G, MATCH(shipments[[#This Row],[order_id]],Raw_orders!A:A, 0)), "Unknown")</f>
        <v>Baltics</v>
      </c>
      <c r="J1289" t="str">
        <f>PROPER(shipments[[#This Row],[delivery_status]])</f>
        <v>Delivered</v>
      </c>
      <c r="K1289" t="s">
        <v>6929</v>
      </c>
    </row>
    <row r="1290" spans="1:11">
      <c r="A1290" t="s">
        <v>8226</v>
      </c>
      <c r="B1290" t="s">
        <v>2125</v>
      </c>
      <c r="C1290" t="s">
        <v>6935</v>
      </c>
      <c r="D1290" s="1">
        <v>45289</v>
      </c>
      <c r="E1290" s="1">
        <v>45292</v>
      </c>
      <c r="F1290" s="1">
        <v>45294</v>
      </c>
      <c r="G1290">
        <v>4.9400000000000004</v>
      </c>
      <c r="H12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90" t="str">
        <f>IFERROR(INDEX(Raw_orders!G:G, MATCH(shipments[[#This Row],[order_id]],Raw_orders!A:A, 0)), "Unknown")</f>
        <v>Central Europe</v>
      </c>
      <c r="J1290" t="str">
        <f>PROPER(shipments[[#This Row],[delivery_status]])</f>
        <v>Delivered</v>
      </c>
      <c r="K1290" t="s">
        <v>6922</v>
      </c>
    </row>
    <row r="1291" spans="1:11">
      <c r="A1291" t="s">
        <v>8227</v>
      </c>
      <c r="B1291" t="s">
        <v>2126</v>
      </c>
      <c r="C1291" t="s">
        <v>6928</v>
      </c>
      <c r="D1291" s="1">
        <v>44973</v>
      </c>
      <c r="E1291" s="1">
        <v>44975</v>
      </c>
      <c r="F1291" s="1">
        <v>44980</v>
      </c>
      <c r="G1291">
        <v>29.43</v>
      </c>
      <c r="H12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91" t="str">
        <f>IFERROR(INDEX(Raw_orders!G:G, MATCH(shipments[[#This Row],[order_id]],Raw_orders!A:A, 0)), "Unknown")</f>
        <v>Central Europe</v>
      </c>
      <c r="J1291" t="str">
        <f>PROPER(shipments[[#This Row],[delivery_status]])</f>
        <v>Delivered</v>
      </c>
      <c r="K1291" t="s">
        <v>6929</v>
      </c>
    </row>
    <row r="1292" spans="1:11">
      <c r="A1292" t="s">
        <v>8228</v>
      </c>
      <c r="B1292" t="s">
        <v>2127</v>
      </c>
      <c r="C1292" t="s">
        <v>6928</v>
      </c>
      <c r="D1292" s="1">
        <v>45610</v>
      </c>
      <c r="E1292" s="1">
        <v>45613</v>
      </c>
      <c r="F1292" s="1">
        <v>45613</v>
      </c>
      <c r="G1292">
        <v>51.59</v>
      </c>
      <c r="H12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92" t="str">
        <f>IFERROR(INDEX(Raw_orders!G:G, MATCH(shipments[[#This Row],[order_id]],Raw_orders!A:A, 0)), "Unknown")</f>
        <v>Central Europe</v>
      </c>
      <c r="J1292" t="str">
        <f>PROPER(shipments[[#This Row],[delivery_status]])</f>
        <v>Delivered</v>
      </c>
      <c r="K1292" t="s">
        <v>6922</v>
      </c>
    </row>
    <row r="1293" spans="1:11">
      <c r="A1293" t="s">
        <v>8229</v>
      </c>
      <c r="B1293" t="s">
        <v>2128</v>
      </c>
      <c r="C1293" t="s">
        <v>6935</v>
      </c>
      <c r="D1293" s="1">
        <v>45611</v>
      </c>
      <c r="E1293" s="1">
        <v>45621</v>
      </c>
      <c r="F1293" s="1">
        <v>45621</v>
      </c>
      <c r="G1293">
        <v>44.37</v>
      </c>
      <c r="H12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93" t="str">
        <f>IFERROR(INDEX(Raw_orders!G:G, MATCH(shipments[[#This Row],[order_id]],Raw_orders!A:A, 0)), "Unknown")</f>
        <v>Central Europe</v>
      </c>
      <c r="J1293" t="str">
        <f>PROPER(shipments[[#This Row],[delivery_status]])</f>
        <v>Delivered</v>
      </c>
      <c r="K1293" t="s">
        <v>6922</v>
      </c>
    </row>
    <row r="1294" spans="1:11">
      <c r="A1294" t="s">
        <v>8230</v>
      </c>
      <c r="B1294" t="s">
        <v>2129</v>
      </c>
      <c r="C1294" t="s">
        <v>6928</v>
      </c>
      <c r="D1294" s="1">
        <v>45555</v>
      </c>
      <c r="E1294" s="1">
        <v>45562</v>
      </c>
      <c r="F1294" s="1">
        <v>45567</v>
      </c>
      <c r="G1294">
        <v>17.38</v>
      </c>
      <c r="H12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94" t="str">
        <f>IFERROR(INDEX(Raw_orders!G:G, MATCH(shipments[[#This Row],[order_id]],Raw_orders!A:A, 0)), "Unknown")</f>
        <v>Baltics</v>
      </c>
      <c r="J1294" t="str">
        <f>PROPER(shipments[[#This Row],[delivery_status]])</f>
        <v>Delivered</v>
      </c>
      <c r="K1294" t="s">
        <v>6929</v>
      </c>
    </row>
    <row r="1295" spans="1:11">
      <c r="A1295" t="s">
        <v>8231</v>
      </c>
      <c r="B1295" t="s">
        <v>2130</v>
      </c>
      <c r="C1295" t="s">
        <v>6931</v>
      </c>
      <c r="D1295" s="1">
        <v>44988</v>
      </c>
      <c r="E1295" s="1">
        <v>44993</v>
      </c>
      <c r="F1295" s="1">
        <v>45002</v>
      </c>
      <c r="G1295">
        <v>16.059999999999999</v>
      </c>
      <c r="H12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95" t="str">
        <f>IFERROR(INDEX(Raw_orders!G:G, MATCH(shipments[[#This Row],[order_id]],Raw_orders!A:A, 0)), "Unknown")</f>
        <v>Baltics</v>
      </c>
      <c r="J1295" t="str">
        <f>PROPER(shipments[[#This Row],[delivery_status]])</f>
        <v>Delivered</v>
      </c>
      <c r="K1295" t="s">
        <v>6922</v>
      </c>
    </row>
    <row r="1296" spans="1:11">
      <c r="A1296" t="s">
        <v>8232</v>
      </c>
      <c r="B1296" t="s">
        <v>2131</v>
      </c>
      <c r="C1296" t="s">
        <v>6921</v>
      </c>
      <c r="D1296" s="1">
        <v>45079</v>
      </c>
      <c r="E1296" s="1">
        <v>45082</v>
      </c>
      <c r="F1296" s="1">
        <v>45085</v>
      </c>
      <c r="G1296">
        <v>32.130000000000003</v>
      </c>
      <c r="H12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296" t="str">
        <f>IFERROR(INDEX(Raw_orders!G:G, MATCH(shipments[[#This Row],[order_id]],Raw_orders!A:A, 0)), "Unknown")</f>
        <v>Baltics</v>
      </c>
      <c r="J1296" t="str">
        <f>PROPER(shipments[[#This Row],[delivery_status]])</f>
        <v>Delivered</v>
      </c>
      <c r="K1296" t="s">
        <v>6922</v>
      </c>
    </row>
    <row r="1297" spans="1:11">
      <c r="A1297" t="s">
        <v>8233</v>
      </c>
      <c r="B1297" t="s">
        <v>2132</v>
      </c>
      <c r="C1297" t="s">
        <v>6935</v>
      </c>
      <c r="D1297" s="1">
        <v>45017</v>
      </c>
      <c r="E1297" s="1">
        <v>45027</v>
      </c>
      <c r="F1297" s="1"/>
      <c r="H12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297" t="str">
        <f>IFERROR(INDEX(Raw_orders!G:G, MATCH(shipments[[#This Row],[order_id]],Raw_orders!A:A, 0)), "Unknown")</f>
        <v>Nordics</v>
      </c>
      <c r="J1297" t="str">
        <f>PROPER(shipments[[#This Row],[delivery_status]])</f>
        <v>In Transit</v>
      </c>
      <c r="K1297" t="s">
        <v>6946</v>
      </c>
    </row>
    <row r="1298" spans="1:11">
      <c r="A1298" t="s">
        <v>8234</v>
      </c>
      <c r="B1298" t="s">
        <v>2133</v>
      </c>
      <c r="C1298" t="s">
        <v>6940</v>
      </c>
      <c r="D1298" s="1">
        <v>45386</v>
      </c>
      <c r="E1298" s="1">
        <v>45396</v>
      </c>
      <c r="F1298" s="1">
        <v>45396</v>
      </c>
      <c r="G1298">
        <v>61.16</v>
      </c>
      <c r="H12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298" t="str">
        <f>IFERROR(INDEX(Raw_orders!G:G, MATCH(shipments[[#This Row],[order_id]],Raw_orders!A:A, 0)), "Unknown")</f>
        <v>Central Europe</v>
      </c>
      <c r="J1298" t="str">
        <f>PROPER(shipments[[#This Row],[delivery_status]])</f>
        <v>Delivered</v>
      </c>
      <c r="K1298" t="s">
        <v>6926</v>
      </c>
    </row>
    <row r="1299" spans="1:11">
      <c r="A1299" t="s">
        <v>8235</v>
      </c>
      <c r="B1299" t="s">
        <v>2134</v>
      </c>
      <c r="C1299" t="s">
        <v>6925</v>
      </c>
      <c r="D1299" s="1">
        <v>45609</v>
      </c>
      <c r="E1299" s="1">
        <v>45611</v>
      </c>
      <c r="F1299" s="1"/>
      <c r="G1299">
        <v>7.26</v>
      </c>
      <c r="H12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299" t="str">
        <f>IFERROR(INDEX(Raw_orders!G:G, MATCH(shipments[[#This Row],[order_id]],Raw_orders!A:A, 0)), "Unknown")</f>
        <v>Nordics</v>
      </c>
      <c r="J1299" t="str">
        <f>PROPER(shipments[[#This Row],[delivery_status]])</f>
        <v>Cancelled</v>
      </c>
      <c r="K1299" t="s">
        <v>6963</v>
      </c>
    </row>
    <row r="1300" spans="1:11">
      <c r="A1300" t="s">
        <v>8236</v>
      </c>
      <c r="B1300" t="s">
        <v>2135</v>
      </c>
      <c r="C1300" t="s">
        <v>6956</v>
      </c>
      <c r="D1300" s="1">
        <v>45400</v>
      </c>
      <c r="E1300" s="1">
        <v>45407</v>
      </c>
      <c r="F1300" s="1"/>
      <c r="G1300">
        <v>14.4</v>
      </c>
      <c r="H13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300" t="str">
        <f>IFERROR(INDEX(Raw_orders!G:G, MATCH(shipments[[#This Row],[order_id]],Raw_orders!A:A, 0)), "Unknown")</f>
        <v>Baltics</v>
      </c>
      <c r="J1300" t="str">
        <f>PROPER(shipments[[#This Row],[delivery_status]])</f>
        <v>Cancelled</v>
      </c>
      <c r="K1300" t="s">
        <v>6979</v>
      </c>
    </row>
    <row r="1301" spans="1:11">
      <c r="A1301" t="s">
        <v>8237</v>
      </c>
      <c r="B1301" t="s">
        <v>2136</v>
      </c>
      <c r="C1301" t="s">
        <v>6928</v>
      </c>
      <c r="D1301" s="1">
        <v>45121</v>
      </c>
      <c r="E1301" s="1">
        <v>45123</v>
      </c>
      <c r="F1301" s="1">
        <v>45137</v>
      </c>
      <c r="G1301">
        <v>35.08</v>
      </c>
      <c r="H13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01" t="str">
        <f>IFERROR(INDEX(Raw_orders!G:G, MATCH(shipments[[#This Row],[order_id]],Raw_orders!A:A, 0)), "Unknown")</f>
        <v>Central Europe</v>
      </c>
      <c r="J1301" t="str">
        <f>PROPER(shipments[[#This Row],[delivery_status]])</f>
        <v>Delivered</v>
      </c>
      <c r="K1301" t="s">
        <v>6922</v>
      </c>
    </row>
    <row r="1302" spans="1:11">
      <c r="A1302" t="s">
        <v>8238</v>
      </c>
      <c r="B1302" t="s">
        <v>2137</v>
      </c>
      <c r="C1302" t="s">
        <v>6956</v>
      </c>
      <c r="D1302" s="1">
        <v>45296</v>
      </c>
      <c r="E1302" s="1">
        <v>45301</v>
      </c>
      <c r="F1302" s="1">
        <v>45306</v>
      </c>
      <c r="G1302">
        <v>26.29</v>
      </c>
      <c r="H13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02" t="str">
        <f>IFERROR(INDEX(Raw_orders!G:G, MATCH(shipments[[#This Row],[order_id]],Raw_orders!A:A, 0)), "Unknown")</f>
        <v>Baltics</v>
      </c>
      <c r="J1302" t="str">
        <f>PROPER(shipments[[#This Row],[delivery_status]])</f>
        <v>Delivered</v>
      </c>
      <c r="K1302" t="s">
        <v>6922</v>
      </c>
    </row>
    <row r="1303" spans="1:11">
      <c r="A1303" t="s">
        <v>8239</v>
      </c>
      <c r="B1303" t="s">
        <v>2138</v>
      </c>
      <c r="C1303" t="s">
        <v>6956</v>
      </c>
      <c r="D1303" s="1">
        <v>45345</v>
      </c>
      <c r="E1303" s="1">
        <v>45347</v>
      </c>
      <c r="F1303" s="1">
        <v>45359</v>
      </c>
      <c r="G1303">
        <v>29.23</v>
      </c>
      <c r="H13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03" t="str">
        <f>IFERROR(INDEX(Raw_orders!G:G, MATCH(shipments[[#This Row],[order_id]],Raw_orders!A:A, 0)), "Unknown")</f>
        <v>Central Europe</v>
      </c>
      <c r="J1303" t="str">
        <f>PROPER(shipments[[#This Row],[delivery_status]])</f>
        <v>Delivered</v>
      </c>
      <c r="K1303" t="s">
        <v>6926</v>
      </c>
    </row>
    <row r="1304" spans="1:11">
      <c r="A1304" t="s">
        <v>8240</v>
      </c>
      <c r="B1304" t="s">
        <v>2139</v>
      </c>
      <c r="C1304" t="s">
        <v>6925</v>
      </c>
      <c r="D1304" s="1">
        <v>45071</v>
      </c>
      <c r="E1304" s="1">
        <v>45078</v>
      </c>
      <c r="F1304" s="1">
        <v>45078</v>
      </c>
      <c r="G1304">
        <v>43.15</v>
      </c>
      <c r="H13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304" t="str">
        <f>IFERROR(INDEX(Raw_orders!G:G, MATCH(shipments[[#This Row],[order_id]],Raw_orders!A:A, 0)), "Unknown")</f>
        <v>Central Europe</v>
      </c>
      <c r="J1304" t="str">
        <f>PROPER(shipments[[#This Row],[delivery_status]])</f>
        <v>Delivered</v>
      </c>
      <c r="K1304" t="s">
        <v>6929</v>
      </c>
    </row>
    <row r="1305" spans="1:11">
      <c r="A1305" t="s">
        <v>8241</v>
      </c>
      <c r="B1305" t="s">
        <v>2140</v>
      </c>
      <c r="C1305" t="s">
        <v>6931</v>
      </c>
      <c r="D1305" s="1">
        <v>45188</v>
      </c>
      <c r="E1305" s="1">
        <v>45193</v>
      </c>
      <c r="F1305" s="1">
        <v>45193</v>
      </c>
      <c r="G1305">
        <v>25.86</v>
      </c>
      <c r="H13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305" t="str">
        <f>IFERROR(INDEX(Raw_orders!G:G, MATCH(shipments[[#This Row],[order_id]],Raw_orders!A:A, 0)), "Unknown")</f>
        <v>Nordics</v>
      </c>
      <c r="J1305" t="str">
        <f>PROPER(shipments[[#This Row],[delivery_status]])</f>
        <v>Delivered</v>
      </c>
      <c r="K1305" t="s">
        <v>6922</v>
      </c>
    </row>
    <row r="1306" spans="1:11">
      <c r="A1306" t="s">
        <v>8242</v>
      </c>
      <c r="B1306" t="s">
        <v>2141</v>
      </c>
      <c r="C1306" t="s">
        <v>6956</v>
      </c>
      <c r="D1306" s="1">
        <v>45297</v>
      </c>
      <c r="E1306" s="1">
        <v>45304</v>
      </c>
      <c r="F1306" s="1">
        <v>45309</v>
      </c>
      <c r="G1306">
        <v>37.14</v>
      </c>
      <c r="H13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06" t="str">
        <f>IFERROR(INDEX(Raw_orders!G:G, MATCH(shipments[[#This Row],[order_id]],Raw_orders!A:A, 0)), "Unknown")</f>
        <v>Central Europe</v>
      </c>
      <c r="J1306" t="str">
        <f>PROPER(shipments[[#This Row],[delivery_status]])</f>
        <v>Delivered</v>
      </c>
      <c r="K1306" t="s">
        <v>6922</v>
      </c>
    </row>
    <row r="1307" spans="1:11">
      <c r="A1307" t="s">
        <v>8243</v>
      </c>
      <c r="B1307" t="s">
        <v>2142</v>
      </c>
      <c r="C1307" t="s">
        <v>6928</v>
      </c>
      <c r="D1307" s="1">
        <v>45389</v>
      </c>
      <c r="E1307" s="1">
        <v>45394</v>
      </c>
      <c r="F1307" s="1">
        <v>45408</v>
      </c>
      <c r="G1307">
        <v>51.21</v>
      </c>
      <c r="H13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07" t="str">
        <f>IFERROR(INDEX(Raw_orders!G:G, MATCH(shipments[[#This Row],[order_id]],Raw_orders!A:A, 0)), "Unknown")</f>
        <v>Nordics</v>
      </c>
      <c r="J1307" t="str">
        <f>PROPER(shipments[[#This Row],[delivery_status]])</f>
        <v>Delivered</v>
      </c>
      <c r="K1307" t="s">
        <v>6929</v>
      </c>
    </row>
    <row r="1308" spans="1:11">
      <c r="A1308" t="s">
        <v>8244</v>
      </c>
      <c r="B1308" t="s">
        <v>2143</v>
      </c>
      <c r="C1308" t="s">
        <v>6940</v>
      </c>
      <c r="D1308" s="1">
        <v>45089</v>
      </c>
      <c r="E1308" s="1">
        <v>45099</v>
      </c>
      <c r="F1308" s="1">
        <v>45103</v>
      </c>
      <c r="G1308">
        <v>34.880000000000003</v>
      </c>
      <c r="H13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08" t="str">
        <f>IFERROR(INDEX(Raw_orders!G:G, MATCH(shipments[[#This Row],[order_id]],Raw_orders!A:A, 0)), "Unknown")</f>
        <v>Nordics</v>
      </c>
      <c r="J1308" t="str">
        <f>PROPER(shipments[[#This Row],[delivery_status]])</f>
        <v>Delivered</v>
      </c>
      <c r="K1308" t="s">
        <v>6929</v>
      </c>
    </row>
    <row r="1309" spans="1:11">
      <c r="A1309" t="s">
        <v>8245</v>
      </c>
      <c r="B1309" t="s">
        <v>2144</v>
      </c>
      <c r="C1309" t="s">
        <v>6935</v>
      </c>
      <c r="D1309" s="1">
        <v>44997</v>
      </c>
      <c r="E1309" s="1">
        <v>45002</v>
      </c>
      <c r="F1309" s="1">
        <v>45011</v>
      </c>
      <c r="G1309">
        <v>42.65</v>
      </c>
      <c r="H13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09" t="str">
        <f>IFERROR(INDEX(Raw_orders!G:G, MATCH(shipments[[#This Row],[order_id]],Raw_orders!A:A, 0)), "Unknown")</f>
        <v>Nordics</v>
      </c>
      <c r="J1309" t="str">
        <f>PROPER(shipments[[#This Row],[delivery_status]])</f>
        <v>Delivered</v>
      </c>
      <c r="K1309" t="s">
        <v>6929</v>
      </c>
    </row>
    <row r="1310" spans="1:11">
      <c r="A1310" t="s">
        <v>8246</v>
      </c>
      <c r="B1310" t="s">
        <v>2145</v>
      </c>
      <c r="C1310" t="s">
        <v>6935</v>
      </c>
      <c r="D1310" s="1">
        <v>45207</v>
      </c>
      <c r="E1310" s="1">
        <v>45209</v>
      </c>
      <c r="F1310" s="1">
        <v>45209</v>
      </c>
      <c r="G1310">
        <v>11.16</v>
      </c>
      <c r="H13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310" t="str">
        <f>IFERROR(INDEX(Raw_orders!G:G, MATCH(shipments[[#This Row],[order_id]],Raw_orders!A:A, 0)), "Unknown")</f>
        <v>Unknown</v>
      </c>
      <c r="J1310" t="str">
        <f>PROPER(shipments[[#This Row],[delivery_status]])</f>
        <v>Delivered</v>
      </c>
      <c r="K1310" t="s">
        <v>6922</v>
      </c>
    </row>
    <row r="1311" spans="1:11">
      <c r="A1311" t="s">
        <v>8247</v>
      </c>
      <c r="B1311" t="s">
        <v>2146</v>
      </c>
      <c r="C1311" t="s">
        <v>6938</v>
      </c>
      <c r="D1311" s="1">
        <v>45385</v>
      </c>
      <c r="E1311" s="1">
        <v>45395</v>
      </c>
      <c r="F1311" s="1">
        <v>45402</v>
      </c>
      <c r="G1311">
        <v>62.35</v>
      </c>
      <c r="H13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11" t="str">
        <f>IFERROR(INDEX(Raw_orders!G:G, MATCH(shipments[[#This Row],[order_id]],Raw_orders!A:A, 0)), "Unknown")</f>
        <v>Baltics</v>
      </c>
      <c r="J1311" t="str">
        <f>PROPER(shipments[[#This Row],[delivery_status]])</f>
        <v>Delivered</v>
      </c>
      <c r="K1311" t="s">
        <v>6926</v>
      </c>
    </row>
    <row r="1312" spans="1:11">
      <c r="A1312" t="s">
        <v>8248</v>
      </c>
      <c r="B1312" t="s">
        <v>2147</v>
      </c>
      <c r="C1312" t="s">
        <v>6940</v>
      </c>
      <c r="D1312" s="1">
        <v>45527</v>
      </c>
      <c r="E1312" s="1">
        <v>45529</v>
      </c>
      <c r="F1312" s="1">
        <v>45532</v>
      </c>
      <c r="G1312">
        <v>26.06</v>
      </c>
      <c r="H13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12" t="str">
        <f>IFERROR(INDEX(Raw_orders!G:G, MATCH(shipments[[#This Row],[order_id]],Raw_orders!A:A, 0)), "Unknown")</f>
        <v>Baltics</v>
      </c>
      <c r="J1312" t="str">
        <f>PROPER(shipments[[#This Row],[delivery_status]])</f>
        <v>Delivered</v>
      </c>
      <c r="K1312" t="s">
        <v>6926</v>
      </c>
    </row>
    <row r="1313" spans="1:11">
      <c r="A1313" t="s">
        <v>8249</v>
      </c>
      <c r="B1313" t="s">
        <v>2147</v>
      </c>
      <c r="C1313" t="s">
        <v>6931</v>
      </c>
      <c r="D1313" s="1">
        <v>45530</v>
      </c>
      <c r="E1313" s="1">
        <v>45540</v>
      </c>
      <c r="F1313" s="1">
        <v>45542</v>
      </c>
      <c r="G1313">
        <v>39.58</v>
      </c>
      <c r="H13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13" t="str">
        <f>IFERROR(INDEX(Raw_orders!G:G, MATCH(shipments[[#This Row],[order_id]],Raw_orders!A:A, 0)), "Unknown")</f>
        <v>Baltics</v>
      </c>
      <c r="J1313" t="str">
        <f>PROPER(shipments[[#This Row],[delivery_status]])</f>
        <v>Delivered</v>
      </c>
      <c r="K1313" t="s">
        <v>6922</v>
      </c>
    </row>
    <row r="1314" spans="1:11">
      <c r="A1314" t="s">
        <v>8250</v>
      </c>
      <c r="B1314" t="s">
        <v>2148</v>
      </c>
      <c r="C1314" t="s">
        <v>6938</v>
      </c>
      <c r="D1314" s="1">
        <v>45189</v>
      </c>
      <c r="E1314" s="1">
        <v>45196</v>
      </c>
      <c r="F1314" s="1">
        <v>45198</v>
      </c>
      <c r="G1314">
        <v>48.24</v>
      </c>
      <c r="H13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14" t="str">
        <f>IFERROR(INDEX(Raw_orders!G:G, MATCH(shipments[[#This Row],[order_id]],Raw_orders!A:A, 0)), "Unknown")</f>
        <v>Nordics</v>
      </c>
      <c r="J1314" t="str">
        <f>PROPER(shipments[[#This Row],[delivery_status]])</f>
        <v>Delivered</v>
      </c>
      <c r="K1314" t="s">
        <v>6926</v>
      </c>
    </row>
    <row r="1315" spans="1:11">
      <c r="A1315" t="s">
        <v>8251</v>
      </c>
      <c r="B1315" t="s">
        <v>2149</v>
      </c>
      <c r="C1315" t="s">
        <v>6921</v>
      </c>
      <c r="D1315" s="1">
        <v>45383</v>
      </c>
      <c r="E1315" s="1">
        <v>45390</v>
      </c>
      <c r="F1315" s="1">
        <v>45392</v>
      </c>
      <c r="G1315">
        <v>40.6</v>
      </c>
      <c r="H13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15" t="str">
        <f>IFERROR(INDEX(Raw_orders!G:G, MATCH(shipments[[#This Row],[order_id]],Raw_orders!A:A, 0)), "Unknown")</f>
        <v>Baltics</v>
      </c>
      <c r="J1315" t="str">
        <f>PROPER(shipments[[#This Row],[delivery_status]])</f>
        <v>Delivered</v>
      </c>
      <c r="K1315" t="s">
        <v>6926</v>
      </c>
    </row>
    <row r="1316" spans="1:11">
      <c r="A1316" t="s">
        <v>8252</v>
      </c>
      <c r="B1316" t="s">
        <v>2150</v>
      </c>
      <c r="C1316" t="s">
        <v>6921</v>
      </c>
      <c r="D1316" s="1">
        <v>45006</v>
      </c>
      <c r="E1316" s="1">
        <v>45008</v>
      </c>
      <c r="F1316" s="1">
        <v>45010</v>
      </c>
      <c r="G1316">
        <v>45.2</v>
      </c>
      <c r="H13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16" t="str">
        <f>IFERROR(INDEX(Raw_orders!G:G, MATCH(shipments[[#This Row],[order_id]],Raw_orders!A:A, 0)), "Unknown")</f>
        <v>Nordics</v>
      </c>
      <c r="J1316" t="str">
        <f>PROPER(shipments[[#This Row],[delivery_status]])</f>
        <v>Delivered</v>
      </c>
      <c r="K1316" t="s">
        <v>6926</v>
      </c>
    </row>
    <row r="1317" spans="1:11">
      <c r="A1317" t="s">
        <v>8253</v>
      </c>
      <c r="B1317" t="s">
        <v>2151</v>
      </c>
      <c r="C1317" t="s">
        <v>6921</v>
      </c>
      <c r="D1317" s="1">
        <v>45090</v>
      </c>
      <c r="E1317" s="1">
        <v>45093</v>
      </c>
      <c r="F1317" s="1"/>
      <c r="G1317">
        <v>37.549999999999997</v>
      </c>
      <c r="H13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317" t="str">
        <f>IFERROR(INDEX(Raw_orders!G:G, MATCH(shipments[[#This Row],[order_id]],Raw_orders!A:A, 0)), "Unknown")</f>
        <v>Baltics</v>
      </c>
      <c r="J1317" t="str">
        <f>PROPER(shipments[[#This Row],[delivery_status]])</f>
        <v>Cancelled</v>
      </c>
      <c r="K1317" t="s">
        <v>6979</v>
      </c>
    </row>
    <row r="1318" spans="1:11">
      <c r="A1318" t="s">
        <v>8254</v>
      </c>
      <c r="B1318" t="s">
        <v>2152</v>
      </c>
      <c r="C1318" t="s">
        <v>6928</v>
      </c>
      <c r="D1318" s="1">
        <v>45188</v>
      </c>
      <c r="E1318" s="1">
        <v>45193</v>
      </c>
      <c r="F1318" s="1">
        <v>45192</v>
      </c>
      <c r="G1318">
        <v>20.54</v>
      </c>
      <c r="H13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318" t="str">
        <f>IFERROR(INDEX(Raw_orders!G:G, MATCH(shipments[[#This Row],[order_id]],Raw_orders!A:A, 0)), "Unknown")</f>
        <v>Nordics</v>
      </c>
      <c r="J1318" t="str">
        <f>PROPER(shipments[[#This Row],[delivery_status]])</f>
        <v>Delivered</v>
      </c>
      <c r="K1318" t="s">
        <v>6929</v>
      </c>
    </row>
    <row r="1319" spans="1:11">
      <c r="A1319" t="s">
        <v>8255</v>
      </c>
      <c r="B1319" t="s">
        <v>2153</v>
      </c>
      <c r="C1319" t="s">
        <v>6925</v>
      </c>
      <c r="D1319" s="1">
        <v>45143</v>
      </c>
      <c r="E1319" s="1">
        <v>45153</v>
      </c>
      <c r="F1319" s="1"/>
      <c r="G1319">
        <v>39</v>
      </c>
      <c r="H13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319" t="str">
        <f>IFERROR(INDEX(Raw_orders!G:G, MATCH(shipments[[#This Row],[order_id]],Raw_orders!A:A, 0)), "Unknown")</f>
        <v>Central Europe</v>
      </c>
      <c r="J1319" t="str">
        <f>PROPER(shipments[[#This Row],[delivery_status]])</f>
        <v>In Transit</v>
      </c>
      <c r="K1319" t="s">
        <v>6958</v>
      </c>
    </row>
    <row r="1320" spans="1:11">
      <c r="A1320" t="s">
        <v>8256</v>
      </c>
      <c r="B1320" t="s">
        <v>2154</v>
      </c>
      <c r="C1320" t="s">
        <v>6956</v>
      </c>
      <c r="D1320" s="1">
        <v>45371</v>
      </c>
      <c r="E1320" s="1">
        <v>45381</v>
      </c>
      <c r="F1320" s="1">
        <v>45381</v>
      </c>
      <c r="G1320">
        <v>11.03</v>
      </c>
      <c r="H13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320" t="str">
        <f>IFERROR(INDEX(Raw_orders!G:G, MATCH(shipments[[#This Row],[order_id]],Raw_orders!A:A, 0)), "Unknown")</f>
        <v>Baltics</v>
      </c>
      <c r="J1320" t="str">
        <f>PROPER(shipments[[#This Row],[delivery_status]])</f>
        <v>Delivered</v>
      </c>
      <c r="K1320" t="s">
        <v>6922</v>
      </c>
    </row>
    <row r="1321" spans="1:11">
      <c r="A1321" t="s">
        <v>8257</v>
      </c>
      <c r="B1321" t="s">
        <v>2155</v>
      </c>
      <c r="C1321" t="s">
        <v>6931</v>
      </c>
      <c r="D1321" s="1">
        <v>45550</v>
      </c>
      <c r="E1321" s="1">
        <v>45553</v>
      </c>
      <c r="F1321" s="1"/>
      <c r="G1321">
        <v>48.01</v>
      </c>
      <c r="H13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321" t="str">
        <f>IFERROR(INDEX(Raw_orders!G:G, MATCH(shipments[[#This Row],[order_id]],Raw_orders!A:A, 0)), "Unknown")</f>
        <v>Nordics</v>
      </c>
      <c r="J1321" t="str">
        <f>PROPER(shipments[[#This Row],[delivery_status]])</f>
        <v>Cancelled</v>
      </c>
      <c r="K1321" t="s">
        <v>6979</v>
      </c>
    </row>
    <row r="1322" spans="1:11">
      <c r="A1322" t="s">
        <v>8258</v>
      </c>
      <c r="B1322" t="s">
        <v>2156</v>
      </c>
      <c r="C1322" t="s">
        <v>6931</v>
      </c>
      <c r="D1322" s="1">
        <v>45178</v>
      </c>
      <c r="E1322" s="1">
        <v>45188</v>
      </c>
      <c r="F1322" s="1">
        <v>45188</v>
      </c>
      <c r="G1322">
        <v>51.32</v>
      </c>
      <c r="H13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322" t="str">
        <f>IFERROR(INDEX(Raw_orders!G:G, MATCH(shipments[[#This Row],[order_id]],Raw_orders!A:A, 0)), "Unknown")</f>
        <v>Central Europe</v>
      </c>
      <c r="J1322" t="str">
        <f>PROPER(shipments[[#This Row],[delivery_status]])</f>
        <v>Delivered</v>
      </c>
      <c r="K1322" t="s">
        <v>6929</v>
      </c>
    </row>
    <row r="1323" spans="1:11">
      <c r="A1323" t="s">
        <v>8259</v>
      </c>
      <c r="B1323" t="s">
        <v>2157</v>
      </c>
      <c r="C1323" t="s">
        <v>6938</v>
      </c>
      <c r="D1323" s="1">
        <v>45004</v>
      </c>
      <c r="E1323" s="1">
        <v>45011</v>
      </c>
      <c r="F1323" s="1">
        <v>45010</v>
      </c>
      <c r="G1323">
        <v>11.09</v>
      </c>
      <c r="H13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323" t="str">
        <f>IFERROR(INDEX(Raw_orders!G:G, MATCH(shipments[[#This Row],[order_id]],Raw_orders!A:A, 0)), "Unknown")</f>
        <v>Central Europe</v>
      </c>
      <c r="J1323" t="str">
        <f>PROPER(shipments[[#This Row],[delivery_status]])</f>
        <v>Delivered</v>
      </c>
      <c r="K1323" t="s">
        <v>6922</v>
      </c>
    </row>
    <row r="1324" spans="1:11">
      <c r="A1324" t="s">
        <v>8260</v>
      </c>
      <c r="B1324" t="s">
        <v>2157</v>
      </c>
      <c r="C1324" t="s">
        <v>6925</v>
      </c>
      <c r="D1324" s="1">
        <v>45005</v>
      </c>
      <c r="E1324" s="1">
        <v>45015</v>
      </c>
      <c r="F1324" s="1"/>
      <c r="G1324">
        <v>18.559999999999999</v>
      </c>
      <c r="H13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324" t="str">
        <f>IFERROR(INDEX(Raw_orders!G:G, MATCH(shipments[[#This Row],[order_id]],Raw_orders!A:A, 0)), "Unknown")</f>
        <v>Central Europe</v>
      </c>
      <c r="J1324" t="str">
        <f>PROPER(shipments[[#This Row],[delivery_status]])</f>
        <v>Cancelled</v>
      </c>
      <c r="K1324" t="s">
        <v>6972</v>
      </c>
    </row>
    <row r="1325" spans="1:11">
      <c r="A1325" t="s">
        <v>8261</v>
      </c>
      <c r="B1325" t="s">
        <v>2158</v>
      </c>
      <c r="C1325" t="s">
        <v>6956</v>
      </c>
      <c r="D1325" s="1">
        <v>44956</v>
      </c>
      <c r="E1325" s="1">
        <v>44961</v>
      </c>
      <c r="F1325" s="1">
        <v>44961</v>
      </c>
      <c r="G1325">
        <v>6.79</v>
      </c>
      <c r="H13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325" t="str">
        <f>IFERROR(INDEX(Raw_orders!G:G, MATCH(shipments[[#This Row],[order_id]],Raw_orders!A:A, 0)), "Unknown")</f>
        <v>Central Europe</v>
      </c>
      <c r="J1325" t="str">
        <f>PROPER(shipments[[#This Row],[delivery_status]])</f>
        <v>Delivered</v>
      </c>
      <c r="K1325" t="s">
        <v>6922</v>
      </c>
    </row>
    <row r="1326" spans="1:11">
      <c r="A1326" t="s">
        <v>8262</v>
      </c>
      <c r="B1326" t="s">
        <v>2159</v>
      </c>
      <c r="C1326" t="s">
        <v>6938</v>
      </c>
      <c r="D1326" s="1">
        <v>44998</v>
      </c>
      <c r="E1326" s="1">
        <v>45001</v>
      </c>
      <c r="F1326" s="1">
        <v>45001</v>
      </c>
      <c r="G1326">
        <v>61.59</v>
      </c>
      <c r="H13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326" t="str">
        <f>IFERROR(INDEX(Raw_orders!G:G, MATCH(shipments[[#This Row],[order_id]],Raw_orders!A:A, 0)), "Unknown")</f>
        <v>Central Europe</v>
      </c>
      <c r="J1326" t="str">
        <f>PROPER(shipments[[#This Row],[delivery_status]])</f>
        <v>Delivered</v>
      </c>
      <c r="K1326" t="s">
        <v>6929</v>
      </c>
    </row>
    <row r="1327" spans="1:11">
      <c r="A1327" t="s">
        <v>8263</v>
      </c>
      <c r="B1327" t="s">
        <v>2159</v>
      </c>
      <c r="C1327" t="s">
        <v>6956</v>
      </c>
      <c r="D1327" s="1">
        <v>44999</v>
      </c>
      <c r="E1327" s="1">
        <v>45001</v>
      </c>
      <c r="F1327" s="1">
        <v>45001</v>
      </c>
      <c r="G1327">
        <v>53.38</v>
      </c>
      <c r="H13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327" t="str">
        <f>IFERROR(INDEX(Raw_orders!G:G, MATCH(shipments[[#This Row],[order_id]],Raw_orders!A:A, 0)), "Unknown")</f>
        <v>Central Europe</v>
      </c>
      <c r="J1327" t="str">
        <f>PROPER(shipments[[#This Row],[delivery_status]])</f>
        <v>Delivered</v>
      </c>
      <c r="K1327" t="s">
        <v>6926</v>
      </c>
    </row>
    <row r="1328" spans="1:11">
      <c r="A1328" t="s">
        <v>8264</v>
      </c>
      <c r="B1328" t="s">
        <v>2160</v>
      </c>
      <c r="C1328" t="s">
        <v>6956</v>
      </c>
      <c r="D1328" s="1">
        <v>45344</v>
      </c>
      <c r="E1328" s="1">
        <v>45354</v>
      </c>
      <c r="F1328" s="1">
        <v>45354</v>
      </c>
      <c r="G1328">
        <v>13.7</v>
      </c>
      <c r="H13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328" t="str">
        <f>IFERROR(INDEX(Raw_orders!G:G, MATCH(shipments[[#This Row],[order_id]],Raw_orders!A:A, 0)), "Unknown")</f>
        <v>Nordics</v>
      </c>
      <c r="J1328" t="str">
        <f>PROPER(shipments[[#This Row],[delivery_status]])</f>
        <v>Delivered</v>
      </c>
      <c r="K1328" t="s">
        <v>6926</v>
      </c>
    </row>
    <row r="1329" spans="1:11">
      <c r="A1329" t="s">
        <v>8265</v>
      </c>
      <c r="B1329" t="s">
        <v>2161</v>
      </c>
      <c r="C1329" t="s">
        <v>6956</v>
      </c>
      <c r="D1329" s="1">
        <v>45041</v>
      </c>
      <c r="E1329" s="1">
        <v>45044</v>
      </c>
      <c r="F1329" s="1">
        <v>45049</v>
      </c>
      <c r="G1329">
        <v>26.01</v>
      </c>
      <c r="H13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29" t="str">
        <f>IFERROR(INDEX(Raw_orders!G:G, MATCH(shipments[[#This Row],[order_id]],Raw_orders!A:A, 0)), "Unknown")</f>
        <v>Central Europe</v>
      </c>
      <c r="J1329" t="str">
        <f>PROPER(shipments[[#This Row],[delivery_status]])</f>
        <v>Delivered</v>
      </c>
      <c r="K1329" t="s">
        <v>6929</v>
      </c>
    </row>
    <row r="1330" spans="1:11">
      <c r="A1330" t="s">
        <v>8266</v>
      </c>
      <c r="B1330" t="s">
        <v>2162</v>
      </c>
      <c r="C1330" t="s">
        <v>6921</v>
      </c>
      <c r="D1330" s="1">
        <v>45216</v>
      </c>
      <c r="E1330" s="1">
        <v>45223</v>
      </c>
      <c r="F1330" s="1"/>
      <c r="G1330">
        <v>62.7</v>
      </c>
      <c r="H13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330" t="str">
        <f>IFERROR(INDEX(Raw_orders!G:G, MATCH(shipments[[#This Row],[order_id]],Raw_orders!A:A, 0)), "Unknown")</f>
        <v>Baltics</v>
      </c>
      <c r="J1330" t="str">
        <f>PROPER(shipments[[#This Row],[delivery_status]])</f>
        <v>In Transit</v>
      </c>
      <c r="K1330" t="s">
        <v>6958</v>
      </c>
    </row>
    <row r="1331" spans="1:11">
      <c r="A1331" t="s">
        <v>8267</v>
      </c>
      <c r="B1331" t="s">
        <v>2163</v>
      </c>
      <c r="C1331" t="s">
        <v>6931</v>
      </c>
      <c r="D1331" s="1">
        <v>44945</v>
      </c>
      <c r="E1331" s="1">
        <v>44950</v>
      </c>
      <c r="F1331" s="1">
        <v>44953</v>
      </c>
      <c r="G1331">
        <v>32.04</v>
      </c>
      <c r="H13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31" t="str">
        <f>IFERROR(INDEX(Raw_orders!G:G, MATCH(shipments[[#This Row],[order_id]],Raw_orders!A:A, 0)), "Unknown")</f>
        <v>Central Europe</v>
      </c>
      <c r="J1331" t="str">
        <f>PROPER(shipments[[#This Row],[delivery_status]])</f>
        <v>Delivered</v>
      </c>
      <c r="K1331" t="s">
        <v>6926</v>
      </c>
    </row>
    <row r="1332" spans="1:11">
      <c r="A1332" t="s">
        <v>8268</v>
      </c>
      <c r="B1332" t="s">
        <v>2164</v>
      </c>
      <c r="C1332" t="s">
        <v>6921</v>
      </c>
      <c r="D1332" s="1">
        <v>45188</v>
      </c>
      <c r="E1332" s="1">
        <v>45191</v>
      </c>
      <c r="F1332" s="1">
        <v>45192</v>
      </c>
      <c r="G1332">
        <v>5.46</v>
      </c>
      <c r="H13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32" t="str">
        <f>IFERROR(INDEX(Raw_orders!G:G, MATCH(shipments[[#This Row],[order_id]],Raw_orders!A:A, 0)), "Unknown")</f>
        <v>Nordics</v>
      </c>
      <c r="J1332" t="str">
        <f>PROPER(shipments[[#This Row],[delivery_status]])</f>
        <v>Delivered</v>
      </c>
      <c r="K1332" t="s">
        <v>6926</v>
      </c>
    </row>
    <row r="1333" spans="1:11">
      <c r="A1333" t="s">
        <v>8269</v>
      </c>
      <c r="B1333" t="s">
        <v>2165</v>
      </c>
      <c r="C1333" t="s">
        <v>6921</v>
      </c>
      <c r="D1333" s="1">
        <v>45533</v>
      </c>
      <c r="E1333" s="1">
        <v>45538</v>
      </c>
      <c r="F1333" s="1">
        <v>45543</v>
      </c>
      <c r="G1333">
        <v>37.409999999999997</v>
      </c>
      <c r="H13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33" t="str">
        <f>IFERROR(INDEX(Raw_orders!G:G, MATCH(shipments[[#This Row],[order_id]],Raw_orders!A:A, 0)), "Unknown")</f>
        <v>Central Europe</v>
      </c>
      <c r="J1333" t="str">
        <f>PROPER(shipments[[#This Row],[delivery_status]])</f>
        <v>Delivered</v>
      </c>
      <c r="K1333" t="s">
        <v>6929</v>
      </c>
    </row>
    <row r="1334" spans="1:11">
      <c r="A1334" t="s">
        <v>8270</v>
      </c>
      <c r="B1334" t="s">
        <v>2166</v>
      </c>
      <c r="C1334" t="s">
        <v>6931</v>
      </c>
      <c r="D1334" s="1">
        <v>45218</v>
      </c>
      <c r="E1334" s="1">
        <v>45225</v>
      </c>
      <c r="F1334" s="1">
        <v>45230</v>
      </c>
      <c r="G1334">
        <v>51.83</v>
      </c>
      <c r="H13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34" t="str">
        <f>IFERROR(INDEX(Raw_orders!G:G, MATCH(shipments[[#This Row],[order_id]],Raw_orders!A:A, 0)), "Unknown")</f>
        <v>Central Europe</v>
      </c>
      <c r="J1334" t="str">
        <f>PROPER(shipments[[#This Row],[delivery_status]])</f>
        <v>Delivered</v>
      </c>
      <c r="K1334" t="s">
        <v>6922</v>
      </c>
    </row>
    <row r="1335" spans="1:11">
      <c r="A1335" t="s">
        <v>8271</v>
      </c>
      <c r="B1335" t="s">
        <v>2167</v>
      </c>
      <c r="C1335" t="s">
        <v>6931</v>
      </c>
      <c r="D1335" s="1">
        <v>45360</v>
      </c>
      <c r="E1335" s="1">
        <v>45362</v>
      </c>
      <c r="F1335" s="1">
        <v>45370</v>
      </c>
      <c r="G1335">
        <v>22.75</v>
      </c>
      <c r="H13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35" t="str">
        <f>IFERROR(INDEX(Raw_orders!G:G, MATCH(shipments[[#This Row],[order_id]],Raw_orders!A:A, 0)), "Unknown")</f>
        <v>Nordics</v>
      </c>
      <c r="J1335" t="str">
        <f>PROPER(shipments[[#This Row],[delivery_status]])</f>
        <v>Delivered</v>
      </c>
      <c r="K1335" t="s">
        <v>6922</v>
      </c>
    </row>
    <row r="1336" spans="1:11">
      <c r="A1336" t="s">
        <v>8272</v>
      </c>
      <c r="B1336" t="s">
        <v>2168</v>
      </c>
      <c r="C1336" t="s">
        <v>6940</v>
      </c>
      <c r="D1336" s="1">
        <v>45277</v>
      </c>
      <c r="E1336" s="1">
        <v>45287</v>
      </c>
      <c r="F1336" s="1">
        <v>45288</v>
      </c>
      <c r="H13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36" t="str">
        <f>IFERROR(INDEX(Raw_orders!G:G, MATCH(shipments[[#This Row],[order_id]],Raw_orders!A:A, 0)), "Unknown")</f>
        <v>Central Europe</v>
      </c>
      <c r="J1336" t="str">
        <f>PROPER(shipments[[#This Row],[delivery_status]])</f>
        <v>Delivered</v>
      </c>
      <c r="K1336" t="s">
        <v>6926</v>
      </c>
    </row>
    <row r="1337" spans="1:11">
      <c r="A1337" t="s">
        <v>8273</v>
      </c>
      <c r="B1337" t="s">
        <v>2169</v>
      </c>
      <c r="C1337" t="s">
        <v>6956</v>
      </c>
      <c r="D1337" s="1">
        <v>45117</v>
      </c>
      <c r="E1337" s="1">
        <v>45122</v>
      </c>
      <c r="F1337" s="1">
        <v>45126</v>
      </c>
      <c r="G1337">
        <v>51.57</v>
      </c>
      <c r="H13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37" t="str">
        <f>IFERROR(INDEX(Raw_orders!G:G, MATCH(shipments[[#This Row],[order_id]],Raw_orders!A:A, 0)), "Unknown")</f>
        <v>Baltics</v>
      </c>
      <c r="J1337" t="str">
        <f>PROPER(shipments[[#This Row],[delivery_status]])</f>
        <v>Delivered</v>
      </c>
      <c r="K1337" t="s">
        <v>6922</v>
      </c>
    </row>
    <row r="1338" spans="1:11">
      <c r="A1338" t="s">
        <v>8274</v>
      </c>
      <c r="B1338" t="s">
        <v>2170</v>
      </c>
      <c r="C1338" t="s">
        <v>6935</v>
      </c>
      <c r="D1338" s="1">
        <v>45225</v>
      </c>
      <c r="E1338" s="1">
        <v>45227</v>
      </c>
      <c r="F1338" s="1"/>
      <c r="G1338">
        <v>58.31</v>
      </c>
      <c r="H13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338" t="str">
        <f>IFERROR(INDEX(Raw_orders!G:G, MATCH(shipments[[#This Row],[order_id]],Raw_orders!A:A, 0)), "Unknown")</f>
        <v>Baltics</v>
      </c>
      <c r="J1338" t="str">
        <f>PROPER(shipments[[#This Row],[delivery_status]])</f>
        <v>Cancelled</v>
      </c>
      <c r="K1338" t="s">
        <v>6963</v>
      </c>
    </row>
    <row r="1339" spans="1:11">
      <c r="A1339" t="s">
        <v>8275</v>
      </c>
      <c r="B1339" t="s">
        <v>2171</v>
      </c>
      <c r="C1339" t="s">
        <v>6921</v>
      </c>
      <c r="D1339" s="1">
        <v>45551</v>
      </c>
      <c r="E1339" s="1">
        <v>45556</v>
      </c>
      <c r="F1339" s="1">
        <v>45557</v>
      </c>
      <c r="G1339">
        <v>52.17</v>
      </c>
      <c r="H13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39" t="str">
        <f>IFERROR(INDEX(Raw_orders!G:G, MATCH(shipments[[#This Row],[order_id]],Raw_orders!A:A, 0)), "Unknown")</f>
        <v>Nordics</v>
      </c>
      <c r="J1339" t="str">
        <f>PROPER(shipments[[#This Row],[delivery_status]])</f>
        <v>Delivered</v>
      </c>
      <c r="K1339" t="s">
        <v>6926</v>
      </c>
    </row>
    <row r="1340" spans="1:11">
      <c r="A1340" t="s">
        <v>8276</v>
      </c>
      <c r="B1340" t="s">
        <v>2172</v>
      </c>
      <c r="C1340" t="s">
        <v>6938</v>
      </c>
      <c r="D1340" s="1">
        <v>45402</v>
      </c>
      <c r="E1340" s="1">
        <v>45405</v>
      </c>
      <c r="F1340" s="1">
        <v>45417</v>
      </c>
      <c r="H13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40" t="str">
        <f>IFERROR(INDEX(Raw_orders!G:G, MATCH(shipments[[#This Row],[order_id]],Raw_orders!A:A, 0)), "Unknown")</f>
        <v>Central Europe</v>
      </c>
      <c r="J1340" t="str">
        <f>PROPER(shipments[[#This Row],[delivery_status]])</f>
        <v>Delivered</v>
      </c>
      <c r="K1340" t="s">
        <v>6922</v>
      </c>
    </row>
    <row r="1341" spans="1:11">
      <c r="A1341" t="s">
        <v>8277</v>
      </c>
      <c r="B1341" t="s">
        <v>2173</v>
      </c>
      <c r="C1341" t="s">
        <v>6921</v>
      </c>
      <c r="D1341" s="1">
        <v>45498</v>
      </c>
      <c r="E1341" s="1">
        <v>45505</v>
      </c>
      <c r="F1341" s="1">
        <v>45513</v>
      </c>
      <c r="G1341">
        <v>27.68</v>
      </c>
      <c r="H13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41" t="str">
        <f>IFERROR(INDEX(Raw_orders!G:G, MATCH(shipments[[#This Row],[order_id]],Raw_orders!A:A, 0)), "Unknown")</f>
        <v>Nordics</v>
      </c>
      <c r="J1341" t="str">
        <f>PROPER(shipments[[#This Row],[delivery_status]])</f>
        <v>Delivered</v>
      </c>
      <c r="K1341" t="s">
        <v>6929</v>
      </c>
    </row>
    <row r="1342" spans="1:11">
      <c r="A1342" t="s">
        <v>8278</v>
      </c>
      <c r="B1342" t="s">
        <v>2174</v>
      </c>
      <c r="C1342" t="s">
        <v>6938</v>
      </c>
      <c r="D1342" s="1">
        <v>45110</v>
      </c>
      <c r="E1342" s="1">
        <v>45113</v>
      </c>
      <c r="F1342" s="1">
        <v>45114</v>
      </c>
      <c r="G1342">
        <v>21.86</v>
      </c>
      <c r="H13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42" t="str">
        <f>IFERROR(INDEX(Raw_orders!G:G, MATCH(shipments[[#This Row],[order_id]],Raw_orders!A:A, 0)), "Unknown")</f>
        <v>Central Europe</v>
      </c>
      <c r="J1342" t="str">
        <f>PROPER(shipments[[#This Row],[delivery_status]])</f>
        <v>Delivered</v>
      </c>
      <c r="K1342" t="s">
        <v>6929</v>
      </c>
    </row>
    <row r="1343" spans="1:11">
      <c r="A1343" t="s">
        <v>8279</v>
      </c>
      <c r="B1343" t="s">
        <v>2175</v>
      </c>
      <c r="C1343" t="s">
        <v>6956</v>
      </c>
      <c r="D1343" s="1">
        <v>45156</v>
      </c>
      <c r="E1343" s="1">
        <v>45163</v>
      </c>
      <c r="F1343" s="1">
        <v>45162</v>
      </c>
      <c r="G1343">
        <v>44.71</v>
      </c>
      <c r="H13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343" t="str">
        <f>IFERROR(INDEX(Raw_orders!G:G, MATCH(shipments[[#This Row],[order_id]],Raw_orders!A:A, 0)), "Unknown")</f>
        <v>Baltics</v>
      </c>
      <c r="J1343" t="str">
        <f>PROPER(shipments[[#This Row],[delivery_status]])</f>
        <v>Delivered</v>
      </c>
      <c r="K1343" t="s">
        <v>6926</v>
      </c>
    </row>
    <row r="1344" spans="1:11">
      <c r="A1344" t="s">
        <v>8280</v>
      </c>
      <c r="B1344" t="s">
        <v>2176</v>
      </c>
      <c r="C1344" t="s">
        <v>6940</v>
      </c>
      <c r="D1344" s="1">
        <v>45368</v>
      </c>
      <c r="E1344" s="1">
        <v>45375</v>
      </c>
      <c r="F1344" s="1"/>
      <c r="G1344">
        <v>34.28</v>
      </c>
      <c r="H13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344" t="str">
        <f>IFERROR(INDEX(Raw_orders!G:G, MATCH(shipments[[#This Row],[order_id]],Raw_orders!A:A, 0)), "Unknown")</f>
        <v>Nordics</v>
      </c>
      <c r="J1344" t="str">
        <f>PROPER(shipments[[#This Row],[delivery_status]])</f>
        <v>In Transit</v>
      </c>
      <c r="K1344" t="s">
        <v>6946</v>
      </c>
    </row>
    <row r="1345" spans="1:11">
      <c r="A1345" t="s">
        <v>8281</v>
      </c>
      <c r="B1345" t="s">
        <v>2177</v>
      </c>
      <c r="C1345" t="s">
        <v>6921</v>
      </c>
      <c r="D1345" s="1">
        <v>45125</v>
      </c>
      <c r="E1345" s="1">
        <v>45128</v>
      </c>
      <c r="F1345" s="1">
        <v>45137</v>
      </c>
      <c r="G1345">
        <v>62.42</v>
      </c>
      <c r="H13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45" t="str">
        <f>IFERROR(INDEX(Raw_orders!G:G, MATCH(shipments[[#This Row],[order_id]],Raw_orders!A:A, 0)), "Unknown")</f>
        <v>Nordics</v>
      </c>
      <c r="J1345" t="str">
        <f>PROPER(shipments[[#This Row],[delivery_status]])</f>
        <v>Delivered</v>
      </c>
      <c r="K1345" t="s">
        <v>6926</v>
      </c>
    </row>
    <row r="1346" spans="1:11">
      <c r="A1346" t="s">
        <v>8282</v>
      </c>
      <c r="B1346" t="s">
        <v>2178</v>
      </c>
      <c r="C1346" t="s">
        <v>6931</v>
      </c>
      <c r="D1346" s="1">
        <v>45059</v>
      </c>
      <c r="E1346" s="1">
        <v>45064</v>
      </c>
      <c r="F1346" s="1">
        <v>45063</v>
      </c>
      <c r="G1346">
        <v>61.17</v>
      </c>
      <c r="H13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346" t="str">
        <f>IFERROR(INDEX(Raw_orders!G:G, MATCH(shipments[[#This Row],[order_id]],Raw_orders!A:A, 0)), "Unknown")</f>
        <v>Nordics</v>
      </c>
      <c r="J1346" t="str">
        <f>PROPER(shipments[[#This Row],[delivery_status]])</f>
        <v>Delivered</v>
      </c>
      <c r="K1346" t="s">
        <v>6926</v>
      </c>
    </row>
    <row r="1347" spans="1:11">
      <c r="A1347" t="s">
        <v>8283</v>
      </c>
      <c r="B1347" t="s">
        <v>2179</v>
      </c>
      <c r="C1347" t="s">
        <v>6938</v>
      </c>
      <c r="D1347" s="1">
        <v>44982</v>
      </c>
      <c r="E1347" s="1">
        <v>44992</v>
      </c>
      <c r="F1347" s="1">
        <v>44994</v>
      </c>
      <c r="G1347">
        <v>46.55</v>
      </c>
      <c r="H13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47" t="str">
        <f>IFERROR(INDEX(Raw_orders!G:G, MATCH(shipments[[#This Row],[order_id]],Raw_orders!A:A, 0)), "Unknown")</f>
        <v>Nordics</v>
      </c>
      <c r="J1347" t="str">
        <f>PROPER(shipments[[#This Row],[delivery_status]])</f>
        <v>Delivered</v>
      </c>
      <c r="K1347" t="s">
        <v>6922</v>
      </c>
    </row>
    <row r="1348" spans="1:11">
      <c r="A1348" t="s">
        <v>8284</v>
      </c>
      <c r="B1348" t="s">
        <v>2180</v>
      </c>
      <c r="C1348" t="s">
        <v>6938</v>
      </c>
      <c r="D1348" s="1">
        <v>45034</v>
      </c>
      <c r="E1348" s="1">
        <v>45044</v>
      </c>
      <c r="F1348" s="1">
        <v>45043</v>
      </c>
      <c r="G1348">
        <v>19.53</v>
      </c>
      <c r="H13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348" t="str">
        <f>IFERROR(INDEX(Raw_orders!G:G, MATCH(shipments[[#This Row],[order_id]],Raw_orders!A:A, 0)), "Unknown")</f>
        <v>Baltics</v>
      </c>
      <c r="J1348" t="str">
        <f>PROPER(shipments[[#This Row],[delivery_status]])</f>
        <v>Delivered</v>
      </c>
      <c r="K1348" t="s">
        <v>6922</v>
      </c>
    </row>
    <row r="1349" spans="1:11">
      <c r="A1349" t="s">
        <v>8285</v>
      </c>
      <c r="B1349" t="s">
        <v>2181</v>
      </c>
      <c r="C1349" t="s">
        <v>6931</v>
      </c>
      <c r="D1349" s="1">
        <v>45396</v>
      </c>
      <c r="E1349" s="1">
        <v>45398</v>
      </c>
      <c r="F1349" s="1">
        <v>45398</v>
      </c>
      <c r="G1349">
        <v>12.59</v>
      </c>
      <c r="H13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349" t="str">
        <f>IFERROR(INDEX(Raw_orders!G:G, MATCH(shipments[[#This Row],[order_id]],Raw_orders!A:A, 0)), "Unknown")</f>
        <v>Central Europe</v>
      </c>
      <c r="J1349" t="str">
        <f>PROPER(shipments[[#This Row],[delivery_status]])</f>
        <v>Delivered</v>
      </c>
      <c r="K1349" t="s">
        <v>6929</v>
      </c>
    </row>
    <row r="1350" spans="1:11">
      <c r="A1350" t="s">
        <v>8286</v>
      </c>
      <c r="B1350" t="s">
        <v>2182</v>
      </c>
      <c r="C1350" t="s">
        <v>6928</v>
      </c>
      <c r="D1350" s="1">
        <v>45234</v>
      </c>
      <c r="E1350" s="1">
        <v>45244</v>
      </c>
      <c r="F1350" s="1">
        <v>45244</v>
      </c>
      <c r="G1350">
        <v>40.9</v>
      </c>
      <c r="H13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350" t="str">
        <f>IFERROR(INDEX(Raw_orders!G:G, MATCH(shipments[[#This Row],[order_id]],Raw_orders!A:A, 0)), "Unknown")</f>
        <v>Baltics</v>
      </c>
      <c r="J1350" t="str">
        <f>PROPER(shipments[[#This Row],[delivery_status]])</f>
        <v>Delivered</v>
      </c>
      <c r="K1350" t="s">
        <v>6929</v>
      </c>
    </row>
    <row r="1351" spans="1:11">
      <c r="A1351" t="s">
        <v>8287</v>
      </c>
      <c r="B1351" t="s">
        <v>2182</v>
      </c>
      <c r="C1351" t="s">
        <v>6935</v>
      </c>
      <c r="D1351" s="1">
        <v>45235</v>
      </c>
      <c r="E1351" s="1">
        <v>45238</v>
      </c>
      <c r="F1351" s="1">
        <v>45246</v>
      </c>
      <c r="G1351">
        <v>35.299999999999997</v>
      </c>
      <c r="H13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51" t="str">
        <f>IFERROR(INDEX(Raw_orders!G:G, MATCH(shipments[[#This Row],[order_id]],Raw_orders!A:A, 0)), "Unknown")</f>
        <v>Baltics</v>
      </c>
      <c r="J1351" t="str">
        <f>PROPER(shipments[[#This Row],[delivery_status]])</f>
        <v>Delivered</v>
      </c>
      <c r="K1351" t="s">
        <v>6926</v>
      </c>
    </row>
    <row r="1352" spans="1:11">
      <c r="A1352" t="s">
        <v>8288</v>
      </c>
      <c r="B1352" t="s">
        <v>2183</v>
      </c>
      <c r="C1352" t="s">
        <v>6940</v>
      </c>
      <c r="D1352" s="1">
        <v>45043</v>
      </c>
      <c r="E1352" s="1">
        <v>45046</v>
      </c>
      <c r="F1352" s="1">
        <v>45054</v>
      </c>
      <c r="G1352">
        <v>46.27</v>
      </c>
      <c r="H13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52" t="str">
        <f>IFERROR(INDEX(Raw_orders!G:G, MATCH(shipments[[#This Row],[order_id]],Raw_orders!A:A, 0)), "Unknown")</f>
        <v>Baltics</v>
      </c>
      <c r="J1352" t="str">
        <f>PROPER(shipments[[#This Row],[delivery_status]])</f>
        <v>Delivered</v>
      </c>
      <c r="K1352" t="s">
        <v>6926</v>
      </c>
    </row>
    <row r="1353" spans="1:11">
      <c r="A1353" t="s">
        <v>8289</v>
      </c>
      <c r="B1353" t="s">
        <v>2183</v>
      </c>
      <c r="C1353" t="s">
        <v>6928</v>
      </c>
      <c r="D1353" s="1">
        <v>45044</v>
      </c>
      <c r="E1353" s="1">
        <v>45049</v>
      </c>
      <c r="F1353" s="1"/>
      <c r="G1353">
        <v>53.71</v>
      </c>
      <c r="H13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353" t="str">
        <f>IFERROR(INDEX(Raw_orders!G:G, MATCH(shipments[[#This Row],[order_id]],Raw_orders!A:A, 0)), "Unknown")</f>
        <v>Baltics</v>
      </c>
      <c r="J1353" t="str">
        <f>PROPER(shipments[[#This Row],[delivery_status]])</f>
        <v>In Transit</v>
      </c>
      <c r="K1353" t="s">
        <v>6977</v>
      </c>
    </row>
    <row r="1354" spans="1:11">
      <c r="A1354" t="s">
        <v>8290</v>
      </c>
      <c r="B1354" t="s">
        <v>2184</v>
      </c>
      <c r="C1354" t="s">
        <v>6931</v>
      </c>
      <c r="D1354" s="1">
        <v>45451</v>
      </c>
      <c r="E1354" s="1">
        <v>45458</v>
      </c>
      <c r="F1354" s="1">
        <v>45458</v>
      </c>
      <c r="G1354">
        <v>51.69</v>
      </c>
      <c r="H13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354" t="str">
        <f>IFERROR(INDEX(Raw_orders!G:G, MATCH(shipments[[#This Row],[order_id]],Raw_orders!A:A, 0)), "Unknown")</f>
        <v>Central Europe</v>
      </c>
      <c r="J1354" t="str">
        <f>PROPER(shipments[[#This Row],[delivery_status]])</f>
        <v>Delivered</v>
      </c>
      <c r="K1354" t="s">
        <v>6922</v>
      </c>
    </row>
    <row r="1355" spans="1:11">
      <c r="A1355" t="s">
        <v>8291</v>
      </c>
      <c r="B1355" t="s">
        <v>2185</v>
      </c>
      <c r="C1355" t="s">
        <v>6925</v>
      </c>
      <c r="D1355" s="1">
        <v>45365</v>
      </c>
      <c r="E1355" s="1">
        <v>45368</v>
      </c>
      <c r="F1355" s="1"/>
      <c r="G1355">
        <v>31.56</v>
      </c>
      <c r="H13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355" t="str">
        <f>IFERROR(INDEX(Raw_orders!G:G, MATCH(shipments[[#This Row],[order_id]],Raw_orders!A:A, 0)), "Unknown")</f>
        <v>Nordics</v>
      </c>
      <c r="J1355" t="str">
        <f>PROPER(shipments[[#This Row],[delivery_status]])</f>
        <v>In Transit</v>
      </c>
      <c r="K1355" t="s">
        <v>6946</v>
      </c>
    </row>
    <row r="1356" spans="1:11">
      <c r="A1356" t="s">
        <v>8292</v>
      </c>
      <c r="B1356" t="s">
        <v>2186</v>
      </c>
      <c r="C1356" t="s">
        <v>6938</v>
      </c>
      <c r="D1356" s="1">
        <v>45198</v>
      </c>
      <c r="E1356" s="1">
        <v>45205</v>
      </c>
      <c r="F1356" s="1">
        <v>45205</v>
      </c>
      <c r="G1356">
        <v>33.92</v>
      </c>
      <c r="H13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356" t="str">
        <f>IFERROR(INDEX(Raw_orders!G:G, MATCH(shipments[[#This Row],[order_id]],Raw_orders!A:A, 0)), "Unknown")</f>
        <v>Central Europe</v>
      </c>
      <c r="J1356" t="str">
        <f>PROPER(shipments[[#This Row],[delivery_status]])</f>
        <v>Delivered</v>
      </c>
      <c r="K1356" t="s">
        <v>6922</v>
      </c>
    </row>
    <row r="1357" spans="1:11">
      <c r="A1357" t="s">
        <v>8293</v>
      </c>
      <c r="B1357" t="s">
        <v>2187</v>
      </c>
      <c r="C1357" t="s">
        <v>6928</v>
      </c>
      <c r="D1357" s="1">
        <v>45241</v>
      </c>
      <c r="E1357" s="1">
        <v>45251</v>
      </c>
      <c r="F1357" s="1">
        <v>45254</v>
      </c>
      <c r="G1357">
        <v>52.41</v>
      </c>
      <c r="H13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57" t="str">
        <f>IFERROR(INDEX(Raw_orders!G:G, MATCH(shipments[[#This Row],[order_id]],Raw_orders!A:A, 0)), "Unknown")</f>
        <v>Nordics</v>
      </c>
      <c r="J1357" t="str">
        <f>PROPER(shipments[[#This Row],[delivery_status]])</f>
        <v>Delivered</v>
      </c>
      <c r="K1357" t="s">
        <v>6922</v>
      </c>
    </row>
    <row r="1358" spans="1:11">
      <c r="A1358" t="s">
        <v>8294</v>
      </c>
      <c r="B1358" t="s">
        <v>2188</v>
      </c>
      <c r="C1358" t="s">
        <v>6940</v>
      </c>
      <c r="D1358" s="1">
        <v>45266</v>
      </c>
      <c r="E1358" s="1">
        <v>45271</v>
      </c>
      <c r="F1358" s="1">
        <v>45271</v>
      </c>
      <c r="G1358">
        <v>52.78</v>
      </c>
      <c r="H13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358" t="str">
        <f>IFERROR(INDEX(Raw_orders!G:G, MATCH(shipments[[#This Row],[order_id]],Raw_orders!A:A, 0)), "Unknown")</f>
        <v>Baltics</v>
      </c>
      <c r="J1358" t="str">
        <f>PROPER(shipments[[#This Row],[delivery_status]])</f>
        <v>Delivered</v>
      </c>
      <c r="K1358" t="s">
        <v>6922</v>
      </c>
    </row>
    <row r="1359" spans="1:11">
      <c r="A1359" t="s">
        <v>8295</v>
      </c>
      <c r="B1359" t="s">
        <v>2189</v>
      </c>
      <c r="C1359" t="s">
        <v>6938</v>
      </c>
      <c r="D1359" s="1">
        <v>45315</v>
      </c>
      <c r="E1359" s="1">
        <v>45322</v>
      </c>
      <c r="F1359" s="1"/>
      <c r="G1359">
        <v>20.9</v>
      </c>
      <c r="H13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359" t="str">
        <f>IFERROR(INDEX(Raw_orders!G:G, MATCH(shipments[[#This Row],[order_id]],Raw_orders!A:A, 0)), "Unknown")</f>
        <v>Central Europe</v>
      </c>
      <c r="J1359" t="str">
        <f>PROPER(shipments[[#This Row],[delivery_status]])</f>
        <v>In Transit</v>
      </c>
      <c r="K1359" t="s">
        <v>6977</v>
      </c>
    </row>
    <row r="1360" spans="1:11">
      <c r="A1360" t="s">
        <v>8296</v>
      </c>
      <c r="B1360" t="s">
        <v>2190</v>
      </c>
      <c r="C1360" t="s">
        <v>6928</v>
      </c>
      <c r="D1360" s="1">
        <v>45092</v>
      </c>
      <c r="E1360" s="1">
        <v>45102</v>
      </c>
      <c r="F1360" s="1">
        <v>45102</v>
      </c>
      <c r="G1360">
        <v>8.32</v>
      </c>
      <c r="H13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360" t="str">
        <f>IFERROR(INDEX(Raw_orders!G:G, MATCH(shipments[[#This Row],[order_id]],Raw_orders!A:A, 0)), "Unknown")</f>
        <v>Baltics</v>
      </c>
      <c r="J1360" t="str">
        <f>PROPER(shipments[[#This Row],[delivery_status]])</f>
        <v>Delivered</v>
      </c>
      <c r="K1360" t="s">
        <v>6922</v>
      </c>
    </row>
    <row r="1361" spans="1:11">
      <c r="A1361" t="s">
        <v>8297</v>
      </c>
      <c r="B1361" t="s">
        <v>2191</v>
      </c>
      <c r="C1361" t="s">
        <v>6931</v>
      </c>
      <c r="D1361" s="1">
        <v>44991</v>
      </c>
      <c r="E1361" s="1">
        <v>44998</v>
      </c>
      <c r="F1361" s="1">
        <v>45006</v>
      </c>
      <c r="G1361">
        <v>27.02</v>
      </c>
      <c r="H13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61" t="str">
        <f>IFERROR(INDEX(Raw_orders!G:G, MATCH(shipments[[#This Row],[order_id]],Raw_orders!A:A, 0)), "Unknown")</f>
        <v>Nordics</v>
      </c>
      <c r="J1361" t="str">
        <f>PROPER(shipments[[#This Row],[delivery_status]])</f>
        <v>Delivered</v>
      </c>
      <c r="K1361" t="s">
        <v>6929</v>
      </c>
    </row>
    <row r="1362" spans="1:11">
      <c r="A1362" t="s">
        <v>8298</v>
      </c>
      <c r="B1362" t="s">
        <v>2192</v>
      </c>
      <c r="C1362" t="s">
        <v>6940</v>
      </c>
      <c r="D1362" s="1">
        <v>45194</v>
      </c>
      <c r="E1362" s="1">
        <v>45201</v>
      </c>
      <c r="F1362" s="1">
        <v>45200</v>
      </c>
      <c r="G1362">
        <v>34.42</v>
      </c>
      <c r="H13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362" t="str">
        <f>IFERROR(INDEX(Raw_orders!G:G, MATCH(shipments[[#This Row],[order_id]],Raw_orders!A:A, 0)), "Unknown")</f>
        <v>Nordics</v>
      </c>
      <c r="J1362" t="str">
        <f>PROPER(shipments[[#This Row],[delivery_status]])</f>
        <v>Delivered</v>
      </c>
      <c r="K1362" t="s">
        <v>6922</v>
      </c>
    </row>
    <row r="1363" spans="1:11">
      <c r="A1363" t="s">
        <v>8299</v>
      </c>
      <c r="B1363" t="s">
        <v>2193</v>
      </c>
      <c r="C1363" t="s">
        <v>6938</v>
      </c>
      <c r="D1363" s="1">
        <v>45044</v>
      </c>
      <c r="E1363" s="1">
        <v>45046</v>
      </c>
      <c r="F1363" s="1">
        <v>45045</v>
      </c>
      <c r="G1363">
        <v>45.86</v>
      </c>
      <c r="H13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363" t="str">
        <f>IFERROR(INDEX(Raw_orders!G:G, MATCH(shipments[[#This Row],[order_id]],Raw_orders!A:A, 0)), "Unknown")</f>
        <v>Baltics</v>
      </c>
      <c r="J1363" t="str">
        <f>PROPER(shipments[[#This Row],[delivery_status]])</f>
        <v>Delivered</v>
      </c>
      <c r="K1363" t="s">
        <v>6929</v>
      </c>
    </row>
    <row r="1364" spans="1:11">
      <c r="A1364" t="s">
        <v>8300</v>
      </c>
      <c r="B1364" t="s">
        <v>2194</v>
      </c>
      <c r="C1364" t="s">
        <v>6940</v>
      </c>
      <c r="D1364" s="1">
        <v>45420</v>
      </c>
      <c r="E1364" s="1">
        <v>45430</v>
      </c>
      <c r="F1364" s="1">
        <v>45430</v>
      </c>
      <c r="G1364">
        <v>5.5</v>
      </c>
      <c r="H13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364" t="str">
        <f>IFERROR(INDEX(Raw_orders!G:G, MATCH(shipments[[#This Row],[order_id]],Raw_orders!A:A, 0)), "Unknown")</f>
        <v>Baltics</v>
      </c>
      <c r="J1364" t="str">
        <f>PROPER(shipments[[#This Row],[delivery_status]])</f>
        <v>Delivered</v>
      </c>
      <c r="K1364" t="s">
        <v>6926</v>
      </c>
    </row>
    <row r="1365" spans="1:11">
      <c r="A1365" t="s">
        <v>8301</v>
      </c>
      <c r="B1365" t="s">
        <v>2195</v>
      </c>
      <c r="C1365" t="s">
        <v>6931</v>
      </c>
      <c r="D1365" s="1">
        <v>44988</v>
      </c>
      <c r="E1365" s="1">
        <v>44995</v>
      </c>
      <c r="F1365" s="1">
        <v>44994</v>
      </c>
      <c r="G1365">
        <v>34.76</v>
      </c>
      <c r="H13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365" t="str">
        <f>IFERROR(INDEX(Raw_orders!G:G, MATCH(shipments[[#This Row],[order_id]],Raw_orders!A:A, 0)), "Unknown")</f>
        <v>Baltics</v>
      </c>
      <c r="J1365" t="str">
        <f>PROPER(shipments[[#This Row],[delivery_status]])</f>
        <v>Delivered</v>
      </c>
      <c r="K1365" t="s">
        <v>6926</v>
      </c>
    </row>
    <row r="1366" spans="1:11">
      <c r="A1366" t="s">
        <v>8302</v>
      </c>
      <c r="B1366" t="s">
        <v>2196</v>
      </c>
      <c r="C1366" t="s">
        <v>6935</v>
      </c>
      <c r="D1366" s="1">
        <v>44972</v>
      </c>
      <c r="E1366" s="1">
        <v>44977</v>
      </c>
      <c r="F1366" s="1">
        <v>44985</v>
      </c>
      <c r="G1366">
        <v>19.47</v>
      </c>
      <c r="H13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66" t="str">
        <f>IFERROR(INDEX(Raw_orders!G:G, MATCH(shipments[[#This Row],[order_id]],Raw_orders!A:A, 0)), "Unknown")</f>
        <v>Baltics</v>
      </c>
      <c r="J1366" t="str">
        <f>PROPER(shipments[[#This Row],[delivery_status]])</f>
        <v>Delivered</v>
      </c>
      <c r="K1366" t="s">
        <v>6926</v>
      </c>
    </row>
    <row r="1367" spans="1:11">
      <c r="A1367" t="s">
        <v>8303</v>
      </c>
      <c r="B1367" t="s">
        <v>2197</v>
      </c>
      <c r="C1367" t="s">
        <v>6938</v>
      </c>
      <c r="D1367" s="1">
        <v>45322</v>
      </c>
      <c r="E1367" s="1">
        <v>45325</v>
      </c>
      <c r="F1367" s="1">
        <v>45330</v>
      </c>
      <c r="G1367">
        <v>28.81</v>
      </c>
      <c r="H13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67" t="str">
        <f>IFERROR(INDEX(Raw_orders!G:G, MATCH(shipments[[#This Row],[order_id]],Raw_orders!A:A, 0)), "Unknown")</f>
        <v>Nordics</v>
      </c>
      <c r="J1367" t="str">
        <f>PROPER(shipments[[#This Row],[delivery_status]])</f>
        <v>Delivered</v>
      </c>
      <c r="K1367" t="s">
        <v>6926</v>
      </c>
    </row>
    <row r="1368" spans="1:11">
      <c r="A1368" t="s">
        <v>8304</v>
      </c>
      <c r="B1368" t="s">
        <v>2198</v>
      </c>
      <c r="C1368" t="s">
        <v>6931</v>
      </c>
      <c r="D1368" s="1">
        <v>45194</v>
      </c>
      <c r="E1368" s="1">
        <v>45196</v>
      </c>
      <c r="F1368" s="1">
        <v>45196</v>
      </c>
      <c r="G1368">
        <v>23.04</v>
      </c>
      <c r="H13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368" t="str">
        <f>IFERROR(INDEX(Raw_orders!G:G, MATCH(shipments[[#This Row],[order_id]],Raw_orders!A:A, 0)), "Unknown")</f>
        <v>Central Europe</v>
      </c>
      <c r="J1368" t="str">
        <f>PROPER(shipments[[#This Row],[delivery_status]])</f>
        <v>Delivered</v>
      </c>
      <c r="K1368" t="s">
        <v>6929</v>
      </c>
    </row>
    <row r="1369" spans="1:11">
      <c r="A1369" t="s">
        <v>8305</v>
      </c>
      <c r="B1369" t="s">
        <v>2199</v>
      </c>
      <c r="C1369" t="s">
        <v>6935</v>
      </c>
      <c r="D1369" s="1">
        <v>45526</v>
      </c>
      <c r="E1369" s="1">
        <v>45529</v>
      </c>
      <c r="F1369" s="1">
        <v>45531</v>
      </c>
      <c r="G1369">
        <v>10.39</v>
      </c>
      <c r="H13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69" t="str">
        <f>IFERROR(INDEX(Raw_orders!G:G, MATCH(shipments[[#This Row],[order_id]],Raw_orders!A:A, 0)), "Unknown")</f>
        <v>Baltics</v>
      </c>
      <c r="J1369" t="str">
        <f>PROPER(shipments[[#This Row],[delivery_status]])</f>
        <v>Delivered</v>
      </c>
      <c r="K1369" t="s">
        <v>6926</v>
      </c>
    </row>
    <row r="1370" spans="1:11">
      <c r="A1370" t="s">
        <v>8306</v>
      </c>
      <c r="B1370" t="s">
        <v>2200</v>
      </c>
      <c r="C1370" t="s">
        <v>6935</v>
      </c>
      <c r="D1370" s="1">
        <v>45446</v>
      </c>
      <c r="E1370" s="1">
        <v>45451</v>
      </c>
      <c r="F1370" s="1">
        <v>45451</v>
      </c>
      <c r="G1370">
        <v>50.61</v>
      </c>
      <c r="H13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370" t="str">
        <f>IFERROR(INDEX(Raw_orders!G:G, MATCH(shipments[[#This Row],[order_id]],Raw_orders!A:A, 0)), "Unknown")</f>
        <v>Central Europe</v>
      </c>
      <c r="J1370" t="str">
        <f>PROPER(shipments[[#This Row],[delivery_status]])</f>
        <v>Delivered</v>
      </c>
      <c r="K1370" t="s">
        <v>6929</v>
      </c>
    </row>
    <row r="1371" spans="1:11">
      <c r="A1371" t="s">
        <v>8307</v>
      </c>
      <c r="B1371" t="s">
        <v>2201</v>
      </c>
      <c r="C1371" t="s">
        <v>6931</v>
      </c>
      <c r="D1371" s="1">
        <v>45379</v>
      </c>
      <c r="E1371" s="1">
        <v>45381</v>
      </c>
      <c r="F1371" s="1">
        <v>45381</v>
      </c>
      <c r="G1371">
        <v>32.96</v>
      </c>
      <c r="H13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371" t="str">
        <f>IFERROR(INDEX(Raw_orders!G:G, MATCH(shipments[[#This Row],[order_id]],Raw_orders!A:A, 0)), "Unknown")</f>
        <v>Nordics</v>
      </c>
      <c r="J1371" t="str">
        <f>PROPER(shipments[[#This Row],[delivery_status]])</f>
        <v>Delivered</v>
      </c>
      <c r="K1371" t="s">
        <v>6929</v>
      </c>
    </row>
    <row r="1372" spans="1:11">
      <c r="A1372" t="s">
        <v>8308</v>
      </c>
      <c r="B1372" t="s">
        <v>2201</v>
      </c>
      <c r="C1372" t="s">
        <v>6925</v>
      </c>
      <c r="D1372" s="1">
        <v>45379</v>
      </c>
      <c r="E1372" s="1">
        <v>45384</v>
      </c>
      <c r="F1372" s="1">
        <v>45384</v>
      </c>
      <c r="G1372">
        <v>47.24</v>
      </c>
      <c r="H13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372" t="str">
        <f>IFERROR(INDEX(Raw_orders!G:G, MATCH(shipments[[#This Row],[order_id]],Raw_orders!A:A, 0)), "Unknown")</f>
        <v>Nordics</v>
      </c>
      <c r="J1372" t="str">
        <f>PROPER(shipments[[#This Row],[delivery_status]])</f>
        <v>Delivered</v>
      </c>
      <c r="K1372" t="s">
        <v>6922</v>
      </c>
    </row>
    <row r="1373" spans="1:11">
      <c r="A1373" t="s">
        <v>8309</v>
      </c>
      <c r="B1373" t="s">
        <v>2202</v>
      </c>
      <c r="C1373" t="s">
        <v>6925</v>
      </c>
      <c r="D1373" s="1">
        <v>45106</v>
      </c>
      <c r="E1373" s="1">
        <v>45108</v>
      </c>
      <c r="F1373" s="1">
        <v>45108</v>
      </c>
      <c r="G1373">
        <v>35.43</v>
      </c>
      <c r="H13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373" t="str">
        <f>IFERROR(INDEX(Raw_orders!G:G, MATCH(shipments[[#This Row],[order_id]],Raw_orders!A:A, 0)), "Unknown")</f>
        <v>Central Europe</v>
      </c>
      <c r="J1373" t="str">
        <f>PROPER(shipments[[#This Row],[delivery_status]])</f>
        <v>Delivered</v>
      </c>
      <c r="K1373" t="s">
        <v>6922</v>
      </c>
    </row>
    <row r="1374" spans="1:11">
      <c r="A1374" t="s">
        <v>8310</v>
      </c>
      <c r="B1374" t="s">
        <v>2203</v>
      </c>
      <c r="C1374" t="s">
        <v>6935</v>
      </c>
      <c r="D1374" s="1">
        <v>45502</v>
      </c>
      <c r="E1374" s="1">
        <v>45505</v>
      </c>
      <c r="F1374" s="1">
        <v>45513</v>
      </c>
      <c r="G1374">
        <v>10.56</v>
      </c>
      <c r="H13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74" t="str">
        <f>IFERROR(INDEX(Raw_orders!G:G, MATCH(shipments[[#This Row],[order_id]],Raw_orders!A:A, 0)), "Unknown")</f>
        <v>Central Europe</v>
      </c>
      <c r="J1374" t="str">
        <f>PROPER(shipments[[#This Row],[delivery_status]])</f>
        <v>Delivered</v>
      </c>
      <c r="K1374" t="s">
        <v>6926</v>
      </c>
    </row>
    <row r="1375" spans="1:11">
      <c r="A1375" t="s">
        <v>8311</v>
      </c>
      <c r="B1375" t="s">
        <v>2204</v>
      </c>
      <c r="C1375" t="s">
        <v>6940</v>
      </c>
      <c r="D1375" s="1">
        <v>45109</v>
      </c>
      <c r="E1375" s="1">
        <v>45116</v>
      </c>
      <c r="F1375" s="1">
        <v>45118</v>
      </c>
      <c r="G1375">
        <v>45.41</v>
      </c>
      <c r="H13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75" t="str">
        <f>IFERROR(INDEX(Raw_orders!G:G, MATCH(shipments[[#This Row],[order_id]],Raw_orders!A:A, 0)), "Unknown")</f>
        <v>Central Europe</v>
      </c>
      <c r="J1375" t="str">
        <f>PROPER(shipments[[#This Row],[delivery_status]])</f>
        <v>Delivered</v>
      </c>
      <c r="K1375" t="s">
        <v>6922</v>
      </c>
    </row>
    <row r="1376" spans="1:11">
      <c r="A1376" t="s">
        <v>8312</v>
      </c>
      <c r="B1376" t="s">
        <v>2205</v>
      </c>
      <c r="C1376" t="s">
        <v>6940</v>
      </c>
      <c r="D1376" s="1">
        <v>45235</v>
      </c>
      <c r="E1376" s="1">
        <v>45240</v>
      </c>
      <c r="F1376" s="1">
        <v>45241</v>
      </c>
      <c r="G1376">
        <v>64.319999999999993</v>
      </c>
      <c r="H13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76" t="str">
        <f>IFERROR(INDEX(Raw_orders!G:G, MATCH(shipments[[#This Row],[order_id]],Raw_orders!A:A, 0)), "Unknown")</f>
        <v>Central Europe</v>
      </c>
      <c r="J1376" t="str">
        <f>PROPER(shipments[[#This Row],[delivery_status]])</f>
        <v>Delivered</v>
      </c>
      <c r="K1376" t="s">
        <v>6929</v>
      </c>
    </row>
    <row r="1377" spans="1:11">
      <c r="A1377" t="s">
        <v>8313</v>
      </c>
      <c r="B1377" t="s">
        <v>2206</v>
      </c>
      <c r="C1377" t="s">
        <v>6940</v>
      </c>
      <c r="D1377" s="1">
        <v>45077</v>
      </c>
      <c r="E1377" s="1">
        <v>45087</v>
      </c>
      <c r="F1377" s="1">
        <v>45095</v>
      </c>
      <c r="G1377">
        <v>20.38</v>
      </c>
      <c r="H13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77" t="str">
        <f>IFERROR(INDEX(Raw_orders!G:G, MATCH(shipments[[#This Row],[order_id]],Raw_orders!A:A, 0)), "Unknown")</f>
        <v>Baltics</v>
      </c>
      <c r="J1377" t="str">
        <f>PROPER(shipments[[#This Row],[delivery_status]])</f>
        <v>Delivered</v>
      </c>
      <c r="K1377" t="s">
        <v>6926</v>
      </c>
    </row>
    <row r="1378" spans="1:11">
      <c r="A1378" t="s">
        <v>8314</v>
      </c>
      <c r="B1378" t="s">
        <v>2207</v>
      </c>
      <c r="C1378" t="s">
        <v>6935</v>
      </c>
      <c r="D1378" s="1">
        <v>45302</v>
      </c>
      <c r="E1378" s="1">
        <v>45312</v>
      </c>
      <c r="F1378" s="1"/>
      <c r="G1378">
        <v>38.57</v>
      </c>
      <c r="H13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378" t="str">
        <f>IFERROR(INDEX(Raw_orders!G:G, MATCH(shipments[[#This Row],[order_id]],Raw_orders!A:A, 0)), "Unknown")</f>
        <v>Nordics</v>
      </c>
      <c r="J1378" t="str">
        <f>PROPER(shipments[[#This Row],[delivery_status]])</f>
        <v>In Transit</v>
      </c>
      <c r="K1378" t="s">
        <v>6977</v>
      </c>
    </row>
    <row r="1379" spans="1:11">
      <c r="A1379" t="s">
        <v>8315</v>
      </c>
      <c r="B1379" t="s">
        <v>2208</v>
      </c>
      <c r="C1379" t="s">
        <v>6931</v>
      </c>
      <c r="D1379" s="1">
        <v>45289</v>
      </c>
      <c r="E1379" s="1">
        <v>45291</v>
      </c>
      <c r="F1379" s="1">
        <v>45298</v>
      </c>
      <c r="G1379">
        <v>25.14</v>
      </c>
      <c r="H13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79" t="str">
        <f>IFERROR(INDEX(Raw_orders!G:G, MATCH(shipments[[#This Row],[order_id]],Raw_orders!A:A, 0)), "Unknown")</f>
        <v>Baltics</v>
      </c>
      <c r="J1379" t="str">
        <f>PROPER(shipments[[#This Row],[delivery_status]])</f>
        <v>Delivered</v>
      </c>
      <c r="K1379" t="s">
        <v>6929</v>
      </c>
    </row>
    <row r="1380" spans="1:11">
      <c r="A1380" t="s">
        <v>8316</v>
      </c>
      <c r="B1380" t="s">
        <v>2209</v>
      </c>
      <c r="C1380" t="s">
        <v>6935</v>
      </c>
      <c r="D1380" s="1">
        <v>45406</v>
      </c>
      <c r="E1380" s="1">
        <v>45408</v>
      </c>
      <c r="F1380" s="1">
        <v>45413</v>
      </c>
      <c r="G1380">
        <v>10.77</v>
      </c>
      <c r="H13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80" t="str">
        <f>IFERROR(INDEX(Raw_orders!G:G, MATCH(shipments[[#This Row],[order_id]],Raw_orders!A:A, 0)), "Unknown")</f>
        <v>Baltics</v>
      </c>
      <c r="J1380" t="str">
        <f>PROPER(shipments[[#This Row],[delivery_status]])</f>
        <v>Delivered</v>
      </c>
      <c r="K1380" t="s">
        <v>6922</v>
      </c>
    </row>
    <row r="1381" spans="1:11">
      <c r="A1381" t="s">
        <v>8317</v>
      </c>
      <c r="B1381" t="s">
        <v>2210</v>
      </c>
      <c r="C1381" t="s">
        <v>6921</v>
      </c>
      <c r="D1381" s="1">
        <v>45328</v>
      </c>
      <c r="E1381" s="1">
        <v>45330</v>
      </c>
      <c r="F1381" s="1">
        <v>45338</v>
      </c>
      <c r="G1381">
        <v>7.57</v>
      </c>
      <c r="H13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81" t="str">
        <f>IFERROR(INDEX(Raw_orders!G:G, MATCH(shipments[[#This Row],[order_id]],Raw_orders!A:A, 0)), "Unknown")</f>
        <v>Central Europe</v>
      </c>
      <c r="J1381" t="str">
        <f>PROPER(shipments[[#This Row],[delivery_status]])</f>
        <v>Delivered</v>
      </c>
      <c r="K1381" t="s">
        <v>6929</v>
      </c>
    </row>
    <row r="1382" spans="1:11">
      <c r="A1382" t="s">
        <v>8318</v>
      </c>
      <c r="B1382" t="s">
        <v>2211</v>
      </c>
      <c r="C1382" t="s">
        <v>6940</v>
      </c>
      <c r="D1382" s="1">
        <v>45268</v>
      </c>
      <c r="E1382" s="1">
        <v>45278</v>
      </c>
      <c r="F1382" s="1">
        <v>45279</v>
      </c>
      <c r="G1382">
        <v>15.63</v>
      </c>
      <c r="H13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82" t="str">
        <f>IFERROR(INDEX(Raw_orders!G:G, MATCH(shipments[[#This Row],[order_id]],Raw_orders!A:A, 0)), "Unknown")</f>
        <v>Baltics</v>
      </c>
      <c r="J1382" t="str">
        <f>PROPER(shipments[[#This Row],[delivery_status]])</f>
        <v>Delivered</v>
      </c>
      <c r="K1382" t="s">
        <v>6929</v>
      </c>
    </row>
    <row r="1383" spans="1:11">
      <c r="A1383" t="s">
        <v>8319</v>
      </c>
      <c r="B1383" t="s">
        <v>2212</v>
      </c>
      <c r="C1383" t="s">
        <v>6931</v>
      </c>
      <c r="D1383" s="1">
        <v>44990</v>
      </c>
      <c r="E1383" s="1">
        <v>44993</v>
      </c>
      <c r="F1383" s="1">
        <v>45006</v>
      </c>
      <c r="G1383">
        <v>45.34</v>
      </c>
      <c r="H13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83" t="str">
        <f>IFERROR(INDEX(Raw_orders!G:G, MATCH(shipments[[#This Row],[order_id]],Raw_orders!A:A, 0)), "Unknown")</f>
        <v>Baltics</v>
      </c>
      <c r="J1383" t="str">
        <f>PROPER(shipments[[#This Row],[delivery_status]])</f>
        <v>Delivered</v>
      </c>
      <c r="K1383" t="s">
        <v>6922</v>
      </c>
    </row>
    <row r="1384" spans="1:11">
      <c r="A1384" t="s">
        <v>8320</v>
      </c>
      <c r="B1384" t="s">
        <v>2213</v>
      </c>
      <c r="C1384" t="s">
        <v>6940</v>
      </c>
      <c r="D1384" s="1">
        <v>45371</v>
      </c>
      <c r="E1384" s="1">
        <v>45374</v>
      </c>
      <c r="F1384" s="1">
        <v>45379</v>
      </c>
      <c r="G1384">
        <v>9.66</v>
      </c>
      <c r="H13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84" t="str">
        <f>IFERROR(INDEX(Raw_orders!G:G, MATCH(shipments[[#This Row],[order_id]],Raw_orders!A:A, 0)), "Unknown")</f>
        <v>Baltics</v>
      </c>
      <c r="J1384" t="str">
        <f>PROPER(shipments[[#This Row],[delivery_status]])</f>
        <v>Delivered</v>
      </c>
      <c r="K1384" t="s">
        <v>6922</v>
      </c>
    </row>
    <row r="1385" spans="1:11">
      <c r="A1385" t="s">
        <v>8321</v>
      </c>
      <c r="B1385" t="s">
        <v>2213</v>
      </c>
      <c r="C1385" t="s">
        <v>6931</v>
      </c>
      <c r="D1385" s="1">
        <v>45369</v>
      </c>
      <c r="E1385" s="1">
        <v>45379</v>
      </c>
      <c r="F1385" s="1">
        <v>45386</v>
      </c>
      <c r="G1385">
        <v>49.12</v>
      </c>
      <c r="H13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85" t="str">
        <f>IFERROR(INDEX(Raw_orders!G:G, MATCH(shipments[[#This Row],[order_id]],Raw_orders!A:A, 0)), "Unknown")</f>
        <v>Baltics</v>
      </c>
      <c r="J1385" t="str">
        <f>PROPER(shipments[[#This Row],[delivery_status]])</f>
        <v>Delivered</v>
      </c>
      <c r="K1385" t="s">
        <v>6922</v>
      </c>
    </row>
    <row r="1386" spans="1:11">
      <c r="A1386" t="s">
        <v>8322</v>
      </c>
      <c r="B1386" t="s">
        <v>2214</v>
      </c>
      <c r="C1386" t="s">
        <v>6938</v>
      </c>
      <c r="D1386" s="1">
        <v>45428</v>
      </c>
      <c r="E1386" s="1">
        <v>45433</v>
      </c>
      <c r="F1386" s="1">
        <v>45433</v>
      </c>
      <c r="G1386">
        <v>42.41</v>
      </c>
      <c r="H13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386" t="str">
        <f>IFERROR(INDEX(Raw_orders!G:G, MATCH(shipments[[#This Row],[order_id]],Raw_orders!A:A, 0)), "Unknown")</f>
        <v>Unknown</v>
      </c>
      <c r="J1386" t="str">
        <f>PROPER(shipments[[#This Row],[delivery_status]])</f>
        <v>Delivered</v>
      </c>
      <c r="K1386" t="s">
        <v>6926</v>
      </c>
    </row>
    <row r="1387" spans="1:11">
      <c r="A1387" t="s">
        <v>8323</v>
      </c>
      <c r="B1387" t="s">
        <v>2215</v>
      </c>
      <c r="C1387" t="s">
        <v>6935</v>
      </c>
      <c r="D1387" s="1">
        <v>45107</v>
      </c>
      <c r="E1387" s="1">
        <v>45109</v>
      </c>
      <c r="F1387" s="1"/>
      <c r="G1387">
        <v>17.64</v>
      </c>
      <c r="H13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387" t="str">
        <f>IFERROR(INDEX(Raw_orders!G:G, MATCH(shipments[[#This Row],[order_id]],Raw_orders!A:A, 0)), "Unknown")</f>
        <v>Baltics</v>
      </c>
      <c r="J1387" t="str">
        <f>PROPER(shipments[[#This Row],[delivery_status]])</f>
        <v>Cancelled</v>
      </c>
      <c r="K1387" t="s">
        <v>6972</v>
      </c>
    </row>
    <row r="1388" spans="1:11">
      <c r="A1388" t="s">
        <v>8324</v>
      </c>
      <c r="B1388" t="s">
        <v>2216</v>
      </c>
      <c r="C1388" t="s">
        <v>6940</v>
      </c>
      <c r="D1388" s="1">
        <v>45467</v>
      </c>
      <c r="E1388" s="1">
        <v>45470</v>
      </c>
      <c r="F1388" s="1">
        <v>45470</v>
      </c>
      <c r="G1388">
        <v>51.49</v>
      </c>
      <c r="H13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388" t="str">
        <f>IFERROR(INDEX(Raw_orders!G:G, MATCH(shipments[[#This Row],[order_id]],Raw_orders!A:A, 0)), "Unknown")</f>
        <v>Nordics</v>
      </c>
      <c r="J1388" t="str">
        <f>PROPER(shipments[[#This Row],[delivery_status]])</f>
        <v>Delivered</v>
      </c>
      <c r="K1388" t="s">
        <v>6929</v>
      </c>
    </row>
    <row r="1389" spans="1:11">
      <c r="A1389" t="s">
        <v>8325</v>
      </c>
      <c r="B1389" t="s">
        <v>2217</v>
      </c>
      <c r="C1389" t="s">
        <v>6928</v>
      </c>
      <c r="D1389" s="1">
        <v>45559</v>
      </c>
      <c r="E1389" s="1">
        <v>45569</v>
      </c>
      <c r="F1389" s="1">
        <v>45572</v>
      </c>
      <c r="G1389">
        <v>46.45</v>
      </c>
      <c r="H13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89" t="str">
        <f>IFERROR(INDEX(Raw_orders!G:G, MATCH(shipments[[#This Row],[order_id]],Raw_orders!A:A, 0)), "Unknown")</f>
        <v>Baltics</v>
      </c>
      <c r="J1389" t="str">
        <f>PROPER(shipments[[#This Row],[delivery_status]])</f>
        <v>Delivered</v>
      </c>
      <c r="K1389" t="s">
        <v>6929</v>
      </c>
    </row>
    <row r="1390" spans="1:11">
      <c r="A1390" t="s">
        <v>8326</v>
      </c>
      <c r="B1390" t="s">
        <v>2218</v>
      </c>
      <c r="C1390" t="s">
        <v>6940</v>
      </c>
      <c r="D1390" s="1">
        <v>45080</v>
      </c>
      <c r="E1390" s="1">
        <v>45082</v>
      </c>
      <c r="F1390" s="1">
        <v>45086</v>
      </c>
      <c r="G1390">
        <v>44.28</v>
      </c>
      <c r="H13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90" t="str">
        <f>IFERROR(INDEX(Raw_orders!G:G, MATCH(shipments[[#This Row],[order_id]],Raw_orders!A:A, 0)), "Unknown")</f>
        <v>Nordics</v>
      </c>
      <c r="J1390" t="str">
        <f>PROPER(shipments[[#This Row],[delivery_status]])</f>
        <v>Delivered</v>
      </c>
      <c r="K1390" t="s">
        <v>6922</v>
      </c>
    </row>
    <row r="1391" spans="1:11">
      <c r="A1391" t="s">
        <v>8327</v>
      </c>
      <c r="B1391" t="s">
        <v>2219</v>
      </c>
      <c r="C1391" t="s">
        <v>6938</v>
      </c>
      <c r="D1391" s="1">
        <v>45293</v>
      </c>
      <c r="E1391" s="1">
        <v>45295</v>
      </c>
      <c r="F1391" s="1">
        <v>45300</v>
      </c>
      <c r="G1391">
        <v>7.52</v>
      </c>
      <c r="H13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91" t="str">
        <f>IFERROR(INDEX(Raw_orders!G:G, MATCH(shipments[[#This Row],[order_id]],Raw_orders!A:A, 0)), "Unknown")</f>
        <v>Central Europe</v>
      </c>
      <c r="J1391" t="str">
        <f>PROPER(shipments[[#This Row],[delivery_status]])</f>
        <v>Delivered</v>
      </c>
      <c r="K1391" t="s">
        <v>6922</v>
      </c>
    </row>
    <row r="1392" spans="1:11">
      <c r="A1392" t="s">
        <v>8328</v>
      </c>
      <c r="B1392" t="s">
        <v>2219</v>
      </c>
      <c r="C1392" t="s">
        <v>6928</v>
      </c>
      <c r="D1392" s="1">
        <v>45292</v>
      </c>
      <c r="E1392" s="1">
        <v>45295</v>
      </c>
      <c r="F1392" s="1">
        <v>45299</v>
      </c>
      <c r="G1392">
        <v>11.87</v>
      </c>
      <c r="H13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92" t="str">
        <f>IFERROR(INDEX(Raw_orders!G:G, MATCH(shipments[[#This Row],[order_id]],Raw_orders!A:A, 0)), "Unknown")</f>
        <v>Central Europe</v>
      </c>
      <c r="J1392" t="str">
        <f>PROPER(shipments[[#This Row],[delivery_status]])</f>
        <v>Delivered</v>
      </c>
      <c r="K1392" t="s">
        <v>6929</v>
      </c>
    </row>
    <row r="1393" spans="1:11">
      <c r="A1393" t="s">
        <v>8329</v>
      </c>
      <c r="B1393" t="s">
        <v>2220</v>
      </c>
      <c r="C1393" t="s">
        <v>6925</v>
      </c>
      <c r="D1393" s="1">
        <v>45222</v>
      </c>
      <c r="E1393" s="1">
        <v>45229</v>
      </c>
      <c r="F1393" s="1">
        <v>45231</v>
      </c>
      <c r="G1393">
        <v>37.53</v>
      </c>
      <c r="H13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93" t="str">
        <f>IFERROR(INDEX(Raw_orders!G:G, MATCH(shipments[[#This Row],[order_id]],Raw_orders!A:A, 0)), "Unknown")</f>
        <v>Nordics</v>
      </c>
      <c r="J1393" t="str">
        <f>PROPER(shipments[[#This Row],[delivery_status]])</f>
        <v>Delivered</v>
      </c>
      <c r="K1393" t="s">
        <v>6926</v>
      </c>
    </row>
    <row r="1394" spans="1:11">
      <c r="A1394" t="s">
        <v>8330</v>
      </c>
      <c r="B1394" t="s">
        <v>2221</v>
      </c>
      <c r="C1394" t="s">
        <v>6921</v>
      </c>
      <c r="D1394" s="1">
        <v>45559</v>
      </c>
      <c r="E1394" s="1">
        <v>45566</v>
      </c>
      <c r="F1394" s="1">
        <v>45571</v>
      </c>
      <c r="G1394">
        <v>52.62</v>
      </c>
      <c r="H13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94" t="str">
        <f>IFERROR(INDEX(Raw_orders!G:G, MATCH(shipments[[#This Row],[order_id]],Raw_orders!A:A, 0)), "Unknown")</f>
        <v>Baltics</v>
      </c>
      <c r="J1394" t="str">
        <f>PROPER(shipments[[#This Row],[delivery_status]])</f>
        <v>Delivered</v>
      </c>
      <c r="K1394" t="s">
        <v>6929</v>
      </c>
    </row>
    <row r="1395" spans="1:11">
      <c r="A1395" t="s">
        <v>8331</v>
      </c>
      <c r="B1395" t="s">
        <v>2222</v>
      </c>
      <c r="C1395" t="s">
        <v>6956</v>
      </c>
      <c r="D1395" s="1">
        <v>45526</v>
      </c>
      <c r="E1395" s="1">
        <v>45529</v>
      </c>
      <c r="F1395" s="1">
        <v>45529</v>
      </c>
      <c r="G1395">
        <v>44.69</v>
      </c>
      <c r="H13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395" t="str">
        <f>IFERROR(INDEX(Raw_orders!G:G, MATCH(shipments[[#This Row],[order_id]],Raw_orders!A:A, 0)), "Unknown")</f>
        <v>Nordics</v>
      </c>
      <c r="J1395" t="str">
        <f>PROPER(shipments[[#This Row],[delivery_status]])</f>
        <v>Delivered</v>
      </c>
      <c r="K1395" t="s">
        <v>6926</v>
      </c>
    </row>
    <row r="1396" spans="1:11">
      <c r="A1396" t="s">
        <v>8332</v>
      </c>
      <c r="B1396" t="s">
        <v>2223</v>
      </c>
      <c r="C1396" t="s">
        <v>6938</v>
      </c>
      <c r="D1396" s="1">
        <v>44992</v>
      </c>
      <c r="E1396" s="1">
        <v>44999</v>
      </c>
      <c r="F1396" s="1">
        <v>45006</v>
      </c>
      <c r="G1396">
        <v>23.18</v>
      </c>
      <c r="H13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96" t="str">
        <f>IFERROR(INDEX(Raw_orders!G:G, MATCH(shipments[[#This Row],[order_id]],Raw_orders!A:A, 0)), "Unknown")</f>
        <v>Nordics</v>
      </c>
      <c r="J1396" t="str">
        <f>PROPER(shipments[[#This Row],[delivery_status]])</f>
        <v>Delivered</v>
      </c>
      <c r="K1396" t="s">
        <v>6922</v>
      </c>
    </row>
    <row r="1397" spans="1:11">
      <c r="A1397" t="s">
        <v>8333</v>
      </c>
      <c r="B1397" t="s">
        <v>2223</v>
      </c>
      <c r="C1397" t="s">
        <v>6931</v>
      </c>
      <c r="D1397" s="1">
        <v>44989</v>
      </c>
      <c r="E1397" s="1">
        <v>44994</v>
      </c>
      <c r="F1397" s="1">
        <v>45002</v>
      </c>
      <c r="G1397">
        <v>42.48</v>
      </c>
      <c r="H13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397" t="str">
        <f>IFERROR(INDEX(Raw_orders!G:G, MATCH(shipments[[#This Row],[order_id]],Raw_orders!A:A, 0)), "Unknown")</f>
        <v>Nordics</v>
      </c>
      <c r="J1397" t="str">
        <f>PROPER(shipments[[#This Row],[delivery_status]])</f>
        <v>Delivered</v>
      </c>
      <c r="K1397" t="s">
        <v>6929</v>
      </c>
    </row>
    <row r="1398" spans="1:11">
      <c r="A1398" t="s">
        <v>8334</v>
      </c>
      <c r="B1398" t="s">
        <v>2224</v>
      </c>
      <c r="C1398" t="s">
        <v>6935</v>
      </c>
      <c r="D1398" s="1">
        <v>45149</v>
      </c>
      <c r="E1398" s="1">
        <v>45151</v>
      </c>
      <c r="F1398" s="1">
        <v>45151</v>
      </c>
      <c r="G1398">
        <v>38.06</v>
      </c>
      <c r="H13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398" t="str">
        <f>IFERROR(INDEX(Raw_orders!G:G, MATCH(shipments[[#This Row],[order_id]],Raw_orders!A:A, 0)), "Unknown")</f>
        <v>Nordics</v>
      </c>
      <c r="J1398" t="str">
        <f>PROPER(shipments[[#This Row],[delivery_status]])</f>
        <v>Delivered</v>
      </c>
      <c r="K1398" t="s">
        <v>6926</v>
      </c>
    </row>
    <row r="1399" spans="1:11">
      <c r="A1399" t="s">
        <v>8335</v>
      </c>
      <c r="B1399" t="s">
        <v>2225</v>
      </c>
      <c r="C1399" t="s">
        <v>6940</v>
      </c>
      <c r="D1399" s="1">
        <v>45543</v>
      </c>
      <c r="E1399" s="1">
        <v>45546</v>
      </c>
      <c r="F1399" s="1">
        <v>45546</v>
      </c>
      <c r="G1399">
        <v>49.39</v>
      </c>
      <c r="H13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399" t="str">
        <f>IFERROR(INDEX(Raw_orders!G:G, MATCH(shipments[[#This Row],[order_id]],Raw_orders!A:A, 0)), "Unknown")</f>
        <v>Central Europe</v>
      </c>
      <c r="J1399" t="str">
        <f>PROPER(shipments[[#This Row],[delivery_status]])</f>
        <v>Delivered</v>
      </c>
      <c r="K1399" t="s">
        <v>6929</v>
      </c>
    </row>
    <row r="1400" spans="1:11">
      <c r="A1400" t="s">
        <v>8336</v>
      </c>
      <c r="B1400" t="s">
        <v>2226</v>
      </c>
      <c r="C1400" t="s">
        <v>6925</v>
      </c>
      <c r="D1400" s="1">
        <v>45117</v>
      </c>
      <c r="E1400" s="1">
        <v>45120</v>
      </c>
      <c r="F1400" s="1">
        <v>45128</v>
      </c>
      <c r="G1400">
        <v>11.43</v>
      </c>
      <c r="H14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00" t="str">
        <f>IFERROR(INDEX(Raw_orders!G:G, MATCH(shipments[[#This Row],[order_id]],Raw_orders!A:A, 0)), "Unknown")</f>
        <v>Baltics</v>
      </c>
      <c r="J1400" t="str">
        <f>PROPER(shipments[[#This Row],[delivery_status]])</f>
        <v>Delivered</v>
      </c>
      <c r="K1400" t="s">
        <v>6926</v>
      </c>
    </row>
    <row r="1401" spans="1:11">
      <c r="A1401" t="s">
        <v>8337</v>
      </c>
      <c r="B1401" t="s">
        <v>2227</v>
      </c>
      <c r="C1401" t="s">
        <v>6931</v>
      </c>
      <c r="D1401" s="1">
        <v>45478</v>
      </c>
      <c r="E1401" s="1">
        <v>45488</v>
      </c>
      <c r="F1401" s="1">
        <v>45493</v>
      </c>
      <c r="G1401">
        <v>26.16</v>
      </c>
      <c r="H14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01" t="str">
        <f>IFERROR(INDEX(Raw_orders!G:G, MATCH(shipments[[#This Row],[order_id]],Raw_orders!A:A, 0)), "Unknown")</f>
        <v>Nordics</v>
      </c>
      <c r="J1401" t="str">
        <f>PROPER(shipments[[#This Row],[delivery_status]])</f>
        <v>Delivered</v>
      </c>
      <c r="K1401" t="s">
        <v>6926</v>
      </c>
    </row>
    <row r="1402" spans="1:11">
      <c r="A1402" t="s">
        <v>8338</v>
      </c>
      <c r="B1402" t="s">
        <v>2228</v>
      </c>
      <c r="C1402" t="s">
        <v>6931</v>
      </c>
      <c r="D1402" s="1">
        <v>45264</v>
      </c>
      <c r="E1402" s="1">
        <v>45267</v>
      </c>
      <c r="F1402" s="1">
        <v>45267</v>
      </c>
      <c r="G1402">
        <v>41.25</v>
      </c>
      <c r="H14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402" t="str">
        <f>IFERROR(INDEX(Raw_orders!G:G, MATCH(shipments[[#This Row],[order_id]],Raw_orders!A:A, 0)), "Unknown")</f>
        <v>Baltics</v>
      </c>
      <c r="J1402" t="str">
        <f>PROPER(shipments[[#This Row],[delivery_status]])</f>
        <v>Delivered</v>
      </c>
      <c r="K1402" t="s">
        <v>6929</v>
      </c>
    </row>
    <row r="1403" spans="1:11">
      <c r="A1403" t="s">
        <v>8339</v>
      </c>
      <c r="B1403" t="s">
        <v>2229</v>
      </c>
      <c r="C1403" t="s">
        <v>6921</v>
      </c>
      <c r="D1403" s="1">
        <v>45470</v>
      </c>
      <c r="E1403" s="1">
        <v>45475</v>
      </c>
      <c r="F1403" s="1">
        <v>45478</v>
      </c>
      <c r="G1403">
        <v>63.38</v>
      </c>
      <c r="H14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03" t="str">
        <f>IFERROR(INDEX(Raw_orders!G:G, MATCH(shipments[[#This Row],[order_id]],Raw_orders!A:A, 0)), "Unknown")</f>
        <v>Central Europe</v>
      </c>
      <c r="J1403" t="str">
        <f>PROPER(shipments[[#This Row],[delivery_status]])</f>
        <v>Delivered</v>
      </c>
      <c r="K1403" t="s">
        <v>6922</v>
      </c>
    </row>
    <row r="1404" spans="1:11">
      <c r="A1404" t="s">
        <v>8340</v>
      </c>
      <c r="B1404" t="s">
        <v>2230</v>
      </c>
      <c r="C1404" t="s">
        <v>6931</v>
      </c>
      <c r="D1404" s="1">
        <v>45514</v>
      </c>
      <c r="E1404" s="1">
        <v>45517</v>
      </c>
      <c r="F1404" s="1"/>
      <c r="G1404">
        <v>44.66</v>
      </c>
      <c r="H14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404" t="str">
        <f>IFERROR(INDEX(Raw_orders!G:G, MATCH(shipments[[#This Row],[order_id]],Raw_orders!A:A, 0)), "Unknown")</f>
        <v>Baltics</v>
      </c>
      <c r="J1404" t="str">
        <f>PROPER(shipments[[#This Row],[delivery_status]])</f>
        <v>In Transit</v>
      </c>
      <c r="K1404" t="s">
        <v>6958</v>
      </c>
    </row>
    <row r="1405" spans="1:11">
      <c r="A1405" t="s">
        <v>8341</v>
      </c>
      <c r="B1405" t="s">
        <v>2231</v>
      </c>
      <c r="C1405" t="s">
        <v>6956</v>
      </c>
      <c r="D1405" s="1">
        <v>45344</v>
      </c>
      <c r="E1405" s="1">
        <v>45347</v>
      </c>
      <c r="F1405" s="1">
        <v>45352</v>
      </c>
      <c r="G1405">
        <v>22.41</v>
      </c>
      <c r="H14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05" t="str">
        <f>IFERROR(INDEX(Raw_orders!G:G, MATCH(shipments[[#This Row],[order_id]],Raw_orders!A:A, 0)), "Unknown")</f>
        <v>Central Europe</v>
      </c>
      <c r="J1405" t="str">
        <f>PROPER(shipments[[#This Row],[delivery_status]])</f>
        <v>Delivered</v>
      </c>
      <c r="K1405" t="s">
        <v>6922</v>
      </c>
    </row>
    <row r="1406" spans="1:11">
      <c r="A1406" t="s">
        <v>8342</v>
      </c>
      <c r="B1406" t="s">
        <v>2232</v>
      </c>
      <c r="C1406" t="s">
        <v>6925</v>
      </c>
      <c r="D1406" s="1">
        <v>45406</v>
      </c>
      <c r="E1406" s="1">
        <v>45408</v>
      </c>
      <c r="F1406" s="1">
        <v>45409</v>
      </c>
      <c r="G1406">
        <v>14.09</v>
      </c>
      <c r="H14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06" t="str">
        <f>IFERROR(INDEX(Raw_orders!G:G, MATCH(shipments[[#This Row],[order_id]],Raw_orders!A:A, 0)), "Unknown")</f>
        <v>Nordics</v>
      </c>
      <c r="J1406" t="str">
        <f>PROPER(shipments[[#This Row],[delivery_status]])</f>
        <v>Delivered</v>
      </c>
      <c r="K1406" t="s">
        <v>6929</v>
      </c>
    </row>
    <row r="1407" spans="1:11">
      <c r="A1407" t="s">
        <v>8343</v>
      </c>
      <c r="B1407" t="s">
        <v>2233</v>
      </c>
      <c r="C1407" t="s">
        <v>6925</v>
      </c>
      <c r="D1407" s="1">
        <v>45577</v>
      </c>
      <c r="E1407" s="1">
        <v>45584</v>
      </c>
      <c r="F1407" s="1">
        <v>45594</v>
      </c>
      <c r="G1407">
        <v>8.77</v>
      </c>
      <c r="H14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07" t="str">
        <f>IFERROR(INDEX(Raw_orders!G:G, MATCH(shipments[[#This Row],[order_id]],Raw_orders!A:A, 0)), "Unknown")</f>
        <v>Nordics</v>
      </c>
      <c r="J1407" t="str">
        <f>PROPER(shipments[[#This Row],[delivery_status]])</f>
        <v>Delivered</v>
      </c>
      <c r="K1407" t="s">
        <v>6922</v>
      </c>
    </row>
    <row r="1408" spans="1:11">
      <c r="A1408" t="s">
        <v>8344</v>
      </c>
      <c r="B1408" t="s">
        <v>2234</v>
      </c>
      <c r="C1408" t="s">
        <v>6921</v>
      </c>
      <c r="D1408" s="1">
        <v>45349</v>
      </c>
      <c r="E1408" s="1">
        <v>45359</v>
      </c>
      <c r="F1408" s="1">
        <v>45363</v>
      </c>
      <c r="G1408">
        <v>23.74</v>
      </c>
      <c r="H14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08" t="str">
        <f>IFERROR(INDEX(Raw_orders!G:G, MATCH(shipments[[#This Row],[order_id]],Raw_orders!A:A, 0)), "Unknown")</f>
        <v>Nordics</v>
      </c>
      <c r="J1408" t="str">
        <f>PROPER(shipments[[#This Row],[delivery_status]])</f>
        <v>Delivered</v>
      </c>
      <c r="K1408" t="s">
        <v>6929</v>
      </c>
    </row>
    <row r="1409" spans="1:11">
      <c r="A1409" t="s">
        <v>8345</v>
      </c>
      <c r="B1409" t="s">
        <v>2235</v>
      </c>
      <c r="C1409" t="s">
        <v>6949</v>
      </c>
      <c r="D1409" s="1">
        <v>45028</v>
      </c>
      <c r="E1409" s="1">
        <v>45030</v>
      </c>
      <c r="F1409" s="1">
        <v>45031</v>
      </c>
      <c r="G1409">
        <v>28.77</v>
      </c>
      <c r="H14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09" t="str">
        <f>IFERROR(INDEX(Raw_orders!G:G, MATCH(shipments[[#This Row],[order_id]],Raw_orders!A:A, 0)), "Unknown")</f>
        <v>Central Europe</v>
      </c>
      <c r="J1409" t="str">
        <f>PROPER(shipments[[#This Row],[delivery_status]])</f>
        <v>Delivered</v>
      </c>
      <c r="K1409" t="s">
        <v>6922</v>
      </c>
    </row>
    <row r="1410" spans="1:11">
      <c r="A1410" t="s">
        <v>8346</v>
      </c>
      <c r="B1410" t="s">
        <v>2236</v>
      </c>
      <c r="C1410" t="s">
        <v>6928</v>
      </c>
      <c r="D1410" s="1">
        <v>45619</v>
      </c>
      <c r="E1410" s="1">
        <v>45624</v>
      </c>
      <c r="F1410" s="1">
        <v>45627</v>
      </c>
      <c r="G1410">
        <v>34.26</v>
      </c>
      <c r="H14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10" t="str">
        <f>IFERROR(INDEX(Raw_orders!G:G, MATCH(shipments[[#This Row],[order_id]],Raw_orders!A:A, 0)), "Unknown")</f>
        <v>Nordics</v>
      </c>
      <c r="J1410" t="str">
        <f>PROPER(shipments[[#This Row],[delivery_status]])</f>
        <v>Delivered</v>
      </c>
      <c r="K1410" t="s">
        <v>6929</v>
      </c>
    </row>
    <row r="1411" spans="1:11">
      <c r="A1411" t="s">
        <v>8347</v>
      </c>
      <c r="B1411" t="s">
        <v>2237</v>
      </c>
      <c r="C1411" t="s">
        <v>6940</v>
      </c>
      <c r="D1411" s="1">
        <v>45051</v>
      </c>
      <c r="E1411" s="1">
        <v>45054</v>
      </c>
      <c r="F1411" s="1">
        <v>45061</v>
      </c>
      <c r="H14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11" t="str">
        <f>IFERROR(INDEX(Raw_orders!G:G, MATCH(shipments[[#This Row],[order_id]],Raw_orders!A:A, 0)), "Unknown")</f>
        <v>Unknown</v>
      </c>
      <c r="J1411" t="str">
        <f>PROPER(shipments[[#This Row],[delivery_status]])</f>
        <v>Delivered</v>
      </c>
      <c r="K1411" t="s">
        <v>6922</v>
      </c>
    </row>
    <row r="1412" spans="1:11">
      <c r="A1412" t="s">
        <v>8348</v>
      </c>
      <c r="B1412" t="s">
        <v>2238</v>
      </c>
      <c r="C1412" t="s">
        <v>6925</v>
      </c>
      <c r="D1412" s="1">
        <v>45224</v>
      </c>
      <c r="E1412" s="1">
        <v>45234</v>
      </c>
      <c r="F1412" s="1">
        <v>45238</v>
      </c>
      <c r="G1412">
        <v>59.07</v>
      </c>
      <c r="H14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12" t="str">
        <f>IFERROR(INDEX(Raw_orders!G:G, MATCH(shipments[[#This Row],[order_id]],Raw_orders!A:A, 0)), "Unknown")</f>
        <v>Central Europe</v>
      </c>
      <c r="J1412" t="str">
        <f>PROPER(shipments[[#This Row],[delivery_status]])</f>
        <v>Delivered</v>
      </c>
      <c r="K1412" t="s">
        <v>6926</v>
      </c>
    </row>
    <row r="1413" spans="1:11">
      <c r="A1413" t="s">
        <v>8349</v>
      </c>
      <c r="B1413" t="s">
        <v>2239</v>
      </c>
      <c r="C1413" t="s">
        <v>6928</v>
      </c>
      <c r="D1413" s="1">
        <v>45369</v>
      </c>
      <c r="E1413" s="1">
        <v>45376</v>
      </c>
      <c r="F1413" s="1">
        <v>45379</v>
      </c>
      <c r="G1413">
        <v>11.78</v>
      </c>
      <c r="H14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13" t="str">
        <f>IFERROR(INDEX(Raw_orders!G:G, MATCH(shipments[[#This Row],[order_id]],Raw_orders!A:A, 0)), "Unknown")</f>
        <v>Baltics</v>
      </c>
      <c r="J1413" t="str">
        <f>PROPER(shipments[[#This Row],[delivery_status]])</f>
        <v>Delivered</v>
      </c>
      <c r="K1413" t="s">
        <v>6926</v>
      </c>
    </row>
    <row r="1414" spans="1:11">
      <c r="A1414" t="s">
        <v>8350</v>
      </c>
      <c r="B1414" t="s">
        <v>2240</v>
      </c>
      <c r="C1414" t="s">
        <v>6935</v>
      </c>
      <c r="D1414" s="1">
        <v>45049</v>
      </c>
      <c r="E1414" s="1">
        <v>45052</v>
      </c>
      <c r="F1414" s="1">
        <v>45057</v>
      </c>
      <c r="G1414">
        <v>14.53</v>
      </c>
      <c r="H14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14" t="str">
        <f>IFERROR(INDEX(Raw_orders!G:G, MATCH(shipments[[#This Row],[order_id]],Raw_orders!A:A, 0)), "Unknown")</f>
        <v>Baltics</v>
      </c>
      <c r="J1414" t="str">
        <f>PROPER(shipments[[#This Row],[delivery_status]])</f>
        <v>Delivered</v>
      </c>
      <c r="K1414" t="s">
        <v>6922</v>
      </c>
    </row>
    <row r="1415" spans="1:11">
      <c r="A1415" t="s">
        <v>8351</v>
      </c>
      <c r="B1415" t="s">
        <v>2241</v>
      </c>
      <c r="C1415" t="s">
        <v>6940</v>
      </c>
      <c r="D1415" s="1">
        <v>45424</v>
      </c>
      <c r="E1415" s="1">
        <v>45429</v>
      </c>
      <c r="F1415" s="1">
        <v>45429</v>
      </c>
      <c r="G1415">
        <v>12.26</v>
      </c>
      <c r="H14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415" t="str">
        <f>IFERROR(INDEX(Raw_orders!G:G, MATCH(shipments[[#This Row],[order_id]],Raw_orders!A:A, 0)), "Unknown")</f>
        <v>Baltics</v>
      </c>
      <c r="J1415" t="str">
        <f>PROPER(shipments[[#This Row],[delivery_status]])</f>
        <v>Delivered</v>
      </c>
      <c r="K1415" t="s">
        <v>6929</v>
      </c>
    </row>
    <row r="1416" spans="1:11">
      <c r="A1416" t="s">
        <v>8352</v>
      </c>
      <c r="B1416" t="s">
        <v>2242</v>
      </c>
      <c r="C1416" t="s">
        <v>6921</v>
      </c>
      <c r="D1416" s="1">
        <v>45032</v>
      </c>
      <c r="E1416" s="1">
        <v>45035</v>
      </c>
      <c r="F1416" s="1">
        <v>45036</v>
      </c>
      <c r="G1416">
        <v>46.81</v>
      </c>
      <c r="H14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16" t="str">
        <f>IFERROR(INDEX(Raw_orders!G:G, MATCH(shipments[[#This Row],[order_id]],Raw_orders!A:A, 0)), "Unknown")</f>
        <v>Nordics</v>
      </c>
      <c r="J1416" t="str">
        <f>PROPER(shipments[[#This Row],[delivery_status]])</f>
        <v>Delivered</v>
      </c>
      <c r="K1416" t="s">
        <v>6922</v>
      </c>
    </row>
    <row r="1417" spans="1:11">
      <c r="A1417" t="s">
        <v>8353</v>
      </c>
      <c r="B1417" t="s">
        <v>2243</v>
      </c>
      <c r="C1417" t="s">
        <v>6928</v>
      </c>
      <c r="D1417" s="1">
        <v>45319</v>
      </c>
      <c r="E1417" s="1">
        <v>45329</v>
      </c>
      <c r="F1417" s="1">
        <v>45335</v>
      </c>
      <c r="G1417">
        <v>35.340000000000003</v>
      </c>
      <c r="H14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17" t="str">
        <f>IFERROR(INDEX(Raw_orders!G:G, MATCH(shipments[[#This Row],[order_id]],Raw_orders!A:A, 0)), "Unknown")</f>
        <v>Baltics</v>
      </c>
      <c r="J1417" t="str">
        <f>PROPER(shipments[[#This Row],[delivery_status]])</f>
        <v>Delivered</v>
      </c>
      <c r="K1417" t="s">
        <v>6929</v>
      </c>
    </row>
    <row r="1418" spans="1:11">
      <c r="A1418" t="s">
        <v>8354</v>
      </c>
      <c r="B1418" t="s">
        <v>2244</v>
      </c>
      <c r="C1418" t="s">
        <v>6935</v>
      </c>
      <c r="D1418" s="1">
        <v>45562</v>
      </c>
      <c r="E1418" s="1">
        <v>45564</v>
      </c>
      <c r="F1418" s="1">
        <v>45563</v>
      </c>
      <c r="G1418">
        <v>31.83</v>
      </c>
      <c r="H14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418" t="str">
        <f>IFERROR(INDEX(Raw_orders!G:G, MATCH(shipments[[#This Row],[order_id]],Raw_orders!A:A, 0)), "Unknown")</f>
        <v>Central Europe</v>
      </c>
      <c r="J1418" t="str">
        <f>PROPER(shipments[[#This Row],[delivery_status]])</f>
        <v>Delivered</v>
      </c>
      <c r="K1418" t="s">
        <v>6926</v>
      </c>
    </row>
    <row r="1419" spans="1:11">
      <c r="A1419" t="s">
        <v>8355</v>
      </c>
      <c r="B1419" t="s">
        <v>2245</v>
      </c>
      <c r="C1419" t="s">
        <v>6928</v>
      </c>
      <c r="D1419" s="1">
        <v>45344</v>
      </c>
      <c r="E1419" s="1">
        <v>45351</v>
      </c>
      <c r="F1419" s="1">
        <v>45352</v>
      </c>
      <c r="G1419">
        <v>51.72</v>
      </c>
      <c r="H14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19" t="str">
        <f>IFERROR(INDEX(Raw_orders!G:G, MATCH(shipments[[#This Row],[order_id]],Raw_orders!A:A, 0)), "Unknown")</f>
        <v>Nordics</v>
      </c>
      <c r="J1419" t="str">
        <f>PROPER(shipments[[#This Row],[delivery_status]])</f>
        <v>Delivered</v>
      </c>
      <c r="K1419" t="s">
        <v>6922</v>
      </c>
    </row>
    <row r="1420" spans="1:11">
      <c r="A1420" t="s">
        <v>8356</v>
      </c>
      <c r="B1420" t="s">
        <v>2246</v>
      </c>
      <c r="C1420" t="s">
        <v>6956</v>
      </c>
      <c r="D1420" s="1">
        <v>45142</v>
      </c>
      <c r="E1420" s="1">
        <v>45152</v>
      </c>
      <c r="F1420" s="1"/>
      <c r="G1420">
        <v>54.89</v>
      </c>
      <c r="H14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420" t="str">
        <f>IFERROR(INDEX(Raw_orders!G:G, MATCH(shipments[[#This Row],[order_id]],Raw_orders!A:A, 0)), "Unknown")</f>
        <v>Central Europe</v>
      </c>
      <c r="J1420" t="str">
        <f>PROPER(shipments[[#This Row],[delivery_status]])</f>
        <v>In Transit</v>
      </c>
      <c r="K1420" t="s">
        <v>6946</v>
      </c>
    </row>
    <row r="1421" spans="1:11">
      <c r="A1421" t="s">
        <v>8357</v>
      </c>
      <c r="B1421" t="s">
        <v>2247</v>
      </c>
      <c r="C1421" t="s">
        <v>6935</v>
      </c>
      <c r="D1421" s="1">
        <v>45618</v>
      </c>
      <c r="E1421" s="1">
        <v>45620</v>
      </c>
      <c r="F1421" s="1">
        <v>45620</v>
      </c>
      <c r="G1421">
        <v>7.89</v>
      </c>
      <c r="H14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421" t="str">
        <f>IFERROR(INDEX(Raw_orders!G:G, MATCH(shipments[[#This Row],[order_id]],Raw_orders!A:A, 0)), "Unknown")</f>
        <v>Central Europe</v>
      </c>
      <c r="J1421" t="str">
        <f>PROPER(shipments[[#This Row],[delivery_status]])</f>
        <v>Delivered</v>
      </c>
      <c r="K1421" t="s">
        <v>6929</v>
      </c>
    </row>
    <row r="1422" spans="1:11">
      <c r="A1422" t="s">
        <v>8358</v>
      </c>
      <c r="B1422" t="s">
        <v>2248</v>
      </c>
      <c r="C1422" t="s">
        <v>6928</v>
      </c>
      <c r="D1422" s="1">
        <v>45113</v>
      </c>
      <c r="E1422" s="1">
        <v>45118</v>
      </c>
      <c r="F1422" s="1"/>
      <c r="G1422">
        <v>26.75</v>
      </c>
      <c r="H14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422" t="str">
        <f>IFERROR(INDEX(Raw_orders!G:G, MATCH(shipments[[#This Row],[order_id]],Raw_orders!A:A, 0)), "Unknown")</f>
        <v>Central Europe</v>
      </c>
      <c r="J1422" t="str">
        <f>PROPER(shipments[[#This Row],[delivery_status]])</f>
        <v>In Transit</v>
      </c>
      <c r="K1422" t="s">
        <v>6977</v>
      </c>
    </row>
    <row r="1423" spans="1:11">
      <c r="A1423" t="s">
        <v>8359</v>
      </c>
      <c r="B1423" t="s">
        <v>2249</v>
      </c>
      <c r="C1423" t="s">
        <v>6928</v>
      </c>
      <c r="D1423" s="1">
        <v>45117</v>
      </c>
      <c r="E1423" s="1">
        <v>45127</v>
      </c>
      <c r="F1423" s="1">
        <v>45127</v>
      </c>
      <c r="G1423">
        <v>56.29</v>
      </c>
      <c r="H14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423" t="str">
        <f>IFERROR(INDEX(Raw_orders!G:G, MATCH(shipments[[#This Row],[order_id]],Raw_orders!A:A, 0)), "Unknown")</f>
        <v>Baltics</v>
      </c>
      <c r="J1423" t="str">
        <f>PROPER(shipments[[#This Row],[delivery_status]])</f>
        <v>Delivered</v>
      </c>
      <c r="K1423" t="s">
        <v>6922</v>
      </c>
    </row>
    <row r="1424" spans="1:11">
      <c r="A1424" t="s">
        <v>8360</v>
      </c>
      <c r="B1424" t="s">
        <v>2250</v>
      </c>
      <c r="C1424" t="s">
        <v>6935</v>
      </c>
      <c r="D1424" s="1">
        <v>45463</v>
      </c>
      <c r="E1424" s="1">
        <v>45473</v>
      </c>
      <c r="F1424" s="1">
        <v>45481</v>
      </c>
      <c r="G1424">
        <v>50.42</v>
      </c>
      <c r="H14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24" t="str">
        <f>IFERROR(INDEX(Raw_orders!G:G, MATCH(shipments[[#This Row],[order_id]],Raw_orders!A:A, 0)), "Unknown")</f>
        <v>Baltics</v>
      </c>
      <c r="J1424" t="str">
        <f>PROPER(shipments[[#This Row],[delivery_status]])</f>
        <v>Delivered</v>
      </c>
      <c r="K1424" t="s">
        <v>6922</v>
      </c>
    </row>
    <row r="1425" spans="1:11">
      <c r="A1425" t="s">
        <v>8361</v>
      </c>
      <c r="B1425" t="s">
        <v>2251</v>
      </c>
      <c r="C1425" t="s">
        <v>6921</v>
      </c>
      <c r="D1425" s="1">
        <v>45238</v>
      </c>
      <c r="E1425" s="1">
        <v>45248</v>
      </c>
      <c r="F1425" s="1">
        <v>45249</v>
      </c>
      <c r="G1425">
        <v>9.85</v>
      </c>
      <c r="H14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25" t="str">
        <f>IFERROR(INDEX(Raw_orders!G:G, MATCH(shipments[[#This Row],[order_id]],Raw_orders!A:A, 0)), "Unknown")</f>
        <v>Nordics</v>
      </c>
      <c r="J1425" t="str">
        <f>PROPER(shipments[[#This Row],[delivery_status]])</f>
        <v>Delivered</v>
      </c>
      <c r="K1425" t="s">
        <v>6926</v>
      </c>
    </row>
    <row r="1426" spans="1:11">
      <c r="A1426" t="s">
        <v>8362</v>
      </c>
      <c r="B1426" t="s">
        <v>2252</v>
      </c>
      <c r="C1426" t="s">
        <v>6940</v>
      </c>
      <c r="D1426" s="1">
        <v>45339</v>
      </c>
      <c r="E1426" s="1">
        <v>45342</v>
      </c>
      <c r="F1426" s="1">
        <v>45345</v>
      </c>
      <c r="G1426">
        <v>32.99</v>
      </c>
      <c r="H14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26" t="str">
        <f>IFERROR(INDEX(Raw_orders!G:G, MATCH(shipments[[#This Row],[order_id]],Raw_orders!A:A, 0)), "Unknown")</f>
        <v>Central Europe</v>
      </c>
      <c r="J1426" t="str">
        <f>PROPER(shipments[[#This Row],[delivery_status]])</f>
        <v>Delivered</v>
      </c>
      <c r="K1426" t="s">
        <v>6926</v>
      </c>
    </row>
    <row r="1427" spans="1:11">
      <c r="A1427" t="s">
        <v>8363</v>
      </c>
      <c r="B1427" t="s">
        <v>2253</v>
      </c>
      <c r="C1427" t="s">
        <v>6931</v>
      </c>
      <c r="D1427" s="1">
        <v>45035</v>
      </c>
      <c r="E1427" s="1">
        <v>45040</v>
      </c>
      <c r="F1427" s="1"/>
      <c r="G1427">
        <v>48.49</v>
      </c>
      <c r="H14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427" t="str">
        <f>IFERROR(INDEX(Raw_orders!G:G, MATCH(shipments[[#This Row],[order_id]],Raw_orders!A:A, 0)), "Unknown")</f>
        <v>Baltics</v>
      </c>
      <c r="J1427" t="str">
        <f>PROPER(shipments[[#This Row],[delivery_status]])</f>
        <v>In Transit</v>
      </c>
      <c r="K1427" t="s">
        <v>6958</v>
      </c>
    </row>
    <row r="1428" spans="1:11">
      <c r="A1428" t="s">
        <v>8364</v>
      </c>
      <c r="B1428" t="s">
        <v>2254</v>
      </c>
      <c r="C1428" t="s">
        <v>6928</v>
      </c>
      <c r="D1428" s="1">
        <v>45506</v>
      </c>
      <c r="E1428" s="1">
        <v>45508</v>
      </c>
      <c r="F1428" s="1"/>
      <c r="G1428">
        <v>63.38</v>
      </c>
      <c r="H14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428" t="str">
        <f>IFERROR(INDEX(Raw_orders!G:G, MATCH(shipments[[#This Row],[order_id]],Raw_orders!A:A, 0)), "Unknown")</f>
        <v>Central Europe</v>
      </c>
      <c r="J1428" t="str">
        <f>PROPER(shipments[[#This Row],[delivery_status]])</f>
        <v>In Transit</v>
      </c>
      <c r="K1428" t="s">
        <v>6946</v>
      </c>
    </row>
    <row r="1429" spans="1:11">
      <c r="A1429" t="s">
        <v>8365</v>
      </c>
      <c r="B1429" t="s">
        <v>2255</v>
      </c>
      <c r="C1429" t="s">
        <v>6925</v>
      </c>
      <c r="D1429" s="1">
        <v>45178</v>
      </c>
      <c r="E1429" s="1">
        <v>45188</v>
      </c>
      <c r="F1429" s="1"/>
      <c r="G1429">
        <v>4.6900000000000004</v>
      </c>
      <c r="H14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429" t="str">
        <f>IFERROR(INDEX(Raw_orders!G:G, MATCH(shipments[[#This Row],[order_id]],Raw_orders!A:A, 0)), "Unknown")</f>
        <v>Central Europe</v>
      </c>
      <c r="J1429" t="str">
        <f>PROPER(shipments[[#This Row],[delivery_status]])</f>
        <v>In Transit</v>
      </c>
      <c r="K1429" t="s">
        <v>6958</v>
      </c>
    </row>
    <row r="1430" spans="1:11">
      <c r="A1430" t="s">
        <v>8366</v>
      </c>
      <c r="B1430" t="s">
        <v>2256</v>
      </c>
      <c r="C1430" t="s">
        <v>6956</v>
      </c>
      <c r="D1430" s="1">
        <v>44995</v>
      </c>
      <c r="E1430" s="1">
        <v>44997</v>
      </c>
      <c r="F1430" s="1"/>
      <c r="G1430">
        <v>29.84</v>
      </c>
      <c r="H14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430" t="str">
        <f>IFERROR(INDEX(Raw_orders!G:G, MATCH(shipments[[#This Row],[order_id]],Raw_orders!A:A, 0)), "Unknown")</f>
        <v>Nordics</v>
      </c>
      <c r="J1430" t="str">
        <f>PROPER(shipments[[#This Row],[delivery_status]])</f>
        <v>In Transit</v>
      </c>
      <c r="K1430" t="s">
        <v>6946</v>
      </c>
    </row>
    <row r="1431" spans="1:11">
      <c r="A1431" t="s">
        <v>8367</v>
      </c>
      <c r="B1431" t="s">
        <v>2257</v>
      </c>
      <c r="C1431" t="s">
        <v>6925</v>
      </c>
      <c r="D1431" s="1">
        <v>44965</v>
      </c>
      <c r="E1431" s="1">
        <v>44972</v>
      </c>
      <c r="F1431" s="1">
        <v>44980</v>
      </c>
      <c r="G1431">
        <v>33.67</v>
      </c>
      <c r="H14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31" t="str">
        <f>IFERROR(INDEX(Raw_orders!G:G, MATCH(shipments[[#This Row],[order_id]],Raw_orders!A:A, 0)), "Unknown")</f>
        <v>Central Europe</v>
      </c>
      <c r="J1431" t="str">
        <f>PROPER(shipments[[#This Row],[delivery_status]])</f>
        <v>Delivered</v>
      </c>
      <c r="K1431" t="s">
        <v>6929</v>
      </c>
    </row>
    <row r="1432" spans="1:11">
      <c r="A1432" t="s">
        <v>8368</v>
      </c>
      <c r="B1432" t="s">
        <v>2258</v>
      </c>
      <c r="C1432" t="s">
        <v>6928</v>
      </c>
      <c r="D1432" s="1">
        <v>45514</v>
      </c>
      <c r="E1432" s="1">
        <v>45521</v>
      </c>
      <c r="F1432" s="1"/>
      <c r="G1432">
        <v>4.6399999999999997</v>
      </c>
      <c r="H14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432" t="str">
        <f>IFERROR(INDEX(Raw_orders!G:G, MATCH(shipments[[#This Row],[order_id]],Raw_orders!A:A, 0)), "Unknown")</f>
        <v>Baltics</v>
      </c>
      <c r="J1432" t="str">
        <f>PROPER(shipments[[#This Row],[delivery_status]])</f>
        <v>Cancelled</v>
      </c>
      <c r="K1432" t="s">
        <v>6972</v>
      </c>
    </row>
    <row r="1433" spans="1:11">
      <c r="A1433" t="s">
        <v>8369</v>
      </c>
      <c r="B1433" t="s">
        <v>2259</v>
      </c>
      <c r="C1433" t="s">
        <v>6935</v>
      </c>
      <c r="D1433" s="1">
        <v>45561</v>
      </c>
      <c r="E1433" s="1">
        <v>45566</v>
      </c>
      <c r="F1433" s="1">
        <v>45575</v>
      </c>
      <c r="G1433">
        <v>13.83</v>
      </c>
      <c r="H14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33" t="str">
        <f>IFERROR(INDEX(Raw_orders!G:G, MATCH(shipments[[#This Row],[order_id]],Raw_orders!A:A, 0)), "Unknown")</f>
        <v>Central Europe</v>
      </c>
      <c r="J1433" t="str">
        <f>PROPER(shipments[[#This Row],[delivery_status]])</f>
        <v>Delivered</v>
      </c>
      <c r="K1433" t="s">
        <v>6929</v>
      </c>
    </row>
    <row r="1434" spans="1:11">
      <c r="A1434" t="s">
        <v>8370</v>
      </c>
      <c r="B1434" t="s">
        <v>2260</v>
      </c>
      <c r="C1434" t="s">
        <v>6928</v>
      </c>
      <c r="D1434" s="1">
        <v>45315</v>
      </c>
      <c r="E1434" s="1">
        <v>45318</v>
      </c>
      <c r="F1434" s="1">
        <v>45317</v>
      </c>
      <c r="G1434">
        <v>21.09</v>
      </c>
      <c r="H14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434" t="str">
        <f>IFERROR(INDEX(Raw_orders!G:G, MATCH(shipments[[#This Row],[order_id]],Raw_orders!A:A, 0)), "Unknown")</f>
        <v>Central Europe</v>
      </c>
      <c r="J1434" t="str">
        <f>PROPER(shipments[[#This Row],[delivery_status]])</f>
        <v>Delivered</v>
      </c>
      <c r="K1434" t="s">
        <v>6926</v>
      </c>
    </row>
    <row r="1435" spans="1:11">
      <c r="A1435" t="s">
        <v>8371</v>
      </c>
      <c r="B1435" t="s">
        <v>2261</v>
      </c>
      <c r="C1435" t="s">
        <v>6921</v>
      </c>
      <c r="D1435" s="1">
        <v>45371</v>
      </c>
      <c r="E1435" s="1">
        <v>45378</v>
      </c>
      <c r="F1435" s="1">
        <v>45378</v>
      </c>
      <c r="G1435">
        <v>46.4</v>
      </c>
      <c r="H14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435" t="str">
        <f>IFERROR(INDEX(Raw_orders!G:G, MATCH(shipments[[#This Row],[order_id]],Raw_orders!A:A, 0)), "Unknown")</f>
        <v>Central Europe</v>
      </c>
      <c r="J1435" t="str">
        <f>PROPER(shipments[[#This Row],[delivery_status]])</f>
        <v>Delivered</v>
      </c>
      <c r="K1435" t="s">
        <v>6929</v>
      </c>
    </row>
    <row r="1436" spans="1:11">
      <c r="A1436" t="s">
        <v>8372</v>
      </c>
      <c r="B1436" t="s">
        <v>2262</v>
      </c>
      <c r="C1436" t="s">
        <v>6928</v>
      </c>
      <c r="D1436" s="1">
        <v>44997</v>
      </c>
      <c r="E1436" s="1">
        <v>45007</v>
      </c>
      <c r="F1436" s="1">
        <v>45017</v>
      </c>
      <c r="G1436">
        <v>8.5399999999999991</v>
      </c>
      <c r="H14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36" t="str">
        <f>IFERROR(INDEX(Raw_orders!G:G, MATCH(shipments[[#This Row],[order_id]],Raw_orders!A:A, 0)), "Unknown")</f>
        <v>Central Europe</v>
      </c>
      <c r="J1436" t="str">
        <f>PROPER(shipments[[#This Row],[delivery_status]])</f>
        <v>Delivered</v>
      </c>
      <c r="K1436" t="s">
        <v>6922</v>
      </c>
    </row>
    <row r="1437" spans="1:11">
      <c r="A1437" t="s">
        <v>8373</v>
      </c>
      <c r="B1437" t="s">
        <v>2263</v>
      </c>
      <c r="C1437" t="s">
        <v>6938</v>
      </c>
      <c r="D1437" s="1">
        <v>45545</v>
      </c>
      <c r="E1437" s="1">
        <v>45555</v>
      </c>
      <c r="F1437" s="1">
        <v>45555</v>
      </c>
      <c r="G1437">
        <v>6.34</v>
      </c>
      <c r="H14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437" t="str">
        <f>IFERROR(INDEX(Raw_orders!G:G, MATCH(shipments[[#This Row],[order_id]],Raw_orders!A:A, 0)), "Unknown")</f>
        <v>Baltics</v>
      </c>
      <c r="J1437" t="str">
        <f>PROPER(shipments[[#This Row],[delivery_status]])</f>
        <v>Delivered</v>
      </c>
      <c r="K1437" t="s">
        <v>6922</v>
      </c>
    </row>
    <row r="1438" spans="1:11">
      <c r="A1438" t="s">
        <v>8374</v>
      </c>
      <c r="B1438" t="s">
        <v>2264</v>
      </c>
      <c r="C1438" t="s">
        <v>6935</v>
      </c>
      <c r="D1438" s="1">
        <v>45229</v>
      </c>
      <c r="E1438" s="1">
        <v>45239</v>
      </c>
      <c r="F1438" s="1">
        <v>45247</v>
      </c>
      <c r="G1438">
        <v>18.84</v>
      </c>
      <c r="H14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38" t="str">
        <f>IFERROR(INDEX(Raw_orders!G:G, MATCH(shipments[[#This Row],[order_id]],Raw_orders!A:A, 0)), "Unknown")</f>
        <v>Central Europe</v>
      </c>
      <c r="J1438" t="str">
        <f>PROPER(shipments[[#This Row],[delivery_status]])</f>
        <v>Delivered</v>
      </c>
      <c r="K1438" t="s">
        <v>6926</v>
      </c>
    </row>
    <row r="1439" spans="1:11">
      <c r="A1439" t="s">
        <v>8375</v>
      </c>
      <c r="B1439" t="s">
        <v>2265</v>
      </c>
      <c r="C1439" t="s">
        <v>6921</v>
      </c>
      <c r="D1439" s="1">
        <v>45214</v>
      </c>
      <c r="E1439" s="1">
        <v>45224</v>
      </c>
      <c r="F1439" s="1"/>
      <c r="G1439">
        <v>51.64</v>
      </c>
      <c r="H14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439" t="str">
        <f>IFERROR(INDEX(Raw_orders!G:G, MATCH(shipments[[#This Row],[order_id]],Raw_orders!A:A, 0)), "Unknown")</f>
        <v>Nordics</v>
      </c>
      <c r="J1439" t="str">
        <f>PROPER(shipments[[#This Row],[delivery_status]])</f>
        <v>In Transit</v>
      </c>
      <c r="K1439" t="s">
        <v>6977</v>
      </c>
    </row>
    <row r="1440" spans="1:11">
      <c r="A1440" t="s">
        <v>8376</v>
      </c>
      <c r="B1440" t="s">
        <v>2266</v>
      </c>
      <c r="C1440" t="s">
        <v>6940</v>
      </c>
      <c r="D1440" s="1">
        <v>45396</v>
      </c>
      <c r="E1440" s="1">
        <v>45406</v>
      </c>
      <c r="F1440" s="1">
        <v>45407</v>
      </c>
      <c r="G1440">
        <v>51.74</v>
      </c>
      <c r="H14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40" t="str">
        <f>IFERROR(INDEX(Raw_orders!G:G, MATCH(shipments[[#This Row],[order_id]],Raw_orders!A:A, 0)), "Unknown")</f>
        <v>Baltics</v>
      </c>
      <c r="J1440" t="str">
        <f>PROPER(shipments[[#This Row],[delivery_status]])</f>
        <v>Delivered</v>
      </c>
      <c r="K1440" t="s">
        <v>6929</v>
      </c>
    </row>
    <row r="1441" spans="1:11">
      <c r="A1441" t="s">
        <v>8377</v>
      </c>
      <c r="B1441" t="s">
        <v>2267</v>
      </c>
      <c r="C1441" t="s">
        <v>6956</v>
      </c>
      <c r="D1441" s="1">
        <v>45452</v>
      </c>
      <c r="E1441" s="1">
        <v>45457</v>
      </c>
      <c r="F1441" s="1">
        <v>45459</v>
      </c>
      <c r="G1441">
        <v>33.81</v>
      </c>
      <c r="H14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41" t="str">
        <f>IFERROR(INDEX(Raw_orders!G:G, MATCH(shipments[[#This Row],[order_id]],Raw_orders!A:A, 0)), "Unknown")</f>
        <v>Central Europe</v>
      </c>
      <c r="J1441" t="str">
        <f>PROPER(shipments[[#This Row],[delivery_status]])</f>
        <v>Delivered</v>
      </c>
      <c r="K1441" t="s">
        <v>6926</v>
      </c>
    </row>
    <row r="1442" spans="1:11">
      <c r="A1442" t="s">
        <v>8378</v>
      </c>
      <c r="B1442" t="s">
        <v>2268</v>
      </c>
      <c r="C1442" t="s">
        <v>6928</v>
      </c>
      <c r="D1442" s="1">
        <v>45055</v>
      </c>
      <c r="E1442" s="1">
        <v>45060</v>
      </c>
      <c r="F1442" s="1">
        <v>45060</v>
      </c>
      <c r="G1442">
        <v>21.5</v>
      </c>
      <c r="H14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442" t="str">
        <f>IFERROR(INDEX(Raw_orders!G:G, MATCH(shipments[[#This Row],[order_id]],Raw_orders!A:A, 0)), "Unknown")</f>
        <v>Nordics</v>
      </c>
      <c r="J1442" t="str">
        <f>PROPER(shipments[[#This Row],[delivery_status]])</f>
        <v>Delivered</v>
      </c>
      <c r="K1442" t="s">
        <v>6926</v>
      </c>
    </row>
    <row r="1443" spans="1:11">
      <c r="A1443" t="s">
        <v>8379</v>
      </c>
      <c r="B1443" t="s">
        <v>2269</v>
      </c>
      <c r="C1443" t="s">
        <v>6938</v>
      </c>
      <c r="D1443" s="1">
        <v>45258</v>
      </c>
      <c r="E1443" s="1">
        <v>45260</v>
      </c>
      <c r="F1443" s="1">
        <v>45265</v>
      </c>
      <c r="G1443">
        <v>47.54</v>
      </c>
      <c r="H14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43" t="str">
        <f>IFERROR(INDEX(Raw_orders!G:G, MATCH(shipments[[#This Row],[order_id]],Raw_orders!A:A, 0)), "Unknown")</f>
        <v>Baltics</v>
      </c>
      <c r="J1443" t="str">
        <f>PROPER(shipments[[#This Row],[delivery_status]])</f>
        <v>Delivered</v>
      </c>
      <c r="K1443" t="s">
        <v>6926</v>
      </c>
    </row>
    <row r="1444" spans="1:11">
      <c r="A1444" t="s">
        <v>8380</v>
      </c>
      <c r="B1444" t="s">
        <v>2270</v>
      </c>
      <c r="C1444" t="s">
        <v>6928</v>
      </c>
      <c r="D1444" s="1">
        <v>45582</v>
      </c>
      <c r="E1444" s="1">
        <v>45589</v>
      </c>
      <c r="F1444" s="1">
        <v>45591</v>
      </c>
      <c r="G1444">
        <v>62.54</v>
      </c>
      <c r="H14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44" t="str">
        <f>IFERROR(INDEX(Raw_orders!G:G, MATCH(shipments[[#This Row],[order_id]],Raw_orders!A:A, 0)), "Unknown")</f>
        <v>Central Europe</v>
      </c>
      <c r="J1444" t="str">
        <f>PROPER(shipments[[#This Row],[delivery_status]])</f>
        <v>Delivered</v>
      </c>
      <c r="K1444" t="s">
        <v>6929</v>
      </c>
    </row>
    <row r="1445" spans="1:11">
      <c r="A1445" t="s">
        <v>8381</v>
      </c>
      <c r="B1445" t="s">
        <v>2271</v>
      </c>
      <c r="C1445" t="s">
        <v>6931</v>
      </c>
      <c r="D1445" s="1">
        <v>44972</v>
      </c>
      <c r="E1445" s="1">
        <v>44975</v>
      </c>
      <c r="F1445" s="1">
        <v>44980</v>
      </c>
      <c r="G1445">
        <v>37.74</v>
      </c>
      <c r="H14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45" t="str">
        <f>IFERROR(INDEX(Raw_orders!G:G, MATCH(shipments[[#This Row],[order_id]],Raw_orders!A:A, 0)), "Unknown")</f>
        <v>Central Europe</v>
      </c>
      <c r="J1445" t="str">
        <f>PROPER(shipments[[#This Row],[delivery_status]])</f>
        <v>Delivered</v>
      </c>
      <c r="K1445" t="s">
        <v>6926</v>
      </c>
    </row>
    <row r="1446" spans="1:11">
      <c r="A1446" t="s">
        <v>8382</v>
      </c>
      <c r="B1446" t="s">
        <v>2272</v>
      </c>
      <c r="C1446" t="s">
        <v>6928</v>
      </c>
      <c r="D1446" s="1">
        <v>45279</v>
      </c>
      <c r="E1446" s="1">
        <v>45281</v>
      </c>
      <c r="F1446" s="1"/>
      <c r="G1446">
        <v>56.61</v>
      </c>
      <c r="H14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446" t="str">
        <f>IFERROR(INDEX(Raw_orders!G:G, MATCH(shipments[[#This Row],[order_id]],Raw_orders!A:A, 0)), "Unknown")</f>
        <v>Baltics</v>
      </c>
      <c r="J1446" t="str">
        <f>PROPER(shipments[[#This Row],[delivery_status]])</f>
        <v>In Transit</v>
      </c>
      <c r="K1446" t="s">
        <v>6977</v>
      </c>
    </row>
    <row r="1447" spans="1:11">
      <c r="A1447" t="s">
        <v>8383</v>
      </c>
      <c r="B1447" t="s">
        <v>2273</v>
      </c>
      <c r="C1447" t="s">
        <v>6931</v>
      </c>
      <c r="D1447" s="1">
        <v>45373</v>
      </c>
      <c r="E1447" s="1">
        <v>45383</v>
      </c>
      <c r="F1447" s="1">
        <v>45386</v>
      </c>
      <c r="G1447">
        <v>39.21</v>
      </c>
      <c r="H14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47" t="str">
        <f>IFERROR(INDEX(Raw_orders!G:G, MATCH(shipments[[#This Row],[order_id]],Raw_orders!A:A, 0)), "Unknown")</f>
        <v>Baltics</v>
      </c>
      <c r="J1447" t="str">
        <f>PROPER(shipments[[#This Row],[delivery_status]])</f>
        <v>Delivered</v>
      </c>
      <c r="K1447" t="s">
        <v>6926</v>
      </c>
    </row>
    <row r="1448" spans="1:11">
      <c r="A1448" t="s">
        <v>8384</v>
      </c>
      <c r="B1448" t="s">
        <v>2274</v>
      </c>
      <c r="C1448" t="s">
        <v>6925</v>
      </c>
      <c r="D1448" s="1">
        <v>45289</v>
      </c>
      <c r="E1448" s="1">
        <v>45292</v>
      </c>
      <c r="F1448" s="1">
        <v>45291</v>
      </c>
      <c r="G1448">
        <v>44.42</v>
      </c>
      <c r="H14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448" t="str">
        <f>IFERROR(INDEX(Raw_orders!G:G, MATCH(shipments[[#This Row],[order_id]],Raw_orders!A:A, 0)), "Unknown")</f>
        <v>Central Europe</v>
      </c>
      <c r="J1448" t="str">
        <f>PROPER(shipments[[#This Row],[delivery_status]])</f>
        <v>Delivered</v>
      </c>
      <c r="K1448" t="s">
        <v>6926</v>
      </c>
    </row>
    <row r="1449" spans="1:11">
      <c r="A1449" t="s">
        <v>8385</v>
      </c>
      <c r="B1449" t="s">
        <v>2275</v>
      </c>
      <c r="C1449" t="s">
        <v>6925</v>
      </c>
      <c r="D1449" s="1">
        <v>45387</v>
      </c>
      <c r="E1449" s="1">
        <v>45397</v>
      </c>
      <c r="F1449" s="1">
        <v>45397</v>
      </c>
      <c r="G1449">
        <v>59.08</v>
      </c>
      <c r="H14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449" t="str">
        <f>IFERROR(INDEX(Raw_orders!G:G, MATCH(shipments[[#This Row],[order_id]],Raw_orders!A:A, 0)), "Unknown")</f>
        <v>Central Europe</v>
      </c>
      <c r="J1449" t="str">
        <f>PROPER(shipments[[#This Row],[delivery_status]])</f>
        <v>Delivered</v>
      </c>
      <c r="K1449" t="s">
        <v>6929</v>
      </c>
    </row>
    <row r="1450" spans="1:11">
      <c r="A1450" t="s">
        <v>8386</v>
      </c>
      <c r="B1450" t="s">
        <v>2276</v>
      </c>
      <c r="C1450" t="s">
        <v>6949</v>
      </c>
      <c r="D1450" s="1">
        <v>44995</v>
      </c>
      <c r="E1450" s="1">
        <v>44997</v>
      </c>
      <c r="F1450" s="1"/>
      <c r="G1450">
        <v>39.11</v>
      </c>
      <c r="H14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450" t="str">
        <f>IFERROR(INDEX(Raw_orders!G:G, MATCH(shipments[[#This Row],[order_id]],Raw_orders!A:A, 0)), "Unknown")</f>
        <v>Central Europe</v>
      </c>
      <c r="J1450" t="str">
        <f>PROPER(shipments[[#This Row],[delivery_status]])</f>
        <v>In Transit</v>
      </c>
      <c r="K1450" t="s">
        <v>6958</v>
      </c>
    </row>
    <row r="1451" spans="1:11">
      <c r="A1451" t="s">
        <v>8387</v>
      </c>
      <c r="B1451" t="s">
        <v>2277</v>
      </c>
      <c r="C1451" t="s">
        <v>6925</v>
      </c>
      <c r="D1451" s="1">
        <v>45265</v>
      </c>
      <c r="E1451" s="1">
        <v>45267</v>
      </c>
      <c r="F1451" s="1">
        <v>45268</v>
      </c>
      <c r="G1451">
        <v>63.86</v>
      </c>
      <c r="H14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51" t="str">
        <f>IFERROR(INDEX(Raw_orders!G:G, MATCH(shipments[[#This Row],[order_id]],Raw_orders!A:A, 0)), "Unknown")</f>
        <v>Nordics</v>
      </c>
      <c r="J1451" t="str">
        <f>PROPER(shipments[[#This Row],[delivery_status]])</f>
        <v>Delivered</v>
      </c>
      <c r="K1451" t="s">
        <v>6929</v>
      </c>
    </row>
    <row r="1452" spans="1:11">
      <c r="A1452" t="s">
        <v>8388</v>
      </c>
      <c r="B1452" t="s">
        <v>2278</v>
      </c>
      <c r="C1452" t="s">
        <v>6940</v>
      </c>
      <c r="D1452" s="1">
        <v>45231</v>
      </c>
      <c r="E1452" s="1">
        <v>45236</v>
      </c>
      <c r="F1452" s="1">
        <v>45243</v>
      </c>
      <c r="G1452">
        <v>49.88</v>
      </c>
      <c r="H14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52" t="str">
        <f>IFERROR(INDEX(Raw_orders!G:G, MATCH(shipments[[#This Row],[order_id]],Raw_orders!A:A, 0)), "Unknown")</f>
        <v>Central Europe</v>
      </c>
      <c r="J1452" t="str">
        <f>PROPER(shipments[[#This Row],[delivery_status]])</f>
        <v>Delivered</v>
      </c>
      <c r="K1452" t="s">
        <v>6926</v>
      </c>
    </row>
    <row r="1453" spans="1:11">
      <c r="A1453" t="s">
        <v>8389</v>
      </c>
      <c r="B1453" t="s">
        <v>2279</v>
      </c>
      <c r="C1453" t="s">
        <v>6931</v>
      </c>
      <c r="D1453" s="1">
        <v>45229</v>
      </c>
      <c r="E1453" s="1">
        <v>45231</v>
      </c>
      <c r="F1453" s="1">
        <v>45231</v>
      </c>
      <c r="G1453">
        <v>21.08</v>
      </c>
      <c r="H14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453" t="str">
        <f>IFERROR(INDEX(Raw_orders!G:G, MATCH(shipments[[#This Row],[order_id]],Raw_orders!A:A, 0)), "Unknown")</f>
        <v>Baltics</v>
      </c>
      <c r="J1453" t="str">
        <f>PROPER(shipments[[#This Row],[delivery_status]])</f>
        <v>Delivered</v>
      </c>
      <c r="K1453" t="s">
        <v>6929</v>
      </c>
    </row>
    <row r="1454" spans="1:11">
      <c r="A1454" t="s">
        <v>8390</v>
      </c>
      <c r="B1454" t="s">
        <v>2280</v>
      </c>
      <c r="C1454" t="s">
        <v>6925</v>
      </c>
      <c r="D1454" s="1">
        <v>44958</v>
      </c>
      <c r="E1454" s="1">
        <v>44960</v>
      </c>
      <c r="F1454" s="1"/>
      <c r="G1454">
        <v>45.93</v>
      </c>
      <c r="H14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454" t="str">
        <f>IFERROR(INDEX(Raw_orders!G:G, MATCH(shipments[[#This Row],[order_id]],Raw_orders!A:A, 0)), "Unknown")</f>
        <v>Central Europe</v>
      </c>
      <c r="J1454" t="str">
        <f>PROPER(shipments[[#This Row],[delivery_status]])</f>
        <v>In Transit</v>
      </c>
      <c r="K1454" t="s">
        <v>6946</v>
      </c>
    </row>
    <row r="1455" spans="1:11">
      <c r="A1455" t="s">
        <v>8391</v>
      </c>
      <c r="B1455" t="s">
        <v>2281</v>
      </c>
      <c r="C1455" t="s">
        <v>6935</v>
      </c>
      <c r="D1455" s="1">
        <v>45581</v>
      </c>
      <c r="E1455" s="1">
        <v>45588</v>
      </c>
      <c r="F1455" s="1">
        <v>45597</v>
      </c>
      <c r="G1455">
        <v>35.57</v>
      </c>
      <c r="H14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55" t="str">
        <f>IFERROR(INDEX(Raw_orders!G:G, MATCH(shipments[[#This Row],[order_id]],Raw_orders!A:A, 0)), "Unknown")</f>
        <v>Baltics</v>
      </c>
      <c r="J1455" t="str">
        <f>PROPER(shipments[[#This Row],[delivery_status]])</f>
        <v>Delivered</v>
      </c>
      <c r="K1455" t="s">
        <v>6926</v>
      </c>
    </row>
    <row r="1456" spans="1:11">
      <c r="A1456" t="s">
        <v>8392</v>
      </c>
      <c r="B1456" t="s">
        <v>2282</v>
      </c>
      <c r="C1456" t="s">
        <v>6938</v>
      </c>
      <c r="D1456" s="1">
        <v>44930</v>
      </c>
      <c r="E1456" s="1">
        <v>44933</v>
      </c>
      <c r="F1456" s="1">
        <v>44944</v>
      </c>
      <c r="G1456">
        <v>60.82</v>
      </c>
      <c r="H14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56" t="str">
        <f>IFERROR(INDEX(Raw_orders!G:G, MATCH(shipments[[#This Row],[order_id]],Raw_orders!A:A, 0)), "Unknown")</f>
        <v>Central Europe</v>
      </c>
      <c r="J1456" t="str">
        <f>PROPER(shipments[[#This Row],[delivery_status]])</f>
        <v>Delivered</v>
      </c>
      <c r="K1456" t="s">
        <v>6926</v>
      </c>
    </row>
    <row r="1457" spans="1:11">
      <c r="A1457" t="s">
        <v>8393</v>
      </c>
      <c r="B1457" t="s">
        <v>2283</v>
      </c>
      <c r="C1457" t="s">
        <v>6940</v>
      </c>
      <c r="D1457" s="1">
        <v>45248</v>
      </c>
      <c r="E1457" s="1">
        <v>45255</v>
      </c>
      <c r="F1457" s="1"/>
      <c r="G1457">
        <v>23.77</v>
      </c>
      <c r="H14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457" t="str">
        <f>IFERROR(INDEX(Raw_orders!G:G, MATCH(shipments[[#This Row],[order_id]],Raw_orders!A:A, 0)), "Unknown")</f>
        <v>Central Europe</v>
      </c>
      <c r="J1457" t="str">
        <f>PROPER(shipments[[#This Row],[delivery_status]])</f>
        <v>Cancelled</v>
      </c>
      <c r="K1457" t="s">
        <v>6979</v>
      </c>
    </row>
    <row r="1458" spans="1:11">
      <c r="A1458" t="s">
        <v>8394</v>
      </c>
      <c r="B1458" t="s">
        <v>2284</v>
      </c>
      <c r="C1458" t="s">
        <v>6935</v>
      </c>
      <c r="D1458" s="1">
        <v>45588</v>
      </c>
      <c r="E1458" s="1">
        <v>45590</v>
      </c>
      <c r="F1458" s="1">
        <v>45600</v>
      </c>
      <c r="G1458">
        <v>29.76</v>
      </c>
      <c r="H14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58" t="str">
        <f>IFERROR(INDEX(Raw_orders!G:G, MATCH(shipments[[#This Row],[order_id]],Raw_orders!A:A, 0)), "Unknown")</f>
        <v>Baltics</v>
      </c>
      <c r="J1458" t="str">
        <f>PROPER(shipments[[#This Row],[delivery_status]])</f>
        <v>Delivered</v>
      </c>
      <c r="K1458" t="s">
        <v>6929</v>
      </c>
    </row>
    <row r="1459" spans="1:11">
      <c r="A1459" t="s">
        <v>8395</v>
      </c>
      <c r="B1459" t="s">
        <v>2285</v>
      </c>
      <c r="C1459" t="s">
        <v>6949</v>
      </c>
      <c r="D1459" s="1">
        <v>45286</v>
      </c>
      <c r="E1459" s="1">
        <v>45293</v>
      </c>
      <c r="F1459" s="1">
        <v>45297</v>
      </c>
      <c r="G1459">
        <v>60.21</v>
      </c>
      <c r="H14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59" t="str">
        <f>IFERROR(INDEX(Raw_orders!G:G, MATCH(shipments[[#This Row],[order_id]],Raw_orders!A:A, 0)), "Unknown")</f>
        <v>Central Europe</v>
      </c>
      <c r="J1459" t="str">
        <f>PROPER(shipments[[#This Row],[delivery_status]])</f>
        <v>Delivered</v>
      </c>
      <c r="K1459" t="s">
        <v>6922</v>
      </c>
    </row>
    <row r="1460" spans="1:11">
      <c r="A1460" t="s">
        <v>8396</v>
      </c>
      <c r="B1460" t="s">
        <v>2286</v>
      </c>
      <c r="C1460" t="s">
        <v>6931</v>
      </c>
      <c r="D1460" s="1">
        <v>45365</v>
      </c>
      <c r="E1460" s="1">
        <v>45375</v>
      </c>
      <c r="F1460" s="1">
        <v>45375</v>
      </c>
      <c r="G1460">
        <v>34.840000000000003</v>
      </c>
      <c r="H14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460" t="str">
        <f>IFERROR(INDEX(Raw_orders!G:G, MATCH(shipments[[#This Row],[order_id]],Raw_orders!A:A, 0)), "Unknown")</f>
        <v>Baltics</v>
      </c>
      <c r="J1460" t="str">
        <f>PROPER(shipments[[#This Row],[delivery_status]])</f>
        <v>Delivered</v>
      </c>
      <c r="K1460" t="s">
        <v>6922</v>
      </c>
    </row>
    <row r="1461" spans="1:11">
      <c r="A1461" t="s">
        <v>8397</v>
      </c>
      <c r="B1461" t="s">
        <v>2287</v>
      </c>
      <c r="C1461" t="s">
        <v>6925</v>
      </c>
      <c r="D1461" s="1">
        <v>45409</v>
      </c>
      <c r="E1461" s="1">
        <v>45412</v>
      </c>
      <c r="F1461" s="1">
        <v>45412</v>
      </c>
      <c r="G1461">
        <v>38.29</v>
      </c>
      <c r="H14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461" t="str">
        <f>IFERROR(INDEX(Raw_orders!G:G, MATCH(shipments[[#This Row],[order_id]],Raw_orders!A:A, 0)), "Unknown")</f>
        <v>Unknown</v>
      </c>
      <c r="J1461" t="str">
        <f>PROPER(shipments[[#This Row],[delivery_status]])</f>
        <v>Delivered</v>
      </c>
      <c r="K1461" t="s">
        <v>6926</v>
      </c>
    </row>
    <row r="1462" spans="1:11">
      <c r="A1462" t="s">
        <v>8398</v>
      </c>
      <c r="B1462" t="s">
        <v>2288</v>
      </c>
      <c r="C1462" t="s">
        <v>6935</v>
      </c>
      <c r="D1462" s="1">
        <v>45281</v>
      </c>
      <c r="E1462" s="1">
        <v>45284</v>
      </c>
      <c r="F1462" s="1"/>
      <c r="G1462">
        <v>37.29</v>
      </c>
      <c r="H14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462" t="str">
        <f>IFERROR(INDEX(Raw_orders!G:G, MATCH(shipments[[#This Row],[order_id]],Raw_orders!A:A, 0)), "Unknown")</f>
        <v>Nordics</v>
      </c>
      <c r="J1462" t="str">
        <f>PROPER(shipments[[#This Row],[delivery_status]])</f>
        <v>In Transit</v>
      </c>
      <c r="K1462" t="s">
        <v>6958</v>
      </c>
    </row>
    <row r="1463" spans="1:11">
      <c r="A1463" t="s">
        <v>8399</v>
      </c>
      <c r="B1463" t="s">
        <v>2289</v>
      </c>
      <c r="C1463" t="s">
        <v>6931</v>
      </c>
      <c r="D1463" s="1">
        <v>45357</v>
      </c>
      <c r="E1463" s="1">
        <v>45367</v>
      </c>
      <c r="F1463" s="1"/>
      <c r="G1463">
        <v>32.26</v>
      </c>
      <c r="H14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463" t="str">
        <f>IFERROR(INDEX(Raw_orders!G:G, MATCH(shipments[[#This Row],[order_id]],Raw_orders!A:A, 0)), "Unknown")</f>
        <v>Baltics</v>
      </c>
      <c r="J1463" t="str">
        <f>PROPER(shipments[[#This Row],[delivery_status]])</f>
        <v>Cancelled</v>
      </c>
      <c r="K1463" t="s">
        <v>6972</v>
      </c>
    </row>
    <row r="1464" spans="1:11">
      <c r="A1464" t="s">
        <v>8400</v>
      </c>
      <c r="B1464" t="s">
        <v>2290</v>
      </c>
      <c r="C1464" t="s">
        <v>6938</v>
      </c>
      <c r="D1464" s="1">
        <v>45312</v>
      </c>
      <c r="E1464" s="1">
        <v>45319</v>
      </c>
      <c r="F1464" s="1">
        <v>45324</v>
      </c>
      <c r="G1464">
        <v>55.18</v>
      </c>
      <c r="H14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64" t="str">
        <f>IFERROR(INDEX(Raw_orders!G:G, MATCH(shipments[[#This Row],[order_id]],Raw_orders!A:A, 0)), "Unknown")</f>
        <v>Nordics</v>
      </c>
      <c r="J1464" t="str">
        <f>PROPER(shipments[[#This Row],[delivery_status]])</f>
        <v>Delivered</v>
      </c>
      <c r="K1464" t="s">
        <v>6922</v>
      </c>
    </row>
    <row r="1465" spans="1:11">
      <c r="A1465" t="s">
        <v>8401</v>
      </c>
      <c r="B1465" t="s">
        <v>2291</v>
      </c>
      <c r="C1465" t="s">
        <v>6940</v>
      </c>
      <c r="D1465" s="1">
        <v>45505</v>
      </c>
      <c r="E1465" s="1">
        <v>45510</v>
      </c>
      <c r="F1465" s="1">
        <v>45511</v>
      </c>
      <c r="G1465">
        <v>5.0599999999999996</v>
      </c>
      <c r="H14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65" t="str">
        <f>IFERROR(INDEX(Raw_orders!G:G, MATCH(shipments[[#This Row],[order_id]],Raw_orders!A:A, 0)), "Unknown")</f>
        <v>Nordics</v>
      </c>
      <c r="J1465" t="str">
        <f>PROPER(shipments[[#This Row],[delivery_status]])</f>
        <v>Delivered</v>
      </c>
      <c r="K1465" t="s">
        <v>6922</v>
      </c>
    </row>
    <row r="1466" spans="1:11">
      <c r="A1466" t="s">
        <v>8402</v>
      </c>
      <c r="B1466" t="s">
        <v>2292</v>
      </c>
      <c r="C1466" t="s">
        <v>6956</v>
      </c>
      <c r="D1466" s="1">
        <v>45395</v>
      </c>
      <c r="E1466" s="1">
        <v>45405</v>
      </c>
      <c r="F1466" s="1">
        <v>45407</v>
      </c>
      <c r="G1466">
        <v>42.43</v>
      </c>
      <c r="H14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66" t="str">
        <f>IFERROR(INDEX(Raw_orders!G:G, MATCH(shipments[[#This Row],[order_id]],Raw_orders!A:A, 0)), "Unknown")</f>
        <v>Nordics</v>
      </c>
      <c r="J1466" t="str">
        <f>PROPER(shipments[[#This Row],[delivery_status]])</f>
        <v>Delivered</v>
      </c>
      <c r="K1466" t="s">
        <v>6929</v>
      </c>
    </row>
    <row r="1467" spans="1:11">
      <c r="A1467" t="s">
        <v>8403</v>
      </c>
      <c r="B1467" t="s">
        <v>2293</v>
      </c>
      <c r="C1467" t="s">
        <v>6928</v>
      </c>
      <c r="D1467" s="1">
        <v>45125</v>
      </c>
      <c r="E1467" s="1">
        <v>45135</v>
      </c>
      <c r="F1467" s="1">
        <v>45140</v>
      </c>
      <c r="G1467">
        <v>21.88</v>
      </c>
      <c r="H14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67" t="str">
        <f>IFERROR(INDEX(Raw_orders!G:G, MATCH(shipments[[#This Row],[order_id]],Raw_orders!A:A, 0)), "Unknown")</f>
        <v>Central Europe</v>
      </c>
      <c r="J1467" t="str">
        <f>PROPER(shipments[[#This Row],[delivery_status]])</f>
        <v>Delivered</v>
      </c>
      <c r="K1467" t="s">
        <v>6926</v>
      </c>
    </row>
    <row r="1468" spans="1:11">
      <c r="A1468" t="s">
        <v>8404</v>
      </c>
      <c r="B1468" t="s">
        <v>2294</v>
      </c>
      <c r="C1468" t="s">
        <v>6935</v>
      </c>
      <c r="D1468" s="1">
        <v>45222</v>
      </c>
      <c r="E1468" s="1">
        <v>45227</v>
      </c>
      <c r="F1468" s="1">
        <v>45235</v>
      </c>
      <c r="G1468">
        <v>49.78</v>
      </c>
      <c r="H14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68" t="str">
        <f>IFERROR(INDEX(Raw_orders!G:G, MATCH(shipments[[#This Row],[order_id]],Raw_orders!A:A, 0)), "Unknown")</f>
        <v>Baltics</v>
      </c>
      <c r="J1468" t="str">
        <f>PROPER(shipments[[#This Row],[delivery_status]])</f>
        <v>Delivered</v>
      </c>
      <c r="K1468" t="s">
        <v>6922</v>
      </c>
    </row>
    <row r="1469" spans="1:11">
      <c r="A1469" t="s">
        <v>8405</v>
      </c>
      <c r="B1469" t="s">
        <v>2295</v>
      </c>
      <c r="C1469" t="s">
        <v>6931</v>
      </c>
      <c r="D1469" s="1">
        <v>45370</v>
      </c>
      <c r="E1469" s="1">
        <v>45372</v>
      </c>
      <c r="F1469" s="1">
        <v>45375</v>
      </c>
      <c r="G1469">
        <v>5.9</v>
      </c>
      <c r="H14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69" t="str">
        <f>IFERROR(INDEX(Raw_orders!G:G, MATCH(shipments[[#This Row],[order_id]],Raw_orders!A:A, 0)), "Unknown")</f>
        <v>Baltics</v>
      </c>
      <c r="J1469" t="str">
        <f>PROPER(shipments[[#This Row],[delivery_status]])</f>
        <v>Delivered</v>
      </c>
      <c r="K1469" t="s">
        <v>6926</v>
      </c>
    </row>
    <row r="1470" spans="1:11">
      <c r="A1470" t="s">
        <v>8406</v>
      </c>
      <c r="B1470" t="s">
        <v>2296</v>
      </c>
      <c r="C1470" t="s">
        <v>6940</v>
      </c>
      <c r="D1470" s="1">
        <v>45051</v>
      </c>
      <c r="E1470" s="1">
        <v>45054</v>
      </c>
      <c r="F1470" s="1">
        <v>45055</v>
      </c>
      <c r="G1470">
        <v>19.440000000000001</v>
      </c>
      <c r="H14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70" t="str">
        <f>IFERROR(INDEX(Raw_orders!G:G, MATCH(shipments[[#This Row],[order_id]],Raw_orders!A:A, 0)), "Unknown")</f>
        <v>Nordics</v>
      </c>
      <c r="J1470" t="str">
        <f>PROPER(shipments[[#This Row],[delivery_status]])</f>
        <v>Delivered</v>
      </c>
      <c r="K1470" t="s">
        <v>6926</v>
      </c>
    </row>
    <row r="1471" spans="1:11">
      <c r="A1471" t="s">
        <v>8407</v>
      </c>
      <c r="B1471" t="s">
        <v>2297</v>
      </c>
      <c r="C1471" t="s">
        <v>6925</v>
      </c>
      <c r="D1471" s="1">
        <v>45234</v>
      </c>
      <c r="E1471" s="1">
        <v>45244</v>
      </c>
      <c r="F1471" s="1">
        <v>45244</v>
      </c>
      <c r="G1471">
        <v>36.630000000000003</v>
      </c>
      <c r="H14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471" t="str">
        <f>IFERROR(INDEX(Raw_orders!G:G, MATCH(shipments[[#This Row],[order_id]],Raw_orders!A:A, 0)), "Unknown")</f>
        <v>Nordics</v>
      </c>
      <c r="J1471" t="str">
        <f>PROPER(shipments[[#This Row],[delivery_status]])</f>
        <v>Delivered</v>
      </c>
      <c r="K1471" t="s">
        <v>6929</v>
      </c>
    </row>
    <row r="1472" spans="1:11">
      <c r="A1472" t="s">
        <v>8408</v>
      </c>
      <c r="B1472" t="s">
        <v>2298</v>
      </c>
      <c r="C1472" t="s">
        <v>6931</v>
      </c>
      <c r="D1472" s="1">
        <v>45230</v>
      </c>
      <c r="E1472" s="1">
        <v>45233</v>
      </c>
      <c r="F1472" s="1">
        <v>45238</v>
      </c>
      <c r="G1472">
        <v>17.63</v>
      </c>
      <c r="H14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72" t="str">
        <f>IFERROR(INDEX(Raw_orders!G:G, MATCH(shipments[[#This Row],[order_id]],Raw_orders!A:A, 0)), "Unknown")</f>
        <v>Central Europe</v>
      </c>
      <c r="J1472" t="str">
        <f>PROPER(shipments[[#This Row],[delivery_status]])</f>
        <v>Delivered</v>
      </c>
      <c r="K1472" t="s">
        <v>6922</v>
      </c>
    </row>
    <row r="1473" spans="1:11">
      <c r="A1473" t="s">
        <v>8409</v>
      </c>
      <c r="B1473" t="s">
        <v>2299</v>
      </c>
      <c r="C1473" t="s">
        <v>6956</v>
      </c>
      <c r="D1473" s="1">
        <v>45440</v>
      </c>
      <c r="E1473" s="1">
        <v>45447</v>
      </c>
      <c r="F1473" s="1">
        <v>45447</v>
      </c>
      <c r="G1473">
        <v>23.11</v>
      </c>
      <c r="H14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473" t="str">
        <f>IFERROR(INDEX(Raw_orders!G:G, MATCH(shipments[[#This Row],[order_id]],Raw_orders!A:A, 0)), "Unknown")</f>
        <v>Baltics</v>
      </c>
      <c r="J1473" t="str">
        <f>PROPER(shipments[[#This Row],[delivery_status]])</f>
        <v>Delivered</v>
      </c>
      <c r="K1473" t="s">
        <v>6929</v>
      </c>
    </row>
    <row r="1474" spans="1:11">
      <c r="A1474" t="s">
        <v>8410</v>
      </c>
      <c r="B1474" t="s">
        <v>2300</v>
      </c>
      <c r="C1474" t="s">
        <v>6935</v>
      </c>
      <c r="D1474" s="1">
        <v>45473</v>
      </c>
      <c r="E1474" s="1">
        <v>45480</v>
      </c>
      <c r="F1474" s="1">
        <v>45485</v>
      </c>
      <c r="G1474">
        <v>15.43</v>
      </c>
      <c r="H14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74" t="str">
        <f>IFERROR(INDEX(Raw_orders!G:G, MATCH(shipments[[#This Row],[order_id]],Raw_orders!A:A, 0)), "Unknown")</f>
        <v>Central Europe</v>
      </c>
      <c r="J1474" t="str">
        <f>PROPER(shipments[[#This Row],[delivery_status]])</f>
        <v>Delivered</v>
      </c>
      <c r="K1474" t="s">
        <v>6929</v>
      </c>
    </row>
    <row r="1475" spans="1:11">
      <c r="A1475" t="s">
        <v>8411</v>
      </c>
      <c r="B1475" t="s">
        <v>2301</v>
      </c>
      <c r="C1475" t="s">
        <v>6940</v>
      </c>
      <c r="D1475" s="1">
        <v>45371</v>
      </c>
      <c r="E1475" s="1">
        <v>45373</v>
      </c>
      <c r="F1475" s="1">
        <v>45373</v>
      </c>
      <c r="G1475">
        <v>46.5</v>
      </c>
      <c r="H14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475" t="str">
        <f>IFERROR(INDEX(Raw_orders!G:G, MATCH(shipments[[#This Row],[order_id]],Raw_orders!A:A, 0)), "Unknown")</f>
        <v>Nordics</v>
      </c>
      <c r="J1475" t="str">
        <f>PROPER(shipments[[#This Row],[delivery_status]])</f>
        <v>Delivered</v>
      </c>
      <c r="K1475" t="s">
        <v>6929</v>
      </c>
    </row>
    <row r="1476" spans="1:11">
      <c r="A1476" t="s">
        <v>8412</v>
      </c>
      <c r="B1476" t="s">
        <v>2302</v>
      </c>
      <c r="C1476" t="s">
        <v>6921</v>
      </c>
      <c r="D1476" s="1">
        <v>45472</v>
      </c>
      <c r="E1476" s="1">
        <v>45479</v>
      </c>
      <c r="F1476" s="1">
        <v>45484</v>
      </c>
      <c r="G1476">
        <v>63.26</v>
      </c>
      <c r="H14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76" t="str">
        <f>IFERROR(INDEX(Raw_orders!G:G, MATCH(shipments[[#This Row],[order_id]],Raw_orders!A:A, 0)), "Unknown")</f>
        <v>Central Europe</v>
      </c>
      <c r="J1476" t="str">
        <f>PROPER(shipments[[#This Row],[delivery_status]])</f>
        <v>Delivered</v>
      </c>
      <c r="K1476" t="s">
        <v>6929</v>
      </c>
    </row>
    <row r="1477" spans="1:11">
      <c r="A1477" t="s">
        <v>8413</v>
      </c>
      <c r="B1477" t="s">
        <v>2303</v>
      </c>
      <c r="C1477" t="s">
        <v>6928</v>
      </c>
      <c r="D1477" s="1">
        <v>45059</v>
      </c>
      <c r="E1477" s="1">
        <v>45069</v>
      </c>
      <c r="F1477" s="1">
        <v>45072</v>
      </c>
      <c r="G1477">
        <v>16.05</v>
      </c>
      <c r="H14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77" t="str">
        <f>IFERROR(INDEX(Raw_orders!G:G, MATCH(shipments[[#This Row],[order_id]],Raw_orders!A:A, 0)), "Unknown")</f>
        <v>Nordics</v>
      </c>
      <c r="J1477" t="str">
        <f>PROPER(shipments[[#This Row],[delivery_status]])</f>
        <v>Delivered</v>
      </c>
      <c r="K1477" t="s">
        <v>6922</v>
      </c>
    </row>
    <row r="1478" spans="1:11">
      <c r="A1478" t="s">
        <v>8414</v>
      </c>
      <c r="B1478" t="s">
        <v>2304</v>
      </c>
      <c r="C1478" t="s">
        <v>6931</v>
      </c>
      <c r="D1478" s="1">
        <v>45502</v>
      </c>
      <c r="E1478" s="1">
        <v>45509</v>
      </c>
      <c r="F1478" s="1">
        <v>45511</v>
      </c>
      <c r="G1478">
        <v>60.44</v>
      </c>
      <c r="H14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78" t="str">
        <f>IFERROR(INDEX(Raw_orders!G:G, MATCH(shipments[[#This Row],[order_id]],Raw_orders!A:A, 0)), "Unknown")</f>
        <v>Baltics</v>
      </c>
      <c r="J1478" t="str">
        <f>PROPER(shipments[[#This Row],[delivery_status]])</f>
        <v>Delivered</v>
      </c>
      <c r="K1478" t="s">
        <v>6922</v>
      </c>
    </row>
    <row r="1479" spans="1:11">
      <c r="A1479" t="s">
        <v>8415</v>
      </c>
      <c r="B1479" t="s">
        <v>2305</v>
      </c>
      <c r="C1479" t="s">
        <v>6956</v>
      </c>
      <c r="D1479" s="1">
        <v>45452</v>
      </c>
      <c r="E1479" s="1">
        <v>45455</v>
      </c>
      <c r="F1479" s="1"/>
      <c r="G1479">
        <v>32.44</v>
      </c>
      <c r="H14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479" t="str">
        <f>IFERROR(INDEX(Raw_orders!G:G, MATCH(shipments[[#This Row],[order_id]],Raw_orders!A:A, 0)), "Unknown")</f>
        <v>Nordics</v>
      </c>
      <c r="J1479" t="str">
        <f>PROPER(shipments[[#This Row],[delivery_status]])</f>
        <v>In Transit</v>
      </c>
      <c r="K1479" t="s">
        <v>6958</v>
      </c>
    </row>
    <row r="1480" spans="1:11">
      <c r="A1480" t="s">
        <v>8416</v>
      </c>
      <c r="B1480" t="s">
        <v>2306</v>
      </c>
      <c r="C1480" t="s">
        <v>6940</v>
      </c>
      <c r="D1480" s="1">
        <v>45359</v>
      </c>
      <c r="E1480" s="1">
        <v>45364</v>
      </c>
      <c r="F1480" s="1">
        <v>45364</v>
      </c>
      <c r="G1480">
        <v>43.11</v>
      </c>
      <c r="H14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480" t="str">
        <f>IFERROR(INDEX(Raw_orders!G:G, MATCH(shipments[[#This Row],[order_id]],Raw_orders!A:A, 0)), "Unknown")</f>
        <v>Nordics</v>
      </c>
      <c r="J1480" t="str">
        <f>PROPER(shipments[[#This Row],[delivery_status]])</f>
        <v>Delivered</v>
      </c>
      <c r="K1480" t="s">
        <v>6929</v>
      </c>
    </row>
    <row r="1481" spans="1:11">
      <c r="A1481" t="s">
        <v>8417</v>
      </c>
      <c r="B1481" t="s">
        <v>2307</v>
      </c>
      <c r="C1481" t="s">
        <v>6956</v>
      </c>
      <c r="D1481" s="1">
        <v>44932</v>
      </c>
      <c r="E1481" s="1">
        <v>44939</v>
      </c>
      <c r="F1481" s="1"/>
      <c r="G1481">
        <v>50.44</v>
      </c>
      <c r="H14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481" t="str">
        <f>IFERROR(INDEX(Raw_orders!G:G, MATCH(shipments[[#This Row],[order_id]],Raw_orders!A:A, 0)), "Unknown")</f>
        <v>Baltics</v>
      </c>
      <c r="J1481" t="str">
        <f>PROPER(shipments[[#This Row],[delivery_status]])</f>
        <v>Cancelled</v>
      </c>
      <c r="K1481" t="s">
        <v>6963</v>
      </c>
    </row>
    <row r="1482" spans="1:11">
      <c r="A1482" t="s">
        <v>8418</v>
      </c>
      <c r="B1482" t="s">
        <v>2308</v>
      </c>
      <c r="C1482" t="s">
        <v>6938</v>
      </c>
      <c r="D1482" s="1">
        <v>45293</v>
      </c>
      <c r="E1482" s="1">
        <v>45303</v>
      </c>
      <c r="F1482" s="1">
        <v>45308</v>
      </c>
      <c r="G1482">
        <v>38.39</v>
      </c>
      <c r="H14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82" t="str">
        <f>IFERROR(INDEX(Raw_orders!G:G, MATCH(shipments[[#This Row],[order_id]],Raw_orders!A:A, 0)), "Unknown")</f>
        <v>Nordics</v>
      </c>
      <c r="J1482" t="str">
        <f>PROPER(shipments[[#This Row],[delivery_status]])</f>
        <v>Delivered</v>
      </c>
      <c r="K1482" t="s">
        <v>6922</v>
      </c>
    </row>
    <row r="1483" spans="1:11">
      <c r="A1483" t="s">
        <v>8419</v>
      </c>
      <c r="B1483" t="s">
        <v>2309</v>
      </c>
      <c r="C1483" t="s">
        <v>6921</v>
      </c>
      <c r="D1483" s="1">
        <v>45322</v>
      </c>
      <c r="E1483" s="1">
        <v>45327</v>
      </c>
      <c r="F1483" s="1">
        <v>45339</v>
      </c>
      <c r="G1483">
        <v>30.28</v>
      </c>
      <c r="H14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83" t="str">
        <f>IFERROR(INDEX(Raw_orders!G:G, MATCH(shipments[[#This Row],[order_id]],Raw_orders!A:A, 0)), "Unknown")</f>
        <v>Baltics</v>
      </c>
      <c r="J1483" t="str">
        <f>PROPER(shipments[[#This Row],[delivery_status]])</f>
        <v>Delivered</v>
      </c>
      <c r="K1483" t="s">
        <v>6922</v>
      </c>
    </row>
    <row r="1484" spans="1:11">
      <c r="A1484" t="s">
        <v>8420</v>
      </c>
      <c r="B1484" t="s">
        <v>2310</v>
      </c>
      <c r="C1484" t="s">
        <v>6935</v>
      </c>
      <c r="D1484" s="1">
        <v>45231</v>
      </c>
      <c r="E1484" s="1">
        <v>45234</v>
      </c>
      <c r="F1484" s="1">
        <v>45239</v>
      </c>
      <c r="G1484">
        <v>6.03</v>
      </c>
      <c r="H14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84" t="str">
        <f>IFERROR(INDEX(Raw_orders!G:G, MATCH(shipments[[#This Row],[order_id]],Raw_orders!A:A, 0)), "Unknown")</f>
        <v>Nordics</v>
      </c>
      <c r="J1484" t="str">
        <f>PROPER(shipments[[#This Row],[delivery_status]])</f>
        <v>Delivered</v>
      </c>
      <c r="K1484" t="s">
        <v>6929</v>
      </c>
    </row>
    <row r="1485" spans="1:11">
      <c r="A1485" t="s">
        <v>8421</v>
      </c>
      <c r="B1485" t="s">
        <v>2311</v>
      </c>
      <c r="C1485" t="s">
        <v>6925</v>
      </c>
      <c r="D1485" s="1">
        <v>45241</v>
      </c>
      <c r="E1485" s="1">
        <v>45244</v>
      </c>
      <c r="F1485" s="1">
        <v>45246</v>
      </c>
      <c r="G1485">
        <v>63.09</v>
      </c>
      <c r="H14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85" t="str">
        <f>IFERROR(INDEX(Raw_orders!G:G, MATCH(shipments[[#This Row],[order_id]],Raw_orders!A:A, 0)), "Unknown")</f>
        <v>Baltics</v>
      </c>
      <c r="J1485" t="str">
        <f>PROPER(shipments[[#This Row],[delivery_status]])</f>
        <v>Delivered</v>
      </c>
      <c r="K1485" t="s">
        <v>6922</v>
      </c>
    </row>
    <row r="1486" spans="1:11">
      <c r="A1486" t="s">
        <v>8422</v>
      </c>
      <c r="B1486" t="s">
        <v>2312</v>
      </c>
      <c r="C1486" t="s">
        <v>6931</v>
      </c>
      <c r="D1486" s="1">
        <v>45298</v>
      </c>
      <c r="E1486" s="1">
        <v>45300</v>
      </c>
      <c r="F1486" s="1">
        <v>45300</v>
      </c>
      <c r="G1486">
        <v>9.7200000000000006</v>
      </c>
      <c r="H14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486" t="str">
        <f>IFERROR(INDEX(Raw_orders!G:G, MATCH(shipments[[#This Row],[order_id]],Raw_orders!A:A, 0)), "Unknown")</f>
        <v>Baltics</v>
      </c>
      <c r="J1486" t="str">
        <f>PROPER(shipments[[#This Row],[delivery_status]])</f>
        <v>Delivered</v>
      </c>
      <c r="K1486" t="s">
        <v>6922</v>
      </c>
    </row>
    <row r="1487" spans="1:11">
      <c r="A1487" t="s">
        <v>8423</v>
      </c>
      <c r="B1487" t="s">
        <v>2313</v>
      </c>
      <c r="C1487" t="s">
        <v>6921</v>
      </c>
      <c r="D1487" s="1">
        <v>45424</v>
      </c>
      <c r="E1487" s="1">
        <v>45434</v>
      </c>
      <c r="F1487" s="1">
        <v>45435</v>
      </c>
      <c r="G1487">
        <v>60.79</v>
      </c>
      <c r="H14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87" t="str">
        <f>IFERROR(INDEX(Raw_orders!G:G, MATCH(shipments[[#This Row],[order_id]],Raw_orders!A:A, 0)), "Unknown")</f>
        <v>Nordics</v>
      </c>
      <c r="J1487" t="str">
        <f>PROPER(shipments[[#This Row],[delivery_status]])</f>
        <v>Delivered</v>
      </c>
      <c r="K1487" t="s">
        <v>6922</v>
      </c>
    </row>
    <row r="1488" spans="1:11">
      <c r="A1488" t="s">
        <v>8424</v>
      </c>
      <c r="B1488" t="s">
        <v>2314</v>
      </c>
      <c r="C1488" t="s">
        <v>6921</v>
      </c>
      <c r="D1488" s="1">
        <v>45585</v>
      </c>
      <c r="E1488" s="1">
        <v>45587</v>
      </c>
      <c r="F1488" s="1">
        <v>45588</v>
      </c>
      <c r="G1488">
        <v>30.15</v>
      </c>
      <c r="H14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88" t="str">
        <f>IFERROR(INDEX(Raw_orders!G:G, MATCH(shipments[[#This Row],[order_id]],Raw_orders!A:A, 0)), "Unknown")</f>
        <v>Central Europe</v>
      </c>
      <c r="J1488" t="str">
        <f>PROPER(shipments[[#This Row],[delivery_status]])</f>
        <v>Delivered</v>
      </c>
      <c r="K1488" t="s">
        <v>6926</v>
      </c>
    </row>
    <row r="1489" spans="1:11">
      <c r="A1489" t="s">
        <v>8425</v>
      </c>
      <c r="B1489" t="s">
        <v>2315</v>
      </c>
      <c r="C1489" t="s">
        <v>6938</v>
      </c>
      <c r="D1489" s="1">
        <v>45225</v>
      </c>
      <c r="E1489" s="1">
        <v>45228</v>
      </c>
      <c r="F1489" s="1">
        <v>45228</v>
      </c>
      <c r="G1489">
        <v>34</v>
      </c>
      <c r="H14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489" t="str">
        <f>IFERROR(INDEX(Raw_orders!G:G, MATCH(shipments[[#This Row],[order_id]],Raw_orders!A:A, 0)), "Unknown")</f>
        <v>Baltics</v>
      </c>
      <c r="J1489" t="str">
        <f>PROPER(shipments[[#This Row],[delivery_status]])</f>
        <v>Delivered</v>
      </c>
      <c r="K1489" t="s">
        <v>6929</v>
      </c>
    </row>
    <row r="1490" spans="1:11">
      <c r="A1490" t="s">
        <v>8426</v>
      </c>
      <c r="B1490" t="s">
        <v>2316</v>
      </c>
      <c r="C1490" t="s">
        <v>6956</v>
      </c>
      <c r="D1490" s="1">
        <v>45201</v>
      </c>
      <c r="E1490" s="1">
        <v>45208</v>
      </c>
      <c r="F1490" s="1">
        <v>45211</v>
      </c>
      <c r="G1490">
        <v>7.55</v>
      </c>
      <c r="H14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90" t="str">
        <f>IFERROR(INDEX(Raw_orders!G:G, MATCH(shipments[[#This Row],[order_id]],Raw_orders!A:A, 0)), "Unknown")</f>
        <v>Central Europe</v>
      </c>
      <c r="J1490" t="str">
        <f>PROPER(shipments[[#This Row],[delivery_status]])</f>
        <v>Delivered</v>
      </c>
      <c r="K1490" t="s">
        <v>6922</v>
      </c>
    </row>
    <row r="1491" spans="1:11">
      <c r="A1491" t="s">
        <v>8427</v>
      </c>
      <c r="B1491" t="s">
        <v>2317</v>
      </c>
      <c r="C1491" t="s">
        <v>6935</v>
      </c>
      <c r="D1491" s="1">
        <v>45316</v>
      </c>
      <c r="E1491" s="1">
        <v>45326</v>
      </c>
      <c r="F1491" s="1">
        <v>45332</v>
      </c>
      <c r="G1491">
        <v>32.380000000000003</v>
      </c>
      <c r="H14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91" t="str">
        <f>IFERROR(INDEX(Raw_orders!G:G, MATCH(shipments[[#This Row],[order_id]],Raw_orders!A:A, 0)), "Unknown")</f>
        <v>Central Europe</v>
      </c>
      <c r="J1491" t="str">
        <f>PROPER(shipments[[#This Row],[delivery_status]])</f>
        <v>Delivered</v>
      </c>
      <c r="K1491" t="s">
        <v>6929</v>
      </c>
    </row>
    <row r="1492" spans="1:11">
      <c r="A1492" t="s">
        <v>8428</v>
      </c>
      <c r="B1492" t="s">
        <v>2318</v>
      </c>
      <c r="C1492" t="s">
        <v>6940</v>
      </c>
      <c r="D1492" s="1">
        <v>45230</v>
      </c>
      <c r="E1492" s="1">
        <v>45233</v>
      </c>
      <c r="F1492" s="1">
        <v>45232</v>
      </c>
      <c r="G1492">
        <v>4.6100000000000003</v>
      </c>
      <c r="H14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492" t="str">
        <f>IFERROR(INDEX(Raw_orders!G:G, MATCH(shipments[[#This Row],[order_id]],Raw_orders!A:A, 0)), "Unknown")</f>
        <v>Baltics</v>
      </c>
      <c r="J1492" t="str">
        <f>PROPER(shipments[[#This Row],[delivery_status]])</f>
        <v>Delivered</v>
      </c>
      <c r="K1492" t="s">
        <v>6926</v>
      </c>
    </row>
    <row r="1493" spans="1:11">
      <c r="A1493" t="s">
        <v>8429</v>
      </c>
      <c r="B1493" t="s">
        <v>2319</v>
      </c>
      <c r="C1493" t="s">
        <v>6925</v>
      </c>
      <c r="D1493" s="1">
        <v>45336</v>
      </c>
      <c r="E1493" s="1">
        <v>45339</v>
      </c>
      <c r="F1493" s="1">
        <v>45349</v>
      </c>
      <c r="G1493">
        <v>30.74</v>
      </c>
      <c r="H14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93" t="str">
        <f>IFERROR(INDEX(Raw_orders!G:G, MATCH(shipments[[#This Row],[order_id]],Raw_orders!A:A, 0)), "Unknown")</f>
        <v>Nordics</v>
      </c>
      <c r="J1493" t="str">
        <f>PROPER(shipments[[#This Row],[delivery_status]])</f>
        <v>Delivered</v>
      </c>
      <c r="K1493" t="s">
        <v>6926</v>
      </c>
    </row>
    <row r="1494" spans="1:11">
      <c r="A1494" t="s">
        <v>8430</v>
      </c>
      <c r="B1494" t="s">
        <v>2320</v>
      </c>
      <c r="C1494" t="s">
        <v>6921</v>
      </c>
      <c r="D1494" s="1">
        <v>45291</v>
      </c>
      <c r="E1494" s="1">
        <v>45294</v>
      </c>
      <c r="F1494" s="1">
        <v>45295</v>
      </c>
      <c r="G1494">
        <v>47.84</v>
      </c>
      <c r="H14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94" t="str">
        <f>IFERROR(INDEX(Raw_orders!G:G, MATCH(shipments[[#This Row],[order_id]],Raw_orders!A:A, 0)), "Unknown")</f>
        <v>Baltics</v>
      </c>
      <c r="J1494" t="str">
        <f>PROPER(shipments[[#This Row],[delivery_status]])</f>
        <v>Delivered</v>
      </c>
      <c r="K1494" t="s">
        <v>6922</v>
      </c>
    </row>
    <row r="1495" spans="1:11">
      <c r="A1495" t="s">
        <v>8431</v>
      </c>
      <c r="B1495" t="s">
        <v>2321</v>
      </c>
      <c r="C1495" t="s">
        <v>6925</v>
      </c>
      <c r="D1495" s="1">
        <v>45524</v>
      </c>
      <c r="E1495" s="1">
        <v>45529</v>
      </c>
      <c r="F1495" s="1"/>
      <c r="G1495">
        <v>23</v>
      </c>
      <c r="H14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495" t="str">
        <f>IFERROR(INDEX(Raw_orders!G:G, MATCH(shipments[[#This Row],[order_id]],Raw_orders!A:A, 0)), "Unknown")</f>
        <v>Nordics</v>
      </c>
      <c r="J1495" t="str">
        <f>PROPER(shipments[[#This Row],[delivery_status]])</f>
        <v>Cancelled</v>
      </c>
      <c r="K1495" t="s">
        <v>6963</v>
      </c>
    </row>
    <row r="1496" spans="1:11">
      <c r="A1496" t="s">
        <v>8432</v>
      </c>
      <c r="B1496" t="s">
        <v>2322</v>
      </c>
      <c r="C1496" t="s">
        <v>6925</v>
      </c>
      <c r="D1496" s="1">
        <v>45384</v>
      </c>
      <c r="E1496" s="1">
        <v>45387</v>
      </c>
      <c r="F1496" s="1">
        <v>45387</v>
      </c>
      <c r="G1496">
        <v>12.82</v>
      </c>
      <c r="H14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496" t="str">
        <f>IFERROR(INDEX(Raw_orders!G:G, MATCH(shipments[[#This Row],[order_id]],Raw_orders!A:A, 0)), "Unknown")</f>
        <v>Baltics</v>
      </c>
      <c r="J1496" t="str">
        <f>PROPER(shipments[[#This Row],[delivery_status]])</f>
        <v>Delivered</v>
      </c>
      <c r="K1496" t="s">
        <v>6929</v>
      </c>
    </row>
    <row r="1497" spans="1:11">
      <c r="A1497" t="s">
        <v>8433</v>
      </c>
      <c r="B1497" t="s">
        <v>2323</v>
      </c>
      <c r="C1497" t="s">
        <v>6935</v>
      </c>
      <c r="D1497" s="1">
        <v>45551</v>
      </c>
      <c r="E1497" s="1">
        <v>45553</v>
      </c>
      <c r="F1497" s="1">
        <v>45552</v>
      </c>
      <c r="G1497">
        <v>25.69</v>
      </c>
      <c r="H14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497" t="str">
        <f>IFERROR(INDEX(Raw_orders!G:G, MATCH(shipments[[#This Row],[order_id]],Raw_orders!A:A, 0)), "Unknown")</f>
        <v>Nordics</v>
      </c>
      <c r="J1497" t="str">
        <f>PROPER(shipments[[#This Row],[delivery_status]])</f>
        <v>Delivered</v>
      </c>
      <c r="K1497" t="s">
        <v>6926</v>
      </c>
    </row>
    <row r="1498" spans="1:11">
      <c r="A1498" t="s">
        <v>8434</v>
      </c>
      <c r="B1498" t="s">
        <v>2324</v>
      </c>
      <c r="C1498" t="s">
        <v>6938</v>
      </c>
      <c r="D1498" s="1">
        <v>45562</v>
      </c>
      <c r="E1498" s="1">
        <v>45567</v>
      </c>
      <c r="F1498" s="1">
        <v>45575</v>
      </c>
      <c r="G1498">
        <v>50.74</v>
      </c>
      <c r="H14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98" t="str">
        <f>IFERROR(INDEX(Raw_orders!G:G, MATCH(shipments[[#This Row],[order_id]],Raw_orders!A:A, 0)), "Unknown")</f>
        <v>Baltics</v>
      </c>
      <c r="J1498" t="str">
        <f>PROPER(shipments[[#This Row],[delivery_status]])</f>
        <v>Delivered</v>
      </c>
      <c r="K1498" t="s">
        <v>6922</v>
      </c>
    </row>
    <row r="1499" spans="1:11">
      <c r="A1499" t="s">
        <v>8435</v>
      </c>
      <c r="B1499" t="s">
        <v>2325</v>
      </c>
      <c r="C1499" t="s">
        <v>6925</v>
      </c>
      <c r="D1499" s="1">
        <v>45351</v>
      </c>
      <c r="E1499" s="1">
        <v>45358</v>
      </c>
      <c r="F1499" s="1">
        <v>45359</v>
      </c>
      <c r="G1499">
        <v>49.18</v>
      </c>
      <c r="H14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499" t="str">
        <f>IFERROR(INDEX(Raw_orders!G:G, MATCH(shipments[[#This Row],[order_id]],Raw_orders!A:A, 0)), "Unknown")</f>
        <v>Central Europe</v>
      </c>
      <c r="J1499" t="str">
        <f>PROPER(shipments[[#This Row],[delivery_status]])</f>
        <v>Delivered</v>
      </c>
      <c r="K1499" t="s">
        <v>6922</v>
      </c>
    </row>
    <row r="1500" spans="1:11">
      <c r="A1500" t="s">
        <v>8436</v>
      </c>
      <c r="B1500" t="s">
        <v>2326</v>
      </c>
      <c r="C1500" t="s">
        <v>6949</v>
      </c>
      <c r="D1500" s="1">
        <v>45280</v>
      </c>
      <c r="E1500" s="1">
        <v>45285</v>
      </c>
      <c r="F1500" s="1">
        <v>45291</v>
      </c>
      <c r="G1500">
        <v>32.99</v>
      </c>
      <c r="H15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00" t="str">
        <f>IFERROR(INDEX(Raw_orders!G:G, MATCH(shipments[[#This Row],[order_id]],Raw_orders!A:A, 0)), "Unknown")</f>
        <v>Nordics</v>
      </c>
      <c r="J1500" t="str">
        <f>PROPER(shipments[[#This Row],[delivery_status]])</f>
        <v>Delivered</v>
      </c>
      <c r="K1500" t="s">
        <v>6926</v>
      </c>
    </row>
    <row r="1501" spans="1:11">
      <c r="A1501" t="s">
        <v>8437</v>
      </c>
      <c r="B1501" t="s">
        <v>2327</v>
      </c>
      <c r="C1501" t="s">
        <v>6931</v>
      </c>
      <c r="D1501" s="1">
        <v>44981</v>
      </c>
      <c r="E1501" s="1">
        <v>44988</v>
      </c>
      <c r="F1501" s="1">
        <v>44987</v>
      </c>
      <c r="G1501">
        <v>25.2</v>
      </c>
      <c r="H15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501" t="str">
        <f>IFERROR(INDEX(Raw_orders!G:G, MATCH(shipments[[#This Row],[order_id]],Raw_orders!A:A, 0)), "Unknown")</f>
        <v>Nordics</v>
      </c>
      <c r="J1501" t="str">
        <f>PROPER(shipments[[#This Row],[delivery_status]])</f>
        <v>Delivered</v>
      </c>
      <c r="K1501" t="s">
        <v>6926</v>
      </c>
    </row>
    <row r="1502" spans="1:11">
      <c r="A1502" t="s">
        <v>8438</v>
      </c>
      <c r="B1502" t="s">
        <v>2328</v>
      </c>
      <c r="C1502" t="s">
        <v>6931</v>
      </c>
      <c r="D1502" s="1">
        <v>44996</v>
      </c>
      <c r="E1502" s="1">
        <v>44998</v>
      </c>
      <c r="F1502" s="1">
        <v>44998</v>
      </c>
      <c r="G1502">
        <v>47.83</v>
      </c>
      <c r="H15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502" t="str">
        <f>IFERROR(INDEX(Raw_orders!G:G, MATCH(shipments[[#This Row],[order_id]],Raw_orders!A:A, 0)), "Unknown")</f>
        <v>Central Europe</v>
      </c>
      <c r="J1502" t="str">
        <f>PROPER(shipments[[#This Row],[delivery_status]])</f>
        <v>Delivered</v>
      </c>
      <c r="K1502" t="s">
        <v>6922</v>
      </c>
    </row>
    <row r="1503" spans="1:11">
      <c r="A1503" t="s">
        <v>8439</v>
      </c>
      <c r="B1503" t="s">
        <v>2328</v>
      </c>
      <c r="C1503" t="s">
        <v>6938</v>
      </c>
      <c r="D1503" s="1">
        <v>44993</v>
      </c>
      <c r="E1503" s="1">
        <v>44996</v>
      </c>
      <c r="F1503" s="1">
        <v>44997</v>
      </c>
      <c r="G1503">
        <v>29</v>
      </c>
      <c r="H15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03" t="str">
        <f>IFERROR(INDEX(Raw_orders!G:G, MATCH(shipments[[#This Row],[order_id]],Raw_orders!A:A, 0)), "Unknown")</f>
        <v>Central Europe</v>
      </c>
      <c r="J1503" t="str">
        <f>PROPER(shipments[[#This Row],[delivery_status]])</f>
        <v>Delivered</v>
      </c>
      <c r="K1503" t="s">
        <v>6926</v>
      </c>
    </row>
    <row r="1504" spans="1:11">
      <c r="A1504" t="s">
        <v>8440</v>
      </c>
      <c r="B1504" t="s">
        <v>2329</v>
      </c>
      <c r="C1504" t="s">
        <v>6928</v>
      </c>
      <c r="D1504" s="1">
        <v>45247</v>
      </c>
      <c r="E1504" s="1">
        <v>45250</v>
      </c>
      <c r="F1504" s="1">
        <v>45250</v>
      </c>
      <c r="G1504">
        <v>56.86</v>
      </c>
      <c r="H15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504" t="str">
        <f>IFERROR(INDEX(Raw_orders!G:G, MATCH(shipments[[#This Row],[order_id]],Raw_orders!A:A, 0)), "Unknown")</f>
        <v>Nordics</v>
      </c>
      <c r="J1504" t="str">
        <f>PROPER(shipments[[#This Row],[delivery_status]])</f>
        <v>Delivered</v>
      </c>
      <c r="K1504" t="s">
        <v>6926</v>
      </c>
    </row>
    <row r="1505" spans="1:11">
      <c r="A1505" t="s">
        <v>8441</v>
      </c>
      <c r="B1505" t="s">
        <v>2330</v>
      </c>
      <c r="C1505" t="s">
        <v>6931</v>
      </c>
      <c r="D1505" s="1">
        <v>45135</v>
      </c>
      <c r="E1505" s="1">
        <v>45142</v>
      </c>
      <c r="F1505" s="1">
        <v>45143</v>
      </c>
      <c r="G1505">
        <v>36.18</v>
      </c>
      <c r="H15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05" t="str">
        <f>IFERROR(INDEX(Raw_orders!G:G, MATCH(shipments[[#This Row],[order_id]],Raw_orders!A:A, 0)), "Unknown")</f>
        <v>Nordics</v>
      </c>
      <c r="J1505" t="str">
        <f>PROPER(shipments[[#This Row],[delivery_status]])</f>
        <v>Delivered</v>
      </c>
      <c r="K1505" t="s">
        <v>6922</v>
      </c>
    </row>
    <row r="1506" spans="1:11">
      <c r="A1506" t="s">
        <v>8442</v>
      </c>
      <c r="B1506" t="s">
        <v>2331</v>
      </c>
      <c r="C1506" t="s">
        <v>6921</v>
      </c>
      <c r="D1506" s="1">
        <v>45512</v>
      </c>
      <c r="E1506" s="1">
        <v>45514</v>
      </c>
      <c r="F1506" s="1">
        <v>45522</v>
      </c>
      <c r="H15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06" t="str">
        <f>IFERROR(INDEX(Raw_orders!G:G, MATCH(shipments[[#This Row],[order_id]],Raw_orders!A:A, 0)), "Unknown")</f>
        <v>Nordics</v>
      </c>
      <c r="J1506" t="str">
        <f>PROPER(shipments[[#This Row],[delivery_status]])</f>
        <v>Delivered</v>
      </c>
      <c r="K1506" t="s">
        <v>6926</v>
      </c>
    </row>
    <row r="1507" spans="1:11">
      <c r="A1507" t="s">
        <v>8443</v>
      </c>
      <c r="B1507" t="s">
        <v>2332</v>
      </c>
      <c r="C1507" t="s">
        <v>6935</v>
      </c>
      <c r="D1507" s="1">
        <v>45189</v>
      </c>
      <c r="E1507" s="1">
        <v>45199</v>
      </c>
      <c r="F1507" s="1">
        <v>45207</v>
      </c>
      <c r="G1507">
        <v>58.81</v>
      </c>
      <c r="H15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07" t="str">
        <f>IFERROR(INDEX(Raw_orders!G:G, MATCH(shipments[[#This Row],[order_id]],Raw_orders!A:A, 0)), "Unknown")</f>
        <v>Central Europe</v>
      </c>
      <c r="J1507" t="str">
        <f>PROPER(shipments[[#This Row],[delivery_status]])</f>
        <v>Delivered</v>
      </c>
      <c r="K1507" t="s">
        <v>6929</v>
      </c>
    </row>
    <row r="1508" spans="1:11">
      <c r="A1508" t="s">
        <v>8444</v>
      </c>
      <c r="B1508" t="s">
        <v>2333</v>
      </c>
      <c r="C1508" t="s">
        <v>6925</v>
      </c>
      <c r="D1508" s="1">
        <v>45191</v>
      </c>
      <c r="E1508" s="1">
        <v>45201</v>
      </c>
      <c r="F1508" s="1">
        <v>45204</v>
      </c>
      <c r="G1508">
        <v>24.04</v>
      </c>
      <c r="H15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08" t="str">
        <f>IFERROR(INDEX(Raw_orders!G:G, MATCH(shipments[[#This Row],[order_id]],Raw_orders!A:A, 0)), "Unknown")</f>
        <v>Central Europe</v>
      </c>
      <c r="J1508" t="str">
        <f>PROPER(shipments[[#This Row],[delivery_status]])</f>
        <v>Delivered</v>
      </c>
      <c r="K1508" t="s">
        <v>6929</v>
      </c>
    </row>
    <row r="1509" spans="1:11">
      <c r="A1509" t="s">
        <v>8445</v>
      </c>
      <c r="B1509" t="s">
        <v>2334</v>
      </c>
      <c r="C1509" t="s">
        <v>6921</v>
      </c>
      <c r="D1509" s="1">
        <v>44993</v>
      </c>
      <c r="E1509" s="1">
        <v>44995</v>
      </c>
      <c r="F1509" s="1">
        <v>44999</v>
      </c>
      <c r="G1509">
        <v>58.26</v>
      </c>
      <c r="H15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09" t="str">
        <f>IFERROR(INDEX(Raw_orders!G:G, MATCH(shipments[[#This Row],[order_id]],Raw_orders!A:A, 0)), "Unknown")</f>
        <v>Baltics</v>
      </c>
      <c r="J1509" t="str">
        <f>PROPER(shipments[[#This Row],[delivery_status]])</f>
        <v>Delivered</v>
      </c>
      <c r="K1509" t="s">
        <v>6926</v>
      </c>
    </row>
    <row r="1510" spans="1:11">
      <c r="A1510" t="s">
        <v>8446</v>
      </c>
      <c r="B1510" t="s">
        <v>2335</v>
      </c>
      <c r="C1510" t="s">
        <v>6956</v>
      </c>
      <c r="D1510" s="1">
        <v>44994</v>
      </c>
      <c r="E1510" s="1">
        <v>44999</v>
      </c>
      <c r="F1510" s="1">
        <v>45004</v>
      </c>
      <c r="G1510">
        <v>18.23</v>
      </c>
      <c r="H15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10" t="str">
        <f>IFERROR(INDEX(Raw_orders!G:G, MATCH(shipments[[#This Row],[order_id]],Raw_orders!A:A, 0)), "Unknown")</f>
        <v>Baltics</v>
      </c>
      <c r="J1510" t="str">
        <f>PROPER(shipments[[#This Row],[delivery_status]])</f>
        <v>Delivered</v>
      </c>
      <c r="K1510" t="s">
        <v>6929</v>
      </c>
    </row>
    <row r="1511" spans="1:11">
      <c r="A1511" t="s">
        <v>8447</v>
      </c>
      <c r="B1511" t="s">
        <v>2336</v>
      </c>
      <c r="C1511" t="s">
        <v>6925</v>
      </c>
      <c r="D1511" s="1">
        <v>45312</v>
      </c>
      <c r="E1511" s="1">
        <v>45315</v>
      </c>
      <c r="F1511" s="1">
        <v>45326</v>
      </c>
      <c r="G1511">
        <v>64.94</v>
      </c>
      <c r="H15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11" t="str">
        <f>IFERROR(INDEX(Raw_orders!G:G, MATCH(shipments[[#This Row],[order_id]],Raw_orders!A:A, 0)), "Unknown")</f>
        <v>Central Europe</v>
      </c>
      <c r="J1511" t="str">
        <f>PROPER(shipments[[#This Row],[delivery_status]])</f>
        <v>Delivered</v>
      </c>
      <c r="K1511" t="s">
        <v>6926</v>
      </c>
    </row>
    <row r="1512" spans="1:11">
      <c r="A1512" t="s">
        <v>8448</v>
      </c>
      <c r="B1512" t="s">
        <v>2337</v>
      </c>
      <c r="C1512" t="s">
        <v>6940</v>
      </c>
      <c r="D1512" s="1">
        <v>45164</v>
      </c>
      <c r="E1512" s="1">
        <v>45174</v>
      </c>
      <c r="F1512" s="1">
        <v>45187</v>
      </c>
      <c r="G1512">
        <v>25.36</v>
      </c>
      <c r="H15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12" t="str">
        <f>IFERROR(INDEX(Raw_orders!G:G, MATCH(shipments[[#This Row],[order_id]],Raw_orders!A:A, 0)), "Unknown")</f>
        <v>Central Europe</v>
      </c>
      <c r="J1512" t="str">
        <f>PROPER(shipments[[#This Row],[delivery_status]])</f>
        <v>Delivered</v>
      </c>
      <c r="K1512" t="s">
        <v>6926</v>
      </c>
    </row>
    <row r="1513" spans="1:11">
      <c r="A1513" t="s">
        <v>8449</v>
      </c>
      <c r="B1513" t="s">
        <v>2338</v>
      </c>
      <c r="C1513" t="s">
        <v>6931</v>
      </c>
      <c r="D1513" s="1">
        <v>45397</v>
      </c>
      <c r="E1513" s="1">
        <v>45404</v>
      </c>
      <c r="F1513" s="1">
        <v>45404</v>
      </c>
      <c r="G1513">
        <v>7.84</v>
      </c>
      <c r="H15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513" t="str">
        <f>IFERROR(INDEX(Raw_orders!G:G, MATCH(shipments[[#This Row],[order_id]],Raw_orders!A:A, 0)), "Unknown")</f>
        <v>Nordics</v>
      </c>
      <c r="J1513" t="str">
        <f>PROPER(shipments[[#This Row],[delivery_status]])</f>
        <v>Delivered</v>
      </c>
      <c r="K1513" t="s">
        <v>6922</v>
      </c>
    </row>
    <row r="1514" spans="1:11">
      <c r="A1514" t="s">
        <v>8450</v>
      </c>
      <c r="B1514" t="s">
        <v>2339</v>
      </c>
      <c r="C1514" t="s">
        <v>6935</v>
      </c>
      <c r="D1514" s="1">
        <v>45538</v>
      </c>
      <c r="E1514" s="1">
        <v>45545</v>
      </c>
      <c r="F1514" s="1">
        <v>45545</v>
      </c>
      <c r="G1514">
        <v>64.599999999999994</v>
      </c>
      <c r="H15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514" t="str">
        <f>IFERROR(INDEX(Raw_orders!G:G, MATCH(shipments[[#This Row],[order_id]],Raw_orders!A:A, 0)), "Unknown")</f>
        <v>Baltics</v>
      </c>
      <c r="J1514" t="str">
        <f>PROPER(shipments[[#This Row],[delivery_status]])</f>
        <v>Delivered</v>
      </c>
      <c r="K1514" t="s">
        <v>6922</v>
      </c>
    </row>
    <row r="1515" spans="1:11">
      <c r="A1515" t="s">
        <v>8451</v>
      </c>
      <c r="B1515" t="s">
        <v>2339</v>
      </c>
      <c r="C1515" t="s">
        <v>6938</v>
      </c>
      <c r="D1515" s="1">
        <v>45538</v>
      </c>
      <c r="E1515" s="1">
        <v>45541</v>
      </c>
      <c r="F1515" s="1">
        <v>45543</v>
      </c>
      <c r="G1515">
        <v>5.58</v>
      </c>
      <c r="H15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15" t="str">
        <f>IFERROR(INDEX(Raw_orders!G:G, MATCH(shipments[[#This Row],[order_id]],Raw_orders!A:A, 0)), "Unknown")</f>
        <v>Baltics</v>
      </c>
      <c r="J1515" t="str">
        <f>PROPER(shipments[[#This Row],[delivery_status]])</f>
        <v>Delivered</v>
      </c>
      <c r="K1515" t="s">
        <v>6922</v>
      </c>
    </row>
    <row r="1516" spans="1:11">
      <c r="A1516" t="s">
        <v>8452</v>
      </c>
      <c r="B1516" t="s">
        <v>2340</v>
      </c>
      <c r="C1516" t="s">
        <v>6931</v>
      </c>
      <c r="D1516" s="1">
        <v>45211</v>
      </c>
      <c r="E1516" s="1">
        <v>45221</v>
      </c>
      <c r="F1516" s="1">
        <v>45231</v>
      </c>
      <c r="G1516">
        <v>9.56</v>
      </c>
      <c r="H15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16" t="str">
        <f>IFERROR(INDEX(Raw_orders!G:G, MATCH(shipments[[#This Row],[order_id]],Raw_orders!A:A, 0)), "Unknown")</f>
        <v>Nordics</v>
      </c>
      <c r="J1516" t="str">
        <f>PROPER(shipments[[#This Row],[delivery_status]])</f>
        <v>Delivered</v>
      </c>
      <c r="K1516" t="s">
        <v>6922</v>
      </c>
    </row>
    <row r="1517" spans="1:11">
      <c r="A1517" t="s">
        <v>8453</v>
      </c>
      <c r="B1517" t="s">
        <v>2341</v>
      </c>
      <c r="C1517" t="s">
        <v>6928</v>
      </c>
      <c r="D1517" s="1">
        <v>45435</v>
      </c>
      <c r="E1517" s="1">
        <v>45442</v>
      </c>
      <c r="F1517" s="1">
        <v>45442</v>
      </c>
      <c r="G1517">
        <v>14.3</v>
      </c>
      <c r="H15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517" t="str">
        <f>IFERROR(INDEX(Raw_orders!G:G, MATCH(shipments[[#This Row],[order_id]],Raw_orders!A:A, 0)), "Unknown")</f>
        <v>Baltics</v>
      </c>
      <c r="J1517" t="str">
        <f>PROPER(shipments[[#This Row],[delivery_status]])</f>
        <v>Delivered</v>
      </c>
      <c r="K1517" t="s">
        <v>6929</v>
      </c>
    </row>
    <row r="1518" spans="1:11">
      <c r="A1518" t="s">
        <v>8454</v>
      </c>
      <c r="B1518" t="s">
        <v>2341</v>
      </c>
      <c r="C1518" t="s">
        <v>6928</v>
      </c>
      <c r="D1518" s="1">
        <v>45436</v>
      </c>
      <c r="E1518" s="1">
        <v>45438</v>
      </c>
      <c r="F1518" s="1">
        <v>45445</v>
      </c>
      <c r="G1518">
        <v>18</v>
      </c>
      <c r="H15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18" t="str">
        <f>IFERROR(INDEX(Raw_orders!G:G, MATCH(shipments[[#This Row],[order_id]],Raw_orders!A:A, 0)), "Unknown")</f>
        <v>Baltics</v>
      </c>
      <c r="J1518" t="str">
        <f>PROPER(shipments[[#This Row],[delivery_status]])</f>
        <v>Delivered</v>
      </c>
      <c r="K1518" t="s">
        <v>6926</v>
      </c>
    </row>
    <row r="1519" spans="1:11">
      <c r="A1519" t="s">
        <v>8455</v>
      </c>
      <c r="B1519" t="s">
        <v>2342</v>
      </c>
      <c r="C1519" t="s">
        <v>6928</v>
      </c>
      <c r="D1519" s="1">
        <v>45398</v>
      </c>
      <c r="E1519" s="1">
        <v>45408</v>
      </c>
      <c r="F1519" s="1">
        <v>45413</v>
      </c>
      <c r="G1519">
        <v>14.94</v>
      </c>
      <c r="H15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19" t="str">
        <f>IFERROR(INDEX(Raw_orders!G:G, MATCH(shipments[[#This Row],[order_id]],Raw_orders!A:A, 0)), "Unknown")</f>
        <v>Central Europe</v>
      </c>
      <c r="J1519" t="str">
        <f>PROPER(shipments[[#This Row],[delivery_status]])</f>
        <v>Delivered</v>
      </c>
      <c r="K1519" t="s">
        <v>6922</v>
      </c>
    </row>
    <row r="1520" spans="1:11">
      <c r="A1520" t="s">
        <v>8456</v>
      </c>
      <c r="B1520" t="s">
        <v>2343</v>
      </c>
      <c r="C1520" t="s">
        <v>6928</v>
      </c>
      <c r="D1520" s="1">
        <v>45119</v>
      </c>
      <c r="E1520" s="1">
        <v>45129</v>
      </c>
      <c r="F1520" s="1">
        <v>45129</v>
      </c>
      <c r="G1520">
        <v>44.87</v>
      </c>
      <c r="H15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520" t="str">
        <f>IFERROR(INDEX(Raw_orders!G:G, MATCH(shipments[[#This Row],[order_id]],Raw_orders!A:A, 0)), "Unknown")</f>
        <v>Central Europe</v>
      </c>
      <c r="J1520" t="str">
        <f>PROPER(shipments[[#This Row],[delivery_status]])</f>
        <v>Delivered</v>
      </c>
      <c r="K1520" t="s">
        <v>6926</v>
      </c>
    </row>
    <row r="1521" spans="1:11">
      <c r="A1521" t="s">
        <v>8457</v>
      </c>
      <c r="B1521" t="s">
        <v>2344</v>
      </c>
      <c r="C1521" t="s">
        <v>6928</v>
      </c>
      <c r="D1521" s="1">
        <v>44982</v>
      </c>
      <c r="E1521" s="1">
        <v>44984</v>
      </c>
      <c r="F1521" s="1">
        <v>44990</v>
      </c>
      <c r="G1521">
        <v>43.37</v>
      </c>
      <c r="H15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21" t="str">
        <f>IFERROR(INDEX(Raw_orders!G:G, MATCH(shipments[[#This Row],[order_id]],Raw_orders!A:A, 0)), "Unknown")</f>
        <v>Nordics</v>
      </c>
      <c r="J1521" t="str">
        <f>PROPER(shipments[[#This Row],[delivery_status]])</f>
        <v>Delivered</v>
      </c>
      <c r="K1521" t="s">
        <v>6929</v>
      </c>
    </row>
    <row r="1522" spans="1:11">
      <c r="A1522" t="s">
        <v>8458</v>
      </c>
      <c r="B1522" t="s">
        <v>2345</v>
      </c>
      <c r="C1522" t="s">
        <v>6925</v>
      </c>
      <c r="D1522" s="1">
        <v>45395</v>
      </c>
      <c r="E1522" s="1">
        <v>45397</v>
      </c>
      <c r="F1522" s="1">
        <v>45400</v>
      </c>
      <c r="G1522">
        <v>14.39</v>
      </c>
      <c r="H15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22" t="str">
        <f>IFERROR(INDEX(Raw_orders!G:G, MATCH(shipments[[#This Row],[order_id]],Raw_orders!A:A, 0)), "Unknown")</f>
        <v>Nordics</v>
      </c>
      <c r="J1522" t="str">
        <f>PROPER(shipments[[#This Row],[delivery_status]])</f>
        <v>Delivered</v>
      </c>
      <c r="K1522" t="s">
        <v>6926</v>
      </c>
    </row>
    <row r="1523" spans="1:11">
      <c r="A1523" t="s">
        <v>8459</v>
      </c>
      <c r="B1523" t="s">
        <v>2346</v>
      </c>
      <c r="C1523" t="s">
        <v>6938</v>
      </c>
      <c r="D1523" s="1">
        <v>45091</v>
      </c>
      <c r="E1523" s="1">
        <v>45093</v>
      </c>
      <c r="F1523" s="1">
        <v>45101</v>
      </c>
      <c r="G1523">
        <v>28.98</v>
      </c>
      <c r="H15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23" t="str">
        <f>IFERROR(INDEX(Raw_orders!G:G, MATCH(shipments[[#This Row],[order_id]],Raw_orders!A:A, 0)), "Unknown")</f>
        <v>Baltics</v>
      </c>
      <c r="J1523" t="str">
        <f>PROPER(shipments[[#This Row],[delivery_status]])</f>
        <v>Delivered</v>
      </c>
      <c r="K1523" t="s">
        <v>6926</v>
      </c>
    </row>
    <row r="1524" spans="1:11">
      <c r="A1524" t="s">
        <v>8460</v>
      </c>
      <c r="B1524" t="s">
        <v>2347</v>
      </c>
      <c r="C1524" t="s">
        <v>6928</v>
      </c>
      <c r="D1524" s="1">
        <v>45330</v>
      </c>
      <c r="E1524" s="1">
        <v>45333</v>
      </c>
      <c r="F1524" s="1">
        <v>45332</v>
      </c>
      <c r="H15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524" t="str">
        <f>IFERROR(INDEX(Raw_orders!G:G, MATCH(shipments[[#This Row],[order_id]],Raw_orders!A:A, 0)), "Unknown")</f>
        <v>Nordics</v>
      </c>
      <c r="J1524" t="str">
        <f>PROPER(shipments[[#This Row],[delivery_status]])</f>
        <v>Delivered</v>
      </c>
      <c r="K1524" t="s">
        <v>6929</v>
      </c>
    </row>
    <row r="1525" spans="1:11">
      <c r="A1525" t="s">
        <v>8461</v>
      </c>
      <c r="B1525" t="s">
        <v>2348</v>
      </c>
      <c r="C1525" t="s">
        <v>6938</v>
      </c>
      <c r="D1525" s="1">
        <v>45376</v>
      </c>
      <c r="E1525" s="1">
        <v>45383</v>
      </c>
      <c r="F1525" s="1">
        <v>45383</v>
      </c>
      <c r="H15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525" t="str">
        <f>IFERROR(INDEX(Raw_orders!G:G, MATCH(shipments[[#This Row],[order_id]],Raw_orders!A:A, 0)), "Unknown")</f>
        <v>Baltics</v>
      </c>
      <c r="J1525" t="str">
        <f>PROPER(shipments[[#This Row],[delivery_status]])</f>
        <v>Delivered</v>
      </c>
      <c r="K1525" t="s">
        <v>6926</v>
      </c>
    </row>
    <row r="1526" spans="1:11">
      <c r="A1526" t="s">
        <v>8462</v>
      </c>
      <c r="B1526" t="s">
        <v>2349</v>
      </c>
      <c r="C1526" t="s">
        <v>6956</v>
      </c>
      <c r="D1526" s="1">
        <v>45149</v>
      </c>
      <c r="E1526" s="1">
        <v>45151</v>
      </c>
      <c r="F1526" s="1">
        <v>45150</v>
      </c>
      <c r="G1526">
        <v>51.17</v>
      </c>
      <c r="H15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526" t="str">
        <f>IFERROR(INDEX(Raw_orders!G:G, MATCH(shipments[[#This Row],[order_id]],Raw_orders!A:A, 0)), "Unknown")</f>
        <v>Central Europe</v>
      </c>
      <c r="J1526" t="str">
        <f>PROPER(shipments[[#This Row],[delivery_status]])</f>
        <v>Delivered</v>
      </c>
      <c r="K1526" t="s">
        <v>6922</v>
      </c>
    </row>
    <row r="1527" spans="1:11">
      <c r="A1527" t="s">
        <v>8463</v>
      </c>
      <c r="B1527" t="s">
        <v>2350</v>
      </c>
      <c r="C1527" t="s">
        <v>6928</v>
      </c>
      <c r="D1527" s="1">
        <v>45075</v>
      </c>
      <c r="E1527" s="1">
        <v>45082</v>
      </c>
      <c r="F1527" s="1">
        <v>45090</v>
      </c>
      <c r="G1527">
        <v>35.68</v>
      </c>
      <c r="H15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27" t="str">
        <f>IFERROR(INDEX(Raw_orders!G:G, MATCH(shipments[[#This Row],[order_id]],Raw_orders!A:A, 0)), "Unknown")</f>
        <v>Nordics</v>
      </c>
      <c r="J1527" t="str">
        <f>PROPER(shipments[[#This Row],[delivery_status]])</f>
        <v>Delivered</v>
      </c>
      <c r="K1527" t="s">
        <v>6926</v>
      </c>
    </row>
    <row r="1528" spans="1:11">
      <c r="A1528" t="s">
        <v>8464</v>
      </c>
      <c r="B1528" t="s">
        <v>2351</v>
      </c>
      <c r="C1528" t="s">
        <v>6935</v>
      </c>
      <c r="D1528" s="1">
        <v>45144</v>
      </c>
      <c r="E1528" s="1">
        <v>45147</v>
      </c>
      <c r="F1528" s="1">
        <v>45158</v>
      </c>
      <c r="G1528">
        <v>48.8</v>
      </c>
      <c r="H15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28" t="str">
        <f>IFERROR(INDEX(Raw_orders!G:G, MATCH(shipments[[#This Row],[order_id]],Raw_orders!A:A, 0)), "Unknown")</f>
        <v>Nordics</v>
      </c>
      <c r="J1528" t="str">
        <f>PROPER(shipments[[#This Row],[delivery_status]])</f>
        <v>Delivered</v>
      </c>
      <c r="K1528" t="s">
        <v>6929</v>
      </c>
    </row>
    <row r="1529" spans="1:11">
      <c r="A1529" t="s">
        <v>8465</v>
      </c>
      <c r="B1529" t="s">
        <v>2352</v>
      </c>
      <c r="C1529" t="s">
        <v>6928</v>
      </c>
      <c r="D1529" s="1">
        <v>45150</v>
      </c>
      <c r="E1529" s="1">
        <v>45152</v>
      </c>
      <c r="F1529" s="1">
        <v>45151</v>
      </c>
      <c r="G1529">
        <v>22.98</v>
      </c>
      <c r="H15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529" t="str">
        <f>IFERROR(INDEX(Raw_orders!G:G, MATCH(shipments[[#This Row],[order_id]],Raw_orders!A:A, 0)), "Unknown")</f>
        <v>Baltics</v>
      </c>
      <c r="J1529" t="str">
        <f>PROPER(shipments[[#This Row],[delivery_status]])</f>
        <v>Delivered</v>
      </c>
      <c r="K1529" t="s">
        <v>6929</v>
      </c>
    </row>
    <row r="1530" spans="1:11">
      <c r="A1530" t="s">
        <v>8466</v>
      </c>
      <c r="B1530" t="s">
        <v>2353</v>
      </c>
      <c r="C1530" t="s">
        <v>6956</v>
      </c>
      <c r="D1530" s="1">
        <v>45198</v>
      </c>
      <c r="E1530" s="1">
        <v>45205</v>
      </c>
      <c r="F1530" s="1">
        <v>45210</v>
      </c>
      <c r="G1530">
        <v>54.73</v>
      </c>
      <c r="H15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30" t="str">
        <f>IFERROR(INDEX(Raw_orders!G:G, MATCH(shipments[[#This Row],[order_id]],Raw_orders!A:A, 0)), "Unknown")</f>
        <v>Central Europe</v>
      </c>
      <c r="J1530" t="str">
        <f>PROPER(shipments[[#This Row],[delivery_status]])</f>
        <v>Delivered</v>
      </c>
      <c r="K1530" t="s">
        <v>6926</v>
      </c>
    </row>
    <row r="1531" spans="1:11">
      <c r="A1531" t="s">
        <v>8467</v>
      </c>
      <c r="B1531" t="s">
        <v>2354</v>
      </c>
      <c r="C1531" t="s">
        <v>6931</v>
      </c>
      <c r="D1531" s="1">
        <v>45351</v>
      </c>
      <c r="E1531" s="1">
        <v>45358</v>
      </c>
      <c r="F1531" s="1">
        <v>45357</v>
      </c>
      <c r="G1531">
        <v>51.04</v>
      </c>
      <c r="H15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531" t="str">
        <f>IFERROR(INDEX(Raw_orders!G:G, MATCH(shipments[[#This Row],[order_id]],Raw_orders!A:A, 0)), "Unknown")</f>
        <v>Baltics</v>
      </c>
      <c r="J1531" t="str">
        <f>PROPER(shipments[[#This Row],[delivery_status]])</f>
        <v>Delivered</v>
      </c>
      <c r="K1531" t="s">
        <v>6926</v>
      </c>
    </row>
    <row r="1532" spans="1:11">
      <c r="A1532" t="s">
        <v>8468</v>
      </c>
      <c r="B1532" t="s">
        <v>2355</v>
      </c>
      <c r="C1532" t="s">
        <v>6938</v>
      </c>
      <c r="D1532" s="1">
        <v>45096</v>
      </c>
      <c r="E1532" s="1">
        <v>45098</v>
      </c>
      <c r="F1532" s="1"/>
      <c r="G1532">
        <v>50.62</v>
      </c>
      <c r="H15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532" t="str">
        <f>IFERROR(INDEX(Raw_orders!G:G, MATCH(shipments[[#This Row],[order_id]],Raw_orders!A:A, 0)), "Unknown")</f>
        <v>Nordics</v>
      </c>
      <c r="J1532" t="str">
        <f>PROPER(shipments[[#This Row],[delivery_status]])</f>
        <v>In Transit</v>
      </c>
      <c r="K1532" t="s">
        <v>6946</v>
      </c>
    </row>
    <row r="1533" spans="1:11">
      <c r="A1533" t="s">
        <v>8469</v>
      </c>
      <c r="B1533" t="s">
        <v>2356</v>
      </c>
      <c r="C1533" t="s">
        <v>6940</v>
      </c>
      <c r="D1533" s="1">
        <v>45353</v>
      </c>
      <c r="E1533" s="1">
        <v>45360</v>
      </c>
      <c r="F1533" s="1">
        <v>45361</v>
      </c>
      <c r="G1533">
        <v>63.25</v>
      </c>
      <c r="H15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33" t="str">
        <f>IFERROR(INDEX(Raw_orders!G:G, MATCH(shipments[[#This Row],[order_id]],Raw_orders!A:A, 0)), "Unknown")</f>
        <v>Nordics</v>
      </c>
      <c r="J1533" t="str">
        <f>PROPER(shipments[[#This Row],[delivery_status]])</f>
        <v>Delivered</v>
      </c>
      <c r="K1533" t="s">
        <v>6926</v>
      </c>
    </row>
    <row r="1534" spans="1:11">
      <c r="A1534" t="s">
        <v>8470</v>
      </c>
      <c r="B1534" t="s">
        <v>2357</v>
      </c>
      <c r="C1534" t="s">
        <v>6940</v>
      </c>
      <c r="D1534" s="1">
        <v>45568</v>
      </c>
      <c r="E1534" s="1">
        <v>45571</v>
      </c>
      <c r="F1534" s="1">
        <v>45573</v>
      </c>
      <c r="G1534">
        <v>25.88</v>
      </c>
      <c r="H15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34" t="str">
        <f>IFERROR(INDEX(Raw_orders!G:G, MATCH(shipments[[#This Row],[order_id]],Raw_orders!A:A, 0)), "Unknown")</f>
        <v>Central Europe</v>
      </c>
      <c r="J1534" t="str">
        <f>PROPER(shipments[[#This Row],[delivery_status]])</f>
        <v>Delivered</v>
      </c>
      <c r="K1534" t="s">
        <v>6922</v>
      </c>
    </row>
    <row r="1535" spans="1:11">
      <c r="A1535" t="s">
        <v>8471</v>
      </c>
      <c r="B1535" t="s">
        <v>2358</v>
      </c>
      <c r="C1535" t="s">
        <v>6921</v>
      </c>
      <c r="D1535" s="1">
        <v>45551</v>
      </c>
      <c r="E1535" s="1">
        <v>45556</v>
      </c>
      <c r="F1535" s="1">
        <v>45558</v>
      </c>
      <c r="G1535">
        <v>13.45</v>
      </c>
      <c r="H15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35" t="str">
        <f>IFERROR(INDEX(Raw_orders!G:G, MATCH(shipments[[#This Row],[order_id]],Raw_orders!A:A, 0)), "Unknown")</f>
        <v>Central Europe</v>
      </c>
      <c r="J1535" t="str">
        <f>PROPER(shipments[[#This Row],[delivery_status]])</f>
        <v>Delivered</v>
      </c>
      <c r="K1535" t="s">
        <v>6922</v>
      </c>
    </row>
    <row r="1536" spans="1:11">
      <c r="A1536" t="s">
        <v>8472</v>
      </c>
      <c r="B1536" t="s">
        <v>2358</v>
      </c>
      <c r="C1536" t="s">
        <v>6928</v>
      </c>
      <c r="D1536" s="1">
        <v>45552</v>
      </c>
      <c r="E1536" s="1">
        <v>45557</v>
      </c>
      <c r="F1536" s="1">
        <v>45560</v>
      </c>
      <c r="H15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36" t="str">
        <f>IFERROR(INDEX(Raw_orders!G:G, MATCH(shipments[[#This Row],[order_id]],Raw_orders!A:A, 0)), "Unknown")</f>
        <v>Central Europe</v>
      </c>
      <c r="J1536" t="str">
        <f>PROPER(shipments[[#This Row],[delivery_status]])</f>
        <v>Delivered</v>
      </c>
      <c r="K1536" t="s">
        <v>6929</v>
      </c>
    </row>
    <row r="1537" spans="1:11">
      <c r="A1537" t="s">
        <v>8473</v>
      </c>
      <c r="B1537" t="s">
        <v>2359</v>
      </c>
      <c r="C1537" t="s">
        <v>6956</v>
      </c>
      <c r="D1537" s="1">
        <v>45545</v>
      </c>
      <c r="E1537" s="1">
        <v>45548</v>
      </c>
      <c r="F1537" s="1">
        <v>45549</v>
      </c>
      <c r="G1537">
        <v>10.32</v>
      </c>
      <c r="H15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37" t="str">
        <f>IFERROR(INDEX(Raw_orders!G:G, MATCH(shipments[[#This Row],[order_id]],Raw_orders!A:A, 0)), "Unknown")</f>
        <v>Central Europe</v>
      </c>
      <c r="J1537" t="str">
        <f>PROPER(shipments[[#This Row],[delivery_status]])</f>
        <v>Delivered</v>
      </c>
      <c r="K1537" t="s">
        <v>6929</v>
      </c>
    </row>
    <row r="1538" spans="1:11">
      <c r="A1538" t="s">
        <v>8474</v>
      </c>
      <c r="B1538" t="s">
        <v>2360</v>
      </c>
      <c r="C1538" t="s">
        <v>6938</v>
      </c>
      <c r="D1538" s="1">
        <v>45513</v>
      </c>
      <c r="E1538" s="1">
        <v>45523</v>
      </c>
      <c r="F1538" s="1">
        <v>45525</v>
      </c>
      <c r="G1538">
        <v>48.27</v>
      </c>
      <c r="H15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38" t="str">
        <f>IFERROR(INDEX(Raw_orders!G:G, MATCH(shipments[[#This Row],[order_id]],Raw_orders!A:A, 0)), "Unknown")</f>
        <v>Nordics</v>
      </c>
      <c r="J1538" t="str">
        <f>PROPER(shipments[[#This Row],[delivery_status]])</f>
        <v>Delivered</v>
      </c>
      <c r="K1538" t="s">
        <v>6926</v>
      </c>
    </row>
    <row r="1539" spans="1:11">
      <c r="A1539" t="s">
        <v>8475</v>
      </c>
      <c r="B1539" t="s">
        <v>2361</v>
      </c>
      <c r="C1539" t="s">
        <v>6921</v>
      </c>
      <c r="D1539" s="1">
        <v>45379</v>
      </c>
      <c r="E1539" s="1">
        <v>45381</v>
      </c>
      <c r="F1539" s="1">
        <v>45383</v>
      </c>
      <c r="G1539">
        <v>30.88</v>
      </c>
      <c r="H15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39" t="str">
        <f>IFERROR(INDEX(Raw_orders!G:G, MATCH(shipments[[#This Row],[order_id]],Raw_orders!A:A, 0)), "Unknown")</f>
        <v>Baltics</v>
      </c>
      <c r="J1539" t="str">
        <f>PROPER(shipments[[#This Row],[delivery_status]])</f>
        <v>Delivered</v>
      </c>
      <c r="K1539" t="s">
        <v>6929</v>
      </c>
    </row>
    <row r="1540" spans="1:11">
      <c r="A1540" t="s">
        <v>8476</v>
      </c>
      <c r="B1540" t="s">
        <v>2362</v>
      </c>
      <c r="C1540" t="s">
        <v>6925</v>
      </c>
      <c r="D1540" s="1">
        <v>45328</v>
      </c>
      <c r="E1540" s="1">
        <v>45338</v>
      </c>
      <c r="F1540" s="1">
        <v>45343</v>
      </c>
      <c r="G1540">
        <v>30.38</v>
      </c>
      <c r="H15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40" t="str">
        <f>IFERROR(INDEX(Raw_orders!G:G, MATCH(shipments[[#This Row],[order_id]],Raw_orders!A:A, 0)), "Unknown")</f>
        <v>Nordics</v>
      </c>
      <c r="J1540" t="str">
        <f>PROPER(shipments[[#This Row],[delivery_status]])</f>
        <v>Delivered</v>
      </c>
      <c r="K1540" t="s">
        <v>6929</v>
      </c>
    </row>
    <row r="1541" spans="1:11">
      <c r="A1541" t="s">
        <v>8477</v>
      </c>
      <c r="B1541" t="s">
        <v>2363</v>
      </c>
      <c r="C1541" t="s">
        <v>6935</v>
      </c>
      <c r="D1541" s="1">
        <v>44989</v>
      </c>
      <c r="E1541" s="1">
        <v>44996</v>
      </c>
      <c r="F1541" s="1">
        <v>44996</v>
      </c>
      <c r="G1541">
        <v>17.57</v>
      </c>
      <c r="H15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541" t="str">
        <f>IFERROR(INDEX(Raw_orders!G:G, MATCH(shipments[[#This Row],[order_id]],Raw_orders!A:A, 0)), "Unknown")</f>
        <v>Nordics</v>
      </c>
      <c r="J1541" t="str">
        <f>PROPER(shipments[[#This Row],[delivery_status]])</f>
        <v>Delivered</v>
      </c>
      <c r="K1541" t="s">
        <v>6922</v>
      </c>
    </row>
    <row r="1542" spans="1:11">
      <c r="A1542" t="s">
        <v>8478</v>
      </c>
      <c r="B1542" t="s">
        <v>2364</v>
      </c>
      <c r="C1542" t="s">
        <v>6949</v>
      </c>
      <c r="D1542" s="1">
        <v>45527</v>
      </c>
      <c r="E1542" s="1">
        <v>45532</v>
      </c>
      <c r="F1542" s="1">
        <v>45537</v>
      </c>
      <c r="G1542">
        <v>37.11</v>
      </c>
      <c r="H15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42" t="str">
        <f>IFERROR(INDEX(Raw_orders!G:G, MATCH(shipments[[#This Row],[order_id]],Raw_orders!A:A, 0)), "Unknown")</f>
        <v>Central Europe</v>
      </c>
      <c r="J1542" t="str">
        <f>PROPER(shipments[[#This Row],[delivery_status]])</f>
        <v>Delivered</v>
      </c>
      <c r="K1542" t="s">
        <v>6929</v>
      </c>
    </row>
    <row r="1543" spans="1:11">
      <c r="A1543" t="s">
        <v>8479</v>
      </c>
      <c r="B1543" t="s">
        <v>2365</v>
      </c>
      <c r="C1543" t="s">
        <v>6928</v>
      </c>
      <c r="D1543" s="1">
        <v>45171</v>
      </c>
      <c r="E1543" s="1">
        <v>45178</v>
      </c>
      <c r="F1543" s="1"/>
      <c r="G1543">
        <v>44.41</v>
      </c>
      <c r="H15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543" t="str">
        <f>IFERROR(INDEX(Raw_orders!G:G, MATCH(shipments[[#This Row],[order_id]],Raw_orders!A:A, 0)), "Unknown")</f>
        <v>Nordics</v>
      </c>
      <c r="J1543" t="str">
        <f>PROPER(shipments[[#This Row],[delivery_status]])</f>
        <v>In Transit</v>
      </c>
      <c r="K1543" t="s">
        <v>6958</v>
      </c>
    </row>
    <row r="1544" spans="1:11">
      <c r="A1544" t="s">
        <v>8480</v>
      </c>
      <c r="B1544" t="s">
        <v>2365</v>
      </c>
      <c r="C1544" t="s">
        <v>6935</v>
      </c>
      <c r="D1544" s="1">
        <v>45172</v>
      </c>
      <c r="E1544" s="1">
        <v>45175</v>
      </c>
      <c r="F1544" s="1">
        <v>45186</v>
      </c>
      <c r="G1544">
        <v>60.13</v>
      </c>
      <c r="H15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44" t="str">
        <f>IFERROR(INDEX(Raw_orders!G:G, MATCH(shipments[[#This Row],[order_id]],Raw_orders!A:A, 0)), "Unknown")</f>
        <v>Nordics</v>
      </c>
      <c r="J1544" t="str">
        <f>PROPER(shipments[[#This Row],[delivery_status]])</f>
        <v>Delivered</v>
      </c>
      <c r="K1544" t="s">
        <v>6929</v>
      </c>
    </row>
    <row r="1545" spans="1:11">
      <c r="A1545" t="s">
        <v>8481</v>
      </c>
      <c r="B1545" t="s">
        <v>2366</v>
      </c>
      <c r="C1545" t="s">
        <v>6928</v>
      </c>
      <c r="D1545" s="1">
        <v>45593</v>
      </c>
      <c r="E1545" s="1">
        <v>45600</v>
      </c>
      <c r="F1545" s="1">
        <v>45603</v>
      </c>
      <c r="G1545">
        <v>37.43</v>
      </c>
      <c r="H15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45" t="str">
        <f>IFERROR(INDEX(Raw_orders!G:G, MATCH(shipments[[#This Row],[order_id]],Raw_orders!A:A, 0)), "Unknown")</f>
        <v>Baltics</v>
      </c>
      <c r="J1545" t="str">
        <f>PROPER(shipments[[#This Row],[delivery_status]])</f>
        <v>Delivered</v>
      </c>
      <c r="K1545" t="s">
        <v>6922</v>
      </c>
    </row>
    <row r="1546" spans="1:11">
      <c r="A1546" t="s">
        <v>8482</v>
      </c>
      <c r="B1546" t="s">
        <v>2367</v>
      </c>
      <c r="C1546" t="s">
        <v>6925</v>
      </c>
      <c r="D1546" s="1">
        <v>45311</v>
      </c>
      <c r="E1546" s="1">
        <v>45313</v>
      </c>
      <c r="F1546" s="1"/>
      <c r="G1546">
        <v>58.73</v>
      </c>
      <c r="H15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546" t="str">
        <f>IFERROR(INDEX(Raw_orders!G:G, MATCH(shipments[[#This Row],[order_id]],Raw_orders!A:A, 0)), "Unknown")</f>
        <v>Nordics</v>
      </c>
      <c r="J1546" t="str">
        <f>PROPER(shipments[[#This Row],[delivery_status]])</f>
        <v>In Transit</v>
      </c>
      <c r="K1546" t="s">
        <v>6946</v>
      </c>
    </row>
    <row r="1547" spans="1:11">
      <c r="A1547" t="s">
        <v>8483</v>
      </c>
      <c r="B1547" t="s">
        <v>2368</v>
      </c>
      <c r="C1547" t="s">
        <v>6928</v>
      </c>
      <c r="D1547" s="1">
        <v>45276</v>
      </c>
      <c r="E1547" s="1">
        <v>45279</v>
      </c>
      <c r="F1547" s="1"/>
      <c r="G1547">
        <v>39.9</v>
      </c>
      <c r="H15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547" t="str">
        <f>IFERROR(INDEX(Raw_orders!G:G, MATCH(shipments[[#This Row],[order_id]],Raw_orders!A:A, 0)), "Unknown")</f>
        <v>Central Europe</v>
      </c>
      <c r="J1547" t="str">
        <f>PROPER(shipments[[#This Row],[delivery_status]])</f>
        <v>In Transit</v>
      </c>
      <c r="K1547" t="s">
        <v>6977</v>
      </c>
    </row>
    <row r="1548" spans="1:11">
      <c r="A1548" t="s">
        <v>8484</v>
      </c>
      <c r="B1548" t="s">
        <v>2369</v>
      </c>
      <c r="C1548" t="s">
        <v>6931</v>
      </c>
      <c r="D1548" s="1">
        <v>44949</v>
      </c>
      <c r="E1548" s="1">
        <v>44959</v>
      </c>
      <c r="F1548" s="1">
        <v>44962</v>
      </c>
      <c r="G1548">
        <v>19.5</v>
      </c>
      <c r="H15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48" t="str">
        <f>IFERROR(INDEX(Raw_orders!G:G, MATCH(shipments[[#This Row],[order_id]],Raw_orders!A:A, 0)), "Unknown")</f>
        <v>Central Europe</v>
      </c>
      <c r="J1548" t="str">
        <f>PROPER(shipments[[#This Row],[delivery_status]])</f>
        <v>Delivered</v>
      </c>
      <c r="K1548" t="s">
        <v>6926</v>
      </c>
    </row>
    <row r="1549" spans="1:11">
      <c r="A1549" t="s">
        <v>8485</v>
      </c>
      <c r="B1549" t="s">
        <v>2370</v>
      </c>
      <c r="C1549" t="s">
        <v>6935</v>
      </c>
      <c r="D1549" s="1">
        <v>44979</v>
      </c>
      <c r="E1549" s="1">
        <v>44981</v>
      </c>
      <c r="F1549" s="1">
        <v>44981</v>
      </c>
      <c r="G1549">
        <v>42.55</v>
      </c>
      <c r="H15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549" t="str">
        <f>IFERROR(INDEX(Raw_orders!G:G, MATCH(shipments[[#This Row],[order_id]],Raw_orders!A:A, 0)), "Unknown")</f>
        <v>Central Europe</v>
      </c>
      <c r="J1549" t="str">
        <f>PROPER(shipments[[#This Row],[delivery_status]])</f>
        <v>Delivered</v>
      </c>
      <c r="K1549" t="s">
        <v>6922</v>
      </c>
    </row>
    <row r="1550" spans="1:11">
      <c r="A1550" t="s">
        <v>8486</v>
      </c>
      <c r="B1550" t="s">
        <v>2371</v>
      </c>
      <c r="C1550" t="s">
        <v>6928</v>
      </c>
      <c r="D1550" s="1">
        <v>45539</v>
      </c>
      <c r="E1550" s="1">
        <v>45541</v>
      </c>
      <c r="F1550" s="1">
        <v>45549</v>
      </c>
      <c r="G1550">
        <v>50.67</v>
      </c>
      <c r="H15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50" t="str">
        <f>IFERROR(INDEX(Raw_orders!G:G, MATCH(shipments[[#This Row],[order_id]],Raw_orders!A:A, 0)), "Unknown")</f>
        <v>Baltics</v>
      </c>
      <c r="J1550" t="str">
        <f>PROPER(shipments[[#This Row],[delivery_status]])</f>
        <v>Delivered</v>
      </c>
      <c r="K1550" t="s">
        <v>6926</v>
      </c>
    </row>
    <row r="1551" spans="1:11">
      <c r="A1551" t="s">
        <v>8487</v>
      </c>
      <c r="B1551" t="s">
        <v>2372</v>
      </c>
      <c r="C1551" t="s">
        <v>6921</v>
      </c>
      <c r="D1551" s="1">
        <v>45496</v>
      </c>
      <c r="E1551" s="1">
        <v>45499</v>
      </c>
      <c r="F1551" s="1">
        <v>45498</v>
      </c>
      <c r="G1551">
        <v>58.71</v>
      </c>
      <c r="H15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551" t="str">
        <f>IFERROR(INDEX(Raw_orders!G:G, MATCH(shipments[[#This Row],[order_id]],Raw_orders!A:A, 0)), "Unknown")</f>
        <v>Nordics</v>
      </c>
      <c r="J1551" t="str">
        <f>PROPER(shipments[[#This Row],[delivery_status]])</f>
        <v>Delivered</v>
      </c>
      <c r="K1551" t="s">
        <v>6922</v>
      </c>
    </row>
    <row r="1552" spans="1:11">
      <c r="A1552" t="s">
        <v>8488</v>
      </c>
      <c r="B1552" t="s">
        <v>2373</v>
      </c>
      <c r="C1552" t="s">
        <v>6925</v>
      </c>
      <c r="D1552" s="1">
        <v>45028</v>
      </c>
      <c r="E1552" s="1">
        <v>45030</v>
      </c>
      <c r="F1552" s="1">
        <v>45042</v>
      </c>
      <c r="G1552">
        <v>38.729999999999997</v>
      </c>
      <c r="H15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52" t="str">
        <f>IFERROR(INDEX(Raw_orders!G:G, MATCH(shipments[[#This Row],[order_id]],Raw_orders!A:A, 0)), "Unknown")</f>
        <v>Central Europe</v>
      </c>
      <c r="J1552" t="str">
        <f>PROPER(shipments[[#This Row],[delivery_status]])</f>
        <v>Delivered</v>
      </c>
      <c r="K1552" t="s">
        <v>6929</v>
      </c>
    </row>
    <row r="1553" spans="1:11">
      <c r="A1553" t="s">
        <v>8489</v>
      </c>
      <c r="B1553" t="s">
        <v>2374</v>
      </c>
      <c r="C1553" t="s">
        <v>6928</v>
      </c>
      <c r="D1553" s="1">
        <v>45092</v>
      </c>
      <c r="E1553" s="1">
        <v>45095</v>
      </c>
      <c r="F1553" s="1">
        <v>45100</v>
      </c>
      <c r="G1553">
        <v>16.88</v>
      </c>
      <c r="H15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53" t="str">
        <f>IFERROR(INDEX(Raw_orders!G:G, MATCH(shipments[[#This Row],[order_id]],Raw_orders!A:A, 0)), "Unknown")</f>
        <v>Nordics</v>
      </c>
      <c r="J1553" t="str">
        <f>PROPER(shipments[[#This Row],[delivery_status]])</f>
        <v>Delivered</v>
      </c>
      <c r="K1553" t="s">
        <v>6926</v>
      </c>
    </row>
    <row r="1554" spans="1:11">
      <c r="A1554" t="s">
        <v>8490</v>
      </c>
      <c r="B1554" t="s">
        <v>2375</v>
      </c>
      <c r="C1554" t="s">
        <v>6935</v>
      </c>
      <c r="D1554" s="1">
        <v>45387</v>
      </c>
      <c r="E1554" s="1">
        <v>45397</v>
      </c>
      <c r="F1554" s="1">
        <v>45397</v>
      </c>
      <c r="G1554">
        <v>26.82</v>
      </c>
      <c r="H15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554" t="str">
        <f>IFERROR(INDEX(Raw_orders!G:G, MATCH(shipments[[#This Row],[order_id]],Raw_orders!A:A, 0)), "Unknown")</f>
        <v>Central Europe</v>
      </c>
      <c r="J1554" t="str">
        <f>PROPER(shipments[[#This Row],[delivery_status]])</f>
        <v>Delivered</v>
      </c>
      <c r="K1554" t="s">
        <v>6926</v>
      </c>
    </row>
    <row r="1555" spans="1:11">
      <c r="A1555" t="s">
        <v>8491</v>
      </c>
      <c r="B1555" t="s">
        <v>2376</v>
      </c>
      <c r="C1555" t="s">
        <v>6928</v>
      </c>
      <c r="D1555" s="1">
        <v>45054</v>
      </c>
      <c r="E1555" s="1">
        <v>45064</v>
      </c>
      <c r="F1555" s="1">
        <v>45078</v>
      </c>
      <c r="G1555">
        <v>37.979999999999997</v>
      </c>
      <c r="H15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55" t="str">
        <f>IFERROR(INDEX(Raw_orders!G:G, MATCH(shipments[[#This Row],[order_id]],Raw_orders!A:A, 0)), "Unknown")</f>
        <v>Nordics</v>
      </c>
      <c r="J1555" t="str">
        <f>PROPER(shipments[[#This Row],[delivery_status]])</f>
        <v>Delivered</v>
      </c>
      <c r="K1555" t="s">
        <v>6929</v>
      </c>
    </row>
    <row r="1556" spans="1:11">
      <c r="A1556" t="s">
        <v>8492</v>
      </c>
      <c r="B1556" t="s">
        <v>2377</v>
      </c>
      <c r="C1556" t="s">
        <v>6956</v>
      </c>
      <c r="D1556" s="1">
        <v>45279</v>
      </c>
      <c r="E1556" s="1">
        <v>45289</v>
      </c>
      <c r="F1556" s="1">
        <v>45289</v>
      </c>
      <c r="G1556">
        <v>43.23</v>
      </c>
      <c r="H15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556" t="str">
        <f>IFERROR(INDEX(Raw_orders!G:G, MATCH(shipments[[#This Row],[order_id]],Raw_orders!A:A, 0)), "Unknown")</f>
        <v>Baltics</v>
      </c>
      <c r="J1556" t="str">
        <f>PROPER(shipments[[#This Row],[delivery_status]])</f>
        <v>Delivered</v>
      </c>
      <c r="K1556" t="s">
        <v>6926</v>
      </c>
    </row>
    <row r="1557" spans="1:11">
      <c r="A1557" t="s">
        <v>8493</v>
      </c>
      <c r="B1557" t="s">
        <v>2378</v>
      </c>
      <c r="C1557" t="s">
        <v>6940</v>
      </c>
      <c r="D1557" s="1">
        <v>45252</v>
      </c>
      <c r="E1557" s="1">
        <v>45259</v>
      </c>
      <c r="F1557" s="1">
        <v>45261</v>
      </c>
      <c r="G1557">
        <v>64.760000000000005</v>
      </c>
      <c r="H15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57" t="str">
        <f>IFERROR(INDEX(Raw_orders!G:G, MATCH(shipments[[#This Row],[order_id]],Raw_orders!A:A, 0)), "Unknown")</f>
        <v>Nordics</v>
      </c>
      <c r="J1557" t="str">
        <f>PROPER(shipments[[#This Row],[delivery_status]])</f>
        <v>Delivered</v>
      </c>
      <c r="K1557" t="s">
        <v>6926</v>
      </c>
    </row>
    <row r="1558" spans="1:11">
      <c r="A1558" t="s">
        <v>8494</v>
      </c>
      <c r="B1558" t="s">
        <v>2379</v>
      </c>
      <c r="C1558" t="s">
        <v>6928</v>
      </c>
      <c r="D1558" s="1">
        <v>45376</v>
      </c>
      <c r="E1558" s="1">
        <v>45381</v>
      </c>
      <c r="F1558" s="1">
        <v>45381</v>
      </c>
      <c r="G1558">
        <v>50.66</v>
      </c>
      <c r="H15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558" t="str">
        <f>IFERROR(INDEX(Raw_orders!G:G, MATCH(shipments[[#This Row],[order_id]],Raw_orders!A:A, 0)), "Unknown")</f>
        <v>Central Europe</v>
      </c>
      <c r="J1558" t="str">
        <f>PROPER(shipments[[#This Row],[delivery_status]])</f>
        <v>Delivered</v>
      </c>
      <c r="K1558" t="s">
        <v>6926</v>
      </c>
    </row>
    <row r="1559" spans="1:11">
      <c r="A1559" t="s">
        <v>8495</v>
      </c>
      <c r="B1559" t="s">
        <v>2380</v>
      </c>
      <c r="C1559" t="s">
        <v>6935</v>
      </c>
      <c r="D1559" s="1">
        <v>45334</v>
      </c>
      <c r="E1559" s="1">
        <v>45336</v>
      </c>
      <c r="F1559" s="1">
        <v>45341</v>
      </c>
      <c r="G1559">
        <v>46.72</v>
      </c>
      <c r="H15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59" t="str">
        <f>IFERROR(INDEX(Raw_orders!G:G, MATCH(shipments[[#This Row],[order_id]],Raw_orders!A:A, 0)), "Unknown")</f>
        <v>Baltics</v>
      </c>
      <c r="J1559" t="str">
        <f>PROPER(shipments[[#This Row],[delivery_status]])</f>
        <v>Delivered</v>
      </c>
      <c r="K1559" t="s">
        <v>6926</v>
      </c>
    </row>
    <row r="1560" spans="1:11">
      <c r="A1560" t="s">
        <v>8496</v>
      </c>
      <c r="B1560" t="s">
        <v>2381</v>
      </c>
      <c r="C1560" t="s">
        <v>6938</v>
      </c>
      <c r="D1560" s="1">
        <v>45346</v>
      </c>
      <c r="E1560" s="1">
        <v>45351</v>
      </c>
      <c r="F1560" s="1">
        <v>45350</v>
      </c>
      <c r="G1560">
        <v>48.24</v>
      </c>
      <c r="H15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560" t="str">
        <f>IFERROR(INDEX(Raw_orders!G:G, MATCH(shipments[[#This Row],[order_id]],Raw_orders!A:A, 0)), "Unknown")</f>
        <v>Baltics</v>
      </c>
      <c r="J1560" t="str">
        <f>PROPER(shipments[[#This Row],[delivery_status]])</f>
        <v>Delivered</v>
      </c>
      <c r="K1560" t="s">
        <v>6922</v>
      </c>
    </row>
    <row r="1561" spans="1:11">
      <c r="A1561" t="s">
        <v>8497</v>
      </c>
      <c r="B1561" t="s">
        <v>2382</v>
      </c>
      <c r="C1561" t="s">
        <v>6949</v>
      </c>
      <c r="D1561" s="1">
        <v>45608</v>
      </c>
      <c r="E1561" s="1">
        <v>45610</v>
      </c>
      <c r="F1561" s="1">
        <v>45610</v>
      </c>
      <c r="G1561">
        <v>52.09</v>
      </c>
      <c r="H15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561" t="str">
        <f>IFERROR(INDEX(Raw_orders!G:G, MATCH(shipments[[#This Row],[order_id]],Raw_orders!A:A, 0)), "Unknown")</f>
        <v>Central Europe</v>
      </c>
      <c r="J1561" t="str">
        <f>PROPER(shipments[[#This Row],[delivery_status]])</f>
        <v>Delivered</v>
      </c>
      <c r="K1561" t="s">
        <v>6929</v>
      </c>
    </row>
    <row r="1562" spans="1:11">
      <c r="A1562" t="s">
        <v>8498</v>
      </c>
      <c r="B1562" t="s">
        <v>2382</v>
      </c>
      <c r="C1562" t="s">
        <v>6940</v>
      </c>
      <c r="D1562" s="1">
        <v>45607</v>
      </c>
      <c r="E1562" s="1">
        <v>45614</v>
      </c>
      <c r="F1562" s="1">
        <v>45614</v>
      </c>
      <c r="G1562">
        <v>17.45</v>
      </c>
      <c r="H15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562" t="str">
        <f>IFERROR(INDEX(Raw_orders!G:G, MATCH(shipments[[#This Row],[order_id]],Raw_orders!A:A, 0)), "Unknown")</f>
        <v>Central Europe</v>
      </c>
      <c r="J1562" t="str">
        <f>PROPER(shipments[[#This Row],[delivery_status]])</f>
        <v>Delivered</v>
      </c>
      <c r="K1562" t="s">
        <v>6926</v>
      </c>
    </row>
    <row r="1563" spans="1:11">
      <c r="A1563" t="s">
        <v>8499</v>
      </c>
      <c r="B1563" t="s">
        <v>2383</v>
      </c>
      <c r="C1563" t="s">
        <v>6940</v>
      </c>
      <c r="D1563" s="1">
        <v>45248</v>
      </c>
      <c r="E1563" s="1">
        <v>45251</v>
      </c>
      <c r="F1563" s="1">
        <v>45251</v>
      </c>
      <c r="G1563">
        <v>58.28</v>
      </c>
      <c r="H15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563" t="str">
        <f>IFERROR(INDEX(Raw_orders!G:G, MATCH(shipments[[#This Row],[order_id]],Raw_orders!A:A, 0)), "Unknown")</f>
        <v>Central Europe</v>
      </c>
      <c r="J1563" t="str">
        <f>PROPER(shipments[[#This Row],[delivery_status]])</f>
        <v>Delivered</v>
      </c>
      <c r="K1563" t="s">
        <v>6922</v>
      </c>
    </row>
    <row r="1564" spans="1:11">
      <c r="A1564" t="s">
        <v>8500</v>
      </c>
      <c r="B1564" t="s">
        <v>2384</v>
      </c>
      <c r="C1564" t="s">
        <v>6921</v>
      </c>
      <c r="D1564" s="1">
        <v>45049</v>
      </c>
      <c r="E1564" s="1">
        <v>45056</v>
      </c>
      <c r="F1564" s="1">
        <v>45057</v>
      </c>
      <c r="G1564">
        <v>9.6</v>
      </c>
      <c r="H15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64" t="str">
        <f>IFERROR(INDEX(Raw_orders!G:G, MATCH(shipments[[#This Row],[order_id]],Raw_orders!A:A, 0)), "Unknown")</f>
        <v>Central Europe</v>
      </c>
      <c r="J1564" t="str">
        <f>PROPER(shipments[[#This Row],[delivery_status]])</f>
        <v>Delivered</v>
      </c>
      <c r="K1564" t="s">
        <v>6926</v>
      </c>
    </row>
    <row r="1565" spans="1:11">
      <c r="A1565" t="s">
        <v>8501</v>
      </c>
      <c r="B1565" t="s">
        <v>2384</v>
      </c>
      <c r="C1565" t="s">
        <v>6928</v>
      </c>
      <c r="D1565" s="1">
        <v>45050</v>
      </c>
      <c r="E1565" s="1">
        <v>45060</v>
      </c>
      <c r="F1565" s="1">
        <v>45060</v>
      </c>
      <c r="G1565">
        <v>37.380000000000003</v>
      </c>
      <c r="H15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565" t="str">
        <f>IFERROR(INDEX(Raw_orders!G:G, MATCH(shipments[[#This Row],[order_id]],Raw_orders!A:A, 0)), "Unknown")</f>
        <v>Central Europe</v>
      </c>
      <c r="J1565" t="str">
        <f>PROPER(shipments[[#This Row],[delivery_status]])</f>
        <v>Delivered</v>
      </c>
      <c r="K1565" t="s">
        <v>6929</v>
      </c>
    </row>
    <row r="1566" spans="1:11">
      <c r="A1566" t="s">
        <v>8502</v>
      </c>
      <c r="B1566" t="s">
        <v>2385</v>
      </c>
      <c r="C1566" t="s">
        <v>6931</v>
      </c>
      <c r="D1566" s="1">
        <v>45505</v>
      </c>
      <c r="E1566" s="1">
        <v>45515</v>
      </c>
      <c r="F1566" s="1">
        <v>45523</v>
      </c>
      <c r="H15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66" t="str">
        <f>IFERROR(INDEX(Raw_orders!G:G, MATCH(shipments[[#This Row],[order_id]],Raw_orders!A:A, 0)), "Unknown")</f>
        <v>Central Europe</v>
      </c>
      <c r="J1566" t="str">
        <f>PROPER(shipments[[#This Row],[delivery_status]])</f>
        <v>Delivered</v>
      </c>
      <c r="K1566" t="s">
        <v>6922</v>
      </c>
    </row>
    <row r="1567" spans="1:11">
      <c r="A1567" t="s">
        <v>8503</v>
      </c>
      <c r="B1567" t="s">
        <v>2386</v>
      </c>
      <c r="C1567" t="s">
        <v>6931</v>
      </c>
      <c r="D1567" s="1">
        <v>45148</v>
      </c>
      <c r="E1567" s="1">
        <v>45155</v>
      </c>
      <c r="F1567" s="1">
        <v>45155</v>
      </c>
      <c r="G1567">
        <v>27.64</v>
      </c>
      <c r="H15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567" t="str">
        <f>IFERROR(INDEX(Raw_orders!G:G, MATCH(shipments[[#This Row],[order_id]],Raw_orders!A:A, 0)), "Unknown")</f>
        <v>Central Europe</v>
      </c>
      <c r="J1567" t="str">
        <f>PROPER(shipments[[#This Row],[delivery_status]])</f>
        <v>Delivered</v>
      </c>
      <c r="K1567" t="s">
        <v>6926</v>
      </c>
    </row>
    <row r="1568" spans="1:11">
      <c r="A1568" t="s">
        <v>8504</v>
      </c>
      <c r="B1568" t="s">
        <v>2387</v>
      </c>
      <c r="C1568" t="s">
        <v>6925</v>
      </c>
      <c r="D1568" s="1">
        <v>45016</v>
      </c>
      <c r="E1568" s="1">
        <v>45021</v>
      </c>
      <c r="F1568" s="1">
        <v>45029</v>
      </c>
      <c r="G1568">
        <v>53.53</v>
      </c>
      <c r="H15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68" t="str">
        <f>IFERROR(INDEX(Raw_orders!G:G, MATCH(shipments[[#This Row],[order_id]],Raw_orders!A:A, 0)), "Unknown")</f>
        <v>Unknown</v>
      </c>
      <c r="J1568" t="str">
        <f>PROPER(shipments[[#This Row],[delivery_status]])</f>
        <v>Delivered</v>
      </c>
      <c r="K1568" t="s">
        <v>6926</v>
      </c>
    </row>
    <row r="1569" spans="1:11">
      <c r="A1569" t="s">
        <v>8505</v>
      </c>
      <c r="B1569" t="s">
        <v>2388</v>
      </c>
      <c r="C1569" t="s">
        <v>6921</v>
      </c>
      <c r="D1569" s="1">
        <v>45021</v>
      </c>
      <c r="E1569" s="1">
        <v>45023</v>
      </c>
      <c r="F1569" s="1">
        <v>45028</v>
      </c>
      <c r="G1569">
        <v>4.83</v>
      </c>
      <c r="H15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69" t="str">
        <f>IFERROR(INDEX(Raw_orders!G:G, MATCH(shipments[[#This Row],[order_id]],Raw_orders!A:A, 0)), "Unknown")</f>
        <v>Baltics</v>
      </c>
      <c r="J1569" t="str">
        <f>PROPER(shipments[[#This Row],[delivery_status]])</f>
        <v>Delivered</v>
      </c>
      <c r="K1569" t="s">
        <v>6922</v>
      </c>
    </row>
    <row r="1570" spans="1:11">
      <c r="A1570" t="s">
        <v>8506</v>
      </c>
      <c r="B1570" t="s">
        <v>2389</v>
      </c>
      <c r="C1570" t="s">
        <v>6921</v>
      </c>
      <c r="D1570" s="1">
        <v>44953</v>
      </c>
      <c r="E1570" s="1">
        <v>44958</v>
      </c>
      <c r="F1570" s="1">
        <v>44966</v>
      </c>
      <c r="G1570">
        <v>9.33</v>
      </c>
      <c r="H15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70" t="str">
        <f>IFERROR(INDEX(Raw_orders!G:G, MATCH(shipments[[#This Row],[order_id]],Raw_orders!A:A, 0)), "Unknown")</f>
        <v>Central Europe</v>
      </c>
      <c r="J1570" t="str">
        <f>PROPER(shipments[[#This Row],[delivery_status]])</f>
        <v>Delivered</v>
      </c>
      <c r="K1570" t="s">
        <v>6926</v>
      </c>
    </row>
    <row r="1571" spans="1:11">
      <c r="A1571" t="s">
        <v>8507</v>
      </c>
      <c r="B1571" t="s">
        <v>2390</v>
      </c>
      <c r="C1571" t="s">
        <v>6931</v>
      </c>
      <c r="D1571" s="1">
        <v>45073</v>
      </c>
      <c r="E1571" s="1">
        <v>45080</v>
      </c>
      <c r="F1571" s="1">
        <v>45082</v>
      </c>
      <c r="G1571">
        <v>58.3</v>
      </c>
      <c r="H15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71" t="str">
        <f>IFERROR(INDEX(Raw_orders!G:G, MATCH(shipments[[#This Row],[order_id]],Raw_orders!A:A, 0)), "Unknown")</f>
        <v>Baltics</v>
      </c>
      <c r="J1571" t="str">
        <f>PROPER(shipments[[#This Row],[delivery_status]])</f>
        <v>Delivered</v>
      </c>
      <c r="K1571" t="s">
        <v>6929</v>
      </c>
    </row>
    <row r="1572" spans="1:11">
      <c r="A1572" t="s">
        <v>8508</v>
      </c>
      <c r="B1572" t="s">
        <v>2390</v>
      </c>
      <c r="C1572" t="s">
        <v>6956</v>
      </c>
      <c r="D1572" s="1">
        <v>45075</v>
      </c>
      <c r="E1572" s="1">
        <v>45082</v>
      </c>
      <c r="F1572" s="1">
        <v>45090</v>
      </c>
      <c r="G1572">
        <v>19.739999999999998</v>
      </c>
      <c r="H15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72" t="str">
        <f>IFERROR(INDEX(Raw_orders!G:G, MATCH(shipments[[#This Row],[order_id]],Raw_orders!A:A, 0)), "Unknown")</f>
        <v>Baltics</v>
      </c>
      <c r="J1572" t="str">
        <f>PROPER(shipments[[#This Row],[delivery_status]])</f>
        <v>Delivered</v>
      </c>
      <c r="K1572" t="s">
        <v>6929</v>
      </c>
    </row>
    <row r="1573" spans="1:11">
      <c r="A1573" t="s">
        <v>8509</v>
      </c>
      <c r="B1573" t="s">
        <v>2391</v>
      </c>
      <c r="C1573" t="s">
        <v>6935</v>
      </c>
      <c r="D1573" s="1">
        <v>45181</v>
      </c>
      <c r="E1573" s="1">
        <v>45191</v>
      </c>
      <c r="F1573" s="1">
        <v>45192</v>
      </c>
      <c r="G1573">
        <v>14.9</v>
      </c>
      <c r="H15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73" t="str">
        <f>IFERROR(INDEX(Raw_orders!G:G, MATCH(shipments[[#This Row],[order_id]],Raw_orders!A:A, 0)), "Unknown")</f>
        <v>Baltics</v>
      </c>
      <c r="J1573" t="str">
        <f>PROPER(shipments[[#This Row],[delivery_status]])</f>
        <v>Delivered</v>
      </c>
      <c r="K1573" t="s">
        <v>6926</v>
      </c>
    </row>
    <row r="1574" spans="1:11">
      <c r="A1574" t="s">
        <v>8510</v>
      </c>
      <c r="B1574" t="s">
        <v>2392</v>
      </c>
      <c r="C1574" t="s">
        <v>6921</v>
      </c>
      <c r="D1574" s="1">
        <v>45178</v>
      </c>
      <c r="E1574" s="1">
        <v>45180</v>
      </c>
      <c r="F1574" s="1">
        <v>45188</v>
      </c>
      <c r="G1574">
        <v>22.76</v>
      </c>
      <c r="H15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74" t="str">
        <f>IFERROR(INDEX(Raw_orders!G:G, MATCH(shipments[[#This Row],[order_id]],Raw_orders!A:A, 0)), "Unknown")</f>
        <v>Central Europe</v>
      </c>
      <c r="J1574" t="str">
        <f>PROPER(shipments[[#This Row],[delivery_status]])</f>
        <v>Delivered</v>
      </c>
      <c r="K1574" t="s">
        <v>6922</v>
      </c>
    </row>
    <row r="1575" spans="1:11">
      <c r="A1575" t="s">
        <v>8511</v>
      </c>
      <c r="B1575" t="s">
        <v>2393</v>
      </c>
      <c r="C1575" t="s">
        <v>6940</v>
      </c>
      <c r="D1575" s="1">
        <v>45529</v>
      </c>
      <c r="E1575" s="1">
        <v>45532</v>
      </c>
      <c r="F1575" s="1"/>
      <c r="G1575">
        <v>45.84</v>
      </c>
      <c r="H15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575" t="str">
        <f>IFERROR(INDEX(Raw_orders!G:G, MATCH(shipments[[#This Row],[order_id]],Raw_orders!A:A, 0)), "Unknown")</f>
        <v>Nordics</v>
      </c>
      <c r="J1575" t="str">
        <f>PROPER(shipments[[#This Row],[delivery_status]])</f>
        <v>In Transit</v>
      </c>
      <c r="K1575" t="s">
        <v>6958</v>
      </c>
    </row>
    <row r="1576" spans="1:11">
      <c r="A1576" t="s">
        <v>8512</v>
      </c>
      <c r="B1576" t="s">
        <v>2394</v>
      </c>
      <c r="C1576" t="s">
        <v>6925</v>
      </c>
      <c r="D1576" s="1">
        <v>45487</v>
      </c>
      <c r="E1576" s="1">
        <v>45490</v>
      </c>
      <c r="F1576" s="1">
        <v>45492</v>
      </c>
      <c r="G1576">
        <v>61.37</v>
      </c>
      <c r="H15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76" t="str">
        <f>IFERROR(INDEX(Raw_orders!G:G, MATCH(shipments[[#This Row],[order_id]],Raw_orders!A:A, 0)), "Unknown")</f>
        <v>Baltics</v>
      </c>
      <c r="J1576" t="str">
        <f>PROPER(shipments[[#This Row],[delivery_status]])</f>
        <v>Delivered</v>
      </c>
      <c r="K1576" t="s">
        <v>6926</v>
      </c>
    </row>
    <row r="1577" spans="1:11">
      <c r="A1577" t="s">
        <v>8513</v>
      </c>
      <c r="B1577" t="s">
        <v>2395</v>
      </c>
      <c r="C1577" t="s">
        <v>6938</v>
      </c>
      <c r="D1577" s="1">
        <v>45175</v>
      </c>
      <c r="E1577" s="1">
        <v>45182</v>
      </c>
      <c r="F1577" s="1">
        <v>45186</v>
      </c>
      <c r="G1577">
        <v>32.880000000000003</v>
      </c>
      <c r="H15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77" t="str">
        <f>IFERROR(INDEX(Raw_orders!G:G, MATCH(shipments[[#This Row],[order_id]],Raw_orders!A:A, 0)), "Unknown")</f>
        <v>Central Europe</v>
      </c>
      <c r="J1577" t="str">
        <f>PROPER(shipments[[#This Row],[delivery_status]])</f>
        <v>Delivered</v>
      </c>
      <c r="K1577" t="s">
        <v>6926</v>
      </c>
    </row>
    <row r="1578" spans="1:11">
      <c r="A1578" t="s">
        <v>8514</v>
      </c>
      <c r="B1578" t="s">
        <v>2396</v>
      </c>
      <c r="C1578" t="s">
        <v>6931</v>
      </c>
      <c r="D1578" s="1">
        <v>45270</v>
      </c>
      <c r="E1578" s="1">
        <v>45275</v>
      </c>
      <c r="F1578" s="1">
        <v>45275</v>
      </c>
      <c r="G1578">
        <v>51.43</v>
      </c>
      <c r="H15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578" t="str">
        <f>IFERROR(INDEX(Raw_orders!G:G, MATCH(shipments[[#This Row],[order_id]],Raw_orders!A:A, 0)), "Unknown")</f>
        <v>Nordics</v>
      </c>
      <c r="J1578" t="str">
        <f>PROPER(shipments[[#This Row],[delivery_status]])</f>
        <v>Delivered</v>
      </c>
      <c r="K1578" t="s">
        <v>6926</v>
      </c>
    </row>
    <row r="1579" spans="1:11">
      <c r="A1579" t="s">
        <v>8515</v>
      </c>
      <c r="B1579" t="s">
        <v>2397</v>
      </c>
      <c r="C1579" t="s">
        <v>6956</v>
      </c>
      <c r="D1579" s="1">
        <v>45021</v>
      </c>
      <c r="E1579" s="1">
        <v>45026</v>
      </c>
      <c r="F1579" s="1">
        <v>45025</v>
      </c>
      <c r="G1579">
        <v>44.77</v>
      </c>
      <c r="H15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579" t="str">
        <f>IFERROR(INDEX(Raw_orders!G:G, MATCH(shipments[[#This Row],[order_id]],Raw_orders!A:A, 0)), "Unknown")</f>
        <v>Nordics</v>
      </c>
      <c r="J1579" t="str">
        <f>PROPER(shipments[[#This Row],[delivery_status]])</f>
        <v>Delivered</v>
      </c>
      <c r="K1579" t="s">
        <v>6929</v>
      </c>
    </row>
    <row r="1580" spans="1:11">
      <c r="A1580" t="s">
        <v>8516</v>
      </c>
      <c r="B1580" t="s">
        <v>2398</v>
      </c>
      <c r="C1580" t="s">
        <v>6956</v>
      </c>
      <c r="D1580" s="1">
        <v>44991</v>
      </c>
      <c r="E1580" s="1">
        <v>44998</v>
      </c>
      <c r="F1580" s="1">
        <v>45000</v>
      </c>
      <c r="G1580">
        <v>51.55</v>
      </c>
      <c r="H15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80" t="str">
        <f>IFERROR(INDEX(Raw_orders!G:G, MATCH(shipments[[#This Row],[order_id]],Raw_orders!A:A, 0)), "Unknown")</f>
        <v>Baltics</v>
      </c>
      <c r="J1580" t="str">
        <f>PROPER(shipments[[#This Row],[delivery_status]])</f>
        <v>Delivered</v>
      </c>
      <c r="K1580" t="s">
        <v>6929</v>
      </c>
    </row>
    <row r="1581" spans="1:11">
      <c r="A1581" t="s">
        <v>8517</v>
      </c>
      <c r="B1581" t="s">
        <v>2399</v>
      </c>
      <c r="C1581" t="s">
        <v>6925</v>
      </c>
      <c r="D1581" s="1">
        <v>45554</v>
      </c>
      <c r="E1581" s="1">
        <v>45556</v>
      </c>
      <c r="F1581" s="1">
        <v>45558</v>
      </c>
      <c r="G1581">
        <v>57.78</v>
      </c>
      <c r="H15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81" t="str">
        <f>IFERROR(INDEX(Raw_orders!G:G, MATCH(shipments[[#This Row],[order_id]],Raw_orders!A:A, 0)), "Unknown")</f>
        <v>Baltics</v>
      </c>
      <c r="J1581" t="str">
        <f>PROPER(shipments[[#This Row],[delivery_status]])</f>
        <v>Delivered</v>
      </c>
      <c r="K1581" t="s">
        <v>6926</v>
      </c>
    </row>
    <row r="1582" spans="1:11">
      <c r="A1582" t="s">
        <v>8518</v>
      </c>
      <c r="B1582" t="s">
        <v>2400</v>
      </c>
      <c r="C1582" t="s">
        <v>6940</v>
      </c>
      <c r="D1582" s="1">
        <v>45489</v>
      </c>
      <c r="E1582" s="1">
        <v>45496</v>
      </c>
      <c r="F1582" s="1">
        <v>45509</v>
      </c>
      <c r="G1582">
        <v>27.96</v>
      </c>
      <c r="H15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82" t="str">
        <f>IFERROR(INDEX(Raw_orders!G:G, MATCH(shipments[[#This Row],[order_id]],Raw_orders!A:A, 0)), "Unknown")</f>
        <v>Baltics</v>
      </c>
      <c r="J1582" t="str">
        <f>PROPER(shipments[[#This Row],[delivery_status]])</f>
        <v>Delivered</v>
      </c>
      <c r="K1582" t="s">
        <v>6929</v>
      </c>
    </row>
    <row r="1583" spans="1:11">
      <c r="A1583" t="s">
        <v>8519</v>
      </c>
      <c r="B1583" t="s">
        <v>2401</v>
      </c>
      <c r="C1583" t="s">
        <v>6925</v>
      </c>
      <c r="D1583" s="1">
        <v>45417</v>
      </c>
      <c r="E1583" s="1">
        <v>45422</v>
      </c>
      <c r="F1583" s="1"/>
      <c r="G1583">
        <v>44.67</v>
      </c>
      <c r="H15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583" t="str">
        <f>IFERROR(INDEX(Raw_orders!G:G, MATCH(shipments[[#This Row],[order_id]],Raw_orders!A:A, 0)), "Unknown")</f>
        <v>Baltics</v>
      </c>
      <c r="J1583" t="str">
        <f>PROPER(shipments[[#This Row],[delivery_status]])</f>
        <v>Cancelled</v>
      </c>
      <c r="K1583" t="s">
        <v>6963</v>
      </c>
    </row>
    <row r="1584" spans="1:11">
      <c r="A1584" t="s">
        <v>8520</v>
      </c>
      <c r="B1584" t="s">
        <v>2401</v>
      </c>
      <c r="C1584" t="s">
        <v>6935</v>
      </c>
      <c r="D1584" s="1">
        <v>45420</v>
      </c>
      <c r="E1584" s="1">
        <v>45425</v>
      </c>
      <c r="F1584" s="1"/>
      <c r="G1584">
        <v>32.1</v>
      </c>
      <c r="H15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584" t="str">
        <f>IFERROR(INDEX(Raw_orders!G:G, MATCH(shipments[[#This Row],[order_id]],Raw_orders!A:A, 0)), "Unknown")</f>
        <v>Baltics</v>
      </c>
      <c r="J1584" t="str">
        <f>PROPER(shipments[[#This Row],[delivery_status]])</f>
        <v>In Transit</v>
      </c>
      <c r="K1584" t="s">
        <v>6958</v>
      </c>
    </row>
    <row r="1585" spans="1:11">
      <c r="A1585" t="s">
        <v>8521</v>
      </c>
      <c r="B1585" t="s">
        <v>2402</v>
      </c>
      <c r="C1585" t="s">
        <v>6928</v>
      </c>
      <c r="D1585" s="1">
        <v>45033</v>
      </c>
      <c r="E1585" s="1">
        <v>45043</v>
      </c>
      <c r="F1585" s="1">
        <v>45048</v>
      </c>
      <c r="G1585">
        <v>41.78</v>
      </c>
      <c r="H15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85" t="str">
        <f>IFERROR(INDEX(Raw_orders!G:G, MATCH(shipments[[#This Row],[order_id]],Raw_orders!A:A, 0)), "Unknown")</f>
        <v>Nordics</v>
      </c>
      <c r="J1585" t="str">
        <f>PROPER(shipments[[#This Row],[delivery_status]])</f>
        <v>Delivered</v>
      </c>
      <c r="K1585" t="s">
        <v>6926</v>
      </c>
    </row>
    <row r="1586" spans="1:11">
      <c r="A1586" t="s">
        <v>8522</v>
      </c>
      <c r="B1586" t="s">
        <v>2403</v>
      </c>
      <c r="C1586" t="s">
        <v>6935</v>
      </c>
      <c r="D1586" s="1">
        <v>45329</v>
      </c>
      <c r="E1586" s="1">
        <v>45336</v>
      </c>
      <c r="F1586" s="1">
        <v>45336</v>
      </c>
      <c r="G1586">
        <v>10.44</v>
      </c>
      <c r="H15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586" t="str">
        <f>IFERROR(INDEX(Raw_orders!G:G, MATCH(shipments[[#This Row],[order_id]],Raw_orders!A:A, 0)), "Unknown")</f>
        <v>Nordics</v>
      </c>
      <c r="J1586" t="str">
        <f>PROPER(shipments[[#This Row],[delivery_status]])</f>
        <v>Delivered</v>
      </c>
      <c r="K1586" t="s">
        <v>6926</v>
      </c>
    </row>
    <row r="1587" spans="1:11">
      <c r="A1587" t="s">
        <v>8523</v>
      </c>
      <c r="B1587" t="s">
        <v>2404</v>
      </c>
      <c r="C1587" t="s">
        <v>6928</v>
      </c>
      <c r="D1587" s="1">
        <v>45045</v>
      </c>
      <c r="E1587" s="1">
        <v>45050</v>
      </c>
      <c r="F1587" s="1">
        <v>45050</v>
      </c>
      <c r="G1587">
        <v>40.14</v>
      </c>
      <c r="H15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587" t="str">
        <f>IFERROR(INDEX(Raw_orders!G:G, MATCH(shipments[[#This Row],[order_id]],Raw_orders!A:A, 0)), "Unknown")</f>
        <v>Baltics</v>
      </c>
      <c r="J1587" t="str">
        <f>PROPER(shipments[[#This Row],[delivery_status]])</f>
        <v>Delivered</v>
      </c>
      <c r="K1587" t="s">
        <v>6926</v>
      </c>
    </row>
    <row r="1588" spans="1:11">
      <c r="A1588" t="s">
        <v>8524</v>
      </c>
      <c r="B1588" t="s">
        <v>2405</v>
      </c>
      <c r="C1588" t="s">
        <v>6928</v>
      </c>
      <c r="D1588" s="1">
        <v>45110</v>
      </c>
      <c r="E1588" s="1">
        <v>45120</v>
      </c>
      <c r="F1588" s="1">
        <v>45122</v>
      </c>
      <c r="G1588">
        <v>14.34</v>
      </c>
      <c r="H15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88" t="str">
        <f>IFERROR(INDEX(Raw_orders!G:G, MATCH(shipments[[#This Row],[order_id]],Raw_orders!A:A, 0)), "Unknown")</f>
        <v>Nordics</v>
      </c>
      <c r="J1588" t="str">
        <f>PROPER(shipments[[#This Row],[delivery_status]])</f>
        <v>Delivered</v>
      </c>
      <c r="K1588" t="s">
        <v>6922</v>
      </c>
    </row>
    <row r="1589" spans="1:11">
      <c r="A1589" t="s">
        <v>8525</v>
      </c>
      <c r="B1589" t="s">
        <v>2405</v>
      </c>
      <c r="C1589" t="s">
        <v>6940</v>
      </c>
      <c r="D1589" s="1">
        <v>45108</v>
      </c>
      <c r="E1589" s="1">
        <v>45115</v>
      </c>
      <c r="F1589" s="1">
        <v>45115</v>
      </c>
      <c r="G1589">
        <v>40.130000000000003</v>
      </c>
      <c r="H15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589" t="str">
        <f>IFERROR(INDEX(Raw_orders!G:G, MATCH(shipments[[#This Row],[order_id]],Raw_orders!A:A, 0)), "Unknown")</f>
        <v>Nordics</v>
      </c>
      <c r="J1589" t="str">
        <f>PROPER(shipments[[#This Row],[delivery_status]])</f>
        <v>Delivered</v>
      </c>
      <c r="K1589" t="s">
        <v>6926</v>
      </c>
    </row>
    <row r="1590" spans="1:11">
      <c r="A1590" t="s">
        <v>8526</v>
      </c>
      <c r="B1590" t="s">
        <v>2406</v>
      </c>
      <c r="C1590" t="s">
        <v>6925</v>
      </c>
      <c r="D1590" s="1">
        <v>45597</v>
      </c>
      <c r="E1590" s="1">
        <v>45599</v>
      </c>
      <c r="F1590" s="1">
        <v>45607</v>
      </c>
      <c r="G1590">
        <v>48.49</v>
      </c>
      <c r="H15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90" t="str">
        <f>IFERROR(INDEX(Raw_orders!G:G, MATCH(shipments[[#This Row],[order_id]],Raw_orders!A:A, 0)), "Unknown")</f>
        <v>Central Europe</v>
      </c>
      <c r="J1590" t="str">
        <f>PROPER(shipments[[#This Row],[delivery_status]])</f>
        <v>Delivered</v>
      </c>
      <c r="K1590" t="s">
        <v>6926</v>
      </c>
    </row>
    <row r="1591" spans="1:11">
      <c r="A1591" t="s">
        <v>8527</v>
      </c>
      <c r="B1591" t="s">
        <v>2406</v>
      </c>
      <c r="C1591" t="s">
        <v>6940</v>
      </c>
      <c r="D1591" s="1">
        <v>45597</v>
      </c>
      <c r="E1591" s="1">
        <v>45607</v>
      </c>
      <c r="F1591" s="1">
        <v>45609</v>
      </c>
      <c r="G1591">
        <v>40.83</v>
      </c>
      <c r="H15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91" t="str">
        <f>IFERROR(INDEX(Raw_orders!G:G, MATCH(shipments[[#This Row],[order_id]],Raw_orders!A:A, 0)), "Unknown")</f>
        <v>Central Europe</v>
      </c>
      <c r="J1591" t="str">
        <f>PROPER(shipments[[#This Row],[delivery_status]])</f>
        <v>Delivered</v>
      </c>
      <c r="K1591" t="s">
        <v>6926</v>
      </c>
    </row>
    <row r="1592" spans="1:11">
      <c r="A1592" t="s">
        <v>8528</v>
      </c>
      <c r="B1592" t="s">
        <v>2407</v>
      </c>
      <c r="C1592" t="s">
        <v>6940</v>
      </c>
      <c r="D1592" s="1">
        <v>45101</v>
      </c>
      <c r="E1592" s="1">
        <v>45103</v>
      </c>
      <c r="F1592" s="1">
        <v>45104</v>
      </c>
      <c r="G1592">
        <v>19.46</v>
      </c>
      <c r="H15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92" t="str">
        <f>IFERROR(INDEX(Raw_orders!G:G, MATCH(shipments[[#This Row],[order_id]],Raw_orders!A:A, 0)), "Unknown")</f>
        <v>Nordics</v>
      </c>
      <c r="J1592" t="str">
        <f>PROPER(shipments[[#This Row],[delivery_status]])</f>
        <v>Delivered</v>
      </c>
      <c r="K1592" t="s">
        <v>6926</v>
      </c>
    </row>
    <row r="1593" spans="1:11">
      <c r="A1593" t="s">
        <v>8529</v>
      </c>
      <c r="B1593" t="s">
        <v>2408</v>
      </c>
      <c r="C1593" t="s">
        <v>6935</v>
      </c>
      <c r="D1593" s="1">
        <v>45024</v>
      </c>
      <c r="E1593" s="1">
        <v>45027</v>
      </c>
      <c r="F1593" s="1"/>
      <c r="G1593">
        <v>43.72</v>
      </c>
      <c r="H15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593" t="str">
        <f>IFERROR(INDEX(Raw_orders!G:G, MATCH(shipments[[#This Row],[order_id]],Raw_orders!A:A, 0)), "Unknown")</f>
        <v>Nordics</v>
      </c>
      <c r="J1593" t="str">
        <f>PROPER(shipments[[#This Row],[delivery_status]])</f>
        <v>Cancelled</v>
      </c>
      <c r="K1593" t="s">
        <v>6979</v>
      </c>
    </row>
    <row r="1594" spans="1:11">
      <c r="A1594" t="s">
        <v>8530</v>
      </c>
      <c r="B1594" t="s">
        <v>2409</v>
      </c>
      <c r="C1594" t="s">
        <v>6921</v>
      </c>
      <c r="D1594" s="1">
        <v>45009</v>
      </c>
      <c r="E1594" s="1">
        <v>45019</v>
      </c>
      <c r="F1594" s="1">
        <v>45033</v>
      </c>
      <c r="G1594">
        <v>51.96</v>
      </c>
      <c r="H15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94" t="str">
        <f>IFERROR(INDEX(Raw_orders!G:G, MATCH(shipments[[#This Row],[order_id]],Raw_orders!A:A, 0)), "Unknown")</f>
        <v>Nordics</v>
      </c>
      <c r="J1594" t="str">
        <f>PROPER(shipments[[#This Row],[delivery_status]])</f>
        <v>Delivered</v>
      </c>
      <c r="K1594" t="s">
        <v>6926</v>
      </c>
    </row>
    <row r="1595" spans="1:11">
      <c r="A1595" t="s">
        <v>8531</v>
      </c>
      <c r="B1595" t="s">
        <v>2410</v>
      </c>
      <c r="C1595" t="s">
        <v>6925</v>
      </c>
      <c r="D1595" s="1">
        <v>45468</v>
      </c>
      <c r="E1595" s="1">
        <v>45470</v>
      </c>
      <c r="F1595" s="1">
        <v>45469</v>
      </c>
      <c r="G1595">
        <v>41.22</v>
      </c>
      <c r="H15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595" t="str">
        <f>IFERROR(INDEX(Raw_orders!G:G, MATCH(shipments[[#This Row],[order_id]],Raw_orders!A:A, 0)), "Unknown")</f>
        <v>Central Europe</v>
      </c>
      <c r="J1595" t="str">
        <f>PROPER(shipments[[#This Row],[delivery_status]])</f>
        <v>Delivered</v>
      </c>
      <c r="K1595" t="s">
        <v>6926</v>
      </c>
    </row>
    <row r="1596" spans="1:11">
      <c r="A1596" t="s">
        <v>8532</v>
      </c>
      <c r="B1596" t="s">
        <v>2411</v>
      </c>
      <c r="C1596" t="s">
        <v>6940</v>
      </c>
      <c r="D1596" s="1">
        <v>45273</v>
      </c>
      <c r="E1596" s="1">
        <v>45275</v>
      </c>
      <c r="F1596" s="1">
        <v>45284</v>
      </c>
      <c r="G1596">
        <v>8.2200000000000006</v>
      </c>
      <c r="H15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96" t="str">
        <f>IFERROR(INDEX(Raw_orders!G:G, MATCH(shipments[[#This Row],[order_id]],Raw_orders!A:A, 0)), "Unknown")</f>
        <v>Baltics</v>
      </c>
      <c r="J1596" t="str">
        <f>PROPER(shipments[[#This Row],[delivery_status]])</f>
        <v>Delivered</v>
      </c>
      <c r="K1596" t="s">
        <v>6922</v>
      </c>
    </row>
    <row r="1597" spans="1:11">
      <c r="A1597" t="s">
        <v>8533</v>
      </c>
      <c r="B1597" t="s">
        <v>2412</v>
      </c>
      <c r="C1597" t="s">
        <v>6925</v>
      </c>
      <c r="D1597" s="1">
        <v>45500</v>
      </c>
      <c r="E1597" s="1">
        <v>45503</v>
      </c>
      <c r="F1597" s="1">
        <v>45506</v>
      </c>
      <c r="G1597">
        <v>40.9</v>
      </c>
      <c r="H15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97" t="str">
        <f>IFERROR(INDEX(Raw_orders!G:G, MATCH(shipments[[#This Row],[order_id]],Raw_orders!A:A, 0)), "Unknown")</f>
        <v>Nordics</v>
      </c>
      <c r="J1597" t="str">
        <f>PROPER(shipments[[#This Row],[delivery_status]])</f>
        <v>Delivered</v>
      </c>
      <c r="K1597" t="s">
        <v>6929</v>
      </c>
    </row>
    <row r="1598" spans="1:11">
      <c r="A1598" t="s">
        <v>8534</v>
      </c>
      <c r="B1598" t="s">
        <v>2413</v>
      </c>
      <c r="C1598" t="s">
        <v>6925</v>
      </c>
      <c r="D1598" s="1">
        <v>45450</v>
      </c>
      <c r="E1598" s="1">
        <v>45460</v>
      </c>
      <c r="F1598" s="1">
        <v>45465</v>
      </c>
      <c r="G1598">
        <v>12.68</v>
      </c>
      <c r="H15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98" t="str">
        <f>IFERROR(INDEX(Raw_orders!G:G, MATCH(shipments[[#This Row],[order_id]],Raw_orders!A:A, 0)), "Unknown")</f>
        <v>Baltics</v>
      </c>
      <c r="J1598" t="str">
        <f>PROPER(shipments[[#This Row],[delivery_status]])</f>
        <v>Delivered</v>
      </c>
      <c r="K1598" t="s">
        <v>6922</v>
      </c>
    </row>
    <row r="1599" spans="1:11">
      <c r="A1599" t="s">
        <v>8535</v>
      </c>
      <c r="B1599" t="s">
        <v>2414</v>
      </c>
      <c r="C1599" t="s">
        <v>6935</v>
      </c>
      <c r="D1599" s="1">
        <v>45499</v>
      </c>
      <c r="E1599" s="1">
        <v>45504</v>
      </c>
      <c r="F1599" s="1">
        <v>45509</v>
      </c>
      <c r="G1599">
        <v>15.62</v>
      </c>
      <c r="H15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599" t="str">
        <f>IFERROR(INDEX(Raw_orders!G:G, MATCH(shipments[[#This Row],[order_id]],Raw_orders!A:A, 0)), "Unknown")</f>
        <v>Central Europe</v>
      </c>
      <c r="J1599" t="str">
        <f>PROPER(shipments[[#This Row],[delivery_status]])</f>
        <v>Delivered</v>
      </c>
      <c r="K1599" t="s">
        <v>6926</v>
      </c>
    </row>
    <row r="1600" spans="1:11">
      <c r="A1600" t="s">
        <v>8536</v>
      </c>
      <c r="B1600" t="s">
        <v>2415</v>
      </c>
      <c r="C1600" t="s">
        <v>6935</v>
      </c>
      <c r="D1600" s="1">
        <v>45536</v>
      </c>
      <c r="E1600" s="1">
        <v>45543</v>
      </c>
      <c r="F1600" s="1">
        <v>45544</v>
      </c>
      <c r="G1600">
        <v>24.31</v>
      </c>
      <c r="H16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00" t="str">
        <f>IFERROR(INDEX(Raw_orders!G:G, MATCH(shipments[[#This Row],[order_id]],Raw_orders!A:A, 0)), "Unknown")</f>
        <v>Central Europe</v>
      </c>
      <c r="J1600" t="str">
        <f>PROPER(shipments[[#This Row],[delivery_status]])</f>
        <v>Delivered</v>
      </c>
      <c r="K1600" t="s">
        <v>6922</v>
      </c>
    </row>
    <row r="1601" spans="1:11">
      <c r="A1601" t="s">
        <v>8537</v>
      </c>
      <c r="B1601" t="s">
        <v>2416</v>
      </c>
      <c r="C1601" t="s">
        <v>6940</v>
      </c>
      <c r="D1601" s="1">
        <v>45117</v>
      </c>
      <c r="E1601" s="1">
        <v>45120</v>
      </c>
      <c r="F1601" s="1">
        <v>45131</v>
      </c>
      <c r="G1601">
        <v>42.34</v>
      </c>
      <c r="H16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01" t="str">
        <f>IFERROR(INDEX(Raw_orders!G:G, MATCH(shipments[[#This Row],[order_id]],Raw_orders!A:A, 0)), "Unknown")</f>
        <v>Baltics</v>
      </c>
      <c r="J1601" t="str">
        <f>PROPER(shipments[[#This Row],[delivery_status]])</f>
        <v>Delivered</v>
      </c>
      <c r="K1601" t="s">
        <v>6922</v>
      </c>
    </row>
    <row r="1602" spans="1:11">
      <c r="A1602" t="s">
        <v>8538</v>
      </c>
      <c r="B1602" t="s">
        <v>2417</v>
      </c>
      <c r="C1602" t="s">
        <v>6931</v>
      </c>
      <c r="D1602" s="1">
        <v>45070</v>
      </c>
      <c r="E1602" s="1">
        <v>45072</v>
      </c>
      <c r="F1602" s="1">
        <v>45080</v>
      </c>
      <c r="G1602">
        <v>46.38</v>
      </c>
      <c r="H16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02" t="str">
        <f>IFERROR(INDEX(Raw_orders!G:G, MATCH(shipments[[#This Row],[order_id]],Raw_orders!A:A, 0)), "Unknown")</f>
        <v>Baltics</v>
      </c>
      <c r="J1602" t="str">
        <f>PROPER(shipments[[#This Row],[delivery_status]])</f>
        <v>Delivered</v>
      </c>
      <c r="K1602" t="s">
        <v>6929</v>
      </c>
    </row>
    <row r="1603" spans="1:11">
      <c r="A1603" t="s">
        <v>8539</v>
      </c>
      <c r="B1603" t="s">
        <v>2417</v>
      </c>
      <c r="C1603" t="s">
        <v>6956</v>
      </c>
      <c r="D1603" s="1">
        <v>45071</v>
      </c>
      <c r="E1603" s="1">
        <v>45081</v>
      </c>
      <c r="F1603" s="1">
        <v>45089</v>
      </c>
      <c r="G1603">
        <v>34.799999999999997</v>
      </c>
      <c r="H16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03" t="str">
        <f>IFERROR(INDEX(Raw_orders!G:G, MATCH(shipments[[#This Row],[order_id]],Raw_orders!A:A, 0)), "Unknown")</f>
        <v>Baltics</v>
      </c>
      <c r="J1603" t="str">
        <f>PROPER(shipments[[#This Row],[delivery_status]])</f>
        <v>Delivered</v>
      </c>
      <c r="K1603" t="s">
        <v>6926</v>
      </c>
    </row>
    <row r="1604" spans="1:11">
      <c r="A1604" t="s">
        <v>8540</v>
      </c>
      <c r="B1604" t="s">
        <v>2418</v>
      </c>
      <c r="C1604" t="s">
        <v>6928</v>
      </c>
      <c r="D1604" s="1">
        <v>45533</v>
      </c>
      <c r="E1604" s="1">
        <v>45540</v>
      </c>
      <c r="F1604" s="1">
        <v>45542</v>
      </c>
      <c r="G1604">
        <v>59.56</v>
      </c>
      <c r="H16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04" t="str">
        <f>IFERROR(INDEX(Raw_orders!G:G, MATCH(shipments[[#This Row],[order_id]],Raw_orders!A:A, 0)), "Unknown")</f>
        <v>Central Europe</v>
      </c>
      <c r="J1604" t="str">
        <f>PROPER(shipments[[#This Row],[delivery_status]])</f>
        <v>Delivered</v>
      </c>
      <c r="K1604" t="s">
        <v>6922</v>
      </c>
    </row>
    <row r="1605" spans="1:11">
      <c r="A1605" t="s">
        <v>8541</v>
      </c>
      <c r="B1605" t="s">
        <v>2419</v>
      </c>
      <c r="C1605" t="s">
        <v>6928</v>
      </c>
      <c r="D1605" s="1">
        <v>45308</v>
      </c>
      <c r="E1605" s="1">
        <v>45315</v>
      </c>
      <c r="F1605" s="1"/>
      <c r="G1605">
        <v>19.7</v>
      </c>
      <c r="H16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605" t="str">
        <f>IFERROR(INDEX(Raw_orders!G:G, MATCH(shipments[[#This Row],[order_id]],Raw_orders!A:A, 0)), "Unknown")</f>
        <v>Nordics</v>
      </c>
      <c r="J1605" t="str">
        <f>PROPER(shipments[[#This Row],[delivery_status]])</f>
        <v>In Transit</v>
      </c>
      <c r="K1605" t="s">
        <v>6958</v>
      </c>
    </row>
    <row r="1606" spans="1:11">
      <c r="A1606" t="s">
        <v>8542</v>
      </c>
      <c r="B1606" t="s">
        <v>2420</v>
      </c>
      <c r="C1606" t="s">
        <v>6935</v>
      </c>
      <c r="D1606" s="1">
        <v>45510</v>
      </c>
      <c r="E1606" s="1">
        <v>45513</v>
      </c>
      <c r="F1606" s="1">
        <v>45516</v>
      </c>
      <c r="G1606">
        <v>31.41</v>
      </c>
      <c r="H16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06" t="str">
        <f>IFERROR(INDEX(Raw_orders!G:G, MATCH(shipments[[#This Row],[order_id]],Raw_orders!A:A, 0)), "Unknown")</f>
        <v>Central Europe</v>
      </c>
      <c r="J1606" t="str">
        <f>PROPER(shipments[[#This Row],[delivery_status]])</f>
        <v>Delivered</v>
      </c>
      <c r="K1606" t="s">
        <v>6922</v>
      </c>
    </row>
    <row r="1607" spans="1:11">
      <c r="A1607" t="s">
        <v>8543</v>
      </c>
      <c r="B1607" t="s">
        <v>2421</v>
      </c>
      <c r="C1607" t="s">
        <v>6921</v>
      </c>
      <c r="D1607" s="1">
        <v>45207</v>
      </c>
      <c r="E1607" s="1">
        <v>45214</v>
      </c>
      <c r="F1607" s="1">
        <v>45215</v>
      </c>
      <c r="G1607">
        <v>25.58</v>
      </c>
      <c r="H16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07" t="str">
        <f>IFERROR(INDEX(Raw_orders!G:G, MATCH(shipments[[#This Row],[order_id]],Raw_orders!A:A, 0)), "Unknown")</f>
        <v>Baltics</v>
      </c>
      <c r="J1607" t="str">
        <f>PROPER(shipments[[#This Row],[delivery_status]])</f>
        <v>Delivered</v>
      </c>
      <c r="K1607" t="s">
        <v>6922</v>
      </c>
    </row>
    <row r="1608" spans="1:11">
      <c r="A1608" t="s">
        <v>8544</v>
      </c>
      <c r="B1608" t="s">
        <v>2422</v>
      </c>
      <c r="C1608" t="s">
        <v>6921</v>
      </c>
      <c r="D1608" s="1">
        <v>45196</v>
      </c>
      <c r="E1608" s="1">
        <v>45201</v>
      </c>
      <c r="F1608" s="1">
        <v>45212</v>
      </c>
      <c r="G1608">
        <v>10.88</v>
      </c>
      <c r="H16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08" t="str">
        <f>IFERROR(INDEX(Raw_orders!G:G, MATCH(shipments[[#This Row],[order_id]],Raw_orders!A:A, 0)), "Unknown")</f>
        <v>Central Europe</v>
      </c>
      <c r="J1608" t="str">
        <f>PROPER(shipments[[#This Row],[delivery_status]])</f>
        <v>Delivered</v>
      </c>
      <c r="K1608" t="s">
        <v>6926</v>
      </c>
    </row>
    <row r="1609" spans="1:11">
      <c r="A1609" t="s">
        <v>8545</v>
      </c>
      <c r="B1609" t="s">
        <v>2423</v>
      </c>
      <c r="C1609" t="s">
        <v>6928</v>
      </c>
      <c r="D1609" s="1">
        <v>45101</v>
      </c>
      <c r="E1609" s="1">
        <v>45103</v>
      </c>
      <c r="F1609" s="1">
        <v>45106</v>
      </c>
      <c r="G1609">
        <v>41.36</v>
      </c>
      <c r="H16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09" t="str">
        <f>IFERROR(INDEX(Raw_orders!G:G, MATCH(shipments[[#This Row],[order_id]],Raw_orders!A:A, 0)), "Unknown")</f>
        <v>Baltics</v>
      </c>
      <c r="J1609" t="str">
        <f>PROPER(shipments[[#This Row],[delivery_status]])</f>
        <v>Delivered</v>
      </c>
      <c r="K1609" t="s">
        <v>6922</v>
      </c>
    </row>
    <row r="1610" spans="1:11">
      <c r="A1610" t="s">
        <v>8546</v>
      </c>
      <c r="B1610" t="s">
        <v>2424</v>
      </c>
      <c r="C1610" t="s">
        <v>6956</v>
      </c>
      <c r="D1610" s="1">
        <v>45317</v>
      </c>
      <c r="E1610" s="1">
        <v>45320</v>
      </c>
      <c r="F1610" s="1">
        <v>45320</v>
      </c>
      <c r="G1610">
        <v>24.25</v>
      </c>
      <c r="H16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10" t="str">
        <f>IFERROR(INDEX(Raw_orders!G:G, MATCH(shipments[[#This Row],[order_id]],Raw_orders!A:A, 0)), "Unknown")</f>
        <v>Nordics</v>
      </c>
      <c r="J1610" t="str">
        <f>PROPER(shipments[[#This Row],[delivery_status]])</f>
        <v>Delivered</v>
      </c>
      <c r="K1610" t="s">
        <v>6929</v>
      </c>
    </row>
    <row r="1611" spans="1:11">
      <c r="A1611" t="s">
        <v>8547</v>
      </c>
      <c r="B1611" t="s">
        <v>2425</v>
      </c>
      <c r="C1611" t="s">
        <v>6925</v>
      </c>
      <c r="D1611" s="1">
        <v>45600</v>
      </c>
      <c r="E1611" s="1">
        <v>45610</v>
      </c>
      <c r="F1611" s="1">
        <v>45613</v>
      </c>
      <c r="G1611">
        <v>27.05</v>
      </c>
      <c r="H16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11" t="str">
        <f>IFERROR(INDEX(Raw_orders!G:G, MATCH(shipments[[#This Row],[order_id]],Raw_orders!A:A, 0)), "Unknown")</f>
        <v>Central Europe</v>
      </c>
      <c r="J1611" t="str">
        <f>PROPER(shipments[[#This Row],[delivery_status]])</f>
        <v>Delivered</v>
      </c>
      <c r="K1611" t="s">
        <v>6929</v>
      </c>
    </row>
    <row r="1612" spans="1:11">
      <c r="A1612" t="s">
        <v>8548</v>
      </c>
      <c r="B1612" t="s">
        <v>2426</v>
      </c>
      <c r="C1612" t="s">
        <v>6928</v>
      </c>
      <c r="D1612" s="1">
        <v>45270</v>
      </c>
      <c r="E1612" s="1">
        <v>45275</v>
      </c>
      <c r="F1612" s="1">
        <v>45274</v>
      </c>
      <c r="G1612">
        <v>17.45</v>
      </c>
      <c r="H16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12" t="str">
        <f>IFERROR(INDEX(Raw_orders!G:G, MATCH(shipments[[#This Row],[order_id]],Raw_orders!A:A, 0)), "Unknown")</f>
        <v>Nordics</v>
      </c>
      <c r="J1612" t="str">
        <f>PROPER(shipments[[#This Row],[delivery_status]])</f>
        <v>Delivered</v>
      </c>
      <c r="K1612" t="s">
        <v>6922</v>
      </c>
    </row>
    <row r="1613" spans="1:11">
      <c r="A1613" t="s">
        <v>8549</v>
      </c>
      <c r="B1613" t="s">
        <v>2427</v>
      </c>
      <c r="C1613" t="s">
        <v>6925</v>
      </c>
      <c r="D1613" s="1">
        <v>45106</v>
      </c>
      <c r="E1613" s="1">
        <v>45113</v>
      </c>
      <c r="F1613" s="1">
        <v>45112</v>
      </c>
      <c r="G1613">
        <v>27.96</v>
      </c>
      <c r="H16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13" t="str">
        <f>IFERROR(INDEX(Raw_orders!G:G, MATCH(shipments[[#This Row],[order_id]],Raw_orders!A:A, 0)), "Unknown")</f>
        <v>Baltics</v>
      </c>
      <c r="J1613" t="str">
        <f>PROPER(shipments[[#This Row],[delivery_status]])</f>
        <v>Delivered</v>
      </c>
      <c r="K1613" t="s">
        <v>6929</v>
      </c>
    </row>
    <row r="1614" spans="1:11">
      <c r="A1614" t="s">
        <v>8550</v>
      </c>
      <c r="B1614" t="s">
        <v>2428</v>
      </c>
      <c r="C1614" t="s">
        <v>6956</v>
      </c>
      <c r="D1614" s="1">
        <v>45080</v>
      </c>
      <c r="E1614" s="1">
        <v>45087</v>
      </c>
      <c r="F1614" s="1">
        <v>45087</v>
      </c>
      <c r="G1614">
        <v>56.72</v>
      </c>
      <c r="H16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14" t="str">
        <f>IFERROR(INDEX(Raw_orders!G:G, MATCH(shipments[[#This Row],[order_id]],Raw_orders!A:A, 0)), "Unknown")</f>
        <v>Central Europe</v>
      </c>
      <c r="J1614" t="str">
        <f>PROPER(shipments[[#This Row],[delivery_status]])</f>
        <v>Delivered</v>
      </c>
      <c r="K1614" t="s">
        <v>6922</v>
      </c>
    </row>
    <row r="1615" spans="1:11">
      <c r="A1615" t="s">
        <v>8551</v>
      </c>
      <c r="B1615" t="s">
        <v>2429</v>
      </c>
      <c r="C1615" t="s">
        <v>6956</v>
      </c>
      <c r="D1615" s="1">
        <v>45362</v>
      </c>
      <c r="E1615" s="1">
        <v>45365</v>
      </c>
      <c r="F1615" s="1">
        <v>45365</v>
      </c>
      <c r="G1615">
        <v>10.41</v>
      </c>
      <c r="H16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15" t="str">
        <f>IFERROR(INDEX(Raw_orders!G:G, MATCH(shipments[[#This Row],[order_id]],Raw_orders!A:A, 0)), "Unknown")</f>
        <v>Nordics</v>
      </c>
      <c r="J1615" t="str">
        <f>PROPER(shipments[[#This Row],[delivery_status]])</f>
        <v>Delivered</v>
      </c>
      <c r="K1615" t="s">
        <v>6929</v>
      </c>
    </row>
    <row r="1616" spans="1:11">
      <c r="A1616" t="s">
        <v>8552</v>
      </c>
      <c r="B1616" t="s">
        <v>2430</v>
      </c>
      <c r="C1616" t="s">
        <v>6938</v>
      </c>
      <c r="D1616" s="1">
        <v>45628</v>
      </c>
      <c r="E1616" s="1">
        <v>45631</v>
      </c>
      <c r="F1616" s="1">
        <v>45633</v>
      </c>
      <c r="G1616">
        <v>35.14</v>
      </c>
      <c r="H16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16" t="str">
        <f>IFERROR(INDEX(Raw_orders!G:G, MATCH(shipments[[#This Row],[order_id]],Raw_orders!A:A, 0)), "Unknown")</f>
        <v>Nordics</v>
      </c>
      <c r="J1616" t="str">
        <f>PROPER(shipments[[#This Row],[delivery_status]])</f>
        <v>Delivered</v>
      </c>
      <c r="K1616" t="s">
        <v>6922</v>
      </c>
    </row>
    <row r="1617" spans="1:11">
      <c r="A1617" t="s">
        <v>8553</v>
      </c>
      <c r="B1617" t="s">
        <v>2431</v>
      </c>
      <c r="C1617" t="s">
        <v>6925</v>
      </c>
      <c r="D1617" s="1">
        <v>44968</v>
      </c>
      <c r="E1617" s="1">
        <v>44973</v>
      </c>
      <c r="F1617" s="1">
        <v>44979</v>
      </c>
      <c r="G1617">
        <v>64.11</v>
      </c>
      <c r="H16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17" t="str">
        <f>IFERROR(INDEX(Raw_orders!G:G, MATCH(shipments[[#This Row],[order_id]],Raw_orders!A:A, 0)), "Unknown")</f>
        <v>Central Europe</v>
      </c>
      <c r="J1617" t="str">
        <f>PROPER(shipments[[#This Row],[delivery_status]])</f>
        <v>Delivered</v>
      </c>
      <c r="K1617" t="s">
        <v>6922</v>
      </c>
    </row>
    <row r="1618" spans="1:11">
      <c r="A1618" t="s">
        <v>8554</v>
      </c>
      <c r="B1618" t="s">
        <v>2432</v>
      </c>
      <c r="C1618" t="s">
        <v>6935</v>
      </c>
      <c r="D1618" s="1">
        <v>45172</v>
      </c>
      <c r="E1618" s="1">
        <v>45179</v>
      </c>
      <c r="F1618" s="1">
        <v>45181</v>
      </c>
      <c r="G1618">
        <v>7.68</v>
      </c>
      <c r="H16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18" t="str">
        <f>IFERROR(INDEX(Raw_orders!G:G, MATCH(shipments[[#This Row],[order_id]],Raw_orders!A:A, 0)), "Unknown")</f>
        <v>Central Europe</v>
      </c>
      <c r="J1618" t="str">
        <f>PROPER(shipments[[#This Row],[delivery_status]])</f>
        <v>Delivered</v>
      </c>
      <c r="K1618" t="s">
        <v>6929</v>
      </c>
    </row>
    <row r="1619" spans="1:11">
      <c r="A1619" t="s">
        <v>8555</v>
      </c>
      <c r="B1619" t="s">
        <v>2433</v>
      </c>
      <c r="C1619" t="s">
        <v>6925</v>
      </c>
      <c r="D1619" s="1">
        <v>45464</v>
      </c>
      <c r="E1619" s="1">
        <v>45467</v>
      </c>
      <c r="F1619" s="1">
        <v>45466</v>
      </c>
      <c r="G1619">
        <v>22.23</v>
      </c>
      <c r="H16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19" t="str">
        <f>IFERROR(INDEX(Raw_orders!G:G, MATCH(shipments[[#This Row],[order_id]],Raw_orders!A:A, 0)), "Unknown")</f>
        <v>Baltics</v>
      </c>
      <c r="J1619" t="str">
        <f>PROPER(shipments[[#This Row],[delivery_status]])</f>
        <v>Delivered</v>
      </c>
      <c r="K1619" t="s">
        <v>6922</v>
      </c>
    </row>
    <row r="1620" spans="1:11">
      <c r="A1620" t="s">
        <v>8556</v>
      </c>
      <c r="B1620" t="s">
        <v>2433</v>
      </c>
      <c r="C1620" t="s">
        <v>6935</v>
      </c>
      <c r="D1620" s="1">
        <v>45463</v>
      </c>
      <c r="E1620" s="1">
        <v>45465</v>
      </c>
      <c r="F1620" s="1">
        <v>45466</v>
      </c>
      <c r="G1620">
        <v>31.31</v>
      </c>
      <c r="H16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20" t="str">
        <f>IFERROR(INDEX(Raw_orders!G:G, MATCH(shipments[[#This Row],[order_id]],Raw_orders!A:A, 0)), "Unknown")</f>
        <v>Baltics</v>
      </c>
      <c r="J1620" t="str">
        <f>PROPER(shipments[[#This Row],[delivery_status]])</f>
        <v>Delivered</v>
      </c>
      <c r="K1620" t="s">
        <v>6922</v>
      </c>
    </row>
    <row r="1621" spans="1:11">
      <c r="A1621" t="s">
        <v>8557</v>
      </c>
      <c r="B1621" t="s">
        <v>2434</v>
      </c>
      <c r="C1621" t="s">
        <v>6925</v>
      </c>
      <c r="D1621" s="1">
        <v>45332</v>
      </c>
      <c r="E1621" s="1">
        <v>45335</v>
      </c>
      <c r="F1621" s="1">
        <v>45340</v>
      </c>
      <c r="G1621">
        <v>55.84</v>
      </c>
      <c r="H16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21" t="str">
        <f>IFERROR(INDEX(Raw_orders!G:G, MATCH(shipments[[#This Row],[order_id]],Raw_orders!A:A, 0)), "Unknown")</f>
        <v>Nordics</v>
      </c>
      <c r="J1621" t="str">
        <f>PROPER(shipments[[#This Row],[delivery_status]])</f>
        <v>Delivered</v>
      </c>
      <c r="K1621" t="s">
        <v>6922</v>
      </c>
    </row>
    <row r="1622" spans="1:11">
      <c r="A1622" t="s">
        <v>8558</v>
      </c>
      <c r="B1622" t="s">
        <v>2435</v>
      </c>
      <c r="C1622" t="s">
        <v>6925</v>
      </c>
      <c r="D1622" s="1">
        <v>45450</v>
      </c>
      <c r="E1622" s="1">
        <v>45452</v>
      </c>
      <c r="F1622" s="1">
        <v>45455</v>
      </c>
      <c r="G1622">
        <v>64.13</v>
      </c>
      <c r="H16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22" t="str">
        <f>IFERROR(INDEX(Raw_orders!G:G, MATCH(shipments[[#This Row],[order_id]],Raw_orders!A:A, 0)), "Unknown")</f>
        <v>Baltics</v>
      </c>
      <c r="J1622" t="str">
        <f>PROPER(shipments[[#This Row],[delivery_status]])</f>
        <v>Delivered</v>
      </c>
      <c r="K1622" t="s">
        <v>6922</v>
      </c>
    </row>
    <row r="1623" spans="1:11">
      <c r="A1623" t="s">
        <v>8559</v>
      </c>
      <c r="B1623" t="s">
        <v>2436</v>
      </c>
      <c r="C1623" t="s">
        <v>6956</v>
      </c>
      <c r="D1623" s="1">
        <v>45275</v>
      </c>
      <c r="E1623" s="1">
        <v>45285</v>
      </c>
      <c r="F1623" s="1">
        <v>45286</v>
      </c>
      <c r="G1623">
        <v>17.100000000000001</v>
      </c>
      <c r="H16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23" t="str">
        <f>IFERROR(INDEX(Raw_orders!G:G, MATCH(shipments[[#This Row],[order_id]],Raw_orders!A:A, 0)), "Unknown")</f>
        <v>Nordics</v>
      </c>
      <c r="J1623" t="str">
        <f>PROPER(shipments[[#This Row],[delivery_status]])</f>
        <v>Delivered</v>
      </c>
      <c r="K1623" t="s">
        <v>6922</v>
      </c>
    </row>
    <row r="1624" spans="1:11">
      <c r="A1624" t="s">
        <v>8560</v>
      </c>
      <c r="B1624" t="s">
        <v>2437</v>
      </c>
      <c r="C1624" t="s">
        <v>6938</v>
      </c>
      <c r="D1624" s="1">
        <v>45410</v>
      </c>
      <c r="E1624" s="1">
        <v>45415</v>
      </c>
      <c r="F1624" s="1">
        <v>45415</v>
      </c>
      <c r="G1624">
        <v>55.89</v>
      </c>
      <c r="H16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24" t="str">
        <f>IFERROR(INDEX(Raw_orders!G:G, MATCH(shipments[[#This Row],[order_id]],Raw_orders!A:A, 0)), "Unknown")</f>
        <v>Baltics</v>
      </c>
      <c r="J1624" t="str">
        <f>PROPER(shipments[[#This Row],[delivery_status]])</f>
        <v>Delivered</v>
      </c>
      <c r="K1624" t="s">
        <v>6929</v>
      </c>
    </row>
    <row r="1625" spans="1:11">
      <c r="A1625" t="s">
        <v>8561</v>
      </c>
      <c r="B1625" t="s">
        <v>2438</v>
      </c>
      <c r="C1625" t="s">
        <v>6935</v>
      </c>
      <c r="D1625" s="1">
        <v>45293</v>
      </c>
      <c r="E1625" s="1">
        <v>45298</v>
      </c>
      <c r="F1625" s="1">
        <v>45310</v>
      </c>
      <c r="G1625">
        <v>59.73</v>
      </c>
      <c r="H16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25" t="str">
        <f>IFERROR(INDEX(Raw_orders!G:G, MATCH(shipments[[#This Row],[order_id]],Raw_orders!A:A, 0)), "Unknown")</f>
        <v>Nordics</v>
      </c>
      <c r="J1625" t="str">
        <f>PROPER(shipments[[#This Row],[delivery_status]])</f>
        <v>Delivered</v>
      </c>
      <c r="K1625" t="s">
        <v>6926</v>
      </c>
    </row>
    <row r="1626" spans="1:11">
      <c r="A1626" t="s">
        <v>8562</v>
      </c>
      <c r="B1626" t="s">
        <v>2439</v>
      </c>
      <c r="C1626" t="s">
        <v>6921</v>
      </c>
      <c r="D1626" s="1">
        <v>45121</v>
      </c>
      <c r="E1626" s="1">
        <v>45123</v>
      </c>
      <c r="F1626" s="1">
        <v>45126</v>
      </c>
      <c r="G1626">
        <v>63.51</v>
      </c>
      <c r="H16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26" t="str">
        <f>IFERROR(INDEX(Raw_orders!G:G, MATCH(shipments[[#This Row],[order_id]],Raw_orders!A:A, 0)), "Unknown")</f>
        <v>Nordics</v>
      </c>
      <c r="J1626" t="str">
        <f>PROPER(shipments[[#This Row],[delivery_status]])</f>
        <v>Delivered</v>
      </c>
      <c r="K1626" t="s">
        <v>6926</v>
      </c>
    </row>
    <row r="1627" spans="1:11">
      <c r="A1627" t="s">
        <v>8563</v>
      </c>
      <c r="B1627" t="s">
        <v>2440</v>
      </c>
      <c r="C1627" t="s">
        <v>6928</v>
      </c>
      <c r="D1627" s="1">
        <v>45335</v>
      </c>
      <c r="E1627" s="1">
        <v>45337</v>
      </c>
      <c r="F1627" s="1">
        <v>45337</v>
      </c>
      <c r="G1627">
        <v>14.02</v>
      </c>
      <c r="H16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27" t="str">
        <f>IFERROR(INDEX(Raw_orders!G:G, MATCH(shipments[[#This Row],[order_id]],Raw_orders!A:A, 0)), "Unknown")</f>
        <v>Nordics</v>
      </c>
      <c r="J1627" t="str">
        <f>PROPER(shipments[[#This Row],[delivery_status]])</f>
        <v>Delivered</v>
      </c>
      <c r="K1627" t="s">
        <v>6929</v>
      </c>
    </row>
    <row r="1628" spans="1:11">
      <c r="A1628" t="s">
        <v>8564</v>
      </c>
      <c r="B1628" t="s">
        <v>2441</v>
      </c>
      <c r="C1628" t="s">
        <v>6928</v>
      </c>
      <c r="D1628" s="1">
        <v>44984</v>
      </c>
      <c r="E1628" s="1">
        <v>44991</v>
      </c>
      <c r="F1628" s="1">
        <v>45003</v>
      </c>
      <c r="G1628">
        <v>28.96</v>
      </c>
      <c r="H16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28" t="str">
        <f>IFERROR(INDEX(Raw_orders!G:G, MATCH(shipments[[#This Row],[order_id]],Raw_orders!A:A, 0)), "Unknown")</f>
        <v>Central Europe</v>
      </c>
      <c r="J1628" t="str">
        <f>PROPER(shipments[[#This Row],[delivery_status]])</f>
        <v>Delivered</v>
      </c>
      <c r="K1628" t="s">
        <v>6922</v>
      </c>
    </row>
    <row r="1629" spans="1:11">
      <c r="A1629" t="s">
        <v>8565</v>
      </c>
      <c r="B1629" t="s">
        <v>2442</v>
      </c>
      <c r="C1629" t="s">
        <v>6938</v>
      </c>
      <c r="D1629" s="1">
        <v>45398</v>
      </c>
      <c r="E1629" s="1">
        <v>45405</v>
      </c>
      <c r="F1629" s="1">
        <v>45405</v>
      </c>
      <c r="G1629">
        <v>64.7</v>
      </c>
      <c r="H16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29" t="str">
        <f>IFERROR(INDEX(Raw_orders!G:G, MATCH(shipments[[#This Row],[order_id]],Raw_orders!A:A, 0)), "Unknown")</f>
        <v>Central Europe</v>
      </c>
      <c r="J1629" t="str">
        <f>PROPER(shipments[[#This Row],[delivery_status]])</f>
        <v>Delivered</v>
      </c>
      <c r="K1629" t="s">
        <v>6929</v>
      </c>
    </row>
    <row r="1630" spans="1:11">
      <c r="A1630" t="s">
        <v>8566</v>
      </c>
      <c r="B1630" t="s">
        <v>2443</v>
      </c>
      <c r="C1630" t="s">
        <v>6928</v>
      </c>
      <c r="D1630" s="1">
        <v>45110</v>
      </c>
      <c r="E1630" s="1">
        <v>45112</v>
      </c>
      <c r="F1630" s="1">
        <v>45112</v>
      </c>
      <c r="G1630">
        <v>32.25</v>
      </c>
      <c r="H16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30" t="str">
        <f>IFERROR(INDEX(Raw_orders!G:G, MATCH(shipments[[#This Row],[order_id]],Raw_orders!A:A, 0)), "Unknown")</f>
        <v>Central Europe</v>
      </c>
      <c r="J1630" t="str">
        <f>PROPER(shipments[[#This Row],[delivery_status]])</f>
        <v>Delivered</v>
      </c>
      <c r="K1630" t="s">
        <v>6926</v>
      </c>
    </row>
    <row r="1631" spans="1:11">
      <c r="A1631" t="s">
        <v>8567</v>
      </c>
      <c r="B1631" t="s">
        <v>2444</v>
      </c>
      <c r="C1631" t="s">
        <v>6928</v>
      </c>
      <c r="D1631" s="1">
        <v>45466</v>
      </c>
      <c r="E1631" s="1">
        <v>45468</v>
      </c>
      <c r="F1631" s="1">
        <v>45468</v>
      </c>
      <c r="G1631">
        <v>60.36</v>
      </c>
      <c r="H16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31" t="str">
        <f>IFERROR(INDEX(Raw_orders!G:G, MATCH(shipments[[#This Row],[order_id]],Raw_orders!A:A, 0)), "Unknown")</f>
        <v>Baltics</v>
      </c>
      <c r="J1631" t="str">
        <f>PROPER(shipments[[#This Row],[delivery_status]])</f>
        <v>Delivered</v>
      </c>
      <c r="K1631" t="s">
        <v>6926</v>
      </c>
    </row>
    <row r="1632" spans="1:11">
      <c r="A1632" t="s">
        <v>8568</v>
      </c>
      <c r="B1632" t="s">
        <v>2445</v>
      </c>
      <c r="C1632" t="s">
        <v>6928</v>
      </c>
      <c r="D1632" s="1">
        <v>45289</v>
      </c>
      <c r="E1632" s="1">
        <v>45291</v>
      </c>
      <c r="F1632" s="1">
        <v>45297</v>
      </c>
      <c r="G1632">
        <v>39.32</v>
      </c>
      <c r="H16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32" t="str">
        <f>IFERROR(INDEX(Raw_orders!G:G, MATCH(shipments[[#This Row],[order_id]],Raw_orders!A:A, 0)), "Unknown")</f>
        <v>Central Europe</v>
      </c>
      <c r="J1632" t="str">
        <f>PROPER(shipments[[#This Row],[delivery_status]])</f>
        <v>Delivered</v>
      </c>
      <c r="K1632" t="s">
        <v>6922</v>
      </c>
    </row>
    <row r="1633" spans="1:11">
      <c r="A1633" t="s">
        <v>8569</v>
      </c>
      <c r="B1633" t="s">
        <v>2446</v>
      </c>
      <c r="C1633" t="s">
        <v>6949</v>
      </c>
      <c r="D1633" s="1">
        <v>45204</v>
      </c>
      <c r="E1633" s="1">
        <v>45211</v>
      </c>
      <c r="F1633" s="1">
        <v>45212</v>
      </c>
      <c r="G1633">
        <v>27.67</v>
      </c>
      <c r="H16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33" t="str">
        <f>IFERROR(INDEX(Raw_orders!G:G, MATCH(shipments[[#This Row],[order_id]],Raw_orders!A:A, 0)), "Unknown")</f>
        <v>Central Europe</v>
      </c>
      <c r="J1633" t="str">
        <f>PROPER(shipments[[#This Row],[delivery_status]])</f>
        <v>Delivered</v>
      </c>
      <c r="K1633" t="s">
        <v>6929</v>
      </c>
    </row>
    <row r="1634" spans="1:11">
      <c r="A1634" t="s">
        <v>8570</v>
      </c>
      <c r="B1634" t="s">
        <v>2447</v>
      </c>
      <c r="C1634" t="s">
        <v>6921</v>
      </c>
      <c r="D1634" s="1">
        <v>45526</v>
      </c>
      <c r="E1634" s="1">
        <v>45529</v>
      </c>
      <c r="F1634" s="1"/>
      <c r="G1634">
        <v>35.33</v>
      </c>
      <c r="H16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634" t="str">
        <f>IFERROR(INDEX(Raw_orders!G:G, MATCH(shipments[[#This Row],[order_id]],Raw_orders!A:A, 0)), "Unknown")</f>
        <v>Nordics</v>
      </c>
      <c r="J1634" t="str">
        <f>PROPER(shipments[[#This Row],[delivery_status]])</f>
        <v>In Transit</v>
      </c>
      <c r="K1634" t="s">
        <v>6958</v>
      </c>
    </row>
    <row r="1635" spans="1:11">
      <c r="A1635" t="s">
        <v>8571</v>
      </c>
      <c r="B1635" t="s">
        <v>2448</v>
      </c>
      <c r="C1635" t="s">
        <v>6928</v>
      </c>
      <c r="D1635" s="1">
        <v>45323</v>
      </c>
      <c r="E1635" s="1">
        <v>45333</v>
      </c>
      <c r="F1635" s="1">
        <v>45333</v>
      </c>
      <c r="G1635">
        <v>22.64</v>
      </c>
      <c r="H16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35" t="str">
        <f>IFERROR(INDEX(Raw_orders!G:G, MATCH(shipments[[#This Row],[order_id]],Raw_orders!A:A, 0)), "Unknown")</f>
        <v>Central Europe</v>
      </c>
      <c r="J1635" t="str">
        <f>PROPER(shipments[[#This Row],[delivery_status]])</f>
        <v>Delivered</v>
      </c>
      <c r="K1635" t="s">
        <v>6929</v>
      </c>
    </row>
    <row r="1636" spans="1:11">
      <c r="A1636" t="s">
        <v>8572</v>
      </c>
      <c r="B1636" t="s">
        <v>2449</v>
      </c>
      <c r="C1636" t="s">
        <v>6940</v>
      </c>
      <c r="D1636" s="1">
        <v>45035</v>
      </c>
      <c r="E1636" s="1">
        <v>45040</v>
      </c>
      <c r="F1636" s="1">
        <v>45048</v>
      </c>
      <c r="G1636">
        <v>12.45</v>
      </c>
      <c r="H16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36" t="str">
        <f>IFERROR(INDEX(Raw_orders!G:G, MATCH(shipments[[#This Row],[order_id]],Raw_orders!A:A, 0)), "Unknown")</f>
        <v>Central Europe</v>
      </c>
      <c r="J1636" t="str">
        <f>PROPER(shipments[[#This Row],[delivery_status]])</f>
        <v>Delivered</v>
      </c>
      <c r="K1636" t="s">
        <v>6929</v>
      </c>
    </row>
    <row r="1637" spans="1:11">
      <c r="A1637" t="s">
        <v>8573</v>
      </c>
      <c r="B1637" t="s">
        <v>2450</v>
      </c>
      <c r="C1637" t="s">
        <v>6940</v>
      </c>
      <c r="D1637" s="1">
        <v>45409</v>
      </c>
      <c r="E1637" s="1">
        <v>45411</v>
      </c>
      <c r="F1637" s="1">
        <v>45418</v>
      </c>
      <c r="G1637">
        <v>35.659999999999997</v>
      </c>
      <c r="H16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37" t="str">
        <f>IFERROR(INDEX(Raw_orders!G:G, MATCH(shipments[[#This Row],[order_id]],Raw_orders!A:A, 0)), "Unknown")</f>
        <v>Nordics</v>
      </c>
      <c r="J1637" t="str">
        <f>PROPER(shipments[[#This Row],[delivery_status]])</f>
        <v>Delivered</v>
      </c>
      <c r="K1637" t="s">
        <v>6926</v>
      </c>
    </row>
    <row r="1638" spans="1:11">
      <c r="A1638" t="s">
        <v>8574</v>
      </c>
      <c r="B1638" t="s">
        <v>2451</v>
      </c>
      <c r="C1638" t="s">
        <v>6925</v>
      </c>
      <c r="D1638" s="1">
        <v>45325</v>
      </c>
      <c r="E1638" s="1">
        <v>45328</v>
      </c>
      <c r="F1638" s="1">
        <v>45328</v>
      </c>
      <c r="G1638">
        <v>20.16</v>
      </c>
      <c r="H16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38" t="str">
        <f>IFERROR(INDEX(Raw_orders!G:G, MATCH(shipments[[#This Row],[order_id]],Raw_orders!A:A, 0)), "Unknown")</f>
        <v>Nordics</v>
      </c>
      <c r="J1638" t="str">
        <f>PROPER(shipments[[#This Row],[delivery_status]])</f>
        <v>Delivered</v>
      </c>
      <c r="K1638" t="s">
        <v>6926</v>
      </c>
    </row>
    <row r="1639" spans="1:11">
      <c r="A1639" t="s">
        <v>8575</v>
      </c>
      <c r="B1639" t="s">
        <v>2452</v>
      </c>
      <c r="C1639" t="s">
        <v>6956</v>
      </c>
      <c r="D1639" s="1">
        <v>44929</v>
      </c>
      <c r="E1639" s="1">
        <v>44936</v>
      </c>
      <c r="F1639" s="1">
        <v>44935</v>
      </c>
      <c r="G1639">
        <v>29.97</v>
      </c>
      <c r="H16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39" t="str">
        <f>IFERROR(INDEX(Raw_orders!G:G, MATCH(shipments[[#This Row],[order_id]],Raw_orders!A:A, 0)), "Unknown")</f>
        <v>Nordics</v>
      </c>
      <c r="J1639" t="str">
        <f>PROPER(shipments[[#This Row],[delivery_status]])</f>
        <v>Delivered</v>
      </c>
      <c r="K1639" t="s">
        <v>6929</v>
      </c>
    </row>
    <row r="1640" spans="1:11">
      <c r="A1640" t="s">
        <v>8576</v>
      </c>
      <c r="B1640" t="s">
        <v>2453</v>
      </c>
      <c r="C1640" t="s">
        <v>6921</v>
      </c>
      <c r="D1640" s="1">
        <v>45537</v>
      </c>
      <c r="E1640" s="1">
        <v>45540</v>
      </c>
      <c r="F1640" s="1"/>
      <c r="G1640">
        <v>29.64</v>
      </c>
      <c r="H16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640" t="str">
        <f>IFERROR(INDEX(Raw_orders!G:G, MATCH(shipments[[#This Row],[order_id]],Raw_orders!A:A, 0)), "Unknown")</f>
        <v>Nordics</v>
      </c>
      <c r="J1640" t="str">
        <f>PROPER(shipments[[#This Row],[delivery_status]])</f>
        <v>In Transit</v>
      </c>
      <c r="K1640" t="s">
        <v>6946</v>
      </c>
    </row>
    <row r="1641" spans="1:11">
      <c r="A1641" t="s">
        <v>8577</v>
      </c>
      <c r="B1641" t="s">
        <v>2454</v>
      </c>
      <c r="C1641" t="s">
        <v>6925</v>
      </c>
      <c r="D1641" s="1">
        <v>44992</v>
      </c>
      <c r="E1641" s="1">
        <v>44997</v>
      </c>
      <c r="F1641" s="1">
        <v>44997</v>
      </c>
      <c r="G1641">
        <v>57.48</v>
      </c>
      <c r="H16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41" t="str">
        <f>IFERROR(INDEX(Raw_orders!G:G, MATCH(shipments[[#This Row],[order_id]],Raw_orders!A:A, 0)), "Unknown")</f>
        <v>Central Europe</v>
      </c>
      <c r="J1641" t="str">
        <f>PROPER(shipments[[#This Row],[delivery_status]])</f>
        <v>Delivered</v>
      </c>
      <c r="K1641" t="s">
        <v>6929</v>
      </c>
    </row>
    <row r="1642" spans="1:11">
      <c r="A1642" t="s">
        <v>8578</v>
      </c>
      <c r="B1642" t="s">
        <v>2455</v>
      </c>
      <c r="C1642" t="s">
        <v>6921</v>
      </c>
      <c r="D1642" s="1">
        <v>45269</v>
      </c>
      <c r="E1642" s="1">
        <v>45274</v>
      </c>
      <c r="F1642" s="1"/>
      <c r="G1642">
        <v>13.95</v>
      </c>
      <c r="H16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642" t="str">
        <f>IFERROR(INDEX(Raw_orders!G:G, MATCH(shipments[[#This Row],[order_id]],Raw_orders!A:A, 0)), "Unknown")</f>
        <v>Central Europe</v>
      </c>
      <c r="J1642" t="str">
        <f>PROPER(shipments[[#This Row],[delivery_status]])</f>
        <v>In Transit</v>
      </c>
      <c r="K1642" t="s">
        <v>6977</v>
      </c>
    </row>
    <row r="1643" spans="1:11">
      <c r="A1643" t="s">
        <v>8579</v>
      </c>
      <c r="B1643" t="s">
        <v>2455</v>
      </c>
      <c r="C1643" t="s">
        <v>6949</v>
      </c>
      <c r="D1643" s="1">
        <v>45270</v>
      </c>
      <c r="E1643" s="1">
        <v>45277</v>
      </c>
      <c r="F1643" s="1">
        <v>45279</v>
      </c>
      <c r="G1643">
        <v>32.06</v>
      </c>
      <c r="H16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43" t="str">
        <f>IFERROR(INDEX(Raw_orders!G:G, MATCH(shipments[[#This Row],[order_id]],Raw_orders!A:A, 0)), "Unknown")</f>
        <v>Central Europe</v>
      </c>
      <c r="J1643" t="str">
        <f>PROPER(shipments[[#This Row],[delivery_status]])</f>
        <v>Delivered</v>
      </c>
      <c r="K1643" t="s">
        <v>6929</v>
      </c>
    </row>
    <row r="1644" spans="1:11">
      <c r="A1644" t="s">
        <v>8580</v>
      </c>
      <c r="B1644" t="s">
        <v>2456</v>
      </c>
      <c r="C1644" t="s">
        <v>6928</v>
      </c>
      <c r="D1644" s="1">
        <v>45600</v>
      </c>
      <c r="E1644" s="1">
        <v>45603</v>
      </c>
      <c r="F1644" s="1">
        <v>45606</v>
      </c>
      <c r="G1644">
        <v>61.53</v>
      </c>
      <c r="H16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44" t="str">
        <f>IFERROR(INDEX(Raw_orders!G:G, MATCH(shipments[[#This Row],[order_id]],Raw_orders!A:A, 0)), "Unknown")</f>
        <v>Baltics</v>
      </c>
      <c r="J1644" t="str">
        <f>PROPER(shipments[[#This Row],[delivery_status]])</f>
        <v>Delivered</v>
      </c>
      <c r="K1644" t="s">
        <v>6922</v>
      </c>
    </row>
    <row r="1645" spans="1:11">
      <c r="A1645" t="s">
        <v>8581</v>
      </c>
      <c r="B1645" t="s">
        <v>2457</v>
      </c>
      <c r="C1645" t="s">
        <v>6931</v>
      </c>
      <c r="D1645" s="1">
        <v>44989</v>
      </c>
      <c r="E1645" s="1">
        <v>44999</v>
      </c>
      <c r="F1645" s="1">
        <v>45003</v>
      </c>
      <c r="G1645">
        <v>39.51</v>
      </c>
      <c r="H16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45" t="str">
        <f>IFERROR(INDEX(Raw_orders!G:G, MATCH(shipments[[#This Row],[order_id]],Raw_orders!A:A, 0)), "Unknown")</f>
        <v>Central Europe</v>
      </c>
      <c r="J1645" t="str">
        <f>PROPER(shipments[[#This Row],[delivery_status]])</f>
        <v>Delivered</v>
      </c>
      <c r="K1645" t="s">
        <v>6929</v>
      </c>
    </row>
    <row r="1646" spans="1:11">
      <c r="A1646" t="s">
        <v>8582</v>
      </c>
      <c r="B1646" t="s">
        <v>2457</v>
      </c>
      <c r="C1646" t="s">
        <v>6956</v>
      </c>
      <c r="D1646" s="1">
        <v>44989</v>
      </c>
      <c r="E1646" s="1">
        <v>44992</v>
      </c>
      <c r="F1646" s="1">
        <v>45003</v>
      </c>
      <c r="G1646">
        <v>17.66</v>
      </c>
      <c r="H16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46" t="str">
        <f>IFERROR(INDEX(Raw_orders!G:G, MATCH(shipments[[#This Row],[order_id]],Raw_orders!A:A, 0)), "Unknown")</f>
        <v>Central Europe</v>
      </c>
      <c r="J1646" t="str">
        <f>PROPER(shipments[[#This Row],[delivery_status]])</f>
        <v>Delivered</v>
      </c>
      <c r="K1646" t="s">
        <v>6929</v>
      </c>
    </row>
    <row r="1647" spans="1:11">
      <c r="A1647" t="s">
        <v>8583</v>
      </c>
      <c r="B1647" t="s">
        <v>2458</v>
      </c>
      <c r="C1647" t="s">
        <v>6935</v>
      </c>
      <c r="D1647" s="1">
        <v>44973</v>
      </c>
      <c r="E1647" s="1">
        <v>44980</v>
      </c>
      <c r="F1647" s="1">
        <v>44990</v>
      </c>
      <c r="G1647">
        <v>42.13</v>
      </c>
      <c r="H16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47" t="str">
        <f>IFERROR(INDEX(Raw_orders!G:G, MATCH(shipments[[#This Row],[order_id]],Raw_orders!A:A, 0)), "Unknown")</f>
        <v>Nordics</v>
      </c>
      <c r="J1647" t="str">
        <f>PROPER(shipments[[#This Row],[delivery_status]])</f>
        <v>Delivered</v>
      </c>
      <c r="K1647" t="s">
        <v>6929</v>
      </c>
    </row>
    <row r="1648" spans="1:11">
      <c r="A1648" t="s">
        <v>8584</v>
      </c>
      <c r="B1648" t="s">
        <v>2459</v>
      </c>
      <c r="C1648" t="s">
        <v>6925</v>
      </c>
      <c r="D1648" s="1">
        <v>45578</v>
      </c>
      <c r="E1648" s="1">
        <v>45588</v>
      </c>
      <c r="F1648" s="1">
        <v>45588</v>
      </c>
      <c r="G1648">
        <v>35.67</v>
      </c>
      <c r="H16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48" t="str">
        <f>IFERROR(INDEX(Raw_orders!G:G, MATCH(shipments[[#This Row],[order_id]],Raw_orders!A:A, 0)), "Unknown")</f>
        <v>Nordics</v>
      </c>
      <c r="J1648" t="str">
        <f>PROPER(shipments[[#This Row],[delivery_status]])</f>
        <v>Delivered</v>
      </c>
      <c r="K1648" t="s">
        <v>6929</v>
      </c>
    </row>
    <row r="1649" spans="1:11">
      <c r="A1649" t="s">
        <v>8585</v>
      </c>
      <c r="B1649" t="s">
        <v>2460</v>
      </c>
      <c r="C1649" t="s">
        <v>6935</v>
      </c>
      <c r="D1649" s="1">
        <v>45101</v>
      </c>
      <c r="E1649" s="1">
        <v>45103</v>
      </c>
      <c r="F1649" s="1">
        <v>45105</v>
      </c>
      <c r="G1649">
        <v>60</v>
      </c>
      <c r="H16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49" t="str">
        <f>IFERROR(INDEX(Raw_orders!G:G, MATCH(shipments[[#This Row],[order_id]],Raw_orders!A:A, 0)), "Unknown")</f>
        <v>Nordics</v>
      </c>
      <c r="J1649" t="str">
        <f>PROPER(shipments[[#This Row],[delivery_status]])</f>
        <v>Delivered</v>
      </c>
      <c r="K1649" t="s">
        <v>6929</v>
      </c>
    </row>
    <row r="1650" spans="1:11">
      <c r="A1650" t="s">
        <v>8586</v>
      </c>
      <c r="B1650" t="s">
        <v>2461</v>
      </c>
      <c r="C1650" t="s">
        <v>6956</v>
      </c>
      <c r="D1650" s="1">
        <v>45242</v>
      </c>
      <c r="E1650" s="1">
        <v>45247</v>
      </c>
      <c r="F1650" s="1">
        <v>45247</v>
      </c>
      <c r="G1650">
        <v>64.16</v>
      </c>
      <c r="H16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50" t="str">
        <f>IFERROR(INDEX(Raw_orders!G:G, MATCH(shipments[[#This Row],[order_id]],Raw_orders!A:A, 0)), "Unknown")</f>
        <v>Nordics</v>
      </c>
      <c r="J1650" t="str">
        <f>PROPER(shipments[[#This Row],[delivery_status]])</f>
        <v>Delivered</v>
      </c>
      <c r="K1650" t="s">
        <v>6929</v>
      </c>
    </row>
    <row r="1651" spans="1:11">
      <c r="A1651" t="s">
        <v>8587</v>
      </c>
      <c r="B1651" t="s">
        <v>2462</v>
      </c>
      <c r="C1651" t="s">
        <v>6949</v>
      </c>
      <c r="D1651" s="1">
        <v>45358</v>
      </c>
      <c r="E1651" s="1">
        <v>45363</v>
      </c>
      <c r="F1651" s="1">
        <v>45366</v>
      </c>
      <c r="G1651">
        <v>41.64</v>
      </c>
      <c r="H16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51" t="str">
        <f>IFERROR(INDEX(Raw_orders!G:G, MATCH(shipments[[#This Row],[order_id]],Raw_orders!A:A, 0)), "Unknown")</f>
        <v>Baltics</v>
      </c>
      <c r="J1651" t="str">
        <f>PROPER(shipments[[#This Row],[delivery_status]])</f>
        <v>Delivered</v>
      </c>
      <c r="K1651" t="s">
        <v>6929</v>
      </c>
    </row>
    <row r="1652" spans="1:11">
      <c r="A1652" t="s">
        <v>8588</v>
      </c>
      <c r="B1652" t="s">
        <v>2463</v>
      </c>
      <c r="C1652" t="s">
        <v>6928</v>
      </c>
      <c r="D1652" s="1">
        <v>45051</v>
      </c>
      <c r="E1652" s="1">
        <v>45053</v>
      </c>
      <c r="F1652" s="1">
        <v>45053</v>
      </c>
      <c r="G1652">
        <v>54.11</v>
      </c>
      <c r="H16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52" t="str">
        <f>IFERROR(INDEX(Raw_orders!G:G, MATCH(shipments[[#This Row],[order_id]],Raw_orders!A:A, 0)), "Unknown")</f>
        <v>Nordics</v>
      </c>
      <c r="J1652" t="str">
        <f>PROPER(shipments[[#This Row],[delivery_status]])</f>
        <v>Delivered</v>
      </c>
      <c r="K1652" t="s">
        <v>6922</v>
      </c>
    </row>
    <row r="1653" spans="1:11">
      <c r="A1653" t="s">
        <v>8589</v>
      </c>
      <c r="B1653" t="s">
        <v>2464</v>
      </c>
      <c r="C1653" t="s">
        <v>6925</v>
      </c>
      <c r="D1653" s="1">
        <v>45459</v>
      </c>
      <c r="E1653" s="1">
        <v>45469</v>
      </c>
      <c r="F1653" s="1">
        <v>45470</v>
      </c>
      <c r="G1653">
        <v>58.07</v>
      </c>
      <c r="H16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53" t="str">
        <f>IFERROR(INDEX(Raw_orders!G:G, MATCH(shipments[[#This Row],[order_id]],Raw_orders!A:A, 0)), "Unknown")</f>
        <v>Baltics</v>
      </c>
      <c r="J1653" t="str">
        <f>PROPER(shipments[[#This Row],[delivery_status]])</f>
        <v>Delivered</v>
      </c>
      <c r="K1653" t="s">
        <v>6922</v>
      </c>
    </row>
    <row r="1654" spans="1:11">
      <c r="A1654" t="s">
        <v>8590</v>
      </c>
      <c r="B1654" t="s">
        <v>2465</v>
      </c>
      <c r="C1654" t="s">
        <v>6956</v>
      </c>
      <c r="D1654" s="1">
        <v>45081</v>
      </c>
      <c r="E1654" s="1">
        <v>45086</v>
      </c>
      <c r="F1654" s="1">
        <v>45095</v>
      </c>
      <c r="G1654">
        <v>21.36</v>
      </c>
      <c r="H16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54" t="str">
        <f>IFERROR(INDEX(Raw_orders!G:G, MATCH(shipments[[#This Row],[order_id]],Raw_orders!A:A, 0)), "Unknown")</f>
        <v>Nordics</v>
      </c>
      <c r="J1654" t="str">
        <f>PROPER(shipments[[#This Row],[delivery_status]])</f>
        <v>Delivered</v>
      </c>
      <c r="K1654" t="s">
        <v>6929</v>
      </c>
    </row>
    <row r="1655" spans="1:11">
      <c r="A1655" t="s">
        <v>8591</v>
      </c>
      <c r="B1655" t="s">
        <v>2466</v>
      </c>
      <c r="C1655" t="s">
        <v>6956</v>
      </c>
      <c r="D1655" s="1">
        <v>45343</v>
      </c>
      <c r="E1655" s="1">
        <v>45353</v>
      </c>
      <c r="F1655" s="1">
        <v>45352</v>
      </c>
      <c r="G1655">
        <v>26.16</v>
      </c>
      <c r="H16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55" t="str">
        <f>IFERROR(INDEX(Raw_orders!G:G, MATCH(shipments[[#This Row],[order_id]],Raw_orders!A:A, 0)), "Unknown")</f>
        <v>Central Europe</v>
      </c>
      <c r="J1655" t="str">
        <f>PROPER(shipments[[#This Row],[delivery_status]])</f>
        <v>Delivered</v>
      </c>
      <c r="K1655" t="s">
        <v>6922</v>
      </c>
    </row>
    <row r="1656" spans="1:11">
      <c r="A1656" t="s">
        <v>8592</v>
      </c>
      <c r="B1656" t="s">
        <v>2466</v>
      </c>
      <c r="C1656" t="s">
        <v>6928</v>
      </c>
      <c r="D1656" s="1">
        <v>45344</v>
      </c>
      <c r="E1656" s="1">
        <v>45347</v>
      </c>
      <c r="F1656" s="1">
        <v>45346</v>
      </c>
      <c r="G1656">
        <v>38.880000000000003</v>
      </c>
      <c r="H16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56" t="str">
        <f>IFERROR(INDEX(Raw_orders!G:G, MATCH(shipments[[#This Row],[order_id]],Raw_orders!A:A, 0)), "Unknown")</f>
        <v>Central Europe</v>
      </c>
      <c r="J1656" t="str">
        <f>PROPER(shipments[[#This Row],[delivery_status]])</f>
        <v>Delivered</v>
      </c>
      <c r="K1656" t="s">
        <v>6926</v>
      </c>
    </row>
    <row r="1657" spans="1:11">
      <c r="A1657" t="s">
        <v>8593</v>
      </c>
      <c r="B1657" t="s">
        <v>2467</v>
      </c>
      <c r="C1657" t="s">
        <v>6925</v>
      </c>
      <c r="D1657" s="1">
        <v>45605</v>
      </c>
      <c r="E1657" s="1">
        <v>45608</v>
      </c>
      <c r="F1657" s="1"/>
      <c r="G1657">
        <v>60.03</v>
      </c>
      <c r="H16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657" t="str">
        <f>IFERROR(INDEX(Raw_orders!G:G, MATCH(shipments[[#This Row],[order_id]],Raw_orders!A:A, 0)), "Unknown")</f>
        <v>Baltics</v>
      </c>
      <c r="J1657" t="str">
        <f>PROPER(shipments[[#This Row],[delivery_status]])</f>
        <v>In Transit</v>
      </c>
      <c r="K1657" t="s">
        <v>6946</v>
      </c>
    </row>
    <row r="1658" spans="1:11">
      <c r="A1658" t="s">
        <v>8594</v>
      </c>
      <c r="B1658" t="s">
        <v>2468</v>
      </c>
      <c r="C1658" t="s">
        <v>6925</v>
      </c>
      <c r="D1658" s="1">
        <v>44985</v>
      </c>
      <c r="E1658" s="1">
        <v>44995</v>
      </c>
      <c r="F1658" s="1">
        <v>45000</v>
      </c>
      <c r="G1658">
        <v>13.96</v>
      </c>
      <c r="H16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58" t="str">
        <f>IFERROR(INDEX(Raw_orders!G:G, MATCH(shipments[[#This Row],[order_id]],Raw_orders!A:A, 0)), "Unknown")</f>
        <v>Central Europe</v>
      </c>
      <c r="J1658" t="str">
        <f>PROPER(shipments[[#This Row],[delivery_status]])</f>
        <v>Delivered</v>
      </c>
      <c r="K1658" t="s">
        <v>6926</v>
      </c>
    </row>
    <row r="1659" spans="1:11">
      <c r="A1659" t="s">
        <v>8595</v>
      </c>
      <c r="B1659" t="s">
        <v>2469</v>
      </c>
      <c r="C1659" t="s">
        <v>6928</v>
      </c>
      <c r="D1659" s="1">
        <v>45213</v>
      </c>
      <c r="E1659" s="1">
        <v>45215</v>
      </c>
      <c r="F1659" s="1">
        <v>45220</v>
      </c>
      <c r="G1659">
        <v>37.19</v>
      </c>
      <c r="H16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59" t="str">
        <f>IFERROR(INDEX(Raw_orders!G:G, MATCH(shipments[[#This Row],[order_id]],Raw_orders!A:A, 0)), "Unknown")</f>
        <v>Central Europe</v>
      </c>
      <c r="J1659" t="str">
        <f>PROPER(shipments[[#This Row],[delivery_status]])</f>
        <v>Delivered</v>
      </c>
      <c r="K1659" t="s">
        <v>6922</v>
      </c>
    </row>
    <row r="1660" spans="1:11">
      <c r="A1660" t="s">
        <v>8596</v>
      </c>
      <c r="B1660" t="s">
        <v>2470</v>
      </c>
      <c r="C1660" t="s">
        <v>6940</v>
      </c>
      <c r="D1660" s="1">
        <v>45102</v>
      </c>
      <c r="E1660" s="1">
        <v>45104</v>
      </c>
      <c r="F1660" s="1"/>
      <c r="G1660">
        <v>58.82</v>
      </c>
      <c r="H16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660" t="str">
        <f>IFERROR(INDEX(Raw_orders!G:G, MATCH(shipments[[#This Row],[order_id]],Raw_orders!A:A, 0)), "Unknown")</f>
        <v>Nordics</v>
      </c>
      <c r="J1660" t="str">
        <f>PROPER(shipments[[#This Row],[delivery_status]])</f>
        <v>In Transit</v>
      </c>
      <c r="K1660" t="s">
        <v>6977</v>
      </c>
    </row>
    <row r="1661" spans="1:11">
      <c r="A1661" t="s">
        <v>8597</v>
      </c>
      <c r="B1661" t="s">
        <v>2471</v>
      </c>
      <c r="C1661" t="s">
        <v>6928</v>
      </c>
      <c r="D1661" s="1">
        <v>45379</v>
      </c>
      <c r="E1661" s="1">
        <v>45386</v>
      </c>
      <c r="F1661" s="1">
        <v>45386</v>
      </c>
      <c r="G1661">
        <v>63.28</v>
      </c>
      <c r="H16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61" t="str">
        <f>IFERROR(INDEX(Raw_orders!G:G, MATCH(shipments[[#This Row],[order_id]],Raw_orders!A:A, 0)), "Unknown")</f>
        <v>Baltics</v>
      </c>
      <c r="J1661" t="str">
        <f>PROPER(shipments[[#This Row],[delivery_status]])</f>
        <v>Delivered</v>
      </c>
      <c r="K1661" t="s">
        <v>6929</v>
      </c>
    </row>
    <row r="1662" spans="1:11">
      <c r="A1662" t="s">
        <v>8598</v>
      </c>
      <c r="B1662" t="s">
        <v>2472</v>
      </c>
      <c r="C1662" t="s">
        <v>6935</v>
      </c>
      <c r="D1662" s="1">
        <v>45470</v>
      </c>
      <c r="E1662" s="1">
        <v>45472</v>
      </c>
      <c r="F1662" s="1">
        <v>45472</v>
      </c>
      <c r="G1662">
        <v>49.4</v>
      </c>
      <c r="H16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62" t="str">
        <f>IFERROR(INDEX(Raw_orders!G:G, MATCH(shipments[[#This Row],[order_id]],Raw_orders!A:A, 0)), "Unknown")</f>
        <v>Nordics</v>
      </c>
      <c r="J1662" t="str">
        <f>PROPER(shipments[[#This Row],[delivery_status]])</f>
        <v>Delivered</v>
      </c>
      <c r="K1662" t="s">
        <v>6926</v>
      </c>
    </row>
    <row r="1663" spans="1:11">
      <c r="A1663" t="s">
        <v>8599</v>
      </c>
      <c r="B1663" t="s">
        <v>2473</v>
      </c>
      <c r="C1663" t="s">
        <v>6935</v>
      </c>
      <c r="D1663" s="1">
        <v>45509</v>
      </c>
      <c r="E1663" s="1">
        <v>45511</v>
      </c>
      <c r="F1663" s="1">
        <v>45511</v>
      </c>
      <c r="G1663">
        <v>33.340000000000003</v>
      </c>
      <c r="H16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63" t="str">
        <f>IFERROR(INDEX(Raw_orders!G:G, MATCH(shipments[[#This Row],[order_id]],Raw_orders!A:A, 0)), "Unknown")</f>
        <v>Central Europe</v>
      </c>
      <c r="J1663" t="str">
        <f>PROPER(shipments[[#This Row],[delivery_status]])</f>
        <v>Delivered</v>
      </c>
      <c r="K1663" t="s">
        <v>6922</v>
      </c>
    </row>
    <row r="1664" spans="1:11">
      <c r="A1664" t="s">
        <v>8600</v>
      </c>
      <c r="B1664" t="s">
        <v>2474</v>
      </c>
      <c r="C1664" t="s">
        <v>6921</v>
      </c>
      <c r="D1664" s="1">
        <v>45299</v>
      </c>
      <c r="E1664" s="1">
        <v>45304</v>
      </c>
      <c r="F1664" s="1">
        <v>45304</v>
      </c>
      <c r="G1664">
        <v>22.09</v>
      </c>
      <c r="H16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64" t="str">
        <f>IFERROR(INDEX(Raw_orders!G:G, MATCH(shipments[[#This Row],[order_id]],Raw_orders!A:A, 0)), "Unknown")</f>
        <v>Nordics</v>
      </c>
      <c r="J1664" t="str">
        <f>PROPER(shipments[[#This Row],[delivery_status]])</f>
        <v>Delivered</v>
      </c>
      <c r="K1664" t="s">
        <v>6926</v>
      </c>
    </row>
    <row r="1665" spans="1:11">
      <c r="A1665" t="s">
        <v>8601</v>
      </c>
      <c r="B1665" t="s">
        <v>2475</v>
      </c>
      <c r="C1665" t="s">
        <v>6921</v>
      </c>
      <c r="D1665" s="1">
        <v>45035</v>
      </c>
      <c r="E1665" s="1">
        <v>45038</v>
      </c>
      <c r="F1665" s="1">
        <v>45042</v>
      </c>
      <c r="G1665">
        <v>46.29</v>
      </c>
      <c r="H16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65" t="str">
        <f>IFERROR(INDEX(Raw_orders!G:G, MATCH(shipments[[#This Row],[order_id]],Raw_orders!A:A, 0)), "Unknown")</f>
        <v>Central Europe</v>
      </c>
      <c r="J1665" t="str">
        <f>PROPER(shipments[[#This Row],[delivery_status]])</f>
        <v>Delivered</v>
      </c>
      <c r="K1665" t="s">
        <v>6926</v>
      </c>
    </row>
    <row r="1666" spans="1:11">
      <c r="A1666" t="s">
        <v>8602</v>
      </c>
      <c r="B1666" t="s">
        <v>2476</v>
      </c>
      <c r="C1666" t="s">
        <v>6921</v>
      </c>
      <c r="D1666" s="1">
        <v>45438</v>
      </c>
      <c r="E1666" s="1">
        <v>45441</v>
      </c>
      <c r="F1666" s="1">
        <v>45443</v>
      </c>
      <c r="G1666">
        <v>17.89</v>
      </c>
      <c r="H16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66" t="str">
        <f>IFERROR(INDEX(Raw_orders!G:G, MATCH(shipments[[#This Row],[order_id]],Raw_orders!A:A, 0)), "Unknown")</f>
        <v>Nordics</v>
      </c>
      <c r="J1666" t="str">
        <f>PROPER(shipments[[#This Row],[delivery_status]])</f>
        <v>Delivered</v>
      </c>
      <c r="K1666" t="s">
        <v>6929</v>
      </c>
    </row>
    <row r="1667" spans="1:11">
      <c r="A1667" t="s">
        <v>8603</v>
      </c>
      <c r="B1667" t="s">
        <v>2477</v>
      </c>
      <c r="C1667" t="s">
        <v>6931</v>
      </c>
      <c r="D1667" s="1">
        <v>45408</v>
      </c>
      <c r="E1667" s="1">
        <v>45410</v>
      </c>
      <c r="F1667" s="1">
        <v>45415</v>
      </c>
      <c r="G1667">
        <v>39.630000000000003</v>
      </c>
      <c r="H16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67" t="str">
        <f>IFERROR(INDEX(Raw_orders!G:G, MATCH(shipments[[#This Row],[order_id]],Raw_orders!A:A, 0)), "Unknown")</f>
        <v>Nordics</v>
      </c>
      <c r="J1667" t="str">
        <f>PROPER(shipments[[#This Row],[delivery_status]])</f>
        <v>Delivered</v>
      </c>
      <c r="K1667" t="s">
        <v>6926</v>
      </c>
    </row>
    <row r="1668" spans="1:11">
      <c r="A1668" t="s">
        <v>8604</v>
      </c>
      <c r="B1668" t="s">
        <v>2478</v>
      </c>
      <c r="C1668" t="s">
        <v>6938</v>
      </c>
      <c r="D1668" s="1">
        <v>45383</v>
      </c>
      <c r="E1668" s="1">
        <v>45388</v>
      </c>
      <c r="F1668" s="1">
        <v>45396</v>
      </c>
      <c r="G1668">
        <v>50.99</v>
      </c>
      <c r="H16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68" t="str">
        <f>IFERROR(INDEX(Raw_orders!G:G, MATCH(shipments[[#This Row],[order_id]],Raw_orders!A:A, 0)), "Unknown")</f>
        <v>Unknown</v>
      </c>
      <c r="J1668" t="str">
        <f>PROPER(shipments[[#This Row],[delivery_status]])</f>
        <v>Delivered</v>
      </c>
      <c r="K1668" t="s">
        <v>6926</v>
      </c>
    </row>
    <row r="1669" spans="1:11">
      <c r="A1669" t="s">
        <v>8605</v>
      </c>
      <c r="B1669" t="s">
        <v>2479</v>
      </c>
      <c r="C1669" t="s">
        <v>6928</v>
      </c>
      <c r="D1669" s="1">
        <v>45097</v>
      </c>
      <c r="E1669" s="1">
        <v>45100</v>
      </c>
      <c r="F1669" s="1">
        <v>45100</v>
      </c>
      <c r="G1669">
        <v>8.7200000000000006</v>
      </c>
      <c r="H16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69" t="str">
        <f>IFERROR(INDEX(Raw_orders!G:G, MATCH(shipments[[#This Row],[order_id]],Raw_orders!A:A, 0)), "Unknown")</f>
        <v>Baltics</v>
      </c>
      <c r="J1669" t="str">
        <f>PROPER(shipments[[#This Row],[delivery_status]])</f>
        <v>Delivered</v>
      </c>
      <c r="K1669" t="s">
        <v>6922</v>
      </c>
    </row>
    <row r="1670" spans="1:11">
      <c r="A1670" t="s">
        <v>8606</v>
      </c>
      <c r="B1670" t="s">
        <v>2480</v>
      </c>
      <c r="C1670" t="s">
        <v>6940</v>
      </c>
      <c r="D1670" s="1">
        <v>45517</v>
      </c>
      <c r="E1670" s="1">
        <v>45519</v>
      </c>
      <c r="F1670" s="1">
        <v>45524</v>
      </c>
      <c r="G1670">
        <v>16.440000000000001</v>
      </c>
      <c r="H16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70" t="str">
        <f>IFERROR(INDEX(Raw_orders!G:G, MATCH(shipments[[#This Row],[order_id]],Raw_orders!A:A, 0)), "Unknown")</f>
        <v>Central Europe</v>
      </c>
      <c r="J1670" t="str">
        <f>PROPER(shipments[[#This Row],[delivery_status]])</f>
        <v>Delivered</v>
      </c>
      <c r="K1670" t="s">
        <v>6926</v>
      </c>
    </row>
    <row r="1671" spans="1:11">
      <c r="A1671" t="s">
        <v>8607</v>
      </c>
      <c r="B1671" t="s">
        <v>2481</v>
      </c>
      <c r="C1671" t="s">
        <v>6949</v>
      </c>
      <c r="D1671" s="1">
        <v>45486</v>
      </c>
      <c r="E1671" s="1">
        <v>45488</v>
      </c>
      <c r="F1671" s="1">
        <v>45496</v>
      </c>
      <c r="G1671">
        <v>26.84</v>
      </c>
      <c r="H16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71" t="str">
        <f>IFERROR(INDEX(Raw_orders!G:G, MATCH(shipments[[#This Row],[order_id]],Raw_orders!A:A, 0)), "Unknown")</f>
        <v>Central Europe</v>
      </c>
      <c r="J1671" t="str">
        <f>PROPER(shipments[[#This Row],[delivery_status]])</f>
        <v>Delivered</v>
      </c>
      <c r="K1671" t="s">
        <v>6922</v>
      </c>
    </row>
    <row r="1672" spans="1:11">
      <c r="A1672" t="s">
        <v>8608</v>
      </c>
      <c r="B1672" t="s">
        <v>2482</v>
      </c>
      <c r="C1672" t="s">
        <v>6935</v>
      </c>
      <c r="D1672" s="1">
        <v>45101</v>
      </c>
      <c r="E1672" s="1">
        <v>45106</v>
      </c>
      <c r="F1672" s="1">
        <v>45108</v>
      </c>
      <c r="G1672">
        <v>64.34</v>
      </c>
      <c r="H16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72" t="str">
        <f>IFERROR(INDEX(Raw_orders!G:G, MATCH(shipments[[#This Row],[order_id]],Raw_orders!A:A, 0)), "Unknown")</f>
        <v>Nordics</v>
      </c>
      <c r="J1672" t="str">
        <f>PROPER(shipments[[#This Row],[delivery_status]])</f>
        <v>Delivered</v>
      </c>
      <c r="K1672" t="s">
        <v>6929</v>
      </c>
    </row>
    <row r="1673" spans="1:11">
      <c r="A1673" t="s">
        <v>8609</v>
      </c>
      <c r="B1673" t="s">
        <v>2483</v>
      </c>
      <c r="C1673" t="s">
        <v>6935</v>
      </c>
      <c r="D1673" s="1">
        <v>45066</v>
      </c>
      <c r="E1673" s="1">
        <v>45076</v>
      </c>
      <c r="F1673" s="1">
        <v>45080</v>
      </c>
      <c r="H16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73" t="str">
        <f>IFERROR(INDEX(Raw_orders!G:G, MATCH(shipments[[#This Row],[order_id]],Raw_orders!A:A, 0)), "Unknown")</f>
        <v>Baltics</v>
      </c>
      <c r="J1673" t="str">
        <f>PROPER(shipments[[#This Row],[delivery_status]])</f>
        <v>Delivered</v>
      </c>
      <c r="K1673" t="s">
        <v>6922</v>
      </c>
    </row>
    <row r="1674" spans="1:11">
      <c r="A1674" t="s">
        <v>8610</v>
      </c>
      <c r="B1674" t="s">
        <v>2484</v>
      </c>
      <c r="C1674" t="s">
        <v>6921</v>
      </c>
      <c r="D1674" s="1">
        <v>45390</v>
      </c>
      <c r="E1674" s="1">
        <v>45397</v>
      </c>
      <c r="F1674" s="1">
        <v>45397</v>
      </c>
      <c r="G1674">
        <v>30.41</v>
      </c>
      <c r="H16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74" t="str">
        <f>IFERROR(INDEX(Raw_orders!G:G, MATCH(shipments[[#This Row],[order_id]],Raw_orders!A:A, 0)), "Unknown")</f>
        <v>Baltics</v>
      </c>
      <c r="J1674" t="str">
        <f>PROPER(shipments[[#This Row],[delivery_status]])</f>
        <v>Delivered</v>
      </c>
      <c r="K1674" t="s">
        <v>6922</v>
      </c>
    </row>
    <row r="1675" spans="1:11">
      <c r="A1675" t="s">
        <v>8611</v>
      </c>
      <c r="B1675" t="s">
        <v>2485</v>
      </c>
      <c r="C1675" t="s">
        <v>6940</v>
      </c>
      <c r="D1675" s="1">
        <v>45606</v>
      </c>
      <c r="E1675" s="1">
        <v>45608</v>
      </c>
      <c r="F1675" s="1">
        <v>45611</v>
      </c>
      <c r="G1675">
        <v>52.72</v>
      </c>
      <c r="H16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75" t="str">
        <f>IFERROR(INDEX(Raw_orders!G:G, MATCH(shipments[[#This Row],[order_id]],Raw_orders!A:A, 0)), "Unknown")</f>
        <v>Baltics</v>
      </c>
      <c r="J1675" t="str">
        <f>PROPER(shipments[[#This Row],[delivery_status]])</f>
        <v>Delivered</v>
      </c>
      <c r="K1675" t="s">
        <v>6922</v>
      </c>
    </row>
    <row r="1676" spans="1:11">
      <c r="A1676" t="s">
        <v>8612</v>
      </c>
      <c r="B1676" t="s">
        <v>2486</v>
      </c>
      <c r="C1676" t="s">
        <v>6928</v>
      </c>
      <c r="D1676" s="1">
        <v>44968</v>
      </c>
      <c r="E1676" s="1">
        <v>44971</v>
      </c>
      <c r="F1676" s="1"/>
      <c r="G1676">
        <v>40.79</v>
      </c>
      <c r="H16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676" t="str">
        <f>IFERROR(INDEX(Raw_orders!G:G, MATCH(shipments[[#This Row],[order_id]],Raw_orders!A:A, 0)), "Unknown")</f>
        <v>Nordics</v>
      </c>
      <c r="J1676" t="str">
        <f>PROPER(shipments[[#This Row],[delivery_status]])</f>
        <v>In Transit</v>
      </c>
      <c r="K1676" t="s">
        <v>6946</v>
      </c>
    </row>
    <row r="1677" spans="1:11">
      <c r="A1677" t="s">
        <v>8613</v>
      </c>
      <c r="B1677" t="s">
        <v>2487</v>
      </c>
      <c r="C1677" t="s">
        <v>6921</v>
      </c>
      <c r="D1677" s="1">
        <v>45606</v>
      </c>
      <c r="E1677" s="1">
        <v>45608</v>
      </c>
      <c r="F1677" s="1">
        <v>45607</v>
      </c>
      <c r="G1677">
        <v>15.51</v>
      </c>
      <c r="H16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77" t="str">
        <f>IFERROR(INDEX(Raw_orders!G:G, MATCH(shipments[[#This Row],[order_id]],Raw_orders!A:A, 0)), "Unknown")</f>
        <v>Baltics</v>
      </c>
      <c r="J1677" t="str">
        <f>PROPER(shipments[[#This Row],[delivery_status]])</f>
        <v>Delivered</v>
      </c>
      <c r="K1677" t="s">
        <v>6922</v>
      </c>
    </row>
    <row r="1678" spans="1:11">
      <c r="A1678" t="s">
        <v>8614</v>
      </c>
      <c r="B1678" t="s">
        <v>2488</v>
      </c>
      <c r="C1678" t="s">
        <v>6938</v>
      </c>
      <c r="D1678" s="1">
        <v>45096</v>
      </c>
      <c r="E1678" s="1">
        <v>45098</v>
      </c>
      <c r="F1678" s="1"/>
      <c r="G1678">
        <v>35.11</v>
      </c>
      <c r="H16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678" t="str">
        <f>IFERROR(INDEX(Raw_orders!G:G, MATCH(shipments[[#This Row],[order_id]],Raw_orders!A:A, 0)), "Unknown")</f>
        <v>Central Europe</v>
      </c>
      <c r="J1678" t="str">
        <f>PROPER(shipments[[#This Row],[delivery_status]])</f>
        <v>Cancelled</v>
      </c>
      <c r="K1678" t="s">
        <v>6963</v>
      </c>
    </row>
    <row r="1679" spans="1:11">
      <c r="A1679" t="s">
        <v>8615</v>
      </c>
      <c r="B1679" t="s">
        <v>2489</v>
      </c>
      <c r="C1679" t="s">
        <v>6931</v>
      </c>
      <c r="D1679" s="1">
        <v>45257</v>
      </c>
      <c r="E1679" s="1">
        <v>45262</v>
      </c>
      <c r="F1679" s="1">
        <v>45261</v>
      </c>
      <c r="G1679">
        <v>20</v>
      </c>
      <c r="H16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79" t="str">
        <f>IFERROR(INDEX(Raw_orders!G:G, MATCH(shipments[[#This Row],[order_id]],Raw_orders!A:A, 0)), "Unknown")</f>
        <v>Baltics</v>
      </c>
      <c r="J1679" t="str">
        <f>PROPER(shipments[[#This Row],[delivery_status]])</f>
        <v>Delivered</v>
      </c>
      <c r="K1679" t="s">
        <v>6929</v>
      </c>
    </row>
    <row r="1680" spans="1:11">
      <c r="A1680" t="s">
        <v>8616</v>
      </c>
      <c r="B1680" t="s">
        <v>2490</v>
      </c>
      <c r="C1680" t="s">
        <v>6921</v>
      </c>
      <c r="D1680" s="1">
        <v>45435</v>
      </c>
      <c r="E1680" s="1">
        <v>45442</v>
      </c>
      <c r="F1680" s="1">
        <v>45443</v>
      </c>
      <c r="G1680">
        <v>12.07</v>
      </c>
      <c r="H16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80" t="str">
        <f>IFERROR(INDEX(Raw_orders!G:G, MATCH(shipments[[#This Row],[order_id]],Raw_orders!A:A, 0)), "Unknown")</f>
        <v>Nordics</v>
      </c>
      <c r="J1680" t="str">
        <f>PROPER(shipments[[#This Row],[delivery_status]])</f>
        <v>Delivered</v>
      </c>
      <c r="K1680" t="s">
        <v>6929</v>
      </c>
    </row>
    <row r="1681" spans="1:11">
      <c r="A1681" t="s">
        <v>8617</v>
      </c>
      <c r="B1681" t="s">
        <v>2491</v>
      </c>
      <c r="C1681" t="s">
        <v>6935</v>
      </c>
      <c r="D1681" s="1">
        <v>45594</v>
      </c>
      <c r="E1681" s="1">
        <v>45597</v>
      </c>
      <c r="F1681" s="1">
        <v>45599</v>
      </c>
      <c r="G1681">
        <v>5.82</v>
      </c>
      <c r="H16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81" t="str">
        <f>IFERROR(INDEX(Raw_orders!G:G, MATCH(shipments[[#This Row],[order_id]],Raw_orders!A:A, 0)), "Unknown")</f>
        <v>Central Europe</v>
      </c>
      <c r="J1681" t="str">
        <f>PROPER(shipments[[#This Row],[delivery_status]])</f>
        <v>Delivered</v>
      </c>
      <c r="K1681" t="s">
        <v>6926</v>
      </c>
    </row>
    <row r="1682" spans="1:11">
      <c r="A1682" t="s">
        <v>8618</v>
      </c>
      <c r="B1682" t="s">
        <v>2492</v>
      </c>
      <c r="C1682" t="s">
        <v>6925</v>
      </c>
      <c r="D1682" s="1">
        <v>45490</v>
      </c>
      <c r="E1682" s="1">
        <v>45492</v>
      </c>
      <c r="F1682" s="1">
        <v>45497</v>
      </c>
      <c r="G1682">
        <v>57.17</v>
      </c>
      <c r="H16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82" t="str">
        <f>IFERROR(INDEX(Raw_orders!G:G, MATCH(shipments[[#This Row],[order_id]],Raw_orders!A:A, 0)), "Unknown")</f>
        <v>Central Europe</v>
      </c>
      <c r="J1682" t="str">
        <f>PROPER(shipments[[#This Row],[delivery_status]])</f>
        <v>Delivered</v>
      </c>
      <c r="K1682" t="s">
        <v>6926</v>
      </c>
    </row>
    <row r="1683" spans="1:11">
      <c r="A1683" t="s">
        <v>8619</v>
      </c>
      <c r="B1683" t="s">
        <v>2493</v>
      </c>
      <c r="C1683" t="s">
        <v>6931</v>
      </c>
      <c r="D1683" s="1">
        <v>45345</v>
      </c>
      <c r="E1683" s="1">
        <v>45348</v>
      </c>
      <c r="F1683" s="1">
        <v>45353</v>
      </c>
      <c r="G1683">
        <v>14.91</v>
      </c>
      <c r="H16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83" t="str">
        <f>IFERROR(INDEX(Raw_orders!G:G, MATCH(shipments[[#This Row],[order_id]],Raw_orders!A:A, 0)), "Unknown")</f>
        <v>Baltics</v>
      </c>
      <c r="J1683" t="str">
        <f>PROPER(shipments[[#This Row],[delivery_status]])</f>
        <v>Delivered</v>
      </c>
      <c r="K1683" t="s">
        <v>6922</v>
      </c>
    </row>
    <row r="1684" spans="1:11">
      <c r="A1684" t="s">
        <v>8620</v>
      </c>
      <c r="B1684" t="s">
        <v>2494</v>
      </c>
      <c r="C1684" t="s">
        <v>6921</v>
      </c>
      <c r="D1684" s="1">
        <v>45329</v>
      </c>
      <c r="E1684" s="1">
        <v>45331</v>
      </c>
      <c r="F1684" s="1">
        <v>45340</v>
      </c>
      <c r="G1684">
        <v>25.42</v>
      </c>
      <c r="H16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84" t="str">
        <f>IFERROR(INDEX(Raw_orders!G:G, MATCH(shipments[[#This Row],[order_id]],Raw_orders!A:A, 0)), "Unknown")</f>
        <v>Baltics</v>
      </c>
      <c r="J1684" t="str">
        <f>PROPER(shipments[[#This Row],[delivery_status]])</f>
        <v>Delivered</v>
      </c>
      <c r="K1684" t="s">
        <v>6929</v>
      </c>
    </row>
    <row r="1685" spans="1:11">
      <c r="A1685" t="s">
        <v>8621</v>
      </c>
      <c r="B1685" t="s">
        <v>2495</v>
      </c>
      <c r="C1685" t="s">
        <v>6925</v>
      </c>
      <c r="D1685" s="1">
        <v>45440</v>
      </c>
      <c r="E1685" s="1">
        <v>45445</v>
      </c>
      <c r="F1685" s="1">
        <v>45447</v>
      </c>
      <c r="G1685">
        <v>23.98</v>
      </c>
      <c r="H16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85" t="str">
        <f>IFERROR(INDEX(Raw_orders!G:G, MATCH(shipments[[#This Row],[order_id]],Raw_orders!A:A, 0)), "Unknown")</f>
        <v>Central Europe</v>
      </c>
      <c r="J1685" t="str">
        <f>PROPER(shipments[[#This Row],[delivery_status]])</f>
        <v>Delivered</v>
      </c>
      <c r="K1685" t="s">
        <v>6926</v>
      </c>
    </row>
    <row r="1686" spans="1:11">
      <c r="A1686" t="s">
        <v>8622</v>
      </c>
      <c r="B1686" t="s">
        <v>2495</v>
      </c>
      <c r="C1686" t="s">
        <v>6940</v>
      </c>
      <c r="D1686" s="1">
        <v>45440</v>
      </c>
      <c r="E1686" s="1">
        <v>45447</v>
      </c>
      <c r="F1686" s="1">
        <v>45447</v>
      </c>
      <c r="G1686">
        <v>54.09</v>
      </c>
      <c r="H16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86" t="str">
        <f>IFERROR(INDEX(Raw_orders!G:G, MATCH(shipments[[#This Row],[order_id]],Raw_orders!A:A, 0)), "Unknown")</f>
        <v>Central Europe</v>
      </c>
      <c r="J1686" t="str">
        <f>PROPER(shipments[[#This Row],[delivery_status]])</f>
        <v>Delivered</v>
      </c>
      <c r="K1686" t="s">
        <v>6922</v>
      </c>
    </row>
    <row r="1687" spans="1:11">
      <c r="A1687" t="s">
        <v>8623</v>
      </c>
      <c r="B1687" t="s">
        <v>2496</v>
      </c>
      <c r="C1687" t="s">
        <v>6921</v>
      </c>
      <c r="D1687" s="1">
        <v>45046</v>
      </c>
      <c r="E1687" s="1">
        <v>45051</v>
      </c>
      <c r="F1687" s="1">
        <v>45054</v>
      </c>
      <c r="G1687">
        <v>29.44</v>
      </c>
      <c r="H16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87" t="str">
        <f>IFERROR(INDEX(Raw_orders!G:G, MATCH(shipments[[#This Row],[order_id]],Raw_orders!A:A, 0)), "Unknown")</f>
        <v>Baltics</v>
      </c>
      <c r="J1687" t="str">
        <f>PROPER(shipments[[#This Row],[delivery_status]])</f>
        <v>Delivered</v>
      </c>
      <c r="K1687" t="s">
        <v>6922</v>
      </c>
    </row>
    <row r="1688" spans="1:11">
      <c r="A1688" t="s">
        <v>8624</v>
      </c>
      <c r="B1688" t="s">
        <v>2497</v>
      </c>
      <c r="C1688" t="s">
        <v>6925</v>
      </c>
      <c r="D1688" s="1">
        <v>45401</v>
      </c>
      <c r="E1688" s="1">
        <v>45411</v>
      </c>
      <c r="F1688" s="1">
        <v>45413</v>
      </c>
      <c r="G1688">
        <v>33.549999999999997</v>
      </c>
      <c r="H16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88" t="str">
        <f>IFERROR(INDEX(Raw_orders!G:G, MATCH(shipments[[#This Row],[order_id]],Raw_orders!A:A, 0)), "Unknown")</f>
        <v>Nordics</v>
      </c>
      <c r="J1688" t="str">
        <f>PROPER(shipments[[#This Row],[delivery_status]])</f>
        <v>Delivered</v>
      </c>
      <c r="K1688" t="s">
        <v>6929</v>
      </c>
    </row>
    <row r="1689" spans="1:11">
      <c r="A1689" t="s">
        <v>8625</v>
      </c>
      <c r="B1689" t="s">
        <v>2498</v>
      </c>
      <c r="C1689" t="s">
        <v>6921</v>
      </c>
      <c r="D1689" s="1">
        <v>45398</v>
      </c>
      <c r="E1689" s="1">
        <v>45408</v>
      </c>
      <c r="F1689" s="1"/>
      <c r="G1689">
        <v>48.07</v>
      </c>
      <c r="H16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689" t="str">
        <f>IFERROR(INDEX(Raw_orders!G:G, MATCH(shipments[[#This Row],[order_id]],Raw_orders!A:A, 0)), "Unknown")</f>
        <v>Nordics</v>
      </c>
      <c r="J1689" t="str">
        <f>PROPER(shipments[[#This Row],[delivery_status]])</f>
        <v>Cancelled</v>
      </c>
      <c r="K1689" t="s">
        <v>6979</v>
      </c>
    </row>
    <row r="1690" spans="1:11">
      <c r="A1690" t="s">
        <v>8626</v>
      </c>
      <c r="B1690" t="s">
        <v>2499</v>
      </c>
      <c r="C1690" t="s">
        <v>6928</v>
      </c>
      <c r="D1690" s="1">
        <v>45533</v>
      </c>
      <c r="E1690" s="1">
        <v>45543</v>
      </c>
      <c r="F1690" s="1"/>
      <c r="G1690">
        <v>13</v>
      </c>
      <c r="H16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690" t="str">
        <f>IFERROR(INDEX(Raw_orders!G:G, MATCH(shipments[[#This Row],[order_id]],Raw_orders!A:A, 0)), "Unknown")</f>
        <v>Nordics</v>
      </c>
      <c r="J1690" t="str">
        <f>PROPER(shipments[[#This Row],[delivery_status]])</f>
        <v>In Transit</v>
      </c>
      <c r="K1690" t="s">
        <v>6958</v>
      </c>
    </row>
    <row r="1691" spans="1:11">
      <c r="A1691" t="s">
        <v>8627</v>
      </c>
      <c r="B1691" t="s">
        <v>2500</v>
      </c>
      <c r="C1691" t="s">
        <v>6925</v>
      </c>
      <c r="D1691" s="1">
        <v>44981</v>
      </c>
      <c r="E1691" s="1">
        <v>44986</v>
      </c>
      <c r="F1691" s="1">
        <v>44985</v>
      </c>
      <c r="G1691">
        <v>15.83</v>
      </c>
      <c r="H16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91" t="str">
        <f>IFERROR(INDEX(Raw_orders!G:G, MATCH(shipments[[#This Row],[order_id]],Raw_orders!A:A, 0)), "Unknown")</f>
        <v>Nordics</v>
      </c>
      <c r="J1691" t="str">
        <f>PROPER(shipments[[#This Row],[delivery_status]])</f>
        <v>Delivered</v>
      </c>
      <c r="K1691" t="s">
        <v>6926</v>
      </c>
    </row>
    <row r="1692" spans="1:11">
      <c r="A1692" t="s">
        <v>8628</v>
      </c>
      <c r="B1692" t="s">
        <v>2501</v>
      </c>
      <c r="C1692" t="s">
        <v>6928</v>
      </c>
      <c r="D1692" s="1">
        <v>45220</v>
      </c>
      <c r="E1692" s="1">
        <v>45227</v>
      </c>
      <c r="F1692" s="1">
        <v>45230</v>
      </c>
      <c r="G1692">
        <v>28.87</v>
      </c>
      <c r="H16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92" t="str">
        <f>IFERROR(INDEX(Raw_orders!G:G, MATCH(shipments[[#This Row],[order_id]],Raw_orders!A:A, 0)), "Unknown")</f>
        <v>Central Europe</v>
      </c>
      <c r="J1692" t="str">
        <f>PROPER(shipments[[#This Row],[delivery_status]])</f>
        <v>Delivered</v>
      </c>
      <c r="K1692" t="s">
        <v>6929</v>
      </c>
    </row>
    <row r="1693" spans="1:11">
      <c r="A1693" t="s">
        <v>8629</v>
      </c>
      <c r="B1693" t="s">
        <v>2502</v>
      </c>
      <c r="C1693" t="s">
        <v>6940</v>
      </c>
      <c r="D1693" s="1">
        <v>45203</v>
      </c>
      <c r="E1693" s="1">
        <v>45210</v>
      </c>
      <c r="F1693" s="1">
        <v>45216</v>
      </c>
      <c r="G1693">
        <v>40.31</v>
      </c>
      <c r="H16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93" t="str">
        <f>IFERROR(INDEX(Raw_orders!G:G, MATCH(shipments[[#This Row],[order_id]],Raw_orders!A:A, 0)), "Unknown")</f>
        <v>Baltics</v>
      </c>
      <c r="J1693" t="str">
        <f>PROPER(shipments[[#This Row],[delivery_status]])</f>
        <v>Delivered</v>
      </c>
      <c r="K1693" t="s">
        <v>6926</v>
      </c>
    </row>
    <row r="1694" spans="1:11">
      <c r="A1694" t="s">
        <v>8630</v>
      </c>
      <c r="B1694" t="s">
        <v>2502</v>
      </c>
      <c r="C1694" t="s">
        <v>6956</v>
      </c>
      <c r="D1694" s="1">
        <v>45204</v>
      </c>
      <c r="E1694" s="1">
        <v>45214</v>
      </c>
      <c r="F1694" s="1">
        <v>45214</v>
      </c>
      <c r="H16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94" t="str">
        <f>IFERROR(INDEX(Raw_orders!G:G, MATCH(shipments[[#This Row],[order_id]],Raw_orders!A:A, 0)), "Unknown")</f>
        <v>Baltics</v>
      </c>
      <c r="J1694" t="str">
        <f>PROPER(shipments[[#This Row],[delivery_status]])</f>
        <v>Delivered</v>
      </c>
      <c r="K1694" t="s">
        <v>6926</v>
      </c>
    </row>
    <row r="1695" spans="1:11">
      <c r="A1695" t="s">
        <v>8631</v>
      </c>
      <c r="B1695" t="s">
        <v>2503</v>
      </c>
      <c r="C1695" t="s">
        <v>6931</v>
      </c>
      <c r="D1695" s="1">
        <v>45211</v>
      </c>
      <c r="E1695" s="1">
        <v>45221</v>
      </c>
      <c r="F1695" s="1"/>
      <c r="G1695">
        <v>19.559999999999999</v>
      </c>
      <c r="H16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695" t="str">
        <f>IFERROR(INDEX(Raw_orders!G:G, MATCH(shipments[[#This Row],[order_id]],Raw_orders!A:A, 0)), "Unknown")</f>
        <v>Central Europe</v>
      </c>
      <c r="J1695" t="str">
        <f>PROPER(shipments[[#This Row],[delivery_status]])</f>
        <v>Cancelled</v>
      </c>
      <c r="K1695" t="s">
        <v>6972</v>
      </c>
    </row>
    <row r="1696" spans="1:11">
      <c r="A1696" t="s">
        <v>8632</v>
      </c>
      <c r="B1696" t="s">
        <v>2504</v>
      </c>
      <c r="C1696" t="s">
        <v>6938</v>
      </c>
      <c r="D1696" s="1">
        <v>45097</v>
      </c>
      <c r="E1696" s="1">
        <v>45104</v>
      </c>
      <c r="F1696" s="1"/>
      <c r="G1696">
        <v>56.79</v>
      </c>
      <c r="H16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696" t="str">
        <f>IFERROR(INDEX(Raw_orders!G:G, MATCH(shipments[[#This Row],[order_id]],Raw_orders!A:A, 0)), "Unknown")</f>
        <v>Central Europe</v>
      </c>
      <c r="J1696" t="str">
        <f>PROPER(shipments[[#This Row],[delivery_status]])</f>
        <v>In Transit</v>
      </c>
      <c r="K1696" t="s">
        <v>6946</v>
      </c>
    </row>
    <row r="1697" spans="1:11">
      <c r="A1697" t="s">
        <v>8633</v>
      </c>
      <c r="B1697" t="s">
        <v>2505</v>
      </c>
      <c r="C1697" t="s">
        <v>6956</v>
      </c>
      <c r="D1697" s="1">
        <v>45184</v>
      </c>
      <c r="E1697" s="1">
        <v>45189</v>
      </c>
      <c r="F1697" s="1">
        <v>45189</v>
      </c>
      <c r="G1697">
        <v>29.77</v>
      </c>
      <c r="H16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97" t="str">
        <f>IFERROR(INDEX(Raw_orders!G:G, MATCH(shipments[[#This Row],[order_id]],Raw_orders!A:A, 0)), "Unknown")</f>
        <v>Baltics</v>
      </c>
      <c r="J1697" t="str">
        <f>PROPER(shipments[[#This Row],[delivery_status]])</f>
        <v>Delivered</v>
      </c>
      <c r="K1697" t="s">
        <v>6922</v>
      </c>
    </row>
    <row r="1698" spans="1:11">
      <c r="A1698" t="s">
        <v>8634</v>
      </c>
      <c r="B1698" t="s">
        <v>2506</v>
      </c>
      <c r="C1698" t="s">
        <v>6931</v>
      </c>
      <c r="D1698" s="1">
        <v>45527</v>
      </c>
      <c r="E1698" s="1">
        <v>45534</v>
      </c>
      <c r="F1698" s="1">
        <v>45542</v>
      </c>
      <c r="G1698">
        <v>48.71</v>
      </c>
      <c r="H16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698" t="str">
        <f>IFERROR(INDEX(Raw_orders!G:G, MATCH(shipments[[#This Row],[order_id]],Raw_orders!A:A, 0)), "Unknown")</f>
        <v>Nordics</v>
      </c>
      <c r="J1698" t="str">
        <f>PROPER(shipments[[#This Row],[delivery_status]])</f>
        <v>Delivered</v>
      </c>
      <c r="K1698" t="s">
        <v>6922</v>
      </c>
    </row>
    <row r="1699" spans="1:11">
      <c r="A1699" t="s">
        <v>8635</v>
      </c>
      <c r="B1699" t="s">
        <v>2507</v>
      </c>
      <c r="C1699" t="s">
        <v>6938</v>
      </c>
      <c r="D1699" s="1">
        <v>45470</v>
      </c>
      <c r="E1699" s="1">
        <v>45477</v>
      </c>
      <c r="F1699" s="1">
        <v>45477</v>
      </c>
      <c r="G1699">
        <v>57.26</v>
      </c>
      <c r="H16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699" t="str">
        <f>IFERROR(INDEX(Raw_orders!G:G, MATCH(shipments[[#This Row],[order_id]],Raw_orders!A:A, 0)), "Unknown")</f>
        <v>Nordics</v>
      </c>
      <c r="J1699" t="str">
        <f>PROPER(shipments[[#This Row],[delivery_status]])</f>
        <v>Delivered</v>
      </c>
      <c r="K1699" t="s">
        <v>6926</v>
      </c>
    </row>
    <row r="1700" spans="1:11">
      <c r="A1700" t="s">
        <v>8636</v>
      </c>
      <c r="B1700" t="s">
        <v>2508</v>
      </c>
      <c r="C1700" t="s">
        <v>6921</v>
      </c>
      <c r="D1700" s="1">
        <v>45489</v>
      </c>
      <c r="E1700" s="1">
        <v>45494</v>
      </c>
      <c r="F1700" s="1">
        <v>45495</v>
      </c>
      <c r="G1700">
        <v>18.8</v>
      </c>
      <c r="H17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00" t="str">
        <f>IFERROR(INDEX(Raw_orders!G:G, MATCH(shipments[[#This Row],[order_id]],Raw_orders!A:A, 0)), "Unknown")</f>
        <v>Central Europe</v>
      </c>
      <c r="J1700" t="str">
        <f>PROPER(shipments[[#This Row],[delivery_status]])</f>
        <v>Delivered</v>
      </c>
      <c r="K1700" t="s">
        <v>6926</v>
      </c>
    </row>
    <row r="1701" spans="1:11">
      <c r="A1701" t="s">
        <v>8637</v>
      </c>
      <c r="B1701" t="s">
        <v>2509</v>
      </c>
      <c r="C1701" t="s">
        <v>6935</v>
      </c>
      <c r="D1701" s="1">
        <v>45470</v>
      </c>
      <c r="E1701" s="1">
        <v>45472</v>
      </c>
      <c r="F1701" s="1">
        <v>45471</v>
      </c>
      <c r="G1701">
        <v>48.88</v>
      </c>
      <c r="H17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701" t="str">
        <f>IFERROR(INDEX(Raw_orders!G:G, MATCH(shipments[[#This Row],[order_id]],Raw_orders!A:A, 0)), "Unknown")</f>
        <v>Unknown</v>
      </c>
      <c r="J1701" t="str">
        <f>PROPER(shipments[[#This Row],[delivery_status]])</f>
        <v>Delivered</v>
      </c>
      <c r="K1701" t="s">
        <v>6926</v>
      </c>
    </row>
    <row r="1702" spans="1:11">
      <c r="A1702" t="s">
        <v>8638</v>
      </c>
      <c r="B1702" t="s">
        <v>2510</v>
      </c>
      <c r="C1702" t="s">
        <v>6935</v>
      </c>
      <c r="D1702" s="1">
        <v>45470</v>
      </c>
      <c r="E1702" s="1">
        <v>45472</v>
      </c>
      <c r="F1702" s="1"/>
      <c r="G1702">
        <v>7.52</v>
      </c>
      <c r="H17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702" t="str">
        <f>IFERROR(INDEX(Raw_orders!G:G, MATCH(shipments[[#This Row],[order_id]],Raw_orders!A:A, 0)), "Unknown")</f>
        <v>Unknown</v>
      </c>
      <c r="J1702" t="str">
        <f>PROPER(shipments[[#This Row],[delivery_status]])</f>
        <v>In Transit</v>
      </c>
      <c r="K1702" t="s">
        <v>6977</v>
      </c>
    </row>
    <row r="1703" spans="1:11">
      <c r="A1703" t="s">
        <v>8639</v>
      </c>
      <c r="B1703" t="s">
        <v>2511</v>
      </c>
      <c r="C1703" t="s">
        <v>6935</v>
      </c>
      <c r="D1703" s="1">
        <v>45319</v>
      </c>
      <c r="E1703" s="1">
        <v>45326</v>
      </c>
      <c r="F1703" s="1">
        <v>45325</v>
      </c>
      <c r="G1703">
        <v>53.71</v>
      </c>
      <c r="H17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703" t="str">
        <f>IFERROR(INDEX(Raw_orders!G:G, MATCH(shipments[[#This Row],[order_id]],Raw_orders!A:A, 0)), "Unknown")</f>
        <v>Nordics</v>
      </c>
      <c r="J1703" t="str">
        <f>PROPER(shipments[[#This Row],[delivery_status]])</f>
        <v>Delivered</v>
      </c>
      <c r="K1703" t="s">
        <v>6922</v>
      </c>
    </row>
    <row r="1704" spans="1:11">
      <c r="A1704" t="s">
        <v>8640</v>
      </c>
      <c r="B1704" t="s">
        <v>2512</v>
      </c>
      <c r="C1704" t="s">
        <v>6935</v>
      </c>
      <c r="D1704" s="1">
        <v>45551</v>
      </c>
      <c r="E1704" s="1">
        <v>45556</v>
      </c>
      <c r="F1704" s="1"/>
      <c r="G1704">
        <v>61.47</v>
      </c>
      <c r="H17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704" t="str">
        <f>IFERROR(INDEX(Raw_orders!G:G, MATCH(shipments[[#This Row],[order_id]],Raw_orders!A:A, 0)), "Unknown")</f>
        <v>Baltics</v>
      </c>
      <c r="J1704" t="str">
        <f>PROPER(shipments[[#This Row],[delivery_status]])</f>
        <v>In Transit</v>
      </c>
      <c r="K1704" t="s">
        <v>6946</v>
      </c>
    </row>
    <row r="1705" spans="1:11">
      <c r="A1705" t="s">
        <v>8641</v>
      </c>
      <c r="B1705" t="s">
        <v>2513</v>
      </c>
      <c r="C1705" t="s">
        <v>6956</v>
      </c>
      <c r="D1705" s="1">
        <v>45054</v>
      </c>
      <c r="E1705" s="1">
        <v>45064</v>
      </c>
      <c r="F1705" s="1">
        <v>45069</v>
      </c>
      <c r="G1705">
        <v>5.03</v>
      </c>
      <c r="H17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05" t="str">
        <f>IFERROR(INDEX(Raw_orders!G:G, MATCH(shipments[[#This Row],[order_id]],Raw_orders!A:A, 0)), "Unknown")</f>
        <v>Baltics</v>
      </c>
      <c r="J1705" t="str">
        <f>PROPER(shipments[[#This Row],[delivery_status]])</f>
        <v>Delivered</v>
      </c>
      <c r="K1705" t="s">
        <v>6926</v>
      </c>
    </row>
    <row r="1706" spans="1:11">
      <c r="A1706" t="s">
        <v>8642</v>
      </c>
      <c r="B1706" t="s">
        <v>2514</v>
      </c>
      <c r="C1706" t="s">
        <v>6921</v>
      </c>
      <c r="D1706" s="1">
        <v>45550</v>
      </c>
      <c r="E1706" s="1">
        <v>45557</v>
      </c>
      <c r="F1706" s="1"/>
      <c r="G1706">
        <v>64.040000000000006</v>
      </c>
      <c r="H17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706" t="str">
        <f>IFERROR(INDEX(Raw_orders!G:G, MATCH(shipments[[#This Row],[order_id]],Raw_orders!A:A, 0)), "Unknown")</f>
        <v>Baltics</v>
      </c>
      <c r="J1706" t="str">
        <f>PROPER(shipments[[#This Row],[delivery_status]])</f>
        <v>In Transit</v>
      </c>
      <c r="K1706" t="s">
        <v>6958</v>
      </c>
    </row>
    <row r="1707" spans="1:11">
      <c r="A1707" t="s">
        <v>8643</v>
      </c>
      <c r="B1707" t="s">
        <v>2515</v>
      </c>
      <c r="C1707" t="s">
        <v>6925</v>
      </c>
      <c r="D1707" s="1">
        <v>45459</v>
      </c>
      <c r="E1707" s="1">
        <v>45469</v>
      </c>
      <c r="F1707" s="1">
        <v>45477</v>
      </c>
      <c r="G1707">
        <v>22.48</v>
      </c>
      <c r="H17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07" t="str">
        <f>IFERROR(INDEX(Raw_orders!G:G, MATCH(shipments[[#This Row],[order_id]],Raw_orders!A:A, 0)), "Unknown")</f>
        <v>Central Europe</v>
      </c>
      <c r="J1707" t="str">
        <f>PROPER(shipments[[#This Row],[delivery_status]])</f>
        <v>Delivered</v>
      </c>
      <c r="K1707" t="s">
        <v>6926</v>
      </c>
    </row>
    <row r="1708" spans="1:11">
      <c r="A1708" t="s">
        <v>8644</v>
      </c>
      <c r="B1708" t="s">
        <v>2516</v>
      </c>
      <c r="C1708" t="s">
        <v>6940</v>
      </c>
      <c r="D1708" s="1">
        <v>45577</v>
      </c>
      <c r="E1708" s="1">
        <v>45587</v>
      </c>
      <c r="F1708" s="1">
        <v>45598</v>
      </c>
      <c r="G1708">
        <v>20.9</v>
      </c>
      <c r="H17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08" t="str">
        <f>IFERROR(INDEX(Raw_orders!G:G, MATCH(shipments[[#This Row],[order_id]],Raw_orders!A:A, 0)), "Unknown")</f>
        <v>Central Europe</v>
      </c>
      <c r="J1708" t="str">
        <f>PROPER(shipments[[#This Row],[delivery_status]])</f>
        <v>Delivered</v>
      </c>
      <c r="K1708" t="s">
        <v>6929</v>
      </c>
    </row>
    <row r="1709" spans="1:11">
      <c r="A1709" t="s">
        <v>8645</v>
      </c>
      <c r="B1709" t="s">
        <v>2517</v>
      </c>
      <c r="C1709" t="s">
        <v>6921</v>
      </c>
      <c r="D1709" s="1">
        <v>45629</v>
      </c>
      <c r="E1709" s="1">
        <v>45636</v>
      </c>
      <c r="F1709" s="1"/>
      <c r="G1709">
        <v>50.09</v>
      </c>
      <c r="H17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709" t="str">
        <f>IFERROR(INDEX(Raw_orders!G:G, MATCH(shipments[[#This Row],[order_id]],Raw_orders!A:A, 0)), "Unknown")</f>
        <v>Baltics</v>
      </c>
      <c r="J1709" t="str">
        <f>PROPER(shipments[[#This Row],[delivery_status]])</f>
        <v>In Transit</v>
      </c>
      <c r="K1709" t="s">
        <v>6958</v>
      </c>
    </row>
    <row r="1710" spans="1:11">
      <c r="A1710" t="s">
        <v>8646</v>
      </c>
      <c r="B1710" t="s">
        <v>2518</v>
      </c>
      <c r="C1710" t="s">
        <v>6931</v>
      </c>
      <c r="D1710" s="1">
        <v>45158</v>
      </c>
      <c r="E1710" s="1">
        <v>45165</v>
      </c>
      <c r="F1710" s="1">
        <v>45173</v>
      </c>
      <c r="G1710">
        <v>12.99</v>
      </c>
      <c r="H17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10" t="str">
        <f>IFERROR(INDEX(Raw_orders!G:G, MATCH(shipments[[#This Row],[order_id]],Raw_orders!A:A, 0)), "Unknown")</f>
        <v>Nordics</v>
      </c>
      <c r="J1710" t="str">
        <f>PROPER(shipments[[#This Row],[delivery_status]])</f>
        <v>Delivered</v>
      </c>
      <c r="K1710" t="s">
        <v>6929</v>
      </c>
    </row>
    <row r="1711" spans="1:11">
      <c r="A1711" t="s">
        <v>8647</v>
      </c>
      <c r="B1711" t="s">
        <v>2519</v>
      </c>
      <c r="C1711" t="s">
        <v>6925</v>
      </c>
      <c r="D1711" s="1">
        <v>44950</v>
      </c>
      <c r="E1711" s="1">
        <v>44953</v>
      </c>
      <c r="F1711" s="1">
        <v>44961</v>
      </c>
      <c r="G1711">
        <v>16.38</v>
      </c>
      <c r="H17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11" t="str">
        <f>IFERROR(INDEX(Raw_orders!G:G, MATCH(shipments[[#This Row],[order_id]],Raw_orders!A:A, 0)), "Unknown")</f>
        <v>Central Europe</v>
      </c>
      <c r="J1711" t="str">
        <f>PROPER(shipments[[#This Row],[delivery_status]])</f>
        <v>Delivered</v>
      </c>
      <c r="K1711" t="s">
        <v>6922</v>
      </c>
    </row>
    <row r="1712" spans="1:11">
      <c r="A1712" t="s">
        <v>8648</v>
      </c>
      <c r="B1712" t="s">
        <v>2520</v>
      </c>
      <c r="C1712" t="s">
        <v>6940</v>
      </c>
      <c r="D1712" s="1">
        <v>45421</v>
      </c>
      <c r="E1712" s="1">
        <v>45428</v>
      </c>
      <c r="F1712" s="1">
        <v>45428</v>
      </c>
      <c r="G1712">
        <v>59.33</v>
      </c>
      <c r="H17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712" t="str">
        <f>IFERROR(INDEX(Raw_orders!G:G, MATCH(shipments[[#This Row],[order_id]],Raw_orders!A:A, 0)), "Unknown")</f>
        <v>Nordics</v>
      </c>
      <c r="J1712" t="str">
        <f>PROPER(shipments[[#This Row],[delivery_status]])</f>
        <v>Delivered</v>
      </c>
      <c r="K1712" t="s">
        <v>6929</v>
      </c>
    </row>
    <row r="1713" spans="1:11">
      <c r="A1713" t="s">
        <v>8649</v>
      </c>
      <c r="B1713" t="s">
        <v>2521</v>
      </c>
      <c r="C1713" t="s">
        <v>6935</v>
      </c>
      <c r="D1713" s="1">
        <v>44948</v>
      </c>
      <c r="E1713" s="1">
        <v>44955</v>
      </c>
      <c r="F1713" s="1">
        <v>44954</v>
      </c>
      <c r="G1713">
        <v>52.44</v>
      </c>
      <c r="H17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713" t="str">
        <f>IFERROR(INDEX(Raw_orders!G:G, MATCH(shipments[[#This Row],[order_id]],Raw_orders!A:A, 0)), "Unknown")</f>
        <v>Nordics</v>
      </c>
      <c r="J1713" t="str">
        <f>PROPER(shipments[[#This Row],[delivery_status]])</f>
        <v>Delivered</v>
      </c>
      <c r="K1713" t="s">
        <v>6922</v>
      </c>
    </row>
    <row r="1714" spans="1:11">
      <c r="A1714" t="s">
        <v>8650</v>
      </c>
      <c r="B1714" t="s">
        <v>2522</v>
      </c>
      <c r="C1714" t="s">
        <v>6938</v>
      </c>
      <c r="D1714" s="1">
        <v>45461</v>
      </c>
      <c r="E1714" s="1">
        <v>45468</v>
      </c>
      <c r="F1714" s="1">
        <v>45467</v>
      </c>
      <c r="G1714">
        <v>37.479999999999997</v>
      </c>
      <c r="H17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714" t="str">
        <f>IFERROR(INDEX(Raw_orders!G:G, MATCH(shipments[[#This Row],[order_id]],Raw_orders!A:A, 0)), "Unknown")</f>
        <v>Baltics</v>
      </c>
      <c r="J1714" t="str">
        <f>PROPER(shipments[[#This Row],[delivery_status]])</f>
        <v>Delivered</v>
      </c>
      <c r="K1714" t="s">
        <v>6922</v>
      </c>
    </row>
    <row r="1715" spans="1:11">
      <c r="A1715" t="s">
        <v>8651</v>
      </c>
      <c r="B1715" t="s">
        <v>2523</v>
      </c>
      <c r="C1715" t="s">
        <v>6935</v>
      </c>
      <c r="D1715" s="1">
        <v>45522</v>
      </c>
      <c r="E1715" s="1">
        <v>45527</v>
      </c>
      <c r="F1715" s="1">
        <v>45528</v>
      </c>
      <c r="G1715">
        <v>41.41</v>
      </c>
      <c r="H17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15" t="str">
        <f>IFERROR(INDEX(Raw_orders!G:G, MATCH(shipments[[#This Row],[order_id]],Raw_orders!A:A, 0)), "Unknown")</f>
        <v>Baltics</v>
      </c>
      <c r="J1715" t="str">
        <f>PROPER(shipments[[#This Row],[delivery_status]])</f>
        <v>Delivered</v>
      </c>
      <c r="K1715" t="s">
        <v>6926</v>
      </c>
    </row>
    <row r="1716" spans="1:11">
      <c r="A1716" t="s">
        <v>8652</v>
      </c>
      <c r="B1716" t="s">
        <v>2524</v>
      </c>
      <c r="C1716" t="s">
        <v>6928</v>
      </c>
      <c r="D1716" s="1">
        <v>44931</v>
      </c>
      <c r="E1716" s="1">
        <v>44934</v>
      </c>
      <c r="F1716" s="1">
        <v>44934</v>
      </c>
      <c r="G1716">
        <v>23.55</v>
      </c>
      <c r="H17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716" t="str">
        <f>IFERROR(INDEX(Raw_orders!G:G, MATCH(shipments[[#This Row],[order_id]],Raw_orders!A:A, 0)), "Unknown")</f>
        <v>Baltics</v>
      </c>
      <c r="J1716" t="str">
        <f>PROPER(shipments[[#This Row],[delivery_status]])</f>
        <v>Delivered</v>
      </c>
      <c r="K1716" t="s">
        <v>6929</v>
      </c>
    </row>
    <row r="1717" spans="1:11">
      <c r="A1717" t="s">
        <v>8653</v>
      </c>
      <c r="B1717" t="s">
        <v>2525</v>
      </c>
      <c r="C1717" t="s">
        <v>6935</v>
      </c>
      <c r="D1717" s="1">
        <v>45568</v>
      </c>
      <c r="E1717" s="1">
        <v>45570</v>
      </c>
      <c r="F1717" s="1">
        <v>45572</v>
      </c>
      <c r="G1717">
        <v>19.13</v>
      </c>
      <c r="H17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17" t="str">
        <f>IFERROR(INDEX(Raw_orders!G:G, MATCH(shipments[[#This Row],[order_id]],Raw_orders!A:A, 0)), "Unknown")</f>
        <v>Nordics</v>
      </c>
      <c r="J1717" t="str">
        <f>PROPER(shipments[[#This Row],[delivery_status]])</f>
        <v>Delivered</v>
      </c>
      <c r="K1717" t="s">
        <v>6926</v>
      </c>
    </row>
    <row r="1718" spans="1:11">
      <c r="A1718" t="s">
        <v>8654</v>
      </c>
      <c r="B1718" t="s">
        <v>2526</v>
      </c>
      <c r="C1718" t="s">
        <v>6940</v>
      </c>
      <c r="D1718" s="1">
        <v>44947</v>
      </c>
      <c r="E1718" s="1">
        <v>44950</v>
      </c>
      <c r="F1718" s="1">
        <v>44959</v>
      </c>
      <c r="G1718">
        <v>46.37</v>
      </c>
      <c r="H17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18" t="str">
        <f>IFERROR(INDEX(Raw_orders!G:G, MATCH(shipments[[#This Row],[order_id]],Raw_orders!A:A, 0)), "Unknown")</f>
        <v>Central Europe</v>
      </c>
      <c r="J1718" t="str">
        <f>PROPER(shipments[[#This Row],[delivery_status]])</f>
        <v>Delivered</v>
      </c>
      <c r="K1718" t="s">
        <v>6929</v>
      </c>
    </row>
    <row r="1719" spans="1:11">
      <c r="A1719" t="s">
        <v>8655</v>
      </c>
      <c r="B1719" t="s">
        <v>2527</v>
      </c>
      <c r="C1719" t="s">
        <v>6925</v>
      </c>
      <c r="D1719" s="1">
        <v>45003</v>
      </c>
      <c r="E1719" s="1">
        <v>45005</v>
      </c>
      <c r="F1719" s="1"/>
      <c r="G1719">
        <v>52.03</v>
      </c>
      <c r="H17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719" t="str">
        <f>IFERROR(INDEX(Raw_orders!G:G, MATCH(shipments[[#This Row],[order_id]],Raw_orders!A:A, 0)), "Unknown")</f>
        <v>Nordics</v>
      </c>
      <c r="J1719" t="str">
        <f>PROPER(shipments[[#This Row],[delivery_status]])</f>
        <v>Cancelled</v>
      </c>
      <c r="K1719" t="s">
        <v>6972</v>
      </c>
    </row>
    <row r="1720" spans="1:11">
      <c r="A1720" t="s">
        <v>8656</v>
      </c>
      <c r="B1720" t="s">
        <v>2528</v>
      </c>
      <c r="C1720" t="s">
        <v>6928</v>
      </c>
      <c r="D1720" s="1">
        <v>45421</v>
      </c>
      <c r="E1720" s="1">
        <v>45426</v>
      </c>
      <c r="F1720" s="1">
        <v>45434</v>
      </c>
      <c r="G1720">
        <v>4.51</v>
      </c>
      <c r="H17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20" t="str">
        <f>IFERROR(INDEX(Raw_orders!G:G, MATCH(shipments[[#This Row],[order_id]],Raw_orders!A:A, 0)), "Unknown")</f>
        <v>Central Europe</v>
      </c>
      <c r="J1720" t="str">
        <f>PROPER(shipments[[#This Row],[delivery_status]])</f>
        <v>Delivered</v>
      </c>
      <c r="K1720" t="s">
        <v>6926</v>
      </c>
    </row>
    <row r="1721" spans="1:11">
      <c r="A1721" t="s">
        <v>8657</v>
      </c>
      <c r="B1721" t="s">
        <v>2529</v>
      </c>
      <c r="C1721" t="s">
        <v>6931</v>
      </c>
      <c r="D1721" s="1">
        <v>45604</v>
      </c>
      <c r="E1721" s="1">
        <v>45607</v>
      </c>
      <c r="F1721" s="1">
        <v>45610</v>
      </c>
      <c r="G1721">
        <v>32.22</v>
      </c>
      <c r="H17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21" t="str">
        <f>IFERROR(INDEX(Raw_orders!G:G, MATCH(shipments[[#This Row],[order_id]],Raw_orders!A:A, 0)), "Unknown")</f>
        <v>Nordics</v>
      </c>
      <c r="J1721" t="str">
        <f>PROPER(shipments[[#This Row],[delivery_status]])</f>
        <v>Delivered</v>
      </c>
      <c r="K1721" t="s">
        <v>6922</v>
      </c>
    </row>
    <row r="1722" spans="1:11">
      <c r="A1722" t="s">
        <v>8658</v>
      </c>
      <c r="B1722" t="s">
        <v>2530</v>
      </c>
      <c r="C1722" t="s">
        <v>6928</v>
      </c>
      <c r="D1722" s="1">
        <v>45233</v>
      </c>
      <c r="E1722" s="1">
        <v>45243</v>
      </c>
      <c r="F1722" s="1">
        <v>45246</v>
      </c>
      <c r="G1722">
        <v>53.22</v>
      </c>
      <c r="H17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22" t="str">
        <f>IFERROR(INDEX(Raw_orders!G:G, MATCH(shipments[[#This Row],[order_id]],Raw_orders!A:A, 0)), "Unknown")</f>
        <v>Nordics</v>
      </c>
      <c r="J1722" t="str">
        <f>PROPER(shipments[[#This Row],[delivery_status]])</f>
        <v>Delivered</v>
      </c>
      <c r="K1722" t="s">
        <v>6922</v>
      </c>
    </row>
    <row r="1723" spans="1:11">
      <c r="A1723" t="s">
        <v>8659</v>
      </c>
      <c r="B1723" t="s">
        <v>2531</v>
      </c>
      <c r="C1723" t="s">
        <v>6956</v>
      </c>
      <c r="D1723" s="1">
        <v>45603</v>
      </c>
      <c r="E1723" s="1">
        <v>45608</v>
      </c>
      <c r="F1723" s="1">
        <v>45613</v>
      </c>
      <c r="G1723">
        <v>27.56</v>
      </c>
      <c r="H17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23" t="str">
        <f>IFERROR(INDEX(Raw_orders!G:G, MATCH(shipments[[#This Row],[order_id]],Raw_orders!A:A, 0)), "Unknown")</f>
        <v>Baltics</v>
      </c>
      <c r="J1723" t="str">
        <f>PROPER(shipments[[#This Row],[delivery_status]])</f>
        <v>Delivered</v>
      </c>
      <c r="K1723" t="s">
        <v>6922</v>
      </c>
    </row>
    <row r="1724" spans="1:11">
      <c r="A1724" t="s">
        <v>8660</v>
      </c>
      <c r="B1724" t="s">
        <v>2532</v>
      </c>
      <c r="C1724" t="s">
        <v>6931</v>
      </c>
      <c r="D1724" s="1">
        <v>45278</v>
      </c>
      <c r="E1724" s="1">
        <v>45281</v>
      </c>
      <c r="F1724" s="1">
        <v>45284</v>
      </c>
      <c r="G1724">
        <v>24.74</v>
      </c>
      <c r="H17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24" t="str">
        <f>IFERROR(INDEX(Raw_orders!G:G, MATCH(shipments[[#This Row],[order_id]],Raw_orders!A:A, 0)), "Unknown")</f>
        <v>Baltics</v>
      </c>
      <c r="J1724" t="str">
        <f>PROPER(shipments[[#This Row],[delivery_status]])</f>
        <v>Delivered</v>
      </c>
      <c r="K1724" t="s">
        <v>6922</v>
      </c>
    </row>
    <row r="1725" spans="1:11">
      <c r="A1725" t="s">
        <v>8661</v>
      </c>
      <c r="B1725" t="s">
        <v>2532</v>
      </c>
      <c r="C1725" t="s">
        <v>6956</v>
      </c>
      <c r="D1725" s="1">
        <v>45279</v>
      </c>
      <c r="E1725" s="1">
        <v>45281</v>
      </c>
      <c r="F1725" s="1">
        <v>45286</v>
      </c>
      <c r="G1725">
        <v>16.48</v>
      </c>
      <c r="H17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25" t="str">
        <f>IFERROR(INDEX(Raw_orders!G:G, MATCH(shipments[[#This Row],[order_id]],Raw_orders!A:A, 0)), "Unknown")</f>
        <v>Baltics</v>
      </c>
      <c r="J1725" t="str">
        <f>PROPER(shipments[[#This Row],[delivery_status]])</f>
        <v>Delivered</v>
      </c>
      <c r="K1725" t="s">
        <v>6929</v>
      </c>
    </row>
    <row r="1726" spans="1:11">
      <c r="A1726" t="s">
        <v>8662</v>
      </c>
      <c r="B1726" t="s">
        <v>2533</v>
      </c>
      <c r="C1726" t="s">
        <v>6956</v>
      </c>
      <c r="D1726" s="1">
        <v>45361</v>
      </c>
      <c r="E1726" s="1">
        <v>45366</v>
      </c>
      <c r="F1726" s="1">
        <v>45371</v>
      </c>
      <c r="G1726">
        <v>50.77</v>
      </c>
      <c r="H17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26" t="str">
        <f>IFERROR(INDEX(Raw_orders!G:G, MATCH(shipments[[#This Row],[order_id]],Raw_orders!A:A, 0)), "Unknown")</f>
        <v>Nordics</v>
      </c>
      <c r="J1726" t="str">
        <f>PROPER(shipments[[#This Row],[delivery_status]])</f>
        <v>Delivered</v>
      </c>
      <c r="K1726" t="s">
        <v>6929</v>
      </c>
    </row>
    <row r="1727" spans="1:11">
      <c r="A1727" t="s">
        <v>8663</v>
      </c>
      <c r="B1727" t="s">
        <v>2534</v>
      </c>
      <c r="C1727" t="s">
        <v>6928</v>
      </c>
      <c r="D1727" s="1">
        <v>45214</v>
      </c>
      <c r="E1727" s="1">
        <v>45224</v>
      </c>
      <c r="F1727" s="1">
        <v>45226</v>
      </c>
      <c r="G1727">
        <v>32.33</v>
      </c>
      <c r="H17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27" t="str">
        <f>IFERROR(INDEX(Raw_orders!G:G, MATCH(shipments[[#This Row],[order_id]],Raw_orders!A:A, 0)), "Unknown")</f>
        <v>Central Europe</v>
      </c>
      <c r="J1727" t="str">
        <f>PROPER(shipments[[#This Row],[delivery_status]])</f>
        <v>Delivered</v>
      </c>
      <c r="K1727" t="s">
        <v>6929</v>
      </c>
    </row>
    <row r="1728" spans="1:11">
      <c r="A1728" t="s">
        <v>8664</v>
      </c>
      <c r="B1728" t="s">
        <v>2535</v>
      </c>
      <c r="C1728" t="s">
        <v>6921</v>
      </c>
      <c r="D1728" s="1">
        <v>45322</v>
      </c>
      <c r="E1728" s="1">
        <v>45327</v>
      </c>
      <c r="F1728" s="1">
        <v>45327</v>
      </c>
      <c r="G1728">
        <v>49.34</v>
      </c>
      <c r="H17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728" t="str">
        <f>IFERROR(INDEX(Raw_orders!G:G, MATCH(shipments[[#This Row],[order_id]],Raw_orders!A:A, 0)), "Unknown")</f>
        <v>Central Europe</v>
      </c>
      <c r="J1728" t="str">
        <f>PROPER(shipments[[#This Row],[delivery_status]])</f>
        <v>Delivered</v>
      </c>
      <c r="K1728" t="s">
        <v>6926</v>
      </c>
    </row>
    <row r="1729" spans="1:11">
      <c r="A1729" t="s">
        <v>8665</v>
      </c>
      <c r="B1729" t="s">
        <v>2535</v>
      </c>
      <c r="C1729" t="s">
        <v>6940</v>
      </c>
      <c r="D1729" s="1">
        <v>45323</v>
      </c>
      <c r="E1729" s="1">
        <v>45328</v>
      </c>
      <c r="F1729" s="1"/>
      <c r="G1729">
        <v>9.1300000000000008</v>
      </c>
      <c r="H17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729" t="str">
        <f>IFERROR(INDEX(Raw_orders!G:G, MATCH(shipments[[#This Row],[order_id]],Raw_orders!A:A, 0)), "Unknown")</f>
        <v>Central Europe</v>
      </c>
      <c r="J1729" t="str">
        <f>PROPER(shipments[[#This Row],[delivery_status]])</f>
        <v>In Transit</v>
      </c>
      <c r="K1729" t="s">
        <v>6946</v>
      </c>
    </row>
    <row r="1730" spans="1:11">
      <c r="A1730" t="s">
        <v>8666</v>
      </c>
      <c r="B1730" t="s">
        <v>2536</v>
      </c>
      <c r="C1730" t="s">
        <v>6925</v>
      </c>
      <c r="D1730" s="1">
        <v>45282</v>
      </c>
      <c r="E1730" s="1">
        <v>45287</v>
      </c>
      <c r="F1730" s="1">
        <v>45292</v>
      </c>
      <c r="G1730">
        <v>27.49</v>
      </c>
      <c r="H17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30" t="str">
        <f>IFERROR(INDEX(Raw_orders!G:G, MATCH(shipments[[#This Row],[order_id]],Raw_orders!A:A, 0)), "Unknown")</f>
        <v>Baltics</v>
      </c>
      <c r="J1730" t="str">
        <f>PROPER(shipments[[#This Row],[delivery_status]])</f>
        <v>Delivered</v>
      </c>
      <c r="K1730" t="s">
        <v>6929</v>
      </c>
    </row>
    <row r="1731" spans="1:11">
      <c r="A1731" t="s">
        <v>8667</v>
      </c>
      <c r="B1731" t="s">
        <v>2537</v>
      </c>
      <c r="C1731" t="s">
        <v>6928</v>
      </c>
      <c r="D1731" s="1">
        <v>45321</v>
      </c>
      <c r="E1731" s="1">
        <v>45326</v>
      </c>
      <c r="F1731" s="1">
        <v>45331</v>
      </c>
      <c r="G1731">
        <v>16.829999999999998</v>
      </c>
      <c r="H17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31" t="str">
        <f>IFERROR(INDEX(Raw_orders!G:G, MATCH(shipments[[#This Row],[order_id]],Raw_orders!A:A, 0)), "Unknown")</f>
        <v>Nordics</v>
      </c>
      <c r="J1731" t="str">
        <f>PROPER(shipments[[#This Row],[delivery_status]])</f>
        <v>Delivered</v>
      </c>
      <c r="K1731" t="s">
        <v>6926</v>
      </c>
    </row>
    <row r="1732" spans="1:11">
      <c r="A1732" t="s">
        <v>8668</v>
      </c>
      <c r="B1732" t="s">
        <v>2538</v>
      </c>
      <c r="C1732" t="s">
        <v>6956</v>
      </c>
      <c r="D1732" s="1">
        <v>45377</v>
      </c>
      <c r="E1732" s="1">
        <v>45384</v>
      </c>
      <c r="F1732" s="1">
        <v>45383</v>
      </c>
      <c r="G1732">
        <v>7.02</v>
      </c>
      <c r="H17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732" t="str">
        <f>IFERROR(INDEX(Raw_orders!G:G, MATCH(shipments[[#This Row],[order_id]],Raw_orders!A:A, 0)), "Unknown")</f>
        <v>Central Europe</v>
      </c>
      <c r="J1732" t="str">
        <f>PROPER(shipments[[#This Row],[delivery_status]])</f>
        <v>Delivered</v>
      </c>
      <c r="K1732" t="s">
        <v>6926</v>
      </c>
    </row>
    <row r="1733" spans="1:11">
      <c r="A1733" t="s">
        <v>8669</v>
      </c>
      <c r="B1733" t="s">
        <v>2539</v>
      </c>
      <c r="C1733" t="s">
        <v>6938</v>
      </c>
      <c r="D1733" s="1">
        <v>45468</v>
      </c>
      <c r="E1733" s="1">
        <v>45471</v>
      </c>
      <c r="F1733" s="1">
        <v>45484</v>
      </c>
      <c r="G1733">
        <v>59.7</v>
      </c>
      <c r="H17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33" t="str">
        <f>IFERROR(INDEX(Raw_orders!G:G, MATCH(shipments[[#This Row],[order_id]],Raw_orders!A:A, 0)), "Unknown")</f>
        <v>Baltics</v>
      </c>
      <c r="J1733" t="str">
        <f>PROPER(shipments[[#This Row],[delivery_status]])</f>
        <v>Delivered</v>
      </c>
      <c r="K1733" t="s">
        <v>6929</v>
      </c>
    </row>
    <row r="1734" spans="1:11">
      <c r="A1734" t="s">
        <v>8670</v>
      </c>
      <c r="B1734" t="s">
        <v>2540</v>
      </c>
      <c r="C1734" t="s">
        <v>6940</v>
      </c>
      <c r="D1734" s="1">
        <v>45212</v>
      </c>
      <c r="E1734" s="1">
        <v>45222</v>
      </c>
      <c r="F1734" s="1">
        <v>45226</v>
      </c>
      <c r="G1734">
        <v>39.04</v>
      </c>
      <c r="H17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34" t="str">
        <f>IFERROR(INDEX(Raw_orders!G:G, MATCH(shipments[[#This Row],[order_id]],Raw_orders!A:A, 0)), "Unknown")</f>
        <v>Central Europe</v>
      </c>
      <c r="J1734" t="str">
        <f>PROPER(shipments[[#This Row],[delivery_status]])</f>
        <v>Delivered</v>
      </c>
      <c r="K1734" t="s">
        <v>6926</v>
      </c>
    </row>
    <row r="1735" spans="1:11">
      <c r="A1735" t="s">
        <v>8671</v>
      </c>
      <c r="B1735" t="s">
        <v>2541</v>
      </c>
      <c r="C1735" t="s">
        <v>6935</v>
      </c>
      <c r="D1735" s="1">
        <v>45228</v>
      </c>
      <c r="E1735" s="1">
        <v>45235</v>
      </c>
      <c r="F1735" s="1">
        <v>45235</v>
      </c>
      <c r="G1735">
        <v>28.82</v>
      </c>
      <c r="H17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735" t="str">
        <f>IFERROR(INDEX(Raw_orders!G:G, MATCH(shipments[[#This Row],[order_id]],Raw_orders!A:A, 0)), "Unknown")</f>
        <v>Central Europe</v>
      </c>
      <c r="J1735" t="str">
        <f>PROPER(shipments[[#This Row],[delivery_status]])</f>
        <v>Delivered</v>
      </c>
      <c r="K1735" t="s">
        <v>6926</v>
      </c>
    </row>
    <row r="1736" spans="1:11">
      <c r="A1736" t="s">
        <v>8672</v>
      </c>
      <c r="B1736" t="s">
        <v>2542</v>
      </c>
      <c r="C1736" t="s">
        <v>6928</v>
      </c>
      <c r="D1736" s="1">
        <v>45147</v>
      </c>
      <c r="E1736" s="1">
        <v>45154</v>
      </c>
      <c r="F1736" s="1">
        <v>45158</v>
      </c>
      <c r="G1736">
        <v>28.61</v>
      </c>
      <c r="H17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36" t="str">
        <f>IFERROR(INDEX(Raw_orders!G:G, MATCH(shipments[[#This Row],[order_id]],Raw_orders!A:A, 0)), "Unknown")</f>
        <v>Central Europe</v>
      </c>
      <c r="J1736" t="str">
        <f>PROPER(shipments[[#This Row],[delivery_status]])</f>
        <v>Delivered</v>
      </c>
      <c r="K1736" t="s">
        <v>6922</v>
      </c>
    </row>
    <row r="1737" spans="1:11">
      <c r="A1737" t="s">
        <v>8673</v>
      </c>
      <c r="B1737" t="s">
        <v>2543</v>
      </c>
      <c r="C1737" t="s">
        <v>6925</v>
      </c>
      <c r="D1737" s="1">
        <v>45317</v>
      </c>
      <c r="E1737" s="1">
        <v>45320</v>
      </c>
      <c r="F1737" s="1">
        <v>45323</v>
      </c>
      <c r="G1737">
        <v>31.2</v>
      </c>
      <c r="H17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37" t="str">
        <f>IFERROR(INDEX(Raw_orders!G:G, MATCH(shipments[[#This Row],[order_id]],Raw_orders!A:A, 0)), "Unknown")</f>
        <v>Central Europe</v>
      </c>
      <c r="J1737" t="str">
        <f>PROPER(shipments[[#This Row],[delivery_status]])</f>
        <v>Delivered</v>
      </c>
      <c r="K1737" t="s">
        <v>6922</v>
      </c>
    </row>
    <row r="1738" spans="1:11">
      <c r="A1738" t="s">
        <v>8674</v>
      </c>
      <c r="B1738" t="s">
        <v>2543</v>
      </c>
      <c r="C1738" t="s">
        <v>6921</v>
      </c>
      <c r="D1738" s="1">
        <v>45319</v>
      </c>
      <c r="E1738" s="1">
        <v>45329</v>
      </c>
      <c r="F1738" s="1">
        <v>45337</v>
      </c>
      <c r="G1738">
        <v>44.28</v>
      </c>
      <c r="H17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38" t="str">
        <f>IFERROR(INDEX(Raw_orders!G:G, MATCH(shipments[[#This Row],[order_id]],Raw_orders!A:A, 0)), "Unknown")</f>
        <v>Central Europe</v>
      </c>
      <c r="J1738" t="str">
        <f>PROPER(shipments[[#This Row],[delivery_status]])</f>
        <v>Delivered</v>
      </c>
      <c r="K1738" t="s">
        <v>6929</v>
      </c>
    </row>
    <row r="1739" spans="1:11">
      <c r="A1739" t="s">
        <v>8675</v>
      </c>
      <c r="B1739" t="s">
        <v>2544</v>
      </c>
      <c r="C1739" t="s">
        <v>6938</v>
      </c>
      <c r="D1739" s="1">
        <v>45380</v>
      </c>
      <c r="E1739" s="1">
        <v>45383</v>
      </c>
      <c r="F1739" s="1">
        <v>45383</v>
      </c>
      <c r="H17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739" t="str">
        <f>IFERROR(INDEX(Raw_orders!G:G, MATCH(shipments[[#This Row],[order_id]],Raw_orders!A:A, 0)), "Unknown")</f>
        <v>Nordics</v>
      </c>
      <c r="J1739" t="str">
        <f>PROPER(shipments[[#This Row],[delivery_status]])</f>
        <v>Delivered</v>
      </c>
      <c r="K1739" t="s">
        <v>6929</v>
      </c>
    </row>
    <row r="1740" spans="1:11">
      <c r="A1740" t="s">
        <v>8676</v>
      </c>
      <c r="B1740" t="s">
        <v>2545</v>
      </c>
      <c r="C1740" t="s">
        <v>6940</v>
      </c>
      <c r="D1740" s="1">
        <v>45303</v>
      </c>
      <c r="E1740" s="1">
        <v>45308</v>
      </c>
      <c r="F1740" s="1">
        <v>45312</v>
      </c>
      <c r="G1740">
        <v>45.24</v>
      </c>
      <c r="H17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40" t="str">
        <f>IFERROR(INDEX(Raw_orders!G:G, MATCH(shipments[[#This Row],[order_id]],Raw_orders!A:A, 0)), "Unknown")</f>
        <v>Nordics</v>
      </c>
      <c r="J1740" t="str">
        <f>PROPER(shipments[[#This Row],[delivery_status]])</f>
        <v>Delivered</v>
      </c>
      <c r="K1740" t="s">
        <v>6929</v>
      </c>
    </row>
    <row r="1741" spans="1:11">
      <c r="A1741" t="s">
        <v>8677</v>
      </c>
      <c r="B1741" t="s">
        <v>2546</v>
      </c>
      <c r="C1741" t="s">
        <v>6921</v>
      </c>
      <c r="D1741" s="1">
        <v>45569</v>
      </c>
      <c r="E1741" s="1">
        <v>45579</v>
      </c>
      <c r="F1741" s="1">
        <v>45593</v>
      </c>
      <c r="G1741">
        <v>47.88</v>
      </c>
      <c r="H17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41" t="str">
        <f>IFERROR(INDEX(Raw_orders!G:G, MATCH(shipments[[#This Row],[order_id]],Raw_orders!A:A, 0)), "Unknown")</f>
        <v>Nordics</v>
      </c>
      <c r="J1741" t="str">
        <f>PROPER(shipments[[#This Row],[delivery_status]])</f>
        <v>Delivered</v>
      </c>
      <c r="K1741" t="s">
        <v>6926</v>
      </c>
    </row>
    <row r="1742" spans="1:11">
      <c r="A1742" t="s">
        <v>8678</v>
      </c>
      <c r="B1742" t="s">
        <v>2547</v>
      </c>
      <c r="C1742" t="s">
        <v>6935</v>
      </c>
      <c r="D1742" s="1">
        <v>45453</v>
      </c>
      <c r="E1742" s="1">
        <v>45458</v>
      </c>
      <c r="F1742" s="1">
        <v>45458</v>
      </c>
      <c r="G1742">
        <v>13.47</v>
      </c>
      <c r="H17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742" t="str">
        <f>IFERROR(INDEX(Raw_orders!G:G, MATCH(shipments[[#This Row],[order_id]],Raw_orders!A:A, 0)), "Unknown")</f>
        <v>Baltics</v>
      </c>
      <c r="J1742" t="str">
        <f>PROPER(shipments[[#This Row],[delivery_status]])</f>
        <v>Delivered</v>
      </c>
      <c r="K1742" t="s">
        <v>6929</v>
      </c>
    </row>
    <row r="1743" spans="1:11">
      <c r="A1743" t="s">
        <v>8679</v>
      </c>
      <c r="B1743" t="s">
        <v>2548</v>
      </c>
      <c r="C1743" t="s">
        <v>6940</v>
      </c>
      <c r="D1743" s="1">
        <v>45296</v>
      </c>
      <c r="E1743" s="1">
        <v>45301</v>
      </c>
      <c r="F1743" s="1">
        <v>45311</v>
      </c>
      <c r="G1743">
        <v>41.55</v>
      </c>
      <c r="H17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43" t="str">
        <f>IFERROR(INDEX(Raw_orders!G:G, MATCH(shipments[[#This Row],[order_id]],Raw_orders!A:A, 0)), "Unknown")</f>
        <v>Nordics</v>
      </c>
      <c r="J1743" t="str">
        <f>PROPER(shipments[[#This Row],[delivery_status]])</f>
        <v>Delivered</v>
      </c>
      <c r="K1743" t="s">
        <v>6922</v>
      </c>
    </row>
    <row r="1744" spans="1:11">
      <c r="A1744" t="s">
        <v>8680</v>
      </c>
      <c r="B1744" t="s">
        <v>2549</v>
      </c>
      <c r="C1744" t="s">
        <v>6928</v>
      </c>
      <c r="D1744" s="1">
        <v>45118</v>
      </c>
      <c r="E1744" s="1">
        <v>45121</v>
      </c>
      <c r="F1744" s="1"/>
      <c r="G1744">
        <v>5.82</v>
      </c>
      <c r="H17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744" t="str">
        <f>IFERROR(INDEX(Raw_orders!G:G, MATCH(shipments[[#This Row],[order_id]],Raw_orders!A:A, 0)), "Unknown")</f>
        <v>Central Europe</v>
      </c>
      <c r="J1744" t="str">
        <f>PROPER(shipments[[#This Row],[delivery_status]])</f>
        <v>Cancelled</v>
      </c>
      <c r="K1744" t="s">
        <v>6972</v>
      </c>
    </row>
    <row r="1745" spans="1:11">
      <c r="A1745" t="s">
        <v>8681</v>
      </c>
      <c r="B1745" t="s">
        <v>2549</v>
      </c>
      <c r="C1745" t="s">
        <v>6931</v>
      </c>
      <c r="D1745" s="1">
        <v>45118</v>
      </c>
      <c r="E1745" s="1">
        <v>45125</v>
      </c>
      <c r="F1745" s="1"/>
      <c r="G1745">
        <v>11.33</v>
      </c>
      <c r="H17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745" t="str">
        <f>IFERROR(INDEX(Raw_orders!G:G, MATCH(shipments[[#This Row],[order_id]],Raw_orders!A:A, 0)), "Unknown")</f>
        <v>Central Europe</v>
      </c>
      <c r="J1745" t="str">
        <f>PROPER(shipments[[#This Row],[delivery_status]])</f>
        <v>Cancelled</v>
      </c>
      <c r="K1745" t="s">
        <v>6963</v>
      </c>
    </row>
    <row r="1746" spans="1:11">
      <c r="A1746" t="s">
        <v>8682</v>
      </c>
      <c r="B1746" t="s">
        <v>2550</v>
      </c>
      <c r="C1746" t="s">
        <v>6921</v>
      </c>
      <c r="D1746" s="1">
        <v>45517</v>
      </c>
      <c r="E1746" s="1">
        <v>45522</v>
      </c>
      <c r="F1746" s="1">
        <v>45522</v>
      </c>
      <c r="G1746">
        <v>30.64</v>
      </c>
      <c r="H17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746" t="str">
        <f>IFERROR(INDEX(Raw_orders!G:G, MATCH(shipments[[#This Row],[order_id]],Raw_orders!A:A, 0)), "Unknown")</f>
        <v>Central Europe</v>
      </c>
      <c r="J1746" t="str">
        <f>PROPER(shipments[[#This Row],[delivery_status]])</f>
        <v>Delivered</v>
      </c>
      <c r="K1746" t="s">
        <v>6929</v>
      </c>
    </row>
    <row r="1747" spans="1:11">
      <c r="A1747" t="s">
        <v>8683</v>
      </c>
      <c r="B1747" t="s">
        <v>2551</v>
      </c>
      <c r="C1747" t="s">
        <v>6938</v>
      </c>
      <c r="D1747" s="1">
        <v>45271</v>
      </c>
      <c r="E1747" s="1">
        <v>45276</v>
      </c>
      <c r="F1747" s="1">
        <v>45281</v>
      </c>
      <c r="G1747">
        <v>43.31</v>
      </c>
      <c r="H17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47" t="str">
        <f>IFERROR(INDEX(Raw_orders!G:G, MATCH(shipments[[#This Row],[order_id]],Raw_orders!A:A, 0)), "Unknown")</f>
        <v>Nordics</v>
      </c>
      <c r="J1747" t="str">
        <f>PROPER(shipments[[#This Row],[delivery_status]])</f>
        <v>Delivered</v>
      </c>
      <c r="K1747" t="s">
        <v>6926</v>
      </c>
    </row>
    <row r="1748" spans="1:11">
      <c r="A1748" t="s">
        <v>8684</v>
      </c>
      <c r="B1748" t="s">
        <v>2552</v>
      </c>
      <c r="C1748" t="s">
        <v>6938</v>
      </c>
      <c r="D1748" s="1">
        <v>45617</v>
      </c>
      <c r="E1748" s="1">
        <v>45624</v>
      </c>
      <c r="F1748" s="1">
        <v>45624</v>
      </c>
      <c r="G1748">
        <v>23.18</v>
      </c>
      <c r="H17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748" t="str">
        <f>IFERROR(INDEX(Raw_orders!G:G, MATCH(shipments[[#This Row],[order_id]],Raw_orders!A:A, 0)), "Unknown")</f>
        <v>Central Europe</v>
      </c>
      <c r="J1748" t="str">
        <f>PROPER(shipments[[#This Row],[delivery_status]])</f>
        <v>Delivered</v>
      </c>
      <c r="K1748" t="s">
        <v>6922</v>
      </c>
    </row>
    <row r="1749" spans="1:11">
      <c r="A1749" t="s">
        <v>8685</v>
      </c>
      <c r="B1749" t="s">
        <v>2553</v>
      </c>
      <c r="C1749" t="s">
        <v>6940</v>
      </c>
      <c r="D1749" s="1">
        <v>44990</v>
      </c>
      <c r="E1749" s="1">
        <v>45000</v>
      </c>
      <c r="F1749" s="1">
        <v>45008</v>
      </c>
      <c r="G1749">
        <v>18.27</v>
      </c>
      <c r="H17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49" t="str">
        <f>IFERROR(INDEX(Raw_orders!G:G, MATCH(shipments[[#This Row],[order_id]],Raw_orders!A:A, 0)), "Unknown")</f>
        <v>Nordics</v>
      </c>
      <c r="J1749" t="str">
        <f>PROPER(shipments[[#This Row],[delivery_status]])</f>
        <v>Delivered</v>
      </c>
      <c r="K1749" t="s">
        <v>6922</v>
      </c>
    </row>
    <row r="1750" spans="1:11">
      <c r="A1750" t="s">
        <v>8686</v>
      </c>
      <c r="B1750" t="s">
        <v>2554</v>
      </c>
      <c r="C1750" t="s">
        <v>6925</v>
      </c>
      <c r="D1750" s="1">
        <v>45292</v>
      </c>
      <c r="E1750" s="1">
        <v>45299</v>
      </c>
      <c r="F1750" s="1">
        <v>45300</v>
      </c>
      <c r="G1750">
        <v>22.06</v>
      </c>
      <c r="H17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50" t="str">
        <f>IFERROR(INDEX(Raw_orders!G:G, MATCH(shipments[[#This Row],[order_id]],Raw_orders!A:A, 0)), "Unknown")</f>
        <v>Nordics</v>
      </c>
      <c r="J1750" t="str">
        <f>PROPER(shipments[[#This Row],[delivery_status]])</f>
        <v>Delivered</v>
      </c>
      <c r="K1750" t="s">
        <v>6922</v>
      </c>
    </row>
    <row r="1751" spans="1:11">
      <c r="A1751" t="s">
        <v>8687</v>
      </c>
      <c r="B1751" t="s">
        <v>2555</v>
      </c>
      <c r="C1751" t="s">
        <v>6935</v>
      </c>
      <c r="D1751" s="1">
        <v>45190</v>
      </c>
      <c r="E1751" s="1">
        <v>45197</v>
      </c>
      <c r="F1751" s="1"/>
      <c r="G1751">
        <v>40.630000000000003</v>
      </c>
      <c r="H17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751" t="str">
        <f>IFERROR(INDEX(Raw_orders!G:G, MATCH(shipments[[#This Row],[order_id]],Raw_orders!A:A, 0)), "Unknown")</f>
        <v>Central Europe</v>
      </c>
      <c r="J1751" t="str">
        <f>PROPER(shipments[[#This Row],[delivery_status]])</f>
        <v>In Transit</v>
      </c>
      <c r="K1751" t="s">
        <v>6946</v>
      </c>
    </row>
    <row r="1752" spans="1:11">
      <c r="A1752" t="s">
        <v>8688</v>
      </c>
      <c r="B1752" t="s">
        <v>2556</v>
      </c>
      <c r="C1752" t="s">
        <v>6935</v>
      </c>
      <c r="D1752" s="1">
        <v>45049</v>
      </c>
      <c r="E1752" s="1">
        <v>45052</v>
      </c>
      <c r="F1752" s="1">
        <v>45060</v>
      </c>
      <c r="G1752">
        <v>61.39</v>
      </c>
      <c r="H17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52" t="str">
        <f>IFERROR(INDEX(Raw_orders!G:G, MATCH(shipments[[#This Row],[order_id]],Raw_orders!A:A, 0)), "Unknown")</f>
        <v>Baltics</v>
      </c>
      <c r="J1752" t="str">
        <f>PROPER(shipments[[#This Row],[delivery_status]])</f>
        <v>Delivered</v>
      </c>
      <c r="K1752" t="s">
        <v>6926</v>
      </c>
    </row>
    <row r="1753" spans="1:11">
      <c r="A1753" t="s">
        <v>8689</v>
      </c>
      <c r="B1753" t="s">
        <v>2556</v>
      </c>
      <c r="C1753" t="s">
        <v>6940</v>
      </c>
      <c r="D1753" s="1">
        <v>45047</v>
      </c>
      <c r="E1753" s="1">
        <v>45057</v>
      </c>
      <c r="F1753" s="1">
        <v>45062</v>
      </c>
      <c r="G1753">
        <v>8.35</v>
      </c>
      <c r="H17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53" t="str">
        <f>IFERROR(INDEX(Raw_orders!G:G, MATCH(shipments[[#This Row],[order_id]],Raw_orders!A:A, 0)), "Unknown")</f>
        <v>Baltics</v>
      </c>
      <c r="J1753" t="str">
        <f>PROPER(shipments[[#This Row],[delivery_status]])</f>
        <v>Delivered</v>
      </c>
      <c r="K1753" t="s">
        <v>6922</v>
      </c>
    </row>
    <row r="1754" spans="1:11">
      <c r="A1754" t="s">
        <v>8690</v>
      </c>
      <c r="B1754" t="s">
        <v>2557</v>
      </c>
      <c r="C1754" t="s">
        <v>6956</v>
      </c>
      <c r="D1754" s="1">
        <v>45335</v>
      </c>
      <c r="E1754" s="1">
        <v>45342</v>
      </c>
      <c r="F1754" s="1">
        <v>45342</v>
      </c>
      <c r="G1754">
        <v>12.8</v>
      </c>
      <c r="H17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754" t="str">
        <f>IFERROR(INDEX(Raw_orders!G:G, MATCH(shipments[[#This Row],[order_id]],Raw_orders!A:A, 0)), "Unknown")</f>
        <v>Nordics</v>
      </c>
      <c r="J1754" t="str">
        <f>PROPER(shipments[[#This Row],[delivery_status]])</f>
        <v>Delivered</v>
      </c>
      <c r="K1754" t="s">
        <v>6926</v>
      </c>
    </row>
    <row r="1755" spans="1:11">
      <c r="A1755" t="s">
        <v>8691</v>
      </c>
      <c r="B1755" t="s">
        <v>2558</v>
      </c>
      <c r="C1755" t="s">
        <v>6938</v>
      </c>
      <c r="D1755" s="1">
        <v>45112</v>
      </c>
      <c r="E1755" s="1">
        <v>45119</v>
      </c>
      <c r="F1755" s="1">
        <v>45119</v>
      </c>
      <c r="G1755">
        <v>59.16</v>
      </c>
      <c r="H17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755" t="str">
        <f>IFERROR(INDEX(Raw_orders!G:G, MATCH(shipments[[#This Row],[order_id]],Raw_orders!A:A, 0)), "Unknown")</f>
        <v>Nordics</v>
      </c>
      <c r="J1755" t="str">
        <f>PROPER(shipments[[#This Row],[delivery_status]])</f>
        <v>Delivered</v>
      </c>
      <c r="K1755" t="s">
        <v>6922</v>
      </c>
    </row>
    <row r="1756" spans="1:11">
      <c r="A1756" t="s">
        <v>8692</v>
      </c>
      <c r="B1756" t="s">
        <v>2559</v>
      </c>
      <c r="C1756" t="s">
        <v>6938</v>
      </c>
      <c r="D1756" s="1">
        <v>45110</v>
      </c>
      <c r="E1756" s="1">
        <v>45115</v>
      </c>
      <c r="F1756" s="1">
        <v>45123</v>
      </c>
      <c r="G1756">
        <v>61.23</v>
      </c>
      <c r="H17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56" t="str">
        <f>IFERROR(INDEX(Raw_orders!G:G, MATCH(shipments[[#This Row],[order_id]],Raw_orders!A:A, 0)), "Unknown")</f>
        <v>Central Europe</v>
      </c>
      <c r="J1756" t="str">
        <f>PROPER(shipments[[#This Row],[delivery_status]])</f>
        <v>Delivered</v>
      </c>
      <c r="K1756" t="s">
        <v>6929</v>
      </c>
    </row>
    <row r="1757" spans="1:11">
      <c r="A1757" t="s">
        <v>8693</v>
      </c>
      <c r="B1757" t="s">
        <v>2560</v>
      </c>
      <c r="C1757" t="s">
        <v>6949</v>
      </c>
      <c r="D1757" s="1">
        <v>45488</v>
      </c>
      <c r="E1757" s="1">
        <v>45495</v>
      </c>
      <c r="F1757" s="1">
        <v>45500</v>
      </c>
      <c r="G1757">
        <v>64.42</v>
      </c>
      <c r="H17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57" t="str">
        <f>IFERROR(INDEX(Raw_orders!G:G, MATCH(shipments[[#This Row],[order_id]],Raw_orders!A:A, 0)), "Unknown")</f>
        <v>Nordics</v>
      </c>
      <c r="J1757" t="str">
        <f>PROPER(shipments[[#This Row],[delivery_status]])</f>
        <v>Delivered</v>
      </c>
      <c r="K1757" t="s">
        <v>6922</v>
      </c>
    </row>
    <row r="1758" spans="1:11">
      <c r="A1758" t="s">
        <v>8694</v>
      </c>
      <c r="B1758" t="s">
        <v>2561</v>
      </c>
      <c r="C1758" t="s">
        <v>6956</v>
      </c>
      <c r="D1758" s="1">
        <v>45522</v>
      </c>
      <c r="E1758" s="1">
        <v>45524</v>
      </c>
      <c r="F1758" s="1">
        <v>45531</v>
      </c>
      <c r="G1758">
        <v>50.08</v>
      </c>
      <c r="H17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58" t="str">
        <f>IFERROR(INDEX(Raw_orders!G:G, MATCH(shipments[[#This Row],[order_id]],Raw_orders!A:A, 0)), "Unknown")</f>
        <v>Baltics</v>
      </c>
      <c r="J1758" t="str">
        <f>PROPER(shipments[[#This Row],[delivery_status]])</f>
        <v>Delivered</v>
      </c>
      <c r="K1758" t="s">
        <v>6926</v>
      </c>
    </row>
    <row r="1759" spans="1:11">
      <c r="A1759" t="s">
        <v>8695</v>
      </c>
      <c r="B1759" t="s">
        <v>2562</v>
      </c>
      <c r="C1759" t="s">
        <v>6931</v>
      </c>
      <c r="D1759" s="1">
        <v>45581</v>
      </c>
      <c r="E1759" s="1">
        <v>45584</v>
      </c>
      <c r="F1759" s="1">
        <v>45592</v>
      </c>
      <c r="G1759">
        <v>17.82</v>
      </c>
      <c r="H17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59" t="str">
        <f>IFERROR(INDEX(Raw_orders!G:G, MATCH(shipments[[#This Row],[order_id]],Raw_orders!A:A, 0)), "Unknown")</f>
        <v>Baltics</v>
      </c>
      <c r="J1759" t="str">
        <f>PROPER(shipments[[#This Row],[delivery_status]])</f>
        <v>Delivered</v>
      </c>
      <c r="K1759" t="s">
        <v>6929</v>
      </c>
    </row>
    <row r="1760" spans="1:11">
      <c r="A1760" t="s">
        <v>8696</v>
      </c>
      <c r="B1760" t="s">
        <v>2563</v>
      </c>
      <c r="C1760" t="s">
        <v>6956</v>
      </c>
      <c r="D1760" s="1">
        <v>45465</v>
      </c>
      <c r="E1760" s="1">
        <v>45475</v>
      </c>
      <c r="F1760" s="1"/>
      <c r="G1760">
        <v>11.48</v>
      </c>
      <c r="H17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760" t="str">
        <f>IFERROR(INDEX(Raw_orders!G:G, MATCH(shipments[[#This Row],[order_id]],Raw_orders!A:A, 0)), "Unknown")</f>
        <v>Nordics</v>
      </c>
      <c r="J1760" t="str">
        <f>PROPER(shipments[[#This Row],[delivery_status]])</f>
        <v>In Transit</v>
      </c>
      <c r="K1760" t="s">
        <v>6977</v>
      </c>
    </row>
    <row r="1761" spans="1:11">
      <c r="A1761" t="s">
        <v>8697</v>
      </c>
      <c r="B1761" t="s">
        <v>2564</v>
      </c>
      <c r="C1761" t="s">
        <v>6928</v>
      </c>
      <c r="D1761" s="1">
        <v>44957</v>
      </c>
      <c r="E1761" s="1">
        <v>44967</v>
      </c>
      <c r="F1761" s="1"/>
      <c r="G1761">
        <v>52.87</v>
      </c>
      <c r="H17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761" t="str">
        <f>IFERROR(INDEX(Raw_orders!G:G, MATCH(shipments[[#This Row],[order_id]],Raw_orders!A:A, 0)), "Unknown")</f>
        <v>Central Europe</v>
      </c>
      <c r="J1761" t="str">
        <f>PROPER(shipments[[#This Row],[delivery_status]])</f>
        <v>Cancelled</v>
      </c>
      <c r="K1761" t="s">
        <v>6963</v>
      </c>
    </row>
    <row r="1762" spans="1:11">
      <c r="A1762" t="s">
        <v>8698</v>
      </c>
      <c r="B1762" t="s">
        <v>2565</v>
      </c>
      <c r="C1762" t="s">
        <v>6928</v>
      </c>
      <c r="D1762" s="1">
        <v>44941</v>
      </c>
      <c r="E1762" s="1">
        <v>44951</v>
      </c>
      <c r="F1762" s="1"/>
      <c r="G1762">
        <v>19.899999999999999</v>
      </c>
      <c r="H17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762" t="str">
        <f>IFERROR(INDEX(Raw_orders!G:G, MATCH(shipments[[#This Row],[order_id]],Raw_orders!A:A, 0)), "Unknown")</f>
        <v>Nordics</v>
      </c>
      <c r="J1762" t="str">
        <f>PROPER(shipments[[#This Row],[delivery_status]])</f>
        <v>In Transit</v>
      </c>
      <c r="K1762" t="s">
        <v>6958</v>
      </c>
    </row>
    <row r="1763" spans="1:11">
      <c r="A1763" t="s">
        <v>8699</v>
      </c>
      <c r="B1763" t="s">
        <v>2566</v>
      </c>
      <c r="C1763" t="s">
        <v>6938</v>
      </c>
      <c r="D1763" s="1">
        <v>44970</v>
      </c>
      <c r="E1763" s="1">
        <v>44975</v>
      </c>
      <c r="F1763" s="1">
        <v>44980</v>
      </c>
      <c r="G1763">
        <v>23.56</v>
      </c>
      <c r="H17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63" t="str">
        <f>IFERROR(INDEX(Raw_orders!G:G, MATCH(shipments[[#This Row],[order_id]],Raw_orders!A:A, 0)), "Unknown")</f>
        <v>Baltics</v>
      </c>
      <c r="J1763" t="str">
        <f>PROPER(shipments[[#This Row],[delivery_status]])</f>
        <v>Delivered</v>
      </c>
      <c r="K1763" t="s">
        <v>6922</v>
      </c>
    </row>
    <row r="1764" spans="1:11">
      <c r="A1764" t="s">
        <v>8700</v>
      </c>
      <c r="B1764" t="s">
        <v>2567</v>
      </c>
      <c r="C1764" t="s">
        <v>6931</v>
      </c>
      <c r="D1764" s="1">
        <v>45355</v>
      </c>
      <c r="E1764" s="1">
        <v>45357</v>
      </c>
      <c r="F1764" s="1">
        <v>45363</v>
      </c>
      <c r="G1764">
        <v>61.24</v>
      </c>
      <c r="H17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64" t="str">
        <f>IFERROR(INDEX(Raw_orders!G:G, MATCH(shipments[[#This Row],[order_id]],Raw_orders!A:A, 0)), "Unknown")</f>
        <v>Unknown</v>
      </c>
      <c r="J1764" t="str">
        <f>PROPER(shipments[[#This Row],[delivery_status]])</f>
        <v>Delivered</v>
      </c>
      <c r="K1764" t="s">
        <v>6926</v>
      </c>
    </row>
    <row r="1765" spans="1:11">
      <c r="A1765" t="s">
        <v>8701</v>
      </c>
      <c r="B1765" t="s">
        <v>2568</v>
      </c>
      <c r="C1765" t="s">
        <v>6921</v>
      </c>
      <c r="D1765" s="1">
        <v>45521</v>
      </c>
      <c r="E1765" s="1">
        <v>45526</v>
      </c>
      <c r="F1765" s="1">
        <v>45531</v>
      </c>
      <c r="G1765">
        <v>54.85</v>
      </c>
      <c r="H17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65" t="str">
        <f>IFERROR(INDEX(Raw_orders!G:G, MATCH(shipments[[#This Row],[order_id]],Raw_orders!A:A, 0)), "Unknown")</f>
        <v>Central Europe</v>
      </c>
      <c r="J1765" t="str">
        <f>PROPER(shipments[[#This Row],[delivery_status]])</f>
        <v>Delivered</v>
      </c>
      <c r="K1765" t="s">
        <v>6926</v>
      </c>
    </row>
    <row r="1766" spans="1:11">
      <c r="A1766" t="s">
        <v>8702</v>
      </c>
      <c r="B1766" t="s">
        <v>2569</v>
      </c>
      <c r="C1766" t="s">
        <v>6938</v>
      </c>
      <c r="D1766" s="1">
        <v>45034</v>
      </c>
      <c r="E1766" s="1">
        <v>45044</v>
      </c>
      <c r="F1766" s="1">
        <v>45044</v>
      </c>
      <c r="G1766">
        <v>60.58</v>
      </c>
      <c r="H17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766" t="str">
        <f>IFERROR(INDEX(Raw_orders!G:G, MATCH(shipments[[#This Row],[order_id]],Raw_orders!A:A, 0)), "Unknown")</f>
        <v>Unknown</v>
      </c>
      <c r="J1766" t="str">
        <f>PROPER(shipments[[#This Row],[delivery_status]])</f>
        <v>Delivered</v>
      </c>
      <c r="K1766" t="s">
        <v>6926</v>
      </c>
    </row>
    <row r="1767" spans="1:11">
      <c r="A1767" t="s">
        <v>8703</v>
      </c>
      <c r="B1767" t="s">
        <v>2570</v>
      </c>
      <c r="C1767" t="s">
        <v>6940</v>
      </c>
      <c r="D1767" s="1">
        <v>45072</v>
      </c>
      <c r="E1767" s="1">
        <v>45079</v>
      </c>
      <c r="F1767" s="1">
        <v>45081</v>
      </c>
      <c r="G1767">
        <v>38.71</v>
      </c>
      <c r="H17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67" t="str">
        <f>IFERROR(INDEX(Raw_orders!G:G, MATCH(shipments[[#This Row],[order_id]],Raw_orders!A:A, 0)), "Unknown")</f>
        <v>Nordics</v>
      </c>
      <c r="J1767" t="str">
        <f>PROPER(shipments[[#This Row],[delivery_status]])</f>
        <v>Delivered</v>
      </c>
      <c r="K1767" t="s">
        <v>6922</v>
      </c>
    </row>
    <row r="1768" spans="1:11">
      <c r="A1768" t="s">
        <v>8704</v>
      </c>
      <c r="B1768" t="s">
        <v>2570</v>
      </c>
      <c r="C1768" t="s">
        <v>6940</v>
      </c>
      <c r="D1768" s="1">
        <v>45071</v>
      </c>
      <c r="E1768" s="1">
        <v>45076</v>
      </c>
      <c r="F1768" s="1"/>
      <c r="G1768">
        <v>60.12</v>
      </c>
      <c r="H17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768" t="str">
        <f>IFERROR(INDEX(Raw_orders!G:G, MATCH(shipments[[#This Row],[order_id]],Raw_orders!A:A, 0)), "Unknown")</f>
        <v>Nordics</v>
      </c>
      <c r="J1768" t="str">
        <f>PROPER(shipments[[#This Row],[delivery_status]])</f>
        <v>Cancelled</v>
      </c>
      <c r="K1768" t="s">
        <v>6972</v>
      </c>
    </row>
    <row r="1769" spans="1:11">
      <c r="A1769" t="s">
        <v>8705</v>
      </c>
      <c r="B1769" t="s">
        <v>2571</v>
      </c>
      <c r="C1769" t="s">
        <v>6925</v>
      </c>
      <c r="D1769" s="1">
        <v>44943</v>
      </c>
      <c r="E1769" s="1">
        <v>44948</v>
      </c>
      <c r="F1769" s="1">
        <v>44953</v>
      </c>
      <c r="G1769">
        <v>7.84</v>
      </c>
      <c r="H17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69" t="str">
        <f>IFERROR(INDEX(Raw_orders!G:G, MATCH(shipments[[#This Row],[order_id]],Raw_orders!A:A, 0)), "Unknown")</f>
        <v>Baltics</v>
      </c>
      <c r="J1769" t="str">
        <f>PROPER(shipments[[#This Row],[delivery_status]])</f>
        <v>Delivered</v>
      </c>
      <c r="K1769" t="s">
        <v>6922</v>
      </c>
    </row>
    <row r="1770" spans="1:11">
      <c r="A1770" t="s">
        <v>8706</v>
      </c>
      <c r="B1770" t="s">
        <v>2572</v>
      </c>
      <c r="C1770" t="s">
        <v>6928</v>
      </c>
      <c r="D1770" s="1">
        <v>45518</v>
      </c>
      <c r="E1770" s="1">
        <v>45525</v>
      </c>
      <c r="F1770" s="1">
        <v>45524</v>
      </c>
      <c r="H17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770" t="str">
        <f>IFERROR(INDEX(Raw_orders!G:G, MATCH(shipments[[#This Row],[order_id]],Raw_orders!A:A, 0)), "Unknown")</f>
        <v>Baltics</v>
      </c>
      <c r="J1770" t="str">
        <f>PROPER(shipments[[#This Row],[delivery_status]])</f>
        <v>Delivered</v>
      </c>
      <c r="K1770" t="s">
        <v>6929</v>
      </c>
    </row>
    <row r="1771" spans="1:11">
      <c r="A1771" t="s">
        <v>8707</v>
      </c>
      <c r="B1771" t="s">
        <v>2573</v>
      </c>
      <c r="C1771" t="s">
        <v>6935</v>
      </c>
      <c r="D1771" s="1">
        <v>45074</v>
      </c>
      <c r="E1771" s="1">
        <v>45084</v>
      </c>
      <c r="F1771" s="1">
        <v>45092</v>
      </c>
      <c r="G1771">
        <v>63.29</v>
      </c>
      <c r="H17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71" t="str">
        <f>IFERROR(INDEX(Raw_orders!G:G, MATCH(shipments[[#This Row],[order_id]],Raw_orders!A:A, 0)), "Unknown")</f>
        <v>Central Europe</v>
      </c>
      <c r="J1771" t="str">
        <f>PROPER(shipments[[#This Row],[delivery_status]])</f>
        <v>Delivered</v>
      </c>
      <c r="K1771" t="s">
        <v>6926</v>
      </c>
    </row>
    <row r="1772" spans="1:11">
      <c r="A1772" t="s">
        <v>8708</v>
      </c>
      <c r="B1772" t="s">
        <v>2574</v>
      </c>
      <c r="C1772" t="s">
        <v>6949</v>
      </c>
      <c r="D1772" s="1">
        <v>45023</v>
      </c>
      <c r="E1772" s="1">
        <v>45033</v>
      </c>
      <c r="F1772" s="1">
        <v>45032</v>
      </c>
      <c r="G1772">
        <v>61.28</v>
      </c>
      <c r="H17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772" t="str">
        <f>IFERROR(INDEX(Raw_orders!G:G, MATCH(shipments[[#This Row],[order_id]],Raw_orders!A:A, 0)), "Unknown")</f>
        <v>Baltics</v>
      </c>
      <c r="J1772" t="str">
        <f>PROPER(shipments[[#This Row],[delivery_status]])</f>
        <v>Delivered</v>
      </c>
      <c r="K1772" t="s">
        <v>6922</v>
      </c>
    </row>
    <row r="1773" spans="1:11">
      <c r="A1773" t="s">
        <v>8709</v>
      </c>
      <c r="B1773" t="s">
        <v>2575</v>
      </c>
      <c r="C1773" t="s">
        <v>6921</v>
      </c>
      <c r="D1773" s="1">
        <v>45503</v>
      </c>
      <c r="E1773" s="1">
        <v>45510</v>
      </c>
      <c r="F1773" s="1"/>
      <c r="G1773">
        <v>14.56</v>
      </c>
      <c r="H17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773" t="str">
        <f>IFERROR(INDEX(Raw_orders!G:G, MATCH(shipments[[#This Row],[order_id]],Raw_orders!A:A, 0)), "Unknown")</f>
        <v>Baltics</v>
      </c>
      <c r="J1773" t="str">
        <f>PROPER(shipments[[#This Row],[delivery_status]])</f>
        <v>In Transit</v>
      </c>
      <c r="K1773" t="s">
        <v>6958</v>
      </c>
    </row>
    <row r="1774" spans="1:11">
      <c r="A1774" t="s">
        <v>8710</v>
      </c>
      <c r="B1774" t="s">
        <v>2576</v>
      </c>
      <c r="C1774" t="s">
        <v>6935</v>
      </c>
      <c r="D1774" s="1">
        <v>45263</v>
      </c>
      <c r="E1774" s="1">
        <v>45268</v>
      </c>
      <c r="F1774" s="1">
        <v>45268</v>
      </c>
      <c r="G1774">
        <v>13.03</v>
      </c>
      <c r="H17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774" t="str">
        <f>IFERROR(INDEX(Raw_orders!G:G, MATCH(shipments[[#This Row],[order_id]],Raw_orders!A:A, 0)), "Unknown")</f>
        <v>Baltics</v>
      </c>
      <c r="J1774" t="str">
        <f>PROPER(shipments[[#This Row],[delivery_status]])</f>
        <v>Delivered</v>
      </c>
      <c r="K1774" t="s">
        <v>6922</v>
      </c>
    </row>
    <row r="1775" spans="1:11">
      <c r="A1775" t="s">
        <v>8711</v>
      </c>
      <c r="B1775" t="s">
        <v>2577</v>
      </c>
      <c r="C1775" t="s">
        <v>6935</v>
      </c>
      <c r="D1775" s="1">
        <v>45284</v>
      </c>
      <c r="E1775" s="1">
        <v>45287</v>
      </c>
      <c r="F1775" s="1"/>
      <c r="G1775">
        <v>44.4</v>
      </c>
      <c r="H17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775" t="str">
        <f>IFERROR(INDEX(Raw_orders!G:G, MATCH(shipments[[#This Row],[order_id]],Raw_orders!A:A, 0)), "Unknown")</f>
        <v>Baltics</v>
      </c>
      <c r="J1775" t="str">
        <f>PROPER(shipments[[#This Row],[delivery_status]])</f>
        <v>Cancelled</v>
      </c>
      <c r="K1775" t="s">
        <v>6979</v>
      </c>
    </row>
    <row r="1776" spans="1:11">
      <c r="A1776" t="s">
        <v>8712</v>
      </c>
      <c r="B1776" t="s">
        <v>2578</v>
      </c>
      <c r="C1776" t="s">
        <v>6935</v>
      </c>
      <c r="D1776" s="1">
        <v>45600</v>
      </c>
      <c r="E1776" s="1">
        <v>45605</v>
      </c>
      <c r="F1776" s="1">
        <v>45607</v>
      </c>
      <c r="G1776">
        <v>36.89</v>
      </c>
      <c r="H17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76" t="str">
        <f>IFERROR(INDEX(Raw_orders!G:G, MATCH(shipments[[#This Row],[order_id]],Raw_orders!A:A, 0)), "Unknown")</f>
        <v>Central Europe</v>
      </c>
      <c r="J1776" t="str">
        <f>PROPER(shipments[[#This Row],[delivery_status]])</f>
        <v>Delivered</v>
      </c>
      <c r="K1776" t="s">
        <v>6922</v>
      </c>
    </row>
    <row r="1777" spans="1:11">
      <c r="A1777" t="s">
        <v>8713</v>
      </c>
      <c r="B1777" t="s">
        <v>2579</v>
      </c>
      <c r="C1777" t="s">
        <v>6928</v>
      </c>
      <c r="D1777" s="1">
        <v>45461</v>
      </c>
      <c r="E1777" s="1">
        <v>45466</v>
      </c>
      <c r="F1777" s="1">
        <v>45468</v>
      </c>
      <c r="G1777">
        <v>17.079999999999998</v>
      </c>
      <c r="H17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77" t="str">
        <f>IFERROR(INDEX(Raw_orders!G:G, MATCH(shipments[[#This Row],[order_id]],Raw_orders!A:A, 0)), "Unknown")</f>
        <v>Nordics</v>
      </c>
      <c r="J1777" t="str">
        <f>PROPER(shipments[[#This Row],[delivery_status]])</f>
        <v>Delivered</v>
      </c>
      <c r="K1777" t="s">
        <v>6922</v>
      </c>
    </row>
    <row r="1778" spans="1:11">
      <c r="A1778" t="s">
        <v>8714</v>
      </c>
      <c r="B1778" t="s">
        <v>2580</v>
      </c>
      <c r="C1778" t="s">
        <v>6928</v>
      </c>
      <c r="D1778" s="1">
        <v>44988</v>
      </c>
      <c r="E1778" s="1">
        <v>44998</v>
      </c>
      <c r="F1778" s="1">
        <v>44997</v>
      </c>
      <c r="G1778">
        <v>23.41</v>
      </c>
      <c r="H17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778" t="str">
        <f>IFERROR(INDEX(Raw_orders!G:G, MATCH(shipments[[#This Row],[order_id]],Raw_orders!A:A, 0)), "Unknown")</f>
        <v>Central Europe</v>
      </c>
      <c r="J1778" t="str">
        <f>PROPER(shipments[[#This Row],[delivery_status]])</f>
        <v>Delivered</v>
      </c>
      <c r="K1778" t="s">
        <v>6929</v>
      </c>
    </row>
    <row r="1779" spans="1:11">
      <c r="A1779" t="s">
        <v>8715</v>
      </c>
      <c r="B1779" t="s">
        <v>2581</v>
      </c>
      <c r="C1779" t="s">
        <v>6921</v>
      </c>
      <c r="D1779" s="1">
        <v>45410</v>
      </c>
      <c r="E1779" s="1">
        <v>45420</v>
      </c>
      <c r="F1779" s="1">
        <v>45428</v>
      </c>
      <c r="G1779">
        <v>54.49</v>
      </c>
      <c r="H17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79" t="str">
        <f>IFERROR(INDEX(Raw_orders!G:G, MATCH(shipments[[#This Row],[order_id]],Raw_orders!A:A, 0)), "Unknown")</f>
        <v>Nordics</v>
      </c>
      <c r="J1779" t="str">
        <f>PROPER(shipments[[#This Row],[delivery_status]])</f>
        <v>Delivered</v>
      </c>
      <c r="K1779" t="s">
        <v>6926</v>
      </c>
    </row>
    <row r="1780" spans="1:11">
      <c r="A1780" t="s">
        <v>8716</v>
      </c>
      <c r="B1780" t="s">
        <v>2582</v>
      </c>
      <c r="C1780" t="s">
        <v>6938</v>
      </c>
      <c r="D1780" s="1">
        <v>45344</v>
      </c>
      <c r="E1780" s="1">
        <v>45354</v>
      </c>
      <c r="F1780" s="1">
        <v>45354</v>
      </c>
      <c r="G1780">
        <v>36.97</v>
      </c>
      <c r="H17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780" t="str">
        <f>IFERROR(INDEX(Raw_orders!G:G, MATCH(shipments[[#This Row],[order_id]],Raw_orders!A:A, 0)), "Unknown")</f>
        <v>Central Europe</v>
      </c>
      <c r="J1780" t="str">
        <f>PROPER(shipments[[#This Row],[delivery_status]])</f>
        <v>Delivered</v>
      </c>
      <c r="K1780" t="s">
        <v>6926</v>
      </c>
    </row>
    <row r="1781" spans="1:11">
      <c r="A1781" t="s">
        <v>8717</v>
      </c>
      <c r="B1781" t="s">
        <v>2583</v>
      </c>
      <c r="C1781" t="s">
        <v>6921</v>
      </c>
      <c r="D1781" s="1">
        <v>45416</v>
      </c>
      <c r="E1781" s="1">
        <v>45423</v>
      </c>
      <c r="F1781" s="1">
        <v>45423</v>
      </c>
      <c r="H17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781" t="str">
        <f>IFERROR(INDEX(Raw_orders!G:G, MATCH(shipments[[#This Row],[order_id]],Raw_orders!A:A, 0)), "Unknown")</f>
        <v>Nordics</v>
      </c>
      <c r="J1781" t="str">
        <f>PROPER(shipments[[#This Row],[delivery_status]])</f>
        <v>Delivered</v>
      </c>
      <c r="K1781" t="s">
        <v>6929</v>
      </c>
    </row>
    <row r="1782" spans="1:11">
      <c r="A1782" t="s">
        <v>8718</v>
      </c>
      <c r="B1782" t="s">
        <v>2584</v>
      </c>
      <c r="C1782" t="s">
        <v>6921</v>
      </c>
      <c r="D1782" s="1">
        <v>45622</v>
      </c>
      <c r="E1782" s="1">
        <v>45629</v>
      </c>
      <c r="F1782" s="1"/>
      <c r="G1782">
        <v>16.62</v>
      </c>
      <c r="H17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782" t="str">
        <f>IFERROR(INDEX(Raw_orders!G:G, MATCH(shipments[[#This Row],[order_id]],Raw_orders!A:A, 0)), "Unknown")</f>
        <v>Nordics</v>
      </c>
      <c r="J1782" t="str">
        <f>PROPER(shipments[[#This Row],[delivery_status]])</f>
        <v>Cancelled</v>
      </c>
      <c r="K1782" t="s">
        <v>6972</v>
      </c>
    </row>
    <row r="1783" spans="1:11">
      <c r="A1783" t="s">
        <v>8719</v>
      </c>
      <c r="B1783" t="s">
        <v>2585</v>
      </c>
      <c r="C1783" t="s">
        <v>6928</v>
      </c>
      <c r="D1783" s="1">
        <v>45256</v>
      </c>
      <c r="E1783" s="1">
        <v>45259</v>
      </c>
      <c r="F1783" s="1">
        <v>45264</v>
      </c>
      <c r="G1783">
        <v>54.77</v>
      </c>
      <c r="H17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83" t="str">
        <f>IFERROR(INDEX(Raw_orders!G:G, MATCH(shipments[[#This Row],[order_id]],Raw_orders!A:A, 0)), "Unknown")</f>
        <v>Nordics</v>
      </c>
      <c r="J1783" t="str">
        <f>PROPER(shipments[[#This Row],[delivery_status]])</f>
        <v>Delivered</v>
      </c>
      <c r="K1783" t="s">
        <v>6926</v>
      </c>
    </row>
    <row r="1784" spans="1:11">
      <c r="A1784" t="s">
        <v>8720</v>
      </c>
      <c r="B1784" t="s">
        <v>2586</v>
      </c>
      <c r="C1784" t="s">
        <v>6935</v>
      </c>
      <c r="D1784" s="1">
        <v>44934</v>
      </c>
      <c r="E1784" s="1">
        <v>44936</v>
      </c>
      <c r="F1784" s="1">
        <v>44936</v>
      </c>
      <c r="G1784">
        <v>46.83</v>
      </c>
      <c r="H17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784" t="str">
        <f>IFERROR(INDEX(Raw_orders!G:G, MATCH(shipments[[#This Row],[order_id]],Raw_orders!A:A, 0)), "Unknown")</f>
        <v>Nordics</v>
      </c>
      <c r="J1784" t="str">
        <f>PROPER(shipments[[#This Row],[delivery_status]])</f>
        <v>Delivered</v>
      </c>
      <c r="K1784" t="s">
        <v>6922</v>
      </c>
    </row>
    <row r="1785" spans="1:11">
      <c r="A1785" t="s">
        <v>8721</v>
      </c>
      <c r="B1785" t="s">
        <v>2586</v>
      </c>
      <c r="C1785" t="s">
        <v>6940</v>
      </c>
      <c r="D1785" s="1">
        <v>44931</v>
      </c>
      <c r="E1785" s="1">
        <v>44933</v>
      </c>
      <c r="F1785" s="1">
        <v>44934</v>
      </c>
      <c r="G1785">
        <v>17.309999999999999</v>
      </c>
      <c r="H17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85" t="str">
        <f>IFERROR(INDEX(Raw_orders!G:G, MATCH(shipments[[#This Row],[order_id]],Raw_orders!A:A, 0)), "Unknown")</f>
        <v>Nordics</v>
      </c>
      <c r="J1785" t="str">
        <f>PROPER(shipments[[#This Row],[delivery_status]])</f>
        <v>Delivered</v>
      </c>
      <c r="K1785" t="s">
        <v>6926</v>
      </c>
    </row>
    <row r="1786" spans="1:11">
      <c r="A1786" t="s">
        <v>8722</v>
      </c>
      <c r="B1786" t="s">
        <v>2587</v>
      </c>
      <c r="C1786" t="s">
        <v>6931</v>
      </c>
      <c r="D1786" s="1">
        <v>45198</v>
      </c>
      <c r="E1786" s="1">
        <v>45200</v>
      </c>
      <c r="F1786" s="1">
        <v>45199</v>
      </c>
      <c r="G1786">
        <v>64.069999999999993</v>
      </c>
      <c r="H17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786" t="str">
        <f>IFERROR(INDEX(Raw_orders!G:G, MATCH(shipments[[#This Row],[order_id]],Raw_orders!A:A, 0)), "Unknown")</f>
        <v>Nordics</v>
      </c>
      <c r="J1786" t="str">
        <f>PROPER(shipments[[#This Row],[delivery_status]])</f>
        <v>Delivered</v>
      </c>
      <c r="K1786" t="s">
        <v>6926</v>
      </c>
    </row>
    <row r="1787" spans="1:11">
      <c r="A1787" t="s">
        <v>8723</v>
      </c>
      <c r="B1787" t="s">
        <v>2588</v>
      </c>
      <c r="C1787" t="s">
        <v>6940</v>
      </c>
      <c r="D1787" s="1">
        <v>45605</v>
      </c>
      <c r="E1787" s="1">
        <v>45615</v>
      </c>
      <c r="F1787" s="1">
        <v>45616</v>
      </c>
      <c r="G1787">
        <v>52.4</v>
      </c>
      <c r="H17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87" t="str">
        <f>IFERROR(INDEX(Raw_orders!G:G, MATCH(shipments[[#This Row],[order_id]],Raw_orders!A:A, 0)), "Unknown")</f>
        <v>Baltics</v>
      </c>
      <c r="J1787" t="str">
        <f>PROPER(shipments[[#This Row],[delivery_status]])</f>
        <v>Delivered</v>
      </c>
      <c r="K1787" t="s">
        <v>6926</v>
      </c>
    </row>
    <row r="1788" spans="1:11">
      <c r="A1788" t="s">
        <v>8724</v>
      </c>
      <c r="B1788" t="s">
        <v>2589</v>
      </c>
      <c r="C1788" t="s">
        <v>6940</v>
      </c>
      <c r="D1788" s="1">
        <v>45403</v>
      </c>
      <c r="E1788" s="1">
        <v>45406</v>
      </c>
      <c r="F1788" s="1">
        <v>45405</v>
      </c>
      <c r="G1788">
        <v>29.63</v>
      </c>
      <c r="H17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788" t="str">
        <f>IFERROR(INDEX(Raw_orders!G:G, MATCH(shipments[[#This Row],[order_id]],Raw_orders!A:A, 0)), "Unknown")</f>
        <v>Central Europe</v>
      </c>
      <c r="J1788" t="str">
        <f>PROPER(shipments[[#This Row],[delivery_status]])</f>
        <v>Delivered</v>
      </c>
      <c r="K1788" t="s">
        <v>6926</v>
      </c>
    </row>
    <row r="1789" spans="1:11">
      <c r="A1789" t="s">
        <v>8725</v>
      </c>
      <c r="B1789" t="s">
        <v>2590</v>
      </c>
      <c r="C1789" t="s">
        <v>6956</v>
      </c>
      <c r="D1789" s="1">
        <v>45391</v>
      </c>
      <c r="E1789" s="1">
        <v>45394</v>
      </c>
      <c r="F1789" s="1">
        <v>45395</v>
      </c>
      <c r="G1789">
        <v>53.93</v>
      </c>
      <c r="H17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89" t="str">
        <f>IFERROR(INDEX(Raw_orders!G:G, MATCH(shipments[[#This Row],[order_id]],Raw_orders!A:A, 0)), "Unknown")</f>
        <v>Baltics</v>
      </c>
      <c r="J1789" t="str">
        <f>PROPER(shipments[[#This Row],[delivery_status]])</f>
        <v>Delivered</v>
      </c>
      <c r="K1789" t="s">
        <v>6929</v>
      </c>
    </row>
    <row r="1790" spans="1:11">
      <c r="A1790" t="s">
        <v>8726</v>
      </c>
      <c r="B1790" t="s">
        <v>2591</v>
      </c>
      <c r="C1790" t="s">
        <v>6940</v>
      </c>
      <c r="D1790" s="1">
        <v>45622</v>
      </c>
      <c r="E1790" s="1">
        <v>45627</v>
      </c>
      <c r="F1790" s="1">
        <v>45632</v>
      </c>
      <c r="G1790">
        <v>58.63</v>
      </c>
      <c r="H17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90" t="str">
        <f>IFERROR(INDEX(Raw_orders!G:G, MATCH(shipments[[#This Row],[order_id]],Raw_orders!A:A, 0)), "Unknown")</f>
        <v>Nordics</v>
      </c>
      <c r="J1790" t="str">
        <f>PROPER(shipments[[#This Row],[delivery_status]])</f>
        <v>Delivered</v>
      </c>
      <c r="K1790" t="s">
        <v>6926</v>
      </c>
    </row>
    <row r="1791" spans="1:11">
      <c r="A1791" t="s">
        <v>8727</v>
      </c>
      <c r="B1791" t="s">
        <v>2592</v>
      </c>
      <c r="C1791" t="s">
        <v>6949</v>
      </c>
      <c r="D1791" s="1">
        <v>45381</v>
      </c>
      <c r="E1791" s="1">
        <v>45391</v>
      </c>
      <c r="F1791" s="1">
        <v>45391</v>
      </c>
      <c r="G1791">
        <v>47.13</v>
      </c>
      <c r="H17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791" t="str">
        <f>IFERROR(INDEX(Raw_orders!G:G, MATCH(shipments[[#This Row],[order_id]],Raw_orders!A:A, 0)), "Unknown")</f>
        <v>Baltics</v>
      </c>
      <c r="J1791" t="str">
        <f>PROPER(shipments[[#This Row],[delivery_status]])</f>
        <v>Delivered</v>
      </c>
      <c r="K1791" t="s">
        <v>6922</v>
      </c>
    </row>
    <row r="1792" spans="1:11">
      <c r="A1792" t="s">
        <v>8728</v>
      </c>
      <c r="B1792" t="s">
        <v>2593</v>
      </c>
      <c r="C1792" t="s">
        <v>6928</v>
      </c>
      <c r="D1792" s="1">
        <v>45182</v>
      </c>
      <c r="E1792" s="1">
        <v>45192</v>
      </c>
      <c r="F1792" s="1">
        <v>45206</v>
      </c>
      <c r="G1792">
        <v>54.31</v>
      </c>
      <c r="H17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92" t="str">
        <f>IFERROR(INDEX(Raw_orders!G:G, MATCH(shipments[[#This Row],[order_id]],Raw_orders!A:A, 0)), "Unknown")</f>
        <v>Baltics</v>
      </c>
      <c r="J1792" t="str">
        <f>PROPER(shipments[[#This Row],[delivery_status]])</f>
        <v>Delivered</v>
      </c>
      <c r="K1792" t="s">
        <v>6926</v>
      </c>
    </row>
    <row r="1793" spans="1:11">
      <c r="A1793" t="s">
        <v>8729</v>
      </c>
      <c r="B1793" t="s">
        <v>2594</v>
      </c>
      <c r="C1793" t="s">
        <v>6938</v>
      </c>
      <c r="D1793" s="1">
        <v>45305</v>
      </c>
      <c r="E1793" s="1">
        <v>45315</v>
      </c>
      <c r="F1793" s="1">
        <v>45314</v>
      </c>
      <c r="G1793">
        <v>52.56</v>
      </c>
      <c r="H17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793" t="str">
        <f>IFERROR(INDEX(Raw_orders!G:G, MATCH(shipments[[#This Row],[order_id]],Raw_orders!A:A, 0)), "Unknown")</f>
        <v>Central Europe</v>
      </c>
      <c r="J1793" t="str">
        <f>PROPER(shipments[[#This Row],[delivery_status]])</f>
        <v>Delivered</v>
      </c>
      <c r="K1793" t="s">
        <v>6929</v>
      </c>
    </row>
    <row r="1794" spans="1:11">
      <c r="A1794" t="s">
        <v>8730</v>
      </c>
      <c r="B1794" t="s">
        <v>2595</v>
      </c>
      <c r="C1794" t="s">
        <v>6928</v>
      </c>
      <c r="D1794" s="1">
        <v>45462</v>
      </c>
      <c r="E1794" s="1">
        <v>45467</v>
      </c>
      <c r="F1794" s="1">
        <v>45466</v>
      </c>
      <c r="G1794">
        <v>57.17</v>
      </c>
      <c r="H17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794" t="str">
        <f>IFERROR(INDEX(Raw_orders!G:G, MATCH(shipments[[#This Row],[order_id]],Raw_orders!A:A, 0)), "Unknown")</f>
        <v>Baltics</v>
      </c>
      <c r="J1794" t="str">
        <f>PROPER(shipments[[#This Row],[delivery_status]])</f>
        <v>Delivered</v>
      </c>
      <c r="K1794" t="s">
        <v>6926</v>
      </c>
    </row>
    <row r="1795" spans="1:11">
      <c r="A1795" t="s">
        <v>8731</v>
      </c>
      <c r="B1795" t="s">
        <v>2596</v>
      </c>
      <c r="C1795" t="s">
        <v>6921</v>
      </c>
      <c r="D1795" s="1">
        <v>45374</v>
      </c>
      <c r="E1795" s="1">
        <v>45377</v>
      </c>
      <c r="F1795" s="1">
        <v>45377</v>
      </c>
      <c r="G1795">
        <v>48.51</v>
      </c>
      <c r="H17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795" t="str">
        <f>IFERROR(INDEX(Raw_orders!G:G, MATCH(shipments[[#This Row],[order_id]],Raw_orders!A:A, 0)), "Unknown")</f>
        <v>Baltics</v>
      </c>
      <c r="J1795" t="str">
        <f>PROPER(shipments[[#This Row],[delivery_status]])</f>
        <v>Delivered</v>
      </c>
      <c r="K1795" t="s">
        <v>6922</v>
      </c>
    </row>
    <row r="1796" spans="1:11">
      <c r="A1796" t="s">
        <v>8732</v>
      </c>
      <c r="B1796" t="s">
        <v>2597</v>
      </c>
      <c r="C1796" t="s">
        <v>6928</v>
      </c>
      <c r="D1796" s="1">
        <v>45333</v>
      </c>
      <c r="E1796" s="1">
        <v>45340</v>
      </c>
      <c r="F1796" s="1">
        <v>45340</v>
      </c>
      <c r="G1796">
        <v>24.52</v>
      </c>
      <c r="H17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796" t="str">
        <f>IFERROR(INDEX(Raw_orders!G:G, MATCH(shipments[[#This Row],[order_id]],Raw_orders!A:A, 0)), "Unknown")</f>
        <v>Nordics</v>
      </c>
      <c r="J1796" t="str">
        <f>PROPER(shipments[[#This Row],[delivery_status]])</f>
        <v>Delivered</v>
      </c>
      <c r="K1796" t="s">
        <v>6926</v>
      </c>
    </row>
    <row r="1797" spans="1:11">
      <c r="A1797" t="s">
        <v>8733</v>
      </c>
      <c r="B1797" t="s">
        <v>2598</v>
      </c>
      <c r="C1797" t="s">
        <v>6938</v>
      </c>
      <c r="D1797" s="1">
        <v>45549</v>
      </c>
      <c r="E1797" s="1">
        <v>45554</v>
      </c>
      <c r="F1797" s="1">
        <v>45562</v>
      </c>
      <c r="G1797">
        <v>57</v>
      </c>
      <c r="H17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797" t="str">
        <f>IFERROR(INDEX(Raw_orders!G:G, MATCH(shipments[[#This Row],[order_id]],Raw_orders!A:A, 0)), "Unknown")</f>
        <v>Nordics</v>
      </c>
      <c r="J1797" t="str">
        <f>PROPER(shipments[[#This Row],[delivery_status]])</f>
        <v>Delivered</v>
      </c>
      <c r="K1797" t="s">
        <v>6929</v>
      </c>
    </row>
    <row r="1798" spans="1:11">
      <c r="A1798" t="s">
        <v>8734</v>
      </c>
      <c r="B1798" t="s">
        <v>2599</v>
      </c>
      <c r="C1798" t="s">
        <v>6928</v>
      </c>
      <c r="D1798" s="1">
        <v>45054</v>
      </c>
      <c r="E1798" s="1">
        <v>45059</v>
      </c>
      <c r="F1798" s="1">
        <v>45059</v>
      </c>
      <c r="G1798">
        <v>31.49</v>
      </c>
      <c r="H17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798" t="str">
        <f>IFERROR(INDEX(Raw_orders!G:G, MATCH(shipments[[#This Row],[order_id]],Raw_orders!A:A, 0)), "Unknown")</f>
        <v>Central Europe</v>
      </c>
      <c r="J1798" t="str">
        <f>PROPER(shipments[[#This Row],[delivery_status]])</f>
        <v>Delivered</v>
      </c>
      <c r="K1798" t="s">
        <v>6922</v>
      </c>
    </row>
    <row r="1799" spans="1:11">
      <c r="A1799" t="s">
        <v>8735</v>
      </c>
      <c r="B1799" t="s">
        <v>2600</v>
      </c>
      <c r="C1799" t="s">
        <v>6956</v>
      </c>
      <c r="D1799" s="1">
        <v>44954</v>
      </c>
      <c r="E1799" s="1">
        <v>44957</v>
      </c>
      <c r="F1799" s="1"/>
      <c r="G1799">
        <v>42.04</v>
      </c>
      <c r="H17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799" t="str">
        <f>IFERROR(INDEX(Raw_orders!G:G, MATCH(shipments[[#This Row],[order_id]],Raw_orders!A:A, 0)), "Unknown")</f>
        <v>Baltics</v>
      </c>
      <c r="J1799" t="str">
        <f>PROPER(shipments[[#This Row],[delivery_status]])</f>
        <v>In Transit</v>
      </c>
      <c r="K1799" t="s">
        <v>6977</v>
      </c>
    </row>
    <row r="1800" spans="1:11">
      <c r="A1800" t="s">
        <v>8736</v>
      </c>
      <c r="B1800" t="s">
        <v>2601</v>
      </c>
      <c r="C1800" t="s">
        <v>6931</v>
      </c>
      <c r="D1800" s="1">
        <v>45353</v>
      </c>
      <c r="E1800" s="1">
        <v>45363</v>
      </c>
      <c r="F1800" s="1">
        <v>45368</v>
      </c>
      <c r="G1800">
        <v>13.7</v>
      </c>
      <c r="H18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00" t="str">
        <f>IFERROR(INDEX(Raw_orders!G:G, MATCH(shipments[[#This Row],[order_id]],Raw_orders!A:A, 0)), "Unknown")</f>
        <v>Nordics</v>
      </c>
      <c r="J1800" t="str">
        <f>PROPER(shipments[[#This Row],[delivery_status]])</f>
        <v>Delivered</v>
      </c>
      <c r="K1800" t="s">
        <v>6922</v>
      </c>
    </row>
    <row r="1801" spans="1:11">
      <c r="A1801" t="s">
        <v>8737</v>
      </c>
      <c r="B1801" t="s">
        <v>2602</v>
      </c>
      <c r="C1801" t="s">
        <v>6928</v>
      </c>
      <c r="D1801" s="1">
        <v>45236</v>
      </c>
      <c r="E1801" s="1">
        <v>45239</v>
      </c>
      <c r="F1801" s="1">
        <v>45242</v>
      </c>
      <c r="G1801">
        <v>10.199999999999999</v>
      </c>
      <c r="H18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01" t="str">
        <f>IFERROR(INDEX(Raw_orders!G:G, MATCH(shipments[[#This Row],[order_id]],Raw_orders!A:A, 0)), "Unknown")</f>
        <v>Baltics</v>
      </c>
      <c r="J1801" t="str">
        <f>PROPER(shipments[[#This Row],[delivery_status]])</f>
        <v>Delivered</v>
      </c>
      <c r="K1801" t="s">
        <v>6926</v>
      </c>
    </row>
    <row r="1802" spans="1:11">
      <c r="A1802" t="s">
        <v>8738</v>
      </c>
      <c r="B1802" t="s">
        <v>2603</v>
      </c>
      <c r="C1802" t="s">
        <v>6935</v>
      </c>
      <c r="D1802" s="1">
        <v>45164</v>
      </c>
      <c r="E1802" s="1">
        <v>45166</v>
      </c>
      <c r="F1802" s="1"/>
      <c r="H18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802" t="str">
        <f>IFERROR(INDEX(Raw_orders!G:G, MATCH(shipments[[#This Row],[order_id]],Raw_orders!A:A, 0)), "Unknown")</f>
        <v>Baltics</v>
      </c>
      <c r="J1802" t="str">
        <f>PROPER(shipments[[#This Row],[delivery_status]])</f>
        <v>Cancelled</v>
      </c>
      <c r="K1802" t="s">
        <v>6979</v>
      </c>
    </row>
    <row r="1803" spans="1:11">
      <c r="A1803" t="s">
        <v>8739</v>
      </c>
      <c r="B1803" t="s">
        <v>2604</v>
      </c>
      <c r="C1803" t="s">
        <v>6928</v>
      </c>
      <c r="D1803" s="1">
        <v>45171</v>
      </c>
      <c r="E1803" s="1">
        <v>45174</v>
      </c>
      <c r="F1803" s="1">
        <v>45173</v>
      </c>
      <c r="G1803">
        <v>9.73</v>
      </c>
      <c r="H18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03" t="str">
        <f>IFERROR(INDEX(Raw_orders!G:G, MATCH(shipments[[#This Row],[order_id]],Raw_orders!A:A, 0)), "Unknown")</f>
        <v>Central Europe</v>
      </c>
      <c r="J1803" t="str">
        <f>PROPER(shipments[[#This Row],[delivery_status]])</f>
        <v>Delivered</v>
      </c>
      <c r="K1803" t="s">
        <v>6926</v>
      </c>
    </row>
    <row r="1804" spans="1:11">
      <c r="A1804" t="s">
        <v>8740</v>
      </c>
      <c r="B1804" t="s">
        <v>2605</v>
      </c>
      <c r="C1804" t="s">
        <v>6928</v>
      </c>
      <c r="D1804" s="1">
        <v>45072</v>
      </c>
      <c r="E1804" s="1">
        <v>45082</v>
      </c>
      <c r="F1804" s="1">
        <v>45087</v>
      </c>
      <c r="G1804">
        <v>11.98</v>
      </c>
      <c r="H18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04" t="str">
        <f>IFERROR(INDEX(Raw_orders!G:G, MATCH(shipments[[#This Row],[order_id]],Raw_orders!A:A, 0)), "Unknown")</f>
        <v>Baltics</v>
      </c>
      <c r="J1804" t="str">
        <f>PROPER(shipments[[#This Row],[delivery_status]])</f>
        <v>Delivered</v>
      </c>
      <c r="K1804" t="s">
        <v>6929</v>
      </c>
    </row>
    <row r="1805" spans="1:11">
      <c r="A1805" t="s">
        <v>8741</v>
      </c>
      <c r="B1805" t="s">
        <v>2606</v>
      </c>
      <c r="C1805" t="s">
        <v>6935</v>
      </c>
      <c r="D1805" s="1">
        <v>45518</v>
      </c>
      <c r="E1805" s="1">
        <v>45528</v>
      </c>
      <c r="F1805" s="1">
        <v>45528</v>
      </c>
      <c r="G1805">
        <v>52.2</v>
      </c>
      <c r="H18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05" t="str">
        <f>IFERROR(INDEX(Raw_orders!G:G, MATCH(shipments[[#This Row],[order_id]],Raw_orders!A:A, 0)), "Unknown")</f>
        <v>Central Europe</v>
      </c>
      <c r="J1805" t="str">
        <f>PROPER(shipments[[#This Row],[delivery_status]])</f>
        <v>Delivered</v>
      </c>
      <c r="K1805" t="s">
        <v>6926</v>
      </c>
    </row>
    <row r="1806" spans="1:11">
      <c r="A1806" t="s">
        <v>8742</v>
      </c>
      <c r="B1806" t="s">
        <v>2607</v>
      </c>
      <c r="C1806" t="s">
        <v>6940</v>
      </c>
      <c r="D1806" s="1">
        <v>45153</v>
      </c>
      <c r="E1806" s="1">
        <v>45160</v>
      </c>
      <c r="F1806" s="1">
        <v>45161</v>
      </c>
      <c r="G1806">
        <v>48.86</v>
      </c>
      <c r="H18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06" t="str">
        <f>IFERROR(INDEX(Raw_orders!G:G, MATCH(shipments[[#This Row],[order_id]],Raw_orders!A:A, 0)), "Unknown")</f>
        <v>Nordics</v>
      </c>
      <c r="J1806" t="str">
        <f>PROPER(shipments[[#This Row],[delivery_status]])</f>
        <v>Delivered</v>
      </c>
      <c r="K1806" t="s">
        <v>6926</v>
      </c>
    </row>
    <row r="1807" spans="1:11">
      <c r="A1807" t="s">
        <v>8743</v>
      </c>
      <c r="B1807" t="s">
        <v>2608</v>
      </c>
      <c r="C1807" t="s">
        <v>6921</v>
      </c>
      <c r="D1807" s="1">
        <v>45537</v>
      </c>
      <c r="E1807" s="1">
        <v>45539</v>
      </c>
      <c r="F1807" s="1">
        <v>45547</v>
      </c>
      <c r="G1807">
        <v>10.56</v>
      </c>
      <c r="H18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07" t="str">
        <f>IFERROR(INDEX(Raw_orders!G:G, MATCH(shipments[[#This Row],[order_id]],Raw_orders!A:A, 0)), "Unknown")</f>
        <v>Central Europe</v>
      </c>
      <c r="J1807" t="str">
        <f>PROPER(shipments[[#This Row],[delivery_status]])</f>
        <v>Delivered</v>
      </c>
      <c r="K1807" t="s">
        <v>6926</v>
      </c>
    </row>
    <row r="1808" spans="1:11">
      <c r="A1808" t="s">
        <v>8744</v>
      </c>
      <c r="B1808" t="s">
        <v>2609</v>
      </c>
      <c r="C1808" t="s">
        <v>6938</v>
      </c>
      <c r="D1808" s="1">
        <v>44962</v>
      </c>
      <c r="E1808" s="1">
        <v>44967</v>
      </c>
      <c r="F1808" s="1">
        <v>44967</v>
      </c>
      <c r="G1808">
        <v>43.37</v>
      </c>
      <c r="H18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08" t="str">
        <f>IFERROR(INDEX(Raw_orders!G:G, MATCH(shipments[[#This Row],[order_id]],Raw_orders!A:A, 0)), "Unknown")</f>
        <v>Nordics</v>
      </c>
      <c r="J1808" t="str">
        <f>PROPER(shipments[[#This Row],[delivery_status]])</f>
        <v>Delivered</v>
      </c>
      <c r="K1808" t="s">
        <v>6926</v>
      </c>
    </row>
    <row r="1809" spans="1:11">
      <c r="A1809" t="s">
        <v>8745</v>
      </c>
      <c r="B1809" t="s">
        <v>2610</v>
      </c>
      <c r="C1809" t="s">
        <v>6938</v>
      </c>
      <c r="D1809" s="1">
        <v>45318</v>
      </c>
      <c r="E1809" s="1">
        <v>45321</v>
      </c>
      <c r="F1809" s="1">
        <v>45321</v>
      </c>
      <c r="G1809">
        <v>18.16</v>
      </c>
      <c r="H18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09" t="str">
        <f>IFERROR(INDEX(Raw_orders!G:G, MATCH(shipments[[#This Row],[order_id]],Raw_orders!A:A, 0)), "Unknown")</f>
        <v>Central Europe</v>
      </c>
      <c r="J1809" t="str">
        <f>PROPER(shipments[[#This Row],[delivery_status]])</f>
        <v>Delivered</v>
      </c>
      <c r="K1809" t="s">
        <v>6926</v>
      </c>
    </row>
    <row r="1810" spans="1:11">
      <c r="A1810" t="s">
        <v>8746</v>
      </c>
      <c r="B1810" t="s">
        <v>2611</v>
      </c>
      <c r="C1810" t="s">
        <v>6931</v>
      </c>
      <c r="D1810" s="1">
        <v>45211</v>
      </c>
      <c r="E1810" s="1">
        <v>45214</v>
      </c>
      <c r="F1810" s="1">
        <v>45213</v>
      </c>
      <c r="G1810">
        <v>38.08</v>
      </c>
      <c r="H18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10" t="str">
        <f>IFERROR(INDEX(Raw_orders!G:G, MATCH(shipments[[#This Row],[order_id]],Raw_orders!A:A, 0)), "Unknown")</f>
        <v>Central Europe</v>
      </c>
      <c r="J1810" t="str">
        <f>PROPER(shipments[[#This Row],[delivery_status]])</f>
        <v>Delivered</v>
      </c>
      <c r="K1810" t="s">
        <v>6926</v>
      </c>
    </row>
    <row r="1811" spans="1:11">
      <c r="A1811" t="s">
        <v>8747</v>
      </c>
      <c r="B1811" t="s">
        <v>2612</v>
      </c>
      <c r="C1811" t="s">
        <v>6935</v>
      </c>
      <c r="D1811" s="1">
        <v>45069</v>
      </c>
      <c r="E1811" s="1">
        <v>45071</v>
      </c>
      <c r="F1811" s="1">
        <v>45070</v>
      </c>
      <c r="G1811">
        <v>63.29</v>
      </c>
      <c r="H18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11" t="str">
        <f>IFERROR(INDEX(Raw_orders!G:G, MATCH(shipments[[#This Row],[order_id]],Raw_orders!A:A, 0)), "Unknown")</f>
        <v>Baltics</v>
      </c>
      <c r="J1811" t="str">
        <f>PROPER(shipments[[#This Row],[delivery_status]])</f>
        <v>Delivered</v>
      </c>
      <c r="K1811" t="s">
        <v>6929</v>
      </c>
    </row>
    <row r="1812" spans="1:11">
      <c r="A1812" t="s">
        <v>8748</v>
      </c>
      <c r="B1812" t="s">
        <v>2613</v>
      </c>
      <c r="C1812" t="s">
        <v>6935</v>
      </c>
      <c r="D1812" s="1">
        <v>45507</v>
      </c>
      <c r="E1812" s="1">
        <v>45509</v>
      </c>
      <c r="F1812" s="1">
        <v>45514</v>
      </c>
      <c r="G1812">
        <v>56.3</v>
      </c>
      <c r="H18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12" t="str">
        <f>IFERROR(INDEX(Raw_orders!G:G, MATCH(shipments[[#This Row],[order_id]],Raw_orders!A:A, 0)), "Unknown")</f>
        <v>Central Europe</v>
      </c>
      <c r="J1812" t="str">
        <f>PROPER(shipments[[#This Row],[delivery_status]])</f>
        <v>Delivered</v>
      </c>
      <c r="K1812" t="s">
        <v>6926</v>
      </c>
    </row>
    <row r="1813" spans="1:11">
      <c r="A1813" t="s">
        <v>8749</v>
      </c>
      <c r="B1813" t="s">
        <v>2614</v>
      </c>
      <c r="C1813" t="s">
        <v>6935</v>
      </c>
      <c r="D1813" s="1">
        <v>45355</v>
      </c>
      <c r="E1813" s="1">
        <v>45360</v>
      </c>
      <c r="F1813" s="1">
        <v>45365</v>
      </c>
      <c r="G1813">
        <v>27.29</v>
      </c>
      <c r="H18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13" t="str">
        <f>IFERROR(INDEX(Raw_orders!G:G, MATCH(shipments[[#This Row],[order_id]],Raw_orders!A:A, 0)), "Unknown")</f>
        <v>Central Europe</v>
      </c>
      <c r="J1813" t="str">
        <f>PROPER(shipments[[#This Row],[delivery_status]])</f>
        <v>Delivered</v>
      </c>
      <c r="K1813" t="s">
        <v>6922</v>
      </c>
    </row>
    <row r="1814" spans="1:11">
      <c r="A1814" t="s">
        <v>8750</v>
      </c>
      <c r="B1814" t="s">
        <v>2615</v>
      </c>
      <c r="C1814" t="s">
        <v>6935</v>
      </c>
      <c r="D1814" s="1">
        <v>45531</v>
      </c>
      <c r="E1814" s="1">
        <v>45533</v>
      </c>
      <c r="F1814" s="1">
        <v>45533</v>
      </c>
      <c r="G1814">
        <v>15.64</v>
      </c>
      <c r="H18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14" t="str">
        <f>IFERROR(INDEX(Raw_orders!G:G, MATCH(shipments[[#This Row],[order_id]],Raw_orders!A:A, 0)), "Unknown")</f>
        <v>Baltics</v>
      </c>
      <c r="J1814" t="str">
        <f>PROPER(shipments[[#This Row],[delivery_status]])</f>
        <v>Delivered</v>
      </c>
      <c r="K1814" t="s">
        <v>6922</v>
      </c>
    </row>
    <row r="1815" spans="1:11">
      <c r="A1815" t="s">
        <v>8751</v>
      </c>
      <c r="B1815" t="s">
        <v>2616</v>
      </c>
      <c r="C1815" t="s">
        <v>6940</v>
      </c>
      <c r="D1815" s="1">
        <v>45555</v>
      </c>
      <c r="E1815" s="1">
        <v>45565</v>
      </c>
      <c r="F1815" s="1">
        <v>45573</v>
      </c>
      <c r="G1815">
        <v>26.65</v>
      </c>
      <c r="H18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15" t="str">
        <f>IFERROR(INDEX(Raw_orders!G:G, MATCH(shipments[[#This Row],[order_id]],Raw_orders!A:A, 0)), "Unknown")</f>
        <v>Baltics</v>
      </c>
      <c r="J1815" t="str">
        <f>PROPER(shipments[[#This Row],[delivery_status]])</f>
        <v>Delivered</v>
      </c>
      <c r="K1815" t="s">
        <v>6929</v>
      </c>
    </row>
    <row r="1816" spans="1:11">
      <c r="A1816" t="s">
        <v>8752</v>
      </c>
      <c r="B1816" t="s">
        <v>2617</v>
      </c>
      <c r="C1816" t="s">
        <v>6940</v>
      </c>
      <c r="D1816" s="1">
        <v>45219</v>
      </c>
      <c r="E1816" s="1">
        <v>45222</v>
      </c>
      <c r="F1816" s="1">
        <v>45222</v>
      </c>
      <c r="G1816">
        <v>22.06</v>
      </c>
      <c r="H18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16" t="str">
        <f>IFERROR(INDEX(Raw_orders!G:G, MATCH(shipments[[#This Row],[order_id]],Raw_orders!A:A, 0)), "Unknown")</f>
        <v>Baltics</v>
      </c>
      <c r="J1816" t="str">
        <f>PROPER(shipments[[#This Row],[delivery_status]])</f>
        <v>Delivered</v>
      </c>
      <c r="K1816" t="s">
        <v>6926</v>
      </c>
    </row>
    <row r="1817" spans="1:11">
      <c r="A1817" t="s">
        <v>8753</v>
      </c>
      <c r="B1817" t="s">
        <v>2617</v>
      </c>
      <c r="C1817" t="s">
        <v>6931</v>
      </c>
      <c r="D1817" s="1">
        <v>45219</v>
      </c>
      <c r="E1817" s="1">
        <v>45226</v>
      </c>
      <c r="F1817" s="1">
        <v>45240</v>
      </c>
      <c r="G1817">
        <v>35.75</v>
      </c>
      <c r="H18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17" t="str">
        <f>IFERROR(INDEX(Raw_orders!G:G, MATCH(shipments[[#This Row],[order_id]],Raw_orders!A:A, 0)), "Unknown")</f>
        <v>Baltics</v>
      </c>
      <c r="J1817" t="str">
        <f>PROPER(shipments[[#This Row],[delivery_status]])</f>
        <v>Delivered</v>
      </c>
      <c r="K1817" t="s">
        <v>6929</v>
      </c>
    </row>
    <row r="1818" spans="1:11">
      <c r="A1818" t="s">
        <v>8754</v>
      </c>
      <c r="B1818" t="s">
        <v>2618</v>
      </c>
      <c r="C1818" t="s">
        <v>6925</v>
      </c>
      <c r="D1818" s="1">
        <v>45415</v>
      </c>
      <c r="E1818" s="1">
        <v>45420</v>
      </c>
      <c r="F1818" s="1">
        <v>45425</v>
      </c>
      <c r="G1818">
        <v>27.11</v>
      </c>
      <c r="H18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18" t="str">
        <f>IFERROR(INDEX(Raw_orders!G:G, MATCH(shipments[[#This Row],[order_id]],Raw_orders!A:A, 0)), "Unknown")</f>
        <v>Nordics</v>
      </c>
      <c r="J1818" t="str">
        <f>PROPER(shipments[[#This Row],[delivery_status]])</f>
        <v>Delivered</v>
      </c>
      <c r="K1818" t="s">
        <v>6929</v>
      </c>
    </row>
    <row r="1819" spans="1:11">
      <c r="A1819" t="s">
        <v>8755</v>
      </c>
      <c r="B1819" t="s">
        <v>2619</v>
      </c>
      <c r="C1819" t="s">
        <v>6935</v>
      </c>
      <c r="D1819" s="1">
        <v>45195</v>
      </c>
      <c r="E1819" s="1">
        <v>45202</v>
      </c>
      <c r="F1819" s="1"/>
      <c r="G1819">
        <v>7.51</v>
      </c>
      <c r="H18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819" t="str">
        <f>IFERROR(INDEX(Raw_orders!G:G, MATCH(shipments[[#This Row],[order_id]],Raw_orders!A:A, 0)), "Unknown")</f>
        <v>Central Europe</v>
      </c>
      <c r="J1819" t="str">
        <f>PROPER(shipments[[#This Row],[delivery_status]])</f>
        <v>In Transit</v>
      </c>
      <c r="K1819" t="s">
        <v>6977</v>
      </c>
    </row>
    <row r="1820" spans="1:11">
      <c r="A1820" t="s">
        <v>8756</v>
      </c>
      <c r="B1820" t="s">
        <v>2620</v>
      </c>
      <c r="C1820" t="s">
        <v>6940</v>
      </c>
      <c r="D1820" s="1">
        <v>45616</v>
      </c>
      <c r="E1820" s="1">
        <v>45618</v>
      </c>
      <c r="F1820" s="1">
        <v>45623</v>
      </c>
      <c r="G1820">
        <v>9.9600000000000009</v>
      </c>
      <c r="H18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20" t="str">
        <f>IFERROR(INDEX(Raw_orders!G:G, MATCH(shipments[[#This Row],[order_id]],Raw_orders!A:A, 0)), "Unknown")</f>
        <v>Central Europe</v>
      </c>
      <c r="J1820" t="str">
        <f>PROPER(shipments[[#This Row],[delivery_status]])</f>
        <v>Delivered</v>
      </c>
      <c r="K1820" t="s">
        <v>6926</v>
      </c>
    </row>
    <row r="1821" spans="1:11">
      <c r="A1821" t="s">
        <v>8757</v>
      </c>
      <c r="B1821" t="s">
        <v>2621</v>
      </c>
      <c r="C1821" t="s">
        <v>6938</v>
      </c>
      <c r="D1821" s="1">
        <v>45032</v>
      </c>
      <c r="E1821" s="1">
        <v>45037</v>
      </c>
      <c r="F1821" s="1">
        <v>45042</v>
      </c>
      <c r="G1821">
        <v>9.9700000000000006</v>
      </c>
      <c r="H18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21" t="str">
        <f>IFERROR(INDEX(Raw_orders!G:G, MATCH(shipments[[#This Row],[order_id]],Raw_orders!A:A, 0)), "Unknown")</f>
        <v>Baltics</v>
      </c>
      <c r="J1821" t="str">
        <f>PROPER(shipments[[#This Row],[delivery_status]])</f>
        <v>Delivered</v>
      </c>
      <c r="K1821" t="s">
        <v>6926</v>
      </c>
    </row>
    <row r="1822" spans="1:11">
      <c r="A1822" t="s">
        <v>8758</v>
      </c>
      <c r="B1822" t="s">
        <v>2622</v>
      </c>
      <c r="C1822" t="s">
        <v>6928</v>
      </c>
      <c r="D1822" s="1">
        <v>45344</v>
      </c>
      <c r="E1822" s="1">
        <v>45347</v>
      </c>
      <c r="F1822" s="1">
        <v>45346</v>
      </c>
      <c r="G1822">
        <v>38.44</v>
      </c>
      <c r="H18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22" t="str">
        <f>IFERROR(INDEX(Raw_orders!G:G, MATCH(shipments[[#This Row],[order_id]],Raw_orders!A:A, 0)), "Unknown")</f>
        <v>Baltics</v>
      </c>
      <c r="J1822" t="str">
        <f>PROPER(shipments[[#This Row],[delivery_status]])</f>
        <v>Delivered</v>
      </c>
      <c r="K1822" t="s">
        <v>6922</v>
      </c>
    </row>
    <row r="1823" spans="1:11">
      <c r="A1823" t="s">
        <v>8759</v>
      </c>
      <c r="B1823" t="s">
        <v>2623</v>
      </c>
      <c r="C1823" t="s">
        <v>6938</v>
      </c>
      <c r="D1823" s="1">
        <v>45579</v>
      </c>
      <c r="E1823" s="1">
        <v>45582</v>
      </c>
      <c r="F1823" s="1">
        <v>45582</v>
      </c>
      <c r="G1823">
        <v>61.92</v>
      </c>
      <c r="H18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23" t="str">
        <f>IFERROR(INDEX(Raw_orders!G:G, MATCH(shipments[[#This Row],[order_id]],Raw_orders!A:A, 0)), "Unknown")</f>
        <v>Baltics</v>
      </c>
      <c r="J1823" t="str">
        <f>PROPER(shipments[[#This Row],[delivery_status]])</f>
        <v>Delivered</v>
      </c>
      <c r="K1823" t="s">
        <v>6926</v>
      </c>
    </row>
    <row r="1824" spans="1:11">
      <c r="A1824" t="s">
        <v>8760</v>
      </c>
      <c r="B1824" t="s">
        <v>2624</v>
      </c>
      <c r="C1824" t="s">
        <v>6940</v>
      </c>
      <c r="D1824" s="1">
        <v>45238</v>
      </c>
      <c r="E1824" s="1">
        <v>45241</v>
      </c>
      <c r="F1824" s="1">
        <v>45241</v>
      </c>
      <c r="G1824">
        <v>45.27</v>
      </c>
      <c r="H18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24" t="str">
        <f>IFERROR(INDEX(Raw_orders!G:G, MATCH(shipments[[#This Row],[order_id]],Raw_orders!A:A, 0)), "Unknown")</f>
        <v>Baltics</v>
      </c>
      <c r="J1824" t="str">
        <f>PROPER(shipments[[#This Row],[delivery_status]])</f>
        <v>Delivered</v>
      </c>
      <c r="K1824" t="s">
        <v>6926</v>
      </c>
    </row>
    <row r="1825" spans="1:11">
      <c r="A1825" t="s">
        <v>8761</v>
      </c>
      <c r="B1825" t="s">
        <v>2625</v>
      </c>
      <c r="C1825" t="s">
        <v>6940</v>
      </c>
      <c r="D1825" s="1">
        <v>45440</v>
      </c>
      <c r="E1825" s="1">
        <v>45443</v>
      </c>
      <c r="F1825" s="1">
        <v>45446</v>
      </c>
      <c r="G1825">
        <v>64.98</v>
      </c>
      <c r="H18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25" t="str">
        <f>IFERROR(INDEX(Raw_orders!G:G, MATCH(shipments[[#This Row],[order_id]],Raw_orders!A:A, 0)), "Unknown")</f>
        <v>Baltics</v>
      </c>
      <c r="J1825" t="str">
        <f>PROPER(shipments[[#This Row],[delivery_status]])</f>
        <v>Delivered</v>
      </c>
      <c r="K1825" t="s">
        <v>6922</v>
      </c>
    </row>
    <row r="1826" spans="1:11">
      <c r="A1826" t="s">
        <v>8762</v>
      </c>
      <c r="B1826" t="s">
        <v>2626</v>
      </c>
      <c r="C1826" t="s">
        <v>6940</v>
      </c>
      <c r="D1826" s="1">
        <v>45492</v>
      </c>
      <c r="E1826" s="1">
        <v>45499</v>
      </c>
      <c r="F1826" s="1">
        <v>45504</v>
      </c>
      <c r="G1826">
        <v>5.08</v>
      </c>
      <c r="H18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26" t="str">
        <f>IFERROR(INDEX(Raw_orders!G:G, MATCH(shipments[[#This Row],[order_id]],Raw_orders!A:A, 0)), "Unknown")</f>
        <v>Baltics</v>
      </c>
      <c r="J1826" t="str">
        <f>PROPER(shipments[[#This Row],[delivery_status]])</f>
        <v>Delivered</v>
      </c>
      <c r="K1826" t="s">
        <v>6929</v>
      </c>
    </row>
    <row r="1827" spans="1:11">
      <c r="A1827" t="s">
        <v>8763</v>
      </c>
      <c r="B1827" t="s">
        <v>2627</v>
      </c>
      <c r="C1827" t="s">
        <v>6956</v>
      </c>
      <c r="D1827" s="1">
        <v>44967</v>
      </c>
      <c r="E1827" s="1">
        <v>44972</v>
      </c>
      <c r="F1827" s="1">
        <v>44973</v>
      </c>
      <c r="G1827">
        <v>9.39</v>
      </c>
      <c r="H18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27" t="str">
        <f>IFERROR(INDEX(Raw_orders!G:G, MATCH(shipments[[#This Row],[order_id]],Raw_orders!A:A, 0)), "Unknown")</f>
        <v>Nordics</v>
      </c>
      <c r="J1827" t="str">
        <f>PROPER(shipments[[#This Row],[delivery_status]])</f>
        <v>Delivered</v>
      </c>
      <c r="K1827" t="s">
        <v>6922</v>
      </c>
    </row>
    <row r="1828" spans="1:11">
      <c r="A1828" t="s">
        <v>8764</v>
      </c>
      <c r="B1828" t="s">
        <v>2628</v>
      </c>
      <c r="C1828" t="s">
        <v>6931</v>
      </c>
      <c r="D1828" s="1">
        <v>45287</v>
      </c>
      <c r="E1828" s="1">
        <v>45292</v>
      </c>
      <c r="F1828" s="1">
        <v>45300</v>
      </c>
      <c r="G1828">
        <v>61.08</v>
      </c>
      <c r="H18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28" t="str">
        <f>IFERROR(INDEX(Raw_orders!G:G, MATCH(shipments[[#This Row],[order_id]],Raw_orders!A:A, 0)), "Unknown")</f>
        <v>Nordics</v>
      </c>
      <c r="J1828" t="str">
        <f>PROPER(shipments[[#This Row],[delivery_status]])</f>
        <v>Delivered</v>
      </c>
      <c r="K1828" t="s">
        <v>6926</v>
      </c>
    </row>
    <row r="1829" spans="1:11">
      <c r="A1829" t="s">
        <v>8765</v>
      </c>
      <c r="B1829" t="s">
        <v>2629</v>
      </c>
      <c r="C1829" t="s">
        <v>6921</v>
      </c>
      <c r="D1829" s="1">
        <v>45194</v>
      </c>
      <c r="E1829" s="1">
        <v>45197</v>
      </c>
      <c r="F1829" s="1">
        <v>45200</v>
      </c>
      <c r="G1829">
        <v>29.63</v>
      </c>
      <c r="H18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29" t="str">
        <f>IFERROR(INDEX(Raw_orders!G:G, MATCH(shipments[[#This Row],[order_id]],Raw_orders!A:A, 0)), "Unknown")</f>
        <v>Baltics</v>
      </c>
      <c r="J1829" t="str">
        <f>PROPER(shipments[[#This Row],[delivery_status]])</f>
        <v>Delivered</v>
      </c>
      <c r="K1829" t="s">
        <v>6922</v>
      </c>
    </row>
    <row r="1830" spans="1:11">
      <c r="A1830" t="s">
        <v>8766</v>
      </c>
      <c r="B1830" t="s">
        <v>2630</v>
      </c>
      <c r="C1830" t="s">
        <v>6928</v>
      </c>
      <c r="D1830" s="1">
        <v>45278</v>
      </c>
      <c r="E1830" s="1">
        <v>45283</v>
      </c>
      <c r="F1830" s="1"/>
      <c r="G1830">
        <v>52.02</v>
      </c>
      <c r="H18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830" t="str">
        <f>IFERROR(INDEX(Raw_orders!G:G, MATCH(shipments[[#This Row],[order_id]],Raw_orders!A:A, 0)), "Unknown")</f>
        <v>Baltics</v>
      </c>
      <c r="J1830" t="str">
        <f>PROPER(shipments[[#This Row],[delivery_status]])</f>
        <v>Cancelled</v>
      </c>
      <c r="K1830" t="s">
        <v>6972</v>
      </c>
    </row>
    <row r="1831" spans="1:11">
      <c r="A1831" t="s">
        <v>8767</v>
      </c>
      <c r="B1831" t="s">
        <v>2631</v>
      </c>
      <c r="C1831" t="s">
        <v>6956</v>
      </c>
      <c r="D1831" s="1">
        <v>45151</v>
      </c>
      <c r="E1831" s="1">
        <v>45158</v>
      </c>
      <c r="F1831" s="1">
        <v>45166</v>
      </c>
      <c r="G1831">
        <v>47.3</v>
      </c>
      <c r="H18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31" t="str">
        <f>IFERROR(INDEX(Raw_orders!G:G, MATCH(shipments[[#This Row],[order_id]],Raw_orders!A:A, 0)), "Unknown")</f>
        <v>Central Europe</v>
      </c>
      <c r="J1831" t="str">
        <f>PROPER(shipments[[#This Row],[delivery_status]])</f>
        <v>Delivered</v>
      </c>
      <c r="K1831" t="s">
        <v>6926</v>
      </c>
    </row>
    <row r="1832" spans="1:11">
      <c r="A1832" t="s">
        <v>8768</v>
      </c>
      <c r="B1832" t="s">
        <v>2632</v>
      </c>
      <c r="C1832" t="s">
        <v>6940</v>
      </c>
      <c r="D1832" s="1">
        <v>45450</v>
      </c>
      <c r="E1832" s="1">
        <v>45453</v>
      </c>
      <c r="F1832" s="1">
        <v>45461</v>
      </c>
      <c r="G1832">
        <v>61.93</v>
      </c>
      <c r="H18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32" t="str">
        <f>IFERROR(INDEX(Raw_orders!G:G, MATCH(shipments[[#This Row],[order_id]],Raw_orders!A:A, 0)), "Unknown")</f>
        <v>Nordics</v>
      </c>
      <c r="J1832" t="str">
        <f>PROPER(shipments[[#This Row],[delivery_status]])</f>
        <v>Delivered</v>
      </c>
      <c r="K1832" t="s">
        <v>6929</v>
      </c>
    </row>
    <row r="1833" spans="1:11">
      <c r="A1833" t="s">
        <v>8769</v>
      </c>
      <c r="B1833" t="s">
        <v>2633</v>
      </c>
      <c r="C1833" t="s">
        <v>6931</v>
      </c>
      <c r="D1833" s="1">
        <v>44954</v>
      </c>
      <c r="E1833" s="1">
        <v>44961</v>
      </c>
      <c r="F1833" s="1">
        <v>44962</v>
      </c>
      <c r="G1833">
        <v>57.67</v>
      </c>
      <c r="H18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33" t="str">
        <f>IFERROR(INDEX(Raw_orders!G:G, MATCH(shipments[[#This Row],[order_id]],Raw_orders!A:A, 0)), "Unknown")</f>
        <v>Nordics</v>
      </c>
      <c r="J1833" t="str">
        <f>PROPER(shipments[[#This Row],[delivery_status]])</f>
        <v>Delivered</v>
      </c>
      <c r="K1833" t="s">
        <v>6922</v>
      </c>
    </row>
    <row r="1834" spans="1:11">
      <c r="A1834" t="s">
        <v>8770</v>
      </c>
      <c r="B1834" t="s">
        <v>2633</v>
      </c>
      <c r="C1834" t="s">
        <v>6921</v>
      </c>
      <c r="D1834" s="1">
        <v>44952</v>
      </c>
      <c r="E1834" s="1">
        <v>44955</v>
      </c>
      <c r="F1834" s="1">
        <v>44954</v>
      </c>
      <c r="G1834">
        <v>62.17</v>
      </c>
      <c r="H18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34" t="str">
        <f>IFERROR(INDEX(Raw_orders!G:G, MATCH(shipments[[#This Row],[order_id]],Raw_orders!A:A, 0)), "Unknown")</f>
        <v>Nordics</v>
      </c>
      <c r="J1834" t="str">
        <f>PROPER(shipments[[#This Row],[delivery_status]])</f>
        <v>Delivered</v>
      </c>
      <c r="K1834" t="s">
        <v>6926</v>
      </c>
    </row>
    <row r="1835" spans="1:11">
      <c r="A1835" t="s">
        <v>8771</v>
      </c>
      <c r="B1835" t="s">
        <v>2634</v>
      </c>
      <c r="C1835" t="s">
        <v>6928</v>
      </c>
      <c r="D1835" s="1">
        <v>45007</v>
      </c>
      <c r="E1835" s="1">
        <v>45017</v>
      </c>
      <c r="F1835" s="1">
        <v>45017</v>
      </c>
      <c r="G1835">
        <v>8.08</v>
      </c>
      <c r="H18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35" t="str">
        <f>IFERROR(INDEX(Raw_orders!G:G, MATCH(shipments[[#This Row],[order_id]],Raw_orders!A:A, 0)), "Unknown")</f>
        <v>Nordics</v>
      </c>
      <c r="J1835" t="str">
        <f>PROPER(shipments[[#This Row],[delivery_status]])</f>
        <v>Delivered</v>
      </c>
      <c r="K1835" t="s">
        <v>6922</v>
      </c>
    </row>
    <row r="1836" spans="1:11">
      <c r="A1836" t="s">
        <v>8772</v>
      </c>
      <c r="B1836" t="s">
        <v>2635</v>
      </c>
      <c r="C1836" t="s">
        <v>6928</v>
      </c>
      <c r="D1836" s="1">
        <v>45626</v>
      </c>
      <c r="E1836" s="1">
        <v>45629</v>
      </c>
      <c r="F1836" s="1">
        <v>45637</v>
      </c>
      <c r="G1836">
        <v>31.77</v>
      </c>
      <c r="H18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36" t="str">
        <f>IFERROR(INDEX(Raw_orders!G:G, MATCH(shipments[[#This Row],[order_id]],Raw_orders!A:A, 0)), "Unknown")</f>
        <v>Baltics</v>
      </c>
      <c r="J1836" t="str">
        <f>PROPER(shipments[[#This Row],[delivery_status]])</f>
        <v>Delivered</v>
      </c>
      <c r="K1836" t="s">
        <v>6922</v>
      </c>
    </row>
    <row r="1837" spans="1:11">
      <c r="A1837" t="s">
        <v>8773</v>
      </c>
      <c r="B1837" t="s">
        <v>2636</v>
      </c>
      <c r="C1837" t="s">
        <v>6940</v>
      </c>
      <c r="D1837" s="1">
        <v>45468</v>
      </c>
      <c r="E1837" s="1">
        <v>45475</v>
      </c>
      <c r="F1837" s="1"/>
      <c r="G1837">
        <v>6.29</v>
      </c>
      <c r="H18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837" t="str">
        <f>IFERROR(INDEX(Raw_orders!G:G, MATCH(shipments[[#This Row],[order_id]],Raw_orders!A:A, 0)), "Unknown")</f>
        <v>Central Europe</v>
      </c>
      <c r="J1837" t="str">
        <f>PROPER(shipments[[#This Row],[delivery_status]])</f>
        <v>In Transit</v>
      </c>
      <c r="K1837" t="s">
        <v>6977</v>
      </c>
    </row>
    <row r="1838" spans="1:11">
      <c r="A1838" t="s">
        <v>8774</v>
      </c>
      <c r="B1838" t="s">
        <v>2637</v>
      </c>
      <c r="C1838" t="s">
        <v>6925</v>
      </c>
      <c r="D1838" s="1">
        <v>45158</v>
      </c>
      <c r="E1838" s="1">
        <v>45160</v>
      </c>
      <c r="F1838" s="1">
        <v>45170</v>
      </c>
      <c r="G1838">
        <v>47.42</v>
      </c>
      <c r="H18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38" t="str">
        <f>IFERROR(INDEX(Raw_orders!G:G, MATCH(shipments[[#This Row],[order_id]],Raw_orders!A:A, 0)), "Unknown")</f>
        <v>Nordics</v>
      </c>
      <c r="J1838" t="str">
        <f>PROPER(shipments[[#This Row],[delivery_status]])</f>
        <v>Delivered</v>
      </c>
      <c r="K1838" t="s">
        <v>6929</v>
      </c>
    </row>
    <row r="1839" spans="1:11">
      <c r="A1839" t="s">
        <v>8775</v>
      </c>
      <c r="B1839" t="s">
        <v>2638</v>
      </c>
      <c r="C1839" t="s">
        <v>6928</v>
      </c>
      <c r="D1839" s="1">
        <v>45538</v>
      </c>
      <c r="E1839" s="1">
        <v>45543</v>
      </c>
      <c r="F1839" s="1">
        <v>45551</v>
      </c>
      <c r="G1839">
        <v>38.270000000000003</v>
      </c>
      <c r="H18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39" t="str">
        <f>IFERROR(INDEX(Raw_orders!G:G, MATCH(shipments[[#This Row],[order_id]],Raw_orders!A:A, 0)), "Unknown")</f>
        <v>Central Europe</v>
      </c>
      <c r="J1839" t="str">
        <f>PROPER(shipments[[#This Row],[delivery_status]])</f>
        <v>Delivered</v>
      </c>
      <c r="K1839" t="s">
        <v>6926</v>
      </c>
    </row>
    <row r="1840" spans="1:11">
      <c r="A1840" t="s">
        <v>8776</v>
      </c>
      <c r="B1840" t="s">
        <v>2639</v>
      </c>
      <c r="C1840" t="s">
        <v>6938</v>
      </c>
      <c r="D1840" s="1">
        <v>45496</v>
      </c>
      <c r="E1840" s="1">
        <v>45503</v>
      </c>
      <c r="F1840" s="1">
        <v>45505</v>
      </c>
      <c r="G1840">
        <v>36.93</v>
      </c>
      <c r="H18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40" t="str">
        <f>IFERROR(INDEX(Raw_orders!G:G, MATCH(shipments[[#This Row],[order_id]],Raw_orders!A:A, 0)), "Unknown")</f>
        <v>Unknown</v>
      </c>
      <c r="J1840" t="str">
        <f>PROPER(shipments[[#This Row],[delivery_status]])</f>
        <v>Delivered</v>
      </c>
      <c r="K1840" t="s">
        <v>6922</v>
      </c>
    </row>
    <row r="1841" spans="1:11">
      <c r="A1841" t="s">
        <v>8777</v>
      </c>
      <c r="B1841" t="s">
        <v>2640</v>
      </c>
      <c r="C1841" t="s">
        <v>6928</v>
      </c>
      <c r="D1841" s="1">
        <v>45583</v>
      </c>
      <c r="E1841" s="1">
        <v>45586</v>
      </c>
      <c r="F1841" s="1">
        <v>45588</v>
      </c>
      <c r="G1841">
        <v>58.38</v>
      </c>
      <c r="H18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41" t="str">
        <f>IFERROR(INDEX(Raw_orders!G:G, MATCH(shipments[[#This Row],[order_id]],Raw_orders!A:A, 0)), "Unknown")</f>
        <v>Nordics</v>
      </c>
      <c r="J1841" t="str">
        <f>PROPER(shipments[[#This Row],[delivery_status]])</f>
        <v>Delivered</v>
      </c>
      <c r="K1841" t="s">
        <v>6922</v>
      </c>
    </row>
    <row r="1842" spans="1:11">
      <c r="A1842" t="s">
        <v>8778</v>
      </c>
      <c r="B1842" t="s">
        <v>2641</v>
      </c>
      <c r="C1842" t="s">
        <v>6940</v>
      </c>
      <c r="D1842" s="1">
        <v>45612</v>
      </c>
      <c r="E1842" s="1">
        <v>45619</v>
      </c>
      <c r="F1842" s="1">
        <v>45627</v>
      </c>
      <c r="G1842">
        <v>50.55</v>
      </c>
      <c r="H18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42" t="str">
        <f>IFERROR(INDEX(Raw_orders!G:G, MATCH(shipments[[#This Row],[order_id]],Raw_orders!A:A, 0)), "Unknown")</f>
        <v>Baltics</v>
      </c>
      <c r="J1842" t="str">
        <f>PROPER(shipments[[#This Row],[delivery_status]])</f>
        <v>Delivered</v>
      </c>
      <c r="K1842" t="s">
        <v>6922</v>
      </c>
    </row>
    <row r="1843" spans="1:11">
      <c r="A1843" t="s">
        <v>8779</v>
      </c>
      <c r="B1843" t="s">
        <v>2642</v>
      </c>
      <c r="C1843" t="s">
        <v>6931</v>
      </c>
      <c r="D1843" s="1">
        <v>45274</v>
      </c>
      <c r="E1843" s="1">
        <v>45276</v>
      </c>
      <c r="F1843" s="1">
        <v>45276</v>
      </c>
      <c r="G1843">
        <v>44.05</v>
      </c>
      <c r="H18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43" t="str">
        <f>IFERROR(INDEX(Raw_orders!G:G, MATCH(shipments[[#This Row],[order_id]],Raw_orders!A:A, 0)), "Unknown")</f>
        <v>Central Europe</v>
      </c>
      <c r="J1843" t="str">
        <f>PROPER(shipments[[#This Row],[delivery_status]])</f>
        <v>Delivered</v>
      </c>
      <c r="K1843" t="s">
        <v>6922</v>
      </c>
    </row>
    <row r="1844" spans="1:11">
      <c r="A1844" t="s">
        <v>8780</v>
      </c>
      <c r="B1844" t="s">
        <v>2643</v>
      </c>
      <c r="C1844" t="s">
        <v>6921</v>
      </c>
      <c r="D1844" s="1">
        <v>45366</v>
      </c>
      <c r="E1844" s="1">
        <v>45373</v>
      </c>
      <c r="F1844" s="1">
        <v>45381</v>
      </c>
      <c r="G1844">
        <v>25.63</v>
      </c>
      <c r="H18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44" t="str">
        <f>IFERROR(INDEX(Raw_orders!G:G, MATCH(shipments[[#This Row],[order_id]],Raw_orders!A:A, 0)), "Unknown")</f>
        <v>Nordics</v>
      </c>
      <c r="J1844" t="str">
        <f>PROPER(shipments[[#This Row],[delivery_status]])</f>
        <v>Delivered</v>
      </c>
      <c r="K1844" t="s">
        <v>6929</v>
      </c>
    </row>
    <row r="1845" spans="1:11">
      <c r="A1845" t="s">
        <v>8781</v>
      </c>
      <c r="B1845" t="s">
        <v>2644</v>
      </c>
      <c r="C1845" t="s">
        <v>6935</v>
      </c>
      <c r="D1845" s="1">
        <v>44999</v>
      </c>
      <c r="E1845" s="1">
        <v>45001</v>
      </c>
      <c r="F1845" s="1"/>
      <c r="G1845">
        <v>36.72</v>
      </c>
      <c r="H18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845" t="str">
        <f>IFERROR(INDEX(Raw_orders!G:G, MATCH(shipments[[#This Row],[order_id]],Raw_orders!A:A, 0)), "Unknown")</f>
        <v>Nordics</v>
      </c>
      <c r="J1845" t="str">
        <f>PROPER(shipments[[#This Row],[delivery_status]])</f>
        <v>Cancelled</v>
      </c>
      <c r="K1845" t="s">
        <v>6963</v>
      </c>
    </row>
    <row r="1846" spans="1:11">
      <c r="A1846" t="s">
        <v>8782</v>
      </c>
      <c r="B1846" t="s">
        <v>2645</v>
      </c>
      <c r="C1846" t="s">
        <v>6940</v>
      </c>
      <c r="D1846" s="1">
        <v>45416</v>
      </c>
      <c r="E1846" s="1">
        <v>45418</v>
      </c>
      <c r="F1846" s="1">
        <v>45421</v>
      </c>
      <c r="G1846">
        <v>49.5</v>
      </c>
      <c r="H18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46" t="str">
        <f>IFERROR(INDEX(Raw_orders!G:G, MATCH(shipments[[#This Row],[order_id]],Raw_orders!A:A, 0)), "Unknown")</f>
        <v>Baltics</v>
      </c>
      <c r="J1846" t="str">
        <f>PROPER(shipments[[#This Row],[delivery_status]])</f>
        <v>Delivered</v>
      </c>
      <c r="K1846" t="s">
        <v>6929</v>
      </c>
    </row>
    <row r="1847" spans="1:11">
      <c r="A1847" t="s">
        <v>8783</v>
      </c>
      <c r="B1847" t="s">
        <v>2646</v>
      </c>
      <c r="C1847" t="s">
        <v>6928</v>
      </c>
      <c r="D1847" s="1">
        <v>45247</v>
      </c>
      <c r="E1847" s="1">
        <v>45249</v>
      </c>
      <c r="F1847" s="1">
        <v>45254</v>
      </c>
      <c r="G1847">
        <v>8.93</v>
      </c>
      <c r="H18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47" t="str">
        <f>IFERROR(INDEX(Raw_orders!G:G, MATCH(shipments[[#This Row],[order_id]],Raw_orders!A:A, 0)), "Unknown")</f>
        <v>Unknown</v>
      </c>
      <c r="J1847" t="str">
        <f>PROPER(shipments[[#This Row],[delivery_status]])</f>
        <v>Delivered</v>
      </c>
      <c r="K1847" t="s">
        <v>6922</v>
      </c>
    </row>
    <row r="1848" spans="1:11">
      <c r="A1848" t="s">
        <v>8784</v>
      </c>
      <c r="B1848" t="s">
        <v>2647</v>
      </c>
      <c r="C1848" t="s">
        <v>6931</v>
      </c>
      <c r="D1848" s="1">
        <v>45333</v>
      </c>
      <c r="E1848" s="1">
        <v>45335</v>
      </c>
      <c r="F1848" s="1">
        <v>45335</v>
      </c>
      <c r="G1848">
        <v>47.53</v>
      </c>
      <c r="H18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48" t="str">
        <f>IFERROR(INDEX(Raw_orders!G:G, MATCH(shipments[[#This Row],[order_id]],Raw_orders!A:A, 0)), "Unknown")</f>
        <v>Baltics</v>
      </c>
      <c r="J1848" t="str">
        <f>PROPER(shipments[[#This Row],[delivery_status]])</f>
        <v>Delivered</v>
      </c>
      <c r="K1848" t="s">
        <v>6929</v>
      </c>
    </row>
    <row r="1849" spans="1:11">
      <c r="A1849" t="s">
        <v>8785</v>
      </c>
      <c r="B1849" t="s">
        <v>2648</v>
      </c>
      <c r="C1849" t="s">
        <v>6928</v>
      </c>
      <c r="D1849" s="1">
        <v>44978</v>
      </c>
      <c r="E1849" s="1">
        <v>44980</v>
      </c>
      <c r="F1849" s="1">
        <v>44980</v>
      </c>
      <c r="G1849">
        <v>62.25</v>
      </c>
      <c r="H18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49" t="str">
        <f>IFERROR(INDEX(Raw_orders!G:G, MATCH(shipments[[#This Row],[order_id]],Raw_orders!A:A, 0)), "Unknown")</f>
        <v>Central Europe</v>
      </c>
      <c r="J1849" t="str">
        <f>PROPER(shipments[[#This Row],[delivery_status]])</f>
        <v>Delivered</v>
      </c>
      <c r="K1849" t="s">
        <v>6929</v>
      </c>
    </row>
    <row r="1850" spans="1:11">
      <c r="A1850" t="s">
        <v>8786</v>
      </c>
      <c r="B1850" t="s">
        <v>2649</v>
      </c>
      <c r="C1850" t="s">
        <v>6935</v>
      </c>
      <c r="D1850" s="1">
        <v>45586</v>
      </c>
      <c r="E1850" s="1">
        <v>45591</v>
      </c>
      <c r="F1850" s="1">
        <v>45596</v>
      </c>
      <c r="G1850">
        <v>8.44</v>
      </c>
      <c r="H18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50" t="str">
        <f>IFERROR(INDEX(Raw_orders!G:G, MATCH(shipments[[#This Row],[order_id]],Raw_orders!A:A, 0)), "Unknown")</f>
        <v>Central Europe</v>
      </c>
      <c r="J1850" t="str">
        <f>PROPER(shipments[[#This Row],[delivery_status]])</f>
        <v>Delivered</v>
      </c>
      <c r="K1850" t="s">
        <v>6926</v>
      </c>
    </row>
    <row r="1851" spans="1:11">
      <c r="A1851" t="s">
        <v>8787</v>
      </c>
      <c r="B1851" t="s">
        <v>2649</v>
      </c>
      <c r="C1851" t="s">
        <v>6940</v>
      </c>
      <c r="D1851" s="1">
        <v>45585</v>
      </c>
      <c r="E1851" s="1">
        <v>45592</v>
      </c>
      <c r="F1851" s="1">
        <v>45606</v>
      </c>
      <c r="G1851">
        <v>21.83</v>
      </c>
      <c r="H18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51" t="str">
        <f>IFERROR(INDEX(Raw_orders!G:G, MATCH(shipments[[#This Row],[order_id]],Raw_orders!A:A, 0)), "Unknown")</f>
        <v>Central Europe</v>
      </c>
      <c r="J1851" t="str">
        <f>PROPER(shipments[[#This Row],[delivery_status]])</f>
        <v>Delivered</v>
      </c>
      <c r="K1851" t="s">
        <v>6926</v>
      </c>
    </row>
    <row r="1852" spans="1:11">
      <c r="A1852" t="s">
        <v>8788</v>
      </c>
      <c r="B1852" t="s">
        <v>2650</v>
      </c>
      <c r="C1852" t="s">
        <v>6935</v>
      </c>
      <c r="D1852" s="1">
        <v>45343</v>
      </c>
      <c r="E1852" s="1">
        <v>45345</v>
      </c>
      <c r="F1852" s="1">
        <v>45345</v>
      </c>
      <c r="G1852">
        <v>24.07</v>
      </c>
      <c r="H18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52" t="str">
        <f>IFERROR(INDEX(Raw_orders!G:G, MATCH(shipments[[#This Row],[order_id]],Raw_orders!A:A, 0)), "Unknown")</f>
        <v>Nordics</v>
      </c>
      <c r="J1852" t="str">
        <f>PROPER(shipments[[#This Row],[delivery_status]])</f>
        <v>Delivered</v>
      </c>
      <c r="K1852" t="s">
        <v>6922</v>
      </c>
    </row>
    <row r="1853" spans="1:11">
      <c r="A1853" t="s">
        <v>8789</v>
      </c>
      <c r="B1853" t="s">
        <v>2650</v>
      </c>
      <c r="C1853" t="s">
        <v>6928</v>
      </c>
      <c r="D1853" s="1">
        <v>45341</v>
      </c>
      <c r="E1853" s="1">
        <v>45346</v>
      </c>
      <c r="F1853" s="1">
        <v>45354</v>
      </c>
      <c r="G1853">
        <v>64.42</v>
      </c>
      <c r="H18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53" t="str">
        <f>IFERROR(INDEX(Raw_orders!G:G, MATCH(shipments[[#This Row],[order_id]],Raw_orders!A:A, 0)), "Unknown")</f>
        <v>Nordics</v>
      </c>
      <c r="J1853" t="str">
        <f>PROPER(shipments[[#This Row],[delivery_status]])</f>
        <v>Delivered</v>
      </c>
      <c r="K1853" t="s">
        <v>6926</v>
      </c>
    </row>
    <row r="1854" spans="1:11">
      <c r="A1854" t="s">
        <v>8790</v>
      </c>
      <c r="B1854" t="s">
        <v>2651</v>
      </c>
      <c r="C1854" t="s">
        <v>6925</v>
      </c>
      <c r="D1854" s="1">
        <v>45279</v>
      </c>
      <c r="E1854" s="1">
        <v>45281</v>
      </c>
      <c r="F1854" s="1">
        <v>45281</v>
      </c>
      <c r="G1854">
        <v>50.14</v>
      </c>
      <c r="H18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54" t="str">
        <f>IFERROR(INDEX(Raw_orders!G:G, MATCH(shipments[[#This Row],[order_id]],Raw_orders!A:A, 0)), "Unknown")</f>
        <v>Nordics</v>
      </c>
      <c r="J1854" t="str">
        <f>PROPER(shipments[[#This Row],[delivery_status]])</f>
        <v>Delivered</v>
      </c>
      <c r="K1854" t="s">
        <v>6922</v>
      </c>
    </row>
    <row r="1855" spans="1:11">
      <c r="A1855" t="s">
        <v>8791</v>
      </c>
      <c r="B1855" t="s">
        <v>2652</v>
      </c>
      <c r="C1855" t="s">
        <v>6938</v>
      </c>
      <c r="D1855" s="1">
        <v>45368</v>
      </c>
      <c r="E1855" s="1">
        <v>45371</v>
      </c>
      <c r="F1855" s="1">
        <v>45371</v>
      </c>
      <c r="G1855">
        <v>21.99</v>
      </c>
      <c r="H18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55" t="str">
        <f>IFERROR(INDEX(Raw_orders!G:G, MATCH(shipments[[#This Row],[order_id]],Raw_orders!A:A, 0)), "Unknown")</f>
        <v>Central Europe</v>
      </c>
      <c r="J1855" t="str">
        <f>PROPER(shipments[[#This Row],[delivery_status]])</f>
        <v>Delivered</v>
      </c>
      <c r="K1855" t="s">
        <v>6922</v>
      </c>
    </row>
    <row r="1856" spans="1:11">
      <c r="A1856" t="s">
        <v>8792</v>
      </c>
      <c r="B1856" t="s">
        <v>2653</v>
      </c>
      <c r="C1856" t="s">
        <v>6940</v>
      </c>
      <c r="D1856" s="1">
        <v>45173</v>
      </c>
      <c r="E1856" s="1">
        <v>45178</v>
      </c>
      <c r="F1856" s="1">
        <v>45181</v>
      </c>
      <c r="G1856">
        <v>59.53</v>
      </c>
      <c r="H18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56" t="str">
        <f>IFERROR(INDEX(Raw_orders!G:G, MATCH(shipments[[#This Row],[order_id]],Raw_orders!A:A, 0)), "Unknown")</f>
        <v>Baltics</v>
      </c>
      <c r="J1856" t="str">
        <f>PROPER(shipments[[#This Row],[delivery_status]])</f>
        <v>Delivered</v>
      </c>
      <c r="K1856" t="s">
        <v>6926</v>
      </c>
    </row>
    <row r="1857" spans="1:11">
      <c r="A1857" t="s">
        <v>8793</v>
      </c>
      <c r="B1857" t="s">
        <v>2654</v>
      </c>
      <c r="C1857" t="s">
        <v>6921</v>
      </c>
      <c r="D1857" s="1">
        <v>44958</v>
      </c>
      <c r="E1857" s="1">
        <v>44961</v>
      </c>
      <c r="F1857" s="1">
        <v>44961</v>
      </c>
      <c r="G1857">
        <v>50.24</v>
      </c>
      <c r="H18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57" t="str">
        <f>IFERROR(INDEX(Raw_orders!G:G, MATCH(shipments[[#This Row],[order_id]],Raw_orders!A:A, 0)), "Unknown")</f>
        <v>Central Europe</v>
      </c>
      <c r="J1857" t="str">
        <f>PROPER(shipments[[#This Row],[delivery_status]])</f>
        <v>Delivered</v>
      </c>
      <c r="K1857" t="s">
        <v>6922</v>
      </c>
    </row>
    <row r="1858" spans="1:11">
      <c r="A1858" t="s">
        <v>8794</v>
      </c>
      <c r="B1858" t="s">
        <v>2655</v>
      </c>
      <c r="C1858" t="s">
        <v>6931</v>
      </c>
      <c r="D1858" s="1">
        <v>45372</v>
      </c>
      <c r="E1858" s="1">
        <v>45382</v>
      </c>
      <c r="F1858" s="1">
        <v>45382</v>
      </c>
      <c r="G1858">
        <v>26.97</v>
      </c>
      <c r="H18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58" t="str">
        <f>IFERROR(INDEX(Raw_orders!G:G, MATCH(shipments[[#This Row],[order_id]],Raw_orders!A:A, 0)), "Unknown")</f>
        <v>Baltics</v>
      </c>
      <c r="J1858" t="str">
        <f>PROPER(shipments[[#This Row],[delivery_status]])</f>
        <v>Delivered</v>
      </c>
      <c r="K1858" t="s">
        <v>6929</v>
      </c>
    </row>
    <row r="1859" spans="1:11">
      <c r="A1859" t="s">
        <v>8795</v>
      </c>
      <c r="B1859" t="s">
        <v>2656</v>
      </c>
      <c r="C1859" t="s">
        <v>6931</v>
      </c>
      <c r="D1859" s="1">
        <v>45516</v>
      </c>
      <c r="E1859" s="1">
        <v>45518</v>
      </c>
      <c r="F1859" s="1">
        <v>45517</v>
      </c>
      <c r="G1859">
        <v>47.58</v>
      </c>
      <c r="H18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59" t="str">
        <f>IFERROR(INDEX(Raw_orders!G:G, MATCH(shipments[[#This Row],[order_id]],Raw_orders!A:A, 0)), "Unknown")</f>
        <v>Nordics</v>
      </c>
      <c r="J1859" t="str">
        <f>PROPER(shipments[[#This Row],[delivery_status]])</f>
        <v>Delivered</v>
      </c>
      <c r="K1859" t="s">
        <v>6929</v>
      </c>
    </row>
    <row r="1860" spans="1:11">
      <c r="A1860" t="s">
        <v>8796</v>
      </c>
      <c r="B1860" t="s">
        <v>2657</v>
      </c>
      <c r="C1860" t="s">
        <v>6956</v>
      </c>
      <c r="D1860" s="1">
        <v>45336</v>
      </c>
      <c r="E1860" s="1">
        <v>45338</v>
      </c>
      <c r="F1860" s="1">
        <v>45343</v>
      </c>
      <c r="G1860">
        <v>20.97</v>
      </c>
      <c r="H18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60" t="str">
        <f>IFERROR(INDEX(Raw_orders!G:G, MATCH(shipments[[#This Row],[order_id]],Raw_orders!A:A, 0)), "Unknown")</f>
        <v>Baltics</v>
      </c>
      <c r="J1860" t="str">
        <f>PROPER(shipments[[#This Row],[delivery_status]])</f>
        <v>Delivered</v>
      </c>
      <c r="K1860" t="s">
        <v>6929</v>
      </c>
    </row>
    <row r="1861" spans="1:11">
      <c r="A1861" t="s">
        <v>8797</v>
      </c>
      <c r="B1861" t="s">
        <v>2658</v>
      </c>
      <c r="C1861" t="s">
        <v>6938</v>
      </c>
      <c r="D1861" s="1">
        <v>44976</v>
      </c>
      <c r="E1861" s="1">
        <v>44983</v>
      </c>
      <c r="F1861" s="1">
        <v>44992</v>
      </c>
      <c r="G1861">
        <v>62.03</v>
      </c>
      <c r="H18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61" t="str">
        <f>IFERROR(INDEX(Raw_orders!G:G, MATCH(shipments[[#This Row],[order_id]],Raw_orders!A:A, 0)), "Unknown")</f>
        <v>Central Europe</v>
      </c>
      <c r="J1861" t="str">
        <f>PROPER(shipments[[#This Row],[delivery_status]])</f>
        <v>Delivered</v>
      </c>
      <c r="K1861" t="s">
        <v>6926</v>
      </c>
    </row>
    <row r="1862" spans="1:11">
      <c r="A1862" t="s">
        <v>8798</v>
      </c>
      <c r="B1862" t="s">
        <v>2659</v>
      </c>
      <c r="C1862" t="s">
        <v>6935</v>
      </c>
      <c r="D1862" s="1">
        <v>45110</v>
      </c>
      <c r="E1862" s="1">
        <v>45120</v>
      </c>
      <c r="F1862" s="1">
        <v>45125</v>
      </c>
      <c r="G1862">
        <v>7.21</v>
      </c>
      <c r="H18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62" t="str">
        <f>IFERROR(INDEX(Raw_orders!G:G, MATCH(shipments[[#This Row],[order_id]],Raw_orders!A:A, 0)), "Unknown")</f>
        <v>Nordics</v>
      </c>
      <c r="J1862" t="str">
        <f>PROPER(shipments[[#This Row],[delivery_status]])</f>
        <v>Delivered</v>
      </c>
      <c r="K1862" t="s">
        <v>6926</v>
      </c>
    </row>
    <row r="1863" spans="1:11">
      <c r="A1863" t="s">
        <v>8799</v>
      </c>
      <c r="B1863" t="s">
        <v>2660</v>
      </c>
      <c r="C1863" t="s">
        <v>6925</v>
      </c>
      <c r="D1863" s="1">
        <v>45256</v>
      </c>
      <c r="E1863" s="1">
        <v>45258</v>
      </c>
      <c r="F1863" s="1">
        <v>45263</v>
      </c>
      <c r="G1863">
        <v>37.06</v>
      </c>
      <c r="H18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63" t="str">
        <f>IFERROR(INDEX(Raw_orders!G:G, MATCH(shipments[[#This Row],[order_id]],Raw_orders!A:A, 0)), "Unknown")</f>
        <v>Nordics</v>
      </c>
      <c r="J1863" t="str">
        <f>PROPER(shipments[[#This Row],[delivery_status]])</f>
        <v>Delivered</v>
      </c>
      <c r="K1863" t="s">
        <v>6926</v>
      </c>
    </row>
    <row r="1864" spans="1:11">
      <c r="A1864" t="s">
        <v>8800</v>
      </c>
      <c r="B1864" t="s">
        <v>2661</v>
      </c>
      <c r="C1864" t="s">
        <v>6938</v>
      </c>
      <c r="D1864" s="1">
        <v>45056</v>
      </c>
      <c r="E1864" s="1">
        <v>45058</v>
      </c>
      <c r="F1864" s="1">
        <v>45066</v>
      </c>
      <c r="G1864">
        <v>39.799999999999997</v>
      </c>
      <c r="H18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64" t="str">
        <f>IFERROR(INDEX(Raw_orders!G:G, MATCH(shipments[[#This Row],[order_id]],Raw_orders!A:A, 0)), "Unknown")</f>
        <v>Central Europe</v>
      </c>
      <c r="J1864" t="str">
        <f>PROPER(shipments[[#This Row],[delivery_status]])</f>
        <v>Delivered</v>
      </c>
      <c r="K1864" t="s">
        <v>6929</v>
      </c>
    </row>
    <row r="1865" spans="1:11">
      <c r="A1865" t="s">
        <v>8801</v>
      </c>
      <c r="B1865" t="s">
        <v>2662</v>
      </c>
      <c r="C1865" t="s">
        <v>6928</v>
      </c>
      <c r="D1865" s="1">
        <v>44990</v>
      </c>
      <c r="E1865" s="1">
        <v>44997</v>
      </c>
      <c r="F1865" s="1">
        <v>45002</v>
      </c>
      <c r="G1865">
        <v>49.66</v>
      </c>
      <c r="H18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65" t="str">
        <f>IFERROR(INDEX(Raw_orders!G:G, MATCH(shipments[[#This Row],[order_id]],Raw_orders!A:A, 0)), "Unknown")</f>
        <v>Central Europe</v>
      </c>
      <c r="J1865" t="str">
        <f>PROPER(shipments[[#This Row],[delivery_status]])</f>
        <v>Delivered</v>
      </c>
      <c r="K1865" t="s">
        <v>6922</v>
      </c>
    </row>
    <row r="1866" spans="1:11">
      <c r="A1866" t="s">
        <v>8802</v>
      </c>
      <c r="B1866" t="s">
        <v>2663</v>
      </c>
      <c r="C1866" t="s">
        <v>6956</v>
      </c>
      <c r="D1866" s="1">
        <v>45023</v>
      </c>
      <c r="E1866" s="1">
        <v>45025</v>
      </c>
      <c r="F1866" s="1">
        <v>45027</v>
      </c>
      <c r="G1866">
        <v>64.84</v>
      </c>
      <c r="H18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66" t="str">
        <f>IFERROR(INDEX(Raw_orders!G:G, MATCH(shipments[[#This Row],[order_id]],Raw_orders!A:A, 0)), "Unknown")</f>
        <v>Baltics</v>
      </c>
      <c r="J1866" t="str">
        <f>PROPER(shipments[[#This Row],[delivery_status]])</f>
        <v>Delivered</v>
      </c>
      <c r="K1866" t="s">
        <v>6926</v>
      </c>
    </row>
    <row r="1867" spans="1:11">
      <c r="A1867" t="s">
        <v>8803</v>
      </c>
      <c r="B1867" t="s">
        <v>2664</v>
      </c>
      <c r="C1867" t="s">
        <v>6925</v>
      </c>
      <c r="D1867" s="1">
        <v>45274</v>
      </c>
      <c r="E1867" s="1">
        <v>45284</v>
      </c>
      <c r="F1867" s="1">
        <v>45284</v>
      </c>
      <c r="G1867">
        <v>47.69</v>
      </c>
      <c r="H18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67" t="str">
        <f>IFERROR(INDEX(Raw_orders!G:G, MATCH(shipments[[#This Row],[order_id]],Raw_orders!A:A, 0)), "Unknown")</f>
        <v>Baltics</v>
      </c>
      <c r="J1867" t="str">
        <f>PROPER(shipments[[#This Row],[delivery_status]])</f>
        <v>Delivered</v>
      </c>
      <c r="K1867" t="s">
        <v>6922</v>
      </c>
    </row>
    <row r="1868" spans="1:11">
      <c r="A1868" t="s">
        <v>8804</v>
      </c>
      <c r="B1868" t="s">
        <v>2665</v>
      </c>
      <c r="C1868" t="s">
        <v>6925</v>
      </c>
      <c r="D1868" s="1">
        <v>45610</v>
      </c>
      <c r="E1868" s="1">
        <v>45615</v>
      </c>
      <c r="F1868" s="1">
        <v>45620</v>
      </c>
      <c r="G1868">
        <v>11.8</v>
      </c>
      <c r="H18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68" t="str">
        <f>IFERROR(INDEX(Raw_orders!G:G, MATCH(shipments[[#This Row],[order_id]],Raw_orders!A:A, 0)), "Unknown")</f>
        <v>Central Europe</v>
      </c>
      <c r="J1868" t="str">
        <f>PROPER(shipments[[#This Row],[delivery_status]])</f>
        <v>Delivered</v>
      </c>
      <c r="K1868" t="s">
        <v>6922</v>
      </c>
    </row>
    <row r="1869" spans="1:11">
      <c r="A1869" t="s">
        <v>8805</v>
      </c>
      <c r="B1869" t="s">
        <v>2666</v>
      </c>
      <c r="C1869" t="s">
        <v>6928</v>
      </c>
      <c r="D1869" s="1">
        <v>45308</v>
      </c>
      <c r="E1869" s="1">
        <v>45310</v>
      </c>
      <c r="F1869" s="1">
        <v>45315</v>
      </c>
      <c r="G1869">
        <v>22.4</v>
      </c>
      <c r="H18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69" t="str">
        <f>IFERROR(INDEX(Raw_orders!G:G, MATCH(shipments[[#This Row],[order_id]],Raw_orders!A:A, 0)), "Unknown")</f>
        <v>Baltics</v>
      </c>
      <c r="J1869" t="str">
        <f>PROPER(shipments[[#This Row],[delivery_status]])</f>
        <v>Delivered</v>
      </c>
      <c r="K1869" t="s">
        <v>6922</v>
      </c>
    </row>
    <row r="1870" spans="1:11">
      <c r="A1870" t="s">
        <v>8806</v>
      </c>
      <c r="B1870" t="s">
        <v>2667</v>
      </c>
      <c r="C1870" t="s">
        <v>6935</v>
      </c>
      <c r="D1870" s="1">
        <v>45146</v>
      </c>
      <c r="E1870" s="1">
        <v>45151</v>
      </c>
      <c r="F1870" s="1">
        <v>45159</v>
      </c>
      <c r="G1870">
        <v>25.14</v>
      </c>
      <c r="H18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70" t="str">
        <f>IFERROR(INDEX(Raw_orders!G:G, MATCH(shipments[[#This Row],[order_id]],Raw_orders!A:A, 0)), "Unknown")</f>
        <v>Baltics</v>
      </c>
      <c r="J1870" t="str">
        <f>PROPER(shipments[[#This Row],[delivery_status]])</f>
        <v>Delivered</v>
      </c>
      <c r="K1870" t="s">
        <v>6922</v>
      </c>
    </row>
    <row r="1871" spans="1:11">
      <c r="A1871" t="s">
        <v>8807</v>
      </c>
      <c r="B1871" t="s">
        <v>2668</v>
      </c>
      <c r="C1871" t="s">
        <v>6956</v>
      </c>
      <c r="D1871" s="1">
        <v>45040</v>
      </c>
      <c r="E1871" s="1">
        <v>45043</v>
      </c>
      <c r="F1871" s="1">
        <v>45042</v>
      </c>
      <c r="G1871">
        <v>52</v>
      </c>
      <c r="H18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71" t="str">
        <f>IFERROR(INDEX(Raw_orders!G:G, MATCH(shipments[[#This Row],[order_id]],Raw_orders!A:A, 0)), "Unknown")</f>
        <v>Nordics</v>
      </c>
      <c r="J1871" t="str">
        <f>PROPER(shipments[[#This Row],[delivery_status]])</f>
        <v>Delivered</v>
      </c>
      <c r="K1871" t="s">
        <v>6922</v>
      </c>
    </row>
    <row r="1872" spans="1:11">
      <c r="A1872" t="s">
        <v>8808</v>
      </c>
      <c r="B1872" t="s">
        <v>2669</v>
      </c>
      <c r="C1872" t="s">
        <v>6935</v>
      </c>
      <c r="D1872" s="1">
        <v>45626</v>
      </c>
      <c r="E1872" s="1">
        <v>45629</v>
      </c>
      <c r="F1872" s="1"/>
      <c r="G1872">
        <v>42.7</v>
      </c>
      <c r="H18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872" t="str">
        <f>IFERROR(INDEX(Raw_orders!G:G, MATCH(shipments[[#This Row],[order_id]],Raw_orders!A:A, 0)), "Unknown")</f>
        <v>Nordics</v>
      </c>
      <c r="J1872" t="str">
        <f>PROPER(shipments[[#This Row],[delivery_status]])</f>
        <v>Cancelled</v>
      </c>
      <c r="K1872" t="s">
        <v>6979</v>
      </c>
    </row>
    <row r="1873" spans="1:11">
      <c r="A1873" t="s">
        <v>8809</v>
      </c>
      <c r="B1873" t="s">
        <v>2670</v>
      </c>
      <c r="C1873" t="s">
        <v>6940</v>
      </c>
      <c r="D1873" s="1">
        <v>45461</v>
      </c>
      <c r="E1873" s="1">
        <v>45471</v>
      </c>
      <c r="F1873" s="1">
        <v>45476</v>
      </c>
      <c r="G1873">
        <v>27.83</v>
      </c>
      <c r="H18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73" t="str">
        <f>IFERROR(INDEX(Raw_orders!G:G, MATCH(shipments[[#This Row],[order_id]],Raw_orders!A:A, 0)), "Unknown")</f>
        <v>Baltics</v>
      </c>
      <c r="J1873" t="str">
        <f>PROPER(shipments[[#This Row],[delivery_status]])</f>
        <v>Delivered</v>
      </c>
      <c r="K1873" t="s">
        <v>6922</v>
      </c>
    </row>
    <row r="1874" spans="1:11">
      <c r="A1874" t="s">
        <v>8810</v>
      </c>
      <c r="B1874" t="s">
        <v>2671</v>
      </c>
      <c r="C1874" t="s">
        <v>6921</v>
      </c>
      <c r="D1874" s="1">
        <v>45151</v>
      </c>
      <c r="E1874" s="1">
        <v>45154</v>
      </c>
      <c r="F1874" s="1">
        <v>45156</v>
      </c>
      <c r="G1874">
        <v>7.48</v>
      </c>
      <c r="H18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74" t="str">
        <f>IFERROR(INDEX(Raw_orders!G:G, MATCH(shipments[[#This Row],[order_id]],Raw_orders!A:A, 0)), "Unknown")</f>
        <v>Central Europe</v>
      </c>
      <c r="J1874" t="str">
        <f>PROPER(shipments[[#This Row],[delivery_status]])</f>
        <v>Delivered</v>
      </c>
      <c r="K1874" t="s">
        <v>6922</v>
      </c>
    </row>
    <row r="1875" spans="1:11">
      <c r="A1875" t="s">
        <v>8811</v>
      </c>
      <c r="B1875" t="s">
        <v>2672</v>
      </c>
      <c r="C1875" t="s">
        <v>6938</v>
      </c>
      <c r="D1875" s="1">
        <v>45074</v>
      </c>
      <c r="E1875" s="1">
        <v>45079</v>
      </c>
      <c r="F1875" s="1">
        <v>45084</v>
      </c>
      <c r="G1875">
        <v>17.04</v>
      </c>
      <c r="H18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75" t="str">
        <f>IFERROR(INDEX(Raw_orders!G:G, MATCH(shipments[[#This Row],[order_id]],Raw_orders!A:A, 0)), "Unknown")</f>
        <v>Baltics</v>
      </c>
      <c r="J1875" t="str">
        <f>PROPER(shipments[[#This Row],[delivery_status]])</f>
        <v>Delivered</v>
      </c>
      <c r="K1875" t="s">
        <v>6929</v>
      </c>
    </row>
    <row r="1876" spans="1:11">
      <c r="A1876" t="s">
        <v>8812</v>
      </c>
      <c r="B1876" t="s">
        <v>2673</v>
      </c>
      <c r="C1876" t="s">
        <v>6928</v>
      </c>
      <c r="D1876" s="1">
        <v>45483</v>
      </c>
      <c r="E1876" s="1">
        <v>45486</v>
      </c>
      <c r="F1876" s="1">
        <v>45486</v>
      </c>
      <c r="G1876">
        <v>49.1</v>
      </c>
      <c r="H18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76" t="str">
        <f>IFERROR(INDEX(Raw_orders!G:G, MATCH(shipments[[#This Row],[order_id]],Raw_orders!A:A, 0)), "Unknown")</f>
        <v>Baltics</v>
      </c>
      <c r="J1876" t="str">
        <f>PROPER(shipments[[#This Row],[delivery_status]])</f>
        <v>Delivered</v>
      </c>
      <c r="K1876" t="s">
        <v>6929</v>
      </c>
    </row>
    <row r="1877" spans="1:11">
      <c r="A1877" t="s">
        <v>8813</v>
      </c>
      <c r="B1877" t="s">
        <v>2674</v>
      </c>
      <c r="C1877" t="s">
        <v>6925</v>
      </c>
      <c r="D1877" s="1">
        <v>45489</v>
      </c>
      <c r="E1877" s="1">
        <v>45494</v>
      </c>
      <c r="F1877" s="1">
        <v>45494</v>
      </c>
      <c r="G1877">
        <v>61.51</v>
      </c>
      <c r="H18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77" t="str">
        <f>IFERROR(INDEX(Raw_orders!G:G, MATCH(shipments[[#This Row],[order_id]],Raw_orders!A:A, 0)), "Unknown")</f>
        <v>Baltics</v>
      </c>
      <c r="J1877" t="str">
        <f>PROPER(shipments[[#This Row],[delivery_status]])</f>
        <v>Delivered</v>
      </c>
      <c r="K1877" t="s">
        <v>6929</v>
      </c>
    </row>
    <row r="1878" spans="1:11">
      <c r="A1878" t="s">
        <v>8814</v>
      </c>
      <c r="B1878" t="s">
        <v>2675</v>
      </c>
      <c r="C1878" t="s">
        <v>6956</v>
      </c>
      <c r="D1878" s="1">
        <v>44953</v>
      </c>
      <c r="E1878" s="1">
        <v>44963</v>
      </c>
      <c r="F1878" s="1">
        <v>44971</v>
      </c>
      <c r="G1878">
        <v>20.399999999999999</v>
      </c>
      <c r="H18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78" t="str">
        <f>IFERROR(INDEX(Raw_orders!G:G, MATCH(shipments[[#This Row],[order_id]],Raw_orders!A:A, 0)), "Unknown")</f>
        <v>Central Europe</v>
      </c>
      <c r="J1878" t="str">
        <f>PROPER(shipments[[#This Row],[delivery_status]])</f>
        <v>Delivered</v>
      </c>
      <c r="K1878" t="s">
        <v>6929</v>
      </c>
    </row>
    <row r="1879" spans="1:11">
      <c r="A1879" t="s">
        <v>8815</v>
      </c>
      <c r="B1879" t="s">
        <v>2676</v>
      </c>
      <c r="C1879" t="s">
        <v>6921</v>
      </c>
      <c r="D1879" s="1">
        <v>45466</v>
      </c>
      <c r="E1879" s="1">
        <v>45476</v>
      </c>
      <c r="F1879" s="1">
        <v>45481</v>
      </c>
      <c r="G1879">
        <v>8.0299999999999994</v>
      </c>
      <c r="H18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79" t="str">
        <f>IFERROR(INDEX(Raw_orders!G:G, MATCH(shipments[[#This Row],[order_id]],Raw_orders!A:A, 0)), "Unknown")</f>
        <v>Central Europe</v>
      </c>
      <c r="J1879" t="str">
        <f>PROPER(shipments[[#This Row],[delivery_status]])</f>
        <v>Delivered</v>
      </c>
      <c r="K1879" t="s">
        <v>6929</v>
      </c>
    </row>
    <row r="1880" spans="1:11">
      <c r="A1880" t="s">
        <v>8816</v>
      </c>
      <c r="B1880" t="s">
        <v>2677</v>
      </c>
      <c r="C1880" t="s">
        <v>6935</v>
      </c>
      <c r="D1880" s="1">
        <v>45446</v>
      </c>
      <c r="E1880" s="1">
        <v>45456</v>
      </c>
      <c r="F1880" s="1">
        <v>45465</v>
      </c>
      <c r="G1880">
        <v>60.61</v>
      </c>
      <c r="H18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80" t="str">
        <f>IFERROR(INDEX(Raw_orders!G:G, MATCH(shipments[[#This Row],[order_id]],Raw_orders!A:A, 0)), "Unknown")</f>
        <v>Nordics</v>
      </c>
      <c r="J1880" t="str">
        <f>PROPER(shipments[[#This Row],[delivery_status]])</f>
        <v>Delivered</v>
      </c>
      <c r="K1880" t="s">
        <v>6929</v>
      </c>
    </row>
    <row r="1881" spans="1:11">
      <c r="A1881" t="s">
        <v>8817</v>
      </c>
      <c r="B1881" t="s">
        <v>2678</v>
      </c>
      <c r="C1881" t="s">
        <v>6921</v>
      </c>
      <c r="D1881" s="1">
        <v>45093</v>
      </c>
      <c r="E1881" s="1">
        <v>45095</v>
      </c>
      <c r="F1881" s="1">
        <v>45102</v>
      </c>
      <c r="G1881">
        <v>22.92</v>
      </c>
      <c r="H18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81" t="str">
        <f>IFERROR(INDEX(Raw_orders!G:G, MATCH(shipments[[#This Row],[order_id]],Raw_orders!A:A, 0)), "Unknown")</f>
        <v>Central Europe</v>
      </c>
      <c r="J1881" t="str">
        <f>PROPER(shipments[[#This Row],[delivery_status]])</f>
        <v>Delivered</v>
      </c>
      <c r="K1881" t="s">
        <v>6926</v>
      </c>
    </row>
    <row r="1882" spans="1:11">
      <c r="A1882" t="s">
        <v>8818</v>
      </c>
      <c r="B1882" t="s">
        <v>2679</v>
      </c>
      <c r="C1882" t="s">
        <v>6925</v>
      </c>
      <c r="D1882" s="1">
        <v>45517</v>
      </c>
      <c r="E1882" s="1">
        <v>45527</v>
      </c>
      <c r="F1882" s="1">
        <v>45536</v>
      </c>
      <c r="G1882">
        <v>37.549999999999997</v>
      </c>
      <c r="H18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82" t="str">
        <f>IFERROR(INDEX(Raw_orders!G:G, MATCH(shipments[[#This Row],[order_id]],Raw_orders!A:A, 0)), "Unknown")</f>
        <v>Nordics</v>
      </c>
      <c r="J1882" t="str">
        <f>PROPER(shipments[[#This Row],[delivery_status]])</f>
        <v>Delivered</v>
      </c>
      <c r="K1882" t="s">
        <v>6929</v>
      </c>
    </row>
    <row r="1883" spans="1:11">
      <c r="A1883" t="s">
        <v>8819</v>
      </c>
      <c r="B1883" t="s">
        <v>2680</v>
      </c>
      <c r="C1883" t="s">
        <v>6928</v>
      </c>
      <c r="D1883" s="1">
        <v>45586</v>
      </c>
      <c r="E1883" s="1">
        <v>45593</v>
      </c>
      <c r="F1883" s="1">
        <v>45593</v>
      </c>
      <c r="G1883">
        <v>29.43</v>
      </c>
      <c r="H18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83" t="str">
        <f>IFERROR(INDEX(Raw_orders!G:G, MATCH(shipments[[#This Row],[order_id]],Raw_orders!A:A, 0)), "Unknown")</f>
        <v>Nordics</v>
      </c>
      <c r="J1883" t="str">
        <f>PROPER(shipments[[#This Row],[delivery_status]])</f>
        <v>Delivered</v>
      </c>
      <c r="K1883" t="s">
        <v>6929</v>
      </c>
    </row>
    <row r="1884" spans="1:11">
      <c r="A1884" t="s">
        <v>8820</v>
      </c>
      <c r="B1884" t="s">
        <v>2681</v>
      </c>
      <c r="C1884" t="s">
        <v>6938</v>
      </c>
      <c r="D1884" s="1">
        <v>44982</v>
      </c>
      <c r="E1884" s="1">
        <v>44987</v>
      </c>
      <c r="F1884" s="1">
        <v>44987</v>
      </c>
      <c r="G1884">
        <v>8.18</v>
      </c>
      <c r="H18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84" t="str">
        <f>IFERROR(INDEX(Raw_orders!G:G, MATCH(shipments[[#This Row],[order_id]],Raw_orders!A:A, 0)), "Unknown")</f>
        <v>Central Europe</v>
      </c>
      <c r="J1884" t="str">
        <f>PROPER(shipments[[#This Row],[delivery_status]])</f>
        <v>Delivered</v>
      </c>
      <c r="K1884" t="s">
        <v>6929</v>
      </c>
    </row>
    <row r="1885" spans="1:11">
      <c r="A1885" t="s">
        <v>8821</v>
      </c>
      <c r="B1885" t="s">
        <v>2681</v>
      </c>
      <c r="C1885" t="s">
        <v>6940</v>
      </c>
      <c r="D1885" s="1">
        <v>44985</v>
      </c>
      <c r="E1885" s="1">
        <v>44988</v>
      </c>
      <c r="F1885" s="1">
        <v>44990</v>
      </c>
      <c r="G1885">
        <v>44.25</v>
      </c>
      <c r="H18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85" t="str">
        <f>IFERROR(INDEX(Raw_orders!G:G, MATCH(shipments[[#This Row],[order_id]],Raw_orders!A:A, 0)), "Unknown")</f>
        <v>Central Europe</v>
      </c>
      <c r="J1885" t="str">
        <f>PROPER(shipments[[#This Row],[delivery_status]])</f>
        <v>Delivered</v>
      </c>
      <c r="K1885" t="s">
        <v>6922</v>
      </c>
    </row>
    <row r="1886" spans="1:11">
      <c r="A1886" t="s">
        <v>8822</v>
      </c>
      <c r="B1886" t="s">
        <v>2682</v>
      </c>
      <c r="C1886" t="s">
        <v>6956</v>
      </c>
      <c r="D1886" s="1">
        <v>45580</v>
      </c>
      <c r="E1886" s="1">
        <v>45583</v>
      </c>
      <c r="F1886" s="1">
        <v>45583</v>
      </c>
      <c r="G1886">
        <v>18.329999999999998</v>
      </c>
      <c r="H18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86" t="str">
        <f>IFERROR(INDEX(Raw_orders!G:G, MATCH(shipments[[#This Row],[order_id]],Raw_orders!A:A, 0)), "Unknown")</f>
        <v>Central Europe</v>
      </c>
      <c r="J1886" t="str">
        <f>PROPER(shipments[[#This Row],[delivery_status]])</f>
        <v>Delivered</v>
      </c>
      <c r="K1886" t="s">
        <v>6926</v>
      </c>
    </row>
    <row r="1887" spans="1:11">
      <c r="A1887" t="s">
        <v>8823</v>
      </c>
      <c r="B1887" t="s">
        <v>2683</v>
      </c>
      <c r="C1887" t="s">
        <v>6928</v>
      </c>
      <c r="D1887" s="1">
        <v>45326</v>
      </c>
      <c r="E1887" s="1">
        <v>45333</v>
      </c>
      <c r="F1887" s="1">
        <v>45333</v>
      </c>
      <c r="G1887">
        <v>10.91</v>
      </c>
      <c r="H18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87" t="str">
        <f>IFERROR(INDEX(Raw_orders!G:G, MATCH(shipments[[#This Row],[order_id]],Raw_orders!A:A, 0)), "Unknown")</f>
        <v>Nordics</v>
      </c>
      <c r="J1887" t="str">
        <f>PROPER(shipments[[#This Row],[delivery_status]])</f>
        <v>Delivered</v>
      </c>
      <c r="K1887" t="s">
        <v>6922</v>
      </c>
    </row>
    <row r="1888" spans="1:11">
      <c r="A1888" t="s">
        <v>8824</v>
      </c>
      <c r="B1888" t="s">
        <v>2684</v>
      </c>
      <c r="C1888" t="s">
        <v>6956</v>
      </c>
      <c r="D1888" s="1">
        <v>45484</v>
      </c>
      <c r="E1888" s="1">
        <v>45489</v>
      </c>
      <c r="F1888" s="1">
        <v>45494</v>
      </c>
      <c r="G1888">
        <v>41.29</v>
      </c>
      <c r="H18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88" t="str">
        <f>IFERROR(INDEX(Raw_orders!G:G, MATCH(shipments[[#This Row],[order_id]],Raw_orders!A:A, 0)), "Unknown")</f>
        <v>Nordics</v>
      </c>
      <c r="J1888" t="str">
        <f>PROPER(shipments[[#This Row],[delivery_status]])</f>
        <v>Delivered</v>
      </c>
      <c r="K1888" t="s">
        <v>6929</v>
      </c>
    </row>
    <row r="1889" spans="1:11">
      <c r="A1889" t="s">
        <v>8825</v>
      </c>
      <c r="B1889" t="s">
        <v>2685</v>
      </c>
      <c r="C1889" t="s">
        <v>6940</v>
      </c>
      <c r="D1889" s="1">
        <v>44937</v>
      </c>
      <c r="E1889" s="1">
        <v>44939</v>
      </c>
      <c r="F1889" s="1">
        <v>44945</v>
      </c>
      <c r="G1889">
        <v>46.71</v>
      </c>
      <c r="H18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89" t="str">
        <f>IFERROR(INDEX(Raw_orders!G:G, MATCH(shipments[[#This Row],[order_id]],Raw_orders!A:A, 0)), "Unknown")</f>
        <v>Baltics</v>
      </c>
      <c r="J1889" t="str">
        <f>PROPER(shipments[[#This Row],[delivery_status]])</f>
        <v>Delivered</v>
      </c>
      <c r="K1889" t="s">
        <v>6926</v>
      </c>
    </row>
    <row r="1890" spans="1:11">
      <c r="A1890" t="s">
        <v>8826</v>
      </c>
      <c r="B1890" t="s">
        <v>2685</v>
      </c>
      <c r="C1890" t="s">
        <v>6938</v>
      </c>
      <c r="D1890" s="1">
        <v>44934</v>
      </c>
      <c r="E1890" s="1">
        <v>44936</v>
      </c>
      <c r="F1890" s="1">
        <v>44936</v>
      </c>
      <c r="G1890">
        <v>38.549999999999997</v>
      </c>
      <c r="H18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90" t="str">
        <f>IFERROR(INDEX(Raw_orders!G:G, MATCH(shipments[[#This Row],[order_id]],Raw_orders!A:A, 0)), "Unknown")</f>
        <v>Baltics</v>
      </c>
      <c r="J1890" t="str">
        <f>PROPER(shipments[[#This Row],[delivery_status]])</f>
        <v>Delivered</v>
      </c>
      <c r="K1890" t="s">
        <v>6926</v>
      </c>
    </row>
    <row r="1891" spans="1:11">
      <c r="A1891" t="s">
        <v>8827</v>
      </c>
      <c r="B1891" t="s">
        <v>2686</v>
      </c>
      <c r="C1891" t="s">
        <v>6935</v>
      </c>
      <c r="D1891" s="1">
        <v>45110</v>
      </c>
      <c r="E1891" s="1">
        <v>45117</v>
      </c>
      <c r="F1891" s="1">
        <v>45118</v>
      </c>
      <c r="G1891">
        <v>21.53</v>
      </c>
      <c r="H18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91" t="str">
        <f>IFERROR(INDEX(Raw_orders!G:G, MATCH(shipments[[#This Row],[order_id]],Raw_orders!A:A, 0)), "Unknown")</f>
        <v>Central Europe</v>
      </c>
      <c r="J1891" t="str">
        <f>PROPER(shipments[[#This Row],[delivery_status]])</f>
        <v>Delivered</v>
      </c>
      <c r="K1891" t="s">
        <v>6926</v>
      </c>
    </row>
    <row r="1892" spans="1:11">
      <c r="A1892" t="s">
        <v>8828</v>
      </c>
      <c r="B1892" t="s">
        <v>2687</v>
      </c>
      <c r="C1892" t="s">
        <v>6921</v>
      </c>
      <c r="D1892" s="1">
        <v>45551</v>
      </c>
      <c r="E1892" s="1">
        <v>45554</v>
      </c>
      <c r="F1892" s="1">
        <v>45553</v>
      </c>
      <c r="G1892">
        <v>35.92</v>
      </c>
      <c r="H18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92" t="str">
        <f>IFERROR(INDEX(Raw_orders!G:G, MATCH(shipments[[#This Row],[order_id]],Raw_orders!A:A, 0)), "Unknown")</f>
        <v>Unknown</v>
      </c>
      <c r="J1892" t="str">
        <f>PROPER(shipments[[#This Row],[delivery_status]])</f>
        <v>Delivered</v>
      </c>
      <c r="K1892" t="s">
        <v>6926</v>
      </c>
    </row>
    <row r="1893" spans="1:11">
      <c r="A1893" t="s">
        <v>8829</v>
      </c>
      <c r="B1893" t="s">
        <v>2688</v>
      </c>
      <c r="C1893" t="s">
        <v>6938</v>
      </c>
      <c r="D1893" s="1">
        <v>45477</v>
      </c>
      <c r="E1893" s="1">
        <v>45479</v>
      </c>
      <c r="F1893" s="1">
        <v>45480</v>
      </c>
      <c r="G1893">
        <v>19.98</v>
      </c>
      <c r="H18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93" t="str">
        <f>IFERROR(INDEX(Raw_orders!G:G, MATCH(shipments[[#This Row],[order_id]],Raw_orders!A:A, 0)), "Unknown")</f>
        <v>Central Europe</v>
      </c>
      <c r="J1893" t="str">
        <f>PROPER(shipments[[#This Row],[delivery_status]])</f>
        <v>Delivered</v>
      </c>
      <c r="K1893" t="s">
        <v>6929</v>
      </c>
    </row>
    <row r="1894" spans="1:11">
      <c r="A1894" t="s">
        <v>8830</v>
      </c>
      <c r="B1894" t="s">
        <v>2688</v>
      </c>
      <c r="C1894" t="s">
        <v>6956</v>
      </c>
      <c r="D1894" s="1">
        <v>45477</v>
      </c>
      <c r="E1894" s="1">
        <v>45482</v>
      </c>
      <c r="F1894" s="1"/>
      <c r="G1894">
        <v>26.63</v>
      </c>
      <c r="H18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894" t="str">
        <f>IFERROR(INDEX(Raw_orders!G:G, MATCH(shipments[[#This Row],[order_id]],Raw_orders!A:A, 0)), "Unknown")</f>
        <v>Central Europe</v>
      </c>
      <c r="J1894" t="str">
        <f>PROPER(shipments[[#This Row],[delivery_status]])</f>
        <v>In Transit</v>
      </c>
      <c r="K1894" t="s">
        <v>6946</v>
      </c>
    </row>
    <row r="1895" spans="1:11">
      <c r="A1895" t="s">
        <v>8831</v>
      </c>
      <c r="B1895" t="s">
        <v>2689</v>
      </c>
      <c r="C1895" t="s">
        <v>6921</v>
      </c>
      <c r="D1895" s="1">
        <v>44983</v>
      </c>
      <c r="E1895" s="1">
        <v>44990</v>
      </c>
      <c r="F1895" s="1">
        <v>44992</v>
      </c>
      <c r="G1895">
        <v>50.04</v>
      </c>
      <c r="H18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95" t="str">
        <f>IFERROR(INDEX(Raw_orders!G:G, MATCH(shipments[[#This Row],[order_id]],Raw_orders!A:A, 0)), "Unknown")</f>
        <v>Central Europe</v>
      </c>
      <c r="J1895" t="str">
        <f>PROPER(shipments[[#This Row],[delivery_status]])</f>
        <v>Delivered</v>
      </c>
      <c r="K1895" t="s">
        <v>6929</v>
      </c>
    </row>
    <row r="1896" spans="1:11">
      <c r="A1896" t="s">
        <v>8832</v>
      </c>
      <c r="B1896" t="s">
        <v>2690</v>
      </c>
      <c r="C1896" t="s">
        <v>6921</v>
      </c>
      <c r="D1896" s="1">
        <v>45293</v>
      </c>
      <c r="E1896" s="1">
        <v>45295</v>
      </c>
      <c r="F1896" s="1">
        <v>45295</v>
      </c>
      <c r="G1896">
        <v>63.77</v>
      </c>
      <c r="H18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896" t="str">
        <f>IFERROR(INDEX(Raw_orders!G:G, MATCH(shipments[[#This Row],[order_id]],Raw_orders!A:A, 0)), "Unknown")</f>
        <v>Nordics</v>
      </c>
      <c r="J1896" t="str">
        <f>PROPER(shipments[[#This Row],[delivery_status]])</f>
        <v>Delivered</v>
      </c>
      <c r="K1896" t="s">
        <v>6929</v>
      </c>
    </row>
    <row r="1897" spans="1:11">
      <c r="A1897" t="s">
        <v>8833</v>
      </c>
      <c r="B1897" t="s">
        <v>2691</v>
      </c>
      <c r="C1897" t="s">
        <v>6928</v>
      </c>
      <c r="D1897" s="1">
        <v>45151</v>
      </c>
      <c r="E1897" s="1">
        <v>45156</v>
      </c>
      <c r="F1897" s="1"/>
      <c r="G1897">
        <v>49</v>
      </c>
      <c r="H18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897" t="str">
        <f>IFERROR(INDEX(Raw_orders!G:G, MATCH(shipments[[#This Row],[order_id]],Raw_orders!A:A, 0)), "Unknown")</f>
        <v>Nordics</v>
      </c>
      <c r="J1897" t="str">
        <f>PROPER(shipments[[#This Row],[delivery_status]])</f>
        <v>In Transit</v>
      </c>
      <c r="K1897" t="s">
        <v>6977</v>
      </c>
    </row>
    <row r="1898" spans="1:11">
      <c r="A1898" t="s">
        <v>8834</v>
      </c>
      <c r="B1898" t="s">
        <v>2692</v>
      </c>
      <c r="C1898" t="s">
        <v>6921</v>
      </c>
      <c r="D1898" s="1">
        <v>45144</v>
      </c>
      <c r="E1898" s="1">
        <v>45146</v>
      </c>
      <c r="F1898" s="1"/>
      <c r="G1898">
        <v>52.57</v>
      </c>
      <c r="H18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898" t="str">
        <f>IFERROR(INDEX(Raw_orders!G:G, MATCH(shipments[[#This Row],[order_id]],Raw_orders!A:A, 0)), "Unknown")</f>
        <v>Baltics</v>
      </c>
      <c r="J1898" t="str">
        <f>PROPER(shipments[[#This Row],[delivery_status]])</f>
        <v>In Transit</v>
      </c>
      <c r="K1898" t="s">
        <v>6977</v>
      </c>
    </row>
    <row r="1899" spans="1:11">
      <c r="A1899" t="s">
        <v>8835</v>
      </c>
      <c r="B1899" t="s">
        <v>2693</v>
      </c>
      <c r="C1899" t="s">
        <v>6928</v>
      </c>
      <c r="D1899" s="1">
        <v>45038</v>
      </c>
      <c r="E1899" s="1">
        <v>45041</v>
      </c>
      <c r="F1899" s="1">
        <v>45044</v>
      </c>
      <c r="G1899">
        <v>61.25</v>
      </c>
      <c r="H18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899" t="str">
        <f>IFERROR(INDEX(Raw_orders!G:G, MATCH(shipments[[#This Row],[order_id]],Raw_orders!A:A, 0)), "Unknown")</f>
        <v>Nordics</v>
      </c>
      <c r="J1899" t="str">
        <f>PROPER(shipments[[#This Row],[delivery_status]])</f>
        <v>Delivered</v>
      </c>
      <c r="K1899" t="s">
        <v>6929</v>
      </c>
    </row>
    <row r="1900" spans="1:11">
      <c r="A1900" t="s">
        <v>8836</v>
      </c>
      <c r="B1900" t="s">
        <v>2694</v>
      </c>
      <c r="C1900" t="s">
        <v>6935</v>
      </c>
      <c r="D1900" s="1">
        <v>45370</v>
      </c>
      <c r="E1900" s="1">
        <v>45372</v>
      </c>
      <c r="F1900" s="1">
        <v>45377</v>
      </c>
      <c r="G1900">
        <v>9.58</v>
      </c>
      <c r="H19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00" t="str">
        <f>IFERROR(INDEX(Raw_orders!G:G, MATCH(shipments[[#This Row],[order_id]],Raw_orders!A:A, 0)), "Unknown")</f>
        <v>Nordics</v>
      </c>
      <c r="J1900" t="str">
        <f>PROPER(shipments[[#This Row],[delivery_status]])</f>
        <v>Delivered</v>
      </c>
      <c r="K1900" t="s">
        <v>6922</v>
      </c>
    </row>
    <row r="1901" spans="1:11">
      <c r="A1901" t="s">
        <v>8837</v>
      </c>
      <c r="B1901" t="s">
        <v>2695</v>
      </c>
      <c r="C1901" t="s">
        <v>6925</v>
      </c>
      <c r="D1901" s="1">
        <v>45405</v>
      </c>
      <c r="E1901" s="1">
        <v>45410</v>
      </c>
      <c r="F1901" s="1">
        <v>45410</v>
      </c>
      <c r="G1901">
        <v>58.19</v>
      </c>
      <c r="H19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901" t="str">
        <f>IFERROR(INDEX(Raw_orders!G:G, MATCH(shipments[[#This Row],[order_id]],Raw_orders!A:A, 0)), "Unknown")</f>
        <v>Nordics</v>
      </c>
      <c r="J1901" t="str">
        <f>PROPER(shipments[[#This Row],[delivery_status]])</f>
        <v>Delivered</v>
      </c>
      <c r="K1901" t="s">
        <v>6922</v>
      </c>
    </row>
    <row r="1902" spans="1:11">
      <c r="A1902" t="s">
        <v>8838</v>
      </c>
      <c r="B1902" t="s">
        <v>2696</v>
      </c>
      <c r="C1902" t="s">
        <v>6940</v>
      </c>
      <c r="D1902" s="1">
        <v>45031</v>
      </c>
      <c r="E1902" s="1">
        <v>45038</v>
      </c>
      <c r="F1902" s="1"/>
      <c r="G1902">
        <v>59.87</v>
      </c>
      <c r="H19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902" t="str">
        <f>IFERROR(INDEX(Raw_orders!G:G, MATCH(shipments[[#This Row],[order_id]],Raw_orders!A:A, 0)), "Unknown")</f>
        <v>Baltics</v>
      </c>
      <c r="J1902" t="str">
        <f>PROPER(shipments[[#This Row],[delivery_status]])</f>
        <v>In Transit</v>
      </c>
      <c r="K1902" t="s">
        <v>6946</v>
      </c>
    </row>
    <row r="1903" spans="1:11">
      <c r="A1903" t="s">
        <v>8839</v>
      </c>
      <c r="B1903" t="s">
        <v>2697</v>
      </c>
      <c r="C1903" t="s">
        <v>6938</v>
      </c>
      <c r="D1903" s="1">
        <v>45417</v>
      </c>
      <c r="E1903" s="1">
        <v>45420</v>
      </c>
      <c r="F1903" s="1">
        <v>45421</v>
      </c>
      <c r="G1903">
        <v>17.239999999999998</v>
      </c>
      <c r="H19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03" t="str">
        <f>IFERROR(INDEX(Raw_orders!G:G, MATCH(shipments[[#This Row],[order_id]],Raw_orders!A:A, 0)), "Unknown")</f>
        <v>Baltics</v>
      </c>
      <c r="J1903" t="str">
        <f>PROPER(shipments[[#This Row],[delivery_status]])</f>
        <v>Delivered</v>
      </c>
      <c r="K1903" t="s">
        <v>6926</v>
      </c>
    </row>
    <row r="1904" spans="1:11">
      <c r="A1904" t="s">
        <v>8840</v>
      </c>
      <c r="B1904" t="s">
        <v>2698</v>
      </c>
      <c r="C1904" t="s">
        <v>6921</v>
      </c>
      <c r="D1904" s="1">
        <v>45085</v>
      </c>
      <c r="E1904" s="1">
        <v>45088</v>
      </c>
      <c r="F1904" s="1">
        <v>45089</v>
      </c>
      <c r="G1904">
        <v>8.07</v>
      </c>
      <c r="H19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04" t="str">
        <f>IFERROR(INDEX(Raw_orders!G:G, MATCH(shipments[[#This Row],[order_id]],Raw_orders!A:A, 0)), "Unknown")</f>
        <v>Central Europe</v>
      </c>
      <c r="J1904" t="str">
        <f>PROPER(shipments[[#This Row],[delivery_status]])</f>
        <v>Delivered</v>
      </c>
      <c r="K1904" t="s">
        <v>6929</v>
      </c>
    </row>
    <row r="1905" spans="1:11">
      <c r="A1905" t="s">
        <v>8841</v>
      </c>
      <c r="B1905" t="s">
        <v>2699</v>
      </c>
      <c r="C1905" t="s">
        <v>6921</v>
      </c>
      <c r="D1905" s="1">
        <v>45583</v>
      </c>
      <c r="E1905" s="1">
        <v>45586</v>
      </c>
      <c r="F1905" s="1">
        <v>45591</v>
      </c>
      <c r="G1905">
        <v>56.2</v>
      </c>
      <c r="H19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05" t="str">
        <f>IFERROR(INDEX(Raw_orders!G:G, MATCH(shipments[[#This Row],[order_id]],Raw_orders!A:A, 0)), "Unknown")</f>
        <v>Baltics</v>
      </c>
      <c r="J1905" t="str">
        <f>PROPER(shipments[[#This Row],[delivery_status]])</f>
        <v>Delivered</v>
      </c>
      <c r="K1905" t="s">
        <v>6922</v>
      </c>
    </row>
    <row r="1906" spans="1:11">
      <c r="A1906" t="s">
        <v>8842</v>
      </c>
      <c r="B1906" t="s">
        <v>2700</v>
      </c>
      <c r="C1906" t="s">
        <v>6928</v>
      </c>
      <c r="D1906" s="1">
        <v>45129</v>
      </c>
      <c r="E1906" s="1">
        <v>45134</v>
      </c>
      <c r="F1906" s="1"/>
      <c r="G1906">
        <v>7.12</v>
      </c>
      <c r="H19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906" t="str">
        <f>IFERROR(INDEX(Raw_orders!G:G, MATCH(shipments[[#This Row],[order_id]],Raw_orders!A:A, 0)), "Unknown")</f>
        <v>Central Europe</v>
      </c>
      <c r="J1906" t="str">
        <f>PROPER(shipments[[#This Row],[delivery_status]])</f>
        <v>In Transit</v>
      </c>
      <c r="K1906" t="s">
        <v>6958</v>
      </c>
    </row>
    <row r="1907" spans="1:11">
      <c r="A1907" t="s">
        <v>8843</v>
      </c>
      <c r="B1907" t="s">
        <v>2701</v>
      </c>
      <c r="C1907" t="s">
        <v>6921</v>
      </c>
      <c r="D1907" s="1">
        <v>45214</v>
      </c>
      <c r="E1907" s="1">
        <v>45217</v>
      </c>
      <c r="F1907" s="1"/>
      <c r="G1907">
        <v>63.41</v>
      </c>
      <c r="H19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907" t="str">
        <f>IFERROR(INDEX(Raw_orders!G:G, MATCH(shipments[[#This Row],[order_id]],Raw_orders!A:A, 0)), "Unknown")</f>
        <v>Central Europe</v>
      </c>
      <c r="J1907" t="str">
        <f>PROPER(shipments[[#This Row],[delivery_status]])</f>
        <v>Cancelled</v>
      </c>
      <c r="K1907" t="s">
        <v>6972</v>
      </c>
    </row>
    <row r="1908" spans="1:11">
      <c r="A1908" t="s">
        <v>8844</v>
      </c>
      <c r="B1908" t="s">
        <v>2702</v>
      </c>
      <c r="C1908" t="s">
        <v>6928</v>
      </c>
      <c r="D1908" s="1">
        <v>45201</v>
      </c>
      <c r="E1908" s="1">
        <v>45203</v>
      </c>
      <c r="F1908" s="1">
        <v>45217</v>
      </c>
      <c r="G1908">
        <v>30.89</v>
      </c>
      <c r="H19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08" t="str">
        <f>IFERROR(INDEX(Raw_orders!G:G, MATCH(shipments[[#This Row],[order_id]],Raw_orders!A:A, 0)), "Unknown")</f>
        <v>Nordics</v>
      </c>
      <c r="J1908" t="str">
        <f>PROPER(shipments[[#This Row],[delivery_status]])</f>
        <v>Delivered</v>
      </c>
      <c r="K1908" t="s">
        <v>6929</v>
      </c>
    </row>
    <row r="1909" spans="1:11">
      <c r="A1909" t="s">
        <v>8845</v>
      </c>
      <c r="B1909" t="s">
        <v>2703</v>
      </c>
      <c r="C1909" t="s">
        <v>6928</v>
      </c>
      <c r="D1909" s="1">
        <v>45446</v>
      </c>
      <c r="E1909" s="1">
        <v>45451</v>
      </c>
      <c r="F1909" s="1">
        <v>45456</v>
      </c>
      <c r="G1909">
        <v>42.07</v>
      </c>
      <c r="H19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09" t="str">
        <f>IFERROR(INDEX(Raw_orders!G:G, MATCH(shipments[[#This Row],[order_id]],Raw_orders!A:A, 0)), "Unknown")</f>
        <v>Baltics</v>
      </c>
      <c r="J1909" t="str">
        <f>PROPER(shipments[[#This Row],[delivery_status]])</f>
        <v>Delivered</v>
      </c>
      <c r="K1909" t="s">
        <v>6929</v>
      </c>
    </row>
    <row r="1910" spans="1:11">
      <c r="A1910" t="s">
        <v>8846</v>
      </c>
      <c r="B1910" t="s">
        <v>2704</v>
      </c>
      <c r="C1910" t="s">
        <v>6928</v>
      </c>
      <c r="D1910" s="1">
        <v>45274</v>
      </c>
      <c r="E1910" s="1">
        <v>45284</v>
      </c>
      <c r="F1910" s="1">
        <v>45285</v>
      </c>
      <c r="G1910">
        <v>26.83</v>
      </c>
      <c r="H19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10" t="str">
        <f>IFERROR(INDEX(Raw_orders!G:G, MATCH(shipments[[#This Row],[order_id]],Raw_orders!A:A, 0)), "Unknown")</f>
        <v>Nordics</v>
      </c>
      <c r="J1910" t="str">
        <f>PROPER(shipments[[#This Row],[delivery_status]])</f>
        <v>Delivered</v>
      </c>
      <c r="K1910" t="s">
        <v>6929</v>
      </c>
    </row>
    <row r="1911" spans="1:11">
      <c r="A1911" t="s">
        <v>8847</v>
      </c>
      <c r="B1911" t="s">
        <v>2705</v>
      </c>
      <c r="C1911" t="s">
        <v>6935</v>
      </c>
      <c r="D1911" s="1">
        <v>45465</v>
      </c>
      <c r="E1911" s="1">
        <v>45475</v>
      </c>
      <c r="F1911" s="1">
        <v>45483</v>
      </c>
      <c r="G1911">
        <v>59.92</v>
      </c>
      <c r="H19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11" t="str">
        <f>IFERROR(INDEX(Raw_orders!G:G, MATCH(shipments[[#This Row],[order_id]],Raw_orders!A:A, 0)), "Unknown")</f>
        <v>Nordics</v>
      </c>
      <c r="J1911" t="str">
        <f>PROPER(shipments[[#This Row],[delivery_status]])</f>
        <v>Delivered</v>
      </c>
      <c r="K1911" t="s">
        <v>6929</v>
      </c>
    </row>
    <row r="1912" spans="1:11">
      <c r="A1912" t="s">
        <v>8848</v>
      </c>
      <c r="B1912" t="s">
        <v>2706</v>
      </c>
      <c r="C1912" t="s">
        <v>6931</v>
      </c>
      <c r="D1912" s="1">
        <v>45115</v>
      </c>
      <c r="E1912" s="1">
        <v>45118</v>
      </c>
      <c r="F1912" s="1">
        <v>45123</v>
      </c>
      <c r="G1912">
        <v>10.06</v>
      </c>
      <c r="H19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12" t="str">
        <f>IFERROR(INDEX(Raw_orders!G:G, MATCH(shipments[[#This Row],[order_id]],Raw_orders!A:A, 0)), "Unknown")</f>
        <v>Baltics</v>
      </c>
      <c r="J1912" t="str">
        <f>PROPER(shipments[[#This Row],[delivery_status]])</f>
        <v>Delivered</v>
      </c>
      <c r="K1912" t="s">
        <v>6926</v>
      </c>
    </row>
    <row r="1913" spans="1:11">
      <c r="A1913" t="s">
        <v>8849</v>
      </c>
      <c r="B1913" t="s">
        <v>2707</v>
      </c>
      <c r="C1913" t="s">
        <v>6931</v>
      </c>
      <c r="D1913" s="1">
        <v>45015</v>
      </c>
      <c r="E1913" s="1">
        <v>45025</v>
      </c>
      <c r="F1913" s="1">
        <v>45033</v>
      </c>
      <c r="G1913">
        <v>23.69</v>
      </c>
      <c r="H19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13" t="str">
        <f>IFERROR(INDEX(Raw_orders!G:G, MATCH(shipments[[#This Row],[order_id]],Raw_orders!A:A, 0)), "Unknown")</f>
        <v>Central Europe</v>
      </c>
      <c r="J1913" t="str">
        <f>PROPER(shipments[[#This Row],[delivery_status]])</f>
        <v>Delivered</v>
      </c>
      <c r="K1913" t="s">
        <v>6929</v>
      </c>
    </row>
    <row r="1914" spans="1:11">
      <c r="A1914" t="s">
        <v>8850</v>
      </c>
      <c r="B1914" t="s">
        <v>2708</v>
      </c>
      <c r="C1914" t="s">
        <v>6956</v>
      </c>
      <c r="D1914" s="1">
        <v>45252</v>
      </c>
      <c r="E1914" s="1">
        <v>45257</v>
      </c>
      <c r="F1914" s="1">
        <v>45257</v>
      </c>
      <c r="G1914">
        <v>8.61</v>
      </c>
      <c r="H19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914" t="str">
        <f>IFERROR(INDEX(Raw_orders!G:G, MATCH(shipments[[#This Row],[order_id]],Raw_orders!A:A, 0)), "Unknown")</f>
        <v>Central Europe</v>
      </c>
      <c r="J1914" t="str">
        <f>PROPER(shipments[[#This Row],[delivery_status]])</f>
        <v>Delivered</v>
      </c>
      <c r="K1914" t="s">
        <v>6922</v>
      </c>
    </row>
    <row r="1915" spans="1:11">
      <c r="A1915" t="s">
        <v>8851</v>
      </c>
      <c r="B1915" t="s">
        <v>2709</v>
      </c>
      <c r="C1915" t="s">
        <v>6956</v>
      </c>
      <c r="D1915" s="1">
        <v>45427</v>
      </c>
      <c r="E1915" s="1">
        <v>45434</v>
      </c>
      <c r="F1915" s="1"/>
      <c r="G1915">
        <v>26.13</v>
      </c>
      <c r="H19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915" t="str">
        <f>IFERROR(INDEX(Raw_orders!G:G, MATCH(shipments[[#This Row],[order_id]],Raw_orders!A:A, 0)), "Unknown")</f>
        <v>Central Europe</v>
      </c>
      <c r="J1915" t="str">
        <f>PROPER(shipments[[#This Row],[delivery_status]])</f>
        <v>Cancelled</v>
      </c>
      <c r="K1915" t="s">
        <v>6979</v>
      </c>
    </row>
    <row r="1916" spans="1:11">
      <c r="A1916" t="s">
        <v>8852</v>
      </c>
      <c r="B1916" t="s">
        <v>2710</v>
      </c>
      <c r="C1916" t="s">
        <v>6940</v>
      </c>
      <c r="D1916" s="1">
        <v>45530</v>
      </c>
      <c r="E1916" s="1">
        <v>45532</v>
      </c>
      <c r="F1916" s="1">
        <v>45532</v>
      </c>
      <c r="G1916">
        <v>13.82</v>
      </c>
      <c r="H19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916" t="str">
        <f>IFERROR(INDEX(Raw_orders!G:G, MATCH(shipments[[#This Row],[order_id]],Raw_orders!A:A, 0)), "Unknown")</f>
        <v>Central Europe</v>
      </c>
      <c r="J1916" t="str">
        <f>PROPER(shipments[[#This Row],[delivery_status]])</f>
        <v>Delivered</v>
      </c>
      <c r="K1916" t="s">
        <v>6922</v>
      </c>
    </row>
    <row r="1917" spans="1:11">
      <c r="A1917" t="s">
        <v>8853</v>
      </c>
      <c r="B1917" t="s">
        <v>2711</v>
      </c>
      <c r="C1917" t="s">
        <v>6928</v>
      </c>
      <c r="D1917" s="1">
        <v>45516</v>
      </c>
      <c r="E1917" s="1">
        <v>45523</v>
      </c>
      <c r="F1917" s="1">
        <v>45528</v>
      </c>
      <c r="G1917">
        <v>64.260000000000005</v>
      </c>
      <c r="H19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17" t="str">
        <f>IFERROR(INDEX(Raw_orders!G:G, MATCH(shipments[[#This Row],[order_id]],Raw_orders!A:A, 0)), "Unknown")</f>
        <v>Nordics</v>
      </c>
      <c r="J1917" t="str">
        <f>PROPER(shipments[[#This Row],[delivery_status]])</f>
        <v>Delivered</v>
      </c>
      <c r="K1917" t="s">
        <v>6929</v>
      </c>
    </row>
    <row r="1918" spans="1:11">
      <c r="A1918" t="s">
        <v>8854</v>
      </c>
      <c r="B1918" t="s">
        <v>2712</v>
      </c>
      <c r="C1918" t="s">
        <v>6921</v>
      </c>
      <c r="D1918" s="1">
        <v>45158</v>
      </c>
      <c r="E1918" s="1">
        <v>45168</v>
      </c>
      <c r="F1918" s="1">
        <v>45171</v>
      </c>
      <c r="G1918">
        <v>29.51</v>
      </c>
      <c r="H19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18" t="str">
        <f>IFERROR(INDEX(Raw_orders!G:G, MATCH(shipments[[#This Row],[order_id]],Raw_orders!A:A, 0)), "Unknown")</f>
        <v>Nordics</v>
      </c>
      <c r="J1918" t="str">
        <f>PROPER(shipments[[#This Row],[delivery_status]])</f>
        <v>Delivered</v>
      </c>
      <c r="K1918" t="s">
        <v>6929</v>
      </c>
    </row>
    <row r="1919" spans="1:11">
      <c r="A1919" t="s">
        <v>8855</v>
      </c>
      <c r="B1919" t="s">
        <v>2713</v>
      </c>
      <c r="C1919" t="s">
        <v>6921</v>
      </c>
      <c r="D1919" s="1">
        <v>45431</v>
      </c>
      <c r="E1919" s="1">
        <v>45434</v>
      </c>
      <c r="F1919" s="1">
        <v>45434</v>
      </c>
      <c r="G1919">
        <v>6.94</v>
      </c>
      <c r="H19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919" t="str">
        <f>IFERROR(INDEX(Raw_orders!G:G, MATCH(shipments[[#This Row],[order_id]],Raw_orders!A:A, 0)), "Unknown")</f>
        <v>Nordics</v>
      </c>
      <c r="J1919" t="str">
        <f>PROPER(shipments[[#This Row],[delivery_status]])</f>
        <v>Delivered</v>
      </c>
      <c r="K1919" t="s">
        <v>6926</v>
      </c>
    </row>
    <row r="1920" spans="1:11">
      <c r="A1920" t="s">
        <v>8856</v>
      </c>
      <c r="B1920" t="s">
        <v>2713</v>
      </c>
      <c r="C1920" t="s">
        <v>6935</v>
      </c>
      <c r="D1920" s="1">
        <v>45429</v>
      </c>
      <c r="E1920" s="1">
        <v>45436</v>
      </c>
      <c r="F1920" s="1"/>
      <c r="G1920">
        <v>40.49</v>
      </c>
      <c r="H19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920" t="str">
        <f>IFERROR(INDEX(Raw_orders!G:G, MATCH(shipments[[#This Row],[order_id]],Raw_orders!A:A, 0)), "Unknown")</f>
        <v>Nordics</v>
      </c>
      <c r="J1920" t="str">
        <f>PROPER(shipments[[#This Row],[delivery_status]])</f>
        <v>In Transit</v>
      </c>
      <c r="K1920" t="s">
        <v>6946</v>
      </c>
    </row>
    <row r="1921" spans="1:11">
      <c r="A1921" t="s">
        <v>8857</v>
      </c>
      <c r="B1921" t="s">
        <v>2714</v>
      </c>
      <c r="C1921" t="s">
        <v>6921</v>
      </c>
      <c r="D1921" s="1">
        <v>45598</v>
      </c>
      <c r="E1921" s="1">
        <v>45600</v>
      </c>
      <c r="F1921" s="1">
        <v>45600</v>
      </c>
      <c r="G1921">
        <v>41.84</v>
      </c>
      <c r="H19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921" t="str">
        <f>IFERROR(INDEX(Raw_orders!G:G, MATCH(shipments[[#This Row],[order_id]],Raw_orders!A:A, 0)), "Unknown")</f>
        <v>Nordics</v>
      </c>
      <c r="J1921" t="str">
        <f>PROPER(shipments[[#This Row],[delivery_status]])</f>
        <v>Delivered</v>
      </c>
      <c r="K1921" t="s">
        <v>6929</v>
      </c>
    </row>
    <row r="1922" spans="1:11">
      <c r="A1922" t="s">
        <v>8858</v>
      </c>
      <c r="B1922" t="s">
        <v>2715</v>
      </c>
      <c r="C1922" t="s">
        <v>6925</v>
      </c>
      <c r="D1922" s="1">
        <v>45147</v>
      </c>
      <c r="E1922" s="1">
        <v>45150</v>
      </c>
      <c r="F1922" s="1">
        <v>45156</v>
      </c>
      <c r="G1922">
        <v>22.07</v>
      </c>
      <c r="H19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22" t="str">
        <f>IFERROR(INDEX(Raw_orders!G:G, MATCH(shipments[[#This Row],[order_id]],Raw_orders!A:A, 0)), "Unknown")</f>
        <v>Nordics</v>
      </c>
      <c r="J1922" t="str">
        <f>PROPER(shipments[[#This Row],[delivery_status]])</f>
        <v>Delivered</v>
      </c>
      <c r="K1922" t="s">
        <v>6929</v>
      </c>
    </row>
    <row r="1923" spans="1:11">
      <c r="A1923" t="s">
        <v>8859</v>
      </c>
      <c r="B1923" t="s">
        <v>2716</v>
      </c>
      <c r="C1923" t="s">
        <v>6956</v>
      </c>
      <c r="D1923" s="1">
        <v>45471</v>
      </c>
      <c r="E1923" s="1">
        <v>45473</v>
      </c>
      <c r="F1923" s="1">
        <v>45474</v>
      </c>
      <c r="G1923">
        <v>6.86</v>
      </c>
      <c r="H19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23" t="str">
        <f>IFERROR(INDEX(Raw_orders!G:G, MATCH(shipments[[#This Row],[order_id]],Raw_orders!A:A, 0)), "Unknown")</f>
        <v>Central Europe</v>
      </c>
      <c r="J1923" t="str">
        <f>PROPER(shipments[[#This Row],[delivery_status]])</f>
        <v>Delivered</v>
      </c>
      <c r="K1923" t="s">
        <v>6922</v>
      </c>
    </row>
    <row r="1924" spans="1:11">
      <c r="A1924" t="s">
        <v>8860</v>
      </c>
      <c r="B1924" t="s">
        <v>2716</v>
      </c>
      <c r="C1924" t="s">
        <v>6940</v>
      </c>
      <c r="D1924" s="1">
        <v>45471</v>
      </c>
      <c r="E1924" s="1">
        <v>45473</v>
      </c>
      <c r="F1924" s="1">
        <v>45481</v>
      </c>
      <c r="G1924">
        <v>59.02</v>
      </c>
      <c r="H19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24" t="str">
        <f>IFERROR(INDEX(Raw_orders!G:G, MATCH(shipments[[#This Row],[order_id]],Raw_orders!A:A, 0)), "Unknown")</f>
        <v>Central Europe</v>
      </c>
      <c r="J1924" t="str">
        <f>PROPER(shipments[[#This Row],[delivery_status]])</f>
        <v>Delivered</v>
      </c>
      <c r="K1924" t="s">
        <v>6926</v>
      </c>
    </row>
    <row r="1925" spans="1:11">
      <c r="A1925" t="s">
        <v>8861</v>
      </c>
      <c r="B1925" t="s">
        <v>2717</v>
      </c>
      <c r="C1925" t="s">
        <v>6935</v>
      </c>
      <c r="D1925" s="1">
        <v>45345</v>
      </c>
      <c r="E1925" s="1">
        <v>45348</v>
      </c>
      <c r="F1925" s="1">
        <v>45347</v>
      </c>
      <c r="G1925">
        <v>27.13</v>
      </c>
      <c r="H19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925" t="str">
        <f>IFERROR(INDEX(Raw_orders!G:G, MATCH(shipments[[#This Row],[order_id]],Raw_orders!A:A, 0)), "Unknown")</f>
        <v>Baltics</v>
      </c>
      <c r="J1925" t="str">
        <f>PROPER(shipments[[#This Row],[delivery_status]])</f>
        <v>Delivered</v>
      </c>
      <c r="K1925" t="s">
        <v>6922</v>
      </c>
    </row>
    <row r="1926" spans="1:11">
      <c r="A1926" t="s">
        <v>8862</v>
      </c>
      <c r="B1926" t="s">
        <v>2718</v>
      </c>
      <c r="C1926" t="s">
        <v>6931</v>
      </c>
      <c r="D1926" s="1">
        <v>45592</v>
      </c>
      <c r="E1926" s="1">
        <v>45602</v>
      </c>
      <c r="F1926" s="1">
        <v>45612</v>
      </c>
      <c r="G1926">
        <v>32.020000000000003</v>
      </c>
      <c r="H19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26" t="str">
        <f>IFERROR(INDEX(Raw_orders!G:G, MATCH(shipments[[#This Row],[order_id]],Raw_orders!A:A, 0)), "Unknown")</f>
        <v>Baltics</v>
      </c>
      <c r="J1926" t="str">
        <f>PROPER(shipments[[#This Row],[delivery_status]])</f>
        <v>Delivered</v>
      </c>
      <c r="K1926" t="s">
        <v>6926</v>
      </c>
    </row>
    <row r="1927" spans="1:11">
      <c r="A1927" t="s">
        <v>8863</v>
      </c>
      <c r="B1927" t="s">
        <v>2719</v>
      </c>
      <c r="C1927" t="s">
        <v>6956</v>
      </c>
      <c r="D1927" s="1">
        <v>45001</v>
      </c>
      <c r="E1927" s="1">
        <v>45011</v>
      </c>
      <c r="F1927" s="1">
        <v>45016</v>
      </c>
      <c r="G1927">
        <v>8.26</v>
      </c>
      <c r="H19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27" t="str">
        <f>IFERROR(INDEX(Raw_orders!G:G, MATCH(shipments[[#This Row],[order_id]],Raw_orders!A:A, 0)), "Unknown")</f>
        <v>Central Europe</v>
      </c>
      <c r="J1927" t="str">
        <f>PROPER(shipments[[#This Row],[delivery_status]])</f>
        <v>Delivered</v>
      </c>
      <c r="K1927" t="s">
        <v>6926</v>
      </c>
    </row>
    <row r="1928" spans="1:11">
      <c r="A1928" t="s">
        <v>8864</v>
      </c>
      <c r="B1928" t="s">
        <v>2719</v>
      </c>
      <c r="C1928" t="s">
        <v>6940</v>
      </c>
      <c r="D1928" s="1">
        <v>45002</v>
      </c>
      <c r="E1928" s="1">
        <v>45012</v>
      </c>
      <c r="F1928" s="1">
        <v>45014</v>
      </c>
      <c r="G1928">
        <v>59.05</v>
      </c>
      <c r="H19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28" t="str">
        <f>IFERROR(INDEX(Raw_orders!G:G, MATCH(shipments[[#This Row],[order_id]],Raw_orders!A:A, 0)), "Unknown")</f>
        <v>Central Europe</v>
      </c>
      <c r="J1928" t="str">
        <f>PROPER(shipments[[#This Row],[delivery_status]])</f>
        <v>Delivered</v>
      </c>
      <c r="K1928" t="s">
        <v>6926</v>
      </c>
    </row>
    <row r="1929" spans="1:11">
      <c r="A1929" t="s">
        <v>8865</v>
      </c>
      <c r="B1929" t="s">
        <v>2720</v>
      </c>
      <c r="C1929" t="s">
        <v>6928</v>
      </c>
      <c r="D1929" s="1">
        <v>45167</v>
      </c>
      <c r="E1929" s="1">
        <v>45172</v>
      </c>
      <c r="F1929" s="1">
        <v>45174</v>
      </c>
      <c r="G1929">
        <v>38.880000000000003</v>
      </c>
      <c r="H19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29" t="str">
        <f>IFERROR(INDEX(Raw_orders!G:G, MATCH(shipments[[#This Row],[order_id]],Raw_orders!A:A, 0)), "Unknown")</f>
        <v>Nordics</v>
      </c>
      <c r="J1929" t="str">
        <f>PROPER(shipments[[#This Row],[delivery_status]])</f>
        <v>Delivered</v>
      </c>
      <c r="K1929" t="s">
        <v>6926</v>
      </c>
    </row>
    <row r="1930" spans="1:11">
      <c r="A1930" t="s">
        <v>8866</v>
      </c>
      <c r="B1930" t="s">
        <v>2721</v>
      </c>
      <c r="C1930" t="s">
        <v>6931</v>
      </c>
      <c r="D1930" s="1">
        <v>44985</v>
      </c>
      <c r="E1930" s="1">
        <v>44988</v>
      </c>
      <c r="F1930" s="1">
        <v>44993</v>
      </c>
      <c r="G1930">
        <v>18.68</v>
      </c>
      <c r="H19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30" t="str">
        <f>IFERROR(INDEX(Raw_orders!G:G, MATCH(shipments[[#This Row],[order_id]],Raw_orders!A:A, 0)), "Unknown")</f>
        <v>Nordics</v>
      </c>
      <c r="J1930" t="str">
        <f>PROPER(shipments[[#This Row],[delivery_status]])</f>
        <v>Delivered</v>
      </c>
      <c r="K1930" t="s">
        <v>6926</v>
      </c>
    </row>
    <row r="1931" spans="1:11">
      <c r="A1931" t="s">
        <v>8867</v>
      </c>
      <c r="B1931" t="s">
        <v>2722</v>
      </c>
      <c r="C1931" t="s">
        <v>6935</v>
      </c>
      <c r="D1931" s="1">
        <v>45509</v>
      </c>
      <c r="E1931" s="1">
        <v>45512</v>
      </c>
      <c r="F1931" s="1">
        <v>45511</v>
      </c>
      <c r="G1931">
        <v>4.79</v>
      </c>
      <c r="H19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931" t="str">
        <f>IFERROR(INDEX(Raw_orders!G:G, MATCH(shipments[[#This Row],[order_id]],Raw_orders!A:A, 0)), "Unknown")</f>
        <v>Central Europe</v>
      </c>
      <c r="J1931" t="str">
        <f>PROPER(shipments[[#This Row],[delivery_status]])</f>
        <v>Delivered</v>
      </c>
      <c r="K1931" t="s">
        <v>6926</v>
      </c>
    </row>
    <row r="1932" spans="1:11">
      <c r="A1932" t="s">
        <v>8868</v>
      </c>
      <c r="B1932" t="s">
        <v>2723</v>
      </c>
      <c r="C1932" t="s">
        <v>6956</v>
      </c>
      <c r="D1932" s="1">
        <v>45111</v>
      </c>
      <c r="E1932" s="1">
        <v>45114</v>
      </c>
      <c r="F1932" s="1">
        <v>45117</v>
      </c>
      <c r="G1932">
        <v>43.92</v>
      </c>
      <c r="H19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32" t="str">
        <f>IFERROR(INDEX(Raw_orders!G:G, MATCH(shipments[[#This Row],[order_id]],Raw_orders!A:A, 0)), "Unknown")</f>
        <v>Baltics</v>
      </c>
      <c r="J1932" t="str">
        <f>PROPER(shipments[[#This Row],[delivery_status]])</f>
        <v>Delivered</v>
      </c>
      <c r="K1932" t="s">
        <v>6929</v>
      </c>
    </row>
    <row r="1933" spans="1:11">
      <c r="A1933" t="s">
        <v>8869</v>
      </c>
      <c r="B1933" t="s">
        <v>2724</v>
      </c>
      <c r="C1933" t="s">
        <v>6925</v>
      </c>
      <c r="D1933" s="1">
        <v>45169</v>
      </c>
      <c r="E1933" s="1">
        <v>45174</v>
      </c>
      <c r="F1933" s="1">
        <v>45174</v>
      </c>
      <c r="G1933">
        <v>15.45</v>
      </c>
      <c r="H19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933" t="str">
        <f>IFERROR(INDEX(Raw_orders!G:G, MATCH(shipments[[#This Row],[order_id]],Raw_orders!A:A, 0)), "Unknown")</f>
        <v>Central Europe</v>
      </c>
      <c r="J1933" t="str">
        <f>PROPER(shipments[[#This Row],[delivery_status]])</f>
        <v>Delivered</v>
      </c>
      <c r="K1933" t="s">
        <v>6922</v>
      </c>
    </row>
    <row r="1934" spans="1:11">
      <c r="A1934" t="s">
        <v>8870</v>
      </c>
      <c r="B1934" t="s">
        <v>2725</v>
      </c>
      <c r="C1934" t="s">
        <v>6928</v>
      </c>
      <c r="D1934" s="1">
        <v>45091</v>
      </c>
      <c r="E1934" s="1">
        <v>45101</v>
      </c>
      <c r="F1934" s="1">
        <v>45104</v>
      </c>
      <c r="G1934">
        <v>49.04</v>
      </c>
      <c r="H19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34" t="str">
        <f>IFERROR(INDEX(Raw_orders!G:G, MATCH(shipments[[#This Row],[order_id]],Raw_orders!A:A, 0)), "Unknown")</f>
        <v>Baltics</v>
      </c>
      <c r="J1934" t="str">
        <f>PROPER(shipments[[#This Row],[delivery_status]])</f>
        <v>Delivered</v>
      </c>
      <c r="K1934" t="s">
        <v>6922</v>
      </c>
    </row>
    <row r="1935" spans="1:11">
      <c r="A1935" t="s">
        <v>8871</v>
      </c>
      <c r="B1935" t="s">
        <v>2725</v>
      </c>
      <c r="C1935" t="s">
        <v>6928</v>
      </c>
      <c r="D1935" s="1">
        <v>45091</v>
      </c>
      <c r="E1935" s="1">
        <v>45093</v>
      </c>
      <c r="F1935" s="1"/>
      <c r="G1935">
        <v>19.78</v>
      </c>
      <c r="H19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935" t="str">
        <f>IFERROR(INDEX(Raw_orders!G:G, MATCH(shipments[[#This Row],[order_id]],Raw_orders!A:A, 0)), "Unknown")</f>
        <v>Baltics</v>
      </c>
      <c r="J1935" t="str">
        <f>PROPER(shipments[[#This Row],[delivery_status]])</f>
        <v>In Transit</v>
      </c>
      <c r="K1935" t="s">
        <v>6958</v>
      </c>
    </row>
    <row r="1936" spans="1:11">
      <c r="A1936" t="s">
        <v>8872</v>
      </c>
      <c r="B1936" t="s">
        <v>2726</v>
      </c>
      <c r="C1936" t="s">
        <v>6921</v>
      </c>
      <c r="D1936" s="1">
        <v>45269</v>
      </c>
      <c r="E1936" s="1">
        <v>45272</v>
      </c>
      <c r="F1936" s="1">
        <v>45271</v>
      </c>
      <c r="G1936">
        <v>13.7</v>
      </c>
      <c r="H19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936" t="str">
        <f>IFERROR(INDEX(Raw_orders!G:G, MATCH(shipments[[#This Row],[order_id]],Raw_orders!A:A, 0)), "Unknown")</f>
        <v>Central Europe</v>
      </c>
      <c r="J1936" t="str">
        <f>PROPER(shipments[[#This Row],[delivery_status]])</f>
        <v>Delivered</v>
      </c>
      <c r="K1936" t="s">
        <v>6926</v>
      </c>
    </row>
    <row r="1937" spans="1:11">
      <c r="A1937" t="s">
        <v>8873</v>
      </c>
      <c r="B1937" t="s">
        <v>2727</v>
      </c>
      <c r="C1937" t="s">
        <v>6938</v>
      </c>
      <c r="D1937" s="1">
        <v>45175</v>
      </c>
      <c r="E1937" s="1">
        <v>45177</v>
      </c>
      <c r="F1937" s="1">
        <v>45177</v>
      </c>
      <c r="G1937">
        <v>60.83</v>
      </c>
      <c r="H19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937" t="str">
        <f>IFERROR(INDEX(Raw_orders!G:G, MATCH(shipments[[#This Row],[order_id]],Raw_orders!A:A, 0)), "Unknown")</f>
        <v>Unknown</v>
      </c>
      <c r="J1937" t="str">
        <f>PROPER(shipments[[#This Row],[delivery_status]])</f>
        <v>Delivered</v>
      </c>
      <c r="K1937" t="s">
        <v>6926</v>
      </c>
    </row>
    <row r="1938" spans="1:11">
      <c r="A1938" t="s">
        <v>8874</v>
      </c>
      <c r="B1938" t="s">
        <v>2728</v>
      </c>
      <c r="C1938" t="s">
        <v>6928</v>
      </c>
      <c r="D1938" s="1">
        <v>45173</v>
      </c>
      <c r="E1938" s="1">
        <v>45175</v>
      </c>
      <c r="F1938" s="1">
        <v>45180</v>
      </c>
      <c r="G1938">
        <v>41.38</v>
      </c>
      <c r="H19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38" t="str">
        <f>IFERROR(INDEX(Raw_orders!G:G, MATCH(shipments[[#This Row],[order_id]],Raw_orders!A:A, 0)), "Unknown")</f>
        <v>Nordics</v>
      </c>
      <c r="J1938" t="str">
        <f>PROPER(shipments[[#This Row],[delivery_status]])</f>
        <v>Delivered</v>
      </c>
      <c r="K1938" t="s">
        <v>6922</v>
      </c>
    </row>
    <row r="1939" spans="1:11">
      <c r="A1939" t="s">
        <v>8875</v>
      </c>
      <c r="B1939" t="s">
        <v>2729</v>
      </c>
      <c r="C1939" t="s">
        <v>6935</v>
      </c>
      <c r="D1939" s="1">
        <v>45055</v>
      </c>
      <c r="E1939" s="1">
        <v>45065</v>
      </c>
      <c r="F1939" s="1">
        <v>45070</v>
      </c>
      <c r="G1939">
        <v>36.11</v>
      </c>
      <c r="H19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39" t="str">
        <f>IFERROR(INDEX(Raw_orders!G:G, MATCH(shipments[[#This Row],[order_id]],Raw_orders!A:A, 0)), "Unknown")</f>
        <v>Central Europe</v>
      </c>
      <c r="J1939" t="str">
        <f>PROPER(shipments[[#This Row],[delivery_status]])</f>
        <v>Delivered</v>
      </c>
      <c r="K1939" t="s">
        <v>6926</v>
      </c>
    </row>
    <row r="1940" spans="1:11">
      <c r="A1940" t="s">
        <v>8876</v>
      </c>
      <c r="B1940" t="s">
        <v>2730</v>
      </c>
      <c r="C1940" t="s">
        <v>6925</v>
      </c>
      <c r="D1940" s="1">
        <v>45353</v>
      </c>
      <c r="E1940" s="1">
        <v>45355</v>
      </c>
      <c r="F1940" s="1">
        <v>45355</v>
      </c>
      <c r="G1940">
        <v>55.86</v>
      </c>
      <c r="H19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940" t="str">
        <f>IFERROR(INDEX(Raw_orders!G:G, MATCH(shipments[[#This Row],[order_id]],Raw_orders!A:A, 0)), "Unknown")</f>
        <v>Central Europe</v>
      </c>
      <c r="J1940" t="str">
        <f>PROPER(shipments[[#This Row],[delivery_status]])</f>
        <v>Delivered</v>
      </c>
      <c r="K1940" t="s">
        <v>6926</v>
      </c>
    </row>
    <row r="1941" spans="1:11">
      <c r="A1941" t="s">
        <v>8877</v>
      </c>
      <c r="B1941" t="s">
        <v>2730</v>
      </c>
      <c r="C1941" t="s">
        <v>6956</v>
      </c>
      <c r="D1941" s="1">
        <v>45353</v>
      </c>
      <c r="E1941" s="1">
        <v>45356</v>
      </c>
      <c r="F1941" s="1">
        <v>45356</v>
      </c>
      <c r="G1941">
        <v>12.96</v>
      </c>
      <c r="H19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941" t="str">
        <f>IFERROR(INDEX(Raw_orders!G:G, MATCH(shipments[[#This Row],[order_id]],Raw_orders!A:A, 0)), "Unknown")</f>
        <v>Central Europe</v>
      </c>
      <c r="J1941" t="str">
        <f>PROPER(shipments[[#This Row],[delivery_status]])</f>
        <v>Delivered</v>
      </c>
      <c r="K1941" t="s">
        <v>6926</v>
      </c>
    </row>
    <row r="1942" spans="1:11">
      <c r="A1942" t="s">
        <v>8878</v>
      </c>
      <c r="B1942" t="s">
        <v>2731</v>
      </c>
      <c r="C1942" t="s">
        <v>6921</v>
      </c>
      <c r="D1942" s="1">
        <v>44990</v>
      </c>
      <c r="E1942" s="1">
        <v>45000</v>
      </c>
      <c r="F1942" s="1"/>
      <c r="G1942">
        <v>6.83</v>
      </c>
      <c r="H19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942" t="str">
        <f>IFERROR(INDEX(Raw_orders!G:G, MATCH(shipments[[#This Row],[order_id]],Raw_orders!A:A, 0)), "Unknown")</f>
        <v>Nordics</v>
      </c>
      <c r="J1942" t="str">
        <f>PROPER(shipments[[#This Row],[delivery_status]])</f>
        <v>In Transit</v>
      </c>
      <c r="K1942" t="s">
        <v>6946</v>
      </c>
    </row>
    <row r="1943" spans="1:11">
      <c r="A1943" t="s">
        <v>8879</v>
      </c>
      <c r="B1943" t="s">
        <v>2732</v>
      </c>
      <c r="C1943" t="s">
        <v>6928</v>
      </c>
      <c r="D1943" s="1">
        <v>45382</v>
      </c>
      <c r="E1943" s="1">
        <v>45387</v>
      </c>
      <c r="F1943" s="1">
        <v>45388</v>
      </c>
      <c r="G1943">
        <v>39.19</v>
      </c>
      <c r="H19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43" t="str">
        <f>IFERROR(INDEX(Raw_orders!G:G, MATCH(shipments[[#This Row],[order_id]],Raw_orders!A:A, 0)), "Unknown")</f>
        <v>Central Europe</v>
      </c>
      <c r="J1943" t="str">
        <f>PROPER(shipments[[#This Row],[delivery_status]])</f>
        <v>Delivered</v>
      </c>
      <c r="K1943" t="s">
        <v>6922</v>
      </c>
    </row>
    <row r="1944" spans="1:11">
      <c r="A1944" t="s">
        <v>8880</v>
      </c>
      <c r="B1944" t="s">
        <v>2733</v>
      </c>
      <c r="C1944" t="s">
        <v>6940</v>
      </c>
      <c r="D1944" s="1">
        <v>45023</v>
      </c>
      <c r="E1944" s="1">
        <v>45033</v>
      </c>
      <c r="F1944" s="1">
        <v>45033</v>
      </c>
      <c r="G1944">
        <v>21.89</v>
      </c>
      <c r="H19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944" t="str">
        <f>IFERROR(INDEX(Raw_orders!G:G, MATCH(shipments[[#This Row],[order_id]],Raw_orders!A:A, 0)), "Unknown")</f>
        <v>Nordics</v>
      </c>
      <c r="J1944" t="str">
        <f>PROPER(shipments[[#This Row],[delivery_status]])</f>
        <v>Delivered</v>
      </c>
      <c r="K1944" t="s">
        <v>6929</v>
      </c>
    </row>
    <row r="1945" spans="1:11">
      <c r="A1945" t="s">
        <v>8881</v>
      </c>
      <c r="B1945" t="s">
        <v>2733</v>
      </c>
      <c r="C1945" t="s">
        <v>6931</v>
      </c>
      <c r="D1945" s="1">
        <v>45025</v>
      </c>
      <c r="E1945" s="1">
        <v>45032</v>
      </c>
      <c r="F1945" s="1">
        <v>45031</v>
      </c>
      <c r="G1945">
        <v>58.55</v>
      </c>
      <c r="H19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945" t="str">
        <f>IFERROR(INDEX(Raw_orders!G:G, MATCH(shipments[[#This Row],[order_id]],Raw_orders!A:A, 0)), "Unknown")</f>
        <v>Nordics</v>
      </c>
      <c r="J1945" t="str">
        <f>PROPER(shipments[[#This Row],[delivery_status]])</f>
        <v>Delivered</v>
      </c>
      <c r="K1945" t="s">
        <v>6926</v>
      </c>
    </row>
    <row r="1946" spans="1:11">
      <c r="A1946" t="s">
        <v>8882</v>
      </c>
      <c r="B1946" t="s">
        <v>2734</v>
      </c>
      <c r="C1946" t="s">
        <v>6931</v>
      </c>
      <c r="D1946" s="1">
        <v>45560</v>
      </c>
      <c r="E1946" s="1">
        <v>45567</v>
      </c>
      <c r="F1946" s="1">
        <v>45569</v>
      </c>
      <c r="G1946">
        <v>26.22</v>
      </c>
      <c r="H19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46" t="str">
        <f>IFERROR(INDEX(Raw_orders!G:G, MATCH(shipments[[#This Row],[order_id]],Raw_orders!A:A, 0)), "Unknown")</f>
        <v>Nordics</v>
      </c>
      <c r="J1946" t="str">
        <f>PROPER(shipments[[#This Row],[delivery_status]])</f>
        <v>Delivered</v>
      </c>
      <c r="K1946" t="s">
        <v>6922</v>
      </c>
    </row>
    <row r="1947" spans="1:11">
      <c r="A1947" t="s">
        <v>8883</v>
      </c>
      <c r="B1947" t="s">
        <v>2735</v>
      </c>
      <c r="C1947" t="s">
        <v>6931</v>
      </c>
      <c r="D1947" s="1">
        <v>45453</v>
      </c>
      <c r="E1947" s="1">
        <v>45460</v>
      </c>
      <c r="F1947" s="1">
        <v>45460</v>
      </c>
      <c r="G1947">
        <v>34.08</v>
      </c>
      <c r="H19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947" t="str">
        <f>IFERROR(INDEX(Raw_orders!G:G, MATCH(shipments[[#This Row],[order_id]],Raw_orders!A:A, 0)), "Unknown")</f>
        <v>Nordics</v>
      </c>
      <c r="J1947" t="str">
        <f>PROPER(shipments[[#This Row],[delivery_status]])</f>
        <v>Delivered</v>
      </c>
      <c r="K1947" t="s">
        <v>6926</v>
      </c>
    </row>
    <row r="1948" spans="1:11">
      <c r="A1948" t="s">
        <v>8884</v>
      </c>
      <c r="B1948" t="s">
        <v>2736</v>
      </c>
      <c r="C1948" t="s">
        <v>6938</v>
      </c>
      <c r="D1948" s="1">
        <v>44939</v>
      </c>
      <c r="E1948" s="1">
        <v>44949</v>
      </c>
      <c r="F1948" s="1">
        <v>44963</v>
      </c>
      <c r="G1948">
        <v>57.68</v>
      </c>
      <c r="H19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48" t="str">
        <f>IFERROR(INDEX(Raw_orders!G:G, MATCH(shipments[[#This Row],[order_id]],Raw_orders!A:A, 0)), "Unknown")</f>
        <v>Central Europe</v>
      </c>
      <c r="J1948" t="str">
        <f>PROPER(shipments[[#This Row],[delivery_status]])</f>
        <v>Delivered</v>
      </c>
      <c r="K1948" t="s">
        <v>6926</v>
      </c>
    </row>
    <row r="1949" spans="1:11">
      <c r="A1949" t="s">
        <v>8885</v>
      </c>
      <c r="B1949" t="s">
        <v>2737</v>
      </c>
      <c r="C1949" t="s">
        <v>6956</v>
      </c>
      <c r="D1949" s="1">
        <v>45071</v>
      </c>
      <c r="E1949" s="1">
        <v>45078</v>
      </c>
      <c r="F1949" s="1">
        <v>45086</v>
      </c>
      <c r="G1949">
        <v>26.68</v>
      </c>
      <c r="H19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49" t="str">
        <f>IFERROR(INDEX(Raw_orders!G:G, MATCH(shipments[[#This Row],[order_id]],Raw_orders!A:A, 0)), "Unknown")</f>
        <v>Baltics</v>
      </c>
      <c r="J1949" t="str">
        <f>PROPER(shipments[[#This Row],[delivery_status]])</f>
        <v>Delivered</v>
      </c>
      <c r="K1949" t="s">
        <v>6926</v>
      </c>
    </row>
    <row r="1950" spans="1:11">
      <c r="A1950" t="s">
        <v>8886</v>
      </c>
      <c r="B1950" t="s">
        <v>2738</v>
      </c>
      <c r="C1950" t="s">
        <v>6928</v>
      </c>
      <c r="D1950" s="1">
        <v>45340</v>
      </c>
      <c r="E1950" s="1">
        <v>45347</v>
      </c>
      <c r="F1950" s="1"/>
      <c r="G1950">
        <v>7.03</v>
      </c>
      <c r="H19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950" t="str">
        <f>IFERROR(INDEX(Raw_orders!G:G, MATCH(shipments[[#This Row],[order_id]],Raw_orders!A:A, 0)), "Unknown")</f>
        <v>Nordics</v>
      </c>
      <c r="J1950" t="str">
        <f>PROPER(shipments[[#This Row],[delivery_status]])</f>
        <v>In Transit</v>
      </c>
      <c r="K1950" t="s">
        <v>6958</v>
      </c>
    </row>
    <row r="1951" spans="1:11">
      <c r="A1951" t="s">
        <v>8887</v>
      </c>
      <c r="B1951" t="s">
        <v>2739</v>
      </c>
      <c r="C1951" t="s">
        <v>6925</v>
      </c>
      <c r="D1951" s="1">
        <v>45543</v>
      </c>
      <c r="E1951" s="1">
        <v>45548</v>
      </c>
      <c r="F1951" s="1"/>
      <c r="G1951">
        <v>16.25</v>
      </c>
      <c r="H19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951" t="str">
        <f>IFERROR(INDEX(Raw_orders!G:G, MATCH(shipments[[#This Row],[order_id]],Raw_orders!A:A, 0)), "Unknown")</f>
        <v>Nordics</v>
      </c>
      <c r="J1951" t="str">
        <f>PROPER(shipments[[#This Row],[delivery_status]])</f>
        <v>In Transit</v>
      </c>
      <c r="K1951" t="s">
        <v>6977</v>
      </c>
    </row>
    <row r="1952" spans="1:11">
      <c r="A1952" t="s">
        <v>8888</v>
      </c>
      <c r="B1952" t="s">
        <v>2740</v>
      </c>
      <c r="C1952" t="s">
        <v>6938</v>
      </c>
      <c r="D1952" s="1">
        <v>45473</v>
      </c>
      <c r="E1952" s="1">
        <v>45483</v>
      </c>
      <c r="F1952" s="1">
        <v>45486</v>
      </c>
      <c r="G1952">
        <v>34.630000000000003</v>
      </c>
      <c r="H19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52" t="str">
        <f>IFERROR(INDEX(Raw_orders!G:G, MATCH(shipments[[#This Row],[order_id]],Raw_orders!A:A, 0)), "Unknown")</f>
        <v>Central Europe</v>
      </c>
      <c r="J1952" t="str">
        <f>PROPER(shipments[[#This Row],[delivery_status]])</f>
        <v>Delivered</v>
      </c>
      <c r="K1952" t="s">
        <v>6929</v>
      </c>
    </row>
    <row r="1953" spans="1:11">
      <c r="A1953" t="s">
        <v>8889</v>
      </c>
      <c r="B1953" t="s">
        <v>2741</v>
      </c>
      <c r="C1953" t="s">
        <v>6931</v>
      </c>
      <c r="D1953" s="1">
        <v>45054</v>
      </c>
      <c r="E1953" s="1">
        <v>45056</v>
      </c>
      <c r="F1953" s="1">
        <v>45060</v>
      </c>
      <c r="G1953">
        <v>45.52</v>
      </c>
      <c r="H19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53" t="str">
        <f>IFERROR(INDEX(Raw_orders!G:G, MATCH(shipments[[#This Row],[order_id]],Raw_orders!A:A, 0)), "Unknown")</f>
        <v>Baltics</v>
      </c>
      <c r="J1953" t="str">
        <f>PROPER(shipments[[#This Row],[delivery_status]])</f>
        <v>Delivered</v>
      </c>
      <c r="K1953" t="s">
        <v>6926</v>
      </c>
    </row>
    <row r="1954" spans="1:11">
      <c r="A1954" t="s">
        <v>8890</v>
      </c>
      <c r="B1954" t="s">
        <v>2742</v>
      </c>
      <c r="C1954" t="s">
        <v>6938</v>
      </c>
      <c r="D1954" s="1">
        <v>44949</v>
      </c>
      <c r="E1954" s="1">
        <v>44954</v>
      </c>
      <c r="F1954" s="1">
        <v>44959</v>
      </c>
      <c r="G1954">
        <v>6.11</v>
      </c>
      <c r="H19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54" t="str">
        <f>IFERROR(INDEX(Raw_orders!G:G, MATCH(shipments[[#This Row],[order_id]],Raw_orders!A:A, 0)), "Unknown")</f>
        <v>Nordics</v>
      </c>
      <c r="J1954" t="str">
        <f>PROPER(shipments[[#This Row],[delivery_status]])</f>
        <v>Delivered</v>
      </c>
      <c r="K1954" t="s">
        <v>6929</v>
      </c>
    </row>
    <row r="1955" spans="1:11">
      <c r="A1955" t="s">
        <v>8891</v>
      </c>
      <c r="B1955" t="s">
        <v>2743</v>
      </c>
      <c r="C1955" t="s">
        <v>6940</v>
      </c>
      <c r="D1955" s="1">
        <v>45205</v>
      </c>
      <c r="E1955" s="1">
        <v>45215</v>
      </c>
      <c r="F1955" s="1">
        <v>45214</v>
      </c>
      <c r="G1955">
        <v>48.73</v>
      </c>
      <c r="H19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955" t="str">
        <f>IFERROR(INDEX(Raw_orders!G:G, MATCH(shipments[[#This Row],[order_id]],Raw_orders!A:A, 0)), "Unknown")</f>
        <v>Nordics</v>
      </c>
      <c r="J1955" t="str">
        <f>PROPER(shipments[[#This Row],[delivery_status]])</f>
        <v>Delivered</v>
      </c>
      <c r="K1955" t="s">
        <v>6929</v>
      </c>
    </row>
    <row r="1956" spans="1:11">
      <c r="A1956" t="s">
        <v>8892</v>
      </c>
      <c r="B1956" t="s">
        <v>2744</v>
      </c>
      <c r="C1956" t="s">
        <v>6921</v>
      </c>
      <c r="D1956" s="1">
        <v>45260</v>
      </c>
      <c r="E1956" s="1">
        <v>45262</v>
      </c>
      <c r="F1956" s="1"/>
      <c r="G1956">
        <v>41.43</v>
      </c>
      <c r="H19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956" t="str">
        <f>IFERROR(INDEX(Raw_orders!G:G, MATCH(shipments[[#This Row],[order_id]],Raw_orders!A:A, 0)), "Unknown")</f>
        <v>Nordics</v>
      </c>
      <c r="J1956" t="str">
        <f>PROPER(shipments[[#This Row],[delivery_status]])</f>
        <v>Cancelled</v>
      </c>
      <c r="K1956" t="s">
        <v>6972</v>
      </c>
    </row>
    <row r="1957" spans="1:11">
      <c r="A1957" t="s">
        <v>8893</v>
      </c>
      <c r="B1957" t="s">
        <v>2745</v>
      </c>
      <c r="C1957" t="s">
        <v>6928</v>
      </c>
      <c r="D1957" s="1">
        <v>45489</v>
      </c>
      <c r="E1957" s="1">
        <v>45492</v>
      </c>
      <c r="F1957" s="1">
        <v>45492</v>
      </c>
      <c r="G1957">
        <v>41.67</v>
      </c>
      <c r="H19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957" t="str">
        <f>IFERROR(INDEX(Raw_orders!G:G, MATCH(shipments[[#This Row],[order_id]],Raw_orders!A:A, 0)), "Unknown")</f>
        <v>Central Europe</v>
      </c>
      <c r="J1957" t="str">
        <f>PROPER(shipments[[#This Row],[delivery_status]])</f>
        <v>Delivered</v>
      </c>
      <c r="K1957" t="s">
        <v>6929</v>
      </c>
    </row>
    <row r="1958" spans="1:11">
      <c r="A1958" t="s">
        <v>8894</v>
      </c>
      <c r="B1958" t="s">
        <v>2746</v>
      </c>
      <c r="C1958" t="s">
        <v>6935</v>
      </c>
      <c r="D1958" s="1">
        <v>45050</v>
      </c>
      <c r="E1958" s="1">
        <v>45055</v>
      </c>
      <c r="F1958" s="1">
        <v>45058</v>
      </c>
      <c r="G1958">
        <v>38.799999999999997</v>
      </c>
      <c r="H19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58" t="str">
        <f>IFERROR(INDEX(Raw_orders!G:G, MATCH(shipments[[#This Row],[order_id]],Raw_orders!A:A, 0)), "Unknown")</f>
        <v>Baltics</v>
      </c>
      <c r="J1958" t="str">
        <f>PROPER(shipments[[#This Row],[delivery_status]])</f>
        <v>Delivered</v>
      </c>
      <c r="K1958" t="s">
        <v>6926</v>
      </c>
    </row>
    <row r="1959" spans="1:11">
      <c r="A1959" t="s">
        <v>8895</v>
      </c>
      <c r="B1959" t="s">
        <v>2747</v>
      </c>
      <c r="C1959" t="s">
        <v>6935</v>
      </c>
      <c r="D1959" s="1">
        <v>45001</v>
      </c>
      <c r="E1959" s="1">
        <v>45011</v>
      </c>
      <c r="F1959" s="1">
        <v>45014</v>
      </c>
      <c r="G1959">
        <v>9.92</v>
      </c>
      <c r="H19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59" t="str">
        <f>IFERROR(INDEX(Raw_orders!G:G, MATCH(shipments[[#This Row],[order_id]],Raw_orders!A:A, 0)), "Unknown")</f>
        <v>Central Europe</v>
      </c>
      <c r="J1959" t="str">
        <f>PROPER(shipments[[#This Row],[delivery_status]])</f>
        <v>Delivered</v>
      </c>
      <c r="K1959" t="s">
        <v>6929</v>
      </c>
    </row>
    <row r="1960" spans="1:11">
      <c r="A1960" t="s">
        <v>8896</v>
      </c>
      <c r="B1960" t="s">
        <v>2748</v>
      </c>
      <c r="C1960" t="s">
        <v>6938</v>
      </c>
      <c r="D1960" s="1">
        <v>45219</v>
      </c>
      <c r="E1960" s="1">
        <v>45224</v>
      </c>
      <c r="F1960" s="1">
        <v>45223</v>
      </c>
      <c r="G1960">
        <v>33.61</v>
      </c>
      <c r="H19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960" t="str">
        <f>IFERROR(INDEX(Raw_orders!G:G, MATCH(shipments[[#This Row],[order_id]],Raw_orders!A:A, 0)), "Unknown")</f>
        <v>Baltics</v>
      </c>
      <c r="J1960" t="str">
        <f>PROPER(shipments[[#This Row],[delivery_status]])</f>
        <v>Delivered</v>
      </c>
      <c r="K1960" t="s">
        <v>6926</v>
      </c>
    </row>
    <row r="1961" spans="1:11">
      <c r="A1961" t="s">
        <v>8897</v>
      </c>
      <c r="B1961" t="s">
        <v>2749</v>
      </c>
      <c r="C1961" t="s">
        <v>6925</v>
      </c>
      <c r="D1961" s="1">
        <v>45115</v>
      </c>
      <c r="E1961" s="1">
        <v>45122</v>
      </c>
      <c r="F1961" s="1">
        <v>45130</v>
      </c>
      <c r="G1961">
        <v>64.77</v>
      </c>
      <c r="H19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61" t="str">
        <f>IFERROR(INDEX(Raw_orders!G:G, MATCH(shipments[[#This Row],[order_id]],Raw_orders!A:A, 0)), "Unknown")</f>
        <v>Central Europe</v>
      </c>
      <c r="J1961" t="str">
        <f>PROPER(shipments[[#This Row],[delivery_status]])</f>
        <v>Delivered</v>
      </c>
      <c r="K1961" t="s">
        <v>6922</v>
      </c>
    </row>
    <row r="1962" spans="1:11">
      <c r="A1962" t="s">
        <v>8898</v>
      </c>
      <c r="B1962" t="s">
        <v>2750</v>
      </c>
      <c r="C1962" t="s">
        <v>6940</v>
      </c>
      <c r="D1962" s="1">
        <v>45359</v>
      </c>
      <c r="E1962" s="1">
        <v>45369</v>
      </c>
      <c r="F1962" s="1">
        <v>45369</v>
      </c>
      <c r="G1962">
        <v>10.23</v>
      </c>
      <c r="H19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962" t="str">
        <f>IFERROR(INDEX(Raw_orders!G:G, MATCH(shipments[[#This Row],[order_id]],Raw_orders!A:A, 0)), "Unknown")</f>
        <v>Baltics</v>
      </c>
      <c r="J1962" t="str">
        <f>PROPER(shipments[[#This Row],[delivery_status]])</f>
        <v>Delivered</v>
      </c>
      <c r="K1962" t="s">
        <v>6926</v>
      </c>
    </row>
    <row r="1963" spans="1:11">
      <c r="A1963" t="s">
        <v>8899</v>
      </c>
      <c r="B1963" t="s">
        <v>2751</v>
      </c>
      <c r="C1963" t="s">
        <v>6956</v>
      </c>
      <c r="D1963" s="1">
        <v>45518</v>
      </c>
      <c r="E1963" s="1">
        <v>45525</v>
      </c>
      <c r="F1963" s="1">
        <v>45528</v>
      </c>
      <c r="G1963">
        <v>52.69</v>
      </c>
      <c r="H19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63" t="str">
        <f>IFERROR(INDEX(Raw_orders!G:G, MATCH(shipments[[#This Row],[order_id]],Raw_orders!A:A, 0)), "Unknown")</f>
        <v>Baltics</v>
      </c>
      <c r="J1963" t="str">
        <f>PROPER(shipments[[#This Row],[delivery_status]])</f>
        <v>Delivered</v>
      </c>
      <c r="K1963" t="s">
        <v>6922</v>
      </c>
    </row>
    <row r="1964" spans="1:11">
      <c r="A1964" t="s">
        <v>8900</v>
      </c>
      <c r="B1964" t="s">
        <v>2752</v>
      </c>
      <c r="C1964" t="s">
        <v>6925</v>
      </c>
      <c r="D1964" s="1">
        <v>45046</v>
      </c>
      <c r="E1964" s="1">
        <v>45049</v>
      </c>
      <c r="F1964" s="1">
        <v>45049</v>
      </c>
      <c r="G1964">
        <v>48.84</v>
      </c>
      <c r="H19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964" t="str">
        <f>IFERROR(INDEX(Raw_orders!G:G, MATCH(shipments[[#This Row],[order_id]],Raw_orders!A:A, 0)), "Unknown")</f>
        <v>Baltics</v>
      </c>
      <c r="J1964" t="str">
        <f>PROPER(shipments[[#This Row],[delivery_status]])</f>
        <v>Delivered</v>
      </c>
      <c r="K1964" t="s">
        <v>6922</v>
      </c>
    </row>
    <row r="1965" spans="1:11">
      <c r="A1965" t="s">
        <v>8901</v>
      </c>
      <c r="B1965" t="s">
        <v>2753</v>
      </c>
      <c r="C1965" t="s">
        <v>6928</v>
      </c>
      <c r="D1965" s="1">
        <v>45561</v>
      </c>
      <c r="E1965" s="1">
        <v>45571</v>
      </c>
      <c r="F1965" s="1">
        <v>45571</v>
      </c>
      <c r="G1965">
        <v>27.06</v>
      </c>
      <c r="H19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965" t="str">
        <f>IFERROR(INDEX(Raw_orders!G:G, MATCH(shipments[[#This Row],[order_id]],Raw_orders!A:A, 0)), "Unknown")</f>
        <v>Central Europe</v>
      </c>
      <c r="J1965" t="str">
        <f>PROPER(shipments[[#This Row],[delivery_status]])</f>
        <v>Delivered</v>
      </c>
      <c r="K1965" t="s">
        <v>6929</v>
      </c>
    </row>
    <row r="1966" spans="1:11">
      <c r="A1966" t="s">
        <v>8902</v>
      </c>
      <c r="B1966" t="s">
        <v>2753</v>
      </c>
      <c r="C1966" t="s">
        <v>6925</v>
      </c>
      <c r="D1966" s="1">
        <v>45561</v>
      </c>
      <c r="E1966" s="1">
        <v>45563</v>
      </c>
      <c r="F1966" s="1">
        <v>45564</v>
      </c>
      <c r="G1966">
        <v>33.020000000000003</v>
      </c>
      <c r="H19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66" t="str">
        <f>IFERROR(INDEX(Raw_orders!G:G, MATCH(shipments[[#This Row],[order_id]],Raw_orders!A:A, 0)), "Unknown")</f>
        <v>Central Europe</v>
      </c>
      <c r="J1966" t="str">
        <f>PROPER(shipments[[#This Row],[delivery_status]])</f>
        <v>Delivered</v>
      </c>
      <c r="K1966" t="s">
        <v>6929</v>
      </c>
    </row>
    <row r="1967" spans="1:11">
      <c r="A1967" t="s">
        <v>8903</v>
      </c>
      <c r="B1967" t="s">
        <v>2754</v>
      </c>
      <c r="C1967" t="s">
        <v>6956</v>
      </c>
      <c r="D1967" s="1">
        <v>45489</v>
      </c>
      <c r="E1967" s="1">
        <v>45496</v>
      </c>
      <c r="F1967" s="1">
        <v>45504</v>
      </c>
      <c r="G1967">
        <v>60.4</v>
      </c>
      <c r="H19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67" t="str">
        <f>IFERROR(INDEX(Raw_orders!G:G, MATCH(shipments[[#This Row],[order_id]],Raw_orders!A:A, 0)), "Unknown")</f>
        <v>Central Europe</v>
      </c>
      <c r="J1967" t="str">
        <f>PROPER(shipments[[#This Row],[delivery_status]])</f>
        <v>Delivered</v>
      </c>
      <c r="K1967" t="s">
        <v>6926</v>
      </c>
    </row>
    <row r="1968" spans="1:11">
      <c r="A1968" t="s">
        <v>8904</v>
      </c>
      <c r="B1968" t="s">
        <v>2755</v>
      </c>
      <c r="C1968" t="s">
        <v>6938</v>
      </c>
      <c r="D1968" s="1">
        <v>45326</v>
      </c>
      <c r="E1968" s="1">
        <v>45333</v>
      </c>
      <c r="F1968" s="1">
        <v>45341</v>
      </c>
      <c r="G1968">
        <v>15.17</v>
      </c>
      <c r="H19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68" t="str">
        <f>IFERROR(INDEX(Raw_orders!G:G, MATCH(shipments[[#This Row],[order_id]],Raw_orders!A:A, 0)), "Unknown")</f>
        <v>Central Europe</v>
      </c>
      <c r="J1968" t="str">
        <f>PROPER(shipments[[#This Row],[delivery_status]])</f>
        <v>Delivered</v>
      </c>
      <c r="K1968" t="s">
        <v>6926</v>
      </c>
    </row>
    <row r="1969" spans="1:11">
      <c r="A1969" t="s">
        <v>8905</v>
      </c>
      <c r="B1969" t="s">
        <v>2756</v>
      </c>
      <c r="C1969" t="s">
        <v>6949</v>
      </c>
      <c r="D1969" s="1">
        <v>45109</v>
      </c>
      <c r="E1969" s="1">
        <v>45114</v>
      </c>
      <c r="F1969" s="1">
        <v>45114</v>
      </c>
      <c r="G1969">
        <v>28.65</v>
      </c>
      <c r="H19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969" t="str">
        <f>IFERROR(INDEX(Raw_orders!G:G, MATCH(shipments[[#This Row],[order_id]],Raw_orders!A:A, 0)), "Unknown")</f>
        <v>Unknown</v>
      </c>
      <c r="J1969" t="str">
        <f>PROPER(shipments[[#This Row],[delivery_status]])</f>
        <v>Delivered</v>
      </c>
      <c r="K1969" t="s">
        <v>6929</v>
      </c>
    </row>
    <row r="1970" spans="1:11">
      <c r="A1970" t="s">
        <v>8906</v>
      </c>
      <c r="B1970" t="s">
        <v>2757</v>
      </c>
      <c r="C1970" t="s">
        <v>6940</v>
      </c>
      <c r="D1970" s="1">
        <v>45476</v>
      </c>
      <c r="E1970" s="1">
        <v>45481</v>
      </c>
      <c r="F1970" s="1">
        <v>45485</v>
      </c>
      <c r="G1970">
        <v>28.27</v>
      </c>
      <c r="H19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70" t="str">
        <f>IFERROR(INDEX(Raw_orders!G:G, MATCH(shipments[[#This Row],[order_id]],Raw_orders!A:A, 0)), "Unknown")</f>
        <v>Central Europe</v>
      </c>
      <c r="J1970" t="str">
        <f>PROPER(shipments[[#This Row],[delivery_status]])</f>
        <v>Delivered</v>
      </c>
      <c r="K1970" t="s">
        <v>6926</v>
      </c>
    </row>
    <row r="1971" spans="1:11">
      <c r="A1971" t="s">
        <v>8907</v>
      </c>
      <c r="B1971" t="s">
        <v>2758</v>
      </c>
      <c r="C1971" t="s">
        <v>6956</v>
      </c>
      <c r="D1971" s="1">
        <v>45208</v>
      </c>
      <c r="E1971" s="1">
        <v>45210</v>
      </c>
      <c r="F1971" s="1">
        <v>45216</v>
      </c>
      <c r="G1971">
        <v>52.8</v>
      </c>
      <c r="H19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71" t="str">
        <f>IFERROR(INDEX(Raw_orders!G:G, MATCH(shipments[[#This Row],[order_id]],Raw_orders!A:A, 0)), "Unknown")</f>
        <v>Central Europe</v>
      </c>
      <c r="J1971" t="str">
        <f>PROPER(shipments[[#This Row],[delivery_status]])</f>
        <v>Delivered</v>
      </c>
      <c r="K1971" t="s">
        <v>6926</v>
      </c>
    </row>
    <row r="1972" spans="1:11">
      <c r="A1972" t="s">
        <v>8908</v>
      </c>
      <c r="B1972" t="s">
        <v>2758</v>
      </c>
      <c r="C1972" t="s">
        <v>6956</v>
      </c>
      <c r="D1972" s="1">
        <v>45208</v>
      </c>
      <c r="E1972" s="1">
        <v>45218</v>
      </c>
      <c r="F1972" s="1">
        <v>45225</v>
      </c>
      <c r="G1972">
        <v>48.1</v>
      </c>
      <c r="H19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72" t="str">
        <f>IFERROR(INDEX(Raw_orders!G:G, MATCH(shipments[[#This Row],[order_id]],Raw_orders!A:A, 0)), "Unknown")</f>
        <v>Central Europe</v>
      </c>
      <c r="J1972" t="str">
        <f>PROPER(shipments[[#This Row],[delivery_status]])</f>
        <v>Delivered</v>
      </c>
      <c r="K1972" t="s">
        <v>6926</v>
      </c>
    </row>
    <row r="1973" spans="1:11">
      <c r="A1973" t="s">
        <v>8909</v>
      </c>
      <c r="B1973" t="s">
        <v>2759</v>
      </c>
      <c r="C1973" t="s">
        <v>6925</v>
      </c>
      <c r="D1973" s="1">
        <v>45062</v>
      </c>
      <c r="E1973" s="1">
        <v>45065</v>
      </c>
      <c r="F1973" s="1">
        <v>45066</v>
      </c>
      <c r="G1973">
        <v>29.82</v>
      </c>
      <c r="H19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73" t="str">
        <f>IFERROR(INDEX(Raw_orders!G:G, MATCH(shipments[[#This Row],[order_id]],Raw_orders!A:A, 0)), "Unknown")</f>
        <v>Nordics</v>
      </c>
      <c r="J1973" t="str">
        <f>PROPER(shipments[[#This Row],[delivery_status]])</f>
        <v>Delivered</v>
      </c>
      <c r="K1973" t="s">
        <v>6929</v>
      </c>
    </row>
    <row r="1974" spans="1:11">
      <c r="A1974" t="s">
        <v>8910</v>
      </c>
      <c r="B1974" t="s">
        <v>2760</v>
      </c>
      <c r="C1974" t="s">
        <v>6928</v>
      </c>
      <c r="D1974" s="1">
        <v>45185</v>
      </c>
      <c r="E1974" s="1">
        <v>45192</v>
      </c>
      <c r="F1974" s="1">
        <v>45197</v>
      </c>
      <c r="H19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74" t="str">
        <f>IFERROR(INDEX(Raw_orders!G:G, MATCH(shipments[[#This Row],[order_id]],Raw_orders!A:A, 0)), "Unknown")</f>
        <v>Central Europe</v>
      </c>
      <c r="J1974" t="str">
        <f>PROPER(shipments[[#This Row],[delivery_status]])</f>
        <v>Delivered</v>
      </c>
      <c r="K1974" t="s">
        <v>6926</v>
      </c>
    </row>
    <row r="1975" spans="1:11">
      <c r="A1975" t="s">
        <v>8911</v>
      </c>
      <c r="B1975" t="s">
        <v>2761</v>
      </c>
      <c r="C1975" t="s">
        <v>6940</v>
      </c>
      <c r="D1975" s="1">
        <v>45496</v>
      </c>
      <c r="E1975" s="1">
        <v>45503</v>
      </c>
      <c r="F1975" s="1">
        <v>45504</v>
      </c>
      <c r="G1975">
        <v>7.09</v>
      </c>
      <c r="H19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75" t="str">
        <f>IFERROR(INDEX(Raw_orders!G:G, MATCH(shipments[[#This Row],[order_id]],Raw_orders!A:A, 0)), "Unknown")</f>
        <v>Baltics</v>
      </c>
      <c r="J1975" t="str">
        <f>PROPER(shipments[[#This Row],[delivery_status]])</f>
        <v>Delivered</v>
      </c>
      <c r="K1975" t="s">
        <v>6922</v>
      </c>
    </row>
    <row r="1976" spans="1:11">
      <c r="A1976" t="s">
        <v>8912</v>
      </c>
      <c r="B1976" t="s">
        <v>2762</v>
      </c>
      <c r="C1976" t="s">
        <v>6921</v>
      </c>
      <c r="D1976" s="1">
        <v>45149</v>
      </c>
      <c r="E1976" s="1">
        <v>45152</v>
      </c>
      <c r="F1976" s="1">
        <v>45155</v>
      </c>
      <c r="G1976">
        <v>9</v>
      </c>
      <c r="H19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76" t="str">
        <f>IFERROR(INDEX(Raw_orders!G:G, MATCH(shipments[[#This Row],[order_id]],Raw_orders!A:A, 0)), "Unknown")</f>
        <v>Central Europe</v>
      </c>
      <c r="J1976" t="str">
        <f>PROPER(shipments[[#This Row],[delivery_status]])</f>
        <v>Delivered</v>
      </c>
      <c r="K1976" t="s">
        <v>6926</v>
      </c>
    </row>
    <row r="1977" spans="1:11">
      <c r="A1977" t="s">
        <v>8913</v>
      </c>
      <c r="B1977" t="s">
        <v>2762</v>
      </c>
      <c r="C1977" t="s">
        <v>6938</v>
      </c>
      <c r="D1977" s="1">
        <v>45149</v>
      </c>
      <c r="E1977" s="1">
        <v>45156</v>
      </c>
      <c r="F1977" s="1">
        <v>45164</v>
      </c>
      <c r="G1977">
        <v>54.4</v>
      </c>
      <c r="H19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77" t="str">
        <f>IFERROR(INDEX(Raw_orders!G:G, MATCH(shipments[[#This Row],[order_id]],Raw_orders!A:A, 0)), "Unknown")</f>
        <v>Central Europe</v>
      </c>
      <c r="J1977" t="str">
        <f>PROPER(shipments[[#This Row],[delivery_status]])</f>
        <v>Delivered</v>
      </c>
      <c r="K1977" t="s">
        <v>6929</v>
      </c>
    </row>
    <row r="1978" spans="1:11">
      <c r="A1978" t="s">
        <v>8914</v>
      </c>
      <c r="B1978" t="s">
        <v>2763</v>
      </c>
      <c r="C1978" t="s">
        <v>6928</v>
      </c>
      <c r="D1978" s="1">
        <v>45383</v>
      </c>
      <c r="E1978" s="1">
        <v>45386</v>
      </c>
      <c r="F1978" s="1">
        <v>45385</v>
      </c>
      <c r="G1978">
        <v>21.32</v>
      </c>
      <c r="H19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978" t="str">
        <f>IFERROR(INDEX(Raw_orders!G:G, MATCH(shipments[[#This Row],[order_id]],Raw_orders!A:A, 0)), "Unknown")</f>
        <v>Nordics</v>
      </c>
      <c r="J1978" t="str">
        <f>PROPER(shipments[[#This Row],[delivery_status]])</f>
        <v>Delivered</v>
      </c>
      <c r="K1978" t="s">
        <v>6929</v>
      </c>
    </row>
    <row r="1979" spans="1:11">
      <c r="A1979" t="s">
        <v>8915</v>
      </c>
      <c r="B1979" t="s">
        <v>2764</v>
      </c>
      <c r="C1979" t="s">
        <v>6931</v>
      </c>
      <c r="D1979" s="1">
        <v>45392</v>
      </c>
      <c r="E1979" s="1">
        <v>45397</v>
      </c>
      <c r="F1979" s="1">
        <v>45400</v>
      </c>
      <c r="G1979">
        <v>35.42</v>
      </c>
      <c r="H19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79" t="str">
        <f>IFERROR(INDEX(Raw_orders!G:G, MATCH(shipments[[#This Row],[order_id]],Raw_orders!A:A, 0)), "Unknown")</f>
        <v>Baltics</v>
      </c>
      <c r="J1979" t="str">
        <f>PROPER(shipments[[#This Row],[delivery_status]])</f>
        <v>Delivered</v>
      </c>
      <c r="K1979" t="s">
        <v>6929</v>
      </c>
    </row>
    <row r="1980" spans="1:11">
      <c r="A1980" t="s">
        <v>8916</v>
      </c>
      <c r="B1980" t="s">
        <v>2765</v>
      </c>
      <c r="C1980" t="s">
        <v>6938</v>
      </c>
      <c r="D1980" s="1">
        <v>45238</v>
      </c>
      <c r="E1980" s="1">
        <v>45240</v>
      </c>
      <c r="F1980" s="1">
        <v>45240</v>
      </c>
      <c r="G1980">
        <v>41.88</v>
      </c>
      <c r="H19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980" t="str">
        <f>IFERROR(INDEX(Raw_orders!G:G, MATCH(shipments[[#This Row],[order_id]],Raw_orders!A:A, 0)), "Unknown")</f>
        <v>Nordics</v>
      </c>
      <c r="J1980" t="str">
        <f>PROPER(shipments[[#This Row],[delivery_status]])</f>
        <v>Delivered</v>
      </c>
      <c r="K1980" t="s">
        <v>6922</v>
      </c>
    </row>
    <row r="1981" spans="1:11">
      <c r="A1981" t="s">
        <v>8917</v>
      </c>
      <c r="B1981" t="s">
        <v>2765</v>
      </c>
      <c r="C1981" t="s">
        <v>6925</v>
      </c>
      <c r="D1981" s="1">
        <v>45238</v>
      </c>
      <c r="E1981" s="1">
        <v>45243</v>
      </c>
      <c r="F1981" s="1">
        <v>45243</v>
      </c>
      <c r="H19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981" t="str">
        <f>IFERROR(INDEX(Raw_orders!G:G, MATCH(shipments[[#This Row],[order_id]],Raw_orders!A:A, 0)), "Unknown")</f>
        <v>Nordics</v>
      </c>
      <c r="J1981" t="str">
        <f>PROPER(shipments[[#This Row],[delivery_status]])</f>
        <v>Delivered</v>
      </c>
      <c r="K1981" t="s">
        <v>6929</v>
      </c>
    </row>
    <row r="1982" spans="1:11">
      <c r="A1982" t="s">
        <v>8918</v>
      </c>
      <c r="B1982" t="s">
        <v>2766</v>
      </c>
      <c r="C1982" t="s">
        <v>6935</v>
      </c>
      <c r="D1982" s="1">
        <v>45504</v>
      </c>
      <c r="E1982" s="1">
        <v>45507</v>
      </c>
      <c r="F1982" s="1">
        <v>45515</v>
      </c>
      <c r="G1982">
        <v>46.21</v>
      </c>
      <c r="H19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82" t="str">
        <f>IFERROR(INDEX(Raw_orders!G:G, MATCH(shipments[[#This Row],[order_id]],Raw_orders!A:A, 0)), "Unknown")</f>
        <v>Baltics</v>
      </c>
      <c r="J1982" t="str">
        <f>PROPER(shipments[[#This Row],[delivery_status]])</f>
        <v>Delivered</v>
      </c>
      <c r="K1982" t="s">
        <v>6922</v>
      </c>
    </row>
    <row r="1983" spans="1:11">
      <c r="A1983" t="s">
        <v>8919</v>
      </c>
      <c r="B1983" t="s">
        <v>2767</v>
      </c>
      <c r="C1983" t="s">
        <v>6956</v>
      </c>
      <c r="D1983" s="1">
        <v>45074</v>
      </c>
      <c r="E1983" s="1">
        <v>45076</v>
      </c>
      <c r="F1983" s="1">
        <v>45077</v>
      </c>
      <c r="G1983">
        <v>17.73</v>
      </c>
      <c r="H19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83" t="str">
        <f>IFERROR(INDEX(Raw_orders!G:G, MATCH(shipments[[#This Row],[order_id]],Raw_orders!A:A, 0)), "Unknown")</f>
        <v>Nordics</v>
      </c>
      <c r="J1983" t="str">
        <f>PROPER(shipments[[#This Row],[delivery_status]])</f>
        <v>Delivered</v>
      </c>
      <c r="K1983" t="s">
        <v>6926</v>
      </c>
    </row>
    <row r="1984" spans="1:11">
      <c r="A1984" t="s">
        <v>8920</v>
      </c>
      <c r="B1984" t="s">
        <v>2768</v>
      </c>
      <c r="C1984" t="s">
        <v>6928</v>
      </c>
      <c r="D1984" s="1">
        <v>45505</v>
      </c>
      <c r="E1984" s="1">
        <v>45508</v>
      </c>
      <c r="F1984" s="1">
        <v>45512</v>
      </c>
      <c r="G1984">
        <v>32.369999999999997</v>
      </c>
      <c r="H19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84" t="str">
        <f>IFERROR(INDEX(Raw_orders!G:G, MATCH(shipments[[#This Row],[order_id]],Raw_orders!A:A, 0)), "Unknown")</f>
        <v>Central Europe</v>
      </c>
      <c r="J1984" t="str">
        <f>PROPER(shipments[[#This Row],[delivery_status]])</f>
        <v>Delivered</v>
      </c>
      <c r="K1984" t="s">
        <v>6929</v>
      </c>
    </row>
    <row r="1985" spans="1:11">
      <c r="A1985" t="s">
        <v>8921</v>
      </c>
      <c r="B1985" t="s">
        <v>2769</v>
      </c>
      <c r="C1985" t="s">
        <v>6938</v>
      </c>
      <c r="D1985" s="1">
        <v>45039</v>
      </c>
      <c r="E1985" s="1">
        <v>45042</v>
      </c>
      <c r="F1985" s="1">
        <v>45042</v>
      </c>
      <c r="G1985">
        <v>57.75</v>
      </c>
      <c r="H19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985" t="str">
        <f>IFERROR(INDEX(Raw_orders!G:G, MATCH(shipments[[#This Row],[order_id]],Raw_orders!A:A, 0)), "Unknown")</f>
        <v>Central Europe</v>
      </c>
      <c r="J1985" t="str">
        <f>PROPER(shipments[[#This Row],[delivery_status]])</f>
        <v>Delivered</v>
      </c>
      <c r="K1985" t="s">
        <v>6926</v>
      </c>
    </row>
    <row r="1986" spans="1:11">
      <c r="A1986" t="s">
        <v>8922</v>
      </c>
      <c r="B1986" t="s">
        <v>2770</v>
      </c>
      <c r="C1986" t="s">
        <v>6935</v>
      </c>
      <c r="D1986" s="1">
        <v>45577</v>
      </c>
      <c r="E1986" s="1">
        <v>45587</v>
      </c>
      <c r="F1986" s="1">
        <v>45587</v>
      </c>
      <c r="G1986">
        <v>18.670000000000002</v>
      </c>
      <c r="H19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986" t="str">
        <f>IFERROR(INDEX(Raw_orders!G:G, MATCH(shipments[[#This Row],[order_id]],Raw_orders!A:A, 0)), "Unknown")</f>
        <v>Central Europe</v>
      </c>
      <c r="J1986" t="str">
        <f>PROPER(shipments[[#This Row],[delivery_status]])</f>
        <v>Delivered</v>
      </c>
      <c r="K1986" t="s">
        <v>6926</v>
      </c>
    </row>
    <row r="1987" spans="1:11">
      <c r="A1987" t="s">
        <v>8923</v>
      </c>
      <c r="B1987" t="s">
        <v>2771</v>
      </c>
      <c r="C1987" t="s">
        <v>6921</v>
      </c>
      <c r="D1987" s="1">
        <v>45227</v>
      </c>
      <c r="E1987" s="1">
        <v>45229</v>
      </c>
      <c r="F1987" s="1">
        <v>45229</v>
      </c>
      <c r="G1987">
        <v>6.32</v>
      </c>
      <c r="H19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987" t="str">
        <f>IFERROR(INDEX(Raw_orders!G:G, MATCH(shipments[[#This Row],[order_id]],Raw_orders!A:A, 0)), "Unknown")</f>
        <v>Central Europe</v>
      </c>
      <c r="J1987" t="str">
        <f>PROPER(shipments[[#This Row],[delivery_status]])</f>
        <v>Delivered</v>
      </c>
      <c r="K1987" t="s">
        <v>6922</v>
      </c>
    </row>
    <row r="1988" spans="1:11">
      <c r="A1988" t="s">
        <v>8924</v>
      </c>
      <c r="B1988" t="s">
        <v>2772</v>
      </c>
      <c r="C1988" t="s">
        <v>6940</v>
      </c>
      <c r="D1988" s="1">
        <v>45179</v>
      </c>
      <c r="E1988" s="1">
        <v>45181</v>
      </c>
      <c r="F1988" s="1">
        <v>45186</v>
      </c>
      <c r="G1988">
        <v>26.56</v>
      </c>
      <c r="H19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88" t="str">
        <f>IFERROR(INDEX(Raw_orders!G:G, MATCH(shipments[[#This Row],[order_id]],Raw_orders!A:A, 0)), "Unknown")</f>
        <v>Nordics</v>
      </c>
      <c r="J1988" t="str">
        <f>PROPER(shipments[[#This Row],[delivery_status]])</f>
        <v>Delivered</v>
      </c>
      <c r="K1988" t="s">
        <v>6929</v>
      </c>
    </row>
    <row r="1989" spans="1:11">
      <c r="A1989" t="s">
        <v>8925</v>
      </c>
      <c r="B1989" t="s">
        <v>2773</v>
      </c>
      <c r="C1989" t="s">
        <v>6935</v>
      </c>
      <c r="D1989" s="1">
        <v>45390</v>
      </c>
      <c r="E1989" s="1">
        <v>45397</v>
      </c>
      <c r="F1989" s="1"/>
      <c r="G1989">
        <v>35.79</v>
      </c>
      <c r="H19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1989" t="str">
        <f>IFERROR(INDEX(Raw_orders!G:G, MATCH(shipments[[#This Row],[order_id]],Raw_orders!A:A, 0)), "Unknown")</f>
        <v>Central Europe</v>
      </c>
      <c r="J1989" t="str">
        <f>PROPER(shipments[[#This Row],[delivery_status]])</f>
        <v>Cancelled</v>
      </c>
      <c r="K1989" t="s">
        <v>6979</v>
      </c>
    </row>
    <row r="1990" spans="1:11">
      <c r="A1990" t="s">
        <v>8926</v>
      </c>
      <c r="B1990" t="s">
        <v>2774</v>
      </c>
      <c r="C1990" t="s">
        <v>6956</v>
      </c>
      <c r="D1990" s="1">
        <v>45212</v>
      </c>
      <c r="E1990" s="1">
        <v>45222</v>
      </c>
      <c r="F1990" s="1"/>
      <c r="G1990">
        <v>24.07</v>
      </c>
      <c r="H19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990" t="str">
        <f>IFERROR(INDEX(Raw_orders!G:G, MATCH(shipments[[#This Row],[order_id]],Raw_orders!A:A, 0)), "Unknown")</f>
        <v>Nordics</v>
      </c>
      <c r="J1990" t="str">
        <f>PROPER(shipments[[#This Row],[delivery_status]])</f>
        <v>In Transit</v>
      </c>
      <c r="K1990" t="s">
        <v>6977</v>
      </c>
    </row>
    <row r="1991" spans="1:11">
      <c r="A1991" t="s">
        <v>8927</v>
      </c>
      <c r="B1991" t="s">
        <v>2775</v>
      </c>
      <c r="C1991" t="s">
        <v>6928</v>
      </c>
      <c r="D1991" s="1">
        <v>45213</v>
      </c>
      <c r="E1991" s="1">
        <v>45215</v>
      </c>
      <c r="F1991" s="1">
        <v>45221</v>
      </c>
      <c r="G1991">
        <v>38.85</v>
      </c>
      <c r="H19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91" t="str">
        <f>IFERROR(INDEX(Raw_orders!G:G, MATCH(shipments[[#This Row],[order_id]],Raw_orders!A:A, 0)), "Unknown")</f>
        <v>Central Europe</v>
      </c>
      <c r="J1991" t="str">
        <f>PROPER(shipments[[#This Row],[delivery_status]])</f>
        <v>Delivered</v>
      </c>
      <c r="K1991" t="s">
        <v>6922</v>
      </c>
    </row>
    <row r="1992" spans="1:11">
      <c r="A1992" t="s">
        <v>8928</v>
      </c>
      <c r="B1992" t="s">
        <v>2776</v>
      </c>
      <c r="C1992" t="s">
        <v>6940</v>
      </c>
      <c r="D1992" s="1">
        <v>45143</v>
      </c>
      <c r="E1992" s="1">
        <v>45153</v>
      </c>
      <c r="F1992" s="1">
        <v>45156</v>
      </c>
      <c r="G1992">
        <v>34</v>
      </c>
      <c r="H19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92" t="str">
        <f>IFERROR(INDEX(Raw_orders!G:G, MATCH(shipments[[#This Row],[order_id]],Raw_orders!A:A, 0)), "Unknown")</f>
        <v>Central Europe</v>
      </c>
      <c r="J1992" t="str">
        <f>PROPER(shipments[[#This Row],[delivery_status]])</f>
        <v>Delivered</v>
      </c>
      <c r="K1992" t="s">
        <v>6926</v>
      </c>
    </row>
    <row r="1993" spans="1:11">
      <c r="A1993" t="s">
        <v>8929</v>
      </c>
      <c r="B1993" t="s">
        <v>2777</v>
      </c>
      <c r="C1993" t="s">
        <v>6940</v>
      </c>
      <c r="D1993" s="1">
        <v>45072</v>
      </c>
      <c r="E1993" s="1">
        <v>45075</v>
      </c>
      <c r="F1993" s="1">
        <v>45077</v>
      </c>
      <c r="G1993">
        <v>12.28</v>
      </c>
      <c r="H19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93" t="str">
        <f>IFERROR(INDEX(Raw_orders!G:G, MATCH(shipments[[#This Row],[order_id]],Raw_orders!A:A, 0)), "Unknown")</f>
        <v>Baltics</v>
      </c>
      <c r="J1993" t="str">
        <f>PROPER(shipments[[#This Row],[delivery_status]])</f>
        <v>Delivered</v>
      </c>
      <c r="K1993" t="s">
        <v>6922</v>
      </c>
    </row>
    <row r="1994" spans="1:11">
      <c r="A1994" t="s">
        <v>8930</v>
      </c>
      <c r="B1994" t="s">
        <v>2778</v>
      </c>
      <c r="C1994" t="s">
        <v>6931</v>
      </c>
      <c r="D1994" s="1">
        <v>45621</v>
      </c>
      <c r="E1994" s="1">
        <v>45624</v>
      </c>
      <c r="F1994" s="1">
        <v>45629</v>
      </c>
      <c r="G1994">
        <v>19.8</v>
      </c>
      <c r="H19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94" t="str">
        <f>IFERROR(INDEX(Raw_orders!G:G, MATCH(shipments[[#This Row],[order_id]],Raw_orders!A:A, 0)), "Unknown")</f>
        <v>Central Europe</v>
      </c>
      <c r="J1994" t="str">
        <f>PROPER(shipments[[#This Row],[delivery_status]])</f>
        <v>Delivered</v>
      </c>
      <c r="K1994" t="s">
        <v>6922</v>
      </c>
    </row>
    <row r="1995" spans="1:11">
      <c r="A1995" t="s">
        <v>8931</v>
      </c>
      <c r="B1995" t="s">
        <v>2778</v>
      </c>
      <c r="C1995" t="s">
        <v>6956</v>
      </c>
      <c r="D1995" s="1">
        <v>45618</v>
      </c>
      <c r="E1995" s="1">
        <v>45620</v>
      </c>
      <c r="F1995" s="1">
        <v>45621</v>
      </c>
      <c r="G1995">
        <v>29.71</v>
      </c>
      <c r="H19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95" t="str">
        <f>IFERROR(INDEX(Raw_orders!G:G, MATCH(shipments[[#This Row],[order_id]],Raw_orders!A:A, 0)), "Unknown")</f>
        <v>Central Europe</v>
      </c>
      <c r="J1995" t="str">
        <f>PROPER(shipments[[#This Row],[delivery_status]])</f>
        <v>Delivered</v>
      </c>
      <c r="K1995" t="s">
        <v>6929</v>
      </c>
    </row>
    <row r="1996" spans="1:11">
      <c r="A1996" t="s">
        <v>8932</v>
      </c>
      <c r="B1996" t="s">
        <v>2779</v>
      </c>
      <c r="C1996" t="s">
        <v>6931</v>
      </c>
      <c r="D1996" s="1">
        <v>45380</v>
      </c>
      <c r="E1996" s="1">
        <v>45387</v>
      </c>
      <c r="F1996" s="1"/>
      <c r="G1996">
        <v>49.8</v>
      </c>
      <c r="H19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1996" t="str">
        <f>IFERROR(INDEX(Raw_orders!G:G, MATCH(shipments[[#This Row],[order_id]],Raw_orders!A:A, 0)), "Unknown")</f>
        <v>Central Europe</v>
      </c>
      <c r="J1996" t="str">
        <f>PROPER(shipments[[#This Row],[delivery_status]])</f>
        <v>In Transit</v>
      </c>
      <c r="K1996" t="s">
        <v>6958</v>
      </c>
    </row>
    <row r="1997" spans="1:11">
      <c r="A1997" t="s">
        <v>8933</v>
      </c>
      <c r="B1997" t="s">
        <v>2780</v>
      </c>
      <c r="C1997" t="s">
        <v>6935</v>
      </c>
      <c r="D1997" s="1">
        <v>45419</v>
      </c>
      <c r="E1997" s="1">
        <v>45421</v>
      </c>
      <c r="F1997" s="1">
        <v>45420</v>
      </c>
      <c r="G1997">
        <v>53.35</v>
      </c>
      <c r="H19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997" t="str">
        <f>IFERROR(INDEX(Raw_orders!G:G, MATCH(shipments[[#This Row],[order_id]],Raw_orders!A:A, 0)), "Unknown")</f>
        <v>Nordics</v>
      </c>
      <c r="J1997" t="str">
        <f>PROPER(shipments[[#This Row],[delivery_status]])</f>
        <v>Delivered</v>
      </c>
      <c r="K1997" t="s">
        <v>6929</v>
      </c>
    </row>
    <row r="1998" spans="1:11">
      <c r="A1998" t="s">
        <v>8934</v>
      </c>
      <c r="B1998" t="s">
        <v>2781</v>
      </c>
      <c r="C1998" t="s">
        <v>6956</v>
      </c>
      <c r="D1998" s="1">
        <v>45039</v>
      </c>
      <c r="E1998" s="1">
        <v>45049</v>
      </c>
      <c r="F1998" s="1">
        <v>45048</v>
      </c>
      <c r="G1998">
        <v>7.14</v>
      </c>
      <c r="H19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1998" t="str">
        <f>IFERROR(INDEX(Raw_orders!G:G, MATCH(shipments[[#This Row],[order_id]],Raw_orders!A:A, 0)), "Unknown")</f>
        <v>Central Europe</v>
      </c>
      <c r="J1998" t="str">
        <f>PROPER(shipments[[#This Row],[delivery_status]])</f>
        <v>Delivered</v>
      </c>
      <c r="K1998" t="s">
        <v>6922</v>
      </c>
    </row>
    <row r="1999" spans="1:11">
      <c r="A1999" t="s">
        <v>8935</v>
      </c>
      <c r="B1999" t="s">
        <v>2782</v>
      </c>
      <c r="C1999" t="s">
        <v>6931</v>
      </c>
      <c r="D1999" s="1">
        <v>45121</v>
      </c>
      <c r="E1999" s="1">
        <v>45128</v>
      </c>
      <c r="F1999" s="1">
        <v>45133</v>
      </c>
      <c r="G1999">
        <v>40.96</v>
      </c>
      <c r="H19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1999" t="str">
        <f>IFERROR(INDEX(Raw_orders!G:G, MATCH(shipments[[#This Row],[order_id]],Raw_orders!A:A, 0)), "Unknown")</f>
        <v>Nordics</v>
      </c>
      <c r="J1999" t="str">
        <f>PROPER(shipments[[#This Row],[delivery_status]])</f>
        <v>Delivered</v>
      </c>
      <c r="K1999" t="s">
        <v>6929</v>
      </c>
    </row>
    <row r="2000" spans="1:11">
      <c r="A2000" t="s">
        <v>8936</v>
      </c>
      <c r="B2000" t="s">
        <v>2783</v>
      </c>
      <c r="C2000" t="s">
        <v>6956</v>
      </c>
      <c r="D2000" s="1">
        <v>45131</v>
      </c>
      <c r="E2000" s="1">
        <v>45141</v>
      </c>
      <c r="F2000" s="1">
        <v>45143</v>
      </c>
      <c r="G2000">
        <v>53.71</v>
      </c>
      <c r="H20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00" t="str">
        <f>IFERROR(INDEX(Raw_orders!G:G, MATCH(shipments[[#This Row],[order_id]],Raw_orders!A:A, 0)), "Unknown")</f>
        <v>Nordics</v>
      </c>
      <c r="J2000" t="str">
        <f>PROPER(shipments[[#This Row],[delivery_status]])</f>
        <v>Delivered</v>
      </c>
      <c r="K2000" t="s">
        <v>6929</v>
      </c>
    </row>
    <row r="2001" spans="1:11">
      <c r="A2001" t="s">
        <v>8937</v>
      </c>
      <c r="B2001" t="s">
        <v>2784</v>
      </c>
      <c r="C2001" t="s">
        <v>6931</v>
      </c>
      <c r="D2001" s="1">
        <v>45527</v>
      </c>
      <c r="E2001" s="1">
        <v>45532</v>
      </c>
      <c r="F2001" s="1">
        <v>45535</v>
      </c>
      <c r="G2001">
        <v>44.7</v>
      </c>
      <c r="H20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01" t="str">
        <f>IFERROR(INDEX(Raw_orders!G:G, MATCH(shipments[[#This Row],[order_id]],Raw_orders!A:A, 0)), "Unknown")</f>
        <v>Nordics</v>
      </c>
      <c r="J2001" t="str">
        <f>PROPER(shipments[[#This Row],[delivery_status]])</f>
        <v>Delivered</v>
      </c>
      <c r="K2001" t="s">
        <v>6922</v>
      </c>
    </row>
    <row r="2002" spans="1:11">
      <c r="A2002" t="s">
        <v>8938</v>
      </c>
      <c r="B2002" t="s">
        <v>2785</v>
      </c>
      <c r="C2002" t="s">
        <v>6938</v>
      </c>
      <c r="D2002" s="1">
        <v>45065</v>
      </c>
      <c r="E2002" s="1">
        <v>45072</v>
      </c>
      <c r="F2002" s="1">
        <v>45075</v>
      </c>
      <c r="G2002">
        <v>33.19</v>
      </c>
      <c r="H20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02" t="str">
        <f>IFERROR(INDEX(Raw_orders!G:G, MATCH(shipments[[#This Row],[order_id]],Raw_orders!A:A, 0)), "Unknown")</f>
        <v>Baltics</v>
      </c>
      <c r="J2002" t="str">
        <f>PROPER(shipments[[#This Row],[delivery_status]])</f>
        <v>Delivered</v>
      </c>
      <c r="K2002" t="s">
        <v>6929</v>
      </c>
    </row>
    <row r="2003" spans="1:11">
      <c r="A2003" t="s">
        <v>8939</v>
      </c>
      <c r="B2003" t="s">
        <v>2786</v>
      </c>
      <c r="C2003" t="s">
        <v>6931</v>
      </c>
      <c r="D2003" s="1">
        <v>44999</v>
      </c>
      <c r="E2003" s="1">
        <v>45002</v>
      </c>
      <c r="F2003" s="1">
        <v>45007</v>
      </c>
      <c r="G2003">
        <v>23.33</v>
      </c>
      <c r="H20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03" t="str">
        <f>IFERROR(INDEX(Raw_orders!G:G, MATCH(shipments[[#This Row],[order_id]],Raw_orders!A:A, 0)), "Unknown")</f>
        <v>Nordics</v>
      </c>
      <c r="J2003" t="str">
        <f>PROPER(shipments[[#This Row],[delivery_status]])</f>
        <v>Delivered</v>
      </c>
      <c r="K2003" t="s">
        <v>6929</v>
      </c>
    </row>
    <row r="2004" spans="1:11">
      <c r="A2004" t="s">
        <v>8940</v>
      </c>
      <c r="B2004" t="s">
        <v>2787</v>
      </c>
      <c r="C2004" t="s">
        <v>6956</v>
      </c>
      <c r="D2004" s="1">
        <v>45272</v>
      </c>
      <c r="E2004" s="1">
        <v>45282</v>
      </c>
      <c r="F2004" s="1"/>
      <c r="G2004">
        <v>10.46</v>
      </c>
      <c r="H20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004" t="str">
        <f>IFERROR(INDEX(Raw_orders!G:G, MATCH(shipments[[#This Row],[order_id]],Raw_orders!A:A, 0)), "Unknown")</f>
        <v>Baltics</v>
      </c>
      <c r="J2004" t="str">
        <f>PROPER(shipments[[#This Row],[delivery_status]])</f>
        <v>In Transit</v>
      </c>
      <c r="K2004" t="s">
        <v>6977</v>
      </c>
    </row>
    <row r="2005" spans="1:11">
      <c r="A2005" t="s">
        <v>8941</v>
      </c>
      <c r="B2005" t="s">
        <v>2787</v>
      </c>
      <c r="C2005" t="s">
        <v>6935</v>
      </c>
      <c r="D2005" s="1">
        <v>45271</v>
      </c>
      <c r="E2005" s="1">
        <v>45274</v>
      </c>
      <c r="F2005" s="1">
        <v>45282</v>
      </c>
      <c r="G2005">
        <v>23.12</v>
      </c>
      <c r="H20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05" t="str">
        <f>IFERROR(INDEX(Raw_orders!G:G, MATCH(shipments[[#This Row],[order_id]],Raw_orders!A:A, 0)), "Unknown")</f>
        <v>Baltics</v>
      </c>
      <c r="J2005" t="str">
        <f>PROPER(shipments[[#This Row],[delivery_status]])</f>
        <v>Delivered</v>
      </c>
      <c r="K2005" t="s">
        <v>6929</v>
      </c>
    </row>
    <row r="2006" spans="1:11">
      <c r="A2006" t="s">
        <v>8942</v>
      </c>
      <c r="B2006" t="s">
        <v>2788</v>
      </c>
      <c r="C2006" t="s">
        <v>6925</v>
      </c>
      <c r="D2006" s="1">
        <v>44985</v>
      </c>
      <c r="E2006" s="1">
        <v>44988</v>
      </c>
      <c r="F2006" s="1">
        <v>44996</v>
      </c>
      <c r="G2006">
        <v>29.77</v>
      </c>
      <c r="H20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06" t="str">
        <f>IFERROR(INDEX(Raw_orders!G:G, MATCH(shipments[[#This Row],[order_id]],Raw_orders!A:A, 0)), "Unknown")</f>
        <v>Central Europe</v>
      </c>
      <c r="J2006" t="str">
        <f>PROPER(shipments[[#This Row],[delivery_status]])</f>
        <v>Delivered</v>
      </c>
      <c r="K2006" t="s">
        <v>6926</v>
      </c>
    </row>
    <row r="2007" spans="1:11">
      <c r="A2007" t="s">
        <v>8943</v>
      </c>
      <c r="B2007" t="s">
        <v>2788</v>
      </c>
      <c r="C2007" t="s">
        <v>6940</v>
      </c>
      <c r="D2007" s="1">
        <v>44985</v>
      </c>
      <c r="E2007" s="1">
        <v>44995</v>
      </c>
      <c r="F2007" s="1">
        <v>44998</v>
      </c>
      <c r="G2007">
        <v>38.090000000000003</v>
      </c>
      <c r="H20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07" t="str">
        <f>IFERROR(INDEX(Raw_orders!G:G, MATCH(shipments[[#This Row],[order_id]],Raw_orders!A:A, 0)), "Unknown")</f>
        <v>Central Europe</v>
      </c>
      <c r="J2007" t="str">
        <f>PROPER(shipments[[#This Row],[delivery_status]])</f>
        <v>Delivered</v>
      </c>
      <c r="K2007" t="s">
        <v>6926</v>
      </c>
    </row>
    <row r="2008" spans="1:11">
      <c r="A2008" t="s">
        <v>8944</v>
      </c>
      <c r="B2008" t="s">
        <v>2789</v>
      </c>
      <c r="C2008" t="s">
        <v>6928</v>
      </c>
      <c r="D2008" s="1">
        <v>45041</v>
      </c>
      <c r="E2008" s="1">
        <v>45043</v>
      </c>
      <c r="F2008" s="1">
        <v>45054</v>
      </c>
      <c r="G2008">
        <v>18.45</v>
      </c>
      <c r="H20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08" t="str">
        <f>IFERROR(INDEX(Raw_orders!G:G, MATCH(shipments[[#This Row],[order_id]],Raw_orders!A:A, 0)), "Unknown")</f>
        <v>Nordics</v>
      </c>
      <c r="J2008" t="str">
        <f>PROPER(shipments[[#This Row],[delivery_status]])</f>
        <v>Delivered</v>
      </c>
      <c r="K2008" t="s">
        <v>6922</v>
      </c>
    </row>
    <row r="2009" spans="1:11">
      <c r="A2009" t="s">
        <v>8945</v>
      </c>
      <c r="B2009" t="s">
        <v>2790</v>
      </c>
      <c r="C2009" t="s">
        <v>6949</v>
      </c>
      <c r="D2009" s="1">
        <v>44951</v>
      </c>
      <c r="E2009" s="1">
        <v>44956</v>
      </c>
      <c r="F2009" s="1">
        <v>44961</v>
      </c>
      <c r="G2009">
        <v>11.27</v>
      </c>
      <c r="H20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09" t="str">
        <f>IFERROR(INDEX(Raw_orders!G:G, MATCH(shipments[[#This Row],[order_id]],Raw_orders!A:A, 0)), "Unknown")</f>
        <v>Central Europe</v>
      </c>
      <c r="J2009" t="str">
        <f>PROPER(shipments[[#This Row],[delivery_status]])</f>
        <v>Delivered</v>
      </c>
      <c r="K2009" t="s">
        <v>6922</v>
      </c>
    </row>
    <row r="2010" spans="1:11">
      <c r="A2010" t="s">
        <v>8946</v>
      </c>
      <c r="B2010" t="s">
        <v>2791</v>
      </c>
      <c r="C2010" t="s">
        <v>6925</v>
      </c>
      <c r="D2010" s="1">
        <v>45375</v>
      </c>
      <c r="E2010" s="1">
        <v>45378</v>
      </c>
      <c r="F2010" s="1"/>
      <c r="G2010">
        <v>10.4</v>
      </c>
      <c r="H20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010" t="str">
        <f>IFERROR(INDEX(Raw_orders!G:G, MATCH(shipments[[#This Row],[order_id]],Raw_orders!A:A, 0)), "Unknown")</f>
        <v>Baltics</v>
      </c>
      <c r="J2010" t="str">
        <f>PROPER(shipments[[#This Row],[delivery_status]])</f>
        <v>In Transit</v>
      </c>
      <c r="K2010" t="s">
        <v>6958</v>
      </c>
    </row>
    <row r="2011" spans="1:11">
      <c r="A2011" t="s">
        <v>8947</v>
      </c>
      <c r="B2011" t="s">
        <v>2792</v>
      </c>
      <c r="C2011" t="s">
        <v>6935</v>
      </c>
      <c r="D2011" s="1">
        <v>45019</v>
      </c>
      <c r="E2011" s="1">
        <v>45024</v>
      </c>
      <c r="F2011" s="1">
        <v>45026</v>
      </c>
      <c r="H20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11" t="str">
        <f>IFERROR(INDEX(Raw_orders!G:G, MATCH(shipments[[#This Row],[order_id]],Raw_orders!A:A, 0)), "Unknown")</f>
        <v>Central Europe</v>
      </c>
      <c r="J2011" t="str">
        <f>PROPER(shipments[[#This Row],[delivery_status]])</f>
        <v>Delivered</v>
      </c>
      <c r="K2011" t="s">
        <v>6929</v>
      </c>
    </row>
    <row r="2012" spans="1:11">
      <c r="A2012" t="s">
        <v>8948</v>
      </c>
      <c r="B2012" t="s">
        <v>2793</v>
      </c>
      <c r="C2012" t="s">
        <v>6956</v>
      </c>
      <c r="D2012" s="1">
        <v>45513</v>
      </c>
      <c r="E2012" s="1">
        <v>45515</v>
      </c>
      <c r="F2012" s="1">
        <v>45520</v>
      </c>
      <c r="G2012">
        <v>33.14</v>
      </c>
      <c r="H20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12" t="str">
        <f>IFERROR(INDEX(Raw_orders!G:G, MATCH(shipments[[#This Row],[order_id]],Raw_orders!A:A, 0)), "Unknown")</f>
        <v>Nordics</v>
      </c>
      <c r="J2012" t="str">
        <f>PROPER(shipments[[#This Row],[delivery_status]])</f>
        <v>Delivered</v>
      </c>
      <c r="K2012" t="s">
        <v>6929</v>
      </c>
    </row>
    <row r="2013" spans="1:11">
      <c r="A2013" t="s">
        <v>8949</v>
      </c>
      <c r="B2013" t="s">
        <v>2794</v>
      </c>
      <c r="C2013" t="s">
        <v>6940</v>
      </c>
      <c r="D2013" s="1">
        <v>44927</v>
      </c>
      <c r="E2013" s="1">
        <v>44930</v>
      </c>
      <c r="F2013" s="1">
        <v>44932</v>
      </c>
      <c r="G2013">
        <v>55.04</v>
      </c>
      <c r="H20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13" t="str">
        <f>IFERROR(INDEX(Raw_orders!G:G, MATCH(shipments[[#This Row],[order_id]],Raw_orders!A:A, 0)), "Unknown")</f>
        <v>Baltics</v>
      </c>
      <c r="J2013" t="str">
        <f>PROPER(shipments[[#This Row],[delivery_status]])</f>
        <v>Delivered</v>
      </c>
      <c r="K2013" t="s">
        <v>6922</v>
      </c>
    </row>
    <row r="2014" spans="1:11">
      <c r="A2014" t="s">
        <v>8950</v>
      </c>
      <c r="B2014" t="s">
        <v>2795</v>
      </c>
      <c r="C2014" t="s">
        <v>6935</v>
      </c>
      <c r="D2014" s="1">
        <v>45110</v>
      </c>
      <c r="E2014" s="1">
        <v>45117</v>
      </c>
      <c r="F2014" s="1">
        <v>45116</v>
      </c>
      <c r="G2014">
        <v>45.85</v>
      </c>
      <c r="H20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014" t="str">
        <f>IFERROR(INDEX(Raw_orders!G:G, MATCH(shipments[[#This Row],[order_id]],Raw_orders!A:A, 0)), "Unknown")</f>
        <v>Baltics</v>
      </c>
      <c r="J2014" t="str">
        <f>PROPER(shipments[[#This Row],[delivery_status]])</f>
        <v>Delivered</v>
      </c>
      <c r="K2014" t="s">
        <v>6922</v>
      </c>
    </row>
    <row r="2015" spans="1:11">
      <c r="A2015" t="s">
        <v>8951</v>
      </c>
      <c r="B2015" t="s">
        <v>2796</v>
      </c>
      <c r="C2015" t="s">
        <v>6940</v>
      </c>
      <c r="D2015" s="1">
        <v>45115</v>
      </c>
      <c r="E2015" s="1">
        <v>45122</v>
      </c>
      <c r="F2015" s="1"/>
      <c r="G2015">
        <v>52.29</v>
      </c>
      <c r="H20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015" t="str">
        <f>IFERROR(INDEX(Raw_orders!G:G, MATCH(shipments[[#This Row],[order_id]],Raw_orders!A:A, 0)), "Unknown")</f>
        <v>Nordics</v>
      </c>
      <c r="J2015" t="str">
        <f>PROPER(shipments[[#This Row],[delivery_status]])</f>
        <v>In Transit</v>
      </c>
      <c r="K2015" t="s">
        <v>6946</v>
      </c>
    </row>
    <row r="2016" spans="1:11">
      <c r="A2016" t="s">
        <v>8952</v>
      </c>
      <c r="B2016" t="s">
        <v>2797</v>
      </c>
      <c r="C2016" t="s">
        <v>6931</v>
      </c>
      <c r="D2016" s="1">
        <v>45359</v>
      </c>
      <c r="E2016" s="1">
        <v>45362</v>
      </c>
      <c r="F2016" s="1">
        <v>45363</v>
      </c>
      <c r="G2016">
        <v>27.45</v>
      </c>
      <c r="H20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16" t="str">
        <f>IFERROR(INDEX(Raw_orders!G:G, MATCH(shipments[[#This Row],[order_id]],Raw_orders!A:A, 0)), "Unknown")</f>
        <v>Nordics</v>
      </c>
      <c r="J2016" t="str">
        <f>PROPER(shipments[[#This Row],[delivery_status]])</f>
        <v>Delivered</v>
      </c>
      <c r="K2016" t="s">
        <v>6926</v>
      </c>
    </row>
    <row r="2017" spans="1:11">
      <c r="A2017" t="s">
        <v>8953</v>
      </c>
      <c r="B2017" t="s">
        <v>2798</v>
      </c>
      <c r="C2017" t="s">
        <v>6928</v>
      </c>
      <c r="D2017" s="1">
        <v>44993</v>
      </c>
      <c r="E2017" s="1">
        <v>44996</v>
      </c>
      <c r="F2017" s="1">
        <v>45010</v>
      </c>
      <c r="G2017">
        <v>36.83</v>
      </c>
      <c r="H20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17" t="str">
        <f>IFERROR(INDEX(Raw_orders!G:G, MATCH(shipments[[#This Row],[order_id]],Raw_orders!A:A, 0)), "Unknown")</f>
        <v>Central Europe</v>
      </c>
      <c r="J2017" t="str">
        <f>PROPER(shipments[[#This Row],[delivery_status]])</f>
        <v>Delivered</v>
      </c>
      <c r="K2017" t="s">
        <v>6929</v>
      </c>
    </row>
    <row r="2018" spans="1:11">
      <c r="A2018" t="s">
        <v>8954</v>
      </c>
      <c r="B2018" t="s">
        <v>2799</v>
      </c>
      <c r="C2018" t="s">
        <v>6928</v>
      </c>
      <c r="D2018" s="1">
        <v>45400</v>
      </c>
      <c r="E2018" s="1">
        <v>45407</v>
      </c>
      <c r="F2018" s="1">
        <v>45410</v>
      </c>
      <c r="G2018">
        <v>48.34</v>
      </c>
      <c r="H20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18" t="str">
        <f>IFERROR(INDEX(Raw_orders!G:G, MATCH(shipments[[#This Row],[order_id]],Raw_orders!A:A, 0)), "Unknown")</f>
        <v>Nordics</v>
      </c>
      <c r="J2018" t="str">
        <f>PROPER(shipments[[#This Row],[delivery_status]])</f>
        <v>Delivered</v>
      </c>
      <c r="K2018" t="s">
        <v>6922</v>
      </c>
    </row>
    <row r="2019" spans="1:11">
      <c r="A2019" t="s">
        <v>8955</v>
      </c>
      <c r="B2019" t="s">
        <v>2800</v>
      </c>
      <c r="C2019" t="s">
        <v>6925</v>
      </c>
      <c r="D2019" s="1">
        <v>45312</v>
      </c>
      <c r="E2019" s="1">
        <v>45319</v>
      </c>
      <c r="F2019" s="1">
        <v>45320</v>
      </c>
      <c r="G2019">
        <v>11.99</v>
      </c>
      <c r="H20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19" t="str">
        <f>IFERROR(INDEX(Raw_orders!G:G, MATCH(shipments[[#This Row],[order_id]],Raw_orders!A:A, 0)), "Unknown")</f>
        <v>Central Europe</v>
      </c>
      <c r="J2019" t="str">
        <f>PROPER(shipments[[#This Row],[delivery_status]])</f>
        <v>Delivered</v>
      </c>
      <c r="K2019" t="s">
        <v>6926</v>
      </c>
    </row>
    <row r="2020" spans="1:11">
      <c r="A2020" t="s">
        <v>8956</v>
      </c>
      <c r="B2020" t="s">
        <v>2801</v>
      </c>
      <c r="C2020" t="s">
        <v>6949</v>
      </c>
      <c r="D2020" s="1">
        <v>45570</v>
      </c>
      <c r="E2020" s="1">
        <v>45580</v>
      </c>
      <c r="F2020" s="1">
        <v>45585</v>
      </c>
      <c r="G2020">
        <v>41.77</v>
      </c>
      <c r="H20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20" t="str">
        <f>IFERROR(INDEX(Raw_orders!G:G, MATCH(shipments[[#This Row],[order_id]],Raw_orders!A:A, 0)), "Unknown")</f>
        <v>Central Europe</v>
      </c>
      <c r="J2020" t="str">
        <f>PROPER(shipments[[#This Row],[delivery_status]])</f>
        <v>Delivered</v>
      </c>
      <c r="K2020" t="s">
        <v>6922</v>
      </c>
    </row>
    <row r="2021" spans="1:11">
      <c r="A2021" t="s">
        <v>8957</v>
      </c>
      <c r="B2021" t="s">
        <v>2802</v>
      </c>
      <c r="C2021" t="s">
        <v>6956</v>
      </c>
      <c r="D2021" s="1">
        <v>45011</v>
      </c>
      <c r="E2021" s="1">
        <v>45013</v>
      </c>
      <c r="F2021" s="1">
        <v>45021</v>
      </c>
      <c r="G2021">
        <v>37.22</v>
      </c>
      <c r="H20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21" t="str">
        <f>IFERROR(INDEX(Raw_orders!G:G, MATCH(shipments[[#This Row],[order_id]],Raw_orders!A:A, 0)), "Unknown")</f>
        <v>Nordics</v>
      </c>
      <c r="J2021" t="str">
        <f>PROPER(shipments[[#This Row],[delivery_status]])</f>
        <v>Delivered</v>
      </c>
      <c r="K2021" t="s">
        <v>6922</v>
      </c>
    </row>
    <row r="2022" spans="1:11">
      <c r="A2022" t="s">
        <v>8958</v>
      </c>
      <c r="B2022" t="s">
        <v>2803</v>
      </c>
      <c r="C2022" t="s">
        <v>6935</v>
      </c>
      <c r="D2022" s="1">
        <v>45155</v>
      </c>
      <c r="E2022" s="1">
        <v>45157</v>
      </c>
      <c r="F2022" s="1">
        <v>45157</v>
      </c>
      <c r="G2022">
        <v>51.98</v>
      </c>
      <c r="H20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022" t="str">
        <f>IFERROR(INDEX(Raw_orders!G:G, MATCH(shipments[[#This Row],[order_id]],Raw_orders!A:A, 0)), "Unknown")</f>
        <v>Central Europe</v>
      </c>
      <c r="J2022" t="str">
        <f>PROPER(shipments[[#This Row],[delivery_status]])</f>
        <v>Delivered</v>
      </c>
      <c r="K2022" t="s">
        <v>6922</v>
      </c>
    </row>
    <row r="2023" spans="1:11">
      <c r="A2023" t="s">
        <v>8959</v>
      </c>
      <c r="B2023" t="s">
        <v>2804</v>
      </c>
      <c r="C2023" t="s">
        <v>6925</v>
      </c>
      <c r="D2023" s="1">
        <v>45437</v>
      </c>
      <c r="E2023" s="1">
        <v>45447</v>
      </c>
      <c r="F2023" s="1">
        <v>45447</v>
      </c>
      <c r="G2023">
        <v>55.57</v>
      </c>
      <c r="H20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023" t="str">
        <f>IFERROR(INDEX(Raw_orders!G:G, MATCH(shipments[[#This Row],[order_id]],Raw_orders!A:A, 0)), "Unknown")</f>
        <v>Central Europe</v>
      </c>
      <c r="J2023" t="str">
        <f>PROPER(shipments[[#This Row],[delivery_status]])</f>
        <v>Delivered</v>
      </c>
      <c r="K2023" t="s">
        <v>6929</v>
      </c>
    </row>
    <row r="2024" spans="1:11">
      <c r="A2024" t="s">
        <v>8960</v>
      </c>
      <c r="B2024" t="s">
        <v>2805</v>
      </c>
      <c r="C2024" t="s">
        <v>6938</v>
      </c>
      <c r="D2024" s="1">
        <v>45244</v>
      </c>
      <c r="E2024" s="1">
        <v>45254</v>
      </c>
      <c r="F2024" s="1">
        <v>45260</v>
      </c>
      <c r="G2024">
        <v>50.15</v>
      </c>
      <c r="H20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24" t="str">
        <f>IFERROR(INDEX(Raw_orders!G:G, MATCH(shipments[[#This Row],[order_id]],Raw_orders!A:A, 0)), "Unknown")</f>
        <v>Baltics</v>
      </c>
      <c r="J2024" t="str">
        <f>PROPER(shipments[[#This Row],[delivery_status]])</f>
        <v>Delivered</v>
      </c>
      <c r="K2024" t="s">
        <v>6929</v>
      </c>
    </row>
    <row r="2025" spans="1:11">
      <c r="A2025" t="s">
        <v>8961</v>
      </c>
      <c r="B2025" t="s">
        <v>2806</v>
      </c>
      <c r="C2025" t="s">
        <v>6940</v>
      </c>
      <c r="D2025" s="1">
        <v>45203</v>
      </c>
      <c r="E2025" s="1">
        <v>45210</v>
      </c>
      <c r="F2025" s="1">
        <v>45220</v>
      </c>
      <c r="G2025">
        <v>62.52</v>
      </c>
      <c r="H20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25" t="str">
        <f>IFERROR(INDEX(Raw_orders!G:G, MATCH(shipments[[#This Row],[order_id]],Raw_orders!A:A, 0)), "Unknown")</f>
        <v>Central Europe</v>
      </c>
      <c r="J2025" t="str">
        <f>PROPER(shipments[[#This Row],[delivery_status]])</f>
        <v>Delivered</v>
      </c>
      <c r="K2025" t="s">
        <v>6922</v>
      </c>
    </row>
    <row r="2026" spans="1:11">
      <c r="A2026" t="s">
        <v>8962</v>
      </c>
      <c r="B2026" t="s">
        <v>2807</v>
      </c>
      <c r="C2026" t="s">
        <v>6949</v>
      </c>
      <c r="D2026" s="1">
        <v>45557</v>
      </c>
      <c r="E2026" s="1">
        <v>45560</v>
      </c>
      <c r="F2026" s="1">
        <v>45572</v>
      </c>
      <c r="G2026">
        <v>18.63</v>
      </c>
      <c r="H20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26" t="str">
        <f>IFERROR(INDEX(Raw_orders!G:G, MATCH(shipments[[#This Row],[order_id]],Raw_orders!A:A, 0)), "Unknown")</f>
        <v>Central Europe</v>
      </c>
      <c r="J2026" t="str">
        <f>PROPER(shipments[[#This Row],[delivery_status]])</f>
        <v>Delivered</v>
      </c>
      <c r="K2026" t="s">
        <v>6922</v>
      </c>
    </row>
    <row r="2027" spans="1:11">
      <c r="A2027" t="s">
        <v>8963</v>
      </c>
      <c r="B2027" t="s">
        <v>2808</v>
      </c>
      <c r="C2027" t="s">
        <v>6938</v>
      </c>
      <c r="D2027" s="1">
        <v>45555</v>
      </c>
      <c r="E2027" s="1">
        <v>45562</v>
      </c>
      <c r="F2027" s="1">
        <v>45570</v>
      </c>
      <c r="G2027">
        <v>11.96</v>
      </c>
      <c r="H20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27" t="str">
        <f>IFERROR(INDEX(Raw_orders!G:G, MATCH(shipments[[#This Row],[order_id]],Raw_orders!A:A, 0)), "Unknown")</f>
        <v>Central Europe</v>
      </c>
      <c r="J2027" t="str">
        <f>PROPER(shipments[[#This Row],[delivery_status]])</f>
        <v>Delivered</v>
      </c>
      <c r="K2027" t="s">
        <v>6926</v>
      </c>
    </row>
    <row r="2028" spans="1:11">
      <c r="A2028" t="s">
        <v>8964</v>
      </c>
      <c r="B2028" t="s">
        <v>2809</v>
      </c>
      <c r="C2028" t="s">
        <v>6928</v>
      </c>
      <c r="D2028" s="1">
        <v>44950</v>
      </c>
      <c r="E2028" s="1">
        <v>44953</v>
      </c>
      <c r="F2028" s="1">
        <v>44958</v>
      </c>
      <c r="G2028">
        <v>6.5</v>
      </c>
      <c r="H20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28" t="str">
        <f>IFERROR(INDEX(Raw_orders!G:G, MATCH(shipments[[#This Row],[order_id]],Raw_orders!A:A, 0)), "Unknown")</f>
        <v>Baltics</v>
      </c>
      <c r="J2028" t="str">
        <f>PROPER(shipments[[#This Row],[delivery_status]])</f>
        <v>Delivered</v>
      </c>
      <c r="K2028" t="s">
        <v>6929</v>
      </c>
    </row>
    <row r="2029" spans="1:11">
      <c r="A2029" t="s">
        <v>8965</v>
      </c>
      <c r="B2029" t="s">
        <v>2810</v>
      </c>
      <c r="C2029" t="s">
        <v>6935</v>
      </c>
      <c r="D2029" s="1">
        <v>45217</v>
      </c>
      <c r="E2029" s="1">
        <v>45219</v>
      </c>
      <c r="F2029" s="1">
        <v>45221</v>
      </c>
      <c r="G2029">
        <v>46.91</v>
      </c>
      <c r="H20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29" t="str">
        <f>IFERROR(INDEX(Raw_orders!G:G, MATCH(shipments[[#This Row],[order_id]],Raw_orders!A:A, 0)), "Unknown")</f>
        <v>Central Europe</v>
      </c>
      <c r="J2029" t="str">
        <f>PROPER(shipments[[#This Row],[delivery_status]])</f>
        <v>Delivered</v>
      </c>
      <c r="K2029" t="s">
        <v>6926</v>
      </c>
    </row>
    <row r="2030" spans="1:11">
      <c r="A2030" t="s">
        <v>8966</v>
      </c>
      <c r="B2030" t="s">
        <v>2811</v>
      </c>
      <c r="C2030" t="s">
        <v>6931</v>
      </c>
      <c r="D2030" s="1">
        <v>45355</v>
      </c>
      <c r="E2030" s="1">
        <v>45357</v>
      </c>
      <c r="F2030" s="1">
        <v>45358</v>
      </c>
      <c r="G2030">
        <v>39.950000000000003</v>
      </c>
      <c r="H20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30" t="str">
        <f>IFERROR(INDEX(Raw_orders!G:G, MATCH(shipments[[#This Row],[order_id]],Raw_orders!A:A, 0)), "Unknown")</f>
        <v>Central Europe</v>
      </c>
      <c r="J2030" t="str">
        <f>PROPER(shipments[[#This Row],[delivery_status]])</f>
        <v>Delivered</v>
      </c>
      <c r="K2030" t="s">
        <v>6922</v>
      </c>
    </row>
    <row r="2031" spans="1:11">
      <c r="A2031" t="s">
        <v>8967</v>
      </c>
      <c r="B2031" t="s">
        <v>2812</v>
      </c>
      <c r="C2031" t="s">
        <v>6931</v>
      </c>
      <c r="D2031" s="1">
        <v>45416</v>
      </c>
      <c r="E2031" s="1">
        <v>45421</v>
      </c>
      <c r="F2031" s="1">
        <v>45429</v>
      </c>
      <c r="G2031">
        <v>26.86</v>
      </c>
      <c r="H20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31" t="str">
        <f>IFERROR(INDEX(Raw_orders!G:G, MATCH(shipments[[#This Row],[order_id]],Raw_orders!A:A, 0)), "Unknown")</f>
        <v>Nordics</v>
      </c>
      <c r="J2031" t="str">
        <f>PROPER(shipments[[#This Row],[delivery_status]])</f>
        <v>Delivered</v>
      </c>
      <c r="K2031" t="s">
        <v>6922</v>
      </c>
    </row>
    <row r="2032" spans="1:11">
      <c r="A2032" t="s">
        <v>8968</v>
      </c>
      <c r="B2032" t="s">
        <v>2813</v>
      </c>
      <c r="C2032" t="s">
        <v>6928</v>
      </c>
      <c r="D2032" s="1">
        <v>45427</v>
      </c>
      <c r="E2032" s="1">
        <v>45432</v>
      </c>
      <c r="F2032" s="1">
        <v>45439</v>
      </c>
      <c r="G2032">
        <v>43.58</v>
      </c>
      <c r="H20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32" t="str">
        <f>IFERROR(INDEX(Raw_orders!G:G, MATCH(shipments[[#This Row],[order_id]],Raw_orders!A:A, 0)), "Unknown")</f>
        <v>Baltics</v>
      </c>
      <c r="J2032" t="str">
        <f>PROPER(shipments[[#This Row],[delivery_status]])</f>
        <v>Delivered</v>
      </c>
      <c r="K2032" t="s">
        <v>6929</v>
      </c>
    </row>
    <row r="2033" spans="1:11">
      <c r="A2033" t="s">
        <v>8969</v>
      </c>
      <c r="B2033" t="s">
        <v>2814</v>
      </c>
      <c r="C2033" t="s">
        <v>6940</v>
      </c>
      <c r="D2033" s="1">
        <v>45447</v>
      </c>
      <c r="E2033" s="1">
        <v>45449</v>
      </c>
      <c r="F2033" s="1">
        <v>45454</v>
      </c>
      <c r="G2033">
        <v>36.5</v>
      </c>
      <c r="H20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33" t="str">
        <f>IFERROR(INDEX(Raw_orders!G:G, MATCH(shipments[[#This Row],[order_id]],Raw_orders!A:A, 0)), "Unknown")</f>
        <v>Nordics</v>
      </c>
      <c r="J2033" t="str">
        <f>PROPER(shipments[[#This Row],[delivery_status]])</f>
        <v>Delivered</v>
      </c>
      <c r="K2033" t="s">
        <v>6929</v>
      </c>
    </row>
    <row r="2034" spans="1:11">
      <c r="A2034" t="s">
        <v>8970</v>
      </c>
      <c r="B2034" t="s">
        <v>2815</v>
      </c>
      <c r="C2034" t="s">
        <v>6938</v>
      </c>
      <c r="D2034" s="1">
        <v>45207</v>
      </c>
      <c r="E2034" s="1">
        <v>45209</v>
      </c>
      <c r="F2034" s="1"/>
      <c r="G2034">
        <v>33.21</v>
      </c>
      <c r="H20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034" t="str">
        <f>IFERROR(INDEX(Raw_orders!G:G, MATCH(shipments[[#This Row],[order_id]],Raw_orders!A:A, 0)), "Unknown")</f>
        <v>Nordics</v>
      </c>
      <c r="J2034" t="str">
        <f>PROPER(shipments[[#This Row],[delivery_status]])</f>
        <v>In Transit</v>
      </c>
      <c r="K2034" t="s">
        <v>6946</v>
      </c>
    </row>
    <row r="2035" spans="1:11">
      <c r="A2035" t="s">
        <v>8971</v>
      </c>
      <c r="B2035" t="s">
        <v>2816</v>
      </c>
      <c r="C2035" t="s">
        <v>6931</v>
      </c>
      <c r="D2035" s="1">
        <v>44973</v>
      </c>
      <c r="E2035" s="1">
        <v>44976</v>
      </c>
      <c r="F2035" s="1">
        <v>44986</v>
      </c>
      <c r="G2035">
        <v>29.27</v>
      </c>
      <c r="H20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35" t="str">
        <f>IFERROR(INDEX(Raw_orders!G:G, MATCH(shipments[[#This Row],[order_id]],Raw_orders!A:A, 0)), "Unknown")</f>
        <v>Baltics</v>
      </c>
      <c r="J2035" t="str">
        <f>PROPER(shipments[[#This Row],[delivery_status]])</f>
        <v>Delivered</v>
      </c>
      <c r="K2035" t="s">
        <v>6929</v>
      </c>
    </row>
    <row r="2036" spans="1:11">
      <c r="A2036" t="s">
        <v>8972</v>
      </c>
      <c r="B2036" t="s">
        <v>2817</v>
      </c>
      <c r="C2036" t="s">
        <v>6925</v>
      </c>
      <c r="D2036" s="1">
        <v>45315</v>
      </c>
      <c r="E2036" s="1">
        <v>45325</v>
      </c>
      <c r="F2036" s="1"/>
      <c r="G2036">
        <v>32.99</v>
      </c>
      <c r="H20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036" t="str">
        <f>IFERROR(INDEX(Raw_orders!G:G, MATCH(shipments[[#This Row],[order_id]],Raw_orders!A:A, 0)), "Unknown")</f>
        <v>Nordics</v>
      </c>
      <c r="J2036" t="str">
        <f>PROPER(shipments[[#This Row],[delivery_status]])</f>
        <v>In Transit</v>
      </c>
      <c r="K2036" t="s">
        <v>6958</v>
      </c>
    </row>
    <row r="2037" spans="1:11">
      <c r="A2037" t="s">
        <v>8973</v>
      </c>
      <c r="B2037" t="s">
        <v>2818</v>
      </c>
      <c r="C2037" t="s">
        <v>6925</v>
      </c>
      <c r="D2037" s="1">
        <v>45079</v>
      </c>
      <c r="E2037" s="1">
        <v>45082</v>
      </c>
      <c r="F2037" s="1">
        <v>45084</v>
      </c>
      <c r="G2037">
        <v>36.76</v>
      </c>
      <c r="H20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37" t="str">
        <f>IFERROR(INDEX(Raw_orders!G:G, MATCH(shipments[[#This Row],[order_id]],Raw_orders!A:A, 0)), "Unknown")</f>
        <v>Baltics</v>
      </c>
      <c r="J2037" t="str">
        <f>PROPER(shipments[[#This Row],[delivery_status]])</f>
        <v>Delivered</v>
      </c>
      <c r="K2037" t="s">
        <v>6926</v>
      </c>
    </row>
    <row r="2038" spans="1:11">
      <c r="A2038" t="s">
        <v>8974</v>
      </c>
      <c r="B2038" t="s">
        <v>2819</v>
      </c>
      <c r="C2038" t="s">
        <v>6940</v>
      </c>
      <c r="D2038" s="1">
        <v>45552</v>
      </c>
      <c r="E2038" s="1">
        <v>45557</v>
      </c>
      <c r="F2038" s="1">
        <v>45557</v>
      </c>
      <c r="G2038">
        <v>36.39</v>
      </c>
      <c r="H20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038" t="str">
        <f>IFERROR(INDEX(Raw_orders!G:G, MATCH(shipments[[#This Row],[order_id]],Raw_orders!A:A, 0)), "Unknown")</f>
        <v>Central Europe</v>
      </c>
      <c r="J2038" t="str">
        <f>PROPER(shipments[[#This Row],[delivery_status]])</f>
        <v>Delivered</v>
      </c>
      <c r="K2038" t="s">
        <v>6926</v>
      </c>
    </row>
    <row r="2039" spans="1:11">
      <c r="A2039" t="s">
        <v>8975</v>
      </c>
      <c r="B2039" t="s">
        <v>2820</v>
      </c>
      <c r="C2039" t="s">
        <v>6956</v>
      </c>
      <c r="D2039" s="1">
        <v>45380</v>
      </c>
      <c r="E2039" s="1">
        <v>45383</v>
      </c>
      <c r="F2039" s="1"/>
      <c r="G2039">
        <v>9.94</v>
      </c>
      <c r="H20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039" t="str">
        <f>IFERROR(INDEX(Raw_orders!G:G, MATCH(shipments[[#This Row],[order_id]],Raw_orders!A:A, 0)), "Unknown")</f>
        <v>Nordics</v>
      </c>
      <c r="J2039" t="str">
        <f>PROPER(shipments[[#This Row],[delivery_status]])</f>
        <v>In Transit</v>
      </c>
      <c r="K2039" t="s">
        <v>6958</v>
      </c>
    </row>
    <row r="2040" spans="1:11">
      <c r="A2040" t="s">
        <v>8976</v>
      </c>
      <c r="B2040" t="s">
        <v>2821</v>
      </c>
      <c r="C2040" t="s">
        <v>6949</v>
      </c>
      <c r="D2040" s="1">
        <v>45326</v>
      </c>
      <c r="E2040" s="1">
        <v>45331</v>
      </c>
      <c r="F2040" s="1">
        <v>45334</v>
      </c>
      <c r="G2040">
        <v>36.18</v>
      </c>
      <c r="H20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40" t="str">
        <f>IFERROR(INDEX(Raw_orders!G:G, MATCH(shipments[[#This Row],[order_id]],Raw_orders!A:A, 0)), "Unknown")</f>
        <v>Unknown</v>
      </c>
      <c r="J2040" t="str">
        <f>PROPER(shipments[[#This Row],[delivery_status]])</f>
        <v>Delivered</v>
      </c>
      <c r="K2040" t="s">
        <v>6922</v>
      </c>
    </row>
    <row r="2041" spans="1:11">
      <c r="A2041" t="s">
        <v>8977</v>
      </c>
      <c r="B2041" t="s">
        <v>2822</v>
      </c>
      <c r="C2041" t="s">
        <v>6925</v>
      </c>
      <c r="D2041" s="1">
        <v>45605</v>
      </c>
      <c r="E2041" s="1">
        <v>45615</v>
      </c>
      <c r="F2041" s="1">
        <v>45614</v>
      </c>
      <c r="G2041">
        <v>55.31</v>
      </c>
      <c r="H20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041" t="str">
        <f>IFERROR(INDEX(Raw_orders!G:G, MATCH(shipments[[#This Row],[order_id]],Raw_orders!A:A, 0)), "Unknown")</f>
        <v>Nordics</v>
      </c>
      <c r="J2041" t="str">
        <f>PROPER(shipments[[#This Row],[delivery_status]])</f>
        <v>Delivered</v>
      </c>
      <c r="K2041" t="s">
        <v>6926</v>
      </c>
    </row>
    <row r="2042" spans="1:11">
      <c r="A2042" t="s">
        <v>8978</v>
      </c>
      <c r="B2042" t="s">
        <v>2823</v>
      </c>
      <c r="C2042" t="s">
        <v>6925</v>
      </c>
      <c r="D2042" s="1">
        <v>45088</v>
      </c>
      <c r="E2042" s="1">
        <v>45093</v>
      </c>
      <c r="F2042" s="1">
        <v>45093</v>
      </c>
      <c r="G2042">
        <v>5.22</v>
      </c>
      <c r="H20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042" t="str">
        <f>IFERROR(INDEX(Raw_orders!G:G, MATCH(shipments[[#This Row],[order_id]],Raw_orders!A:A, 0)), "Unknown")</f>
        <v>Nordics</v>
      </c>
      <c r="J2042" t="str">
        <f>PROPER(shipments[[#This Row],[delivery_status]])</f>
        <v>Delivered</v>
      </c>
      <c r="K2042" t="s">
        <v>6926</v>
      </c>
    </row>
    <row r="2043" spans="1:11">
      <c r="A2043" t="s">
        <v>8979</v>
      </c>
      <c r="B2043" t="s">
        <v>2824</v>
      </c>
      <c r="C2043" t="s">
        <v>6931</v>
      </c>
      <c r="D2043" s="1">
        <v>45574</v>
      </c>
      <c r="E2043" s="1">
        <v>45584</v>
      </c>
      <c r="F2043" s="1">
        <v>45584</v>
      </c>
      <c r="G2043">
        <v>11.08</v>
      </c>
      <c r="H20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043" t="str">
        <f>IFERROR(INDEX(Raw_orders!G:G, MATCH(shipments[[#This Row],[order_id]],Raw_orders!A:A, 0)), "Unknown")</f>
        <v>Nordics</v>
      </c>
      <c r="J2043" t="str">
        <f>PROPER(shipments[[#This Row],[delivery_status]])</f>
        <v>Delivered</v>
      </c>
      <c r="K2043" t="s">
        <v>6922</v>
      </c>
    </row>
    <row r="2044" spans="1:11">
      <c r="A2044" t="s">
        <v>8980</v>
      </c>
      <c r="B2044" t="s">
        <v>2825</v>
      </c>
      <c r="C2044" t="s">
        <v>6921</v>
      </c>
      <c r="D2044" s="1">
        <v>45228</v>
      </c>
      <c r="E2044" s="1">
        <v>45231</v>
      </c>
      <c r="F2044" s="1">
        <v>45230</v>
      </c>
      <c r="G2044">
        <v>45.33</v>
      </c>
      <c r="H20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044" t="str">
        <f>IFERROR(INDEX(Raw_orders!G:G, MATCH(shipments[[#This Row],[order_id]],Raw_orders!A:A, 0)), "Unknown")</f>
        <v>Baltics</v>
      </c>
      <c r="J2044" t="str">
        <f>PROPER(shipments[[#This Row],[delivery_status]])</f>
        <v>Delivered</v>
      </c>
      <c r="K2044" t="s">
        <v>6929</v>
      </c>
    </row>
    <row r="2045" spans="1:11">
      <c r="A2045" t="s">
        <v>8981</v>
      </c>
      <c r="B2045" t="s">
        <v>2826</v>
      </c>
      <c r="C2045" t="s">
        <v>6940</v>
      </c>
      <c r="D2045" s="1">
        <v>45488</v>
      </c>
      <c r="E2045" s="1">
        <v>45490</v>
      </c>
      <c r="F2045" s="1"/>
      <c r="G2045">
        <v>33</v>
      </c>
      <c r="H20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045" t="str">
        <f>IFERROR(INDEX(Raw_orders!G:G, MATCH(shipments[[#This Row],[order_id]],Raw_orders!A:A, 0)), "Unknown")</f>
        <v>Central Europe</v>
      </c>
      <c r="J2045" t="str">
        <f>PROPER(shipments[[#This Row],[delivery_status]])</f>
        <v>In Transit</v>
      </c>
      <c r="K2045" t="s">
        <v>6977</v>
      </c>
    </row>
    <row r="2046" spans="1:11">
      <c r="A2046" t="s">
        <v>8982</v>
      </c>
      <c r="B2046" t="s">
        <v>2826</v>
      </c>
      <c r="C2046" t="s">
        <v>6949</v>
      </c>
      <c r="D2046" s="1">
        <v>45489</v>
      </c>
      <c r="E2046" s="1">
        <v>45496</v>
      </c>
      <c r="F2046" s="1">
        <v>45498</v>
      </c>
      <c r="G2046">
        <v>24.41</v>
      </c>
      <c r="H20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46" t="str">
        <f>IFERROR(INDEX(Raw_orders!G:G, MATCH(shipments[[#This Row],[order_id]],Raw_orders!A:A, 0)), "Unknown")</f>
        <v>Central Europe</v>
      </c>
      <c r="J2046" t="str">
        <f>PROPER(shipments[[#This Row],[delivery_status]])</f>
        <v>Delivered</v>
      </c>
      <c r="K2046" t="s">
        <v>6922</v>
      </c>
    </row>
    <row r="2047" spans="1:11">
      <c r="A2047" t="s">
        <v>8983</v>
      </c>
      <c r="B2047" t="s">
        <v>2827</v>
      </c>
      <c r="C2047" t="s">
        <v>6940</v>
      </c>
      <c r="D2047" s="1">
        <v>45351</v>
      </c>
      <c r="E2047" s="1">
        <v>45353</v>
      </c>
      <c r="F2047" s="1">
        <v>45356</v>
      </c>
      <c r="G2047">
        <v>33.15</v>
      </c>
      <c r="H20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47" t="str">
        <f>IFERROR(INDEX(Raw_orders!G:G, MATCH(shipments[[#This Row],[order_id]],Raw_orders!A:A, 0)), "Unknown")</f>
        <v>Central Europe</v>
      </c>
      <c r="J2047" t="str">
        <f>PROPER(shipments[[#This Row],[delivery_status]])</f>
        <v>Delivered</v>
      </c>
      <c r="K2047" t="s">
        <v>6926</v>
      </c>
    </row>
    <row r="2048" spans="1:11">
      <c r="A2048" t="s">
        <v>8984</v>
      </c>
      <c r="B2048" t="s">
        <v>2828</v>
      </c>
      <c r="C2048" t="s">
        <v>6925</v>
      </c>
      <c r="D2048" s="1">
        <v>45183</v>
      </c>
      <c r="E2048" s="1">
        <v>45188</v>
      </c>
      <c r="F2048" s="1">
        <v>45188</v>
      </c>
      <c r="G2048">
        <v>27.43</v>
      </c>
      <c r="H20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048" t="str">
        <f>IFERROR(INDEX(Raw_orders!G:G, MATCH(shipments[[#This Row],[order_id]],Raw_orders!A:A, 0)), "Unknown")</f>
        <v>Unknown</v>
      </c>
      <c r="J2048" t="str">
        <f>PROPER(shipments[[#This Row],[delivery_status]])</f>
        <v>Delivered</v>
      </c>
      <c r="K2048" t="s">
        <v>6926</v>
      </c>
    </row>
    <row r="2049" spans="1:11">
      <c r="A2049" t="s">
        <v>8985</v>
      </c>
      <c r="B2049" t="s">
        <v>2829</v>
      </c>
      <c r="C2049" t="s">
        <v>6928</v>
      </c>
      <c r="D2049" s="1">
        <v>45129</v>
      </c>
      <c r="E2049" s="1">
        <v>45136</v>
      </c>
      <c r="F2049" s="1">
        <v>45144</v>
      </c>
      <c r="G2049">
        <v>19.41</v>
      </c>
      <c r="H20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49" t="str">
        <f>IFERROR(INDEX(Raw_orders!G:G, MATCH(shipments[[#This Row],[order_id]],Raw_orders!A:A, 0)), "Unknown")</f>
        <v>Baltics</v>
      </c>
      <c r="J2049" t="str">
        <f>PROPER(shipments[[#This Row],[delivery_status]])</f>
        <v>Delivered</v>
      </c>
      <c r="K2049" t="s">
        <v>6922</v>
      </c>
    </row>
    <row r="2050" spans="1:11">
      <c r="A2050" t="s">
        <v>8986</v>
      </c>
      <c r="B2050" t="s">
        <v>2830</v>
      </c>
      <c r="C2050" t="s">
        <v>6921</v>
      </c>
      <c r="D2050" s="1">
        <v>45089</v>
      </c>
      <c r="E2050" s="1">
        <v>45099</v>
      </c>
      <c r="F2050" s="1">
        <v>45102</v>
      </c>
      <c r="G2050">
        <v>58</v>
      </c>
      <c r="H20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50" t="str">
        <f>IFERROR(INDEX(Raw_orders!G:G, MATCH(shipments[[#This Row],[order_id]],Raw_orders!A:A, 0)), "Unknown")</f>
        <v>Nordics</v>
      </c>
      <c r="J2050" t="str">
        <f>PROPER(shipments[[#This Row],[delivery_status]])</f>
        <v>Delivered</v>
      </c>
      <c r="K2050" t="s">
        <v>6929</v>
      </c>
    </row>
    <row r="2051" spans="1:11">
      <c r="A2051" t="s">
        <v>8987</v>
      </c>
      <c r="B2051" t="s">
        <v>2831</v>
      </c>
      <c r="C2051" t="s">
        <v>6956</v>
      </c>
      <c r="D2051" s="1">
        <v>45630</v>
      </c>
      <c r="E2051" s="1">
        <v>45635</v>
      </c>
      <c r="F2051" s="1">
        <v>45646</v>
      </c>
      <c r="G2051">
        <v>14.62</v>
      </c>
      <c r="H20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51" t="str">
        <f>IFERROR(INDEX(Raw_orders!G:G, MATCH(shipments[[#This Row],[order_id]],Raw_orders!A:A, 0)), "Unknown")</f>
        <v>Nordics</v>
      </c>
      <c r="J2051" t="str">
        <f>PROPER(shipments[[#This Row],[delivery_status]])</f>
        <v>Delivered</v>
      </c>
      <c r="K2051" t="s">
        <v>6922</v>
      </c>
    </row>
    <row r="2052" spans="1:11">
      <c r="A2052" t="s">
        <v>8988</v>
      </c>
      <c r="B2052" t="s">
        <v>2832</v>
      </c>
      <c r="C2052" t="s">
        <v>6928</v>
      </c>
      <c r="D2052" s="1">
        <v>45215</v>
      </c>
      <c r="E2052" s="1">
        <v>45225</v>
      </c>
      <c r="F2052" s="1">
        <v>45227</v>
      </c>
      <c r="G2052">
        <v>27.22</v>
      </c>
      <c r="H20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52" t="str">
        <f>IFERROR(INDEX(Raw_orders!G:G, MATCH(shipments[[#This Row],[order_id]],Raw_orders!A:A, 0)), "Unknown")</f>
        <v>Nordics</v>
      </c>
      <c r="J2052" t="str">
        <f>PROPER(shipments[[#This Row],[delivery_status]])</f>
        <v>Delivered</v>
      </c>
      <c r="K2052" t="s">
        <v>6922</v>
      </c>
    </row>
    <row r="2053" spans="1:11">
      <c r="A2053" t="s">
        <v>8989</v>
      </c>
      <c r="B2053" t="s">
        <v>2833</v>
      </c>
      <c r="C2053" t="s">
        <v>6940</v>
      </c>
      <c r="D2053" s="1">
        <v>45191</v>
      </c>
      <c r="E2053" s="1">
        <v>45194</v>
      </c>
      <c r="F2053" s="1">
        <v>45194</v>
      </c>
      <c r="G2053">
        <v>41.47</v>
      </c>
      <c r="H20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053" t="str">
        <f>IFERROR(INDEX(Raw_orders!G:G, MATCH(shipments[[#This Row],[order_id]],Raw_orders!A:A, 0)), "Unknown")</f>
        <v>Baltics</v>
      </c>
      <c r="J2053" t="str">
        <f>PROPER(shipments[[#This Row],[delivery_status]])</f>
        <v>Delivered</v>
      </c>
      <c r="K2053" t="s">
        <v>6922</v>
      </c>
    </row>
    <row r="2054" spans="1:11">
      <c r="A2054" t="s">
        <v>8990</v>
      </c>
      <c r="B2054" t="s">
        <v>2834</v>
      </c>
      <c r="C2054" t="s">
        <v>6935</v>
      </c>
      <c r="D2054" s="1">
        <v>45057</v>
      </c>
      <c r="E2054" s="1">
        <v>45062</v>
      </c>
      <c r="F2054" s="1">
        <v>45063</v>
      </c>
      <c r="G2054">
        <v>10.95</v>
      </c>
      <c r="H20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54" t="str">
        <f>IFERROR(INDEX(Raw_orders!G:G, MATCH(shipments[[#This Row],[order_id]],Raw_orders!A:A, 0)), "Unknown")</f>
        <v>Central Europe</v>
      </c>
      <c r="J2054" t="str">
        <f>PROPER(shipments[[#This Row],[delivery_status]])</f>
        <v>Delivered</v>
      </c>
      <c r="K2054" t="s">
        <v>6922</v>
      </c>
    </row>
    <row r="2055" spans="1:11">
      <c r="A2055" t="s">
        <v>8991</v>
      </c>
      <c r="B2055" t="s">
        <v>2835</v>
      </c>
      <c r="C2055" t="s">
        <v>6956</v>
      </c>
      <c r="D2055" s="1">
        <v>45215</v>
      </c>
      <c r="E2055" s="1">
        <v>45217</v>
      </c>
      <c r="F2055" s="1"/>
      <c r="G2055">
        <v>55.17</v>
      </c>
      <c r="H20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055" t="str">
        <f>IFERROR(INDEX(Raw_orders!G:G, MATCH(shipments[[#This Row],[order_id]],Raw_orders!A:A, 0)), "Unknown")</f>
        <v>Nordics</v>
      </c>
      <c r="J2055" t="str">
        <f>PROPER(shipments[[#This Row],[delivery_status]])</f>
        <v>In Transit</v>
      </c>
      <c r="K2055" t="s">
        <v>6958</v>
      </c>
    </row>
    <row r="2056" spans="1:11">
      <c r="A2056" t="s">
        <v>8992</v>
      </c>
      <c r="B2056" t="s">
        <v>2836</v>
      </c>
      <c r="C2056" t="s">
        <v>6956</v>
      </c>
      <c r="D2056" s="1">
        <v>45616</v>
      </c>
      <c r="E2056" s="1">
        <v>45623</v>
      </c>
      <c r="F2056" s="1">
        <v>45628</v>
      </c>
      <c r="G2056">
        <v>29.57</v>
      </c>
      <c r="H20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56" t="str">
        <f>IFERROR(INDEX(Raw_orders!G:G, MATCH(shipments[[#This Row],[order_id]],Raw_orders!A:A, 0)), "Unknown")</f>
        <v>Central Europe</v>
      </c>
      <c r="J2056" t="str">
        <f>PROPER(shipments[[#This Row],[delivery_status]])</f>
        <v>Delivered</v>
      </c>
      <c r="K2056" t="s">
        <v>6922</v>
      </c>
    </row>
    <row r="2057" spans="1:11">
      <c r="A2057" t="s">
        <v>8993</v>
      </c>
      <c r="B2057" t="s">
        <v>2837</v>
      </c>
      <c r="C2057" t="s">
        <v>6925</v>
      </c>
      <c r="D2057" s="1">
        <v>45406</v>
      </c>
      <c r="E2057" s="1">
        <v>45416</v>
      </c>
      <c r="F2057" s="1">
        <v>45417</v>
      </c>
      <c r="G2057">
        <v>56.63</v>
      </c>
      <c r="H20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57" t="str">
        <f>IFERROR(INDEX(Raw_orders!G:G, MATCH(shipments[[#This Row],[order_id]],Raw_orders!A:A, 0)), "Unknown")</f>
        <v>Baltics</v>
      </c>
      <c r="J2057" t="str">
        <f>PROPER(shipments[[#This Row],[delivery_status]])</f>
        <v>Delivered</v>
      </c>
      <c r="K2057" t="s">
        <v>6926</v>
      </c>
    </row>
    <row r="2058" spans="1:11">
      <c r="A2058" t="s">
        <v>8994</v>
      </c>
      <c r="B2058" t="s">
        <v>2838</v>
      </c>
      <c r="C2058" t="s">
        <v>6940</v>
      </c>
      <c r="D2058" s="1">
        <v>44935</v>
      </c>
      <c r="E2058" s="1">
        <v>44945</v>
      </c>
      <c r="F2058" s="1">
        <v>44948</v>
      </c>
      <c r="G2058">
        <v>11.93</v>
      </c>
      <c r="H20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58" t="str">
        <f>IFERROR(INDEX(Raw_orders!G:G, MATCH(shipments[[#This Row],[order_id]],Raw_orders!A:A, 0)), "Unknown")</f>
        <v>Nordics</v>
      </c>
      <c r="J2058" t="str">
        <f>PROPER(shipments[[#This Row],[delivery_status]])</f>
        <v>Delivered</v>
      </c>
      <c r="K2058" t="s">
        <v>6922</v>
      </c>
    </row>
    <row r="2059" spans="1:11">
      <c r="A2059" t="s">
        <v>8995</v>
      </c>
      <c r="B2059" t="s">
        <v>2839</v>
      </c>
      <c r="C2059" t="s">
        <v>6956</v>
      </c>
      <c r="D2059" s="1">
        <v>45243</v>
      </c>
      <c r="E2059" s="1">
        <v>45248</v>
      </c>
      <c r="F2059" s="1">
        <v>45249</v>
      </c>
      <c r="G2059">
        <v>38.229999999999997</v>
      </c>
      <c r="H20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59" t="str">
        <f>IFERROR(INDEX(Raw_orders!G:G, MATCH(shipments[[#This Row],[order_id]],Raw_orders!A:A, 0)), "Unknown")</f>
        <v>Central Europe</v>
      </c>
      <c r="J2059" t="str">
        <f>PROPER(shipments[[#This Row],[delivery_status]])</f>
        <v>Delivered</v>
      </c>
      <c r="K2059" t="s">
        <v>6929</v>
      </c>
    </row>
    <row r="2060" spans="1:11">
      <c r="A2060" t="s">
        <v>8996</v>
      </c>
      <c r="B2060" t="s">
        <v>2840</v>
      </c>
      <c r="C2060" t="s">
        <v>6940</v>
      </c>
      <c r="D2060" s="1">
        <v>45196</v>
      </c>
      <c r="E2060" s="1">
        <v>45206</v>
      </c>
      <c r="F2060" s="1">
        <v>45219</v>
      </c>
      <c r="G2060">
        <v>11.88</v>
      </c>
      <c r="H20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60" t="str">
        <f>IFERROR(INDEX(Raw_orders!G:G, MATCH(shipments[[#This Row],[order_id]],Raw_orders!A:A, 0)), "Unknown")</f>
        <v>Nordics</v>
      </c>
      <c r="J2060" t="str">
        <f>PROPER(shipments[[#This Row],[delivery_status]])</f>
        <v>Delivered</v>
      </c>
      <c r="K2060" t="s">
        <v>6926</v>
      </c>
    </row>
    <row r="2061" spans="1:11">
      <c r="A2061" t="s">
        <v>8997</v>
      </c>
      <c r="B2061" t="s">
        <v>2841</v>
      </c>
      <c r="C2061" t="s">
        <v>6956</v>
      </c>
      <c r="D2061" s="1">
        <v>45375</v>
      </c>
      <c r="E2061" s="1">
        <v>45380</v>
      </c>
      <c r="F2061" s="1">
        <v>45383</v>
      </c>
      <c r="G2061">
        <v>57.13</v>
      </c>
      <c r="H20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61" t="str">
        <f>IFERROR(INDEX(Raw_orders!G:G, MATCH(shipments[[#This Row],[order_id]],Raw_orders!A:A, 0)), "Unknown")</f>
        <v>Central Europe</v>
      </c>
      <c r="J2061" t="str">
        <f>PROPER(shipments[[#This Row],[delivery_status]])</f>
        <v>Delivered</v>
      </c>
      <c r="K2061" t="s">
        <v>6926</v>
      </c>
    </row>
    <row r="2062" spans="1:11">
      <c r="A2062" t="s">
        <v>8998</v>
      </c>
      <c r="B2062" t="s">
        <v>2842</v>
      </c>
      <c r="C2062" t="s">
        <v>6931</v>
      </c>
      <c r="D2062" s="1">
        <v>45019</v>
      </c>
      <c r="E2062" s="1">
        <v>45029</v>
      </c>
      <c r="F2062" s="1"/>
      <c r="G2062">
        <v>55.57</v>
      </c>
      <c r="H20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062" t="str">
        <f>IFERROR(INDEX(Raw_orders!G:G, MATCH(shipments[[#This Row],[order_id]],Raw_orders!A:A, 0)), "Unknown")</f>
        <v>Central Europe</v>
      </c>
      <c r="J2062" t="str">
        <f>PROPER(shipments[[#This Row],[delivery_status]])</f>
        <v>Cancelled</v>
      </c>
      <c r="K2062" t="s">
        <v>6972</v>
      </c>
    </row>
    <row r="2063" spans="1:11">
      <c r="A2063" t="s">
        <v>8999</v>
      </c>
      <c r="B2063" t="s">
        <v>2843</v>
      </c>
      <c r="C2063" t="s">
        <v>6925</v>
      </c>
      <c r="D2063" s="1">
        <v>45154</v>
      </c>
      <c r="E2063" s="1">
        <v>45159</v>
      </c>
      <c r="F2063" s="1">
        <v>45160</v>
      </c>
      <c r="G2063">
        <v>38.270000000000003</v>
      </c>
      <c r="H20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63" t="str">
        <f>IFERROR(INDEX(Raw_orders!G:G, MATCH(shipments[[#This Row],[order_id]],Raw_orders!A:A, 0)), "Unknown")</f>
        <v>Nordics</v>
      </c>
      <c r="J2063" t="str">
        <f>PROPER(shipments[[#This Row],[delivery_status]])</f>
        <v>Delivered</v>
      </c>
      <c r="K2063" t="s">
        <v>6922</v>
      </c>
    </row>
    <row r="2064" spans="1:11">
      <c r="A2064" t="s">
        <v>9000</v>
      </c>
      <c r="B2064" t="s">
        <v>2844</v>
      </c>
      <c r="C2064" t="s">
        <v>6935</v>
      </c>
      <c r="D2064" s="1">
        <v>45578</v>
      </c>
      <c r="E2064" s="1">
        <v>45588</v>
      </c>
      <c r="F2064" s="1">
        <v>45596</v>
      </c>
      <c r="G2064">
        <v>36.6</v>
      </c>
      <c r="H20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64" t="str">
        <f>IFERROR(INDEX(Raw_orders!G:G, MATCH(shipments[[#This Row],[order_id]],Raw_orders!A:A, 0)), "Unknown")</f>
        <v>Baltics</v>
      </c>
      <c r="J2064" t="str">
        <f>PROPER(shipments[[#This Row],[delivery_status]])</f>
        <v>Delivered</v>
      </c>
      <c r="K2064" t="s">
        <v>6922</v>
      </c>
    </row>
    <row r="2065" spans="1:11">
      <c r="A2065" t="s">
        <v>9001</v>
      </c>
      <c r="B2065" t="s">
        <v>2845</v>
      </c>
      <c r="C2065" t="s">
        <v>6940</v>
      </c>
      <c r="D2065" s="1">
        <v>45138</v>
      </c>
      <c r="E2065" s="1">
        <v>45145</v>
      </c>
      <c r="F2065" s="1">
        <v>45145</v>
      </c>
      <c r="G2065">
        <v>35.42</v>
      </c>
      <c r="H20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065" t="str">
        <f>IFERROR(INDEX(Raw_orders!G:G, MATCH(shipments[[#This Row],[order_id]],Raw_orders!A:A, 0)), "Unknown")</f>
        <v>Nordics</v>
      </c>
      <c r="J2065" t="str">
        <f>PROPER(shipments[[#This Row],[delivery_status]])</f>
        <v>Delivered</v>
      </c>
      <c r="K2065" t="s">
        <v>6926</v>
      </c>
    </row>
    <row r="2066" spans="1:11">
      <c r="A2066" t="s">
        <v>9002</v>
      </c>
      <c r="B2066" t="s">
        <v>2846</v>
      </c>
      <c r="C2066" t="s">
        <v>6931</v>
      </c>
      <c r="D2066" s="1">
        <v>45379</v>
      </c>
      <c r="E2066" s="1">
        <v>45389</v>
      </c>
      <c r="F2066" s="1">
        <v>45392</v>
      </c>
      <c r="G2066">
        <v>45.75</v>
      </c>
      <c r="H20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66" t="str">
        <f>IFERROR(INDEX(Raw_orders!G:G, MATCH(shipments[[#This Row],[order_id]],Raw_orders!A:A, 0)), "Unknown")</f>
        <v>Baltics</v>
      </c>
      <c r="J2066" t="str">
        <f>PROPER(shipments[[#This Row],[delivery_status]])</f>
        <v>Delivered</v>
      </c>
      <c r="K2066" t="s">
        <v>6922</v>
      </c>
    </row>
    <row r="2067" spans="1:11">
      <c r="A2067" t="s">
        <v>9003</v>
      </c>
      <c r="B2067" t="s">
        <v>2847</v>
      </c>
      <c r="C2067" t="s">
        <v>6925</v>
      </c>
      <c r="D2067" s="1">
        <v>44939</v>
      </c>
      <c r="E2067" s="1">
        <v>44949</v>
      </c>
      <c r="F2067" s="1">
        <v>44949</v>
      </c>
      <c r="G2067">
        <v>39.81</v>
      </c>
      <c r="H20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067" t="str">
        <f>IFERROR(INDEX(Raw_orders!G:G, MATCH(shipments[[#This Row],[order_id]],Raw_orders!A:A, 0)), "Unknown")</f>
        <v>Nordics</v>
      </c>
      <c r="J2067" t="str">
        <f>PROPER(shipments[[#This Row],[delivery_status]])</f>
        <v>Delivered</v>
      </c>
      <c r="K2067" t="s">
        <v>6929</v>
      </c>
    </row>
    <row r="2068" spans="1:11">
      <c r="A2068" t="s">
        <v>9004</v>
      </c>
      <c r="B2068" t="s">
        <v>2848</v>
      </c>
      <c r="C2068" t="s">
        <v>6928</v>
      </c>
      <c r="D2068" s="1">
        <v>45560</v>
      </c>
      <c r="E2068" s="1">
        <v>45570</v>
      </c>
      <c r="F2068" s="1">
        <v>45570</v>
      </c>
      <c r="G2068">
        <v>53.02</v>
      </c>
      <c r="H20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068" t="str">
        <f>IFERROR(INDEX(Raw_orders!G:G, MATCH(shipments[[#This Row],[order_id]],Raw_orders!A:A, 0)), "Unknown")</f>
        <v>Baltics</v>
      </c>
      <c r="J2068" t="str">
        <f>PROPER(shipments[[#This Row],[delivery_status]])</f>
        <v>Delivered</v>
      </c>
      <c r="K2068" t="s">
        <v>6929</v>
      </c>
    </row>
    <row r="2069" spans="1:11">
      <c r="A2069" t="s">
        <v>9005</v>
      </c>
      <c r="B2069" t="s">
        <v>2849</v>
      </c>
      <c r="C2069" t="s">
        <v>6938</v>
      </c>
      <c r="D2069" s="1">
        <v>45099</v>
      </c>
      <c r="E2069" s="1">
        <v>45109</v>
      </c>
      <c r="F2069" s="1">
        <v>45117</v>
      </c>
      <c r="G2069">
        <v>45.72</v>
      </c>
      <c r="H20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69" t="str">
        <f>IFERROR(INDEX(Raw_orders!G:G, MATCH(shipments[[#This Row],[order_id]],Raw_orders!A:A, 0)), "Unknown")</f>
        <v>Central Europe</v>
      </c>
      <c r="J2069" t="str">
        <f>PROPER(shipments[[#This Row],[delivery_status]])</f>
        <v>Delivered</v>
      </c>
      <c r="K2069" t="s">
        <v>6926</v>
      </c>
    </row>
    <row r="2070" spans="1:11">
      <c r="A2070" t="s">
        <v>9006</v>
      </c>
      <c r="B2070" t="s">
        <v>2850</v>
      </c>
      <c r="C2070" t="s">
        <v>6935</v>
      </c>
      <c r="D2070" s="1">
        <v>45113</v>
      </c>
      <c r="E2070" s="1">
        <v>45116</v>
      </c>
      <c r="F2070" s="1">
        <v>45118</v>
      </c>
      <c r="G2070">
        <v>24.64</v>
      </c>
      <c r="H20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70" t="str">
        <f>IFERROR(INDEX(Raw_orders!G:G, MATCH(shipments[[#This Row],[order_id]],Raw_orders!A:A, 0)), "Unknown")</f>
        <v>Baltics</v>
      </c>
      <c r="J2070" t="str">
        <f>PROPER(shipments[[#This Row],[delivery_status]])</f>
        <v>Delivered</v>
      </c>
      <c r="K2070" t="s">
        <v>6929</v>
      </c>
    </row>
    <row r="2071" spans="1:11">
      <c r="A2071" t="s">
        <v>9007</v>
      </c>
      <c r="B2071" t="s">
        <v>2851</v>
      </c>
      <c r="C2071" t="s">
        <v>6931</v>
      </c>
      <c r="D2071" s="1">
        <v>45490</v>
      </c>
      <c r="E2071" s="1">
        <v>45500</v>
      </c>
      <c r="F2071" s="1">
        <v>45501</v>
      </c>
      <c r="G2071">
        <v>51.92</v>
      </c>
      <c r="H20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71" t="str">
        <f>IFERROR(INDEX(Raw_orders!G:G, MATCH(shipments[[#This Row],[order_id]],Raw_orders!A:A, 0)), "Unknown")</f>
        <v>Nordics</v>
      </c>
      <c r="J2071" t="str">
        <f>PROPER(shipments[[#This Row],[delivery_status]])</f>
        <v>Delivered</v>
      </c>
      <c r="K2071" t="s">
        <v>6929</v>
      </c>
    </row>
    <row r="2072" spans="1:11">
      <c r="A2072" t="s">
        <v>9008</v>
      </c>
      <c r="B2072" t="s">
        <v>2852</v>
      </c>
      <c r="C2072" t="s">
        <v>6940</v>
      </c>
      <c r="D2072" s="1">
        <v>45180</v>
      </c>
      <c r="E2072" s="1">
        <v>45190</v>
      </c>
      <c r="F2072" s="1"/>
      <c r="G2072">
        <v>28.38</v>
      </c>
      <c r="H20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072" t="str">
        <f>IFERROR(INDEX(Raw_orders!G:G, MATCH(shipments[[#This Row],[order_id]],Raw_orders!A:A, 0)), "Unknown")</f>
        <v>Central Europe</v>
      </c>
      <c r="J2072" t="str">
        <f>PROPER(shipments[[#This Row],[delivery_status]])</f>
        <v>In Transit</v>
      </c>
      <c r="K2072" t="s">
        <v>6977</v>
      </c>
    </row>
    <row r="2073" spans="1:11">
      <c r="A2073" t="s">
        <v>9009</v>
      </c>
      <c r="B2073" t="s">
        <v>2853</v>
      </c>
      <c r="C2073" t="s">
        <v>6928</v>
      </c>
      <c r="D2073" s="1">
        <v>45354</v>
      </c>
      <c r="E2073" s="1">
        <v>45364</v>
      </c>
      <c r="F2073" s="1">
        <v>45376</v>
      </c>
      <c r="G2073">
        <v>33.200000000000003</v>
      </c>
      <c r="H20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73" t="str">
        <f>IFERROR(INDEX(Raw_orders!G:G, MATCH(shipments[[#This Row],[order_id]],Raw_orders!A:A, 0)), "Unknown")</f>
        <v>Baltics</v>
      </c>
      <c r="J2073" t="str">
        <f>PROPER(shipments[[#This Row],[delivery_status]])</f>
        <v>Delivered</v>
      </c>
      <c r="K2073" t="s">
        <v>6922</v>
      </c>
    </row>
    <row r="2074" spans="1:11">
      <c r="A2074" t="s">
        <v>9010</v>
      </c>
      <c r="B2074" t="s">
        <v>2854</v>
      </c>
      <c r="C2074" t="s">
        <v>6925</v>
      </c>
      <c r="D2074" s="1">
        <v>45358</v>
      </c>
      <c r="E2074" s="1">
        <v>45360</v>
      </c>
      <c r="F2074" s="1">
        <v>45365</v>
      </c>
      <c r="G2074">
        <v>59.36</v>
      </c>
      <c r="H20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74" t="str">
        <f>IFERROR(INDEX(Raw_orders!G:G, MATCH(shipments[[#This Row],[order_id]],Raw_orders!A:A, 0)), "Unknown")</f>
        <v>Nordics</v>
      </c>
      <c r="J2074" t="str">
        <f>PROPER(shipments[[#This Row],[delivery_status]])</f>
        <v>Delivered</v>
      </c>
      <c r="K2074" t="s">
        <v>6922</v>
      </c>
    </row>
    <row r="2075" spans="1:11">
      <c r="A2075" t="s">
        <v>9011</v>
      </c>
      <c r="B2075" t="s">
        <v>2855</v>
      </c>
      <c r="C2075" t="s">
        <v>6935</v>
      </c>
      <c r="D2075" s="1">
        <v>45470</v>
      </c>
      <c r="E2075" s="1">
        <v>45480</v>
      </c>
      <c r="F2075" s="1">
        <v>45480</v>
      </c>
      <c r="G2075">
        <v>57.62</v>
      </c>
      <c r="H20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075" t="str">
        <f>IFERROR(INDEX(Raw_orders!G:G, MATCH(shipments[[#This Row],[order_id]],Raw_orders!A:A, 0)), "Unknown")</f>
        <v>Nordics</v>
      </c>
      <c r="J2075" t="str">
        <f>PROPER(shipments[[#This Row],[delivery_status]])</f>
        <v>Delivered</v>
      </c>
      <c r="K2075" t="s">
        <v>6929</v>
      </c>
    </row>
    <row r="2076" spans="1:11">
      <c r="A2076" t="s">
        <v>9012</v>
      </c>
      <c r="B2076" t="s">
        <v>2856</v>
      </c>
      <c r="C2076" t="s">
        <v>6931</v>
      </c>
      <c r="D2076" s="1">
        <v>45565</v>
      </c>
      <c r="E2076" s="1">
        <v>45570</v>
      </c>
      <c r="F2076" s="1">
        <v>45570</v>
      </c>
      <c r="G2076">
        <v>47.96</v>
      </c>
      <c r="H20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076" t="str">
        <f>IFERROR(INDEX(Raw_orders!G:G, MATCH(shipments[[#This Row],[order_id]],Raw_orders!A:A, 0)), "Unknown")</f>
        <v>Nordics</v>
      </c>
      <c r="J2076" t="str">
        <f>PROPER(shipments[[#This Row],[delivery_status]])</f>
        <v>Delivered</v>
      </c>
      <c r="K2076" t="s">
        <v>6929</v>
      </c>
    </row>
    <row r="2077" spans="1:11">
      <c r="A2077" t="s">
        <v>9013</v>
      </c>
      <c r="B2077" t="s">
        <v>2857</v>
      </c>
      <c r="C2077" t="s">
        <v>6935</v>
      </c>
      <c r="D2077" s="1">
        <v>45173</v>
      </c>
      <c r="E2077" s="1">
        <v>45175</v>
      </c>
      <c r="F2077" s="1">
        <v>45176</v>
      </c>
      <c r="G2077">
        <v>18.79</v>
      </c>
      <c r="H20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77" t="str">
        <f>IFERROR(INDEX(Raw_orders!G:G, MATCH(shipments[[#This Row],[order_id]],Raw_orders!A:A, 0)), "Unknown")</f>
        <v>Nordics</v>
      </c>
      <c r="J2077" t="str">
        <f>PROPER(shipments[[#This Row],[delivery_status]])</f>
        <v>Delivered</v>
      </c>
      <c r="K2077" t="s">
        <v>6929</v>
      </c>
    </row>
    <row r="2078" spans="1:11">
      <c r="A2078" t="s">
        <v>9014</v>
      </c>
      <c r="B2078" t="s">
        <v>2858</v>
      </c>
      <c r="C2078" t="s">
        <v>6921</v>
      </c>
      <c r="D2078" s="1">
        <v>45497</v>
      </c>
      <c r="E2078" s="1">
        <v>45502</v>
      </c>
      <c r="F2078" s="1">
        <v>45502</v>
      </c>
      <c r="G2078">
        <v>27.57</v>
      </c>
      <c r="H20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078" t="str">
        <f>IFERROR(INDEX(Raw_orders!G:G, MATCH(shipments[[#This Row],[order_id]],Raw_orders!A:A, 0)), "Unknown")</f>
        <v>Central Europe</v>
      </c>
      <c r="J2078" t="str">
        <f>PROPER(shipments[[#This Row],[delivery_status]])</f>
        <v>Delivered</v>
      </c>
      <c r="K2078" t="s">
        <v>6926</v>
      </c>
    </row>
    <row r="2079" spans="1:11">
      <c r="A2079" t="s">
        <v>9015</v>
      </c>
      <c r="B2079" t="s">
        <v>2859</v>
      </c>
      <c r="C2079" t="s">
        <v>6925</v>
      </c>
      <c r="D2079" s="1">
        <v>45194</v>
      </c>
      <c r="E2079" s="1">
        <v>45204</v>
      </c>
      <c r="F2079" s="1">
        <v>45203</v>
      </c>
      <c r="G2079">
        <v>21.88</v>
      </c>
      <c r="H20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079" t="str">
        <f>IFERROR(INDEX(Raw_orders!G:G, MATCH(shipments[[#This Row],[order_id]],Raw_orders!A:A, 0)), "Unknown")</f>
        <v>Central Europe</v>
      </c>
      <c r="J2079" t="str">
        <f>PROPER(shipments[[#This Row],[delivery_status]])</f>
        <v>Delivered</v>
      </c>
      <c r="K2079" t="s">
        <v>6922</v>
      </c>
    </row>
    <row r="2080" spans="1:11">
      <c r="A2080" t="s">
        <v>9016</v>
      </c>
      <c r="B2080" t="s">
        <v>2860</v>
      </c>
      <c r="C2080" t="s">
        <v>6949</v>
      </c>
      <c r="D2080" s="1">
        <v>45575</v>
      </c>
      <c r="E2080" s="1">
        <v>45578</v>
      </c>
      <c r="F2080" s="1">
        <v>45579</v>
      </c>
      <c r="G2080">
        <v>11.14</v>
      </c>
      <c r="H20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80" t="str">
        <f>IFERROR(INDEX(Raw_orders!G:G, MATCH(shipments[[#This Row],[order_id]],Raw_orders!A:A, 0)), "Unknown")</f>
        <v>Nordics</v>
      </c>
      <c r="J2080" t="str">
        <f>PROPER(shipments[[#This Row],[delivery_status]])</f>
        <v>Delivered</v>
      </c>
      <c r="K2080" t="s">
        <v>6926</v>
      </c>
    </row>
    <row r="2081" spans="1:11">
      <c r="A2081" t="s">
        <v>9017</v>
      </c>
      <c r="B2081" t="s">
        <v>2861</v>
      </c>
      <c r="C2081" t="s">
        <v>6949</v>
      </c>
      <c r="D2081" s="1">
        <v>45479</v>
      </c>
      <c r="E2081" s="1">
        <v>45482</v>
      </c>
      <c r="F2081" s="1"/>
      <c r="G2081">
        <v>50.15</v>
      </c>
      <c r="H20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081" t="str">
        <f>IFERROR(INDEX(Raw_orders!G:G, MATCH(shipments[[#This Row],[order_id]],Raw_orders!A:A, 0)), "Unknown")</f>
        <v>Nordics</v>
      </c>
      <c r="J2081" t="str">
        <f>PROPER(shipments[[#This Row],[delivery_status]])</f>
        <v>Cancelled</v>
      </c>
      <c r="K2081" t="s">
        <v>6972</v>
      </c>
    </row>
    <row r="2082" spans="1:11">
      <c r="A2082" t="s">
        <v>9018</v>
      </c>
      <c r="B2082" t="s">
        <v>2862</v>
      </c>
      <c r="C2082" t="s">
        <v>6921</v>
      </c>
      <c r="D2082" s="1">
        <v>45093</v>
      </c>
      <c r="E2082" s="1">
        <v>45100</v>
      </c>
      <c r="F2082" s="1"/>
      <c r="G2082">
        <v>56.85</v>
      </c>
      <c r="H20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082" t="str">
        <f>IFERROR(INDEX(Raw_orders!G:G, MATCH(shipments[[#This Row],[order_id]],Raw_orders!A:A, 0)), "Unknown")</f>
        <v>Nordics</v>
      </c>
      <c r="J2082" t="str">
        <f>PROPER(shipments[[#This Row],[delivery_status]])</f>
        <v>Cancelled</v>
      </c>
      <c r="K2082" t="s">
        <v>6963</v>
      </c>
    </row>
    <row r="2083" spans="1:11">
      <c r="A2083" t="s">
        <v>9019</v>
      </c>
      <c r="B2083" t="s">
        <v>2863</v>
      </c>
      <c r="C2083" t="s">
        <v>6938</v>
      </c>
      <c r="D2083" s="1">
        <v>45364</v>
      </c>
      <c r="E2083" s="1">
        <v>45374</v>
      </c>
      <c r="F2083" s="1">
        <v>45376</v>
      </c>
      <c r="G2083">
        <v>20.399999999999999</v>
      </c>
      <c r="H20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83" t="str">
        <f>IFERROR(INDEX(Raw_orders!G:G, MATCH(shipments[[#This Row],[order_id]],Raw_orders!A:A, 0)), "Unknown")</f>
        <v>Baltics</v>
      </c>
      <c r="J2083" t="str">
        <f>PROPER(shipments[[#This Row],[delivery_status]])</f>
        <v>Delivered</v>
      </c>
      <c r="K2083" t="s">
        <v>6926</v>
      </c>
    </row>
    <row r="2084" spans="1:11">
      <c r="A2084" t="s">
        <v>9020</v>
      </c>
      <c r="B2084" t="s">
        <v>2864</v>
      </c>
      <c r="C2084" t="s">
        <v>6928</v>
      </c>
      <c r="D2084" s="1">
        <v>45155</v>
      </c>
      <c r="E2084" s="1">
        <v>45157</v>
      </c>
      <c r="F2084" s="1">
        <v>45157</v>
      </c>
      <c r="G2084">
        <v>23.86</v>
      </c>
      <c r="H20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084" t="str">
        <f>IFERROR(INDEX(Raw_orders!G:G, MATCH(shipments[[#This Row],[order_id]],Raw_orders!A:A, 0)), "Unknown")</f>
        <v>Central Europe</v>
      </c>
      <c r="J2084" t="str">
        <f>PROPER(shipments[[#This Row],[delivery_status]])</f>
        <v>Delivered</v>
      </c>
      <c r="K2084" t="s">
        <v>6929</v>
      </c>
    </row>
    <row r="2085" spans="1:11">
      <c r="A2085" t="s">
        <v>9021</v>
      </c>
      <c r="B2085" t="s">
        <v>2865</v>
      </c>
      <c r="C2085" t="s">
        <v>6956</v>
      </c>
      <c r="D2085" s="1">
        <v>45120</v>
      </c>
      <c r="E2085" s="1">
        <v>45130</v>
      </c>
      <c r="F2085" s="1">
        <v>45130</v>
      </c>
      <c r="G2085">
        <v>22.64</v>
      </c>
      <c r="H20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085" t="str">
        <f>IFERROR(INDEX(Raw_orders!G:G, MATCH(shipments[[#This Row],[order_id]],Raw_orders!A:A, 0)), "Unknown")</f>
        <v>Baltics</v>
      </c>
      <c r="J2085" t="str">
        <f>PROPER(shipments[[#This Row],[delivery_status]])</f>
        <v>Delivered</v>
      </c>
      <c r="K2085" t="s">
        <v>6926</v>
      </c>
    </row>
    <row r="2086" spans="1:11">
      <c r="A2086" t="s">
        <v>9022</v>
      </c>
      <c r="B2086" t="s">
        <v>2866</v>
      </c>
      <c r="C2086" t="s">
        <v>6940</v>
      </c>
      <c r="D2086" s="1">
        <v>45227</v>
      </c>
      <c r="E2086" s="1">
        <v>45229</v>
      </c>
      <c r="F2086" s="1">
        <v>45229</v>
      </c>
      <c r="G2086">
        <v>55.35</v>
      </c>
      <c r="H20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086" t="str">
        <f>IFERROR(INDEX(Raw_orders!G:G, MATCH(shipments[[#This Row],[order_id]],Raw_orders!A:A, 0)), "Unknown")</f>
        <v>Central Europe</v>
      </c>
      <c r="J2086" t="str">
        <f>PROPER(shipments[[#This Row],[delivery_status]])</f>
        <v>Delivered</v>
      </c>
      <c r="K2086" t="s">
        <v>6922</v>
      </c>
    </row>
    <row r="2087" spans="1:11">
      <c r="A2087" t="s">
        <v>9023</v>
      </c>
      <c r="B2087" t="s">
        <v>2867</v>
      </c>
      <c r="C2087" t="s">
        <v>6928</v>
      </c>
      <c r="D2087" s="1">
        <v>45118</v>
      </c>
      <c r="E2087" s="1">
        <v>45123</v>
      </c>
      <c r="F2087" s="1">
        <v>45126</v>
      </c>
      <c r="G2087">
        <v>20.93</v>
      </c>
      <c r="H20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87" t="str">
        <f>IFERROR(INDEX(Raw_orders!G:G, MATCH(shipments[[#This Row],[order_id]],Raw_orders!A:A, 0)), "Unknown")</f>
        <v>Nordics</v>
      </c>
      <c r="J2087" t="str">
        <f>PROPER(shipments[[#This Row],[delivery_status]])</f>
        <v>Delivered</v>
      </c>
      <c r="K2087" t="s">
        <v>6929</v>
      </c>
    </row>
    <row r="2088" spans="1:11">
      <c r="A2088" t="s">
        <v>9024</v>
      </c>
      <c r="B2088" t="s">
        <v>2868</v>
      </c>
      <c r="C2088" t="s">
        <v>6931</v>
      </c>
      <c r="D2088" s="1">
        <v>45462</v>
      </c>
      <c r="E2088" s="1">
        <v>45469</v>
      </c>
      <c r="F2088" s="1">
        <v>45477</v>
      </c>
      <c r="G2088">
        <v>37.53</v>
      </c>
      <c r="H20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88" t="str">
        <f>IFERROR(INDEX(Raw_orders!G:G, MATCH(shipments[[#This Row],[order_id]],Raw_orders!A:A, 0)), "Unknown")</f>
        <v>Central Europe</v>
      </c>
      <c r="J2088" t="str">
        <f>PROPER(shipments[[#This Row],[delivery_status]])</f>
        <v>Delivered</v>
      </c>
      <c r="K2088" t="s">
        <v>6922</v>
      </c>
    </row>
    <row r="2089" spans="1:11">
      <c r="A2089" t="s">
        <v>9025</v>
      </c>
      <c r="B2089" t="s">
        <v>2869</v>
      </c>
      <c r="C2089" t="s">
        <v>6921</v>
      </c>
      <c r="D2089" s="1">
        <v>45175</v>
      </c>
      <c r="E2089" s="1">
        <v>45185</v>
      </c>
      <c r="F2089" s="1"/>
      <c r="G2089">
        <v>42.79</v>
      </c>
      <c r="H20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089" t="str">
        <f>IFERROR(INDEX(Raw_orders!G:G, MATCH(shipments[[#This Row],[order_id]],Raw_orders!A:A, 0)), "Unknown")</f>
        <v>Baltics</v>
      </c>
      <c r="J2089" t="str">
        <f>PROPER(shipments[[#This Row],[delivery_status]])</f>
        <v>In Transit</v>
      </c>
      <c r="K2089" t="s">
        <v>6977</v>
      </c>
    </row>
    <row r="2090" spans="1:11">
      <c r="A2090" t="s">
        <v>9026</v>
      </c>
      <c r="B2090" t="s">
        <v>2870</v>
      </c>
      <c r="C2090" t="s">
        <v>6935</v>
      </c>
      <c r="D2090" s="1">
        <v>45112</v>
      </c>
      <c r="E2090" s="1">
        <v>45117</v>
      </c>
      <c r="F2090" s="1"/>
      <c r="G2090">
        <v>44.48</v>
      </c>
      <c r="H20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090" t="str">
        <f>IFERROR(INDEX(Raw_orders!G:G, MATCH(shipments[[#This Row],[order_id]],Raw_orders!A:A, 0)), "Unknown")</f>
        <v>Central Europe</v>
      </c>
      <c r="J2090" t="str">
        <f>PROPER(shipments[[#This Row],[delivery_status]])</f>
        <v>Cancelled</v>
      </c>
      <c r="K2090" t="s">
        <v>6963</v>
      </c>
    </row>
    <row r="2091" spans="1:11">
      <c r="A2091" t="s">
        <v>9027</v>
      </c>
      <c r="B2091" t="s">
        <v>2871</v>
      </c>
      <c r="C2091" t="s">
        <v>6956</v>
      </c>
      <c r="D2091" s="1">
        <v>45193</v>
      </c>
      <c r="E2091" s="1">
        <v>45196</v>
      </c>
      <c r="F2091" s="1">
        <v>45204</v>
      </c>
      <c r="G2091">
        <v>33.32</v>
      </c>
      <c r="H20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91" t="str">
        <f>IFERROR(INDEX(Raw_orders!G:G, MATCH(shipments[[#This Row],[order_id]],Raw_orders!A:A, 0)), "Unknown")</f>
        <v>Central Europe</v>
      </c>
      <c r="J2091" t="str">
        <f>PROPER(shipments[[#This Row],[delivery_status]])</f>
        <v>Delivered</v>
      </c>
      <c r="K2091" t="s">
        <v>6922</v>
      </c>
    </row>
    <row r="2092" spans="1:11">
      <c r="A2092" t="s">
        <v>9028</v>
      </c>
      <c r="B2092" t="s">
        <v>2872</v>
      </c>
      <c r="C2092" t="s">
        <v>6938</v>
      </c>
      <c r="D2092" s="1">
        <v>44944</v>
      </c>
      <c r="E2092" s="1">
        <v>44946</v>
      </c>
      <c r="F2092" s="1">
        <v>44948</v>
      </c>
      <c r="G2092">
        <v>52.6</v>
      </c>
      <c r="H20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92" t="str">
        <f>IFERROR(INDEX(Raw_orders!G:G, MATCH(shipments[[#This Row],[order_id]],Raw_orders!A:A, 0)), "Unknown")</f>
        <v>Central Europe</v>
      </c>
      <c r="J2092" t="str">
        <f>PROPER(shipments[[#This Row],[delivery_status]])</f>
        <v>Delivered</v>
      </c>
      <c r="K2092" t="s">
        <v>6929</v>
      </c>
    </row>
    <row r="2093" spans="1:11">
      <c r="A2093" t="s">
        <v>9029</v>
      </c>
      <c r="B2093" t="s">
        <v>2873</v>
      </c>
      <c r="C2093" t="s">
        <v>6925</v>
      </c>
      <c r="D2093" s="1">
        <v>45052</v>
      </c>
      <c r="E2093" s="1">
        <v>45059</v>
      </c>
      <c r="F2093" s="1">
        <v>45062</v>
      </c>
      <c r="G2093">
        <v>7.2</v>
      </c>
      <c r="H20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93" t="str">
        <f>IFERROR(INDEX(Raw_orders!G:G, MATCH(shipments[[#This Row],[order_id]],Raw_orders!A:A, 0)), "Unknown")</f>
        <v>Nordics</v>
      </c>
      <c r="J2093" t="str">
        <f>PROPER(shipments[[#This Row],[delivery_status]])</f>
        <v>Delivered</v>
      </c>
      <c r="K2093" t="s">
        <v>6922</v>
      </c>
    </row>
    <row r="2094" spans="1:11">
      <c r="A2094" t="s">
        <v>9030</v>
      </c>
      <c r="B2094" t="s">
        <v>2873</v>
      </c>
      <c r="C2094" t="s">
        <v>6935</v>
      </c>
      <c r="D2094" s="1">
        <v>45050</v>
      </c>
      <c r="E2094" s="1">
        <v>45055</v>
      </c>
      <c r="F2094" s="1">
        <v>45055</v>
      </c>
      <c r="G2094">
        <v>63.79</v>
      </c>
      <c r="H20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094" t="str">
        <f>IFERROR(INDEX(Raw_orders!G:G, MATCH(shipments[[#This Row],[order_id]],Raw_orders!A:A, 0)), "Unknown")</f>
        <v>Nordics</v>
      </c>
      <c r="J2094" t="str">
        <f>PROPER(shipments[[#This Row],[delivery_status]])</f>
        <v>Delivered</v>
      </c>
      <c r="K2094" t="s">
        <v>6922</v>
      </c>
    </row>
    <row r="2095" spans="1:11">
      <c r="A2095" t="s">
        <v>9031</v>
      </c>
      <c r="B2095" t="s">
        <v>2874</v>
      </c>
      <c r="C2095" t="s">
        <v>6940</v>
      </c>
      <c r="D2095" s="1">
        <v>45333</v>
      </c>
      <c r="E2095" s="1">
        <v>45338</v>
      </c>
      <c r="F2095" s="1">
        <v>45338</v>
      </c>
      <c r="G2095">
        <v>23.33</v>
      </c>
      <c r="H20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095" t="str">
        <f>IFERROR(INDEX(Raw_orders!G:G, MATCH(shipments[[#This Row],[order_id]],Raw_orders!A:A, 0)), "Unknown")</f>
        <v>Nordics</v>
      </c>
      <c r="J2095" t="str">
        <f>PROPER(shipments[[#This Row],[delivery_status]])</f>
        <v>Delivered</v>
      </c>
      <c r="K2095" t="s">
        <v>6929</v>
      </c>
    </row>
    <row r="2096" spans="1:11">
      <c r="A2096" t="s">
        <v>9032</v>
      </c>
      <c r="B2096" t="s">
        <v>2875</v>
      </c>
      <c r="C2096" t="s">
        <v>6928</v>
      </c>
      <c r="D2096" s="1">
        <v>45443</v>
      </c>
      <c r="E2096" s="1">
        <v>45445</v>
      </c>
      <c r="F2096" s="1"/>
      <c r="G2096">
        <v>54.31</v>
      </c>
      <c r="H20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096" t="str">
        <f>IFERROR(INDEX(Raw_orders!G:G, MATCH(shipments[[#This Row],[order_id]],Raw_orders!A:A, 0)), "Unknown")</f>
        <v>Central Europe</v>
      </c>
      <c r="J2096" t="str">
        <f>PROPER(shipments[[#This Row],[delivery_status]])</f>
        <v>Cancelled</v>
      </c>
      <c r="K2096" t="s">
        <v>6963</v>
      </c>
    </row>
    <row r="2097" spans="1:11">
      <c r="A2097" t="s">
        <v>9033</v>
      </c>
      <c r="B2097" t="s">
        <v>2876</v>
      </c>
      <c r="C2097" t="s">
        <v>6928</v>
      </c>
      <c r="D2097" s="1">
        <v>45429</v>
      </c>
      <c r="E2097" s="1">
        <v>45431</v>
      </c>
      <c r="F2097" s="1"/>
      <c r="G2097">
        <v>28.88</v>
      </c>
      <c r="H20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097" t="str">
        <f>IFERROR(INDEX(Raw_orders!G:G, MATCH(shipments[[#This Row],[order_id]],Raw_orders!A:A, 0)), "Unknown")</f>
        <v>Nordics</v>
      </c>
      <c r="J2097" t="str">
        <f>PROPER(shipments[[#This Row],[delivery_status]])</f>
        <v>In Transit</v>
      </c>
      <c r="K2097" t="s">
        <v>6977</v>
      </c>
    </row>
    <row r="2098" spans="1:11">
      <c r="A2098" t="s">
        <v>9034</v>
      </c>
      <c r="B2098" t="s">
        <v>2876</v>
      </c>
      <c r="C2098" t="s">
        <v>6956</v>
      </c>
      <c r="D2098" s="1">
        <v>45426</v>
      </c>
      <c r="E2098" s="1">
        <v>45431</v>
      </c>
      <c r="F2098" s="1">
        <v>45432</v>
      </c>
      <c r="G2098">
        <v>9.58</v>
      </c>
      <c r="H20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098" t="str">
        <f>IFERROR(INDEX(Raw_orders!G:G, MATCH(shipments[[#This Row],[order_id]],Raw_orders!A:A, 0)), "Unknown")</f>
        <v>Nordics</v>
      </c>
      <c r="J2098" t="str">
        <f>PROPER(shipments[[#This Row],[delivery_status]])</f>
        <v>Delivered</v>
      </c>
      <c r="K2098" t="s">
        <v>6926</v>
      </c>
    </row>
    <row r="2099" spans="1:11">
      <c r="A2099" t="s">
        <v>9035</v>
      </c>
      <c r="B2099" t="s">
        <v>2877</v>
      </c>
      <c r="C2099" t="s">
        <v>6940</v>
      </c>
      <c r="D2099" s="1">
        <v>45168</v>
      </c>
      <c r="E2099" s="1">
        <v>45171</v>
      </c>
      <c r="F2099" s="1">
        <v>45170</v>
      </c>
      <c r="G2099">
        <v>25.06</v>
      </c>
      <c r="H20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099" t="str">
        <f>IFERROR(INDEX(Raw_orders!G:G, MATCH(shipments[[#This Row],[order_id]],Raw_orders!A:A, 0)), "Unknown")</f>
        <v>Nordics</v>
      </c>
      <c r="J2099" t="str">
        <f>PROPER(shipments[[#This Row],[delivery_status]])</f>
        <v>Delivered</v>
      </c>
      <c r="K2099" t="s">
        <v>6926</v>
      </c>
    </row>
    <row r="2100" spans="1:11">
      <c r="A2100" t="s">
        <v>9036</v>
      </c>
      <c r="B2100" t="s">
        <v>2878</v>
      </c>
      <c r="C2100" t="s">
        <v>6925</v>
      </c>
      <c r="D2100" s="1">
        <v>45599</v>
      </c>
      <c r="E2100" s="1">
        <v>45606</v>
      </c>
      <c r="F2100" s="1">
        <v>45606</v>
      </c>
      <c r="G2100">
        <v>30.29</v>
      </c>
      <c r="H21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100" t="str">
        <f>IFERROR(INDEX(Raw_orders!G:G, MATCH(shipments[[#This Row],[order_id]],Raw_orders!A:A, 0)), "Unknown")</f>
        <v>Baltics</v>
      </c>
      <c r="J2100" t="str">
        <f>PROPER(shipments[[#This Row],[delivery_status]])</f>
        <v>Delivered</v>
      </c>
      <c r="K2100" t="s">
        <v>6929</v>
      </c>
    </row>
    <row r="2101" spans="1:11">
      <c r="A2101" t="s">
        <v>9037</v>
      </c>
      <c r="B2101" t="s">
        <v>2879</v>
      </c>
      <c r="C2101" t="s">
        <v>6928</v>
      </c>
      <c r="D2101" s="1">
        <v>45223</v>
      </c>
      <c r="E2101" s="1">
        <v>45225</v>
      </c>
      <c r="F2101" s="1">
        <v>45230</v>
      </c>
      <c r="G2101">
        <v>5.09</v>
      </c>
      <c r="H21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01" t="str">
        <f>IFERROR(INDEX(Raw_orders!G:G, MATCH(shipments[[#This Row],[order_id]],Raw_orders!A:A, 0)), "Unknown")</f>
        <v>Central Europe</v>
      </c>
      <c r="J2101" t="str">
        <f>PROPER(shipments[[#This Row],[delivery_status]])</f>
        <v>Delivered</v>
      </c>
      <c r="K2101" t="s">
        <v>6922</v>
      </c>
    </row>
    <row r="2102" spans="1:11">
      <c r="A2102" t="s">
        <v>9038</v>
      </c>
      <c r="B2102" t="s">
        <v>2880</v>
      </c>
      <c r="C2102" t="s">
        <v>6935</v>
      </c>
      <c r="D2102" s="1">
        <v>45426</v>
      </c>
      <c r="E2102" s="1">
        <v>45436</v>
      </c>
      <c r="F2102" s="1">
        <v>45447</v>
      </c>
      <c r="G2102">
        <v>52.4</v>
      </c>
      <c r="H21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02" t="str">
        <f>IFERROR(INDEX(Raw_orders!G:G, MATCH(shipments[[#This Row],[order_id]],Raw_orders!A:A, 0)), "Unknown")</f>
        <v>Central Europe</v>
      </c>
      <c r="J2102" t="str">
        <f>PROPER(shipments[[#This Row],[delivery_status]])</f>
        <v>Delivered</v>
      </c>
      <c r="K2102" t="s">
        <v>6929</v>
      </c>
    </row>
    <row r="2103" spans="1:11">
      <c r="A2103" t="s">
        <v>9039</v>
      </c>
      <c r="B2103" t="s">
        <v>2881</v>
      </c>
      <c r="C2103" t="s">
        <v>6925</v>
      </c>
      <c r="D2103" s="1">
        <v>45349</v>
      </c>
      <c r="E2103" s="1">
        <v>45356</v>
      </c>
      <c r="F2103" s="1">
        <v>45363</v>
      </c>
      <c r="G2103">
        <v>41.11</v>
      </c>
      <c r="H21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03" t="str">
        <f>IFERROR(INDEX(Raw_orders!G:G, MATCH(shipments[[#This Row],[order_id]],Raw_orders!A:A, 0)), "Unknown")</f>
        <v>Nordics</v>
      </c>
      <c r="J2103" t="str">
        <f>PROPER(shipments[[#This Row],[delivery_status]])</f>
        <v>Delivered</v>
      </c>
      <c r="K2103" t="s">
        <v>6926</v>
      </c>
    </row>
    <row r="2104" spans="1:11">
      <c r="A2104" t="s">
        <v>9040</v>
      </c>
      <c r="B2104" t="s">
        <v>2882</v>
      </c>
      <c r="C2104" t="s">
        <v>6925</v>
      </c>
      <c r="D2104" s="1">
        <v>45205</v>
      </c>
      <c r="E2104" s="1">
        <v>45215</v>
      </c>
      <c r="F2104" s="1">
        <v>45220</v>
      </c>
      <c r="G2104">
        <v>64.56</v>
      </c>
      <c r="H21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04" t="str">
        <f>IFERROR(INDEX(Raw_orders!G:G, MATCH(shipments[[#This Row],[order_id]],Raw_orders!A:A, 0)), "Unknown")</f>
        <v>Central Europe</v>
      </c>
      <c r="J2104" t="str">
        <f>PROPER(shipments[[#This Row],[delivery_status]])</f>
        <v>Delivered</v>
      </c>
      <c r="K2104" t="s">
        <v>6922</v>
      </c>
    </row>
    <row r="2105" spans="1:11">
      <c r="A2105" t="s">
        <v>9041</v>
      </c>
      <c r="B2105" t="s">
        <v>2883</v>
      </c>
      <c r="C2105" t="s">
        <v>6956</v>
      </c>
      <c r="D2105" s="1">
        <v>45470</v>
      </c>
      <c r="E2105" s="1">
        <v>45480</v>
      </c>
      <c r="F2105" s="1">
        <v>45480</v>
      </c>
      <c r="G2105">
        <v>10</v>
      </c>
      <c r="H21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105" t="str">
        <f>IFERROR(INDEX(Raw_orders!G:G, MATCH(shipments[[#This Row],[order_id]],Raw_orders!A:A, 0)), "Unknown")</f>
        <v>Nordics</v>
      </c>
      <c r="J2105" t="str">
        <f>PROPER(shipments[[#This Row],[delivery_status]])</f>
        <v>Delivered</v>
      </c>
      <c r="K2105" t="s">
        <v>6929</v>
      </c>
    </row>
    <row r="2106" spans="1:11">
      <c r="A2106" t="s">
        <v>9042</v>
      </c>
      <c r="B2106" t="s">
        <v>2883</v>
      </c>
      <c r="C2106" t="s">
        <v>6935</v>
      </c>
      <c r="D2106" s="1">
        <v>45471</v>
      </c>
      <c r="E2106" s="1">
        <v>45473</v>
      </c>
      <c r="F2106" s="1">
        <v>45478</v>
      </c>
      <c r="G2106">
        <v>47.93</v>
      </c>
      <c r="H21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06" t="str">
        <f>IFERROR(INDEX(Raw_orders!G:G, MATCH(shipments[[#This Row],[order_id]],Raw_orders!A:A, 0)), "Unknown")</f>
        <v>Nordics</v>
      </c>
      <c r="J2106" t="str">
        <f>PROPER(shipments[[#This Row],[delivery_status]])</f>
        <v>Delivered</v>
      </c>
      <c r="K2106" t="s">
        <v>6929</v>
      </c>
    </row>
    <row r="2107" spans="1:11">
      <c r="A2107" t="s">
        <v>9043</v>
      </c>
      <c r="B2107" t="s">
        <v>2884</v>
      </c>
      <c r="C2107" t="s">
        <v>6921</v>
      </c>
      <c r="D2107" s="1">
        <v>45390</v>
      </c>
      <c r="E2107" s="1">
        <v>45393</v>
      </c>
      <c r="F2107" s="1">
        <v>45394</v>
      </c>
      <c r="G2107">
        <v>6.25</v>
      </c>
      <c r="H21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07" t="str">
        <f>IFERROR(INDEX(Raw_orders!G:G, MATCH(shipments[[#This Row],[order_id]],Raw_orders!A:A, 0)), "Unknown")</f>
        <v>Baltics</v>
      </c>
      <c r="J2107" t="str">
        <f>PROPER(shipments[[#This Row],[delivery_status]])</f>
        <v>Delivered</v>
      </c>
      <c r="K2107" t="s">
        <v>6922</v>
      </c>
    </row>
    <row r="2108" spans="1:11">
      <c r="A2108" t="s">
        <v>9044</v>
      </c>
      <c r="B2108" t="s">
        <v>2885</v>
      </c>
      <c r="C2108" t="s">
        <v>6949</v>
      </c>
      <c r="D2108" s="1">
        <v>45541</v>
      </c>
      <c r="E2108" s="1">
        <v>45546</v>
      </c>
      <c r="F2108" s="1">
        <v>45546</v>
      </c>
      <c r="G2108">
        <v>60.42</v>
      </c>
      <c r="H21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108" t="str">
        <f>IFERROR(INDEX(Raw_orders!G:G, MATCH(shipments[[#This Row],[order_id]],Raw_orders!A:A, 0)), "Unknown")</f>
        <v>Central Europe</v>
      </c>
      <c r="J2108" t="str">
        <f>PROPER(shipments[[#This Row],[delivery_status]])</f>
        <v>Delivered</v>
      </c>
      <c r="K2108" t="s">
        <v>6926</v>
      </c>
    </row>
    <row r="2109" spans="1:11">
      <c r="A2109" t="s">
        <v>9045</v>
      </c>
      <c r="B2109" t="s">
        <v>2886</v>
      </c>
      <c r="C2109" t="s">
        <v>6928</v>
      </c>
      <c r="D2109" s="1">
        <v>45453</v>
      </c>
      <c r="E2109" s="1">
        <v>45456</v>
      </c>
      <c r="F2109" s="1">
        <v>45455</v>
      </c>
      <c r="G2109">
        <v>35.47</v>
      </c>
      <c r="H21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109" t="str">
        <f>IFERROR(INDEX(Raw_orders!G:G, MATCH(shipments[[#This Row],[order_id]],Raw_orders!A:A, 0)), "Unknown")</f>
        <v>Nordics</v>
      </c>
      <c r="J2109" t="str">
        <f>PROPER(shipments[[#This Row],[delivery_status]])</f>
        <v>Delivered</v>
      </c>
      <c r="K2109" t="s">
        <v>6929</v>
      </c>
    </row>
    <row r="2110" spans="1:11">
      <c r="A2110" t="s">
        <v>9046</v>
      </c>
      <c r="B2110" t="s">
        <v>2887</v>
      </c>
      <c r="C2110" t="s">
        <v>6921</v>
      </c>
      <c r="D2110" s="1">
        <v>45600</v>
      </c>
      <c r="E2110" s="1">
        <v>45610</v>
      </c>
      <c r="F2110" s="1">
        <v>45611</v>
      </c>
      <c r="G2110">
        <v>52.6</v>
      </c>
      <c r="H21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10" t="str">
        <f>IFERROR(INDEX(Raw_orders!G:G, MATCH(shipments[[#This Row],[order_id]],Raw_orders!A:A, 0)), "Unknown")</f>
        <v>Central Europe</v>
      </c>
      <c r="J2110" t="str">
        <f>PROPER(shipments[[#This Row],[delivery_status]])</f>
        <v>Delivered</v>
      </c>
      <c r="K2110" t="s">
        <v>6929</v>
      </c>
    </row>
    <row r="2111" spans="1:11">
      <c r="A2111" t="s">
        <v>9047</v>
      </c>
      <c r="B2111" t="s">
        <v>2888</v>
      </c>
      <c r="C2111" t="s">
        <v>6928</v>
      </c>
      <c r="D2111" s="1">
        <v>45380</v>
      </c>
      <c r="E2111" s="1">
        <v>45383</v>
      </c>
      <c r="F2111" s="1">
        <v>45388</v>
      </c>
      <c r="G2111">
        <v>34.72</v>
      </c>
      <c r="H21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11" t="str">
        <f>IFERROR(INDEX(Raw_orders!G:G, MATCH(shipments[[#This Row],[order_id]],Raw_orders!A:A, 0)), "Unknown")</f>
        <v>Central Europe</v>
      </c>
      <c r="J2111" t="str">
        <f>PROPER(shipments[[#This Row],[delivery_status]])</f>
        <v>Delivered</v>
      </c>
      <c r="K2111" t="s">
        <v>6922</v>
      </c>
    </row>
    <row r="2112" spans="1:11">
      <c r="A2112" t="s">
        <v>9048</v>
      </c>
      <c r="B2112" t="s">
        <v>2889</v>
      </c>
      <c r="C2112" t="s">
        <v>6956</v>
      </c>
      <c r="D2112" s="1">
        <v>45180</v>
      </c>
      <c r="E2112" s="1">
        <v>45187</v>
      </c>
      <c r="F2112" s="1">
        <v>45188</v>
      </c>
      <c r="G2112">
        <v>20.5</v>
      </c>
      <c r="H21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12" t="str">
        <f>IFERROR(INDEX(Raw_orders!G:G, MATCH(shipments[[#This Row],[order_id]],Raw_orders!A:A, 0)), "Unknown")</f>
        <v>Nordics</v>
      </c>
      <c r="J2112" t="str">
        <f>PROPER(shipments[[#This Row],[delivery_status]])</f>
        <v>Delivered</v>
      </c>
      <c r="K2112" t="s">
        <v>6929</v>
      </c>
    </row>
    <row r="2113" spans="1:11">
      <c r="A2113" t="s">
        <v>9049</v>
      </c>
      <c r="B2113" t="s">
        <v>2890</v>
      </c>
      <c r="C2113" t="s">
        <v>6931</v>
      </c>
      <c r="D2113" s="1">
        <v>45215</v>
      </c>
      <c r="E2113" s="1">
        <v>45222</v>
      </c>
      <c r="F2113" s="1"/>
      <c r="G2113">
        <v>41.47</v>
      </c>
      <c r="H21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113" t="str">
        <f>IFERROR(INDEX(Raw_orders!G:G, MATCH(shipments[[#This Row],[order_id]],Raw_orders!A:A, 0)), "Unknown")</f>
        <v>Baltics</v>
      </c>
      <c r="J2113" t="str">
        <f>PROPER(shipments[[#This Row],[delivery_status]])</f>
        <v>Cancelled</v>
      </c>
      <c r="K2113" t="s">
        <v>6963</v>
      </c>
    </row>
    <row r="2114" spans="1:11">
      <c r="A2114" t="s">
        <v>9050</v>
      </c>
      <c r="B2114" t="s">
        <v>2891</v>
      </c>
      <c r="C2114" t="s">
        <v>6928</v>
      </c>
      <c r="D2114" s="1">
        <v>45368</v>
      </c>
      <c r="E2114" s="1">
        <v>45373</v>
      </c>
      <c r="F2114" s="1">
        <v>45373</v>
      </c>
      <c r="G2114">
        <v>29.1</v>
      </c>
      <c r="H21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114" t="str">
        <f>IFERROR(INDEX(Raw_orders!G:G, MATCH(shipments[[#This Row],[order_id]],Raw_orders!A:A, 0)), "Unknown")</f>
        <v>Baltics</v>
      </c>
      <c r="J2114" t="str">
        <f>PROPER(shipments[[#This Row],[delivery_status]])</f>
        <v>Delivered</v>
      </c>
      <c r="K2114" t="s">
        <v>6929</v>
      </c>
    </row>
    <row r="2115" spans="1:11">
      <c r="A2115" t="s">
        <v>9051</v>
      </c>
      <c r="B2115" t="s">
        <v>2892</v>
      </c>
      <c r="C2115" t="s">
        <v>6935</v>
      </c>
      <c r="D2115" s="1">
        <v>45236</v>
      </c>
      <c r="E2115" s="1">
        <v>45241</v>
      </c>
      <c r="F2115" s="1">
        <v>45241</v>
      </c>
      <c r="G2115">
        <v>42.66</v>
      </c>
      <c r="H21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115" t="str">
        <f>IFERROR(INDEX(Raw_orders!G:G, MATCH(shipments[[#This Row],[order_id]],Raw_orders!A:A, 0)), "Unknown")</f>
        <v>Baltics</v>
      </c>
      <c r="J2115" t="str">
        <f>PROPER(shipments[[#This Row],[delivery_status]])</f>
        <v>Delivered</v>
      </c>
      <c r="K2115" t="s">
        <v>6922</v>
      </c>
    </row>
    <row r="2116" spans="1:11">
      <c r="A2116" t="s">
        <v>9052</v>
      </c>
      <c r="B2116" t="s">
        <v>2893</v>
      </c>
      <c r="C2116" t="s">
        <v>6938</v>
      </c>
      <c r="D2116" s="1">
        <v>45394</v>
      </c>
      <c r="E2116" s="1">
        <v>45397</v>
      </c>
      <c r="F2116" s="1"/>
      <c r="G2116">
        <v>15.51</v>
      </c>
      <c r="H21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116" t="str">
        <f>IFERROR(INDEX(Raw_orders!G:G, MATCH(shipments[[#This Row],[order_id]],Raw_orders!A:A, 0)), "Unknown")</f>
        <v>Baltics</v>
      </c>
      <c r="J2116" t="str">
        <f>PROPER(shipments[[#This Row],[delivery_status]])</f>
        <v>In Transit</v>
      </c>
      <c r="K2116" t="s">
        <v>6958</v>
      </c>
    </row>
    <row r="2117" spans="1:11">
      <c r="A2117" t="s">
        <v>9053</v>
      </c>
      <c r="B2117" t="s">
        <v>2894</v>
      </c>
      <c r="C2117" t="s">
        <v>6940</v>
      </c>
      <c r="D2117" s="1">
        <v>45515</v>
      </c>
      <c r="E2117" s="1">
        <v>45517</v>
      </c>
      <c r="F2117" s="1">
        <v>45518</v>
      </c>
      <c r="G2117">
        <v>28.74</v>
      </c>
      <c r="H21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17" t="str">
        <f>IFERROR(INDEX(Raw_orders!G:G, MATCH(shipments[[#This Row],[order_id]],Raw_orders!A:A, 0)), "Unknown")</f>
        <v>Nordics</v>
      </c>
      <c r="J2117" t="str">
        <f>PROPER(shipments[[#This Row],[delivery_status]])</f>
        <v>Delivered</v>
      </c>
      <c r="K2117" t="s">
        <v>6929</v>
      </c>
    </row>
    <row r="2118" spans="1:11">
      <c r="A2118" t="s">
        <v>9054</v>
      </c>
      <c r="B2118" t="s">
        <v>2895</v>
      </c>
      <c r="C2118" t="s">
        <v>6938</v>
      </c>
      <c r="D2118" s="1">
        <v>45485</v>
      </c>
      <c r="E2118" s="1">
        <v>45495</v>
      </c>
      <c r="F2118" s="1"/>
      <c r="G2118">
        <v>26.13</v>
      </c>
      <c r="H21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118" t="str">
        <f>IFERROR(INDEX(Raw_orders!G:G, MATCH(shipments[[#This Row],[order_id]],Raw_orders!A:A, 0)), "Unknown")</f>
        <v>Baltics</v>
      </c>
      <c r="J2118" t="str">
        <f>PROPER(shipments[[#This Row],[delivery_status]])</f>
        <v>In Transit</v>
      </c>
      <c r="K2118" t="s">
        <v>6977</v>
      </c>
    </row>
    <row r="2119" spans="1:11">
      <c r="A2119" t="s">
        <v>9055</v>
      </c>
      <c r="B2119" t="s">
        <v>2896</v>
      </c>
      <c r="C2119" t="s">
        <v>6921</v>
      </c>
      <c r="D2119" s="1">
        <v>45420</v>
      </c>
      <c r="E2119" s="1">
        <v>45425</v>
      </c>
      <c r="F2119" s="1"/>
      <c r="G2119">
        <v>20.87</v>
      </c>
      <c r="H21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119" t="str">
        <f>IFERROR(INDEX(Raw_orders!G:G, MATCH(shipments[[#This Row],[order_id]],Raw_orders!A:A, 0)), "Unknown")</f>
        <v>Central Europe</v>
      </c>
      <c r="J2119" t="str">
        <f>PROPER(shipments[[#This Row],[delivery_status]])</f>
        <v>In Transit</v>
      </c>
      <c r="K2119" t="s">
        <v>6977</v>
      </c>
    </row>
    <row r="2120" spans="1:11">
      <c r="A2120" t="s">
        <v>9056</v>
      </c>
      <c r="B2120" t="s">
        <v>2896</v>
      </c>
      <c r="C2120" t="s">
        <v>6956</v>
      </c>
      <c r="D2120" s="1">
        <v>45418</v>
      </c>
      <c r="E2120" s="1">
        <v>45425</v>
      </c>
      <c r="F2120" s="1">
        <v>45425</v>
      </c>
      <c r="G2120">
        <v>57.69</v>
      </c>
      <c r="H21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120" t="str">
        <f>IFERROR(INDEX(Raw_orders!G:G, MATCH(shipments[[#This Row],[order_id]],Raw_orders!A:A, 0)), "Unknown")</f>
        <v>Central Europe</v>
      </c>
      <c r="J2120" t="str">
        <f>PROPER(shipments[[#This Row],[delivery_status]])</f>
        <v>Delivered</v>
      </c>
      <c r="K2120" t="s">
        <v>6929</v>
      </c>
    </row>
    <row r="2121" spans="1:11">
      <c r="A2121" t="s">
        <v>9057</v>
      </c>
      <c r="B2121" t="s">
        <v>2897</v>
      </c>
      <c r="C2121" t="s">
        <v>6940</v>
      </c>
      <c r="D2121" s="1">
        <v>45504</v>
      </c>
      <c r="E2121" s="1">
        <v>45514</v>
      </c>
      <c r="F2121" s="1">
        <v>45515</v>
      </c>
      <c r="G2121">
        <v>35.299999999999997</v>
      </c>
      <c r="H21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21" t="str">
        <f>IFERROR(INDEX(Raw_orders!G:G, MATCH(shipments[[#This Row],[order_id]],Raw_orders!A:A, 0)), "Unknown")</f>
        <v>Nordics</v>
      </c>
      <c r="J2121" t="str">
        <f>PROPER(shipments[[#This Row],[delivery_status]])</f>
        <v>Delivered</v>
      </c>
      <c r="K2121" t="s">
        <v>6929</v>
      </c>
    </row>
    <row r="2122" spans="1:11">
      <c r="A2122" t="s">
        <v>9058</v>
      </c>
      <c r="B2122" t="s">
        <v>2898</v>
      </c>
      <c r="C2122" t="s">
        <v>6928</v>
      </c>
      <c r="D2122" s="1">
        <v>44968</v>
      </c>
      <c r="E2122" s="1">
        <v>44970</v>
      </c>
      <c r="F2122" s="1">
        <v>44969</v>
      </c>
      <c r="G2122">
        <v>19.88</v>
      </c>
      <c r="H21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122" t="str">
        <f>IFERROR(INDEX(Raw_orders!G:G, MATCH(shipments[[#This Row],[order_id]],Raw_orders!A:A, 0)), "Unknown")</f>
        <v>Baltics</v>
      </c>
      <c r="J2122" t="str">
        <f>PROPER(shipments[[#This Row],[delivery_status]])</f>
        <v>Delivered</v>
      </c>
      <c r="K2122" t="s">
        <v>6929</v>
      </c>
    </row>
    <row r="2123" spans="1:11">
      <c r="A2123" t="s">
        <v>9059</v>
      </c>
      <c r="B2123" t="s">
        <v>2899</v>
      </c>
      <c r="C2123" t="s">
        <v>6925</v>
      </c>
      <c r="D2123" s="1">
        <v>44957</v>
      </c>
      <c r="E2123" s="1">
        <v>44967</v>
      </c>
      <c r="F2123" s="1">
        <v>44967</v>
      </c>
      <c r="G2123">
        <v>30.14</v>
      </c>
      <c r="H21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123" t="str">
        <f>IFERROR(INDEX(Raw_orders!G:G, MATCH(shipments[[#This Row],[order_id]],Raw_orders!A:A, 0)), "Unknown")</f>
        <v>Baltics</v>
      </c>
      <c r="J2123" t="str">
        <f>PROPER(shipments[[#This Row],[delivery_status]])</f>
        <v>Delivered</v>
      </c>
      <c r="K2123" t="s">
        <v>6929</v>
      </c>
    </row>
    <row r="2124" spans="1:11">
      <c r="A2124" t="s">
        <v>9060</v>
      </c>
      <c r="B2124" t="s">
        <v>2900</v>
      </c>
      <c r="C2124" t="s">
        <v>6931</v>
      </c>
      <c r="D2124" s="1">
        <v>44984</v>
      </c>
      <c r="E2124" s="1">
        <v>44994</v>
      </c>
      <c r="F2124" s="1">
        <v>44993</v>
      </c>
      <c r="G2124">
        <v>48.12</v>
      </c>
      <c r="H21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124" t="str">
        <f>IFERROR(INDEX(Raw_orders!G:G, MATCH(shipments[[#This Row],[order_id]],Raw_orders!A:A, 0)), "Unknown")</f>
        <v>Central Europe</v>
      </c>
      <c r="J2124" t="str">
        <f>PROPER(shipments[[#This Row],[delivery_status]])</f>
        <v>Delivered</v>
      </c>
      <c r="K2124" t="s">
        <v>6929</v>
      </c>
    </row>
    <row r="2125" spans="1:11">
      <c r="A2125" t="s">
        <v>9061</v>
      </c>
      <c r="B2125" t="s">
        <v>2901</v>
      </c>
      <c r="C2125" t="s">
        <v>6921</v>
      </c>
      <c r="D2125" s="1">
        <v>45111</v>
      </c>
      <c r="E2125" s="1">
        <v>45113</v>
      </c>
      <c r="F2125" s="1">
        <v>45116</v>
      </c>
      <c r="G2125">
        <v>21.29</v>
      </c>
      <c r="H21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25" t="str">
        <f>IFERROR(INDEX(Raw_orders!G:G, MATCH(shipments[[#This Row],[order_id]],Raw_orders!A:A, 0)), "Unknown")</f>
        <v>Nordics</v>
      </c>
      <c r="J2125" t="str">
        <f>PROPER(shipments[[#This Row],[delivery_status]])</f>
        <v>Delivered</v>
      </c>
      <c r="K2125" t="s">
        <v>6929</v>
      </c>
    </row>
    <row r="2126" spans="1:11">
      <c r="A2126" t="s">
        <v>9062</v>
      </c>
      <c r="B2126" t="s">
        <v>2902</v>
      </c>
      <c r="C2126" t="s">
        <v>6938</v>
      </c>
      <c r="D2126" s="1">
        <v>45416</v>
      </c>
      <c r="E2126" s="1">
        <v>45421</v>
      </c>
      <c r="F2126" s="1">
        <v>45421</v>
      </c>
      <c r="G2126">
        <v>54.86</v>
      </c>
      <c r="H21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126" t="str">
        <f>IFERROR(INDEX(Raw_orders!G:G, MATCH(shipments[[#This Row],[order_id]],Raw_orders!A:A, 0)), "Unknown")</f>
        <v>Baltics</v>
      </c>
      <c r="J2126" t="str">
        <f>PROPER(shipments[[#This Row],[delivery_status]])</f>
        <v>Delivered</v>
      </c>
      <c r="K2126" t="s">
        <v>6926</v>
      </c>
    </row>
    <row r="2127" spans="1:11">
      <c r="A2127" t="s">
        <v>9063</v>
      </c>
      <c r="B2127" t="s">
        <v>2903</v>
      </c>
      <c r="C2127" t="s">
        <v>6928</v>
      </c>
      <c r="D2127" s="1">
        <v>45051</v>
      </c>
      <c r="E2127" s="1">
        <v>45061</v>
      </c>
      <c r="F2127" s="1">
        <v>45073</v>
      </c>
      <c r="G2127">
        <v>44.04</v>
      </c>
      <c r="H21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27" t="str">
        <f>IFERROR(INDEX(Raw_orders!G:G, MATCH(shipments[[#This Row],[order_id]],Raw_orders!A:A, 0)), "Unknown")</f>
        <v>Central Europe</v>
      </c>
      <c r="J2127" t="str">
        <f>PROPER(shipments[[#This Row],[delivery_status]])</f>
        <v>Delivered</v>
      </c>
      <c r="K2127" t="s">
        <v>6929</v>
      </c>
    </row>
    <row r="2128" spans="1:11">
      <c r="A2128" t="s">
        <v>9064</v>
      </c>
      <c r="B2128" t="s">
        <v>2904</v>
      </c>
      <c r="C2128" t="s">
        <v>6940</v>
      </c>
      <c r="D2128" s="1">
        <v>45307</v>
      </c>
      <c r="E2128" s="1">
        <v>45314</v>
      </c>
      <c r="F2128" s="1">
        <v>45319</v>
      </c>
      <c r="G2128">
        <v>10.94</v>
      </c>
      <c r="H21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28" t="str">
        <f>IFERROR(INDEX(Raw_orders!G:G, MATCH(shipments[[#This Row],[order_id]],Raw_orders!A:A, 0)), "Unknown")</f>
        <v>Nordics</v>
      </c>
      <c r="J2128" t="str">
        <f>PROPER(shipments[[#This Row],[delivery_status]])</f>
        <v>Delivered</v>
      </c>
      <c r="K2128" t="s">
        <v>6929</v>
      </c>
    </row>
    <row r="2129" spans="1:11">
      <c r="A2129" t="s">
        <v>9065</v>
      </c>
      <c r="B2129" t="s">
        <v>2905</v>
      </c>
      <c r="C2129" t="s">
        <v>6925</v>
      </c>
      <c r="D2129" s="1">
        <v>45496</v>
      </c>
      <c r="E2129" s="1">
        <v>45506</v>
      </c>
      <c r="F2129" s="1">
        <v>45506</v>
      </c>
      <c r="G2129">
        <v>6.85</v>
      </c>
      <c r="H21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129" t="str">
        <f>IFERROR(INDEX(Raw_orders!G:G, MATCH(shipments[[#This Row],[order_id]],Raw_orders!A:A, 0)), "Unknown")</f>
        <v>Nordics</v>
      </c>
      <c r="J2129" t="str">
        <f>PROPER(shipments[[#This Row],[delivery_status]])</f>
        <v>Delivered</v>
      </c>
      <c r="K2129" t="s">
        <v>6922</v>
      </c>
    </row>
    <row r="2130" spans="1:11">
      <c r="A2130" t="s">
        <v>9066</v>
      </c>
      <c r="B2130" t="s">
        <v>2906</v>
      </c>
      <c r="C2130" t="s">
        <v>6940</v>
      </c>
      <c r="D2130" s="1">
        <v>45334</v>
      </c>
      <c r="E2130" s="1">
        <v>45344</v>
      </c>
      <c r="F2130" s="1"/>
      <c r="G2130">
        <v>43.16</v>
      </c>
      <c r="H21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130" t="str">
        <f>IFERROR(INDEX(Raw_orders!G:G, MATCH(shipments[[#This Row],[order_id]],Raw_orders!A:A, 0)), "Unknown")</f>
        <v>Baltics</v>
      </c>
      <c r="J2130" t="str">
        <f>PROPER(shipments[[#This Row],[delivery_status]])</f>
        <v>In Transit</v>
      </c>
      <c r="K2130" t="s">
        <v>6977</v>
      </c>
    </row>
    <row r="2131" spans="1:11">
      <c r="A2131" t="s">
        <v>9067</v>
      </c>
      <c r="B2131" t="s">
        <v>2907</v>
      </c>
      <c r="C2131" t="s">
        <v>6931</v>
      </c>
      <c r="D2131" s="1">
        <v>45159</v>
      </c>
      <c r="E2131" s="1">
        <v>45164</v>
      </c>
      <c r="F2131" s="1">
        <v>45164</v>
      </c>
      <c r="G2131">
        <v>18.149999999999999</v>
      </c>
      <c r="H21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131" t="str">
        <f>IFERROR(INDEX(Raw_orders!G:G, MATCH(shipments[[#This Row],[order_id]],Raw_orders!A:A, 0)), "Unknown")</f>
        <v>Baltics</v>
      </c>
      <c r="J2131" t="str">
        <f>PROPER(shipments[[#This Row],[delivery_status]])</f>
        <v>Delivered</v>
      </c>
      <c r="K2131" t="s">
        <v>6922</v>
      </c>
    </row>
    <row r="2132" spans="1:11">
      <c r="A2132" t="s">
        <v>9068</v>
      </c>
      <c r="B2132" t="s">
        <v>2908</v>
      </c>
      <c r="C2132" t="s">
        <v>6928</v>
      </c>
      <c r="D2132" s="1">
        <v>45292</v>
      </c>
      <c r="E2132" s="1">
        <v>45295</v>
      </c>
      <c r="F2132" s="1">
        <v>45295</v>
      </c>
      <c r="G2132">
        <v>55.09</v>
      </c>
      <c r="H21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132" t="str">
        <f>IFERROR(INDEX(Raw_orders!G:G, MATCH(shipments[[#This Row],[order_id]],Raw_orders!A:A, 0)), "Unknown")</f>
        <v>Baltics</v>
      </c>
      <c r="J2132" t="str">
        <f>PROPER(shipments[[#This Row],[delivery_status]])</f>
        <v>Delivered</v>
      </c>
      <c r="K2132" t="s">
        <v>6922</v>
      </c>
    </row>
    <row r="2133" spans="1:11">
      <c r="A2133" t="s">
        <v>9069</v>
      </c>
      <c r="B2133" t="s">
        <v>2909</v>
      </c>
      <c r="C2133" t="s">
        <v>6928</v>
      </c>
      <c r="D2133" s="1">
        <v>45301</v>
      </c>
      <c r="E2133" s="1">
        <v>45311</v>
      </c>
      <c r="F2133" s="1">
        <v>45310</v>
      </c>
      <c r="G2133">
        <v>39.82</v>
      </c>
      <c r="H21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133" t="str">
        <f>IFERROR(INDEX(Raw_orders!G:G, MATCH(shipments[[#This Row],[order_id]],Raw_orders!A:A, 0)), "Unknown")</f>
        <v>Baltics</v>
      </c>
      <c r="J2133" t="str">
        <f>PROPER(shipments[[#This Row],[delivery_status]])</f>
        <v>Delivered</v>
      </c>
      <c r="K2133" t="s">
        <v>6926</v>
      </c>
    </row>
    <row r="2134" spans="1:11">
      <c r="A2134" t="s">
        <v>9070</v>
      </c>
      <c r="B2134" t="s">
        <v>2909</v>
      </c>
      <c r="C2134" t="s">
        <v>6931</v>
      </c>
      <c r="D2134" s="1">
        <v>45300</v>
      </c>
      <c r="E2134" s="1">
        <v>45303</v>
      </c>
      <c r="F2134" s="1">
        <v>45311</v>
      </c>
      <c r="G2134">
        <v>61.78</v>
      </c>
      <c r="H21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34" t="str">
        <f>IFERROR(INDEX(Raw_orders!G:G, MATCH(shipments[[#This Row],[order_id]],Raw_orders!A:A, 0)), "Unknown")</f>
        <v>Baltics</v>
      </c>
      <c r="J2134" t="str">
        <f>PROPER(shipments[[#This Row],[delivery_status]])</f>
        <v>Delivered</v>
      </c>
      <c r="K2134" t="s">
        <v>6926</v>
      </c>
    </row>
    <row r="2135" spans="1:11">
      <c r="A2135" t="s">
        <v>9071</v>
      </c>
      <c r="B2135" t="s">
        <v>2910</v>
      </c>
      <c r="C2135" t="s">
        <v>6956</v>
      </c>
      <c r="D2135" s="1">
        <v>45525</v>
      </c>
      <c r="E2135" s="1">
        <v>45530</v>
      </c>
      <c r="F2135" s="1">
        <v>45530</v>
      </c>
      <c r="G2135">
        <v>47.82</v>
      </c>
      <c r="H21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135" t="str">
        <f>IFERROR(INDEX(Raw_orders!G:G, MATCH(shipments[[#This Row],[order_id]],Raw_orders!A:A, 0)), "Unknown")</f>
        <v>Nordics</v>
      </c>
      <c r="J2135" t="str">
        <f>PROPER(shipments[[#This Row],[delivery_status]])</f>
        <v>Delivered</v>
      </c>
      <c r="K2135" t="s">
        <v>6922</v>
      </c>
    </row>
    <row r="2136" spans="1:11">
      <c r="A2136" t="s">
        <v>9072</v>
      </c>
      <c r="B2136" t="s">
        <v>2911</v>
      </c>
      <c r="C2136" t="s">
        <v>6956</v>
      </c>
      <c r="D2136" s="1">
        <v>45517</v>
      </c>
      <c r="E2136" s="1">
        <v>45524</v>
      </c>
      <c r="F2136" s="1">
        <v>45525</v>
      </c>
      <c r="G2136">
        <v>19.059999999999999</v>
      </c>
      <c r="H21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36" t="str">
        <f>IFERROR(INDEX(Raw_orders!G:G, MATCH(shipments[[#This Row],[order_id]],Raw_orders!A:A, 0)), "Unknown")</f>
        <v>Central Europe</v>
      </c>
      <c r="J2136" t="str">
        <f>PROPER(shipments[[#This Row],[delivery_status]])</f>
        <v>Delivered</v>
      </c>
      <c r="K2136" t="s">
        <v>6926</v>
      </c>
    </row>
    <row r="2137" spans="1:11">
      <c r="A2137" t="s">
        <v>9073</v>
      </c>
      <c r="B2137" t="s">
        <v>2912</v>
      </c>
      <c r="C2137" t="s">
        <v>6935</v>
      </c>
      <c r="D2137" s="1">
        <v>44984</v>
      </c>
      <c r="E2137" s="1">
        <v>44986</v>
      </c>
      <c r="F2137" s="1">
        <v>44994</v>
      </c>
      <c r="G2137">
        <v>60.65</v>
      </c>
      <c r="H21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37" t="str">
        <f>IFERROR(INDEX(Raw_orders!G:G, MATCH(shipments[[#This Row],[order_id]],Raw_orders!A:A, 0)), "Unknown")</f>
        <v>Central Europe</v>
      </c>
      <c r="J2137" t="str">
        <f>PROPER(shipments[[#This Row],[delivery_status]])</f>
        <v>Delivered</v>
      </c>
      <c r="K2137" t="s">
        <v>6922</v>
      </c>
    </row>
    <row r="2138" spans="1:11">
      <c r="A2138" t="s">
        <v>9074</v>
      </c>
      <c r="B2138" t="s">
        <v>2913</v>
      </c>
      <c r="C2138" t="s">
        <v>6949</v>
      </c>
      <c r="D2138" s="1">
        <v>45536</v>
      </c>
      <c r="E2138" s="1">
        <v>45543</v>
      </c>
      <c r="F2138" s="1">
        <v>45543</v>
      </c>
      <c r="G2138">
        <v>16.03</v>
      </c>
      <c r="H21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138" t="str">
        <f>IFERROR(INDEX(Raw_orders!G:G, MATCH(shipments[[#This Row],[order_id]],Raw_orders!A:A, 0)), "Unknown")</f>
        <v>Baltics</v>
      </c>
      <c r="J2138" t="str">
        <f>PROPER(shipments[[#This Row],[delivery_status]])</f>
        <v>Delivered</v>
      </c>
      <c r="K2138" t="s">
        <v>6926</v>
      </c>
    </row>
    <row r="2139" spans="1:11">
      <c r="A2139" t="s">
        <v>9075</v>
      </c>
      <c r="B2139" t="s">
        <v>2914</v>
      </c>
      <c r="C2139" t="s">
        <v>6940</v>
      </c>
      <c r="D2139" s="1">
        <v>45594</v>
      </c>
      <c r="E2139" s="1">
        <v>45604</v>
      </c>
      <c r="F2139" s="1">
        <v>45604</v>
      </c>
      <c r="G2139">
        <v>21.75</v>
      </c>
      <c r="H21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139" t="str">
        <f>IFERROR(INDEX(Raw_orders!G:G, MATCH(shipments[[#This Row],[order_id]],Raw_orders!A:A, 0)), "Unknown")</f>
        <v>Nordics</v>
      </c>
      <c r="J2139" t="str">
        <f>PROPER(shipments[[#This Row],[delivery_status]])</f>
        <v>Delivered</v>
      </c>
      <c r="K2139" t="s">
        <v>6926</v>
      </c>
    </row>
    <row r="2140" spans="1:11">
      <c r="A2140" t="s">
        <v>9076</v>
      </c>
      <c r="B2140" t="s">
        <v>2915</v>
      </c>
      <c r="C2140" t="s">
        <v>6935</v>
      </c>
      <c r="D2140" s="1">
        <v>45225</v>
      </c>
      <c r="E2140" s="1">
        <v>45228</v>
      </c>
      <c r="F2140" s="1">
        <v>45229</v>
      </c>
      <c r="G2140">
        <v>43.91</v>
      </c>
      <c r="H21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40" t="str">
        <f>IFERROR(INDEX(Raw_orders!G:G, MATCH(shipments[[#This Row],[order_id]],Raw_orders!A:A, 0)), "Unknown")</f>
        <v>Nordics</v>
      </c>
      <c r="J2140" t="str">
        <f>PROPER(shipments[[#This Row],[delivery_status]])</f>
        <v>Delivered</v>
      </c>
      <c r="K2140" t="s">
        <v>6922</v>
      </c>
    </row>
    <row r="2141" spans="1:11">
      <c r="A2141" t="s">
        <v>9077</v>
      </c>
      <c r="B2141" t="s">
        <v>2916</v>
      </c>
      <c r="C2141" t="s">
        <v>6938</v>
      </c>
      <c r="D2141" s="1">
        <v>45251</v>
      </c>
      <c r="E2141" s="1">
        <v>45253</v>
      </c>
      <c r="F2141" s="1"/>
      <c r="G2141">
        <v>23.06</v>
      </c>
      <c r="H21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141" t="str">
        <f>IFERROR(INDEX(Raw_orders!G:G, MATCH(shipments[[#This Row],[order_id]],Raw_orders!A:A, 0)), "Unknown")</f>
        <v>Nordics</v>
      </c>
      <c r="J2141" t="str">
        <f>PROPER(shipments[[#This Row],[delivery_status]])</f>
        <v>In Transit</v>
      </c>
      <c r="K2141" t="s">
        <v>6977</v>
      </c>
    </row>
    <row r="2142" spans="1:11">
      <c r="A2142" t="s">
        <v>9078</v>
      </c>
      <c r="B2142" t="s">
        <v>2917</v>
      </c>
      <c r="C2142" t="s">
        <v>6931</v>
      </c>
      <c r="D2142" s="1">
        <v>45065</v>
      </c>
      <c r="E2142" s="1">
        <v>45067</v>
      </c>
      <c r="F2142" s="1">
        <v>45067</v>
      </c>
      <c r="G2142">
        <v>47.85</v>
      </c>
      <c r="H21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142" t="str">
        <f>IFERROR(INDEX(Raw_orders!G:G, MATCH(shipments[[#This Row],[order_id]],Raw_orders!A:A, 0)), "Unknown")</f>
        <v>Baltics</v>
      </c>
      <c r="J2142" t="str">
        <f>PROPER(shipments[[#This Row],[delivery_status]])</f>
        <v>Delivered</v>
      </c>
      <c r="K2142" t="s">
        <v>6926</v>
      </c>
    </row>
    <row r="2143" spans="1:11">
      <c r="A2143" t="s">
        <v>9079</v>
      </c>
      <c r="B2143" t="s">
        <v>2918</v>
      </c>
      <c r="C2143" t="s">
        <v>6940</v>
      </c>
      <c r="D2143" s="1">
        <v>44939</v>
      </c>
      <c r="E2143" s="1">
        <v>44942</v>
      </c>
      <c r="F2143" s="1">
        <v>44943</v>
      </c>
      <c r="G2143">
        <v>16.41</v>
      </c>
      <c r="H21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43" t="str">
        <f>IFERROR(INDEX(Raw_orders!G:G, MATCH(shipments[[#This Row],[order_id]],Raw_orders!A:A, 0)), "Unknown")</f>
        <v>Nordics</v>
      </c>
      <c r="J2143" t="str">
        <f>PROPER(shipments[[#This Row],[delivery_status]])</f>
        <v>Delivered</v>
      </c>
      <c r="K2143" t="s">
        <v>6926</v>
      </c>
    </row>
    <row r="2144" spans="1:11">
      <c r="A2144" t="s">
        <v>9080</v>
      </c>
      <c r="B2144" t="s">
        <v>2919</v>
      </c>
      <c r="C2144" t="s">
        <v>6935</v>
      </c>
      <c r="D2144" s="1">
        <v>45167</v>
      </c>
      <c r="E2144" s="1">
        <v>45177</v>
      </c>
      <c r="F2144" s="1">
        <v>45178</v>
      </c>
      <c r="G2144">
        <v>38.049999999999997</v>
      </c>
      <c r="H21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44" t="str">
        <f>IFERROR(INDEX(Raw_orders!G:G, MATCH(shipments[[#This Row],[order_id]],Raw_orders!A:A, 0)), "Unknown")</f>
        <v>Central Europe</v>
      </c>
      <c r="J2144" t="str">
        <f>PROPER(shipments[[#This Row],[delivery_status]])</f>
        <v>Delivered</v>
      </c>
      <c r="K2144" t="s">
        <v>6922</v>
      </c>
    </row>
    <row r="2145" spans="1:11">
      <c r="A2145" t="s">
        <v>9081</v>
      </c>
      <c r="B2145" t="s">
        <v>2920</v>
      </c>
      <c r="C2145" t="s">
        <v>6956</v>
      </c>
      <c r="D2145" s="1">
        <v>44983</v>
      </c>
      <c r="E2145" s="1">
        <v>44988</v>
      </c>
      <c r="F2145" s="1">
        <v>44988</v>
      </c>
      <c r="G2145">
        <v>9.74</v>
      </c>
      <c r="H21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145" t="str">
        <f>IFERROR(INDEX(Raw_orders!G:G, MATCH(shipments[[#This Row],[order_id]],Raw_orders!A:A, 0)), "Unknown")</f>
        <v>Unknown</v>
      </c>
      <c r="J2145" t="str">
        <f>PROPER(shipments[[#This Row],[delivery_status]])</f>
        <v>Delivered</v>
      </c>
      <c r="K2145" t="s">
        <v>6929</v>
      </c>
    </row>
    <row r="2146" spans="1:11">
      <c r="A2146" t="s">
        <v>9082</v>
      </c>
      <c r="B2146" t="s">
        <v>2920</v>
      </c>
      <c r="C2146" t="s">
        <v>6938</v>
      </c>
      <c r="D2146" s="1">
        <v>44982</v>
      </c>
      <c r="E2146" s="1">
        <v>44989</v>
      </c>
      <c r="F2146" s="1">
        <v>44989</v>
      </c>
      <c r="G2146">
        <v>7.42</v>
      </c>
      <c r="H21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146" t="str">
        <f>IFERROR(INDEX(Raw_orders!G:G, MATCH(shipments[[#This Row],[order_id]],Raw_orders!A:A, 0)), "Unknown")</f>
        <v>Unknown</v>
      </c>
      <c r="J2146" t="str">
        <f>PROPER(shipments[[#This Row],[delivery_status]])</f>
        <v>Delivered</v>
      </c>
      <c r="K2146" t="s">
        <v>6926</v>
      </c>
    </row>
    <row r="2147" spans="1:11">
      <c r="A2147" t="s">
        <v>9083</v>
      </c>
      <c r="B2147" t="s">
        <v>2921</v>
      </c>
      <c r="C2147" t="s">
        <v>6925</v>
      </c>
      <c r="D2147" s="1">
        <v>45256</v>
      </c>
      <c r="E2147" s="1">
        <v>45258</v>
      </c>
      <c r="F2147" s="1">
        <v>45272</v>
      </c>
      <c r="G2147">
        <v>23.19</v>
      </c>
      <c r="H21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47" t="str">
        <f>IFERROR(INDEX(Raw_orders!G:G, MATCH(shipments[[#This Row],[order_id]],Raw_orders!A:A, 0)), "Unknown")</f>
        <v>Central Europe</v>
      </c>
      <c r="J2147" t="str">
        <f>PROPER(shipments[[#This Row],[delivery_status]])</f>
        <v>Delivered</v>
      </c>
      <c r="K2147" t="s">
        <v>6929</v>
      </c>
    </row>
    <row r="2148" spans="1:11">
      <c r="A2148" t="s">
        <v>9084</v>
      </c>
      <c r="B2148" t="s">
        <v>2922</v>
      </c>
      <c r="C2148" t="s">
        <v>6928</v>
      </c>
      <c r="D2148" s="1">
        <v>45054</v>
      </c>
      <c r="E2148" s="1">
        <v>45059</v>
      </c>
      <c r="F2148" s="1"/>
      <c r="G2148">
        <v>42.13</v>
      </c>
      <c r="H21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148" t="str">
        <f>IFERROR(INDEX(Raw_orders!G:G, MATCH(shipments[[#This Row],[order_id]],Raw_orders!A:A, 0)), "Unknown")</f>
        <v>Baltics</v>
      </c>
      <c r="J2148" t="str">
        <f>PROPER(shipments[[#This Row],[delivery_status]])</f>
        <v>In Transit</v>
      </c>
      <c r="K2148" t="s">
        <v>6946</v>
      </c>
    </row>
    <row r="2149" spans="1:11">
      <c r="A2149" t="s">
        <v>9085</v>
      </c>
      <c r="B2149" t="s">
        <v>2923</v>
      </c>
      <c r="C2149" t="s">
        <v>6931</v>
      </c>
      <c r="D2149" s="1">
        <v>45382</v>
      </c>
      <c r="E2149" s="1">
        <v>45392</v>
      </c>
      <c r="F2149" s="1">
        <v>45394</v>
      </c>
      <c r="G2149">
        <v>62.37</v>
      </c>
      <c r="H21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49" t="str">
        <f>IFERROR(INDEX(Raw_orders!G:G, MATCH(shipments[[#This Row],[order_id]],Raw_orders!A:A, 0)), "Unknown")</f>
        <v>Baltics</v>
      </c>
      <c r="J2149" t="str">
        <f>PROPER(shipments[[#This Row],[delivery_status]])</f>
        <v>Delivered</v>
      </c>
      <c r="K2149" t="s">
        <v>6922</v>
      </c>
    </row>
    <row r="2150" spans="1:11">
      <c r="A2150" t="s">
        <v>9086</v>
      </c>
      <c r="B2150" t="s">
        <v>2924</v>
      </c>
      <c r="C2150" t="s">
        <v>6956</v>
      </c>
      <c r="D2150" s="1">
        <v>45209</v>
      </c>
      <c r="E2150" s="1">
        <v>45211</v>
      </c>
      <c r="F2150" s="1">
        <v>45211</v>
      </c>
      <c r="G2150">
        <v>44.08</v>
      </c>
      <c r="H21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150" t="str">
        <f>IFERROR(INDEX(Raw_orders!G:G, MATCH(shipments[[#This Row],[order_id]],Raw_orders!A:A, 0)), "Unknown")</f>
        <v>Nordics</v>
      </c>
      <c r="J2150" t="str">
        <f>PROPER(shipments[[#This Row],[delivery_status]])</f>
        <v>Delivered</v>
      </c>
      <c r="K2150" t="s">
        <v>6922</v>
      </c>
    </row>
    <row r="2151" spans="1:11">
      <c r="A2151" t="s">
        <v>9087</v>
      </c>
      <c r="B2151" t="s">
        <v>2925</v>
      </c>
      <c r="C2151" t="s">
        <v>6928</v>
      </c>
      <c r="D2151" s="1">
        <v>45447</v>
      </c>
      <c r="E2151" s="1">
        <v>45450</v>
      </c>
      <c r="F2151" s="1">
        <v>45450</v>
      </c>
      <c r="G2151">
        <v>29.12</v>
      </c>
      <c r="H21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151" t="str">
        <f>IFERROR(INDEX(Raw_orders!G:G, MATCH(shipments[[#This Row],[order_id]],Raw_orders!A:A, 0)), "Unknown")</f>
        <v>Baltics</v>
      </c>
      <c r="J2151" t="str">
        <f>PROPER(shipments[[#This Row],[delivery_status]])</f>
        <v>Delivered</v>
      </c>
      <c r="K2151" t="s">
        <v>6926</v>
      </c>
    </row>
    <row r="2152" spans="1:11">
      <c r="A2152" t="s">
        <v>9088</v>
      </c>
      <c r="B2152" t="s">
        <v>2926</v>
      </c>
      <c r="C2152" t="s">
        <v>6938</v>
      </c>
      <c r="D2152" s="1">
        <v>45045</v>
      </c>
      <c r="E2152" s="1">
        <v>45048</v>
      </c>
      <c r="F2152" s="1">
        <v>45048</v>
      </c>
      <c r="G2152">
        <v>62.08</v>
      </c>
      <c r="H21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152" t="str">
        <f>IFERROR(INDEX(Raw_orders!G:G, MATCH(shipments[[#This Row],[order_id]],Raw_orders!A:A, 0)), "Unknown")</f>
        <v>Central Europe</v>
      </c>
      <c r="J2152" t="str">
        <f>PROPER(shipments[[#This Row],[delivery_status]])</f>
        <v>Delivered</v>
      </c>
      <c r="K2152" t="s">
        <v>6926</v>
      </c>
    </row>
    <row r="2153" spans="1:11">
      <c r="A2153" t="s">
        <v>9089</v>
      </c>
      <c r="B2153" t="s">
        <v>2927</v>
      </c>
      <c r="C2153" t="s">
        <v>6938</v>
      </c>
      <c r="D2153" s="1">
        <v>44997</v>
      </c>
      <c r="E2153" s="1">
        <v>45007</v>
      </c>
      <c r="F2153" s="1">
        <v>45015</v>
      </c>
      <c r="G2153">
        <v>24.76</v>
      </c>
      <c r="H21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53" t="str">
        <f>IFERROR(INDEX(Raw_orders!G:G, MATCH(shipments[[#This Row],[order_id]],Raw_orders!A:A, 0)), "Unknown")</f>
        <v>Nordics</v>
      </c>
      <c r="J2153" t="str">
        <f>PROPER(shipments[[#This Row],[delivery_status]])</f>
        <v>Delivered</v>
      </c>
      <c r="K2153" t="s">
        <v>6922</v>
      </c>
    </row>
    <row r="2154" spans="1:11">
      <c r="A2154" t="s">
        <v>9090</v>
      </c>
      <c r="B2154" t="s">
        <v>2928</v>
      </c>
      <c r="C2154" t="s">
        <v>6928</v>
      </c>
      <c r="D2154" s="1">
        <v>45012</v>
      </c>
      <c r="E2154" s="1">
        <v>45014</v>
      </c>
      <c r="F2154" s="1">
        <v>45019</v>
      </c>
      <c r="H21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54" t="str">
        <f>IFERROR(INDEX(Raw_orders!G:G, MATCH(shipments[[#This Row],[order_id]],Raw_orders!A:A, 0)), "Unknown")</f>
        <v>Central Europe</v>
      </c>
      <c r="J2154" t="str">
        <f>PROPER(shipments[[#This Row],[delivery_status]])</f>
        <v>Delivered</v>
      </c>
      <c r="K2154" t="s">
        <v>6929</v>
      </c>
    </row>
    <row r="2155" spans="1:11">
      <c r="A2155" t="s">
        <v>9091</v>
      </c>
      <c r="B2155" t="s">
        <v>2929</v>
      </c>
      <c r="C2155" t="s">
        <v>6938</v>
      </c>
      <c r="D2155" s="1">
        <v>45534</v>
      </c>
      <c r="E2155" s="1">
        <v>45544</v>
      </c>
      <c r="F2155" s="1">
        <v>45552</v>
      </c>
      <c r="G2155">
        <v>23.59</v>
      </c>
      <c r="H21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55" t="str">
        <f>IFERROR(INDEX(Raw_orders!G:G, MATCH(shipments[[#This Row],[order_id]],Raw_orders!A:A, 0)), "Unknown")</f>
        <v>Nordics</v>
      </c>
      <c r="J2155" t="str">
        <f>PROPER(shipments[[#This Row],[delivery_status]])</f>
        <v>Delivered</v>
      </c>
      <c r="K2155" t="s">
        <v>6929</v>
      </c>
    </row>
    <row r="2156" spans="1:11">
      <c r="A2156" t="s">
        <v>9092</v>
      </c>
      <c r="B2156" t="s">
        <v>2930</v>
      </c>
      <c r="C2156" t="s">
        <v>6921</v>
      </c>
      <c r="D2156" s="1">
        <v>45405</v>
      </c>
      <c r="E2156" s="1">
        <v>45410</v>
      </c>
      <c r="F2156" s="1">
        <v>45412</v>
      </c>
      <c r="G2156">
        <v>48.42</v>
      </c>
      <c r="H21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56" t="str">
        <f>IFERROR(INDEX(Raw_orders!G:G, MATCH(shipments[[#This Row],[order_id]],Raw_orders!A:A, 0)), "Unknown")</f>
        <v>Central Europe</v>
      </c>
      <c r="J2156" t="str">
        <f>PROPER(shipments[[#This Row],[delivery_status]])</f>
        <v>Delivered</v>
      </c>
      <c r="K2156" t="s">
        <v>6922</v>
      </c>
    </row>
    <row r="2157" spans="1:11">
      <c r="A2157" t="s">
        <v>9093</v>
      </c>
      <c r="B2157" t="s">
        <v>2931</v>
      </c>
      <c r="C2157" t="s">
        <v>6928</v>
      </c>
      <c r="D2157" s="1">
        <v>44979</v>
      </c>
      <c r="E2157" s="1">
        <v>44989</v>
      </c>
      <c r="F2157" s="1">
        <v>44991</v>
      </c>
      <c r="G2157">
        <v>43.6</v>
      </c>
      <c r="H21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57" t="str">
        <f>IFERROR(INDEX(Raw_orders!G:G, MATCH(shipments[[#This Row],[order_id]],Raw_orders!A:A, 0)), "Unknown")</f>
        <v>Baltics</v>
      </c>
      <c r="J2157" t="str">
        <f>PROPER(shipments[[#This Row],[delivery_status]])</f>
        <v>Delivered</v>
      </c>
      <c r="K2157" t="s">
        <v>6929</v>
      </c>
    </row>
    <row r="2158" spans="1:11">
      <c r="A2158" t="s">
        <v>9094</v>
      </c>
      <c r="B2158" t="s">
        <v>2932</v>
      </c>
      <c r="C2158" t="s">
        <v>6935</v>
      </c>
      <c r="D2158" s="1">
        <v>44957</v>
      </c>
      <c r="E2158" s="1">
        <v>44960</v>
      </c>
      <c r="F2158" s="1">
        <v>44962</v>
      </c>
      <c r="G2158">
        <v>8.5299999999999994</v>
      </c>
      <c r="H21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58" t="str">
        <f>IFERROR(INDEX(Raw_orders!G:G, MATCH(shipments[[#This Row],[order_id]],Raw_orders!A:A, 0)), "Unknown")</f>
        <v>Central Europe</v>
      </c>
      <c r="J2158" t="str">
        <f>PROPER(shipments[[#This Row],[delivery_status]])</f>
        <v>Delivered</v>
      </c>
      <c r="K2158" t="s">
        <v>6926</v>
      </c>
    </row>
    <row r="2159" spans="1:11">
      <c r="A2159" t="s">
        <v>9095</v>
      </c>
      <c r="B2159" t="s">
        <v>2932</v>
      </c>
      <c r="C2159" t="s">
        <v>6956</v>
      </c>
      <c r="D2159" s="1">
        <v>44956</v>
      </c>
      <c r="E2159" s="1">
        <v>44958</v>
      </c>
      <c r="F2159" s="1">
        <v>44969</v>
      </c>
      <c r="G2159">
        <v>21.93</v>
      </c>
      <c r="H21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59" t="str">
        <f>IFERROR(INDEX(Raw_orders!G:G, MATCH(shipments[[#This Row],[order_id]],Raw_orders!A:A, 0)), "Unknown")</f>
        <v>Central Europe</v>
      </c>
      <c r="J2159" t="str">
        <f>PROPER(shipments[[#This Row],[delivery_status]])</f>
        <v>Delivered</v>
      </c>
      <c r="K2159" t="s">
        <v>6926</v>
      </c>
    </row>
    <row r="2160" spans="1:11">
      <c r="A2160" t="s">
        <v>9096</v>
      </c>
      <c r="B2160" t="s">
        <v>2933</v>
      </c>
      <c r="C2160" t="s">
        <v>6928</v>
      </c>
      <c r="D2160" s="1">
        <v>45237</v>
      </c>
      <c r="E2160" s="1">
        <v>45247</v>
      </c>
      <c r="F2160" s="1">
        <v>45252</v>
      </c>
      <c r="G2160">
        <v>6.69</v>
      </c>
      <c r="H21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60" t="str">
        <f>IFERROR(INDEX(Raw_orders!G:G, MATCH(shipments[[#This Row],[order_id]],Raw_orders!A:A, 0)), "Unknown")</f>
        <v>Central Europe</v>
      </c>
      <c r="J2160" t="str">
        <f>PROPER(shipments[[#This Row],[delivery_status]])</f>
        <v>Delivered</v>
      </c>
      <c r="K2160" t="s">
        <v>6926</v>
      </c>
    </row>
    <row r="2161" spans="1:11">
      <c r="A2161" t="s">
        <v>9097</v>
      </c>
      <c r="B2161" t="s">
        <v>2934</v>
      </c>
      <c r="C2161" t="s">
        <v>6925</v>
      </c>
      <c r="D2161" s="1">
        <v>45612</v>
      </c>
      <c r="E2161" s="1">
        <v>45619</v>
      </c>
      <c r="F2161" s="1">
        <v>45619</v>
      </c>
      <c r="G2161">
        <v>60.19</v>
      </c>
      <c r="H21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161" t="str">
        <f>IFERROR(INDEX(Raw_orders!G:G, MATCH(shipments[[#This Row],[order_id]],Raw_orders!A:A, 0)), "Unknown")</f>
        <v>Baltics</v>
      </c>
      <c r="J2161" t="str">
        <f>PROPER(shipments[[#This Row],[delivery_status]])</f>
        <v>Delivered</v>
      </c>
      <c r="K2161" t="s">
        <v>6922</v>
      </c>
    </row>
    <row r="2162" spans="1:11">
      <c r="A2162" t="s">
        <v>9098</v>
      </c>
      <c r="B2162" t="s">
        <v>2934</v>
      </c>
      <c r="C2162" t="s">
        <v>6940</v>
      </c>
      <c r="D2162" s="1">
        <v>45613</v>
      </c>
      <c r="E2162" s="1">
        <v>45620</v>
      </c>
      <c r="F2162" s="1">
        <v>45626</v>
      </c>
      <c r="G2162">
        <v>41.04</v>
      </c>
      <c r="H21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62" t="str">
        <f>IFERROR(INDEX(Raw_orders!G:G, MATCH(shipments[[#This Row],[order_id]],Raw_orders!A:A, 0)), "Unknown")</f>
        <v>Baltics</v>
      </c>
      <c r="J2162" t="str">
        <f>PROPER(shipments[[#This Row],[delivery_status]])</f>
        <v>Delivered</v>
      </c>
      <c r="K2162" t="s">
        <v>6926</v>
      </c>
    </row>
    <row r="2163" spans="1:11">
      <c r="A2163" t="s">
        <v>9099</v>
      </c>
      <c r="B2163" t="s">
        <v>2935</v>
      </c>
      <c r="C2163" t="s">
        <v>6925</v>
      </c>
      <c r="D2163" s="1">
        <v>45584</v>
      </c>
      <c r="E2163" s="1">
        <v>45587</v>
      </c>
      <c r="F2163" s="1"/>
      <c r="G2163">
        <v>46.85</v>
      </c>
      <c r="H21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163" t="str">
        <f>IFERROR(INDEX(Raw_orders!G:G, MATCH(shipments[[#This Row],[order_id]],Raw_orders!A:A, 0)), "Unknown")</f>
        <v>Nordics</v>
      </c>
      <c r="J2163" t="str">
        <f>PROPER(shipments[[#This Row],[delivery_status]])</f>
        <v>Cancelled</v>
      </c>
      <c r="K2163" t="s">
        <v>6963</v>
      </c>
    </row>
    <row r="2164" spans="1:11">
      <c r="A2164" t="s">
        <v>9100</v>
      </c>
      <c r="B2164" t="s">
        <v>2936</v>
      </c>
      <c r="C2164" t="s">
        <v>6956</v>
      </c>
      <c r="D2164" s="1">
        <v>45075</v>
      </c>
      <c r="E2164" s="1">
        <v>45077</v>
      </c>
      <c r="F2164" s="1">
        <v>45078</v>
      </c>
      <c r="G2164">
        <v>52.22</v>
      </c>
      <c r="H21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64" t="str">
        <f>IFERROR(INDEX(Raw_orders!G:G, MATCH(shipments[[#This Row],[order_id]],Raw_orders!A:A, 0)), "Unknown")</f>
        <v>Central Europe</v>
      </c>
      <c r="J2164" t="str">
        <f>PROPER(shipments[[#This Row],[delivery_status]])</f>
        <v>Delivered</v>
      </c>
      <c r="K2164" t="s">
        <v>6926</v>
      </c>
    </row>
    <row r="2165" spans="1:11">
      <c r="A2165" t="s">
        <v>9101</v>
      </c>
      <c r="B2165" t="s">
        <v>2937</v>
      </c>
      <c r="C2165" t="s">
        <v>6956</v>
      </c>
      <c r="D2165" s="1">
        <v>45157</v>
      </c>
      <c r="E2165" s="1">
        <v>45167</v>
      </c>
      <c r="F2165" s="1">
        <v>45172</v>
      </c>
      <c r="G2165">
        <v>49.51</v>
      </c>
      <c r="H21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65" t="str">
        <f>IFERROR(INDEX(Raw_orders!G:G, MATCH(shipments[[#This Row],[order_id]],Raw_orders!A:A, 0)), "Unknown")</f>
        <v>Central Europe</v>
      </c>
      <c r="J2165" t="str">
        <f>PROPER(shipments[[#This Row],[delivery_status]])</f>
        <v>Delivered</v>
      </c>
      <c r="K2165" t="s">
        <v>6926</v>
      </c>
    </row>
    <row r="2166" spans="1:11">
      <c r="A2166" t="s">
        <v>9102</v>
      </c>
      <c r="B2166" t="s">
        <v>2938</v>
      </c>
      <c r="C2166" t="s">
        <v>6935</v>
      </c>
      <c r="D2166" s="1">
        <v>45441</v>
      </c>
      <c r="E2166" s="1">
        <v>45443</v>
      </c>
      <c r="F2166" s="1">
        <v>45446</v>
      </c>
      <c r="G2166">
        <v>42.57</v>
      </c>
      <c r="H21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66" t="str">
        <f>IFERROR(INDEX(Raw_orders!G:G, MATCH(shipments[[#This Row],[order_id]],Raw_orders!A:A, 0)), "Unknown")</f>
        <v>Central Europe</v>
      </c>
      <c r="J2166" t="str">
        <f>PROPER(shipments[[#This Row],[delivery_status]])</f>
        <v>Delivered</v>
      </c>
      <c r="K2166" t="s">
        <v>6926</v>
      </c>
    </row>
    <row r="2167" spans="1:11">
      <c r="A2167" t="s">
        <v>9103</v>
      </c>
      <c r="B2167" t="s">
        <v>2939</v>
      </c>
      <c r="C2167" t="s">
        <v>6956</v>
      </c>
      <c r="D2167" s="1">
        <v>45091</v>
      </c>
      <c r="E2167" s="1">
        <v>45101</v>
      </c>
      <c r="F2167" s="1">
        <v>45102</v>
      </c>
      <c r="G2167">
        <v>22.49</v>
      </c>
      <c r="H21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67" t="str">
        <f>IFERROR(INDEX(Raw_orders!G:G, MATCH(shipments[[#This Row],[order_id]],Raw_orders!A:A, 0)), "Unknown")</f>
        <v>Nordics</v>
      </c>
      <c r="J2167" t="str">
        <f>PROPER(shipments[[#This Row],[delivery_status]])</f>
        <v>Delivered</v>
      </c>
      <c r="K2167" t="s">
        <v>6922</v>
      </c>
    </row>
    <row r="2168" spans="1:11">
      <c r="A2168" t="s">
        <v>9104</v>
      </c>
      <c r="B2168" t="s">
        <v>2940</v>
      </c>
      <c r="C2168" t="s">
        <v>6949</v>
      </c>
      <c r="D2168" s="1">
        <v>45096</v>
      </c>
      <c r="E2168" s="1">
        <v>45103</v>
      </c>
      <c r="F2168" s="1">
        <v>45114</v>
      </c>
      <c r="G2168">
        <v>39.46</v>
      </c>
      <c r="H21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68" t="str">
        <f>IFERROR(INDEX(Raw_orders!G:G, MATCH(shipments[[#This Row],[order_id]],Raw_orders!A:A, 0)), "Unknown")</f>
        <v>Central Europe</v>
      </c>
      <c r="J2168" t="str">
        <f>PROPER(shipments[[#This Row],[delivery_status]])</f>
        <v>Delivered</v>
      </c>
      <c r="K2168" t="s">
        <v>6929</v>
      </c>
    </row>
    <row r="2169" spans="1:11">
      <c r="A2169" t="s">
        <v>9105</v>
      </c>
      <c r="B2169" t="s">
        <v>2941</v>
      </c>
      <c r="C2169" t="s">
        <v>6940</v>
      </c>
      <c r="D2169" s="1">
        <v>45213</v>
      </c>
      <c r="E2169" s="1">
        <v>45215</v>
      </c>
      <c r="F2169" s="1">
        <v>45215</v>
      </c>
      <c r="G2169">
        <v>63.11</v>
      </c>
      <c r="H21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169" t="str">
        <f>IFERROR(INDEX(Raw_orders!G:G, MATCH(shipments[[#This Row],[order_id]],Raw_orders!A:A, 0)), "Unknown")</f>
        <v>Baltics</v>
      </c>
      <c r="J2169" t="str">
        <f>PROPER(shipments[[#This Row],[delivery_status]])</f>
        <v>Delivered</v>
      </c>
      <c r="K2169" t="s">
        <v>6922</v>
      </c>
    </row>
    <row r="2170" spans="1:11">
      <c r="A2170" t="s">
        <v>9106</v>
      </c>
      <c r="B2170" t="s">
        <v>2942</v>
      </c>
      <c r="C2170" t="s">
        <v>6935</v>
      </c>
      <c r="D2170" s="1">
        <v>45383</v>
      </c>
      <c r="E2170" s="1">
        <v>45388</v>
      </c>
      <c r="F2170" s="1">
        <v>45391</v>
      </c>
      <c r="G2170">
        <v>43.87</v>
      </c>
      <c r="H21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70" t="str">
        <f>IFERROR(INDEX(Raw_orders!G:G, MATCH(shipments[[#This Row],[order_id]],Raw_orders!A:A, 0)), "Unknown")</f>
        <v>Nordics</v>
      </c>
      <c r="J2170" t="str">
        <f>PROPER(shipments[[#This Row],[delivery_status]])</f>
        <v>Delivered</v>
      </c>
      <c r="K2170" t="s">
        <v>6926</v>
      </c>
    </row>
    <row r="2171" spans="1:11">
      <c r="A2171" t="s">
        <v>9107</v>
      </c>
      <c r="B2171" t="s">
        <v>2943</v>
      </c>
      <c r="C2171" t="s">
        <v>6921</v>
      </c>
      <c r="D2171" s="1">
        <v>45074</v>
      </c>
      <c r="E2171" s="1">
        <v>45077</v>
      </c>
      <c r="F2171" s="1">
        <v>45085</v>
      </c>
      <c r="G2171">
        <v>57.61</v>
      </c>
      <c r="H21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71" t="str">
        <f>IFERROR(INDEX(Raw_orders!G:G, MATCH(shipments[[#This Row],[order_id]],Raw_orders!A:A, 0)), "Unknown")</f>
        <v>Central Europe</v>
      </c>
      <c r="J2171" t="str">
        <f>PROPER(shipments[[#This Row],[delivery_status]])</f>
        <v>Delivered</v>
      </c>
      <c r="K2171" t="s">
        <v>6926</v>
      </c>
    </row>
    <row r="2172" spans="1:11">
      <c r="A2172" t="s">
        <v>9108</v>
      </c>
      <c r="B2172" t="s">
        <v>2944</v>
      </c>
      <c r="C2172" t="s">
        <v>6921</v>
      </c>
      <c r="D2172" s="1">
        <v>45404</v>
      </c>
      <c r="E2172" s="1">
        <v>45409</v>
      </c>
      <c r="F2172" s="1">
        <v>45419</v>
      </c>
      <c r="G2172">
        <v>17.149999999999999</v>
      </c>
      <c r="H21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72" t="str">
        <f>IFERROR(INDEX(Raw_orders!G:G, MATCH(shipments[[#This Row],[order_id]],Raw_orders!A:A, 0)), "Unknown")</f>
        <v>Nordics</v>
      </c>
      <c r="J2172" t="str">
        <f>PROPER(shipments[[#This Row],[delivery_status]])</f>
        <v>Delivered</v>
      </c>
      <c r="K2172" t="s">
        <v>6926</v>
      </c>
    </row>
    <row r="2173" spans="1:11">
      <c r="A2173" t="s">
        <v>9109</v>
      </c>
      <c r="B2173" t="s">
        <v>2945</v>
      </c>
      <c r="C2173" t="s">
        <v>6935</v>
      </c>
      <c r="D2173" s="1">
        <v>45423</v>
      </c>
      <c r="E2173" s="1">
        <v>45428</v>
      </c>
      <c r="F2173" s="1">
        <v>45433</v>
      </c>
      <c r="G2173">
        <v>41.73</v>
      </c>
      <c r="H21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73" t="str">
        <f>IFERROR(INDEX(Raw_orders!G:G, MATCH(shipments[[#This Row],[order_id]],Raw_orders!A:A, 0)), "Unknown")</f>
        <v>Nordics</v>
      </c>
      <c r="J2173" t="str">
        <f>PROPER(shipments[[#This Row],[delivery_status]])</f>
        <v>Delivered</v>
      </c>
      <c r="K2173" t="s">
        <v>6922</v>
      </c>
    </row>
    <row r="2174" spans="1:11">
      <c r="A2174" t="s">
        <v>9110</v>
      </c>
      <c r="B2174" t="s">
        <v>2946</v>
      </c>
      <c r="C2174" t="s">
        <v>6928</v>
      </c>
      <c r="D2174" s="1">
        <v>45074</v>
      </c>
      <c r="E2174" s="1">
        <v>45081</v>
      </c>
      <c r="F2174" s="1">
        <v>45080</v>
      </c>
      <c r="G2174">
        <v>45.95</v>
      </c>
      <c r="H21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174" t="str">
        <f>IFERROR(INDEX(Raw_orders!G:G, MATCH(shipments[[#This Row],[order_id]],Raw_orders!A:A, 0)), "Unknown")</f>
        <v>Baltics</v>
      </c>
      <c r="J2174" t="str">
        <f>PROPER(shipments[[#This Row],[delivery_status]])</f>
        <v>Delivered</v>
      </c>
      <c r="K2174" t="s">
        <v>6929</v>
      </c>
    </row>
    <row r="2175" spans="1:11">
      <c r="A2175" t="s">
        <v>9111</v>
      </c>
      <c r="B2175" t="s">
        <v>2947</v>
      </c>
      <c r="C2175" t="s">
        <v>6938</v>
      </c>
      <c r="D2175" s="1">
        <v>45126</v>
      </c>
      <c r="E2175" s="1">
        <v>45129</v>
      </c>
      <c r="F2175" s="1">
        <v>45129</v>
      </c>
      <c r="G2175">
        <v>33.799999999999997</v>
      </c>
      <c r="H21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175" t="str">
        <f>IFERROR(INDEX(Raw_orders!G:G, MATCH(shipments[[#This Row],[order_id]],Raw_orders!A:A, 0)), "Unknown")</f>
        <v>Nordics</v>
      </c>
      <c r="J2175" t="str">
        <f>PROPER(shipments[[#This Row],[delivery_status]])</f>
        <v>Delivered</v>
      </c>
      <c r="K2175" t="s">
        <v>6929</v>
      </c>
    </row>
    <row r="2176" spans="1:11">
      <c r="A2176" t="s">
        <v>9112</v>
      </c>
      <c r="B2176" t="s">
        <v>2948</v>
      </c>
      <c r="C2176" t="s">
        <v>6935</v>
      </c>
      <c r="D2176" s="1">
        <v>45568</v>
      </c>
      <c r="E2176" s="1">
        <v>45570</v>
      </c>
      <c r="F2176" s="1"/>
      <c r="G2176">
        <v>13.14</v>
      </c>
      <c r="H21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176" t="str">
        <f>IFERROR(INDEX(Raw_orders!G:G, MATCH(shipments[[#This Row],[order_id]],Raw_orders!A:A, 0)), "Unknown")</f>
        <v>Central Europe</v>
      </c>
      <c r="J2176" t="str">
        <f>PROPER(shipments[[#This Row],[delivery_status]])</f>
        <v>In Transit</v>
      </c>
      <c r="K2176" t="s">
        <v>6958</v>
      </c>
    </row>
    <row r="2177" spans="1:11">
      <c r="A2177" t="s">
        <v>9113</v>
      </c>
      <c r="B2177" t="s">
        <v>2949</v>
      </c>
      <c r="C2177" t="s">
        <v>6949</v>
      </c>
      <c r="D2177" s="1">
        <v>45531</v>
      </c>
      <c r="E2177" s="1">
        <v>45536</v>
      </c>
      <c r="F2177" s="1"/>
      <c r="G2177">
        <v>13.83</v>
      </c>
      <c r="H21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177" t="str">
        <f>IFERROR(INDEX(Raw_orders!G:G, MATCH(shipments[[#This Row],[order_id]],Raw_orders!A:A, 0)), "Unknown")</f>
        <v>Nordics</v>
      </c>
      <c r="J2177" t="str">
        <f>PROPER(shipments[[#This Row],[delivery_status]])</f>
        <v>In Transit</v>
      </c>
      <c r="K2177" t="s">
        <v>6958</v>
      </c>
    </row>
    <row r="2178" spans="1:11">
      <c r="A2178" t="s">
        <v>9114</v>
      </c>
      <c r="B2178" t="s">
        <v>2950</v>
      </c>
      <c r="C2178" t="s">
        <v>6921</v>
      </c>
      <c r="D2178" s="1">
        <v>45586</v>
      </c>
      <c r="E2178" s="1">
        <v>45596</v>
      </c>
      <c r="F2178" s="1">
        <v>45596</v>
      </c>
      <c r="G2178">
        <v>53.71</v>
      </c>
      <c r="H21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178" t="str">
        <f>IFERROR(INDEX(Raw_orders!G:G, MATCH(shipments[[#This Row],[order_id]],Raw_orders!A:A, 0)), "Unknown")</f>
        <v>Nordics</v>
      </c>
      <c r="J2178" t="str">
        <f>PROPER(shipments[[#This Row],[delivery_status]])</f>
        <v>Delivered</v>
      </c>
      <c r="K2178" t="s">
        <v>6929</v>
      </c>
    </row>
    <row r="2179" spans="1:11">
      <c r="A2179" t="s">
        <v>9115</v>
      </c>
      <c r="B2179" t="s">
        <v>2950</v>
      </c>
      <c r="C2179" t="s">
        <v>6940</v>
      </c>
      <c r="D2179" s="1">
        <v>45585</v>
      </c>
      <c r="E2179" s="1">
        <v>45592</v>
      </c>
      <c r="F2179" s="1">
        <v>45595</v>
      </c>
      <c r="G2179">
        <v>51.1</v>
      </c>
      <c r="H21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79" t="str">
        <f>IFERROR(INDEX(Raw_orders!G:G, MATCH(shipments[[#This Row],[order_id]],Raw_orders!A:A, 0)), "Unknown")</f>
        <v>Nordics</v>
      </c>
      <c r="J2179" t="str">
        <f>PROPER(shipments[[#This Row],[delivery_status]])</f>
        <v>Delivered</v>
      </c>
      <c r="K2179" t="s">
        <v>6929</v>
      </c>
    </row>
    <row r="2180" spans="1:11">
      <c r="A2180" t="s">
        <v>9116</v>
      </c>
      <c r="B2180" t="s">
        <v>2951</v>
      </c>
      <c r="C2180" t="s">
        <v>6938</v>
      </c>
      <c r="D2180" s="1">
        <v>45091</v>
      </c>
      <c r="E2180" s="1">
        <v>45094</v>
      </c>
      <c r="F2180" s="1">
        <v>45094</v>
      </c>
      <c r="G2180">
        <v>36.020000000000003</v>
      </c>
      <c r="H21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180" t="str">
        <f>IFERROR(INDEX(Raw_orders!G:G, MATCH(shipments[[#This Row],[order_id]],Raw_orders!A:A, 0)), "Unknown")</f>
        <v>Nordics</v>
      </c>
      <c r="J2180" t="str">
        <f>PROPER(shipments[[#This Row],[delivery_status]])</f>
        <v>Delivered</v>
      </c>
      <c r="K2180" t="s">
        <v>6929</v>
      </c>
    </row>
    <row r="2181" spans="1:11">
      <c r="A2181" t="s">
        <v>9117</v>
      </c>
      <c r="B2181" t="s">
        <v>2952</v>
      </c>
      <c r="C2181" t="s">
        <v>6921</v>
      </c>
      <c r="D2181" s="1">
        <v>45033</v>
      </c>
      <c r="E2181" s="1">
        <v>45038</v>
      </c>
      <c r="F2181" s="1">
        <v>45038</v>
      </c>
      <c r="G2181">
        <v>32.18</v>
      </c>
      <c r="H21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181" t="str">
        <f>IFERROR(INDEX(Raw_orders!G:G, MATCH(shipments[[#This Row],[order_id]],Raw_orders!A:A, 0)), "Unknown")</f>
        <v>Nordics</v>
      </c>
      <c r="J2181" t="str">
        <f>PROPER(shipments[[#This Row],[delivery_status]])</f>
        <v>Delivered</v>
      </c>
      <c r="K2181" t="s">
        <v>6926</v>
      </c>
    </row>
    <row r="2182" spans="1:11">
      <c r="A2182" t="s">
        <v>9118</v>
      </c>
      <c r="B2182" t="s">
        <v>2953</v>
      </c>
      <c r="C2182" t="s">
        <v>6928</v>
      </c>
      <c r="D2182" s="1">
        <v>45538</v>
      </c>
      <c r="E2182" s="1">
        <v>45548</v>
      </c>
      <c r="F2182" s="1">
        <v>45548</v>
      </c>
      <c r="G2182">
        <v>30.09</v>
      </c>
      <c r="H21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182" t="str">
        <f>IFERROR(INDEX(Raw_orders!G:G, MATCH(shipments[[#This Row],[order_id]],Raw_orders!A:A, 0)), "Unknown")</f>
        <v>Central Europe</v>
      </c>
      <c r="J2182" t="str">
        <f>PROPER(shipments[[#This Row],[delivery_status]])</f>
        <v>Delivered</v>
      </c>
      <c r="K2182" t="s">
        <v>6926</v>
      </c>
    </row>
    <row r="2183" spans="1:11">
      <c r="A2183" t="s">
        <v>9119</v>
      </c>
      <c r="B2183" t="s">
        <v>2954</v>
      </c>
      <c r="C2183" t="s">
        <v>6940</v>
      </c>
      <c r="D2183" s="1">
        <v>45570</v>
      </c>
      <c r="E2183" s="1">
        <v>45580</v>
      </c>
      <c r="F2183" s="1"/>
      <c r="G2183">
        <v>17.579999999999998</v>
      </c>
      <c r="H21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183" t="str">
        <f>IFERROR(INDEX(Raw_orders!G:G, MATCH(shipments[[#This Row],[order_id]],Raw_orders!A:A, 0)), "Unknown")</f>
        <v>Central Europe</v>
      </c>
      <c r="J2183" t="str">
        <f>PROPER(shipments[[#This Row],[delivery_status]])</f>
        <v>Cancelled</v>
      </c>
      <c r="K2183" t="s">
        <v>6963</v>
      </c>
    </row>
    <row r="2184" spans="1:11">
      <c r="A2184" t="s">
        <v>9120</v>
      </c>
      <c r="B2184" t="s">
        <v>2955</v>
      </c>
      <c r="C2184" t="s">
        <v>6938</v>
      </c>
      <c r="D2184" s="1">
        <v>45102</v>
      </c>
      <c r="E2184" s="1">
        <v>45104</v>
      </c>
      <c r="F2184" s="1">
        <v>45105</v>
      </c>
      <c r="G2184">
        <v>31.16</v>
      </c>
      <c r="H21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84" t="str">
        <f>IFERROR(INDEX(Raw_orders!G:G, MATCH(shipments[[#This Row],[order_id]],Raw_orders!A:A, 0)), "Unknown")</f>
        <v>Nordics</v>
      </c>
      <c r="J2184" t="str">
        <f>PROPER(shipments[[#This Row],[delivery_status]])</f>
        <v>Delivered</v>
      </c>
      <c r="K2184" t="s">
        <v>6929</v>
      </c>
    </row>
    <row r="2185" spans="1:11">
      <c r="A2185" t="s">
        <v>9121</v>
      </c>
      <c r="B2185" t="s">
        <v>2956</v>
      </c>
      <c r="C2185" t="s">
        <v>6928</v>
      </c>
      <c r="D2185" s="1">
        <v>45295</v>
      </c>
      <c r="E2185" s="1">
        <v>45300</v>
      </c>
      <c r="F2185" s="1"/>
      <c r="G2185">
        <v>25.7</v>
      </c>
      <c r="H21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185" t="str">
        <f>IFERROR(INDEX(Raw_orders!G:G, MATCH(shipments[[#This Row],[order_id]],Raw_orders!A:A, 0)), "Unknown")</f>
        <v>Baltics</v>
      </c>
      <c r="J2185" t="str">
        <f>PROPER(shipments[[#This Row],[delivery_status]])</f>
        <v>In Transit</v>
      </c>
      <c r="K2185" t="s">
        <v>6946</v>
      </c>
    </row>
    <row r="2186" spans="1:11">
      <c r="A2186" t="s">
        <v>9122</v>
      </c>
      <c r="B2186" t="s">
        <v>2957</v>
      </c>
      <c r="C2186" t="s">
        <v>6940</v>
      </c>
      <c r="D2186" s="1">
        <v>45177</v>
      </c>
      <c r="E2186" s="1">
        <v>45184</v>
      </c>
      <c r="F2186" s="1">
        <v>45183</v>
      </c>
      <c r="G2186">
        <v>57.74</v>
      </c>
      <c r="H21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186" t="str">
        <f>IFERROR(INDEX(Raw_orders!G:G, MATCH(shipments[[#This Row],[order_id]],Raw_orders!A:A, 0)), "Unknown")</f>
        <v>Nordics</v>
      </c>
      <c r="J2186" t="str">
        <f>PROPER(shipments[[#This Row],[delivery_status]])</f>
        <v>Delivered</v>
      </c>
      <c r="K2186" t="s">
        <v>6922</v>
      </c>
    </row>
    <row r="2187" spans="1:11">
      <c r="A2187" t="s">
        <v>9123</v>
      </c>
      <c r="B2187" t="s">
        <v>2958</v>
      </c>
      <c r="C2187" t="s">
        <v>6931</v>
      </c>
      <c r="D2187" s="1">
        <v>45532</v>
      </c>
      <c r="E2187" s="1">
        <v>45535</v>
      </c>
      <c r="F2187" s="1">
        <v>45536</v>
      </c>
      <c r="G2187">
        <v>50.64</v>
      </c>
      <c r="H21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87" t="str">
        <f>IFERROR(INDEX(Raw_orders!G:G, MATCH(shipments[[#This Row],[order_id]],Raw_orders!A:A, 0)), "Unknown")</f>
        <v>Central Europe</v>
      </c>
      <c r="J2187" t="str">
        <f>PROPER(shipments[[#This Row],[delivery_status]])</f>
        <v>Delivered</v>
      </c>
      <c r="K2187" t="s">
        <v>6922</v>
      </c>
    </row>
    <row r="2188" spans="1:11">
      <c r="A2188" t="s">
        <v>9124</v>
      </c>
      <c r="B2188" t="s">
        <v>2959</v>
      </c>
      <c r="C2188" t="s">
        <v>6925</v>
      </c>
      <c r="D2188" s="1">
        <v>45610</v>
      </c>
      <c r="E2188" s="1">
        <v>45613</v>
      </c>
      <c r="F2188" s="1">
        <v>45616</v>
      </c>
      <c r="G2188">
        <v>26.4</v>
      </c>
      <c r="H21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88" t="str">
        <f>IFERROR(INDEX(Raw_orders!G:G, MATCH(shipments[[#This Row],[order_id]],Raw_orders!A:A, 0)), "Unknown")</f>
        <v>Central Europe</v>
      </c>
      <c r="J2188" t="str">
        <f>PROPER(shipments[[#This Row],[delivery_status]])</f>
        <v>Delivered</v>
      </c>
      <c r="K2188" t="s">
        <v>6929</v>
      </c>
    </row>
    <row r="2189" spans="1:11">
      <c r="A2189" t="s">
        <v>9125</v>
      </c>
      <c r="B2189" t="s">
        <v>2960</v>
      </c>
      <c r="C2189" t="s">
        <v>6938</v>
      </c>
      <c r="D2189" s="1">
        <v>45205</v>
      </c>
      <c r="E2189" s="1">
        <v>45207</v>
      </c>
      <c r="F2189" s="1">
        <v>45209</v>
      </c>
      <c r="G2189">
        <v>15.58</v>
      </c>
      <c r="H21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89" t="str">
        <f>IFERROR(INDEX(Raw_orders!G:G, MATCH(shipments[[#This Row],[order_id]],Raw_orders!A:A, 0)), "Unknown")</f>
        <v>Baltics</v>
      </c>
      <c r="J2189" t="str">
        <f>PROPER(shipments[[#This Row],[delivery_status]])</f>
        <v>Delivered</v>
      </c>
      <c r="K2189" t="s">
        <v>6929</v>
      </c>
    </row>
    <row r="2190" spans="1:11">
      <c r="A2190" t="s">
        <v>9126</v>
      </c>
      <c r="B2190" t="s">
        <v>2961</v>
      </c>
      <c r="C2190" t="s">
        <v>6956</v>
      </c>
      <c r="D2190" s="1">
        <v>45581</v>
      </c>
      <c r="E2190" s="1">
        <v>45588</v>
      </c>
      <c r="F2190" s="1">
        <v>45587</v>
      </c>
      <c r="G2190">
        <v>42.8</v>
      </c>
      <c r="H21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190" t="str">
        <f>IFERROR(INDEX(Raw_orders!G:G, MATCH(shipments[[#This Row],[order_id]],Raw_orders!A:A, 0)), "Unknown")</f>
        <v>Unknown</v>
      </c>
      <c r="J2190" t="str">
        <f>PROPER(shipments[[#This Row],[delivery_status]])</f>
        <v>Delivered</v>
      </c>
      <c r="K2190" t="s">
        <v>6926</v>
      </c>
    </row>
    <row r="2191" spans="1:11">
      <c r="A2191" t="s">
        <v>9127</v>
      </c>
      <c r="B2191" t="s">
        <v>2962</v>
      </c>
      <c r="C2191" t="s">
        <v>6925</v>
      </c>
      <c r="D2191" s="1">
        <v>45299</v>
      </c>
      <c r="E2191" s="1">
        <v>45309</v>
      </c>
      <c r="F2191" s="1">
        <v>45314</v>
      </c>
      <c r="G2191">
        <v>26.09</v>
      </c>
      <c r="H21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91" t="str">
        <f>IFERROR(INDEX(Raw_orders!G:G, MATCH(shipments[[#This Row],[order_id]],Raw_orders!A:A, 0)), "Unknown")</f>
        <v>Baltics</v>
      </c>
      <c r="J2191" t="str">
        <f>PROPER(shipments[[#This Row],[delivery_status]])</f>
        <v>Delivered</v>
      </c>
      <c r="K2191" t="s">
        <v>6929</v>
      </c>
    </row>
    <row r="2192" spans="1:11">
      <c r="A2192" t="s">
        <v>9128</v>
      </c>
      <c r="B2192" t="s">
        <v>2963</v>
      </c>
      <c r="C2192" t="s">
        <v>6940</v>
      </c>
      <c r="D2192" s="1">
        <v>45536</v>
      </c>
      <c r="E2192" s="1">
        <v>45543</v>
      </c>
      <c r="F2192" s="1"/>
      <c r="G2192">
        <v>46.79</v>
      </c>
      <c r="H21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192" t="str">
        <f>IFERROR(INDEX(Raw_orders!G:G, MATCH(shipments[[#This Row],[order_id]],Raw_orders!A:A, 0)), "Unknown")</f>
        <v>Baltics</v>
      </c>
      <c r="J2192" t="str">
        <f>PROPER(shipments[[#This Row],[delivery_status]])</f>
        <v>Cancelled</v>
      </c>
      <c r="K2192" t="s">
        <v>6979</v>
      </c>
    </row>
    <row r="2193" spans="1:11">
      <c r="A2193" t="s">
        <v>9129</v>
      </c>
      <c r="B2193" t="s">
        <v>2964</v>
      </c>
      <c r="C2193" t="s">
        <v>6938</v>
      </c>
      <c r="D2193" s="1">
        <v>45299</v>
      </c>
      <c r="E2193" s="1">
        <v>45309</v>
      </c>
      <c r="F2193" s="1">
        <v>45310</v>
      </c>
      <c r="G2193">
        <v>33.83</v>
      </c>
      <c r="H21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93" t="str">
        <f>IFERROR(INDEX(Raw_orders!G:G, MATCH(shipments[[#This Row],[order_id]],Raw_orders!A:A, 0)), "Unknown")</f>
        <v>Baltics</v>
      </c>
      <c r="J2193" t="str">
        <f>PROPER(shipments[[#This Row],[delivery_status]])</f>
        <v>Delivered</v>
      </c>
      <c r="K2193" t="s">
        <v>6926</v>
      </c>
    </row>
    <row r="2194" spans="1:11">
      <c r="A2194" t="s">
        <v>9130</v>
      </c>
      <c r="B2194" t="s">
        <v>2965</v>
      </c>
      <c r="C2194" t="s">
        <v>6940</v>
      </c>
      <c r="D2194" s="1">
        <v>44969</v>
      </c>
      <c r="E2194" s="1">
        <v>44972</v>
      </c>
      <c r="F2194" s="1"/>
      <c r="G2194">
        <v>19.8</v>
      </c>
      <c r="H21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194" t="str">
        <f>IFERROR(INDEX(Raw_orders!G:G, MATCH(shipments[[#This Row],[order_id]],Raw_orders!A:A, 0)), "Unknown")</f>
        <v>Central Europe</v>
      </c>
      <c r="J2194" t="str">
        <f>PROPER(shipments[[#This Row],[delivery_status]])</f>
        <v>In Transit</v>
      </c>
      <c r="K2194" t="s">
        <v>6977</v>
      </c>
    </row>
    <row r="2195" spans="1:11">
      <c r="A2195" t="s">
        <v>9131</v>
      </c>
      <c r="B2195" t="s">
        <v>2966</v>
      </c>
      <c r="C2195" t="s">
        <v>6935</v>
      </c>
      <c r="D2195" s="1">
        <v>45563</v>
      </c>
      <c r="E2195" s="1">
        <v>45565</v>
      </c>
      <c r="F2195" s="1">
        <v>45573</v>
      </c>
      <c r="G2195">
        <v>4.9000000000000004</v>
      </c>
      <c r="H21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95" t="str">
        <f>IFERROR(INDEX(Raw_orders!G:G, MATCH(shipments[[#This Row],[order_id]],Raw_orders!A:A, 0)), "Unknown")</f>
        <v>Central Europe</v>
      </c>
      <c r="J2195" t="str">
        <f>PROPER(shipments[[#This Row],[delivery_status]])</f>
        <v>Delivered</v>
      </c>
      <c r="K2195" t="s">
        <v>6922</v>
      </c>
    </row>
    <row r="2196" spans="1:11">
      <c r="A2196" t="s">
        <v>9132</v>
      </c>
      <c r="B2196" t="s">
        <v>2967</v>
      </c>
      <c r="C2196" t="s">
        <v>6921</v>
      </c>
      <c r="D2196" s="1">
        <v>45355</v>
      </c>
      <c r="E2196" s="1">
        <v>45362</v>
      </c>
      <c r="F2196" s="1"/>
      <c r="G2196">
        <v>30.99</v>
      </c>
      <c r="H21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196" t="str">
        <f>IFERROR(INDEX(Raw_orders!G:G, MATCH(shipments[[#This Row],[order_id]],Raw_orders!A:A, 0)), "Unknown")</f>
        <v>Baltics</v>
      </c>
      <c r="J2196" t="str">
        <f>PROPER(shipments[[#This Row],[delivery_status]])</f>
        <v>In Transit</v>
      </c>
      <c r="K2196" t="s">
        <v>6977</v>
      </c>
    </row>
    <row r="2197" spans="1:11">
      <c r="A2197" t="s">
        <v>9133</v>
      </c>
      <c r="B2197" t="s">
        <v>2968</v>
      </c>
      <c r="C2197" t="s">
        <v>6921</v>
      </c>
      <c r="D2197" s="1">
        <v>45436</v>
      </c>
      <c r="E2197" s="1">
        <v>45446</v>
      </c>
      <c r="F2197" s="1"/>
      <c r="G2197">
        <v>25.65</v>
      </c>
      <c r="H21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197" t="str">
        <f>IFERROR(INDEX(Raw_orders!G:G, MATCH(shipments[[#This Row],[order_id]],Raw_orders!A:A, 0)), "Unknown")</f>
        <v>Central Europe</v>
      </c>
      <c r="J2197" t="str">
        <f>PROPER(shipments[[#This Row],[delivery_status]])</f>
        <v>Cancelled</v>
      </c>
      <c r="K2197" t="s">
        <v>6963</v>
      </c>
    </row>
    <row r="2198" spans="1:11">
      <c r="A2198" t="s">
        <v>9134</v>
      </c>
      <c r="B2198" t="s">
        <v>2969</v>
      </c>
      <c r="C2198" t="s">
        <v>6949</v>
      </c>
      <c r="D2198" s="1">
        <v>45316</v>
      </c>
      <c r="E2198" s="1">
        <v>45318</v>
      </c>
      <c r="F2198" s="1">
        <v>45321</v>
      </c>
      <c r="G2198">
        <v>48.47</v>
      </c>
      <c r="H21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98" t="str">
        <f>IFERROR(INDEX(Raw_orders!G:G, MATCH(shipments[[#This Row],[order_id]],Raw_orders!A:A, 0)), "Unknown")</f>
        <v>Baltics</v>
      </c>
      <c r="J2198" t="str">
        <f>PROPER(shipments[[#This Row],[delivery_status]])</f>
        <v>Delivered</v>
      </c>
      <c r="K2198" t="s">
        <v>6922</v>
      </c>
    </row>
    <row r="2199" spans="1:11">
      <c r="A2199" t="s">
        <v>9135</v>
      </c>
      <c r="B2199" t="s">
        <v>2970</v>
      </c>
      <c r="C2199" t="s">
        <v>6935</v>
      </c>
      <c r="D2199" s="1">
        <v>45498</v>
      </c>
      <c r="E2199" s="1">
        <v>45505</v>
      </c>
      <c r="F2199" s="1">
        <v>45518</v>
      </c>
      <c r="G2199">
        <v>11.21</v>
      </c>
      <c r="H21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199" t="str">
        <f>IFERROR(INDEX(Raw_orders!G:G, MATCH(shipments[[#This Row],[order_id]],Raw_orders!A:A, 0)), "Unknown")</f>
        <v>Unknown</v>
      </c>
      <c r="J2199" t="str">
        <f>PROPER(shipments[[#This Row],[delivery_status]])</f>
        <v>Delivered</v>
      </c>
      <c r="K2199" t="s">
        <v>6929</v>
      </c>
    </row>
    <row r="2200" spans="1:11">
      <c r="A2200" t="s">
        <v>9136</v>
      </c>
      <c r="B2200" t="s">
        <v>2971</v>
      </c>
      <c r="C2200" t="s">
        <v>6931</v>
      </c>
      <c r="D2200" s="1">
        <v>45476</v>
      </c>
      <c r="E2200" s="1">
        <v>45481</v>
      </c>
      <c r="F2200" s="1">
        <v>45485</v>
      </c>
      <c r="G2200">
        <v>16.91</v>
      </c>
      <c r="H22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00" t="str">
        <f>IFERROR(INDEX(Raw_orders!G:G, MATCH(shipments[[#This Row],[order_id]],Raw_orders!A:A, 0)), "Unknown")</f>
        <v>Baltics</v>
      </c>
      <c r="J2200" t="str">
        <f>PROPER(shipments[[#This Row],[delivery_status]])</f>
        <v>Delivered</v>
      </c>
      <c r="K2200" t="s">
        <v>6926</v>
      </c>
    </row>
    <row r="2201" spans="1:11">
      <c r="A2201" t="s">
        <v>9137</v>
      </c>
      <c r="B2201" t="s">
        <v>2972</v>
      </c>
      <c r="C2201" t="s">
        <v>6956</v>
      </c>
      <c r="D2201" s="1">
        <v>44943</v>
      </c>
      <c r="E2201" s="1">
        <v>44946</v>
      </c>
      <c r="F2201" s="1">
        <v>44945</v>
      </c>
      <c r="G2201">
        <v>17.690000000000001</v>
      </c>
      <c r="H22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201" t="str">
        <f>IFERROR(INDEX(Raw_orders!G:G, MATCH(shipments[[#This Row],[order_id]],Raw_orders!A:A, 0)), "Unknown")</f>
        <v>Nordics</v>
      </c>
      <c r="J2201" t="str">
        <f>PROPER(shipments[[#This Row],[delivery_status]])</f>
        <v>Delivered</v>
      </c>
      <c r="K2201" t="s">
        <v>6922</v>
      </c>
    </row>
    <row r="2202" spans="1:11">
      <c r="A2202" t="s">
        <v>9138</v>
      </c>
      <c r="B2202" t="s">
        <v>2973</v>
      </c>
      <c r="C2202" t="s">
        <v>6956</v>
      </c>
      <c r="D2202" s="1">
        <v>45592</v>
      </c>
      <c r="E2202" s="1">
        <v>45597</v>
      </c>
      <c r="F2202" s="1"/>
      <c r="G2202">
        <v>49.38</v>
      </c>
      <c r="H22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202" t="str">
        <f>IFERROR(INDEX(Raw_orders!G:G, MATCH(shipments[[#This Row],[order_id]],Raw_orders!A:A, 0)), "Unknown")</f>
        <v>Nordics</v>
      </c>
      <c r="J2202" t="str">
        <f>PROPER(shipments[[#This Row],[delivery_status]])</f>
        <v>Cancelled</v>
      </c>
      <c r="K2202" t="s">
        <v>6963</v>
      </c>
    </row>
    <row r="2203" spans="1:11">
      <c r="A2203" t="s">
        <v>9139</v>
      </c>
      <c r="B2203" t="s">
        <v>2973</v>
      </c>
      <c r="C2203" t="s">
        <v>6931</v>
      </c>
      <c r="D2203" s="1">
        <v>45592</v>
      </c>
      <c r="E2203" s="1">
        <v>45602</v>
      </c>
      <c r="F2203" s="1">
        <v>45603</v>
      </c>
      <c r="G2203">
        <v>35.28</v>
      </c>
      <c r="H22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03" t="str">
        <f>IFERROR(INDEX(Raw_orders!G:G, MATCH(shipments[[#This Row],[order_id]],Raw_orders!A:A, 0)), "Unknown")</f>
        <v>Nordics</v>
      </c>
      <c r="J2203" t="str">
        <f>PROPER(shipments[[#This Row],[delivery_status]])</f>
        <v>Delivered</v>
      </c>
      <c r="K2203" t="s">
        <v>6922</v>
      </c>
    </row>
    <row r="2204" spans="1:11">
      <c r="A2204" t="s">
        <v>9140</v>
      </c>
      <c r="B2204" t="s">
        <v>2974</v>
      </c>
      <c r="C2204" t="s">
        <v>6935</v>
      </c>
      <c r="D2204" s="1">
        <v>45065</v>
      </c>
      <c r="E2204" s="1">
        <v>45067</v>
      </c>
      <c r="F2204" s="1">
        <v>45068</v>
      </c>
      <c r="G2204">
        <v>52.92</v>
      </c>
      <c r="H22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04" t="str">
        <f>IFERROR(INDEX(Raw_orders!G:G, MATCH(shipments[[#This Row],[order_id]],Raw_orders!A:A, 0)), "Unknown")</f>
        <v>Baltics</v>
      </c>
      <c r="J2204" t="str">
        <f>PROPER(shipments[[#This Row],[delivery_status]])</f>
        <v>Delivered</v>
      </c>
      <c r="K2204" t="s">
        <v>6922</v>
      </c>
    </row>
    <row r="2205" spans="1:11">
      <c r="A2205" t="s">
        <v>9141</v>
      </c>
      <c r="B2205" t="s">
        <v>2975</v>
      </c>
      <c r="C2205" t="s">
        <v>6921</v>
      </c>
      <c r="D2205" s="1">
        <v>45585</v>
      </c>
      <c r="E2205" s="1">
        <v>45588</v>
      </c>
      <c r="F2205" s="1">
        <v>45594</v>
      </c>
      <c r="G2205">
        <v>40.53</v>
      </c>
      <c r="H22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05" t="str">
        <f>IFERROR(INDEX(Raw_orders!G:G, MATCH(shipments[[#This Row],[order_id]],Raw_orders!A:A, 0)), "Unknown")</f>
        <v>Baltics</v>
      </c>
      <c r="J2205" t="str">
        <f>PROPER(shipments[[#This Row],[delivery_status]])</f>
        <v>Delivered</v>
      </c>
      <c r="K2205" t="s">
        <v>6922</v>
      </c>
    </row>
    <row r="2206" spans="1:11">
      <c r="A2206" t="s">
        <v>9142</v>
      </c>
      <c r="B2206" t="s">
        <v>2976</v>
      </c>
      <c r="C2206" t="s">
        <v>6921</v>
      </c>
      <c r="D2206" s="1">
        <v>44974</v>
      </c>
      <c r="E2206" s="1">
        <v>44984</v>
      </c>
      <c r="F2206" s="1">
        <v>44989</v>
      </c>
      <c r="G2206">
        <v>10.54</v>
      </c>
      <c r="H22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06" t="str">
        <f>IFERROR(INDEX(Raw_orders!G:G, MATCH(shipments[[#This Row],[order_id]],Raw_orders!A:A, 0)), "Unknown")</f>
        <v>Baltics</v>
      </c>
      <c r="J2206" t="str">
        <f>PROPER(shipments[[#This Row],[delivery_status]])</f>
        <v>Delivered</v>
      </c>
      <c r="K2206" t="s">
        <v>6922</v>
      </c>
    </row>
    <row r="2207" spans="1:11">
      <c r="A2207" t="s">
        <v>9143</v>
      </c>
      <c r="B2207" t="s">
        <v>2977</v>
      </c>
      <c r="C2207" t="s">
        <v>6940</v>
      </c>
      <c r="D2207" s="1">
        <v>45115</v>
      </c>
      <c r="E2207" s="1">
        <v>45125</v>
      </c>
      <c r="F2207" s="1">
        <v>45124</v>
      </c>
      <c r="G2207">
        <v>21.14</v>
      </c>
      <c r="H22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207" t="str">
        <f>IFERROR(INDEX(Raw_orders!G:G, MATCH(shipments[[#This Row],[order_id]],Raw_orders!A:A, 0)), "Unknown")</f>
        <v>Central Europe</v>
      </c>
      <c r="J2207" t="str">
        <f>PROPER(shipments[[#This Row],[delivery_status]])</f>
        <v>Delivered</v>
      </c>
      <c r="K2207" t="s">
        <v>6926</v>
      </c>
    </row>
    <row r="2208" spans="1:11">
      <c r="A2208" t="s">
        <v>9144</v>
      </c>
      <c r="B2208" t="s">
        <v>2978</v>
      </c>
      <c r="C2208" t="s">
        <v>6931</v>
      </c>
      <c r="D2208" s="1">
        <v>45281</v>
      </c>
      <c r="E2208" s="1">
        <v>45283</v>
      </c>
      <c r="F2208" s="1">
        <v>45285</v>
      </c>
      <c r="G2208">
        <v>18.829999999999998</v>
      </c>
      <c r="H22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08" t="str">
        <f>IFERROR(INDEX(Raw_orders!G:G, MATCH(shipments[[#This Row],[order_id]],Raw_orders!A:A, 0)), "Unknown")</f>
        <v>Central Europe</v>
      </c>
      <c r="J2208" t="str">
        <f>PROPER(shipments[[#This Row],[delivery_status]])</f>
        <v>Delivered</v>
      </c>
      <c r="K2208" t="s">
        <v>6929</v>
      </c>
    </row>
    <row r="2209" spans="1:11">
      <c r="A2209" t="s">
        <v>9145</v>
      </c>
      <c r="B2209" t="s">
        <v>2979</v>
      </c>
      <c r="C2209" t="s">
        <v>6935</v>
      </c>
      <c r="D2209" s="1">
        <v>45528</v>
      </c>
      <c r="E2209" s="1">
        <v>45530</v>
      </c>
      <c r="F2209" s="1">
        <v>45535</v>
      </c>
      <c r="G2209">
        <v>52.73</v>
      </c>
      <c r="H22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09" t="str">
        <f>IFERROR(INDEX(Raw_orders!G:G, MATCH(shipments[[#This Row],[order_id]],Raw_orders!A:A, 0)), "Unknown")</f>
        <v>Baltics</v>
      </c>
      <c r="J2209" t="str">
        <f>PROPER(shipments[[#This Row],[delivery_status]])</f>
        <v>Delivered</v>
      </c>
      <c r="K2209" t="s">
        <v>6926</v>
      </c>
    </row>
    <row r="2210" spans="1:11">
      <c r="A2210" t="s">
        <v>9146</v>
      </c>
      <c r="B2210" t="s">
        <v>2980</v>
      </c>
      <c r="C2210" t="s">
        <v>6940</v>
      </c>
      <c r="D2210" s="1">
        <v>45491</v>
      </c>
      <c r="E2210" s="1">
        <v>45494</v>
      </c>
      <c r="F2210" s="1">
        <v>45496</v>
      </c>
      <c r="G2210">
        <v>57.31</v>
      </c>
      <c r="H22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10" t="str">
        <f>IFERROR(INDEX(Raw_orders!G:G, MATCH(shipments[[#This Row],[order_id]],Raw_orders!A:A, 0)), "Unknown")</f>
        <v>Baltics</v>
      </c>
      <c r="J2210" t="str">
        <f>PROPER(shipments[[#This Row],[delivery_status]])</f>
        <v>Delivered</v>
      </c>
      <c r="K2210" t="s">
        <v>6926</v>
      </c>
    </row>
    <row r="2211" spans="1:11">
      <c r="A2211" t="s">
        <v>9147</v>
      </c>
      <c r="B2211" t="s">
        <v>2981</v>
      </c>
      <c r="C2211" t="s">
        <v>6949</v>
      </c>
      <c r="D2211" s="1">
        <v>45114</v>
      </c>
      <c r="E2211" s="1">
        <v>45117</v>
      </c>
      <c r="F2211" s="1">
        <v>45122</v>
      </c>
      <c r="G2211">
        <v>30.73</v>
      </c>
      <c r="H22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11" t="str">
        <f>IFERROR(INDEX(Raw_orders!G:G, MATCH(shipments[[#This Row],[order_id]],Raw_orders!A:A, 0)), "Unknown")</f>
        <v>Nordics</v>
      </c>
      <c r="J2211" t="str">
        <f>PROPER(shipments[[#This Row],[delivery_status]])</f>
        <v>Delivered</v>
      </c>
      <c r="K2211" t="s">
        <v>6922</v>
      </c>
    </row>
    <row r="2212" spans="1:11">
      <c r="A2212" t="s">
        <v>9148</v>
      </c>
      <c r="B2212" t="s">
        <v>2982</v>
      </c>
      <c r="C2212" t="s">
        <v>6935</v>
      </c>
      <c r="D2212" s="1">
        <v>45373</v>
      </c>
      <c r="E2212" s="1">
        <v>45380</v>
      </c>
      <c r="F2212" s="1">
        <v>45388</v>
      </c>
      <c r="G2212">
        <v>15.76</v>
      </c>
      <c r="H22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12" t="str">
        <f>IFERROR(INDEX(Raw_orders!G:G, MATCH(shipments[[#This Row],[order_id]],Raw_orders!A:A, 0)), "Unknown")</f>
        <v>Central Europe</v>
      </c>
      <c r="J2212" t="str">
        <f>PROPER(shipments[[#This Row],[delivery_status]])</f>
        <v>Delivered</v>
      </c>
      <c r="K2212" t="s">
        <v>6926</v>
      </c>
    </row>
    <row r="2213" spans="1:11">
      <c r="A2213" t="s">
        <v>9149</v>
      </c>
      <c r="B2213" t="s">
        <v>2983</v>
      </c>
      <c r="C2213" t="s">
        <v>6940</v>
      </c>
      <c r="D2213" s="1">
        <v>44946</v>
      </c>
      <c r="E2213" s="1">
        <v>44951</v>
      </c>
      <c r="F2213" s="1">
        <v>44956</v>
      </c>
      <c r="G2213">
        <v>29.65</v>
      </c>
      <c r="H22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13" t="str">
        <f>IFERROR(INDEX(Raw_orders!G:G, MATCH(shipments[[#This Row],[order_id]],Raw_orders!A:A, 0)), "Unknown")</f>
        <v>Baltics</v>
      </c>
      <c r="J2213" t="str">
        <f>PROPER(shipments[[#This Row],[delivery_status]])</f>
        <v>Delivered</v>
      </c>
      <c r="K2213" t="s">
        <v>6922</v>
      </c>
    </row>
    <row r="2214" spans="1:11">
      <c r="A2214" t="s">
        <v>9150</v>
      </c>
      <c r="B2214" t="s">
        <v>2984</v>
      </c>
      <c r="C2214" t="s">
        <v>6925</v>
      </c>
      <c r="D2214" s="1">
        <v>45501</v>
      </c>
      <c r="E2214" s="1">
        <v>45504</v>
      </c>
      <c r="F2214" s="1">
        <v>45513</v>
      </c>
      <c r="G2214">
        <v>17.100000000000001</v>
      </c>
      <c r="H22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14" t="str">
        <f>IFERROR(INDEX(Raw_orders!G:G, MATCH(shipments[[#This Row],[order_id]],Raw_orders!A:A, 0)), "Unknown")</f>
        <v>Central Europe</v>
      </c>
      <c r="J2214" t="str">
        <f>PROPER(shipments[[#This Row],[delivery_status]])</f>
        <v>Delivered</v>
      </c>
      <c r="K2214" t="s">
        <v>6922</v>
      </c>
    </row>
    <row r="2215" spans="1:11">
      <c r="A2215" t="s">
        <v>9151</v>
      </c>
      <c r="B2215" t="s">
        <v>2985</v>
      </c>
      <c r="C2215" t="s">
        <v>6940</v>
      </c>
      <c r="D2215" s="1">
        <v>45592</v>
      </c>
      <c r="E2215" s="1">
        <v>45594</v>
      </c>
      <c r="F2215" s="1">
        <v>45593</v>
      </c>
      <c r="G2215">
        <v>45.15</v>
      </c>
      <c r="H22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215" t="str">
        <f>IFERROR(INDEX(Raw_orders!G:G, MATCH(shipments[[#This Row],[order_id]],Raw_orders!A:A, 0)), "Unknown")</f>
        <v>Nordics</v>
      </c>
      <c r="J2215" t="str">
        <f>PROPER(shipments[[#This Row],[delivery_status]])</f>
        <v>Delivered</v>
      </c>
      <c r="K2215" t="s">
        <v>6926</v>
      </c>
    </row>
    <row r="2216" spans="1:11">
      <c r="A2216" t="s">
        <v>9152</v>
      </c>
      <c r="B2216" t="s">
        <v>2986</v>
      </c>
      <c r="C2216" t="s">
        <v>6925</v>
      </c>
      <c r="D2216" s="1">
        <v>45453</v>
      </c>
      <c r="E2216" s="1">
        <v>45455</v>
      </c>
      <c r="F2216" s="1">
        <v>45456</v>
      </c>
      <c r="G2216">
        <v>51.12</v>
      </c>
      <c r="H22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16" t="str">
        <f>IFERROR(INDEX(Raw_orders!G:G, MATCH(shipments[[#This Row],[order_id]],Raw_orders!A:A, 0)), "Unknown")</f>
        <v>Nordics</v>
      </c>
      <c r="J2216" t="str">
        <f>PROPER(shipments[[#This Row],[delivery_status]])</f>
        <v>Delivered</v>
      </c>
      <c r="K2216" t="s">
        <v>6929</v>
      </c>
    </row>
    <row r="2217" spans="1:11">
      <c r="A2217" t="s">
        <v>9153</v>
      </c>
      <c r="B2217" t="s">
        <v>2987</v>
      </c>
      <c r="C2217" t="s">
        <v>6940</v>
      </c>
      <c r="D2217" s="1">
        <v>45486</v>
      </c>
      <c r="E2217" s="1">
        <v>45496</v>
      </c>
      <c r="F2217" s="1">
        <v>45496</v>
      </c>
      <c r="G2217">
        <v>33.979999999999997</v>
      </c>
      <c r="H22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217" t="str">
        <f>IFERROR(INDEX(Raw_orders!G:G, MATCH(shipments[[#This Row],[order_id]],Raw_orders!A:A, 0)), "Unknown")</f>
        <v>Nordics</v>
      </c>
      <c r="J2217" t="str">
        <f>PROPER(shipments[[#This Row],[delivery_status]])</f>
        <v>Delivered</v>
      </c>
      <c r="K2217" t="s">
        <v>6929</v>
      </c>
    </row>
    <row r="2218" spans="1:11">
      <c r="A2218" t="s">
        <v>9154</v>
      </c>
      <c r="B2218" t="s">
        <v>2988</v>
      </c>
      <c r="C2218" t="s">
        <v>6935</v>
      </c>
      <c r="D2218" s="1">
        <v>45365</v>
      </c>
      <c r="E2218" s="1">
        <v>45367</v>
      </c>
      <c r="F2218" s="1">
        <v>45367</v>
      </c>
      <c r="G2218">
        <v>23.62</v>
      </c>
      <c r="H22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218" t="str">
        <f>IFERROR(INDEX(Raw_orders!G:G, MATCH(shipments[[#This Row],[order_id]],Raw_orders!A:A, 0)), "Unknown")</f>
        <v>Nordics</v>
      </c>
      <c r="J2218" t="str">
        <f>PROPER(shipments[[#This Row],[delivery_status]])</f>
        <v>Delivered</v>
      </c>
      <c r="K2218" t="s">
        <v>6926</v>
      </c>
    </row>
    <row r="2219" spans="1:11">
      <c r="A2219" t="s">
        <v>9155</v>
      </c>
      <c r="B2219" t="s">
        <v>2989</v>
      </c>
      <c r="C2219" t="s">
        <v>6940</v>
      </c>
      <c r="D2219" s="1">
        <v>45073</v>
      </c>
      <c r="E2219" s="1">
        <v>45075</v>
      </c>
      <c r="F2219" s="1">
        <v>45080</v>
      </c>
      <c r="G2219">
        <v>48.21</v>
      </c>
      <c r="H22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19" t="str">
        <f>IFERROR(INDEX(Raw_orders!G:G, MATCH(shipments[[#This Row],[order_id]],Raw_orders!A:A, 0)), "Unknown")</f>
        <v>Baltics</v>
      </c>
      <c r="J2219" t="str">
        <f>PROPER(shipments[[#This Row],[delivery_status]])</f>
        <v>Delivered</v>
      </c>
      <c r="K2219" t="s">
        <v>6922</v>
      </c>
    </row>
    <row r="2220" spans="1:11">
      <c r="A2220" t="s">
        <v>9156</v>
      </c>
      <c r="B2220" t="s">
        <v>2990</v>
      </c>
      <c r="C2220" t="s">
        <v>6935</v>
      </c>
      <c r="D2220" s="1">
        <v>45286</v>
      </c>
      <c r="E2220" s="1">
        <v>45291</v>
      </c>
      <c r="F2220" s="1">
        <v>45292</v>
      </c>
      <c r="G2220">
        <v>50.43</v>
      </c>
      <c r="H22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20" t="str">
        <f>IFERROR(INDEX(Raw_orders!G:G, MATCH(shipments[[#This Row],[order_id]],Raw_orders!A:A, 0)), "Unknown")</f>
        <v>Baltics</v>
      </c>
      <c r="J2220" t="str">
        <f>PROPER(shipments[[#This Row],[delivery_status]])</f>
        <v>Delivered</v>
      </c>
      <c r="K2220" t="s">
        <v>6929</v>
      </c>
    </row>
    <row r="2221" spans="1:11">
      <c r="A2221" t="s">
        <v>9157</v>
      </c>
      <c r="B2221" t="s">
        <v>2991</v>
      </c>
      <c r="C2221" t="s">
        <v>6921</v>
      </c>
      <c r="D2221" s="1">
        <v>45458</v>
      </c>
      <c r="E2221" s="1">
        <v>45463</v>
      </c>
      <c r="F2221" s="1"/>
      <c r="G2221">
        <v>10.56</v>
      </c>
      <c r="H22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221" t="str">
        <f>IFERROR(INDEX(Raw_orders!G:G, MATCH(shipments[[#This Row],[order_id]],Raw_orders!A:A, 0)), "Unknown")</f>
        <v>Baltics</v>
      </c>
      <c r="J2221" t="str">
        <f>PROPER(shipments[[#This Row],[delivery_status]])</f>
        <v>Cancelled</v>
      </c>
      <c r="K2221" t="s">
        <v>6963</v>
      </c>
    </row>
    <row r="2222" spans="1:11">
      <c r="A2222" t="s">
        <v>9158</v>
      </c>
      <c r="B2222" t="s">
        <v>2992</v>
      </c>
      <c r="C2222" t="s">
        <v>6938</v>
      </c>
      <c r="D2222" s="1">
        <v>44999</v>
      </c>
      <c r="E2222" s="1">
        <v>45001</v>
      </c>
      <c r="F2222" s="1">
        <v>45001</v>
      </c>
      <c r="G2222">
        <v>4.62</v>
      </c>
      <c r="H22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222" t="str">
        <f>IFERROR(INDEX(Raw_orders!G:G, MATCH(shipments[[#This Row],[order_id]],Raw_orders!A:A, 0)), "Unknown")</f>
        <v>Baltics</v>
      </c>
      <c r="J2222" t="str">
        <f>PROPER(shipments[[#This Row],[delivery_status]])</f>
        <v>Delivered</v>
      </c>
      <c r="K2222" t="s">
        <v>6922</v>
      </c>
    </row>
    <row r="2223" spans="1:11">
      <c r="A2223" t="s">
        <v>9159</v>
      </c>
      <c r="B2223" t="s">
        <v>2993</v>
      </c>
      <c r="C2223" t="s">
        <v>6925</v>
      </c>
      <c r="D2223" s="1">
        <v>45185</v>
      </c>
      <c r="E2223" s="1">
        <v>45187</v>
      </c>
      <c r="F2223" s="1">
        <v>45190</v>
      </c>
      <c r="G2223">
        <v>18.97</v>
      </c>
      <c r="H22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23" t="str">
        <f>IFERROR(INDEX(Raw_orders!G:G, MATCH(shipments[[#This Row],[order_id]],Raw_orders!A:A, 0)), "Unknown")</f>
        <v>Central Europe</v>
      </c>
      <c r="J2223" t="str">
        <f>PROPER(shipments[[#This Row],[delivery_status]])</f>
        <v>Delivered</v>
      </c>
      <c r="K2223" t="s">
        <v>6926</v>
      </c>
    </row>
    <row r="2224" spans="1:11">
      <c r="A2224" t="s">
        <v>9160</v>
      </c>
      <c r="B2224" t="s">
        <v>2994</v>
      </c>
      <c r="C2224" t="s">
        <v>6921</v>
      </c>
      <c r="D2224" s="1">
        <v>44941</v>
      </c>
      <c r="E2224" s="1">
        <v>44951</v>
      </c>
      <c r="F2224" s="1">
        <v>44951</v>
      </c>
      <c r="G2224">
        <v>7.14</v>
      </c>
      <c r="H22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224" t="str">
        <f>IFERROR(INDEX(Raw_orders!G:G, MATCH(shipments[[#This Row],[order_id]],Raw_orders!A:A, 0)), "Unknown")</f>
        <v>Baltics</v>
      </c>
      <c r="J2224" t="str">
        <f>PROPER(shipments[[#This Row],[delivery_status]])</f>
        <v>Delivered</v>
      </c>
      <c r="K2224" t="s">
        <v>6922</v>
      </c>
    </row>
    <row r="2225" spans="1:11">
      <c r="A2225" t="s">
        <v>9161</v>
      </c>
      <c r="B2225" t="s">
        <v>2995</v>
      </c>
      <c r="C2225" t="s">
        <v>6935</v>
      </c>
      <c r="D2225" s="1">
        <v>44937</v>
      </c>
      <c r="E2225" s="1">
        <v>44939</v>
      </c>
      <c r="F2225" s="1">
        <v>44939</v>
      </c>
      <c r="G2225">
        <v>39.840000000000003</v>
      </c>
      <c r="H22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225" t="str">
        <f>IFERROR(INDEX(Raw_orders!G:G, MATCH(shipments[[#This Row],[order_id]],Raw_orders!A:A, 0)), "Unknown")</f>
        <v>Nordics</v>
      </c>
      <c r="J2225" t="str">
        <f>PROPER(shipments[[#This Row],[delivery_status]])</f>
        <v>Delivered</v>
      </c>
      <c r="K2225" t="s">
        <v>6922</v>
      </c>
    </row>
    <row r="2226" spans="1:11">
      <c r="A2226" t="s">
        <v>9162</v>
      </c>
      <c r="B2226" t="s">
        <v>2996</v>
      </c>
      <c r="C2226" t="s">
        <v>6956</v>
      </c>
      <c r="D2226" s="1">
        <v>45417</v>
      </c>
      <c r="E2226" s="1">
        <v>45427</v>
      </c>
      <c r="F2226" s="1">
        <v>45427</v>
      </c>
      <c r="G2226">
        <v>23.58</v>
      </c>
      <c r="H22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226" t="str">
        <f>IFERROR(INDEX(Raw_orders!G:G, MATCH(shipments[[#This Row],[order_id]],Raw_orders!A:A, 0)), "Unknown")</f>
        <v>Central Europe</v>
      </c>
      <c r="J2226" t="str">
        <f>PROPER(shipments[[#This Row],[delivery_status]])</f>
        <v>Delivered</v>
      </c>
      <c r="K2226" t="s">
        <v>6922</v>
      </c>
    </row>
    <row r="2227" spans="1:11">
      <c r="A2227" t="s">
        <v>9163</v>
      </c>
      <c r="B2227" t="s">
        <v>2997</v>
      </c>
      <c r="C2227" t="s">
        <v>6921</v>
      </c>
      <c r="D2227" s="1">
        <v>45402</v>
      </c>
      <c r="E2227" s="1">
        <v>45407</v>
      </c>
      <c r="F2227" s="1">
        <v>45407</v>
      </c>
      <c r="G2227">
        <v>32.01</v>
      </c>
      <c r="H22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227" t="str">
        <f>IFERROR(INDEX(Raw_orders!G:G, MATCH(shipments[[#This Row],[order_id]],Raw_orders!A:A, 0)), "Unknown")</f>
        <v>Central Europe</v>
      </c>
      <c r="J2227" t="str">
        <f>PROPER(shipments[[#This Row],[delivery_status]])</f>
        <v>Delivered</v>
      </c>
      <c r="K2227" t="s">
        <v>6922</v>
      </c>
    </row>
    <row r="2228" spans="1:11">
      <c r="A2228" t="s">
        <v>9164</v>
      </c>
      <c r="B2228" t="s">
        <v>2998</v>
      </c>
      <c r="C2228" t="s">
        <v>6956</v>
      </c>
      <c r="D2228" s="1">
        <v>45112</v>
      </c>
      <c r="E2228" s="1">
        <v>45114</v>
      </c>
      <c r="F2228" s="1">
        <v>45114</v>
      </c>
      <c r="G2228">
        <v>58.93</v>
      </c>
      <c r="H22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228" t="str">
        <f>IFERROR(INDEX(Raw_orders!G:G, MATCH(shipments[[#This Row],[order_id]],Raw_orders!A:A, 0)), "Unknown")</f>
        <v>Central Europe</v>
      </c>
      <c r="J2228" t="str">
        <f>PROPER(shipments[[#This Row],[delivery_status]])</f>
        <v>Delivered</v>
      </c>
      <c r="K2228" t="s">
        <v>6922</v>
      </c>
    </row>
    <row r="2229" spans="1:11">
      <c r="A2229" t="s">
        <v>9165</v>
      </c>
      <c r="B2229" t="s">
        <v>2999</v>
      </c>
      <c r="C2229" t="s">
        <v>6935</v>
      </c>
      <c r="D2229" s="1">
        <v>44958</v>
      </c>
      <c r="E2229" s="1">
        <v>44968</v>
      </c>
      <c r="F2229" s="1">
        <v>44968</v>
      </c>
      <c r="G2229">
        <v>40.74</v>
      </c>
      <c r="H22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229" t="str">
        <f>IFERROR(INDEX(Raw_orders!G:G, MATCH(shipments[[#This Row],[order_id]],Raw_orders!A:A, 0)), "Unknown")</f>
        <v>Nordics</v>
      </c>
      <c r="J2229" t="str">
        <f>PROPER(shipments[[#This Row],[delivery_status]])</f>
        <v>Delivered</v>
      </c>
      <c r="K2229" t="s">
        <v>6926</v>
      </c>
    </row>
    <row r="2230" spans="1:11">
      <c r="A2230" t="s">
        <v>9166</v>
      </c>
      <c r="B2230" t="s">
        <v>3000</v>
      </c>
      <c r="C2230" t="s">
        <v>6956</v>
      </c>
      <c r="D2230" s="1">
        <v>45261</v>
      </c>
      <c r="E2230" s="1">
        <v>45266</v>
      </c>
      <c r="F2230" s="1"/>
      <c r="G2230">
        <v>26.44</v>
      </c>
      <c r="H22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230" t="str">
        <f>IFERROR(INDEX(Raw_orders!G:G, MATCH(shipments[[#This Row],[order_id]],Raw_orders!A:A, 0)), "Unknown")</f>
        <v>Nordics</v>
      </c>
      <c r="J2230" t="str">
        <f>PROPER(shipments[[#This Row],[delivery_status]])</f>
        <v>Cancelled</v>
      </c>
      <c r="K2230" t="s">
        <v>6979</v>
      </c>
    </row>
    <row r="2231" spans="1:11">
      <c r="A2231" t="s">
        <v>9167</v>
      </c>
      <c r="B2231" t="s">
        <v>3001</v>
      </c>
      <c r="C2231" t="s">
        <v>6938</v>
      </c>
      <c r="D2231" s="1">
        <v>45205</v>
      </c>
      <c r="E2231" s="1">
        <v>45207</v>
      </c>
      <c r="F2231" s="1">
        <v>45210</v>
      </c>
      <c r="G2231">
        <v>13.46</v>
      </c>
      <c r="H22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31" t="str">
        <f>IFERROR(INDEX(Raw_orders!G:G, MATCH(shipments[[#This Row],[order_id]],Raw_orders!A:A, 0)), "Unknown")</f>
        <v>Nordics</v>
      </c>
      <c r="J2231" t="str">
        <f>PROPER(shipments[[#This Row],[delivery_status]])</f>
        <v>Delivered</v>
      </c>
      <c r="K2231" t="s">
        <v>6929</v>
      </c>
    </row>
    <row r="2232" spans="1:11">
      <c r="A2232" t="s">
        <v>9168</v>
      </c>
      <c r="B2232" t="s">
        <v>3002</v>
      </c>
      <c r="C2232" t="s">
        <v>6921</v>
      </c>
      <c r="D2232" s="1">
        <v>45417</v>
      </c>
      <c r="E2232" s="1">
        <v>45419</v>
      </c>
      <c r="F2232" s="1"/>
      <c r="G2232">
        <v>48.9</v>
      </c>
      <c r="H22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232" t="str">
        <f>IFERROR(INDEX(Raw_orders!G:G, MATCH(shipments[[#This Row],[order_id]],Raw_orders!A:A, 0)), "Unknown")</f>
        <v>Nordics</v>
      </c>
      <c r="J2232" t="str">
        <f>PROPER(shipments[[#This Row],[delivery_status]])</f>
        <v>In Transit</v>
      </c>
      <c r="K2232" t="s">
        <v>6958</v>
      </c>
    </row>
    <row r="2233" spans="1:11">
      <c r="A2233" t="s">
        <v>9169</v>
      </c>
      <c r="B2233" t="s">
        <v>3002</v>
      </c>
      <c r="C2233" t="s">
        <v>6931</v>
      </c>
      <c r="D2233" s="1">
        <v>45417</v>
      </c>
      <c r="E2233" s="1">
        <v>45424</v>
      </c>
      <c r="F2233" s="1">
        <v>45432</v>
      </c>
      <c r="G2233">
        <v>58.26</v>
      </c>
      <c r="H22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33" t="str">
        <f>IFERROR(INDEX(Raw_orders!G:G, MATCH(shipments[[#This Row],[order_id]],Raw_orders!A:A, 0)), "Unknown")</f>
        <v>Nordics</v>
      </c>
      <c r="J2233" t="str">
        <f>PROPER(shipments[[#This Row],[delivery_status]])</f>
        <v>Delivered</v>
      </c>
      <c r="K2233" t="s">
        <v>6922</v>
      </c>
    </row>
    <row r="2234" spans="1:11">
      <c r="A2234" t="s">
        <v>9170</v>
      </c>
      <c r="B2234" t="s">
        <v>3003</v>
      </c>
      <c r="C2234" t="s">
        <v>6935</v>
      </c>
      <c r="D2234" s="1">
        <v>44989</v>
      </c>
      <c r="E2234" s="1">
        <v>44991</v>
      </c>
      <c r="F2234" s="1">
        <v>44994</v>
      </c>
      <c r="G2234">
        <v>32.96</v>
      </c>
      <c r="H22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34" t="str">
        <f>IFERROR(INDEX(Raw_orders!G:G, MATCH(shipments[[#This Row],[order_id]],Raw_orders!A:A, 0)), "Unknown")</f>
        <v>Nordics</v>
      </c>
      <c r="J2234" t="str">
        <f>PROPER(shipments[[#This Row],[delivery_status]])</f>
        <v>Delivered</v>
      </c>
      <c r="K2234" t="s">
        <v>6929</v>
      </c>
    </row>
    <row r="2235" spans="1:11">
      <c r="A2235" t="s">
        <v>9171</v>
      </c>
      <c r="B2235" t="s">
        <v>3004</v>
      </c>
      <c r="C2235" t="s">
        <v>6928</v>
      </c>
      <c r="D2235" s="1">
        <v>45145</v>
      </c>
      <c r="E2235" s="1">
        <v>45152</v>
      </c>
      <c r="F2235" s="1"/>
      <c r="G2235">
        <v>61.74</v>
      </c>
      <c r="H22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235" t="str">
        <f>IFERROR(INDEX(Raw_orders!G:G, MATCH(shipments[[#This Row],[order_id]],Raw_orders!A:A, 0)), "Unknown")</f>
        <v>Central Europe</v>
      </c>
      <c r="J2235" t="str">
        <f>PROPER(shipments[[#This Row],[delivery_status]])</f>
        <v>Cancelled</v>
      </c>
      <c r="K2235" t="s">
        <v>6963</v>
      </c>
    </row>
    <row r="2236" spans="1:11">
      <c r="A2236" t="s">
        <v>9172</v>
      </c>
      <c r="B2236" t="s">
        <v>3005</v>
      </c>
      <c r="C2236" t="s">
        <v>6928</v>
      </c>
      <c r="D2236" s="1">
        <v>45511</v>
      </c>
      <c r="E2236" s="1">
        <v>45518</v>
      </c>
      <c r="F2236" s="1">
        <v>45518</v>
      </c>
      <c r="G2236">
        <v>42.68</v>
      </c>
      <c r="H22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236" t="str">
        <f>IFERROR(INDEX(Raw_orders!G:G, MATCH(shipments[[#This Row],[order_id]],Raw_orders!A:A, 0)), "Unknown")</f>
        <v>Baltics</v>
      </c>
      <c r="J2236" t="str">
        <f>PROPER(shipments[[#This Row],[delivery_status]])</f>
        <v>Delivered</v>
      </c>
      <c r="K2236" t="s">
        <v>6922</v>
      </c>
    </row>
    <row r="2237" spans="1:11">
      <c r="A2237" t="s">
        <v>9173</v>
      </c>
      <c r="B2237" t="s">
        <v>3006</v>
      </c>
      <c r="C2237" t="s">
        <v>6956</v>
      </c>
      <c r="D2237" s="1">
        <v>45035</v>
      </c>
      <c r="E2237" s="1">
        <v>45042</v>
      </c>
      <c r="F2237" s="1"/>
      <c r="G2237">
        <v>19.28</v>
      </c>
      <c r="H22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237" t="str">
        <f>IFERROR(INDEX(Raw_orders!G:G, MATCH(shipments[[#This Row],[order_id]],Raw_orders!A:A, 0)), "Unknown")</f>
        <v>Nordics</v>
      </c>
      <c r="J2237" t="str">
        <f>PROPER(shipments[[#This Row],[delivery_status]])</f>
        <v>Cancelled</v>
      </c>
      <c r="K2237" t="s">
        <v>6979</v>
      </c>
    </row>
    <row r="2238" spans="1:11">
      <c r="A2238" t="s">
        <v>9174</v>
      </c>
      <c r="B2238" t="s">
        <v>3006</v>
      </c>
      <c r="C2238" t="s">
        <v>6940</v>
      </c>
      <c r="D2238" s="1">
        <v>45034</v>
      </c>
      <c r="E2238" s="1">
        <v>45041</v>
      </c>
      <c r="F2238" s="1">
        <v>45043</v>
      </c>
      <c r="G2238">
        <v>50.7</v>
      </c>
      <c r="H22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38" t="str">
        <f>IFERROR(INDEX(Raw_orders!G:G, MATCH(shipments[[#This Row],[order_id]],Raw_orders!A:A, 0)), "Unknown")</f>
        <v>Nordics</v>
      </c>
      <c r="J2238" t="str">
        <f>PROPER(shipments[[#This Row],[delivery_status]])</f>
        <v>Delivered</v>
      </c>
      <c r="K2238" t="s">
        <v>6922</v>
      </c>
    </row>
    <row r="2239" spans="1:11">
      <c r="A2239" t="s">
        <v>9175</v>
      </c>
      <c r="B2239" t="s">
        <v>3007</v>
      </c>
      <c r="C2239" t="s">
        <v>6956</v>
      </c>
      <c r="D2239" s="1">
        <v>45472</v>
      </c>
      <c r="E2239" s="1">
        <v>45474</v>
      </c>
      <c r="F2239" s="1">
        <v>45478</v>
      </c>
      <c r="G2239">
        <v>43.49</v>
      </c>
      <c r="H22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39" t="str">
        <f>IFERROR(INDEX(Raw_orders!G:G, MATCH(shipments[[#This Row],[order_id]],Raw_orders!A:A, 0)), "Unknown")</f>
        <v>Baltics</v>
      </c>
      <c r="J2239" t="str">
        <f>PROPER(shipments[[#This Row],[delivery_status]])</f>
        <v>Delivered</v>
      </c>
      <c r="K2239" t="s">
        <v>6922</v>
      </c>
    </row>
    <row r="2240" spans="1:11">
      <c r="A2240" t="s">
        <v>9176</v>
      </c>
      <c r="B2240" t="s">
        <v>3008</v>
      </c>
      <c r="C2240" t="s">
        <v>6921</v>
      </c>
      <c r="D2240" s="1">
        <v>45506</v>
      </c>
      <c r="E2240" s="1">
        <v>45513</v>
      </c>
      <c r="F2240" s="1">
        <v>45521</v>
      </c>
      <c r="G2240">
        <v>7.68</v>
      </c>
      <c r="H22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40" t="str">
        <f>IFERROR(INDEX(Raw_orders!G:G, MATCH(shipments[[#This Row],[order_id]],Raw_orders!A:A, 0)), "Unknown")</f>
        <v>Baltics</v>
      </c>
      <c r="J2240" t="str">
        <f>PROPER(shipments[[#This Row],[delivery_status]])</f>
        <v>Delivered</v>
      </c>
      <c r="K2240" t="s">
        <v>6926</v>
      </c>
    </row>
    <row r="2241" spans="1:11">
      <c r="A2241" t="s">
        <v>9177</v>
      </c>
      <c r="B2241" t="s">
        <v>3008</v>
      </c>
      <c r="C2241" t="s">
        <v>6931</v>
      </c>
      <c r="D2241" s="1">
        <v>45507</v>
      </c>
      <c r="E2241" s="1">
        <v>45512</v>
      </c>
      <c r="F2241" s="1">
        <v>45517</v>
      </c>
      <c r="G2241">
        <v>24.21</v>
      </c>
      <c r="H22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41" t="str">
        <f>IFERROR(INDEX(Raw_orders!G:G, MATCH(shipments[[#This Row],[order_id]],Raw_orders!A:A, 0)), "Unknown")</f>
        <v>Baltics</v>
      </c>
      <c r="J2241" t="str">
        <f>PROPER(shipments[[#This Row],[delivery_status]])</f>
        <v>Delivered</v>
      </c>
      <c r="K2241" t="s">
        <v>6926</v>
      </c>
    </row>
    <row r="2242" spans="1:11">
      <c r="A2242" t="s">
        <v>9178</v>
      </c>
      <c r="B2242" t="s">
        <v>3009</v>
      </c>
      <c r="C2242" t="s">
        <v>6938</v>
      </c>
      <c r="D2242" s="1">
        <v>45356</v>
      </c>
      <c r="E2242" s="1">
        <v>45358</v>
      </c>
      <c r="F2242" s="1">
        <v>45359</v>
      </c>
      <c r="G2242">
        <v>50.63</v>
      </c>
      <c r="H22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42" t="str">
        <f>IFERROR(INDEX(Raw_orders!G:G, MATCH(shipments[[#This Row],[order_id]],Raw_orders!A:A, 0)), "Unknown")</f>
        <v>Nordics</v>
      </c>
      <c r="J2242" t="str">
        <f>PROPER(shipments[[#This Row],[delivery_status]])</f>
        <v>Delivered</v>
      </c>
      <c r="K2242" t="s">
        <v>6929</v>
      </c>
    </row>
    <row r="2243" spans="1:11">
      <c r="A2243" t="s">
        <v>9179</v>
      </c>
      <c r="B2243" t="s">
        <v>3010</v>
      </c>
      <c r="C2243" t="s">
        <v>6956</v>
      </c>
      <c r="D2243" s="1">
        <v>45322</v>
      </c>
      <c r="E2243" s="1">
        <v>45329</v>
      </c>
      <c r="F2243" s="1">
        <v>45334</v>
      </c>
      <c r="G2243">
        <v>7.9</v>
      </c>
      <c r="H22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43" t="str">
        <f>IFERROR(INDEX(Raw_orders!G:G, MATCH(shipments[[#This Row],[order_id]],Raw_orders!A:A, 0)), "Unknown")</f>
        <v>Central Europe</v>
      </c>
      <c r="J2243" t="str">
        <f>PROPER(shipments[[#This Row],[delivery_status]])</f>
        <v>Delivered</v>
      </c>
      <c r="K2243" t="s">
        <v>6929</v>
      </c>
    </row>
    <row r="2244" spans="1:11">
      <c r="A2244" t="s">
        <v>9180</v>
      </c>
      <c r="B2244" t="s">
        <v>3011</v>
      </c>
      <c r="C2244" t="s">
        <v>6925</v>
      </c>
      <c r="D2244" s="1">
        <v>45003</v>
      </c>
      <c r="E2244" s="1">
        <v>45013</v>
      </c>
      <c r="F2244" s="1">
        <v>45012</v>
      </c>
      <c r="G2244">
        <v>13.64</v>
      </c>
      <c r="H22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244" t="str">
        <f>IFERROR(INDEX(Raw_orders!G:G, MATCH(shipments[[#This Row],[order_id]],Raw_orders!A:A, 0)), "Unknown")</f>
        <v>Baltics</v>
      </c>
      <c r="J2244" t="str">
        <f>PROPER(shipments[[#This Row],[delivery_status]])</f>
        <v>Delivered</v>
      </c>
      <c r="K2244" t="s">
        <v>6929</v>
      </c>
    </row>
    <row r="2245" spans="1:11">
      <c r="A2245" t="s">
        <v>9181</v>
      </c>
      <c r="B2245" t="s">
        <v>3012</v>
      </c>
      <c r="C2245" t="s">
        <v>6938</v>
      </c>
      <c r="D2245" s="1">
        <v>45063</v>
      </c>
      <c r="E2245" s="1">
        <v>45070</v>
      </c>
      <c r="F2245" s="1">
        <v>45070</v>
      </c>
      <c r="G2245">
        <v>6.57</v>
      </c>
      <c r="H22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245" t="str">
        <f>IFERROR(INDEX(Raw_orders!G:G, MATCH(shipments[[#This Row],[order_id]],Raw_orders!A:A, 0)), "Unknown")</f>
        <v>Nordics</v>
      </c>
      <c r="J2245" t="str">
        <f>PROPER(shipments[[#This Row],[delivery_status]])</f>
        <v>Delivered</v>
      </c>
      <c r="K2245" t="s">
        <v>6926</v>
      </c>
    </row>
    <row r="2246" spans="1:11">
      <c r="A2246" t="s">
        <v>9182</v>
      </c>
      <c r="B2246" t="s">
        <v>3013</v>
      </c>
      <c r="C2246" t="s">
        <v>6931</v>
      </c>
      <c r="D2246" s="1">
        <v>45089</v>
      </c>
      <c r="E2246" s="1">
        <v>45099</v>
      </c>
      <c r="F2246" s="1">
        <v>45111</v>
      </c>
      <c r="G2246">
        <v>6.17</v>
      </c>
      <c r="H22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46" t="str">
        <f>IFERROR(INDEX(Raw_orders!G:G, MATCH(shipments[[#This Row],[order_id]],Raw_orders!A:A, 0)), "Unknown")</f>
        <v>Baltics</v>
      </c>
      <c r="J2246" t="str">
        <f>PROPER(shipments[[#This Row],[delivery_status]])</f>
        <v>Delivered</v>
      </c>
      <c r="K2246" t="s">
        <v>6922</v>
      </c>
    </row>
    <row r="2247" spans="1:11">
      <c r="A2247" t="s">
        <v>9183</v>
      </c>
      <c r="B2247" t="s">
        <v>3014</v>
      </c>
      <c r="C2247" t="s">
        <v>6928</v>
      </c>
      <c r="D2247" s="1">
        <v>45464</v>
      </c>
      <c r="E2247" s="1">
        <v>45474</v>
      </c>
      <c r="F2247" s="1">
        <v>45479</v>
      </c>
      <c r="G2247">
        <v>29.23</v>
      </c>
      <c r="H22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47" t="str">
        <f>IFERROR(INDEX(Raw_orders!G:G, MATCH(shipments[[#This Row],[order_id]],Raw_orders!A:A, 0)), "Unknown")</f>
        <v>Central Europe</v>
      </c>
      <c r="J2247" t="str">
        <f>PROPER(shipments[[#This Row],[delivery_status]])</f>
        <v>Delivered</v>
      </c>
      <c r="K2247" t="s">
        <v>6922</v>
      </c>
    </row>
    <row r="2248" spans="1:11">
      <c r="A2248" t="s">
        <v>9184</v>
      </c>
      <c r="B2248" t="s">
        <v>3015</v>
      </c>
      <c r="C2248" t="s">
        <v>6925</v>
      </c>
      <c r="D2248" s="1">
        <v>45437</v>
      </c>
      <c r="E2248" s="1">
        <v>45439</v>
      </c>
      <c r="F2248" s="1">
        <v>45451</v>
      </c>
      <c r="G2248">
        <v>31.01</v>
      </c>
      <c r="H22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48" t="str">
        <f>IFERROR(INDEX(Raw_orders!G:G, MATCH(shipments[[#This Row],[order_id]],Raw_orders!A:A, 0)), "Unknown")</f>
        <v>Nordics</v>
      </c>
      <c r="J2248" t="str">
        <f>PROPER(shipments[[#This Row],[delivery_status]])</f>
        <v>Delivered</v>
      </c>
      <c r="K2248" t="s">
        <v>6922</v>
      </c>
    </row>
    <row r="2249" spans="1:11">
      <c r="A2249" t="s">
        <v>9185</v>
      </c>
      <c r="B2249" t="s">
        <v>3016</v>
      </c>
      <c r="C2249" t="s">
        <v>6921</v>
      </c>
      <c r="D2249" s="1">
        <v>45004</v>
      </c>
      <c r="E2249" s="1">
        <v>45007</v>
      </c>
      <c r="F2249" s="1">
        <v>45010</v>
      </c>
      <c r="G2249">
        <v>53.16</v>
      </c>
      <c r="H22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49" t="str">
        <f>IFERROR(INDEX(Raw_orders!G:G, MATCH(shipments[[#This Row],[order_id]],Raw_orders!A:A, 0)), "Unknown")</f>
        <v>Nordics</v>
      </c>
      <c r="J2249" t="str">
        <f>PROPER(shipments[[#This Row],[delivery_status]])</f>
        <v>Delivered</v>
      </c>
      <c r="K2249" t="s">
        <v>6922</v>
      </c>
    </row>
    <row r="2250" spans="1:11">
      <c r="A2250" t="s">
        <v>9186</v>
      </c>
      <c r="B2250" t="s">
        <v>3017</v>
      </c>
      <c r="C2250" t="s">
        <v>6940</v>
      </c>
      <c r="D2250" s="1">
        <v>45391</v>
      </c>
      <c r="E2250" s="1">
        <v>45401</v>
      </c>
      <c r="F2250" s="1">
        <v>45409</v>
      </c>
      <c r="G2250">
        <v>4.53</v>
      </c>
      <c r="H22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50" t="str">
        <f>IFERROR(INDEX(Raw_orders!G:G, MATCH(shipments[[#This Row],[order_id]],Raw_orders!A:A, 0)), "Unknown")</f>
        <v>Baltics</v>
      </c>
      <c r="J2250" t="str">
        <f>PROPER(shipments[[#This Row],[delivery_status]])</f>
        <v>Delivered</v>
      </c>
      <c r="K2250" t="s">
        <v>6929</v>
      </c>
    </row>
    <row r="2251" spans="1:11">
      <c r="A2251" t="s">
        <v>9187</v>
      </c>
      <c r="B2251" t="s">
        <v>3018</v>
      </c>
      <c r="C2251" t="s">
        <v>6938</v>
      </c>
      <c r="D2251" s="1">
        <v>45136</v>
      </c>
      <c r="E2251" s="1">
        <v>45146</v>
      </c>
      <c r="F2251" s="1">
        <v>45146</v>
      </c>
      <c r="G2251">
        <v>55.19</v>
      </c>
      <c r="H22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251" t="str">
        <f>IFERROR(INDEX(Raw_orders!G:G, MATCH(shipments[[#This Row],[order_id]],Raw_orders!A:A, 0)), "Unknown")</f>
        <v>Central Europe</v>
      </c>
      <c r="J2251" t="str">
        <f>PROPER(shipments[[#This Row],[delivery_status]])</f>
        <v>Delivered</v>
      </c>
      <c r="K2251" t="s">
        <v>6922</v>
      </c>
    </row>
    <row r="2252" spans="1:11">
      <c r="A2252" t="s">
        <v>9188</v>
      </c>
      <c r="B2252" t="s">
        <v>3019</v>
      </c>
      <c r="C2252" t="s">
        <v>6925</v>
      </c>
      <c r="D2252" s="1">
        <v>45359</v>
      </c>
      <c r="E2252" s="1">
        <v>45364</v>
      </c>
      <c r="F2252" s="1">
        <v>45364</v>
      </c>
      <c r="G2252">
        <v>5.92</v>
      </c>
      <c r="H22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252" t="str">
        <f>IFERROR(INDEX(Raw_orders!G:G, MATCH(shipments[[#This Row],[order_id]],Raw_orders!A:A, 0)), "Unknown")</f>
        <v>Nordics</v>
      </c>
      <c r="J2252" t="str">
        <f>PROPER(shipments[[#This Row],[delivery_status]])</f>
        <v>Delivered</v>
      </c>
      <c r="K2252" t="s">
        <v>6929</v>
      </c>
    </row>
    <row r="2253" spans="1:11">
      <c r="A2253" t="s">
        <v>9189</v>
      </c>
      <c r="B2253" t="s">
        <v>3020</v>
      </c>
      <c r="C2253" t="s">
        <v>6938</v>
      </c>
      <c r="D2253" s="1">
        <v>44946</v>
      </c>
      <c r="E2253" s="1">
        <v>44951</v>
      </c>
      <c r="F2253" s="1"/>
      <c r="G2253">
        <v>33.950000000000003</v>
      </c>
      <c r="H22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253" t="str">
        <f>IFERROR(INDEX(Raw_orders!G:G, MATCH(shipments[[#This Row],[order_id]],Raw_orders!A:A, 0)), "Unknown")</f>
        <v>Central Europe</v>
      </c>
      <c r="J2253" t="str">
        <f>PROPER(shipments[[#This Row],[delivery_status]])</f>
        <v>In Transit</v>
      </c>
      <c r="K2253" t="s">
        <v>6946</v>
      </c>
    </row>
    <row r="2254" spans="1:11">
      <c r="A2254" t="s">
        <v>9190</v>
      </c>
      <c r="B2254" t="s">
        <v>3021</v>
      </c>
      <c r="C2254" t="s">
        <v>6921</v>
      </c>
      <c r="D2254" s="1">
        <v>45192</v>
      </c>
      <c r="E2254" s="1">
        <v>45194</v>
      </c>
      <c r="F2254" s="1"/>
      <c r="G2254">
        <v>36.83</v>
      </c>
      <c r="H22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254" t="str">
        <f>IFERROR(INDEX(Raw_orders!G:G, MATCH(shipments[[#This Row],[order_id]],Raw_orders!A:A, 0)), "Unknown")</f>
        <v>Baltics</v>
      </c>
      <c r="J2254" t="str">
        <f>PROPER(shipments[[#This Row],[delivery_status]])</f>
        <v>Cancelled</v>
      </c>
      <c r="K2254" t="s">
        <v>6972</v>
      </c>
    </row>
    <row r="2255" spans="1:11">
      <c r="A2255" t="s">
        <v>9191</v>
      </c>
      <c r="B2255" t="s">
        <v>3022</v>
      </c>
      <c r="C2255" t="s">
        <v>6925</v>
      </c>
      <c r="D2255" s="1">
        <v>44977</v>
      </c>
      <c r="E2255" s="1">
        <v>44987</v>
      </c>
      <c r="F2255" s="1">
        <v>44991</v>
      </c>
      <c r="G2255">
        <v>63.07</v>
      </c>
      <c r="H22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55" t="str">
        <f>IFERROR(INDEX(Raw_orders!G:G, MATCH(shipments[[#This Row],[order_id]],Raw_orders!A:A, 0)), "Unknown")</f>
        <v>Central Europe</v>
      </c>
      <c r="J2255" t="str">
        <f>PROPER(shipments[[#This Row],[delivery_status]])</f>
        <v>Delivered</v>
      </c>
      <c r="K2255" t="s">
        <v>6926</v>
      </c>
    </row>
    <row r="2256" spans="1:11">
      <c r="A2256" t="s">
        <v>9192</v>
      </c>
      <c r="B2256" t="s">
        <v>3023</v>
      </c>
      <c r="C2256" t="s">
        <v>6928</v>
      </c>
      <c r="D2256" s="1">
        <v>45617</v>
      </c>
      <c r="E2256" s="1">
        <v>45620</v>
      </c>
      <c r="F2256" s="1"/>
      <c r="G2256">
        <v>9.09</v>
      </c>
      <c r="H22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256" t="str">
        <f>IFERROR(INDEX(Raw_orders!G:G, MATCH(shipments[[#This Row],[order_id]],Raw_orders!A:A, 0)), "Unknown")</f>
        <v>Nordics</v>
      </c>
      <c r="J2256" t="str">
        <f>PROPER(shipments[[#This Row],[delivery_status]])</f>
        <v>Cancelled</v>
      </c>
      <c r="K2256" t="s">
        <v>6972</v>
      </c>
    </row>
    <row r="2257" spans="1:11">
      <c r="A2257" t="s">
        <v>9193</v>
      </c>
      <c r="B2257" t="s">
        <v>3024</v>
      </c>
      <c r="C2257" t="s">
        <v>6956</v>
      </c>
      <c r="D2257" s="1">
        <v>45202</v>
      </c>
      <c r="E2257" s="1">
        <v>45207</v>
      </c>
      <c r="F2257" s="1">
        <v>45207</v>
      </c>
      <c r="G2257">
        <v>44.54</v>
      </c>
      <c r="H22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257" t="str">
        <f>IFERROR(INDEX(Raw_orders!G:G, MATCH(shipments[[#This Row],[order_id]],Raw_orders!A:A, 0)), "Unknown")</f>
        <v>Nordics</v>
      </c>
      <c r="J2257" t="str">
        <f>PROPER(shipments[[#This Row],[delivery_status]])</f>
        <v>Delivered</v>
      </c>
      <c r="K2257" t="s">
        <v>6922</v>
      </c>
    </row>
    <row r="2258" spans="1:11">
      <c r="A2258" t="s">
        <v>9194</v>
      </c>
      <c r="B2258" t="s">
        <v>3025</v>
      </c>
      <c r="C2258" t="s">
        <v>6928</v>
      </c>
      <c r="D2258" s="1">
        <v>45427</v>
      </c>
      <c r="E2258" s="1">
        <v>45429</v>
      </c>
      <c r="F2258" s="1">
        <v>45430</v>
      </c>
      <c r="G2258">
        <v>50.68</v>
      </c>
      <c r="H22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58" t="str">
        <f>IFERROR(INDEX(Raw_orders!G:G, MATCH(shipments[[#This Row],[order_id]],Raw_orders!A:A, 0)), "Unknown")</f>
        <v>Baltics</v>
      </c>
      <c r="J2258" t="str">
        <f>PROPER(shipments[[#This Row],[delivery_status]])</f>
        <v>Delivered</v>
      </c>
      <c r="K2258" t="s">
        <v>6929</v>
      </c>
    </row>
    <row r="2259" spans="1:11">
      <c r="A2259" t="s">
        <v>9195</v>
      </c>
      <c r="B2259" t="s">
        <v>3026</v>
      </c>
      <c r="C2259" t="s">
        <v>6935</v>
      </c>
      <c r="D2259" s="1">
        <v>45075</v>
      </c>
      <c r="E2259" s="1">
        <v>45085</v>
      </c>
      <c r="F2259" s="1">
        <v>45087</v>
      </c>
      <c r="G2259">
        <v>15.7</v>
      </c>
      <c r="H22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59" t="str">
        <f>IFERROR(INDEX(Raw_orders!G:G, MATCH(shipments[[#This Row],[order_id]],Raw_orders!A:A, 0)), "Unknown")</f>
        <v>Baltics</v>
      </c>
      <c r="J2259" t="str">
        <f>PROPER(shipments[[#This Row],[delivery_status]])</f>
        <v>Delivered</v>
      </c>
      <c r="K2259" t="s">
        <v>6922</v>
      </c>
    </row>
    <row r="2260" spans="1:11">
      <c r="A2260" t="s">
        <v>9196</v>
      </c>
      <c r="B2260" t="s">
        <v>3027</v>
      </c>
      <c r="C2260" t="s">
        <v>6949</v>
      </c>
      <c r="D2260" s="1">
        <v>45619</v>
      </c>
      <c r="E2260" s="1">
        <v>45624</v>
      </c>
      <c r="F2260" s="1">
        <v>45629</v>
      </c>
      <c r="G2260">
        <v>59.81</v>
      </c>
      <c r="H22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60" t="str">
        <f>IFERROR(INDEX(Raw_orders!G:G, MATCH(shipments[[#This Row],[order_id]],Raw_orders!A:A, 0)), "Unknown")</f>
        <v>Nordics</v>
      </c>
      <c r="J2260" t="str">
        <f>PROPER(shipments[[#This Row],[delivery_status]])</f>
        <v>Delivered</v>
      </c>
      <c r="K2260" t="s">
        <v>6922</v>
      </c>
    </row>
    <row r="2261" spans="1:11">
      <c r="A2261" t="s">
        <v>9197</v>
      </c>
      <c r="B2261" t="s">
        <v>3028</v>
      </c>
      <c r="C2261" t="s">
        <v>6935</v>
      </c>
      <c r="D2261" s="1">
        <v>45083</v>
      </c>
      <c r="E2261" s="1">
        <v>45090</v>
      </c>
      <c r="F2261" s="1">
        <v>45089</v>
      </c>
      <c r="G2261">
        <v>62.38</v>
      </c>
      <c r="H22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261" t="str">
        <f>IFERROR(INDEX(Raw_orders!G:G, MATCH(shipments[[#This Row],[order_id]],Raw_orders!A:A, 0)), "Unknown")</f>
        <v>Baltics</v>
      </c>
      <c r="J2261" t="str">
        <f>PROPER(shipments[[#This Row],[delivery_status]])</f>
        <v>Delivered</v>
      </c>
      <c r="K2261" t="s">
        <v>6926</v>
      </c>
    </row>
    <row r="2262" spans="1:11">
      <c r="A2262" t="s">
        <v>9198</v>
      </c>
      <c r="B2262" t="s">
        <v>3029</v>
      </c>
      <c r="C2262" t="s">
        <v>6931</v>
      </c>
      <c r="D2262" s="1">
        <v>45232</v>
      </c>
      <c r="E2262" s="1">
        <v>45237</v>
      </c>
      <c r="F2262" s="1">
        <v>45239</v>
      </c>
      <c r="G2262">
        <v>6.07</v>
      </c>
      <c r="H22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62" t="str">
        <f>IFERROR(INDEX(Raw_orders!G:G, MATCH(shipments[[#This Row],[order_id]],Raw_orders!A:A, 0)), "Unknown")</f>
        <v>Central Europe</v>
      </c>
      <c r="J2262" t="str">
        <f>PROPER(shipments[[#This Row],[delivery_status]])</f>
        <v>Delivered</v>
      </c>
      <c r="K2262" t="s">
        <v>6922</v>
      </c>
    </row>
    <row r="2263" spans="1:11">
      <c r="A2263" t="s">
        <v>9199</v>
      </c>
      <c r="B2263" t="s">
        <v>3029</v>
      </c>
      <c r="C2263" t="s">
        <v>6949</v>
      </c>
      <c r="D2263" s="1">
        <v>45231</v>
      </c>
      <c r="E2263" s="1">
        <v>45238</v>
      </c>
      <c r="F2263" s="1">
        <v>45243</v>
      </c>
      <c r="G2263">
        <v>31.06</v>
      </c>
      <c r="H22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63" t="str">
        <f>IFERROR(INDEX(Raw_orders!G:G, MATCH(shipments[[#This Row],[order_id]],Raw_orders!A:A, 0)), "Unknown")</f>
        <v>Central Europe</v>
      </c>
      <c r="J2263" t="str">
        <f>PROPER(shipments[[#This Row],[delivery_status]])</f>
        <v>Delivered</v>
      </c>
      <c r="K2263" t="s">
        <v>6926</v>
      </c>
    </row>
    <row r="2264" spans="1:11">
      <c r="A2264" t="s">
        <v>9200</v>
      </c>
      <c r="B2264" t="s">
        <v>3030</v>
      </c>
      <c r="C2264" t="s">
        <v>6921</v>
      </c>
      <c r="D2264" s="1">
        <v>45498</v>
      </c>
      <c r="E2264" s="1">
        <v>45505</v>
      </c>
      <c r="F2264" s="1">
        <v>45507</v>
      </c>
      <c r="G2264">
        <v>13.33</v>
      </c>
      <c r="H22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64" t="str">
        <f>IFERROR(INDEX(Raw_orders!G:G, MATCH(shipments[[#This Row],[order_id]],Raw_orders!A:A, 0)), "Unknown")</f>
        <v>Baltics</v>
      </c>
      <c r="J2264" t="str">
        <f>PROPER(shipments[[#This Row],[delivery_status]])</f>
        <v>Delivered</v>
      </c>
      <c r="K2264" t="s">
        <v>6922</v>
      </c>
    </row>
    <row r="2265" spans="1:11">
      <c r="A2265" t="s">
        <v>9201</v>
      </c>
      <c r="B2265" t="s">
        <v>3031</v>
      </c>
      <c r="C2265" t="s">
        <v>6956</v>
      </c>
      <c r="D2265" s="1">
        <v>45118</v>
      </c>
      <c r="E2265" s="1">
        <v>45120</v>
      </c>
      <c r="F2265" s="1">
        <v>45121</v>
      </c>
      <c r="G2265">
        <v>6.95</v>
      </c>
      <c r="H22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65" t="str">
        <f>IFERROR(INDEX(Raw_orders!G:G, MATCH(shipments[[#This Row],[order_id]],Raw_orders!A:A, 0)), "Unknown")</f>
        <v>Central Europe</v>
      </c>
      <c r="J2265" t="str">
        <f>PROPER(shipments[[#This Row],[delivery_status]])</f>
        <v>Delivered</v>
      </c>
      <c r="K2265" t="s">
        <v>6929</v>
      </c>
    </row>
    <row r="2266" spans="1:11">
      <c r="A2266" t="s">
        <v>9202</v>
      </c>
      <c r="B2266" t="s">
        <v>3032</v>
      </c>
      <c r="C2266" t="s">
        <v>6928</v>
      </c>
      <c r="D2266" s="1">
        <v>45368</v>
      </c>
      <c r="E2266" s="1">
        <v>45370</v>
      </c>
      <c r="F2266" s="1">
        <v>45378</v>
      </c>
      <c r="G2266">
        <v>34.71</v>
      </c>
      <c r="H22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66" t="str">
        <f>IFERROR(INDEX(Raw_orders!G:G, MATCH(shipments[[#This Row],[order_id]],Raw_orders!A:A, 0)), "Unknown")</f>
        <v>Central Europe</v>
      </c>
      <c r="J2266" t="str">
        <f>PROPER(shipments[[#This Row],[delivery_status]])</f>
        <v>Delivered</v>
      </c>
      <c r="K2266" t="s">
        <v>6929</v>
      </c>
    </row>
    <row r="2267" spans="1:11">
      <c r="A2267" t="s">
        <v>9203</v>
      </c>
      <c r="B2267" t="s">
        <v>3033</v>
      </c>
      <c r="C2267" t="s">
        <v>6928</v>
      </c>
      <c r="D2267" s="1">
        <v>45078</v>
      </c>
      <c r="E2267" s="1">
        <v>45085</v>
      </c>
      <c r="F2267" s="1"/>
      <c r="G2267">
        <v>11.43</v>
      </c>
      <c r="H22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267" t="str">
        <f>IFERROR(INDEX(Raw_orders!G:G, MATCH(shipments[[#This Row],[order_id]],Raw_orders!A:A, 0)), "Unknown")</f>
        <v>Nordics</v>
      </c>
      <c r="J2267" t="str">
        <f>PROPER(shipments[[#This Row],[delivery_status]])</f>
        <v>In Transit</v>
      </c>
      <c r="K2267" t="s">
        <v>6958</v>
      </c>
    </row>
    <row r="2268" spans="1:11">
      <c r="A2268" t="s">
        <v>9204</v>
      </c>
      <c r="B2268" t="s">
        <v>3034</v>
      </c>
      <c r="C2268" t="s">
        <v>6938</v>
      </c>
      <c r="D2268" s="1">
        <v>45337</v>
      </c>
      <c r="E2268" s="1">
        <v>45342</v>
      </c>
      <c r="F2268" s="1">
        <v>45343</v>
      </c>
      <c r="G2268">
        <v>15.58</v>
      </c>
      <c r="H22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68" t="str">
        <f>IFERROR(INDEX(Raw_orders!G:G, MATCH(shipments[[#This Row],[order_id]],Raw_orders!A:A, 0)), "Unknown")</f>
        <v>Baltics</v>
      </c>
      <c r="J2268" t="str">
        <f>PROPER(shipments[[#This Row],[delivery_status]])</f>
        <v>Delivered</v>
      </c>
      <c r="K2268" t="s">
        <v>6926</v>
      </c>
    </row>
    <row r="2269" spans="1:11">
      <c r="A2269" t="s">
        <v>9205</v>
      </c>
      <c r="B2269" t="s">
        <v>3035</v>
      </c>
      <c r="C2269" t="s">
        <v>6931</v>
      </c>
      <c r="D2269" s="1">
        <v>45027</v>
      </c>
      <c r="E2269" s="1">
        <v>45032</v>
      </c>
      <c r="F2269" s="1">
        <v>45034</v>
      </c>
      <c r="G2269">
        <v>58.65</v>
      </c>
      <c r="H22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69" t="str">
        <f>IFERROR(INDEX(Raw_orders!G:G, MATCH(shipments[[#This Row],[order_id]],Raw_orders!A:A, 0)), "Unknown")</f>
        <v>Nordics</v>
      </c>
      <c r="J2269" t="str">
        <f>PROPER(shipments[[#This Row],[delivery_status]])</f>
        <v>Delivered</v>
      </c>
      <c r="K2269" t="s">
        <v>6922</v>
      </c>
    </row>
    <row r="2270" spans="1:11">
      <c r="A2270" t="s">
        <v>9206</v>
      </c>
      <c r="B2270" t="s">
        <v>3036</v>
      </c>
      <c r="C2270" t="s">
        <v>6938</v>
      </c>
      <c r="D2270" s="1">
        <v>45617</v>
      </c>
      <c r="E2270" s="1">
        <v>45619</v>
      </c>
      <c r="F2270" s="1">
        <v>45619</v>
      </c>
      <c r="G2270">
        <v>25.63</v>
      </c>
      <c r="H22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270" t="str">
        <f>IFERROR(INDEX(Raw_orders!G:G, MATCH(shipments[[#This Row],[order_id]],Raw_orders!A:A, 0)), "Unknown")</f>
        <v>Baltics</v>
      </c>
      <c r="J2270" t="str">
        <f>PROPER(shipments[[#This Row],[delivery_status]])</f>
        <v>Delivered</v>
      </c>
      <c r="K2270" t="s">
        <v>6926</v>
      </c>
    </row>
    <row r="2271" spans="1:11">
      <c r="A2271" t="s">
        <v>9207</v>
      </c>
      <c r="B2271" t="s">
        <v>3037</v>
      </c>
      <c r="C2271" t="s">
        <v>6935</v>
      </c>
      <c r="D2271" s="1">
        <v>45362</v>
      </c>
      <c r="E2271" s="1">
        <v>45367</v>
      </c>
      <c r="F2271" s="1"/>
      <c r="G2271">
        <v>37.47</v>
      </c>
      <c r="H22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271" t="str">
        <f>IFERROR(INDEX(Raw_orders!G:G, MATCH(shipments[[#This Row],[order_id]],Raw_orders!A:A, 0)), "Unknown")</f>
        <v>Central Europe</v>
      </c>
      <c r="J2271" t="str">
        <f>PROPER(shipments[[#This Row],[delivery_status]])</f>
        <v>In Transit</v>
      </c>
      <c r="K2271" t="s">
        <v>6977</v>
      </c>
    </row>
    <row r="2272" spans="1:11">
      <c r="A2272" t="s">
        <v>9208</v>
      </c>
      <c r="B2272" t="s">
        <v>3037</v>
      </c>
      <c r="C2272" t="s">
        <v>6931</v>
      </c>
      <c r="D2272" s="1">
        <v>45359</v>
      </c>
      <c r="E2272" s="1">
        <v>45364</v>
      </c>
      <c r="F2272" s="1">
        <v>45369</v>
      </c>
      <c r="G2272">
        <v>12.8</v>
      </c>
      <c r="H22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72" t="str">
        <f>IFERROR(INDEX(Raw_orders!G:G, MATCH(shipments[[#This Row],[order_id]],Raw_orders!A:A, 0)), "Unknown")</f>
        <v>Central Europe</v>
      </c>
      <c r="J2272" t="str">
        <f>PROPER(shipments[[#This Row],[delivery_status]])</f>
        <v>Delivered</v>
      </c>
      <c r="K2272" t="s">
        <v>6922</v>
      </c>
    </row>
    <row r="2273" spans="1:11">
      <c r="A2273" t="s">
        <v>9209</v>
      </c>
      <c r="B2273" t="s">
        <v>3038</v>
      </c>
      <c r="C2273" t="s">
        <v>6931</v>
      </c>
      <c r="D2273" s="1">
        <v>45067</v>
      </c>
      <c r="E2273" s="1">
        <v>45072</v>
      </c>
      <c r="F2273" s="1"/>
      <c r="G2273">
        <v>54.34</v>
      </c>
      <c r="H22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273" t="str">
        <f>IFERROR(INDEX(Raw_orders!G:G, MATCH(shipments[[#This Row],[order_id]],Raw_orders!A:A, 0)), "Unknown")</f>
        <v>Central Europe</v>
      </c>
      <c r="J2273" t="str">
        <f>PROPER(shipments[[#This Row],[delivery_status]])</f>
        <v>Cancelled</v>
      </c>
      <c r="K2273" t="s">
        <v>6963</v>
      </c>
    </row>
    <row r="2274" spans="1:11">
      <c r="A2274" t="s">
        <v>9210</v>
      </c>
      <c r="B2274" t="s">
        <v>3039</v>
      </c>
      <c r="C2274" t="s">
        <v>6921</v>
      </c>
      <c r="D2274" s="1">
        <v>45218</v>
      </c>
      <c r="E2274" s="1">
        <v>45223</v>
      </c>
      <c r="F2274" s="1">
        <v>45226</v>
      </c>
      <c r="G2274">
        <v>32.86</v>
      </c>
      <c r="H22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74" t="str">
        <f>IFERROR(INDEX(Raw_orders!G:G, MATCH(shipments[[#This Row],[order_id]],Raw_orders!A:A, 0)), "Unknown")</f>
        <v>Baltics</v>
      </c>
      <c r="J2274" t="str">
        <f>PROPER(shipments[[#This Row],[delivery_status]])</f>
        <v>Delivered</v>
      </c>
      <c r="K2274" t="s">
        <v>6926</v>
      </c>
    </row>
    <row r="2275" spans="1:11">
      <c r="A2275" t="s">
        <v>9211</v>
      </c>
      <c r="B2275" t="s">
        <v>3040</v>
      </c>
      <c r="C2275" t="s">
        <v>6931</v>
      </c>
      <c r="D2275" s="1">
        <v>44961</v>
      </c>
      <c r="E2275" s="1">
        <v>44971</v>
      </c>
      <c r="F2275" s="1">
        <v>44974</v>
      </c>
      <c r="G2275">
        <v>18.260000000000002</v>
      </c>
      <c r="H22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75" t="str">
        <f>IFERROR(INDEX(Raw_orders!G:G, MATCH(shipments[[#This Row],[order_id]],Raw_orders!A:A, 0)), "Unknown")</f>
        <v>Central Europe</v>
      </c>
      <c r="J2275" t="str">
        <f>PROPER(shipments[[#This Row],[delivery_status]])</f>
        <v>Delivered</v>
      </c>
      <c r="K2275" t="s">
        <v>6929</v>
      </c>
    </row>
    <row r="2276" spans="1:11">
      <c r="A2276" t="s">
        <v>9212</v>
      </c>
      <c r="B2276" t="s">
        <v>3041</v>
      </c>
      <c r="C2276" t="s">
        <v>6956</v>
      </c>
      <c r="D2276" s="1">
        <v>44991</v>
      </c>
      <c r="E2276" s="1">
        <v>44998</v>
      </c>
      <c r="F2276" s="1">
        <v>45006</v>
      </c>
      <c r="G2276">
        <v>34.15</v>
      </c>
      <c r="H22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76" t="str">
        <f>IFERROR(INDEX(Raw_orders!G:G, MATCH(shipments[[#This Row],[order_id]],Raw_orders!A:A, 0)), "Unknown")</f>
        <v>Nordics</v>
      </c>
      <c r="J2276" t="str">
        <f>PROPER(shipments[[#This Row],[delivery_status]])</f>
        <v>Delivered</v>
      </c>
      <c r="K2276" t="s">
        <v>6922</v>
      </c>
    </row>
    <row r="2277" spans="1:11">
      <c r="A2277" t="s">
        <v>9213</v>
      </c>
      <c r="B2277" t="s">
        <v>3042</v>
      </c>
      <c r="C2277" t="s">
        <v>6925</v>
      </c>
      <c r="D2277" s="1">
        <v>45156</v>
      </c>
      <c r="E2277" s="1">
        <v>45163</v>
      </c>
      <c r="F2277" s="1">
        <v>45163</v>
      </c>
      <c r="G2277">
        <v>29.91</v>
      </c>
      <c r="H22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277" t="str">
        <f>IFERROR(INDEX(Raw_orders!G:G, MATCH(shipments[[#This Row],[order_id]],Raw_orders!A:A, 0)), "Unknown")</f>
        <v>Baltics</v>
      </c>
      <c r="J2277" t="str">
        <f>PROPER(shipments[[#This Row],[delivery_status]])</f>
        <v>Delivered</v>
      </c>
      <c r="K2277" t="s">
        <v>6929</v>
      </c>
    </row>
    <row r="2278" spans="1:11">
      <c r="A2278" t="s">
        <v>9214</v>
      </c>
      <c r="B2278" t="s">
        <v>3043</v>
      </c>
      <c r="C2278" t="s">
        <v>6938</v>
      </c>
      <c r="D2278" s="1">
        <v>45592</v>
      </c>
      <c r="E2278" s="1">
        <v>45602</v>
      </c>
      <c r="F2278" s="1">
        <v>45604</v>
      </c>
      <c r="G2278">
        <v>44.88</v>
      </c>
      <c r="H22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78" t="str">
        <f>IFERROR(INDEX(Raw_orders!G:G, MATCH(shipments[[#This Row],[order_id]],Raw_orders!A:A, 0)), "Unknown")</f>
        <v>Nordics</v>
      </c>
      <c r="J2278" t="str">
        <f>PROPER(shipments[[#This Row],[delivery_status]])</f>
        <v>Delivered</v>
      </c>
      <c r="K2278" t="s">
        <v>6926</v>
      </c>
    </row>
    <row r="2279" spans="1:11">
      <c r="A2279" t="s">
        <v>9215</v>
      </c>
      <c r="B2279" t="s">
        <v>3044</v>
      </c>
      <c r="C2279" t="s">
        <v>6938</v>
      </c>
      <c r="D2279" s="1">
        <v>45410</v>
      </c>
      <c r="E2279" s="1">
        <v>45413</v>
      </c>
      <c r="F2279" s="1">
        <v>45412</v>
      </c>
      <c r="G2279">
        <v>22.83</v>
      </c>
      <c r="H22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279" t="str">
        <f>IFERROR(INDEX(Raw_orders!G:G, MATCH(shipments[[#This Row],[order_id]],Raw_orders!A:A, 0)), "Unknown")</f>
        <v>Nordics</v>
      </c>
      <c r="J2279" t="str">
        <f>PROPER(shipments[[#This Row],[delivery_status]])</f>
        <v>Delivered</v>
      </c>
      <c r="K2279" t="s">
        <v>6922</v>
      </c>
    </row>
    <row r="2280" spans="1:11">
      <c r="A2280" t="s">
        <v>9216</v>
      </c>
      <c r="B2280" t="s">
        <v>3045</v>
      </c>
      <c r="C2280" t="s">
        <v>6940</v>
      </c>
      <c r="D2280" s="1">
        <v>45273</v>
      </c>
      <c r="E2280" s="1">
        <v>45283</v>
      </c>
      <c r="F2280" s="1">
        <v>45286</v>
      </c>
      <c r="G2280">
        <v>61.27</v>
      </c>
      <c r="H22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80" t="str">
        <f>IFERROR(INDEX(Raw_orders!G:G, MATCH(shipments[[#This Row],[order_id]],Raw_orders!A:A, 0)), "Unknown")</f>
        <v>Baltics</v>
      </c>
      <c r="J2280" t="str">
        <f>PROPER(shipments[[#This Row],[delivery_status]])</f>
        <v>Delivered</v>
      </c>
      <c r="K2280" t="s">
        <v>6926</v>
      </c>
    </row>
    <row r="2281" spans="1:11">
      <c r="A2281" t="s">
        <v>9217</v>
      </c>
      <c r="B2281" t="s">
        <v>3045</v>
      </c>
      <c r="C2281" t="s">
        <v>6940</v>
      </c>
      <c r="D2281" s="1">
        <v>45274</v>
      </c>
      <c r="E2281" s="1">
        <v>45276</v>
      </c>
      <c r="F2281" s="1">
        <v>45280</v>
      </c>
      <c r="G2281">
        <v>26.09</v>
      </c>
      <c r="H22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81" t="str">
        <f>IFERROR(INDEX(Raw_orders!G:G, MATCH(shipments[[#This Row],[order_id]],Raw_orders!A:A, 0)), "Unknown")</f>
        <v>Baltics</v>
      </c>
      <c r="J2281" t="str">
        <f>PROPER(shipments[[#This Row],[delivery_status]])</f>
        <v>Delivered</v>
      </c>
      <c r="K2281" t="s">
        <v>6926</v>
      </c>
    </row>
    <row r="2282" spans="1:11">
      <c r="A2282" t="s">
        <v>9218</v>
      </c>
      <c r="B2282" t="s">
        <v>3046</v>
      </c>
      <c r="C2282" t="s">
        <v>6956</v>
      </c>
      <c r="D2282" s="1">
        <v>45211</v>
      </c>
      <c r="E2282" s="1">
        <v>45216</v>
      </c>
      <c r="F2282" s="1"/>
      <c r="G2282">
        <v>40.01</v>
      </c>
      <c r="H22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282" t="str">
        <f>IFERROR(INDEX(Raw_orders!G:G, MATCH(shipments[[#This Row],[order_id]],Raw_orders!A:A, 0)), "Unknown")</f>
        <v>Baltics</v>
      </c>
      <c r="J2282" t="str">
        <f>PROPER(shipments[[#This Row],[delivery_status]])</f>
        <v>Cancelled</v>
      </c>
      <c r="K2282" t="s">
        <v>6972</v>
      </c>
    </row>
    <row r="2283" spans="1:11">
      <c r="A2283" t="s">
        <v>9219</v>
      </c>
      <c r="B2283" t="s">
        <v>3047</v>
      </c>
      <c r="C2283" t="s">
        <v>6931</v>
      </c>
      <c r="D2283" s="1">
        <v>44980</v>
      </c>
      <c r="E2283" s="1">
        <v>44982</v>
      </c>
      <c r="F2283" s="1">
        <v>44983</v>
      </c>
      <c r="G2283">
        <v>32.06</v>
      </c>
      <c r="H22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83" t="str">
        <f>IFERROR(INDEX(Raw_orders!G:G, MATCH(shipments[[#This Row],[order_id]],Raw_orders!A:A, 0)), "Unknown")</f>
        <v>Baltics</v>
      </c>
      <c r="J2283" t="str">
        <f>PROPER(shipments[[#This Row],[delivery_status]])</f>
        <v>Delivered</v>
      </c>
      <c r="K2283" t="s">
        <v>6922</v>
      </c>
    </row>
    <row r="2284" spans="1:11">
      <c r="A2284" t="s">
        <v>9220</v>
      </c>
      <c r="B2284" t="s">
        <v>3048</v>
      </c>
      <c r="C2284" t="s">
        <v>6925</v>
      </c>
      <c r="D2284" s="1">
        <v>45330</v>
      </c>
      <c r="E2284" s="1">
        <v>45340</v>
      </c>
      <c r="F2284" s="1">
        <v>45340</v>
      </c>
      <c r="G2284">
        <v>30.09</v>
      </c>
      <c r="H22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284" t="str">
        <f>IFERROR(INDEX(Raw_orders!G:G, MATCH(shipments[[#This Row],[order_id]],Raw_orders!A:A, 0)), "Unknown")</f>
        <v>Central Europe</v>
      </c>
      <c r="J2284" t="str">
        <f>PROPER(shipments[[#This Row],[delivery_status]])</f>
        <v>Delivered</v>
      </c>
      <c r="K2284" t="s">
        <v>6926</v>
      </c>
    </row>
    <row r="2285" spans="1:11">
      <c r="A2285" t="s">
        <v>9221</v>
      </c>
      <c r="B2285" t="s">
        <v>3049</v>
      </c>
      <c r="C2285" t="s">
        <v>6935</v>
      </c>
      <c r="D2285" s="1">
        <v>44964</v>
      </c>
      <c r="E2285" s="1">
        <v>44974</v>
      </c>
      <c r="F2285" s="1">
        <v>44987</v>
      </c>
      <c r="G2285">
        <v>63.47</v>
      </c>
      <c r="H22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85" t="str">
        <f>IFERROR(INDEX(Raw_orders!G:G, MATCH(shipments[[#This Row],[order_id]],Raw_orders!A:A, 0)), "Unknown")</f>
        <v>Nordics</v>
      </c>
      <c r="J2285" t="str">
        <f>PROPER(shipments[[#This Row],[delivery_status]])</f>
        <v>Delivered</v>
      </c>
      <c r="K2285" t="s">
        <v>6926</v>
      </c>
    </row>
    <row r="2286" spans="1:11">
      <c r="A2286" t="s">
        <v>9222</v>
      </c>
      <c r="B2286" t="s">
        <v>3050</v>
      </c>
      <c r="C2286" t="s">
        <v>6938</v>
      </c>
      <c r="D2286" s="1">
        <v>45430</v>
      </c>
      <c r="E2286" s="1">
        <v>45432</v>
      </c>
      <c r="F2286" s="1">
        <v>45431</v>
      </c>
      <c r="G2286">
        <v>6.5</v>
      </c>
      <c r="H22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286" t="str">
        <f>IFERROR(INDEX(Raw_orders!G:G, MATCH(shipments[[#This Row],[order_id]],Raw_orders!A:A, 0)), "Unknown")</f>
        <v>Central Europe</v>
      </c>
      <c r="J2286" t="str">
        <f>PROPER(shipments[[#This Row],[delivery_status]])</f>
        <v>Delivered</v>
      </c>
      <c r="K2286" t="s">
        <v>6922</v>
      </c>
    </row>
    <row r="2287" spans="1:11">
      <c r="A2287" t="s">
        <v>9223</v>
      </c>
      <c r="B2287" t="s">
        <v>3051</v>
      </c>
      <c r="C2287" t="s">
        <v>6956</v>
      </c>
      <c r="D2287" s="1">
        <v>45587</v>
      </c>
      <c r="E2287" s="1">
        <v>45589</v>
      </c>
      <c r="F2287" s="1">
        <v>45592</v>
      </c>
      <c r="G2287">
        <v>46.03</v>
      </c>
      <c r="H22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87" t="str">
        <f>IFERROR(INDEX(Raw_orders!G:G, MATCH(shipments[[#This Row],[order_id]],Raw_orders!A:A, 0)), "Unknown")</f>
        <v>Central Europe</v>
      </c>
      <c r="J2287" t="str">
        <f>PROPER(shipments[[#This Row],[delivery_status]])</f>
        <v>Delivered</v>
      </c>
      <c r="K2287" t="s">
        <v>6922</v>
      </c>
    </row>
    <row r="2288" spans="1:11">
      <c r="A2288" t="s">
        <v>9224</v>
      </c>
      <c r="B2288" t="s">
        <v>3052</v>
      </c>
      <c r="C2288" t="s">
        <v>6931</v>
      </c>
      <c r="D2288" s="1">
        <v>45427</v>
      </c>
      <c r="E2288" s="1">
        <v>45437</v>
      </c>
      <c r="F2288" s="1">
        <v>45439</v>
      </c>
      <c r="G2288">
        <v>48.42</v>
      </c>
      <c r="H22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88" t="str">
        <f>IFERROR(INDEX(Raw_orders!G:G, MATCH(shipments[[#This Row],[order_id]],Raw_orders!A:A, 0)), "Unknown")</f>
        <v>Nordics</v>
      </c>
      <c r="J2288" t="str">
        <f>PROPER(shipments[[#This Row],[delivery_status]])</f>
        <v>Delivered</v>
      </c>
      <c r="K2288" t="s">
        <v>6926</v>
      </c>
    </row>
    <row r="2289" spans="1:11">
      <c r="A2289" t="s">
        <v>9225</v>
      </c>
      <c r="B2289" t="s">
        <v>3053</v>
      </c>
      <c r="C2289" t="s">
        <v>6938</v>
      </c>
      <c r="D2289" s="1">
        <v>45346</v>
      </c>
      <c r="E2289" s="1">
        <v>45356</v>
      </c>
      <c r="F2289" s="1">
        <v>45358</v>
      </c>
      <c r="G2289">
        <v>40.71</v>
      </c>
      <c r="H22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89" t="str">
        <f>IFERROR(INDEX(Raw_orders!G:G, MATCH(shipments[[#This Row],[order_id]],Raw_orders!A:A, 0)), "Unknown")</f>
        <v>Central Europe</v>
      </c>
      <c r="J2289" t="str">
        <f>PROPER(shipments[[#This Row],[delivery_status]])</f>
        <v>Delivered</v>
      </c>
      <c r="K2289" t="s">
        <v>6929</v>
      </c>
    </row>
    <row r="2290" spans="1:11">
      <c r="A2290" t="s">
        <v>9226</v>
      </c>
      <c r="B2290" t="s">
        <v>3054</v>
      </c>
      <c r="C2290" t="s">
        <v>6921</v>
      </c>
      <c r="D2290" s="1">
        <v>45215</v>
      </c>
      <c r="E2290" s="1">
        <v>45217</v>
      </c>
      <c r="F2290" s="1">
        <v>45229</v>
      </c>
      <c r="G2290">
        <v>20.87</v>
      </c>
      <c r="H22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90" t="str">
        <f>IFERROR(INDEX(Raw_orders!G:G, MATCH(shipments[[#This Row],[order_id]],Raw_orders!A:A, 0)), "Unknown")</f>
        <v>Baltics</v>
      </c>
      <c r="J2290" t="str">
        <f>PROPER(shipments[[#This Row],[delivery_status]])</f>
        <v>Delivered</v>
      </c>
      <c r="K2290" t="s">
        <v>6922</v>
      </c>
    </row>
    <row r="2291" spans="1:11">
      <c r="A2291" t="s">
        <v>9227</v>
      </c>
      <c r="B2291" t="s">
        <v>3055</v>
      </c>
      <c r="C2291" t="s">
        <v>6925</v>
      </c>
      <c r="D2291" s="1">
        <v>45228</v>
      </c>
      <c r="E2291" s="1">
        <v>45230</v>
      </c>
      <c r="F2291" s="1">
        <v>45238</v>
      </c>
      <c r="G2291">
        <v>11.71</v>
      </c>
      <c r="H22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91" t="str">
        <f>IFERROR(INDEX(Raw_orders!G:G, MATCH(shipments[[#This Row],[order_id]],Raw_orders!A:A, 0)), "Unknown")</f>
        <v>Central Europe</v>
      </c>
      <c r="J2291" t="str">
        <f>PROPER(shipments[[#This Row],[delivery_status]])</f>
        <v>Delivered</v>
      </c>
      <c r="K2291" t="s">
        <v>6929</v>
      </c>
    </row>
    <row r="2292" spans="1:11">
      <c r="A2292" t="s">
        <v>9228</v>
      </c>
      <c r="B2292" t="s">
        <v>3056</v>
      </c>
      <c r="C2292" t="s">
        <v>6938</v>
      </c>
      <c r="D2292" s="1">
        <v>45099</v>
      </c>
      <c r="E2292" s="1">
        <v>45104</v>
      </c>
      <c r="F2292" s="1">
        <v>45106</v>
      </c>
      <c r="G2292">
        <v>7.22</v>
      </c>
      <c r="H22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92" t="str">
        <f>IFERROR(INDEX(Raw_orders!G:G, MATCH(shipments[[#This Row],[order_id]],Raw_orders!A:A, 0)), "Unknown")</f>
        <v>Central Europe</v>
      </c>
      <c r="J2292" t="str">
        <f>PROPER(shipments[[#This Row],[delivery_status]])</f>
        <v>Delivered</v>
      </c>
      <c r="K2292" t="s">
        <v>6922</v>
      </c>
    </row>
    <row r="2293" spans="1:11">
      <c r="A2293" t="s">
        <v>9229</v>
      </c>
      <c r="B2293" t="s">
        <v>3056</v>
      </c>
      <c r="C2293" t="s">
        <v>6931</v>
      </c>
      <c r="D2293" s="1">
        <v>45097</v>
      </c>
      <c r="E2293" s="1">
        <v>45100</v>
      </c>
      <c r="F2293" s="1">
        <v>45102</v>
      </c>
      <c r="G2293">
        <v>60.89</v>
      </c>
      <c r="H22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93" t="str">
        <f>IFERROR(INDEX(Raw_orders!G:G, MATCH(shipments[[#This Row],[order_id]],Raw_orders!A:A, 0)), "Unknown")</f>
        <v>Central Europe</v>
      </c>
      <c r="J2293" t="str">
        <f>PROPER(shipments[[#This Row],[delivery_status]])</f>
        <v>Delivered</v>
      </c>
      <c r="K2293" t="s">
        <v>6926</v>
      </c>
    </row>
    <row r="2294" spans="1:11">
      <c r="A2294" t="s">
        <v>9230</v>
      </c>
      <c r="B2294" t="s">
        <v>3057</v>
      </c>
      <c r="C2294" t="s">
        <v>6925</v>
      </c>
      <c r="D2294" s="1">
        <v>45496</v>
      </c>
      <c r="E2294" s="1">
        <v>45499</v>
      </c>
      <c r="F2294" s="1"/>
      <c r="G2294">
        <v>30.07</v>
      </c>
      <c r="H22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294" t="str">
        <f>IFERROR(INDEX(Raw_orders!G:G, MATCH(shipments[[#This Row],[order_id]],Raw_orders!A:A, 0)), "Unknown")</f>
        <v>Baltics</v>
      </c>
      <c r="J2294" t="str">
        <f>PROPER(shipments[[#This Row],[delivery_status]])</f>
        <v>In Transit</v>
      </c>
      <c r="K2294" t="s">
        <v>6958</v>
      </c>
    </row>
    <row r="2295" spans="1:11">
      <c r="A2295" t="s">
        <v>9231</v>
      </c>
      <c r="B2295" t="s">
        <v>3058</v>
      </c>
      <c r="C2295" t="s">
        <v>6940</v>
      </c>
      <c r="D2295" s="1">
        <v>45109</v>
      </c>
      <c r="E2295" s="1">
        <v>45116</v>
      </c>
      <c r="F2295" s="1"/>
      <c r="G2295">
        <v>22.55</v>
      </c>
      <c r="H22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295" t="str">
        <f>IFERROR(INDEX(Raw_orders!G:G, MATCH(shipments[[#This Row],[order_id]],Raw_orders!A:A, 0)), "Unknown")</f>
        <v>Central Europe</v>
      </c>
      <c r="J2295" t="str">
        <f>PROPER(shipments[[#This Row],[delivery_status]])</f>
        <v>Cancelled</v>
      </c>
      <c r="K2295" t="s">
        <v>6979</v>
      </c>
    </row>
    <row r="2296" spans="1:11">
      <c r="A2296" t="s">
        <v>9232</v>
      </c>
      <c r="B2296" t="s">
        <v>3059</v>
      </c>
      <c r="C2296" t="s">
        <v>6921</v>
      </c>
      <c r="D2296" s="1">
        <v>45230</v>
      </c>
      <c r="E2296" s="1">
        <v>45237</v>
      </c>
      <c r="F2296" s="1">
        <v>45239</v>
      </c>
      <c r="G2296">
        <v>60.5</v>
      </c>
      <c r="H22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96" t="str">
        <f>IFERROR(INDEX(Raw_orders!G:G, MATCH(shipments[[#This Row],[order_id]],Raw_orders!A:A, 0)), "Unknown")</f>
        <v>Baltics</v>
      </c>
      <c r="J2296" t="str">
        <f>PROPER(shipments[[#This Row],[delivery_status]])</f>
        <v>Delivered</v>
      </c>
      <c r="K2296" t="s">
        <v>6926</v>
      </c>
    </row>
    <row r="2297" spans="1:11">
      <c r="A2297" t="s">
        <v>9233</v>
      </c>
      <c r="B2297" t="s">
        <v>3060</v>
      </c>
      <c r="C2297" t="s">
        <v>6935</v>
      </c>
      <c r="D2297" s="1">
        <v>45388</v>
      </c>
      <c r="E2297" s="1">
        <v>45393</v>
      </c>
      <c r="F2297" s="1">
        <v>45405</v>
      </c>
      <c r="G2297">
        <v>59.82</v>
      </c>
      <c r="H22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97" t="str">
        <f>IFERROR(INDEX(Raw_orders!G:G, MATCH(shipments[[#This Row],[order_id]],Raw_orders!A:A, 0)), "Unknown")</f>
        <v>Central Europe</v>
      </c>
      <c r="J2297" t="str">
        <f>PROPER(shipments[[#This Row],[delivery_status]])</f>
        <v>Delivered</v>
      </c>
      <c r="K2297" t="s">
        <v>6926</v>
      </c>
    </row>
    <row r="2298" spans="1:11">
      <c r="A2298" t="s">
        <v>9234</v>
      </c>
      <c r="B2298" t="s">
        <v>3061</v>
      </c>
      <c r="C2298" t="s">
        <v>6938</v>
      </c>
      <c r="D2298" s="1">
        <v>45052</v>
      </c>
      <c r="E2298" s="1">
        <v>45057</v>
      </c>
      <c r="F2298" s="1">
        <v>45056</v>
      </c>
      <c r="G2298">
        <v>27.42</v>
      </c>
      <c r="H22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298" t="str">
        <f>IFERROR(INDEX(Raw_orders!G:G, MATCH(shipments[[#This Row],[order_id]],Raw_orders!A:A, 0)), "Unknown")</f>
        <v>Baltics</v>
      </c>
      <c r="J2298" t="str">
        <f>PROPER(shipments[[#This Row],[delivery_status]])</f>
        <v>Delivered</v>
      </c>
      <c r="K2298" t="s">
        <v>6929</v>
      </c>
    </row>
    <row r="2299" spans="1:11">
      <c r="A2299" t="s">
        <v>9235</v>
      </c>
      <c r="B2299" t="s">
        <v>3062</v>
      </c>
      <c r="C2299" t="s">
        <v>6940</v>
      </c>
      <c r="D2299" s="1">
        <v>45234</v>
      </c>
      <c r="E2299" s="1">
        <v>45244</v>
      </c>
      <c r="F2299" s="1">
        <v>45245</v>
      </c>
      <c r="G2299">
        <v>11.55</v>
      </c>
      <c r="H22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299" t="str">
        <f>IFERROR(INDEX(Raw_orders!G:G, MATCH(shipments[[#This Row],[order_id]],Raw_orders!A:A, 0)), "Unknown")</f>
        <v>Central Europe</v>
      </c>
      <c r="J2299" t="str">
        <f>PROPER(shipments[[#This Row],[delivery_status]])</f>
        <v>Delivered</v>
      </c>
      <c r="K2299" t="s">
        <v>6926</v>
      </c>
    </row>
    <row r="2300" spans="1:11">
      <c r="A2300" t="s">
        <v>9236</v>
      </c>
      <c r="B2300" t="s">
        <v>3063</v>
      </c>
      <c r="C2300" t="s">
        <v>6935</v>
      </c>
      <c r="D2300" s="1">
        <v>45341</v>
      </c>
      <c r="E2300" s="1">
        <v>45346</v>
      </c>
      <c r="F2300" s="1">
        <v>45347</v>
      </c>
      <c r="G2300">
        <v>7.23</v>
      </c>
      <c r="H23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00" t="str">
        <f>IFERROR(INDEX(Raw_orders!G:G, MATCH(shipments[[#This Row],[order_id]],Raw_orders!A:A, 0)), "Unknown")</f>
        <v>Nordics</v>
      </c>
      <c r="J2300" t="str">
        <f>PROPER(shipments[[#This Row],[delivery_status]])</f>
        <v>Delivered</v>
      </c>
      <c r="K2300" t="s">
        <v>6926</v>
      </c>
    </row>
    <row r="2301" spans="1:11">
      <c r="A2301" t="s">
        <v>9237</v>
      </c>
      <c r="B2301" t="s">
        <v>3064</v>
      </c>
      <c r="C2301" t="s">
        <v>6931</v>
      </c>
      <c r="D2301" s="1">
        <v>45130</v>
      </c>
      <c r="E2301" s="1">
        <v>45133</v>
      </c>
      <c r="F2301" s="1">
        <v>45133</v>
      </c>
      <c r="G2301">
        <v>52.19</v>
      </c>
      <c r="H23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301" t="str">
        <f>IFERROR(INDEX(Raw_orders!G:G, MATCH(shipments[[#This Row],[order_id]],Raw_orders!A:A, 0)), "Unknown")</f>
        <v>Nordics</v>
      </c>
      <c r="J2301" t="str">
        <f>PROPER(shipments[[#This Row],[delivery_status]])</f>
        <v>Delivered</v>
      </c>
      <c r="K2301" t="s">
        <v>6922</v>
      </c>
    </row>
    <row r="2302" spans="1:11">
      <c r="A2302" t="s">
        <v>9238</v>
      </c>
      <c r="B2302" t="s">
        <v>3065</v>
      </c>
      <c r="C2302" t="s">
        <v>6940</v>
      </c>
      <c r="D2302" s="1">
        <v>45312</v>
      </c>
      <c r="E2302" s="1">
        <v>45314</v>
      </c>
      <c r="F2302" s="1">
        <v>45315</v>
      </c>
      <c r="G2302">
        <v>32.270000000000003</v>
      </c>
      <c r="H23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02" t="str">
        <f>IFERROR(INDEX(Raw_orders!G:G, MATCH(shipments[[#This Row],[order_id]],Raw_orders!A:A, 0)), "Unknown")</f>
        <v>Baltics</v>
      </c>
      <c r="J2302" t="str">
        <f>PROPER(shipments[[#This Row],[delivery_status]])</f>
        <v>Delivered</v>
      </c>
      <c r="K2302" t="s">
        <v>6922</v>
      </c>
    </row>
    <row r="2303" spans="1:11">
      <c r="A2303" t="s">
        <v>9239</v>
      </c>
      <c r="B2303" t="s">
        <v>3066</v>
      </c>
      <c r="C2303" t="s">
        <v>6938</v>
      </c>
      <c r="D2303" s="1">
        <v>45157</v>
      </c>
      <c r="E2303" s="1">
        <v>45160</v>
      </c>
      <c r="F2303" s="1">
        <v>45168</v>
      </c>
      <c r="G2303">
        <v>24.39</v>
      </c>
      <c r="H23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03" t="str">
        <f>IFERROR(INDEX(Raw_orders!G:G, MATCH(shipments[[#This Row],[order_id]],Raw_orders!A:A, 0)), "Unknown")</f>
        <v>Central Europe</v>
      </c>
      <c r="J2303" t="str">
        <f>PROPER(shipments[[#This Row],[delivery_status]])</f>
        <v>Delivered</v>
      </c>
      <c r="K2303" t="s">
        <v>6926</v>
      </c>
    </row>
    <row r="2304" spans="1:11">
      <c r="A2304" t="s">
        <v>9240</v>
      </c>
      <c r="B2304" t="s">
        <v>3067</v>
      </c>
      <c r="C2304" t="s">
        <v>6928</v>
      </c>
      <c r="D2304" s="1">
        <v>45489</v>
      </c>
      <c r="E2304" s="1">
        <v>45494</v>
      </c>
      <c r="F2304" s="1"/>
      <c r="G2304">
        <v>18.649999999999999</v>
      </c>
      <c r="H23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304" t="str">
        <f>IFERROR(INDEX(Raw_orders!G:G, MATCH(shipments[[#This Row],[order_id]],Raw_orders!A:A, 0)), "Unknown")</f>
        <v>Nordics</v>
      </c>
      <c r="J2304" t="str">
        <f>PROPER(shipments[[#This Row],[delivery_status]])</f>
        <v>In Transit</v>
      </c>
      <c r="K2304" t="s">
        <v>6946</v>
      </c>
    </row>
    <row r="2305" spans="1:11">
      <c r="A2305" t="s">
        <v>9241</v>
      </c>
      <c r="B2305" t="s">
        <v>3068</v>
      </c>
      <c r="C2305" t="s">
        <v>6940</v>
      </c>
      <c r="D2305" s="1">
        <v>45107</v>
      </c>
      <c r="E2305" s="1">
        <v>45110</v>
      </c>
      <c r="F2305" s="1">
        <v>45112</v>
      </c>
      <c r="G2305">
        <v>9.5399999999999991</v>
      </c>
      <c r="H23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05" t="str">
        <f>IFERROR(INDEX(Raw_orders!G:G, MATCH(shipments[[#This Row],[order_id]],Raw_orders!A:A, 0)), "Unknown")</f>
        <v>Baltics</v>
      </c>
      <c r="J2305" t="str">
        <f>PROPER(shipments[[#This Row],[delivery_status]])</f>
        <v>Delivered</v>
      </c>
      <c r="K2305" t="s">
        <v>6926</v>
      </c>
    </row>
    <row r="2306" spans="1:11">
      <c r="A2306" t="s">
        <v>9242</v>
      </c>
      <c r="B2306" t="s">
        <v>3069</v>
      </c>
      <c r="C2306" t="s">
        <v>6928</v>
      </c>
      <c r="D2306" s="1">
        <v>45167</v>
      </c>
      <c r="E2306" s="1">
        <v>45174</v>
      </c>
      <c r="F2306" s="1">
        <v>45174</v>
      </c>
      <c r="G2306">
        <v>40.770000000000003</v>
      </c>
      <c r="H23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306" t="str">
        <f>IFERROR(INDEX(Raw_orders!G:G, MATCH(shipments[[#This Row],[order_id]],Raw_orders!A:A, 0)), "Unknown")</f>
        <v>Nordics</v>
      </c>
      <c r="J2306" t="str">
        <f>PROPER(shipments[[#This Row],[delivery_status]])</f>
        <v>Delivered</v>
      </c>
      <c r="K2306" t="s">
        <v>6926</v>
      </c>
    </row>
    <row r="2307" spans="1:11">
      <c r="A2307" t="s">
        <v>9243</v>
      </c>
      <c r="B2307" t="s">
        <v>3070</v>
      </c>
      <c r="C2307" t="s">
        <v>6921</v>
      </c>
      <c r="D2307" s="1">
        <v>44949</v>
      </c>
      <c r="E2307" s="1">
        <v>44956</v>
      </c>
      <c r="F2307" s="1">
        <v>44963</v>
      </c>
      <c r="G2307">
        <v>27.96</v>
      </c>
      <c r="H23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07" t="str">
        <f>IFERROR(INDEX(Raw_orders!G:G, MATCH(shipments[[#This Row],[order_id]],Raw_orders!A:A, 0)), "Unknown")</f>
        <v>Nordics</v>
      </c>
      <c r="J2307" t="str">
        <f>PROPER(shipments[[#This Row],[delivery_status]])</f>
        <v>Delivered</v>
      </c>
      <c r="K2307" t="s">
        <v>6926</v>
      </c>
    </row>
    <row r="2308" spans="1:11">
      <c r="A2308" t="s">
        <v>9244</v>
      </c>
      <c r="B2308" t="s">
        <v>3071</v>
      </c>
      <c r="C2308" t="s">
        <v>6935</v>
      </c>
      <c r="D2308" s="1">
        <v>45135</v>
      </c>
      <c r="E2308" s="1">
        <v>45142</v>
      </c>
      <c r="F2308" s="1">
        <v>45145</v>
      </c>
      <c r="G2308">
        <v>22.1</v>
      </c>
      <c r="H23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08" t="str">
        <f>IFERROR(INDEX(Raw_orders!G:G, MATCH(shipments[[#This Row],[order_id]],Raw_orders!A:A, 0)), "Unknown")</f>
        <v>Central Europe</v>
      </c>
      <c r="J2308" t="str">
        <f>PROPER(shipments[[#This Row],[delivery_status]])</f>
        <v>Delivered</v>
      </c>
      <c r="K2308" t="s">
        <v>6929</v>
      </c>
    </row>
    <row r="2309" spans="1:11">
      <c r="A2309" t="s">
        <v>9245</v>
      </c>
      <c r="B2309" t="s">
        <v>3072</v>
      </c>
      <c r="C2309" t="s">
        <v>6931</v>
      </c>
      <c r="D2309" s="1">
        <v>45298</v>
      </c>
      <c r="E2309" s="1">
        <v>45300</v>
      </c>
      <c r="F2309" s="1">
        <v>45299</v>
      </c>
      <c r="G2309">
        <v>41.28</v>
      </c>
      <c r="H23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309" t="str">
        <f>IFERROR(INDEX(Raw_orders!G:G, MATCH(shipments[[#This Row],[order_id]],Raw_orders!A:A, 0)), "Unknown")</f>
        <v>Nordics</v>
      </c>
      <c r="J2309" t="str">
        <f>PROPER(shipments[[#This Row],[delivery_status]])</f>
        <v>Delivered</v>
      </c>
      <c r="K2309" t="s">
        <v>6922</v>
      </c>
    </row>
    <row r="2310" spans="1:11">
      <c r="A2310" t="s">
        <v>9246</v>
      </c>
      <c r="B2310" t="s">
        <v>3073</v>
      </c>
      <c r="C2310" t="s">
        <v>6935</v>
      </c>
      <c r="D2310" s="1">
        <v>45516</v>
      </c>
      <c r="E2310" s="1">
        <v>45523</v>
      </c>
      <c r="F2310" s="1">
        <v>45528</v>
      </c>
      <c r="G2310">
        <v>25.98</v>
      </c>
      <c r="H23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10" t="str">
        <f>IFERROR(INDEX(Raw_orders!G:G, MATCH(shipments[[#This Row],[order_id]],Raw_orders!A:A, 0)), "Unknown")</f>
        <v>Baltics</v>
      </c>
      <c r="J2310" t="str">
        <f>PROPER(shipments[[#This Row],[delivery_status]])</f>
        <v>Delivered</v>
      </c>
      <c r="K2310" t="s">
        <v>6929</v>
      </c>
    </row>
    <row r="2311" spans="1:11">
      <c r="A2311" t="s">
        <v>9247</v>
      </c>
      <c r="B2311" t="s">
        <v>3074</v>
      </c>
      <c r="C2311" t="s">
        <v>6928</v>
      </c>
      <c r="D2311" s="1">
        <v>45215</v>
      </c>
      <c r="E2311" s="1">
        <v>45225</v>
      </c>
      <c r="F2311" s="1">
        <v>45233</v>
      </c>
      <c r="G2311">
        <v>49.1</v>
      </c>
      <c r="H23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11" t="str">
        <f>IFERROR(INDEX(Raw_orders!G:G, MATCH(shipments[[#This Row],[order_id]],Raw_orders!A:A, 0)), "Unknown")</f>
        <v>Nordics</v>
      </c>
      <c r="J2311" t="str">
        <f>PROPER(shipments[[#This Row],[delivery_status]])</f>
        <v>Delivered</v>
      </c>
      <c r="K2311" t="s">
        <v>6929</v>
      </c>
    </row>
    <row r="2312" spans="1:11">
      <c r="A2312" t="s">
        <v>9248</v>
      </c>
      <c r="B2312" t="s">
        <v>3075</v>
      </c>
      <c r="C2312" t="s">
        <v>6938</v>
      </c>
      <c r="D2312" s="1">
        <v>45183</v>
      </c>
      <c r="E2312" s="1">
        <v>45186</v>
      </c>
      <c r="F2312" s="1">
        <v>45194</v>
      </c>
      <c r="G2312">
        <v>43.32</v>
      </c>
      <c r="H23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12" t="str">
        <f>IFERROR(INDEX(Raw_orders!G:G, MATCH(shipments[[#This Row],[order_id]],Raw_orders!A:A, 0)), "Unknown")</f>
        <v>Nordics</v>
      </c>
      <c r="J2312" t="str">
        <f>PROPER(shipments[[#This Row],[delivery_status]])</f>
        <v>Delivered</v>
      </c>
      <c r="K2312" t="s">
        <v>6926</v>
      </c>
    </row>
    <row r="2313" spans="1:11">
      <c r="A2313" t="s">
        <v>9249</v>
      </c>
      <c r="B2313" t="s">
        <v>3076</v>
      </c>
      <c r="C2313" t="s">
        <v>6938</v>
      </c>
      <c r="D2313" s="1">
        <v>45458</v>
      </c>
      <c r="E2313" s="1">
        <v>45463</v>
      </c>
      <c r="F2313" s="1">
        <v>45466</v>
      </c>
      <c r="G2313">
        <v>34.770000000000003</v>
      </c>
      <c r="H23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13" t="str">
        <f>IFERROR(INDEX(Raw_orders!G:G, MATCH(shipments[[#This Row],[order_id]],Raw_orders!A:A, 0)), "Unknown")</f>
        <v>Baltics</v>
      </c>
      <c r="J2313" t="str">
        <f>PROPER(shipments[[#This Row],[delivery_status]])</f>
        <v>Delivered</v>
      </c>
      <c r="K2313" t="s">
        <v>6926</v>
      </c>
    </row>
    <row r="2314" spans="1:11">
      <c r="A2314" t="s">
        <v>9250</v>
      </c>
      <c r="B2314" t="s">
        <v>3077</v>
      </c>
      <c r="C2314" t="s">
        <v>6940</v>
      </c>
      <c r="D2314" s="1">
        <v>45490</v>
      </c>
      <c r="E2314" s="1">
        <v>45493</v>
      </c>
      <c r="F2314" s="1">
        <v>45493</v>
      </c>
      <c r="H23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314" t="str">
        <f>IFERROR(INDEX(Raw_orders!G:G, MATCH(shipments[[#This Row],[order_id]],Raw_orders!A:A, 0)), "Unknown")</f>
        <v>Baltics</v>
      </c>
      <c r="J2314" t="str">
        <f>PROPER(shipments[[#This Row],[delivery_status]])</f>
        <v>Delivered</v>
      </c>
      <c r="K2314" t="s">
        <v>6922</v>
      </c>
    </row>
    <row r="2315" spans="1:11">
      <c r="A2315" t="s">
        <v>9251</v>
      </c>
      <c r="B2315" t="s">
        <v>3078</v>
      </c>
      <c r="C2315" t="s">
        <v>6935</v>
      </c>
      <c r="D2315" s="1">
        <v>44957</v>
      </c>
      <c r="E2315" s="1">
        <v>44962</v>
      </c>
      <c r="F2315" s="1"/>
      <c r="G2315">
        <v>18.71</v>
      </c>
      <c r="H23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315" t="str">
        <f>IFERROR(INDEX(Raw_orders!G:G, MATCH(shipments[[#This Row],[order_id]],Raw_orders!A:A, 0)), "Unknown")</f>
        <v>Nordics</v>
      </c>
      <c r="J2315" t="str">
        <f>PROPER(shipments[[#This Row],[delivery_status]])</f>
        <v>In Transit</v>
      </c>
      <c r="K2315" t="s">
        <v>6977</v>
      </c>
    </row>
    <row r="2316" spans="1:11">
      <c r="A2316" t="s">
        <v>9252</v>
      </c>
      <c r="B2316" t="s">
        <v>3079</v>
      </c>
      <c r="C2316" t="s">
        <v>6956</v>
      </c>
      <c r="D2316" s="1">
        <v>45239</v>
      </c>
      <c r="E2316" s="1">
        <v>45244</v>
      </c>
      <c r="F2316" s="1"/>
      <c r="G2316">
        <v>14.31</v>
      </c>
      <c r="H23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316" t="str">
        <f>IFERROR(INDEX(Raw_orders!G:G, MATCH(shipments[[#This Row],[order_id]],Raw_orders!A:A, 0)), "Unknown")</f>
        <v>Baltics</v>
      </c>
      <c r="J2316" t="str">
        <f>PROPER(shipments[[#This Row],[delivery_status]])</f>
        <v>Cancelled</v>
      </c>
      <c r="K2316" t="s">
        <v>6963</v>
      </c>
    </row>
    <row r="2317" spans="1:11">
      <c r="A2317" t="s">
        <v>9253</v>
      </c>
      <c r="B2317" t="s">
        <v>3080</v>
      </c>
      <c r="C2317" t="s">
        <v>6931</v>
      </c>
      <c r="D2317" s="1">
        <v>45524</v>
      </c>
      <c r="E2317" s="1">
        <v>45529</v>
      </c>
      <c r="F2317" s="1">
        <v>45535</v>
      </c>
      <c r="G2317">
        <v>43.92</v>
      </c>
      <c r="H23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17" t="str">
        <f>IFERROR(INDEX(Raw_orders!G:G, MATCH(shipments[[#This Row],[order_id]],Raw_orders!A:A, 0)), "Unknown")</f>
        <v>Central Europe</v>
      </c>
      <c r="J2317" t="str">
        <f>PROPER(shipments[[#This Row],[delivery_status]])</f>
        <v>Delivered</v>
      </c>
      <c r="K2317" t="s">
        <v>6926</v>
      </c>
    </row>
    <row r="2318" spans="1:11">
      <c r="A2318" t="s">
        <v>9254</v>
      </c>
      <c r="B2318" t="s">
        <v>3081</v>
      </c>
      <c r="C2318" t="s">
        <v>6956</v>
      </c>
      <c r="D2318" s="1">
        <v>45474</v>
      </c>
      <c r="E2318" s="1">
        <v>45477</v>
      </c>
      <c r="F2318" s="1">
        <v>45480</v>
      </c>
      <c r="G2318">
        <v>59.06</v>
      </c>
      <c r="H23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18" t="str">
        <f>IFERROR(INDEX(Raw_orders!G:G, MATCH(shipments[[#This Row],[order_id]],Raw_orders!A:A, 0)), "Unknown")</f>
        <v>Nordics</v>
      </c>
      <c r="J2318" t="str">
        <f>PROPER(shipments[[#This Row],[delivery_status]])</f>
        <v>Delivered</v>
      </c>
      <c r="K2318" t="s">
        <v>6929</v>
      </c>
    </row>
    <row r="2319" spans="1:11">
      <c r="A2319" t="s">
        <v>9255</v>
      </c>
      <c r="B2319" t="s">
        <v>3082</v>
      </c>
      <c r="C2319" t="s">
        <v>6935</v>
      </c>
      <c r="D2319" s="1">
        <v>44958</v>
      </c>
      <c r="E2319" s="1">
        <v>44960</v>
      </c>
      <c r="F2319" s="1">
        <v>44969</v>
      </c>
      <c r="G2319">
        <v>36.9</v>
      </c>
      <c r="H23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19" t="str">
        <f>IFERROR(INDEX(Raw_orders!G:G, MATCH(shipments[[#This Row],[order_id]],Raw_orders!A:A, 0)), "Unknown")</f>
        <v>Nordics</v>
      </c>
      <c r="J2319" t="str">
        <f>PROPER(shipments[[#This Row],[delivery_status]])</f>
        <v>Delivered</v>
      </c>
      <c r="K2319" t="s">
        <v>6922</v>
      </c>
    </row>
    <row r="2320" spans="1:11">
      <c r="A2320" t="s">
        <v>9256</v>
      </c>
      <c r="B2320" t="s">
        <v>3083</v>
      </c>
      <c r="C2320" t="s">
        <v>6940</v>
      </c>
      <c r="D2320" s="1">
        <v>44949</v>
      </c>
      <c r="E2320" s="1">
        <v>44952</v>
      </c>
      <c r="F2320" s="1"/>
      <c r="G2320">
        <v>22.36</v>
      </c>
      <c r="H23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320" t="str">
        <f>IFERROR(INDEX(Raw_orders!G:G, MATCH(shipments[[#This Row],[order_id]],Raw_orders!A:A, 0)), "Unknown")</f>
        <v>Nordics</v>
      </c>
      <c r="J2320" t="str">
        <f>PROPER(shipments[[#This Row],[delivery_status]])</f>
        <v>Cancelled</v>
      </c>
      <c r="K2320" t="s">
        <v>6963</v>
      </c>
    </row>
    <row r="2321" spans="1:11">
      <c r="A2321" t="s">
        <v>9257</v>
      </c>
      <c r="B2321" t="s">
        <v>3084</v>
      </c>
      <c r="C2321" t="s">
        <v>6935</v>
      </c>
      <c r="D2321" s="1">
        <v>44983</v>
      </c>
      <c r="E2321" s="1">
        <v>44993</v>
      </c>
      <c r="F2321" s="1">
        <v>44999</v>
      </c>
      <c r="G2321">
        <v>51.1</v>
      </c>
      <c r="H23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21" t="str">
        <f>IFERROR(INDEX(Raw_orders!G:G, MATCH(shipments[[#This Row],[order_id]],Raw_orders!A:A, 0)), "Unknown")</f>
        <v>Baltics</v>
      </c>
      <c r="J2321" t="str">
        <f>PROPER(shipments[[#This Row],[delivery_status]])</f>
        <v>Delivered</v>
      </c>
      <c r="K2321" t="s">
        <v>6922</v>
      </c>
    </row>
    <row r="2322" spans="1:11">
      <c r="A2322" t="s">
        <v>9258</v>
      </c>
      <c r="B2322" t="s">
        <v>3085</v>
      </c>
      <c r="C2322" t="s">
        <v>6931</v>
      </c>
      <c r="D2322" s="1">
        <v>45036</v>
      </c>
      <c r="E2322" s="1">
        <v>45043</v>
      </c>
      <c r="F2322" s="1">
        <v>45042</v>
      </c>
      <c r="G2322">
        <v>15.32</v>
      </c>
      <c r="H23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322" t="str">
        <f>IFERROR(INDEX(Raw_orders!G:G, MATCH(shipments[[#This Row],[order_id]],Raw_orders!A:A, 0)), "Unknown")</f>
        <v>Central Europe</v>
      </c>
      <c r="J2322" t="str">
        <f>PROPER(shipments[[#This Row],[delivery_status]])</f>
        <v>Delivered</v>
      </c>
      <c r="K2322" t="s">
        <v>6926</v>
      </c>
    </row>
    <row r="2323" spans="1:11">
      <c r="A2323" t="s">
        <v>9259</v>
      </c>
      <c r="B2323" t="s">
        <v>3086</v>
      </c>
      <c r="C2323" t="s">
        <v>6938</v>
      </c>
      <c r="D2323" s="1">
        <v>45371</v>
      </c>
      <c r="E2323" s="1">
        <v>45374</v>
      </c>
      <c r="F2323" s="1">
        <v>45382</v>
      </c>
      <c r="G2323">
        <v>4.8</v>
      </c>
      <c r="H23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23" t="str">
        <f>IFERROR(INDEX(Raw_orders!G:G, MATCH(shipments[[#This Row],[order_id]],Raw_orders!A:A, 0)), "Unknown")</f>
        <v>Central Europe</v>
      </c>
      <c r="J2323" t="str">
        <f>PROPER(shipments[[#This Row],[delivery_status]])</f>
        <v>Delivered</v>
      </c>
      <c r="K2323" t="s">
        <v>6922</v>
      </c>
    </row>
    <row r="2324" spans="1:11">
      <c r="A2324" t="s">
        <v>9260</v>
      </c>
      <c r="B2324" t="s">
        <v>3087</v>
      </c>
      <c r="C2324" t="s">
        <v>6935</v>
      </c>
      <c r="D2324" s="1">
        <v>45269</v>
      </c>
      <c r="E2324" s="1">
        <v>45279</v>
      </c>
      <c r="F2324" s="1">
        <v>45279</v>
      </c>
      <c r="G2324">
        <v>33.17</v>
      </c>
      <c r="H23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324" t="str">
        <f>IFERROR(INDEX(Raw_orders!G:G, MATCH(shipments[[#This Row],[order_id]],Raw_orders!A:A, 0)), "Unknown")</f>
        <v>Nordics</v>
      </c>
      <c r="J2324" t="str">
        <f>PROPER(shipments[[#This Row],[delivery_status]])</f>
        <v>Delivered</v>
      </c>
      <c r="K2324" t="s">
        <v>6922</v>
      </c>
    </row>
    <row r="2325" spans="1:11">
      <c r="A2325" t="s">
        <v>9261</v>
      </c>
      <c r="B2325" t="s">
        <v>3087</v>
      </c>
      <c r="C2325" t="s">
        <v>6940</v>
      </c>
      <c r="D2325" s="1">
        <v>45270</v>
      </c>
      <c r="E2325" s="1">
        <v>45280</v>
      </c>
      <c r="F2325" s="1"/>
      <c r="H23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325" t="str">
        <f>IFERROR(INDEX(Raw_orders!G:G, MATCH(shipments[[#This Row],[order_id]],Raw_orders!A:A, 0)), "Unknown")</f>
        <v>Nordics</v>
      </c>
      <c r="J2325" t="str">
        <f>PROPER(shipments[[#This Row],[delivery_status]])</f>
        <v>In Transit</v>
      </c>
      <c r="K2325" t="s">
        <v>6958</v>
      </c>
    </row>
    <row r="2326" spans="1:11">
      <c r="A2326" t="s">
        <v>9262</v>
      </c>
      <c r="B2326" t="s">
        <v>3088</v>
      </c>
      <c r="C2326" t="s">
        <v>6935</v>
      </c>
      <c r="D2326" s="1">
        <v>45508</v>
      </c>
      <c r="E2326" s="1">
        <v>45513</v>
      </c>
      <c r="F2326" s="1">
        <v>45513</v>
      </c>
      <c r="G2326">
        <v>16.37</v>
      </c>
      <c r="H23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326" t="str">
        <f>IFERROR(INDEX(Raw_orders!G:G, MATCH(shipments[[#This Row],[order_id]],Raw_orders!A:A, 0)), "Unknown")</f>
        <v>Nordics</v>
      </c>
      <c r="J2326" t="str">
        <f>PROPER(shipments[[#This Row],[delivery_status]])</f>
        <v>Delivered</v>
      </c>
      <c r="K2326" t="s">
        <v>6929</v>
      </c>
    </row>
    <row r="2327" spans="1:11">
      <c r="A2327" t="s">
        <v>9263</v>
      </c>
      <c r="B2327" t="s">
        <v>3089</v>
      </c>
      <c r="C2327" t="s">
        <v>6921</v>
      </c>
      <c r="D2327" s="1">
        <v>45006</v>
      </c>
      <c r="E2327" s="1">
        <v>45016</v>
      </c>
      <c r="F2327" s="1">
        <v>45024</v>
      </c>
      <c r="G2327">
        <v>13.54</v>
      </c>
      <c r="H23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27" t="str">
        <f>IFERROR(INDEX(Raw_orders!G:G, MATCH(shipments[[#This Row],[order_id]],Raw_orders!A:A, 0)), "Unknown")</f>
        <v>Nordics</v>
      </c>
      <c r="J2327" t="str">
        <f>PROPER(shipments[[#This Row],[delivery_status]])</f>
        <v>Delivered</v>
      </c>
      <c r="K2327" t="s">
        <v>6922</v>
      </c>
    </row>
    <row r="2328" spans="1:11">
      <c r="A2328" t="s">
        <v>9264</v>
      </c>
      <c r="B2328" t="s">
        <v>3090</v>
      </c>
      <c r="C2328" t="s">
        <v>6940</v>
      </c>
      <c r="D2328" s="1">
        <v>45370</v>
      </c>
      <c r="E2328" s="1">
        <v>45375</v>
      </c>
      <c r="F2328" s="1">
        <v>45389</v>
      </c>
      <c r="G2328">
        <v>28.28</v>
      </c>
      <c r="H23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28" t="str">
        <f>IFERROR(INDEX(Raw_orders!G:G, MATCH(shipments[[#This Row],[order_id]],Raw_orders!A:A, 0)), "Unknown")</f>
        <v>Nordics</v>
      </c>
      <c r="J2328" t="str">
        <f>PROPER(shipments[[#This Row],[delivery_status]])</f>
        <v>Delivered</v>
      </c>
      <c r="K2328" t="s">
        <v>6926</v>
      </c>
    </row>
    <row r="2329" spans="1:11">
      <c r="A2329" t="s">
        <v>9265</v>
      </c>
      <c r="B2329" t="s">
        <v>3090</v>
      </c>
      <c r="C2329" t="s">
        <v>6935</v>
      </c>
      <c r="D2329" s="1">
        <v>45368</v>
      </c>
      <c r="E2329" s="1">
        <v>45371</v>
      </c>
      <c r="F2329" s="1">
        <v>45376</v>
      </c>
      <c r="G2329">
        <v>23.42</v>
      </c>
      <c r="H23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29" t="str">
        <f>IFERROR(INDEX(Raw_orders!G:G, MATCH(shipments[[#This Row],[order_id]],Raw_orders!A:A, 0)), "Unknown")</f>
        <v>Nordics</v>
      </c>
      <c r="J2329" t="str">
        <f>PROPER(shipments[[#This Row],[delivery_status]])</f>
        <v>Delivered</v>
      </c>
      <c r="K2329" t="s">
        <v>6926</v>
      </c>
    </row>
    <row r="2330" spans="1:11">
      <c r="A2330" t="s">
        <v>9266</v>
      </c>
      <c r="B2330" t="s">
        <v>3091</v>
      </c>
      <c r="C2330" t="s">
        <v>6949</v>
      </c>
      <c r="D2330" s="1">
        <v>45450</v>
      </c>
      <c r="E2330" s="1">
        <v>45453</v>
      </c>
      <c r="F2330" s="1">
        <v>45453</v>
      </c>
      <c r="G2330">
        <v>11.25</v>
      </c>
      <c r="H23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330" t="str">
        <f>IFERROR(INDEX(Raw_orders!G:G, MATCH(shipments[[#This Row],[order_id]],Raw_orders!A:A, 0)), "Unknown")</f>
        <v>Central Europe</v>
      </c>
      <c r="J2330" t="str">
        <f>PROPER(shipments[[#This Row],[delivery_status]])</f>
        <v>Delivered</v>
      </c>
      <c r="K2330" t="s">
        <v>6922</v>
      </c>
    </row>
    <row r="2331" spans="1:11">
      <c r="A2331" t="s">
        <v>9267</v>
      </c>
      <c r="B2331" t="s">
        <v>3092</v>
      </c>
      <c r="C2331" t="s">
        <v>6931</v>
      </c>
      <c r="D2331" s="1">
        <v>45499</v>
      </c>
      <c r="E2331" s="1">
        <v>45502</v>
      </c>
      <c r="F2331" s="1"/>
      <c r="G2331">
        <v>56.84</v>
      </c>
      <c r="H23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331" t="str">
        <f>IFERROR(INDEX(Raw_orders!G:G, MATCH(shipments[[#This Row],[order_id]],Raw_orders!A:A, 0)), "Unknown")</f>
        <v>Baltics</v>
      </c>
      <c r="J2331" t="str">
        <f>PROPER(shipments[[#This Row],[delivery_status]])</f>
        <v>In Transit</v>
      </c>
      <c r="K2331" t="s">
        <v>6958</v>
      </c>
    </row>
    <row r="2332" spans="1:11">
      <c r="A2332" t="s">
        <v>9268</v>
      </c>
      <c r="B2332" t="s">
        <v>3093</v>
      </c>
      <c r="C2332" t="s">
        <v>6921</v>
      </c>
      <c r="D2332" s="1">
        <v>45396</v>
      </c>
      <c r="E2332" s="1">
        <v>45406</v>
      </c>
      <c r="F2332" s="1">
        <v>45405</v>
      </c>
      <c r="G2332">
        <v>38.5</v>
      </c>
      <c r="H23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332" t="str">
        <f>IFERROR(INDEX(Raw_orders!G:G, MATCH(shipments[[#This Row],[order_id]],Raw_orders!A:A, 0)), "Unknown")</f>
        <v>Baltics</v>
      </c>
      <c r="J2332" t="str">
        <f>PROPER(shipments[[#This Row],[delivery_status]])</f>
        <v>Delivered</v>
      </c>
      <c r="K2332" t="s">
        <v>6926</v>
      </c>
    </row>
    <row r="2333" spans="1:11">
      <c r="A2333" t="s">
        <v>9269</v>
      </c>
      <c r="B2333" t="s">
        <v>3094</v>
      </c>
      <c r="C2333" t="s">
        <v>6938</v>
      </c>
      <c r="D2333" s="1">
        <v>45168</v>
      </c>
      <c r="E2333" s="1">
        <v>45178</v>
      </c>
      <c r="F2333" s="1">
        <v>45183</v>
      </c>
      <c r="G2333">
        <v>5.0599999999999996</v>
      </c>
      <c r="H23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33" t="str">
        <f>IFERROR(INDEX(Raw_orders!G:G, MATCH(shipments[[#This Row],[order_id]],Raw_orders!A:A, 0)), "Unknown")</f>
        <v>Nordics</v>
      </c>
      <c r="J2333" t="str">
        <f>PROPER(shipments[[#This Row],[delivery_status]])</f>
        <v>Delivered</v>
      </c>
      <c r="K2333" t="s">
        <v>6922</v>
      </c>
    </row>
    <row r="2334" spans="1:11">
      <c r="A2334" t="s">
        <v>9270</v>
      </c>
      <c r="B2334" t="s">
        <v>3095</v>
      </c>
      <c r="C2334" t="s">
        <v>6935</v>
      </c>
      <c r="D2334" s="1">
        <v>45468</v>
      </c>
      <c r="E2334" s="1">
        <v>45478</v>
      </c>
      <c r="F2334" s="1">
        <v>45478</v>
      </c>
      <c r="G2334">
        <v>12.5</v>
      </c>
      <c r="H23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334" t="str">
        <f>IFERROR(INDEX(Raw_orders!G:G, MATCH(shipments[[#This Row],[order_id]],Raw_orders!A:A, 0)), "Unknown")</f>
        <v>Nordics</v>
      </c>
      <c r="J2334" t="str">
        <f>PROPER(shipments[[#This Row],[delivery_status]])</f>
        <v>Delivered</v>
      </c>
      <c r="K2334" t="s">
        <v>6926</v>
      </c>
    </row>
    <row r="2335" spans="1:11">
      <c r="A2335" t="s">
        <v>9271</v>
      </c>
      <c r="B2335" t="s">
        <v>3096</v>
      </c>
      <c r="C2335" t="s">
        <v>6931</v>
      </c>
      <c r="D2335" s="1">
        <v>45364</v>
      </c>
      <c r="E2335" s="1">
        <v>45367</v>
      </c>
      <c r="F2335" s="1"/>
      <c r="G2335">
        <v>13.04</v>
      </c>
      <c r="H23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335" t="str">
        <f>IFERROR(INDEX(Raw_orders!G:G, MATCH(shipments[[#This Row],[order_id]],Raw_orders!A:A, 0)), "Unknown")</f>
        <v>Central Europe</v>
      </c>
      <c r="J2335" t="str">
        <f>PROPER(shipments[[#This Row],[delivery_status]])</f>
        <v>Cancelled</v>
      </c>
      <c r="K2335" t="s">
        <v>6972</v>
      </c>
    </row>
    <row r="2336" spans="1:11">
      <c r="A2336" t="s">
        <v>9272</v>
      </c>
      <c r="B2336" t="s">
        <v>3097</v>
      </c>
      <c r="C2336" t="s">
        <v>6921</v>
      </c>
      <c r="D2336" s="1">
        <v>45523</v>
      </c>
      <c r="E2336" s="1">
        <v>45525</v>
      </c>
      <c r="F2336" s="1">
        <v>45527</v>
      </c>
      <c r="G2336">
        <v>9.74</v>
      </c>
      <c r="H23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36" t="str">
        <f>IFERROR(INDEX(Raw_orders!G:G, MATCH(shipments[[#This Row],[order_id]],Raw_orders!A:A, 0)), "Unknown")</f>
        <v>Central Europe</v>
      </c>
      <c r="J2336" t="str">
        <f>PROPER(shipments[[#This Row],[delivery_status]])</f>
        <v>Delivered</v>
      </c>
      <c r="K2336" t="s">
        <v>6926</v>
      </c>
    </row>
    <row r="2337" spans="1:11">
      <c r="A2337" t="s">
        <v>9273</v>
      </c>
      <c r="B2337" t="s">
        <v>3098</v>
      </c>
      <c r="C2337" t="s">
        <v>6928</v>
      </c>
      <c r="D2337" s="1">
        <v>45013</v>
      </c>
      <c r="E2337" s="1">
        <v>45023</v>
      </c>
      <c r="F2337" s="1">
        <v>45032</v>
      </c>
      <c r="G2337">
        <v>37.29</v>
      </c>
      <c r="H23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37" t="str">
        <f>IFERROR(INDEX(Raw_orders!G:G, MATCH(shipments[[#This Row],[order_id]],Raw_orders!A:A, 0)), "Unknown")</f>
        <v>Central Europe</v>
      </c>
      <c r="J2337" t="str">
        <f>PROPER(shipments[[#This Row],[delivery_status]])</f>
        <v>Delivered</v>
      </c>
      <c r="K2337" t="s">
        <v>6922</v>
      </c>
    </row>
    <row r="2338" spans="1:11">
      <c r="A2338" t="s">
        <v>9274</v>
      </c>
      <c r="B2338" t="s">
        <v>3099</v>
      </c>
      <c r="C2338" t="s">
        <v>6935</v>
      </c>
      <c r="D2338" s="1">
        <v>44938</v>
      </c>
      <c r="E2338" s="1">
        <v>44948</v>
      </c>
      <c r="F2338" s="1">
        <v>44948</v>
      </c>
      <c r="G2338">
        <v>39.39</v>
      </c>
      <c r="H23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338" t="str">
        <f>IFERROR(INDEX(Raw_orders!G:G, MATCH(shipments[[#This Row],[order_id]],Raw_orders!A:A, 0)), "Unknown")</f>
        <v>Baltics</v>
      </c>
      <c r="J2338" t="str">
        <f>PROPER(shipments[[#This Row],[delivery_status]])</f>
        <v>Delivered</v>
      </c>
      <c r="K2338" t="s">
        <v>6922</v>
      </c>
    </row>
    <row r="2339" spans="1:11">
      <c r="A2339" t="s">
        <v>9275</v>
      </c>
      <c r="B2339" t="s">
        <v>3100</v>
      </c>
      <c r="C2339" t="s">
        <v>6931</v>
      </c>
      <c r="D2339" s="1">
        <v>45259</v>
      </c>
      <c r="E2339" s="1">
        <v>45262</v>
      </c>
      <c r="F2339" s="1">
        <v>45266</v>
      </c>
      <c r="G2339">
        <v>36.33</v>
      </c>
      <c r="H23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39" t="str">
        <f>IFERROR(INDEX(Raw_orders!G:G, MATCH(shipments[[#This Row],[order_id]],Raw_orders!A:A, 0)), "Unknown")</f>
        <v>Baltics</v>
      </c>
      <c r="J2339" t="str">
        <f>PROPER(shipments[[#This Row],[delivery_status]])</f>
        <v>Delivered</v>
      </c>
      <c r="K2339" t="s">
        <v>6929</v>
      </c>
    </row>
    <row r="2340" spans="1:11">
      <c r="A2340" t="s">
        <v>9276</v>
      </c>
      <c r="B2340" t="s">
        <v>3101</v>
      </c>
      <c r="C2340" t="s">
        <v>6925</v>
      </c>
      <c r="D2340" s="1">
        <v>45419</v>
      </c>
      <c r="E2340" s="1">
        <v>45429</v>
      </c>
      <c r="F2340" s="1"/>
      <c r="G2340">
        <v>6.97</v>
      </c>
      <c r="H23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340" t="str">
        <f>IFERROR(INDEX(Raw_orders!G:G, MATCH(shipments[[#This Row],[order_id]],Raw_orders!A:A, 0)), "Unknown")</f>
        <v>Baltics</v>
      </c>
      <c r="J2340" t="str">
        <f>PROPER(shipments[[#This Row],[delivery_status]])</f>
        <v>Cancelled</v>
      </c>
      <c r="K2340" t="s">
        <v>6972</v>
      </c>
    </row>
    <row r="2341" spans="1:11">
      <c r="A2341" t="s">
        <v>9277</v>
      </c>
      <c r="B2341" t="s">
        <v>3102</v>
      </c>
      <c r="C2341" t="s">
        <v>6938</v>
      </c>
      <c r="D2341" s="1">
        <v>45470</v>
      </c>
      <c r="E2341" s="1">
        <v>45472</v>
      </c>
      <c r="F2341" s="1"/>
      <c r="G2341">
        <v>26.45</v>
      </c>
      <c r="H23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341" t="str">
        <f>IFERROR(INDEX(Raw_orders!G:G, MATCH(shipments[[#This Row],[order_id]],Raw_orders!A:A, 0)), "Unknown")</f>
        <v>Nordics</v>
      </c>
      <c r="J2341" t="str">
        <f>PROPER(shipments[[#This Row],[delivery_status]])</f>
        <v>Cancelled</v>
      </c>
      <c r="K2341" t="s">
        <v>6979</v>
      </c>
    </row>
    <row r="2342" spans="1:11">
      <c r="A2342" t="s">
        <v>9278</v>
      </c>
      <c r="B2342" t="s">
        <v>3103</v>
      </c>
      <c r="C2342" t="s">
        <v>6928</v>
      </c>
      <c r="D2342" s="1">
        <v>45053</v>
      </c>
      <c r="E2342" s="1">
        <v>45056</v>
      </c>
      <c r="F2342" s="1">
        <v>45059</v>
      </c>
      <c r="G2342">
        <v>63.64</v>
      </c>
      <c r="H23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42" t="str">
        <f>IFERROR(INDEX(Raw_orders!G:G, MATCH(shipments[[#This Row],[order_id]],Raw_orders!A:A, 0)), "Unknown")</f>
        <v>Central Europe</v>
      </c>
      <c r="J2342" t="str">
        <f>PROPER(shipments[[#This Row],[delivery_status]])</f>
        <v>Delivered</v>
      </c>
      <c r="K2342" t="s">
        <v>6926</v>
      </c>
    </row>
    <row r="2343" spans="1:11">
      <c r="A2343" t="s">
        <v>9279</v>
      </c>
      <c r="B2343" t="s">
        <v>3104</v>
      </c>
      <c r="C2343" t="s">
        <v>6935</v>
      </c>
      <c r="D2343" s="1">
        <v>45397</v>
      </c>
      <c r="E2343" s="1">
        <v>45399</v>
      </c>
      <c r="F2343" s="1">
        <v>45413</v>
      </c>
      <c r="G2343">
        <v>42.01</v>
      </c>
      <c r="H23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43" t="str">
        <f>IFERROR(INDEX(Raw_orders!G:G, MATCH(shipments[[#This Row],[order_id]],Raw_orders!A:A, 0)), "Unknown")</f>
        <v>Nordics</v>
      </c>
      <c r="J2343" t="str">
        <f>PROPER(shipments[[#This Row],[delivery_status]])</f>
        <v>Delivered</v>
      </c>
      <c r="K2343" t="s">
        <v>6926</v>
      </c>
    </row>
    <row r="2344" spans="1:11">
      <c r="A2344" t="s">
        <v>9280</v>
      </c>
      <c r="B2344" t="s">
        <v>3105</v>
      </c>
      <c r="C2344" t="s">
        <v>6938</v>
      </c>
      <c r="D2344" s="1">
        <v>45020</v>
      </c>
      <c r="E2344" s="1">
        <v>45030</v>
      </c>
      <c r="F2344" s="1">
        <v>45032</v>
      </c>
      <c r="G2344">
        <v>19.989999999999998</v>
      </c>
      <c r="H23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44" t="str">
        <f>IFERROR(INDEX(Raw_orders!G:G, MATCH(shipments[[#This Row],[order_id]],Raw_orders!A:A, 0)), "Unknown")</f>
        <v>Nordics</v>
      </c>
      <c r="J2344" t="str">
        <f>PROPER(shipments[[#This Row],[delivery_status]])</f>
        <v>Delivered</v>
      </c>
      <c r="K2344" t="s">
        <v>6922</v>
      </c>
    </row>
    <row r="2345" spans="1:11">
      <c r="A2345" t="s">
        <v>9281</v>
      </c>
      <c r="B2345" t="s">
        <v>3106</v>
      </c>
      <c r="C2345" t="s">
        <v>6940</v>
      </c>
      <c r="D2345" s="1">
        <v>44931</v>
      </c>
      <c r="E2345" s="1">
        <v>44941</v>
      </c>
      <c r="F2345" s="1"/>
      <c r="G2345">
        <v>12.05</v>
      </c>
      <c r="H23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345" t="str">
        <f>IFERROR(INDEX(Raw_orders!G:G, MATCH(shipments[[#This Row],[order_id]],Raw_orders!A:A, 0)), "Unknown")</f>
        <v>Central Europe</v>
      </c>
      <c r="J2345" t="str">
        <f>PROPER(shipments[[#This Row],[delivery_status]])</f>
        <v>In Transit</v>
      </c>
      <c r="K2345" t="s">
        <v>6958</v>
      </c>
    </row>
    <row r="2346" spans="1:11">
      <c r="A2346" t="s">
        <v>9282</v>
      </c>
      <c r="B2346" t="s">
        <v>3107</v>
      </c>
      <c r="C2346" t="s">
        <v>6940</v>
      </c>
      <c r="D2346" s="1">
        <v>45406</v>
      </c>
      <c r="E2346" s="1">
        <v>45411</v>
      </c>
      <c r="F2346" s="1"/>
      <c r="G2346">
        <v>39.880000000000003</v>
      </c>
      <c r="H23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346" t="str">
        <f>IFERROR(INDEX(Raw_orders!G:G, MATCH(shipments[[#This Row],[order_id]],Raw_orders!A:A, 0)), "Unknown")</f>
        <v>Central Europe</v>
      </c>
      <c r="J2346" t="str">
        <f>PROPER(shipments[[#This Row],[delivery_status]])</f>
        <v>In Transit</v>
      </c>
      <c r="K2346" t="s">
        <v>6977</v>
      </c>
    </row>
    <row r="2347" spans="1:11">
      <c r="A2347" t="s">
        <v>9283</v>
      </c>
      <c r="B2347" t="s">
        <v>3108</v>
      </c>
      <c r="C2347" t="s">
        <v>6921</v>
      </c>
      <c r="D2347" s="1">
        <v>44975</v>
      </c>
      <c r="E2347" s="1">
        <v>44982</v>
      </c>
      <c r="F2347" s="1">
        <v>44993</v>
      </c>
      <c r="G2347">
        <v>40.4</v>
      </c>
      <c r="H23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47" t="str">
        <f>IFERROR(INDEX(Raw_orders!G:G, MATCH(shipments[[#This Row],[order_id]],Raw_orders!A:A, 0)), "Unknown")</f>
        <v>Nordics</v>
      </c>
      <c r="J2347" t="str">
        <f>PROPER(shipments[[#This Row],[delivery_status]])</f>
        <v>Delivered</v>
      </c>
      <c r="K2347" t="s">
        <v>6926</v>
      </c>
    </row>
    <row r="2348" spans="1:11">
      <c r="A2348" t="s">
        <v>9284</v>
      </c>
      <c r="B2348" t="s">
        <v>3109</v>
      </c>
      <c r="C2348" t="s">
        <v>6956</v>
      </c>
      <c r="D2348" s="1">
        <v>45547</v>
      </c>
      <c r="E2348" s="1">
        <v>45549</v>
      </c>
      <c r="F2348" s="1">
        <v>45549</v>
      </c>
      <c r="G2348">
        <v>35.75</v>
      </c>
      <c r="H23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348" t="str">
        <f>IFERROR(INDEX(Raw_orders!G:G, MATCH(shipments[[#This Row],[order_id]],Raw_orders!A:A, 0)), "Unknown")</f>
        <v>Nordics</v>
      </c>
      <c r="J2348" t="str">
        <f>PROPER(shipments[[#This Row],[delivery_status]])</f>
        <v>Delivered</v>
      </c>
      <c r="K2348" t="s">
        <v>6929</v>
      </c>
    </row>
    <row r="2349" spans="1:11">
      <c r="A2349" t="s">
        <v>9285</v>
      </c>
      <c r="B2349" t="s">
        <v>3110</v>
      </c>
      <c r="C2349" t="s">
        <v>6928</v>
      </c>
      <c r="D2349" s="1">
        <v>44961</v>
      </c>
      <c r="E2349" s="1">
        <v>44963</v>
      </c>
      <c r="F2349" s="1">
        <v>44968</v>
      </c>
      <c r="G2349">
        <v>44.43</v>
      </c>
      <c r="H23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49" t="str">
        <f>IFERROR(INDEX(Raw_orders!G:G, MATCH(shipments[[#This Row],[order_id]],Raw_orders!A:A, 0)), "Unknown")</f>
        <v>Central Europe</v>
      </c>
      <c r="J2349" t="str">
        <f>PROPER(shipments[[#This Row],[delivery_status]])</f>
        <v>Delivered</v>
      </c>
      <c r="K2349" t="s">
        <v>6922</v>
      </c>
    </row>
    <row r="2350" spans="1:11">
      <c r="A2350" t="s">
        <v>9286</v>
      </c>
      <c r="B2350" t="s">
        <v>3111</v>
      </c>
      <c r="C2350" t="s">
        <v>6921</v>
      </c>
      <c r="D2350" s="1">
        <v>45345</v>
      </c>
      <c r="E2350" s="1">
        <v>45352</v>
      </c>
      <c r="F2350" s="1"/>
      <c r="G2350">
        <v>11.62</v>
      </c>
      <c r="H23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350" t="str">
        <f>IFERROR(INDEX(Raw_orders!G:G, MATCH(shipments[[#This Row],[order_id]],Raw_orders!A:A, 0)), "Unknown")</f>
        <v>Central Europe</v>
      </c>
      <c r="J2350" t="str">
        <f>PROPER(shipments[[#This Row],[delivery_status]])</f>
        <v>In Transit</v>
      </c>
      <c r="K2350" t="s">
        <v>6946</v>
      </c>
    </row>
    <row r="2351" spans="1:11">
      <c r="A2351" t="s">
        <v>9287</v>
      </c>
      <c r="B2351" t="s">
        <v>3112</v>
      </c>
      <c r="C2351" t="s">
        <v>6925</v>
      </c>
      <c r="D2351" s="1">
        <v>45143</v>
      </c>
      <c r="E2351" s="1">
        <v>45145</v>
      </c>
      <c r="F2351" s="1">
        <v>45145</v>
      </c>
      <c r="G2351">
        <v>33.619999999999997</v>
      </c>
      <c r="H23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351" t="str">
        <f>IFERROR(INDEX(Raw_orders!G:G, MATCH(shipments[[#This Row],[order_id]],Raw_orders!A:A, 0)), "Unknown")</f>
        <v>Nordics</v>
      </c>
      <c r="J2351" t="str">
        <f>PROPER(shipments[[#This Row],[delivery_status]])</f>
        <v>Delivered</v>
      </c>
      <c r="K2351" t="s">
        <v>6922</v>
      </c>
    </row>
    <row r="2352" spans="1:11">
      <c r="A2352" t="s">
        <v>9288</v>
      </c>
      <c r="B2352" t="s">
        <v>3113</v>
      </c>
      <c r="C2352" t="s">
        <v>6931</v>
      </c>
      <c r="D2352" s="1">
        <v>45388</v>
      </c>
      <c r="E2352" s="1">
        <v>45390</v>
      </c>
      <c r="F2352" s="1">
        <v>45397</v>
      </c>
      <c r="G2352">
        <v>4.8899999999999997</v>
      </c>
      <c r="H23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52" t="str">
        <f>IFERROR(INDEX(Raw_orders!G:G, MATCH(shipments[[#This Row],[order_id]],Raw_orders!A:A, 0)), "Unknown")</f>
        <v>Nordics</v>
      </c>
      <c r="J2352" t="str">
        <f>PROPER(shipments[[#This Row],[delivery_status]])</f>
        <v>Delivered</v>
      </c>
      <c r="K2352" t="s">
        <v>6926</v>
      </c>
    </row>
    <row r="2353" spans="1:11">
      <c r="A2353" t="s">
        <v>9289</v>
      </c>
      <c r="B2353" t="s">
        <v>3114</v>
      </c>
      <c r="C2353" t="s">
        <v>6956</v>
      </c>
      <c r="D2353" s="1">
        <v>45222</v>
      </c>
      <c r="E2353" s="1">
        <v>45232</v>
      </c>
      <c r="F2353" s="1">
        <v>45235</v>
      </c>
      <c r="G2353">
        <v>52.08</v>
      </c>
      <c r="H23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53" t="str">
        <f>IFERROR(INDEX(Raw_orders!G:G, MATCH(shipments[[#This Row],[order_id]],Raw_orders!A:A, 0)), "Unknown")</f>
        <v>Central Europe</v>
      </c>
      <c r="J2353" t="str">
        <f>PROPER(shipments[[#This Row],[delivery_status]])</f>
        <v>Delivered</v>
      </c>
      <c r="K2353" t="s">
        <v>6926</v>
      </c>
    </row>
    <row r="2354" spans="1:11">
      <c r="A2354" t="s">
        <v>9290</v>
      </c>
      <c r="B2354" t="s">
        <v>3115</v>
      </c>
      <c r="C2354" t="s">
        <v>6956</v>
      </c>
      <c r="D2354" s="1">
        <v>45497</v>
      </c>
      <c r="E2354" s="1">
        <v>45500</v>
      </c>
      <c r="F2354" s="1">
        <v>45500</v>
      </c>
      <c r="G2354">
        <v>20.93</v>
      </c>
      <c r="H23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354" t="str">
        <f>IFERROR(INDEX(Raw_orders!G:G, MATCH(shipments[[#This Row],[order_id]],Raw_orders!A:A, 0)), "Unknown")</f>
        <v>Baltics</v>
      </c>
      <c r="J2354" t="str">
        <f>PROPER(shipments[[#This Row],[delivery_status]])</f>
        <v>Delivered</v>
      </c>
      <c r="K2354" t="s">
        <v>6926</v>
      </c>
    </row>
    <row r="2355" spans="1:11">
      <c r="A2355" t="s">
        <v>9291</v>
      </c>
      <c r="B2355" t="s">
        <v>3116</v>
      </c>
      <c r="C2355" t="s">
        <v>6928</v>
      </c>
      <c r="D2355" s="1">
        <v>45537</v>
      </c>
      <c r="E2355" s="1">
        <v>45542</v>
      </c>
      <c r="F2355" s="1">
        <v>45555</v>
      </c>
      <c r="G2355">
        <v>53.03</v>
      </c>
      <c r="H23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55" t="str">
        <f>IFERROR(INDEX(Raw_orders!G:G, MATCH(shipments[[#This Row],[order_id]],Raw_orders!A:A, 0)), "Unknown")</f>
        <v>Baltics</v>
      </c>
      <c r="J2355" t="str">
        <f>PROPER(shipments[[#This Row],[delivery_status]])</f>
        <v>Delivered</v>
      </c>
      <c r="K2355" t="s">
        <v>6922</v>
      </c>
    </row>
    <row r="2356" spans="1:11">
      <c r="A2356" t="s">
        <v>9292</v>
      </c>
      <c r="B2356" t="s">
        <v>3117</v>
      </c>
      <c r="C2356" t="s">
        <v>6938</v>
      </c>
      <c r="D2356" s="1">
        <v>45042</v>
      </c>
      <c r="E2356" s="1">
        <v>45044</v>
      </c>
      <c r="F2356" s="1">
        <v>45052</v>
      </c>
      <c r="G2356">
        <v>50.46</v>
      </c>
      <c r="H23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56" t="str">
        <f>IFERROR(INDEX(Raw_orders!G:G, MATCH(shipments[[#This Row],[order_id]],Raw_orders!A:A, 0)), "Unknown")</f>
        <v>Nordics</v>
      </c>
      <c r="J2356" t="str">
        <f>PROPER(shipments[[#This Row],[delivery_status]])</f>
        <v>Delivered</v>
      </c>
      <c r="K2356" t="s">
        <v>6922</v>
      </c>
    </row>
    <row r="2357" spans="1:11">
      <c r="A2357" t="s">
        <v>9293</v>
      </c>
      <c r="B2357" t="s">
        <v>3118</v>
      </c>
      <c r="C2357" t="s">
        <v>6935</v>
      </c>
      <c r="D2357" s="1">
        <v>44962</v>
      </c>
      <c r="E2357" s="1">
        <v>44965</v>
      </c>
      <c r="F2357" s="1">
        <v>44965</v>
      </c>
      <c r="G2357">
        <v>59.53</v>
      </c>
      <c r="H23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357" t="str">
        <f>IFERROR(INDEX(Raw_orders!G:G, MATCH(shipments[[#This Row],[order_id]],Raw_orders!A:A, 0)), "Unknown")</f>
        <v>Central Europe</v>
      </c>
      <c r="J2357" t="str">
        <f>PROPER(shipments[[#This Row],[delivery_status]])</f>
        <v>Delivered</v>
      </c>
      <c r="K2357" t="s">
        <v>6929</v>
      </c>
    </row>
    <row r="2358" spans="1:11">
      <c r="A2358" t="s">
        <v>9294</v>
      </c>
      <c r="B2358" t="s">
        <v>3119</v>
      </c>
      <c r="C2358" t="s">
        <v>6925</v>
      </c>
      <c r="D2358" s="1">
        <v>44943</v>
      </c>
      <c r="E2358" s="1">
        <v>44953</v>
      </c>
      <c r="F2358" s="1">
        <v>44952</v>
      </c>
      <c r="G2358">
        <v>42.84</v>
      </c>
      <c r="H23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358" t="str">
        <f>IFERROR(INDEX(Raw_orders!G:G, MATCH(shipments[[#This Row],[order_id]],Raw_orders!A:A, 0)), "Unknown")</f>
        <v>Nordics</v>
      </c>
      <c r="J2358" t="str">
        <f>PROPER(shipments[[#This Row],[delivery_status]])</f>
        <v>Delivered</v>
      </c>
      <c r="K2358" t="s">
        <v>6926</v>
      </c>
    </row>
    <row r="2359" spans="1:11">
      <c r="A2359" t="s">
        <v>9295</v>
      </c>
      <c r="B2359" t="s">
        <v>3120</v>
      </c>
      <c r="C2359" t="s">
        <v>6928</v>
      </c>
      <c r="D2359" s="1">
        <v>45218</v>
      </c>
      <c r="E2359" s="1">
        <v>45220</v>
      </c>
      <c r="F2359" s="1">
        <v>45220</v>
      </c>
      <c r="G2359">
        <v>51.89</v>
      </c>
      <c r="H23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359" t="str">
        <f>IFERROR(INDEX(Raw_orders!G:G, MATCH(shipments[[#This Row],[order_id]],Raw_orders!A:A, 0)), "Unknown")</f>
        <v>Nordics</v>
      </c>
      <c r="J2359" t="str">
        <f>PROPER(shipments[[#This Row],[delivery_status]])</f>
        <v>Delivered</v>
      </c>
      <c r="K2359" t="s">
        <v>6922</v>
      </c>
    </row>
    <row r="2360" spans="1:11">
      <c r="A2360" t="s">
        <v>9296</v>
      </c>
      <c r="B2360" t="s">
        <v>3121</v>
      </c>
      <c r="C2360" t="s">
        <v>6938</v>
      </c>
      <c r="D2360" s="1">
        <v>45080</v>
      </c>
      <c r="E2360" s="1">
        <v>45082</v>
      </c>
      <c r="F2360" s="1">
        <v>45082</v>
      </c>
      <c r="G2360">
        <v>38.69</v>
      </c>
      <c r="H23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360" t="str">
        <f>IFERROR(INDEX(Raw_orders!G:G, MATCH(shipments[[#This Row],[order_id]],Raw_orders!A:A, 0)), "Unknown")</f>
        <v>Central Europe</v>
      </c>
      <c r="J2360" t="str">
        <f>PROPER(shipments[[#This Row],[delivery_status]])</f>
        <v>Delivered</v>
      </c>
      <c r="K2360" t="s">
        <v>6922</v>
      </c>
    </row>
    <row r="2361" spans="1:11">
      <c r="A2361" t="s">
        <v>9297</v>
      </c>
      <c r="B2361" t="s">
        <v>3122</v>
      </c>
      <c r="C2361" t="s">
        <v>6921</v>
      </c>
      <c r="D2361" s="1">
        <v>45065</v>
      </c>
      <c r="E2361" s="1">
        <v>45067</v>
      </c>
      <c r="F2361" s="1">
        <v>45074</v>
      </c>
      <c r="G2361">
        <v>34.380000000000003</v>
      </c>
      <c r="H23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61" t="str">
        <f>IFERROR(INDEX(Raw_orders!G:G, MATCH(shipments[[#This Row],[order_id]],Raw_orders!A:A, 0)), "Unknown")</f>
        <v>Baltics</v>
      </c>
      <c r="J2361" t="str">
        <f>PROPER(shipments[[#This Row],[delivery_status]])</f>
        <v>Delivered</v>
      </c>
      <c r="K2361" t="s">
        <v>6922</v>
      </c>
    </row>
    <row r="2362" spans="1:11">
      <c r="A2362" t="s">
        <v>9298</v>
      </c>
      <c r="B2362" t="s">
        <v>3123</v>
      </c>
      <c r="C2362" t="s">
        <v>6938</v>
      </c>
      <c r="D2362" s="1">
        <v>44950</v>
      </c>
      <c r="E2362" s="1">
        <v>44957</v>
      </c>
      <c r="F2362" s="1"/>
      <c r="G2362">
        <v>19.78</v>
      </c>
      <c r="H23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362" t="str">
        <f>IFERROR(INDEX(Raw_orders!G:G, MATCH(shipments[[#This Row],[order_id]],Raw_orders!A:A, 0)), "Unknown")</f>
        <v>Baltics</v>
      </c>
      <c r="J2362" t="str">
        <f>PROPER(shipments[[#This Row],[delivery_status]])</f>
        <v>Cancelled</v>
      </c>
      <c r="K2362" t="s">
        <v>6979</v>
      </c>
    </row>
    <row r="2363" spans="1:11">
      <c r="A2363" t="s">
        <v>9299</v>
      </c>
      <c r="B2363" t="s">
        <v>3124</v>
      </c>
      <c r="C2363" t="s">
        <v>6938</v>
      </c>
      <c r="D2363" s="1">
        <v>45453</v>
      </c>
      <c r="E2363" s="1">
        <v>45456</v>
      </c>
      <c r="F2363" s="1">
        <v>45457</v>
      </c>
      <c r="G2363">
        <v>64.91</v>
      </c>
      <c r="H23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63" t="str">
        <f>IFERROR(INDEX(Raw_orders!G:G, MATCH(shipments[[#This Row],[order_id]],Raw_orders!A:A, 0)), "Unknown")</f>
        <v>Nordics</v>
      </c>
      <c r="J2363" t="str">
        <f>PROPER(shipments[[#This Row],[delivery_status]])</f>
        <v>Delivered</v>
      </c>
      <c r="K2363" t="s">
        <v>6929</v>
      </c>
    </row>
    <row r="2364" spans="1:11">
      <c r="A2364" t="s">
        <v>9300</v>
      </c>
      <c r="B2364" t="s">
        <v>3125</v>
      </c>
      <c r="C2364" t="s">
        <v>6928</v>
      </c>
      <c r="D2364" s="1">
        <v>45364</v>
      </c>
      <c r="E2364" s="1">
        <v>45366</v>
      </c>
      <c r="F2364" s="1"/>
      <c r="G2364">
        <v>43.89</v>
      </c>
      <c r="H23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364" t="str">
        <f>IFERROR(INDEX(Raw_orders!G:G, MATCH(shipments[[#This Row],[order_id]],Raw_orders!A:A, 0)), "Unknown")</f>
        <v>Central Europe</v>
      </c>
      <c r="J2364" t="str">
        <f>PROPER(shipments[[#This Row],[delivery_status]])</f>
        <v>In Transit</v>
      </c>
      <c r="K2364" t="s">
        <v>6977</v>
      </c>
    </row>
    <row r="2365" spans="1:11">
      <c r="A2365" t="s">
        <v>9301</v>
      </c>
      <c r="B2365" t="s">
        <v>3126</v>
      </c>
      <c r="C2365" t="s">
        <v>6925</v>
      </c>
      <c r="D2365" s="1">
        <v>45232</v>
      </c>
      <c r="E2365" s="1">
        <v>45239</v>
      </c>
      <c r="F2365" s="1">
        <v>45239</v>
      </c>
      <c r="G2365">
        <v>49.96</v>
      </c>
      <c r="H23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365" t="str">
        <f>IFERROR(INDEX(Raw_orders!G:G, MATCH(shipments[[#This Row],[order_id]],Raw_orders!A:A, 0)), "Unknown")</f>
        <v>Central Europe</v>
      </c>
      <c r="J2365" t="str">
        <f>PROPER(shipments[[#This Row],[delivery_status]])</f>
        <v>Delivered</v>
      </c>
      <c r="K2365" t="s">
        <v>6922</v>
      </c>
    </row>
    <row r="2366" spans="1:11">
      <c r="A2366" t="s">
        <v>9302</v>
      </c>
      <c r="B2366" t="s">
        <v>3127</v>
      </c>
      <c r="C2366" t="s">
        <v>6935</v>
      </c>
      <c r="D2366" s="1">
        <v>45337</v>
      </c>
      <c r="E2366" s="1">
        <v>45347</v>
      </c>
      <c r="F2366" s="1">
        <v>45349</v>
      </c>
      <c r="G2366">
        <v>57.59</v>
      </c>
      <c r="H23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66" t="str">
        <f>IFERROR(INDEX(Raw_orders!G:G, MATCH(shipments[[#This Row],[order_id]],Raw_orders!A:A, 0)), "Unknown")</f>
        <v>Central Europe</v>
      </c>
      <c r="J2366" t="str">
        <f>PROPER(shipments[[#This Row],[delivery_status]])</f>
        <v>Delivered</v>
      </c>
      <c r="K2366" t="s">
        <v>6922</v>
      </c>
    </row>
    <row r="2367" spans="1:11">
      <c r="A2367" t="s">
        <v>9303</v>
      </c>
      <c r="B2367" t="s">
        <v>3128</v>
      </c>
      <c r="C2367" t="s">
        <v>6931</v>
      </c>
      <c r="D2367" s="1">
        <v>45070</v>
      </c>
      <c r="E2367" s="1">
        <v>45077</v>
      </c>
      <c r="F2367" s="1">
        <v>45077</v>
      </c>
      <c r="G2367">
        <v>23.93</v>
      </c>
      <c r="H23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367" t="str">
        <f>IFERROR(INDEX(Raw_orders!G:G, MATCH(shipments[[#This Row],[order_id]],Raw_orders!A:A, 0)), "Unknown")</f>
        <v>Nordics</v>
      </c>
      <c r="J2367" t="str">
        <f>PROPER(shipments[[#This Row],[delivery_status]])</f>
        <v>Delivered</v>
      </c>
      <c r="K2367" t="s">
        <v>6926</v>
      </c>
    </row>
    <row r="2368" spans="1:11">
      <c r="A2368" t="s">
        <v>9304</v>
      </c>
      <c r="B2368" t="s">
        <v>3129</v>
      </c>
      <c r="C2368" t="s">
        <v>6928</v>
      </c>
      <c r="D2368" s="1">
        <v>44990</v>
      </c>
      <c r="E2368" s="1">
        <v>44995</v>
      </c>
      <c r="F2368" s="1">
        <v>45000</v>
      </c>
      <c r="G2368">
        <v>48.21</v>
      </c>
      <c r="H23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68" t="str">
        <f>IFERROR(INDEX(Raw_orders!G:G, MATCH(shipments[[#This Row],[order_id]],Raw_orders!A:A, 0)), "Unknown")</f>
        <v>Central Europe</v>
      </c>
      <c r="J2368" t="str">
        <f>PROPER(shipments[[#This Row],[delivery_status]])</f>
        <v>Delivered</v>
      </c>
      <c r="K2368" t="s">
        <v>6926</v>
      </c>
    </row>
    <row r="2369" spans="1:11">
      <c r="A2369" t="s">
        <v>9305</v>
      </c>
      <c r="B2369" t="s">
        <v>3130</v>
      </c>
      <c r="C2369" t="s">
        <v>6935</v>
      </c>
      <c r="D2369" s="1">
        <v>45052</v>
      </c>
      <c r="E2369" s="1">
        <v>45057</v>
      </c>
      <c r="F2369" s="1">
        <v>45061</v>
      </c>
      <c r="G2369">
        <v>33.06</v>
      </c>
      <c r="H23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69" t="str">
        <f>IFERROR(INDEX(Raw_orders!G:G, MATCH(shipments[[#This Row],[order_id]],Raw_orders!A:A, 0)), "Unknown")</f>
        <v>Baltics</v>
      </c>
      <c r="J2369" t="str">
        <f>PROPER(shipments[[#This Row],[delivery_status]])</f>
        <v>Delivered</v>
      </c>
      <c r="K2369" t="s">
        <v>6929</v>
      </c>
    </row>
    <row r="2370" spans="1:11">
      <c r="A2370" t="s">
        <v>9306</v>
      </c>
      <c r="B2370" t="s">
        <v>3131</v>
      </c>
      <c r="C2370" t="s">
        <v>6956</v>
      </c>
      <c r="D2370" s="1">
        <v>45439</v>
      </c>
      <c r="E2370" s="1">
        <v>45444</v>
      </c>
      <c r="F2370" s="1">
        <v>45444</v>
      </c>
      <c r="G2370">
        <v>24.8</v>
      </c>
      <c r="H23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370" t="str">
        <f>IFERROR(INDEX(Raw_orders!G:G, MATCH(shipments[[#This Row],[order_id]],Raw_orders!A:A, 0)), "Unknown")</f>
        <v>Central Europe</v>
      </c>
      <c r="J2370" t="str">
        <f>PROPER(shipments[[#This Row],[delivery_status]])</f>
        <v>Delivered</v>
      </c>
      <c r="K2370" t="s">
        <v>6922</v>
      </c>
    </row>
    <row r="2371" spans="1:11">
      <c r="A2371" t="s">
        <v>9307</v>
      </c>
      <c r="B2371" t="s">
        <v>3132</v>
      </c>
      <c r="C2371" t="s">
        <v>6956</v>
      </c>
      <c r="D2371" s="1">
        <v>44957</v>
      </c>
      <c r="E2371" s="1">
        <v>44962</v>
      </c>
      <c r="F2371" s="1">
        <v>44965</v>
      </c>
      <c r="G2371">
        <v>58.24</v>
      </c>
      <c r="H23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71" t="str">
        <f>IFERROR(INDEX(Raw_orders!G:G, MATCH(shipments[[#This Row],[order_id]],Raw_orders!A:A, 0)), "Unknown")</f>
        <v>Central Europe</v>
      </c>
      <c r="J2371" t="str">
        <f>PROPER(shipments[[#This Row],[delivery_status]])</f>
        <v>Delivered</v>
      </c>
      <c r="K2371" t="s">
        <v>6926</v>
      </c>
    </row>
    <row r="2372" spans="1:11">
      <c r="A2372" t="s">
        <v>9308</v>
      </c>
      <c r="B2372" t="s">
        <v>3133</v>
      </c>
      <c r="C2372" t="s">
        <v>6921</v>
      </c>
      <c r="D2372" s="1">
        <v>44967</v>
      </c>
      <c r="E2372" s="1">
        <v>44972</v>
      </c>
      <c r="F2372" s="1"/>
      <c r="G2372">
        <v>32.5</v>
      </c>
      <c r="H23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372" t="str">
        <f>IFERROR(INDEX(Raw_orders!G:G, MATCH(shipments[[#This Row],[order_id]],Raw_orders!A:A, 0)), "Unknown")</f>
        <v>Nordics</v>
      </c>
      <c r="J2372" t="str">
        <f>PROPER(shipments[[#This Row],[delivery_status]])</f>
        <v>Cancelled</v>
      </c>
      <c r="K2372" t="s">
        <v>6979</v>
      </c>
    </row>
    <row r="2373" spans="1:11">
      <c r="A2373" t="s">
        <v>9309</v>
      </c>
      <c r="B2373" t="s">
        <v>3134</v>
      </c>
      <c r="C2373" t="s">
        <v>6928</v>
      </c>
      <c r="D2373" s="1">
        <v>44939</v>
      </c>
      <c r="E2373" s="1">
        <v>44946</v>
      </c>
      <c r="F2373" s="1">
        <v>44953</v>
      </c>
      <c r="G2373">
        <v>42.72</v>
      </c>
      <c r="H23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73" t="str">
        <f>IFERROR(INDEX(Raw_orders!G:G, MATCH(shipments[[#This Row],[order_id]],Raw_orders!A:A, 0)), "Unknown")</f>
        <v>Baltics</v>
      </c>
      <c r="J2373" t="str">
        <f>PROPER(shipments[[#This Row],[delivery_status]])</f>
        <v>Delivered</v>
      </c>
      <c r="K2373" t="s">
        <v>6929</v>
      </c>
    </row>
    <row r="2374" spans="1:11">
      <c r="A2374" t="s">
        <v>9310</v>
      </c>
      <c r="B2374" t="s">
        <v>3135</v>
      </c>
      <c r="C2374" t="s">
        <v>6935</v>
      </c>
      <c r="D2374" s="1">
        <v>45523</v>
      </c>
      <c r="E2374" s="1">
        <v>45533</v>
      </c>
      <c r="F2374" s="1">
        <v>45541</v>
      </c>
      <c r="G2374">
        <v>35.81</v>
      </c>
      <c r="H23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74" t="str">
        <f>IFERROR(INDEX(Raw_orders!G:G, MATCH(shipments[[#This Row],[order_id]],Raw_orders!A:A, 0)), "Unknown")</f>
        <v>Central Europe</v>
      </c>
      <c r="J2374" t="str">
        <f>PROPER(shipments[[#This Row],[delivery_status]])</f>
        <v>Delivered</v>
      </c>
      <c r="K2374" t="s">
        <v>6929</v>
      </c>
    </row>
    <row r="2375" spans="1:11">
      <c r="A2375" t="s">
        <v>9311</v>
      </c>
      <c r="B2375" t="s">
        <v>3136</v>
      </c>
      <c r="C2375" t="s">
        <v>6928</v>
      </c>
      <c r="D2375" s="1">
        <v>45600</v>
      </c>
      <c r="E2375" s="1">
        <v>45602</v>
      </c>
      <c r="F2375" s="1">
        <v>45607</v>
      </c>
      <c r="G2375">
        <v>59.19</v>
      </c>
      <c r="H23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75" t="str">
        <f>IFERROR(INDEX(Raw_orders!G:G, MATCH(shipments[[#This Row],[order_id]],Raw_orders!A:A, 0)), "Unknown")</f>
        <v>Nordics</v>
      </c>
      <c r="J2375" t="str">
        <f>PROPER(shipments[[#This Row],[delivery_status]])</f>
        <v>Delivered</v>
      </c>
      <c r="K2375" t="s">
        <v>6922</v>
      </c>
    </row>
    <row r="2376" spans="1:11">
      <c r="A2376" t="s">
        <v>9312</v>
      </c>
      <c r="B2376" t="s">
        <v>3137</v>
      </c>
      <c r="C2376" t="s">
        <v>6925</v>
      </c>
      <c r="D2376" s="1">
        <v>45289</v>
      </c>
      <c r="E2376" s="1">
        <v>45294</v>
      </c>
      <c r="F2376" s="1">
        <v>45297</v>
      </c>
      <c r="G2376">
        <v>37.22</v>
      </c>
      <c r="H23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76" t="str">
        <f>IFERROR(INDEX(Raw_orders!G:G, MATCH(shipments[[#This Row],[order_id]],Raw_orders!A:A, 0)), "Unknown")</f>
        <v>Central Europe</v>
      </c>
      <c r="J2376" t="str">
        <f>PROPER(shipments[[#This Row],[delivery_status]])</f>
        <v>Delivered</v>
      </c>
      <c r="K2376" t="s">
        <v>6929</v>
      </c>
    </row>
    <row r="2377" spans="1:11">
      <c r="A2377" t="s">
        <v>9313</v>
      </c>
      <c r="B2377" t="s">
        <v>3138</v>
      </c>
      <c r="C2377" t="s">
        <v>6921</v>
      </c>
      <c r="D2377" s="1">
        <v>44973</v>
      </c>
      <c r="E2377" s="1">
        <v>44980</v>
      </c>
      <c r="F2377" s="1">
        <v>44979</v>
      </c>
      <c r="G2377">
        <v>57.43</v>
      </c>
      <c r="H23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377" t="str">
        <f>IFERROR(INDEX(Raw_orders!G:G, MATCH(shipments[[#This Row],[order_id]],Raw_orders!A:A, 0)), "Unknown")</f>
        <v>Central Europe</v>
      </c>
      <c r="J2377" t="str">
        <f>PROPER(shipments[[#This Row],[delivery_status]])</f>
        <v>Delivered</v>
      </c>
      <c r="K2377" t="s">
        <v>6926</v>
      </c>
    </row>
    <row r="2378" spans="1:11">
      <c r="A2378" t="s">
        <v>9314</v>
      </c>
      <c r="B2378" t="s">
        <v>3139</v>
      </c>
      <c r="C2378" t="s">
        <v>6921</v>
      </c>
      <c r="D2378" s="1">
        <v>45542</v>
      </c>
      <c r="E2378" s="1">
        <v>45552</v>
      </c>
      <c r="F2378" s="1"/>
      <c r="G2378">
        <v>48.25</v>
      </c>
      <c r="H23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378" t="str">
        <f>IFERROR(INDEX(Raw_orders!G:G, MATCH(shipments[[#This Row],[order_id]],Raw_orders!A:A, 0)), "Unknown")</f>
        <v>Central Europe</v>
      </c>
      <c r="J2378" t="str">
        <f>PROPER(shipments[[#This Row],[delivery_status]])</f>
        <v>In Transit</v>
      </c>
      <c r="K2378" t="s">
        <v>6958</v>
      </c>
    </row>
    <row r="2379" spans="1:11">
      <c r="A2379" t="s">
        <v>9315</v>
      </c>
      <c r="B2379" t="s">
        <v>3140</v>
      </c>
      <c r="C2379" t="s">
        <v>6940</v>
      </c>
      <c r="D2379" s="1">
        <v>45493</v>
      </c>
      <c r="E2379" s="1">
        <v>45495</v>
      </c>
      <c r="F2379" s="1">
        <v>45495</v>
      </c>
      <c r="H23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379" t="str">
        <f>IFERROR(INDEX(Raw_orders!G:G, MATCH(shipments[[#This Row],[order_id]],Raw_orders!A:A, 0)), "Unknown")</f>
        <v>Baltics</v>
      </c>
      <c r="J2379" t="str">
        <f>PROPER(shipments[[#This Row],[delivery_status]])</f>
        <v>Delivered</v>
      </c>
      <c r="K2379" t="s">
        <v>6929</v>
      </c>
    </row>
    <row r="2380" spans="1:11">
      <c r="A2380" t="s">
        <v>9316</v>
      </c>
      <c r="B2380" t="s">
        <v>3141</v>
      </c>
      <c r="C2380" t="s">
        <v>6956</v>
      </c>
      <c r="D2380" s="1">
        <v>45226</v>
      </c>
      <c r="E2380" s="1">
        <v>45233</v>
      </c>
      <c r="F2380" s="1">
        <v>45234</v>
      </c>
      <c r="G2380">
        <v>24.76</v>
      </c>
      <c r="H23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80" t="str">
        <f>IFERROR(INDEX(Raw_orders!G:G, MATCH(shipments[[#This Row],[order_id]],Raw_orders!A:A, 0)), "Unknown")</f>
        <v>Nordics</v>
      </c>
      <c r="J2380" t="str">
        <f>PROPER(shipments[[#This Row],[delivery_status]])</f>
        <v>Delivered</v>
      </c>
      <c r="K2380" t="s">
        <v>6929</v>
      </c>
    </row>
    <row r="2381" spans="1:11">
      <c r="A2381" t="s">
        <v>9317</v>
      </c>
      <c r="B2381" t="s">
        <v>3141</v>
      </c>
      <c r="C2381" t="s">
        <v>6931</v>
      </c>
      <c r="D2381" s="1">
        <v>45224</v>
      </c>
      <c r="E2381" s="1">
        <v>45234</v>
      </c>
      <c r="F2381" s="1">
        <v>45239</v>
      </c>
      <c r="G2381">
        <v>26.1</v>
      </c>
      <c r="H23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81" t="str">
        <f>IFERROR(INDEX(Raw_orders!G:G, MATCH(shipments[[#This Row],[order_id]],Raw_orders!A:A, 0)), "Unknown")</f>
        <v>Nordics</v>
      </c>
      <c r="J2381" t="str">
        <f>PROPER(shipments[[#This Row],[delivery_status]])</f>
        <v>Delivered</v>
      </c>
      <c r="K2381" t="s">
        <v>6922</v>
      </c>
    </row>
    <row r="2382" spans="1:11">
      <c r="A2382" t="s">
        <v>9318</v>
      </c>
      <c r="B2382" t="s">
        <v>3142</v>
      </c>
      <c r="C2382" t="s">
        <v>6925</v>
      </c>
      <c r="D2382" s="1">
        <v>45402</v>
      </c>
      <c r="E2382" s="1">
        <v>45407</v>
      </c>
      <c r="F2382" s="1">
        <v>45409</v>
      </c>
      <c r="G2382">
        <v>24.84</v>
      </c>
      <c r="H23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82" t="str">
        <f>IFERROR(INDEX(Raw_orders!G:G, MATCH(shipments[[#This Row],[order_id]],Raw_orders!A:A, 0)), "Unknown")</f>
        <v>Nordics</v>
      </c>
      <c r="J2382" t="str">
        <f>PROPER(shipments[[#This Row],[delivery_status]])</f>
        <v>Delivered</v>
      </c>
      <c r="K2382" t="s">
        <v>6922</v>
      </c>
    </row>
    <row r="2383" spans="1:11">
      <c r="A2383" t="s">
        <v>9319</v>
      </c>
      <c r="B2383" t="s">
        <v>3143</v>
      </c>
      <c r="C2383" t="s">
        <v>6921</v>
      </c>
      <c r="D2383" s="1">
        <v>45436</v>
      </c>
      <c r="E2383" s="1">
        <v>45443</v>
      </c>
      <c r="F2383" s="1">
        <v>45445</v>
      </c>
      <c r="G2383">
        <v>43.16</v>
      </c>
      <c r="H23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83" t="str">
        <f>IFERROR(INDEX(Raw_orders!G:G, MATCH(shipments[[#This Row],[order_id]],Raw_orders!A:A, 0)), "Unknown")</f>
        <v>Central Europe</v>
      </c>
      <c r="J2383" t="str">
        <f>PROPER(shipments[[#This Row],[delivery_status]])</f>
        <v>Delivered</v>
      </c>
      <c r="K2383" t="s">
        <v>6922</v>
      </c>
    </row>
    <row r="2384" spans="1:11">
      <c r="A2384" t="s">
        <v>9320</v>
      </c>
      <c r="B2384" t="s">
        <v>3144</v>
      </c>
      <c r="C2384" t="s">
        <v>6938</v>
      </c>
      <c r="D2384" s="1">
        <v>45589</v>
      </c>
      <c r="E2384" s="1">
        <v>45594</v>
      </c>
      <c r="F2384" s="1">
        <v>45594</v>
      </c>
      <c r="G2384">
        <v>30.56</v>
      </c>
      <c r="H23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384" t="str">
        <f>IFERROR(INDEX(Raw_orders!G:G, MATCH(shipments[[#This Row],[order_id]],Raw_orders!A:A, 0)), "Unknown")</f>
        <v>Central Europe</v>
      </c>
      <c r="J2384" t="str">
        <f>PROPER(shipments[[#This Row],[delivery_status]])</f>
        <v>Delivered</v>
      </c>
      <c r="K2384" t="s">
        <v>6929</v>
      </c>
    </row>
    <row r="2385" spans="1:11">
      <c r="A2385" t="s">
        <v>9321</v>
      </c>
      <c r="B2385" t="s">
        <v>3145</v>
      </c>
      <c r="C2385" t="s">
        <v>6925</v>
      </c>
      <c r="D2385" s="1">
        <v>45142</v>
      </c>
      <c r="E2385" s="1">
        <v>45144</v>
      </c>
      <c r="F2385" s="1">
        <v>45144</v>
      </c>
      <c r="G2385">
        <v>55.6</v>
      </c>
      <c r="H23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385" t="str">
        <f>IFERROR(INDEX(Raw_orders!G:G, MATCH(shipments[[#This Row],[order_id]],Raw_orders!A:A, 0)), "Unknown")</f>
        <v>Nordics</v>
      </c>
      <c r="J2385" t="str">
        <f>PROPER(shipments[[#This Row],[delivery_status]])</f>
        <v>Delivered</v>
      </c>
      <c r="K2385" t="s">
        <v>6926</v>
      </c>
    </row>
    <row r="2386" spans="1:11">
      <c r="A2386" t="s">
        <v>9322</v>
      </c>
      <c r="B2386" t="s">
        <v>3146</v>
      </c>
      <c r="C2386" t="s">
        <v>6928</v>
      </c>
      <c r="D2386" s="1">
        <v>45209</v>
      </c>
      <c r="E2386" s="1">
        <v>45212</v>
      </c>
      <c r="F2386" s="1">
        <v>45217</v>
      </c>
      <c r="G2386">
        <v>30.03</v>
      </c>
      <c r="H23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86" t="str">
        <f>IFERROR(INDEX(Raw_orders!G:G, MATCH(shipments[[#This Row],[order_id]],Raw_orders!A:A, 0)), "Unknown")</f>
        <v>Nordics</v>
      </c>
      <c r="J2386" t="str">
        <f>PROPER(shipments[[#This Row],[delivery_status]])</f>
        <v>Delivered</v>
      </c>
      <c r="K2386" t="s">
        <v>6926</v>
      </c>
    </row>
    <row r="2387" spans="1:11">
      <c r="A2387" t="s">
        <v>9323</v>
      </c>
      <c r="B2387" t="s">
        <v>3146</v>
      </c>
      <c r="C2387" t="s">
        <v>6931</v>
      </c>
      <c r="D2387" s="1">
        <v>45207</v>
      </c>
      <c r="E2387" s="1">
        <v>45209</v>
      </c>
      <c r="F2387" s="1">
        <v>45211</v>
      </c>
      <c r="G2387">
        <v>32.51</v>
      </c>
      <c r="H23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87" t="str">
        <f>IFERROR(INDEX(Raw_orders!G:G, MATCH(shipments[[#This Row],[order_id]],Raw_orders!A:A, 0)), "Unknown")</f>
        <v>Nordics</v>
      </c>
      <c r="J2387" t="str">
        <f>PROPER(shipments[[#This Row],[delivery_status]])</f>
        <v>Delivered</v>
      </c>
      <c r="K2387" t="s">
        <v>6926</v>
      </c>
    </row>
    <row r="2388" spans="1:11">
      <c r="A2388" t="s">
        <v>9324</v>
      </c>
      <c r="B2388" t="s">
        <v>3147</v>
      </c>
      <c r="C2388" t="s">
        <v>6956</v>
      </c>
      <c r="D2388" s="1">
        <v>45484</v>
      </c>
      <c r="E2388" s="1">
        <v>45486</v>
      </c>
      <c r="F2388" s="1">
        <v>45486</v>
      </c>
      <c r="G2388">
        <v>32.67</v>
      </c>
      <c r="H23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388" t="str">
        <f>IFERROR(INDEX(Raw_orders!G:G, MATCH(shipments[[#This Row],[order_id]],Raw_orders!A:A, 0)), "Unknown")</f>
        <v>Baltics</v>
      </c>
      <c r="J2388" t="str">
        <f>PROPER(shipments[[#This Row],[delivery_status]])</f>
        <v>Delivered</v>
      </c>
      <c r="K2388" t="s">
        <v>6922</v>
      </c>
    </row>
    <row r="2389" spans="1:11">
      <c r="A2389" t="s">
        <v>9325</v>
      </c>
      <c r="B2389" t="s">
        <v>3147</v>
      </c>
      <c r="C2389" t="s">
        <v>6925</v>
      </c>
      <c r="D2389" s="1">
        <v>45485</v>
      </c>
      <c r="E2389" s="1">
        <v>45492</v>
      </c>
      <c r="F2389" s="1">
        <v>45506</v>
      </c>
      <c r="G2389">
        <v>28.94</v>
      </c>
      <c r="H23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89" t="str">
        <f>IFERROR(INDEX(Raw_orders!G:G, MATCH(shipments[[#This Row],[order_id]],Raw_orders!A:A, 0)), "Unknown")</f>
        <v>Baltics</v>
      </c>
      <c r="J2389" t="str">
        <f>PROPER(shipments[[#This Row],[delivery_status]])</f>
        <v>Delivered</v>
      </c>
      <c r="K2389" t="s">
        <v>6929</v>
      </c>
    </row>
    <row r="2390" spans="1:11">
      <c r="A2390" t="s">
        <v>9326</v>
      </c>
      <c r="B2390" t="s">
        <v>3148</v>
      </c>
      <c r="C2390" t="s">
        <v>6949</v>
      </c>
      <c r="D2390" s="1">
        <v>45061</v>
      </c>
      <c r="E2390" s="1">
        <v>45071</v>
      </c>
      <c r="F2390" s="1">
        <v>45076</v>
      </c>
      <c r="G2390">
        <v>41.1</v>
      </c>
      <c r="H23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90" t="str">
        <f>IFERROR(INDEX(Raw_orders!G:G, MATCH(shipments[[#This Row],[order_id]],Raw_orders!A:A, 0)), "Unknown")</f>
        <v>Central Europe</v>
      </c>
      <c r="J2390" t="str">
        <f>PROPER(shipments[[#This Row],[delivery_status]])</f>
        <v>Delivered</v>
      </c>
      <c r="K2390" t="s">
        <v>6922</v>
      </c>
    </row>
    <row r="2391" spans="1:11">
      <c r="A2391" t="s">
        <v>9327</v>
      </c>
      <c r="B2391" t="s">
        <v>3149</v>
      </c>
      <c r="C2391" t="s">
        <v>6938</v>
      </c>
      <c r="D2391" s="1">
        <v>45342</v>
      </c>
      <c r="E2391" s="1">
        <v>45349</v>
      </c>
      <c r="F2391" s="1">
        <v>45354</v>
      </c>
      <c r="G2391">
        <v>30.51</v>
      </c>
      <c r="H23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91" t="str">
        <f>IFERROR(INDEX(Raw_orders!G:G, MATCH(shipments[[#This Row],[order_id]],Raw_orders!A:A, 0)), "Unknown")</f>
        <v>Central Europe</v>
      </c>
      <c r="J2391" t="str">
        <f>PROPER(shipments[[#This Row],[delivery_status]])</f>
        <v>Delivered</v>
      </c>
      <c r="K2391" t="s">
        <v>6922</v>
      </c>
    </row>
    <row r="2392" spans="1:11">
      <c r="A2392" t="s">
        <v>9328</v>
      </c>
      <c r="B2392" t="s">
        <v>3150</v>
      </c>
      <c r="C2392" t="s">
        <v>6935</v>
      </c>
      <c r="D2392" s="1">
        <v>45398</v>
      </c>
      <c r="E2392" s="1">
        <v>45405</v>
      </c>
      <c r="F2392" s="1">
        <v>45406</v>
      </c>
      <c r="G2392">
        <v>59.34</v>
      </c>
      <c r="H23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92" t="str">
        <f>IFERROR(INDEX(Raw_orders!G:G, MATCH(shipments[[#This Row],[order_id]],Raw_orders!A:A, 0)), "Unknown")</f>
        <v>Baltics</v>
      </c>
      <c r="J2392" t="str">
        <f>PROPER(shipments[[#This Row],[delivery_status]])</f>
        <v>Delivered</v>
      </c>
      <c r="K2392" t="s">
        <v>6929</v>
      </c>
    </row>
    <row r="2393" spans="1:11">
      <c r="A2393" t="s">
        <v>9329</v>
      </c>
      <c r="B2393" t="s">
        <v>3151</v>
      </c>
      <c r="C2393" t="s">
        <v>6935</v>
      </c>
      <c r="D2393" s="1">
        <v>45344</v>
      </c>
      <c r="E2393" s="1">
        <v>45349</v>
      </c>
      <c r="F2393" s="1"/>
      <c r="G2393">
        <v>21.47</v>
      </c>
      <c r="H23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393" t="str">
        <f>IFERROR(INDEX(Raw_orders!G:G, MATCH(shipments[[#This Row],[order_id]],Raw_orders!A:A, 0)), "Unknown")</f>
        <v>Nordics</v>
      </c>
      <c r="J2393" t="str">
        <f>PROPER(shipments[[#This Row],[delivery_status]])</f>
        <v>In Transit</v>
      </c>
      <c r="K2393" t="s">
        <v>6946</v>
      </c>
    </row>
    <row r="2394" spans="1:11">
      <c r="A2394" t="s">
        <v>9330</v>
      </c>
      <c r="B2394" t="s">
        <v>3152</v>
      </c>
      <c r="C2394" t="s">
        <v>6935</v>
      </c>
      <c r="D2394" s="1">
        <v>45238</v>
      </c>
      <c r="E2394" s="1">
        <v>45240</v>
      </c>
      <c r="F2394" s="1">
        <v>45245</v>
      </c>
      <c r="G2394">
        <v>18.36</v>
      </c>
      <c r="H23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94" t="str">
        <f>IFERROR(INDEX(Raw_orders!G:G, MATCH(shipments[[#This Row],[order_id]],Raw_orders!A:A, 0)), "Unknown")</f>
        <v>Nordics</v>
      </c>
      <c r="J2394" t="str">
        <f>PROPER(shipments[[#This Row],[delivery_status]])</f>
        <v>Delivered</v>
      </c>
      <c r="K2394" t="s">
        <v>6922</v>
      </c>
    </row>
    <row r="2395" spans="1:11">
      <c r="A2395" t="s">
        <v>9331</v>
      </c>
      <c r="B2395" t="s">
        <v>3153</v>
      </c>
      <c r="C2395" t="s">
        <v>6921</v>
      </c>
      <c r="D2395" s="1">
        <v>45157</v>
      </c>
      <c r="E2395" s="1">
        <v>45167</v>
      </c>
      <c r="F2395" s="1">
        <v>45170</v>
      </c>
      <c r="G2395">
        <v>52.24</v>
      </c>
      <c r="H23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95" t="str">
        <f>IFERROR(INDEX(Raw_orders!G:G, MATCH(shipments[[#This Row],[order_id]],Raw_orders!A:A, 0)), "Unknown")</f>
        <v>Central Europe</v>
      </c>
      <c r="J2395" t="str">
        <f>PROPER(shipments[[#This Row],[delivery_status]])</f>
        <v>Delivered</v>
      </c>
      <c r="K2395" t="s">
        <v>6922</v>
      </c>
    </row>
    <row r="2396" spans="1:11">
      <c r="A2396" t="s">
        <v>9332</v>
      </c>
      <c r="B2396" t="s">
        <v>3154</v>
      </c>
      <c r="C2396" t="s">
        <v>6949</v>
      </c>
      <c r="D2396" s="1">
        <v>45368</v>
      </c>
      <c r="E2396" s="1">
        <v>45378</v>
      </c>
      <c r="F2396" s="1">
        <v>45387</v>
      </c>
      <c r="G2396">
        <v>50.89</v>
      </c>
      <c r="H23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96" t="str">
        <f>IFERROR(INDEX(Raw_orders!G:G, MATCH(shipments[[#This Row],[order_id]],Raw_orders!A:A, 0)), "Unknown")</f>
        <v>Nordics</v>
      </c>
      <c r="J2396" t="str">
        <f>PROPER(shipments[[#This Row],[delivery_status]])</f>
        <v>Delivered</v>
      </c>
      <c r="K2396" t="s">
        <v>6929</v>
      </c>
    </row>
    <row r="2397" spans="1:11">
      <c r="A2397" t="s">
        <v>9333</v>
      </c>
      <c r="B2397" t="s">
        <v>3155</v>
      </c>
      <c r="C2397" t="s">
        <v>6938</v>
      </c>
      <c r="D2397" s="1">
        <v>45300</v>
      </c>
      <c r="E2397" s="1">
        <v>45305</v>
      </c>
      <c r="F2397" s="1">
        <v>45313</v>
      </c>
      <c r="G2397">
        <v>25.79</v>
      </c>
      <c r="H23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97" t="str">
        <f>IFERROR(INDEX(Raw_orders!G:G, MATCH(shipments[[#This Row],[order_id]],Raw_orders!A:A, 0)), "Unknown")</f>
        <v>Baltics</v>
      </c>
      <c r="J2397" t="str">
        <f>PROPER(shipments[[#This Row],[delivery_status]])</f>
        <v>Delivered</v>
      </c>
      <c r="K2397" t="s">
        <v>6926</v>
      </c>
    </row>
    <row r="2398" spans="1:11">
      <c r="A2398" t="s">
        <v>9334</v>
      </c>
      <c r="B2398" t="s">
        <v>3156</v>
      </c>
      <c r="C2398" t="s">
        <v>6931</v>
      </c>
      <c r="D2398" s="1">
        <v>45552</v>
      </c>
      <c r="E2398" s="1">
        <v>45562</v>
      </c>
      <c r="F2398" s="1">
        <v>45565</v>
      </c>
      <c r="G2398">
        <v>20.51</v>
      </c>
      <c r="H23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398" t="str">
        <f>IFERROR(INDEX(Raw_orders!G:G, MATCH(shipments[[#This Row],[order_id]],Raw_orders!A:A, 0)), "Unknown")</f>
        <v>Baltics</v>
      </c>
      <c r="J2398" t="str">
        <f>PROPER(shipments[[#This Row],[delivery_status]])</f>
        <v>Delivered</v>
      </c>
      <c r="K2398" t="s">
        <v>6929</v>
      </c>
    </row>
    <row r="2399" spans="1:11">
      <c r="A2399" t="s">
        <v>9335</v>
      </c>
      <c r="B2399" t="s">
        <v>3157</v>
      </c>
      <c r="C2399" t="s">
        <v>6956</v>
      </c>
      <c r="D2399" s="1">
        <v>44950</v>
      </c>
      <c r="E2399" s="1">
        <v>44952</v>
      </c>
      <c r="F2399" s="1"/>
      <c r="G2399">
        <v>36.340000000000003</v>
      </c>
      <c r="H23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399" t="str">
        <f>IFERROR(INDEX(Raw_orders!G:G, MATCH(shipments[[#This Row],[order_id]],Raw_orders!A:A, 0)), "Unknown")</f>
        <v>Nordics</v>
      </c>
      <c r="J2399" t="str">
        <f>PROPER(shipments[[#This Row],[delivery_status]])</f>
        <v>In Transit</v>
      </c>
      <c r="K2399" t="s">
        <v>6946</v>
      </c>
    </row>
    <row r="2400" spans="1:11">
      <c r="A2400" t="s">
        <v>9336</v>
      </c>
      <c r="B2400" t="s">
        <v>3158</v>
      </c>
      <c r="C2400" t="s">
        <v>6935</v>
      </c>
      <c r="D2400" s="1">
        <v>45437</v>
      </c>
      <c r="E2400" s="1">
        <v>45439</v>
      </c>
      <c r="F2400" s="1"/>
      <c r="G2400">
        <v>43.08</v>
      </c>
      <c r="H24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400" t="str">
        <f>IFERROR(INDEX(Raw_orders!G:G, MATCH(shipments[[#This Row],[order_id]],Raw_orders!A:A, 0)), "Unknown")</f>
        <v>Nordics</v>
      </c>
      <c r="J2400" t="str">
        <f>PROPER(shipments[[#This Row],[delivery_status]])</f>
        <v>In Transit</v>
      </c>
      <c r="K2400" t="s">
        <v>6977</v>
      </c>
    </row>
    <row r="2401" spans="1:11">
      <c r="A2401" t="s">
        <v>9337</v>
      </c>
      <c r="B2401" t="s">
        <v>3159</v>
      </c>
      <c r="C2401" t="s">
        <v>6956</v>
      </c>
      <c r="D2401" s="1">
        <v>45507</v>
      </c>
      <c r="E2401" s="1">
        <v>45514</v>
      </c>
      <c r="F2401" s="1">
        <v>45514</v>
      </c>
      <c r="G2401">
        <v>6.74</v>
      </c>
      <c r="H24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401" t="str">
        <f>IFERROR(INDEX(Raw_orders!G:G, MATCH(shipments[[#This Row],[order_id]],Raw_orders!A:A, 0)), "Unknown")</f>
        <v>Central Europe</v>
      </c>
      <c r="J2401" t="str">
        <f>PROPER(shipments[[#This Row],[delivery_status]])</f>
        <v>Delivered</v>
      </c>
      <c r="K2401" t="s">
        <v>6926</v>
      </c>
    </row>
    <row r="2402" spans="1:11">
      <c r="A2402" t="s">
        <v>9338</v>
      </c>
      <c r="B2402" t="s">
        <v>3160</v>
      </c>
      <c r="C2402" t="s">
        <v>6931</v>
      </c>
      <c r="D2402" s="1">
        <v>45266</v>
      </c>
      <c r="E2402" s="1">
        <v>45269</v>
      </c>
      <c r="F2402" s="1"/>
      <c r="G2402">
        <v>25.75</v>
      </c>
      <c r="H24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402" t="str">
        <f>IFERROR(INDEX(Raw_orders!G:G, MATCH(shipments[[#This Row],[order_id]],Raw_orders!A:A, 0)), "Unknown")</f>
        <v>Nordics</v>
      </c>
      <c r="J2402" t="str">
        <f>PROPER(shipments[[#This Row],[delivery_status]])</f>
        <v>Cancelled</v>
      </c>
      <c r="K2402" t="s">
        <v>6972</v>
      </c>
    </row>
    <row r="2403" spans="1:11">
      <c r="A2403" t="s">
        <v>9339</v>
      </c>
      <c r="B2403" t="s">
        <v>3161</v>
      </c>
      <c r="C2403" t="s">
        <v>6921</v>
      </c>
      <c r="D2403" s="1">
        <v>44980</v>
      </c>
      <c r="E2403" s="1">
        <v>44983</v>
      </c>
      <c r="F2403" s="1">
        <v>44983</v>
      </c>
      <c r="G2403">
        <v>6.53</v>
      </c>
      <c r="H24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403" t="str">
        <f>IFERROR(INDEX(Raw_orders!G:G, MATCH(shipments[[#This Row],[order_id]],Raw_orders!A:A, 0)), "Unknown")</f>
        <v>Central Europe</v>
      </c>
      <c r="J2403" t="str">
        <f>PROPER(shipments[[#This Row],[delivery_status]])</f>
        <v>Delivered</v>
      </c>
      <c r="K2403" t="s">
        <v>6926</v>
      </c>
    </row>
    <row r="2404" spans="1:11">
      <c r="A2404" t="s">
        <v>9340</v>
      </c>
      <c r="B2404" t="s">
        <v>3162</v>
      </c>
      <c r="C2404" t="s">
        <v>6925</v>
      </c>
      <c r="D2404" s="1">
        <v>45261</v>
      </c>
      <c r="E2404" s="1">
        <v>45266</v>
      </c>
      <c r="F2404" s="1">
        <v>45269</v>
      </c>
      <c r="G2404">
        <v>8.64</v>
      </c>
      <c r="H24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04" t="str">
        <f>IFERROR(INDEX(Raw_orders!G:G, MATCH(shipments[[#This Row],[order_id]],Raw_orders!A:A, 0)), "Unknown")</f>
        <v>Nordics</v>
      </c>
      <c r="J2404" t="str">
        <f>PROPER(shipments[[#This Row],[delivery_status]])</f>
        <v>Delivered</v>
      </c>
      <c r="K2404" t="s">
        <v>6922</v>
      </c>
    </row>
    <row r="2405" spans="1:11">
      <c r="A2405" t="s">
        <v>9341</v>
      </c>
      <c r="B2405" t="s">
        <v>3163</v>
      </c>
      <c r="C2405" t="s">
        <v>6940</v>
      </c>
      <c r="D2405" s="1">
        <v>44960</v>
      </c>
      <c r="E2405" s="1">
        <v>44970</v>
      </c>
      <c r="F2405" s="1">
        <v>44973</v>
      </c>
      <c r="G2405">
        <v>40.869999999999997</v>
      </c>
      <c r="H24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05" t="str">
        <f>IFERROR(INDEX(Raw_orders!G:G, MATCH(shipments[[#This Row],[order_id]],Raw_orders!A:A, 0)), "Unknown")</f>
        <v>Baltics</v>
      </c>
      <c r="J2405" t="str">
        <f>PROPER(shipments[[#This Row],[delivery_status]])</f>
        <v>Delivered</v>
      </c>
      <c r="K2405" t="s">
        <v>6929</v>
      </c>
    </row>
    <row r="2406" spans="1:11">
      <c r="A2406" t="s">
        <v>9342</v>
      </c>
      <c r="B2406" t="s">
        <v>3164</v>
      </c>
      <c r="C2406" t="s">
        <v>6928</v>
      </c>
      <c r="D2406" s="1">
        <v>44995</v>
      </c>
      <c r="E2406" s="1">
        <v>45005</v>
      </c>
      <c r="F2406" s="1">
        <v>45008</v>
      </c>
      <c r="G2406">
        <v>6.76</v>
      </c>
      <c r="H24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06" t="str">
        <f>IFERROR(INDEX(Raw_orders!G:G, MATCH(shipments[[#This Row],[order_id]],Raw_orders!A:A, 0)), "Unknown")</f>
        <v>Nordics</v>
      </c>
      <c r="J2406" t="str">
        <f>PROPER(shipments[[#This Row],[delivery_status]])</f>
        <v>Delivered</v>
      </c>
      <c r="K2406" t="s">
        <v>6929</v>
      </c>
    </row>
    <row r="2407" spans="1:11">
      <c r="A2407" t="s">
        <v>9343</v>
      </c>
      <c r="B2407" t="s">
        <v>3165</v>
      </c>
      <c r="C2407" t="s">
        <v>6956</v>
      </c>
      <c r="D2407" s="1">
        <v>44930</v>
      </c>
      <c r="E2407" s="1">
        <v>44940</v>
      </c>
      <c r="F2407" s="1">
        <v>44942</v>
      </c>
      <c r="G2407">
        <v>35.49</v>
      </c>
      <c r="H24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07" t="str">
        <f>IFERROR(INDEX(Raw_orders!G:G, MATCH(shipments[[#This Row],[order_id]],Raw_orders!A:A, 0)), "Unknown")</f>
        <v>Baltics</v>
      </c>
      <c r="J2407" t="str">
        <f>PROPER(shipments[[#This Row],[delivery_status]])</f>
        <v>Delivered</v>
      </c>
      <c r="K2407" t="s">
        <v>6922</v>
      </c>
    </row>
    <row r="2408" spans="1:11">
      <c r="A2408" t="s">
        <v>9344</v>
      </c>
      <c r="B2408" t="s">
        <v>3166</v>
      </c>
      <c r="C2408" t="s">
        <v>6935</v>
      </c>
      <c r="D2408" s="1">
        <v>45442</v>
      </c>
      <c r="E2408" s="1">
        <v>45444</v>
      </c>
      <c r="F2408" s="1">
        <v>45443</v>
      </c>
      <c r="G2408">
        <v>23.9</v>
      </c>
      <c r="H24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408" t="str">
        <f>IFERROR(INDEX(Raw_orders!G:G, MATCH(shipments[[#This Row],[order_id]],Raw_orders!A:A, 0)), "Unknown")</f>
        <v>Nordics</v>
      </c>
      <c r="J2408" t="str">
        <f>PROPER(shipments[[#This Row],[delivery_status]])</f>
        <v>Delivered</v>
      </c>
      <c r="K2408" t="s">
        <v>6929</v>
      </c>
    </row>
    <row r="2409" spans="1:11">
      <c r="A2409" t="s">
        <v>9345</v>
      </c>
      <c r="B2409" t="s">
        <v>3167</v>
      </c>
      <c r="C2409" t="s">
        <v>6921</v>
      </c>
      <c r="D2409" s="1">
        <v>45038</v>
      </c>
      <c r="E2409" s="1">
        <v>45040</v>
      </c>
      <c r="F2409" s="1">
        <v>45040</v>
      </c>
      <c r="G2409">
        <v>4.75</v>
      </c>
      <c r="H24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409" t="str">
        <f>IFERROR(INDEX(Raw_orders!G:G, MATCH(shipments[[#This Row],[order_id]],Raw_orders!A:A, 0)), "Unknown")</f>
        <v>Central Europe</v>
      </c>
      <c r="J2409" t="str">
        <f>PROPER(shipments[[#This Row],[delivery_status]])</f>
        <v>Delivered</v>
      </c>
      <c r="K2409" t="s">
        <v>6926</v>
      </c>
    </row>
    <row r="2410" spans="1:11">
      <c r="A2410" t="s">
        <v>9346</v>
      </c>
      <c r="B2410" t="s">
        <v>3168</v>
      </c>
      <c r="C2410" t="s">
        <v>6956</v>
      </c>
      <c r="D2410" s="1">
        <v>45451</v>
      </c>
      <c r="E2410" s="1">
        <v>45453</v>
      </c>
      <c r="F2410" s="1">
        <v>45455</v>
      </c>
      <c r="G2410">
        <v>44.38</v>
      </c>
      <c r="H24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10" t="str">
        <f>IFERROR(INDEX(Raw_orders!G:G, MATCH(shipments[[#This Row],[order_id]],Raw_orders!A:A, 0)), "Unknown")</f>
        <v>Baltics</v>
      </c>
      <c r="J2410" t="str">
        <f>PROPER(shipments[[#This Row],[delivery_status]])</f>
        <v>Delivered</v>
      </c>
      <c r="K2410" t="s">
        <v>6922</v>
      </c>
    </row>
    <row r="2411" spans="1:11">
      <c r="A2411" t="s">
        <v>9347</v>
      </c>
      <c r="B2411" t="s">
        <v>3169</v>
      </c>
      <c r="C2411" t="s">
        <v>6931</v>
      </c>
      <c r="D2411" s="1">
        <v>45028</v>
      </c>
      <c r="E2411" s="1">
        <v>45033</v>
      </c>
      <c r="F2411" s="1">
        <v>45041</v>
      </c>
      <c r="G2411">
        <v>5.42</v>
      </c>
      <c r="H24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11" t="str">
        <f>IFERROR(INDEX(Raw_orders!G:G, MATCH(shipments[[#This Row],[order_id]],Raw_orders!A:A, 0)), "Unknown")</f>
        <v>Baltics</v>
      </c>
      <c r="J2411" t="str">
        <f>PROPER(shipments[[#This Row],[delivery_status]])</f>
        <v>Delivered</v>
      </c>
      <c r="K2411" t="s">
        <v>6922</v>
      </c>
    </row>
    <row r="2412" spans="1:11">
      <c r="A2412" t="s">
        <v>9348</v>
      </c>
      <c r="B2412" t="s">
        <v>3170</v>
      </c>
      <c r="C2412" t="s">
        <v>6938</v>
      </c>
      <c r="D2412" s="1">
        <v>45114</v>
      </c>
      <c r="E2412" s="1">
        <v>45121</v>
      </c>
      <c r="F2412" s="1">
        <v>45134</v>
      </c>
      <c r="G2412">
        <v>34.32</v>
      </c>
      <c r="H24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12" t="str">
        <f>IFERROR(INDEX(Raw_orders!G:G, MATCH(shipments[[#This Row],[order_id]],Raw_orders!A:A, 0)), "Unknown")</f>
        <v>Nordics</v>
      </c>
      <c r="J2412" t="str">
        <f>PROPER(shipments[[#This Row],[delivery_status]])</f>
        <v>Delivered</v>
      </c>
      <c r="K2412" t="s">
        <v>6922</v>
      </c>
    </row>
    <row r="2413" spans="1:11">
      <c r="A2413" t="s">
        <v>9349</v>
      </c>
      <c r="B2413" t="s">
        <v>3171</v>
      </c>
      <c r="C2413" t="s">
        <v>6921</v>
      </c>
      <c r="D2413" s="1">
        <v>45305</v>
      </c>
      <c r="E2413" s="1">
        <v>45308</v>
      </c>
      <c r="F2413" s="1">
        <v>45307</v>
      </c>
      <c r="G2413">
        <v>46.13</v>
      </c>
      <c r="H24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413" t="str">
        <f>IFERROR(INDEX(Raw_orders!G:G, MATCH(shipments[[#This Row],[order_id]],Raw_orders!A:A, 0)), "Unknown")</f>
        <v>Nordics</v>
      </c>
      <c r="J2413" t="str">
        <f>PROPER(shipments[[#This Row],[delivery_status]])</f>
        <v>Delivered</v>
      </c>
      <c r="K2413" t="s">
        <v>6926</v>
      </c>
    </row>
    <row r="2414" spans="1:11">
      <c r="A2414" t="s">
        <v>9350</v>
      </c>
      <c r="B2414" t="s">
        <v>3171</v>
      </c>
      <c r="C2414" t="s">
        <v>6928</v>
      </c>
      <c r="D2414" s="1">
        <v>45304</v>
      </c>
      <c r="E2414" s="1">
        <v>45306</v>
      </c>
      <c r="F2414" s="1">
        <v>45314</v>
      </c>
      <c r="G2414">
        <v>37.65</v>
      </c>
      <c r="H24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14" t="str">
        <f>IFERROR(INDEX(Raw_orders!G:G, MATCH(shipments[[#This Row],[order_id]],Raw_orders!A:A, 0)), "Unknown")</f>
        <v>Nordics</v>
      </c>
      <c r="J2414" t="str">
        <f>PROPER(shipments[[#This Row],[delivery_status]])</f>
        <v>Delivered</v>
      </c>
      <c r="K2414" t="s">
        <v>6929</v>
      </c>
    </row>
    <row r="2415" spans="1:11">
      <c r="A2415" t="s">
        <v>9351</v>
      </c>
      <c r="B2415" t="s">
        <v>3172</v>
      </c>
      <c r="C2415" t="s">
        <v>6956</v>
      </c>
      <c r="D2415" s="1">
        <v>45382</v>
      </c>
      <c r="E2415" s="1">
        <v>45387</v>
      </c>
      <c r="F2415" s="1">
        <v>45392</v>
      </c>
      <c r="G2415">
        <v>40.43</v>
      </c>
      <c r="H24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15" t="str">
        <f>IFERROR(INDEX(Raw_orders!G:G, MATCH(shipments[[#This Row],[order_id]],Raw_orders!A:A, 0)), "Unknown")</f>
        <v>Central Europe</v>
      </c>
      <c r="J2415" t="str">
        <f>PROPER(shipments[[#This Row],[delivery_status]])</f>
        <v>Delivered</v>
      </c>
      <c r="K2415" t="s">
        <v>6929</v>
      </c>
    </row>
    <row r="2416" spans="1:11">
      <c r="A2416" t="s">
        <v>9352</v>
      </c>
      <c r="B2416" t="s">
        <v>3173</v>
      </c>
      <c r="C2416" t="s">
        <v>6928</v>
      </c>
      <c r="D2416" s="1">
        <v>44993</v>
      </c>
      <c r="E2416" s="1">
        <v>44995</v>
      </c>
      <c r="F2416" s="1">
        <v>44995</v>
      </c>
      <c r="G2416">
        <v>19.47</v>
      </c>
      <c r="H24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416" t="str">
        <f>IFERROR(INDEX(Raw_orders!G:G, MATCH(shipments[[#This Row],[order_id]],Raw_orders!A:A, 0)), "Unknown")</f>
        <v>Nordics</v>
      </c>
      <c r="J2416" t="str">
        <f>PROPER(shipments[[#This Row],[delivery_status]])</f>
        <v>Delivered</v>
      </c>
      <c r="K2416" t="s">
        <v>6929</v>
      </c>
    </row>
    <row r="2417" spans="1:11">
      <c r="A2417" t="s">
        <v>9353</v>
      </c>
      <c r="B2417" t="s">
        <v>3174</v>
      </c>
      <c r="C2417" t="s">
        <v>6940</v>
      </c>
      <c r="D2417" s="1">
        <v>45522</v>
      </c>
      <c r="E2417" s="1">
        <v>45532</v>
      </c>
      <c r="F2417" s="1">
        <v>45532</v>
      </c>
      <c r="G2417">
        <v>41.48</v>
      </c>
      <c r="H24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417" t="str">
        <f>IFERROR(INDEX(Raw_orders!G:G, MATCH(shipments[[#This Row],[order_id]],Raw_orders!A:A, 0)), "Unknown")</f>
        <v>Baltics</v>
      </c>
      <c r="J2417" t="str">
        <f>PROPER(shipments[[#This Row],[delivery_status]])</f>
        <v>Delivered</v>
      </c>
      <c r="K2417" t="s">
        <v>6929</v>
      </c>
    </row>
    <row r="2418" spans="1:11">
      <c r="A2418" t="s">
        <v>9354</v>
      </c>
      <c r="B2418" t="s">
        <v>3175</v>
      </c>
      <c r="C2418" t="s">
        <v>6925</v>
      </c>
      <c r="D2418" s="1">
        <v>45478</v>
      </c>
      <c r="E2418" s="1">
        <v>45481</v>
      </c>
      <c r="F2418" s="1">
        <v>45481</v>
      </c>
      <c r="G2418">
        <v>34.520000000000003</v>
      </c>
      <c r="H24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418" t="str">
        <f>IFERROR(INDEX(Raw_orders!G:G, MATCH(shipments[[#This Row],[order_id]],Raw_orders!A:A, 0)), "Unknown")</f>
        <v>Nordics</v>
      </c>
      <c r="J2418" t="str">
        <f>PROPER(shipments[[#This Row],[delivery_status]])</f>
        <v>Delivered</v>
      </c>
      <c r="K2418" t="s">
        <v>6922</v>
      </c>
    </row>
    <row r="2419" spans="1:11">
      <c r="A2419" t="s">
        <v>9355</v>
      </c>
      <c r="B2419" t="s">
        <v>3176</v>
      </c>
      <c r="C2419" t="s">
        <v>6938</v>
      </c>
      <c r="D2419" s="1">
        <v>45351</v>
      </c>
      <c r="E2419" s="1">
        <v>45356</v>
      </c>
      <c r="F2419" s="1">
        <v>45356</v>
      </c>
      <c r="G2419">
        <v>55.22</v>
      </c>
      <c r="H24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419" t="str">
        <f>IFERROR(INDEX(Raw_orders!G:G, MATCH(shipments[[#This Row],[order_id]],Raw_orders!A:A, 0)), "Unknown")</f>
        <v>Central Europe</v>
      </c>
      <c r="J2419" t="str">
        <f>PROPER(shipments[[#This Row],[delivery_status]])</f>
        <v>Delivered</v>
      </c>
      <c r="K2419" t="s">
        <v>6929</v>
      </c>
    </row>
    <row r="2420" spans="1:11">
      <c r="A2420" t="s">
        <v>9356</v>
      </c>
      <c r="B2420" t="s">
        <v>3176</v>
      </c>
      <c r="C2420" t="s">
        <v>6931</v>
      </c>
      <c r="D2420" s="1">
        <v>45351</v>
      </c>
      <c r="E2420" s="1">
        <v>45353</v>
      </c>
      <c r="F2420" s="1">
        <v>45353</v>
      </c>
      <c r="G2420">
        <v>20.8</v>
      </c>
      <c r="H24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420" t="str">
        <f>IFERROR(INDEX(Raw_orders!G:G, MATCH(shipments[[#This Row],[order_id]],Raw_orders!A:A, 0)), "Unknown")</f>
        <v>Central Europe</v>
      </c>
      <c r="J2420" t="str">
        <f>PROPER(shipments[[#This Row],[delivery_status]])</f>
        <v>Delivered</v>
      </c>
      <c r="K2420" t="s">
        <v>6922</v>
      </c>
    </row>
    <row r="2421" spans="1:11">
      <c r="A2421" t="s">
        <v>9357</v>
      </c>
      <c r="B2421" t="s">
        <v>3177</v>
      </c>
      <c r="C2421" t="s">
        <v>6921</v>
      </c>
      <c r="D2421" s="1">
        <v>45191</v>
      </c>
      <c r="E2421" s="1">
        <v>45194</v>
      </c>
      <c r="F2421" s="1"/>
      <c r="G2421">
        <v>63.48</v>
      </c>
      <c r="H24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421" t="str">
        <f>IFERROR(INDEX(Raw_orders!G:G, MATCH(shipments[[#This Row],[order_id]],Raw_orders!A:A, 0)), "Unknown")</f>
        <v>Nordics</v>
      </c>
      <c r="J2421" t="str">
        <f>PROPER(shipments[[#This Row],[delivery_status]])</f>
        <v>Cancelled</v>
      </c>
      <c r="K2421" t="s">
        <v>6972</v>
      </c>
    </row>
    <row r="2422" spans="1:11">
      <c r="A2422" t="s">
        <v>9358</v>
      </c>
      <c r="B2422" t="s">
        <v>3178</v>
      </c>
      <c r="C2422" t="s">
        <v>6925</v>
      </c>
      <c r="D2422" s="1">
        <v>45256</v>
      </c>
      <c r="E2422" s="1">
        <v>45263</v>
      </c>
      <c r="F2422" s="1">
        <v>45264</v>
      </c>
      <c r="G2422">
        <v>58.98</v>
      </c>
      <c r="H24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22" t="str">
        <f>IFERROR(INDEX(Raw_orders!G:G, MATCH(shipments[[#This Row],[order_id]],Raw_orders!A:A, 0)), "Unknown")</f>
        <v>Nordics</v>
      </c>
      <c r="J2422" t="str">
        <f>PROPER(shipments[[#This Row],[delivery_status]])</f>
        <v>Delivered</v>
      </c>
      <c r="K2422" t="s">
        <v>6929</v>
      </c>
    </row>
    <row r="2423" spans="1:11">
      <c r="A2423" t="s">
        <v>9359</v>
      </c>
      <c r="B2423" t="s">
        <v>3179</v>
      </c>
      <c r="C2423" t="s">
        <v>6928</v>
      </c>
      <c r="D2423" s="1">
        <v>45363</v>
      </c>
      <c r="E2423" s="1">
        <v>45365</v>
      </c>
      <c r="F2423" s="1"/>
      <c r="G2423">
        <v>14.44</v>
      </c>
      <c r="H24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423" t="str">
        <f>IFERROR(INDEX(Raw_orders!G:G, MATCH(shipments[[#This Row],[order_id]],Raw_orders!A:A, 0)), "Unknown")</f>
        <v>Central Europe</v>
      </c>
      <c r="J2423" t="str">
        <f>PROPER(shipments[[#This Row],[delivery_status]])</f>
        <v>Cancelled</v>
      </c>
      <c r="K2423" t="s">
        <v>6972</v>
      </c>
    </row>
    <row r="2424" spans="1:11">
      <c r="A2424" t="s">
        <v>9360</v>
      </c>
      <c r="B2424" t="s">
        <v>3180</v>
      </c>
      <c r="C2424" t="s">
        <v>6956</v>
      </c>
      <c r="D2424" s="1">
        <v>45124</v>
      </c>
      <c r="E2424" s="1">
        <v>45129</v>
      </c>
      <c r="F2424" s="1">
        <v>45132</v>
      </c>
      <c r="G2424">
        <v>22.65</v>
      </c>
      <c r="H24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24" t="str">
        <f>IFERROR(INDEX(Raw_orders!G:G, MATCH(shipments[[#This Row],[order_id]],Raw_orders!A:A, 0)), "Unknown")</f>
        <v>Central Europe</v>
      </c>
      <c r="J2424" t="str">
        <f>PROPER(shipments[[#This Row],[delivery_status]])</f>
        <v>Delivered</v>
      </c>
      <c r="K2424" t="s">
        <v>6926</v>
      </c>
    </row>
    <row r="2425" spans="1:11">
      <c r="A2425" t="s">
        <v>9361</v>
      </c>
      <c r="B2425" t="s">
        <v>3181</v>
      </c>
      <c r="C2425" t="s">
        <v>6921</v>
      </c>
      <c r="D2425" s="1">
        <v>45324</v>
      </c>
      <c r="E2425" s="1">
        <v>45327</v>
      </c>
      <c r="F2425" s="1">
        <v>45328</v>
      </c>
      <c r="G2425">
        <v>58.82</v>
      </c>
      <c r="H24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25" t="str">
        <f>IFERROR(INDEX(Raw_orders!G:G, MATCH(shipments[[#This Row],[order_id]],Raw_orders!A:A, 0)), "Unknown")</f>
        <v>Baltics</v>
      </c>
      <c r="J2425" t="str">
        <f>PROPER(shipments[[#This Row],[delivery_status]])</f>
        <v>Delivered</v>
      </c>
      <c r="K2425" t="s">
        <v>6926</v>
      </c>
    </row>
    <row r="2426" spans="1:11">
      <c r="A2426" t="s">
        <v>9362</v>
      </c>
      <c r="B2426" t="s">
        <v>3182</v>
      </c>
      <c r="C2426" t="s">
        <v>6921</v>
      </c>
      <c r="D2426" s="1">
        <v>45209</v>
      </c>
      <c r="E2426" s="1">
        <v>45214</v>
      </c>
      <c r="F2426" s="1">
        <v>45222</v>
      </c>
      <c r="G2426">
        <v>24.94</v>
      </c>
      <c r="H24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26" t="str">
        <f>IFERROR(INDEX(Raw_orders!G:G, MATCH(shipments[[#This Row],[order_id]],Raw_orders!A:A, 0)), "Unknown")</f>
        <v>Baltics</v>
      </c>
      <c r="J2426" t="str">
        <f>PROPER(shipments[[#This Row],[delivery_status]])</f>
        <v>Delivered</v>
      </c>
      <c r="K2426" t="s">
        <v>6922</v>
      </c>
    </row>
    <row r="2427" spans="1:11">
      <c r="A2427" t="s">
        <v>9363</v>
      </c>
      <c r="B2427" t="s">
        <v>3183</v>
      </c>
      <c r="C2427" t="s">
        <v>6935</v>
      </c>
      <c r="D2427" s="1">
        <v>45015</v>
      </c>
      <c r="E2427" s="1">
        <v>45022</v>
      </c>
      <c r="F2427" s="1">
        <v>45022</v>
      </c>
      <c r="G2427">
        <v>55.94</v>
      </c>
      <c r="H24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427" t="str">
        <f>IFERROR(INDEX(Raw_orders!G:G, MATCH(shipments[[#This Row],[order_id]],Raw_orders!A:A, 0)), "Unknown")</f>
        <v>Central Europe</v>
      </c>
      <c r="J2427" t="str">
        <f>PROPER(shipments[[#This Row],[delivery_status]])</f>
        <v>Delivered</v>
      </c>
      <c r="K2427" t="s">
        <v>6926</v>
      </c>
    </row>
    <row r="2428" spans="1:11">
      <c r="A2428" t="s">
        <v>9364</v>
      </c>
      <c r="B2428" t="s">
        <v>3184</v>
      </c>
      <c r="C2428" t="s">
        <v>6949</v>
      </c>
      <c r="D2428" s="1">
        <v>45417</v>
      </c>
      <c r="E2428" s="1">
        <v>45419</v>
      </c>
      <c r="F2428" s="1">
        <v>45421</v>
      </c>
      <c r="G2428">
        <v>27.28</v>
      </c>
      <c r="H24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28" t="str">
        <f>IFERROR(INDEX(Raw_orders!G:G, MATCH(shipments[[#This Row],[order_id]],Raw_orders!A:A, 0)), "Unknown")</f>
        <v>Central Europe</v>
      </c>
      <c r="J2428" t="str">
        <f>PROPER(shipments[[#This Row],[delivery_status]])</f>
        <v>Delivered</v>
      </c>
      <c r="K2428" t="s">
        <v>6926</v>
      </c>
    </row>
    <row r="2429" spans="1:11">
      <c r="A2429" t="s">
        <v>9365</v>
      </c>
      <c r="B2429" t="s">
        <v>3185</v>
      </c>
      <c r="C2429" t="s">
        <v>6928</v>
      </c>
      <c r="D2429" s="1">
        <v>44961</v>
      </c>
      <c r="E2429" s="1">
        <v>44968</v>
      </c>
      <c r="F2429" s="1">
        <v>44971</v>
      </c>
      <c r="G2429">
        <v>31.19</v>
      </c>
      <c r="H24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29" t="str">
        <f>IFERROR(INDEX(Raw_orders!G:G, MATCH(shipments[[#This Row],[order_id]],Raw_orders!A:A, 0)), "Unknown")</f>
        <v>Nordics</v>
      </c>
      <c r="J2429" t="str">
        <f>PROPER(shipments[[#This Row],[delivery_status]])</f>
        <v>Delivered</v>
      </c>
      <c r="K2429" t="s">
        <v>6926</v>
      </c>
    </row>
    <row r="2430" spans="1:11">
      <c r="A2430" t="s">
        <v>9366</v>
      </c>
      <c r="B2430" t="s">
        <v>3186</v>
      </c>
      <c r="C2430" t="s">
        <v>6928</v>
      </c>
      <c r="D2430" s="1">
        <v>45566</v>
      </c>
      <c r="E2430" s="1">
        <v>45571</v>
      </c>
      <c r="F2430" s="1">
        <v>45571</v>
      </c>
      <c r="G2430">
        <v>64.099999999999994</v>
      </c>
      <c r="H24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430" t="str">
        <f>IFERROR(INDEX(Raw_orders!G:G, MATCH(shipments[[#This Row],[order_id]],Raw_orders!A:A, 0)), "Unknown")</f>
        <v>Nordics</v>
      </c>
      <c r="J2430" t="str">
        <f>PROPER(shipments[[#This Row],[delivery_status]])</f>
        <v>Delivered</v>
      </c>
      <c r="K2430" t="s">
        <v>6929</v>
      </c>
    </row>
    <row r="2431" spans="1:11">
      <c r="A2431" t="s">
        <v>9367</v>
      </c>
      <c r="B2431" t="s">
        <v>3187</v>
      </c>
      <c r="C2431" t="s">
        <v>6921</v>
      </c>
      <c r="D2431" s="1">
        <v>45520</v>
      </c>
      <c r="E2431" s="1">
        <v>45527</v>
      </c>
      <c r="F2431" s="1">
        <v>45529</v>
      </c>
      <c r="G2431">
        <v>24.29</v>
      </c>
      <c r="H24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31" t="str">
        <f>IFERROR(INDEX(Raw_orders!G:G, MATCH(shipments[[#This Row],[order_id]],Raw_orders!A:A, 0)), "Unknown")</f>
        <v>Nordics</v>
      </c>
      <c r="J2431" t="str">
        <f>PROPER(shipments[[#This Row],[delivery_status]])</f>
        <v>Delivered</v>
      </c>
      <c r="K2431" t="s">
        <v>6929</v>
      </c>
    </row>
    <row r="2432" spans="1:11">
      <c r="A2432" t="s">
        <v>9368</v>
      </c>
      <c r="B2432" t="s">
        <v>3188</v>
      </c>
      <c r="C2432" t="s">
        <v>6928</v>
      </c>
      <c r="D2432" s="1">
        <v>45452</v>
      </c>
      <c r="E2432" s="1">
        <v>45455</v>
      </c>
      <c r="F2432" s="1">
        <v>45462</v>
      </c>
      <c r="G2432">
        <v>59.09</v>
      </c>
      <c r="H24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32" t="str">
        <f>IFERROR(INDEX(Raw_orders!G:G, MATCH(shipments[[#This Row],[order_id]],Raw_orders!A:A, 0)), "Unknown")</f>
        <v>Baltics</v>
      </c>
      <c r="J2432" t="str">
        <f>PROPER(shipments[[#This Row],[delivery_status]])</f>
        <v>Delivered</v>
      </c>
      <c r="K2432" t="s">
        <v>6922</v>
      </c>
    </row>
    <row r="2433" spans="1:11">
      <c r="A2433" t="s">
        <v>9369</v>
      </c>
      <c r="B2433" t="s">
        <v>3189</v>
      </c>
      <c r="C2433" t="s">
        <v>6928</v>
      </c>
      <c r="D2433" s="1">
        <v>45243</v>
      </c>
      <c r="E2433" s="1">
        <v>45246</v>
      </c>
      <c r="F2433" s="1">
        <v>45246</v>
      </c>
      <c r="G2433">
        <v>42.95</v>
      </c>
      <c r="H24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433" t="str">
        <f>IFERROR(INDEX(Raw_orders!G:G, MATCH(shipments[[#This Row],[order_id]],Raw_orders!A:A, 0)), "Unknown")</f>
        <v>Central Europe</v>
      </c>
      <c r="J2433" t="str">
        <f>PROPER(shipments[[#This Row],[delivery_status]])</f>
        <v>Delivered</v>
      </c>
      <c r="K2433" t="s">
        <v>6926</v>
      </c>
    </row>
    <row r="2434" spans="1:11">
      <c r="A2434" t="s">
        <v>9370</v>
      </c>
      <c r="B2434" t="s">
        <v>3190</v>
      </c>
      <c r="C2434" t="s">
        <v>6938</v>
      </c>
      <c r="D2434" s="1">
        <v>45314</v>
      </c>
      <c r="E2434" s="1">
        <v>45324</v>
      </c>
      <c r="F2434" s="1">
        <v>45326</v>
      </c>
      <c r="G2434">
        <v>55.56</v>
      </c>
      <c r="H24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34" t="str">
        <f>IFERROR(INDEX(Raw_orders!G:G, MATCH(shipments[[#This Row],[order_id]],Raw_orders!A:A, 0)), "Unknown")</f>
        <v>Nordics</v>
      </c>
      <c r="J2434" t="str">
        <f>PROPER(shipments[[#This Row],[delivery_status]])</f>
        <v>Delivered</v>
      </c>
      <c r="K2434" t="s">
        <v>6926</v>
      </c>
    </row>
    <row r="2435" spans="1:11">
      <c r="A2435" t="s">
        <v>9371</v>
      </c>
      <c r="B2435" t="s">
        <v>3190</v>
      </c>
      <c r="C2435" t="s">
        <v>6938</v>
      </c>
      <c r="D2435" s="1">
        <v>45313</v>
      </c>
      <c r="E2435" s="1">
        <v>45316</v>
      </c>
      <c r="F2435" s="1">
        <v>45316</v>
      </c>
      <c r="G2435">
        <v>35.409999999999997</v>
      </c>
      <c r="H24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435" t="str">
        <f>IFERROR(INDEX(Raw_orders!G:G, MATCH(shipments[[#This Row],[order_id]],Raw_orders!A:A, 0)), "Unknown")</f>
        <v>Nordics</v>
      </c>
      <c r="J2435" t="str">
        <f>PROPER(shipments[[#This Row],[delivery_status]])</f>
        <v>Delivered</v>
      </c>
      <c r="K2435" t="s">
        <v>6926</v>
      </c>
    </row>
    <row r="2436" spans="1:11">
      <c r="A2436" t="s">
        <v>9372</v>
      </c>
      <c r="B2436" t="s">
        <v>3191</v>
      </c>
      <c r="C2436" t="s">
        <v>6935</v>
      </c>
      <c r="D2436" s="1">
        <v>45552</v>
      </c>
      <c r="E2436" s="1">
        <v>45555</v>
      </c>
      <c r="F2436" s="1">
        <v>45555</v>
      </c>
      <c r="G2436">
        <v>57.92</v>
      </c>
      <c r="H24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436" t="str">
        <f>IFERROR(INDEX(Raw_orders!G:G, MATCH(shipments[[#This Row],[order_id]],Raw_orders!A:A, 0)), "Unknown")</f>
        <v>Baltics</v>
      </c>
      <c r="J2436" t="str">
        <f>PROPER(shipments[[#This Row],[delivery_status]])</f>
        <v>Delivered</v>
      </c>
      <c r="K2436" t="s">
        <v>6922</v>
      </c>
    </row>
    <row r="2437" spans="1:11">
      <c r="A2437" t="s">
        <v>9373</v>
      </c>
      <c r="B2437" t="s">
        <v>3192</v>
      </c>
      <c r="C2437" t="s">
        <v>6931</v>
      </c>
      <c r="D2437" s="1">
        <v>45574</v>
      </c>
      <c r="E2437" s="1">
        <v>45581</v>
      </c>
      <c r="F2437" s="1">
        <v>45583</v>
      </c>
      <c r="G2437">
        <v>23.85</v>
      </c>
      <c r="H24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37" t="str">
        <f>IFERROR(INDEX(Raw_orders!G:G, MATCH(shipments[[#This Row],[order_id]],Raw_orders!A:A, 0)), "Unknown")</f>
        <v>Central Europe</v>
      </c>
      <c r="J2437" t="str">
        <f>PROPER(shipments[[#This Row],[delivery_status]])</f>
        <v>Delivered</v>
      </c>
      <c r="K2437" t="s">
        <v>6929</v>
      </c>
    </row>
    <row r="2438" spans="1:11">
      <c r="A2438" t="s">
        <v>9374</v>
      </c>
      <c r="B2438" t="s">
        <v>3193</v>
      </c>
      <c r="C2438" t="s">
        <v>6928</v>
      </c>
      <c r="D2438" s="1">
        <v>45454</v>
      </c>
      <c r="E2438" s="1">
        <v>45461</v>
      </c>
      <c r="F2438" s="1">
        <v>45461</v>
      </c>
      <c r="G2438">
        <v>55.37</v>
      </c>
      <c r="H24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438" t="str">
        <f>IFERROR(INDEX(Raw_orders!G:G, MATCH(shipments[[#This Row],[order_id]],Raw_orders!A:A, 0)), "Unknown")</f>
        <v>Baltics</v>
      </c>
      <c r="J2438" t="str">
        <f>PROPER(shipments[[#This Row],[delivery_status]])</f>
        <v>Delivered</v>
      </c>
      <c r="K2438" t="s">
        <v>6926</v>
      </c>
    </row>
    <row r="2439" spans="1:11">
      <c r="A2439" t="s">
        <v>9375</v>
      </c>
      <c r="B2439" t="s">
        <v>3194</v>
      </c>
      <c r="C2439" t="s">
        <v>6928</v>
      </c>
      <c r="D2439" s="1">
        <v>45524</v>
      </c>
      <c r="E2439" s="1">
        <v>45531</v>
      </c>
      <c r="F2439" s="1">
        <v>45539</v>
      </c>
      <c r="G2439">
        <v>57.68</v>
      </c>
      <c r="H24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39" t="str">
        <f>IFERROR(INDEX(Raw_orders!G:G, MATCH(shipments[[#This Row],[order_id]],Raw_orders!A:A, 0)), "Unknown")</f>
        <v>Baltics</v>
      </c>
      <c r="J2439" t="str">
        <f>PROPER(shipments[[#This Row],[delivery_status]])</f>
        <v>Delivered</v>
      </c>
      <c r="K2439" t="s">
        <v>6922</v>
      </c>
    </row>
    <row r="2440" spans="1:11">
      <c r="A2440" t="s">
        <v>9376</v>
      </c>
      <c r="B2440" t="s">
        <v>3195</v>
      </c>
      <c r="C2440" t="s">
        <v>6956</v>
      </c>
      <c r="D2440" s="1">
        <v>45365</v>
      </c>
      <c r="E2440" s="1">
        <v>45367</v>
      </c>
      <c r="F2440" s="1">
        <v>45369</v>
      </c>
      <c r="G2440">
        <v>26.38</v>
      </c>
      <c r="H24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40" t="str">
        <f>IFERROR(INDEX(Raw_orders!G:G, MATCH(shipments[[#This Row],[order_id]],Raw_orders!A:A, 0)), "Unknown")</f>
        <v>Central Europe</v>
      </c>
      <c r="J2440" t="str">
        <f>PROPER(shipments[[#This Row],[delivery_status]])</f>
        <v>Delivered</v>
      </c>
      <c r="K2440" t="s">
        <v>6929</v>
      </c>
    </row>
    <row r="2441" spans="1:11">
      <c r="A2441" t="s">
        <v>9377</v>
      </c>
      <c r="B2441" t="s">
        <v>3196</v>
      </c>
      <c r="C2441" t="s">
        <v>6940</v>
      </c>
      <c r="D2441" s="1">
        <v>45122</v>
      </c>
      <c r="E2441" s="1">
        <v>45124</v>
      </c>
      <c r="F2441" s="1">
        <v>45131</v>
      </c>
      <c r="G2441">
        <v>57.96</v>
      </c>
      <c r="H24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41" t="str">
        <f>IFERROR(INDEX(Raw_orders!G:G, MATCH(shipments[[#This Row],[order_id]],Raw_orders!A:A, 0)), "Unknown")</f>
        <v>Nordics</v>
      </c>
      <c r="J2441" t="str">
        <f>PROPER(shipments[[#This Row],[delivery_status]])</f>
        <v>Delivered</v>
      </c>
      <c r="K2441" t="s">
        <v>6922</v>
      </c>
    </row>
    <row r="2442" spans="1:11">
      <c r="A2442" t="s">
        <v>9378</v>
      </c>
      <c r="B2442" t="s">
        <v>3197</v>
      </c>
      <c r="C2442" t="s">
        <v>6949</v>
      </c>
      <c r="D2442" s="1">
        <v>45480</v>
      </c>
      <c r="E2442" s="1">
        <v>45482</v>
      </c>
      <c r="F2442" s="1">
        <v>45485</v>
      </c>
      <c r="G2442">
        <v>54.69</v>
      </c>
      <c r="H24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42" t="str">
        <f>IFERROR(INDEX(Raw_orders!G:G, MATCH(shipments[[#This Row],[order_id]],Raw_orders!A:A, 0)), "Unknown")</f>
        <v>Central Europe</v>
      </c>
      <c r="J2442" t="str">
        <f>PROPER(shipments[[#This Row],[delivery_status]])</f>
        <v>Delivered</v>
      </c>
      <c r="K2442" t="s">
        <v>6922</v>
      </c>
    </row>
    <row r="2443" spans="1:11">
      <c r="A2443" t="s">
        <v>9379</v>
      </c>
      <c r="B2443" t="s">
        <v>3198</v>
      </c>
      <c r="C2443" t="s">
        <v>6928</v>
      </c>
      <c r="D2443" s="1">
        <v>45374</v>
      </c>
      <c r="E2443" s="1">
        <v>45376</v>
      </c>
      <c r="F2443" s="1"/>
      <c r="G2443">
        <v>8.41</v>
      </c>
      <c r="H24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443" t="str">
        <f>IFERROR(INDEX(Raw_orders!G:G, MATCH(shipments[[#This Row],[order_id]],Raw_orders!A:A, 0)), "Unknown")</f>
        <v>Nordics</v>
      </c>
      <c r="J2443" t="str">
        <f>PROPER(shipments[[#This Row],[delivery_status]])</f>
        <v>In Transit</v>
      </c>
      <c r="K2443" t="s">
        <v>6958</v>
      </c>
    </row>
    <row r="2444" spans="1:11">
      <c r="A2444" t="s">
        <v>9380</v>
      </c>
      <c r="B2444" t="s">
        <v>3199</v>
      </c>
      <c r="C2444" t="s">
        <v>6938</v>
      </c>
      <c r="D2444" s="1">
        <v>45147</v>
      </c>
      <c r="E2444" s="1">
        <v>45149</v>
      </c>
      <c r="F2444" s="1">
        <v>45149</v>
      </c>
      <c r="G2444">
        <v>24.98</v>
      </c>
      <c r="H24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444" t="str">
        <f>IFERROR(INDEX(Raw_orders!G:G, MATCH(shipments[[#This Row],[order_id]],Raw_orders!A:A, 0)), "Unknown")</f>
        <v>Nordics</v>
      </c>
      <c r="J2444" t="str">
        <f>PROPER(shipments[[#This Row],[delivery_status]])</f>
        <v>Delivered</v>
      </c>
      <c r="K2444" t="s">
        <v>6929</v>
      </c>
    </row>
    <row r="2445" spans="1:11">
      <c r="A2445" t="s">
        <v>9381</v>
      </c>
      <c r="B2445" t="s">
        <v>3200</v>
      </c>
      <c r="C2445" t="s">
        <v>6925</v>
      </c>
      <c r="D2445" s="1">
        <v>45092</v>
      </c>
      <c r="E2445" s="1">
        <v>45102</v>
      </c>
      <c r="F2445" s="1">
        <v>45102</v>
      </c>
      <c r="G2445">
        <v>61.98</v>
      </c>
      <c r="H24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445" t="str">
        <f>IFERROR(INDEX(Raw_orders!G:G, MATCH(shipments[[#This Row],[order_id]],Raw_orders!A:A, 0)), "Unknown")</f>
        <v>Central Europe</v>
      </c>
      <c r="J2445" t="str">
        <f>PROPER(shipments[[#This Row],[delivery_status]])</f>
        <v>Delivered</v>
      </c>
      <c r="K2445" t="s">
        <v>6926</v>
      </c>
    </row>
    <row r="2446" spans="1:11">
      <c r="A2446" t="s">
        <v>9382</v>
      </c>
      <c r="B2446" t="s">
        <v>3201</v>
      </c>
      <c r="C2446" t="s">
        <v>6935</v>
      </c>
      <c r="D2446" s="1">
        <v>45273</v>
      </c>
      <c r="E2446" s="1">
        <v>45275</v>
      </c>
      <c r="F2446" s="1"/>
      <c r="G2446">
        <v>50.12</v>
      </c>
      <c r="H24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446" t="str">
        <f>IFERROR(INDEX(Raw_orders!G:G, MATCH(shipments[[#This Row],[order_id]],Raw_orders!A:A, 0)), "Unknown")</f>
        <v>Central Europe</v>
      </c>
      <c r="J2446" t="str">
        <f>PROPER(shipments[[#This Row],[delivery_status]])</f>
        <v>Cancelled</v>
      </c>
      <c r="K2446" t="s">
        <v>6972</v>
      </c>
    </row>
    <row r="2447" spans="1:11">
      <c r="A2447" t="s">
        <v>9383</v>
      </c>
      <c r="B2447" t="s">
        <v>3202</v>
      </c>
      <c r="C2447" t="s">
        <v>6925</v>
      </c>
      <c r="D2447" s="1">
        <v>45547</v>
      </c>
      <c r="E2447" s="1">
        <v>45554</v>
      </c>
      <c r="F2447" s="1">
        <v>45554</v>
      </c>
      <c r="G2447">
        <v>57.27</v>
      </c>
      <c r="H24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447" t="str">
        <f>IFERROR(INDEX(Raw_orders!G:G, MATCH(shipments[[#This Row],[order_id]],Raw_orders!A:A, 0)), "Unknown")</f>
        <v>Nordics</v>
      </c>
      <c r="J2447" t="str">
        <f>PROPER(shipments[[#This Row],[delivery_status]])</f>
        <v>Delivered</v>
      </c>
      <c r="K2447" t="s">
        <v>6929</v>
      </c>
    </row>
    <row r="2448" spans="1:11">
      <c r="A2448" t="s">
        <v>9384</v>
      </c>
      <c r="B2448" t="s">
        <v>3203</v>
      </c>
      <c r="C2448" t="s">
        <v>6921</v>
      </c>
      <c r="D2448" s="1">
        <v>45144</v>
      </c>
      <c r="E2448" s="1">
        <v>45147</v>
      </c>
      <c r="F2448" s="1">
        <v>45148</v>
      </c>
      <c r="G2448">
        <v>7.23</v>
      </c>
      <c r="H24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48" t="str">
        <f>IFERROR(INDEX(Raw_orders!G:G, MATCH(shipments[[#This Row],[order_id]],Raw_orders!A:A, 0)), "Unknown")</f>
        <v>Central Europe</v>
      </c>
      <c r="J2448" t="str">
        <f>PROPER(shipments[[#This Row],[delivery_status]])</f>
        <v>Delivered</v>
      </c>
      <c r="K2448" t="s">
        <v>6922</v>
      </c>
    </row>
    <row r="2449" spans="1:11">
      <c r="A2449" t="s">
        <v>9385</v>
      </c>
      <c r="B2449" t="s">
        <v>3204</v>
      </c>
      <c r="C2449" t="s">
        <v>6928</v>
      </c>
      <c r="D2449" s="1">
        <v>45028</v>
      </c>
      <c r="E2449" s="1">
        <v>45031</v>
      </c>
      <c r="F2449" s="1">
        <v>45036</v>
      </c>
      <c r="G2449">
        <v>48.15</v>
      </c>
      <c r="H24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49" t="str">
        <f>IFERROR(INDEX(Raw_orders!G:G, MATCH(shipments[[#This Row],[order_id]],Raw_orders!A:A, 0)), "Unknown")</f>
        <v>Baltics</v>
      </c>
      <c r="J2449" t="str">
        <f>PROPER(shipments[[#This Row],[delivery_status]])</f>
        <v>Delivered</v>
      </c>
      <c r="K2449" t="s">
        <v>6926</v>
      </c>
    </row>
    <row r="2450" spans="1:11">
      <c r="A2450" t="s">
        <v>9386</v>
      </c>
      <c r="B2450" t="s">
        <v>3205</v>
      </c>
      <c r="C2450" t="s">
        <v>6956</v>
      </c>
      <c r="D2450" s="1">
        <v>45070</v>
      </c>
      <c r="E2450" s="1">
        <v>45080</v>
      </c>
      <c r="F2450" s="1">
        <v>45079</v>
      </c>
      <c r="G2450">
        <v>26.29</v>
      </c>
      <c r="H24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450" t="str">
        <f>IFERROR(INDEX(Raw_orders!G:G, MATCH(shipments[[#This Row],[order_id]],Raw_orders!A:A, 0)), "Unknown")</f>
        <v>Central Europe</v>
      </c>
      <c r="J2450" t="str">
        <f>PROPER(shipments[[#This Row],[delivery_status]])</f>
        <v>Delivered</v>
      </c>
      <c r="K2450" t="s">
        <v>6922</v>
      </c>
    </row>
    <row r="2451" spans="1:11">
      <c r="A2451" t="s">
        <v>9387</v>
      </c>
      <c r="B2451" t="s">
        <v>3206</v>
      </c>
      <c r="C2451" t="s">
        <v>6940</v>
      </c>
      <c r="D2451" s="1">
        <v>45216</v>
      </c>
      <c r="E2451" s="1">
        <v>45219</v>
      </c>
      <c r="F2451" s="1">
        <v>45219</v>
      </c>
      <c r="G2451">
        <v>12.39</v>
      </c>
      <c r="H24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451" t="str">
        <f>IFERROR(INDEX(Raw_orders!G:G, MATCH(shipments[[#This Row],[order_id]],Raw_orders!A:A, 0)), "Unknown")</f>
        <v>Baltics</v>
      </c>
      <c r="J2451" t="str">
        <f>PROPER(shipments[[#This Row],[delivery_status]])</f>
        <v>Delivered</v>
      </c>
      <c r="K2451" t="s">
        <v>6926</v>
      </c>
    </row>
    <row r="2452" spans="1:11">
      <c r="A2452" t="s">
        <v>9388</v>
      </c>
      <c r="B2452" t="s">
        <v>3207</v>
      </c>
      <c r="C2452" t="s">
        <v>6956</v>
      </c>
      <c r="D2452" s="1">
        <v>45509</v>
      </c>
      <c r="E2452" s="1">
        <v>45511</v>
      </c>
      <c r="F2452" s="1">
        <v>45510</v>
      </c>
      <c r="G2452">
        <v>23.14</v>
      </c>
      <c r="H24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452" t="str">
        <f>IFERROR(INDEX(Raw_orders!G:G, MATCH(shipments[[#This Row],[order_id]],Raw_orders!A:A, 0)), "Unknown")</f>
        <v>Central Europe</v>
      </c>
      <c r="J2452" t="str">
        <f>PROPER(shipments[[#This Row],[delivery_status]])</f>
        <v>Delivered</v>
      </c>
      <c r="K2452" t="s">
        <v>6922</v>
      </c>
    </row>
    <row r="2453" spans="1:11">
      <c r="A2453" t="s">
        <v>9389</v>
      </c>
      <c r="B2453" t="s">
        <v>3208</v>
      </c>
      <c r="C2453" t="s">
        <v>6921</v>
      </c>
      <c r="D2453" s="1">
        <v>45314</v>
      </c>
      <c r="E2453" s="1">
        <v>45324</v>
      </c>
      <c r="F2453" s="1"/>
      <c r="G2453">
        <v>36.17</v>
      </c>
      <c r="H24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453" t="str">
        <f>IFERROR(INDEX(Raw_orders!G:G, MATCH(shipments[[#This Row],[order_id]],Raw_orders!A:A, 0)), "Unknown")</f>
        <v>Nordics</v>
      </c>
      <c r="J2453" t="str">
        <f>PROPER(shipments[[#This Row],[delivery_status]])</f>
        <v>In Transit</v>
      </c>
      <c r="K2453" t="s">
        <v>6946</v>
      </c>
    </row>
    <row r="2454" spans="1:11">
      <c r="A2454" t="s">
        <v>9390</v>
      </c>
      <c r="B2454" t="s">
        <v>3209</v>
      </c>
      <c r="C2454" t="s">
        <v>6925</v>
      </c>
      <c r="D2454" s="1">
        <v>45430</v>
      </c>
      <c r="E2454" s="1">
        <v>45435</v>
      </c>
      <c r="F2454" s="1">
        <v>45435</v>
      </c>
      <c r="G2454">
        <v>26.23</v>
      </c>
      <c r="H24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454" t="str">
        <f>IFERROR(INDEX(Raw_orders!G:G, MATCH(shipments[[#This Row],[order_id]],Raw_orders!A:A, 0)), "Unknown")</f>
        <v>Nordics</v>
      </c>
      <c r="J2454" t="str">
        <f>PROPER(shipments[[#This Row],[delivery_status]])</f>
        <v>Delivered</v>
      </c>
      <c r="K2454" t="s">
        <v>6922</v>
      </c>
    </row>
    <row r="2455" spans="1:11">
      <c r="A2455" t="s">
        <v>9391</v>
      </c>
      <c r="B2455" t="s">
        <v>3210</v>
      </c>
      <c r="C2455" t="s">
        <v>6935</v>
      </c>
      <c r="D2455" s="1">
        <v>45166</v>
      </c>
      <c r="E2455" s="1">
        <v>45176</v>
      </c>
      <c r="F2455" s="1">
        <v>45178</v>
      </c>
      <c r="G2455">
        <v>51.39</v>
      </c>
      <c r="H24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55" t="str">
        <f>IFERROR(INDEX(Raw_orders!G:G, MATCH(shipments[[#This Row],[order_id]],Raw_orders!A:A, 0)), "Unknown")</f>
        <v>Central Europe</v>
      </c>
      <c r="J2455" t="str">
        <f>PROPER(shipments[[#This Row],[delivery_status]])</f>
        <v>Delivered</v>
      </c>
      <c r="K2455" t="s">
        <v>6926</v>
      </c>
    </row>
    <row r="2456" spans="1:11">
      <c r="A2456" t="s">
        <v>9392</v>
      </c>
      <c r="B2456" t="s">
        <v>3211</v>
      </c>
      <c r="C2456" t="s">
        <v>6940</v>
      </c>
      <c r="D2456" s="1">
        <v>45054</v>
      </c>
      <c r="E2456" s="1">
        <v>45056</v>
      </c>
      <c r="F2456" s="1">
        <v>45055</v>
      </c>
      <c r="G2456">
        <v>49.35</v>
      </c>
      <c r="H24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456" t="str">
        <f>IFERROR(INDEX(Raw_orders!G:G, MATCH(shipments[[#This Row],[order_id]],Raw_orders!A:A, 0)), "Unknown")</f>
        <v>Baltics</v>
      </c>
      <c r="J2456" t="str">
        <f>PROPER(shipments[[#This Row],[delivery_status]])</f>
        <v>Delivered</v>
      </c>
      <c r="K2456" t="s">
        <v>6926</v>
      </c>
    </row>
    <row r="2457" spans="1:11">
      <c r="A2457" t="s">
        <v>9393</v>
      </c>
      <c r="B2457" t="s">
        <v>3212</v>
      </c>
      <c r="C2457" t="s">
        <v>6928</v>
      </c>
      <c r="D2457" s="1">
        <v>44993</v>
      </c>
      <c r="E2457" s="1">
        <v>45000</v>
      </c>
      <c r="F2457" s="1">
        <v>45003</v>
      </c>
      <c r="G2457">
        <v>38.630000000000003</v>
      </c>
      <c r="H24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57" t="str">
        <f>IFERROR(INDEX(Raw_orders!G:G, MATCH(shipments[[#This Row],[order_id]],Raw_orders!A:A, 0)), "Unknown")</f>
        <v>Baltics</v>
      </c>
      <c r="J2457" t="str">
        <f>PROPER(shipments[[#This Row],[delivery_status]])</f>
        <v>Delivered</v>
      </c>
      <c r="K2457" t="s">
        <v>6926</v>
      </c>
    </row>
    <row r="2458" spans="1:11">
      <c r="A2458" t="s">
        <v>9394</v>
      </c>
      <c r="B2458" t="s">
        <v>3213</v>
      </c>
      <c r="C2458" t="s">
        <v>6935</v>
      </c>
      <c r="D2458" s="1">
        <v>45210</v>
      </c>
      <c r="E2458" s="1">
        <v>45220</v>
      </c>
      <c r="F2458" s="1">
        <v>45222</v>
      </c>
      <c r="G2458">
        <v>48.87</v>
      </c>
      <c r="H24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58" t="str">
        <f>IFERROR(INDEX(Raw_orders!G:G, MATCH(shipments[[#This Row],[order_id]],Raw_orders!A:A, 0)), "Unknown")</f>
        <v>Central Europe</v>
      </c>
      <c r="J2458" t="str">
        <f>PROPER(shipments[[#This Row],[delivery_status]])</f>
        <v>Delivered</v>
      </c>
      <c r="K2458" t="s">
        <v>6922</v>
      </c>
    </row>
    <row r="2459" spans="1:11">
      <c r="A2459" t="s">
        <v>9395</v>
      </c>
      <c r="B2459" t="s">
        <v>3214</v>
      </c>
      <c r="C2459" t="s">
        <v>6931</v>
      </c>
      <c r="D2459" s="1">
        <v>45138</v>
      </c>
      <c r="E2459" s="1">
        <v>45145</v>
      </c>
      <c r="F2459" s="1"/>
      <c r="G2459">
        <v>44.07</v>
      </c>
      <c r="H24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459" t="str">
        <f>IFERROR(INDEX(Raw_orders!G:G, MATCH(shipments[[#This Row],[order_id]],Raw_orders!A:A, 0)), "Unknown")</f>
        <v>Baltics</v>
      </c>
      <c r="J2459" t="str">
        <f>PROPER(shipments[[#This Row],[delivery_status]])</f>
        <v>In Transit</v>
      </c>
      <c r="K2459" t="s">
        <v>6958</v>
      </c>
    </row>
    <row r="2460" spans="1:11">
      <c r="A2460" t="s">
        <v>9396</v>
      </c>
      <c r="B2460" t="s">
        <v>3215</v>
      </c>
      <c r="C2460" t="s">
        <v>6956</v>
      </c>
      <c r="D2460" s="1">
        <v>45071</v>
      </c>
      <c r="E2460" s="1">
        <v>45073</v>
      </c>
      <c r="F2460" s="1">
        <v>45073</v>
      </c>
      <c r="G2460">
        <v>24.82</v>
      </c>
      <c r="H24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460" t="str">
        <f>IFERROR(INDEX(Raw_orders!G:G, MATCH(shipments[[#This Row],[order_id]],Raw_orders!A:A, 0)), "Unknown")</f>
        <v>Baltics</v>
      </c>
      <c r="J2460" t="str">
        <f>PROPER(shipments[[#This Row],[delivery_status]])</f>
        <v>Delivered</v>
      </c>
      <c r="K2460" t="s">
        <v>6929</v>
      </c>
    </row>
    <row r="2461" spans="1:11">
      <c r="A2461" t="s">
        <v>9397</v>
      </c>
      <c r="B2461" t="s">
        <v>3216</v>
      </c>
      <c r="C2461" t="s">
        <v>6938</v>
      </c>
      <c r="D2461" s="1">
        <v>45574</v>
      </c>
      <c r="E2461" s="1">
        <v>45577</v>
      </c>
      <c r="F2461" s="1"/>
      <c r="G2461">
        <v>35.03</v>
      </c>
      <c r="H24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461" t="str">
        <f>IFERROR(INDEX(Raw_orders!G:G, MATCH(shipments[[#This Row],[order_id]],Raw_orders!A:A, 0)), "Unknown")</f>
        <v>Nordics</v>
      </c>
      <c r="J2461" t="str">
        <f>PROPER(shipments[[#This Row],[delivery_status]])</f>
        <v>In Transit</v>
      </c>
      <c r="K2461" t="s">
        <v>6958</v>
      </c>
    </row>
    <row r="2462" spans="1:11">
      <c r="A2462" t="s">
        <v>9398</v>
      </c>
      <c r="B2462" t="s">
        <v>3217</v>
      </c>
      <c r="C2462" t="s">
        <v>6921</v>
      </c>
      <c r="D2462" s="1">
        <v>45209</v>
      </c>
      <c r="E2462" s="1">
        <v>45212</v>
      </c>
      <c r="F2462" s="1"/>
      <c r="G2462">
        <v>39.69</v>
      </c>
      <c r="H24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462" t="str">
        <f>IFERROR(INDEX(Raw_orders!G:G, MATCH(shipments[[#This Row],[order_id]],Raw_orders!A:A, 0)), "Unknown")</f>
        <v>Nordics</v>
      </c>
      <c r="J2462" t="str">
        <f>PROPER(shipments[[#This Row],[delivery_status]])</f>
        <v>Cancelled</v>
      </c>
      <c r="K2462" t="s">
        <v>6972</v>
      </c>
    </row>
    <row r="2463" spans="1:11">
      <c r="A2463" t="s">
        <v>9399</v>
      </c>
      <c r="B2463" t="s">
        <v>3218</v>
      </c>
      <c r="C2463" t="s">
        <v>6938</v>
      </c>
      <c r="D2463" s="1">
        <v>45256</v>
      </c>
      <c r="E2463" s="1">
        <v>45258</v>
      </c>
      <c r="F2463" s="1">
        <v>45266</v>
      </c>
      <c r="G2463">
        <v>4.53</v>
      </c>
      <c r="H24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63" t="str">
        <f>IFERROR(INDEX(Raw_orders!G:G, MATCH(shipments[[#This Row],[order_id]],Raw_orders!A:A, 0)), "Unknown")</f>
        <v>Central Europe</v>
      </c>
      <c r="J2463" t="str">
        <f>PROPER(shipments[[#This Row],[delivery_status]])</f>
        <v>Delivered</v>
      </c>
      <c r="K2463" t="s">
        <v>6929</v>
      </c>
    </row>
    <row r="2464" spans="1:11">
      <c r="A2464" t="s">
        <v>9400</v>
      </c>
      <c r="B2464" t="s">
        <v>3219</v>
      </c>
      <c r="C2464" t="s">
        <v>6956</v>
      </c>
      <c r="D2464" s="1">
        <v>45505</v>
      </c>
      <c r="E2464" s="1">
        <v>45507</v>
      </c>
      <c r="F2464" s="1">
        <v>45508</v>
      </c>
      <c r="G2464">
        <v>49.57</v>
      </c>
      <c r="H24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64" t="str">
        <f>IFERROR(INDEX(Raw_orders!G:G, MATCH(shipments[[#This Row],[order_id]],Raw_orders!A:A, 0)), "Unknown")</f>
        <v>Nordics</v>
      </c>
      <c r="J2464" t="str">
        <f>PROPER(shipments[[#This Row],[delivery_status]])</f>
        <v>Delivered</v>
      </c>
      <c r="K2464" t="s">
        <v>6926</v>
      </c>
    </row>
    <row r="2465" spans="1:11">
      <c r="A2465" t="s">
        <v>9401</v>
      </c>
      <c r="B2465" t="s">
        <v>3220</v>
      </c>
      <c r="C2465" t="s">
        <v>6921</v>
      </c>
      <c r="D2465" s="1">
        <v>45368</v>
      </c>
      <c r="E2465" s="1">
        <v>45378</v>
      </c>
      <c r="F2465" s="1">
        <v>45387</v>
      </c>
      <c r="G2465">
        <v>46.35</v>
      </c>
      <c r="H24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65" t="str">
        <f>IFERROR(INDEX(Raw_orders!G:G, MATCH(shipments[[#This Row],[order_id]],Raw_orders!A:A, 0)), "Unknown")</f>
        <v>Nordics</v>
      </c>
      <c r="J2465" t="str">
        <f>PROPER(shipments[[#This Row],[delivery_status]])</f>
        <v>Delivered</v>
      </c>
      <c r="K2465" t="s">
        <v>6922</v>
      </c>
    </row>
    <row r="2466" spans="1:11">
      <c r="A2466" t="s">
        <v>9402</v>
      </c>
      <c r="B2466" t="s">
        <v>3221</v>
      </c>
      <c r="C2466" t="s">
        <v>6956</v>
      </c>
      <c r="D2466" s="1">
        <v>45248</v>
      </c>
      <c r="E2466" s="1">
        <v>45253</v>
      </c>
      <c r="F2466" s="1">
        <v>45258</v>
      </c>
      <c r="G2466">
        <v>60.16</v>
      </c>
      <c r="H24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66" t="str">
        <f>IFERROR(INDEX(Raw_orders!G:G, MATCH(shipments[[#This Row],[order_id]],Raw_orders!A:A, 0)), "Unknown")</f>
        <v>Central Europe</v>
      </c>
      <c r="J2466" t="str">
        <f>PROPER(shipments[[#This Row],[delivery_status]])</f>
        <v>Delivered</v>
      </c>
      <c r="K2466" t="s">
        <v>6929</v>
      </c>
    </row>
    <row r="2467" spans="1:11">
      <c r="A2467" t="s">
        <v>9403</v>
      </c>
      <c r="B2467" t="s">
        <v>3221</v>
      </c>
      <c r="C2467" t="s">
        <v>6925</v>
      </c>
      <c r="D2467" s="1">
        <v>45247</v>
      </c>
      <c r="E2467" s="1">
        <v>45254</v>
      </c>
      <c r="F2467" s="1">
        <v>45255</v>
      </c>
      <c r="G2467">
        <v>29.79</v>
      </c>
      <c r="H24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67" t="str">
        <f>IFERROR(INDEX(Raw_orders!G:G, MATCH(shipments[[#This Row],[order_id]],Raw_orders!A:A, 0)), "Unknown")</f>
        <v>Central Europe</v>
      </c>
      <c r="J2467" t="str">
        <f>PROPER(shipments[[#This Row],[delivery_status]])</f>
        <v>Delivered</v>
      </c>
      <c r="K2467" t="s">
        <v>6929</v>
      </c>
    </row>
    <row r="2468" spans="1:11">
      <c r="A2468" t="s">
        <v>9404</v>
      </c>
      <c r="B2468" t="s">
        <v>3222</v>
      </c>
      <c r="C2468" t="s">
        <v>6938</v>
      </c>
      <c r="D2468" s="1">
        <v>45062</v>
      </c>
      <c r="E2468" s="1">
        <v>45064</v>
      </c>
      <c r="F2468" s="1">
        <v>45065</v>
      </c>
      <c r="G2468">
        <v>41.2</v>
      </c>
      <c r="H24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68" t="str">
        <f>IFERROR(INDEX(Raw_orders!G:G, MATCH(shipments[[#This Row],[order_id]],Raw_orders!A:A, 0)), "Unknown")</f>
        <v>Nordics</v>
      </c>
      <c r="J2468" t="str">
        <f>PROPER(shipments[[#This Row],[delivery_status]])</f>
        <v>Delivered</v>
      </c>
      <c r="K2468" t="s">
        <v>6922</v>
      </c>
    </row>
    <row r="2469" spans="1:11">
      <c r="A2469" t="s">
        <v>9405</v>
      </c>
      <c r="B2469" t="s">
        <v>3223</v>
      </c>
      <c r="C2469" t="s">
        <v>6935</v>
      </c>
      <c r="D2469" s="1">
        <v>45008</v>
      </c>
      <c r="E2469" s="1">
        <v>45018</v>
      </c>
      <c r="F2469" s="1">
        <v>45026</v>
      </c>
      <c r="G2469">
        <v>45.76</v>
      </c>
      <c r="H24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69" t="str">
        <f>IFERROR(INDEX(Raw_orders!G:G, MATCH(shipments[[#This Row],[order_id]],Raw_orders!A:A, 0)), "Unknown")</f>
        <v>Baltics</v>
      </c>
      <c r="J2469" t="str">
        <f>PROPER(shipments[[#This Row],[delivery_status]])</f>
        <v>Delivered</v>
      </c>
      <c r="K2469" t="s">
        <v>6922</v>
      </c>
    </row>
    <row r="2470" spans="1:11">
      <c r="A2470" t="s">
        <v>9406</v>
      </c>
      <c r="B2470" t="s">
        <v>3224</v>
      </c>
      <c r="C2470" t="s">
        <v>6921</v>
      </c>
      <c r="D2470" s="1">
        <v>45357</v>
      </c>
      <c r="E2470" s="1">
        <v>45362</v>
      </c>
      <c r="F2470" s="1"/>
      <c r="G2470">
        <v>7.81</v>
      </c>
      <c r="H24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470" t="str">
        <f>IFERROR(INDEX(Raw_orders!G:G, MATCH(shipments[[#This Row],[order_id]],Raw_orders!A:A, 0)), "Unknown")</f>
        <v>Central Europe</v>
      </c>
      <c r="J2470" t="str">
        <f>PROPER(shipments[[#This Row],[delivery_status]])</f>
        <v>In Transit</v>
      </c>
      <c r="K2470" t="s">
        <v>6946</v>
      </c>
    </row>
    <row r="2471" spans="1:11">
      <c r="A2471" t="s">
        <v>9407</v>
      </c>
      <c r="B2471" t="s">
        <v>3225</v>
      </c>
      <c r="C2471" t="s">
        <v>6940</v>
      </c>
      <c r="D2471" s="1">
        <v>45606</v>
      </c>
      <c r="E2471" s="1">
        <v>45611</v>
      </c>
      <c r="F2471" s="1">
        <v>45611</v>
      </c>
      <c r="G2471">
        <v>63.84</v>
      </c>
      <c r="H24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471" t="str">
        <f>IFERROR(INDEX(Raw_orders!G:G, MATCH(shipments[[#This Row],[order_id]],Raw_orders!A:A, 0)), "Unknown")</f>
        <v>Nordics</v>
      </c>
      <c r="J2471" t="str">
        <f>PROPER(shipments[[#This Row],[delivery_status]])</f>
        <v>Delivered</v>
      </c>
      <c r="K2471" t="s">
        <v>6926</v>
      </c>
    </row>
    <row r="2472" spans="1:11">
      <c r="A2472" t="s">
        <v>9408</v>
      </c>
      <c r="B2472" t="s">
        <v>3226</v>
      </c>
      <c r="C2472" t="s">
        <v>6921</v>
      </c>
      <c r="D2472" s="1">
        <v>44952</v>
      </c>
      <c r="E2472" s="1">
        <v>44962</v>
      </c>
      <c r="F2472" s="1"/>
      <c r="G2472">
        <v>62.41</v>
      </c>
      <c r="H24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472" t="str">
        <f>IFERROR(INDEX(Raw_orders!G:G, MATCH(shipments[[#This Row],[order_id]],Raw_orders!A:A, 0)), "Unknown")</f>
        <v>Nordics</v>
      </c>
      <c r="J2472" t="str">
        <f>PROPER(shipments[[#This Row],[delivery_status]])</f>
        <v>Cancelled</v>
      </c>
      <c r="K2472" t="s">
        <v>6963</v>
      </c>
    </row>
    <row r="2473" spans="1:11">
      <c r="A2473" t="s">
        <v>9409</v>
      </c>
      <c r="B2473" t="s">
        <v>3227</v>
      </c>
      <c r="C2473" t="s">
        <v>6928</v>
      </c>
      <c r="D2473" s="1">
        <v>45076</v>
      </c>
      <c r="E2473" s="1">
        <v>45079</v>
      </c>
      <c r="F2473" s="1">
        <v>45082</v>
      </c>
      <c r="G2473">
        <v>19.66</v>
      </c>
      <c r="H24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73" t="str">
        <f>IFERROR(INDEX(Raw_orders!G:G, MATCH(shipments[[#This Row],[order_id]],Raw_orders!A:A, 0)), "Unknown")</f>
        <v>Nordics</v>
      </c>
      <c r="J2473" t="str">
        <f>PROPER(shipments[[#This Row],[delivery_status]])</f>
        <v>Delivered</v>
      </c>
      <c r="K2473" t="s">
        <v>6926</v>
      </c>
    </row>
    <row r="2474" spans="1:11">
      <c r="A2474" t="s">
        <v>9410</v>
      </c>
      <c r="B2474" t="s">
        <v>3228</v>
      </c>
      <c r="C2474" t="s">
        <v>6938</v>
      </c>
      <c r="D2474" s="1">
        <v>45363</v>
      </c>
      <c r="E2474" s="1">
        <v>45366</v>
      </c>
      <c r="F2474" s="1">
        <v>45366</v>
      </c>
      <c r="G2474">
        <v>54.34</v>
      </c>
      <c r="H24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474" t="str">
        <f>IFERROR(INDEX(Raw_orders!G:G, MATCH(shipments[[#This Row],[order_id]],Raw_orders!A:A, 0)), "Unknown")</f>
        <v>Nordics</v>
      </c>
      <c r="J2474" t="str">
        <f>PROPER(shipments[[#This Row],[delivery_status]])</f>
        <v>Delivered</v>
      </c>
      <c r="K2474" t="s">
        <v>6929</v>
      </c>
    </row>
    <row r="2475" spans="1:11">
      <c r="A2475" t="s">
        <v>9411</v>
      </c>
      <c r="B2475" t="s">
        <v>3229</v>
      </c>
      <c r="C2475" t="s">
        <v>6921</v>
      </c>
      <c r="D2475" s="1">
        <v>45011</v>
      </c>
      <c r="E2475" s="1">
        <v>45013</v>
      </c>
      <c r="F2475" s="1">
        <v>45014</v>
      </c>
      <c r="G2475">
        <v>41.46</v>
      </c>
      <c r="H24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75" t="str">
        <f>IFERROR(INDEX(Raw_orders!G:G, MATCH(shipments[[#This Row],[order_id]],Raw_orders!A:A, 0)), "Unknown")</f>
        <v>Nordics</v>
      </c>
      <c r="J2475" t="str">
        <f>PROPER(shipments[[#This Row],[delivery_status]])</f>
        <v>Delivered</v>
      </c>
      <c r="K2475" t="s">
        <v>6926</v>
      </c>
    </row>
    <row r="2476" spans="1:11">
      <c r="A2476" t="s">
        <v>9412</v>
      </c>
      <c r="B2476" t="s">
        <v>3230</v>
      </c>
      <c r="C2476" t="s">
        <v>6956</v>
      </c>
      <c r="D2476" s="1">
        <v>45225</v>
      </c>
      <c r="E2476" s="1">
        <v>45228</v>
      </c>
      <c r="F2476" s="1">
        <v>45229</v>
      </c>
      <c r="G2476">
        <v>58.67</v>
      </c>
      <c r="H24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76" t="str">
        <f>IFERROR(INDEX(Raw_orders!G:G, MATCH(shipments[[#This Row],[order_id]],Raw_orders!A:A, 0)), "Unknown")</f>
        <v>Baltics</v>
      </c>
      <c r="J2476" t="str">
        <f>PROPER(shipments[[#This Row],[delivery_status]])</f>
        <v>Delivered</v>
      </c>
      <c r="K2476" t="s">
        <v>6926</v>
      </c>
    </row>
    <row r="2477" spans="1:11">
      <c r="A2477" t="s">
        <v>9413</v>
      </c>
      <c r="B2477" t="s">
        <v>3231</v>
      </c>
      <c r="C2477" t="s">
        <v>6935</v>
      </c>
      <c r="D2477" s="1">
        <v>44987</v>
      </c>
      <c r="E2477" s="1">
        <v>44990</v>
      </c>
      <c r="F2477" s="1">
        <v>44992</v>
      </c>
      <c r="G2477">
        <v>38.659999999999997</v>
      </c>
      <c r="H24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77" t="str">
        <f>IFERROR(INDEX(Raw_orders!G:G, MATCH(shipments[[#This Row],[order_id]],Raw_orders!A:A, 0)), "Unknown")</f>
        <v>Nordics</v>
      </c>
      <c r="J2477" t="str">
        <f>PROPER(shipments[[#This Row],[delivery_status]])</f>
        <v>Delivered</v>
      </c>
      <c r="K2477" t="s">
        <v>6922</v>
      </c>
    </row>
    <row r="2478" spans="1:11">
      <c r="A2478" t="s">
        <v>9414</v>
      </c>
      <c r="B2478" t="s">
        <v>3232</v>
      </c>
      <c r="C2478" t="s">
        <v>6938</v>
      </c>
      <c r="D2478" s="1">
        <v>45485</v>
      </c>
      <c r="E2478" s="1">
        <v>45495</v>
      </c>
      <c r="F2478" s="1">
        <v>45494</v>
      </c>
      <c r="G2478">
        <v>20.11</v>
      </c>
      <c r="H24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478" t="str">
        <f>IFERROR(INDEX(Raw_orders!G:G, MATCH(shipments[[#This Row],[order_id]],Raw_orders!A:A, 0)), "Unknown")</f>
        <v>Baltics</v>
      </c>
      <c r="J2478" t="str">
        <f>PROPER(shipments[[#This Row],[delivery_status]])</f>
        <v>Delivered</v>
      </c>
      <c r="K2478" t="s">
        <v>6926</v>
      </c>
    </row>
    <row r="2479" spans="1:11">
      <c r="A2479" t="s">
        <v>9415</v>
      </c>
      <c r="B2479" t="s">
        <v>3233</v>
      </c>
      <c r="C2479" t="s">
        <v>6921</v>
      </c>
      <c r="D2479" s="1">
        <v>45371</v>
      </c>
      <c r="E2479" s="1">
        <v>45374</v>
      </c>
      <c r="F2479" s="1"/>
      <c r="G2479">
        <v>36.44</v>
      </c>
      <c r="H24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479" t="str">
        <f>IFERROR(INDEX(Raw_orders!G:G, MATCH(shipments[[#This Row],[order_id]],Raw_orders!A:A, 0)), "Unknown")</f>
        <v>Nordics</v>
      </c>
      <c r="J2479" t="str">
        <f>PROPER(shipments[[#This Row],[delivery_status]])</f>
        <v>Cancelled</v>
      </c>
      <c r="K2479" t="s">
        <v>6972</v>
      </c>
    </row>
    <row r="2480" spans="1:11">
      <c r="A2480" t="s">
        <v>9416</v>
      </c>
      <c r="B2480" t="s">
        <v>3234</v>
      </c>
      <c r="C2480" t="s">
        <v>6935</v>
      </c>
      <c r="D2480" s="1">
        <v>45202</v>
      </c>
      <c r="E2480" s="1">
        <v>45204</v>
      </c>
      <c r="F2480" s="1">
        <v>45212</v>
      </c>
      <c r="G2480">
        <v>15.64</v>
      </c>
      <c r="H24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80" t="str">
        <f>IFERROR(INDEX(Raw_orders!G:G, MATCH(shipments[[#This Row],[order_id]],Raw_orders!A:A, 0)), "Unknown")</f>
        <v>Baltics</v>
      </c>
      <c r="J2480" t="str">
        <f>PROPER(shipments[[#This Row],[delivery_status]])</f>
        <v>Delivered</v>
      </c>
      <c r="K2480" t="s">
        <v>6926</v>
      </c>
    </row>
    <row r="2481" spans="1:11">
      <c r="A2481" t="s">
        <v>9417</v>
      </c>
      <c r="B2481" t="s">
        <v>3235</v>
      </c>
      <c r="C2481" t="s">
        <v>6938</v>
      </c>
      <c r="D2481" s="1">
        <v>45584</v>
      </c>
      <c r="E2481" s="1">
        <v>45594</v>
      </c>
      <c r="F2481" s="1">
        <v>45596</v>
      </c>
      <c r="G2481">
        <v>51.15</v>
      </c>
      <c r="H24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81" t="str">
        <f>IFERROR(INDEX(Raw_orders!G:G, MATCH(shipments[[#This Row],[order_id]],Raw_orders!A:A, 0)), "Unknown")</f>
        <v>Nordics</v>
      </c>
      <c r="J2481" t="str">
        <f>PROPER(shipments[[#This Row],[delivery_status]])</f>
        <v>Delivered</v>
      </c>
      <c r="K2481" t="s">
        <v>6926</v>
      </c>
    </row>
    <row r="2482" spans="1:11">
      <c r="A2482" t="s">
        <v>9418</v>
      </c>
      <c r="B2482" t="s">
        <v>3236</v>
      </c>
      <c r="C2482" t="s">
        <v>6938</v>
      </c>
      <c r="D2482" s="1">
        <v>45198</v>
      </c>
      <c r="E2482" s="1">
        <v>45208</v>
      </c>
      <c r="F2482" s="1">
        <v>45213</v>
      </c>
      <c r="G2482">
        <v>7.05</v>
      </c>
      <c r="H24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82" t="str">
        <f>IFERROR(INDEX(Raw_orders!G:G, MATCH(shipments[[#This Row],[order_id]],Raw_orders!A:A, 0)), "Unknown")</f>
        <v>Baltics</v>
      </c>
      <c r="J2482" t="str">
        <f>PROPER(shipments[[#This Row],[delivery_status]])</f>
        <v>Delivered</v>
      </c>
      <c r="K2482" t="s">
        <v>6929</v>
      </c>
    </row>
    <row r="2483" spans="1:11">
      <c r="A2483" t="s">
        <v>9419</v>
      </c>
      <c r="B2483" t="s">
        <v>3237</v>
      </c>
      <c r="C2483" t="s">
        <v>6921</v>
      </c>
      <c r="D2483" s="1">
        <v>45492</v>
      </c>
      <c r="E2483" s="1">
        <v>45494</v>
      </c>
      <c r="F2483" s="1">
        <v>45495</v>
      </c>
      <c r="G2483">
        <v>36.06</v>
      </c>
      <c r="H24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83" t="str">
        <f>IFERROR(INDEX(Raw_orders!G:G, MATCH(shipments[[#This Row],[order_id]],Raw_orders!A:A, 0)), "Unknown")</f>
        <v>Central Europe</v>
      </c>
      <c r="J2483" t="str">
        <f>PROPER(shipments[[#This Row],[delivery_status]])</f>
        <v>Delivered</v>
      </c>
      <c r="K2483" t="s">
        <v>6929</v>
      </c>
    </row>
    <row r="2484" spans="1:11">
      <c r="A2484" t="s">
        <v>9420</v>
      </c>
      <c r="B2484" t="s">
        <v>3238</v>
      </c>
      <c r="C2484" t="s">
        <v>6935</v>
      </c>
      <c r="D2484" s="1">
        <v>45271</v>
      </c>
      <c r="E2484" s="1">
        <v>45273</v>
      </c>
      <c r="F2484" s="1">
        <v>45278</v>
      </c>
      <c r="G2484">
        <v>36.32</v>
      </c>
      <c r="H24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84" t="str">
        <f>IFERROR(INDEX(Raw_orders!G:G, MATCH(shipments[[#This Row],[order_id]],Raw_orders!A:A, 0)), "Unknown")</f>
        <v>Nordics</v>
      </c>
      <c r="J2484" t="str">
        <f>PROPER(shipments[[#This Row],[delivery_status]])</f>
        <v>Delivered</v>
      </c>
      <c r="K2484" t="s">
        <v>6926</v>
      </c>
    </row>
    <row r="2485" spans="1:11">
      <c r="A2485" t="s">
        <v>9421</v>
      </c>
      <c r="B2485" t="s">
        <v>3239</v>
      </c>
      <c r="C2485" t="s">
        <v>6931</v>
      </c>
      <c r="D2485" s="1">
        <v>45294</v>
      </c>
      <c r="E2485" s="1">
        <v>45297</v>
      </c>
      <c r="F2485" s="1">
        <v>45302</v>
      </c>
      <c r="G2485">
        <v>54.69</v>
      </c>
      <c r="H24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85" t="str">
        <f>IFERROR(INDEX(Raw_orders!G:G, MATCH(shipments[[#This Row],[order_id]],Raw_orders!A:A, 0)), "Unknown")</f>
        <v>Central Europe</v>
      </c>
      <c r="J2485" t="str">
        <f>PROPER(shipments[[#This Row],[delivery_status]])</f>
        <v>Delivered</v>
      </c>
      <c r="K2485" t="s">
        <v>6926</v>
      </c>
    </row>
    <row r="2486" spans="1:11">
      <c r="A2486" t="s">
        <v>9422</v>
      </c>
      <c r="B2486" t="s">
        <v>3240</v>
      </c>
      <c r="C2486" t="s">
        <v>6928</v>
      </c>
      <c r="D2486" s="1">
        <v>44957</v>
      </c>
      <c r="E2486" s="1">
        <v>44962</v>
      </c>
      <c r="F2486" s="1">
        <v>44961</v>
      </c>
      <c r="G2486">
        <v>53.01</v>
      </c>
      <c r="H24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486" t="str">
        <f>IFERROR(INDEX(Raw_orders!G:G, MATCH(shipments[[#This Row],[order_id]],Raw_orders!A:A, 0)), "Unknown")</f>
        <v>Nordics</v>
      </c>
      <c r="J2486" t="str">
        <f>PROPER(shipments[[#This Row],[delivery_status]])</f>
        <v>Delivered</v>
      </c>
      <c r="K2486" t="s">
        <v>6922</v>
      </c>
    </row>
    <row r="2487" spans="1:11">
      <c r="A2487" t="s">
        <v>9423</v>
      </c>
      <c r="B2487" t="s">
        <v>3241</v>
      </c>
      <c r="C2487" t="s">
        <v>6928</v>
      </c>
      <c r="D2487" s="1">
        <v>45559</v>
      </c>
      <c r="E2487" s="1">
        <v>45561</v>
      </c>
      <c r="F2487" s="1">
        <v>45562</v>
      </c>
      <c r="G2487">
        <v>20.83</v>
      </c>
      <c r="H24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87" t="str">
        <f>IFERROR(INDEX(Raw_orders!G:G, MATCH(shipments[[#This Row],[order_id]],Raw_orders!A:A, 0)), "Unknown")</f>
        <v>Baltics</v>
      </c>
      <c r="J2487" t="str">
        <f>PROPER(shipments[[#This Row],[delivery_status]])</f>
        <v>Delivered</v>
      </c>
      <c r="K2487" t="s">
        <v>6929</v>
      </c>
    </row>
    <row r="2488" spans="1:11">
      <c r="A2488" t="s">
        <v>9424</v>
      </c>
      <c r="B2488" t="s">
        <v>3242</v>
      </c>
      <c r="C2488" t="s">
        <v>6949</v>
      </c>
      <c r="D2488" s="1">
        <v>45045</v>
      </c>
      <c r="E2488" s="1">
        <v>45047</v>
      </c>
      <c r="F2488" s="1">
        <v>45056</v>
      </c>
      <c r="G2488">
        <v>41.11</v>
      </c>
      <c r="H24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88" t="str">
        <f>IFERROR(INDEX(Raw_orders!G:G, MATCH(shipments[[#This Row],[order_id]],Raw_orders!A:A, 0)), "Unknown")</f>
        <v>Central Europe</v>
      </c>
      <c r="J2488" t="str">
        <f>PROPER(shipments[[#This Row],[delivery_status]])</f>
        <v>Delivered</v>
      </c>
      <c r="K2488" t="s">
        <v>6929</v>
      </c>
    </row>
    <row r="2489" spans="1:11">
      <c r="A2489" t="s">
        <v>9425</v>
      </c>
      <c r="B2489" t="s">
        <v>3243</v>
      </c>
      <c r="C2489" t="s">
        <v>6956</v>
      </c>
      <c r="D2489" s="1">
        <v>45532</v>
      </c>
      <c r="E2489" s="1">
        <v>45539</v>
      </c>
      <c r="F2489" s="1">
        <v>45544</v>
      </c>
      <c r="G2489">
        <v>29.57</v>
      </c>
      <c r="H24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89" t="str">
        <f>IFERROR(INDEX(Raw_orders!G:G, MATCH(shipments[[#This Row],[order_id]],Raw_orders!A:A, 0)), "Unknown")</f>
        <v>Nordics</v>
      </c>
      <c r="J2489" t="str">
        <f>PROPER(shipments[[#This Row],[delivery_status]])</f>
        <v>Delivered</v>
      </c>
      <c r="K2489" t="s">
        <v>6922</v>
      </c>
    </row>
    <row r="2490" spans="1:11">
      <c r="A2490" t="s">
        <v>9426</v>
      </c>
      <c r="B2490" t="s">
        <v>3244</v>
      </c>
      <c r="C2490" t="s">
        <v>6938</v>
      </c>
      <c r="D2490" s="1">
        <v>45183</v>
      </c>
      <c r="E2490" s="1">
        <v>45193</v>
      </c>
      <c r="F2490" s="1">
        <v>45196</v>
      </c>
      <c r="G2490">
        <v>58.96</v>
      </c>
      <c r="H24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90" t="str">
        <f>IFERROR(INDEX(Raw_orders!G:G, MATCH(shipments[[#This Row],[order_id]],Raw_orders!A:A, 0)), "Unknown")</f>
        <v>Central Europe</v>
      </c>
      <c r="J2490" t="str">
        <f>PROPER(shipments[[#This Row],[delivery_status]])</f>
        <v>Delivered</v>
      </c>
      <c r="K2490" t="s">
        <v>6929</v>
      </c>
    </row>
    <row r="2491" spans="1:11">
      <c r="A2491" t="s">
        <v>9427</v>
      </c>
      <c r="B2491" t="s">
        <v>3244</v>
      </c>
      <c r="C2491" t="s">
        <v>6956</v>
      </c>
      <c r="D2491" s="1">
        <v>45181</v>
      </c>
      <c r="E2491" s="1">
        <v>45183</v>
      </c>
      <c r="F2491" s="1">
        <v>45183</v>
      </c>
      <c r="G2491">
        <v>8.4600000000000009</v>
      </c>
      <c r="H24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491" t="str">
        <f>IFERROR(INDEX(Raw_orders!G:G, MATCH(shipments[[#This Row],[order_id]],Raw_orders!A:A, 0)), "Unknown")</f>
        <v>Central Europe</v>
      </c>
      <c r="J2491" t="str">
        <f>PROPER(shipments[[#This Row],[delivery_status]])</f>
        <v>Delivered</v>
      </c>
      <c r="K2491" t="s">
        <v>6922</v>
      </c>
    </row>
    <row r="2492" spans="1:11">
      <c r="A2492" t="s">
        <v>9428</v>
      </c>
      <c r="B2492" t="s">
        <v>3245</v>
      </c>
      <c r="C2492" t="s">
        <v>6938</v>
      </c>
      <c r="D2492" s="1">
        <v>45020</v>
      </c>
      <c r="E2492" s="1">
        <v>45025</v>
      </c>
      <c r="F2492" s="1">
        <v>45033</v>
      </c>
      <c r="G2492">
        <v>38.020000000000003</v>
      </c>
      <c r="H24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92" t="str">
        <f>IFERROR(INDEX(Raw_orders!G:G, MATCH(shipments[[#This Row],[order_id]],Raw_orders!A:A, 0)), "Unknown")</f>
        <v>Baltics</v>
      </c>
      <c r="J2492" t="str">
        <f>PROPER(shipments[[#This Row],[delivery_status]])</f>
        <v>Delivered</v>
      </c>
      <c r="K2492" t="s">
        <v>6929</v>
      </c>
    </row>
    <row r="2493" spans="1:11">
      <c r="A2493" t="s">
        <v>9429</v>
      </c>
      <c r="B2493" t="s">
        <v>3246</v>
      </c>
      <c r="C2493" t="s">
        <v>6940</v>
      </c>
      <c r="D2493" s="1">
        <v>45008</v>
      </c>
      <c r="E2493" s="1">
        <v>45011</v>
      </c>
      <c r="F2493" s="1">
        <v>45013</v>
      </c>
      <c r="G2493">
        <v>33.770000000000003</v>
      </c>
      <c r="H24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93" t="str">
        <f>IFERROR(INDEX(Raw_orders!G:G, MATCH(shipments[[#This Row],[order_id]],Raw_orders!A:A, 0)), "Unknown")</f>
        <v>Baltics</v>
      </c>
      <c r="J2493" t="str">
        <f>PROPER(shipments[[#This Row],[delivery_status]])</f>
        <v>Delivered</v>
      </c>
      <c r="K2493" t="s">
        <v>6929</v>
      </c>
    </row>
    <row r="2494" spans="1:11">
      <c r="A2494" t="s">
        <v>9430</v>
      </c>
      <c r="B2494" t="s">
        <v>3247</v>
      </c>
      <c r="C2494" t="s">
        <v>6956</v>
      </c>
      <c r="D2494" s="1">
        <v>45361</v>
      </c>
      <c r="E2494" s="1">
        <v>45371</v>
      </c>
      <c r="F2494" s="1">
        <v>45371</v>
      </c>
      <c r="G2494">
        <v>15.77</v>
      </c>
      <c r="H24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494" t="str">
        <f>IFERROR(INDEX(Raw_orders!G:G, MATCH(shipments[[#This Row],[order_id]],Raw_orders!A:A, 0)), "Unknown")</f>
        <v>Central Europe</v>
      </c>
      <c r="J2494" t="str">
        <f>PROPER(shipments[[#This Row],[delivery_status]])</f>
        <v>Delivered</v>
      </c>
      <c r="K2494" t="s">
        <v>6922</v>
      </c>
    </row>
    <row r="2495" spans="1:11">
      <c r="A2495" t="s">
        <v>9431</v>
      </c>
      <c r="B2495" t="s">
        <v>3248</v>
      </c>
      <c r="C2495" t="s">
        <v>6940</v>
      </c>
      <c r="D2495" s="1">
        <v>45457</v>
      </c>
      <c r="E2495" s="1">
        <v>45460</v>
      </c>
      <c r="F2495" s="1">
        <v>45461</v>
      </c>
      <c r="G2495">
        <v>41.81</v>
      </c>
      <c r="H24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95" t="str">
        <f>IFERROR(INDEX(Raw_orders!G:G, MATCH(shipments[[#This Row],[order_id]],Raw_orders!A:A, 0)), "Unknown")</f>
        <v>Baltics</v>
      </c>
      <c r="J2495" t="str">
        <f>PROPER(shipments[[#This Row],[delivery_status]])</f>
        <v>Delivered</v>
      </c>
      <c r="K2495" t="s">
        <v>6926</v>
      </c>
    </row>
    <row r="2496" spans="1:11">
      <c r="A2496" t="s">
        <v>9432</v>
      </c>
      <c r="B2496" t="s">
        <v>3249</v>
      </c>
      <c r="C2496" t="s">
        <v>6928</v>
      </c>
      <c r="D2496" s="1">
        <v>45195</v>
      </c>
      <c r="E2496" s="1">
        <v>45205</v>
      </c>
      <c r="F2496" s="1">
        <v>45205</v>
      </c>
      <c r="G2496">
        <v>34.82</v>
      </c>
      <c r="H24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496" t="str">
        <f>IFERROR(INDEX(Raw_orders!G:G, MATCH(shipments[[#This Row],[order_id]],Raw_orders!A:A, 0)), "Unknown")</f>
        <v>Nordics</v>
      </c>
      <c r="J2496" t="str">
        <f>PROPER(shipments[[#This Row],[delivery_status]])</f>
        <v>Delivered</v>
      </c>
      <c r="K2496" t="s">
        <v>6929</v>
      </c>
    </row>
    <row r="2497" spans="1:11">
      <c r="A2497" t="s">
        <v>9433</v>
      </c>
      <c r="B2497" t="s">
        <v>3250</v>
      </c>
      <c r="C2497" t="s">
        <v>6956</v>
      </c>
      <c r="D2497" s="1">
        <v>45183</v>
      </c>
      <c r="E2497" s="1">
        <v>45186</v>
      </c>
      <c r="F2497" s="1">
        <v>45185</v>
      </c>
      <c r="G2497">
        <v>8.35</v>
      </c>
      <c r="H24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497" t="str">
        <f>IFERROR(INDEX(Raw_orders!G:G, MATCH(shipments[[#This Row],[order_id]],Raw_orders!A:A, 0)), "Unknown")</f>
        <v>Baltics</v>
      </c>
      <c r="J2497" t="str">
        <f>PROPER(shipments[[#This Row],[delivery_status]])</f>
        <v>Delivered</v>
      </c>
      <c r="K2497" t="s">
        <v>6926</v>
      </c>
    </row>
    <row r="2498" spans="1:11">
      <c r="A2498" t="s">
        <v>9434</v>
      </c>
      <c r="B2498" t="s">
        <v>3251</v>
      </c>
      <c r="C2498" t="s">
        <v>6935</v>
      </c>
      <c r="D2498" s="1">
        <v>44969</v>
      </c>
      <c r="E2498" s="1">
        <v>44972</v>
      </c>
      <c r="F2498" s="1"/>
      <c r="G2498">
        <v>37.299999999999997</v>
      </c>
      <c r="H24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498" t="str">
        <f>IFERROR(INDEX(Raw_orders!G:G, MATCH(shipments[[#This Row],[order_id]],Raw_orders!A:A, 0)), "Unknown")</f>
        <v>Central Europe</v>
      </c>
      <c r="J2498" t="str">
        <f>PROPER(shipments[[#This Row],[delivery_status]])</f>
        <v>In Transit</v>
      </c>
      <c r="K2498" t="s">
        <v>6977</v>
      </c>
    </row>
    <row r="2499" spans="1:11">
      <c r="A2499" t="s">
        <v>9435</v>
      </c>
      <c r="B2499" t="s">
        <v>3252</v>
      </c>
      <c r="C2499" t="s">
        <v>6928</v>
      </c>
      <c r="D2499" s="1">
        <v>45005</v>
      </c>
      <c r="E2499" s="1">
        <v>45015</v>
      </c>
      <c r="F2499" s="1">
        <v>45027</v>
      </c>
      <c r="G2499">
        <v>22.5</v>
      </c>
      <c r="H24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499" t="str">
        <f>IFERROR(INDEX(Raw_orders!G:G, MATCH(shipments[[#This Row],[order_id]],Raw_orders!A:A, 0)), "Unknown")</f>
        <v>Baltics</v>
      </c>
      <c r="J2499" t="str">
        <f>PROPER(shipments[[#This Row],[delivery_status]])</f>
        <v>Delivered</v>
      </c>
      <c r="K2499" t="s">
        <v>6929</v>
      </c>
    </row>
    <row r="2500" spans="1:11">
      <c r="A2500" t="s">
        <v>9436</v>
      </c>
      <c r="B2500" t="s">
        <v>3253</v>
      </c>
      <c r="C2500" t="s">
        <v>6938</v>
      </c>
      <c r="D2500" s="1">
        <v>45401</v>
      </c>
      <c r="E2500" s="1">
        <v>45408</v>
      </c>
      <c r="F2500" s="1">
        <v>45407</v>
      </c>
      <c r="G2500">
        <v>51.17</v>
      </c>
      <c r="H25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00" t="str">
        <f>IFERROR(INDEX(Raw_orders!G:G, MATCH(shipments[[#This Row],[order_id]],Raw_orders!A:A, 0)), "Unknown")</f>
        <v>Nordics</v>
      </c>
      <c r="J2500" t="str">
        <f>PROPER(shipments[[#This Row],[delivery_status]])</f>
        <v>Delivered</v>
      </c>
      <c r="K2500" t="s">
        <v>6926</v>
      </c>
    </row>
    <row r="2501" spans="1:11">
      <c r="A2501" t="s">
        <v>9437</v>
      </c>
      <c r="B2501" t="s">
        <v>3254</v>
      </c>
      <c r="C2501" t="s">
        <v>6925</v>
      </c>
      <c r="D2501" s="1">
        <v>45262</v>
      </c>
      <c r="E2501" s="1">
        <v>45269</v>
      </c>
      <c r="F2501" s="1"/>
      <c r="G2501">
        <v>29.51</v>
      </c>
      <c r="H25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501" t="str">
        <f>IFERROR(INDEX(Raw_orders!G:G, MATCH(shipments[[#This Row],[order_id]],Raw_orders!A:A, 0)), "Unknown")</f>
        <v>Nordics</v>
      </c>
      <c r="J2501" t="str">
        <f>PROPER(shipments[[#This Row],[delivery_status]])</f>
        <v>In Transit</v>
      </c>
      <c r="K2501" t="s">
        <v>6958</v>
      </c>
    </row>
    <row r="2502" spans="1:11">
      <c r="A2502" t="s">
        <v>9438</v>
      </c>
      <c r="B2502" t="s">
        <v>3255</v>
      </c>
      <c r="C2502" t="s">
        <v>6956</v>
      </c>
      <c r="D2502" s="1">
        <v>45422</v>
      </c>
      <c r="E2502" s="1">
        <v>45425</v>
      </c>
      <c r="F2502" s="1">
        <v>45425</v>
      </c>
      <c r="G2502">
        <v>60.13</v>
      </c>
      <c r="H25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02" t="str">
        <f>IFERROR(INDEX(Raw_orders!G:G, MATCH(shipments[[#This Row],[order_id]],Raw_orders!A:A, 0)), "Unknown")</f>
        <v>Nordics</v>
      </c>
      <c r="J2502" t="str">
        <f>PROPER(shipments[[#This Row],[delivery_status]])</f>
        <v>Delivered</v>
      </c>
      <c r="K2502" t="s">
        <v>6922</v>
      </c>
    </row>
    <row r="2503" spans="1:11">
      <c r="A2503" t="s">
        <v>9439</v>
      </c>
      <c r="B2503" t="s">
        <v>3256</v>
      </c>
      <c r="C2503" t="s">
        <v>6935</v>
      </c>
      <c r="D2503" s="1">
        <v>45374</v>
      </c>
      <c r="E2503" s="1">
        <v>45379</v>
      </c>
      <c r="F2503" s="1">
        <v>45382</v>
      </c>
      <c r="G2503">
        <v>32.9</v>
      </c>
      <c r="H25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03" t="str">
        <f>IFERROR(INDEX(Raw_orders!G:G, MATCH(shipments[[#This Row],[order_id]],Raw_orders!A:A, 0)), "Unknown")</f>
        <v>Baltics</v>
      </c>
      <c r="J2503" t="str">
        <f>PROPER(shipments[[#This Row],[delivery_status]])</f>
        <v>Delivered</v>
      </c>
      <c r="K2503" t="s">
        <v>6926</v>
      </c>
    </row>
    <row r="2504" spans="1:11">
      <c r="A2504" t="s">
        <v>9440</v>
      </c>
      <c r="B2504" t="s">
        <v>3257</v>
      </c>
      <c r="C2504" t="s">
        <v>6956</v>
      </c>
      <c r="D2504" s="1">
        <v>45490</v>
      </c>
      <c r="E2504" s="1">
        <v>45500</v>
      </c>
      <c r="F2504" s="1">
        <v>45503</v>
      </c>
      <c r="G2504">
        <v>23.54</v>
      </c>
      <c r="H25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04" t="str">
        <f>IFERROR(INDEX(Raw_orders!G:G, MATCH(shipments[[#This Row],[order_id]],Raw_orders!A:A, 0)), "Unknown")</f>
        <v>Nordics</v>
      </c>
      <c r="J2504" t="str">
        <f>PROPER(shipments[[#This Row],[delivery_status]])</f>
        <v>Delivered</v>
      </c>
      <c r="K2504" t="s">
        <v>6926</v>
      </c>
    </row>
    <row r="2505" spans="1:11">
      <c r="A2505" t="s">
        <v>9441</v>
      </c>
      <c r="B2505" t="s">
        <v>3258</v>
      </c>
      <c r="C2505" t="s">
        <v>6928</v>
      </c>
      <c r="D2505" s="1">
        <v>45280</v>
      </c>
      <c r="E2505" s="1">
        <v>45283</v>
      </c>
      <c r="F2505" s="1">
        <v>45297</v>
      </c>
      <c r="G2505">
        <v>39.22</v>
      </c>
      <c r="H25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05" t="str">
        <f>IFERROR(INDEX(Raw_orders!G:G, MATCH(shipments[[#This Row],[order_id]],Raw_orders!A:A, 0)), "Unknown")</f>
        <v>Baltics</v>
      </c>
      <c r="J2505" t="str">
        <f>PROPER(shipments[[#This Row],[delivery_status]])</f>
        <v>Delivered</v>
      </c>
      <c r="K2505" t="s">
        <v>6926</v>
      </c>
    </row>
    <row r="2506" spans="1:11">
      <c r="A2506" t="s">
        <v>9442</v>
      </c>
      <c r="B2506" t="s">
        <v>3259</v>
      </c>
      <c r="C2506" t="s">
        <v>6935</v>
      </c>
      <c r="D2506" s="1">
        <v>45038</v>
      </c>
      <c r="E2506" s="1">
        <v>45048</v>
      </c>
      <c r="F2506" s="1">
        <v>45047</v>
      </c>
      <c r="G2506">
        <v>44.25</v>
      </c>
      <c r="H25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06" t="str">
        <f>IFERROR(INDEX(Raw_orders!G:G, MATCH(shipments[[#This Row],[order_id]],Raw_orders!A:A, 0)), "Unknown")</f>
        <v>Baltics</v>
      </c>
      <c r="J2506" t="str">
        <f>PROPER(shipments[[#This Row],[delivery_status]])</f>
        <v>Delivered</v>
      </c>
      <c r="K2506" t="s">
        <v>6929</v>
      </c>
    </row>
    <row r="2507" spans="1:11">
      <c r="A2507" t="s">
        <v>9443</v>
      </c>
      <c r="B2507" t="s">
        <v>3260</v>
      </c>
      <c r="C2507" t="s">
        <v>6931</v>
      </c>
      <c r="D2507" s="1">
        <v>45119</v>
      </c>
      <c r="E2507" s="1">
        <v>45129</v>
      </c>
      <c r="F2507" s="1">
        <v>45134</v>
      </c>
      <c r="G2507">
        <v>61.32</v>
      </c>
      <c r="H25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07" t="str">
        <f>IFERROR(INDEX(Raw_orders!G:G, MATCH(shipments[[#This Row],[order_id]],Raw_orders!A:A, 0)), "Unknown")</f>
        <v>Baltics</v>
      </c>
      <c r="J2507" t="str">
        <f>PROPER(shipments[[#This Row],[delivery_status]])</f>
        <v>Delivered</v>
      </c>
      <c r="K2507" t="s">
        <v>6929</v>
      </c>
    </row>
    <row r="2508" spans="1:11">
      <c r="A2508" t="s">
        <v>9444</v>
      </c>
      <c r="B2508" t="s">
        <v>3260</v>
      </c>
      <c r="C2508" t="s">
        <v>6921</v>
      </c>
      <c r="D2508" s="1">
        <v>45119</v>
      </c>
      <c r="E2508" s="1">
        <v>45129</v>
      </c>
      <c r="F2508" s="1">
        <v>45129</v>
      </c>
      <c r="G2508">
        <v>42.78</v>
      </c>
      <c r="H25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08" t="str">
        <f>IFERROR(INDEX(Raw_orders!G:G, MATCH(shipments[[#This Row],[order_id]],Raw_orders!A:A, 0)), "Unknown")</f>
        <v>Baltics</v>
      </c>
      <c r="J2508" t="str">
        <f>PROPER(shipments[[#This Row],[delivery_status]])</f>
        <v>Delivered</v>
      </c>
      <c r="K2508" t="s">
        <v>6922</v>
      </c>
    </row>
    <row r="2509" spans="1:11">
      <c r="A2509" t="s">
        <v>9445</v>
      </c>
      <c r="B2509" t="s">
        <v>3261</v>
      </c>
      <c r="C2509" t="s">
        <v>6931</v>
      </c>
      <c r="D2509" s="1">
        <v>45067</v>
      </c>
      <c r="E2509" s="1">
        <v>45072</v>
      </c>
      <c r="F2509" s="1">
        <v>45079</v>
      </c>
      <c r="G2509">
        <v>25.08</v>
      </c>
      <c r="H25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09" t="str">
        <f>IFERROR(INDEX(Raw_orders!G:G, MATCH(shipments[[#This Row],[order_id]],Raw_orders!A:A, 0)), "Unknown")</f>
        <v>Baltics</v>
      </c>
      <c r="J2509" t="str">
        <f>PROPER(shipments[[#This Row],[delivery_status]])</f>
        <v>Delivered</v>
      </c>
      <c r="K2509" t="s">
        <v>6929</v>
      </c>
    </row>
    <row r="2510" spans="1:11">
      <c r="A2510" t="s">
        <v>9446</v>
      </c>
      <c r="B2510" t="s">
        <v>3262</v>
      </c>
      <c r="C2510" t="s">
        <v>6925</v>
      </c>
      <c r="D2510" s="1">
        <v>45169</v>
      </c>
      <c r="E2510" s="1">
        <v>45179</v>
      </c>
      <c r="F2510" s="1"/>
      <c r="G2510">
        <v>22.92</v>
      </c>
      <c r="H25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510" t="str">
        <f>IFERROR(INDEX(Raw_orders!G:G, MATCH(shipments[[#This Row],[order_id]],Raw_orders!A:A, 0)), "Unknown")</f>
        <v>Nordics</v>
      </c>
      <c r="J2510" t="str">
        <f>PROPER(shipments[[#This Row],[delivery_status]])</f>
        <v>Cancelled</v>
      </c>
      <c r="K2510" t="s">
        <v>6963</v>
      </c>
    </row>
    <row r="2511" spans="1:11">
      <c r="A2511" t="s">
        <v>9447</v>
      </c>
      <c r="B2511" t="s">
        <v>3263</v>
      </c>
      <c r="C2511" t="s">
        <v>6940</v>
      </c>
      <c r="D2511" s="1">
        <v>45625</v>
      </c>
      <c r="E2511" s="1">
        <v>45630</v>
      </c>
      <c r="F2511" s="1">
        <v>45630</v>
      </c>
      <c r="G2511">
        <v>39.14</v>
      </c>
      <c r="H25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11" t="str">
        <f>IFERROR(INDEX(Raw_orders!G:G, MATCH(shipments[[#This Row],[order_id]],Raw_orders!A:A, 0)), "Unknown")</f>
        <v>Nordics</v>
      </c>
      <c r="J2511" t="str">
        <f>PROPER(shipments[[#This Row],[delivery_status]])</f>
        <v>Delivered</v>
      </c>
      <c r="K2511" t="s">
        <v>6926</v>
      </c>
    </row>
    <row r="2512" spans="1:11">
      <c r="A2512" t="s">
        <v>9448</v>
      </c>
      <c r="B2512" t="s">
        <v>3264</v>
      </c>
      <c r="C2512" t="s">
        <v>6925</v>
      </c>
      <c r="D2512" s="1">
        <v>45049</v>
      </c>
      <c r="E2512" s="1">
        <v>45051</v>
      </c>
      <c r="F2512" s="1">
        <v>45053</v>
      </c>
      <c r="G2512">
        <v>59.95</v>
      </c>
      <c r="H25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12" t="str">
        <f>IFERROR(INDEX(Raw_orders!G:G, MATCH(shipments[[#This Row],[order_id]],Raw_orders!A:A, 0)), "Unknown")</f>
        <v>Baltics</v>
      </c>
      <c r="J2512" t="str">
        <f>PROPER(shipments[[#This Row],[delivery_status]])</f>
        <v>Delivered</v>
      </c>
      <c r="K2512" t="s">
        <v>6926</v>
      </c>
    </row>
    <row r="2513" spans="1:11">
      <c r="A2513" t="s">
        <v>9449</v>
      </c>
      <c r="B2513" t="s">
        <v>3265</v>
      </c>
      <c r="C2513" t="s">
        <v>6935</v>
      </c>
      <c r="D2513" s="1">
        <v>44962</v>
      </c>
      <c r="E2513" s="1">
        <v>44969</v>
      </c>
      <c r="F2513" s="1">
        <v>44969</v>
      </c>
      <c r="G2513">
        <v>24.52</v>
      </c>
      <c r="H25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13" t="str">
        <f>IFERROR(INDEX(Raw_orders!G:G, MATCH(shipments[[#This Row],[order_id]],Raw_orders!A:A, 0)), "Unknown")</f>
        <v>Baltics</v>
      </c>
      <c r="J2513" t="str">
        <f>PROPER(shipments[[#This Row],[delivery_status]])</f>
        <v>Delivered</v>
      </c>
      <c r="K2513" t="s">
        <v>6926</v>
      </c>
    </row>
    <row r="2514" spans="1:11">
      <c r="A2514" t="s">
        <v>9450</v>
      </c>
      <c r="B2514" t="s">
        <v>3266</v>
      </c>
      <c r="C2514" t="s">
        <v>6925</v>
      </c>
      <c r="D2514" s="1">
        <v>45382</v>
      </c>
      <c r="E2514" s="1">
        <v>45384</v>
      </c>
      <c r="F2514" s="1">
        <v>45384</v>
      </c>
      <c r="G2514">
        <v>61.8</v>
      </c>
      <c r="H25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14" t="str">
        <f>IFERROR(INDEX(Raw_orders!G:G, MATCH(shipments[[#This Row],[order_id]],Raw_orders!A:A, 0)), "Unknown")</f>
        <v>Nordics</v>
      </c>
      <c r="J2514" t="str">
        <f>PROPER(shipments[[#This Row],[delivery_status]])</f>
        <v>Delivered</v>
      </c>
      <c r="K2514" t="s">
        <v>6926</v>
      </c>
    </row>
    <row r="2515" spans="1:11">
      <c r="A2515" t="s">
        <v>9451</v>
      </c>
      <c r="B2515" t="s">
        <v>3267</v>
      </c>
      <c r="C2515" t="s">
        <v>6956</v>
      </c>
      <c r="D2515" s="1">
        <v>45467</v>
      </c>
      <c r="E2515" s="1">
        <v>45470</v>
      </c>
      <c r="F2515" s="1">
        <v>45470</v>
      </c>
      <c r="G2515">
        <v>48.06</v>
      </c>
      <c r="H25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15" t="str">
        <f>IFERROR(INDEX(Raw_orders!G:G, MATCH(shipments[[#This Row],[order_id]],Raw_orders!A:A, 0)), "Unknown")</f>
        <v>Nordics</v>
      </c>
      <c r="J2515" t="str">
        <f>PROPER(shipments[[#This Row],[delivery_status]])</f>
        <v>Delivered</v>
      </c>
      <c r="K2515" t="s">
        <v>6922</v>
      </c>
    </row>
    <row r="2516" spans="1:11">
      <c r="A2516" t="s">
        <v>9452</v>
      </c>
      <c r="B2516" t="s">
        <v>3268</v>
      </c>
      <c r="C2516" t="s">
        <v>6940</v>
      </c>
      <c r="D2516" s="1">
        <v>45229</v>
      </c>
      <c r="E2516" s="1">
        <v>45231</v>
      </c>
      <c r="F2516" s="1">
        <v>45231</v>
      </c>
      <c r="G2516">
        <v>49.95</v>
      </c>
      <c r="H25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16" t="str">
        <f>IFERROR(INDEX(Raw_orders!G:G, MATCH(shipments[[#This Row],[order_id]],Raw_orders!A:A, 0)), "Unknown")</f>
        <v>Nordics</v>
      </c>
      <c r="J2516" t="str">
        <f>PROPER(shipments[[#This Row],[delivery_status]])</f>
        <v>Delivered</v>
      </c>
      <c r="K2516" t="s">
        <v>6929</v>
      </c>
    </row>
    <row r="2517" spans="1:11">
      <c r="A2517" t="s">
        <v>9453</v>
      </c>
      <c r="B2517" t="s">
        <v>3268</v>
      </c>
      <c r="C2517" t="s">
        <v>6928</v>
      </c>
      <c r="D2517" s="1">
        <v>45229</v>
      </c>
      <c r="E2517" s="1">
        <v>45231</v>
      </c>
      <c r="F2517" s="1">
        <v>45232</v>
      </c>
      <c r="G2517">
        <v>22.71</v>
      </c>
      <c r="H25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17" t="str">
        <f>IFERROR(INDEX(Raw_orders!G:G, MATCH(shipments[[#This Row],[order_id]],Raw_orders!A:A, 0)), "Unknown")</f>
        <v>Nordics</v>
      </c>
      <c r="J2517" t="str">
        <f>PROPER(shipments[[#This Row],[delivery_status]])</f>
        <v>Delivered</v>
      </c>
      <c r="K2517" t="s">
        <v>6929</v>
      </c>
    </row>
    <row r="2518" spans="1:11">
      <c r="A2518" t="s">
        <v>9454</v>
      </c>
      <c r="B2518" t="s">
        <v>3269</v>
      </c>
      <c r="C2518" t="s">
        <v>6931</v>
      </c>
      <c r="D2518" s="1">
        <v>45584</v>
      </c>
      <c r="E2518" s="1">
        <v>45591</v>
      </c>
      <c r="F2518" s="1">
        <v>45600</v>
      </c>
      <c r="G2518">
        <v>13.37</v>
      </c>
      <c r="H25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18" t="str">
        <f>IFERROR(INDEX(Raw_orders!G:G, MATCH(shipments[[#This Row],[order_id]],Raw_orders!A:A, 0)), "Unknown")</f>
        <v>Nordics</v>
      </c>
      <c r="J2518" t="str">
        <f>PROPER(shipments[[#This Row],[delivery_status]])</f>
        <v>Delivered</v>
      </c>
      <c r="K2518" t="s">
        <v>6929</v>
      </c>
    </row>
    <row r="2519" spans="1:11">
      <c r="A2519" t="s">
        <v>9455</v>
      </c>
      <c r="B2519" t="s">
        <v>3270</v>
      </c>
      <c r="C2519" t="s">
        <v>6956</v>
      </c>
      <c r="D2519" s="1">
        <v>45435</v>
      </c>
      <c r="E2519" s="1">
        <v>45440</v>
      </c>
      <c r="F2519" s="1"/>
      <c r="G2519">
        <v>29.42</v>
      </c>
      <c r="H25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519" t="str">
        <f>IFERROR(INDEX(Raw_orders!G:G, MATCH(shipments[[#This Row],[order_id]],Raw_orders!A:A, 0)), "Unknown")</f>
        <v>Central Europe</v>
      </c>
      <c r="J2519" t="str">
        <f>PROPER(shipments[[#This Row],[delivery_status]])</f>
        <v>Cancelled</v>
      </c>
      <c r="K2519" t="s">
        <v>6963</v>
      </c>
    </row>
    <row r="2520" spans="1:11">
      <c r="A2520" t="s">
        <v>9456</v>
      </c>
      <c r="B2520" t="s">
        <v>3270</v>
      </c>
      <c r="C2520" t="s">
        <v>6956</v>
      </c>
      <c r="D2520" s="1">
        <v>45436</v>
      </c>
      <c r="E2520" s="1">
        <v>45441</v>
      </c>
      <c r="F2520" s="1">
        <v>45447</v>
      </c>
      <c r="G2520">
        <v>54.95</v>
      </c>
      <c r="H25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20" t="str">
        <f>IFERROR(INDEX(Raw_orders!G:G, MATCH(shipments[[#This Row],[order_id]],Raw_orders!A:A, 0)), "Unknown")</f>
        <v>Central Europe</v>
      </c>
      <c r="J2520" t="str">
        <f>PROPER(shipments[[#This Row],[delivery_status]])</f>
        <v>Delivered</v>
      </c>
      <c r="K2520" t="s">
        <v>6926</v>
      </c>
    </row>
    <row r="2521" spans="1:11">
      <c r="A2521" t="s">
        <v>9457</v>
      </c>
      <c r="B2521" t="s">
        <v>3271</v>
      </c>
      <c r="C2521" t="s">
        <v>6940</v>
      </c>
      <c r="D2521" s="1">
        <v>45267</v>
      </c>
      <c r="E2521" s="1">
        <v>45269</v>
      </c>
      <c r="F2521" s="1">
        <v>45280</v>
      </c>
      <c r="G2521">
        <v>59.48</v>
      </c>
      <c r="H25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21" t="str">
        <f>IFERROR(INDEX(Raw_orders!G:G, MATCH(shipments[[#This Row],[order_id]],Raw_orders!A:A, 0)), "Unknown")</f>
        <v>Baltics</v>
      </c>
      <c r="J2521" t="str">
        <f>PROPER(shipments[[#This Row],[delivery_status]])</f>
        <v>Delivered</v>
      </c>
      <c r="K2521" t="s">
        <v>6929</v>
      </c>
    </row>
    <row r="2522" spans="1:11">
      <c r="A2522" t="s">
        <v>9458</v>
      </c>
      <c r="B2522" t="s">
        <v>3272</v>
      </c>
      <c r="C2522" t="s">
        <v>6931</v>
      </c>
      <c r="D2522" s="1">
        <v>45426</v>
      </c>
      <c r="E2522" s="1">
        <v>45436</v>
      </c>
      <c r="F2522" s="1">
        <v>45436</v>
      </c>
      <c r="G2522">
        <v>47.09</v>
      </c>
      <c r="H25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22" t="str">
        <f>IFERROR(INDEX(Raw_orders!G:G, MATCH(shipments[[#This Row],[order_id]],Raw_orders!A:A, 0)), "Unknown")</f>
        <v>Nordics</v>
      </c>
      <c r="J2522" t="str">
        <f>PROPER(shipments[[#This Row],[delivery_status]])</f>
        <v>Delivered</v>
      </c>
      <c r="K2522" t="s">
        <v>6922</v>
      </c>
    </row>
    <row r="2523" spans="1:11">
      <c r="A2523" t="s">
        <v>9459</v>
      </c>
      <c r="B2523" t="s">
        <v>3273</v>
      </c>
      <c r="C2523" t="s">
        <v>6938</v>
      </c>
      <c r="D2523" s="1">
        <v>45593</v>
      </c>
      <c r="E2523" s="1">
        <v>45600</v>
      </c>
      <c r="F2523" s="1"/>
      <c r="G2523">
        <v>14.73</v>
      </c>
      <c r="H25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523" t="str">
        <f>IFERROR(INDEX(Raw_orders!G:G, MATCH(shipments[[#This Row],[order_id]],Raw_orders!A:A, 0)), "Unknown")</f>
        <v>Baltics</v>
      </c>
      <c r="J2523" t="str">
        <f>PROPER(shipments[[#This Row],[delivery_status]])</f>
        <v>In Transit</v>
      </c>
      <c r="K2523" t="s">
        <v>6977</v>
      </c>
    </row>
    <row r="2524" spans="1:11">
      <c r="A2524" t="s">
        <v>9460</v>
      </c>
      <c r="B2524" t="s">
        <v>3274</v>
      </c>
      <c r="C2524" t="s">
        <v>6928</v>
      </c>
      <c r="D2524" s="1">
        <v>45345</v>
      </c>
      <c r="E2524" s="1">
        <v>45348</v>
      </c>
      <c r="F2524" s="1">
        <v>45348</v>
      </c>
      <c r="G2524">
        <v>9.24</v>
      </c>
      <c r="H25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24" t="str">
        <f>IFERROR(INDEX(Raw_orders!G:G, MATCH(shipments[[#This Row],[order_id]],Raw_orders!A:A, 0)), "Unknown")</f>
        <v>Nordics</v>
      </c>
      <c r="J2524" t="str">
        <f>PROPER(shipments[[#This Row],[delivery_status]])</f>
        <v>Delivered</v>
      </c>
      <c r="K2524" t="s">
        <v>6922</v>
      </c>
    </row>
    <row r="2525" spans="1:11">
      <c r="A2525" t="s">
        <v>9461</v>
      </c>
      <c r="B2525" t="s">
        <v>3275</v>
      </c>
      <c r="C2525" t="s">
        <v>6938</v>
      </c>
      <c r="D2525" s="1">
        <v>44995</v>
      </c>
      <c r="E2525" s="1">
        <v>44998</v>
      </c>
      <c r="F2525" s="1">
        <v>44998</v>
      </c>
      <c r="G2525">
        <v>44.39</v>
      </c>
      <c r="H25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25" t="str">
        <f>IFERROR(INDEX(Raw_orders!G:G, MATCH(shipments[[#This Row],[order_id]],Raw_orders!A:A, 0)), "Unknown")</f>
        <v>Baltics</v>
      </c>
      <c r="J2525" t="str">
        <f>PROPER(shipments[[#This Row],[delivery_status]])</f>
        <v>Delivered</v>
      </c>
      <c r="K2525" t="s">
        <v>6926</v>
      </c>
    </row>
    <row r="2526" spans="1:11">
      <c r="A2526" t="s">
        <v>9462</v>
      </c>
      <c r="B2526" t="s">
        <v>3276</v>
      </c>
      <c r="C2526" t="s">
        <v>6931</v>
      </c>
      <c r="D2526" s="1">
        <v>45158</v>
      </c>
      <c r="E2526" s="1">
        <v>45165</v>
      </c>
      <c r="F2526" s="1">
        <v>45165</v>
      </c>
      <c r="G2526">
        <v>56.13</v>
      </c>
      <c r="H25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26" t="str">
        <f>IFERROR(INDEX(Raw_orders!G:G, MATCH(shipments[[#This Row],[order_id]],Raw_orders!A:A, 0)), "Unknown")</f>
        <v>Nordics</v>
      </c>
      <c r="J2526" t="str">
        <f>PROPER(shipments[[#This Row],[delivery_status]])</f>
        <v>Delivered</v>
      </c>
      <c r="K2526" t="s">
        <v>6929</v>
      </c>
    </row>
    <row r="2527" spans="1:11">
      <c r="A2527" t="s">
        <v>9463</v>
      </c>
      <c r="B2527" t="s">
        <v>3277</v>
      </c>
      <c r="C2527" t="s">
        <v>6931</v>
      </c>
      <c r="D2527" s="1">
        <v>45568</v>
      </c>
      <c r="E2527" s="1">
        <v>45571</v>
      </c>
      <c r="F2527" s="1">
        <v>45572</v>
      </c>
      <c r="G2527">
        <v>24.64</v>
      </c>
      <c r="H25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27" t="str">
        <f>IFERROR(INDEX(Raw_orders!G:G, MATCH(shipments[[#This Row],[order_id]],Raw_orders!A:A, 0)), "Unknown")</f>
        <v>Baltics</v>
      </c>
      <c r="J2527" t="str">
        <f>PROPER(shipments[[#This Row],[delivery_status]])</f>
        <v>Delivered</v>
      </c>
      <c r="K2527" t="s">
        <v>6926</v>
      </c>
    </row>
    <row r="2528" spans="1:11">
      <c r="A2528" t="s">
        <v>9464</v>
      </c>
      <c r="B2528" t="s">
        <v>3278</v>
      </c>
      <c r="C2528" t="s">
        <v>6938</v>
      </c>
      <c r="D2528" s="1">
        <v>45230</v>
      </c>
      <c r="E2528" s="1">
        <v>45232</v>
      </c>
      <c r="F2528" s="1">
        <v>45235</v>
      </c>
      <c r="G2528">
        <v>46.65</v>
      </c>
      <c r="H25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28" t="str">
        <f>IFERROR(INDEX(Raw_orders!G:G, MATCH(shipments[[#This Row],[order_id]],Raw_orders!A:A, 0)), "Unknown")</f>
        <v>Central Europe</v>
      </c>
      <c r="J2528" t="str">
        <f>PROPER(shipments[[#This Row],[delivery_status]])</f>
        <v>Delivered</v>
      </c>
      <c r="K2528" t="s">
        <v>6929</v>
      </c>
    </row>
    <row r="2529" spans="1:11">
      <c r="A2529" t="s">
        <v>9465</v>
      </c>
      <c r="B2529" t="s">
        <v>3279</v>
      </c>
      <c r="C2529" t="s">
        <v>6921</v>
      </c>
      <c r="D2529" s="1">
        <v>45540</v>
      </c>
      <c r="E2529" s="1">
        <v>45543</v>
      </c>
      <c r="F2529" s="1">
        <v>45543</v>
      </c>
      <c r="G2529">
        <v>49.63</v>
      </c>
      <c r="H25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29" t="str">
        <f>IFERROR(INDEX(Raw_orders!G:G, MATCH(shipments[[#This Row],[order_id]],Raw_orders!A:A, 0)), "Unknown")</f>
        <v>Baltics</v>
      </c>
      <c r="J2529" t="str">
        <f>PROPER(shipments[[#This Row],[delivery_status]])</f>
        <v>Delivered</v>
      </c>
      <c r="K2529" t="s">
        <v>6929</v>
      </c>
    </row>
    <row r="2530" spans="1:11">
      <c r="A2530" t="s">
        <v>9466</v>
      </c>
      <c r="B2530" t="s">
        <v>3280</v>
      </c>
      <c r="C2530" t="s">
        <v>6935</v>
      </c>
      <c r="D2530" s="1">
        <v>45193</v>
      </c>
      <c r="E2530" s="1">
        <v>45198</v>
      </c>
      <c r="F2530" s="1">
        <v>45199</v>
      </c>
      <c r="G2530">
        <v>7.78</v>
      </c>
      <c r="H25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30" t="str">
        <f>IFERROR(INDEX(Raw_orders!G:G, MATCH(shipments[[#This Row],[order_id]],Raw_orders!A:A, 0)), "Unknown")</f>
        <v>Central Europe</v>
      </c>
      <c r="J2530" t="str">
        <f>PROPER(shipments[[#This Row],[delivery_status]])</f>
        <v>Delivered</v>
      </c>
      <c r="K2530" t="s">
        <v>6922</v>
      </c>
    </row>
    <row r="2531" spans="1:11">
      <c r="A2531" t="s">
        <v>9467</v>
      </c>
      <c r="B2531" t="s">
        <v>3281</v>
      </c>
      <c r="C2531" t="s">
        <v>6938</v>
      </c>
      <c r="D2531" s="1">
        <v>44952</v>
      </c>
      <c r="E2531" s="1">
        <v>44954</v>
      </c>
      <c r="F2531" s="1">
        <v>44954</v>
      </c>
      <c r="G2531">
        <v>20.6</v>
      </c>
      <c r="H25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31" t="str">
        <f>IFERROR(INDEX(Raw_orders!G:G, MATCH(shipments[[#This Row],[order_id]],Raw_orders!A:A, 0)), "Unknown")</f>
        <v>Central Europe</v>
      </c>
      <c r="J2531" t="str">
        <f>PROPER(shipments[[#This Row],[delivery_status]])</f>
        <v>Delivered</v>
      </c>
      <c r="K2531" t="s">
        <v>6929</v>
      </c>
    </row>
    <row r="2532" spans="1:11">
      <c r="A2532" t="s">
        <v>9468</v>
      </c>
      <c r="B2532" t="s">
        <v>3281</v>
      </c>
      <c r="C2532" t="s">
        <v>6935</v>
      </c>
      <c r="D2532" s="1">
        <v>44952</v>
      </c>
      <c r="E2532" s="1">
        <v>44962</v>
      </c>
      <c r="F2532" s="1">
        <v>44962</v>
      </c>
      <c r="G2532">
        <v>46.84</v>
      </c>
      <c r="H25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32" t="str">
        <f>IFERROR(INDEX(Raw_orders!G:G, MATCH(shipments[[#This Row],[order_id]],Raw_orders!A:A, 0)), "Unknown")</f>
        <v>Central Europe</v>
      </c>
      <c r="J2532" t="str">
        <f>PROPER(shipments[[#This Row],[delivery_status]])</f>
        <v>Delivered</v>
      </c>
      <c r="K2532" t="s">
        <v>6926</v>
      </c>
    </row>
    <row r="2533" spans="1:11">
      <c r="A2533" t="s">
        <v>9469</v>
      </c>
      <c r="B2533" t="s">
        <v>3282</v>
      </c>
      <c r="C2533" t="s">
        <v>6938</v>
      </c>
      <c r="D2533" s="1">
        <v>45014</v>
      </c>
      <c r="E2533" s="1">
        <v>45019</v>
      </c>
      <c r="F2533" s="1">
        <v>45019</v>
      </c>
      <c r="G2533">
        <v>30.18</v>
      </c>
      <c r="H25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33" t="str">
        <f>IFERROR(INDEX(Raw_orders!G:G, MATCH(shipments[[#This Row],[order_id]],Raw_orders!A:A, 0)), "Unknown")</f>
        <v>Nordics</v>
      </c>
      <c r="J2533" t="str">
        <f>PROPER(shipments[[#This Row],[delivery_status]])</f>
        <v>Delivered</v>
      </c>
      <c r="K2533" t="s">
        <v>6922</v>
      </c>
    </row>
    <row r="2534" spans="1:11">
      <c r="A2534" t="s">
        <v>9470</v>
      </c>
      <c r="B2534" t="s">
        <v>3283</v>
      </c>
      <c r="C2534" t="s">
        <v>6928</v>
      </c>
      <c r="D2534" s="1">
        <v>45470</v>
      </c>
      <c r="E2534" s="1">
        <v>45473</v>
      </c>
      <c r="F2534" s="1">
        <v>45478</v>
      </c>
      <c r="G2534">
        <v>52.94</v>
      </c>
      <c r="H25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34" t="str">
        <f>IFERROR(INDEX(Raw_orders!G:G, MATCH(shipments[[#This Row],[order_id]],Raw_orders!A:A, 0)), "Unknown")</f>
        <v>Baltics</v>
      </c>
      <c r="J2534" t="str">
        <f>PROPER(shipments[[#This Row],[delivery_status]])</f>
        <v>Delivered</v>
      </c>
      <c r="K2534" t="s">
        <v>6926</v>
      </c>
    </row>
    <row r="2535" spans="1:11">
      <c r="A2535" t="s">
        <v>9471</v>
      </c>
      <c r="B2535" t="s">
        <v>3284</v>
      </c>
      <c r="C2535" t="s">
        <v>6938</v>
      </c>
      <c r="D2535" s="1">
        <v>45089</v>
      </c>
      <c r="E2535" s="1">
        <v>45092</v>
      </c>
      <c r="F2535" s="1"/>
      <c r="G2535">
        <v>14.24</v>
      </c>
      <c r="H25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535" t="str">
        <f>IFERROR(INDEX(Raw_orders!G:G, MATCH(shipments[[#This Row],[order_id]],Raw_orders!A:A, 0)), "Unknown")</f>
        <v>Nordics</v>
      </c>
      <c r="J2535" t="str">
        <f>PROPER(shipments[[#This Row],[delivery_status]])</f>
        <v>In Transit</v>
      </c>
      <c r="K2535" t="s">
        <v>6977</v>
      </c>
    </row>
    <row r="2536" spans="1:11">
      <c r="A2536" t="s">
        <v>9472</v>
      </c>
      <c r="B2536" t="s">
        <v>3285</v>
      </c>
      <c r="C2536" t="s">
        <v>6956</v>
      </c>
      <c r="D2536" s="1">
        <v>45530</v>
      </c>
      <c r="E2536" s="1">
        <v>45540</v>
      </c>
      <c r="F2536" s="1">
        <v>45540</v>
      </c>
      <c r="G2536">
        <v>24.3</v>
      </c>
      <c r="H25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36" t="str">
        <f>IFERROR(INDEX(Raw_orders!G:G, MATCH(shipments[[#This Row],[order_id]],Raw_orders!A:A, 0)), "Unknown")</f>
        <v>Baltics</v>
      </c>
      <c r="J2536" t="str">
        <f>PROPER(shipments[[#This Row],[delivery_status]])</f>
        <v>Delivered</v>
      </c>
      <c r="K2536" t="s">
        <v>6926</v>
      </c>
    </row>
    <row r="2537" spans="1:11">
      <c r="A2537" t="s">
        <v>9473</v>
      </c>
      <c r="B2537" t="s">
        <v>3286</v>
      </c>
      <c r="C2537" t="s">
        <v>6956</v>
      </c>
      <c r="D2537" s="1">
        <v>44993</v>
      </c>
      <c r="E2537" s="1">
        <v>44998</v>
      </c>
      <c r="F2537" s="1"/>
      <c r="G2537">
        <v>55.19</v>
      </c>
      <c r="H25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537" t="str">
        <f>IFERROR(INDEX(Raw_orders!G:G, MATCH(shipments[[#This Row],[order_id]],Raw_orders!A:A, 0)), "Unknown")</f>
        <v>Central Europe</v>
      </c>
      <c r="J2537" t="str">
        <f>PROPER(shipments[[#This Row],[delivery_status]])</f>
        <v>In Transit</v>
      </c>
      <c r="K2537" t="s">
        <v>6946</v>
      </c>
    </row>
    <row r="2538" spans="1:11">
      <c r="A2538" t="s">
        <v>9474</v>
      </c>
      <c r="B2538" t="s">
        <v>3287</v>
      </c>
      <c r="C2538" t="s">
        <v>6925</v>
      </c>
      <c r="D2538" s="1">
        <v>45500</v>
      </c>
      <c r="E2538" s="1">
        <v>45503</v>
      </c>
      <c r="F2538" s="1">
        <v>45503</v>
      </c>
      <c r="G2538">
        <v>46.54</v>
      </c>
      <c r="H25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38" t="str">
        <f>IFERROR(INDEX(Raw_orders!G:G, MATCH(shipments[[#This Row],[order_id]],Raw_orders!A:A, 0)), "Unknown")</f>
        <v>Central Europe</v>
      </c>
      <c r="J2538" t="str">
        <f>PROPER(shipments[[#This Row],[delivery_status]])</f>
        <v>Delivered</v>
      </c>
      <c r="K2538" t="s">
        <v>6926</v>
      </c>
    </row>
    <row r="2539" spans="1:11">
      <c r="A2539" t="s">
        <v>9475</v>
      </c>
      <c r="B2539" t="s">
        <v>3288</v>
      </c>
      <c r="C2539" t="s">
        <v>6935</v>
      </c>
      <c r="D2539" s="1">
        <v>45473</v>
      </c>
      <c r="E2539" s="1">
        <v>45476</v>
      </c>
      <c r="F2539" s="1">
        <v>45478</v>
      </c>
      <c r="G2539">
        <v>35.630000000000003</v>
      </c>
      <c r="H25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39" t="str">
        <f>IFERROR(INDEX(Raw_orders!G:G, MATCH(shipments[[#This Row],[order_id]],Raw_orders!A:A, 0)), "Unknown")</f>
        <v>Central Europe</v>
      </c>
      <c r="J2539" t="str">
        <f>PROPER(shipments[[#This Row],[delivery_status]])</f>
        <v>Delivered</v>
      </c>
      <c r="K2539" t="s">
        <v>6926</v>
      </c>
    </row>
    <row r="2540" spans="1:11">
      <c r="A2540" t="s">
        <v>9476</v>
      </c>
      <c r="B2540" t="s">
        <v>3289</v>
      </c>
      <c r="C2540" t="s">
        <v>6921</v>
      </c>
      <c r="D2540" s="1">
        <v>44940</v>
      </c>
      <c r="E2540" s="1">
        <v>44947</v>
      </c>
      <c r="F2540" s="1">
        <v>44947</v>
      </c>
      <c r="G2540">
        <v>40.43</v>
      </c>
      <c r="H25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40" t="str">
        <f>IFERROR(INDEX(Raw_orders!G:G, MATCH(shipments[[#This Row],[order_id]],Raw_orders!A:A, 0)), "Unknown")</f>
        <v>Nordics</v>
      </c>
      <c r="J2540" t="str">
        <f>PROPER(shipments[[#This Row],[delivery_status]])</f>
        <v>Delivered</v>
      </c>
      <c r="K2540" t="s">
        <v>6926</v>
      </c>
    </row>
    <row r="2541" spans="1:11">
      <c r="A2541" t="s">
        <v>9477</v>
      </c>
      <c r="B2541" t="s">
        <v>3290</v>
      </c>
      <c r="C2541" t="s">
        <v>6928</v>
      </c>
      <c r="D2541" s="1">
        <v>45176</v>
      </c>
      <c r="E2541" s="1">
        <v>45186</v>
      </c>
      <c r="F2541" s="1">
        <v>45190</v>
      </c>
      <c r="G2541">
        <v>32.46</v>
      </c>
      <c r="H25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41" t="str">
        <f>IFERROR(INDEX(Raw_orders!G:G, MATCH(shipments[[#This Row],[order_id]],Raw_orders!A:A, 0)), "Unknown")</f>
        <v>Nordics</v>
      </c>
      <c r="J2541" t="str">
        <f>PROPER(shipments[[#This Row],[delivery_status]])</f>
        <v>Delivered</v>
      </c>
      <c r="K2541" t="s">
        <v>6929</v>
      </c>
    </row>
    <row r="2542" spans="1:11">
      <c r="A2542" t="s">
        <v>9478</v>
      </c>
      <c r="B2542" t="s">
        <v>3291</v>
      </c>
      <c r="C2542" t="s">
        <v>6925</v>
      </c>
      <c r="D2542" s="1">
        <v>45379</v>
      </c>
      <c r="E2542" s="1">
        <v>45389</v>
      </c>
      <c r="F2542" s="1"/>
      <c r="G2542">
        <v>27.21</v>
      </c>
      <c r="H25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542" t="str">
        <f>IFERROR(INDEX(Raw_orders!G:G, MATCH(shipments[[#This Row],[order_id]],Raw_orders!A:A, 0)), "Unknown")</f>
        <v>Central Europe</v>
      </c>
      <c r="J2542" t="str">
        <f>PROPER(shipments[[#This Row],[delivery_status]])</f>
        <v>Cancelled</v>
      </c>
      <c r="K2542" t="s">
        <v>6963</v>
      </c>
    </row>
    <row r="2543" spans="1:11">
      <c r="A2543" t="s">
        <v>9479</v>
      </c>
      <c r="B2543" t="s">
        <v>3292</v>
      </c>
      <c r="C2543" t="s">
        <v>6931</v>
      </c>
      <c r="D2543" s="1">
        <v>45261</v>
      </c>
      <c r="E2543" s="1">
        <v>45268</v>
      </c>
      <c r="F2543" s="1">
        <v>45276</v>
      </c>
      <c r="G2543">
        <v>61.58</v>
      </c>
      <c r="H25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43" t="str">
        <f>IFERROR(INDEX(Raw_orders!G:G, MATCH(shipments[[#This Row],[order_id]],Raw_orders!A:A, 0)), "Unknown")</f>
        <v>Baltics</v>
      </c>
      <c r="J2543" t="str">
        <f>PROPER(shipments[[#This Row],[delivery_status]])</f>
        <v>Delivered</v>
      </c>
      <c r="K2543" t="s">
        <v>6926</v>
      </c>
    </row>
    <row r="2544" spans="1:11">
      <c r="A2544" t="s">
        <v>9480</v>
      </c>
      <c r="B2544" t="s">
        <v>3293</v>
      </c>
      <c r="C2544" t="s">
        <v>6940</v>
      </c>
      <c r="D2544" s="1">
        <v>45560</v>
      </c>
      <c r="E2544" s="1">
        <v>45570</v>
      </c>
      <c r="F2544" s="1">
        <v>45572</v>
      </c>
      <c r="G2544">
        <v>50.26</v>
      </c>
      <c r="H25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44" t="str">
        <f>IFERROR(INDEX(Raw_orders!G:G, MATCH(shipments[[#This Row],[order_id]],Raw_orders!A:A, 0)), "Unknown")</f>
        <v>Baltics</v>
      </c>
      <c r="J2544" t="str">
        <f>PROPER(shipments[[#This Row],[delivery_status]])</f>
        <v>Delivered</v>
      </c>
      <c r="K2544" t="s">
        <v>6926</v>
      </c>
    </row>
    <row r="2545" spans="1:11">
      <c r="A2545" t="s">
        <v>9481</v>
      </c>
      <c r="B2545" t="s">
        <v>3294</v>
      </c>
      <c r="C2545" t="s">
        <v>6935</v>
      </c>
      <c r="D2545" s="1">
        <v>45243</v>
      </c>
      <c r="E2545" s="1">
        <v>45250</v>
      </c>
      <c r="F2545" s="1">
        <v>45260</v>
      </c>
      <c r="G2545">
        <v>28.41</v>
      </c>
      <c r="H25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45" t="str">
        <f>IFERROR(INDEX(Raw_orders!G:G, MATCH(shipments[[#This Row],[order_id]],Raw_orders!A:A, 0)), "Unknown")</f>
        <v>Central Europe</v>
      </c>
      <c r="J2545" t="str">
        <f>PROPER(shipments[[#This Row],[delivery_status]])</f>
        <v>Delivered</v>
      </c>
      <c r="K2545" t="s">
        <v>6922</v>
      </c>
    </row>
    <row r="2546" spans="1:11">
      <c r="A2546" t="s">
        <v>9482</v>
      </c>
      <c r="B2546" t="s">
        <v>3295</v>
      </c>
      <c r="C2546" t="s">
        <v>6925</v>
      </c>
      <c r="D2546" s="1">
        <v>44948</v>
      </c>
      <c r="E2546" s="1">
        <v>44950</v>
      </c>
      <c r="F2546" s="1">
        <v>44951</v>
      </c>
      <c r="G2546">
        <v>29.68</v>
      </c>
      <c r="H25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46" t="str">
        <f>IFERROR(INDEX(Raw_orders!G:G, MATCH(shipments[[#This Row],[order_id]],Raw_orders!A:A, 0)), "Unknown")</f>
        <v>Baltics</v>
      </c>
      <c r="J2546" t="str">
        <f>PROPER(shipments[[#This Row],[delivery_status]])</f>
        <v>Delivered</v>
      </c>
      <c r="K2546" t="s">
        <v>6922</v>
      </c>
    </row>
    <row r="2547" spans="1:11">
      <c r="A2547" t="s">
        <v>9483</v>
      </c>
      <c r="B2547" t="s">
        <v>3296</v>
      </c>
      <c r="C2547" t="s">
        <v>6956</v>
      </c>
      <c r="D2547" s="1">
        <v>45070</v>
      </c>
      <c r="E2547" s="1">
        <v>45080</v>
      </c>
      <c r="F2547" s="1">
        <v>45083</v>
      </c>
      <c r="G2547">
        <v>20.48</v>
      </c>
      <c r="H25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47" t="str">
        <f>IFERROR(INDEX(Raw_orders!G:G, MATCH(shipments[[#This Row],[order_id]],Raw_orders!A:A, 0)), "Unknown")</f>
        <v>Central Europe</v>
      </c>
      <c r="J2547" t="str">
        <f>PROPER(shipments[[#This Row],[delivery_status]])</f>
        <v>Delivered</v>
      </c>
      <c r="K2547" t="s">
        <v>6926</v>
      </c>
    </row>
    <row r="2548" spans="1:11">
      <c r="A2548" t="s">
        <v>9484</v>
      </c>
      <c r="B2548" t="s">
        <v>3296</v>
      </c>
      <c r="C2548" t="s">
        <v>6940</v>
      </c>
      <c r="D2548" s="1">
        <v>45072</v>
      </c>
      <c r="E2548" s="1">
        <v>45082</v>
      </c>
      <c r="F2548" s="1">
        <v>45085</v>
      </c>
      <c r="G2548">
        <v>48.93</v>
      </c>
      <c r="H25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48" t="str">
        <f>IFERROR(INDEX(Raw_orders!G:G, MATCH(shipments[[#This Row],[order_id]],Raw_orders!A:A, 0)), "Unknown")</f>
        <v>Central Europe</v>
      </c>
      <c r="J2548" t="str">
        <f>PROPER(shipments[[#This Row],[delivery_status]])</f>
        <v>Delivered</v>
      </c>
      <c r="K2548" t="s">
        <v>6926</v>
      </c>
    </row>
    <row r="2549" spans="1:11">
      <c r="A2549" t="s">
        <v>9485</v>
      </c>
      <c r="B2549" t="s">
        <v>3297</v>
      </c>
      <c r="C2549" t="s">
        <v>6928</v>
      </c>
      <c r="D2549" s="1">
        <v>45576</v>
      </c>
      <c r="E2549" s="1">
        <v>45579</v>
      </c>
      <c r="F2549" s="1">
        <v>45581</v>
      </c>
      <c r="G2549">
        <v>23.94</v>
      </c>
      <c r="H25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49" t="str">
        <f>IFERROR(INDEX(Raw_orders!G:G, MATCH(shipments[[#This Row],[order_id]],Raw_orders!A:A, 0)), "Unknown")</f>
        <v>Nordics</v>
      </c>
      <c r="J2549" t="str">
        <f>PROPER(shipments[[#This Row],[delivery_status]])</f>
        <v>Delivered</v>
      </c>
      <c r="K2549" t="s">
        <v>6922</v>
      </c>
    </row>
    <row r="2550" spans="1:11">
      <c r="A2550" t="s">
        <v>9486</v>
      </c>
      <c r="B2550" t="s">
        <v>3297</v>
      </c>
      <c r="C2550" t="s">
        <v>6956</v>
      </c>
      <c r="D2550" s="1">
        <v>45573</v>
      </c>
      <c r="E2550" s="1">
        <v>45583</v>
      </c>
      <c r="F2550" s="1">
        <v>45590</v>
      </c>
      <c r="G2550">
        <v>48.07</v>
      </c>
      <c r="H25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50" t="str">
        <f>IFERROR(INDEX(Raw_orders!G:G, MATCH(shipments[[#This Row],[order_id]],Raw_orders!A:A, 0)), "Unknown")</f>
        <v>Nordics</v>
      </c>
      <c r="J2550" t="str">
        <f>PROPER(shipments[[#This Row],[delivery_status]])</f>
        <v>Delivered</v>
      </c>
      <c r="K2550" t="s">
        <v>6922</v>
      </c>
    </row>
    <row r="2551" spans="1:11">
      <c r="A2551" t="s">
        <v>9487</v>
      </c>
      <c r="B2551" t="s">
        <v>3298</v>
      </c>
      <c r="C2551" t="s">
        <v>6931</v>
      </c>
      <c r="D2551" s="1">
        <v>45272</v>
      </c>
      <c r="E2551" s="1">
        <v>45279</v>
      </c>
      <c r="F2551" s="1">
        <v>45279</v>
      </c>
      <c r="G2551">
        <v>52.47</v>
      </c>
      <c r="H25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51" t="str">
        <f>IFERROR(INDEX(Raw_orders!G:G, MATCH(shipments[[#This Row],[order_id]],Raw_orders!A:A, 0)), "Unknown")</f>
        <v>Baltics</v>
      </c>
      <c r="J2551" t="str">
        <f>PROPER(shipments[[#This Row],[delivery_status]])</f>
        <v>Delivered</v>
      </c>
      <c r="K2551" t="s">
        <v>6929</v>
      </c>
    </row>
    <row r="2552" spans="1:11">
      <c r="A2552" t="s">
        <v>9488</v>
      </c>
      <c r="B2552" t="s">
        <v>3299</v>
      </c>
      <c r="C2552" t="s">
        <v>6925</v>
      </c>
      <c r="D2552" s="1">
        <v>45543</v>
      </c>
      <c r="E2552" s="1">
        <v>45546</v>
      </c>
      <c r="F2552" s="1">
        <v>45547</v>
      </c>
      <c r="G2552">
        <v>21.7</v>
      </c>
      <c r="H25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52" t="str">
        <f>IFERROR(INDEX(Raw_orders!G:G, MATCH(shipments[[#This Row],[order_id]],Raw_orders!A:A, 0)), "Unknown")</f>
        <v>Baltics</v>
      </c>
      <c r="J2552" t="str">
        <f>PROPER(shipments[[#This Row],[delivery_status]])</f>
        <v>Delivered</v>
      </c>
      <c r="K2552" t="s">
        <v>6926</v>
      </c>
    </row>
    <row r="2553" spans="1:11">
      <c r="A2553" t="s">
        <v>9489</v>
      </c>
      <c r="B2553" t="s">
        <v>3299</v>
      </c>
      <c r="C2553" t="s">
        <v>6938</v>
      </c>
      <c r="D2553" s="1">
        <v>45541</v>
      </c>
      <c r="E2553" s="1">
        <v>45546</v>
      </c>
      <c r="F2553" s="1">
        <v>45546</v>
      </c>
      <c r="G2553">
        <v>52.79</v>
      </c>
      <c r="H25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53" t="str">
        <f>IFERROR(INDEX(Raw_orders!G:G, MATCH(shipments[[#This Row],[order_id]],Raw_orders!A:A, 0)), "Unknown")</f>
        <v>Baltics</v>
      </c>
      <c r="J2553" t="str">
        <f>PROPER(shipments[[#This Row],[delivery_status]])</f>
        <v>Delivered</v>
      </c>
      <c r="K2553" t="s">
        <v>6929</v>
      </c>
    </row>
    <row r="2554" spans="1:11">
      <c r="A2554" t="s">
        <v>9490</v>
      </c>
      <c r="B2554" t="s">
        <v>3300</v>
      </c>
      <c r="C2554" t="s">
        <v>6935</v>
      </c>
      <c r="D2554" s="1">
        <v>45598</v>
      </c>
      <c r="E2554" s="1">
        <v>45608</v>
      </c>
      <c r="F2554" s="1">
        <v>45609</v>
      </c>
      <c r="G2554">
        <v>14.08</v>
      </c>
      <c r="H25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54" t="str">
        <f>IFERROR(INDEX(Raw_orders!G:G, MATCH(shipments[[#This Row],[order_id]],Raw_orders!A:A, 0)), "Unknown")</f>
        <v>Baltics</v>
      </c>
      <c r="J2554" t="str">
        <f>PROPER(shipments[[#This Row],[delivery_status]])</f>
        <v>Delivered</v>
      </c>
      <c r="K2554" t="s">
        <v>6926</v>
      </c>
    </row>
    <row r="2555" spans="1:11">
      <c r="A2555" t="s">
        <v>9491</v>
      </c>
      <c r="B2555" t="s">
        <v>3301</v>
      </c>
      <c r="C2555" t="s">
        <v>6938</v>
      </c>
      <c r="D2555" s="1">
        <v>45468</v>
      </c>
      <c r="E2555" s="1">
        <v>45471</v>
      </c>
      <c r="F2555" s="1">
        <v>45479</v>
      </c>
      <c r="G2555">
        <v>31.24</v>
      </c>
      <c r="H25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55" t="str">
        <f>IFERROR(INDEX(Raw_orders!G:G, MATCH(shipments[[#This Row],[order_id]],Raw_orders!A:A, 0)), "Unknown")</f>
        <v>Nordics</v>
      </c>
      <c r="J2555" t="str">
        <f>PROPER(shipments[[#This Row],[delivery_status]])</f>
        <v>Delivered</v>
      </c>
      <c r="K2555" t="s">
        <v>6929</v>
      </c>
    </row>
    <row r="2556" spans="1:11">
      <c r="A2556" t="s">
        <v>9492</v>
      </c>
      <c r="B2556" t="s">
        <v>3302</v>
      </c>
      <c r="C2556" t="s">
        <v>6935</v>
      </c>
      <c r="D2556" s="1">
        <v>45560</v>
      </c>
      <c r="E2556" s="1">
        <v>45570</v>
      </c>
      <c r="F2556" s="1">
        <v>45569</v>
      </c>
      <c r="G2556">
        <v>41.34</v>
      </c>
      <c r="H25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56" t="str">
        <f>IFERROR(INDEX(Raw_orders!G:G, MATCH(shipments[[#This Row],[order_id]],Raw_orders!A:A, 0)), "Unknown")</f>
        <v>Nordics</v>
      </c>
      <c r="J2556" t="str">
        <f>PROPER(shipments[[#This Row],[delivery_status]])</f>
        <v>Delivered</v>
      </c>
      <c r="K2556" t="s">
        <v>6922</v>
      </c>
    </row>
    <row r="2557" spans="1:11">
      <c r="A2557" t="s">
        <v>9493</v>
      </c>
      <c r="B2557" t="s">
        <v>3302</v>
      </c>
      <c r="C2557" t="s">
        <v>6956</v>
      </c>
      <c r="D2557" s="1">
        <v>45562</v>
      </c>
      <c r="E2557" s="1">
        <v>45564</v>
      </c>
      <c r="F2557" s="1">
        <v>45567</v>
      </c>
      <c r="H25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57" t="str">
        <f>IFERROR(INDEX(Raw_orders!G:G, MATCH(shipments[[#This Row],[order_id]],Raw_orders!A:A, 0)), "Unknown")</f>
        <v>Nordics</v>
      </c>
      <c r="J2557" t="str">
        <f>PROPER(shipments[[#This Row],[delivery_status]])</f>
        <v>Delivered</v>
      </c>
      <c r="K2557" t="s">
        <v>6926</v>
      </c>
    </row>
    <row r="2558" spans="1:11">
      <c r="A2558" t="s">
        <v>9494</v>
      </c>
      <c r="B2558" t="s">
        <v>3303</v>
      </c>
      <c r="C2558" t="s">
        <v>6935</v>
      </c>
      <c r="D2558" s="1">
        <v>45007</v>
      </c>
      <c r="E2558" s="1">
        <v>45010</v>
      </c>
      <c r="F2558" s="1">
        <v>45010</v>
      </c>
      <c r="G2558">
        <v>23.99</v>
      </c>
      <c r="H25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58" t="str">
        <f>IFERROR(INDEX(Raw_orders!G:G, MATCH(shipments[[#This Row],[order_id]],Raw_orders!A:A, 0)), "Unknown")</f>
        <v>Central Europe</v>
      </c>
      <c r="J2558" t="str">
        <f>PROPER(shipments[[#This Row],[delivery_status]])</f>
        <v>Delivered</v>
      </c>
      <c r="K2558" t="s">
        <v>6926</v>
      </c>
    </row>
    <row r="2559" spans="1:11">
      <c r="A2559" t="s">
        <v>9495</v>
      </c>
      <c r="B2559" t="s">
        <v>3304</v>
      </c>
      <c r="C2559" t="s">
        <v>6940</v>
      </c>
      <c r="D2559" s="1">
        <v>45013</v>
      </c>
      <c r="E2559" s="1">
        <v>45020</v>
      </c>
      <c r="F2559" s="1"/>
      <c r="G2559">
        <v>38.909999999999997</v>
      </c>
      <c r="H25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559" t="str">
        <f>IFERROR(INDEX(Raw_orders!G:G, MATCH(shipments[[#This Row],[order_id]],Raw_orders!A:A, 0)), "Unknown")</f>
        <v>Central Europe</v>
      </c>
      <c r="J2559" t="str">
        <f>PROPER(shipments[[#This Row],[delivery_status]])</f>
        <v>In Transit</v>
      </c>
      <c r="K2559" t="s">
        <v>6977</v>
      </c>
    </row>
    <row r="2560" spans="1:11">
      <c r="A2560" t="s">
        <v>9496</v>
      </c>
      <c r="B2560" t="s">
        <v>3305</v>
      </c>
      <c r="C2560" t="s">
        <v>6940</v>
      </c>
      <c r="D2560" s="1">
        <v>45311</v>
      </c>
      <c r="E2560" s="1">
        <v>45318</v>
      </c>
      <c r="F2560" s="1">
        <v>45318</v>
      </c>
      <c r="G2560">
        <v>36.770000000000003</v>
      </c>
      <c r="H25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60" t="str">
        <f>IFERROR(INDEX(Raw_orders!G:G, MATCH(shipments[[#This Row],[order_id]],Raw_orders!A:A, 0)), "Unknown")</f>
        <v>Baltics</v>
      </c>
      <c r="J2560" t="str">
        <f>PROPER(shipments[[#This Row],[delivery_status]])</f>
        <v>Delivered</v>
      </c>
      <c r="K2560" t="s">
        <v>6929</v>
      </c>
    </row>
    <row r="2561" spans="1:11">
      <c r="A2561" t="s">
        <v>9497</v>
      </c>
      <c r="B2561" t="s">
        <v>3306</v>
      </c>
      <c r="C2561" t="s">
        <v>6940</v>
      </c>
      <c r="D2561" s="1">
        <v>45380</v>
      </c>
      <c r="E2561" s="1">
        <v>45387</v>
      </c>
      <c r="F2561" s="1">
        <v>45387</v>
      </c>
      <c r="G2561">
        <v>17.95</v>
      </c>
      <c r="H25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61" t="str">
        <f>IFERROR(INDEX(Raw_orders!G:G, MATCH(shipments[[#This Row],[order_id]],Raw_orders!A:A, 0)), "Unknown")</f>
        <v>Nordics</v>
      </c>
      <c r="J2561" t="str">
        <f>PROPER(shipments[[#This Row],[delivery_status]])</f>
        <v>Delivered</v>
      </c>
      <c r="K2561" t="s">
        <v>6929</v>
      </c>
    </row>
    <row r="2562" spans="1:11">
      <c r="A2562" t="s">
        <v>9498</v>
      </c>
      <c r="B2562" t="s">
        <v>3307</v>
      </c>
      <c r="C2562" t="s">
        <v>6940</v>
      </c>
      <c r="D2562" s="1">
        <v>45250</v>
      </c>
      <c r="E2562" s="1">
        <v>45252</v>
      </c>
      <c r="F2562" s="1">
        <v>45254</v>
      </c>
      <c r="G2562">
        <v>53.97</v>
      </c>
      <c r="H25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62" t="str">
        <f>IFERROR(INDEX(Raw_orders!G:G, MATCH(shipments[[#This Row],[order_id]],Raw_orders!A:A, 0)), "Unknown")</f>
        <v>Nordics</v>
      </c>
      <c r="J2562" t="str">
        <f>PROPER(shipments[[#This Row],[delivery_status]])</f>
        <v>Delivered</v>
      </c>
      <c r="K2562" t="s">
        <v>6922</v>
      </c>
    </row>
    <row r="2563" spans="1:11">
      <c r="A2563" t="s">
        <v>9499</v>
      </c>
      <c r="B2563" t="s">
        <v>3308</v>
      </c>
      <c r="C2563" t="s">
        <v>6938</v>
      </c>
      <c r="D2563" s="1">
        <v>45328</v>
      </c>
      <c r="E2563" s="1">
        <v>45338</v>
      </c>
      <c r="F2563" s="1">
        <v>45338</v>
      </c>
      <c r="G2563">
        <v>25.88</v>
      </c>
      <c r="H25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63" t="str">
        <f>IFERROR(INDEX(Raw_orders!G:G, MATCH(shipments[[#This Row],[order_id]],Raw_orders!A:A, 0)), "Unknown")</f>
        <v>Baltics</v>
      </c>
      <c r="J2563" t="str">
        <f>PROPER(shipments[[#This Row],[delivery_status]])</f>
        <v>Delivered</v>
      </c>
      <c r="K2563" t="s">
        <v>6922</v>
      </c>
    </row>
    <row r="2564" spans="1:11">
      <c r="A2564" t="s">
        <v>9500</v>
      </c>
      <c r="B2564" t="s">
        <v>3309</v>
      </c>
      <c r="C2564" t="s">
        <v>6940</v>
      </c>
      <c r="D2564" s="1">
        <v>45109</v>
      </c>
      <c r="E2564" s="1">
        <v>45116</v>
      </c>
      <c r="F2564" s="1">
        <v>45116</v>
      </c>
      <c r="G2564">
        <v>22.29</v>
      </c>
      <c r="H25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64" t="str">
        <f>IFERROR(INDEX(Raw_orders!G:G, MATCH(shipments[[#This Row],[order_id]],Raw_orders!A:A, 0)), "Unknown")</f>
        <v>Baltics</v>
      </c>
      <c r="J2564" t="str">
        <f>PROPER(shipments[[#This Row],[delivery_status]])</f>
        <v>Delivered</v>
      </c>
      <c r="K2564" t="s">
        <v>6929</v>
      </c>
    </row>
    <row r="2565" spans="1:11">
      <c r="A2565" t="s">
        <v>9501</v>
      </c>
      <c r="B2565" t="s">
        <v>3310</v>
      </c>
      <c r="C2565" t="s">
        <v>6931</v>
      </c>
      <c r="D2565" s="1">
        <v>45014</v>
      </c>
      <c r="E2565" s="1">
        <v>45019</v>
      </c>
      <c r="F2565" s="1">
        <v>45020</v>
      </c>
      <c r="G2565">
        <v>47.87</v>
      </c>
      <c r="H25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65" t="str">
        <f>IFERROR(INDEX(Raw_orders!G:G, MATCH(shipments[[#This Row],[order_id]],Raw_orders!A:A, 0)), "Unknown")</f>
        <v>Central Europe</v>
      </c>
      <c r="J2565" t="str">
        <f>PROPER(shipments[[#This Row],[delivery_status]])</f>
        <v>Delivered</v>
      </c>
      <c r="K2565" t="s">
        <v>6926</v>
      </c>
    </row>
    <row r="2566" spans="1:11">
      <c r="A2566" t="s">
        <v>9502</v>
      </c>
      <c r="B2566" t="s">
        <v>3311</v>
      </c>
      <c r="C2566" t="s">
        <v>6940</v>
      </c>
      <c r="D2566" s="1">
        <v>45613</v>
      </c>
      <c r="E2566" s="1">
        <v>45623</v>
      </c>
      <c r="F2566" s="1">
        <v>45623</v>
      </c>
      <c r="G2566">
        <v>47</v>
      </c>
      <c r="H25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66" t="str">
        <f>IFERROR(INDEX(Raw_orders!G:G, MATCH(shipments[[#This Row],[order_id]],Raw_orders!A:A, 0)), "Unknown")</f>
        <v>Central Europe</v>
      </c>
      <c r="J2566" t="str">
        <f>PROPER(shipments[[#This Row],[delivery_status]])</f>
        <v>Delivered</v>
      </c>
      <c r="K2566" t="s">
        <v>6922</v>
      </c>
    </row>
    <row r="2567" spans="1:11">
      <c r="A2567" t="s">
        <v>9503</v>
      </c>
      <c r="B2567" t="s">
        <v>3312</v>
      </c>
      <c r="C2567" t="s">
        <v>6931</v>
      </c>
      <c r="D2567" s="1">
        <v>45093</v>
      </c>
      <c r="E2567" s="1">
        <v>45096</v>
      </c>
      <c r="F2567" s="1">
        <v>45098</v>
      </c>
      <c r="G2567">
        <v>52.78</v>
      </c>
      <c r="H25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67" t="str">
        <f>IFERROR(INDEX(Raw_orders!G:G, MATCH(shipments[[#This Row],[order_id]],Raw_orders!A:A, 0)), "Unknown")</f>
        <v>Baltics</v>
      </c>
      <c r="J2567" t="str">
        <f>PROPER(shipments[[#This Row],[delivery_status]])</f>
        <v>Delivered</v>
      </c>
      <c r="K2567" t="s">
        <v>6929</v>
      </c>
    </row>
    <row r="2568" spans="1:11">
      <c r="A2568" t="s">
        <v>9504</v>
      </c>
      <c r="B2568" t="s">
        <v>3313</v>
      </c>
      <c r="C2568" t="s">
        <v>6935</v>
      </c>
      <c r="D2568" s="1">
        <v>45032</v>
      </c>
      <c r="E2568" s="1">
        <v>45042</v>
      </c>
      <c r="F2568" s="1">
        <v>45043</v>
      </c>
      <c r="G2568">
        <v>49.19</v>
      </c>
      <c r="H25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68" t="str">
        <f>IFERROR(INDEX(Raw_orders!G:G, MATCH(shipments[[#This Row],[order_id]],Raw_orders!A:A, 0)), "Unknown")</f>
        <v>Central Europe</v>
      </c>
      <c r="J2568" t="str">
        <f>PROPER(shipments[[#This Row],[delivery_status]])</f>
        <v>Delivered</v>
      </c>
      <c r="K2568" t="s">
        <v>6929</v>
      </c>
    </row>
    <row r="2569" spans="1:11">
      <c r="A2569" t="s">
        <v>9505</v>
      </c>
      <c r="B2569" t="s">
        <v>3314</v>
      </c>
      <c r="C2569" t="s">
        <v>6928</v>
      </c>
      <c r="D2569" s="1">
        <v>45244</v>
      </c>
      <c r="E2569" s="1">
        <v>45249</v>
      </c>
      <c r="F2569" s="1">
        <v>45249</v>
      </c>
      <c r="G2569">
        <v>49.48</v>
      </c>
      <c r="H25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69" t="str">
        <f>IFERROR(INDEX(Raw_orders!G:G, MATCH(shipments[[#This Row],[order_id]],Raw_orders!A:A, 0)), "Unknown")</f>
        <v>Central Europe</v>
      </c>
      <c r="J2569" t="str">
        <f>PROPER(shipments[[#This Row],[delivery_status]])</f>
        <v>Delivered</v>
      </c>
      <c r="K2569" t="s">
        <v>6929</v>
      </c>
    </row>
    <row r="2570" spans="1:11">
      <c r="A2570" t="s">
        <v>9506</v>
      </c>
      <c r="B2570" t="s">
        <v>3315</v>
      </c>
      <c r="C2570" t="s">
        <v>6925</v>
      </c>
      <c r="D2570" s="1">
        <v>45266</v>
      </c>
      <c r="E2570" s="1">
        <v>45268</v>
      </c>
      <c r="F2570" s="1">
        <v>45269</v>
      </c>
      <c r="G2570">
        <v>28.77</v>
      </c>
      <c r="H25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70" t="str">
        <f>IFERROR(INDEX(Raw_orders!G:G, MATCH(shipments[[#This Row],[order_id]],Raw_orders!A:A, 0)), "Unknown")</f>
        <v>Baltics</v>
      </c>
      <c r="J2570" t="str">
        <f>PROPER(shipments[[#This Row],[delivery_status]])</f>
        <v>Delivered</v>
      </c>
      <c r="K2570" t="s">
        <v>6929</v>
      </c>
    </row>
    <row r="2571" spans="1:11">
      <c r="A2571" t="s">
        <v>9507</v>
      </c>
      <c r="B2571" t="s">
        <v>3316</v>
      </c>
      <c r="C2571" t="s">
        <v>6921</v>
      </c>
      <c r="D2571" s="1">
        <v>45168</v>
      </c>
      <c r="E2571" s="1">
        <v>45173</v>
      </c>
      <c r="F2571" s="1">
        <v>45173</v>
      </c>
      <c r="G2571">
        <v>15.85</v>
      </c>
      <c r="H25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71" t="str">
        <f>IFERROR(INDEX(Raw_orders!G:G, MATCH(shipments[[#This Row],[order_id]],Raw_orders!A:A, 0)), "Unknown")</f>
        <v>Baltics</v>
      </c>
      <c r="J2571" t="str">
        <f>PROPER(shipments[[#This Row],[delivery_status]])</f>
        <v>Delivered</v>
      </c>
      <c r="K2571" t="s">
        <v>6926</v>
      </c>
    </row>
    <row r="2572" spans="1:11">
      <c r="A2572" t="s">
        <v>9508</v>
      </c>
      <c r="B2572" t="s">
        <v>3317</v>
      </c>
      <c r="C2572" t="s">
        <v>6935</v>
      </c>
      <c r="D2572" s="1">
        <v>45155</v>
      </c>
      <c r="E2572" s="1">
        <v>45157</v>
      </c>
      <c r="F2572" s="1">
        <v>45156</v>
      </c>
      <c r="G2572">
        <v>40.520000000000003</v>
      </c>
      <c r="H25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72" t="str">
        <f>IFERROR(INDEX(Raw_orders!G:G, MATCH(shipments[[#This Row],[order_id]],Raw_orders!A:A, 0)), "Unknown")</f>
        <v>Central Europe</v>
      </c>
      <c r="J2572" t="str">
        <f>PROPER(shipments[[#This Row],[delivery_status]])</f>
        <v>Delivered</v>
      </c>
      <c r="K2572" t="s">
        <v>6929</v>
      </c>
    </row>
    <row r="2573" spans="1:11">
      <c r="A2573" t="s">
        <v>9509</v>
      </c>
      <c r="B2573" t="s">
        <v>3318</v>
      </c>
      <c r="C2573" t="s">
        <v>6925</v>
      </c>
      <c r="D2573" s="1">
        <v>45384</v>
      </c>
      <c r="E2573" s="1">
        <v>45386</v>
      </c>
      <c r="F2573" s="1">
        <v>45397</v>
      </c>
      <c r="G2573">
        <v>53.52</v>
      </c>
      <c r="H25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73" t="str">
        <f>IFERROR(INDEX(Raw_orders!G:G, MATCH(shipments[[#This Row],[order_id]],Raw_orders!A:A, 0)), "Unknown")</f>
        <v>Nordics</v>
      </c>
      <c r="J2573" t="str">
        <f>PROPER(shipments[[#This Row],[delivery_status]])</f>
        <v>Delivered</v>
      </c>
      <c r="K2573" t="s">
        <v>6922</v>
      </c>
    </row>
    <row r="2574" spans="1:11">
      <c r="A2574" t="s">
        <v>9510</v>
      </c>
      <c r="B2574" t="s">
        <v>3319</v>
      </c>
      <c r="C2574" t="s">
        <v>6938</v>
      </c>
      <c r="D2574" s="1">
        <v>45490</v>
      </c>
      <c r="E2574" s="1">
        <v>45495</v>
      </c>
      <c r="F2574" s="1">
        <v>45494</v>
      </c>
      <c r="G2574">
        <v>35.840000000000003</v>
      </c>
      <c r="H25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74" t="str">
        <f>IFERROR(INDEX(Raw_orders!G:G, MATCH(shipments[[#This Row],[order_id]],Raw_orders!A:A, 0)), "Unknown")</f>
        <v>Nordics</v>
      </c>
      <c r="J2574" t="str">
        <f>PROPER(shipments[[#This Row],[delivery_status]])</f>
        <v>Delivered</v>
      </c>
      <c r="K2574" t="s">
        <v>6922</v>
      </c>
    </row>
    <row r="2575" spans="1:11">
      <c r="A2575" t="s">
        <v>9511</v>
      </c>
      <c r="B2575" t="s">
        <v>3320</v>
      </c>
      <c r="C2575" t="s">
        <v>6925</v>
      </c>
      <c r="D2575" s="1">
        <v>45064</v>
      </c>
      <c r="E2575" s="1">
        <v>45067</v>
      </c>
      <c r="F2575" s="1">
        <v>45067</v>
      </c>
      <c r="G2575">
        <v>15.66</v>
      </c>
      <c r="H25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75" t="str">
        <f>IFERROR(INDEX(Raw_orders!G:G, MATCH(shipments[[#This Row],[order_id]],Raw_orders!A:A, 0)), "Unknown")</f>
        <v>Nordics</v>
      </c>
      <c r="J2575" t="str">
        <f>PROPER(shipments[[#This Row],[delivery_status]])</f>
        <v>Delivered</v>
      </c>
      <c r="K2575" t="s">
        <v>6929</v>
      </c>
    </row>
    <row r="2576" spans="1:11">
      <c r="A2576" t="s">
        <v>9512</v>
      </c>
      <c r="B2576" t="s">
        <v>3321</v>
      </c>
      <c r="C2576" t="s">
        <v>6921</v>
      </c>
      <c r="D2576" s="1">
        <v>45438</v>
      </c>
      <c r="E2576" s="1">
        <v>45443</v>
      </c>
      <c r="F2576" s="1">
        <v>45443</v>
      </c>
      <c r="G2576">
        <v>36.61</v>
      </c>
      <c r="H25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76" t="str">
        <f>IFERROR(INDEX(Raw_orders!G:G, MATCH(shipments[[#This Row],[order_id]],Raw_orders!A:A, 0)), "Unknown")</f>
        <v>Baltics</v>
      </c>
      <c r="J2576" t="str">
        <f>PROPER(shipments[[#This Row],[delivery_status]])</f>
        <v>Delivered</v>
      </c>
      <c r="K2576" t="s">
        <v>6926</v>
      </c>
    </row>
    <row r="2577" spans="1:11">
      <c r="A2577" t="s">
        <v>9513</v>
      </c>
      <c r="B2577" t="s">
        <v>3322</v>
      </c>
      <c r="C2577" t="s">
        <v>6925</v>
      </c>
      <c r="D2577" s="1">
        <v>45125</v>
      </c>
      <c r="E2577" s="1">
        <v>45135</v>
      </c>
      <c r="F2577" s="1">
        <v>45135</v>
      </c>
      <c r="G2577">
        <v>37.68</v>
      </c>
      <c r="H25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77" t="str">
        <f>IFERROR(INDEX(Raw_orders!G:G, MATCH(shipments[[#This Row],[order_id]],Raw_orders!A:A, 0)), "Unknown")</f>
        <v>Baltics</v>
      </c>
      <c r="J2577" t="str">
        <f>PROPER(shipments[[#This Row],[delivery_status]])</f>
        <v>Delivered</v>
      </c>
      <c r="K2577" t="s">
        <v>6929</v>
      </c>
    </row>
    <row r="2578" spans="1:11">
      <c r="A2578" t="s">
        <v>9514</v>
      </c>
      <c r="B2578" t="s">
        <v>3323</v>
      </c>
      <c r="C2578" t="s">
        <v>6938</v>
      </c>
      <c r="D2578" s="1">
        <v>44998</v>
      </c>
      <c r="E2578" s="1">
        <v>45003</v>
      </c>
      <c r="F2578" s="1">
        <v>45015</v>
      </c>
      <c r="G2578">
        <v>19.36</v>
      </c>
      <c r="H25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78" t="str">
        <f>IFERROR(INDEX(Raw_orders!G:G, MATCH(shipments[[#This Row],[order_id]],Raw_orders!A:A, 0)), "Unknown")</f>
        <v>Nordics</v>
      </c>
      <c r="J2578" t="str">
        <f>PROPER(shipments[[#This Row],[delivery_status]])</f>
        <v>Delivered</v>
      </c>
      <c r="K2578" t="s">
        <v>6929</v>
      </c>
    </row>
    <row r="2579" spans="1:11">
      <c r="A2579" t="s">
        <v>9515</v>
      </c>
      <c r="B2579" t="s">
        <v>3324</v>
      </c>
      <c r="C2579" t="s">
        <v>6931</v>
      </c>
      <c r="D2579" s="1">
        <v>45177</v>
      </c>
      <c r="E2579" s="1">
        <v>45180</v>
      </c>
      <c r="F2579" s="1">
        <v>45182</v>
      </c>
      <c r="G2579">
        <v>53.83</v>
      </c>
      <c r="H25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79" t="str">
        <f>IFERROR(INDEX(Raw_orders!G:G, MATCH(shipments[[#This Row],[order_id]],Raw_orders!A:A, 0)), "Unknown")</f>
        <v>Nordics</v>
      </c>
      <c r="J2579" t="str">
        <f>PROPER(shipments[[#This Row],[delivery_status]])</f>
        <v>Delivered</v>
      </c>
      <c r="K2579" t="s">
        <v>6922</v>
      </c>
    </row>
    <row r="2580" spans="1:11">
      <c r="A2580" t="s">
        <v>9516</v>
      </c>
      <c r="B2580" t="s">
        <v>3325</v>
      </c>
      <c r="C2580" t="s">
        <v>6935</v>
      </c>
      <c r="D2580" s="1">
        <v>45289</v>
      </c>
      <c r="E2580" s="1">
        <v>45296</v>
      </c>
      <c r="F2580" s="1">
        <v>45296</v>
      </c>
      <c r="G2580">
        <v>52.94</v>
      </c>
      <c r="H25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80" t="str">
        <f>IFERROR(INDEX(Raw_orders!G:G, MATCH(shipments[[#This Row],[order_id]],Raw_orders!A:A, 0)), "Unknown")</f>
        <v>Nordics</v>
      </c>
      <c r="J2580" t="str">
        <f>PROPER(shipments[[#This Row],[delivery_status]])</f>
        <v>Delivered</v>
      </c>
      <c r="K2580" t="s">
        <v>6926</v>
      </c>
    </row>
    <row r="2581" spans="1:11">
      <c r="A2581" t="s">
        <v>9517</v>
      </c>
      <c r="B2581" t="s">
        <v>3326</v>
      </c>
      <c r="C2581" t="s">
        <v>6925</v>
      </c>
      <c r="D2581" s="1">
        <v>45040</v>
      </c>
      <c r="E2581" s="1">
        <v>45043</v>
      </c>
      <c r="F2581" s="1">
        <v>45044</v>
      </c>
      <c r="G2581">
        <v>18.68</v>
      </c>
      <c r="H25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81" t="str">
        <f>IFERROR(INDEX(Raw_orders!G:G, MATCH(shipments[[#This Row],[order_id]],Raw_orders!A:A, 0)), "Unknown")</f>
        <v>Nordics</v>
      </c>
      <c r="J2581" t="str">
        <f>PROPER(shipments[[#This Row],[delivery_status]])</f>
        <v>Delivered</v>
      </c>
      <c r="K2581" t="s">
        <v>6929</v>
      </c>
    </row>
    <row r="2582" spans="1:11">
      <c r="A2582" t="s">
        <v>9518</v>
      </c>
      <c r="B2582" t="s">
        <v>3327</v>
      </c>
      <c r="C2582" t="s">
        <v>6940</v>
      </c>
      <c r="D2582" s="1">
        <v>44932</v>
      </c>
      <c r="E2582" s="1">
        <v>44934</v>
      </c>
      <c r="F2582" s="1">
        <v>44942</v>
      </c>
      <c r="G2582">
        <v>9.57</v>
      </c>
      <c r="H25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82" t="str">
        <f>IFERROR(INDEX(Raw_orders!G:G, MATCH(shipments[[#This Row],[order_id]],Raw_orders!A:A, 0)), "Unknown")</f>
        <v>Central Europe</v>
      </c>
      <c r="J2582" t="str">
        <f>PROPER(shipments[[#This Row],[delivery_status]])</f>
        <v>Delivered</v>
      </c>
      <c r="K2582" t="s">
        <v>6922</v>
      </c>
    </row>
    <row r="2583" spans="1:11">
      <c r="A2583" t="s">
        <v>9519</v>
      </c>
      <c r="B2583" t="s">
        <v>3328</v>
      </c>
      <c r="C2583" t="s">
        <v>6928</v>
      </c>
      <c r="D2583" s="1">
        <v>45537</v>
      </c>
      <c r="E2583" s="1">
        <v>45544</v>
      </c>
      <c r="F2583" s="1">
        <v>45550</v>
      </c>
      <c r="G2583">
        <v>21.46</v>
      </c>
      <c r="H25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83" t="str">
        <f>IFERROR(INDEX(Raw_orders!G:G, MATCH(shipments[[#This Row],[order_id]],Raw_orders!A:A, 0)), "Unknown")</f>
        <v>Nordics</v>
      </c>
      <c r="J2583" t="str">
        <f>PROPER(shipments[[#This Row],[delivery_status]])</f>
        <v>Delivered</v>
      </c>
      <c r="K2583" t="s">
        <v>6926</v>
      </c>
    </row>
    <row r="2584" spans="1:11">
      <c r="A2584" t="s">
        <v>9520</v>
      </c>
      <c r="B2584" t="s">
        <v>3329</v>
      </c>
      <c r="C2584" t="s">
        <v>6931</v>
      </c>
      <c r="D2584" s="1">
        <v>44989</v>
      </c>
      <c r="E2584" s="1">
        <v>44999</v>
      </c>
      <c r="F2584" s="1">
        <v>45001</v>
      </c>
      <c r="G2584">
        <v>26.82</v>
      </c>
      <c r="H25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84" t="str">
        <f>IFERROR(INDEX(Raw_orders!G:G, MATCH(shipments[[#This Row],[order_id]],Raw_orders!A:A, 0)), "Unknown")</f>
        <v>Nordics</v>
      </c>
      <c r="J2584" t="str">
        <f>PROPER(shipments[[#This Row],[delivery_status]])</f>
        <v>Delivered</v>
      </c>
      <c r="K2584" t="s">
        <v>6922</v>
      </c>
    </row>
    <row r="2585" spans="1:11">
      <c r="A2585" t="s">
        <v>9521</v>
      </c>
      <c r="B2585" t="s">
        <v>3330</v>
      </c>
      <c r="C2585" t="s">
        <v>6935</v>
      </c>
      <c r="D2585" s="1">
        <v>45365</v>
      </c>
      <c r="E2585" s="1">
        <v>45375</v>
      </c>
      <c r="F2585" s="1">
        <v>45375</v>
      </c>
      <c r="G2585">
        <v>58.64</v>
      </c>
      <c r="H25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85" t="str">
        <f>IFERROR(INDEX(Raw_orders!G:G, MATCH(shipments[[#This Row],[order_id]],Raw_orders!A:A, 0)), "Unknown")</f>
        <v>Baltics</v>
      </c>
      <c r="J2585" t="str">
        <f>PROPER(shipments[[#This Row],[delivery_status]])</f>
        <v>Delivered</v>
      </c>
      <c r="K2585" t="s">
        <v>6926</v>
      </c>
    </row>
    <row r="2586" spans="1:11">
      <c r="A2586" t="s">
        <v>9522</v>
      </c>
      <c r="B2586" t="s">
        <v>3331</v>
      </c>
      <c r="C2586" t="s">
        <v>6925</v>
      </c>
      <c r="D2586" s="1">
        <v>44947</v>
      </c>
      <c r="E2586" s="1">
        <v>44957</v>
      </c>
      <c r="F2586" s="1">
        <v>44963</v>
      </c>
      <c r="G2586">
        <v>45.66</v>
      </c>
      <c r="H25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86" t="str">
        <f>IFERROR(INDEX(Raw_orders!G:G, MATCH(shipments[[#This Row],[order_id]],Raw_orders!A:A, 0)), "Unknown")</f>
        <v>Baltics</v>
      </c>
      <c r="J2586" t="str">
        <f>PROPER(shipments[[#This Row],[delivery_status]])</f>
        <v>Delivered</v>
      </c>
      <c r="K2586" t="s">
        <v>6922</v>
      </c>
    </row>
    <row r="2587" spans="1:11">
      <c r="A2587" t="s">
        <v>9523</v>
      </c>
      <c r="B2587" t="s">
        <v>3332</v>
      </c>
      <c r="C2587" t="s">
        <v>6949</v>
      </c>
      <c r="D2587" s="1">
        <v>44961</v>
      </c>
      <c r="E2587" s="1">
        <v>44968</v>
      </c>
      <c r="F2587" s="1">
        <v>44968</v>
      </c>
      <c r="G2587">
        <v>62.48</v>
      </c>
      <c r="H25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87" t="str">
        <f>IFERROR(INDEX(Raw_orders!G:G, MATCH(shipments[[#This Row],[order_id]],Raw_orders!A:A, 0)), "Unknown")</f>
        <v>Central Europe</v>
      </c>
      <c r="J2587" t="str">
        <f>PROPER(shipments[[#This Row],[delivery_status]])</f>
        <v>Delivered</v>
      </c>
      <c r="K2587" t="s">
        <v>6929</v>
      </c>
    </row>
    <row r="2588" spans="1:11">
      <c r="A2588" t="s">
        <v>9524</v>
      </c>
      <c r="B2588" t="s">
        <v>3332</v>
      </c>
      <c r="C2588" t="s">
        <v>6938</v>
      </c>
      <c r="D2588" s="1">
        <v>44958</v>
      </c>
      <c r="E2588" s="1">
        <v>44963</v>
      </c>
      <c r="F2588" s="1">
        <v>44963</v>
      </c>
      <c r="G2588">
        <v>44.75</v>
      </c>
      <c r="H25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88" t="str">
        <f>IFERROR(INDEX(Raw_orders!G:G, MATCH(shipments[[#This Row],[order_id]],Raw_orders!A:A, 0)), "Unknown")</f>
        <v>Central Europe</v>
      </c>
      <c r="J2588" t="str">
        <f>PROPER(shipments[[#This Row],[delivery_status]])</f>
        <v>Delivered</v>
      </c>
      <c r="K2588" t="s">
        <v>6929</v>
      </c>
    </row>
    <row r="2589" spans="1:11">
      <c r="A2589" t="s">
        <v>9525</v>
      </c>
      <c r="B2589" t="s">
        <v>3333</v>
      </c>
      <c r="C2589" t="s">
        <v>6938</v>
      </c>
      <c r="D2589" s="1">
        <v>44998</v>
      </c>
      <c r="E2589" s="1">
        <v>45003</v>
      </c>
      <c r="F2589" s="1">
        <v>45008</v>
      </c>
      <c r="G2589">
        <v>55.55</v>
      </c>
      <c r="H25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89" t="str">
        <f>IFERROR(INDEX(Raw_orders!G:G, MATCH(shipments[[#This Row],[order_id]],Raw_orders!A:A, 0)), "Unknown")</f>
        <v>Baltics</v>
      </c>
      <c r="J2589" t="str">
        <f>PROPER(shipments[[#This Row],[delivery_status]])</f>
        <v>Delivered</v>
      </c>
      <c r="K2589" t="s">
        <v>6922</v>
      </c>
    </row>
    <row r="2590" spans="1:11">
      <c r="A2590" t="s">
        <v>9526</v>
      </c>
      <c r="B2590" t="s">
        <v>3334</v>
      </c>
      <c r="C2590" t="s">
        <v>6938</v>
      </c>
      <c r="D2590" s="1">
        <v>45138</v>
      </c>
      <c r="E2590" s="1">
        <v>45140</v>
      </c>
      <c r="F2590" s="1"/>
      <c r="G2590">
        <v>28.76</v>
      </c>
      <c r="H25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590" t="str">
        <f>IFERROR(INDEX(Raw_orders!G:G, MATCH(shipments[[#This Row],[order_id]],Raw_orders!A:A, 0)), "Unknown")</f>
        <v>Central Europe</v>
      </c>
      <c r="J2590" t="str">
        <f>PROPER(shipments[[#This Row],[delivery_status]])</f>
        <v>In Transit</v>
      </c>
      <c r="K2590" t="s">
        <v>6958</v>
      </c>
    </row>
    <row r="2591" spans="1:11">
      <c r="A2591" t="s">
        <v>9527</v>
      </c>
      <c r="B2591" t="s">
        <v>3335</v>
      </c>
      <c r="C2591" t="s">
        <v>6940</v>
      </c>
      <c r="D2591" s="1">
        <v>45464</v>
      </c>
      <c r="E2591" s="1">
        <v>45467</v>
      </c>
      <c r="F2591" s="1"/>
      <c r="G2591">
        <v>47.76</v>
      </c>
      <c r="H25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591" t="str">
        <f>IFERROR(INDEX(Raw_orders!G:G, MATCH(shipments[[#This Row],[order_id]],Raw_orders!A:A, 0)), "Unknown")</f>
        <v>Central Europe</v>
      </c>
      <c r="J2591" t="str">
        <f>PROPER(shipments[[#This Row],[delivery_status]])</f>
        <v>Cancelled</v>
      </c>
      <c r="K2591" t="s">
        <v>6979</v>
      </c>
    </row>
    <row r="2592" spans="1:11">
      <c r="A2592" t="s">
        <v>9528</v>
      </c>
      <c r="B2592" t="s">
        <v>3335</v>
      </c>
      <c r="C2592" t="s">
        <v>6925</v>
      </c>
      <c r="D2592" s="1">
        <v>45463</v>
      </c>
      <c r="E2592" s="1">
        <v>45470</v>
      </c>
      <c r="F2592" s="1">
        <v>45471</v>
      </c>
      <c r="G2592">
        <v>37</v>
      </c>
      <c r="H25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92" t="str">
        <f>IFERROR(INDEX(Raw_orders!G:G, MATCH(shipments[[#This Row],[order_id]],Raw_orders!A:A, 0)), "Unknown")</f>
        <v>Central Europe</v>
      </c>
      <c r="J2592" t="str">
        <f>PROPER(shipments[[#This Row],[delivery_status]])</f>
        <v>Delivered</v>
      </c>
      <c r="K2592" t="s">
        <v>6929</v>
      </c>
    </row>
    <row r="2593" spans="1:11">
      <c r="A2593" t="s">
        <v>9529</v>
      </c>
      <c r="B2593" t="s">
        <v>3336</v>
      </c>
      <c r="C2593" t="s">
        <v>6928</v>
      </c>
      <c r="D2593" s="1">
        <v>45113</v>
      </c>
      <c r="E2593" s="1">
        <v>45120</v>
      </c>
      <c r="F2593" s="1"/>
      <c r="G2593">
        <v>42.26</v>
      </c>
      <c r="H25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593" t="str">
        <f>IFERROR(INDEX(Raw_orders!G:G, MATCH(shipments[[#This Row],[order_id]],Raw_orders!A:A, 0)), "Unknown")</f>
        <v>Central Europe</v>
      </c>
      <c r="J2593" t="str">
        <f>PROPER(shipments[[#This Row],[delivery_status]])</f>
        <v>In Transit</v>
      </c>
      <c r="K2593" t="s">
        <v>6946</v>
      </c>
    </row>
    <row r="2594" spans="1:11">
      <c r="A2594" t="s">
        <v>9530</v>
      </c>
      <c r="B2594" t="s">
        <v>3337</v>
      </c>
      <c r="C2594" t="s">
        <v>6931</v>
      </c>
      <c r="D2594" s="1">
        <v>45461</v>
      </c>
      <c r="E2594" s="1">
        <v>45464</v>
      </c>
      <c r="F2594" s="1">
        <v>45464</v>
      </c>
      <c r="G2594">
        <v>42.63</v>
      </c>
      <c r="H25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94" t="str">
        <f>IFERROR(INDEX(Raw_orders!G:G, MATCH(shipments[[#This Row],[order_id]],Raw_orders!A:A, 0)), "Unknown")</f>
        <v>Central Europe</v>
      </c>
      <c r="J2594" t="str">
        <f>PROPER(shipments[[#This Row],[delivery_status]])</f>
        <v>Delivered</v>
      </c>
      <c r="K2594" t="s">
        <v>6929</v>
      </c>
    </row>
    <row r="2595" spans="1:11">
      <c r="A2595" t="s">
        <v>9531</v>
      </c>
      <c r="B2595" t="s">
        <v>3338</v>
      </c>
      <c r="C2595" t="s">
        <v>6940</v>
      </c>
      <c r="D2595" s="1">
        <v>45160</v>
      </c>
      <c r="E2595" s="1">
        <v>45163</v>
      </c>
      <c r="F2595" s="1">
        <v>45171</v>
      </c>
      <c r="G2595">
        <v>56.24</v>
      </c>
      <c r="H25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95" t="str">
        <f>IFERROR(INDEX(Raw_orders!G:G, MATCH(shipments[[#This Row],[order_id]],Raw_orders!A:A, 0)), "Unknown")</f>
        <v>Baltics</v>
      </c>
      <c r="J2595" t="str">
        <f>PROPER(shipments[[#This Row],[delivery_status]])</f>
        <v>Delivered</v>
      </c>
      <c r="K2595" t="s">
        <v>6926</v>
      </c>
    </row>
    <row r="2596" spans="1:11">
      <c r="A2596" t="s">
        <v>9532</v>
      </c>
      <c r="B2596" t="s">
        <v>3339</v>
      </c>
      <c r="C2596" t="s">
        <v>6925</v>
      </c>
      <c r="D2596" s="1">
        <v>44974</v>
      </c>
      <c r="E2596" s="1">
        <v>44976</v>
      </c>
      <c r="F2596" s="1">
        <v>44978</v>
      </c>
      <c r="G2596">
        <v>43.02</v>
      </c>
      <c r="H25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96" t="str">
        <f>IFERROR(INDEX(Raw_orders!G:G, MATCH(shipments[[#This Row],[order_id]],Raw_orders!A:A, 0)), "Unknown")</f>
        <v>Nordics</v>
      </c>
      <c r="J2596" t="str">
        <f>PROPER(shipments[[#This Row],[delivery_status]])</f>
        <v>Delivered</v>
      </c>
      <c r="K2596" t="s">
        <v>6926</v>
      </c>
    </row>
    <row r="2597" spans="1:11">
      <c r="A2597" t="s">
        <v>9533</v>
      </c>
      <c r="B2597" t="s">
        <v>3340</v>
      </c>
      <c r="C2597" t="s">
        <v>6928</v>
      </c>
      <c r="D2597" s="1">
        <v>45420</v>
      </c>
      <c r="E2597" s="1">
        <v>45422</v>
      </c>
      <c r="F2597" s="1">
        <v>45424</v>
      </c>
      <c r="G2597">
        <v>19.36</v>
      </c>
      <c r="H25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597" t="str">
        <f>IFERROR(INDEX(Raw_orders!G:G, MATCH(shipments[[#This Row],[order_id]],Raw_orders!A:A, 0)), "Unknown")</f>
        <v>Central Europe</v>
      </c>
      <c r="J2597" t="str">
        <f>PROPER(shipments[[#This Row],[delivery_status]])</f>
        <v>Delivered</v>
      </c>
      <c r="K2597" t="s">
        <v>6929</v>
      </c>
    </row>
    <row r="2598" spans="1:11">
      <c r="A2598" t="s">
        <v>9534</v>
      </c>
      <c r="B2598" t="s">
        <v>3341</v>
      </c>
      <c r="C2598" t="s">
        <v>6938</v>
      </c>
      <c r="D2598" s="1">
        <v>45463</v>
      </c>
      <c r="E2598" s="1">
        <v>45470</v>
      </c>
      <c r="F2598" s="1">
        <v>45470</v>
      </c>
      <c r="G2598">
        <v>59.82</v>
      </c>
      <c r="H25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598" t="str">
        <f>IFERROR(INDEX(Raw_orders!G:G, MATCH(shipments[[#This Row],[order_id]],Raw_orders!A:A, 0)), "Unknown")</f>
        <v>Nordics</v>
      </c>
      <c r="J2598" t="str">
        <f>PROPER(shipments[[#This Row],[delivery_status]])</f>
        <v>Delivered</v>
      </c>
      <c r="K2598" t="s">
        <v>6922</v>
      </c>
    </row>
    <row r="2599" spans="1:11">
      <c r="A2599" t="s">
        <v>9535</v>
      </c>
      <c r="B2599" t="s">
        <v>3342</v>
      </c>
      <c r="C2599" t="s">
        <v>6928</v>
      </c>
      <c r="D2599" s="1">
        <v>45320</v>
      </c>
      <c r="E2599" s="1">
        <v>45323</v>
      </c>
      <c r="F2599" s="1"/>
      <c r="G2599">
        <v>34.28</v>
      </c>
      <c r="H25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599" t="str">
        <f>IFERROR(INDEX(Raw_orders!G:G, MATCH(shipments[[#This Row],[order_id]],Raw_orders!A:A, 0)), "Unknown")</f>
        <v>Central Europe</v>
      </c>
      <c r="J2599" t="str">
        <f>PROPER(shipments[[#This Row],[delivery_status]])</f>
        <v>Cancelled</v>
      </c>
      <c r="K2599" t="s">
        <v>6979</v>
      </c>
    </row>
    <row r="2600" spans="1:11">
      <c r="A2600" t="s">
        <v>9536</v>
      </c>
      <c r="B2600" t="s">
        <v>3343</v>
      </c>
      <c r="C2600" t="s">
        <v>6938</v>
      </c>
      <c r="D2600" s="1">
        <v>44965</v>
      </c>
      <c r="E2600" s="1">
        <v>44968</v>
      </c>
      <c r="F2600" s="1">
        <v>44968</v>
      </c>
      <c r="G2600">
        <v>60.73</v>
      </c>
      <c r="H26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600" t="str">
        <f>IFERROR(INDEX(Raw_orders!G:G, MATCH(shipments[[#This Row],[order_id]],Raw_orders!A:A, 0)), "Unknown")</f>
        <v>Nordics</v>
      </c>
      <c r="J2600" t="str">
        <f>PROPER(shipments[[#This Row],[delivery_status]])</f>
        <v>Delivered</v>
      </c>
      <c r="K2600" t="s">
        <v>6926</v>
      </c>
    </row>
    <row r="2601" spans="1:11">
      <c r="A2601" t="s">
        <v>9537</v>
      </c>
      <c r="B2601" t="s">
        <v>3344</v>
      </c>
      <c r="C2601" t="s">
        <v>6921</v>
      </c>
      <c r="D2601" s="1">
        <v>45157</v>
      </c>
      <c r="E2601" s="1">
        <v>45162</v>
      </c>
      <c r="F2601" s="1">
        <v>45164</v>
      </c>
      <c r="G2601">
        <v>45.33</v>
      </c>
      <c r="H26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01" t="str">
        <f>IFERROR(INDEX(Raw_orders!G:G, MATCH(shipments[[#This Row],[order_id]],Raw_orders!A:A, 0)), "Unknown")</f>
        <v>Central Europe</v>
      </c>
      <c r="J2601" t="str">
        <f>PROPER(shipments[[#This Row],[delivery_status]])</f>
        <v>Delivered</v>
      </c>
      <c r="K2601" t="s">
        <v>6929</v>
      </c>
    </row>
    <row r="2602" spans="1:11">
      <c r="A2602" t="s">
        <v>9538</v>
      </c>
      <c r="B2602" t="s">
        <v>3345</v>
      </c>
      <c r="C2602" t="s">
        <v>6921</v>
      </c>
      <c r="D2602" s="1">
        <v>45563</v>
      </c>
      <c r="E2602" s="1">
        <v>45570</v>
      </c>
      <c r="F2602" s="1"/>
      <c r="G2602">
        <v>64.13</v>
      </c>
      <c r="H26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602" t="str">
        <f>IFERROR(INDEX(Raw_orders!G:G, MATCH(shipments[[#This Row],[order_id]],Raw_orders!A:A, 0)), "Unknown")</f>
        <v>Nordics</v>
      </c>
      <c r="J2602" t="str">
        <f>PROPER(shipments[[#This Row],[delivery_status]])</f>
        <v>In Transit</v>
      </c>
      <c r="K2602" t="s">
        <v>6977</v>
      </c>
    </row>
    <row r="2603" spans="1:11">
      <c r="A2603" t="s">
        <v>9539</v>
      </c>
      <c r="B2603" t="s">
        <v>3346</v>
      </c>
      <c r="C2603" t="s">
        <v>6921</v>
      </c>
      <c r="D2603" s="1">
        <v>45004</v>
      </c>
      <c r="E2603" s="1">
        <v>45006</v>
      </c>
      <c r="F2603" s="1">
        <v>45008</v>
      </c>
      <c r="G2603">
        <v>28.98</v>
      </c>
      <c r="H26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03" t="str">
        <f>IFERROR(INDEX(Raw_orders!G:G, MATCH(shipments[[#This Row],[order_id]],Raw_orders!A:A, 0)), "Unknown")</f>
        <v>Baltics</v>
      </c>
      <c r="J2603" t="str">
        <f>PROPER(shipments[[#This Row],[delivery_status]])</f>
        <v>Delivered</v>
      </c>
      <c r="K2603" t="s">
        <v>6926</v>
      </c>
    </row>
    <row r="2604" spans="1:11">
      <c r="A2604" t="s">
        <v>9540</v>
      </c>
      <c r="B2604" t="s">
        <v>3347</v>
      </c>
      <c r="C2604" t="s">
        <v>6956</v>
      </c>
      <c r="D2604" s="1">
        <v>45384</v>
      </c>
      <c r="E2604" s="1">
        <v>45394</v>
      </c>
      <c r="F2604" s="1">
        <v>45394</v>
      </c>
      <c r="G2604">
        <v>33.619999999999997</v>
      </c>
      <c r="H26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604" t="str">
        <f>IFERROR(INDEX(Raw_orders!G:G, MATCH(shipments[[#This Row],[order_id]],Raw_orders!A:A, 0)), "Unknown")</f>
        <v>Baltics</v>
      </c>
      <c r="J2604" t="str">
        <f>PROPER(shipments[[#This Row],[delivery_status]])</f>
        <v>Delivered</v>
      </c>
      <c r="K2604" t="s">
        <v>6922</v>
      </c>
    </row>
    <row r="2605" spans="1:11">
      <c r="A2605" t="s">
        <v>9541</v>
      </c>
      <c r="B2605" t="s">
        <v>3348</v>
      </c>
      <c r="C2605" t="s">
        <v>6935</v>
      </c>
      <c r="D2605" s="1">
        <v>45481</v>
      </c>
      <c r="E2605" s="1">
        <v>45484</v>
      </c>
      <c r="F2605" s="1">
        <v>45484</v>
      </c>
      <c r="G2605">
        <v>62.34</v>
      </c>
      <c r="H26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605" t="str">
        <f>IFERROR(INDEX(Raw_orders!G:G, MATCH(shipments[[#This Row],[order_id]],Raw_orders!A:A, 0)), "Unknown")</f>
        <v>Central Europe</v>
      </c>
      <c r="J2605" t="str">
        <f>PROPER(shipments[[#This Row],[delivery_status]])</f>
        <v>Delivered</v>
      </c>
      <c r="K2605" t="s">
        <v>6922</v>
      </c>
    </row>
    <row r="2606" spans="1:11">
      <c r="A2606" t="s">
        <v>9542</v>
      </c>
      <c r="B2606" t="s">
        <v>3349</v>
      </c>
      <c r="C2606" t="s">
        <v>6938</v>
      </c>
      <c r="D2606" s="1">
        <v>44990</v>
      </c>
      <c r="E2606" s="1">
        <v>44992</v>
      </c>
      <c r="F2606" s="1">
        <v>44994</v>
      </c>
      <c r="G2606">
        <v>10.1</v>
      </c>
      <c r="H26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06" t="str">
        <f>IFERROR(INDEX(Raw_orders!G:G, MATCH(shipments[[#This Row],[order_id]],Raw_orders!A:A, 0)), "Unknown")</f>
        <v>Nordics</v>
      </c>
      <c r="J2606" t="str">
        <f>PROPER(shipments[[#This Row],[delivery_status]])</f>
        <v>Delivered</v>
      </c>
      <c r="K2606" t="s">
        <v>6929</v>
      </c>
    </row>
    <row r="2607" spans="1:11">
      <c r="A2607" t="s">
        <v>9543</v>
      </c>
      <c r="B2607" t="s">
        <v>3350</v>
      </c>
      <c r="C2607" t="s">
        <v>6956</v>
      </c>
      <c r="D2607" s="1">
        <v>45411</v>
      </c>
      <c r="E2607" s="1">
        <v>45414</v>
      </c>
      <c r="F2607" s="1">
        <v>45422</v>
      </c>
      <c r="G2607">
        <v>17.559999999999999</v>
      </c>
      <c r="H26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07" t="str">
        <f>IFERROR(INDEX(Raw_orders!G:G, MATCH(shipments[[#This Row],[order_id]],Raw_orders!A:A, 0)), "Unknown")</f>
        <v>Nordics</v>
      </c>
      <c r="J2607" t="str">
        <f>PROPER(shipments[[#This Row],[delivery_status]])</f>
        <v>Delivered</v>
      </c>
      <c r="K2607" t="s">
        <v>6926</v>
      </c>
    </row>
    <row r="2608" spans="1:11">
      <c r="A2608" t="s">
        <v>9544</v>
      </c>
      <c r="B2608" t="s">
        <v>3351</v>
      </c>
      <c r="C2608" t="s">
        <v>6928</v>
      </c>
      <c r="D2608" s="1">
        <v>45348</v>
      </c>
      <c r="E2608" s="1">
        <v>45353</v>
      </c>
      <c r="F2608" s="1">
        <v>45361</v>
      </c>
      <c r="G2608">
        <v>41.99</v>
      </c>
      <c r="H26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08" t="str">
        <f>IFERROR(INDEX(Raw_orders!G:G, MATCH(shipments[[#This Row],[order_id]],Raw_orders!A:A, 0)), "Unknown")</f>
        <v>Nordics</v>
      </c>
      <c r="J2608" t="str">
        <f>PROPER(shipments[[#This Row],[delivery_status]])</f>
        <v>Delivered</v>
      </c>
      <c r="K2608" t="s">
        <v>6922</v>
      </c>
    </row>
    <row r="2609" spans="1:11">
      <c r="A2609" t="s">
        <v>9545</v>
      </c>
      <c r="B2609" t="s">
        <v>3352</v>
      </c>
      <c r="C2609" t="s">
        <v>6940</v>
      </c>
      <c r="D2609" s="1">
        <v>45060</v>
      </c>
      <c r="E2609" s="1">
        <v>45063</v>
      </c>
      <c r="F2609" s="1">
        <v>45066</v>
      </c>
      <c r="G2609">
        <v>34.4</v>
      </c>
      <c r="H26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09" t="str">
        <f>IFERROR(INDEX(Raw_orders!G:G, MATCH(shipments[[#This Row],[order_id]],Raw_orders!A:A, 0)), "Unknown")</f>
        <v>Baltics</v>
      </c>
      <c r="J2609" t="str">
        <f>PROPER(shipments[[#This Row],[delivery_status]])</f>
        <v>Delivered</v>
      </c>
      <c r="K2609" t="s">
        <v>6929</v>
      </c>
    </row>
    <row r="2610" spans="1:11">
      <c r="A2610" t="s">
        <v>9546</v>
      </c>
      <c r="B2610" t="s">
        <v>3353</v>
      </c>
      <c r="C2610" t="s">
        <v>6925</v>
      </c>
      <c r="D2610" s="1">
        <v>45302</v>
      </c>
      <c r="E2610" s="1">
        <v>45305</v>
      </c>
      <c r="F2610" s="1">
        <v>45304</v>
      </c>
      <c r="G2610">
        <v>63.35</v>
      </c>
      <c r="H26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610" t="str">
        <f>IFERROR(INDEX(Raw_orders!G:G, MATCH(shipments[[#This Row],[order_id]],Raw_orders!A:A, 0)), "Unknown")</f>
        <v>Baltics</v>
      </c>
      <c r="J2610" t="str">
        <f>PROPER(shipments[[#This Row],[delivery_status]])</f>
        <v>Delivered</v>
      </c>
      <c r="K2610" t="s">
        <v>6926</v>
      </c>
    </row>
    <row r="2611" spans="1:11">
      <c r="A2611" t="s">
        <v>9547</v>
      </c>
      <c r="B2611" t="s">
        <v>3354</v>
      </c>
      <c r="C2611" t="s">
        <v>6931</v>
      </c>
      <c r="D2611" s="1">
        <v>45340</v>
      </c>
      <c r="E2611" s="1">
        <v>45347</v>
      </c>
      <c r="F2611" s="1">
        <v>45347</v>
      </c>
      <c r="G2611">
        <v>64.02</v>
      </c>
      <c r="H26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611" t="str">
        <f>IFERROR(INDEX(Raw_orders!G:G, MATCH(shipments[[#This Row],[order_id]],Raw_orders!A:A, 0)), "Unknown")</f>
        <v>Nordics</v>
      </c>
      <c r="J2611" t="str">
        <f>PROPER(shipments[[#This Row],[delivery_status]])</f>
        <v>Delivered</v>
      </c>
      <c r="K2611" t="s">
        <v>6926</v>
      </c>
    </row>
    <row r="2612" spans="1:11">
      <c r="A2612" t="s">
        <v>9548</v>
      </c>
      <c r="B2612" t="s">
        <v>3355</v>
      </c>
      <c r="C2612" t="s">
        <v>6928</v>
      </c>
      <c r="D2612" s="1">
        <v>44933</v>
      </c>
      <c r="E2612" s="1">
        <v>44940</v>
      </c>
      <c r="F2612" s="1"/>
      <c r="G2612">
        <v>54.63</v>
      </c>
      <c r="H26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612" t="str">
        <f>IFERROR(INDEX(Raw_orders!G:G, MATCH(shipments[[#This Row],[order_id]],Raw_orders!A:A, 0)), "Unknown")</f>
        <v>Central Europe</v>
      </c>
      <c r="J2612" t="str">
        <f>PROPER(shipments[[#This Row],[delivery_status]])</f>
        <v>Cancelled</v>
      </c>
      <c r="K2612" t="s">
        <v>6972</v>
      </c>
    </row>
    <row r="2613" spans="1:11">
      <c r="A2613" t="s">
        <v>9549</v>
      </c>
      <c r="B2613" t="s">
        <v>3356</v>
      </c>
      <c r="C2613" t="s">
        <v>6935</v>
      </c>
      <c r="D2613" s="1">
        <v>45347</v>
      </c>
      <c r="E2613" s="1">
        <v>45357</v>
      </c>
      <c r="F2613" s="1">
        <v>45356</v>
      </c>
      <c r="G2613">
        <v>57.26</v>
      </c>
      <c r="H26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613" t="str">
        <f>IFERROR(INDEX(Raw_orders!G:G, MATCH(shipments[[#This Row],[order_id]],Raw_orders!A:A, 0)), "Unknown")</f>
        <v>Nordics</v>
      </c>
      <c r="J2613" t="str">
        <f>PROPER(shipments[[#This Row],[delivery_status]])</f>
        <v>Delivered</v>
      </c>
      <c r="K2613" t="s">
        <v>6922</v>
      </c>
    </row>
    <row r="2614" spans="1:11">
      <c r="A2614" t="s">
        <v>9550</v>
      </c>
      <c r="B2614" t="s">
        <v>3357</v>
      </c>
      <c r="C2614" t="s">
        <v>6956</v>
      </c>
      <c r="D2614" s="1">
        <v>45192</v>
      </c>
      <c r="E2614" s="1">
        <v>45202</v>
      </c>
      <c r="F2614" s="1">
        <v>45204</v>
      </c>
      <c r="G2614">
        <v>52.04</v>
      </c>
      <c r="H26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14" t="str">
        <f>IFERROR(INDEX(Raw_orders!G:G, MATCH(shipments[[#This Row],[order_id]],Raw_orders!A:A, 0)), "Unknown")</f>
        <v>Central Europe</v>
      </c>
      <c r="J2614" t="str">
        <f>PROPER(shipments[[#This Row],[delivery_status]])</f>
        <v>Delivered</v>
      </c>
      <c r="K2614" t="s">
        <v>6926</v>
      </c>
    </row>
    <row r="2615" spans="1:11">
      <c r="A2615" t="s">
        <v>9551</v>
      </c>
      <c r="B2615" t="s">
        <v>3358</v>
      </c>
      <c r="C2615" t="s">
        <v>6956</v>
      </c>
      <c r="D2615" s="1">
        <v>45327</v>
      </c>
      <c r="E2615" s="1">
        <v>45332</v>
      </c>
      <c r="F2615" s="1">
        <v>45337</v>
      </c>
      <c r="G2615">
        <v>61.39</v>
      </c>
      <c r="H26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15" t="str">
        <f>IFERROR(INDEX(Raw_orders!G:G, MATCH(shipments[[#This Row],[order_id]],Raw_orders!A:A, 0)), "Unknown")</f>
        <v>Central Europe</v>
      </c>
      <c r="J2615" t="str">
        <f>PROPER(shipments[[#This Row],[delivery_status]])</f>
        <v>Delivered</v>
      </c>
      <c r="K2615" t="s">
        <v>6929</v>
      </c>
    </row>
    <row r="2616" spans="1:11">
      <c r="A2616" t="s">
        <v>9552</v>
      </c>
      <c r="B2616" t="s">
        <v>3359</v>
      </c>
      <c r="C2616" t="s">
        <v>6931</v>
      </c>
      <c r="D2616" s="1">
        <v>44977</v>
      </c>
      <c r="E2616" s="1">
        <v>44982</v>
      </c>
      <c r="F2616" s="1">
        <v>44982</v>
      </c>
      <c r="G2616">
        <v>4.9400000000000004</v>
      </c>
      <c r="H26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616" t="str">
        <f>IFERROR(INDEX(Raw_orders!G:G, MATCH(shipments[[#This Row],[order_id]],Raw_orders!A:A, 0)), "Unknown")</f>
        <v>Central Europe</v>
      </c>
      <c r="J2616" t="str">
        <f>PROPER(shipments[[#This Row],[delivery_status]])</f>
        <v>Delivered</v>
      </c>
      <c r="K2616" t="s">
        <v>6926</v>
      </c>
    </row>
    <row r="2617" spans="1:11">
      <c r="A2617" t="s">
        <v>9553</v>
      </c>
      <c r="B2617" t="s">
        <v>3359</v>
      </c>
      <c r="C2617" t="s">
        <v>6949</v>
      </c>
      <c r="D2617" s="1">
        <v>44976</v>
      </c>
      <c r="E2617" s="1">
        <v>44986</v>
      </c>
      <c r="F2617" s="1"/>
      <c r="G2617">
        <v>40.020000000000003</v>
      </c>
      <c r="H26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617" t="str">
        <f>IFERROR(INDEX(Raw_orders!G:G, MATCH(shipments[[#This Row],[order_id]],Raw_orders!A:A, 0)), "Unknown")</f>
        <v>Central Europe</v>
      </c>
      <c r="J2617" t="str">
        <f>PROPER(shipments[[#This Row],[delivery_status]])</f>
        <v>In Transit</v>
      </c>
      <c r="K2617" t="s">
        <v>6977</v>
      </c>
    </row>
    <row r="2618" spans="1:11">
      <c r="A2618" t="s">
        <v>9554</v>
      </c>
      <c r="B2618" t="s">
        <v>3360</v>
      </c>
      <c r="C2618" t="s">
        <v>6921</v>
      </c>
      <c r="D2618" s="1">
        <v>45562</v>
      </c>
      <c r="E2618" s="1">
        <v>45569</v>
      </c>
      <c r="F2618" s="1">
        <v>45572</v>
      </c>
      <c r="G2618">
        <v>33.799999999999997</v>
      </c>
      <c r="H26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18" t="str">
        <f>IFERROR(INDEX(Raw_orders!G:G, MATCH(shipments[[#This Row],[order_id]],Raw_orders!A:A, 0)), "Unknown")</f>
        <v>Central Europe</v>
      </c>
      <c r="J2618" t="str">
        <f>PROPER(shipments[[#This Row],[delivery_status]])</f>
        <v>Delivered</v>
      </c>
      <c r="K2618" t="s">
        <v>6922</v>
      </c>
    </row>
    <row r="2619" spans="1:11">
      <c r="A2619" t="s">
        <v>9555</v>
      </c>
      <c r="B2619" t="s">
        <v>3361</v>
      </c>
      <c r="C2619" t="s">
        <v>6921</v>
      </c>
      <c r="D2619" s="1">
        <v>45491</v>
      </c>
      <c r="E2619" s="1">
        <v>45494</v>
      </c>
      <c r="F2619" s="1"/>
      <c r="G2619">
        <v>19.510000000000002</v>
      </c>
      <c r="H26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619" t="str">
        <f>IFERROR(INDEX(Raw_orders!G:G, MATCH(shipments[[#This Row],[order_id]],Raw_orders!A:A, 0)), "Unknown")</f>
        <v>Baltics</v>
      </c>
      <c r="J2619" t="str">
        <f>PROPER(shipments[[#This Row],[delivery_status]])</f>
        <v>Cancelled</v>
      </c>
      <c r="K2619" t="s">
        <v>6979</v>
      </c>
    </row>
    <row r="2620" spans="1:11">
      <c r="A2620" t="s">
        <v>9556</v>
      </c>
      <c r="B2620" t="s">
        <v>3362</v>
      </c>
      <c r="C2620" t="s">
        <v>6956</v>
      </c>
      <c r="D2620" s="1">
        <v>45225</v>
      </c>
      <c r="E2620" s="1">
        <v>45228</v>
      </c>
      <c r="F2620" s="1">
        <v>45230</v>
      </c>
      <c r="G2620">
        <v>57.41</v>
      </c>
      <c r="H26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20" t="str">
        <f>IFERROR(INDEX(Raw_orders!G:G, MATCH(shipments[[#This Row],[order_id]],Raw_orders!A:A, 0)), "Unknown")</f>
        <v>Central Europe</v>
      </c>
      <c r="J2620" t="str">
        <f>PROPER(shipments[[#This Row],[delivery_status]])</f>
        <v>Delivered</v>
      </c>
      <c r="K2620" t="s">
        <v>6929</v>
      </c>
    </row>
    <row r="2621" spans="1:11">
      <c r="A2621" t="s">
        <v>9557</v>
      </c>
      <c r="B2621" t="s">
        <v>3363</v>
      </c>
      <c r="C2621" t="s">
        <v>6940</v>
      </c>
      <c r="D2621" s="1">
        <v>45579</v>
      </c>
      <c r="E2621" s="1">
        <v>45582</v>
      </c>
      <c r="F2621" s="1">
        <v>45587</v>
      </c>
      <c r="G2621">
        <v>64.37</v>
      </c>
      <c r="H26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21" t="str">
        <f>IFERROR(INDEX(Raw_orders!G:G, MATCH(shipments[[#This Row],[order_id]],Raw_orders!A:A, 0)), "Unknown")</f>
        <v>Nordics</v>
      </c>
      <c r="J2621" t="str">
        <f>PROPER(shipments[[#This Row],[delivery_status]])</f>
        <v>Delivered</v>
      </c>
      <c r="K2621" t="s">
        <v>6922</v>
      </c>
    </row>
    <row r="2622" spans="1:11">
      <c r="A2622" t="s">
        <v>9558</v>
      </c>
      <c r="B2622" t="s">
        <v>3364</v>
      </c>
      <c r="C2622" t="s">
        <v>6938</v>
      </c>
      <c r="D2622" s="1">
        <v>45215</v>
      </c>
      <c r="E2622" s="1">
        <v>45220</v>
      </c>
      <c r="F2622" s="1">
        <v>45225</v>
      </c>
      <c r="G2622">
        <v>43.33</v>
      </c>
      <c r="H26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22" t="str">
        <f>IFERROR(INDEX(Raw_orders!G:G, MATCH(shipments[[#This Row],[order_id]],Raw_orders!A:A, 0)), "Unknown")</f>
        <v>Central Europe</v>
      </c>
      <c r="J2622" t="str">
        <f>PROPER(shipments[[#This Row],[delivery_status]])</f>
        <v>Delivered</v>
      </c>
      <c r="K2622" t="s">
        <v>6929</v>
      </c>
    </row>
    <row r="2623" spans="1:11">
      <c r="A2623" t="s">
        <v>9559</v>
      </c>
      <c r="B2623" t="s">
        <v>3365</v>
      </c>
      <c r="C2623" t="s">
        <v>6938</v>
      </c>
      <c r="D2623" s="1">
        <v>45015</v>
      </c>
      <c r="E2623" s="1">
        <v>45022</v>
      </c>
      <c r="F2623" s="1">
        <v>45029</v>
      </c>
      <c r="G2623">
        <v>61.74</v>
      </c>
      <c r="H26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23" t="str">
        <f>IFERROR(INDEX(Raw_orders!G:G, MATCH(shipments[[#This Row],[order_id]],Raw_orders!A:A, 0)), "Unknown")</f>
        <v>Central Europe</v>
      </c>
      <c r="J2623" t="str">
        <f>PROPER(shipments[[#This Row],[delivery_status]])</f>
        <v>Delivered</v>
      </c>
      <c r="K2623" t="s">
        <v>6926</v>
      </c>
    </row>
    <row r="2624" spans="1:11">
      <c r="A2624" t="s">
        <v>9560</v>
      </c>
      <c r="B2624" t="s">
        <v>3366</v>
      </c>
      <c r="C2624" t="s">
        <v>6925</v>
      </c>
      <c r="D2624" s="1">
        <v>45419</v>
      </c>
      <c r="E2624" s="1">
        <v>45429</v>
      </c>
      <c r="F2624" s="1">
        <v>45432</v>
      </c>
      <c r="G2624">
        <v>43</v>
      </c>
      <c r="H26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24" t="str">
        <f>IFERROR(INDEX(Raw_orders!G:G, MATCH(shipments[[#This Row],[order_id]],Raw_orders!A:A, 0)), "Unknown")</f>
        <v>Central Europe</v>
      </c>
      <c r="J2624" t="str">
        <f>PROPER(shipments[[#This Row],[delivery_status]])</f>
        <v>Delivered</v>
      </c>
      <c r="K2624" t="s">
        <v>6929</v>
      </c>
    </row>
    <row r="2625" spans="1:11">
      <c r="A2625" t="s">
        <v>9561</v>
      </c>
      <c r="B2625" t="s">
        <v>3367</v>
      </c>
      <c r="C2625" t="s">
        <v>6940</v>
      </c>
      <c r="D2625" s="1">
        <v>44940</v>
      </c>
      <c r="E2625" s="1">
        <v>44950</v>
      </c>
      <c r="F2625" s="1">
        <v>44950</v>
      </c>
      <c r="G2625">
        <v>41.21</v>
      </c>
      <c r="H26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625" t="str">
        <f>IFERROR(INDEX(Raw_orders!G:G, MATCH(shipments[[#This Row],[order_id]],Raw_orders!A:A, 0)), "Unknown")</f>
        <v>Central Europe</v>
      </c>
      <c r="J2625" t="str">
        <f>PROPER(shipments[[#This Row],[delivery_status]])</f>
        <v>Delivered</v>
      </c>
      <c r="K2625" t="s">
        <v>6926</v>
      </c>
    </row>
    <row r="2626" spans="1:11">
      <c r="A2626" t="s">
        <v>9562</v>
      </c>
      <c r="B2626" t="s">
        <v>3368</v>
      </c>
      <c r="C2626" t="s">
        <v>6940</v>
      </c>
      <c r="D2626" s="1">
        <v>45389</v>
      </c>
      <c r="E2626" s="1">
        <v>45392</v>
      </c>
      <c r="F2626" s="1"/>
      <c r="G2626">
        <v>27.31</v>
      </c>
      <c r="H26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626" t="str">
        <f>IFERROR(INDEX(Raw_orders!G:G, MATCH(shipments[[#This Row],[order_id]],Raw_orders!A:A, 0)), "Unknown")</f>
        <v>Central Europe</v>
      </c>
      <c r="J2626" t="str">
        <f>PROPER(shipments[[#This Row],[delivery_status]])</f>
        <v>In Transit</v>
      </c>
      <c r="K2626" t="s">
        <v>6977</v>
      </c>
    </row>
    <row r="2627" spans="1:11">
      <c r="A2627" t="s">
        <v>9563</v>
      </c>
      <c r="B2627" t="s">
        <v>3369</v>
      </c>
      <c r="C2627" t="s">
        <v>6938</v>
      </c>
      <c r="D2627" s="1">
        <v>45316</v>
      </c>
      <c r="E2627" s="1">
        <v>45326</v>
      </c>
      <c r="F2627" s="1">
        <v>45331</v>
      </c>
      <c r="G2627">
        <v>64.47</v>
      </c>
      <c r="H26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27" t="str">
        <f>IFERROR(INDEX(Raw_orders!G:G, MATCH(shipments[[#This Row],[order_id]],Raw_orders!A:A, 0)), "Unknown")</f>
        <v>Central Europe</v>
      </c>
      <c r="J2627" t="str">
        <f>PROPER(shipments[[#This Row],[delivery_status]])</f>
        <v>Delivered</v>
      </c>
      <c r="K2627" t="s">
        <v>6929</v>
      </c>
    </row>
    <row r="2628" spans="1:11">
      <c r="A2628" t="s">
        <v>9564</v>
      </c>
      <c r="B2628" t="s">
        <v>3370</v>
      </c>
      <c r="C2628" t="s">
        <v>6925</v>
      </c>
      <c r="D2628" s="1">
        <v>45407</v>
      </c>
      <c r="E2628" s="1">
        <v>45417</v>
      </c>
      <c r="F2628" s="1">
        <v>45416</v>
      </c>
      <c r="G2628">
        <v>30.29</v>
      </c>
      <c r="H26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628" t="str">
        <f>IFERROR(INDEX(Raw_orders!G:G, MATCH(shipments[[#This Row],[order_id]],Raw_orders!A:A, 0)), "Unknown")</f>
        <v>Baltics</v>
      </c>
      <c r="J2628" t="str">
        <f>PROPER(shipments[[#This Row],[delivery_status]])</f>
        <v>Delivered</v>
      </c>
      <c r="K2628" t="s">
        <v>6922</v>
      </c>
    </row>
    <row r="2629" spans="1:11">
      <c r="A2629" t="s">
        <v>9565</v>
      </c>
      <c r="B2629" t="s">
        <v>3371</v>
      </c>
      <c r="C2629" t="s">
        <v>6956</v>
      </c>
      <c r="D2629" s="1">
        <v>45451</v>
      </c>
      <c r="E2629" s="1">
        <v>45456</v>
      </c>
      <c r="F2629" s="1">
        <v>45458</v>
      </c>
      <c r="G2629">
        <v>53.73</v>
      </c>
      <c r="H26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29" t="str">
        <f>IFERROR(INDEX(Raw_orders!G:G, MATCH(shipments[[#This Row],[order_id]],Raw_orders!A:A, 0)), "Unknown")</f>
        <v>Central Europe</v>
      </c>
      <c r="J2629" t="str">
        <f>PROPER(shipments[[#This Row],[delivery_status]])</f>
        <v>Delivered</v>
      </c>
      <c r="K2629" t="s">
        <v>6929</v>
      </c>
    </row>
    <row r="2630" spans="1:11">
      <c r="A2630" t="s">
        <v>9566</v>
      </c>
      <c r="B2630" t="s">
        <v>3372</v>
      </c>
      <c r="C2630" t="s">
        <v>6928</v>
      </c>
      <c r="D2630" s="1">
        <v>45278</v>
      </c>
      <c r="E2630" s="1">
        <v>45288</v>
      </c>
      <c r="F2630" s="1">
        <v>45287</v>
      </c>
      <c r="G2630">
        <v>27.98</v>
      </c>
      <c r="H26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630" t="str">
        <f>IFERROR(INDEX(Raw_orders!G:G, MATCH(shipments[[#This Row],[order_id]],Raw_orders!A:A, 0)), "Unknown")</f>
        <v>Central Europe</v>
      </c>
      <c r="J2630" t="str">
        <f>PROPER(shipments[[#This Row],[delivery_status]])</f>
        <v>Delivered</v>
      </c>
      <c r="K2630" t="s">
        <v>6922</v>
      </c>
    </row>
    <row r="2631" spans="1:11">
      <c r="A2631" t="s">
        <v>9567</v>
      </c>
      <c r="B2631" t="s">
        <v>3373</v>
      </c>
      <c r="C2631" t="s">
        <v>6956</v>
      </c>
      <c r="D2631" s="1">
        <v>45249</v>
      </c>
      <c r="E2631" s="1">
        <v>45254</v>
      </c>
      <c r="F2631" s="1">
        <v>45260</v>
      </c>
      <c r="G2631">
        <v>60.39</v>
      </c>
      <c r="H26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31" t="str">
        <f>IFERROR(INDEX(Raw_orders!G:G, MATCH(shipments[[#This Row],[order_id]],Raw_orders!A:A, 0)), "Unknown")</f>
        <v>Central Europe</v>
      </c>
      <c r="J2631" t="str">
        <f>PROPER(shipments[[#This Row],[delivery_status]])</f>
        <v>Delivered</v>
      </c>
      <c r="K2631" t="s">
        <v>6922</v>
      </c>
    </row>
    <row r="2632" spans="1:11">
      <c r="A2632" t="s">
        <v>9568</v>
      </c>
      <c r="B2632" t="s">
        <v>3374</v>
      </c>
      <c r="C2632" t="s">
        <v>6938</v>
      </c>
      <c r="D2632" s="1">
        <v>45165</v>
      </c>
      <c r="E2632" s="1">
        <v>45168</v>
      </c>
      <c r="F2632" s="1">
        <v>45169</v>
      </c>
      <c r="G2632">
        <v>9.11</v>
      </c>
      <c r="H26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32" t="str">
        <f>IFERROR(INDEX(Raw_orders!G:G, MATCH(shipments[[#This Row],[order_id]],Raw_orders!A:A, 0)), "Unknown")</f>
        <v>Baltics</v>
      </c>
      <c r="J2632" t="str">
        <f>PROPER(shipments[[#This Row],[delivery_status]])</f>
        <v>Delivered</v>
      </c>
      <c r="K2632" t="s">
        <v>6929</v>
      </c>
    </row>
    <row r="2633" spans="1:11">
      <c r="A2633" t="s">
        <v>9569</v>
      </c>
      <c r="B2633" t="s">
        <v>3375</v>
      </c>
      <c r="C2633" t="s">
        <v>6935</v>
      </c>
      <c r="D2633" s="1">
        <v>45325</v>
      </c>
      <c r="E2633" s="1">
        <v>45335</v>
      </c>
      <c r="F2633" s="1"/>
      <c r="G2633">
        <v>33.49</v>
      </c>
      <c r="H26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633" t="str">
        <f>IFERROR(INDEX(Raw_orders!G:G, MATCH(shipments[[#This Row],[order_id]],Raw_orders!A:A, 0)), "Unknown")</f>
        <v>Central Europe</v>
      </c>
      <c r="J2633" t="str">
        <f>PROPER(shipments[[#This Row],[delivery_status]])</f>
        <v>Cancelled</v>
      </c>
      <c r="K2633" t="s">
        <v>6979</v>
      </c>
    </row>
    <row r="2634" spans="1:11">
      <c r="A2634" t="s">
        <v>9570</v>
      </c>
      <c r="B2634" t="s">
        <v>3376</v>
      </c>
      <c r="C2634" t="s">
        <v>6956</v>
      </c>
      <c r="D2634" s="1">
        <v>45448</v>
      </c>
      <c r="E2634" s="1">
        <v>45451</v>
      </c>
      <c r="F2634" s="1">
        <v>45450</v>
      </c>
      <c r="G2634">
        <v>50.36</v>
      </c>
      <c r="H26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634" t="str">
        <f>IFERROR(INDEX(Raw_orders!G:G, MATCH(shipments[[#This Row],[order_id]],Raw_orders!A:A, 0)), "Unknown")</f>
        <v>Baltics</v>
      </c>
      <c r="J2634" t="str">
        <f>PROPER(shipments[[#This Row],[delivery_status]])</f>
        <v>Delivered</v>
      </c>
      <c r="K2634" t="s">
        <v>6929</v>
      </c>
    </row>
    <row r="2635" spans="1:11">
      <c r="A2635" t="s">
        <v>9571</v>
      </c>
      <c r="B2635" t="s">
        <v>3377</v>
      </c>
      <c r="C2635" t="s">
        <v>6925</v>
      </c>
      <c r="D2635" s="1">
        <v>45064</v>
      </c>
      <c r="E2635" s="1">
        <v>45074</v>
      </c>
      <c r="F2635" s="1">
        <v>45078</v>
      </c>
      <c r="G2635">
        <v>50.49</v>
      </c>
      <c r="H26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35" t="str">
        <f>IFERROR(INDEX(Raw_orders!G:G, MATCH(shipments[[#This Row],[order_id]],Raw_orders!A:A, 0)), "Unknown")</f>
        <v>Baltics</v>
      </c>
      <c r="J2635" t="str">
        <f>PROPER(shipments[[#This Row],[delivery_status]])</f>
        <v>Delivered</v>
      </c>
      <c r="K2635" t="s">
        <v>6922</v>
      </c>
    </row>
    <row r="2636" spans="1:11">
      <c r="A2636" t="s">
        <v>9572</v>
      </c>
      <c r="B2636" t="s">
        <v>3378</v>
      </c>
      <c r="C2636" t="s">
        <v>6940</v>
      </c>
      <c r="D2636" s="1">
        <v>44953</v>
      </c>
      <c r="E2636" s="1">
        <v>44956</v>
      </c>
      <c r="F2636" s="1">
        <v>44956</v>
      </c>
      <c r="G2636">
        <v>26.79</v>
      </c>
      <c r="H26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636" t="str">
        <f>IFERROR(INDEX(Raw_orders!G:G, MATCH(shipments[[#This Row],[order_id]],Raw_orders!A:A, 0)), "Unknown")</f>
        <v>Nordics</v>
      </c>
      <c r="J2636" t="str">
        <f>PROPER(shipments[[#This Row],[delivery_status]])</f>
        <v>Delivered</v>
      </c>
      <c r="K2636" t="s">
        <v>6929</v>
      </c>
    </row>
    <row r="2637" spans="1:11">
      <c r="A2637" t="s">
        <v>9573</v>
      </c>
      <c r="B2637" t="s">
        <v>3379</v>
      </c>
      <c r="C2637" t="s">
        <v>6949</v>
      </c>
      <c r="D2637" s="1">
        <v>44973</v>
      </c>
      <c r="E2637" s="1">
        <v>44975</v>
      </c>
      <c r="F2637" s="1">
        <v>44974</v>
      </c>
      <c r="G2637">
        <v>51.37</v>
      </c>
      <c r="H26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637" t="str">
        <f>IFERROR(INDEX(Raw_orders!G:G, MATCH(shipments[[#This Row],[order_id]],Raw_orders!A:A, 0)), "Unknown")</f>
        <v>Baltics</v>
      </c>
      <c r="J2637" t="str">
        <f>PROPER(shipments[[#This Row],[delivery_status]])</f>
        <v>Delivered</v>
      </c>
      <c r="K2637" t="s">
        <v>6926</v>
      </c>
    </row>
    <row r="2638" spans="1:11">
      <c r="A2638" t="s">
        <v>9574</v>
      </c>
      <c r="B2638" t="s">
        <v>3380</v>
      </c>
      <c r="C2638" t="s">
        <v>6921</v>
      </c>
      <c r="D2638" s="1">
        <v>45518</v>
      </c>
      <c r="E2638" s="1">
        <v>45521</v>
      </c>
      <c r="F2638" s="1"/>
      <c r="G2638">
        <v>36.090000000000003</v>
      </c>
      <c r="H26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638" t="str">
        <f>IFERROR(INDEX(Raw_orders!G:G, MATCH(shipments[[#This Row],[order_id]],Raw_orders!A:A, 0)), "Unknown")</f>
        <v>Nordics</v>
      </c>
      <c r="J2638" t="str">
        <f>PROPER(shipments[[#This Row],[delivery_status]])</f>
        <v>In Transit</v>
      </c>
      <c r="K2638" t="s">
        <v>6958</v>
      </c>
    </row>
    <row r="2639" spans="1:11">
      <c r="A2639" t="s">
        <v>9575</v>
      </c>
      <c r="B2639" t="s">
        <v>3381</v>
      </c>
      <c r="C2639" t="s">
        <v>6938</v>
      </c>
      <c r="D2639" s="1">
        <v>45619</v>
      </c>
      <c r="E2639" s="1">
        <v>45629</v>
      </c>
      <c r="F2639" s="1">
        <v>45634</v>
      </c>
      <c r="G2639">
        <v>38.950000000000003</v>
      </c>
      <c r="H26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39" t="str">
        <f>IFERROR(INDEX(Raw_orders!G:G, MATCH(shipments[[#This Row],[order_id]],Raw_orders!A:A, 0)), "Unknown")</f>
        <v>Nordics</v>
      </c>
      <c r="J2639" t="str">
        <f>PROPER(shipments[[#This Row],[delivery_status]])</f>
        <v>Delivered</v>
      </c>
      <c r="K2639" t="s">
        <v>6929</v>
      </c>
    </row>
    <row r="2640" spans="1:11">
      <c r="A2640" t="s">
        <v>9576</v>
      </c>
      <c r="B2640" t="s">
        <v>3382</v>
      </c>
      <c r="C2640" t="s">
        <v>6921</v>
      </c>
      <c r="D2640" s="1">
        <v>45550</v>
      </c>
      <c r="E2640" s="1">
        <v>45560</v>
      </c>
      <c r="F2640" s="1">
        <v>45559</v>
      </c>
      <c r="G2640">
        <v>58.07</v>
      </c>
      <c r="H26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640" t="str">
        <f>IFERROR(INDEX(Raw_orders!G:G, MATCH(shipments[[#This Row],[order_id]],Raw_orders!A:A, 0)), "Unknown")</f>
        <v>Central Europe</v>
      </c>
      <c r="J2640" t="str">
        <f>PROPER(shipments[[#This Row],[delivery_status]])</f>
        <v>Delivered</v>
      </c>
      <c r="K2640" t="s">
        <v>6929</v>
      </c>
    </row>
    <row r="2641" spans="1:11">
      <c r="A2641" t="s">
        <v>9577</v>
      </c>
      <c r="B2641" t="s">
        <v>3383</v>
      </c>
      <c r="C2641" t="s">
        <v>6940</v>
      </c>
      <c r="D2641" s="1">
        <v>45416</v>
      </c>
      <c r="E2641" s="1">
        <v>45423</v>
      </c>
      <c r="F2641" s="1">
        <v>45423</v>
      </c>
      <c r="G2641">
        <v>51.51</v>
      </c>
      <c r="H26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641" t="str">
        <f>IFERROR(INDEX(Raw_orders!G:G, MATCH(shipments[[#This Row],[order_id]],Raw_orders!A:A, 0)), "Unknown")</f>
        <v>Central Europe</v>
      </c>
      <c r="J2641" t="str">
        <f>PROPER(shipments[[#This Row],[delivery_status]])</f>
        <v>Delivered</v>
      </c>
      <c r="K2641" t="s">
        <v>6929</v>
      </c>
    </row>
    <row r="2642" spans="1:11">
      <c r="A2642" t="s">
        <v>9578</v>
      </c>
      <c r="B2642" t="s">
        <v>3384</v>
      </c>
      <c r="C2642" t="s">
        <v>6931</v>
      </c>
      <c r="D2642" s="1">
        <v>44995</v>
      </c>
      <c r="E2642" s="1">
        <v>45000</v>
      </c>
      <c r="F2642" s="1">
        <v>44999</v>
      </c>
      <c r="G2642">
        <v>17.670000000000002</v>
      </c>
      <c r="H26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642" t="str">
        <f>IFERROR(INDEX(Raw_orders!G:G, MATCH(shipments[[#This Row],[order_id]],Raw_orders!A:A, 0)), "Unknown")</f>
        <v>Central Europe</v>
      </c>
      <c r="J2642" t="str">
        <f>PROPER(shipments[[#This Row],[delivery_status]])</f>
        <v>Delivered</v>
      </c>
      <c r="K2642" t="s">
        <v>6922</v>
      </c>
    </row>
    <row r="2643" spans="1:11">
      <c r="A2643" t="s">
        <v>9579</v>
      </c>
      <c r="B2643" t="s">
        <v>3385</v>
      </c>
      <c r="C2643" t="s">
        <v>6938</v>
      </c>
      <c r="D2643" s="1">
        <v>45168</v>
      </c>
      <c r="E2643" s="1">
        <v>45175</v>
      </c>
      <c r="F2643" s="1">
        <v>45180</v>
      </c>
      <c r="G2643">
        <v>46.48</v>
      </c>
      <c r="H26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43" t="str">
        <f>IFERROR(INDEX(Raw_orders!G:G, MATCH(shipments[[#This Row],[order_id]],Raw_orders!A:A, 0)), "Unknown")</f>
        <v>Baltics</v>
      </c>
      <c r="J2643" t="str">
        <f>PROPER(shipments[[#This Row],[delivery_status]])</f>
        <v>Delivered</v>
      </c>
      <c r="K2643" t="s">
        <v>6922</v>
      </c>
    </row>
    <row r="2644" spans="1:11">
      <c r="A2644" t="s">
        <v>9580</v>
      </c>
      <c r="B2644" t="s">
        <v>3386</v>
      </c>
      <c r="C2644" t="s">
        <v>6928</v>
      </c>
      <c r="D2644" s="1">
        <v>45433</v>
      </c>
      <c r="E2644" s="1">
        <v>45436</v>
      </c>
      <c r="F2644" s="1"/>
      <c r="G2644">
        <v>63.67</v>
      </c>
      <c r="H26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644" t="str">
        <f>IFERROR(INDEX(Raw_orders!G:G, MATCH(shipments[[#This Row],[order_id]],Raw_orders!A:A, 0)), "Unknown")</f>
        <v>Central Europe</v>
      </c>
      <c r="J2644" t="str">
        <f>PROPER(shipments[[#This Row],[delivery_status]])</f>
        <v>In Transit</v>
      </c>
      <c r="K2644" t="s">
        <v>6977</v>
      </c>
    </row>
    <row r="2645" spans="1:11">
      <c r="A2645" t="s">
        <v>9581</v>
      </c>
      <c r="B2645" t="s">
        <v>3387</v>
      </c>
      <c r="C2645" t="s">
        <v>6928</v>
      </c>
      <c r="D2645" s="1">
        <v>45143</v>
      </c>
      <c r="E2645" s="1">
        <v>45146</v>
      </c>
      <c r="F2645" s="1">
        <v>45147</v>
      </c>
      <c r="G2645">
        <v>53.24</v>
      </c>
      <c r="H26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45" t="str">
        <f>IFERROR(INDEX(Raw_orders!G:G, MATCH(shipments[[#This Row],[order_id]],Raw_orders!A:A, 0)), "Unknown")</f>
        <v>Nordics</v>
      </c>
      <c r="J2645" t="str">
        <f>PROPER(shipments[[#This Row],[delivery_status]])</f>
        <v>Delivered</v>
      </c>
      <c r="K2645" t="s">
        <v>6922</v>
      </c>
    </row>
    <row r="2646" spans="1:11">
      <c r="A2646" t="s">
        <v>9582</v>
      </c>
      <c r="B2646" t="s">
        <v>3388</v>
      </c>
      <c r="C2646" t="s">
        <v>6931</v>
      </c>
      <c r="D2646" s="1">
        <v>45021</v>
      </c>
      <c r="E2646" s="1">
        <v>45023</v>
      </c>
      <c r="F2646" s="1">
        <v>45025</v>
      </c>
      <c r="G2646">
        <v>53.63</v>
      </c>
      <c r="H26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46" t="str">
        <f>IFERROR(INDEX(Raw_orders!G:G, MATCH(shipments[[#This Row],[order_id]],Raw_orders!A:A, 0)), "Unknown")</f>
        <v>Nordics</v>
      </c>
      <c r="J2646" t="str">
        <f>PROPER(shipments[[#This Row],[delivery_status]])</f>
        <v>Delivered</v>
      </c>
      <c r="K2646" t="s">
        <v>6929</v>
      </c>
    </row>
    <row r="2647" spans="1:11">
      <c r="A2647" t="s">
        <v>9583</v>
      </c>
      <c r="B2647" t="s">
        <v>3389</v>
      </c>
      <c r="C2647" t="s">
        <v>6938</v>
      </c>
      <c r="D2647" s="1">
        <v>45317</v>
      </c>
      <c r="E2647" s="1">
        <v>45320</v>
      </c>
      <c r="F2647" s="1">
        <v>45322</v>
      </c>
      <c r="G2647">
        <v>10.91</v>
      </c>
      <c r="H26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47" t="str">
        <f>IFERROR(INDEX(Raw_orders!G:G, MATCH(shipments[[#This Row],[order_id]],Raw_orders!A:A, 0)), "Unknown")</f>
        <v>Central Europe</v>
      </c>
      <c r="J2647" t="str">
        <f>PROPER(shipments[[#This Row],[delivery_status]])</f>
        <v>Delivered</v>
      </c>
      <c r="K2647" t="s">
        <v>6922</v>
      </c>
    </row>
    <row r="2648" spans="1:11">
      <c r="A2648" t="s">
        <v>9584</v>
      </c>
      <c r="B2648" t="s">
        <v>3390</v>
      </c>
      <c r="C2648" t="s">
        <v>6921</v>
      </c>
      <c r="D2648" s="1">
        <v>45225</v>
      </c>
      <c r="E2648" s="1">
        <v>45228</v>
      </c>
      <c r="F2648" s="1">
        <v>45229</v>
      </c>
      <c r="G2648">
        <v>45.37</v>
      </c>
      <c r="H26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48" t="str">
        <f>IFERROR(INDEX(Raw_orders!G:G, MATCH(shipments[[#This Row],[order_id]],Raw_orders!A:A, 0)), "Unknown")</f>
        <v>Central Europe</v>
      </c>
      <c r="J2648" t="str">
        <f>PROPER(shipments[[#This Row],[delivery_status]])</f>
        <v>Delivered</v>
      </c>
      <c r="K2648" t="s">
        <v>6929</v>
      </c>
    </row>
    <row r="2649" spans="1:11">
      <c r="A2649" t="s">
        <v>9585</v>
      </c>
      <c r="B2649" t="s">
        <v>3391</v>
      </c>
      <c r="C2649" t="s">
        <v>6921</v>
      </c>
      <c r="D2649" s="1">
        <v>45262</v>
      </c>
      <c r="E2649" s="1">
        <v>45272</v>
      </c>
      <c r="F2649" s="1"/>
      <c r="G2649">
        <v>56.45</v>
      </c>
      <c r="H26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649" t="str">
        <f>IFERROR(INDEX(Raw_orders!G:G, MATCH(shipments[[#This Row],[order_id]],Raw_orders!A:A, 0)), "Unknown")</f>
        <v>Nordics</v>
      </c>
      <c r="J2649" t="str">
        <f>PROPER(shipments[[#This Row],[delivery_status]])</f>
        <v>Cancelled</v>
      </c>
      <c r="K2649" t="s">
        <v>6972</v>
      </c>
    </row>
    <row r="2650" spans="1:11">
      <c r="A2650" t="s">
        <v>9586</v>
      </c>
      <c r="B2650" t="s">
        <v>3392</v>
      </c>
      <c r="C2650" t="s">
        <v>6940</v>
      </c>
      <c r="D2650" s="1">
        <v>45235</v>
      </c>
      <c r="E2650" s="1">
        <v>45240</v>
      </c>
      <c r="F2650" s="1">
        <v>45245</v>
      </c>
      <c r="G2650">
        <v>52.73</v>
      </c>
      <c r="H26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50" t="str">
        <f>IFERROR(INDEX(Raw_orders!G:G, MATCH(shipments[[#This Row],[order_id]],Raw_orders!A:A, 0)), "Unknown")</f>
        <v>Central Europe</v>
      </c>
      <c r="J2650" t="str">
        <f>PROPER(shipments[[#This Row],[delivery_status]])</f>
        <v>Delivered</v>
      </c>
      <c r="K2650" t="s">
        <v>6922</v>
      </c>
    </row>
    <row r="2651" spans="1:11">
      <c r="A2651" t="s">
        <v>9587</v>
      </c>
      <c r="B2651" t="s">
        <v>3393</v>
      </c>
      <c r="C2651" t="s">
        <v>6931</v>
      </c>
      <c r="D2651" s="1">
        <v>45385</v>
      </c>
      <c r="E2651" s="1">
        <v>45392</v>
      </c>
      <c r="F2651" s="1">
        <v>45395</v>
      </c>
      <c r="G2651">
        <v>43.99</v>
      </c>
      <c r="H26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51" t="str">
        <f>IFERROR(INDEX(Raw_orders!G:G, MATCH(shipments[[#This Row],[order_id]],Raw_orders!A:A, 0)), "Unknown")</f>
        <v>Central Europe</v>
      </c>
      <c r="J2651" t="str">
        <f>PROPER(shipments[[#This Row],[delivery_status]])</f>
        <v>Delivered</v>
      </c>
      <c r="K2651" t="s">
        <v>6922</v>
      </c>
    </row>
    <row r="2652" spans="1:11">
      <c r="A2652" t="s">
        <v>9588</v>
      </c>
      <c r="B2652" t="s">
        <v>3394</v>
      </c>
      <c r="C2652" t="s">
        <v>6925</v>
      </c>
      <c r="D2652" s="1">
        <v>45227</v>
      </c>
      <c r="E2652" s="1">
        <v>45234</v>
      </c>
      <c r="F2652" s="1">
        <v>45242</v>
      </c>
      <c r="G2652">
        <v>23.37</v>
      </c>
      <c r="H26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52" t="str">
        <f>IFERROR(INDEX(Raw_orders!G:G, MATCH(shipments[[#This Row],[order_id]],Raw_orders!A:A, 0)), "Unknown")</f>
        <v>Central Europe</v>
      </c>
      <c r="J2652" t="str">
        <f>PROPER(shipments[[#This Row],[delivery_status]])</f>
        <v>Delivered</v>
      </c>
      <c r="K2652" t="s">
        <v>6929</v>
      </c>
    </row>
    <row r="2653" spans="1:11">
      <c r="A2653" t="s">
        <v>9589</v>
      </c>
      <c r="B2653" t="s">
        <v>3395</v>
      </c>
      <c r="C2653" t="s">
        <v>6938</v>
      </c>
      <c r="D2653" s="1">
        <v>45048</v>
      </c>
      <c r="E2653" s="1">
        <v>45055</v>
      </c>
      <c r="F2653" s="1">
        <v>45055</v>
      </c>
      <c r="G2653">
        <v>63.38</v>
      </c>
      <c r="H26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653" t="str">
        <f>IFERROR(INDEX(Raw_orders!G:G, MATCH(shipments[[#This Row],[order_id]],Raw_orders!A:A, 0)), "Unknown")</f>
        <v>Nordics</v>
      </c>
      <c r="J2653" t="str">
        <f>PROPER(shipments[[#This Row],[delivery_status]])</f>
        <v>Delivered</v>
      </c>
      <c r="K2653" t="s">
        <v>6922</v>
      </c>
    </row>
    <row r="2654" spans="1:11">
      <c r="A2654" t="s">
        <v>9590</v>
      </c>
      <c r="B2654" t="s">
        <v>3396</v>
      </c>
      <c r="C2654" t="s">
        <v>6938</v>
      </c>
      <c r="D2654" s="1">
        <v>44966</v>
      </c>
      <c r="E2654" s="1">
        <v>44976</v>
      </c>
      <c r="F2654" s="1"/>
      <c r="G2654">
        <v>33.69</v>
      </c>
      <c r="H26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654" t="str">
        <f>IFERROR(INDEX(Raw_orders!G:G, MATCH(shipments[[#This Row],[order_id]],Raw_orders!A:A, 0)), "Unknown")</f>
        <v>Nordics</v>
      </c>
      <c r="J2654" t="str">
        <f>PROPER(shipments[[#This Row],[delivery_status]])</f>
        <v>Cancelled</v>
      </c>
      <c r="K2654" t="s">
        <v>6972</v>
      </c>
    </row>
    <row r="2655" spans="1:11">
      <c r="A2655" t="s">
        <v>9591</v>
      </c>
      <c r="B2655" t="s">
        <v>3397</v>
      </c>
      <c r="C2655" t="s">
        <v>6921</v>
      </c>
      <c r="D2655" s="1">
        <v>45304</v>
      </c>
      <c r="E2655" s="1">
        <v>45307</v>
      </c>
      <c r="F2655" s="1">
        <v>45307</v>
      </c>
      <c r="G2655">
        <v>35.869999999999997</v>
      </c>
      <c r="H26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655" t="str">
        <f>IFERROR(INDEX(Raw_orders!G:G, MATCH(shipments[[#This Row],[order_id]],Raw_orders!A:A, 0)), "Unknown")</f>
        <v>Central Europe</v>
      </c>
      <c r="J2655" t="str">
        <f>PROPER(shipments[[#This Row],[delivery_status]])</f>
        <v>Delivered</v>
      </c>
      <c r="K2655" t="s">
        <v>6929</v>
      </c>
    </row>
    <row r="2656" spans="1:11">
      <c r="A2656" t="s">
        <v>9592</v>
      </c>
      <c r="B2656" t="s">
        <v>3398</v>
      </c>
      <c r="C2656" t="s">
        <v>6921</v>
      </c>
      <c r="D2656" s="1">
        <v>45224</v>
      </c>
      <c r="E2656" s="1">
        <v>45227</v>
      </c>
      <c r="F2656" s="1">
        <v>45227</v>
      </c>
      <c r="G2656">
        <v>41.55</v>
      </c>
      <c r="H26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656" t="str">
        <f>IFERROR(INDEX(Raw_orders!G:G, MATCH(shipments[[#This Row],[order_id]],Raw_orders!A:A, 0)), "Unknown")</f>
        <v>Central Europe</v>
      </c>
      <c r="J2656" t="str">
        <f>PROPER(shipments[[#This Row],[delivery_status]])</f>
        <v>Delivered</v>
      </c>
      <c r="K2656" t="s">
        <v>6922</v>
      </c>
    </row>
    <row r="2657" spans="1:11">
      <c r="A2657" t="s">
        <v>9593</v>
      </c>
      <c r="B2657" t="s">
        <v>3399</v>
      </c>
      <c r="C2657" t="s">
        <v>6928</v>
      </c>
      <c r="D2657" s="1">
        <v>45264</v>
      </c>
      <c r="E2657" s="1">
        <v>45266</v>
      </c>
      <c r="F2657" s="1">
        <v>45274</v>
      </c>
      <c r="G2657">
        <v>11.95</v>
      </c>
      <c r="H26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57" t="str">
        <f>IFERROR(INDEX(Raw_orders!G:G, MATCH(shipments[[#This Row],[order_id]],Raw_orders!A:A, 0)), "Unknown")</f>
        <v>Unknown</v>
      </c>
      <c r="J2657" t="str">
        <f>PROPER(shipments[[#This Row],[delivery_status]])</f>
        <v>Delivered</v>
      </c>
      <c r="K2657" t="s">
        <v>6926</v>
      </c>
    </row>
    <row r="2658" spans="1:11">
      <c r="A2658" t="s">
        <v>9594</v>
      </c>
      <c r="B2658" t="s">
        <v>3400</v>
      </c>
      <c r="C2658" t="s">
        <v>6935</v>
      </c>
      <c r="D2658" s="1">
        <v>45352</v>
      </c>
      <c r="E2658" s="1">
        <v>45355</v>
      </c>
      <c r="F2658" s="1">
        <v>45359</v>
      </c>
      <c r="G2658">
        <v>60.86</v>
      </c>
      <c r="H26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58" t="str">
        <f>IFERROR(INDEX(Raw_orders!G:G, MATCH(shipments[[#This Row],[order_id]],Raw_orders!A:A, 0)), "Unknown")</f>
        <v>Baltics</v>
      </c>
      <c r="J2658" t="str">
        <f>PROPER(shipments[[#This Row],[delivery_status]])</f>
        <v>Delivered</v>
      </c>
      <c r="K2658" t="s">
        <v>6926</v>
      </c>
    </row>
    <row r="2659" spans="1:11">
      <c r="A2659" t="s">
        <v>9595</v>
      </c>
      <c r="B2659" t="s">
        <v>3401</v>
      </c>
      <c r="C2659" t="s">
        <v>6956</v>
      </c>
      <c r="D2659" s="1">
        <v>45401</v>
      </c>
      <c r="E2659" s="1">
        <v>45406</v>
      </c>
      <c r="F2659" s="1"/>
      <c r="H26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659" t="str">
        <f>IFERROR(INDEX(Raw_orders!G:G, MATCH(shipments[[#This Row],[order_id]],Raw_orders!A:A, 0)), "Unknown")</f>
        <v>Nordics</v>
      </c>
      <c r="J2659" t="str">
        <f>PROPER(shipments[[#This Row],[delivery_status]])</f>
        <v>Cancelled</v>
      </c>
      <c r="K2659" t="s">
        <v>6972</v>
      </c>
    </row>
    <row r="2660" spans="1:11">
      <c r="A2660" t="s">
        <v>9596</v>
      </c>
      <c r="B2660" t="s">
        <v>3402</v>
      </c>
      <c r="C2660" t="s">
        <v>6938</v>
      </c>
      <c r="D2660" s="1">
        <v>45337</v>
      </c>
      <c r="E2660" s="1">
        <v>45344</v>
      </c>
      <c r="F2660" s="1">
        <v>45343</v>
      </c>
      <c r="G2660">
        <v>26.21</v>
      </c>
      <c r="H26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660" t="str">
        <f>IFERROR(INDEX(Raw_orders!G:G, MATCH(shipments[[#This Row],[order_id]],Raw_orders!A:A, 0)), "Unknown")</f>
        <v>Central Europe</v>
      </c>
      <c r="J2660" t="str">
        <f>PROPER(shipments[[#This Row],[delivery_status]])</f>
        <v>Delivered</v>
      </c>
      <c r="K2660" t="s">
        <v>6922</v>
      </c>
    </row>
    <row r="2661" spans="1:11">
      <c r="A2661" t="s">
        <v>9597</v>
      </c>
      <c r="B2661" t="s">
        <v>3403</v>
      </c>
      <c r="C2661" t="s">
        <v>6931</v>
      </c>
      <c r="D2661" s="1">
        <v>45209</v>
      </c>
      <c r="E2661" s="1">
        <v>45211</v>
      </c>
      <c r="F2661" s="1">
        <v>45219</v>
      </c>
      <c r="G2661">
        <v>31.8</v>
      </c>
      <c r="H26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61" t="str">
        <f>IFERROR(INDEX(Raw_orders!G:G, MATCH(shipments[[#This Row],[order_id]],Raw_orders!A:A, 0)), "Unknown")</f>
        <v>Nordics</v>
      </c>
      <c r="J2661" t="str">
        <f>PROPER(shipments[[#This Row],[delivery_status]])</f>
        <v>Delivered</v>
      </c>
      <c r="K2661" t="s">
        <v>6926</v>
      </c>
    </row>
    <row r="2662" spans="1:11">
      <c r="A2662" t="s">
        <v>9598</v>
      </c>
      <c r="B2662" t="s">
        <v>3404</v>
      </c>
      <c r="C2662" t="s">
        <v>6931</v>
      </c>
      <c r="D2662" s="1">
        <v>45546</v>
      </c>
      <c r="E2662" s="1">
        <v>45553</v>
      </c>
      <c r="F2662" s="1">
        <v>45558</v>
      </c>
      <c r="G2662">
        <v>61.1</v>
      </c>
      <c r="H26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62" t="str">
        <f>IFERROR(INDEX(Raw_orders!G:G, MATCH(shipments[[#This Row],[order_id]],Raw_orders!A:A, 0)), "Unknown")</f>
        <v>Central Europe</v>
      </c>
      <c r="J2662" t="str">
        <f>PROPER(shipments[[#This Row],[delivery_status]])</f>
        <v>Delivered</v>
      </c>
      <c r="K2662" t="s">
        <v>6922</v>
      </c>
    </row>
    <row r="2663" spans="1:11">
      <c r="A2663" t="s">
        <v>9599</v>
      </c>
      <c r="B2663" t="s">
        <v>3405</v>
      </c>
      <c r="C2663" t="s">
        <v>6940</v>
      </c>
      <c r="D2663" s="1">
        <v>45090</v>
      </c>
      <c r="E2663" s="1">
        <v>45100</v>
      </c>
      <c r="F2663" s="1">
        <v>45099</v>
      </c>
      <c r="G2663">
        <v>64.900000000000006</v>
      </c>
      <c r="H26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663" t="str">
        <f>IFERROR(INDEX(Raw_orders!G:G, MATCH(shipments[[#This Row],[order_id]],Raw_orders!A:A, 0)), "Unknown")</f>
        <v>Baltics</v>
      </c>
      <c r="J2663" t="str">
        <f>PROPER(shipments[[#This Row],[delivery_status]])</f>
        <v>Delivered</v>
      </c>
      <c r="K2663" t="s">
        <v>6926</v>
      </c>
    </row>
    <row r="2664" spans="1:11">
      <c r="A2664" t="s">
        <v>9600</v>
      </c>
      <c r="B2664" t="s">
        <v>3406</v>
      </c>
      <c r="C2664" t="s">
        <v>6925</v>
      </c>
      <c r="D2664" s="1">
        <v>45075</v>
      </c>
      <c r="E2664" s="1">
        <v>45085</v>
      </c>
      <c r="F2664" s="1">
        <v>45095</v>
      </c>
      <c r="G2664">
        <v>42.28</v>
      </c>
      <c r="H26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64" t="str">
        <f>IFERROR(INDEX(Raw_orders!G:G, MATCH(shipments[[#This Row],[order_id]],Raw_orders!A:A, 0)), "Unknown")</f>
        <v>Baltics</v>
      </c>
      <c r="J2664" t="str">
        <f>PROPER(shipments[[#This Row],[delivery_status]])</f>
        <v>Delivered</v>
      </c>
      <c r="K2664" t="s">
        <v>6922</v>
      </c>
    </row>
    <row r="2665" spans="1:11">
      <c r="A2665" t="s">
        <v>9601</v>
      </c>
      <c r="B2665" t="s">
        <v>3407</v>
      </c>
      <c r="C2665" t="s">
        <v>6921</v>
      </c>
      <c r="D2665" s="1">
        <v>45397</v>
      </c>
      <c r="E2665" s="1">
        <v>45399</v>
      </c>
      <c r="F2665" s="1">
        <v>45399</v>
      </c>
      <c r="G2665">
        <v>32.72</v>
      </c>
      <c r="H26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665" t="str">
        <f>IFERROR(INDEX(Raw_orders!G:G, MATCH(shipments[[#This Row],[order_id]],Raw_orders!A:A, 0)), "Unknown")</f>
        <v>Central Europe</v>
      </c>
      <c r="J2665" t="str">
        <f>PROPER(shipments[[#This Row],[delivery_status]])</f>
        <v>Delivered</v>
      </c>
      <c r="K2665" t="s">
        <v>6926</v>
      </c>
    </row>
    <row r="2666" spans="1:11">
      <c r="A2666" t="s">
        <v>9602</v>
      </c>
      <c r="B2666" t="s">
        <v>3408</v>
      </c>
      <c r="C2666" t="s">
        <v>6940</v>
      </c>
      <c r="D2666" s="1">
        <v>45269</v>
      </c>
      <c r="E2666" s="1">
        <v>45274</v>
      </c>
      <c r="F2666" s="1">
        <v>45277</v>
      </c>
      <c r="G2666">
        <v>47.6</v>
      </c>
      <c r="H26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66" t="str">
        <f>IFERROR(INDEX(Raw_orders!G:G, MATCH(shipments[[#This Row],[order_id]],Raw_orders!A:A, 0)), "Unknown")</f>
        <v>Central Europe</v>
      </c>
      <c r="J2666" t="str">
        <f>PROPER(shipments[[#This Row],[delivery_status]])</f>
        <v>Delivered</v>
      </c>
      <c r="K2666" t="s">
        <v>6922</v>
      </c>
    </row>
    <row r="2667" spans="1:11">
      <c r="A2667" t="s">
        <v>9603</v>
      </c>
      <c r="B2667" t="s">
        <v>3409</v>
      </c>
      <c r="C2667" t="s">
        <v>6921</v>
      </c>
      <c r="D2667" s="1">
        <v>45201</v>
      </c>
      <c r="E2667" s="1">
        <v>45203</v>
      </c>
      <c r="F2667" s="1">
        <v>45203</v>
      </c>
      <c r="G2667">
        <v>36.020000000000003</v>
      </c>
      <c r="H26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667" t="str">
        <f>IFERROR(INDEX(Raw_orders!G:G, MATCH(shipments[[#This Row],[order_id]],Raw_orders!A:A, 0)), "Unknown")</f>
        <v>Central Europe</v>
      </c>
      <c r="J2667" t="str">
        <f>PROPER(shipments[[#This Row],[delivery_status]])</f>
        <v>Delivered</v>
      </c>
      <c r="K2667" t="s">
        <v>6926</v>
      </c>
    </row>
    <row r="2668" spans="1:11">
      <c r="A2668" t="s">
        <v>9604</v>
      </c>
      <c r="B2668" t="s">
        <v>3410</v>
      </c>
      <c r="C2668" t="s">
        <v>6938</v>
      </c>
      <c r="D2668" s="1">
        <v>45001</v>
      </c>
      <c r="E2668" s="1">
        <v>45004</v>
      </c>
      <c r="F2668" s="1">
        <v>45004</v>
      </c>
      <c r="G2668">
        <v>63.78</v>
      </c>
      <c r="H26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668" t="str">
        <f>IFERROR(INDEX(Raw_orders!G:G, MATCH(shipments[[#This Row],[order_id]],Raw_orders!A:A, 0)), "Unknown")</f>
        <v>Central Europe</v>
      </c>
      <c r="J2668" t="str">
        <f>PROPER(shipments[[#This Row],[delivery_status]])</f>
        <v>Delivered</v>
      </c>
      <c r="K2668" t="s">
        <v>6929</v>
      </c>
    </row>
    <row r="2669" spans="1:11">
      <c r="A2669" t="s">
        <v>9605</v>
      </c>
      <c r="B2669" t="s">
        <v>3411</v>
      </c>
      <c r="C2669" t="s">
        <v>6931</v>
      </c>
      <c r="D2669" s="1">
        <v>45221</v>
      </c>
      <c r="E2669" s="1">
        <v>45228</v>
      </c>
      <c r="F2669" s="1">
        <v>45236</v>
      </c>
      <c r="G2669">
        <v>14.6</v>
      </c>
      <c r="H26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69" t="str">
        <f>IFERROR(INDEX(Raw_orders!G:G, MATCH(shipments[[#This Row],[order_id]],Raw_orders!A:A, 0)), "Unknown")</f>
        <v>Baltics</v>
      </c>
      <c r="J2669" t="str">
        <f>PROPER(shipments[[#This Row],[delivery_status]])</f>
        <v>Delivered</v>
      </c>
      <c r="K2669" t="s">
        <v>6926</v>
      </c>
    </row>
    <row r="2670" spans="1:11">
      <c r="A2670" t="s">
        <v>9606</v>
      </c>
      <c r="B2670" t="s">
        <v>3412</v>
      </c>
      <c r="C2670" t="s">
        <v>6938</v>
      </c>
      <c r="D2670" s="1">
        <v>45038</v>
      </c>
      <c r="E2670" s="1">
        <v>45045</v>
      </c>
      <c r="F2670" s="1">
        <v>45053</v>
      </c>
      <c r="G2670">
        <v>19.34</v>
      </c>
      <c r="H26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70" t="str">
        <f>IFERROR(INDEX(Raw_orders!G:G, MATCH(shipments[[#This Row],[order_id]],Raw_orders!A:A, 0)), "Unknown")</f>
        <v>Baltics</v>
      </c>
      <c r="J2670" t="str">
        <f>PROPER(shipments[[#This Row],[delivery_status]])</f>
        <v>Delivered</v>
      </c>
      <c r="K2670" t="s">
        <v>6926</v>
      </c>
    </row>
    <row r="2671" spans="1:11">
      <c r="A2671" t="s">
        <v>9607</v>
      </c>
      <c r="B2671" t="s">
        <v>3413</v>
      </c>
      <c r="C2671" t="s">
        <v>6925</v>
      </c>
      <c r="D2671" s="1">
        <v>45392</v>
      </c>
      <c r="E2671" s="1">
        <v>45402</v>
      </c>
      <c r="F2671" s="1">
        <v>45402</v>
      </c>
      <c r="G2671">
        <v>38.14</v>
      </c>
      <c r="H26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671" t="str">
        <f>IFERROR(INDEX(Raw_orders!G:G, MATCH(shipments[[#This Row],[order_id]],Raw_orders!A:A, 0)), "Unknown")</f>
        <v>Nordics</v>
      </c>
      <c r="J2671" t="str">
        <f>PROPER(shipments[[#This Row],[delivery_status]])</f>
        <v>Delivered</v>
      </c>
      <c r="K2671" t="s">
        <v>6929</v>
      </c>
    </row>
    <row r="2672" spans="1:11">
      <c r="A2672" t="s">
        <v>9608</v>
      </c>
      <c r="B2672" t="s">
        <v>3414</v>
      </c>
      <c r="C2672" t="s">
        <v>6935</v>
      </c>
      <c r="D2672" s="1">
        <v>45227</v>
      </c>
      <c r="E2672" s="1">
        <v>45237</v>
      </c>
      <c r="F2672" s="1">
        <v>45240</v>
      </c>
      <c r="G2672">
        <v>24.11</v>
      </c>
      <c r="H26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72" t="str">
        <f>IFERROR(INDEX(Raw_orders!G:G, MATCH(shipments[[#This Row],[order_id]],Raw_orders!A:A, 0)), "Unknown")</f>
        <v>Baltics</v>
      </c>
      <c r="J2672" t="str">
        <f>PROPER(shipments[[#This Row],[delivery_status]])</f>
        <v>Delivered</v>
      </c>
      <c r="K2672" t="s">
        <v>6922</v>
      </c>
    </row>
    <row r="2673" spans="1:11">
      <c r="A2673" t="s">
        <v>9609</v>
      </c>
      <c r="B2673" t="s">
        <v>3415</v>
      </c>
      <c r="C2673" t="s">
        <v>6940</v>
      </c>
      <c r="D2673" s="1">
        <v>45503</v>
      </c>
      <c r="E2673" s="1">
        <v>45513</v>
      </c>
      <c r="F2673" s="1">
        <v>45513</v>
      </c>
      <c r="G2673">
        <v>4.82</v>
      </c>
      <c r="H26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673" t="str">
        <f>IFERROR(INDEX(Raw_orders!G:G, MATCH(shipments[[#This Row],[order_id]],Raw_orders!A:A, 0)), "Unknown")</f>
        <v>Nordics</v>
      </c>
      <c r="J2673" t="str">
        <f>PROPER(shipments[[#This Row],[delivery_status]])</f>
        <v>Delivered</v>
      </c>
      <c r="K2673" t="s">
        <v>6922</v>
      </c>
    </row>
    <row r="2674" spans="1:11">
      <c r="A2674" t="s">
        <v>9610</v>
      </c>
      <c r="B2674" t="s">
        <v>3416</v>
      </c>
      <c r="C2674" t="s">
        <v>6928</v>
      </c>
      <c r="D2674" s="1">
        <v>45313</v>
      </c>
      <c r="E2674" s="1">
        <v>45315</v>
      </c>
      <c r="F2674" s="1">
        <v>45318</v>
      </c>
      <c r="G2674">
        <v>56.56</v>
      </c>
      <c r="H26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74" t="str">
        <f>IFERROR(INDEX(Raw_orders!G:G, MATCH(shipments[[#This Row],[order_id]],Raw_orders!A:A, 0)), "Unknown")</f>
        <v>Baltics</v>
      </c>
      <c r="J2674" t="str">
        <f>PROPER(shipments[[#This Row],[delivery_status]])</f>
        <v>Delivered</v>
      </c>
      <c r="K2674" t="s">
        <v>6922</v>
      </c>
    </row>
    <row r="2675" spans="1:11">
      <c r="A2675" t="s">
        <v>9611</v>
      </c>
      <c r="B2675" t="s">
        <v>3417</v>
      </c>
      <c r="C2675" t="s">
        <v>6956</v>
      </c>
      <c r="D2675" s="1">
        <v>45543</v>
      </c>
      <c r="E2675" s="1">
        <v>45546</v>
      </c>
      <c r="F2675" s="1">
        <v>45553</v>
      </c>
      <c r="G2675">
        <v>33.840000000000003</v>
      </c>
      <c r="H26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75" t="str">
        <f>IFERROR(INDEX(Raw_orders!G:G, MATCH(shipments[[#This Row],[order_id]],Raw_orders!A:A, 0)), "Unknown")</f>
        <v>Unknown</v>
      </c>
      <c r="J2675" t="str">
        <f>PROPER(shipments[[#This Row],[delivery_status]])</f>
        <v>Delivered</v>
      </c>
      <c r="K2675" t="s">
        <v>6922</v>
      </c>
    </row>
    <row r="2676" spans="1:11">
      <c r="A2676" t="s">
        <v>9612</v>
      </c>
      <c r="B2676" t="s">
        <v>3418</v>
      </c>
      <c r="C2676" t="s">
        <v>6940</v>
      </c>
      <c r="D2676" s="1">
        <v>45627</v>
      </c>
      <c r="E2676" s="1">
        <v>45637</v>
      </c>
      <c r="F2676" s="1">
        <v>45638</v>
      </c>
      <c r="G2676">
        <v>41.42</v>
      </c>
      <c r="H26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76" t="str">
        <f>IFERROR(INDEX(Raw_orders!G:G, MATCH(shipments[[#This Row],[order_id]],Raw_orders!A:A, 0)), "Unknown")</f>
        <v>Central Europe</v>
      </c>
      <c r="J2676" t="str">
        <f>PROPER(shipments[[#This Row],[delivery_status]])</f>
        <v>Delivered</v>
      </c>
      <c r="K2676" t="s">
        <v>6922</v>
      </c>
    </row>
    <row r="2677" spans="1:11">
      <c r="A2677" t="s">
        <v>9613</v>
      </c>
      <c r="B2677" t="s">
        <v>3419</v>
      </c>
      <c r="C2677" t="s">
        <v>6925</v>
      </c>
      <c r="D2677" s="1">
        <v>45039</v>
      </c>
      <c r="E2677" s="1">
        <v>45042</v>
      </c>
      <c r="F2677" s="1">
        <v>45045</v>
      </c>
      <c r="G2677">
        <v>25.49</v>
      </c>
      <c r="H26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77" t="str">
        <f>IFERROR(INDEX(Raw_orders!G:G, MATCH(shipments[[#This Row],[order_id]],Raw_orders!A:A, 0)), "Unknown")</f>
        <v>Central Europe</v>
      </c>
      <c r="J2677" t="str">
        <f>PROPER(shipments[[#This Row],[delivery_status]])</f>
        <v>Delivered</v>
      </c>
      <c r="K2677" t="s">
        <v>6929</v>
      </c>
    </row>
    <row r="2678" spans="1:11">
      <c r="A2678" t="s">
        <v>9614</v>
      </c>
      <c r="B2678" t="s">
        <v>3420</v>
      </c>
      <c r="C2678" t="s">
        <v>6938</v>
      </c>
      <c r="D2678" s="1">
        <v>45080</v>
      </c>
      <c r="E2678" s="1">
        <v>45083</v>
      </c>
      <c r="F2678" s="1">
        <v>45091</v>
      </c>
      <c r="G2678">
        <v>11.67</v>
      </c>
      <c r="H26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78" t="str">
        <f>IFERROR(INDEX(Raw_orders!G:G, MATCH(shipments[[#This Row],[order_id]],Raw_orders!A:A, 0)), "Unknown")</f>
        <v>Nordics</v>
      </c>
      <c r="J2678" t="str">
        <f>PROPER(shipments[[#This Row],[delivery_status]])</f>
        <v>Delivered</v>
      </c>
      <c r="K2678" t="s">
        <v>6929</v>
      </c>
    </row>
    <row r="2679" spans="1:11">
      <c r="A2679" t="s">
        <v>9615</v>
      </c>
      <c r="B2679" t="s">
        <v>3420</v>
      </c>
      <c r="C2679" t="s">
        <v>6928</v>
      </c>
      <c r="D2679" s="1">
        <v>45080</v>
      </c>
      <c r="E2679" s="1">
        <v>45090</v>
      </c>
      <c r="F2679" s="1"/>
      <c r="G2679">
        <v>58.17</v>
      </c>
      <c r="H26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679" t="str">
        <f>IFERROR(INDEX(Raw_orders!G:G, MATCH(shipments[[#This Row],[order_id]],Raw_orders!A:A, 0)), "Unknown")</f>
        <v>Nordics</v>
      </c>
      <c r="J2679" t="str">
        <f>PROPER(shipments[[#This Row],[delivery_status]])</f>
        <v>In Transit</v>
      </c>
      <c r="K2679" t="s">
        <v>6958</v>
      </c>
    </row>
    <row r="2680" spans="1:11">
      <c r="A2680" t="s">
        <v>9616</v>
      </c>
      <c r="B2680" t="s">
        <v>3421</v>
      </c>
      <c r="C2680" t="s">
        <v>6928</v>
      </c>
      <c r="D2680" s="1">
        <v>45258</v>
      </c>
      <c r="E2680" s="1">
        <v>45268</v>
      </c>
      <c r="F2680" s="1"/>
      <c r="G2680">
        <v>44.64</v>
      </c>
      <c r="H26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680" t="str">
        <f>IFERROR(INDEX(Raw_orders!G:G, MATCH(shipments[[#This Row],[order_id]],Raw_orders!A:A, 0)), "Unknown")</f>
        <v>Baltics</v>
      </c>
      <c r="J2680" t="str">
        <f>PROPER(shipments[[#This Row],[delivery_status]])</f>
        <v>In Transit</v>
      </c>
      <c r="K2680" t="s">
        <v>6977</v>
      </c>
    </row>
    <row r="2681" spans="1:11">
      <c r="A2681" t="s">
        <v>9617</v>
      </c>
      <c r="B2681" t="s">
        <v>3422</v>
      </c>
      <c r="C2681" t="s">
        <v>6938</v>
      </c>
      <c r="D2681" s="1">
        <v>44931</v>
      </c>
      <c r="E2681" s="1">
        <v>44936</v>
      </c>
      <c r="F2681" s="1">
        <v>44936</v>
      </c>
      <c r="G2681">
        <v>52.42</v>
      </c>
      <c r="H26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681" t="str">
        <f>IFERROR(INDEX(Raw_orders!G:G, MATCH(shipments[[#This Row],[order_id]],Raw_orders!A:A, 0)), "Unknown")</f>
        <v>Nordics</v>
      </c>
      <c r="J2681" t="str">
        <f>PROPER(shipments[[#This Row],[delivery_status]])</f>
        <v>Delivered</v>
      </c>
      <c r="K2681" t="s">
        <v>6926</v>
      </c>
    </row>
    <row r="2682" spans="1:11">
      <c r="A2682" t="s">
        <v>9618</v>
      </c>
      <c r="B2682" t="s">
        <v>3423</v>
      </c>
      <c r="C2682" t="s">
        <v>6931</v>
      </c>
      <c r="D2682" s="1">
        <v>45077</v>
      </c>
      <c r="E2682" s="1">
        <v>45080</v>
      </c>
      <c r="F2682" s="1">
        <v>45084</v>
      </c>
      <c r="G2682">
        <v>62.63</v>
      </c>
      <c r="H26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82" t="str">
        <f>IFERROR(INDEX(Raw_orders!G:G, MATCH(shipments[[#This Row],[order_id]],Raw_orders!A:A, 0)), "Unknown")</f>
        <v>Central Europe</v>
      </c>
      <c r="J2682" t="str">
        <f>PROPER(shipments[[#This Row],[delivery_status]])</f>
        <v>Delivered</v>
      </c>
      <c r="K2682" t="s">
        <v>6922</v>
      </c>
    </row>
    <row r="2683" spans="1:11">
      <c r="A2683" t="s">
        <v>9619</v>
      </c>
      <c r="B2683" t="s">
        <v>3424</v>
      </c>
      <c r="C2683" t="s">
        <v>6935</v>
      </c>
      <c r="D2683" s="1">
        <v>45324</v>
      </c>
      <c r="E2683" s="1">
        <v>45334</v>
      </c>
      <c r="F2683" s="1"/>
      <c r="G2683">
        <v>43.36</v>
      </c>
      <c r="H26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683" t="str">
        <f>IFERROR(INDEX(Raw_orders!G:G, MATCH(shipments[[#This Row],[order_id]],Raw_orders!A:A, 0)), "Unknown")</f>
        <v>Central Europe</v>
      </c>
      <c r="J2683" t="str">
        <f>PROPER(shipments[[#This Row],[delivery_status]])</f>
        <v>Cancelled</v>
      </c>
      <c r="K2683" t="s">
        <v>6972</v>
      </c>
    </row>
    <row r="2684" spans="1:11">
      <c r="A2684" t="s">
        <v>9620</v>
      </c>
      <c r="B2684" t="s">
        <v>3425</v>
      </c>
      <c r="C2684" t="s">
        <v>6940</v>
      </c>
      <c r="D2684" s="1">
        <v>45577</v>
      </c>
      <c r="E2684" s="1">
        <v>45580</v>
      </c>
      <c r="F2684" s="1">
        <v>45586</v>
      </c>
      <c r="G2684">
        <v>6.66</v>
      </c>
      <c r="H26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84" t="str">
        <f>IFERROR(INDEX(Raw_orders!G:G, MATCH(shipments[[#This Row],[order_id]],Raw_orders!A:A, 0)), "Unknown")</f>
        <v>Baltics</v>
      </c>
      <c r="J2684" t="str">
        <f>PROPER(shipments[[#This Row],[delivery_status]])</f>
        <v>Delivered</v>
      </c>
      <c r="K2684" t="s">
        <v>6922</v>
      </c>
    </row>
    <row r="2685" spans="1:11">
      <c r="A2685" t="s">
        <v>9621</v>
      </c>
      <c r="B2685" t="s">
        <v>3426</v>
      </c>
      <c r="C2685" t="s">
        <v>6940</v>
      </c>
      <c r="D2685" s="1">
        <v>45515</v>
      </c>
      <c r="E2685" s="1">
        <v>45518</v>
      </c>
      <c r="F2685" s="1">
        <v>45518</v>
      </c>
      <c r="G2685">
        <v>37.69</v>
      </c>
      <c r="H26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685" t="str">
        <f>IFERROR(INDEX(Raw_orders!G:G, MATCH(shipments[[#This Row],[order_id]],Raw_orders!A:A, 0)), "Unknown")</f>
        <v>Central Europe</v>
      </c>
      <c r="J2685" t="str">
        <f>PROPER(shipments[[#This Row],[delivery_status]])</f>
        <v>Delivered</v>
      </c>
      <c r="K2685" t="s">
        <v>6929</v>
      </c>
    </row>
    <row r="2686" spans="1:11">
      <c r="A2686" t="s">
        <v>9622</v>
      </c>
      <c r="B2686" t="s">
        <v>3427</v>
      </c>
      <c r="C2686" t="s">
        <v>6935</v>
      </c>
      <c r="D2686" s="1">
        <v>45085</v>
      </c>
      <c r="E2686" s="1">
        <v>45095</v>
      </c>
      <c r="F2686" s="1">
        <v>45095</v>
      </c>
      <c r="G2686">
        <v>35.49</v>
      </c>
      <c r="H26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686" t="str">
        <f>IFERROR(INDEX(Raw_orders!G:G, MATCH(shipments[[#This Row],[order_id]],Raw_orders!A:A, 0)), "Unknown")</f>
        <v>Baltics</v>
      </c>
      <c r="J2686" t="str">
        <f>PROPER(shipments[[#This Row],[delivery_status]])</f>
        <v>Delivered</v>
      </c>
      <c r="K2686" t="s">
        <v>6926</v>
      </c>
    </row>
    <row r="2687" spans="1:11">
      <c r="A2687" t="s">
        <v>9623</v>
      </c>
      <c r="B2687" t="s">
        <v>3428</v>
      </c>
      <c r="C2687" t="s">
        <v>6935</v>
      </c>
      <c r="D2687" s="1">
        <v>45593</v>
      </c>
      <c r="E2687" s="1">
        <v>45596</v>
      </c>
      <c r="F2687" s="1">
        <v>45597</v>
      </c>
      <c r="G2687">
        <v>4.97</v>
      </c>
      <c r="H26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87" t="str">
        <f>IFERROR(INDEX(Raw_orders!G:G, MATCH(shipments[[#This Row],[order_id]],Raw_orders!A:A, 0)), "Unknown")</f>
        <v>Baltics</v>
      </c>
      <c r="J2687" t="str">
        <f>PROPER(shipments[[#This Row],[delivery_status]])</f>
        <v>Delivered</v>
      </c>
      <c r="K2687" t="s">
        <v>6922</v>
      </c>
    </row>
    <row r="2688" spans="1:11">
      <c r="A2688" t="s">
        <v>9624</v>
      </c>
      <c r="B2688" t="s">
        <v>3429</v>
      </c>
      <c r="C2688" t="s">
        <v>6938</v>
      </c>
      <c r="D2688" s="1">
        <v>45158</v>
      </c>
      <c r="E2688" s="1">
        <v>45165</v>
      </c>
      <c r="F2688" s="1">
        <v>45176</v>
      </c>
      <c r="G2688">
        <v>52.63</v>
      </c>
      <c r="H26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88" t="str">
        <f>IFERROR(INDEX(Raw_orders!G:G, MATCH(shipments[[#This Row],[order_id]],Raw_orders!A:A, 0)), "Unknown")</f>
        <v>Central Europe</v>
      </c>
      <c r="J2688" t="str">
        <f>PROPER(shipments[[#This Row],[delivery_status]])</f>
        <v>Delivered</v>
      </c>
      <c r="K2688" t="s">
        <v>6926</v>
      </c>
    </row>
    <row r="2689" spans="1:11">
      <c r="A2689" t="s">
        <v>9625</v>
      </c>
      <c r="B2689" t="s">
        <v>3430</v>
      </c>
      <c r="C2689" t="s">
        <v>6921</v>
      </c>
      <c r="D2689" s="1">
        <v>45296</v>
      </c>
      <c r="E2689" s="1">
        <v>45303</v>
      </c>
      <c r="F2689" s="1">
        <v>45303</v>
      </c>
      <c r="G2689">
        <v>39.08</v>
      </c>
      <c r="H26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689" t="str">
        <f>IFERROR(INDEX(Raw_orders!G:G, MATCH(shipments[[#This Row],[order_id]],Raw_orders!A:A, 0)), "Unknown")</f>
        <v>Baltics</v>
      </c>
      <c r="J2689" t="str">
        <f>PROPER(shipments[[#This Row],[delivery_status]])</f>
        <v>Delivered</v>
      </c>
      <c r="K2689" t="s">
        <v>6929</v>
      </c>
    </row>
    <row r="2690" spans="1:11">
      <c r="A2690" t="s">
        <v>9626</v>
      </c>
      <c r="B2690" t="s">
        <v>3431</v>
      </c>
      <c r="C2690" t="s">
        <v>6956</v>
      </c>
      <c r="D2690" s="1">
        <v>45086</v>
      </c>
      <c r="E2690" s="1">
        <v>45089</v>
      </c>
      <c r="F2690" s="1">
        <v>45099</v>
      </c>
      <c r="G2690">
        <v>56.23</v>
      </c>
      <c r="H26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90" t="str">
        <f>IFERROR(INDEX(Raw_orders!G:G, MATCH(shipments[[#This Row],[order_id]],Raw_orders!A:A, 0)), "Unknown")</f>
        <v>Nordics</v>
      </c>
      <c r="J2690" t="str">
        <f>PROPER(shipments[[#This Row],[delivery_status]])</f>
        <v>Delivered</v>
      </c>
      <c r="K2690" t="s">
        <v>6922</v>
      </c>
    </row>
    <row r="2691" spans="1:11">
      <c r="A2691" t="s">
        <v>9627</v>
      </c>
      <c r="B2691" t="s">
        <v>3432</v>
      </c>
      <c r="C2691" t="s">
        <v>6956</v>
      </c>
      <c r="D2691" s="1">
        <v>45276</v>
      </c>
      <c r="E2691" s="1">
        <v>45281</v>
      </c>
      <c r="F2691" s="1">
        <v>45285</v>
      </c>
      <c r="G2691">
        <v>6.34</v>
      </c>
      <c r="H26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91" t="str">
        <f>IFERROR(INDEX(Raw_orders!G:G, MATCH(shipments[[#This Row],[order_id]],Raw_orders!A:A, 0)), "Unknown")</f>
        <v>Central Europe</v>
      </c>
      <c r="J2691" t="str">
        <f>PROPER(shipments[[#This Row],[delivery_status]])</f>
        <v>Delivered</v>
      </c>
      <c r="K2691" t="s">
        <v>6926</v>
      </c>
    </row>
    <row r="2692" spans="1:11">
      <c r="A2692" t="s">
        <v>9628</v>
      </c>
      <c r="B2692" t="s">
        <v>3432</v>
      </c>
      <c r="C2692" t="s">
        <v>6928</v>
      </c>
      <c r="D2692" s="1">
        <v>45278</v>
      </c>
      <c r="E2692" s="1">
        <v>45285</v>
      </c>
      <c r="F2692" s="1">
        <v>45290</v>
      </c>
      <c r="G2692">
        <v>52.88</v>
      </c>
      <c r="H26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92" t="str">
        <f>IFERROR(INDEX(Raw_orders!G:G, MATCH(shipments[[#This Row],[order_id]],Raw_orders!A:A, 0)), "Unknown")</f>
        <v>Central Europe</v>
      </c>
      <c r="J2692" t="str">
        <f>PROPER(shipments[[#This Row],[delivery_status]])</f>
        <v>Delivered</v>
      </c>
      <c r="K2692" t="s">
        <v>6922</v>
      </c>
    </row>
    <row r="2693" spans="1:11">
      <c r="A2693" t="s">
        <v>9629</v>
      </c>
      <c r="B2693" t="s">
        <v>3433</v>
      </c>
      <c r="C2693" t="s">
        <v>6940</v>
      </c>
      <c r="D2693" s="1">
        <v>45212</v>
      </c>
      <c r="E2693" s="1">
        <v>45215</v>
      </c>
      <c r="F2693" s="1">
        <v>45216</v>
      </c>
      <c r="G2693">
        <v>50.38</v>
      </c>
      <c r="H26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93" t="str">
        <f>IFERROR(INDEX(Raw_orders!G:G, MATCH(shipments[[#This Row],[order_id]],Raw_orders!A:A, 0)), "Unknown")</f>
        <v>Nordics</v>
      </c>
      <c r="J2693" t="str">
        <f>PROPER(shipments[[#This Row],[delivery_status]])</f>
        <v>Delivered</v>
      </c>
      <c r="K2693" t="s">
        <v>6929</v>
      </c>
    </row>
    <row r="2694" spans="1:11">
      <c r="A2694" t="s">
        <v>9630</v>
      </c>
      <c r="B2694" t="s">
        <v>3434</v>
      </c>
      <c r="C2694" t="s">
        <v>6931</v>
      </c>
      <c r="D2694" s="1">
        <v>45035</v>
      </c>
      <c r="E2694" s="1">
        <v>45040</v>
      </c>
      <c r="F2694" s="1">
        <v>45045</v>
      </c>
      <c r="G2694">
        <v>35.799999999999997</v>
      </c>
      <c r="H26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94" t="str">
        <f>IFERROR(INDEX(Raw_orders!G:G, MATCH(shipments[[#This Row],[order_id]],Raw_orders!A:A, 0)), "Unknown")</f>
        <v>Central Europe</v>
      </c>
      <c r="J2694" t="str">
        <f>PROPER(shipments[[#This Row],[delivery_status]])</f>
        <v>Delivered</v>
      </c>
      <c r="K2694" t="s">
        <v>6922</v>
      </c>
    </row>
    <row r="2695" spans="1:11">
      <c r="A2695" t="s">
        <v>9631</v>
      </c>
      <c r="B2695" t="s">
        <v>3435</v>
      </c>
      <c r="C2695" t="s">
        <v>6938</v>
      </c>
      <c r="D2695" s="1">
        <v>45238</v>
      </c>
      <c r="E2695" s="1">
        <v>45241</v>
      </c>
      <c r="F2695" s="1"/>
      <c r="H26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695" t="str">
        <f>IFERROR(INDEX(Raw_orders!G:G, MATCH(shipments[[#This Row],[order_id]],Raw_orders!A:A, 0)), "Unknown")</f>
        <v>Baltics</v>
      </c>
      <c r="J2695" t="str">
        <f>PROPER(shipments[[#This Row],[delivery_status]])</f>
        <v>In Transit</v>
      </c>
      <c r="K2695" t="s">
        <v>6977</v>
      </c>
    </row>
    <row r="2696" spans="1:11">
      <c r="A2696" t="s">
        <v>9632</v>
      </c>
      <c r="B2696" t="s">
        <v>3436</v>
      </c>
      <c r="C2696" t="s">
        <v>6949</v>
      </c>
      <c r="D2696" s="1">
        <v>45260</v>
      </c>
      <c r="E2696" s="1">
        <v>45270</v>
      </c>
      <c r="F2696" s="1"/>
      <c r="G2696">
        <v>10.119999999999999</v>
      </c>
      <c r="H26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696" t="str">
        <f>IFERROR(INDEX(Raw_orders!G:G, MATCH(shipments[[#This Row],[order_id]],Raw_orders!A:A, 0)), "Unknown")</f>
        <v>Nordics</v>
      </c>
      <c r="J2696" t="str">
        <f>PROPER(shipments[[#This Row],[delivery_status]])</f>
        <v>In Transit</v>
      </c>
      <c r="K2696" t="s">
        <v>6958</v>
      </c>
    </row>
    <row r="2697" spans="1:11">
      <c r="A2697" t="s">
        <v>9633</v>
      </c>
      <c r="B2697" t="s">
        <v>3437</v>
      </c>
      <c r="C2697" t="s">
        <v>6935</v>
      </c>
      <c r="D2697" s="1">
        <v>45339</v>
      </c>
      <c r="E2697" s="1">
        <v>45344</v>
      </c>
      <c r="F2697" s="1">
        <v>45352</v>
      </c>
      <c r="G2697">
        <v>38.76</v>
      </c>
      <c r="H26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97" t="str">
        <f>IFERROR(INDEX(Raw_orders!G:G, MATCH(shipments[[#This Row],[order_id]],Raw_orders!A:A, 0)), "Unknown")</f>
        <v>Nordics</v>
      </c>
      <c r="J2697" t="str">
        <f>PROPER(shipments[[#This Row],[delivery_status]])</f>
        <v>Delivered</v>
      </c>
      <c r="K2697" t="s">
        <v>6926</v>
      </c>
    </row>
    <row r="2698" spans="1:11">
      <c r="A2698" t="s">
        <v>9634</v>
      </c>
      <c r="B2698" t="s">
        <v>3438</v>
      </c>
      <c r="C2698" t="s">
        <v>6956</v>
      </c>
      <c r="D2698" s="1">
        <v>45244</v>
      </c>
      <c r="E2698" s="1">
        <v>45246</v>
      </c>
      <c r="F2698" s="1">
        <v>45246</v>
      </c>
      <c r="G2698">
        <v>7.61</v>
      </c>
      <c r="H26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698" t="str">
        <f>IFERROR(INDEX(Raw_orders!G:G, MATCH(shipments[[#This Row],[order_id]],Raw_orders!A:A, 0)), "Unknown")</f>
        <v>Central Europe</v>
      </c>
      <c r="J2698" t="str">
        <f>PROPER(shipments[[#This Row],[delivery_status]])</f>
        <v>Delivered</v>
      </c>
      <c r="K2698" t="s">
        <v>6926</v>
      </c>
    </row>
    <row r="2699" spans="1:11">
      <c r="A2699" t="s">
        <v>9635</v>
      </c>
      <c r="B2699" t="s">
        <v>3439</v>
      </c>
      <c r="C2699" t="s">
        <v>6928</v>
      </c>
      <c r="D2699" s="1">
        <v>45235</v>
      </c>
      <c r="E2699" s="1">
        <v>45237</v>
      </c>
      <c r="F2699" s="1">
        <v>45245</v>
      </c>
      <c r="G2699">
        <v>18.239999999999998</v>
      </c>
      <c r="H26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699" t="str">
        <f>IFERROR(INDEX(Raw_orders!G:G, MATCH(shipments[[#This Row],[order_id]],Raw_orders!A:A, 0)), "Unknown")</f>
        <v>Central Europe</v>
      </c>
      <c r="J2699" t="str">
        <f>PROPER(shipments[[#This Row],[delivery_status]])</f>
        <v>Delivered</v>
      </c>
      <c r="K2699" t="s">
        <v>6926</v>
      </c>
    </row>
    <row r="2700" spans="1:11">
      <c r="A2700" t="s">
        <v>9636</v>
      </c>
      <c r="B2700" t="s">
        <v>3440</v>
      </c>
      <c r="C2700" t="s">
        <v>6931</v>
      </c>
      <c r="D2700" s="1">
        <v>45282</v>
      </c>
      <c r="E2700" s="1">
        <v>45287</v>
      </c>
      <c r="F2700" s="1"/>
      <c r="G2700">
        <v>11.54</v>
      </c>
      <c r="H27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700" t="str">
        <f>IFERROR(INDEX(Raw_orders!G:G, MATCH(shipments[[#This Row],[order_id]],Raw_orders!A:A, 0)), "Unknown")</f>
        <v>Baltics</v>
      </c>
      <c r="J2700" t="str">
        <f>PROPER(shipments[[#This Row],[delivery_status]])</f>
        <v>In Transit</v>
      </c>
      <c r="K2700" t="s">
        <v>6977</v>
      </c>
    </row>
    <row r="2701" spans="1:11">
      <c r="A2701" t="s">
        <v>9637</v>
      </c>
      <c r="B2701" t="s">
        <v>3440</v>
      </c>
      <c r="C2701" t="s">
        <v>6938</v>
      </c>
      <c r="D2701" s="1">
        <v>45281</v>
      </c>
      <c r="E2701" s="1">
        <v>45291</v>
      </c>
      <c r="F2701" s="1">
        <v>45299</v>
      </c>
      <c r="G2701">
        <v>34.380000000000003</v>
      </c>
      <c r="H27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01" t="str">
        <f>IFERROR(INDEX(Raw_orders!G:G, MATCH(shipments[[#This Row],[order_id]],Raw_orders!A:A, 0)), "Unknown")</f>
        <v>Baltics</v>
      </c>
      <c r="J2701" t="str">
        <f>PROPER(shipments[[#This Row],[delivery_status]])</f>
        <v>Delivered</v>
      </c>
      <c r="K2701" t="s">
        <v>6922</v>
      </c>
    </row>
    <row r="2702" spans="1:11">
      <c r="A2702" t="s">
        <v>9638</v>
      </c>
      <c r="B2702" t="s">
        <v>3441</v>
      </c>
      <c r="C2702" t="s">
        <v>6931</v>
      </c>
      <c r="D2702" s="1">
        <v>45556</v>
      </c>
      <c r="E2702" s="1">
        <v>45563</v>
      </c>
      <c r="F2702" s="1">
        <v>45562</v>
      </c>
      <c r="G2702">
        <v>30.1</v>
      </c>
      <c r="H27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02" t="str">
        <f>IFERROR(INDEX(Raw_orders!G:G, MATCH(shipments[[#This Row],[order_id]],Raw_orders!A:A, 0)), "Unknown")</f>
        <v>Baltics</v>
      </c>
      <c r="J2702" t="str">
        <f>PROPER(shipments[[#This Row],[delivery_status]])</f>
        <v>Delivered</v>
      </c>
      <c r="K2702" t="s">
        <v>6922</v>
      </c>
    </row>
    <row r="2703" spans="1:11">
      <c r="A2703" t="s">
        <v>9639</v>
      </c>
      <c r="B2703" t="s">
        <v>3442</v>
      </c>
      <c r="C2703" t="s">
        <v>6921</v>
      </c>
      <c r="D2703" s="1">
        <v>45114</v>
      </c>
      <c r="E2703" s="1">
        <v>45121</v>
      </c>
      <c r="F2703" s="1"/>
      <c r="G2703">
        <v>9.48</v>
      </c>
      <c r="H27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703" t="str">
        <f>IFERROR(INDEX(Raw_orders!G:G, MATCH(shipments[[#This Row],[order_id]],Raw_orders!A:A, 0)), "Unknown")</f>
        <v>Baltics</v>
      </c>
      <c r="J2703" t="str">
        <f>PROPER(shipments[[#This Row],[delivery_status]])</f>
        <v>In Transit</v>
      </c>
      <c r="K2703" t="s">
        <v>6977</v>
      </c>
    </row>
    <row r="2704" spans="1:11">
      <c r="A2704" t="s">
        <v>9640</v>
      </c>
      <c r="B2704" t="s">
        <v>3442</v>
      </c>
      <c r="C2704" t="s">
        <v>6931</v>
      </c>
      <c r="D2704" s="1">
        <v>45113</v>
      </c>
      <c r="E2704" s="1">
        <v>45120</v>
      </c>
      <c r="F2704" s="1">
        <v>45125</v>
      </c>
      <c r="G2704">
        <v>10.61</v>
      </c>
      <c r="H27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04" t="str">
        <f>IFERROR(INDEX(Raw_orders!G:G, MATCH(shipments[[#This Row],[order_id]],Raw_orders!A:A, 0)), "Unknown")</f>
        <v>Baltics</v>
      </c>
      <c r="J2704" t="str">
        <f>PROPER(shipments[[#This Row],[delivery_status]])</f>
        <v>Delivered</v>
      </c>
      <c r="K2704" t="s">
        <v>6926</v>
      </c>
    </row>
    <row r="2705" spans="1:11">
      <c r="A2705" t="s">
        <v>9641</v>
      </c>
      <c r="B2705" t="s">
        <v>3443</v>
      </c>
      <c r="C2705" t="s">
        <v>6925</v>
      </c>
      <c r="D2705" s="1">
        <v>45146</v>
      </c>
      <c r="E2705" s="1">
        <v>45149</v>
      </c>
      <c r="F2705" s="1">
        <v>45149</v>
      </c>
      <c r="G2705">
        <v>7.98</v>
      </c>
      <c r="H27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05" t="str">
        <f>IFERROR(INDEX(Raw_orders!G:G, MATCH(shipments[[#This Row],[order_id]],Raw_orders!A:A, 0)), "Unknown")</f>
        <v>Nordics</v>
      </c>
      <c r="J2705" t="str">
        <f>PROPER(shipments[[#This Row],[delivery_status]])</f>
        <v>Delivered</v>
      </c>
      <c r="K2705" t="s">
        <v>6929</v>
      </c>
    </row>
    <row r="2706" spans="1:11">
      <c r="A2706" t="s">
        <v>9642</v>
      </c>
      <c r="B2706" t="s">
        <v>3444</v>
      </c>
      <c r="C2706" t="s">
        <v>6949</v>
      </c>
      <c r="D2706" s="1">
        <v>45566</v>
      </c>
      <c r="E2706" s="1">
        <v>45571</v>
      </c>
      <c r="F2706" s="1">
        <v>45571</v>
      </c>
      <c r="G2706">
        <v>23.02</v>
      </c>
      <c r="H27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06" t="str">
        <f>IFERROR(INDEX(Raw_orders!G:G, MATCH(shipments[[#This Row],[order_id]],Raw_orders!A:A, 0)), "Unknown")</f>
        <v>Central Europe</v>
      </c>
      <c r="J2706" t="str">
        <f>PROPER(shipments[[#This Row],[delivery_status]])</f>
        <v>Delivered</v>
      </c>
      <c r="K2706" t="s">
        <v>6926</v>
      </c>
    </row>
    <row r="2707" spans="1:11">
      <c r="A2707" t="s">
        <v>9643</v>
      </c>
      <c r="B2707" t="s">
        <v>3445</v>
      </c>
      <c r="C2707" t="s">
        <v>6935</v>
      </c>
      <c r="D2707" s="1">
        <v>45427</v>
      </c>
      <c r="E2707" s="1">
        <v>45437</v>
      </c>
      <c r="F2707" s="1">
        <v>45437</v>
      </c>
      <c r="G2707">
        <v>11.03</v>
      </c>
      <c r="H27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07" t="str">
        <f>IFERROR(INDEX(Raw_orders!G:G, MATCH(shipments[[#This Row],[order_id]],Raw_orders!A:A, 0)), "Unknown")</f>
        <v>Baltics</v>
      </c>
      <c r="J2707" t="str">
        <f>PROPER(shipments[[#This Row],[delivery_status]])</f>
        <v>Delivered</v>
      </c>
      <c r="K2707" t="s">
        <v>6922</v>
      </c>
    </row>
    <row r="2708" spans="1:11">
      <c r="A2708" t="s">
        <v>9644</v>
      </c>
      <c r="B2708" t="s">
        <v>3446</v>
      </c>
      <c r="C2708" t="s">
        <v>6938</v>
      </c>
      <c r="D2708" s="1">
        <v>45320</v>
      </c>
      <c r="E2708" s="1">
        <v>45330</v>
      </c>
      <c r="F2708" s="1">
        <v>45338</v>
      </c>
      <c r="G2708">
        <v>4.99</v>
      </c>
      <c r="H27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08" t="str">
        <f>IFERROR(INDEX(Raw_orders!G:G, MATCH(shipments[[#This Row],[order_id]],Raw_orders!A:A, 0)), "Unknown")</f>
        <v>Nordics</v>
      </c>
      <c r="J2708" t="str">
        <f>PROPER(shipments[[#This Row],[delivery_status]])</f>
        <v>Delivered</v>
      </c>
      <c r="K2708" t="s">
        <v>6929</v>
      </c>
    </row>
    <row r="2709" spans="1:11">
      <c r="A2709" t="s">
        <v>9645</v>
      </c>
      <c r="B2709" t="s">
        <v>3447</v>
      </c>
      <c r="C2709" t="s">
        <v>6925</v>
      </c>
      <c r="D2709" s="1">
        <v>45284</v>
      </c>
      <c r="E2709" s="1">
        <v>45289</v>
      </c>
      <c r="F2709" s="1">
        <v>45289</v>
      </c>
      <c r="G2709">
        <v>34.81</v>
      </c>
      <c r="H27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09" t="str">
        <f>IFERROR(INDEX(Raw_orders!G:G, MATCH(shipments[[#This Row],[order_id]],Raw_orders!A:A, 0)), "Unknown")</f>
        <v>Central Europe</v>
      </c>
      <c r="J2709" t="str">
        <f>PROPER(shipments[[#This Row],[delivery_status]])</f>
        <v>Delivered</v>
      </c>
      <c r="K2709" t="s">
        <v>6922</v>
      </c>
    </row>
    <row r="2710" spans="1:11">
      <c r="A2710" t="s">
        <v>9646</v>
      </c>
      <c r="B2710" t="s">
        <v>3448</v>
      </c>
      <c r="C2710" t="s">
        <v>6925</v>
      </c>
      <c r="D2710" s="1">
        <v>45088</v>
      </c>
      <c r="E2710" s="1">
        <v>45098</v>
      </c>
      <c r="F2710" s="1"/>
      <c r="G2710">
        <v>24.91</v>
      </c>
      <c r="H27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710" t="str">
        <f>IFERROR(INDEX(Raw_orders!G:G, MATCH(shipments[[#This Row],[order_id]],Raw_orders!A:A, 0)), "Unknown")</f>
        <v>Central Europe</v>
      </c>
      <c r="J2710" t="str">
        <f>PROPER(shipments[[#This Row],[delivery_status]])</f>
        <v>In Transit</v>
      </c>
      <c r="K2710" t="s">
        <v>6946</v>
      </c>
    </row>
    <row r="2711" spans="1:11">
      <c r="A2711" t="s">
        <v>9647</v>
      </c>
      <c r="B2711" t="s">
        <v>3449</v>
      </c>
      <c r="C2711" t="s">
        <v>6921</v>
      </c>
      <c r="D2711" s="1">
        <v>44993</v>
      </c>
      <c r="E2711" s="1">
        <v>44996</v>
      </c>
      <c r="F2711" s="1">
        <v>44996</v>
      </c>
      <c r="G2711">
        <v>41.26</v>
      </c>
      <c r="H27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11" t="str">
        <f>IFERROR(INDEX(Raw_orders!G:G, MATCH(shipments[[#This Row],[order_id]],Raw_orders!A:A, 0)), "Unknown")</f>
        <v>Central Europe</v>
      </c>
      <c r="J2711" t="str">
        <f>PROPER(shipments[[#This Row],[delivery_status]])</f>
        <v>Delivered</v>
      </c>
      <c r="K2711" t="s">
        <v>6929</v>
      </c>
    </row>
    <row r="2712" spans="1:11">
      <c r="A2712" t="s">
        <v>9648</v>
      </c>
      <c r="B2712" t="s">
        <v>3450</v>
      </c>
      <c r="C2712" t="s">
        <v>6928</v>
      </c>
      <c r="D2712" s="1">
        <v>45146</v>
      </c>
      <c r="E2712" s="1">
        <v>45153</v>
      </c>
      <c r="F2712" s="1">
        <v>45156</v>
      </c>
      <c r="G2712">
        <v>13.51</v>
      </c>
      <c r="H27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12" t="str">
        <f>IFERROR(INDEX(Raw_orders!G:G, MATCH(shipments[[#This Row],[order_id]],Raw_orders!A:A, 0)), "Unknown")</f>
        <v>Central Europe</v>
      </c>
      <c r="J2712" t="str">
        <f>PROPER(shipments[[#This Row],[delivery_status]])</f>
        <v>Delivered</v>
      </c>
      <c r="K2712" t="s">
        <v>6929</v>
      </c>
    </row>
    <row r="2713" spans="1:11">
      <c r="A2713" t="s">
        <v>9649</v>
      </c>
      <c r="B2713" t="s">
        <v>3451</v>
      </c>
      <c r="C2713" t="s">
        <v>6928</v>
      </c>
      <c r="D2713" s="1">
        <v>45330</v>
      </c>
      <c r="E2713" s="1">
        <v>45333</v>
      </c>
      <c r="F2713" s="1">
        <v>45333</v>
      </c>
      <c r="G2713">
        <v>54.52</v>
      </c>
      <c r="H27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13" t="str">
        <f>IFERROR(INDEX(Raw_orders!G:G, MATCH(shipments[[#This Row],[order_id]],Raw_orders!A:A, 0)), "Unknown")</f>
        <v>Central Europe</v>
      </c>
      <c r="J2713" t="str">
        <f>PROPER(shipments[[#This Row],[delivery_status]])</f>
        <v>Delivered</v>
      </c>
      <c r="K2713" t="s">
        <v>6926</v>
      </c>
    </row>
    <row r="2714" spans="1:11">
      <c r="A2714" t="s">
        <v>9650</v>
      </c>
      <c r="B2714" t="s">
        <v>3452</v>
      </c>
      <c r="C2714" t="s">
        <v>6956</v>
      </c>
      <c r="D2714" s="1">
        <v>45243</v>
      </c>
      <c r="E2714" s="1">
        <v>45248</v>
      </c>
      <c r="F2714" s="1">
        <v>45253</v>
      </c>
      <c r="G2714">
        <v>4.8</v>
      </c>
      <c r="H27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14" t="str">
        <f>IFERROR(INDEX(Raw_orders!G:G, MATCH(shipments[[#This Row],[order_id]],Raw_orders!A:A, 0)), "Unknown")</f>
        <v>Central Europe</v>
      </c>
      <c r="J2714" t="str">
        <f>PROPER(shipments[[#This Row],[delivery_status]])</f>
        <v>Delivered</v>
      </c>
      <c r="K2714" t="s">
        <v>6922</v>
      </c>
    </row>
    <row r="2715" spans="1:11">
      <c r="A2715" t="s">
        <v>9651</v>
      </c>
      <c r="B2715" t="s">
        <v>3452</v>
      </c>
      <c r="C2715" t="s">
        <v>6928</v>
      </c>
      <c r="D2715" s="1">
        <v>45242</v>
      </c>
      <c r="E2715" s="1">
        <v>45249</v>
      </c>
      <c r="F2715" s="1"/>
      <c r="G2715">
        <v>46.38</v>
      </c>
      <c r="H27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715" t="str">
        <f>IFERROR(INDEX(Raw_orders!G:G, MATCH(shipments[[#This Row],[order_id]],Raw_orders!A:A, 0)), "Unknown")</f>
        <v>Central Europe</v>
      </c>
      <c r="J2715" t="str">
        <f>PROPER(shipments[[#This Row],[delivery_status]])</f>
        <v>Cancelled</v>
      </c>
      <c r="K2715" t="s">
        <v>6972</v>
      </c>
    </row>
    <row r="2716" spans="1:11">
      <c r="A2716" t="s">
        <v>9652</v>
      </c>
      <c r="B2716" t="s">
        <v>3453</v>
      </c>
      <c r="C2716" t="s">
        <v>6940</v>
      </c>
      <c r="D2716" s="1">
        <v>45016</v>
      </c>
      <c r="E2716" s="1">
        <v>45018</v>
      </c>
      <c r="F2716" s="1">
        <v>45017</v>
      </c>
      <c r="G2716">
        <v>32.229999999999997</v>
      </c>
      <c r="H27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16" t="str">
        <f>IFERROR(INDEX(Raw_orders!G:G, MATCH(shipments[[#This Row],[order_id]],Raw_orders!A:A, 0)), "Unknown")</f>
        <v>Central Europe</v>
      </c>
      <c r="J2716" t="str">
        <f>PROPER(shipments[[#This Row],[delivery_status]])</f>
        <v>Delivered</v>
      </c>
      <c r="K2716" t="s">
        <v>6922</v>
      </c>
    </row>
    <row r="2717" spans="1:11">
      <c r="A2717" t="s">
        <v>9653</v>
      </c>
      <c r="B2717" t="s">
        <v>3454</v>
      </c>
      <c r="C2717" t="s">
        <v>6940</v>
      </c>
      <c r="D2717" s="1">
        <v>45463</v>
      </c>
      <c r="E2717" s="1">
        <v>45473</v>
      </c>
      <c r="F2717" s="1">
        <v>45473</v>
      </c>
      <c r="G2717">
        <v>32.4</v>
      </c>
      <c r="H27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17" t="str">
        <f>IFERROR(INDEX(Raw_orders!G:G, MATCH(shipments[[#This Row],[order_id]],Raw_orders!A:A, 0)), "Unknown")</f>
        <v>Baltics</v>
      </c>
      <c r="J2717" t="str">
        <f>PROPER(shipments[[#This Row],[delivery_status]])</f>
        <v>Delivered</v>
      </c>
      <c r="K2717" t="s">
        <v>6922</v>
      </c>
    </row>
    <row r="2718" spans="1:11">
      <c r="A2718" t="s">
        <v>9654</v>
      </c>
      <c r="B2718" t="s">
        <v>3455</v>
      </c>
      <c r="C2718" t="s">
        <v>6938</v>
      </c>
      <c r="D2718" s="1">
        <v>45434</v>
      </c>
      <c r="E2718" s="1">
        <v>45444</v>
      </c>
      <c r="F2718" s="1">
        <v>45445</v>
      </c>
      <c r="G2718">
        <v>55.43</v>
      </c>
      <c r="H27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18" t="str">
        <f>IFERROR(INDEX(Raw_orders!G:G, MATCH(shipments[[#This Row],[order_id]],Raw_orders!A:A, 0)), "Unknown")</f>
        <v>Nordics</v>
      </c>
      <c r="J2718" t="str">
        <f>PROPER(shipments[[#This Row],[delivery_status]])</f>
        <v>Delivered</v>
      </c>
      <c r="K2718" t="s">
        <v>6929</v>
      </c>
    </row>
    <row r="2719" spans="1:11">
      <c r="A2719" t="s">
        <v>9655</v>
      </c>
      <c r="B2719" t="s">
        <v>3456</v>
      </c>
      <c r="C2719" t="s">
        <v>6931</v>
      </c>
      <c r="D2719" s="1">
        <v>45489</v>
      </c>
      <c r="E2719" s="1">
        <v>45496</v>
      </c>
      <c r="F2719" s="1">
        <v>45496</v>
      </c>
      <c r="G2719">
        <v>51.01</v>
      </c>
      <c r="H27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19" t="str">
        <f>IFERROR(INDEX(Raw_orders!G:G, MATCH(shipments[[#This Row],[order_id]],Raw_orders!A:A, 0)), "Unknown")</f>
        <v>Baltics</v>
      </c>
      <c r="J2719" t="str">
        <f>PROPER(shipments[[#This Row],[delivery_status]])</f>
        <v>Delivered</v>
      </c>
      <c r="K2719" t="s">
        <v>6929</v>
      </c>
    </row>
    <row r="2720" spans="1:11">
      <c r="A2720" t="s">
        <v>9656</v>
      </c>
      <c r="B2720" t="s">
        <v>3457</v>
      </c>
      <c r="C2720" t="s">
        <v>6921</v>
      </c>
      <c r="D2720" s="1">
        <v>44936</v>
      </c>
      <c r="E2720" s="1">
        <v>44943</v>
      </c>
      <c r="F2720" s="1">
        <v>44943</v>
      </c>
      <c r="G2720">
        <v>33.93</v>
      </c>
      <c r="H27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20" t="str">
        <f>IFERROR(INDEX(Raw_orders!G:G, MATCH(shipments[[#This Row],[order_id]],Raw_orders!A:A, 0)), "Unknown")</f>
        <v>Nordics</v>
      </c>
      <c r="J2720" t="str">
        <f>PROPER(shipments[[#This Row],[delivery_status]])</f>
        <v>Delivered</v>
      </c>
      <c r="K2720" t="s">
        <v>6922</v>
      </c>
    </row>
    <row r="2721" spans="1:11">
      <c r="A2721" t="s">
        <v>9657</v>
      </c>
      <c r="B2721" t="s">
        <v>3458</v>
      </c>
      <c r="C2721" t="s">
        <v>6935</v>
      </c>
      <c r="D2721" s="1">
        <v>45430</v>
      </c>
      <c r="E2721" s="1">
        <v>45440</v>
      </c>
      <c r="F2721" s="1"/>
      <c r="G2721">
        <v>9.24</v>
      </c>
      <c r="H27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721" t="str">
        <f>IFERROR(INDEX(Raw_orders!G:G, MATCH(shipments[[#This Row],[order_id]],Raw_orders!A:A, 0)), "Unknown")</f>
        <v>Baltics</v>
      </c>
      <c r="J2721" t="str">
        <f>PROPER(shipments[[#This Row],[delivery_status]])</f>
        <v>Cancelled</v>
      </c>
      <c r="K2721" t="s">
        <v>6963</v>
      </c>
    </row>
    <row r="2722" spans="1:11">
      <c r="A2722" t="s">
        <v>9658</v>
      </c>
      <c r="B2722" t="s">
        <v>3459</v>
      </c>
      <c r="C2722" t="s">
        <v>6931</v>
      </c>
      <c r="D2722" s="1">
        <v>45607</v>
      </c>
      <c r="E2722" s="1">
        <v>45610</v>
      </c>
      <c r="F2722" s="1">
        <v>45610</v>
      </c>
      <c r="G2722">
        <v>50.62</v>
      </c>
      <c r="H27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22" t="str">
        <f>IFERROR(INDEX(Raw_orders!G:G, MATCH(shipments[[#This Row],[order_id]],Raw_orders!A:A, 0)), "Unknown")</f>
        <v>Central Europe</v>
      </c>
      <c r="J2722" t="str">
        <f>PROPER(shipments[[#This Row],[delivery_status]])</f>
        <v>Delivered</v>
      </c>
      <c r="K2722" t="s">
        <v>6922</v>
      </c>
    </row>
    <row r="2723" spans="1:11">
      <c r="A2723" t="s">
        <v>9659</v>
      </c>
      <c r="B2723" t="s">
        <v>3460</v>
      </c>
      <c r="C2723" t="s">
        <v>6931</v>
      </c>
      <c r="D2723" s="1">
        <v>45610</v>
      </c>
      <c r="E2723" s="1">
        <v>45615</v>
      </c>
      <c r="F2723" s="1">
        <v>45623</v>
      </c>
      <c r="G2723">
        <v>14.44</v>
      </c>
      <c r="H27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23" t="str">
        <f>IFERROR(INDEX(Raw_orders!G:G, MATCH(shipments[[#This Row],[order_id]],Raw_orders!A:A, 0)), "Unknown")</f>
        <v>Baltics</v>
      </c>
      <c r="J2723" t="str">
        <f>PROPER(shipments[[#This Row],[delivery_status]])</f>
        <v>Delivered</v>
      </c>
      <c r="K2723" t="s">
        <v>6929</v>
      </c>
    </row>
    <row r="2724" spans="1:11">
      <c r="A2724" t="s">
        <v>9660</v>
      </c>
      <c r="B2724" t="s">
        <v>3461</v>
      </c>
      <c r="C2724" t="s">
        <v>6935</v>
      </c>
      <c r="D2724" s="1">
        <v>45562</v>
      </c>
      <c r="E2724" s="1">
        <v>45569</v>
      </c>
      <c r="F2724" s="1">
        <v>45572</v>
      </c>
      <c r="G2724">
        <v>34.520000000000003</v>
      </c>
      <c r="H27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24" t="str">
        <f>IFERROR(INDEX(Raw_orders!G:G, MATCH(shipments[[#This Row],[order_id]],Raw_orders!A:A, 0)), "Unknown")</f>
        <v>Central Europe</v>
      </c>
      <c r="J2724" t="str">
        <f>PROPER(shipments[[#This Row],[delivery_status]])</f>
        <v>Delivered</v>
      </c>
      <c r="K2724" t="s">
        <v>6926</v>
      </c>
    </row>
    <row r="2725" spans="1:11">
      <c r="A2725" t="s">
        <v>9661</v>
      </c>
      <c r="B2725" t="s">
        <v>3462</v>
      </c>
      <c r="C2725" t="s">
        <v>6940</v>
      </c>
      <c r="D2725" s="1">
        <v>44972</v>
      </c>
      <c r="E2725" s="1">
        <v>44975</v>
      </c>
      <c r="F2725" s="1">
        <v>44975</v>
      </c>
      <c r="G2725">
        <v>12.76</v>
      </c>
      <c r="H27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25" t="str">
        <f>IFERROR(INDEX(Raw_orders!G:G, MATCH(shipments[[#This Row],[order_id]],Raw_orders!A:A, 0)), "Unknown")</f>
        <v>Nordics</v>
      </c>
      <c r="J2725" t="str">
        <f>PROPER(shipments[[#This Row],[delivery_status]])</f>
        <v>Delivered</v>
      </c>
      <c r="K2725" t="s">
        <v>6922</v>
      </c>
    </row>
    <row r="2726" spans="1:11">
      <c r="A2726" t="s">
        <v>9662</v>
      </c>
      <c r="B2726" t="s">
        <v>3463</v>
      </c>
      <c r="C2726" t="s">
        <v>6921</v>
      </c>
      <c r="D2726" s="1">
        <v>44973</v>
      </c>
      <c r="E2726" s="1">
        <v>44976</v>
      </c>
      <c r="F2726" s="1">
        <v>44985</v>
      </c>
      <c r="G2726">
        <v>35.08</v>
      </c>
      <c r="H27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26" t="str">
        <f>IFERROR(INDEX(Raw_orders!G:G, MATCH(shipments[[#This Row],[order_id]],Raw_orders!A:A, 0)), "Unknown")</f>
        <v>Baltics</v>
      </c>
      <c r="J2726" t="str">
        <f>PROPER(shipments[[#This Row],[delivery_status]])</f>
        <v>Delivered</v>
      </c>
      <c r="K2726" t="s">
        <v>6922</v>
      </c>
    </row>
    <row r="2727" spans="1:11">
      <c r="A2727" t="s">
        <v>9663</v>
      </c>
      <c r="B2727" t="s">
        <v>3463</v>
      </c>
      <c r="C2727" t="s">
        <v>6928</v>
      </c>
      <c r="D2727" s="1">
        <v>44974</v>
      </c>
      <c r="E2727" s="1">
        <v>44977</v>
      </c>
      <c r="F2727" s="1"/>
      <c r="G2727">
        <v>27.68</v>
      </c>
      <c r="H27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727" t="str">
        <f>IFERROR(INDEX(Raw_orders!G:G, MATCH(shipments[[#This Row],[order_id]],Raw_orders!A:A, 0)), "Unknown")</f>
        <v>Baltics</v>
      </c>
      <c r="J2727" t="str">
        <f>PROPER(shipments[[#This Row],[delivery_status]])</f>
        <v>Cancelled</v>
      </c>
      <c r="K2727" t="s">
        <v>6979</v>
      </c>
    </row>
    <row r="2728" spans="1:11">
      <c r="A2728" t="s">
        <v>9664</v>
      </c>
      <c r="B2728" t="s">
        <v>3464</v>
      </c>
      <c r="C2728" t="s">
        <v>6928</v>
      </c>
      <c r="D2728" s="1">
        <v>45384</v>
      </c>
      <c r="E2728" s="1">
        <v>45391</v>
      </c>
      <c r="F2728" s="1">
        <v>45391</v>
      </c>
      <c r="H27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28" t="str">
        <f>IFERROR(INDEX(Raw_orders!G:G, MATCH(shipments[[#This Row],[order_id]],Raw_orders!A:A, 0)), "Unknown")</f>
        <v>Baltics</v>
      </c>
      <c r="J2728" t="str">
        <f>PROPER(shipments[[#This Row],[delivery_status]])</f>
        <v>Delivered</v>
      </c>
      <c r="K2728" t="s">
        <v>6922</v>
      </c>
    </row>
    <row r="2729" spans="1:11">
      <c r="A2729" t="s">
        <v>9665</v>
      </c>
      <c r="B2729" t="s">
        <v>3465</v>
      </c>
      <c r="C2729" t="s">
        <v>6921</v>
      </c>
      <c r="D2729" s="1">
        <v>44972</v>
      </c>
      <c r="E2729" s="1">
        <v>44979</v>
      </c>
      <c r="F2729" s="1">
        <v>44987</v>
      </c>
      <c r="G2729">
        <v>57.31</v>
      </c>
      <c r="H27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29" t="str">
        <f>IFERROR(INDEX(Raw_orders!G:G, MATCH(shipments[[#This Row],[order_id]],Raw_orders!A:A, 0)), "Unknown")</f>
        <v>Nordics</v>
      </c>
      <c r="J2729" t="str">
        <f>PROPER(shipments[[#This Row],[delivery_status]])</f>
        <v>Delivered</v>
      </c>
      <c r="K2729" t="s">
        <v>6926</v>
      </c>
    </row>
    <row r="2730" spans="1:11">
      <c r="A2730" t="s">
        <v>9666</v>
      </c>
      <c r="B2730" t="s">
        <v>3466</v>
      </c>
      <c r="C2730" t="s">
        <v>6940</v>
      </c>
      <c r="D2730" s="1">
        <v>45457</v>
      </c>
      <c r="E2730" s="1">
        <v>45459</v>
      </c>
      <c r="F2730" s="1">
        <v>45460</v>
      </c>
      <c r="G2730">
        <v>25.23</v>
      </c>
      <c r="H27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30" t="str">
        <f>IFERROR(INDEX(Raw_orders!G:G, MATCH(shipments[[#This Row],[order_id]],Raw_orders!A:A, 0)), "Unknown")</f>
        <v>Nordics</v>
      </c>
      <c r="J2730" t="str">
        <f>PROPER(shipments[[#This Row],[delivery_status]])</f>
        <v>Delivered</v>
      </c>
      <c r="K2730" t="s">
        <v>6922</v>
      </c>
    </row>
    <row r="2731" spans="1:11">
      <c r="A2731" t="s">
        <v>9667</v>
      </c>
      <c r="B2731" t="s">
        <v>3467</v>
      </c>
      <c r="C2731" t="s">
        <v>6925</v>
      </c>
      <c r="D2731" s="1">
        <v>45393</v>
      </c>
      <c r="E2731" s="1">
        <v>45400</v>
      </c>
      <c r="F2731" s="1">
        <v>45408</v>
      </c>
      <c r="G2731">
        <v>29.73</v>
      </c>
      <c r="H27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31" t="str">
        <f>IFERROR(INDEX(Raw_orders!G:G, MATCH(shipments[[#This Row],[order_id]],Raw_orders!A:A, 0)), "Unknown")</f>
        <v>Baltics</v>
      </c>
      <c r="J2731" t="str">
        <f>PROPER(shipments[[#This Row],[delivery_status]])</f>
        <v>Delivered</v>
      </c>
      <c r="K2731" t="s">
        <v>6929</v>
      </c>
    </row>
    <row r="2732" spans="1:11">
      <c r="A2732" t="s">
        <v>9668</v>
      </c>
      <c r="B2732" t="s">
        <v>3468</v>
      </c>
      <c r="C2732" t="s">
        <v>6956</v>
      </c>
      <c r="D2732" s="1">
        <v>45551</v>
      </c>
      <c r="E2732" s="1">
        <v>45556</v>
      </c>
      <c r="F2732" s="1">
        <v>45560</v>
      </c>
      <c r="G2732">
        <v>37.729999999999997</v>
      </c>
      <c r="H27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32" t="str">
        <f>IFERROR(INDEX(Raw_orders!G:G, MATCH(shipments[[#This Row],[order_id]],Raw_orders!A:A, 0)), "Unknown")</f>
        <v>Central Europe</v>
      </c>
      <c r="J2732" t="str">
        <f>PROPER(shipments[[#This Row],[delivery_status]])</f>
        <v>Delivered</v>
      </c>
      <c r="K2732" t="s">
        <v>6926</v>
      </c>
    </row>
    <row r="2733" spans="1:11">
      <c r="A2733" t="s">
        <v>9669</v>
      </c>
      <c r="B2733" t="s">
        <v>3469</v>
      </c>
      <c r="C2733" t="s">
        <v>6938</v>
      </c>
      <c r="D2733" s="1">
        <v>45411</v>
      </c>
      <c r="E2733" s="1">
        <v>45416</v>
      </c>
      <c r="F2733" s="1">
        <v>45416</v>
      </c>
      <c r="G2733">
        <v>43.5</v>
      </c>
      <c r="H27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33" t="str">
        <f>IFERROR(INDEX(Raw_orders!G:G, MATCH(shipments[[#This Row],[order_id]],Raw_orders!A:A, 0)), "Unknown")</f>
        <v>Nordics</v>
      </c>
      <c r="J2733" t="str">
        <f>PROPER(shipments[[#This Row],[delivery_status]])</f>
        <v>Delivered</v>
      </c>
      <c r="K2733" t="s">
        <v>6929</v>
      </c>
    </row>
    <row r="2734" spans="1:11">
      <c r="A2734" t="s">
        <v>9670</v>
      </c>
      <c r="B2734" t="s">
        <v>3470</v>
      </c>
      <c r="C2734" t="s">
        <v>6928</v>
      </c>
      <c r="D2734" s="1">
        <v>45327</v>
      </c>
      <c r="E2734" s="1">
        <v>45330</v>
      </c>
      <c r="F2734" s="1">
        <v>45331</v>
      </c>
      <c r="G2734">
        <v>33.14</v>
      </c>
      <c r="H27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34" t="str">
        <f>IFERROR(INDEX(Raw_orders!G:G, MATCH(shipments[[#This Row],[order_id]],Raw_orders!A:A, 0)), "Unknown")</f>
        <v>Nordics</v>
      </c>
      <c r="J2734" t="str">
        <f>PROPER(shipments[[#This Row],[delivery_status]])</f>
        <v>Delivered</v>
      </c>
      <c r="K2734" t="s">
        <v>6929</v>
      </c>
    </row>
    <row r="2735" spans="1:11">
      <c r="A2735" t="s">
        <v>9671</v>
      </c>
      <c r="B2735" t="s">
        <v>3471</v>
      </c>
      <c r="C2735" t="s">
        <v>6931</v>
      </c>
      <c r="D2735" s="1">
        <v>45496</v>
      </c>
      <c r="E2735" s="1">
        <v>45499</v>
      </c>
      <c r="F2735" s="1">
        <v>45502</v>
      </c>
      <c r="G2735">
        <v>40.19</v>
      </c>
      <c r="H27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35" t="str">
        <f>IFERROR(INDEX(Raw_orders!G:G, MATCH(shipments[[#This Row],[order_id]],Raw_orders!A:A, 0)), "Unknown")</f>
        <v>Nordics</v>
      </c>
      <c r="J2735" t="str">
        <f>PROPER(shipments[[#This Row],[delivery_status]])</f>
        <v>Delivered</v>
      </c>
      <c r="K2735" t="s">
        <v>6929</v>
      </c>
    </row>
    <row r="2736" spans="1:11">
      <c r="A2736" t="s">
        <v>9672</v>
      </c>
      <c r="B2736" t="s">
        <v>3472</v>
      </c>
      <c r="C2736" t="s">
        <v>6938</v>
      </c>
      <c r="D2736" s="1">
        <v>45164</v>
      </c>
      <c r="E2736" s="1">
        <v>45171</v>
      </c>
      <c r="F2736" s="1">
        <v>45171</v>
      </c>
      <c r="G2736">
        <v>39.51</v>
      </c>
      <c r="H27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36" t="str">
        <f>IFERROR(INDEX(Raw_orders!G:G, MATCH(shipments[[#This Row],[order_id]],Raw_orders!A:A, 0)), "Unknown")</f>
        <v>Baltics</v>
      </c>
      <c r="J2736" t="str">
        <f>PROPER(shipments[[#This Row],[delivery_status]])</f>
        <v>Delivered</v>
      </c>
      <c r="K2736" t="s">
        <v>6922</v>
      </c>
    </row>
    <row r="2737" spans="1:11">
      <c r="A2737" t="s">
        <v>9673</v>
      </c>
      <c r="B2737" t="s">
        <v>3473</v>
      </c>
      <c r="C2737" t="s">
        <v>6938</v>
      </c>
      <c r="D2737" s="1">
        <v>45401</v>
      </c>
      <c r="E2737" s="1">
        <v>45406</v>
      </c>
      <c r="F2737" s="1">
        <v>45406</v>
      </c>
      <c r="H27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37" t="str">
        <f>IFERROR(INDEX(Raw_orders!G:G, MATCH(shipments[[#This Row],[order_id]],Raw_orders!A:A, 0)), "Unknown")</f>
        <v>Central Europe</v>
      </c>
      <c r="J2737" t="str">
        <f>PROPER(shipments[[#This Row],[delivery_status]])</f>
        <v>Delivered</v>
      </c>
      <c r="K2737" t="s">
        <v>6929</v>
      </c>
    </row>
    <row r="2738" spans="1:11">
      <c r="A2738" t="s">
        <v>9674</v>
      </c>
      <c r="B2738" t="s">
        <v>3474</v>
      </c>
      <c r="C2738" t="s">
        <v>6925</v>
      </c>
      <c r="D2738" s="1">
        <v>45268</v>
      </c>
      <c r="E2738" s="1">
        <v>45273</v>
      </c>
      <c r="F2738" s="1">
        <v>45274</v>
      </c>
      <c r="G2738">
        <v>7.6</v>
      </c>
      <c r="H27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38" t="str">
        <f>IFERROR(INDEX(Raw_orders!G:G, MATCH(shipments[[#This Row],[order_id]],Raw_orders!A:A, 0)), "Unknown")</f>
        <v>Baltics</v>
      </c>
      <c r="J2738" t="str">
        <f>PROPER(shipments[[#This Row],[delivery_status]])</f>
        <v>Delivered</v>
      </c>
      <c r="K2738" t="s">
        <v>6926</v>
      </c>
    </row>
    <row r="2739" spans="1:11">
      <c r="A2739" t="s">
        <v>9675</v>
      </c>
      <c r="B2739" t="s">
        <v>3475</v>
      </c>
      <c r="C2739" t="s">
        <v>6938</v>
      </c>
      <c r="D2739" s="1">
        <v>45022</v>
      </c>
      <c r="E2739" s="1">
        <v>45029</v>
      </c>
      <c r="F2739" s="1">
        <v>45033</v>
      </c>
      <c r="G2739">
        <v>43.11</v>
      </c>
      <c r="H27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39" t="str">
        <f>IFERROR(INDEX(Raw_orders!G:G, MATCH(shipments[[#This Row],[order_id]],Raw_orders!A:A, 0)), "Unknown")</f>
        <v>Central Europe</v>
      </c>
      <c r="J2739" t="str">
        <f>PROPER(shipments[[#This Row],[delivery_status]])</f>
        <v>Delivered</v>
      </c>
      <c r="K2739" t="s">
        <v>6926</v>
      </c>
    </row>
    <row r="2740" spans="1:11">
      <c r="A2740" t="s">
        <v>9676</v>
      </c>
      <c r="B2740" t="s">
        <v>3476</v>
      </c>
      <c r="C2740" t="s">
        <v>6928</v>
      </c>
      <c r="D2740" s="1">
        <v>45509</v>
      </c>
      <c r="E2740" s="1">
        <v>45516</v>
      </c>
      <c r="F2740" s="1">
        <v>45517</v>
      </c>
      <c r="G2740">
        <v>12.7</v>
      </c>
      <c r="H27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40" t="str">
        <f>IFERROR(INDEX(Raw_orders!G:G, MATCH(shipments[[#This Row],[order_id]],Raw_orders!A:A, 0)), "Unknown")</f>
        <v>Baltics</v>
      </c>
      <c r="J2740" t="str">
        <f>PROPER(shipments[[#This Row],[delivery_status]])</f>
        <v>Delivered</v>
      </c>
      <c r="K2740" t="s">
        <v>6922</v>
      </c>
    </row>
    <row r="2741" spans="1:11">
      <c r="A2741" t="s">
        <v>9677</v>
      </c>
      <c r="B2741" t="s">
        <v>3477</v>
      </c>
      <c r="C2741" t="s">
        <v>6931</v>
      </c>
      <c r="D2741" s="1">
        <v>45502</v>
      </c>
      <c r="E2741" s="1">
        <v>45512</v>
      </c>
      <c r="F2741" s="1">
        <v>45517</v>
      </c>
      <c r="G2741">
        <v>55.3</v>
      </c>
      <c r="H27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41" t="str">
        <f>IFERROR(INDEX(Raw_orders!G:G, MATCH(shipments[[#This Row],[order_id]],Raw_orders!A:A, 0)), "Unknown")</f>
        <v>Baltics</v>
      </c>
      <c r="J2741" t="str">
        <f>PROPER(shipments[[#This Row],[delivery_status]])</f>
        <v>Delivered</v>
      </c>
      <c r="K2741" t="s">
        <v>6929</v>
      </c>
    </row>
    <row r="2742" spans="1:11">
      <c r="A2742" t="s">
        <v>9678</v>
      </c>
      <c r="B2742" t="s">
        <v>3478</v>
      </c>
      <c r="C2742" t="s">
        <v>6921</v>
      </c>
      <c r="D2742" s="1">
        <v>45370</v>
      </c>
      <c r="E2742" s="1">
        <v>45380</v>
      </c>
      <c r="F2742" s="1">
        <v>45388</v>
      </c>
      <c r="G2742">
        <v>58.13</v>
      </c>
      <c r="H27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42" t="str">
        <f>IFERROR(INDEX(Raw_orders!G:G, MATCH(shipments[[#This Row],[order_id]],Raw_orders!A:A, 0)), "Unknown")</f>
        <v>Baltics</v>
      </c>
      <c r="J2742" t="str">
        <f>PROPER(shipments[[#This Row],[delivery_status]])</f>
        <v>Delivered</v>
      </c>
      <c r="K2742" t="s">
        <v>6922</v>
      </c>
    </row>
    <row r="2743" spans="1:11">
      <c r="A2743" t="s">
        <v>9679</v>
      </c>
      <c r="B2743" t="s">
        <v>3479</v>
      </c>
      <c r="C2743" t="s">
        <v>6921</v>
      </c>
      <c r="D2743" s="1">
        <v>45232</v>
      </c>
      <c r="E2743" s="1">
        <v>45242</v>
      </c>
      <c r="F2743" s="1">
        <v>45242</v>
      </c>
      <c r="G2743">
        <v>51.45</v>
      </c>
      <c r="H27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43" t="str">
        <f>IFERROR(INDEX(Raw_orders!G:G, MATCH(shipments[[#This Row],[order_id]],Raw_orders!A:A, 0)), "Unknown")</f>
        <v>Central Europe</v>
      </c>
      <c r="J2743" t="str">
        <f>PROPER(shipments[[#This Row],[delivery_status]])</f>
        <v>Delivered</v>
      </c>
      <c r="K2743" t="s">
        <v>6929</v>
      </c>
    </row>
    <row r="2744" spans="1:11">
      <c r="A2744" t="s">
        <v>9680</v>
      </c>
      <c r="B2744" t="s">
        <v>3480</v>
      </c>
      <c r="C2744" t="s">
        <v>6931</v>
      </c>
      <c r="D2744" s="1">
        <v>45471</v>
      </c>
      <c r="E2744" s="1">
        <v>45478</v>
      </c>
      <c r="F2744" s="1"/>
      <c r="G2744">
        <v>5.0999999999999996</v>
      </c>
      <c r="H27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744" t="str">
        <f>IFERROR(INDEX(Raw_orders!G:G, MATCH(shipments[[#This Row],[order_id]],Raw_orders!A:A, 0)), "Unknown")</f>
        <v>Nordics</v>
      </c>
      <c r="J2744" t="str">
        <f>PROPER(shipments[[#This Row],[delivery_status]])</f>
        <v>Cancelled</v>
      </c>
      <c r="K2744" t="s">
        <v>6963</v>
      </c>
    </row>
    <row r="2745" spans="1:11">
      <c r="A2745" t="s">
        <v>9681</v>
      </c>
      <c r="B2745" t="s">
        <v>3481</v>
      </c>
      <c r="C2745" t="s">
        <v>6925</v>
      </c>
      <c r="D2745" s="1">
        <v>45624</v>
      </c>
      <c r="E2745" s="1">
        <v>45629</v>
      </c>
      <c r="F2745" s="1">
        <v>45631</v>
      </c>
      <c r="G2745">
        <v>35.5</v>
      </c>
      <c r="H27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45" t="str">
        <f>IFERROR(INDEX(Raw_orders!G:G, MATCH(shipments[[#This Row],[order_id]],Raw_orders!A:A, 0)), "Unknown")</f>
        <v>Central Europe</v>
      </c>
      <c r="J2745" t="str">
        <f>PROPER(shipments[[#This Row],[delivery_status]])</f>
        <v>Delivered</v>
      </c>
      <c r="K2745" t="s">
        <v>6929</v>
      </c>
    </row>
    <row r="2746" spans="1:11">
      <c r="A2746" t="s">
        <v>9682</v>
      </c>
      <c r="B2746" t="s">
        <v>3482</v>
      </c>
      <c r="C2746" t="s">
        <v>6940</v>
      </c>
      <c r="D2746" s="1">
        <v>45414</v>
      </c>
      <c r="E2746" s="1">
        <v>45417</v>
      </c>
      <c r="F2746" s="1">
        <v>45428</v>
      </c>
      <c r="G2746">
        <v>18.91</v>
      </c>
      <c r="H27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46" t="str">
        <f>IFERROR(INDEX(Raw_orders!G:G, MATCH(shipments[[#This Row],[order_id]],Raw_orders!A:A, 0)), "Unknown")</f>
        <v>Central Europe</v>
      </c>
      <c r="J2746" t="str">
        <f>PROPER(shipments[[#This Row],[delivery_status]])</f>
        <v>Delivered</v>
      </c>
      <c r="K2746" t="s">
        <v>6929</v>
      </c>
    </row>
    <row r="2747" spans="1:11">
      <c r="A2747" t="s">
        <v>9683</v>
      </c>
      <c r="B2747" t="s">
        <v>3482</v>
      </c>
      <c r="C2747" t="s">
        <v>6935</v>
      </c>
      <c r="D2747" s="1">
        <v>45417</v>
      </c>
      <c r="E2747" s="1">
        <v>45420</v>
      </c>
      <c r="F2747" s="1">
        <v>45421</v>
      </c>
      <c r="G2747">
        <v>19.57</v>
      </c>
      <c r="H27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47" t="str">
        <f>IFERROR(INDEX(Raw_orders!G:G, MATCH(shipments[[#This Row],[order_id]],Raw_orders!A:A, 0)), "Unknown")</f>
        <v>Central Europe</v>
      </c>
      <c r="J2747" t="str">
        <f>PROPER(shipments[[#This Row],[delivery_status]])</f>
        <v>Delivered</v>
      </c>
      <c r="K2747" t="s">
        <v>6922</v>
      </c>
    </row>
    <row r="2748" spans="1:11">
      <c r="A2748" t="s">
        <v>9684</v>
      </c>
      <c r="B2748" t="s">
        <v>3483</v>
      </c>
      <c r="C2748" t="s">
        <v>6928</v>
      </c>
      <c r="D2748" s="1">
        <v>45447</v>
      </c>
      <c r="E2748" s="1">
        <v>45450</v>
      </c>
      <c r="F2748" s="1">
        <v>45450</v>
      </c>
      <c r="G2748">
        <v>44.21</v>
      </c>
      <c r="H27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48" t="str">
        <f>IFERROR(INDEX(Raw_orders!G:G, MATCH(shipments[[#This Row],[order_id]],Raw_orders!A:A, 0)), "Unknown")</f>
        <v>Central Europe</v>
      </c>
      <c r="J2748" t="str">
        <f>PROPER(shipments[[#This Row],[delivery_status]])</f>
        <v>Delivered</v>
      </c>
      <c r="K2748" t="s">
        <v>6926</v>
      </c>
    </row>
    <row r="2749" spans="1:11">
      <c r="A2749" t="s">
        <v>9685</v>
      </c>
      <c r="B2749" t="s">
        <v>3484</v>
      </c>
      <c r="C2749" t="s">
        <v>6931</v>
      </c>
      <c r="D2749" s="1">
        <v>45594</v>
      </c>
      <c r="E2749" s="1">
        <v>45604</v>
      </c>
      <c r="F2749" s="1">
        <v>45604</v>
      </c>
      <c r="G2749">
        <v>44.17</v>
      </c>
      <c r="H27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49" t="str">
        <f>IFERROR(INDEX(Raw_orders!G:G, MATCH(shipments[[#This Row],[order_id]],Raw_orders!A:A, 0)), "Unknown")</f>
        <v>Baltics</v>
      </c>
      <c r="J2749" t="str">
        <f>PROPER(shipments[[#This Row],[delivery_status]])</f>
        <v>Delivered</v>
      </c>
      <c r="K2749" t="s">
        <v>6929</v>
      </c>
    </row>
    <row r="2750" spans="1:11">
      <c r="A2750" t="s">
        <v>9686</v>
      </c>
      <c r="B2750" t="s">
        <v>3485</v>
      </c>
      <c r="C2750" t="s">
        <v>6921</v>
      </c>
      <c r="D2750" s="1">
        <v>45197</v>
      </c>
      <c r="E2750" s="1">
        <v>45204</v>
      </c>
      <c r="F2750" s="1">
        <v>45207</v>
      </c>
      <c r="G2750">
        <v>49.64</v>
      </c>
      <c r="H27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50" t="str">
        <f>IFERROR(INDEX(Raw_orders!G:G, MATCH(shipments[[#This Row],[order_id]],Raw_orders!A:A, 0)), "Unknown")</f>
        <v>Nordics</v>
      </c>
      <c r="J2750" t="str">
        <f>PROPER(shipments[[#This Row],[delivery_status]])</f>
        <v>Delivered</v>
      </c>
      <c r="K2750" t="s">
        <v>6926</v>
      </c>
    </row>
    <row r="2751" spans="1:11">
      <c r="A2751" t="s">
        <v>9687</v>
      </c>
      <c r="B2751" t="s">
        <v>3486</v>
      </c>
      <c r="C2751" t="s">
        <v>6931</v>
      </c>
      <c r="D2751" s="1">
        <v>45294</v>
      </c>
      <c r="E2751" s="1">
        <v>45299</v>
      </c>
      <c r="F2751" s="1">
        <v>45298</v>
      </c>
      <c r="G2751">
        <v>54.77</v>
      </c>
      <c r="H27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51" t="str">
        <f>IFERROR(INDEX(Raw_orders!G:G, MATCH(shipments[[#This Row],[order_id]],Raw_orders!A:A, 0)), "Unknown")</f>
        <v>Central Europe</v>
      </c>
      <c r="J2751" t="str">
        <f>PROPER(shipments[[#This Row],[delivery_status]])</f>
        <v>Delivered</v>
      </c>
      <c r="K2751" t="s">
        <v>6929</v>
      </c>
    </row>
    <row r="2752" spans="1:11">
      <c r="A2752" t="s">
        <v>9688</v>
      </c>
      <c r="B2752" t="s">
        <v>3487</v>
      </c>
      <c r="C2752" t="s">
        <v>6935</v>
      </c>
      <c r="D2752" s="1">
        <v>45591</v>
      </c>
      <c r="E2752" s="1">
        <v>45601</v>
      </c>
      <c r="F2752" s="1">
        <v>45603</v>
      </c>
      <c r="G2752">
        <v>28.17</v>
      </c>
      <c r="H27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52" t="str">
        <f>IFERROR(INDEX(Raw_orders!G:G, MATCH(shipments[[#This Row],[order_id]],Raw_orders!A:A, 0)), "Unknown")</f>
        <v>Central Europe</v>
      </c>
      <c r="J2752" t="str">
        <f>PROPER(shipments[[#This Row],[delivery_status]])</f>
        <v>Delivered</v>
      </c>
      <c r="K2752" t="s">
        <v>6929</v>
      </c>
    </row>
    <row r="2753" spans="1:11">
      <c r="A2753" t="s">
        <v>9689</v>
      </c>
      <c r="B2753" t="s">
        <v>3488</v>
      </c>
      <c r="C2753" t="s">
        <v>6935</v>
      </c>
      <c r="D2753" s="1">
        <v>44978</v>
      </c>
      <c r="E2753" s="1">
        <v>44981</v>
      </c>
      <c r="F2753" s="1">
        <v>44981</v>
      </c>
      <c r="G2753">
        <v>25.97</v>
      </c>
      <c r="H27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53" t="str">
        <f>IFERROR(INDEX(Raw_orders!G:G, MATCH(shipments[[#This Row],[order_id]],Raw_orders!A:A, 0)), "Unknown")</f>
        <v>Nordics</v>
      </c>
      <c r="J2753" t="str">
        <f>PROPER(shipments[[#This Row],[delivery_status]])</f>
        <v>Delivered</v>
      </c>
      <c r="K2753" t="s">
        <v>6926</v>
      </c>
    </row>
    <row r="2754" spans="1:11">
      <c r="A2754" t="s">
        <v>9690</v>
      </c>
      <c r="B2754" t="s">
        <v>3489</v>
      </c>
      <c r="C2754" t="s">
        <v>6935</v>
      </c>
      <c r="D2754" s="1">
        <v>45389</v>
      </c>
      <c r="E2754" s="1">
        <v>45391</v>
      </c>
      <c r="F2754" s="1">
        <v>45394</v>
      </c>
      <c r="G2754">
        <v>22.12</v>
      </c>
      <c r="H27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54" t="str">
        <f>IFERROR(INDEX(Raw_orders!G:G, MATCH(shipments[[#This Row],[order_id]],Raw_orders!A:A, 0)), "Unknown")</f>
        <v>Nordics</v>
      </c>
      <c r="J2754" t="str">
        <f>PROPER(shipments[[#This Row],[delivery_status]])</f>
        <v>Delivered</v>
      </c>
      <c r="K2754" t="s">
        <v>6922</v>
      </c>
    </row>
    <row r="2755" spans="1:11">
      <c r="A2755" t="s">
        <v>9691</v>
      </c>
      <c r="B2755" t="s">
        <v>3490</v>
      </c>
      <c r="C2755" t="s">
        <v>6928</v>
      </c>
      <c r="D2755" s="1">
        <v>45352</v>
      </c>
      <c r="E2755" s="1">
        <v>45359</v>
      </c>
      <c r="F2755" s="1">
        <v>45359</v>
      </c>
      <c r="G2755">
        <v>13.41</v>
      </c>
      <c r="H27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55" t="str">
        <f>IFERROR(INDEX(Raw_orders!G:G, MATCH(shipments[[#This Row],[order_id]],Raw_orders!A:A, 0)), "Unknown")</f>
        <v>Baltics</v>
      </c>
      <c r="J2755" t="str">
        <f>PROPER(shipments[[#This Row],[delivery_status]])</f>
        <v>Delivered</v>
      </c>
      <c r="K2755" t="s">
        <v>6922</v>
      </c>
    </row>
    <row r="2756" spans="1:11">
      <c r="A2756" t="s">
        <v>9692</v>
      </c>
      <c r="B2756" t="s">
        <v>3491</v>
      </c>
      <c r="C2756" t="s">
        <v>6956</v>
      </c>
      <c r="D2756" s="1">
        <v>45618</v>
      </c>
      <c r="E2756" s="1">
        <v>45625</v>
      </c>
      <c r="F2756" s="1">
        <v>45628</v>
      </c>
      <c r="G2756">
        <v>46.96</v>
      </c>
      <c r="H27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56" t="str">
        <f>IFERROR(INDEX(Raw_orders!G:G, MATCH(shipments[[#This Row],[order_id]],Raw_orders!A:A, 0)), "Unknown")</f>
        <v>Baltics</v>
      </c>
      <c r="J2756" t="str">
        <f>PROPER(shipments[[#This Row],[delivery_status]])</f>
        <v>Delivered</v>
      </c>
      <c r="K2756" t="s">
        <v>6926</v>
      </c>
    </row>
    <row r="2757" spans="1:11">
      <c r="A2757" t="s">
        <v>9693</v>
      </c>
      <c r="B2757" t="s">
        <v>3492</v>
      </c>
      <c r="C2757" t="s">
        <v>6928</v>
      </c>
      <c r="D2757" s="1">
        <v>45548</v>
      </c>
      <c r="E2757" s="1">
        <v>45555</v>
      </c>
      <c r="F2757" s="1">
        <v>45558</v>
      </c>
      <c r="G2757">
        <v>56.69</v>
      </c>
      <c r="H27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57" t="str">
        <f>IFERROR(INDEX(Raw_orders!G:G, MATCH(shipments[[#This Row],[order_id]],Raw_orders!A:A, 0)), "Unknown")</f>
        <v>Central Europe</v>
      </c>
      <c r="J2757" t="str">
        <f>PROPER(shipments[[#This Row],[delivery_status]])</f>
        <v>Delivered</v>
      </c>
      <c r="K2757" t="s">
        <v>6922</v>
      </c>
    </row>
    <row r="2758" spans="1:11">
      <c r="A2758" t="s">
        <v>9694</v>
      </c>
      <c r="B2758" t="s">
        <v>3493</v>
      </c>
      <c r="C2758" t="s">
        <v>6949</v>
      </c>
      <c r="D2758" s="1">
        <v>45583</v>
      </c>
      <c r="E2758" s="1">
        <v>45586</v>
      </c>
      <c r="F2758" s="1">
        <v>45586</v>
      </c>
      <c r="H27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58" t="str">
        <f>IFERROR(INDEX(Raw_orders!G:G, MATCH(shipments[[#This Row],[order_id]],Raw_orders!A:A, 0)), "Unknown")</f>
        <v>Nordics</v>
      </c>
      <c r="J2758" t="str">
        <f>PROPER(shipments[[#This Row],[delivery_status]])</f>
        <v>Delivered</v>
      </c>
      <c r="K2758" t="s">
        <v>6922</v>
      </c>
    </row>
    <row r="2759" spans="1:11">
      <c r="A2759" t="s">
        <v>9695</v>
      </c>
      <c r="B2759" t="s">
        <v>3494</v>
      </c>
      <c r="C2759" t="s">
        <v>6938</v>
      </c>
      <c r="D2759" s="1">
        <v>45263</v>
      </c>
      <c r="E2759" s="1">
        <v>45268</v>
      </c>
      <c r="F2759" s="1">
        <v>45278</v>
      </c>
      <c r="G2759">
        <v>36.08</v>
      </c>
      <c r="H27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59" t="str">
        <f>IFERROR(INDEX(Raw_orders!G:G, MATCH(shipments[[#This Row],[order_id]],Raw_orders!A:A, 0)), "Unknown")</f>
        <v>Unknown</v>
      </c>
      <c r="J2759" t="str">
        <f>PROPER(shipments[[#This Row],[delivery_status]])</f>
        <v>Delivered</v>
      </c>
      <c r="K2759" t="s">
        <v>6922</v>
      </c>
    </row>
    <row r="2760" spans="1:11">
      <c r="A2760" t="s">
        <v>9696</v>
      </c>
      <c r="B2760" t="s">
        <v>3495</v>
      </c>
      <c r="C2760" t="s">
        <v>6938</v>
      </c>
      <c r="D2760" s="1">
        <v>45173</v>
      </c>
      <c r="E2760" s="1">
        <v>45176</v>
      </c>
      <c r="F2760" s="1">
        <v>45188</v>
      </c>
      <c r="G2760">
        <v>51.19</v>
      </c>
      <c r="H27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60" t="str">
        <f>IFERROR(INDEX(Raw_orders!G:G, MATCH(shipments[[#This Row],[order_id]],Raw_orders!A:A, 0)), "Unknown")</f>
        <v>Nordics</v>
      </c>
      <c r="J2760" t="str">
        <f>PROPER(shipments[[#This Row],[delivery_status]])</f>
        <v>Delivered</v>
      </c>
      <c r="K2760" t="s">
        <v>6929</v>
      </c>
    </row>
    <row r="2761" spans="1:11">
      <c r="A2761" t="s">
        <v>9697</v>
      </c>
      <c r="B2761" t="s">
        <v>3496</v>
      </c>
      <c r="C2761" t="s">
        <v>6938</v>
      </c>
      <c r="D2761" s="1">
        <v>44975</v>
      </c>
      <c r="E2761" s="1">
        <v>44977</v>
      </c>
      <c r="F2761" s="1">
        <v>44977</v>
      </c>
      <c r="G2761">
        <v>18.29</v>
      </c>
      <c r="H27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61" t="str">
        <f>IFERROR(INDEX(Raw_orders!G:G, MATCH(shipments[[#This Row],[order_id]],Raw_orders!A:A, 0)), "Unknown")</f>
        <v>Baltics</v>
      </c>
      <c r="J2761" t="str">
        <f>PROPER(shipments[[#This Row],[delivery_status]])</f>
        <v>Delivered</v>
      </c>
      <c r="K2761" t="s">
        <v>6929</v>
      </c>
    </row>
    <row r="2762" spans="1:11">
      <c r="A2762" t="s">
        <v>9698</v>
      </c>
      <c r="B2762" t="s">
        <v>3496</v>
      </c>
      <c r="C2762" t="s">
        <v>6938</v>
      </c>
      <c r="D2762" s="1">
        <v>44973</v>
      </c>
      <c r="E2762" s="1">
        <v>44978</v>
      </c>
      <c r="F2762" s="1">
        <v>44981</v>
      </c>
      <c r="G2762">
        <v>17.96</v>
      </c>
      <c r="H27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62" t="str">
        <f>IFERROR(INDEX(Raw_orders!G:G, MATCH(shipments[[#This Row],[order_id]],Raw_orders!A:A, 0)), "Unknown")</f>
        <v>Baltics</v>
      </c>
      <c r="J2762" t="str">
        <f>PROPER(shipments[[#This Row],[delivery_status]])</f>
        <v>Delivered</v>
      </c>
      <c r="K2762" t="s">
        <v>6926</v>
      </c>
    </row>
    <row r="2763" spans="1:11">
      <c r="A2763" t="s">
        <v>9699</v>
      </c>
      <c r="B2763" t="s">
        <v>3497</v>
      </c>
      <c r="C2763" t="s">
        <v>6956</v>
      </c>
      <c r="D2763" s="1">
        <v>44997</v>
      </c>
      <c r="E2763" s="1">
        <v>45002</v>
      </c>
      <c r="F2763" s="1">
        <v>45002</v>
      </c>
      <c r="G2763">
        <v>33.270000000000003</v>
      </c>
      <c r="H27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63" t="str">
        <f>IFERROR(INDEX(Raw_orders!G:G, MATCH(shipments[[#This Row],[order_id]],Raw_orders!A:A, 0)), "Unknown")</f>
        <v>Baltics</v>
      </c>
      <c r="J2763" t="str">
        <f>PROPER(shipments[[#This Row],[delivery_status]])</f>
        <v>Delivered</v>
      </c>
      <c r="K2763" t="s">
        <v>6922</v>
      </c>
    </row>
    <row r="2764" spans="1:11">
      <c r="A2764" t="s">
        <v>9700</v>
      </c>
      <c r="B2764" t="s">
        <v>3497</v>
      </c>
      <c r="C2764" t="s">
        <v>6925</v>
      </c>
      <c r="D2764" s="1">
        <v>45000</v>
      </c>
      <c r="E2764" s="1">
        <v>45005</v>
      </c>
      <c r="F2764" s="1"/>
      <c r="G2764">
        <v>4.7</v>
      </c>
      <c r="H27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764" t="str">
        <f>IFERROR(INDEX(Raw_orders!G:G, MATCH(shipments[[#This Row],[order_id]],Raw_orders!A:A, 0)), "Unknown")</f>
        <v>Baltics</v>
      </c>
      <c r="J2764" t="str">
        <f>PROPER(shipments[[#This Row],[delivery_status]])</f>
        <v>Cancelled</v>
      </c>
      <c r="K2764" t="s">
        <v>6963</v>
      </c>
    </row>
    <row r="2765" spans="1:11">
      <c r="A2765" t="s">
        <v>9701</v>
      </c>
      <c r="B2765" t="s">
        <v>3498</v>
      </c>
      <c r="C2765" t="s">
        <v>6928</v>
      </c>
      <c r="D2765" s="1">
        <v>44953</v>
      </c>
      <c r="E2765" s="1">
        <v>44956</v>
      </c>
      <c r="F2765" s="1">
        <v>44959</v>
      </c>
      <c r="G2765">
        <v>36.28</v>
      </c>
      <c r="H27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65" t="str">
        <f>IFERROR(INDEX(Raw_orders!G:G, MATCH(shipments[[#This Row],[order_id]],Raw_orders!A:A, 0)), "Unknown")</f>
        <v>Central Europe</v>
      </c>
      <c r="J2765" t="str">
        <f>PROPER(shipments[[#This Row],[delivery_status]])</f>
        <v>Delivered</v>
      </c>
      <c r="K2765" t="s">
        <v>6922</v>
      </c>
    </row>
    <row r="2766" spans="1:11">
      <c r="A2766" t="s">
        <v>9702</v>
      </c>
      <c r="B2766" t="s">
        <v>3499</v>
      </c>
      <c r="C2766" t="s">
        <v>6925</v>
      </c>
      <c r="D2766" s="1">
        <v>44962</v>
      </c>
      <c r="E2766" s="1">
        <v>44969</v>
      </c>
      <c r="F2766" s="1">
        <v>44972</v>
      </c>
      <c r="G2766">
        <v>42.8</v>
      </c>
      <c r="H27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66" t="str">
        <f>IFERROR(INDEX(Raw_orders!G:G, MATCH(shipments[[#This Row],[order_id]],Raw_orders!A:A, 0)), "Unknown")</f>
        <v>Central Europe</v>
      </c>
      <c r="J2766" t="str">
        <f>PROPER(shipments[[#This Row],[delivery_status]])</f>
        <v>Delivered</v>
      </c>
      <c r="K2766" t="s">
        <v>6926</v>
      </c>
    </row>
    <row r="2767" spans="1:11">
      <c r="A2767" t="s">
        <v>9703</v>
      </c>
      <c r="B2767" t="s">
        <v>3500</v>
      </c>
      <c r="C2767" t="s">
        <v>6931</v>
      </c>
      <c r="D2767" s="1">
        <v>45242</v>
      </c>
      <c r="E2767" s="1">
        <v>45249</v>
      </c>
      <c r="F2767" s="1">
        <v>45249</v>
      </c>
      <c r="G2767">
        <v>34.880000000000003</v>
      </c>
      <c r="H27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67" t="str">
        <f>IFERROR(INDEX(Raw_orders!G:G, MATCH(shipments[[#This Row],[order_id]],Raw_orders!A:A, 0)), "Unknown")</f>
        <v>Baltics</v>
      </c>
      <c r="J2767" t="str">
        <f>PROPER(shipments[[#This Row],[delivery_status]])</f>
        <v>Delivered</v>
      </c>
      <c r="K2767" t="s">
        <v>6922</v>
      </c>
    </row>
    <row r="2768" spans="1:11">
      <c r="A2768" t="s">
        <v>9704</v>
      </c>
      <c r="B2768" t="s">
        <v>3501</v>
      </c>
      <c r="C2768" t="s">
        <v>6935</v>
      </c>
      <c r="D2768" s="1">
        <v>44984</v>
      </c>
      <c r="E2768" s="1">
        <v>44994</v>
      </c>
      <c r="F2768" s="1">
        <v>44996</v>
      </c>
      <c r="G2768">
        <v>32.200000000000003</v>
      </c>
      <c r="H27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68" t="str">
        <f>IFERROR(INDEX(Raw_orders!G:G, MATCH(shipments[[#This Row],[order_id]],Raw_orders!A:A, 0)), "Unknown")</f>
        <v>Baltics</v>
      </c>
      <c r="J2768" t="str">
        <f>PROPER(shipments[[#This Row],[delivery_status]])</f>
        <v>Delivered</v>
      </c>
      <c r="K2768" t="s">
        <v>6926</v>
      </c>
    </row>
    <row r="2769" spans="1:11">
      <c r="A2769" t="s">
        <v>9705</v>
      </c>
      <c r="B2769" t="s">
        <v>3502</v>
      </c>
      <c r="C2769" t="s">
        <v>6940</v>
      </c>
      <c r="D2769" s="1">
        <v>45050</v>
      </c>
      <c r="E2769" s="1">
        <v>45055</v>
      </c>
      <c r="F2769" s="1"/>
      <c r="G2769">
        <v>43.48</v>
      </c>
      <c r="H27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769" t="str">
        <f>IFERROR(INDEX(Raw_orders!G:G, MATCH(shipments[[#This Row],[order_id]],Raw_orders!A:A, 0)), "Unknown")</f>
        <v>Nordics</v>
      </c>
      <c r="J2769" t="str">
        <f>PROPER(shipments[[#This Row],[delivery_status]])</f>
        <v>In Transit</v>
      </c>
      <c r="K2769" t="s">
        <v>6946</v>
      </c>
    </row>
    <row r="2770" spans="1:11">
      <c r="A2770" t="s">
        <v>9706</v>
      </c>
      <c r="B2770" t="s">
        <v>3503</v>
      </c>
      <c r="C2770" t="s">
        <v>6935</v>
      </c>
      <c r="D2770" s="1">
        <v>45262</v>
      </c>
      <c r="E2770" s="1">
        <v>45264</v>
      </c>
      <c r="F2770" s="1">
        <v>45265</v>
      </c>
      <c r="G2770">
        <v>41.95</v>
      </c>
      <c r="H27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70" t="str">
        <f>IFERROR(INDEX(Raw_orders!G:G, MATCH(shipments[[#This Row],[order_id]],Raw_orders!A:A, 0)), "Unknown")</f>
        <v>Central Europe</v>
      </c>
      <c r="J2770" t="str">
        <f>PROPER(shipments[[#This Row],[delivery_status]])</f>
        <v>Delivered</v>
      </c>
      <c r="K2770" t="s">
        <v>6929</v>
      </c>
    </row>
    <row r="2771" spans="1:11">
      <c r="A2771" t="s">
        <v>9707</v>
      </c>
      <c r="B2771" t="s">
        <v>3504</v>
      </c>
      <c r="C2771" t="s">
        <v>6931</v>
      </c>
      <c r="D2771" s="1">
        <v>45479</v>
      </c>
      <c r="E2771" s="1">
        <v>45489</v>
      </c>
      <c r="F2771" s="1">
        <v>45494</v>
      </c>
      <c r="G2771">
        <v>62.52</v>
      </c>
      <c r="H27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71" t="str">
        <f>IFERROR(INDEX(Raw_orders!G:G, MATCH(shipments[[#This Row],[order_id]],Raw_orders!A:A, 0)), "Unknown")</f>
        <v>Nordics</v>
      </c>
      <c r="J2771" t="str">
        <f>PROPER(shipments[[#This Row],[delivery_status]])</f>
        <v>Delivered</v>
      </c>
      <c r="K2771" t="s">
        <v>6922</v>
      </c>
    </row>
    <row r="2772" spans="1:11">
      <c r="A2772" t="s">
        <v>9708</v>
      </c>
      <c r="B2772" t="s">
        <v>3504</v>
      </c>
      <c r="C2772" t="s">
        <v>6938</v>
      </c>
      <c r="D2772" s="1">
        <v>45481</v>
      </c>
      <c r="E2772" s="1">
        <v>45486</v>
      </c>
      <c r="F2772" s="1">
        <v>45494</v>
      </c>
      <c r="G2772">
        <v>56.17</v>
      </c>
      <c r="H27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72" t="str">
        <f>IFERROR(INDEX(Raw_orders!G:G, MATCH(shipments[[#This Row],[order_id]],Raw_orders!A:A, 0)), "Unknown")</f>
        <v>Nordics</v>
      </c>
      <c r="J2772" t="str">
        <f>PROPER(shipments[[#This Row],[delivery_status]])</f>
        <v>Delivered</v>
      </c>
      <c r="K2772" t="s">
        <v>6922</v>
      </c>
    </row>
    <row r="2773" spans="1:11">
      <c r="A2773" t="s">
        <v>9709</v>
      </c>
      <c r="B2773" t="s">
        <v>3505</v>
      </c>
      <c r="C2773" t="s">
        <v>6931</v>
      </c>
      <c r="D2773" s="1">
        <v>45006</v>
      </c>
      <c r="E2773" s="1">
        <v>45009</v>
      </c>
      <c r="F2773" s="1">
        <v>45009</v>
      </c>
      <c r="G2773">
        <v>39.9</v>
      </c>
      <c r="H27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73" t="str">
        <f>IFERROR(INDEX(Raw_orders!G:G, MATCH(shipments[[#This Row],[order_id]],Raw_orders!A:A, 0)), "Unknown")</f>
        <v>Baltics</v>
      </c>
      <c r="J2773" t="str">
        <f>PROPER(shipments[[#This Row],[delivery_status]])</f>
        <v>Delivered</v>
      </c>
      <c r="K2773" t="s">
        <v>6926</v>
      </c>
    </row>
    <row r="2774" spans="1:11">
      <c r="A2774" t="s">
        <v>9710</v>
      </c>
      <c r="B2774" t="s">
        <v>3506</v>
      </c>
      <c r="C2774" t="s">
        <v>6925</v>
      </c>
      <c r="D2774" s="1">
        <v>45435</v>
      </c>
      <c r="E2774" s="1">
        <v>45445</v>
      </c>
      <c r="F2774" s="1">
        <v>45451</v>
      </c>
      <c r="G2774">
        <v>59.31</v>
      </c>
      <c r="H27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74" t="str">
        <f>IFERROR(INDEX(Raw_orders!G:G, MATCH(shipments[[#This Row],[order_id]],Raw_orders!A:A, 0)), "Unknown")</f>
        <v>Baltics</v>
      </c>
      <c r="J2774" t="str">
        <f>PROPER(shipments[[#This Row],[delivery_status]])</f>
        <v>Delivered</v>
      </c>
      <c r="K2774" t="s">
        <v>6929</v>
      </c>
    </row>
    <row r="2775" spans="1:11">
      <c r="A2775" t="s">
        <v>9711</v>
      </c>
      <c r="B2775" t="s">
        <v>3506</v>
      </c>
      <c r="C2775" t="s">
        <v>6938</v>
      </c>
      <c r="D2775" s="1">
        <v>45438</v>
      </c>
      <c r="E2775" s="1">
        <v>45443</v>
      </c>
      <c r="F2775" s="1">
        <v>45443</v>
      </c>
      <c r="G2775">
        <v>56.81</v>
      </c>
      <c r="H27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75" t="str">
        <f>IFERROR(INDEX(Raw_orders!G:G, MATCH(shipments[[#This Row],[order_id]],Raw_orders!A:A, 0)), "Unknown")</f>
        <v>Baltics</v>
      </c>
      <c r="J2775" t="str">
        <f>PROPER(shipments[[#This Row],[delivery_status]])</f>
        <v>Delivered</v>
      </c>
      <c r="K2775" t="s">
        <v>6922</v>
      </c>
    </row>
    <row r="2776" spans="1:11">
      <c r="A2776" t="s">
        <v>9712</v>
      </c>
      <c r="B2776" t="s">
        <v>3507</v>
      </c>
      <c r="C2776" t="s">
        <v>6931</v>
      </c>
      <c r="D2776" s="1">
        <v>45276</v>
      </c>
      <c r="E2776" s="1">
        <v>45279</v>
      </c>
      <c r="F2776" s="1">
        <v>45279</v>
      </c>
      <c r="G2776">
        <v>45.32</v>
      </c>
      <c r="H27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76" t="str">
        <f>IFERROR(INDEX(Raw_orders!G:G, MATCH(shipments[[#This Row],[order_id]],Raw_orders!A:A, 0)), "Unknown")</f>
        <v>Central Europe</v>
      </c>
      <c r="J2776" t="str">
        <f>PROPER(shipments[[#This Row],[delivery_status]])</f>
        <v>Delivered</v>
      </c>
      <c r="K2776" t="s">
        <v>6929</v>
      </c>
    </row>
    <row r="2777" spans="1:11">
      <c r="A2777" t="s">
        <v>9713</v>
      </c>
      <c r="B2777" t="s">
        <v>3508</v>
      </c>
      <c r="C2777" t="s">
        <v>6931</v>
      </c>
      <c r="D2777" s="1">
        <v>45281</v>
      </c>
      <c r="E2777" s="1">
        <v>45288</v>
      </c>
      <c r="F2777" s="1">
        <v>45300</v>
      </c>
      <c r="G2777">
        <v>35.85</v>
      </c>
      <c r="H27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77" t="str">
        <f>IFERROR(INDEX(Raw_orders!G:G, MATCH(shipments[[#This Row],[order_id]],Raw_orders!A:A, 0)), "Unknown")</f>
        <v>Baltics</v>
      </c>
      <c r="J2777" t="str">
        <f>PROPER(shipments[[#This Row],[delivery_status]])</f>
        <v>Delivered</v>
      </c>
      <c r="K2777" t="s">
        <v>6926</v>
      </c>
    </row>
    <row r="2778" spans="1:11">
      <c r="A2778" t="s">
        <v>9714</v>
      </c>
      <c r="B2778" t="s">
        <v>3509</v>
      </c>
      <c r="C2778" t="s">
        <v>6956</v>
      </c>
      <c r="D2778" s="1">
        <v>44959</v>
      </c>
      <c r="E2778" s="1">
        <v>44966</v>
      </c>
      <c r="F2778" s="1">
        <v>44966</v>
      </c>
      <c r="G2778">
        <v>53.53</v>
      </c>
      <c r="H27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78" t="str">
        <f>IFERROR(INDEX(Raw_orders!G:G, MATCH(shipments[[#This Row],[order_id]],Raw_orders!A:A, 0)), "Unknown")</f>
        <v>Central Europe</v>
      </c>
      <c r="J2778" t="str">
        <f>PROPER(shipments[[#This Row],[delivery_status]])</f>
        <v>Delivered</v>
      </c>
      <c r="K2778" t="s">
        <v>6929</v>
      </c>
    </row>
    <row r="2779" spans="1:11">
      <c r="A2779" t="s">
        <v>9715</v>
      </c>
      <c r="B2779" t="s">
        <v>3510</v>
      </c>
      <c r="C2779" t="s">
        <v>6956</v>
      </c>
      <c r="D2779" s="1">
        <v>45600</v>
      </c>
      <c r="E2779" s="1">
        <v>45602</v>
      </c>
      <c r="F2779" s="1">
        <v>45610</v>
      </c>
      <c r="G2779">
        <v>5.87</v>
      </c>
      <c r="H27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79" t="str">
        <f>IFERROR(INDEX(Raw_orders!G:G, MATCH(shipments[[#This Row],[order_id]],Raw_orders!A:A, 0)), "Unknown")</f>
        <v>Baltics</v>
      </c>
      <c r="J2779" t="str">
        <f>PROPER(shipments[[#This Row],[delivery_status]])</f>
        <v>Delivered</v>
      </c>
      <c r="K2779" t="s">
        <v>6929</v>
      </c>
    </row>
    <row r="2780" spans="1:11">
      <c r="A2780" t="s">
        <v>9716</v>
      </c>
      <c r="B2780" t="s">
        <v>3511</v>
      </c>
      <c r="C2780" t="s">
        <v>6940</v>
      </c>
      <c r="D2780" s="1">
        <v>45422</v>
      </c>
      <c r="E2780" s="1">
        <v>45427</v>
      </c>
      <c r="F2780" s="1">
        <v>45427</v>
      </c>
      <c r="G2780">
        <v>44.26</v>
      </c>
      <c r="H27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80" t="str">
        <f>IFERROR(INDEX(Raw_orders!G:G, MATCH(shipments[[#This Row],[order_id]],Raw_orders!A:A, 0)), "Unknown")</f>
        <v>Baltics</v>
      </c>
      <c r="J2780" t="str">
        <f>PROPER(shipments[[#This Row],[delivery_status]])</f>
        <v>Delivered</v>
      </c>
      <c r="K2780" t="s">
        <v>6922</v>
      </c>
    </row>
    <row r="2781" spans="1:11">
      <c r="A2781" t="s">
        <v>9717</v>
      </c>
      <c r="B2781" t="s">
        <v>3512</v>
      </c>
      <c r="C2781" t="s">
        <v>6925</v>
      </c>
      <c r="D2781" s="1">
        <v>45533</v>
      </c>
      <c r="E2781" s="1">
        <v>45536</v>
      </c>
      <c r="F2781" s="1">
        <v>45545</v>
      </c>
      <c r="G2781">
        <v>62.36</v>
      </c>
      <c r="H27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81" t="str">
        <f>IFERROR(INDEX(Raw_orders!G:G, MATCH(shipments[[#This Row],[order_id]],Raw_orders!A:A, 0)), "Unknown")</f>
        <v>Baltics</v>
      </c>
      <c r="J2781" t="str">
        <f>PROPER(shipments[[#This Row],[delivery_status]])</f>
        <v>Delivered</v>
      </c>
      <c r="K2781" t="s">
        <v>6929</v>
      </c>
    </row>
    <row r="2782" spans="1:11">
      <c r="A2782" t="s">
        <v>9718</v>
      </c>
      <c r="B2782" t="s">
        <v>3513</v>
      </c>
      <c r="C2782" t="s">
        <v>6935</v>
      </c>
      <c r="D2782" s="1">
        <v>45353</v>
      </c>
      <c r="E2782" s="1">
        <v>45355</v>
      </c>
      <c r="F2782" s="1">
        <v>45356</v>
      </c>
      <c r="G2782">
        <v>53.49</v>
      </c>
      <c r="H27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82" t="str">
        <f>IFERROR(INDEX(Raw_orders!G:G, MATCH(shipments[[#This Row],[order_id]],Raw_orders!A:A, 0)), "Unknown")</f>
        <v>Nordics</v>
      </c>
      <c r="J2782" t="str">
        <f>PROPER(shipments[[#This Row],[delivery_status]])</f>
        <v>Delivered</v>
      </c>
      <c r="K2782" t="s">
        <v>6926</v>
      </c>
    </row>
    <row r="2783" spans="1:11">
      <c r="A2783" t="s">
        <v>9719</v>
      </c>
      <c r="B2783" t="s">
        <v>3514</v>
      </c>
      <c r="C2783" t="s">
        <v>6938</v>
      </c>
      <c r="D2783" s="1">
        <v>45186</v>
      </c>
      <c r="E2783" s="1">
        <v>45196</v>
      </c>
      <c r="F2783" s="1">
        <v>45204</v>
      </c>
      <c r="G2783">
        <v>24.11</v>
      </c>
      <c r="H27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83" t="str">
        <f>IFERROR(INDEX(Raw_orders!G:G, MATCH(shipments[[#This Row],[order_id]],Raw_orders!A:A, 0)), "Unknown")</f>
        <v>Nordics</v>
      </c>
      <c r="J2783" t="str">
        <f>PROPER(shipments[[#This Row],[delivery_status]])</f>
        <v>Delivered</v>
      </c>
      <c r="K2783" t="s">
        <v>6929</v>
      </c>
    </row>
    <row r="2784" spans="1:11">
      <c r="A2784" t="s">
        <v>9720</v>
      </c>
      <c r="B2784" t="s">
        <v>3515</v>
      </c>
      <c r="C2784" t="s">
        <v>6935</v>
      </c>
      <c r="D2784" s="1">
        <v>45497</v>
      </c>
      <c r="E2784" s="1">
        <v>45502</v>
      </c>
      <c r="F2784" s="1">
        <v>45510</v>
      </c>
      <c r="G2784">
        <v>54.6</v>
      </c>
      <c r="H27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84" t="str">
        <f>IFERROR(INDEX(Raw_orders!G:G, MATCH(shipments[[#This Row],[order_id]],Raw_orders!A:A, 0)), "Unknown")</f>
        <v>Nordics</v>
      </c>
      <c r="J2784" t="str">
        <f>PROPER(shipments[[#This Row],[delivery_status]])</f>
        <v>Delivered</v>
      </c>
      <c r="K2784" t="s">
        <v>6929</v>
      </c>
    </row>
    <row r="2785" spans="1:11">
      <c r="A2785" t="s">
        <v>9721</v>
      </c>
      <c r="B2785" t="s">
        <v>3516</v>
      </c>
      <c r="C2785" t="s">
        <v>6931</v>
      </c>
      <c r="D2785" s="1">
        <v>45422</v>
      </c>
      <c r="E2785" s="1">
        <v>45432</v>
      </c>
      <c r="F2785" s="1">
        <v>45432</v>
      </c>
      <c r="G2785">
        <v>6.24</v>
      </c>
      <c r="H27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85" t="str">
        <f>IFERROR(INDEX(Raw_orders!G:G, MATCH(shipments[[#This Row],[order_id]],Raw_orders!A:A, 0)), "Unknown")</f>
        <v>Baltics</v>
      </c>
      <c r="J2785" t="str">
        <f>PROPER(shipments[[#This Row],[delivery_status]])</f>
        <v>Delivered</v>
      </c>
      <c r="K2785" t="s">
        <v>6929</v>
      </c>
    </row>
    <row r="2786" spans="1:11">
      <c r="A2786" t="s">
        <v>9722</v>
      </c>
      <c r="B2786" t="s">
        <v>3517</v>
      </c>
      <c r="C2786" t="s">
        <v>6938</v>
      </c>
      <c r="D2786" s="1">
        <v>45345</v>
      </c>
      <c r="E2786" s="1">
        <v>45347</v>
      </c>
      <c r="F2786" s="1">
        <v>45349</v>
      </c>
      <c r="G2786">
        <v>36.229999999999997</v>
      </c>
      <c r="H27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86" t="str">
        <f>IFERROR(INDEX(Raw_orders!G:G, MATCH(shipments[[#This Row],[order_id]],Raw_orders!A:A, 0)), "Unknown")</f>
        <v>Baltics</v>
      </c>
      <c r="J2786" t="str">
        <f>PROPER(shipments[[#This Row],[delivery_status]])</f>
        <v>Delivered</v>
      </c>
      <c r="K2786" t="s">
        <v>6929</v>
      </c>
    </row>
    <row r="2787" spans="1:11">
      <c r="A2787" t="s">
        <v>9723</v>
      </c>
      <c r="B2787" t="s">
        <v>3518</v>
      </c>
      <c r="C2787" t="s">
        <v>6921</v>
      </c>
      <c r="D2787" s="1">
        <v>45325</v>
      </c>
      <c r="E2787" s="1">
        <v>45328</v>
      </c>
      <c r="F2787" s="1"/>
      <c r="G2787">
        <v>41.4</v>
      </c>
      <c r="H27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787" t="str">
        <f>IFERROR(INDEX(Raw_orders!G:G, MATCH(shipments[[#This Row],[order_id]],Raw_orders!A:A, 0)), "Unknown")</f>
        <v>Central Europe</v>
      </c>
      <c r="J2787" t="str">
        <f>PROPER(shipments[[#This Row],[delivery_status]])</f>
        <v>In Transit</v>
      </c>
      <c r="K2787" t="s">
        <v>6958</v>
      </c>
    </row>
    <row r="2788" spans="1:11">
      <c r="A2788" t="s">
        <v>9724</v>
      </c>
      <c r="B2788" t="s">
        <v>3519</v>
      </c>
      <c r="C2788" t="s">
        <v>6935</v>
      </c>
      <c r="D2788" s="1">
        <v>45309</v>
      </c>
      <c r="E2788" s="1">
        <v>45311</v>
      </c>
      <c r="F2788" s="1">
        <v>45319</v>
      </c>
      <c r="G2788">
        <v>36.29</v>
      </c>
      <c r="H27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88" t="str">
        <f>IFERROR(INDEX(Raw_orders!G:G, MATCH(shipments[[#This Row],[order_id]],Raw_orders!A:A, 0)), "Unknown")</f>
        <v>Nordics</v>
      </c>
      <c r="J2788" t="str">
        <f>PROPER(shipments[[#This Row],[delivery_status]])</f>
        <v>Delivered</v>
      </c>
      <c r="K2788" t="s">
        <v>6929</v>
      </c>
    </row>
    <row r="2789" spans="1:11">
      <c r="A2789" t="s">
        <v>9725</v>
      </c>
      <c r="B2789" t="s">
        <v>3520</v>
      </c>
      <c r="C2789" t="s">
        <v>6921</v>
      </c>
      <c r="D2789" s="1">
        <v>44995</v>
      </c>
      <c r="E2789" s="1">
        <v>44997</v>
      </c>
      <c r="F2789" s="1">
        <v>45005</v>
      </c>
      <c r="G2789">
        <v>40.57</v>
      </c>
      <c r="H27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89" t="str">
        <f>IFERROR(INDEX(Raw_orders!G:G, MATCH(shipments[[#This Row],[order_id]],Raw_orders!A:A, 0)), "Unknown")</f>
        <v>Baltics</v>
      </c>
      <c r="J2789" t="str">
        <f>PROPER(shipments[[#This Row],[delivery_status]])</f>
        <v>Delivered</v>
      </c>
      <c r="K2789" t="s">
        <v>6926</v>
      </c>
    </row>
    <row r="2790" spans="1:11">
      <c r="A2790" t="s">
        <v>9726</v>
      </c>
      <c r="B2790" t="s">
        <v>3521</v>
      </c>
      <c r="C2790" t="s">
        <v>6931</v>
      </c>
      <c r="D2790" s="1">
        <v>45233</v>
      </c>
      <c r="E2790" s="1">
        <v>45235</v>
      </c>
      <c r="F2790" s="1">
        <v>45235</v>
      </c>
      <c r="G2790">
        <v>63.89</v>
      </c>
      <c r="H27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90" t="str">
        <f>IFERROR(INDEX(Raw_orders!G:G, MATCH(shipments[[#This Row],[order_id]],Raw_orders!A:A, 0)), "Unknown")</f>
        <v>Central Europe</v>
      </c>
      <c r="J2790" t="str">
        <f>PROPER(shipments[[#This Row],[delivery_status]])</f>
        <v>Delivered</v>
      </c>
      <c r="K2790" t="s">
        <v>6926</v>
      </c>
    </row>
    <row r="2791" spans="1:11">
      <c r="A2791" t="s">
        <v>9727</v>
      </c>
      <c r="B2791" t="s">
        <v>3522</v>
      </c>
      <c r="C2791" t="s">
        <v>6931</v>
      </c>
      <c r="D2791" s="1">
        <v>45530</v>
      </c>
      <c r="E2791" s="1">
        <v>45537</v>
      </c>
      <c r="F2791" s="1">
        <v>45539</v>
      </c>
      <c r="G2791">
        <v>47.5</v>
      </c>
      <c r="H27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91" t="str">
        <f>IFERROR(INDEX(Raw_orders!G:G, MATCH(shipments[[#This Row],[order_id]],Raw_orders!A:A, 0)), "Unknown")</f>
        <v>Baltics</v>
      </c>
      <c r="J2791" t="str">
        <f>PROPER(shipments[[#This Row],[delivery_status]])</f>
        <v>Delivered</v>
      </c>
      <c r="K2791" t="s">
        <v>6922</v>
      </c>
    </row>
    <row r="2792" spans="1:11">
      <c r="A2792" t="s">
        <v>9728</v>
      </c>
      <c r="B2792" t="s">
        <v>3523</v>
      </c>
      <c r="C2792" t="s">
        <v>6935</v>
      </c>
      <c r="D2792" s="1">
        <v>45322</v>
      </c>
      <c r="E2792" s="1">
        <v>45332</v>
      </c>
      <c r="F2792" s="1">
        <v>45332</v>
      </c>
      <c r="G2792">
        <v>43.72</v>
      </c>
      <c r="H27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92" t="str">
        <f>IFERROR(INDEX(Raw_orders!G:G, MATCH(shipments[[#This Row],[order_id]],Raw_orders!A:A, 0)), "Unknown")</f>
        <v>Nordics</v>
      </c>
      <c r="J2792" t="str">
        <f>PROPER(shipments[[#This Row],[delivery_status]])</f>
        <v>Delivered</v>
      </c>
      <c r="K2792" t="s">
        <v>6922</v>
      </c>
    </row>
    <row r="2793" spans="1:11">
      <c r="A2793" t="s">
        <v>9729</v>
      </c>
      <c r="B2793" t="s">
        <v>3524</v>
      </c>
      <c r="C2793" t="s">
        <v>6935</v>
      </c>
      <c r="D2793" s="1">
        <v>45547</v>
      </c>
      <c r="E2793" s="1">
        <v>45552</v>
      </c>
      <c r="F2793" s="1">
        <v>45565</v>
      </c>
      <c r="G2793">
        <v>20.78</v>
      </c>
      <c r="H27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93" t="str">
        <f>IFERROR(INDEX(Raw_orders!G:G, MATCH(shipments[[#This Row],[order_id]],Raw_orders!A:A, 0)), "Unknown")</f>
        <v>Nordics</v>
      </c>
      <c r="J2793" t="str">
        <f>PROPER(shipments[[#This Row],[delivery_status]])</f>
        <v>Delivered</v>
      </c>
      <c r="K2793" t="s">
        <v>6922</v>
      </c>
    </row>
    <row r="2794" spans="1:11">
      <c r="A2794" t="s">
        <v>9730</v>
      </c>
      <c r="B2794" t="s">
        <v>3525</v>
      </c>
      <c r="C2794" t="s">
        <v>6949</v>
      </c>
      <c r="D2794" s="1">
        <v>45144</v>
      </c>
      <c r="E2794" s="1">
        <v>45151</v>
      </c>
      <c r="F2794" s="1">
        <v>45159</v>
      </c>
      <c r="G2794">
        <v>59.55</v>
      </c>
      <c r="H27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94" t="str">
        <f>IFERROR(INDEX(Raw_orders!G:G, MATCH(shipments[[#This Row],[order_id]],Raw_orders!A:A, 0)), "Unknown")</f>
        <v>Central Europe</v>
      </c>
      <c r="J2794" t="str">
        <f>PROPER(shipments[[#This Row],[delivery_status]])</f>
        <v>Delivered</v>
      </c>
      <c r="K2794" t="s">
        <v>6922</v>
      </c>
    </row>
    <row r="2795" spans="1:11">
      <c r="A2795" t="s">
        <v>9731</v>
      </c>
      <c r="B2795" t="s">
        <v>3526</v>
      </c>
      <c r="C2795" t="s">
        <v>6921</v>
      </c>
      <c r="D2795" s="1">
        <v>45412</v>
      </c>
      <c r="E2795" s="1">
        <v>45414</v>
      </c>
      <c r="F2795" s="1">
        <v>45417</v>
      </c>
      <c r="G2795">
        <v>19.22</v>
      </c>
      <c r="H27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95" t="str">
        <f>IFERROR(INDEX(Raw_orders!G:G, MATCH(shipments[[#This Row],[order_id]],Raw_orders!A:A, 0)), "Unknown")</f>
        <v>Central Europe</v>
      </c>
      <c r="J2795" t="str">
        <f>PROPER(shipments[[#This Row],[delivery_status]])</f>
        <v>Delivered</v>
      </c>
      <c r="K2795" t="s">
        <v>6922</v>
      </c>
    </row>
    <row r="2796" spans="1:11">
      <c r="A2796" t="s">
        <v>9732</v>
      </c>
      <c r="B2796" t="s">
        <v>3527</v>
      </c>
      <c r="C2796" t="s">
        <v>6935</v>
      </c>
      <c r="D2796" s="1">
        <v>45417</v>
      </c>
      <c r="E2796" s="1">
        <v>45422</v>
      </c>
      <c r="F2796" s="1"/>
      <c r="G2796">
        <v>28.14</v>
      </c>
      <c r="H27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796" t="str">
        <f>IFERROR(INDEX(Raw_orders!G:G, MATCH(shipments[[#This Row],[order_id]],Raw_orders!A:A, 0)), "Unknown")</f>
        <v>Central Europe</v>
      </c>
      <c r="J2796" t="str">
        <f>PROPER(shipments[[#This Row],[delivery_status]])</f>
        <v>Cancelled</v>
      </c>
      <c r="K2796" t="s">
        <v>6963</v>
      </c>
    </row>
    <row r="2797" spans="1:11">
      <c r="A2797" t="s">
        <v>9733</v>
      </c>
      <c r="B2797" t="s">
        <v>3527</v>
      </c>
      <c r="C2797" t="s">
        <v>6928</v>
      </c>
      <c r="D2797" s="1">
        <v>45419</v>
      </c>
      <c r="E2797" s="1">
        <v>45421</v>
      </c>
      <c r="F2797" s="1">
        <v>45422</v>
      </c>
      <c r="G2797">
        <v>9.11</v>
      </c>
      <c r="H27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797" t="str">
        <f>IFERROR(INDEX(Raw_orders!G:G, MATCH(shipments[[#This Row],[order_id]],Raw_orders!A:A, 0)), "Unknown")</f>
        <v>Central Europe</v>
      </c>
      <c r="J2797" t="str">
        <f>PROPER(shipments[[#This Row],[delivery_status]])</f>
        <v>Delivered</v>
      </c>
      <c r="K2797" t="s">
        <v>6926</v>
      </c>
    </row>
    <row r="2798" spans="1:11">
      <c r="A2798" t="s">
        <v>9734</v>
      </c>
      <c r="B2798" t="s">
        <v>3528</v>
      </c>
      <c r="C2798" t="s">
        <v>6925</v>
      </c>
      <c r="D2798" s="1">
        <v>45143</v>
      </c>
      <c r="E2798" s="1">
        <v>45153</v>
      </c>
      <c r="F2798" s="1"/>
      <c r="G2798">
        <v>62.81</v>
      </c>
      <c r="H27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798" t="str">
        <f>IFERROR(INDEX(Raw_orders!G:G, MATCH(shipments[[#This Row],[order_id]],Raw_orders!A:A, 0)), "Unknown")</f>
        <v>Baltics</v>
      </c>
      <c r="J2798" t="str">
        <f>PROPER(shipments[[#This Row],[delivery_status]])</f>
        <v>Cancelled</v>
      </c>
      <c r="K2798" t="s">
        <v>6963</v>
      </c>
    </row>
    <row r="2799" spans="1:11">
      <c r="A2799" t="s">
        <v>9735</v>
      </c>
      <c r="B2799" t="s">
        <v>3529</v>
      </c>
      <c r="C2799" t="s">
        <v>6921</v>
      </c>
      <c r="D2799" s="1">
        <v>45599</v>
      </c>
      <c r="E2799" s="1">
        <v>45601</v>
      </c>
      <c r="F2799" s="1">
        <v>45601</v>
      </c>
      <c r="G2799">
        <v>52.7</v>
      </c>
      <c r="H27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799" t="str">
        <f>IFERROR(INDEX(Raw_orders!G:G, MATCH(shipments[[#This Row],[order_id]],Raw_orders!A:A, 0)), "Unknown")</f>
        <v>Central Europe</v>
      </c>
      <c r="J2799" t="str">
        <f>PROPER(shipments[[#This Row],[delivery_status]])</f>
        <v>Delivered</v>
      </c>
      <c r="K2799" t="s">
        <v>6926</v>
      </c>
    </row>
    <row r="2800" spans="1:11">
      <c r="A2800" t="s">
        <v>9736</v>
      </c>
      <c r="B2800" t="s">
        <v>3530</v>
      </c>
      <c r="C2800" t="s">
        <v>6938</v>
      </c>
      <c r="D2800" s="1">
        <v>45291</v>
      </c>
      <c r="E2800" s="1">
        <v>45294</v>
      </c>
      <c r="F2800" s="1">
        <v>45296</v>
      </c>
      <c r="G2800">
        <v>40.54</v>
      </c>
      <c r="H28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00" t="str">
        <f>IFERROR(INDEX(Raw_orders!G:G, MATCH(shipments[[#This Row],[order_id]],Raw_orders!A:A, 0)), "Unknown")</f>
        <v>Baltics</v>
      </c>
      <c r="J2800" t="str">
        <f>PROPER(shipments[[#This Row],[delivery_status]])</f>
        <v>Delivered</v>
      </c>
      <c r="K2800" t="s">
        <v>6929</v>
      </c>
    </row>
    <row r="2801" spans="1:11">
      <c r="A2801" t="s">
        <v>9737</v>
      </c>
      <c r="B2801" t="s">
        <v>3531</v>
      </c>
      <c r="C2801" t="s">
        <v>6935</v>
      </c>
      <c r="D2801" s="1">
        <v>45002</v>
      </c>
      <c r="E2801" s="1">
        <v>45009</v>
      </c>
      <c r="F2801" s="1">
        <v>45011</v>
      </c>
      <c r="G2801">
        <v>38.630000000000003</v>
      </c>
      <c r="H28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01" t="str">
        <f>IFERROR(INDEX(Raw_orders!G:G, MATCH(shipments[[#This Row],[order_id]],Raw_orders!A:A, 0)), "Unknown")</f>
        <v>Unknown</v>
      </c>
      <c r="J2801" t="str">
        <f>PROPER(shipments[[#This Row],[delivery_status]])</f>
        <v>Delivered</v>
      </c>
      <c r="K2801" t="s">
        <v>6926</v>
      </c>
    </row>
    <row r="2802" spans="1:11">
      <c r="A2802" t="s">
        <v>9738</v>
      </c>
      <c r="B2802" t="s">
        <v>3532</v>
      </c>
      <c r="C2802" t="s">
        <v>6956</v>
      </c>
      <c r="D2802" s="1">
        <v>45187</v>
      </c>
      <c r="E2802" s="1">
        <v>45192</v>
      </c>
      <c r="F2802" s="1"/>
      <c r="G2802">
        <v>47.79</v>
      </c>
      <c r="H28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802" t="str">
        <f>IFERROR(INDEX(Raw_orders!G:G, MATCH(shipments[[#This Row],[order_id]],Raw_orders!A:A, 0)), "Unknown")</f>
        <v>Nordics</v>
      </c>
      <c r="J2802" t="str">
        <f>PROPER(shipments[[#This Row],[delivery_status]])</f>
        <v>In Transit</v>
      </c>
      <c r="K2802" t="s">
        <v>6977</v>
      </c>
    </row>
    <row r="2803" spans="1:11">
      <c r="A2803" t="s">
        <v>9739</v>
      </c>
      <c r="B2803" t="s">
        <v>3533</v>
      </c>
      <c r="C2803" t="s">
        <v>6940</v>
      </c>
      <c r="D2803" s="1">
        <v>45605</v>
      </c>
      <c r="E2803" s="1">
        <v>45608</v>
      </c>
      <c r="F2803" s="1">
        <v>45608</v>
      </c>
      <c r="G2803">
        <v>56.96</v>
      </c>
      <c r="H28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803" t="str">
        <f>IFERROR(INDEX(Raw_orders!G:G, MATCH(shipments[[#This Row],[order_id]],Raw_orders!A:A, 0)), "Unknown")</f>
        <v>Baltics</v>
      </c>
      <c r="J2803" t="str">
        <f>PROPER(shipments[[#This Row],[delivery_status]])</f>
        <v>Delivered</v>
      </c>
      <c r="K2803" t="s">
        <v>6922</v>
      </c>
    </row>
    <row r="2804" spans="1:11">
      <c r="A2804" t="s">
        <v>9740</v>
      </c>
      <c r="B2804" t="s">
        <v>3534</v>
      </c>
      <c r="C2804" t="s">
        <v>6938</v>
      </c>
      <c r="D2804" s="1">
        <v>45562</v>
      </c>
      <c r="E2804" s="1">
        <v>45572</v>
      </c>
      <c r="F2804" s="1">
        <v>45584</v>
      </c>
      <c r="G2804">
        <v>55.36</v>
      </c>
      <c r="H28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04" t="str">
        <f>IFERROR(INDEX(Raw_orders!G:G, MATCH(shipments[[#This Row],[order_id]],Raw_orders!A:A, 0)), "Unknown")</f>
        <v>Nordics</v>
      </c>
      <c r="J2804" t="str">
        <f>PROPER(shipments[[#This Row],[delivery_status]])</f>
        <v>Delivered</v>
      </c>
      <c r="K2804" t="s">
        <v>6922</v>
      </c>
    </row>
    <row r="2805" spans="1:11">
      <c r="A2805" t="s">
        <v>9741</v>
      </c>
      <c r="B2805" t="s">
        <v>3535</v>
      </c>
      <c r="C2805" t="s">
        <v>6921</v>
      </c>
      <c r="D2805" s="1">
        <v>45503</v>
      </c>
      <c r="E2805" s="1">
        <v>45510</v>
      </c>
      <c r="F2805" s="1">
        <v>45513</v>
      </c>
      <c r="G2805">
        <v>21.52</v>
      </c>
      <c r="H28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05" t="str">
        <f>IFERROR(INDEX(Raw_orders!G:G, MATCH(shipments[[#This Row],[order_id]],Raw_orders!A:A, 0)), "Unknown")</f>
        <v>Central Europe</v>
      </c>
      <c r="J2805" t="str">
        <f>PROPER(shipments[[#This Row],[delivery_status]])</f>
        <v>Delivered</v>
      </c>
      <c r="K2805" t="s">
        <v>6929</v>
      </c>
    </row>
    <row r="2806" spans="1:11">
      <c r="A2806" t="s">
        <v>9742</v>
      </c>
      <c r="B2806" t="s">
        <v>3536</v>
      </c>
      <c r="C2806" t="s">
        <v>6956</v>
      </c>
      <c r="D2806" s="1">
        <v>45058</v>
      </c>
      <c r="E2806" s="1">
        <v>45061</v>
      </c>
      <c r="F2806" s="1">
        <v>45060</v>
      </c>
      <c r="G2806">
        <v>64</v>
      </c>
      <c r="H28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806" t="str">
        <f>IFERROR(INDEX(Raw_orders!G:G, MATCH(shipments[[#This Row],[order_id]],Raw_orders!A:A, 0)), "Unknown")</f>
        <v>Nordics</v>
      </c>
      <c r="J2806" t="str">
        <f>PROPER(shipments[[#This Row],[delivery_status]])</f>
        <v>Delivered</v>
      </c>
      <c r="K2806" t="s">
        <v>6926</v>
      </c>
    </row>
    <row r="2807" spans="1:11">
      <c r="A2807" t="s">
        <v>9743</v>
      </c>
      <c r="B2807" t="s">
        <v>3537</v>
      </c>
      <c r="C2807" t="s">
        <v>6921</v>
      </c>
      <c r="D2807" s="1">
        <v>45468</v>
      </c>
      <c r="E2807" s="1">
        <v>45473</v>
      </c>
      <c r="F2807" s="1">
        <v>45478</v>
      </c>
      <c r="G2807">
        <v>9.5</v>
      </c>
      <c r="H28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07" t="str">
        <f>IFERROR(INDEX(Raw_orders!G:G, MATCH(shipments[[#This Row],[order_id]],Raw_orders!A:A, 0)), "Unknown")</f>
        <v>Nordics</v>
      </c>
      <c r="J2807" t="str">
        <f>PROPER(shipments[[#This Row],[delivery_status]])</f>
        <v>Delivered</v>
      </c>
      <c r="K2807" t="s">
        <v>6926</v>
      </c>
    </row>
    <row r="2808" spans="1:11">
      <c r="A2808" t="s">
        <v>9744</v>
      </c>
      <c r="B2808" t="s">
        <v>3538</v>
      </c>
      <c r="C2808" t="s">
        <v>6925</v>
      </c>
      <c r="D2808" s="1">
        <v>44971</v>
      </c>
      <c r="E2808" s="1">
        <v>44974</v>
      </c>
      <c r="F2808" s="1"/>
      <c r="G2808">
        <v>21.46</v>
      </c>
      <c r="H28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808" t="str">
        <f>IFERROR(INDEX(Raw_orders!G:G, MATCH(shipments[[#This Row],[order_id]],Raw_orders!A:A, 0)), "Unknown")</f>
        <v>Nordics</v>
      </c>
      <c r="J2808" t="str">
        <f>PROPER(shipments[[#This Row],[delivery_status]])</f>
        <v>Cancelled</v>
      </c>
      <c r="K2808" t="s">
        <v>6979</v>
      </c>
    </row>
    <row r="2809" spans="1:11">
      <c r="A2809" t="s">
        <v>9745</v>
      </c>
      <c r="B2809" t="s">
        <v>3539</v>
      </c>
      <c r="C2809" t="s">
        <v>6931</v>
      </c>
      <c r="D2809" s="1">
        <v>45373</v>
      </c>
      <c r="E2809" s="1">
        <v>45380</v>
      </c>
      <c r="F2809" s="1">
        <v>45385</v>
      </c>
      <c r="G2809">
        <v>24.7</v>
      </c>
      <c r="H28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09" t="str">
        <f>IFERROR(INDEX(Raw_orders!G:G, MATCH(shipments[[#This Row],[order_id]],Raw_orders!A:A, 0)), "Unknown")</f>
        <v>Central Europe</v>
      </c>
      <c r="J2809" t="str">
        <f>PROPER(shipments[[#This Row],[delivery_status]])</f>
        <v>Delivered</v>
      </c>
      <c r="K2809" t="s">
        <v>6922</v>
      </c>
    </row>
    <row r="2810" spans="1:11">
      <c r="A2810" t="s">
        <v>9746</v>
      </c>
      <c r="B2810" t="s">
        <v>3540</v>
      </c>
      <c r="C2810" t="s">
        <v>6935</v>
      </c>
      <c r="D2810" s="1">
        <v>45502</v>
      </c>
      <c r="E2810" s="1">
        <v>45512</v>
      </c>
      <c r="F2810" s="1">
        <v>45513</v>
      </c>
      <c r="G2810">
        <v>37.380000000000003</v>
      </c>
      <c r="H28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10" t="str">
        <f>IFERROR(INDEX(Raw_orders!G:G, MATCH(shipments[[#This Row],[order_id]],Raw_orders!A:A, 0)), "Unknown")</f>
        <v>Baltics</v>
      </c>
      <c r="J2810" t="str">
        <f>PROPER(shipments[[#This Row],[delivery_status]])</f>
        <v>Delivered</v>
      </c>
      <c r="K2810" t="s">
        <v>6929</v>
      </c>
    </row>
    <row r="2811" spans="1:11">
      <c r="A2811" t="s">
        <v>9747</v>
      </c>
      <c r="B2811" t="s">
        <v>3541</v>
      </c>
      <c r="C2811" t="s">
        <v>6921</v>
      </c>
      <c r="D2811" s="1">
        <v>45219</v>
      </c>
      <c r="E2811" s="1">
        <v>45226</v>
      </c>
      <c r="F2811" s="1">
        <v>45234</v>
      </c>
      <c r="G2811">
        <v>64.53</v>
      </c>
      <c r="H28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11" t="str">
        <f>IFERROR(INDEX(Raw_orders!G:G, MATCH(shipments[[#This Row],[order_id]],Raw_orders!A:A, 0)), "Unknown")</f>
        <v>Central Europe</v>
      </c>
      <c r="J2811" t="str">
        <f>PROPER(shipments[[#This Row],[delivery_status]])</f>
        <v>Delivered</v>
      </c>
      <c r="K2811" t="s">
        <v>6922</v>
      </c>
    </row>
    <row r="2812" spans="1:11">
      <c r="A2812" t="s">
        <v>9748</v>
      </c>
      <c r="B2812" t="s">
        <v>3542</v>
      </c>
      <c r="C2812" t="s">
        <v>6921</v>
      </c>
      <c r="D2812" s="1">
        <v>45170</v>
      </c>
      <c r="E2812" s="1">
        <v>45177</v>
      </c>
      <c r="F2812" s="1">
        <v>45178</v>
      </c>
      <c r="G2812">
        <v>22.87</v>
      </c>
      <c r="H28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12" t="str">
        <f>IFERROR(INDEX(Raw_orders!G:G, MATCH(shipments[[#This Row],[order_id]],Raw_orders!A:A, 0)), "Unknown")</f>
        <v>Baltics</v>
      </c>
      <c r="J2812" t="str">
        <f>PROPER(shipments[[#This Row],[delivery_status]])</f>
        <v>Delivered</v>
      </c>
      <c r="K2812" t="s">
        <v>6922</v>
      </c>
    </row>
    <row r="2813" spans="1:11">
      <c r="A2813" t="s">
        <v>9749</v>
      </c>
      <c r="B2813" t="s">
        <v>3543</v>
      </c>
      <c r="C2813" t="s">
        <v>6921</v>
      </c>
      <c r="D2813" s="1">
        <v>45502</v>
      </c>
      <c r="E2813" s="1">
        <v>45509</v>
      </c>
      <c r="F2813" s="1"/>
      <c r="G2813">
        <v>36.1</v>
      </c>
      <c r="H28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813" t="str">
        <f>IFERROR(INDEX(Raw_orders!G:G, MATCH(shipments[[#This Row],[order_id]],Raw_orders!A:A, 0)), "Unknown")</f>
        <v>Nordics</v>
      </c>
      <c r="J2813" t="str">
        <f>PROPER(shipments[[#This Row],[delivery_status]])</f>
        <v>In Transit</v>
      </c>
      <c r="K2813" t="s">
        <v>6958</v>
      </c>
    </row>
    <row r="2814" spans="1:11">
      <c r="A2814" t="s">
        <v>9750</v>
      </c>
      <c r="B2814" t="s">
        <v>3544</v>
      </c>
      <c r="C2814" t="s">
        <v>6925</v>
      </c>
      <c r="D2814" s="1">
        <v>45480</v>
      </c>
      <c r="E2814" s="1">
        <v>45482</v>
      </c>
      <c r="F2814" s="1">
        <v>45487</v>
      </c>
      <c r="G2814">
        <v>53.17</v>
      </c>
      <c r="H28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14" t="str">
        <f>IFERROR(INDEX(Raw_orders!G:G, MATCH(shipments[[#This Row],[order_id]],Raw_orders!A:A, 0)), "Unknown")</f>
        <v>Central Europe</v>
      </c>
      <c r="J2814" t="str">
        <f>PROPER(shipments[[#This Row],[delivery_status]])</f>
        <v>Delivered</v>
      </c>
      <c r="K2814" t="s">
        <v>6929</v>
      </c>
    </row>
    <row r="2815" spans="1:11">
      <c r="A2815" t="s">
        <v>9751</v>
      </c>
      <c r="B2815" t="s">
        <v>3545</v>
      </c>
      <c r="C2815" t="s">
        <v>6935</v>
      </c>
      <c r="D2815" s="1">
        <v>45598</v>
      </c>
      <c r="E2815" s="1">
        <v>45601</v>
      </c>
      <c r="F2815" s="1">
        <v>45615</v>
      </c>
      <c r="G2815">
        <v>54.29</v>
      </c>
      <c r="H28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15" t="str">
        <f>IFERROR(INDEX(Raw_orders!G:G, MATCH(shipments[[#This Row],[order_id]],Raw_orders!A:A, 0)), "Unknown")</f>
        <v>Baltics</v>
      </c>
      <c r="J2815" t="str">
        <f>PROPER(shipments[[#This Row],[delivery_status]])</f>
        <v>Delivered</v>
      </c>
      <c r="K2815" t="s">
        <v>6929</v>
      </c>
    </row>
    <row r="2816" spans="1:11">
      <c r="A2816" t="s">
        <v>9752</v>
      </c>
      <c r="B2816" t="s">
        <v>3546</v>
      </c>
      <c r="C2816" t="s">
        <v>6956</v>
      </c>
      <c r="D2816" s="1">
        <v>45156</v>
      </c>
      <c r="E2816" s="1">
        <v>45158</v>
      </c>
      <c r="F2816" s="1">
        <v>45157</v>
      </c>
      <c r="G2816">
        <v>14.76</v>
      </c>
      <c r="H28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816" t="str">
        <f>IFERROR(INDEX(Raw_orders!G:G, MATCH(shipments[[#This Row],[order_id]],Raw_orders!A:A, 0)), "Unknown")</f>
        <v>Nordics</v>
      </c>
      <c r="J2816" t="str">
        <f>PROPER(shipments[[#This Row],[delivery_status]])</f>
        <v>Delivered</v>
      </c>
      <c r="K2816" t="s">
        <v>6929</v>
      </c>
    </row>
    <row r="2817" spans="1:11">
      <c r="A2817" t="s">
        <v>9753</v>
      </c>
      <c r="B2817" t="s">
        <v>3547</v>
      </c>
      <c r="C2817" t="s">
        <v>6921</v>
      </c>
      <c r="D2817" s="1">
        <v>45118</v>
      </c>
      <c r="E2817" s="1">
        <v>45120</v>
      </c>
      <c r="F2817" s="1">
        <v>45123</v>
      </c>
      <c r="G2817">
        <v>58.28</v>
      </c>
      <c r="H28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17" t="str">
        <f>IFERROR(INDEX(Raw_orders!G:G, MATCH(shipments[[#This Row],[order_id]],Raw_orders!A:A, 0)), "Unknown")</f>
        <v>Baltics</v>
      </c>
      <c r="J2817" t="str">
        <f>PROPER(shipments[[#This Row],[delivery_status]])</f>
        <v>Delivered</v>
      </c>
      <c r="K2817" t="s">
        <v>6929</v>
      </c>
    </row>
    <row r="2818" spans="1:11">
      <c r="A2818" t="s">
        <v>9754</v>
      </c>
      <c r="B2818" t="s">
        <v>3548</v>
      </c>
      <c r="C2818" t="s">
        <v>6925</v>
      </c>
      <c r="D2818" s="1">
        <v>44975</v>
      </c>
      <c r="E2818" s="1">
        <v>44980</v>
      </c>
      <c r="F2818" s="1">
        <v>44988</v>
      </c>
      <c r="G2818">
        <v>35.42</v>
      </c>
      <c r="H28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18" t="str">
        <f>IFERROR(INDEX(Raw_orders!G:G, MATCH(shipments[[#This Row],[order_id]],Raw_orders!A:A, 0)), "Unknown")</f>
        <v>Central Europe</v>
      </c>
      <c r="J2818" t="str">
        <f>PROPER(shipments[[#This Row],[delivery_status]])</f>
        <v>Delivered</v>
      </c>
      <c r="K2818" t="s">
        <v>6926</v>
      </c>
    </row>
    <row r="2819" spans="1:11">
      <c r="A2819" t="s">
        <v>9755</v>
      </c>
      <c r="B2819" t="s">
        <v>3549</v>
      </c>
      <c r="C2819" t="s">
        <v>6928</v>
      </c>
      <c r="D2819" s="1">
        <v>44948</v>
      </c>
      <c r="E2819" s="1">
        <v>44953</v>
      </c>
      <c r="F2819" s="1"/>
      <c r="G2819">
        <v>34.18</v>
      </c>
      <c r="H28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819" t="str">
        <f>IFERROR(INDEX(Raw_orders!G:G, MATCH(shipments[[#This Row],[order_id]],Raw_orders!A:A, 0)), "Unknown")</f>
        <v>Nordics</v>
      </c>
      <c r="J2819" t="str">
        <f>PROPER(shipments[[#This Row],[delivery_status]])</f>
        <v>In Transit</v>
      </c>
      <c r="K2819" t="s">
        <v>6977</v>
      </c>
    </row>
    <row r="2820" spans="1:11">
      <c r="A2820" t="s">
        <v>9756</v>
      </c>
      <c r="B2820" t="s">
        <v>3550</v>
      </c>
      <c r="C2820" t="s">
        <v>6938</v>
      </c>
      <c r="D2820" s="1">
        <v>45140</v>
      </c>
      <c r="E2820" s="1">
        <v>45143</v>
      </c>
      <c r="F2820" s="1">
        <v>45143</v>
      </c>
      <c r="G2820">
        <v>28.65</v>
      </c>
      <c r="H28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820" t="str">
        <f>IFERROR(INDEX(Raw_orders!G:G, MATCH(shipments[[#This Row],[order_id]],Raw_orders!A:A, 0)), "Unknown")</f>
        <v>Baltics</v>
      </c>
      <c r="J2820" t="str">
        <f>PROPER(shipments[[#This Row],[delivery_status]])</f>
        <v>Delivered</v>
      </c>
      <c r="K2820" t="s">
        <v>6929</v>
      </c>
    </row>
    <row r="2821" spans="1:11">
      <c r="A2821" t="s">
        <v>9757</v>
      </c>
      <c r="B2821" t="s">
        <v>3551</v>
      </c>
      <c r="C2821" t="s">
        <v>6931</v>
      </c>
      <c r="D2821" s="1">
        <v>45139</v>
      </c>
      <c r="E2821" s="1">
        <v>45149</v>
      </c>
      <c r="F2821" s="1">
        <v>45163</v>
      </c>
      <c r="G2821">
        <v>15.27</v>
      </c>
      <c r="H28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21" t="str">
        <f>IFERROR(INDEX(Raw_orders!G:G, MATCH(shipments[[#This Row],[order_id]],Raw_orders!A:A, 0)), "Unknown")</f>
        <v>Nordics</v>
      </c>
      <c r="J2821" t="str">
        <f>PROPER(shipments[[#This Row],[delivery_status]])</f>
        <v>Delivered</v>
      </c>
      <c r="K2821" t="s">
        <v>6922</v>
      </c>
    </row>
    <row r="2822" spans="1:11">
      <c r="A2822" t="s">
        <v>9758</v>
      </c>
      <c r="B2822" t="s">
        <v>3552</v>
      </c>
      <c r="C2822" t="s">
        <v>6940</v>
      </c>
      <c r="D2822" s="1">
        <v>45520</v>
      </c>
      <c r="E2822" s="1">
        <v>45530</v>
      </c>
      <c r="F2822" s="1">
        <v>45533</v>
      </c>
      <c r="G2822">
        <v>62.92</v>
      </c>
      <c r="H28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22" t="str">
        <f>IFERROR(INDEX(Raw_orders!G:G, MATCH(shipments[[#This Row],[order_id]],Raw_orders!A:A, 0)), "Unknown")</f>
        <v>Baltics</v>
      </c>
      <c r="J2822" t="str">
        <f>PROPER(shipments[[#This Row],[delivery_status]])</f>
        <v>Delivered</v>
      </c>
      <c r="K2822" t="s">
        <v>6929</v>
      </c>
    </row>
    <row r="2823" spans="1:11">
      <c r="A2823" t="s">
        <v>9759</v>
      </c>
      <c r="B2823" t="s">
        <v>3553</v>
      </c>
      <c r="C2823" t="s">
        <v>6938</v>
      </c>
      <c r="D2823" s="1">
        <v>45085</v>
      </c>
      <c r="E2823" s="1">
        <v>45087</v>
      </c>
      <c r="F2823" s="1">
        <v>45089</v>
      </c>
      <c r="G2823">
        <v>18.010000000000002</v>
      </c>
      <c r="H28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23" t="str">
        <f>IFERROR(INDEX(Raw_orders!G:G, MATCH(shipments[[#This Row],[order_id]],Raw_orders!A:A, 0)), "Unknown")</f>
        <v>Nordics</v>
      </c>
      <c r="J2823" t="str">
        <f>PROPER(shipments[[#This Row],[delivery_status]])</f>
        <v>Delivered</v>
      </c>
      <c r="K2823" t="s">
        <v>6922</v>
      </c>
    </row>
    <row r="2824" spans="1:11">
      <c r="A2824" t="s">
        <v>9760</v>
      </c>
      <c r="B2824" t="s">
        <v>3554</v>
      </c>
      <c r="C2824" t="s">
        <v>6938</v>
      </c>
      <c r="D2824" s="1">
        <v>44983</v>
      </c>
      <c r="E2824" s="1">
        <v>44985</v>
      </c>
      <c r="F2824" s="1">
        <v>44987</v>
      </c>
      <c r="G2824">
        <v>51.89</v>
      </c>
      <c r="H28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24" t="str">
        <f>IFERROR(INDEX(Raw_orders!G:G, MATCH(shipments[[#This Row],[order_id]],Raw_orders!A:A, 0)), "Unknown")</f>
        <v>Baltics</v>
      </c>
      <c r="J2824" t="str">
        <f>PROPER(shipments[[#This Row],[delivery_status]])</f>
        <v>Delivered</v>
      </c>
      <c r="K2824" t="s">
        <v>6926</v>
      </c>
    </row>
    <row r="2825" spans="1:11">
      <c r="A2825" t="s">
        <v>9761</v>
      </c>
      <c r="B2825" t="s">
        <v>3555</v>
      </c>
      <c r="C2825" t="s">
        <v>6921</v>
      </c>
      <c r="D2825" s="1">
        <v>44955</v>
      </c>
      <c r="E2825" s="1">
        <v>44960</v>
      </c>
      <c r="F2825" s="1">
        <v>44965</v>
      </c>
      <c r="G2825">
        <v>4.6900000000000004</v>
      </c>
      <c r="H28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25" t="str">
        <f>IFERROR(INDEX(Raw_orders!G:G, MATCH(shipments[[#This Row],[order_id]],Raw_orders!A:A, 0)), "Unknown")</f>
        <v>Nordics</v>
      </c>
      <c r="J2825" t="str">
        <f>PROPER(shipments[[#This Row],[delivery_status]])</f>
        <v>Delivered</v>
      </c>
      <c r="K2825" t="s">
        <v>6922</v>
      </c>
    </row>
    <row r="2826" spans="1:11">
      <c r="A2826" t="s">
        <v>9762</v>
      </c>
      <c r="B2826" t="s">
        <v>3555</v>
      </c>
      <c r="C2826" t="s">
        <v>6935</v>
      </c>
      <c r="D2826" s="1">
        <v>44954</v>
      </c>
      <c r="E2826" s="1">
        <v>44957</v>
      </c>
      <c r="F2826" s="1"/>
      <c r="G2826">
        <v>10.220000000000001</v>
      </c>
      <c r="H28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826" t="str">
        <f>IFERROR(INDEX(Raw_orders!G:G, MATCH(shipments[[#This Row],[order_id]],Raw_orders!A:A, 0)), "Unknown")</f>
        <v>Nordics</v>
      </c>
      <c r="J2826" t="str">
        <f>PROPER(shipments[[#This Row],[delivery_status]])</f>
        <v>Cancelled</v>
      </c>
      <c r="K2826" t="s">
        <v>6972</v>
      </c>
    </row>
    <row r="2827" spans="1:11">
      <c r="A2827" t="s">
        <v>9763</v>
      </c>
      <c r="B2827" t="s">
        <v>3556</v>
      </c>
      <c r="C2827" t="s">
        <v>6935</v>
      </c>
      <c r="D2827" s="1">
        <v>45627</v>
      </c>
      <c r="E2827" s="1">
        <v>45630</v>
      </c>
      <c r="F2827" s="1">
        <v>45629</v>
      </c>
      <c r="G2827">
        <v>16.41</v>
      </c>
      <c r="H28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827" t="str">
        <f>IFERROR(INDEX(Raw_orders!G:G, MATCH(shipments[[#This Row],[order_id]],Raw_orders!A:A, 0)), "Unknown")</f>
        <v>Baltics</v>
      </c>
      <c r="J2827" t="str">
        <f>PROPER(shipments[[#This Row],[delivery_status]])</f>
        <v>Delivered</v>
      </c>
      <c r="K2827" t="s">
        <v>6922</v>
      </c>
    </row>
    <row r="2828" spans="1:11">
      <c r="A2828" t="s">
        <v>9764</v>
      </c>
      <c r="B2828" t="s">
        <v>3557</v>
      </c>
      <c r="C2828" t="s">
        <v>6921</v>
      </c>
      <c r="D2828" s="1">
        <v>45399</v>
      </c>
      <c r="E2828" s="1">
        <v>45406</v>
      </c>
      <c r="F2828" s="1"/>
      <c r="G2828">
        <v>25.65</v>
      </c>
      <c r="H28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828" t="str">
        <f>IFERROR(INDEX(Raw_orders!G:G, MATCH(shipments[[#This Row],[order_id]],Raw_orders!A:A, 0)), "Unknown")</f>
        <v>Nordics</v>
      </c>
      <c r="J2828" t="str">
        <f>PROPER(shipments[[#This Row],[delivery_status]])</f>
        <v>In Transit</v>
      </c>
      <c r="K2828" t="s">
        <v>6958</v>
      </c>
    </row>
    <row r="2829" spans="1:11">
      <c r="A2829" t="s">
        <v>9765</v>
      </c>
      <c r="B2829" t="s">
        <v>3558</v>
      </c>
      <c r="C2829" t="s">
        <v>6921</v>
      </c>
      <c r="D2829" s="1">
        <v>45308</v>
      </c>
      <c r="E2829" s="1">
        <v>45318</v>
      </c>
      <c r="F2829" s="1">
        <v>45326</v>
      </c>
      <c r="G2829">
        <v>14.21</v>
      </c>
      <c r="H28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29" t="str">
        <f>IFERROR(INDEX(Raw_orders!G:G, MATCH(shipments[[#This Row],[order_id]],Raw_orders!A:A, 0)), "Unknown")</f>
        <v>Nordics</v>
      </c>
      <c r="J2829" t="str">
        <f>PROPER(shipments[[#This Row],[delivery_status]])</f>
        <v>Delivered</v>
      </c>
      <c r="K2829" t="s">
        <v>6926</v>
      </c>
    </row>
    <row r="2830" spans="1:11">
      <c r="A2830" t="s">
        <v>9766</v>
      </c>
      <c r="B2830" t="s">
        <v>3559</v>
      </c>
      <c r="C2830" t="s">
        <v>6935</v>
      </c>
      <c r="D2830" s="1">
        <v>45505</v>
      </c>
      <c r="E2830" s="1">
        <v>45508</v>
      </c>
      <c r="F2830" s="1">
        <v>45509</v>
      </c>
      <c r="G2830">
        <v>39.520000000000003</v>
      </c>
      <c r="H28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30" t="str">
        <f>IFERROR(INDEX(Raw_orders!G:G, MATCH(shipments[[#This Row],[order_id]],Raw_orders!A:A, 0)), "Unknown")</f>
        <v>Central Europe</v>
      </c>
      <c r="J2830" t="str">
        <f>PROPER(shipments[[#This Row],[delivery_status]])</f>
        <v>Delivered</v>
      </c>
      <c r="K2830" t="s">
        <v>6922</v>
      </c>
    </row>
    <row r="2831" spans="1:11">
      <c r="A2831" t="s">
        <v>9767</v>
      </c>
      <c r="B2831" t="s">
        <v>3560</v>
      </c>
      <c r="C2831" t="s">
        <v>6956</v>
      </c>
      <c r="D2831" s="1">
        <v>45437</v>
      </c>
      <c r="E2831" s="1">
        <v>45439</v>
      </c>
      <c r="F2831" s="1">
        <v>45439</v>
      </c>
      <c r="G2831">
        <v>34.47</v>
      </c>
      <c r="H28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831" t="str">
        <f>IFERROR(INDEX(Raw_orders!G:G, MATCH(shipments[[#This Row],[order_id]],Raw_orders!A:A, 0)), "Unknown")</f>
        <v>Baltics</v>
      </c>
      <c r="J2831" t="str">
        <f>PROPER(shipments[[#This Row],[delivery_status]])</f>
        <v>Delivered</v>
      </c>
      <c r="K2831" t="s">
        <v>6922</v>
      </c>
    </row>
    <row r="2832" spans="1:11">
      <c r="A2832" t="s">
        <v>9768</v>
      </c>
      <c r="B2832" t="s">
        <v>3561</v>
      </c>
      <c r="C2832" t="s">
        <v>6925</v>
      </c>
      <c r="D2832" s="1">
        <v>45111</v>
      </c>
      <c r="E2832" s="1">
        <v>45118</v>
      </c>
      <c r="F2832" s="1">
        <v>45126</v>
      </c>
      <c r="G2832">
        <v>15.46</v>
      </c>
      <c r="H28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32" t="str">
        <f>IFERROR(INDEX(Raw_orders!G:G, MATCH(shipments[[#This Row],[order_id]],Raw_orders!A:A, 0)), "Unknown")</f>
        <v>Central Europe</v>
      </c>
      <c r="J2832" t="str">
        <f>PROPER(shipments[[#This Row],[delivery_status]])</f>
        <v>Delivered</v>
      </c>
      <c r="K2832" t="s">
        <v>6929</v>
      </c>
    </row>
    <row r="2833" spans="1:11">
      <c r="A2833" t="s">
        <v>9769</v>
      </c>
      <c r="B2833" t="s">
        <v>3562</v>
      </c>
      <c r="C2833" t="s">
        <v>6921</v>
      </c>
      <c r="D2833" s="1">
        <v>45559</v>
      </c>
      <c r="E2833" s="1">
        <v>45562</v>
      </c>
      <c r="F2833" s="1">
        <v>45561</v>
      </c>
      <c r="G2833">
        <v>33.33</v>
      </c>
      <c r="H28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833" t="str">
        <f>IFERROR(INDEX(Raw_orders!G:G, MATCH(shipments[[#This Row],[order_id]],Raw_orders!A:A, 0)), "Unknown")</f>
        <v>Baltics</v>
      </c>
      <c r="J2833" t="str">
        <f>PROPER(shipments[[#This Row],[delivery_status]])</f>
        <v>Delivered</v>
      </c>
      <c r="K2833" t="s">
        <v>6922</v>
      </c>
    </row>
    <row r="2834" spans="1:11">
      <c r="A2834" t="s">
        <v>9770</v>
      </c>
      <c r="B2834" t="s">
        <v>3563</v>
      </c>
      <c r="C2834" t="s">
        <v>6925</v>
      </c>
      <c r="D2834" s="1">
        <v>45385</v>
      </c>
      <c r="E2834" s="1">
        <v>45395</v>
      </c>
      <c r="F2834" s="1"/>
      <c r="G2834">
        <v>14.02</v>
      </c>
      <c r="H28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834" t="str">
        <f>IFERROR(INDEX(Raw_orders!G:G, MATCH(shipments[[#This Row],[order_id]],Raw_orders!A:A, 0)), "Unknown")</f>
        <v>Baltics</v>
      </c>
      <c r="J2834" t="str">
        <f>PROPER(shipments[[#This Row],[delivery_status]])</f>
        <v>In Transit</v>
      </c>
      <c r="K2834" t="s">
        <v>6977</v>
      </c>
    </row>
    <row r="2835" spans="1:11">
      <c r="A2835" t="s">
        <v>9771</v>
      </c>
      <c r="B2835" t="s">
        <v>3564</v>
      </c>
      <c r="C2835" t="s">
        <v>6949</v>
      </c>
      <c r="D2835" s="1">
        <v>45118</v>
      </c>
      <c r="E2835" s="1">
        <v>45128</v>
      </c>
      <c r="F2835" s="1">
        <v>45135</v>
      </c>
      <c r="G2835">
        <v>14.98</v>
      </c>
      <c r="H28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35" t="str">
        <f>IFERROR(INDEX(Raw_orders!G:G, MATCH(shipments[[#This Row],[order_id]],Raw_orders!A:A, 0)), "Unknown")</f>
        <v>Baltics</v>
      </c>
      <c r="J2835" t="str">
        <f>PROPER(shipments[[#This Row],[delivery_status]])</f>
        <v>Delivered</v>
      </c>
      <c r="K2835" t="s">
        <v>6922</v>
      </c>
    </row>
    <row r="2836" spans="1:11">
      <c r="A2836" t="s">
        <v>9772</v>
      </c>
      <c r="B2836" t="s">
        <v>3565</v>
      </c>
      <c r="C2836" t="s">
        <v>6928</v>
      </c>
      <c r="D2836" s="1">
        <v>45131</v>
      </c>
      <c r="E2836" s="1">
        <v>45134</v>
      </c>
      <c r="F2836" s="1">
        <v>45135</v>
      </c>
      <c r="G2836">
        <v>12.71</v>
      </c>
      <c r="H28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36" t="str">
        <f>IFERROR(INDEX(Raw_orders!G:G, MATCH(shipments[[#This Row],[order_id]],Raw_orders!A:A, 0)), "Unknown")</f>
        <v>Nordics</v>
      </c>
      <c r="J2836" t="str">
        <f>PROPER(shipments[[#This Row],[delivery_status]])</f>
        <v>Delivered</v>
      </c>
      <c r="K2836" t="s">
        <v>6929</v>
      </c>
    </row>
    <row r="2837" spans="1:11">
      <c r="A2837" t="s">
        <v>9773</v>
      </c>
      <c r="B2837" t="s">
        <v>3566</v>
      </c>
      <c r="C2837" t="s">
        <v>6956</v>
      </c>
      <c r="D2837" s="1">
        <v>44971</v>
      </c>
      <c r="E2837" s="1">
        <v>44981</v>
      </c>
      <c r="F2837" s="1">
        <v>44989</v>
      </c>
      <c r="G2837">
        <v>5.12</v>
      </c>
      <c r="H28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37" t="str">
        <f>IFERROR(INDEX(Raw_orders!G:G, MATCH(shipments[[#This Row],[order_id]],Raw_orders!A:A, 0)), "Unknown")</f>
        <v>Baltics</v>
      </c>
      <c r="J2837" t="str">
        <f>PROPER(shipments[[#This Row],[delivery_status]])</f>
        <v>Delivered</v>
      </c>
      <c r="K2837" t="s">
        <v>6929</v>
      </c>
    </row>
    <row r="2838" spans="1:11">
      <c r="A2838" t="s">
        <v>9774</v>
      </c>
      <c r="B2838" t="s">
        <v>3567</v>
      </c>
      <c r="C2838" t="s">
        <v>6935</v>
      </c>
      <c r="D2838" s="1">
        <v>45334</v>
      </c>
      <c r="E2838" s="1">
        <v>45339</v>
      </c>
      <c r="F2838" s="1">
        <v>45342</v>
      </c>
      <c r="G2838">
        <v>60.61</v>
      </c>
      <c r="H28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38" t="str">
        <f>IFERROR(INDEX(Raw_orders!G:G, MATCH(shipments[[#This Row],[order_id]],Raw_orders!A:A, 0)), "Unknown")</f>
        <v>Central Europe</v>
      </c>
      <c r="J2838" t="str">
        <f>PROPER(shipments[[#This Row],[delivery_status]])</f>
        <v>Delivered</v>
      </c>
      <c r="K2838" t="s">
        <v>6922</v>
      </c>
    </row>
    <row r="2839" spans="1:11">
      <c r="A2839" t="s">
        <v>9775</v>
      </c>
      <c r="B2839" t="s">
        <v>3568</v>
      </c>
      <c r="C2839" t="s">
        <v>6938</v>
      </c>
      <c r="D2839" s="1">
        <v>45144</v>
      </c>
      <c r="E2839" s="1">
        <v>45147</v>
      </c>
      <c r="F2839" s="1">
        <v>45146</v>
      </c>
      <c r="G2839">
        <v>52.06</v>
      </c>
      <c r="H28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839" t="str">
        <f>IFERROR(INDEX(Raw_orders!G:G, MATCH(shipments[[#This Row],[order_id]],Raw_orders!A:A, 0)), "Unknown")</f>
        <v>Nordics</v>
      </c>
      <c r="J2839" t="str">
        <f>PROPER(shipments[[#This Row],[delivery_status]])</f>
        <v>Delivered</v>
      </c>
      <c r="K2839" t="s">
        <v>6929</v>
      </c>
    </row>
    <row r="2840" spans="1:11">
      <c r="A2840" t="s">
        <v>9776</v>
      </c>
      <c r="B2840" t="s">
        <v>3569</v>
      </c>
      <c r="C2840" t="s">
        <v>6925</v>
      </c>
      <c r="D2840" s="1">
        <v>45531</v>
      </c>
      <c r="E2840" s="1">
        <v>45541</v>
      </c>
      <c r="F2840" s="1">
        <v>45549</v>
      </c>
      <c r="G2840">
        <v>5.5</v>
      </c>
      <c r="H28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40" t="str">
        <f>IFERROR(INDEX(Raw_orders!G:G, MATCH(shipments[[#This Row],[order_id]],Raw_orders!A:A, 0)), "Unknown")</f>
        <v>Nordics</v>
      </c>
      <c r="J2840" t="str">
        <f>PROPER(shipments[[#This Row],[delivery_status]])</f>
        <v>Delivered</v>
      </c>
      <c r="K2840" t="s">
        <v>6922</v>
      </c>
    </row>
    <row r="2841" spans="1:11">
      <c r="A2841" t="s">
        <v>9777</v>
      </c>
      <c r="B2841" t="s">
        <v>3570</v>
      </c>
      <c r="C2841" t="s">
        <v>6938</v>
      </c>
      <c r="D2841" s="1">
        <v>45420</v>
      </c>
      <c r="E2841" s="1">
        <v>45427</v>
      </c>
      <c r="F2841" s="1">
        <v>45426</v>
      </c>
      <c r="G2841">
        <v>27.84</v>
      </c>
      <c r="H28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841" t="str">
        <f>IFERROR(INDEX(Raw_orders!G:G, MATCH(shipments[[#This Row],[order_id]],Raw_orders!A:A, 0)), "Unknown")</f>
        <v>Central Europe</v>
      </c>
      <c r="J2841" t="str">
        <f>PROPER(shipments[[#This Row],[delivery_status]])</f>
        <v>Delivered</v>
      </c>
      <c r="K2841" t="s">
        <v>6922</v>
      </c>
    </row>
    <row r="2842" spans="1:11">
      <c r="A2842" t="s">
        <v>9778</v>
      </c>
      <c r="B2842" t="s">
        <v>3571</v>
      </c>
      <c r="C2842" t="s">
        <v>6931</v>
      </c>
      <c r="D2842" s="1">
        <v>45060</v>
      </c>
      <c r="E2842" s="1">
        <v>45070</v>
      </c>
      <c r="F2842" s="1">
        <v>45073</v>
      </c>
      <c r="G2842">
        <v>18.28</v>
      </c>
      <c r="H28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42" t="str">
        <f>IFERROR(INDEX(Raw_orders!G:G, MATCH(shipments[[#This Row],[order_id]],Raw_orders!A:A, 0)), "Unknown")</f>
        <v>Nordics</v>
      </c>
      <c r="J2842" t="str">
        <f>PROPER(shipments[[#This Row],[delivery_status]])</f>
        <v>Delivered</v>
      </c>
      <c r="K2842" t="s">
        <v>6926</v>
      </c>
    </row>
    <row r="2843" spans="1:11">
      <c r="A2843" t="s">
        <v>9779</v>
      </c>
      <c r="B2843" t="s">
        <v>3572</v>
      </c>
      <c r="C2843" t="s">
        <v>6956</v>
      </c>
      <c r="D2843" s="1">
        <v>45434</v>
      </c>
      <c r="E2843" s="1">
        <v>45439</v>
      </c>
      <c r="F2843" s="1">
        <v>45444</v>
      </c>
      <c r="H28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43" t="str">
        <f>IFERROR(INDEX(Raw_orders!G:G, MATCH(shipments[[#This Row],[order_id]],Raw_orders!A:A, 0)), "Unknown")</f>
        <v>Nordics</v>
      </c>
      <c r="J2843" t="str">
        <f>PROPER(shipments[[#This Row],[delivery_status]])</f>
        <v>Delivered</v>
      </c>
      <c r="K2843" t="s">
        <v>6926</v>
      </c>
    </row>
    <row r="2844" spans="1:11">
      <c r="A2844" t="s">
        <v>9780</v>
      </c>
      <c r="B2844" t="s">
        <v>3573</v>
      </c>
      <c r="C2844" t="s">
        <v>6935</v>
      </c>
      <c r="D2844" s="1">
        <v>44980</v>
      </c>
      <c r="E2844" s="1">
        <v>44983</v>
      </c>
      <c r="F2844" s="1">
        <v>44988</v>
      </c>
      <c r="G2844">
        <v>36.700000000000003</v>
      </c>
      <c r="H28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44" t="str">
        <f>IFERROR(INDEX(Raw_orders!G:G, MATCH(shipments[[#This Row],[order_id]],Raw_orders!A:A, 0)), "Unknown")</f>
        <v>Unknown</v>
      </c>
      <c r="J2844" t="str">
        <f>PROPER(shipments[[#This Row],[delivery_status]])</f>
        <v>Delivered</v>
      </c>
      <c r="K2844" t="s">
        <v>6922</v>
      </c>
    </row>
    <row r="2845" spans="1:11">
      <c r="A2845" t="s">
        <v>9781</v>
      </c>
      <c r="B2845" t="s">
        <v>3574</v>
      </c>
      <c r="C2845" t="s">
        <v>6921</v>
      </c>
      <c r="D2845" s="1">
        <v>45343</v>
      </c>
      <c r="E2845" s="1">
        <v>45350</v>
      </c>
      <c r="F2845" s="1">
        <v>45350</v>
      </c>
      <c r="G2845">
        <v>27.78</v>
      </c>
      <c r="H28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845" t="str">
        <f>IFERROR(INDEX(Raw_orders!G:G, MATCH(shipments[[#This Row],[order_id]],Raw_orders!A:A, 0)), "Unknown")</f>
        <v>Nordics</v>
      </c>
      <c r="J2845" t="str">
        <f>PROPER(shipments[[#This Row],[delivery_status]])</f>
        <v>Delivered</v>
      </c>
      <c r="K2845" t="s">
        <v>6926</v>
      </c>
    </row>
    <row r="2846" spans="1:11">
      <c r="A2846" t="s">
        <v>9782</v>
      </c>
      <c r="B2846" t="s">
        <v>3575</v>
      </c>
      <c r="C2846" t="s">
        <v>6931</v>
      </c>
      <c r="D2846" s="1">
        <v>45612</v>
      </c>
      <c r="E2846" s="1">
        <v>45617</v>
      </c>
      <c r="F2846" s="1">
        <v>45618</v>
      </c>
      <c r="G2846">
        <v>27.01</v>
      </c>
      <c r="H28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46" t="str">
        <f>IFERROR(INDEX(Raw_orders!G:G, MATCH(shipments[[#This Row],[order_id]],Raw_orders!A:A, 0)), "Unknown")</f>
        <v>Baltics</v>
      </c>
      <c r="J2846" t="str">
        <f>PROPER(shipments[[#This Row],[delivery_status]])</f>
        <v>Delivered</v>
      </c>
      <c r="K2846" t="s">
        <v>6926</v>
      </c>
    </row>
    <row r="2847" spans="1:11">
      <c r="A2847" t="s">
        <v>9783</v>
      </c>
      <c r="B2847" t="s">
        <v>3576</v>
      </c>
      <c r="C2847" t="s">
        <v>6928</v>
      </c>
      <c r="D2847" s="1">
        <v>45475</v>
      </c>
      <c r="E2847" s="1">
        <v>45482</v>
      </c>
      <c r="F2847" s="1">
        <v>45490</v>
      </c>
      <c r="G2847">
        <v>41.85</v>
      </c>
      <c r="H28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47" t="str">
        <f>IFERROR(INDEX(Raw_orders!G:G, MATCH(shipments[[#This Row],[order_id]],Raw_orders!A:A, 0)), "Unknown")</f>
        <v>Central Europe</v>
      </c>
      <c r="J2847" t="str">
        <f>PROPER(shipments[[#This Row],[delivery_status]])</f>
        <v>Delivered</v>
      </c>
      <c r="K2847" t="s">
        <v>6929</v>
      </c>
    </row>
    <row r="2848" spans="1:11">
      <c r="A2848" t="s">
        <v>9784</v>
      </c>
      <c r="B2848" t="s">
        <v>3577</v>
      </c>
      <c r="C2848" t="s">
        <v>6938</v>
      </c>
      <c r="D2848" s="1">
        <v>45494</v>
      </c>
      <c r="E2848" s="1">
        <v>45501</v>
      </c>
      <c r="F2848" s="1">
        <v>45501</v>
      </c>
      <c r="G2848">
        <v>61.65</v>
      </c>
      <c r="H28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848" t="str">
        <f>IFERROR(INDEX(Raw_orders!G:G, MATCH(shipments[[#This Row],[order_id]],Raw_orders!A:A, 0)), "Unknown")</f>
        <v>Nordics</v>
      </c>
      <c r="J2848" t="str">
        <f>PROPER(shipments[[#This Row],[delivery_status]])</f>
        <v>Delivered</v>
      </c>
      <c r="K2848" t="s">
        <v>6929</v>
      </c>
    </row>
    <row r="2849" spans="1:11">
      <c r="A2849" t="s">
        <v>9785</v>
      </c>
      <c r="B2849" t="s">
        <v>3577</v>
      </c>
      <c r="C2849" t="s">
        <v>6949</v>
      </c>
      <c r="D2849" s="1">
        <v>45493</v>
      </c>
      <c r="E2849" s="1">
        <v>45495</v>
      </c>
      <c r="F2849" s="1">
        <v>45503</v>
      </c>
      <c r="G2849">
        <v>29.54</v>
      </c>
      <c r="H28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49" t="str">
        <f>IFERROR(INDEX(Raw_orders!G:G, MATCH(shipments[[#This Row],[order_id]],Raw_orders!A:A, 0)), "Unknown")</f>
        <v>Nordics</v>
      </c>
      <c r="J2849" t="str">
        <f>PROPER(shipments[[#This Row],[delivery_status]])</f>
        <v>Delivered</v>
      </c>
      <c r="K2849" t="s">
        <v>6926</v>
      </c>
    </row>
    <row r="2850" spans="1:11">
      <c r="A2850" t="s">
        <v>9786</v>
      </c>
      <c r="B2850" t="s">
        <v>3578</v>
      </c>
      <c r="C2850" t="s">
        <v>6940</v>
      </c>
      <c r="D2850" s="1">
        <v>45249</v>
      </c>
      <c r="E2850" s="1">
        <v>45256</v>
      </c>
      <c r="F2850" s="1">
        <v>45259</v>
      </c>
      <c r="G2850">
        <v>54.93</v>
      </c>
      <c r="H28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50" t="str">
        <f>IFERROR(INDEX(Raw_orders!G:G, MATCH(shipments[[#This Row],[order_id]],Raw_orders!A:A, 0)), "Unknown")</f>
        <v>Baltics</v>
      </c>
      <c r="J2850" t="str">
        <f>PROPER(shipments[[#This Row],[delivery_status]])</f>
        <v>Delivered</v>
      </c>
      <c r="K2850" t="s">
        <v>6929</v>
      </c>
    </row>
    <row r="2851" spans="1:11">
      <c r="A2851" t="s">
        <v>9787</v>
      </c>
      <c r="B2851" t="s">
        <v>3579</v>
      </c>
      <c r="C2851" t="s">
        <v>6928</v>
      </c>
      <c r="D2851" s="1">
        <v>45464</v>
      </c>
      <c r="E2851" s="1">
        <v>45466</v>
      </c>
      <c r="F2851" s="1">
        <v>45468</v>
      </c>
      <c r="G2851">
        <v>5.37</v>
      </c>
      <c r="H28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51" t="str">
        <f>IFERROR(INDEX(Raw_orders!G:G, MATCH(shipments[[#This Row],[order_id]],Raw_orders!A:A, 0)), "Unknown")</f>
        <v>Central Europe</v>
      </c>
      <c r="J2851" t="str">
        <f>PROPER(shipments[[#This Row],[delivery_status]])</f>
        <v>Delivered</v>
      </c>
      <c r="K2851" t="s">
        <v>6922</v>
      </c>
    </row>
    <row r="2852" spans="1:11">
      <c r="A2852" t="s">
        <v>9788</v>
      </c>
      <c r="B2852" t="s">
        <v>3580</v>
      </c>
      <c r="C2852" t="s">
        <v>6935</v>
      </c>
      <c r="D2852" s="1">
        <v>45255</v>
      </c>
      <c r="E2852" s="1">
        <v>45265</v>
      </c>
      <c r="F2852" s="1"/>
      <c r="G2852">
        <v>52.54</v>
      </c>
      <c r="H28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852" t="str">
        <f>IFERROR(INDEX(Raw_orders!G:G, MATCH(shipments[[#This Row],[order_id]],Raw_orders!A:A, 0)), "Unknown")</f>
        <v>Central Europe</v>
      </c>
      <c r="J2852" t="str">
        <f>PROPER(shipments[[#This Row],[delivery_status]])</f>
        <v>In Transit</v>
      </c>
      <c r="K2852" t="s">
        <v>6946</v>
      </c>
    </row>
    <row r="2853" spans="1:11">
      <c r="A2853" t="s">
        <v>9789</v>
      </c>
      <c r="B2853" t="s">
        <v>3580</v>
      </c>
      <c r="C2853" t="s">
        <v>6921</v>
      </c>
      <c r="D2853" s="1">
        <v>45255</v>
      </c>
      <c r="E2853" s="1">
        <v>45260</v>
      </c>
      <c r="F2853" s="1">
        <v>45265</v>
      </c>
      <c r="G2853">
        <v>11.27</v>
      </c>
      <c r="H28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53" t="str">
        <f>IFERROR(INDEX(Raw_orders!G:G, MATCH(shipments[[#This Row],[order_id]],Raw_orders!A:A, 0)), "Unknown")</f>
        <v>Central Europe</v>
      </c>
      <c r="J2853" t="str">
        <f>PROPER(shipments[[#This Row],[delivery_status]])</f>
        <v>Delivered</v>
      </c>
      <c r="K2853" t="s">
        <v>6926</v>
      </c>
    </row>
    <row r="2854" spans="1:11">
      <c r="A2854" t="s">
        <v>9790</v>
      </c>
      <c r="B2854" t="s">
        <v>3581</v>
      </c>
      <c r="C2854" t="s">
        <v>6938</v>
      </c>
      <c r="D2854" s="1">
        <v>45161</v>
      </c>
      <c r="E2854" s="1">
        <v>45163</v>
      </c>
      <c r="F2854" s="1">
        <v>45164</v>
      </c>
      <c r="G2854">
        <v>31.74</v>
      </c>
      <c r="H28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54" t="str">
        <f>IFERROR(INDEX(Raw_orders!G:G, MATCH(shipments[[#This Row],[order_id]],Raw_orders!A:A, 0)), "Unknown")</f>
        <v>Central Europe</v>
      </c>
      <c r="J2854" t="str">
        <f>PROPER(shipments[[#This Row],[delivery_status]])</f>
        <v>Delivered</v>
      </c>
      <c r="K2854" t="s">
        <v>6929</v>
      </c>
    </row>
    <row r="2855" spans="1:11">
      <c r="A2855" t="s">
        <v>9791</v>
      </c>
      <c r="B2855" t="s">
        <v>3582</v>
      </c>
      <c r="C2855" t="s">
        <v>6956</v>
      </c>
      <c r="D2855" s="1">
        <v>45565</v>
      </c>
      <c r="E2855" s="1">
        <v>45568</v>
      </c>
      <c r="F2855" s="1">
        <v>45571</v>
      </c>
      <c r="G2855">
        <v>61.49</v>
      </c>
      <c r="H28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55" t="str">
        <f>IFERROR(INDEX(Raw_orders!G:G, MATCH(shipments[[#This Row],[order_id]],Raw_orders!A:A, 0)), "Unknown")</f>
        <v>Central Europe</v>
      </c>
      <c r="J2855" t="str">
        <f>PROPER(shipments[[#This Row],[delivery_status]])</f>
        <v>Delivered</v>
      </c>
      <c r="K2855" t="s">
        <v>6929</v>
      </c>
    </row>
    <row r="2856" spans="1:11">
      <c r="A2856" t="s">
        <v>9792</v>
      </c>
      <c r="B2856" t="s">
        <v>3583</v>
      </c>
      <c r="C2856" t="s">
        <v>6938</v>
      </c>
      <c r="D2856" s="1">
        <v>45114</v>
      </c>
      <c r="E2856" s="1">
        <v>45124</v>
      </c>
      <c r="F2856" s="1"/>
      <c r="G2856">
        <v>36.24</v>
      </c>
      <c r="H28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856" t="str">
        <f>IFERROR(INDEX(Raw_orders!G:G, MATCH(shipments[[#This Row],[order_id]],Raw_orders!A:A, 0)), "Unknown")</f>
        <v>Nordics</v>
      </c>
      <c r="J2856" t="str">
        <f>PROPER(shipments[[#This Row],[delivery_status]])</f>
        <v>In Transit</v>
      </c>
      <c r="K2856" t="s">
        <v>6946</v>
      </c>
    </row>
    <row r="2857" spans="1:11">
      <c r="A2857" t="s">
        <v>9793</v>
      </c>
      <c r="B2857" t="s">
        <v>3584</v>
      </c>
      <c r="C2857" t="s">
        <v>6935</v>
      </c>
      <c r="D2857" s="1">
        <v>45164</v>
      </c>
      <c r="E2857" s="1">
        <v>45174</v>
      </c>
      <c r="F2857" s="1">
        <v>45179</v>
      </c>
      <c r="G2857">
        <v>64.47</v>
      </c>
      <c r="H28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57" t="str">
        <f>IFERROR(INDEX(Raw_orders!G:G, MATCH(shipments[[#This Row],[order_id]],Raw_orders!A:A, 0)), "Unknown")</f>
        <v>Nordics</v>
      </c>
      <c r="J2857" t="str">
        <f>PROPER(shipments[[#This Row],[delivery_status]])</f>
        <v>Delivered</v>
      </c>
      <c r="K2857" t="s">
        <v>6926</v>
      </c>
    </row>
    <row r="2858" spans="1:11">
      <c r="A2858" t="s">
        <v>9794</v>
      </c>
      <c r="B2858" t="s">
        <v>3585</v>
      </c>
      <c r="C2858" t="s">
        <v>6956</v>
      </c>
      <c r="D2858" s="1">
        <v>45147</v>
      </c>
      <c r="E2858" s="1">
        <v>45150</v>
      </c>
      <c r="F2858" s="1"/>
      <c r="G2858">
        <v>17.899999999999999</v>
      </c>
      <c r="H28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858" t="str">
        <f>IFERROR(INDEX(Raw_orders!G:G, MATCH(shipments[[#This Row],[order_id]],Raw_orders!A:A, 0)), "Unknown")</f>
        <v>Baltics</v>
      </c>
      <c r="J2858" t="str">
        <f>PROPER(shipments[[#This Row],[delivery_status]])</f>
        <v>In Transit</v>
      </c>
      <c r="K2858" t="s">
        <v>6946</v>
      </c>
    </row>
    <row r="2859" spans="1:11">
      <c r="A2859" t="s">
        <v>9795</v>
      </c>
      <c r="B2859" t="s">
        <v>3586</v>
      </c>
      <c r="C2859" t="s">
        <v>6928</v>
      </c>
      <c r="D2859" s="1">
        <v>45385</v>
      </c>
      <c r="E2859" s="1">
        <v>45387</v>
      </c>
      <c r="F2859" s="1">
        <v>45392</v>
      </c>
      <c r="G2859">
        <v>63.1</v>
      </c>
      <c r="H28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59" t="str">
        <f>IFERROR(INDEX(Raw_orders!G:G, MATCH(shipments[[#This Row],[order_id]],Raw_orders!A:A, 0)), "Unknown")</f>
        <v>Unknown</v>
      </c>
      <c r="J2859" t="str">
        <f>PROPER(shipments[[#This Row],[delivery_status]])</f>
        <v>Delivered</v>
      </c>
      <c r="K2859" t="s">
        <v>6922</v>
      </c>
    </row>
    <row r="2860" spans="1:11">
      <c r="A2860" t="s">
        <v>9796</v>
      </c>
      <c r="B2860" t="s">
        <v>3587</v>
      </c>
      <c r="C2860" t="s">
        <v>6956</v>
      </c>
      <c r="D2860" s="1">
        <v>45088</v>
      </c>
      <c r="E2860" s="1">
        <v>45090</v>
      </c>
      <c r="F2860" s="1">
        <v>45090</v>
      </c>
      <c r="G2860">
        <v>22.33</v>
      </c>
      <c r="H28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860" t="str">
        <f>IFERROR(INDEX(Raw_orders!G:G, MATCH(shipments[[#This Row],[order_id]],Raw_orders!A:A, 0)), "Unknown")</f>
        <v>Nordics</v>
      </c>
      <c r="J2860" t="str">
        <f>PROPER(shipments[[#This Row],[delivery_status]])</f>
        <v>Delivered</v>
      </c>
      <c r="K2860" t="s">
        <v>6922</v>
      </c>
    </row>
    <row r="2861" spans="1:11">
      <c r="A2861" t="s">
        <v>9797</v>
      </c>
      <c r="B2861" t="s">
        <v>3588</v>
      </c>
      <c r="C2861" t="s">
        <v>6928</v>
      </c>
      <c r="D2861" s="1">
        <v>45391</v>
      </c>
      <c r="E2861" s="1">
        <v>45401</v>
      </c>
      <c r="F2861" s="1">
        <v>45406</v>
      </c>
      <c r="G2861">
        <v>30.39</v>
      </c>
      <c r="H28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61" t="str">
        <f>IFERROR(INDEX(Raw_orders!G:G, MATCH(shipments[[#This Row],[order_id]],Raw_orders!A:A, 0)), "Unknown")</f>
        <v>Baltics</v>
      </c>
      <c r="J2861" t="str">
        <f>PROPER(shipments[[#This Row],[delivery_status]])</f>
        <v>Delivered</v>
      </c>
      <c r="K2861" t="s">
        <v>6929</v>
      </c>
    </row>
    <row r="2862" spans="1:11">
      <c r="A2862" t="s">
        <v>9798</v>
      </c>
      <c r="B2862" t="s">
        <v>3589</v>
      </c>
      <c r="C2862" t="s">
        <v>6925</v>
      </c>
      <c r="D2862" s="1">
        <v>45444</v>
      </c>
      <c r="E2862" s="1">
        <v>45451</v>
      </c>
      <c r="F2862" s="1">
        <v>45460</v>
      </c>
      <c r="G2862">
        <v>36.5</v>
      </c>
      <c r="H28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62" t="str">
        <f>IFERROR(INDEX(Raw_orders!G:G, MATCH(shipments[[#This Row],[order_id]],Raw_orders!A:A, 0)), "Unknown")</f>
        <v>Central Europe</v>
      </c>
      <c r="J2862" t="str">
        <f>PROPER(shipments[[#This Row],[delivery_status]])</f>
        <v>Delivered</v>
      </c>
      <c r="K2862" t="s">
        <v>6926</v>
      </c>
    </row>
    <row r="2863" spans="1:11">
      <c r="A2863" t="s">
        <v>9799</v>
      </c>
      <c r="B2863" t="s">
        <v>3590</v>
      </c>
      <c r="C2863" t="s">
        <v>6940</v>
      </c>
      <c r="D2863" s="1">
        <v>45468</v>
      </c>
      <c r="E2863" s="1">
        <v>45475</v>
      </c>
      <c r="F2863" s="1">
        <v>45474</v>
      </c>
      <c r="G2863">
        <v>19.23</v>
      </c>
      <c r="H28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863" t="str">
        <f>IFERROR(INDEX(Raw_orders!G:G, MATCH(shipments[[#This Row],[order_id]],Raw_orders!A:A, 0)), "Unknown")</f>
        <v>Central Europe</v>
      </c>
      <c r="J2863" t="str">
        <f>PROPER(shipments[[#This Row],[delivery_status]])</f>
        <v>Delivered</v>
      </c>
      <c r="K2863" t="s">
        <v>6922</v>
      </c>
    </row>
    <row r="2864" spans="1:11">
      <c r="A2864" t="s">
        <v>9800</v>
      </c>
      <c r="B2864" t="s">
        <v>3591</v>
      </c>
      <c r="C2864" t="s">
        <v>6925</v>
      </c>
      <c r="D2864" s="1">
        <v>45055</v>
      </c>
      <c r="E2864" s="1">
        <v>45058</v>
      </c>
      <c r="F2864" s="1">
        <v>45060</v>
      </c>
      <c r="G2864">
        <v>32.25</v>
      </c>
      <c r="H28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64" t="str">
        <f>IFERROR(INDEX(Raw_orders!G:G, MATCH(shipments[[#This Row],[order_id]],Raw_orders!A:A, 0)), "Unknown")</f>
        <v>Central Europe</v>
      </c>
      <c r="J2864" t="str">
        <f>PROPER(shipments[[#This Row],[delivery_status]])</f>
        <v>Delivered</v>
      </c>
      <c r="K2864" t="s">
        <v>6926</v>
      </c>
    </row>
    <row r="2865" spans="1:11">
      <c r="A2865" t="s">
        <v>9801</v>
      </c>
      <c r="B2865" t="s">
        <v>3592</v>
      </c>
      <c r="C2865" t="s">
        <v>6931</v>
      </c>
      <c r="D2865" s="1">
        <v>45443</v>
      </c>
      <c r="E2865" s="1">
        <v>45448</v>
      </c>
      <c r="F2865" s="1">
        <v>45449</v>
      </c>
      <c r="G2865">
        <v>42.31</v>
      </c>
      <c r="H28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65" t="str">
        <f>IFERROR(INDEX(Raw_orders!G:G, MATCH(shipments[[#This Row],[order_id]],Raw_orders!A:A, 0)), "Unknown")</f>
        <v>Baltics</v>
      </c>
      <c r="J2865" t="str">
        <f>PROPER(shipments[[#This Row],[delivery_status]])</f>
        <v>Delivered</v>
      </c>
      <c r="K2865" t="s">
        <v>6929</v>
      </c>
    </row>
    <row r="2866" spans="1:11">
      <c r="A2866" t="s">
        <v>9802</v>
      </c>
      <c r="B2866" t="s">
        <v>3593</v>
      </c>
      <c r="C2866" t="s">
        <v>6931</v>
      </c>
      <c r="D2866" s="1">
        <v>45341</v>
      </c>
      <c r="E2866" s="1">
        <v>45344</v>
      </c>
      <c r="F2866" s="1">
        <v>45347</v>
      </c>
      <c r="G2866">
        <v>46.42</v>
      </c>
      <c r="H28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66" t="str">
        <f>IFERROR(INDEX(Raw_orders!G:G, MATCH(shipments[[#This Row],[order_id]],Raw_orders!A:A, 0)), "Unknown")</f>
        <v>Nordics</v>
      </c>
      <c r="J2866" t="str">
        <f>PROPER(shipments[[#This Row],[delivery_status]])</f>
        <v>Delivered</v>
      </c>
      <c r="K2866" t="s">
        <v>6926</v>
      </c>
    </row>
    <row r="2867" spans="1:11">
      <c r="A2867" t="s">
        <v>9803</v>
      </c>
      <c r="B2867" t="s">
        <v>3593</v>
      </c>
      <c r="C2867" t="s">
        <v>6921</v>
      </c>
      <c r="D2867" s="1">
        <v>45341</v>
      </c>
      <c r="E2867" s="1">
        <v>45351</v>
      </c>
      <c r="F2867" s="1">
        <v>45355</v>
      </c>
      <c r="G2867">
        <v>47.13</v>
      </c>
      <c r="H28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67" t="str">
        <f>IFERROR(INDEX(Raw_orders!G:G, MATCH(shipments[[#This Row],[order_id]],Raw_orders!A:A, 0)), "Unknown")</f>
        <v>Nordics</v>
      </c>
      <c r="J2867" t="str">
        <f>PROPER(shipments[[#This Row],[delivery_status]])</f>
        <v>Delivered</v>
      </c>
      <c r="K2867" t="s">
        <v>6929</v>
      </c>
    </row>
    <row r="2868" spans="1:11">
      <c r="A2868" t="s">
        <v>9804</v>
      </c>
      <c r="B2868" t="s">
        <v>3594</v>
      </c>
      <c r="C2868" t="s">
        <v>6935</v>
      </c>
      <c r="D2868" s="1">
        <v>45196</v>
      </c>
      <c r="E2868" s="1">
        <v>45203</v>
      </c>
      <c r="F2868" s="1">
        <v>45204</v>
      </c>
      <c r="G2868">
        <v>64.37</v>
      </c>
      <c r="H28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68" t="str">
        <f>IFERROR(INDEX(Raw_orders!G:G, MATCH(shipments[[#This Row],[order_id]],Raw_orders!A:A, 0)), "Unknown")</f>
        <v>Central Europe</v>
      </c>
      <c r="J2868" t="str">
        <f>PROPER(shipments[[#This Row],[delivery_status]])</f>
        <v>Delivered</v>
      </c>
      <c r="K2868" t="s">
        <v>6926</v>
      </c>
    </row>
    <row r="2869" spans="1:11">
      <c r="A2869" t="s">
        <v>9805</v>
      </c>
      <c r="B2869" t="s">
        <v>3595</v>
      </c>
      <c r="C2869" t="s">
        <v>6938</v>
      </c>
      <c r="D2869" s="1">
        <v>45033</v>
      </c>
      <c r="E2869" s="1">
        <v>45036</v>
      </c>
      <c r="F2869" s="1">
        <v>45039</v>
      </c>
      <c r="G2869">
        <v>32.340000000000003</v>
      </c>
      <c r="H28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69" t="str">
        <f>IFERROR(INDEX(Raw_orders!G:G, MATCH(shipments[[#This Row],[order_id]],Raw_orders!A:A, 0)), "Unknown")</f>
        <v>Nordics</v>
      </c>
      <c r="J2869" t="str">
        <f>PROPER(shipments[[#This Row],[delivery_status]])</f>
        <v>Delivered</v>
      </c>
      <c r="K2869" t="s">
        <v>6922</v>
      </c>
    </row>
    <row r="2870" spans="1:11">
      <c r="A2870" t="s">
        <v>9806</v>
      </c>
      <c r="B2870" t="s">
        <v>3596</v>
      </c>
      <c r="C2870" t="s">
        <v>6925</v>
      </c>
      <c r="D2870" s="1">
        <v>45599</v>
      </c>
      <c r="E2870" s="1">
        <v>45606</v>
      </c>
      <c r="F2870" s="1">
        <v>45605</v>
      </c>
      <c r="G2870">
        <v>57.57</v>
      </c>
      <c r="H28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870" t="str">
        <f>IFERROR(INDEX(Raw_orders!G:G, MATCH(shipments[[#This Row],[order_id]],Raw_orders!A:A, 0)), "Unknown")</f>
        <v>Baltics</v>
      </c>
      <c r="J2870" t="str">
        <f>PROPER(shipments[[#This Row],[delivery_status]])</f>
        <v>Delivered</v>
      </c>
      <c r="K2870" t="s">
        <v>6926</v>
      </c>
    </row>
    <row r="2871" spans="1:11">
      <c r="A2871" t="s">
        <v>9807</v>
      </c>
      <c r="B2871" t="s">
        <v>3597</v>
      </c>
      <c r="C2871" t="s">
        <v>6921</v>
      </c>
      <c r="D2871" s="1">
        <v>45298</v>
      </c>
      <c r="E2871" s="1">
        <v>45305</v>
      </c>
      <c r="F2871" s="1">
        <v>45304</v>
      </c>
      <c r="G2871">
        <v>53.81</v>
      </c>
      <c r="H28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871" t="str">
        <f>IFERROR(INDEX(Raw_orders!G:G, MATCH(shipments[[#This Row],[order_id]],Raw_orders!A:A, 0)), "Unknown")</f>
        <v>Nordics</v>
      </c>
      <c r="J2871" t="str">
        <f>PROPER(shipments[[#This Row],[delivery_status]])</f>
        <v>Delivered</v>
      </c>
      <c r="K2871" t="s">
        <v>6922</v>
      </c>
    </row>
    <row r="2872" spans="1:11">
      <c r="A2872" t="s">
        <v>9808</v>
      </c>
      <c r="B2872" t="s">
        <v>3598</v>
      </c>
      <c r="C2872" t="s">
        <v>6931</v>
      </c>
      <c r="D2872" s="1">
        <v>45328</v>
      </c>
      <c r="E2872" s="1">
        <v>45330</v>
      </c>
      <c r="F2872" s="1">
        <v>45337</v>
      </c>
      <c r="G2872">
        <v>12.28</v>
      </c>
      <c r="H28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72" t="str">
        <f>IFERROR(INDEX(Raw_orders!G:G, MATCH(shipments[[#This Row],[order_id]],Raw_orders!A:A, 0)), "Unknown")</f>
        <v>Baltics</v>
      </c>
      <c r="J2872" t="str">
        <f>PROPER(shipments[[#This Row],[delivery_status]])</f>
        <v>Delivered</v>
      </c>
      <c r="K2872" t="s">
        <v>6922</v>
      </c>
    </row>
    <row r="2873" spans="1:11">
      <c r="A2873" t="s">
        <v>9809</v>
      </c>
      <c r="B2873" t="s">
        <v>3599</v>
      </c>
      <c r="C2873" t="s">
        <v>6949</v>
      </c>
      <c r="D2873" s="1">
        <v>45110</v>
      </c>
      <c r="E2873" s="1">
        <v>45113</v>
      </c>
      <c r="F2873" s="1">
        <v>45119</v>
      </c>
      <c r="G2873">
        <v>10.27</v>
      </c>
      <c r="H28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73" t="str">
        <f>IFERROR(INDEX(Raw_orders!G:G, MATCH(shipments[[#This Row],[order_id]],Raw_orders!A:A, 0)), "Unknown")</f>
        <v>Nordics</v>
      </c>
      <c r="J2873" t="str">
        <f>PROPER(shipments[[#This Row],[delivery_status]])</f>
        <v>Delivered</v>
      </c>
      <c r="K2873" t="s">
        <v>6926</v>
      </c>
    </row>
    <row r="2874" spans="1:11">
      <c r="A2874" t="s">
        <v>9810</v>
      </c>
      <c r="B2874" t="s">
        <v>3600</v>
      </c>
      <c r="C2874" t="s">
        <v>6940</v>
      </c>
      <c r="D2874" s="1">
        <v>45079</v>
      </c>
      <c r="E2874" s="1">
        <v>45089</v>
      </c>
      <c r="F2874" s="1"/>
      <c r="G2874">
        <v>64.400000000000006</v>
      </c>
      <c r="H28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874" t="str">
        <f>IFERROR(INDEX(Raw_orders!G:G, MATCH(shipments[[#This Row],[order_id]],Raw_orders!A:A, 0)), "Unknown")</f>
        <v>Baltics</v>
      </c>
      <c r="J2874" t="str">
        <f>PROPER(shipments[[#This Row],[delivery_status]])</f>
        <v>Cancelled</v>
      </c>
      <c r="K2874" t="s">
        <v>6963</v>
      </c>
    </row>
    <row r="2875" spans="1:11">
      <c r="A2875" t="s">
        <v>9811</v>
      </c>
      <c r="B2875" t="s">
        <v>3601</v>
      </c>
      <c r="C2875" t="s">
        <v>6935</v>
      </c>
      <c r="D2875" s="1">
        <v>45286</v>
      </c>
      <c r="E2875" s="1">
        <v>45296</v>
      </c>
      <c r="F2875" s="1">
        <v>45296</v>
      </c>
      <c r="G2875">
        <v>31.43</v>
      </c>
      <c r="H28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875" t="str">
        <f>IFERROR(INDEX(Raw_orders!G:G, MATCH(shipments[[#This Row],[order_id]],Raw_orders!A:A, 0)), "Unknown")</f>
        <v>Central Europe</v>
      </c>
      <c r="J2875" t="str">
        <f>PROPER(shipments[[#This Row],[delivery_status]])</f>
        <v>Delivered</v>
      </c>
      <c r="K2875" t="s">
        <v>6926</v>
      </c>
    </row>
    <row r="2876" spans="1:11">
      <c r="A2876" t="s">
        <v>9812</v>
      </c>
      <c r="B2876" t="s">
        <v>3602</v>
      </c>
      <c r="C2876" t="s">
        <v>6921</v>
      </c>
      <c r="D2876" s="1">
        <v>44952</v>
      </c>
      <c r="E2876" s="1">
        <v>44957</v>
      </c>
      <c r="F2876" s="1">
        <v>44959</v>
      </c>
      <c r="G2876">
        <v>43.34</v>
      </c>
      <c r="H28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76" t="str">
        <f>IFERROR(INDEX(Raw_orders!G:G, MATCH(shipments[[#This Row],[order_id]],Raw_orders!A:A, 0)), "Unknown")</f>
        <v>Nordics</v>
      </c>
      <c r="J2876" t="str">
        <f>PROPER(shipments[[#This Row],[delivery_status]])</f>
        <v>Delivered</v>
      </c>
      <c r="K2876" t="s">
        <v>6922</v>
      </c>
    </row>
    <row r="2877" spans="1:11">
      <c r="A2877" t="s">
        <v>9813</v>
      </c>
      <c r="B2877" t="s">
        <v>3602</v>
      </c>
      <c r="C2877" t="s">
        <v>6940</v>
      </c>
      <c r="D2877" s="1">
        <v>44952</v>
      </c>
      <c r="E2877" s="1">
        <v>44959</v>
      </c>
      <c r="F2877" s="1">
        <v>44962</v>
      </c>
      <c r="G2877">
        <v>45.13</v>
      </c>
      <c r="H28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77" t="str">
        <f>IFERROR(INDEX(Raw_orders!G:G, MATCH(shipments[[#This Row],[order_id]],Raw_orders!A:A, 0)), "Unknown")</f>
        <v>Nordics</v>
      </c>
      <c r="J2877" t="str">
        <f>PROPER(shipments[[#This Row],[delivery_status]])</f>
        <v>Delivered</v>
      </c>
      <c r="K2877" t="s">
        <v>6926</v>
      </c>
    </row>
    <row r="2878" spans="1:11">
      <c r="A2878" t="s">
        <v>9814</v>
      </c>
      <c r="B2878" t="s">
        <v>3603</v>
      </c>
      <c r="C2878" t="s">
        <v>6940</v>
      </c>
      <c r="D2878" s="1">
        <v>45412</v>
      </c>
      <c r="E2878" s="1">
        <v>45422</v>
      </c>
      <c r="F2878" s="1">
        <v>45427</v>
      </c>
      <c r="G2878">
        <v>62.4</v>
      </c>
      <c r="H28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78" t="str">
        <f>IFERROR(INDEX(Raw_orders!G:G, MATCH(shipments[[#This Row],[order_id]],Raw_orders!A:A, 0)), "Unknown")</f>
        <v>Central Europe</v>
      </c>
      <c r="J2878" t="str">
        <f>PROPER(shipments[[#This Row],[delivery_status]])</f>
        <v>Delivered</v>
      </c>
      <c r="K2878" t="s">
        <v>6929</v>
      </c>
    </row>
    <row r="2879" spans="1:11">
      <c r="A2879" t="s">
        <v>9815</v>
      </c>
      <c r="B2879" t="s">
        <v>3603</v>
      </c>
      <c r="C2879" t="s">
        <v>6935</v>
      </c>
      <c r="D2879" s="1">
        <v>45409</v>
      </c>
      <c r="E2879" s="1">
        <v>45412</v>
      </c>
      <c r="F2879" s="1">
        <v>45412</v>
      </c>
      <c r="G2879">
        <v>58.83</v>
      </c>
      <c r="H28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879" t="str">
        <f>IFERROR(INDEX(Raw_orders!G:G, MATCH(shipments[[#This Row],[order_id]],Raw_orders!A:A, 0)), "Unknown")</f>
        <v>Central Europe</v>
      </c>
      <c r="J2879" t="str">
        <f>PROPER(shipments[[#This Row],[delivery_status]])</f>
        <v>Delivered</v>
      </c>
      <c r="K2879" t="s">
        <v>6926</v>
      </c>
    </row>
    <row r="2880" spans="1:11">
      <c r="A2880" t="s">
        <v>9816</v>
      </c>
      <c r="B2880" t="s">
        <v>3604</v>
      </c>
      <c r="C2880" t="s">
        <v>6940</v>
      </c>
      <c r="D2880" s="1">
        <v>44964</v>
      </c>
      <c r="E2880" s="1">
        <v>44969</v>
      </c>
      <c r="F2880" s="1">
        <v>44969</v>
      </c>
      <c r="G2880">
        <v>62.88</v>
      </c>
      <c r="H28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880" t="str">
        <f>IFERROR(INDEX(Raw_orders!G:G, MATCH(shipments[[#This Row],[order_id]],Raw_orders!A:A, 0)), "Unknown")</f>
        <v>Baltics</v>
      </c>
      <c r="J2880" t="str">
        <f>PROPER(shipments[[#This Row],[delivery_status]])</f>
        <v>Delivered</v>
      </c>
      <c r="K2880" t="s">
        <v>6926</v>
      </c>
    </row>
    <row r="2881" spans="1:11">
      <c r="A2881" t="s">
        <v>9817</v>
      </c>
      <c r="B2881" t="s">
        <v>3605</v>
      </c>
      <c r="C2881" t="s">
        <v>6956</v>
      </c>
      <c r="D2881" s="1">
        <v>45520</v>
      </c>
      <c r="E2881" s="1">
        <v>45522</v>
      </c>
      <c r="F2881" s="1">
        <v>45527</v>
      </c>
      <c r="G2881">
        <v>18.05</v>
      </c>
      <c r="H28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81" t="str">
        <f>IFERROR(INDEX(Raw_orders!G:G, MATCH(shipments[[#This Row],[order_id]],Raw_orders!A:A, 0)), "Unknown")</f>
        <v>Nordics</v>
      </c>
      <c r="J2881" t="str">
        <f>PROPER(shipments[[#This Row],[delivery_status]])</f>
        <v>Delivered</v>
      </c>
      <c r="K2881" t="s">
        <v>6929</v>
      </c>
    </row>
    <row r="2882" spans="1:11">
      <c r="A2882" t="s">
        <v>9818</v>
      </c>
      <c r="B2882" t="s">
        <v>3606</v>
      </c>
      <c r="C2882" t="s">
        <v>6938</v>
      </c>
      <c r="D2882" s="1">
        <v>45157</v>
      </c>
      <c r="E2882" s="1">
        <v>45167</v>
      </c>
      <c r="F2882" s="1">
        <v>45177</v>
      </c>
      <c r="G2882">
        <v>43.24</v>
      </c>
      <c r="H28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82" t="str">
        <f>IFERROR(INDEX(Raw_orders!G:G, MATCH(shipments[[#This Row],[order_id]],Raw_orders!A:A, 0)), "Unknown")</f>
        <v>Central Europe</v>
      </c>
      <c r="J2882" t="str">
        <f>PROPER(shipments[[#This Row],[delivery_status]])</f>
        <v>Delivered</v>
      </c>
      <c r="K2882" t="s">
        <v>6922</v>
      </c>
    </row>
    <row r="2883" spans="1:11">
      <c r="A2883" t="s">
        <v>9819</v>
      </c>
      <c r="B2883" t="s">
        <v>3607</v>
      </c>
      <c r="C2883" t="s">
        <v>6940</v>
      </c>
      <c r="D2883" s="1">
        <v>45310</v>
      </c>
      <c r="E2883" s="1">
        <v>45317</v>
      </c>
      <c r="F2883" s="1">
        <v>45317</v>
      </c>
      <c r="G2883">
        <v>51.98</v>
      </c>
      <c r="H28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883" t="str">
        <f>IFERROR(INDEX(Raw_orders!G:G, MATCH(shipments[[#This Row],[order_id]],Raw_orders!A:A, 0)), "Unknown")</f>
        <v>Nordics</v>
      </c>
      <c r="J2883" t="str">
        <f>PROPER(shipments[[#This Row],[delivery_status]])</f>
        <v>Delivered</v>
      </c>
      <c r="K2883" t="s">
        <v>6922</v>
      </c>
    </row>
    <row r="2884" spans="1:11">
      <c r="A2884" t="s">
        <v>9820</v>
      </c>
      <c r="B2884" t="s">
        <v>3608</v>
      </c>
      <c r="C2884" t="s">
        <v>6921</v>
      </c>
      <c r="D2884" s="1">
        <v>45403</v>
      </c>
      <c r="E2884" s="1">
        <v>45408</v>
      </c>
      <c r="F2884" s="1">
        <v>45410</v>
      </c>
      <c r="G2884">
        <v>15.2</v>
      </c>
      <c r="H28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84" t="str">
        <f>IFERROR(INDEX(Raw_orders!G:G, MATCH(shipments[[#This Row],[order_id]],Raw_orders!A:A, 0)), "Unknown")</f>
        <v>Central Europe</v>
      </c>
      <c r="J2884" t="str">
        <f>PROPER(shipments[[#This Row],[delivery_status]])</f>
        <v>Delivered</v>
      </c>
      <c r="K2884" t="s">
        <v>6929</v>
      </c>
    </row>
    <row r="2885" spans="1:11">
      <c r="A2885" t="s">
        <v>9821</v>
      </c>
      <c r="B2885" t="s">
        <v>3608</v>
      </c>
      <c r="C2885" t="s">
        <v>6949</v>
      </c>
      <c r="D2885" s="1">
        <v>45402</v>
      </c>
      <c r="E2885" s="1">
        <v>45404</v>
      </c>
      <c r="F2885" s="1">
        <v>45403</v>
      </c>
      <c r="G2885">
        <v>54.09</v>
      </c>
      <c r="H28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885" t="str">
        <f>IFERROR(INDEX(Raw_orders!G:G, MATCH(shipments[[#This Row],[order_id]],Raw_orders!A:A, 0)), "Unknown")</f>
        <v>Central Europe</v>
      </c>
      <c r="J2885" t="str">
        <f>PROPER(shipments[[#This Row],[delivery_status]])</f>
        <v>Delivered</v>
      </c>
      <c r="K2885" t="s">
        <v>6922</v>
      </c>
    </row>
    <row r="2886" spans="1:11">
      <c r="A2886" t="s">
        <v>9822</v>
      </c>
      <c r="B2886" t="s">
        <v>3609</v>
      </c>
      <c r="C2886" t="s">
        <v>6925</v>
      </c>
      <c r="D2886" s="1">
        <v>45029</v>
      </c>
      <c r="E2886" s="1">
        <v>45031</v>
      </c>
      <c r="F2886" s="1">
        <v>45033</v>
      </c>
      <c r="G2886">
        <v>62.88</v>
      </c>
      <c r="H28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86" t="str">
        <f>IFERROR(INDEX(Raw_orders!G:G, MATCH(shipments[[#This Row],[order_id]],Raw_orders!A:A, 0)), "Unknown")</f>
        <v>Baltics</v>
      </c>
      <c r="J2886" t="str">
        <f>PROPER(shipments[[#This Row],[delivery_status]])</f>
        <v>Delivered</v>
      </c>
      <c r="K2886" t="s">
        <v>6922</v>
      </c>
    </row>
    <row r="2887" spans="1:11">
      <c r="A2887" t="s">
        <v>9823</v>
      </c>
      <c r="B2887" t="s">
        <v>3610</v>
      </c>
      <c r="C2887" t="s">
        <v>6928</v>
      </c>
      <c r="D2887" s="1">
        <v>45572</v>
      </c>
      <c r="E2887" s="1">
        <v>45575</v>
      </c>
      <c r="F2887" s="1">
        <v>45577</v>
      </c>
      <c r="G2887">
        <v>61.35</v>
      </c>
      <c r="H28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87" t="str">
        <f>IFERROR(INDEX(Raw_orders!G:G, MATCH(shipments[[#This Row],[order_id]],Raw_orders!A:A, 0)), "Unknown")</f>
        <v>Baltics</v>
      </c>
      <c r="J2887" t="str">
        <f>PROPER(shipments[[#This Row],[delivery_status]])</f>
        <v>Delivered</v>
      </c>
      <c r="K2887" t="s">
        <v>6922</v>
      </c>
    </row>
    <row r="2888" spans="1:11">
      <c r="A2888" t="s">
        <v>9824</v>
      </c>
      <c r="B2888" t="s">
        <v>3611</v>
      </c>
      <c r="C2888" t="s">
        <v>6931</v>
      </c>
      <c r="D2888" s="1">
        <v>45033</v>
      </c>
      <c r="E2888" s="1">
        <v>45043</v>
      </c>
      <c r="F2888" s="1">
        <v>45043</v>
      </c>
      <c r="G2888">
        <v>40.39</v>
      </c>
      <c r="H28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888" t="str">
        <f>IFERROR(INDEX(Raw_orders!G:G, MATCH(shipments[[#This Row],[order_id]],Raw_orders!A:A, 0)), "Unknown")</f>
        <v>Central Europe</v>
      </c>
      <c r="J2888" t="str">
        <f>PROPER(shipments[[#This Row],[delivery_status]])</f>
        <v>Delivered</v>
      </c>
      <c r="K2888" t="s">
        <v>6929</v>
      </c>
    </row>
    <row r="2889" spans="1:11">
      <c r="A2889" t="s">
        <v>9825</v>
      </c>
      <c r="B2889" t="s">
        <v>3612</v>
      </c>
      <c r="C2889" t="s">
        <v>6925</v>
      </c>
      <c r="D2889" s="1">
        <v>45430</v>
      </c>
      <c r="E2889" s="1">
        <v>45435</v>
      </c>
      <c r="F2889" s="1">
        <v>45435</v>
      </c>
      <c r="G2889">
        <v>54.89</v>
      </c>
      <c r="H28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889" t="str">
        <f>IFERROR(INDEX(Raw_orders!G:G, MATCH(shipments[[#This Row],[order_id]],Raw_orders!A:A, 0)), "Unknown")</f>
        <v>Baltics</v>
      </c>
      <c r="J2889" t="str">
        <f>PROPER(shipments[[#This Row],[delivery_status]])</f>
        <v>Delivered</v>
      </c>
      <c r="K2889" t="s">
        <v>6929</v>
      </c>
    </row>
    <row r="2890" spans="1:11">
      <c r="A2890" t="s">
        <v>9826</v>
      </c>
      <c r="B2890" t="s">
        <v>3612</v>
      </c>
      <c r="C2890" t="s">
        <v>6928</v>
      </c>
      <c r="D2890" s="1">
        <v>45432</v>
      </c>
      <c r="E2890" s="1">
        <v>45439</v>
      </c>
      <c r="F2890" s="1">
        <v>45438</v>
      </c>
      <c r="G2890">
        <v>23.29</v>
      </c>
      <c r="H28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890" t="str">
        <f>IFERROR(INDEX(Raw_orders!G:G, MATCH(shipments[[#This Row],[order_id]],Raw_orders!A:A, 0)), "Unknown")</f>
        <v>Baltics</v>
      </c>
      <c r="J2890" t="str">
        <f>PROPER(shipments[[#This Row],[delivery_status]])</f>
        <v>Delivered</v>
      </c>
      <c r="K2890" t="s">
        <v>6922</v>
      </c>
    </row>
    <row r="2891" spans="1:11">
      <c r="A2891" t="s">
        <v>9827</v>
      </c>
      <c r="B2891" t="s">
        <v>3613</v>
      </c>
      <c r="C2891" t="s">
        <v>6931</v>
      </c>
      <c r="D2891" s="1">
        <v>45142</v>
      </c>
      <c r="E2891" s="1">
        <v>45147</v>
      </c>
      <c r="F2891" s="1">
        <v>45147</v>
      </c>
      <c r="G2891">
        <v>17.11</v>
      </c>
      <c r="H28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891" t="str">
        <f>IFERROR(INDEX(Raw_orders!G:G, MATCH(shipments[[#This Row],[order_id]],Raw_orders!A:A, 0)), "Unknown")</f>
        <v>Central Europe</v>
      </c>
      <c r="J2891" t="str">
        <f>PROPER(shipments[[#This Row],[delivery_status]])</f>
        <v>Delivered</v>
      </c>
      <c r="K2891" t="s">
        <v>6922</v>
      </c>
    </row>
    <row r="2892" spans="1:11">
      <c r="A2892" t="s">
        <v>9828</v>
      </c>
      <c r="B2892" t="s">
        <v>3614</v>
      </c>
      <c r="C2892" t="s">
        <v>6925</v>
      </c>
      <c r="D2892" s="1">
        <v>45441</v>
      </c>
      <c r="E2892" s="1">
        <v>45446</v>
      </c>
      <c r="F2892" s="1">
        <v>45448</v>
      </c>
      <c r="G2892">
        <v>13.02</v>
      </c>
      <c r="H28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92" t="str">
        <f>IFERROR(INDEX(Raw_orders!G:G, MATCH(shipments[[#This Row],[order_id]],Raw_orders!A:A, 0)), "Unknown")</f>
        <v>Nordics</v>
      </c>
      <c r="J2892" t="str">
        <f>PROPER(shipments[[#This Row],[delivery_status]])</f>
        <v>Delivered</v>
      </c>
      <c r="K2892" t="s">
        <v>6929</v>
      </c>
    </row>
    <row r="2893" spans="1:11">
      <c r="A2893" t="s">
        <v>9829</v>
      </c>
      <c r="B2893" t="s">
        <v>3615</v>
      </c>
      <c r="C2893" t="s">
        <v>6921</v>
      </c>
      <c r="D2893" s="1">
        <v>44982</v>
      </c>
      <c r="E2893" s="1">
        <v>44984</v>
      </c>
      <c r="F2893" s="1"/>
      <c r="G2893">
        <v>16.25</v>
      </c>
      <c r="H28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893" t="str">
        <f>IFERROR(INDEX(Raw_orders!G:G, MATCH(shipments[[#This Row],[order_id]],Raw_orders!A:A, 0)), "Unknown")</f>
        <v>Nordics</v>
      </c>
      <c r="J2893" t="str">
        <f>PROPER(shipments[[#This Row],[delivery_status]])</f>
        <v>In Transit</v>
      </c>
      <c r="K2893" t="s">
        <v>6958</v>
      </c>
    </row>
    <row r="2894" spans="1:11">
      <c r="A2894" t="s">
        <v>9830</v>
      </c>
      <c r="B2894" t="s">
        <v>3616</v>
      </c>
      <c r="C2894" t="s">
        <v>6940</v>
      </c>
      <c r="D2894" s="1">
        <v>45119</v>
      </c>
      <c r="E2894" s="1">
        <v>45121</v>
      </c>
      <c r="F2894" s="1">
        <v>45120</v>
      </c>
      <c r="G2894">
        <v>34.74</v>
      </c>
      <c r="H28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894" t="str">
        <f>IFERROR(INDEX(Raw_orders!G:G, MATCH(shipments[[#This Row],[order_id]],Raw_orders!A:A, 0)), "Unknown")</f>
        <v>Nordics</v>
      </c>
      <c r="J2894" t="str">
        <f>PROPER(shipments[[#This Row],[delivery_status]])</f>
        <v>Delivered</v>
      </c>
      <c r="K2894" t="s">
        <v>6929</v>
      </c>
    </row>
    <row r="2895" spans="1:11">
      <c r="A2895" t="s">
        <v>9831</v>
      </c>
      <c r="B2895" t="s">
        <v>3617</v>
      </c>
      <c r="C2895" t="s">
        <v>6935</v>
      </c>
      <c r="D2895" s="1">
        <v>45027</v>
      </c>
      <c r="E2895" s="1">
        <v>45029</v>
      </c>
      <c r="F2895" s="1"/>
      <c r="G2895">
        <v>11.46</v>
      </c>
      <c r="H28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895" t="str">
        <f>IFERROR(INDEX(Raw_orders!G:G, MATCH(shipments[[#This Row],[order_id]],Raw_orders!A:A, 0)), "Unknown")</f>
        <v>Baltics</v>
      </c>
      <c r="J2895" t="str">
        <f>PROPER(shipments[[#This Row],[delivery_status]])</f>
        <v>In Transit</v>
      </c>
      <c r="K2895" t="s">
        <v>6946</v>
      </c>
    </row>
    <row r="2896" spans="1:11">
      <c r="A2896" t="s">
        <v>9832</v>
      </c>
      <c r="B2896" t="s">
        <v>3618</v>
      </c>
      <c r="C2896" t="s">
        <v>6935</v>
      </c>
      <c r="D2896" s="1">
        <v>45459</v>
      </c>
      <c r="E2896" s="1">
        <v>45462</v>
      </c>
      <c r="F2896" s="1">
        <v>45474</v>
      </c>
      <c r="G2896">
        <v>32.19</v>
      </c>
      <c r="H28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96" t="str">
        <f>IFERROR(INDEX(Raw_orders!G:G, MATCH(shipments[[#This Row],[order_id]],Raw_orders!A:A, 0)), "Unknown")</f>
        <v>Nordics</v>
      </c>
      <c r="J2896" t="str">
        <f>PROPER(shipments[[#This Row],[delivery_status]])</f>
        <v>Delivered</v>
      </c>
      <c r="K2896" t="s">
        <v>6926</v>
      </c>
    </row>
    <row r="2897" spans="1:11">
      <c r="A2897" t="s">
        <v>9833</v>
      </c>
      <c r="B2897" t="s">
        <v>3619</v>
      </c>
      <c r="C2897" t="s">
        <v>6935</v>
      </c>
      <c r="D2897" s="1">
        <v>45604</v>
      </c>
      <c r="E2897" s="1">
        <v>45606</v>
      </c>
      <c r="F2897" s="1">
        <v>45606</v>
      </c>
      <c r="G2897">
        <v>26.93</v>
      </c>
      <c r="H28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897" t="str">
        <f>IFERROR(INDEX(Raw_orders!G:G, MATCH(shipments[[#This Row],[order_id]],Raw_orders!A:A, 0)), "Unknown")</f>
        <v>Nordics</v>
      </c>
      <c r="J2897" t="str">
        <f>PROPER(shipments[[#This Row],[delivery_status]])</f>
        <v>Delivered</v>
      </c>
      <c r="K2897" t="s">
        <v>6926</v>
      </c>
    </row>
    <row r="2898" spans="1:11">
      <c r="A2898" t="s">
        <v>9834</v>
      </c>
      <c r="B2898" t="s">
        <v>3620</v>
      </c>
      <c r="C2898" t="s">
        <v>6928</v>
      </c>
      <c r="D2898" s="1">
        <v>45563</v>
      </c>
      <c r="E2898" s="1">
        <v>45565</v>
      </c>
      <c r="F2898" s="1">
        <v>45570</v>
      </c>
      <c r="G2898">
        <v>25</v>
      </c>
      <c r="H28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98" t="str">
        <f>IFERROR(INDEX(Raw_orders!G:G, MATCH(shipments[[#This Row],[order_id]],Raw_orders!A:A, 0)), "Unknown")</f>
        <v>Central Europe</v>
      </c>
      <c r="J2898" t="str">
        <f>PROPER(shipments[[#This Row],[delivery_status]])</f>
        <v>Delivered</v>
      </c>
      <c r="K2898" t="s">
        <v>6926</v>
      </c>
    </row>
    <row r="2899" spans="1:11">
      <c r="A2899" t="s">
        <v>9835</v>
      </c>
      <c r="B2899" t="s">
        <v>3621</v>
      </c>
      <c r="C2899" t="s">
        <v>6956</v>
      </c>
      <c r="D2899" s="1">
        <v>45086</v>
      </c>
      <c r="E2899" s="1">
        <v>45091</v>
      </c>
      <c r="F2899" s="1">
        <v>45096</v>
      </c>
      <c r="G2899">
        <v>62.13</v>
      </c>
      <c r="H28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899" t="str">
        <f>IFERROR(INDEX(Raw_orders!G:G, MATCH(shipments[[#This Row],[order_id]],Raw_orders!A:A, 0)), "Unknown")</f>
        <v>Nordics</v>
      </c>
      <c r="J2899" t="str">
        <f>PROPER(shipments[[#This Row],[delivery_status]])</f>
        <v>Delivered</v>
      </c>
      <c r="K2899" t="s">
        <v>6929</v>
      </c>
    </row>
    <row r="2900" spans="1:11">
      <c r="A2900" t="s">
        <v>9836</v>
      </c>
      <c r="B2900" t="s">
        <v>3622</v>
      </c>
      <c r="C2900" t="s">
        <v>6925</v>
      </c>
      <c r="D2900" s="1">
        <v>44970</v>
      </c>
      <c r="E2900" s="1">
        <v>44972</v>
      </c>
      <c r="F2900" s="1">
        <v>44980</v>
      </c>
      <c r="G2900">
        <v>19.77</v>
      </c>
      <c r="H29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00" t="str">
        <f>IFERROR(INDEX(Raw_orders!G:G, MATCH(shipments[[#This Row],[order_id]],Raw_orders!A:A, 0)), "Unknown")</f>
        <v>Central Europe</v>
      </c>
      <c r="J2900" t="str">
        <f>PROPER(shipments[[#This Row],[delivery_status]])</f>
        <v>Delivered</v>
      </c>
      <c r="K2900" t="s">
        <v>6926</v>
      </c>
    </row>
    <row r="2901" spans="1:11">
      <c r="A2901" t="s">
        <v>9837</v>
      </c>
      <c r="B2901" t="s">
        <v>3623</v>
      </c>
      <c r="C2901" t="s">
        <v>6940</v>
      </c>
      <c r="D2901" s="1">
        <v>45036</v>
      </c>
      <c r="E2901" s="1">
        <v>45043</v>
      </c>
      <c r="F2901" s="1">
        <v>45044</v>
      </c>
      <c r="G2901">
        <v>33.22</v>
      </c>
      <c r="H29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01" t="str">
        <f>IFERROR(INDEX(Raw_orders!G:G, MATCH(shipments[[#This Row],[order_id]],Raw_orders!A:A, 0)), "Unknown")</f>
        <v>Central Europe</v>
      </c>
      <c r="J2901" t="str">
        <f>PROPER(shipments[[#This Row],[delivery_status]])</f>
        <v>Delivered</v>
      </c>
      <c r="K2901" t="s">
        <v>6922</v>
      </c>
    </row>
    <row r="2902" spans="1:11">
      <c r="A2902" t="s">
        <v>9838</v>
      </c>
      <c r="B2902" t="s">
        <v>3624</v>
      </c>
      <c r="C2902" t="s">
        <v>6921</v>
      </c>
      <c r="D2902" s="1">
        <v>45444</v>
      </c>
      <c r="E2902" s="1">
        <v>45449</v>
      </c>
      <c r="F2902" s="1">
        <v>45449</v>
      </c>
      <c r="G2902">
        <v>27.65</v>
      </c>
      <c r="H29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902" t="str">
        <f>IFERROR(INDEX(Raw_orders!G:G, MATCH(shipments[[#This Row],[order_id]],Raw_orders!A:A, 0)), "Unknown")</f>
        <v>Baltics</v>
      </c>
      <c r="J2902" t="str">
        <f>PROPER(shipments[[#This Row],[delivery_status]])</f>
        <v>Delivered</v>
      </c>
      <c r="K2902" t="s">
        <v>6922</v>
      </c>
    </row>
    <row r="2903" spans="1:11">
      <c r="A2903" t="s">
        <v>9839</v>
      </c>
      <c r="B2903" t="s">
        <v>3625</v>
      </c>
      <c r="C2903" t="s">
        <v>6925</v>
      </c>
      <c r="D2903" s="1">
        <v>44957</v>
      </c>
      <c r="E2903" s="1">
        <v>44959</v>
      </c>
      <c r="F2903" s="1">
        <v>44964</v>
      </c>
      <c r="G2903">
        <v>46.98</v>
      </c>
      <c r="H29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03" t="str">
        <f>IFERROR(INDEX(Raw_orders!G:G, MATCH(shipments[[#This Row],[order_id]],Raw_orders!A:A, 0)), "Unknown")</f>
        <v>Nordics</v>
      </c>
      <c r="J2903" t="str">
        <f>PROPER(shipments[[#This Row],[delivery_status]])</f>
        <v>Delivered</v>
      </c>
      <c r="K2903" t="s">
        <v>6922</v>
      </c>
    </row>
    <row r="2904" spans="1:11">
      <c r="A2904" t="s">
        <v>9840</v>
      </c>
      <c r="B2904" t="s">
        <v>3626</v>
      </c>
      <c r="C2904" t="s">
        <v>6940</v>
      </c>
      <c r="D2904" s="1">
        <v>45613</v>
      </c>
      <c r="E2904" s="1">
        <v>45620</v>
      </c>
      <c r="F2904" s="1">
        <v>45620</v>
      </c>
      <c r="G2904">
        <v>32.79</v>
      </c>
      <c r="H29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904" t="str">
        <f>IFERROR(INDEX(Raw_orders!G:G, MATCH(shipments[[#This Row],[order_id]],Raw_orders!A:A, 0)), "Unknown")</f>
        <v>Central Europe</v>
      </c>
      <c r="J2904" t="str">
        <f>PROPER(shipments[[#This Row],[delivery_status]])</f>
        <v>Delivered</v>
      </c>
      <c r="K2904" t="s">
        <v>6929</v>
      </c>
    </row>
    <row r="2905" spans="1:11">
      <c r="A2905" t="s">
        <v>9841</v>
      </c>
      <c r="B2905" t="s">
        <v>3627</v>
      </c>
      <c r="C2905" t="s">
        <v>6956</v>
      </c>
      <c r="D2905" s="1">
        <v>45119</v>
      </c>
      <c r="E2905" s="1">
        <v>45122</v>
      </c>
      <c r="F2905" s="1">
        <v>45130</v>
      </c>
      <c r="G2905">
        <v>50.86</v>
      </c>
      <c r="H29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05" t="str">
        <f>IFERROR(INDEX(Raw_orders!G:G, MATCH(shipments[[#This Row],[order_id]],Raw_orders!A:A, 0)), "Unknown")</f>
        <v>Baltics</v>
      </c>
      <c r="J2905" t="str">
        <f>PROPER(shipments[[#This Row],[delivery_status]])</f>
        <v>Delivered</v>
      </c>
      <c r="K2905" t="s">
        <v>6922</v>
      </c>
    </row>
    <row r="2906" spans="1:11">
      <c r="A2906" t="s">
        <v>9842</v>
      </c>
      <c r="B2906" t="s">
        <v>3628</v>
      </c>
      <c r="C2906" t="s">
        <v>6956</v>
      </c>
      <c r="D2906" s="1">
        <v>45082</v>
      </c>
      <c r="E2906" s="1">
        <v>45087</v>
      </c>
      <c r="F2906" s="1">
        <v>45086</v>
      </c>
      <c r="G2906">
        <v>29.39</v>
      </c>
      <c r="H29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906" t="str">
        <f>IFERROR(INDEX(Raw_orders!G:G, MATCH(shipments[[#This Row],[order_id]],Raw_orders!A:A, 0)), "Unknown")</f>
        <v>Baltics</v>
      </c>
      <c r="J2906" t="str">
        <f>PROPER(shipments[[#This Row],[delivery_status]])</f>
        <v>Delivered</v>
      </c>
      <c r="K2906" t="s">
        <v>6929</v>
      </c>
    </row>
    <row r="2907" spans="1:11">
      <c r="A2907" t="s">
        <v>9843</v>
      </c>
      <c r="B2907" t="s">
        <v>3629</v>
      </c>
      <c r="C2907" t="s">
        <v>6928</v>
      </c>
      <c r="D2907" s="1">
        <v>45201</v>
      </c>
      <c r="E2907" s="1">
        <v>45204</v>
      </c>
      <c r="F2907" s="1">
        <v>45204</v>
      </c>
      <c r="G2907">
        <v>7.99</v>
      </c>
      <c r="H29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907" t="str">
        <f>IFERROR(INDEX(Raw_orders!G:G, MATCH(shipments[[#This Row],[order_id]],Raw_orders!A:A, 0)), "Unknown")</f>
        <v>Baltics</v>
      </c>
      <c r="J2907" t="str">
        <f>PROPER(shipments[[#This Row],[delivery_status]])</f>
        <v>Delivered</v>
      </c>
      <c r="K2907" t="s">
        <v>6922</v>
      </c>
    </row>
    <row r="2908" spans="1:11">
      <c r="A2908" t="s">
        <v>9844</v>
      </c>
      <c r="B2908" t="s">
        <v>3629</v>
      </c>
      <c r="C2908" t="s">
        <v>6928</v>
      </c>
      <c r="D2908" s="1">
        <v>45201</v>
      </c>
      <c r="E2908" s="1">
        <v>45206</v>
      </c>
      <c r="F2908" s="1">
        <v>45220</v>
      </c>
      <c r="G2908">
        <v>24.08</v>
      </c>
      <c r="H29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08" t="str">
        <f>IFERROR(INDEX(Raw_orders!G:G, MATCH(shipments[[#This Row],[order_id]],Raw_orders!A:A, 0)), "Unknown")</f>
        <v>Baltics</v>
      </c>
      <c r="J2908" t="str">
        <f>PROPER(shipments[[#This Row],[delivery_status]])</f>
        <v>Delivered</v>
      </c>
      <c r="K2908" t="s">
        <v>6926</v>
      </c>
    </row>
    <row r="2909" spans="1:11">
      <c r="A2909" t="s">
        <v>9845</v>
      </c>
      <c r="B2909" t="s">
        <v>3630</v>
      </c>
      <c r="C2909" t="s">
        <v>6925</v>
      </c>
      <c r="D2909" s="1">
        <v>45514</v>
      </c>
      <c r="E2909" s="1">
        <v>45519</v>
      </c>
      <c r="F2909" s="1">
        <v>45519</v>
      </c>
      <c r="G2909">
        <v>24.59</v>
      </c>
      <c r="H29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909" t="str">
        <f>IFERROR(INDEX(Raw_orders!G:G, MATCH(shipments[[#This Row],[order_id]],Raw_orders!A:A, 0)), "Unknown")</f>
        <v>Central Europe</v>
      </c>
      <c r="J2909" t="str">
        <f>PROPER(shipments[[#This Row],[delivery_status]])</f>
        <v>Delivered</v>
      </c>
      <c r="K2909" t="s">
        <v>6926</v>
      </c>
    </row>
    <row r="2910" spans="1:11">
      <c r="A2910" t="s">
        <v>9846</v>
      </c>
      <c r="B2910" t="s">
        <v>3631</v>
      </c>
      <c r="C2910" t="s">
        <v>6935</v>
      </c>
      <c r="D2910" s="1">
        <v>45247</v>
      </c>
      <c r="E2910" s="1">
        <v>45249</v>
      </c>
      <c r="F2910" s="1">
        <v>45254</v>
      </c>
      <c r="G2910">
        <v>22.86</v>
      </c>
      <c r="H29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10" t="str">
        <f>IFERROR(INDEX(Raw_orders!G:G, MATCH(shipments[[#This Row],[order_id]],Raw_orders!A:A, 0)), "Unknown")</f>
        <v>Baltics</v>
      </c>
      <c r="J2910" t="str">
        <f>PROPER(shipments[[#This Row],[delivery_status]])</f>
        <v>Delivered</v>
      </c>
      <c r="K2910" t="s">
        <v>6929</v>
      </c>
    </row>
    <row r="2911" spans="1:11">
      <c r="A2911" t="s">
        <v>9847</v>
      </c>
      <c r="B2911" t="s">
        <v>3632</v>
      </c>
      <c r="C2911" t="s">
        <v>6956</v>
      </c>
      <c r="D2911" s="1">
        <v>45237</v>
      </c>
      <c r="E2911" s="1">
        <v>45242</v>
      </c>
      <c r="F2911" s="1">
        <v>45241</v>
      </c>
      <c r="G2911">
        <v>44.78</v>
      </c>
      <c r="H29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911" t="str">
        <f>IFERROR(INDEX(Raw_orders!G:G, MATCH(shipments[[#This Row],[order_id]],Raw_orders!A:A, 0)), "Unknown")</f>
        <v>Nordics</v>
      </c>
      <c r="J2911" t="str">
        <f>PROPER(shipments[[#This Row],[delivery_status]])</f>
        <v>Delivered</v>
      </c>
      <c r="K2911" t="s">
        <v>6929</v>
      </c>
    </row>
    <row r="2912" spans="1:11">
      <c r="A2912" t="s">
        <v>9848</v>
      </c>
      <c r="B2912" t="s">
        <v>3633</v>
      </c>
      <c r="C2912" t="s">
        <v>6928</v>
      </c>
      <c r="D2912" s="1">
        <v>45614</v>
      </c>
      <c r="E2912" s="1">
        <v>45619</v>
      </c>
      <c r="F2912" s="1"/>
      <c r="G2912">
        <v>15.69</v>
      </c>
      <c r="H29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912" t="str">
        <f>IFERROR(INDEX(Raw_orders!G:G, MATCH(shipments[[#This Row],[order_id]],Raw_orders!A:A, 0)), "Unknown")</f>
        <v>Baltics</v>
      </c>
      <c r="J2912" t="str">
        <f>PROPER(shipments[[#This Row],[delivery_status]])</f>
        <v>Cancelled</v>
      </c>
      <c r="K2912" t="s">
        <v>6979</v>
      </c>
    </row>
    <row r="2913" spans="1:11">
      <c r="A2913" t="s">
        <v>9849</v>
      </c>
      <c r="B2913" t="s">
        <v>3634</v>
      </c>
      <c r="C2913" t="s">
        <v>6931</v>
      </c>
      <c r="D2913" s="1">
        <v>45047</v>
      </c>
      <c r="E2913" s="1">
        <v>45050</v>
      </c>
      <c r="F2913" s="1">
        <v>45051</v>
      </c>
      <c r="H29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13" t="str">
        <f>IFERROR(INDEX(Raw_orders!G:G, MATCH(shipments[[#This Row],[order_id]],Raw_orders!A:A, 0)), "Unknown")</f>
        <v>Central Europe</v>
      </c>
      <c r="J2913" t="str">
        <f>PROPER(shipments[[#This Row],[delivery_status]])</f>
        <v>Delivered</v>
      </c>
      <c r="K2913" t="s">
        <v>6929</v>
      </c>
    </row>
    <row r="2914" spans="1:11">
      <c r="A2914" t="s">
        <v>9850</v>
      </c>
      <c r="B2914" t="s">
        <v>3634</v>
      </c>
      <c r="C2914" t="s">
        <v>6940</v>
      </c>
      <c r="D2914" s="1">
        <v>45047</v>
      </c>
      <c r="E2914" s="1">
        <v>45050</v>
      </c>
      <c r="F2914" s="1">
        <v>45050</v>
      </c>
      <c r="G2914">
        <v>51.89</v>
      </c>
      <c r="H29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914" t="str">
        <f>IFERROR(INDEX(Raw_orders!G:G, MATCH(shipments[[#This Row],[order_id]],Raw_orders!A:A, 0)), "Unknown")</f>
        <v>Central Europe</v>
      </c>
      <c r="J2914" t="str">
        <f>PROPER(shipments[[#This Row],[delivery_status]])</f>
        <v>Delivered</v>
      </c>
      <c r="K2914" t="s">
        <v>6929</v>
      </c>
    </row>
    <row r="2915" spans="1:11">
      <c r="A2915" t="s">
        <v>9851</v>
      </c>
      <c r="B2915" t="s">
        <v>3635</v>
      </c>
      <c r="C2915" t="s">
        <v>6921</v>
      </c>
      <c r="D2915" s="1">
        <v>45577</v>
      </c>
      <c r="E2915" s="1">
        <v>45580</v>
      </c>
      <c r="F2915" s="1">
        <v>45585</v>
      </c>
      <c r="G2915">
        <v>51.32</v>
      </c>
      <c r="H29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15" t="str">
        <f>IFERROR(INDEX(Raw_orders!G:G, MATCH(shipments[[#This Row],[order_id]],Raw_orders!A:A, 0)), "Unknown")</f>
        <v>Central Europe</v>
      </c>
      <c r="J2915" t="str">
        <f>PROPER(shipments[[#This Row],[delivery_status]])</f>
        <v>Delivered</v>
      </c>
      <c r="K2915" t="s">
        <v>6922</v>
      </c>
    </row>
    <row r="2916" spans="1:11">
      <c r="A2916" t="s">
        <v>9852</v>
      </c>
      <c r="B2916" t="s">
        <v>3636</v>
      </c>
      <c r="C2916" t="s">
        <v>6928</v>
      </c>
      <c r="D2916" s="1">
        <v>45550</v>
      </c>
      <c r="E2916" s="1">
        <v>45560</v>
      </c>
      <c r="F2916" s="1">
        <v>45560</v>
      </c>
      <c r="G2916">
        <v>36.340000000000003</v>
      </c>
      <c r="H29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916" t="str">
        <f>IFERROR(INDEX(Raw_orders!G:G, MATCH(shipments[[#This Row],[order_id]],Raw_orders!A:A, 0)), "Unknown")</f>
        <v>Central Europe</v>
      </c>
      <c r="J2916" t="str">
        <f>PROPER(shipments[[#This Row],[delivery_status]])</f>
        <v>Delivered</v>
      </c>
      <c r="K2916" t="s">
        <v>6922</v>
      </c>
    </row>
    <row r="2917" spans="1:11">
      <c r="A2917" t="s">
        <v>9853</v>
      </c>
      <c r="B2917" t="s">
        <v>3637</v>
      </c>
      <c r="C2917" t="s">
        <v>6931</v>
      </c>
      <c r="D2917" s="1">
        <v>45259</v>
      </c>
      <c r="E2917" s="1">
        <v>45266</v>
      </c>
      <c r="F2917" s="1">
        <v>45268</v>
      </c>
      <c r="G2917">
        <v>43.18</v>
      </c>
      <c r="H29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17" t="str">
        <f>IFERROR(INDEX(Raw_orders!G:G, MATCH(shipments[[#This Row],[order_id]],Raw_orders!A:A, 0)), "Unknown")</f>
        <v>Baltics</v>
      </c>
      <c r="J2917" t="str">
        <f>PROPER(shipments[[#This Row],[delivery_status]])</f>
        <v>Delivered</v>
      </c>
      <c r="K2917" t="s">
        <v>6922</v>
      </c>
    </row>
    <row r="2918" spans="1:11">
      <c r="A2918" t="s">
        <v>9854</v>
      </c>
      <c r="B2918" t="s">
        <v>3638</v>
      </c>
      <c r="C2918" t="s">
        <v>6925</v>
      </c>
      <c r="D2918" s="1">
        <v>45156</v>
      </c>
      <c r="E2918" s="1">
        <v>45159</v>
      </c>
      <c r="F2918" s="1">
        <v>45159</v>
      </c>
      <c r="G2918">
        <v>63.26</v>
      </c>
      <c r="H29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918" t="str">
        <f>IFERROR(INDEX(Raw_orders!G:G, MATCH(shipments[[#This Row],[order_id]],Raw_orders!A:A, 0)), "Unknown")</f>
        <v>Nordics</v>
      </c>
      <c r="J2918" t="str">
        <f>PROPER(shipments[[#This Row],[delivery_status]])</f>
        <v>Delivered</v>
      </c>
      <c r="K2918" t="s">
        <v>6929</v>
      </c>
    </row>
    <row r="2919" spans="1:11">
      <c r="A2919" t="s">
        <v>9855</v>
      </c>
      <c r="B2919" t="s">
        <v>3639</v>
      </c>
      <c r="C2919" t="s">
        <v>6921</v>
      </c>
      <c r="D2919" s="1">
        <v>45207</v>
      </c>
      <c r="E2919" s="1">
        <v>45210</v>
      </c>
      <c r="F2919" s="1">
        <v>45210</v>
      </c>
      <c r="G2919">
        <v>5.26</v>
      </c>
      <c r="H29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919" t="str">
        <f>IFERROR(INDEX(Raw_orders!G:G, MATCH(shipments[[#This Row],[order_id]],Raw_orders!A:A, 0)), "Unknown")</f>
        <v>Nordics</v>
      </c>
      <c r="J2919" t="str">
        <f>PROPER(shipments[[#This Row],[delivery_status]])</f>
        <v>Delivered</v>
      </c>
      <c r="K2919" t="s">
        <v>6922</v>
      </c>
    </row>
    <row r="2920" spans="1:11">
      <c r="A2920" t="s">
        <v>9856</v>
      </c>
      <c r="B2920" t="s">
        <v>3640</v>
      </c>
      <c r="C2920" t="s">
        <v>6956</v>
      </c>
      <c r="D2920" s="1">
        <v>45374</v>
      </c>
      <c r="E2920" s="1">
        <v>45379</v>
      </c>
      <c r="F2920" s="1">
        <v>45387</v>
      </c>
      <c r="G2920">
        <v>59.37</v>
      </c>
      <c r="H29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20" t="str">
        <f>IFERROR(INDEX(Raw_orders!G:G, MATCH(shipments[[#This Row],[order_id]],Raw_orders!A:A, 0)), "Unknown")</f>
        <v>Central Europe</v>
      </c>
      <c r="J2920" t="str">
        <f>PROPER(shipments[[#This Row],[delivery_status]])</f>
        <v>Delivered</v>
      </c>
      <c r="K2920" t="s">
        <v>6926</v>
      </c>
    </row>
    <row r="2921" spans="1:11">
      <c r="A2921" t="s">
        <v>9857</v>
      </c>
      <c r="B2921" t="s">
        <v>3641</v>
      </c>
      <c r="C2921" t="s">
        <v>6940</v>
      </c>
      <c r="D2921" s="1">
        <v>45607</v>
      </c>
      <c r="E2921" s="1">
        <v>45612</v>
      </c>
      <c r="F2921" s="1">
        <v>45615</v>
      </c>
      <c r="G2921">
        <v>7.3</v>
      </c>
      <c r="H29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21" t="str">
        <f>IFERROR(INDEX(Raw_orders!G:G, MATCH(shipments[[#This Row],[order_id]],Raw_orders!A:A, 0)), "Unknown")</f>
        <v>Nordics</v>
      </c>
      <c r="J2921" t="str">
        <f>PROPER(shipments[[#This Row],[delivery_status]])</f>
        <v>Delivered</v>
      </c>
      <c r="K2921" t="s">
        <v>6922</v>
      </c>
    </row>
    <row r="2922" spans="1:11">
      <c r="A2922" t="s">
        <v>9858</v>
      </c>
      <c r="B2922" t="s">
        <v>3642</v>
      </c>
      <c r="C2922" t="s">
        <v>6928</v>
      </c>
      <c r="D2922" s="1">
        <v>44942</v>
      </c>
      <c r="E2922" s="1">
        <v>44945</v>
      </c>
      <c r="F2922" s="1">
        <v>44954</v>
      </c>
      <c r="G2922">
        <v>41.83</v>
      </c>
      <c r="H29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22" t="str">
        <f>IFERROR(INDEX(Raw_orders!G:G, MATCH(shipments[[#This Row],[order_id]],Raw_orders!A:A, 0)), "Unknown")</f>
        <v>Baltics</v>
      </c>
      <c r="J2922" t="str">
        <f>PROPER(shipments[[#This Row],[delivery_status]])</f>
        <v>Delivered</v>
      </c>
      <c r="K2922" t="s">
        <v>6922</v>
      </c>
    </row>
    <row r="2923" spans="1:11">
      <c r="A2923" t="s">
        <v>9859</v>
      </c>
      <c r="B2923" t="s">
        <v>3643</v>
      </c>
      <c r="C2923" t="s">
        <v>6940</v>
      </c>
      <c r="D2923" s="1">
        <v>45435</v>
      </c>
      <c r="E2923" s="1">
        <v>45445</v>
      </c>
      <c r="F2923" s="1">
        <v>45448</v>
      </c>
      <c r="G2923">
        <v>11.02</v>
      </c>
      <c r="H29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23" t="str">
        <f>IFERROR(INDEX(Raw_orders!G:G, MATCH(shipments[[#This Row],[order_id]],Raw_orders!A:A, 0)), "Unknown")</f>
        <v>Nordics</v>
      </c>
      <c r="J2923" t="str">
        <f>PROPER(shipments[[#This Row],[delivery_status]])</f>
        <v>Delivered</v>
      </c>
      <c r="K2923" t="s">
        <v>6929</v>
      </c>
    </row>
    <row r="2924" spans="1:11">
      <c r="A2924" t="s">
        <v>9860</v>
      </c>
      <c r="B2924" t="s">
        <v>3644</v>
      </c>
      <c r="C2924" t="s">
        <v>6935</v>
      </c>
      <c r="D2924" s="1">
        <v>45291</v>
      </c>
      <c r="E2924" s="1">
        <v>45301</v>
      </c>
      <c r="F2924" s="1">
        <v>45306</v>
      </c>
      <c r="G2924">
        <v>26.98</v>
      </c>
      <c r="H29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24" t="str">
        <f>IFERROR(INDEX(Raw_orders!G:G, MATCH(shipments[[#This Row],[order_id]],Raw_orders!A:A, 0)), "Unknown")</f>
        <v>Central Europe</v>
      </c>
      <c r="J2924" t="str">
        <f>PROPER(shipments[[#This Row],[delivery_status]])</f>
        <v>Delivered</v>
      </c>
      <c r="K2924" t="s">
        <v>6926</v>
      </c>
    </row>
    <row r="2925" spans="1:11">
      <c r="A2925" t="s">
        <v>9861</v>
      </c>
      <c r="B2925" t="s">
        <v>3645</v>
      </c>
      <c r="C2925" t="s">
        <v>6921</v>
      </c>
      <c r="D2925" s="1">
        <v>45604</v>
      </c>
      <c r="E2925" s="1">
        <v>45614</v>
      </c>
      <c r="F2925" s="1">
        <v>45619</v>
      </c>
      <c r="G2925">
        <v>58.85</v>
      </c>
      <c r="H29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25" t="str">
        <f>IFERROR(INDEX(Raw_orders!G:G, MATCH(shipments[[#This Row],[order_id]],Raw_orders!A:A, 0)), "Unknown")</f>
        <v>Baltics</v>
      </c>
      <c r="J2925" t="str">
        <f>PROPER(shipments[[#This Row],[delivery_status]])</f>
        <v>Delivered</v>
      </c>
      <c r="K2925" t="s">
        <v>6929</v>
      </c>
    </row>
    <row r="2926" spans="1:11">
      <c r="A2926" t="s">
        <v>9862</v>
      </c>
      <c r="B2926" t="s">
        <v>3646</v>
      </c>
      <c r="C2926" t="s">
        <v>6921</v>
      </c>
      <c r="D2926" s="1">
        <v>45251</v>
      </c>
      <c r="E2926" s="1">
        <v>45254</v>
      </c>
      <c r="F2926" s="1">
        <v>45254</v>
      </c>
      <c r="G2926">
        <v>51.44</v>
      </c>
      <c r="H29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926" t="str">
        <f>IFERROR(INDEX(Raw_orders!G:G, MATCH(shipments[[#This Row],[order_id]],Raw_orders!A:A, 0)), "Unknown")</f>
        <v>Central Europe</v>
      </c>
      <c r="J2926" t="str">
        <f>PROPER(shipments[[#This Row],[delivery_status]])</f>
        <v>Delivered</v>
      </c>
      <c r="K2926" t="s">
        <v>6929</v>
      </c>
    </row>
    <row r="2927" spans="1:11">
      <c r="A2927" t="s">
        <v>9863</v>
      </c>
      <c r="B2927" t="s">
        <v>3647</v>
      </c>
      <c r="C2927" t="s">
        <v>6928</v>
      </c>
      <c r="D2927" s="1">
        <v>45517</v>
      </c>
      <c r="E2927" s="1">
        <v>45527</v>
      </c>
      <c r="F2927" s="1"/>
      <c r="G2927">
        <v>57.27</v>
      </c>
      <c r="H29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927" t="str">
        <f>IFERROR(INDEX(Raw_orders!G:G, MATCH(shipments[[#This Row],[order_id]],Raw_orders!A:A, 0)), "Unknown")</f>
        <v>Baltics</v>
      </c>
      <c r="J2927" t="str">
        <f>PROPER(shipments[[#This Row],[delivery_status]])</f>
        <v>In Transit</v>
      </c>
      <c r="K2927" t="s">
        <v>6946</v>
      </c>
    </row>
    <row r="2928" spans="1:11">
      <c r="A2928" t="s">
        <v>9864</v>
      </c>
      <c r="B2928" t="s">
        <v>3648</v>
      </c>
      <c r="C2928" t="s">
        <v>6938</v>
      </c>
      <c r="D2928" s="1">
        <v>45569</v>
      </c>
      <c r="E2928" s="1">
        <v>45571</v>
      </c>
      <c r="F2928" s="1">
        <v>45574</v>
      </c>
      <c r="G2928">
        <v>51.94</v>
      </c>
      <c r="H29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28" t="str">
        <f>IFERROR(INDEX(Raw_orders!G:G, MATCH(shipments[[#This Row],[order_id]],Raw_orders!A:A, 0)), "Unknown")</f>
        <v>Baltics</v>
      </c>
      <c r="J2928" t="str">
        <f>PROPER(shipments[[#This Row],[delivery_status]])</f>
        <v>Delivered</v>
      </c>
      <c r="K2928" t="s">
        <v>6922</v>
      </c>
    </row>
    <row r="2929" spans="1:11">
      <c r="A2929" t="s">
        <v>9865</v>
      </c>
      <c r="B2929" t="s">
        <v>3649</v>
      </c>
      <c r="C2929" t="s">
        <v>6940</v>
      </c>
      <c r="D2929" s="1">
        <v>45253</v>
      </c>
      <c r="E2929" s="1">
        <v>45263</v>
      </c>
      <c r="F2929" s="1">
        <v>45263</v>
      </c>
      <c r="G2929">
        <v>56.78</v>
      </c>
      <c r="H29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929" t="str">
        <f>IFERROR(INDEX(Raw_orders!G:G, MATCH(shipments[[#This Row],[order_id]],Raw_orders!A:A, 0)), "Unknown")</f>
        <v>Baltics</v>
      </c>
      <c r="J2929" t="str">
        <f>PROPER(shipments[[#This Row],[delivery_status]])</f>
        <v>Delivered</v>
      </c>
      <c r="K2929" t="s">
        <v>6929</v>
      </c>
    </row>
    <row r="2930" spans="1:11">
      <c r="A2930" t="s">
        <v>9866</v>
      </c>
      <c r="B2930" t="s">
        <v>3650</v>
      </c>
      <c r="C2930" t="s">
        <v>6940</v>
      </c>
      <c r="D2930" s="1">
        <v>45079</v>
      </c>
      <c r="E2930" s="1">
        <v>45082</v>
      </c>
      <c r="F2930" s="1">
        <v>45085</v>
      </c>
      <c r="G2930">
        <v>54.41</v>
      </c>
      <c r="H29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30" t="str">
        <f>IFERROR(INDEX(Raw_orders!G:G, MATCH(shipments[[#This Row],[order_id]],Raw_orders!A:A, 0)), "Unknown")</f>
        <v>Baltics</v>
      </c>
      <c r="J2930" t="str">
        <f>PROPER(shipments[[#This Row],[delivery_status]])</f>
        <v>Delivered</v>
      </c>
      <c r="K2930" t="s">
        <v>6922</v>
      </c>
    </row>
    <row r="2931" spans="1:11">
      <c r="A2931" t="s">
        <v>9867</v>
      </c>
      <c r="B2931" t="s">
        <v>3651</v>
      </c>
      <c r="C2931" t="s">
        <v>6956</v>
      </c>
      <c r="D2931" s="1">
        <v>45433</v>
      </c>
      <c r="E2931" s="1">
        <v>45443</v>
      </c>
      <c r="F2931" s="1">
        <v>45443</v>
      </c>
      <c r="G2931">
        <v>21.63</v>
      </c>
      <c r="H29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931" t="str">
        <f>IFERROR(INDEX(Raw_orders!G:G, MATCH(shipments[[#This Row],[order_id]],Raw_orders!A:A, 0)), "Unknown")</f>
        <v>Nordics</v>
      </c>
      <c r="J2931" t="str">
        <f>PROPER(shipments[[#This Row],[delivery_status]])</f>
        <v>Delivered</v>
      </c>
      <c r="K2931" t="s">
        <v>6929</v>
      </c>
    </row>
    <row r="2932" spans="1:11">
      <c r="A2932" t="s">
        <v>9868</v>
      </c>
      <c r="B2932" t="s">
        <v>3652</v>
      </c>
      <c r="C2932" t="s">
        <v>6925</v>
      </c>
      <c r="D2932" s="1">
        <v>44994</v>
      </c>
      <c r="E2932" s="1">
        <v>45001</v>
      </c>
      <c r="F2932" s="1">
        <v>45013</v>
      </c>
      <c r="G2932">
        <v>59.68</v>
      </c>
      <c r="H29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32" t="str">
        <f>IFERROR(INDEX(Raw_orders!G:G, MATCH(shipments[[#This Row],[order_id]],Raw_orders!A:A, 0)), "Unknown")</f>
        <v>Nordics</v>
      </c>
      <c r="J2932" t="str">
        <f>PROPER(shipments[[#This Row],[delivery_status]])</f>
        <v>Delivered</v>
      </c>
      <c r="K2932" t="s">
        <v>6929</v>
      </c>
    </row>
    <row r="2933" spans="1:11">
      <c r="A2933" t="s">
        <v>9869</v>
      </c>
      <c r="B2933" t="s">
        <v>3652</v>
      </c>
      <c r="C2933" t="s">
        <v>6956</v>
      </c>
      <c r="D2933" s="1">
        <v>44993</v>
      </c>
      <c r="E2933" s="1">
        <v>45003</v>
      </c>
      <c r="F2933" s="1">
        <v>45017</v>
      </c>
      <c r="G2933">
        <v>20.92</v>
      </c>
      <c r="H29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33" t="str">
        <f>IFERROR(INDEX(Raw_orders!G:G, MATCH(shipments[[#This Row],[order_id]],Raw_orders!A:A, 0)), "Unknown")</f>
        <v>Nordics</v>
      </c>
      <c r="J2933" t="str">
        <f>PROPER(shipments[[#This Row],[delivery_status]])</f>
        <v>Delivered</v>
      </c>
      <c r="K2933" t="s">
        <v>6929</v>
      </c>
    </row>
    <row r="2934" spans="1:11">
      <c r="A2934" t="s">
        <v>9870</v>
      </c>
      <c r="B2934" t="s">
        <v>3653</v>
      </c>
      <c r="C2934" t="s">
        <v>6956</v>
      </c>
      <c r="D2934" s="1">
        <v>45537</v>
      </c>
      <c r="E2934" s="1">
        <v>45547</v>
      </c>
      <c r="F2934" s="1">
        <v>45547</v>
      </c>
      <c r="G2934">
        <v>47.67</v>
      </c>
      <c r="H29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934" t="str">
        <f>IFERROR(INDEX(Raw_orders!G:G, MATCH(shipments[[#This Row],[order_id]],Raw_orders!A:A, 0)), "Unknown")</f>
        <v>Nordics</v>
      </c>
      <c r="J2934" t="str">
        <f>PROPER(shipments[[#This Row],[delivery_status]])</f>
        <v>Delivered</v>
      </c>
      <c r="K2934" t="s">
        <v>6926</v>
      </c>
    </row>
    <row r="2935" spans="1:11">
      <c r="A2935" t="s">
        <v>9871</v>
      </c>
      <c r="B2935" t="s">
        <v>3654</v>
      </c>
      <c r="C2935" t="s">
        <v>6940</v>
      </c>
      <c r="D2935" s="1">
        <v>45600</v>
      </c>
      <c r="E2935" s="1">
        <v>45602</v>
      </c>
      <c r="F2935" s="1">
        <v>45603</v>
      </c>
      <c r="G2935">
        <v>60.08</v>
      </c>
      <c r="H29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35" t="str">
        <f>IFERROR(INDEX(Raw_orders!G:G, MATCH(shipments[[#This Row],[order_id]],Raw_orders!A:A, 0)), "Unknown")</f>
        <v>Nordics</v>
      </c>
      <c r="J2935" t="str">
        <f>PROPER(shipments[[#This Row],[delivery_status]])</f>
        <v>Delivered</v>
      </c>
      <c r="K2935" t="s">
        <v>6929</v>
      </c>
    </row>
    <row r="2936" spans="1:11">
      <c r="A2936" t="s">
        <v>9872</v>
      </c>
      <c r="B2936" t="s">
        <v>3655</v>
      </c>
      <c r="C2936" t="s">
        <v>6938</v>
      </c>
      <c r="D2936" s="1">
        <v>44959</v>
      </c>
      <c r="E2936" s="1">
        <v>44962</v>
      </c>
      <c r="F2936" s="1">
        <v>44967</v>
      </c>
      <c r="G2936">
        <v>50.57</v>
      </c>
      <c r="H29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36" t="str">
        <f>IFERROR(INDEX(Raw_orders!G:G, MATCH(shipments[[#This Row],[order_id]],Raw_orders!A:A, 0)), "Unknown")</f>
        <v>Baltics</v>
      </c>
      <c r="J2936" t="str">
        <f>PROPER(shipments[[#This Row],[delivery_status]])</f>
        <v>Delivered</v>
      </c>
      <c r="K2936" t="s">
        <v>6926</v>
      </c>
    </row>
    <row r="2937" spans="1:11">
      <c r="A2937" t="s">
        <v>9873</v>
      </c>
      <c r="B2937" t="s">
        <v>3656</v>
      </c>
      <c r="C2937" t="s">
        <v>6928</v>
      </c>
      <c r="D2937" s="1">
        <v>45274</v>
      </c>
      <c r="E2937" s="1">
        <v>45276</v>
      </c>
      <c r="F2937" s="1">
        <v>45284</v>
      </c>
      <c r="G2937">
        <v>19.22</v>
      </c>
      <c r="H29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37" t="str">
        <f>IFERROR(INDEX(Raw_orders!G:G, MATCH(shipments[[#This Row],[order_id]],Raw_orders!A:A, 0)), "Unknown")</f>
        <v>Central Europe</v>
      </c>
      <c r="J2937" t="str">
        <f>PROPER(shipments[[#This Row],[delivery_status]])</f>
        <v>Delivered</v>
      </c>
      <c r="K2937" t="s">
        <v>6926</v>
      </c>
    </row>
    <row r="2938" spans="1:11">
      <c r="A2938" t="s">
        <v>9874</v>
      </c>
      <c r="B2938" t="s">
        <v>3657</v>
      </c>
      <c r="C2938" t="s">
        <v>6935</v>
      </c>
      <c r="D2938" s="1">
        <v>45521</v>
      </c>
      <c r="E2938" s="1">
        <v>45531</v>
      </c>
      <c r="F2938" s="1">
        <v>45532</v>
      </c>
      <c r="G2938">
        <v>48.92</v>
      </c>
      <c r="H29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38" t="str">
        <f>IFERROR(INDEX(Raw_orders!G:G, MATCH(shipments[[#This Row],[order_id]],Raw_orders!A:A, 0)), "Unknown")</f>
        <v>Baltics</v>
      </c>
      <c r="J2938" t="str">
        <f>PROPER(shipments[[#This Row],[delivery_status]])</f>
        <v>Delivered</v>
      </c>
      <c r="K2938" t="s">
        <v>6929</v>
      </c>
    </row>
    <row r="2939" spans="1:11">
      <c r="A2939" t="s">
        <v>9875</v>
      </c>
      <c r="B2939" t="s">
        <v>3658</v>
      </c>
      <c r="C2939" t="s">
        <v>6921</v>
      </c>
      <c r="D2939" s="1">
        <v>45083</v>
      </c>
      <c r="E2939" s="1">
        <v>45086</v>
      </c>
      <c r="F2939" s="1">
        <v>45091</v>
      </c>
      <c r="G2939">
        <v>13.29</v>
      </c>
      <c r="H29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39" t="str">
        <f>IFERROR(INDEX(Raw_orders!G:G, MATCH(shipments[[#This Row],[order_id]],Raw_orders!A:A, 0)), "Unknown")</f>
        <v>Central Europe</v>
      </c>
      <c r="J2939" t="str">
        <f>PROPER(shipments[[#This Row],[delivery_status]])</f>
        <v>Delivered</v>
      </c>
      <c r="K2939" t="s">
        <v>6926</v>
      </c>
    </row>
    <row r="2940" spans="1:11">
      <c r="A2940" t="s">
        <v>9876</v>
      </c>
      <c r="B2940" t="s">
        <v>3659</v>
      </c>
      <c r="C2940" t="s">
        <v>6925</v>
      </c>
      <c r="D2940" s="1">
        <v>45141</v>
      </c>
      <c r="E2940" s="1">
        <v>45143</v>
      </c>
      <c r="F2940" s="1">
        <v>45148</v>
      </c>
      <c r="G2940">
        <v>25.58</v>
      </c>
      <c r="H29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40" t="str">
        <f>IFERROR(INDEX(Raw_orders!G:G, MATCH(shipments[[#This Row],[order_id]],Raw_orders!A:A, 0)), "Unknown")</f>
        <v>Nordics</v>
      </c>
      <c r="J2940" t="str">
        <f>PROPER(shipments[[#This Row],[delivery_status]])</f>
        <v>Delivered</v>
      </c>
      <c r="K2940" t="s">
        <v>6922</v>
      </c>
    </row>
    <row r="2941" spans="1:11">
      <c r="A2941" t="s">
        <v>9877</v>
      </c>
      <c r="B2941" t="s">
        <v>3660</v>
      </c>
      <c r="C2941" t="s">
        <v>6935</v>
      </c>
      <c r="D2941" s="1">
        <v>45542</v>
      </c>
      <c r="E2941" s="1">
        <v>45549</v>
      </c>
      <c r="F2941" s="1">
        <v>45561</v>
      </c>
      <c r="G2941">
        <v>12.58</v>
      </c>
      <c r="H29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41" t="str">
        <f>IFERROR(INDEX(Raw_orders!G:G, MATCH(shipments[[#This Row],[order_id]],Raw_orders!A:A, 0)), "Unknown")</f>
        <v>Baltics</v>
      </c>
      <c r="J2941" t="str">
        <f>PROPER(shipments[[#This Row],[delivery_status]])</f>
        <v>Delivered</v>
      </c>
      <c r="K2941" t="s">
        <v>6926</v>
      </c>
    </row>
    <row r="2942" spans="1:11">
      <c r="A2942" t="s">
        <v>9878</v>
      </c>
      <c r="B2942" t="s">
        <v>3661</v>
      </c>
      <c r="C2942" t="s">
        <v>6940</v>
      </c>
      <c r="D2942" s="1">
        <v>45365</v>
      </c>
      <c r="E2942" s="1">
        <v>45367</v>
      </c>
      <c r="F2942" s="1">
        <v>45369</v>
      </c>
      <c r="G2942">
        <v>30.39</v>
      </c>
      <c r="H29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42" t="str">
        <f>IFERROR(INDEX(Raw_orders!G:G, MATCH(shipments[[#This Row],[order_id]],Raw_orders!A:A, 0)), "Unknown")</f>
        <v>Nordics</v>
      </c>
      <c r="J2942" t="str">
        <f>PROPER(shipments[[#This Row],[delivery_status]])</f>
        <v>Delivered</v>
      </c>
      <c r="K2942" t="s">
        <v>6926</v>
      </c>
    </row>
    <row r="2943" spans="1:11">
      <c r="A2943" t="s">
        <v>9879</v>
      </c>
      <c r="B2943" t="s">
        <v>3662</v>
      </c>
      <c r="C2943" t="s">
        <v>6925</v>
      </c>
      <c r="D2943" s="1">
        <v>45519</v>
      </c>
      <c r="E2943" s="1">
        <v>45524</v>
      </c>
      <c r="F2943" s="1">
        <v>45529</v>
      </c>
      <c r="G2943">
        <v>4.62</v>
      </c>
      <c r="H29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43" t="str">
        <f>IFERROR(INDEX(Raw_orders!G:G, MATCH(shipments[[#This Row],[order_id]],Raw_orders!A:A, 0)), "Unknown")</f>
        <v>Baltics</v>
      </c>
      <c r="J2943" t="str">
        <f>PROPER(shipments[[#This Row],[delivery_status]])</f>
        <v>Delivered</v>
      </c>
      <c r="K2943" t="s">
        <v>6926</v>
      </c>
    </row>
    <row r="2944" spans="1:11">
      <c r="A2944" t="s">
        <v>9880</v>
      </c>
      <c r="B2944" t="s">
        <v>3663</v>
      </c>
      <c r="C2944" t="s">
        <v>6921</v>
      </c>
      <c r="D2944" s="1">
        <v>45246</v>
      </c>
      <c r="E2944" s="1">
        <v>45256</v>
      </c>
      <c r="F2944" s="1">
        <v>45268</v>
      </c>
      <c r="G2944">
        <v>38.549999999999997</v>
      </c>
      <c r="H29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44" t="str">
        <f>IFERROR(INDEX(Raw_orders!G:G, MATCH(shipments[[#This Row],[order_id]],Raw_orders!A:A, 0)), "Unknown")</f>
        <v>Central Europe</v>
      </c>
      <c r="J2944" t="str">
        <f>PROPER(shipments[[#This Row],[delivery_status]])</f>
        <v>Delivered</v>
      </c>
      <c r="K2944" t="s">
        <v>6926</v>
      </c>
    </row>
    <row r="2945" spans="1:11">
      <c r="A2945" t="s">
        <v>9881</v>
      </c>
      <c r="B2945" t="s">
        <v>3663</v>
      </c>
      <c r="C2945" t="s">
        <v>6921</v>
      </c>
      <c r="D2945" s="1">
        <v>45245</v>
      </c>
      <c r="E2945" s="1">
        <v>45250</v>
      </c>
      <c r="F2945" s="1">
        <v>45253</v>
      </c>
      <c r="G2945">
        <v>31.94</v>
      </c>
      <c r="H29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45" t="str">
        <f>IFERROR(INDEX(Raw_orders!G:G, MATCH(shipments[[#This Row],[order_id]],Raw_orders!A:A, 0)), "Unknown")</f>
        <v>Central Europe</v>
      </c>
      <c r="J2945" t="str">
        <f>PROPER(shipments[[#This Row],[delivery_status]])</f>
        <v>Delivered</v>
      </c>
      <c r="K2945" t="s">
        <v>6926</v>
      </c>
    </row>
    <row r="2946" spans="1:11">
      <c r="A2946" t="s">
        <v>9882</v>
      </c>
      <c r="B2946" t="s">
        <v>3664</v>
      </c>
      <c r="C2946" t="s">
        <v>6956</v>
      </c>
      <c r="D2946" s="1">
        <v>45541</v>
      </c>
      <c r="E2946" s="1">
        <v>45551</v>
      </c>
      <c r="F2946" s="1">
        <v>45551</v>
      </c>
      <c r="H29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946" t="str">
        <f>IFERROR(INDEX(Raw_orders!G:G, MATCH(shipments[[#This Row],[order_id]],Raw_orders!A:A, 0)), "Unknown")</f>
        <v>Nordics</v>
      </c>
      <c r="J2946" t="str">
        <f>PROPER(shipments[[#This Row],[delivery_status]])</f>
        <v>Delivered</v>
      </c>
      <c r="K2946" t="s">
        <v>6929</v>
      </c>
    </row>
    <row r="2947" spans="1:11">
      <c r="A2947" t="s">
        <v>9883</v>
      </c>
      <c r="B2947" t="s">
        <v>3665</v>
      </c>
      <c r="C2947" t="s">
        <v>6925</v>
      </c>
      <c r="D2947" s="1">
        <v>45250</v>
      </c>
      <c r="E2947" s="1">
        <v>45253</v>
      </c>
      <c r="F2947" s="1"/>
      <c r="G2947">
        <v>14.4</v>
      </c>
      <c r="H29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947" t="str">
        <f>IFERROR(INDEX(Raw_orders!G:G, MATCH(shipments[[#This Row],[order_id]],Raw_orders!A:A, 0)), "Unknown")</f>
        <v>Baltics</v>
      </c>
      <c r="J2947" t="str">
        <f>PROPER(shipments[[#This Row],[delivery_status]])</f>
        <v>In Transit</v>
      </c>
      <c r="K2947" t="s">
        <v>6958</v>
      </c>
    </row>
    <row r="2948" spans="1:11">
      <c r="A2948" t="s">
        <v>9884</v>
      </c>
      <c r="B2948" t="s">
        <v>3666</v>
      </c>
      <c r="C2948" t="s">
        <v>6940</v>
      </c>
      <c r="D2948" s="1">
        <v>45195</v>
      </c>
      <c r="E2948" s="1">
        <v>45198</v>
      </c>
      <c r="F2948" s="1">
        <v>45198</v>
      </c>
      <c r="G2948">
        <v>22.3</v>
      </c>
      <c r="H29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948" t="str">
        <f>IFERROR(INDEX(Raw_orders!G:G, MATCH(shipments[[#This Row],[order_id]],Raw_orders!A:A, 0)), "Unknown")</f>
        <v>Nordics</v>
      </c>
      <c r="J2948" t="str">
        <f>PROPER(shipments[[#This Row],[delivery_status]])</f>
        <v>Delivered</v>
      </c>
      <c r="K2948" t="s">
        <v>6929</v>
      </c>
    </row>
    <row r="2949" spans="1:11">
      <c r="A2949" t="s">
        <v>9885</v>
      </c>
      <c r="B2949" t="s">
        <v>3667</v>
      </c>
      <c r="C2949" t="s">
        <v>6931</v>
      </c>
      <c r="D2949" s="1">
        <v>45285</v>
      </c>
      <c r="E2949" s="1">
        <v>45288</v>
      </c>
      <c r="F2949" s="1">
        <v>45293</v>
      </c>
      <c r="G2949">
        <v>60.22</v>
      </c>
      <c r="H29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49" t="str">
        <f>IFERROR(INDEX(Raw_orders!G:G, MATCH(shipments[[#This Row],[order_id]],Raw_orders!A:A, 0)), "Unknown")</f>
        <v>Nordics</v>
      </c>
      <c r="J2949" t="str">
        <f>PROPER(shipments[[#This Row],[delivery_status]])</f>
        <v>Delivered</v>
      </c>
      <c r="K2949" t="s">
        <v>6922</v>
      </c>
    </row>
    <row r="2950" spans="1:11">
      <c r="A2950" t="s">
        <v>9886</v>
      </c>
      <c r="B2950" t="s">
        <v>3667</v>
      </c>
      <c r="C2950" t="s">
        <v>6935</v>
      </c>
      <c r="D2950" s="1">
        <v>45287</v>
      </c>
      <c r="E2950" s="1">
        <v>45294</v>
      </c>
      <c r="F2950" s="1">
        <v>45299</v>
      </c>
      <c r="G2950">
        <v>40.31</v>
      </c>
      <c r="H29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50" t="str">
        <f>IFERROR(INDEX(Raw_orders!G:G, MATCH(shipments[[#This Row],[order_id]],Raw_orders!A:A, 0)), "Unknown")</f>
        <v>Nordics</v>
      </c>
      <c r="J2950" t="str">
        <f>PROPER(shipments[[#This Row],[delivery_status]])</f>
        <v>Delivered</v>
      </c>
      <c r="K2950" t="s">
        <v>6929</v>
      </c>
    </row>
    <row r="2951" spans="1:11">
      <c r="A2951" t="s">
        <v>9887</v>
      </c>
      <c r="B2951" t="s">
        <v>3668</v>
      </c>
      <c r="C2951" t="s">
        <v>6940</v>
      </c>
      <c r="D2951" s="1">
        <v>45543</v>
      </c>
      <c r="E2951" s="1">
        <v>45548</v>
      </c>
      <c r="F2951" s="1">
        <v>45556</v>
      </c>
      <c r="G2951">
        <v>30.95</v>
      </c>
      <c r="H29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51" t="str">
        <f>IFERROR(INDEX(Raw_orders!G:G, MATCH(shipments[[#This Row],[order_id]],Raw_orders!A:A, 0)), "Unknown")</f>
        <v>Central Europe</v>
      </c>
      <c r="J2951" t="str">
        <f>PROPER(shipments[[#This Row],[delivery_status]])</f>
        <v>Delivered</v>
      </c>
      <c r="K2951" t="s">
        <v>6929</v>
      </c>
    </row>
    <row r="2952" spans="1:11">
      <c r="A2952" t="s">
        <v>9888</v>
      </c>
      <c r="B2952" t="s">
        <v>3669</v>
      </c>
      <c r="C2952" t="s">
        <v>6956</v>
      </c>
      <c r="D2952" s="1">
        <v>45253</v>
      </c>
      <c r="E2952" s="1">
        <v>45255</v>
      </c>
      <c r="F2952" s="1"/>
      <c r="G2952">
        <v>36.11</v>
      </c>
      <c r="H29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952" t="str">
        <f>IFERROR(INDEX(Raw_orders!G:G, MATCH(shipments[[#This Row],[order_id]],Raw_orders!A:A, 0)), "Unknown")</f>
        <v>Central Europe</v>
      </c>
      <c r="J2952" t="str">
        <f>PROPER(shipments[[#This Row],[delivery_status]])</f>
        <v>In Transit</v>
      </c>
      <c r="K2952" t="s">
        <v>6958</v>
      </c>
    </row>
    <row r="2953" spans="1:11">
      <c r="A2953" t="s">
        <v>9889</v>
      </c>
      <c r="B2953" t="s">
        <v>3670</v>
      </c>
      <c r="C2953" t="s">
        <v>6956</v>
      </c>
      <c r="D2953" s="1">
        <v>45146</v>
      </c>
      <c r="E2953" s="1">
        <v>45148</v>
      </c>
      <c r="F2953" s="1">
        <v>45151</v>
      </c>
      <c r="G2953">
        <v>20.350000000000001</v>
      </c>
      <c r="H29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53" t="str">
        <f>IFERROR(INDEX(Raw_orders!G:G, MATCH(shipments[[#This Row],[order_id]],Raw_orders!A:A, 0)), "Unknown")</f>
        <v>Baltics</v>
      </c>
      <c r="J2953" t="str">
        <f>PROPER(shipments[[#This Row],[delivery_status]])</f>
        <v>Delivered</v>
      </c>
      <c r="K2953" t="s">
        <v>6922</v>
      </c>
    </row>
    <row r="2954" spans="1:11">
      <c r="A2954" t="s">
        <v>9890</v>
      </c>
      <c r="B2954" t="s">
        <v>3671</v>
      </c>
      <c r="C2954" t="s">
        <v>6921</v>
      </c>
      <c r="D2954" s="1">
        <v>45460</v>
      </c>
      <c r="E2954" s="1">
        <v>45470</v>
      </c>
      <c r="F2954" s="1">
        <v>45469</v>
      </c>
      <c r="G2954">
        <v>14.54</v>
      </c>
      <c r="H29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954" t="str">
        <f>IFERROR(INDEX(Raw_orders!G:G, MATCH(shipments[[#This Row],[order_id]],Raw_orders!A:A, 0)), "Unknown")</f>
        <v>Central Europe</v>
      </c>
      <c r="J2954" t="str">
        <f>PROPER(shipments[[#This Row],[delivery_status]])</f>
        <v>Delivered</v>
      </c>
      <c r="K2954" t="s">
        <v>6926</v>
      </c>
    </row>
    <row r="2955" spans="1:11">
      <c r="A2955" t="s">
        <v>9891</v>
      </c>
      <c r="B2955" t="s">
        <v>3672</v>
      </c>
      <c r="C2955" t="s">
        <v>6935</v>
      </c>
      <c r="D2955" s="1">
        <v>45624</v>
      </c>
      <c r="E2955" s="1">
        <v>45627</v>
      </c>
      <c r="F2955" s="1">
        <v>45629</v>
      </c>
      <c r="G2955">
        <v>38.49</v>
      </c>
      <c r="H29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55" t="str">
        <f>IFERROR(INDEX(Raw_orders!G:G, MATCH(shipments[[#This Row],[order_id]],Raw_orders!A:A, 0)), "Unknown")</f>
        <v>Baltics</v>
      </c>
      <c r="J2955" t="str">
        <f>PROPER(shipments[[#This Row],[delivery_status]])</f>
        <v>Delivered</v>
      </c>
      <c r="K2955" t="s">
        <v>6926</v>
      </c>
    </row>
    <row r="2956" spans="1:11">
      <c r="A2956" t="s">
        <v>9892</v>
      </c>
      <c r="B2956" t="s">
        <v>3673</v>
      </c>
      <c r="C2956" t="s">
        <v>6928</v>
      </c>
      <c r="D2956" s="1">
        <v>45327</v>
      </c>
      <c r="E2956" s="1">
        <v>45334</v>
      </c>
      <c r="F2956" s="1">
        <v>45345</v>
      </c>
      <c r="G2956">
        <v>8.64</v>
      </c>
      <c r="H29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56" t="str">
        <f>IFERROR(INDEX(Raw_orders!G:G, MATCH(shipments[[#This Row],[order_id]],Raw_orders!A:A, 0)), "Unknown")</f>
        <v>Nordics</v>
      </c>
      <c r="J2956" t="str">
        <f>PROPER(shipments[[#This Row],[delivery_status]])</f>
        <v>Delivered</v>
      </c>
      <c r="K2956" t="s">
        <v>6929</v>
      </c>
    </row>
    <row r="2957" spans="1:11">
      <c r="A2957" t="s">
        <v>9893</v>
      </c>
      <c r="B2957" t="s">
        <v>3674</v>
      </c>
      <c r="C2957" t="s">
        <v>6921</v>
      </c>
      <c r="D2957" s="1">
        <v>44981</v>
      </c>
      <c r="E2957" s="1">
        <v>44991</v>
      </c>
      <c r="F2957" s="1">
        <v>44992</v>
      </c>
      <c r="G2957">
        <v>39.72</v>
      </c>
      <c r="H29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57" t="str">
        <f>IFERROR(INDEX(Raw_orders!G:G, MATCH(shipments[[#This Row],[order_id]],Raw_orders!A:A, 0)), "Unknown")</f>
        <v>Baltics</v>
      </c>
      <c r="J2957" t="str">
        <f>PROPER(shipments[[#This Row],[delivery_status]])</f>
        <v>Delivered</v>
      </c>
      <c r="K2957" t="s">
        <v>6926</v>
      </c>
    </row>
    <row r="2958" spans="1:11">
      <c r="A2958" t="s">
        <v>9894</v>
      </c>
      <c r="B2958" t="s">
        <v>3675</v>
      </c>
      <c r="C2958" t="s">
        <v>6925</v>
      </c>
      <c r="D2958" s="1">
        <v>45509</v>
      </c>
      <c r="E2958" s="1">
        <v>45519</v>
      </c>
      <c r="F2958" s="1">
        <v>45519</v>
      </c>
      <c r="G2958">
        <v>21.54</v>
      </c>
      <c r="H29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958" t="str">
        <f>IFERROR(INDEX(Raw_orders!G:G, MATCH(shipments[[#This Row],[order_id]],Raw_orders!A:A, 0)), "Unknown")</f>
        <v>Nordics</v>
      </c>
      <c r="J2958" t="str">
        <f>PROPER(shipments[[#This Row],[delivery_status]])</f>
        <v>Delivered</v>
      </c>
      <c r="K2958" t="s">
        <v>6922</v>
      </c>
    </row>
    <row r="2959" spans="1:11">
      <c r="A2959" t="s">
        <v>9895</v>
      </c>
      <c r="B2959" t="s">
        <v>3676</v>
      </c>
      <c r="C2959" t="s">
        <v>6921</v>
      </c>
      <c r="D2959" s="1">
        <v>45587</v>
      </c>
      <c r="E2959" s="1">
        <v>45589</v>
      </c>
      <c r="F2959" s="1">
        <v>45589</v>
      </c>
      <c r="G2959">
        <v>36.89</v>
      </c>
      <c r="H29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959" t="str">
        <f>IFERROR(INDEX(Raw_orders!G:G, MATCH(shipments[[#This Row],[order_id]],Raw_orders!A:A, 0)), "Unknown")</f>
        <v>Baltics</v>
      </c>
      <c r="J2959" t="str">
        <f>PROPER(shipments[[#This Row],[delivery_status]])</f>
        <v>Delivered</v>
      </c>
      <c r="K2959" t="s">
        <v>6926</v>
      </c>
    </row>
    <row r="2960" spans="1:11">
      <c r="A2960" t="s">
        <v>9896</v>
      </c>
      <c r="B2960" t="s">
        <v>3677</v>
      </c>
      <c r="C2960" t="s">
        <v>6940</v>
      </c>
      <c r="D2960" s="1">
        <v>45519</v>
      </c>
      <c r="E2960" s="1">
        <v>45521</v>
      </c>
      <c r="F2960" s="1">
        <v>45522</v>
      </c>
      <c r="G2960">
        <v>7.08</v>
      </c>
      <c r="H29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60" t="str">
        <f>IFERROR(INDEX(Raw_orders!G:G, MATCH(shipments[[#This Row],[order_id]],Raw_orders!A:A, 0)), "Unknown")</f>
        <v>Nordics</v>
      </c>
      <c r="J2960" t="str">
        <f>PROPER(shipments[[#This Row],[delivery_status]])</f>
        <v>Delivered</v>
      </c>
      <c r="K2960" t="s">
        <v>6929</v>
      </c>
    </row>
    <row r="2961" spans="1:11">
      <c r="A2961" t="s">
        <v>9897</v>
      </c>
      <c r="B2961" t="s">
        <v>3678</v>
      </c>
      <c r="C2961" t="s">
        <v>6940</v>
      </c>
      <c r="D2961" s="1">
        <v>45027</v>
      </c>
      <c r="E2961" s="1">
        <v>45037</v>
      </c>
      <c r="F2961" s="1">
        <v>45040</v>
      </c>
      <c r="G2961">
        <v>63.67</v>
      </c>
      <c r="H29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61" t="str">
        <f>IFERROR(INDEX(Raw_orders!G:G, MATCH(shipments[[#This Row],[order_id]],Raw_orders!A:A, 0)), "Unknown")</f>
        <v>Nordics</v>
      </c>
      <c r="J2961" t="str">
        <f>PROPER(shipments[[#This Row],[delivery_status]])</f>
        <v>Delivered</v>
      </c>
      <c r="K2961" t="s">
        <v>6926</v>
      </c>
    </row>
    <row r="2962" spans="1:11">
      <c r="A2962" t="s">
        <v>9898</v>
      </c>
      <c r="B2962" t="s">
        <v>3679</v>
      </c>
      <c r="C2962" t="s">
        <v>6956</v>
      </c>
      <c r="D2962" s="1">
        <v>45024</v>
      </c>
      <c r="E2962" s="1">
        <v>45034</v>
      </c>
      <c r="F2962" s="1">
        <v>45035</v>
      </c>
      <c r="G2962">
        <v>4.68</v>
      </c>
      <c r="H29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62" t="str">
        <f>IFERROR(INDEX(Raw_orders!G:G, MATCH(shipments[[#This Row],[order_id]],Raw_orders!A:A, 0)), "Unknown")</f>
        <v>Nordics</v>
      </c>
      <c r="J2962" t="str">
        <f>PROPER(shipments[[#This Row],[delivery_status]])</f>
        <v>Delivered</v>
      </c>
      <c r="K2962" t="s">
        <v>6929</v>
      </c>
    </row>
    <row r="2963" spans="1:11">
      <c r="A2963" t="s">
        <v>9899</v>
      </c>
      <c r="B2963" t="s">
        <v>3680</v>
      </c>
      <c r="C2963" t="s">
        <v>6921</v>
      </c>
      <c r="D2963" s="1">
        <v>44992</v>
      </c>
      <c r="E2963" s="1">
        <v>45002</v>
      </c>
      <c r="F2963" s="1">
        <v>45002</v>
      </c>
      <c r="G2963">
        <v>47.84</v>
      </c>
      <c r="H29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963" t="str">
        <f>IFERROR(INDEX(Raw_orders!G:G, MATCH(shipments[[#This Row],[order_id]],Raw_orders!A:A, 0)), "Unknown")</f>
        <v>Central Europe</v>
      </c>
      <c r="J2963" t="str">
        <f>PROPER(shipments[[#This Row],[delivery_status]])</f>
        <v>Delivered</v>
      </c>
      <c r="K2963" t="s">
        <v>6922</v>
      </c>
    </row>
    <row r="2964" spans="1:11">
      <c r="A2964" t="s">
        <v>9900</v>
      </c>
      <c r="B2964" t="s">
        <v>3681</v>
      </c>
      <c r="C2964" t="s">
        <v>6935</v>
      </c>
      <c r="D2964" s="1">
        <v>45308</v>
      </c>
      <c r="E2964" s="1">
        <v>45318</v>
      </c>
      <c r="F2964" s="1">
        <v>45318</v>
      </c>
      <c r="G2964">
        <v>36.46</v>
      </c>
      <c r="H29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964" t="str">
        <f>IFERROR(INDEX(Raw_orders!G:G, MATCH(shipments[[#This Row],[order_id]],Raw_orders!A:A, 0)), "Unknown")</f>
        <v>Central Europe</v>
      </c>
      <c r="J2964" t="str">
        <f>PROPER(shipments[[#This Row],[delivery_status]])</f>
        <v>Delivered</v>
      </c>
      <c r="K2964" t="s">
        <v>6929</v>
      </c>
    </row>
    <row r="2965" spans="1:11">
      <c r="A2965" t="s">
        <v>9901</v>
      </c>
      <c r="B2965" t="s">
        <v>3682</v>
      </c>
      <c r="C2965" t="s">
        <v>6925</v>
      </c>
      <c r="D2965" s="1">
        <v>45609</v>
      </c>
      <c r="E2965" s="1">
        <v>45619</v>
      </c>
      <c r="F2965" s="1">
        <v>45622</v>
      </c>
      <c r="G2965">
        <v>21.2</v>
      </c>
      <c r="H29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65" t="str">
        <f>IFERROR(INDEX(Raw_orders!G:G, MATCH(shipments[[#This Row],[order_id]],Raw_orders!A:A, 0)), "Unknown")</f>
        <v>Baltics</v>
      </c>
      <c r="J2965" t="str">
        <f>PROPER(shipments[[#This Row],[delivery_status]])</f>
        <v>Delivered</v>
      </c>
      <c r="K2965" t="s">
        <v>6926</v>
      </c>
    </row>
    <row r="2966" spans="1:11">
      <c r="A2966" t="s">
        <v>9902</v>
      </c>
      <c r="B2966" t="s">
        <v>3683</v>
      </c>
      <c r="C2966" t="s">
        <v>6935</v>
      </c>
      <c r="D2966" s="1">
        <v>44943</v>
      </c>
      <c r="E2966" s="1">
        <v>44945</v>
      </c>
      <c r="F2966" s="1">
        <v>44947</v>
      </c>
      <c r="G2966">
        <v>25.6</v>
      </c>
      <c r="H29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66" t="str">
        <f>IFERROR(INDEX(Raw_orders!G:G, MATCH(shipments[[#This Row],[order_id]],Raw_orders!A:A, 0)), "Unknown")</f>
        <v>Central Europe</v>
      </c>
      <c r="J2966" t="str">
        <f>PROPER(shipments[[#This Row],[delivery_status]])</f>
        <v>Delivered</v>
      </c>
      <c r="K2966" t="s">
        <v>6929</v>
      </c>
    </row>
    <row r="2967" spans="1:11">
      <c r="A2967" t="s">
        <v>9903</v>
      </c>
      <c r="B2967" t="s">
        <v>3684</v>
      </c>
      <c r="C2967" t="s">
        <v>6938</v>
      </c>
      <c r="D2967" s="1">
        <v>45032</v>
      </c>
      <c r="E2967" s="1">
        <v>45034</v>
      </c>
      <c r="F2967" s="1">
        <v>45042</v>
      </c>
      <c r="G2967">
        <v>53.15</v>
      </c>
      <c r="H29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67" t="str">
        <f>IFERROR(INDEX(Raw_orders!G:G, MATCH(shipments[[#This Row],[order_id]],Raw_orders!A:A, 0)), "Unknown")</f>
        <v>Central Europe</v>
      </c>
      <c r="J2967" t="str">
        <f>PROPER(shipments[[#This Row],[delivery_status]])</f>
        <v>Delivered</v>
      </c>
      <c r="K2967" t="s">
        <v>6922</v>
      </c>
    </row>
    <row r="2968" spans="1:11">
      <c r="A2968" t="s">
        <v>9904</v>
      </c>
      <c r="B2968" t="s">
        <v>3685</v>
      </c>
      <c r="C2968" t="s">
        <v>6921</v>
      </c>
      <c r="D2968" s="1">
        <v>45343</v>
      </c>
      <c r="E2968" s="1">
        <v>45353</v>
      </c>
      <c r="F2968" s="1">
        <v>45361</v>
      </c>
      <c r="G2968">
        <v>56.3</v>
      </c>
      <c r="H29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68" t="str">
        <f>IFERROR(INDEX(Raw_orders!G:G, MATCH(shipments[[#This Row],[order_id]],Raw_orders!A:A, 0)), "Unknown")</f>
        <v>Baltics</v>
      </c>
      <c r="J2968" t="str">
        <f>PROPER(shipments[[#This Row],[delivery_status]])</f>
        <v>Delivered</v>
      </c>
      <c r="K2968" t="s">
        <v>6922</v>
      </c>
    </row>
    <row r="2969" spans="1:11">
      <c r="A2969" t="s">
        <v>9905</v>
      </c>
      <c r="B2969" t="s">
        <v>3686</v>
      </c>
      <c r="C2969" t="s">
        <v>6935</v>
      </c>
      <c r="D2969" s="1">
        <v>45303</v>
      </c>
      <c r="E2969" s="1">
        <v>45313</v>
      </c>
      <c r="F2969" s="1">
        <v>45315</v>
      </c>
      <c r="G2969">
        <v>55.81</v>
      </c>
      <c r="H29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69" t="str">
        <f>IFERROR(INDEX(Raw_orders!G:G, MATCH(shipments[[#This Row],[order_id]],Raw_orders!A:A, 0)), "Unknown")</f>
        <v>Nordics</v>
      </c>
      <c r="J2969" t="str">
        <f>PROPER(shipments[[#This Row],[delivery_status]])</f>
        <v>Delivered</v>
      </c>
      <c r="K2969" t="s">
        <v>6922</v>
      </c>
    </row>
    <row r="2970" spans="1:11">
      <c r="A2970" t="s">
        <v>9906</v>
      </c>
      <c r="B2970" t="s">
        <v>3687</v>
      </c>
      <c r="C2970" t="s">
        <v>6921</v>
      </c>
      <c r="D2970" s="1">
        <v>45366</v>
      </c>
      <c r="E2970" s="1">
        <v>45369</v>
      </c>
      <c r="F2970" s="1"/>
      <c r="H29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970" t="str">
        <f>IFERROR(INDEX(Raw_orders!G:G, MATCH(shipments[[#This Row],[order_id]],Raw_orders!A:A, 0)), "Unknown")</f>
        <v>Nordics</v>
      </c>
      <c r="J2970" t="str">
        <f>PROPER(shipments[[#This Row],[delivery_status]])</f>
        <v>In Transit</v>
      </c>
      <c r="K2970" t="s">
        <v>6977</v>
      </c>
    </row>
    <row r="2971" spans="1:11">
      <c r="A2971" t="s">
        <v>9907</v>
      </c>
      <c r="B2971" t="s">
        <v>3688</v>
      </c>
      <c r="C2971" t="s">
        <v>6931</v>
      </c>
      <c r="D2971" s="1">
        <v>45341</v>
      </c>
      <c r="E2971" s="1">
        <v>45348</v>
      </c>
      <c r="F2971" s="1">
        <v>45350</v>
      </c>
      <c r="G2971">
        <v>20.41</v>
      </c>
      <c r="H29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71" t="str">
        <f>IFERROR(INDEX(Raw_orders!G:G, MATCH(shipments[[#This Row],[order_id]],Raw_orders!A:A, 0)), "Unknown")</f>
        <v>Central Europe</v>
      </c>
      <c r="J2971" t="str">
        <f>PROPER(shipments[[#This Row],[delivery_status]])</f>
        <v>Delivered</v>
      </c>
      <c r="K2971" t="s">
        <v>6922</v>
      </c>
    </row>
    <row r="2972" spans="1:11">
      <c r="A2972" t="s">
        <v>9908</v>
      </c>
      <c r="B2972" t="s">
        <v>3689</v>
      </c>
      <c r="C2972" t="s">
        <v>6928</v>
      </c>
      <c r="D2972" s="1">
        <v>45144</v>
      </c>
      <c r="E2972" s="1">
        <v>45147</v>
      </c>
      <c r="F2972" s="1">
        <v>45147</v>
      </c>
      <c r="G2972">
        <v>21.93</v>
      </c>
      <c r="H29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972" t="str">
        <f>IFERROR(INDEX(Raw_orders!G:G, MATCH(shipments[[#This Row],[order_id]],Raw_orders!A:A, 0)), "Unknown")</f>
        <v>Nordics</v>
      </c>
      <c r="J2972" t="str">
        <f>PROPER(shipments[[#This Row],[delivery_status]])</f>
        <v>Delivered</v>
      </c>
      <c r="K2972" t="s">
        <v>6929</v>
      </c>
    </row>
    <row r="2973" spans="1:11">
      <c r="A2973" t="s">
        <v>9909</v>
      </c>
      <c r="B2973" t="s">
        <v>3690</v>
      </c>
      <c r="C2973" t="s">
        <v>6925</v>
      </c>
      <c r="D2973" s="1">
        <v>45295</v>
      </c>
      <c r="E2973" s="1">
        <v>45305</v>
      </c>
      <c r="F2973" s="1">
        <v>45305</v>
      </c>
      <c r="G2973">
        <v>58.82</v>
      </c>
      <c r="H29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973" t="str">
        <f>IFERROR(INDEX(Raw_orders!G:G, MATCH(shipments[[#This Row],[order_id]],Raw_orders!A:A, 0)), "Unknown")</f>
        <v>Nordics</v>
      </c>
      <c r="J2973" t="str">
        <f>PROPER(shipments[[#This Row],[delivery_status]])</f>
        <v>Delivered</v>
      </c>
      <c r="K2973" t="s">
        <v>6922</v>
      </c>
    </row>
    <row r="2974" spans="1:11">
      <c r="A2974" t="s">
        <v>9910</v>
      </c>
      <c r="B2974" t="s">
        <v>3691</v>
      </c>
      <c r="C2974" t="s">
        <v>6928</v>
      </c>
      <c r="D2974" s="1">
        <v>45068</v>
      </c>
      <c r="E2974" s="1">
        <v>45071</v>
      </c>
      <c r="F2974" s="1">
        <v>45071</v>
      </c>
      <c r="G2974">
        <v>46.84</v>
      </c>
      <c r="H29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974" t="str">
        <f>IFERROR(INDEX(Raw_orders!G:G, MATCH(shipments[[#This Row],[order_id]],Raw_orders!A:A, 0)), "Unknown")</f>
        <v>Central Europe</v>
      </c>
      <c r="J2974" t="str">
        <f>PROPER(shipments[[#This Row],[delivery_status]])</f>
        <v>Delivered</v>
      </c>
      <c r="K2974" t="s">
        <v>6926</v>
      </c>
    </row>
    <row r="2975" spans="1:11">
      <c r="A2975" t="s">
        <v>9911</v>
      </c>
      <c r="B2975" t="s">
        <v>3692</v>
      </c>
      <c r="C2975" t="s">
        <v>6940</v>
      </c>
      <c r="D2975" s="1">
        <v>45014</v>
      </c>
      <c r="E2975" s="1">
        <v>45017</v>
      </c>
      <c r="F2975" s="1">
        <v>45025</v>
      </c>
      <c r="G2975">
        <v>38.159999999999997</v>
      </c>
      <c r="H29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75" t="str">
        <f>IFERROR(INDEX(Raw_orders!G:G, MATCH(shipments[[#This Row],[order_id]],Raw_orders!A:A, 0)), "Unknown")</f>
        <v>Central Europe</v>
      </c>
      <c r="J2975" t="str">
        <f>PROPER(shipments[[#This Row],[delivery_status]])</f>
        <v>Delivered</v>
      </c>
      <c r="K2975" t="s">
        <v>6929</v>
      </c>
    </row>
    <row r="2976" spans="1:11">
      <c r="A2976" t="s">
        <v>9912</v>
      </c>
      <c r="B2976" t="s">
        <v>3693</v>
      </c>
      <c r="C2976" t="s">
        <v>6921</v>
      </c>
      <c r="D2976" s="1">
        <v>45448</v>
      </c>
      <c r="E2976" s="1">
        <v>45450</v>
      </c>
      <c r="F2976" s="1">
        <v>45450</v>
      </c>
      <c r="G2976">
        <v>30.13</v>
      </c>
      <c r="H29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976" t="str">
        <f>IFERROR(INDEX(Raw_orders!G:G, MATCH(shipments[[#This Row],[order_id]],Raw_orders!A:A, 0)), "Unknown")</f>
        <v>Central Europe</v>
      </c>
      <c r="J2976" t="str">
        <f>PROPER(shipments[[#This Row],[delivery_status]])</f>
        <v>Delivered</v>
      </c>
      <c r="K2976" t="s">
        <v>6929</v>
      </c>
    </row>
    <row r="2977" spans="1:11">
      <c r="A2977" t="s">
        <v>9913</v>
      </c>
      <c r="B2977" t="s">
        <v>3694</v>
      </c>
      <c r="C2977" t="s">
        <v>6921</v>
      </c>
      <c r="D2977" s="1">
        <v>45317</v>
      </c>
      <c r="E2977" s="1">
        <v>45322</v>
      </c>
      <c r="F2977" s="1">
        <v>45322</v>
      </c>
      <c r="G2977">
        <v>20.02</v>
      </c>
      <c r="H29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977" t="str">
        <f>IFERROR(INDEX(Raw_orders!G:G, MATCH(shipments[[#This Row],[order_id]],Raw_orders!A:A, 0)), "Unknown")</f>
        <v>Central Europe</v>
      </c>
      <c r="J2977" t="str">
        <f>PROPER(shipments[[#This Row],[delivery_status]])</f>
        <v>Delivered</v>
      </c>
      <c r="K2977" t="s">
        <v>6929</v>
      </c>
    </row>
    <row r="2978" spans="1:11">
      <c r="A2978" t="s">
        <v>9914</v>
      </c>
      <c r="B2978" t="s">
        <v>3695</v>
      </c>
      <c r="C2978" t="s">
        <v>6956</v>
      </c>
      <c r="D2978" s="1">
        <v>45461</v>
      </c>
      <c r="E2978" s="1">
        <v>45463</v>
      </c>
      <c r="F2978" s="1">
        <v>45465</v>
      </c>
      <c r="G2978">
        <v>31.46</v>
      </c>
      <c r="H29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78" t="str">
        <f>IFERROR(INDEX(Raw_orders!G:G, MATCH(shipments[[#This Row],[order_id]],Raw_orders!A:A, 0)), "Unknown")</f>
        <v>Baltics</v>
      </c>
      <c r="J2978" t="str">
        <f>PROPER(shipments[[#This Row],[delivery_status]])</f>
        <v>Delivered</v>
      </c>
      <c r="K2978" t="s">
        <v>6922</v>
      </c>
    </row>
    <row r="2979" spans="1:11">
      <c r="A2979" t="s">
        <v>9915</v>
      </c>
      <c r="B2979" t="s">
        <v>3696</v>
      </c>
      <c r="C2979" t="s">
        <v>6938</v>
      </c>
      <c r="D2979" s="1">
        <v>45478</v>
      </c>
      <c r="E2979" s="1">
        <v>45488</v>
      </c>
      <c r="F2979" s="1"/>
      <c r="G2979">
        <v>53.15</v>
      </c>
      <c r="H29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979" t="str">
        <f>IFERROR(INDEX(Raw_orders!G:G, MATCH(shipments[[#This Row],[order_id]],Raw_orders!A:A, 0)), "Unknown")</f>
        <v>Central Europe</v>
      </c>
      <c r="J2979" t="str">
        <f>PROPER(shipments[[#This Row],[delivery_status]])</f>
        <v>In Transit</v>
      </c>
      <c r="K2979" t="s">
        <v>6977</v>
      </c>
    </row>
    <row r="2980" spans="1:11">
      <c r="A2980" t="s">
        <v>9916</v>
      </c>
      <c r="B2980" t="s">
        <v>3696</v>
      </c>
      <c r="C2980" t="s">
        <v>6956</v>
      </c>
      <c r="D2980" s="1">
        <v>45477</v>
      </c>
      <c r="E2980" s="1">
        <v>45479</v>
      </c>
      <c r="F2980" s="1"/>
      <c r="G2980">
        <v>17.61</v>
      </c>
      <c r="H29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980" t="str">
        <f>IFERROR(INDEX(Raw_orders!G:G, MATCH(shipments[[#This Row],[order_id]],Raw_orders!A:A, 0)), "Unknown")</f>
        <v>Central Europe</v>
      </c>
      <c r="J2980" t="str">
        <f>PROPER(shipments[[#This Row],[delivery_status]])</f>
        <v>Cancelled</v>
      </c>
      <c r="K2980" t="s">
        <v>6979</v>
      </c>
    </row>
    <row r="2981" spans="1:11">
      <c r="A2981" t="s">
        <v>9917</v>
      </c>
      <c r="B2981" t="s">
        <v>3697</v>
      </c>
      <c r="C2981" t="s">
        <v>6928</v>
      </c>
      <c r="D2981" s="1">
        <v>45314</v>
      </c>
      <c r="E2981" s="1">
        <v>45317</v>
      </c>
      <c r="F2981" s="1">
        <v>45317</v>
      </c>
      <c r="G2981">
        <v>45.97</v>
      </c>
      <c r="H29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981" t="str">
        <f>IFERROR(INDEX(Raw_orders!G:G, MATCH(shipments[[#This Row],[order_id]],Raw_orders!A:A, 0)), "Unknown")</f>
        <v>Nordics</v>
      </c>
      <c r="J2981" t="str">
        <f>PROPER(shipments[[#This Row],[delivery_status]])</f>
        <v>Delivered</v>
      </c>
      <c r="K2981" t="s">
        <v>6926</v>
      </c>
    </row>
    <row r="2982" spans="1:11">
      <c r="A2982" t="s">
        <v>9918</v>
      </c>
      <c r="B2982" t="s">
        <v>3698</v>
      </c>
      <c r="C2982" t="s">
        <v>6935</v>
      </c>
      <c r="D2982" s="1">
        <v>45289</v>
      </c>
      <c r="E2982" s="1">
        <v>45294</v>
      </c>
      <c r="F2982" s="1">
        <v>45297</v>
      </c>
      <c r="G2982">
        <v>62.98</v>
      </c>
      <c r="H29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82" t="str">
        <f>IFERROR(INDEX(Raw_orders!G:G, MATCH(shipments[[#This Row],[order_id]],Raw_orders!A:A, 0)), "Unknown")</f>
        <v>Central Europe</v>
      </c>
      <c r="J2982" t="str">
        <f>PROPER(shipments[[#This Row],[delivery_status]])</f>
        <v>Delivered</v>
      </c>
      <c r="K2982" t="s">
        <v>6929</v>
      </c>
    </row>
    <row r="2983" spans="1:11">
      <c r="A2983" t="s">
        <v>9919</v>
      </c>
      <c r="B2983" t="s">
        <v>3699</v>
      </c>
      <c r="C2983" t="s">
        <v>6931</v>
      </c>
      <c r="D2983" s="1">
        <v>44975</v>
      </c>
      <c r="E2983" s="1">
        <v>44978</v>
      </c>
      <c r="F2983" s="1">
        <v>44978</v>
      </c>
      <c r="G2983">
        <v>12.98</v>
      </c>
      <c r="H29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983" t="str">
        <f>IFERROR(INDEX(Raw_orders!G:G, MATCH(shipments[[#This Row],[order_id]],Raw_orders!A:A, 0)), "Unknown")</f>
        <v>Central Europe</v>
      </c>
      <c r="J2983" t="str">
        <f>PROPER(shipments[[#This Row],[delivery_status]])</f>
        <v>Delivered</v>
      </c>
      <c r="K2983" t="s">
        <v>6922</v>
      </c>
    </row>
    <row r="2984" spans="1:11">
      <c r="A2984" t="s">
        <v>9920</v>
      </c>
      <c r="B2984" t="s">
        <v>3700</v>
      </c>
      <c r="C2984" t="s">
        <v>6931</v>
      </c>
      <c r="D2984" s="1">
        <v>45246</v>
      </c>
      <c r="E2984" s="1">
        <v>45253</v>
      </c>
      <c r="F2984" s="1">
        <v>45256</v>
      </c>
      <c r="G2984">
        <v>53.7</v>
      </c>
      <c r="H29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84" t="str">
        <f>IFERROR(INDEX(Raw_orders!G:G, MATCH(shipments[[#This Row],[order_id]],Raw_orders!A:A, 0)), "Unknown")</f>
        <v>Central Europe</v>
      </c>
      <c r="J2984" t="str">
        <f>PROPER(shipments[[#This Row],[delivery_status]])</f>
        <v>Delivered</v>
      </c>
      <c r="K2984" t="s">
        <v>6926</v>
      </c>
    </row>
    <row r="2985" spans="1:11">
      <c r="A2985" t="s">
        <v>9921</v>
      </c>
      <c r="B2985" t="s">
        <v>3700</v>
      </c>
      <c r="C2985" t="s">
        <v>6925</v>
      </c>
      <c r="D2985" s="1">
        <v>45245</v>
      </c>
      <c r="E2985" s="1">
        <v>45255</v>
      </c>
      <c r="F2985" s="1">
        <v>45255</v>
      </c>
      <c r="G2985">
        <v>5.43</v>
      </c>
      <c r="H29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985" t="str">
        <f>IFERROR(INDEX(Raw_orders!G:G, MATCH(shipments[[#This Row],[order_id]],Raw_orders!A:A, 0)), "Unknown")</f>
        <v>Central Europe</v>
      </c>
      <c r="J2985" t="str">
        <f>PROPER(shipments[[#This Row],[delivery_status]])</f>
        <v>Delivered</v>
      </c>
      <c r="K2985" t="s">
        <v>6926</v>
      </c>
    </row>
    <row r="2986" spans="1:11">
      <c r="A2986" t="s">
        <v>9922</v>
      </c>
      <c r="B2986" t="s">
        <v>3701</v>
      </c>
      <c r="C2986" t="s">
        <v>6925</v>
      </c>
      <c r="D2986" s="1">
        <v>45393</v>
      </c>
      <c r="E2986" s="1">
        <v>45398</v>
      </c>
      <c r="F2986" s="1">
        <v>45397</v>
      </c>
      <c r="G2986">
        <v>42.62</v>
      </c>
      <c r="H29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986" t="str">
        <f>IFERROR(INDEX(Raw_orders!G:G, MATCH(shipments[[#This Row],[order_id]],Raw_orders!A:A, 0)), "Unknown")</f>
        <v>Baltics</v>
      </c>
      <c r="J2986" t="str">
        <f>PROPER(shipments[[#This Row],[delivery_status]])</f>
        <v>Delivered</v>
      </c>
      <c r="K2986" t="s">
        <v>6922</v>
      </c>
    </row>
    <row r="2987" spans="1:11">
      <c r="A2987" t="s">
        <v>9923</v>
      </c>
      <c r="B2987" t="s">
        <v>3702</v>
      </c>
      <c r="C2987" t="s">
        <v>6921</v>
      </c>
      <c r="D2987" s="1">
        <v>45159</v>
      </c>
      <c r="E2987" s="1">
        <v>45162</v>
      </c>
      <c r="F2987" s="1">
        <v>45162</v>
      </c>
      <c r="G2987">
        <v>29.83</v>
      </c>
      <c r="H29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987" t="str">
        <f>IFERROR(INDEX(Raw_orders!G:G, MATCH(shipments[[#This Row],[order_id]],Raw_orders!A:A, 0)), "Unknown")</f>
        <v>Baltics</v>
      </c>
      <c r="J2987" t="str">
        <f>PROPER(shipments[[#This Row],[delivery_status]])</f>
        <v>Delivered</v>
      </c>
      <c r="K2987" t="s">
        <v>6922</v>
      </c>
    </row>
    <row r="2988" spans="1:11">
      <c r="A2988" t="s">
        <v>9924</v>
      </c>
      <c r="B2988" t="s">
        <v>3703</v>
      </c>
      <c r="C2988" t="s">
        <v>6940</v>
      </c>
      <c r="D2988" s="1">
        <v>45455</v>
      </c>
      <c r="E2988" s="1">
        <v>45460</v>
      </c>
      <c r="F2988" s="1">
        <v>45465</v>
      </c>
      <c r="G2988">
        <v>56.1</v>
      </c>
      <c r="H29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88" t="str">
        <f>IFERROR(INDEX(Raw_orders!G:G, MATCH(shipments[[#This Row],[order_id]],Raw_orders!A:A, 0)), "Unknown")</f>
        <v>Nordics</v>
      </c>
      <c r="J2988" t="str">
        <f>PROPER(shipments[[#This Row],[delivery_status]])</f>
        <v>Delivered</v>
      </c>
      <c r="K2988" t="s">
        <v>6929</v>
      </c>
    </row>
    <row r="2989" spans="1:11">
      <c r="A2989" t="s">
        <v>9925</v>
      </c>
      <c r="B2989" t="s">
        <v>3704</v>
      </c>
      <c r="C2989" t="s">
        <v>6935</v>
      </c>
      <c r="D2989" s="1">
        <v>45374</v>
      </c>
      <c r="E2989" s="1">
        <v>45379</v>
      </c>
      <c r="F2989" s="1">
        <v>45379</v>
      </c>
      <c r="G2989">
        <v>57.77</v>
      </c>
      <c r="H29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989" t="str">
        <f>IFERROR(INDEX(Raw_orders!G:G, MATCH(shipments[[#This Row],[order_id]],Raw_orders!A:A, 0)), "Unknown")</f>
        <v>Central Europe</v>
      </c>
      <c r="J2989" t="str">
        <f>PROPER(shipments[[#This Row],[delivery_status]])</f>
        <v>Delivered</v>
      </c>
      <c r="K2989" t="s">
        <v>6926</v>
      </c>
    </row>
    <row r="2990" spans="1:11">
      <c r="A2990" t="s">
        <v>9926</v>
      </c>
      <c r="B2990" t="s">
        <v>3705</v>
      </c>
      <c r="C2990" t="s">
        <v>6931</v>
      </c>
      <c r="D2990" s="1">
        <v>45136</v>
      </c>
      <c r="E2990" s="1">
        <v>45143</v>
      </c>
      <c r="F2990" s="1">
        <v>45142</v>
      </c>
      <c r="G2990">
        <v>23.35</v>
      </c>
      <c r="H29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990" t="str">
        <f>IFERROR(INDEX(Raw_orders!G:G, MATCH(shipments[[#This Row],[order_id]],Raw_orders!A:A, 0)), "Unknown")</f>
        <v>Nordics</v>
      </c>
      <c r="J2990" t="str">
        <f>PROPER(shipments[[#This Row],[delivery_status]])</f>
        <v>Delivered</v>
      </c>
      <c r="K2990" t="s">
        <v>6929</v>
      </c>
    </row>
    <row r="2991" spans="1:11">
      <c r="A2991" t="s">
        <v>9927</v>
      </c>
      <c r="B2991" t="s">
        <v>3706</v>
      </c>
      <c r="C2991" t="s">
        <v>6925</v>
      </c>
      <c r="D2991" s="1">
        <v>45010</v>
      </c>
      <c r="E2991" s="1">
        <v>45015</v>
      </c>
      <c r="F2991" s="1">
        <v>45020</v>
      </c>
      <c r="G2991">
        <v>49.54</v>
      </c>
      <c r="H29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91" t="str">
        <f>IFERROR(INDEX(Raw_orders!G:G, MATCH(shipments[[#This Row],[order_id]],Raw_orders!A:A, 0)), "Unknown")</f>
        <v>Nordics</v>
      </c>
      <c r="J2991" t="str">
        <f>PROPER(shipments[[#This Row],[delivery_status]])</f>
        <v>Delivered</v>
      </c>
      <c r="K2991" t="s">
        <v>6929</v>
      </c>
    </row>
    <row r="2992" spans="1:11">
      <c r="A2992" t="s">
        <v>9928</v>
      </c>
      <c r="B2992" t="s">
        <v>3707</v>
      </c>
      <c r="C2992" t="s">
        <v>6931</v>
      </c>
      <c r="D2992" s="1">
        <v>45322</v>
      </c>
      <c r="E2992" s="1">
        <v>45329</v>
      </c>
      <c r="F2992" s="1">
        <v>45329</v>
      </c>
      <c r="G2992">
        <v>32.76</v>
      </c>
      <c r="H29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992" t="str">
        <f>IFERROR(INDEX(Raw_orders!G:G, MATCH(shipments[[#This Row],[order_id]],Raw_orders!A:A, 0)), "Unknown")</f>
        <v>Central Europe</v>
      </c>
      <c r="J2992" t="str">
        <f>PROPER(shipments[[#This Row],[delivery_status]])</f>
        <v>Delivered</v>
      </c>
      <c r="K2992" t="s">
        <v>6926</v>
      </c>
    </row>
    <row r="2993" spans="1:11">
      <c r="A2993" t="s">
        <v>9929</v>
      </c>
      <c r="B2993" t="s">
        <v>3708</v>
      </c>
      <c r="C2993" t="s">
        <v>6940</v>
      </c>
      <c r="D2993" s="1">
        <v>45576</v>
      </c>
      <c r="E2993" s="1">
        <v>45578</v>
      </c>
      <c r="F2993" s="1"/>
      <c r="G2993">
        <v>10.09</v>
      </c>
      <c r="H29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2993" t="str">
        <f>IFERROR(INDEX(Raw_orders!G:G, MATCH(shipments[[#This Row],[order_id]],Raw_orders!A:A, 0)), "Unknown")</f>
        <v>Central Europe</v>
      </c>
      <c r="J2993" t="str">
        <f>PROPER(shipments[[#This Row],[delivery_status]])</f>
        <v>In Transit</v>
      </c>
      <c r="K2993" t="s">
        <v>6958</v>
      </c>
    </row>
    <row r="2994" spans="1:11">
      <c r="A2994" t="s">
        <v>9930</v>
      </c>
      <c r="B2994" t="s">
        <v>3709</v>
      </c>
      <c r="C2994" t="s">
        <v>6928</v>
      </c>
      <c r="D2994" s="1">
        <v>45557</v>
      </c>
      <c r="E2994" s="1">
        <v>45564</v>
      </c>
      <c r="F2994" s="1">
        <v>45563</v>
      </c>
      <c r="G2994">
        <v>6.05</v>
      </c>
      <c r="H29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2994" t="str">
        <f>IFERROR(INDEX(Raw_orders!G:G, MATCH(shipments[[#This Row],[order_id]],Raw_orders!A:A, 0)), "Unknown")</f>
        <v>Baltics</v>
      </c>
      <c r="J2994" t="str">
        <f>PROPER(shipments[[#This Row],[delivery_status]])</f>
        <v>Delivered</v>
      </c>
      <c r="K2994" t="s">
        <v>6926</v>
      </c>
    </row>
    <row r="2995" spans="1:11">
      <c r="A2995" t="s">
        <v>9931</v>
      </c>
      <c r="B2995" t="s">
        <v>3710</v>
      </c>
      <c r="C2995" t="s">
        <v>6940</v>
      </c>
      <c r="D2995" s="1">
        <v>45423</v>
      </c>
      <c r="E2995" s="1">
        <v>45428</v>
      </c>
      <c r="F2995" s="1">
        <v>45436</v>
      </c>
      <c r="G2995">
        <v>5.86</v>
      </c>
      <c r="H29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95" t="str">
        <f>IFERROR(INDEX(Raw_orders!G:G, MATCH(shipments[[#This Row],[order_id]],Raw_orders!A:A, 0)), "Unknown")</f>
        <v>Baltics</v>
      </c>
      <c r="J2995" t="str">
        <f>PROPER(shipments[[#This Row],[delivery_status]])</f>
        <v>Delivered</v>
      </c>
      <c r="K2995" t="s">
        <v>6929</v>
      </c>
    </row>
    <row r="2996" spans="1:11">
      <c r="A2996" t="s">
        <v>9932</v>
      </c>
      <c r="B2996" t="s">
        <v>3711</v>
      </c>
      <c r="C2996" t="s">
        <v>6940</v>
      </c>
      <c r="D2996" s="1">
        <v>45072</v>
      </c>
      <c r="E2996" s="1">
        <v>45082</v>
      </c>
      <c r="F2996" s="1">
        <v>45092</v>
      </c>
      <c r="G2996">
        <v>62.72</v>
      </c>
      <c r="H29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96" t="str">
        <f>IFERROR(INDEX(Raw_orders!G:G, MATCH(shipments[[#This Row],[order_id]],Raw_orders!A:A, 0)), "Unknown")</f>
        <v>Nordics</v>
      </c>
      <c r="J2996" t="str">
        <f>PROPER(shipments[[#This Row],[delivery_status]])</f>
        <v>Delivered</v>
      </c>
      <c r="K2996" t="s">
        <v>6922</v>
      </c>
    </row>
    <row r="2997" spans="1:11">
      <c r="A2997" t="s">
        <v>9933</v>
      </c>
      <c r="B2997" t="s">
        <v>3712</v>
      </c>
      <c r="C2997" t="s">
        <v>6928</v>
      </c>
      <c r="D2997" s="1">
        <v>44959</v>
      </c>
      <c r="E2997" s="1">
        <v>44966</v>
      </c>
      <c r="F2997" s="1">
        <v>44969</v>
      </c>
      <c r="G2997">
        <v>55.06</v>
      </c>
      <c r="H29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97" t="str">
        <f>IFERROR(INDEX(Raw_orders!G:G, MATCH(shipments[[#This Row],[order_id]],Raw_orders!A:A, 0)), "Unknown")</f>
        <v>Nordics</v>
      </c>
      <c r="J2997" t="str">
        <f>PROPER(shipments[[#This Row],[delivery_status]])</f>
        <v>Delivered</v>
      </c>
      <c r="K2997" t="s">
        <v>6926</v>
      </c>
    </row>
    <row r="2998" spans="1:11">
      <c r="A2998" t="s">
        <v>9934</v>
      </c>
      <c r="B2998" t="s">
        <v>3713</v>
      </c>
      <c r="C2998" t="s">
        <v>6949</v>
      </c>
      <c r="D2998" s="1">
        <v>44975</v>
      </c>
      <c r="E2998" s="1">
        <v>44977</v>
      </c>
      <c r="F2998" s="1">
        <v>44979</v>
      </c>
      <c r="H29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2998" t="str">
        <f>IFERROR(INDEX(Raw_orders!G:G, MATCH(shipments[[#This Row],[order_id]],Raw_orders!A:A, 0)), "Unknown")</f>
        <v>Central Europe</v>
      </c>
      <c r="J2998" t="str">
        <f>PROPER(shipments[[#This Row],[delivery_status]])</f>
        <v>Delivered</v>
      </c>
      <c r="K2998" t="s">
        <v>6922</v>
      </c>
    </row>
    <row r="2999" spans="1:11">
      <c r="A2999" t="s">
        <v>9935</v>
      </c>
      <c r="B2999" t="s">
        <v>3714</v>
      </c>
      <c r="C2999" t="s">
        <v>6921</v>
      </c>
      <c r="D2999" s="1">
        <v>44940</v>
      </c>
      <c r="E2999" s="1">
        <v>44947</v>
      </c>
      <c r="F2999" s="1"/>
      <c r="G2999">
        <v>17.760000000000002</v>
      </c>
      <c r="H29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2999" t="str">
        <f>IFERROR(INDEX(Raw_orders!G:G, MATCH(shipments[[#This Row],[order_id]],Raw_orders!A:A, 0)), "Unknown")</f>
        <v>Baltics</v>
      </c>
      <c r="J2999" t="str">
        <f>PROPER(shipments[[#This Row],[delivery_status]])</f>
        <v>Cancelled</v>
      </c>
      <c r="K2999" t="s">
        <v>6963</v>
      </c>
    </row>
    <row r="3000" spans="1:11">
      <c r="A3000" t="s">
        <v>9936</v>
      </c>
      <c r="B3000" t="s">
        <v>3715</v>
      </c>
      <c r="C3000" t="s">
        <v>6925</v>
      </c>
      <c r="D3000" s="1">
        <v>44962</v>
      </c>
      <c r="E3000" s="1">
        <v>44965</v>
      </c>
      <c r="F3000" s="1">
        <v>44970</v>
      </c>
      <c r="H30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00" t="str">
        <f>IFERROR(INDEX(Raw_orders!G:G, MATCH(shipments[[#This Row],[order_id]],Raw_orders!A:A, 0)), "Unknown")</f>
        <v>Baltics</v>
      </c>
      <c r="J3000" t="str">
        <f>PROPER(shipments[[#This Row],[delivery_status]])</f>
        <v>Delivered</v>
      </c>
      <c r="K3000" t="s">
        <v>6922</v>
      </c>
    </row>
    <row r="3001" spans="1:11">
      <c r="A3001" t="s">
        <v>9937</v>
      </c>
      <c r="B3001" t="s">
        <v>3716</v>
      </c>
      <c r="C3001" t="s">
        <v>6931</v>
      </c>
      <c r="D3001" s="1">
        <v>45385</v>
      </c>
      <c r="E3001" s="1">
        <v>45390</v>
      </c>
      <c r="F3001" s="1"/>
      <c r="G3001">
        <v>40.89</v>
      </c>
      <c r="H30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001" t="str">
        <f>IFERROR(INDEX(Raw_orders!G:G, MATCH(shipments[[#This Row],[order_id]],Raw_orders!A:A, 0)), "Unknown")</f>
        <v>Baltics</v>
      </c>
      <c r="J3001" t="str">
        <f>PROPER(shipments[[#This Row],[delivery_status]])</f>
        <v>In Transit</v>
      </c>
      <c r="K3001" t="s">
        <v>6977</v>
      </c>
    </row>
    <row r="3002" spans="1:11">
      <c r="A3002" t="s">
        <v>9938</v>
      </c>
      <c r="B3002" t="s">
        <v>3717</v>
      </c>
      <c r="C3002" t="s">
        <v>6925</v>
      </c>
      <c r="D3002" s="1">
        <v>45023</v>
      </c>
      <c r="E3002" s="1">
        <v>45025</v>
      </c>
      <c r="F3002" s="1">
        <v>45034</v>
      </c>
      <c r="H30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02" t="str">
        <f>IFERROR(INDEX(Raw_orders!G:G, MATCH(shipments[[#This Row],[order_id]],Raw_orders!A:A, 0)), "Unknown")</f>
        <v>Baltics</v>
      </c>
      <c r="J3002" t="str">
        <f>PROPER(shipments[[#This Row],[delivery_status]])</f>
        <v>Delivered</v>
      </c>
      <c r="K3002" t="s">
        <v>6929</v>
      </c>
    </row>
    <row r="3003" spans="1:11">
      <c r="A3003" t="s">
        <v>9939</v>
      </c>
      <c r="B3003" t="s">
        <v>3718</v>
      </c>
      <c r="C3003" t="s">
        <v>6921</v>
      </c>
      <c r="D3003" s="1">
        <v>45339</v>
      </c>
      <c r="E3003" s="1">
        <v>45349</v>
      </c>
      <c r="F3003" s="1">
        <v>45358</v>
      </c>
      <c r="G3003">
        <v>17.36</v>
      </c>
      <c r="H30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03" t="str">
        <f>IFERROR(INDEX(Raw_orders!G:G, MATCH(shipments[[#This Row],[order_id]],Raw_orders!A:A, 0)), "Unknown")</f>
        <v>Baltics</v>
      </c>
      <c r="J3003" t="str">
        <f>PROPER(shipments[[#This Row],[delivery_status]])</f>
        <v>Delivered</v>
      </c>
      <c r="K3003" t="s">
        <v>6929</v>
      </c>
    </row>
    <row r="3004" spans="1:11">
      <c r="A3004" t="s">
        <v>9940</v>
      </c>
      <c r="B3004" t="s">
        <v>3719</v>
      </c>
      <c r="C3004" t="s">
        <v>6925</v>
      </c>
      <c r="D3004" s="1">
        <v>45428</v>
      </c>
      <c r="E3004" s="1">
        <v>45430</v>
      </c>
      <c r="F3004" s="1">
        <v>45432</v>
      </c>
      <c r="G3004">
        <v>35.99</v>
      </c>
      <c r="H30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04" t="str">
        <f>IFERROR(INDEX(Raw_orders!G:G, MATCH(shipments[[#This Row],[order_id]],Raw_orders!A:A, 0)), "Unknown")</f>
        <v>Central Europe</v>
      </c>
      <c r="J3004" t="str">
        <f>PROPER(shipments[[#This Row],[delivery_status]])</f>
        <v>Delivered</v>
      </c>
      <c r="K3004" t="s">
        <v>6929</v>
      </c>
    </row>
    <row r="3005" spans="1:11">
      <c r="A3005" t="s">
        <v>9941</v>
      </c>
      <c r="B3005" t="s">
        <v>3720</v>
      </c>
      <c r="C3005" t="s">
        <v>6921</v>
      </c>
      <c r="D3005" s="1">
        <v>45230</v>
      </c>
      <c r="E3005" s="1">
        <v>45240</v>
      </c>
      <c r="F3005" s="1"/>
      <c r="G3005">
        <v>8.25</v>
      </c>
      <c r="H30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005" t="str">
        <f>IFERROR(INDEX(Raw_orders!G:G, MATCH(shipments[[#This Row],[order_id]],Raw_orders!A:A, 0)), "Unknown")</f>
        <v>Nordics</v>
      </c>
      <c r="J3005" t="str">
        <f>PROPER(shipments[[#This Row],[delivery_status]])</f>
        <v>In Transit</v>
      </c>
      <c r="K3005" t="s">
        <v>6958</v>
      </c>
    </row>
    <row r="3006" spans="1:11">
      <c r="A3006" t="s">
        <v>9942</v>
      </c>
      <c r="B3006" t="s">
        <v>3721</v>
      </c>
      <c r="C3006" t="s">
        <v>6940</v>
      </c>
      <c r="D3006" s="1">
        <v>45135</v>
      </c>
      <c r="E3006" s="1">
        <v>45145</v>
      </c>
      <c r="F3006" s="1">
        <v>45150</v>
      </c>
      <c r="G3006">
        <v>27.04</v>
      </c>
      <c r="H30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06" t="str">
        <f>IFERROR(INDEX(Raw_orders!G:G, MATCH(shipments[[#This Row],[order_id]],Raw_orders!A:A, 0)), "Unknown")</f>
        <v>Central Europe</v>
      </c>
      <c r="J3006" t="str">
        <f>PROPER(shipments[[#This Row],[delivery_status]])</f>
        <v>Delivered</v>
      </c>
      <c r="K3006" t="s">
        <v>6926</v>
      </c>
    </row>
    <row r="3007" spans="1:11">
      <c r="A3007" t="s">
        <v>9943</v>
      </c>
      <c r="B3007" t="s">
        <v>3722</v>
      </c>
      <c r="C3007" t="s">
        <v>6931</v>
      </c>
      <c r="D3007" s="1">
        <v>45482</v>
      </c>
      <c r="E3007" s="1">
        <v>45487</v>
      </c>
      <c r="F3007" s="1">
        <v>45490</v>
      </c>
      <c r="G3007">
        <v>11.85</v>
      </c>
      <c r="H30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07" t="str">
        <f>IFERROR(INDEX(Raw_orders!G:G, MATCH(shipments[[#This Row],[order_id]],Raw_orders!A:A, 0)), "Unknown")</f>
        <v>Nordics</v>
      </c>
      <c r="J3007" t="str">
        <f>PROPER(shipments[[#This Row],[delivery_status]])</f>
        <v>Delivered</v>
      </c>
      <c r="K3007" t="s">
        <v>6926</v>
      </c>
    </row>
    <row r="3008" spans="1:11">
      <c r="A3008" t="s">
        <v>9944</v>
      </c>
      <c r="B3008" t="s">
        <v>3723</v>
      </c>
      <c r="C3008" t="s">
        <v>6938</v>
      </c>
      <c r="D3008" s="1">
        <v>45503</v>
      </c>
      <c r="E3008" s="1">
        <v>45506</v>
      </c>
      <c r="F3008" s="1">
        <v>45506</v>
      </c>
      <c r="G3008">
        <v>54.15</v>
      </c>
      <c r="H30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008" t="str">
        <f>IFERROR(INDEX(Raw_orders!G:G, MATCH(shipments[[#This Row],[order_id]],Raw_orders!A:A, 0)), "Unknown")</f>
        <v>Nordics</v>
      </c>
      <c r="J3008" t="str">
        <f>PROPER(shipments[[#This Row],[delivery_status]])</f>
        <v>Delivered</v>
      </c>
      <c r="K3008" t="s">
        <v>6926</v>
      </c>
    </row>
    <row r="3009" spans="1:11">
      <c r="A3009" t="s">
        <v>9945</v>
      </c>
      <c r="B3009" t="s">
        <v>3724</v>
      </c>
      <c r="C3009" t="s">
        <v>6935</v>
      </c>
      <c r="D3009" s="1">
        <v>44947</v>
      </c>
      <c r="E3009" s="1">
        <v>44954</v>
      </c>
      <c r="F3009" s="1">
        <v>44955</v>
      </c>
      <c r="G3009">
        <v>18.95</v>
      </c>
      <c r="H30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09" t="str">
        <f>IFERROR(INDEX(Raw_orders!G:G, MATCH(shipments[[#This Row],[order_id]],Raw_orders!A:A, 0)), "Unknown")</f>
        <v>Central Europe</v>
      </c>
      <c r="J3009" t="str">
        <f>PROPER(shipments[[#This Row],[delivery_status]])</f>
        <v>Delivered</v>
      </c>
      <c r="K3009" t="s">
        <v>6929</v>
      </c>
    </row>
    <row r="3010" spans="1:11">
      <c r="A3010" t="s">
        <v>9946</v>
      </c>
      <c r="B3010" t="s">
        <v>3725</v>
      </c>
      <c r="C3010" t="s">
        <v>6928</v>
      </c>
      <c r="D3010" s="1">
        <v>45593</v>
      </c>
      <c r="E3010" s="1">
        <v>45603</v>
      </c>
      <c r="F3010" s="1">
        <v>45611</v>
      </c>
      <c r="G3010">
        <v>19.61</v>
      </c>
      <c r="H30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10" t="str">
        <f>IFERROR(INDEX(Raw_orders!G:G, MATCH(shipments[[#This Row],[order_id]],Raw_orders!A:A, 0)), "Unknown")</f>
        <v>Nordics</v>
      </c>
      <c r="J3010" t="str">
        <f>PROPER(shipments[[#This Row],[delivery_status]])</f>
        <v>Delivered</v>
      </c>
      <c r="K3010" t="s">
        <v>6922</v>
      </c>
    </row>
    <row r="3011" spans="1:11">
      <c r="A3011" t="s">
        <v>9947</v>
      </c>
      <c r="B3011" t="s">
        <v>3726</v>
      </c>
      <c r="C3011" t="s">
        <v>6938</v>
      </c>
      <c r="D3011" s="1">
        <v>45029</v>
      </c>
      <c r="E3011" s="1">
        <v>45032</v>
      </c>
      <c r="F3011" s="1">
        <v>45035</v>
      </c>
      <c r="G3011">
        <v>64.77</v>
      </c>
      <c r="H30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11" t="str">
        <f>IFERROR(INDEX(Raw_orders!G:G, MATCH(shipments[[#This Row],[order_id]],Raw_orders!A:A, 0)), "Unknown")</f>
        <v>Nordics</v>
      </c>
      <c r="J3011" t="str">
        <f>PROPER(shipments[[#This Row],[delivery_status]])</f>
        <v>Delivered</v>
      </c>
      <c r="K3011" t="s">
        <v>6926</v>
      </c>
    </row>
    <row r="3012" spans="1:11">
      <c r="A3012" t="s">
        <v>9948</v>
      </c>
      <c r="B3012" t="s">
        <v>3727</v>
      </c>
      <c r="C3012" t="s">
        <v>6928</v>
      </c>
      <c r="D3012" s="1">
        <v>45458</v>
      </c>
      <c r="E3012" s="1">
        <v>45468</v>
      </c>
      <c r="F3012" s="1">
        <v>45471</v>
      </c>
      <c r="G3012">
        <v>31.2</v>
      </c>
      <c r="H30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12" t="str">
        <f>IFERROR(INDEX(Raw_orders!G:G, MATCH(shipments[[#This Row],[order_id]],Raw_orders!A:A, 0)), "Unknown")</f>
        <v>Baltics</v>
      </c>
      <c r="J3012" t="str">
        <f>PROPER(shipments[[#This Row],[delivery_status]])</f>
        <v>Delivered</v>
      </c>
      <c r="K3012" t="s">
        <v>6929</v>
      </c>
    </row>
    <row r="3013" spans="1:11">
      <c r="A3013" t="s">
        <v>9949</v>
      </c>
      <c r="B3013" t="s">
        <v>3728</v>
      </c>
      <c r="C3013" t="s">
        <v>6935</v>
      </c>
      <c r="D3013" s="1">
        <v>44940</v>
      </c>
      <c r="E3013" s="1">
        <v>44943</v>
      </c>
      <c r="F3013" s="1">
        <v>44948</v>
      </c>
      <c r="G3013">
        <v>4.8</v>
      </c>
      <c r="H30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13" t="str">
        <f>IFERROR(INDEX(Raw_orders!G:G, MATCH(shipments[[#This Row],[order_id]],Raw_orders!A:A, 0)), "Unknown")</f>
        <v>Baltics</v>
      </c>
      <c r="J3013" t="str">
        <f>PROPER(shipments[[#This Row],[delivery_status]])</f>
        <v>Delivered</v>
      </c>
      <c r="K3013" t="s">
        <v>6929</v>
      </c>
    </row>
    <row r="3014" spans="1:11">
      <c r="A3014" t="s">
        <v>9950</v>
      </c>
      <c r="B3014" t="s">
        <v>3729</v>
      </c>
      <c r="C3014" t="s">
        <v>6956</v>
      </c>
      <c r="D3014" s="1">
        <v>45238</v>
      </c>
      <c r="E3014" s="1">
        <v>45243</v>
      </c>
      <c r="F3014" s="1">
        <v>45242</v>
      </c>
      <c r="G3014">
        <v>37.32</v>
      </c>
      <c r="H30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014" t="str">
        <f>IFERROR(INDEX(Raw_orders!G:G, MATCH(shipments[[#This Row],[order_id]],Raw_orders!A:A, 0)), "Unknown")</f>
        <v>Central Europe</v>
      </c>
      <c r="J3014" t="str">
        <f>PROPER(shipments[[#This Row],[delivery_status]])</f>
        <v>Delivered</v>
      </c>
      <c r="K3014" t="s">
        <v>6926</v>
      </c>
    </row>
    <row r="3015" spans="1:11">
      <c r="A3015" t="s">
        <v>9951</v>
      </c>
      <c r="B3015" t="s">
        <v>3730</v>
      </c>
      <c r="C3015" t="s">
        <v>6956</v>
      </c>
      <c r="D3015" s="1">
        <v>45489</v>
      </c>
      <c r="E3015" s="1">
        <v>45494</v>
      </c>
      <c r="F3015" s="1">
        <v>45494</v>
      </c>
      <c r="G3015">
        <v>7.05</v>
      </c>
      <c r="H30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015" t="str">
        <f>IFERROR(INDEX(Raw_orders!G:G, MATCH(shipments[[#This Row],[order_id]],Raw_orders!A:A, 0)), "Unknown")</f>
        <v>Nordics</v>
      </c>
      <c r="J3015" t="str">
        <f>PROPER(shipments[[#This Row],[delivery_status]])</f>
        <v>Delivered</v>
      </c>
      <c r="K3015" t="s">
        <v>6922</v>
      </c>
    </row>
    <row r="3016" spans="1:11">
      <c r="A3016" t="s">
        <v>9952</v>
      </c>
      <c r="B3016" t="s">
        <v>3731</v>
      </c>
      <c r="C3016" t="s">
        <v>6925</v>
      </c>
      <c r="D3016" s="1">
        <v>45268</v>
      </c>
      <c r="E3016" s="1">
        <v>45275</v>
      </c>
      <c r="F3016" s="1">
        <v>45278</v>
      </c>
      <c r="G3016">
        <v>52.26</v>
      </c>
      <c r="H30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16" t="str">
        <f>IFERROR(INDEX(Raw_orders!G:G, MATCH(shipments[[#This Row],[order_id]],Raw_orders!A:A, 0)), "Unknown")</f>
        <v>Nordics</v>
      </c>
      <c r="J3016" t="str">
        <f>PROPER(shipments[[#This Row],[delivery_status]])</f>
        <v>Delivered</v>
      </c>
      <c r="K3016" t="s">
        <v>6929</v>
      </c>
    </row>
    <row r="3017" spans="1:11">
      <c r="A3017" t="s">
        <v>9953</v>
      </c>
      <c r="B3017" t="s">
        <v>3732</v>
      </c>
      <c r="C3017" t="s">
        <v>6935</v>
      </c>
      <c r="D3017" s="1">
        <v>45158</v>
      </c>
      <c r="E3017" s="1">
        <v>45168</v>
      </c>
      <c r="F3017" s="1">
        <v>45170</v>
      </c>
      <c r="G3017">
        <v>24.94</v>
      </c>
      <c r="H30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17" t="str">
        <f>IFERROR(INDEX(Raw_orders!G:G, MATCH(shipments[[#This Row],[order_id]],Raw_orders!A:A, 0)), "Unknown")</f>
        <v>Nordics</v>
      </c>
      <c r="J3017" t="str">
        <f>PROPER(shipments[[#This Row],[delivery_status]])</f>
        <v>Delivered</v>
      </c>
      <c r="K3017" t="s">
        <v>6926</v>
      </c>
    </row>
    <row r="3018" spans="1:11">
      <c r="A3018" t="s">
        <v>9954</v>
      </c>
      <c r="B3018" t="s">
        <v>3733</v>
      </c>
      <c r="C3018" t="s">
        <v>6949</v>
      </c>
      <c r="D3018" s="1">
        <v>45560</v>
      </c>
      <c r="E3018" s="1">
        <v>45567</v>
      </c>
      <c r="F3018" s="1">
        <v>45570</v>
      </c>
      <c r="G3018">
        <v>15.68</v>
      </c>
      <c r="H30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18" t="str">
        <f>IFERROR(INDEX(Raw_orders!G:G, MATCH(shipments[[#This Row],[order_id]],Raw_orders!A:A, 0)), "Unknown")</f>
        <v>Baltics</v>
      </c>
      <c r="J3018" t="str">
        <f>PROPER(shipments[[#This Row],[delivery_status]])</f>
        <v>Delivered</v>
      </c>
      <c r="K3018" t="s">
        <v>6922</v>
      </c>
    </row>
    <row r="3019" spans="1:11">
      <c r="A3019" t="s">
        <v>9955</v>
      </c>
      <c r="B3019" t="s">
        <v>3734</v>
      </c>
      <c r="C3019" t="s">
        <v>6928</v>
      </c>
      <c r="D3019" s="1">
        <v>45222</v>
      </c>
      <c r="E3019" s="1">
        <v>45224</v>
      </c>
      <c r="F3019" s="1">
        <v>45224</v>
      </c>
      <c r="G3019">
        <v>6.37</v>
      </c>
      <c r="H30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019" t="str">
        <f>IFERROR(INDEX(Raw_orders!G:G, MATCH(shipments[[#This Row],[order_id]],Raw_orders!A:A, 0)), "Unknown")</f>
        <v>Baltics</v>
      </c>
      <c r="J3019" t="str">
        <f>PROPER(shipments[[#This Row],[delivery_status]])</f>
        <v>Delivered</v>
      </c>
      <c r="K3019" t="s">
        <v>6929</v>
      </c>
    </row>
    <row r="3020" spans="1:11">
      <c r="A3020" t="s">
        <v>9956</v>
      </c>
      <c r="B3020" t="s">
        <v>3735</v>
      </c>
      <c r="C3020" t="s">
        <v>6938</v>
      </c>
      <c r="D3020" s="1">
        <v>45216</v>
      </c>
      <c r="E3020" s="1">
        <v>45221</v>
      </c>
      <c r="F3020" s="1"/>
      <c r="G3020">
        <v>14.29</v>
      </c>
      <c r="H30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020" t="str">
        <f>IFERROR(INDEX(Raw_orders!G:G, MATCH(shipments[[#This Row],[order_id]],Raw_orders!A:A, 0)), "Unknown")</f>
        <v>Nordics</v>
      </c>
      <c r="J3020" t="str">
        <f>PROPER(shipments[[#This Row],[delivery_status]])</f>
        <v>In Transit</v>
      </c>
      <c r="K3020" t="s">
        <v>6977</v>
      </c>
    </row>
    <row r="3021" spans="1:11">
      <c r="A3021" t="s">
        <v>9957</v>
      </c>
      <c r="B3021" t="s">
        <v>3736</v>
      </c>
      <c r="C3021" t="s">
        <v>6931</v>
      </c>
      <c r="D3021" s="1">
        <v>45316</v>
      </c>
      <c r="E3021" s="1">
        <v>45321</v>
      </c>
      <c r="F3021" s="1">
        <v>45322</v>
      </c>
      <c r="G3021">
        <v>30.34</v>
      </c>
      <c r="H30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21" t="str">
        <f>IFERROR(INDEX(Raw_orders!G:G, MATCH(shipments[[#This Row],[order_id]],Raw_orders!A:A, 0)), "Unknown")</f>
        <v>Baltics</v>
      </c>
      <c r="J3021" t="str">
        <f>PROPER(shipments[[#This Row],[delivery_status]])</f>
        <v>Delivered</v>
      </c>
      <c r="K3021" t="s">
        <v>6929</v>
      </c>
    </row>
    <row r="3022" spans="1:11">
      <c r="A3022" t="s">
        <v>9958</v>
      </c>
      <c r="B3022" t="s">
        <v>3737</v>
      </c>
      <c r="C3022" t="s">
        <v>6956</v>
      </c>
      <c r="D3022" s="1">
        <v>45275</v>
      </c>
      <c r="E3022" s="1">
        <v>45285</v>
      </c>
      <c r="F3022" s="1">
        <v>45285</v>
      </c>
      <c r="G3022">
        <v>46.03</v>
      </c>
      <c r="H30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022" t="str">
        <f>IFERROR(INDEX(Raw_orders!G:G, MATCH(shipments[[#This Row],[order_id]],Raw_orders!A:A, 0)), "Unknown")</f>
        <v>Central Europe</v>
      </c>
      <c r="J3022" t="str">
        <f>PROPER(shipments[[#This Row],[delivery_status]])</f>
        <v>Delivered</v>
      </c>
      <c r="K3022" t="s">
        <v>6929</v>
      </c>
    </row>
    <row r="3023" spans="1:11">
      <c r="A3023" t="s">
        <v>9959</v>
      </c>
      <c r="B3023" t="s">
        <v>3738</v>
      </c>
      <c r="C3023" t="s">
        <v>6921</v>
      </c>
      <c r="D3023" s="1">
        <v>45397</v>
      </c>
      <c r="E3023" s="1">
        <v>45399</v>
      </c>
      <c r="F3023" s="1">
        <v>45410</v>
      </c>
      <c r="G3023">
        <v>56.15</v>
      </c>
      <c r="H30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23" t="str">
        <f>IFERROR(INDEX(Raw_orders!G:G, MATCH(shipments[[#This Row],[order_id]],Raw_orders!A:A, 0)), "Unknown")</f>
        <v>Baltics</v>
      </c>
      <c r="J3023" t="str">
        <f>PROPER(shipments[[#This Row],[delivery_status]])</f>
        <v>Delivered</v>
      </c>
      <c r="K3023" t="s">
        <v>6926</v>
      </c>
    </row>
    <row r="3024" spans="1:11">
      <c r="A3024" t="s">
        <v>9960</v>
      </c>
      <c r="B3024" t="s">
        <v>3739</v>
      </c>
      <c r="C3024" t="s">
        <v>6928</v>
      </c>
      <c r="D3024" s="1">
        <v>44947</v>
      </c>
      <c r="E3024" s="1">
        <v>44950</v>
      </c>
      <c r="F3024" s="1">
        <v>44950</v>
      </c>
      <c r="G3024">
        <v>37.979999999999997</v>
      </c>
      <c r="H30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024" t="str">
        <f>IFERROR(INDEX(Raw_orders!G:G, MATCH(shipments[[#This Row],[order_id]],Raw_orders!A:A, 0)), "Unknown")</f>
        <v>Central Europe</v>
      </c>
      <c r="J3024" t="str">
        <f>PROPER(shipments[[#This Row],[delivery_status]])</f>
        <v>Delivered</v>
      </c>
      <c r="K3024" t="s">
        <v>6926</v>
      </c>
    </row>
    <row r="3025" spans="1:11">
      <c r="A3025" t="s">
        <v>9961</v>
      </c>
      <c r="B3025" t="s">
        <v>3740</v>
      </c>
      <c r="C3025" t="s">
        <v>6925</v>
      </c>
      <c r="D3025" s="1">
        <v>45115</v>
      </c>
      <c r="E3025" s="1">
        <v>45117</v>
      </c>
      <c r="F3025" s="1">
        <v>45116</v>
      </c>
      <c r="G3025">
        <v>38.200000000000003</v>
      </c>
      <c r="H30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025" t="str">
        <f>IFERROR(INDEX(Raw_orders!G:G, MATCH(shipments[[#This Row],[order_id]],Raw_orders!A:A, 0)), "Unknown")</f>
        <v>Central Europe</v>
      </c>
      <c r="J3025" t="str">
        <f>PROPER(shipments[[#This Row],[delivery_status]])</f>
        <v>Delivered</v>
      </c>
      <c r="K3025" t="s">
        <v>6929</v>
      </c>
    </row>
    <row r="3026" spans="1:11">
      <c r="A3026" t="s">
        <v>9962</v>
      </c>
      <c r="B3026" t="s">
        <v>3741</v>
      </c>
      <c r="C3026" t="s">
        <v>6940</v>
      </c>
      <c r="D3026" s="1">
        <v>45610</v>
      </c>
      <c r="E3026" s="1">
        <v>45620</v>
      </c>
      <c r="F3026" s="1">
        <v>45631</v>
      </c>
      <c r="G3026">
        <v>58.79</v>
      </c>
      <c r="H30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26" t="str">
        <f>IFERROR(INDEX(Raw_orders!G:G, MATCH(shipments[[#This Row],[order_id]],Raw_orders!A:A, 0)), "Unknown")</f>
        <v>Baltics</v>
      </c>
      <c r="J3026" t="str">
        <f>PROPER(shipments[[#This Row],[delivery_status]])</f>
        <v>Delivered</v>
      </c>
      <c r="K3026" t="s">
        <v>6929</v>
      </c>
    </row>
    <row r="3027" spans="1:11">
      <c r="A3027" t="s">
        <v>9963</v>
      </c>
      <c r="B3027" t="s">
        <v>3742</v>
      </c>
      <c r="C3027" t="s">
        <v>6938</v>
      </c>
      <c r="D3027" s="1">
        <v>45418</v>
      </c>
      <c r="E3027" s="1">
        <v>45428</v>
      </c>
      <c r="F3027" s="1">
        <v>45433</v>
      </c>
      <c r="G3027">
        <v>27.01</v>
      </c>
      <c r="H30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27" t="str">
        <f>IFERROR(INDEX(Raw_orders!G:G, MATCH(shipments[[#This Row],[order_id]],Raw_orders!A:A, 0)), "Unknown")</f>
        <v>Baltics</v>
      </c>
      <c r="J3027" t="str">
        <f>PROPER(shipments[[#This Row],[delivery_status]])</f>
        <v>Delivered</v>
      </c>
      <c r="K3027" t="s">
        <v>6929</v>
      </c>
    </row>
    <row r="3028" spans="1:11">
      <c r="A3028" t="s">
        <v>9964</v>
      </c>
      <c r="B3028" t="s">
        <v>3743</v>
      </c>
      <c r="C3028" t="s">
        <v>6935</v>
      </c>
      <c r="D3028" s="1">
        <v>44943</v>
      </c>
      <c r="E3028" s="1">
        <v>44946</v>
      </c>
      <c r="F3028" s="1">
        <v>44946</v>
      </c>
      <c r="G3028">
        <v>7.87</v>
      </c>
      <c r="H30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028" t="str">
        <f>IFERROR(INDEX(Raw_orders!G:G, MATCH(shipments[[#This Row],[order_id]],Raw_orders!A:A, 0)), "Unknown")</f>
        <v>Baltics</v>
      </c>
      <c r="J3028" t="str">
        <f>PROPER(shipments[[#This Row],[delivery_status]])</f>
        <v>Delivered</v>
      </c>
      <c r="K3028" t="s">
        <v>6929</v>
      </c>
    </row>
    <row r="3029" spans="1:11">
      <c r="A3029" t="s">
        <v>9965</v>
      </c>
      <c r="B3029" t="s">
        <v>3744</v>
      </c>
      <c r="C3029" t="s">
        <v>6956</v>
      </c>
      <c r="D3029" s="1">
        <v>45574</v>
      </c>
      <c r="E3029" s="1">
        <v>45576</v>
      </c>
      <c r="F3029" s="1">
        <v>45581</v>
      </c>
      <c r="G3029">
        <v>13.62</v>
      </c>
      <c r="H30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29" t="str">
        <f>IFERROR(INDEX(Raw_orders!G:G, MATCH(shipments[[#This Row],[order_id]],Raw_orders!A:A, 0)), "Unknown")</f>
        <v>Central Europe</v>
      </c>
      <c r="J3029" t="str">
        <f>PROPER(shipments[[#This Row],[delivery_status]])</f>
        <v>Delivered</v>
      </c>
      <c r="K3029" t="s">
        <v>6922</v>
      </c>
    </row>
    <row r="3030" spans="1:11">
      <c r="A3030" t="s">
        <v>9966</v>
      </c>
      <c r="B3030" t="s">
        <v>3745</v>
      </c>
      <c r="C3030" t="s">
        <v>6935</v>
      </c>
      <c r="D3030" s="1">
        <v>45561</v>
      </c>
      <c r="E3030" s="1">
        <v>45571</v>
      </c>
      <c r="F3030" s="1"/>
      <c r="G3030">
        <v>46.88</v>
      </c>
      <c r="H30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030" t="str">
        <f>IFERROR(INDEX(Raw_orders!G:G, MATCH(shipments[[#This Row],[order_id]],Raw_orders!A:A, 0)), "Unknown")</f>
        <v>Nordics</v>
      </c>
      <c r="J3030" t="str">
        <f>PROPER(shipments[[#This Row],[delivery_status]])</f>
        <v>In Transit</v>
      </c>
      <c r="K3030" t="s">
        <v>6977</v>
      </c>
    </row>
    <row r="3031" spans="1:11">
      <c r="A3031" t="s">
        <v>9967</v>
      </c>
      <c r="B3031" t="s">
        <v>3746</v>
      </c>
      <c r="C3031" t="s">
        <v>6935</v>
      </c>
      <c r="D3031" s="1">
        <v>45597</v>
      </c>
      <c r="E3031" s="1">
        <v>45602</v>
      </c>
      <c r="F3031" s="1">
        <v>45602</v>
      </c>
      <c r="G3031">
        <v>51.19</v>
      </c>
      <c r="H30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031" t="str">
        <f>IFERROR(INDEX(Raw_orders!G:G, MATCH(shipments[[#This Row],[order_id]],Raw_orders!A:A, 0)), "Unknown")</f>
        <v>Central Europe</v>
      </c>
      <c r="J3031" t="str">
        <f>PROPER(shipments[[#This Row],[delivery_status]])</f>
        <v>Delivered</v>
      </c>
      <c r="K3031" t="s">
        <v>6926</v>
      </c>
    </row>
    <row r="3032" spans="1:11">
      <c r="A3032" t="s">
        <v>9968</v>
      </c>
      <c r="B3032" t="s">
        <v>3747</v>
      </c>
      <c r="C3032" t="s">
        <v>6956</v>
      </c>
      <c r="D3032" s="1">
        <v>45573</v>
      </c>
      <c r="E3032" s="1">
        <v>45575</v>
      </c>
      <c r="F3032" s="1">
        <v>45576</v>
      </c>
      <c r="G3032">
        <v>47.29</v>
      </c>
      <c r="H30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32" t="str">
        <f>IFERROR(INDEX(Raw_orders!G:G, MATCH(shipments[[#This Row],[order_id]],Raw_orders!A:A, 0)), "Unknown")</f>
        <v>Nordics</v>
      </c>
      <c r="J3032" t="str">
        <f>PROPER(shipments[[#This Row],[delivery_status]])</f>
        <v>Delivered</v>
      </c>
      <c r="K3032" t="s">
        <v>6922</v>
      </c>
    </row>
    <row r="3033" spans="1:11">
      <c r="A3033" t="s">
        <v>9969</v>
      </c>
      <c r="B3033" t="s">
        <v>3748</v>
      </c>
      <c r="C3033" t="s">
        <v>6935</v>
      </c>
      <c r="D3033" s="1">
        <v>45297</v>
      </c>
      <c r="E3033" s="1">
        <v>45307</v>
      </c>
      <c r="F3033" s="1">
        <v>45307</v>
      </c>
      <c r="G3033">
        <v>16.37</v>
      </c>
      <c r="H30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033" t="str">
        <f>IFERROR(INDEX(Raw_orders!G:G, MATCH(shipments[[#This Row],[order_id]],Raw_orders!A:A, 0)), "Unknown")</f>
        <v>Baltics</v>
      </c>
      <c r="J3033" t="str">
        <f>PROPER(shipments[[#This Row],[delivery_status]])</f>
        <v>Delivered</v>
      </c>
      <c r="K3033" t="s">
        <v>6926</v>
      </c>
    </row>
    <row r="3034" spans="1:11">
      <c r="A3034" t="s">
        <v>9970</v>
      </c>
      <c r="B3034" t="s">
        <v>3749</v>
      </c>
      <c r="C3034" t="s">
        <v>6935</v>
      </c>
      <c r="D3034" s="1">
        <v>45139</v>
      </c>
      <c r="E3034" s="1">
        <v>45146</v>
      </c>
      <c r="F3034" s="1"/>
      <c r="G3034">
        <v>47.34</v>
      </c>
      <c r="H30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034" t="str">
        <f>IFERROR(INDEX(Raw_orders!G:G, MATCH(shipments[[#This Row],[order_id]],Raw_orders!A:A, 0)), "Unknown")</f>
        <v>Nordics</v>
      </c>
      <c r="J3034" t="str">
        <f>PROPER(shipments[[#This Row],[delivery_status]])</f>
        <v>Cancelled</v>
      </c>
      <c r="K3034" t="s">
        <v>6963</v>
      </c>
    </row>
    <row r="3035" spans="1:11">
      <c r="A3035" t="s">
        <v>9971</v>
      </c>
      <c r="B3035" t="s">
        <v>3750</v>
      </c>
      <c r="C3035" t="s">
        <v>6938</v>
      </c>
      <c r="D3035" s="1">
        <v>45282</v>
      </c>
      <c r="E3035" s="1">
        <v>45285</v>
      </c>
      <c r="F3035" s="1">
        <v>45285</v>
      </c>
      <c r="G3035">
        <v>12.83</v>
      </c>
      <c r="H30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035" t="str">
        <f>IFERROR(INDEX(Raw_orders!G:G, MATCH(shipments[[#This Row],[order_id]],Raw_orders!A:A, 0)), "Unknown")</f>
        <v>Central Europe</v>
      </c>
      <c r="J3035" t="str">
        <f>PROPER(shipments[[#This Row],[delivery_status]])</f>
        <v>Delivered</v>
      </c>
      <c r="K3035" t="s">
        <v>6922</v>
      </c>
    </row>
    <row r="3036" spans="1:11">
      <c r="A3036" t="s">
        <v>9972</v>
      </c>
      <c r="B3036" t="s">
        <v>3751</v>
      </c>
      <c r="C3036" t="s">
        <v>6935</v>
      </c>
      <c r="D3036" s="1">
        <v>45177</v>
      </c>
      <c r="E3036" s="1">
        <v>45184</v>
      </c>
      <c r="F3036" s="1">
        <v>45183</v>
      </c>
      <c r="G3036">
        <v>54.37</v>
      </c>
      <c r="H30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036" t="str">
        <f>IFERROR(INDEX(Raw_orders!G:G, MATCH(shipments[[#This Row],[order_id]],Raw_orders!A:A, 0)), "Unknown")</f>
        <v>Baltics</v>
      </c>
      <c r="J3036" t="str">
        <f>PROPER(shipments[[#This Row],[delivery_status]])</f>
        <v>Delivered</v>
      </c>
      <c r="K3036" t="s">
        <v>6929</v>
      </c>
    </row>
    <row r="3037" spans="1:11">
      <c r="A3037" t="s">
        <v>9973</v>
      </c>
      <c r="B3037" t="s">
        <v>3752</v>
      </c>
      <c r="C3037" t="s">
        <v>6940</v>
      </c>
      <c r="D3037" s="1">
        <v>45586</v>
      </c>
      <c r="E3037" s="1">
        <v>45589</v>
      </c>
      <c r="F3037" s="1">
        <v>45589</v>
      </c>
      <c r="G3037">
        <v>50.62</v>
      </c>
      <c r="H30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037" t="str">
        <f>IFERROR(INDEX(Raw_orders!G:G, MATCH(shipments[[#This Row],[order_id]],Raw_orders!A:A, 0)), "Unknown")</f>
        <v>Central Europe</v>
      </c>
      <c r="J3037" t="str">
        <f>PROPER(shipments[[#This Row],[delivery_status]])</f>
        <v>Delivered</v>
      </c>
      <c r="K3037" t="s">
        <v>6922</v>
      </c>
    </row>
    <row r="3038" spans="1:11">
      <c r="A3038" t="s">
        <v>9974</v>
      </c>
      <c r="B3038" t="s">
        <v>3753</v>
      </c>
      <c r="C3038" t="s">
        <v>6956</v>
      </c>
      <c r="D3038" s="1">
        <v>44972</v>
      </c>
      <c r="E3038" s="1">
        <v>44982</v>
      </c>
      <c r="F3038" s="1">
        <v>44985</v>
      </c>
      <c r="G3038">
        <v>17.190000000000001</v>
      </c>
      <c r="H30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38" t="str">
        <f>IFERROR(INDEX(Raw_orders!G:G, MATCH(shipments[[#This Row],[order_id]],Raw_orders!A:A, 0)), "Unknown")</f>
        <v>Nordics</v>
      </c>
      <c r="J3038" t="str">
        <f>PROPER(shipments[[#This Row],[delivery_status]])</f>
        <v>Delivered</v>
      </c>
      <c r="K3038" t="s">
        <v>6929</v>
      </c>
    </row>
    <row r="3039" spans="1:11">
      <c r="A3039" t="s">
        <v>9975</v>
      </c>
      <c r="B3039" t="s">
        <v>3754</v>
      </c>
      <c r="C3039" t="s">
        <v>6921</v>
      </c>
      <c r="D3039" s="1">
        <v>45525</v>
      </c>
      <c r="E3039" s="1">
        <v>45535</v>
      </c>
      <c r="F3039" s="1">
        <v>45536</v>
      </c>
      <c r="G3039">
        <v>26.9</v>
      </c>
      <c r="H30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39" t="str">
        <f>IFERROR(INDEX(Raw_orders!G:G, MATCH(shipments[[#This Row],[order_id]],Raw_orders!A:A, 0)), "Unknown")</f>
        <v>Nordics</v>
      </c>
      <c r="J3039" t="str">
        <f>PROPER(shipments[[#This Row],[delivery_status]])</f>
        <v>Delivered</v>
      </c>
      <c r="K3039" t="s">
        <v>6926</v>
      </c>
    </row>
    <row r="3040" spans="1:11">
      <c r="A3040" t="s">
        <v>9976</v>
      </c>
      <c r="B3040" t="s">
        <v>3755</v>
      </c>
      <c r="C3040" t="s">
        <v>6925</v>
      </c>
      <c r="D3040" s="1">
        <v>45004</v>
      </c>
      <c r="E3040" s="1">
        <v>45009</v>
      </c>
      <c r="F3040" s="1">
        <v>45014</v>
      </c>
      <c r="G3040">
        <v>25.25</v>
      </c>
      <c r="H30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40" t="str">
        <f>IFERROR(INDEX(Raw_orders!G:G, MATCH(shipments[[#This Row],[order_id]],Raw_orders!A:A, 0)), "Unknown")</f>
        <v>Central Europe</v>
      </c>
      <c r="J3040" t="str">
        <f>PROPER(shipments[[#This Row],[delivery_status]])</f>
        <v>Delivered</v>
      </c>
      <c r="K3040" t="s">
        <v>6922</v>
      </c>
    </row>
    <row r="3041" spans="1:11">
      <c r="A3041" t="s">
        <v>9977</v>
      </c>
      <c r="B3041" t="s">
        <v>3756</v>
      </c>
      <c r="C3041" t="s">
        <v>6940</v>
      </c>
      <c r="D3041" s="1">
        <v>45066</v>
      </c>
      <c r="E3041" s="1">
        <v>45073</v>
      </c>
      <c r="F3041" s="1">
        <v>45073</v>
      </c>
      <c r="G3041">
        <v>60.09</v>
      </c>
      <c r="H30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041" t="str">
        <f>IFERROR(INDEX(Raw_orders!G:G, MATCH(shipments[[#This Row],[order_id]],Raw_orders!A:A, 0)), "Unknown")</f>
        <v>Baltics</v>
      </c>
      <c r="J3041" t="str">
        <f>PROPER(shipments[[#This Row],[delivery_status]])</f>
        <v>Delivered</v>
      </c>
      <c r="K3041" t="s">
        <v>6926</v>
      </c>
    </row>
    <row r="3042" spans="1:11">
      <c r="A3042" t="s">
        <v>9978</v>
      </c>
      <c r="B3042" t="s">
        <v>3757</v>
      </c>
      <c r="C3042" t="s">
        <v>6940</v>
      </c>
      <c r="D3042" s="1">
        <v>45088</v>
      </c>
      <c r="E3042" s="1">
        <v>45098</v>
      </c>
      <c r="F3042" s="1"/>
      <c r="G3042">
        <v>23.99</v>
      </c>
      <c r="H30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042" t="str">
        <f>IFERROR(INDEX(Raw_orders!G:G, MATCH(shipments[[#This Row],[order_id]],Raw_orders!A:A, 0)), "Unknown")</f>
        <v>Central Europe</v>
      </c>
      <c r="J3042" t="str">
        <f>PROPER(shipments[[#This Row],[delivery_status]])</f>
        <v>In Transit</v>
      </c>
      <c r="K3042" t="s">
        <v>6977</v>
      </c>
    </row>
    <row r="3043" spans="1:11">
      <c r="A3043" t="s">
        <v>9979</v>
      </c>
      <c r="B3043" t="s">
        <v>3758</v>
      </c>
      <c r="C3043" t="s">
        <v>6935</v>
      </c>
      <c r="D3043" s="1">
        <v>45620</v>
      </c>
      <c r="E3043" s="1">
        <v>45627</v>
      </c>
      <c r="F3043" s="1">
        <v>45627</v>
      </c>
      <c r="G3043">
        <v>49.78</v>
      </c>
      <c r="H30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043" t="str">
        <f>IFERROR(INDEX(Raw_orders!G:G, MATCH(shipments[[#This Row],[order_id]],Raw_orders!A:A, 0)), "Unknown")</f>
        <v>Central Europe</v>
      </c>
      <c r="J3043" t="str">
        <f>PROPER(shipments[[#This Row],[delivery_status]])</f>
        <v>Delivered</v>
      </c>
      <c r="K3043" t="s">
        <v>6926</v>
      </c>
    </row>
    <row r="3044" spans="1:11">
      <c r="A3044" t="s">
        <v>9980</v>
      </c>
      <c r="B3044" t="s">
        <v>3759</v>
      </c>
      <c r="C3044" t="s">
        <v>6921</v>
      </c>
      <c r="D3044" s="1">
        <v>45520</v>
      </c>
      <c r="E3044" s="1">
        <v>45522</v>
      </c>
      <c r="F3044" s="1"/>
      <c r="G3044">
        <v>16.350000000000001</v>
      </c>
      <c r="H30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044" t="str">
        <f>IFERROR(INDEX(Raw_orders!G:G, MATCH(shipments[[#This Row],[order_id]],Raw_orders!A:A, 0)), "Unknown")</f>
        <v>Central Europe</v>
      </c>
      <c r="J3044" t="str">
        <f>PROPER(shipments[[#This Row],[delivery_status]])</f>
        <v>Cancelled</v>
      </c>
      <c r="K3044" t="s">
        <v>6963</v>
      </c>
    </row>
    <row r="3045" spans="1:11">
      <c r="A3045" t="s">
        <v>9981</v>
      </c>
      <c r="B3045" t="s">
        <v>3760</v>
      </c>
      <c r="C3045" t="s">
        <v>6935</v>
      </c>
      <c r="D3045" s="1">
        <v>45407</v>
      </c>
      <c r="E3045" s="1">
        <v>45412</v>
      </c>
      <c r="F3045" s="1">
        <v>45411</v>
      </c>
      <c r="G3045">
        <v>31.6</v>
      </c>
      <c r="H30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045" t="str">
        <f>IFERROR(INDEX(Raw_orders!G:G, MATCH(shipments[[#This Row],[order_id]],Raw_orders!A:A, 0)), "Unknown")</f>
        <v>Baltics</v>
      </c>
      <c r="J3045" t="str">
        <f>PROPER(shipments[[#This Row],[delivery_status]])</f>
        <v>Delivered</v>
      </c>
      <c r="K3045" t="s">
        <v>6926</v>
      </c>
    </row>
    <row r="3046" spans="1:11">
      <c r="A3046" t="s">
        <v>9982</v>
      </c>
      <c r="B3046" t="s">
        <v>3761</v>
      </c>
      <c r="C3046" t="s">
        <v>6940</v>
      </c>
      <c r="D3046" s="1">
        <v>44974</v>
      </c>
      <c r="E3046" s="1">
        <v>44979</v>
      </c>
      <c r="F3046" s="1">
        <v>44978</v>
      </c>
      <c r="G3046">
        <v>55.07</v>
      </c>
      <c r="H30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046" t="str">
        <f>IFERROR(INDEX(Raw_orders!G:G, MATCH(shipments[[#This Row],[order_id]],Raw_orders!A:A, 0)), "Unknown")</f>
        <v>Baltics</v>
      </c>
      <c r="J3046" t="str">
        <f>PROPER(shipments[[#This Row],[delivery_status]])</f>
        <v>Delivered</v>
      </c>
      <c r="K3046" t="s">
        <v>6929</v>
      </c>
    </row>
    <row r="3047" spans="1:11">
      <c r="A3047" t="s">
        <v>9983</v>
      </c>
      <c r="B3047" t="s">
        <v>3762</v>
      </c>
      <c r="C3047" t="s">
        <v>6940</v>
      </c>
      <c r="D3047" s="1">
        <v>45176</v>
      </c>
      <c r="E3047" s="1">
        <v>45179</v>
      </c>
      <c r="F3047" s="1">
        <v>45182</v>
      </c>
      <c r="G3047">
        <v>13.06</v>
      </c>
      <c r="H30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47" t="str">
        <f>IFERROR(INDEX(Raw_orders!G:G, MATCH(shipments[[#This Row],[order_id]],Raw_orders!A:A, 0)), "Unknown")</f>
        <v>Nordics</v>
      </c>
      <c r="J3047" t="str">
        <f>PROPER(shipments[[#This Row],[delivery_status]])</f>
        <v>Delivered</v>
      </c>
      <c r="K3047" t="s">
        <v>6929</v>
      </c>
    </row>
    <row r="3048" spans="1:11">
      <c r="A3048" t="s">
        <v>9984</v>
      </c>
      <c r="B3048" t="s">
        <v>3763</v>
      </c>
      <c r="C3048" t="s">
        <v>6925</v>
      </c>
      <c r="D3048" s="1">
        <v>45353</v>
      </c>
      <c r="E3048" s="1">
        <v>45360</v>
      </c>
      <c r="F3048" s="1"/>
      <c r="G3048">
        <v>25.59</v>
      </c>
      <c r="H30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048" t="str">
        <f>IFERROR(INDEX(Raw_orders!G:G, MATCH(shipments[[#This Row],[order_id]],Raw_orders!A:A, 0)), "Unknown")</f>
        <v>Unknown</v>
      </c>
      <c r="J3048" t="str">
        <f>PROPER(shipments[[#This Row],[delivery_status]])</f>
        <v>In Transit</v>
      </c>
      <c r="K3048" t="s">
        <v>6958</v>
      </c>
    </row>
    <row r="3049" spans="1:11">
      <c r="A3049" t="s">
        <v>9985</v>
      </c>
      <c r="B3049" t="s">
        <v>3764</v>
      </c>
      <c r="C3049" t="s">
        <v>6938</v>
      </c>
      <c r="D3049" s="1">
        <v>45155</v>
      </c>
      <c r="E3049" s="1">
        <v>45162</v>
      </c>
      <c r="F3049" s="1">
        <v>45161</v>
      </c>
      <c r="G3049">
        <v>25.13</v>
      </c>
      <c r="H30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049" t="str">
        <f>IFERROR(INDEX(Raw_orders!G:G, MATCH(shipments[[#This Row],[order_id]],Raw_orders!A:A, 0)), "Unknown")</f>
        <v>Central Europe</v>
      </c>
      <c r="J3049" t="str">
        <f>PROPER(shipments[[#This Row],[delivery_status]])</f>
        <v>Delivered</v>
      </c>
      <c r="K3049" t="s">
        <v>6929</v>
      </c>
    </row>
    <row r="3050" spans="1:11">
      <c r="A3050" t="s">
        <v>9986</v>
      </c>
      <c r="B3050" t="s">
        <v>3765</v>
      </c>
      <c r="C3050" t="s">
        <v>6925</v>
      </c>
      <c r="D3050" s="1">
        <v>45020</v>
      </c>
      <c r="E3050" s="1">
        <v>45025</v>
      </c>
      <c r="F3050" s="1">
        <v>45033</v>
      </c>
      <c r="G3050">
        <v>15.8</v>
      </c>
      <c r="H30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50" t="str">
        <f>IFERROR(INDEX(Raw_orders!G:G, MATCH(shipments[[#This Row],[order_id]],Raw_orders!A:A, 0)), "Unknown")</f>
        <v>Nordics</v>
      </c>
      <c r="J3050" t="str">
        <f>PROPER(shipments[[#This Row],[delivery_status]])</f>
        <v>Delivered</v>
      </c>
      <c r="K3050" t="s">
        <v>6929</v>
      </c>
    </row>
    <row r="3051" spans="1:11">
      <c r="A3051" t="s">
        <v>9987</v>
      </c>
      <c r="B3051" t="s">
        <v>3766</v>
      </c>
      <c r="C3051" t="s">
        <v>6921</v>
      </c>
      <c r="D3051" s="1">
        <v>45206</v>
      </c>
      <c r="E3051" s="1">
        <v>45213</v>
      </c>
      <c r="F3051" s="1"/>
      <c r="G3051">
        <v>58.3</v>
      </c>
      <c r="H30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051" t="str">
        <f>IFERROR(INDEX(Raw_orders!G:G, MATCH(shipments[[#This Row],[order_id]],Raw_orders!A:A, 0)), "Unknown")</f>
        <v>Central Europe</v>
      </c>
      <c r="J3051" t="str">
        <f>PROPER(shipments[[#This Row],[delivery_status]])</f>
        <v>In Transit</v>
      </c>
      <c r="K3051" t="s">
        <v>6977</v>
      </c>
    </row>
    <row r="3052" spans="1:11">
      <c r="A3052" t="s">
        <v>9988</v>
      </c>
      <c r="B3052" t="s">
        <v>3767</v>
      </c>
      <c r="C3052" t="s">
        <v>6928</v>
      </c>
      <c r="D3052" s="1">
        <v>45414</v>
      </c>
      <c r="E3052" s="1">
        <v>45424</v>
      </c>
      <c r="F3052" s="1">
        <v>45435</v>
      </c>
      <c r="G3052">
        <v>45.39</v>
      </c>
      <c r="H30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52" t="str">
        <f>IFERROR(INDEX(Raw_orders!G:G, MATCH(shipments[[#This Row],[order_id]],Raw_orders!A:A, 0)), "Unknown")</f>
        <v>Central Europe</v>
      </c>
      <c r="J3052" t="str">
        <f>PROPER(shipments[[#This Row],[delivery_status]])</f>
        <v>Delivered</v>
      </c>
      <c r="K3052" t="s">
        <v>6929</v>
      </c>
    </row>
    <row r="3053" spans="1:11">
      <c r="A3053" t="s">
        <v>9989</v>
      </c>
      <c r="B3053" t="s">
        <v>3768</v>
      </c>
      <c r="C3053" t="s">
        <v>6938</v>
      </c>
      <c r="D3053" s="1">
        <v>45395</v>
      </c>
      <c r="E3053" s="1">
        <v>45398</v>
      </c>
      <c r="F3053" s="1">
        <v>45398</v>
      </c>
      <c r="G3053">
        <v>11.65</v>
      </c>
      <c r="H30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053" t="str">
        <f>IFERROR(INDEX(Raw_orders!G:G, MATCH(shipments[[#This Row],[order_id]],Raw_orders!A:A, 0)), "Unknown")</f>
        <v>Central Europe</v>
      </c>
      <c r="J3053" t="str">
        <f>PROPER(shipments[[#This Row],[delivery_status]])</f>
        <v>Delivered</v>
      </c>
      <c r="K3053" t="s">
        <v>6922</v>
      </c>
    </row>
    <row r="3054" spans="1:11">
      <c r="A3054" t="s">
        <v>9990</v>
      </c>
      <c r="B3054" t="s">
        <v>3769</v>
      </c>
      <c r="C3054" t="s">
        <v>6931</v>
      </c>
      <c r="D3054" s="1">
        <v>45388</v>
      </c>
      <c r="E3054" s="1">
        <v>45395</v>
      </c>
      <c r="F3054" s="1"/>
      <c r="G3054">
        <v>45.8</v>
      </c>
      <c r="H30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054" t="str">
        <f>IFERROR(INDEX(Raw_orders!G:G, MATCH(shipments[[#This Row],[order_id]],Raw_orders!A:A, 0)), "Unknown")</f>
        <v>Nordics</v>
      </c>
      <c r="J3054" t="str">
        <f>PROPER(shipments[[#This Row],[delivery_status]])</f>
        <v>Cancelled</v>
      </c>
      <c r="K3054" t="s">
        <v>6963</v>
      </c>
    </row>
    <row r="3055" spans="1:11">
      <c r="A3055" t="s">
        <v>9991</v>
      </c>
      <c r="B3055" t="s">
        <v>3770</v>
      </c>
      <c r="C3055" t="s">
        <v>6938</v>
      </c>
      <c r="D3055" s="1">
        <v>45313</v>
      </c>
      <c r="E3055" s="1">
        <v>45315</v>
      </c>
      <c r="F3055" s="1">
        <v>45317</v>
      </c>
      <c r="H30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55" t="str">
        <f>IFERROR(INDEX(Raw_orders!G:G, MATCH(shipments[[#This Row],[order_id]],Raw_orders!A:A, 0)), "Unknown")</f>
        <v>Nordics</v>
      </c>
      <c r="J3055" t="str">
        <f>PROPER(shipments[[#This Row],[delivery_status]])</f>
        <v>Delivered</v>
      </c>
      <c r="K3055" t="s">
        <v>6929</v>
      </c>
    </row>
    <row r="3056" spans="1:11">
      <c r="A3056" t="s">
        <v>9992</v>
      </c>
      <c r="B3056" t="s">
        <v>3771</v>
      </c>
      <c r="C3056" t="s">
        <v>6935</v>
      </c>
      <c r="D3056" s="1">
        <v>45258</v>
      </c>
      <c r="E3056" s="1">
        <v>45261</v>
      </c>
      <c r="F3056" s="1">
        <v>45261</v>
      </c>
      <c r="G3056">
        <v>11.2</v>
      </c>
      <c r="H30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056" t="str">
        <f>IFERROR(INDEX(Raw_orders!G:G, MATCH(shipments[[#This Row],[order_id]],Raw_orders!A:A, 0)), "Unknown")</f>
        <v>Central Europe</v>
      </c>
      <c r="J3056" t="str">
        <f>PROPER(shipments[[#This Row],[delivery_status]])</f>
        <v>Delivered</v>
      </c>
      <c r="K3056" t="s">
        <v>6922</v>
      </c>
    </row>
    <row r="3057" spans="1:11">
      <c r="A3057" t="s">
        <v>9993</v>
      </c>
      <c r="B3057" t="s">
        <v>3772</v>
      </c>
      <c r="C3057" t="s">
        <v>6935</v>
      </c>
      <c r="D3057" s="1">
        <v>45550</v>
      </c>
      <c r="E3057" s="1">
        <v>45560</v>
      </c>
      <c r="F3057" s="1">
        <v>45567</v>
      </c>
      <c r="G3057">
        <v>4.6399999999999997</v>
      </c>
      <c r="H30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57" t="str">
        <f>IFERROR(INDEX(Raw_orders!G:G, MATCH(shipments[[#This Row],[order_id]],Raw_orders!A:A, 0)), "Unknown")</f>
        <v>Nordics</v>
      </c>
      <c r="J3057" t="str">
        <f>PROPER(shipments[[#This Row],[delivery_status]])</f>
        <v>Delivered</v>
      </c>
      <c r="K3057" t="s">
        <v>6929</v>
      </c>
    </row>
    <row r="3058" spans="1:11">
      <c r="A3058" t="s">
        <v>9994</v>
      </c>
      <c r="B3058" t="s">
        <v>3773</v>
      </c>
      <c r="C3058" t="s">
        <v>6938</v>
      </c>
      <c r="D3058" s="1">
        <v>45347</v>
      </c>
      <c r="E3058" s="1">
        <v>45354</v>
      </c>
      <c r="F3058" s="1">
        <v>45353</v>
      </c>
      <c r="G3058">
        <v>59.11</v>
      </c>
      <c r="H30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058" t="str">
        <f>IFERROR(INDEX(Raw_orders!G:G, MATCH(shipments[[#This Row],[order_id]],Raw_orders!A:A, 0)), "Unknown")</f>
        <v>Central Europe</v>
      </c>
      <c r="J3058" t="str">
        <f>PROPER(shipments[[#This Row],[delivery_status]])</f>
        <v>Delivered</v>
      </c>
      <c r="K3058" t="s">
        <v>6922</v>
      </c>
    </row>
    <row r="3059" spans="1:11">
      <c r="A3059" t="s">
        <v>9995</v>
      </c>
      <c r="B3059" t="s">
        <v>3774</v>
      </c>
      <c r="C3059" t="s">
        <v>6931</v>
      </c>
      <c r="D3059" s="1">
        <v>45181</v>
      </c>
      <c r="E3059" s="1">
        <v>45183</v>
      </c>
      <c r="F3059" s="1">
        <v>45189</v>
      </c>
      <c r="G3059">
        <v>14.61</v>
      </c>
      <c r="H30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59" t="str">
        <f>IFERROR(INDEX(Raw_orders!G:G, MATCH(shipments[[#This Row],[order_id]],Raw_orders!A:A, 0)), "Unknown")</f>
        <v>Central Europe</v>
      </c>
      <c r="J3059" t="str">
        <f>PROPER(shipments[[#This Row],[delivery_status]])</f>
        <v>Delivered</v>
      </c>
      <c r="K3059" t="s">
        <v>6922</v>
      </c>
    </row>
    <row r="3060" spans="1:11">
      <c r="A3060" t="s">
        <v>9996</v>
      </c>
      <c r="B3060" t="s">
        <v>3775</v>
      </c>
      <c r="C3060" t="s">
        <v>6935</v>
      </c>
      <c r="D3060" s="1">
        <v>44966</v>
      </c>
      <c r="E3060" s="1">
        <v>44968</v>
      </c>
      <c r="F3060" s="1">
        <v>44970</v>
      </c>
      <c r="G3060">
        <v>28.35</v>
      </c>
      <c r="H30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60" t="str">
        <f>IFERROR(INDEX(Raw_orders!G:G, MATCH(shipments[[#This Row],[order_id]],Raw_orders!A:A, 0)), "Unknown")</f>
        <v>Nordics</v>
      </c>
      <c r="J3060" t="str">
        <f>PROPER(shipments[[#This Row],[delivery_status]])</f>
        <v>Delivered</v>
      </c>
      <c r="K3060" t="s">
        <v>6922</v>
      </c>
    </row>
    <row r="3061" spans="1:11">
      <c r="A3061" t="s">
        <v>9997</v>
      </c>
      <c r="B3061" t="s">
        <v>3776</v>
      </c>
      <c r="C3061" t="s">
        <v>6925</v>
      </c>
      <c r="D3061" s="1">
        <v>45341</v>
      </c>
      <c r="E3061" s="1">
        <v>45343</v>
      </c>
      <c r="F3061" s="1">
        <v>45348</v>
      </c>
      <c r="G3061">
        <v>18.78</v>
      </c>
      <c r="H30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61" t="str">
        <f>IFERROR(INDEX(Raw_orders!G:G, MATCH(shipments[[#This Row],[order_id]],Raw_orders!A:A, 0)), "Unknown")</f>
        <v>Baltics</v>
      </c>
      <c r="J3061" t="str">
        <f>PROPER(shipments[[#This Row],[delivery_status]])</f>
        <v>Delivered</v>
      </c>
      <c r="K3061" t="s">
        <v>6926</v>
      </c>
    </row>
    <row r="3062" spans="1:11">
      <c r="A3062" t="s">
        <v>9998</v>
      </c>
      <c r="B3062" t="s">
        <v>3777</v>
      </c>
      <c r="C3062" t="s">
        <v>6925</v>
      </c>
      <c r="D3062" s="1">
        <v>45097</v>
      </c>
      <c r="E3062" s="1">
        <v>45107</v>
      </c>
      <c r="F3062" s="1">
        <v>45113</v>
      </c>
      <c r="H30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62" t="str">
        <f>IFERROR(INDEX(Raw_orders!G:G, MATCH(shipments[[#This Row],[order_id]],Raw_orders!A:A, 0)), "Unknown")</f>
        <v>Baltics</v>
      </c>
      <c r="J3062" t="str">
        <f>PROPER(shipments[[#This Row],[delivery_status]])</f>
        <v>Delivered</v>
      </c>
      <c r="K3062" t="s">
        <v>6922</v>
      </c>
    </row>
    <row r="3063" spans="1:11">
      <c r="A3063" t="s">
        <v>9999</v>
      </c>
      <c r="B3063" t="s">
        <v>3778</v>
      </c>
      <c r="C3063" t="s">
        <v>6931</v>
      </c>
      <c r="D3063" s="1">
        <v>45270</v>
      </c>
      <c r="E3063" s="1">
        <v>45280</v>
      </c>
      <c r="F3063" s="1">
        <v>45288</v>
      </c>
      <c r="G3063">
        <v>33.5</v>
      </c>
      <c r="H30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63" t="str">
        <f>IFERROR(INDEX(Raw_orders!G:G, MATCH(shipments[[#This Row],[order_id]],Raw_orders!A:A, 0)), "Unknown")</f>
        <v>Central Europe</v>
      </c>
      <c r="J3063" t="str">
        <f>PROPER(shipments[[#This Row],[delivery_status]])</f>
        <v>Delivered</v>
      </c>
      <c r="K3063" t="s">
        <v>6922</v>
      </c>
    </row>
    <row r="3064" spans="1:11">
      <c r="A3064" t="s">
        <v>10000</v>
      </c>
      <c r="B3064" t="s">
        <v>3779</v>
      </c>
      <c r="C3064" t="s">
        <v>6940</v>
      </c>
      <c r="D3064" s="1">
        <v>45272</v>
      </c>
      <c r="E3064" s="1">
        <v>45275</v>
      </c>
      <c r="F3064" s="1">
        <v>45275</v>
      </c>
      <c r="G3064">
        <v>21.19</v>
      </c>
      <c r="H30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064" t="str">
        <f>IFERROR(INDEX(Raw_orders!G:G, MATCH(shipments[[#This Row],[order_id]],Raw_orders!A:A, 0)), "Unknown")</f>
        <v>Unknown</v>
      </c>
      <c r="J3064" t="str">
        <f>PROPER(shipments[[#This Row],[delivery_status]])</f>
        <v>Delivered</v>
      </c>
      <c r="K3064" t="s">
        <v>6926</v>
      </c>
    </row>
    <row r="3065" spans="1:11">
      <c r="A3065" t="s">
        <v>10001</v>
      </c>
      <c r="B3065" t="s">
        <v>3780</v>
      </c>
      <c r="C3065" t="s">
        <v>6925</v>
      </c>
      <c r="D3065" s="1">
        <v>44950</v>
      </c>
      <c r="E3065" s="1">
        <v>44955</v>
      </c>
      <c r="F3065" s="1">
        <v>44956</v>
      </c>
      <c r="G3065">
        <v>17.98</v>
      </c>
      <c r="H30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65" t="str">
        <f>IFERROR(INDEX(Raw_orders!G:G, MATCH(shipments[[#This Row],[order_id]],Raw_orders!A:A, 0)), "Unknown")</f>
        <v>Nordics</v>
      </c>
      <c r="J3065" t="str">
        <f>PROPER(shipments[[#This Row],[delivery_status]])</f>
        <v>Delivered</v>
      </c>
      <c r="K3065" t="s">
        <v>6922</v>
      </c>
    </row>
    <row r="3066" spans="1:11">
      <c r="A3066" t="s">
        <v>10002</v>
      </c>
      <c r="B3066" t="s">
        <v>3781</v>
      </c>
      <c r="C3066" t="s">
        <v>6928</v>
      </c>
      <c r="D3066" s="1">
        <v>45536</v>
      </c>
      <c r="E3066" s="1">
        <v>45539</v>
      </c>
      <c r="F3066" s="1"/>
      <c r="G3066">
        <v>43.93</v>
      </c>
      <c r="H30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066" t="str">
        <f>IFERROR(INDEX(Raw_orders!G:G, MATCH(shipments[[#This Row],[order_id]],Raw_orders!A:A, 0)), "Unknown")</f>
        <v>Unknown</v>
      </c>
      <c r="J3066" t="str">
        <f>PROPER(shipments[[#This Row],[delivery_status]])</f>
        <v>In Transit</v>
      </c>
      <c r="K3066" t="s">
        <v>6958</v>
      </c>
    </row>
    <row r="3067" spans="1:11">
      <c r="A3067" t="s">
        <v>10003</v>
      </c>
      <c r="B3067" t="s">
        <v>3782</v>
      </c>
      <c r="C3067" t="s">
        <v>6925</v>
      </c>
      <c r="D3067" s="1">
        <v>45513</v>
      </c>
      <c r="E3067" s="1">
        <v>45518</v>
      </c>
      <c r="F3067" s="1"/>
      <c r="G3067">
        <v>27.96</v>
      </c>
      <c r="H30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067" t="str">
        <f>IFERROR(INDEX(Raw_orders!G:G, MATCH(shipments[[#This Row],[order_id]],Raw_orders!A:A, 0)), "Unknown")</f>
        <v>Nordics</v>
      </c>
      <c r="J3067" t="str">
        <f>PROPER(shipments[[#This Row],[delivery_status]])</f>
        <v>In Transit</v>
      </c>
      <c r="K3067" t="s">
        <v>6958</v>
      </c>
    </row>
    <row r="3068" spans="1:11">
      <c r="A3068" t="s">
        <v>10004</v>
      </c>
      <c r="B3068" t="s">
        <v>3783</v>
      </c>
      <c r="C3068" t="s">
        <v>6921</v>
      </c>
      <c r="D3068" s="1">
        <v>45168</v>
      </c>
      <c r="E3068" s="1">
        <v>45178</v>
      </c>
      <c r="F3068" s="1">
        <v>45177</v>
      </c>
      <c r="G3068">
        <v>29.08</v>
      </c>
      <c r="H30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068" t="str">
        <f>IFERROR(INDEX(Raw_orders!G:G, MATCH(shipments[[#This Row],[order_id]],Raw_orders!A:A, 0)), "Unknown")</f>
        <v>Central Europe</v>
      </c>
      <c r="J3068" t="str">
        <f>PROPER(shipments[[#This Row],[delivery_status]])</f>
        <v>Delivered</v>
      </c>
      <c r="K3068" t="s">
        <v>6929</v>
      </c>
    </row>
    <row r="3069" spans="1:11">
      <c r="A3069" t="s">
        <v>10005</v>
      </c>
      <c r="B3069" t="s">
        <v>3784</v>
      </c>
      <c r="C3069" t="s">
        <v>6935</v>
      </c>
      <c r="D3069" s="1">
        <v>45624</v>
      </c>
      <c r="E3069" s="1">
        <v>45634</v>
      </c>
      <c r="F3069" s="1">
        <v>45634</v>
      </c>
      <c r="G3069">
        <v>37.380000000000003</v>
      </c>
      <c r="H30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069" t="str">
        <f>IFERROR(INDEX(Raw_orders!G:G, MATCH(shipments[[#This Row],[order_id]],Raw_orders!A:A, 0)), "Unknown")</f>
        <v>Nordics</v>
      </c>
      <c r="J3069" t="str">
        <f>PROPER(shipments[[#This Row],[delivery_status]])</f>
        <v>Delivered</v>
      </c>
      <c r="K3069" t="s">
        <v>6922</v>
      </c>
    </row>
    <row r="3070" spans="1:11">
      <c r="A3070" t="s">
        <v>10006</v>
      </c>
      <c r="B3070" t="s">
        <v>3785</v>
      </c>
      <c r="C3070" t="s">
        <v>6931</v>
      </c>
      <c r="D3070" s="1">
        <v>45050</v>
      </c>
      <c r="E3070" s="1">
        <v>45052</v>
      </c>
      <c r="F3070" s="1">
        <v>45052</v>
      </c>
      <c r="G3070">
        <v>46.02</v>
      </c>
      <c r="H30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070" t="str">
        <f>IFERROR(INDEX(Raw_orders!G:G, MATCH(shipments[[#This Row],[order_id]],Raw_orders!A:A, 0)), "Unknown")</f>
        <v>Baltics</v>
      </c>
      <c r="J3070" t="str">
        <f>PROPER(shipments[[#This Row],[delivery_status]])</f>
        <v>Delivered</v>
      </c>
      <c r="K3070" t="s">
        <v>6926</v>
      </c>
    </row>
    <row r="3071" spans="1:11">
      <c r="A3071" t="s">
        <v>10007</v>
      </c>
      <c r="B3071" t="s">
        <v>3786</v>
      </c>
      <c r="C3071" t="s">
        <v>6938</v>
      </c>
      <c r="D3071" s="1">
        <v>45052</v>
      </c>
      <c r="E3071" s="1">
        <v>45057</v>
      </c>
      <c r="F3071" s="1">
        <v>45056</v>
      </c>
      <c r="G3071">
        <v>43.84</v>
      </c>
      <c r="H30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071" t="str">
        <f>IFERROR(INDEX(Raw_orders!G:G, MATCH(shipments[[#This Row],[order_id]],Raw_orders!A:A, 0)), "Unknown")</f>
        <v>Nordics</v>
      </c>
      <c r="J3071" t="str">
        <f>PROPER(shipments[[#This Row],[delivery_status]])</f>
        <v>Delivered</v>
      </c>
      <c r="K3071" t="s">
        <v>6926</v>
      </c>
    </row>
    <row r="3072" spans="1:11">
      <c r="A3072" t="s">
        <v>10008</v>
      </c>
      <c r="B3072" t="s">
        <v>3787</v>
      </c>
      <c r="C3072" t="s">
        <v>6949</v>
      </c>
      <c r="D3072" s="1">
        <v>45505</v>
      </c>
      <c r="E3072" s="1">
        <v>45515</v>
      </c>
      <c r="F3072" s="1">
        <v>45515</v>
      </c>
      <c r="G3072">
        <v>10.86</v>
      </c>
      <c r="H30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072" t="str">
        <f>IFERROR(INDEX(Raw_orders!G:G, MATCH(shipments[[#This Row],[order_id]],Raw_orders!A:A, 0)), "Unknown")</f>
        <v>Central Europe</v>
      </c>
      <c r="J3072" t="str">
        <f>PROPER(shipments[[#This Row],[delivery_status]])</f>
        <v>Delivered</v>
      </c>
      <c r="K3072" t="s">
        <v>6926</v>
      </c>
    </row>
    <row r="3073" spans="1:11">
      <c r="A3073" t="s">
        <v>10009</v>
      </c>
      <c r="B3073" t="s">
        <v>3788</v>
      </c>
      <c r="C3073" t="s">
        <v>6940</v>
      </c>
      <c r="D3073" s="1">
        <v>45453</v>
      </c>
      <c r="E3073" s="1">
        <v>45456</v>
      </c>
      <c r="F3073" s="1">
        <v>45455</v>
      </c>
      <c r="G3073">
        <v>37.58</v>
      </c>
      <c r="H30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073" t="str">
        <f>IFERROR(INDEX(Raw_orders!G:G, MATCH(shipments[[#This Row],[order_id]],Raw_orders!A:A, 0)), "Unknown")</f>
        <v>Baltics</v>
      </c>
      <c r="J3073" t="str">
        <f>PROPER(shipments[[#This Row],[delivery_status]])</f>
        <v>Delivered</v>
      </c>
      <c r="K3073" t="s">
        <v>6926</v>
      </c>
    </row>
    <row r="3074" spans="1:11">
      <c r="A3074" t="s">
        <v>10010</v>
      </c>
      <c r="B3074" t="s">
        <v>3789</v>
      </c>
      <c r="C3074" t="s">
        <v>6940</v>
      </c>
      <c r="D3074" s="1">
        <v>45051</v>
      </c>
      <c r="E3074" s="1">
        <v>45058</v>
      </c>
      <c r="F3074" s="1"/>
      <c r="G3074">
        <v>43.24</v>
      </c>
      <c r="H30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074" t="str">
        <f>IFERROR(INDEX(Raw_orders!G:G, MATCH(shipments[[#This Row],[order_id]],Raw_orders!A:A, 0)), "Unknown")</f>
        <v>Baltics</v>
      </c>
      <c r="J3074" t="str">
        <f>PROPER(shipments[[#This Row],[delivery_status]])</f>
        <v>In Transit</v>
      </c>
      <c r="K3074" t="s">
        <v>6977</v>
      </c>
    </row>
    <row r="3075" spans="1:11">
      <c r="A3075" t="s">
        <v>10011</v>
      </c>
      <c r="B3075" t="s">
        <v>3790</v>
      </c>
      <c r="C3075" t="s">
        <v>6935</v>
      </c>
      <c r="D3075" s="1">
        <v>45072</v>
      </c>
      <c r="E3075" s="1">
        <v>45079</v>
      </c>
      <c r="F3075" s="1">
        <v>45078</v>
      </c>
      <c r="G3075">
        <v>14.41</v>
      </c>
      <c r="H30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075" t="str">
        <f>IFERROR(INDEX(Raw_orders!G:G, MATCH(shipments[[#This Row],[order_id]],Raw_orders!A:A, 0)), "Unknown")</f>
        <v>Nordics</v>
      </c>
      <c r="J3075" t="str">
        <f>PROPER(shipments[[#This Row],[delivery_status]])</f>
        <v>Delivered</v>
      </c>
      <c r="K3075" t="s">
        <v>6922</v>
      </c>
    </row>
    <row r="3076" spans="1:11">
      <c r="A3076" t="s">
        <v>10012</v>
      </c>
      <c r="B3076" t="s">
        <v>3791</v>
      </c>
      <c r="C3076" t="s">
        <v>6938</v>
      </c>
      <c r="D3076" s="1">
        <v>45085</v>
      </c>
      <c r="E3076" s="1">
        <v>45095</v>
      </c>
      <c r="F3076" s="1">
        <v>45095</v>
      </c>
      <c r="G3076">
        <v>8.14</v>
      </c>
      <c r="H30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076" t="str">
        <f>IFERROR(INDEX(Raw_orders!G:G, MATCH(shipments[[#This Row],[order_id]],Raw_orders!A:A, 0)), "Unknown")</f>
        <v>Nordics</v>
      </c>
      <c r="J3076" t="str">
        <f>PROPER(shipments[[#This Row],[delivery_status]])</f>
        <v>Delivered</v>
      </c>
      <c r="K3076" t="s">
        <v>6929</v>
      </c>
    </row>
    <row r="3077" spans="1:11">
      <c r="A3077" t="s">
        <v>10013</v>
      </c>
      <c r="B3077" t="s">
        <v>3792</v>
      </c>
      <c r="C3077" t="s">
        <v>6938</v>
      </c>
      <c r="D3077" s="1">
        <v>45446</v>
      </c>
      <c r="E3077" s="1">
        <v>45451</v>
      </c>
      <c r="F3077" s="1">
        <v>45451</v>
      </c>
      <c r="G3077">
        <v>47.67</v>
      </c>
      <c r="H30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077" t="str">
        <f>IFERROR(INDEX(Raw_orders!G:G, MATCH(shipments[[#This Row],[order_id]],Raw_orders!A:A, 0)), "Unknown")</f>
        <v>Nordics</v>
      </c>
      <c r="J3077" t="str">
        <f>PROPER(shipments[[#This Row],[delivery_status]])</f>
        <v>Delivered</v>
      </c>
      <c r="K3077" t="s">
        <v>6929</v>
      </c>
    </row>
    <row r="3078" spans="1:11">
      <c r="A3078" t="s">
        <v>10014</v>
      </c>
      <c r="B3078" t="s">
        <v>3793</v>
      </c>
      <c r="C3078" t="s">
        <v>6931</v>
      </c>
      <c r="D3078" s="1">
        <v>45491</v>
      </c>
      <c r="E3078" s="1">
        <v>45496</v>
      </c>
      <c r="F3078" s="1">
        <v>45501</v>
      </c>
      <c r="G3078">
        <v>53.19</v>
      </c>
      <c r="H30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78" t="str">
        <f>IFERROR(INDEX(Raw_orders!G:G, MATCH(shipments[[#This Row],[order_id]],Raw_orders!A:A, 0)), "Unknown")</f>
        <v>Central Europe</v>
      </c>
      <c r="J3078" t="str">
        <f>PROPER(shipments[[#This Row],[delivery_status]])</f>
        <v>Delivered</v>
      </c>
      <c r="K3078" t="s">
        <v>6926</v>
      </c>
    </row>
    <row r="3079" spans="1:11">
      <c r="A3079" t="s">
        <v>10015</v>
      </c>
      <c r="B3079" t="s">
        <v>3794</v>
      </c>
      <c r="C3079" t="s">
        <v>6956</v>
      </c>
      <c r="D3079" s="1">
        <v>45621</v>
      </c>
      <c r="E3079" s="1">
        <v>45626</v>
      </c>
      <c r="F3079" s="1">
        <v>45627</v>
      </c>
      <c r="G3079">
        <v>39.32</v>
      </c>
      <c r="H30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79" t="str">
        <f>IFERROR(INDEX(Raw_orders!G:G, MATCH(shipments[[#This Row],[order_id]],Raw_orders!A:A, 0)), "Unknown")</f>
        <v>Nordics</v>
      </c>
      <c r="J3079" t="str">
        <f>PROPER(shipments[[#This Row],[delivery_status]])</f>
        <v>Delivered</v>
      </c>
      <c r="K3079" t="s">
        <v>6929</v>
      </c>
    </row>
    <row r="3080" spans="1:11">
      <c r="A3080" t="s">
        <v>10016</v>
      </c>
      <c r="B3080" t="s">
        <v>3795</v>
      </c>
      <c r="C3080" t="s">
        <v>6956</v>
      </c>
      <c r="D3080" s="1">
        <v>44991</v>
      </c>
      <c r="E3080" s="1">
        <v>44996</v>
      </c>
      <c r="F3080" s="1">
        <v>44997</v>
      </c>
      <c r="G3080">
        <v>55.99</v>
      </c>
      <c r="H30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80" t="str">
        <f>IFERROR(INDEX(Raw_orders!G:G, MATCH(shipments[[#This Row],[order_id]],Raw_orders!A:A, 0)), "Unknown")</f>
        <v>Central Europe</v>
      </c>
      <c r="J3080" t="str">
        <f>PROPER(shipments[[#This Row],[delivery_status]])</f>
        <v>Delivered</v>
      </c>
      <c r="K3080" t="s">
        <v>6922</v>
      </c>
    </row>
    <row r="3081" spans="1:11">
      <c r="A3081" t="s">
        <v>10017</v>
      </c>
      <c r="B3081" t="s">
        <v>3796</v>
      </c>
      <c r="C3081" t="s">
        <v>6925</v>
      </c>
      <c r="D3081" s="1">
        <v>45452</v>
      </c>
      <c r="E3081" s="1">
        <v>45459</v>
      </c>
      <c r="F3081" s="1">
        <v>45461</v>
      </c>
      <c r="G3081">
        <v>5.78</v>
      </c>
      <c r="H30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81" t="str">
        <f>IFERROR(INDEX(Raw_orders!G:G, MATCH(shipments[[#This Row],[order_id]],Raw_orders!A:A, 0)), "Unknown")</f>
        <v>Central Europe</v>
      </c>
      <c r="J3081" t="str">
        <f>PROPER(shipments[[#This Row],[delivery_status]])</f>
        <v>Delivered</v>
      </c>
      <c r="K3081" t="s">
        <v>6929</v>
      </c>
    </row>
    <row r="3082" spans="1:11">
      <c r="A3082" t="s">
        <v>10018</v>
      </c>
      <c r="B3082" t="s">
        <v>3797</v>
      </c>
      <c r="C3082" t="s">
        <v>6949</v>
      </c>
      <c r="D3082" s="1">
        <v>45296</v>
      </c>
      <c r="E3082" s="1">
        <v>45299</v>
      </c>
      <c r="F3082" s="1">
        <v>45307</v>
      </c>
      <c r="G3082">
        <v>51.35</v>
      </c>
      <c r="H30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82" t="str">
        <f>IFERROR(INDEX(Raw_orders!G:G, MATCH(shipments[[#This Row],[order_id]],Raw_orders!A:A, 0)), "Unknown")</f>
        <v>Nordics</v>
      </c>
      <c r="J3082" t="str">
        <f>PROPER(shipments[[#This Row],[delivery_status]])</f>
        <v>Delivered</v>
      </c>
      <c r="K3082" t="s">
        <v>6929</v>
      </c>
    </row>
    <row r="3083" spans="1:11">
      <c r="A3083" t="s">
        <v>10019</v>
      </c>
      <c r="B3083" t="s">
        <v>3798</v>
      </c>
      <c r="C3083" t="s">
        <v>6940</v>
      </c>
      <c r="D3083" s="1">
        <v>44980</v>
      </c>
      <c r="E3083" s="1">
        <v>44987</v>
      </c>
      <c r="F3083" s="1">
        <v>45001</v>
      </c>
      <c r="G3083">
        <v>33.700000000000003</v>
      </c>
      <c r="H30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83" t="str">
        <f>IFERROR(INDEX(Raw_orders!G:G, MATCH(shipments[[#This Row],[order_id]],Raw_orders!A:A, 0)), "Unknown")</f>
        <v>Central Europe</v>
      </c>
      <c r="J3083" t="str">
        <f>PROPER(shipments[[#This Row],[delivery_status]])</f>
        <v>Delivered</v>
      </c>
      <c r="K3083" t="s">
        <v>6929</v>
      </c>
    </row>
    <row r="3084" spans="1:11">
      <c r="A3084" t="s">
        <v>10020</v>
      </c>
      <c r="B3084" t="s">
        <v>3799</v>
      </c>
      <c r="C3084" t="s">
        <v>6928</v>
      </c>
      <c r="D3084" s="1">
        <v>44952</v>
      </c>
      <c r="E3084" s="1">
        <v>44955</v>
      </c>
      <c r="F3084" s="1">
        <v>44960</v>
      </c>
      <c r="G3084">
        <v>51.9</v>
      </c>
      <c r="H30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84" t="str">
        <f>IFERROR(INDEX(Raw_orders!G:G, MATCH(shipments[[#This Row],[order_id]],Raw_orders!A:A, 0)), "Unknown")</f>
        <v>Central Europe</v>
      </c>
      <c r="J3084" t="str">
        <f>PROPER(shipments[[#This Row],[delivery_status]])</f>
        <v>Delivered</v>
      </c>
      <c r="K3084" t="s">
        <v>6922</v>
      </c>
    </row>
    <row r="3085" spans="1:11">
      <c r="A3085" t="s">
        <v>10021</v>
      </c>
      <c r="B3085" t="s">
        <v>3799</v>
      </c>
      <c r="C3085" t="s">
        <v>6940</v>
      </c>
      <c r="D3085" s="1">
        <v>44953</v>
      </c>
      <c r="E3085" s="1">
        <v>44955</v>
      </c>
      <c r="F3085" s="1">
        <v>44957</v>
      </c>
      <c r="G3085">
        <v>64.27</v>
      </c>
      <c r="H30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85" t="str">
        <f>IFERROR(INDEX(Raw_orders!G:G, MATCH(shipments[[#This Row],[order_id]],Raw_orders!A:A, 0)), "Unknown")</f>
        <v>Central Europe</v>
      </c>
      <c r="J3085" t="str">
        <f>PROPER(shipments[[#This Row],[delivery_status]])</f>
        <v>Delivered</v>
      </c>
      <c r="K3085" t="s">
        <v>6929</v>
      </c>
    </row>
    <row r="3086" spans="1:11">
      <c r="A3086" t="s">
        <v>10022</v>
      </c>
      <c r="B3086" t="s">
        <v>3800</v>
      </c>
      <c r="C3086" t="s">
        <v>6956</v>
      </c>
      <c r="D3086" s="1">
        <v>44994</v>
      </c>
      <c r="E3086" s="1">
        <v>44999</v>
      </c>
      <c r="F3086" s="1">
        <v>45007</v>
      </c>
      <c r="G3086">
        <v>36.520000000000003</v>
      </c>
      <c r="H30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86" t="str">
        <f>IFERROR(INDEX(Raw_orders!G:G, MATCH(shipments[[#This Row],[order_id]],Raw_orders!A:A, 0)), "Unknown")</f>
        <v>Central Europe</v>
      </c>
      <c r="J3086" t="str">
        <f>PROPER(shipments[[#This Row],[delivery_status]])</f>
        <v>Delivered</v>
      </c>
      <c r="K3086" t="s">
        <v>6922</v>
      </c>
    </row>
    <row r="3087" spans="1:11">
      <c r="A3087" t="s">
        <v>10023</v>
      </c>
      <c r="B3087" t="s">
        <v>3801</v>
      </c>
      <c r="C3087" t="s">
        <v>6949</v>
      </c>
      <c r="D3087" s="1">
        <v>45425</v>
      </c>
      <c r="E3087" s="1">
        <v>45428</v>
      </c>
      <c r="F3087" s="1">
        <v>45429</v>
      </c>
      <c r="G3087">
        <v>6.91</v>
      </c>
      <c r="H30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87" t="str">
        <f>IFERROR(INDEX(Raw_orders!G:G, MATCH(shipments[[#This Row],[order_id]],Raw_orders!A:A, 0)), "Unknown")</f>
        <v>Nordics</v>
      </c>
      <c r="J3087" t="str">
        <f>PROPER(shipments[[#This Row],[delivery_status]])</f>
        <v>Delivered</v>
      </c>
      <c r="K3087" t="s">
        <v>6929</v>
      </c>
    </row>
    <row r="3088" spans="1:11">
      <c r="A3088" t="s">
        <v>10024</v>
      </c>
      <c r="B3088" t="s">
        <v>3802</v>
      </c>
      <c r="C3088" t="s">
        <v>6921</v>
      </c>
      <c r="D3088" s="1">
        <v>45394</v>
      </c>
      <c r="E3088" s="1">
        <v>45397</v>
      </c>
      <c r="F3088" s="1">
        <v>45396</v>
      </c>
      <c r="G3088">
        <v>27.85</v>
      </c>
      <c r="H30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088" t="str">
        <f>IFERROR(INDEX(Raw_orders!G:G, MATCH(shipments[[#This Row],[order_id]],Raw_orders!A:A, 0)), "Unknown")</f>
        <v>Central Europe</v>
      </c>
      <c r="J3088" t="str">
        <f>PROPER(shipments[[#This Row],[delivery_status]])</f>
        <v>Delivered</v>
      </c>
      <c r="K3088" t="s">
        <v>6926</v>
      </c>
    </row>
    <row r="3089" spans="1:11">
      <c r="A3089" t="s">
        <v>10025</v>
      </c>
      <c r="B3089" t="s">
        <v>3803</v>
      </c>
      <c r="C3089" t="s">
        <v>6938</v>
      </c>
      <c r="D3089" s="1">
        <v>44932</v>
      </c>
      <c r="E3089" s="1">
        <v>44937</v>
      </c>
      <c r="F3089" s="1">
        <v>44949</v>
      </c>
      <c r="G3089">
        <v>60.79</v>
      </c>
      <c r="H30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89" t="str">
        <f>IFERROR(INDEX(Raw_orders!G:G, MATCH(shipments[[#This Row],[order_id]],Raw_orders!A:A, 0)), "Unknown")</f>
        <v>Nordics</v>
      </c>
      <c r="J3089" t="str">
        <f>PROPER(shipments[[#This Row],[delivery_status]])</f>
        <v>Delivered</v>
      </c>
      <c r="K3089" t="s">
        <v>6926</v>
      </c>
    </row>
    <row r="3090" spans="1:11">
      <c r="A3090" t="s">
        <v>10026</v>
      </c>
      <c r="B3090" t="s">
        <v>3804</v>
      </c>
      <c r="C3090" t="s">
        <v>6956</v>
      </c>
      <c r="D3090" s="1">
        <v>45321</v>
      </c>
      <c r="E3090" s="1">
        <v>45324</v>
      </c>
      <c r="F3090" s="1">
        <v>45324</v>
      </c>
      <c r="G3090">
        <v>36.770000000000003</v>
      </c>
      <c r="H30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090" t="str">
        <f>IFERROR(INDEX(Raw_orders!G:G, MATCH(shipments[[#This Row],[order_id]],Raw_orders!A:A, 0)), "Unknown")</f>
        <v>Baltics</v>
      </c>
      <c r="J3090" t="str">
        <f>PROPER(shipments[[#This Row],[delivery_status]])</f>
        <v>Delivered</v>
      </c>
      <c r="K3090" t="s">
        <v>6922</v>
      </c>
    </row>
    <row r="3091" spans="1:11">
      <c r="A3091" t="s">
        <v>10027</v>
      </c>
      <c r="B3091" t="s">
        <v>3805</v>
      </c>
      <c r="C3091" t="s">
        <v>6925</v>
      </c>
      <c r="D3091" s="1">
        <v>45473</v>
      </c>
      <c r="E3091" s="1">
        <v>45475</v>
      </c>
      <c r="F3091" s="1"/>
      <c r="G3091">
        <v>7.28</v>
      </c>
      <c r="H30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091" t="str">
        <f>IFERROR(INDEX(Raw_orders!G:G, MATCH(shipments[[#This Row],[order_id]],Raw_orders!A:A, 0)), "Unknown")</f>
        <v>Baltics</v>
      </c>
      <c r="J3091" t="str">
        <f>PROPER(shipments[[#This Row],[delivery_status]])</f>
        <v>Cancelled</v>
      </c>
      <c r="K3091" t="s">
        <v>6963</v>
      </c>
    </row>
    <row r="3092" spans="1:11">
      <c r="A3092" t="s">
        <v>10028</v>
      </c>
      <c r="B3092" t="s">
        <v>3806</v>
      </c>
      <c r="C3092" t="s">
        <v>6928</v>
      </c>
      <c r="D3092" s="1">
        <v>45315</v>
      </c>
      <c r="E3092" s="1">
        <v>45320</v>
      </c>
      <c r="F3092" s="1">
        <v>45322</v>
      </c>
      <c r="G3092">
        <v>50.35</v>
      </c>
      <c r="H30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92" t="str">
        <f>IFERROR(INDEX(Raw_orders!G:G, MATCH(shipments[[#This Row],[order_id]],Raw_orders!A:A, 0)), "Unknown")</f>
        <v>Baltics</v>
      </c>
      <c r="J3092" t="str">
        <f>PROPER(shipments[[#This Row],[delivery_status]])</f>
        <v>Delivered</v>
      </c>
      <c r="K3092" t="s">
        <v>6929</v>
      </c>
    </row>
    <row r="3093" spans="1:11">
      <c r="A3093" t="s">
        <v>10029</v>
      </c>
      <c r="B3093" t="s">
        <v>3807</v>
      </c>
      <c r="C3093" t="s">
        <v>6935</v>
      </c>
      <c r="D3093" s="1">
        <v>45071</v>
      </c>
      <c r="E3093" s="1">
        <v>45078</v>
      </c>
      <c r="F3093" s="1">
        <v>45081</v>
      </c>
      <c r="G3093">
        <v>47.88</v>
      </c>
      <c r="H30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93" t="str">
        <f>IFERROR(INDEX(Raw_orders!G:G, MATCH(shipments[[#This Row],[order_id]],Raw_orders!A:A, 0)), "Unknown")</f>
        <v>Baltics</v>
      </c>
      <c r="J3093" t="str">
        <f>PROPER(shipments[[#This Row],[delivery_status]])</f>
        <v>Delivered</v>
      </c>
      <c r="K3093" t="s">
        <v>6929</v>
      </c>
    </row>
    <row r="3094" spans="1:11">
      <c r="A3094" t="s">
        <v>10030</v>
      </c>
      <c r="B3094" t="s">
        <v>3808</v>
      </c>
      <c r="C3094" t="s">
        <v>6931</v>
      </c>
      <c r="D3094" s="1">
        <v>45024</v>
      </c>
      <c r="E3094" s="1">
        <v>45026</v>
      </c>
      <c r="F3094" s="1">
        <v>45028</v>
      </c>
      <c r="G3094">
        <v>32.229999999999997</v>
      </c>
      <c r="H30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94" t="str">
        <f>IFERROR(INDEX(Raw_orders!G:G, MATCH(shipments[[#This Row],[order_id]],Raw_orders!A:A, 0)), "Unknown")</f>
        <v>Baltics</v>
      </c>
      <c r="J3094" t="str">
        <f>PROPER(shipments[[#This Row],[delivery_status]])</f>
        <v>Delivered</v>
      </c>
      <c r="K3094" t="s">
        <v>6922</v>
      </c>
    </row>
    <row r="3095" spans="1:11">
      <c r="A3095" t="s">
        <v>10031</v>
      </c>
      <c r="B3095" t="s">
        <v>3809</v>
      </c>
      <c r="C3095" t="s">
        <v>6935</v>
      </c>
      <c r="D3095" s="1">
        <v>45427</v>
      </c>
      <c r="E3095" s="1">
        <v>45429</v>
      </c>
      <c r="F3095" s="1">
        <v>45430</v>
      </c>
      <c r="G3095">
        <v>44.08</v>
      </c>
      <c r="H30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95" t="str">
        <f>IFERROR(INDEX(Raw_orders!G:G, MATCH(shipments[[#This Row],[order_id]],Raw_orders!A:A, 0)), "Unknown")</f>
        <v>Baltics</v>
      </c>
      <c r="J3095" t="str">
        <f>PROPER(shipments[[#This Row],[delivery_status]])</f>
        <v>Delivered</v>
      </c>
      <c r="K3095" t="s">
        <v>6929</v>
      </c>
    </row>
    <row r="3096" spans="1:11">
      <c r="A3096" t="s">
        <v>10032</v>
      </c>
      <c r="B3096" t="s">
        <v>3810</v>
      </c>
      <c r="C3096" t="s">
        <v>6921</v>
      </c>
      <c r="D3096" s="1">
        <v>45607</v>
      </c>
      <c r="E3096" s="1">
        <v>45617</v>
      </c>
      <c r="F3096" s="1">
        <v>45616</v>
      </c>
      <c r="G3096">
        <v>35.04</v>
      </c>
      <c r="H30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096" t="str">
        <f>IFERROR(INDEX(Raw_orders!G:G, MATCH(shipments[[#This Row],[order_id]],Raw_orders!A:A, 0)), "Unknown")</f>
        <v>Baltics</v>
      </c>
      <c r="J3096" t="str">
        <f>PROPER(shipments[[#This Row],[delivery_status]])</f>
        <v>Delivered</v>
      </c>
      <c r="K3096" t="s">
        <v>6929</v>
      </c>
    </row>
    <row r="3097" spans="1:11">
      <c r="A3097" t="s">
        <v>10033</v>
      </c>
      <c r="B3097" t="s">
        <v>3810</v>
      </c>
      <c r="C3097" t="s">
        <v>6931</v>
      </c>
      <c r="D3097" s="1">
        <v>45606</v>
      </c>
      <c r="E3097" s="1">
        <v>45608</v>
      </c>
      <c r="F3097" s="1">
        <v>45610</v>
      </c>
      <c r="G3097">
        <v>37.56</v>
      </c>
      <c r="H30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97" t="str">
        <f>IFERROR(INDEX(Raw_orders!G:G, MATCH(shipments[[#This Row],[order_id]],Raw_orders!A:A, 0)), "Unknown")</f>
        <v>Baltics</v>
      </c>
      <c r="J3097" t="str">
        <f>PROPER(shipments[[#This Row],[delivery_status]])</f>
        <v>Delivered</v>
      </c>
      <c r="K3097" t="s">
        <v>6926</v>
      </c>
    </row>
    <row r="3098" spans="1:11">
      <c r="A3098" t="s">
        <v>10034</v>
      </c>
      <c r="B3098" t="s">
        <v>3811</v>
      </c>
      <c r="C3098" t="s">
        <v>6935</v>
      </c>
      <c r="D3098" s="1">
        <v>45479</v>
      </c>
      <c r="E3098" s="1">
        <v>45482</v>
      </c>
      <c r="F3098" s="1">
        <v>45485</v>
      </c>
      <c r="G3098">
        <v>63.49</v>
      </c>
      <c r="H30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98" t="str">
        <f>IFERROR(INDEX(Raw_orders!G:G, MATCH(shipments[[#This Row],[order_id]],Raw_orders!A:A, 0)), "Unknown")</f>
        <v>Central Europe</v>
      </c>
      <c r="J3098" t="str">
        <f>PROPER(shipments[[#This Row],[delivery_status]])</f>
        <v>Delivered</v>
      </c>
      <c r="K3098" t="s">
        <v>6922</v>
      </c>
    </row>
    <row r="3099" spans="1:11">
      <c r="A3099" t="s">
        <v>10035</v>
      </c>
      <c r="B3099" t="s">
        <v>3812</v>
      </c>
      <c r="C3099" t="s">
        <v>6940</v>
      </c>
      <c r="D3099" s="1">
        <v>45271</v>
      </c>
      <c r="E3099" s="1">
        <v>45276</v>
      </c>
      <c r="F3099" s="1">
        <v>45279</v>
      </c>
      <c r="G3099">
        <v>39.590000000000003</v>
      </c>
      <c r="H30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099" t="str">
        <f>IFERROR(INDEX(Raw_orders!G:G, MATCH(shipments[[#This Row],[order_id]],Raw_orders!A:A, 0)), "Unknown")</f>
        <v>Central Europe</v>
      </c>
      <c r="J3099" t="str">
        <f>PROPER(shipments[[#This Row],[delivery_status]])</f>
        <v>Delivered</v>
      </c>
      <c r="K3099" t="s">
        <v>6929</v>
      </c>
    </row>
    <row r="3100" spans="1:11">
      <c r="A3100" t="s">
        <v>10036</v>
      </c>
      <c r="B3100" t="s">
        <v>3813</v>
      </c>
      <c r="C3100" t="s">
        <v>6949</v>
      </c>
      <c r="D3100" s="1">
        <v>45425</v>
      </c>
      <c r="E3100" s="1">
        <v>45427</v>
      </c>
      <c r="F3100" s="1">
        <v>45436</v>
      </c>
      <c r="G3100">
        <v>38.520000000000003</v>
      </c>
      <c r="H31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00" t="str">
        <f>IFERROR(INDEX(Raw_orders!G:G, MATCH(shipments[[#This Row],[order_id]],Raw_orders!A:A, 0)), "Unknown")</f>
        <v>Baltics</v>
      </c>
      <c r="J3100" t="str">
        <f>PROPER(shipments[[#This Row],[delivery_status]])</f>
        <v>Delivered</v>
      </c>
      <c r="K3100" t="s">
        <v>6929</v>
      </c>
    </row>
    <row r="3101" spans="1:11">
      <c r="A3101" t="s">
        <v>10037</v>
      </c>
      <c r="B3101" t="s">
        <v>3814</v>
      </c>
      <c r="C3101" t="s">
        <v>6928</v>
      </c>
      <c r="D3101" s="1">
        <v>45377</v>
      </c>
      <c r="E3101" s="1">
        <v>45384</v>
      </c>
      <c r="F3101" s="1">
        <v>45387</v>
      </c>
      <c r="G3101">
        <v>25.91</v>
      </c>
      <c r="H31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01" t="str">
        <f>IFERROR(INDEX(Raw_orders!G:G, MATCH(shipments[[#This Row],[order_id]],Raw_orders!A:A, 0)), "Unknown")</f>
        <v>Baltics</v>
      </c>
      <c r="J3101" t="str">
        <f>PROPER(shipments[[#This Row],[delivery_status]])</f>
        <v>Delivered</v>
      </c>
      <c r="K3101" t="s">
        <v>6929</v>
      </c>
    </row>
    <row r="3102" spans="1:11">
      <c r="A3102" t="s">
        <v>10038</v>
      </c>
      <c r="B3102" t="s">
        <v>3815</v>
      </c>
      <c r="C3102" t="s">
        <v>6940</v>
      </c>
      <c r="D3102" s="1">
        <v>45488</v>
      </c>
      <c r="E3102" s="1">
        <v>45490</v>
      </c>
      <c r="F3102" s="1">
        <v>45493</v>
      </c>
      <c r="G3102">
        <v>63.13</v>
      </c>
      <c r="H31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02" t="str">
        <f>IFERROR(INDEX(Raw_orders!G:G, MATCH(shipments[[#This Row],[order_id]],Raw_orders!A:A, 0)), "Unknown")</f>
        <v>Baltics</v>
      </c>
      <c r="J3102" t="str">
        <f>PROPER(shipments[[#This Row],[delivery_status]])</f>
        <v>Delivered</v>
      </c>
      <c r="K3102" t="s">
        <v>6922</v>
      </c>
    </row>
    <row r="3103" spans="1:11">
      <c r="A3103" t="s">
        <v>10039</v>
      </c>
      <c r="B3103" t="s">
        <v>3816</v>
      </c>
      <c r="C3103" t="s">
        <v>6925</v>
      </c>
      <c r="D3103" s="1">
        <v>45302</v>
      </c>
      <c r="E3103" s="1">
        <v>45312</v>
      </c>
      <c r="F3103" s="1">
        <v>45319</v>
      </c>
      <c r="G3103">
        <v>47.44</v>
      </c>
      <c r="H31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03" t="str">
        <f>IFERROR(INDEX(Raw_orders!G:G, MATCH(shipments[[#This Row],[order_id]],Raw_orders!A:A, 0)), "Unknown")</f>
        <v>Baltics</v>
      </c>
      <c r="J3103" t="str">
        <f>PROPER(shipments[[#This Row],[delivery_status]])</f>
        <v>Delivered</v>
      </c>
      <c r="K3103" t="s">
        <v>6926</v>
      </c>
    </row>
    <row r="3104" spans="1:11">
      <c r="A3104" t="s">
        <v>10040</v>
      </c>
      <c r="B3104" t="s">
        <v>3817</v>
      </c>
      <c r="C3104" t="s">
        <v>6925</v>
      </c>
      <c r="D3104" s="1">
        <v>45394</v>
      </c>
      <c r="E3104" s="1">
        <v>45397</v>
      </c>
      <c r="F3104" s="1">
        <v>45396</v>
      </c>
      <c r="H31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104" t="str">
        <f>IFERROR(INDEX(Raw_orders!G:G, MATCH(shipments[[#This Row],[order_id]],Raw_orders!A:A, 0)), "Unknown")</f>
        <v>Central Europe</v>
      </c>
      <c r="J3104" t="str">
        <f>PROPER(shipments[[#This Row],[delivery_status]])</f>
        <v>Delivered</v>
      </c>
      <c r="K3104" t="s">
        <v>6926</v>
      </c>
    </row>
    <row r="3105" spans="1:11">
      <c r="A3105" t="s">
        <v>10041</v>
      </c>
      <c r="B3105" t="s">
        <v>3818</v>
      </c>
      <c r="C3105" t="s">
        <v>6940</v>
      </c>
      <c r="D3105" s="1">
        <v>45442</v>
      </c>
      <c r="E3105" s="1">
        <v>45449</v>
      </c>
      <c r="F3105" s="1">
        <v>45463</v>
      </c>
      <c r="G3105">
        <v>30.06</v>
      </c>
      <c r="H31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05" t="str">
        <f>IFERROR(INDEX(Raw_orders!G:G, MATCH(shipments[[#This Row],[order_id]],Raw_orders!A:A, 0)), "Unknown")</f>
        <v>Nordics</v>
      </c>
      <c r="J3105" t="str">
        <f>PROPER(shipments[[#This Row],[delivery_status]])</f>
        <v>Delivered</v>
      </c>
      <c r="K3105" t="s">
        <v>6926</v>
      </c>
    </row>
    <row r="3106" spans="1:11">
      <c r="A3106" t="s">
        <v>10042</v>
      </c>
      <c r="B3106" t="s">
        <v>3819</v>
      </c>
      <c r="C3106" t="s">
        <v>6938</v>
      </c>
      <c r="D3106" s="1">
        <v>45478</v>
      </c>
      <c r="E3106" s="1">
        <v>45481</v>
      </c>
      <c r="F3106" s="1">
        <v>45481</v>
      </c>
      <c r="G3106">
        <v>48.66</v>
      </c>
      <c r="H31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106" t="str">
        <f>IFERROR(INDEX(Raw_orders!G:G, MATCH(shipments[[#This Row],[order_id]],Raw_orders!A:A, 0)), "Unknown")</f>
        <v>Central Europe</v>
      </c>
      <c r="J3106" t="str">
        <f>PROPER(shipments[[#This Row],[delivery_status]])</f>
        <v>Delivered</v>
      </c>
      <c r="K3106" t="s">
        <v>6929</v>
      </c>
    </row>
    <row r="3107" spans="1:11">
      <c r="A3107" t="s">
        <v>10043</v>
      </c>
      <c r="B3107" t="s">
        <v>3820</v>
      </c>
      <c r="C3107" t="s">
        <v>6956</v>
      </c>
      <c r="D3107" s="1">
        <v>45390</v>
      </c>
      <c r="E3107" s="1">
        <v>45392</v>
      </c>
      <c r="F3107" s="1">
        <v>45400</v>
      </c>
      <c r="G3107">
        <v>34.880000000000003</v>
      </c>
      <c r="H31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07" t="str">
        <f>IFERROR(INDEX(Raw_orders!G:G, MATCH(shipments[[#This Row],[order_id]],Raw_orders!A:A, 0)), "Unknown")</f>
        <v>Central Europe</v>
      </c>
      <c r="J3107" t="str">
        <f>PROPER(shipments[[#This Row],[delivery_status]])</f>
        <v>Delivered</v>
      </c>
      <c r="K3107" t="s">
        <v>6929</v>
      </c>
    </row>
    <row r="3108" spans="1:11">
      <c r="A3108" t="s">
        <v>10044</v>
      </c>
      <c r="B3108" t="s">
        <v>3821</v>
      </c>
      <c r="C3108" t="s">
        <v>6940</v>
      </c>
      <c r="D3108" s="1">
        <v>45107</v>
      </c>
      <c r="E3108" s="1">
        <v>45112</v>
      </c>
      <c r="F3108" s="1">
        <v>45111</v>
      </c>
      <c r="G3108">
        <v>40.96</v>
      </c>
      <c r="H31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108" t="str">
        <f>IFERROR(INDEX(Raw_orders!G:G, MATCH(shipments[[#This Row],[order_id]],Raw_orders!A:A, 0)), "Unknown")</f>
        <v>Central Europe</v>
      </c>
      <c r="J3108" t="str">
        <f>PROPER(shipments[[#This Row],[delivery_status]])</f>
        <v>Delivered</v>
      </c>
      <c r="K3108" t="s">
        <v>6929</v>
      </c>
    </row>
    <row r="3109" spans="1:11">
      <c r="A3109" t="s">
        <v>10045</v>
      </c>
      <c r="B3109" t="s">
        <v>3822</v>
      </c>
      <c r="C3109" t="s">
        <v>6925</v>
      </c>
      <c r="D3109" s="1">
        <v>45505</v>
      </c>
      <c r="E3109" s="1">
        <v>45510</v>
      </c>
      <c r="F3109" s="1">
        <v>45515</v>
      </c>
      <c r="G3109">
        <v>15.01</v>
      </c>
      <c r="H31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09" t="str">
        <f>IFERROR(INDEX(Raw_orders!G:G, MATCH(shipments[[#This Row],[order_id]],Raw_orders!A:A, 0)), "Unknown")</f>
        <v>Baltics</v>
      </c>
      <c r="J3109" t="str">
        <f>PROPER(shipments[[#This Row],[delivery_status]])</f>
        <v>Delivered</v>
      </c>
      <c r="K3109" t="s">
        <v>6922</v>
      </c>
    </row>
    <row r="3110" spans="1:11">
      <c r="A3110" t="s">
        <v>10046</v>
      </c>
      <c r="B3110" t="s">
        <v>3823</v>
      </c>
      <c r="C3110" t="s">
        <v>6956</v>
      </c>
      <c r="D3110" s="1">
        <v>45013</v>
      </c>
      <c r="E3110" s="1">
        <v>45015</v>
      </c>
      <c r="F3110" s="1">
        <v>45015</v>
      </c>
      <c r="G3110">
        <v>51.63</v>
      </c>
      <c r="H31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110" t="str">
        <f>IFERROR(INDEX(Raw_orders!G:G, MATCH(shipments[[#This Row],[order_id]],Raw_orders!A:A, 0)), "Unknown")</f>
        <v>Central Europe</v>
      </c>
      <c r="J3110" t="str">
        <f>PROPER(shipments[[#This Row],[delivery_status]])</f>
        <v>Delivered</v>
      </c>
      <c r="K3110" t="s">
        <v>6922</v>
      </c>
    </row>
    <row r="3111" spans="1:11">
      <c r="A3111" t="s">
        <v>10047</v>
      </c>
      <c r="B3111" t="s">
        <v>3824</v>
      </c>
      <c r="C3111" t="s">
        <v>6938</v>
      </c>
      <c r="D3111" s="1">
        <v>45250</v>
      </c>
      <c r="E3111" s="1">
        <v>45257</v>
      </c>
      <c r="F3111" s="1">
        <v>45269</v>
      </c>
      <c r="G3111">
        <v>29.76</v>
      </c>
      <c r="H31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11" t="str">
        <f>IFERROR(INDEX(Raw_orders!G:G, MATCH(shipments[[#This Row],[order_id]],Raw_orders!A:A, 0)), "Unknown")</f>
        <v>Baltics</v>
      </c>
      <c r="J3111" t="str">
        <f>PROPER(shipments[[#This Row],[delivery_status]])</f>
        <v>Delivered</v>
      </c>
      <c r="K3111" t="s">
        <v>6922</v>
      </c>
    </row>
    <row r="3112" spans="1:11">
      <c r="A3112" t="s">
        <v>10048</v>
      </c>
      <c r="B3112" t="s">
        <v>3825</v>
      </c>
      <c r="C3112" t="s">
        <v>6940</v>
      </c>
      <c r="D3112" s="1">
        <v>45204</v>
      </c>
      <c r="E3112" s="1">
        <v>45206</v>
      </c>
      <c r="F3112" s="1">
        <v>45211</v>
      </c>
      <c r="G3112">
        <v>51.19</v>
      </c>
      <c r="H31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12" t="str">
        <f>IFERROR(INDEX(Raw_orders!G:G, MATCH(shipments[[#This Row],[order_id]],Raw_orders!A:A, 0)), "Unknown")</f>
        <v>Baltics</v>
      </c>
      <c r="J3112" t="str">
        <f>PROPER(shipments[[#This Row],[delivery_status]])</f>
        <v>Delivered</v>
      </c>
      <c r="K3112" t="s">
        <v>6926</v>
      </c>
    </row>
    <row r="3113" spans="1:11">
      <c r="A3113" t="s">
        <v>10049</v>
      </c>
      <c r="B3113" t="s">
        <v>3825</v>
      </c>
      <c r="C3113" t="s">
        <v>6935</v>
      </c>
      <c r="D3113" s="1">
        <v>45201</v>
      </c>
      <c r="E3113" s="1">
        <v>45204</v>
      </c>
      <c r="F3113" s="1"/>
      <c r="G3113">
        <v>4.97</v>
      </c>
      <c r="H31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113" t="str">
        <f>IFERROR(INDEX(Raw_orders!G:G, MATCH(shipments[[#This Row],[order_id]],Raw_orders!A:A, 0)), "Unknown")</f>
        <v>Baltics</v>
      </c>
      <c r="J3113" t="str">
        <f>PROPER(shipments[[#This Row],[delivery_status]])</f>
        <v>Cancelled</v>
      </c>
      <c r="K3113" t="s">
        <v>6963</v>
      </c>
    </row>
    <row r="3114" spans="1:11">
      <c r="A3114" t="s">
        <v>10050</v>
      </c>
      <c r="B3114" t="s">
        <v>3826</v>
      </c>
      <c r="C3114" t="s">
        <v>6925</v>
      </c>
      <c r="D3114" s="1">
        <v>45539</v>
      </c>
      <c r="E3114" s="1">
        <v>45542</v>
      </c>
      <c r="F3114" s="1"/>
      <c r="G3114">
        <v>49.54</v>
      </c>
      <c r="H31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114" t="str">
        <f>IFERROR(INDEX(Raw_orders!G:G, MATCH(shipments[[#This Row],[order_id]],Raw_orders!A:A, 0)), "Unknown")</f>
        <v>Baltics</v>
      </c>
      <c r="J3114" t="str">
        <f>PROPER(shipments[[#This Row],[delivery_status]])</f>
        <v>Cancelled</v>
      </c>
      <c r="K3114" t="s">
        <v>6972</v>
      </c>
    </row>
    <row r="3115" spans="1:11">
      <c r="A3115" t="s">
        <v>10051</v>
      </c>
      <c r="B3115" t="s">
        <v>3827</v>
      </c>
      <c r="C3115" t="s">
        <v>6935</v>
      </c>
      <c r="D3115" s="1">
        <v>45353</v>
      </c>
      <c r="E3115" s="1">
        <v>45356</v>
      </c>
      <c r="F3115" s="1">
        <v>45364</v>
      </c>
      <c r="G3115">
        <v>15.44</v>
      </c>
      <c r="H31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15" t="str">
        <f>IFERROR(INDEX(Raw_orders!G:G, MATCH(shipments[[#This Row],[order_id]],Raw_orders!A:A, 0)), "Unknown")</f>
        <v>Unknown</v>
      </c>
      <c r="J3115" t="str">
        <f>PROPER(shipments[[#This Row],[delivery_status]])</f>
        <v>Delivered</v>
      </c>
      <c r="K3115" t="s">
        <v>6926</v>
      </c>
    </row>
    <row r="3116" spans="1:11">
      <c r="A3116" t="s">
        <v>10052</v>
      </c>
      <c r="B3116" t="s">
        <v>3828</v>
      </c>
      <c r="C3116" t="s">
        <v>6935</v>
      </c>
      <c r="D3116" s="1">
        <v>45178</v>
      </c>
      <c r="E3116" s="1">
        <v>45180</v>
      </c>
      <c r="F3116" s="1">
        <v>45180</v>
      </c>
      <c r="H31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116" t="str">
        <f>IFERROR(INDEX(Raw_orders!G:G, MATCH(shipments[[#This Row],[order_id]],Raw_orders!A:A, 0)), "Unknown")</f>
        <v>Central Europe</v>
      </c>
      <c r="J3116" t="str">
        <f>PROPER(shipments[[#This Row],[delivery_status]])</f>
        <v>Delivered</v>
      </c>
      <c r="K3116" t="s">
        <v>6922</v>
      </c>
    </row>
    <row r="3117" spans="1:11">
      <c r="A3117" t="s">
        <v>10053</v>
      </c>
      <c r="B3117" t="s">
        <v>3829</v>
      </c>
      <c r="C3117" t="s">
        <v>6940</v>
      </c>
      <c r="D3117" s="1">
        <v>45537</v>
      </c>
      <c r="E3117" s="1">
        <v>45540</v>
      </c>
      <c r="F3117" s="1">
        <v>45543</v>
      </c>
      <c r="G3117">
        <v>12.43</v>
      </c>
      <c r="H31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17" t="str">
        <f>IFERROR(INDEX(Raw_orders!G:G, MATCH(shipments[[#This Row],[order_id]],Raw_orders!A:A, 0)), "Unknown")</f>
        <v>Baltics</v>
      </c>
      <c r="J3117" t="str">
        <f>PROPER(shipments[[#This Row],[delivery_status]])</f>
        <v>Delivered</v>
      </c>
      <c r="K3117" t="s">
        <v>6922</v>
      </c>
    </row>
    <row r="3118" spans="1:11">
      <c r="A3118" t="s">
        <v>10054</v>
      </c>
      <c r="B3118" t="s">
        <v>3830</v>
      </c>
      <c r="C3118" t="s">
        <v>6925</v>
      </c>
      <c r="D3118" s="1">
        <v>45492</v>
      </c>
      <c r="E3118" s="1">
        <v>45502</v>
      </c>
      <c r="F3118" s="1">
        <v>45501</v>
      </c>
      <c r="G3118">
        <v>58.08</v>
      </c>
      <c r="H31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118" t="str">
        <f>IFERROR(INDEX(Raw_orders!G:G, MATCH(shipments[[#This Row],[order_id]],Raw_orders!A:A, 0)), "Unknown")</f>
        <v>Nordics</v>
      </c>
      <c r="J3118" t="str">
        <f>PROPER(shipments[[#This Row],[delivery_status]])</f>
        <v>Delivered</v>
      </c>
      <c r="K3118" t="s">
        <v>6929</v>
      </c>
    </row>
    <row r="3119" spans="1:11">
      <c r="A3119" t="s">
        <v>10055</v>
      </c>
      <c r="B3119" t="s">
        <v>3830</v>
      </c>
      <c r="C3119" t="s">
        <v>6940</v>
      </c>
      <c r="D3119" s="1">
        <v>45491</v>
      </c>
      <c r="E3119" s="1">
        <v>45494</v>
      </c>
      <c r="F3119" s="1">
        <v>45502</v>
      </c>
      <c r="G3119">
        <v>50.98</v>
      </c>
      <c r="H31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19" t="str">
        <f>IFERROR(INDEX(Raw_orders!G:G, MATCH(shipments[[#This Row],[order_id]],Raw_orders!A:A, 0)), "Unknown")</f>
        <v>Nordics</v>
      </c>
      <c r="J3119" t="str">
        <f>PROPER(shipments[[#This Row],[delivery_status]])</f>
        <v>Delivered</v>
      </c>
      <c r="K3119" t="s">
        <v>6922</v>
      </c>
    </row>
    <row r="3120" spans="1:11">
      <c r="A3120" t="s">
        <v>10056</v>
      </c>
      <c r="B3120" t="s">
        <v>3831</v>
      </c>
      <c r="C3120" t="s">
        <v>6940</v>
      </c>
      <c r="D3120" s="1">
        <v>45063</v>
      </c>
      <c r="E3120" s="1">
        <v>45066</v>
      </c>
      <c r="F3120" s="1">
        <v>45074</v>
      </c>
      <c r="G3120">
        <v>45.67</v>
      </c>
      <c r="H31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20" t="str">
        <f>IFERROR(INDEX(Raw_orders!G:G, MATCH(shipments[[#This Row],[order_id]],Raw_orders!A:A, 0)), "Unknown")</f>
        <v>Central Europe</v>
      </c>
      <c r="J3120" t="str">
        <f>PROPER(shipments[[#This Row],[delivery_status]])</f>
        <v>Delivered</v>
      </c>
      <c r="K3120" t="s">
        <v>6926</v>
      </c>
    </row>
    <row r="3121" spans="1:11">
      <c r="A3121" t="s">
        <v>10057</v>
      </c>
      <c r="B3121" t="s">
        <v>3832</v>
      </c>
      <c r="C3121" t="s">
        <v>6938</v>
      </c>
      <c r="D3121" s="1">
        <v>45033</v>
      </c>
      <c r="E3121" s="1">
        <v>45040</v>
      </c>
      <c r="F3121" s="1">
        <v>45040</v>
      </c>
      <c r="G3121">
        <v>48.2</v>
      </c>
      <c r="H31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121" t="str">
        <f>IFERROR(INDEX(Raw_orders!G:G, MATCH(shipments[[#This Row],[order_id]],Raw_orders!A:A, 0)), "Unknown")</f>
        <v>Baltics</v>
      </c>
      <c r="J3121" t="str">
        <f>PROPER(shipments[[#This Row],[delivery_status]])</f>
        <v>Delivered</v>
      </c>
      <c r="K3121" t="s">
        <v>6922</v>
      </c>
    </row>
    <row r="3122" spans="1:11">
      <c r="A3122" t="s">
        <v>10058</v>
      </c>
      <c r="B3122" t="s">
        <v>3833</v>
      </c>
      <c r="C3122" t="s">
        <v>6956</v>
      </c>
      <c r="D3122" s="1">
        <v>45247</v>
      </c>
      <c r="E3122" s="1">
        <v>45249</v>
      </c>
      <c r="F3122" s="1">
        <v>45250</v>
      </c>
      <c r="G3122">
        <v>57.98</v>
      </c>
      <c r="H31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22" t="str">
        <f>IFERROR(INDEX(Raw_orders!G:G, MATCH(shipments[[#This Row],[order_id]],Raw_orders!A:A, 0)), "Unknown")</f>
        <v>Central Europe</v>
      </c>
      <c r="J3122" t="str">
        <f>PROPER(shipments[[#This Row],[delivery_status]])</f>
        <v>Delivered</v>
      </c>
      <c r="K3122" t="s">
        <v>6922</v>
      </c>
    </row>
    <row r="3123" spans="1:11">
      <c r="A3123" t="s">
        <v>10059</v>
      </c>
      <c r="B3123" t="s">
        <v>3834</v>
      </c>
      <c r="C3123" t="s">
        <v>6956</v>
      </c>
      <c r="D3123" s="1">
        <v>45021</v>
      </c>
      <c r="E3123" s="1">
        <v>45026</v>
      </c>
      <c r="F3123" s="1"/>
      <c r="G3123">
        <v>64.67</v>
      </c>
      <c r="H31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123" t="str">
        <f>IFERROR(INDEX(Raw_orders!G:G, MATCH(shipments[[#This Row],[order_id]],Raw_orders!A:A, 0)), "Unknown")</f>
        <v>Central Europe</v>
      </c>
      <c r="J3123" t="str">
        <f>PROPER(shipments[[#This Row],[delivery_status]])</f>
        <v>In Transit</v>
      </c>
      <c r="K3123" t="s">
        <v>6977</v>
      </c>
    </row>
    <row r="3124" spans="1:11">
      <c r="A3124" t="s">
        <v>10060</v>
      </c>
      <c r="B3124" t="s">
        <v>3835</v>
      </c>
      <c r="C3124" t="s">
        <v>6956</v>
      </c>
      <c r="D3124" s="1">
        <v>45570</v>
      </c>
      <c r="E3124" s="1">
        <v>45575</v>
      </c>
      <c r="F3124" s="1">
        <v>45576</v>
      </c>
      <c r="G3124">
        <v>59.85</v>
      </c>
      <c r="H31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24" t="str">
        <f>IFERROR(INDEX(Raw_orders!G:G, MATCH(shipments[[#This Row],[order_id]],Raw_orders!A:A, 0)), "Unknown")</f>
        <v>Baltics</v>
      </c>
      <c r="J3124" t="str">
        <f>PROPER(shipments[[#This Row],[delivery_status]])</f>
        <v>Delivered</v>
      </c>
      <c r="K3124" t="s">
        <v>6929</v>
      </c>
    </row>
    <row r="3125" spans="1:11">
      <c r="A3125" t="s">
        <v>10061</v>
      </c>
      <c r="B3125" t="s">
        <v>3836</v>
      </c>
      <c r="C3125" t="s">
        <v>6925</v>
      </c>
      <c r="D3125" s="1">
        <v>45469</v>
      </c>
      <c r="E3125" s="1">
        <v>45476</v>
      </c>
      <c r="F3125" s="1">
        <v>45476</v>
      </c>
      <c r="G3125">
        <v>6.18</v>
      </c>
      <c r="H31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125" t="str">
        <f>IFERROR(INDEX(Raw_orders!G:G, MATCH(shipments[[#This Row],[order_id]],Raw_orders!A:A, 0)), "Unknown")</f>
        <v>Central Europe</v>
      </c>
      <c r="J3125" t="str">
        <f>PROPER(shipments[[#This Row],[delivery_status]])</f>
        <v>Delivered</v>
      </c>
      <c r="K3125" t="s">
        <v>6922</v>
      </c>
    </row>
    <row r="3126" spans="1:11">
      <c r="A3126" t="s">
        <v>10062</v>
      </c>
      <c r="B3126" t="s">
        <v>3837</v>
      </c>
      <c r="C3126" t="s">
        <v>6935</v>
      </c>
      <c r="D3126" s="1">
        <v>45446</v>
      </c>
      <c r="E3126" s="1">
        <v>45456</v>
      </c>
      <c r="F3126" s="1">
        <v>45459</v>
      </c>
      <c r="G3126">
        <v>45.12</v>
      </c>
      <c r="H31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26" t="str">
        <f>IFERROR(INDEX(Raw_orders!G:G, MATCH(shipments[[#This Row],[order_id]],Raw_orders!A:A, 0)), "Unknown")</f>
        <v>Baltics</v>
      </c>
      <c r="J3126" t="str">
        <f>PROPER(shipments[[#This Row],[delivery_status]])</f>
        <v>Delivered</v>
      </c>
      <c r="K3126" t="s">
        <v>6929</v>
      </c>
    </row>
    <row r="3127" spans="1:11">
      <c r="A3127" t="s">
        <v>10063</v>
      </c>
      <c r="B3127" t="s">
        <v>3838</v>
      </c>
      <c r="C3127" t="s">
        <v>6928</v>
      </c>
      <c r="D3127" s="1">
        <v>45400</v>
      </c>
      <c r="E3127" s="1">
        <v>45407</v>
      </c>
      <c r="F3127" s="1"/>
      <c r="G3127">
        <v>35.479999999999997</v>
      </c>
      <c r="H31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127" t="str">
        <f>IFERROR(INDEX(Raw_orders!G:G, MATCH(shipments[[#This Row],[order_id]],Raw_orders!A:A, 0)), "Unknown")</f>
        <v>Nordics</v>
      </c>
      <c r="J3127" t="str">
        <f>PROPER(shipments[[#This Row],[delivery_status]])</f>
        <v>In Transit</v>
      </c>
      <c r="K3127" t="s">
        <v>6977</v>
      </c>
    </row>
    <row r="3128" spans="1:11">
      <c r="A3128" t="s">
        <v>10064</v>
      </c>
      <c r="B3128" t="s">
        <v>3839</v>
      </c>
      <c r="C3128" t="s">
        <v>6928</v>
      </c>
      <c r="D3128" s="1">
        <v>45291</v>
      </c>
      <c r="E3128" s="1">
        <v>45298</v>
      </c>
      <c r="F3128" s="1"/>
      <c r="G3128">
        <v>31.03</v>
      </c>
      <c r="H31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128" t="str">
        <f>IFERROR(INDEX(Raw_orders!G:G, MATCH(shipments[[#This Row],[order_id]],Raw_orders!A:A, 0)), "Unknown")</f>
        <v>Central Europe</v>
      </c>
      <c r="J3128" t="str">
        <f>PROPER(shipments[[#This Row],[delivery_status]])</f>
        <v>Cancelled</v>
      </c>
      <c r="K3128" t="s">
        <v>6972</v>
      </c>
    </row>
    <row r="3129" spans="1:11">
      <c r="A3129" t="s">
        <v>10065</v>
      </c>
      <c r="B3129" t="s">
        <v>3840</v>
      </c>
      <c r="C3129" t="s">
        <v>6935</v>
      </c>
      <c r="D3129" s="1">
        <v>45371</v>
      </c>
      <c r="E3129" s="1">
        <v>45376</v>
      </c>
      <c r="F3129" s="1"/>
      <c r="G3129">
        <v>60.67</v>
      </c>
      <c r="H31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129" t="str">
        <f>IFERROR(INDEX(Raw_orders!G:G, MATCH(shipments[[#This Row],[order_id]],Raw_orders!A:A, 0)), "Unknown")</f>
        <v>Central Europe</v>
      </c>
      <c r="J3129" t="str">
        <f>PROPER(shipments[[#This Row],[delivery_status]])</f>
        <v>In Transit</v>
      </c>
      <c r="K3129" t="s">
        <v>6977</v>
      </c>
    </row>
    <row r="3130" spans="1:11">
      <c r="A3130" t="s">
        <v>10066</v>
      </c>
      <c r="B3130" t="s">
        <v>3841</v>
      </c>
      <c r="C3130" t="s">
        <v>6921</v>
      </c>
      <c r="D3130" s="1">
        <v>45285</v>
      </c>
      <c r="E3130" s="1">
        <v>45287</v>
      </c>
      <c r="F3130" s="1"/>
      <c r="G3130">
        <v>41.28</v>
      </c>
      <c r="H31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130" t="str">
        <f>IFERROR(INDEX(Raw_orders!G:G, MATCH(shipments[[#This Row],[order_id]],Raw_orders!A:A, 0)), "Unknown")</f>
        <v>Nordics</v>
      </c>
      <c r="J3130" t="str">
        <f>PROPER(shipments[[#This Row],[delivery_status]])</f>
        <v>Cancelled</v>
      </c>
      <c r="K3130" t="s">
        <v>6963</v>
      </c>
    </row>
    <row r="3131" spans="1:11">
      <c r="A3131" t="s">
        <v>10067</v>
      </c>
      <c r="B3131" t="s">
        <v>3842</v>
      </c>
      <c r="C3131" t="s">
        <v>6938</v>
      </c>
      <c r="D3131" s="1">
        <v>45115</v>
      </c>
      <c r="E3131" s="1">
        <v>45125</v>
      </c>
      <c r="F3131" s="1">
        <v>45133</v>
      </c>
      <c r="G3131">
        <v>49.36</v>
      </c>
      <c r="H31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31" t="str">
        <f>IFERROR(INDEX(Raw_orders!G:G, MATCH(shipments[[#This Row],[order_id]],Raw_orders!A:A, 0)), "Unknown")</f>
        <v>Unknown</v>
      </c>
      <c r="J3131" t="str">
        <f>PROPER(shipments[[#This Row],[delivery_status]])</f>
        <v>Delivered</v>
      </c>
      <c r="K3131" t="s">
        <v>6926</v>
      </c>
    </row>
    <row r="3132" spans="1:11">
      <c r="A3132" t="s">
        <v>10068</v>
      </c>
      <c r="B3132" t="s">
        <v>3843</v>
      </c>
      <c r="C3132" t="s">
        <v>6921</v>
      </c>
      <c r="D3132" s="1">
        <v>45449</v>
      </c>
      <c r="E3132" s="1">
        <v>45451</v>
      </c>
      <c r="F3132" s="1"/>
      <c r="G3132">
        <v>38.840000000000003</v>
      </c>
      <c r="H31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132" t="str">
        <f>IFERROR(INDEX(Raw_orders!G:G, MATCH(shipments[[#This Row],[order_id]],Raw_orders!A:A, 0)), "Unknown")</f>
        <v>Nordics</v>
      </c>
      <c r="J3132" t="str">
        <f>PROPER(shipments[[#This Row],[delivery_status]])</f>
        <v>In Transit</v>
      </c>
      <c r="K3132" t="s">
        <v>6946</v>
      </c>
    </row>
    <row r="3133" spans="1:11">
      <c r="A3133" t="s">
        <v>10069</v>
      </c>
      <c r="B3133" t="s">
        <v>3844</v>
      </c>
      <c r="C3133" t="s">
        <v>6921</v>
      </c>
      <c r="D3133" s="1">
        <v>45183</v>
      </c>
      <c r="E3133" s="1">
        <v>45190</v>
      </c>
      <c r="F3133" s="1"/>
      <c r="G3133">
        <v>11.46</v>
      </c>
      <c r="H31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133" t="str">
        <f>IFERROR(INDEX(Raw_orders!G:G, MATCH(shipments[[#This Row],[order_id]],Raw_orders!A:A, 0)), "Unknown")</f>
        <v>Baltics</v>
      </c>
      <c r="J3133" t="str">
        <f>PROPER(shipments[[#This Row],[delivery_status]])</f>
        <v>Cancelled</v>
      </c>
      <c r="K3133" t="s">
        <v>6963</v>
      </c>
    </row>
    <row r="3134" spans="1:11">
      <c r="A3134" t="s">
        <v>10070</v>
      </c>
      <c r="B3134" t="s">
        <v>3845</v>
      </c>
      <c r="C3134" t="s">
        <v>6921</v>
      </c>
      <c r="D3134" s="1">
        <v>45303</v>
      </c>
      <c r="E3134" s="1">
        <v>45308</v>
      </c>
      <c r="F3134" s="1">
        <v>45312</v>
      </c>
      <c r="G3134">
        <v>34.39</v>
      </c>
      <c r="H31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34" t="str">
        <f>IFERROR(INDEX(Raw_orders!G:G, MATCH(shipments[[#This Row],[order_id]],Raw_orders!A:A, 0)), "Unknown")</f>
        <v>Central Europe</v>
      </c>
      <c r="J3134" t="str">
        <f>PROPER(shipments[[#This Row],[delivery_status]])</f>
        <v>Delivered</v>
      </c>
      <c r="K3134" t="s">
        <v>6926</v>
      </c>
    </row>
    <row r="3135" spans="1:11">
      <c r="A3135" t="s">
        <v>10071</v>
      </c>
      <c r="B3135" t="s">
        <v>3846</v>
      </c>
      <c r="C3135" t="s">
        <v>6931</v>
      </c>
      <c r="D3135" s="1">
        <v>45362</v>
      </c>
      <c r="E3135" s="1">
        <v>45365</v>
      </c>
      <c r="F3135" s="1">
        <v>45370</v>
      </c>
      <c r="G3135">
        <v>27.61</v>
      </c>
      <c r="H31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35" t="str">
        <f>IFERROR(INDEX(Raw_orders!G:G, MATCH(shipments[[#This Row],[order_id]],Raw_orders!A:A, 0)), "Unknown")</f>
        <v>Nordics</v>
      </c>
      <c r="J3135" t="str">
        <f>PROPER(shipments[[#This Row],[delivery_status]])</f>
        <v>Delivered</v>
      </c>
      <c r="K3135" t="s">
        <v>6929</v>
      </c>
    </row>
    <row r="3136" spans="1:11">
      <c r="A3136" t="s">
        <v>10072</v>
      </c>
      <c r="B3136" t="s">
        <v>3847</v>
      </c>
      <c r="C3136" t="s">
        <v>6940</v>
      </c>
      <c r="D3136" s="1">
        <v>45360</v>
      </c>
      <c r="E3136" s="1">
        <v>45370</v>
      </c>
      <c r="F3136" s="1">
        <v>45370</v>
      </c>
      <c r="G3136">
        <v>31.85</v>
      </c>
      <c r="H31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136" t="str">
        <f>IFERROR(INDEX(Raw_orders!G:G, MATCH(shipments[[#This Row],[order_id]],Raw_orders!A:A, 0)), "Unknown")</f>
        <v>Nordics</v>
      </c>
      <c r="J3136" t="str">
        <f>PROPER(shipments[[#This Row],[delivery_status]])</f>
        <v>Delivered</v>
      </c>
      <c r="K3136" t="s">
        <v>6926</v>
      </c>
    </row>
    <row r="3137" spans="1:11">
      <c r="A3137" t="s">
        <v>10073</v>
      </c>
      <c r="B3137" t="s">
        <v>3848</v>
      </c>
      <c r="C3137" t="s">
        <v>6938</v>
      </c>
      <c r="D3137" s="1">
        <v>45347</v>
      </c>
      <c r="E3137" s="1">
        <v>45349</v>
      </c>
      <c r="F3137" s="1">
        <v>45352</v>
      </c>
      <c r="G3137">
        <v>18.670000000000002</v>
      </c>
      <c r="H31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37" t="str">
        <f>IFERROR(INDEX(Raw_orders!G:G, MATCH(shipments[[#This Row],[order_id]],Raw_orders!A:A, 0)), "Unknown")</f>
        <v>Nordics</v>
      </c>
      <c r="J3137" t="str">
        <f>PROPER(shipments[[#This Row],[delivery_status]])</f>
        <v>Delivered</v>
      </c>
      <c r="K3137" t="s">
        <v>6926</v>
      </c>
    </row>
    <row r="3138" spans="1:11">
      <c r="A3138" t="s">
        <v>10074</v>
      </c>
      <c r="B3138" t="s">
        <v>3849</v>
      </c>
      <c r="C3138" t="s">
        <v>6921</v>
      </c>
      <c r="D3138" s="1">
        <v>45265</v>
      </c>
      <c r="E3138" s="1">
        <v>45268</v>
      </c>
      <c r="F3138" s="1">
        <v>45268</v>
      </c>
      <c r="G3138">
        <v>54.11</v>
      </c>
      <c r="H31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138" t="str">
        <f>IFERROR(INDEX(Raw_orders!G:G, MATCH(shipments[[#This Row],[order_id]],Raw_orders!A:A, 0)), "Unknown")</f>
        <v>Central Europe</v>
      </c>
      <c r="J3138" t="str">
        <f>PROPER(shipments[[#This Row],[delivery_status]])</f>
        <v>Delivered</v>
      </c>
      <c r="K3138" t="s">
        <v>6926</v>
      </c>
    </row>
    <row r="3139" spans="1:11">
      <c r="A3139" t="s">
        <v>10075</v>
      </c>
      <c r="B3139" t="s">
        <v>3850</v>
      </c>
      <c r="C3139" t="s">
        <v>6921</v>
      </c>
      <c r="D3139" s="1">
        <v>45595</v>
      </c>
      <c r="E3139" s="1">
        <v>45602</v>
      </c>
      <c r="F3139" s="1">
        <v>45615</v>
      </c>
      <c r="G3139">
        <v>9.7899999999999991</v>
      </c>
      <c r="H31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39" t="str">
        <f>IFERROR(INDEX(Raw_orders!G:G, MATCH(shipments[[#This Row],[order_id]],Raw_orders!A:A, 0)), "Unknown")</f>
        <v>Nordics</v>
      </c>
      <c r="J3139" t="str">
        <f>PROPER(shipments[[#This Row],[delivery_status]])</f>
        <v>Delivered</v>
      </c>
      <c r="K3139" t="s">
        <v>6922</v>
      </c>
    </row>
    <row r="3140" spans="1:11">
      <c r="A3140" t="s">
        <v>10076</v>
      </c>
      <c r="B3140" t="s">
        <v>3851</v>
      </c>
      <c r="C3140" t="s">
        <v>6938</v>
      </c>
      <c r="D3140" s="1">
        <v>45227</v>
      </c>
      <c r="E3140" s="1">
        <v>45232</v>
      </c>
      <c r="F3140" s="1"/>
      <c r="G3140">
        <v>7.85</v>
      </c>
      <c r="H31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140" t="str">
        <f>IFERROR(INDEX(Raw_orders!G:G, MATCH(shipments[[#This Row],[order_id]],Raw_orders!A:A, 0)), "Unknown")</f>
        <v>Nordics</v>
      </c>
      <c r="J3140" t="str">
        <f>PROPER(shipments[[#This Row],[delivery_status]])</f>
        <v>Cancelled</v>
      </c>
      <c r="K3140" t="s">
        <v>6979</v>
      </c>
    </row>
    <row r="3141" spans="1:11">
      <c r="A3141" t="s">
        <v>10077</v>
      </c>
      <c r="B3141" t="s">
        <v>3851</v>
      </c>
      <c r="C3141" t="s">
        <v>6931</v>
      </c>
      <c r="D3141" s="1">
        <v>45228</v>
      </c>
      <c r="E3141" s="1">
        <v>45230</v>
      </c>
      <c r="F3141" s="1">
        <v>45232</v>
      </c>
      <c r="G3141">
        <v>5.18</v>
      </c>
      <c r="H31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41" t="str">
        <f>IFERROR(INDEX(Raw_orders!G:G, MATCH(shipments[[#This Row],[order_id]],Raw_orders!A:A, 0)), "Unknown")</f>
        <v>Nordics</v>
      </c>
      <c r="J3141" t="str">
        <f>PROPER(shipments[[#This Row],[delivery_status]])</f>
        <v>Delivered</v>
      </c>
      <c r="K3141" t="s">
        <v>6926</v>
      </c>
    </row>
    <row r="3142" spans="1:11">
      <c r="A3142" t="s">
        <v>10078</v>
      </c>
      <c r="B3142" t="s">
        <v>3852</v>
      </c>
      <c r="C3142" t="s">
        <v>6928</v>
      </c>
      <c r="D3142" s="1">
        <v>45507</v>
      </c>
      <c r="E3142" s="1">
        <v>45512</v>
      </c>
      <c r="F3142" s="1">
        <v>45517</v>
      </c>
      <c r="G3142">
        <v>16.809999999999999</v>
      </c>
      <c r="H31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42" t="str">
        <f>IFERROR(INDEX(Raw_orders!G:G, MATCH(shipments[[#This Row],[order_id]],Raw_orders!A:A, 0)), "Unknown")</f>
        <v>Baltics</v>
      </c>
      <c r="J3142" t="str">
        <f>PROPER(shipments[[#This Row],[delivery_status]])</f>
        <v>Delivered</v>
      </c>
      <c r="K3142" t="s">
        <v>6922</v>
      </c>
    </row>
    <row r="3143" spans="1:11">
      <c r="A3143" t="s">
        <v>10079</v>
      </c>
      <c r="B3143" t="s">
        <v>3853</v>
      </c>
      <c r="C3143" t="s">
        <v>6921</v>
      </c>
      <c r="D3143" s="1">
        <v>45434</v>
      </c>
      <c r="E3143" s="1">
        <v>45444</v>
      </c>
      <c r="F3143" s="1"/>
      <c r="G3143">
        <v>36.49</v>
      </c>
      <c r="H31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143" t="str">
        <f>IFERROR(INDEX(Raw_orders!G:G, MATCH(shipments[[#This Row],[order_id]],Raw_orders!A:A, 0)), "Unknown")</f>
        <v>Baltics</v>
      </c>
      <c r="J3143" t="str">
        <f>PROPER(shipments[[#This Row],[delivery_status]])</f>
        <v>Cancelled</v>
      </c>
      <c r="K3143" t="s">
        <v>6979</v>
      </c>
    </row>
    <row r="3144" spans="1:11">
      <c r="A3144" t="s">
        <v>10080</v>
      </c>
      <c r="B3144" t="s">
        <v>3854</v>
      </c>
      <c r="C3144" t="s">
        <v>6925</v>
      </c>
      <c r="D3144" s="1">
        <v>45517</v>
      </c>
      <c r="E3144" s="1">
        <v>45524</v>
      </c>
      <c r="F3144" s="1">
        <v>45523</v>
      </c>
      <c r="G3144">
        <v>40.020000000000003</v>
      </c>
      <c r="H31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144" t="str">
        <f>IFERROR(INDEX(Raw_orders!G:G, MATCH(shipments[[#This Row],[order_id]],Raw_orders!A:A, 0)), "Unknown")</f>
        <v>Baltics</v>
      </c>
      <c r="J3144" t="str">
        <f>PROPER(shipments[[#This Row],[delivery_status]])</f>
        <v>Delivered</v>
      </c>
      <c r="K3144" t="s">
        <v>6926</v>
      </c>
    </row>
    <row r="3145" spans="1:11">
      <c r="A3145" t="s">
        <v>10081</v>
      </c>
      <c r="B3145" t="s">
        <v>3855</v>
      </c>
      <c r="C3145" t="s">
        <v>6928</v>
      </c>
      <c r="D3145" s="1">
        <v>45160</v>
      </c>
      <c r="E3145" s="1">
        <v>45163</v>
      </c>
      <c r="F3145" s="1">
        <v>45163</v>
      </c>
      <c r="G3145">
        <v>34.74</v>
      </c>
      <c r="H31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145" t="str">
        <f>IFERROR(INDEX(Raw_orders!G:G, MATCH(shipments[[#This Row],[order_id]],Raw_orders!A:A, 0)), "Unknown")</f>
        <v>Baltics</v>
      </c>
      <c r="J3145" t="str">
        <f>PROPER(shipments[[#This Row],[delivery_status]])</f>
        <v>Delivered</v>
      </c>
      <c r="K3145" t="s">
        <v>6929</v>
      </c>
    </row>
    <row r="3146" spans="1:11">
      <c r="A3146" t="s">
        <v>10082</v>
      </c>
      <c r="B3146" t="s">
        <v>3856</v>
      </c>
      <c r="C3146" t="s">
        <v>6956</v>
      </c>
      <c r="D3146" s="1">
        <v>45586</v>
      </c>
      <c r="E3146" s="1">
        <v>45588</v>
      </c>
      <c r="F3146" s="1"/>
      <c r="G3146">
        <v>6.82</v>
      </c>
      <c r="H31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146" t="str">
        <f>IFERROR(INDEX(Raw_orders!G:G, MATCH(shipments[[#This Row],[order_id]],Raw_orders!A:A, 0)), "Unknown")</f>
        <v>Central Europe</v>
      </c>
      <c r="J3146" t="str">
        <f>PROPER(shipments[[#This Row],[delivery_status]])</f>
        <v>In Transit</v>
      </c>
      <c r="K3146" t="s">
        <v>6946</v>
      </c>
    </row>
    <row r="3147" spans="1:11">
      <c r="A3147" t="s">
        <v>10083</v>
      </c>
      <c r="B3147" t="s">
        <v>3857</v>
      </c>
      <c r="C3147" t="s">
        <v>6931</v>
      </c>
      <c r="D3147" s="1">
        <v>45368</v>
      </c>
      <c r="E3147" s="1">
        <v>45378</v>
      </c>
      <c r="F3147" s="1">
        <v>45386</v>
      </c>
      <c r="G3147">
        <v>22.14</v>
      </c>
      <c r="H31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47" t="str">
        <f>IFERROR(INDEX(Raw_orders!G:G, MATCH(shipments[[#This Row],[order_id]],Raw_orders!A:A, 0)), "Unknown")</f>
        <v>Central Europe</v>
      </c>
      <c r="J3147" t="str">
        <f>PROPER(shipments[[#This Row],[delivery_status]])</f>
        <v>Delivered</v>
      </c>
      <c r="K3147" t="s">
        <v>6922</v>
      </c>
    </row>
    <row r="3148" spans="1:11">
      <c r="A3148" t="s">
        <v>10084</v>
      </c>
      <c r="B3148" t="s">
        <v>3858</v>
      </c>
      <c r="C3148" t="s">
        <v>6940</v>
      </c>
      <c r="D3148" s="1">
        <v>45548</v>
      </c>
      <c r="E3148" s="1">
        <v>45558</v>
      </c>
      <c r="F3148" s="1"/>
      <c r="G3148">
        <v>10.83</v>
      </c>
      <c r="H31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148" t="str">
        <f>IFERROR(INDEX(Raw_orders!G:G, MATCH(shipments[[#This Row],[order_id]],Raw_orders!A:A, 0)), "Unknown")</f>
        <v>Central Europe</v>
      </c>
      <c r="J3148" t="str">
        <f>PROPER(shipments[[#This Row],[delivery_status]])</f>
        <v>In Transit</v>
      </c>
      <c r="K3148" t="s">
        <v>6977</v>
      </c>
    </row>
    <row r="3149" spans="1:11">
      <c r="A3149" t="s">
        <v>10085</v>
      </c>
      <c r="B3149" t="s">
        <v>3859</v>
      </c>
      <c r="C3149" t="s">
        <v>6931</v>
      </c>
      <c r="D3149" s="1">
        <v>45260</v>
      </c>
      <c r="E3149" s="1">
        <v>45262</v>
      </c>
      <c r="F3149" s="1">
        <v>45270</v>
      </c>
      <c r="G3149">
        <v>12.2</v>
      </c>
      <c r="H31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49" t="str">
        <f>IFERROR(INDEX(Raw_orders!G:G, MATCH(shipments[[#This Row],[order_id]],Raw_orders!A:A, 0)), "Unknown")</f>
        <v>Central Europe</v>
      </c>
      <c r="J3149" t="str">
        <f>PROPER(shipments[[#This Row],[delivery_status]])</f>
        <v>Delivered</v>
      </c>
      <c r="K3149" t="s">
        <v>6929</v>
      </c>
    </row>
    <row r="3150" spans="1:11">
      <c r="A3150" t="s">
        <v>10086</v>
      </c>
      <c r="B3150" t="s">
        <v>3860</v>
      </c>
      <c r="C3150" t="s">
        <v>6925</v>
      </c>
      <c r="D3150" s="1">
        <v>44941</v>
      </c>
      <c r="E3150" s="1">
        <v>44943</v>
      </c>
      <c r="F3150" s="1">
        <v>44946</v>
      </c>
      <c r="G3150">
        <v>42.28</v>
      </c>
      <c r="H31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50" t="str">
        <f>IFERROR(INDEX(Raw_orders!G:G, MATCH(shipments[[#This Row],[order_id]],Raw_orders!A:A, 0)), "Unknown")</f>
        <v>Nordics</v>
      </c>
      <c r="J3150" t="str">
        <f>PROPER(shipments[[#This Row],[delivery_status]])</f>
        <v>Delivered</v>
      </c>
      <c r="K3150" t="s">
        <v>6922</v>
      </c>
    </row>
    <row r="3151" spans="1:11">
      <c r="A3151" t="s">
        <v>10087</v>
      </c>
      <c r="B3151" t="s">
        <v>3861</v>
      </c>
      <c r="C3151" t="s">
        <v>6921</v>
      </c>
      <c r="D3151" s="1">
        <v>45559</v>
      </c>
      <c r="E3151" s="1">
        <v>45566</v>
      </c>
      <c r="F3151" s="1">
        <v>45574</v>
      </c>
      <c r="G3151">
        <v>12.98</v>
      </c>
      <c r="H31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51" t="str">
        <f>IFERROR(INDEX(Raw_orders!G:G, MATCH(shipments[[#This Row],[order_id]],Raw_orders!A:A, 0)), "Unknown")</f>
        <v>Nordics</v>
      </c>
      <c r="J3151" t="str">
        <f>PROPER(shipments[[#This Row],[delivery_status]])</f>
        <v>Delivered</v>
      </c>
      <c r="K3151" t="s">
        <v>6922</v>
      </c>
    </row>
    <row r="3152" spans="1:11">
      <c r="A3152" t="s">
        <v>10088</v>
      </c>
      <c r="B3152" t="s">
        <v>3862</v>
      </c>
      <c r="C3152" t="s">
        <v>6940</v>
      </c>
      <c r="D3152" s="1">
        <v>45189</v>
      </c>
      <c r="E3152" s="1">
        <v>45194</v>
      </c>
      <c r="F3152" s="1">
        <v>45194</v>
      </c>
      <c r="G3152">
        <v>24.07</v>
      </c>
      <c r="H31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152" t="str">
        <f>IFERROR(INDEX(Raw_orders!G:G, MATCH(shipments[[#This Row],[order_id]],Raw_orders!A:A, 0)), "Unknown")</f>
        <v>Central Europe</v>
      </c>
      <c r="J3152" t="str">
        <f>PROPER(shipments[[#This Row],[delivery_status]])</f>
        <v>Delivered</v>
      </c>
      <c r="K3152" t="s">
        <v>6922</v>
      </c>
    </row>
    <row r="3153" spans="1:11">
      <c r="A3153" t="s">
        <v>10089</v>
      </c>
      <c r="B3153" t="s">
        <v>3863</v>
      </c>
      <c r="C3153" t="s">
        <v>6935</v>
      </c>
      <c r="D3153" s="1">
        <v>45306</v>
      </c>
      <c r="E3153" s="1">
        <v>45308</v>
      </c>
      <c r="F3153" s="1">
        <v>45319</v>
      </c>
      <c r="H31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53" t="str">
        <f>IFERROR(INDEX(Raw_orders!G:G, MATCH(shipments[[#This Row],[order_id]],Raw_orders!A:A, 0)), "Unknown")</f>
        <v>Central Europe</v>
      </c>
      <c r="J3153" t="str">
        <f>PROPER(shipments[[#This Row],[delivery_status]])</f>
        <v>Delivered</v>
      </c>
      <c r="K3153" t="s">
        <v>6929</v>
      </c>
    </row>
    <row r="3154" spans="1:11">
      <c r="A3154" t="s">
        <v>10090</v>
      </c>
      <c r="B3154" t="s">
        <v>3864</v>
      </c>
      <c r="C3154" t="s">
        <v>6921</v>
      </c>
      <c r="D3154" s="1">
        <v>45083</v>
      </c>
      <c r="E3154" s="1">
        <v>45085</v>
      </c>
      <c r="F3154" s="1">
        <v>45096</v>
      </c>
      <c r="G3154">
        <v>12.64</v>
      </c>
      <c r="H31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54" t="str">
        <f>IFERROR(INDEX(Raw_orders!G:G, MATCH(shipments[[#This Row],[order_id]],Raw_orders!A:A, 0)), "Unknown")</f>
        <v>Central Europe</v>
      </c>
      <c r="J3154" t="str">
        <f>PROPER(shipments[[#This Row],[delivery_status]])</f>
        <v>Delivered</v>
      </c>
      <c r="K3154" t="s">
        <v>6922</v>
      </c>
    </row>
    <row r="3155" spans="1:11">
      <c r="A3155" t="s">
        <v>10091</v>
      </c>
      <c r="B3155" t="s">
        <v>3865</v>
      </c>
      <c r="C3155" t="s">
        <v>6956</v>
      </c>
      <c r="D3155" s="1">
        <v>45551</v>
      </c>
      <c r="E3155" s="1">
        <v>45554</v>
      </c>
      <c r="F3155" s="1">
        <v>45562</v>
      </c>
      <c r="G3155">
        <v>60.17</v>
      </c>
      <c r="H31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55" t="str">
        <f>IFERROR(INDEX(Raw_orders!G:G, MATCH(shipments[[#This Row],[order_id]],Raw_orders!A:A, 0)), "Unknown")</f>
        <v>Central Europe</v>
      </c>
      <c r="J3155" t="str">
        <f>PROPER(shipments[[#This Row],[delivery_status]])</f>
        <v>Delivered</v>
      </c>
      <c r="K3155" t="s">
        <v>6929</v>
      </c>
    </row>
    <row r="3156" spans="1:11">
      <c r="A3156" t="s">
        <v>10092</v>
      </c>
      <c r="B3156" t="s">
        <v>3866</v>
      </c>
      <c r="C3156" t="s">
        <v>6935</v>
      </c>
      <c r="D3156" s="1">
        <v>45557</v>
      </c>
      <c r="E3156" s="1">
        <v>45567</v>
      </c>
      <c r="F3156" s="1">
        <v>45573</v>
      </c>
      <c r="G3156">
        <v>60.95</v>
      </c>
      <c r="H31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56" t="str">
        <f>IFERROR(INDEX(Raw_orders!G:G, MATCH(shipments[[#This Row],[order_id]],Raw_orders!A:A, 0)), "Unknown")</f>
        <v>Central Europe</v>
      </c>
      <c r="J3156" t="str">
        <f>PROPER(shipments[[#This Row],[delivery_status]])</f>
        <v>Delivered</v>
      </c>
      <c r="K3156" t="s">
        <v>6929</v>
      </c>
    </row>
    <row r="3157" spans="1:11">
      <c r="A3157" t="s">
        <v>10093</v>
      </c>
      <c r="B3157" t="s">
        <v>3867</v>
      </c>
      <c r="C3157" t="s">
        <v>6940</v>
      </c>
      <c r="D3157" s="1">
        <v>45142</v>
      </c>
      <c r="E3157" s="1">
        <v>45152</v>
      </c>
      <c r="F3157" s="1">
        <v>45154</v>
      </c>
      <c r="G3157">
        <v>22.65</v>
      </c>
      <c r="H31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57" t="str">
        <f>IFERROR(INDEX(Raw_orders!G:G, MATCH(shipments[[#This Row],[order_id]],Raw_orders!A:A, 0)), "Unknown")</f>
        <v>Baltics</v>
      </c>
      <c r="J3157" t="str">
        <f>PROPER(shipments[[#This Row],[delivery_status]])</f>
        <v>Delivered</v>
      </c>
      <c r="K3157" t="s">
        <v>6926</v>
      </c>
    </row>
    <row r="3158" spans="1:11">
      <c r="A3158" t="s">
        <v>10094</v>
      </c>
      <c r="B3158" t="s">
        <v>3868</v>
      </c>
      <c r="C3158" t="s">
        <v>6928</v>
      </c>
      <c r="D3158" s="1">
        <v>45544</v>
      </c>
      <c r="E3158" s="1">
        <v>45554</v>
      </c>
      <c r="F3158" s="1">
        <v>45566</v>
      </c>
      <c r="G3158">
        <v>51.7</v>
      </c>
      <c r="H31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58" t="str">
        <f>IFERROR(INDEX(Raw_orders!G:G, MATCH(shipments[[#This Row],[order_id]],Raw_orders!A:A, 0)), "Unknown")</f>
        <v>Central Europe</v>
      </c>
      <c r="J3158" t="str">
        <f>PROPER(shipments[[#This Row],[delivery_status]])</f>
        <v>Delivered</v>
      </c>
      <c r="K3158" t="s">
        <v>6922</v>
      </c>
    </row>
    <row r="3159" spans="1:11">
      <c r="A3159" t="s">
        <v>10095</v>
      </c>
      <c r="B3159" t="s">
        <v>3869</v>
      </c>
      <c r="C3159" t="s">
        <v>6921</v>
      </c>
      <c r="D3159" s="1">
        <v>45055</v>
      </c>
      <c r="E3159" s="1">
        <v>45065</v>
      </c>
      <c r="F3159" s="1">
        <v>45070</v>
      </c>
      <c r="G3159">
        <v>20.84</v>
      </c>
      <c r="H31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59" t="str">
        <f>IFERROR(INDEX(Raw_orders!G:G, MATCH(shipments[[#This Row],[order_id]],Raw_orders!A:A, 0)), "Unknown")</f>
        <v>Central Europe</v>
      </c>
      <c r="J3159" t="str">
        <f>PROPER(shipments[[#This Row],[delivery_status]])</f>
        <v>Delivered</v>
      </c>
      <c r="K3159" t="s">
        <v>6926</v>
      </c>
    </row>
    <row r="3160" spans="1:11">
      <c r="A3160" t="s">
        <v>10096</v>
      </c>
      <c r="B3160" t="s">
        <v>3870</v>
      </c>
      <c r="C3160" t="s">
        <v>6935</v>
      </c>
      <c r="D3160" s="1">
        <v>45132</v>
      </c>
      <c r="E3160" s="1">
        <v>45139</v>
      </c>
      <c r="F3160" s="1">
        <v>45150</v>
      </c>
      <c r="G3160">
        <v>41.84</v>
      </c>
      <c r="H31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60" t="str">
        <f>IFERROR(INDEX(Raw_orders!G:G, MATCH(shipments[[#This Row],[order_id]],Raw_orders!A:A, 0)), "Unknown")</f>
        <v>Baltics</v>
      </c>
      <c r="J3160" t="str">
        <f>PROPER(shipments[[#This Row],[delivery_status]])</f>
        <v>Delivered</v>
      </c>
      <c r="K3160" t="s">
        <v>6926</v>
      </c>
    </row>
    <row r="3161" spans="1:11">
      <c r="A3161" t="s">
        <v>10097</v>
      </c>
      <c r="B3161" t="s">
        <v>3870</v>
      </c>
      <c r="C3161" t="s">
        <v>6925</v>
      </c>
      <c r="D3161" s="1">
        <v>45133</v>
      </c>
      <c r="E3161" s="1">
        <v>45135</v>
      </c>
      <c r="F3161" s="1">
        <v>45135</v>
      </c>
      <c r="G3161">
        <v>12.78</v>
      </c>
      <c r="H31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161" t="str">
        <f>IFERROR(INDEX(Raw_orders!G:G, MATCH(shipments[[#This Row],[order_id]],Raw_orders!A:A, 0)), "Unknown")</f>
        <v>Baltics</v>
      </c>
      <c r="J3161" t="str">
        <f>PROPER(shipments[[#This Row],[delivery_status]])</f>
        <v>Delivered</v>
      </c>
      <c r="K3161" t="s">
        <v>6922</v>
      </c>
    </row>
    <row r="3162" spans="1:11">
      <c r="A3162" t="s">
        <v>10098</v>
      </c>
      <c r="B3162" t="s">
        <v>3871</v>
      </c>
      <c r="C3162" t="s">
        <v>6956</v>
      </c>
      <c r="D3162" s="1">
        <v>45157</v>
      </c>
      <c r="E3162" s="1">
        <v>45159</v>
      </c>
      <c r="F3162" s="1"/>
      <c r="G3162">
        <v>34.6</v>
      </c>
      <c r="H31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162" t="str">
        <f>IFERROR(INDEX(Raw_orders!G:G, MATCH(shipments[[#This Row],[order_id]],Raw_orders!A:A, 0)), "Unknown")</f>
        <v>Baltics</v>
      </c>
      <c r="J3162" t="str">
        <f>PROPER(shipments[[#This Row],[delivery_status]])</f>
        <v>In Transit</v>
      </c>
      <c r="K3162" t="s">
        <v>6946</v>
      </c>
    </row>
    <row r="3163" spans="1:11">
      <c r="A3163" t="s">
        <v>10099</v>
      </c>
      <c r="B3163" t="s">
        <v>3872</v>
      </c>
      <c r="C3163" t="s">
        <v>6956</v>
      </c>
      <c r="D3163" s="1">
        <v>45453</v>
      </c>
      <c r="E3163" s="1">
        <v>45460</v>
      </c>
      <c r="F3163" s="1">
        <v>45459</v>
      </c>
      <c r="G3163">
        <v>32.479999999999997</v>
      </c>
      <c r="H31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163" t="str">
        <f>IFERROR(INDEX(Raw_orders!G:G, MATCH(shipments[[#This Row],[order_id]],Raw_orders!A:A, 0)), "Unknown")</f>
        <v>Central Europe</v>
      </c>
      <c r="J3163" t="str">
        <f>PROPER(shipments[[#This Row],[delivery_status]])</f>
        <v>Delivered</v>
      </c>
      <c r="K3163" t="s">
        <v>6922</v>
      </c>
    </row>
    <row r="3164" spans="1:11">
      <c r="A3164" t="s">
        <v>10100</v>
      </c>
      <c r="B3164" t="s">
        <v>3873</v>
      </c>
      <c r="C3164" t="s">
        <v>6921</v>
      </c>
      <c r="D3164" s="1">
        <v>44968</v>
      </c>
      <c r="E3164" s="1">
        <v>44973</v>
      </c>
      <c r="F3164" s="1">
        <v>44975</v>
      </c>
      <c r="G3164">
        <v>50.7</v>
      </c>
      <c r="H31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64" t="str">
        <f>IFERROR(INDEX(Raw_orders!G:G, MATCH(shipments[[#This Row],[order_id]],Raw_orders!A:A, 0)), "Unknown")</f>
        <v>Baltics</v>
      </c>
      <c r="J3164" t="str">
        <f>PROPER(shipments[[#This Row],[delivery_status]])</f>
        <v>Delivered</v>
      </c>
      <c r="K3164" t="s">
        <v>6922</v>
      </c>
    </row>
    <row r="3165" spans="1:11">
      <c r="A3165" t="s">
        <v>10101</v>
      </c>
      <c r="B3165" t="s">
        <v>3874</v>
      </c>
      <c r="C3165" t="s">
        <v>6935</v>
      </c>
      <c r="D3165" s="1">
        <v>45151</v>
      </c>
      <c r="E3165" s="1">
        <v>45156</v>
      </c>
      <c r="F3165" s="1"/>
      <c r="G3165">
        <v>46.34</v>
      </c>
      <c r="H31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165" t="str">
        <f>IFERROR(INDEX(Raw_orders!G:G, MATCH(shipments[[#This Row],[order_id]],Raw_orders!A:A, 0)), "Unknown")</f>
        <v>Central Europe</v>
      </c>
      <c r="J3165" t="str">
        <f>PROPER(shipments[[#This Row],[delivery_status]])</f>
        <v>Cancelled</v>
      </c>
      <c r="K3165" t="s">
        <v>6972</v>
      </c>
    </row>
    <row r="3166" spans="1:11">
      <c r="A3166" t="s">
        <v>10102</v>
      </c>
      <c r="B3166" t="s">
        <v>3875</v>
      </c>
      <c r="C3166" t="s">
        <v>6925</v>
      </c>
      <c r="D3166" s="1">
        <v>45560</v>
      </c>
      <c r="E3166" s="1">
        <v>45570</v>
      </c>
      <c r="F3166" s="1">
        <v>45573</v>
      </c>
      <c r="G3166">
        <v>55.42</v>
      </c>
      <c r="H31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66" t="str">
        <f>IFERROR(INDEX(Raw_orders!G:G, MATCH(shipments[[#This Row],[order_id]],Raw_orders!A:A, 0)), "Unknown")</f>
        <v>Nordics</v>
      </c>
      <c r="J3166" t="str">
        <f>PROPER(shipments[[#This Row],[delivery_status]])</f>
        <v>Delivered</v>
      </c>
      <c r="K3166" t="s">
        <v>6926</v>
      </c>
    </row>
    <row r="3167" spans="1:11">
      <c r="A3167" t="s">
        <v>10103</v>
      </c>
      <c r="B3167" t="s">
        <v>3876</v>
      </c>
      <c r="C3167" t="s">
        <v>6938</v>
      </c>
      <c r="D3167" s="1">
        <v>45190</v>
      </c>
      <c r="E3167" s="1">
        <v>45193</v>
      </c>
      <c r="F3167" s="1">
        <v>45193</v>
      </c>
      <c r="G3167">
        <v>8.89</v>
      </c>
      <c r="H31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167" t="str">
        <f>IFERROR(INDEX(Raw_orders!G:G, MATCH(shipments[[#This Row],[order_id]],Raw_orders!A:A, 0)), "Unknown")</f>
        <v>Central Europe</v>
      </c>
      <c r="J3167" t="str">
        <f>PROPER(shipments[[#This Row],[delivery_status]])</f>
        <v>Delivered</v>
      </c>
      <c r="K3167" t="s">
        <v>6926</v>
      </c>
    </row>
    <row r="3168" spans="1:11">
      <c r="A3168" t="s">
        <v>10104</v>
      </c>
      <c r="B3168" t="s">
        <v>3877</v>
      </c>
      <c r="C3168" t="s">
        <v>6925</v>
      </c>
      <c r="D3168" s="1">
        <v>45588</v>
      </c>
      <c r="E3168" s="1">
        <v>45595</v>
      </c>
      <c r="F3168" s="1">
        <v>45595</v>
      </c>
      <c r="G3168">
        <v>11.55</v>
      </c>
      <c r="H31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168" t="str">
        <f>IFERROR(INDEX(Raw_orders!G:G, MATCH(shipments[[#This Row],[order_id]],Raw_orders!A:A, 0)), "Unknown")</f>
        <v>Nordics</v>
      </c>
      <c r="J3168" t="str">
        <f>PROPER(shipments[[#This Row],[delivery_status]])</f>
        <v>Delivered</v>
      </c>
      <c r="K3168" t="s">
        <v>6929</v>
      </c>
    </row>
    <row r="3169" spans="1:11">
      <c r="A3169" t="s">
        <v>10105</v>
      </c>
      <c r="B3169" t="s">
        <v>3878</v>
      </c>
      <c r="C3169" t="s">
        <v>6925</v>
      </c>
      <c r="D3169" s="1">
        <v>45345</v>
      </c>
      <c r="E3169" s="1">
        <v>45352</v>
      </c>
      <c r="F3169" s="1">
        <v>45353</v>
      </c>
      <c r="G3169">
        <v>25.54</v>
      </c>
      <c r="H31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69" t="str">
        <f>IFERROR(INDEX(Raw_orders!G:G, MATCH(shipments[[#This Row],[order_id]],Raw_orders!A:A, 0)), "Unknown")</f>
        <v>Nordics</v>
      </c>
      <c r="J3169" t="str">
        <f>PROPER(shipments[[#This Row],[delivery_status]])</f>
        <v>Delivered</v>
      </c>
      <c r="K3169" t="s">
        <v>6929</v>
      </c>
    </row>
    <row r="3170" spans="1:11">
      <c r="A3170" t="s">
        <v>10106</v>
      </c>
      <c r="B3170" t="s">
        <v>3879</v>
      </c>
      <c r="C3170" t="s">
        <v>6940</v>
      </c>
      <c r="D3170" s="1">
        <v>45434</v>
      </c>
      <c r="E3170" s="1">
        <v>45444</v>
      </c>
      <c r="F3170" s="1">
        <v>45446</v>
      </c>
      <c r="G3170">
        <v>53.34</v>
      </c>
      <c r="H31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70" t="str">
        <f>IFERROR(INDEX(Raw_orders!G:G, MATCH(shipments[[#This Row],[order_id]],Raw_orders!A:A, 0)), "Unknown")</f>
        <v>Central Europe</v>
      </c>
      <c r="J3170" t="str">
        <f>PROPER(shipments[[#This Row],[delivery_status]])</f>
        <v>Delivered</v>
      </c>
      <c r="K3170" t="s">
        <v>6922</v>
      </c>
    </row>
    <row r="3171" spans="1:11">
      <c r="A3171" t="s">
        <v>10107</v>
      </c>
      <c r="B3171" t="s">
        <v>3880</v>
      </c>
      <c r="C3171" t="s">
        <v>6928</v>
      </c>
      <c r="D3171" s="1">
        <v>44968</v>
      </c>
      <c r="E3171" s="1">
        <v>44978</v>
      </c>
      <c r="F3171" s="1"/>
      <c r="G3171">
        <v>34.18</v>
      </c>
      <c r="H31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171" t="str">
        <f>IFERROR(INDEX(Raw_orders!G:G, MATCH(shipments[[#This Row],[order_id]],Raw_orders!A:A, 0)), "Unknown")</f>
        <v>Nordics</v>
      </c>
      <c r="J3171" t="str">
        <f>PROPER(shipments[[#This Row],[delivery_status]])</f>
        <v>Cancelled</v>
      </c>
      <c r="K3171" t="s">
        <v>6972</v>
      </c>
    </row>
    <row r="3172" spans="1:11">
      <c r="A3172" t="s">
        <v>10108</v>
      </c>
      <c r="B3172" t="s">
        <v>3881</v>
      </c>
      <c r="C3172" t="s">
        <v>6938</v>
      </c>
      <c r="D3172" s="1">
        <v>45387</v>
      </c>
      <c r="E3172" s="1">
        <v>45392</v>
      </c>
      <c r="F3172" s="1"/>
      <c r="G3172">
        <v>33.270000000000003</v>
      </c>
      <c r="H31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172" t="str">
        <f>IFERROR(INDEX(Raw_orders!G:G, MATCH(shipments[[#This Row],[order_id]],Raw_orders!A:A, 0)), "Unknown")</f>
        <v>Central Europe</v>
      </c>
      <c r="J3172" t="str">
        <f>PROPER(shipments[[#This Row],[delivery_status]])</f>
        <v>In Transit</v>
      </c>
      <c r="K3172" t="s">
        <v>6946</v>
      </c>
    </row>
    <row r="3173" spans="1:11">
      <c r="A3173" t="s">
        <v>10109</v>
      </c>
      <c r="B3173" t="s">
        <v>3882</v>
      </c>
      <c r="C3173" t="s">
        <v>6928</v>
      </c>
      <c r="D3173" s="1">
        <v>45066</v>
      </c>
      <c r="E3173" s="1">
        <v>45068</v>
      </c>
      <c r="F3173" s="1">
        <v>45081</v>
      </c>
      <c r="G3173">
        <v>42.25</v>
      </c>
      <c r="H31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73" t="str">
        <f>IFERROR(INDEX(Raw_orders!G:G, MATCH(shipments[[#This Row],[order_id]],Raw_orders!A:A, 0)), "Unknown")</f>
        <v>Nordics</v>
      </c>
      <c r="J3173" t="str">
        <f>PROPER(shipments[[#This Row],[delivery_status]])</f>
        <v>Delivered</v>
      </c>
      <c r="K3173" t="s">
        <v>6929</v>
      </c>
    </row>
    <row r="3174" spans="1:11">
      <c r="A3174" t="s">
        <v>10110</v>
      </c>
      <c r="B3174" t="s">
        <v>3883</v>
      </c>
      <c r="C3174" t="s">
        <v>6921</v>
      </c>
      <c r="D3174" s="1">
        <v>45381</v>
      </c>
      <c r="E3174" s="1">
        <v>45383</v>
      </c>
      <c r="F3174" s="1">
        <v>45383</v>
      </c>
      <c r="G3174">
        <v>41.21</v>
      </c>
      <c r="H31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174" t="str">
        <f>IFERROR(INDEX(Raw_orders!G:G, MATCH(shipments[[#This Row],[order_id]],Raw_orders!A:A, 0)), "Unknown")</f>
        <v>Nordics</v>
      </c>
      <c r="J3174" t="str">
        <f>PROPER(shipments[[#This Row],[delivery_status]])</f>
        <v>Delivered</v>
      </c>
      <c r="K3174" t="s">
        <v>6929</v>
      </c>
    </row>
    <row r="3175" spans="1:11">
      <c r="A3175" t="s">
        <v>10111</v>
      </c>
      <c r="B3175" t="s">
        <v>3884</v>
      </c>
      <c r="C3175" t="s">
        <v>6940</v>
      </c>
      <c r="D3175" s="1">
        <v>45394</v>
      </c>
      <c r="E3175" s="1">
        <v>45401</v>
      </c>
      <c r="F3175" s="1">
        <v>45409</v>
      </c>
      <c r="G3175">
        <v>29.88</v>
      </c>
      <c r="H31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75" t="str">
        <f>IFERROR(INDEX(Raw_orders!G:G, MATCH(shipments[[#This Row],[order_id]],Raw_orders!A:A, 0)), "Unknown")</f>
        <v>Nordics</v>
      </c>
      <c r="J3175" t="str">
        <f>PROPER(shipments[[#This Row],[delivery_status]])</f>
        <v>Delivered</v>
      </c>
      <c r="K3175" t="s">
        <v>6922</v>
      </c>
    </row>
    <row r="3176" spans="1:11">
      <c r="A3176" t="s">
        <v>10112</v>
      </c>
      <c r="B3176" t="s">
        <v>3885</v>
      </c>
      <c r="C3176" t="s">
        <v>6935</v>
      </c>
      <c r="D3176" s="1">
        <v>45158</v>
      </c>
      <c r="E3176" s="1">
        <v>45161</v>
      </c>
      <c r="F3176" s="1">
        <v>45163</v>
      </c>
      <c r="G3176">
        <v>51.77</v>
      </c>
      <c r="H31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76" t="str">
        <f>IFERROR(INDEX(Raw_orders!G:G, MATCH(shipments[[#This Row],[order_id]],Raw_orders!A:A, 0)), "Unknown")</f>
        <v>Nordics</v>
      </c>
      <c r="J3176" t="str">
        <f>PROPER(shipments[[#This Row],[delivery_status]])</f>
        <v>Delivered</v>
      </c>
      <c r="K3176" t="s">
        <v>6929</v>
      </c>
    </row>
    <row r="3177" spans="1:11">
      <c r="A3177" t="s">
        <v>10113</v>
      </c>
      <c r="B3177" t="s">
        <v>3886</v>
      </c>
      <c r="C3177" t="s">
        <v>6921</v>
      </c>
      <c r="D3177" s="1">
        <v>45202</v>
      </c>
      <c r="E3177" s="1">
        <v>45205</v>
      </c>
      <c r="F3177" s="1">
        <v>45215</v>
      </c>
      <c r="G3177">
        <v>38.299999999999997</v>
      </c>
      <c r="H31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77" t="str">
        <f>IFERROR(INDEX(Raw_orders!G:G, MATCH(shipments[[#This Row],[order_id]],Raw_orders!A:A, 0)), "Unknown")</f>
        <v>Central Europe</v>
      </c>
      <c r="J3177" t="str">
        <f>PROPER(shipments[[#This Row],[delivery_status]])</f>
        <v>Delivered</v>
      </c>
      <c r="K3177" t="s">
        <v>6922</v>
      </c>
    </row>
    <row r="3178" spans="1:11">
      <c r="A3178" t="s">
        <v>10114</v>
      </c>
      <c r="B3178" t="s">
        <v>3887</v>
      </c>
      <c r="C3178" t="s">
        <v>6921</v>
      </c>
      <c r="D3178" s="1">
        <v>45605</v>
      </c>
      <c r="E3178" s="1">
        <v>45610</v>
      </c>
      <c r="F3178" s="1"/>
      <c r="G3178">
        <v>15.87</v>
      </c>
      <c r="H31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178" t="str">
        <f>IFERROR(INDEX(Raw_orders!G:G, MATCH(shipments[[#This Row],[order_id]],Raw_orders!A:A, 0)), "Unknown")</f>
        <v>Nordics</v>
      </c>
      <c r="J3178" t="str">
        <f>PROPER(shipments[[#This Row],[delivery_status]])</f>
        <v>Cancelled</v>
      </c>
      <c r="K3178" t="s">
        <v>6963</v>
      </c>
    </row>
    <row r="3179" spans="1:11">
      <c r="A3179" t="s">
        <v>10115</v>
      </c>
      <c r="B3179" t="s">
        <v>3888</v>
      </c>
      <c r="C3179" t="s">
        <v>6940</v>
      </c>
      <c r="D3179" s="1">
        <v>45277</v>
      </c>
      <c r="E3179" s="1">
        <v>45284</v>
      </c>
      <c r="F3179" s="1">
        <v>45285</v>
      </c>
      <c r="G3179">
        <v>6.34</v>
      </c>
      <c r="H31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79" t="str">
        <f>IFERROR(INDEX(Raw_orders!G:G, MATCH(shipments[[#This Row],[order_id]],Raw_orders!A:A, 0)), "Unknown")</f>
        <v>Nordics</v>
      </c>
      <c r="J3179" t="str">
        <f>PROPER(shipments[[#This Row],[delivery_status]])</f>
        <v>Delivered</v>
      </c>
      <c r="K3179" t="s">
        <v>6922</v>
      </c>
    </row>
    <row r="3180" spans="1:11">
      <c r="A3180" t="s">
        <v>10116</v>
      </c>
      <c r="B3180" t="s">
        <v>3889</v>
      </c>
      <c r="C3180" t="s">
        <v>6935</v>
      </c>
      <c r="D3180" s="1">
        <v>45356</v>
      </c>
      <c r="E3180" s="1">
        <v>45363</v>
      </c>
      <c r="F3180" s="1">
        <v>45363</v>
      </c>
      <c r="G3180">
        <v>36.33</v>
      </c>
      <c r="H31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180" t="str">
        <f>IFERROR(INDEX(Raw_orders!G:G, MATCH(shipments[[#This Row],[order_id]],Raw_orders!A:A, 0)), "Unknown")</f>
        <v>Baltics</v>
      </c>
      <c r="J3180" t="str">
        <f>PROPER(shipments[[#This Row],[delivery_status]])</f>
        <v>Delivered</v>
      </c>
      <c r="K3180" t="s">
        <v>6926</v>
      </c>
    </row>
    <row r="3181" spans="1:11">
      <c r="A3181" t="s">
        <v>10117</v>
      </c>
      <c r="B3181" t="s">
        <v>3890</v>
      </c>
      <c r="C3181" t="s">
        <v>6940</v>
      </c>
      <c r="D3181" s="1">
        <v>45425</v>
      </c>
      <c r="E3181" s="1">
        <v>45427</v>
      </c>
      <c r="F3181" s="1">
        <v>45432</v>
      </c>
      <c r="G3181">
        <v>26.38</v>
      </c>
      <c r="H31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81" t="str">
        <f>IFERROR(INDEX(Raw_orders!G:G, MATCH(shipments[[#This Row],[order_id]],Raw_orders!A:A, 0)), "Unknown")</f>
        <v>Central Europe</v>
      </c>
      <c r="J3181" t="str">
        <f>PROPER(shipments[[#This Row],[delivery_status]])</f>
        <v>Delivered</v>
      </c>
      <c r="K3181" t="s">
        <v>6922</v>
      </c>
    </row>
    <row r="3182" spans="1:11">
      <c r="A3182" t="s">
        <v>10118</v>
      </c>
      <c r="B3182" t="s">
        <v>3891</v>
      </c>
      <c r="C3182" t="s">
        <v>6931</v>
      </c>
      <c r="D3182" s="1">
        <v>45088</v>
      </c>
      <c r="E3182" s="1">
        <v>45095</v>
      </c>
      <c r="F3182" s="1">
        <v>45094</v>
      </c>
      <c r="G3182">
        <v>62.53</v>
      </c>
      <c r="H31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182" t="str">
        <f>IFERROR(INDEX(Raw_orders!G:G, MATCH(shipments[[#This Row],[order_id]],Raw_orders!A:A, 0)), "Unknown")</f>
        <v>Central Europe</v>
      </c>
      <c r="J3182" t="str">
        <f>PROPER(shipments[[#This Row],[delivery_status]])</f>
        <v>Delivered</v>
      </c>
      <c r="K3182" t="s">
        <v>6929</v>
      </c>
    </row>
    <row r="3183" spans="1:11">
      <c r="A3183" t="s">
        <v>10119</v>
      </c>
      <c r="B3183" t="s">
        <v>3892</v>
      </c>
      <c r="C3183" t="s">
        <v>6928</v>
      </c>
      <c r="D3183" s="1">
        <v>45148</v>
      </c>
      <c r="E3183" s="1">
        <v>45151</v>
      </c>
      <c r="F3183" s="1">
        <v>45159</v>
      </c>
      <c r="G3183">
        <v>14.76</v>
      </c>
      <c r="H31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83" t="str">
        <f>IFERROR(INDEX(Raw_orders!G:G, MATCH(shipments[[#This Row],[order_id]],Raw_orders!A:A, 0)), "Unknown")</f>
        <v>Nordics</v>
      </c>
      <c r="J3183" t="str">
        <f>PROPER(shipments[[#This Row],[delivery_status]])</f>
        <v>Delivered</v>
      </c>
      <c r="K3183" t="s">
        <v>6926</v>
      </c>
    </row>
    <row r="3184" spans="1:11">
      <c r="A3184" t="s">
        <v>10120</v>
      </c>
      <c r="B3184" t="s">
        <v>3893</v>
      </c>
      <c r="C3184" t="s">
        <v>6940</v>
      </c>
      <c r="D3184" s="1">
        <v>45412</v>
      </c>
      <c r="E3184" s="1">
        <v>45417</v>
      </c>
      <c r="F3184" s="1">
        <v>45419</v>
      </c>
      <c r="G3184">
        <v>51.21</v>
      </c>
      <c r="H31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84" t="str">
        <f>IFERROR(INDEX(Raw_orders!G:G, MATCH(shipments[[#This Row],[order_id]],Raw_orders!A:A, 0)), "Unknown")</f>
        <v>Nordics</v>
      </c>
      <c r="J3184" t="str">
        <f>PROPER(shipments[[#This Row],[delivery_status]])</f>
        <v>Delivered</v>
      </c>
      <c r="K3184" t="s">
        <v>6929</v>
      </c>
    </row>
    <row r="3185" spans="1:11">
      <c r="A3185" t="s">
        <v>10121</v>
      </c>
      <c r="B3185" t="s">
        <v>3894</v>
      </c>
      <c r="C3185" t="s">
        <v>6928</v>
      </c>
      <c r="D3185" s="1">
        <v>45117</v>
      </c>
      <c r="E3185" s="1">
        <v>45119</v>
      </c>
      <c r="F3185" s="1">
        <v>45118</v>
      </c>
      <c r="G3185">
        <v>27.82</v>
      </c>
      <c r="H31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185" t="str">
        <f>IFERROR(INDEX(Raw_orders!G:G, MATCH(shipments[[#This Row],[order_id]],Raw_orders!A:A, 0)), "Unknown")</f>
        <v>Central Europe</v>
      </c>
      <c r="J3185" t="str">
        <f>PROPER(shipments[[#This Row],[delivery_status]])</f>
        <v>Delivered</v>
      </c>
      <c r="K3185" t="s">
        <v>6922</v>
      </c>
    </row>
    <row r="3186" spans="1:11">
      <c r="A3186" t="s">
        <v>10122</v>
      </c>
      <c r="B3186" t="s">
        <v>3894</v>
      </c>
      <c r="C3186" t="s">
        <v>6931</v>
      </c>
      <c r="D3186" s="1">
        <v>45119</v>
      </c>
      <c r="E3186" s="1">
        <v>45124</v>
      </c>
      <c r="F3186" s="1">
        <v>45127</v>
      </c>
      <c r="G3186">
        <v>36.18</v>
      </c>
      <c r="H31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86" t="str">
        <f>IFERROR(INDEX(Raw_orders!G:G, MATCH(shipments[[#This Row],[order_id]],Raw_orders!A:A, 0)), "Unknown")</f>
        <v>Central Europe</v>
      </c>
      <c r="J3186" t="str">
        <f>PROPER(shipments[[#This Row],[delivery_status]])</f>
        <v>Delivered</v>
      </c>
      <c r="K3186" t="s">
        <v>6922</v>
      </c>
    </row>
    <row r="3187" spans="1:11">
      <c r="A3187" t="s">
        <v>10123</v>
      </c>
      <c r="B3187" t="s">
        <v>3895</v>
      </c>
      <c r="C3187" t="s">
        <v>6935</v>
      </c>
      <c r="D3187" s="1">
        <v>45229</v>
      </c>
      <c r="E3187" s="1">
        <v>45234</v>
      </c>
      <c r="F3187" s="1">
        <v>45235</v>
      </c>
      <c r="G3187">
        <v>22.93</v>
      </c>
      <c r="H31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87" t="str">
        <f>IFERROR(INDEX(Raw_orders!G:G, MATCH(shipments[[#This Row],[order_id]],Raw_orders!A:A, 0)), "Unknown")</f>
        <v>Nordics</v>
      </c>
      <c r="J3187" t="str">
        <f>PROPER(shipments[[#This Row],[delivery_status]])</f>
        <v>Delivered</v>
      </c>
      <c r="K3187" t="s">
        <v>6926</v>
      </c>
    </row>
    <row r="3188" spans="1:11">
      <c r="A3188" t="s">
        <v>10124</v>
      </c>
      <c r="B3188" t="s">
        <v>3896</v>
      </c>
      <c r="C3188" t="s">
        <v>6931</v>
      </c>
      <c r="D3188" s="1">
        <v>45347</v>
      </c>
      <c r="E3188" s="1">
        <v>45352</v>
      </c>
      <c r="F3188" s="1">
        <v>45357</v>
      </c>
      <c r="G3188">
        <v>15.23</v>
      </c>
      <c r="H31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88" t="str">
        <f>IFERROR(INDEX(Raw_orders!G:G, MATCH(shipments[[#This Row],[order_id]],Raw_orders!A:A, 0)), "Unknown")</f>
        <v>Nordics</v>
      </c>
      <c r="J3188" t="str">
        <f>PROPER(shipments[[#This Row],[delivery_status]])</f>
        <v>Delivered</v>
      </c>
      <c r="K3188" t="s">
        <v>6929</v>
      </c>
    </row>
    <row r="3189" spans="1:11">
      <c r="A3189" t="s">
        <v>10125</v>
      </c>
      <c r="B3189" t="s">
        <v>3897</v>
      </c>
      <c r="C3189" t="s">
        <v>6938</v>
      </c>
      <c r="D3189" s="1">
        <v>45072</v>
      </c>
      <c r="E3189" s="1">
        <v>45074</v>
      </c>
      <c r="F3189" s="1">
        <v>45074</v>
      </c>
      <c r="G3189">
        <v>30.11</v>
      </c>
      <c r="H31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189" t="str">
        <f>IFERROR(INDEX(Raw_orders!G:G, MATCH(shipments[[#This Row],[order_id]],Raw_orders!A:A, 0)), "Unknown")</f>
        <v>Nordics</v>
      </c>
      <c r="J3189" t="str">
        <f>PROPER(shipments[[#This Row],[delivery_status]])</f>
        <v>Delivered</v>
      </c>
      <c r="K3189" t="s">
        <v>6922</v>
      </c>
    </row>
    <row r="3190" spans="1:11">
      <c r="A3190" t="s">
        <v>10126</v>
      </c>
      <c r="B3190" t="s">
        <v>3898</v>
      </c>
      <c r="C3190" t="s">
        <v>6935</v>
      </c>
      <c r="D3190" s="1">
        <v>44985</v>
      </c>
      <c r="E3190" s="1">
        <v>44987</v>
      </c>
      <c r="F3190" s="1">
        <v>44990</v>
      </c>
      <c r="G3190">
        <v>11.9</v>
      </c>
      <c r="H31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90" t="str">
        <f>IFERROR(INDEX(Raw_orders!G:G, MATCH(shipments[[#This Row],[order_id]],Raw_orders!A:A, 0)), "Unknown")</f>
        <v>Nordics</v>
      </c>
      <c r="J3190" t="str">
        <f>PROPER(shipments[[#This Row],[delivery_status]])</f>
        <v>Delivered</v>
      </c>
      <c r="K3190" t="s">
        <v>6929</v>
      </c>
    </row>
    <row r="3191" spans="1:11">
      <c r="A3191" t="s">
        <v>10127</v>
      </c>
      <c r="B3191" t="s">
        <v>3899</v>
      </c>
      <c r="C3191" t="s">
        <v>6935</v>
      </c>
      <c r="D3191" s="1">
        <v>45337</v>
      </c>
      <c r="E3191" s="1">
        <v>45340</v>
      </c>
      <c r="F3191" s="1">
        <v>45341</v>
      </c>
      <c r="G3191">
        <v>51.17</v>
      </c>
      <c r="H31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91" t="str">
        <f>IFERROR(INDEX(Raw_orders!G:G, MATCH(shipments[[#This Row],[order_id]],Raw_orders!A:A, 0)), "Unknown")</f>
        <v>Baltics</v>
      </c>
      <c r="J3191" t="str">
        <f>PROPER(shipments[[#This Row],[delivery_status]])</f>
        <v>Delivered</v>
      </c>
      <c r="K3191" t="s">
        <v>6926</v>
      </c>
    </row>
    <row r="3192" spans="1:11">
      <c r="A3192" t="s">
        <v>10128</v>
      </c>
      <c r="B3192" t="s">
        <v>3900</v>
      </c>
      <c r="C3192" t="s">
        <v>6940</v>
      </c>
      <c r="D3192" s="1">
        <v>45184</v>
      </c>
      <c r="E3192" s="1">
        <v>45189</v>
      </c>
      <c r="F3192" s="1"/>
      <c r="G3192">
        <v>36.83</v>
      </c>
      <c r="H31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192" t="str">
        <f>IFERROR(INDEX(Raw_orders!G:G, MATCH(shipments[[#This Row],[order_id]],Raw_orders!A:A, 0)), "Unknown")</f>
        <v>Central Europe</v>
      </c>
      <c r="J3192" t="str">
        <f>PROPER(shipments[[#This Row],[delivery_status]])</f>
        <v>In Transit</v>
      </c>
      <c r="K3192" t="s">
        <v>6958</v>
      </c>
    </row>
    <row r="3193" spans="1:11">
      <c r="A3193" t="s">
        <v>10129</v>
      </c>
      <c r="B3193" t="s">
        <v>3900</v>
      </c>
      <c r="C3193" t="s">
        <v>6949</v>
      </c>
      <c r="D3193" s="1">
        <v>45186</v>
      </c>
      <c r="E3193" s="1">
        <v>45191</v>
      </c>
      <c r="F3193" s="1">
        <v>45191</v>
      </c>
      <c r="G3193">
        <v>32.18</v>
      </c>
      <c r="H31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193" t="str">
        <f>IFERROR(INDEX(Raw_orders!G:G, MATCH(shipments[[#This Row],[order_id]],Raw_orders!A:A, 0)), "Unknown")</f>
        <v>Central Europe</v>
      </c>
      <c r="J3193" t="str">
        <f>PROPER(shipments[[#This Row],[delivery_status]])</f>
        <v>Delivered</v>
      </c>
      <c r="K3193" t="s">
        <v>6922</v>
      </c>
    </row>
    <row r="3194" spans="1:11">
      <c r="A3194" t="s">
        <v>10130</v>
      </c>
      <c r="B3194" t="s">
        <v>3901</v>
      </c>
      <c r="C3194" t="s">
        <v>6935</v>
      </c>
      <c r="D3194" s="1">
        <v>45355</v>
      </c>
      <c r="E3194" s="1">
        <v>45365</v>
      </c>
      <c r="F3194" s="1">
        <v>45370</v>
      </c>
      <c r="G3194">
        <v>14.23</v>
      </c>
      <c r="H31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94" t="str">
        <f>IFERROR(INDEX(Raw_orders!G:G, MATCH(shipments[[#This Row],[order_id]],Raw_orders!A:A, 0)), "Unknown")</f>
        <v>Central Europe</v>
      </c>
      <c r="J3194" t="str">
        <f>PROPER(shipments[[#This Row],[delivery_status]])</f>
        <v>Delivered</v>
      </c>
      <c r="K3194" t="s">
        <v>6926</v>
      </c>
    </row>
    <row r="3195" spans="1:11">
      <c r="A3195" t="s">
        <v>10131</v>
      </c>
      <c r="B3195" t="s">
        <v>3902</v>
      </c>
      <c r="C3195" t="s">
        <v>6928</v>
      </c>
      <c r="D3195" s="1">
        <v>45537</v>
      </c>
      <c r="E3195" s="1">
        <v>45544</v>
      </c>
      <c r="F3195" s="1">
        <v>45549</v>
      </c>
      <c r="G3195">
        <v>5.35</v>
      </c>
      <c r="H31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95" t="str">
        <f>IFERROR(INDEX(Raw_orders!G:G, MATCH(shipments[[#This Row],[order_id]],Raw_orders!A:A, 0)), "Unknown")</f>
        <v>Baltics</v>
      </c>
      <c r="J3195" t="str">
        <f>PROPER(shipments[[#This Row],[delivery_status]])</f>
        <v>Delivered</v>
      </c>
      <c r="K3195" t="s">
        <v>6929</v>
      </c>
    </row>
    <row r="3196" spans="1:11">
      <c r="A3196" t="s">
        <v>10132</v>
      </c>
      <c r="B3196" t="s">
        <v>3903</v>
      </c>
      <c r="C3196" t="s">
        <v>6925</v>
      </c>
      <c r="D3196" s="1">
        <v>45052</v>
      </c>
      <c r="E3196" s="1">
        <v>45062</v>
      </c>
      <c r="F3196" s="1">
        <v>45065</v>
      </c>
      <c r="G3196">
        <v>30.86</v>
      </c>
      <c r="H31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96" t="str">
        <f>IFERROR(INDEX(Raw_orders!G:G, MATCH(shipments[[#This Row],[order_id]],Raw_orders!A:A, 0)), "Unknown")</f>
        <v>Baltics</v>
      </c>
      <c r="J3196" t="str">
        <f>PROPER(shipments[[#This Row],[delivery_status]])</f>
        <v>Delivered</v>
      </c>
      <c r="K3196" t="s">
        <v>6929</v>
      </c>
    </row>
    <row r="3197" spans="1:11">
      <c r="A3197" t="s">
        <v>10133</v>
      </c>
      <c r="B3197" t="s">
        <v>3904</v>
      </c>
      <c r="C3197" t="s">
        <v>6921</v>
      </c>
      <c r="D3197" s="1">
        <v>44980</v>
      </c>
      <c r="E3197" s="1">
        <v>44987</v>
      </c>
      <c r="F3197" s="1">
        <v>44986</v>
      </c>
      <c r="G3197">
        <v>30.66</v>
      </c>
      <c r="H31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197" t="str">
        <f>IFERROR(INDEX(Raw_orders!G:G, MATCH(shipments[[#This Row],[order_id]],Raw_orders!A:A, 0)), "Unknown")</f>
        <v>Nordics</v>
      </c>
      <c r="J3197" t="str">
        <f>PROPER(shipments[[#This Row],[delivery_status]])</f>
        <v>Delivered</v>
      </c>
      <c r="K3197" t="s">
        <v>6926</v>
      </c>
    </row>
    <row r="3198" spans="1:11">
      <c r="A3198" t="s">
        <v>10134</v>
      </c>
      <c r="B3198" t="s">
        <v>3905</v>
      </c>
      <c r="C3198" t="s">
        <v>6940</v>
      </c>
      <c r="D3198" s="1">
        <v>45046</v>
      </c>
      <c r="E3198" s="1">
        <v>45048</v>
      </c>
      <c r="F3198" s="1">
        <v>45056</v>
      </c>
      <c r="G3198">
        <v>62.59</v>
      </c>
      <c r="H31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98" t="str">
        <f>IFERROR(INDEX(Raw_orders!G:G, MATCH(shipments[[#This Row],[order_id]],Raw_orders!A:A, 0)), "Unknown")</f>
        <v>Nordics</v>
      </c>
      <c r="J3198" t="str">
        <f>PROPER(shipments[[#This Row],[delivery_status]])</f>
        <v>Delivered</v>
      </c>
      <c r="K3198" t="s">
        <v>6926</v>
      </c>
    </row>
    <row r="3199" spans="1:11">
      <c r="A3199" t="s">
        <v>10135</v>
      </c>
      <c r="B3199" t="s">
        <v>3906</v>
      </c>
      <c r="C3199" t="s">
        <v>6928</v>
      </c>
      <c r="D3199" s="1">
        <v>45341</v>
      </c>
      <c r="E3199" s="1">
        <v>45351</v>
      </c>
      <c r="F3199" s="1">
        <v>45354</v>
      </c>
      <c r="G3199">
        <v>27.66</v>
      </c>
      <c r="H31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199" t="str">
        <f>IFERROR(INDEX(Raw_orders!G:G, MATCH(shipments[[#This Row],[order_id]],Raw_orders!A:A, 0)), "Unknown")</f>
        <v>Nordics</v>
      </c>
      <c r="J3199" t="str">
        <f>PROPER(shipments[[#This Row],[delivery_status]])</f>
        <v>Delivered</v>
      </c>
      <c r="K3199" t="s">
        <v>6922</v>
      </c>
    </row>
    <row r="3200" spans="1:11">
      <c r="A3200" t="s">
        <v>10136</v>
      </c>
      <c r="B3200" t="s">
        <v>3907</v>
      </c>
      <c r="C3200" t="s">
        <v>6938</v>
      </c>
      <c r="D3200" s="1">
        <v>45506</v>
      </c>
      <c r="E3200" s="1">
        <v>45511</v>
      </c>
      <c r="F3200" s="1">
        <v>45511</v>
      </c>
      <c r="G3200">
        <v>17.22</v>
      </c>
      <c r="H32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200" t="str">
        <f>IFERROR(INDEX(Raw_orders!G:G, MATCH(shipments[[#This Row],[order_id]],Raw_orders!A:A, 0)), "Unknown")</f>
        <v>Baltics</v>
      </c>
      <c r="J3200" t="str">
        <f>PROPER(shipments[[#This Row],[delivery_status]])</f>
        <v>Delivered</v>
      </c>
      <c r="K3200" t="s">
        <v>6922</v>
      </c>
    </row>
    <row r="3201" spans="1:11">
      <c r="A3201" t="s">
        <v>10137</v>
      </c>
      <c r="B3201" t="s">
        <v>3908</v>
      </c>
      <c r="C3201" t="s">
        <v>6935</v>
      </c>
      <c r="D3201" s="1">
        <v>45008</v>
      </c>
      <c r="E3201" s="1">
        <v>45011</v>
      </c>
      <c r="F3201" s="1"/>
      <c r="G3201">
        <v>59.76</v>
      </c>
      <c r="H32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201" t="str">
        <f>IFERROR(INDEX(Raw_orders!G:G, MATCH(shipments[[#This Row],[order_id]],Raw_orders!A:A, 0)), "Unknown")</f>
        <v>Nordics</v>
      </c>
      <c r="J3201" t="str">
        <f>PROPER(shipments[[#This Row],[delivery_status]])</f>
        <v>In Transit</v>
      </c>
      <c r="K3201" t="s">
        <v>6946</v>
      </c>
    </row>
    <row r="3202" spans="1:11">
      <c r="A3202" t="s">
        <v>10138</v>
      </c>
      <c r="B3202" t="s">
        <v>3909</v>
      </c>
      <c r="C3202" t="s">
        <v>6931</v>
      </c>
      <c r="D3202" s="1">
        <v>45497</v>
      </c>
      <c r="E3202" s="1">
        <v>45507</v>
      </c>
      <c r="F3202" s="1">
        <v>45506</v>
      </c>
      <c r="G3202">
        <v>9.5399999999999991</v>
      </c>
      <c r="H32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202" t="str">
        <f>IFERROR(INDEX(Raw_orders!G:G, MATCH(shipments[[#This Row],[order_id]],Raw_orders!A:A, 0)), "Unknown")</f>
        <v>Central Europe</v>
      </c>
      <c r="J3202" t="str">
        <f>PROPER(shipments[[#This Row],[delivery_status]])</f>
        <v>Delivered</v>
      </c>
      <c r="K3202" t="s">
        <v>6922</v>
      </c>
    </row>
    <row r="3203" spans="1:11">
      <c r="A3203" t="s">
        <v>10139</v>
      </c>
      <c r="B3203" t="s">
        <v>3910</v>
      </c>
      <c r="C3203" t="s">
        <v>6931</v>
      </c>
      <c r="D3203" s="1">
        <v>45143</v>
      </c>
      <c r="E3203" s="1">
        <v>45150</v>
      </c>
      <c r="F3203" s="1">
        <v>45155</v>
      </c>
      <c r="G3203">
        <v>28.13</v>
      </c>
      <c r="H32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03" t="str">
        <f>IFERROR(INDEX(Raw_orders!G:G, MATCH(shipments[[#This Row],[order_id]],Raw_orders!A:A, 0)), "Unknown")</f>
        <v>Central Europe</v>
      </c>
      <c r="J3203" t="str">
        <f>PROPER(shipments[[#This Row],[delivery_status]])</f>
        <v>Delivered</v>
      </c>
      <c r="K3203" t="s">
        <v>6926</v>
      </c>
    </row>
    <row r="3204" spans="1:11">
      <c r="A3204" t="s">
        <v>10140</v>
      </c>
      <c r="B3204" t="s">
        <v>3911</v>
      </c>
      <c r="C3204" t="s">
        <v>6931</v>
      </c>
      <c r="D3204" s="1">
        <v>45132</v>
      </c>
      <c r="E3204" s="1">
        <v>45134</v>
      </c>
      <c r="F3204" s="1"/>
      <c r="G3204">
        <v>34.03</v>
      </c>
      <c r="H32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204" t="str">
        <f>IFERROR(INDEX(Raw_orders!G:G, MATCH(shipments[[#This Row],[order_id]],Raw_orders!A:A, 0)), "Unknown")</f>
        <v>Nordics</v>
      </c>
      <c r="J3204" t="str">
        <f>PROPER(shipments[[#This Row],[delivery_status]])</f>
        <v>Cancelled</v>
      </c>
      <c r="K3204" t="s">
        <v>6972</v>
      </c>
    </row>
    <row r="3205" spans="1:11">
      <c r="A3205" t="s">
        <v>10141</v>
      </c>
      <c r="B3205" t="s">
        <v>3912</v>
      </c>
      <c r="C3205" t="s">
        <v>6921</v>
      </c>
      <c r="D3205" s="1">
        <v>45401</v>
      </c>
      <c r="E3205" s="1">
        <v>45406</v>
      </c>
      <c r="F3205" s="1">
        <v>45406</v>
      </c>
      <c r="G3205">
        <v>58.66</v>
      </c>
      <c r="H32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205" t="str">
        <f>IFERROR(INDEX(Raw_orders!G:G, MATCH(shipments[[#This Row],[order_id]],Raw_orders!A:A, 0)), "Unknown")</f>
        <v>Baltics</v>
      </c>
      <c r="J3205" t="str">
        <f>PROPER(shipments[[#This Row],[delivery_status]])</f>
        <v>Delivered</v>
      </c>
      <c r="K3205" t="s">
        <v>6922</v>
      </c>
    </row>
    <row r="3206" spans="1:11">
      <c r="A3206" t="s">
        <v>10142</v>
      </c>
      <c r="B3206" t="s">
        <v>3913</v>
      </c>
      <c r="C3206" t="s">
        <v>6935</v>
      </c>
      <c r="D3206" s="1">
        <v>45282</v>
      </c>
      <c r="E3206" s="1">
        <v>45292</v>
      </c>
      <c r="F3206" s="1">
        <v>45293</v>
      </c>
      <c r="G3206">
        <v>36.33</v>
      </c>
      <c r="H32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06" t="str">
        <f>IFERROR(INDEX(Raw_orders!G:G, MATCH(shipments[[#This Row],[order_id]],Raw_orders!A:A, 0)), "Unknown")</f>
        <v>Nordics</v>
      </c>
      <c r="J3206" t="str">
        <f>PROPER(shipments[[#This Row],[delivery_status]])</f>
        <v>Delivered</v>
      </c>
      <c r="K3206" t="s">
        <v>6926</v>
      </c>
    </row>
    <row r="3207" spans="1:11">
      <c r="A3207" t="s">
        <v>10143</v>
      </c>
      <c r="B3207" t="s">
        <v>3914</v>
      </c>
      <c r="C3207" t="s">
        <v>6935</v>
      </c>
      <c r="D3207" s="1">
        <v>45535</v>
      </c>
      <c r="E3207" s="1">
        <v>45538</v>
      </c>
      <c r="F3207" s="1">
        <v>45551</v>
      </c>
      <c r="G3207">
        <v>57.65</v>
      </c>
      <c r="H32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07" t="str">
        <f>IFERROR(INDEX(Raw_orders!G:G, MATCH(shipments[[#This Row],[order_id]],Raw_orders!A:A, 0)), "Unknown")</f>
        <v>Baltics</v>
      </c>
      <c r="J3207" t="str">
        <f>PROPER(shipments[[#This Row],[delivery_status]])</f>
        <v>Delivered</v>
      </c>
      <c r="K3207" t="s">
        <v>6922</v>
      </c>
    </row>
    <row r="3208" spans="1:11">
      <c r="A3208" t="s">
        <v>10144</v>
      </c>
      <c r="B3208" t="s">
        <v>3915</v>
      </c>
      <c r="C3208" t="s">
        <v>6921</v>
      </c>
      <c r="D3208" s="1">
        <v>45318</v>
      </c>
      <c r="E3208" s="1">
        <v>45328</v>
      </c>
      <c r="F3208" s="1">
        <v>45333</v>
      </c>
      <c r="G3208">
        <v>27.08</v>
      </c>
      <c r="H32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08" t="str">
        <f>IFERROR(INDEX(Raw_orders!G:G, MATCH(shipments[[#This Row],[order_id]],Raw_orders!A:A, 0)), "Unknown")</f>
        <v>Nordics</v>
      </c>
      <c r="J3208" t="str">
        <f>PROPER(shipments[[#This Row],[delivery_status]])</f>
        <v>Delivered</v>
      </c>
      <c r="K3208" t="s">
        <v>6929</v>
      </c>
    </row>
    <row r="3209" spans="1:11">
      <c r="A3209" t="s">
        <v>10145</v>
      </c>
      <c r="B3209" t="s">
        <v>3916</v>
      </c>
      <c r="C3209" t="s">
        <v>6928</v>
      </c>
      <c r="D3209" s="1">
        <v>45300</v>
      </c>
      <c r="E3209" s="1">
        <v>45310</v>
      </c>
      <c r="F3209" s="1">
        <v>45312</v>
      </c>
      <c r="G3209">
        <v>57.91</v>
      </c>
      <c r="H32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09" t="str">
        <f>IFERROR(INDEX(Raw_orders!G:G, MATCH(shipments[[#This Row],[order_id]],Raw_orders!A:A, 0)), "Unknown")</f>
        <v>Central Europe</v>
      </c>
      <c r="J3209" t="str">
        <f>PROPER(shipments[[#This Row],[delivery_status]])</f>
        <v>Delivered</v>
      </c>
      <c r="K3209" t="s">
        <v>6922</v>
      </c>
    </row>
    <row r="3210" spans="1:11">
      <c r="A3210" t="s">
        <v>10146</v>
      </c>
      <c r="B3210" t="s">
        <v>3917</v>
      </c>
      <c r="C3210" t="s">
        <v>6956</v>
      </c>
      <c r="D3210" s="1">
        <v>45019</v>
      </c>
      <c r="E3210" s="1">
        <v>45026</v>
      </c>
      <c r="F3210" s="1">
        <v>45026</v>
      </c>
      <c r="G3210">
        <v>45.88</v>
      </c>
      <c r="H32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210" t="str">
        <f>IFERROR(INDEX(Raw_orders!G:G, MATCH(shipments[[#This Row],[order_id]],Raw_orders!A:A, 0)), "Unknown")</f>
        <v>Central Europe</v>
      </c>
      <c r="J3210" t="str">
        <f>PROPER(shipments[[#This Row],[delivery_status]])</f>
        <v>Delivered</v>
      </c>
      <c r="K3210" t="s">
        <v>6922</v>
      </c>
    </row>
    <row r="3211" spans="1:11">
      <c r="A3211" t="s">
        <v>10147</v>
      </c>
      <c r="B3211" t="s">
        <v>3918</v>
      </c>
      <c r="C3211" t="s">
        <v>6928</v>
      </c>
      <c r="D3211" s="1">
        <v>45215</v>
      </c>
      <c r="E3211" s="1">
        <v>45218</v>
      </c>
      <c r="F3211" s="1">
        <v>45226</v>
      </c>
      <c r="G3211">
        <v>50.85</v>
      </c>
      <c r="H32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11" t="str">
        <f>IFERROR(INDEX(Raw_orders!G:G, MATCH(shipments[[#This Row],[order_id]],Raw_orders!A:A, 0)), "Unknown")</f>
        <v>Central Europe</v>
      </c>
      <c r="J3211" t="str">
        <f>PROPER(shipments[[#This Row],[delivery_status]])</f>
        <v>Delivered</v>
      </c>
      <c r="K3211" t="s">
        <v>6922</v>
      </c>
    </row>
    <row r="3212" spans="1:11">
      <c r="A3212" t="s">
        <v>10148</v>
      </c>
      <c r="B3212" t="s">
        <v>3919</v>
      </c>
      <c r="C3212" t="s">
        <v>6931</v>
      </c>
      <c r="D3212" s="1">
        <v>45143</v>
      </c>
      <c r="E3212" s="1">
        <v>45146</v>
      </c>
      <c r="F3212" s="1">
        <v>45149</v>
      </c>
      <c r="G3212">
        <v>5.1100000000000003</v>
      </c>
      <c r="H32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12" t="str">
        <f>IFERROR(INDEX(Raw_orders!G:G, MATCH(shipments[[#This Row],[order_id]],Raw_orders!A:A, 0)), "Unknown")</f>
        <v>Baltics</v>
      </c>
      <c r="J3212" t="str">
        <f>PROPER(shipments[[#This Row],[delivery_status]])</f>
        <v>Delivered</v>
      </c>
      <c r="K3212" t="s">
        <v>6922</v>
      </c>
    </row>
    <row r="3213" spans="1:11">
      <c r="A3213" t="s">
        <v>10149</v>
      </c>
      <c r="B3213" t="s">
        <v>3920</v>
      </c>
      <c r="C3213" t="s">
        <v>6938</v>
      </c>
      <c r="D3213" s="1">
        <v>45222</v>
      </c>
      <c r="E3213" s="1">
        <v>45229</v>
      </c>
      <c r="F3213" s="1">
        <v>45229</v>
      </c>
      <c r="G3213">
        <v>17.760000000000002</v>
      </c>
      <c r="H32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213" t="str">
        <f>IFERROR(INDEX(Raw_orders!G:G, MATCH(shipments[[#This Row],[order_id]],Raw_orders!A:A, 0)), "Unknown")</f>
        <v>Central Europe</v>
      </c>
      <c r="J3213" t="str">
        <f>PROPER(shipments[[#This Row],[delivery_status]])</f>
        <v>Delivered</v>
      </c>
      <c r="K3213" t="s">
        <v>6922</v>
      </c>
    </row>
    <row r="3214" spans="1:11">
      <c r="A3214" t="s">
        <v>10150</v>
      </c>
      <c r="B3214" t="s">
        <v>3921</v>
      </c>
      <c r="C3214" t="s">
        <v>6938</v>
      </c>
      <c r="D3214" s="1">
        <v>45470</v>
      </c>
      <c r="E3214" s="1">
        <v>45475</v>
      </c>
      <c r="F3214" s="1"/>
      <c r="G3214">
        <v>31.68</v>
      </c>
      <c r="H32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214" t="str">
        <f>IFERROR(INDEX(Raw_orders!G:G, MATCH(shipments[[#This Row],[order_id]],Raw_orders!A:A, 0)), "Unknown")</f>
        <v>Baltics</v>
      </c>
      <c r="J3214" t="str">
        <f>PROPER(shipments[[#This Row],[delivery_status]])</f>
        <v>In Transit</v>
      </c>
      <c r="K3214" t="s">
        <v>6977</v>
      </c>
    </row>
    <row r="3215" spans="1:11">
      <c r="A3215" t="s">
        <v>10151</v>
      </c>
      <c r="B3215" t="s">
        <v>3922</v>
      </c>
      <c r="C3215" t="s">
        <v>6931</v>
      </c>
      <c r="D3215" s="1">
        <v>45088</v>
      </c>
      <c r="E3215" s="1">
        <v>45091</v>
      </c>
      <c r="F3215" s="1">
        <v>45091</v>
      </c>
      <c r="G3215">
        <v>10.45</v>
      </c>
      <c r="H32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215" t="str">
        <f>IFERROR(INDEX(Raw_orders!G:G, MATCH(shipments[[#This Row],[order_id]],Raw_orders!A:A, 0)), "Unknown")</f>
        <v>Baltics</v>
      </c>
      <c r="J3215" t="str">
        <f>PROPER(shipments[[#This Row],[delivery_status]])</f>
        <v>Delivered</v>
      </c>
      <c r="K3215" t="s">
        <v>6929</v>
      </c>
    </row>
    <row r="3216" spans="1:11">
      <c r="A3216" t="s">
        <v>10152</v>
      </c>
      <c r="B3216" t="s">
        <v>3923</v>
      </c>
      <c r="C3216" t="s">
        <v>6956</v>
      </c>
      <c r="D3216" s="1">
        <v>45448</v>
      </c>
      <c r="E3216" s="1">
        <v>45453</v>
      </c>
      <c r="F3216" s="1">
        <v>45461</v>
      </c>
      <c r="G3216">
        <v>32.82</v>
      </c>
      <c r="H32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16" t="str">
        <f>IFERROR(INDEX(Raw_orders!G:G, MATCH(shipments[[#This Row],[order_id]],Raw_orders!A:A, 0)), "Unknown")</f>
        <v>Nordics</v>
      </c>
      <c r="J3216" t="str">
        <f>PROPER(shipments[[#This Row],[delivery_status]])</f>
        <v>Delivered</v>
      </c>
      <c r="K3216" t="s">
        <v>6922</v>
      </c>
    </row>
    <row r="3217" spans="1:11">
      <c r="A3217" t="s">
        <v>10153</v>
      </c>
      <c r="B3217" t="s">
        <v>3924</v>
      </c>
      <c r="C3217" t="s">
        <v>6949</v>
      </c>
      <c r="D3217" s="1">
        <v>45314</v>
      </c>
      <c r="E3217" s="1">
        <v>45321</v>
      </c>
      <c r="F3217" s="1">
        <v>45322</v>
      </c>
      <c r="G3217">
        <v>29.03</v>
      </c>
      <c r="H32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17" t="str">
        <f>IFERROR(INDEX(Raw_orders!G:G, MATCH(shipments[[#This Row],[order_id]],Raw_orders!A:A, 0)), "Unknown")</f>
        <v>Nordics</v>
      </c>
      <c r="J3217" t="str">
        <f>PROPER(shipments[[#This Row],[delivery_status]])</f>
        <v>Delivered</v>
      </c>
      <c r="K3217" t="s">
        <v>6926</v>
      </c>
    </row>
    <row r="3218" spans="1:11">
      <c r="A3218" t="s">
        <v>10154</v>
      </c>
      <c r="B3218" t="s">
        <v>3925</v>
      </c>
      <c r="C3218" t="s">
        <v>6928</v>
      </c>
      <c r="D3218" s="1">
        <v>45113</v>
      </c>
      <c r="E3218" s="1">
        <v>45116</v>
      </c>
      <c r="F3218" s="1"/>
      <c r="G3218">
        <v>34.299999999999997</v>
      </c>
      <c r="H32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218" t="str">
        <f>IFERROR(INDEX(Raw_orders!G:G, MATCH(shipments[[#This Row],[order_id]],Raw_orders!A:A, 0)), "Unknown")</f>
        <v>Central Europe</v>
      </c>
      <c r="J3218" t="str">
        <f>PROPER(shipments[[#This Row],[delivery_status]])</f>
        <v>Cancelled</v>
      </c>
      <c r="K3218" t="s">
        <v>6963</v>
      </c>
    </row>
    <row r="3219" spans="1:11">
      <c r="A3219" t="s">
        <v>10155</v>
      </c>
      <c r="B3219" t="s">
        <v>3926</v>
      </c>
      <c r="C3219" t="s">
        <v>6938</v>
      </c>
      <c r="D3219" s="1">
        <v>45398</v>
      </c>
      <c r="E3219" s="1">
        <v>45403</v>
      </c>
      <c r="F3219" s="1">
        <v>45415</v>
      </c>
      <c r="G3219">
        <v>19.309999999999999</v>
      </c>
      <c r="H32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19" t="str">
        <f>IFERROR(INDEX(Raw_orders!G:G, MATCH(shipments[[#This Row],[order_id]],Raw_orders!A:A, 0)), "Unknown")</f>
        <v>Central Europe</v>
      </c>
      <c r="J3219" t="str">
        <f>PROPER(shipments[[#This Row],[delivery_status]])</f>
        <v>Delivered</v>
      </c>
      <c r="K3219" t="s">
        <v>6926</v>
      </c>
    </row>
    <row r="3220" spans="1:11">
      <c r="A3220" t="s">
        <v>10156</v>
      </c>
      <c r="B3220" t="s">
        <v>3927</v>
      </c>
      <c r="C3220" t="s">
        <v>6940</v>
      </c>
      <c r="D3220" s="1">
        <v>45604</v>
      </c>
      <c r="E3220" s="1">
        <v>45606</v>
      </c>
      <c r="F3220" s="1">
        <v>45616</v>
      </c>
      <c r="H32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20" t="str">
        <f>IFERROR(INDEX(Raw_orders!G:G, MATCH(shipments[[#This Row],[order_id]],Raw_orders!A:A, 0)), "Unknown")</f>
        <v>Baltics</v>
      </c>
      <c r="J3220" t="str">
        <f>PROPER(shipments[[#This Row],[delivery_status]])</f>
        <v>Delivered</v>
      </c>
      <c r="K3220" t="s">
        <v>6929</v>
      </c>
    </row>
    <row r="3221" spans="1:11">
      <c r="A3221" t="s">
        <v>10157</v>
      </c>
      <c r="B3221" t="s">
        <v>3928</v>
      </c>
      <c r="C3221" t="s">
        <v>6921</v>
      </c>
      <c r="D3221" s="1">
        <v>45420</v>
      </c>
      <c r="E3221" s="1">
        <v>45425</v>
      </c>
      <c r="F3221" s="1">
        <v>45433</v>
      </c>
      <c r="G3221">
        <v>31.64</v>
      </c>
      <c r="H32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21" t="str">
        <f>IFERROR(INDEX(Raw_orders!G:G, MATCH(shipments[[#This Row],[order_id]],Raw_orders!A:A, 0)), "Unknown")</f>
        <v>Baltics</v>
      </c>
      <c r="J3221" t="str">
        <f>PROPER(shipments[[#This Row],[delivery_status]])</f>
        <v>Delivered</v>
      </c>
      <c r="K3221" t="s">
        <v>6926</v>
      </c>
    </row>
    <row r="3222" spans="1:11">
      <c r="A3222" t="s">
        <v>10158</v>
      </c>
      <c r="B3222" t="s">
        <v>3929</v>
      </c>
      <c r="C3222" t="s">
        <v>6956</v>
      </c>
      <c r="D3222" s="1">
        <v>45372</v>
      </c>
      <c r="E3222" s="1">
        <v>45375</v>
      </c>
      <c r="F3222" s="1">
        <v>45375</v>
      </c>
      <c r="H32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222" t="str">
        <f>IFERROR(INDEX(Raw_orders!G:G, MATCH(shipments[[#This Row],[order_id]],Raw_orders!A:A, 0)), "Unknown")</f>
        <v>Baltics</v>
      </c>
      <c r="J3222" t="str">
        <f>PROPER(shipments[[#This Row],[delivery_status]])</f>
        <v>Delivered</v>
      </c>
      <c r="K3222" t="s">
        <v>6926</v>
      </c>
    </row>
    <row r="3223" spans="1:11">
      <c r="A3223" t="s">
        <v>10159</v>
      </c>
      <c r="B3223" t="s">
        <v>3930</v>
      </c>
      <c r="C3223" t="s">
        <v>6935</v>
      </c>
      <c r="D3223" s="1">
        <v>44960</v>
      </c>
      <c r="E3223" s="1">
        <v>44962</v>
      </c>
      <c r="F3223" s="1">
        <v>44962</v>
      </c>
      <c r="G3223">
        <v>59.83</v>
      </c>
      <c r="H32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223" t="str">
        <f>IFERROR(INDEX(Raw_orders!G:G, MATCH(shipments[[#This Row],[order_id]],Raw_orders!A:A, 0)), "Unknown")</f>
        <v>Baltics</v>
      </c>
      <c r="J3223" t="str">
        <f>PROPER(shipments[[#This Row],[delivery_status]])</f>
        <v>Delivered</v>
      </c>
      <c r="K3223" t="s">
        <v>6922</v>
      </c>
    </row>
    <row r="3224" spans="1:11">
      <c r="A3224" t="s">
        <v>10160</v>
      </c>
      <c r="B3224" t="s">
        <v>3931</v>
      </c>
      <c r="C3224" t="s">
        <v>6921</v>
      </c>
      <c r="D3224" s="1">
        <v>45110</v>
      </c>
      <c r="E3224" s="1">
        <v>45115</v>
      </c>
      <c r="F3224" s="1">
        <v>45115</v>
      </c>
      <c r="G3224">
        <v>63.18</v>
      </c>
      <c r="H32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224" t="str">
        <f>IFERROR(INDEX(Raw_orders!G:G, MATCH(shipments[[#This Row],[order_id]],Raw_orders!A:A, 0)), "Unknown")</f>
        <v>Central Europe</v>
      </c>
      <c r="J3224" t="str">
        <f>PROPER(shipments[[#This Row],[delivery_status]])</f>
        <v>Delivered</v>
      </c>
      <c r="K3224" t="s">
        <v>6922</v>
      </c>
    </row>
    <row r="3225" spans="1:11">
      <c r="A3225" t="s">
        <v>10161</v>
      </c>
      <c r="B3225" t="s">
        <v>3932</v>
      </c>
      <c r="C3225" t="s">
        <v>6921</v>
      </c>
      <c r="D3225" s="1">
        <v>45308</v>
      </c>
      <c r="E3225" s="1">
        <v>45318</v>
      </c>
      <c r="F3225" s="1">
        <v>45321</v>
      </c>
      <c r="G3225">
        <v>4.75</v>
      </c>
      <c r="H32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25" t="str">
        <f>IFERROR(INDEX(Raw_orders!G:G, MATCH(shipments[[#This Row],[order_id]],Raw_orders!A:A, 0)), "Unknown")</f>
        <v>Baltics</v>
      </c>
      <c r="J3225" t="str">
        <f>PROPER(shipments[[#This Row],[delivery_status]])</f>
        <v>Delivered</v>
      </c>
      <c r="K3225" t="s">
        <v>6922</v>
      </c>
    </row>
    <row r="3226" spans="1:11">
      <c r="A3226" t="s">
        <v>10162</v>
      </c>
      <c r="B3226" t="s">
        <v>3933</v>
      </c>
      <c r="C3226" t="s">
        <v>6938</v>
      </c>
      <c r="D3226" s="1">
        <v>45339</v>
      </c>
      <c r="E3226" s="1">
        <v>45346</v>
      </c>
      <c r="F3226" s="1"/>
      <c r="G3226">
        <v>37.19</v>
      </c>
      <c r="H32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226" t="str">
        <f>IFERROR(INDEX(Raw_orders!G:G, MATCH(shipments[[#This Row],[order_id]],Raw_orders!A:A, 0)), "Unknown")</f>
        <v>Baltics</v>
      </c>
      <c r="J3226" t="str">
        <f>PROPER(shipments[[#This Row],[delivery_status]])</f>
        <v>Cancelled</v>
      </c>
      <c r="K3226" t="s">
        <v>6979</v>
      </c>
    </row>
    <row r="3227" spans="1:11">
      <c r="A3227" t="s">
        <v>10163</v>
      </c>
      <c r="B3227" t="s">
        <v>3934</v>
      </c>
      <c r="C3227" t="s">
        <v>6931</v>
      </c>
      <c r="D3227" s="1">
        <v>45029</v>
      </c>
      <c r="E3227" s="1">
        <v>45032</v>
      </c>
      <c r="F3227" s="1">
        <v>45037</v>
      </c>
      <c r="G3227">
        <v>35.65</v>
      </c>
      <c r="H32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27" t="str">
        <f>IFERROR(INDEX(Raw_orders!G:G, MATCH(shipments[[#This Row],[order_id]],Raw_orders!A:A, 0)), "Unknown")</f>
        <v>Baltics</v>
      </c>
      <c r="J3227" t="str">
        <f>PROPER(shipments[[#This Row],[delivery_status]])</f>
        <v>Delivered</v>
      </c>
      <c r="K3227" t="s">
        <v>6926</v>
      </c>
    </row>
    <row r="3228" spans="1:11">
      <c r="A3228" t="s">
        <v>10164</v>
      </c>
      <c r="B3228" t="s">
        <v>3935</v>
      </c>
      <c r="C3228" t="s">
        <v>6921</v>
      </c>
      <c r="D3228" s="1">
        <v>45557</v>
      </c>
      <c r="E3228" s="1">
        <v>45562</v>
      </c>
      <c r="F3228" s="1">
        <v>45573</v>
      </c>
      <c r="G3228">
        <v>24.73</v>
      </c>
      <c r="H32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28" t="str">
        <f>IFERROR(INDEX(Raw_orders!G:G, MATCH(shipments[[#This Row],[order_id]],Raw_orders!A:A, 0)), "Unknown")</f>
        <v>Central Europe</v>
      </c>
      <c r="J3228" t="str">
        <f>PROPER(shipments[[#This Row],[delivery_status]])</f>
        <v>Delivered</v>
      </c>
      <c r="K3228" t="s">
        <v>6922</v>
      </c>
    </row>
    <row r="3229" spans="1:11">
      <c r="A3229" t="s">
        <v>10165</v>
      </c>
      <c r="B3229" t="s">
        <v>3936</v>
      </c>
      <c r="C3229" t="s">
        <v>6925</v>
      </c>
      <c r="D3229" s="1">
        <v>45326</v>
      </c>
      <c r="E3229" s="1">
        <v>45328</v>
      </c>
      <c r="F3229" s="1">
        <v>45333</v>
      </c>
      <c r="G3229">
        <v>34.08</v>
      </c>
      <c r="H32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29" t="str">
        <f>IFERROR(INDEX(Raw_orders!G:G, MATCH(shipments[[#This Row],[order_id]],Raw_orders!A:A, 0)), "Unknown")</f>
        <v>Central Europe</v>
      </c>
      <c r="J3229" t="str">
        <f>PROPER(shipments[[#This Row],[delivery_status]])</f>
        <v>Delivered</v>
      </c>
      <c r="K3229" t="s">
        <v>6926</v>
      </c>
    </row>
    <row r="3230" spans="1:11">
      <c r="A3230" t="s">
        <v>10166</v>
      </c>
      <c r="B3230" t="s">
        <v>3937</v>
      </c>
      <c r="C3230" t="s">
        <v>6931</v>
      </c>
      <c r="D3230" s="1">
        <v>44941</v>
      </c>
      <c r="E3230" s="1">
        <v>44948</v>
      </c>
      <c r="F3230" s="1">
        <v>44948</v>
      </c>
      <c r="G3230">
        <v>9.4700000000000006</v>
      </c>
      <c r="H32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230" t="str">
        <f>IFERROR(INDEX(Raw_orders!G:G, MATCH(shipments[[#This Row],[order_id]],Raw_orders!A:A, 0)), "Unknown")</f>
        <v>Central Europe</v>
      </c>
      <c r="J3230" t="str">
        <f>PROPER(shipments[[#This Row],[delivery_status]])</f>
        <v>Delivered</v>
      </c>
      <c r="K3230" t="s">
        <v>6922</v>
      </c>
    </row>
    <row r="3231" spans="1:11">
      <c r="A3231" t="s">
        <v>10167</v>
      </c>
      <c r="B3231" t="s">
        <v>3938</v>
      </c>
      <c r="C3231" t="s">
        <v>6935</v>
      </c>
      <c r="D3231" s="1">
        <v>44976</v>
      </c>
      <c r="E3231" s="1">
        <v>44986</v>
      </c>
      <c r="F3231" s="1">
        <v>44989</v>
      </c>
      <c r="G3231">
        <v>42</v>
      </c>
      <c r="H32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31" t="str">
        <f>IFERROR(INDEX(Raw_orders!G:G, MATCH(shipments[[#This Row],[order_id]],Raw_orders!A:A, 0)), "Unknown")</f>
        <v>Baltics</v>
      </c>
      <c r="J3231" t="str">
        <f>PROPER(shipments[[#This Row],[delivery_status]])</f>
        <v>Delivered</v>
      </c>
      <c r="K3231" t="s">
        <v>6922</v>
      </c>
    </row>
    <row r="3232" spans="1:11">
      <c r="A3232" t="s">
        <v>10168</v>
      </c>
      <c r="B3232" t="s">
        <v>3939</v>
      </c>
      <c r="C3232" t="s">
        <v>6921</v>
      </c>
      <c r="D3232" s="1">
        <v>45587</v>
      </c>
      <c r="E3232" s="1">
        <v>45589</v>
      </c>
      <c r="F3232" s="1">
        <v>45594</v>
      </c>
      <c r="G3232">
        <v>30.25</v>
      </c>
      <c r="H32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32" t="str">
        <f>IFERROR(INDEX(Raw_orders!G:G, MATCH(shipments[[#This Row],[order_id]],Raw_orders!A:A, 0)), "Unknown")</f>
        <v>Baltics</v>
      </c>
      <c r="J3232" t="str">
        <f>PROPER(shipments[[#This Row],[delivery_status]])</f>
        <v>Delivered</v>
      </c>
      <c r="K3232" t="s">
        <v>6922</v>
      </c>
    </row>
    <row r="3233" spans="1:11">
      <c r="A3233" t="s">
        <v>10169</v>
      </c>
      <c r="B3233" t="s">
        <v>3940</v>
      </c>
      <c r="C3233" t="s">
        <v>6921</v>
      </c>
      <c r="D3233" s="1">
        <v>45517</v>
      </c>
      <c r="E3233" s="1">
        <v>45520</v>
      </c>
      <c r="F3233" s="1">
        <v>45520</v>
      </c>
      <c r="G3233">
        <v>22.08</v>
      </c>
      <c r="H32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233" t="str">
        <f>IFERROR(INDEX(Raw_orders!G:G, MATCH(shipments[[#This Row],[order_id]],Raw_orders!A:A, 0)), "Unknown")</f>
        <v>Nordics</v>
      </c>
      <c r="J3233" t="str">
        <f>PROPER(shipments[[#This Row],[delivery_status]])</f>
        <v>Delivered</v>
      </c>
      <c r="K3233" t="s">
        <v>6926</v>
      </c>
    </row>
    <row r="3234" spans="1:11">
      <c r="A3234" t="s">
        <v>10170</v>
      </c>
      <c r="B3234" t="s">
        <v>3940</v>
      </c>
      <c r="C3234" t="s">
        <v>6949</v>
      </c>
      <c r="D3234" s="1">
        <v>45518</v>
      </c>
      <c r="E3234" s="1">
        <v>45523</v>
      </c>
      <c r="F3234" s="1">
        <v>45523</v>
      </c>
      <c r="G3234">
        <v>31.57</v>
      </c>
      <c r="H32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234" t="str">
        <f>IFERROR(INDEX(Raw_orders!G:G, MATCH(shipments[[#This Row],[order_id]],Raw_orders!A:A, 0)), "Unknown")</f>
        <v>Nordics</v>
      </c>
      <c r="J3234" t="str">
        <f>PROPER(shipments[[#This Row],[delivery_status]])</f>
        <v>Delivered</v>
      </c>
      <c r="K3234" t="s">
        <v>6922</v>
      </c>
    </row>
    <row r="3235" spans="1:11">
      <c r="A3235" t="s">
        <v>10171</v>
      </c>
      <c r="B3235" t="s">
        <v>3941</v>
      </c>
      <c r="C3235" t="s">
        <v>6925</v>
      </c>
      <c r="D3235" s="1">
        <v>45028</v>
      </c>
      <c r="E3235" s="1">
        <v>45031</v>
      </c>
      <c r="F3235" s="1">
        <v>45034</v>
      </c>
      <c r="G3235">
        <v>62.76</v>
      </c>
      <c r="H32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35" t="str">
        <f>IFERROR(INDEX(Raw_orders!G:G, MATCH(shipments[[#This Row],[order_id]],Raw_orders!A:A, 0)), "Unknown")</f>
        <v>Baltics</v>
      </c>
      <c r="J3235" t="str">
        <f>PROPER(shipments[[#This Row],[delivery_status]])</f>
        <v>Delivered</v>
      </c>
      <c r="K3235" t="s">
        <v>6922</v>
      </c>
    </row>
    <row r="3236" spans="1:11">
      <c r="A3236" t="s">
        <v>10172</v>
      </c>
      <c r="B3236" t="s">
        <v>3942</v>
      </c>
      <c r="C3236" t="s">
        <v>6931</v>
      </c>
      <c r="D3236" s="1">
        <v>45570</v>
      </c>
      <c r="E3236" s="1">
        <v>45572</v>
      </c>
      <c r="F3236" s="1">
        <v>45572</v>
      </c>
      <c r="G3236">
        <v>60.33</v>
      </c>
      <c r="H32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236" t="str">
        <f>IFERROR(INDEX(Raw_orders!G:G, MATCH(shipments[[#This Row],[order_id]],Raw_orders!A:A, 0)), "Unknown")</f>
        <v>Nordics</v>
      </c>
      <c r="J3236" t="str">
        <f>PROPER(shipments[[#This Row],[delivery_status]])</f>
        <v>Delivered</v>
      </c>
      <c r="K3236" t="s">
        <v>6926</v>
      </c>
    </row>
    <row r="3237" spans="1:11">
      <c r="A3237" t="s">
        <v>10173</v>
      </c>
      <c r="B3237" t="s">
        <v>3943</v>
      </c>
      <c r="C3237" t="s">
        <v>6931</v>
      </c>
      <c r="D3237" s="1">
        <v>45622</v>
      </c>
      <c r="E3237" s="1">
        <v>45632</v>
      </c>
      <c r="F3237" s="1">
        <v>45637</v>
      </c>
      <c r="G3237">
        <v>41.36</v>
      </c>
      <c r="H32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37" t="str">
        <f>IFERROR(INDEX(Raw_orders!G:G, MATCH(shipments[[#This Row],[order_id]],Raw_orders!A:A, 0)), "Unknown")</f>
        <v>Central Europe</v>
      </c>
      <c r="J3237" t="str">
        <f>PROPER(shipments[[#This Row],[delivery_status]])</f>
        <v>Delivered</v>
      </c>
      <c r="K3237" t="s">
        <v>6929</v>
      </c>
    </row>
    <row r="3238" spans="1:11">
      <c r="A3238" t="s">
        <v>10174</v>
      </c>
      <c r="B3238" t="s">
        <v>3944</v>
      </c>
      <c r="C3238" t="s">
        <v>6940</v>
      </c>
      <c r="D3238" s="1">
        <v>45553</v>
      </c>
      <c r="E3238" s="1">
        <v>45555</v>
      </c>
      <c r="F3238" s="1"/>
      <c r="G3238">
        <v>60.64</v>
      </c>
      <c r="H32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238" t="str">
        <f>IFERROR(INDEX(Raw_orders!G:G, MATCH(shipments[[#This Row],[order_id]],Raw_orders!A:A, 0)), "Unknown")</f>
        <v>Nordics</v>
      </c>
      <c r="J3238" t="str">
        <f>PROPER(shipments[[#This Row],[delivery_status]])</f>
        <v>In Transit</v>
      </c>
      <c r="K3238" t="s">
        <v>6946</v>
      </c>
    </row>
    <row r="3239" spans="1:11">
      <c r="A3239" t="s">
        <v>10175</v>
      </c>
      <c r="B3239" t="s">
        <v>3945</v>
      </c>
      <c r="C3239" t="s">
        <v>6938</v>
      </c>
      <c r="D3239" s="1">
        <v>45523</v>
      </c>
      <c r="E3239" s="1">
        <v>45533</v>
      </c>
      <c r="F3239" s="1"/>
      <c r="G3239">
        <v>24.57</v>
      </c>
      <c r="H32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239" t="str">
        <f>IFERROR(INDEX(Raw_orders!G:G, MATCH(shipments[[#This Row],[order_id]],Raw_orders!A:A, 0)), "Unknown")</f>
        <v>Central Europe</v>
      </c>
      <c r="J3239" t="str">
        <f>PROPER(shipments[[#This Row],[delivery_status]])</f>
        <v>In Transit</v>
      </c>
      <c r="K3239" t="s">
        <v>6946</v>
      </c>
    </row>
    <row r="3240" spans="1:11">
      <c r="A3240" t="s">
        <v>10176</v>
      </c>
      <c r="B3240" t="s">
        <v>3946</v>
      </c>
      <c r="C3240" t="s">
        <v>6925</v>
      </c>
      <c r="D3240" s="1">
        <v>45207</v>
      </c>
      <c r="E3240" s="1">
        <v>45212</v>
      </c>
      <c r="F3240" s="1">
        <v>45211</v>
      </c>
      <c r="G3240">
        <v>43.13</v>
      </c>
      <c r="H32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240" t="str">
        <f>IFERROR(INDEX(Raw_orders!G:G, MATCH(shipments[[#This Row],[order_id]],Raw_orders!A:A, 0)), "Unknown")</f>
        <v>Baltics</v>
      </c>
      <c r="J3240" t="str">
        <f>PROPER(shipments[[#This Row],[delivery_status]])</f>
        <v>Delivered</v>
      </c>
      <c r="K3240" t="s">
        <v>6922</v>
      </c>
    </row>
    <row r="3241" spans="1:11">
      <c r="A3241" t="s">
        <v>10177</v>
      </c>
      <c r="B3241" t="s">
        <v>3946</v>
      </c>
      <c r="C3241" t="s">
        <v>6935</v>
      </c>
      <c r="D3241" s="1">
        <v>45207</v>
      </c>
      <c r="E3241" s="1">
        <v>45217</v>
      </c>
      <c r="F3241" s="1">
        <v>45217</v>
      </c>
      <c r="G3241">
        <v>23.31</v>
      </c>
      <c r="H32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241" t="str">
        <f>IFERROR(INDEX(Raw_orders!G:G, MATCH(shipments[[#This Row],[order_id]],Raw_orders!A:A, 0)), "Unknown")</f>
        <v>Baltics</v>
      </c>
      <c r="J3241" t="str">
        <f>PROPER(shipments[[#This Row],[delivery_status]])</f>
        <v>Delivered</v>
      </c>
      <c r="K3241" t="s">
        <v>6922</v>
      </c>
    </row>
    <row r="3242" spans="1:11">
      <c r="A3242" t="s">
        <v>10178</v>
      </c>
      <c r="B3242" t="s">
        <v>3947</v>
      </c>
      <c r="C3242" t="s">
        <v>6925</v>
      </c>
      <c r="D3242" s="1">
        <v>45338</v>
      </c>
      <c r="E3242" s="1">
        <v>45345</v>
      </c>
      <c r="F3242" s="1">
        <v>45345</v>
      </c>
      <c r="G3242">
        <v>25.59</v>
      </c>
      <c r="H32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242" t="str">
        <f>IFERROR(INDEX(Raw_orders!G:G, MATCH(shipments[[#This Row],[order_id]],Raw_orders!A:A, 0)), "Unknown")</f>
        <v>Baltics</v>
      </c>
      <c r="J3242" t="str">
        <f>PROPER(shipments[[#This Row],[delivery_status]])</f>
        <v>Delivered</v>
      </c>
      <c r="K3242" t="s">
        <v>6926</v>
      </c>
    </row>
    <row r="3243" spans="1:11">
      <c r="A3243" t="s">
        <v>10179</v>
      </c>
      <c r="B3243" t="s">
        <v>3948</v>
      </c>
      <c r="C3243" t="s">
        <v>6956</v>
      </c>
      <c r="D3243" s="1">
        <v>44997</v>
      </c>
      <c r="E3243" s="1">
        <v>45007</v>
      </c>
      <c r="F3243" s="1">
        <v>45007</v>
      </c>
      <c r="G3243">
        <v>39.700000000000003</v>
      </c>
      <c r="H32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243" t="str">
        <f>IFERROR(INDEX(Raw_orders!G:G, MATCH(shipments[[#This Row],[order_id]],Raw_orders!A:A, 0)), "Unknown")</f>
        <v>Baltics</v>
      </c>
      <c r="J3243" t="str">
        <f>PROPER(shipments[[#This Row],[delivery_status]])</f>
        <v>Delivered</v>
      </c>
      <c r="K3243" t="s">
        <v>6922</v>
      </c>
    </row>
    <row r="3244" spans="1:11">
      <c r="A3244" t="s">
        <v>10180</v>
      </c>
      <c r="B3244" t="s">
        <v>3949</v>
      </c>
      <c r="C3244" t="s">
        <v>6940</v>
      </c>
      <c r="D3244" s="1">
        <v>45024</v>
      </c>
      <c r="E3244" s="1">
        <v>45029</v>
      </c>
      <c r="F3244" s="1"/>
      <c r="G3244">
        <v>40.08</v>
      </c>
      <c r="H32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244" t="str">
        <f>IFERROR(INDEX(Raw_orders!G:G, MATCH(shipments[[#This Row],[order_id]],Raw_orders!A:A, 0)), "Unknown")</f>
        <v>Nordics</v>
      </c>
      <c r="J3244" t="str">
        <f>PROPER(shipments[[#This Row],[delivery_status]])</f>
        <v>In Transit</v>
      </c>
      <c r="K3244" t="s">
        <v>6946</v>
      </c>
    </row>
    <row r="3245" spans="1:11">
      <c r="A3245" t="s">
        <v>10181</v>
      </c>
      <c r="B3245" t="s">
        <v>3950</v>
      </c>
      <c r="C3245" t="s">
        <v>6928</v>
      </c>
      <c r="D3245" s="1">
        <v>45150</v>
      </c>
      <c r="E3245" s="1">
        <v>45152</v>
      </c>
      <c r="F3245" s="1">
        <v>45155</v>
      </c>
      <c r="G3245">
        <v>23.15</v>
      </c>
      <c r="H32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45" t="str">
        <f>IFERROR(INDEX(Raw_orders!G:G, MATCH(shipments[[#This Row],[order_id]],Raw_orders!A:A, 0)), "Unknown")</f>
        <v>Central Europe</v>
      </c>
      <c r="J3245" t="str">
        <f>PROPER(shipments[[#This Row],[delivery_status]])</f>
        <v>Delivered</v>
      </c>
      <c r="K3245" t="s">
        <v>6929</v>
      </c>
    </row>
    <row r="3246" spans="1:11">
      <c r="A3246" t="s">
        <v>10182</v>
      </c>
      <c r="B3246" t="s">
        <v>3951</v>
      </c>
      <c r="C3246" t="s">
        <v>6935</v>
      </c>
      <c r="D3246" s="1">
        <v>45462</v>
      </c>
      <c r="E3246" s="1">
        <v>45472</v>
      </c>
      <c r="F3246" s="1">
        <v>45473</v>
      </c>
      <c r="G3246">
        <v>47.28</v>
      </c>
      <c r="H32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46" t="str">
        <f>IFERROR(INDEX(Raw_orders!G:G, MATCH(shipments[[#This Row],[order_id]],Raw_orders!A:A, 0)), "Unknown")</f>
        <v>Baltics</v>
      </c>
      <c r="J3246" t="str">
        <f>PROPER(shipments[[#This Row],[delivery_status]])</f>
        <v>Delivered</v>
      </c>
      <c r="K3246" t="s">
        <v>6922</v>
      </c>
    </row>
    <row r="3247" spans="1:11">
      <c r="A3247" t="s">
        <v>10183</v>
      </c>
      <c r="B3247" t="s">
        <v>3952</v>
      </c>
      <c r="C3247" t="s">
        <v>6940</v>
      </c>
      <c r="D3247" s="1">
        <v>45479</v>
      </c>
      <c r="E3247" s="1">
        <v>45482</v>
      </c>
      <c r="F3247" s="1">
        <v>45490</v>
      </c>
      <c r="G3247">
        <v>32.74</v>
      </c>
      <c r="H32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47" t="str">
        <f>IFERROR(INDEX(Raw_orders!G:G, MATCH(shipments[[#This Row],[order_id]],Raw_orders!A:A, 0)), "Unknown")</f>
        <v>Baltics</v>
      </c>
      <c r="J3247" t="str">
        <f>PROPER(shipments[[#This Row],[delivery_status]])</f>
        <v>Delivered</v>
      </c>
      <c r="K3247" t="s">
        <v>6922</v>
      </c>
    </row>
    <row r="3248" spans="1:11">
      <c r="A3248" t="s">
        <v>10184</v>
      </c>
      <c r="B3248" t="s">
        <v>3953</v>
      </c>
      <c r="C3248" t="s">
        <v>6921</v>
      </c>
      <c r="D3248" s="1">
        <v>45280</v>
      </c>
      <c r="E3248" s="1">
        <v>45290</v>
      </c>
      <c r="F3248" s="1">
        <v>45292</v>
      </c>
      <c r="G3248">
        <v>37.880000000000003</v>
      </c>
      <c r="H32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48" t="str">
        <f>IFERROR(INDEX(Raw_orders!G:G, MATCH(shipments[[#This Row],[order_id]],Raw_orders!A:A, 0)), "Unknown")</f>
        <v>Central Europe</v>
      </c>
      <c r="J3248" t="str">
        <f>PROPER(shipments[[#This Row],[delivery_status]])</f>
        <v>Delivered</v>
      </c>
      <c r="K3248" t="s">
        <v>6929</v>
      </c>
    </row>
    <row r="3249" spans="1:11">
      <c r="A3249" t="s">
        <v>10185</v>
      </c>
      <c r="B3249" t="s">
        <v>3954</v>
      </c>
      <c r="C3249" t="s">
        <v>6938</v>
      </c>
      <c r="D3249" s="1">
        <v>45378</v>
      </c>
      <c r="E3249" s="1">
        <v>45380</v>
      </c>
      <c r="F3249" s="1">
        <v>45388</v>
      </c>
      <c r="G3249">
        <v>15.07</v>
      </c>
      <c r="H32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49" t="str">
        <f>IFERROR(INDEX(Raw_orders!G:G, MATCH(shipments[[#This Row],[order_id]],Raw_orders!A:A, 0)), "Unknown")</f>
        <v>Central Europe</v>
      </c>
      <c r="J3249" t="str">
        <f>PROPER(shipments[[#This Row],[delivery_status]])</f>
        <v>Delivered</v>
      </c>
      <c r="K3249" t="s">
        <v>6922</v>
      </c>
    </row>
    <row r="3250" spans="1:11">
      <c r="A3250" t="s">
        <v>10186</v>
      </c>
      <c r="B3250" t="s">
        <v>3955</v>
      </c>
      <c r="C3250" t="s">
        <v>6925</v>
      </c>
      <c r="D3250" s="1">
        <v>45628</v>
      </c>
      <c r="E3250" s="1">
        <v>45638</v>
      </c>
      <c r="F3250" s="1">
        <v>45646</v>
      </c>
      <c r="G3250">
        <v>53.95</v>
      </c>
      <c r="H32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50" t="str">
        <f>IFERROR(INDEX(Raw_orders!G:G, MATCH(shipments[[#This Row],[order_id]],Raw_orders!A:A, 0)), "Unknown")</f>
        <v>Nordics</v>
      </c>
      <c r="J3250" t="str">
        <f>PROPER(shipments[[#This Row],[delivery_status]])</f>
        <v>Delivered</v>
      </c>
      <c r="K3250" t="s">
        <v>6926</v>
      </c>
    </row>
    <row r="3251" spans="1:11">
      <c r="A3251" t="s">
        <v>10187</v>
      </c>
      <c r="B3251" t="s">
        <v>3956</v>
      </c>
      <c r="C3251" t="s">
        <v>6956</v>
      </c>
      <c r="D3251" s="1">
        <v>45515</v>
      </c>
      <c r="E3251" s="1">
        <v>45517</v>
      </c>
      <c r="F3251" s="1"/>
      <c r="G3251">
        <v>10.52</v>
      </c>
      <c r="H32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251" t="str">
        <f>IFERROR(INDEX(Raw_orders!G:G, MATCH(shipments[[#This Row],[order_id]],Raw_orders!A:A, 0)), "Unknown")</f>
        <v>Nordics</v>
      </c>
      <c r="J3251" t="str">
        <f>PROPER(shipments[[#This Row],[delivery_status]])</f>
        <v>In Transit</v>
      </c>
      <c r="K3251" t="s">
        <v>6958</v>
      </c>
    </row>
    <row r="3252" spans="1:11">
      <c r="A3252" t="s">
        <v>10188</v>
      </c>
      <c r="B3252" t="s">
        <v>3957</v>
      </c>
      <c r="C3252" t="s">
        <v>6935</v>
      </c>
      <c r="D3252" s="1">
        <v>45167</v>
      </c>
      <c r="E3252" s="1">
        <v>45177</v>
      </c>
      <c r="F3252" s="1">
        <v>45177</v>
      </c>
      <c r="G3252">
        <v>16.61</v>
      </c>
      <c r="H32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252" t="str">
        <f>IFERROR(INDEX(Raw_orders!G:G, MATCH(shipments[[#This Row],[order_id]],Raw_orders!A:A, 0)), "Unknown")</f>
        <v>Central Europe</v>
      </c>
      <c r="J3252" t="str">
        <f>PROPER(shipments[[#This Row],[delivery_status]])</f>
        <v>Delivered</v>
      </c>
      <c r="K3252" t="s">
        <v>6922</v>
      </c>
    </row>
    <row r="3253" spans="1:11">
      <c r="A3253" t="s">
        <v>10189</v>
      </c>
      <c r="B3253" t="s">
        <v>3958</v>
      </c>
      <c r="C3253" t="s">
        <v>6931</v>
      </c>
      <c r="D3253" s="1">
        <v>45467</v>
      </c>
      <c r="E3253" s="1">
        <v>45477</v>
      </c>
      <c r="F3253" s="1"/>
      <c r="G3253">
        <v>30.28</v>
      </c>
      <c r="H32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253" t="str">
        <f>IFERROR(INDEX(Raw_orders!G:G, MATCH(shipments[[#This Row],[order_id]],Raw_orders!A:A, 0)), "Unknown")</f>
        <v>Central Europe</v>
      </c>
      <c r="J3253" t="str">
        <f>PROPER(shipments[[#This Row],[delivery_status]])</f>
        <v>In Transit</v>
      </c>
      <c r="K3253" t="s">
        <v>6958</v>
      </c>
    </row>
    <row r="3254" spans="1:11">
      <c r="A3254" t="s">
        <v>10190</v>
      </c>
      <c r="B3254" t="s">
        <v>3959</v>
      </c>
      <c r="C3254" t="s">
        <v>6925</v>
      </c>
      <c r="D3254" s="1">
        <v>45449</v>
      </c>
      <c r="E3254" s="1">
        <v>45452</v>
      </c>
      <c r="F3254" s="1">
        <v>45452</v>
      </c>
      <c r="G3254">
        <v>48.35</v>
      </c>
      <c r="H32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254" t="str">
        <f>IFERROR(INDEX(Raw_orders!G:G, MATCH(shipments[[#This Row],[order_id]],Raw_orders!A:A, 0)), "Unknown")</f>
        <v>Nordics</v>
      </c>
      <c r="J3254" t="str">
        <f>PROPER(shipments[[#This Row],[delivery_status]])</f>
        <v>Delivered</v>
      </c>
      <c r="K3254" t="s">
        <v>6922</v>
      </c>
    </row>
    <row r="3255" spans="1:11">
      <c r="A3255" t="s">
        <v>10191</v>
      </c>
      <c r="B3255" t="s">
        <v>3960</v>
      </c>
      <c r="C3255" t="s">
        <v>6940</v>
      </c>
      <c r="D3255" s="1">
        <v>45611</v>
      </c>
      <c r="E3255" s="1">
        <v>45613</v>
      </c>
      <c r="F3255" s="1">
        <v>45627</v>
      </c>
      <c r="G3255">
        <v>47.55</v>
      </c>
      <c r="H32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55" t="str">
        <f>IFERROR(INDEX(Raw_orders!G:G, MATCH(shipments[[#This Row],[order_id]],Raw_orders!A:A, 0)), "Unknown")</f>
        <v>Central Europe</v>
      </c>
      <c r="J3255" t="str">
        <f>PROPER(shipments[[#This Row],[delivery_status]])</f>
        <v>Delivered</v>
      </c>
      <c r="K3255" t="s">
        <v>6922</v>
      </c>
    </row>
    <row r="3256" spans="1:11">
      <c r="A3256" t="s">
        <v>10192</v>
      </c>
      <c r="B3256" t="s">
        <v>3961</v>
      </c>
      <c r="C3256" t="s">
        <v>6938</v>
      </c>
      <c r="D3256" s="1">
        <v>45090</v>
      </c>
      <c r="E3256" s="1">
        <v>45092</v>
      </c>
      <c r="F3256" s="1"/>
      <c r="G3256">
        <v>15.72</v>
      </c>
      <c r="H32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256" t="str">
        <f>IFERROR(INDEX(Raw_orders!G:G, MATCH(shipments[[#This Row],[order_id]],Raw_orders!A:A, 0)), "Unknown")</f>
        <v>Nordics</v>
      </c>
      <c r="J3256" t="str">
        <f>PROPER(shipments[[#This Row],[delivery_status]])</f>
        <v>Cancelled</v>
      </c>
      <c r="K3256" t="s">
        <v>6963</v>
      </c>
    </row>
    <row r="3257" spans="1:11">
      <c r="A3257" t="s">
        <v>10193</v>
      </c>
      <c r="B3257" t="s">
        <v>3962</v>
      </c>
      <c r="C3257" t="s">
        <v>6940</v>
      </c>
      <c r="D3257" s="1">
        <v>45237</v>
      </c>
      <c r="E3257" s="1">
        <v>45240</v>
      </c>
      <c r="F3257" s="1">
        <v>45254</v>
      </c>
      <c r="G3257">
        <v>42.95</v>
      </c>
      <c r="H32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57" t="str">
        <f>IFERROR(INDEX(Raw_orders!G:G, MATCH(shipments[[#This Row],[order_id]],Raw_orders!A:A, 0)), "Unknown")</f>
        <v>Nordics</v>
      </c>
      <c r="J3257" t="str">
        <f>PROPER(shipments[[#This Row],[delivery_status]])</f>
        <v>Delivered</v>
      </c>
      <c r="K3257" t="s">
        <v>6926</v>
      </c>
    </row>
    <row r="3258" spans="1:11">
      <c r="A3258" t="s">
        <v>10194</v>
      </c>
      <c r="B3258" t="s">
        <v>3963</v>
      </c>
      <c r="C3258" t="s">
        <v>6935</v>
      </c>
      <c r="D3258" s="1">
        <v>45446</v>
      </c>
      <c r="E3258" s="1">
        <v>45448</v>
      </c>
      <c r="F3258" s="1"/>
      <c r="G3258">
        <v>64.099999999999994</v>
      </c>
      <c r="H32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258" t="str">
        <f>IFERROR(INDEX(Raw_orders!G:G, MATCH(shipments[[#This Row],[order_id]],Raw_orders!A:A, 0)), "Unknown")</f>
        <v>Central Europe</v>
      </c>
      <c r="J3258" t="str">
        <f>PROPER(shipments[[#This Row],[delivery_status]])</f>
        <v>In Transit</v>
      </c>
      <c r="K3258" t="s">
        <v>6977</v>
      </c>
    </row>
    <row r="3259" spans="1:11">
      <c r="A3259" t="s">
        <v>10195</v>
      </c>
      <c r="B3259" t="s">
        <v>3964</v>
      </c>
      <c r="C3259" t="s">
        <v>6921</v>
      </c>
      <c r="D3259" s="1">
        <v>45170</v>
      </c>
      <c r="E3259" s="1">
        <v>45173</v>
      </c>
      <c r="F3259" s="1"/>
      <c r="G3259">
        <v>19.91</v>
      </c>
      <c r="H32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259" t="str">
        <f>IFERROR(INDEX(Raw_orders!G:G, MATCH(shipments[[#This Row],[order_id]],Raw_orders!A:A, 0)), "Unknown")</f>
        <v>Nordics</v>
      </c>
      <c r="J3259" t="str">
        <f>PROPER(shipments[[#This Row],[delivery_status]])</f>
        <v>Cancelled</v>
      </c>
      <c r="K3259" t="s">
        <v>6972</v>
      </c>
    </row>
    <row r="3260" spans="1:11">
      <c r="A3260" t="s">
        <v>10196</v>
      </c>
      <c r="B3260" t="s">
        <v>3964</v>
      </c>
      <c r="C3260" t="s">
        <v>6935</v>
      </c>
      <c r="D3260" s="1">
        <v>45173</v>
      </c>
      <c r="E3260" s="1">
        <v>45176</v>
      </c>
      <c r="F3260" s="1">
        <v>45178</v>
      </c>
      <c r="G3260">
        <v>52.75</v>
      </c>
      <c r="H32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60" t="str">
        <f>IFERROR(INDEX(Raw_orders!G:G, MATCH(shipments[[#This Row],[order_id]],Raw_orders!A:A, 0)), "Unknown")</f>
        <v>Nordics</v>
      </c>
      <c r="J3260" t="str">
        <f>PROPER(shipments[[#This Row],[delivery_status]])</f>
        <v>Delivered</v>
      </c>
      <c r="K3260" t="s">
        <v>6926</v>
      </c>
    </row>
    <row r="3261" spans="1:11">
      <c r="A3261" t="s">
        <v>10197</v>
      </c>
      <c r="B3261" t="s">
        <v>3965</v>
      </c>
      <c r="C3261" t="s">
        <v>6928</v>
      </c>
      <c r="D3261" s="1">
        <v>45181</v>
      </c>
      <c r="E3261" s="1">
        <v>45184</v>
      </c>
      <c r="F3261" s="1">
        <v>45186</v>
      </c>
      <c r="G3261">
        <v>42.14</v>
      </c>
      <c r="H32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61" t="str">
        <f>IFERROR(INDEX(Raw_orders!G:G, MATCH(shipments[[#This Row],[order_id]],Raw_orders!A:A, 0)), "Unknown")</f>
        <v>Central Europe</v>
      </c>
      <c r="J3261" t="str">
        <f>PROPER(shipments[[#This Row],[delivery_status]])</f>
        <v>Delivered</v>
      </c>
      <c r="K3261" t="s">
        <v>6929</v>
      </c>
    </row>
    <row r="3262" spans="1:11">
      <c r="A3262" t="s">
        <v>10198</v>
      </c>
      <c r="B3262" t="s">
        <v>3966</v>
      </c>
      <c r="C3262" t="s">
        <v>6925</v>
      </c>
      <c r="D3262" s="1">
        <v>45629</v>
      </c>
      <c r="E3262" s="1">
        <v>45631</v>
      </c>
      <c r="F3262" s="1">
        <v>45639</v>
      </c>
      <c r="G3262">
        <v>61.36</v>
      </c>
      <c r="H32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62" t="str">
        <f>IFERROR(INDEX(Raw_orders!G:G, MATCH(shipments[[#This Row],[order_id]],Raw_orders!A:A, 0)), "Unknown")</f>
        <v>Nordics</v>
      </c>
      <c r="J3262" t="str">
        <f>PROPER(shipments[[#This Row],[delivery_status]])</f>
        <v>Delivered</v>
      </c>
      <c r="K3262" t="s">
        <v>6926</v>
      </c>
    </row>
    <row r="3263" spans="1:11">
      <c r="A3263" t="s">
        <v>10199</v>
      </c>
      <c r="B3263" t="s">
        <v>3967</v>
      </c>
      <c r="C3263" t="s">
        <v>6938</v>
      </c>
      <c r="D3263" s="1">
        <v>45334</v>
      </c>
      <c r="E3263" s="1">
        <v>45336</v>
      </c>
      <c r="F3263" s="1"/>
      <c r="G3263">
        <v>22.19</v>
      </c>
      <c r="H32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263" t="str">
        <f>IFERROR(INDEX(Raw_orders!G:G, MATCH(shipments[[#This Row],[order_id]],Raw_orders!A:A, 0)), "Unknown")</f>
        <v>Baltics</v>
      </c>
      <c r="J3263" t="str">
        <f>PROPER(shipments[[#This Row],[delivery_status]])</f>
        <v>Cancelled</v>
      </c>
      <c r="K3263" t="s">
        <v>6963</v>
      </c>
    </row>
    <row r="3264" spans="1:11">
      <c r="A3264" t="s">
        <v>10200</v>
      </c>
      <c r="B3264" t="s">
        <v>3968</v>
      </c>
      <c r="C3264" t="s">
        <v>6931</v>
      </c>
      <c r="D3264" s="1">
        <v>45242</v>
      </c>
      <c r="E3264" s="1">
        <v>45252</v>
      </c>
      <c r="F3264" s="1">
        <v>45255</v>
      </c>
      <c r="G3264">
        <v>14.76</v>
      </c>
      <c r="H32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64" t="str">
        <f>IFERROR(INDEX(Raw_orders!G:G, MATCH(shipments[[#This Row],[order_id]],Raw_orders!A:A, 0)), "Unknown")</f>
        <v>Nordics</v>
      </c>
      <c r="J3264" t="str">
        <f>PROPER(shipments[[#This Row],[delivery_status]])</f>
        <v>Delivered</v>
      </c>
      <c r="K3264" t="s">
        <v>6929</v>
      </c>
    </row>
    <row r="3265" spans="1:11">
      <c r="A3265" t="s">
        <v>10201</v>
      </c>
      <c r="B3265" t="s">
        <v>3969</v>
      </c>
      <c r="C3265" t="s">
        <v>6931</v>
      </c>
      <c r="D3265" s="1">
        <v>44932</v>
      </c>
      <c r="E3265" s="1">
        <v>44937</v>
      </c>
      <c r="F3265" s="1">
        <v>44942</v>
      </c>
      <c r="G3265">
        <v>45.76</v>
      </c>
      <c r="H32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65" t="str">
        <f>IFERROR(INDEX(Raw_orders!G:G, MATCH(shipments[[#This Row],[order_id]],Raw_orders!A:A, 0)), "Unknown")</f>
        <v>Central Europe</v>
      </c>
      <c r="J3265" t="str">
        <f>PROPER(shipments[[#This Row],[delivery_status]])</f>
        <v>Delivered</v>
      </c>
      <c r="K3265" t="s">
        <v>6922</v>
      </c>
    </row>
    <row r="3266" spans="1:11">
      <c r="A3266" t="s">
        <v>10202</v>
      </c>
      <c r="B3266" t="s">
        <v>3970</v>
      </c>
      <c r="C3266" t="s">
        <v>6940</v>
      </c>
      <c r="D3266" s="1">
        <v>45549</v>
      </c>
      <c r="E3266" s="1">
        <v>45552</v>
      </c>
      <c r="F3266" s="1">
        <v>45552</v>
      </c>
      <c r="G3266">
        <v>51.56</v>
      </c>
      <c r="H32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266" t="str">
        <f>IFERROR(INDEX(Raw_orders!G:G, MATCH(shipments[[#This Row],[order_id]],Raw_orders!A:A, 0)), "Unknown")</f>
        <v>Nordics</v>
      </c>
      <c r="J3266" t="str">
        <f>PROPER(shipments[[#This Row],[delivery_status]])</f>
        <v>Delivered</v>
      </c>
      <c r="K3266" t="s">
        <v>6926</v>
      </c>
    </row>
    <row r="3267" spans="1:11">
      <c r="A3267" t="s">
        <v>10203</v>
      </c>
      <c r="B3267" t="s">
        <v>3970</v>
      </c>
      <c r="C3267" t="s">
        <v>6956</v>
      </c>
      <c r="D3267" s="1">
        <v>45546</v>
      </c>
      <c r="E3267" s="1">
        <v>45549</v>
      </c>
      <c r="F3267" s="1">
        <v>45548</v>
      </c>
      <c r="G3267">
        <v>19.27</v>
      </c>
      <c r="H32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267" t="str">
        <f>IFERROR(INDEX(Raw_orders!G:G, MATCH(shipments[[#This Row],[order_id]],Raw_orders!A:A, 0)), "Unknown")</f>
        <v>Nordics</v>
      </c>
      <c r="J3267" t="str">
        <f>PROPER(shipments[[#This Row],[delivery_status]])</f>
        <v>Delivered</v>
      </c>
      <c r="K3267" t="s">
        <v>6929</v>
      </c>
    </row>
    <row r="3268" spans="1:11">
      <c r="A3268" t="s">
        <v>10204</v>
      </c>
      <c r="B3268" t="s">
        <v>3971</v>
      </c>
      <c r="C3268" t="s">
        <v>6938</v>
      </c>
      <c r="D3268" s="1">
        <v>45151</v>
      </c>
      <c r="E3268" s="1">
        <v>45158</v>
      </c>
      <c r="F3268" s="1"/>
      <c r="G3268">
        <v>31.59</v>
      </c>
      <c r="H32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268" t="str">
        <f>IFERROR(INDEX(Raw_orders!G:G, MATCH(shipments[[#This Row],[order_id]],Raw_orders!A:A, 0)), "Unknown")</f>
        <v>Central Europe</v>
      </c>
      <c r="J3268" t="str">
        <f>PROPER(shipments[[#This Row],[delivery_status]])</f>
        <v>In Transit</v>
      </c>
      <c r="K3268" t="s">
        <v>6977</v>
      </c>
    </row>
    <row r="3269" spans="1:11">
      <c r="A3269" t="s">
        <v>10205</v>
      </c>
      <c r="B3269" t="s">
        <v>3972</v>
      </c>
      <c r="C3269" t="s">
        <v>6940</v>
      </c>
      <c r="D3269" s="1">
        <v>45118</v>
      </c>
      <c r="E3269" s="1">
        <v>45123</v>
      </c>
      <c r="F3269" s="1">
        <v>45126</v>
      </c>
      <c r="G3269">
        <v>38.6</v>
      </c>
      <c r="H32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69" t="str">
        <f>IFERROR(INDEX(Raw_orders!G:G, MATCH(shipments[[#This Row],[order_id]],Raw_orders!A:A, 0)), "Unknown")</f>
        <v>Central Europe</v>
      </c>
      <c r="J3269" t="str">
        <f>PROPER(shipments[[#This Row],[delivery_status]])</f>
        <v>Delivered</v>
      </c>
      <c r="K3269" t="s">
        <v>6922</v>
      </c>
    </row>
    <row r="3270" spans="1:11">
      <c r="A3270" t="s">
        <v>10206</v>
      </c>
      <c r="B3270" t="s">
        <v>3973</v>
      </c>
      <c r="C3270" t="s">
        <v>6921</v>
      </c>
      <c r="D3270" s="1">
        <v>45502</v>
      </c>
      <c r="E3270" s="1">
        <v>45512</v>
      </c>
      <c r="F3270" s="1">
        <v>45514</v>
      </c>
      <c r="G3270">
        <v>38.4</v>
      </c>
      <c r="H32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70" t="str">
        <f>IFERROR(INDEX(Raw_orders!G:G, MATCH(shipments[[#This Row],[order_id]],Raw_orders!A:A, 0)), "Unknown")</f>
        <v>Nordics</v>
      </c>
      <c r="J3270" t="str">
        <f>PROPER(shipments[[#This Row],[delivery_status]])</f>
        <v>Delivered</v>
      </c>
      <c r="K3270" t="s">
        <v>6926</v>
      </c>
    </row>
    <row r="3271" spans="1:11">
      <c r="A3271" t="s">
        <v>10207</v>
      </c>
      <c r="B3271" t="s">
        <v>3974</v>
      </c>
      <c r="C3271" t="s">
        <v>6956</v>
      </c>
      <c r="D3271" s="1">
        <v>45031</v>
      </c>
      <c r="E3271" s="1">
        <v>45038</v>
      </c>
      <c r="F3271" s="1">
        <v>45039</v>
      </c>
      <c r="G3271">
        <v>61.11</v>
      </c>
      <c r="H32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71" t="str">
        <f>IFERROR(INDEX(Raw_orders!G:G, MATCH(shipments[[#This Row],[order_id]],Raw_orders!A:A, 0)), "Unknown")</f>
        <v>Baltics</v>
      </c>
      <c r="J3271" t="str">
        <f>PROPER(shipments[[#This Row],[delivery_status]])</f>
        <v>Delivered</v>
      </c>
      <c r="K3271" t="s">
        <v>6929</v>
      </c>
    </row>
    <row r="3272" spans="1:11">
      <c r="A3272" t="s">
        <v>10208</v>
      </c>
      <c r="B3272" t="s">
        <v>3975</v>
      </c>
      <c r="C3272" t="s">
        <v>6956</v>
      </c>
      <c r="D3272" s="1">
        <v>45070</v>
      </c>
      <c r="E3272" s="1">
        <v>45080</v>
      </c>
      <c r="F3272" s="1">
        <v>45083</v>
      </c>
      <c r="G3272">
        <v>45.07</v>
      </c>
      <c r="H32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72" t="str">
        <f>IFERROR(INDEX(Raw_orders!G:G, MATCH(shipments[[#This Row],[order_id]],Raw_orders!A:A, 0)), "Unknown")</f>
        <v>Central Europe</v>
      </c>
      <c r="J3272" t="str">
        <f>PROPER(shipments[[#This Row],[delivery_status]])</f>
        <v>Delivered</v>
      </c>
      <c r="K3272" t="s">
        <v>6922</v>
      </c>
    </row>
    <row r="3273" spans="1:11">
      <c r="A3273" t="s">
        <v>10209</v>
      </c>
      <c r="B3273" t="s">
        <v>3976</v>
      </c>
      <c r="C3273" t="s">
        <v>6956</v>
      </c>
      <c r="D3273" s="1">
        <v>45325</v>
      </c>
      <c r="E3273" s="1">
        <v>45328</v>
      </c>
      <c r="F3273" s="1">
        <v>45332</v>
      </c>
      <c r="G3273">
        <v>18.07</v>
      </c>
      <c r="H32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73" t="str">
        <f>IFERROR(INDEX(Raw_orders!G:G, MATCH(shipments[[#This Row],[order_id]],Raw_orders!A:A, 0)), "Unknown")</f>
        <v>Baltics</v>
      </c>
      <c r="J3273" t="str">
        <f>PROPER(shipments[[#This Row],[delivery_status]])</f>
        <v>Delivered</v>
      </c>
      <c r="K3273" t="s">
        <v>6929</v>
      </c>
    </row>
    <row r="3274" spans="1:11">
      <c r="A3274" t="s">
        <v>10210</v>
      </c>
      <c r="B3274" t="s">
        <v>3977</v>
      </c>
      <c r="C3274" t="s">
        <v>6931</v>
      </c>
      <c r="D3274" s="1">
        <v>45508</v>
      </c>
      <c r="E3274" s="1">
        <v>45513</v>
      </c>
      <c r="F3274" s="1">
        <v>45513</v>
      </c>
      <c r="G3274">
        <v>16.93</v>
      </c>
      <c r="H32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274" t="str">
        <f>IFERROR(INDEX(Raw_orders!G:G, MATCH(shipments[[#This Row],[order_id]],Raw_orders!A:A, 0)), "Unknown")</f>
        <v>Baltics</v>
      </c>
      <c r="J3274" t="str">
        <f>PROPER(shipments[[#This Row],[delivery_status]])</f>
        <v>Delivered</v>
      </c>
      <c r="K3274" t="s">
        <v>6929</v>
      </c>
    </row>
    <row r="3275" spans="1:11">
      <c r="A3275" t="s">
        <v>10211</v>
      </c>
      <c r="B3275" t="s">
        <v>3978</v>
      </c>
      <c r="C3275" t="s">
        <v>6925</v>
      </c>
      <c r="D3275" s="1">
        <v>44985</v>
      </c>
      <c r="E3275" s="1">
        <v>44988</v>
      </c>
      <c r="F3275" s="1"/>
      <c r="G3275">
        <v>53.72</v>
      </c>
      <c r="H32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275" t="str">
        <f>IFERROR(INDEX(Raw_orders!G:G, MATCH(shipments[[#This Row],[order_id]],Raw_orders!A:A, 0)), "Unknown")</f>
        <v>Baltics</v>
      </c>
      <c r="J3275" t="str">
        <f>PROPER(shipments[[#This Row],[delivery_status]])</f>
        <v>Cancelled</v>
      </c>
      <c r="K3275" t="s">
        <v>6963</v>
      </c>
    </row>
    <row r="3276" spans="1:11">
      <c r="A3276" t="s">
        <v>10212</v>
      </c>
      <c r="B3276" t="s">
        <v>3979</v>
      </c>
      <c r="C3276" t="s">
        <v>6931</v>
      </c>
      <c r="D3276" s="1">
        <v>45377</v>
      </c>
      <c r="E3276" s="1">
        <v>45382</v>
      </c>
      <c r="F3276" s="1">
        <v>45382</v>
      </c>
      <c r="G3276">
        <v>33.01</v>
      </c>
      <c r="H32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276" t="str">
        <f>IFERROR(INDEX(Raw_orders!G:G, MATCH(shipments[[#This Row],[order_id]],Raw_orders!A:A, 0)), "Unknown")</f>
        <v>Baltics</v>
      </c>
      <c r="J3276" t="str">
        <f>PROPER(shipments[[#This Row],[delivery_status]])</f>
        <v>Delivered</v>
      </c>
      <c r="K3276" t="s">
        <v>6929</v>
      </c>
    </row>
    <row r="3277" spans="1:11">
      <c r="A3277" t="s">
        <v>10213</v>
      </c>
      <c r="B3277" t="s">
        <v>3980</v>
      </c>
      <c r="C3277" t="s">
        <v>6921</v>
      </c>
      <c r="D3277" s="1">
        <v>45414</v>
      </c>
      <c r="E3277" s="1">
        <v>45416</v>
      </c>
      <c r="F3277" s="1">
        <v>45416</v>
      </c>
      <c r="G3277">
        <v>52.23</v>
      </c>
      <c r="H32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277" t="str">
        <f>IFERROR(INDEX(Raw_orders!G:G, MATCH(shipments[[#This Row],[order_id]],Raw_orders!A:A, 0)), "Unknown")</f>
        <v>Central Europe</v>
      </c>
      <c r="J3277" t="str">
        <f>PROPER(shipments[[#This Row],[delivery_status]])</f>
        <v>Delivered</v>
      </c>
      <c r="K3277" t="s">
        <v>6922</v>
      </c>
    </row>
    <row r="3278" spans="1:11">
      <c r="A3278" t="s">
        <v>10214</v>
      </c>
      <c r="B3278" t="s">
        <v>3981</v>
      </c>
      <c r="C3278" t="s">
        <v>6931</v>
      </c>
      <c r="D3278" s="1">
        <v>45443</v>
      </c>
      <c r="E3278" s="1">
        <v>45448</v>
      </c>
      <c r="F3278" s="1">
        <v>45451</v>
      </c>
      <c r="G3278">
        <v>38.94</v>
      </c>
      <c r="H32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78" t="str">
        <f>IFERROR(INDEX(Raw_orders!G:G, MATCH(shipments[[#This Row],[order_id]],Raw_orders!A:A, 0)), "Unknown")</f>
        <v>Baltics</v>
      </c>
      <c r="J3278" t="str">
        <f>PROPER(shipments[[#This Row],[delivery_status]])</f>
        <v>Delivered</v>
      </c>
      <c r="K3278" t="s">
        <v>6922</v>
      </c>
    </row>
    <row r="3279" spans="1:11">
      <c r="A3279" t="s">
        <v>10215</v>
      </c>
      <c r="B3279" t="s">
        <v>3982</v>
      </c>
      <c r="C3279" t="s">
        <v>6938</v>
      </c>
      <c r="D3279" s="1">
        <v>45119</v>
      </c>
      <c r="E3279" s="1">
        <v>45126</v>
      </c>
      <c r="F3279" s="1">
        <v>45139</v>
      </c>
      <c r="G3279">
        <v>37.71</v>
      </c>
      <c r="H32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79" t="str">
        <f>IFERROR(INDEX(Raw_orders!G:G, MATCH(shipments[[#This Row],[order_id]],Raw_orders!A:A, 0)), "Unknown")</f>
        <v>Baltics</v>
      </c>
      <c r="J3279" t="str">
        <f>PROPER(shipments[[#This Row],[delivery_status]])</f>
        <v>Delivered</v>
      </c>
      <c r="K3279" t="s">
        <v>6922</v>
      </c>
    </row>
    <row r="3280" spans="1:11">
      <c r="A3280" t="s">
        <v>10216</v>
      </c>
      <c r="B3280" t="s">
        <v>3983</v>
      </c>
      <c r="C3280" t="s">
        <v>6940</v>
      </c>
      <c r="D3280" s="1">
        <v>45067</v>
      </c>
      <c r="E3280" s="1">
        <v>45070</v>
      </c>
      <c r="F3280" s="1">
        <v>45082</v>
      </c>
      <c r="G3280">
        <v>21.22</v>
      </c>
      <c r="H32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80" t="str">
        <f>IFERROR(INDEX(Raw_orders!G:G, MATCH(shipments[[#This Row],[order_id]],Raw_orders!A:A, 0)), "Unknown")</f>
        <v>Central Europe</v>
      </c>
      <c r="J3280" t="str">
        <f>PROPER(shipments[[#This Row],[delivery_status]])</f>
        <v>Delivered</v>
      </c>
      <c r="K3280" t="s">
        <v>6922</v>
      </c>
    </row>
    <row r="3281" spans="1:11">
      <c r="A3281" t="s">
        <v>10217</v>
      </c>
      <c r="B3281" t="s">
        <v>3984</v>
      </c>
      <c r="C3281" t="s">
        <v>6956</v>
      </c>
      <c r="D3281" s="1">
        <v>45126</v>
      </c>
      <c r="E3281" s="1">
        <v>45128</v>
      </c>
      <c r="F3281" s="1">
        <v>45129</v>
      </c>
      <c r="G3281">
        <v>46.99</v>
      </c>
      <c r="H32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81" t="str">
        <f>IFERROR(INDEX(Raw_orders!G:G, MATCH(shipments[[#This Row],[order_id]],Raw_orders!A:A, 0)), "Unknown")</f>
        <v>Baltics</v>
      </c>
      <c r="J3281" t="str">
        <f>PROPER(shipments[[#This Row],[delivery_status]])</f>
        <v>Delivered</v>
      </c>
      <c r="K3281" t="s">
        <v>6926</v>
      </c>
    </row>
    <row r="3282" spans="1:11">
      <c r="A3282" t="s">
        <v>10218</v>
      </c>
      <c r="B3282" t="s">
        <v>3985</v>
      </c>
      <c r="C3282" t="s">
        <v>6938</v>
      </c>
      <c r="D3282" s="1">
        <v>45379</v>
      </c>
      <c r="E3282" s="1">
        <v>45384</v>
      </c>
      <c r="F3282" s="1"/>
      <c r="G3282">
        <v>40.21</v>
      </c>
      <c r="H32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282" t="str">
        <f>IFERROR(INDEX(Raw_orders!G:G, MATCH(shipments[[#This Row],[order_id]],Raw_orders!A:A, 0)), "Unknown")</f>
        <v>Central Europe</v>
      </c>
      <c r="J3282" t="str">
        <f>PROPER(shipments[[#This Row],[delivery_status]])</f>
        <v>In Transit</v>
      </c>
      <c r="K3282" t="s">
        <v>6946</v>
      </c>
    </row>
    <row r="3283" spans="1:11">
      <c r="A3283" t="s">
        <v>10219</v>
      </c>
      <c r="B3283" t="s">
        <v>3986</v>
      </c>
      <c r="C3283" t="s">
        <v>6956</v>
      </c>
      <c r="D3283" s="1">
        <v>45409</v>
      </c>
      <c r="E3283" s="1">
        <v>45411</v>
      </c>
      <c r="F3283" s="1">
        <v>45413</v>
      </c>
      <c r="G3283">
        <v>46.57</v>
      </c>
      <c r="H32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83" t="str">
        <f>IFERROR(INDEX(Raw_orders!G:G, MATCH(shipments[[#This Row],[order_id]],Raw_orders!A:A, 0)), "Unknown")</f>
        <v>Nordics</v>
      </c>
      <c r="J3283" t="str">
        <f>PROPER(shipments[[#This Row],[delivery_status]])</f>
        <v>Delivered</v>
      </c>
      <c r="K3283" t="s">
        <v>6929</v>
      </c>
    </row>
    <row r="3284" spans="1:11">
      <c r="A3284" t="s">
        <v>10220</v>
      </c>
      <c r="B3284" t="s">
        <v>3986</v>
      </c>
      <c r="C3284" t="s">
        <v>6940</v>
      </c>
      <c r="D3284" s="1">
        <v>45410</v>
      </c>
      <c r="E3284" s="1">
        <v>45417</v>
      </c>
      <c r="F3284" s="1">
        <v>45418</v>
      </c>
      <c r="G3284">
        <v>61.69</v>
      </c>
      <c r="H32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84" t="str">
        <f>IFERROR(INDEX(Raw_orders!G:G, MATCH(shipments[[#This Row],[order_id]],Raw_orders!A:A, 0)), "Unknown")</f>
        <v>Nordics</v>
      </c>
      <c r="J3284" t="str">
        <f>PROPER(shipments[[#This Row],[delivery_status]])</f>
        <v>Delivered</v>
      </c>
      <c r="K3284" t="s">
        <v>6929</v>
      </c>
    </row>
    <row r="3285" spans="1:11">
      <c r="A3285" t="s">
        <v>10221</v>
      </c>
      <c r="B3285" t="s">
        <v>3987</v>
      </c>
      <c r="C3285" t="s">
        <v>6940</v>
      </c>
      <c r="D3285" s="1">
        <v>45057</v>
      </c>
      <c r="E3285" s="1">
        <v>45060</v>
      </c>
      <c r="F3285" s="1">
        <v>45062</v>
      </c>
      <c r="G3285">
        <v>16.559999999999999</v>
      </c>
      <c r="H32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85" t="str">
        <f>IFERROR(INDEX(Raw_orders!G:G, MATCH(shipments[[#This Row],[order_id]],Raw_orders!A:A, 0)), "Unknown")</f>
        <v>Central Europe</v>
      </c>
      <c r="J3285" t="str">
        <f>PROPER(shipments[[#This Row],[delivery_status]])</f>
        <v>Delivered</v>
      </c>
      <c r="K3285" t="s">
        <v>6922</v>
      </c>
    </row>
    <row r="3286" spans="1:11">
      <c r="A3286" t="s">
        <v>10222</v>
      </c>
      <c r="B3286" t="s">
        <v>3988</v>
      </c>
      <c r="C3286" t="s">
        <v>6931</v>
      </c>
      <c r="D3286" s="1">
        <v>45486</v>
      </c>
      <c r="E3286" s="1">
        <v>45488</v>
      </c>
      <c r="F3286" s="1">
        <v>45488</v>
      </c>
      <c r="G3286">
        <v>61.94</v>
      </c>
      <c r="H32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286" t="str">
        <f>IFERROR(INDEX(Raw_orders!G:G, MATCH(shipments[[#This Row],[order_id]],Raw_orders!A:A, 0)), "Unknown")</f>
        <v>Nordics</v>
      </c>
      <c r="J3286" t="str">
        <f>PROPER(shipments[[#This Row],[delivery_status]])</f>
        <v>Delivered</v>
      </c>
      <c r="K3286" t="s">
        <v>6929</v>
      </c>
    </row>
    <row r="3287" spans="1:11">
      <c r="A3287" t="s">
        <v>10223</v>
      </c>
      <c r="B3287" t="s">
        <v>3989</v>
      </c>
      <c r="C3287" t="s">
        <v>6935</v>
      </c>
      <c r="D3287" s="1">
        <v>45203</v>
      </c>
      <c r="E3287" s="1">
        <v>45208</v>
      </c>
      <c r="F3287" s="1"/>
      <c r="G3287">
        <v>39.83</v>
      </c>
      <c r="H32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287" t="str">
        <f>IFERROR(INDEX(Raw_orders!G:G, MATCH(shipments[[#This Row],[order_id]],Raw_orders!A:A, 0)), "Unknown")</f>
        <v>Baltics</v>
      </c>
      <c r="J3287" t="str">
        <f>PROPER(shipments[[#This Row],[delivery_status]])</f>
        <v>In Transit</v>
      </c>
      <c r="K3287" t="s">
        <v>6958</v>
      </c>
    </row>
    <row r="3288" spans="1:11">
      <c r="A3288" t="s">
        <v>10224</v>
      </c>
      <c r="B3288" t="s">
        <v>3990</v>
      </c>
      <c r="C3288" t="s">
        <v>6949</v>
      </c>
      <c r="D3288" s="1">
        <v>45476</v>
      </c>
      <c r="E3288" s="1">
        <v>45486</v>
      </c>
      <c r="F3288" s="1"/>
      <c r="G3288">
        <v>16.63</v>
      </c>
      <c r="H32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288" t="str">
        <f>IFERROR(INDEX(Raw_orders!G:G, MATCH(shipments[[#This Row],[order_id]],Raw_orders!A:A, 0)), "Unknown")</f>
        <v>Nordics</v>
      </c>
      <c r="J3288" t="str">
        <f>PROPER(shipments[[#This Row],[delivery_status]])</f>
        <v>In Transit</v>
      </c>
      <c r="K3288" t="s">
        <v>6977</v>
      </c>
    </row>
    <row r="3289" spans="1:11">
      <c r="A3289" t="s">
        <v>10225</v>
      </c>
      <c r="B3289" t="s">
        <v>3991</v>
      </c>
      <c r="C3289" t="s">
        <v>6921</v>
      </c>
      <c r="D3289" s="1">
        <v>45255</v>
      </c>
      <c r="E3289" s="1">
        <v>45265</v>
      </c>
      <c r="F3289" s="1">
        <v>45268</v>
      </c>
      <c r="G3289">
        <v>51.54</v>
      </c>
      <c r="H32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89" t="str">
        <f>IFERROR(INDEX(Raw_orders!G:G, MATCH(shipments[[#This Row],[order_id]],Raw_orders!A:A, 0)), "Unknown")</f>
        <v>Central Europe</v>
      </c>
      <c r="J3289" t="str">
        <f>PROPER(shipments[[#This Row],[delivery_status]])</f>
        <v>Delivered</v>
      </c>
      <c r="K3289" t="s">
        <v>6926</v>
      </c>
    </row>
    <row r="3290" spans="1:11">
      <c r="A3290" t="s">
        <v>10226</v>
      </c>
      <c r="B3290" t="s">
        <v>3992</v>
      </c>
      <c r="C3290" t="s">
        <v>6931</v>
      </c>
      <c r="D3290" s="1">
        <v>45328</v>
      </c>
      <c r="E3290" s="1">
        <v>45335</v>
      </c>
      <c r="F3290" s="1">
        <v>45334</v>
      </c>
      <c r="G3290">
        <v>53.81</v>
      </c>
      <c r="H32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290" t="str">
        <f>IFERROR(INDEX(Raw_orders!G:G, MATCH(shipments[[#This Row],[order_id]],Raw_orders!A:A, 0)), "Unknown")</f>
        <v>Nordics</v>
      </c>
      <c r="J3290" t="str">
        <f>PROPER(shipments[[#This Row],[delivery_status]])</f>
        <v>Delivered</v>
      </c>
      <c r="K3290" t="s">
        <v>6929</v>
      </c>
    </row>
    <row r="3291" spans="1:11">
      <c r="A3291" t="s">
        <v>10227</v>
      </c>
      <c r="B3291" t="s">
        <v>3993</v>
      </c>
      <c r="C3291" t="s">
        <v>6940</v>
      </c>
      <c r="D3291" s="1">
        <v>45559</v>
      </c>
      <c r="E3291" s="1">
        <v>45562</v>
      </c>
      <c r="F3291" s="1">
        <v>45563</v>
      </c>
      <c r="G3291">
        <v>48.54</v>
      </c>
      <c r="H32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91" t="str">
        <f>IFERROR(INDEX(Raw_orders!G:G, MATCH(shipments[[#This Row],[order_id]],Raw_orders!A:A, 0)), "Unknown")</f>
        <v>Central Europe</v>
      </c>
      <c r="J3291" t="str">
        <f>PROPER(shipments[[#This Row],[delivery_status]])</f>
        <v>Delivered</v>
      </c>
      <c r="K3291" t="s">
        <v>6922</v>
      </c>
    </row>
    <row r="3292" spans="1:11">
      <c r="A3292" t="s">
        <v>10228</v>
      </c>
      <c r="B3292" t="s">
        <v>3994</v>
      </c>
      <c r="C3292" t="s">
        <v>6938</v>
      </c>
      <c r="D3292" s="1">
        <v>44951</v>
      </c>
      <c r="E3292" s="1">
        <v>44954</v>
      </c>
      <c r="F3292" s="1">
        <v>44955</v>
      </c>
      <c r="G3292">
        <v>60.81</v>
      </c>
      <c r="H32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92" t="str">
        <f>IFERROR(INDEX(Raw_orders!G:G, MATCH(shipments[[#This Row],[order_id]],Raw_orders!A:A, 0)), "Unknown")</f>
        <v>Baltics</v>
      </c>
      <c r="J3292" t="str">
        <f>PROPER(shipments[[#This Row],[delivery_status]])</f>
        <v>Delivered</v>
      </c>
      <c r="K3292" t="s">
        <v>6926</v>
      </c>
    </row>
    <row r="3293" spans="1:11">
      <c r="A3293" t="s">
        <v>10229</v>
      </c>
      <c r="B3293" t="s">
        <v>3995</v>
      </c>
      <c r="C3293" t="s">
        <v>6938</v>
      </c>
      <c r="D3293" s="1">
        <v>45337</v>
      </c>
      <c r="E3293" s="1">
        <v>45347</v>
      </c>
      <c r="F3293" s="1">
        <v>45346</v>
      </c>
      <c r="G3293">
        <v>39.99</v>
      </c>
      <c r="H32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293" t="str">
        <f>IFERROR(INDEX(Raw_orders!G:G, MATCH(shipments[[#This Row],[order_id]],Raw_orders!A:A, 0)), "Unknown")</f>
        <v>Baltics</v>
      </c>
      <c r="J3293" t="str">
        <f>PROPER(shipments[[#This Row],[delivery_status]])</f>
        <v>Delivered</v>
      </c>
      <c r="K3293" t="s">
        <v>6929</v>
      </c>
    </row>
    <row r="3294" spans="1:11">
      <c r="A3294" t="s">
        <v>10230</v>
      </c>
      <c r="B3294" t="s">
        <v>3996</v>
      </c>
      <c r="C3294" t="s">
        <v>6925</v>
      </c>
      <c r="D3294" s="1">
        <v>45516</v>
      </c>
      <c r="E3294" s="1">
        <v>45518</v>
      </c>
      <c r="F3294" s="1"/>
      <c r="G3294">
        <v>23.92</v>
      </c>
      <c r="H32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294" t="str">
        <f>IFERROR(INDEX(Raw_orders!G:G, MATCH(shipments[[#This Row],[order_id]],Raw_orders!A:A, 0)), "Unknown")</f>
        <v>Nordics</v>
      </c>
      <c r="J3294" t="str">
        <f>PROPER(shipments[[#This Row],[delivery_status]])</f>
        <v>Cancelled</v>
      </c>
      <c r="K3294" t="s">
        <v>6963</v>
      </c>
    </row>
    <row r="3295" spans="1:11">
      <c r="A3295" t="s">
        <v>10231</v>
      </c>
      <c r="B3295" t="s">
        <v>3997</v>
      </c>
      <c r="C3295" t="s">
        <v>6931</v>
      </c>
      <c r="D3295" s="1">
        <v>45529</v>
      </c>
      <c r="E3295" s="1">
        <v>45536</v>
      </c>
      <c r="F3295" s="1">
        <v>45537</v>
      </c>
      <c r="G3295">
        <v>60.19</v>
      </c>
      <c r="H32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95" t="str">
        <f>IFERROR(INDEX(Raw_orders!G:G, MATCH(shipments[[#This Row],[order_id]],Raw_orders!A:A, 0)), "Unknown")</f>
        <v>Nordics</v>
      </c>
      <c r="J3295" t="str">
        <f>PROPER(shipments[[#This Row],[delivery_status]])</f>
        <v>Delivered</v>
      </c>
      <c r="K3295" t="s">
        <v>6926</v>
      </c>
    </row>
    <row r="3296" spans="1:11">
      <c r="A3296" t="s">
        <v>10232</v>
      </c>
      <c r="B3296" t="s">
        <v>3998</v>
      </c>
      <c r="C3296" t="s">
        <v>6938</v>
      </c>
      <c r="D3296" s="1">
        <v>45077</v>
      </c>
      <c r="E3296" s="1">
        <v>45079</v>
      </c>
      <c r="F3296" s="1">
        <v>45079</v>
      </c>
      <c r="G3296">
        <v>13.33</v>
      </c>
      <c r="H32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296" t="str">
        <f>IFERROR(INDEX(Raw_orders!G:G, MATCH(shipments[[#This Row],[order_id]],Raw_orders!A:A, 0)), "Unknown")</f>
        <v>Baltics</v>
      </c>
      <c r="J3296" t="str">
        <f>PROPER(shipments[[#This Row],[delivery_status]])</f>
        <v>Delivered</v>
      </c>
      <c r="K3296" t="s">
        <v>6926</v>
      </c>
    </row>
    <row r="3297" spans="1:11">
      <c r="A3297" t="s">
        <v>10233</v>
      </c>
      <c r="B3297" t="s">
        <v>3999</v>
      </c>
      <c r="C3297" t="s">
        <v>6931</v>
      </c>
      <c r="D3297" s="1">
        <v>44953</v>
      </c>
      <c r="E3297" s="1">
        <v>44960</v>
      </c>
      <c r="F3297" s="1">
        <v>44959</v>
      </c>
      <c r="G3297">
        <v>44.22</v>
      </c>
      <c r="H32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297" t="str">
        <f>IFERROR(INDEX(Raw_orders!G:G, MATCH(shipments[[#This Row],[order_id]],Raw_orders!A:A, 0)), "Unknown")</f>
        <v>Central Europe</v>
      </c>
      <c r="J3297" t="str">
        <f>PROPER(shipments[[#This Row],[delivery_status]])</f>
        <v>Delivered</v>
      </c>
      <c r="K3297" t="s">
        <v>6926</v>
      </c>
    </row>
    <row r="3298" spans="1:11">
      <c r="A3298" t="s">
        <v>10234</v>
      </c>
      <c r="B3298" t="s">
        <v>4000</v>
      </c>
      <c r="C3298" t="s">
        <v>6940</v>
      </c>
      <c r="D3298" s="1">
        <v>45337</v>
      </c>
      <c r="E3298" s="1">
        <v>45339</v>
      </c>
      <c r="F3298" s="1"/>
      <c r="G3298">
        <v>14.2</v>
      </c>
      <c r="H32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298" t="str">
        <f>IFERROR(INDEX(Raw_orders!G:G, MATCH(shipments[[#This Row],[order_id]],Raw_orders!A:A, 0)), "Unknown")</f>
        <v>Central Europe</v>
      </c>
      <c r="J3298" t="str">
        <f>PROPER(shipments[[#This Row],[delivery_status]])</f>
        <v>In Transit</v>
      </c>
      <c r="K3298" t="s">
        <v>6958</v>
      </c>
    </row>
    <row r="3299" spans="1:11">
      <c r="A3299" t="s">
        <v>10235</v>
      </c>
      <c r="B3299" t="s">
        <v>4001</v>
      </c>
      <c r="C3299" t="s">
        <v>6921</v>
      </c>
      <c r="D3299" s="1">
        <v>45316</v>
      </c>
      <c r="E3299" s="1">
        <v>45326</v>
      </c>
      <c r="F3299" s="1">
        <v>45327</v>
      </c>
      <c r="G3299">
        <v>25.17</v>
      </c>
      <c r="H32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299" t="str">
        <f>IFERROR(INDEX(Raw_orders!G:G, MATCH(shipments[[#This Row],[order_id]],Raw_orders!A:A, 0)), "Unknown")</f>
        <v>Nordics</v>
      </c>
      <c r="J3299" t="str">
        <f>PROPER(shipments[[#This Row],[delivery_status]])</f>
        <v>Delivered</v>
      </c>
      <c r="K3299" t="s">
        <v>6929</v>
      </c>
    </row>
    <row r="3300" spans="1:11">
      <c r="A3300" t="s">
        <v>10236</v>
      </c>
      <c r="B3300" t="s">
        <v>4002</v>
      </c>
      <c r="C3300" t="s">
        <v>6925</v>
      </c>
      <c r="D3300" s="1">
        <v>45036</v>
      </c>
      <c r="E3300" s="1">
        <v>45041</v>
      </c>
      <c r="F3300" s="1"/>
      <c r="G3300">
        <v>9.19</v>
      </c>
      <c r="H33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300" t="str">
        <f>IFERROR(INDEX(Raw_orders!G:G, MATCH(shipments[[#This Row],[order_id]],Raw_orders!A:A, 0)), "Unknown")</f>
        <v>Nordics</v>
      </c>
      <c r="J3300" t="str">
        <f>PROPER(shipments[[#This Row],[delivery_status]])</f>
        <v>Cancelled</v>
      </c>
      <c r="K3300" t="s">
        <v>6963</v>
      </c>
    </row>
    <row r="3301" spans="1:11">
      <c r="A3301" t="s">
        <v>10237</v>
      </c>
      <c r="B3301" t="s">
        <v>4002</v>
      </c>
      <c r="C3301" t="s">
        <v>6956</v>
      </c>
      <c r="D3301" s="1">
        <v>45038</v>
      </c>
      <c r="E3301" s="1">
        <v>45045</v>
      </c>
      <c r="F3301" s="1">
        <v>45048</v>
      </c>
      <c r="G3301">
        <v>11.2</v>
      </c>
      <c r="H33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01" t="str">
        <f>IFERROR(INDEX(Raw_orders!G:G, MATCH(shipments[[#This Row],[order_id]],Raw_orders!A:A, 0)), "Unknown")</f>
        <v>Nordics</v>
      </c>
      <c r="J3301" t="str">
        <f>PROPER(shipments[[#This Row],[delivery_status]])</f>
        <v>Delivered</v>
      </c>
      <c r="K3301" t="s">
        <v>6922</v>
      </c>
    </row>
    <row r="3302" spans="1:11">
      <c r="A3302" t="s">
        <v>10238</v>
      </c>
      <c r="B3302" t="s">
        <v>4003</v>
      </c>
      <c r="C3302" t="s">
        <v>6935</v>
      </c>
      <c r="D3302" s="1">
        <v>45183</v>
      </c>
      <c r="E3302" s="1">
        <v>45190</v>
      </c>
      <c r="F3302" s="1">
        <v>45190</v>
      </c>
      <c r="G3302">
        <v>29.03</v>
      </c>
      <c r="H33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302" t="str">
        <f>IFERROR(INDEX(Raw_orders!G:G, MATCH(shipments[[#This Row],[order_id]],Raw_orders!A:A, 0)), "Unknown")</f>
        <v>Baltics</v>
      </c>
      <c r="J3302" t="str">
        <f>PROPER(shipments[[#This Row],[delivery_status]])</f>
        <v>Delivered</v>
      </c>
      <c r="K3302" t="s">
        <v>6926</v>
      </c>
    </row>
    <row r="3303" spans="1:11">
      <c r="A3303" t="s">
        <v>10239</v>
      </c>
      <c r="B3303" t="s">
        <v>4004</v>
      </c>
      <c r="C3303" t="s">
        <v>6921</v>
      </c>
      <c r="D3303" s="1">
        <v>45492</v>
      </c>
      <c r="E3303" s="1">
        <v>45495</v>
      </c>
      <c r="F3303" s="1">
        <v>45503</v>
      </c>
      <c r="G3303">
        <v>14.98</v>
      </c>
      <c r="H33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03" t="str">
        <f>IFERROR(INDEX(Raw_orders!G:G, MATCH(shipments[[#This Row],[order_id]],Raw_orders!A:A, 0)), "Unknown")</f>
        <v>Baltics</v>
      </c>
      <c r="J3303" t="str">
        <f>PROPER(shipments[[#This Row],[delivery_status]])</f>
        <v>Delivered</v>
      </c>
      <c r="K3303" t="s">
        <v>6926</v>
      </c>
    </row>
    <row r="3304" spans="1:11">
      <c r="A3304" t="s">
        <v>10240</v>
      </c>
      <c r="B3304" t="s">
        <v>4005</v>
      </c>
      <c r="C3304" t="s">
        <v>6935</v>
      </c>
      <c r="D3304" s="1">
        <v>45037</v>
      </c>
      <c r="E3304" s="1">
        <v>45040</v>
      </c>
      <c r="F3304" s="1">
        <v>45040</v>
      </c>
      <c r="G3304">
        <v>54.14</v>
      </c>
      <c r="H33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304" t="str">
        <f>IFERROR(INDEX(Raw_orders!G:G, MATCH(shipments[[#This Row],[order_id]],Raw_orders!A:A, 0)), "Unknown")</f>
        <v>Baltics</v>
      </c>
      <c r="J3304" t="str">
        <f>PROPER(shipments[[#This Row],[delivery_status]])</f>
        <v>Delivered</v>
      </c>
      <c r="K3304" t="s">
        <v>6922</v>
      </c>
    </row>
    <row r="3305" spans="1:11">
      <c r="A3305" t="s">
        <v>10241</v>
      </c>
      <c r="B3305" t="s">
        <v>4006</v>
      </c>
      <c r="C3305" t="s">
        <v>6935</v>
      </c>
      <c r="D3305" s="1">
        <v>45461</v>
      </c>
      <c r="E3305" s="1">
        <v>45468</v>
      </c>
      <c r="F3305" s="1">
        <v>45470</v>
      </c>
      <c r="G3305">
        <v>10.59</v>
      </c>
      <c r="H33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05" t="str">
        <f>IFERROR(INDEX(Raw_orders!G:G, MATCH(shipments[[#This Row],[order_id]],Raw_orders!A:A, 0)), "Unknown")</f>
        <v>Central Europe</v>
      </c>
      <c r="J3305" t="str">
        <f>PROPER(shipments[[#This Row],[delivery_status]])</f>
        <v>Delivered</v>
      </c>
      <c r="K3305" t="s">
        <v>6922</v>
      </c>
    </row>
    <row r="3306" spans="1:11">
      <c r="A3306" t="s">
        <v>10242</v>
      </c>
      <c r="B3306" t="s">
        <v>4007</v>
      </c>
      <c r="C3306" t="s">
        <v>6935</v>
      </c>
      <c r="D3306" s="1">
        <v>45618</v>
      </c>
      <c r="E3306" s="1">
        <v>45621</v>
      </c>
      <c r="F3306" s="1">
        <v>45621</v>
      </c>
      <c r="G3306">
        <v>10.36</v>
      </c>
      <c r="H33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306" t="str">
        <f>IFERROR(INDEX(Raw_orders!G:G, MATCH(shipments[[#This Row],[order_id]],Raw_orders!A:A, 0)), "Unknown")</f>
        <v>Central Europe</v>
      </c>
      <c r="J3306" t="str">
        <f>PROPER(shipments[[#This Row],[delivery_status]])</f>
        <v>Delivered</v>
      </c>
      <c r="K3306" t="s">
        <v>6929</v>
      </c>
    </row>
    <row r="3307" spans="1:11">
      <c r="A3307" t="s">
        <v>10243</v>
      </c>
      <c r="B3307" t="s">
        <v>4008</v>
      </c>
      <c r="C3307" t="s">
        <v>6938</v>
      </c>
      <c r="D3307" s="1">
        <v>45090</v>
      </c>
      <c r="E3307" s="1">
        <v>45100</v>
      </c>
      <c r="F3307" s="1">
        <v>45100</v>
      </c>
      <c r="G3307">
        <v>15.67</v>
      </c>
      <c r="H33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307" t="str">
        <f>IFERROR(INDEX(Raw_orders!G:G, MATCH(shipments[[#This Row],[order_id]],Raw_orders!A:A, 0)), "Unknown")</f>
        <v>Central Europe</v>
      </c>
      <c r="J3307" t="str">
        <f>PROPER(shipments[[#This Row],[delivery_status]])</f>
        <v>Delivered</v>
      </c>
      <c r="K3307" t="s">
        <v>6929</v>
      </c>
    </row>
    <row r="3308" spans="1:11">
      <c r="A3308" t="s">
        <v>10244</v>
      </c>
      <c r="B3308" t="s">
        <v>4009</v>
      </c>
      <c r="C3308" t="s">
        <v>6931</v>
      </c>
      <c r="D3308" s="1">
        <v>45017</v>
      </c>
      <c r="E3308" s="1">
        <v>45019</v>
      </c>
      <c r="F3308" s="1">
        <v>45021</v>
      </c>
      <c r="G3308">
        <v>31.79</v>
      </c>
      <c r="H33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08" t="str">
        <f>IFERROR(INDEX(Raw_orders!G:G, MATCH(shipments[[#This Row],[order_id]],Raw_orders!A:A, 0)), "Unknown")</f>
        <v>Central Europe</v>
      </c>
      <c r="J3308" t="str">
        <f>PROPER(shipments[[#This Row],[delivery_status]])</f>
        <v>Delivered</v>
      </c>
      <c r="K3308" t="s">
        <v>6922</v>
      </c>
    </row>
    <row r="3309" spans="1:11">
      <c r="A3309" t="s">
        <v>10245</v>
      </c>
      <c r="B3309" t="s">
        <v>4010</v>
      </c>
      <c r="C3309" t="s">
        <v>6940</v>
      </c>
      <c r="D3309" s="1">
        <v>45337</v>
      </c>
      <c r="E3309" s="1">
        <v>45347</v>
      </c>
      <c r="F3309" s="1">
        <v>45355</v>
      </c>
      <c r="G3309">
        <v>32.43</v>
      </c>
      <c r="H33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09" t="str">
        <f>IFERROR(INDEX(Raw_orders!G:G, MATCH(shipments[[#This Row],[order_id]],Raw_orders!A:A, 0)), "Unknown")</f>
        <v>Baltics</v>
      </c>
      <c r="J3309" t="str">
        <f>PROPER(shipments[[#This Row],[delivery_status]])</f>
        <v>Delivered</v>
      </c>
      <c r="K3309" t="s">
        <v>6929</v>
      </c>
    </row>
    <row r="3310" spans="1:11">
      <c r="A3310" t="s">
        <v>10246</v>
      </c>
      <c r="B3310" t="s">
        <v>4011</v>
      </c>
      <c r="C3310" t="s">
        <v>6940</v>
      </c>
      <c r="D3310" s="1">
        <v>44994</v>
      </c>
      <c r="E3310" s="1">
        <v>45001</v>
      </c>
      <c r="F3310" s="1">
        <v>45002</v>
      </c>
      <c r="G3310">
        <v>15.67</v>
      </c>
      <c r="H33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10" t="str">
        <f>IFERROR(INDEX(Raw_orders!G:G, MATCH(shipments[[#This Row],[order_id]],Raw_orders!A:A, 0)), "Unknown")</f>
        <v>Central Europe</v>
      </c>
      <c r="J3310" t="str">
        <f>PROPER(shipments[[#This Row],[delivery_status]])</f>
        <v>Delivered</v>
      </c>
      <c r="K3310" t="s">
        <v>6926</v>
      </c>
    </row>
    <row r="3311" spans="1:11">
      <c r="A3311" t="s">
        <v>10247</v>
      </c>
      <c r="B3311" t="s">
        <v>4011</v>
      </c>
      <c r="C3311" t="s">
        <v>6940</v>
      </c>
      <c r="D3311" s="1">
        <v>44993</v>
      </c>
      <c r="E3311" s="1">
        <v>44998</v>
      </c>
      <c r="F3311" s="1">
        <v>45000</v>
      </c>
      <c r="G3311">
        <v>25.52</v>
      </c>
      <c r="H33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11" t="str">
        <f>IFERROR(INDEX(Raw_orders!G:G, MATCH(shipments[[#This Row],[order_id]],Raw_orders!A:A, 0)), "Unknown")</f>
        <v>Central Europe</v>
      </c>
      <c r="J3311" t="str">
        <f>PROPER(shipments[[#This Row],[delivery_status]])</f>
        <v>Delivered</v>
      </c>
      <c r="K3311" t="s">
        <v>6929</v>
      </c>
    </row>
    <row r="3312" spans="1:11">
      <c r="A3312" t="s">
        <v>10248</v>
      </c>
      <c r="B3312" t="s">
        <v>4012</v>
      </c>
      <c r="C3312" t="s">
        <v>6949</v>
      </c>
      <c r="D3312" s="1">
        <v>45264</v>
      </c>
      <c r="E3312" s="1">
        <v>45266</v>
      </c>
      <c r="F3312" s="1">
        <v>45271</v>
      </c>
      <c r="G3312">
        <v>58.33</v>
      </c>
      <c r="H33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12" t="str">
        <f>IFERROR(INDEX(Raw_orders!G:G, MATCH(shipments[[#This Row],[order_id]],Raw_orders!A:A, 0)), "Unknown")</f>
        <v>Nordics</v>
      </c>
      <c r="J3312" t="str">
        <f>PROPER(shipments[[#This Row],[delivery_status]])</f>
        <v>Delivered</v>
      </c>
      <c r="K3312" t="s">
        <v>6929</v>
      </c>
    </row>
    <row r="3313" spans="1:11">
      <c r="A3313" t="s">
        <v>10249</v>
      </c>
      <c r="B3313" t="s">
        <v>4013</v>
      </c>
      <c r="C3313" t="s">
        <v>6949</v>
      </c>
      <c r="D3313" s="1">
        <v>45321</v>
      </c>
      <c r="E3313" s="1">
        <v>45328</v>
      </c>
      <c r="F3313" s="1">
        <v>45328</v>
      </c>
      <c r="G3313">
        <v>14.65</v>
      </c>
      <c r="H33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313" t="str">
        <f>IFERROR(INDEX(Raw_orders!G:G, MATCH(shipments[[#This Row],[order_id]],Raw_orders!A:A, 0)), "Unknown")</f>
        <v>Nordics</v>
      </c>
      <c r="J3313" t="str">
        <f>PROPER(shipments[[#This Row],[delivery_status]])</f>
        <v>Delivered</v>
      </c>
      <c r="K3313" t="s">
        <v>6926</v>
      </c>
    </row>
    <row r="3314" spans="1:11">
      <c r="A3314" t="s">
        <v>10250</v>
      </c>
      <c r="B3314" t="s">
        <v>4014</v>
      </c>
      <c r="C3314" t="s">
        <v>6925</v>
      </c>
      <c r="D3314" s="1">
        <v>45528</v>
      </c>
      <c r="E3314" s="1">
        <v>45530</v>
      </c>
      <c r="F3314" s="1">
        <v>45530</v>
      </c>
      <c r="G3314">
        <v>5.7</v>
      </c>
      <c r="H33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314" t="str">
        <f>IFERROR(INDEX(Raw_orders!G:G, MATCH(shipments[[#This Row],[order_id]],Raw_orders!A:A, 0)), "Unknown")</f>
        <v>Baltics</v>
      </c>
      <c r="J3314" t="str">
        <f>PROPER(shipments[[#This Row],[delivery_status]])</f>
        <v>Delivered</v>
      </c>
      <c r="K3314" t="s">
        <v>6929</v>
      </c>
    </row>
    <row r="3315" spans="1:11">
      <c r="A3315" t="s">
        <v>10251</v>
      </c>
      <c r="B3315" t="s">
        <v>4015</v>
      </c>
      <c r="C3315" t="s">
        <v>6935</v>
      </c>
      <c r="D3315" s="1">
        <v>45078</v>
      </c>
      <c r="E3315" s="1">
        <v>45088</v>
      </c>
      <c r="F3315" s="1">
        <v>45090</v>
      </c>
      <c r="G3315">
        <v>34.799999999999997</v>
      </c>
      <c r="H33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15" t="str">
        <f>IFERROR(INDEX(Raw_orders!G:G, MATCH(shipments[[#This Row],[order_id]],Raw_orders!A:A, 0)), "Unknown")</f>
        <v>Central Europe</v>
      </c>
      <c r="J3315" t="str">
        <f>PROPER(shipments[[#This Row],[delivery_status]])</f>
        <v>Delivered</v>
      </c>
      <c r="K3315" t="s">
        <v>6922</v>
      </c>
    </row>
    <row r="3316" spans="1:11">
      <c r="A3316" t="s">
        <v>10252</v>
      </c>
      <c r="B3316" t="s">
        <v>4016</v>
      </c>
      <c r="C3316" t="s">
        <v>6938</v>
      </c>
      <c r="D3316" s="1">
        <v>45502</v>
      </c>
      <c r="E3316" s="1">
        <v>45505</v>
      </c>
      <c r="F3316" s="1">
        <v>45517</v>
      </c>
      <c r="H33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16" t="str">
        <f>IFERROR(INDEX(Raw_orders!G:G, MATCH(shipments[[#This Row],[order_id]],Raw_orders!A:A, 0)), "Unknown")</f>
        <v>Nordics</v>
      </c>
      <c r="J3316" t="str">
        <f>PROPER(shipments[[#This Row],[delivery_status]])</f>
        <v>Delivered</v>
      </c>
      <c r="K3316" t="s">
        <v>6926</v>
      </c>
    </row>
    <row r="3317" spans="1:11">
      <c r="A3317" t="s">
        <v>10253</v>
      </c>
      <c r="B3317" t="s">
        <v>4017</v>
      </c>
      <c r="C3317" t="s">
        <v>6949</v>
      </c>
      <c r="D3317" s="1">
        <v>45070</v>
      </c>
      <c r="E3317" s="1">
        <v>45080</v>
      </c>
      <c r="F3317" s="1">
        <v>45082</v>
      </c>
      <c r="G3317">
        <v>24.21</v>
      </c>
      <c r="H33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17" t="str">
        <f>IFERROR(INDEX(Raw_orders!G:G, MATCH(shipments[[#This Row],[order_id]],Raw_orders!A:A, 0)), "Unknown")</f>
        <v>Baltics</v>
      </c>
      <c r="J3317" t="str">
        <f>PROPER(shipments[[#This Row],[delivery_status]])</f>
        <v>Delivered</v>
      </c>
      <c r="K3317" t="s">
        <v>6929</v>
      </c>
    </row>
    <row r="3318" spans="1:11">
      <c r="A3318" t="s">
        <v>10254</v>
      </c>
      <c r="B3318" t="s">
        <v>4018</v>
      </c>
      <c r="C3318" t="s">
        <v>6925</v>
      </c>
      <c r="D3318" s="1">
        <v>45256</v>
      </c>
      <c r="E3318" s="1">
        <v>45263</v>
      </c>
      <c r="F3318" s="1">
        <v>45266</v>
      </c>
      <c r="G3318">
        <v>54.96</v>
      </c>
      <c r="H33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18" t="str">
        <f>IFERROR(INDEX(Raw_orders!G:G, MATCH(shipments[[#This Row],[order_id]],Raw_orders!A:A, 0)), "Unknown")</f>
        <v>Baltics</v>
      </c>
      <c r="J3318" t="str">
        <f>PROPER(shipments[[#This Row],[delivery_status]])</f>
        <v>Delivered</v>
      </c>
      <c r="K3318" t="s">
        <v>6926</v>
      </c>
    </row>
    <row r="3319" spans="1:11">
      <c r="A3319" t="s">
        <v>10255</v>
      </c>
      <c r="B3319" t="s">
        <v>4019</v>
      </c>
      <c r="C3319" t="s">
        <v>6928</v>
      </c>
      <c r="D3319" s="1">
        <v>45181</v>
      </c>
      <c r="E3319" s="1">
        <v>45183</v>
      </c>
      <c r="F3319" s="1">
        <v>45183</v>
      </c>
      <c r="G3319">
        <v>13.3</v>
      </c>
      <c r="H33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319" t="str">
        <f>IFERROR(INDEX(Raw_orders!G:G, MATCH(shipments[[#This Row],[order_id]],Raw_orders!A:A, 0)), "Unknown")</f>
        <v>Baltics</v>
      </c>
      <c r="J3319" t="str">
        <f>PROPER(shipments[[#This Row],[delivery_status]])</f>
        <v>Delivered</v>
      </c>
      <c r="K3319" t="s">
        <v>6929</v>
      </c>
    </row>
    <row r="3320" spans="1:11">
      <c r="A3320" t="s">
        <v>10256</v>
      </c>
      <c r="B3320" t="s">
        <v>4020</v>
      </c>
      <c r="C3320" t="s">
        <v>6956</v>
      </c>
      <c r="D3320" s="1">
        <v>45565</v>
      </c>
      <c r="E3320" s="1">
        <v>45570</v>
      </c>
      <c r="F3320" s="1">
        <v>45570</v>
      </c>
      <c r="G3320">
        <v>56.46</v>
      </c>
      <c r="H33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320" t="str">
        <f>IFERROR(INDEX(Raw_orders!G:G, MATCH(shipments[[#This Row],[order_id]],Raw_orders!A:A, 0)), "Unknown")</f>
        <v>Nordics</v>
      </c>
      <c r="J3320" t="str">
        <f>PROPER(shipments[[#This Row],[delivery_status]])</f>
        <v>Delivered</v>
      </c>
      <c r="K3320" t="s">
        <v>6929</v>
      </c>
    </row>
    <row r="3321" spans="1:11">
      <c r="A3321" t="s">
        <v>10257</v>
      </c>
      <c r="B3321" t="s">
        <v>4021</v>
      </c>
      <c r="C3321" t="s">
        <v>6956</v>
      </c>
      <c r="D3321" s="1">
        <v>45552</v>
      </c>
      <c r="E3321" s="1">
        <v>45555</v>
      </c>
      <c r="F3321" s="1">
        <v>45556</v>
      </c>
      <c r="G3321">
        <v>4.51</v>
      </c>
      <c r="H33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21" t="str">
        <f>IFERROR(INDEX(Raw_orders!G:G, MATCH(shipments[[#This Row],[order_id]],Raw_orders!A:A, 0)), "Unknown")</f>
        <v>Baltics</v>
      </c>
      <c r="J3321" t="str">
        <f>PROPER(shipments[[#This Row],[delivery_status]])</f>
        <v>Delivered</v>
      </c>
      <c r="K3321" t="s">
        <v>6922</v>
      </c>
    </row>
    <row r="3322" spans="1:11">
      <c r="A3322" t="s">
        <v>10258</v>
      </c>
      <c r="B3322" t="s">
        <v>4022</v>
      </c>
      <c r="C3322" t="s">
        <v>6956</v>
      </c>
      <c r="D3322" s="1">
        <v>45246</v>
      </c>
      <c r="E3322" s="1">
        <v>45251</v>
      </c>
      <c r="F3322" s="1"/>
      <c r="G3322">
        <v>15.59</v>
      </c>
      <c r="H33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322" t="str">
        <f>IFERROR(INDEX(Raw_orders!G:G, MATCH(shipments[[#This Row],[order_id]],Raw_orders!A:A, 0)), "Unknown")</f>
        <v>Baltics</v>
      </c>
      <c r="J3322" t="str">
        <f>PROPER(shipments[[#This Row],[delivery_status]])</f>
        <v>Cancelled</v>
      </c>
      <c r="K3322" t="s">
        <v>6979</v>
      </c>
    </row>
    <row r="3323" spans="1:11">
      <c r="A3323" t="s">
        <v>10259</v>
      </c>
      <c r="B3323" t="s">
        <v>4023</v>
      </c>
      <c r="C3323" t="s">
        <v>6921</v>
      </c>
      <c r="D3323" s="1">
        <v>44950</v>
      </c>
      <c r="E3323" s="1">
        <v>44957</v>
      </c>
      <c r="F3323" s="1"/>
      <c r="G3323">
        <v>26.16</v>
      </c>
      <c r="H33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323" t="str">
        <f>IFERROR(INDEX(Raw_orders!G:G, MATCH(shipments[[#This Row],[order_id]],Raw_orders!A:A, 0)), "Unknown")</f>
        <v>Central Europe</v>
      </c>
      <c r="J3323" t="str">
        <f>PROPER(shipments[[#This Row],[delivery_status]])</f>
        <v>Cancelled</v>
      </c>
      <c r="K3323" t="s">
        <v>6963</v>
      </c>
    </row>
    <row r="3324" spans="1:11">
      <c r="A3324" t="s">
        <v>10260</v>
      </c>
      <c r="B3324" t="s">
        <v>4024</v>
      </c>
      <c r="C3324" t="s">
        <v>6928</v>
      </c>
      <c r="D3324" s="1">
        <v>45283</v>
      </c>
      <c r="E3324" s="1">
        <v>45290</v>
      </c>
      <c r="F3324" s="1"/>
      <c r="G3324">
        <v>18.899999999999999</v>
      </c>
      <c r="H33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324" t="str">
        <f>IFERROR(INDEX(Raw_orders!G:G, MATCH(shipments[[#This Row],[order_id]],Raw_orders!A:A, 0)), "Unknown")</f>
        <v>Nordics</v>
      </c>
      <c r="J3324" t="str">
        <f>PROPER(shipments[[#This Row],[delivery_status]])</f>
        <v>In Transit</v>
      </c>
      <c r="K3324" t="s">
        <v>6977</v>
      </c>
    </row>
    <row r="3325" spans="1:11">
      <c r="A3325" t="s">
        <v>10261</v>
      </c>
      <c r="B3325" t="s">
        <v>4025</v>
      </c>
      <c r="C3325" t="s">
        <v>6940</v>
      </c>
      <c r="D3325" s="1">
        <v>45517</v>
      </c>
      <c r="E3325" s="1">
        <v>45522</v>
      </c>
      <c r="F3325" s="1">
        <v>45524</v>
      </c>
      <c r="G3325">
        <v>39.92</v>
      </c>
      <c r="H33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25" t="str">
        <f>IFERROR(INDEX(Raw_orders!G:G, MATCH(shipments[[#This Row],[order_id]],Raw_orders!A:A, 0)), "Unknown")</f>
        <v>Central Europe</v>
      </c>
      <c r="J3325" t="str">
        <f>PROPER(shipments[[#This Row],[delivery_status]])</f>
        <v>Delivered</v>
      </c>
      <c r="K3325" t="s">
        <v>6922</v>
      </c>
    </row>
    <row r="3326" spans="1:11">
      <c r="A3326" t="s">
        <v>10262</v>
      </c>
      <c r="B3326" t="s">
        <v>4026</v>
      </c>
      <c r="C3326" t="s">
        <v>6935</v>
      </c>
      <c r="D3326" s="1">
        <v>45501</v>
      </c>
      <c r="E3326" s="1">
        <v>45506</v>
      </c>
      <c r="F3326" s="1">
        <v>45507</v>
      </c>
      <c r="G3326">
        <v>56.4</v>
      </c>
      <c r="H33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26" t="str">
        <f>IFERROR(INDEX(Raw_orders!G:G, MATCH(shipments[[#This Row],[order_id]],Raw_orders!A:A, 0)), "Unknown")</f>
        <v>Baltics</v>
      </c>
      <c r="J3326" t="str">
        <f>PROPER(shipments[[#This Row],[delivery_status]])</f>
        <v>Delivered</v>
      </c>
      <c r="K3326" t="s">
        <v>6929</v>
      </c>
    </row>
    <row r="3327" spans="1:11">
      <c r="A3327" t="s">
        <v>10263</v>
      </c>
      <c r="B3327" t="s">
        <v>4026</v>
      </c>
      <c r="C3327" t="s">
        <v>6935</v>
      </c>
      <c r="D3327" s="1">
        <v>45502</v>
      </c>
      <c r="E3327" s="1">
        <v>45507</v>
      </c>
      <c r="F3327" s="1">
        <v>45507</v>
      </c>
      <c r="G3327">
        <v>40.03</v>
      </c>
      <c r="H33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327" t="str">
        <f>IFERROR(INDEX(Raw_orders!G:G, MATCH(shipments[[#This Row],[order_id]],Raw_orders!A:A, 0)), "Unknown")</f>
        <v>Baltics</v>
      </c>
      <c r="J3327" t="str">
        <f>PROPER(shipments[[#This Row],[delivery_status]])</f>
        <v>Delivered</v>
      </c>
      <c r="K3327" t="s">
        <v>6926</v>
      </c>
    </row>
    <row r="3328" spans="1:11">
      <c r="A3328" t="s">
        <v>10264</v>
      </c>
      <c r="B3328" t="s">
        <v>4027</v>
      </c>
      <c r="C3328" t="s">
        <v>6921</v>
      </c>
      <c r="D3328" s="1">
        <v>45164</v>
      </c>
      <c r="E3328" s="1">
        <v>45166</v>
      </c>
      <c r="F3328" s="1">
        <v>45174</v>
      </c>
      <c r="G3328">
        <v>26.5</v>
      </c>
      <c r="H33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28" t="str">
        <f>IFERROR(INDEX(Raw_orders!G:G, MATCH(shipments[[#This Row],[order_id]],Raw_orders!A:A, 0)), "Unknown")</f>
        <v>Baltics</v>
      </c>
      <c r="J3328" t="str">
        <f>PROPER(shipments[[#This Row],[delivery_status]])</f>
        <v>Delivered</v>
      </c>
      <c r="K3328" t="s">
        <v>6922</v>
      </c>
    </row>
    <row r="3329" spans="1:11">
      <c r="A3329" t="s">
        <v>10265</v>
      </c>
      <c r="B3329" t="s">
        <v>4028</v>
      </c>
      <c r="C3329" t="s">
        <v>6938</v>
      </c>
      <c r="D3329" s="1">
        <v>45260</v>
      </c>
      <c r="E3329" s="1">
        <v>45267</v>
      </c>
      <c r="F3329" s="1"/>
      <c r="G3329">
        <v>58.8</v>
      </c>
      <c r="H33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329" t="str">
        <f>IFERROR(INDEX(Raw_orders!G:G, MATCH(shipments[[#This Row],[order_id]],Raw_orders!A:A, 0)), "Unknown")</f>
        <v>Central Europe</v>
      </c>
      <c r="J3329" t="str">
        <f>PROPER(shipments[[#This Row],[delivery_status]])</f>
        <v>Cancelled</v>
      </c>
      <c r="K3329" t="s">
        <v>6972</v>
      </c>
    </row>
    <row r="3330" spans="1:11">
      <c r="A3330" t="s">
        <v>10266</v>
      </c>
      <c r="B3330" t="s">
        <v>4029</v>
      </c>
      <c r="C3330" t="s">
        <v>6956</v>
      </c>
      <c r="D3330" s="1">
        <v>44942</v>
      </c>
      <c r="E3330" s="1">
        <v>44947</v>
      </c>
      <c r="F3330" s="1">
        <v>44955</v>
      </c>
      <c r="H33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30" t="str">
        <f>IFERROR(INDEX(Raw_orders!G:G, MATCH(shipments[[#This Row],[order_id]],Raw_orders!A:A, 0)), "Unknown")</f>
        <v>Central Europe</v>
      </c>
      <c r="J3330" t="str">
        <f>PROPER(shipments[[#This Row],[delivery_status]])</f>
        <v>Delivered</v>
      </c>
      <c r="K3330" t="s">
        <v>6929</v>
      </c>
    </row>
    <row r="3331" spans="1:11">
      <c r="A3331" t="s">
        <v>10267</v>
      </c>
      <c r="B3331" t="s">
        <v>4030</v>
      </c>
      <c r="C3331" t="s">
        <v>6956</v>
      </c>
      <c r="D3331" s="1">
        <v>44944</v>
      </c>
      <c r="E3331" s="1">
        <v>44949</v>
      </c>
      <c r="F3331" s="1">
        <v>44954</v>
      </c>
      <c r="G3331">
        <v>39.590000000000003</v>
      </c>
      <c r="H33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31" t="str">
        <f>IFERROR(INDEX(Raw_orders!G:G, MATCH(shipments[[#This Row],[order_id]],Raw_orders!A:A, 0)), "Unknown")</f>
        <v>Central Europe</v>
      </c>
      <c r="J3331" t="str">
        <f>PROPER(shipments[[#This Row],[delivery_status]])</f>
        <v>Delivered</v>
      </c>
      <c r="K3331" t="s">
        <v>6926</v>
      </c>
    </row>
    <row r="3332" spans="1:11">
      <c r="A3332" t="s">
        <v>10268</v>
      </c>
      <c r="B3332" t="s">
        <v>4031</v>
      </c>
      <c r="C3332" t="s">
        <v>6935</v>
      </c>
      <c r="D3332" s="1">
        <v>45132</v>
      </c>
      <c r="E3332" s="1">
        <v>45142</v>
      </c>
      <c r="F3332" s="1">
        <v>45142</v>
      </c>
      <c r="G3332">
        <v>58.24</v>
      </c>
      <c r="H33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332" t="str">
        <f>IFERROR(INDEX(Raw_orders!G:G, MATCH(shipments[[#This Row],[order_id]],Raw_orders!A:A, 0)), "Unknown")</f>
        <v>Central Europe</v>
      </c>
      <c r="J3332" t="str">
        <f>PROPER(shipments[[#This Row],[delivery_status]])</f>
        <v>Delivered</v>
      </c>
      <c r="K3332" t="s">
        <v>6929</v>
      </c>
    </row>
    <row r="3333" spans="1:11">
      <c r="A3333" t="s">
        <v>10269</v>
      </c>
      <c r="B3333" t="s">
        <v>4032</v>
      </c>
      <c r="C3333" t="s">
        <v>6928</v>
      </c>
      <c r="D3333" s="1">
        <v>45619</v>
      </c>
      <c r="E3333" s="1">
        <v>45626</v>
      </c>
      <c r="F3333" s="1">
        <v>45626</v>
      </c>
      <c r="G3333">
        <v>51.15</v>
      </c>
      <c r="H33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333" t="str">
        <f>IFERROR(INDEX(Raw_orders!G:G, MATCH(shipments[[#This Row],[order_id]],Raw_orders!A:A, 0)), "Unknown")</f>
        <v>Unknown</v>
      </c>
      <c r="J3333" t="str">
        <f>PROPER(shipments[[#This Row],[delivery_status]])</f>
        <v>Delivered</v>
      </c>
      <c r="K3333" t="s">
        <v>6922</v>
      </c>
    </row>
    <row r="3334" spans="1:11">
      <c r="A3334" t="s">
        <v>10270</v>
      </c>
      <c r="B3334" t="s">
        <v>4033</v>
      </c>
      <c r="C3334" t="s">
        <v>6940</v>
      </c>
      <c r="D3334" s="1">
        <v>45535</v>
      </c>
      <c r="E3334" s="1">
        <v>45545</v>
      </c>
      <c r="F3334" s="1">
        <v>45553</v>
      </c>
      <c r="G3334">
        <v>48.52</v>
      </c>
      <c r="H33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34" t="str">
        <f>IFERROR(INDEX(Raw_orders!G:G, MATCH(shipments[[#This Row],[order_id]],Raw_orders!A:A, 0)), "Unknown")</f>
        <v>Nordics</v>
      </c>
      <c r="J3334" t="str">
        <f>PROPER(shipments[[#This Row],[delivery_status]])</f>
        <v>Delivered</v>
      </c>
      <c r="K3334" t="s">
        <v>6926</v>
      </c>
    </row>
    <row r="3335" spans="1:11">
      <c r="A3335" t="s">
        <v>10271</v>
      </c>
      <c r="B3335" t="s">
        <v>4034</v>
      </c>
      <c r="C3335" t="s">
        <v>6921</v>
      </c>
      <c r="D3335" s="1">
        <v>45385</v>
      </c>
      <c r="E3335" s="1">
        <v>45392</v>
      </c>
      <c r="F3335" s="1">
        <v>45392</v>
      </c>
      <c r="G3335">
        <v>38.51</v>
      </c>
      <c r="H33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335" t="str">
        <f>IFERROR(INDEX(Raw_orders!G:G, MATCH(shipments[[#This Row],[order_id]],Raw_orders!A:A, 0)), "Unknown")</f>
        <v>Baltics</v>
      </c>
      <c r="J3335" t="str">
        <f>PROPER(shipments[[#This Row],[delivery_status]])</f>
        <v>Delivered</v>
      </c>
      <c r="K3335" t="s">
        <v>6926</v>
      </c>
    </row>
    <row r="3336" spans="1:11">
      <c r="A3336" t="s">
        <v>10272</v>
      </c>
      <c r="B3336" t="s">
        <v>4035</v>
      </c>
      <c r="C3336" t="s">
        <v>6938</v>
      </c>
      <c r="D3336" s="1">
        <v>45134</v>
      </c>
      <c r="E3336" s="1">
        <v>45137</v>
      </c>
      <c r="F3336" s="1">
        <v>45146</v>
      </c>
      <c r="G3336">
        <v>63.82</v>
      </c>
      <c r="H33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36" t="str">
        <f>IFERROR(INDEX(Raw_orders!G:G, MATCH(shipments[[#This Row],[order_id]],Raw_orders!A:A, 0)), "Unknown")</f>
        <v>Nordics</v>
      </c>
      <c r="J3336" t="str">
        <f>PROPER(shipments[[#This Row],[delivery_status]])</f>
        <v>Delivered</v>
      </c>
      <c r="K3336" t="s">
        <v>6922</v>
      </c>
    </row>
    <row r="3337" spans="1:11">
      <c r="A3337" t="s">
        <v>10273</v>
      </c>
      <c r="B3337" t="s">
        <v>4036</v>
      </c>
      <c r="C3337" t="s">
        <v>6921</v>
      </c>
      <c r="D3337" s="1">
        <v>45146</v>
      </c>
      <c r="E3337" s="1">
        <v>45151</v>
      </c>
      <c r="F3337" s="1">
        <v>45159</v>
      </c>
      <c r="G3337">
        <v>57.38</v>
      </c>
      <c r="H33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37" t="str">
        <f>IFERROR(INDEX(Raw_orders!G:G, MATCH(shipments[[#This Row],[order_id]],Raw_orders!A:A, 0)), "Unknown")</f>
        <v>Central Europe</v>
      </c>
      <c r="J3337" t="str">
        <f>PROPER(shipments[[#This Row],[delivery_status]])</f>
        <v>Delivered</v>
      </c>
      <c r="K3337" t="s">
        <v>6926</v>
      </c>
    </row>
    <row r="3338" spans="1:11">
      <c r="A3338" t="s">
        <v>10274</v>
      </c>
      <c r="B3338" t="s">
        <v>4037</v>
      </c>
      <c r="C3338" t="s">
        <v>6928</v>
      </c>
      <c r="D3338" s="1">
        <v>45116</v>
      </c>
      <c r="E3338" s="1">
        <v>45126</v>
      </c>
      <c r="F3338" s="1">
        <v>45125</v>
      </c>
      <c r="G3338">
        <v>63.38</v>
      </c>
      <c r="H33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338" t="str">
        <f>IFERROR(INDEX(Raw_orders!G:G, MATCH(shipments[[#This Row],[order_id]],Raw_orders!A:A, 0)), "Unknown")</f>
        <v>Central Europe</v>
      </c>
      <c r="J3338" t="str">
        <f>PROPER(shipments[[#This Row],[delivery_status]])</f>
        <v>Delivered</v>
      </c>
      <c r="K3338" t="s">
        <v>6926</v>
      </c>
    </row>
    <row r="3339" spans="1:11">
      <c r="A3339" t="s">
        <v>10275</v>
      </c>
      <c r="B3339" t="s">
        <v>4038</v>
      </c>
      <c r="C3339" t="s">
        <v>6925</v>
      </c>
      <c r="D3339" s="1">
        <v>45614</v>
      </c>
      <c r="E3339" s="1">
        <v>45616</v>
      </c>
      <c r="F3339" s="1"/>
      <c r="G3339">
        <v>56.4</v>
      </c>
      <c r="H33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339" t="str">
        <f>IFERROR(INDEX(Raw_orders!G:G, MATCH(shipments[[#This Row],[order_id]],Raw_orders!A:A, 0)), "Unknown")</f>
        <v>Nordics</v>
      </c>
      <c r="J3339" t="str">
        <f>PROPER(shipments[[#This Row],[delivery_status]])</f>
        <v>Cancelled</v>
      </c>
      <c r="K3339" t="s">
        <v>6972</v>
      </c>
    </row>
    <row r="3340" spans="1:11">
      <c r="A3340" t="s">
        <v>10276</v>
      </c>
      <c r="B3340" t="s">
        <v>4039</v>
      </c>
      <c r="C3340" t="s">
        <v>6925</v>
      </c>
      <c r="D3340" s="1">
        <v>44967</v>
      </c>
      <c r="E3340" s="1">
        <v>44972</v>
      </c>
      <c r="F3340" s="1">
        <v>44972</v>
      </c>
      <c r="G3340">
        <v>32.33</v>
      </c>
      <c r="H33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340" t="str">
        <f>IFERROR(INDEX(Raw_orders!G:G, MATCH(shipments[[#This Row],[order_id]],Raw_orders!A:A, 0)), "Unknown")</f>
        <v>Central Europe</v>
      </c>
      <c r="J3340" t="str">
        <f>PROPER(shipments[[#This Row],[delivery_status]])</f>
        <v>Delivered</v>
      </c>
      <c r="K3340" t="s">
        <v>6929</v>
      </c>
    </row>
    <row r="3341" spans="1:11">
      <c r="A3341" t="s">
        <v>10277</v>
      </c>
      <c r="B3341" t="s">
        <v>4040</v>
      </c>
      <c r="C3341" t="s">
        <v>6956</v>
      </c>
      <c r="D3341" s="1">
        <v>45489</v>
      </c>
      <c r="E3341" s="1">
        <v>45496</v>
      </c>
      <c r="F3341" s="1">
        <v>45506</v>
      </c>
      <c r="G3341">
        <v>44.61</v>
      </c>
      <c r="H33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41" t="str">
        <f>IFERROR(INDEX(Raw_orders!G:G, MATCH(shipments[[#This Row],[order_id]],Raw_orders!A:A, 0)), "Unknown")</f>
        <v>Baltics</v>
      </c>
      <c r="J3341" t="str">
        <f>PROPER(shipments[[#This Row],[delivery_status]])</f>
        <v>Delivered</v>
      </c>
      <c r="K3341" t="s">
        <v>6922</v>
      </c>
    </row>
    <row r="3342" spans="1:11">
      <c r="A3342" t="s">
        <v>10278</v>
      </c>
      <c r="B3342" t="s">
        <v>4040</v>
      </c>
      <c r="C3342" t="s">
        <v>6938</v>
      </c>
      <c r="D3342" s="1">
        <v>45491</v>
      </c>
      <c r="E3342" s="1">
        <v>45493</v>
      </c>
      <c r="F3342" s="1">
        <v>45494</v>
      </c>
      <c r="G3342">
        <v>55.75</v>
      </c>
      <c r="H33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42" t="str">
        <f>IFERROR(INDEX(Raw_orders!G:G, MATCH(shipments[[#This Row],[order_id]],Raw_orders!A:A, 0)), "Unknown")</f>
        <v>Baltics</v>
      </c>
      <c r="J3342" t="str">
        <f>PROPER(shipments[[#This Row],[delivery_status]])</f>
        <v>Delivered</v>
      </c>
      <c r="K3342" t="s">
        <v>6922</v>
      </c>
    </row>
    <row r="3343" spans="1:11">
      <c r="A3343" t="s">
        <v>10279</v>
      </c>
      <c r="B3343" t="s">
        <v>4041</v>
      </c>
      <c r="C3343" t="s">
        <v>6931</v>
      </c>
      <c r="D3343" s="1">
        <v>45233</v>
      </c>
      <c r="E3343" s="1">
        <v>45235</v>
      </c>
      <c r="F3343" s="1">
        <v>45238</v>
      </c>
      <c r="G3343">
        <v>36.64</v>
      </c>
      <c r="H33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43" t="str">
        <f>IFERROR(INDEX(Raw_orders!G:G, MATCH(shipments[[#This Row],[order_id]],Raw_orders!A:A, 0)), "Unknown")</f>
        <v>Baltics</v>
      </c>
      <c r="J3343" t="str">
        <f>PROPER(shipments[[#This Row],[delivery_status]])</f>
        <v>Delivered</v>
      </c>
      <c r="K3343" t="s">
        <v>6929</v>
      </c>
    </row>
    <row r="3344" spans="1:11">
      <c r="A3344" t="s">
        <v>10280</v>
      </c>
      <c r="B3344" t="s">
        <v>4042</v>
      </c>
      <c r="C3344" t="s">
        <v>6935</v>
      </c>
      <c r="D3344" s="1">
        <v>45463</v>
      </c>
      <c r="E3344" s="1">
        <v>45470</v>
      </c>
      <c r="F3344" s="1">
        <v>45478</v>
      </c>
      <c r="G3344">
        <v>61.69</v>
      </c>
      <c r="H33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44" t="str">
        <f>IFERROR(INDEX(Raw_orders!G:G, MATCH(shipments[[#This Row],[order_id]],Raw_orders!A:A, 0)), "Unknown")</f>
        <v>Baltics</v>
      </c>
      <c r="J3344" t="str">
        <f>PROPER(shipments[[#This Row],[delivery_status]])</f>
        <v>Delivered</v>
      </c>
      <c r="K3344" t="s">
        <v>6929</v>
      </c>
    </row>
    <row r="3345" spans="1:11">
      <c r="A3345" t="s">
        <v>10281</v>
      </c>
      <c r="B3345" t="s">
        <v>4042</v>
      </c>
      <c r="C3345" t="s">
        <v>6925</v>
      </c>
      <c r="D3345" s="1">
        <v>45465</v>
      </c>
      <c r="E3345" s="1">
        <v>45468</v>
      </c>
      <c r="F3345" s="1">
        <v>45468</v>
      </c>
      <c r="G3345">
        <v>45.75</v>
      </c>
      <c r="H33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345" t="str">
        <f>IFERROR(INDEX(Raw_orders!G:G, MATCH(shipments[[#This Row],[order_id]],Raw_orders!A:A, 0)), "Unknown")</f>
        <v>Baltics</v>
      </c>
      <c r="J3345" t="str">
        <f>PROPER(shipments[[#This Row],[delivery_status]])</f>
        <v>Delivered</v>
      </c>
      <c r="K3345" t="s">
        <v>6922</v>
      </c>
    </row>
    <row r="3346" spans="1:11">
      <c r="A3346" t="s">
        <v>10282</v>
      </c>
      <c r="B3346" t="s">
        <v>4043</v>
      </c>
      <c r="C3346" t="s">
        <v>6935</v>
      </c>
      <c r="D3346" s="1">
        <v>45159</v>
      </c>
      <c r="E3346" s="1">
        <v>45166</v>
      </c>
      <c r="F3346" s="1">
        <v>45178</v>
      </c>
      <c r="G3346">
        <v>34.94</v>
      </c>
      <c r="H33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46" t="str">
        <f>IFERROR(INDEX(Raw_orders!G:G, MATCH(shipments[[#This Row],[order_id]],Raw_orders!A:A, 0)), "Unknown")</f>
        <v>Baltics</v>
      </c>
      <c r="J3346" t="str">
        <f>PROPER(shipments[[#This Row],[delivery_status]])</f>
        <v>Delivered</v>
      </c>
      <c r="K3346" t="s">
        <v>6929</v>
      </c>
    </row>
    <row r="3347" spans="1:11">
      <c r="A3347" t="s">
        <v>10283</v>
      </c>
      <c r="B3347" t="s">
        <v>4044</v>
      </c>
      <c r="C3347" t="s">
        <v>6928</v>
      </c>
      <c r="D3347" s="1">
        <v>45305</v>
      </c>
      <c r="E3347" s="1">
        <v>45312</v>
      </c>
      <c r="F3347" s="1">
        <v>45313</v>
      </c>
      <c r="G3347">
        <v>48.64</v>
      </c>
      <c r="H33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47" t="str">
        <f>IFERROR(INDEX(Raw_orders!G:G, MATCH(shipments[[#This Row],[order_id]],Raw_orders!A:A, 0)), "Unknown")</f>
        <v>Central Europe</v>
      </c>
      <c r="J3347" t="str">
        <f>PROPER(shipments[[#This Row],[delivery_status]])</f>
        <v>Delivered</v>
      </c>
      <c r="K3347" t="s">
        <v>6926</v>
      </c>
    </row>
    <row r="3348" spans="1:11">
      <c r="A3348" t="s">
        <v>10284</v>
      </c>
      <c r="B3348" t="s">
        <v>4045</v>
      </c>
      <c r="C3348" t="s">
        <v>6928</v>
      </c>
      <c r="D3348" s="1">
        <v>45488</v>
      </c>
      <c r="E3348" s="1">
        <v>45493</v>
      </c>
      <c r="F3348" s="1">
        <v>45501</v>
      </c>
      <c r="G3348">
        <v>58.27</v>
      </c>
      <c r="H33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48" t="str">
        <f>IFERROR(INDEX(Raw_orders!G:G, MATCH(shipments[[#This Row],[order_id]],Raw_orders!A:A, 0)), "Unknown")</f>
        <v>Nordics</v>
      </c>
      <c r="J3348" t="str">
        <f>PROPER(shipments[[#This Row],[delivery_status]])</f>
        <v>Delivered</v>
      </c>
      <c r="K3348" t="s">
        <v>6926</v>
      </c>
    </row>
    <row r="3349" spans="1:11">
      <c r="A3349" t="s">
        <v>10285</v>
      </c>
      <c r="B3349" t="s">
        <v>4046</v>
      </c>
      <c r="C3349" t="s">
        <v>6928</v>
      </c>
      <c r="D3349" s="1">
        <v>45595</v>
      </c>
      <c r="E3349" s="1">
        <v>45605</v>
      </c>
      <c r="F3349" s="1"/>
      <c r="G3349">
        <v>24.83</v>
      </c>
      <c r="H33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349" t="str">
        <f>IFERROR(INDEX(Raw_orders!G:G, MATCH(shipments[[#This Row],[order_id]],Raw_orders!A:A, 0)), "Unknown")</f>
        <v>Baltics</v>
      </c>
      <c r="J3349" t="str">
        <f>PROPER(shipments[[#This Row],[delivery_status]])</f>
        <v>In Transit</v>
      </c>
      <c r="K3349" t="s">
        <v>6946</v>
      </c>
    </row>
    <row r="3350" spans="1:11">
      <c r="A3350" t="s">
        <v>10286</v>
      </c>
      <c r="B3350" t="s">
        <v>4047</v>
      </c>
      <c r="C3350" t="s">
        <v>6921</v>
      </c>
      <c r="D3350" s="1">
        <v>45077</v>
      </c>
      <c r="E3350" s="1">
        <v>45079</v>
      </c>
      <c r="F3350" s="1">
        <v>45079</v>
      </c>
      <c r="G3350">
        <v>50.61</v>
      </c>
      <c r="H33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350" t="str">
        <f>IFERROR(INDEX(Raw_orders!G:G, MATCH(shipments[[#This Row],[order_id]],Raw_orders!A:A, 0)), "Unknown")</f>
        <v>Baltics</v>
      </c>
      <c r="J3350" t="str">
        <f>PROPER(shipments[[#This Row],[delivery_status]])</f>
        <v>Delivered</v>
      </c>
      <c r="K3350" t="s">
        <v>6926</v>
      </c>
    </row>
    <row r="3351" spans="1:11">
      <c r="A3351" t="s">
        <v>10287</v>
      </c>
      <c r="B3351" t="s">
        <v>4048</v>
      </c>
      <c r="C3351" t="s">
        <v>6928</v>
      </c>
      <c r="D3351" s="1">
        <v>45193</v>
      </c>
      <c r="E3351" s="1">
        <v>45195</v>
      </c>
      <c r="F3351" s="1"/>
      <c r="G3351">
        <v>47.61</v>
      </c>
      <c r="H33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351" t="str">
        <f>IFERROR(INDEX(Raw_orders!G:G, MATCH(shipments[[#This Row],[order_id]],Raw_orders!A:A, 0)), "Unknown")</f>
        <v>Nordics</v>
      </c>
      <c r="J3351" t="str">
        <f>PROPER(shipments[[#This Row],[delivery_status]])</f>
        <v>In Transit</v>
      </c>
      <c r="K3351" t="s">
        <v>6977</v>
      </c>
    </row>
    <row r="3352" spans="1:11">
      <c r="A3352" t="s">
        <v>10288</v>
      </c>
      <c r="B3352" t="s">
        <v>4049</v>
      </c>
      <c r="C3352" t="s">
        <v>6928</v>
      </c>
      <c r="D3352" s="1">
        <v>45558</v>
      </c>
      <c r="E3352" s="1">
        <v>45568</v>
      </c>
      <c r="F3352" s="1">
        <v>45573</v>
      </c>
      <c r="G3352">
        <v>9.11</v>
      </c>
      <c r="H33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52" t="str">
        <f>IFERROR(INDEX(Raw_orders!G:G, MATCH(shipments[[#This Row],[order_id]],Raw_orders!A:A, 0)), "Unknown")</f>
        <v>Nordics</v>
      </c>
      <c r="J3352" t="str">
        <f>PROPER(shipments[[#This Row],[delivery_status]])</f>
        <v>Delivered</v>
      </c>
      <c r="K3352" t="s">
        <v>6929</v>
      </c>
    </row>
    <row r="3353" spans="1:11">
      <c r="A3353" t="s">
        <v>10289</v>
      </c>
      <c r="B3353" t="s">
        <v>4050</v>
      </c>
      <c r="C3353" t="s">
        <v>6956</v>
      </c>
      <c r="D3353" s="1">
        <v>45362</v>
      </c>
      <c r="E3353" s="1">
        <v>45364</v>
      </c>
      <c r="F3353" s="1">
        <v>45364</v>
      </c>
      <c r="G3353">
        <v>45.53</v>
      </c>
      <c r="H33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353" t="str">
        <f>IFERROR(INDEX(Raw_orders!G:G, MATCH(shipments[[#This Row],[order_id]],Raw_orders!A:A, 0)), "Unknown")</f>
        <v>Nordics</v>
      </c>
      <c r="J3353" t="str">
        <f>PROPER(shipments[[#This Row],[delivery_status]])</f>
        <v>Delivered</v>
      </c>
      <c r="K3353" t="s">
        <v>6922</v>
      </c>
    </row>
    <row r="3354" spans="1:11">
      <c r="A3354" t="s">
        <v>10290</v>
      </c>
      <c r="B3354" t="s">
        <v>4051</v>
      </c>
      <c r="C3354" t="s">
        <v>6938</v>
      </c>
      <c r="D3354" s="1">
        <v>45517</v>
      </c>
      <c r="E3354" s="1">
        <v>45527</v>
      </c>
      <c r="F3354" s="1">
        <v>45526</v>
      </c>
      <c r="G3354">
        <v>63.97</v>
      </c>
      <c r="H33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354" t="str">
        <f>IFERROR(INDEX(Raw_orders!G:G, MATCH(shipments[[#This Row],[order_id]],Raw_orders!A:A, 0)), "Unknown")</f>
        <v>Baltics</v>
      </c>
      <c r="J3354" t="str">
        <f>PROPER(shipments[[#This Row],[delivery_status]])</f>
        <v>Delivered</v>
      </c>
      <c r="K3354" t="s">
        <v>6922</v>
      </c>
    </row>
    <row r="3355" spans="1:11">
      <c r="A3355" t="s">
        <v>10291</v>
      </c>
      <c r="B3355" t="s">
        <v>4052</v>
      </c>
      <c r="C3355" t="s">
        <v>6956</v>
      </c>
      <c r="D3355" s="1">
        <v>45197</v>
      </c>
      <c r="E3355" s="1">
        <v>45200</v>
      </c>
      <c r="F3355" s="1">
        <v>45203</v>
      </c>
      <c r="G3355">
        <v>56.49</v>
      </c>
      <c r="H33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55" t="str">
        <f>IFERROR(INDEX(Raw_orders!G:G, MATCH(shipments[[#This Row],[order_id]],Raw_orders!A:A, 0)), "Unknown")</f>
        <v>Baltics</v>
      </c>
      <c r="J3355" t="str">
        <f>PROPER(shipments[[#This Row],[delivery_status]])</f>
        <v>Delivered</v>
      </c>
      <c r="K3355" t="s">
        <v>6926</v>
      </c>
    </row>
    <row r="3356" spans="1:11">
      <c r="A3356" t="s">
        <v>10292</v>
      </c>
      <c r="B3356" t="s">
        <v>4053</v>
      </c>
      <c r="C3356" t="s">
        <v>6938</v>
      </c>
      <c r="D3356" s="1">
        <v>44960</v>
      </c>
      <c r="E3356" s="1">
        <v>44962</v>
      </c>
      <c r="F3356" s="1">
        <v>44962</v>
      </c>
      <c r="G3356">
        <v>55.88</v>
      </c>
      <c r="H33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356" t="str">
        <f>IFERROR(INDEX(Raw_orders!G:G, MATCH(shipments[[#This Row],[order_id]],Raw_orders!A:A, 0)), "Unknown")</f>
        <v>Nordics</v>
      </c>
      <c r="J3356" t="str">
        <f>PROPER(shipments[[#This Row],[delivery_status]])</f>
        <v>Delivered</v>
      </c>
      <c r="K3356" t="s">
        <v>6922</v>
      </c>
    </row>
    <row r="3357" spans="1:11">
      <c r="A3357" t="s">
        <v>10293</v>
      </c>
      <c r="B3357" t="s">
        <v>4054</v>
      </c>
      <c r="C3357" t="s">
        <v>6938</v>
      </c>
      <c r="D3357" s="1">
        <v>45140</v>
      </c>
      <c r="E3357" s="1">
        <v>45145</v>
      </c>
      <c r="F3357" s="1"/>
      <c r="G3357">
        <v>33.03</v>
      </c>
      <c r="H33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357" t="str">
        <f>IFERROR(INDEX(Raw_orders!G:G, MATCH(shipments[[#This Row],[order_id]],Raw_orders!A:A, 0)), "Unknown")</f>
        <v>Central Europe</v>
      </c>
      <c r="J3357" t="str">
        <f>PROPER(shipments[[#This Row],[delivery_status]])</f>
        <v>Cancelled</v>
      </c>
      <c r="K3357" t="s">
        <v>6979</v>
      </c>
    </row>
    <row r="3358" spans="1:11">
      <c r="A3358" t="s">
        <v>10294</v>
      </c>
      <c r="B3358" t="s">
        <v>4055</v>
      </c>
      <c r="C3358" t="s">
        <v>6935</v>
      </c>
      <c r="D3358" s="1">
        <v>45332</v>
      </c>
      <c r="E3358" s="1">
        <v>45335</v>
      </c>
      <c r="F3358" s="1"/>
      <c r="G3358">
        <v>28.99</v>
      </c>
      <c r="H33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358" t="str">
        <f>IFERROR(INDEX(Raw_orders!G:G, MATCH(shipments[[#This Row],[order_id]],Raw_orders!A:A, 0)), "Unknown")</f>
        <v>Central Europe</v>
      </c>
      <c r="J3358" t="str">
        <f>PROPER(shipments[[#This Row],[delivery_status]])</f>
        <v>Cancelled</v>
      </c>
      <c r="K3358" t="s">
        <v>6972</v>
      </c>
    </row>
    <row r="3359" spans="1:11">
      <c r="A3359" t="s">
        <v>10295</v>
      </c>
      <c r="B3359" t="s">
        <v>4056</v>
      </c>
      <c r="C3359" t="s">
        <v>6940</v>
      </c>
      <c r="D3359" s="1">
        <v>45034</v>
      </c>
      <c r="E3359" s="1">
        <v>45044</v>
      </c>
      <c r="F3359" s="1">
        <v>45043</v>
      </c>
      <c r="G3359">
        <v>41.77</v>
      </c>
      <c r="H33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359" t="str">
        <f>IFERROR(INDEX(Raw_orders!G:G, MATCH(shipments[[#This Row],[order_id]],Raw_orders!A:A, 0)), "Unknown")</f>
        <v>Baltics</v>
      </c>
      <c r="J3359" t="str">
        <f>PROPER(shipments[[#This Row],[delivery_status]])</f>
        <v>Delivered</v>
      </c>
      <c r="K3359" t="s">
        <v>6922</v>
      </c>
    </row>
    <row r="3360" spans="1:11">
      <c r="A3360" t="s">
        <v>10296</v>
      </c>
      <c r="B3360" t="s">
        <v>4057</v>
      </c>
      <c r="C3360" t="s">
        <v>6921</v>
      </c>
      <c r="D3360" s="1">
        <v>45194</v>
      </c>
      <c r="E3360" s="1">
        <v>45199</v>
      </c>
      <c r="F3360" s="1"/>
      <c r="G3360">
        <v>32.17</v>
      </c>
      <c r="H33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360" t="str">
        <f>IFERROR(INDEX(Raw_orders!G:G, MATCH(shipments[[#This Row],[order_id]],Raw_orders!A:A, 0)), "Unknown")</f>
        <v>Baltics</v>
      </c>
      <c r="J3360" t="str">
        <f>PROPER(shipments[[#This Row],[delivery_status]])</f>
        <v>In Transit</v>
      </c>
      <c r="K3360" t="s">
        <v>6977</v>
      </c>
    </row>
    <row r="3361" spans="1:11">
      <c r="A3361" t="s">
        <v>10297</v>
      </c>
      <c r="B3361" t="s">
        <v>4058</v>
      </c>
      <c r="C3361" t="s">
        <v>6921</v>
      </c>
      <c r="D3361" s="1">
        <v>45298</v>
      </c>
      <c r="E3361" s="1">
        <v>45301</v>
      </c>
      <c r="F3361" s="1">
        <v>45300</v>
      </c>
      <c r="G3361">
        <v>22.79</v>
      </c>
      <c r="H33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361" t="str">
        <f>IFERROR(INDEX(Raw_orders!G:G, MATCH(shipments[[#This Row],[order_id]],Raw_orders!A:A, 0)), "Unknown")</f>
        <v>Central Europe</v>
      </c>
      <c r="J3361" t="str">
        <f>PROPER(shipments[[#This Row],[delivery_status]])</f>
        <v>Delivered</v>
      </c>
      <c r="K3361" t="s">
        <v>6922</v>
      </c>
    </row>
    <row r="3362" spans="1:11">
      <c r="A3362" t="s">
        <v>10298</v>
      </c>
      <c r="B3362" t="s">
        <v>4059</v>
      </c>
      <c r="C3362" t="s">
        <v>6925</v>
      </c>
      <c r="D3362" s="1">
        <v>45092</v>
      </c>
      <c r="E3362" s="1">
        <v>45095</v>
      </c>
      <c r="F3362" s="1">
        <v>45096</v>
      </c>
      <c r="G3362">
        <v>44.64</v>
      </c>
      <c r="H33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62" t="str">
        <f>IFERROR(INDEX(Raw_orders!G:G, MATCH(shipments[[#This Row],[order_id]],Raw_orders!A:A, 0)), "Unknown")</f>
        <v>Central Europe</v>
      </c>
      <c r="J3362" t="str">
        <f>PROPER(shipments[[#This Row],[delivery_status]])</f>
        <v>Delivered</v>
      </c>
      <c r="K3362" t="s">
        <v>6929</v>
      </c>
    </row>
    <row r="3363" spans="1:11">
      <c r="A3363" t="s">
        <v>10299</v>
      </c>
      <c r="B3363" t="s">
        <v>4060</v>
      </c>
      <c r="C3363" t="s">
        <v>6949</v>
      </c>
      <c r="D3363" s="1">
        <v>44978</v>
      </c>
      <c r="E3363" s="1">
        <v>44988</v>
      </c>
      <c r="F3363" s="1">
        <v>44988</v>
      </c>
      <c r="G3363">
        <v>22.78</v>
      </c>
      <c r="H33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363" t="str">
        <f>IFERROR(INDEX(Raw_orders!G:G, MATCH(shipments[[#This Row],[order_id]],Raw_orders!A:A, 0)), "Unknown")</f>
        <v>Central Europe</v>
      </c>
      <c r="J3363" t="str">
        <f>PROPER(shipments[[#This Row],[delivery_status]])</f>
        <v>Delivered</v>
      </c>
      <c r="K3363" t="s">
        <v>6929</v>
      </c>
    </row>
    <row r="3364" spans="1:11">
      <c r="A3364" t="s">
        <v>10300</v>
      </c>
      <c r="B3364" t="s">
        <v>4061</v>
      </c>
      <c r="C3364" t="s">
        <v>6925</v>
      </c>
      <c r="D3364" s="1">
        <v>45176</v>
      </c>
      <c r="E3364" s="1">
        <v>45179</v>
      </c>
      <c r="F3364" s="1">
        <v>45188</v>
      </c>
      <c r="G3364">
        <v>38.69</v>
      </c>
      <c r="H33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64" t="str">
        <f>IFERROR(INDEX(Raw_orders!G:G, MATCH(shipments[[#This Row],[order_id]],Raw_orders!A:A, 0)), "Unknown")</f>
        <v>Central Europe</v>
      </c>
      <c r="J3364" t="str">
        <f>PROPER(shipments[[#This Row],[delivery_status]])</f>
        <v>Delivered</v>
      </c>
      <c r="K3364" t="s">
        <v>6929</v>
      </c>
    </row>
    <row r="3365" spans="1:11">
      <c r="A3365" t="s">
        <v>10301</v>
      </c>
      <c r="B3365" t="s">
        <v>4062</v>
      </c>
      <c r="C3365" t="s">
        <v>6956</v>
      </c>
      <c r="D3365" s="1">
        <v>45323</v>
      </c>
      <c r="E3365" s="1">
        <v>45330</v>
      </c>
      <c r="F3365" s="1">
        <v>45333</v>
      </c>
      <c r="G3365">
        <v>18.36</v>
      </c>
      <c r="H33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65" t="str">
        <f>IFERROR(INDEX(Raw_orders!G:G, MATCH(shipments[[#This Row],[order_id]],Raw_orders!A:A, 0)), "Unknown")</f>
        <v>Central Europe</v>
      </c>
      <c r="J3365" t="str">
        <f>PROPER(shipments[[#This Row],[delivery_status]])</f>
        <v>Delivered</v>
      </c>
      <c r="K3365" t="s">
        <v>6922</v>
      </c>
    </row>
    <row r="3366" spans="1:11">
      <c r="A3366" t="s">
        <v>10302</v>
      </c>
      <c r="B3366" t="s">
        <v>4063</v>
      </c>
      <c r="C3366" t="s">
        <v>6940</v>
      </c>
      <c r="D3366" s="1">
        <v>45544</v>
      </c>
      <c r="E3366" s="1">
        <v>45546</v>
      </c>
      <c r="F3366" s="1">
        <v>45547</v>
      </c>
      <c r="G3366">
        <v>63.39</v>
      </c>
      <c r="H33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66" t="str">
        <f>IFERROR(INDEX(Raw_orders!G:G, MATCH(shipments[[#This Row],[order_id]],Raw_orders!A:A, 0)), "Unknown")</f>
        <v>Central Europe</v>
      </c>
      <c r="J3366" t="str">
        <f>PROPER(shipments[[#This Row],[delivery_status]])</f>
        <v>Delivered</v>
      </c>
      <c r="K3366" t="s">
        <v>6929</v>
      </c>
    </row>
    <row r="3367" spans="1:11">
      <c r="A3367" t="s">
        <v>10303</v>
      </c>
      <c r="B3367" t="s">
        <v>4064</v>
      </c>
      <c r="C3367" t="s">
        <v>6928</v>
      </c>
      <c r="D3367" s="1">
        <v>45053</v>
      </c>
      <c r="E3367" s="1">
        <v>45060</v>
      </c>
      <c r="F3367" s="1">
        <v>45060</v>
      </c>
      <c r="G3367">
        <v>11.32</v>
      </c>
      <c r="H33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367" t="str">
        <f>IFERROR(INDEX(Raw_orders!G:G, MATCH(shipments[[#This Row],[order_id]],Raw_orders!A:A, 0)), "Unknown")</f>
        <v>Nordics</v>
      </c>
      <c r="J3367" t="str">
        <f>PROPER(shipments[[#This Row],[delivery_status]])</f>
        <v>Delivered</v>
      </c>
      <c r="K3367" t="s">
        <v>6926</v>
      </c>
    </row>
    <row r="3368" spans="1:11">
      <c r="A3368" t="s">
        <v>10304</v>
      </c>
      <c r="B3368" t="s">
        <v>4065</v>
      </c>
      <c r="C3368" t="s">
        <v>6925</v>
      </c>
      <c r="D3368" s="1">
        <v>45611</v>
      </c>
      <c r="E3368" s="1">
        <v>45616</v>
      </c>
      <c r="F3368" s="1">
        <v>45625</v>
      </c>
      <c r="G3368">
        <v>19.760000000000002</v>
      </c>
      <c r="H33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68" t="str">
        <f>IFERROR(INDEX(Raw_orders!G:G, MATCH(shipments[[#This Row],[order_id]],Raw_orders!A:A, 0)), "Unknown")</f>
        <v>Baltics</v>
      </c>
      <c r="J3368" t="str">
        <f>PROPER(shipments[[#This Row],[delivery_status]])</f>
        <v>Delivered</v>
      </c>
      <c r="K3368" t="s">
        <v>6929</v>
      </c>
    </row>
    <row r="3369" spans="1:11">
      <c r="A3369" t="s">
        <v>10305</v>
      </c>
      <c r="B3369" t="s">
        <v>4066</v>
      </c>
      <c r="C3369" t="s">
        <v>6935</v>
      </c>
      <c r="D3369" s="1">
        <v>45066</v>
      </c>
      <c r="E3369" s="1">
        <v>45069</v>
      </c>
      <c r="F3369" s="1">
        <v>45069</v>
      </c>
      <c r="G3369">
        <v>59.96</v>
      </c>
      <c r="H33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369" t="str">
        <f>IFERROR(INDEX(Raw_orders!G:G, MATCH(shipments[[#This Row],[order_id]],Raw_orders!A:A, 0)), "Unknown")</f>
        <v>Baltics</v>
      </c>
      <c r="J3369" t="str">
        <f>PROPER(shipments[[#This Row],[delivery_status]])</f>
        <v>Delivered</v>
      </c>
      <c r="K3369" t="s">
        <v>6929</v>
      </c>
    </row>
    <row r="3370" spans="1:11">
      <c r="A3370" t="s">
        <v>10306</v>
      </c>
      <c r="B3370" t="s">
        <v>4067</v>
      </c>
      <c r="C3370" t="s">
        <v>6925</v>
      </c>
      <c r="D3370" s="1">
        <v>45348</v>
      </c>
      <c r="E3370" s="1">
        <v>45353</v>
      </c>
      <c r="F3370" s="1">
        <v>45359</v>
      </c>
      <c r="G3370">
        <v>10.95</v>
      </c>
      <c r="H33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70" t="str">
        <f>IFERROR(INDEX(Raw_orders!G:G, MATCH(shipments[[#This Row],[order_id]],Raw_orders!A:A, 0)), "Unknown")</f>
        <v>Nordics</v>
      </c>
      <c r="J3370" t="str">
        <f>PROPER(shipments[[#This Row],[delivery_status]])</f>
        <v>Delivered</v>
      </c>
      <c r="K3370" t="s">
        <v>6922</v>
      </c>
    </row>
    <row r="3371" spans="1:11">
      <c r="A3371" t="s">
        <v>10307</v>
      </c>
      <c r="B3371" t="s">
        <v>4068</v>
      </c>
      <c r="C3371" t="s">
        <v>6925</v>
      </c>
      <c r="D3371" s="1">
        <v>45278</v>
      </c>
      <c r="E3371" s="1">
        <v>45283</v>
      </c>
      <c r="F3371" s="1">
        <v>45286</v>
      </c>
      <c r="G3371">
        <v>9.11</v>
      </c>
      <c r="H33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71" t="str">
        <f>IFERROR(INDEX(Raw_orders!G:G, MATCH(shipments[[#This Row],[order_id]],Raw_orders!A:A, 0)), "Unknown")</f>
        <v>Baltics</v>
      </c>
      <c r="J3371" t="str">
        <f>PROPER(shipments[[#This Row],[delivery_status]])</f>
        <v>Delivered</v>
      </c>
      <c r="K3371" t="s">
        <v>6922</v>
      </c>
    </row>
    <row r="3372" spans="1:11">
      <c r="A3372" t="s">
        <v>10308</v>
      </c>
      <c r="B3372" t="s">
        <v>4069</v>
      </c>
      <c r="C3372" t="s">
        <v>6949</v>
      </c>
      <c r="D3372" s="1">
        <v>44933</v>
      </c>
      <c r="E3372" s="1">
        <v>44943</v>
      </c>
      <c r="F3372" s="1">
        <v>44948</v>
      </c>
      <c r="G3372">
        <v>46.69</v>
      </c>
      <c r="H33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72" t="str">
        <f>IFERROR(INDEX(Raw_orders!G:G, MATCH(shipments[[#This Row],[order_id]],Raw_orders!A:A, 0)), "Unknown")</f>
        <v>Central Europe</v>
      </c>
      <c r="J3372" t="str">
        <f>PROPER(shipments[[#This Row],[delivery_status]])</f>
        <v>Delivered</v>
      </c>
      <c r="K3372" t="s">
        <v>6926</v>
      </c>
    </row>
    <row r="3373" spans="1:11">
      <c r="A3373" t="s">
        <v>10309</v>
      </c>
      <c r="B3373" t="s">
        <v>4070</v>
      </c>
      <c r="C3373" t="s">
        <v>6956</v>
      </c>
      <c r="D3373" s="1">
        <v>45345</v>
      </c>
      <c r="E3373" s="1">
        <v>45350</v>
      </c>
      <c r="F3373" s="1">
        <v>45350</v>
      </c>
      <c r="G3373">
        <v>52.7</v>
      </c>
      <c r="H33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373" t="str">
        <f>IFERROR(INDEX(Raw_orders!G:G, MATCH(shipments[[#This Row],[order_id]],Raw_orders!A:A, 0)), "Unknown")</f>
        <v>Unknown</v>
      </c>
      <c r="J3373" t="str">
        <f>PROPER(shipments[[#This Row],[delivery_status]])</f>
        <v>Delivered</v>
      </c>
      <c r="K3373" t="s">
        <v>6926</v>
      </c>
    </row>
    <row r="3374" spans="1:11">
      <c r="A3374" t="s">
        <v>10310</v>
      </c>
      <c r="B3374" t="s">
        <v>4071</v>
      </c>
      <c r="C3374" t="s">
        <v>6949</v>
      </c>
      <c r="D3374" s="1">
        <v>45335</v>
      </c>
      <c r="E3374" s="1">
        <v>45337</v>
      </c>
      <c r="F3374" s="1">
        <v>45336</v>
      </c>
      <c r="G3374">
        <v>8.23</v>
      </c>
      <c r="H33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374" t="str">
        <f>IFERROR(INDEX(Raw_orders!G:G, MATCH(shipments[[#This Row],[order_id]],Raw_orders!A:A, 0)), "Unknown")</f>
        <v>Nordics</v>
      </c>
      <c r="J3374" t="str">
        <f>PROPER(shipments[[#This Row],[delivery_status]])</f>
        <v>Delivered</v>
      </c>
      <c r="K3374" t="s">
        <v>6926</v>
      </c>
    </row>
    <row r="3375" spans="1:11">
      <c r="A3375" t="s">
        <v>10311</v>
      </c>
      <c r="B3375" t="s">
        <v>4072</v>
      </c>
      <c r="C3375" t="s">
        <v>6935</v>
      </c>
      <c r="D3375" s="1">
        <v>44961</v>
      </c>
      <c r="E3375" s="1">
        <v>44968</v>
      </c>
      <c r="F3375" s="1"/>
      <c r="G3375">
        <v>24.48</v>
      </c>
      <c r="H33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375" t="str">
        <f>IFERROR(INDEX(Raw_orders!G:G, MATCH(shipments[[#This Row],[order_id]],Raw_orders!A:A, 0)), "Unknown")</f>
        <v>Central Europe</v>
      </c>
      <c r="J3375" t="str">
        <f>PROPER(shipments[[#This Row],[delivery_status]])</f>
        <v>Cancelled</v>
      </c>
      <c r="K3375" t="s">
        <v>6963</v>
      </c>
    </row>
    <row r="3376" spans="1:11">
      <c r="A3376" t="s">
        <v>10312</v>
      </c>
      <c r="B3376" t="s">
        <v>4073</v>
      </c>
      <c r="C3376" t="s">
        <v>6928</v>
      </c>
      <c r="D3376" s="1">
        <v>45015</v>
      </c>
      <c r="E3376" s="1">
        <v>45025</v>
      </c>
      <c r="F3376" s="1"/>
      <c r="G3376">
        <v>25.12</v>
      </c>
      <c r="H33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376" t="str">
        <f>IFERROR(INDEX(Raw_orders!G:G, MATCH(shipments[[#This Row],[order_id]],Raw_orders!A:A, 0)), "Unknown")</f>
        <v>Baltics</v>
      </c>
      <c r="J3376" t="str">
        <f>PROPER(shipments[[#This Row],[delivery_status]])</f>
        <v>In Transit</v>
      </c>
      <c r="K3376" t="s">
        <v>6946</v>
      </c>
    </row>
    <row r="3377" spans="1:11">
      <c r="A3377" t="s">
        <v>10313</v>
      </c>
      <c r="B3377" t="s">
        <v>4074</v>
      </c>
      <c r="C3377" t="s">
        <v>6935</v>
      </c>
      <c r="D3377" s="1">
        <v>45302</v>
      </c>
      <c r="E3377" s="1">
        <v>45304</v>
      </c>
      <c r="F3377" s="1">
        <v>45312</v>
      </c>
      <c r="G3377">
        <v>31.74</v>
      </c>
      <c r="H33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77" t="str">
        <f>IFERROR(INDEX(Raw_orders!G:G, MATCH(shipments[[#This Row],[order_id]],Raw_orders!A:A, 0)), "Unknown")</f>
        <v>Central Europe</v>
      </c>
      <c r="J3377" t="str">
        <f>PROPER(shipments[[#This Row],[delivery_status]])</f>
        <v>Delivered</v>
      </c>
      <c r="K3377" t="s">
        <v>6929</v>
      </c>
    </row>
    <row r="3378" spans="1:11">
      <c r="A3378" t="s">
        <v>10314</v>
      </c>
      <c r="B3378" t="s">
        <v>4075</v>
      </c>
      <c r="C3378" t="s">
        <v>6921</v>
      </c>
      <c r="D3378" s="1">
        <v>45390</v>
      </c>
      <c r="E3378" s="1">
        <v>45393</v>
      </c>
      <c r="F3378" s="1">
        <v>45393</v>
      </c>
      <c r="G3378">
        <v>57.07</v>
      </c>
      <c r="H33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378" t="str">
        <f>IFERROR(INDEX(Raw_orders!G:G, MATCH(shipments[[#This Row],[order_id]],Raw_orders!A:A, 0)), "Unknown")</f>
        <v>Nordics</v>
      </c>
      <c r="J3378" t="str">
        <f>PROPER(shipments[[#This Row],[delivery_status]])</f>
        <v>Delivered</v>
      </c>
      <c r="K3378" t="s">
        <v>6922</v>
      </c>
    </row>
    <row r="3379" spans="1:11">
      <c r="A3379" t="s">
        <v>10315</v>
      </c>
      <c r="B3379" t="s">
        <v>4075</v>
      </c>
      <c r="C3379" t="s">
        <v>6956</v>
      </c>
      <c r="D3379" s="1">
        <v>45389</v>
      </c>
      <c r="E3379" s="1">
        <v>45394</v>
      </c>
      <c r="F3379" s="1">
        <v>45396</v>
      </c>
      <c r="G3379">
        <v>54.84</v>
      </c>
      <c r="H33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79" t="str">
        <f>IFERROR(INDEX(Raw_orders!G:G, MATCH(shipments[[#This Row],[order_id]],Raw_orders!A:A, 0)), "Unknown")</f>
        <v>Nordics</v>
      </c>
      <c r="J3379" t="str">
        <f>PROPER(shipments[[#This Row],[delivery_status]])</f>
        <v>Delivered</v>
      </c>
      <c r="K3379" t="s">
        <v>6922</v>
      </c>
    </row>
    <row r="3380" spans="1:11">
      <c r="A3380" t="s">
        <v>10316</v>
      </c>
      <c r="B3380" t="s">
        <v>4076</v>
      </c>
      <c r="C3380" t="s">
        <v>6935</v>
      </c>
      <c r="D3380" s="1">
        <v>45625</v>
      </c>
      <c r="E3380" s="1">
        <v>45635</v>
      </c>
      <c r="F3380" s="1">
        <v>45638</v>
      </c>
      <c r="G3380">
        <v>48.51</v>
      </c>
      <c r="H33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80" t="str">
        <f>IFERROR(INDEX(Raw_orders!G:G, MATCH(shipments[[#This Row],[order_id]],Raw_orders!A:A, 0)), "Unknown")</f>
        <v>Baltics</v>
      </c>
      <c r="J3380" t="str">
        <f>PROPER(shipments[[#This Row],[delivery_status]])</f>
        <v>Delivered</v>
      </c>
      <c r="K3380" t="s">
        <v>6929</v>
      </c>
    </row>
    <row r="3381" spans="1:11">
      <c r="A3381" t="s">
        <v>10317</v>
      </c>
      <c r="B3381" t="s">
        <v>4077</v>
      </c>
      <c r="C3381" t="s">
        <v>6940</v>
      </c>
      <c r="D3381" s="1">
        <v>45487</v>
      </c>
      <c r="E3381" s="1">
        <v>45492</v>
      </c>
      <c r="F3381" s="1">
        <v>45491</v>
      </c>
      <c r="G3381">
        <v>58.9</v>
      </c>
      <c r="H33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381" t="str">
        <f>IFERROR(INDEX(Raw_orders!G:G, MATCH(shipments[[#This Row],[order_id]],Raw_orders!A:A, 0)), "Unknown")</f>
        <v>Central Europe</v>
      </c>
      <c r="J3381" t="str">
        <f>PROPER(shipments[[#This Row],[delivery_status]])</f>
        <v>Delivered</v>
      </c>
      <c r="K3381" t="s">
        <v>6926</v>
      </c>
    </row>
    <row r="3382" spans="1:11">
      <c r="A3382" t="s">
        <v>10318</v>
      </c>
      <c r="B3382" t="s">
        <v>4078</v>
      </c>
      <c r="C3382" t="s">
        <v>6940</v>
      </c>
      <c r="D3382" s="1">
        <v>45575</v>
      </c>
      <c r="E3382" s="1">
        <v>45582</v>
      </c>
      <c r="F3382" s="1">
        <v>45587</v>
      </c>
      <c r="G3382">
        <v>4.72</v>
      </c>
      <c r="H33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82" t="str">
        <f>IFERROR(INDEX(Raw_orders!G:G, MATCH(shipments[[#This Row],[order_id]],Raw_orders!A:A, 0)), "Unknown")</f>
        <v>Baltics</v>
      </c>
      <c r="J3382" t="str">
        <f>PROPER(shipments[[#This Row],[delivery_status]])</f>
        <v>Delivered</v>
      </c>
      <c r="K3382" t="s">
        <v>6926</v>
      </c>
    </row>
    <row r="3383" spans="1:11">
      <c r="A3383" t="s">
        <v>10319</v>
      </c>
      <c r="B3383" t="s">
        <v>4079</v>
      </c>
      <c r="C3383" t="s">
        <v>6940</v>
      </c>
      <c r="D3383" s="1">
        <v>45234</v>
      </c>
      <c r="E3383" s="1">
        <v>45236</v>
      </c>
      <c r="F3383" s="1">
        <v>45236</v>
      </c>
      <c r="G3383">
        <v>61.09</v>
      </c>
      <c r="H33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383" t="str">
        <f>IFERROR(INDEX(Raw_orders!G:G, MATCH(shipments[[#This Row],[order_id]],Raw_orders!A:A, 0)), "Unknown")</f>
        <v>Nordics</v>
      </c>
      <c r="J3383" t="str">
        <f>PROPER(shipments[[#This Row],[delivery_status]])</f>
        <v>Delivered</v>
      </c>
      <c r="K3383" t="s">
        <v>6929</v>
      </c>
    </row>
    <row r="3384" spans="1:11">
      <c r="A3384" t="s">
        <v>10320</v>
      </c>
      <c r="B3384" t="s">
        <v>4080</v>
      </c>
      <c r="C3384" t="s">
        <v>6935</v>
      </c>
      <c r="D3384" s="1">
        <v>45566</v>
      </c>
      <c r="E3384" s="1">
        <v>45573</v>
      </c>
      <c r="F3384" s="1">
        <v>45576</v>
      </c>
      <c r="G3384">
        <v>13.28</v>
      </c>
      <c r="H33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84" t="str">
        <f>IFERROR(INDEX(Raw_orders!G:G, MATCH(shipments[[#This Row],[order_id]],Raw_orders!A:A, 0)), "Unknown")</f>
        <v>Central Europe</v>
      </c>
      <c r="J3384" t="str">
        <f>PROPER(shipments[[#This Row],[delivery_status]])</f>
        <v>Delivered</v>
      </c>
      <c r="K3384" t="s">
        <v>6926</v>
      </c>
    </row>
    <row r="3385" spans="1:11">
      <c r="A3385" t="s">
        <v>10321</v>
      </c>
      <c r="B3385" t="s">
        <v>4081</v>
      </c>
      <c r="C3385" t="s">
        <v>6938</v>
      </c>
      <c r="D3385" s="1">
        <v>45199</v>
      </c>
      <c r="E3385" s="1">
        <v>45201</v>
      </c>
      <c r="F3385" s="1">
        <v>45209</v>
      </c>
      <c r="G3385">
        <v>46.06</v>
      </c>
      <c r="H33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85" t="str">
        <f>IFERROR(INDEX(Raw_orders!G:G, MATCH(shipments[[#This Row],[order_id]],Raw_orders!A:A, 0)), "Unknown")</f>
        <v>Central Europe</v>
      </c>
      <c r="J3385" t="str">
        <f>PROPER(shipments[[#This Row],[delivery_status]])</f>
        <v>Delivered</v>
      </c>
      <c r="K3385" t="s">
        <v>6929</v>
      </c>
    </row>
    <row r="3386" spans="1:11">
      <c r="A3386" t="s">
        <v>10322</v>
      </c>
      <c r="B3386" t="s">
        <v>4082</v>
      </c>
      <c r="C3386" t="s">
        <v>6931</v>
      </c>
      <c r="D3386" s="1">
        <v>44935</v>
      </c>
      <c r="E3386" s="1">
        <v>44937</v>
      </c>
      <c r="F3386" s="1">
        <v>44937</v>
      </c>
      <c r="G3386">
        <v>21.65</v>
      </c>
      <c r="H33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386" t="str">
        <f>IFERROR(INDEX(Raw_orders!G:G, MATCH(shipments[[#This Row],[order_id]],Raw_orders!A:A, 0)), "Unknown")</f>
        <v>Central Europe</v>
      </c>
      <c r="J3386" t="str">
        <f>PROPER(shipments[[#This Row],[delivery_status]])</f>
        <v>Delivered</v>
      </c>
      <c r="K3386" t="s">
        <v>6929</v>
      </c>
    </row>
    <row r="3387" spans="1:11">
      <c r="A3387" t="s">
        <v>10323</v>
      </c>
      <c r="B3387" t="s">
        <v>4083</v>
      </c>
      <c r="C3387" t="s">
        <v>6938</v>
      </c>
      <c r="D3387" s="1">
        <v>45559</v>
      </c>
      <c r="E3387" s="1">
        <v>45569</v>
      </c>
      <c r="F3387" s="1"/>
      <c r="G3387">
        <v>28.6</v>
      </c>
      <c r="H33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387" t="str">
        <f>IFERROR(INDEX(Raw_orders!G:G, MATCH(shipments[[#This Row],[order_id]],Raw_orders!A:A, 0)), "Unknown")</f>
        <v>Nordics</v>
      </c>
      <c r="J3387" t="str">
        <f>PROPER(shipments[[#This Row],[delivery_status]])</f>
        <v>In Transit</v>
      </c>
      <c r="K3387" t="s">
        <v>6977</v>
      </c>
    </row>
    <row r="3388" spans="1:11">
      <c r="A3388" t="s">
        <v>10324</v>
      </c>
      <c r="B3388" t="s">
        <v>4084</v>
      </c>
      <c r="C3388" t="s">
        <v>6925</v>
      </c>
      <c r="D3388" s="1">
        <v>45208</v>
      </c>
      <c r="E3388" s="1">
        <v>45211</v>
      </c>
      <c r="F3388" s="1">
        <v>45218</v>
      </c>
      <c r="G3388">
        <v>11.53</v>
      </c>
      <c r="H33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88" t="str">
        <f>IFERROR(INDEX(Raw_orders!G:G, MATCH(shipments[[#This Row],[order_id]],Raw_orders!A:A, 0)), "Unknown")</f>
        <v>Nordics</v>
      </c>
      <c r="J3388" t="str">
        <f>PROPER(shipments[[#This Row],[delivery_status]])</f>
        <v>Delivered</v>
      </c>
      <c r="K3388" t="s">
        <v>6922</v>
      </c>
    </row>
    <row r="3389" spans="1:11">
      <c r="A3389" t="s">
        <v>10325</v>
      </c>
      <c r="B3389" t="s">
        <v>4085</v>
      </c>
      <c r="C3389" t="s">
        <v>6921</v>
      </c>
      <c r="D3389" s="1">
        <v>44976</v>
      </c>
      <c r="E3389" s="1">
        <v>44979</v>
      </c>
      <c r="F3389" s="1">
        <v>44983</v>
      </c>
      <c r="G3389">
        <v>59.75</v>
      </c>
      <c r="H33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89" t="str">
        <f>IFERROR(INDEX(Raw_orders!G:G, MATCH(shipments[[#This Row],[order_id]],Raw_orders!A:A, 0)), "Unknown")</f>
        <v>Central Europe</v>
      </c>
      <c r="J3389" t="str">
        <f>PROPER(shipments[[#This Row],[delivery_status]])</f>
        <v>Delivered</v>
      </c>
      <c r="K3389" t="s">
        <v>6922</v>
      </c>
    </row>
    <row r="3390" spans="1:11">
      <c r="A3390" t="s">
        <v>10326</v>
      </c>
      <c r="B3390" t="s">
        <v>4086</v>
      </c>
      <c r="C3390" t="s">
        <v>6956</v>
      </c>
      <c r="D3390" s="1">
        <v>45398</v>
      </c>
      <c r="E3390" s="1">
        <v>45400</v>
      </c>
      <c r="F3390" s="1">
        <v>45403</v>
      </c>
      <c r="G3390">
        <v>20.350000000000001</v>
      </c>
      <c r="H33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90" t="str">
        <f>IFERROR(INDEX(Raw_orders!G:G, MATCH(shipments[[#This Row],[order_id]],Raw_orders!A:A, 0)), "Unknown")</f>
        <v>Nordics</v>
      </c>
      <c r="J3390" t="str">
        <f>PROPER(shipments[[#This Row],[delivery_status]])</f>
        <v>Delivered</v>
      </c>
      <c r="K3390" t="s">
        <v>6929</v>
      </c>
    </row>
    <row r="3391" spans="1:11">
      <c r="A3391" t="s">
        <v>10327</v>
      </c>
      <c r="B3391" t="s">
        <v>4087</v>
      </c>
      <c r="C3391" t="s">
        <v>6921</v>
      </c>
      <c r="D3391" s="1">
        <v>45189</v>
      </c>
      <c r="E3391" s="1">
        <v>45192</v>
      </c>
      <c r="F3391" s="1">
        <v>45194</v>
      </c>
      <c r="G3391">
        <v>44.92</v>
      </c>
      <c r="H33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91" t="str">
        <f>IFERROR(INDEX(Raw_orders!G:G, MATCH(shipments[[#This Row],[order_id]],Raw_orders!A:A, 0)), "Unknown")</f>
        <v>Central Europe</v>
      </c>
      <c r="J3391" t="str">
        <f>PROPER(shipments[[#This Row],[delivery_status]])</f>
        <v>Delivered</v>
      </c>
      <c r="K3391" t="s">
        <v>6922</v>
      </c>
    </row>
    <row r="3392" spans="1:11">
      <c r="A3392" t="s">
        <v>10328</v>
      </c>
      <c r="B3392" t="s">
        <v>4087</v>
      </c>
      <c r="C3392" t="s">
        <v>6931</v>
      </c>
      <c r="D3392" s="1">
        <v>45190</v>
      </c>
      <c r="E3392" s="1">
        <v>45197</v>
      </c>
      <c r="F3392" s="1">
        <v>45201</v>
      </c>
      <c r="G3392">
        <v>47.6</v>
      </c>
      <c r="H33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92" t="str">
        <f>IFERROR(INDEX(Raw_orders!G:G, MATCH(shipments[[#This Row],[order_id]],Raw_orders!A:A, 0)), "Unknown")</f>
        <v>Central Europe</v>
      </c>
      <c r="J3392" t="str">
        <f>PROPER(shipments[[#This Row],[delivery_status]])</f>
        <v>Delivered</v>
      </c>
      <c r="K3392" t="s">
        <v>6926</v>
      </c>
    </row>
    <row r="3393" spans="1:11">
      <c r="A3393" t="s">
        <v>10329</v>
      </c>
      <c r="B3393" t="s">
        <v>4088</v>
      </c>
      <c r="C3393" t="s">
        <v>6928</v>
      </c>
      <c r="D3393" s="1">
        <v>45551</v>
      </c>
      <c r="E3393" s="1">
        <v>45553</v>
      </c>
      <c r="F3393" s="1">
        <v>45556</v>
      </c>
      <c r="H33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93" t="str">
        <f>IFERROR(INDEX(Raw_orders!G:G, MATCH(shipments[[#This Row],[order_id]],Raw_orders!A:A, 0)), "Unknown")</f>
        <v>Nordics</v>
      </c>
      <c r="J3393" t="str">
        <f>PROPER(shipments[[#This Row],[delivery_status]])</f>
        <v>Delivered</v>
      </c>
      <c r="K3393" t="s">
        <v>6926</v>
      </c>
    </row>
    <row r="3394" spans="1:11">
      <c r="A3394" t="s">
        <v>10330</v>
      </c>
      <c r="B3394" t="s">
        <v>4089</v>
      </c>
      <c r="C3394" t="s">
        <v>6935</v>
      </c>
      <c r="D3394" s="1">
        <v>45127</v>
      </c>
      <c r="E3394" s="1">
        <v>45134</v>
      </c>
      <c r="F3394" s="1">
        <v>45135</v>
      </c>
      <c r="G3394">
        <v>30.36</v>
      </c>
      <c r="H33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94" t="str">
        <f>IFERROR(INDEX(Raw_orders!G:G, MATCH(shipments[[#This Row],[order_id]],Raw_orders!A:A, 0)), "Unknown")</f>
        <v>Nordics</v>
      </c>
      <c r="J3394" t="str">
        <f>PROPER(shipments[[#This Row],[delivery_status]])</f>
        <v>Delivered</v>
      </c>
      <c r="K3394" t="s">
        <v>6929</v>
      </c>
    </row>
    <row r="3395" spans="1:11">
      <c r="A3395" t="s">
        <v>10331</v>
      </c>
      <c r="B3395" t="s">
        <v>4090</v>
      </c>
      <c r="C3395" t="s">
        <v>6956</v>
      </c>
      <c r="D3395" s="1">
        <v>45345</v>
      </c>
      <c r="E3395" s="1">
        <v>45352</v>
      </c>
      <c r="F3395" s="1">
        <v>45354</v>
      </c>
      <c r="G3395">
        <v>40.49</v>
      </c>
      <c r="H33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95" t="str">
        <f>IFERROR(INDEX(Raw_orders!G:G, MATCH(shipments[[#This Row],[order_id]],Raw_orders!A:A, 0)), "Unknown")</f>
        <v>Central Europe</v>
      </c>
      <c r="J3395" t="str">
        <f>PROPER(shipments[[#This Row],[delivery_status]])</f>
        <v>Delivered</v>
      </c>
      <c r="K3395" t="s">
        <v>6922</v>
      </c>
    </row>
    <row r="3396" spans="1:11">
      <c r="A3396" t="s">
        <v>10332</v>
      </c>
      <c r="B3396" t="s">
        <v>4091</v>
      </c>
      <c r="C3396" t="s">
        <v>6935</v>
      </c>
      <c r="D3396" s="1">
        <v>45417</v>
      </c>
      <c r="E3396" s="1">
        <v>45424</v>
      </c>
      <c r="F3396" s="1">
        <v>45435</v>
      </c>
      <c r="G3396">
        <v>6.56</v>
      </c>
      <c r="H33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96" t="str">
        <f>IFERROR(INDEX(Raw_orders!G:G, MATCH(shipments[[#This Row],[order_id]],Raw_orders!A:A, 0)), "Unknown")</f>
        <v>Central Europe</v>
      </c>
      <c r="J3396" t="str">
        <f>PROPER(shipments[[#This Row],[delivery_status]])</f>
        <v>Delivered</v>
      </c>
      <c r="K3396" t="s">
        <v>6929</v>
      </c>
    </row>
    <row r="3397" spans="1:11">
      <c r="A3397" t="s">
        <v>10333</v>
      </c>
      <c r="B3397" t="s">
        <v>4091</v>
      </c>
      <c r="C3397" t="s">
        <v>6956</v>
      </c>
      <c r="D3397" s="1">
        <v>45418</v>
      </c>
      <c r="E3397" s="1">
        <v>45421</v>
      </c>
      <c r="F3397" s="1">
        <v>45422</v>
      </c>
      <c r="G3397">
        <v>18.29</v>
      </c>
      <c r="H33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97" t="str">
        <f>IFERROR(INDEX(Raw_orders!G:G, MATCH(shipments[[#This Row],[order_id]],Raw_orders!A:A, 0)), "Unknown")</f>
        <v>Central Europe</v>
      </c>
      <c r="J3397" t="str">
        <f>PROPER(shipments[[#This Row],[delivery_status]])</f>
        <v>Delivered</v>
      </c>
      <c r="K3397" t="s">
        <v>6926</v>
      </c>
    </row>
    <row r="3398" spans="1:11">
      <c r="A3398" t="s">
        <v>10334</v>
      </c>
      <c r="B3398" t="s">
        <v>4092</v>
      </c>
      <c r="C3398" t="s">
        <v>6938</v>
      </c>
      <c r="D3398" s="1">
        <v>45234</v>
      </c>
      <c r="E3398" s="1">
        <v>45236</v>
      </c>
      <c r="F3398" s="1"/>
      <c r="G3398">
        <v>19</v>
      </c>
      <c r="H33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398" t="str">
        <f>IFERROR(INDEX(Raw_orders!G:G, MATCH(shipments[[#This Row],[order_id]],Raw_orders!A:A, 0)), "Unknown")</f>
        <v>Baltics</v>
      </c>
      <c r="J3398" t="str">
        <f>PROPER(shipments[[#This Row],[delivery_status]])</f>
        <v>Cancelled</v>
      </c>
      <c r="K3398" t="s">
        <v>6972</v>
      </c>
    </row>
    <row r="3399" spans="1:11">
      <c r="A3399" t="s">
        <v>10335</v>
      </c>
      <c r="B3399" t="s">
        <v>4093</v>
      </c>
      <c r="C3399" t="s">
        <v>6956</v>
      </c>
      <c r="D3399" s="1">
        <v>45382</v>
      </c>
      <c r="E3399" s="1">
        <v>45392</v>
      </c>
      <c r="F3399" s="1">
        <v>45393</v>
      </c>
      <c r="G3399">
        <v>36.19</v>
      </c>
      <c r="H33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399" t="str">
        <f>IFERROR(INDEX(Raw_orders!G:G, MATCH(shipments[[#This Row],[order_id]],Raw_orders!A:A, 0)), "Unknown")</f>
        <v>Nordics</v>
      </c>
      <c r="J3399" t="str">
        <f>PROPER(shipments[[#This Row],[delivery_status]])</f>
        <v>Delivered</v>
      </c>
      <c r="K3399" t="s">
        <v>6922</v>
      </c>
    </row>
    <row r="3400" spans="1:11">
      <c r="A3400" t="s">
        <v>10336</v>
      </c>
      <c r="B3400" t="s">
        <v>4093</v>
      </c>
      <c r="C3400" t="s">
        <v>6925</v>
      </c>
      <c r="D3400" s="1">
        <v>45382</v>
      </c>
      <c r="E3400" s="1">
        <v>45387</v>
      </c>
      <c r="F3400" s="1">
        <v>45387</v>
      </c>
      <c r="G3400">
        <v>62.38</v>
      </c>
      <c r="H34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400" t="str">
        <f>IFERROR(INDEX(Raw_orders!G:G, MATCH(shipments[[#This Row],[order_id]],Raw_orders!A:A, 0)), "Unknown")</f>
        <v>Nordics</v>
      </c>
      <c r="J3400" t="str">
        <f>PROPER(shipments[[#This Row],[delivery_status]])</f>
        <v>Delivered</v>
      </c>
      <c r="K3400" t="s">
        <v>6926</v>
      </c>
    </row>
    <row r="3401" spans="1:11">
      <c r="A3401" t="s">
        <v>10337</v>
      </c>
      <c r="B3401" t="s">
        <v>4094</v>
      </c>
      <c r="C3401" t="s">
        <v>6925</v>
      </c>
      <c r="D3401" s="1">
        <v>44984</v>
      </c>
      <c r="E3401" s="1">
        <v>44987</v>
      </c>
      <c r="F3401" s="1">
        <v>44992</v>
      </c>
      <c r="G3401">
        <v>61.53</v>
      </c>
      <c r="H34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01" t="str">
        <f>IFERROR(INDEX(Raw_orders!G:G, MATCH(shipments[[#This Row],[order_id]],Raw_orders!A:A, 0)), "Unknown")</f>
        <v>Central Europe</v>
      </c>
      <c r="J3401" t="str">
        <f>PROPER(shipments[[#This Row],[delivery_status]])</f>
        <v>Delivered</v>
      </c>
      <c r="K3401" t="s">
        <v>6922</v>
      </c>
    </row>
    <row r="3402" spans="1:11">
      <c r="A3402" t="s">
        <v>10338</v>
      </c>
      <c r="B3402" t="s">
        <v>4095</v>
      </c>
      <c r="C3402" t="s">
        <v>6921</v>
      </c>
      <c r="D3402" s="1">
        <v>45350</v>
      </c>
      <c r="E3402" s="1">
        <v>45355</v>
      </c>
      <c r="F3402" s="1">
        <v>45365</v>
      </c>
      <c r="H34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02" t="str">
        <f>IFERROR(INDEX(Raw_orders!G:G, MATCH(shipments[[#This Row],[order_id]],Raw_orders!A:A, 0)), "Unknown")</f>
        <v>Nordics</v>
      </c>
      <c r="J3402" t="str">
        <f>PROPER(shipments[[#This Row],[delivery_status]])</f>
        <v>Delivered</v>
      </c>
      <c r="K3402" t="s">
        <v>6929</v>
      </c>
    </row>
    <row r="3403" spans="1:11">
      <c r="A3403" t="s">
        <v>10339</v>
      </c>
      <c r="B3403" t="s">
        <v>4096</v>
      </c>
      <c r="C3403" t="s">
        <v>6928</v>
      </c>
      <c r="D3403" s="1">
        <v>45402</v>
      </c>
      <c r="E3403" s="1">
        <v>45409</v>
      </c>
      <c r="F3403" s="1">
        <v>45417</v>
      </c>
      <c r="G3403">
        <v>17.29</v>
      </c>
      <c r="H34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03" t="str">
        <f>IFERROR(INDEX(Raw_orders!G:G, MATCH(shipments[[#This Row],[order_id]],Raw_orders!A:A, 0)), "Unknown")</f>
        <v>Baltics</v>
      </c>
      <c r="J3403" t="str">
        <f>PROPER(shipments[[#This Row],[delivery_status]])</f>
        <v>Delivered</v>
      </c>
      <c r="K3403" t="s">
        <v>6929</v>
      </c>
    </row>
    <row r="3404" spans="1:11">
      <c r="A3404" t="s">
        <v>10340</v>
      </c>
      <c r="B3404" t="s">
        <v>4096</v>
      </c>
      <c r="C3404" t="s">
        <v>6921</v>
      </c>
      <c r="D3404" s="1">
        <v>45401</v>
      </c>
      <c r="E3404" s="1">
        <v>45406</v>
      </c>
      <c r="F3404" s="1">
        <v>45414</v>
      </c>
      <c r="G3404">
        <v>38.369999999999997</v>
      </c>
      <c r="H34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04" t="str">
        <f>IFERROR(INDEX(Raw_orders!G:G, MATCH(shipments[[#This Row],[order_id]],Raw_orders!A:A, 0)), "Unknown")</f>
        <v>Baltics</v>
      </c>
      <c r="J3404" t="str">
        <f>PROPER(shipments[[#This Row],[delivery_status]])</f>
        <v>Delivered</v>
      </c>
      <c r="K3404" t="s">
        <v>6929</v>
      </c>
    </row>
    <row r="3405" spans="1:11">
      <c r="A3405" t="s">
        <v>10341</v>
      </c>
      <c r="B3405" t="s">
        <v>4097</v>
      </c>
      <c r="C3405" t="s">
        <v>6921</v>
      </c>
      <c r="D3405" s="1">
        <v>45213</v>
      </c>
      <c r="E3405" s="1">
        <v>45220</v>
      </c>
      <c r="F3405" s="1">
        <v>45222</v>
      </c>
      <c r="G3405">
        <v>53.01</v>
      </c>
      <c r="H34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05" t="str">
        <f>IFERROR(INDEX(Raw_orders!G:G, MATCH(shipments[[#This Row],[order_id]],Raw_orders!A:A, 0)), "Unknown")</f>
        <v>Nordics</v>
      </c>
      <c r="J3405" t="str">
        <f>PROPER(shipments[[#This Row],[delivery_status]])</f>
        <v>Delivered</v>
      </c>
      <c r="K3405" t="s">
        <v>6922</v>
      </c>
    </row>
    <row r="3406" spans="1:11">
      <c r="A3406" t="s">
        <v>10342</v>
      </c>
      <c r="B3406" t="s">
        <v>4098</v>
      </c>
      <c r="C3406" t="s">
        <v>6938</v>
      </c>
      <c r="D3406" s="1">
        <v>45466</v>
      </c>
      <c r="E3406" s="1">
        <v>45471</v>
      </c>
      <c r="F3406" s="1"/>
      <c r="G3406">
        <v>28.11</v>
      </c>
      <c r="H34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406" t="str">
        <f>IFERROR(INDEX(Raw_orders!G:G, MATCH(shipments[[#This Row],[order_id]],Raw_orders!A:A, 0)), "Unknown")</f>
        <v>Unknown</v>
      </c>
      <c r="J3406" t="str">
        <f>PROPER(shipments[[#This Row],[delivery_status]])</f>
        <v>Cancelled</v>
      </c>
      <c r="K3406" t="s">
        <v>6963</v>
      </c>
    </row>
    <row r="3407" spans="1:11">
      <c r="A3407" t="s">
        <v>10343</v>
      </c>
      <c r="B3407" t="s">
        <v>4099</v>
      </c>
      <c r="C3407" t="s">
        <v>6956</v>
      </c>
      <c r="D3407" s="1">
        <v>45607</v>
      </c>
      <c r="E3407" s="1">
        <v>45614</v>
      </c>
      <c r="F3407" s="1"/>
      <c r="G3407">
        <v>41.87</v>
      </c>
      <c r="H34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407" t="str">
        <f>IFERROR(INDEX(Raw_orders!G:G, MATCH(shipments[[#This Row],[order_id]],Raw_orders!A:A, 0)), "Unknown")</f>
        <v>Baltics</v>
      </c>
      <c r="J3407" t="str">
        <f>PROPER(shipments[[#This Row],[delivery_status]])</f>
        <v>In Transit</v>
      </c>
      <c r="K3407" t="s">
        <v>6958</v>
      </c>
    </row>
    <row r="3408" spans="1:11">
      <c r="A3408" t="s">
        <v>10344</v>
      </c>
      <c r="B3408" t="s">
        <v>4100</v>
      </c>
      <c r="C3408" t="s">
        <v>6935</v>
      </c>
      <c r="D3408" s="1">
        <v>45254</v>
      </c>
      <c r="E3408" s="1">
        <v>45261</v>
      </c>
      <c r="F3408" s="1">
        <v>45261</v>
      </c>
      <c r="G3408">
        <v>14.96</v>
      </c>
      <c r="H34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408" t="str">
        <f>IFERROR(INDEX(Raw_orders!G:G, MATCH(shipments[[#This Row],[order_id]],Raw_orders!A:A, 0)), "Unknown")</f>
        <v>Nordics</v>
      </c>
      <c r="J3408" t="str">
        <f>PROPER(shipments[[#This Row],[delivery_status]])</f>
        <v>Delivered</v>
      </c>
      <c r="K3408" t="s">
        <v>6922</v>
      </c>
    </row>
    <row r="3409" spans="1:11">
      <c r="A3409" t="s">
        <v>10345</v>
      </c>
      <c r="B3409" t="s">
        <v>4101</v>
      </c>
      <c r="C3409" t="s">
        <v>6940</v>
      </c>
      <c r="D3409" s="1">
        <v>45235</v>
      </c>
      <c r="E3409" s="1">
        <v>45242</v>
      </c>
      <c r="F3409" s="1">
        <v>45241</v>
      </c>
      <c r="G3409">
        <v>22.5</v>
      </c>
      <c r="H34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409" t="str">
        <f>IFERROR(INDEX(Raw_orders!G:G, MATCH(shipments[[#This Row],[order_id]],Raw_orders!A:A, 0)), "Unknown")</f>
        <v>Baltics</v>
      </c>
      <c r="J3409" t="str">
        <f>PROPER(shipments[[#This Row],[delivery_status]])</f>
        <v>Delivered</v>
      </c>
      <c r="K3409" t="s">
        <v>6922</v>
      </c>
    </row>
    <row r="3410" spans="1:11">
      <c r="A3410" t="s">
        <v>10346</v>
      </c>
      <c r="B3410" t="s">
        <v>4102</v>
      </c>
      <c r="C3410" t="s">
        <v>6938</v>
      </c>
      <c r="D3410" s="1">
        <v>45031</v>
      </c>
      <c r="E3410" s="1">
        <v>45034</v>
      </c>
      <c r="F3410" s="1">
        <v>45036</v>
      </c>
      <c r="G3410">
        <v>21.65</v>
      </c>
      <c r="H34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10" t="str">
        <f>IFERROR(INDEX(Raw_orders!G:G, MATCH(shipments[[#This Row],[order_id]],Raw_orders!A:A, 0)), "Unknown")</f>
        <v>Nordics</v>
      </c>
      <c r="J3410" t="str">
        <f>PROPER(shipments[[#This Row],[delivery_status]])</f>
        <v>Delivered</v>
      </c>
      <c r="K3410" t="s">
        <v>6926</v>
      </c>
    </row>
    <row r="3411" spans="1:11">
      <c r="A3411" t="s">
        <v>10347</v>
      </c>
      <c r="B3411" t="s">
        <v>4103</v>
      </c>
      <c r="C3411" t="s">
        <v>6935</v>
      </c>
      <c r="D3411" s="1">
        <v>45362</v>
      </c>
      <c r="E3411" s="1">
        <v>45364</v>
      </c>
      <c r="F3411" s="1">
        <v>45369</v>
      </c>
      <c r="G3411">
        <v>40.58</v>
      </c>
      <c r="H34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11" t="str">
        <f>IFERROR(INDEX(Raw_orders!G:G, MATCH(shipments[[#This Row],[order_id]],Raw_orders!A:A, 0)), "Unknown")</f>
        <v>Central Europe</v>
      </c>
      <c r="J3411" t="str">
        <f>PROPER(shipments[[#This Row],[delivery_status]])</f>
        <v>Delivered</v>
      </c>
      <c r="K3411" t="s">
        <v>6929</v>
      </c>
    </row>
    <row r="3412" spans="1:11">
      <c r="A3412" t="s">
        <v>10348</v>
      </c>
      <c r="B3412" t="s">
        <v>4104</v>
      </c>
      <c r="C3412" t="s">
        <v>6925</v>
      </c>
      <c r="D3412" s="1">
        <v>45129</v>
      </c>
      <c r="E3412" s="1">
        <v>45136</v>
      </c>
      <c r="F3412" s="1">
        <v>45138</v>
      </c>
      <c r="G3412">
        <v>9.83</v>
      </c>
      <c r="H34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12" t="str">
        <f>IFERROR(INDEX(Raw_orders!G:G, MATCH(shipments[[#This Row],[order_id]],Raw_orders!A:A, 0)), "Unknown")</f>
        <v>Baltics</v>
      </c>
      <c r="J3412" t="str">
        <f>PROPER(shipments[[#This Row],[delivery_status]])</f>
        <v>Delivered</v>
      </c>
      <c r="K3412" t="s">
        <v>6929</v>
      </c>
    </row>
    <row r="3413" spans="1:11">
      <c r="A3413" t="s">
        <v>10349</v>
      </c>
      <c r="B3413" t="s">
        <v>4105</v>
      </c>
      <c r="C3413" t="s">
        <v>6956</v>
      </c>
      <c r="D3413" s="1">
        <v>45525</v>
      </c>
      <c r="E3413" s="1">
        <v>45535</v>
      </c>
      <c r="F3413" s="1">
        <v>45543</v>
      </c>
      <c r="G3413">
        <v>51.51</v>
      </c>
      <c r="H34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13" t="str">
        <f>IFERROR(INDEX(Raw_orders!G:G, MATCH(shipments[[#This Row],[order_id]],Raw_orders!A:A, 0)), "Unknown")</f>
        <v>Unknown</v>
      </c>
      <c r="J3413" t="str">
        <f>PROPER(shipments[[#This Row],[delivery_status]])</f>
        <v>Delivered</v>
      </c>
      <c r="K3413" t="s">
        <v>6926</v>
      </c>
    </row>
    <row r="3414" spans="1:11">
      <c r="A3414" t="s">
        <v>10350</v>
      </c>
      <c r="B3414" t="s">
        <v>4106</v>
      </c>
      <c r="C3414" t="s">
        <v>6921</v>
      </c>
      <c r="D3414" s="1">
        <v>45301</v>
      </c>
      <c r="E3414" s="1">
        <v>45306</v>
      </c>
      <c r="F3414" s="1">
        <v>45306</v>
      </c>
      <c r="G3414">
        <v>51.13</v>
      </c>
      <c r="H34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414" t="str">
        <f>IFERROR(INDEX(Raw_orders!G:G, MATCH(shipments[[#This Row],[order_id]],Raw_orders!A:A, 0)), "Unknown")</f>
        <v>Baltics</v>
      </c>
      <c r="J3414" t="str">
        <f>PROPER(shipments[[#This Row],[delivery_status]])</f>
        <v>Delivered</v>
      </c>
      <c r="K3414" t="s">
        <v>6926</v>
      </c>
    </row>
    <row r="3415" spans="1:11">
      <c r="A3415" t="s">
        <v>10351</v>
      </c>
      <c r="B3415" t="s">
        <v>4107</v>
      </c>
      <c r="C3415" t="s">
        <v>6938</v>
      </c>
      <c r="D3415" s="1">
        <v>45237</v>
      </c>
      <c r="E3415" s="1">
        <v>45240</v>
      </c>
      <c r="F3415" s="1"/>
      <c r="G3415">
        <v>19.059999999999999</v>
      </c>
      <c r="H34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415" t="str">
        <f>IFERROR(INDEX(Raw_orders!G:G, MATCH(shipments[[#This Row],[order_id]],Raw_orders!A:A, 0)), "Unknown")</f>
        <v>Central Europe</v>
      </c>
      <c r="J3415" t="str">
        <f>PROPER(shipments[[#This Row],[delivery_status]])</f>
        <v>Cancelled</v>
      </c>
      <c r="K3415" t="s">
        <v>6972</v>
      </c>
    </row>
    <row r="3416" spans="1:11">
      <c r="A3416" t="s">
        <v>10352</v>
      </c>
      <c r="B3416" t="s">
        <v>4108</v>
      </c>
      <c r="C3416" t="s">
        <v>6938</v>
      </c>
      <c r="D3416" s="1">
        <v>45200</v>
      </c>
      <c r="E3416" s="1">
        <v>45202</v>
      </c>
      <c r="F3416" s="1">
        <v>45202</v>
      </c>
      <c r="G3416">
        <v>54.58</v>
      </c>
      <c r="H34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416" t="str">
        <f>IFERROR(INDEX(Raw_orders!G:G, MATCH(shipments[[#This Row],[order_id]],Raw_orders!A:A, 0)), "Unknown")</f>
        <v>Central Europe</v>
      </c>
      <c r="J3416" t="str">
        <f>PROPER(shipments[[#This Row],[delivery_status]])</f>
        <v>Delivered</v>
      </c>
      <c r="K3416" t="s">
        <v>6929</v>
      </c>
    </row>
    <row r="3417" spans="1:11">
      <c r="A3417" t="s">
        <v>10353</v>
      </c>
      <c r="B3417" t="s">
        <v>4109</v>
      </c>
      <c r="C3417" t="s">
        <v>6938</v>
      </c>
      <c r="D3417" s="1">
        <v>45588</v>
      </c>
      <c r="E3417" s="1">
        <v>45590</v>
      </c>
      <c r="F3417" s="1">
        <v>45590</v>
      </c>
      <c r="G3417">
        <v>16.96</v>
      </c>
      <c r="H34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417" t="str">
        <f>IFERROR(INDEX(Raw_orders!G:G, MATCH(shipments[[#This Row],[order_id]],Raw_orders!A:A, 0)), "Unknown")</f>
        <v>Nordics</v>
      </c>
      <c r="J3417" t="str">
        <f>PROPER(shipments[[#This Row],[delivery_status]])</f>
        <v>Delivered</v>
      </c>
      <c r="K3417" t="s">
        <v>6929</v>
      </c>
    </row>
    <row r="3418" spans="1:11">
      <c r="A3418" t="s">
        <v>10354</v>
      </c>
      <c r="B3418" t="s">
        <v>4110</v>
      </c>
      <c r="C3418" t="s">
        <v>6928</v>
      </c>
      <c r="D3418" s="1">
        <v>45440</v>
      </c>
      <c r="E3418" s="1">
        <v>45447</v>
      </c>
      <c r="F3418" s="1">
        <v>45454</v>
      </c>
      <c r="G3418">
        <v>60.67</v>
      </c>
      <c r="H34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18" t="str">
        <f>IFERROR(INDEX(Raw_orders!G:G, MATCH(shipments[[#This Row],[order_id]],Raw_orders!A:A, 0)), "Unknown")</f>
        <v>Nordics</v>
      </c>
      <c r="J3418" t="str">
        <f>PROPER(shipments[[#This Row],[delivery_status]])</f>
        <v>Delivered</v>
      </c>
      <c r="K3418" t="s">
        <v>6929</v>
      </c>
    </row>
    <row r="3419" spans="1:11">
      <c r="A3419" t="s">
        <v>10355</v>
      </c>
      <c r="B3419" t="s">
        <v>4111</v>
      </c>
      <c r="C3419" t="s">
        <v>6928</v>
      </c>
      <c r="D3419" s="1">
        <v>45512</v>
      </c>
      <c r="E3419" s="1">
        <v>45517</v>
      </c>
      <c r="F3419" s="1">
        <v>45519</v>
      </c>
      <c r="G3419">
        <v>28.69</v>
      </c>
      <c r="H34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19" t="str">
        <f>IFERROR(INDEX(Raw_orders!G:G, MATCH(shipments[[#This Row],[order_id]],Raw_orders!A:A, 0)), "Unknown")</f>
        <v>Central Europe</v>
      </c>
      <c r="J3419" t="str">
        <f>PROPER(shipments[[#This Row],[delivery_status]])</f>
        <v>Delivered</v>
      </c>
      <c r="K3419" t="s">
        <v>6926</v>
      </c>
    </row>
    <row r="3420" spans="1:11">
      <c r="A3420" t="s">
        <v>10356</v>
      </c>
      <c r="B3420" t="s">
        <v>4112</v>
      </c>
      <c r="C3420" t="s">
        <v>6931</v>
      </c>
      <c r="D3420" s="1">
        <v>45216</v>
      </c>
      <c r="E3420" s="1">
        <v>45223</v>
      </c>
      <c r="F3420" s="1">
        <v>45223</v>
      </c>
      <c r="G3420">
        <v>4.68</v>
      </c>
      <c r="H34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420" t="str">
        <f>IFERROR(INDEX(Raw_orders!G:G, MATCH(shipments[[#This Row],[order_id]],Raw_orders!A:A, 0)), "Unknown")</f>
        <v>Baltics</v>
      </c>
      <c r="J3420" t="str">
        <f>PROPER(shipments[[#This Row],[delivery_status]])</f>
        <v>Delivered</v>
      </c>
      <c r="K3420" t="s">
        <v>6926</v>
      </c>
    </row>
    <row r="3421" spans="1:11">
      <c r="A3421" t="s">
        <v>10357</v>
      </c>
      <c r="B3421" t="s">
        <v>4113</v>
      </c>
      <c r="C3421" t="s">
        <v>6940</v>
      </c>
      <c r="D3421" s="1">
        <v>44991</v>
      </c>
      <c r="E3421" s="1">
        <v>45001</v>
      </c>
      <c r="F3421" s="1">
        <v>45006</v>
      </c>
      <c r="G3421">
        <v>23.5</v>
      </c>
      <c r="H34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21" t="str">
        <f>IFERROR(INDEX(Raw_orders!G:G, MATCH(shipments[[#This Row],[order_id]],Raw_orders!A:A, 0)), "Unknown")</f>
        <v>Central Europe</v>
      </c>
      <c r="J3421" t="str">
        <f>PROPER(shipments[[#This Row],[delivery_status]])</f>
        <v>Delivered</v>
      </c>
      <c r="K3421" t="s">
        <v>6922</v>
      </c>
    </row>
    <row r="3422" spans="1:11">
      <c r="A3422" t="s">
        <v>10358</v>
      </c>
      <c r="B3422" t="s">
        <v>4114</v>
      </c>
      <c r="C3422" t="s">
        <v>6921</v>
      </c>
      <c r="D3422" s="1">
        <v>44990</v>
      </c>
      <c r="E3422" s="1">
        <v>44993</v>
      </c>
      <c r="F3422" s="1">
        <v>44993</v>
      </c>
      <c r="G3422">
        <v>10.81</v>
      </c>
      <c r="H34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422" t="str">
        <f>IFERROR(INDEX(Raw_orders!G:G, MATCH(shipments[[#This Row],[order_id]],Raw_orders!A:A, 0)), "Unknown")</f>
        <v>Unknown</v>
      </c>
      <c r="J3422" t="str">
        <f>PROPER(shipments[[#This Row],[delivery_status]])</f>
        <v>Delivered</v>
      </c>
      <c r="K3422" t="s">
        <v>6922</v>
      </c>
    </row>
    <row r="3423" spans="1:11">
      <c r="A3423" t="s">
        <v>10359</v>
      </c>
      <c r="B3423" t="s">
        <v>4115</v>
      </c>
      <c r="C3423" t="s">
        <v>6935</v>
      </c>
      <c r="D3423" s="1">
        <v>45298</v>
      </c>
      <c r="E3423" s="1">
        <v>45303</v>
      </c>
      <c r="F3423" s="1">
        <v>45308</v>
      </c>
      <c r="G3423">
        <v>59.52</v>
      </c>
      <c r="H34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23" t="str">
        <f>IFERROR(INDEX(Raw_orders!G:G, MATCH(shipments[[#This Row],[order_id]],Raw_orders!A:A, 0)), "Unknown")</f>
        <v>Nordics</v>
      </c>
      <c r="J3423" t="str">
        <f>PROPER(shipments[[#This Row],[delivery_status]])</f>
        <v>Delivered</v>
      </c>
      <c r="K3423" t="s">
        <v>6929</v>
      </c>
    </row>
    <row r="3424" spans="1:11">
      <c r="A3424" t="s">
        <v>10360</v>
      </c>
      <c r="B3424" t="s">
        <v>4116</v>
      </c>
      <c r="C3424" t="s">
        <v>6940</v>
      </c>
      <c r="D3424" s="1">
        <v>45337</v>
      </c>
      <c r="E3424" s="1">
        <v>45339</v>
      </c>
      <c r="F3424" s="1">
        <v>45338</v>
      </c>
      <c r="G3424">
        <v>34.4</v>
      </c>
      <c r="H34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424" t="str">
        <f>IFERROR(INDEX(Raw_orders!G:G, MATCH(shipments[[#This Row],[order_id]],Raw_orders!A:A, 0)), "Unknown")</f>
        <v>Central Europe</v>
      </c>
      <c r="J3424" t="str">
        <f>PROPER(shipments[[#This Row],[delivery_status]])</f>
        <v>Delivered</v>
      </c>
      <c r="K3424" t="s">
        <v>6929</v>
      </c>
    </row>
    <row r="3425" spans="1:11">
      <c r="A3425" t="s">
        <v>10361</v>
      </c>
      <c r="B3425" t="s">
        <v>4117</v>
      </c>
      <c r="C3425" t="s">
        <v>6925</v>
      </c>
      <c r="D3425" s="1">
        <v>44984</v>
      </c>
      <c r="E3425" s="1">
        <v>44989</v>
      </c>
      <c r="F3425" s="1">
        <v>44994</v>
      </c>
      <c r="G3425">
        <v>11.29</v>
      </c>
      <c r="H34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25" t="str">
        <f>IFERROR(INDEX(Raw_orders!G:G, MATCH(shipments[[#This Row],[order_id]],Raw_orders!A:A, 0)), "Unknown")</f>
        <v>Nordics</v>
      </c>
      <c r="J3425" t="str">
        <f>PROPER(shipments[[#This Row],[delivery_status]])</f>
        <v>Delivered</v>
      </c>
      <c r="K3425" t="s">
        <v>6929</v>
      </c>
    </row>
    <row r="3426" spans="1:11">
      <c r="A3426" t="s">
        <v>10362</v>
      </c>
      <c r="B3426" t="s">
        <v>4118</v>
      </c>
      <c r="C3426" t="s">
        <v>6956</v>
      </c>
      <c r="D3426" s="1">
        <v>45406</v>
      </c>
      <c r="E3426" s="1">
        <v>45413</v>
      </c>
      <c r="F3426" s="1"/>
      <c r="G3426">
        <v>36.19</v>
      </c>
      <c r="H34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426" t="str">
        <f>IFERROR(INDEX(Raw_orders!G:G, MATCH(shipments[[#This Row],[order_id]],Raw_orders!A:A, 0)), "Unknown")</f>
        <v>Central Europe</v>
      </c>
      <c r="J3426" t="str">
        <f>PROPER(shipments[[#This Row],[delivery_status]])</f>
        <v>In Transit</v>
      </c>
      <c r="K3426" t="s">
        <v>6946</v>
      </c>
    </row>
    <row r="3427" spans="1:11">
      <c r="A3427" t="s">
        <v>10363</v>
      </c>
      <c r="B3427" t="s">
        <v>4119</v>
      </c>
      <c r="C3427" t="s">
        <v>6938</v>
      </c>
      <c r="D3427" s="1">
        <v>45260</v>
      </c>
      <c r="E3427" s="1">
        <v>45265</v>
      </c>
      <c r="F3427" s="1">
        <v>45273</v>
      </c>
      <c r="G3427">
        <v>22.36</v>
      </c>
      <c r="H34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27" t="str">
        <f>IFERROR(INDEX(Raw_orders!G:G, MATCH(shipments[[#This Row],[order_id]],Raw_orders!A:A, 0)), "Unknown")</f>
        <v>Nordics</v>
      </c>
      <c r="J3427" t="str">
        <f>PROPER(shipments[[#This Row],[delivery_status]])</f>
        <v>Delivered</v>
      </c>
      <c r="K3427" t="s">
        <v>6929</v>
      </c>
    </row>
    <row r="3428" spans="1:11">
      <c r="A3428" t="s">
        <v>10364</v>
      </c>
      <c r="B3428" t="s">
        <v>4120</v>
      </c>
      <c r="C3428" t="s">
        <v>6956</v>
      </c>
      <c r="D3428" s="1">
        <v>45409</v>
      </c>
      <c r="E3428" s="1">
        <v>45416</v>
      </c>
      <c r="F3428" s="1"/>
      <c r="G3428">
        <v>37.46</v>
      </c>
      <c r="H34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428" t="str">
        <f>IFERROR(INDEX(Raw_orders!G:G, MATCH(shipments[[#This Row],[order_id]],Raw_orders!A:A, 0)), "Unknown")</f>
        <v>Central Europe</v>
      </c>
      <c r="J3428" t="str">
        <f>PROPER(shipments[[#This Row],[delivery_status]])</f>
        <v>Cancelled</v>
      </c>
      <c r="K3428" t="s">
        <v>6963</v>
      </c>
    </row>
    <row r="3429" spans="1:11">
      <c r="A3429" t="s">
        <v>10365</v>
      </c>
      <c r="B3429" t="s">
        <v>4120</v>
      </c>
      <c r="C3429" t="s">
        <v>6935</v>
      </c>
      <c r="D3429" s="1">
        <v>45409</v>
      </c>
      <c r="E3429" s="1">
        <v>45414</v>
      </c>
      <c r="F3429" s="1">
        <v>45416</v>
      </c>
      <c r="G3429">
        <v>8.9</v>
      </c>
      <c r="H34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29" t="str">
        <f>IFERROR(INDEX(Raw_orders!G:G, MATCH(shipments[[#This Row],[order_id]],Raw_orders!A:A, 0)), "Unknown")</f>
        <v>Central Europe</v>
      </c>
      <c r="J3429" t="str">
        <f>PROPER(shipments[[#This Row],[delivery_status]])</f>
        <v>Delivered</v>
      </c>
      <c r="K3429" t="s">
        <v>6929</v>
      </c>
    </row>
    <row r="3430" spans="1:11">
      <c r="A3430" t="s">
        <v>10366</v>
      </c>
      <c r="B3430" t="s">
        <v>4121</v>
      </c>
      <c r="C3430" t="s">
        <v>6931</v>
      </c>
      <c r="D3430" s="1">
        <v>45029</v>
      </c>
      <c r="E3430" s="1">
        <v>45039</v>
      </c>
      <c r="F3430" s="1">
        <v>45041</v>
      </c>
      <c r="G3430">
        <v>56.45</v>
      </c>
      <c r="H34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30" t="str">
        <f>IFERROR(INDEX(Raw_orders!G:G, MATCH(shipments[[#This Row],[order_id]],Raw_orders!A:A, 0)), "Unknown")</f>
        <v>Nordics</v>
      </c>
      <c r="J3430" t="str">
        <f>PROPER(shipments[[#This Row],[delivery_status]])</f>
        <v>Delivered</v>
      </c>
      <c r="K3430" t="s">
        <v>6929</v>
      </c>
    </row>
    <row r="3431" spans="1:11">
      <c r="A3431" t="s">
        <v>10367</v>
      </c>
      <c r="B3431" t="s">
        <v>4122</v>
      </c>
      <c r="C3431" t="s">
        <v>6938</v>
      </c>
      <c r="D3431" s="1">
        <v>44944</v>
      </c>
      <c r="E3431" s="1">
        <v>44947</v>
      </c>
      <c r="F3431" s="1">
        <v>44955</v>
      </c>
      <c r="G3431">
        <v>45.92</v>
      </c>
      <c r="H34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31" t="str">
        <f>IFERROR(INDEX(Raw_orders!G:G, MATCH(shipments[[#This Row],[order_id]],Raw_orders!A:A, 0)), "Unknown")</f>
        <v>Baltics</v>
      </c>
      <c r="J3431" t="str">
        <f>PROPER(shipments[[#This Row],[delivery_status]])</f>
        <v>Delivered</v>
      </c>
      <c r="K3431" t="s">
        <v>6929</v>
      </c>
    </row>
    <row r="3432" spans="1:11">
      <c r="A3432" t="s">
        <v>10368</v>
      </c>
      <c r="B3432" t="s">
        <v>4123</v>
      </c>
      <c r="C3432" t="s">
        <v>6931</v>
      </c>
      <c r="D3432" s="1">
        <v>45613</v>
      </c>
      <c r="E3432" s="1">
        <v>45620</v>
      </c>
      <c r="F3432" s="1">
        <v>45623</v>
      </c>
      <c r="G3432">
        <v>25.84</v>
      </c>
      <c r="H34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32" t="str">
        <f>IFERROR(INDEX(Raw_orders!G:G, MATCH(shipments[[#This Row],[order_id]],Raw_orders!A:A, 0)), "Unknown")</f>
        <v>Nordics</v>
      </c>
      <c r="J3432" t="str">
        <f>PROPER(shipments[[#This Row],[delivery_status]])</f>
        <v>Delivered</v>
      </c>
      <c r="K3432" t="s">
        <v>6929</v>
      </c>
    </row>
    <row r="3433" spans="1:11">
      <c r="A3433" t="s">
        <v>10369</v>
      </c>
      <c r="B3433" t="s">
        <v>4124</v>
      </c>
      <c r="C3433" t="s">
        <v>6925</v>
      </c>
      <c r="D3433" s="1">
        <v>44996</v>
      </c>
      <c r="E3433" s="1">
        <v>44998</v>
      </c>
      <c r="F3433" s="1">
        <v>45001</v>
      </c>
      <c r="G3433">
        <v>12.05</v>
      </c>
      <c r="H34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33" t="str">
        <f>IFERROR(INDEX(Raw_orders!G:G, MATCH(shipments[[#This Row],[order_id]],Raw_orders!A:A, 0)), "Unknown")</f>
        <v>Central Europe</v>
      </c>
      <c r="J3433" t="str">
        <f>PROPER(shipments[[#This Row],[delivery_status]])</f>
        <v>Delivered</v>
      </c>
      <c r="K3433" t="s">
        <v>6929</v>
      </c>
    </row>
    <row r="3434" spans="1:11">
      <c r="A3434" t="s">
        <v>10370</v>
      </c>
      <c r="B3434" t="s">
        <v>4125</v>
      </c>
      <c r="C3434" t="s">
        <v>6931</v>
      </c>
      <c r="D3434" s="1">
        <v>45323</v>
      </c>
      <c r="E3434" s="1">
        <v>45328</v>
      </c>
      <c r="F3434" s="1">
        <v>45333</v>
      </c>
      <c r="G3434">
        <v>62.1</v>
      </c>
      <c r="H34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34" t="str">
        <f>IFERROR(INDEX(Raw_orders!G:G, MATCH(shipments[[#This Row],[order_id]],Raw_orders!A:A, 0)), "Unknown")</f>
        <v>Baltics</v>
      </c>
      <c r="J3434" t="str">
        <f>PROPER(shipments[[#This Row],[delivery_status]])</f>
        <v>Delivered</v>
      </c>
      <c r="K3434" t="s">
        <v>6926</v>
      </c>
    </row>
    <row r="3435" spans="1:11">
      <c r="A3435" t="s">
        <v>10371</v>
      </c>
      <c r="B3435" t="s">
        <v>4126</v>
      </c>
      <c r="C3435" t="s">
        <v>6949</v>
      </c>
      <c r="D3435" s="1">
        <v>45283</v>
      </c>
      <c r="E3435" s="1">
        <v>45285</v>
      </c>
      <c r="F3435" s="1">
        <v>45299</v>
      </c>
      <c r="G3435">
        <v>31.83</v>
      </c>
      <c r="H34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35" t="str">
        <f>IFERROR(INDEX(Raw_orders!G:G, MATCH(shipments[[#This Row],[order_id]],Raw_orders!A:A, 0)), "Unknown")</f>
        <v>Central Europe</v>
      </c>
      <c r="J3435" t="str">
        <f>PROPER(shipments[[#This Row],[delivery_status]])</f>
        <v>Delivered</v>
      </c>
      <c r="K3435" t="s">
        <v>6929</v>
      </c>
    </row>
    <row r="3436" spans="1:11">
      <c r="A3436" t="s">
        <v>10372</v>
      </c>
      <c r="B3436" t="s">
        <v>4127</v>
      </c>
      <c r="C3436" t="s">
        <v>6938</v>
      </c>
      <c r="D3436" s="1">
        <v>45518</v>
      </c>
      <c r="E3436" s="1">
        <v>45528</v>
      </c>
      <c r="F3436" s="1">
        <v>45527</v>
      </c>
      <c r="G3436">
        <v>58.89</v>
      </c>
      <c r="H34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436" t="str">
        <f>IFERROR(INDEX(Raw_orders!G:G, MATCH(shipments[[#This Row],[order_id]],Raw_orders!A:A, 0)), "Unknown")</f>
        <v>Baltics</v>
      </c>
      <c r="J3436" t="str">
        <f>PROPER(shipments[[#This Row],[delivery_status]])</f>
        <v>Delivered</v>
      </c>
      <c r="K3436" t="s">
        <v>6929</v>
      </c>
    </row>
    <row r="3437" spans="1:11">
      <c r="A3437" t="s">
        <v>10373</v>
      </c>
      <c r="B3437" t="s">
        <v>4128</v>
      </c>
      <c r="C3437" t="s">
        <v>6925</v>
      </c>
      <c r="D3437" s="1">
        <v>45604</v>
      </c>
      <c r="E3437" s="1">
        <v>45607</v>
      </c>
      <c r="F3437" s="1">
        <v>45607</v>
      </c>
      <c r="G3437">
        <v>17.86</v>
      </c>
      <c r="H34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437" t="str">
        <f>IFERROR(INDEX(Raw_orders!G:G, MATCH(shipments[[#This Row],[order_id]],Raw_orders!A:A, 0)), "Unknown")</f>
        <v>Baltics</v>
      </c>
      <c r="J3437" t="str">
        <f>PROPER(shipments[[#This Row],[delivery_status]])</f>
        <v>Delivered</v>
      </c>
      <c r="K3437" t="s">
        <v>6922</v>
      </c>
    </row>
    <row r="3438" spans="1:11">
      <c r="A3438" t="s">
        <v>10374</v>
      </c>
      <c r="B3438" t="s">
        <v>4129</v>
      </c>
      <c r="C3438" t="s">
        <v>6931</v>
      </c>
      <c r="D3438" s="1">
        <v>45451</v>
      </c>
      <c r="E3438" s="1">
        <v>45453</v>
      </c>
      <c r="F3438" s="1"/>
      <c r="G3438">
        <v>32.32</v>
      </c>
      <c r="H34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438" t="str">
        <f>IFERROR(INDEX(Raw_orders!G:G, MATCH(shipments[[#This Row],[order_id]],Raw_orders!A:A, 0)), "Unknown")</f>
        <v>Central Europe</v>
      </c>
      <c r="J3438" t="str">
        <f>PROPER(shipments[[#This Row],[delivery_status]])</f>
        <v>Cancelled</v>
      </c>
      <c r="K3438" t="s">
        <v>6979</v>
      </c>
    </row>
    <row r="3439" spans="1:11">
      <c r="A3439" t="s">
        <v>10375</v>
      </c>
      <c r="B3439" t="s">
        <v>4130</v>
      </c>
      <c r="C3439" t="s">
        <v>6925</v>
      </c>
      <c r="D3439" s="1">
        <v>44950</v>
      </c>
      <c r="E3439" s="1">
        <v>44960</v>
      </c>
      <c r="F3439" s="1">
        <v>44961</v>
      </c>
      <c r="G3439">
        <v>33.24</v>
      </c>
      <c r="H34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39" t="str">
        <f>IFERROR(INDEX(Raw_orders!G:G, MATCH(shipments[[#This Row],[order_id]],Raw_orders!A:A, 0)), "Unknown")</f>
        <v>Central Europe</v>
      </c>
      <c r="J3439" t="str">
        <f>PROPER(shipments[[#This Row],[delivery_status]])</f>
        <v>Delivered</v>
      </c>
      <c r="K3439" t="s">
        <v>6922</v>
      </c>
    </row>
    <row r="3440" spans="1:11">
      <c r="A3440" t="s">
        <v>10376</v>
      </c>
      <c r="B3440" t="s">
        <v>4131</v>
      </c>
      <c r="C3440" t="s">
        <v>6931</v>
      </c>
      <c r="D3440" s="1">
        <v>44933</v>
      </c>
      <c r="E3440" s="1">
        <v>44935</v>
      </c>
      <c r="F3440" s="1">
        <v>44935</v>
      </c>
      <c r="G3440">
        <v>17.82</v>
      </c>
      <c r="H34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440" t="str">
        <f>IFERROR(INDEX(Raw_orders!G:G, MATCH(shipments[[#This Row],[order_id]],Raw_orders!A:A, 0)), "Unknown")</f>
        <v>Baltics</v>
      </c>
      <c r="J3440" t="str">
        <f>PROPER(shipments[[#This Row],[delivery_status]])</f>
        <v>Delivered</v>
      </c>
      <c r="K3440" t="s">
        <v>6922</v>
      </c>
    </row>
    <row r="3441" spans="1:11">
      <c r="A3441" t="s">
        <v>10377</v>
      </c>
      <c r="B3441" t="s">
        <v>4132</v>
      </c>
      <c r="C3441" t="s">
        <v>6956</v>
      </c>
      <c r="D3441" s="1">
        <v>45213</v>
      </c>
      <c r="E3441" s="1">
        <v>45215</v>
      </c>
      <c r="F3441" s="1"/>
      <c r="H34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441" t="str">
        <f>IFERROR(INDEX(Raw_orders!G:G, MATCH(shipments[[#This Row],[order_id]],Raw_orders!A:A, 0)), "Unknown")</f>
        <v>Central Europe</v>
      </c>
      <c r="J3441" t="str">
        <f>PROPER(shipments[[#This Row],[delivery_status]])</f>
        <v>In Transit</v>
      </c>
      <c r="K3441" t="s">
        <v>6958</v>
      </c>
    </row>
    <row r="3442" spans="1:11">
      <c r="A3442" t="s">
        <v>10378</v>
      </c>
      <c r="B3442" t="s">
        <v>4133</v>
      </c>
      <c r="C3442" t="s">
        <v>6925</v>
      </c>
      <c r="D3442" s="1">
        <v>45337</v>
      </c>
      <c r="E3442" s="1">
        <v>45339</v>
      </c>
      <c r="F3442" s="1">
        <v>45348</v>
      </c>
      <c r="G3442">
        <v>22.32</v>
      </c>
      <c r="H34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42" t="str">
        <f>IFERROR(INDEX(Raw_orders!G:G, MATCH(shipments[[#This Row],[order_id]],Raw_orders!A:A, 0)), "Unknown")</f>
        <v>Central Europe</v>
      </c>
      <c r="J3442" t="str">
        <f>PROPER(shipments[[#This Row],[delivery_status]])</f>
        <v>Delivered</v>
      </c>
      <c r="K3442" t="s">
        <v>6929</v>
      </c>
    </row>
    <row r="3443" spans="1:11">
      <c r="A3443" t="s">
        <v>10379</v>
      </c>
      <c r="B3443" t="s">
        <v>4134</v>
      </c>
      <c r="C3443" t="s">
        <v>6940</v>
      </c>
      <c r="D3443" s="1">
        <v>45246</v>
      </c>
      <c r="E3443" s="1">
        <v>45253</v>
      </c>
      <c r="F3443" s="1">
        <v>45252</v>
      </c>
      <c r="G3443">
        <v>39.58</v>
      </c>
      <c r="H34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443" t="str">
        <f>IFERROR(INDEX(Raw_orders!G:G, MATCH(shipments[[#This Row],[order_id]],Raw_orders!A:A, 0)), "Unknown")</f>
        <v>Central Europe</v>
      </c>
      <c r="J3443" t="str">
        <f>PROPER(shipments[[#This Row],[delivery_status]])</f>
        <v>Delivered</v>
      </c>
      <c r="K3443" t="s">
        <v>6929</v>
      </c>
    </row>
    <row r="3444" spans="1:11">
      <c r="A3444" t="s">
        <v>10380</v>
      </c>
      <c r="B3444" t="s">
        <v>4135</v>
      </c>
      <c r="C3444" t="s">
        <v>6931</v>
      </c>
      <c r="D3444" s="1">
        <v>45168</v>
      </c>
      <c r="E3444" s="1">
        <v>45171</v>
      </c>
      <c r="F3444" s="1"/>
      <c r="G3444">
        <v>47.11</v>
      </c>
      <c r="H34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444" t="str">
        <f>IFERROR(INDEX(Raw_orders!G:G, MATCH(shipments[[#This Row],[order_id]],Raw_orders!A:A, 0)), "Unknown")</f>
        <v>Nordics</v>
      </c>
      <c r="J3444" t="str">
        <f>PROPER(shipments[[#This Row],[delivery_status]])</f>
        <v>In Transit</v>
      </c>
      <c r="K3444" t="s">
        <v>6958</v>
      </c>
    </row>
    <row r="3445" spans="1:11">
      <c r="A3445" t="s">
        <v>10381</v>
      </c>
      <c r="B3445" t="s">
        <v>4136</v>
      </c>
      <c r="C3445" t="s">
        <v>6935</v>
      </c>
      <c r="D3445" s="1">
        <v>45469</v>
      </c>
      <c r="E3445" s="1">
        <v>45471</v>
      </c>
      <c r="F3445" s="1"/>
      <c r="G3445">
        <v>26.27</v>
      </c>
      <c r="H34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445" t="str">
        <f>IFERROR(INDEX(Raw_orders!G:G, MATCH(shipments[[#This Row],[order_id]],Raw_orders!A:A, 0)), "Unknown")</f>
        <v>Baltics</v>
      </c>
      <c r="J3445" t="str">
        <f>PROPER(shipments[[#This Row],[delivery_status]])</f>
        <v>In Transit</v>
      </c>
      <c r="K3445" t="s">
        <v>6977</v>
      </c>
    </row>
    <row r="3446" spans="1:11">
      <c r="A3446" t="s">
        <v>10382</v>
      </c>
      <c r="B3446" t="s">
        <v>4137</v>
      </c>
      <c r="C3446" t="s">
        <v>6956</v>
      </c>
      <c r="D3446" s="1">
        <v>45020</v>
      </c>
      <c r="E3446" s="1">
        <v>45025</v>
      </c>
      <c r="F3446" s="1"/>
      <c r="G3446">
        <v>8.57</v>
      </c>
      <c r="H34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446" t="str">
        <f>IFERROR(INDEX(Raw_orders!G:G, MATCH(shipments[[#This Row],[order_id]],Raw_orders!A:A, 0)), "Unknown")</f>
        <v>Baltics</v>
      </c>
      <c r="J3446" t="str">
        <f>PROPER(shipments[[#This Row],[delivery_status]])</f>
        <v>In Transit</v>
      </c>
      <c r="K3446" t="s">
        <v>6946</v>
      </c>
    </row>
    <row r="3447" spans="1:11">
      <c r="A3447" t="s">
        <v>10383</v>
      </c>
      <c r="B3447" t="s">
        <v>4137</v>
      </c>
      <c r="C3447" t="s">
        <v>6940</v>
      </c>
      <c r="D3447" s="1">
        <v>45017</v>
      </c>
      <c r="E3447" s="1">
        <v>45020</v>
      </c>
      <c r="F3447" s="1"/>
      <c r="G3447">
        <v>4.74</v>
      </c>
      <c r="H34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447" t="str">
        <f>IFERROR(INDEX(Raw_orders!G:G, MATCH(shipments[[#This Row],[order_id]],Raw_orders!A:A, 0)), "Unknown")</f>
        <v>Baltics</v>
      </c>
      <c r="J3447" t="str">
        <f>PROPER(shipments[[#This Row],[delivery_status]])</f>
        <v>Cancelled</v>
      </c>
      <c r="K3447" t="s">
        <v>6963</v>
      </c>
    </row>
    <row r="3448" spans="1:11">
      <c r="A3448" t="s">
        <v>10384</v>
      </c>
      <c r="B3448" t="s">
        <v>4138</v>
      </c>
      <c r="C3448" t="s">
        <v>6928</v>
      </c>
      <c r="D3448" s="1">
        <v>45146</v>
      </c>
      <c r="E3448" s="1">
        <v>45149</v>
      </c>
      <c r="F3448" s="1"/>
      <c r="G3448">
        <v>52.78</v>
      </c>
      <c r="H34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448" t="str">
        <f>IFERROR(INDEX(Raw_orders!G:G, MATCH(shipments[[#This Row],[order_id]],Raw_orders!A:A, 0)), "Unknown")</f>
        <v>Nordics</v>
      </c>
      <c r="J3448" t="str">
        <f>PROPER(shipments[[#This Row],[delivery_status]])</f>
        <v>Cancelled</v>
      </c>
      <c r="K3448" t="s">
        <v>6972</v>
      </c>
    </row>
    <row r="3449" spans="1:11">
      <c r="A3449" t="s">
        <v>10385</v>
      </c>
      <c r="B3449" t="s">
        <v>4139</v>
      </c>
      <c r="C3449" t="s">
        <v>6925</v>
      </c>
      <c r="D3449" s="1">
        <v>45549</v>
      </c>
      <c r="E3449" s="1">
        <v>45559</v>
      </c>
      <c r="F3449" s="1"/>
      <c r="G3449">
        <v>19.04</v>
      </c>
      <c r="H34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449" t="str">
        <f>IFERROR(INDEX(Raw_orders!G:G, MATCH(shipments[[#This Row],[order_id]],Raw_orders!A:A, 0)), "Unknown")</f>
        <v>Central Europe</v>
      </c>
      <c r="J3449" t="str">
        <f>PROPER(shipments[[#This Row],[delivery_status]])</f>
        <v>Cancelled</v>
      </c>
      <c r="K3449" t="s">
        <v>6972</v>
      </c>
    </row>
    <row r="3450" spans="1:11">
      <c r="A3450" t="s">
        <v>10386</v>
      </c>
      <c r="B3450" t="s">
        <v>4140</v>
      </c>
      <c r="C3450" t="s">
        <v>6928</v>
      </c>
      <c r="D3450" s="1">
        <v>45563</v>
      </c>
      <c r="E3450" s="1">
        <v>45573</v>
      </c>
      <c r="F3450" s="1">
        <v>45573</v>
      </c>
      <c r="G3450">
        <v>41.99</v>
      </c>
      <c r="H34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450" t="str">
        <f>IFERROR(INDEX(Raw_orders!G:G, MATCH(shipments[[#This Row],[order_id]],Raw_orders!A:A, 0)), "Unknown")</f>
        <v>Central Europe</v>
      </c>
      <c r="J3450" t="str">
        <f>PROPER(shipments[[#This Row],[delivery_status]])</f>
        <v>Delivered</v>
      </c>
      <c r="K3450" t="s">
        <v>6926</v>
      </c>
    </row>
    <row r="3451" spans="1:11">
      <c r="A3451" t="s">
        <v>10387</v>
      </c>
      <c r="B3451" t="s">
        <v>4141</v>
      </c>
      <c r="C3451" t="s">
        <v>6956</v>
      </c>
      <c r="D3451" s="1">
        <v>45012</v>
      </c>
      <c r="E3451" s="1">
        <v>45014</v>
      </c>
      <c r="F3451" s="1">
        <v>45014</v>
      </c>
      <c r="G3451">
        <v>63.22</v>
      </c>
      <c r="H34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451" t="str">
        <f>IFERROR(INDEX(Raw_orders!G:G, MATCH(shipments[[#This Row],[order_id]],Raw_orders!A:A, 0)), "Unknown")</f>
        <v>Baltics</v>
      </c>
      <c r="J3451" t="str">
        <f>PROPER(shipments[[#This Row],[delivery_status]])</f>
        <v>Delivered</v>
      </c>
      <c r="K3451" t="s">
        <v>6926</v>
      </c>
    </row>
    <row r="3452" spans="1:11">
      <c r="A3452" t="s">
        <v>10388</v>
      </c>
      <c r="B3452" t="s">
        <v>4142</v>
      </c>
      <c r="C3452" t="s">
        <v>6928</v>
      </c>
      <c r="D3452" s="1">
        <v>45444</v>
      </c>
      <c r="E3452" s="1">
        <v>45451</v>
      </c>
      <c r="F3452" s="1">
        <v>45464</v>
      </c>
      <c r="G3452">
        <v>9.34</v>
      </c>
      <c r="H34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52" t="str">
        <f>IFERROR(INDEX(Raw_orders!G:G, MATCH(shipments[[#This Row],[order_id]],Raw_orders!A:A, 0)), "Unknown")</f>
        <v>Nordics</v>
      </c>
      <c r="J3452" t="str">
        <f>PROPER(shipments[[#This Row],[delivery_status]])</f>
        <v>Delivered</v>
      </c>
      <c r="K3452" t="s">
        <v>6926</v>
      </c>
    </row>
    <row r="3453" spans="1:11">
      <c r="A3453" t="s">
        <v>10389</v>
      </c>
      <c r="B3453" t="s">
        <v>4143</v>
      </c>
      <c r="C3453" t="s">
        <v>6931</v>
      </c>
      <c r="D3453" s="1">
        <v>45051</v>
      </c>
      <c r="E3453" s="1">
        <v>45056</v>
      </c>
      <c r="F3453" s="1">
        <v>45068</v>
      </c>
      <c r="G3453">
        <v>11.53</v>
      </c>
      <c r="H34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53" t="str">
        <f>IFERROR(INDEX(Raw_orders!G:G, MATCH(shipments[[#This Row],[order_id]],Raw_orders!A:A, 0)), "Unknown")</f>
        <v>Baltics</v>
      </c>
      <c r="J3453" t="str">
        <f>PROPER(shipments[[#This Row],[delivery_status]])</f>
        <v>Delivered</v>
      </c>
      <c r="K3453" t="s">
        <v>6929</v>
      </c>
    </row>
    <row r="3454" spans="1:11">
      <c r="A3454" t="s">
        <v>10390</v>
      </c>
      <c r="B3454" t="s">
        <v>4144</v>
      </c>
      <c r="C3454" t="s">
        <v>6935</v>
      </c>
      <c r="D3454" s="1">
        <v>45041</v>
      </c>
      <c r="E3454" s="1">
        <v>45046</v>
      </c>
      <c r="F3454" s="1"/>
      <c r="G3454">
        <v>26.29</v>
      </c>
      <c r="H34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454" t="str">
        <f>IFERROR(INDEX(Raw_orders!G:G, MATCH(shipments[[#This Row],[order_id]],Raw_orders!A:A, 0)), "Unknown")</f>
        <v>Nordics</v>
      </c>
      <c r="J3454" t="str">
        <f>PROPER(shipments[[#This Row],[delivery_status]])</f>
        <v>Cancelled</v>
      </c>
      <c r="K3454" t="s">
        <v>6979</v>
      </c>
    </row>
    <row r="3455" spans="1:11">
      <c r="A3455" t="s">
        <v>10391</v>
      </c>
      <c r="B3455" t="s">
        <v>4145</v>
      </c>
      <c r="C3455" t="s">
        <v>6921</v>
      </c>
      <c r="D3455" s="1">
        <v>45141</v>
      </c>
      <c r="E3455" s="1">
        <v>45148</v>
      </c>
      <c r="F3455" s="1">
        <v>45148</v>
      </c>
      <c r="G3455">
        <v>8.4700000000000006</v>
      </c>
      <c r="H34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455" t="str">
        <f>IFERROR(INDEX(Raw_orders!G:G, MATCH(shipments[[#This Row],[order_id]],Raw_orders!A:A, 0)), "Unknown")</f>
        <v>Central Europe</v>
      </c>
      <c r="J3455" t="str">
        <f>PROPER(shipments[[#This Row],[delivery_status]])</f>
        <v>Delivered</v>
      </c>
      <c r="K3455" t="s">
        <v>6922</v>
      </c>
    </row>
    <row r="3456" spans="1:11">
      <c r="A3456" t="s">
        <v>10392</v>
      </c>
      <c r="B3456" t="s">
        <v>4146</v>
      </c>
      <c r="C3456" t="s">
        <v>6921</v>
      </c>
      <c r="D3456" s="1">
        <v>45339</v>
      </c>
      <c r="E3456" s="1">
        <v>45341</v>
      </c>
      <c r="F3456" s="1">
        <v>45347</v>
      </c>
      <c r="G3456">
        <v>40.36</v>
      </c>
      <c r="H34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56" t="str">
        <f>IFERROR(INDEX(Raw_orders!G:G, MATCH(shipments[[#This Row],[order_id]],Raw_orders!A:A, 0)), "Unknown")</f>
        <v>Baltics</v>
      </c>
      <c r="J3456" t="str">
        <f>PROPER(shipments[[#This Row],[delivery_status]])</f>
        <v>Delivered</v>
      </c>
      <c r="K3456" t="s">
        <v>6926</v>
      </c>
    </row>
    <row r="3457" spans="1:11">
      <c r="A3457" t="s">
        <v>10393</v>
      </c>
      <c r="B3457" t="s">
        <v>4147</v>
      </c>
      <c r="C3457" t="s">
        <v>6921</v>
      </c>
      <c r="D3457" s="1">
        <v>45518</v>
      </c>
      <c r="E3457" s="1">
        <v>45521</v>
      </c>
      <c r="F3457" s="1">
        <v>45529</v>
      </c>
      <c r="G3457">
        <v>12.24</v>
      </c>
      <c r="H34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57" t="str">
        <f>IFERROR(INDEX(Raw_orders!G:G, MATCH(shipments[[#This Row],[order_id]],Raw_orders!A:A, 0)), "Unknown")</f>
        <v>Baltics</v>
      </c>
      <c r="J3457" t="str">
        <f>PROPER(shipments[[#This Row],[delivery_status]])</f>
        <v>Delivered</v>
      </c>
      <c r="K3457" t="s">
        <v>6926</v>
      </c>
    </row>
    <row r="3458" spans="1:11">
      <c r="A3458" t="s">
        <v>10394</v>
      </c>
      <c r="B3458" t="s">
        <v>4148</v>
      </c>
      <c r="C3458" t="s">
        <v>6925</v>
      </c>
      <c r="D3458" s="1">
        <v>44930</v>
      </c>
      <c r="E3458" s="1">
        <v>44932</v>
      </c>
      <c r="F3458" s="1">
        <v>44934</v>
      </c>
      <c r="G3458">
        <v>14.1</v>
      </c>
      <c r="H34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58" t="str">
        <f>IFERROR(INDEX(Raw_orders!G:G, MATCH(shipments[[#This Row],[order_id]],Raw_orders!A:A, 0)), "Unknown")</f>
        <v>Nordics</v>
      </c>
      <c r="J3458" t="str">
        <f>PROPER(shipments[[#This Row],[delivery_status]])</f>
        <v>Delivered</v>
      </c>
      <c r="K3458" t="s">
        <v>6929</v>
      </c>
    </row>
    <row r="3459" spans="1:11">
      <c r="A3459" t="s">
        <v>10395</v>
      </c>
      <c r="B3459" t="s">
        <v>4149</v>
      </c>
      <c r="C3459" t="s">
        <v>6938</v>
      </c>
      <c r="D3459" s="1">
        <v>45537</v>
      </c>
      <c r="E3459" s="1">
        <v>45539</v>
      </c>
      <c r="F3459" s="1">
        <v>45547</v>
      </c>
      <c r="G3459">
        <v>21.28</v>
      </c>
      <c r="H34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59" t="str">
        <f>IFERROR(INDEX(Raw_orders!G:G, MATCH(shipments[[#This Row],[order_id]],Raw_orders!A:A, 0)), "Unknown")</f>
        <v>Nordics</v>
      </c>
      <c r="J3459" t="str">
        <f>PROPER(shipments[[#This Row],[delivery_status]])</f>
        <v>Delivered</v>
      </c>
      <c r="K3459" t="s">
        <v>6922</v>
      </c>
    </row>
    <row r="3460" spans="1:11">
      <c r="A3460" t="s">
        <v>10396</v>
      </c>
      <c r="B3460" t="s">
        <v>4150</v>
      </c>
      <c r="C3460" t="s">
        <v>6935</v>
      </c>
      <c r="D3460" s="1">
        <v>45334</v>
      </c>
      <c r="E3460" s="1">
        <v>45337</v>
      </c>
      <c r="F3460" s="1"/>
      <c r="G3460">
        <v>59.98</v>
      </c>
      <c r="H34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460" t="str">
        <f>IFERROR(INDEX(Raw_orders!G:G, MATCH(shipments[[#This Row],[order_id]],Raw_orders!A:A, 0)), "Unknown")</f>
        <v>Central Europe</v>
      </c>
      <c r="J3460" t="str">
        <f>PROPER(shipments[[#This Row],[delivery_status]])</f>
        <v>In Transit</v>
      </c>
      <c r="K3460" t="s">
        <v>6977</v>
      </c>
    </row>
    <row r="3461" spans="1:11">
      <c r="A3461" t="s">
        <v>10397</v>
      </c>
      <c r="B3461" t="s">
        <v>4151</v>
      </c>
      <c r="C3461" t="s">
        <v>6931</v>
      </c>
      <c r="D3461" s="1">
        <v>45460</v>
      </c>
      <c r="E3461" s="1">
        <v>45462</v>
      </c>
      <c r="F3461" s="1">
        <v>45464</v>
      </c>
      <c r="G3461">
        <v>14.8</v>
      </c>
      <c r="H34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61" t="str">
        <f>IFERROR(INDEX(Raw_orders!G:G, MATCH(shipments[[#This Row],[order_id]],Raw_orders!A:A, 0)), "Unknown")</f>
        <v>Central Europe</v>
      </c>
      <c r="J3461" t="str">
        <f>PROPER(shipments[[#This Row],[delivery_status]])</f>
        <v>Delivered</v>
      </c>
      <c r="K3461" t="s">
        <v>6922</v>
      </c>
    </row>
    <row r="3462" spans="1:11">
      <c r="A3462" t="s">
        <v>10398</v>
      </c>
      <c r="B3462" t="s">
        <v>4152</v>
      </c>
      <c r="C3462" t="s">
        <v>6928</v>
      </c>
      <c r="D3462" s="1">
        <v>45326</v>
      </c>
      <c r="E3462" s="1">
        <v>45336</v>
      </c>
      <c r="F3462" s="1"/>
      <c r="G3462">
        <v>15.15</v>
      </c>
      <c r="H34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462" t="str">
        <f>IFERROR(INDEX(Raw_orders!G:G, MATCH(shipments[[#This Row],[order_id]],Raw_orders!A:A, 0)), "Unknown")</f>
        <v>Central Europe</v>
      </c>
      <c r="J3462" t="str">
        <f>PROPER(shipments[[#This Row],[delivery_status]])</f>
        <v>Cancelled</v>
      </c>
      <c r="K3462" t="s">
        <v>6963</v>
      </c>
    </row>
    <row r="3463" spans="1:11">
      <c r="A3463" t="s">
        <v>10399</v>
      </c>
      <c r="B3463" t="s">
        <v>4152</v>
      </c>
      <c r="C3463" t="s">
        <v>6925</v>
      </c>
      <c r="D3463" s="1">
        <v>45324</v>
      </c>
      <c r="E3463" s="1">
        <v>45334</v>
      </c>
      <c r="F3463" s="1">
        <v>45338</v>
      </c>
      <c r="G3463">
        <v>55.97</v>
      </c>
      <c r="H34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63" t="str">
        <f>IFERROR(INDEX(Raw_orders!G:G, MATCH(shipments[[#This Row],[order_id]],Raw_orders!A:A, 0)), "Unknown")</f>
        <v>Central Europe</v>
      </c>
      <c r="J3463" t="str">
        <f>PROPER(shipments[[#This Row],[delivery_status]])</f>
        <v>Delivered</v>
      </c>
      <c r="K3463" t="s">
        <v>6926</v>
      </c>
    </row>
    <row r="3464" spans="1:11">
      <c r="A3464" t="s">
        <v>10400</v>
      </c>
      <c r="B3464" t="s">
        <v>4153</v>
      </c>
      <c r="C3464" t="s">
        <v>6931</v>
      </c>
      <c r="D3464" s="1">
        <v>45359</v>
      </c>
      <c r="E3464" s="1">
        <v>45366</v>
      </c>
      <c r="F3464" s="1">
        <v>45366</v>
      </c>
      <c r="G3464">
        <v>8.61</v>
      </c>
      <c r="H34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464" t="str">
        <f>IFERROR(INDEX(Raw_orders!G:G, MATCH(shipments[[#This Row],[order_id]],Raw_orders!A:A, 0)), "Unknown")</f>
        <v>Baltics</v>
      </c>
      <c r="J3464" t="str">
        <f>PROPER(shipments[[#This Row],[delivery_status]])</f>
        <v>Delivered</v>
      </c>
      <c r="K3464" t="s">
        <v>6922</v>
      </c>
    </row>
    <row r="3465" spans="1:11">
      <c r="A3465" t="s">
        <v>10401</v>
      </c>
      <c r="B3465" t="s">
        <v>4154</v>
      </c>
      <c r="C3465" t="s">
        <v>6931</v>
      </c>
      <c r="D3465" s="1">
        <v>45011</v>
      </c>
      <c r="E3465" s="1">
        <v>45016</v>
      </c>
      <c r="F3465" s="1">
        <v>45018</v>
      </c>
      <c r="G3465">
        <v>45.39</v>
      </c>
      <c r="H34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65" t="str">
        <f>IFERROR(INDEX(Raw_orders!G:G, MATCH(shipments[[#This Row],[order_id]],Raw_orders!A:A, 0)), "Unknown")</f>
        <v>Central Europe</v>
      </c>
      <c r="J3465" t="str">
        <f>PROPER(shipments[[#This Row],[delivery_status]])</f>
        <v>Delivered</v>
      </c>
      <c r="K3465" t="s">
        <v>6922</v>
      </c>
    </row>
    <row r="3466" spans="1:11">
      <c r="A3466" t="s">
        <v>10402</v>
      </c>
      <c r="B3466" t="s">
        <v>4155</v>
      </c>
      <c r="C3466" t="s">
        <v>6931</v>
      </c>
      <c r="D3466" s="1">
        <v>45245</v>
      </c>
      <c r="E3466" s="1">
        <v>45247</v>
      </c>
      <c r="F3466" s="1">
        <v>45250</v>
      </c>
      <c r="G3466">
        <v>33.729999999999997</v>
      </c>
      <c r="H34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66" t="str">
        <f>IFERROR(INDEX(Raw_orders!G:G, MATCH(shipments[[#This Row],[order_id]],Raw_orders!A:A, 0)), "Unknown")</f>
        <v>Baltics</v>
      </c>
      <c r="J3466" t="str">
        <f>PROPER(shipments[[#This Row],[delivery_status]])</f>
        <v>Delivered</v>
      </c>
      <c r="K3466" t="s">
        <v>6926</v>
      </c>
    </row>
    <row r="3467" spans="1:11">
      <c r="A3467" t="s">
        <v>10403</v>
      </c>
      <c r="B3467" t="s">
        <v>4156</v>
      </c>
      <c r="C3467" t="s">
        <v>6928</v>
      </c>
      <c r="D3467" s="1">
        <v>45055</v>
      </c>
      <c r="E3467" s="1">
        <v>45062</v>
      </c>
      <c r="F3467" s="1">
        <v>45063</v>
      </c>
      <c r="G3467">
        <v>49.97</v>
      </c>
      <c r="H34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67" t="str">
        <f>IFERROR(INDEX(Raw_orders!G:G, MATCH(shipments[[#This Row],[order_id]],Raw_orders!A:A, 0)), "Unknown")</f>
        <v>Baltics</v>
      </c>
      <c r="J3467" t="str">
        <f>PROPER(shipments[[#This Row],[delivery_status]])</f>
        <v>Delivered</v>
      </c>
      <c r="K3467" t="s">
        <v>6929</v>
      </c>
    </row>
    <row r="3468" spans="1:11">
      <c r="A3468" t="s">
        <v>10404</v>
      </c>
      <c r="B3468" t="s">
        <v>4157</v>
      </c>
      <c r="C3468" t="s">
        <v>6956</v>
      </c>
      <c r="D3468" s="1">
        <v>45422</v>
      </c>
      <c r="E3468" s="1">
        <v>45424</v>
      </c>
      <c r="F3468" s="1">
        <v>45424</v>
      </c>
      <c r="G3468">
        <v>36.19</v>
      </c>
      <c r="H34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468" t="str">
        <f>IFERROR(INDEX(Raw_orders!G:G, MATCH(shipments[[#This Row],[order_id]],Raw_orders!A:A, 0)), "Unknown")</f>
        <v>Nordics</v>
      </c>
      <c r="J3468" t="str">
        <f>PROPER(shipments[[#This Row],[delivery_status]])</f>
        <v>Delivered</v>
      </c>
      <c r="K3468" t="s">
        <v>6922</v>
      </c>
    </row>
    <row r="3469" spans="1:11">
      <c r="A3469" t="s">
        <v>10405</v>
      </c>
      <c r="B3469" t="s">
        <v>4158</v>
      </c>
      <c r="C3469" t="s">
        <v>6925</v>
      </c>
      <c r="D3469" s="1">
        <v>45068</v>
      </c>
      <c r="E3469" s="1">
        <v>45073</v>
      </c>
      <c r="F3469" s="1">
        <v>45085</v>
      </c>
      <c r="G3469">
        <v>53.73</v>
      </c>
      <c r="H34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69" t="str">
        <f>IFERROR(INDEX(Raw_orders!G:G, MATCH(shipments[[#This Row],[order_id]],Raw_orders!A:A, 0)), "Unknown")</f>
        <v>Central Europe</v>
      </c>
      <c r="J3469" t="str">
        <f>PROPER(shipments[[#This Row],[delivery_status]])</f>
        <v>Delivered</v>
      </c>
      <c r="K3469" t="s">
        <v>6926</v>
      </c>
    </row>
    <row r="3470" spans="1:11">
      <c r="A3470" t="s">
        <v>10406</v>
      </c>
      <c r="B3470" t="s">
        <v>4158</v>
      </c>
      <c r="C3470" t="s">
        <v>6956</v>
      </c>
      <c r="D3470" s="1">
        <v>45066</v>
      </c>
      <c r="E3470" s="1">
        <v>45068</v>
      </c>
      <c r="F3470" s="1">
        <v>45068</v>
      </c>
      <c r="G3470">
        <v>24.56</v>
      </c>
      <c r="H34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470" t="str">
        <f>IFERROR(INDEX(Raw_orders!G:G, MATCH(shipments[[#This Row],[order_id]],Raw_orders!A:A, 0)), "Unknown")</f>
        <v>Central Europe</v>
      </c>
      <c r="J3470" t="str">
        <f>PROPER(shipments[[#This Row],[delivery_status]])</f>
        <v>Delivered</v>
      </c>
      <c r="K3470" t="s">
        <v>6929</v>
      </c>
    </row>
    <row r="3471" spans="1:11">
      <c r="A3471" t="s">
        <v>10407</v>
      </c>
      <c r="B3471" t="s">
        <v>4159</v>
      </c>
      <c r="C3471" t="s">
        <v>6938</v>
      </c>
      <c r="D3471" s="1">
        <v>45203</v>
      </c>
      <c r="E3471" s="1">
        <v>45210</v>
      </c>
      <c r="F3471" s="1">
        <v>45216</v>
      </c>
      <c r="G3471">
        <v>15.6</v>
      </c>
      <c r="H34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71" t="str">
        <f>IFERROR(INDEX(Raw_orders!G:G, MATCH(shipments[[#This Row],[order_id]],Raw_orders!A:A, 0)), "Unknown")</f>
        <v>Central Europe</v>
      </c>
      <c r="J3471" t="str">
        <f>PROPER(shipments[[#This Row],[delivery_status]])</f>
        <v>Delivered</v>
      </c>
      <c r="K3471" t="s">
        <v>6926</v>
      </c>
    </row>
    <row r="3472" spans="1:11">
      <c r="A3472" t="s">
        <v>10408</v>
      </c>
      <c r="B3472" t="s">
        <v>4160</v>
      </c>
      <c r="C3472" t="s">
        <v>6931</v>
      </c>
      <c r="D3472" s="1">
        <v>44944</v>
      </c>
      <c r="E3472" s="1">
        <v>44951</v>
      </c>
      <c r="F3472" s="1">
        <v>44952</v>
      </c>
      <c r="G3472">
        <v>7.66</v>
      </c>
      <c r="H34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72" t="str">
        <f>IFERROR(INDEX(Raw_orders!G:G, MATCH(shipments[[#This Row],[order_id]],Raw_orders!A:A, 0)), "Unknown")</f>
        <v>Baltics</v>
      </c>
      <c r="J3472" t="str">
        <f>PROPER(shipments[[#This Row],[delivery_status]])</f>
        <v>Delivered</v>
      </c>
      <c r="K3472" t="s">
        <v>6926</v>
      </c>
    </row>
    <row r="3473" spans="1:11">
      <c r="A3473" t="s">
        <v>10409</v>
      </c>
      <c r="B3473" t="s">
        <v>4161</v>
      </c>
      <c r="C3473" t="s">
        <v>6925</v>
      </c>
      <c r="D3473" s="1">
        <v>45034</v>
      </c>
      <c r="E3473" s="1">
        <v>45039</v>
      </c>
      <c r="F3473" s="1">
        <v>45039</v>
      </c>
      <c r="G3473">
        <v>20.16</v>
      </c>
      <c r="H34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473" t="str">
        <f>IFERROR(INDEX(Raw_orders!G:G, MATCH(shipments[[#This Row],[order_id]],Raw_orders!A:A, 0)), "Unknown")</f>
        <v>Nordics</v>
      </c>
      <c r="J3473" t="str">
        <f>PROPER(shipments[[#This Row],[delivery_status]])</f>
        <v>Delivered</v>
      </c>
      <c r="K3473" t="s">
        <v>6922</v>
      </c>
    </row>
    <row r="3474" spans="1:11">
      <c r="A3474" t="s">
        <v>10410</v>
      </c>
      <c r="B3474" t="s">
        <v>4162</v>
      </c>
      <c r="C3474" t="s">
        <v>6928</v>
      </c>
      <c r="D3474" s="1">
        <v>45232</v>
      </c>
      <c r="E3474" s="1">
        <v>45242</v>
      </c>
      <c r="F3474" s="1">
        <v>45241</v>
      </c>
      <c r="G3474">
        <v>10.63</v>
      </c>
      <c r="H34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474" t="str">
        <f>IFERROR(INDEX(Raw_orders!G:G, MATCH(shipments[[#This Row],[order_id]],Raw_orders!A:A, 0)), "Unknown")</f>
        <v>Baltics</v>
      </c>
      <c r="J3474" t="str">
        <f>PROPER(shipments[[#This Row],[delivery_status]])</f>
        <v>Delivered</v>
      </c>
      <c r="K3474" t="s">
        <v>6926</v>
      </c>
    </row>
    <row r="3475" spans="1:11">
      <c r="A3475" t="s">
        <v>10411</v>
      </c>
      <c r="B3475" t="s">
        <v>4163</v>
      </c>
      <c r="C3475" t="s">
        <v>6928</v>
      </c>
      <c r="D3475" s="1">
        <v>44961</v>
      </c>
      <c r="E3475" s="1">
        <v>44971</v>
      </c>
      <c r="F3475" s="1"/>
      <c r="G3475">
        <v>48.49</v>
      </c>
      <c r="H34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475" t="str">
        <f>IFERROR(INDEX(Raw_orders!G:G, MATCH(shipments[[#This Row],[order_id]],Raw_orders!A:A, 0)), "Unknown")</f>
        <v>Nordics</v>
      </c>
      <c r="J3475" t="str">
        <f>PROPER(shipments[[#This Row],[delivery_status]])</f>
        <v>In Transit</v>
      </c>
      <c r="K3475" t="s">
        <v>6977</v>
      </c>
    </row>
    <row r="3476" spans="1:11">
      <c r="A3476" t="s">
        <v>10412</v>
      </c>
      <c r="B3476" t="s">
        <v>4164</v>
      </c>
      <c r="C3476" t="s">
        <v>6956</v>
      </c>
      <c r="D3476" s="1">
        <v>44962</v>
      </c>
      <c r="E3476" s="1">
        <v>44972</v>
      </c>
      <c r="F3476" s="1">
        <v>44981</v>
      </c>
      <c r="G3476">
        <v>46.49</v>
      </c>
      <c r="H34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76" t="str">
        <f>IFERROR(INDEX(Raw_orders!G:G, MATCH(shipments[[#This Row],[order_id]],Raw_orders!A:A, 0)), "Unknown")</f>
        <v>Baltics</v>
      </c>
      <c r="J3476" t="str">
        <f>PROPER(shipments[[#This Row],[delivery_status]])</f>
        <v>Delivered</v>
      </c>
      <c r="K3476" t="s">
        <v>6926</v>
      </c>
    </row>
    <row r="3477" spans="1:11">
      <c r="A3477" t="s">
        <v>10413</v>
      </c>
      <c r="B3477" t="s">
        <v>4165</v>
      </c>
      <c r="C3477" t="s">
        <v>6935</v>
      </c>
      <c r="D3477" s="1">
        <v>44997</v>
      </c>
      <c r="E3477" s="1">
        <v>45000</v>
      </c>
      <c r="F3477" s="1">
        <v>45008</v>
      </c>
      <c r="G3477">
        <v>46.24</v>
      </c>
      <c r="H34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77" t="str">
        <f>IFERROR(INDEX(Raw_orders!G:G, MATCH(shipments[[#This Row],[order_id]],Raw_orders!A:A, 0)), "Unknown")</f>
        <v>Unknown</v>
      </c>
      <c r="J3477" t="str">
        <f>PROPER(shipments[[#This Row],[delivery_status]])</f>
        <v>Delivered</v>
      </c>
      <c r="K3477" t="s">
        <v>6922</v>
      </c>
    </row>
    <row r="3478" spans="1:11">
      <c r="A3478" t="s">
        <v>10414</v>
      </c>
      <c r="B3478" t="s">
        <v>4166</v>
      </c>
      <c r="C3478" t="s">
        <v>6940</v>
      </c>
      <c r="D3478" s="1">
        <v>45508</v>
      </c>
      <c r="E3478" s="1">
        <v>45510</v>
      </c>
      <c r="F3478" s="1">
        <v>45512</v>
      </c>
      <c r="G3478">
        <v>15.08</v>
      </c>
      <c r="H34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78" t="str">
        <f>IFERROR(INDEX(Raw_orders!G:G, MATCH(shipments[[#This Row],[order_id]],Raw_orders!A:A, 0)), "Unknown")</f>
        <v>Baltics</v>
      </c>
      <c r="J3478" t="str">
        <f>PROPER(shipments[[#This Row],[delivery_status]])</f>
        <v>Delivered</v>
      </c>
      <c r="K3478" t="s">
        <v>6922</v>
      </c>
    </row>
    <row r="3479" spans="1:11">
      <c r="A3479" t="s">
        <v>10415</v>
      </c>
      <c r="B3479" t="s">
        <v>4167</v>
      </c>
      <c r="C3479" t="s">
        <v>6921</v>
      </c>
      <c r="D3479" s="1">
        <v>45366</v>
      </c>
      <c r="E3479" s="1">
        <v>45368</v>
      </c>
      <c r="F3479" s="1">
        <v>45371</v>
      </c>
      <c r="G3479">
        <v>18.2</v>
      </c>
      <c r="H34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79" t="str">
        <f>IFERROR(INDEX(Raw_orders!G:G, MATCH(shipments[[#This Row],[order_id]],Raw_orders!A:A, 0)), "Unknown")</f>
        <v>Baltics</v>
      </c>
      <c r="J3479" t="str">
        <f>PROPER(shipments[[#This Row],[delivery_status]])</f>
        <v>Delivered</v>
      </c>
      <c r="K3479" t="s">
        <v>6922</v>
      </c>
    </row>
    <row r="3480" spans="1:11">
      <c r="A3480" t="s">
        <v>10416</v>
      </c>
      <c r="B3480" t="s">
        <v>4168</v>
      </c>
      <c r="C3480" t="s">
        <v>6949</v>
      </c>
      <c r="D3480" s="1">
        <v>44998</v>
      </c>
      <c r="E3480" s="1">
        <v>45000</v>
      </c>
      <c r="F3480" s="1">
        <v>45007</v>
      </c>
      <c r="G3480">
        <v>16.41</v>
      </c>
      <c r="H34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80" t="str">
        <f>IFERROR(INDEX(Raw_orders!G:G, MATCH(shipments[[#This Row],[order_id]],Raw_orders!A:A, 0)), "Unknown")</f>
        <v>Nordics</v>
      </c>
      <c r="J3480" t="str">
        <f>PROPER(shipments[[#This Row],[delivery_status]])</f>
        <v>Delivered</v>
      </c>
      <c r="K3480" t="s">
        <v>6926</v>
      </c>
    </row>
    <row r="3481" spans="1:11">
      <c r="A3481" t="s">
        <v>10417</v>
      </c>
      <c r="B3481" t="s">
        <v>4169</v>
      </c>
      <c r="C3481" t="s">
        <v>6938</v>
      </c>
      <c r="D3481" s="1">
        <v>45521</v>
      </c>
      <c r="E3481" s="1">
        <v>45528</v>
      </c>
      <c r="F3481" s="1">
        <v>45531</v>
      </c>
      <c r="G3481">
        <v>52.26</v>
      </c>
      <c r="H34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81" t="str">
        <f>IFERROR(INDEX(Raw_orders!G:G, MATCH(shipments[[#This Row],[order_id]],Raw_orders!A:A, 0)), "Unknown")</f>
        <v>Baltics</v>
      </c>
      <c r="J3481" t="str">
        <f>PROPER(shipments[[#This Row],[delivery_status]])</f>
        <v>Delivered</v>
      </c>
      <c r="K3481" t="s">
        <v>6922</v>
      </c>
    </row>
    <row r="3482" spans="1:11">
      <c r="A3482" t="s">
        <v>10418</v>
      </c>
      <c r="B3482" t="s">
        <v>4169</v>
      </c>
      <c r="C3482" t="s">
        <v>6956</v>
      </c>
      <c r="D3482" s="1">
        <v>45519</v>
      </c>
      <c r="E3482" s="1">
        <v>45529</v>
      </c>
      <c r="F3482" s="1">
        <v>45529</v>
      </c>
      <c r="G3482">
        <v>36.92</v>
      </c>
      <c r="H34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482" t="str">
        <f>IFERROR(INDEX(Raw_orders!G:G, MATCH(shipments[[#This Row],[order_id]],Raw_orders!A:A, 0)), "Unknown")</f>
        <v>Baltics</v>
      </c>
      <c r="J3482" t="str">
        <f>PROPER(shipments[[#This Row],[delivery_status]])</f>
        <v>Delivered</v>
      </c>
      <c r="K3482" t="s">
        <v>6926</v>
      </c>
    </row>
    <row r="3483" spans="1:11">
      <c r="A3483" t="s">
        <v>10419</v>
      </c>
      <c r="B3483" t="s">
        <v>4170</v>
      </c>
      <c r="C3483" t="s">
        <v>6931</v>
      </c>
      <c r="D3483" s="1">
        <v>45361</v>
      </c>
      <c r="E3483" s="1">
        <v>45371</v>
      </c>
      <c r="F3483" s="1"/>
      <c r="G3483">
        <v>32.56</v>
      </c>
      <c r="H34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483" t="str">
        <f>IFERROR(INDEX(Raw_orders!G:G, MATCH(shipments[[#This Row],[order_id]],Raw_orders!A:A, 0)), "Unknown")</f>
        <v>Nordics</v>
      </c>
      <c r="J3483" t="str">
        <f>PROPER(shipments[[#This Row],[delivery_status]])</f>
        <v>In Transit</v>
      </c>
      <c r="K3483" t="s">
        <v>6946</v>
      </c>
    </row>
    <row r="3484" spans="1:11">
      <c r="A3484" t="s">
        <v>10420</v>
      </c>
      <c r="B3484" t="s">
        <v>4171</v>
      </c>
      <c r="C3484" t="s">
        <v>6925</v>
      </c>
      <c r="D3484" s="1">
        <v>45500</v>
      </c>
      <c r="E3484" s="1">
        <v>45503</v>
      </c>
      <c r="F3484" s="1"/>
      <c r="G3484">
        <v>50.06</v>
      </c>
      <c r="H34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484" t="str">
        <f>IFERROR(INDEX(Raw_orders!G:G, MATCH(shipments[[#This Row],[order_id]],Raw_orders!A:A, 0)), "Unknown")</f>
        <v>Central Europe</v>
      </c>
      <c r="J3484" t="str">
        <f>PROPER(shipments[[#This Row],[delivery_status]])</f>
        <v>In Transit</v>
      </c>
      <c r="K3484" t="s">
        <v>6958</v>
      </c>
    </row>
    <row r="3485" spans="1:11">
      <c r="A3485" t="s">
        <v>10421</v>
      </c>
      <c r="B3485" t="s">
        <v>4172</v>
      </c>
      <c r="C3485" t="s">
        <v>6935</v>
      </c>
      <c r="D3485" s="1">
        <v>45155</v>
      </c>
      <c r="E3485" s="1">
        <v>45162</v>
      </c>
      <c r="F3485" s="1">
        <v>45163</v>
      </c>
      <c r="G3485">
        <v>63.5</v>
      </c>
      <c r="H34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85" t="str">
        <f>IFERROR(INDEX(Raw_orders!G:G, MATCH(shipments[[#This Row],[order_id]],Raw_orders!A:A, 0)), "Unknown")</f>
        <v>Nordics</v>
      </c>
      <c r="J3485" t="str">
        <f>PROPER(shipments[[#This Row],[delivery_status]])</f>
        <v>Delivered</v>
      </c>
      <c r="K3485" t="s">
        <v>6929</v>
      </c>
    </row>
    <row r="3486" spans="1:11">
      <c r="A3486" t="s">
        <v>10422</v>
      </c>
      <c r="B3486" t="s">
        <v>4173</v>
      </c>
      <c r="C3486" t="s">
        <v>6938</v>
      </c>
      <c r="D3486" s="1">
        <v>45611</v>
      </c>
      <c r="E3486" s="1">
        <v>45613</v>
      </c>
      <c r="F3486" s="1">
        <v>45613</v>
      </c>
      <c r="G3486">
        <v>9.74</v>
      </c>
      <c r="H34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486" t="str">
        <f>IFERROR(INDEX(Raw_orders!G:G, MATCH(shipments[[#This Row],[order_id]],Raw_orders!A:A, 0)), "Unknown")</f>
        <v>Nordics</v>
      </c>
      <c r="J3486" t="str">
        <f>PROPER(shipments[[#This Row],[delivery_status]])</f>
        <v>Delivered</v>
      </c>
      <c r="K3486" t="s">
        <v>6926</v>
      </c>
    </row>
    <row r="3487" spans="1:11">
      <c r="A3487" t="s">
        <v>10423</v>
      </c>
      <c r="B3487" t="s">
        <v>4174</v>
      </c>
      <c r="C3487" t="s">
        <v>6931</v>
      </c>
      <c r="D3487" s="1">
        <v>45197</v>
      </c>
      <c r="E3487" s="1">
        <v>45204</v>
      </c>
      <c r="F3487" s="1">
        <v>45205</v>
      </c>
      <c r="G3487">
        <v>7.78</v>
      </c>
      <c r="H34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87" t="str">
        <f>IFERROR(INDEX(Raw_orders!G:G, MATCH(shipments[[#This Row],[order_id]],Raw_orders!A:A, 0)), "Unknown")</f>
        <v>Central Europe</v>
      </c>
      <c r="J3487" t="str">
        <f>PROPER(shipments[[#This Row],[delivery_status]])</f>
        <v>Delivered</v>
      </c>
      <c r="K3487" t="s">
        <v>6926</v>
      </c>
    </row>
    <row r="3488" spans="1:11">
      <c r="A3488" t="s">
        <v>10424</v>
      </c>
      <c r="B3488" t="s">
        <v>4175</v>
      </c>
      <c r="C3488" t="s">
        <v>6931</v>
      </c>
      <c r="D3488" s="1">
        <v>44979</v>
      </c>
      <c r="E3488" s="1">
        <v>44984</v>
      </c>
      <c r="F3488" s="1">
        <v>44983</v>
      </c>
      <c r="G3488">
        <v>48.97</v>
      </c>
      <c r="H34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488" t="str">
        <f>IFERROR(INDEX(Raw_orders!G:G, MATCH(shipments[[#This Row],[order_id]],Raw_orders!A:A, 0)), "Unknown")</f>
        <v>Nordics</v>
      </c>
      <c r="J3488" t="str">
        <f>PROPER(shipments[[#This Row],[delivery_status]])</f>
        <v>Delivered</v>
      </c>
      <c r="K3488" t="s">
        <v>6929</v>
      </c>
    </row>
    <row r="3489" spans="1:11">
      <c r="A3489" t="s">
        <v>10425</v>
      </c>
      <c r="B3489" t="s">
        <v>4176</v>
      </c>
      <c r="C3489" t="s">
        <v>6956</v>
      </c>
      <c r="D3489" s="1">
        <v>44995</v>
      </c>
      <c r="E3489" s="1">
        <v>44997</v>
      </c>
      <c r="F3489" s="1">
        <v>45000</v>
      </c>
      <c r="G3489">
        <v>17.14</v>
      </c>
      <c r="H34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89" t="str">
        <f>IFERROR(INDEX(Raw_orders!G:G, MATCH(shipments[[#This Row],[order_id]],Raw_orders!A:A, 0)), "Unknown")</f>
        <v>Nordics</v>
      </c>
      <c r="J3489" t="str">
        <f>PROPER(shipments[[#This Row],[delivery_status]])</f>
        <v>Delivered</v>
      </c>
      <c r="K3489" t="s">
        <v>6922</v>
      </c>
    </row>
    <row r="3490" spans="1:11">
      <c r="A3490" t="s">
        <v>10426</v>
      </c>
      <c r="B3490" t="s">
        <v>4177</v>
      </c>
      <c r="C3490" t="s">
        <v>6956</v>
      </c>
      <c r="D3490" s="1">
        <v>45383</v>
      </c>
      <c r="E3490" s="1">
        <v>45388</v>
      </c>
      <c r="F3490" s="1">
        <v>45388</v>
      </c>
      <c r="G3490">
        <v>19.79</v>
      </c>
      <c r="H34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490" t="str">
        <f>IFERROR(INDEX(Raw_orders!G:G, MATCH(shipments[[#This Row],[order_id]],Raw_orders!A:A, 0)), "Unknown")</f>
        <v>Baltics</v>
      </c>
      <c r="J3490" t="str">
        <f>PROPER(shipments[[#This Row],[delivery_status]])</f>
        <v>Delivered</v>
      </c>
      <c r="K3490" t="s">
        <v>6922</v>
      </c>
    </row>
    <row r="3491" spans="1:11">
      <c r="A3491" t="s">
        <v>10427</v>
      </c>
      <c r="B3491" t="s">
        <v>4178</v>
      </c>
      <c r="C3491" t="s">
        <v>6921</v>
      </c>
      <c r="D3491" s="1">
        <v>45126</v>
      </c>
      <c r="E3491" s="1">
        <v>45129</v>
      </c>
      <c r="F3491" s="1">
        <v>45129</v>
      </c>
      <c r="G3491">
        <v>49.79</v>
      </c>
      <c r="H34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491" t="str">
        <f>IFERROR(INDEX(Raw_orders!G:G, MATCH(shipments[[#This Row],[order_id]],Raw_orders!A:A, 0)), "Unknown")</f>
        <v>Baltics</v>
      </c>
      <c r="J3491" t="str">
        <f>PROPER(shipments[[#This Row],[delivery_status]])</f>
        <v>Delivered</v>
      </c>
      <c r="K3491" t="s">
        <v>6929</v>
      </c>
    </row>
    <row r="3492" spans="1:11">
      <c r="A3492" t="s">
        <v>10428</v>
      </c>
      <c r="B3492" t="s">
        <v>4179</v>
      </c>
      <c r="C3492" t="s">
        <v>6940</v>
      </c>
      <c r="D3492" s="1">
        <v>45308</v>
      </c>
      <c r="E3492" s="1">
        <v>45311</v>
      </c>
      <c r="F3492" s="1">
        <v>45310</v>
      </c>
      <c r="G3492">
        <v>44.73</v>
      </c>
      <c r="H34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492" t="str">
        <f>IFERROR(INDEX(Raw_orders!G:G, MATCH(shipments[[#This Row],[order_id]],Raw_orders!A:A, 0)), "Unknown")</f>
        <v>Nordics</v>
      </c>
      <c r="J3492" t="str">
        <f>PROPER(shipments[[#This Row],[delivery_status]])</f>
        <v>Delivered</v>
      </c>
      <c r="K3492" t="s">
        <v>6922</v>
      </c>
    </row>
    <row r="3493" spans="1:11">
      <c r="A3493" t="s">
        <v>10429</v>
      </c>
      <c r="B3493" t="s">
        <v>4180</v>
      </c>
      <c r="C3493" t="s">
        <v>6921</v>
      </c>
      <c r="D3493" s="1">
        <v>45041</v>
      </c>
      <c r="E3493" s="1">
        <v>45046</v>
      </c>
      <c r="F3493" s="1">
        <v>45046</v>
      </c>
      <c r="G3493">
        <v>21.8</v>
      </c>
      <c r="H34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493" t="str">
        <f>IFERROR(INDEX(Raw_orders!G:G, MATCH(shipments[[#This Row],[order_id]],Raw_orders!A:A, 0)), "Unknown")</f>
        <v>Baltics</v>
      </c>
      <c r="J3493" t="str">
        <f>PROPER(shipments[[#This Row],[delivery_status]])</f>
        <v>Delivered</v>
      </c>
      <c r="K3493" t="s">
        <v>6926</v>
      </c>
    </row>
    <row r="3494" spans="1:11">
      <c r="A3494" t="s">
        <v>10430</v>
      </c>
      <c r="B3494" t="s">
        <v>4181</v>
      </c>
      <c r="C3494" t="s">
        <v>6925</v>
      </c>
      <c r="D3494" s="1">
        <v>45369</v>
      </c>
      <c r="E3494" s="1">
        <v>45374</v>
      </c>
      <c r="F3494" s="1">
        <v>45374</v>
      </c>
      <c r="G3494">
        <v>23.87</v>
      </c>
      <c r="H34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494" t="str">
        <f>IFERROR(INDEX(Raw_orders!G:G, MATCH(shipments[[#This Row],[order_id]],Raw_orders!A:A, 0)), "Unknown")</f>
        <v>Baltics</v>
      </c>
      <c r="J3494" t="str">
        <f>PROPER(shipments[[#This Row],[delivery_status]])</f>
        <v>Delivered</v>
      </c>
      <c r="K3494" t="s">
        <v>6929</v>
      </c>
    </row>
    <row r="3495" spans="1:11">
      <c r="A3495" t="s">
        <v>10431</v>
      </c>
      <c r="B3495" t="s">
        <v>4182</v>
      </c>
      <c r="C3495" t="s">
        <v>6925</v>
      </c>
      <c r="D3495" s="1">
        <v>44932</v>
      </c>
      <c r="E3495" s="1">
        <v>44939</v>
      </c>
      <c r="F3495" s="1">
        <v>44944</v>
      </c>
      <c r="G3495">
        <v>63.39</v>
      </c>
      <c r="H34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95" t="str">
        <f>IFERROR(INDEX(Raw_orders!G:G, MATCH(shipments[[#This Row],[order_id]],Raw_orders!A:A, 0)), "Unknown")</f>
        <v>Nordics</v>
      </c>
      <c r="J3495" t="str">
        <f>PROPER(shipments[[#This Row],[delivery_status]])</f>
        <v>Delivered</v>
      </c>
      <c r="K3495" t="s">
        <v>6922</v>
      </c>
    </row>
    <row r="3496" spans="1:11">
      <c r="A3496" t="s">
        <v>10432</v>
      </c>
      <c r="B3496" t="s">
        <v>4183</v>
      </c>
      <c r="C3496" t="s">
        <v>6956</v>
      </c>
      <c r="D3496" s="1">
        <v>45001</v>
      </c>
      <c r="E3496" s="1">
        <v>45008</v>
      </c>
      <c r="F3496" s="1">
        <v>45016</v>
      </c>
      <c r="G3496">
        <v>21.96</v>
      </c>
      <c r="H34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96" t="str">
        <f>IFERROR(INDEX(Raw_orders!G:G, MATCH(shipments[[#This Row],[order_id]],Raw_orders!A:A, 0)), "Unknown")</f>
        <v>Nordics</v>
      </c>
      <c r="J3496" t="str">
        <f>PROPER(shipments[[#This Row],[delivery_status]])</f>
        <v>Delivered</v>
      </c>
      <c r="K3496" t="s">
        <v>6922</v>
      </c>
    </row>
    <row r="3497" spans="1:11">
      <c r="A3497" t="s">
        <v>10433</v>
      </c>
      <c r="B3497" t="s">
        <v>4184</v>
      </c>
      <c r="C3497" t="s">
        <v>6921</v>
      </c>
      <c r="D3497" s="1">
        <v>45014</v>
      </c>
      <c r="E3497" s="1">
        <v>45016</v>
      </c>
      <c r="F3497" s="1">
        <v>45022</v>
      </c>
      <c r="G3497">
        <v>63.77</v>
      </c>
      <c r="H34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97" t="str">
        <f>IFERROR(INDEX(Raw_orders!G:G, MATCH(shipments[[#This Row],[order_id]],Raw_orders!A:A, 0)), "Unknown")</f>
        <v>Central Europe</v>
      </c>
      <c r="J3497" t="str">
        <f>PROPER(shipments[[#This Row],[delivery_status]])</f>
        <v>Delivered</v>
      </c>
      <c r="K3497" t="s">
        <v>6922</v>
      </c>
    </row>
    <row r="3498" spans="1:11">
      <c r="A3498" t="s">
        <v>10434</v>
      </c>
      <c r="B3498" t="s">
        <v>4185</v>
      </c>
      <c r="C3498" t="s">
        <v>6928</v>
      </c>
      <c r="D3498" s="1">
        <v>45431</v>
      </c>
      <c r="E3498" s="1">
        <v>45441</v>
      </c>
      <c r="F3498" s="1">
        <v>45455</v>
      </c>
      <c r="G3498">
        <v>62.66</v>
      </c>
      <c r="H34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498" t="str">
        <f>IFERROR(INDEX(Raw_orders!G:G, MATCH(shipments[[#This Row],[order_id]],Raw_orders!A:A, 0)), "Unknown")</f>
        <v>Baltics</v>
      </c>
      <c r="J3498" t="str">
        <f>PROPER(shipments[[#This Row],[delivery_status]])</f>
        <v>Delivered</v>
      </c>
      <c r="K3498" t="s">
        <v>6929</v>
      </c>
    </row>
    <row r="3499" spans="1:11">
      <c r="A3499" t="s">
        <v>10435</v>
      </c>
      <c r="B3499" t="s">
        <v>4186</v>
      </c>
      <c r="C3499" t="s">
        <v>6938</v>
      </c>
      <c r="D3499" s="1">
        <v>45623</v>
      </c>
      <c r="E3499" s="1">
        <v>45626</v>
      </c>
      <c r="F3499" s="1"/>
      <c r="G3499">
        <v>30.68</v>
      </c>
      <c r="H34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499" t="str">
        <f>IFERROR(INDEX(Raw_orders!G:G, MATCH(shipments[[#This Row],[order_id]],Raw_orders!A:A, 0)), "Unknown")</f>
        <v>Unknown</v>
      </c>
      <c r="J3499" t="str">
        <f>PROPER(shipments[[#This Row],[delivery_status]])</f>
        <v>In Transit</v>
      </c>
      <c r="K3499" t="s">
        <v>6958</v>
      </c>
    </row>
    <row r="3500" spans="1:11">
      <c r="A3500" t="s">
        <v>10436</v>
      </c>
      <c r="B3500" t="s">
        <v>4187</v>
      </c>
      <c r="C3500" t="s">
        <v>6928</v>
      </c>
      <c r="D3500" s="1">
        <v>45383</v>
      </c>
      <c r="E3500" s="1">
        <v>45386</v>
      </c>
      <c r="F3500" s="1">
        <v>45385</v>
      </c>
      <c r="G3500">
        <v>24.81</v>
      </c>
      <c r="H35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500" t="str">
        <f>IFERROR(INDEX(Raw_orders!G:G, MATCH(shipments[[#This Row],[order_id]],Raw_orders!A:A, 0)), "Unknown")</f>
        <v>Baltics</v>
      </c>
      <c r="J3500" t="str">
        <f>PROPER(shipments[[#This Row],[delivery_status]])</f>
        <v>Delivered</v>
      </c>
      <c r="K3500" t="s">
        <v>6926</v>
      </c>
    </row>
    <row r="3501" spans="1:11">
      <c r="A3501" t="s">
        <v>10437</v>
      </c>
      <c r="B3501" t="s">
        <v>4188</v>
      </c>
      <c r="C3501" t="s">
        <v>6956</v>
      </c>
      <c r="D3501" s="1">
        <v>45429</v>
      </c>
      <c r="E3501" s="1">
        <v>45431</v>
      </c>
      <c r="F3501" s="1">
        <v>45432</v>
      </c>
      <c r="G3501">
        <v>42.85</v>
      </c>
      <c r="H35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01" t="str">
        <f>IFERROR(INDEX(Raw_orders!G:G, MATCH(shipments[[#This Row],[order_id]],Raw_orders!A:A, 0)), "Unknown")</f>
        <v>Central Europe</v>
      </c>
      <c r="J3501" t="str">
        <f>PROPER(shipments[[#This Row],[delivery_status]])</f>
        <v>Delivered</v>
      </c>
      <c r="K3501" t="s">
        <v>6922</v>
      </c>
    </row>
    <row r="3502" spans="1:11">
      <c r="A3502" t="s">
        <v>10438</v>
      </c>
      <c r="B3502" t="s">
        <v>4189</v>
      </c>
      <c r="C3502" t="s">
        <v>6931</v>
      </c>
      <c r="D3502" s="1">
        <v>45507</v>
      </c>
      <c r="E3502" s="1">
        <v>45509</v>
      </c>
      <c r="F3502" s="1">
        <v>45517</v>
      </c>
      <c r="G3502">
        <v>28.51</v>
      </c>
      <c r="H35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02" t="str">
        <f>IFERROR(INDEX(Raw_orders!G:G, MATCH(shipments[[#This Row],[order_id]],Raw_orders!A:A, 0)), "Unknown")</f>
        <v>Central Europe</v>
      </c>
      <c r="J3502" t="str">
        <f>PROPER(shipments[[#This Row],[delivery_status]])</f>
        <v>Delivered</v>
      </c>
      <c r="K3502" t="s">
        <v>6922</v>
      </c>
    </row>
    <row r="3503" spans="1:11">
      <c r="A3503" t="s">
        <v>10439</v>
      </c>
      <c r="B3503" t="s">
        <v>4190</v>
      </c>
      <c r="C3503" t="s">
        <v>6928</v>
      </c>
      <c r="D3503" s="1">
        <v>45011</v>
      </c>
      <c r="E3503" s="1">
        <v>45021</v>
      </c>
      <c r="F3503" s="1"/>
      <c r="G3503">
        <v>49.83</v>
      </c>
      <c r="H35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503" t="str">
        <f>IFERROR(INDEX(Raw_orders!G:G, MATCH(shipments[[#This Row],[order_id]],Raw_orders!A:A, 0)), "Unknown")</f>
        <v>Central Europe</v>
      </c>
      <c r="J3503" t="str">
        <f>PROPER(shipments[[#This Row],[delivery_status]])</f>
        <v>Cancelled</v>
      </c>
      <c r="K3503" t="s">
        <v>6972</v>
      </c>
    </row>
    <row r="3504" spans="1:11">
      <c r="A3504" t="s">
        <v>10440</v>
      </c>
      <c r="B3504" t="s">
        <v>4191</v>
      </c>
      <c r="C3504" t="s">
        <v>6931</v>
      </c>
      <c r="D3504" s="1">
        <v>45508</v>
      </c>
      <c r="E3504" s="1">
        <v>45515</v>
      </c>
      <c r="F3504" s="1">
        <v>45518</v>
      </c>
      <c r="G3504">
        <v>49.09</v>
      </c>
      <c r="H35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04" t="str">
        <f>IFERROR(INDEX(Raw_orders!G:G, MATCH(shipments[[#This Row],[order_id]],Raw_orders!A:A, 0)), "Unknown")</f>
        <v>Central Europe</v>
      </c>
      <c r="J3504" t="str">
        <f>PROPER(shipments[[#This Row],[delivery_status]])</f>
        <v>Delivered</v>
      </c>
      <c r="K3504" t="s">
        <v>6929</v>
      </c>
    </row>
    <row r="3505" spans="1:11">
      <c r="A3505" t="s">
        <v>10441</v>
      </c>
      <c r="B3505" t="s">
        <v>4192</v>
      </c>
      <c r="C3505" t="s">
        <v>6940</v>
      </c>
      <c r="D3505" s="1">
        <v>44954</v>
      </c>
      <c r="E3505" s="1">
        <v>44956</v>
      </c>
      <c r="F3505" s="1">
        <v>44963</v>
      </c>
      <c r="G3505">
        <v>11.19</v>
      </c>
      <c r="H35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05" t="str">
        <f>IFERROR(INDEX(Raw_orders!G:G, MATCH(shipments[[#This Row],[order_id]],Raw_orders!A:A, 0)), "Unknown")</f>
        <v>Nordics</v>
      </c>
      <c r="J3505" t="str">
        <f>PROPER(shipments[[#This Row],[delivery_status]])</f>
        <v>Delivered</v>
      </c>
      <c r="K3505" t="s">
        <v>6926</v>
      </c>
    </row>
    <row r="3506" spans="1:11">
      <c r="A3506" t="s">
        <v>10442</v>
      </c>
      <c r="B3506" t="s">
        <v>4193</v>
      </c>
      <c r="C3506" t="s">
        <v>6938</v>
      </c>
      <c r="D3506" s="1">
        <v>45553</v>
      </c>
      <c r="E3506" s="1">
        <v>45558</v>
      </c>
      <c r="F3506" s="1">
        <v>45568</v>
      </c>
      <c r="G3506">
        <v>23.17</v>
      </c>
      <c r="H35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06" t="str">
        <f>IFERROR(INDEX(Raw_orders!G:G, MATCH(shipments[[#This Row],[order_id]],Raw_orders!A:A, 0)), "Unknown")</f>
        <v>Nordics</v>
      </c>
      <c r="J3506" t="str">
        <f>PROPER(shipments[[#This Row],[delivery_status]])</f>
        <v>Delivered</v>
      </c>
      <c r="K3506" t="s">
        <v>6926</v>
      </c>
    </row>
    <row r="3507" spans="1:11">
      <c r="A3507" t="s">
        <v>10443</v>
      </c>
      <c r="B3507" t="s">
        <v>4194</v>
      </c>
      <c r="C3507" t="s">
        <v>6925</v>
      </c>
      <c r="D3507" s="1">
        <v>44989</v>
      </c>
      <c r="E3507" s="1">
        <v>44996</v>
      </c>
      <c r="F3507" s="1">
        <v>45004</v>
      </c>
      <c r="G3507">
        <v>51.66</v>
      </c>
      <c r="H35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07" t="str">
        <f>IFERROR(INDEX(Raw_orders!G:G, MATCH(shipments[[#This Row],[order_id]],Raw_orders!A:A, 0)), "Unknown")</f>
        <v>Nordics</v>
      </c>
      <c r="J3507" t="str">
        <f>PROPER(shipments[[#This Row],[delivery_status]])</f>
        <v>Delivered</v>
      </c>
      <c r="K3507" t="s">
        <v>6926</v>
      </c>
    </row>
    <row r="3508" spans="1:11">
      <c r="A3508" t="s">
        <v>10444</v>
      </c>
      <c r="B3508" t="s">
        <v>4195</v>
      </c>
      <c r="C3508" t="s">
        <v>6940</v>
      </c>
      <c r="D3508" s="1">
        <v>45324</v>
      </c>
      <c r="E3508" s="1">
        <v>45329</v>
      </c>
      <c r="F3508" s="1"/>
      <c r="G3508">
        <v>19.170000000000002</v>
      </c>
      <c r="H35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508" t="str">
        <f>IFERROR(INDEX(Raw_orders!G:G, MATCH(shipments[[#This Row],[order_id]],Raw_orders!A:A, 0)), "Unknown")</f>
        <v>Baltics</v>
      </c>
      <c r="J3508" t="str">
        <f>PROPER(shipments[[#This Row],[delivery_status]])</f>
        <v>In Transit</v>
      </c>
      <c r="K3508" t="s">
        <v>6946</v>
      </c>
    </row>
    <row r="3509" spans="1:11">
      <c r="A3509" t="s">
        <v>10445</v>
      </c>
      <c r="B3509" t="s">
        <v>4196</v>
      </c>
      <c r="C3509" t="s">
        <v>6925</v>
      </c>
      <c r="D3509" s="1">
        <v>45016</v>
      </c>
      <c r="E3509" s="1">
        <v>45021</v>
      </c>
      <c r="F3509" s="1">
        <v>45021</v>
      </c>
      <c r="G3509">
        <v>19.87</v>
      </c>
      <c r="H35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509" t="str">
        <f>IFERROR(INDEX(Raw_orders!G:G, MATCH(shipments[[#This Row],[order_id]],Raw_orders!A:A, 0)), "Unknown")</f>
        <v>Baltics</v>
      </c>
      <c r="J3509" t="str">
        <f>PROPER(shipments[[#This Row],[delivery_status]])</f>
        <v>Delivered</v>
      </c>
      <c r="K3509" t="s">
        <v>6926</v>
      </c>
    </row>
    <row r="3510" spans="1:11">
      <c r="A3510" t="s">
        <v>10446</v>
      </c>
      <c r="B3510" t="s">
        <v>4197</v>
      </c>
      <c r="C3510" t="s">
        <v>6931</v>
      </c>
      <c r="D3510" s="1">
        <v>45283</v>
      </c>
      <c r="E3510" s="1">
        <v>45293</v>
      </c>
      <c r="F3510" s="1">
        <v>45305</v>
      </c>
      <c r="G3510">
        <v>36.33</v>
      </c>
      <c r="H35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10" t="str">
        <f>IFERROR(INDEX(Raw_orders!G:G, MATCH(shipments[[#This Row],[order_id]],Raw_orders!A:A, 0)), "Unknown")</f>
        <v>Nordics</v>
      </c>
      <c r="J3510" t="str">
        <f>PROPER(shipments[[#This Row],[delivery_status]])</f>
        <v>Delivered</v>
      </c>
      <c r="K3510" t="s">
        <v>6929</v>
      </c>
    </row>
    <row r="3511" spans="1:11">
      <c r="A3511" t="s">
        <v>10447</v>
      </c>
      <c r="B3511" t="s">
        <v>4198</v>
      </c>
      <c r="C3511" t="s">
        <v>6938</v>
      </c>
      <c r="D3511" s="1">
        <v>45421</v>
      </c>
      <c r="E3511" s="1">
        <v>45424</v>
      </c>
      <c r="F3511" s="1">
        <v>45432</v>
      </c>
      <c r="G3511">
        <v>46.01</v>
      </c>
      <c r="H35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11" t="str">
        <f>IFERROR(INDEX(Raw_orders!G:G, MATCH(shipments[[#This Row],[order_id]],Raw_orders!A:A, 0)), "Unknown")</f>
        <v>Central Europe</v>
      </c>
      <c r="J3511" t="str">
        <f>PROPER(shipments[[#This Row],[delivery_status]])</f>
        <v>Delivered</v>
      </c>
      <c r="K3511" t="s">
        <v>6926</v>
      </c>
    </row>
    <row r="3512" spans="1:11">
      <c r="A3512" t="s">
        <v>10448</v>
      </c>
      <c r="B3512" t="s">
        <v>4199</v>
      </c>
      <c r="C3512" t="s">
        <v>6935</v>
      </c>
      <c r="D3512" s="1">
        <v>45115</v>
      </c>
      <c r="E3512" s="1">
        <v>45125</v>
      </c>
      <c r="F3512" s="1">
        <v>45130</v>
      </c>
      <c r="G3512">
        <v>51.72</v>
      </c>
      <c r="H35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12" t="str">
        <f>IFERROR(INDEX(Raw_orders!G:G, MATCH(shipments[[#This Row],[order_id]],Raw_orders!A:A, 0)), "Unknown")</f>
        <v>Nordics</v>
      </c>
      <c r="J3512" t="str">
        <f>PROPER(shipments[[#This Row],[delivery_status]])</f>
        <v>Delivered</v>
      </c>
      <c r="K3512" t="s">
        <v>6922</v>
      </c>
    </row>
    <row r="3513" spans="1:11">
      <c r="A3513" t="s">
        <v>10449</v>
      </c>
      <c r="B3513" t="s">
        <v>4200</v>
      </c>
      <c r="C3513" t="s">
        <v>6935</v>
      </c>
      <c r="D3513" s="1">
        <v>45477</v>
      </c>
      <c r="E3513" s="1">
        <v>45487</v>
      </c>
      <c r="F3513" s="1">
        <v>45490</v>
      </c>
      <c r="G3513">
        <v>42.02</v>
      </c>
      <c r="H35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13" t="str">
        <f>IFERROR(INDEX(Raw_orders!G:G, MATCH(shipments[[#This Row],[order_id]],Raw_orders!A:A, 0)), "Unknown")</f>
        <v>Central Europe</v>
      </c>
      <c r="J3513" t="str">
        <f>PROPER(shipments[[#This Row],[delivery_status]])</f>
        <v>Delivered</v>
      </c>
      <c r="K3513" t="s">
        <v>6922</v>
      </c>
    </row>
    <row r="3514" spans="1:11">
      <c r="A3514" t="s">
        <v>10450</v>
      </c>
      <c r="B3514" t="s">
        <v>4200</v>
      </c>
      <c r="C3514" t="s">
        <v>6931</v>
      </c>
      <c r="D3514" s="1">
        <v>45476</v>
      </c>
      <c r="E3514" s="1">
        <v>45479</v>
      </c>
      <c r="F3514" s="1">
        <v>45478</v>
      </c>
      <c r="G3514">
        <v>37.51</v>
      </c>
      <c r="H35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514" t="str">
        <f>IFERROR(INDEX(Raw_orders!G:G, MATCH(shipments[[#This Row],[order_id]],Raw_orders!A:A, 0)), "Unknown")</f>
        <v>Central Europe</v>
      </c>
      <c r="J3514" t="str">
        <f>PROPER(shipments[[#This Row],[delivery_status]])</f>
        <v>Delivered</v>
      </c>
      <c r="K3514" t="s">
        <v>6929</v>
      </c>
    </row>
    <row r="3515" spans="1:11">
      <c r="A3515" t="s">
        <v>10451</v>
      </c>
      <c r="B3515" t="s">
        <v>4201</v>
      </c>
      <c r="C3515" t="s">
        <v>6940</v>
      </c>
      <c r="D3515" s="1">
        <v>44995</v>
      </c>
      <c r="E3515" s="1">
        <v>45000</v>
      </c>
      <c r="F3515" s="1">
        <v>44999</v>
      </c>
      <c r="G3515">
        <v>6.09</v>
      </c>
      <c r="H35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515" t="str">
        <f>IFERROR(INDEX(Raw_orders!G:G, MATCH(shipments[[#This Row],[order_id]],Raw_orders!A:A, 0)), "Unknown")</f>
        <v>Central Europe</v>
      </c>
      <c r="J3515" t="str">
        <f>PROPER(shipments[[#This Row],[delivery_status]])</f>
        <v>Delivered</v>
      </c>
      <c r="K3515" t="s">
        <v>6926</v>
      </c>
    </row>
    <row r="3516" spans="1:11">
      <c r="A3516" t="s">
        <v>10452</v>
      </c>
      <c r="B3516" t="s">
        <v>4202</v>
      </c>
      <c r="C3516" t="s">
        <v>6928</v>
      </c>
      <c r="D3516" s="1">
        <v>45539</v>
      </c>
      <c r="E3516" s="1">
        <v>45549</v>
      </c>
      <c r="F3516" s="1">
        <v>45552</v>
      </c>
      <c r="G3516">
        <v>47.63</v>
      </c>
      <c r="H35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16" t="str">
        <f>IFERROR(INDEX(Raw_orders!G:G, MATCH(shipments[[#This Row],[order_id]],Raw_orders!A:A, 0)), "Unknown")</f>
        <v>Central Europe</v>
      </c>
      <c r="J3516" t="str">
        <f>PROPER(shipments[[#This Row],[delivery_status]])</f>
        <v>Delivered</v>
      </c>
      <c r="K3516" t="s">
        <v>6922</v>
      </c>
    </row>
    <row r="3517" spans="1:11">
      <c r="A3517" t="s">
        <v>10453</v>
      </c>
      <c r="B3517" t="s">
        <v>4203</v>
      </c>
      <c r="C3517" t="s">
        <v>6940</v>
      </c>
      <c r="D3517" s="1">
        <v>45020</v>
      </c>
      <c r="E3517" s="1">
        <v>45025</v>
      </c>
      <c r="F3517" s="1">
        <v>45028</v>
      </c>
      <c r="G3517">
        <v>55.99</v>
      </c>
      <c r="H35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17" t="str">
        <f>IFERROR(INDEX(Raw_orders!G:G, MATCH(shipments[[#This Row],[order_id]],Raw_orders!A:A, 0)), "Unknown")</f>
        <v>Nordics</v>
      </c>
      <c r="J3517" t="str">
        <f>PROPER(shipments[[#This Row],[delivery_status]])</f>
        <v>Delivered</v>
      </c>
      <c r="K3517" t="s">
        <v>6929</v>
      </c>
    </row>
    <row r="3518" spans="1:11">
      <c r="A3518" t="s">
        <v>10454</v>
      </c>
      <c r="B3518" t="s">
        <v>4204</v>
      </c>
      <c r="C3518" t="s">
        <v>6935</v>
      </c>
      <c r="D3518" s="1">
        <v>45519</v>
      </c>
      <c r="E3518" s="1">
        <v>45529</v>
      </c>
      <c r="F3518" s="1">
        <v>45528</v>
      </c>
      <c r="G3518">
        <v>8.07</v>
      </c>
      <c r="H35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518" t="str">
        <f>IFERROR(INDEX(Raw_orders!G:G, MATCH(shipments[[#This Row],[order_id]],Raw_orders!A:A, 0)), "Unknown")</f>
        <v>Baltics</v>
      </c>
      <c r="J3518" t="str">
        <f>PROPER(shipments[[#This Row],[delivery_status]])</f>
        <v>Delivered</v>
      </c>
      <c r="K3518" t="s">
        <v>6929</v>
      </c>
    </row>
    <row r="3519" spans="1:11">
      <c r="A3519" t="s">
        <v>10455</v>
      </c>
      <c r="B3519" t="s">
        <v>4205</v>
      </c>
      <c r="C3519" t="s">
        <v>6928</v>
      </c>
      <c r="D3519" s="1">
        <v>45010</v>
      </c>
      <c r="E3519" s="1">
        <v>45020</v>
      </c>
      <c r="F3519" s="1"/>
      <c r="G3519">
        <v>64.400000000000006</v>
      </c>
      <c r="H35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519" t="str">
        <f>IFERROR(INDEX(Raw_orders!G:G, MATCH(shipments[[#This Row],[order_id]],Raw_orders!A:A, 0)), "Unknown")</f>
        <v>Baltics</v>
      </c>
      <c r="J3519" t="str">
        <f>PROPER(shipments[[#This Row],[delivery_status]])</f>
        <v>In Transit</v>
      </c>
      <c r="K3519" t="s">
        <v>6946</v>
      </c>
    </row>
    <row r="3520" spans="1:11">
      <c r="A3520" t="s">
        <v>10456</v>
      </c>
      <c r="B3520" t="s">
        <v>4206</v>
      </c>
      <c r="C3520" t="s">
        <v>6938</v>
      </c>
      <c r="D3520" s="1">
        <v>45572</v>
      </c>
      <c r="E3520" s="1">
        <v>45574</v>
      </c>
      <c r="F3520" s="1">
        <v>45575</v>
      </c>
      <c r="G3520">
        <v>33.56</v>
      </c>
      <c r="H35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20" t="str">
        <f>IFERROR(INDEX(Raw_orders!G:G, MATCH(shipments[[#This Row],[order_id]],Raw_orders!A:A, 0)), "Unknown")</f>
        <v>Central Europe</v>
      </c>
      <c r="J3520" t="str">
        <f>PROPER(shipments[[#This Row],[delivery_status]])</f>
        <v>Delivered</v>
      </c>
      <c r="K3520" t="s">
        <v>6929</v>
      </c>
    </row>
    <row r="3521" spans="1:11">
      <c r="A3521" t="s">
        <v>10457</v>
      </c>
      <c r="B3521" t="s">
        <v>4207</v>
      </c>
      <c r="C3521" t="s">
        <v>6938</v>
      </c>
      <c r="D3521" s="1">
        <v>45063</v>
      </c>
      <c r="E3521" s="1">
        <v>45066</v>
      </c>
      <c r="F3521" s="1">
        <v>45065</v>
      </c>
      <c r="G3521">
        <v>61.83</v>
      </c>
      <c r="H35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521" t="str">
        <f>IFERROR(INDEX(Raw_orders!G:G, MATCH(shipments[[#This Row],[order_id]],Raw_orders!A:A, 0)), "Unknown")</f>
        <v>Central Europe</v>
      </c>
      <c r="J3521" t="str">
        <f>PROPER(shipments[[#This Row],[delivery_status]])</f>
        <v>Delivered</v>
      </c>
      <c r="K3521" t="s">
        <v>6922</v>
      </c>
    </row>
    <row r="3522" spans="1:11">
      <c r="A3522" t="s">
        <v>10458</v>
      </c>
      <c r="B3522" t="s">
        <v>4208</v>
      </c>
      <c r="C3522" t="s">
        <v>6938</v>
      </c>
      <c r="D3522" s="1">
        <v>45234</v>
      </c>
      <c r="E3522" s="1">
        <v>45236</v>
      </c>
      <c r="F3522" s="1">
        <v>45245</v>
      </c>
      <c r="G3522">
        <v>25.26</v>
      </c>
      <c r="H35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22" t="str">
        <f>IFERROR(INDEX(Raw_orders!G:G, MATCH(shipments[[#This Row],[order_id]],Raw_orders!A:A, 0)), "Unknown")</f>
        <v>Baltics</v>
      </c>
      <c r="J3522" t="str">
        <f>PROPER(shipments[[#This Row],[delivery_status]])</f>
        <v>Delivered</v>
      </c>
      <c r="K3522" t="s">
        <v>6922</v>
      </c>
    </row>
    <row r="3523" spans="1:11">
      <c r="A3523" t="s">
        <v>10459</v>
      </c>
      <c r="B3523" t="s">
        <v>4209</v>
      </c>
      <c r="C3523" t="s">
        <v>6928</v>
      </c>
      <c r="D3523" s="1">
        <v>44979</v>
      </c>
      <c r="E3523" s="1">
        <v>44981</v>
      </c>
      <c r="F3523" s="1">
        <v>44981</v>
      </c>
      <c r="G3523">
        <v>56.78</v>
      </c>
      <c r="H35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523" t="str">
        <f>IFERROR(INDEX(Raw_orders!G:G, MATCH(shipments[[#This Row],[order_id]],Raw_orders!A:A, 0)), "Unknown")</f>
        <v>Baltics</v>
      </c>
      <c r="J3523" t="str">
        <f>PROPER(shipments[[#This Row],[delivery_status]])</f>
        <v>Delivered</v>
      </c>
      <c r="K3523" t="s">
        <v>6926</v>
      </c>
    </row>
    <row r="3524" spans="1:11">
      <c r="A3524" t="s">
        <v>10460</v>
      </c>
      <c r="B3524" t="s">
        <v>4210</v>
      </c>
      <c r="C3524" t="s">
        <v>6928</v>
      </c>
      <c r="D3524" s="1">
        <v>45060</v>
      </c>
      <c r="E3524" s="1">
        <v>45063</v>
      </c>
      <c r="F3524" s="1">
        <v>45066</v>
      </c>
      <c r="G3524">
        <v>63.51</v>
      </c>
      <c r="H35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24" t="str">
        <f>IFERROR(INDEX(Raw_orders!G:G, MATCH(shipments[[#This Row],[order_id]],Raw_orders!A:A, 0)), "Unknown")</f>
        <v>Baltics</v>
      </c>
      <c r="J3524" t="str">
        <f>PROPER(shipments[[#This Row],[delivery_status]])</f>
        <v>Delivered</v>
      </c>
      <c r="K3524" t="s">
        <v>6922</v>
      </c>
    </row>
    <row r="3525" spans="1:11">
      <c r="A3525" t="s">
        <v>10461</v>
      </c>
      <c r="B3525" t="s">
        <v>4211</v>
      </c>
      <c r="C3525" t="s">
        <v>6928</v>
      </c>
      <c r="D3525" s="1">
        <v>45479</v>
      </c>
      <c r="E3525" s="1">
        <v>45484</v>
      </c>
      <c r="F3525" s="1">
        <v>45489</v>
      </c>
      <c r="G3525">
        <v>30.85</v>
      </c>
      <c r="H35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25" t="str">
        <f>IFERROR(INDEX(Raw_orders!G:G, MATCH(shipments[[#This Row],[order_id]],Raw_orders!A:A, 0)), "Unknown")</f>
        <v>Central Europe</v>
      </c>
      <c r="J3525" t="str">
        <f>PROPER(shipments[[#This Row],[delivery_status]])</f>
        <v>Delivered</v>
      </c>
      <c r="K3525" t="s">
        <v>6926</v>
      </c>
    </row>
    <row r="3526" spans="1:11">
      <c r="A3526" t="s">
        <v>10462</v>
      </c>
      <c r="B3526" t="s">
        <v>4212</v>
      </c>
      <c r="C3526" t="s">
        <v>6935</v>
      </c>
      <c r="D3526" s="1">
        <v>45096</v>
      </c>
      <c r="E3526" s="1">
        <v>45103</v>
      </c>
      <c r="F3526" s="1"/>
      <c r="G3526">
        <v>21.5</v>
      </c>
      <c r="H35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526" t="str">
        <f>IFERROR(INDEX(Raw_orders!G:G, MATCH(shipments[[#This Row],[order_id]],Raw_orders!A:A, 0)), "Unknown")</f>
        <v>Nordics</v>
      </c>
      <c r="J3526" t="str">
        <f>PROPER(shipments[[#This Row],[delivery_status]])</f>
        <v>In Transit</v>
      </c>
      <c r="K3526" t="s">
        <v>6946</v>
      </c>
    </row>
    <row r="3527" spans="1:11">
      <c r="A3527" t="s">
        <v>10463</v>
      </c>
      <c r="B3527" t="s">
        <v>4213</v>
      </c>
      <c r="C3527" t="s">
        <v>6956</v>
      </c>
      <c r="D3527" s="1">
        <v>44955</v>
      </c>
      <c r="E3527" s="1">
        <v>44958</v>
      </c>
      <c r="F3527" s="1">
        <v>44959</v>
      </c>
      <c r="G3527">
        <v>51.17</v>
      </c>
      <c r="H35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27" t="str">
        <f>IFERROR(INDEX(Raw_orders!G:G, MATCH(shipments[[#This Row],[order_id]],Raw_orders!A:A, 0)), "Unknown")</f>
        <v>Nordics</v>
      </c>
      <c r="J3527" t="str">
        <f>PROPER(shipments[[#This Row],[delivery_status]])</f>
        <v>Delivered</v>
      </c>
      <c r="K3527" t="s">
        <v>6929</v>
      </c>
    </row>
    <row r="3528" spans="1:11">
      <c r="A3528" t="s">
        <v>10464</v>
      </c>
      <c r="B3528" t="s">
        <v>4214</v>
      </c>
      <c r="C3528" t="s">
        <v>6940</v>
      </c>
      <c r="D3528" s="1">
        <v>45526</v>
      </c>
      <c r="E3528" s="1">
        <v>45529</v>
      </c>
      <c r="F3528" s="1">
        <v>45528</v>
      </c>
      <c r="G3528">
        <v>17.57</v>
      </c>
      <c r="H35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528" t="str">
        <f>IFERROR(INDEX(Raw_orders!G:G, MATCH(shipments[[#This Row],[order_id]],Raw_orders!A:A, 0)), "Unknown")</f>
        <v>Central Europe</v>
      </c>
      <c r="J3528" t="str">
        <f>PROPER(shipments[[#This Row],[delivery_status]])</f>
        <v>Delivered</v>
      </c>
      <c r="K3528" t="s">
        <v>6922</v>
      </c>
    </row>
    <row r="3529" spans="1:11">
      <c r="A3529" t="s">
        <v>10465</v>
      </c>
      <c r="B3529" t="s">
        <v>4215</v>
      </c>
      <c r="C3529" t="s">
        <v>6931</v>
      </c>
      <c r="D3529" s="1">
        <v>45326</v>
      </c>
      <c r="E3529" s="1">
        <v>45329</v>
      </c>
      <c r="F3529" s="1">
        <v>45330</v>
      </c>
      <c r="G3529">
        <v>52.36</v>
      </c>
      <c r="H35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29" t="str">
        <f>IFERROR(INDEX(Raw_orders!G:G, MATCH(shipments[[#This Row],[order_id]],Raw_orders!A:A, 0)), "Unknown")</f>
        <v>Baltics</v>
      </c>
      <c r="J3529" t="str">
        <f>PROPER(shipments[[#This Row],[delivery_status]])</f>
        <v>Delivered</v>
      </c>
      <c r="K3529" t="s">
        <v>6926</v>
      </c>
    </row>
    <row r="3530" spans="1:11">
      <c r="A3530" t="s">
        <v>10466</v>
      </c>
      <c r="B3530" t="s">
        <v>4216</v>
      </c>
      <c r="C3530" t="s">
        <v>6928</v>
      </c>
      <c r="D3530" s="1">
        <v>45015</v>
      </c>
      <c r="E3530" s="1">
        <v>45020</v>
      </c>
      <c r="F3530" s="1">
        <v>45020</v>
      </c>
      <c r="G3530">
        <v>23.55</v>
      </c>
      <c r="H35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530" t="str">
        <f>IFERROR(INDEX(Raw_orders!G:G, MATCH(shipments[[#This Row],[order_id]],Raw_orders!A:A, 0)), "Unknown")</f>
        <v>Central Europe</v>
      </c>
      <c r="J3530" t="str">
        <f>PROPER(shipments[[#This Row],[delivery_status]])</f>
        <v>Delivered</v>
      </c>
      <c r="K3530" t="s">
        <v>6926</v>
      </c>
    </row>
    <row r="3531" spans="1:11">
      <c r="A3531" t="s">
        <v>10467</v>
      </c>
      <c r="B3531" t="s">
        <v>4217</v>
      </c>
      <c r="C3531" t="s">
        <v>6925</v>
      </c>
      <c r="D3531" s="1">
        <v>45382</v>
      </c>
      <c r="E3531" s="1">
        <v>45389</v>
      </c>
      <c r="F3531" s="1">
        <v>45397</v>
      </c>
      <c r="G3531">
        <v>20.47</v>
      </c>
      <c r="H35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31" t="str">
        <f>IFERROR(INDEX(Raw_orders!G:G, MATCH(shipments[[#This Row],[order_id]],Raw_orders!A:A, 0)), "Unknown")</f>
        <v>Baltics</v>
      </c>
      <c r="J3531" t="str">
        <f>PROPER(shipments[[#This Row],[delivery_status]])</f>
        <v>Delivered</v>
      </c>
      <c r="K3531" t="s">
        <v>6922</v>
      </c>
    </row>
    <row r="3532" spans="1:11">
      <c r="A3532" t="s">
        <v>10468</v>
      </c>
      <c r="B3532" t="s">
        <v>4218</v>
      </c>
      <c r="C3532" t="s">
        <v>6940</v>
      </c>
      <c r="D3532" s="1">
        <v>45159</v>
      </c>
      <c r="E3532" s="1">
        <v>45161</v>
      </c>
      <c r="F3532" s="1">
        <v>45161</v>
      </c>
      <c r="G3532">
        <v>25.73</v>
      </c>
      <c r="H35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532" t="str">
        <f>IFERROR(INDEX(Raw_orders!G:G, MATCH(shipments[[#This Row],[order_id]],Raw_orders!A:A, 0)), "Unknown")</f>
        <v>Central Europe</v>
      </c>
      <c r="J3532" t="str">
        <f>PROPER(shipments[[#This Row],[delivery_status]])</f>
        <v>Delivered</v>
      </c>
      <c r="K3532" t="s">
        <v>6922</v>
      </c>
    </row>
    <row r="3533" spans="1:11">
      <c r="A3533" t="s">
        <v>10469</v>
      </c>
      <c r="B3533" t="s">
        <v>4219</v>
      </c>
      <c r="C3533" t="s">
        <v>6940</v>
      </c>
      <c r="D3533" s="1">
        <v>45474</v>
      </c>
      <c r="E3533" s="1">
        <v>45481</v>
      </c>
      <c r="F3533" s="1">
        <v>45489</v>
      </c>
      <c r="G3533">
        <v>23.36</v>
      </c>
      <c r="H35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33" t="str">
        <f>IFERROR(INDEX(Raw_orders!G:G, MATCH(shipments[[#This Row],[order_id]],Raw_orders!A:A, 0)), "Unknown")</f>
        <v>Baltics</v>
      </c>
      <c r="J3533" t="str">
        <f>PROPER(shipments[[#This Row],[delivery_status]])</f>
        <v>Delivered</v>
      </c>
      <c r="K3533" t="s">
        <v>6929</v>
      </c>
    </row>
    <row r="3534" spans="1:11">
      <c r="A3534" t="s">
        <v>10470</v>
      </c>
      <c r="B3534" t="s">
        <v>4220</v>
      </c>
      <c r="C3534" t="s">
        <v>6925</v>
      </c>
      <c r="D3534" s="1">
        <v>45223</v>
      </c>
      <c r="E3534" s="1">
        <v>45228</v>
      </c>
      <c r="F3534" s="1">
        <v>45236</v>
      </c>
      <c r="G3534">
        <v>16.72</v>
      </c>
      <c r="H35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34" t="str">
        <f>IFERROR(INDEX(Raw_orders!G:G, MATCH(shipments[[#This Row],[order_id]],Raw_orders!A:A, 0)), "Unknown")</f>
        <v>Baltics</v>
      </c>
      <c r="J3534" t="str">
        <f>PROPER(shipments[[#This Row],[delivery_status]])</f>
        <v>Delivered</v>
      </c>
      <c r="K3534" t="s">
        <v>6929</v>
      </c>
    </row>
    <row r="3535" spans="1:11">
      <c r="A3535" t="s">
        <v>10471</v>
      </c>
      <c r="B3535" t="s">
        <v>4220</v>
      </c>
      <c r="C3535" t="s">
        <v>6938</v>
      </c>
      <c r="D3535" s="1">
        <v>45222</v>
      </c>
      <c r="E3535" s="1">
        <v>45225</v>
      </c>
      <c r="F3535" s="1"/>
      <c r="G3535">
        <v>43.8</v>
      </c>
      <c r="H35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535" t="str">
        <f>IFERROR(INDEX(Raw_orders!G:G, MATCH(shipments[[#This Row],[order_id]],Raw_orders!A:A, 0)), "Unknown")</f>
        <v>Baltics</v>
      </c>
      <c r="J3535" t="str">
        <f>PROPER(shipments[[#This Row],[delivery_status]])</f>
        <v>In Transit</v>
      </c>
      <c r="K3535" t="s">
        <v>6958</v>
      </c>
    </row>
    <row r="3536" spans="1:11">
      <c r="A3536" t="s">
        <v>10472</v>
      </c>
      <c r="B3536" t="s">
        <v>4221</v>
      </c>
      <c r="C3536" t="s">
        <v>6956</v>
      </c>
      <c r="D3536" s="1">
        <v>45320</v>
      </c>
      <c r="E3536" s="1">
        <v>45322</v>
      </c>
      <c r="F3536" s="1">
        <v>45335</v>
      </c>
      <c r="G3536">
        <v>44.19</v>
      </c>
      <c r="H35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36" t="str">
        <f>IFERROR(INDEX(Raw_orders!G:G, MATCH(shipments[[#This Row],[order_id]],Raw_orders!A:A, 0)), "Unknown")</f>
        <v>Baltics</v>
      </c>
      <c r="J3536" t="str">
        <f>PROPER(shipments[[#This Row],[delivery_status]])</f>
        <v>Delivered</v>
      </c>
      <c r="K3536" t="s">
        <v>6929</v>
      </c>
    </row>
    <row r="3537" spans="1:11">
      <c r="A3537" t="s">
        <v>10473</v>
      </c>
      <c r="B3537" t="s">
        <v>4222</v>
      </c>
      <c r="C3537" t="s">
        <v>6925</v>
      </c>
      <c r="D3537" s="1">
        <v>45104</v>
      </c>
      <c r="E3537" s="1">
        <v>45106</v>
      </c>
      <c r="F3537" s="1">
        <v>45105</v>
      </c>
      <c r="G3537">
        <v>33.4</v>
      </c>
      <c r="H35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537" t="str">
        <f>IFERROR(INDEX(Raw_orders!G:G, MATCH(shipments[[#This Row],[order_id]],Raw_orders!A:A, 0)), "Unknown")</f>
        <v>Baltics</v>
      </c>
      <c r="J3537" t="str">
        <f>PROPER(shipments[[#This Row],[delivery_status]])</f>
        <v>Delivered</v>
      </c>
      <c r="K3537" t="s">
        <v>6926</v>
      </c>
    </row>
    <row r="3538" spans="1:11">
      <c r="A3538" t="s">
        <v>10474</v>
      </c>
      <c r="B3538" t="s">
        <v>4223</v>
      </c>
      <c r="C3538" t="s">
        <v>6935</v>
      </c>
      <c r="D3538" s="1">
        <v>45464</v>
      </c>
      <c r="E3538" s="1">
        <v>45469</v>
      </c>
      <c r="F3538" s="1"/>
      <c r="G3538">
        <v>13.49</v>
      </c>
      <c r="H35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538" t="str">
        <f>IFERROR(INDEX(Raw_orders!G:G, MATCH(shipments[[#This Row],[order_id]],Raw_orders!A:A, 0)), "Unknown")</f>
        <v>Baltics</v>
      </c>
      <c r="J3538" t="str">
        <f>PROPER(shipments[[#This Row],[delivery_status]])</f>
        <v>In Transit</v>
      </c>
      <c r="K3538" t="s">
        <v>6958</v>
      </c>
    </row>
    <row r="3539" spans="1:11">
      <c r="A3539" t="s">
        <v>10475</v>
      </c>
      <c r="B3539" t="s">
        <v>4224</v>
      </c>
      <c r="C3539" t="s">
        <v>6921</v>
      </c>
      <c r="D3539" s="1">
        <v>45579</v>
      </c>
      <c r="E3539" s="1">
        <v>45586</v>
      </c>
      <c r="F3539" s="1"/>
      <c r="G3539">
        <v>61.98</v>
      </c>
      <c r="H35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539" t="str">
        <f>IFERROR(INDEX(Raw_orders!G:G, MATCH(shipments[[#This Row],[order_id]],Raw_orders!A:A, 0)), "Unknown")</f>
        <v>Central Europe</v>
      </c>
      <c r="J3539" t="str">
        <f>PROPER(shipments[[#This Row],[delivery_status]])</f>
        <v>In Transit</v>
      </c>
      <c r="K3539" t="s">
        <v>6958</v>
      </c>
    </row>
    <row r="3540" spans="1:11">
      <c r="A3540" t="s">
        <v>10476</v>
      </c>
      <c r="B3540" t="s">
        <v>4225</v>
      </c>
      <c r="C3540" t="s">
        <v>6956</v>
      </c>
      <c r="D3540" s="1">
        <v>45125</v>
      </c>
      <c r="E3540" s="1">
        <v>45132</v>
      </c>
      <c r="F3540" s="1">
        <v>45131</v>
      </c>
      <c r="G3540">
        <v>57.74</v>
      </c>
      <c r="H35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540" t="str">
        <f>IFERROR(INDEX(Raw_orders!G:G, MATCH(shipments[[#This Row],[order_id]],Raw_orders!A:A, 0)), "Unknown")</f>
        <v>Baltics</v>
      </c>
      <c r="J3540" t="str">
        <f>PROPER(shipments[[#This Row],[delivery_status]])</f>
        <v>Delivered</v>
      </c>
      <c r="K3540" t="s">
        <v>6929</v>
      </c>
    </row>
    <row r="3541" spans="1:11">
      <c r="A3541" t="s">
        <v>10477</v>
      </c>
      <c r="B3541" t="s">
        <v>4226</v>
      </c>
      <c r="C3541" t="s">
        <v>6956</v>
      </c>
      <c r="D3541" s="1">
        <v>45506</v>
      </c>
      <c r="E3541" s="1">
        <v>45516</v>
      </c>
      <c r="F3541" s="1">
        <v>45521</v>
      </c>
      <c r="G3541">
        <v>57.78</v>
      </c>
      <c r="H35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41" t="str">
        <f>IFERROR(INDEX(Raw_orders!G:G, MATCH(shipments[[#This Row],[order_id]],Raw_orders!A:A, 0)), "Unknown")</f>
        <v>Nordics</v>
      </c>
      <c r="J3541" t="str">
        <f>PROPER(shipments[[#This Row],[delivery_status]])</f>
        <v>Delivered</v>
      </c>
      <c r="K3541" t="s">
        <v>6922</v>
      </c>
    </row>
    <row r="3542" spans="1:11">
      <c r="A3542" t="s">
        <v>10478</v>
      </c>
      <c r="B3542" t="s">
        <v>4227</v>
      </c>
      <c r="C3542" t="s">
        <v>6921</v>
      </c>
      <c r="D3542" s="1">
        <v>45465</v>
      </c>
      <c r="E3542" s="1">
        <v>45468</v>
      </c>
      <c r="F3542" s="1">
        <v>45469</v>
      </c>
      <c r="G3542">
        <v>41.57</v>
      </c>
      <c r="H35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42" t="str">
        <f>IFERROR(INDEX(Raw_orders!G:G, MATCH(shipments[[#This Row],[order_id]],Raw_orders!A:A, 0)), "Unknown")</f>
        <v>Nordics</v>
      </c>
      <c r="J3542" t="str">
        <f>PROPER(shipments[[#This Row],[delivery_status]])</f>
        <v>Delivered</v>
      </c>
      <c r="K3542" t="s">
        <v>6922</v>
      </c>
    </row>
    <row r="3543" spans="1:11">
      <c r="A3543" t="s">
        <v>10479</v>
      </c>
      <c r="B3543" t="s">
        <v>4228</v>
      </c>
      <c r="C3543" t="s">
        <v>6956</v>
      </c>
      <c r="D3543" s="1">
        <v>44998</v>
      </c>
      <c r="E3543" s="1">
        <v>45005</v>
      </c>
      <c r="F3543" s="1">
        <v>45005</v>
      </c>
      <c r="G3543">
        <v>57.79</v>
      </c>
      <c r="H35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543" t="str">
        <f>IFERROR(INDEX(Raw_orders!G:G, MATCH(shipments[[#This Row],[order_id]],Raw_orders!A:A, 0)), "Unknown")</f>
        <v>Nordics</v>
      </c>
      <c r="J3543" t="str">
        <f>PROPER(shipments[[#This Row],[delivery_status]])</f>
        <v>Delivered</v>
      </c>
      <c r="K3543" t="s">
        <v>6926</v>
      </c>
    </row>
    <row r="3544" spans="1:11">
      <c r="A3544" t="s">
        <v>10480</v>
      </c>
      <c r="B3544" t="s">
        <v>4229</v>
      </c>
      <c r="C3544" t="s">
        <v>6956</v>
      </c>
      <c r="D3544" s="1">
        <v>45488</v>
      </c>
      <c r="E3544" s="1">
        <v>45495</v>
      </c>
      <c r="F3544" s="1">
        <v>45503</v>
      </c>
      <c r="G3544">
        <v>8.81</v>
      </c>
      <c r="H35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44" t="str">
        <f>IFERROR(INDEX(Raw_orders!G:G, MATCH(shipments[[#This Row],[order_id]],Raw_orders!A:A, 0)), "Unknown")</f>
        <v>Nordics</v>
      </c>
      <c r="J3544" t="str">
        <f>PROPER(shipments[[#This Row],[delivery_status]])</f>
        <v>Delivered</v>
      </c>
      <c r="K3544" t="s">
        <v>6926</v>
      </c>
    </row>
    <row r="3545" spans="1:11">
      <c r="A3545" t="s">
        <v>10481</v>
      </c>
      <c r="B3545" t="s">
        <v>4230</v>
      </c>
      <c r="C3545" t="s">
        <v>6938</v>
      </c>
      <c r="D3545" s="1">
        <v>44958</v>
      </c>
      <c r="E3545" s="1">
        <v>44960</v>
      </c>
      <c r="F3545" s="1">
        <v>44962</v>
      </c>
      <c r="G3545">
        <v>13.98</v>
      </c>
      <c r="H35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45" t="str">
        <f>IFERROR(INDEX(Raw_orders!G:G, MATCH(shipments[[#This Row],[order_id]],Raw_orders!A:A, 0)), "Unknown")</f>
        <v>Central Europe</v>
      </c>
      <c r="J3545" t="str">
        <f>PROPER(shipments[[#This Row],[delivery_status]])</f>
        <v>Delivered</v>
      </c>
      <c r="K3545" t="s">
        <v>6926</v>
      </c>
    </row>
    <row r="3546" spans="1:11">
      <c r="A3546" t="s">
        <v>10482</v>
      </c>
      <c r="B3546" t="s">
        <v>4231</v>
      </c>
      <c r="C3546" t="s">
        <v>6940</v>
      </c>
      <c r="D3546" s="1">
        <v>45620</v>
      </c>
      <c r="E3546" s="1">
        <v>45630</v>
      </c>
      <c r="F3546" s="1">
        <v>45630</v>
      </c>
      <c r="G3546">
        <v>8.4600000000000009</v>
      </c>
      <c r="H35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546" t="str">
        <f>IFERROR(INDEX(Raw_orders!G:G, MATCH(shipments[[#This Row],[order_id]],Raw_orders!A:A, 0)), "Unknown")</f>
        <v>Nordics</v>
      </c>
      <c r="J3546" t="str">
        <f>PROPER(shipments[[#This Row],[delivery_status]])</f>
        <v>Delivered</v>
      </c>
      <c r="K3546" t="s">
        <v>6929</v>
      </c>
    </row>
    <row r="3547" spans="1:11">
      <c r="A3547" t="s">
        <v>10483</v>
      </c>
      <c r="B3547" t="s">
        <v>4232</v>
      </c>
      <c r="C3547" t="s">
        <v>6940</v>
      </c>
      <c r="D3547" s="1">
        <v>45473</v>
      </c>
      <c r="E3547" s="1">
        <v>45475</v>
      </c>
      <c r="F3547" s="1">
        <v>45475</v>
      </c>
      <c r="G3547">
        <v>20.46</v>
      </c>
      <c r="H35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547" t="str">
        <f>IFERROR(INDEX(Raw_orders!G:G, MATCH(shipments[[#This Row],[order_id]],Raw_orders!A:A, 0)), "Unknown")</f>
        <v>Nordics</v>
      </c>
      <c r="J3547" t="str">
        <f>PROPER(shipments[[#This Row],[delivery_status]])</f>
        <v>Delivered</v>
      </c>
      <c r="K3547" t="s">
        <v>6929</v>
      </c>
    </row>
    <row r="3548" spans="1:11">
      <c r="A3548" t="s">
        <v>10484</v>
      </c>
      <c r="B3548" t="s">
        <v>4233</v>
      </c>
      <c r="C3548" t="s">
        <v>6925</v>
      </c>
      <c r="D3548" s="1">
        <v>45324</v>
      </c>
      <c r="E3548" s="1">
        <v>45334</v>
      </c>
      <c r="F3548" s="1">
        <v>45333</v>
      </c>
      <c r="G3548">
        <v>52.66</v>
      </c>
      <c r="H35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548" t="str">
        <f>IFERROR(INDEX(Raw_orders!G:G, MATCH(shipments[[#This Row],[order_id]],Raw_orders!A:A, 0)), "Unknown")</f>
        <v>Central Europe</v>
      </c>
      <c r="J3548" t="str">
        <f>PROPER(shipments[[#This Row],[delivery_status]])</f>
        <v>Delivered</v>
      </c>
      <c r="K3548" t="s">
        <v>6926</v>
      </c>
    </row>
    <row r="3549" spans="1:11">
      <c r="A3549" t="s">
        <v>10485</v>
      </c>
      <c r="B3549" t="s">
        <v>4234</v>
      </c>
      <c r="C3549" t="s">
        <v>6925</v>
      </c>
      <c r="D3549" s="1">
        <v>45086</v>
      </c>
      <c r="E3549" s="1">
        <v>45091</v>
      </c>
      <c r="F3549" s="1">
        <v>45090</v>
      </c>
      <c r="G3549">
        <v>19.010000000000002</v>
      </c>
      <c r="H35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549" t="str">
        <f>IFERROR(INDEX(Raw_orders!G:G, MATCH(shipments[[#This Row],[order_id]],Raw_orders!A:A, 0)), "Unknown")</f>
        <v>Baltics</v>
      </c>
      <c r="J3549" t="str">
        <f>PROPER(shipments[[#This Row],[delivery_status]])</f>
        <v>Delivered</v>
      </c>
      <c r="K3549" t="s">
        <v>6929</v>
      </c>
    </row>
    <row r="3550" spans="1:11">
      <c r="A3550" t="s">
        <v>10486</v>
      </c>
      <c r="B3550" t="s">
        <v>4235</v>
      </c>
      <c r="C3550" t="s">
        <v>6928</v>
      </c>
      <c r="D3550" s="1">
        <v>45288</v>
      </c>
      <c r="E3550" s="1">
        <v>45298</v>
      </c>
      <c r="F3550" s="1"/>
      <c r="G3550">
        <v>24.73</v>
      </c>
      <c r="H35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550" t="str">
        <f>IFERROR(INDEX(Raw_orders!G:G, MATCH(shipments[[#This Row],[order_id]],Raw_orders!A:A, 0)), "Unknown")</f>
        <v>Baltics</v>
      </c>
      <c r="J3550" t="str">
        <f>PROPER(shipments[[#This Row],[delivery_status]])</f>
        <v>Cancelled</v>
      </c>
      <c r="K3550" t="s">
        <v>6972</v>
      </c>
    </row>
    <row r="3551" spans="1:11">
      <c r="A3551" t="s">
        <v>10487</v>
      </c>
      <c r="B3551" t="s">
        <v>4236</v>
      </c>
      <c r="C3551" t="s">
        <v>6940</v>
      </c>
      <c r="D3551" s="1">
        <v>45447</v>
      </c>
      <c r="E3551" s="1">
        <v>45452</v>
      </c>
      <c r="F3551" s="1"/>
      <c r="G3551">
        <v>12.35</v>
      </c>
      <c r="H35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551" t="str">
        <f>IFERROR(INDEX(Raw_orders!G:G, MATCH(shipments[[#This Row],[order_id]],Raw_orders!A:A, 0)), "Unknown")</f>
        <v>Central Europe</v>
      </c>
      <c r="J3551" t="str">
        <f>PROPER(shipments[[#This Row],[delivery_status]])</f>
        <v>In Transit</v>
      </c>
      <c r="K3551" t="s">
        <v>6977</v>
      </c>
    </row>
    <row r="3552" spans="1:11">
      <c r="A3552" t="s">
        <v>10488</v>
      </c>
      <c r="B3552" t="s">
        <v>4237</v>
      </c>
      <c r="C3552" t="s">
        <v>6956</v>
      </c>
      <c r="D3552" s="1">
        <v>45129</v>
      </c>
      <c r="E3552" s="1">
        <v>45131</v>
      </c>
      <c r="F3552" s="1">
        <v>45136</v>
      </c>
      <c r="G3552">
        <v>41.31</v>
      </c>
      <c r="H35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52" t="str">
        <f>IFERROR(INDEX(Raw_orders!G:G, MATCH(shipments[[#This Row],[order_id]],Raw_orders!A:A, 0)), "Unknown")</f>
        <v>Nordics</v>
      </c>
      <c r="J3552" t="str">
        <f>PROPER(shipments[[#This Row],[delivery_status]])</f>
        <v>Delivered</v>
      </c>
      <c r="K3552" t="s">
        <v>6926</v>
      </c>
    </row>
    <row r="3553" spans="1:11">
      <c r="A3553" t="s">
        <v>10489</v>
      </c>
      <c r="B3553" t="s">
        <v>4238</v>
      </c>
      <c r="C3553" t="s">
        <v>6956</v>
      </c>
      <c r="D3553" s="1">
        <v>45144</v>
      </c>
      <c r="E3553" s="1">
        <v>45154</v>
      </c>
      <c r="F3553" s="1">
        <v>45154</v>
      </c>
      <c r="G3553">
        <v>40.17</v>
      </c>
      <c r="H35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553" t="str">
        <f>IFERROR(INDEX(Raw_orders!G:G, MATCH(shipments[[#This Row],[order_id]],Raw_orders!A:A, 0)), "Unknown")</f>
        <v>Nordics</v>
      </c>
      <c r="J3553" t="str">
        <f>PROPER(shipments[[#This Row],[delivery_status]])</f>
        <v>Delivered</v>
      </c>
      <c r="K3553" t="s">
        <v>6929</v>
      </c>
    </row>
    <row r="3554" spans="1:11">
      <c r="A3554" t="s">
        <v>10490</v>
      </c>
      <c r="B3554" t="s">
        <v>4239</v>
      </c>
      <c r="C3554" t="s">
        <v>6931</v>
      </c>
      <c r="D3554" s="1">
        <v>45032</v>
      </c>
      <c r="E3554" s="1">
        <v>45034</v>
      </c>
      <c r="F3554" s="1">
        <v>45034</v>
      </c>
      <c r="G3554">
        <v>50.56</v>
      </c>
      <c r="H35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554" t="str">
        <f>IFERROR(INDEX(Raw_orders!G:G, MATCH(shipments[[#This Row],[order_id]],Raw_orders!A:A, 0)), "Unknown")</f>
        <v>Baltics</v>
      </c>
      <c r="J3554" t="str">
        <f>PROPER(shipments[[#This Row],[delivery_status]])</f>
        <v>Delivered</v>
      </c>
      <c r="K3554" t="s">
        <v>6926</v>
      </c>
    </row>
    <row r="3555" spans="1:11">
      <c r="A3555" t="s">
        <v>10491</v>
      </c>
      <c r="B3555" t="s">
        <v>4240</v>
      </c>
      <c r="C3555" t="s">
        <v>6956</v>
      </c>
      <c r="D3555" s="1">
        <v>45498</v>
      </c>
      <c r="E3555" s="1">
        <v>45508</v>
      </c>
      <c r="F3555" s="1">
        <v>45508</v>
      </c>
      <c r="G3555">
        <v>45.59</v>
      </c>
      <c r="H35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555" t="str">
        <f>IFERROR(INDEX(Raw_orders!G:G, MATCH(shipments[[#This Row],[order_id]],Raw_orders!A:A, 0)), "Unknown")</f>
        <v>Central Europe</v>
      </c>
      <c r="J3555" t="str">
        <f>PROPER(shipments[[#This Row],[delivery_status]])</f>
        <v>Delivered</v>
      </c>
      <c r="K3555" t="s">
        <v>6926</v>
      </c>
    </row>
    <row r="3556" spans="1:11">
      <c r="A3556" t="s">
        <v>10492</v>
      </c>
      <c r="B3556" t="s">
        <v>4241</v>
      </c>
      <c r="C3556" t="s">
        <v>6940</v>
      </c>
      <c r="D3556" s="1">
        <v>45028</v>
      </c>
      <c r="E3556" s="1">
        <v>45030</v>
      </c>
      <c r="F3556" s="1">
        <v>45030</v>
      </c>
      <c r="G3556">
        <v>40.85</v>
      </c>
      <c r="H35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556" t="str">
        <f>IFERROR(INDEX(Raw_orders!G:G, MATCH(shipments[[#This Row],[order_id]],Raw_orders!A:A, 0)), "Unknown")</f>
        <v>Nordics</v>
      </c>
      <c r="J3556" t="str">
        <f>PROPER(shipments[[#This Row],[delivery_status]])</f>
        <v>Delivered</v>
      </c>
      <c r="K3556" t="s">
        <v>6922</v>
      </c>
    </row>
    <row r="3557" spans="1:11">
      <c r="A3557" t="s">
        <v>10493</v>
      </c>
      <c r="B3557" t="s">
        <v>4242</v>
      </c>
      <c r="C3557" t="s">
        <v>6921</v>
      </c>
      <c r="D3557" s="1">
        <v>45550</v>
      </c>
      <c r="E3557" s="1">
        <v>45553</v>
      </c>
      <c r="F3557" s="1">
        <v>45561</v>
      </c>
      <c r="G3557">
        <v>49.63</v>
      </c>
      <c r="H35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57" t="str">
        <f>IFERROR(INDEX(Raw_orders!G:G, MATCH(shipments[[#This Row],[order_id]],Raw_orders!A:A, 0)), "Unknown")</f>
        <v>Central Europe</v>
      </c>
      <c r="J3557" t="str">
        <f>PROPER(shipments[[#This Row],[delivery_status]])</f>
        <v>Delivered</v>
      </c>
      <c r="K3557" t="s">
        <v>6929</v>
      </c>
    </row>
    <row r="3558" spans="1:11">
      <c r="A3558" t="s">
        <v>10494</v>
      </c>
      <c r="B3558" t="s">
        <v>4243</v>
      </c>
      <c r="C3558" t="s">
        <v>6935</v>
      </c>
      <c r="D3558" s="1">
        <v>45465</v>
      </c>
      <c r="E3558" s="1">
        <v>45475</v>
      </c>
      <c r="F3558" s="1"/>
      <c r="G3558">
        <v>28.46</v>
      </c>
      <c r="H35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558" t="str">
        <f>IFERROR(INDEX(Raw_orders!G:G, MATCH(shipments[[#This Row],[order_id]],Raw_orders!A:A, 0)), "Unknown")</f>
        <v>Nordics</v>
      </c>
      <c r="J3558" t="str">
        <f>PROPER(shipments[[#This Row],[delivery_status]])</f>
        <v>In Transit</v>
      </c>
      <c r="K3558" t="s">
        <v>6946</v>
      </c>
    </row>
    <row r="3559" spans="1:11">
      <c r="A3559" t="s">
        <v>10495</v>
      </c>
      <c r="B3559" t="s">
        <v>4244</v>
      </c>
      <c r="C3559" t="s">
        <v>6938</v>
      </c>
      <c r="D3559" s="1">
        <v>45461</v>
      </c>
      <c r="E3559" s="1">
        <v>45464</v>
      </c>
      <c r="F3559" s="1">
        <v>45464</v>
      </c>
      <c r="G3559">
        <v>46.78</v>
      </c>
      <c r="H35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559" t="str">
        <f>IFERROR(INDEX(Raw_orders!G:G, MATCH(shipments[[#This Row],[order_id]],Raw_orders!A:A, 0)), "Unknown")</f>
        <v>Central Europe</v>
      </c>
      <c r="J3559" t="str">
        <f>PROPER(shipments[[#This Row],[delivery_status]])</f>
        <v>Delivered</v>
      </c>
      <c r="K3559" t="s">
        <v>6922</v>
      </c>
    </row>
    <row r="3560" spans="1:11">
      <c r="A3560" t="s">
        <v>10496</v>
      </c>
      <c r="B3560" t="s">
        <v>4245</v>
      </c>
      <c r="C3560" t="s">
        <v>6940</v>
      </c>
      <c r="D3560" s="1">
        <v>45505</v>
      </c>
      <c r="E3560" s="1">
        <v>45512</v>
      </c>
      <c r="F3560" s="1">
        <v>45517</v>
      </c>
      <c r="G3560">
        <v>19.170000000000002</v>
      </c>
      <c r="H35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60" t="str">
        <f>IFERROR(INDEX(Raw_orders!G:G, MATCH(shipments[[#This Row],[order_id]],Raw_orders!A:A, 0)), "Unknown")</f>
        <v>Nordics</v>
      </c>
      <c r="J3560" t="str">
        <f>PROPER(shipments[[#This Row],[delivery_status]])</f>
        <v>Delivered</v>
      </c>
      <c r="K3560" t="s">
        <v>6922</v>
      </c>
    </row>
    <row r="3561" spans="1:11">
      <c r="A3561" t="s">
        <v>10497</v>
      </c>
      <c r="B3561" t="s">
        <v>4246</v>
      </c>
      <c r="C3561" t="s">
        <v>6931</v>
      </c>
      <c r="D3561" s="1">
        <v>45339</v>
      </c>
      <c r="E3561" s="1">
        <v>45349</v>
      </c>
      <c r="F3561" s="1">
        <v>45352</v>
      </c>
      <c r="H35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61" t="str">
        <f>IFERROR(INDEX(Raw_orders!G:G, MATCH(shipments[[#This Row],[order_id]],Raw_orders!A:A, 0)), "Unknown")</f>
        <v>Baltics</v>
      </c>
      <c r="J3561" t="str">
        <f>PROPER(shipments[[#This Row],[delivery_status]])</f>
        <v>Delivered</v>
      </c>
      <c r="K3561" t="s">
        <v>6926</v>
      </c>
    </row>
    <row r="3562" spans="1:11">
      <c r="A3562" t="s">
        <v>10498</v>
      </c>
      <c r="B3562" t="s">
        <v>4247</v>
      </c>
      <c r="C3562" t="s">
        <v>6931</v>
      </c>
      <c r="D3562" s="1">
        <v>45596</v>
      </c>
      <c r="E3562" s="1">
        <v>45603</v>
      </c>
      <c r="F3562" s="1">
        <v>45602</v>
      </c>
      <c r="G3562">
        <v>39.090000000000003</v>
      </c>
      <c r="H35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562" t="str">
        <f>IFERROR(INDEX(Raw_orders!G:G, MATCH(shipments[[#This Row],[order_id]],Raw_orders!A:A, 0)), "Unknown")</f>
        <v>Nordics</v>
      </c>
      <c r="J3562" t="str">
        <f>PROPER(shipments[[#This Row],[delivery_status]])</f>
        <v>Delivered</v>
      </c>
      <c r="K3562" t="s">
        <v>6929</v>
      </c>
    </row>
    <row r="3563" spans="1:11">
      <c r="A3563" t="s">
        <v>10499</v>
      </c>
      <c r="B3563" t="s">
        <v>4248</v>
      </c>
      <c r="C3563" t="s">
        <v>6949</v>
      </c>
      <c r="D3563" s="1">
        <v>45261</v>
      </c>
      <c r="E3563" s="1">
        <v>45266</v>
      </c>
      <c r="F3563" s="1">
        <v>45268</v>
      </c>
      <c r="G3563">
        <v>7.97</v>
      </c>
      <c r="H35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63" t="str">
        <f>IFERROR(INDEX(Raw_orders!G:G, MATCH(shipments[[#This Row],[order_id]],Raw_orders!A:A, 0)), "Unknown")</f>
        <v>Central Europe</v>
      </c>
      <c r="J3563" t="str">
        <f>PROPER(shipments[[#This Row],[delivery_status]])</f>
        <v>Delivered</v>
      </c>
      <c r="K3563" t="s">
        <v>6922</v>
      </c>
    </row>
    <row r="3564" spans="1:11">
      <c r="A3564" t="s">
        <v>10500</v>
      </c>
      <c r="B3564" t="s">
        <v>4249</v>
      </c>
      <c r="C3564" t="s">
        <v>6938</v>
      </c>
      <c r="D3564" s="1">
        <v>45073</v>
      </c>
      <c r="E3564" s="1">
        <v>45076</v>
      </c>
      <c r="F3564" s="1">
        <v>45082</v>
      </c>
      <c r="G3564">
        <v>16.399999999999999</v>
      </c>
      <c r="H35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64" t="str">
        <f>IFERROR(INDEX(Raw_orders!G:G, MATCH(shipments[[#This Row],[order_id]],Raw_orders!A:A, 0)), "Unknown")</f>
        <v>Nordics</v>
      </c>
      <c r="J3564" t="str">
        <f>PROPER(shipments[[#This Row],[delivery_status]])</f>
        <v>Delivered</v>
      </c>
      <c r="K3564" t="s">
        <v>6926</v>
      </c>
    </row>
    <row r="3565" spans="1:11">
      <c r="A3565" t="s">
        <v>10501</v>
      </c>
      <c r="B3565" t="s">
        <v>4249</v>
      </c>
      <c r="C3565" t="s">
        <v>6928</v>
      </c>
      <c r="D3565" s="1">
        <v>45074</v>
      </c>
      <c r="E3565" s="1">
        <v>45084</v>
      </c>
      <c r="F3565" s="1">
        <v>45087</v>
      </c>
      <c r="G3565">
        <v>15.43</v>
      </c>
      <c r="H35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65" t="str">
        <f>IFERROR(INDEX(Raw_orders!G:G, MATCH(shipments[[#This Row],[order_id]],Raw_orders!A:A, 0)), "Unknown")</f>
        <v>Nordics</v>
      </c>
      <c r="J3565" t="str">
        <f>PROPER(shipments[[#This Row],[delivery_status]])</f>
        <v>Delivered</v>
      </c>
      <c r="K3565" t="s">
        <v>6929</v>
      </c>
    </row>
    <row r="3566" spans="1:11">
      <c r="A3566" t="s">
        <v>10502</v>
      </c>
      <c r="B3566" t="s">
        <v>4250</v>
      </c>
      <c r="C3566" t="s">
        <v>6931</v>
      </c>
      <c r="D3566" s="1">
        <v>45230</v>
      </c>
      <c r="E3566" s="1">
        <v>45240</v>
      </c>
      <c r="F3566" s="1">
        <v>45243</v>
      </c>
      <c r="G3566">
        <v>33.22</v>
      </c>
      <c r="H35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66" t="str">
        <f>IFERROR(INDEX(Raw_orders!G:G, MATCH(shipments[[#This Row],[order_id]],Raw_orders!A:A, 0)), "Unknown")</f>
        <v>Nordics</v>
      </c>
      <c r="J3566" t="str">
        <f>PROPER(shipments[[#This Row],[delivery_status]])</f>
        <v>Delivered</v>
      </c>
      <c r="K3566" t="s">
        <v>6926</v>
      </c>
    </row>
    <row r="3567" spans="1:11">
      <c r="A3567" t="s">
        <v>10503</v>
      </c>
      <c r="B3567" t="s">
        <v>4250</v>
      </c>
      <c r="C3567" t="s">
        <v>6940</v>
      </c>
      <c r="D3567" s="1">
        <v>45229</v>
      </c>
      <c r="E3567" s="1">
        <v>45231</v>
      </c>
      <c r="F3567" s="1">
        <v>45230</v>
      </c>
      <c r="G3567">
        <v>49.85</v>
      </c>
      <c r="H35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567" t="str">
        <f>IFERROR(INDEX(Raw_orders!G:G, MATCH(shipments[[#This Row],[order_id]],Raw_orders!A:A, 0)), "Unknown")</f>
        <v>Nordics</v>
      </c>
      <c r="J3567" t="str">
        <f>PROPER(shipments[[#This Row],[delivery_status]])</f>
        <v>Delivered</v>
      </c>
      <c r="K3567" t="s">
        <v>6922</v>
      </c>
    </row>
    <row r="3568" spans="1:11">
      <c r="A3568" t="s">
        <v>10504</v>
      </c>
      <c r="B3568" t="s">
        <v>4251</v>
      </c>
      <c r="C3568" t="s">
        <v>6935</v>
      </c>
      <c r="D3568" s="1">
        <v>44999</v>
      </c>
      <c r="E3568" s="1">
        <v>45006</v>
      </c>
      <c r="F3568" s="1">
        <v>45007</v>
      </c>
      <c r="G3568">
        <v>14.61</v>
      </c>
      <c r="H35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68" t="str">
        <f>IFERROR(INDEX(Raw_orders!G:G, MATCH(shipments[[#This Row],[order_id]],Raw_orders!A:A, 0)), "Unknown")</f>
        <v>Nordics</v>
      </c>
      <c r="J3568" t="str">
        <f>PROPER(shipments[[#This Row],[delivery_status]])</f>
        <v>Delivered</v>
      </c>
      <c r="K3568" t="s">
        <v>6926</v>
      </c>
    </row>
    <row r="3569" spans="1:11">
      <c r="A3569" t="s">
        <v>10505</v>
      </c>
      <c r="B3569" t="s">
        <v>4252</v>
      </c>
      <c r="C3569" t="s">
        <v>6921</v>
      </c>
      <c r="D3569" s="1">
        <v>45383</v>
      </c>
      <c r="E3569" s="1">
        <v>45386</v>
      </c>
      <c r="F3569" s="1">
        <v>45386</v>
      </c>
      <c r="G3569">
        <v>22.85</v>
      </c>
      <c r="H35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569" t="str">
        <f>IFERROR(INDEX(Raw_orders!G:G, MATCH(shipments[[#This Row],[order_id]],Raw_orders!A:A, 0)), "Unknown")</f>
        <v>Nordics</v>
      </c>
      <c r="J3569" t="str">
        <f>PROPER(shipments[[#This Row],[delivery_status]])</f>
        <v>Delivered</v>
      </c>
      <c r="K3569" t="s">
        <v>6922</v>
      </c>
    </row>
    <row r="3570" spans="1:11">
      <c r="A3570" t="s">
        <v>10506</v>
      </c>
      <c r="B3570" t="s">
        <v>4253</v>
      </c>
      <c r="C3570" t="s">
        <v>6949</v>
      </c>
      <c r="D3570" s="1">
        <v>45114</v>
      </c>
      <c r="E3570" s="1">
        <v>45116</v>
      </c>
      <c r="F3570" s="1">
        <v>45116</v>
      </c>
      <c r="G3570">
        <v>20.88</v>
      </c>
      <c r="H35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570" t="str">
        <f>IFERROR(INDEX(Raw_orders!G:G, MATCH(shipments[[#This Row],[order_id]],Raw_orders!A:A, 0)), "Unknown")</f>
        <v>Central Europe</v>
      </c>
      <c r="J3570" t="str">
        <f>PROPER(shipments[[#This Row],[delivery_status]])</f>
        <v>Delivered</v>
      </c>
      <c r="K3570" t="s">
        <v>6922</v>
      </c>
    </row>
    <row r="3571" spans="1:11">
      <c r="A3571" t="s">
        <v>10507</v>
      </c>
      <c r="B3571" t="s">
        <v>4254</v>
      </c>
      <c r="C3571" t="s">
        <v>6921</v>
      </c>
      <c r="D3571" s="1">
        <v>44937</v>
      </c>
      <c r="E3571" s="1">
        <v>44939</v>
      </c>
      <c r="F3571" s="1">
        <v>44940</v>
      </c>
      <c r="G3571">
        <v>31.69</v>
      </c>
      <c r="H35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71" t="str">
        <f>IFERROR(INDEX(Raw_orders!G:G, MATCH(shipments[[#This Row],[order_id]],Raw_orders!A:A, 0)), "Unknown")</f>
        <v>Baltics</v>
      </c>
      <c r="J3571" t="str">
        <f>PROPER(shipments[[#This Row],[delivery_status]])</f>
        <v>Delivered</v>
      </c>
      <c r="K3571" t="s">
        <v>6929</v>
      </c>
    </row>
    <row r="3572" spans="1:11">
      <c r="A3572" t="s">
        <v>10508</v>
      </c>
      <c r="B3572" t="s">
        <v>4255</v>
      </c>
      <c r="C3572" t="s">
        <v>6938</v>
      </c>
      <c r="D3572" s="1">
        <v>45373</v>
      </c>
      <c r="E3572" s="1">
        <v>45383</v>
      </c>
      <c r="F3572" s="1">
        <v>45388</v>
      </c>
      <c r="G3572">
        <v>18.21</v>
      </c>
      <c r="H35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72" t="str">
        <f>IFERROR(INDEX(Raw_orders!G:G, MATCH(shipments[[#This Row],[order_id]],Raw_orders!A:A, 0)), "Unknown")</f>
        <v>Nordics</v>
      </c>
      <c r="J3572" t="str">
        <f>PROPER(shipments[[#This Row],[delivery_status]])</f>
        <v>Delivered</v>
      </c>
      <c r="K3572" t="s">
        <v>6922</v>
      </c>
    </row>
    <row r="3573" spans="1:11">
      <c r="A3573" t="s">
        <v>10509</v>
      </c>
      <c r="B3573" t="s">
        <v>4256</v>
      </c>
      <c r="C3573" t="s">
        <v>6928</v>
      </c>
      <c r="D3573" s="1">
        <v>45144</v>
      </c>
      <c r="E3573" s="1">
        <v>45147</v>
      </c>
      <c r="F3573" s="1">
        <v>45155</v>
      </c>
      <c r="G3573">
        <v>47.94</v>
      </c>
      <c r="H35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73" t="str">
        <f>IFERROR(INDEX(Raw_orders!G:G, MATCH(shipments[[#This Row],[order_id]],Raw_orders!A:A, 0)), "Unknown")</f>
        <v>Baltics</v>
      </c>
      <c r="J3573" t="str">
        <f>PROPER(shipments[[#This Row],[delivery_status]])</f>
        <v>Delivered</v>
      </c>
      <c r="K3573" t="s">
        <v>6926</v>
      </c>
    </row>
    <row r="3574" spans="1:11">
      <c r="A3574" t="s">
        <v>10510</v>
      </c>
      <c r="B3574" t="s">
        <v>4257</v>
      </c>
      <c r="C3574" t="s">
        <v>6931</v>
      </c>
      <c r="D3574" s="1">
        <v>45527</v>
      </c>
      <c r="E3574" s="1">
        <v>45529</v>
      </c>
      <c r="F3574" s="1">
        <v>45531</v>
      </c>
      <c r="G3574">
        <v>5.31</v>
      </c>
      <c r="H35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74" t="str">
        <f>IFERROR(INDEX(Raw_orders!G:G, MATCH(shipments[[#This Row],[order_id]],Raw_orders!A:A, 0)), "Unknown")</f>
        <v>Baltics</v>
      </c>
      <c r="J3574" t="str">
        <f>PROPER(shipments[[#This Row],[delivery_status]])</f>
        <v>Delivered</v>
      </c>
      <c r="K3574" t="s">
        <v>6922</v>
      </c>
    </row>
    <row r="3575" spans="1:11">
      <c r="A3575" t="s">
        <v>10511</v>
      </c>
      <c r="B3575" t="s">
        <v>4258</v>
      </c>
      <c r="C3575" t="s">
        <v>6938</v>
      </c>
      <c r="D3575" s="1">
        <v>45268</v>
      </c>
      <c r="E3575" s="1">
        <v>45275</v>
      </c>
      <c r="F3575" s="1">
        <v>45277</v>
      </c>
      <c r="G3575">
        <v>33.340000000000003</v>
      </c>
      <c r="H35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75" t="str">
        <f>IFERROR(INDEX(Raw_orders!G:G, MATCH(shipments[[#This Row],[order_id]],Raw_orders!A:A, 0)), "Unknown")</f>
        <v>Baltics</v>
      </c>
      <c r="J3575" t="str">
        <f>PROPER(shipments[[#This Row],[delivery_status]])</f>
        <v>Delivered</v>
      </c>
      <c r="K3575" t="s">
        <v>6929</v>
      </c>
    </row>
    <row r="3576" spans="1:11">
      <c r="A3576" t="s">
        <v>10512</v>
      </c>
      <c r="B3576" t="s">
        <v>4259</v>
      </c>
      <c r="C3576" t="s">
        <v>6928</v>
      </c>
      <c r="D3576" s="1">
        <v>44981</v>
      </c>
      <c r="E3576" s="1">
        <v>44991</v>
      </c>
      <c r="F3576" s="1">
        <v>44991</v>
      </c>
      <c r="G3576">
        <v>26.12</v>
      </c>
      <c r="H35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576" t="str">
        <f>IFERROR(INDEX(Raw_orders!G:G, MATCH(shipments[[#This Row],[order_id]],Raw_orders!A:A, 0)), "Unknown")</f>
        <v>Nordics</v>
      </c>
      <c r="J3576" t="str">
        <f>PROPER(shipments[[#This Row],[delivery_status]])</f>
        <v>Delivered</v>
      </c>
      <c r="K3576" t="s">
        <v>6926</v>
      </c>
    </row>
    <row r="3577" spans="1:11">
      <c r="A3577" t="s">
        <v>10513</v>
      </c>
      <c r="B3577" t="s">
        <v>4260</v>
      </c>
      <c r="C3577" t="s">
        <v>6928</v>
      </c>
      <c r="D3577" s="1">
        <v>45163</v>
      </c>
      <c r="E3577" s="1">
        <v>45170</v>
      </c>
      <c r="F3577" s="1">
        <v>45175</v>
      </c>
      <c r="G3577">
        <v>40.17</v>
      </c>
      <c r="H35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77" t="str">
        <f>IFERROR(INDEX(Raw_orders!G:G, MATCH(shipments[[#This Row],[order_id]],Raw_orders!A:A, 0)), "Unknown")</f>
        <v>Nordics</v>
      </c>
      <c r="J3577" t="str">
        <f>PROPER(shipments[[#This Row],[delivery_status]])</f>
        <v>Delivered</v>
      </c>
      <c r="K3577" t="s">
        <v>6929</v>
      </c>
    </row>
    <row r="3578" spans="1:11">
      <c r="A3578" t="s">
        <v>10514</v>
      </c>
      <c r="B3578" t="s">
        <v>4261</v>
      </c>
      <c r="C3578" t="s">
        <v>6925</v>
      </c>
      <c r="D3578" s="1">
        <v>44981</v>
      </c>
      <c r="E3578" s="1">
        <v>44988</v>
      </c>
      <c r="F3578" s="1">
        <v>44991</v>
      </c>
      <c r="G3578">
        <v>53.32</v>
      </c>
      <c r="H35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78" t="str">
        <f>IFERROR(INDEX(Raw_orders!G:G, MATCH(shipments[[#This Row],[order_id]],Raw_orders!A:A, 0)), "Unknown")</f>
        <v>Baltics</v>
      </c>
      <c r="J3578" t="str">
        <f>PROPER(shipments[[#This Row],[delivery_status]])</f>
        <v>Delivered</v>
      </c>
      <c r="K3578" t="s">
        <v>6926</v>
      </c>
    </row>
    <row r="3579" spans="1:11">
      <c r="A3579" t="s">
        <v>10515</v>
      </c>
      <c r="B3579" t="s">
        <v>4262</v>
      </c>
      <c r="C3579" t="s">
        <v>6925</v>
      </c>
      <c r="D3579" s="1">
        <v>44976</v>
      </c>
      <c r="E3579" s="1">
        <v>44981</v>
      </c>
      <c r="F3579" s="1"/>
      <c r="G3579">
        <v>39.36</v>
      </c>
      <c r="H35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579" t="str">
        <f>IFERROR(INDEX(Raw_orders!G:G, MATCH(shipments[[#This Row],[order_id]],Raw_orders!A:A, 0)), "Unknown")</f>
        <v>Nordics</v>
      </c>
      <c r="J3579" t="str">
        <f>PROPER(shipments[[#This Row],[delivery_status]])</f>
        <v>Cancelled</v>
      </c>
      <c r="K3579" t="s">
        <v>6972</v>
      </c>
    </row>
    <row r="3580" spans="1:11">
      <c r="A3580" t="s">
        <v>10516</v>
      </c>
      <c r="B3580" t="s">
        <v>4263</v>
      </c>
      <c r="C3580" t="s">
        <v>6925</v>
      </c>
      <c r="D3580" s="1">
        <v>45513</v>
      </c>
      <c r="E3580" s="1">
        <v>45518</v>
      </c>
      <c r="F3580" s="1">
        <v>45519</v>
      </c>
      <c r="G3580">
        <v>35.619999999999997</v>
      </c>
      <c r="H35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80" t="str">
        <f>IFERROR(INDEX(Raw_orders!G:G, MATCH(shipments[[#This Row],[order_id]],Raw_orders!A:A, 0)), "Unknown")</f>
        <v>Baltics</v>
      </c>
      <c r="J3580" t="str">
        <f>PROPER(shipments[[#This Row],[delivery_status]])</f>
        <v>Delivered</v>
      </c>
      <c r="K3580" t="s">
        <v>6929</v>
      </c>
    </row>
    <row r="3581" spans="1:11">
      <c r="A3581" t="s">
        <v>10517</v>
      </c>
      <c r="B3581" t="s">
        <v>4264</v>
      </c>
      <c r="C3581" t="s">
        <v>6925</v>
      </c>
      <c r="D3581" s="1">
        <v>45194</v>
      </c>
      <c r="E3581" s="1">
        <v>45204</v>
      </c>
      <c r="F3581" s="1">
        <v>45206</v>
      </c>
      <c r="G3581">
        <v>34.159999999999997</v>
      </c>
      <c r="H35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81" t="str">
        <f>IFERROR(INDEX(Raw_orders!G:G, MATCH(shipments[[#This Row],[order_id]],Raw_orders!A:A, 0)), "Unknown")</f>
        <v>Central Europe</v>
      </c>
      <c r="J3581" t="str">
        <f>PROPER(shipments[[#This Row],[delivery_status]])</f>
        <v>Delivered</v>
      </c>
      <c r="K3581" t="s">
        <v>6929</v>
      </c>
    </row>
    <row r="3582" spans="1:11">
      <c r="A3582" t="s">
        <v>10518</v>
      </c>
      <c r="B3582" t="s">
        <v>4265</v>
      </c>
      <c r="C3582" t="s">
        <v>6931</v>
      </c>
      <c r="D3582" s="1">
        <v>45397</v>
      </c>
      <c r="E3582" s="1">
        <v>45399</v>
      </c>
      <c r="F3582" s="1">
        <v>45407</v>
      </c>
      <c r="H35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82" t="str">
        <f>IFERROR(INDEX(Raw_orders!G:G, MATCH(shipments[[#This Row],[order_id]],Raw_orders!A:A, 0)), "Unknown")</f>
        <v>Baltics</v>
      </c>
      <c r="J3582" t="str">
        <f>PROPER(shipments[[#This Row],[delivery_status]])</f>
        <v>Delivered</v>
      </c>
      <c r="K3582" t="s">
        <v>6922</v>
      </c>
    </row>
    <row r="3583" spans="1:11">
      <c r="A3583" t="s">
        <v>10519</v>
      </c>
      <c r="B3583" t="s">
        <v>4265</v>
      </c>
      <c r="C3583" t="s">
        <v>6931</v>
      </c>
      <c r="D3583" s="1">
        <v>45395</v>
      </c>
      <c r="E3583" s="1">
        <v>45402</v>
      </c>
      <c r="F3583" s="1">
        <v>45404</v>
      </c>
      <c r="G3583">
        <v>64.959999999999994</v>
      </c>
      <c r="H35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83" t="str">
        <f>IFERROR(INDEX(Raw_orders!G:G, MATCH(shipments[[#This Row],[order_id]],Raw_orders!A:A, 0)), "Unknown")</f>
        <v>Baltics</v>
      </c>
      <c r="J3583" t="str">
        <f>PROPER(shipments[[#This Row],[delivery_status]])</f>
        <v>Delivered</v>
      </c>
      <c r="K3583" t="s">
        <v>6926</v>
      </c>
    </row>
    <row r="3584" spans="1:11">
      <c r="A3584" t="s">
        <v>10520</v>
      </c>
      <c r="B3584" t="s">
        <v>4266</v>
      </c>
      <c r="C3584" t="s">
        <v>6935</v>
      </c>
      <c r="D3584" s="1">
        <v>45189</v>
      </c>
      <c r="E3584" s="1">
        <v>45196</v>
      </c>
      <c r="F3584" s="1">
        <v>45200</v>
      </c>
      <c r="G3584">
        <v>45.8</v>
      </c>
      <c r="H35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84" t="str">
        <f>IFERROR(INDEX(Raw_orders!G:G, MATCH(shipments[[#This Row],[order_id]],Raw_orders!A:A, 0)), "Unknown")</f>
        <v>Nordics</v>
      </c>
      <c r="J3584" t="str">
        <f>PROPER(shipments[[#This Row],[delivery_status]])</f>
        <v>Delivered</v>
      </c>
      <c r="K3584" t="s">
        <v>6922</v>
      </c>
    </row>
    <row r="3585" spans="1:11">
      <c r="A3585" t="s">
        <v>10521</v>
      </c>
      <c r="B3585" t="s">
        <v>4267</v>
      </c>
      <c r="C3585" t="s">
        <v>6928</v>
      </c>
      <c r="D3585" s="1">
        <v>45494</v>
      </c>
      <c r="E3585" s="1">
        <v>45497</v>
      </c>
      <c r="F3585" s="1">
        <v>45508</v>
      </c>
      <c r="G3585">
        <v>55.57</v>
      </c>
      <c r="H35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85" t="str">
        <f>IFERROR(INDEX(Raw_orders!G:G, MATCH(shipments[[#This Row],[order_id]],Raw_orders!A:A, 0)), "Unknown")</f>
        <v>Nordics</v>
      </c>
      <c r="J3585" t="str">
        <f>PROPER(shipments[[#This Row],[delivery_status]])</f>
        <v>Delivered</v>
      </c>
      <c r="K3585" t="s">
        <v>6929</v>
      </c>
    </row>
    <row r="3586" spans="1:11">
      <c r="A3586" t="s">
        <v>10522</v>
      </c>
      <c r="B3586" t="s">
        <v>4268</v>
      </c>
      <c r="C3586" t="s">
        <v>6921</v>
      </c>
      <c r="D3586" s="1">
        <v>45323</v>
      </c>
      <c r="E3586" s="1">
        <v>45333</v>
      </c>
      <c r="F3586" s="1">
        <v>45332</v>
      </c>
      <c r="G3586">
        <v>63.88</v>
      </c>
      <c r="H35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586" t="str">
        <f>IFERROR(INDEX(Raw_orders!G:G, MATCH(shipments[[#This Row],[order_id]],Raw_orders!A:A, 0)), "Unknown")</f>
        <v>Baltics</v>
      </c>
      <c r="J3586" t="str">
        <f>PROPER(shipments[[#This Row],[delivery_status]])</f>
        <v>Delivered</v>
      </c>
      <c r="K3586" t="s">
        <v>6922</v>
      </c>
    </row>
    <row r="3587" spans="1:11">
      <c r="A3587" t="s">
        <v>10523</v>
      </c>
      <c r="B3587" t="s">
        <v>4269</v>
      </c>
      <c r="C3587" t="s">
        <v>6928</v>
      </c>
      <c r="D3587" s="1">
        <v>45170</v>
      </c>
      <c r="E3587" s="1">
        <v>45180</v>
      </c>
      <c r="F3587" s="1"/>
      <c r="G3587">
        <v>4.6500000000000004</v>
      </c>
      <c r="H35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587" t="str">
        <f>IFERROR(INDEX(Raw_orders!G:G, MATCH(shipments[[#This Row],[order_id]],Raw_orders!A:A, 0)), "Unknown")</f>
        <v>Nordics</v>
      </c>
      <c r="J3587" t="str">
        <f>PROPER(shipments[[#This Row],[delivery_status]])</f>
        <v>Cancelled</v>
      </c>
      <c r="K3587" t="s">
        <v>6963</v>
      </c>
    </row>
    <row r="3588" spans="1:11">
      <c r="A3588" t="s">
        <v>10524</v>
      </c>
      <c r="B3588" t="s">
        <v>4270</v>
      </c>
      <c r="C3588" t="s">
        <v>6940</v>
      </c>
      <c r="D3588" s="1">
        <v>45288</v>
      </c>
      <c r="E3588" s="1">
        <v>45291</v>
      </c>
      <c r="F3588" s="1">
        <v>45296</v>
      </c>
      <c r="G3588">
        <v>18.95</v>
      </c>
      <c r="H35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88" t="str">
        <f>IFERROR(INDEX(Raw_orders!G:G, MATCH(shipments[[#This Row],[order_id]],Raw_orders!A:A, 0)), "Unknown")</f>
        <v>Nordics</v>
      </c>
      <c r="J3588" t="str">
        <f>PROPER(shipments[[#This Row],[delivery_status]])</f>
        <v>Delivered</v>
      </c>
      <c r="K3588" t="s">
        <v>6929</v>
      </c>
    </row>
    <row r="3589" spans="1:11">
      <c r="A3589" t="s">
        <v>10525</v>
      </c>
      <c r="B3589" t="s">
        <v>4271</v>
      </c>
      <c r="C3589" t="s">
        <v>6938</v>
      </c>
      <c r="D3589" s="1">
        <v>45022</v>
      </c>
      <c r="E3589" s="1">
        <v>45032</v>
      </c>
      <c r="F3589" s="1">
        <v>45037</v>
      </c>
      <c r="G3589">
        <v>16.739999999999998</v>
      </c>
      <c r="H35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89" t="str">
        <f>IFERROR(INDEX(Raw_orders!G:G, MATCH(shipments[[#This Row],[order_id]],Raw_orders!A:A, 0)), "Unknown")</f>
        <v>Central Europe</v>
      </c>
      <c r="J3589" t="str">
        <f>PROPER(shipments[[#This Row],[delivery_status]])</f>
        <v>Delivered</v>
      </c>
      <c r="K3589" t="s">
        <v>6926</v>
      </c>
    </row>
    <row r="3590" spans="1:11">
      <c r="A3590" t="s">
        <v>10526</v>
      </c>
      <c r="B3590" t="s">
        <v>4272</v>
      </c>
      <c r="C3590" t="s">
        <v>6925</v>
      </c>
      <c r="D3590" s="1">
        <v>45113</v>
      </c>
      <c r="E3590" s="1">
        <v>45123</v>
      </c>
      <c r="F3590" s="1">
        <v>45124</v>
      </c>
      <c r="G3590">
        <v>42.84</v>
      </c>
      <c r="H35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90" t="str">
        <f>IFERROR(INDEX(Raw_orders!G:G, MATCH(shipments[[#This Row],[order_id]],Raw_orders!A:A, 0)), "Unknown")</f>
        <v>Baltics</v>
      </c>
      <c r="J3590" t="str">
        <f>PROPER(shipments[[#This Row],[delivery_status]])</f>
        <v>Delivered</v>
      </c>
      <c r="K3590" t="s">
        <v>6926</v>
      </c>
    </row>
    <row r="3591" spans="1:11">
      <c r="A3591" t="s">
        <v>10527</v>
      </c>
      <c r="B3591" t="s">
        <v>4273</v>
      </c>
      <c r="C3591" t="s">
        <v>6938</v>
      </c>
      <c r="D3591" s="1">
        <v>45584</v>
      </c>
      <c r="E3591" s="1">
        <v>45594</v>
      </c>
      <c r="F3591" s="1">
        <v>45599</v>
      </c>
      <c r="G3591">
        <v>50.44</v>
      </c>
      <c r="H35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91" t="str">
        <f>IFERROR(INDEX(Raw_orders!G:G, MATCH(shipments[[#This Row],[order_id]],Raw_orders!A:A, 0)), "Unknown")</f>
        <v>Baltics</v>
      </c>
      <c r="J3591" t="str">
        <f>PROPER(shipments[[#This Row],[delivery_status]])</f>
        <v>Delivered</v>
      </c>
      <c r="K3591" t="s">
        <v>6922</v>
      </c>
    </row>
    <row r="3592" spans="1:11">
      <c r="A3592" t="s">
        <v>10528</v>
      </c>
      <c r="B3592" t="s">
        <v>4274</v>
      </c>
      <c r="C3592" t="s">
        <v>6925</v>
      </c>
      <c r="D3592" s="1">
        <v>45380</v>
      </c>
      <c r="E3592" s="1">
        <v>45390</v>
      </c>
      <c r="F3592" s="1">
        <v>45390</v>
      </c>
      <c r="G3592">
        <v>8.0299999999999994</v>
      </c>
      <c r="H35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592" t="str">
        <f>IFERROR(INDEX(Raw_orders!G:G, MATCH(shipments[[#This Row],[order_id]],Raw_orders!A:A, 0)), "Unknown")</f>
        <v>Central Europe</v>
      </c>
      <c r="J3592" t="str">
        <f>PROPER(shipments[[#This Row],[delivery_status]])</f>
        <v>Delivered</v>
      </c>
      <c r="K3592" t="s">
        <v>6922</v>
      </c>
    </row>
    <row r="3593" spans="1:11">
      <c r="A3593" t="s">
        <v>10529</v>
      </c>
      <c r="B3593" t="s">
        <v>4275</v>
      </c>
      <c r="C3593" t="s">
        <v>6921</v>
      </c>
      <c r="D3593" s="1">
        <v>45509</v>
      </c>
      <c r="E3593" s="1">
        <v>45516</v>
      </c>
      <c r="F3593" s="1"/>
      <c r="G3593">
        <v>21.31</v>
      </c>
      <c r="H35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593" t="str">
        <f>IFERROR(INDEX(Raw_orders!G:G, MATCH(shipments[[#This Row],[order_id]],Raw_orders!A:A, 0)), "Unknown")</f>
        <v>Central Europe</v>
      </c>
      <c r="J3593" t="str">
        <f>PROPER(shipments[[#This Row],[delivery_status]])</f>
        <v>In Transit</v>
      </c>
      <c r="K3593" t="s">
        <v>6977</v>
      </c>
    </row>
    <row r="3594" spans="1:11">
      <c r="A3594" t="s">
        <v>10530</v>
      </c>
      <c r="B3594" t="s">
        <v>4276</v>
      </c>
      <c r="C3594" t="s">
        <v>6921</v>
      </c>
      <c r="D3594" s="1">
        <v>45400</v>
      </c>
      <c r="E3594" s="1">
        <v>45407</v>
      </c>
      <c r="F3594" s="1">
        <v>45417</v>
      </c>
      <c r="G3594">
        <v>30.85</v>
      </c>
      <c r="H35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94" t="str">
        <f>IFERROR(INDEX(Raw_orders!G:G, MATCH(shipments[[#This Row],[order_id]],Raw_orders!A:A, 0)), "Unknown")</f>
        <v>Baltics</v>
      </c>
      <c r="J3594" t="str">
        <f>PROPER(shipments[[#This Row],[delivery_status]])</f>
        <v>Delivered</v>
      </c>
      <c r="K3594" t="s">
        <v>6926</v>
      </c>
    </row>
    <row r="3595" spans="1:11">
      <c r="A3595" t="s">
        <v>10531</v>
      </c>
      <c r="B3595" t="s">
        <v>4277</v>
      </c>
      <c r="C3595" t="s">
        <v>6938</v>
      </c>
      <c r="D3595" s="1">
        <v>45423</v>
      </c>
      <c r="E3595" s="1">
        <v>45430</v>
      </c>
      <c r="F3595" s="1">
        <v>45430</v>
      </c>
      <c r="G3595">
        <v>43.27</v>
      </c>
      <c r="H35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595" t="str">
        <f>IFERROR(INDEX(Raw_orders!G:G, MATCH(shipments[[#This Row],[order_id]],Raw_orders!A:A, 0)), "Unknown")</f>
        <v>Baltics</v>
      </c>
      <c r="J3595" t="str">
        <f>PROPER(shipments[[#This Row],[delivery_status]])</f>
        <v>Delivered</v>
      </c>
      <c r="K3595" t="s">
        <v>6922</v>
      </c>
    </row>
    <row r="3596" spans="1:11">
      <c r="A3596" t="s">
        <v>10532</v>
      </c>
      <c r="B3596" t="s">
        <v>4278</v>
      </c>
      <c r="C3596" t="s">
        <v>6928</v>
      </c>
      <c r="D3596" s="1">
        <v>45045</v>
      </c>
      <c r="E3596" s="1">
        <v>45048</v>
      </c>
      <c r="F3596" s="1">
        <v>45050</v>
      </c>
      <c r="G3596">
        <v>12.79</v>
      </c>
      <c r="H35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96" t="str">
        <f>IFERROR(INDEX(Raw_orders!G:G, MATCH(shipments[[#This Row],[order_id]],Raw_orders!A:A, 0)), "Unknown")</f>
        <v>Nordics</v>
      </c>
      <c r="J3596" t="str">
        <f>PROPER(shipments[[#This Row],[delivery_status]])</f>
        <v>Delivered</v>
      </c>
      <c r="K3596" t="s">
        <v>6922</v>
      </c>
    </row>
    <row r="3597" spans="1:11">
      <c r="A3597" t="s">
        <v>10533</v>
      </c>
      <c r="B3597" t="s">
        <v>4279</v>
      </c>
      <c r="C3597" t="s">
        <v>6940</v>
      </c>
      <c r="D3597" s="1">
        <v>45378</v>
      </c>
      <c r="E3597" s="1">
        <v>45385</v>
      </c>
      <c r="F3597" s="1">
        <v>45393</v>
      </c>
      <c r="G3597">
        <v>20.46</v>
      </c>
      <c r="H35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97" t="str">
        <f>IFERROR(INDEX(Raw_orders!G:G, MATCH(shipments[[#This Row],[order_id]],Raw_orders!A:A, 0)), "Unknown")</f>
        <v>Nordics</v>
      </c>
      <c r="J3597" t="str">
        <f>PROPER(shipments[[#This Row],[delivery_status]])</f>
        <v>Delivered</v>
      </c>
      <c r="K3597" t="s">
        <v>6929</v>
      </c>
    </row>
    <row r="3598" spans="1:11">
      <c r="A3598" t="s">
        <v>10534</v>
      </c>
      <c r="B3598" t="s">
        <v>4280</v>
      </c>
      <c r="C3598" t="s">
        <v>6921</v>
      </c>
      <c r="D3598" s="1">
        <v>45165</v>
      </c>
      <c r="E3598" s="1">
        <v>45170</v>
      </c>
      <c r="F3598" s="1">
        <v>45184</v>
      </c>
      <c r="G3598">
        <v>7.36</v>
      </c>
      <c r="H35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98" t="str">
        <f>IFERROR(INDEX(Raw_orders!G:G, MATCH(shipments[[#This Row],[order_id]],Raw_orders!A:A, 0)), "Unknown")</f>
        <v>Nordics</v>
      </c>
      <c r="J3598" t="str">
        <f>PROPER(shipments[[#This Row],[delivery_status]])</f>
        <v>Delivered</v>
      </c>
      <c r="K3598" t="s">
        <v>6926</v>
      </c>
    </row>
    <row r="3599" spans="1:11">
      <c r="A3599" t="s">
        <v>10535</v>
      </c>
      <c r="B3599" t="s">
        <v>4281</v>
      </c>
      <c r="C3599" t="s">
        <v>6925</v>
      </c>
      <c r="D3599" s="1">
        <v>45063</v>
      </c>
      <c r="E3599" s="1">
        <v>45066</v>
      </c>
      <c r="F3599" s="1">
        <v>45072</v>
      </c>
      <c r="G3599">
        <v>53.23</v>
      </c>
      <c r="H35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599" t="str">
        <f>IFERROR(INDEX(Raw_orders!G:G, MATCH(shipments[[#This Row],[order_id]],Raw_orders!A:A, 0)), "Unknown")</f>
        <v>Central Europe</v>
      </c>
      <c r="J3599" t="str">
        <f>PROPER(shipments[[#This Row],[delivery_status]])</f>
        <v>Delivered</v>
      </c>
      <c r="K3599" t="s">
        <v>6929</v>
      </c>
    </row>
    <row r="3600" spans="1:11">
      <c r="A3600" t="s">
        <v>10536</v>
      </c>
      <c r="B3600" t="s">
        <v>4282</v>
      </c>
      <c r="C3600" t="s">
        <v>6956</v>
      </c>
      <c r="D3600" s="1">
        <v>44950</v>
      </c>
      <c r="E3600" s="1">
        <v>44952</v>
      </c>
      <c r="F3600" s="1">
        <v>44952</v>
      </c>
      <c r="G3600">
        <v>20.59</v>
      </c>
      <c r="H36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00" t="str">
        <f>IFERROR(INDEX(Raw_orders!G:G, MATCH(shipments[[#This Row],[order_id]],Raw_orders!A:A, 0)), "Unknown")</f>
        <v>Baltics</v>
      </c>
      <c r="J3600" t="str">
        <f>PROPER(shipments[[#This Row],[delivery_status]])</f>
        <v>Delivered</v>
      </c>
      <c r="K3600" t="s">
        <v>6926</v>
      </c>
    </row>
    <row r="3601" spans="1:11">
      <c r="A3601" t="s">
        <v>10537</v>
      </c>
      <c r="B3601" t="s">
        <v>4283</v>
      </c>
      <c r="C3601" t="s">
        <v>6921</v>
      </c>
      <c r="D3601" s="1">
        <v>45479</v>
      </c>
      <c r="E3601" s="1">
        <v>45484</v>
      </c>
      <c r="F3601" s="1">
        <v>45486</v>
      </c>
      <c r="G3601">
        <v>58</v>
      </c>
      <c r="H36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01" t="str">
        <f>IFERROR(INDEX(Raw_orders!G:G, MATCH(shipments[[#This Row],[order_id]],Raw_orders!A:A, 0)), "Unknown")</f>
        <v>Nordics</v>
      </c>
      <c r="J3601" t="str">
        <f>PROPER(shipments[[#This Row],[delivery_status]])</f>
        <v>Delivered</v>
      </c>
      <c r="K3601" t="s">
        <v>6929</v>
      </c>
    </row>
    <row r="3602" spans="1:11">
      <c r="A3602" t="s">
        <v>10538</v>
      </c>
      <c r="B3602" t="s">
        <v>4284</v>
      </c>
      <c r="C3602" t="s">
        <v>6938</v>
      </c>
      <c r="D3602" s="1">
        <v>45058</v>
      </c>
      <c r="E3602" s="1">
        <v>45061</v>
      </c>
      <c r="F3602" s="1">
        <v>45061</v>
      </c>
      <c r="G3602">
        <v>60.86</v>
      </c>
      <c r="H36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02" t="str">
        <f>IFERROR(INDEX(Raw_orders!G:G, MATCH(shipments[[#This Row],[order_id]],Raw_orders!A:A, 0)), "Unknown")</f>
        <v>Nordics</v>
      </c>
      <c r="J3602" t="str">
        <f>PROPER(shipments[[#This Row],[delivery_status]])</f>
        <v>Delivered</v>
      </c>
      <c r="K3602" t="s">
        <v>6929</v>
      </c>
    </row>
    <row r="3603" spans="1:11">
      <c r="A3603" t="s">
        <v>10539</v>
      </c>
      <c r="B3603" t="s">
        <v>4285</v>
      </c>
      <c r="C3603" t="s">
        <v>6931</v>
      </c>
      <c r="D3603" s="1">
        <v>45480</v>
      </c>
      <c r="E3603" s="1">
        <v>45485</v>
      </c>
      <c r="F3603" s="1">
        <v>45485</v>
      </c>
      <c r="G3603">
        <v>54.66</v>
      </c>
      <c r="H36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03" t="str">
        <f>IFERROR(INDEX(Raw_orders!G:G, MATCH(shipments[[#This Row],[order_id]],Raw_orders!A:A, 0)), "Unknown")</f>
        <v>Baltics</v>
      </c>
      <c r="J3603" t="str">
        <f>PROPER(shipments[[#This Row],[delivery_status]])</f>
        <v>Delivered</v>
      </c>
      <c r="K3603" t="s">
        <v>6929</v>
      </c>
    </row>
    <row r="3604" spans="1:11">
      <c r="A3604" t="s">
        <v>10540</v>
      </c>
      <c r="B3604" t="s">
        <v>4286</v>
      </c>
      <c r="C3604" t="s">
        <v>6928</v>
      </c>
      <c r="D3604" s="1">
        <v>45338</v>
      </c>
      <c r="E3604" s="1">
        <v>45340</v>
      </c>
      <c r="F3604" s="1">
        <v>45346</v>
      </c>
      <c r="G3604">
        <v>22.33</v>
      </c>
      <c r="H36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04" t="str">
        <f>IFERROR(INDEX(Raw_orders!G:G, MATCH(shipments[[#This Row],[order_id]],Raw_orders!A:A, 0)), "Unknown")</f>
        <v>Central Europe</v>
      </c>
      <c r="J3604" t="str">
        <f>PROPER(shipments[[#This Row],[delivery_status]])</f>
        <v>Delivered</v>
      </c>
      <c r="K3604" t="s">
        <v>6922</v>
      </c>
    </row>
    <row r="3605" spans="1:11">
      <c r="A3605" t="s">
        <v>10541</v>
      </c>
      <c r="B3605" t="s">
        <v>4287</v>
      </c>
      <c r="C3605" t="s">
        <v>6940</v>
      </c>
      <c r="D3605" s="1">
        <v>45254</v>
      </c>
      <c r="E3605" s="1">
        <v>45256</v>
      </c>
      <c r="F3605" s="1">
        <v>45257</v>
      </c>
      <c r="G3605">
        <v>30.69</v>
      </c>
      <c r="H36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05" t="str">
        <f>IFERROR(INDEX(Raw_orders!G:G, MATCH(shipments[[#This Row],[order_id]],Raw_orders!A:A, 0)), "Unknown")</f>
        <v>Baltics</v>
      </c>
      <c r="J3605" t="str">
        <f>PROPER(shipments[[#This Row],[delivery_status]])</f>
        <v>Delivered</v>
      </c>
      <c r="K3605" t="s">
        <v>6922</v>
      </c>
    </row>
    <row r="3606" spans="1:11">
      <c r="A3606" t="s">
        <v>10542</v>
      </c>
      <c r="B3606" t="s">
        <v>4288</v>
      </c>
      <c r="C3606" t="s">
        <v>6940</v>
      </c>
      <c r="D3606" s="1">
        <v>45117</v>
      </c>
      <c r="E3606" s="1">
        <v>45119</v>
      </c>
      <c r="F3606" s="1">
        <v>45130</v>
      </c>
      <c r="G3606">
        <v>25.1</v>
      </c>
      <c r="H36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06" t="str">
        <f>IFERROR(INDEX(Raw_orders!G:G, MATCH(shipments[[#This Row],[order_id]],Raw_orders!A:A, 0)), "Unknown")</f>
        <v>Central Europe</v>
      </c>
      <c r="J3606" t="str">
        <f>PROPER(shipments[[#This Row],[delivery_status]])</f>
        <v>Delivered</v>
      </c>
      <c r="K3606" t="s">
        <v>6922</v>
      </c>
    </row>
    <row r="3607" spans="1:11">
      <c r="A3607" t="s">
        <v>10543</v>
      </c>
      <c r="B3607" t="s">
        <v>4289</v>
      </c>
      <c r="C3607" t="s">
        <v>6938</v>
      </c>
      <c r="D3607" s="1">
        <v>45245</v>
      </c>
      <c r="E3607" s="1">
        <v>45248</v>
      </c>
      <c r="F3607" s="1">
        <v>45247</v>
      </c>
      <c r="G3607">
        <v>34.46</v>
      </c>
      <c r="H36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07" t="str">
        <f>IFERROR(INDEX(Raw_orders!G:G, MATCH(shipments[[#This Row],[order_id]],Raw_orders!A:A, 0)), "Unknown")</f>
        <v>Nordics</v>
      </c>
      <c r="J3607" t="str">
        <f>PROPER(shipments[[#This Row],[delivery_status]])</f>
        <v>Delivered</v>
      </c>
      <c r="K3607" t="s">
        <v>6929</v>
      </c>
    </row>
    <row r="3608" spans="1:11">
      <c r="A3608" t="s">
        <v>10544</v>
      </c>
      <c r="B3608" t="s">
        <v>4290</v>
      </c>
      <c r="C3608" t="s">
        <v>6938</v>
      </c>
      <c r="D3608" s="1">
        <v>44959</v>
      </c>
      <c r="E3608" s="1">
        <v>44961</v>
      </c>
      <c r="F3608" s="1">
        <v>44963</v>
      </c>
      <c r="G3608">
        <v>29.32</v>
      </c>
      <c r="H36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08" t="str">
        <f>IFERROR(INDEX(Raw_orders!G:G, MATCH(shipments[[#This Row],[order_id]],Raw_orders!A:A, 0)), "Unknown")</f>
        <v>Nordics</v>
      </c>
      <c r="J3608" t="str">
        <f>PROPER(shipments[[#This Row],[delivery_status]])</f>
        <v>Delivered</v>
      </c>
      <c r="K3608" t="s">
        <v>6926</v>
      </c>
    </row>
    <row r="3609" spans="1:11">
      <c r="A3609" t="s">
        <v>10545</v>
      </c>
      <c r="B3609" t="s">
        <v>4291</v>
      </c>
      <c r="C3609" t="s">
        <v>6940</v>
      </c>
      <c r="D3609" s="1">
        <v>45119</v>
      </c>
      <c r="E3609" s="1">
        <v>45126</v>
      </c>
      <c r="F3609" s="1">
        <v>45128</v>
      </c>
      <c r="G3609">
        <v>6.46</v>
      </c>
      <c r="H36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09" t="str">
        <f>IFERROR(INDEX(Raw_orders!G:G, MATCH(shipments[[#This Row],[order_id]],Raw_orders!A:A, 0)), "Unknown")</f>
        <v>Nordics</v>
      </c>
      <c r="J3609" t="str">
        <f>PROPER(shipments[[#This Row],[delivery_status]])</f>
        <v>Delivered</v>
      </c>
      <c r="K3609" t="s">
        <v>6929</v>
      </c>
    </row>
    <row r="3610" spans="1:11">
      <c r="A3610" t="s">
        <v>10546</v>
      </c>
      <c r="B3610" t="s">
        <v>4292</v>
      </c>
      <c r="C3610" t="s">
        <v>6938</v>
      </c>
      <c r="D3610" s="1">
        <v>45133</v>
      </c>
      <c r="E3610" s="1">
        <v>45140</v>
      </c>
      <c r="F3610" s="1">
        <v>45139</v>
      </c>
      <c r="G3610">
        <v>14.69</v>
      </c>
      <c r="H36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10" t="str">
        <f>IFERROR(INDEX(Raw_orders!G:G, MATCH(shipments[[#This Row],[order_id]],Raw_orders!A:A, 0)), "Unknown")</f>
        <v>Nordics</v>
      </c>
      <c r="J3610" t="str">
        <f>PROPER(shipments[[#This Row],[delivery_status]])</f>
        <v>Delivered</v>
      </c>
      <c r="K3610" t="s">
        <v>6926</v>
      </c>
    </row>
    <row r="3611" spans="1:11">
      <c r="A3611" t="s">
        <v>10547</v>
      </c>
      <c r="B3611" t="s">
        <v>4293</v>
      </c>
      <c r="C3611" t="s">
        <v>6921</v>
      </c>
      <c r="D3611" s="1">
        <v>45207</v>
      </c>
      <c r="E3611" s="1">
        <v>45209</v>
      </c>
      <c r="F3611" s="1">
        <v>45211</v>
      </c>
      <c r="G3611">
        <v>47.48</v>
      </c>
      <c r="H36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11" t="str">
        <f>IFERROR(INDEX(Raw_orders!G:G, MATCH(shipments[[#This Row],[order_id]],Raw_orders!A:A, 0)), "Unknown")</f>
        <v>Nordics</v>
      </c>
      <c r="J3611" t="str">
        <f>PROPER(shipments[[#This Row],[delivery_status]])</f>
        <v>Delivered</v>
      </c>
      <c r="K3611" t="s">
        <v>6922</v>
      </c>
    </row>
    <row r="3612" spans="1:11">
      <c r="A3612" t="s">
        <v>10548</v>
      </c>
      <c r="B3612" t="s">
        <v>4294</v>
      </c>
      <c r="C3612" t="s">
        <v>6956</v>
      </c>
      <c r="D3612" s="1">
        <v>45081</v>
      </c>
      <c r="E3612" s="1">
        <v>45084</v>
      </c>
      <c r="F3612" s="1">
        <v>45084</v>
      </c>
      <c r="G3612">
        <v>24.37</v>
      </c>
      <c r="H36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12" t="str">
        <f>IFERROR(INDEX(Raw_orders!G:G, MATCH(shipments[[#This Row],[order_id]],Raw_orders!A:A, 0)), "Unknown")</f>
        <v>Central Europe</v>
      </c>
      <c r="J3612" t="str">
        <f>PROPER(shipments[[#This Row],[delivery_status]])</f>
        <v>Delivered</v>
      </c>
      <c r="K3612" t="s">
        <v>6922</v>
      </c>
    </row>
    <row r="3613" spans="1:11">
      <c r="A3613" t="s">
        <v>10549</v>
      </c>
      <c r="B3613" t="s">
        <v>4295</v>
      </c>
      <c r="C3613" t="s">
        <v>6928</v>
      </c>
      <c r="D3613" s="1">
        <v>45437</v>
      </c>
      <c r="E3613" s="1">
        <v>45439</v>
      </c>
      <c r="F3613" s="1">
        <v>45444</v>
      </c>
      <c r="G3613">
        <v>7.01</v>
      </c>
      <c r="H36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13" t="str">
        <f>IFERROR(INDEX(Raw_orders!G:G, MATCH(shipments[[#This Row],[order_id]],Raw_orders!A:A, 0)), "Unknown")</f>
        <v>Nordics</v>
      </c>
      <c r="J3613" t="str">
        <f>PROPER(shipments[[#This Row],[delivery_status]])</f>
        <v>Delivered</v>
      </c>
      <c r="K3613" t="s">
        <v>6922</v>
      </c>
    </row>
    <row r="3614" spans="1:11">
      <c r="A3614" t="s">
        <v>10550</v>
      </c>
      <c r="B3614" t="s">
        <v>4296</v>
      </c>
      <c r="C3614" t="s">
        <v>6940</v>
      </c>
      <c r="D3614" s="1">
        <v>45363</v>
      </c>
      <c r="E3614" s="1">
        <v>45368</v>
      </c>
      <c r="F3614" s="1"/>
      <c r="G3614">
        <v>40.97</v>
      </c>
      <c r="H36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614" t="str">
        <f>IFERROR(INDEX(Raw_orders!G:G, MATCH(shipments[[#This Row],[order_id]],Raw_orders!A:A, 0)), "Unknown")</f>
        <v>Baltics</v>
      </c>
      <c r="J3614" t="str">
        <f>PROPER(shipments[[#This Row],[delivery_status]])</f>
        <v>In Transit</v>
      </c>
      <c r="K3614" t="s">
        <v>6958</v>
      </c>
    </row>
    <row r="3615" spans="1:11">
      <c r="A3615" t="s">
        <v>10551</v>
      </c>
      <c r="B3615" t="s">
        <v>4297</v>
      </c>
      <c r="C3615" t="s">
        <v>6935</v>
      </c>
      <c r="D3615" s="1">
        <v>45519</v>
      </c>
      <c r="E3615" s="1">
        <v>45522</v>
      </c>
      <c r="F3615" s="1">
        <v>45522</v>
      </c>
      <c r="G3615">
        <v>49.25</v>
      </c>
      <c r="H36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15" t="str">
        <f>IFERROR(INDEX(Raw_orders!G:G, MATCH(shipments[[#This Row],[order_id]],Raw_orders!A:A, 0)), "Unknown")</f>
        <v>Nordics</v>
      </c>
      <c r="J3615" t="str">
        <f>PROPER(shipments[[#This Row],[delivery_status]])</f>
        <v>Delivered</v>
      </c>
      <c r="K3615" t="s">
        <v>6929</v>
      </c>
    </row>
    <row r="3616" spans="1:11">
      <c r="A3616" t="s">
        <v>10552</v>
      </c>
      <c r="B3616" t="s">
        <v>4298</v>
      </c>
      <c r="C3616" t="s">
        <v>6931</v>
      </c>
      <c r="D3616" s="1">
        <v>45537</v>
      </c>
      <c r="E3616" s="1">
        <v>45544</v>
      </c>
      <c r="F3616" s="1">
        <v>45551</v>
      </c>
      <c r="G3616">
        <v>13.1</v>
      </c>
      <c r="H36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16" t="str">
        <f>IFERROR(INDEX(Raw_orders!G:G, MATCH(shipments[[#This Row],[order_id]],Raw_orders!A:A, 0)), "Unknown")</f>
        <v>Nordics</v>
      </c>
      <c r="J3616" t="str">
        <f>PROPER(shipments[[#This Row],[delivery_status]])</f>
        <v>Delivered</v>
      </c>
      <c r="K3616" t="s">
        <v>6926</v>
      </c>
    </row>
    <row r="3617" spans="1:11">
      <c r="A3617" t="s">
        <v>10553</v>
      </c>
      <c r="B3617" t="s">
        <v>4299</v>
      </c>
      <c r="C3617" t="s">
        <v>6956</v>
      </c>
      <c r="D3617" s="1">
        <v>45007</v>
      </c>
      <c r="E3617" s="1">
        <v>45010</v>
      </c>
      <c r="F3617" s="1">
        <v>45018</v>
      </c>
      <c r="G3617">
        <v>38.630000000000003</v>
      </c>
      <c r="H36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17" t="str">
        <f>IFERROR(INDEX(Raw_orders!G:G, MATCH(shipments[[#This Row],[order_id]],Raw_orders!A:A, 0)), "Unknown")</f>
        <v>Unknown</v>
      </c>
      <c r="J3617" t="str">
        <f>PROPER(shipments[[#This Row],[delivery_status]])</f>
        <v>Delivered</v>
      </c>
      <c r="K3617" t="s">
        <v>6926</v>
      </c>
    </row>
    <row r="3618" spans="1:11">
      <c r="A3618" t="s">
        <v>10554</v>
      </c>
      <c r="B3618" t="s">
        <v>4300</v>
      </c>
      <c r="C3618" t="s">
        <v>6935</v>
      </c>
      <c r="D3618" s="1">
        <v>45493</v>
      </c>
      <c r="E3618" s="1">
        <v>45495</v>
      </c>
      <c r="F3618" s="1">
        <v>45498</v>
      </c>
      <c r="G3618">
        <v>63.95</v>
      </c>
      <c r="H36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18" t="str">
        <f>IFERROR(INDEX(Raw_orders!G:G, MATCH(shipments[[#This Row],[order_id]],Raw_orders!A:A, 0)), "Unknown")</f>
        <v>Nordics</v>
      </c>
      <c r="J3618" t="str">
        <f>PROPER(shipments[[#This Row],[delivery_status]])</f>
        <v>Delivered</v>
      </c>
      <c r="K3618" t="s">
        <v>6929</v>
      </c>
    </row>
    <row r="3619" spans="1:11">
      <c r="A3619" t="s">
        <v>10555</v>
      </c>
      <c r="B3619" t="s">
        <v>4301</v>
      </c>
      <c r="C3619" t="s">
        <v>6940</v>
      </c>
      <c r="D3619" s="1">
        <v>45459</v>
      </c>
      <c r="E3619" s="1">
        <v>45461</v>
      </c>
      <c r="F3619" s="1">
        <v>45464</v>
      </c>
      <c r="G3619">
        <v>55.56</v>
      </c>
      <c r="H36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19" t="str">
        <f>IFERROR(INDEX(Raw_orders!G:G, MATCH(shipments[[#This Row],[order_id]],Raw_orders!A:A, 0)), "Unknown")</f>
        <v>Baltics</v>
      </c>
      <c r="J3619" t="str">
        <f>PROPER(shipments[[#This Row],[delivery_status]])</f>
        <v>Delivered</v>
      </c>
      <c r="K3619" t="s">
        <v>6929</v>
      </c>
    </row>
    <row r="3620" spans="1:11">
      <c r="A3620" t="s">
        <v>10556</v>
      </c>
      <c r="B3620" t="s">
        <v>4302</v>
      </c>
      <c r="C3620" t="s">
        <v>6938</v>
      </c>
      <c r="D3620" s="1">
        <v>44985</v>
      </c>
      <c r="E3620" s="1">
        <v>44987</v>
      </c>
      <c r="F3620" s="1">
        <v>44996</v>
      </c>
      <c r="G3620">
        <v>23.22</v>
      </c>
      <c r="H36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20" t="str">
        <f>IFERROR(INDEX(Raw_orders!G:G, MATCH(shipments[[#This Row],[order_id]],Raw_orders!A:A, 0)), "Unknown")</f>
        <v>Nordics</v>
      </c>
      <c r="J3620" t="str">
        <f>PROPER(shipments[[#This Row],[delivery_status]])</f>
        <v>Delivered</v>
      </c>
      <c r="K3620" t="s">
        <v>6922</v>
      </c>
    </row>
    <row r="3621" spans="1:11">
      <c r="A3621" t="s">
        <v>10557</v>
      </c>
      <c r="B3621" t="s">
        <v>4303</v>
      </c>
      <c r="C3621" t="s">
        <v>6938</v>
      </c>
      <c r="D3621" s="1">
        <v>45207</v>
      </c>
      <c r="E3621" s="1">
        <v>45212</v>
      </c>
      <c r="F3621" s="1">
        <v>45225</v>
      </c>
      <c r="G3621">
        <v>34.15</v>
      </c>
      <c r="H36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21" t="str">
        <f>IFERROR(INDEX(Raw_orders!G:G, MATCH(shipments[[#This Row],[order_id]],Raw_orders!A:A, 0)), "Unknown")</f>
        <v>Baltics</v>
      </c>
      <c r="J3621" t="str">
        <f>PROPER(shipments[[#This Row],[delivery_status]])</f>
        <v>Delivered</v>
      </c>
      <c r="K3621" t="s">
        <v>6929</v>
      </c>
    </row>
    <row r="3622" spans="1:11">
      <c r="A3622" t="s">
        <v>10558</v>
      </c>
      <c r="B3622" t="s">
        <v>4304</v>
      </c>
      <c r="C3622" t="s">
        <v>6940</v>
      </c>
      <c r="D3622" s="1">
        <v>45542</v>
      </c>
      <c r="E3622" s="1">
        <v>45547</v>
      </c>
      <c r="F3622" s="1">
        <v>45552</v>
      </c>
      <c r="G3622">
        <v>13.13</v>
      </c>
      <c r="H36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22" t="str">
        <f>IFERROR(INDEX(Raw_orders!G:G, MATCH(shipments[[#This Row],[order_id]],Raw_orders!A:A, 0)), "Unknown")</f>
        <v>Central Europe</v>
      </c>
      <c r="J3622" t="str">
        <f>PROPER(shipments[[#This Row],[delivery_status]])</f>
        <v>Delivered</v>
      </c>
      <c r="K3622" t="s">
        <v>6926</v>
      </c>
    </row>
    <row r="3623" spans="1:11">
      <c r="A3623" t="s">
        <v>10559</v>
      </c>
      <c r="B3623" t="s">
        <v>4305</v>
      </c>
      <c r="C3623" t="s">
        <v>6940</v>
      </c>
      <c r="D3623" s="1">
        <v>44962</v>
      </c>
      <c r="E3623" s="1">
        <v>44969</v>
      </c>
      <c r="F3623" s="1">
        <v>44977</v>
      </c>
      <c r="G3623">
        <v>20.14</v>
      </c>
      <c r="H36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23" t="str">
        <f>IFERROR(INDEX(Raw_orders!G:G, MATCH(shipments[[#This Row],[order_id]],Raw_orders!A:A, 0)), "Unknown")</f>
        <v>Nordics</v>
      </c>
      <c r="J3623" t="str">
        <f>PROPER(shipments[[#This Row],[delivery_status]])</f>
        <v>Delivered</v>
      </c>
      <c r="K3623" t="s">
        <v>6929</v>
      </c>
    </row>
    <row r="3624" spans="1:11">
      <c r="A3624" t="s">
        <v>10560</v>
      </c>
      <c r="B3624" t="s">
        <v>4306</v>
      </c>
      <c r="C3624" t="s">
        <v>6921</v>
      </c>
      <c r="D3624" s="1">
        <v>45367</v>
      </c>
      <c r="E3624" s="1">
        <v>45372</v>
      </c>
      <c r="F3624" s="1">
        <v>45372</v>
      </c>
      <c r="G3624">
        <v>59.89</v>
      </c>
      <c r="H36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24" t="str">
        <f>IFERROR(INDEX(Raw_orders!G:G, MATCH(shipments[[#This Row],[order_id]],Raw_orders!A:A, 0)), "Unknown")</f>
        <v>Central Europe</v>
      </c>
      <c r="J3624" t="str">
        <f>PROPER(shipments[[#This Row],[delivery_status]])</f>
        <v>Delivered</v>
      </c>
      <c r="K3624" t="s">
        <v>6922</v>
      </c>
    </row>
    <row r="3625" spans="1:11">
      <c r="A3625" t="s">
        <v>10561</v>
      </c>
      <c r="B3625" t="s">
        <v>4307</v>
      </c>
      <c r="C3625" t="s">
        <v>6931</v>
      </c>
      <c r="D3625" s="1">
        <v>44989</v>
      </c>
      <c r="E3625" s="1">
        <v>44999</v>
      </c>
      <c r="F3625" s="1">
        <v>45004</v>
      </c>
      <c r="G3625">
        <v>46.71</v>
      </c>
      <c r="H36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25" t="str">
        <f>IFERROR(INDEX(Raw_orders!G:G, MATCH(shipments[[#This Row],[order_id]],Raw_orders!A:A, 0)), "Unknown")</f>
        <v>Baltics</v>
      </c>
      <c r="J3625" t="str">
        <f>PROPER(shipments[[#This Row],[delivery_status]])</f>
        <v>Delivered</v>
      </c>
      <c r="K3625" t="s">
        <v>6926</v>
      </c>
    </row>
    <row r="3626" spans="1:11">
      <c r="A3626" t="s">
        <v>10562</v>
      </c>
      <c r="B3626" t="s">
        <v>4308</v>
      </c>
      <c r="C3626" t="s">
        <v>6921</v>
      </c>
      <c r="D3626" s="1">
        <v>45333</v>
      </c>
      <c r="E3626" s="1">
        <v>45343</v>
      </c>
      <c r="F3626" s="1">
        <v>45342</v>
      </c>
      <c r="G3626">
        <v>16.829999999999998</v>
      </c>
      <c r="H36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26" t="str">
        <f>IFERROR(INDEX(Raw_orders!G:G, MATCH(shipments[[#This Row],[order_id]],Raw_orders!A:A, 0)), "Unknown")</f>
        <v>Central Europe</v>
      </c>
      <c r="J3626" t="str">
        <f>PROPER(shipments[[#This Row],[delivery_status]])</f>
        <v>Delivered</v>
      </c>
      <c r="K3626" t="s">
        <v>6922</v>
      </c>
    </row>
    <row r="3627" spans="1:11">
      <c r="A3627" t="s">
        <v>10563</v>
      </c>
      <c r="B3627" t="s">
        <v>4309</v>
      </c>
      <c r="C3627" t="s">
        <v>6938</v>
      </c>
      <c r="D3627" s="1">
        <v>45521</v>
      </c>
      <c r="E3627" s="1">
        <v>45524</v>
      </c>
      <c r="F3627" s="1">
        <v>45529</v>
      </c>
      <c r="G3627">
        <v>56.59</v>
      </c>
      <c r="H36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27" t="str">
        <f>IFERROR(INDEX(Raw_orders!G:G, MATCH(shipments[[#This Row],[order_id]],Raw_orders!A:A, 0)), "Unknown")</f>
        <v>Baltics</v>
      </c>
      <c r="J3627" t="str">
        <f>PROPER(shipments[[#This Row],[delivery_status]])</f>
        <v>Delivered</v>
      </c>
      <c r="K3627" t="s">
        <v>6929</v>
      </c>
    </row>
    <row r="3628" spans="1:11">
      <c r="A3628" t="s">
        <v>10564</v>
      </c>
      <c r="B3628" t="s">
        <v>4310</v>
      </c>
      <c r="C3628" t="s">
        <v>6928</v>
      </c>
      <c r="D3628" s="1">
        <v>45570</v>
      </c>
      <c r="E3628" s="1">
        <v>45575</v>
      </c>
      <c r="F3628" s="1">
        <v>45580</v>
      </c>
      <c r="G3628">
        <v>39.9</v>
      </c>
      <c r="H36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28" t="str">
        <f>IFERROR(INDEX(Raw_orders!G:G, MATCH(shipments[[#This Row],[order_id]],Raw_orders!A:A, 0)), "Unknown")</f>
        <v>Nordics</v>
      </c>
      <c r="J3628" t="str">
        <f>PROPER(shipments[[#This Row],[delivery_status]])</f>
        <v>Delivered</v>
      </c>
      <c r="K3628" t="s">
        <v>6929</v>
      </c>
    </row>
    <row r="3629" spans="1:11">
      <c r="A3629" t="s">
        <v>10565</v>
      </c>
      <c r="B3629" t="s">
        <v>4311</v>
      </c>
      <c r="C3629" t="s">
        <v>6931</v>
      </c>
      <c r="D3629" s="1">
        <v>45075</v>
      </c>
      <c r="E3629" s="1">
        <v>45077</v>
      </c>
      <c r="F3629" s="1"/>
      <c r="G3629">
        <v>47.81</v>
      </c>
      <c r="H36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629" t="str">
        <f>IFERROR(INDEX(Raw_orders!G:G, MATCH(shipments[[#This Row],[order_id]],Raw_orders!A:A, 0)), "Unknown")</f>
        <v>Nordics</v>
      </c>
      <c r="J3629" t="str">
        <f>PROPER(shipments[[#This Row],[delivery_status]])</f>
        <v>Cancelled</v>
      </c>
      <c r="K3629" t="s">
        <v>6979</v>
      </c>
    </row>
    <row r="3630" spans="1:11">
      <c r="A3630" t="s">
        <v>10566</v>
      </c>
      <c r="B3630" t="s">
        <v>4312</v>
      </c>
      <c r="C3630" t="s">
        <v>6935</v>
      </c>
      <c r="D3630" s="1">
        <v>45041</v>
      </c>
      <c r="E3630" s="1">
        <v>45051</v>
      </c>
      <c r="F3630" s="1">
        <v>45054</v>
      </c>
      <c r="G3630">
        <v>29.82</v>
      </c>
      <c r="H36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30" t="str">
        <f>IFERROR(INDEX(Raw_orders!G:G, MATCH(shipments[[#This Row],[order_id]],Raw_orders!A:A, 0)), "Unknown")</f>
        <v>Baltics</v>
      </c>
      <c r="J3630" t="str">
        <f>PROPER(shipments[[#This Row],[delivery_status]])</f>
        <v>Delivered</v>
      </c>
      <c r="K3630" t="s">
        <v>6929</v>
      </c>
    </row>
    <row r="3631" spans="1:11">
      <c r="A3631" t="s">
        <v>10567</v>
      </c>
      <c r="B3631" t="s">
        <v>4313</v>
      </c>
      <c r="C3631" t="s">
        <v>6956</v>
      </c>
      <c r="D3631" s="1">
        <v>45416</v>
      </c>
      <c r="E3631" s="1">
        <v>45423</v>
      </c>
      <c r="F3631" s="1"/>
      <c r="G3631">
        <v>57.45</v>
      </c>
      <c r="H36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631" t="str">
        <f>IFERROR(INDEX(Raw_orders!G:G, MATCH(shipments[[#This Row],[order_id]],Raw_orders!A:A, 0)), "Unknown")</f>
        <v>Nordics</v>
      </c>
      <c r="J3631" t="str">
        <f>PROPER(shipments[[#This Row],[delivery_status]])</f>
        <v>In Transit</v>
      </c>
      <c r="K3631" t="s">
        <v>6958</v>
      </c>
    </row>
    <row r="3632" spans="1:11">
      <c r="A3632" t="s">
        <v>10568</v>
      </c>
      <c r="B3632" t="s">
        <v>4314</v>
      </c>
      <c r="C3632" t="s">
        <v>6935</v>
      </c>
      <c r="D3632" s="1">
        <v>45122</v>
      </c>
      <c r="E3632" s="1">
        <v>45132</v>
      </c>
      <c r="F3632" s="1"/>
      <c r="G3632">
        <v>13.74</v>
      </c>
      <c r="H36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632" t="str">
        <f>IFERROR(INDEX(Raw_orders!G:G, MATCH(shipments[[#This Row],[order_id]],Raw_orders!A:A, 0)), "Unknown")</f>
        <v>Central Europe</v>
      </c>
      <c r="J3632" t="str">
        <f>PROPER(shipments[[#This Row],[delivery_status]])</f>
        <v>In Transit</v>
      </c>
      <c r="K3632" t="s">
        <v>6958</v>
      </c>
    </row>
    <row r="3633" spans="1:11">
      <c r="A3633" t="s">
        <v>10569</v>
      </c>
      <c r="B3633" t="s">
        <v>4315</v>
      </c>
      <c r="C3633" t="s">
        <v>6931</v>
      </c>
      <c r="D3633" s="1">
        <v>45332</v>
      </c>
      <c r="E3633" s="1">
        <v>45335</v>
      </c>
      <c r="F3633" s="1"/>
      <c r="G3633">
        <v>29.53</v>
      </c>
      <c r="H36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633" t="str">
        <f>IFERROR(INDEX(Raw_orders!G:G, MATCH(shipments[[#This Row],[order_id]],Raw_orders!A:A, 0)), "Unknown")</f>
        <v>Baltics</v>
      </c>
      <c r="J3633" t="str">
        <f>PROPER(shipments[[#This Row],[delivery_status]])</f>
        <v>In Transit</v>
      </c>
      <c r="K3633" t="s">
        <v>6977</v>
      </c>
    </row>
    <row r="3634" spans="1:11">
      <c r="A3634" t="s">
        <v>10570</v>
      </c>
      <c r="B3634" t="s">
        <v>4316</v>
      </c>
      <c r="C3634" t="s">
        <v>6956</v>
      </c>
      <c r="D3634" s="1">
        <v>44963</v>
      </c>
      <c r="E3634" s="1">
        <v>44970</v>
      </c>
      <c r="F3634" s="1">
        <v>44971</v>
      </c>
      <c r="G3634">
        <v>61.49</v>
      </c>
      <c r="H36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34" t="str">
        <f>IFERROR(INDEX(Raw_orders!G:G, MATCH(shipments[[#This Row],[order_id]],Raw_orders!A:A, 0)), "Unknown")</f>
        <v>Nordics</v>
      </c>
      <c r="J3634" t="str">
        <f>PROPER(shipments[[#This Row],[delivery_status]])</f>
        <v>Delivered</v>
      </c>
      <c r="K3634" t="s">
        <v>6922</v>
      </c>
    </row>
    <row r="3635" spans="1:11">
      <c r="A3635" t="s">
        <v>10571</v>
      </c>
      <c r="B3635" t="s">
        <v>4317</v>
      </c>
      <c r="C3635" t="s">
        <v>6928</v>
      </c>
      <c r="D3635" s="1">
        <v>45143</v>
      </c>
      <c r="E3635" s="1">
        <v>45148</v>
      </c>
      <c r="F3635" s="1">
        <v>45156</v>
      </c>
      <c r="G3635">
        <v>53.43</v>
      </c>
      <c r="H36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35" t="str">
        <f>IFERROR(INDEX(Raw_orders!G:G, MATCH(shipments[[#This Row],[order_id]],Raw_orders!A:A, 0)), "Unknown")</f>
        <v>Baltics</v>
      </c>
      <c r="J3635" t="str">
        <f>PROPER(shipments[[#This Row],[delivery_status]])</f>
        <v>Delivered</v>
      </c>
      <c r="K3635" t="s">
        <v>6922</v>
      </c>
    </row>
    <row r="3636" spans="1:11">
      <c r="A3636" t="s">
        <v>10572</v>
      </c>
      <c r="B3636" t="s">
        <v>4318</v>
      </c>
      <c r="C3636" t="s">
        <v>6925</v>
      </c>
      <c r="D3636" s="1">
        <v>45315</v>
      </c>
      <c r="E3636" s="1">
        <v>45320</v>
      </c>
      <c r="F3636" s="1"/>
      <c r="G3636">
        <v>34.64</v>
      </c>
      <c r="H36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636" t="str">
        <f>IFERROR(INDEX(Raw_orders!G:G, MATCH(shipments[[#This Row],[order_id]],Raw_orders!A:A, 0)), "Unknown")</f>
        <v>Central Europe</v>
      </c>
      <c r="J3636" t="str">
        <f>PROPER(shipments[[#This Row],[delivery_status]])</f>
        <v>Cancelled</v>
      </c>
      <c r="K3636" t="s">
        <v>6963</v>
      </c>
    </row>
    <row r="3637" spans="1:11">
      <c r="A3637" t="s">
        <v>10573</v>
      </c>
      <c r="B3637" t="s">
        <v>4318</v>
      </c>
      <c r="C3637" t="s">
        <v>6938</v>
      </c>
      <c r="D3637" s="1">
        <v>45314</v>
      </c>
      <c r="E3637" s="1">
        <v>45317</v>
      </c>
      <c r="F3637" s="1">
        <v>45317</v>
      </c>
      <c r="G3637">
        <v>24.66</v>
      </c>
      <c r="H36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37" t="str">
        <f>IFERROR(INDEX(Raw_orders!G:G, MATCH(shipments[[#This Row],[order_id]],Raw_orders!A:A, 0)), "Unknown")</f>
        <v>Central Europe</v>
      </c>
      <c r="J3637" t="str">
        <f>PROPER(shipments[[#This Row],[delivery_status]])</f>
        <v>Delivered</v>
      </c>
      <c r="K3637" t="s">
        <v>6926</v>
      </c>
    </row>
    <row r="3638" spans="1:11">
      <c r="A3638" t="s">
        <v>10574</v>
      </c>
      <c r="B3638" t="s">
        <v>4319</v>
      </c>
      <c r="C3638" t="s">
        <v>6949</v>
      </c>
      <c r="D3638" s="1">
        <v>45236</v>
      </c>
      <c r="E3638" s="1">
        <v>45246</v>
      </c>
      <c r="F3638" s="1">
        <v>45245</v>
      </c>
      <c r="G3638">
        <v>12.31</v>
      </c>
      <c r="H36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38" t="str">
        <f>IFERROR(INDEX(Raw_orders!G:G, MATCH(shipments[[#This Row],[order_id]],Raw_orders!A:A, 0)), "Unknown")</f>
        <v>Baltics</v>
      </c>
      <c r="J3638" t="str">
        <f>PROPER(shipments[[#This Row],[delivery_status]])</f>
        <v>Delivered</v>
      </c>
      <c r="K3638" t="s">
        <v>6926</v>
      </c>
    </row>
    <row r="3639" spans="1:11">
      <c r="A3639" t="s">
        <v>10575</v>
      </c>
      <c r="B3639" t="s">
        <v>4320</v>
      </c>
      <c r="C3639" t="s">
        <v>6956</v>
      </c>
      <c r="D3639" s="1">
        <v>45474</v>
      </c>
      <c r="E3639" s="1">
        <v>45476</v>
      </c>
      <c r="F3639" s="1">
        <v>45476</v>
      </c>
      <c r="G3639">
        <v>54.64</v>
      </c>
      <c r="H36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39" t="str">
        <f>IFERROR(INDEX(Raw_orders!G:G, MATCH(shipments[[#This Row],[order_id]],Raw_orders!A:A, 0)), "Unknown")</f>
        <v>Baltics</v>
      </c>
      <c r="J3639" t="str">
        <f>PROPER(shipments[[#This Row],[delivery_status]])</f>
        <v>Delivered</v>
      </c>
      <c r="K3639" t="s">
        <v>6922</v>
      </c>
    </row>
    <row r="3640" spans="1:11">
      <c r="A3640" t="s">
        <v>10576</v>
      </c>
      <c r="B3640" t="s">
        <v>4321</v>
      </c>
      <c r="C3640" t="s">
        <v>6940</v>
      </c>
      <c r="D3640" s="1">
        <v>45128</v>
      </c>
      <c r="E3640" s="1">
        <v>45131</v>
      </c>
      <c r="F3640" s="1">
        <v>45131</v>
      </c>
      <c r="G3640">
        <v>64.05</v>
      </c>
      <c r="H36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40" t="str">
        <f>IFERROR(INDEX(Raw_orders!G:G, MATCH(shipments[[#This Row],[order_id]],Raw_orders!A:A, 0)), "Unknown")</f>
        <v>Central Europe</v>
      </c>
      <c r="J3640" t="str">
        <f>PROPER(shipments[[#This Row],[delivery_status]])</f>
        <v>Delivered</v>
      </c>
      <c r="K3640" t="s">
        <v>6929</v>
      </c>
    </row>
    <row r="3641" spans="1:11">
      <c r="A3641" t="s">
        <v>10577</v>
      </c>
      <c r="B3641" t="s">
        <v>4322</v>
      </c>
      <c r="C3641" t="s">
        <v>6935</v>
      </c>
      <c r="D3641" s="1">
        <v>45277</v>
      </c>
      <c r="E3641" s="1">
        <v>45280</v>
      </c>
      <c r="F3641" s="1">
        <v>45290</v>
      </c>
      <c r="G3641">
        <v>8.24</v>
      </c>
      <c r="H36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41" t="str">
        <f>IFERROR(INDEX(Raw_orders!G:G, MATCH(shipments[[#This Row],[order_id]],Raw_orders!A:A, 0)), "Unknown")</f>
        <v>Nordics</v>
      </c>
      <c r="J3641" t="str">
        <f>PROPER(shipments[[#This Row],[delivery_status]])</f>
        <v>Delivered</v>
      </c>
      <c r="K3641" t="s">
        <v>6929</v>
      </c>
    </row>
    <row r="3642" spans="1:11">
      <c r="A3642" t="s">
        <v>10578</v>
      </c>
      <c r="B3642" t="s">
        <v>4323</v>
      </c>
      <c r="C3642" t="s">
        <v>6931</v>
      </c>
      <c r="D3642" s="1">
        <v>44952</v>
      </c>
      <c r="E3642" s="1">
        <v>44959</v>
      </c>
      <c r="F3642" s="1">
        <v>44964</v>
      </c>
      <c r="G3642">
        <v>40.65</v>
      </c>
      <c r="H36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42" t="str">
        <f>IFERROR(INDEX(Raw_orders!G:G, MATCH(shipments[[#This Row],[order_id]],Raw_orders!A:A, 0)), "Unknown")</f>
        <v>Baltics</v>
      </c>
      <c r="J3642" t="str">
        <f>PROPER(shipments[[#This Row],[delivery_status]])</f>
        <v>Delivered</v>
      </c>
      <c r="K3642" t="s">
        <v>6926</v>
      </c>
    </row>
    <row r="3643" spans="1:11">
      <c r="A3643" t="s">
        <v>10579</v>
      </c>
      <c r="B3643" t="s">
        <v>4324</v>
      </c>
      <c r="C3643" t="s">
        <v>6935</v>
      </c>
      <c r="D3643" s="1">
        <v>45068</v>
      </c>
      <c r="E3643" s="1">
        <v>45070</v>
      </c>
      <c r="F3643" s="1">
        <v>45078</v>
      </c>
      <c r="G3643">
        <v>11.89</v>
      </c>
      <c r="H36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43" t="str">
        <f>IFERROR(INDEX(Raw_orders!G:G, MATCH(shipments[[#This Row],[order_id]],Raw_orders!A:A, 0)), "Unknown")</f>
        <v>Baltics</v>
      </c>
      <c r="J3643" t="str">
        <f>PROPER(shipments[[#This Row],[delivery_status]])</f>
        <v>Delivered</v>
      </c>
      <c r="K3643" t="s">
        <v>6926</v>
      </c>
    </row>
    <row r="3644" spans="1:11">
      <c r="A3644" t="s">
        <v>10580</v>
      </c>
      <c r="B3644" t="s">
        <v>4325</v>
      </c>
      <c r="C3644" t="s">
        <v>6925</v>
      </c>
      <c r="D3644" s="1">
        <v>45064</v>
      </c>
      <c r="E3644" s="1">
        <v>45074</v>
      </c>
      <c r="F3644" s="1">
        <v>45074</v>
      </c>
      <c r="G3644">
        <v>43.65</v>
      </c>
      <c r="H36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44" t="str">
        <f>IFERROR(INDEX(Raw_orders!G:G, MATCH(shipments[[#This Row],[order_id]],Raw_orders!A:A, 0)), "Unknown")</f>
        <v>Baltics</v>
      </c>
      <c r="J3644" t="str">
        <f>PROPER(shipments[[#This Row],[delivery_status]])</f>
        <v>Delivered</v>
      </c>
      <c r="K3644" t="s">
        <v>6929</v>
      </c>
    </row>
    <row r="3645" spans="1:11">
      <c r="A3645" t="s">
        <v>10581</v>
      </c>
      <c r="B3645" t="s">
        <v>4326</v>
      </c>
      <c r="C3645" t="s">
        <v>6938</v>
      </c>
      <c r="D3645" s="1">
        <v>45170</v>
      </c>
      <c r="E3645" s="1">
        <v>45173</v>
      </c>
      <c r="F3645" s="1">
        <v>45175</v>
      </c>
      <c r="G3645">
        <v>60.19</v>
      </c>
      <c r="H36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45" t="str">
        <f>IFERROR(INDEX(Raw_orders!G:G, MATCH(shipments[[#This Row],[order_id]],Raw_orders!A:A, 0)), "Unknown")</f>
        <v>Baltics</v>
      </c>
      <c r="J3645" t="str">
        <f>PROPER(shipments[[#This Row],[delivery_status]])</f>
        <v>Delivered</v>
      </c>
      <c r="K3645" t="s">
        <v>6929</v>
      </c>
    </row>
    <row r="3646" spans="1:11">
      <c r="A3646" t="s">
        <v>10582</v>
      </c>
      <c r="B3646" t="s">
        <v>4327</v>
      </c>
      <c r="C3646" t="s">
        <v>6931</v>
      </c>
      <c r="D3646" s="1">
        <v>45480</v>
      </c>
      <c r="E3646" s="1">
        <v>45485</v>
      </c>
      <c r="F3646" s="1">
        <v>45493</v>
      </c>
      <c r="G3646">
        <v>58.26</v>
      </c>
      <c r="H36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46" t="str">
        <f>IFERROR(INDEX(Raw_orders!G:G, MATCH(shipments[[#This Row],[order_id]],Raw_orders!A:A, 0)), "Unknown")</f>
        <v>Nordics</v>
      </c>
      <c r="J3646" t="str">
        <f>PROPER(shipments[[#This Row],[delivery_status]])</f>
        <v>Delivered</v>
      </c>
      <c r="K3646" t="s">
        <v>6922</v>
      </c>
    </row>
    <row r="3647" spans="1:11">
      <c r="A3647" t="s">
        <v>10583</v>
      </c>
      <c r="B3647" t="s">
        <v>4328</v>
      </c>
      <c r="C3647" t="s">
        <v>6940</v>
      </c>
      <c r="D3647" s="1">
        <v>45293</v>
      </c>
      <c r="E3647" s="1">
        <v>45295</v>
      </c>
      <c r="F3647" s="1">
        <v>45295</v>
      </c>
      <c r="G3647">
        <v>22.97</v>
      </c>
      <c r="H36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47" t="str">
        <f>IFERROR(INDEX(Raw_orders!G:G, MATCH(shipments[[#This Row],[order_id]],Raw_orders!A:A, 0)), "Unknown")</f>
        <v>Central Europe</v>
      </c>
      <c r="J3647" t="str">
        <f>PROPER(shipments[[#This Row],[delivery_status]])</f>
        <v>Delivered</v>
      </c>
      <c r="K3647" t="s">
        <v>6926</v>
      </c>
    </row>
    <row r="3648" spans="1:11">
      <c r="A3648" t="s">
        <v>10584</v>
      </c>
      <c r="B3648" t="s">
        <v>4329</v>
      </c>
      <c r="C3648" t="s">
        <v>6921</v>
      </c>
      <c r="D3648" s="1">
        <v>45122</v>
      </c>
      <c r="E3648" s="1">
        <v>45127</v>
      </c>
      <c r="F3648" s="1">
        <v>45127</v>
      </c>
      <c r="G3648">
        <v>56.05</v>
      </c>
      <c r="H36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48" t="str">
        <f>IFERROR(INDEX(Raw_orders!G:G, MATCH(shipments[[#This Row],[order_id]],Raw_orders!A:A, 0)), "Unknown")</f>
        <v>Baltics</v>
      </c>
      <c r="J3648" t="str">
        <f>PROPER(shipments[[#This Row],[delivery_status]])</f>
        <v>Delivered</v>
      </c>
      <c r="K3648" t="s">
        <v>6922</v>
      </c>
    </row>
    <row r="3649" spans="1:11">
      <c r="A3649" t="s">
        <v>10585</v>
      </c>
      <c r="B3649" t="s">
        <v>4330</v>
      </c>
      <c r="C3649" t="s">
        <v>6928</v>
      </c>
      <c r="D3649" s="1">
        <v>45228</v>
      </c>
      <c r="E3649" s="1">
        <v>45235</v>
      </c>
      <c r="F3649" s="1">
        <v>45243</v>
      </c>
      <c r="G3649">
        <v>46.87</v>
      </c>
      <c r="H36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49" t="str">
        <f>IFERROR(INDEX(Raw_orders!G:G, MATCH(shipments[[#This Row],[order_id]],Raw_orders!A:A, 0)), "Unknown")</f>
        <v>Central Europe</v>
      </c>
      <c r="J3649" t="str">
        <f>PROPER(shipments[[#This Row],[delivery_status]])</f>
        <v>Delivered</v>
      </c>
      <c r="K3649" t="s">
        <v>6929</v>
      </c>
    </row>
    <row r="3650" spans="1:11">
      <c r="A3650" t="s">
        <v>10586</v>
      </c>
      <c r="B3650" t="s">
        <v>4331</v>
      </c>
      <c r="C3650" t="s">
        <v>6928</v>
      </c>
      <c r="D3650" s="1">
        <v>45264</v>
      </c>
      <c r="E3650" s="1">
        <v>45269</v>
      </c>
      <c r="F3650" s="1">
        <v>45269</v>
      </c>
      <c r="G3650">
        <v>26.26</v>
      </c>
      <c r="H36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50" t="str">
        <f>IFERROR(INDEX(Raw_orders!G:G, MATCH(shipments[[#This Row],[order_id]],Raw_orders!A:A, 0)), "Unknown")</f>
        <v>Central Europe</v>
      </c>
      <c r="J3650" t="str">
        <f>PROPER(shipments[[#This Row],[delivery_status]])</f>
        <v>Delivered</v>
      </c>
      <c r="K3650" t="s">
        <v>6926</v>
      </c>
    </row>
    <row r="3651" spans="1:11">
      <c r="A3651" t="s">
        <v>10587</v>
      </c>
      <c r="B3651" t="s">
        <v>4332</v>
      </c>
      <c r="C3651" t="s">
        <v>6938</v>
      </c>
      <c r="D3651" s="1">
        <v>45190</v>
      </c>
      <c r="E3651" s="1">
        <v>45195</v>
      </c>
      <c r="F3651" s="1">
        <v>45194</v>
      </c>
      <c r="G3651">
        <v>43.12</v>
      </c>
      <c r="H36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51" t="str">
        <f>IFERROR(INDEX(Raw_orders!G:G, MATCH(shipments[[#This Row],[order_id]],Raw_orders!A:A, 0)), "Unknown")</f>
        <v>Nordics</v>
      </c>
      <c r="J3651" t="str">
        <f>PROPER(shipments[[#This Row],[delivery_status]])</f>
        <v>Delivered</v>
      </c>
      <c r="K3651" t="s">
        <v>6929</v>
      </c>
    </row>
    <row r="3652" spans="1:11">
      <c r="A3652" t="s">
        <v>10588</v>
      </c>
      <c r="B3652" t="s">
        <v>4333</v>
      </c>
      <c r="C3652" t="s">
        <v>6928</v>
      </c>
      <c r="D3652" s="1">
        <v>45423</v>
      </c>
      <c r="E3652" s="1">
        <v>45428</v>
      </c>
      <c r="F3652" s="1">
        <v>45428</v>
      </c>
      <c r="G3652">
        <v>42.31</v>
      </c>
      <c r="H36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52" t="str">
        <f>IFERROR(INDEX(Raw_orders!G:G, MATCH(shipments[[#This Row],[order_id]],Raw_orders!A:A, 0)), "Unknown")</f>
        <v>Nordics</v>
      </c>
      <c r="J3652" t="str">
        <f>PROPER(shipments[[#This Row],[delivery_status]])</f>
        <v>Delivered</v>
      </c>
      <c r="K3652" t="s">
        <v>6922</v>
      </c>
    </row>
    <row r="3653" spans="1:11">
      <c r="A3653" t="s">
        <v>10589</v>
      </c>
      <c r="B3653" t="s">
        <v>4334</v>
      </c>
      <c r="C3653" t="s">
        <v>6938</v>
      </c>
      <c r="D3653" s="1">
        <v>44932</v>
      </c>
      <c r="E3653" s="1">
        <v>44937</v>
      </c>
      <c r="F3653" s="1"/>
      <c r="G3653">
        <v>13.32</v>
      </c>
      <c r="H36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653" t="str">
        <f>IFERROR(INDEX(Raw_orders!G:G, MATCH(shipments[[#This Row],[order_id]],Raw_orders!A:A, 0)), "Unknown")</f>
        <v>Nordics</v>
      </c>
      <c r="J3653" t="str">
        <f>PROPER(shipments[[#This Row],[delivery_status]])</f>
        <v>In Transit</v>
      </c>
      <c r="K3653" t="s">
        <v>6946</v>
      </c>
    </row>
    <row r="3654" spans="1:11">
      <c r="A3654" t="s">
        <v>10590</v>
      </c>
      <c r="B3654" t="s">
        <v>4335</v>
      </c>
      <c r="C3654" t="s">
        <v>6935</v>
      </c>
      <c r="D3654" s="1">
        <v>44996</v>
      </c>
      <c r="E3654" s="1">
        <v>45001</v>
      </c>
      <c r="F3654" s="1">
        <v>45002</v>
      </c>
      <c r="G3654">
        <v>12.84</v>
      </c>
      <c r="H36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54" t="str">
        <f>IFERROR(INDEX(Raw_orders!G:G, MATCH(shipments[[#This Row],[order_id]],Raw_orders!A:A, 0)), "Unknown")</f>
        <v>Central Europe</v>
      </c>
      <c r="J3654" t="str">
        <f>PROPER(shipments[[#This Row],[delivery_status]])</f>
        <v>Delivered</v>
      </c>
      <c r="K3654" t="s">
        <v>6929</v>
      </c>
    </row>
    <row r="3655" spans="1:11">
      <c r="A3655" t="s">
        <v>10591</v>
      </c>
      <c r="B3655" t="s">
        <v>4335</v>
      </c>
      <c r="C3655" t="s">
        <v>6925</v>
      </c>
      <c r="D3655" s="1">
        <v>44998</v>
      </c>
      <c r="E3655" s="1">
        <v>45000</v>
      </c>
      <c r="F3655" s="1">
        <v>45000</v>
      </c>
      <c r="G3655">
        <v>63.61</v>
      </c>
      <c r="H36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55" t="str">
        <f>IFERROR(INDEX(Raw_orders!G:G, MATCH(shipments[[#This Row],[order_id]],Raw_orders!A:A, 0)), "Unknown")</f>
        <v>Central Europe</v>
      </c>
      <c r="J3655" t="str">
        <f>PROPER(shipments[[#This Row],[delivery_status]])</f>
        <v>Delivered</v>
      </c>
      <c r="K3655" t="s">
        <v>6926</v>
      </c>
    </row>
    <row r="3656" spans="1:11">
      <c r="A3656" t="s">
        <v>10592</v>
      </c>
      <c r="B3656" t="s">
        <v>4336</v>
      </c>
      <c r="C3656" t="s">
        <v>6938</v>
      </c>
      <c r="D3656" s="1">
        <v>45582</v>
      </c>
      <c r="E3656" s="1">
        <v>45592</v>
      </c>
      <c r="F3656" s="1">
        <v>45592</v>
      </c>
      <c r="G3656">
        <v>58.99</v>
      </c>
      <c r="H36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56" t="str">
        <f>IFERROR(INDEX(Raw_orders!G:G, MATCH(shipments[[#This Row],[order_id]],Raw_orders!A:A, 0)), "Unknown")</f>
        <v>Baltics</v>
      </c>
      <c r="J3656" t="str">
        <f>PROPER(shipments[[#This Row],[delivery_status]])</f>
        <v>Delivered</v>
      </c>
      <c r="K3656" t="s">
        <v>6926</v>
      </c>
    </row>
    <row r="3657" spans="1:11">
      <c r="A3657" t="s">
        <v>10593</v>
      </c>
      <c r="B3657" t="s">
        <v>4337</v>
      </c>
      <c r="C3657" t="s">
        <v>6938</v>
      </c>
      <c r="D3657" s="1">
        <v>45628</v>
      </c>
      <c r="E3657" s="1">
        <v>45635</v>
      </c>
      <c r="F3657" s="1">
        <v>45640</v>
      </c>
      <c r="G3657">
        <v>25.74</v>
      </c>
      <c r="H36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57" t="str">
        <f>IFERROR(INDEX(Raw_orders!G:G, MATCH(shipments[[#This Row],[order_id]],Raw_orders!A:A, 0)), "Unknown")</f>
        <v>Central Europe</v>
      </c>
      <c r="J3657" t="str">
        <f>PROPER(shipments[[#This Row],[delivery_status]])</f>
        <v>Delivered</v>
      </c>
      <c r="K3657" t="s">
        <v>6922</v>
      </c>
    </row>
    <row r="3658" spans="1:11">
      <c r="A3658" t="s">
        <v>10594</v>
      </c>
      <c r="B3658" t="s">
        <v>4338</v>
      </c>
      <c r="C3658" t="s">
        <v>6949</v>
      </c>
      <c r="D3658" s="1">
        <v>45042</v>
      </c>
      <c r="E3658" s="1">
        <v>45045</v>
      </c>
      <c r="F3658" s="1">
        <v>45053</v>
      </c>
      <c r="G3658">
        <v>53.28</v>
      </c>
      <c r="H36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58" t="str">
        <f>IFERROR(INDEX(Raw_orders!G:G, MATCH(shipments[[#This Row],[order_id]],Raw_orders!A:A, 0)), "Unknown")</f>
        <v>Nordics</v>
      </c>
      <c r="J3658" t="str">
        <f>PROPER(shipments[[#This Row],[delivery_status]])</f>
        <v>Delivered</v>
      </c>
      <c r="K3658" t="s">
        <v>6926</v>
      </c>
    </row>
    <row r="3659" spans="1:11">
      <c r="A3659" t="s">
        <v>10595</v>
      </c>
      <c r="B3659" t="s">
        <v>4339</v>
      </c>
      <c r="C3659" t="s">
        <v>6928</v>
      </c>
      <c r="D3659" s="1">
        <v>45206</v>
      </c>
      <c r="E3659" s="1">
        <v>45209</v>
      </c>
      <c r="F3659" s="1">
        <v>45209</v>
      </c>
      <c r="G3659">
        <v>9.9700000000000006</v>
      </c>
      <c r="H36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59" t="str">
        <f>IFERROR(INDEX(Raw_orders!G:G, MATCH(shipments[[#This Row],[order_id]],Raw_orders!A:A, 0)), "Unknown")</f>
        <v>Central Europe</v>
      </c>
      <c r="J3659" t="str">
        <f>PROPER(shipments[[#This Row],[delivery_status]])</f>
        <v>Delivered</v>
      </c>
      <c r="K3659" t="s">
        <v>6922</v>
      </c>
    </row>
    <row r="3660" spans="1:11">
      <c r="A3660" t="s">
        <v>10596</v>
      </c>
      <c r="B3660" t="s">
        <v>4340</v>
      </c>
      <c r="C3660" t="s">
        <v>6940</v>
      </c>
      <c r="D3660" s="1">
        <v>45067</v>
      </c>
      <c r="E3660" s="1">
        <v>45077</v>
      </c>
      <c r="F3660" s="1">
        <v>45077</v>
      </c>
      <c r="G3660">
        <v>58.56</v>
      </c>
      <c r="H36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60" t="str">
        <f>IFERROR(INDEX(Raw_orders!G:G, MATCH(shipments[[#This Row],[order_id]],Raw_orders!A:A, 0)), "Unknown")</f>
        <v>Nordics</v>
      </c>
      <c r="J3660" t="str">
        <f>PROPER(shipments[[#This Row],[delivery_status]])</f>
        <v>Delivered</v>
      </c>
      <c r="K3660" t="s">
        <v>6929</v>
      </c>
    </row>
    <row r="3661" spans="1:11">
      <c r="A3661" t="s">
        <v>10597</v>
      </c>
      <c r="B3661" t="s">
        <v>4341</v>
      </c>
      <c r="C3661" t="s">
        <v>6928</v>
      </c>
      <c r="D3661" s="1">
        <v>45154</v>
      </c>
      <c r="E3661" s="1">
        <v>45159</v>
      </c>
      <c r="F3661" s="1"/>
      <c r="G3661">
        <v>51.8</v>
      </c>
      <c r="H36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661" t="str">
        <f>IFERROR(INDEX(Raw_orders!G:G, MATCH(shipments[[#This Row],[order_id]],Raw_orders!A:A, 0)), "Unknown")</f>
        <v>Nordics</v>
      </c>
      <c r="J3661" t="str">
        <f>PROPER(shipments[[#This Row],[delivery_status]])</f>
        <v>Cancelled</v>
      </c>
      <c r="K3661" t="s">
        <v>6963</v>
      </c>
    </row>
    <row r="3662" spans="1:11">
      <c r="A3662" t="s">
        <v>10598</v>
      </c>
      <c r="B3662" t="s">
        <v>4341</v>
      </c>
      <c r="C3662" t="s">
        <v>6925</v>
      </c>
      <c r="D3662" s="1">
        <v>45153</v>
      </c>
      <c r="E3662" s="1">
        <v>45163</v>
      </c>
      <c r="F3662" s="1">
        <v>45174</v>
      </c>
      <c r="G3662">
        <v>60.47</v>
      </c>
      <c r="H36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62" t="str">
        <f>IFERROR(INDEX(Raw_orders!G:G, MATCH(shipments[[#This Row],[order_id]],Raw_orders!A:A, 0)), "Unknown")</f>
        <v>Nordics</v>
      </c>
      <c r="J3662" t="str">
        <f>PROPER(shipments[[#This Row],[delivery_status]])</f>
        <v>Delivered</v>
      </c>
      <c r="K3662" t="s">
        <v>6926</v>
      </c>
    </row>
    <row r="3663" spans="1:11">
      <c r="A3663" t="s">
        <v>10599</v>
      </c>
      <c r="B3663" t="s">
        <v>4342</v>
      </c>
      <c r="C3663" t="s">
        <v>6935</v>
      </c>
      <c r="D3663" s="1">
        <v>44969</v>
      </c>
      <c r="E3663" s="1">
        <v>44976</v>
      </c>
      <c r="F3663" s="1">
        <v>44976</v>
      </c>
      <c r="G3663">
        <v>22.23</v>
      </c>
      <c r="H36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63" t="str">
        <f>IFERROR(INDEX(Raw_orders!G:G, MATCH(shipments[[#This Row],[order_id]],Raw_orders!A:A, 0)), "Unknown")</f>
        <v>Baltics</v>
      </c>
      <c r="J3663" t="str">
        <f>PROPER(shipments[[#This Row],[delivery_status]])</f>
        <v>Delivered</v>
      </c>
      <c r="K3663" t="s">
        <v>6926</v>
      </c>
    </row>
    <row r="3664" spans="1:11">
      <c r="A3664" t="s">
        <v>10600</v>
      </c>
      <c r="B3664" t="s">
        <v>4343</v>
      </c>
      <c r="C3664" t="s">
        <v>6940</v>
      </c>
      <c r="D3664" s="1">
        <v>45180</v>
      </c>
      <c r="E3664" s="1">
        <v>45190</v>
      </c>
      <c r="F3664" s="1">
        <v>45196</v>
      </c>
      <c r="G3664">
        <v>52.38</v>
      </c>
      <c r="H36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64" t="str">
        <f>IFERROR(INDEX(Raw_orders!G:G, MATCH(shipments[[#This Row],[order_id]],Raw_orders!A:A, 0)), "Unknown")</f>
        <v>Nordics</v>
      </c>
      <c r="J3664" t="str">
        <f>PROPER(shipments[[#This Row],[delivery_status]])</f>
        <v>Delivered</v>
      </c>
      <c r="K3664" t="s">
        <v>6922</v>
      </c>
    </row>
    <row r="3665" spans="1:11">
      <c r="A3665" t="s">
        <v>10601</v>
      </c>
      <c r="B3665" t="s">
        <v>4344</v>
      </c>
      <c r="C3665" t="s">
        <v>6935</v>
      </c>
      <c r="D3665" s="1">
        <v>45556</v>
      </c>
      <c r="E3665" s="1">
        <v>45558</v>
      </c>
      <c r="F3665" s="1">
        <v>45558</v>
      </c>
      <c r="G3665">
        <v>33.729999999999997</v>
      </c>
      <c r="H36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65" t="str">
        <f>IFERROR(INDEX(Raw_orders!G:G, MATCH(shipments[[#This Row],[order_id]],Raw_orders!A:A, 0)), "Unknown")</f>
        <v>Central Europe</v>
      </c>
      <c r="J3665" t="str">
        <f>PROPER(shipments[[#This Row],[delivery_status]])</f>
        <v>Delivered</v>
      </c>
      <c r="K3665" t="s">
        <v>6929</v>
      </c>
    </row>
    <row r="3666" spans="1:11">
      <c r="A3666" t="s">
        <v>10602</v>
      </c>
      <c r="B3666" t="s">
        <v>4345</v>
      </c>
      <c r="C3666" t="s">
        <v>6956</v>
      </c>
      <c r="D3666" s="1">
        <v>45581</v>
      </c>
      <c r="E3666" s="1">
        <v>45588</v>
      </c>
      <c r="F3666" s="1">
        <v>45596</v>
      </c>
      <c r="G3666">
        <v>4.99</v>
      </c>
      <c r="H36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66" t="str">
        <f>IFERROR(INDEX(Raw_orders!G:G, MATCH(shipments[[#This Row],[order_id]],Raw_orders!A:A, 0)), "Unknown")</f>
        <v>Baltics</v>
      </c>
      <c r="J3666" t="str">
        <f>PROPER(shipments[[#This Row],[delivery_status]])</f>
        <v>Delivered</v>
      </c>
      <c r="K3666" t="s">
        <v>6922</v>
      </c>
    </row>
    <row r="3667" spans="1:11">
      <c r="A3667" t="s">
        <v>10603</v>
      </c>
      <c r="B3667" t="s">
        <v>4346</v>
      </c>
      <c r="C3667" t="s">
        <v>6940</v>
      </c>
      <c r="D3667" s="1">
        <v>45072</v>
      </c>
      <c r="E3667" s="1">
        <v>45075</v>
      </c>
      <c r="F3667" s="1">
        <v>45083</v>
      </c>
      <c r="G3667">
        <v>36.96</v>
      </c>
      <c r="H36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67" t="str">
        <f>IFERROR(INDEX(Raw_orders!G:G, MATCH(shipments[[#This Row],[order_id]],Raw_orders!A:A, 0)), "Unknown")</f>
        <v>Baltics</v>
      </c>
      <c r="J3667" t="str">
        <f>PROPER(shipments[[#This Row],[delivery_status]])</f>
        <v>Delivered</v>
      </c>
      <c r="K3667" t="s">
        <v>6922</v>
      </c>
    </row>
    <row r="3668" spans="1:11">
      <c r="A3668" t="s">
        <v>10604</v>
      </c>
      <c r="B3668" t="s">
        <v>4347</v>
      </c>
      <c r="C3668" t="s">
        <v>6938</v>
      </c>
      <c r="D3668" s="1">
        <v>45480</v>
      </c>
      <c r="E3668" s="1">
        <v>45487</v>
      </c>
      <c r="F3668" s="1">
        <v>45497</v>
      </c>
      <c r="G3668">
        <v>30.89</v>
      </c>
      <c r="H36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68" t="str">
        <f>IFERROR(INDEX(Raw_orders!G:G, MATCH(shipments[[#This Row],[order_id]],Raw_orders!A:A, 0)), "Unknown")</f>
        <v>Baltics</v>
      </c>
      <c r="J3668" t="str">
        <f>PROPER(shipments[[#This Row],[delivery_status]])</f>
        <v>Delivered</v>
      </c>
      <c r="K3668" t="s">
        <v>6922</v>
      </c>
    </row>
    <row r="3669" spans="1:11">
      <c r="A3669" t="s">
        <v>10605</v>
      </c>
      <c r="B3669" t="s">
        <v>4348</v>
      </c>
      <c r="C3669" t="s">
        <v>6928</v>
      </c>
      <c r="D3669" s="1">
        <v>45047</v>
      </c>
      <c r="E3669" s="1">
        <v>45049</v>
      </c>
      <c r="F3669" s="1">
        <v>45048</v>
      </c>
      <c r="G3669">
        <v>37.520000000000003</v>
      </c>
      <c r="H36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69" t="str">
        <f>IFERROR(INDEX(Raw_orders!G:G, MATCH(shipments[[#This Row],[order_id]],Raw_orders!A:A, 0)), "Unknown")</f>
        <v>Nordics</v>
      </c>
      <c r="J3669" t="str">
        <f>PROPER(shipments[[#This Row],[delivery_status]])</f>
        <v>Delivered</v>
      </c>
      <c r="K3669" t="s">
        <v>6929</v>
      </c>
    </row>
    <row r="3670" spans="1:11">
      <c r="A3670" t="s">
        <v>10606</v>
      </c>
      <c r="B3670" t="s">
        <v>4349</v>
      </c>
      <c r="C3670" t="s">
        <v>6921</v>
      </c>
      <c r="D3670" s="1">
        <v>45324</v>
      </c>
      <c r="E3670" s="1">
        <v>45331</v>
      </c>
      <c r="F3670" s="1">
        <v>45331</v>
      </c>
      <c r="G3670">
        <v>18.66</v>
      </c>
      <c r="H36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70" t="str">
        <f>IFERROR(INDEX(Raw_orders!G:G, MATCH(shipments[[#This Row],[order_id]],Raw_orders!A:A, 0)), "Unknown")</f>
        <v>Nordics</v>
      </c>
      <c r="J3670" t="str">
        <f>PROPER(shipments[[#This Row],[delivery_status]])</f>
        <v>Delivered</v>
      </c>
      <c r="K3670" t="s">
        <v>6929</v>
      </c>
    </row>
    <row r="3671" spans="1:11">
      <c r="A3671" t="s">
        <v>10607</v>
      </c>
      <c r="B3671" t="s">
        <v>4350</v>
      </c>
      <c r="C3671" t="s">
        <v>6935</v>
      </c>
      <c r="D3671" s="1">
        <v>44954</v>
      </c>
      <c r="E3671" s="1">
        <v>44959</v>
      </c>
      <c r="F3671" s="1">
        <v>44962</v>
      </c>
      <c r="G3671">
        <v>13.05</v>
      </c>
      <c r="H36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71" t="str">
        <f>IFERROR(INDEX(Raw_orders!G:G, MATCH(shipments[[#This Row],[order_id]],Raw_orders!A:A, 0)), "Unknown")</f>
        <v>Central Europe</v>
      </c>
      <c r="J3671" t="str">
        <f>PROPER(shipments[[#This Row],[delivery_status]])</f>
        <v>Delivered</v>
      </c>
      <c r="K3671" t="s">
        <v>6922</v>
      </c>
    </row>
    <row r="3672" spans="1:11">
      <c r="A3672" t="s">
        <v>10608</v>
      </c>
      <c r="B3672" t="s">
        <v>4351</v>
      </c>
      <c r="C3672" t="s">
        <v>6928</v>
      </c>
      <c r="D3672" s="1">
        <v>45049</v>
      </c>
      <c r="E3672" s="1">
        <v>45054</v>
      </c>
      <c r="F3672" s="1">
        <v>45053</v>
      </c>
      <c r="G3672">
        <v>43.02</v>
      </c>
      <c r="H36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72" t="str">
        <f>IFERROR(INDEX(Raw_orders!G:G, MATCH(shipments[[#This Row],[order_id]],Raw_orders!A:A, 0)), "Unknown")</f>
        <v>Central Europe</v>
      </c>
      <c r="J3672" t="str">
        <f>PROPER(shipments[[#This Row],[delivery_status]])</f>
        <v>Delivered</v>
      </c>
      <c r="K3672" t="s">
        <v>6922</v>
      </c>
    </row>
    <row r="3673" spans="1:11">
      <c r="A3673" t="s">
        <v>10609</v>
      </c>
      <c r="B3673" t="s">
        <v>4352</v>
      </c>
      <c r="C3673" t="s">
        <v>6938</v>
      </c>
      <c r="D3673" s="1">
        <v>45455</v>
      </c>
      <c r="E3673" s="1">
        <v>45458</v>
      </c>
      <c r="F3673" s="1">
        <v>45463</v>
      </c>
      <c r="G3673">
        <v>51.32</v>
      </c>
      <c r="H36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73" t="str">
        <f>IFERROR(INDEX(Raw_orders!G:G, MATCH(shipments[[#This Row],[order_id]],Raw_orders!A:A, 0)), "Unknown")</f>
        <v>Nordics</v>
      </c>
      <c r="J3673" t="str">
        <f>PROPER(shipments[[#This Row],[delivery_status]])</f>
        <v>Delivered</v>
      </c>
      <c r="K3673" t="s">
        <v>6922</v>
      </c>
    </row>
    <row r="3674" spans="1:11">
      <c r="A3674" t="s">
        <v>10610</v>
      </c>
      <c r="B3674" t="s">
        <v>4353</v>
      </c>
      <c r="C3674" t="s">
        <v>6949</v>
      </c>
      <c r="D3674" s="1">
        <v>44957</v>
      </c>
      <c r="E3674" s="1">
        <v>44960</v>
      </c>
      <c r="F3674" s="1">
        <v>44965</v>
      </c>
      <c r="G3674">
        <v>42.53</v>
      </c>
      <c r="H36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74" t="str">
        <f>IFERROR(INDEX(Raw_orders!G:G, MATCH(shipments[[#This Row],[order_id]],Raw_orders!A:A, 0)), "Unknown")</f>
        <v>Nordics</v>
      </c>
      <c r="J3674" t="str">
        <f>PROPER(shipments[[#This Row],[delivery_status]])</f>
        <v>Delivered</v>
      </c>
      <c r="K3674" t="s">
        <v>6922</v>
      </c>
    </row>
    <row r="3675" spans="1:11">
      <c r="A3675" t="s">
        <v>10611</v>
      </c>
      <c r="B3675" t="s">
        <v>4354</v>
      </c>
      <c r="C3675" t="s">
        <v>6956</v>
      </c>
      <c r="D3675" s="1">
        <v>45285</v>
      </c>
      <c r="E3675" s="1">
        <v>45292</v>
      </c>
      <c r="F3675" s="1">
        <v>45292</v>
      </c>
      <c r="G3675">
        <v>47.45</v>
      </c>
      <c r="H36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75" t="str">
        <f>IFERROR(INDEX(Raw_orders!G:G, MATCH(shipments[[#This Row],[order_id]],Raw_orders!A:A, 0)), "Unknown")</f>
        <v>Central Europe</v>
      </c>
      <c r="J3675" t="str">
        <f>PROPER(shipments[[#This Row],[delivery_status]])</f>
        <v>Delivered</v>
      </c>
      <c r="K3675" t="s">
        <v>6929</v>
      </c>
    </row>
    <row r="3676" spans="1:11">
      <c r="A3676" t="s">
        <v>10612</v>
      </c>
      <c r="B3676" t="s">
        <v>4355</v>
      </c>
      <c r="C3676" t="s">
        <v>6928</v>
      </c>
      <c r="D3676" s="1">
        <v>45518</v>
      </c>
      <c r="E3676" s="1">
        <v>45528</v>
      </c>
      <c r="F3676" s="1"/>
      <c r="G3676">
        <v>11.05</v>
      </c>
      <c r="H36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676" t="str">
        <f>IFERROR(INDEX(Raw_orders!G:G, MATCH(shipments[[#This Row],[order_id]],Raw_orders!A:A, 0)), "Unknown")</f>
        <v>Central Europe</v>
      </c>
      <c r="J3676" t="str">
        <f>PROPER(shipments[[#This Row],[delivery_status]])</f>
        <v>In Transit</v>
      </c>
      <c r="K3676" t="s">
        <v>6958</v>
      </c>
    </row>
    <row r="3677" spans="1:11">
      <c r="A3677" t="s">
        <v>10613</v>
      </c>
      <c r="B3677" t="s">
        <v>4356</v>
      </c>
      <c r="C3677" t="s">
        <v>6940</v>
      </c>
      <c r="D3677" s="1">
        <v>45542</v>
      </c>
      <c r="E3677" s="1">
        <v>45547</v>
      </c>
      <c r="F3677" s="1">
        <v>45547</v>
      </c>
      <c r="G3677">
        <v>22.98</v>
      </c>
      <c r="H36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77" t="str">
        <f>IFERROR(INDEX(Raw_orders!G:G, MATCH(shipments[[#This Row],[order_id]],Raw_orders!A:A, 0)), "Unknown")</f>
        <v>Baltics</v>
      </c>
      <c r="J3677" t="str">
        <f>PROPER(shipments[[#This Row],[delivery_status]])</f>
        <v>Delivered</v>
      </c>
      <c r="K3677" t="s">
        <v>6926</v>
      </c>
    </row>
    <row r="3678" spans="1:11">
      <c r="A3678" t="s">
        <v>10614</v>
      </c>
      <c r="B3678" t="s">
        <v>4357</v>
      </c>
      <c r="C3678" t="s">
        <v>6940</v>
      </c>
      <c r="D3678" s="1">
        <v>44982</v>
      </c>
      <c r="E3678" s="1">
        <v>44987</v>
      </c>
      <c r="F3678" s="1">
        <v>44987</v>
      </c>
      <c r="G3678">
        <v>21.78</v>
      </c>
      <c r="H36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78" t="str">
        <f>IFERROR(INDEX(Raw_orders!G:G, MATCH(shipments[[#This Row],[order_id]],Raw_orders!A:A, 0)), "Unknown")</f>
        <v>Central Europe</v>
      </c>
      <c r="J3678" t="str">
        <f>PROPER(shipments[[#This Row],[delivery_status]])</f>
        <v>Delivered</v>
      </c>
      <c r="K3678" t="s">
        <v>6922</v>
      </c>
    </row>
    <row r="3679" spans="1:11">
      <c r="A3679" t="s">
        <v>10615</v>
      </c>
      <c r="B3679" t="s">
        <v>4358</v>
      </c>
      <c r="C3679" t="s">
        <v>6921</v>
      </c>
      <c r="D3679" s="1">
        <v>45141</v>
      </c>
      <c r="E3679" s="1">
        <v>45151</v>
      </c>
      <c r="F3679" s="1"/>
      <c r="G3679">
        <v>40.630000000000003</v>
      </c>
      <c r="H36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679" t="str">
        <f>IFERROR(INDEX(Raw_orders!G:G, MATCH(shipments[[#This Row],[order_id]],Raw_orders!A:A, 0)), "Unknown")</f>
        <v>Nordics</v>
      </c>
      <c r="J3679" t="str">
        <f>PROPER(shipments[[#This Row],[delivery_status]])</f>
        <v>Cancelled</v>
      </c>
      <c r="K3679" t="s">
        <v>6979</v>
      </c>
    </row>
    <row r="3680" spans="1:11">
      <c r="A3680" t="s">
        <v>10616</v>
      </c>
      <c r="B3680" t="s">
        <v>4359</v>
      </c>
      <c r="C3680" t="s">
        <v>6956</v>
      </c>
      <c r="D3680" s="1">
        <v>45086</v>
      </c>
      <c r="E3680" s="1">
        <v>45088</v>
      </c>
      <c r="F3680" s="1">
        <v>45091</v>
      </c>
      <c r="G3680">
        <v>58.52</v>
      </c>
      <c r="H36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80" t="str">
        <f>IFERROR(INDEX(Raw_orders!G:G, MATCH(shipments[[#This Row],[order_id]],Raw_orders!A:A, 0)), "Unknown")</f>
        <v>Baltics</v>
      </c>
      <c r="J3680" t="str">
        <f>PROPER(shipments[[#This Row],[delivery_status]])</f>
        <v>Delivered</v>
      </c>
      <c r="K3680" t="s">
        <v>6926</v>
      </c>
    </row>
    <row r="3681" spans="1:11">
      <c r="A3681" t="s">
        <v>10617</v>
      </c>
      <c r="B3681" t="s">
        <v>4360</v>
      </c>
      <c r="C3681" t="s">
        <v>6925</v>
      </c>
      <c r="D3681" s="1">
        <v>45600</v>
      </c>
      <c r="E3681" s="1">
        <v>45610</v>
      </c>
      <c r="F3681" s="1">
        <v>45611</v>
      </c>
      <c r="G3681">
        <v>26.55</v>
      </c>
      <c r="H36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81" t="str">
        <f>IFERROR(INDEX(Raw_orders!G:G, MATCH(shipments[[#This Row],[order_id]],Raw_orders!A:A, 0)), "Unknown")</f>
        <v>Central Europe</v>
      </c>
      <c r="J3681" t="str">
        <f>PROPER(shipments[[#This Row],[delivery_status]])</f>
        <v>Delivered</v>
      </c>
      <c r="K3681" t="s">
        <v>6922</v>
      </c>
    </row>
    <row r="3682" spans="1:11">
      <c r="A3682" t="s">
        <v>10618</v>
      </c>
      <c r="B3682" t="s">
        <v>4361</v>
      </c>
      <c r="C3682" t="s">
        <v>6938</v>
      </c>
      <c r="D3682" s="1">
        <v>45249</v>
      </c>
      <c r="E3682" s="1">
        <v>45251</v>
      </c>
      <c r="F3682" s="1">
        <v>45251</v>
      </c>
      <c r="G3682">
        <v>47.61</v>
      </c>
      <c r="H36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82" t="str">
        <f>IFERROR(INDEX(Raw_orders!G:G, MATCH(shipments[[#This Row],[order_id]],Raw_orders!A:A, 0)), "Unknown")</f>
        <v>Central Europe</v>
      </c>
      <c r="J3682" t="str">
        <f>PROPER(shipments[[#This Row],[delivery_status]])</f>
        <v>Delivered</v>
      </c>
      <c r="K3682" t="s">
        <v>6922</v>
      </c>
    </row>
    <row r="3683" spans="1:11">
      <c r="A3683" t="s">
        <v>10619</v>
      </c>
      <c r="B3683" t="s">
        <v>4362</v>
      </c>
      <c r="C3683" t="s">
        <v>6925</v>
      </c>
      <c r="D3683" s="1">
        <v>45353</v>
      </c>
      <c r="E3683" s="1">
        <v>45358</v>
      </c>
      <c r="F3683" s="1">
        <v>45359</v>
      </c>
      <c r="G3683">
        <v>7.87</v>
      </c>
      <c r="H36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83" t="str">
        <f>IFERROR(INDEX(Raw_orders!G:G, MATCH(shipments[[#This Row],[order_id]],Raw_orders!A:A, 0)), "Unknown")</f>
        <v>Nordics</v>
      </c>
      <c r="J3683" t="str">
        <f>PROPER(shipments[[#This Row],[delivery_status]])</f>
        <v>Delivered</v>
      </c>
      <c r="K3683" t="s">
        <v>6926</v>
      </c>
    </row>
    <row r="3684" spans="1:11">
      <c r="A3684" t="s">
        <v>10620</v>
      </c>
      <c r="B3684" t="s">
        <v>4363</v>
      </c>
      <c r="C3684" t="s">
        <v>6940</v>
      </c>
      <c r="D3684" s="1">
        <v>45627</v>
      </c>
      <c r="E3684" s="1">
        <v>45634</v>
      </c>
      <c r="F3684" s="1">
        <v>45636</v>
      </c>
      <c r="G3684">
        <v>40.76</v>
      </c>
      <c r="H36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84" t="str">
        <f>IFERROR(INDEX(Raw_orders!G:G, MATCH(shipments[[#This Row],[order_id]],Raw_orders!A:A, 0)), "Unknown")</f>
        <v>Nordics</v>
      </c>
      <c r="J3684" t="str">
        <f>PROPER(shipments[[#This Row],[delivery_status]])</f>
        <v>Delivered</v>
      </c>
      <c r="K3684" t="s">
        <v>6929</v>
      </c>
    </row>
    <row r="3685" spans="1:11">
      <c r="A3685" t="s">
        <v>10621</v>
      </c>
      <c r="B3685" t="s">
        <v>4364</v>
      </c>
      <c r="C3685" t="s">
        <v>6935</v>
      </c>
      <c r="D3685" s="1">
        <v>45220</v>
      </c>
      <c r="E3685" s="1">
        <v>45227</v>
      </c>
      <c r="F3685" s="1">
        <v>45227</v>
      </c>
      <c r="G3685">
        <v>59.98</v>
      </c>
      <c r="H36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85" t="str">
        <f>IFERROR(INDEX(Raw_orders!G:G, MATCH(shipments[[#This Row],[order_id]],Raw_orders!A:A, 0)), "Unknown")</f>
        <v>Central Europe</v>
      </c>
      <c r="J3685" t="str">
        <f>PROPER(shipments[[#This Row],[delivery_status]])</f>
        <v>Delivered</v>
      </c>
      <c r="K3685" t="s">
        <v>6929</v>
      </c>
    </row>
    <row r="3686" spans="1:11">
      <c r="A3686" t="s">
        <v>10622</v>
      </c>
      <c r="B3686" t="s">
        <v>4365</v>
      </c>
      <c r="C3686" t="s">
        <v>6921</v>
      </c>
      <c r="D3686" s="1">
        <v>45074</v>
      </c>
      <c r="E3686" s="1">
        <v>45081</v>
      </c>
      <c r="F3686" s="1"/>
      <c r="G3686">
        <v>62.76</v>
      </c>
      <c r="H36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686" t="str">
        <f>IFERROR(INDEX(Raw_orders!G:G, MATCH(shipments[[#This Row],[order_id]],Raw_orders!A:A, 0)), "Unknown")</f>
        <v>Nordics</v>
      </c>
      <c r="J3686" t="str">
        <f>PROPER(shipments[[#This Row],[delivery_status]])</f>
        <v>In Transit</v>
      </c>
      <c r="K3686" t="s">
        <v>6958</v>
      </c>
    </row>
    <row r="3687" spans="1:11">
      <c r="A3687" t="s">
        <v>10623</v>
      </c>
      <c r="B3687" t="s">
        <v>4366</v>
      </c>
      <c r="C3687" t="s">
        <v>6925</v>
      </c>
      <c r="D3687" s="1">
        <v>45039</v>
      </c>
      <c r="E3687" s="1">
        <v>45042</v>
      </c>
      <c r="F3687" s="1">
        <v>45042</v>
      </c>
      <c r="G3687">
        <v>62.04</v>
      </c>
      <c r="H36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87" t="str">
        <f>IFERROR(INDEX(Raw_orders!G:G, MATCH(shipments[[#This Row],[order_id]],Raw_orders!A:A, 0)), "Unknown")</f>
        <v>Central Europe</v>
      </c>
      <c r="J3687" t="str">
        <f>PROPER(shipments[[#This Row],[delivery_status]])</f>
        <v>Delivered</v>
      </c>
      <c r="K3687" t="s">
        <v>6929</v>
      </c>
    </row>
    <row r="3688" spans="1:11">
      <c r="A3688" t="s">
        <v>10624</v>
      </c>
      <c r="B3688" t="s">
        <v>4367</v>
      </c>
      <c r="C3688" t="s">
        <v>6935</v>
      </c>
      <c r="D3688" s="1">
        <v>45430</v>
      </c>
      <c r="E3688" s="1">
        <v>45437</v>
      </c>
      <c r="F3688" s="1">
        <v>45438</v>
      </c>
      <c r="G3688">
        <v>46.99</v>
      </c>
      <c r="H36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88" t="str">
        <f>IFERROR(INDEX(Raw_orders!G:G, MATCH(shipments[[#This Row],[order_id]],Raw_orders!A:A, 0)), "Unknown")</f>
        <v>Baltics</v>
      </c>
      <c r="J3688" t="str">
        <f>PROPER(shipments[[#This Row],[delivery_status]])</f>
        <v>Delivered</v>
      </c>
      <c r="K3688" t="s">
        <v>6929</v>
      </c>
    </row>
    <row r="3689" spans="1:11">
      <c r="A3689" t="s">
        <v>10625</v>
      </c>
      <c r="B3689" t="s">
        <v>4368</v>
      </c>
      <c r="C3689" t="s">
        <v>6938</v>
      </c>
      <c r="D3689" s="1">
        <v>45015</v>
      </c>
      <c r="E3689" s="1">
        <v>45017</v>
      </c>
      <c r="F3689" s="1">
        <v>45016</v>
      </c>
      <c r="G3689">
        <v>43.26</v>
      </c>
      <c r="H36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89" t="str">
        <f>IFERROR(INDEX(Raw_orders!G:G, MATCH(shipments[[#This Row],[order_id]],Raw_orders!A:A, 0)), "Unknown")</f>
        <v>Central Europe</v>
      </c>
      <c r="J3689" t="str">
        <f>PROPER(shipments[[#This Row],[delivery_status]])</f>
        <v>Delivered</v>
      </c>
      <c r="K3689" t="s">
        <v>6929</v>
      </c>
    </row>
    <row r="3690" spans="1:11">
      <c r="A3690" t="s">
        <v>10626</v>
      </c>
      <c r="B3690" t="s">
        <v>4369</v>
      </c>
      <c r="C3690" t="s">
        <v>6956</v>
      </c>
      <c r="D3690" s="1">
        <v>45624</v>
      </c>
      <c r="E3690" s="1">
        <v>45626</v>
      </c>
      <c r="F3690" s="1">
        <v>45629</v>
      </c>
      <c r="G3690">
        <v>62.11</v>
      </c>
      <c r="H36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90" t="str">
        <f>IFERROR(INDEX(Raw_orders!G:G, MATCH(shipments[[#This Row],[order_id]],Raw_orders!A:A, 0)), "Unknown")</f>
        <v>Baltics</v>
      </c>
      <c r="J3690" t="str">
        <f>PROPER(shipments[[#This Row],[delivery_status]])</f>
        <v>Delivered</v>
      </c>
      <c r="K3690" t="s">
        <v>6926</v>
      </c>
    </row>
    <row r="3691" spans="1:11">
      <c r="A3691" t="s">
        <v>10627</v>
      </c>
      <c r="B3691" t="s">
        <v>4370</v>
      </c>
      <c r="C3691" t="s">
        <v>6949</v>
      </c>
      <c r="D3691" s="1">
        <v>45327</v>
      </c>
      <c r="E3691" s="1">
        <v>45330</v>
      </c>
      <c r="F3691" s="1">
        <v>45338</v>
      </c>
      <c r="G3691">
        <v>8.7899999999999991</v>
      </c>
      <c r="H36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91" t="str">
        <f>IFERROR(INDEX(Raw_orders!G:G, MATCH(shipments[[#This Row],[order_id]],Raw_orders!A:A, 0)), "Unknown")</f>
        <v>Nordics</v>
      </c>
      <c r="J3691" t="str">
        <f>PROPER(shipments[[#This Row],[delivery_status]])</f>
        <v>Delivered</v>
      </c>
      <c r="K3691" t="s">
        <v>6929</v>
      </c>
    </row>
    <row r="3692" spans="1:11">
      <c r="A3692" t="s">
        <v>10628</v>
      </c>
      <c r="B3692" t="s">
        <v>4371</v>
      </c>
      <c r="C3692" t="s">
        <v>6928</v>
      </c>
      <c r="D3692" s="1">
        <v>45502</v>
      </c>
      <c r="E3692" s="1">
        <v>45505</v>
      </c>
      <c r="F3692" s="1">
        <v>45513</v>
      </c>
      <c r="G3692">
        <v>39.549999999999997</v>
      </c>
      <c r="H36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92" t="str">
        <f>IFERROR(INDEX(Raw_orders!G:G, MATCH(shipments[[#This Row],[order_id]],Raw_orders!A:A, 0)), "Unknown")</f>
        <v>Central Europe</v>
      </c>
      <c r="J3692" t="str">
        <f>PROPER(shipments[[#This Row],[delivery_status]])</f>
        <v>Delivered</v>
      </c>
      <c r="K3692" t="s">
        <v>6929</v>
      </c>
    </row>
    <row r="3693" spans="1:11">
      <c r="A3693" t="s">
        <v>10629</v>
      </c>
      <c r="B3693" t="s">
        <v>4372</v>
      </c>
      <c r="C3693" t="s">
        <v>6921</v>
      </c>
      <c r="D3693" s="1">
        <v>44972</v>
      </c>
      <c r="E3693" s="1">
        <v>44982</v>
      </c>
      <c r="F3693" s="1">
        <v>44982</v>
      </c>
      <c r="G3693">
        <v>53.31</v>
      </c>
      <c r="H36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93" t="str">
        <f>IFERROR(INDEX(Raw_orders!G:G, MATCH(shipments[[#This Row],[order_id]],Raw_orders!A:A, 0)), "Unknown")</f>
        <v>Central Europe</v>
      </c>
      <c r="J3693" t="str">
        <f>PROPER(shipments[[#This Row],[delivery_status]])</f>
        <v>Delivered</v>
      </c>
      <c r="K3693" t="s">
        <v>6922</v>
      </c>
    </row>
    <row r="3694" spans="1:11">
      <c r="A3694" t="s">
        <v>10630</v>
      </c>
      <c r="B3694" t="s">
        <v>4373</v>
      </c>
      <c r="C3694" t="s">
        <v>6938</v>
      </c>
      <c r="D3694" s="1">
        <v>45097</v>
      </c>
      <c r="E3694" s="1">
        <v>45100</v>
      </c>
      <c r="F3694" s="1">
        <v>45105</v>
      </c>
      <c r="G3694">
        <v>20.03</v>
      </c>
      <c r="H36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94" t="str">
        <f>IFERROR(INDEX(Raw_orders!G:G, MATCH(shipments[[#This Row],[order_id]],Raw_orders!A:A, 0)), "Unknown")</f>
        <v>Central Europe</v>
      </c>
      <c r="J3694" t="str">
        <f>PROPER(shipments[[#This Row],[delivery_status]])</f>
        <v>Delivered</v>
      </c>
      <c r="K3694" t="s">
        <v>6926</v>
      </c>
    </row>
    <row r="3695" spans="1:11">
      <c r="A3695" t="s">
        <v>10631</v>
      </c>
      <c r="B3695" t="s">
        <v>4374</v>
      </c>
      <c r="C3695" t="s">
        <v>6921</v>
      </c>
      <c r="D3695" s="1">
        <v>45477</v>
      </c>
      <c r="E3695" s="1">
        <v>45482</v>
      </c>
      <c r="F3695" s="1">
        <v>45482</v>
      </c>
      <c r="G3695">
        <v>24.44</v>
      </c>
      <c r="H36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95" t="str">
        <f>IFERROR(INDEX(Raw_orders!G:G, MATCH(shipments[[#This Row],[order_id]],Raw_orders!A:A, 0)), "Unknown")</f>
        <v>Nordics</v>
      </c>
      <c r="J3695" t="str">
        <f>PROPER(shipments[[#This Row],[delivery_status]])</f>
        <v>Delivered</v>
      </c>
      <c r="K3695" t="s">
        <v>6922</v>
      </c>
    </row>
    <row r="3696" spans="1:11">
      <c r="A3696" t="s">
        <v>10632</v>
      </c>
      <c r="B3696" t="s">
        <v>4375</v>
      </c>
      <c r="C3696" t="s">
        <v>6940</v>
      </c>
      <c r="D3696" s="1">
        <v>45398</v>
      </c>
      <c r="E3696" s="1">
        <v>45400</v>
      </c>
      <c r="F3696" s="1">
        <v>45403</v>
      </c>
      <c r="G3696">
        <v>19.600000000000001</v>
      </c>
      <c r="H36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96" t="str">
        <f>IFERROR(INDEX(Raw_orders!G:G, MATCH(shipments[[#This Row],[order_id]],Raw_orders!A:A, 0)), "Unknown")</f>
        <v>Nordics</v>
      </c>
      <c r="J3696" t="str">
        <f>PROPER(shipments[[#This Row],[delivery_status]])</f>
        <v>Delivered</v>
      </c>
      <c r="K3696" t="s">
        <v>6922</v>
      </c>
    </row>
    <row r="3697" spans="1:11">
      <c r="A3697" t="s">
        <v>10633</v>
      </c>
      <c r="B3697" t="s">
        <v>4376</v>
      </c>
      <c r="C3697" t="s">
        <v>6931</v>
      </c>
      <c r="D3697" s="1">
        <v>45521</v>
      </c>
      <c r="E3697" s="1">
        <v>45523</v>
      </c>
      <c r="F3697" s="1">
        <v>45525</v>
      </c>
      <c r="G3697">
        <v>47.12</v>
      </c>
      <c r="H36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97" t="str">
        <f>IFERROR(INDEX(Raw_orders!G:G, MATCH(shipments[[#This Row],[order_id]],Raw_orders!A:A, 0)), "Unknown")</f>
        <v>Baltics</v>
      </c>
      <c r="J3697" t="str">
        <f>PROPER(shipments[[#This Row],[delivery_status]])</f>
        <v>Delivered</v>
      </c>
      <c r="K3697" t="s">
        <v>6922</v>
      </c>
    </row>
    <row r="3698" spans="1:11">
      <c r="A3698" t="s">
        <v>10634</v>
      </c>
      <c r="B3698" t="s">
        <v>4377</v>
      </c>
      <c r="C3698" t="s">
        <v>6935</v>
      </c>
      <c r="D3698" s="1">
        <v>45360</v>
      </c>
      <c r="E3698" s="1">
        <v>45363</v>
      </c>
      <c r="F3698" s="1">
        <v>45362</v>
      </c>
      <c r="G3698">
        <v>32.78</v>
      </c>
      <c r="H36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698" t="str">
        <f>IFERROR(INDEX(Raw_orders!G:G, MATCH(shipments[[#This Row],[order_id]],Raw_orders!A:A, 0)), "Unknown")</f>
        <v>Nordics</v>
      </c>
      <c r="J3698" t="str">
        <f>PROPER(shipments[[#This Row],[delivery_status]])</f>
        <v>Delivered</v>
      </c>
      <c r="K3698" t="s">
        <v>6926</v>
      </c>
    </row>
    <row r="3699" spans="1:11">
      <c r="A3699" t="s">
        <v>10635</v>
      </c>
      <c r="B3699" t="s">
        <v>4378</v>
      </c>
      <c r="C3699" t="s">
        <v>6940</v>
      </c>
      <c r="D3699" s="1">
        <v>45301</v>
      </c>
      <c r="E3699" s="1">
        <v>45304</v>
      </c>
      <c r="F3699" s="1">
        <v>45316</v>
      </c>
      <c r="G3699">
        <v>31.77</v>
      </c>
      <c r="H36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699" t="str">
        <f>IFERROR(INDEX(Raw_orders!G:G, MATCH(shipments[[#This Row],[order_id]],Raw_orders!A:A, 0)), "Unknown")</f>
        <v>Nordics</v>
      </c>
      <c r="J3699" t="str">
        <f>PROPER(shipments[[#This Row],[delivery_status]])</f>
        <v>Delivered</v>
      </c>
      <c r="K3699" t="s">
        <v>6929</v>
      </c>
    </row>
    <row r="3700" spans="1:11">
      <c r="A3700" t="s">
        <v>10636</v>
      </c>
      <c r="B3700" t="s">
        <v>4379</v>
      </c>
      <c r="C3700" t="s">
        <v>6956</v>
      </c>
      <c r="D3700" s="1">
        <v>45176</v>
      </c>
      <c r="E3700" s="1">
        <v>45179</v>
      </c>
      <c r="F3700" s="1"/>
      <c r="G3700">
        <v>6.69</v>
      </c>
      <c r="H37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700" t="str">
        <f>IFERROR(INDEX(Raw_orders!G:G, MATCH(shipments[[#This Row],[order_id]],Raw_orders!A:A, 0)), "Unknown")</f>
        <v>Nordics</v>
      </c>
      <c r="J3700" t="str">
        <f>PROPER(shipments[[#This Row],[delivery_status]])</f>
        <v>In Transit</v>
      </c>
      <c r="K3700" t="s">
        <v>6977</v>
      </c>
    </row>
    <row r="3701" spans="1:11">
      <c r="A3701" t="s">
        <v>10637</v>
      </c>
      <c r="B3701" t="s">
        <v>4380</v>
      </c>
      <c r="C3701" t="s">
        <v>6938</v>
      </c>
      <c r="D3701" s="1">
        <v>45250</v>
      </c>
      <c r="E3701" s="1">
        <v>45252</v>
      </c>
      <c r="F3701" s="1">
        <v>45258</v>
      </c>
      <c r="G3701">
        <v>25.21</v>
      </c>
      <c r="H37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01" t="str">
        <f>IFERROR(INDEX(Raw_orders!G:G, MATCH(shipments[[#This Row],[order_id]],Raw_orders!A:A, 0)), "Unknown")</f>
        <v>Baltics</v>
      </c>
      <c r="J3701" t="str">
        <f>PROPER(shipments[[#This Row],[delivery_status]])</f>
        <v>Delivered</v>
      </c>
      <c r="K3701" t="s">
        <v>6929</v>
      </c>
    </row>
    <row r="3702" spans="1:11">
      <c r="A3702" t="s">
        <v>10638</v>
      </c>
      <c r="B3702" t="s">
        <v>4381</v>
      </c>
      <c r="C3702" t="s">
        <v>6949</v>
      </c>
      <c r="D3702" s="1">
        <v>45030</v>
      </c>
      <c r="E3702" s="1">
        <v>45037</v>
      </c>
      <c r="F3702" s="1">
        <v>45040</v>
      </c>
      <c r="G3702">
        <v>54.33</v>
      </c>
      <c r="H37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02" t="str">
        <f>IFERROR(INDEX(Raw_orders!G:G, MATCH(shipments[[#This Row],[order_id]],Raw_orders!A:A, 0)), "Unknown")</f>
        <v>Nordics</v>
      </c>
      <c r="J3702" t="str">
        <f>PROPER(shipments[[#This Row],[delivery_status]])</f>
        <v>Delivered</v>
      </c>
      <c r="K3702" t="s">
        <v>6922</v>
      </c>
    </row>
    <row r="3703" spans="1:11">
      <c r="A3703" t="s">
        <v>10639</v>
      </c>
      <c r="B3703" t="s">
        <v>4382</v>
      </c>
      <c r="C3703" t="s">
        <v>6921</v>
      </c>
      <c r="D3703" s="1">
        <v>45560</v>
      </c>
      <c r="E3703" s="1">
        <v>45570</v>
      </c>
      <c r="F3703" s="1">
        <v>45570</v>
      </c>
      <c r="G3703">
        <v>61.63</v>
      </c>
      <c r="H37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703" t="str">
        <f>IFERROR(INDEX(Raw_orders!G:G, MATCH(shipments[[#This Row],[order_id]],Raw_orders!A:A, 0)), "Unknown")</f>
        <v>Nordics</v>
      </c>
      <c r="J3703" t="str">
        <f>PROPER(shipments[[#This Row],[delivery_status]])</f>
        <v>Delivered</v>
      </c>
      <c r="K3703" t="s">
        <v>6922</v>
      </c>
    </row>
    <row r="3704" spans="1:11">
      <c r="A3704" t="s">
        <v>10640</v>
      </c>
      <c r="B3704" t="s">
        <v>4383</v>
      </c>
      <c r="C3704" t="s">
        <v>6935</v>
      </c>
      <c r="D3704" s="1">
        <v>45373</v>
      </c>
      <c r="E3704" s="1">
        <v>45383</v>
      </c>
      <c r="F3704" s="1">
        <v>45393</v>
      </c>
      <c r="G3704">
        <v>9.7200000000000006</v>
      </c>
      <c r="H37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04" t="str">
        <f>IFERROR(INDEX(Raw_orders!G:G, MATCH(shipments[[#This Row],[order_id]],Raw_orders!A:A, 0)), "Unknown")</f>
        <v>Baltics</v>
      </c>
      <c r="J3704" t="str">
        <f>PROPER(shipments[[#This Row],[delivery_status]])</f>
        <v>Delivered</v>
      </c>
      <c r="K3704" t="s">
        <v>6922</v>
      </c>
    </row>
    <row r="3705" spans="1:11">
      <c r="A3705" t="s">
        <v>10641</v>
      </c>
      <c r="B3705" t="s">
        <v>4384</v>
      </c>
      <c r="C3705" t="s">
        <v>6928</v>
      </c>
      <c r="D3705" s="1">
        <v>45426</v>
      </c>
      <c r="E3705" s="1">
        <v>45433</v>
      </c>
      <c r="F3705" s="1">
        <v>45436</v>
      </c>
      <c r="G3705">
        <v>45.4</v>
      </c>
      <c r="H37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05" t="str">
        <f>IFERROR(INDEX(Raw_orders!G:G, MATCH(shipments[[#This Row],[order_id]],Raw_orders!A:A, 0)), "Unknown")</f>
        <v>Nordics</v>
      </c>
      <c r="J3705" t="str">
        <f>PROPER(shipments[[#This Row],[delivery_status]])</f>
        <v>Delivered</v>
      </c>
      <c r="K3705" t="s">
        <v>6922</v>
      </c>
    </row>
    <row r="3706" spans="1:11">
      <c r="A3706" t="s">
        <v>10642</v>
      </c>
      <c r="B3706" t="s">
        <v>4385</v>
      </c>
      <c r="C3706" t="s">
        <v>6940</v>
      </c>
      <c r="D3706" s="1">
        <v>45347</v>
      </c>
      <c r="E3706" s="1">
        <v>45352</v>
      </c>
      <c r="F3706" s="1">
        <v>45360</v>
      </c>
      <c r="G3706">
        <v>58.43</v>
      </c>
      <c r="H37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06" t="str">
        <f>IFERROR(INDEX(Raw_orders!G:G, MATCH(shipments[[#This Row],[order_id]],Raw_orders!A:A, 0)), "Unknown")</f>
        <v>Central Europe</v>
      </c>
      <c r="J3706" t="str">
        <f>PROPER(shipments[[#This Row],[delivery_status]])</f>
        <v>Delivered</v>
      </c>
      <c r="K3706" t="s">
        <v>6922</v>
      </c>
    </row>
    <row r="3707" spans="1:11">
      <c r="A3707" t="s">
        <v>10643</v>
      </c>
      <c r="B3707" t="s">
        <v>4386</v>
      </c>
      <c r="C3707" t="s">
        <v>6925</v>
      </c>
      <c r="D3707" s="1">
        <v>45340</v>
      </c>
      <c r="E3707" s="1">
        <v>45345</v>
      </c>
      <c r="F3707" s="1">
        <v>45350</v>
      </c>
      <c r="G3707">
        <v>42.87</v>
      </c>
      <c r="H37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07" t="str">
        <f>IFERROR(INDEX(Raw_orders!G:G, MATCH(shipments[[#This Row],[order_id]],Raw_orders!A:A, 0)), "Unknown")</f>
        <v>Central Europe</v>
      </c>
      <c r="J3707" t="str">
        <f>PROPER(shipments[[#This Row],[delivery_status]])</f>
        <v>Delivered</v>
      </c>
      <c r="K3707" t="s">
        <v>6929</v>
      </c>
    </row>
    <row r="3708" spans="1:11">
      <c r="A3708" t="s">
        <v>10644</v>
      </c>
      <c r="B3708" t="s">
        <v>4387</v>
      </c>
      <c r="C3708" t="s">
        <v>6925</v>
      </c>
      <c r="D3708" s="1">
        <v>45577</v>
      </c>
      <c r="E3708" s="1">
        <v>45580</v>
      </c>
      <c r="F3708" s="1">
        <v>45588</v>
      </c>
      <c r="G3708">
        <v>29.39</v>
      </c>
      <c r="H37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08" t="str">
        <f>IFERROR(INDEX(Raw_orders!G:G, MATCH(shipments[[#This Row],[order_id]],Raw_orders!A:A, 0)), "Unknown")</f>
        <v>Nordics</v>
      </c>
      <c r="J3708" t="str">
        <f>PROPER(shipments[[#This Row],[delivery_status]])</f>
        <v>Delivered</v>
      </c>
      <c r="K3708" t="s">
        <v>6926</v>
      </c>
    </row>
    <row r="3709" spans="1:11">
      <c r="A3709" t="s">
        <v>10645</v>
      </c>
      <c r="B3709" t="s">
        <v>4388</v>
      </c>
      <c r="C3709" t="s">
        <v>6935</v>
      </c>
      <c r="D3709" s="1">
        <v>45312</v>
      </c>
      <c r="E3709" s="1">
        <v>45314</v>
      </c>
      <c r="F3709" s="1">
        <v>45316</v>
      </c>
      <c r="G3709">
        <v>14.49</v>
      </c>
      <c r="H37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09" t="str">
        <f>IFERROR(INDEX(Raw_orders!G:G, MATCH(shipments[[#This Row],[order_id]],Raw_orders!A:A, 0)), "Unknown")</f>
        <v>Baltics</v>
      </c>
      <c r="J3709" t="str">
        <f>PROPER(shipments[[#This Row],[delivery_status]])</f>
        <v>Delivered</v>
      </c>
      <c r="K3709" t="s">
        <v>6926</v>
      </c>
    </row>
    <row r="3710" spans="1:11">
      <c r="A3710" t="s">
        <v>10646</v>
      </c>
      <c r="B3710" t="s">
        <v>4389</v>
      </c>
      <c r="C3710" t="s">
        <v>6931</v>
      </c>
      <c r="D3710" s="1">
        <v>45309</v>
      </c>
      <c r="E3710" s="1">
        <v>45319</v>
      </c>
      <c r="F3710" s="1"/>
      <c r="G3710">
        <v>18.77</v>
      </c>
      <c r="H37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710" t="str">
        <f>IFERROR(INDEX(Raw_orders!G:G, MATCH(shipments[[#This Row],[order_id]],Raw_orders!A:A, 0)), "Unknown")</f>
        <v>Baltics</v>
      </c>
      <c r="J3710" t="str">
        <f>PROPER(shipments[[#This Row],[delivery_status]])</f>
        <v>Cancelled</v>
      </c>
      <c r="K3710" t="s">
        <v>6972</v>
      </c>
    </row>
    <row r="3711" spans="1:11">
      <c r="A3711" t="s">
        <v>10647</v>
      </c>
      <c r="B3711" t="s">
        <v>4390</v>
      </c>
      <c r="C3711" t="s">
        <v>6925</v>
      </c>
      <c r="D3711" s="1">
        <v>45413</v>
      </c>
      <c r="E3711" s="1">
        <v>45416</v>
      </c>
      <c r="F3711" s="1">
        <v>45424</v>
      </c>
      <c r="G3711">
        <v>17.66</v>
      </c>
      <c r="H37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11" t="str">
        <f>IFERROR(INDEX(Raw_orders!G:G, MATCH(shipments[[#This Row],[order_id]],Raw_orders!A:A, 0)), "Unknown")</f>
        <v>Nordics</v>
      </c>
      <c r="J3711" t="str">
        <f>PROPER(shipments[[#This Row],[delivery_status]])</f>
        <v>Delivered</v>
      </c>
      <c r="K3711" t="s">
        <v>6926</v>
      </c>
    </row>
    <row r="3712" spans="1:11">
      <c r="A3712" t="s">
        <v>10648</v>
      </c>
      <c r="B3712" t="s">
        <v>4391</v>
      </c>
      <c r="C3712" t="s">
        <v>6931</v>
      </c>
      <c r="D3712" s="1">
        <v>45160</v>
      </c>
      <c r="E3712" s="1">
        <v>45170</v>
      </c>
      <c r="F3712" s="1">
        <v>45173</v>
      </c>
      <c r="G3712">
        <v>60.55</v>
      </c>
      <c r="H37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12" t="str">
        <f>IFERROR(INDEX(Raw_orders!G:G, MATCH(shipments[[#This Row],[order_id]],Raw_orders!A:A, 0)), "Unknown")</f>
        <v>Baltics</v>
      </c>
      <c r="J3712" t="str">
        <f>PROPER(shipments[[#This Row],[delivery_status]])</f>
        <v>Delivered</v>
      </c>
      <c r="K3712" t="s">
        <v>6929</v>
      </c>
    </row>
    <row r="3713" spans="1:11">
      <c r="A3713" t="s">
        <v>10649</v>
      </c>
      <c r="B3713" t="s">
        <v>4392</v>
      </c>
      <c r="C3713" t="s">
        <v>6928</v>
      </c>
      <c r="D3713" s="1">
        <v>45325</v>
      </c>
      <c r="E3713" s="1">
        <v>45327</v>
      </c>
      <c r="F3713" s="1">
        <v>45334</v>
      </c>
      <c r="G3713">
        <v>29.91</v>
      </c>
      <c r="H37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13" t="str">
        <f>IFERROR(INDEX(Raw_orders!G:G, MATCH(shipments[[#This Row],[order_id]],Raw_orders!A:A, 0)), "Unknown")</f>
        <v>Baltics</v>
      </c>
      <c r="J3713" t="str">
        <f>PROPER(shipments[[#This Row],[delivery_status]])</f>
        <v>Delivered</v>
      </c>
      <c r="K3713" t="s">
        <v>6926</v>
      </c>
    </row>
    <row r="3714" spans="1:11">
      <c r="A3714" t="s">
        <v>10650</v>
      </c>
      <c r="B3714" t="s">
        <v>4393</v>
      </c>
      <c r="C3714" t="s">
        <v>6921</v>
      </c>
      <c r="D3714" s="1">
        <v>45187</v>
      </c>
      <c r="E3714" s="1">
        <v>45197</v>
      </c>
      <c r="F3714" s="1">
        <v>45197</v>
      </c>
      <c r="G3714">
        <v>58.04</v>
      </c>
      <c r="H37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714" t="str">
        <f>IFERROR(INDEX(Raw_orders!G:G, MATCH(shipments[[#This Row],[order_id]],Raw_orders!A:A, 0)), "Unknown")</f>
        <v>Baltics</v>
      </c>
      <c r="J3714" t="str">
        <f>PROPER(shipments[[#This Row],[delivery_status]])</f>
        <v>Delivered</v>
      </c>
      <c r="K3714" t="s">
        <v>6922</v>
      </c>
    </row>
    <row r="3715" spans="1:11">
      <c r="A3715" t="s">
        <v>10651</v>
      </c>
      <c r="B3715" t="s">
        <v>4394</v>
      </c>
      <c r="C3715" t="s">
        <v>6928</v>
      </c>
      <c r="D3715" s="1">
        <v>45323</v>
      </c>
      <c r="E3715" s="1">
        <v>45325</v>
      </c>
      <c r="F3715" s="1">
        <v>45328</v>
      </c>
      <c r="G3715">
        <v>44.95</v>
      </c>
      <c r="H37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15" t="str">
        <f>IFERROR(INDEX(Raw_orders!G:G, MATCH(shipments[[#This Row],[order_id]],Raw_orders!A:A, 0)), "Unknown")</f>
        <v>Central Europe</v>
      </c>
      <c r="J3715" t="str">
        <f>PROPER(shipments[[#This Row],[delivery_status]])</f>
        <v>Delivered</v>
      </c>
      <c r="K3715" t="s">
        <v>6922</v>
      </c>
    </row>
    <row r="3716" spans="1:11">
      <c r="A3716" t="s">
        <v>10652</v>
      </c>
      <c r="B3716" t="s">
        <v>4395</v>
      </c>
      <c r="C3716" t="s">
        <v>6931</v>
      </c>
      <c r="D3716" s="1">
        <v>45125</v>
      </c>
      <c r="E3716" s="1">
        <v>45132</v>
      </c>
      <c r="F3716" s="1">
        <v>45132</v>
      </c>
      <c r="G3716">
        <v>18.2</v>
      </c>
      <c r="H37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716" t="str">
        <f>IFERROR(INDEX(Raw_orders!G:G, MATCH(shipments[[#This Row],[order_id]],Raw_orders!A:A, 0)), "Unknown")</f>
        <v>Central Europe</v>
      </c>
      <c r="J3716" t="str">
        <f>PROPER(shipments[[#This Row],[delivery_status]])</f>
        <v>Delivered</v>
      </c>
      <c r="K3716" t="s">
        <v>6922</v>
      </c>
    </row>
    <row r="3717" spans="1:11">
      <c r="A3717" t="s">
        <v>10653</v>
      </c>
      <c r="B3717" t="s">
        <v>4396</v>
      </c>
      <c r="C3717" t="s">
        <v>6935</v>
      </c>
      <c r="D3717" s="1">
        <v>45548</v>
      </c>
      <c r="E3717" s="1">
        <v>45551</v>
      </c>
      <c r="F3717" s="1"/>
      <c r="G3717">
        <v>21.56</v>
      </c>
      <c r="H37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717" t="str">
        <f>IFERROR(INDEX(Raw_orders!G:G, MATCH(shipments[[#This Row],[order_id]],Raw_orders!A:A, 0)), "Unknown")</f>
        <v>Central Europe</v>
      </c>
      <c r="J3717" t="str">
        <f>PROPER(shipments[[#This Row],[delivery_status]])</f>
        <v>Cancelled</v>
      </c>
      <c r="K3717" t="s">
        <v>6972</v>
      </c>
    </row>
    <row r="3718" spans="1:11">
      <c r="A3718" t="s">
        <v>10654</v>
      </c>
      <c r="B3718" t="s">
        <v>4397</v>
      </c>
      <c r="C3718" t="s">
        <v>6938</v>
      </c>
      <c r="D3718" s="1">
        <v>44955</v>
      </c>
      <c r="E3718" s="1">
        <v>44957</v>
      </c>
      <c r="F3718" s="1">
        <v>44962</v>
      </c>
      <c r="G3718">
        <v>32.39</v>
      </c>
      <c r="H37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18" t="str">
        <f>IFERROR(INDEX(Raw_orders!G:G, MATCH(shipments[[#This Row],[order_id]],Raw_orders!A:A, 0)), "Unknown")</f>
        <v>Baltics</v>
      </c>
      <c r="J3718" t="str">
        <f>PROPER(shipments[[#This Row],[delivery_status]])</f>
        <v>Delivered</v>
      </c>
      <c r="K3718" t="s">
        <v>6929</v>
      </c>
    </row>
    <row r="3719" spans="1:11">
      <c r="A3719" t="s">
        <v>10655</v>
      </c>
      <c r="B3719" t="s">
        <v>4398</v>
      </c>
      <c r="C3719" t="s">
        <v>6938</v>
      </c>
      <c r="D3719" s="1">
        <v>45300</v>
      </c>
      <c r="E3719" s="1">
        <v>45305</v>
      </c>
      <c r="F3719" s="1"/>
      <c r="G3719">
        <v>9.3800000000000008</v>
      </c>
      <c r="H37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719" t="str">
        <f>IFERROR(INDEX(Raw_orders!G:G, MATCH(shipments[[#This Row],[order_id]],Raw_orders!A:A, 0)), "Unknown")</f>
        <v>Nordics</v>
      </c>
      <c r="J3719" t="str">
        <f>PROPER(shipments[[#This Row],[delivery_status]])</f>
        <v>In Transit</v>
      </c>
      <c r="K3719" t="s">
        <v>6958</v>
      </c>
    </row>
    <row r="3720" spans="1:11">
      <c r="A3720" t="s">
        <v>10656</v>
      </c>
      <c r="B3720" t="s">
        <v>4399</v>
      </c>
      <c r="C3720" t="s">
        <v>6940</v>
      </c>
      <c r="D3720" s="1">
        <v>45585</v>
      </c>
      <c r="E3720" s="1">
        <v>45587</v>
      </c>
      <c r="F3720" s="1">
        <v>45588</v>
      </c>
      <c r="G3720">
        <v>16.510000000000002</v>
      </c>
      <c r="H37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20" t="str">
        <f>IFERROR(INDEX(Raw_orders!G:G, MATCH(shipments[[#This Row],[order_id]],Raw_orders!A:A, 0)), "Unknown")</f>
        <v>Nordics</v>
      </c>
      <c r="J3720" t="str">
        <f>PROPER(shipments[[#This Row],[delivery_status]])</f>
        <v>Delivered</v>
      </c>
      <c r="K3720" t="s">
        <v>6922</v>
      </c>
    </row>
    <row r="3721" spans="1:11">
      <c r="A3721" t="s">
        <v>10657</v>
      </c>
      <c r="B3721" t="s">
        <v>4400</v>
      </c>
      <c r="C3721" t="s">
        <v>6938</v>
      </c>
      <c r="D3721" s="1">
        <v>45326</v>
      </c>
      <c r="E3721" s="1">
        <v>45336</v>
      </c>
      <c r="F3721" s="1"/>
      <c r="G3721">
        <v>26.39</v>
      </c>
      <c r="H37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721" t="str">
        <f>IFERROR(INDEX(Raw_orders!G:G, MATCH(shipments[[#This Row],[order_id]],Raw_orders!A:A, 0)), "Unknown")</f>
        <v>Nordics</v>
      </c>
      <c r="J3721" t="str">
        <f>PROPER(shipments[[#This Row],[delivery_status]])</f>
        <v>In Transit</v>
      </c>
      <c r="K3721" t="s">
        <v>6946</v>
      </c>
    </row>
    <row r="3722" spans="1:11">
      <c r="A3722" t="s">
        <v>10658</v>
      </c>
      <c r="B3722" t="s">
        <v>4401</v>
      </c>
      <c r="C3722" t="s">
        <v>6931</v>
      </c>
      <c r="D3722" s="1">
        <v>45285</v>
      </c>
      <c r="E3722" s="1">
        <v>45295</v>
      </c>
      <c r="F3722" s="1">
        <v>45294</v>
      </c>
      <c r="G3722">
        <v>34.94</v>
      </c>
      <c r="H37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722" t="str">
        <f>IFERROR(INDEX(Raw_orders!G:G, MATCH(shipments[[#This Row],[order_id]],Raw_orders!A:A, 0)), "Unknown")</f>
        <v>Baltics</v>
      </c>
      <c r="J3722" t="str">
        <f>PROPER(shipments[[#This Row],[delivery_status]])</f>
        <v>Delivered</v>
      </c>
      <c r="K3722" t="s">
        <v>6929</v>
      </c>
    </row>
    <row r="3723" spans="1:11">
      <c r="A3723" t="s">
        <v>10659</v>
      </c>
      <c r="B3723" t="s">
        <v>4402</v>
      </c>
      <c r="C3723" t="s">
        <v>6940</v>
      </c>
      <c r="D3723" s="1">
        <v>45139</v>
      </c>
      <c r="E3723" s="1">
        <v>45146</v>
      </c>
      <c r="F3723" s="1">
        <v>45158</v>
      </c>
      <c r="G3723">
        <v>55.17</v>
      </c>
      <c r="H37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23" t="str">
        <f>IFERROR(INDEX(Raw_orders!G:G, MATCH(shipments[[#This Row],[order_id]],Raw_orders!A:A, 0)), "Unknown")</f>
        <v>Baltics</v>
      </c>
      <c r="J3723" t="str">
        <f>PROPER(shipments[[#This Row],[delivery_status]])</f>
        <v>Delivered</v>
      </c>
      <c r="K3723" t="s">
        <v>6926</v>
      </c>
    </row>
    <row r="3724" spans="1:11">
      <c r="A3724" t="s">
        <v>10660</v>
      </c>
      <c r="B3724" t="s">
        <v>4403</v>
      </c>
      <c r="C3724" t="s">
        <v>6956</v>
      </c>
      <c r="D3724" s="1">
        <v>45416</v>
      </c>
      <c r="E3724" s="1">
        <v>45423</v>
      </c>
      <c r="F3724" s="1">
        <v>45428</v>
      </c>
      <c r="G3724">
        <v>41.17</v>
      </c>
      <c r="H37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24" t="str">
        <f>IFERROR(INDEX(Raw_orders!G:G, MATCH(shipments[[#This Row],[order_id]],Raw_orders!A:A, 0)), "Unknown")</f>
        <v>Baltics</v>
      </c>
      <c r="J3724" t="str">
        <f>PROPER(shipments[[#This Row],[delivery_status]])</f>
        <v>Delivered</v>
      </c>
      <c r="K3724" t="s">
        <v>6926</v>
      </c>
    </row>
    <row r="3725" spans="1:11">
      <c r="A3725" t="s">
        <v>10661</v>
      </c>
      <c r="B3725" t="s">
        <v>4404</v>
      </c>
      <c r="C3725" t="s">
        <v>6935</v>
      </c>
      <c r="D3725" s="1">
        <v>45217</v>
      </c>
      <c r="E3725" s="1">
        <v>45220</v>
      </c>
      <c r="F3725" s="1">
        <v>45221</v>
      </c>
      <c r="H37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25" t="str">
        <f>IFERROR(INDEX(Raw_orders!G:G, MATCH(shipments[[#This Row],[order_id]],Raw_orders!A:A, 0)), "Unknown")</f>
        <v>Central Europe</v>
      </c>
      <c r="J3725" t="str">
        <f>PROPER(shipments[[#This Row],[delivery_status]])</f>
        <v>Delivered</v>
      </c>
      <c r="K3725" t="s">
        <v>6922</v>
      </c>
    </row>
    <row r="3726" spans="1:11">
      <c r="A3726" t="s">
        <v>10662</v>
      </c>
      <c r="B3726" t="s">
        <v>4405</v>
      </c>
      <c r="C3726" t="s">
        <v>6940</v>
      </c>
      <c r="D3726" s="1">
        <v>45082</v>
      </c>
      <c r="E3726" s="1">
        <v>45084</v>
      </c>
      <c r="F3726" s="1">
        <v>45084</v>
      </c>
      <c r="G3726">
        <v>10.61</v>
      </c>
      <c r="H37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726" t="str">
        <f>IFERROR(INDEX(Raw_orders!G:G, MATCH(shipments[[#This Row],[order_id]],Raw_orders!A:A, 0)), "Unknown")</f>
        <v>Nordics</v>
      </c>
      <c r="J3726" t="str">
        <f>PROPER(shipments[[#This Row],[delivery_status]])</f>
        <v>Delivered</v>
      </c>
      <c r="K3726" t="s">
        <v>6922</v>
      </c>
    </row>
    <row r="3727" spans="1:11">
      <c r="A3727" t="s">
        <v>10663</v>
      </c>
      <c r="B3727" t="s">
        <v>4406</v>
      </c>
      <c r="C3727" t="s">
        <v>6956</v>
      </c>
      <c r="D3727" s="1">
        <v>45129</v>
      </c>
      <c r="E3727" s="1">
        <v>45134</v>
      </c>
      <c r="F3727" s="1">
        <v>45134</v>
      </c>
      <c r="G3727">
        <v>54.38</v>
      </c>
      <c r="H37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727" t="str">
        <f>IFERROR(INDEX(Raw_orders!G:G, MATCH(shipments[[#This Row],[order_id]],Raw_orders!A:A, 0)), "Unknown")</f>
        <v>Baltics</v>
      </c>
      <c r="J3727" t="str">
        <f>PROPER(shipments[[#This Row],[delivery_status]])</f>
        <v>Delivered</v>
      </c>
      <c r="K3727" t="s">
        <v>6922</v>
      </c>
    </row>
    <row r="3728" spans="1:11">
      <c r="A3728" t="s">
        <v>10664</v>
      </c>
      <c r="B3728" t="s">
        <v>4407</v>
      </c>
      <c r="C3728" t="s">
        <v>6940</v>
      </c>
      <c r="D3728" s="1">
        <v>45205</v>
      </c>
      <c r="E3728" s="1">
        <v>45215</v>
      </c>
      <c r="F3728" s="1">
        <v>45228</v>
      </c>
      <c r="G3728">
        <v>50.49</v>
      </c>
      <c r="H37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28" t="str">
        <f>IFERROR(INDEX(Raw_orders!G:G, MATCH(shipments[[#This Row],[order_id]],Raw_orders!A:A, 0)), "Unknown")</f>
        <v>Central Europe</v>
      </c>
      <c r="J3728" t="str">
        <f>PROPER(shipments[[#This Row],[delivery_status]])</f>
        <v>Delivered</v>
      </c>
      <c r="K3728" t="s">
        <v>6922</v>
      </c>
    </row>
    <row r="3729" spans="1:11">
      <c r="A3729" t="s">
        <v>10665</v>
      </c>
      <c r="B3729" t="s">
        <v>4408</v>
      </c>
      <c r="C3729" t="s">
        <v>6925</v>
      </c>
      <c r="D3729" s="1">
        <v>45088</v>
      </c>
      <c r="E3729" s="1">
        <v>45090</v>
      </c>
      <c r="F3729" s="1">
        <v>45091</v>
      </c>
      <c r="G3729">
        <v>21.35</v>
      </c>
      <c r="H37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29" t="str">
        <f>IFERROR(INDEX(Raw_orders!G:G, MATCH(shipments[[#This Row],[order_id]],Raw_orders!A:A, 0)), "Unknown")</f>
        <v>Nordics</v>
      </c>
      <c r="J3729" t="str">
        <f>PROPER(shipments[[#This Row],[delivery_status]])</f>
        <v>Delivered</v>
      </c>
      <c r="K3729" t="s">
        <v>6929</v>
      </c>
    </row>
    <row r="3730" spans="1:11">
      <c r="A3730" t="s">
        <v>10666</v>
      </c>
      <c r="B3730" t="s">
        <v>4409</v>
      </c>
      <c r="C3730" t="s">
        <v>6956</v>
      </c>
      <c r="D3730" s="1">
        <v>45175</v>
      </c>
      <c r="E3730" s="1">
        <v>45185</v>
      </c>
      <c r="F3730" s="1"/>
      <c r="G3730">
        <v>35.24</v>
      </c>
      <c r="H37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730" t="str">
        <f>IFERROR(INDEX(Raw_orders!G:G, MATCH(shipments[[#This Row],[order_id]],Raw_orders!A:A, 0)), "Unknown")</f>
        <v>Nordics</v>
      </c>
      <c r="J3730" t="str">
        <f>PROPER(shipments[[#This Row],[delivery_status]])</f>
        <v>Cancelled</v>
      </c>
      <c r="K3730" t="s">
        <v>6972</v>
      </c>
    </row>
    <row r="3731" spans="1:11">
      <c r="A3731" t="s">
        <v>10667</v>
      </c>
      <c r="B3731" t="s">
        <v>4410</v>
      </c>
      <c r="C3731" t="s">
        <v>6940</v>
      </c>
      <c r="D3731" s="1">
        <v>45249</v>
      </c>
      <c r="E3731" s="1">
        <v>45259</v>
      </c>
      <c r="F3731" s="1">
        <v>45259</v>
      </c>
      <c r="G3731">
        <v>9.2200000000000006</v>
      </c>
      <c r="H37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731" t="str">
        <f>IFERROR(INDEX(Raw_orders!G:G, MATCH(shipments[[#This Row],[order_id]],Raw_orders!A:A, 0)), "Unknown")</f>
        <v>Nordics</v>
      </c>
      <c r="J3731" t="str">
        <f>PROPER(shipments[[#This Row],[delivery_status]])</f>
        <v>Delivered</v>
      </c>
      <c r="K3731" t="s">
        <v>6929</v>
      </c>
    </row>
    <row r="3732" spans="1:11">
      <c r="A3732" t="s">
        <v>10668</v>
      </c>
      <c r="B3732" t="s">
        <v>4411</v>
      </c>
      <c r="C3732" t="s">
        <v>6925</v>
      </c>
      <c r="D3732" s="1">
        <v>45321</v>
      </c>
      <c r="E3732" s="1">
        <v>45324</v>
      </c>
      <c r="F3732" s="1">
        <v>45335</v>
      </c>
      <c r="G3732">
        <v>15.49</v>
      </c>
      <c r="H37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32" t="str">
        <f>IFERROR(INDEX(Raw_orders!G:G, MATCH(shipments[[#This Row],[order_id]],Raw_orders!A:A, 0)), "Unknown")</f>
        <v>Nordics</v>
      </c>
      <c r="J3732" t="str">
        <f>PROPER(shipments[[#This Row],[delivery_status]])</f>
        <v>Delivered</v>
      </c>
      <c r="K3732" t="s">
        <v>6926</v>
      </c>
    </row>
    <row r="3733" spans="1:11">
      <c r="A3733" t="s">
        <v>10669</v>
      </c>
      <c r="B3733" t="s">
        <v>4412</v>
      </c>
      <c r="C3733" t="s">
        <v>6925</v>
      </c>
      <c r="D3733" s="1">
        <v>44989</v>
      </c>
      <c r="E3733" s="1">
        <v>44992</v>
      </c>
      <c r="F3733" s="1">
        <v>44995</v>
      </c>
      <c r="G3733">
        <v>39.299999999999997</v>
      </c>
      <c r="H37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33" t="str">
        <f>IFERROR(INDEX(Raw_orders!G:G, MATCH(shipments[[#This Row],[order_id]],Raw_orders!A:A, 0)), "Unknown")</f>
        <v>Nordics</v>
      </c>
      <c r="J3733" t="str">
        <f>PROPER(shipments[[#This Row],[delivery_status]])</f>
        <v>Delivered</v>
      </c>
      <c r="K3733" t="s">
        <v>6922</v>
      </c>
    </row>
    <row r="3734" spans="1:11">
      <c r="A3734" t="s">
        <v>10670</v>
      </c>
      <c r="B3734" t="s">
        <v>4413</v>
      </c>
      <c r="C3734" t="s">
        <v>6935</v>
      </c>
      <c r="D3734" s="1">
        <v>45316</v>
      </c>
      <c r="E3734" s="1">
        <v>45318</v>
      </c>
      <c r="F3734" s="1">
        <v>45321</v>
      </c>
      <c r="G3734">
        <v>49.69</v>
      </c>
      <c r="H37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34" t="str">
        <f>IFERROR(INDEX(Raw_orders!G:G, MATCH(shipments[[#This Row],[order_id]],Raw_orders!A:A, 0)), "Unknown")</f>
        <v>Central Europe</v>
      </c>
      <c r="J3734" t="str">
        <f>PROPER(shipments[[#This Row],[delivery_status]])</f>
        <v>Delivered</v>
      </c>
      <c r="K3734" t="s">
        <v>6922</v>
      </c>
    </row>
    <row r="3735" spans="1:11">
      <c r="A3735" t="s">
        <v>10671</v>
      </c>
      <c r="B3735" t="s">
        <v>4414</v>
      </c>
      <c r="C3735" t="s">
        <v>6925</v>
      </c>
      <c r="D3735" s="1">
        <v>45081</v>
      </c>
      <c r="E3735" s="1">
        <v>45083</v>
      </c>
      <c r="F3735" s="1">
        <v>45084</v>
      </c>
      <c r="G3735">
        <v>18.64</v>
      </c>
      <c r="H37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35" t="str">
        <f>IFERROR(INDEX(Raw_orders!G:G, MATCH(shipments[[#This Row],[order_id]],Raw_orders!A:A, 0)), "Unknown")</f>
        <v>Central Europe</v>
      </c>
      <c r="J3735" t="str">
        <f>PROPER(shipments[[#This Row],[delivery_status]])</f>
        <v>Delivered</v>
      </c>
      <c r="K3735" t="s">
        <v>6929</v>
      </c>
    </row>
    <row r="3736" spans="1:11">
      <c r="A3736" t="s">
        <v>10672</v>
      </c>
      <c r="B3736" t="s">
        <v>4415</v>
      </c>
      <c r="C3736" t="s">
        <v>6940</v>
      </c>
      <c r="D3736" s="1">
        <v>45570</v>
      </c>
      <c r="E3736" s="1">
        <v>45573</v>
      </c>
      <c r="F3736" s="1">
        <v>45578</v>
      </c>
      <c r="G3736">
        <v>14.06</v>
      </c>
      <c r="H37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36" t="str">
        <f>IFERROR(INDEX(Raw_orders!G:G, MATCH(shipments[[#This Row],[order_id]],Raw_orders!A:A, 0)), "Unknown")</f>
        <v>Baltics</v>
      </c>
      <c r="J3736" t="str">
        <f>PROPER(shipments[[#This Row],[delivery_status]])</f>
        <v>Delivered</v>
      </c>
      <c r="K3736" t="s">
        <v>6929</v>
      </c>
    </row>
    <row r="3737" spans="1:11">
      <c r="A3737" t="s">
        <v>10673</v>
      </c>
      <c r="B3737" t="s">
        <v>4416</v>
      </c>
      <c r="C3737" t="s">
        <v>6935</v>
      </c>
      <c r="D3737" s="1">
        <v>45570</v>
      </c>
      <c r="E3737" s="1">
        <v>45577</v>
      </c>
      <c r="F3737" s="1">
        <v>45578</v>
      </c>
      <c r="G3737">
        <v>13.39</v>
      </c>
      <c r="H37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37" t="str">
        <f>IFERROR(INDEX(Raw_orders!G:G, MATCH(shipments[[#This Row],[order_id]],Raw_orders!A:A, 0)), "Unknown")</f>
        <v>Baltics</v>
      </c>
      <c r="J3737" t="str">
        <f>PROPER(shipments[[#This Row],[delivery_status]])</f>
        <v>Delivered</v>
      </c>
      <c r="K3737" t="s">
        <v>6926</v>
      </c>
    </row>
    <row r="3738" spans="1:11">
      <c r="A3738" t="s">
        <v>10674</v>
      </c>
      <c r="B3738" t="s">
        <v>4417</v>
      </c>
      <c r="C3738" t="s">
        <v>6940</v>
      </c>
      <c r="D3738" s="1">
        <v>45523</v>
      </c>
      <c r="E3738" s="1">
        <v>45530</v>
      </c>
      <c r="F3738" s="1">
        <v>45536</v>
      </c>
      <c r="G3738">
        <v>55.04</v>
      </c>
      <c r="H37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38" t="str">
        <f>IFERROR(INDEX(Raw_orders!G:G, MATCH(shipments[[#This Row],[order_id]],Raw_orders!A:A, 0)), "Unknown")</f>
        <v>Nordics</v>
      </c>
      <c r="J3738" t="str">
        <f>PROPER(shipments[[#This Row],[delivery_status]])</f>
        <v>Delivered</v>
      </c>
      <c r="K3738" t="s">
        <v>6926</v>
      </c>
    </row>
    <row r="3739" spans="1:11">
      <c r="A3739" t="s">
        <v>10675</v>
      </c>
      <c r="B3739" t="s">
        <v>4418</v>
      </c>
      <c r="C3739" t="s">
        <v>6940</v>
      </c>
      <c r="D3739" s="1">
        <v>44967</v>
      </c>
      <c r="E3739" s="1">
        <v>44977</v>
      </c>
      <c r="F3739" s="1">
        <v>44977</v>
      </c>
      <c r="G3739">
        <v>17.18</v>
      </c>
      <c r="H37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739" t="str">
        <f>IFERROR(INDEX(Raw_orders!G:G, MATCH(shipments[[#This Row],[order_id]],Raw_orders!A:A, 0)), "Unknown")</f>
        <v>Central Europe</v>
      </c>
      <c r="J3739" t="str">
        <f>PROPER(shipments[[#This Row],[delivery_status]])</f>
        <v>Delivered</v>
      </c>
      <c r="K3739" t="s">
        <v>6922</v>
      </c>
    </row>
    <row r="3740" spans="1:11">
      <c r="A3740" t="s">
        <v>10676</v>
      </c>
      <c r="B3740" t="s">
        <v>4419</v>
      </c>
      <c r="C3740" t="s">
        <v>6935</v>
      </c>
      <c r="D3740" s="1">
        <v>45362</v>
      </c>
      <c r="E3740" s="1">
        <v>45365</v>
      </c>
      <c r="F3740" s="1">
        <v>45366</v>
      </c>
      <c r="G3740">
        <v>53.75</v>
      </c>
      <c r="H37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40" t="str">
        <f>IFERROR(INDEX(Raw_orders!G:G, MATCH(shipments[[#This Row],[order_id]],Raw_orders!A:A, 0)), "Unknown")</f>
        <v>Baltics</v>
      </c>
      <c r="J3740" t="str">
        <f>PROPER(shipments[[#This Row],[delivery_status]])</f>
        <v>Delivered</v>
      </c>
      <c r="K3740" t="s">
        <v>6929</v>
      </c>
    </row>
    <row r="3741" spans="1:11">
      <c r="A3741" t="s">
        <v>10677</v>
      </c>
      <c r="B3741" t="s">
        <v>4419</v>
      </c>
      <c r="C3741" t="s">
        <v>6938</v>
      </c>
      <c r="D3741" s="1">
        <v>45361</v>
      </c>
      <c r="E3741" s="1">
        <v>45371</v>
      </c>
      <c r="F3741" s="1">
        <v>45371</v>
      </c>
      <c r="G3741">
        <v>50.38</v>
      </c>
      <c r="H37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741" t="str">
        <f>IFERROR(INDEX(Raw_orders!G:G, MATCH(shipments[[#This Row],[order_id]],Raw_orders!A:A, 0)), "Unknown")</f>
        <v>Baltics</v>
      </c>
      <c r="J3741" t="str">
        <f>PROPER(shipments[[#This Row],[delivery_status]])</f>
        <v>Delivered</v>
      </c>
      <c r="K3741" t="s">
        <v>6929</v>
      </c>
    </row>
    <row r="3742" spans="1:11">
      <c r="A3742" t="s">
        <v>10678</v>
      </c>
      <c r="B3742" t="s">
        <v>4420</v>
      </c>
      <c r="C3742" t="s">
        <v>6921</v>
      </c>
      <c r="D3742" s="1">
        <v>45605</v>
      </c>
      <c r="E3742" s="1">
        <v>45612</v>
      </c>
      <c r="F3742" s="1">
        <v>45620</v>
      </c>
      <c r="G3742">
        <v>7.2</v>
      </c>
      <c r="H37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42" t="str">
        <f>IFERROR(INDEX(Raw_orders!G:G, MATCH(shipments[[#This Row],[order_id]],Raw_orders!A:A, 0)), "Unknown")</f>
        <v>Nordics</v>
      </c>
      <c r="J3742" t="str">
        <f>PROPER(shipments[[#This Row],[delivery_status]])</f>
        <v>Delivered</v>
      </c>
      <c r="K3742" t="s">
        <v>6922</v>
      </c>
    </row>
    <row r="3743" spans="1:11">
      <c r="A3743" t="s">
        <v>10679</v>
      </c>
      <c r="B3743" t="s">
        <v>4421</v>
      </c>
      <c r="C3743" t="s">
        <v>6940</v>
      </c>
      <c r="D3743" s="1">
        <v>45621</v>
      </c>
      <c r="E3743" s="1">
        <v>45623</v>
      </c>
      <c r="F3743" s="1">
        <v>45623</v>
      </c>
      <c r="G3743">
        <v>10.48</v>
      </c>
      <c r="H37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743" t="str">
        <f>IFERROR(INDEX(Raw_orders!G:G, MATCH(shipments[[#This Row],[order_id]],Raw_orders!A:A, 0)), "Unknown")</f>
        <v>Central Europe</v>
      </c>
      <c r="J3743" t="str">
        <f>PROPER(shipments[[#This Row],[delivery_status]])</f>
        <v>Delivered</v>
      </c>
      <c r="K3743" t="s">
        <v>6926</v>
      </c>
    </row>
    <row r="3744" spans="1:11">
      <c r="A3744" t="s">
        <v>10680</v>
      </c>
      <c r="B3744" t="s">
        <v>4422</v>
      </c>
      <c r="C3744" t="s">
        <v>6928</v>
      </c>
      <c r="D3744" s="1">
        <v>45064</v>
      </c>
      <c r="E3744" s="1">
        <v>45067</v>
      </c>
      <c r="F3744" s="1"/>
      <c r="G3744">
        <v>42.73</v>
      </c>
      <c r="H37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744" t="str">
        <f>IFERROR(INDEX(Raw_orders!G:G, MATCH(shipments[[#This Row],[order_id]],Raw_orders!A:A, 0)), "Unknown")</f>
        <v>Nordics</v>
      </c>
      <c r="J3744" t="str">
        <f>PROPER(shipments[[#This Row],[delivery_status]])</f>
        <v>In Transit</v>
      </c>
      <c r="K3744" t="s">
        <v>6958</v>
      </c>
    </row>
    <row r="3745" spans="1:11">
      <c r="A3745" t="s">
        <v>10681</v>
      </c>
      <c r="B3745" t="s">
        <v>4423</v>
      </c>
      <c r="C3745" t="s">
        <v>6956</v>
      </c>
      <c r="D3745" s="1">
        <v>45218</v>
      </c>
      <c r="E3745" s="1">
        <v>45221</v>
      </c>
      <c r="F3745" s="1">
        <v>45223</v>
      </c>
      <c r="G3745">
        <v>31.65</v>
      </c>
      <c r="H37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45" t="str">
        <f>IFERROR(INDEX(Raw_orders!G:G, MATCH(shipments[[#This Row],[order_id]],Raw_orders!A:A, 0)), "Unknown")</f>
        <v>Baltics</v>
      </c>
      <c r="J3745" t="str">
        <f>PROPER(shipments[[#This Row],[delivery_status]])</f>
        <v>Delivered</v>
      </c>
      <c r="K3745" t="s">
        <v>6929</v>
      </c>
    </row>
    <row r="3746" spans="1:11">
      <c r="A3746" t="s">
        <v>10682</v>
      </c>
      <c r="B3746" t="s">
        <v>4424</v>
      </c>
      <c r="C3746" t="s">
        <v>6925</v>
      </c>
      <c r="D3746" s="1">
        <v>45524</v>
      </c>
      <c r="E3746" s="1">
        <v>45534</v>
      </c>
      <c r="F3746" s="1">
        <v>45536</v>
      </c>
      <c r="G3746">
        <v>38.11</v>
      </c>
      <c r="H37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46" t="str">
        <f>IFERROR(INDEX(Raw_orders!G:G, MATCH(shipments[[#This Row],[order_id]],Raw_orders!A:A, 0)), "Unknown")</f>
        <v>Baltics</v>
      </c>
      <c r="J3746" t="str">
        <f>PROPER(shipments[[#This Row],[delivery_status]])</f>
        <v>Delivered</v>
      </c>
      <c r="K3746" t="s">
        <v>6926</v>
      </c>
    </row>
    <row r="3747" spans="1:11">
      <c r="A3747" t="s">
        <v>10683</v>
      </c>
      <c r="B3747" t="s">
        <v>4425</v>
      </c>
      <c r="C3747" t="s">
        <v>6925</v>
      </c>
      <c r="D3747" s="1">
        <v>45310</v>
      </c>
      <c r="E3747" s="1">
        <v>45313</v>
      </c>
      <c r="F3747" s="1">
        <v>45318</v>
      </c>
      <c r="G3747">
        <v>15.09</v>
      </c>
      <c r="H37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47" t="str">
        <f>IFERROR(INDEX(Raw_orders!G:G, MATCH(shipments[[#This Row],[order_id]],Raw_orders!A:A, 0)), "Unknown")</f>
        <v>Baltics</v>
      </c>
      <c r="J3747" t="str">
        <f>PROPER(shipments[[#This Row],[delivery_status]])</f>
        <v>Delivered</v>
      </c>
      <c r="K3747" t="s">
        <v>6922</v>
      </c>
    </row>
    <row r="3748" spans="1:11">
      <c r="A3748" t="s">
        <v>10684</v>
      </c>
      <c r="B3748" t="s">
        <v>4426</v>
      </c>
      <c r="C3748" t="s">
        <v>6921</v>
      </c>
      <c r="D3748" s="1">
        <v>45128</v>
      </c>
      <c r="E3748" s="1">
        <v>45133</v>
      </c>
      <c r="F3748" s="1">
        <v>45138</v>
      </c>
      <c r="G3748">
        <v>49.82</v>
      </c>
      <c r="H37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48" t="str">
        <f>IFERROR(INDEX(Raw_orders!G:G, MATCH(shipments[[#This Row],[order_id]],Raw_orders!A:A, 0)), "Unknown")</f>
        <v>Unknown</v>
      </c>
      <c r="J3748" t="str">
        <f>PROPER(shipments[[#This Row],[delivery_status]])</f>
        <v>Delivered</v>
      </c>
      <c r="K3748" t="s">
        <v>6926</v>
      </c>
    </row>
    <row r="3749" spans="1:11">
      <c r="A3749" t="s">
        <v>10685</v>
      </c>
      <c r="B3749" t="s">
        <v>4427</v>
      </c>
      <c r="C3749" t="s">
        <v>6938</v>
      </c>
      <c r="D3749" s="1">
        <v>45398</v>
      </c>
      <c r="E3749" s="1">
        <v>45405</v>
      </c>
      <c r="F3749" s="1">
        <v>45416</v>
      </c>
      <c r="G3749">
        <v>14.63</v>
      </c>
      <c r="H37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49" t="str">
        <f>IFERROR(INDEX(Raw_orders!G:G, MATCH(shipments[[#This Row],[order_id]],Raw_orders!A:A, 0)), "Unknown")</f>
        <v>Nordics</v>
      </c>
      <c r="J3749" t="str">
        <f>PROPER(shipments[[#This Row],[delivery_status]])</f>
        <v>Delivered</v>
      </c>
      <c r="K3749" t="s">
        <v>6926</v>
      </c>
    </row>
    <row r="3750" spans="1:11">
      <c r="A3750" t="s">
        <v>10686</v>
      </c>
      <c r="B3750" t="s">
        <v>4427</v>
      </c>
      <c r="C3750" t="s">
        <v>6938</v>
      </c>
      <c r="D3750" s="1">
        <v>45395</v>
      </c>
      <c r="E3750" s="1">
        <v>45398</v>
      </c>
      <c r="F3750" s="1">
        <v>45406</v>
      </c>
      <c r="G3750">
        <v>20.38</v>
      </c>
      <c r="H37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50" t="str">
        <f>IFERROR(INDEX(Raw_orders!G:G, MATCH(shipments[[#This Row],[order_id]],Raw_orders!A:A, 0)), "Unknown")</f>
        <v>Nordics</v>
      </c>
      <c r="J3750" t="str">
        <f>PROPER(shipments[[#This Row],[delivery_status]])</f>
        <v>Delivered</v>
      </c>
      <c r="K3750" t="s">
        <v>6929</v>
      </c>
    </row>
    <row r="3751" spans="1:11">
      <c r="A3751" t="s">
        <v>10687</v>
      </c>
      <c r="B3751" t="s">
        <v>4428</v>
      </c>
      <c r="C3751" t="s">
        <v>6956</v>
      </c>
      <c r="D3751" s="1">
        <v>44984</v>
      </c>
      <c r="E3751" s="1">
        <v>44987</v>
      </c>
      <c r="F3751" s="1">
        <v>44999</v>
      </c>
      <c r="G3751">
        <v>52.84</v>
      </c>
      <c r="H37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51" t="str">
        <f>IFERROR(INDEX(Raw_orders!G:G, MATCH(shipments[[#This Row],[order_id]],Raw_orders!A:A, 0)), "Unknown")</f>
        <v>Central Europe</v>
      </c>
      <c r="J3751" t="str">
        <f>PROPER(shipments[[#This Row],[delivery_status]])</f>
        <v>Delivered</v>
      </c>
      <c r="K3751" t="s">
        <v>6922</v>
      </c>
    </row>
    <row r="3752" spans="1:11">
      <c r="A3752" t="s">
        <v>10688</v>
      </c>
      <c r="B3752" t="s">
        <v>4429</v>
      </c>
      <c r="C3752" t="s">
        <v>6956</v>
      </c>
      <c r="D3752" s="1">
        <v>45514</v>
      </c>
      <c r="E3752" s="1">
        <v>45519</v>
      </c>
      <c r="F3752" s="1">
        <v>45520</v>
      </c>
      <c r="G3752">
        <v>63.74</v>
      </c>
      <c r="H37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52" t="str">
        <f>IFERROR(INDEX(Raw_orders!G:G, MATCH(shipments[[#This Row],[order_id]],Raw_orders!A:A, 0)), "Unknown")</f>
        <v>Central Europe</v>
      </c>
      <c r="J3752" t="str">
        <f>PROPER(shipments[[#This Row],[delivery_status]])</f>
        <v>Delivered</v>
      </c>
      <c r="K3752" t="s">
        <v>6926</v>
      </c>
    </row>
    <row r="3753" spans="1:11">
      <c r="A3753" t="s">
        <v>10689</v>
      </c>
      <c r="B3753" t="s">
        <v>4430</v>
      </c>
      <c r="C3753" t="s">
        <v>6925</v>
      </c>
      <c r="D3753" s="1">
        <v>45245</v>
      </c>
      <c r="E3753" s="1">
        <v>45250</v>
      </c>
      <c r="F3753" s="1">
        <v>45255</v>
      </c>
      <c r="G3753">
        <v>13.73</v>
      </c>
      <c r="H37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53" t="str">
        <f>IFERROR(INDEX(Raw_orders!G:G, MATCH(shipments[[#This Row],[order_id]],Raw_orders!A:A, 0)), "Unknown")</f>
        <v>Central Europe</v>
      </c>
      <c r="J3753" t="str">
        <f>PROPER(shipments[[#This Row],[delivery_status]])</f>
        <v>Delivered</v>
      </c>
      <c r="K3753" t="s">
        <v>6926</v>
      </c>
    </row>
    <row r="3754" spans="1:11">
      <c r="A3754" t="s">
        <v>10690</v>
      </c>
      <c r="B3754" t="s">
        <v>4431</v>
      </c>
      <c r="C3754" t="s">
        <v>6921</v>
      </c>
      <c r="D3754" s="1">
        <v>45427</v>
      </c>
      <c r="E3754" s="1">
        <v>45430</v>
      </c>
      <c r="F3754" s="1">
        <v>45436</v>
      </c>
      <c r="G3754">
        <v>60.71</v>
      </c>
      <c r="H37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54" t="str">
        <f>IFERROR(INDEX(Raw_orders!G:G, MATCH(shipments[[#This Row],[order_id]],Raw_orders!A:A, 0)), "Unknown")</f>
        <v>Nordics</v>
      </c>
      <c r="J3754" t="str">
        <f>PROPER(shipments[[#This Row],[delivery_status]])</f>
        <v>Delivered</v>
      </c>
      <c r="K3754" t="s">
        <v>6922</v>
      </c>
    </row>
    <row r="3755" spans="1:11">
      <c r="A3755" t="s">
        <v>10691</v>
      </c>
      <c r="B3755" t="s">
        <v>4432</v>
      </c>
      <c r="C3755" t="s">
        <v>6931</v>
      </c>
      <c r="D3755" s="1">
        <v>45559</v>
      </c>
      <c r="E3755" s="1">
        <v>45564</v>
      </c>
      <c r="F3755" s="1">
        <v>45570</v>
      </c>
      <c r="G3755">
        <v>26.12</v>
      </c>
      <c r="H37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55" t="str">
        <f>IFERROR(INDEX(Raw_orders!G:G, MATCH(shipments[[#This Row],[order_id]],Raw_orders!A:A, 0)), "Unknown")</f>
        <v>Central Europe</v>
      </c>
      <c r="J3755" t="str">
        <f>PROPER(shipments[[#This Row],[delivery_status]])</f>
        <v>Delivered</v>
      </c>
      <c r="K3755" t="s">
        <v>6926</v>
      </c>
    </row>
    <row r="3756" spans="1:11">
      <c r="A3756" t="s">
        <v>10692</v>
      </c>
      <c r="B3756" t="s">
        <v>4433</v>
      </c>
      <c r="C3756" t="s">
        <v>6940</v>
      </c>
      <c r="D3756" s="1">
        <v>45200</v>
      </c>
      <c r="E3756" s="1">
        <v>45210</v>
      </c>
      <c r="F3756" s="1">
        <v>45210</v>
      </c>
      <c r="G3756">
        <v>42.05</v>
      </c>
      <c r="H37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756" t="str">
        <f>IFERROR(INDEX(Raw_orders!G:G, MATCH(shipments[[#This Row],[order_id]],Raw_orders!A:A, 0)), "Unknown")</f>
        <v>Nordics</v>
      </c>
      <c r="J3756" t="str">
        <f>PROPER(shipments[[#This Row],[delivery_status]])</f>
        <v>Delivered</v>
      </c>
      <c r="K3756" t="s">
        <v>6926</v>
      </c>
    </row>
    <row r="3757" spans="1:11">
      <c r="A3757" t="s">
        <v>10693</v>
      </c>
      <c r="B3757" t="s">
        <v>4434</v>
      </c>
      <c r="C3757" t="s">
        <v>6956</v>
      </c>
      <c r="D3757" s="1">
        <v>45625</v>
      </c>
      <c r="E3757" s="1">
        <v>45635</v>
      </c>
      <c r="F3757" s="1">
        <v>45640</v>
      </c>
      <c r="G3757">
        <v>52.02</v>
      </c>
      <c r="H37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57" t="str">
        <f>IFERROR(INDEX(Raw_orders!G:G, MATCH(shipments[[#This Row],[order_id]],Raw_orders!A:A, 0)), "Unknown")</f>
        <v>Baltics</v>
      </c>
      <c r="J3757" t="str">
        <f>PROPER(shipments[[#This Row],[delivery_status]])</f>
        <v>Delivered</v>
      </c>
      <c r="K3757" t="s">
        <v>6922</v>
      </c>
    </row>
    <row r="3758" spans="1:11">
      <c r="A3758" t="s">
        <v>10694</v>
      </c>
      <c r="B3758" t="s">
        <v>4435</v>
      </c>
      <c r="C3758" t="s">
        <v>6956</v>
      </c>
      <c r="D3758" s="1">
        <v>45195</v>
      </c>
      <c r="E3758" s="1">
        <v>45198</v>
      </c>
      <c r="F3758" s="1">
        <v>45206</v>
      </c>
      <c r="G3758">
        <v>50.94</v>
      </c>
      <c r="H37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58" t="str">
        <f>IFERROR(INDEX(Raw_orders!G:G, MATCH(shipments[[#This Row],[order_id]],Raw_orders!A:A, 0)), "Unknown")</f>
        <v>Central Europe</v>
      </c>
      <c r="J3758" t="str">
        <f>PROPER(shipments[[#This Row],[delivery_status]])</f>
        <v>Delivered</v>
      </c>
      <c r="K3758" t="s">
        <v>6922</v>
      </c>
    </row>
    <row r="3759" spans="1:11">
      <c r="A3759" t="s">
        <v>10695</v>
      </c>
      <c r="B3759" t="s">
        <v>4436</v>
      </c>
      <c r="C3759" t="s">
        <v>6940</v>
      </c>
      <c r="D3759" s="1">
        <v>45492</v>
      </c>
      <c r="E3759" s="1">
        <v>45502</v>
      </c>
      <c r="F3759" s="1"/>
      <c r="G3759">
        <v>15.19</v>
      </c>
      <c r="H37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759" t="str">
        <f>IFERROR(INDEX(Raw_orders!G:G, MATCH(shipments[[#This Row],[order_id]],Raw_orders!A:A, 0)), "Unknown")</f>
        <v>Nordics</v>
      </c>
      <c r="J3759" t="str">
        <f>PROPER(shipments[[#This Row],[delivery_status]])</f>
        <v>In Transit</v>
      </c>
      <c r="K3759" t="s">
        <v>6958</v>
      </c>
    </row>
    <row r="3760" spans="1:11">
      <c r="A3760" t="s">
        <v>10696</v>
      </c>
      <c r="B3760" t="s">
        <v>4437</v>
      </c>
      <c r="C3760" t="s">
        <v>6931</v>
      </c>
      <c r="D3760" s="1">
        <v>45549</v>
      </c>
      <c r="E3760" s="1">
        <v>45556</v>
      </c>
      <c r="F3760" s="1">
        <v>45557</v>
      </c>
      <c r="G3760">
        <v>25.92</v>
      </c>
      <c r="H37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60" t="str">
        <f>IFERROR(INDEX(Raw_orders!G:G, MATCH(shipments[[#This Row],[order_id]],Raw_orders!A:A, 0)), "Unknown")</f>
        <v>Central Europe</v>
      </c>
      <c r="J3760" t="str">
        <f>PROPER(shipments[[#This Row],[delivery_status]])</f>
        <v>Delivered</v>
      </c>
      <c r="K3760" t="s">
        <v>6926</v>
      </c>
    </row>
    <row r="3761" spans="1:11">
      <c r="A3761" t="s">
        <v>10697</v>
      </c>
      <c r="B3761" t="s">
        <v>4438</v>
      </c>
      <c r="C3761" t="s">
        <v>6935</v>
      </c>
      <c r="D3761" s="1">
        <v>44938</v>
      </c>
      <c r="E3761" s="1">
        <v>44941</v>
      </c>
      <c r="F3761" s="1">
        <v>44949</v>
      </c>
      <c r="G3761">
        <v>27.66</v>
      </c>
      <c r="H37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61" t="str">
        <f>IFERROR(INDEX(Raw_orders!G:G, MATCH(shipments[[#This Row],[order_id]],Raw_orders!A:A, 0)), "Unknown")</f>
        <v>Baltics</v>
      </c>
      <c r="J3761" t="str">
        <f>PROPER(shipments[[#This Row],[delivery_status]])</f>
        <v>Delivered</v>
      </c>
      <c r="K3761" t="s">
        <v>6926</v>
      </c>
    </row>
    <row r="3762" spans="1:11">
      <c r="A3762" t="s">
        <v>10698</v>
      </c>
      <c r="B3762" t="s">
        <v>4439</v>
      </c>
      <c r="C3762" t="s">
        <v>6921</v>
      </c>
      <c r="D3762" s="1">
        <v>45349</v>
      </c>
      <c r="E3762" s="1">
        <v>45352</v>
      </c>
      <c r="F3762" s="1">
        <v>45366</v>
      </c>
      <c r="G3762">
        <v>43.87</v>
      </c>
      <c r="H37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62" t="str">
        <f>IFERROR(INDEX(Raw_orders!G:G, MATCH(shipments[[#This Row],[order_id]],Raw_orders!A:A, 0)), "Unknown")</f>
        <v>Nordics</v>
      </c>
      <c r="J3762" t="str">
        <f>PROPER(shipments[[#This Row],[delivery_status]])</f>
        <v>Delivered</v>
      </c>
      <c r="K3762" t="s">
        <v>6922</v>
      </c>
    </row>
    <row r="3763" spans="1:11">
      <c r="A3763" t="s">
        <v>10699</v>
      </c>
      <c r="B3763" t="s">
        <v>4440</v>
      </c>
      <c r="C3763" t="s">
        <v>6928</v>
      </c>
      <c r="D3763" s="1">
        <v>45256</v>
      </c>
      <c r="E3763" s="1">
        <v>45258</v>
      </c>
      <c r="F3763" s="1">
        <v>45257</v>
      </c>
      <c r="G3763">
        <v>11.83</v>
      </c>
      <c r="H37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763" t="str">
        <f>IFERROR(INDEX(Raw_orders!G:G, MATCH(shipments[[#This Row],[order_id]],Raw_orders!A:A, 0)), "Unknown")</f>
        <v>Baltics</v>
      </c>
      <c r="J3763" t="str">
        <f>PROPER(shipments[[#This Row],[delivery_status]])</f>
        <v>Delivered</v>
      </c>
      <c r="K3763" t="s">
        <v>6926</v>
      </c>
    </row>
    <row r="3764" spans="1:11">
      <c r="A3764" t="s">
        <v>10700</v>
      </c>
      <c r="B3764" t="s">
        <v>4441</v>
      </c>
      <c r="C3764" t="s">
        <v>6931</v>
      </c>
      <c r="D3764" s="1">
        <v>44952</v>
      </c>
      <c r="E3764" s="1">
        <v>44962</v>
      </c>
      <c r="F3764" s="1">
        <v>44962</v>
      </c>
      <c r="G3764">
        <v>32.96</v>
      </c>
      <c r="H37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764" t="str">
        <f>IFERROR(INDEX(Raw_orders!G:G, MATCH(shipments[[#This Row],[order_id]],Raw_orders!A:A, 0)), "Unknown")</f>
        <v>Nordics</v>
      </c>
      <c r="J3764" t="str">
        <f>PROPER(shipments[[#This Row],[delivery_status]])</f>
        <v>Delivered</v>
      </c>
      <c r="K3764" t="s">
        <v>6922</v>
      </c>
    </row>
    <row r="3765" spans="1:11">
      <c r="A3765" t="s">
        <v>10701</v>
      </c>
      <c r="B3765" t="s">
        <v>4442</v>
      </c>
      <c r="C3765" t="s">
        <v>6935</v>
      </c>
      <c r="D3765" s="1">
        <v>45539</v>
      </c>
      <c r="E3765" s="1">
        <v>45541</v>
      </c>
      <c r="F3765" s="1">
        <v>45541</v>
      </c>
      <c r="G3765">
        <v>50.69</v>
      </c>
      <c r="H37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765" t="str">
        <f>IFERROR(INDEX(Raw_orders!G:G, MATCH(shipments[[#This Row],[order_id]],Raw_orders!A:A, 0)), "Unknown")</f>
        <v>Baltics</v>
      </c>
      <c r="J3765" t="str">
        <f>PROPER(shipments[[#This Row],[delivery_status]])</f>
        <v>Delivered</v>
      </c>
      <c r="K3765" t="s">
        <v>6929</v>
      </c>
    </row>
    <row r="3766" spans="1:11">
      <c r="A3766" t="s">
        <v>10702</v>
      </c>
      <c r="B3766" t="s">
        <v>4442</v>
      </c>
      <c r="C3766" t="s">
        <v>6938</v>
      </c>
      <c r="D3766" s="1">
        <v>45536</v>
      </c>
      <c r="E3766" s="1">
        <v>45546</v>
      </c>
      <c r="F3766" s="1"/>
      <c r="G3766">
        <v>38.159999999999997</v>
      </c>
      <c r="H37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766" t="str">
        <f>IFERROR(INDEX(Raw_orders!G:G, MATCH(shipments[[#This Row],[order_id]],Raw_orders!A:A, 0)), "Unknown")</f>
        <v>Baltics</v>
      </c>
      <c r="J3766" t="str">
        <f>PROPER(shipments[[#This Row],[delivery_status]])</f>
        <v>Cancelled</v>
      </c>
      <c r="K3766" t="s">
        <v>6963</v>
      </c>
    </row>
    <row r="3767" spans="1:11">
      <c r="A3767" t="s">
        <v>10703</v>
      </c>
      <c r="B3767" t="s">
        <v>4443</v>
      </c>
      <c r="C3767" t="s">
        <v>6921</v>
      </c>
      <c r="D3767" s="1">
        <v>45629</v>
      </c>
      <c r="E3767" s="1">
        <v>45636</v>
      </c>
      <c r="F3767" s="1">
        <v>45650</v>
      </c>
      <c r="G3767">
        <v>48.29</v>
      </c>
      <c r="H37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67" t="str">
        <f>IFERROR(INDEX(Raw_orders!G:G, MATCH(shipments[[#This Row],[order_id]],Raw_orders!A:A, 0)), "Unknown")</f>
        <v>Central Europe</v>
      </c>
      <c r="J3767" t="str">
        <f>PROPER(shipments[[#This Row],[delivery_status]])</f>
        <v>Delivered</v>
      </c>
      <c r="K3767" t="s">
        <v>6929</v>
      </c>
    </row>
    <row r="3768" spans="1:11">
      <c r="A3768" t="s">
        <v>10704</v>
      </c>
      <c r="B3768" t="s">
        <v>4444</v>
      </c>
      <c r="C3768" t="s">
        <v>6921</v>
      </c>
      <c r="D3768" s="1">
        <v>45469</v>
      </c>
      <c r="E3768" s="1">
        <v>45474</v>
      </c>
      <c r="F3768" s="1">
        <v>45474</v>
      </c>
      <c r="G3768">
        <v>47.82</v>
      </c>
      <c r="H37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768" t="str">
        <f>IFERROR(INDEX(Raw_orders!G:G, MATCH(shipments[[#This Row],[order_id]],Raw_orders!A:A, 0)), "Unknown")</f>
        <v>Baltics</v>
      </c>
      <c r="J3768" t="str">
        <f>PROPER(shipments[[#This Row],[delivery_status]])</f>
        <v>Delivered</v>
      </c>
      <c r="K3768" t="s">
        <v>6922</v>
      </c>
    </row>
    <row r="3769" spans="1:11">
      <c r="A3769" t="s">
        <v>10705</v>
      </c>
      <c r="B3769" t="s">
        <v>4445</v>
      </c>
      <c r="C3769" t="s">
        <v>6925</v>
      </c>
      <c r="D3769" s="1">
        <v>45596</v>
      </c>
      <c r="E3769" s="1">
        <v>45603</v>
      </c>
      <c r="F3769" s="1">
        <v>45604</v>
      </c>
      <c r="G3769">
        <v>22.89</v>
      </c>
      <c r="H37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69" t="str">
        <f>IFERROR(INDEX(Raw_orders!G:G, MATCH(shipments[[#This Row],[order_id]],Raw_orders!A:A, 0)), "Unknown")</f>
        <v>Baltics</v>
      </c>
      <c r="J3769" t="str">
        <f>PROPER(shipments[[#This Row],[delivery_status]])</f>
        <v>Delivered</v>
      </c>
      <c r="K3769" t="s">
        <v>6926</v>
      </c>
    </row>
    <row r="3770" spans="1:11">
      <c r="A3770" t="s">
        <v>10706</v>
      </c>
      <c r="B3770" t="s">
        <v>4446</v>
      </c>
      <c r="C3770" t="s">
        <v>6940</v>
      </c>
      <c r="D3770" s="1">
        <v>45441</v>
      </c>
      <c r="E3770" s="1">
        <v>45443</v>
      </c>
      <c r="F3770" s="1">
        <v>45451</v>
      </c>
      <c r="G3770">
        <v>47.49</v>
      </c>
      <c r="H37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70" t="str">
        <f>IFERROR(INDEX(Raw_orders!G:G, MATCH(shipments[[#This Row],[order_id]],Raw_orders!A:A, 0)), "Unknown")</f>
        <v>Baltics</v>
      </c>
      <c r="J3770" t="str">
        <f>PROPER(shipments[[#This Row],[delivery_status]])</f>
        <v>Delivered</v>
      </c>
      <c r="K3770" t="s">
        <v>6926</v>
      </c>
    </row>
    <row r="3771" spans="1:11">
      <c r="A3771" t="s">
        <v>10707</v>
      </c>
      <c r="B3771" t="s">
        <v>4446</v>
      </c>
      <c r="C3771" t="s">
        <v>6921</v>
      </c>
      <c r="D3771" s="1">
        <v>45441</v>
      </c>
      <c r="E3771" s="1">
        <v>45451</v>
      </c>
      <c r="F3771" s="1">
        <v>45451</v>
      </c>
      <c r="G3771">
        <v>9.1</v>
      </c>
      <c r="H37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771" t="str">
        <f>IFERROR(INDEX(Raw_orders!G:G, MATCH(shipments[[#This Row],[order_id]],Raw_orders!A:A, 0)), "Unknown")</f>
        <v>Baltics</v>
      </c>
      <c r="J3771" t="str">
        <f>PROPER(shipments[[#This Row],[delivery_status]])</f>
        <v>Delivered</v>
      </c>
      <c r="K3771" t="s">
        <v>6926</v>
      </c>
    </row>
    <row r="3772" spans="1:11">
      <c r="A3772" t="s">
        <v>10708</v>
      </c>
      <c r="B3772" t="s">
        <v>4447</v>
      </c>
      <c r="C3772" t="s">
        <v>6931</v>
      </c>
      <c r="D3772" s="1">
        <v>45469</v>
      </c>
      <c r="E3772" s="1">
        <v>45479</v>
      </c>
      <c r="F3772" s="1"/>
      <c r="G3772">
        <v>54.99</v>
      </c>
      <c r="H37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772" t="str">
        <f>IFERROR(INDEX(Raw_orders!G:G, MATCH(shipments[[#This Row],[order_id]],Raw_orders!A:A, 0)), "Unknown")</f>
        <v>Central Europe</v>
      </c>
      <c r="J3772" t="str">
        <f>PROPER(shipments[[#This Row],[delivery_status]])</f>
        <v>In Transit</v>
      </c>
      <c r="K3772" t="s">
        <v>6946</v>
      </c>
    </row>
    <row r="3773" spans="1:11">
      <c r="A3773" t="s">
        <v>10709</v>
      </c>
      <c r="B3773" t="s">
        <v>4448</v>
      </c>
      <c r="C3773" t="s">
        <v>6928</v>
      </c>
      <c r="D3773" s="1">
        <v>45046</v>
      </c>
      <c r="E3773" s="1">
        <v>45053</v>
      </c>
      <c r="F3773" s="1">
        <v>45055</v>
      </c>
      <c r="G3773">
        <v>20.68</v>
      </c>
      <c r="H37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73" t="str">
        <f>IFERROR(INDEX(Raw_orders!G:G, MATCH(shipments[[#This Row],[order_id]],Raw_orders!A:A, 0)), "Unknown")</f>
        <v>Nordics</v>
      </c>
      <c r="J3773" t="str">
        <f>PROPER(shipments[[#This Row],[delivery_status]])</f>
        <v>Delivered</v>
      </c>
      <c r="K3773" t="s">
        <v>6922</v>
      </c>
    </row>
    <row r="3774" spans="1:11">
      <c r="A3774" t="s">
        <v>10710</v>
      </c>
      <c r="B3774" t="s">
        <v>4449</v>
      </c>
      <c r="C3774" t="s">
        <v>6949</v>
      </c>
      <c r="D3774" s="1">
        <v>45436</v>
      </c>
      <c r="E3774" s="1">
        <v>45441</v>
      </c>
      <c r="F3774" s="1">
        <v>45443</v>
      </c>
      <c r="G3774">
        <v>64.67</v>
      </c>
      <c r="H37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74" t="str">
        <f>IFERROR(INDEX(Raw_orders!G:G, MATCH(shipments[[#This Row],[order_id]],Raw_orders!A:A, 0)), "Unknown")</f>
        <v>Baltics</v>
      </c>
      <c r="J3774" t="str">
        <f>PROPER(shipments[[#This Row],[delivery_status]])</f>
        <v>Delivered</v>
      </c>
      <c r="K3774" t="s">
        <v>6922</v>
      </c>
    </row>
    <row r="3775" spans="1:11">
      <c r="A3775" t="s">
        <v>10711</v>
      </c>
      <c r="B3775" t="s">
        <v>4450</v>
      </c>
      <c r="C3775" t="s">
        <v>6940</v>
      </c>
      <c r="D3775" s="1">
        <v>45267</v>
      </c>
      <c r="E3775" s="1">
        <v>45269</v>
      </c>
      <c r="F3775" s="1">
        <v>45274</v>
      </c>
      <c r="G3775">
        <v>8.9600000000000009</v>
      </c>
      <c r="H37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75" t="str">
        <f>IFERROR(INDEX(Raw_orders!G:G, MATCH(shipments[[#This Row],[order_id]],Raw_orders!A:A, 0)), "Unknown")</f>
        <v>Central Europe</v>
      </c>
      <c r="J3775" t="str">
        <f>PROPER(shipments[[#This Row],[delivery_status]])</f>
        <v>Delivered</v>
      </c>
      <c r="K3775" t="s">
        <v>6926</v>
      </c>
    </row>
    <row r="3776" spans="1:11">
      <c r="A3776" t="s">
        <v>10712</v>
      </c>
      <c r="B3776" t="s">
        <v>4451</v>
      </c>
      <c r="C3776" t="s">
        <v>6956</v>
      </c>
      <c r="D3776" s="1">
        <v>45012</v>
      </c>
      <c r="E3776" s="1">
        <v>45015</v>
      </c>
      <c r="F3776" s="1"/>
      <c r="H37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776" t="str">
        <f>IFERROR(INDEX(Raw_orders!G:G, MATCH(shipments[[#This Row],[order_id]],Raw_orders!A:A, 0)), "Unknown")</f>
        <v>Central Europe</v>
      </c>
      <c r="J3776" t="str">
        <f>PROPER(shipments[[#This Row],[delivery_status]])</f>
        <v>Cancelled</v>
      </c>
      <c r="K3776" t="s">
        <v>6963</v>
      </c>
    </row>
    <row r="3777" spans="1:11">
      <c r="A3777" t="s">
        <v>10713</v>
      </c>
      <c r="B3777" t="s">
        <v>4452</v>
      </c>
      <c r="C3777" t="s">
        <v>6940</v>
      </c>
      <c r="D3777" s="1">
        <v>44973</v>
      </c>
      <c r="E3777" s="1">
        <v>44978</v>
      </c>
      <c r="F3777" s="1">
        <v>44978</v>
      </c>
      <c r="G3777">
        <v>23.51</v>
      </c>
      <c r="H37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777" t="str">
        <f>IFERROR(INDEX(Raw_orders!G:G, MATCH(shipments[[#This Row],[order_id]],Raw_orders!A:A, 0)), "Unknown")</f>
        <v>Central Europe</v>
      </c>
      <c r="J3777" t="str">
        <f>PROPER(shipments[[#This Row],[delivery_status]])</f>
        <v>Delivered</v>
      </c>
      <c r="K3777" t="s">
        <v>6926</v>
      </c>
    </row>
    <row r="3778" spans="1:11">
      <c r="A3778" t="s">
        <v>10714</v>
      </c>
      <c r="B3778" t="s">
        <v>4453</v>
      </c>
      <c r="C3778" t="s">
        <v>6949</v>
      </c>
      <c r="D3778" s="1">
        <v>45205</v>
      </c>
      <c r="E3778" s="1">
        <v>45210</v>
      </c>
      <c r="F3778" s="1"/>
      <c r="G3778">
        <v>24.59</v>
      </c>
      <c r="H37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778" t="str">
        <f>IFERROR(INDEX(Raw_orders!G:G, MATCH(shipments[[#This Row],[order_id]],Raw_orders!A:A, 0)), "Unknown")</f>
        <v>Baltics</v>
      </c>
      <c r="J3778" t="str">
        <f>PROPER(shipments[[#This Row],[delivery_status]])</f>
        <v>Cancelled</v>
      </c>
      <c r="K3778" t="s">
        <v>6963</v>
      </c>
    </row>
    <row r="3779" spans="1:11">
      <c r="A3779" t="s">
        <v>10715</v>
      </c>
      <c r="B3779" t="s">
        <v>4453</v>
      </c>
      <c r="C3779" t="s">
        <v>6940</v>
      </c>
      <c r="D3779" s="1">
        <v>45207</v>
      </c>
      <c r="E3779" s="1">
        <v>45212</v>
      </c>
      <c r="F3779" s="1">
        <v>45215</v>
      </c>
      <c r="G3779">
        <v>49.12</v>
      </c>
      <c r="H37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79" t="str">
        <f>IFERROR(INDEX(Raw_orders!G:G, MATCH(shipments[[#This Row],[order_id]],Raw_orders!A:A, 0)), "Unknown")</f>
        <v>Baltics</v>
      </c>
      <c r="J3779" t="str">
        <f>PROPER(shipments[[#This Row],[delivery_status]])</f>
        <v>Delivered</v>
      </c>
      <c r="K3779" t="s">
        <v>6922</v>
      </c>
    </row>
    <row r="3780" spans="1:11">
      <c r="A3780" t="s">
        <v>10716</v>
      </c>
      <c r="B3780" t="s">
        <v>4454</v>
      </c>
      <c r="C3780" t="s">
        <v>6931</v>
      </c>
      <c r="D3780" s="1">
        <v>45624</v>
      </c>
      <c r="E3780" s="1">
        <v>45634</v>
      </c>
      <c r="F3780" s="1">
        <v>45637</v>
      </c>
      <c r="G3780">
        <v>41.66</v>
      </c>
      <c r="H37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80" t="str">
        <f>IFERROR(INDEX(Raw_orders!G:G, MATCH(shipments[[#This Row],[order_id]],Raw_orders!A:A, 0)), "Unknown")</f>
        <v>Central Europe</v>
      </c>
      <c r="J3780" t="str">
        <f>PROPER(shipments[[#This Row],[delivery_status]])</f>
        <v>Delivered</v>
      </c>
      <c r="K3780" t="s">
        <v>6922</v>
      </c>
    </row>
    <row r="3781" spans="1:11">
      <c r="A3781" t="s">
        <v>10717</v>
      </c>
      <c r="B3781" t="s">
        <v>4455</v>
      </c>
      <c r="C3781" t="s">
        <v>6956</v>
      </c>
      <c r="D3781" s="1">
        <v>45101</v>
      </c>
      <c r="E3781" s="1">
        <v>45103</v>
      </c>
      <c r="F3781" s="1">
        <v>45102</v>
      </c>
      <c r="G3781">
        <v>40.99</v>
      </c>
      <c r="H37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781" t="str">
        <f>IFERROR(INDEX(Raw_orders!G:G, MATCH(shipments[[#This Row],[order_id]],Raw_orders!A:A, 0)), "Unknown")</f>
        <v>Central Europe</v>
      </c>
      <c r="J3781" t="str">
        <f>PROPER(shipments[[#This Row],[delivery_status]])</f>
        <v>Delivered</v>
      </c>
      <c r="K3781" t="s">
        <v>6929</v>
      </c>
    </row>
    <row r="3782" spans="1:11">
      <c r="A3782" t="s">
        <v>10718</v>
      </c>
      <c r="B3782" t="s">
        <v>4455</v>
      </c>
      <c r="C3782" t="s">
        <v>6940</v>
      </c>
      <c r="D3782" s="1">
        <v>45101</v>
      </c>
      <c r="E3782" s="1">
        <v>45106</v>
      </c>
      <c r="F3782" s="1">
        <v>45114</v>
      </c>
      <c r="G3782">
        <v>10.65</v>
      </c>
      <c r="H37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82" t="str">
        <f>IFERROR(INDEX(Raw_orders!G:G, MATCH(shipments[[#This Row],[order_id]],Raw_orders!A:A, 0)), "Unknown")</f>
        <v>Central Europe</v>
      </c>
      <c r="J3782" t="str">
        <f>PROPER(shipments[[#This Row],[delivery_status]])</f>
        <v>Delivered</v>
      </c>
      <c r="K3782" t="s">
        <v>6929</v>
      </c>
    </row>
    <row r="3783" spans="1:11">
      <c r="A3783" t="s">
        <v>10719</v>
      </c>
      <c r="B3783" t="s">
        <v>4456</v>
      </c>
      <c r="C3783" t="s">
        <v>6931</v>
      </c>
      <c r="D3783" s="1">
        <v>45076</v>
      </c>
      <c r="E3783" s="1">
        <v>45083</v>
      </c>
      <c r="F3783" s="1"/>
      <c r="G3783">
        <v>25.82</v>
      </c>
      <c r="H37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783" t="str">
        <f>IFERROR(INDEX(Raw_orders!G:G, MATCH(shipments[[#This Row],[order_id]],Raw_orders!A:A, 0)), "Unknown")</f>
        <v>Baltics</v>
      </c>
      <c r="J3783" t="str">
        <f>PROPER(shipments[[#This Row],[delivery_status]])</f>
        <v>Cancelled</v>
      </c>
      <c r="K3783" t="s">
        <v>6972</v>
      </c>
    </row>
    <row r="3784" spans="1:11">
      <c r="A3784" t="s">
        <v>10720</v>
      </c>
      <c r="B3784" t="s">
        <v>4457</v>
      </c>
      <c r="C3784" t="s">
        <v>6940</v>
      </c>
      <c r="D3784" s="1">
        <v>45612</v>
      </c>
      <c r="E3784" s="1">
        <v>45615</v>
      </c>
      <c r="F3784" s="1"/>
      <c r="G3784">
        <v>9.48</v>
      </c>
      <c r="H37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784" t="str">
        <f>IFERROR(INDEX(Raw_orders!G:G, MATCH(shipments[[#This Row],[order_id]],Raw_orders!A:A, 0)), "Unknown")</f>
        <v>Baltics</v>
      </c>
      <c r="J3784" t="str">
        <f>PROPER(shipments[[#This Row],[delivery_status]])</f>
        <v>Cancelled</v>
      </c>
      <c r="K3784" t="s">
        <v>6979</v>
      </c>
    </row>
    <row r="3785" spans="1:11">
      <c r="A3785" t="s">
        <v>10721</v>
      </c>
      <c r="B3785" t="s">
        <v>4458</v>
      </c>
      <c r="C3785" t="s">
        <v>6925</v>
      </c>
      <c r="D3785" s="1">
        <v>45513</v>
      </c>
      <c r="E3785" s="1">
        <v>45515</v>
      </c>
      <c r="F3785" s="1">
        <v>45520</v>
      </c>
      <c r="H37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85" t="str">
        <f>IFERROR(INDEX(Raw_orders!G:G, MATCH(shipments[[#This Row],[order_id]],Raw_orders!A:A, 0)), "Unknown")</f>
        <v>Nordics</v>
      </c>
      <c r="J3785" t="str">
        <f>PROPER(shipments[[#This Row],[delivery_status]])</f>
        <v>Delivered</v>
      </c>
      <c r="K3785" t="s">
        <v>6922</v>
      </c>
    </row>
    <row r="3786" spans="1:11">
      <c r="A3786" t="s">
        <v>10722</v>
      </c>
      <c r="B3786" t="s">
        <v>4459</v>
      </c>
      <c r="C3786" t="s">
        <v>6956</v>
      </c>
      <c r="D3786" s="1">
        <v>45512</v>
      </c>
      <c r="E3786" s="1">
        <v>45515</v>
      </c>
      <c r="F3786" s="1">
        <v>45522</v>
      </c>
      <c r="G3786">
        <v>13.59</v>
      </c>
      <c r="H37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86" t="str">
        <f>IFERROR(INDEX(Raw_orders!G:G, MATCH(shipments[[#This Row],[order_id]],Raw_orders!A:A, 0)), "Unknown")</f>
        <v>Baltics</v>
      </c>
      <c r="J3786" t="str">
        <f>PROPER(shipments[[#This Row],[delivery_status]])</f>
        <v>Delivered</v>
      </c>
      <c r="K3786" t="s">
        <v>6926</v>
      </c>
    </row>
    <row r="3787" spans="1:11">
      <c r="A3787" t="s">
        <v>10723</v>
      </c>
      <c r="B3787" t="s">
        <v>4460</v>
      </c>
      <c r="C3787" t="s">
        <v>6921</v>
      </c>
      <c r="D3787" s="1">
        <v>45305</v>
      </c>
      <c r="E3787" s="1">
        <v>45312</v>
      </c>
      <c r="F3787" s="1">
        <v>45311</v>
      </c>
      <c r="G3787">
        <v>58.5</v>
      </c>
      <c r="H37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787" t="str">
        <f>IFERROR(INDEX(Raw_orders!G:G, MATCH(shipments[[#This Row],[order_id]],Raw_orders!A:A, 0)), "Unknown")</f>
        <v>Central Europe</v>
      </c>
      <c r="J3787" t="str">
        <f>PROPER(shipments[[#This Row],[delivery_status]])</f>
        <v>Delivered</v>
      </c>
      <c r="K3787" t="s">
        <v>6929</v>
      </c>
    </row>
    <row r="3788" spans="1:11">
      <c r="A3788" t="s">
        <v>10724</v>
      </c>
      <c r="B3788" t="s">
        <v>4460</v>
      </c>
      <c r="C3788" t="s">
        <v>6928</v>
      </c>
      <c r="D3788" s="1">
        <v>45307</v>
      </c>
      <c r="E3788" s="1">
        <v>45317</v>
      </c>
      <c r="F3788" s="1">
        <v>45325</v>
      </c>
      <c r="G3788">
        <v>39.72</v>
      </c>
      <c r="H37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88" t="str">
        <f>IFERROR(INDEX(Raw_orders!G:G, MATCH(shipments[[#This Row],[order_id]],Raw_orders!A:A, 0)), "Unknown")</f>
        <v>Central Europe</v>
      </c>
      <c r="J3788" t="str">
        <f>PROPER(shipments[[#This Row],[delivery_status]])</f>
        <v>Delivered</v>
      </c>
      <c r="K3788" t="s">
        <v>6929</v>
      </c>
    </row>
    <row r="3789" spans="1:11">
      <c r="A3789" t="s">
        <v>10725</v>
      </c>
      <c r="B3789" t="s">
        <v>4461</v>
      </c>
      <c r="C3789" t="s">
        <v>6925</v>
      </c>
      <c r="D3789" s="1">
        <v>44937</v>
      </c>
      <c r="E3789" s="1">
        <v>44940</v>
      </c>
      <c r="F3789" s="1"/>
      <c r="G3789">
        <v>26.83</v>
      </c>
      <c r="H37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789" t="str">
        <f>IFERROR(INDEX(Raw_orders!G:G, MATCH(shipments[[#This Row],[order_id]],Raw_orders!A:A, 0)), "Unknown")</f>
        <v>Central Europe</v>
      </c>
      <c r="J3789" t="str">
        <f>PROPER(shipments[[#This Row],[delivery_status]])</f>
        <v>In Transit</v>
      </c>
      <c r="K3789" t="s">
        <v>6946</v>
      </c>
    </row>
    <row r="3790" spans="1:11">
      <c r="A3790" t="s">
        <v>10726</v>
      </c>
      <c r="B3790" t="s">
        <v>4462</v>
      </c>
      <c r="C3790" t="s">
        <v>6925</v>
      </c>
      <c r="D3790" s="1">
        <v>45385</v>
      </c>
      <c r="E3790" s="1">
        <v>45392</v>
      </c>
      <c r="F3790" s="1">
        <v>45399</v>
      </c>
      <c r="G3790">
        <v>21.68</v>
      </c>
      <c r="H37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90" t="str">
        <f>IFERROR(INDEX(Raw_orders!G:G, MATCH(shipments[[#This Row],[order_id]],Raw_orders!A:A, 0)), "Unknown")</f>
        <v>Nordics</v>
      </c>
      <c r="J3790" t="str">
        <f>PROPER(shipments[[#This Row],[delivery_status]])</f>
        <v>Delivered</v>
      </c>
      <c r="K3790" t="s">
        <v>6929</v>
      </c>
    </row>
    <row r="3791" spans="1:11">
      <c r="A3791" t="s">
        <v>10727</v>
      </c>
      <c r="B3791" t="s">
        <v>4463</v>
      </c>
      <c r="C3791" t="s">
        <v>6949</v>
      </c>
      <c r="D3791" s="1">
        <v>44952</v>
      </c>
      <c r="E3791" s="1">
        <v>44957</v>
      </c>
      <c r="F3791" s="1">
        <v>44957</v>
      </c>
      <c r="G3791">
        <v>61.91</v>
      </c>
      <c r="H37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791" t="str">
        <f>IFERROR(INDEX(Raw_orders!G:G, MATCH(shipments[[#This Row],[order_id]],Raw_orders!A:A, 0)), "Unknown")</f>
        <v>Nordics</v>
      </c>
      <c r="J3791" t="str">
        <f>PROPER(shipments[[#This Row],[delivery_status]])</f>
        <v>Delivered</v>
      </c>
      <c r="K3791" t="s">
        <v>6922</v>
      </c>
    </row>
    <row r="3792" spans="1:11">
      <c r="A3792" t="s">
        <v>10728</v>
      </c>
      <c r="B3792" t="s">
        <v>4464</v>
      </c>
      <c r="C3792" t="s">
        <v>6938</v>
      </c>
      <c r="D3792" s="1">
        <v>45014</v>
      </c>
      <c r="E3792" s="1">
        <v>45021</v>
      </c>
      <c r="F3792" s="1">
        <v>45028</v>
      </c>
      <c r="G3792">
        <v>29.61</v>
      </c>
      <c r="H37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92" t="str">
        <f>IFERROR(INDEX(Raw_orders!G:G, MATCH(shipments[[#This Row],[order_id]],Raw_orders!A:A, 0)), "Unknown")</f>
        <v>Baltics</v>
      </c>
      <c r="J3792" t="str">
        <f>PROPER(shipments[[#This Row],[delivery_status]])</f>
        <v>Delivered</v>
      </c>
      <c r="K3792" t="s">
        <v>6926</v>
      </c>
    </row>
    <row r="3793" spans="1:11">
      <c r="A3793" t="s">
        <v>10729</v>
      </c>
      <c r="B3793" t="s">
        <v>4465</v>
      </c>
      <c r="C3793" t="s">
        <v>6928</v>
      </c>
      <c r="D3793" s="1">
        <v>45304</v>
      </c>
      <c r="E3793" s="1">
        <v>45306</v>
      </c>
      <c r="F3793" s="1">
        <v>45306</v>
      </c>
      <c r="G3793">
        <v>55.36</v>
      </c>
      <c r="H37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793" t="str">
        <f>IFERROR(INDEX(Raw_orders!G:G, MATCH(shipments[[#This Row],[order_id]],Raw_orders!A:A, 0)), "Unknown")</f>
        <v>Baltics</v>
      </c>
      <c r="J3793" t="str">
        <f>PROPER(shipments[[#This Row],[delivery_status]])</f>
        <v>Delivered</v>
      </c>
      <c r="K3793" t="s">
        <v>6926</v>
      </c>
    </row>
    <row r="3794" spans="1:11">
      <c r="A3794" t="s">
        <v>10730</v>
      </c>
      <c r="B3794" t="s">
        <v>4466</v>
      </c>
      <c r="C3794" t="s">
        <v>6921</v>
      </c>
      <c r="D3794" s="1">
        <v>45525</v>
      </c>
      <c r="E3794" s="1">
        <v>45527</v>
      </c>
      <c r="F3794" s="1">
        <v>45535</v>
      </c>
      <c r="G3794">
        <v>28.94</v>
      </c>
      <c r="H37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94" t="str">
        <f>IFERROR(INDEX(Raw_orders!G:G, MATCH(shipments[[#This Row],[order_id]],Raw_orders!A:A, 0)), "Unknown")</f>
        <v>Nordics</v>
      </c>
      <c r="J3794" t="str">
        <f>PROPER(shipments[[#This Row],[delivery_status]])</f>
        <v>Delivered</v>
      </c>
      <c r="K3794" t="s">
        <v>6929</v>
      </c>
    </row>
    <row r="3795" spans="1:11">
      <c r="A3795" t="s">
        <v>10731</v>
      </c>
      <c r="B3795" t="s">
        <v>4467</v>
      </c>
      <c r="C3795" t="s">
        <v>6921</v>
      </c>
      <c r="D3795" s="1">
        <v>45252</v>
      </c>
      <c r="E3795" s="1">
        <v>45259</v>
      </c>
      <c r="F3795" s="1">
        <v>45261</v>
      </c>
      <c r="G3795">
        <v>9.7100000000000009</v>
      </c>
      <c r="H37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95" t="str">
        <f>IFERROR(INDEX(Raw_orders!G:G, MATCH(shipments[[#This Row],[order_id]],Raw_orders!A:A, 0)), "Unknown")</f>
        <v>Nordics</v>
      </c>
      <c r="J3795" t="str">
        <f>PROPER(shipments[[#This Row],[delivery_status]])</f>
        <v>Delivered</v>
      </c>
      <c r="K3795" t="s">
        <v>6926</v>
      </c>
    </row>
    <row r="3796" spans="1:11">
      <c r="A3796" t="s">
        <v>10732</v>
      </c>
      <c r="B3796" t="s">
        <v>4468</v>
      </c>
      <c r="C3796" t="s">
        <v>6928</v>
      </c>
      <c r="D3796" s="1">
        <v>45177</v>
      </c>
      <c r="E3796" s="1">
        <v>45180</v>
      </c>
      <c r="F3796" s="1">
        <v>45180</v>
      </c>
      <c r="G3796">
        <v>6.22</v>
      </c>
      <c r="H37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796" t="str">
        <f>IFERROR(INDEX(Raw_orders!G:G, MATCH(shipments[[#This Row],[order_id]],Raw_orders!A:A, 0)), "Unknown")</f>
        <v>Nordics</v>
      </c>
      <c r="J3796" t="str">
        <f>PROPER(shipments[[#This Row],[delivery_status]])</f>
        <v>Delivered</v>
      </c>
      <c r="K3796" t="s">
        <v>6929</v>
      </c>
    </row>
    <row r="3797" spans="1:11">
      <c r="A3797" t="s">
        <v>10733</v>
      </c>
      <c r="B3797" t="s">
        <v>4469</v>
      </c>
      <c r="C3797" t="s">
        <v>6921</v>
      </c>
      <c r="D3797" s="1">
        <v>44958</v>
      </c>
      <c r="E3797" s="1">
        <v>44963</v>
      </c>
      <c r="F3797" s="1">
        <v>44963</v>
      </c>
      <c r="G3797">
        <v>18.91</v>
      </c>
      <c r="H37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797" t="str">
        <f>IFERROR(INDEX(Raw_orders!G:G, MATCH(shipments[[#This Row],[order_id]],Raw_orders!A:A, 0)), "Unknown")</f>
        <v>Nordics</v>
      </c>
      <c r="J3797" t="str">
        <f>PROPER(shipments[[#This Row],[delivery_status]])</f>
        <v>Delivered</v>
      </c>
      <c r="K3797" t="s">
        <v>6926</v>
      </c>
    </row>
    <row r="3798" spans="1:11">
      <c r="A3798" t="s">
        <v>10734</v>
      </c>
      <c r="B3798" t="s">
        <v>4470</v>
      </c>
      <c r="C3798" t="s">
        <v>6928</v>
      </c>
      <c r="D3798" s="1">
        <v>44995</v>
      </c>
      <c r="E3798" s="1">
        <v>44998</v>
      </c>
      <c r="F3798" s="1">
        <v>44998</v>
      </c>
      <c r="G3798">
        <v>18.57</v>
      </c>
      <c r="H37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798" t="str">
        <f>IFERROR(INDEX(Raw_orders!G:G, MATCH(shipments[[#This Row],[order_id]],Raw_orders!A:A, 0)), "Unknown")</f>
        <v>Central Europe</v>
      </c>
      <c r="J3798" t="str">
        <f>PROPER(shipments[[#This Row],[delivery_status]])</f>
        <v>Delivered</v>
      </c>
      <c r="K3798" t="s">
        <v>6922</v>
      </c>
    </row>
    <row r="3799" spans="1:11">
      <c r="A3799" t="s">
        <v>10735</v>
      </c>
      <c r="B3799" t="s">
        <v>4471</v>
      </c>
      <c r="C3799" t="s">
        <v>6925</v>
      </c>
      <c r="D3799" s="1">
        <v>45229</v>
      </c>
      <c r="E3799" s="1">
        <v>45231</v>
      </c>
      <c r="F3799" s="1">
        <v>45239</v>
      </c>
      <c r="G3799">
        <v>36.42</v>
      </c>
      <c r="H37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799" t="str">
        <f>IFERROR(INDEX(Raw_orders!G:G, MATCH(shipments[[#This Row],[order_id]],Raw_orders!A:A, 0)), "Unknown")</f>
        <v>Nordics</v>
      </c>
      <c r="J3799" t="str">
        <f>PROPER(shipments[[#This Row],[delivery_status]])</f>
        <v>Delivered</v>
      </c>
      <c r="K3799" t="s">
        <v>6922</v>
      </c>
    </row>
    <row r="3800" spans="1:11">
      <c r="A3800" t="s">
        <v>10736</v>
      </c>
      <c r="B3800" t="s">
        <v>4472</v>
      </c>
      <c r="C3800" t="s">
        <v>6940</v>
      </c>
      <c r="D3800" s="1">
        <v>45613</v>
      </c>
      <c r="E3800" s="1">
        <v>45623</v>
      </c>
      <c r="F3800" s="1">
        <v>45623</v>
      </c>
      <c r="G3800">
        <v>62.77</v>
      </c>
      <c r="H38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00" t="str">
        <f>IFERROR(INDEX(Raw_orders!G:G, MATCH(shipments[[#This Row],[order_id]],Raw_orders!A:A, 0)), "Unknown")</f>
        <v>Baltics</v>
      </c>
      <c r="J3800" t="str">
        <f>PROPER(shipments[[#This Row],[delivery_status]])</f>
        <v>Delivered</v>
      </c>
      <c r="K3800" t="s">
        <v>6929</v>
      </c>
    </row>
    <row r="3801" spans="1:11">
      <c r="A3801" t="s">
        <v>10737</v>
      </c>
      <c r="B3801" t="s">
        <v>4473</v>
      </c>
      <c r="C3801" t="s">
        <v>6928</v>
      </c>
      <c r="D3801" s="1">
        <v>45245</v>
      </c>
      <c r="E3801" s="1">
        <v>45248</v>
      </c>
      <c r="F3801" s="1">
        <v>45250</v>
      </c>
      <c r="G3801">
        <v>44.59</v>
      </c>
      <c r="H38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01" t="str">
        <f>IFERROR(INDEX(Raw_orders!G:G, MATCH(shipments[[#This Row],[order_id]],Raw_orders!A:A, 0)), "Unknown")</f>
        <v>Baltics</v>
      </c>
      <c r="J3801" t="str">
        <f>PROPER(shipments[[#This Row],[delivery_status]])</f>
        <v>Delivered</v>
      </c>
      <c r="K3801" t="s">
        <v>6929</v>
      </c>
    </row>
    <row r="3802" spans="1:11">
      <c r="A3802" t="s">
        <v>10738</v>
      </c>
      <c r="B3802" t="s">
        <v>4474</v>
      </c>
      <c r="C3802" t="s">
        <v>6921</v>
      </c>
      <c r="D3802" s="1">
        <v>45300</v>
      </c>
      <c r="E3802" s="1">
        <v>45310</v>
      </c>
      <c r="F3802" s="1">
        <v>45315</v>
      </c>
      <c r="G3802">
        <v>20</v>
      </c>
      <c r="H38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02" t="str">
        <f>IFERROR(INDEX(Raw_orders!G:G, MATCH(shipments[[#This Row],[order_id]],Raw_orders!A:A, 0)), "Unknown")</f>
        <v>Baltics</v>
      </c>
      <c r="J3802" t="str">
        <f>PROPER(shipments[[#This Row],[delivery_status]])</f>
        <v>Delivered</v>
      </c>
      <c r="K3802" t="s">
        <v>6929</v>
      </c>
    </row>
    <row r="3803" spans="1:11">
      <c r="A3803" t="s">
        <v>10739</v>
      </c>
      <c r="B3803" t="s">
        <v>4475</v>
      </c>
      <c r="C3803" t="s">
        <v>6956</v>
      </c>
      <c r="D3803" s="1">
        <v>45130</v>
      </c>
      <c r="E3803" s="1">
        <v>45137</v>
      </c>
      <c r="F3803" s="1">
        <v>45137</v>
      </c>
      <c r="G3803">
        <v>59.99</v>
      </c>
      <c r="H38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03" t="str">
        <f>IFERROR(INDEX(Raw_orders!G:G, MATCH(shipments[[#This Row],[order_id]],Raw_orders!A:A, 0)), "Unknown")</f>
        <v>Baltics</v>
      </c>
      <c r="J3803" t="str">
        <f>PROPER(shipments[[#This Row],[delivery_status]])</f>
        <v>Delivered</v>
      </c>
      <c r="K3803" t="s">
        <v>6926</v>
      </c>
    </row>
    <row r="3804" spans="1:11">
      <c r="A3804" t="s">
        <v>10740</v>
      </c>
      <c r="B3804" t="s">
        <v>4476</v>
      </c>
      <c r="C3804" t="s">
        <v>6938</v>
      </c>
      <c r="D3804" s="1">
        <v>45540</v>
      </c>
      <c r="E3804" s="1">
        <v>45542</v>
      </c>
      <c r="F3804" s="1">
        <v>45545</v>
      </c>
      <c r="G3804">
        <v>5.98</v>
      </c>
      <c r="H38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04" t="str">
        <f>IFERROR(INDEX(Raw_orders!G:G, MATCH(shipments[[#This Row],[order_id]],Raw_orders!A:A, 0)), "Unknown")</f>
        <v>Baltics</v>
      </c>
      <c r="J3804" t="str">
        <f>PROPER(shipments[[#This Row],[delivery_status]])</f>
        <v>Delivered</v>
      </c>
      <c r="K3804" t="s">
        <v>6929</v>
      </c>
    </row>
    <row r="3805" spans="1:11">
      <c r="A3805" t="s">
        <v>10741</v>
      </c>
      <c r="B3805" t="s">
        <v>4477</v>
      </c>
      <c r="C3805" t="s">
        <v>6956</v>
      </c>
      <c r="D3805" s="1">
        <v>45593</v>
      </c>
      <c r="E3805" s="1">
        <v>45596</v>
      </c>
      <c r="F3805" s="1">
        <v>45596</v>
      </c>
      <c r="G3805">
        <v>47.44</v>
      </c>
      <c r="H38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05" t="str">
        <f>IFERROR(INDEX(Raw_orders!G:G, MATCH(shipments[[#This Row],[order_id]],Raw_orders!A:A, 0)), "Unknown")</f>
        <v>Central Europe</v>
      </c>
      <c r="J3805" t="str">
        <f>PROPER(shipments[[#This Row],[delivery_status]])</f>
        <v>Delivered</v>
      </c>
      <c r="K3805" t="s">
        <v>6922</v>
      </c>
    </row>
    <row r="3806" spans="1:11">
      <c r="A3806" t="s">
        <v>10742</v>
      </c>
      <c r="B3806" t="s">
        <v>4478</v>
      </c>
      <c r="C3806" t="s">
        <v>6925</v>
      </c>
      <c r="D3806" s="1">
        <v>45395</v>
      </c>
      <c r="E3806" s="1">
        <v>45398</v>
      </c>
      <c r="F3806" s="1">
        <v>45399</v>
      </c>
      <c r="G3806">
        <v>61.98</v>
      </c>
      <c r="H38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06" t="str">
        <f>IFERROR(INDEX(Raw_orders!G:G, MATCH(shipments[[#This Row],[order_id]],Raw_orders!A:A, 0)), "Unknown")</f>
        <v>Baltics</v>
      </c>
      <c r="J3806" t="str">
        <f>PROPER(shipments[[#This Row],[delivery_status]])</f>
        <v>Delivered</v>
      </c>
      <c r="K3806" t="s">
        <v>6922</v>
      </c>
    </row>
    <row r="3807" spans="1:11">
      <c r="A3807" t="s">
        <v>10743</v>
      </c>
      <c r="B3807" t="s">
        <v>4479</v>
      </c>
      <c r="C3807" t="s">
        <v>6956</v>
      </c>
      <c r="D3807" s="1">
        <v>45274</v>
      </c>
      <c r="E3807" s="1">
        <v>45281</v>
      </c>
      <c r="F3807" s="1">
        <v>45284</v>
      </c>
      <c r="G3807">
        <v>14</v>
      </c>
      <c r="H38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07" t="str">
        <f>IFERROR(INDEX(Raw_orders!G:G, MATCH(shipments[[#This Row],[order_id]],Raw_orders!A:A, 0)), "Unknown")</f>
        <v>Baltics</v>
      </c>
      <c r="J3807" t="str">
        <f>PROPER(shipments[[#This Row],[delivery_status]])</f>
        <v>Delivered</v>
      </c>
      <c r="K3807" t="s">
        <v>6929</v>
      </c>
    </row>
    <row r="3808" spans="1:11">
      <c r="A3808" t="s">
        <v>10744</v>
      </c>
      <c r="B3808" t="s">
        <v>4480</v>
      </c>
      <c r="C3808" t="s">
        <v>6925</v>
      </c>
      <c r="D3808" s="1">
        <v>45553</v>
      </c>
      <c r="E3808" s="1">
        <v>45560</v>
      </c>
      <c r="F3808" s="1"/>
      <c r="G3808">
        <v>6.69</v>
      </c>
      <c r="H38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808" t="str">
        <f>IFERROR(INDEX(Raw_orders!G:G, MATCH(shipments[[#This Row],[order_id]],Raw_orders!A:A, 0)), "Unknown")</f>
        <v>Baltics</v>
      </c>
      <c r="J3808" t="str">
        <f>PROPER(shipments[[#This Row],[delivery_status]])</f>
        <v>In Transit</v>
      </c>
      <c r="K3808" t="s">
        <v>6977</v>
      </c>
    </row>
    <row r="3809" spans="1:11">
      <c r="A3809" t="s">
        <v>10745</v>
      </c>
      <c r="B3809" t="s">
        <v>4481</v>
      </c>
      <c r="C3809" t="s">
        <v>6940</v>
      </c>
      <c r="D3809" s="1">
        <v>45531</v>
      </c>
      <c r="E3809" s="1">
        <v>45538</v>
      </c>
      <c r="F3809" s="1">
        <v>45539</v>
      </c>
      <c r="G3809">
        <v>58.07</v>
      </c>
      <c r="H38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09" t="str">
        <f>IFERROR(INDEX(Raw_orders!G:G, MATCH(shipments[[#This Row],[order_id]],Raw_orders!A:A, 0)), "Unknown")</f>
        <v>Baltics</v>
      </c>
      <c r="J3809" t="str">
        <f>PROPER(shipments[[#This Row],[delivery_status]])</f>
        <v>Delivered</v>
      </c>
      <c r="K3809" t="s">
        <v>6926</v>
      </c>
    </row>
    <row r="3810" spans="1:11">
      <c r="A3810" t="s">
        <v>10746</v>
      </c>
      <c r="B3810" t="s">
        <v>4482</v>
      </c>
      <c r="C3810" t="s">
        <v>6956</v>
      </c>
      <c r="D3810" s="1">
        <v>45316</v>
      </c>
      <c r="E3810" s="1">
        <v>45326</v>
      </c>
      <c r="F3810" s="1">
        <v>45326</v>
      </c>
      <c r="G3810">
        <v>39.450000000000003</v>
      </c>
      <c r="H38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10" t="str">
        <f>IFERROR(INDEX(Raw_orders!G:G, MATCH(shipments[[#This Row],[order_id]],Raw_orders!A:A, 0)), "Unknown")</f>
        <v>Baltics</v>
      </c>
      <c r="J3810" t="str">
        <f>PROPER(shipments[[#This Row],[delivery_status]])</f>
        <v>Delivered</v>
      </c>
      <c r="K3810" t="s">
        <v>6929</v>
      </c>
    </row>
    <row r="3811" spans="1:11">
      <c r="A3811" t="s">
        <v>10747</v>
      </c>
      <c r="B3811" t="s">
        <v>4483</v>
      </c>
      <c r="C3811" t="s">
        <v>6938</v>
      </c>
      <c r="D3811" s="1">
        <v>45497</v>
      </c>
      <c r="E3811" s="1">
        <v>45502</v>
      </c>
      <c r="F3811" s="1">
        <v>45502</v>
      </c>
      <c r="G3811">
        <v>58.18</v>
      </c>
      <c r="H38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11" t="str">
        <f>IFERROR(INDEX(Raw_orders!G:G, MATCH(shipments[[#This Row],[order_id]],Raw_orders!A:A, 0)), "Unknown")</f>
        <v>Baltics</v>
      </c>
      <c r="J3811" t="str">
        <f>PROPER(shipments[[#This Row],[delivery_status]])</f>
        <v>Delivered</v>
      </c>
      <c r="K3811" t="s">
        <v>6926</v>
      </c>
    </row>
    <row r="3812" spans="1:11">
      <c r="A3812" t="s">
        <v>10748</v>
      </c>
      <c r="B3812" t="s">
        <v>4484</v>
      </c>
      <c r="C3812" t="s">
        <v>6931</v>
      </c>
      <c r="D3812" s="1">
        <v>45030</v>
      </c>
      <c r="E3812" s="1">
        <v>45040</v>
      </c>
      <c r="F3812" s="1"/>
      <c r="G3812">
        <v>53.12</v>
      </c>
      <c r="H38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812" t="str">
        <f>IFERROR(INDEX(Raw_orders!G:G, MATCH(shipments[[#This Row],[order_id]],Raw_orders!A:A, 0)), "Unknown")</f>
        <v>Central Europe</v>
      </c>
      <c r="J3812" t="str">
        <f>PROPER(shipments[[#This Row],[delivery_status]])</f>
        <v>Cancelled</v>
      </c>
      <c r="K3812" t="s">
        <v>6979</v>
      </c>
    </row>
    <row r="3813" spans="1:11">
      <c r="A3813" t="s">
        <v>10749</v>
      </c>
      <c r="B3813" t="s">
        <v>4485</v>
      </c>
      <c r="C3813" t="s">
        <v>6935</v>
      </c>
      <c r="D3813" s="1">
        <v>45116</v>
      </c>
      <c r="E3813" s="1">
        <v>45121</v>
      </c>
      <c r="F3813" s="1">
        <v>45127</v>
      </c>
      <c r="G3813">
        <v>18.899999999999999</v>
      </c>
      <c r="H38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13" t="str">
        <f>IFERROR(INDEX(Raw_orders!G:G, MATCH(shipments[[#This Row],[order_id]],Raw_orders!A:A, 0)), "Unknown")</f>
        <v>Central Europe</v>
      </c>
      <c r="J3813" t="str">
        <f>PROPER(shipments[[#This Row],[delivery_status]])</f>
        <v>Delivered</v>
      </c>
      <c r="K3813" t="s">
        <v>6922</v>
      </c>
    </row>
    <row r="3814" spans="1:11">
      <c r="A3814" t="s">
        <v>10750</v>
      </c>
      <c r="B3814" t="s">
        <v>4486</v>
      </c>
      <c r="C3814" t="s">
        <v>6935</v>
      </c>
      <c r="D3814" s="1">
        <v>45629</v>
      </c>
      <c r="E3814" s="1">
        <v>45639</v>
      </c>
      <c r="F3814" s="1">
        <v>45641</v>
      </c>
      <c r="G3814">
        <v>5.04</v>
      </c>
      <c r="H38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14" t="str">
        <f>IFERROR(INDEX(Raw_orders!G:G, MATCH(shipments[[#This Row],[order_id]],Raw_orders!A:A, 0)), "Unknown")</f>
        <v>Baltics</v>
      </c>
      <c r="J3814" t="str">
        <f>PROPER(shipments[[#This Row],[delivery_status]])</f>
        <v>Delivered</v>
      </c>
      <c r="K3814" t="s">
        <v>6922</v>
      </c>
    </row>
    <row r="3815" spans="1:11">
      <c r="A3815" t="s">
        <v>10751</v>
      </c>
      <c r="B3815" t="s">
        <v>4487</v>
      </c>
      <c r="C3815" t="s">
        <v>6938</v>
      </c>
      <c r="D3815" s="1">
        <v>45338</v>
      </c>
      <c r="E3815" s="1">
        <v>45340</v>
      </c>
      <c r="F3815" s="1">
        <v>45340</v>
      </c>
      <c r="G3815">
        <v>10.43</v>
      </c>
      <c r="H38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15" t="str">
        <f>IFERROR(INDEX(Raw_orders!G:G, MATCH(shipments[[#This Row],[order_id]],Raw_orders!A:A, 0)), "Unknown")</f>
        <v>Baltics</v>
      </c>
      <c r="J3815" t="str">
        <f>PROPER(shipments[[#This Row],[delivery_status]])</f>
        <v>Delivered</v>
      </c>
      <c r="K3815" t="s">
        <v>6929</v>
      </c>
    </row>
    <row r="3816" spans="1:11">
      <c r="A3816" t="s">
        <v>10752</v>
      </c>
      <c r="B3816" t="s">
        <v>4488</v>
      </c>
      <c r="C3816" t="s">
        <v>6931</v>
      </c>
      <c r="D3816" s="1">
        <v>45586</v>
      </c>
      <c r="E3816" s="1">
        <v>45596</v>
      </c>
      <c r="F3816" s="1">
        <v>45596</v>
      </c>
      <c r="G3816">
        <v>54.8</v>
      </c>
      <c r="H38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16" t="str">
        <f>IFERROR(INDEX(Raw_orders!G:G, MATCH(shipments[[#This Row],[order_id]],Raw_orders!A:A, 0)), "Unknown")</f>
        <v>Baltics</v>
      </c>
      <c r="J3816" t="str">
        <f>PROPER(shipments[[#This Row],[delivery_status]])</f>
        <v>Delivered</v>
      </c>
      <c r="K3816" t="s">
        <v>6929</v>
      </c>
    </row>
    <row r="3817" spans="1:11">
      <c r="A3817" t="s">
        <v>10753</v>
      </c>
      <c r="B3817" t="s">
        <v>4489</v>
      </c>
      <c r="C3817" t="s">
        <v>6938</v>
      </c>
      <c r="D3817" s="1">
        <v>45611</v>
      </c>
      <c r="E3817" s="1">
        <v>45613</v>
      </c>
      <c r="F3817" s="1">
        <v>45622</v>
      </c>
      <c r="G3817">
        <v>32.17</v>
      </c>
      <c r="H38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17" t="str">
        <f>IFERROR(INDEX(Raw_orders!G:G, MATCH(shipments[[#This Row],[order_id]],Raw_orders!A:A, 0)), "Unknown")</f>
        <v>Nordics</v>
      </c>
      <c r="J3817" t="str">
        <f>PROPER(shipments[[#This Row],[delivery_status]])</f>
        <v>Delivered</v>
      </c>
      <c r="K3817" t="s">
        <v>6929</v>
      </c>
    </row>
    <row r="3818" spans="1:11">
      <c r="A3818" t="s">
        <v>10754</v>
      </c>
      <c r="B3818" t="s">
        <v>4490</v>
      </c>
      <c r="C3818" t="s">
        <v>6956</v>
      </c>
      <c r="D3818" s="1">
        <v>45085</v>
      </c>
      <c r="E3818" s="1">
        <v>45092</v>
      </c>
      <c r="F3818" s="1">
        <v>45100</v>
      </c>
      <c r="G3818">
        <v>53.77</v>
      </c>
      <c r="H38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18" t="str">
        <f>IFERROR(INDEX(Raw_orders!G:G, MATCH(shipments[[#This Row],[order_id]],Raw_orders!A:A, 0)), "Unknown")</f>
        <v>Central Europe</v>
      </c>
      <c r="J3818" t="str">
        <f>PROPER(shipments[[#This Row],[delivery_status]])</f>
        <v>Delivered</v>
      </c>
      <c r="K3818" t="s">
        <v>6926</v>
      </c>
    </row>
    <row r="3819" spans="1:11">
      <c r="A3819" t="s">
        <v>10755</v>
      </c>
      <c r="B3819" t="s">
        <v>4491</v>
      </c>
      <c r="C3819" t="s">
        <v>6935</v>
      </c>
      <c r="D3819" s="1">
        <v>45346</v>
      </c>
      <c r="E3819" s="1">
        <v>45349</v>
      </c>
      <c r="F3819" s="1">
        <v>45349</v>
      </c>
      <c r="G3819">
        <v>33.130000000000003</v>
      </c>
      <c r="H38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19" t="str">
        <f>IFERROR(INDEX(Raw_orders!G:G, MATCH(shipments[[#This Row],[order_id]],Raw_orders!A:A, 0)), "Unknown")</f>
        <v>Nordics</v>
      </c>
      <c r="J3819" t="str">
        <f>PROPER(shipments[[#This Row],[delivery_status]])</f>
        <v>Delivered</v>
      </c>
      <c r="K3819" t="s">
        <v>6926</v>
      </c>
    </row>
    <row r="3820" spans="1:11">
      <c r="A3820" t="s">
        <v>10756</v>
      </c>
      <c r="B3820" t="s">
        <v>4492</v>
      </c>
      <c r="C3820" t="s">
        <v>6928</v>
      </c>
      <c r="D3820" s="1">
        <v>45055</v>
      </c>
      <c r="E3820" s="1">
        <v>45057</v>
      </c>
      <c r="F3820" s="1">
        <v>45059</v>
      </c>
      <c r="G3820">
        <v>28.92</v>
      </c>
      <c r="H38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20" t="str">
        <f>IFERROR(INDEX(Raw_orders!G:G, MATCH(shipments[[#This Row],[order_id]],Raw_orders!A:A, 0)), "Unknown")</f>
        <v>Baltics</v>
      </c>
      <c r="J3820" t="str">
        <f>PROPER(shipments[[#This Row],[delivery_status]])</f>
        <v>Delivered</v>
      </c>
      <c r="K3820" t="s">
        <v>6922</v>
      </c>
    </row>
    <row r="3821" spans="1:11">
      <c r="A3821" t="s">
        <v>10757</v>
      </c>
      <c r="B3821" t="s">
        <v>4493</v>
      </c>
      <c r="C3821" t="s">
        <v>6925</v>
      </c>
      <c r="D3821" s="1">
        <v>45565</v>
      </c>
      <c r="E3821" s="1">
        <v>45570</v>
      </c>
      <c r="F3821" s="1">
        <v>45578</v>
      </c>
      <c r="G3821">
        <v>12.88</v>
      </c>
      <c r="H38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21" t="str">
        <f>IFERROR(INDEX(Raw_orders!G:G, MATCH(shipments[[#This Row],[order_id]],Raw_orders!A:A, 0)), "Unknown")</f>
        <v>Central Europe</v>
      </c>
      <c r="J3821" t="str">
        <f>PROPER(shipments[[#This Row],[delivery_status]])</f>
        <v>Delivered</v>
      </c>
      <c r="K3821" t="s">
        <v>6922</v>
      </c>
    </row>
    <row r="3822" spans="1:11">
      <c r="A3822" t="s">
        <v>10758</v>
      </c>
      <c r="B3822" t="s">
        <v>4494</v>
      </c>
      <c r="C3822" t="s">
        <v>6928</v>
      </c>
      <c r="D3822" s="1">
        <v>45047</v>
      </c>
      <c r="E3822" s="1">
        <v>45052</v>
      </c>
      <c r="F3822" s="1">
        <v>45055</v>
      </c>
      <c r="G3822">
        <v>12.59</v>
      </c>
      <c r="H38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22" t="str">
        <f>IFERROR(INDEX(Raw_orders!G:G, MATCH(shipments[[#This Row],[order_id]],Raw_orders!A:A, 0)), "Unknown")</f>
        <v>Baltics</v>
      </c>
      <c r="J3822" t="str">
        <f>PROPER(shipments[[#This Row],[delivery_status]])</f>
        <v>Delivered</v>
      </c>
      <c r="K3822" t="s">
        <v>6926</v>
      </c>
    </row>
    <row r="3823" spans="1:11">
      <c r="A3823" t="s">
        <v>10759</v>
      </c>
      <c r="B3823" t="s">
        <v>4495</v>
      </c>
      <c r="C3823" t="s">
        <v>6938</v>
      </c>
      <c r="D3823" s="1">
        <v>45557</v>
      </c>
      <c r="E3823" s="1">
        <v>45567</v>
      </c>
      <c r="F3823" s="1"/>
      <c r="G3823">
        <v>13.45</v>
      </c>
      <c r="H38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823" t="str">
        <f>IFERROR(INDEX(Raw_orders!G:G, MATCH(shipments[[#This Row],[order_id]],Raw_orders!A:A, 0)), "Unknown")</f>
        <v>Nordics</v>
      </c>
      <c r="J3823" t="str">
        <f>PROPER(shipments[[#This Row],[delivery_status]])</f>
        <v>Cancelled</v>
      </c>
      <c r="K3823" t="s">
        <v>6963</v>
      </c>
    </row>
    <row r="3824" spans="1:11">
      <c r="A3824" t="s">
        <v>10760</v>
      </c>
      <c r="B3824" t="s">
        <v>4496</v>
      </c>
      <c r="C3824" t="s">
        <v>6921</v>
      </c>
      <c r="D3824" s="1">
        <v>45081</v>
      </c>
      <c r="E3824" s="1">
        <v>45084</v>
      </c>
      <c r="F3824" s="1">
        <v>45084</v>
      </c>
      <c r="G3824">
        <v>25.32</v>
      </c>
      <c r="H38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24" t="str">
        <f>IFERROR(INDEX(Raw_orders!G:G, MATCH(shipments[[#This Row],[order_id]],Raw_orders!A:A, 0)), "Unknown")</f>
        <v>Baltics</v>
      </c>
      <c r="J3824" t="str">
        <f>PROPER(shipments[[#This Row],[delivery_status]])</f>
        <v>Delivered</v>
      </c>
      <c r="K3824" t="s">
        <v>6922</v>
      </c>
    </row>
    <row r="3825" spans="1:11">
      <c r="A3825" t="s">
        <v>10761</v>
      </c>
      <c r="B3825" t="s">
        <v>4497</v>
      </c>
      <c r="C3825" t="s">
        <v>6928</v>
      </c>
      <c r="D3825" s="1">
        <v>45171</v>
      </c>
      <c r="E3825" s="1">
        <v>45176</v>
      </c>
      <c r="F3825" s="1">
        <v>45178</v>
      </c>
      <c r="G3825">
        <v>62.54</v>
      </c>
      <c r="H38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25" t="str">
        <f>IFERROR(INDEX(Raw_orders!G:G, MATCH(shipments[[#This Row],[order_id]],Raw_orders!A:A, 0)), "Unknown")</f>
        <v>Nordics</v>
      </c>
      <c r="J3825" t="str">
        <f>PROPER(shipments[[#This Row],[delivery_status]])</f>
        <v>Delivered</v>
      </c>
      <c r="K3825" t="s">
        <v>6926</v>
      </c>
    </row>
    <row r="3826" spans="1:11">
      <c r="A3826" t="s">
        <v>10762</v>
      </c>
      <c r="B3826" t="s">
        <v>4498</v>
      </c>
      <c r="C3826" t="s">
        <v>6921</v>
      </c>
      <c r="D3826" s="1">
        <v>45220</v>
      </c>
      <c r="E3826" s="1">
        <v>45227</v>
      </c>
      <c r="F3826" s="1"/>
      <c r="G3826">
        <v>10.9</v>
      </c>
      <c r="H38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826" t="str">
        <f>IFERROR(INDEX(Raw_orders!G:G, MATCH(shipments[[#This Row],[order_id]],Raw_orders!A:A, 0)), "Unknown")</f>
        <v>Baltics</v>
      </c>
      <c r="J3826" t="str">
        <f>PROPER(shipments[[#This Row],[delivery_status]])</f>
        <v>Cancelled</v>
      </c>
      <c r="K3826" t="s">
        <v>6963</v>
      </c>
    </row>
    <row r="3827" spans="1:11">
      <c r="A3827" t="s">
        <v>10763</v>
      </c>
      <c r="B3827" t="s">
        <v>4499</v>
      </c>
      <c r="C3827" t="s">
        <v>6921</v>
      </c>
      <c r="D3827" s="1">
        <v>44975</v>
      </c>
      <c r="E3827" s="1">
        <v>44985</v>
      </c>
      <c r="F3827" s="1">
        <v>44993</v>
      </c>
      <c r="G3827">
        <v>5.98</v>
      </c>
      <c r="H38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27" t="str">
        <f>IFERROR(INDEX(Raw_orders!G:G, MATCH(shipments[[#This Row],[order_id]],Raw_orders!A:A, 0)), "Unknown")</f>
        <v>Baltics</v>
      </c>
      <c r="J3827" t="str">
        <f>PROPER(shipments[[#This Row],[delivery_status]])</f>
        <v>Delivered</v>
      </c>
      <c r="K3827" t="s">
        <v>6929</v>
      </c>
    </row>
    <row r="3828" spans="1:11">
      <c r="A3828" t="s">
        <v>10764</v>
      </c>
      <c r="B3828" t="s">
        <v>4500</v>
      </c>
      <c r="C3828" t="s">
        <v>6956</v>
      </c>
      <c r="D3828" s="1">
        <v>45589</v>
      </c>
      <c r="E3828" s="1">
        <v>45591</v>
      </c>
      <c r="F3828" s="1">
        <v>45603</v>
      </c>
      <c r="G3828">
        <v>20.48</v>
      </c>
      <c r="H38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28" t="str">
        <f>IFERROR(INDEX(Raw_orders!G:G, MATCH(shipments[[#This Row],[order_id]],Raw_orders!A:A, 0)), "Unknown")</f>
        <v>Baltics</v>
      </c>
      <c r="J3828" t="str">
        <f>PROPER(shipments[[#This Row],[delivery_status]])</f>
        <v>Delivered</v>
      </c>
      <c r="K3828" t="s">
        <v>6929</v>
      </c>
    </row>
    <row r="3829" spans="1:11">
      <c r="A3829" t="s">
        <v>10765</v>
      </c>
      <c r="B3829" t="s">
        <v>4501</v>
      </c>
      <c r="C3829" t="s">
        <v>6925</v>
      </c>
      <c r="D3829" s="1">
        <v>45253</v>
      </c>
      <c r="E3829" s="1">
        <v>45255</v>
      </c>
      <c r="F3829" s="1">
        <v>45263</v>
      </c>
      <c r="G3829">
        <v>48.25</v>
      </c>
      <c r="H38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29" t="str">
        <f>IFERROR(INDEX(Raw_orders!G:G, MATCH(shipments[[#This Row],[order_id]],Raw_orders!A:A, 0)), "Unknown")</f>
        <v>Central Europe</v>
      </c>
      <c r="J3829" t="str">
        <f>PROPER(shipments[[#This Row],[delivery_status]])</f>
        <v>Delivered</v>
      </c>
      <c r="K3829" t="s">
        <v>6922</v>
      </c>
    </row>
    <row r="3830" spans="1:11">
      <c r="A3830" t="s">
        <v>10766</v>
      </c>
      <c r="B3830" t="s">
        <v>4502</v>
      </c>
      <c r="C3830" t="s">
        <v>6928</v>
      </c>
      <c r="D3830" s="1">
        <v>45237</v>
      </c>
      <c r="E3830" s="1">
        <v>45239</v>
      </c>
      <c r="F3830" s="1">
        <v>45238</v>
      </c>
      <c r="G3830">
        <v>48.54</v>
      </c>
      <c r="H38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30" t="str">
        <f>IFERROR(INDEX(Raw_orders!G:G, MATCH(shipments[[#This Row],[order_id]],Raw_orders!A:A, 0)), "Unknown")</f>
        <v>Nordics</v>
      </c>
      <c r="J3830" t="str">
        <f>PROPER(shipments[[#This Row],[delivery_status]])</f>
        <v>Delivered</v>
      </c>
      <c r="K3830" t="s">
        <v>6922</v>
      </c>
    </row>
    <row r="3831" spans="1:11">
      <c r="A3831" t="s">
        <v>10767</v>
      </c>
      <c r="B3831" t="s">
        <v>4503</v>
      </c>
      <c r="C3831" t="s">
        <v>6956</v>
      </c>
      <c r="D3831" s="1">
        <v>45224</v>
      </c>
      <c r="E3831" s="1">
        <v>45226</v>
      </c>
      <c r="F3831" s="1">
        <v>45225</v>
      </c>
      <c r="G3831">
        <v>53.9</v>
      </c>
      <c r="H38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31" t="str">
        <f>IFERROR(INDEX(Raw_orders!G:G, MATCH(shipments[[#This Row],[order_id]],Raw_orders!A:A, 0)), "Unknown")</f>
        <v>Baltics</v>
      </c>
      <c r="J3831" t="str">
        <f>PROPER(shipments[[#This Row],[delivery_status]])</f>
        <v>Delivered</v>
      </c>
      <c r="K3831" t="s">
        <v>6926</v>
      </c>
    </row>
    <row r="3832" spans="1:11">
      <c r="A3832" t="s">
        <v>10768</v>
      </c>
      <c r="B3832" t="s">
        <v>4504</v>
      </c>
      <c r="C3832" t="s">
        <v>6928</v>
      </c>
      <c r="D3832" s="1">
        <v>45321</v>
      </c>
      <c r="E3832" s="1">
        <v>45326</v>
      </c>
      <c r="F3832" s="1">
        <v>45328</v>
      </c>
      <c r="G3832">
        <v>27.21</v>
      </c>
      <c r="H38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32" t="str">
        <f>IFERROR(INDEX(Raw_orders!G:G, MATCH(shipments[[#This Row],[order_id]],Raw_orders!A:A, 0)), "Unknown")</f>
        <v>Nordics</v>
      </c>
      <c r="J3832" t="str">
        <f>PROPER(shipments[[#This Row],[delivery_status]])</f>
        <v>Delivered</v>
      </c>
      <c r="K3832" t="s">
        <v>6922</v>
      </c>
    </row>
    <row r="3833" spans="1:11">
      <c r="A3833" t="s">
        <v>10769</v>
      </c>
      <c r="B3833" t="s">
        <v>4505</v>
      </c>
      <c r="C3833" t="s">
        <v>6935</v>
      </c>
      <c r="D3833" s="1">
        <v>45224</v>
      </c>
      <c r="E3833" s="1">
        <v>45231</v>
      </c>
      <c r="F3833" s="1"/>
      <c r="G3833">
        <v>17.399999999999999</v>
      </c>
      <c r="H38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833" t="str">
        <f>IFERROR(INDEX(Raw_orders!G:G, MATCH(shipments[[#This Row],[order_id]],Raw_orders!A:A, 0)), "Unknown")</f>
        <v>Baltics</v>
      </c>
      <c r="J3833" t="str">
        <f>PROPER(shipments[[#This Row],[delivery_status]])</f>
        <v>Cancelled</v>
      </c>
      <c r="K3833" t="s">
        <v>6972</v>
      </c>
    </row>
    <row r="3834" spans="1:11">
      <c r="A3834" t="s">
        <v>10770</v>
      </c>
      <c r="B3834" t="s">
        <v>4506</v>
      </c>
      <c r="C3834" t="s">
        <v>6925</v>
      </c>
      <c r="D3834" s="1">
        <v>45425</v>
      </c>
      <c r="E3834" s="1">
        <v>45435</v>
      </c>
      <c r="F3834" s="1">
        <v>45435</v>
      </c>
      <c r="G3834">
        <v>6.84</v>
      </c>
      <c r="H38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34" t="str">
        <f>IFERROR(INDEX(Raw_orders!G:G, MATCH(shipments[[#This Row],[order_id]],Raw_orders!A:A, 0)), "Unknown")</f>
        <v>Central Europe</v>
      </c>
      <c r="J3834" t="str">
        <f>PROPER(shipments[[#This Row],[delivery_status]])</f>
        <v>Delivered</v>
      </c>
      <c r="K3834" t="s">
        <v>6922</v>
      </c>
    </row>
    <row r="3835" spans="1:11">
      <c r="A3835" t="s">
        <v>10771</v>
      </c>
      <c r="B3835" t="s">
        <v>4507</v>
      </c>
      <c r="C3835" t="s">
        <v>6940</v>
      </c>
      <c r="D3835" s="1">
        <v>45406</v>
      </c>
      <c r="E3835" s="1">
        <v>45408</v>
      </c>
      <c r="F3835" s="1">
        <v>45407</v>
      </c>
      <c r="G3835">
        <v>33.19</v>
      </c>
      <c r="H38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35" t="str">
        <f>IFERROR(INDEX(Raw_orders!G:G, MATCH(shipments[[#This Row],[order_id]],Raw_orders!A:A, 0)), "Unknown")</f>
        <v>Nordics</v>
      </c>
      <c r="J3835" t="str">
        <f>PROPER(shipments[[#This Row],[delivery_status]])</f>
        <v>Delivered</v>
      </c>
      <c r="K3835" t="s">
        <v>6922</v>
      </c>
    </row>
    <row r="3836" spans="1:11">
      <c r="A3836" t="s">
        <v>10772</v>
      </c>
      <c r="B3836" t="s">
        <v>4508</v>
      </c>
      <c r="C3836" t="s">
        <v>6931</v>
      </c>
      <c r="D3836" s="1">
        <v>45220</v>
      </c>
      <c r="E3836" s="1">
        <v>45227</v>
      </c>
      <c r="F3836" s="1">
        <v>45240</v>
      </c>
      <c r="G3836">
        <v>15.23</v>
      </c>
      <c r="H38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36" t="str">
        <f>IFERROR(INDEX(Raw_orders!G:G, MATCH(shipments[[#This Row],[order_id]],Raw_orders!A:A, 0)), "Unknown")</f>
        <v>Nordics</v>
      </c>
      <c r="J3836" t="str">
        <f>PROPER(shipments[[#This Row],[delivery_status]])</f>
        <v>Delivered</v>
      </c>
      <c r="K3836" t="s">
        <v>6929</v>
      </c>
    </row>
    <row r="3837" spans="1:11">
      <c r="A3837" t="s">
        <v>10773</v>
      </c>
      <c r="B3837" t="s">
        <v>4509</v>
      </c>
      <c r="C3837" t="s">
        <v>6956</v>
      </c>
      <c r="D3837" s="1">
        <v>45170</v>
      </c>
      <c r="E3837" s="1">
        <v>45177</v>
      </c>
      <c r="F3837" s="1">
        <v>45179</v>
      </c>
      <c r="G3837">
        <v>6.39</v>
      </c>
      <c r="H38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37" t="str">
        <f>IFERROR(INDEX(Raw_orders!G:G, MATCH(shipments[[#This Row],[order_id]],Raw_orders!A:A, 0)), "Unknown")</f>
        <v>Baltics</v>
      </c>
      <c r="J3837" t="str">
        <f>PROPER(shipments[[#This Row],[delivery_status]])</f>
        <v>Delivered</v>
      </c>
      <c r="K3837" t="s">
        <v>6926</v>
      </c>
    </row>
    <row r="3838" spans="1:11">
      <c r="A3838" t="s">
        <v>10774</v>
      </c>
      <c r="B3838" t="s">
        <v>4510</v>
      </c>
      <c r="C3838" t="s">
        <v>6956</v>
      </c>
      <c r="D3838" s="1">
        <v>45113</v>
      </c>
      <c r="E3838" s="1">
        <v>45115</v>
      </c>
      <c r="F3838" s="1">
        <v>45118</v>
      </c>
      <c r="G3838">
        <v>44.62</v>
      </c>
      <c r="H38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38" t="str">
        <f>IFERROR(INDEX(Raw_orders!G:G, MATCH(shipments[[#This Row],[order_id]],Raw_orders!A:A, 0)), "Unknown")</f>
        <v>Baltics</v>
      </c>
      <c r="J3838" t="str">
        <f>PROPER(shipments[[#This Row],[delivery_status]])</f>
        <v>Delivered</v>
      </c>
      <c r="K3838" t="s">
        <v>6929</v>
      </c>
    </row>
    <row r="3839" spans="1:11">
      <c r="A3839" t="s">
        <v>10775</v>
      </c>
      <c r="B3839" t="s">
        <v>4511</v>
      </c>
      <c r="C3839" t="s">
        <v>6940</v>
      </c>
      <c r="D3839" s="1">
        <v>45423</v>
      </c>
      <c r="E3839" s="1">
        <v>45433</v>
      </c>
      <c r="F3839" s="1">
        <v>45433</v>
      </c>
      <c r="G3839">
        <v>20.47</v>
      </c>
      <c r="H38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39" t="str">
        <f>IFERROR(INDEX(Raw_orders!G:G, MATCH(shipments[[#This Row],[order_id]],Raw_orders!A:A, 0)), "Unknown")</f>
        <v>Baltics</v>
      </c>
      <c r="J3839" t="str">
        <f>PROPER(shipments[[#This Row],[delivery_status]])</f>
        <v>Delivered</v>
      </c>
      <c r="K3839" t="s">
        <v>6929</v>
      </c>
    </row>
    <row r="3840" spans="1:11">
      <c r="A3840" t="s">
        <v>10776</v>
      </c>
      <c r="B3840" t="s">
        <v>4512</v>
      </c>
      <c r="C3840" t="s">
        <v>6928</v>
      </c>
      <c r="D3840" s="1">
        <v>45090</v>
      </c>
      <c r="E3840" s="1">
        <v>45092</v>
      </c>
      <c r="F3840" s="1">
        <v>45091</v>
      </c>
      <c r="G3840">
        <v>61.92</v>
      </c>
      <c r="H38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40" t="str">
        <f>IFERROR(INDEX(Raw_orders!G:G, MATCH(shipments[[#This Row],[order_id]],Raw_orders!A:A, 0)), "Unknown")</f>
        <v>Central Europe</v>
      </c>
      <c r="J3840" t="str">
        <f>PROPER(shipments[[#This Row],[delivery_status]])</f>
        <v>Delivered</v>
      </c>
      <c r="K3840" t="s">
        <v>6922</v>
      </c>
    </row>
    <row r="3841" spans="1:11">
      <c r="A3841" t="s">
        <v>10777</v>
      </c>
      <c r="B3841" t="s">
        <v>4513</v>
      </c>
      <c r="C3841" t="s">
        <v>6935</v>
      </c>
      <c r="D3841" s="1">
        <v>45163</v>
      </c>
      <c r="E3841" s="1">
        <v>45165</v>
      </c>
      <c r="F3841" s="1">
        <v>45170</v>
      </c>
      <c r="G3841">
        <v>50.7</v>
      </c>
      <c r="H38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41" t="str">
        <f>IFERROR(INDEX(Raw_orders!G:G, MATCH(shipments[[#This Row],[order_id]],Raw_orders!A:A, 0)), "Unknown")</f>
        <v>Nordics</v>
      </c>
      <c r="J3841" t="str">
        <f>PROPER(shipments[[#This Row],[delivery_status]])</f>
        <v>Delivered</v>
      </c>
      <c r="K3841" t="s">
        <v>6929</v>
      </c>
    </row>
    <row r="3842" spans="1:11">
      <c r="A3842" t="s">
        <v>10778</v>
      </c>
      <c r="B3842" t="s">
        <v>4514</v>
      </c>
      <c r="C3842" t="s">
        <v>6925</v>
      </c>
      <c r="D3842" s="1">
        <v>45186</v>
      </c>
      <c r="E3842" s="1">
        <v>45196</v>
      </c>
      <c r="F3842" s="1">
        <v>45199</v>
      </c>
      <c r="G3842">
        <v>48.59</v>
      </c>
      <c r="H38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42" t="str">
        <f>IFERROR(INDEX(Raw_orders!G:G, MATCH(shipments[[#This Row],[order_id]],Raw_orders!A:A, 0)), "Unknown")</f>
        <v>Baltics</v>
      </c>
      <c r="J3842" t="str">
        <f>PROPER(shipments[[#This Row],[delivery_status]])</f>
        <v>Delivered</v>
      </c>
      <c r="K3842" t="s">
        <v>6926</v>
      </c>
    </row>
    <row r="3843" spans="1:11">
      <c r="A3843" t="s">
        <v>10779</v>
      </c>
      <c r="B3843" t="s">
        <v>4515</v>
      </c>
      <c r="C3843" t="s">
        <v>6938</v>
      </c>
      <c r="D3843" s="1">
        <v>45007</v>
      </c>
      <c r="E3843" s="1">
        <v>45014</v>
      </c>
      <c r="F3843" s="1">
        <v>45022</v>
      </c>
      <c r="G3843">
        <v>13.72</v>
      </c>
      <c r="H38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43" t="str">
        <f>IFERROR(INDEX(Raw_orders!G:G, MATCH(shipments[[#This Row],[order_id]],Raw_orders!A:A, 0)), "Unknown")</f>
        <v>Nordics</v>
      </c>
      <c r="J3843" t="str">
        <f>PROPER(shipments[[#This Row],[delivery_status]])</f>
        <v>Delivered</v>
      </c>
      <c r="K3843" t="s">
        <v>6926</v>
      </c>
    </row>
    <row r="3844" spans="1:11">
      <c r="A3844" t="s">
        <v>10780</v>
      </c>
      <c r="B3844" t="s">
        <v>4516</v>
      </c>
      <c r="C3844" t="s">
        <v>6938</v>
      </c>
      <c r="D3844" s="1">
        <v>45222</v>
      </c>
      <c r="E3844" s="1">
        <v>45224</v>
      </c>
      <c r="F3844" s="1">
        <v>45226</v>
      </c>
      <c r="G3844">
        <v>13.53</v>
      </c>
      <c r="H38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44" t="str">
        <f>IFERROR(INDEX(Raw_orders!G:G, MATCH(shipments[[#This Row],[order_id]],Raw_orders!A:A, 0)), "Unknown")</f>
        <v>Central Europe</v>
      </c>
      <c r="J3844" t="str">
        <f>PROPER(shipments[[#This Row],[delivery_status]])</f>
        <v>Delivered</v>
      </c>
      <c r="K3844" t="s">
        <v>6926</v>
      </c>
    </row>
    <row r="3845" spans="1:11">
      <c r="A3845" t="s">
        <v>10781</v>
      </c>
      <c r="B3845" t="s">
        <v>4517</v>
      </c>
      <c r="C3845" t="s">
        <v>6921</v>
      </c>
      <c r="D3845" s="1">
        <v>45486</v>
      </c>
      <c r="E3845" s="1">
        <v>45491</v>
      </c>
      <c r="F3845" s="1">
        <v>45496</v>
      </c>
      <c r="G3845">
        <v>12.13</v>
      </c>
      <c r="H38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45" t="str">
        <f>IFERROR(INDEX(Raw_orders!G:G, MATCH(shipments[[#This Row],[order_id]],Raw_orders!A:A, 0)), "Unknown")</f>
        <v>Central Europe</v>
      </c>
      <c r="J3845" t="str">
        <f>PROPER(shipments[[#This Row],[delivery_status]])</f>
        <v>Delivered</v>
      </c>
      <c r="K3845" t="s">
        <v>6922</v>
      </c>
    </row>
    <row r="3846" spans="1:11">
      <c r="A3846" t="s">
        <v>10782</v>
      </c>
      <c r="B3846" t="s">
        <v>4518</v>
      </c>
      <c r="C3846" t="s">
        <v>6928</v>
      </c>
      <c r="D3846" s="1">
        <v>45184</v>
      </c>
      <c r="E3846" s="1">
        <v>45189</v>
      </c>
      <c r="F3846" s="1">
        <v>45191</v>
      </c>
      <c r="G3846">
        <v>30.19</v>
      </c>
      <c r="H38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46" t="str">
        <f>IFERROR(INDEX(Raw_orders!G:G, MATCH(shipments[[#This Row],[order_id]],Raw_orders!A:A, 0)), "Unknown")</f>
        <v>Central Europe</v>
      </c>
      <c r="J3846" t="str">
        <f>PROPER(shipments[[#This Row],[delivery_status]])</f>
        <v>Delivered</v>
      </c>
      <c r="K3846" t="s">
        <v>6929</v>
      </c>
    </row>
    <row r="3847" spans="1:11">
      <c r="A3847" t="s">
        <v>10783</v>
      </c>
      <c r="B3847" t="s">
        <v>4519</v>
      </c>
      <c r="C3847" t="s">
        <v>6956</v>
      </c>
      <c r="D3847" s="1">
        <v>44990</v>
      </c>
      <c r="E3847" s="1">
        <v>44997</v>
      </c>
      <c r="F3847" s="1">
        <v>44999</v>
      </c>
      <c r="G3847">
        <v>18.940000000000001</v>
      </c>
      <c r="H38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47" t="str">
        <f>IFERROR(INDEX(Raw_orders!G:G, MATCH(shipments[[#This Row],[order_id]],Raw_orders!A:A, 0)), "Unknown")</f>
        <v>Central Europe</v>
      </c>
      <c r="J3847" t="str">
        <f>PROPER(shipments[[#This Row],[delivery_status]])</f>
        <v>Delivered</v>
      </c>
      <c r="K3847" t="s">
        <v>6922</v>
      </c>
    </row>
    <row r="3848" spans="1:11">
      <c r="A3848" t="s">
        <v>10784</v>
      </c>
      <c r="B3848" t="s">
        <v>4520</v>
      </c>
      <c r="C3848" t="s">
        <v>6928</v>
      </c>
      <c r="D3848" s="1">
        <v>45147</v>
      </c>
      <c r="E3848" s="1">
        <v>45154</v>
      </c>
      <c r="F3848" s="1">
        <v>45162</v>
      </c>
      <c r="G3848">
        <v>41.91</v>
      </c>
      <c r="H38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48" t="str">
        <f>IFERROR(INDEX(Raw_orders!G:G, MATCH(shipments[[#This Row],[order_id]],Raw_orders!A:A, 0)), "Unknown")</f>
        <v>Baltics</v>
      </c>
      <c r="J3848" t="str">
        <f>PROPER(shipments[[#This Row],[delivery_status]])</f>
        <v>Delivered</v>
      </c>
      <c r="K3848" t="s">
        <v>6929</v>
      </c>
    </row>
    <row r="3849" spans="1:11">
      <c r="A3849" t="s">
        <v>10785</v>
      </c>
      <c r="B3849" t="s">
        <v>4521</v>
      </c>
      <c r="C3849" t="s">
        <v>6935</v>
      </c>
      <c r="D3849" s="1">
        <v>45577</v>
      </c>
      <c r="E3849" s="1">
        <v>45587</v>
      </c>
      <c r="F3849" s="1">
        <v>45589</v>
      </c>
      <c r="G3849">
        <v>55.03</v>
      </c>
      <c r="H38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49" t="str">
        <f>IFERROR(INDEX(Raw_orders!G:G, MATCH(shipments[[#This Row],[order_id]],Raw_orders!A:A, 0)), "Unknown")</f>
        <v>Baltics</v>
      </c>
      <c r="J3849" t="str">
        <f>PROPER(shipments[[#This Row],[delivery_status]])</f>
        <v>Delivered</v>
      </c>
      <c r="K3849" t="s">
        <v>6922</v>
      </c>
    </row>
    <row r="3850" spans="1:11">
      <c r="A3850" t="s">
        <v>10786</v>
      </c>
      <c r="B3850" t="s">
        <v>4522</v>
      </c>
      <c r="C3850" t="s">
        <v>6956</v>
      </c>
      <c r="D3850" s="1">
        <v>45204</v>
      </c>
      <c r="E3850" s="1">
        <v>45211</v>
      </c>
      <c r="F3850" s="1">
        <v>45213</v>
      </c>
      <c r="G3850">
        <v>37.450000000000003</v>
      </c>
      <c r="H38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50" t="str">
        <f>IFERROR(INDEX(Raw_orders!G:G, MATCH(shipments[[#This Row],[order_id]],Raw_orders!A:A, 0)), "Unknown")</f>
        <v>Baltics</v>
      </c>
      <c r="J3850" t="str">
        <f>PROPER(shipments[[#This Row],[delivery_status]])</f>
        <v>Delivered</v>
      </c>
      <c r="K3850" t="s">
        <v>6929</v>
      </c>
    </row>
    <row r="3851" spans="1:11">
      <c r="A3851" t="s">
        <v>10787</v>
      </c>
      <c r="B3851" t="s">
        <v>4523</v>
      </c>
      <c r="C3851" t="s">
        <v>6935</v>
      </c>
      <c r="D3851" s="1">
        <v>45531</v>
      </c>
      <c r="E3851" s="1">
        <v>45534</v>
      </c>
      <c r="F3851" s="1"/>
      <c r="G3851">
        <v>5.1100000000000003</v>
      </c>
      <c r="H38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851" t="str">
        <f>IFERROR(INDEX(Raw_orders!G:G, MATCH(shipments[[#This Row],[order_id]],Raw_orders!A:A, 0)), "Unknown")</f>
        <v>Nordics</v>
      </c>
      <c r="J3851" t="str">
        <f>PROPER(shipments[[#This Row],[delivery_status]])</f>
        <v>Cancelled</v>
      </c>
      <c r="K3851" t="s">
        <v>6972</v>
      </c>
    </row>
    <row r="3852" spans="1:11">
      <c r="A3852" t="s">
        <v>10788</v>
      </c>
      <c r="B3852" t="s">
        <v>4524</v>
      </c>
      <c r="C3852" t="s">
        <v>6940</v>
      </c>
      <c r="D3852" s="1">
        <v>45067</v>
      </c>
      <c r="E3852" s="1">
        <v>45072</v>
      </c>
      <c r="F3852" s="1">
        <v>45072</v>
      </c>
      <c r="G3852">
        <v>37.409999999999997</v>
      </c>
      <c r="H38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52" t="str">
        <f>IFERROR(INDEX(Raw_orders!G:G, MATCH(shipments[[#This Row],[order_id]],Raw_orders!A:A, 0)), "Unknown")</f>
        <v>Baltics</v>
      </c>
      <c r="J3852" t="str">
        <f>PROPER(shipments[[#This Row],[delivery_status]])</f>
        <v>Delivered</v>
      </c>
      <c r="K3852" t="s">
        <v>6926</v>
      </c>
    </row>
    <row r="3853" spans="1:11">
      <c r="A3853" t="s">
        <v>10789</v>
      </c>
      <c r="B3853" t="s">
        <v>4525</v>
      </c>
      <c r="C3853" t="s">
        <v>6956</v>
      </c>
      <c r="D3853" s="1">
        <v>45585</v>
      </c>
      <c r="E3853" s="1">
        <v>45588</v>
      </c>
      <c r="F3853" s="1">
        <v>45589</v>
      </c>
      <c r="G3853">
        <v>48.58</v>
      </c>
      <c r="H38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53" t="str">
        <f>IFERROR(INDEX(Raw_orders!G:G, MATCH(shipments[[#This Row],[order_id]],Raw_orders!A:A, 0)), "Unknown")</f>
        <v>Baltics</v>
      </c>
      <c r="J3853" t="str">
        <f>PROPER(shipments[[#This Row],[delivery_status]])</f>
        <v>Delivered</v>
      </c>
      <c r="K3853" t="s">
        <v>6926</v>
      </c>
    </row>
    <row r="3854" spans="1:11">
      <c r="A3854" t="s">
        <v>10790</v>
      </c>
      <c r="B3854" t="s">
        <v>4526</v>
      </c>
      <c r="C3854" t="s">
        <v>6928</v>
      </c>
      <c r="D3854" s="1">
        <v>45075</v>
      </c>
      <c r="E3854" s="1">
        <v>45080</v>
      </c>
      <c r="F3854" s="1"/>
      <c r="G3854">
        <v>29.67</v>
      </c>
      <c r="H38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854" t="str">
        <f>IFERROR(INDEX(Raw_orders!G:G, MATCH(shipments[[#This Row],[order_id]],Raw_orders!A:A, 0)), "Unknown")</f>
        <v>Central Europe</v>
      </c>
      <c r="J3854" t="str">
        <f>PROPER(shipments[[#This Row],[delivery_status]])</f>
        <v>In Transit</v>
      </c>
      <c r="K3854" t="s">
        <v>6946</v>
      </c>
    </row>
    <row r="3855" spans="1:11">
      <c r="A3855" t="s">
        <v>10791</v>
      </c>
      <c r="B3855" t="s">
        <v>4527</v>
      </c>
      <c r="C3855" t="s">
        <v>6925</v>
      </c>
      <c r="D3855" s="1">
        <v>45100</v>
      </c>
      <c r="E3855" s="1">
        <v>45105</v>
      </c>
      <c r="F3855" s="1"/>
      <c r="G3855">
        <v>11.04</v>
      </c>
      <c r="H38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855" t="str">
        <f>IFERROR(INDEX(Raw_orders!G:G, MATCH(shipments[[#This Row],[order_id]],Raw_orders!A:A, 0)), "Unknown")</f>
        <v>Baltics</v>
      </c>
      <c r="J3855" t="str">
        <f>PROPER(shipments[[#This Row],[delivery_status]])</f>
        <v>Cancelled</v>
      </c>
      <c r="K3855" t="s">
        <v>6972</v>
      </c>
    </row>
    <row r="3856" spans="1:11">
      <c r="A3856" t="s">
        <v>10792</v>
      </c>
      <c r="B3856" t="s">
        <v>4528</v>
      </c>
      <c r="C3856" t="s">
        <v>6931</v>
      </c>
      <c r="D3856" s="1">
        <v>45557</v>
      </c>
      <c r="E3856" s="1">
        <v>45560</v>
      </c>
      <c r="F3856" s="1">
        <v>45560</v>
      </c>
      <c r="G3856">
        <v>20.55</v>
      </c>
      <c r="H38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56" t="str">
        <f>IFERROR(INDEX(Raw_orders!G:G, MATCH(shipments[[#This Row],[order_id]],Raw_orders!A:A, 0)), "Unknown")</f>
        <v>Central Europe</v>
      </c>
      <c r="J3856" t="str">
        <f>PROPER(shipments[[#This Row],[delivery_status]])</f>
        <v>Delivered</v>
      </c>
      <c r="K3856" t="s">
        <v>6926</v>
      </c>
    </row>
    <row r="3857" spans="1:11">
      <c r="A3857" t="s">
        <v>10793</v>
      </c>
      <c r="B3857" t="s">
        <v>4529</v>
      </c>
      <c r="C3857" t="s">
        <v>6931</v>
      </c>
      <c r="D3857" s="1">
        <v>45083</v>
      </c>
      <c r="E3857" s="1">
        <v>45090</v>
      </c>
      <c r="F3857" s="1">
        <v>45090</v>
      </c>
      <c r="G3857">
        <v>33.159999999999997</v>
      </c>
      <c r="H38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57" t="str">
        <f>IFERROR(INDEX(Raw_orders!G:G, MATCH(shipments[[#This Row],[order_id]],Raw_orders!A:A, 0)), "Unknown")</f>
        <v>Central Europe</v>
      </c>
      <c r="J3857" t="str">
        <f>PROPER(shipments[[#This Row],[delivery_status]])</f>
        <v>Delivered</v>
      </c>
      <c r="K3857" t="s">
        <v>6922</v>
      </c>
    </row>
    <row r="3858" spans="1:11">
      <c r="A3858" t="s">
        <v>10794</v>
      </c>
      <c r="B3858" t="s">
        <v>4530</v>
      </c>
      <c r="C3858" t="s">
        <v>6931</v>
      </c>
      <c r="D3858" s="1">
        <v>45326</v>
      </c>
      <c r="E3858" s="1">
        <v>45333</v>
      </c>
      <c r="F3858" s="1"/>
      <c r="G3858">
        <v>34.82</v>
      </c>
      <c r="H38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858" t="str">
        <f>IFERROR(INDEX(Raw_orders!G:G, MATCH(shipments[[#This Row],[order_id]],Raw_orders!A:A, 0)), "Unknown")</f>
        <v>Central Europe</v>
      </c>
      <c r="J3858" t="str">
        <f>PROPER(shipments[[#This Row],[delivery_status]])</f>
        <v>Cancelled</v>
      </c>
      <c r="K3858" t="s">
        <v>6979</v>
      </c>
    </row>
    <row r="3859" spans="1:11">
      <c r="A3859" t="s">
        <v>10795</v>
      </c>
      <c r="B3859" t="s">
        <v>4531</v>
      </c>
      <c r="C3859" t="s">
        <v>6940</v>
      </c>
      <c r="D3859" s="1">
        <v>45338</v>
      </c>
      <c r="E3859" s="1">
        <v>45341</v>
      </c>
      <c r="F3859" s="1">
        <v>45341</v>
      </c>
      <c r="G3859">
        <v>52.11</v>
      </c>
      <c r="H38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59" t="str">
        <f>IFERROR(INDEX(Raw_orders!G:G, MATCH(shipments[[#This Row],[order_id]],Raw_orders!A:A, 0)), "Unknown")</f>
        <v>Baltics</v>
      </c>
      <c r="J3859" t="str">
        <f>PROPER(shipments[[#This Row],[delivery_status]])</f>
        <v>Delivered</v>
      </c>
      <c r="K3859" t="s">
        <v>6929</v>
      </c>
    </row>
    <row r="3860" spans="1:11">
      <c r="A3860" t="s">
        <v>10796</v>
      </c>
      <c r="B3860" t="s">
        <v>4532</v>
      </c>
      <c r="C3860" t="s">
        <v>6956</v>
      </c>
      <c r="D3860" s="1">
        <v>45387</v>
      </c>
      <c r="E3860" s="1">
        <v>45389</v>
      </c>
      <c r="F3860" s="1">
        <v>45397</v>
      </c>
      <c r="G3860">
        <v>12.58</v>
      </c>
      <c r="H38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60" t="str">
        <f>IFERROR(INDEX(Raw_orders!G:G, MATCH(shipments[[#This Row],[order_id]],Raw_orders!A:A, 0)), "Unknown")</f>
        <v>Baltics</v>
      </c>
      <c r="J3860" t="str">
        <f>PROPER(shipments[[#This Row],[delivery_status]])</f>
        <v>Delivered</v>
      </c>
      <c r="K3860" t="s">
        <v>6922</v>
      </c>
    </row>
    <row r="3861" spans="1:11">
      <c r="A3861" t="s">
        <v>10797</v>
      </c>
      <c r="B3861" t="s">
        <v>4533</v>
      </c>
      <c r="C3861" t="s">
        <v>6921</v>
      </c>
      <c r="D3861" s="1">
        <v>44966</v>
      </c>
      <c r="E3861" s="1">
        <v>44976</v>
      </c>
      <c r="F3861" s="1">
        <v>44978</v>
      </c>
      <c r="G3861">
        <v>14.44</v>
      </c>
      <c r="H38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61" t="str">
        <f>IFERROR(INDEX(Raw_orders!G:G, MATCH(shipments[[#This Row],[order_id]],Raw_orders!A:A, 0)), "Unknown")</f>
        <v>Central Europe</v>
      </c>
      <c r="J3861" t="str">
        <f>PROPER(shipments[[#This Row],[delivery_status]])</f>
        <v>Delivered</v>
      </c>
      <c r="K3861" t="s">
        <v>6922</v>
      </c>
    </row>
    <row r="3862" spans="1:11">
      <c r="A3862" t="s">
        <v>10798</v>
      </c>
      <c r="B3862" t="s">
        <v>4534</v>
      </c>
      <c r="C3862" t="s">
        <v>6921</v>
      </c>
      <c r="D3862" s="1">
        <v>44983</v>
      </c>
      <c r="E3862" s="1">
        <v>44985</v>
      </c>
      <c r="F3862" s="1">
        <v>44988</v>
      </c>
      <c r="H38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62" t="str">
        <f>IFERROR(INDEX(Raw_orders!G:G, MATCH(shipments[[#This Row],[order_id]],Raw_orders!A:A, 0)), "Unknown")</f>
        <v>Central Europe</v>
      </c>
      <c r="J3862" t="str">
        <f>PROPER(shipments[[#This Row],[delivery_status]])</f>
        <v>Delivered</v>
      </c>
      <c r="K3862" t="s">
        <v>6926</v>
      </c>
    </row>
    <row r="3863" spans="1:11">
      <c r="A3863" t="s">
        <v>10799</v>
      </c>
      <c r="B3863" t="s">
        <v>4535</v>
      </c>
      <c r="C3863" t="s">
        <v>6931</v>
      </c>
      <c r="D3863" s="1">
        <v>45213</v>
      </c>
      <c r="E3863" s="1">
        <v>45220</v>
      </c>
      <c r="F3863" s="1">
        <v>45225</v>
      </c>
      <c r="G3863">
        <v>6.04</v>
      </c>
      <c r="H38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63" t="str">
        <f>IFERROR(INDEX(Raw_orders!G:G, MATCH(shipments[[#This Row],[order_id]],Raw_orders!A:A, 0)), "Unknown")</f>
        <v>Nordics</v>
      </c>
      <c r="J3863" t="str">
        <f>PROPER(shipments[[#This Row],[delivery_status]])</f>
        <v>Delivered</v>
      </c>
      <c r="K3863" t="s">
        <v>6922</v>
      </c>
    </row>
    <row r="3864" spans="1:11">
      <c r="A3864" t="s">
        <v>10800</v>
      </c>
      <c r="B3864" t="s">
        <v>4536</v>
      </c>
      <c r="C3864" t="s">
        <v>6935</v>
      </c>
      <c r="D3864" s="1">
        <v>45331</v>
      </c>
      <c r="E3864" s="1">
        <v>45333</v>
      </c>
      <c r="F3864" s="1">
        <v>45346</v>
      </c>
      <c r="G3864">
        <v>47.17</v>
      </c>
      <c r="H38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64" t="str">
        <f>IFERROR(INDEX(Raw_orders!G:G, MATCH(shipments[[#This Row],[order_id]],Raw_orders!A:A, 0)), "Unknown")</f>
        <v>Baltics</v>
      </c>
      <c r="J3864" t="str">
        <f>PROPER(shipments[[#This Row],[delivery_status]])</f>
        <v>Delivered</v>
      </c>
      <c r="K3864" t="s">
        <v>6922</v>
      </c>
    </row>
    <row r="3865" spans="1:11">
      <c r="A3865" t="s">
        <v>10801</v>
      </c>
      <c r="B3865" t="s">
        <v>4537</v>
      </c>
      <c r="C3865" t="s">
        <v>6940</v>
      </c>
      <c r="D3865" s="1">
        <v>45265</v>
      </c>
      <c r="E3865" s="1">
        <v>45268</v>
      </c>
      <c r="F3865" s="1">
        <v>45267</v>
      </c>
      <c r="G3865">
        <v>61.72</v>
      </c>
      <c r="H38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65" t="str">
        <f>IFERROR(INDEX(Raw_orders!G:G, MATCH(shipments[[#This Row],[order_id]],Raw_orders!A:A, 0)), "Unknown")</f>
        <v>Baltics</v>
      </c>
      <c r="J3865" t="str">
        <f>PROPER(shipments[[#This Row],[delivery_status]])</f>
        <v>Delivered</v>
      </c>
      <c r="K3865" t="s">
        <v>6929</v>
      </c>
    </row>
    <row r="3866" spans="1:11">
      <c r="A3866" t="s">
        <v>10802</v>
      </c>
      <c r="B3866" t="s">
        <v>4538</v>
      </c>
      <c r="C3866" t="s">
        <v>6925</v>
      </c>
      <c r="D3866" s="1">
        <v>45538</v>
      </c>
      <c r="E3866" s="1">
        <v>45543</v>
      </c>
      <c r="F3866" s="1">
        <v>45553</v>
      </c>
      <c r="G3866">
        <v>29.11</v>
      </c>
      <c r="H38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66" t="str">
        <f>IFERROR(INDEX(Raw_orders!G:G, MATCH(shipments[[#This Row],[order_id]],Raw_orders!A:A, 0)), "Unknown")</f>
        <v>Central Europe</v>
      </c>
      <c r="J3866" t="str">
        <f>PROPER(shipments[[#This Row],[delivery_status]])</f>
        <v>Delivered</v>
      </c>
      <c r="K3866" t="s">
        <v>6929</v>
      </c>
    </row>
    <row r="3867" spans="1:11">
      <c r="A3867" t="s">
        <v>10803</v>
      </c>
      <c r="B3867" t="s">
        <v>4539</v>
      </c>
      <c r="C3867" t="s">
        <v>6940</v>
      </c>
      <c r="D3867" s="1">
        <v>45579</v>
      </c>
      <c r="E3867" s="1">
        <v>45581</v>
      </c>
      <c r="F3867" s="1">
        <v>45581</v>
      </c>
      <c r="G3867">
        <v>28.36</v>
      </c>
      <c r="H38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67" t="str">
        <f>IFERROR(INDEX(Raw_orders!G:G, MATCH(shipments[[#This Row],[order_id]],Raw_orders!A:A, 0)), "Unknown")</f>
        <v>Baltics</v>
      </c>
      <c r="J3867" t="str">
        <f>PROPER(shipments[[#This Row],[delivery_status]])</f>
        <v>Delivered</v>
      </c>
      <c r="K3867" t="s">
        <v>6929</v>
      </c>
    </row>
    <row r="3868" spans="1:11">
      <c r="A3868" t="s">
        <v>10804</v>
      </c>
      <c r="B3868" t="s">
        <v>4540</v>
      </c>
      <c r="C3868" t="s">
        <v>6940</v>
      </c>
      <c r="D3868" s="1">
        <v>45095</v>
      </c>
      <c r="E3868" s="1">
        <v>45100</v>
      </c>
      <c r="F3868" s="1">
        <v>45103</v>
      </c>
      <c r="G3868">
        <v>48.01</v>
      </c>
      <c r="H38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68" t="str">
        <f>IFERROR(INDEX(Raw_orders!G:G, MATCH(shipments[[#This Row],[order_id]],Raw_orders!A:A, 0)), "Unknown")</f>
        <v>Baltics</v>
      </c>
      <c r="J3868" t="str">
        <f>PROPER(shipments[[#This Row],[delivery_status]])</f>
        <v>Delivered</v>
      </c>
      <c r="K3868" t="s">
        <v>6926</v>
      </c>
    </row>
    <row r="3869" spans="1:11">
      <c r="A3869" t="s">
        <v>10805</v>
      </c>
      <c r="B3869" t="s">
        <v>4541</v>
      </c>
      <c r="C3869" t="s">
        <v>6925</v>
      </c>
      <c r="D3869" s="1">
        <v>45192</v>
      </c>
      <c r="E3869" s="1">
        <v>45197</v>
      </c>
      <c r="F3869" s="1">
        <v>45205</v>
      </c>
      <c r="G3869">
        <v>43.43</v>
      </c>
      <c r="H38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69" t="str">
        <f>IFERROR(INDEX(Raw_orders!G:G, MATCH(shipments[[#This Row],[order_id]],Raw_orders!A:A, 0)), "Unknown")</f>
        <v>Central Europe</v>
      </c>
      <c r="J3869" t="str">
        <f>PROPER(shipments[[#This Row],[delivery_status]])</f>
        <v>Delivered</v>
      </c>
      <c r="K3869" t="s">
        <v>6922</v>
      </c>
    </row>
    <row r="3870" spans="1:11">
      <c r="A3870" t="s">
        <v>10806</v>
      </c>
      <c r="B3870" t="s">
        <v>4542</v>
      </c>
      <c r="C3870" t="s">
        <v>6925</v>
      </c>
      <c r="D3870" s="1">
        <v>45457</v>
      </c>
      <c r="E3870" s="1">
        <v>45460</v>
      </c>
      <c r="F3870" s="1">
        <v>45465</v>
      </c>
      <c r="G3870">
        <v>8.1199999999999992</v>
      </c>
      <c r="H38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70" t="str">
        <f>IFERROR(INDEX(Raw_orders!G:G, MATCH(shipments[[#This Row],[order_id]],Raw_orders!A:A, 0)), "Unknown")</f>
        <v>Baltics</v>
      </c>
      <c r="J3870" t="str">
        <f>PROPER(shipments[[#This Row],[delivery_status]])</f>
        <v>Delivered</v>
      </c>
      <c r="K3870" t="s">
        <v>6926</v>
      </c>
    </row>
    <row r="3871" spans="1:11">
      <c r="A3871" t="s">
        <v>10807</v>
      </c>
      <c r="B3871" t="s">
        <v>4543</v>
      </c>
      <c r="C3871" t="s">
        <v>6956</v>
      </c>
      <c r="D3871" s="1">
        <v>45392</v>
      </c>
      <c r="E3871" s="1">
        <v>45394</v>
      </c>
      <c r="F3871" s="1">
        <v>45394</v>
      </c>
      <c r="G3871">
        <v>52.12</v>
      </c>
      <c r="H38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71" t="str">
        <f>IFERROR(INDEX(Raw_orders!G:G, MATCH(shipments[[#This Row],[order_id]],Raw_orders!A:A, 0)), "Unknown")</f>
        <v>Central Europe</v>
      </c>
      <c r="J3871" t="str">
        <f>PROPER(shipments[[#This Row],[delivery_status]])</f>
        <v>Delivered</v>
      </c>
      <c r="K3871" t="s">
        <v>6926</v>
      </c>
    </row>
    <row r="3872" spans="1:11">
      <c r="A3872" t="s">
        <v>10808</v>
      </c>
      <c r="B3872" t="s">
        <v>4544</v>
      </c>
      <c r="C3872" t="s">
        <v>6925</v>
      </c>
      <c r="D3872" s="1">
        <v>45097</v>
      </c>
      <c r="E3872" s="1">
        <v>45100</v>
      </c>
      <c r="F3872" s="1">
        <v>45105</v>
      </c>
      <c r="G3872">
        <v>23.85</v>
      </c>
      <c r="H38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72" t="str">
        <f>IFERROR(INDEX(Raw_orders!G:G, MATCH(shipments[[#This Row],[order_id]],Raw_orders!A:A, 0)), "Unknown")</f>
        <v>Baltics</v>
      </c>
      <c r="J3872" t="str">
        <f>PROPER(shipments[[#This Row],[delivery_status]])</f>
        <v>Delivered</v>
      </c>
      <c r="K3872" t="s">
        <v>6929</v>
      </c>
    </row>
    <row r="3873" spans="1:11">
      <c r="A3873" t="s">
        <v>10809</v>
      </c>
      <c r="B3873" t="s">
        <v>4545</v>
      </c>
      <c r="C3873" t="s">
        <v>6956</v>
      </c>
      <c r="D3873" s="1">
        <v>45512</v>
      </c>
      <c r="E3873" s="1">
        <v>45514</v>
      </c>
      <c r="F3873" s="1">
        <v>45517</v>
      </c>
      <c r="G3873">
        <v>22.34</v>
      </c>
      <c r="H38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73" t="str">
        <f>IFERROR(INDEX(Raw_orders!G:G, MATCH(shipments[[#This Row],[order_id]],Raw_orders!A:A, 0)), "Unknown")</f>
        <v>Baltics</v>
      </c>
      <c r="J3873" t="str">
        <f>PROPER(shipments[[#This Row],[delivery_status]])</f>
        <v>Delivered</v>
      </c>
      <c r="K3873" t="s">
        <v>6929</v>
      </c>
    </row>
    <row r="3874" spans="1:11">
      <c r="A3874" t="s">
        <v>10810</v>
      </c>
      <c r="B3874" t="s">
        <v>4546</v>
      </c>
      <c r="C3874" t="s">
        <v>6928</v>
      </c>
      <c r="D3874" s="1">
        <v>45269</v>
      </c>
      <c r="E3874" s="1">
        <v>45274</v>
      </c>
      <c r="F3874" s="1">
        <v>45274</v>
      </c>
      <c r="G3874">
        <v>43.43</v>
      </c>
      <c r="H38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74" t="str">
        <f>IFERROR(INDEX(Raw_orders!G:G, MATCH(shipments[[#This Row],[order_id]],Raw_orders!A:A, 0)), "Unknown")</f>
        <v>Unknown</v>
      </c>
      <c r="J3874" t="str">
        <f>PROPER(shipments[[#This Row],[delivery_status]])</f>
        <v>Delivered</v>
      </c>
      <c r="K3874" t="s">
        <v>6922</v>
      </c>
    </row>
    <row r="3875" spans="1:11">
      <c r="A3875" t="s">
        <v>10811</v>
      </c>
      <c r="B3875" t="s">
        <v>4547</v>
      </c>
      <c r="C3875" t="s">
        <v>6921</v>
      </c>
      <c r="D3875" s="1">
        <v>45569</v>
      </c>
      <c r="E3875" s="1">
        <v>45576</v>
      </c>
      <c r="F3875" s="1"/>
      <c r="G3875">
        <v>25.78</v>
      </c>
      <c r="H38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875" t="str">
        <f>IFERROR(INDEX(Raw_orders!G:G, MATCH(shipments[[#This Row],[order_id]],Raw_orders!A:A, 0)), "Unknown")</f>
        <v>Baltics</v>
      </c>
      <c r="J3875" t="str">
        <f>PROPER(shipments[[#This Row],[delivery_status]])</f>
        <v>Cancelled</v>
      </c>
      <c r="K3875" t="s">
        <v>6963</v>
      </c>
    </row>
    <row r="3876" spans="1:11">
      <c r="A3876" t="s">
        <v>10812</v>
      </c>
      <c r="B3876" t="s">
        <v>4548</v>
      </c>
      <c r="C3876" t="s">
        <v>6938</v>
      </c>
      <c r="D3876" s="1">
        <v>45089</v>
      </c>
      <c r="E3876" s="1">
        <v>45096</v>
      </c>
      <c r="F3876" s="1">
        <v>45095</v>
      </c>
      <c r="G3876">
        <v>21.58</v>
      </c>
      <c r="H38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76" t="str">
        <f>IFERROR(INDEX(Raw_orders!G:G, MATCH(shipments[[#This Row],[order_id]],Raw_orders!A:A, 0)), "Unknown")</f>
        <v>Central Europe</v>
      </c>
      <c r="J3876" t="str">
        <f>PROPER(shipments[[#This Row],[delivery_status]])</f>
        <v>Delivered</v>
      </c>
      <c r="K3876" t="s">
        <v>6926</v>
      </c>
    </row>
    <row r="3877" spans="1:11">
      <c r="A3877" t="s">
        <v>10813</v>
      </c>
      <c r="B3877" t="s">
        <v>4549</v>
      </c>
      <c r="C3877" t="s">
        <v>6940</v>
      </c>
      <c r="D3877" s="1">
        <v>45057</v>
      </c>
      <c r="E3877" s="1">
        <v>45059</v>
      </c>
      <c r="F3877" s="1">
        <v>45067</v>
      </c>
      <c r="G3877">
        <v>44.92</v>
      </c>
      <c r="H38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77" t="str">
        <f>IFERROR(INDEX(Raw_orders!G:G, MATCH(shipments[[#This Row],[order_id]],Raw_orders!A:A, 0)), "Unknown")</f>
        <v>Central Europe</v>
      </c>
      <c r="J3877" t="str">
        <f>PROPER(shipments[[#This Row],[delivery_status]])</f>
        <v>Delivered</v>
      </c>
      <c r="K3877" t="s">
        <v>6926</v>
      </c>
    </row>
    <row r="3878" spans="1:11">
      <c r="A3878" t="s">
        <v>10814</v>
      </c>
      <c r="B3878" t="s">
        <v>4550</v>
      </c>
      <c r="C3878" t="s">
        <v>6931</v>
      </c>
      <c r="D3878" s="1">
        <v>45591</v>
      </c>
      <c r="E3878" s="1">
        <v>45593</v>
      </c>
      <c r="F3878" s="1">
        <v>45592</v>
      </c>
      <c r="G3878">
        <v>20.440000000000001</v>
      </c>
      <c r="H38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78" t="str">
        <f>IFERROR(INDEX(Raw_orders!G:G, MATCH(shipments[[#This Row],[order_id]],Raw_orders!A:A, 0)), "Unknown")</f>
        <v>Baltics</v>
      </c>
      <c r="J3878" t="str">
        <f>PROPER(shipments[[#This Row],[delivery_status]])</f>
        <v>Delivered</v>
      </c>
      <c r="K3878" t="s">
        <v>6926</v>
      </c>
    </row>
    <row r="3879" spans="1:11">
      <c r="A3879" t="s">
        <v>10815</v>
      </c>
      <c r="B3879" t="s">
        <v>4551</v>
      </c>
      <c r="C3879" t="s">
        <v>6935</v>
      </c>
      <c r="D3879" s="1">
        <v>45384</v>
      </c>
      <c r="E3879" s="1">
        <v>45391</v>
      </c>
      <c r="F3879" s="1">
        <v>45399</v>
      </c>
      <c r="G3879">
        <v>53.76</v>
      </c>
      <c r="H38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79" t="str">
        <f>IFERROR(INDEX(Raw_orders!G:G, MATCH(shipments[[#This Row],[order_id]],Raw_orders!A:A, 0)), "Unknown")</f>
        <v>Nordics</v>
      </c>
      <c r="J3879" t="str">
        <f>PROPER(shipments[[#This Row],[delivery_status]])</f>
        <v>Delivered</v>
      </c>
      <c r="K3879" t="s">
        <v>6929</v>
      </c>
    </row>
    <row r="3880" spans="1:11">
      <c r="A3880" t="s">
        <v>10816</v>
      </c>
      <c r="B3880" t="s">
        <v>4552</v>
      </c>
      <c r="C3880" t="s">
        <v>6935</v>
      </c>
      <c r="D3880" s="1">
        <v>45336</v>
      </c>
      <c r="E3880" s="1">
        <v>45339</v>
      </c>
      <c r="F3880" s="1">
        <v>45347</v>
      </c>
      <c r="G3880">
        <v>11.25</v>
      </c>
      <c r="H38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80" t="str">
        <f>IFERROR(INDEX(Raw_orders!G:G, MATCH(shipments[[#This Row],[order_id]],Raw_orders!A:A, 0)), "Unknown")</f>
        <v>Central Europe</v>
      </c>
      <c r="J3880" t="str">
        <f>PROPER(shipments[[#This Row],[delivery_status]])</f>
        <v>Delivered</v>
      </c>
      <c r="K3880" t="s">
        <v>6926</v>
      </c>
    </row>
    <row r="3881" spans="1:11">
      <c r="A3881" t="s">
        <v>10817</v>
      </c>
      <c r="B3881" t="s">
        <v>4553</v>
      </c>
      <c r="C3881" t="s">
        <v>6949</v>
      </c>
      <c r="D3881" s="1">
        <v>45140</v>
      </c>
      <c r="E3881" s="1">
        <v>45145</v>
      </c>
      <c r="F3881" s="1"/>
      <c r="G3881">
        <v>21.56</v>
      </c>
      <c r="H38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881" t="str">
        <f>IFERROR(INDEX(Raw_orders!G:G, MATCH(shipments[[#This Row],[order_id]],Raw_orders!A:A, 0)), "Unknown")</f>
        <v>Central Europe</v>
      </c>
      <c r="J3881" t="str">
        <f>PROPER(shipments[[#This Row],[delivery_status]])</f>
        <v>In Transit</v>
      </c>
      <c r="K3881" t="s">
        <v>6946</v>
      </c>
    </row>
    <row r="3882" spans="1:11">
      <c r="A3882" t="s">
        <v>10818</v>
      </c>
      <c r="B3882" t="s">
        <v>4554</v>
      </c>
      <c r="C3882" t="s">
        <v>6956</v>
      </c>
      <c r="D3882" s="1">
        <v>45522</v>
      </c>
      <c r="E3882" s="1">
        <v>45529</v>
      </c>
      <c r="F3882" s="1">
        <v>45530</v>
      </c>
      <c r="G3882">
        <v>22.99</v>
      </c>
      <c r="H38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82" t="str">
        <f>IFERROR(INDEX(Raw_orders!G:G, MATCH(shipments[[#This Row],[order_id]],Raw_orders!A:A, 0)), "Unknown")</f>
        <v>Central Europe</v>
      </c>
      <c r="J3882" t="str">
        <f>PROPER(shipments[[#This Row],[delivery_status]])</f>
        <v>Delivered</v>
      </c>
      <c r="K3882" t="s">
        <v>6922</v>
      </c>
    </row>
    <row r="3883" spans="1:11">
      <c r="A3883" t="s">
        <v>10819</v>
      </c>
      <c r="B3883" t="s">
        <v>4555</v>
      </c>
      <c r="C3883" t="s">
        <v>6956</v>
      </c>
      <c r="D3883" s="1">
        <v>45322</v>
      </c>
      <c r="E3883" s="1">
        <v>45332</v>
      </c>
      <c r="F3883" s="1"/>
      <c r="G3883">
        <v>17.05</v>
      </c>
      <c r="H38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883" t="str">
        <f>IFERROR(INDEX(Raw_orders!G:G, MATCH(shipments[[#This Row],[order_id]],Raw_orders!A:A, 0)), "Unknown")</f>
        <v>Nordics</v>
      </c>
      <c r="J3883" t="str">
        <f>PROPER(shipments[[#This Row],[delivery_status]])</f>
        <v>In Transit</v>
      </c>
      <c r="K3883" t="s">
        <v>6977</v>
      </c>
    </row>
    <row r="3884" spans="1:11">
      <c r="A3884" t="s">
        <v>10820</v>
      </c>
      <c r="B3884" t="s">
        <v>4556</v>
      </c>
      <c r="C3884" t="s">
        <v>6956</v>
      </c>
      <c r="D3884" s="1">
        <v>45365</v>
      </c>
      <c r="E3884" s="1">
        <v>45368</v>
      </c>
      <c r="F3884" s="1">
        <v>45368</v>
      </c>
      <c r="G3884">
        <v>12.21</v>
      </c>
      <c r="H38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84" t="str">
        <f>IFERROR(INDEX(Raw_orders!G:G, MATCH(shipments[[#This Row],[order_id]],Raw_orders!A:A, 0)), "Unknown")</f>
        <v>Nordics</v>
      </c>
      <c r="J3884" t="str">
        <f>PROPER(shipments[[#This Row],[delivery_status]])</f>
        <v>Delivered</v>
      </c>
      <c r="K3884" t="s">
        <v>6929</v>
      </c>
    </row>
    <row r="3885" spans="1:11">
      <c r="A3885" t="s">
        <v>10821</v>
      </c>
      <c r="B3885" t="s">
        <v>4557</v>
      </c>
      <c r="C3885" t="s">
        <v>6921</v>
      </c>
      <c r="D3885" s="1">
        <v>45312</v>
      </c>
      <c r="E3885" s="1">
        <v>45314</v>
      </c>
      <c r="F3885" s="1">
        <v>45314</v>
      </c>
      <c r="G3885">
        <v>17.5</v>
      </c>
      <c r="H38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85" t="str">
        <f>IFERROR(INDEX(Raw_orders!G:G, MATCH(shipments[[#This Row],[order_id]],Raw_orders!A:A, 0)), "Unknown")</f>
        <v>Nordics</v>
      </c>
      <c r="J3885" t="str">
        <f>PROPER(shipments[[#This Row],[delivery_status]])</f>
        <v>Delivered</v>
      </c>
      <c r="K3885" t="s">
        <v>6929</v>
      </c>
    </row>
    <row r="3886" spans="1:11">
      <c r="A3886" t="s">
        <v>10822</v>
      </c>
      <c r="B3886" t="s">
        <v>4558</v>
      </c>
      <c r="C3886" t="s">
        <v>6925</v>
      </c>
      <c r="D3886" s="1">
        <v>45250</v>
      </c>
      <c r="E3886" s="1">
        <v>45252</v>
      </c>
      <c r="F3886" s="1">
        <v>45251</v>
      </c>
      <c r="G3886">
        <v>13.53</v>
      </c>
      <c r="H38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86" t="str">
        <f>IFERROR(INDEX(Raw_orders!G:G, MATCH(shipments[[#This Row],[order_id]],Raw_orders!A:A, 0)), "Unknown")</f>
        <v>Central Europe</v>
      </c>
      <c r="J3886" t="str">
        <f>PROPER(shipments[[#This Row],[delivery_status]])</f>
        <v>Delivered</v>
      </c>
      <c r="K3886" t="s">
        <v>6926</v>
      </c>
    </row>
    <row r="3887" spans="1:11">
      <c r="A3887" t="s">
        <v>10823</v>
      </c>
      <c r="B3887" t="s">
        <v>4559</v>
      </c>
      <c r="C3887" t="s">
        <v>6938</v>
      </c>
      <c r="D3887" s="1">
        <v>45198</v>
      </c>
      <c r="E3887" s="1">
        <v>45203</v>
      </c>
      <c r="F3887" s="1">
        <v>45205</v>
      </c>
      <c r="G3887">
        <v>18.89</v>
      </c>
      <c r="H38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87" t="str">
        <f>IFERROR(INDEX(Raw_orders!G:G, MATCH(shipments[[#This Row],[order_id]],Raw_orders!A:A, 0)), "Unknown")</f>
        <v>Central Europe</v>
      </c>
      <c r="J3887" t="str">
        <f>PROPER(shipments[[#This Row],[delivery_status]])</f>
        <v>Delivered</v>
      </c>
      <c r="K3887" t="s">
        <v>6922</v>
      </c>
    </row>
    <row r="3888" spans="1:11">
      <c r="A3888" t="s">
        <v>10824</v>
      </c>
      <c r="B3888" t="s">
        <v>4560</v>
      </c>
      <c r="C3888" t="s">
        <v>6931</v>
      </c>
      <c r="D3888" s="1">
        <v>45319</v>
      </c>
      <c r="E3888" s="1">
        <v>45322</v>
      </c>
      <c r="F3888" s="1">
        <v>45330</v>
      </c>
      <c r="G3888">
        <v>26.81</v>
      </c>
      <c r="H38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88" t="str">
        <f>IFERROR(INDEX(Raw_orders!G:G, MATCH(shipments[[#This Row],[order_id]],Raw_orders!A:A, 0)), "Unknown")</f>
        <v>Central Europe</v>
      </c>
      <c r="J3888" t="str">
        <f>PROPER(shipments[[#This Row],[delivery_status]])</f>
        <v>Delivered</v>
      </c>
      <c r="K3888" t="s">
        <v>6922</v>
      </c>
    </row>
    <row r="3889" spans="1:11">
      <c r="A3889" t="s">
        <v>10825</v>
      </c>
      <c r="B3889" t="s">
        <v>4561</v>
      </c>
      <c r="C3889" t="s">
        <v>6928</v>
      </c>
      <c r="D3889" s="1">
        <v>45352</v>
      </c>
      <c r="E3889" s="1">
        <v>45357</v>
      </c>
      <c r="F3889" s="1">
        <v>45357</v>
      </c>
      <c r="G3889">
        <v>41.13</v>
      </c>
      <c r="H38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89" t="str">
        <f>IFERROR(INDEX(Raw_orders!G:G, MATCH(shipments[[#This Row],[order_id]],Raw_orders!A:A, 0)), "Unknown")</f>
        <v>Baltics</v>
      </c>
      <c r="J3889" t="str">
        <f>PROPER(shipments[[#This Row],[delivery_status]])</f>
        <v>Delivered</v>
      </c>
      <c r="K3889" t="s">
        <v>6929</v>
      </c>
    </row>
    <row r="3890" spans="1:11">
      <c r="A3890" t="s">
        <v>10826</v>
      </c>
      <c r="B3890" t="s">
        <v>4562</v>
      </c>
      <c r="C3890" t="s">
        <v>6935</v>
      </c>
      <c r="D3890" s="1">
        <v>45449</v>
      </c>
      <c r="E3890" s="1">
        <v>45456</v>
      </c>
      <c r="F3890" s="1">
        <v>45456</v>
      </c>
      <c r="G3890">
        <v>43.62</v>
      </c>
      <c r="H38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90" t="str">
        <f>IFERROR(INDEX(Raw_orders!G:G, MATCH(shipments[[#This Row],[order_id]],Raw_orders!A:A, 0)), "Unknown")</f>
        <v>Baltics</v>
      </c>
      <c r="J3890" t="str">
        <f>PROPER(shipments[[#This Row],[delivery_status]])</f>
        <v>Delivered</v>
      </c>
      <c r="K3890" t="s">
        <v>6922</v>
      </c>
    </row>
    <row r="3891" spans="1:11">
      <c r="A3891" t="s">
        <v>10827</v>
      </c>
      <c r="B3891" t="s">
        <v>4563</v>
      </c>
      <c r="C3891" t="s">
        <v>6935</v>
      </c>
      <c r="D3891" s="1">
        <v>45178</v>
      </c>
      <c r="E3891" s="1">
        <v>45185</v>
      </c>
      <c r="F3891" s="1">
        <v>45184</v>
      </c>
      <c r="G3891">
        <v>45.45</v>
      </c>
      <c r="H38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91" t="str">
        <f>IFERROR(INDEX(Raw_orders!G:G, MATCH(shipments[[#This Row],[order_id]],Raw_orders!A:A, 0)), "Unknown")</f>
        <v>Nordics</v>
      </c>
      <c r="J3891" t="str">
        <f>PROPER(shipments[[#This Row],[delivery_status]])</f>
        <v>Delivered</v>
      </c>
      <c r="K3891" t="s">
        <v>6922</v>
      </c>
    </row>
    <row r="3892" spans="1:11">
      <c r="A3892" t="s">
        <v>10828</v>
      </c>
      <c r="B3892" t="s">
        <v>4564</v>
      </c>
      <c r="C3892" t="s">
        <v>6938</v>
      </c>
      <c r="D3892" s="1">
        <v>45151</v>
      </c>
      <c r="E3892" s="1">
        <v>45153</v>
      </c>
      <c r="F3892" s="1">
        <v>45161</v>
      </c>
      <c r="G3892">
        <v>53.72</v>
      </c>
      <c r="H38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92" t="str">
        <f>IFERROR(INDEX(Raw_orders!G:G, MATCH(shipments[[#This Row],[order_id]],Raw_orders!A:A, 0)), "Unknown")</f>
        <v>Nordics</v>
      </c>
      <c r="J3892" t="str">
        <f>PROPER(shipments[[#This Row],[delivery_status]])</f>
        <v>Delivered</v>
      </c>
      <c r="K3892" t="s">
        <v>6922</v>
      </c>
    </row>
    <row r="3893" spans="1:11">
      <c r="A3893" t="s">
        <v>10829</v>
      </c>
      <c r="B3893" t="s">
        <v>4565</v>
      </c>
      <c r="C3893" t="s">
        <v>6928</v>
      </c>
      <c r="D3893" s="1">
        <v>45371</v>
      </c>
      <c r="E3893" s="1">
        <v>45373</v>
      </c>
      <c r="F3893" s="1"/>
      <c r="G3893">
        <v>14.93</v>
      </c>
      <c r="H38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893" t="str">
        <f>IFERROR(INDEX(Raw_orders!G:G, MATCH(shipments[[#This Row],[order_id]],Raw_orders!A:A, 0)), "Unknown")</f>
        <v>Central Europe</v>
      </c>
      <c r="J3893" t="str">
        <f>PROPER(shipments[[#This Row],[delivery_status]])</f>
        <v>In Transit</v>
      </c>
      <c r="K3893" t="s">
        <v>6946</v>
      </c>
    </row>
    <row r="3894" spans="1:11">
      <c r="A3894" t="s">
        <v>10830</v>
      </c>
      <c r="B3894" t="s">
        <v>4566</v>
      </c>
      <c r="C3894" t="s">
        <v>6931</v>
      </c>
      <c r="D3894" s="1">
        <v>45494</v>
      </c>
      <c r="E3894" s="1">
        <v>45499</v>
      </c>
      <c r="F3894" s="1">
        <v>45498</v>
      </c>
      <c r="G3894">
        <v>64.63</v>
      </c>
      <c r="H38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94" t="str">
        <f>IFERROR(INDEX(Raw_orders!G:G, MATCH(shipments[[#This Row],[order_id]],Raw_orders!A:A, 0)), "Unknown")</f>
        <v>Central Europe</v>
      </c>
      <c r="J3894" t="str">
        <f>PROPER(shipments[[#This Row],[delivery_status]])</f>
        <v>Delivered</v>
      </c>
      <c r="K3894" t="s">
        <v>6929</v>
      </c>
    </row>
    <row r="3895" spans="1:11">
      <c r="A3895" t="s">
        <v>10831</v>
      </c>
      <c r="B3895" t="s">
        <v>4567</v>
      </c>
      <c r="C3895" t="s">
        <v>6956</v>
      </c>
      <c r="D3895" s="1">
        <v>45551</v>
      </c>
      <c r="E3895" s="1">
        <v>45556</v>
      </c>
      <c r="F3895" s="1">
        <v>45565</v>
      </c>
      <c r="G3895">
        <v>38.979999999999997</v>
      </c>
      <c r="H38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95" t="str">
        <f>IFERROR(INDEX(Raw_orders!G:G, MATCH(shipments[[#This Row],[order_id]],Raw_orders!A:A, 0)), "Unknown")</f>
        <v>Nordics</v>
      </c>
      <c r="J3895" t="str">
        <f>PROPER(shipments[[#This Row],[delivery_status]])</f>
        <v>Delivered</v>
      </c>
      <c r="K3895" t="s">
        <v>6926</v>
      </c>
    </row>
    <row r="3896" spans="1:11">
      <c r="A3896" t="s">
        <v>10832</v>
      </c>
      <c r="B3896" t="s">
        <v>4568</v>
      </c>
      <c r="C3896" t="s">
        <v>6940</v>
      </c>
      <c r="D3896" s="1">
        <v>45545</v>
      </c>
      <c r="E3896" s="1">
        <v>45555</v>
      </c>
      <c r="F3896" s="1">
        <v>45554</v>
      </c>
      <c r="G3896">
        <v>39.47</v>
      </c>
      <c r="H38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96" t="str">
        <f>IFERROR(INDEX(Raw_orders!G:G, MATCH(shipments[[#This Row],[order_id]],Raw_orders!A:A, 0)), "Unknown")</f>
        <v>Baltics</v>
      </c>
      <c r="J3896" t="str">
        <f>PROPER(shipments[[#This Row],[delivery_status]])</f>
        <v>Delivered</v>
      </c>
      <c r="K3896" t="s">
        <v>6922</v>
      </c>
    </row>
    <row r="3897" spans="1:11">
      <c r="A3897" t="s">
        <v>10833</v>
      </c>
      <c r="B3897" t="s">
        <v>4569</v>
      </c>
      <c r="C3897" t="s">
        <v>6956</v>
      </c>
      <c r="D3897" s="1">
        <v>45263</v>
      </c>
      <c r="E3897" s="1">
        <v>45265</v>
      </c>
      <c r="F3897" s="1">
        <v>45265</v>
      </c>
      <c r="G3897">
        <v>18.03</v>
      </c>
      <c r="H38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97" t="str">
        <f>IFERROR(INDEX(Raw_orders!G:G, MATCH(shipments[[#This Row],[order_id]],Raw_orders!A:A, 0)), "Unknown")</f>
        <v>Baltics</v>
      </c>
      <c r="J3897" t="str">
        <f>PROPER(shipments[[#This Row],[delivery_status]])</f>
        <v>Delivered</v>
      </c>
      <c r="K3897" t="s">
        <v>6926</v>
      </c>
    </row>
    <row r="3898" spans="1:11">
      <c r="A3898" t="s">
        <v>10834</v>
      </c>
      <c r="B3898" t="s">
        <v>4569</v>
      </c>
      <c r="C3898" t="s">
        <v>6956</v>
      </c>
      <c r="D3898" s="1">
        <v>45263</v>
      </c>
      <c r="E3898" s="1">
        <v>45270</v>
      </c>
      <c r="F3898" s="1">
        <v>45276</v>
      </c>
      <c r="G3898">
        <v>33.06</v>
      </c>
      <c r="H38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898" t="str">
        <f>IFERROR(INDEX(Raw_orders!G:G, MATCH(shipments[[#This Row],[order_id]],Raw_orders!A:A, 0)), "Unknown")</f>
        <v>Baltics</v>
      </c>
      <c r="J3898" t="str">
        <f>PROPER(shipments[[#This Row],[delivery_status]])</f>
        <v>Delivered</v>
      </c>
      <c r="K3898" t="s">
        <v>6926</v>
      </c>
    </row>
    <row r="3899" spans="1:11">
      <c r="A3899" t="s">
        <v>10835</v>
      </c>
      <c r="B3899" t="s">
        <v>4570</v>
      </c>
      <c r="C3899" t="s">
        <v>6956</v>
      </c>
      <c r="D3899" s="1">
        <v>45039</v>
      </c>
      <c r="E3899" s="1">
        <v>45044</v>
      </c>
      <c r="F3899" s="1">
        <v>45044</v>
      </c>
      <c r="G3899">
        <v>40.840000000000003</v>
      </c>
      <c r="H38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899" t="str">
        <f>IFERROR(INDEX(Raw_orders!G:G, MATCH(shipments[[#This Row],[order_id]],Raw_orders!A:A, 0)), "Unknown")</f>
        <v>Nordics</v>
      </c>
      <c r="J3899" t="str">
        <f>PROPER(shipments[[#This Row],[delivery_status]])</f>
        <v>Delivered</v>
      </c>
      <c r="K3899" t="s">
        <v>6929</v>
      </c>
    </row>
    <row r="3900" spans="1:11">
      <c r="A3900" t="s">
        <v>10836</v>
      </c>
      <c r="B3900" t="s">
        <v>4571</v>
      </c>
      <c r="C3900" t="s">
        <v>6925</v>
      </c>
      <c r="D3900" s="1">
        <v>45069</v>
      </c>
      <c r="E3900" s="1">
        <v>45072</v>
      </c>
      <c r="F3900" s="1">
        <v>45073</v>
      </c>
      <c r="G3900">
        <v>60.57</v>
      </c>
      <c r="H39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00" t="str">
        <f>IFERROR(INDEX(Raw_orders!G:G, MATCH(shipments[[#This Row],[order_id]],Raw_orders!A:A, 0)), "Unknown")</f>
        <v>Central Europe</v>
      </c>
      <c r="J3900" t="str">
        <f>PROPER(shipments[[#This Row],[delivery_status]])</f>
        <v>Delivered</v>
      </c>
      <c r="K3900" t="s">
        <v>6926</v>
      </c>
    </row>
    <row r="3901" spans="1:11">
      <c r="A3901" t="s">
        <v>10837</v>
      </c>
      <c r="B3901" t="s">
        <v>4572</v>
      </c>
      <c r="C3901" t="s">
        <v>6928</v>
      </c>
      <c r="D3901" s="1">
        <v>45213</v>
      </c>
      <c r="E3901" s="1">
        <v>45223</v>
      </c>
      <c r="F3901" s="1">
        <v>45223</v>
      </c>
      <c r="G3901">
        <v>54.44</v>
      </c>
      <c r="H39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01" t="str">
        <f>IFERROR(INDEX(Raw_orders!G:G, MATCH(shipments[[#This Row],[order_id]],Raw_orders!A:A, 0)), "Unknown")</f>
        <v>Central Europe</v>
      </c>
      <c r="J3901" t="str">
        <f>PROPER(shipments[[#This Row],[delivery_status]])</f>
        <v>Delivered</v>
      </c>
      <c r="K3901" t="s">
        <v>6929</v>
      </c>
    </row>
    <row r="3902" spans="1:11">
      <c r="A3902" t="s">
        <v>10838</v>
      </c>
      <c r="B3902" t="s">
        <v>4573</v>
      </c>
      <c r="C3902" t="s">
        <v>6940</v>
      </c>
      <c r="D3902" s="1">
        <v>45210</v>
      </c>
      <c r="E3902" s="1">
        <v>45220</v>
      </c>
      <c r="F3902" s="1">
        <v>45220</v>
      </c>
      <c r="G3902">
        <v>32.799999999999997</v>
      </c>
      <c r="H39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02" t="str">
        <f>IFERROR(INDEX(Raw_orders!G:G, MATCH(shipments[[#This Row],[order_id]],Raw_orders!A:A, 0)), "Unknown")</f>
        <v>Unknown</v>
      </c>
      <c r="J3902" t="str">
        <f>PROPER(shipments[[#This Row],[delivery_status]])</f>
        <v>Delivered</v>
      </c>
      <c r="K3902" t="s">
        <v>6922</v>
      </c>
    </row>
    <row r="3903" spans="1:11">
      <c r="A3903" t="s">
        <v>10839</v>
      </c>
      <c r="B3903" t="s">
        <v>4574</v>
      </c>
      <c r="C3903" t="s">
        <v>6925</v>
      </c>
      <c r="D3903" s="1">
        <v>45223</v>
      </c>
      <c r="E3903" s="1">
        <v>45233</v>
      </c>
      <c r="F3903" s="1">
        <v>45238</v>
      </c>
      <c r="G3903">
        <v>42.73</v>
      </c>
      <c r="H39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03" t="str">
        <f>IFERROR(INDEX(Raw_orders!G:G, MATCH(shipments[[#This Row],[order_id]],Raw_orders!A:A, 0)), "Unknown")</f>
        <v>Nordics</v>
      </c>
      <c r="J3903" t="str">
        <f>PROPER(shipments[[#This Row],[delivery_status]])</f>
        <v>Delivered</v>
      </c>
      <c r="K3903" t="s">
        <v>6922</v>
      </c>
    </row>
    <row r="3904" spans="1:11">
      <c r="A3904" t="s">
        <v>10840</v>
      </c>
      <c r="B3904" t="s">
        <v>4575</v>
      </c>
      <c r="C3904" t="s">
        <v>6921</v>
      </c>
      <c r="D3904" s="1">
        <v>45491</v>
      </c>
      <c r="E3904" s="1">
        <v>45496</v>
      </c>
      <c r="F3904" s="1"/>
      <c r="G3904">
        <v>62.24</v>
      </c>
      <c r="H39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904" t="str">
        <f>IFERROR(INDEX(Raw_orders!G:G, MATCH(shipments[[#This Row],[order_id]],Raw_orders!A:A, 0)), "Unknown")</f>
        <v>Baltics</v>
      </c>
      <c r="J3904" t="str">
        <f>PROPER(shipments[[#This Row],[delivery_status]])</f>
        <v>In Transit</v>
      </c>
      <c r="K3904" t="s">
        <v>6958</v>
      </c>
    </row>
    <row r="3905" spans="1:11">
      <c r="A3905" t="s">
        <v>10841</v>
      </c>
      <c r="B3905" t="s">
        <v>4576</v>
      </c>
      <c r="C3905" t="s">
        <v>6931</v>
      </c>
      <c r="D3905" s="1">
        <v>45468</v>
      </c>
      <c r="E3905" s="1">
        <v>45478</v>
      </c>
      <c r="F3905" s="1">
        <v>45491</v>
      </c>
      <c r="G3905">
        <v>62.46</v>
      </c>
      <c r="H39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05" t="str">
        <f>IFERROR(INDEX(Raw_orders!G:G, MATCH(shipments[[#This Row],[order_id]],Raw_orders!A:A, 0)), "Unknown")</f>
        <v>Nordics</v>
      </c>
      <c r="J3905" t="str">
        <f>PROPER(shipments[[#This Row],[delivery_status]])</f>
        <v>Delivered</v>
      </c>
      <c r="K3905" t="s">
        <v>6926</v>
      </c>
    </row>
    <row r="3906" spans="1:11">
      <c r="A3906" t="s">
        <v>10842</v>
      </c>
      <c r="B3906" t="s">
        <v>4577</v>
      </c>
      <c r="C3906" t="s">
        <v>6938</v>
      </c>
      <c r="D3906" s="1">
        <v>44980</v>
      </c>
      <c r="E3906" s="1">
        <v>44982</v>
      </c>
      <c r="F3906" s="1">
        <v>44981</v>
      </c>
      <c r="G3906">
        <v>36.49</v>
      </c>
      <c r="H39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06" t="str">
        <f>IFERROR(INDEX(Raw_orders!G:G, MATCH(shipments[[#This Row],[order_id]],Raw_orders!A:A, 0)), "Unknown")</f>
        <v>Central Europe</v>
      </c>
      <c r="J3906" t="str">
        <f>PROPER(shipments[[#This Row],[delivery_status]])</f>
        <v>Delivered</v>
      </c>
      <c r="K3906" t="s">
        <v>6929</v>
      </c>
    </row>
    <row r="3907" spans="1:11">
      <c r="A3907" t="s">
        <v>10843</v>
      </c>
      <c r="B3907" t="s">
        <v>4578</v>
      </c>
      <c r="C3907" t="s">
        <v>6931</v>
      </c>
      <c r="D3907" s="1">
        <v>45525</v>
      </c>
      <c r="E3907" s="1">
        <v>45535</v>
      </c>
      <c r="F3907" s="1">
        <v>45535</v>
      </c>
      <c r="G3907">
        <v>10.51</v>
      </c>
      <c r="H39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07" t="str">
        <f>IFERROR(INDEX(Raw_orders!G:G, MATCH(shipments[[#This Row],[order_id]],Raw_orders!A:A, 0)), "Unknown")</f>
        <v>Central Europe</v>
      </c>
      <c r="J3907" t="str">
        <f>PROPER(shipments[[#This Row],[delivery_status]])</f>
        <v>Delivered</v>
      </c>
      <c r="K3907" t="s">
        <v>6929</v>
      </c>
    </row>
    <row r="3908" spans="1:11">
      <c r="A3908" t="s">
        <v>10844</v>
      </c>
      <c r="B3908" t="s">
        <v>4578</v>
      </c>
      <c r="C3908" t="s">
        <v>6940</v>
      </c>
      <c r="D3908" s="1">
        <v>45524</v>
      </c>
      <c r="E3908" s="1">
        <v>45527</v>
      </c>
      <c r="F3908" s="1">
        <v>45539</v>
      </c>
      <c r="G3908">
        <v>49.63</v>
      </c>
      <c r="H39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08" t="str">
        <f>IFERROR(INDEX(Raw_orders!G:G, MATCH(shipments[[#This Row],[order_id]],Raw_orders!A:A, 0)), "Unknown")</f>
        <v>Central Europe</v>
      </c>
      <c r="J3908" t="str">
        <f>PROPER(shipments[[#This Row],[delivery_status]])</f>
        <v>Delivered</v>
      </c>
      <c r="K3908" t="s">
        <v>6929</v>
      </c>
    </row>
    <row r="3909" spans="1:11">
      <c r="A3909" t="s">
        <v>10845</v>
      </c>
      <c r="B3909" t="s">
        <v>4579</v>
      </c>
      <c r="C3909" t="s">
        <v>6949</v>
      </c>
      <c r="D3909" s="1">
        <v>45158</v>
      </c>
      <c r="E3909" s="1">
        <v>45161</v>
      </c>
      <c r="F3909" s="1"/>
      <c r="G3909">
        <v>5.31</v>
      </c>
      <c r="H39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909" t="str">
        <f>IFERROR(INDEX(Raw_orders!G:G, MATCH(shipments[[#This Row],[order_id]],Raw_orders!A:A, 0)), "Unknown")</f>
        <v>Baltics</v>
      </c>
      <c r="J3909" t="str">
        <f>PROPER(shipments[[#This Row],[delivery_status]])</f>
        <v>Cancelled</v>
      </c>
      <c r="K3909" t="s">
        <v>6972</v>
      </c>
    </row>
    <row r="3910" spans="1:11">
      <c r="A3910" t="s">
        <v>10846</v>
      </c>
      <c r="B3910" t="s">
        <v>4580</v>
      </c>
      <c r="C3910" t="s">
        <v>6928</v>
      </c>
      <c r="D3910" s="1">
        <v>45268</v>
      </c>
      <c r="E3910" s="1">
        <v>45273</v>
      </c>
      <c r="F3910" s="1">
        <v>45281</v>
      </c>
      <c r="G3910">
        <v>37.33</v>
      </c>
      <c r="H39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10" t="str">
        <f>IFERROR(INDEX(Raw_orders!G:G, MATCH(shipments[[#This Row],[order_id]],Raw_orders!A:A, 0)), "Unknown")</f>
        <v>Central Europe</v>
      </c>
      <c r="J3910" t="str">
        <f>PROPER(shipments[[#This Row],[delivery_status]])</f>
        <v>Delivered</v>
      </c>
      <c r="K3910" t="s">
        <v>6926</v>
      </c>
    </row>
    <row r="3911" spans="1:11">
      <c r="A3911" t="s">
        <v>10847</v>
      </c>
      <c r="B3911" t="s">
        <v>4581</v>
      </c>
      <c r="C3911" t="s">
        <v>6925</v>
      </c>
      <c r="D3911" s="1">
        <v>45566</v>
      </c>
      <c r="E3911" s="1">
        <v>45571</v>
      </c>
      <c r="F3911" s="1">
        <v>45571</v>
      </c>
      <c r="G3911">
        <v>43.15</v>
      </c>
      <c r="H39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11" t="str">
        <f>IFERROR(INDEX(Raw_orders!G:G, MATCH(shipments[[#This Row],[order_id]],Raw_orders!A:A, 0)), "Unknown")</f>
        <v>Nordics</v>
      </c>
      <c r="J3911" t="str">
        <f>PROPER(shipments[[#This Row],[delivery_status]])</f>
        <v>Delivered</v>
      </c>
      <c r="K3911" t="s">
        <v>6926</v>
      </c>
    </row>
    <row r="3912" spans="1:11">
      <c r="A3912" t="s">
        <v>10848</v>
      </c>
      <c r="B3912" t="s">
        <v>4582</v>
      </c>
      <c r="C3912" t="s">
        <v>6931</v>
      </c>
      <c r="D3912" s="1">
        <v>45541</v>
      </c>
      <c r="E3912" s="1">
        <v>45544</v>
      </c>
      <c r="F3912" s="1">
        <v>45544</v>
      </c>
      <c r="H39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12" t="str">
        <f>IFERROR(INDEX(Raw_orders!G:G, MATCH(shipments[[#This Row],[order_id]],Raw_orders!A:A, 0)), "Unknown")</f>
        <v>Baltics</v>
      </c>
      <c r="J3912" t="str">
        <f>PROPER(shipments[[#This Row],[delivery_status]])</f>
        <v>Delivered</v>
      </c>
      <c r="K3912" t="s">
        <v>6926</v>
      </c>
    </row>
    <row r="3913" spans="1:11">
      <c r="A3913" t="s">
        <v>10849</v>
      </c>
      <c r="B3913" t="s">
        <v>4583</v>
      </c>
      <c r="C3913" t="s">
        <v>6938</v>
      </c>
      <c r="D3913" s="1">
        <v>45433</v>
      </c>
      <c r="E3913" s="1">
        <v>45440</v>
      </c>
      <c r="F3913" s="1">
        <v>45448</v>
      </c>
      <c r="G3913">
        <v>41.7</v>
      </c>
      <c r="H39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13" t="str">
        <f>IFERROR(INDEX(Raw_orders!G:G, MATCH(shipments[[#This Row],[order_id]],Raw_orders!A:A, 0)), "Unknown")</f>
        <v>Baltics</v>
      </c>
      <c r="J3913" t="str">
        <f>PROPER(shipments[[#This Row],[delivery_status]])</f>
        <v>Delivered</v>
      </c>
      <c r="K3913" t="s">
        <v>6922</v>
      </c>
    </row>
    <row r="3914" spans="1:11">
      <c r="A3914" t="s">
        <v>10850</v>
      </c>
      <c r="B3914" t="s">
        <v>4584</v>
      </c>
      <c r="C3914" t="s">
        <v>6925</v>
      </c>
      <c r="D3914" s="1">
        <v>45306</v>
      </c>
      <c r="E3914" s="1">
        <v>45308</v>
      </c>
      <c r="F3914" s="1">
        <v>45320</v>
      </c>
      <c r="G3914">
        <v>53.16</v>
      </c>
      <c r="H39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14" t="str">
        <f>IFERROR(INDEX(Raw_orders!G:G, MATCH(shipments[[#This Row],[order_id]],Raw_orders!A:A, 0)), "Unknown")</f>
        <v>Central Europe</v>
      </c>
      <c r="J3914" t="str">
        <f>PROPER(shipments[[#This Row],[delivery_status]])</f>
        <v>Delivered</v>
      </c>
      <c r="K3914" t="s">
        <v>6929</v>
      </c>
    </row>
    <row r="3915" spans="1:11">
      <c r="A3915" t="s">
        <v>10851</v>
      </c>
      <c r="B3915" t="s">
        <v>4585</v>
      </c>
      <c r="C3915" t="s">
        <v>6928</v>
      </c>
      <c r="D3915" s="1">
        <v>45542</v>
      </c>
      <c r="E3915" s="1">
        <v>45544</v>
      </c>
      <c r="F3915" s="1">
        <v>45552</v>
      </c>
      <c r="G3915">
        <v>63.17</v>
      </c>
      <c r="H39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15" t="str">
        <f>IFERROR(INDEX(Raw_orders!G:G, MATCH(shipments[[#This Row],[order_id]],Raw_orders!A:A, 0)), "Unknown")</f>
        <v>Nordics</v>
      </c>
      <c r="J3915" t="str">
        <f>PROPER(shipments[[#This Row],[delivery_status]])</f>
        <v>Delivered</v>
      </c>
      <c r="K3915" t="s">
        <v>6929</v>
      </c>
    </row>
    <row r="3916" spans="1:11">
      <c r="A3916" t="s">
        <v>10852</v>
      </c>
      <c r="B3916" t="s">
        <v>4586</v>
      </c>
      <c r="C3916" t="s">
        <v>6935</v>
      </c>
      <c r="D3916" s="1">
        <v>45363</v>
      </c>
      <c r="E3916" s="1">
        <v>45366</v>
      </c>
      <c r="F3916" s="1">
        <v>45365</v>
      </c>
      <c r="G3916">
        <v>31.2</v>
      </c>
      <c r="H39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16" t="str">
        <f>IFERROR(INDEX(Raw_orders!G:G, MATCH(shipments[[#This Row],[order_id]],Raw_orders!A:A, 0)), "Unknown")</f>
        <v>Baltics</v>
      </c>
      <c r="J3916" t="str">
        <f>PROPER(shipments[[#This Row],[delivery_status]])</f>
        <v>Delivered</v>
      </c>
      <c r="K3916" t="s">
        <v>6929</v>
      </c>
    </row>
    <row r="3917" spans="1:11">
      <c r="A3917" t="s">
        <v>10853</v>
      </c>
      <c r="B3917" t="s">
        <v>4587</v>
      </c>
      <c r="C3917" t="s">
        <v>6931</v>
      </c>
      <c r="D3917" s="1">
        <v>45107</v>
      </c>
      <c r="E3917" s="1">
        <v>45114</v>
      </c>
      <c r="F3917" s="1">
        <v>45122</v>
      </c>
      <c r="G3917">
        <v>61.12</v>
      </c>
      <c r="H39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17" t="str">
        <f>IFERROR(INDEX(Raw_orders!G:G, MATCH(shipments[[#This Row],[order_id]],Raw_orders!A:A, 0)), "Unknown")</f>
        <v>Nordics</v>
      </c>
      <c r="J3917" t="str">
        <f>PROPER(shipments[[#This Row],[delivery_status]])</f>
        <v>Delivered</v>
      </c>
      <c r="K3917" t="s">
        <v>6926</v>
      </c>
    </row>
    <row r="3918" spans="1:11">
      <c r="A3918" t="s">
        <v>10854</v>
      </c>
      <c r="B3918" t="s">
        <v>4588</v>
      </c>
      <c r="C3918" t="s">
        <v>6935</v>
      </c>
      <c r="D3918" s="1">
        <v>45477</v>
      </c>
      <c r="E3918" s="1">
        <v>45484</v>
      </c>
      <c r="F3918" s="1">
        <v>45485</v>
      </c>
      <c r="G3918">
        <v>7.61</v>
      </c>
      <c r="H39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18" t="str">
        <f>IFERROR(INDEX(Raw_orders!G:G, MATCH(shipments[[#This Row],[order_id]],Raw_orders!A:A, 0)), "Unknown")</f>
        <v>Central Europe</v>
      </c>
      <c r="J3918" t="str">
        <f>PROPER(shipments[[#This Row],[delivery_status]])</f>
        <v>Delivered</v>
      </c>
      <c r="K3918" t="s">
        <v>6929</v>
      </c>
    </row>
    <row r="3919" spans="1:11">
      <c r="A3919" t="s">
        <v>10855</v>
      </c>
      <c r="B3919" t="s">
        <v>4589</v>
      </c>
      <c r="C3919" t="s">
        <v>6931</v>
      </c>
      <c r="D3919" s="1">
        <v>45513</v>
      </c>
      <c r="E3919" s="1">
        <v>45520</v>
      </c>
      <c r="F3919" s="1">
        <v>45520</v>
      </c>
      <c r="G3919">
        <v>15.43</v>
      </c>
      <c r="H39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19" t="str">
        <f>IFERROR(INDEX(Raw_orders!G:G, MATCH(shipments[[#This Row],[order_id]],Raw_orders!A:A, 0)), "Unknown")</f>
        <v>Nordics</v>
      </c>
      <c r="J3919" t="str">
        <f>PROPER(shipments[[#This Row],[delivery_status]])</f>
        <v>Delivered</v>
      </c>
      <c r="K3919" t="s">
        <v>6926</v>
      </c>
    </row>
    <row r="3920" spans="1:11">
      <c r="A3920" t="s">
        <v>10856</v>
      </c>
      <c r="B3920" t="s">
        <v>4590</v>
      </c>
      <c r="C3920" t="s">
        <v>6935</v>
      </c>
      <c r="D3920" s="1">
        <v>45305</v>
      </c>
      <c r="E3920" s="1">
        <v>45312</v>
      </c>
      <c r="F3920" s="1">
        <v>45314</v>
      </c>
      <c r="G3920">
        <v>6.64</v>
      </c>
      <c r="H39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20" t="str">
        <f>IFERROR(INDEX(Raw_orders!G:G, MATCH(shipments[[#This Row],[order_id]],Raw_orders!A:A, 0)), "Unknown")</f>
        <v>Central Europe</v>
      </c>
      <c r="J3920" t="str">
        <f>PROPER(shipments[[#This Row],[delivery_status]])</f>
        <v>Delivered</v>
      </c>
      <c r="K3920" t="s">
        <v>6926</v>
      </c>
    </row>
    <row r="3921" spans="1:11">
      <c r="A3921" t="s">
        <v>10857</v>
      </c>
      <c r="B3921" t="s">
        <v>4591</v>
      </c>
      <c r="C3921" t="s">
        <v>6931</v>
      </c>
      <c r="D3921" s="1">
        <v>45121</v>
      </c>
      <c r="E3921" s="1">
        <v>45128</v>
      </c>
      <c r="F3921" s="1">
        <v>45128</v>
      </c>
      <c r="G3921">
        <v>36.450000000000003</v>
      </c>
      <c r="H39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21" t="str">
        <f>IFERROR(INDEX(Raw_orders!G:G, MATCH(shipments[[#This Row],[order_id]],Raw_orders!A:A, 0)), "Unknown")</f>
        <v>Nordics</v>
      </c>
      <c r="J3921" t="str">
        <f>PROPER(shipments[[#This Row],[delivery_status]])</f>
        <v>Delivered</v>
      </c>
      <c r="K3921" t="s">
        <v>6922</v>
      </c>
    </row>
    <row r="3922" spans="1:11">
      <c r="A3922" t="s">
        <v>10858</v>
      </c>
      <c r="B3922" t="s">
        <v>4592</v>
      </c>
      <c r="C3922" t="s">
        <v>6921</v>
      </c>
      <c r="D3922" s="1">
        <v>45384</v>
      </c>
      <c r="E3922" s="1">
        <v>45394</v>
      </c>
      <c r="F3922" s="1">
        <v>45399</v>
      </c>
      <c r="G3922">
        <v>59.36</v>
      </c>
      <c r="H39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22" t="str">
        <f>IFERROR(INDEX(Raw_orders!G:G, MATCH(shipments[[#This Row],[order_id]],Raw_orders!A:A, 0)), "Unknown")</f>
        <v>Central Europe</v>
      </c>
      <c r="J3922" t="str">
        <f>PROPER(shipments[[#This Row],[delivery_status]])</f>
        <v>Delivered</v>
      </c>
      <c r="K3922" t="s">
        <v>6929</v>
      </c>
    </row>
    <row r="3923" spans="1:11">
      <c r="A3923" t="s">
        <v>10859</v>
      </c>
      <c r="B3923" t="s">
        <v>4593</v>
      </c>
      <c r="C3923" t="s">
        <v>6925</v>
      </c>
      <c r="D3923" s="1">
        <v>45064</v>
      </c>
      <c r="E3923" s="1">
        <v>45069</v>
      </c>
      <c r="F3923" s="1">
        <v>45069</v>
      </c>
      <c r="G3923">
        <v>44.81</v>
      </c>
      <c r="H39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23" t="str">
        <f>IFERROR(INDEX(Raw_orders!G:G, MATCH(shipments[[#This Row],[order_id]],Raw_orders!A:A, 0)), "Unknown")</f>
        <v>Central Europe</v>
      </c>
      <c r="J3923" t="str">
        <f>PROPER(shipments[[#This Row],[delivery_status]])</f>
        <v>Delivered</v>
      </c>
      <c r="K3923" t="s">
        <v>6926</v>
      </c>
    </row>
    <row r="3924" spans="1:11">
      <c r="A3924" t="s">
        <v>10860</v>
      </c>
      <c r="B3924" t="s">
        <v>4594</v>
      </c>
      <c r="C3924" t="s">
        <v>6938</v>
      </c>
      <c r="D3924" s="1">
        <v>45300</v>
      </c>
      <c r="E3924" s="1">
        <v>45305</v>
      </c>
      <c r="F3924" s="1"/>
      <c r="G3924">
        <v>30.94</v>
      </c>
      <c r="H39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924" t="str">
        <f>IFERROR(INDEX(Raw_orders!G:G, MATCH(shipments[[#This Row],[order_id]],Raw_orders!A:A, 0)), "Unknown")</f>
        <v>Nordics</v>
      </c>
      <c r="J3924" t="str">
        <f>PROPER(shipments[[#This Row],[delivery_status]])</f>
        <v>Cancelled</v>
      </c>
      <c r="K3924" t="s">
        <v>6979</v>
      </c>
    </row>
    <row r="3925" spans="1:11">
      <c r="A3925" t="s">
        <v>10861</v>
      </c>
      <c r="B3925" t="s">
        <v>4595</v>
      </c>
      <c r="C3925" t="s">
        <v>6931</v>
      </c>
      <c r="D3925" s="1">
        <v>44975</v>
      </c>
      <c r="E3925" s="1">
        <v>44982</v>
      </c>
      <c r="F3925" s="1">
        <v>44982</v>
      </c>
      <c r="G3925">
        <v>22.28</v>
      </c>
      <c r="H39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25" t="str">
        <f>IFERROR(INDEX(Raw_orders!G:G, MATCH(shipments[[#This Row],[order_id]],Raw_orders!A:A, 0)), "Unknown")</f>
        <v>Baltics</v>
      </c>
      <c r="J3925" t="str">
        <f>PROPER(shipments[[#This Row],[delivery_status]])</f>
        <v>Delivered</v>
      </c>
      <c r="K3925" t="s">
        <v>6926</v>
      </c>
    </row>
    <row r="3926" spans="1:11">
      <c r="A3926" t="s">
        <v>10862</v>
      </c>
      <c r="B3926" t="s">
        <v>4596</v>
      </c>
      <c r="C3926" t="s">
        <v>6938</v>
      </c>
      <c r="D3926" s="1">
        <v>45269</v>
      </c>
      <c r="E3926" s="1">
        <v>45276</v>
      </c>
      <c r="F3926" s="1">
        <v>45276</v>
      </c>
      <c r="G3926">
        <v>29.86</v>
      </c>
      <c r="H39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26" t="str">
        <f>IFERROR(INDEX(Raw_orders!G:G, MATCH(shipments[[#This Row],[order_id]],Raw_orders!A:A, 0)), "Unknown")</f>
        <v>Nordics</v>
      </c>
      <c r="J3926" t="str">
        <f>PROPER(shipments[[#This Row],[delivery_status]])</f>
        <v>Delivered</v>
      </c>
      <c r="K3926" t="s">
        <v>6922</v>
      </c>
    </row>
    <row r="3927" spans="1:11">
      <c r="A3927" t="s">
        <v>10863</v>
      </c>
      <c r="B3927" t="s">
        <v>4597</v>
      </c>
      <c r="C3927" t="s">
        <v>6940</v>
      </c>
      <c r="D3927" s="1">
        <v>45593</v>
      </c>
      <c r="E3927" s="1">
        <v>45600</v>
      </c>
      <c r="F3927" s="1">
        <v>45600</v>
      </c>
      <c r="G3927">
        <v>59.73</v>
      </c>
      <c r="H39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27" t="str">
        <f>IFERROR(INDEX(Raw_orders!G:G, MATCH(shipments[[#This Row],[order_id]],Raw_orders!A:A, 0)), "Unknown")</f>
        <v>Central Europe</v>
      </c>
      <c r="J3927" t="str">
        <f>PROPER(shipments[[#This Row],[delivery_status]])</f>
        <v>Delivered</v>
      </c>
      <c r="K3927" t="s">
        <v>6926</v>
      </c>
    </row>
    <row r="3928" spans="1:11">
      <c r="A3928" t="s">
        <v>10864</v>
      </c>
      <c r="B3928" t="s">
        <v>4598</v>
      </c>
      <c r="C3928" t="s">
        <v>6940</v>
      </c>
      <c r="D3928" s="1">
        <v>44931</v>
      </c>
      <c r="E3928" s="1">
        <v>44933</v>
      </c>
      <c r="F3928" s="1">
        <v>44932</v>
      </c>
      <c r="G3928">
        <v>32.61</v>
      </c>
      <c r="H39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28" t="str">
        <f>IFERROR(INDEX(Raw_orders!G:G, MATCH(shipments[[#This Row],[order_id]],Raw_orders!A:A, 0)), "Unknown")</f>
        <v>Central Europe</v>
      </c>
      <c r="J3928" t="str">
        <f>PROPER(shipments[[#This Row],[delivery_status]])</f>
        <v>Delivered</v>
      </c>
      <c r="K3928" t="s">
        <v>6929</v>
      </c>
    </row>
    <row r="3929" spans="1:11">
      <c r="A3929" t="s">
        <v>10865</v>
      </c>
      <c r="B3929" t="s">
        <v>4599</v>
      </c>
      <c r="C3929" t="s">
        <v>6921</v>
      </c>
      <c r="D3929" s="1">
        <v>45505</v>
      </c>
      <c r="E3929" s="1">
        <v>45510</v>
      </c>
      <c r="F3929" s="1">
        <v>45518</v>
      </c>
      <c r="G3929">
        <v>28.31</v>
      </c>
      <c r="H39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29" t="str">
        <f>IFERROR(INDEX(Raw_orders!G:G, MATCH(shipments[[#This Row],[order_id]],Raw_orders!A:A, 0)), "Unknown")</f>
        <v>Central Europe</v>
      </c>
      <c r="J3929" t="str">
        <f>PROPER(shipments[[#This Row],[delivery_status]])</f>
        <v>Delivered</v>
      </c>
      <c r="K3929" t="s">
        <v>6926</v>
      </c>
    </row>
    <row r="3930" spans="1:11">
      <c r="A3930" t="s">
        <v>10866</v>
      </c>
      <c r="B3930" t="s">
        <v>4600</v>
      </c>
      <c r="C3930" t="s">
        <v>6931</v>
      </c>
      <c r="D3930" s="1">
        <v>45533</v>
      </c>
      <c r="E3930" s="1">
        <v>45543</v>
      </c>
      <c r="F3930" s="1">
        <v>45548</v>
      </c>
      <c r="G3930">
        <v>28.19</v>
      </c>
      <c r="H39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30" t="str">
        <f>IFERROR(INDEX(Raw_orders!G:G, MATCH(shipments[[#This Row],[order_id]],Raw_orders!A:A, 0)), "Unknown")</f>
        <v>Baltics</v>
      </c>
      <c r="J3930" t="str">
        <f>PROPER(shipments[[#This Row],[delivery_status]])</f>
        <v>Delivered</v>
      </c>
      <c r="K3930" t="s">
        <v>6929</v>
      </c>
    </row>
    <row r="3931" spans="1:11">
      <c r="A3931" t="s">
        <v>10867</v>
      </c>
      <c r="B3931" t="s">
        <v>4601</v>
      </c>
      <c r="C3931" t="s">
        <v>6921</v>
      </c>
      <c r="D3931" s="1">
        <v>45110</v>
      </c>
      <c r="E3931" s="1">
        <v>45113</v>
      </c>
      <c r="F3931" s="1">
        <v>45113</v>
      </c>
      <c r="H39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31" t="str">
        <f>IFERROR(INDEX(Raw_orders!G:G, MATCH(shipments[[#This Row],[order_id]],Raw_orders!A:A, 0)), "Unknown")</f>
        <v>Central Europe</v>
      </c>
      <c r="J3931" t="str">
        <f>PROPER(shipments[[#This Row],[delivery_status]])</f>
        <v>Delivered</v>
      </c>
      <c r="K3931" t="s">
        <v>6922</v>
      </c>
    </row>
    <row r="3932" spans="1:11">
      <c r="A3932" t="s">
        <v>10868</v>
      </c>
      <c r="B3932" t="s">
        <v>4602</v>
      </c>
      <c r="C3932" t="s">
        <v>6938</v>
      </c>
      <c r="D3932" s="1">
        <v>45489</v>
      </c>
      <c r="E3932" s="1">
        <v>45494</v>
      </c>
      <c r="F3932" s="1">
        <v>45495</v>
      </c>
      <c r="G3932">
        <v>42.08</v>
      </c>
      <c r="H39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32" t="str">
        <f>IFERROR(INDEX(Raw_orders!G:G, MATCH(shipments[[#This Row],[order_id]],Raw_orders!A:A, 0)), "Unknown")</f>
        <v>Baltics</v>
      </c>
      <c r="J3932" t="str">
        <f>PROPER(shipments[[#This Row],[delivery_status]])</f>
        <v>Delivered</v>
      </c>
      <c r="K3932" t="s">
        <v>6926</v>
      </c>
    </row>
    <row r="3933" spans="1:11">
      <c r="A3933" t="s">
        <v>10869</v>
      </c>
      <c r="B3933" t="s">
        <v>4603</v>
      </c>
      <c r="C3933" t="s">
        <v>6956</v>
      </c>
      <c r="D3933" s="1">
        <v>45282</v>
      </c>
      <c r="E3933" s="1">
        <v>45292</v>
      </c>
      <c r="F3933" s="1">
        <v>45297</v>
      </c>
      <c r="G3933">
        <v>14.87</v>
      </c>
      <c r="H39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33" t="str">
        <f>IFERROR(INDEX(Raw_orders!G:G, MATCH(shipments[[#This Row],[order_id]],Raw_orders!A:A, 0)), "Unknown")</f>
        <v>Baltics</v>
      </c>
      <c r="J3933" t="str">
        <f>PROPER(shipments[[#This Row],[delivery_status]])</f>
        <v>Delivered</v>
      </c>
      <c r="K3933" t="s">
        <v>6926</v>
      </c>
    </row>
    <row r="3934" spans="1:11">
      <c r="A3934" t="s">
        <v>10870</v>
      </c>
      <c r="B3934" t="s">
        <v>4604</v>
      </c>
      <c r="C3934" t="s">
        <v>6931</v>
      </c>
      <c r="D3934" s="1">
        <v>45172</v>
      </c>
      <c r="E3934" s="1">
        <v>45182</v>
      </c>
      <c r="F3934" s="1">
        <v>45185</v>
      </c>
      <c r="G3934">
        <v>46.48</v>
      </c>
      <c r="H39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34" t="str">
        <f>IFERROR(INDEX(Raw_orders!G:G, MATCH(shipments[[#This Row],[order_id]],Raw_orders!A:A, 0)), "Unknown")</f>
        <v>Central Europe</v>
      </c>
      <c r="J3934" t="str">
        <f>PROPER(shipments[[#This Row],[delivery_status]])</f>
        <v>Delivered</v>
      </c>
      <c r="K3934" t="s">
        <v>6922</v>
      </c>
    </row>
    <row r="3935" spans="1:11">
      <c r="A3935" t="s">
        <v>10871</v>
      </c>
      <c r="B3935" t="s">
        <v>4605</v>
      </c>
      <c r="C3935" t="s">
        <v>6935</v>
      </c>
      <c r="D3935" s="1">
        <v>45031</v>
      </c>
      <c r="E3935" s="1">
        <v>45033</v>
      </c>
      <c r="F3935" s="1">
        <v>45033</v>
      </c>
      <c r="G3935">
        <v>24.1</v>
      </c>
      <c r="H39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35" t="str">
        <f>IFERROR(INDEX(Raw_orders!G:G, MATCH(shipments[[#This Row],[order_id]],Raw_orders!A:A, 0)), "Unknown")</f>
        <v>Nordics</v>
      </c>
      <c r="J3935" t="str">
        <f>PROPER(shipments[[#This Row],[delivery_status]])</f>
        <v>Delivered</v>
      </c>
      <c r="K3935" t="s">
        <v>6926</v>
      </c>
    </row>
    <row r="3936" spans="1:11">
      <c r="A3936" t="s">
        <v>10872</v>
      </c>
      <c r="B3936" t="s">
        <v>4606</v>
      </c>
      <c r="C3936" t="s">
        <v>6931</v>
      </c>
      <c r="D3936" s="1">
        <v>45204</v>
      </c>
      <c r="E3936" s="1">
        <v>45207</v>
      </c>
      <c r="F3936" s="1">
        <v>45208</v>
      </c>
      <c r="G3936">
        <v>6.81</v>
      </c>
      <c r="H39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36" t="str">
        <f>IFERROR(INDEX(Raw_orders!G:G, MATCH(shipments[[#This Row],[order_id]],Raw_orders!A:A, 0)), "Unknown")</f>
        <v>Central Europe</v>
      </c>
      <c r="J3936" t="str">
        <f>PROPER(shipments[[#This Row],[delivery_status]])</f>
        <v>Delivered</v>
      </c>
      <c r="K3936" t="s">
        <v>6926</v>
      </c>
    </row>
    <row r="3937" spans="1:11">
      <c r="A3937" t="s">
        <v>10873</v>
      </c>
      <c r="B3937" t="s">
        <v>4607</v>
      </c>
      <c r="C3937" t="s">
        <v>6921</v>
      </c>
      <c r="D3937" s="1">
        <v>45131</v>
      </c>
      <c r="E3937" s="1">
        <v>45133</v>
      </c>
      <c r="F3937" s="1">
        <v>45133</v>
      </c>
      <c r="G3937">
        <v>45.99</v>
      </c>
      <c r="H39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37" t="str">
        <f>IFERROR(INDEX(Raw_orders!G:G, MATCH(shipments[[#This Row],[order_id]],Raw_orders!A:A, 0)), "Unknown")</f>
        <v>Nordics</v>
      </c>
      <c r="J3937" t="str">
        <f>PROPER(shipments[[#This Row],[delivery_status]])</f>
        <v>Delivered</v>
      </c>
      <c r="K3937" t="s">
        <v>6929</v>
      </c>
    </row>
    <row r="3938" spans="1:11">
      <c r="A3938" t="s">
        <v>10874</v>
      </c>
      <c r="B3938" t="s">
        <v>4608</v>
      </c>
      <c r="C3938" t="s">
        <v>6931</v>
      </c>
      <c r="D3938" s="1">
        <v>45222</v>
      </c>
      <c r="E3938" s="1">
        <v>45232</v>
      </c>
      <c r="F3938" s="1">
        <v>45232</v>
      </c>
      <c r="G3938">
        <v>29.79</v>
      </c>
      <c r="H39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38" t="str">
        <f>IFERROR(INDEX(Raw_orders!G:G, MATCH(shipments[[#This Row],[order_id]],Raw_orders!A:A, 0)), "Unknown")</f>
        <v>Nordics</v>
      </c>
      <c r="J3938" t="str">
        <f>PROPER(shipments[[#This Row],[delivery_status]])</f>
        <v>Delivered</v>
      </c>
      <c r="K3938" t="s">
        <v>6929</v>
      </c>
    </row>
    <row r="3939" spans="1:11">
      <c r="A3939" t="s">
        <v>10875</v>
      </c>
      <c r="B3939" t="s">
        <v>4609</v>
      </c>
      <c r="C3939" t="s">
        <v>6935</v>
      </c>
      <c r="D3939" s="1">
        <v>45232</v>
      </c>
      <c r="E3939" s="1">
        <v>45242</v>
      </c>
      <c r="F3939" s="1">
        <v>45245</v>
      </c>
      <c r="G3939">
        <v>62.68</v>
      </c>
      <c r="H39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39" t="str">
        <f>IFERROR(INDEX(Raw_orders!G:G, MATCH(shipments[[#This Row],[order_id]],Raw_orders!A:A, 0)), "Unknown")</f>
        <v>Nordics</v>
      </c>
      <c r="J3939" t="str">
        <f>PROPER(shipments[[#This Row],[delivery_status]])</f>
        <v>Delivered</v>
      </c>
      <c r="K3939" t="s">
        <v>6929</v>
      </c>
    </row>
    <row r="3940" spans="1:11">
      <c r="A3940" t="s">
        <v>10876</v>
      </c>
      <c r="B3940" t="s">
        <v>4610</v>
      </c>
      <c r="C3940" t="s">
        <v>6935</v>
      </c>
      <c r="D3940" s="1">
        <v>45206</v>
      </c>
      <c r="E3940" s="1">
        <v>45209</v>
      </c>
      <c r="F3940" s="1">
        <v>45222</v>
      </c>
      <c r="G3940">
        <v>30.25</v>
      </c>
      <c r="H39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40" t="str">
        <f>IFERROR(INDEX(Raw_orders!G:G, MATCH(shipments[[#This Row],[order_id]],Raw_orders!A:A, 0)), "Unknown")</f>
        <v>Nordics</v>
      </c>
      <c r="J3940" t="str">
        <f>PROPER(shipments[[#This Row],[delivery_status]])</f>
        <v>Delivered</v>
      </c>
      <c r="K3940" t="s">
        <v>6922</v>
      </c>
    </row>
    <row r="3941" spans="1:11">
      <c r="A3941" t="s">
        <v>10877</v>
      </c>
      <c r="B3941" t="s">
        <v>4611</v>
      </c>
      <c r="C3941" t="s">
        <v>6921</v>
      </c>
      <c r="D3941" s="1">
        <v>45266</v>
      </c>
      <c r="E3941" s="1">
        <v>45276</v>
      </c>
      <c r="F3941" s="1">
        <v>45276</v>
      </c>
      <c r="G3941">
        <v>46.61</v>
      </c>
      <c r="H39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41" t="str">
        <f>IFERROR(INDEX(Raw_orders!G:G, MATCH(shipments[[#This Row],[order_id]],Raw_orders!A:A, 0)), "Unknown")</f>
        <v>Central Europe</v>
      </c>
      <c r="J3941" t="str">
        <f>PROPER(shipments[[#This Row],[delivery_status]])</f>
        <v>Delivered</v>
      </c>
      <c r="K3941" t="s">
        <v>6926</v>
      </c>
    </row>
    <row r="3942" spans="1:11">
      <c r="A3942" t="s">
        <v>10878</v>
      </c>
      <c r="B3942" t="s">
        <v>4612</v>
      </c>
      <c r="C3942" t="s">
        <v>6940</v>
      </c>
      <c r="D3942" s="1">
        <v>45108</v>
      </c>
      <c r="E3942" s="1">
        <v>45111</v>
      </c>
      <c r="F3942" s="1">
        <v>45111</v>
      </c>
      <c r="G3942">
        <v>37.86</v>
      </c>
      <c r="H39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42" t="str">
        <f>IFERROR(INDEX(Raw_orders!G:G, MATCH(shipments[[#This Row],[order_id]],Raw_orders!A:A, 0)), "Unknown")</f>
        <v>Central Europe</v>
      </c>
      <c r="J3942" t="str">
        <f>PROPER(shipments[[#This Row],[delivery_status]])</f>
        <v>Delivered</v>
      </c>
      <c r="K3942" t="s">
        <v>6929</v>
      </c>
    </row>
    <row r="3943" spans="1:11">
      <c r="A3943" t="s">
        <v>10879</v>
      </c>
      <c r="B3943" t="s">
        <v>4613</v>
      </c>
      <c r="C3943" t="s">
        <v>6956</v>
      </c>
      <c r="D3943" s="1">
        <v>45031</v>
      </c>
      <c r="E3943" s="1">
        <v>45033</v>
      </c>
      <c r="F3943" s="1">
        <v>45034</v>
      </c>
      <c r="G3943">
        <v>17.78</v>
      </c>
      <c r="H39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43" t="str">
        <f>IFERROR(INDEX(Raw_orders!G:G, MATCH(shipments[[#This Row],[order_id]],Raw_orders!A:A, 0)), "Unknown")</f>
        <v>Baltics</v>
      </c>
      <c r="J3943" t="str">
        <f>PROPER(shipments[[#This Row],[delivery_status]])</f>
        <v>Delivered</v>
      </c>
      <c r="K3943" t="s">
        <v>6922</v>
      </c>
    </row>
    <row r="3944" spans="1:11">
      <c r="A3944" t="s">
        <v>10880</v>
      </c>
      <c r="B3944" t="s">
        <v>4614</v>
      </c>
      <c r="C3944" t="s">
        <v>6928</v>
      </c>
      <c r="D3944" s="1">
        <v>45194</v>
      </c>
      <c r="E3944" s="1">
        <v>45201</v>
      </c>
      <c r="F3944" s="1">
        <v>45201</v>
      </c>
      <c r="G3944">
        <v>50.54</v>
      </c>
      <c r="H39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44" t="str">
        <f>IFERROR(INDEX(Raw_orders!G:G, MATCH(shipments[[#This Row],[order_id]],Raw_orders!A:A, 0)), "Unknown")</f>
        <v>Baltics</v>
      </c>
      <c r="J3944" t="str">
        <f>PROPER(shipments[[#This Row],[delivery_status]])</f>
        <v>Delivered</v>
      </c>
      <c r="K3944" t="s">
        <v>6929</v>
      </c>
    </row>
    <row r="3945" spans="1:11">
      <c r="A3945" t="s">
        <v>10881</v>
      </c>
      <c r="B3945" t="s">
        <v>4615</v>
      </c>
      <c r="C3945" t="s">
        <v>6935</v>
      </c>
      <c r="D3945" s="1">
        <v>45561</v>
      </c>
      <c r="E3945" s="1">
        <v>45571</v>
      </c>
      <c r="F3945" s="1">
        <v>45574</v>
      </c>
      <c r="G3945">
        <v>57.92</v>
      </c>
      <c r="H39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45" t="str">
        <f>IFERROR(INDEX(Raw_orders!G:G, MATCH(shipments[[#This Row],[order_id]],Raw_orders!A:A, 0)), "Unknown")</f>
        <v>Central Europe</v>
      </c>
      <c r="J3945" t="str">
        <f>PROPER(shipments[[#This Row],[delivery_status]])</f>
        <v>Delivered</v>
      </c>
      <c r="K3945" t="s">
        <v>6926</v>
      </c>
    </row>
    <row r="3946" spans="1:11">
      <c r="A3946" t="s">
        <v>10882</v>
      </c>
      <c r="B3946" t="s">
        <v>4616</v>
      </c>
      <c r="C3946" t="s">
        <v>6925</v>
      </c>
      <c r="D3946" s="1">
        <v>45074</v>
      </c>
      <c r="E3946" s="1">
        <v>45079</v>
      </c>
      <c r="F3946" s="1">
        <v>45092</v>
      </c>
      <c r="G3946">
        <v>39.369999999999997</v>
      </c>
      <c r="H39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46" t="str">
        <f>IFERROR(INDEX(Raw_orders!G:G, MATCH(shipments[[#This Row],[order_id]],Raw_orders!A:A, 0)), "Unknown")</f>
        <v>Nordics</v>
      </c>
      <c r="J3946" t="str">
        <f>PROPER(shipments[[#This Row],[delivery_status]])</f>
        <v>Delivered</v>
      </c>
      <c r="K3946" t="s">
        <v>6922</v>
      </c>
    </row>
    <row r="3947" spans="1:11">
      <c r="A3947" t="s">
        <v>10883</v>
      </c>
      <c r="B3947" t="s">
        <v>4617</v>
      </c>
      <c r="C3947" t="s">
        <v>6949</v>
      </c>
      <c r="D3947" s="1">
        <v>45085</v>
      </c>
      <c r="E3947" s="1">
        <v>45095</v>
      </c>
      <c r="F3947" s="1">
        <v>45095</v>
      </c>
      <c r="G3947">
        <v>11.64</v>
      </c>
      <c r="H39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47" t="str">
        <f>IFERROR(INDEX(Raw_orders!G:G, MATCH(shipments[[#This Row],[order_id]],Raw_orders!A:A, 0)), "Unknown")</f>
        <v>Central Europe</v>
      </c>
      <c r="J3947" t="str">
        <f>PROPER(shipments[[#This Row],[delivery_status]])</f>
        <v>Delivered</v>
      </c>
      <c r="K3947" t="s">
        <v>6922</v>
      </c>
    </row>
    <row r="3948" spans="1:11">
      <c r="A3948" t="s">
        <v>10884</v>
      </c>
      <c r="B3948" t="s">
        <v>4618</v>
      </c>
      <c r="C3948" t="s">
        <v>6938</v>
      </c>
      <c r="D3948" s="1">
        <v>45605</v>
      </c>
      <c r="E3948" s="1">
        <v>45610</v>
      </c>
      <c r="F3948" s="1">
        <v>45619</v>
      </c>
      <c r="G3948">
        <v>26.11</v>
      </c>
      <c r="H39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48" t="str">
        <f>IFERROR(INDEX(Raw_orders!G:G, MATCH(shipments[[#This Row],[order_id]],Raw_orders!A:A, 0)), "Unknown")</f>
        <v>Baltics</v>
      </c>
      <c r="J3948" t="str">
        <f>PROPER(shipments[[#This Row],[delivery_status]])</f>
        <v>Delivered</v>
      </c>
      <c r="K3948" t="s">
        <v>6926</v>
      </c>
    </row>
    <row r="3949" spans="1:11">
      <c r="A3949" t="s">
        <v>10885</v>
      </c>
      <c r="B3949" t="s">
        <v>4619</v>
      </c>
      <c r="C3949" t="s">
        <v>6938</v>
      </c>
      <c r="D3949" s="1">
        <v>45423</v>
      </c>
      <c r="E3949" s="1">
        <v>45428</v>
      </c>
      <c r="F3949" s="1"/>
      <c r="G3949">
        <v>31.34</v>
      </c>
      <c r="H39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949" t="str">
        <f>IFERROR(INDEX(Raw_orders!G:G, MATCH(shipments[[#This Row],[order_id]],Raw_orders!A:A, 0)), "Unknown")</f>
        <v>Nordics</v>
      </c>
      <c r="J3949" t="str">
        <f>PROPER(shipments[[#This Row],[delivery_status]])</f>
        <v>Cancelled</v>
      </c>
      <c r="K3949" t="s">
        <v>6972</v>
      </c>
    </row>
    <row r="3950" spans="1:11">
      <c r="A3950" t="s">
        <v>10886</v>
      </c>
      <c r="B3950" t="s">
        <v>4620</v>
      </c>
      <c r="C3950" t="s">
        <v>6921</v>
      </c>
      <c r="D3950" s="1">
        <v>45115</v>
      </c>
      <c r="E3950" s="1">
        <v>45120</v>
      </c>
      <c r="F3950" s="1"/>
      <c r="G3950">
        <v>25.79</v>
      </c>
      <c r="H39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950" t="str">
        <f>IFERROR(INDEX(Raw_orders!G:G, MATCH(shipments[[#This Row],[order_id]],Raw_orders!A:A, 0)), "Unknown")</f>
        <v>Central Europe</v>
      </c>
      <c r="J3950" t="str">
        <f>PROPER(shipments[[#This Row],[delivery_status]])</f>
        <v>Cancelled</v>
      </c>
      <c r="K3950" t="s">
        <v>6963</v>
      </c>
    </row>
    <row r="3951" spans="1:11">
      <c r="A3951" t="s">
        <v>10887</v>
      </c>
      <c r="B3951" t="s">
        <v>4621</v>
      </c>
      <c r="C3951" t="s">
        <v>6956</v>
      </c>
      <c r="D3951" s="1">
        <v>45472</v>
      </c>
      <c r="E3951" s="1">
        <v>45482</v>
      </c>
      <c r="F3951" s="1">
        <v>45481</v>
      </c>
      <c r="G3951">
        <v>32.380000000000003</v>
      </c>
      <c r="H39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51" t="str">
        <f>IFERROR(INDEX(Raw_orders!G:G, MATCH(shipments[[#This Row],[order_id]],Raw_orders!A:A, 0)), "Unknown")</f>
        <v>Baltics</v>
      </c>
      <c r="J3951" t="str">
        <f>PROPER(shipments[[#This Row],[delivery_status]])</f>
        <v>Delivered</v>
      </c>
      <c r="K3951" t="s">
        <v>6922</v>
      </c>
    </row>
    <row r="3952" spans="1:11">
      <c r="A3952" t="s">
        <v>10888</v>
      </c>
      <c r="B3952" t="s">
        <v>4622</v>
      </c>
      <c r="C3952" t="s">
        <v>6938</v>
      </c>
      <c r="D3952" s="1">
        <v>44937</v>
      </c>
      <c r="E3952" s="1">
        <v>44947</v>
      </c>
      <c r="F3952" s="1">
        <v>44947</v>
      </c>
      <c r="G3952">
        <v>9.02</v>
      </c>
      <c r="H39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52" t="str">
        <f>IFERROR(INDEX(Raw_orders!G:G, MATCH(shipments[[#This Row],[order_id]],Raw_orders!A:A, 0)), "Unknown")</f>
        <v>Central Europe</v>
      </c>
      <c r="J3952" t="str">
        <f>PROPER(shipments[[#This Row],[delivery_status]])</f>
        <v>Delivered</v>
      </c>
      <c r="K3952" t="s">
        <v>6926</v>
      </c>
    </row>
    <row r="3953" spans="1:11">
      <c r="A3953" t="s">
        <v>10889</v>
      </c>
      <c r="B3953" t="s">
        <v>4623</v>
      </c>
      <c r="C3953" t="s">
        <v>6956</v>
      </c>
      <c r="D3953" s="1">
        <v>45447</v>
      </c>
      <c r="E3953" s="1">
        <v>45449</v>
      </c>
      <c r="F3953" s="1">
        <v>45448</v>
      </c>
      <c r="G3953">
        <v>5.18</v>
      </c>
      <c r="H39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53" t="str">
        <f>IFERROR(INDEX(Raw_orders!G:G, MATCH(shipments[[#This Row],[order_id]],Raw_orders!A:A, 0)), "Unknown")</f>
        <v>Nordics</v>
      </c>
      <c r="J3953" t="str">
        <f>PROPER(shipments[[#This Row],[delivery_status]])</f>
        <v>Delivered</v>
      </c>
      <c r="K3953" t="s">
        <v>6926</v>
      </c>
    </row>
    <row r="3954" spans="1:11">
      <c r="A3954" t="s">
        <v>10890</v>
      </c>
      <c r="B3954" t="s">
        <v>4624</v>
      </c>
      <c r="C3954" t="s">
        <v>6956</v>
      </c>
      <c r="D3954" s="1">
        <v>45315</v>
      </c>
      <c r="E3954" s="1">
        <v>45320</v>
      </c>
      <c r="F3954" s="1">
        <v>45328</v>
      </c>
      <c r="H39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54" t="str">
        <f>IFERROR(INDEX(Raw_orders!G:G, MATCH(shipments[[#This Row],[order_id]],Raw_orders!A:A, 0)), "Unknown")</f>
        <v>Baltics</v>
      </c>
      <c r="J3954" t="str">
        <f>PROPER(shipments[[#This Row],[delivery_status]])</f>
        <v>Delivered</v>
      </c>
      <c r="K3954" t="s">
        <v>6922</v>
      </c>
    </row>
    <row r="3955" spans="1:11">
      <c r="A3955" t="s">
        <v>10891</v>
      </c>
      <c r="B3955" t="s">
        <v>4625</v>
      </c>
      <c r="C3955" t="s">
        <v>6935</v>
      </c>
      <c r="D3955" s="1">
        <v>45369</v>
      </c>
      <c r="E3955" s="1">
        <v>45372</v>
      </c>
      <c r="F3955" s="1">
        <v>45377</v>
      </c>
      <c r="H39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55" t="str">
        <f>IFERROR(INDEX(Raw_orders!G:G, MATCH(shipments[[#This Row],[order_id]],Raw_orders!A:A, 0)), "Unknown")</f>
        <v>Central Europe</v>
      </c>
      <c r="J3955" t="str">
        <f>PROPER(shipments[[#This Row],[delivery_status]])</f>
        <v>Delivered</v>
      </c>
      <c r="K3955" t="s">
        <v>6929</v>
      </c>
    </row>
    <row r="3956" spans="1:11">
      <c r="A3956" t="s">
        <v>10892</v>
      </c>
      <c r="B3956" t="s">
        <v>4626</v>
      </c>
      <c r="C3956" t="s">
        <v>6940</v>
      </c>
      <c r="D3956" s="1">
        <v>45029</v>
      </c>
      <c r="E3956" s="1">
        <v>45034</v>
      </c>
      <c r="F3956" s="1">
        <v>45034</v>
      </c>
      <c r="G3956">
        <v>60.84</v>
      </c>
      <c r="H39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56" t="str">
        <f>IFERROR(INDEX(Raw_orders!G:G, MATCH(shipments[[#This Row],[order_id]],Raw_orders!A:A, 0)), "Unknown")</f>
        <v>Baltics</v>
      </c>
      <c r="J3956" t="str">
        <f>PROPER(shipments[[#This Row],[delivery_status]])</f>
        <v>Delivered</v>
      </c>
      <c r="K3956" t="s">
        <v>6929</v>
      </c>
    </row>
    <row r="3957" spans="1:11">
      <c r="A3957" t="s">
        <v>10893</v>
      </c>
      <c r="B3957" t="s">
        <v>4627</v>
      </c>
      <c r="C3957" t="s">
        <v>6931</v>
      </c>
      <c r="D3957" s="1">
        <v>45022</v>
      </c>
      <c r="E3957" s="1">
        <v>45032</v>
      </c>
      <c r="F3957" s="1">
        <v>45033</v>
      </c>
      <c r="G3957">
        <v>6.25</v>
      </c>
      <c r="H39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57" t="str">
        <f>IFERROR(INDEX(Raw_orders!G:G, MATCH(shipments[[#This Row],[order_id]],Raw_orders!A:A, 0)), "Unknown")</f>
        <v>Nordics</v>
      </c>
      <c r="J3957" t="str">
        <f>PROPER(shipments[[#This Row],[delivery_status]])</f>
        <v>Delivered</v>
      </c>
      <c r="K3957" t="s">
        <v>6922</v>
      </c>
    </row>
    <row r="3958" spans="1:11">
      <c r="A3958" t="s">
        <v>10894</v>
      </c>
      <c r="B3958" t="s">
        <v>4628</v>
      </c>
      <c r="C3958" t="s">
        <v>6925</v>
      </c>
      <c r="D3958" s="1">
        <v>45587</v>
      </c>
      <c r="E3958" s="1">
        <v>45589</v>
      </c>
      <c r="F3958" s="1">
        <v>45592</v>
      </c>
      <c r="G3958">
        <v>14.37</v>
      </c>
      <c r="H39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58" t="str">
        <f>IFERROR(INDEX(Raw_orders!G:G, MATCH(shipments[[#This Row],[order_id]],Raw_orders!A:A, 0)), "Unknown")</f>
        <v>Baltics</v>
      </c>
      <c r="J3958" t="str">
        <f>PROPER(shipments[[#This Row],[delivery_status]])</f>
        <v>Delivered</v>
      </c>
      <c r="K3958" t="s">
        <v>6922</v>
      </c>
    </row>
    <row r="3959" spans="1:11">
      <c r="A3959" t="s">
        <v>10895</v>
      </c>
      <c r="B3959" t="s">
        <v>4629</v>
      </c>
      <c r="C3959" t="s">
        <v>6925</v>
      </c>
      <c r="D3959" s="1">
        <v>45560</v>
      </c>
      <c r="E3959" s="1">
        <v>45567</v>
      </c>
      <c r="F3959" s="1">
        <v>45569</v>
      </c>
      <c r="H39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59" t="str">
        <f>IFERROR(INDEX(Raw_orders!G:G, MATCH(shipments[[#This Row],[order_id]],Raw_orders!A:A, 0)), "Unknown")</f>
        <v>Nordics</v>
      </c>
      <c r="J3959" t="str">
        <f>PROPER(shipments[[#This Row],[delivery_status]])</f>
        <v>Delivered</v>
      </c>
      <c r="K3959" t="s">
        <v>6922</v>
      </c>
    </row>
    <row r="3960" spans="1:11">
      <c r="A3960" t="s">
        <v>10896</v>
      </c>
      <c r="B3960" t="s">
        <v>4630</v>
      </c>
      <c r="C3960" t="s">
        <v>6925</v>
      </c>
      <c r="D3960" s="1">
        <v>44981</v>
      </c>
      <c r="E3960" s="1">
        <v>44991</v>
      </c>
      <c r="F3960" s="1">
        <v>44991</v>
      </c>
      <c r="G3960">
        <v>33.85</v>
      </c>
      <c r="H39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60" t="str">
        <f>IFERROR(INDEX(Raw_orders!G:G, MATCH(shipments[[#This Row],[order_id]],Raw_orders!A:A, 0)), "Unknown")</f>
        <v>Central Europe</v>
      </c>
      <c r="J3960" t="str">
        <f>PROPER(shipments[[#This Row],[delivery_status]])</f>
        <v>Delivered</v>
      </c>
      <c r="K3960" t="s">
        <v>6922</v>
      </c>
    </row>
    <row r="3961" spans="1:11">
      <c r="A3961" t="s">
        <v>10897</v>
      </c>
      <c r="B3961" t="s">
        <v>4631</v>
      </c>
      <c r="C3961" t="s">
        <v>6935</v>
      </c>
      <c r="D3961" s="1">
        <v>45625</v>
      </c>
      <c r="E3961" s="1">
        <v>45632</v>
      </c>
      <c r="F3961" s="1"/>
      <c r="G3961">
        <v>22.29</v>
      </c>
      <c r="H39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961" t="str">
        <f>IFERROR(INDEX(Raw_orders!G:G, MATCH(shipments[[#This Row],[order_id]],Raw_orders!A:A, 0)), "Unknown")</f>
        <v>Central Europe</v>
      </c>
      <c r="J3961" t="str">
        <f>PROPER(shipments[[#This Row],[delivery_status]])</f>
        <v>In Transit</v>
      </c>
      <c r="K3961" t="s">
        <v>6958</v>
      </c>
    </row>
    <row r="3962" spans="1:11">
      <c r="A3962" t="s">
        <v>10898</v>
      </c>
      <c r="B3962" t="s">
        <v>4632</v>
      </c>
      <c r="C3962" t="s">
        <v>6925</v>
      </c>
      <c r="D3962" s="1">
        <v>45550</v>
      </c>
      <c r="E3962" s="1">
        <v>45552</v>
      </c>
      <c r="F3962" s="1">
        <v>45555</v>
      </c>
      <c r="G3962">
        <v>41.5</v>
      </c>
      <c r="H39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62" t="str">
        <f>IFERROR(INDEX(Raw_orders!G:G, MATCH(shipments[[#This Row],[order_id]],Raw_orders!A:A, 0)), "Unknown")</f>
        <v>Baltics</v>
      </c>
      <c r="J3962" t="str">
        <f>PROPER(shipments[[#This Row],[delivery_status]])</f>
        <v>Delivered</v>
      </c>
      <c r="K3962" t="s">
        <v>6929</v>
      </c>
    </row>
    <row r="3963" spans="1:11">
      <c r="A3963" t="s">
        <v>10899</v>
      </c>
      <c r="B3963" t="s">
        <v>4633</v>
      </c>
      <c r="C3963" t="s">
        <v>6956</v>
      </c>
      <c r="D3963" s="1">
        <v>45150</v>
      </c>
      <c r="E3963" s="1">
        <v>45153</v>
      </c>
      <c r="F3963" s="1">
        <v>45155</v>
      </c>
      <c r="G3963">
        <v>59.95</v>
      </c>
      <c r="H39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63" t="str">
        <f>IFERROR(INDEX(Raw_orders!G:G, MATCH(shipments[[#This Row],[order_id]],Raw_orders!A:A, 0)), "Unknown")</f>
        <v>Nordics</v>
      </c>
      <c r="J3963" t="str">
        <f>PROPER(shipments[[#This Row],[delivery_status]])</f>
        <v>Delivered</v>
      </c>
      <c r="K3963" t="s">
        <v>6922</v>
      </c>
    </row>
    <row r="3964" spans="1:11">
      <c r="A3964" t="s">
        <v>10900</v>
      </c>
      <c r="B3964" t="s">
        <v>4634</v>
      </c>
      <c r="C3964" t="s">
        <v>6935</v>
      </c>
      <c r="D3964" s="1">
        <v>45042</v>
      </c>
      <c r="E3964" s="1">
        <v>45047</v>
      </c>
      <c r="F3964" s="1">
        <v>45048</v>
      </c>
      <c r="G3964">
        <v>32.33</v>
      </c>
      <c r="H39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64" t="str">
        <f>IFERROR(INDEX(Raw_orders!G:G, MATCH(shipments[[#This Row],[order_id]],Raw_orders!A:A, 0)), "Unknown")</f>
        <v>Nordics</v>
      </c>
      <c r="J3964" t="str">
        <f>PROPER(shipments[[#This Row],[delivery_status]])</f>
        <v>Delivered</v>
      </c>
      <c r="K3964" t="s">
        <v>6929</v>
      </c>
    </row>
    <row r="3965" spans="1:11">
      <c r="A3965" t="s">
        <v>10901</v>
      </c>
      <c r="B3965" t="s">
        <v>4635</v>
      </c>
      <c r="C3965" t="s">
        <v>6925</v>
      </c>
      <c r="D3965" s="1">
        <v>44947</v>
      </c>
      <c r="E3965" s="1">
        <v>44949</v>
      </c>
      <c r="F3965" s="1"/>
      <c r="G3965">
        <v>50.49</v>
      </c>
      <c r="H39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965" t="str">
        <f>IFERROR(INDEX(Raw_orders!G:G, MATCH(shipments[[#This Row],[order_id]],Raw_orders!A:A, 0)), "Unknown")</f>
        <v>Baltics</v>
      </c>
      <c r="J3965" t="str">
        <f>PROPER(shipments[[#This Row],[delivery_status]])</f>
        <v>Cancelled</v>
      </c>
      <c r="K3965" t="s">
        <v>6979</v>
      </c>
    </row>
    <row r="3966" spans="1:11">
      <c r="A3966" t="s">
        <v>10902</v>
      </c>
      <c r="B3966" t="s">
        <v>4636</v>
      </c>
      <c r="C3966" t="s">
        <v>6940</v>
      </c>
      <c r="D3966" s="1">
        <v>45478</v>
      </c>
      <c r="E3966" s="1">
        <v>45485</v>
      </c>
      <c r="F3966" s="1">
        <v>45485</v>
      </c>
      <c r="G3966">
        <v>60.59</v>
      </c>
      <c r="H39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66" t="str">
        <f>IFERROR(INDEX(Raw_orders!G:G, MATCH(shipments[[#This Row],[order_id]],Raw_orders!A:A, 0)), "Unknown")</f>
        <v>Baltics</v>
      </c>
      <c r="J3966" t="str">
        <f>PROPER(shipments[[#This Row],[delivery_status]])</f>
        <v>Delivered</v>
      </c>
      <c r="K3966" t="s">
        <v>6929</v>
      </c>
    </row>
    <row r="3967" spans="1:11">
      <c r="A3967" t="s">
        <v>10903</v>
      </c>
      <c r="B3967" t="s">
        <v>4637</v>
      </c>
      <c r="C3967" t="s">
        <v>6940</v>
      </c>
      <c r="D3967" s="1">
        <v>45092</v>
      </c>
      <c r="E3967" s="1">
        <v>45095</v>
      </c>
      <c r="F3967" s="1">
        <v>45101</v>
      </c>
      <c r="G3967">
        <v>6.3</v>
      </c>
      <c r="H39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67" t="str">
        <f>IFERROR(INDEX(Raw_orders!G:G, MATCH(shipments[[#This Row],[order_id]],Raw_orders!A:A, 0)), "Unknown")</f>
        <v>Central Europe</v>
      </c>
      <c r="J3967" t="str">
        <f>PROPER(shipments[[#This Row],[delivery_status]])</f>
        <v>Delivered</v>
      </c>
      <c r="K3967" t="s">
        <v>6929</v>
      </c>
    </row>
    <row r="3968" spans="1:11">
      <c r="A3968" t="s">
        <v>10904</v>
      </c>
      <c r="B3968" t="s">
        <v>4638</v>
      </c>
      <c r="C3968" t="s">
        <v>6940</v>
      </c>
      <c r="D3968" s="1">
        <v>45424</v>
      </c>
      <c r="E3968" s="1">
        <v>45426</v>
      </c>
      <c r="F3968" s="1">
        <v>45429</v>
      </c>
      <c r="G3968">
        <v>21.28</v>
      </c>
      <c r="H39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68" t="str">
        <f>IFERROR(INDEX(Raw_orders!G:G, MATCH(shipments[[#This Row],[order_id]],Raw_orders!A:A, 0)), "Unknown")</f>
        <v>Nordics</v>
      </c>
      <c r="J3968" t="str">
        <f>PROPER(shipments[[#This Row],[delivery_status]])</f>
        <v>Delivered</v>
      </c>
      <c r="K3968" t="s">
        <v>6922</v>
      </c>
    </row>
    <row r="3969" spans="1:11">
      <c r="A3969" t="s">
        <v>10905</v>
      </c>
      <c r="B3969" t="s">
        <v>4639</v>
      </c>
      <c r="C3969" t="s">
        <v>6940</v>
      </c>
      <c r="D3969" s="1">
        <v>45205</v>
      </c>
      <c r="E3969" s="1">
        <v>45210</v>
      </c>
      <c r="F3969" s="1">
        <v>45218</v>
      </c>
      <c r="G3969">
        <v>43.35</v>
      </c>
      <c r="H39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69" t="str">
        <f>IFERROR(INDEX(Raw_orders!G:G, MATCH(shipments[[#This Row],[order_id]],Raw_orders!A:A, 0)), "Unknown")</f>
        <v>Baltics</v>
      </c>
      <c r="J3969" t="str">
        <f>PROPER(shipments[[#This Row],[delivery_status]])</f>
        <v>Delivered</v>
      </c>
      <c r="K3969" t="s">
        <v>6929</v>
      </c>
    </row>
    <row r="3970" spans="1:11">
      <c r="A3970" t="s">
        <v>10906</v>
      </c>
      <c r="B3970" t="s">
        <v>4640</v>
      </c>
      <c r="C3970" t="s">
        <v>6940</v>
      </c>
      <c r="D3970" s="1">
        <v>45567</v>
      </c>
      <c r="E3970" s="1">
        <v>45572</v>
      </c>
      <c r="F3970" s="1">
        <v>45572</v>
      </c>
      <c r="G3970">
        <v>19.989999999999998</v>
      </c>
      <c r="H39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70" t="str">
        <f>IFERROR(INDEX(Raw_orders!G:G, MATCH(shipments[[#This Row],[order_id]],Raw_orders!A:A, 0)), "Unknown")</f>
        <v>Nordics</v>
      </c>
      <c r="J3970" t="str">
        <f>PROPER(shipments[[#This Row],[delivery_status]])</f>
        <v>Delivered</v>
      </c>
      <c r="K3970" t="s">
        <v>6926</v>
      </c>
    </row>
    <row r="3971" spans="1:11">
      <c r="A3971" t="s">
        <v>10907</v>
      </c>
      <c r="B3971" t="s">
        <v>4641</v>
      </c>
      <c r="C3971" t="s">
        <v>6940</v>
      </c>
      <c r="D3971" s="1">
        <v>45594</v>
      </c>
      <c r="E3971" s="1">
        <v>45604</v>
      </c>
      <c r="F3971" s="1">
        <v>45609</v>
      </c>
      <c r="G3971">
        <v>25.8</v>
      </c>
      <c r="H39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71" t="str">
        <f>IFERROR(INDEX(Raw_orders!G:G, MATCH(shipments[[#This Row],[order_id]],Raw_orders!A:A, 0)), "Unknown")</f>
        <v>Nordics</v>
      </c>
      <c r="J3971" t="str">
        <f>PROPER(shipments[[#This Row],[delivery_status]])</f>
        <v>Delivered</v>
      </c>
      <c r="K3971" t="s">
        <v>6929</v>
      </c>
    </row>
    <row r="3972" spans="1:11">
      <c r="A3972" t="s">
        <v>10908</v>
      </c>
      <c r="B3972" t="s">
        <v>4642</v>
      </c>
      <c r="C3972" t="s">
        <v>6925</v>
      </c>
      <c r="D3972" s="1">
        <v>45212</v>
      </c>
      <c r="E3972" s="1">
        <v>45217</v>
      </c>
      <c r="F3972" s="1">
        <v>45221</v>
      </c>
      <c r="G3972">
        <v>61.86</v>
      </c>
      <c r="H39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72" t="str">
        <f>IFERROR(INDEX(Raw_orders!G:G, MATCH(shipments[[#This Row],[order_id]],Raw_orders!A:A, 0)), "Unknown")</f>
        <v>Central Europe</v>
      </c>
      <c r="J3972" t="str">
        <f>PROPER(shipments[[#This Row],[delivery_status]])</f>
        <v>Delivered</v>
      </c>
      <c r="K3972" t="s">
        <v>6926</v>
      </c>
    </row>
    <row r="3973" spans="1:11">
      <c r="A3973" t="s">
        <v>10909</v>
      </c>
      <c r="B3973" t="s">
        <v>4643</v>
      </c>
      <c r="C3973" t="s">
        <v>6925</v>
      </c>
      <c r="D3973" s="1">
        <v>45505</v>
      </c>
      <c r="E3973" s="1">
        <v>45510</v>
      </c>
      <c r="F3973" s="1">
        <v>45510</v>
      </c>
      <c r="G3973">
        <v>10.58</v>
      </c>
      <c r="H39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73" t="str">
        <f>IFERROR(INDEX(Raw_orders!G:G, MATCH(shipments[[#This Row],[order_id]],Raw_orders!A:A, 0)), "Unknown")</f>
        <v>Central Europe</v>
      </c>
      <c r="J3973" t="str">
        <f>PROPER(shipments[[#This Row],[delivery_status]])</f>
        <v>Delivered</v>
      </c>
      <c r="K3973" t="s">
        <v>6929</v>
      </c>
    </row>
    <row r="3974" spans="1:11">
      <c r="A3974" t="s">
        <v>10910</v>
      </c>
      <c r="B3974" t="s">
        <v>4644</v>
      </c>
      <c r="C3974" t="s">
        <v>6956</v>
      </c>
      <c r="D3974" s="1">
        <v>45115</v>
      </c>
      <c r="E3974" s="1">
        <v>45122</v>
      </c>
      <c r="F3974" s="1"/>
      <c r="G3974">
        <v>56.21</v>
      </c>
      <c r="H39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974" t="str">
        <f>IFERROR(INDEX(Raw_orders!G:G, MATCH(shipments[[#This Row],[order_id]],Raw_orders!A:A, 0)), "Unknown")</f>
        <v>Nordics</v>
      </c>
      <c r="J3974" t="str">
        <f>PROPER(shipments[[#This Row],[delivery_status]])</f>
        <v>Cancelled</v>
      </c>
      <c r="K3974" t="s">
        <v>6972</v>
      </c>
    </row>
    <row r="3975" spans="1:11">
      <c r="A3975" t="s">
        <v>10911</v>
      </c>
      <c r="B3975" t="s">
        <v>4645</v>
      </c>
      <c r="C3975" t="s">
        <v>6938</v>
      </c>
      <c r="D3975" s="1">
        <v>45291</v>
      </c>
      <c r="E3975" s="1">
        <v>45293</v>
      </c>
      <c r="F3975" s="1">
        <v>45293</v>
      </c>
      <c r="H39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75" t="str">
        <f>IFERROR(INDEX(Raw_orders!G:G, MATCH(shipments[[#This Row],[order_id]],Raw_orders!A:A, 0)), "Unknown")</f>
        <v>Baltics</v>
      </c>
      <c r="J3975" t="str">
        <f>PROPER(shipments[[#This Row],[delivery_status]])</f>
        <v>Delivered</v>
      </c>
      <c r="K3975" t="s">
        <v>6929</v>
      </c>
    </row>
    <row r="3976" spans="1:11">
      <c r="A3976" t="s">
        <v>10912</v>
      </c>
      <c r="B3976" t="s">
        <v>4646</v>
      </c>
      <c r="C3976" t="s">
        <v>6928</v>
      </c>
      <c r="D3976" s="1">
        <v>45093</v>
      </c>
      <c r="E3976" s="1">
        <v>45098</v>
      </c>
      <c r="F3976" s="1">
        <v>45097</v>
      </c>
      <c r="G3976">
        <v>49.91</v>
      </c>
      <c r="H39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76" t="str">
        <f>IFERROR(INDEX(Raw_orders!G:G, MATCH(shipments[[#This Row],[order_id]],Raw_orders!A:A, 0)), "Unknown")</f>
        <v>Nordics</v>
      </c>
      <c r="J3976" t="str">
        <f>PROPER(shipments[[#This Row],[delivery_status]])</f>
        <v>Delivered</v>
      </c>
      <c r="K3976" t="s">
        <v>6922</v>
      </c>
    </row>
    <row r="3977" spans="1:11">
      <c r="A3977" t="s">
        <v>10913</v>
      </c>
      <c r="B3977" t="s">
        <v>4647</v>
      </c>
      <c r="C3977" t="s">
        <v>6931</v>
      </c>
      <c r="D3977" s="1">
        <v>45410</v>
      </c>
      <c r="E3977" s="1">
        <v>45417</v>
      </c>
      <c r="F3977" s="1">
        <v>45424</v>
      </c>
      <c r="G3977">
        <v>23.43</v>
      </c>
      <c r="H39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77" t="str">
        <f>IFERROR(INDEX(Raw_orders!G:G, MATCH(shipments[[#This Row],[order_id]],Raw_orders!A:A, 0)), "Unknown")</f>
        <v>Central Europe</v>
      </c>
      <c r="J3977" t="str">
        <f>PROPER(shipments[[#This Row],[delivery_status]])</f>
        <v>Delivered</v>
      </c>
      <c r="K3977" t="s">
        <v>6922</v>
      </c>
    </row>
    <row r="3978" spans="1:11">
      <c r="A3978" t="s">
        <v>10914</v>
      </c>
      <c r="B3978" t="s">
        <v>4648</v>
      </c>
      <c r="C3978" t="s">
        <v>6938</v>
      </c>
      <c r="D3978" s="1">
        <v>45233</v>
      </c>
      <c r="E3978" s="1">
        <v>45243</v>
      </c>
      <c r="F3978" s="1"/>
      <c r="G3978">
        <v>10.74</v>
      </c>
      <c r="H39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3978" t="str">
        <f>IFERROR(INDEX(Raw_orders!G:G, MATCH(shipments[[#This Row],[order_id]],Raw_orders!A:A, 0)), "Unknown")</f>
        <v>Unknown</v>
      </c>
      <c r="J3978" t="str">
        <f>PROPER(shipments[[#This Row],[delivery_status]])</f>
        <v>In Transit</v>
      </c>
      <c r="K3978" t="s">
        <v>6946</v>
      </c>
    </row>
    <row r="3979" spans="1:11">
      <c r="A3979" t="s">
        <v>10915</v>
      </c>
      <c r="B3979" t="s">
        <v>4649</v>
      </c>
      <c r="C3979" t="s">
        <v>6931</v>
      </c>
      <c r="D3979" s="1">
        <v>45232</v>
      </c>
      <c r="E3979" s="1">
        <v>45235</v>
      </c>
      <c r="F3979" s="1">
        <v>45238</v>
      </c>
      <c r="H39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79" t="str">
        <f>IFERROR(INDEX(Raw_orders!G:G, MATCH(shipments[[#This Row],[order_id]],Raw_orders!A:A, 0)), "Unknown")</f>
        <v>Baltics</v>
      </c>
      <c r="J3979" t="str">
        <f>PROPER(shipments[[#This Row],[delivery_status]])</f>
        <v>Delivered</v>
      </c>
      <c r="K3979" t="s">
        <v>6922</v>
      </c>
    </row>
    <row r="3980" spans="1:11">
      <c r="A3980" t="s">
        <v>10916</v>
      </c>
      <c r="B3980" t="s">
        <v>4650</v>
      </c>
      <c r="C3980" t="s">
        <v>6925</v>
      </c>
      <c r="D3980" s="1">
        <v>45125</v>
      </c>
      <c r="E3980" s="1">
        <v>45128</v>
      </c>
      <c r="F3980" s="1">
        <v>45129</v>
      </c>
      <c r="G3980">
        <v>49.47</v>
      </c>
      <c r="H39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80" t="str">
        <f>IFERROR(INDEX(Raw_orders!G:G, MATCH(shipments[[#This Row],[order_id]],Raw_orders!A:A, 0)), "Unknown")</f>
        <v>Baltics</v>
      </c>
      <c r="J3980" t="str">
        <f>PROPER(shipments[[#This Row],[delivery_status]])</f>
        <v>Delivered</v>
      </c>
      <c r="K3980" t="s">
        <v>6926</v>
      </c>
    </row>
    <row r="3981" spans="1:11">
      <c r="A3981" t="s">
        <v>10917</v>
      </c>
      <c r="B3981" t="s">
        <v>4651</v>
      </c>
      <c r="C3981" t="s">
        <v>6949</v>
      </c>
      <c r="D3981" s="1">
        <v>45419</v>
      </c>
      <c r="E3981" s="1">
        <v>45422</v>
      </c>
      <c r="F3981" s="1">
        <v>45424</v>
      </c>
      <c r="G3981">
        <v>15.13</v>
      </c>
      <c r="H39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81" t="str">
        <f>IFERROR(INDEX(Raw_orders!G:G, MATCH(shipments[[#This Row],[order_id]],Raw_orders!A:A, 0)), "Unknown")</f>
        <v>Nordics</v>
      </c>
      <c r="J3981" t="str">
        <f>PROPER(shipments[[#This Row],[delivery_status]])</f>
        <v>Delivered</v>
      </c>
      <c r="K3981" t="s">
        <v>6929</v>
      </c>
    </row>
    <row r="3982" spans="1:11">
      <c r="A3982" t="s">
        <v>10918</v>
      </c>
      <c r="B3982" t="s">
        <v>4652</v>
      </c>
      <c r="C3982" t="s">
        <v>6928</v>
      </c>
      <c r="D3982" s="1">
        <v>45286</v>
      </c>
      <c r="E3982" s="1">
        <v>45293</v>
      </c>
      <c r="F3982" s="1"/>
      <c r="G3982">
        <v>49.65</v>
      </c>
      <c r="H39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982" t="str">
        <f>IFERROR(INDEX(Raw_orders!G:G, MATCH(shipments[[#This Row],[order_id]],Raw_orders!A:A, 0)), "Unknown")</f>
        <v>Central Europe</v>
      </c>
      <c r="J3982" t="str">
        <f>PROPER(shipments[[#This Row],[delivery_status]])</f>
        <v>Cancelled</v>
      </c>
      <c r="K3982" t="s">
        <v>6972</v>
      </c>
    </row>
    <row r="3983" spans="1:11">
      <c r="A3983" t="s">
        <v>10919</v>
      </c>
      <c r="B3983" t="s">
        <v>4653</v>
      </c>
      <c r="C3983" t="s">
        <v>6938</v>
      </c>
      <c r="D3983" s="1">
        <v>45044</v>
      </c>
      <c r="E3983" s="1">
        <v>45046</v>
      </c>
      <c r="F3983" s="1">
        <v>45049</v>
      </c>
      <c r="G3983">
        <v>34.950000000000003</v>
      </c>
      <c r="H39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83" t="str">
        <f>IFERROR(INDEX(Raw_orders!G:G, MATCH(shipments[[#This Row],[order_id]],Raw_orders!A:A, 0)), "Unknown")</f>
        <v>Central Europe</v>
      </c>
      <c r="J3983" t="str">
        <f>PROPER(shipments[[#This Row],[delivery_status]])</f>
        <v>Delivered</v>
      </c>
      <c r="K3983" t="s">
        <v>6926</v>
      </c>
    </row>
    <row r="3984" spans="1:11">
      <c r="A3984" t="s">
        <v>10920</v>
      </c>
      <c r="B3984" t="s">
        <v>4654</v>
      </c>
      <c r="C3984" t="s">
        <v>6935</v>
      </c>
      <c r="D3984" s="1">
        <v>45485</v>
      </c>
      <c r="E3984" s="1">
        <v>45488</v>
      </c>
      <c r="F3984" s="1">
        <v>45494</v>
      </c>
      <c r="G3984">
        <v>42.88</v>
      </c>
      <c r="H39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84" t="str">
        <f>IFERROR(INDEX(Raw_orders!G:G, MATCH(shipments[[#This Row],[order_id]],Raw_orders!A:A, 0)), "Unknown")</f>
        <v>Baltics</v>
      </c>
      <c r="J3984" t="str">
        <f>PROPER(shipments[[#This Row],[delivery_status]])</f>
        <v>Delivered</v>
      </c>
      <c r="K3984" t="s">
        <v>6926</v>
      </c>
    </row>
    <row r="3985" spans="1:11">
      <c r="A3985" t="s">
        <v>10921</v>
      </c>
      <c r="B3985" t="s">
        <v>4655</v>
      </c>
      <c r="C3985" t="s">
        <v>6935</v>
      </c>
      <c r="D3985" s="1">
        <v>45270</v>
      </c>
      <c r="E3985" s="1">
        <v>45275</v>
      </c>
      <c r="F3985" s="1">
        <v>45274</v>
      </c>
      <c r="G3985">
        <v>31.53</v>
      </c>
      <c r="H39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85" t="str">
        <f>IFERROR(INDEX(Raw_orders!G:G, MATCH(shipments[[#This Row],[order_id]],Raw_orders!A:A, 0)), "Unknown")</f>
        <v>Baltics</v>
      </c>
      <c r="J3985" t="str">
        <f>PROPER(shipments[[#This Row],[delivery_status]])</f>
        <v>Delivered</v>
      </c>
      <c r="K3985" t="s">
        <v>6926</v>
      </c>
    </row>
    <row r="3986" spans="1:11">
      <c r="A3986" t="s">
        <v>10922</v>
      </c>
      <c r="B3986" t="s">
        <v>4656</v>
      </c>
      <c r="C3986" t="s">
        <v>6940</v>
      </c>
      <c r="D3986" s="1">
        <v>45316</v>
      </c>
      <c r="E3986" s="1">
        <v>45326</v>
      </c>
      <c r="F3986" s="1">
        <v>45336</v>
      </c>
      <c r="G3986">
        <v>47.66</v>
      </c>
      <c r="H39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86" t="str">
        <f>IFERROR(INDEX(Raw_orders!G:G, MATCH(shipments[[#This Row],[order_id]],Raw_orders!A:A, 0)), "Unknown")</f>
        <v>Baltics</v>
      </c>
      <c r="J3986" t="str">
        <f>PROPER(shipments[[#This Row],[delivery_status]])</f>
        <v>Delivered</v>
      </c>
      <c r="K3986" t="s">
        <v>6929</v>
      </c>
    </row>
    <row r="3987" spans="1:11">
      <c r="A3987" t="s">
        <v>10923</v>
      </c>
      <c r="B3987" t="s">
        <v>4657</v>
      </c>
      <c r="C3987" t="s">
        <v>6935</v>
      </c>
      <c r="D3987" s="1">
        <v>45435</v>
      </c>
      <c r="E3987" s="1">
        <v>45445</v>
      </c>
      <c r="F3987" s="1">
        <v>45446</v>
      </c>
      <c r="G3987">
        <v>29.78</v>
      </c>
      <c r="H39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87" t="str">
        <f>IFERROR(INDEX(Raw_orders!G:G, MATCH(shipments[[#This Row],[order_id]],Raw_orders!A:A, 0)), "Unknown")</f>
        <v>Nordics</v>
      </c>
      <c r="J3987" t="str">
        <f>PROPER(shipments[[#This Row],[delivery_status]])</f>
        <v>Delivered</v>
      </c>
      <c r="K3987" t="s">
        <v>6922</v>
      </c>
    </row>
    <row r="3988" spans="1:11">
      <c r="A3988" t="s">
        <v>10924</v>
      </c>
      <c r="B3988" t="s">
        <v>4658</v>
      </c>
      <c r="C3988" t="s">
        <v>6935</v>
      </c>
      <c r="D3988" s="1">
        <v>45182</v>
      </c>
      <c r="E3988" s="1">
        <v>45187</v>
      </c>
      <c r="F3988" s="1">
        <v>45186</v>
      </c>
      <c r="G3988">
        <v>40.229999999999997</v>
      </c>
      <c r="H39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88" t="str">
        <f>IFERROR(INDEX(Raw_orders!G:G, MATCH(shipments[[#This Row],[order_id]],Raw_orders!A:A, 0)), "Unknown")</f>
        <v>Nordics</v>
      </c>
      <c r="J3988" t="str">
        <f>PROPER(shipments[[#This Row],[delivery_status]])</f>
        <v>Delivered</v>
      </c>
      <c r="K3988" t="s">
        <v>6926</v>
      </c>
    </row>
    <row r="3989" spans="1:11">
      <c r="A3989" t="s">
        <v>10925</v>
      </c>
      <c r="B3989" t="s">
        <v>4659</v>
      </c>
      <c r="C3989" t="s">
        <v>6925</v>
      </c>
      <c r="D3989" s="1">
        <v>45450</v>
      </c>
      <c r="E3989" s="1">
        <v>45452</v>
      </c>
      <c r="F3989" s="1">
        <v>45455</v>
      </c>
      <c r="G3989">
        <v>21.57</v>
      </c>
      <c r="H39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89" t="str">
        <f>IFERROR(INDEX(Raw_orders!G:G, MATCH(shipments[[#This Row],[order_id]],Raw_orders!A:A, 0)), "Unknown")</f>
        <v>Baltics</v>
      </c>
      <c r="J3989" t="str">
        <f>PROPER(shipments[[#This Row],[delivery_status]])</f>
        <v>Delivered</v>
      </c>
      <c r="K3989" t="s">
        <v>6929</v>
      </c>
    </row>
    <row r="3990" spans="1:11">
      <c r="A3990" t="s">
        <v>10926</v>
      </c>
      <c r="B3990" t="s">
        <v>4660</v>
      </c>
      <c r="C3990" t="s">
        <v>6956</v>
      </c>
      <c r="D3990" s="1">
        <v>45232</v>
      </c>
      <c r="E3990" s="1">
        <v>45242</v>
      </c>
      <c r="F3990" s="1">
        <v>45244</v>
      </c>
      <c r="G3990">
        <v>54.24</v>
      </c>
      <c r="H39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90" t="str">
        <f>IFERROR(INDEX(Raw_orders!G:G, MATCH(shipments[[#This Row],[order_id]],Raw_orders!A:A, 0)), "Unknown")</f>
        <v>Central Europe</v>
      </c>
      <c r="J3990" t="str">
        <f>PROPER(shipments[[#This Row],[delivery_status]])</f>
        <v>Delivered</v>
      </c>
      <c r="K3990" t="s">
        <v>6926</v>
      </c>
    </row>
    <row r="3991" spans="1:11">
      <c r="A3991" t="s">
        <v>10927</v>
      </c>
      <c r="B3991" t="s">
        <v>4661</v>
      </c>
      <c r="C3991" t="s">
        <v>6921</v>
      </c>
      <c r="D3991" s="1">
        <v>44951</v>
      </c>
      <c r="E3991" s="1">
        <v>44953</v>
      </c>
      <c r="F3991" s="1">
        <v>44958</v>
      </c>
      <c r="G3991">
        <v>41.2</v>
      </c>
      <c r="H39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91" t="str">
        <f>IFERROR(INDEX(Raw_orders!G:G, MATCH(shipments[[#This Row],[order_id]],Raw_orders!A:A, 0)), "Unknown")</f>
        <v>Central Europe</v>
      </c>
      <c r="J3991" t="str">
        <f>PROPER(shipments[[#This Row],[delivery_status]])</f>
        <v>Delivered</v>
      </c>
      <c r="K3991" t="s">
        <v>6926</v>
      </c>
    </row>
    <row r="3992" spans="1:11">
      <c r="A3992" t="s">
        <v>10928</v>
      </c>
      <c r="B3992" t="s">
        <v>4662</v>
      </c>
      <c r="C3992" t="s">
        <v>6940</v>
      </c>
      <c r="D3992" s="1">
        <v>45024</v>
      </c>
      <c r="E3992" s="1">
        <v>45029</v>
      </c>
      <c r="F3992" s="1">
        <v>45034</v>
      </c>
      <c r="G3992">
        <v>37</v>
      </c>
      <c r="H39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92" t="str">
        <f>IFERROR(INDEX(Raw_orders!G:G, MATCH(shipments[[#This Row],[order_id]],Raw_orders!A:A, 0)), "Unknown")</f>
        <v>Baltics</v>
      </c>
      <c r="J3992" t="str">
        <f>PROPER(shipments[[#This Row],[delivery_status]])</f>
        <v>Delivered</v>
      </c>
      <c r="K3992" t="s">
        <v>6922</v>
      </c>
    </row>
    <row r="3993" spans="1:11">
      <c r="A3993" t="s">
        <v>10929</v>
      </c>
      <c r="B3993" t="s">
        <v>4663</v>
      </c>
      <c r="C3993" t="s">
        <v>6940</v>
      </c>
      <c r="D3993" s="1">
        <v>45509</v>
      </c>
      <c r="E3993" s="1">
        <v>45519</v>
      </c>
      <c r="F3993" s="1">
        <v>45518</v>
      </c>
      <c r="G3993">
        <v>18.82</v>
      </c>
      <c r="H39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93" t="str">
        <f>IFERROR(INDEX(Raw_orders!G:G, MATCH(shipments[[#This Row],[order_id]],Raw_orders!A:A, 0)), "Unknown")</f>
        <v>Nordics</v>
      </c>
      <c r="J3993" t="str">
        <f>PROPER(shipments[[#This Row],[delivery_status]])</f>
        <v>Delivered</v>
      </c>
      <c r="K3993" t="s">
        <v>6926</v>
      </c>
    </row>
    <row r="3994" spans="1:11">
      <c r="A3994" t="s">
        <v>10930</v>
      </c>
      <c r="B3994" t="s">
        <v>4664</v>
      </c>
      <c r="C3994" t="s">
        <v>6925</v>
      </c>
      <c r="D3994" s="1">
        <v>45524</v>
      </c>
      <c r="E3994" s="1">
        <v>45534</v>
      </c>
      <c r="F3994" s="1">
        <v>45542</v>
      </c>
      <c r="G3994">
        <v>4.72</v>
      </c>
      <c r="H39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94" t="str">
        <f>IFERROR(INDEX(Raw_orders!G:G, MATCH(shipments[[#This Row],[order_id]],Raw_orders!A:A, 0)), "Unknown")</f>
        <v>Baltics</v>
      </c>
      <c r="J3994" t="str">
        <f>PROPER(shipments[[#This Row],[delivery_status]])</f>
        <v>Delivered</v>
      </c>
      <c r="K3994" t="s">
        <v>6922</v>
      </c>
    </row>
    <row r="3995" spans="1:11">
      <c r="A3995" t="s">
        <v>10931</v>
      </c>
      <c r="B3995" t="s">
        <v>4665</v>
      </c>
      <c r="C3995" t="s">
        <v>6938</v>
      </c>
      <c r="D3995" s="1">
        <v>45098</v>
      </c>
      <c r="E3995" s="1">
        <v>45103</v>
      </c>
      <c r="F3995" s="1">
        <v>45116</v>
      </c>
      <c r="G3995">
        <v>8.0500000000000007</v>
      </c>
      <c r="H39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3995" t="str">
        <f>IFERROR(INDEX(Raw_orders!G:G, MATCH(shipments[[#This Row],[order_id]],Raw_orders!A:A, 0)), "Unknown")</f>
        <v>Baltics</v>
      </c>
      <c r="J3995" t="str">
        <f>PROPER(shipments[[#This Row],[delivery_status]])</f>
        <v>Delivered</v>
      </c>
      <c r="K3995" t="s">
        <v>6922</v>
      </c>
    </row>
    <row r="3996" spans="1:11">
      <c r="A3996" t="s">
        <v>10932</v>
      </c>
      <c r="B3996" t="s">
        <v>4665</v>
      </c>
      <c r="C3996" t="s">
        <v>6935</v>
      </c>
      <c r="D3996" s="1">
        <v>45101</v>
      </c>
      <c r="E3996" s="1">
        <v>45106</v>
      </c>
      <c r="F3996" s="1"/>
      <c r="G3996">
        <v>10.63</v>
      </c>
      <c r="H39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996" t="str">
        <f>IFERROR(INDEX(Raw_orders!G:G, MATCH(shipments[[#This Row],[order_id]],Raw_orders!A:A, 0)), "Unknown")</f>
        <v>Baltics</v>
      </c>
      <c r="J3996" t="str">
        <f>PROPER(shipments[[#This Row],[delivery_status]])</f>
        <v>Cancelled</v>
      </c>
      <c r="K3996" t="s">
        <v>6963</v>
      </c>
    </row>
    <row r="3997" spans="1:11">
      <c r="A3997" t="s">
        <v>10933</v>
      </c>
      <c r="B3997" t="s">
        <v>4666</v>
      </c>
      <c r="C3997" t="s">
        <v>6925</v>
      </c>
      <c r="D3997" s="1">
        <v>45571</v>
      </c>
      <c r="E3997" s="1">
        <v>45573</v>
      </c>
      <c r="F3997" s="1">
        <v>45573</v>
      </c>
      <c r="G3997">
        <v>24.42</v>
      </c>
      <c r="H39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97" t="str">
        <f>IFERROR(INDEX(Raw_orders!G:G, MATCH(shipments[[#This Row],[order_id]],Raw_orders!A:A, 0)), "Unknown")</f>
        <v>Central Europe</v>
      </c>
      <c r="J3997" t="str">
        <f>PROPER(shipments[[#This Row],[delivery_status]])</f>
        <v>Delivered</v>
      </c>
      <c r="K3997" t="s">
        <v>6929</v>
      </c>
    </row>
    <row r="3998" spans="1:11">
      <c r="A3998" t="s">
        <v>10934</v>
      </c>
      <c r="B3998" t="s">
        <v>4667</v>
      </c>
      <c r="C3998" t="s">
        <v>6925</v>
      </c>
      <c r="D3998" s="1">
        <v>45343</v>
      </c>
      <c r="E3998" s="1">
        <v>45350</v>
      </c>
      <c r="F3998" s="1"/>
      <c r="G3998">
        <v>40.56</v>
      </c>
      <c r="H39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3998" t="str">
        <f>IFERROR(INDEX(Raw_orders!G:G, MATCH(shipments[[#This Row],[order_id]],Raw_orders!A:A, 0)), "Unknown")</f>
        <v>Central Europe</v>
      </c>
      <c r="J3998" t="str">
        <f>PROPER(shipments[[#This Row],[delivery_status]])</f>
        <v>Cancelled</v>
      </c>
      <c r="K3998" t="s">
        <v>6963</v>
      </c>
    </row>
    <row r="3999" spans="1:11">
      <c r="A3999" t="s">
        <v>10935</v>
      </c>
      <c r="B3999" t="s">
        <v>4668</v>
      </c>
      <c r="C3999" t="s">
        <v>6940</v>
      </c>
      <c r="D3999" s="1">
        <v>45053</v>
      </c>
      <c r="E3999" s="1">
        <v>45056</v>
      </c>
      <c r="F3999" s="1">
        <v>45056</v>
      </c>
      <c r="G3999">
        <v>18.510000000000002</v>
      </c>
      <c r="H39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3999" t="str">
        <f>IFERROR(INDEX(Raw_orders!G:G, MATCH(shipments[[#This Row],[order_id]],Raw_orders!A:A, 0)), "Unknown")</f>
        <v>Baltics</v>
      </c>
      <c r="J3999" t="str">
        <f>PROPER(shipments[[#This Row],[delivery_status]])</f>
        <v>Delivered</v>
      </c>
      <c r="K3999" t="s">
        <v>6929</v>
      </c>
    </row>
    <row r="4000" spans="1:11">
      <c r="A4000" t="s">
        <v>10936</v>
      </c>
      <c r="B4000" t="s">
        <v>4669</v>
      </c>
      <c r="C4000" t="s">
        <v>6935</v>
      </c>
      <c r="D4000" s="1">
        <v>45018</v>
      </c>
      <c r="E4000" s="1">
        <v>45020</v>
      </c>
      <c r="F4000" s="1">
        <v>45020</v>
      </c>
      <c r="G4000">
        <v>41.09</v>
      </c>
      <c r="H40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000" t="str">
        <f>IFERROR(INDEX(Raw_orders!G:G, MATCH(shipments[[#This Row],[order_id]],Raw_orders!A:A, 0)), "Unknown")</f>
        <v>Baltics</v>
      </c>
      <c r="J4000" t="str">
        <f>PROPER(shipments[[#This Row],[delivery_status]])</f>
        <v>Delivered</v>
      </c>
      <c r="K4000" t="s">
        <v>6926</v>
      </c>
    </row>
    <row r="4001" spans="1:11">
      <c r="A4001" t="s">
        <v>10937</v>
      </c>
      <c r="B4001" t="s">
        <v>4670</v>
      </c>
      <c r="C4001" t="s">
        <v>6931</v>
      </c>
      <c r="D4001" s="1">
        <v>45137</v>
      </c>
      <c r="E4001" s="1">
        <v>45147</v>
      </c>
      <c r="F4001" s="1"/>
      <c r="G4001">
        <v>58.05</v>
      </c>
      <c r="H40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001" t="str">
        <f>IFERROR(INDEX(Raw_orders!G:G, MATCH(shipments[[#This Row],[order_id]],Raw_orders!A:A, 0)), "Unknown")</f>
        <v>Central Europe</v>
      </c>
      <c r="J4001" t="str">
        <f>PROPER(shipments[[#This Row],[delivery_status]])</f>
        <v>In Transit</v>
      </c>
      <c r="K4001" t="s">
        <v>6946</v>
      </c>
    </row>
    <row r="4002" spans="1:11">
      <c r="A4002" t="s">
        <v>10938</v>
      </c>
      <c r="B4002" t="s">
        <v>4671</v>
      </c>
      <c r="C4002" t="s">
        <v>6928</v>
      </c>
      <c r="D4002" s="1">
        <v>45452</v>
      </c>
      <c r="E4002" s="1">
        <v>45457</v>
      </c>
      <c r="F4002" s="1"/>
      <c r="G4002">
        <v>13.51</v>
      </c>
      <c r="H40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002" t="str">
        <f>IFERROR(INDEX(Raw_orders!G:G, MATCH(shipments[[#This Row],[order_id]],Raw_orders!A:A, 0)), "Unknown")</f>
        <v>Nordics</v>
      </c>
      <c r="J4002" t="str">
        <f>PROPER(shipments[[#This Row],[delivery_status]])</f>
        <v>Cancelled</v>
      </c>
      <c r="K4002" t="s">
        <v>6979</v>
      </c>
    </row>
    <row r="4003" spans="1:11">
      <c r="A4003" t="s">
        <v>10939</v>
      </c>
      <c r="B4003" t="s">
        <v>4672</v>
      </c>
      <c r="C4003" t="s">
        <v>6935</v>
      </c>
      <c r="D4003" s="1">
        <v>45574</v>
      </c>
      <c r="E4003" s="1">
        <v>45576</v>
      </c>
      <c r="F4003" s="1">
        <v>45581</v>
      </c>
      <c r="G4003">
        <v>62</v>
      </c>
      <c r="H40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03" t="str">
        <f>IFERROR(INDEX(Raw_orders!G:G, MATCH(shipments[[#This Row],[order_id]],Raw_orders!A:A, 0)), "Unknown")</f>
        <v>Central Europe</v>
      </c>
      <c r="J4003" t="str">
        <f>PROPER(shipments[[#This Row],[delivery_status]])</f>
        <v>Delivered</v>
      </c>
      <c r="K4003" t="s">
        <v>6922</v>
      </c>
    </row>
    <row r="4004" spans="1:11">
      <c r="A4004" t="s">
        <v>10940</v>
      </c>
      <c r="B4004" t="s">
        <v>4673</v>
      </c>
      <c r="C4004" t="s">
        <v>6940</v>
      </c>
      <c r="D4004" s="1">
        <v>45476</v>
      </c>
      <c r="E4004" s="1">
        <v>45483</v>
      </c>
      <c r="F4004" s="1">
        <v>45482</v>
      </c>
      <c r="G4004">
        <v>30.75</v>
      </c>
      <c r="H40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004" t="str">
        <f>IFERROR(INDEX(Raw_orders!G:G, MATCH(shipments[[#This Row],[order_id]],Raw_orders!A:A, 0)), "Unknown")</f>
        <v>Nordics</v>
      </c>
      <c r="J4004" t="str">
        <f>PROPER(shipments[[#This Row],[delivery_status]])</f>
        <v>Delivered</v>
      </c>
      <c r="K4004" t="s">
        <v>6926</v>
      </c>
    </row>
    <row r="4005" spans="1:11">
      <c r="A4005" t="s">
        <v>10941</v>
      </c>
      <c r="B4005" t="s">
        <v>4674</v>
      </c>
      <c r="C4005" t="s">
        <v>6925</v>
      </c>
      <c r="D4005" s="1">
        <v>45383</v>
      </c>
      <c r="E4005" s="1">
        <v>45386</v>
      </c>
      <c r="F4005" s="1">
        <v>45395</v>
      </c>
      <c r="G4005">
        <v>55.21</v>
      </c>
      <c r="H40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05" t="str">
        <f>IFERROR(INDEX(Raw_orders!G:G, MATCH(shipments[[#This Row],[order_id]],Raw_orders!A:A, 0)), "Unknown")</f>
        <v>Nordics</v>
      </c>
      <c r="J4005" t="str">
        <f>PROPER(shipments[[#This Row],[delivery_status]])</f>
        <v>Delivered</v>
      </c>
      <c r="K4005" t="s">
        <v>6922</v>
      </c>
    </row>
    <row r="4006" spans="1:11">
      <c r="A4006" t="s">
        <v>10942</v>
      </c>
      <c r="B4006" t="s">
        <v>4675</v>
      </c>
      <c r="C4006" t="s">
        <v>6956</v>
      </c>
      <c r="D4006" s="1">
        <v>45325</v>
      </c>
      <c r="E4006" s="1">
        <v>45330</v>
      </c>
      <c r="F4006" s="1"/>
      <c r="G4006">
        <v>9.44</v>
      </c>
      <c r="H40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006" t="str">
        <f>IFERROR(INDEX(Raw_orders!G:G, MATCH(shipments[[#This Row],[order_id]],Raw_orders!A:A, 0)), "Unknown")</f>
        <v>Central Europe</v>
      </c>
      <c r="J4006" t="str">
        <f>PROPER(shipments[[#This Row],[delivery_status]])</f>
        <v>Cancelled</v>
      </c>
      <c r="K4006" t="s">
        <v>6963</v>
      </c>
    </row>
    <row r="4007" spans="1:11">
      <c r="A4007" t="s">
        <v>10943</v>
      </c>
      <c r="B4007" t="s">
        <v>4676</v>
      </c>
      <c r="C4007" t="s">
        <v>6956</v>
      </c>
      <c r="D4007" s="1">
        <v>45123</v>
      </c>
      <c r="E4007" s="1">
        <v>45130</v>
      </c>
      <c r="F4007" s="1"/>
      <c r="G4007">
        <v>46.61</v>
      </c>
      <c r="H40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007" t="str">
        <f>IFERROR(INDEX(Raw_orders!G:G, MATCH(shipments[[#This Row],[order_id]],Raw_orders!A:A, 0)), "Unknown")</f>
        <v>Central Europe</v>
      </c>
      <c r="J4007" t="str">
        <f>PROPER(shipments[[#This Row],[delivery_status]])</f>
        <v>Cancelled</v>
      </c>
      <c r="K4007" t="s">
        <v>6972</v>
      </c>
    </row>
    <row r="4008" spans="1:11">
      <c r="A4008" t="s">
        <v>10944</v>
      </c>
      <c r="B4008" t="s">
        <v>4677</v>
      </c>
      <c r="C4008" t="s">
        <v>6925</v>
      </c>
      <c r="D4008" s="1">
        <v>44963</v>
      </c>
      <c r="E4008" s="1">
        <v>44966</v>
      </c>
      <c r="F4008" s="1">
        <v>44966</v>
      </c>
      <c r="G4008">
        <v>6.5</v>
      </c>
      <c r="H40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008" t="str">
        <f>IFERROR(INDEX(Raw_orders!G:G, MATCH(shipments[[#This Row],[order_id]],Raw_orders!A:A, 0)), "Unknown")</f>
        <v>Central Europe</v>
      </c>
      <c r="J4008" t="str">
        <f>PROPER(shipments[[#This Row],[delivery_status]])</f>
        <v>Delivered</v>
      </c>
      <c r="K4008" t="s">
        <v>6922</v>
      </c>
    </row>
    <row r="4009" spans="1:11">
      <c r="A4009" t="s">
        <v>10945</v>
      </c>
      <c r="B4009" t="s">
        <v>4678</v>
      </c>
      <c r="C4009" t="s">
        <v>6921</v>
      </c>
      <c r="D4009" s="1">
        <v>45181</v>
      </c>
      <c r="E4009" s="1">
        <v>45184</v>
      </c>
      <c r="F4009" s="1">
        <v>45189</v>
      </c>
      <c r="G4009">
        <v>11.36</v>
      </c>
      <c r="H40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09" t="str">
        <f>IFERROR(INDEX(Raw_orders!G:G, MATCH(shipments[[#This Row],[order_id]],Raw_orders!A:A, 0)), "Unknown")</f>
        <v>Nordics</v>
      </c>
      <c r="J4009" t="str">
        <f>PROPER(shipments[[#This Row],[delivery_status]])</f>
        <v>Delivered</v>
      </c>
      <c r="K4009" t="s">
        <v>6926</v>
      </c>
    </row>
    <row r="4010" spans="1:11">
      <c r="A4010" t="s">
        <v>10946</v>
      </c>
      <c r="B4010" t="s">
        <v>4679</v>
      </c>
      <c r="C4010" t="s">
        <v>6940</v>
      </c>
      <c r="D4010" s="1">
        <v>45208</v>
      </c>
      <c r="E4010" s="1">
        <v>45213</v>
      </c>
      <c r="F4010" s="1">
        <v>45215</v>
      </c>
      <c r="G4010">
        <v>47.35</v>
      </c>
      <c r="H40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10" t="str">
        <f>IFERROR(INDEX(Raw_orders!G:G, MATCH(shipments[[#This Row],[order_id]],Raw_orders!A:A, 0)), "Unknown")</f>
        <v>Nordics</v>
      </c>
      <c r="J4010" t="str">
        <f>PROPER(shipments[[#This Row],[delivery_status]])</f>
        <v>Delivered</v>
      </c>
      <c r="K4010" t="s">
        <v>6922</v>
      </c>
    </row>
    <row r="4011" spans="1:11">
      <c r="A4011" t="s">
        <v>10947</v>
      </c>
      <c r="B4011" t="s">
        <v>4680</v>
      </c>
      <c r="C4011" t="s">
        <v>6921</v>
      </c>
      <c r="D4011" s="1">
        <v>45608</v>
      </c>
      <c r="E4011" s="1">
        <v>45615</v>
      </c>
      <c r="F4011" s="1">
        <v>45624</v>
      </c>
      <c r="G4011">
        <v>33.67</v>
      </c>
      <c r="H40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11" t="str">
        <f>IFERROR(INDEX(Raw_orders!G:G, MATCH(shipments[[#This Row],[order_id]],Raw_orders!A:A, 0)), "Unknown")</f>
        <v>Nordics</v>
      </c>
      <c r="J4011" t="str">
        <f>PROPER(shipments[[#This Row],[delivery_status]])</f>
        <v>Delivered</v>
      </c>
      <c r="K4011" t="s">
        <v>6926</v>
      </c>
    </row>
    <row r="4012" spans="1:11">
      <c r="A4012" t="s">
        <v>10948</v>
      </c>
      <c r="B4012" t="s">
        <v>4681</v>
      </c>
      <c r="C4012" t="s">
        <v>6956</v>
      </c>
      <c r="D4012" s="1">
        <v>45571</v>
      </c>
      <c r="E4012" s="1">
        <v>45581</v>
      </c>
      <c r="F4012" s="1">
        <v>45585</v>
      </c>
      <c r="G4012">
        <v>28</v>
      </c>
      <c r="H40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12" t="str">
        <f>IFERROR(INDEX(Raw_orders!G:G, MATCH(shipments[[#This Row],[order_id]],Raw_orders!A:A, 0)), "Unknown")</f>
        <v>Baltics</v>
      </c>
      <c r="J4012" t="str">
        <f>PROPER(shipments[[#This Row],[delivery_status]])</f>
        <v>Delivered</v>
      </c>
      <c r="K4012" t="s">
        <v>6922</v>
      </c>
    </row>
    <row r="4013" spans="1:11">
      <c r="A4013" t="s">
        <v>10949</v>
      </c>
      <c r="B4013" t="s">
        <v>4682</v>
      </c>
      <c r="C4013" t="s">
        <v>6940</v>
      </c>
      <c r="D4013" s="1">
        <v>45103</v>
      </c>
      <c r="E4013" s="1">
        <v>45105</v>
      </c>
      <c r="F4013" s="1">
        <v>45107</v>
      </c>
      <c r="G4013">
        <v>62.74</v>
      </c>
      <c r="H40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13" t="str">
        <f>IFERROR(INDEX(Raw_orders!G:G, MATCH(shipments[[#This Row],[order_id]],Raw_orders!A:A, 0)), "Unknown")</f>
        <v>Central Europe</v>
      </c>
      <c r="J4013" t="str">
        <f>PROPER(shipments[[#This Row],[delivery_status]])</f>
        <v>Delivered</v>
      </c>
      <c r="K4013" t="s">
        <v>6926</v>
      </c>
    </row>
    <row r="4014" spans="1:11">
      <c r="A4014" t="s">
        <v>10950</v>
      </c>
      <c r="B4014" t="s">
        <v>4683</v>
      </c>
      <c r="C4014" t="s">
        <v>6931</v>
      </c>
      <c r="D4014" s="1">
        <v>45221</v>
      </c>
      <c r="E4014" s="1">
        <v>45231</v>
      </c>
      <c r="F4014" s="1">
        <v>45231</v>
      </c>
      <c r="G4014">
        <v>24.61</v>
      </c>
      <c r="H40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014" t="str">
        <f>IFERROR(INDEX(Raw_orders!G:G, MATCH(shipments[[#This Row],[order_id]],Raw_orders!A:A, 0)), "Unknown")</f>
        <v>Nordics</v>
      </c>
      <c r="J4014" t="str">
        <f>PROPER(shipments[[#This Row],[delivery_status]])</f>
        <v>Delivered</v>
      </c>
      <c r="K4014" t="s">
        <v>6922</v>
      </c>
    </row>
    <row r="4015" spans="1:11">
      <c r="A4015" t="s">
        <v>10951</v>
      </c>
      <c r="B4015" t="s">
        <v>4684</v>
      </c>
      <c r="C4015" t="s">
        <v>6931</v>
      </c>
      <c r="D4015" s="1">
        <v>45263</v>
      </c>
      <c r="E4015" s="1">
        <v>45266</v>
      </c>
      <c r="F4015" s="1">
        <v>45266</v>
      </c>
      <c r="G4015">
        <v>28.12</v>
      </c>
      <c r="H40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015" t="str">
        <f>IFERROR(INDEX(Raw_orders!G:G, MATCH(shipments[[#This Row],[order_id]],Raw_orders!A:A, 0)), "Unknown")</f>
        <v>Nordics</v>
      </c>
      <c r="J4015" t="str">
        <f>PROPER(shipments[[#This Row],[delivery_status]])</f>
        <v>Delivered</v>
      </c>
      <c r="K4015" t="s">
        <v>6929</v>
      </c>
    </row>
    <row r="4016" spans="1:11">
      <c r="A4016" t="s">
        <v>10952</v>
      </c>
      <c r="B4016" t="s">
        <v>4685</v>
      </c>
      <c r="C4016" t="s">
        <v>6940</v>
      </c>
      <c r="D4016" s="1">
        <v>45527</v>
      </c>
      <c r="E4016" s="1">
        <v>45532</v>
      </c>
      <c r="F4016" s="1">
        <v>45540</v>
      </c>
      <c r="G4016">
        <v>61.6</v>
      </c>
      <c r="H40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16" t="str">
        <f>IFERROR(INDEX(Raw_orders!G:G, MATCH(shipments[[#This Row],[order_id]],Raw_orders!A:A, 0)), "Unknown")</f>
        <v>Central Europe</v>
      </c>
      <c r="J4016" t="str">
        <f>PROPER(shipments[[#This Row],[delivery_status]])</f>
        <v>Delivered</v>
      </c>
      <c r="K4016" t="s">
        <v>6929</v>
      </c>
    </row>
    <row r="4017" spans="1:11">
      <c r="A4017" t="s">
        <v>10953</v>
      </c>
      <c r="B4017" t="s">
        <v>4686</v>
      </c>
      <c r="C4017" t="s">
        <v>6956</v>
      </c>
      <c r="D4017" s="1">
        <v>45328</v>
      </c>
      <c r="E4017" s="1">
        <v>45331</v>
      </c>
      <c r="F4017" s="1">
        <v>45332</v>
      </c>
      <c r="G4017">
        <v>50.93</v>
      </c>
      <c r="H40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17" t="str">
        <f>IFERROR(INDEX(Raw_orders!G:G, MATCH(shipments[[#This Row],[order_id]],Raw_orders!A:A, 0)), "Unknown")</f>
        <v>Central Europe</v>
      </c>
      <c r="J4017" t="str">
        <f>PROPER(shipments[[#This Row],[delivery_status]])</f>
        <v>Delivered</v>
      </c>
      <c r="K4017" t="s">
        <v>6926</v>
      </c>
    </row>
    <row r="4018" spans="1:11">
      <c r="A4018" t="s">
        <v>10954</v>
      </c>
      <c r="B4018" t="s">
        <v>4687</v>
      </c>
      <c r="C4018" t="s">
        <v>6938</v>
      </c>
      <c r="D4018" s="1">
        <v>45047</v>
      </c>
      <c r="E4018" s="1">
        <v>45049</v>
      </c>
      <c r="F4018" s="1">
        <v>45049</v>
      </c>
      <c r="G4018">
        <v>61.85</v>
      </c>
      <c r="H40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018" t="str">
        <f>IFERROR(INDEX(Raw_orders!G:G, MATCH(shipments[[#This Row],[order_id]],Raw_orders!A:A, 0)), "Unknown")</f>
        <v>Baltics</v>
      </c>
      <c r="J4018" t="str">
        <f>PROPER(shipments[[#This Row],[delivery_status]])</f>
        <v>Delivered</v>
      </c>
      <c r="K4018" t="s">
        <v>6926</v>
      </c>
    </row>
    <row r="4019" spans="1:11">
      <c r="A4019" t="s">
        <v>10955</v>
      </c>
      <c r="B4019" t="s">
        <v>4688</v>
      </c>
      <c r="C4019" t="s">
        <v>6925</v>
      </c>
      <c r="D4019" s="1">
        <v>45369</v>
      </c>
      <c r="E4019" s="1">
        <v>45371</v>
      </c>
      <c r="F4019" s="1">
        <v>45374</v>
      </c>
      <c r="G4019">
        <v>13.68</v>
      </c>
      <c r="H40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19" t="str">
        <f>IFERROR(INDEX(Raw_orders!G:G, MATCH(shipments[[#This Row],[order_id]],Raw_orders!A:A, 0)), "Unknown")</f>
        <v>Central Europe</v>
      </c>
      <c r="J4019" t="str">
        <f>PROPER(shipments[[#This Row],[delivery_status]])</f>
        <v>Delivered</v>
      </c>
      <c r="K4019" t="s">
        <v>6929</v>
      </c>
    </row>
    <row r="4020" spans="1:11">
      <c r="A4020" t="s">
        <v>10956</v>
      </c>
      <c r="B4020" t="s">
        <v>4689</v>
      </c>
      <c r="C4020" t="s">
        <v>6925</v>
      </c>
      <c r="D4020" s="1">
        <v>45372</v>
      </c>
      <c r="E4020" s="1">
        <v>45375</v>
      </c>
      <c r="F4020" s="1">
        <v>45377</v>
      </c>
      <c r="G4020">
        <v>8.8000000000000007</v>
      </c>
      <c r="H40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20" t="str">
        <f>IFERROR(INDEX(Raw_orders!G:G, MATCH(shipments[[#This Row],[order_id]],Raw_orders!A:A, 0)), "Unknown")</f>
        <v>Central Europe</v>
      </c>
      <c r="J4020" t="str">
        <f>PROPER(shipments[[#This Row],[delivery_status]])</f>
        <v>Delivered</v>
      </c>
      <c r="K4020" t="s">
        <v>6922</v>
      </c>
    </row>
    <row r="4021" spans="1:11">
      <c r="A4021" t="s">
        <v>10957</v>
      </c>
      <c r="B4021" t="s">
        <v>4690</v>
      </c>
      <c r="C4021" t="s">
        <v>6931</v>
      </c>
      <c r="D4021" s="1">
        <v>45059</v>
      </c>
      <c r="E4021" s="1">
        <v>45061</v>
      </c>
      <c r="F4021" s="1">
        <v>45061</v>
      </c>
      <c r="G4021">
        <v>60.53</v>
      </c>
      <c r="H40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021" t="str">
        <f>IFERROR(INDEX(Raw_orders!G:G, MATCH(shipments[[#This Row],[order_id]],Raw_orders!A:A, 0)), "Unknown")</f>
        <v>Nordics</v>
      </c>
      <c r="J4021" t="str">
        <f>PROPER(shipments[[#This Row],[delivery_status]])</f>
        <v>Delivered</v>
      </c>
      <c r="K4021" t="s">
        <v>6926</v>
      </c>
    </row>
    <row r="4022" spans="1:11">
      <c r="A4022" t="s">
        <v>10958</v>
      </c>
      <c r="B4022" t="s">
        <v>4691</v>
      </c>
      <c r="C4022" t="s">
        <v>6928</v>
      </c>
      <c r="D4022" s="1">
        <v>45251</v>
      </c>
      <c r="E4022" s="1">
        <v>45261</v>
      </c>
      <c r="F4022" s="1">
        <v>45272</v>
      </c>
      <c r="G4022">
        <v>17.510000000000002</v>
      </c>
      <c r="H40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22" t="str">
        <f>IFERROR(INDEX(Raw_orders!G:G, MATCH(shipments[[#This Row],[order_id]],Raw_orders!A:A, 0)), "Unknown")</f>
        <v>Baltics</v>
      </c>
      <c r="J4022" t="str">
        <f>PROPER(shipments[[#This Row],[delivery_status]])</f>
        <v>Delivered</v>
      </c>
      <c r="K4022" t="s">
        <v>6926</v>
      </c>
    </row>
    <row r="4023" spans="1:11">
      <c r="A4023" t="s">
        <v>10959</v>
      </c>
      <c r="B4023" t="s">
        <v>4692</v>
      </c>
      <c r="C4023" t="s">
        <v>6940</v>
      </c>
      <c r="D4023" s="1">
        <v>45204</v>
      </c>
      <c r="E4023" s="1">
        <v>45207</v>
      </c>
      <c r="F4023" s="1">
        <v>45209</v>
      </c>
      <c r="G4023">
        <v>11.91</v>
      </c>
      <c r="H40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23" t="str">
        <f>IFERROR(INDEX(Raw_orders!G:G, MATCH(shipments[[#This Row],[order_id]],Raw_orders!A:A, 0)), "Unknown")</f>
        <v>Baltics</v>
      </c>
      <c r="J4023" t="str">
        <f>PROPER(shipments[[#This Row],[delivery_status]])</f>
        <v>Delivered</v>
      </c>
      <c r="K4023" t="s">
        <v>6922</v>
      </c>
    </row>
    <row r="4024" spans="1:11">
      <c r="A4024" t="s">
        <v>10960</v>
      </c>
      <c r="B4024" t="s">
        <v>4692</v>
      </c>
      <c r="C4024" t="s">
        <v>6956</v>
      </c>
      <c r="D4024" s="1">
        <v>45204</v>
      </c>
      <c r="E4024" s="1">
        <v>45211</v>
      </c>
      <c r="F4024" s="1"/>
      <c r="G4024">
        <v>13.13</v>
      </c>
      <c r="H40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024" t="str">
        <f>IFERROR(INDEX(Raw_orders!G:G, MATCH(shipments[[#This Row],[order_id]],Raw_orders!A:A, 0)), "Unknown")</f>
        <v>Baltics</v>
      </c>
      <c r="J4024" t="str">
        <f>PROPER(shipments[[#This Row],[delivery_status]])</f>
        <v>In Transit</v>
      </c>
      <c r="K4024" t="s">
        <v>6977</v>
      </c>
    </row>
    <row r="4025" spans="1:11">
      <c r="A4025" t="s">
        <v>10961</v>
      </c>
      <c r="B4025" t="s">
        <v>4693</v>
      </c>
      <c r="C4025" t="s">
        <v>6928</v>
      </c>
      <c r="D4025" s="1">
        <v>45034</v>
      </c>
      <c r="E4025" s="1">
        <v>45039</v>
      </c>
      <c r="F4025" s="1"/>
      <c r="G4025">
        <v>42.74</v>
      </c>
      <c r="H40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025" t="str">
        <f>IFERROR(INDEX(Raw_orders!G:G, MATCH(shipments[[#This Row],[order_id]],Raw_orders!A:A, 0)), "Unknown")</f>
        <v>Nordics</v>
      </c>
      <c r="J4025" t="str">
        <f>PROPER(shipments[[#This Row],[delivery_status]])</f>
        <v>In Transit</v>
      </c>
      <c r="K4025" t="s">
        <v>6977</v>
      </c>
    </row>
    <row r="4026" spans="1:11">
      <c r="A4026" t="s">
        <v>10962</v>
      </c>
      <c r="B4026" t="s">
        <v>4694</v>
      </c>
      <c r="C4026" t="s">
        <v>6956</v>
      </c>
      <c r="D4026" s="1">
        <v>44931</v>
      </c>
      <c r="E4026" s="1">
        <v>44936</v>
      </c>
      <c r="F4026" s="1">
        <v>44945</v>
      </c>
      <c r="G4026">
        <v>12.35</v>
      </c>
      <c r="H40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26" t="str">
        <f>IFERROR(INDEX(Raw_orders!G:G, MATCH(shipments[[#This Row],[order_id]],Raw_orders!A:A, 0)), "Unknown")</f>
        <v>Nordics</v>
      </c>
      <c r="J4026" t="str">
        <f>PROPER(shipments[[#This Row],[delivery_status]])</f>
        <v>Delivered</v>
      </c>
      <c r="K4026" t="s">
        <v>6922</v>
      </c>
    </row>
    <row r="4027" spans="1:11">
      <c r="A4027" t="s">
        <v>10963</v>
      </c>
      <c r="B4027" t="s">
        <v>4694</v>
      </c>
      <c r="C4027" t="s">
        <v>6931</v>
      </c>
      <c r="D4027" s="1">
        <v>44933</v>
      </c>
      <c r="E4027" s="1">
        <v>44940</v>
      </c>
      <c r="F4027" s="1">
        <v>44948</v>
      </c>
      <c r="G4027">
        <v>41.18</v>
      </c>
      <c r="H40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27" t="str">
        <f>IFERROR(INDEX(Raw_orders!G:G, MATCH(shipments[[#This Row],[order_id]],Raw_orders!A:A, 0)), "Unknown")</f>
        <v>Nordics</v>
      </c>
      <c r="J4027" t="str">
        <f>PROPER(shipments[[#This Row],[delivery_status]])</f>
        <v>Delivered</v>
      </c>
      <c r="K4027" t="s">
        <v>6929</v>
      </c>
    </row>
    <row r="4028" spans="1:11">
      <c r="A4028" t="s">
        <v>10964</v>
      </c>
      <c r="B4028" t="s">
        <v>4695</v>
      </c>
      <c r="C4028" t="s">
        <v>6921</v>
      </c>
      <c r="D4028" s="1">
        <v>45578</v>
      </c>
      <c r="E4028" s="1">
        <v>45581</v>
      </c>
      <c r="F4028" s="1"/>
      <c r="G4028">
        <v>15.87</v>
      </c>
      <c r="H40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028" t="str">
        <f>IFERROR(INDEX(Raw_orders!G:G, MATCH(shipments[[#This Row],[order_id]],Raw_orders!A:A, 0)), "Unknown")</f>
        <v>Baltics</v>
      </c>
      <c r="J4028" t="str">
        <f>PROPER(shipments[[#This Row],[delivery_status]])</f>
        <v>Cancelled</v>
      </c>
      <c r="K4028" t="s">
        <v>6963</v>
      </c>
    </row>
    <row r="4029" spans="1:11">
      <c r="A4029" t="s">
        <v>10965</v>
      </c>
      <c r="B4029" t="s">
        <v>4696</v>
      </c>
      <c r="C4029" t="s">
        <v>6935</v>
      </c>
      <c r="D4029" s="1">
        <v>44991</v>
      </c>
      <c r="E4029" s="1">
        <v>45001</v>
      </c>
      <c r="F4029" s="1">
        <v>45001</v>
      </c>
      <c r="G4029">
        <v>25.98</v>
      </c>
      <c r="H40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029" t="str">
        <f>IFERROR(INDEX(Raw_orders!G:G, MATCH(shipments[[#This Row],[order_id]],Raw_orders!A:A, 0)), "Unknown")</f>
        <v>Central Europe</v>
      </c>
      <c r="J4029" t="str">
        <f>PROPER(shipments[[#This Row],[delivery_status]])</f>
        <v>Delivered</v>
      </c>
      <c r="K4029" t="s">
        <v>6922</v>
      </c>
    </row>
    <row r="4030" spans="1:11">
      <c r="A4030" t="s">
        <v>10966</v>
      </c>
      <c r="B4030" t="s">
        <v>4697</v>
      </c>
      <c r="C4030" t="s">
        <v>6935</v>
      </c>
      <c r="D4030" s="1">
        <v>45215</v>
      </c>
      <c r="E4030" s="1">
        <v>45220</v>
      </c>
      <c r="F4030" s="1">
        <v>45225</v>
      </c>
      <c r="G4030">
        <v>31.46</v>
      </c>
      <c r="H40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30" t="str">
        <f>IFERROR(INDEX(Raw_orders!G:G, MATCH(shipments[[#This Row],[order_id]],Raw_orders!A:A, 0)), "Unknown")</f>
        <v>Central Europe</v>
      </c>
      <c r="J4030" t="str">
        <f>PROPER(shipments[[#This Row],[delivery_status]])</f>
        <v>Delivered</v>
      </c>
      <c r="K4030" t="s">
        <v>6929</v>
      </c>
    </row>
    <row r="4031" spans="1:11">
      <c r="A4031" t="s">
        <v>10967</v>
      </c>
      <c r="B4031" t="s">
        <v>4698</v>
      </c>
      <c r="C4031" t="s">
        <v>6940</v>
      </c>
      <c r="D4031" s="1">
        <v>45033</v>
      </c>
      <c r="E4031" s="1">
        <v>45036</v>
      </c>
      <c r="F4031" s="1">
        <v>45036</v>
      </c>
      <c r="G4031">
        <v>23.8</v>
      </c>
      <c r="H40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031" t="str">
        <f>IFERROR(INDEX(Raw_orders!G:G, MATCH(shipments[[#This Row],[order_id]],Raw_orders!A:A, 0)), "Unknown")</f>
        <v>Central Europe</v>
      </c>
      <c r="J4031" t="str">
        <f>PROPER(shipments[[#This Row],[delivery_status]])</f>
        <v>Delivered</v>
      </c>
      <c r="K4031" t="s">
        <v>6922</v>
      </c>
    </row>
    <row r="4032" spans="1:11">
      <c r="A4032" t="s">
        <v>10968</v>
      </c>
      <c r="B4032" t="s">
        <v>4699</v>
      </c>
      <c r="C4032" t="s">
        <v>6928</v>
      </c>
      <c r="D4032" s="1">
        <v>45468</v>
      </c>
      <c r="E4032" s="1">
        <v>45478</v>
      </c>
      <c r="F4032" s="1">
        <v>45488</v>
      </c>
      <c r="G4032">
        <v>64.97</v>
      </c>
      <c r="H40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32" t="str">
        <f>IFERROR(INDEX(Raw_orders!G:G, MATCH(shipments[[#This Row],[order_id]],Raw_orders!A:A, 0)), "Unknown")</f>
        <v>Central Europe</v>
      </c>
      <c r="J4032" t="str">
        <f>PROPER(shipments[[#This Row],[delivery_status]])</f>
        <v>Delivered</v>
      </c>
      <c r="K4032" t="s">
        <v>6922</v>
      </c>
    </row>
    <row r="4033" spans="1:11">
      <c r="A4033" t="s">
        <v>10969</v>
      </c>
      <c r="B4033" t="s">
        <v>4700</v>
      </c>
      <c r="C4033" t="s">
        <v>6928</v>
      </c>
      <c r="D4033" s="1">
        <v>44974</v>
      </c>
      <c r="E4033" s="1">
        <v>44976</v>
      </c>
      <c r="F4033" s="1">
        <v>44981</v>
      </c>
      <c r="G4033">
        <v>24.35</v>
      </c>
      <c r="H40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33" t="str">
        <f>IFERROR(INDEX(Raw_orders!G:G, MATCH(shipments[[#This Row],[order_id]],Raw_orders!A:A, 0)), "Unknown")</f>
        <v>Nordics</v>
      </c>
      <c r="J4033" t="str">
        <f>PROPER(shipments[[#This Row],[delivery_status]])</f>
        <v>Delivered</v>
      </c>
      <c r="K4033" t="s">
        <v>6929</v>
      </c>
    </row>
    <row r="4034" spans="1:11">
      <c r="A4034" t="s">
        <v>10970</v>
      </c>
      <c r="B4034" t="s">
        <v>4701</v>
      </c>
      <c r="C4034" t="s">
        <v>6928</v>
      </c>
      <c r="D4034" s="1">
        <v>44988</v>
      </c>
      <c r="E4034" s="1">
        <v>44990</v>
      </c>
      <c r="F4034" s="1">
        <v>44992</v>
      </c>
      <c r="G4034">
        <v>38.880000000000003</v>
      </c>
      <c r="H40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34" t="str">
        <f>IFERROR(INDEX(Raw_orders!G:G, MATCH(shipments[[#This Row],[order_id]],Raw_orders!A:A, 0)), "Unknown")</f>
        <v>Central Europe</v>
      </c>
      <c r="J4034" t="str">
        <f>PROPER(shipments[[#This Row],[delivery_status]])</f>
        <v>Delivered</v>
      </c>
      <c r="K4034" t="s">
        <v>6926</v>
      </c>
    </row>
    <row r="4035" spans="1:11">
      <c r="A4035" t="s">
        <v>10971</v>
      </c>
      <c r="B4035" t="s">
        <v>4702</v>
      </c>
      <c r="C4035" t="s">
        <v>6956</v>
      </c>
      <c r="D4035" s="1">
        <v>45388</v>
      </c>
      <c r="E4035" s="1">
        <v>45393</v>
      </c>
      <c r="F4035" s="1">
        <v>45401</v>
      </c>
      <c r="G4035">
        <v>41.69</v>
      </c>
      <c r="H40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35" t="str">
        <f>IFERROR(INDEX(Raw_orders!G:G, MATCH(shipments[[#This Row],[order_id]],Raw_orders!A:A, 0)), "Unknown")</f>
        <v>Nordics</v>
      </c>
      <c r="J4035" t="str">
        <f>PROPER(shipments[[#This Row],[delivery_status]])</f>
        <v>Delivered</v>
      </c>
      <c r="K4035" t="s">
        <v>6926</v>
      </c>
    </row>
    <row r="4036" spans="1:11">
      <c r="A4036" t="s">
        <v>10972</v>
      </c>
      <c r="B4036" t="s">
        <v>4703</v>
      </c>
      <c r="C4036" t="s">
        <v>6925</v>
      </c>
      <c r="D4036" s="1">
        <v>45236</v>
      </c>
      <c r="E4036" s="1">
        <v>45246</v>
      </c>
      <c r="F4036" s="1">
        <v>45247</v>
      </c>
      <c r="G4036">
        <v>41.42</v>
      </c>
      <c r="H40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36" t="str">
        <f>IFERROR(INDEX(Raw_orders!G:G, MATCH(shipments[[#This Row],[order_id]],Raw_orders!A:A, 0)), "Unknown")</f>
        <v>Central Europe</v>
      </c>
      <c r="J4036" t="str">
        <f>PROPER(shipments[[#This Row],[delivery_status]])</f>
        <v>Delivered</v>
      </c>
      <c r="K4036" t="s">
        <v>6929</v>
      </c>
    </row>
    <row r="4037" spans="1:11">
      <c r="A4037" t="s">
        <v>10973</v>
      </c>
      <c r="B4037" t="s">
        <v>4704</v>
      </c>
      <c r="C4037" t="s">
        <v>6956</v>
      </c>
      <c r="D4037" s="1">
        <v>45324</v>
      </c>
      <c r="E4037" s="1">
        <v>45334</v>
      </c>
      <c r="F4037" s="1">
        <v>45335</v>
      </c>
      <c r="G4037">
        <v>42.98</v>
      </c>
      <c r="H40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37" t="str">
        <f>IFERROR(INDEX(Raw_orders!G:G, MATCH(shipments[[#This Row],[order_id]],Raw_orders!A:A, 0)), "Unknown")</f>
        <v>Baltics</v>
      </c>
      <c r="J4037" t="str">
        <f>PROPER(shipments[[#This Row],[delivery_status]])</f>
        <v>Delivered</v>
      </c>
      <c r="K4037" t="s">
        <v>6922</v>
      </c>
    </row>
    <row r="4038" spans="1:11">
      <c r="A4038" t="s">
        <v>10974</v>
      </c>
      <c r="B4038" t="s">
        <v>4705</v>
      </c>
      <c r="C4038" t="s">
        <v>6921</v>
      </c>
      <c r="D4038" s="1">
        <v>45538</v>
      </c>
      <c r="E4038" s="1">
        <v>45540</v>
      </c>
      <c r="F4038" s="1">
        <v>45545</v>
      </c>
      <c r="G4038">
        <v>25.96</v>
      </c>
      <c r="H40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38" t="str">
        <f>IFERROR(INDEX(Raw_orders!G:G, MATCH(shipments[[#This Row],[order_id]],Raw_orders!A:A, 0)), "Unknown")</f>
        <v>Baltics</v>
      </c>
      <c r="J4038" t="str">
        <f>PROPER(shipments[[#This Row],[delivery_status]])</f>
        <v>Delivered</v>
      </c>
      <c r="K4038" t="s">
        <v>6926</v>
      </c>
    </row>
    <row r="4039" spans="1:11">
      <c r="A4039" t="s">
        <v>10975</v>
      </c>
      <c r="B4039" t="s">
        <v>4706</v>
      </c>
      <c r="C4039" t="s">
        <v>6940</v>
      </c>
      <c r="D4039" s="1">
        <v>45009</v>
      </c>
      <c r="E4039" s="1">
        <v>45016</v>
      </c>
      <c r="F4039" s="1">
        <v>45016</v>
      </c>
      <c r="G4039">
        <v>18</v>
      </c>
      <c r="H40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039" t="str">
        <f>IFERROR(INDEX(Raw_orders!G:G, MATCH(shipments[[#This Row],[order_id]],Raw_orders!A:A, 0)), "Unknown")</f>
        <v>Baltics</v>
      </c>
      <c r="J4039" t="str">
        <f>PROPER(shipments[[#This Row],[delivery_status]])</f>
        <v>Delivered</v>
      </c>
      <c r="K4039" t="s">
        <v>6926</v>
      </c>
    </row>
    <row r="4040" spans="1:11">
      <c r="A4040" t="s">
        <v>10976</v>
      </c>
      <c r="B4040" t="s">
        <v>4707</v>
      </c>
      <c r="C4040" t="s">
        <v>6940</v>
      </c>
      <c r="D4040" s="1">
        <v>45472</v>
      </c>
      <c r="E4040" s="1">
        <v>45474</v>
      </c>
      <c r="F4040" s="1">
        <v>45474</v>
      </c>
      <c r="G4040">
        <v>27.81</v>
      </c>
      <c r="H40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040" t="str">
        <f>IFERROR(INDEX(Raw_orders!G:G, MATCH(shipments[[#This Row],[order_id]],Raw_orders!A:A, 0)), "Unknown")</f>
        <v>Baltics</v>
      </c>
      <c r="J4040" t="str">
        <f>PROPER(shipments[[#This Row],[delivery_status]])</f>
        <v>Delivered</v>
      </c>
      <c r="K4040" t="s">
        <v>6929</v>
      </c>
    </row>
    <row r="4041" spans="1:11">
      <c r="A4041" t="s">
        <v>10977</v>
      </c>
      <c r="B4041" t="s">
        <v>4708</v>
      </c>
      <c r="C4041" t="s">
        <v>6956</v>
      </c>
      <c r="D4041" s="1">
        <v>45253</v>
      </c>
      <c r="E4041" s="1">
        <v>45258</v>
      </c>
      <c r="F4041" s="1"/>
      <c r="G4041">
        <v>54.52</v>
      </c>
      <c r="H40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041" t="str">
        <f>IFERROR(INDEX(Raw_orders!G:G, MATCH(shipments[[#This Row],[order_id]],Raw_orders!A:A, 0)), "Unknown")</f>
        <v>Baltics</v>
      </c>
      <c r="J4041" t="str">
        <f>PROPER(shipments[[#This Row],[delivery_status]])</f>
        <v>In Transit</v>
      </c>
      <c r="K4041" t="s">
        <v>6946</v>
      </c>
    </row>
    <row r="4042" spans="1:11">
      <c r="A4042" t="s">
        <v>10978</v>
      </c>
      <c r="B4042" t="s">
        <v>4709</v>
      </c>
      <c r="C4042" t="s">
        <v>6940</v>
      </c>
      <c r="D4042" s="1">
        <v>45219</v>
      </c>
      <c r="E4042" s="1">
        <v>45224</v>
      </c>
      <c r="F4042" s="1">
        <v>45227</v>
      </c>
      <c r="G4042">
        <v>63.04</v>
      </c>
      <c r="H40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42" t="str">
        <f>IFERROR(INDEX(Raw_orders!G:G, MATCH(shipments[[#This Row],[order_id]],Raw_orders!A:A, 0)), "Unknown")</f>
        <v>Central Europe</v>
      </c>
      <c r="J4042" t="str">
        <f>PROPER(shipments[[#This Row],[delivery_status]])</f>
        <v>Delivered</v>
      </c>
      <c r="K4042" t="s">
        <v>6929</v>
      </c>
    </row>
    <row r="4043" spans="1:11">
      <c r="A4043" t="s">
        <v>10979</v>
      </c>
      <c r="B4043" t="s">
        <v>4710</v>
      </c>
      <c r="C4043" t="s">
        <v>6938</v>
      </c>
      <c r="D4043" s="1">
        <v>45536</v>
      </c>
      <c r="E4043" s="1">
        <v>45538</v>
      </c>
      <c r="F4043" s="1"/>
      <c r="G4043">
        <v>13.79</v>
      </c>
      <c r="H40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043" t="str">
        <f>IFERROR(INDEX(Raw_orders!G:G, MATCH(shipments[[#This Row],[order_id]],Raw_orders!A:A, 0)), "Unknown")</f>
        <v>Baltics</v>
      </c>
      <c r="J4043" t="str">
        <f>PROPER(shipments[[#This Row],[delivery_status]])</f>
        <v>In Transit</v>
      </c>
      <c r="K4043" t="s">
        <v>6946</v>
      </c>
    </row>
    <row r="4044" spans="1:11">
      <c r="A4044" t="s">
        <v>10980</v>
      </c>
      <c r="B4044" t="s">
        <v>4711</v>
      </c>
      <c r="C4044" t="s">
        <v>6938</v>
      </c>
      <c r="D4044" s="1">
        <v>44976</v>
      </c>
      <c r="E4044" s="1">
        <v>44979</v>
      </c>
      <c r="F4044" s="1">
        <v>44987</v>
      </c>
      <c r="H40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44" t="str">
        <f>IFERROR(INDEX(Raw_orders!G:G, MATCH(shipments[[#This Row],[order_id]],Raw_orders!A:A, 0)), "Unknown")</f>
        <v>Nordics</v>
      </c>
      <c r="J4044" t="str">
        <f>PROPER(shipments[[#This Row],[delivery_status]])</f>
        <v>Delivered</v>
      </c>
      <c r="K4044" t="s">
        <v>6929</v>
      </c>
    </row>
    <row r="4045" spans="1:11">
      <c r="A4045" t="s">
        <v>10981</v>
      </c>
      <c r="B4045" t="s">
        <v>4712</v>
      </c>
      <c r="C4045" t="s">
        <v>6925</v>
      </c>
      <c r="D4045" s="1">
        <v>45161</v>
      </c>
      <c r="E4045" s="1">
        <v>45163</v>
      </c>
      <c r="F4045" s="1">
        <v>45162</v>
      </c>
      <c r="G4045">
        <v>4.74</v>
      </c>
      <c r="H40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045" t="str">
        <f>IFERROR(INDEX(Raw_orders!G:G, MATCH(shipments[[#This Row],[order_id]],Raw_orders!A:A, 0)), "Unknown")</f>
        <v>Unknown</v>
      </c>
      <c r="J4045" t="str">
        <f>PROPER(shipments[[#This Row],[delivery_status]])</f>
        <v>Delivered</v>
      </c>
      <c r="K4045" t="s">
        <v>6926</v>
      </c>
    </row>
    <row r="4046" spans="1:11">
      <c r="A4046" t="s">
        <v>10982</v>
      </c>
      <c r="B4046" t="s">
        <v>4713</v>
      </c>
      <c r="C4046" t="s">
        <v>6940</v>
      </c>
      <c r="D4046" s="1">
        <v>45025</v>
      </c>
      <c r="E4046" s="1">
        <v>45035</v>
      </c>
      <c r="F4046" s="1">
        <v>45035</v>
      </c>
      <c r="G4046">
        <v>8.26</v>
      </c>
      <c r="H40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046" t="str">
        <f>IFERROR(INDEX(Raw_orders!G:G, MATCH(shipments[[#This Row],[order_id]],Raw_orders!A:A, 0)), "Unknown")</f>
        <v>Central Europe</v>
      </c>
      <c r="J4046" t="str">
        <f>PROPER(shipments[[#This Row],[delivery_status]])</f>
        <v>Delivered</v>
      </c>
      <c r="K4046" t="s">
        <v>6926</v>
      </c>
    </row>
    <row r="4047" spans="1:11">
      <c r="A4047" t="s">
        <v>10983</v>
      </c>
      <c r="B4047" t="s">
        <v>4714</v>
      </c>
      <c r="C4047" t="s">
        <v>6931</v>
      </c>
      <c r="D4047" s="1">
        <v>44999</v>
      </c>
      <c r="E4047" s="1">
        <v>45001</v>
      </c>
      <c r="F4047" s="1">
        <v>45003</v>
      </c>
      <c r="G4047">
        <v>22.71</v>
      </c>
      <c r="H40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47" t="str">
        <f>IFERROR(INDEX(Raw_orders!G:G, MATCH(shipments[[#This Row],[order_id]],Raw_orders!A:A, 0)), "Unknown")</f>
        <v>Baltics</v>
      </c>
      <c r="J4047" t="str">
        <f>PROPER(shipments[[#This Row],[delivery_status]])</f>
        <v>Delivered</v>
      </c>
      <c r="K4047" t="s">
        <v>6922</v>
      </c>
    </row>
    <row r="4048" spans="1:11">
      <c r="A4048" t="s">
        <v>10984</v>
      </c>
      <c r="B4048" t="s">
        <v>4715</v>
      </c>
      <c r="C4048" t="s">
        <v>6935</v>
      </c>
      <c r="D4048" s="1">
        <v>45563</v>
      </c>
      <c r="E4048" s="1">
        <v>45570</v>
      </c>
      <c r="F4048" s="1">
        <v>45569</v>
      </c>
      <c r="G4048">
        <v>48.58</v>
      </c>
      <c r="H40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048" t="str">
        <f>IFERROR(INDEX(Raw_orders!G:G, MATCH(shipments[[#This Row],[order_id]],Raw_orders!A:A, 0)), "Unknown")</f>
        <v>Nordics</v>
      </c>
      <c r="J4048" t="str">
        <f>PROPER(shipments[[#This Row],[delivery_status]])</f>
        <v>Delivered</v>
      </c>
      <c r="K4048" t="s">
        <v>6922</v>
      </c>
    </row>
    <row r="4049" spans="1:11">
      <c r="A4049" t="s">
        <v>10985</v>
      </c>
      <c r="B4049" t="s">
        <v>4716</v>
      </c>
      <c r="C4049" t="s">
        <v>6938</v>
      </c>
      <c r="D4049" s="1">
        <v>45365</v>
      </c>
      <c r="E4049" s="1">
        <v>45367</v>
      </c>
      <c r="F4049" s="1">
        <v>45370</v>
      </c>
      <c r="G4049">
        <v>47.52</v>
      </c>
      <c r="H40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49" t="str">
        <f>IFERROR(INDEX(Raw_orders!G:G, MATCH(shipments[[#This Row],[order_id]],Raw_orders!A:A, 0)), "Unknown")</f>
        <v>Central Europe</v>
      </c>
      <c r="J4049" t="str">
        <f>PROPER(shipments[[#This Row],[delivery_status]])</f>
        <v>Delivered</v>
      </c>
      <c r="K4049" t="s">
        <v>6929</v>
      </c>
    </row>
    <row r="4050" spans="1:11">
      <c r="A4050" t="s">
        <v>10986</v>
      </c>
      <c r="B4050" t="s">
        <v>4716</v>
      </c>
      <c r="C4050" t="s">
        <v>6956</v>
      </c>
      <c r="D4050" s="1">
        <v>45364</v>
      </c>
      <c r="E4050" s="1">
        <v>45366</v>
      </c>
      <c r="F4050" s="1">
        <v>45369</v>
      </c>
      <c r="G4050">
        <v>63.09</v>
      </c>
      <c r="H40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50" t="str">
        <f>IFERROR(INDEX(Raw_orders!G:G, MATCH(shipments[[#This Row],[order_id]],Raw_orders!A:A, 0)), "Unknown")</f>
        <v>Central Europe</v>
      </c>
      <c r="J4050" t="str">
        <f>PROPER(shipments[[#This Row],[delivery_status]])</f>
        <v>Delivered</v>
      </c>
      <c r="K4050" t="s">
        <v>6922</v>
      </c>
    </row>
    <row r="4051" spans="1:11">
      <c r="A4051" t="s">
        <v>10987</v>
      </c>
      <c r="B4051" t="s">
        <v>4717</v>
      </c>
      <c r="C4051" t="s">
        <v>6928</v>
      </c>
      <c r="D4051" s="1">
        <v>44933</v>
      </c>
      <c r="E4051" s="1">
        <v>44935</v>
      </c>
      <c r="F4051" s="1">
        <v>44935</v>
      </c>
      <c r="G4051">
        <v>35.020000000000003</v>
      </c>
      <c r="H40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051" t="str">
        <f>IFERROR(INDEX(Raw_orders!G:G, MATCH(shipments[[#This Row],[order_id]],Raw_orders!A:A, 0)), "Unknown")</f>
        <v>Nordics</v>
      </c>
      <c r="J4051" t="str">
        <f>PROPER(shipments[[#This Row],[delivery_status]])</f>
        <v>Delivered</v>
      </c>
      <c r="K4051" t="s">
        <v>6926</v>
      </c>
    </row>
    <row r="4052" spans="1:11">
      <c r="A4052" t="s">
        <v>10988</v>
      </c>
      <c r="B4052" t="s">
        <v>4718</v>
      </c>
      <c r="C4052" t="s">
        <v>6931</v>
      </c>
      <c r="D4052" s="1">
        <v>45315</v>
      </c>
      <c r="E4052" s="1">
        <v>45325</v>
      </c>
      <c r="F4052" s="1">
        <v>45324</v>
      </c>
      <c r="G4052">
        <v>33.93</v>
      </c>
      <c r="H40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052" t="str">
        <f>IFERROR(INDEX(Raw_orders!G:G, MATCH(shipments[[#This Row],[order_id]],Raw_orders!A:A, 0)), "Unknown")</f>
        <v>Nordics</v>
      </c>
      <c r="J4052" t="str">
        <f>PROPER(shipments[[#This Row],[delivery_status]])</f>
        <v>Delivered</v>
      </c>
      <c r="K4052" t="s">
        <v>6926</v>
      </c>
    </row>
    <row r="4053" spans="1:11">
      <c r="A4053" t="s">
        <v>10989</v>
      </c>
      <c r="B4053" t="s">
        <v>4719</v>
      </c>
      <c r="C4053" t="s">
        <v>6940</v>
      </c>
      <c r="D4053" s="1">
        <v>45401</v>
      </c>
      <c r="E4053" s="1">
        <v>45408</v>
      </c>
      <c r="F4053" s="1"/>
      <c r="G4053">
        <v>10.78</v>
      </c>
      <c r="H40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053" t="str">
        <f>IFERROR(INDEX(Raw_orders!G:G, MATCH(shipments[[#This Row],[order_id]],Raw_orders!A:A, 0)), "Unknown")</f>
        <v>Central Europe</v>
      </c>
      <c r="J4053" t="str">
        <f>PROPER(shipments[[#This Row],[delivery_status]])</f>
        <v>Cancelled</v>
      </c>
      <c r="K4053" t="s">
        <v>6963</v>
      </c>
    </row>
    <row r="4054" spans="1:11">
      <c r="A4054" t="s">
        <v>10990</v>
      </c>
      <c r="B4054" t="s">
        <v>4720</v>
      </c>
      <c r="C4054" t="s">
        <v>6925</v>
      </c>
      <c r="D4054" s="1">
        <v>45274</v>
      </c>
      <c r="E4054" s="1">
        <v>45281</v>
      </c>
      <c r="F4054" s="1">
        <v>45282</v>
      </c>
      <c r="G4054">
        <v>39.65</v>
      </c>
      <c r="H40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54" t="str">
        <f>IFERROR(INDEX(Raw_orders!G:G, MATCH(shipments[[#This Row],[order_id]],Raw_orders!A:A, 0)), "Unknown")</f>
        <v>Central Europe</v>
      </c>
      <c r="J4054" t="str">
        <f>PROPER(shipments[[#This Row],[delivery_status]])</f>
        <v>Delivered</v>
      </c>
      <c r="K4054" t="s">
        <v>6922</v>
      </c>
    </row>
    <row r="4055" spans="1:11">
      <c r="A4055" t="s">
        <v>10991</v>
      </c>
      <c r="B4055" t="s">
        <v>4721</v>
      </c>
      <c r="C4055" t="s">
        <v>6931</v>
      </c>
      <c r="D4055" s="1">
        <v>45298</v>
      </c>
      <c r="E4055" s="1">
        <v>45301</v>
      </c>
      <c r="F4055" s="1">
        <v>45309</v>
      </c>
      <c r="G4055">
        <v>18.059999999999999</v>
      </c>
      <c r="H40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55" t="str">
        <f>IFERROR(INDEX(Raw_orders!G:G, MATCH(shipments[[#This Row],[order_id]],Raw_orders!A:A, 0)), "Unknown")</f>
        <v>Nordics</v>
      </c>
      <c r="J4055" t="str">
        <f>PROPER(shipments[[#This Row],[delivery_status]])</f>
        <v>Delivered</v>
      </c>
      <c r="K4055" t="s">
        <v>6929</v>
      </c>
    </row>
    <row r="4056" spans="1:11">
      <c r="A4056" t="s">
        <v>10992</v>
      </c>
      <c r="B4056" t="s">
        <v>4722</v>
      </c>
      <c r="C4056" t="s">
        <v>6938</v>
      </c>
      <c r="D4056" s="1">
        <v>45518</v>
      </c>
      <c r="E4056" s="1">
        <v>45528</v>
      </c>
      <c r="F4056" s="1">
        <v>45528</v>
      </c>
      <c r="G4056">
        <v>47.62</v>
      </c>
      <c r="H40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056" t="str">
        <f>IFERROR(INDEX(Raw_orders!G:G, MATCH(shipments[[#This Row],[order_id]],Raw_orders!A:A, 0)), "Unknown")</f>
        <v>Nordics</v>
      </c>
      <c r="J4056" t="str">
        <f>PROPER(shipments[[#This Row],[delivery_status]])</f>
        <v>Delivered</v>
      </c>
      <c r="K4056" t="s">
        <v>6922</v>
      </c>
    </row>
    <row r="4057" spans="1:11">
      <c r="A4057" t="s">
        <v>10993</v>
      </c>
      <c r="B4057" t="s">
        <v>4723</v>
      </c>
      <c r="C4057" t="s">
        <v>6956</v>
      </c>
      <c r="D4057" s="1">
        <v>45159</v>
      </c>
      <c r="E4057" s="1">
        <v>45164</v>
      </c>
      <c r="F4057" s="1"/>
      <c r="G4057">
        <v>13.1</v>
      </c>
      <c r="H40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057" t="str">
        <f>IFERROR(INDEX(Raw_orders!G:G, MATCH(shipments[[#This Row],[order_id]],Raw_orders!A:A, 0)), "Unknown")</f>
        <v>Nordics</v>
      </c>
      <c r="J4057" t="str">
        <f>PROPER(shipments[[#This Row],[delivery_status]])</f>
        <v>In Transit</v>
      </c>
      <c r="K4057" t="s">
        <v>6977</v>
      </c>
    </row>
    <row r="4058" spans="1:11">
      <c r="A4058" t="s">
        <v>10994</v>
      </c>
      <c r="B4058" t="s">
        <v>4724</v>
      </c>
      <c r="C4058" t="s">
        <v>6931</v>
      </c>
      <c r="D4058" s="1">
        <v>45467</v>
      </c>
      <c r="E4058" s="1">
        <v>45469</v>
      </c>
      <c r="F4058" s="1"/>
      <c r="G4058">
        <v>34.57</v>
      </c>
      <c r="H40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058" t="str">
        <f>IFERROR(INDEX(Raw_orders!G:G, MATCH(shipments[[#This Row],[order_id]],Raw_orders!A:A, 0)), "Unknown")</f>
        <v>Baltics</v>
      </c>
      <c r="J4058" t="str">
        <f>PROPER(shipments[[#This Row],[delivery_status]])</f>
        <v>Cancelled</v>
      </c>
      <c r="K4058" t="s">
        <v>6963</v>
      </c>
    </row>
    <row r="4059" spans="1:11">
      <c r="A4059" t="s">
        <v>10995</v>
      </c>
      <c r="B4059" t="s">
        <v>4725</v>
      </c>
      <c r="C4059" t="s">
        <v>6935</v>
      </c>
      <c r="D4059" s="1">
        <v>45094</v>
      </c>
      <c r="E4059" s="1">
        <v>45096</v>
      </c>
      <c r="F4059" s="1">
        <v>45096</v>
      </c>
      <c r="G4059">
        <v>53.43</v>
      </c>
      <c r="H40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059" t="str">
        <f>IFERROR(INDEX(Raw_orders!G:G, MATCH(shipments[[#This Row],[order_id]],Raw_orders!A:A, 0)), "Unknown")</f>
        <v>Central Europe</v>
      </c>
      <c r="J4059" t="str">
        <f>PROPER(shipments[[#This Row],[delivery_status]])</f>
        <v>Delivered</v>
      </c>
      <c r="K4059" t="s">
        <v>6926</v>
      </c>
    </row>
    <row r="4060" spans="1:11">
      <c r="A4060" t="s">
        <v>10996</v>
      </c>
      <c r="B4060" t="s">
        <v>4726</v>
      </c>
      <c r="C4060" t="s">
        <v>6921</v>
      </c>
      <c r="D4060" s="1">
        <v>45511</v>
      </c>
      <c r="E4060" s="1">
        <v>45513</v>
      </c>
      <c r="F4060" s="1">
        <v>45518</v>
      </c>
      <c r="G4060">
        <v>47.71</v>
      </c>
      <c r="H40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60" t="str">
        <f>IFERROR(INDEX(Raw_orders!G:G, MATCH(shipments[[#This Row],[order_id]],Raw_orders!A:A, 0)), "Unknown")</f>
        <v>Central Europe</v>
      </c>
      <c r="J4060" t="str">
        <f>PROPER(shipments[[#This Row],[delivery_status]])</f>
        <v>Delivered</v>
      </c>
      <c r="K4060" t="s">
        <v>6922</v>
      </c>
    </row>
    <row r="4061" spans="1:11">
      <c r="A4061" t="s">
        <v>10997</v>
      </c>
      <c r="B4061" t="s">
        <v>4727</v>
      </c>
      <c r="C4061" t="s">
        <v>6935</v>
      </c>
      <c r="D4061" s="1">
        <v>45154</v>
      </c>
      <c r="E4061" s="1">
        <v>45157</v>
      </c>
      <c r="F4061" s="1">
        <v>45162</v>
      </c>
      <c r="G4061">
        <v>62.14</v>
      </c>
      <c r="H40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61" t="str">
        <f>IFERROR(INDEX(Raw_orders!G:G, MATCH(shipments[[#This Row],[order_id]],Raw_orders!A:A, 0)), "Unknown")</f>
        <v>Baltics</v>
      </c>
      <c r="J4061" t="str">
        <f>PROPER(shipments[[#This Row],[delivery_status]])</f>
        <v>Delivered</v>
      </c>
      <c r="K4061" t="s">
        <v>6929</v>
      </c>
    </row>
    <row r="4062" spans="1:11">
      <c r="A4062" t="s">
        <v>10998</v>
      </c>
      <c r="B4062" t="s">
        <v>4728</v>
      </c>
      <c r="C4062" t="s">
        <v>6921</v>
      </c>
      <c r="D4062" s="1">
        <v>45056</v>
      </c>
      <c r="E4062" s="1">
        <v>45058</v>
      </c>
      <c r="F4062" s="1">
        <v>45057</v>
      </c>
      <c r="G4062">
        <v>64.239999999999995</v>
      </c>
      <c r="H40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062" t="str">
        <f>IFERROR(INDEX(Raw_orders!G:G, MATCH(shipments[[#This Row],[order_id]],Raw_orders!A:A, 0)), "Unknown")</f>
        <v>Nordics</v>
      </c>
      <c r="J4062" t="str">
        <f>PROPER(shipments[[#This Row],[delivery_status]])</f>
        <v>Delivered</v>
      </c>
      <c r="K4062" t="s">
        <v>6926</v>
      </c>
    </row>
    <row r="4063" spans="1:11">
      <c r="A4063" t="s">
        <v>10999</v>
      </c>
      <c r="B4063" t="s">
        <v>4729</v>
      </c>
      <c r="C4063" t="s">
        <v>6925</v>
      </c>
      <c r="D4063" s="1">
        <v>45555</v>
      </c>
      <c r="E4063" s="1">
        <v>45565</v>
      </c>
      <c r="F4063" s="1">
        <v>45565</v>
      </c>
      <c r="G4063">
        <v>29.67</v>
      </c>
      <c r="H40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063" t="str">
        <f>IFERROR(INDEX(Raw_orders!G:G, MATCH(shipments[[#This Row],[order_id]],Raw_orders!A:A, 0)), "Unknown")</f>
        <v>Nordics</v>
      </c>
      <c r="J4063" t="str">
        <f>PROPER(shipments[[#This Row],[delivery_status]])</f>
        <v>Delivered</v>
      </c>
      <c r="K4063" t="s">
        <v>6922</v>
      </c>
    </row>
    <row r="4064" spans="1:11">
      <c r="A4064" t="s">
        <v>11000</v>
      </c>
      <c r="B4064" t="s">
        <v>4730</v>
      </c>
      <c r="C4064" t="s">
        <v>6956</v>
      </c>
      <c r="D4064" s="1">
        <v>45206</v>
      </c>
      <c r="E4064" s="1">
        <v>45211</v>
      </c>
      <c r="F4064" s="1">
        <v>45210</v>
      </c>
      <c r="G4064">
        <v>32.880000000000003</v>
      </c>
      <c r="H40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064" t="str">
        <f>IFERROR(INDEX(Raw_orders!G:G, MATCH(shipments[[#This Row],[order_id]],Raw_orders!A:A, 0)), "Unknown")</f>
        <v>Nordics</v>
      </c>
      <c r="J4064" t="str">
        <f>PROPER(shipments[[#This Row],[delivery_status]])</f>
        <v>Delivered</v>
      </c>
      <c r="K4064" t="s">
        <v>6922</v>
      </c>
    </row>
    <row r="4065" spans="1:11">
      <c r="A4065" t="s">
        <v>11001</v>
      </c>
      <c r="B4065" t="s">
        <v>4731</v>
      </c>
      <c r="C4065" t="s">
        <v>6940</v>
      </c>
      <c r="D4065" s="1">
        <v>45339</v>
      </c>
      <c r="E4065" s="1">
        <v>45349</v>
      </c>
      <c r="F4065" s="1"/>
      <c r="G4065">
        <v>57.72</v>
      </c>
      <c r="H40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065" t="str">
        <f>IFERROR(INDEX(Raw_orders!G:G, MATCH(shipments[[#This Row],[order_id]],Raw_orders!A:A, 0)), "Unknown")</f>
        <v>Baltics</v>
      </c>
      <c r="J4065" t="str">
        <f>PROPER(shipments[[#This Row],[delivery_status]])</f>
        <v>In Transit</v>
      </c>
      <c r="K4065" t="s">
        <v>6946</v>
      </c>
    </row>
    <row r="4066" spans="1:11">
      <c r="A4066" t="s">
        <v>11002</v>
      </c>
      <c r="B4066" t="s">
        <v>4732</v>
      </c>
      <c r="C4066" t="s">
        <v>6925</v>
      </c>
      <c r="D4066" s="1">
        <v>45335</v>
      </c>
      <c r="E4066" s="1">
        <v>45345</v>
      </c>
      <c r="F4066" s="1">
        <v>45347</v>
      </c>
      <c r="G4066">
        <v>17.27</v>
      </c>
      <c r="H40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66" t="str">
        <f>IFERROR(INDEX(Raw_orders!G:G, MATCH(shipments[[#This Row],[order_id]],Raw_orders!A:A, 0)), "Unknown")</f>
        <v>Baltics</v>
      </c>
      <c r="J4066" t="str">
        <f>PROPER(shipments[[#This Row],[delivery_status]])</f>
        <v>Delivered</v>
      </c>
      <c r="K4066" t="s">
        <v>6922</v>
      </c>
    </row>
    <row r="4067" spans="1:11">
      <c r="A4067" t="s">
        <v>11003</v>
      </c>
      <c r="B4067" t="s">
        <v>4733</v>
      </c>
      <c r="C4067" t="s">
        <v>6940</v>
      </c>
      <c r="D4067" s="1">
        <v>45563</v>
      </c>
      <c r="E4067" s="1">
        <v>45566</v>
      </c>
      <c r="F4067" s="1">
        <v>45567</v>
      </c>
      <c r="G4067">
        <v>56.62</v>
      </c>
      <c r="H40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67" t="str">
        <f>IFERROR(INDEX(Raw_orders!G:G, MATCH(shipments[[#This Row],[order_id]],Raw_orders!A:A, 0)), "Unknown")</f>
        <v>Baltics</v>
      </c>
      <c r="J4067" t="str">
        <f>PROPER(shipments[[#This Row],[delivery_status]])</f>
        <v>Delivered</v>
      </c>
      <c r="K4067" t="s">
        <v>6926</v>
      </c>
    </row>
    <row r="4068" spans="1:11">
      <c r="A4068" t="s">
        <v>11004</v>
      </c>
      <c r="B4068" t="s">
        <v>4734</v>
      </c>
      <c r="C4068" t="s">
        <v>6938</v>
      </c>
      <c r="D4068" s="1">
        <v>45339</v>
      </c>
      <c r="E4068" s="1">
        <v>45341</v>
      </c>
      <c r="F4068" s="1">
        <v>45344</v>
      </c>
      <c r="G4068">
        <v>14.5</v>
      </c>
      <c r="H40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68" t="str">
        <f>IFERROR(INDEX(Raw_orders!G:G, MATCH(shipments[[#This Row],[order_id]],Raw_orders!A:A, 0)), "Unknown")</f>
        <v>Nordics</v>
      </c>
      <c r="J4068" t="str">
        <f>PROPER(shipments[[#This Row],[delivery_status]])</f>
        <v>Delivered</v>
      </c>
      <c r="K4068" t="s">
        <v>6929</v>
      </c>
    </row>
    <row r="4069" spans="1:11">
      <c r="A4069" t="s">
        <v>11005</v>
      </c>
      <c r="B4069" t="s">
        <v>4734</v>
      </c>
      <c r="C4069" t="s">
        <v>6940</v>
      </c>
      <c r="D4069" s="1">
        <v>45341</v>
      </c>
      <c r="E4069" s="1">
        <v>45343</v>
      </c>
      <c r="F4069" s="1">
        <v>45351</v>
      </c>
      <c r="G4069">
        <v>60.45</v>
      </c>
      <c r="H40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69" t="str">
        <f>IFERROR(INDEX(Raw_orders!G:G, MATCH(shipments[[#This Row],[order_id]],Raw_orders!A:A, 0)), "Unknown")</f>
        <v>Nordics</v>
      </c>
      <c r="J4069" t="str">
        <f>PROPER(shipments[[#This Row],[delivery_status]])</f>
        <v>Delivered</v>
      </c>
      <c r="K4069" t="s">
        <v>6926</v>
      </c>
    </row>
    <row r="4070" spans="1:11">
      <c r="A4070" t="s">
        <v>11006</v>
      </c>
      <c r="B4070" t="s">
        <v>4735</v>
      </c>
      <c r="C4070" t="s">
        <v>6949</v>
      </c>
      <c r="D4070" s="1">
        <v>44954</v>
      </c>
      <c r="E4070" s="1">
        <v>44956</v>
      </c>
      <c r="F4070" s="1">
        <v>44956</v>
      </c>
      <c r="G4070">
        <v>5.32</v>
      </c>
      <c r="H40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070" t="str">
        <f>IFERROR(INDEX(Raw_orders!G:G, MATCH(shipments[[#This Row],[order_id]],Raw_orders!A:A, 0)), "Unknown")</f>
        <v>Baltics</v>
      </c>
      <c r="J4070" t="str">
        <f>PROPER(shipments[[#This Row],[delivery_status]])</f>
        <v>Delivered</v>
      </c>
      <c r="K4070" t="s">
        <v>6926</v>
      </c>
    </row>
    <row r="4071" spans="1:11">
      <c r="A4071" t="s">
        <v>11007</v>
      </c>
      <c r="B4071" t="s">
        <v>4736</v>
      </c>
      <c r="C4071" t="s">
        <v>6935</v>
      </c>
      <c r="D4071" s="1">
        <v>45575</v>
      </c>
      <c r="E4071" s="1">
        <v>45585</v>
      </c>
      <c r="F4071" s="1">
        <v>45585</v>
      </c>
      <c r="G4071">
        <v>46.73</v>
      </c>
      <c r="H40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071" t="str">
        <f>IFERROR(INDEX(Raw_orders!G:G, MATCH(shipments[[#This Row],[order_id]],Raw_orders!A:A, 0)), "Unknown")</f>
        <v>Central Europe</v>
      </c>
      <c r="J4071" t="str">
        <f>PROPER(shipments[[#This Row],[delivery_status]])</f>
        <v>Delivered</v>
      </c>
      <c r="K4071" t="s">
        <v>6929</v>
      </c>
    </row>
    <row r="4072" spans="1:11">
      <c r="A4072" t="s">
        <v>11008</v>
      </c>
      <c r="B4072" t="s">
        <v>4737</v>
      </c>
      <c r="C4072" t="s">
        <v>6931</v>
      </c>
      <c r="D4072" s="1">
        <v>45236</v>
      </c>
      <c r="E4072" s="1">
        <v>45238</v>
      </c>
      <c r="F4072" s="1">
        <v>45237</v>
      </c>
      <c r="G4072">
        <v>18.8</v>
      </c>
      <c r="H40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072" t="str">
        <f>IFERROR(INDEX(Raw_orders!G:G, MATCH(shipments[[#This Row],[order_id]],Raw_orders!A:A, 0)), "Unknown")</f>
        <v>Baltics</v>
      </c>
      <c r="J4072" t="str">
        <f>PROPER(shipments[[#This Row],[delivery_status]])</f>
        <v>Delivered</v>
      </c>
      <c r="K4072" t="s">
        <v>6922</v>
      </c>
    </row>
    <row r="4073" spans="1:11">
      <c r="A4073" t="s">
        <v>11009</v>
      </c>
      <c r="B4073" t="s">
        <v>4738</v>
      </c>
      <c r="C4073" t="s">
        <v>6931</v>
      </c>
      <c r="D4073" s="1">
        <v>45385</v>
      </c>
      <c r="E4073" s="1">
        <v>45388</v>
      </c>
      <c r="F4073" s="1"/>
      <c r="G4073">
        <v>12.49</v>
      </c>
      <c r="H40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073" t="str">
        <f>IFERROR(INDEX(Raw_orders!G:G, MATCH(shipments[[#This Row],[order_id]],Raw_orders!A:A, 0)), "Unknown")</f>
        <v>Baltics</v>
      </c>
      <c r="J4073" t="str">
        <f>PROPER(shipments[[#This Row],[delivery_status]])</f>
        <v>Cancelled</v>
      </c>
      <c r="K4073" t="s">
        <v>6972</v>
      </c>
    </row>
    <row r="4074" spans="1:11">
      <c r="A4074" t="s">
        <v>11010</v>
      </c>
      <c r="B4074" t="s">
        <v>4739</v>
      </c>
      <c r="C4074" t="s">
        <v>6940</v>
      </c>
      <c r="D4074" s="1">
        <v>45033</v>
      </c>
      <c r="E4074" s="1">
        <v>45040</v>
      </c>
      <c r="F4074" s="1">
        <v>45048</v>
      </c>
      <c r="G4074">
        <v>28.76</v>
      </c>
      <c r="H40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74" t="str">
        <f>IFERROR(INDEX(Raw_orders!G:G, MATCH(shipments[[#This Row],[order_id]],Raw_orders!A:A, 0)), "Unknown")</f>
        <v>Nordics</v>
      </c>
      <c r="J4074" t="str">
        <f>PROPER(shipments[[#This Row],[delivery_status]])</f>
        <v>Delivered</v>
      </c>
      <c r="K4074" t="s">
        <v>6922</v>
      </c>
    </row>
    <row r="4075" spans="1:11">
      <c r="A4075" t="s">
        <v>11011</v>
      </c>
      <c r="B4075" t="s">
        <v>4740</v>
      </c>
      <c r="C4075" t="s">
        <v>6925</v>
      </c>
      <c r="D4075" s="1">
        <v>45167</v>
      </c>
      <c r="E4075" s="1">
        <v>45169</v>
      </c>
      <c r="F4075" s="1">
        <v>45171</v>
      </c>
      <c r="G4075">
        <v>50.66</v>
      </c>
      <c r="H40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75" t="str">
        <f>IFERROR(INDEX(Raw_orders!G:G, MATCH(shipments[[#This Row],[order_id]],Raw_orders!A:A, 0)), "Unknown")</f>
        <v>Central Europe</v>
      </c>
      <c r="J4075" t="str">
        <f>PROPER(shipments[[#This Row],[delivery_status]])</f>
        <v>Delivered</v>
      </c>
      <c r="K4075" t="s">
        <v>6922</v>
      </c>
    </row>
    <row r="4076" spans="1:11">
      <c r="A4076" t="s">
        <v>11012</v>
      </c>
      <c r="B4076" t="s">
        <v>4741</v>
      </c>
      <c r="C4076" t="s">
        <v>6935</v>
      </c>
      <c r="D4076" s="1">
        <v>44969</v>
      </c>
      <c r="E4076" s="1">
        <v>44976</v>
      </c>
      <c r="F4076" s="1">
        <v>44981</v>
      </c>
      <c r="G4076">
        <v>39.19</v>
      </c>
      <c r="H40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76" t="str">
        <f>IFERROR(INDEX(Raw_orders!G:G, MATCH(shipments[[#This Row],[order_id]],Raw_orders!A:A, 0)), "Unknown")</f>
        <v>Nordics</v>
      </c>
      <c r="J4076" t="str">
        <f>PROPER(shipments[[#This Row],[delivery_status]])</f>
        <v>Delivered</v>
      </c>
      <c r="K4076" t="s">
        <v>6926</v>
      </c>
    </row>
    <row r="4077" spans="1:11">
      <c r="A4077" t="s">
        <v>11013</v>
      </c>
      <c r="B4077" t="s">
        <v>4742</v>
      </c>
      <c r="C4077" t="s">
        <v>6921</v>
      </c>
      <c r="D4077" s="1">
        <v>45509</v>
      </c>
      <c r="E4077" s="1">
        <v>45516</v>
      </c>
      <c r="F4077" s="1">
        <v>45516</v>
      </c>
      <c r="G4077">
        <v>20.58</v>
      </c>
      <c r="H40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077" t="str">
        <f>IFERROR(INDEX(Raw_orders!G:G, MATCH(shipments[[#This Row],[order_id]],Raw_orders!A:A, 0)), "Unknown")</f>
        <v>Nordics</v>
      </c>
      <c r="J4077" t="str">
        <f>PROPER(shipments[[#This Row],[delivery_status]])</f>
        <v>Delivered</v>
      </c>
      <c r="K4077" t="s">
        <v>6922</v>
      </c>
    </row>
    <row r="4078" spans="1:11">
      <c r="A4078" t="s">
        <v>11014</v>
      </c>
      <c r="B4078" t="s">
        <v>4743</v>
      </c>
      <c r="C4078" t="s">
        <v>6928</v>
      </c>
      <c r="D4078" s="1">
        <v>45517</v>
      </c>
      <c r="E4078" s="1">
        <v>45527</v>
      </c>
      <c r="F4078" s="1"/>
      <c r="G4078">
        <v>55.21</v>
      </c>
      <c r="H40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078" t="str">
        <f>IFERROR(INDEX(Raw_orders!G:G, MATCH(shipments[[#This Row],[order_id]],Raw_orders!A:A, 0)), "Unknown")</f>
        <v>Central Europe</v>
      </c>
      <c r="J4078" t="str">
        <f>PROPER(shipments[[#This Row],[delivery_status]])</f>
        <v>Cancelled</v>
      </c>
      <c r="K4078" t="s">
        <v>6963</v>
      </c>
    </row>
    <row r="4079" spans="1:11">
      <c r="A4079" t="s">
        <v>11015</v>
      </c>
      <c r="B4079" t="s">
        <v>4744</v>
      </c>
      <c r="C4079" t="s">
        <v>6940</v>
      </c>
      <c r="D4079" s="1">
        <v>44945</v>
      </c>
      <c r="E4079" s="1">
        <v>44952</v>
      </c>
      <c r="F4079" s="1">
        <v>44952</v>
      </c>
      <c r="G4079">
        <v>44.58</v>
      </c>
      <c r="H40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079" t="str">
        <f>IFERROR(INDEX(Raw_orders!G:G, MATCH(shipments[[#This Row],[order_id]],Raw_orders!A:A, 0)), "Unknown")</f>
        <v>Central Europe</v>
      </c>
      <c r="J4079" t="str">
        <f>PROPER(shipments[[#This Row],[delivery_status]])</f>
        <v>Delivered</v>
      </c>
      <c r="K4079" t="s">
        <v>6926</v>
      </c>
    </row>
    <row r="4080" spans="1:11">
      <c r="A4080" t="s">
        <v>11016</v>
      </c>
      <c r="B4080" t="s">
        <v>4745</v>
      </c>
      <c r="C4080" t="s">
        <v>6940</v>
      </c>
      <c r="D4080" s="1">
        <v>45428</v>
      </c>
      <c r="E4080" s="1">
        <v>45438</v>
      </c>
      <c r="F4080" s="1">
        <v>45437</v>
      </c>
      <c r="G4080">
        <v>30.42</v>
      </c>
      <c r="H40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080" t="str">
        <f>IFERROR(INDEX(Raw_orders!G:G, MATCH(shipments[[#This Row],[order_id]],Raw_orders!A:A, 0)), "Unknown")</f>
        <v>Nordics</v>
      </c>
      <c r="J4080" t="str">
        <f>PROPER(shipments[[#This Row],[delivery_status]])</f>
        <v>Delivered</v>
      </c>
      <c r="K4080" t="s">
        <v>6922</v>
      </c>
    </row>
    <row r="4081" spans="1:11">
      <c r="A4081" t="s">
        <v>11017</v>
      </c>
      <c r="B4081" t="s">
        <v>4746</v>
      </c>
      <c r="C4081" t="s">
        <v>6928</v>
      </c>
      <c r="D4081" s="1">
        <v>45361</v>
      </c>
      <c r="E4081" s="1">
        <v>45371</v>
      </c>
      <c r="F4081" s="1">
        <v>45384</v>
      </c>
      <c r="G4081">
        <v>44.91</v>
      </c>
      <c r="H40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81" t="str">
        <f>IFERROR(INDEX(Raw_orders!G:G, MATCH(shipments[[#This Row],[order_id]],Raw_orders!A:A, 0)), "Unknown")</f>
        <v>Baltics</v>
      </c>
      <c r="J4081" t="str">
        <f>PROPER(shipments[[#This Row],[delivery_status]])</f>
        <v>Delivered</v>
      </c>
      <c r="K4081" t="s">
        <v>6929</v>
      </c>
    </row>
    <row r="4082" spans="1:11">
      <c r="A4082" t="s">
        <v>11018</v>
      </c>
      <c r="B4082" t="s">
        <v>4747</v>
      </c>
      <c r="C4082" t="s">
        <v>6956</v>
      </c>
      <c r="D4082" s="1">
        <v>45145</v>
      </c>
      <c r="E4082" s="1">
        <v>45150</v>
      </c>
      <c r="F4082" s="1">
        <v>45153</v>
      </c>
      <c r="G4082">
        <v>52.93</v>
      </c>
      <c r="H40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82" t="str">
        <f>IFERROR(INDEX(Raw_orders!G:G, MATCH(shipments[[#This Row],[order_id]],Raw_orders!A:A, 0)), "Unknown")</f>
        <v>Central Europe</v>
      </c>
      <c r="J4082" t="str">
        <f>PROPER(shipments[[#This Row],[delivery_status]])</f>
        <v>Delivered</v>
      </c>
      <c r="K4082" t="s">
        <v>6922</v>
      </c>
    </row>
    <row r="4083" spans="1:11">
      <c r="A4083" t="s">
        <v>11019</v>
      </c>
      <c r="B4083" t="s">
        <v>4748</v>
      </c>
      <c r="C4083" t="s">
        <v>6925</v>
      </c>
      <c r="D4083" s="1">
        <v>44948</v>
      </c>
      <c r="E4083" s="1">
        <v>44953</v>
      </c>
      <c r="F4083" s="1">
        <v>44953</v>
      </c>
      <c r="G4083">
        <v>22.79</v>
      </c>
      <c r="H40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083" t="str">
        <f>IFERROR(INDEX(Raw_orders!G:G, MATCH(shipments[[#This Row],[order_id]],Raw_orders!A:A, 0)), "Unknown")</f>
        <v>Nordics</v>
      </c>
      <c r="J4083" t="str">
        <f>PROPER(shipments[[#This Row],[delivery_status]])</f>
        <v>Delivered</v>
      </c>
      <c r="K4083" t="s">
        <v>6929</v>
      </c>
    </row>
    <row r="4084" spans="1:11">
      <c r="A4084" t="s">
        <v>11020</v>
      </c>
      <c r="B4084" t="s">
        <v>4749</v>
      </c>
      <c r="C4084" t="s">
        <v>6935</v>
      </c>
      <c r="D4084" s="1">
        <v>45124</v>
      </c>
      <c r="E4084" s="1">
        <v>45127</v>
      </c>
      <c r="F4084" s="1">
        <v>45128</v>
      </c>
      <c r="G4084">
        <v>28.99</v>
      </c>
      <c r="H40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84" t="str">
        <f>IFERROR(INDEX(Raw_orders!G:G, MATCH(shipments[[#This Row],[order_id]],Raw_orders!A:A, 0)), "Unknown")</f>
        <v>Nordics</v>
      </c>
      <c r="J4084" t="str">
        <f>PROPER(shipments[[#This Row],[delivery_status]])</f>
        <v>Delivered</v>
      </c>
      <c r="K4084" t="s">
        <v>6926</v>
      </c>
    </row>
    <row r="4085" spans="1:11">
      <c r="A4085" t="s">
        <v>11021</v>
      </c>
      <c r="B4085" t="s">
        <v>4750</v>
      </c>
      <c r="C4085" t="s">
        <v>6956</v>
      </c>
      <c r="D4085" s="1">
        <v>45465</v>
      </c>
      <c r="E4085" s="1">
        <v>45468</v>
      </c>
      <c r="F4085" s="1">
        <v>45475</v>
      </c>
      <c r="G4085">
        <v>28.17</v>
      </c>
      <c r="H40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85" t="str">
        <f>IFERROR(INDEX(Raw_orders!G:G, MATCH(shipments[[#This Row],[order_id]],Raw_orders!A:A, 0)), "Unknown")</f>
        <v>Nordics</v>
      </c>
      <c r="J4085" t="str">
        <f>PROPER(shipments[[#This Row],[delivery_status]])</f>
        <v>Delivered</v>
      </c>
      <c r="K4085" t="s">
        <v>6929</v>
      </c>
    </row>
    <row r="4086" spans="1:11">
      <c r="A4086" t="s">
        <v>11022</v>
      </c>
      <c r="B4086" t="s">
        <v>4750</v>
      </c>
      <c r="C4086" t="s">
        <v>6921</v>
      </c>
      <c r="D4086" s="1">
        <v>45465</v>
      </c>
      <c r="E4086" s="1">
        <v>45468</v>
      </c>
      <c r="F4086" s="1">
        <v>45473</v>
      </c>
      <c r="G4086">
        <v>53.02</v>
      </c>
      <c r="H40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86" t="str">
        <f>IFERROR(INDEX(Raw_orders!G:G, MATCH(shipments[[#This Row],[order_id]],Raw_orders!A:A, 0)), "Unknown")</f>
        <v>Nordics</v>
      </c>
      <c r="J4086" t="str">
        <f>PROPER(shipments[[#This Row],[delivery_status]])</f>
        <v>Delivered</v>
      </c>
      <c r="K4086" t="s">
        <v>6929</v>
      </c>
    </row>
    <row r="4087" spans="1:11">
      <c r="A4087" t="s">
        <v>11023</v>
      </c>
      <c r="B4087" t="s">
        <v>4751</v>
      </c>
      <c r="C4087" t="s">
        <v>6928</v>
      </c>
      <c r="D4087" s="1">
        <v>45253</v>
      </c>
      <c r="E4087" s="1">
        <v>45256</v>
      </c>
      <c r="F4087" s="1">
        <v>45256</v>
      </c>
      <c r="G4087">
        <v>28.16</v>
      </c>
      <c r="H40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087" t="str">
        <f>IFERROR(INDEX(Raw_orders!G:G, MATCH(shipments[[#This Row],[order_id]],Raw_orders!A:A, 0)), "Unknown")</f>
        <v>Nordics</v>
      </c>
      <c r="J4087" t="str">
        <f>PROPER(shipments[[#This Row],[delivery_status]])</f>
        <v>Delivered</v>
      </c>
      <c r="K4087" t="s">
        <v>6926</v>
      </c>
    </row>
    <row r="4088" spans="1:11">
      <c r="A4088" t="s">
        <v>11024</v>
      </c>
      <c r="B4088" t="s">
        <v>4752</v>
      </c>
      <c r="C4088" t="s">
        <v>6925</v>
      </c>
      <c r="D4088" s="1">
        <v>45187</v>
      </c>
      <c r="E4088" s="1">
        <v>45197</v>
      </c>
      <c r="F4088" s="1">
        <v>45196</v>
      </c>
      <c r="G4088">
        <v>23.73</v>
      </c>
      <c r="H40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088" t="str">
        <f>IFERROR(INDEX(Raw_orders!G:G, MATCH(shipments[[#This Row],[order_id]],Raw_orders!A:A, 0)), "Unknown")</f>
        <v>Nordics</v>
      </c>
      <c r="J4088" t="str">
        <f>PROPER(shipments[[#This Row],[delivery_status]])</f>
        <v>Delivered</v>
      </c>
      <c r="K4088" t="s">
        <v>6922</v>
      </c>
    </row>
    <row r="4089" spans="1:11">
      <c r="A4089" t="s">
        <v>11025</v>
      </c>
      <c r="B4089" t="s">
        <v>4753</v>
      </c>
      <c r="C4089" t="s">
        <v>6956</v>
      </c>
      <c r="D4089" s="1">
        <v>45317</v>
      </c>
      <c r="E4089" s="1">
        <v>45322</v>
      </c>
      <c r="F4089" s="1">
        <v>45322</v>
      </c>
      <c r="G4089">
        <v>41.79</v>
      </c>
      <c r="H40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089" t="str">
        <f>IFERROR(INDEX(Raw_orders!G:G, MATCH(shipments[[#This Row],[order_id]],Raw_orders!A:A, 0)), "Unknown")</f>
        <v>Nordics</v>
      </c>
      <c r="J4089" t="str">
        <f>PROPER(shipments[[#This Row],[delivery_status]])</f>
        <v>Delivered</v>
      </c>
      <c r="K4089" t="s">
        <v>6926</v>
      </c>
    </row>
    <row r="4090" spans="1:11">
      <c r="A4090" t="s">
        <v>11026</v>
      </c>
      <c r="B4090" t="s">
        <v>4754</v>
      </c>
      <c r="C4090" t="s">
        <v>6935</v>
      </c>
      <c r="D4090" s="1">
        <v>45574</v>
      </c>
      <c r="E4090" s="1">
        <v>45579</v>
      </c>
      <c r="F4090" s="1"/>
      <c r="G4090">
        <v>51.63</v>
      </c>
      <c r="H40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090" t="str">
        <f>IFERROR(INDEX(Raw_orders!G:G, MATCH(shipments[[#This Row],[order_id]],Raw_orders!A:A, 0)), "Unknown")</f>
        <v>Central Europe</v>
      </c>
      <c r="J4090" t="str">
        <f>PROPER(shipments[[#This Row],[delivery_status]])</f>
        <v>Cancelled</v>
      </c>
      <c r="K4090" t="s">
        <v>6972</v>
      </c>
    </row>
    <row r="4091" spans="1:11">
      <c r="A4091" t="s">
        <v>11027</v>
      </c>
      <c r="B4091" t="s">
        <v>4755</v>
      </c>
      <c r="C4091" t="s">
        <v>6928</v>
      </c>
      <c r="D4091" s="1">
        <v>45261</v>
      </c>
      <c r="E4091" s="1">
        <v>45271</v>
      </c>
      <c r="F4091" s="1">
        <v>45279</v>
      </c>
      <c r="G4091">
        <v>8.1300000000000008</v>
      </c>
      <c r="H40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91" t="str">
        <f>IFERROR(INDEX(Raw_orders!G:G, MATCH(shipments[[#This Row],[order_id]],Raw_orders!A:A, 0)), "Unknown")</f>
        <v>Central Europe</v>
      </c>
      <c r="J4091" t="str">
        <f>PROPER(shipments[[#This Row],[delivery_status]])</f>
        <v>Delivered</v>
      </c>
      <c r="K4091" t="s">
        <v>6922</v>
      </c>
    </row>
    <row r="4092" spans="1:11">
      <c r="A4092" t="s">
        <v>11028</v>
      </c>
      <c r="B4092" t="s">
        <v>4756</v>
      </c>
      <c r="C4092" t="s">
        <v>6928</v>
      </c>
      <c r="D4092" s="1">
        <v>44943</v>
      </c>
      <c r="E4092" s="1">
        <v>44950</v>
      </c>
      <c r="F4092" s="1">
        <v>44955</v>
      </c>
      <c r="G4092">
        <v>12.83</v>
      </c>
      <c r="H40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92" t="str">
        <f>IFERROR(INDEX(Raw_orders!G:G, MATCH(shipments[[#This Row],[order_id]],Raw_orders!A:A, 0)), "Unknown")</f>
        <v>Baltics</v>
      </c>
      <c r="J4092" t="str">
        <f>PROPER(shipments[[#This Row],[delivery_status]])</f>
        <v>Delivered</v>
      </c>
      <c r="K4092" t="s">
        <v>6929</v>
      </c>
    </row>
    <row r="4093" spans="1:11">
      <c r="A4093" t="s">
        <v>11029</v>
      </c>
      <c r="B4093" t="s">
        <v>4757</v>
      </c>
      <c r="C4093" t="s">
        <v>6940</v>
      </c>
      <c r="D4093" s="1">
        <v>45058</v>
      </c>
      <c r="E4093" s="1">
        <v>45068</v>
      </c>
      <c r="F4093" s="1">
        <v>45078</v>
      </c>
      <c r="G4093">
        <v>19.899999999999999</v>
      </c>
      <c r="H40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93" t="str">
        <f>IFERROR(INDEX(Raw_orders!G:G, MATCH(shipments[[#This Row],[order_id]],Raw_orders!A:A, 0)), "Unknown")</f>
        <v>Central Europe</v>
      </c>
      <c r="J4093" t="str">
        <f>PROPER(shipments[[#This Row],[delivery_status]])</f>
        <v>Delivered</v>
      </c>
      <c r="K4093" t="s">
        <v>6926</v>
      </c>
    </row>
    <row r="4094" spans="1:11">
      <c r="A4094" t="s">
        <v>11030</v>
      </c>
      <c r="B4094" t="s">
        <v>4758</v>
      </c>
      <c r="C4094" t="s">
        <v>6928</v>
      </c>
      <c r="D4094" s="1">
        <v>45179</v>
      </c>
      <c r="E4094" s="1">
        <v>45181</v>
      </c>
      <c r="F4094" s="1">
        <v>45182</v>
      </c>
      <c r="G4094">
        <v>17.07</v>
      </c>
      <c r="H40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94" t="str">
        <f>IFERROR(INDEX(Raw_orders!G:G, MATCH(shipments[[#This Row],[order_id]],Raw_orders!A:A, 0)), "Unknown")</f>
        <v>Baltics</v>
      </c>
      <c r="J4094" t="str">
        <f>PROPER(shipments[[#This Row],[delivery_status]])</f>
        <v>Delivered</v>
      </c>
      <c r="K4094" t="s">
        <v>6922</v>
      </c>
    </row>
    <row r="4095" spans="1:11">
      <c r="A4095" t="s">
        <v>11031</v>
      </c>
      <c r="B4095" t="s">
        <v>4759</v>
      </c>
      <c r="C4095" t="s">
        <v>6931</v>
      </c>
      <c r="D4095" s="1">
        <v>45181</v>
      </c>
      <c r="E4095" s="1">
        <v>45184</v>
      </c>
      <c r="F4095" s="1">
        <v>45187</v>
      </c>
      <c r="G4095">
        <v>12.85</v>
      </c>
      <c r="H40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95" t="str">
        <f>IFERROR(INDEX(Raw_orders!G:G, MATCH(shipments[[#This Row],[order_id]],Raw_orders!A:A, 0)), "Unknown")</f>
        <v>Baltics</v>
      </c>
      <c r="J4095" t="str">
        <f>PROPER(shipments[[#This Row],[delivery_status]])</f>
        <v>Delivered</v>
      </c>
      <c r="K4095" t="s">
        <v>6926</v>
      </c>
    </row>
    <row r="4096" spans="1:11">
      <c r="A4096" t="s">
        <v>11032</v>
      </c>
      <c r="B4096" t="s">
        <v>4760</v>
      </c>
      <c r="C4096" t="s">
        <v>6956</v>
      </c>
      <c r="D4096" s="1">
        <v>45563</v>
      </c>
      <c r="E4096" s="1">
        <v>45570</v>
      </c>
      <c r="F4096" s="1">
        <v>45573</v>
      </c>
      <c r="G4096">
        <v>52.4</v>
      </c>
      <c r="H40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096" t="str">
        <f>IFERROR(INDEX(Raw_orders!G:G, MATCH(shipments[[#This Row],[order_id]],Raw_orders!A:A, 0)), "Unknown")</f>
        <v>Baltics</v>
      </c>
      <c r="J4096" t="str">
        <f>PROPER(shipments[[#This Row],[delivery_status]])</f>
        <v>Delivered</v>
      </c>
      <c r="K4096" t="s">
        <v>6929</v>
      </c>
    </row>
    <row r="4097" spans="1:11">
      <c r="A4097" t="s">
        <v>11033</v>
      </c>
      <c r="B4097" t="s">
        <v>4761</v>
      </c>
      <c r="C4097" t="s">
        <v>6956</v>
      </c>
      <c r="D4097" s="1">
        <v>45572</v>
      </c>
      <c r="E4097" s="1">
        <v>45582</v>
      </c>
      <c r="F4097" s="1">
        <v>45582</v>
      </c>
      <c r="G4097">
        <v>23.24</v>
      </c>
      <c r="H40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097" t="str">
        <f>IFERROR(INDEX(Raw_orders!G:G, MATCH(shipments[[#This Row],[order_id]],Raw_orders!A:A, 0)), "Unknown")</f>
        <v>Nordics</v>
      </c>
      <c r="J4097" t="str">
        <f>PROPER(shipments[[#This Row],[delivery_status]])</f>
        <v>Delivered</v>
      </c>
      <c r="K4097" t="s">
        <v>6929</v>
      </c>
    </row>
    <row r="4098" spans="1:11">
      <c r="A4098" t="s">
        <v>11034</v>
      </c>
      <c r="B4098" t="s">
        <v>4762</v>
      </c>
      <c r="C4098" t="s">
        <v>6921</v>
      </c>
      <c r="D4098" s="1">
        <v>45511</v>
      </c>
      <c r="E4098" s="1">
        <v>45516</v>
      </c>
      <c r="F4098" s="1">
        <v>45516</v>
      </c>
      <c r="G4098">
        <v>14.11</v>
      </c>
      <c r="H40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098" t="str">
        <f>IFERROR(INDEX(Raw_orders!G:G, MATCH(shipments[[#This Row],[order_id]],Raw_orders!A:A, 0)), "Unknown")</f>
        <v>Baltics</v>
      </c>
      <c r="J4098" t="str">
        <f>PROPER(shipments[[#This Row],[delivery_status]])</f>
        <v>Delivered</v>
      </c>
      <c r="K4098" t="s">
        <v>6929</v>
      </c>
    </row>
    <row r="4099" spans="1:11">
      <c r="A4099" t="s">
        <v>11035</v>
      </c>
      <c r="B4099" t="s">
        <v>4763</v>
      </c>
      <c r="C4099" t="s">
        <v>6921</v>
      </c>
      <c r="D4099" s="1">
        <v>45425</v>
      </c>
      <c r="E4099" s="1">
        <v>45432</v>
      </c>
      <c r="F4099" s="1">
        <v>45431</v>
      </c>
      <c r="G4099">
        <v>14.05</v>
      </c>
      <c r="H40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099" t="str">
        <f>IFERROR(INDEX(Raw_orders!G:G, MATCH(shipments[[#This Row],[order_id]],Raw_orders!A:A, 0)), "Unknown")</f>
        <v>Nordics</v>
      </c>
      <c r="J4099" t="str">
        <f>PROPER(shipments[[#This Row],[delivery_status]])</f>
        <v>Delivered</v>
      </c>
      <c r="K4099" t="s">
        <v>6922</v>
      </c>
    </row>
    <row r="4100" spans="1:11">
      <c r="A4100" t="s">
        <v>11036</v>
      </c>
      <c r="B4100" t="s">
        <v>4764</v>
      </c>
      <c r="C4100" t="s">
        <v>6940</v>
      </c>
      <c r="D4100" s="1">
        <v>45608</v>
      </c>
      <c r="E4100" s="1">
        <v>45613</v>
      </c>
      <c r="F4100" s="1">
        <v>45614</v>
      </c>
      <c r="G4100">
        <v>51.74</v>
      </c>
      <c r="H41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00" t="str">
        <f>IFERROR(INDEX(Raw_orders!G:G, MATCH(shipments[[#This Row],[order_id]],Raw_orders!A:A, 0)), "Unknown")</f>
        <v>Baltics</v>
      </c>
      <c r="J4100" t="str">
        <f>PROPER(shipments[[#This Row],[delivery_status]])</f>
        <v>Delivered</v>
      </c>
      <c r="K4100" t="s">
        <v>6922</v>
      </c>
    </row>
    <row r="4101" spans="1:11">
      <c r="A4101" t="s">
        <v>11037</v>
      </c>
      <c r="B4101" t="s">
        <v>4765</v>
      </c>
      <c r="C4101" t="s">
        <v>6956</v>
      </c>
      <c r="D4101" s="1">
        <v>45058</v>
      </c>
      <c r="E4101" s="1">
        <v>45061</v>
      </c>
      <c r="F4101" s="1"/>
      <c r="G4101">
        <v>44.89</v>
      </c>
      <c r="H41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101" t="str">
        <f>IFERROR(INDEX(Raw_orders!G:G, MATCH(shipments[[#This Row],[order_id]],Raw_orders!A:A, 0)), "Unknown")</f>
        <v>Baltics</v>
      </c>
      <c r="J4101" t="str">
        <f>PROPER(shipments[[#This Row],[delivery_status]])</f>
        <v>In Transit</v>
      </c>
      <c r="K4101" t="s">
        <v>6946</v>
      </c>
    </row>
    <row r="4102" spans="1:11">
      <c r="A4102" t="s">
        <v>11038</v>
      </c>
      <c r="B4102" t="s">
        <v>4766</v>
      </c>
      <c r="C4102" t="s">
        <v>6928</v>
      </c>
      <c r="D4102" s="1">
        <v>44934</v>
      </c>
      <c r="E4102" s="1">
        <v>44944</v>
      </c>
      <c r="F4102" s="1">
        <v>44955</v>
      </c>
      <c r="G4102">
        <v>22.6</v>
      </c>
      <c r="H41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02" t="str">
        <f>IFERROR(INDEX(Raw_orders!G:G, MATCH(shipments[[#This Row],[order_id]],Raw_orders!A:A, 0)), "Unknown")</f>
        <v>Nordics</v>
      </c>
      <c r="J4102" t="str">
        <f>PROPER(shipments[[#This Row],[delivery_status]])</f>
        <v>Delivered</v>
      </c>
      <c r="K4102" t="s">
        <v>6922</v>
      </c>
    </row>
    <row r="4103" spans="1:11">
      <c r="A4103" t="s">
        <v>11039</v>
      </c>
      <c r="B4103" t="s">
        <v>4767</v>
      </c>
      <c r="C4103" t="s">
        <v>6921</v>
      </c>
      <c r="D4103" s="1">
        <v>45518</v>
      </c>
      <c r="E4103" s="1">
        <v>45520</v>
      </c>
      <c r="F4103" s="1">
        <v>45523</v>
      </c>
      <c r="G4103">
        <v>18.39</v>
      </c>
      <c r="H41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03" t="str">
        <f>IFERROR(INDEX(Raw_orders!G:G, MATCH(shipments[[#This Row],[order_id]],Raw_orders!A:A, 0)), "Unknown")</f>
        <v>Central Europe</v>
      </c>
      <c r="J4103" t="str">
        <f>PROPER(shipments[[#This Row],[delivery_status]])</f>
        <v>Delivered</v>
      </c>
      <c r="K4103" t="s">
        <v>6926</v>
      </c>
    </row>
    <row r="4104" spans="1:11">
      <c r="A4104" t="s">
        <v>11040</v>
      </c>
      <c r="B4104" t="s">
        <v>4768</v>
      </c>
      <c r="C4104" t="s">
        <v>6938</v>
      </c>
      <c r="D4104" s="1">
        <v>44979</v>
      </c>
      <c r="E4104" s="1">
        <v>44989</v>
      </c>
      <c r="F4104" s="1">
        <v>44992</v>
      </c>
      <c r="G4104">
        <v>54.05</v>
      </c>
      <c r="H41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04" t="str">
        <f>IFERROR(INDEX(Raw_orders!G:G, MATCH(shipments[[#This Row],[order_id]],Raw_orders!A:A, 0)), "Unknown")</f>
        <v>Baltics</v>
      </c>
      <c r="J4104" t="str">
        <f>PROPER(shipments[[#This Row],[delivery_status]])</f>
        <v>Delivered</v>
      </c>
      <c r="K4104" t="s">
        <v>6929</v>
      </c>
    </row>
    <row r="4105" spans="1:11">
      <c r="A4105" t="s">
        <v>11041</v>
      </c>
      <c r="B4105" t="s">
        <v>4769</v>
      </c>
      <c r="C4105" t="s">
        <v>6940</v>
      </c>
      <c r="D4105" s="1">
        <v>45168</v>
      </c>
      <c r="E4105" s="1">
        <v>45175</v>
      </c>
      <c r="F4105" s="1">
        <v>45175</v>
      </c>
      <c r="G4105">
        <v>42.55</v>
      </c>
      <c r="H41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105" t="str">
        <f>IFERROR(INDEX(Raw_orders!G:G, MATCH(shipments[[#This Row],[order_id]],Raw_orders!A:A, 0)), "Unknown")</f>
        <v>Central Europe</v>
      </c>
      <c r="J4105" t="str">
        <f>PROPER(shipments[[#This Row],[delivery_status]])</f>
        <v>Delivered</v>
      </c>
      <c r="K4105" t="s">
        <v>6922</v>
      </c>
    </row>
    <row r="4106" spans="1:11">
      <c r="A4106" t="s">
        <v>11042</v>
      </c>
      <c r="B4106" t="s">
        <v>4770</v>
      </c>
      <c r="C4106" t="s">
        <v>6935</v>
      </c>
      <c r="D4106" s="1">
        <v>45203</v>
      </c>
      <c r="E4106" s="1">
        <v>45205</v>
      </c>
      <c r="F4106" s="1">
        <v>45207</v>
      </c>
      <c r="G4106">
        <v>60.05</v>
      </c>
      <c r="H41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06" t="str">
        <f>IFERROR(INDEX(Raw_orders!G:G, MATCH(shipments[[#This Row],[order_id]],Raw_orders!A:A, 0)), "Unknown")</f>
        <v>Baltics</v>
      </c>
      <c r="J4106" t="str">
        <f>PROPER(shipments[[#This Row],[delivery_status]])</f>
        <v>Delivered</v>
      </c>
      <c r="K4106" t="s">
        <v>6929</v>
      </c>
    </row>
    <row r="4107" spans="1:11">
      <c r="A4107" t="s">
        <v>11043</v>
      </c>
      <c r="B4107" t="s">
        <v>4771</v>
      </c>
      <c r="C4107" t="s">
        <v>6940</v>
      </c>
      <c r="D4107" s="1">
        <v>45208</v>
      </c>
      <c r="E4107" s="1">
        <v>45213</v>
      </c>
      <c r="F4107" s="1">
        <v>45213</v>
      </c>
      <c r="G4107">
        <v>18.920000000000002</v>
      </c>
      <c r="H41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107" t="str">
        <f>IFERROR(INDEX(Raw_orders!G:G, MATCH(shipments[[#This Row],[order_id]],Raw_orders!A:A, 0)), "Unknown")</f>
        <v>Central Europe</v>
      </c>
      <c r="J4107" t="str">
        <f>PROPER(shipments[[#This Row],[delivery_status]])</f>
        <v>Delivered</v>
      </c>
      <c r="K4107" t="s">
        <v>6929</v>
      </c>
    </row>
    <row r="4108" spans="1:11">
      <c r="A4108" t="s">
        <v>11044</v>
      </c>
      <c r="B4108" t="s">
        <v>4771</v>
      </c>
      <c r="C4108" t="s">
        <v>6956</v>
      </c>
      <c r="D4108" s="1">
        <v>45208</v>
      </c>
      <c r="E4108" s="1">
        <v>45211</v>
      </c>
      <c r="F4108" s="1"/>
      <c r="G4108">
        <v>18.97</v>
      </c>
      <c r="H41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108" t="str">
        <f>IFERROR(INDEX(Raw_orders!G:G, MATCH(shipments[[#This Row],[order_id]],Raw_orders!A:A, 0)), "Unknown")</f>
        <v>Central Europe</v>
      </c>
      <c r="J4108" t="str">
        <f>PROPER(shipments[[#This Row],[delivery_status]])</f>
        <v>Cancelled</v>
      </c>
      <c r="K4108" t="s">
        <v>6979</v>
      </c>
    </row>
    <row r="4109" spans="1:11">
      <c r="A4109" t="s">
        <v>11045</v>
      </c>
      <c r="B4109" t="s">
        <v>4772</v>
      </c>
      <c r="C4109" t="s">
        <v>6925</v>
      </c>
      <c r="D4109" s="1">
        <v>45508</v>
      </c>
      <c r="E4109" s="1">
        <v>45513</v>
      </c>
      <c r="F4109" s="1">
        <v>45525</v>
      </c>
      <c r="G4109">
        <v>58.02</v>
      </c>
      <c r="H41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09" t="str">
        <f>IFERROR(INDEX(Raw_orders!G:G, MATCH(shipments[[#This Row],[order_id]],Raw_orders!A:A, 0)), "Unknown")</f>
        <v>Nordics</v>
      </c>
      <c r="J4109" t="str">
        <f>PROPER(shipments[[#This Row],[delivery_status]])</f>
        <v>Delivered</v>
      </c>
      <c r="K4109" t="s">
        <v>6922</v>
      </c>
    </row>
    <row r="4110" spans="1:11">
      <c r="A4110" t="s">
        <v>11046</v>
      </c>
      <c r="B4110" t="s">
        <v>4773</v>
      </c>
      <c r="C4110" t="s">
        <v>6931</v>
      </c>
      <c r="D4110" s="1">
        <v>45217</v>
      </c>
      <c r="E4110" s="1">
        <v>45219</v>
      </c>
      <c r="F4110" s="1"/>
      <c r="G4110">
        <v>15.22</v>
      </c>
      <c r="H41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110" t="str">
        <f>IFERROR(INDEX(Raw_orders!G:G, MATCH(shipments[[#This Row],[order_id]],Raw_orders!A:A, 0)), "Unknown")</f>
        <v>Central Europe</v>
      </c>
      <c r="J4110" t="str">
        <f>PROPER(shipments[[#This Row],[delivery_status]])</f>
        <v>In Transit</v>
      </c>
      <c r="K4110" t="s">
        <v>6958</v>
      </c>
    </row>
    <row r="4111" spans="1:11">
      <c r="A4111" t="s">
        <v>11047</v>
      </c>
      <c r="B4111" t="s">
        <v>4774</v>
      </c>
      <c r="C4111" t="s">
        <v>6931</v>
      </c>
      <c r="D4111" s="1">
        <v>45442</v>
      </c>
      <c r="E4111" s="1">
        <v>45452</v>
      </c>
      <c r="F4111" s="1">
        <v>45452</v>
      </c>
      <c r="G4111">
        <v>57.15</v>
      </c>
      <c r="H41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111" t="str">
        <f>IFERROR(INDEX(Raw_orders!G:G, MATCH(shipments[[#This Row],[order_id]],Raw_orders!A:A, 0)), "Unknown")</f>
        <v>Central Europe</v>
      </c>
      <c r="J4111" t="str">
        <f>PROPER(shipments[[#This Row],[delivery_status]])</f>
        <v>Delivered</v>
      </c>
      <c r="K4111" t="s">
        <v>6926</v>
      </c>
    </row>
    <row r="4112" spans="1:11">
      <c r="A4112" t="s">
        <v>11048</v>
      </c>
      <c r="B4112" t="s">
        <v>4775</v>
      </c>
      <c r="C4112" t="s">
        <v>6956</v>
      </c>
      <c r="D4112" s="1">
        <v>45384</v>
      </c>
      <c r="E4112" s="1">
        <v>45394</v>
      </c>
      <c r="F4112" s="1"/>
      <c r="G4112">
        <v>19.260000000000002</v>
      </c>
      <c r="H41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112" t="str">
        <f>IFERROR(INDEX(Raw_orders!G:G, MATCH(shipments[[#This Row],[order_id]],Raw_orders!A:A, 0)), "Unknown")</f>
        <v>Baltics</v>
      </c>
      <c r="J4112" t="str">
        <f>PROPER(shipments[[#This Row],[delivery_status]])</f>
        <v>In Transit</v>
      </c>
      <c r="K4112" t="s">
        <v>6958</v>
      </c>
    </row>
    <row r="4113" spans="1:11">
      <c r="A4113" t="s">
        <v>11049</v>
      </c>
      <c r="B4113" t="s">
        <v>4776</v>
      </c>
      <c r="C4113" t="s">
        <v>6940</v>
      </c>
      <c r="D4113" s="1">
        <v>45385</v>
      </c>
      <c r="E4113" s="1">
        <v>45395</v>
      </c>
      <c r="F4113" s="1">
        <v>45395</v>
      </c>
      <c r="G4113">
        <v>35.340000000000003</v>
      </c>
      <c r="H41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113" t="str">
        <f>IFERROR(INDEX(Raw_orders!G:G, MATCH(shipments[[#This Row],[order_id]],Raw_orders!A:A, 0)), "Unknown")</f>
        <v>Baltics</v>
      </c>
      <c r="J4113" t="str">
        <f>PROPER(shipments[[#This Row],[delivery_status]])</f>
        <v>Delivered</v>
      </c>
      <c r="K4113" t="s">
        <v>6926</v>
      </c>
    </row>
    <row r="4114" spans="1:11">
      <c r="A4114" t="s">
        <v>11050</v>
      </c>
      <c r="B4114" t="s">
        <v>4777</v>
      </c>
      <c r="C4114" t="s">
        <v>6921</v>
      </c>
      <c r="D4114" s="1">
        <v>45050</v>
      </c>
      <c r="E4114" s="1">
        <v>45052</v>
      </c>
      <c r="F4114" s="1">
        <v>45055</v>
      </c>
      <c r="G4114">
        <v>11.62</v>
      </c>
      <c r="H41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14" t="str">
        <f>IFERROR(INDEX(Raw_orders!G:G, MATCH(shipments[[#This Row],[order_id]],Raw_orders!A:A, 0)), "Unknown")</f>
        <v>Nordics</v>
      </c>
      <c r="J4114" t="str">
        <f>PROPER(shipments[[#This Row],[delivery_status]])</f>
        <v>Delivered</v>
      </c>
      <c r="K4114" t="s">
        <v>6926</v>
      </c>
    </row>
    <row r="4115" spans="1:11">
      <c r="A4115" t="s">
        <v>11051</v>
      </c>
      <c r="B4115" t="s">
        <v>4778</v>
      </c>
      <c r="C4115" t="s">
        <v>6940</v>
      </c>
      <c r="D4115" s="1">
        <v>45176</v>
      </c>
      <c r="E4115" s="1">
        <v>45181</v>
      </c>
      <c r="F4115" s="1">
        <v>45181</v>
      </c>
      <c r="G4115">
        <v>63.67</v>
      </c>
      <c r="H41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115" t="str">
        <f>IFERROR(INDEX(Raw_orders!G:G, MATCH(shipments[[#This Row],[order_id]],Raw_orders!A:A, 0)), "Unknown")</f>
        <v>Baltics</v>
      </c>
      <c r="J4115" t="str">
        <f>PROPER(shipments[[#This Row],[delivery_status]])</f>
        <v>Delivered</v>
      </c>
      <c r="K4115" t="s">
        <v>6929</v>
      </c>
    </row>
    <row r="4116" spans="1:11">
      <c r="A4116" t="s">
        <v>11052</v>
      </c>
      <c r="B4116" t="s">
        <v>4779</v>
      </c>
      <c r="C4116" t="s">
        <v>6931</v>
      </c>
      <c r="D4116" s="1">
        <v>45239</v>
      </c>
      <c r="E4116" s="1">
        <v>45241</v>
      </c>
      <c r="F4116" s="1">
        <v>45246</v>
      </c>
      <c r="G4116">
        <v>27.52</v>
      </c>
      <c r="H41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16" t="str">
        <f>IFERROR(INDEX(Raw_orders!G:G, MATCH(shipments[[#This Row],[order_id]],Raw_orders!A:A, 0)), "Unknown")</f>
        <v>Central Europe</v>
      </c>
      <c r="J4116" t="str">
        <f>PROPER(shipments[[#This Row],[delivery_status]])</f>
        <v>Delivered</v>
      </c>
      <c r="K4116" t="s">
        <v>6926</v>
      </c>
    </row>
    <row r="4117" spans="1:11">
      <c r="A4117" t="s">
        <v>11053</v>
      </c>
      <c r="B4117" t="s">
        <v>4780</v>
      </c>
      <c r="C4117" t="s">
        <v>6940</v>
      </c>
      <c r="D4117" s="1">
        <v>45424</v>
      </c>
      <c r="E4117" s="1">
        <v>45434</v>
      </c>
      <c r="F4117" s="1">
        <v>45437</v>
      </c>
      <c r="G4117">
        <v>36.64</v>
      </c>
      <c r="H41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17" t="str">
        <f>IFERROR(INDEX(Raw_orders!G:G, MATCH(shipments[[#This Row],[order_id]],Raw_orders!A:A, 0)), "Unknown")</f>
        <v>Nordics</v>
      </c>
      <c r="J4117" t="str">
        <f>PROPER(shipments[[#This Row],[delivery_status]])</f>
        <v>Delivered</v>
      </c>
      <c r="K4117" t="s">
        <v>6922</v>
      </c>
    </row>
    <row r="4118" spans="1:11">
      <c r="A4118" t="s">
        <v>11054</v>
      </c>
      <c r="B4118" t="s">
        <v>4781</v>
      </c>
      <c r="C4118" t="s">
        <v>6931</v>
      </c>
      <c r="D4118" s="1">
        <v>44989</v>
      </c>
      <c r="E4118" s="1">
        <v>44994</v>
      </c>
      <c r="F4118" s="1">
        <v>44995</v>
      </c>
      <c r="G4118">
        <v>45.7</v>
      </c>
      <c r="H41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18" t="str">
        <f>IFERROR(INDEX(Raw_orders!G:G, MATCH(shipments[[#This Row],[order_id]],Raw_orders!A:A, 0)), "Unknown")</f>
        <v>Nordics</v>
      </c>
      <c r="J4118" t="str">
        <f>PROPER(shipments[[#This Row],[delivery_status]])</f>
        <v>Delivered</v>
      </c>
      <c r="K4118" t="s">
        <v>6922</v>
      </c>
    </row>
    <row r="4119" spans="1:11">
      <c r="A4119" t="s">
        <v>11055</v>
      </c>
      <c r="B4119" t="s">
        <v>4782</v>
      </c>
      <c r="C4119" t="s">
        <v>6938</v>
      </c>
      <c r="D4119" s="1">
        <v>45275</v>
      </c>
      <c r="E4119" s="1">
        <v>45285</v>
      </c>
      <c r="F4119" s="1">
        <v>45284</v>
      </c>
      <c r="G4119">
        <v>21.51</v>
      </c>
      <c r="H41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119" t="str">
        <f>IFERROR(INDEX(Raw_orders!G:G, MATCH(shipments[[#This Row],[order_id]],Raw_orders!A:A, 0)), "Unknown")</f>
        <v>Nordics</v>
      </c>
      <c r="J4119" t="str">
        <f>PROPER(shipments[[#This Row],[delivery_status]])</f>
        <v>Delivered</v>
      </c>
      <c r="K4119" t="s">
        <v>6929</v>
      </c>
    </row>
    <row r="4120" spans="1:11">
      <c r="A4120" t="s">
        <v>11056</v>
      </c>
      <c r="B4120" t="s">
        <v>4783</v>
      </c>
      <c r="C4120" t="s">
        <v>6935</v>
      </c>
      <c r="D4120" s="1">
        <v>45231</v>
      </c>
      <c r="E4120" s="1">
        <v>45238</v>
      </c>
      <c r="F4120" s="1"/>
      <c r="G4120">
        <v>20.9</v>
      </c>
      <c r="H41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120" t="str">
        <f>IFERROR(INDEX(Raw_orders!G:G, MATCH(shipments[[#This Row],[order_id]],Raw_orders!A:A, 0)), "Unknown")</f>
        <v>Central Europe</v>
      </c>
      <c r="J4120" t="str">
        <f>PROPER(shipments[[#This Row],[delivery_status]])</f>
        <v>In Transit</v>
      </c>
      <c r="K4120" t="s">
        <v>6958</v>
      </c>
    </row>
    <row r="4121" spans="1:11">
      <c r="A4121" t="s">
        <v>11057</v>
      </c>
      <c r="B4121" t="s">
        <v>4784</v>
      </c>
      <c r="C4121" t="s">
        <v>6938</v>
      </c>
      <c r="D4121" s="1">
        <v>45440</v>
      </c>
      <c r="E4121" s="1">
        <v>45447</v>
      </c>
      <c r="F4121" s="1">
        <v>45454</v>
      </c>
      <c r="G4121">
        <v>28.35</v>
      </c>
      <c r="H41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21" t="str">
        <f>IFERROR(INDEX(Raw_orders!G:G, MATCH(shipments[[#This Row],[order_id]],Raw_orders!A:A, 0)), "Unknown")</f>
        <v>Central Europe</v>
      </c>
      <c r="J4121" t="str">
        <f>PROPER(shipments[[#This Row],[delivery_status]])</f>
        <v>Delivered</v>
      </c>
      <c r="K4121" t="s">
        <v>6926</v>
      </c>
    </row>
    <row r="4122" spans="1:11">
      <c r="A4122" t="s">
        <v>11058</v>
      </c>
      <c r="B4122" t="s">
        <v>4785</v>
      </c>
      <c r="C4122" t="s">
        <v>6938</v>
      </c>
      <c r="D4122" s="1">
        <v>45111</v>
      </c>
      <c r="E4122" s="1">
        <v>45116</v>
      </c>
      <c r="F4122" s="1">
        <v>45116</v>
      </c>
      <c r="G4122">
        <v>9.18</v>
      </c>
      <c r="H41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122" t="str">
        <f>IFERROR(INDEX(Raw_orders!G:G, MATCH(shipments[[#This Row],[order_id]],Raw_orders!A:A, 0)), "Unknown")</f>
        <v>Baltics</v>
      </c>
      <c r="J4122" t="str">
        <f>PROPER(shipments[[#This Row],[delivery_status]])</f>
        <v>Delivered</v>
      </c>
      <c r="K4122" t="s">
        <v>6929</v>
      </c>
    </row>
    <row r="4123" spans="1:11">
      <c r="A4123" t="s">
        <v>11059</v>
      </c>
      <c r="B4123" t="s">
        <v>4786</v>
      </c>
      <c r="C4123" t="s">
        <v>6956</v>
      </c>
      <c r="D4123" s="1">
        <v>45579</v>
      </c>
      <c r="E4123" s="1">
        <v>45589</v>
      </c>
      <c r="F4123" s="1">
        <v>45593</v>
      </c>
      <c r="G4123">
        <v>58.91</v>
      </c>
      <c r="H41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23" t="str">
        <f>IFERROR(INDEX(Raw_orders!G:G, MATCH(shipments[[#This Row],[order_id]],Raw_orders!A:A, 0)), "Unknown")</f>
        <v>Central Europe</v>
      </c>
      <c r="J4123" t="str">
        <f>PROPER(shipments[[#This Row],[delivery_status]])</f>
        <v>Delivered</v>
      </c>
      <c r="K4123" t="s">
        <v>6926</v>
      </c>
    </row>
    <row r="4124" spans="1:11">
      <c r="A4124" t="s">
        <v>11060</v>
      </c>
      <c r="B4124" t="s">
        <v>4787</v>
      </c>
      <c r="C4124" t="s">
        <v>6925</v>
      </c>
      <c r="D4124" s="1">
        <v>45051</v>
      </c>
      <c r="E4124" s="1">
        <v>45061</v>
      </c>
      <c r="F4124" s="1">
        <v>45062</v>
      </c>
      <c r="G4124">
        <v>47.78</v>
      </c>
      <c r="H41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24" t="str">
        <f>IFERROR(INDEX(Raw_orders!G:G, MATCH(shipments[[#This Row],[order_id]],Raw_orders!A:A, 0)), "Unknown")</f>
        <v>Central Europe</v>
      </c>
      <c r="J4124" t="str">
        <f>PROPER(shipments[[#This Row],[delivery_status]])</f>
        <v>Delivered</v>
      </c>
      <c r="K4124" t="s">
        <v>6922</v>
      </c>
    </row>
    <row r="4125" spans="1:11">
      <c r="A4125" t="s">
        <v>11061</v>
      </c>
      <c r="B4125" t="s">
        <v>4788</v>
      </c>
      <c r="C4125" t="s">
        <v>6925</v>
      </c>
      <c r="D4125" s="1">
        <v>45151</v>
      </c>
      <c r="E4125" s="1">
        <v>45156</v>
      </c>
      <c r="F4125" s="1">
        <v>45156</v>
      </c>
      <c r="G4125">
        <v>29.77</v>
      </c>
      <c r="H41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125" t="str">
        <f>IFERROR(INDEX(Raw_orders!G:G, MATCH(shipments[[#This Row],[order_id]],Raw_orders!A:A, 0)), "Unknown")</f>
        <v>Central Europe</v>
      </c>
      <c r="J4125" t="str">
        <f>PROPER(shipments[[#This Row],[delivery_status]])</f>
        <v>Delivered</v>
      </c>
      <c r="K4125" t="s">
        <v>6922</v>
      </c>
    </row>
    <row r="4126" spans="1:11">
      <c r="A4126" t="s">
        <v>11062</v>
      </c>
      <c r="B4126" t="s">
        <v>4789</v>
      </c>
      <c r="C4126" t="s">
        <v>6921</v>
      </c>
      <c r="D4126" s="1">
        <v>45408</v>
      </c>
      <c r="E4126" s="1">
        <v>45415</v>
      </c>
      <c r="F4126" s="1">
        <v>45416</v>
      </c>
      <c r="G4126">
        <v>7.93</v>
      </c>
      <c r="H41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26" t="str">
        <f>IFERROR(INDEX(Raw_orders!G:G, MATCH(shipments[[#This Row],[order_id]],Raw_orders!A:A, 0)), "Unknown")</f>
        <v>Central Europe</v>
      </c>
      <c r="J4126" t="str">
        <f>PROPER(shipments[[#This Row],[delivery_status]])</f>
        <v>Delivered</v>
      </c>
      <c r="K4126" t="s">
        <v>6922</v>
      </c>
    </row>
    <row r="4127" spans="1:11">
      <c r="A4127" t="s">
        <v>11063</v>
      </c>
      <c r="B4127" t="s">
        <v>4790</v>
      </c>
      <c r="C4127" t="s">
        <v>6940</v>
      </c>
      <c r="D4127" s="1">
        <v>45612</v>
      </c>
      <c r="E4127" s="1">
        <v>45622</v>
      </c>
      <c r="F4127" s="1">
        <v>45627</v>
      </c>
      <c r="G4127">
        <v>46.13</v>
      </c>
      <c r="H41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27" t="str">
        <f>IFERROR(INDEX(Raw_orders!G:G, MATCH(shipments[[#This Row],[order_id]],Raw_orders!A:A, 0)), "Unknown")</f>
        <v>Central Europe</v>
      </c>
      <c r="J4127" t="str">
        <f>PROPER(shipments[[#This Row],[delivery_status]])</f>
        <v>Delivered</v>
      </c>
      <c r="K4127" t="s">
        <v>6922</v>
      </c>
    </row>
    <row r="4128" spans="1:11">
      <c r="A4128" t="s">
        <v>11064</v>
      </c>
      <c r="B4128" t="s">
        <v>4791</v>
      </c>
      <c r="C4128" t="s">
        <v>6921</v>
      </c>
      <c r="D4128" s="1">
        <v>45192</v>
      </c>
      <c r="E4128" s="1">
        <v>45202</v>
      </c>
      <c r="F4128" s="1">
        <v>45210</v>
      </c>
      <c r="G4128">
        <v>52.51</v>
      </c>
      <c r="H41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28" t="str">
        <f>IFERROR(INDEX(Raw_orders!G:G, MATCH(shipments[[#This Row],[order_id]],Raw_orders!A:A, 0)), "Unknown")</f>
        <v>Baltics</v>
      </c>
      <c r="J4128" t="str">
        <f>PROPER(shipments[[#This Row],[delivery_status]])</f>
        <v>Delivered</v>
      </c>
      <c r="K4128" t="s">
        <v>6922</v>
      </c>
    </row>
    <row r="4129" spans="1:11">
      <c r="A4129" t="s">
        <v>11065</v>
      </c>
      <c r="B4129" t="s">
        <v>4792</v>
      </c>
      <c r="C4129" t="s">
        <v>6931</v>
      </c>
      <c r="D4129" s="1">
        <v>45365</v>
      </c>
      <c r="E4129" s="1">
        <v>45375</v>
      </c>
      <c r="F4129" s="1">
        <v>45383</v>
      </c>
      <c r="G4129">
        <v>64.760000000000005</v>
      </c>
      <c r="H41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29" t="str">
        <f>IFERROR(INDEX(Raw_orders!G:G, MATCH(shipments[[#This Row],[order_id]],Raw_orders!A:A, 0)), "Unknown")</f>
        <v>Baltics</v>
      </c>
      <c r="J4129" t="str">
        <f>PROPER(shipments[[#This Row],[delivery_status]])</f>
        <v>Delivered</v>
      </c>
      <c r="K4129" t="s">
        <v>6929</v>
      </c>
    </row>
    <row r="4130" spans="1:11">
      <c r="A4130" t="s">
        <v>11066</v>
      </c>
      <c r="B4130" t="s">
        <v>4793</v>
      </c>
      <c r="C4130" t="s">
        <v>6956</v>
      </c>
      <c r="D4130" s="1">
        <v>45625</v>
      </c>
      <c r="E4130" s="1">
        <v>45628</v>
      </c>
      <c r="F4130" s="1">
        <v>45628</v>
      </c>
      <c r="G4130">
        <v>8.49</v>
      </c>
      <c r="H41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130" t="str">
        <f>IFERROR(INDEX(Raw_orders!G:G, MATCH(shipments[[#This Row],[order_id]],Raw_orders!A:A, 0)), "Unknown")</f>
        <v>Central Europe</v>
      </c>
      <c r="J4130" t="str">
        <f>PROPER(shipments[[#This Row],[delivery_status]])</f>
        <v>Delivered</v>
      </c>
      <c r="K4130" t="s">
        <v>6929</v>
      </c>
    </row>
    <row r="4131" spans="1:11">
      <c r="A4131" t="s">
        <v>11067</v>
      </c>
      <c r="B4131" t="s">
        <v>4793</v>
      </c>
      <c r="C4131" t="s">
        <v>6938</v>
      </c>
      <c r="D4131" s="1">
        <v>45625</v>
      </c>
      <c r="E4131" s="1">
        <v>45628</v>
      </c>
      <c r="F4131" s="1">
        <v>45628</v>
      </c>
      <c r="G4131">
        <v>35.18</v>
      </c>
      <c r="H41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131" t="str">
        <f>IFERROR(INDEX(Raw_orders!G:G, MATCH(shipments[[#This Row],[order_id]],Raw_orders!A:A, 0)), "Unknown")</f>
        <v>Central Europe</v>
      </c>
      <c r="J4131" t="str">
        <f>PROPER(shipments[[#This Row],[delivery_status]])</f>
        <v>Delivered</v>
      </c>
      <c r="K4131" t="s">
        <v>6922</v>
      </c>
    </row>
    <row r="4132" spans="1:11">
      <c r="A4132" t="s">
        <v>11068</v>
      </c>
      <c r="B4132" t="s">
        <v>4794</v>
      </c>
      <c r="C4132" t="s">
        <v>6940</v>
      </c>
      <c r="D4132" s="1">
        <v>45389</v>
      </c>
      <c r="E4132" s="1">
        <v>45391</v>
      </c>
      <c r="F4132" s="1">
        <v>45391</v>
      </c>
      <c r="G4132">
        <v>12.65</v>
      </c>
      <c r="H41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132" t="str">
        <f>IFERROR(INDEX(Raw_orders!G:G, MATCH(shipments[[#This Row],[order_id]],Raw_orders!A:A, 0)), "Unknown")</f>
        <v>Nordics</v>
      </c>
      <c r="J4132" t="str">
        <f>PROPER(shipments[[#This Row],[delivery_status]])</f>
        <v>Delivered</v>
      </c>
      <c r="K4132" t="s">
        <v>6926</v>
      </c>
    </row>
    <row r="4133" spans="1:11">
      <c r="A4133" t="s">
        <v>11069</v>
      </c>
      <c r="B4133" t="s">
        <v>4794</v>
      </c>
      <c r="C4133" t="s">
        <v>6921</v>
      </c>
      <c r="D4133" s="1">
        <v>45390</v>
      </c>
      <c r="E4133" s="1">
        <v>45397</v>
      </c>
      <c r="F4133" s="1">
        <v>45397</v>
      </c>
      <c r="G4133">
        <v>30.89</v>
      </c>
      <c r="H41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133" t="str">
        <f>IFERROR(INDEX(Raw_orders!G:G, MATCH(shipments[[#This Row],[order_id]],Raw_orders!A:A, 0)), "Unknown")</f>
        <v>Nordics</v>
      </c>
      <c r="J4133" t="str">
        <f>PROPER(shipments[[#This Row],[delivery_status]])</f>
        <v>Delivered</v>
      </c>
      <c r="K4133" t="s">
        <v>6929</v>
      </c>
    </row>
    <row r="4134" spans="1:11">
      <c r="A4134" t="s">
        <v>11070</v>
      </c>
      <c r="B4134" t="s">
        <v>4795</v>
      </c>
      <c r="C4134" t="s">
        <v>6938</v>
      </c>
      <c r="D4134" s="1">
        <v>45122</v>
      </c>
      <c r="E4134" s="1">
        <v>45127</v>
      </c>
      <c r="F4134" s="1">
        <v>45132</v>
      </c>
      <c r="G4134">
        <v>31.02</v>
      </c>
      <c r="H41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34" t="str">
        <f>IFERROR(INDEX(Raw_orders!G:G, MATCH(shipments[[#This Row],[order_id]],Raw_orders!A:A, 0)), "Unknown")</f>
        <v>Baltics</v>
      </c>
      <c r="J4134" t="str">
        <f>PROPER(shipments[[#This Row],[delivery_status]])</f>
        <v>Delivered</v>
      </c>
      <c r="K4134" t="s">
        <v>6926</v>
      </c>
    </row>
    <row r="4135" spans="1:11">
      <c r="A4135" t="s">
        <v>11071</v>
      </c>
      <c r="B4135" t="s">
        <v>4796</v>
      </c>
      <c r="C4135" t="s">
        <v>6940</v>
      </c>
      <c r="D4135" s="1">
        <v>45428</v>
      </c>
      <c r="E4135" s="1">
        <v>45433</v>
      </c>
      <c r="F4135" s="1"/>
      <c r="G4135">
        <v>9.69</v>
      </c>
      <c r="H41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135" t="str">
        <f>IFERROR(INDEX(Raw_orders!G:G, MATCH(shipments[[#This Row],[order_id]],Raw_orders!A:A, 0)), "Unknown")</f>
        <v>Unknown</v>
      </c>
      <c r="J4135" t="str">
        <f>PROPER(shipments[[#This Row],[delivery_status]])</f>
        <v>In Transit</v>
      </c>
      <c r="K4135" t="s">
        <v>6946</v>
      </c>
    </row>
    <row r="4136" spans="1:11">
      <c r="A4136" t="s">
        <v>11072</v>
      </c>
      <c r="B4136" t="s">
        <v>4797</v>
      </c>
      <c r="C4136" t="s">
        <v>6928</v>
      </c>
      <c r="D4136" s="1">
        <v>45440</v>
      </c>
      <c r="E4136" s="1">
        <v>45442</v>
      </c>
      <c r="F4136" s="1">
        <v>45449</v>
      </c>
      <c r="G4136">
        <v>5.77</v>
      </c>
      <c r="H41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36" t="str">
        <f>IFERROR(INDEX(Raw_orders!G:G, MATCH(shipments[[#This Row],[order_id]],Raw_orders!A:A, 0)), "Unknown")</f>
        <v>Central Europe</v>
      </c>
      <c r="J4136" t="str">
        <f>PROPER(shipments[[#This Row],[delivery_status]])</f>
        <v>Delivered</v>
      </c>
      <c r="K4136" t="s">
        <v>6922</v>
      </c>
    </row>
    <row r="4137" spans="1:11">
      <c r="A4137" t="s">
        <v>11073</v>
      </c>
      <c r="B4137" t="s">
        <v>4798</v>
      </c>
      <c r="C4137" t="s">
        <v>6956</v>
      </c>
      <c r="D4137" s="1">
        <v>45085</v>
      </c>
      <c r="E4137" s="1">
        <v>45088</v>
      </c>
      <c r="F4137" s="1">
        <v>45088</v>
      </c>
      <c r="G4137">
        <v>35.130000000000003</v>
      </c>
      <c r="H41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137" t="str">
        <f>IFERROR(INDEX(Raw_orders!G:G, MATCH(shipments[[#This Row],[order_id]],Raw_orders!A:A, 0)), "Unknown")</f>
        <v>Central Europe</v>
      </c>
      <c r="J4137" t="str">
        <f>PROPER(shipments[[#This Row],[delivery_status]])</f>
        <v>Delivered</v>
      </c>
      <c r="K4137" t="s">
        <v>6929</v>
      </c>
    </row>
    <row r="4138" spans="1:11">
      <c r="A4138" t="s">
        <v>11074</v>
      </c>
      <c r="B4138" t="s">
        <v>4799</v>
      </c>
      <c r="C4138" t="s">
        <v>6956</v>
      </c>
      <c r="D4138" s="1">
        <v>45167</v>
      </c>
      <c r="E4138" s="1">
        <v>45174</v>
      </c>
      <c r="F4138" s="1">
        <v>45177</v>
      </c>
      <c r="G4138">
        <v>31.33</v>
      </c>
      <c r="H41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38" t="str">
        <f>IFERROR(INDEX(Raw_orders!G:G, MATCH(shipments[[#This Row],[order_id]],Raw_orders!A:A, 0)), "Unknown")</f>
        <v>Baltics</v>
      </c>
      <c r="J4138" t="str">
        <f>PROPER(shipments[[#This Row],[delivery_status]])</f>
        <v>Delivered</v>
      </c>
      <c r="K4138" t="s">
        <v>6922</v>
      </c>
    </row>
    <row r="4139" spans="1:11">
      <c r="A4139" t="s">
        <v>11075</v>
      </c>
      <c r="B4139" t="s">
        <v>4800</v>
      </c>
      <c r="C4139" t="s">
        <v>6938</v>
      </c>
      <c r="D4139" s="1">
        <v>45362</v>
      </c>
      <c r="E4139" s="1">
        <v>45372</v>
      </c>
      <c r="F4139" s="1">
        <v>45372</v>
      </c>
      <c r="G4139">
        <v>10.47</v>
      </c>
      <c r="H41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139" t="str">
        <f>IFERROR(INDEX(Raw_orders!G:G, MATCH(shipments[[#This Row],[order_id]],Raw_orders!A:A, 0)), "Unknown")</f>
        <v>Central Europe</v>
      </c>
      <c r="J4139" t="str">
        <f>PROPER(shipments[[#This Row],[delivery_status]])</f>
        <v>Delivered</v>
      </c>
      <c r="K4139" t="s">
        <v>6929</v>
      </c>
    </row>
    <row r="4140" spans="1:11">
      <c r="A4140" t="s">
        <v>11076</v>
      </c>
      <c r="B4140" t="s">
        <v>4801</v>
      </c>
      <c r="C4140" t="s">
        <v>6925</v>
      </c>
      <c r="D4140" s="1">
        <v>45599</v>
      </c>
      <c r="E4140" s="1">
        <v>45602</v>
      </c>
      <c r="F4140" s="1">
        <v>45602</v>
      </c>
      <c r="H41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140" t="str">
        <f>IFERROR(INDEX(Raw_orders!G:G, MATCH(shipments[[#This Row],[order_id]],Raw_orders!A:A, 0)), "Unknown")</f>
        <v>Central Europe</v>
      </c>
      <c r="J4140" t="str">
        <f>PROPER(shipments[[#This Row],[delivery_status]])</f>
        <v>Delivered</v>
      </c>
      <c r="K4140" t="s">
        <v>6929</v>
      </c>
    </row>
    <row r="4141" spans="1:11">
      <c r="A4141" t="s">
        <v>11077</v>
      </c>
      <c r="B4141" t="s">
        <v>4802</v>
      </c>
      <c r="C4141" t="s">
        <v>6935</v>
      </c>
      <c r="D4141" s="1">
        <v>45557</v>
      </c>
      <c r="E4141" s="1">
        <v>45562</v>
      </c>
      <c r="F4141" s="1">
        <v>45562</v>
      </c>
      <c r="G4141">
        <v>48.05</v>
      </c>
      <c r="H41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141" t="str">
        <f>IFERROR(INDEX(Raw_orders!G:G, MATCH(shipments[[#This Row],[order_id]],Raw_orders!A:A, 0)), "Unknown")</f>
        <v>Nordics</v>
      </c>
      <c r="J4141" t="str">
        <f>PROPER(shipments[[#This Row],[delivery_status]])</f>
        <v>Delivered</v>
      </c>
      <c r="K4141" t="s">
        <v>6929</v>
      </c>
    </row>
    <row r="4142" spans="1:11">
      <c r="A4142" t="s">
        <v>11078</v>
      </c>
      <c r="B4142" t="s">
        <v>4803</v>
      </c>
      <c r="C4142" t="s">
        <v>6938</v>
      </c>
      <c r="D4142" s="1">
        <v>45109</v>
      </c>
      <c r="E4142" s="1">
        <v>45114</v>
      </c>
      <c r="F4142" s="1">
        <v>45114</v>
      </c>
      <c r="G4142">
        <v>14.22</v>
      </c>
      <c r="H41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142" t="str">
        <f>IFERROR(INDEX(Raw_orders!G:G, MATCH(shipments[[#This Row],[order_id]],Raw_orders!A:A, 0)), "Unknown")</f>
        <v>Baltics</v>
      </c>
      <c r="J4142" t="str">
        <f>PROPER(shipments[[#This Row],[delivery_status]])</f>
        <v>Delivered</v>
      </c>
      <c r="K4142" t="s">
        <v>6926</v>
      </c>
    </row>
    <row r="4143" spans="1:11">
      <c r="A4143" t="s">
        <v>11079</v>
      </c>
      <c r="B4143" t="s">
        <v>4804</v>
      </c>
      <c r="C4143" t="s">
        <v>6931</v>
      </c>
      <c r="D4143" s="1">
        <v>45045</v>
      </c>
      <c r="E4143" s="1">
        <v>45048</v>
      </c>
      <c r="F4143" s="1">
        <v>45051</v>
      </c>
      <c r="G4143">
        <v>53.22</v>
      </c>
      <c r="H41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43" t="str">
        <f>IFERROR(INDEX(Raw_orders!G:G, MATCH(shipments[[#This Row],[order_id]],Raw_orders!A:A, 0)), "Unknown")</f>
        <v>Central Europe</v>
      </c>
      <c r="J4143" t="str">
        <f>PROPER(shipments[[#This Row],[delivery_status]])</f>
        <v>Delivered</v>
      </c>
      <c r="K4143" t="s">
        <v>6929</v>
      </c>
    </row>
    <row r="4144" spans="1:11">
      <c r="A4144" t="s">
        <v>11080</v>
      </c>
      <c r="B4144" t="s">
        <v>4805</v>
      </c>
      <c r="C4144" t="s">
        <v>6935</v>
      </c>
      <c r="D4144" s="1">
        <v>45619</v>
      </c>
      <c r="E4144" s="1">
        <v>45621</v>
      </c>
      <c r="F4144" s="1">
        <v>45621</v>
      </c>
      <c r="G4144">
        <v>47.65</v>
      </c>
      <c r="H41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144" t="str">
        <f>IFERROR(INDEX(Raw_orders!G:G, MATCH(shipments[[#This Row],[order_id]],Raw_orders!A:A, 0)), "Unknown")</f>
        <v>Nordics</v>
      </c>
      <c r="J4144" t="str">
        <f>PROPER(shipments[[#This Row],[delivery_status]])</f>
        <v>Delivered</v>
      </c>
      <c r="K4144" t="s">
        <v>6926</v>
      </c>
    </row>
    <row r="4145" spans="1:11">
      <c r="A4145" t="s">
        <v>11081</v>
      </c>
      <c r="B4145" t="s">
        <v>4806</v>
      </c>
      <c r="C4145" t="s">
        <v>6931</v>
      </c>
      <c r="D4145" s="1">
        <v>45285</v>
      </c>
      <c r="E4145" s="1">
        <v>45292</v>
      </c>
      <c r="F4145" s="1">
        <v>45303</v>
      </c>
      <c r="G4145">
        <v>55.73</v>
      </c>
      <c r="H41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45" t="str">
        <f>IFERROR(INDEX(Raw_orders!G:G, MATCH(shipments[[#This Row],[order_id]],Raw_orders!A:A, 0)), "Unknown")</f>
        <v>Baltics</v>
      </c>
      <c r="J4145" t="str">
        <f>PROPER(shipments[[#This Row],[delivery_status]])</f>
        <v>Delivered</v>
      </c>
      <c r="K4145" t="s">
        <v>6926</v>
      </c>
    </row>
    <row r="4146" spans="1:11">
      <c r="A4146" t="s">
        <v>11082</v>
      </c>
      <c r="B4146" t="s">
        <v>4807</v>
      </c>
      <c r="C4146" t="s">
        <v>6935</v>
      </c>
      <c r="D4146" s="1">
        <v>45032</v>
      </c>
      <c r="E4146" s="1">
        <v>45042</v>
      </c>
      <c r="F4146" s="1">
        <v>45042</v>
      </c>
      <c r="G4146">
        <v>10.25</v>
      </c>
      <c r="H41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146" t="str">
        <f>IFERROR(INDEX(Raw_orders!G:G, MATCH(shipments[[#This Row],[order_id]],Raw_orders!A:A, 0)), "Unknown")</f>
        <v>Nordics</v>
      </c>
      <c r="J4146" t="str">
        <f>PROPER(shipments[[#This Row],[delivery_status]])</f>
        <v>Delivered</v>
      </c>
      <c r="K4146" t="s">
        <v>6922</v>
      </c>
    </row>
    <row r="4147" spans="1:11">
      <c r="A4147" t="s">
        <v>11083</v>
      </c>
      <c r="B4147" t="s">
        <v>4808</v>
      </c>
      <c r="C4147" t="s">
        <v>6925</v>
      </c>
      <c r="D4147" s="1">
        <v>45545</v>
      </c>
      <c r="E4147" s="1">
        <v>45550</v>
      </c>
      <c r="F4147" s="1">
        <v>45549</v>
      </c>
      <c r="G4147">
        <v>7.24</v>
      </c>
      <c r="H41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147" t="str">
        <f>IFERROR(INDEX(Raw_orders!G:G, MATCH(shipments[[#This Row],[order_id]],Raw_orders!A:A, 0)), "Unknown")</f>
        <v>Baltics</v>
      </c>
      <c r="J4147" t="str">
        <f>PROPER(shipments[[#This Row],[delivery_status]])</f>
        <v>Delivered</v>
      </c>
      <c r="K4147" t="s">
        <v>6926</v>
      </c>
    </row>
    <row r="4148" spans="1:11">
      <c r="A4148" t="s">
        <v>11084</v>
      </c>
      <c r="B4148" t="s">
        <v>4809</v>
      </c>
      <c r="C4148" t="s">
        <v>6940</v>
      </c>
      <c r="D4148" s="1">
        <v>45102</v>
      </c>
      <c r="E4148" s="1">
        <v>45107</v>
      </c>
      <c r="F4148" s="1">
        <v>45108</v>
      </c>
      <c r="G4148">
        <v>7.72</v>
      </c>
      <c r="H41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48" t="str">
        <f>IFERROR(INDEX(Raw_orders!G:G, MATCH(shipments[[#This Row],[order_id]],Raw_orders!A:A, 0)), "Unknown")</f>
        <v>Nordics</v>
      </c>
      <c r="J4148" t="str">
        <f>PROPER(shipments[[#This Row],[delivery_status]])</f>
        <v>Delivered</v>
      </c>
      <c r="K4148" t="s">
        <v>6922</v>
      </c>
    </row>
    <row r="4149" spans="1:11">
      <c r="A4149" t="s">
        <v>11085</v>
      </c>
      <c r="B4149" t="s">
        <v>4810</v>
      </c>
      <c r="C4149" t="s">
        <v>6921</v>
      </c>
      <c r="D4149" s="1">
        <v>45107</v>
      </c>
      <c r="E4149" s="1">
        <v>45112</v>
      </c>
      <c r="F4149" s="1"/>
      <c r="G4149">
        <v>23.08</v>
      </c>
      <c r="H41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149" t="str">
        <f>IFERROR(INDEX(Raw_orders!G:G, MATCH(shipments[[#This Row],[order_id]],Raw_orders!A:A, 0)), "Unknown")</f>
        <v>Central Europe</v>
      </c>
      <c r="J4149" t="str">
        <f>PROPER(shipments[[#This Row],[delivery_status]])</f>
        <v>In Transit</v>
      </c>
      <c r="K4149" t="s">
        <v>6946</v>
      </c>
    </row>
    <row r="4150" spans="1:11">
      <c r="A4150" t="s">
        <v>11086</v>
      </c>
      <c r="B4150" t="s">
        <v>4811</v>
      </c>
      <c r="C4150" t="s">
        <v>6931</v>
      </c>
      <c r="D4150" s="1">
        <v>45495</v>
      </c>
      <c r="E4150" s="1">
        <v>45505</v>
      </c>
      <c r="F4150" s="1"/>
      <c r="G4150">
        <v>59.7</v>
      </c>
      <c r="H41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150" t="str">
        <f>IFERROR(INDEX(Raw_orders!G:G, MATCH(shipments[[#This Row],[order_id]],Raw_orders!A:A, 0)), "Unknown")</f>
        <v>Baltics</v>
      </c>
      <c r="J4150" t="str">
        <f>PROPER(shipments[[#This Row],[delivery_status]])</f>
        <v>Cancelled</v>
      </c>
      <c r="K4150" t="s">
        <v>6972</v>
      </c>
    </row>
    <row r="4151" spans="1:11">
      <c r="A4151" t="s">
        <v>11087</v>
      </c>
      <c r="B4151" t="s">
        <v>4811</v>
      </c>
      <c r="C4151" t="s">
        <v>6925</v>
      </c>
      <c r="D4151" s="1">
        <v>45494</v>
      </c>
      <c r="E4151" s="1">
        <v>45497</v>
      </c>
      <c r="F4151" s="1">
        <v>45498</v>
      </c>
      <c r="G4151">
        <v>17.47</v>
      </c>
      <c r="H41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51" t="str">
        <f>IFERROR(INDEX(Raw_orders!G:G, MATCH(shipments[[#This Row],[order_id]],Raw_orders!A:A, 0)), "Unknown")</f>
        <v>Baltics</v>
      </c>
      <c r="J4151" t="str">
        <f>PROPER(shipments[[#This Row],[delivery_status]])</f>
        <v>Delivered</v>
      </c>
      <c r="K4151" t="s">
        <v>6929</v>
      </c>
    </row>
    <row r="4152" spans="1:11">
      <c r="A4152" t="s">
        <v>11088</v>
      </c>
      <c r="B4152" t="s">
        <v>4812</v>
      </c>
      <c r="C4152" t="s">
        <v>6925</v>
      </c>
      <c r="D4152" s="1">
        <v>44960</v>
      </c>
      <c r="E4152" s="1">
        <v>44967</v>
      </c>
      <c r="F4152" s="1">
        <v>44975</v>
      </c>
      <c r="G4152">
        <v>27.52</v>
      </c>
      <c r="H41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52" t="str">
        <f>IFERROR(INDEX(Raw_orders!G:G, MATCH(shipments[[#This Row],[order_id]],Raw_orders!A:A, 0)), "Unknown")</f>
        <v>Nordics</v>
      </c>
      <c r="J4152" t="str">
        <f>PROPER(shipments[[#This Row],[delivery_status]])</f>
        <v>Delivered</v>
      </c>
      <c r="K4152" t="s">
        <v>6929</v>
      </c>
    </row>
    <row r="4153" spans="1:11">
      <c r="A4153" t="s">
        <v>11089</v>
      </c>
      <c r="B4153" t="s">
        <v>4813</v>
      </c>
      <c r="C4153" t="s">
        <v>6921</v>
      </c>
      <c r="D4153" s="1">
        <v>45423</v>
      </c>
      <c r="E4153" s="1">
        <v>45425</v>
      </c>
      <c r="F4153" s="1">
        <v>45428</v>
      </c>
      <c r="G4153">
        <v>22.35</v>
      </c>
      <c r="H41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53" t="str">
        <f>IFERROR(INDEX(Raw_orders!G:G, MATCH(shipments[[#This Row],[order_id]],Raw_orders!A:A, 0)), "Unknown")</f>
        <v>Central Europe</v>
      </c>
      <c r="J4153" t="str">
        <f>PROPER(shipments[[#This Row],[delivery_status]])</f>
        <v>Delivered</v>
      </c>
      <c r="K4153" t="s">
        <v>6926</v>
      </c>
    </row>
    <row r="4154" spans="1:11">
      <c r="A4154" t="s">
        <v>11090</v>
      </c>
      <c r="B4154" t="s">
        <v>4814</v>
      </c>
      <c r="C4154" t="s">
        <v>6921</v>
      </c>
      <c r="D4154" s="1">
        <v>45292</v>
      </c>
      <c r="E4154" s="1">
        <v>45299</v>
      </c>
      <c r="F4154" s="1"/>
      <c r="G4154">
        <v>24.32</v>
      </c>
      <c r="H41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154" t="str">
        <f>IFERROR(INDEX(Raw_orders!G:G, MATCH(shipments[[#This Row],[order_id]],Raw_orders!A:A, 0)), "Unknown")</f>
        <v>Baltics</v>
      </c>
      <c r="J4154" t="str">
        <f>PROPER(shipments[[#This Row],[delivery_status]])</f>
        <v>In Transit</v>
      </c>
      <c r="K4154" t="s">
        <v>6958</v>
      </c>
    </row>
    <row r="4155" spans="1:11">
      <c r="A4155" t="s">
        <v>11091</v>
      </c>
      <c r="B4155" t="s">
        <v>4815</v>
      </c>
      <c r="C4155" t="s">
        <v>6931</v>
      </c>
      <c r="D4155" s="1">
        <v>45289</v>
      </c>
      <c r="E4155" s="1">
        <v>45299</v>
      </c>
      <c r="F4155" s="1">
        <v>45302</v>
      </c>
      <c r="G4155">
        <v>32.090000000000003</v>
      </c>
      <c r="H41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55" t="str">
        <f>IFERROR(INDEX(Raw_orders!G:G, MATCH(shipments[[#This Row],[order_id]],Raw_orders!A:A, 0)), "Unknown")</f>
        <v>Central Europe</v>
      </c>
      <c r="J4155" t="str">
        <f>PROPER(shipments[[#This Row],[delivery_status]])</f>
        <v>Delivered</v>
      </c>
      <c r="K4155" t="s">
        <v>6926</v>
      </c>
    </row>
    <row r="4156" spans="1:11">
      <c r="A4156" t="s">
        <v>11092</v>
      </c>
      <c r="B4156" t="s">
        <v>4816</v>
      </c>
      <c r="C4156" t="s">
        <v>6940</v>
      </c>
      <c r="D4156" s="1">
        <v>45474</v>
      </c>
      <c r="E4156" s="1">
        <v>45476</v>
      </c>
      <c r="F4156" s="1">
        <v>45479</v>
      </c>
      <c r="G4156">
        <v>29.14</v>
      </c>
      <c r="H41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56" t="str">
        <f>IFERROR(INDEX(Raw_orders!G:G, MATCH(shipments[[#This Row],[order_id]],Raw_orders!A:A, 0)), "Unknown")</f>
        <v>Unknown</v>
      </c>
      <c r="J4156" t="str">
        <f>PROPER(shipments[[#This Row],[delivery_status]])</f>
        <v>Delivered</v>
      </c>
      <c r="K4156" t="s">
        <v>6922</v>
      </c>
    </row>
    <row r="4157" spans="1:11">
      <c r="A4157" t="s">
        <v>11093</v>
      </c>
      <c r="B4157" t="s">
        <v>4817</v>
      </c>
      <c r="C4157" t="s">
        <v>6938</v>
      </c>
      <c r="D4157" s="1">
        <v>45450</v>
      </c>
      <c r="E4157" s="1">
        <v>45452</v>
      </c>
      <c r="F4157" s="1">
        <v>45452</v>
      </c>
      <c r="G4157">
        <v>48.92</v>
      </c>
      <c r="H41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157" t="str">
        <f>IFERROR(INDEX(Raw_orders!G:G, MATCH(shipments[[#This Row],[order_id]],Raw_orders!A:A, 0)), "Unknown")</f>
        <v>Central Europe</v>
      </c>
      <c r="J4157" t="str">
        <f>PROPER(shipments[[#This Row],[delivery_status]])</f>
        <v>Delivered</v>
      </c>
      <c r="K4157" t="s">
        <v>6926</v>
      </c>
    </row>
    <row r="4158" spans="1:11">
      <c r="A4158" t="s">
        <v>11094</v>
      </c>
      <c r="B4158" t="s">
        <v>4818</v>
      </c>
      <c r="C4158" t="s">
        <v>6928</v>
      </c>
      <c r="D4158" s="1">
        <v>45483</v>
      </c>
      <c r="E4158" s="1">
        <v>45485</v>
      </c>
      <c r="F4158" s="1">
        <v>45490</v>
      </c>
      <c r="G4158">
        <v>41.36</v>
      </c>
      <c r="H41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58" t="str">
        <f>IFERROR(INDEX(Raw_orders!G:G, MATCH(shipments[[#This Row],[order_id]],Raw_orders!A:A, 0)), "Unknown")</f>
        <v>Baltics</v>
      </c>
      <c r="J4158" t="str">
        <f>PROPER(shipments[[#This Row],[delivery_status]])</f>
        <v>Delivered</v>
      </c>
      <c r="K4158" t="s">
        <v>6929</v>
      </c>
    </row>
    <row r="4159" spans="1:11">
      <c r="A4159" t="s">
        <v>11095</v>
      </c>
      <c r="B4159" t="s">
        <v>4819</v>
      </c>
      <c r="C4159" t="s">
        <v>6935</v>
      </c>
      <c r="D4159" s="1">
        <v>45322</v>
      </c>
      <c r="E4159" s="1">
        <v>45332</v>
      </c>
      <c r="F4159" s="1">
        <v>45341</v>
      </c>
      <c r="G4159">
        <v>34.18</v>
      </c>
      <c r="H41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59" t="str">
        <f>IFERROR(INDEX(Raw_orders!G:G, MATCH(shipments[[#This Row],[order_id]],Raw_orders!A:A, 0)), "Unknown")</f>
        <v>Central Europe</v>
      </c>
      <c r="J4159" t="str">
        <f>PROPER(shipments[[#This Row],[delivery_status]])</f>
        <v>Delivered</v>
      </c>
      <c r="K4159" t="s">
        <v>6922</v>
      </c>
    </row>
    <row r="4160" spans="1:11">
      <c r="A4160" t="s">
        <v>11096</v>
      </c>
      <c r="B4160" t="s">
        <v>4820</v>
      </c>
      <c r="C4160" t="s">
        <v>6938</v>
      </c>
      <c r="D4160" s="1">
        <v>45020</v>
      </c>
      <c r="E4160" s="1">
        <v>45023</v>
      </c>
      <c r="F4160" s="1">
        <v>45025</v>
      </c>
      <c r="G4160">
        <v>5.77</v>
      </c>
      <c r="H41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60" t="str">
        <f>IFERROR(INDEX(Raw_orders!G:G, MATCH(shipments[[#This Row],[order_id]],Raw_orders!A:A, 0)), "Unknown")</f>
        <v>Central Europe</v>
      </c>
      <c r="J4160" t="str">
        <f>PROPER(shipments[[#This Row],[delivery_status]])</f>
        <v>Delivered</v>
      </c>
      <c r="K4160" t="s">
        <v>6922</v>
      </c>
    </row>
    <row r="4161" spans="1:11">
      <c r="A4161" t="s">
        <v>11097</v>
      </c>
      <c r="B4161" t="s">
        <v>4821</v>
      </c>
      <c r="C4161" t="s">
        <v>6928</v>
      </c>
      <c r="D4161" s="1">
        <v>45457</v>
      </c>
      <c r="E4161" s="1">
        <v>45464</v>
      </c>
      <c r="F4161" s="1">
        <v>45466</v>
      </c>
      <c r="G4161">
        <v>19.260000000000002</v>
      </c>
      <c r="H41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61" t="str">
        <f>IFERROR(INDEX(Raw_orders!G:G, MATCH(shipments[[#This Row],[order_id]],Raw_orders!A:A, 0)), "Unknown")</f>
        <v>Central Europe</v>
      </c>
      <c r="J4161" t="str">
        <f>PROPER(shipments[[#This Row],[delivery_status]])</f>
        <v>Delivered</v>
      </c>
      <c r="K4161" t="s">
        <v>6926</v>
      </c>
    </row>
    <row r="4162" spans="1:11">
      <c r="A4162" t="s">
        <v>11098</v>
      </c>
      <c r="B4162" t="s">
        <v>4821</v>
      </c>
      <c r="C4162" t="s">
        <v>6956</v>
      </c>
      <c r="D4162" s="1">
        <v>45454</v>
      </c>
      <c r="E4162" s="1">
        <v>45464</v>
      </c>
      <c r="F4162" s="1">
        <v>45464</v>
      </c>
      <c r="G4162">
        <v>61.22</v>
      </c>
      <c r="H41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162" t="str">
        <f>IFERROR(INDEX(Raw_orders!G:G, MATCH(shipments[[#This Row],[order_id]],Raw_orders!A:A, 0)), "Unknown")</f>
        <v>Central Europe</v>
      </c>
      <c r="J4162" t="str">
        <f>PROPER(shipments[[#This Row],[delivery_status]])</f>
        <v>Delivered</v>
      </c>
      <c r="K4162" t="s">
        <v>6926</v>
      </c>
    </row>
    <row r="4163" spans="1:11">
      <c r="A4163" t="s">
        <v>11099</v>
      </c>
      <c r="B4163" t="s">
        <v>4822</v>
      </c>
      <c r="C4163" t="s">
        <v>6925</v>
      </c>
      <c r="D4163" s="1">
        <v>45034</v>
      </c>
      <c r="E4163" s="1">
        <v>45037</v>
      </c>
      <c r="F4163" s="1"/>
      <c r="G4163">
        <v>38.520000000000003</v>
      </c>
      <c r="H41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163" t="str">
        <f>IFERROR(INDEX(Raw_orders!G:G, MATCH(shipments[[#This Row],[order_id]],Raw_orders!A:A, 0)), "Unknown")</f>
        <v>Nordics</v>
      </c>
      <c r="J4163" t="str">
        <f>PROPER(shipments[[#This Row],[delivery_status]])</f>
        <v>In Transit</v>
      </c>
      <c r="K4163" t="s">
        <v>6946</v>
      </c>
    </row>
    <row r="4164" spans="1:11">
      <c r="A4164" t="s">
        <v>11100</v>
      </c>
      <c r="B4164" t="s">
        <v>4823</v>
      </c>
      <c r="C4164" t="s">
        <v>6925</v>
      </c>
      <c r="D4164" s="1">
        <v>45090</v>
      </c>
      <c r="E4164" s="1">
        <v>45100</v>
      </c>
      <c r="F4164" s="1">
        <v>45107</v>
      </c>
      <c r="G4164">
        <v>38.979999999999997</v>
      </c>
      <c r="H41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64" t="str">
        <f>IFERROR(INDEX(Raw_orders!G:G, MATCH(shipments[[#This Row],[order_id]],Raw_orders!A:A, 0)), "Unknown")</f>
        <v>Central Europe</v>
      </c>
      <c r="J4164" t="str">
        <f>PROPER(shipments[[#This Row],[delivery_status]])</f>
        <v>Delivered</v>
      </c>
      <c r="K4164" t="s">
        <v>6929</v>
      </c>
    </row>
    <row r="4165" spans="1:11">
      <c r="A4165" t="s">
        <v>11101</v>
      </c>
      <c r="B4165" t="s">
        <v>4824</v>
      </c>
      <c r="C4165" t="s">
        <v>6931</v>
      </c>
      <c r="D4165" s="1">
        <v>45455</v>
      </c>
      <c r="E4165" s="1">
        <v>45465</v>
      </c>
      <c r="F4165" s="1">
        <v>45473</v>
      </c>
      <c r="G4165">
        <v>58.02</v>
      </c>
      <c r="H41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65" t="str">
        <f>IFERROR(INDEX(Raw_orders!G:G, MATCH(shipments[[#This Row],[order_id]],Raw_orders!A:A, 0)), "Unknown")</f>
        <v>Baltics</v>
      </c>
      <c r="J4165" t="str">
        <f>PROPER(shipments[[#This Row],[delivery_status]])</f>
        <v>Delivered</v>
      </c>
      <c r="K4165" t="s">
        <v>6929</v>
      </c>
    </row>
    <row r="4166" spans="1:11">
      <c r="A4166" t="s">
        <v>11102</v>
      </c>
      <c r="B4166" t="s">
        <v>4825</v>
      </c>
      <c r="C4166" t="s">
        <v>6956</v>
      </c>
      <c r="D4166" s="1">
        <v>45199</v>
      </c>
      <c r="E4166" s="1">
        <v>45206</v>
      </c>
      <c r="F4166" s="1">
        <v>45214</v>
      </c>
      <c r="H41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66" t="str">
        <f>IFERROR(INDEX(Raw_orders!G:G, MATCH(shipments[[#This Row],[order_id]],Raw_orders!A:A, 0)), "Unknown")</f>
        <v>Central Europe</v>
      </c>
      <c r="J4166" t="str">
        <f>PROPER(shipments[[#This Row],[delivery_status]])</f>
        <v>Delivered</v>
      </c>
      <c r="K4166" t="s">
        <v>6922</v>
      </c>
    </row>
    <row r="4167" spans="1:11">
      <c r="A4167" t="s">
        <v>11103</v>
      </c>
      <c r="B4167" t="s">
        <v>4826</v>
      </c>
      <c r="C4167" t="s">
        <v>6921</v>
      </c>
      <c r="D4167" s="1">
        <v>45392</v>
      </c>
      <c r="E4167" s="1">
        <v>45399</v>
      </c>
      <c r="F4167" s="1">
        <v>45399</v>
      </c>
      <c r="G4167">
        <v>25.56</v>
      </c>
      <c r="H41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167" t="str">
        <f>IFERROR(INDEX(Raw_orders!G:G, MATCH(shipments[[#This Row],[order_id]],Raw_orders!A:A, 0)), "Unknown")</f>
        <v>Baltics</v>
      </c>
      <c r="J4167" t="str">
        <f>PROPER(shipments[[#This Row],[delivery_status]])</f>
        <v>Delivered</v>
      </c>
      <c r="K4167" t="s">
        <v>6922</v>
      </c>
    </row>
    <row r="4168" spans="1:11">
      <c r="A4168" t="s">
        <v>11104</v>
      </c>
      <c r="B4168" t="s">
        <v>4827</v>
      </c>
      <c r="C4168" t="s">
        <v>6921</v>
      </c>
      <c r="D4168" s="1">
        <v>45528</v>
      </c>
      <c r="E4168" s="1">
        <v>45538</v>
      </c>
      <c r="F4168" s="1">
        <v>45545</v>
      </c>
      <c r="G4168">
        <v>20.74</v>
      </c>
      <c r="H41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68" t="str">
        <f>IFERROR(INDEX(Raw_orders!G:G, MATCH(shipments[[#This Row],[order_id]],Raw_orders!A:A, 0)), "Unknown")</f>
        <v>Baltics</v>
      </c>
      <c r="J4168" t="str">
        <f>PROPER(shipments[[#This Row],[delivery_status]])</f>
        <v>Delivered</v>
      </c>
      <c r="K4168" t="s">
        <v>6922</v>
      </c>
    </row>
    <row r="4169" spans="1:11">
      <c r="A4169" t="s">
        <v>11105</v>
      </c>
      <c r="B4169" t="s">
        <v>4828</v>
      </c>
      <c r="C4169" t="s">
        <v>6935</v>
      </c>
      <c r="D4169" s="1">
        <v>45563</v>
      </c>
      <c r="E4169" s="1">
        <v>45565</v>
      </c>
      <c r="F4169" s="1"/>
      <c r="G4169">
        <v>6.16</v>
      </c>
      <c r="H41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169" t="str">
        <f>IFERROR(INDEX(Raw_orders!G:G, MATCH(shipments[[#This Row],[order_id]],Raw_orders!A:A, 0)), "Unknown")</f>
        <v>Central Europe</v>
      </c>
      <c r="J4169" t="str">
        <f>PROPER(shipments[[#This Row],[delivery_status]])</f>
        <v>In Transit</v>
      </c>
      <c r="K4169" t="s">
        <v>6946</v>
      </c>
    </row>
    <row r="4170" spans="1:11">
      <c r="A4170" t="s">
        <v>11106</v>
      </c>
      <c r="B4170" t="s">
        <v>4829</v>
      </c>
      <c r="C4170" t="s">
        <v>6925</v>
      </c>
      <c r="D4170" s="1">
        <v>45577</v>
      </c>
      <c r="E4170" s="1">
        <v>45580</v>
      </c>
      <c r="F4170" s="1">
        <v>45580</v>
      </c>
      <c r="G4170">
        <v>56.55</v>
      </c>
      <c r="H41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170" t="str">
        <f>IFERROR(INDEX(Raw_orders!G:G, MATCH(shipments[[#This Row],[order_id]],Raw_orders!A:A, 0)), "Unknown")</f>
        <v>Central Europe</v>
      </c>
      <c r="J4170" t="str">
        <f>PROPER(shipments[[#This Row],[delivery_status]])</f>
        <v>Delivered</v>
      </c>
      <c r="K4170" t="s">
        <v>6929</v>
      </c>
    </row>
    <row r="4171" spans="1:11">
      <c r="A4171" t="s">
        <v>11107</v>
      </c>
      <c r="B4171" t="s">
        <v>4830</v>
      </c>
      <c r="C4171" t="s">
        <v>6928</v>
      </c>
      <c r="D4171" s="1">
        <v>44987</v>
      </c>
      <c r="E4171" s="1">
        <v>44997</v>
      </c>
      <c r="F4171" s="1">
        <v>44997</v>
      </c>
      <c r="G4171">
        <v>18.91</v>
      </c>
      <c r="H41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171" t="str">
        <f>IFERROR(INDEX(Raw_orders!G:G, MATCH(shipments[[#This Row],[order_id]],Raw_orders!A:A, 0)), "Unknown")</f>
        <v>Central Europe</v>
      </c>
      <c r="J4171" t="str">
        <f>PROPER(shipments[[#This Row],[delivery_status]])</f>
        <v>Delivered</v>
      </c>
      <c r="K4171" t="s">
        <v>6926</v>
      </c>
    </row>
    <row r="4172" spans="1:11">
      <c r="A4172" t="s">
        <v>11108</v>
      </c>
      <c r="B4172" t="s">
        <v>4831</v>
      </c>
      <c r="C4172" t="s">
        <v>6928</v>
      </c>
      <c r="D4172" s="1">
        <v>45248</v>
      </c>
      <c r="E4172" s="1">
        <v>45253</v>
      </c>
      <c r="F4172" s="1"/>
      <c r="G4172">
        <v>21.12</v>
      </c>
      <c r="H41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172" t="str">
        <f>IFERROR(INDEX(Raw_orders!G:G, MATCH(shipments[[#This Row],[order_id]],Raw_orders!A:A, 0)), "Unknown")</f>
        <v>Nordics</v>
      </c>
      <c r="J4172" t="str">
        <f>PROPER(shipments[[#This Row],[delivery_status]])</f>
        <v>In Transit</v>
      </c>
      <c r="K4172" t="s">
        <v>6977</v>
      </c>
    </row>
    <row r="4173" spans="1:11">
      <c r="A4173" t="s">
        <v>11109</v>
      </c>
      <c r="B4173" t="s">
        <v>4832</v>
      </c>
      <c r="C4173" t="s">
        <v>6925</v>
      </c>
      <c r="D4173" s="1">
        <v>45337</v>
      </c>
      <c r="E4173" s="1">
        <v>45339</v>
      </c>
      <c r="F4173" s="1"/>
      <c r="G4173">
        <v>41.55</v>
      </c>
      <c r="H41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173" t="str">
        <f>IFERROR(INDEX(Raw_orders!G:G, MATCH(shipments[[#This Row],[order_id]],Raw_orders!A:A, 0)), "Unknown")</f>
        <v>Unknown</v>
      </c>
      <c r="J4173" t="str">
        <f>PROPER(shipments[[#This Row],[delivery_status]])</f>
        <v>Cancelled</v>
      </c>
      <c r="K4173" t="s">
        <v>6979</v>
      </c>
    </row>
    <row r="4174" spans="1:11">
      <c r="A4174" t="s">
        <v>11110</v>
      </c>
      <c r="B4174" t="s">
        <v>4833</v>
      </c>
      <c r="C4174" t="s">
        <v>6931</v>
      </c>
      <c r="D4174" s="1">
        <v>45394</v>
      </c>
      <c r="E4174" s="1">
        <v>45401</v>
      </c>
      <c r="F4174" s="1">
        <v>45401</v>
      </c>
      <c r="G4174">
        <v>8.3699999999999992</v>
      </c>
      <c r="H41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174" t="str">
        <f>IFERROR(INDEX(Raw_orders!G:G, MATCH(shipments[[#This Row],[order_id]],Raw_orders!A:A, 0)), "Unknown")</f>
        <v>Baltics</v>
      </c>
      <c r="J4174" t="str">
        <f>PROPER(shipments[[#This Row],[delivery_status]])</f>
        <v>Delivered</v>
      </c>
      <c r="K4174" t="s">
        <v>6922</v>
      </c>
    </row>
    <row r="4175" spans="1:11">
      <c r="A4175" t="s">
        <v>11111</v>
      </c>
      <c r="B4175" t="s">
        <v>4834</v>
      </c>
      <c r="C4175" t="s">
        <v>6921</v>
      </c>
      <c r="D4175" s="1">
        <v>45441</v>
      </c>
      <c r="E4175" s="1">
        <v>45448</v>
      </c>
      <c r="F4175" s="1">
        <v>45448</v>
      </c>
      <c r="G4175">
        <v>17.54</v>
      </c>
      <c r="H41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175" t="str">
        <f>IFERROR(INDEX(Raw_orders!G:G, MATCH(shipments[[#This Row],[order_id]],Raw_orders!A:A, 0)), "Unknown")</f>
        <v>Nordics</v>
      </c>
      <c r="J4175" t="str">
        <f>PROPER(shipments[[#This Row],[delivery_status]])</f>
        <v>Delivered</v>
      </c>
      <c r="K4175" t="s">
        <v>6922</v>
      </c>
    </row>
    <row r="4176" spans="1:11">
      <c r="A4176" t="s">
        <v>11112</v>
      </c>
      <c r="B4176" t="s">
        <v>4835</v>
      </c>
      <c r="C4176" t="s">
        <v>6928</v>
      </c>
      <c r="D4176" s="1">
        <v>44962</v>
      </c>
      <c r="E4176" s="1">
        <v>44965</v>
      </c>
      <c r="F4176" s="1"/>
      <c r="G4176">
        <v>26.56</v>
      </c>
      <c r="H41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176" t="str">
        <f>IFERROR(INDEX(Raw_orders!G:G, MATCH(shipments[[#This Row],[order_id]],Raw_orders!A:A, 0)), "Unknown")</f>
        <v>Nordics</v>
      </c>
      <c r="J4176" t="str">
        <f>PROPER(shipments[[#This Row],[delivery_status]])</f>
        <v>Cancelled</v>
      </c>
      <c r="K4176" t="s">
        <v>6963</v>
      </c>
    </row>
    <row r="4177" spans="1:11">
      <c r="A4177" t="s">
        <v>11113</v>
      </c>
      <c r="B4177" t="s">
        <v>4836</v>
      </c>
      <c r="C4177" t="s">
        <v>6956</v>
      </c>
      <c r="D4177" s="1">
        <v>45508</v>
      </c>
      <c r="E4177" s="1">
        <v>45511</v>
      </c>
      <c r="F4177" s="1">
        <v>45511</v>
      </c>
      <c r="G4177">
        <v>24.79</v>
      </c>
      <c r="H41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177" t="str">
        <f>IFERROR(INDEX(Raw_orders!G:G, MATCH(shipments[[#This Row],[order_id]],Raw_orders!A:A, 0)), "Unknown")</f>
        <v>Nordics</v>
      </c>
      <c r="J4177" t="str">
        <f>PROPER(shipments[[#This Row],[delivery_status]])</f>
        <v>Delivered</v>
      </c>
      <c r="K4177" t="s">
        <v>6926</v>
      </c>
    </row>
    <row r="4178" spans="1:11">
      <c r="A4178" t="s">
        <v>11114</v>
      </c>
      <c r="B4178" t="s">
        <v>4837</v>
      </c>
      <c r="C4178" t="s">
        <v>6935</v>
      </c>
      <c r="D4178" s="1">
        <v>45536</v>
      </c>
      <c r="E4178" s="1">
        <v>45541</v>
      </c>
      <c r="F4178" s="1">
        <v>45546</v>
      </c>
      <c r="G4178">
        <v>46.96</v>
      </c>
      <c r="H41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78" t="str">
        <f>IFERROR(INDEX(Raw_orders!G:G, MATCH(shipments[[#This Row],[order_id]],Raw_orders!A:A, 0)), "Unknown")</f>
        <v>Nordics</v>
      </c>
      <c r="J4178" t="str">
        <f>PROPER(shipments[[#This Row],[delivery_status]])</f>
        <v>Delivered</v>
      </c>
      <c r="K4178" t="s">
        <v>6926</v>
      </c>
    </row>
    <row r="4179" spans="1:11">
      <c r="A4179" t="s">
        <v>11115</v>
      </c>
      <c r="B4179" t="s">
        <v>4838</v>
      </c>
      <c r="C4179" t="s">
        <v>6928</v>
      </c>
      <c r="D4179" s="1">
        <v>45186</v>
      </c>
      <c r="E4179" s="1">
        <v>45193</v>
      </c>
      <c r="F4179" s="1">
        <v>45204</v>
      </c>
      <c r="G4179">
        <v>55.64</v>
      </c>
      <c r="H41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79" t="str">
        <f>IFERROR(INDEX(Raw_orders!G:G, MATCH(shipments[[#This Row],[order_id]],Raw_orders!A:A, 0)), "Unknown")</f>
        <v>Central Europe</v>
      </c>
      <c r="J4179" t="str">
        <f>PROPER(shipments[[#This Row],[delivery_status]])</f>
        <v>Delivered</v>
      </c>
      <c r="K4179" t="s">
        <v>6929</v>
      </c>
    </row>
    <row r="4180" spans="1:11">
      <c r="A4180" t="s">
        <v>11116</v>
      </c>
      <c r="B4180" t="s">
        <v>4839</v>
      </c>
      <c r="C4180" t="s">
        <v>6931</v>
      </c>
      <c r="D4180" s="1">
        <v>45260</v>
      </c>
      <c r="E4180" s="1">
        <v>45270</v>
      </c>
      <c r="F4180" s="1">
        <v>45271</v>
      </c>
      <c r="G4180">
        <v>54.02</v>
      </c>
      <c r="H41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80" t="str">
        <f>IFERROR(INDEX(Raw_orders!G:G, MATCH(shipments[[#This Row],[order_id]],Raw_orders!A:A, 0)), "Unknown")</f>
        <v>Baltics</v>
      </c>
      <c r="J4180" t="str">
        <f>PROPER(shipments[[#This Row],[delivery_status]])</f>
        <v>Delivered</v>
      </c>
      <c r="K4180" t="s">
        <v>6929</v>
      </c>
    </row>
    <row r="4181" spans="1:11">
      <c r="A4181" t="s">
        <v>11117</v>
      </c>
      <c r="B4181" t="s">
        <v>4840</v>
      </c>
      <c r="C4181" t="s">
        <v>6938</v>
      </c>
      <c r="D4181" s="1">
        <v>45428</v>
      </c>
      <c r="E4181" s="1">
        <v>45435</v>
      </c>
      <c r="F4181" s="1">
        <v>45438</v>
      </c>
      <c r="G4181">
        <v>44.28</v>
      </c>
      <c r="H41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81" t="str">
        <f>IFERROR(INDEX(Raw_orders!G:G, MATCH(shipments[[#This Row],[order_id]],Raw_orders!A:A, 0)), "Unknown")</f>
        <v>Baltics</v>
      </c>
      <c r="J4181" t="str">
        <f>PROPER(shipments[[#This Row],[delivery_status]])</f>
        <v>Delivered</v>
      </c>
      <c r="K4181" t="s">
        <v>6929</v>
      </c>
    </row>
    <row r="4182" spans="1:11">
      <c r="A4182" t="s">
        <v>11118</v>
      </c>
      <c r="B4182" t="s">
        <v>4840</v>
      </c>
      <c r="C4182" t="s">
        <v>6935</v>
      </c>
      <c r="D4182" s="1">
        <v>45430</v>
      </c>
      <c r="E4182" s="1">
        <v>45437</v>
      </c>
      <c r="F4182" s="1"/>
      <c r="G4182">
        <v>38.950000000000003</v>
      </c>
      <c r="H41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182" t="str">
        <f>IFERROR(INDEX(Raw_orders!G:G, MATCH(shipments[[#This Row],[order_id]],Raw_orders!A:A, 0)), "Unknown")</f>
        <v>Baltics</v>
      </c>
      <c r="J4182" t="str">
        <f>PROPER(shipments[[#This Row],[delivery_status]])</f>
        <v>In Transit</v>
      </c>
      <c r="K4182" t="s">
        <v>6977</v>
      </c>
    </row>
    <row r="4183" spans="1:11">
      <c r="A4183" t="s">
        <v>11119</v>
      </c>
      <c r="B4183" t="s">
        <v>4841</v>
      </c>
      <c r="C4183" t="s">
        <v>6928</v>
      </c>
      <c r="D4183" s="1">
        <v>45306</v>
      </c>
      <c r="E4183" s="1">
        <v>45313</v>
      </c>
      <c r="F4183" s="1"/>
      <c r="G4183">
        <v>45.84</v>
      </c>
      <c r="H41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183" t="str">
        <f>IFERROR(INDEX(Raw_orders!G:G, MATCH(shipments[[#This Row],[order_id]],Raw_orders!A:A, 0)), "Unknown")</f>
        <v>Nordics</v>
      </c>
      <c r="J4183" t="str">
        <f>PROPER(shipments[[#This Row],[delivery_status]])</f>
        <v>Cancelled</v>
      </c>
      <c r="K4183" t="s">
        <v>6963</v>
      </c>
    </row>
    <row r="4184" spans="1:11">
      <c r="A4184" t="s">
        <v>11120</v>
      </c>
      <c r="B4184" t="s">
        <v>4842</v>
      </c>
      <c r="C4184" t="s">
        <v>6925</v>
      </c>
      <c r="D4184" s="1">
        <v>45394</v>
      </c>
      <c r="E4184" s="1">
        <v>45404</v>
      </c>
      <c r="F4184" s="1">
        <v>45409</v>
      </c>
      <c r="G4184">
        <v>32.36</v>
      </c>
      <c r="H41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84" t="str">
        <f>IFERROR(INDEX(Raw_orders!G:G, MATCH(shipments[[#This Row],[order_id]],Raw_orders!A:A, 0)), "Unknown")</f>
        <v>Central Europe</v>
      </c>
      <c r="J4184" t="str">
        <f>PROPER(shipments[[#This Row],[delivery_status]])</f>
        <v>Delivered</v>
      </c>
      <c r="K4184" t="s">
        <v>6922</v>
      </c>
    </row>
    <row r="4185" spans="1:11">
      <c r="A4185" t="s">
        <v>11121</v>
      </c>
      <c r="B4185" t="s">
        <v>4843</v>
      </c>
      <c r="C4185" t="s">
        <v>6938</v>
      </c>
      <c r="D4185" s="1">
        <v>45269</v>
      </c>
      <c r="E4185" s="1">
        <v>45271</v>
      </c>
      <c r="F4185" s="1">
        <v>45271</v>
      </c>
      <c r="H41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185" t="str">
        <f>IFERROR(INDEX(Raw_orders!G:G, MATCH(shipments[[#This Row],[order_id]],Raw_orders!A:A, 0)), "Unknown")</f>
        <v>Central Europe</v>
      </c>
      <c r="J4185" t="str">
        <f>PROPER(shipments[[#This Row],[delivery_status]])</f>
        <v>Delivered</v>
      </c>
      <c r="K4185" t="s">
        <v>6926</v>
      </c>
    </row>
    <row r="4186" spans="1:11">
      <c r="A4186" t="s">
        <v>11122</v>
      </c>
      <c r="B4186" t="s">
        <v>4844</v>
      </c>
      <c r="C4186" t="s">
        <v>6935</v>
      </c>
      <c r="D4186" s="1">
        <v>45168</v>
      </c>
      <c r="E4186" s="1">
        <v>45170</v>
      </c>
      <c r="F4186" s="1">
        <v>45175</v>
      </c>
      <c r="G4186">
        <v>39.64</v>
      </c>
      <c r="H41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86" t="str">
        <f>IFERROR(INDEX(Raw_orders!G:G, MATCH(shipments[[#This Row],[order_id]],Raw_orders!A:A, 0)), "Unknown")</f>
        <v>Baltics</v>
      </c>
      <c r="J4186" t="str">
        <f>PROPER(shipments[[#This Row],[delivery_status]])</f>
        <v>Delivered</v>
      </c>
      <c r="K4186" t="s">
        <v>6926</v>
      </c>
    </row>
    <row r="4187" spans="1:11">
      <c r="A4187" t="s">
        <v>11123</v>
      </c>
      <c r="B4187" t="s">
        <v>4845</v>
      </c>
      <c r="C4187" t="s">
        <v>6956</v>
      </c>
      <c r="D4187" s="1">
        <v>44998</v>
      </c>
      <c r="E4187" s="1">
        <v>45008</v>
      </c>
      <c r="F4187" s="1">
        <v>45008</v>
      </c>
      <c r="G4187">
        <v>9.36</v>
      </c>
      <c r="H41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187" t="str">
        <f>IFERROR(INDEX(Raw_orders!G:G, MATCH(shipments[[#This Row],[order_id]],Raw_orders!A:A, 0)), "Unknown")</f>
        <v>Nordics</v>
      </c>
      <c r="J4187" t="str">
        <f>PROPER(shipments[[#This Row],[delivery_status]])</f>
        <v>Delivered</v>
      </c>
      <c r="K4187" t="s">
        <v>6922</v>
      </c>
    </row>
    <row r="4188" spans="1:11">
      <c r="A4188" t="s">
        <v>11124</v>
      </c>
      <c r="B4188" t="s">
        <v>4846</v>
      </c>
      <c r="C4188" t="s">
        <v>6928</v>
      </c>
      <c r="D4188" s="1">
        <v>45588</v>
      </c>
      <c r="E4188" s="1">
        <v>45598</v>
      </c>
      <c r="F4188" s="1">
        <v>45598</v>
      </c>
      <c r="G4188">
        <v>39.130000000000003</v>
      </c>
      <c r="H41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188" t="str">
        <f>IFERROR(INDEX(Raw_orders!G:G, MATCH(shipments[[#This Row],[order_id]],Raw_orders!A:A, 0)), "Unknown")</f>
        <v>Baltics</v>
      </c>
      <c r="J4188" t="str">
        <f>PROPER(shipments[[#This Row],[delivery_status]])</f>
        <v>Delivered</v>
      </c>
      <c r="K4188" t="s">
        <v>6926</v>
      </c>
    </row>
    <row r="4189" spans="1:11">
      <c r="A4189" t="s">
        <v>11125</v>
      </c>
      <c r="B4189" t="s">
        <v>4847</v>
      </c>
      <c r="C4189" t="s">
        <v>6921</v>
      </c>
      <c r="D4189" s="1">
        <v>45509</v>
      </c>
      <c r="E4189" s="1">
        <v>45519</v>
      </c>
      <c r="F4189" s="1">
        <v>45518</v>
      </c>
      <c r="G4189">
        <v>42.22</v>
      </c>
      <c r="H41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189" t="str">
        <f>IFERROR(INDEX(Raw_orders!G:G, MATCH(shipments[[#This Row],[order_id]],Raw_orders!A:A, 0)), "Unknown")</f>
        <v>Central Europe</v>
      </c>
      <c r="J4189" t="str">
        <f>PROPER(shipments[[#This Row],[delivery_status]])</f>
        <v>Delivered</v>
      </c>
      <c r="K4189" t="s">
        <v>6926</v>
      </c>
    </row>
    <row r="4190" spans="1:11">
      <c r="A4190" t="s">
        <v>11126</v>
      </c>
      <c r="B4190" t="s">
        <v>4848</v>
      </c>
      <c r="C4190" t="s">
        <v>6921</v>
      </c>
      <c r="D4190" s="1">
        <v>45231</v>
      </c>
      <c r="E4190" s="1">
        <v>45238</v>
      </c>
      <c r="F4190" s="1">
        <v>45250</v>
      </c>
      <c r="G4190">
        <v>57.15</v>
      </c>
      <c r="H41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90" t="str">
        <f>IFERROR(INDEX(Raw_orders!G:G, MATCH(shipments[[#This Row],[order_id]],Raw_orders!A:A, 0)), "Unknown")</f>
        <v>Baltics</v>
      </c>
      <c r="J4190" t="str">
        <f>PROPER(shipments[[#This Row],[delivery_status]])</f>
        <v>Delivered</v>
      </c>
      <c r="K4190" t="s">
        <v>6922</v>
      </c>
    </row>
    <row r="4191" spans="1:11">
      <c r="A4191" t="s">
        <v>11127</v>
      </c>
      <c r="B4191" t="s">
        <v>4849</v>
      </c>
      <c r="C4191" t="s">
        <v>6935</v>
      </c>
      <c r="D4191" s="1">
        <v>45158</v>
      </c>
      <c r="E4191" s="1">
        <v>45165</v>
      </c>
      <c r="F4191" s="1">
        <v>45168</v>
      </c>
      <c r="G4191">
        <v>22.81</v>
      </c>
      <c r="H41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91" t="str">
        <f>IFERROR(INDEX(Raw_orders!G:G, MATCH(shipments[[#This Row],[order_id]],Raw_orders!A:A, 0)), "Unknown")</f>
        <v>Nordics</v>
      </c>
      <c r="J4191" t="str">
        <f>PROPER(shipments[[#This Row],[delivery_status]])</f>
        <v>Delivered</v>
      </c>
      <c r="K4191" t="s">
        <v>6926</v>
      </c>
    </row>
    <row r="4192" spans="1:11">
      <c r="A4192" t="s">
        <v>11128</v>
      </c>
      <c r="B4192" t="s">
        <v>4849</v>
      </c>
      <c r="C4192" t="s">
        <v>6921</v>
      </c>
      <c r="D4192" s="1">
        <v>45156</v>
      </c>
      <c r="E4192" s="1">
        <v>45166</v>
      </c>
      <c r="F4192" s="1">
        <v>45168</v>
      </c>
      <c r="G4192">
        <v>27.58</v>
      </c>
      <c r="H41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92" t="str">
        <f>IFERROR(INDEX(Raw_orders!G:G, MATCH(shipments[[#This Row],[order_id]],Raw_orders!A:A, 0)), "Unknown")</f>
        <v>Nordics</v>
      </c>
      <c r="J4192" t="str">
        <f>PROPER(shipments[[#This Row],[delivery_status]])</f>
        <v>Delivered</v>
      </c>
      <c r="K4192" t="s">
        <v>6922</v>
      </c>
    </row>
    <row r="4193" spans="1:11">
      <c r="A4193" t="s">
        <v>11129</v>
      </c>
      <c r="B4193" t="s">
        <v>4850</v>
      </c>
      <c r="C4193" t="s">
        <v>6925</v>
      </c>
      <c r="D4193" s="1">
        <v>45464</v>
      </c>
      <c r="E4193" s="1">
        <v>45474</v>
      </c>
      <c r="F4193" s="1">
        <v>45477</v>
      </c>
      <c r="G4193">
        <v>17.54</v>
      </c>
      <c r="H41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93" t="str">
        <f>IFERROR(INDEX(Raw_orders!G:G, MATCH(shipments[[#This Row],[order_id]],Raw_orders!A:A, 0)), "Unknown")</f>
        <v>Central Europe</v>
      </c>
      <c r="J4193" t="str">
        <f>PROPER(shipments[[#This Row],[delivery_status]])</f>
        <v>Delivered</v>
      </c>
      <c r="K4193" t="s">
        <v>6926</v>
      </c>
    </row>
    <row r="4194" spans="1:11">
      <c r="A4194" t="s">
        <v>11130</v>
      </c>
      <c r="B4194" t="s">
        <v>4851</v>
      </c>
      <c r="C4194" t="s">
        <v>6938</v>
      </c>
      <c r="D4194" s="1">
        <v>44939</v>
      </c>
      <c r="E4194" s="1">
        <v>44946</v>
      </c>
      <c r="F4194" s="1">
        <v>44946</v>
      </c>
      <c r="G4194">
        <v>5.56</v>
      </c>
      <c r="H41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194" t="str">
        <f>IFERROR(INDEX(Raw_orders!G:G, MATCH(shipments[[#This Row],[order_id]],Raw_orders!A:A, 0)), "Unknown")</f>
        <v>Baltics</v>
      </c>
      <c r="J4194" t="str">
        <f>PROPER(shipments[[#This Row],[delivery_status]])</f>
        <v>Delivered</v>
      </c>
      <c r="K4194" t="s">
        <v>6922</v>
      </c>
    </row>
    <row r="4195" spans="1:11">
      <c r="A4195" t="s">
        <v>11131</v>
      </c>
      <c r="B4195" t="s">
        <v>4852</v>
      </c>
      <c r="C4195" t="s">
        <v>6940</v>
      </c>
      <c r="D4195" s="1">
        <v>45437</v>
      </c>
      <c r="E4195" s="1">
        <v>45444</v>
      </c>
      <c r="F4195" s="1">
        <v>45454</v>
      </c>
      <c r="G4195">
        <v>25.08</v>
      </c>
      <c r="H41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95" t="str">
        <f>IFERROR(INDEX(Raw_orders!G:G, MATCH(shipments[[#This Row],[order_id]],Raw_orders!A:A, 0)), "Unknown")</f>
        <v>Baltics</v>
      </c>
      <c r="J4195" t="str">
        <f>PROPER(shipments[[#This Row],[delivery_status]])</f>
        <v>Delivered</v>
      </c>
      <c r="K4195" t="s">
        <v>6926</v>
      </c>
    </row>
    <row r="4196" spans="1:11">
      <c r="A4196" t="s">
        <v>11132</v>
      </c>
      <c r="B4196" t="s">
        <v>4853</v>
      </c>
      <c r="C4196" t="s">
        <v>6956</v>
      </c>
      <c r="D4196" s="1">
        <v>44965</v>
      </c>
      <c r="E4196" s="1">
        <v>44970</v>
      </c>
      <c r="F4196" s="1">
        <v>44975</v>
      </c>
      <c r="G4196">
        <v>64.959999999999994</v>
      </c>
      <c r="H41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96" t="str">
        <f>IFERROR(INDEX(Raw_orders!G:G, MATCH(shipments[[#This Row],[order_id]],Raw_orders!A:A, 0)), "Unknown")</f>
        <v>Unknown</v>
      </c>
      <c r="J4196" t="str">
        <f>PROPER(shipments[[#This Row],[delivery_status]])</f>
        <v>Delivered</v>
      </c>
      <c r="K4196" t="s">
        <v>6929</v>
      </c>
    </row>
    <row r="4197" spans="1:11">
      <c r="A4197" t="s">
        <v>11133</v>
      </c>
      <c r="B4197" t="s">
        <v>4854</v>
      </c>
      <c r="C4197" t="s">
        <v>6925</v>
      </c>
      <c r="D4197" s="1">
        <v>45005</v>
      </c>
      <c r="E4197" s="1">
        <v>45012</v>
      </c>
      <c r="F4197" s="1"/>
      <c r="G4197">
        <v>23.89</v>
      </c>
      <c r="H41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197" t="str">
        <f>IFERROR(INDEX(Raw_orders!G:G, MATCH(shipments[[#This Row],[order_id]],Raw_orders!A:A, 0)), "Unknown")</f>
        <v>Nordics</v>
      </c>
      <c r="J4197" t="str">
        <f>PROPER(shipments[[#This Row],[delivery_status]])</f>
        <v>In Transit</v>
      </c>
      <c r="K4197" t="s">
        <v>6977</v>
      </c>
    </row>
    <row r="4198" spans="1:11">
      <c r="A4198" t="s">
        <v>11134</v>
      </c>
      <c r="B4198" t="s">
        <v>4855</v>
      </c>
      <c r="C4198" t="s">
        <v>6956</v>
      </c>
      <c r="D4198" s="1">
        <v>44973</v>
      </c>
      <c r="E4198" s="1">
        <v>44980</v>
      </c>
      <c r="F4198" s="1">
        <v>44980</v>
      </c>
      <c r="G4198">
        <v>15.52</v>
      </c>
      <c r="H41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198" t="str">
        <f>IFERROR(INDEX(Raw_orders!G:G, MATCH(shipments[[#This Row],[order_id]],Raw_orders!A:A, 0)), "Unknown")</f>
        <v>Central Europe</v>
      </c>
      <c r="J4198" t="str">
        <f>PROPER(shipments[[#This Row],[delivery_status]])</f>
        <v>Delivered</v>
      </c>
      <c r="K4198" t="s">
        <v>6926</v>
      </c>
    </row>
    <row r="4199" spans="1:11">
      <c r="A4199" t="s">
        <v>11135</v>
      </c>
      <c r="B4199" t="s">
        <v>4856</v>
      </c>
      <c r="C4199" t="s">
        <v>6940</v>
      </c>
      <c r="D4199" s="1">
        <v>45194</v>
      </c>
      <c r="E4199" s="1">
        <v>45204</v>
      </c>
      <c r="F4199" s="1">
        <v>45208</v>
      </c>
      <c r="G4199">
        <v>16.760000000000002</v>
      </c>
      <c r="H41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199" t="str">
        <f>IFERROR(INDEX(Raw_orders!G:G, MATCH(shipments[[#This Row],[order_id]],Raw_orders!A:A, 0)), "Unknown")</f>
        <v>Baltics</v>
      </c>
      <c r="J4199" t="str">
        <f>PROPER(shipments[[#This Row],[delivery_status]])</f>
        <v>Delivered</v>
      </c>
      <c r="K4199" t="s">
        <v>6929</v>
      </c>
    </row>
    <row r="4200" spans="1:11">
      <c r="A4200" t="s">
        <v>11136</v>
      </c>
      <c r="B4200" t="s">
        <v>4857</v>
      </c>
      <c r="C4200" t="s">
        <v>6956</v>
      </c>
      <c r="D4200" s="1">
        <v>45454</v>
      </c>
      <c r="E4200" s="1">
        <v>45464</v>
      </c>
      <c r="F4200" s="1">
        <v>45464</v>
      </c>
      <c r="G4200">
        <v>29.49</v>
      </c>
      <c r="H42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200" t="str">
        <f>IFERROR(INDEX(Raw_orders!G:G, MATCH(shipments[[#This Row],[order_id]],Raw_orders!A:A, 0)), "Unknown")</f>
        <v>Nordics</v>
      </c>
      <c r="J4200" t="str">
        <f>PROPER(shipments[[#This Row],[delivery_status]])</f>
        <v>Delivered</v>
      </c>
      <c r="K4200" t="s">
        <v>6926</v>
      </c>
    </row>
    <row r="4201" spans="1:11">
      <c r="A4201" t="s">
        <v>11137</v>
      </c>
      <c r="B4201" t="s">
        <v>4858</v>
      </c>
      <c r="C4201" t="s">
        <v>6921</v>
      </c>
      <c r="D4201" s="1">
        <v>45363</v>
      </c>
      <c r="E4201" s="1">
        <v>45370</v>
      </c>
      <c r="F4201" s="1">
        <v>45384</v>
      </c>
      <c r="G4201">
        <v>42.76</v>
      </c>
      <c r="H42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01" t="str">
        <f>IFERROR(INDEX(Raw_orders!G:G, MATCH(shipments[[#This Row],[order_id]],Raw_orders!A:A, 0)), "Unknown")</f>
        <v>Central Europe</v>
      </c>
      <c r="J4201" t="str">
        <f>PROPER(shipments[[#This Row],[delivery_status]])</f>
        <v>Delivered</v>
      </c>
      <c r="K4201" t="s">
        <v>6926</v>
      </c>
    </row>
    <row r="4202" spans="1:11">
      <c r="A4202" t="s">
        <v>11138</v>
      </c>
      <c r="B4202" t="s">
        <v>4859</v>
      </c>
      <c r="C4202" t="s">
        <v>6938</v>
      </c>
      <c r="D4202" s="1">
        <v>45325</v>
      </c>
      <c r="E4202" s="1">
        <v>45327</v>
      </c>
      <c r="F4202" s="1">
        <v>45332</v>
      </c>
      <c r="G4202">
        <v>42.84</v>
      </c>
      <c r="H42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02" t="str">
        <f>IFERROR(INDEX(Raw_orders!G:G, MATCH(shipments[[#This Row],[order_id]],Raw_orders!A:A, 0)), "Unknown")</f>
        <v>Baltics</v>
      </c>
      <c r="J4202" t="str">
        <f>PROPER(shipments[[#This Row],[delivery_status]])</f>
        <v>Delivered</v>
      </c>
      <c r="K4202" t="s">
        <v>6926</v>
      </c>
    </row>
    <row r="4203" spans="1:11">
      <c r="A4203" t="s">
        <v>11139</v>
      </c>
      <c r="B4203" t="s">
        <v>4860</v>
      </c>
      <c r="C4203" t="s">
        <v>6925</v>
      </c>
      <c r="D4203" s="1">
        <v>45125</v>
      </c>
      <c r="E4203" s="1">
        <v>45130</v>
      </c>
      <c r="F4203" s="1">
        <v>45132</v>
      </c>
      <c r="G4203">
        <v>16.04</v>
      </c>
      <c r="H42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03" t="str">
        <f>IFERROR(INDEX(Raw_orders!G:G, MATCH(shipments[[#This Row],[order_id]],Raw_orders!A:A, 0)), "Unknown")</f>
        <v>Central Europe</v>
      </c>
      <c r="J4203" t="str">
        <f>PROPER(shipments[[#This Row],[delivery_status]])</f>
        <v>Delivered</v>
      </c>
      <c r="K4203" t="s">
        <v>6926</v>
      </c>
    </row>
    <row r="4204" spans="1:11">
      <c r="A4204" t="s">
        <v>11140</v>
      </c>
      <c r="B4204" t="s">
        <v>4860</v>
      </c>
      <c r="C4204" t="s">
        <v>6925</v>
      </c>
      <c r="D4204" s="1">
        <v>45125</v>
      </c>
      <c r="E4204" s="1">
        <v>45127</v>
      </c>
      <c r="F4204" s="1">
        <v>45126</v>
      </c>
      <c r="G4204">
        <v>23.82</v>
      </c>
      <c r="H42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204" t="str">
        <f>IFERROR(INDEX(Raw_orders!G:G, MATCH(shipments[[#This Row],[order_id]],Raw_orders!A:A, 0)), "Unknown")</f>
        <v>Central Europe</v>
      </c>
      <c r="J4204" t="str">
        <f>PROPER(shipments[[#This Row],[delivery_status]])</f>
        <v>Delivered</v>
      </c>
      <c r="K4204" t="s">
        <v>6926</v>
      </c>
    </row>
    <row r="4205" spans="1:11">
      <c r="A4205" t="s">
        <v>11141</v>
      </c>
      <c r="B4205" t="s">
        <v>4861</v>
      </c>
      <c r="C4205" t="s">
        <v>6931</v>
      </c>
      <c r="D4205" s="1">
        <v>45152</v>
      </c>
      <c r="E4205" s="1">
        <v>45157</v>
      </c>
      <c r="F4205" s="1">
        <v>45159</v>
      </c>
      <c r="G4205">
        <v>16.41</v>
      </c>
      <c r="H42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05" t="str">
        <f>IFERROR(INDEX(Raw_orders!G:G, MATCH(shipments[[#This Row],[order_id]],Raw_orders!A:A, 0)), "Unknown")</f>
        <v>Nordics</v>
      </c>
      <c r="J4205" t="str">
        <f>PROPER(shipments[[#This Row],[delivery_status]])</f>
        <v>Delivered</v>
      </c>
      <c r="K4205" t="s">
        <v>6922</v>
      </c>
    </row>
    <row r="4206" spans="1:11">
      <c r="A4206" t="s">
        <v>11142</v>
      </c>
      <c r="B4206" t="s">
        <v>4861</v>
      </c>
      <c r="C4206" t="s">
        <v>6935</v>
      </c>
      <c r="D4206" s="1">
        <v>45152</v>
      </c>
      <c r="E4206" s="1">
        <v>45162</v>
      </c>
      <c r="F4206" s="1">
        <v>45173</v>
      </c>
      <c r="G4206">
        <v>26.82</v>
      </c>
      <c r="H42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06" t="str">
        <f>IFERROR(INDEX(Raw_orders!G:G, MATCH(shipments[[#This Row],[order_id]],Raw_orders!A:A, 0)), "Unknown")</f>
        <v>Nordics</v>
      </c>
      <c r="J4206" t="str">
        <f>PROPER(shipments[[#This Row],[delivery_status]])</f>
        <v>Delivered</v>
      </c>
      <c r="K4206" t="s">
        <v>6929</v>
      </c>
    </row>
    <row r="4207" spans="1:11">
      <c r="A4207" t="s">
        <v>11143</v>
      </c>
      <c r="B4207" t="s">
        <v>4862</v>
      </c>
      <c r="C4207" t="s">
        <v>6925</v>
      </c>
      <c r="D4207" s="1">
        <v>45164</v>
      </c>
      <c r="E4207" s="1">
        <v>45166</v>
      </c>
      <c r="F4207" s="1">
        <v>45168</v>
      </c>
      <c r="G4207">
        <v>5.0999999999999996</v>
      </c>
      <c r="H42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07" t="str">
        <f>IFERROR(INDEX(Raw_orders!G:G, MATCH(shipments[[#This Row],[order_id]],Raw_orders!A:A, 0)), "Unknown")</f>
        <v>Nordics</v>
      </c>
      <c r="J4207" t="str">
        <f>PROPER(shipments[[#This Row],[delivery_status]])</f>
        <v>Delivered</v>
      </c>
      <c r="K4207" t="s">
        <v>6922</v>
      </c>
    </row>
    <row r="4208" spans="1:11">
      <c r="A4208" t="s">
        <v>11144</v>
      </c>
      <c r="B4208" t="s">
        <v>4863</v>
      </c>
      <c r="C4208" t="s">
        <v>6925</v>
      </c>
      <c r="D4208" s="1">
        <v>45567</v>
      </c>
      <c r="E4208" s="1">
        <v>45577</v>
      </c>
      <c r="F4208" s="1"/>
      <c r="G4208">
        <v>44.67</v>
      </c>
      <c r="H42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208" t="str">
        <f>IFERROR(INDEX(Raw_orders!G:G, MATCH(shipments[[#This Row],[order_id]],Raw_orders!A:A, 0)), "Unknown")</f>
        <v>Central Europe</v>
      </c>
      <c r="J4208" t="str">
        <f>PROPER(shipments[[#This Row],[delivery_status]])</f>
        <v>In Transit</v>
      </c>
      <c r="K4208" t="s">
        <v>6977</v>
      </c>
    </row>
    <row r="4209" spans="1:11">
      <c r="A4209" t="s">
        <v>11145</v>
      </c>
      <c r="B4209" t="s">
        <v>4864</v>
      </c>
      <c r="C4209" t="s">
        <v>6931</v>
      </c>
      <c r="D4209" s="1">
        <v>45216</v>
      </c>
      <c r="E4209" s="1">
        <v>45226</v>
      </c>
      <c r="F4209" s="1">
        <v>45231</v>
      </c>
      <c r="G4209">
        <v>10.199999999999999</v>
      </c>
      <c r="H42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09" t="str">
        <f>IFERROR(INDEX(Raw_orders!G:G, MATCH(shipments[[#This Row],[order_id]],Raw_orders!A:A, 0)), "Unknown")</f>
        <v>Unknown</v>
      </c>
      <c r="J4209" t="str">
        <f>PROPER(shipments[[#This Row],[delivery_status]])</f>
        <v>Delivered</v>
      </c>
      <c r="K4209" t="s">
        <v>6929</v>
      </c>
    </row>
    <row r="4210" spans="1:11">
      <c r="A4210" t="s">
        <v>11146</v>
      </c>
      <c r="B4210" t="s">
        <v>4865</v>
      </c>
      <c r="C4210" t="s">
        <v>6931</v>
      </c>
      <c r="D4210" s="1">
        <v>45272</v>
      </c>
      <c r="E4210" s="1">
        <v>45275</v>
      </c>
      <c r="F4210" s="1"/>
      <c r="G4210">
        <v>26.59</v>
      </c>
      <c r="H42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210" t="str">
        <f>IFERROR(INDEX(Raw_orders!G:G, MATCH(shipments[[#This Row],[order_id]],Raw_orders!A:A, 0)), "Unknown")</f>
        <v>Nordics</v>
      </c>
      <c r="J4210" t="str">
        <f>PROPER(shipments[[#This Row],[delivery_status]])</f>
        <v>Cancelled</v>
      </c>
      <c r="K4210" t="s">
        <v>6972</v>
      </c>
    </row>
    <row r="4211" spans="1:11">
      <c r="A4211" t="s">
        <v>11147</v>
      </c>
      <c r="B4211" t="s">
        <v>4866</v>
      </c>
      <c r="C4211" t="s">
        <v>6928</v>
      </c>
      <c r="D4211" s="1">
        <v>45565</v>
      </c>
      <c r="E4211" s="1">
        <v>45575</v>
      </c>
      <c r="F4211" s="1">
        <v>45576</v>
      </c>
      <c r="G4211">
        <v>33.65</v>
      </c>
      <c r="H42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11" t="str">
        <f>IFERROR(INDEX(Raw_orders!G:G, MATCH(shipments[[#This Row],[order_id]],Raw_orders!A:A, 0)), "Unknown")</f>
        <v>Baltics</v>
      </c>
      <c r="J4211" t="str">
        <f>PROPER(shipments[[#This Row],[delivery_status]])</f>
        <v>Delivered</v>
      </c>
      <c r="K4211" t="s">
        <v>6926</v>
      </c>
    </row>
    <row r="4212" spans="1:11">
      <c r="A4212" t="s">
        <v>11148</v>
      </c>
      <c r="B4212" t="s">
        <v>4867</v>
      </c>
      <c r="C4212" t="s">
        <v>6921</v>
      </c>
      <c r="D4212" s="1">
        <v>44936</v>
      </c>
      <c r="E4212" s="1">
        <v>44939</v>
      </c>
      <c r="F4212" s="1">
        <v>44942</v>
      </c>
      <c r="G4212">
        <v>43.17</v>
      </c>
      <c r="H42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12" t="str">
        <f>IFERROR(INDEX(Raw_orders!G:G, MATCH(shipments[[#This Row],[order_id]],Raw_orders!A:A, 0)), "Unknown")</f>
        <v>Nordics</v>
      </c>
      <c r="J4212" t="str">
        <f>PROPER(shipments[[#This Row],[delivery_status]])</f>
        <v>Delivered</v>
      </c>
      <c r="K4212" t="s">
        <v>6922</v>
      </c>
    </row>
    <row r="4213" spans="1:11">
      <c r="A4213" t="s">
        <v>11149</v>
      </c>
      <c r="B4213" t="s">
        <v>4868</v>
      </c>
      <c r="C4213" t="s">
        <v>6928</v>
      </c>
      <c r="D4213" s="1">
        <v>45401</v>
      </c>
      <c r="E4213" s="1">
        <v>45403</v>
      </c>
      <c r="F4213" s="1"/>
      <c r="G4213">
        <v>62.42</v>
      </c>
      <c r="H42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213" t="str">
        <f>IFERROR(INDEX(Raw_orders!G:G, MATCH(shipments[[#This Row],[order_id]],Raw_orders!A:A, 0)), "Unknown")</f>
        <v>Central Europe</v>
      </c>
      <c r="J4213" t="str">
        <f>PROPER(shipments[[#This Row],[delivery_status]])</f>
        <v>Cancelled</v>
      </c>
      <c r="K4213" t="s">
        <v>6963</v>
      </c>
    </row>
    <row r="4214" spans="1:11">
      <c r="A4214" t="s">
        <v>11150</v>
      </c>
      <c r="B4214" t="s">
        <v>4868</v>
      </c>
      <c r="C4214" t="s">
        <v>6940</v>
      </c>
      <c r="D4214" s="1">
        <v>45403</v>
      </c>
      <c r="E4214" s="1">
        <v>45406</v>
      </c>
      <c r="F4214" s="1">
        <v>45406</v>
      </c>
      <c r="G4214">
        <v>56.75</v>
      </c>
      <c r="H42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214" t="str">
        <f>IFERROR(INDEX(Raw_orders!G:G, MATCH(shipments[[#This Row],[order_id]],Raw_orders!A:A, 0)), "Unknown")</f>
        <v>Central Europe</v>
      </c>
      <c r="J4214" t="str">
        <f>PROPER(shipments[[#This Row],[delivery_status]])</f>
        <v>Delivered</v>
      </c>
      <c r="K4214" t="s">
        <v>6922</v>
      </c>
    </row>
    <row r="4215" spans="1:11">
      <c r="A4215" t="s">
        <v>11151</v>
      </c>
      <c r="B4215" t="s">
        <v>4869</v>
      </c>
      <c r="C4215" t="s">
        <v>6949</v>
      </c>
      <c r="D4215" s="1">
        <v>45466</v>
      </c>
      <c r="E4215" s="1">
        <v>45471</v>
      </c>
      <c r="F4215" s="1">
        <v>45472</v>
      </c>
      <c r="G4215">
        <v>53.16</v>
      </c>
      <c r="H42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15" t="str">
        <f>IFERROR(INDEX(Raw_orders!G:G, MATCH(shipments[[#This Row],[order_id]],Raw_orders!A:A, 0)), "Unknown")</f>
        <v>Central Europe</v>
      </c>
      <c r="J4215" t="str">
        <f>PROPER(shipments[[#This Row],[delivery_status]])</f>
        <v>Delivered</v>
      </c>
      <c r="K4215" t="s">
        <v>6922</v>
      </c>
    </row>
    <row r="4216" spans="1:11">
      <c r="A4216" t="s">
        <v>11152</v>
      </c>
      <c r="B4216" t="s">
        <v>4870</v>
      </c>
      <c r="C4216" t="s">
        <v>6935</v>
      </c>
      <c r="D4216" s="1">
        <v>45137</v>
      </c>
      <c r="E4216" s="1">
        <v>45144</v>
      </c>
      <c r="F4216" s="1"/>
      <c r="G4216">
        <v>15.36</v>
      </c>
      <c r="H42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216" t="str">
        <f>IFERROR(INDEX(Raw_orders!G:G, MATCH(shipments[[#This Row],[order_id]],Raw_orders!A:A, 0)), "Unknown")</f>
        <v>Nordics</v>
      </c>
      <c r="J4216" t="str">
        <f>PROPER(shipments[[#This Row],[delivery_status]])</f>
        <v>In Transit</v>
      </c>
      <c r="K4216" t="s">
        <v>6946</v>
      </c>
    </row>
    <row r="4217" spans="1:11">
      <c r="A4217" t="s">
        <v>11153</v>
      </c>
      <c r="B4217" t="s">
        <v>4871</v>
      </c>
      <c r="C4217" t="s">
        <v>6925</v>
      </c>
      <c r="D4217" s="1">
        <v>44957</v>
      </c>
      <c r="E4217" s="1">
        <v>44959</v>
      </c>
      <c r="F4217" s="1">
        <v>44959</v>
      </c>
      <c r="G4217">
        <v>31.55</v>
      </c>
      <c r="H42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217" t="str">
        <f>IFERROR(INDEX(Raw_orders!G:G, MATCH(shipments[[#This Row],[order_id]],Raw_orders!A:A, 0)), "Unknown")</f>
        <v>Baltics</v>
      </c>
      <c r="J4217" t="str">
        <f>PROPER(shipments[[#This Row],[delivery_status]])</f>
        <v>Delivered</v>
      </c>
      <c r="K4217" t="s">
        <v>6929</v>
      </c>
    </row>
    <row r="4218" spans="1:11">
      <c r="A4218" t="s">
        <v>11154</v>
      </c>
      <c r="B4218" t="s">
        <v>4872</v>
      </c>
      <c r="C4218" t="s">
        <v>6940</v>
      </c>
      <c r="D4218" s="1">
        <v>45118</v>
      </c>
      <c r="E4218" s="1">
        <v>45121</v>
      </c>
      <c r="F4218" s="1">
        <v>45121</v>
      </c>
      <c r="G4218">
        <v>10.24</v>
      </c>
      <c r="H42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218" t="str">
        <f>IFERROR(INDEX(Raw_orders!G:G, MATCH(shipments[[#This Row],[order_id]],Raw_orders!A:A, 0)), "Unknown")</f>
        <v>Baltics</v>
      </c>
      <c r="J4218" t="str">
        <f>PROPER(shipments[[#This Row],[delivery_status]])</f>
        <v>Delivered</v>
      </c>
      <c r="K4218" t="s">
        <v>6922</v>
      </c>
    </row>
    <row r="4219" spans="1:11">
      <c r="A4219" t="s">
        <v>11155</v>
      </c>
      <c r="B4219" t="s">
        <v>4873</v>
      </c>
      <c r="C4219" t="s">
        <v>6940</v>
      </c>
      <c r="D4219" s="1">
        <v>45384</v>
      </c>
      <c r="E4219" s="1">
        <v>45386</v>
      </c>
      <c r="F4219" s="1">
        <v>45389</v>
      </c>
      <c r="G4219">
        <v>9.9600000000000009</v>
      </c>
      <c r="H42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19" t="str">
        <f>IFERROR(INDEX(Raw_orders!G:G, MATCH(shipments[[#This Row],[order_id]],Raw_orders!A:A, 0)), "Unknown")</f>
        <v>Nordics</v>
      </c>
      <c r="J4219" t="str">
        <f>PROPER(shipments[[#This Row],[delivery_status]])</f>
        <v>Delivered</v>
      </c>
      <c r="K4219" t="s">
        <v>6929</v>
      </c>
    </row>
    <row r="4220" spans="1:11">
      <c r="A4220" t="s">
        <v>11156</v>
      </c>
      <c r="B4220" t="s">
        <v>4874</v>
      </c>
      <c r="C4220" t="s">
        <v>6928</v>
      </c>
      <c r="D4220" s="1">
        <v>45098</v>
      </c>
      <c r="E4220" s="1">
        <v>45101</v>
      </c>
      <c r="F4220" s="1"/>
      <c r="G4220">
        <v>7.35</v>
      </c>
      <c r="H42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220" t="str">
        <f>IFERROR(INDEX(Raw_orders!G:G, MATCH(shipments[[#This Row],[order_id]],Raw_orders!A:A, 0)), "Unknown")</f>
        <v>Central Europe</v>
      </c>
      <c r="J4220" t="str">
        <f>PROPER(shipments[[#This Row],[delivery_status]])</f>
        <v>In Transit</v>
      </c>
      <c r="K4220" t="s">
        <v>6958</v>
      </c>
    </row>
    <row r="4221" spans="1:11">
      <c r="A4221" t="s">
        <v>11157</v>
      </c>
      <c r="B4221" t="s">
        <v>4875</v>
      </c>
      <c r="C4221" t="s">
        <v>6935</v>
      </c>
      <c r="D4221" s="1">
        <v>45326</v>
      </c>
      <c r="E4221" s="1">
        <v>45333</v>
      </c>
      <c r="F4221" s="1">
        <v>45340</v>
      </c>
      <c r="G4221">
        <v>42.7</v>
      </c>
      <c r="H42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21" t="str">
        <f>IFERROR(INDEX(Raw_orders!G:G, MATCH(shipments[[#This Row],[order_id]],Raw_orders!A:A, 0)), "Unknown")</f>
        <v>Baltics</v>
      </c>
      <c r="J4221" t="str">
        <f>PROPER(shipments[[#This Row],[delivery_status]])</f>
        <v>Delivered</v>
      </c>
      <c r="K4221" t="s">
        <v>6922</v>
      </c>
    </row>
    <row r="4222" spans="1:11">
      <c r="A4222" t="s">
        <v>11158</v>
      </c>
      <c r="B4222" t="s">
        <v>4876</v>
      </c>
      <c r="C4222" t="s">
        <v>6938</v>
      </c>
      <c r="D4222" s="1">
        <v>45214</v>
      </c>
      <c r="E4222" s="1">
        <v>45221</v>
      </c>
      <c r="F4222" s="1">
        <v>45229</v>
      </c>
      <c r="G4222">
        <v>42.68</v>
      </c>
      <c r="H42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22" t="str">
        <f>IFERROR(INDEX(Raw_orders!G:G, MATCH(shipments[[#This Row],[order_id]],Raw_orders!A:A, 0)), "Unknown")</f>
        <v>Central Europe</v>
      </c>
      <c r="J4222" t="str">
        <f>PROPER(shipments[[#This Row],[delivery_status]])</f>
        <v>Delivered</v>
      </c>
      <c r="K4222" t="s">
        <v>6926</v>
      </c>
    </row>
    <row r="4223" spans="1:11">
      <c r="A4223" t="s">
        <v>11159</v>
      </c>
      <c r="B4223" t="s">
        <v>4877</v>
      </c>
      <c r="C4223" t="s">
        <v>6928</v>
      </c>
      <c r="D4223" s="1">
        <v>45014</v>
      </c>
      <c r="E4223" s="1">
        <v>45016</v>
      </c>
      <c r="F4223" s="1">
        <v>45016</v>
      </c>
      <c r="G4223">
        <v>8.82</v>
      </c>
      <c r="H42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223" t="str">
        <f>IFERROR(INDEX(Raw_orders!G:G, MATCH(shipments[[#This Row],[order_id]],Raw_orders!A:A, 0)), "Unknown")</f>
        <v>Baltics</v>
      </c>
      <c r="J4223" t="str">
        <f>PROPER(shipments[[#This Row],[delivery_status]])</f>
        <v>Delivered</v>
      </c>
      <c r="K4223" t="s">
        <v>6929</v>
      </c>
    </row>
    <row r="4224" spans="1:11">
      <c r="A4224" t="s">
        <v>11160</v>
      </c>
      <c r="B4224" t="s">
        <v>4878</v>
      </c>
      <c r="C4224" t="s">
        <v>6940</v>
      </c>
      <c r="D4224" s="1">
        <v>44936</v>
      </c>
      <c r="E4224" s="1">
        <v>44941</v>
      </c>
      <c r="F4224" s="1">
        <v>44941</v>
      </c>
      <c r="G4224">
        <v>50.79</v>
      </c>
      <c r="H42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224" t="str">
        <f>IFERROR(INDEX(Raw_orders!G:G, MATCH(shipments[[#This Row],[order_id]],Raw_orders!A:A, 0)), "Unknown")</f>
        <v>Baltics</v>
      </c>
      <c r="J4224" t="str">
        <f>PROPER(shipments[[#This Row],[delivery_status]])</f>
        <v>Delivered</v>
      </c>
      <c r="K4224" t="s">
        <v>6926</v>
      </c>
    </row>
    <row r="4225" spans="1:11">
      <c r="A4225" t="s">
        <v>11161</v>
      </c>
      <c r="B4225" t="s">
        <v>4879</v>
      </c>
      <c r="C4225" t="s">
        <v>6921</v>
      </c>
      <c r="D4225" s="1">
        <v>45478</v>
      </c>
      <c r="E4225" s="1">
        <v>45480</v>
      </c>
      <c r="F4225" s="1">
        <v>45485</v>
      </c>
      <c r="H42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25" t="str">
        <f>IFERROR(INDEX(Raw_orders!G:G, MATCH(shipments[[#This Row],[order_id]],Raw_orders!A:A, 0)), "Unknown")</f>
        <v>Nordics</v>
      </c>
      <c r="J4225" t="str">
        <f>PROPER(shipments[[#This Row],[delivery_status]])</f>
        <v>Delivered</v>
      </c>
      <c r="K4225" t="s">
        <v>6929</v>
      </c>
    </row>
    <row r="4226" spans="1:11">
      <c r="A4226" t="s">
        <v>11162</v>
      </c>
      <c r="B4226" t="s">
        <v>4880</v>
      </c>
      <c r="C4226" t="s">
        <v>6928</v>
      </c>
      <c r="D4226" s="1">
        <v>45399</v>
      </c>
      <c r="E4226" s="1">
        <v>45401</v>
      </c>
      <c r="F4226" s="1">
        <v>45409</v>
      </c>
      <c r="G4226">
        <v>18.62</v>
      </c>
      <c r="H42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26" t="str">
        <f>IFERROR(INDEX(Raw_orders!G:G, MATCH(shipments[[#This Row],[order_id]],Raw_orders!A:A, 0)), "Unknown")</f>
        <v>Central Europe</v>
      </c>
      <c r="J4226" t="str">
        <f>PROPER(shipments[[#This Row],[delivery_status]])</f>
        <v>Delivered</v>
      </c>
      <c r="K4226" t="s">
        <v>6929</v>
      </c>
    </row>
    <row r="4227" spans="1:11">
      <c r="A4227" t="s">
        <v>11163</v>
      </c>
      <c r="B4227" t="s">
        <v>4881</v>
      </c>
      <c r="C4227" t="s">
        <v>6931</v>
      </c>
      <c r="D4227" s="1">
        <v>44936</v>
      </c>
      <c r="E4227" s="1">
        <v>44941</v>
      </c>
      <c r="F4227" s="1">
        <v>44949</v>
      </c>
      <c r="G4227">
        <v>51.42</v>
      </c>
      <c r="H42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27" t="str">
        <f>IFERROR(INDEX(Raw_orders!G:G, MATCH(shipments[[#This Row],[order_id]],Raw_orders!A:A, 0)), "Unknown")</f>
        <v>Nordics</v>
      </c>
      <c r="J4227" t="str">
        <f>PROPER(shipments[[#This Row],[delivery_status]])</f>
        <v>Delivered</v>
      </c>
      <c r="K4227" t="s">
        <v>6929</v>
      </c>
    </row>
    <row r="4228" spans="1:11">
      <c r="A4228" t="s">
        <v>11164</v>
      </c>
      <c r="B4228" t="s">
        <v>4882</v>
      </c>
      <c r="C4228" t="s">
        <v>6931</v>
      </c>
      <c r="D4228" s="1">
        <v>45167</v>
      </c>
      <c r="E4228" s="1">
        <v>45169</v>
      </c>
      <c r="F4228" s="1"/>
      <c r="G4228">
        <v>8.42</v>
      </c>
      <c r="H42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228" t="str">
        <f>IFERROR(INDEX(Raw_orders!G:G, MATCH(shipments[[#This Row],[order_id]],Raw_orders!A:A, 0)), "Unknown")</f>
        <v>Baltics</v>
      </c>
      <c r="J4228" t="str">
        <f>PROPER(shipments[[#This Row],[delivery_status]])</f>
        <v>Cancelled</v>
      </c>
      <c r="K4228" t="s">
        <v>6963</v>
      </c>
    </row>
    <row r="4229" spans="1:11">
      <c r="A4229" t="s">
        <v>11165</v>
      </c>
      <c r="B4229" t="s">
        <v>4883</v>
      </c>
      <c r="C4229" t="s">
        <v>6931</v>
      </c>
      <c r="D4229" s="1">
        <v>45577</v>
      </c>
      <c r="E4229" s="1">
        <v>45580</v>
      </c>
      <c r="F4229" s="1">
        <v>45583</v>
      </c>
      <c r="G4229">
        <v>34.06</v>
      </c>
      <c r="H42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29" t="str">
        <f>IFERROR(INDEX(Raw_orders!G:G, MATCH(shipments[[#This Row],[order_id]],Raw_orders!A:A, 0)), "Unknown")</f>
        <v>Nordics</v>
      </c>
      <c r="J4229" t="str">
        <f>PROPER(shipments[[#This Row],[delivery_status]])</f>
        <v>Delivered</v>
      </c>
      <c r="K4229" t="s">
        <v>6929</v>
      </c>
    </row>
    <row r="4230" spans="1:11">
      <c r="A4230" t="s">
        <v>11166</v>
      </c>
      <c r="B4230" t="s">
        <v>4884</v>
      </c>
      <c r="C4230" t="s">
        <v>6935</v>
      </c>
      <c r="D4230" s="1">
        <v>45580</v>
      </c>
      <c r="E4230" s="1">
        <v>45587</v>
      </c>
      <c r="F4230" s="1">
        <v>45601</v>
      </c>
      <c r="G4230">
        <v>53.2</v>
      </c>
      <c r="H42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30" t="str">
        <f>IFERROR(INDEX(Raw_orders!G:G, MATCH(shipments[[#This Row],[order_id]],Raw_orders!A:A, 0)), "Unknown")</f>
        <v>Central Europe</v>
      </c>
      <c r="J4230" t="str">
        <f>PROPER(shipments[[#This Row],[delivery_status]])</f>
        <v>Delivered</v>
      </c>
      <c r="K4230" t="s">
        <v>6926</v>
      </c>
    </row>
    <row r="4231" spans="1:11">
      <c r="A4231" t="s">
        <v>11167</v>
      </c>
      <c r="B4231" t="s">
        <v>4884</v>
      </c>
      <c r="C4231" t="s">
        <v>6940</v>
      </c>
      <c r="D4231" s="1">
        <v>45579</v>
      </c>
      <c r="E4231" s="1">
        <v>45581</v>
      </c>
      <c r="F4231" s="1">
        <v>45581</v>
      </c>
      <c r="G4231">
        <v>46.72</v>
      </c>
      <c r="H42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231" t="str">
        <f>IFERROR(INDEX(Raw_orders!G:G, MATCH(shipments[[#This Row],[order_id]],Raw_orders!A:A, 0)), "Unknown")</f>
        <v>Central Europe</v>
      </c>
      <c r="J4231" t="str">
        <f>PROPER(shipments[[#This Row],[delivery_status]])</f>
        <v>Delivered</v>
      </c>
      <c r="K4231" t="s">
        <v>6922</v>
      </c>
    </row>
    <row r="4232" spans="1:11">
      <c r="A4232" t="s">
        <v>11168</v>
      </c>
      <c r="B4232" t="s">
        <v>4885</v>
      </c>
      <c r="C4232" t="s">
        <v>6928</v>
      </c>
      <c r="D4232" s="1">
        <v>45299</v>
      </c>
      <c r="E4232" s="1">
        <v>45306</v>
      </c>
      <c r="F4232" s="1"/>
      <c r="G4232">
        <v>15.72</v>
      </c>
      <c r="H42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232" t="str">
        <f>IFERROR(INDEX(Raw_orders!G:G, MATCH(shipments[[#This Row],[order_id]],Raw_orders!A:A, 0)), "Unknown")</f>
        <v>Central Europe</v>
      </c>
      <c r="J4232" t="str">
        <f>PROPER(shipments[[#This Row],[delivery_status]])</f>
        <v>In Transit</v>
      </c>
      <c r="K4232" t="s">
        <v>6958</v>
      </c>
    </row>
    <row r="4233" spans="1:11">
      <c r="A4233" t="s">
        <v>11169</v>
      </c>
      <c r="B4233" t="s">
        <v>4886</v>
      </c>
      <c r="C4233" t="s">
        <v>6928</v>
      </c>
      <c r="D4233" s="1">
        <v>45416</v>
      </c>
      <c r="E4233" s="1">
        <v>45426</v>
      </c>
      <c r="F4233" s="1">
        <v>45429</v>
      </c>
      <c r="G4233">
        <v>55.75</v>
      </c>
      <c r="H42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33" t="str">
        <f>IFERROR(INDEX(Raw_orders!G:G, MATCH(shipments[[#This Row],[order_id]],Raw_orders!A:A, 0)), "Unknown")</f>
        <v>Central Europe</v>
      </c>
      <c r="J4233" t="str">
        <f>PROPER(shipments[[#This Row],[delivery_status]])</f>
        <v>Delivered</v>
      </c>
      <c r="K4233" t="s">
        <v>6929</v>
      </c>
    </row>
    <row r="4234" spans="1:11">
      <c r="A4234" t="s">
        <v>11170</v>
      </c>
      <c r="B4234" t="s">
        <v>4887</v>
      </c>
      <c r="C4234" t="s">
        <v>6938</v>
      </c>
      <c r="D4234" s="1">
        <v>45013</v>
      </c>
      <c r="E4234" s="1">
        <v>45015</v>
      </c>
      <c r="F4234" s="1"/>
      <c r="G4234">
        <v>13.37</v>
      </c>
      <c r="H42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234" t="str">
        <f>IFERROR(INDEX(Raw_orders!G:G, MATCH(shipments[[#This Row],[order_id]],Raw_orders!A:A, 0)), "Unknown")</f>
        <v>Baltics</v>
      </c>
      <c r="J4234" t="str">
        <f>PROPER(shipments[[#This Row],[delivery_status]])</f>
        <v>In Transit</v>
      </c>
      <c r="K4234" t="s">
        <v>6958</v>
      </c>
    </row>
    <row r="4235" spans="1:11">
      <c r="A4235" t="s">
        <v>11171</v>
      </c>
      <c r="B4235" t="s">
        <v>4888</v>
      </c>
      <c r="C4235" t="s">
        <v>6956</v>
      </c>
      <c r="D4235" s="1">
        <v>45149</v>
      </c>
      <c r="E4235" s="1">
        <v>45152</v>
      </c>
      <c r="F4235" s="1">
        <v>45155</v>
      </c>
      <c r="G4235">
        <v>23.14</v>
      </c>
      <c r="H42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35" t="str">
        <f>IFERROR(INDEX(Raw_orders!G:G, MATCH(shipments[[#This Row],[order_id]],Raw_orders!A:A, 0)), "Unknown")</f>
        <v>Nordics</v>
      </c>
      <c r="J4235" t="str">
        <f>PROPER(shipments[[#This Row],[delivery_status]])</f>
        <v>Delivered</v>
      </c>
      <c r="K4235" t="s">
        <v>6926</v>
      </c>
    </row>
    <row r="4236" spans="1:11">
      <c r="A4236" t="s">
        <v>11172</v>
      </c>
      <c r="B4236" t="s">
        <v>4889</v>
      </c>
      <c r="C4236" t="s">
        <v>6921</v>
      </c>
      <c r="D4236" s="1">
        <v>45021</v>
      </c>
      <c r="E4236" s="1">
        <v>45031</v>
      </c>
      <c r="F4236" s="1">
        <v>45031</v>
      </c>
      <c r="G4236">
        <v>27.39</v>
      </c>
      <c r="H42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236" t="str">
        <f>IFERROR(INDEX(Raw_orders!G:G, MATCH(shipments[[#This Row],[order_id]],Raw_orders!A:A, 0)), "Unknown")</f>
        <v>Nordics</v>
      </c>
      <c r="J4236" t="str">
        <f>PROPER(shipments[[#This Row],[delivery_status]])</f>
        <v>Delivered</v>
      </c>
      <c r="K4236" t="s">
        <v>6922</v>
      </c>
    </row>
    <row r="4237" spans="1:11">
      <c r="A4237" t="s">
        <v>11173</v>
      </c>
      <c r="B4237" t="s">
        <v>4890</v>
      </c>
      <c r="C4237" t="s">
        <v>6956</v>
      </c>
      <c r="D4237" s="1">
        <v>45047</v>
      </c>
      <c r="E4237" s="1">
        <v>45054</v>
      </c>
      <c r="F4237" s="1">
        <v>45054</v>
      </c>
      <c r="G4237">
        <v>21.14</v>
      </c>
      <c r="H42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237" t="str">
        <f>IFERROR(INDEX(Raw_orders!G:G, MATCH(shipments[[#This Row],[order_id]],Raw_orders!A:A, 0)), "Unknown")</f>
        <v>Central Europe</v>
      </c>
      <c r="J4237" t="str">
        <f>PROPER(shipments[[#This Row],[delivery_status]])</f>
        <v>Delivered</v>
      </c>
      <c r="K4237" t="s">
        <v>6929</v>
      </c>
    </row>
    <row r="4238" spans="1:11">
      <c r="A4238" t="s">
        <v>11174</v>
      </c>
      <c r="B4238" t="s">
        <v>4891</v>
      </c>
      <c r="C4238" t="s">
        <v>6928</v>
      </c>
      <c r="D4238" s="1">
        <v>45202</v>
      </c>
      <c r="E4238" s="1">
        <v>45204</v>
      </c>
      <c r="F4238" s="1">
        <v>45203</v>
      </c>
      <c r="G4238">
        <v>15.93</v>
      </c>
      <c r="H42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238" t="str">
        <f>IFERROR(INDEX(Raw_orders!G:G, MATCH(shipments[[#This Row],[order_id]],Raw_orders!A:A, 0)), "Unknown")</f>
        <v>Nordics</v>
      </c>
      <c r="J4238" t="str">
        <f>PROPER(shipments[[#This Row],[delivery_status]])</f>
        <v>Delivered</v>
      </c>
      <c r="K4238" t="s">
        <v>6922</v>
      </c>
    </row>
    <row r="4239" spans="1:11">
      <c r="A4239" t="s">
        <v>11175</v>
      </c>
      <c r="B4239" t="s">
        <v>4892</v>
      </c>
      <c r="C4239" t="s">
        <v>6921</v>
      </c>
      <c r="D4239" s="1">
        <v>44932</v>
      </c>
      <c r="E4239" s="1">
        <v>44935</v>
      </c>
      <c r="F4239" s="1">
        <v>44935</v>
      </c>
      <c r="G4239">
        <v>33.270000000000003</v>
      </c>
      <c r="H42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239" t="str">
        <f>IFERROR(INDEX(Raw_orders!G:G, MATCH(shipments[[#This Row],[order_id]],Raw_orders!A:A, 0)), "Unknown")</f>
        <v>Central Europe</v>
      </c>
      <c r="J4239" t="str">
        <f>PROPER(shipments[[#This Row],[delivery_status]])</f>
        <v>Delivered</v>
      </c>
      <c r="K4239" t="s">
        <v>6926</v>
      </c>
    </row>
    <row r="4240" spans="1:11">
      <c r="A4240" t="s">
        <v>11176</v>
      </c>
      <c r="B4240" t="s">
        <v>4892</v>
      </c>
      <c r="C4240" t="s">
        <v>6956</v>
      </c>
      <c r="D4240" s="1">
        <v>44932</v>
      </c>
      <c r="E4240" s="1">
        <v>44942</v>
      </c>
      <c r="F4240" s="1">
        <v>44947</v>
      </c>
      <c r="G4240">
        <v>24.32</v>
      </c>
      <c r="H42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40" t="str">
        <f>IFERROR(INDEX(Raw_orders!G:G, MATCH(shipments[[#This Row],[order_id]],Raw_orders!A:A, 0)), "Unknown")</f>
        <v>Central Europe</v>
      </c>
      <c r="J4240" t="str">
        <f>PROPER(shipments[[#This Row],[delivery_status]])</f>
        <v>Delivered</v>
      </c>
      <c r="K4240" t="s">
        <v>6929</v>
      </c>
    </row>
    <row r="4241" spans="1:11">
      <c r="A4241" t="s">
        <v>11177</v>
      </c>
      <c r="B4241" t="s">
        <v>4893</v>
      </c>
      <c r="C4241" t="s">
        <v>6940</v>
      </c>
      <c r="D4241" s="1">
        <v>45172</v>
      </c>
      <c r="E4241" s="1">
        <v>45182</v>
      </c>
      <c r="F4241" s="1">
        <v>45183</v>
      </c>
      <c r="G4241">
        <v>22.05</v>
      </c>
      <c r="H42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41" t="str">
        <f>IFERROR(INDEX(Raw_orders!G:G, MATCH(shipments[[#This Row],[order_id]],Raw_orders!A:A, 0)), "Unknown")</f>
        <v>Central Europe</v>
      </c>
      <c r="J4241" t="str">
        <f>PROPER(shipments[[#This Row],[delivery_status]])</f>
        <v>Delivered</v>
      </c>
      <c r="K4241" t="s">
        <v>6929</v>
      </c>
    </row>
    <row r="4242" spans="1:11">
      <c r="A4242" t="s">
        <v>11178</v>
      </c>
      <c r="B4242" t="s">
        <v>4894</v>
      </c>
      <c r="C4242" t="s">
        <v>6925</v>
      </c>
      <c r="D4242" s="1">
        <v>45572</v>
      </c>
      <c r="E4242" s="1">
        <v>45574</v>
      </c>
      <c r="F4242" s="1">
        <v>45577</v>
      </c>
      <c r="G4242">
        <v>59.81</v>
      </c>
      <c r="H42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42" t="str">
        <f>IFERROR(INDEX(Raw_orders!G:G, MATCH(shipments[[#This Row],[order_id]],Raw_orders!A:A, 0)), "Unknown")</f>
        <v>Nordics</v>
      </c>
      <c r="J4242" t="str">
        <f>PROPER(shipments[[#This Row],[delivery_status]])</f>
        <v>Delivered</v>
      </c>
      <c r="K4242" t="s">
        <v>6922</v>
      </c>
    </row>
    <row r="4243" spans="1:11">
      <c r="A4243" t="s">
        <v>11179</v>
      </c>
      <c r="B4243" t="s">
        <v>4895</v>
      </c>
      <c r="C4243" t="s">
        <v>6956</v>
      </c>
      <c r="D4243" s="1">
        <v>45136</v>
      </c>
      <c r="E4243" s="1">
        <v>45143</v>
      </c>
      <c r="F4243" s="1">
        <v>45143</v>
      </c>
      <c r="G4243">
        <v>34.74</v>
      </c>
      <c r="H42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243" t="str">
        <f>IFERROR(INDEX(Raw_orders!G:G, MATCH(shipments[[#This Row],[order_id]],Raw_orders!A:A, 0)), "Unknown")</f>
        <v>Central Europe</v>
      </c>
      <c r="J4243" t="str">
        <f>PROPER(shipments[[#This Row],[delivery_status]])</f>
        <v>Delivered</v>
      </c>
      <c r="K4243" t="s">
        <v>6926</v>
      </c>
    </row>
    <row r="4244" spans="1:11">
      <c r="A4244" t="s">
        <v>11180</v>
      </c>
      <c r="B4244" t="s">
        <v>4896</v>
      </c>
      <c r="C4244" t="s">
        <v>6928</v>
      </c>
      <c r="D4244" s="1">
        <v>45312</v>
      </c>
      <c r="E4244" s="1">
        <v>45322</v>
      </c>
      <c r="F4244" s="1">
        <v>45322</v>
      </c>
      <c r="G4244">
        <v>13.02</v>
      </c>
      <c r="H42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244" t="str">
        <f>IFERROR(INDEX(Raw_orders!G:G, MATCH(shipments[[#This Row],[order_id]],Raw_orders!A:A, 0)), "Unknown")</f>
        <v>Central Europe</v>
      </c>
      <c r="J4244" t="str">
        <f>PROPER(shipments[[#This Row],[delivery_status]])</f>
        <v>Delivered</v>
      </c>
      <c r="K4244" t="s">
        <v>6929</v>
      </c>
    </row>
    <row r="4245" spans="1:11">
      <c r="A4245" t="s">
        <v>11181</v>
      </c>
      <c r="B4245" t="s">
        <v>4897</v>
      </c>
      <c r="C4245" t="s">
        <v>6925</v>
      </c>
      <c r="D4245" s="1">
        <v>45357</v>
      </c>
      <c r="E4245" s="1">
        <v>45367</v>
      </c>
      <c r="F4245" s="1">
        <v>45367</v>
      </c>
      <c r="G4245">
        <v>36.81</v>
      </c>
      <c r="H42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245" t="str">
        <f>IFERROR(INDEX(Raw_orders!G:G, MATCH(shipments[[#This Row],[order_id]],Raw_orders!A:A, 0)), "Unknown")</f>
        <v>Baltics</v>
      </c>
      <c r="J4245" t="str">
        <f>PROPER(shipments[[#This Row],[delivery_status]])</f>
        <v>Delivered</v>
      </c>
      <c r="K4245" t="s">
        <v>6929</v>
      </c>
    </row>
    <row r="4246" spans="1:11">
      <c r="A4246" t="s">
        <v>11182</v>
      </c>
      <c r="B4246" t="s">
        <v>4898</v>
      </c>
      <c r="C4246" t="s">
        <v>6956</v>
      </c>
      <c r="D4246" s="1">
        <v>44938</v>
      </c>
      <c r="E4246" s="1">
        <v>44941</v>
      </c>
      <c r="F4246" s="1">
        <v>44947</v>
      </c>
      <c r="G4246">
        <v>27.49</v>
      </c>
      <c r="H42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46" t="str">
        <f>IFERROR(INDEX(Raw_orders!G:G, MATCH(shipments[[#This Row],[order_id]],Raw_orders!A:A, 0)), "Unknown")</f>
        <v>Nordics</v>
      </c>
      <c r="J4246" t="str">
        <f>PROPER(shipments[[#This Row],[delivery_status]])</f>
        <v>Delivered</v>
      </c>
      <c r="K4246" t="s">
        <v>6926</v>
      </c>
    </row>
    <row r="4247" spans="1:11">
      <c r="A4247" t="s">
        <v>11183</v>
      </c>
      <c r="B4247" t="s">
        <v>4899</v>
      </c>
      <c r="C4247" t="s">
        <v>6931</v>
      </c>
      <c r="D4247" s="1">
        <v>45246</v>
      </c>
      <c r="E4247" s="1">
        <v>45256</v>
      </c>
      <c r="F4247" s="1"/>
      <c r="G4247">
        <v>25.61</v>
      </c>
      <c r="H42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247" t="str">
        <f>IFERROR(INDEX(Raw_orders!G:G, MATCH(shipments[[#This Row],[order_id]],Raw_orders!A:A, 0)), "Unknown")</f>
        <v>Baltics</v>
      </c>
      <c r="J4247" t="str">
        <f>PROPER(shipments[[#This Row],[delivery_status]])</f>
        <v>Cancelled</v>
      </c>
      <c r="K4247" t="s">
        <v>6972</v>
      </c>
    </row>
    <row r="4248" spans="1:11">
      <c r="A4248" t="s">
        <v>11184</v>
      </c>
      <c r="B4248" t="s">
        <v>4900</v>
      </c>
      <c r="C4248" t="s">
        <v>6921</v>
      </c>
      <c r="D4248" s="1">
        <v>45453</v>
      </c>
      <c r="E4248" s="1">
        <v>45460</v>
      </c>
      <c r="F4248" s="1">
        <v>45461</v>
      </c>
      <c r="G4248">
        <v>16.850000000000001</v>
      </c>
      <c r="H42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48" t="str">
        <f>IFERROR(INDEX(Raw_orders!G:G, MATCH(shipments[[#This Row],[order_id]],Raw_orders!A:A, 0)), "Unknown")</f>
        <v>Nordics</v>
      </c>
      <c r="J4248" t="str">
        <f>PROPER(shipments[[#This Row],[delivery_status]])</f>
        <v>Delivered</v>
      </c>
      <c r="K4248" t="s">
        <v>6929</v>
      </c>
    </row>
    <row r="4249" spans="1:11">
      <c r="A4249" t="s">
        <v>11185</v>
      </c>
      <c r="B4249" t="s">
        <v>4901</v>
      </c>
      <c r="C4249" t="s">
        <v>6940</v>
      </c>
      <c r="D4249" s="1">
        <v>44935</v>
      </c>
      <c r="E4249" s="1">
        <v>44937</v>
      </c>
      <c r="F4249" s="1">
        <v>44937</v>
      </c>
      <c r="G4249">
        <v>40.450000000000003</v>
      </c>
      <c r="H42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249" t="str">
        <f>IFERROR(INDEX(Raw_orders!G:G, MATCH(shipments[[#This Row],[order_id]],Raw_orders!A:A, 0)), "Unknown")</f>
        <v>Central Europe</v>
      </c>
      <c r="J4249" t="str">
        <f>PROPER(shipments[[#This Row],[delivery_status]])</f>
        <v>Delivered</v>
      </c>
      <c r="K4249" t="s">
        <v>6922</v>
      </c>
    </row>
    <row r="4250" spans="1:11">
      <c r="A4250" t="s">
        <v>11186</v>
      </c>
      <c r="B4250" t="s">
        <v>4902</v>
      </c>
      <c r="C4250" t="s">
        <v>6938</v>
      </c>
      <c r="D4250" s="1">
        <v>45507</v>
      </c>
      <c r="E4250" s="1">
        <v>45512</v>
      </c>
      <c r="F4250" s="1">
        <v>45526</v>
      </c>
      <c r="G4250">
        <v>21.56</v>
      </c>
      <c r="H42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50" t="str">
        <f>IFERROR(INDEX(Raw_orders!G:G, MATCH(shipments[[#This Row],[order_id]],Raw_orders!A:A, 0)), "Unknown")</f>
        <v>Nordics</v>
      </c>
      <c r="J4250" t="str">
        <f>PROPER(shipments[[#This Row],[delivery_status]])</f>
        <v>Delivered</v>
      </c>
      <c r="K4250" t="s">
        <v>6926</v>
      </c>
    </row>
    <row r="4251" spans="1:11">
      <c r="A4251" t="s">
        <v>11187</v>
      </c>
      <c r="B4251" t="s">
        <v>4903</v>
      </c>
      <c r="C4251" t="s">
        <v>6931</v>
      </c>
      <c r="D4251" s="1">
        <v>45494</v>
      </c>
      <c r="E4251" s="1">
        <v>45501</v>
      </c>
      <c r="F4251" s="1">
        <v>45501</v>
      </c>
      <c r="G4251">
        <v>48.4</v>
      </c>
      <c r="H42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251" t="str">
        <f>IFERROR(INDEX(Raw_orders!G:G, MATCH(shipments[[#This Row],[order_id]],Raw_orders!A:A, 0)), "Unknown")</f>
        <v>Baltics</v>
      </c>
      <c r="J4251" t="str">
        <f>PROPER(shipments[[#This Row],[delivery_status]])</f>
        <v>Delivered</v>
      </c>
      <c r="K4251" t="s">
        <v>6929</v>
      </c>
    </row>
    <row r="4252" spans="1:11">
      <c r="A4252" t="s">
        <v>11188</v>
      </c>
      <c r="B4252" t="s">
        <v>4904</v>
      </c>
      <c r="C4252" t="s">
        <v>6928</v>
      </c>
      <c r="D4252" s="1">
        <v>45206</v>
      </c>
      <c r="E4252" s="1">
        <v>45209</v>
      </c>
      <c r="F4252" s="1">
        <v>45209</v>
      </c>
      <c r="G4252">
        <v>38.1</v>
      </c>
      <c r="H42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252" t="str">
        <f>IFERROR(INDEX(Raw_orders!G:G, MATCH(shipments[[#This Row],[order_id]],Raw_orders!A:A, 0)), "Unknown")</f>
        <v>Central Europe</v>
      </c>
      <c r="J4252" t="str">
        <f>PROPER(shipments[[#This Row],[delivery_status]])</f>
        <v>Delivered</v>
      </c>
      <c r="K4252" t="s">
        <v>6929</v>
      </c>
    </row>
    <row r="4253" spans="1:11">
      <c r="A4253" t="s">
        <v>11189</v>
      </c>
      <c r="B4253" t="s">
        <v>4905</v>
      </c>
      <c r="C4253" t="s">
        <v>6935</v>
      </c>
      <c r="D4253" s="1">
        <v>45318</v>
      </c>
      <c r="E4253" s="1">
        <v>45323</v>
      </c>
      <c r="F4253" s="1">
        <v>45325</v>
      </c>
      <c r="G4253">
        <v>64.44</v>
      </c>
      <c r="H42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53" t="str">
        <f>IFERROR(INDEX(Raw_orders!G:G, MATCH(shipments[[#This Row],[order_id]],Raw_orders!A:A, 0)), "Unknown")</f>
        <v>Baltics</v>
      </c>
      <c r="J4253" t="str">
        <f>PROPER(shipments[[#This Row],[delivery_status]])</f>
        <v>Delivered</v>
      </c>
      <c r="K4253" t="s">
        <v>6926</v>
      </c>
    </row>
    <row r="4254" spans="1:11">
      <c r="A4254" t="s">
        <v>11190</v>
      </c>
      <c r="B4254" t="s">
        <v>4906</v>
      </c>
      <c r="C4254" t="s">
        <v>6931</v>
      </c>
      <c r="D4254" s="1">
        <v>45502</v>
      </c>
      <c r="E4254" s="1">
        <v>45507</v>
      </c>
      <c r="F4254" s="1">
        <v>45516</v>
      </c>
      <c r="G4254">
        <v>22.55</v>
      </c>
      <c r="H42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54" t="str">
        <f>IFERROR(INDEX(Raw_orders!G:G, MATCH(shipments[[#This Row],[order_id]],Raw_orders!A:A, 0)), "Unknown")</f>
        <v>Central Europe</v>
      </c>
      <c r="J4254" t="str">
        <f>PROPER(shipments[[#This Row],[delivery_status]])</f>
        <v>Delivered</v>
      </c>
      <c r="K4254" t="s">
        <v>6926</v>
      </c>
    </row>
    <row r="4255" spans="1:11">
      <c r="A4255" t="s">
        <v>11191</v>
      </c>
      <c r="B4255" t="s">
        <v>4907</v>
      </c>
      <c r="C4255" t="s">
        <v>6931</v>
      </c>
      <c r="D4255" s="1">
        <v>45407</v>
      </c>
      <c r="E4255" s="1">
        <v>45412</v>
      </c>
      <c r="F4255" s="1">
        <v>45425</v>
      </c>
      <c r="G4255">
        <v>8.4499999999999993</v>
      </c>
      <c r="H42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55" t="str">
        <f>IFERROR(INDEX(Raw_orders!G:G, MATCH(shipments[[#This Row],[order_id]],Raw_orders!A:A, 0)), "Unknown")</f>
        <v>Central Europe</v>
      </c>
      <c r="J4255" t="str">
        <f>PROPER(shipments[[#This Row],[delivery_status]])</f>
        <v>Delivered</v>
      </c>
      <c r="K4255" t="s">
        <v>6922</v>
      </c>
    </row>
    <row r="4256" spans="1:11">
      <c r="A4256" t="s">
        <v>11192</v>
      </c>
      <c r="B4256" t="s">
        <v>4908</v>
      </c>
      <c r="C4256" t="s">
        <v>6928</v>
      </c>
      <c r="D4256" s="1">
        <v>45592</v>
      </c>
      <c r="E4256" s="1">
        <v>45597</v>
      </c>
      <c r="F4256" s="1">
        <v>45599</v>
      </c>
      <c r="G4256">
        <v>16.12</v>
      </c>
      <c r="H42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56" t="str">
        <f>IFERROR(INDEX(Raw_orders!G:G, MATCH(shipments[[#This Row],[order_id]],Raw_orders!A:A, 0)), "Unknown")</f>
        <v>Nordics</v>
      </c>
      <c r="J4256" t="str">
        <f>PROPER(shipments[[#This Row],[delivery_status]])</f>
        <v>Delivered</v>
      </c>
      <c r="K4256" t="s">
        <v>6926</v>
      </c>
    </row>
    <row r="4257" spans="1:11">
      <c r="A4257" t="s">
        <v>11193</v>
      </c>
      <c r="B4257" t="s">
        <v>4909</v>
      </c>
      <c r="C4257" t="s">
        <v>6938</v>
      </c>
      <c r="D4257" s="1">
        <v>45236</v>
      </c>
      <c r="E4257" s="1">
        <v>45239</v>
      </c>
      <c r="F4257" s="1">
        <v>45240</v>
      </c>
      <c r="G4257">
        <v>16.04</v>
      </c>
      <c r="H42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57" t="str">
        <f>IFERROR(INDEX(Raw_orders!G:G, MATCH(shipments[[#This Row],[order_id]],Raw_orders!A:A, 0)), "Unknown")</f>
        <v>Central Europe</v>
      </c>
      <c r="J4257" t="str">
        <f>PROPER(shipments[[#This Row],[delivery_status]])</f>
        <v>Delivered</v>
      </c>
      <c r="K4257" t="s">
        <v>6929</v>
      </c>
    </row>
    <row r="4258" spans="1:11">
      <c r="A4258" t="s">
        <v>11194</v>
      </c>
      <c r="B4258" t="s">
        <v>4910</v>
      </c>
      <c r="C4258" t="s">
        <v>6931</v>
      </c>
      <c r="D4258" s="1">
        <v>45297</v>
      </c>
      <c r="E4258" s="1">
        <v>45302</v>
      </c>
      <c r="F4258" s="1">
        <v>45307</v>
      </c>
      <c r="G4258">
        <v>7.19</v>
      </c>
      <c r="H42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58" t="str">
        <f>IFERROR(INDEX(Raw_orders!G:G, MATCH(shipments[[#This Row],[order_id]],Raw_orders!A:A, 0)), "Unknown")</f>
        <v>Central Europe</v>
      </c>
      <c r="J4258" t="str">
        <f>PROPER(shipments[[#This Row],[delivery_status]])</f>
        <v>Delivered</v>
      </c>
      <c r="K4258" t="s">
        <v>6926</v>
      </c>
    </row>
    <row r="4259" spans="1:11">
      <c r="A4259" t="s">
        <v>11195</v>
      </c>
      <c r="B4259" t="s">
        <v>4911</v>
      </c>
      <c r="C4259" t="s">
        <v>6931</v>
      </c>
      <c r="D4259" s="1">
        <v>45177</v>
      </c>
      <c r="E4259" s="1">
        <v>45180</v>
      </c>
      <c r="F4259" s="1">
        <v>45193</v>
      </c>
      <c r="G4259">
        <v>58.69</v>
      </c>
      <c r="H42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59" t="str">
        <f>IFERROR(INDEX(Raw_orders!G:G, MATCH(shipments[[#This Row],[order_id]],Raw_orders!A:A, 0)), "Unknown")</f>
        <v>Baltics</v>
      </c>
      <c r="J4259" t="str">
        <f>PROPER(shipments[[#This Row],[delivery_status]])</f>
        <v>Delivered</v>
      </c>
      <c r="K4259" t="s">
        <v>6929</v>
      </c>
    </row>
    <row r="4260" spans="1:11">
      <c r="A4260" t="s">
        <v>11196</v>
      </c>
      <c r="B4260" t="s">
        <v>4912</v>
      </c>
      <c r="C4260" t="s">
        <v>6938</v>
      </c>
      <c r="D4260" s="1">
        <v>44952</v>
      </c>
      <c r="E4260" s="1">
        <v>44959</v>
      </c>
      <c r="F4260" s="1">
        <v>44959</v>
      </c>
      <c r="G4260">
        <v>40.69</v>
      </c>
      <c r="H42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260" t="str">
        <f>IFERROR(INDEX(Raw_orders!G:G, MATCH(shipments[[#This Row],[order_id]],Raw_orders!A:A, 0)), "Unknown")</f>
        <v>Nordics</v>
      </c>
      <c r="J4260" t="str">
        <f>PROPER(shipments[[#This Row],[delivery_status]])</f>
        <v>Delivered</v>
      </c>
      <c r="K4260" t="s">
        <v>6926</v>
      </c>
    </row>
    <row r="4261" spans="1:11">
      <c r="A4261" t="s">
        <v>11197</v>
      </c>
      <c r="B4261" t="s">
        <v>4912</v>
      </c>
      <c r="C4261" t="s">
        <v>6935</v>
      </c>
      <c r="D4261" s="1">
        <v>44952</v>
      </c>
      <c r="E4261" s="1">
        <v>44954</v>
      </c>
      <c r="F4261" s="1">
        <v>44957</v>
      </c>
      <c r="G4261">
        <v>14.22</v>
      </c>
      <c r="H42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61" t="str">
        <f>IFERROR(INDEX(Raw_orders!G:G, MATCH(shipments[[#This Row],[order_id]],Raw_orders!A:A, 0)), "Unknown")</f>
        <v>Nordics</v>
      </c>
      <c r="J4261" t="str">
        <f>PROPER(shipments[[#This Row],[delivery_status]])</f>
        <v>Delivered</v>
      </c>
      <c r="K4261" t="s">
        <v>6929</v>
      </c>
    </row>
    <row r="4262" spans="1:11">
      <c r="A4262" t="s">
        <v>11198</v>
      </c>
      <c r="B4262" t="s">
        <v>4913</v>
      </c>
      <c r="C4262" t="s">
        <v>6938</v>
      </c>
      <c r="D4262" s="1">
        <v>45102</v>
      </c>
      <c r="E4262" s="1">
        <v>45112</v>
      </c>
      <c r="F4262" s="1"/>
      <c r="G4262">
        <v>33.49</v>
      </c>
      <c r="H42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262" t="str">
        <f>IFERROR(INDEX(Raw_orders!G:G, MATCH(shipments[[#This Row],[order_id]],Raw_orders!A:A, 0)), "Unknown")</f>
        <v>Nordics</v>
      </c>
      <c r="J4262" t="str">
        <f>PROPER(shipments[[#This Row],[delivery_status]])</f>
        <v>In Transit</v>
      </c>
      <c r="K4262" t="s">
        <v>6958</v>
      </c>
    </row>
    <row r="4263" spans="1:11">
      <c r="A4263" t="s">
        <v>11199</v>
      </c>
      <c r="B4263" t="s">
        <v>4914</v>
      </c>
      <c r="C4263" t="s">
        <v>6921</v>
      </c>
      <c r="D4263" s="1">
        <v>45464</v>
      </c>
      <c r="E4263" s="1">
        <v>45469</v>
      </c>
      <c r="F4263" s="1">
        <v>45474</v>
      </c>
      <c r="G4263">
        <v>33.43</v>
      </c>
      <c r="H42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63" t="str">
        <f>IFERROR(INDEX(Raw_orders!G:G, MATCH(shipments[[#This Row],[order_id]],Raw_orders!A:A, 0)), "Unknown")</f>
        <v>Central Europe</v>
      </c>
      <c r="J4263" t="str">
        <f>PROPER(shipments[[#This Row],[delivery_status]])</f>
        <v>Delivered</v>
      </c>
      <c r="K4263" t="s">
        <v>6929</v>
      </c>
    </row>
    <row r="4264" spans="1:11">
      <c r="A4264" t="s">
        <v>11200</v>
      </c>
      <c r="B4264" t="s">
        <v>4915</v>
      </c>
      <c r="C4264" t="s">
        <v>6956</v>
      </c>
      <c r="D4264" s="1">
        <v>45122</v>
      </c>
      <c r="E4264" s="1">
        <v>45132</v>
      </c>
      <c r="F4264" s="1">
        <v>45142</v>
      </c>
      <c r="G4264">
        <v>18.87</v>
      </c>
      <c r="H42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64" t="str">
        <f>IFERROR(INDEX(Raw_orders!G:G, MATCH(shipments[[#This Row],[order_id]],Raw_orders!A:A, 0)), "Unknown")</f>
        <v>Central Europe</v>
      </c>
      <c r="J4264" t="str">
        <f>PROPER(shipments[[#This Row],[delivery_status]])</f>
        <v>Delivered</v>
      </c>
      <c r="K4264" t="s">
        <v>6922</v>
      </c>
    </row>
    <row r="4265" spans="1:11">
      <c r="A4265" t="s">
        <v>11201</v>
      </c>
      <c r="B4265" t="s">
        <v>4916</v>
      </c>
      <c r="C4265" t="s">
        <v>6931</v>
      </c>
      <c r="D4265" s="1">
        <v>45157</v>
      </c>
      <c r="E4265" s="1">
        <v>45160</v>
      </c>
      <c r="F4265" s="1"/>
      <c r="G4265">
        <v>37.44</v>
      </c>
      <c r="H42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265" t="str">
        <f>IFERROR(INDEX(Raw_orders!G:G, MATCH(shipments[[#This Row],[order_id]],Raw_orders!A:A, 0)), "Unknown")</f>
        <v>Nordics</v>
      </c>
      <c r="J4265" t="str">
        <f>PROPER(shipments[[#This Row],[delivery_status]])</f>
        <v>In Transit</v>
      </c>
      <c r="K4265" t="s">
        <v>6958</v>
      </c>
    </row>
    <row r="4266" spans="1:11">
      <c r="A4266" t="s">
        <v>11202</v>
      </c>
      <c r="B4266" t="s">
        <v>4917</v>
      </c>
      <c r="C4266" t="s">
        <v>6928</v>
      </c>
      <c r="D4266" s="1">
        <v>45455</v>
      </c>
      <c r="E4266" s="1">
        <v>45458</v>
      </c>
      <c r="F4266" s="1"/>
      <c r="G4266">
        <v>27.76</v>
      </c>
      <c r="H42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266" t="str">
        <f>IFERROR(INDEX(Raw_orders!G:G, MATCH(shipments[[#This Row],[order_id]],Raw_orders!A:A, 0)), "Unknown")</f>
        <v>Central Europe</v>
      </c>
      <c r="J4266" t="str">
        <f>PROPER(shipments[[#This Row],[delivery_status]])</f>
        <v>In Transit</v>
      </c>
      <c r="K4266" t="s">
        <v>6958</v>
      </c>
    </row>
    <row r="4267" spans="1:11">
      <c r="A4267" t="s">
        <v>11203</v>
      </c>
      <c r="B4267" t="s">
        <v>4918</v>
      </c>
      <c r="C4267" t="s">
        <v>6928</v>
      </c>
      <c r="D4267" s="1">
        <v>45391</v>
      </c>
      <c r="E4267" s="1">
        <v>45401</v>
      </c>
      <c r="F4267" s="1">
        <v>45403</v>
      </c>
      <c r="G4267">
        <v>21.56</v>
      </c>
      <c r="H42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67" t="str">
        <f>IFERROR(INDEX(Raw_orders!G:G, MATCH(shipments[[#This Row],[order_id]],Raw_orders!A:A, 0)), "Unknown")</f>
        <v>Baltics</v>
      </c>
      <c r="J4267" t="str">
        <f>PROPER(shipments[[#This Row],[delivery_status]])</f>
        <v>Delivered</v>
      </c>
      <c r="K4267" t="s">
        <v>6922</v>
      </c>
    </row>
    <row r="4268" spans="1:11">
      <c r="A4268" t="s">
        <v>11204</v>
      </c>
      <c r="B4268" t="s">
        <v>4919</v>
      </c>
      <c r="C4268" t="s">
        <v>6935</v>
      </c>
      <c r="D4268" s="1">
        <v>45336</v>
      </c>
      <c r="E4268" s="1">
        <v>45338</v>
      </c>
      <c r="F4268" s="1">
        <v>45351</v>
      </c>
      <c r="G4268">
        <v>24.98</v>
      </c>
      <c r="H42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68" t="str">
        <f>IFERROR(INDEX(Raw_orders!G:G, MATCH(shipments[[#This Row],[order_id]],Raw_orders!A:A, 0)), "Unknown")</f>
        <v>Nordics</v>
      </c>
      <c r="J4268" t="str">
        <f>PROPER(shipments[[#This Row],[delivery_status]])</f>
        <v>Delivered</v>
      </c>
      <c r="K4268" t="s">
        <v>6922</v>
      </c>
    </row>
    <row r="4269" spans="1:11">
      <c r="A4269" t="s">
        <v>11205</v>
      </c>
      <c r="B4269" t="s">
        <v>4919</v>
      </c>
      <c r="C4269" t="s">
        <v>6931</v>
      </c>
      <c r="D4269" s="1">
        <v>45336</v>
      </c>
      <c r="E4269" s="1">
        <v>45341</v>
      </c>
      <c r="F4269" s="1">
        <v>45346</v>
      </c>
      <c r="G4269">
        <v>13.12</v>
      </c>
      <c r="H42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69" t="str">
        <f>IFERROR(INDEX(Raw_orders!G:G, MATCH(shipments[[#This Row],[order_id]],Raw_orders!A:A, 0)), "Unknown")</f>
        <v>Nordics</v>
      </c>
      <c r="J4269" t="str">
        <f>PROPER(shipments[[#This Row],[delivery_status]])</f>
        <v>Delivered</v>
      </c>
      <c r="K4269" t="s">
        <v>6926</v>
      </c>
    </row>
    <row r="4270" spans="1:11">
      <c r="A4270" t="s">
        <v>11206</v>
      </c>
      <c r="B4270" t="s">
        <v>4920</v>
      </c>
      <c r="C4270" t="s">
        <v>6931</v>
      </c>
      <c r="D4270" s="1">
        <v>45486</v>
      </c>
      <c r="E4270" s="1">
        <v>45493</v>
      </c>
      <c r="F4270" s="1"/>
      <c r="G4270">
        <v>12.21</v>
      </c>
      <c r="H42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270" t="str">
        <f>IFERROR(INDEX(Raw_orders!G:G, MATCH(shipments[[#This Row],[order_id]],Raw_orders!A:A, 0)), "Unknown")</f>
        <v>Baltics</v>
      </c>
      <c r="J4270" t="str">
        <f>PROPER(shipments[[#This Row],[delivery_status]])</f>
        <v>In Transit</v>
      </c>
      <c r="K4270" t="s">
        <v>6958</v>
      </c>
    </row>
    <row r="4271" spans="1:11">
      <c r="A4271" t="s">
        <v>11207</v>
      </c>
      <c r="B4271" t="s">
        <v>4921</v>
      </c>
      <c r="C4271" t="s">
        <v>6935</v>
      </c>
      <c r="D4271" s="1">
        <v>45519</v>
      </c>
      <c r="E4271" s="1">
        <v>45521</v>
      </c>
      <c r="F4271" s="1">
        <v>45520</v>
      </c>
      <c r="G4271">
        <v>33.229999999999997</v>
      </c>
      <c r="H42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271" t="str">
        <f>IFERROR(INDEX(Raw_orders!G:G, MATCH(shipments[[#This Row],[order_id]],Raw_orders!A:A, 0)), "Unknown")</f>
        <v>Nordics</v>
      </c>
      <c r="J4271" t="str">
        <f>PROPER(shipments[[#This Row],[delivery_status]])</f>
        <v>Delivered</v>
      </c>
      <c r="K4271" t="s">
        <v>6922</v>
      </c>
    </row>
    <row r="4272" spans="1:11">
      <c r="A4272" t="s">
        <v>11208</v>
      </c>
      <c r="B4272" t="s">
        <v>4922</v>
      </c>
      <c r="C4272" t="s">
        <v>6931</v>
      </c>
      <c r="D4272" s="1">
        <v>45182</v>
      </c>
      <c r="E4272" s="1">
        <v>45189</v>
      </c>
      <c r="F4272" s="1"/>
      <c r="G4272">
        <v>52.73</v>
      </c>
      <c r="H42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272" t="str">
        <f>IFERROR(INDEX(Raw_orders!G:G, MATCH(shipments[[#This Row],[order_id]],Raw_orders!A:A, 0)), "Unknown")</f>
        <v>Baltics</v>
      </c>
      <c r="J4272" t="str">
        <f>PROPER(shipments[[#This Row],[delivery_status]])</f>
        <v>In Transit</v>
      </c>
      <c r="K4272" t="s">
        <v>6958</v>
      </c>
    </row>
    <row r="4273" spans="1:11">
      <c r="A4273" t="s">
        <v>11209</v>
      </c>
      <c r="B4273" t="s">
        <v>4923</v>
      </c>
      <c r="C4273" t="s">
        <v>6938</v>
      </c>
      <c r="D4273" s="1">
        <v>45460</v>
      </c>
      <c r="E4273" s="1">
        <v>45462</v>
      </c>
      <c r="F4273" s="1">
        <v>45462</v>
      </c>
      <c r="G4273">
        <v>62.94</v>
      </c>
      <c r="H42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273" t="str">
        <f>IFERROR(INDEX(Raw_orders!G:G, MATCH(shipments[[#This Row],[order_id]],Raw_orders!A:A, 0)), "Unknown")</f>
        <v>Central Europe</v>
      </c>
      <c r="J4273" t="str">
        <f>PROPER(shipments[[#This Row],[delivery_status]])</f>
        <v>Delivered</v>
      </c>
      <c r="K4273" t="s">
        <v>6929</v>
      </c>
    </row>
    <row r="4274" spans="1:11">
      <c r="A4274" t="s">
        <v>11210</v>
      </c>
      <c r="B4274" t="s">
        <v>4924</v>
      </c>
      <c r="C4274" t="s">
        <v>6925</v>
      </c>
      <c r="D4274" s="1">
        <v>44972</v>
      </c>
      <c r="E4274" s="1">
        <v>44977</v>
      </c>
      <c r="F4274" s="1">
        <v>44977</v>
      </c>
      <c r="G4274">
        <v>55.2</v>
      </c>
      <c r="H42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274" t="str">
        <f>IFERROR(INDEX(Raw_orders!G:G, MATCH(shipments[[#This Row],[order_id]],Raw_orders!A:A, 0)), "Unknown")</f>
        <v>Central Europe</v>
      </c>
      <c r="J4274" t="str">
        <f>PROPER(shipments[[#This Row],[delivery_status]])</f>
        <v>Delivered</v>
      </c>
      <c r="K4274" t="s">
        <v>6929</v>
      </c>
    </row>
    <row r="4275" spans="1:11">
      <c r="A4275" t="s">
        <v>11211</v>
      </c>
      <c r="B4275" t="s">
        <v>4925</v>
      </c>
      <c r="C4275" t="s">
        <v>6938</v>
      </c>
      <c r="D4275" s="1">
        <v>45213</v>
      </c>
      <c r="E4275" s="1">
        <v>45215</v>
      </c>
      <c r="F4275" s="1">
        <v>45216</v>
      </c>
      <c r="G4275">
        <v>9.43</v>
      </c>
      <c r="H42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75" t="str">
        <f>IFERROR(INDEX(Raw_orders!G:G, MATCH(shipments[[#This Row],[order_id]],Raw_orders!A:A, 0)), "Unknown")</f>
        <v>Nordics</v>
      </c>
      <c r="J4275" t="str">
        <f>PROPER(shipments[[#This Row],[delivery_status]])</f>
        <v>Delivered</v>
      </c>
      <c r="K4275" t="s">
        <v>6929</v>
      </c>
    </row>
    <row r="4276" spans="1:11">
      <c r="A4276" t="s">
        <v>11212</v>
      </c>
      <c r="B4276" t="s">
        <v>4926</v>
      </c>
      <c r="C4276" t="s">
        <v>6940</v>
      </c>
      <c r="D4276" s="1">
        <v>45064</v>
      </c>
      <c r="E4276" s="1">
        <v>45067</v>
      </c>
      <c r="F4276" s="1">
        <v>45077</v>
      </c>
      <c r="G4276">
        <v>58</v>
      </c>
      <c r="H42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76" t="str">
        <f>IFERROR(INDEX(Raw_orders!G:G, MATCH(shipments[[#This Row],[order_id]],Raw_orders!A:A, 0)), "Unknown")</f>
        <v>Nordics</v>
      </c>
      <c r="J4276" t="str">
        <f>PROPER(shipments[[#This Row],[delivery_status]])</f>
        <v>Delivered</v>
      </c>
      <c r="K4276" t="s">
        <v>6926</v>
      </c>
    </row>
    <row r="4277" spans="1:11">
      <c r="A4277" t="s">
        <v>11213</v>
      </c>
      <c r="B4277" t="s">
        <v>4927</v>
      </c>
      <c r="C4277" t="s">
        <v>6925</v>
      </c>
      <c r="D4277" s="1">
        <v>45028</v>
      </c>
      <c r="E4277" s="1">
        <v>45030</v>
      </c>
      <c r="F4277" s="1">
        <v>45040</v>
      </c>
      <c r="G4277">
        <v>19.100000000000001</v>
      </c>
      <c r="H42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77" t="str">
        <f>IFERROR(INDEX(Raw_orders!G:G, MATCH(shipments[[#This Row],[order_id]],Raw_orders!A:A, 0)), "Unknown")</f>
        <v>Nordics</v>
      </c>
      <c r="J4277" t="str">
        <f>PROPER(shipments[[#This Row],[delivery_status]])</f>
        <v>Delivered</v>
      </c>
      <c r="K4277" t="s">
        <v>6922</v>
      </c>
    </row>
    <row r="4278" spans="1:11">
      <c r="A4278" t="s">
        <v>11214</v>
      </c>
      <c r="B4278" t="s">
        <v>4928</v>
      </c>
      <c r="C4278" t="s">
        <v>6935</v>
      </c>
      <c r="D4278" s="1">
        <v>44993</v>
      </c>
      <c r="E4278" s="1">
        <v>45000</v>
      </c>
      <c r="F4278" s="1">
        <v>44999</v>
      </c>
      <c r="G4278">
        <v>62.85</v>
      </c>
      <c r="H42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278" t="str">
        <f>IFERROR(INDEX(Raw_orders!G:G, MATCH(shipments[[#This Row],[order_id]],Raw_orders!A:A, 0)), "Unknown")</f>
        <v>Central Europe</v>
      </c>
      <c r="J4278" t="str">
        <f>PROPER(shipments[[#This Row],[delivery_status]])</f>
        <v>Delivered</v>
      </c>
      <c r="K4278" t="s">
        <v>6929</v>
      </c>
    </row>
    <row r="4279" spans="1:11">
      <c r="A4279" t="s">
        <v>11215</v>
      </c>
      <c r="B4279" t="s">
        <v>4929</v>
      </c>
      <c r="C4279" t="s">
        <v>6940</v>
      </c>
      <c r="D4279" s="1">
        <v>45267</v>
      </c>
      <c r="E4279" s="1">
        <v>45270</v>
      </c>
      <c r="F4279" s="1">
        <v>45277</v>
      </c>
      <c r="G4279">
        <v>25</v>
      </c>
      <c r="H42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79" t="str">
        <f>IFERROR(INDEX(Raw_orders!G:G, MATCH(shipments[[#This Row],[order_id]],Raw_orders!A:A, 0)), "Unknown")</f>
        <v>Nordics</v>
      </c>
      <c r="J4279" t="str">
        <f>PROPER(shipments[[#This Row],[delivery_status]])</f>
        <v>Delivered</v>
      </c>
      <c r="K4279" t="s">
        <v>6926</v>
      </c>
    </row>
    <row r="4280" spans="1:11">
      <c r="A4280" t="s">
        <v>11216</v>
      </c>
      <c r="B4280" t="s">
        <v>4930</v>
      </c>
      <c r="C4280" t="s">
        <v>6931</v>
      </c>
      <c r="D4280" s="1">
        <v>45426</v>
      </c>
      <c r="E4280" s="1">
        <v>45431</v>
      </c>
      <c r="F4280" s="1">
        <v>45436</v>
      </c>
      <c r="G4280">
        <v>17.95</v>
      </c>
      <c r="H42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80" t="str">
        <f>IFERROR(INDEX(Raw_orders!G:G, MATCH(shipments[[#This Row],[order_id]],Raw_orders!A:A, 0)), "Unknown")</f>
        <v>Baltics</v>
      </c>
      <c r="J4280" t="str">
        <f>PROPER(shipments[[#This Row],[delivery_status]])</f>
        <v>Delivered</v>
      </c>
      <c r="K4280" t="s">
        <v>6929</v>
      </c>
    </row>
    <row r="4281" spans="1:11">
      <c r="A4281" t="s">
        <v>11217</v>
      </c>
      <c r="B4281" t="s">
        <v>4931</v>
      </c>
      <c r="C4281" t="s">
        <v>6956</v>
      </c>
      <c r="D4281" s="1">
        <v>45471</v>
      </c>
      <c r="E4281" s="1">
        <v>45481</v>
      </c>
      <c r="F4281" s="1">
        <v>45481</v>
      </c>
      <c r="G4281">
        <v>25.21</v>
      </c>
      <c r="H42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281" t="str">
        <f>IFERROR(INDEX(Raw_orders!G:G, MATCH(shipments[[#This Row],[order_id]],Raw_orders!A:A, 0)), "Unknown")</f>
        <v>Nordics</v>
      </c>
      <c r="J4281" t="str">
        <f>PROPER(shipments[[#This Row],[delivery_status]])</f>
        <v>Delivered</v>
      </c>
      <c r="K4281" t="s">
        <v>6926</v>
      </c>
    </row>
    <row r="4282" spans="1:11">
      <c r="A4282" t="s">
        <v>11218</v>
      </c>
      <c r="B4282" t="s">
        <v>4932</v>
      </c>
      <c r="C4282" t="s">
        <v>6931</v>
      </c>
      <c r="D4282" s="1">
        <v>45369</v>
      </c>
      <c r="E4282" s="1">
        <v>45371</v>
      </c>
      <c r="F4282" s="1"/>
      <c r="G4282">
        <v>53.81</v>
      </c>
      <c r="H42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282" t="str">
        <f>IFERROR(INDEX(Raw_orders!G:G, MATCH(shipments[[#This Row],[order_id]],Raw_orders!A:A, 0)), "Unknown")</f>
        <v>Baltics</v>
      </c>
      <c r="J4282" t="str">
        <f>PROPER(shipments[[#This Row],[delivery_status]])</f>
        <v>Cancelled</v>
      </c>
      <c r="K4282" t="s">
        <v>6963</v>
      </c>
    </row>
    <row r="4283" spans="1:11">
      <c r="A4283" t="s">
        <v>11219</v>
      </c>
      <c r="B4283" t="s">
        <v>4933</v>
      </c>
      <c r="C4283" t="s">
        <v>6931</v>
      </c>
      <c r="D4283" s="1">
        <v>45595</v>
      </c>
      <c r="E4283" s="1">
        <v>45605</v>
      </c>
      <c r="F4283" s="1">
        <v>45606</v>
      </c>
      <c r="G4283">
        <v>30.09</v>
      </c>
      <c r="H42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83" t="str">
        <f>IFERROR(INDEX(Raw_orders!G:G, MATCH(shipments[[#This Row],[order_id]],Raw_orders!A:A, 0)), "Unknown")</f>
        <v>Baltics</v>
      </c>
      <c r="J4283" t="str">
        <f>PROPER(shipments[[#This Row],[delivery_status]])</f>
        <v>Delivered</v>
      </c>
      <c r="K4283" t="s">
        <v>6926</v>
      </c>
    </row>
    <row r="4284" spans="1:11">
      <c r="A4284" t="s">
        <v>11220</v>
      </c>
      <c r="B4284" t="s">
        <v>4934</v>
      </c>
      <c r="C4284" t="s">
        <v>6956</v>
      </c>
      <c r="D4284" s="1">
        <v>45262</v>
      </c>
      <c r="E4284" s="1">
        <v>45265</v>
      </c>
      <c r="F4284" s="1"/>
      <c r="G4284">
        <v>55.49</v>
      </c>
      <c r="H42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284" t="str">
        <f>IFERROR(INDEX(Raw_orders!G:G, MATCH(shipments[[#This Row],[order_id]],Raw_orders!A:A, 0)), "Unknown")</f>
        <v>Baltics</v>
      </c>
      <c r="J4284" t="str">
        <f>PROPER(shipments[[#This Row],[delivery_status]])</f>
        <v>In Transit</v>
      </c>
      <c r="K4284" t="s">
        <v>6958</v>
      </c>
    </row>
    <row r="4285" spans="1:11">
      <c r="A4285" t="s">
        <v>11221</v>
      </c>
      <c r="B4285" t="s">
        <v>4935</v>
      </c>
      <c r="C4285" t="s">
        <v>6935</v>
      </c>
      <c r="D4285" s="1">
        <v>44983</v>
      </c>
      <c r="E4285" s="1">
        <v>44986</v>
      </c>
      <c r="F4285" s="1"/>
      <c r="G4285">
        <v>24.76</v>
      </c>
      <c r="H42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285" t="str">
        <f>IFERROR(INDEX(Raw_orders!G:G, MATCH(shipments[[#This Row],[order_id]],Raw_orders!A:A, 0)), "Unknown")</f>
        <v>Central Europe</v>
      </c>
      <c r="J4285" t="str">
        <f>PROPER(shipments[[#This Row],[delivery_status]])</f>
        <v>In Transit</v>
      </c>
      <c r="K4285" t="s">
        <v>6946</v>
      </c>
    </row>
    <row r="4286" spans="1:11">
      <c r="A4286" t="s">
        <v>11222</v>
      </c>
      <c r="B4286" t="s">
        <v>4936</v>
      </c>
      <c r="C4286" t="s">
        <v>6931</v>
      </c>
      <c r="D4286" s="1">
        <v>45433</v>
      </c>
      <c r="E4286" s="1">
        <v>45440</v>
      </c>
      <c r="F4286" s="1">
        <v>45445</v>
      </c>
      <c r="G4286">
        <v>35.11</v>
      </c>
      <c r="H42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86" t="str">
        <f>IFERROR(INDEX(Raw_orders!G:G, MATCH(shipments[[#This Row],[order_id]],Raw_orders!A:A, 0)), "Unknown")</f>
        <v>Baltics</v>
      </c>
      <c r="J4286" t="str">
        <f>PROPER(shipments[[#This Row],[delivery_status]])</f>
        <v>Delivered</v>
      </c>
      <c r="K4286" t="s">
        <v>6929</v>
      </c>
    </row>
    <row r="4287" spans="1:11">
      <c r="A4287" t="s">
        <v>11223</v>
      </c>
      <c r="B4287" t="s">
        <v>4937</v>
      </c>
      <c r="C4287" t="s">
        <v>6928</v>
      </c>
      <c r="D4287" s="1">
        <v>45291</v>
      </c>
      <c r="E4287" s="1">
        <v>45296</v>
      </c>
      <c r="F4287" s="1">
        <v>45304</v>
      </c>
      <c r="G4287">
        <v>30.28</v>
      </c>
      <c r="H42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87" t="str">
        <f>IFERROR(INDEX(Raw_orders!G:G, MATCH(shipments[[#This Row],[order_id]],Raw_orders!A:A, 0)), "Unknown")</f>
        <v>Central Europe</v>
      </c>
      <c r="J4287" t="str">
        <f>PROPER(shipments[[#This Row],[delivery_status]])</f>
        <v>Delivered</v>
      </c>
      <c r="K4287" t="s">
        <v>6922</v>
      </c>
    </row>
    <row r="4288" spans="1:11">
      <c r="A4288" t="s">
        <v>11224</v>
      </c>
      <c r="B4288" t="s">
        <v>4938</v>
      </c>
      <c r="C4288" t="s">
        <v>6928</v>
      </c>
      <c r="D4288" s="1">
        <v>45354</v>
      </c>
      <c r="E4288" s="1">
        <v>45361</v>
      </c>
      <c r="F4288" s="1">
        <v>45366</v>
      </c>
      <c r="G4288">
        <v>8.32</v>
      </c>
      <c r="H42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88" t="str">
        <f>IFERROR(INDEX(Raw_orders!G:G, MATCH(shipments[[#This Row],[order_id]],Raw_orders!A:A, 0)), "Unknown")</f>
        <v>Baltics</v>
      </c>
      <c r="J4288" t="str">
        <f>PROPER(shipments[[#This Row],[delivery_status]])</f>
        <v>Delivered</v>
      </c>
      <c r="K4288" t="s">
        <v>6922</v>
      </c>
    </row>
    <row r="4289" spans="1:11">
      <c r="A4289" t="s">
        <v>11225</v>
      </c>
      <c r="B4289" t="s">
        <v>4939</v>
      </c>
      <c r="C4289" t="s">
        <v>6925</v>
      </c>
      <c r="D4289" s="1">
        <v>45559</v>
      </c>
      <c r="E4289" s="1">
        <v>45569</v>
      </c>
      <c r="F4289" s="1"/>
      <c r="G4289">
        <v>64.61</v>
      </c>
      <c r="H42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289" t="str">
        <f>IFERROR(INDEX(Raw_orders!G:G, MATCH(shipments[[#This Row],[order_id]],Raw_orders!A:A, 0)), "Unknown")</f>
        <v>Central Europe</v>
      </c>
      <c r="J4289" t="str">
        <f>PROPER(shipments[[#This Row],[delivery_status]])</f>
        <v>Cancelled</v>
      </c>
      <c r="K4289" t="s">
        <v>6979</v>
      </c>
    </row>
    <row r="4290" spans="1:11">
      <c r="A4290" t="s">
        <v>11226</v>
      </c>
      <c r="B4290" t="s">
        <v>4940</v>
      </c>
      <c r="C4290" t="s">
        <v>6935</v>
      </c>
      <c r="D4290" s="1">
        <v>45444</v>
      </c>
      <c r="E4290" s="1">
        <v>45451</v>
      </c>
      <c r="F4290" s="1">
        <v>45456</v>
      </c>
      <c r="G4290">
        <v>13.36</v>
      </c>
      <c r="H42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90" t="str">
        <f>IFERROR(INDEX(Raw_orders!G:G, MATCH(shipments[[#This Row],[order_id]],Raw_orders!A:A, 0)), "Unknown")</f>
        <v>Baltics</v>
      </c>
      <c r="J4290" t="str">
        <f>PROPER(shipments[[#This Row],[delivery_status]])</f>
        <v>Delivered</v>
      </c>
      <c r="K4290" t="s">
        <v>6929</v>
      </c>
    </row>
    <row r="4291" spans="1:11">
      <c r="A4291" t="s">
        <v>11227</v>
      </c>
      <c r="B4291" t="s">
        <v>4941</v>
      </c>
      <c r="C4291" t="s">
        <v>6928</v>
      </c>
      <c r="D4291" s="1">
        <v>45167</v>
      </c>
      <c r="E4291" s="1">
        <v>45174</v>
      </c>
      <c r="F4291" s="1">
        <v>45182</v>
      </c>
      <c r="G4291">
        <v>6.49</v>
      </c>
      <c r="H42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91" t="str">
        <f>IFERROR(INDEX(Raw_orders!G:G, MATCH(shipments[[#This Row],[order_id]],Raw_orders!A:A, 0)), "Unknown")</f>
        <v>Nordics</v>
      </c>
      <c r="J4291" t="str">
        <f>PROPER(shipments[[#This Row],[delivery_status]])</f>
        <v>Delivered</v>
      </c>
      <c r="K4291" t="s">
        <v>6926</v>
      </c>
    </row>
    <row r="4292" spans="1:11">
      <c r="A4292" t="s">
        <v>11228</v>
      </c>
      <c r="B4292" t="s">
        <v>4942</v>
      </c>
      <c r="C4292" t="s">
        <v>6956</v>
      </c>
      <c r="D4292" s="1">
        <v>44998</v>
      </c>
      <c r="E4292" s="1">
        <v>45000</v>
      </c>
      <c r="F4292" s="1">
        <v>45008</v>
      </c>
      <c r="G4292">
        <v>38.07</v>
      </c>
      <c r="H42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92" t="str">
        <f>IFERROR(INDEX(Raw_orders!G:G, MATCH(shipments[[#This Row],[order_id]],Raw_orders!A:A, 0)), "Unknown")</f>
        <v>Nordics</v>
      </c>
      <c r="J4292" t="str">
        <f>PROPER(shipments[[#This Row],[delivery_status]])</f>
        <v>Delivered</v>
      </c>
      <c r="K4292" t="s">
        <v>6929</v>
      </c>
    </row>
    <row r="4293" spans="1:11">
      <c r="A4293" t="s">
        <v>11229</v>
      </c>
      <c r="B4293" t="s">
        <v>4943</v>
      </c>
      <c r="C4293" t="s">
        <v>6940</v>
      </c>
      <c r="D4293" s="1">
        <v>45151</v>
      </c>
      <c r="E4293" s="1">
        <v>45154</v>
      </c>
      <c r="F4293" s="1">
        <v>45154</v>
      </c>
      <c r="G4293">
        <v>52.71</v>
      </c>
      <c r="H42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293" t="str">
        <f>IFERROR(INDEX(Raw_orders!G:G, MATCH(shipments[[#This Row],[order_id]],Raw_orders!A:A, 0)), "Unknown")</f>
        <v>Central Europe</v>
      </c>
      <c r="J4293" t="str">
        <f>PROPER(shipments[[#This Row],[delivery_status]])</f>
        <v>Delivered</v>
      </c>
      <c r="K4293" t="s">
        <v>6926</v>
      </c>
    </row>
    <row r="4294" spans="1:11">
      <c r="A4294" t="s">
        <v>11230</v>
      </c>
      <c r="B4294" t="s">
        <v>4944</v>
      </c>
      <c r="C4294" t="s">
        <v>6928</v>
      </c>
      <c r="D4294" s="1">
        <v>45512</v>
      </c>
      <c r="E4294" s="1">
        <v>45522</v>
      </c>
      <c r="F4294" s="1">
        <v>45527</v>
      </c>
      <c r="G4294">
        <v>49.67</v>
      </c>
      <c r="H42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94" t="str">
        <f>IFERROR(INDEX(Raw_orders!G:G, MATCH(shipments[[#This Row],[order_id]],Raw_orders!A:A, 0)), "Unknown")</f>
        <v>Baltics</v>
      </c>
      <c r="J4294" t="str">
        <f>PROPER(shipments[[#This Row],[delivery_status]])</f>
        <v>Delivered</v>
      </c>
      <c r="K4294" t="s">
        <v>6922</v>
      </c>
    </row>
    <row r="4295" spans="1:11">
      <c r="A4295" t="s">
        <v>11231</v>
      </c>
      <c r="B4295" t="s">
        <v>4945</v>
      </c>
      <c r="C4295" t="s">
        <v>6938</v>
      </c>
      <c r="D4295" s="1">
        <v>44988</v>
      </c>
      <c r="E4295" s="1">
        <v>44995</v>
      </c>
      <c r="F4295" s="1">
        <v>44996</v>
      </c>
      <c r="G4295">
        <v>28.59</v>
      </c>
      <c r="H42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95" t="str">
        <f>IFERROR(INDEX(Raw_orders!G:G, MATCH(shipments[[#This Row],[order_id]],Raw_orders!A:A, 0)), "Unknown")</f>
        <v>Central Europe</v>
      </c>
      <c r="J4295" t="str">
        <f>PROPER(shipments[[#This Row],[delivery_status]])</f>
        <v>Delivered</v>
      </c>
      <c r="K4295" t="s">
        <v>6922</v>
      </c>
    </row>
    <row r="4296" spans="1:11">
      <c r="A4296" t="s">
        <v>11232</v>
      </c>
      <c r="B4296" t="s">
        <v>4946</v>
      </c>
      <c r="C4296" t="s">
        <v>6938</v>
      </c>
      <c r="D4296" s="1">
        <v>45558</v>
      </c>
      <c r="E4296" s="1">
        <v>45560</v>
      </c>
      <c r="F4296" s="1">
        <v>45562</v>
      </c>
      <c r="G4296">
        <v>48.27</v>
      </c>
      <c r="H42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96" t="str">
        <f>IFERROR(INDEX(Raw_orders!G:G, MATCH(shipments[[#This Row],[order_id]],Raw_orders!A:A, 0)), "Unknown")</f>
        <v>Central Europe</v>
      </c>
      <c r="J4296" t="str">
        <f>PROPER(shipments[[#This Row],[delivery_status]])</f>
        <v>Delivered</v>
      </c>
      <c r="K4296" t="s">
        <v>6922</v>
      </c>
    </row>
    <row r="4297" spans="1:11">
      <c r="A4297" t="s">
        <v>11233</v>
      </c>
      <c r="B4297" t="s">
        <v>4947</v>
      </c>
      <c r="C4297" t="s">
        <v>6925</v>
      </c>
      <c r="D4297" s="1">
        <v>44968</v>
      </c>
      <c r="E4297" s="1">
        <v>44970</v>
      </c>
      <c r="F4297" s="1">
        <v>44970</v>
      </c>
      <c r="G4297">
        <v>60.3</v>
      </c>
      <c r="H42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297" t="str">
        <f>IFERROR(INDEX(Raw_orders!G:G, MATCH(shipments[[#This Row],[order_id]],Raw_orders!A:A, 0)), "Unknown")</f>
        <v>Nordics</v>
      </c>
      <c r="J4297" t="str">
        <f>PROPER(shipments[[#This Row],[delivery_status]])</f>
        <v>Delivered</v>
      </c>
      <c r="K4297" t="s">
        <v>6922</v>
      </c>
    </row>
    <row r="4298" spans="1:11">
      <c r="A4298" t="s">
        <v>11234</v>
      </c>
      <c r="B4298" t="s">
        <v>4948</v>
      </c>
      <c r="C4298" t="s">
        <v>6956</v>
      </c>
      <c r="D4298" s="1">
        <v>45193</v>
      </c>
      <c r="E4298" s="1">
        <v>45200</v>
      </c>
      <c r="F4298" s="1">
        <v>45202</v>
      </c>
      <c r="G4298">
        <v>58.33</v>
      </c>
      <c r="H42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298" t="str">
        <f>IFERROR(INDEX(Raw_orders!G:G, MATCH(shipments[[#This Row],[order_id]],Raw_orders!A:A, 0)), "Unknown")</f>
        <v>Central Europe</v>
      </c>
      <c r="J4298" t="str">
        <f>PROPER(shipments[[#This Row],[delivery_status]])</f>
        <v>Delivered</v>
      </c>
      <c r="K4298" t="s">
        <v>6922</v>
      </c>
    </row>
    <row r="4299" spans="1:11">
      <c r="A4299" t="s">
        <v>11235</v>
      </c>
      <c r="B4299" t="s">
        <v>4949</v>
      </c>
      <c r="C4299" t="s">
        <v>6925</v>
      </c>
      <c r="D4299" s="1">
        <v>45032</v>
      </c>
      <c r="E4299" s="1">
        <v>45034</v>
      </c>
      <c r="F4299" s="1">
        <v>45034</v>
      </c>
      <c r="G4299">
        <v>58.26</v>
      </c>
      <c r="H42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299" t="str">
        <f>IFERROR(INDEX(Raw_orders!G:G, MATCH(shipments[[#This Row],[order_id]],Raw_orders!A:A, 0)), "Unknown")</f>
        <v>Central Europe</v>
      </c>
      <c r="J4299" t="str">
        <f>PROPER(shipments[[#This Row],[delivery_status]])</f>
        <v>Delivered</v>
      </c>
      <c r="K4299" t="s">
        <v>6922</v>
      </c>
    </row>
    <row r="4300" spans="1:11">
      <c r="A4300" t="s">
        <v>11236</v>
      </c>
      <c r="B4300" t="s">
        <v>4950</v>
      </c>
      <c r="C4300" t="s">
        <v>6935</v>
      </c>
      <c r="D4300" s="1">
        <v>45042</v>
      </c>
      <c r="E4300" s="1">
        <v>45044</v>
      </c>
      <c r="F4300" s="1">
        <v>45043</v>
      </c>
      <c r="G4300">
        <v>64.010000000000005</v>
      </c>
      <c r="H43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300" t="str">
        <f>IFERROR(INDEX(Raw_orders!G:G, MATCH(shipments[[#This Row],[order_id]],Raw_orders!A:A, 0)), "Unknown")</f>
        <v>Central Europe</v>
      </c>
      <c r="J4300" t="str">
        <f>PROPER(shipments[[#This Row],[delivery_status]])</f>
        <v>Delivered</v>
      </c>
      <c r="K4300" t="s">
        <v>6929</v>
      </c>
    </row>
    <row r="4301" spans="1:11">
      <c r="A4301" t="s">
        <v>11237</v>
      </c>
      <c r="B4301" t="s">
        <v>4951</v>
      </c>
      <c r="C4301" t="s">
        <v>6925</v>
      </c>
      <c r="D4301" s="1">
        <v>44945</v>
      </c>
      <c r="E4301" s="1">
        <v>44947</v>
      </c>
      <c r="F4301" s="1">
        <v>44946</v>
      </c>
      <c r="G4301">
        <v>19.72</v>
      </c>
      <c r="H43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301" t="str">
        <f>IFERROR(INDEX(Raw_orders!G:G, MATCH(shipments[[#This Row],[order_id]],Raw_orders!A:A, 0)), "Unknown")</f>
        <v>Central Europe</v>
      </c>
      <c r="J4301" t="str">
        <f>PROPER(shipments[[#This Row],[delivery_status]])</f>
        <v>Delivered</v>
      </c>
      <c r="K4301" t="s">
        <v>6929</v>
      </c>
    </row>
    <row r="4302" spans="1:11">
      <c r="A4302" t="s">
        <v>11238</v>
      </c>
      <c r="B4302" t="s">
        <v>4952</v>
      </c>
      <c r="C4302" t="s">
        <v>6925</v>
      </c>
      <c r="D4302" s="1">
        <v>45233</v>
      </c>
      <c r="E4302" s="1">
        <v>45238</v>
      </c>
      <c r="F4302" s="1">
        <v>45239</v>
      </c>
      <c r="G4302">
        <v>26.19</v>
      </c>
      <c r="H43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02" t="str">
        <f>IFERROR(INDEX(Raw_orders!G:G, MATCH(shipments[[#This Row],[order_id]],Raw_orders!A:A, 0)), "Unknown")</f>
        <v>Nordics</v>
      </c>
      <c r="J4302" t="str">
        <f>PROPER(shipments[[#This Row],[delivery_status]])</f>
        <v>Delivered</v>
      </c>
      <c r="K4302" t="s">
        <v>6929</v>
      </c>
    </row>
    <row r="4303" spans="1:11">
      <c r="A4303" t="s">
        <v>11239</v>
      </c>
      <c r="B4303" t="s">
        <v>4953</v>
      </c>
      <c r="C4303" t="s">
        <v>6925</v>
      </c>
      <c r="D4303" s="1">
        <v>44979</v>
      </c>
      <c r="E4303" s="1">
        <v>44984</v>
      </c>
      <c r="F4303" s="1">
        <v>44989</v>
      </c>
      <c r="G4303">
        <v>12.6</v>
      </c>
      <c r="H43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03" t="str">
        <f>IFERROR(INDEX(Raw_orders!G:G, MATCH(shipments[[#This Row],[order_id]],Raw_orders!A:A, 0)), "Unknown")</f>
        <v>Central Europe</v>
      </c>
      <c r="J4303" t="str">
        <f>PROPER(shipments[[#This Row],[delivery_status]])</f>
        <v>Delivered</v>
      </c>
      <c r="K4303" t="s">
        <v>6922</v>
      </c>
    </row>
    <row r="4304" spans="1:11">
      <c r="A4304" t="s">
        <v>11240</v>
      </c>
      <c r="B4304" t="s">
        <v>4954</v>
      </c>
      <c r="C4304" t="s">
        <v>6956</v>
      </c>
      <c r="D4304" s="1">
        <v>45114</v>
      </c>
      <c r="E4304" s="1">
        <v>45119</v>
      </c>
      <c r="F4304" s="1">
        <v>45122</v>
      </c>
      <c r="G4304">
        <v>49.06</v>
      </c>
      <c r="H43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04" t="str">
        <f>IFERROR(INDEX(Raw_orders!G:G, MATCH(shipments[[#This Row],[order_id]],Raw_orders!A:A, 0)), "Unknown")</f>
        <v>Central Europe</v>
      </c>
      <c r="J4304" t="str">
        <f>PROPER(shipments[[#This Row],[delivery_status]])</f>
        <v>Delivered</v>
      </c>
      <c r="K4304" t="s">
        <v>6926</v>
      </c>
    </row>
    <row r="4305" spans="1:11">
      <c r="A4305" t="s">
        <v>11241</v>
      </c>
      <c r="B4305" t="s">
        <v>4955</v>
      </c>
      <c r="C4305" t="s">
        <v>6928</v>
      </c>
      <c r="D4305" s="1">
        <v>45154</v>
      </c>
      <c r="E4305" s="1">
        <v>45157</v>
      </c>
      <c r="F4305" s="1">
        <v>45161</v>
      </c>
      <c r="G4305">
        <v>64.91</v>
      </c>
      <c r="H43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05" t="str">
        <f>IFERROR(INDEX(Raw_orders!G:G, MATCH(shipments[[#This Row],[order_id]],Raw_orders!A:A, 0)), "Unknown")</f>
        <v>Nordics</v>
      </c>
      <c r="J4305" t="str">
        <f>PROPER(shipments[[#This Row],[delivery_status]])</f>
        <v>Delivered</v>
      </c>
      <c r="K4305" t="s">
        <v>6922</v>
      </c>
    </row>
    <row r="4306" spans="1:11">
      <c r="A4306" t="s">
        <v>11242</v>
      </c>
      <c r="B4306" t="s">
        <v>4956</v>
      </c>
      <c r="C4306" t="s">
        <v>6928</v>
      </c>
      <c r="D4306" s="1">
        <v>45297</v>
      </c>
      <c r="E4306" s="1">
        <v>45299</v>
      </c>
      <c r="F4306" s="1">
        <v>45301</v>
      </c>
      <c r="G4306">
        <v>58.97</v>
      </c>
      <c r="H43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06" t="str">
        <f>IFERROR(INDEX(Raw_orders!G:G, MATCH(shipments[[#This Row],[order_id]],Raw_orders!A:A, 0)), "Unknown")</f>
        <v>Nordics</v>
      </c>
      <c r="J4306" t="str">
        <f>PROPER(shipments[[#This Row],[delivery_status]])</f>
        <v>Delivered</v>
      </c>
      <c r="K4306" t="s">
        <v>6929</v>
      </c>
    </row>
    <row r="4307" spans="1:11">
      <c r="A4307" t="s">
        <v>11243</v>
      </c>
      <c r="B4307" t="s">
        <v>4957</v>
      </c>
      <c r="C4307" t="s">
        <v>6935</v>
      </c>
      <c r="D4307" s="1">
        <v>45313</v>
      </c>
      <c r="E4307" s="1">
        <v>45316</v>
      </c>
      <c r="F4307" s="1"/>
      <c r="G4307">
        <v>64.650000000000006</v>
      </c>
      <c r="H43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307" t="str">
        <f>IFERROR(INDEX(Raw_orders!G:G, MATCH(shipments[[#This Row],[order_id]],Raw_orders!A:A, 0)), "Unknown")</f>
        <v>Central Europe</v>
      </c>
      <c r="J4307" t="str">
        <f>PROPER(shipments[[#This Row],[delivery_status]])</f>
        <v>Cancelled</v>
      </c>
      <c r="K4307" t="s">
        <v>6972</v>
      </c>
    </row>
    <row r="4308" spans="1:11">
      <c r="A4308" t="s">
        <v>11244</v>
      </c>
      <c r="B4308" t="s">
        <v>4958</v>
      </c>
      <c r="C4308" t="s">
        <v>6925</v>
      </c>
      <c r="D4308" s="1">
        <v>45520</v>
      </c>
      <c r="E4308" s="1">
        <v>45530</v>
      </c>
      <c r="F4308" s="1">
        <v>45535</v>
      </c>
      <c r="G4308">
        <v>22.7</v>
      </c>
      <c r="H43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08" t="str">
        <f>IFERROR(INDEX(Raw_orders!G:G, MATCH(shipments[[#This Row],[order_id]],Raw_orders!A:A, 0)), "Unknown")</f>
        <v>Central Europe</v>
      </c>
      <c r="J4308" t="str">
        <f>PROPER(shipments[[#This Row],[delivery_status]])</f>
        <v>Delivered</v>
      </c>
      <c r="K4308" t="s">
        <v>6926</v>
      </c>
    </row>
    <row r="4309" spans="1:11">
      <c r="A4309" t="s">
        <v>11245</v>
      </c>
      <c r="B4309" t="s">
        <v>4959</v>
      </c>
      <c r="C4309" t="s">
        <v>6938</v>
      </c>
      <c r="D4309" s="1">
        <v>44994</v>
      </c>
      <c r="E4309" s="1">
        <v>44996</v>
      </c>
      <c r="F4309" s="1">
        <v>45004</v>
      </c>
      <c r="G4309">
        <v>23.27</v>
      </c>
      <c r="H43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09" t="str">
        <f>IFERROR(INDEX(Raw_orders!G:G, MATCH(shipments[[#This Row],[order_id]],Raw_orders!A:A, 0)), "Unknown")</f>
        <v>Baltics</v>
      </c>
      <c r="J4309" t="str">
        <f>PROPER(shipments[[#This Row],[delivery_status]])</f>
        <v>Delivered</v>
      </c>
      <c r="K4309" t="s">
        <v>6926</v>
      </c>
    </row>
    <row r="4310" spans="1:11">
      <c r="A4310" t="s">
        <v>11246</v>
      </c>
      <c r="B4310" t="s">
        <v>4960</v>
      </c>
      <c r="C4310" t="s">
        <v>6938</v>
      </c>
      <c r="D4310" s="1">
        <v>44987</v>
      </c>
      <c r="E4310" s="1">
        <v>44992</v>
      </c>
      <c r="F4310" s="1">
        <v>44994</v>
      </c>
      <c r="G4310">
        <v>4.58</v>
      </c>
      <c r="H43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10" t="str">
        <f>IFERROR(INDEX(Raw_orders!G:G, MATCH(shipments[[#This Row],[order_id]],Raw_orders!A:A, 0)), "Unknown")</f>
        <v>Central Europe</v>
      </c>
      <c r="J4310" t="str">
        <f>PROPER(shipments[[#This Row],[delivery_status]])</f>
        <v>Delivered</v>
      </c>
      <c r="K4310" t="s">
        <v>6922</v>
      </c>
    </row>
    <row r="4311" spans="1:11">
      <c r="A4311" t="s">
        <v>11247</v>
      </c>
      <c r="B4311" t="s">
        <v>4961</v>
      </c>
      <c r="C4311" t="s">
        <v>6931</v>
      </c>
      <c r="D4311" s="1">
        <v>45219</v>
      </c>
      <c r="E4311" s="1">
        <v>45221</v>
      </c>
      <c r="F4311" s="1"/>
      <c r="G4311">
        <v>63.82</v>
      </c>
      <c r="H43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311" t="str">
        <f>IFERROR(INDEX(Raw_orders!G:G, MATCH(shipments[[#This Row],[order_id]],Raw_orders!A:A, 0)), "Unknown")</f>
        <v>Baltics</v>
      </c>
      <c r="J4311" t="str">
        <f>PROPER(shipments[[#This Row],[delivery_status]])</f>
        <v>In Transit</v>
      </c>
      <c r="K4311" t="s">
        <v>6977</v>
      </c>
    </row>
    <row r="4312" spans="1:11">
      <c r="A4312" t="s">
        <v>11248</v>
      </c>
      <c r="B4312" t="s">
        <v>4962</v>
      </c>
      <c r="C4312" t="s">
        <v>6925</v>
      </c>
      <c r="D4312" s="1">
        <v>44964</v>
      </c>
      <c r="E4312" s="1">
        <v>44971</v>
      </c>
      <c r="F4312" s="1"/>
      <c r="G4312">
        <v>53.45</v>
      </c>
      <c r="H43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312" t="str">
        <f>IFERROR(INDEX(Raw_orders!G:G, MATCH(shipments[[#This Row],[order_id]],Raw_orders!A:A, 0)), "Unknown")</f>
        <v>Central Europe</v>
      </c>
      <c r="J4312" t="str">
        <f>PROPER(shipments[[#This Row],[delivery_status]])</f>
        <v>In Transit</v>
      </c>
      <c r="K4312" t="s">
        <v>6958</v>
      </c>
    </row>
    <row r="4313" spans="1:11">
      <c r="A4313" t="s">
        <v>11249</v>
      </c>
      <c r="B4313" t="s">
        <v>4963</v>
      </c>
      <c r="C4313" t="s">
        <v>6928</v>
      </c>
      <c r="D4313" s="1">
        <v>45374</v>
      </c>
      <c r="E4313" s="1">
        <v>45376</v>
      </c>
      <c r="F4313" s="1">
        <v>45377</v>
      </c>
      <c r="G4313">
        <v>6.62</v>
      </c>
      <c r="H43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13" t="str">
        <f>IFERROR(INDEX(Raw_orders!G:G, MATCH(shipments[[#This Row],[order_id]],Raw_orders!A:A, 0)), "Unknown")</f>
        <v>Central Europe</v>
      </c>
      <c r="J4313" t="str">
        <f>PROPER(shipments[[#This Row],[delivery_status]])</f>
        <v>Delivered</v>
      </c>
      <c r="K4313" t="s">
        <v>6929</v>
      </c>
    </row>
    <row r="4314" spans="1:11">
      <c r="A4314" t="s">
        <v>11250</v>
      </c>
      <c r="B4314" t="s">
        <v>4964</v>
      </c>
      <c r="C4314" t="s">
        <v>6938</v>
      </c>
      <c r="D4314" s="1">
        <v>44949</v>
      </c>
      <c r="E4314" s="1">
        <v>44956</v>
      </c>
      <c r="F4314" s="1"/>
      <c r="G4314">
        <v>17.350000000000001</v>
      </c>
      <c r="H43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314" t="str">
        <f>IFERROR(INDEX(Raw_orders!G:G, MATCH(shipments[[#This Row],[order_id]],Raw_orders!A:A, 0)), "Unknown")</f>
        <v>Nordics</v>
      </c>
      <c r="J4314" t="str">
        <f>PROPER(shipments[[#This Row],[delivery_status]])</f>
        <v>Cancelled</v>
      </c>
      <c r="K4314" t="s">
        <v>6979</v>
      </c>
    </row>
    <row r="4315" spans="1:11">
      <c r="A4315" t="s">
        <v>11251</v>
      </c>
      <c r="B4315" t="s">
        <v>4965</v>
      </c>
      <c r="C4315" t="s">
        <v>6925</v>
      </c>
      <c r="D4315" s="1">
        <v>45025</v>
      </c>
      <c r="E4315" s="1">
        <v>45028</v>
      </c>
      <c r="F4315" s="1">
        <v>45031</v>
      </c>
      <c r="G4315">
        <v>29.44</v>
      </c>
      <c r="H43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15" t="str">
        <f>IFERROR(INDEX(Raw_orders!G:G, MATCH(shipments[[#This Row],[order_id]],Raw_orders!A:A, 0)), "Unknown")</f>
        <v>Nordics</v>
      </c>
      <c r="J4315" t="str">
        <f>PROPER(shipments[[#This Row],[delivery_status]])</f>
        <v>Delivered</v>
      </c>
      <c r="K4315" t="s">
        <v>6926</v>
      </c>
    </row>
    <row r="4316" spans="1:11">
      <c r="A4316" t="s">
        <v>11252</v>
      </c>
      <c r="B4316" t="s">
        <v>4966</v>
      </c>
      <c r="C4316" t="s">
        <v>6925</v>
      </c>
      <c r="D4316" s="1">
        <v>45442</v>
      </c>
      <c r="E4316" s="1">
        <v>45452</v>
      </c>
      <c r="F4316" s="1">
        <v>45465</v>
      </c>
      <c r="G4316">
        <v>23.35</v>
      </c>
      <c r="H43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16" t="str">
        <f>IFERROR(INDEX(Raw_orders!G:G, MATCH(shipments[[#This Row],[order_id]],Raw_orders!A:A, 0)), "Unknown")</f>
        <v>Central Europe</v>
      </c>
      <c r="J4316" t="str">
        <f>PROPER(shipments[[#This Row],[delivery_status]])</f>
        <v>Delivered</v>
      </c>
      <c r="K4316" t="s">
        <v>6926</v>
      </c>
    </row>
    <row r="4317" spans="1:11">
      <c r="A4317" t="s">
        <v>11253</v>
      </c>
      <c r="B4317" t="s">
        <v>4967</v>
      </c>
      <c r="C4317" t="s">
        <v>6928</v>
      </c>
      <c r="D4317" s="1">
        <v>45292</v>
      </c>
      <c r="E4317" s="1">
        <v>45302</v>
      </c>
      <c r="F4317" s="1">
        <v>45302</v>
      </c>
      <c r="G4317">
        <v>19.059999999999999</v>
      </c>
      <c r="H43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317" t="str">
        <f>IFERROR(INDEX(Raw_orders!G:G, MATCH(shipments[[#This Row],[order_id]],Raw_orders!A:A, 0)), "Unknown")</f>
        <v>Unknown</v>
      </c>
      <c r="J4317" t="str">
        <f>PROPER(shipments[[#This Row],[delivery_status]])</f>
        <v>Delivered</v>
      </c>
      <c r="K4317" t="s">
        <v>6929</v>
      </c>
    </row>
    <row r="4318" spans="1:11">
      <c r="A4318" t="s">
        <v>11254</v>
      </c>
      <c r="B4318" t="s">
        <v>4968</v>
      </c>
      <c r="C4318" t="s">
        <v>6928</v>
      </c>
      <c r="D4318" s="1">
        <v>44942</v>
      </c>
      <c r="E4318" s="1">
        <v>44949</v>
      </c>
      <c r="F4318" s="1"/>
      <c r="G4318">
        <v>57.21</v>
      </c>
      <c r="H43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318" t="str">
        <f>IFERROR(INDEX(Raw_orders!G:G, MATCH(shipments[[#This Row],[order_id]],Raw_orders!A:A, 0)), "Unknown")</f>
        <v>Nordics</v>
      </c>
      <c r="J4318" t="str">
        <f>PROPER(shipments[[#This Row],[delivery_status]])</f>
        <v>Cancelled</v>
      </c>
      <c r="K4318" t="s">
        <v>6972</v>
      </c>
    </row>
    <row r="4319" spans="1:11">
      <c r="A4319" t="s">
        <v>11255</v>
      </c>
      <c r="B4319" t="s">
        <v>4969</v>
      </c>
      <c r="C4319" t="s">
        <v>6935</v>
      </c>
      <c r="D4319" s="1">
        <v>45247</v>
      </c>
      <c r="E4319" s="1">
        <v>45252</v>
      </c>
      <c r="F4319" s="1">
        <v>45251</v>
      </c>
      <c r="G4319">
        <v>5.31</v>
      </c>
      <c r="H43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319" t="str">
        <f>IFERROR(INDEX(Raw_orders!G:G, MATCH(shipments[[#This Row],[order_id]],Raw_orders!A:A, 0)), "Unknown")</f>
        <v>Nordics</v>
      </c>
      <c r="J4319" t="str">
        <f>PROPER(shipments[[#This Row],[delivery_status]])</f>
        <v>Delivered</v>
      </c>
      <c r="K4319" t="s">
        <v>6922</v>
      </c>
    </row>
    <row r="4320" spans="1:11">
      <c r="A4320" t="s">
        <v>11256</v>
      </c>
      <c r="B4320" t="s">
        <v>4970</v>
      </c>
      <c r="C4320" t="s">
        <v>6935</v>
      </c>
      <c r="D4320" s="1">
        <v>45247</v>
      </c>
      <c r="E4320" s="1">
        <v>45252</v>
      </c>
      <c r="F4320" s="1">
        <v>45252</v>
      </c>
      <c r="G4320">
        <v>16.809999999999999</v>
      </c>
      <c r="H43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320" t="str">
        <f>IFERROR(INDEX(Raw_orders!G:G, MATCH(shipments[[#This Row],[order_id]],Raw_orders!A:A, 0)), "Unknown")</f>
        <v>Nordics</v>
      </c>
      <c r="J4320" t="str">
        <f>PROPER(shipments[[#This Row],[delivery_status]])</f>
        <v>Delivered</v>
      </c>
      <c r="K4320" t="s">
        <v>6929</v>
      </c>
    </row>
    <row r="4321" spans="1:11">
      <c r="A4321" t="s">
        <v>11257</v>
      </c>
      <c r="B4321" t="s">
        <v>4971</v>
      </c>
      <c r="C4321" t="s">
        <v>6921</v>
      </c>
      <c r="D4321" s="1">
        <v>45098</v>
      </c>
      <c r="E4321" s="1">
        <v>45103</v>
      </c>
      <c r="F4321" s="1">
        <v>45103</v>
      </c>
      <c r="G4321">
        <v>46.21</v>
      </c>
      <c r="H43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321" t="str">
        <f>IFERROR(INDEX(Raw_orders!G:G, MATCH(shipments[[#This Row],[order_id]],Raw_orders!A:A, 0)), "Unknown")</f>
        <v>Nordics</v>
      </c>
      <c r="J4321" t="str">
        <f>PROPER(shipments[[#This Row],[delivery_status]])</f>
        <v>Delivered</v>
      </c>
      <c r="K4321" t="s">
        <v>6922</v>
      </c>
    </row>
    <row r="4322" spans="1:11">
      <c r="A4322" t="s">
        <v>11258</v>
      </c>
      <c r="B4322" t="s">
        <v>4972</v>
      </c>
      <c r="C4322" t="s">
        <v>6925</v>
      </c>
      <c r="D4322" s="1">
        <v>45262</v>
      </c>
      <c r="E4322" s="1">
        <v>45267</v>
      </c>
      <c r="F4322" s="1">
        <v>45268</v>
      </c>
      <c r="G4322">
        <v>5.26</v>
      </c>
      <c r="H43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22" t="str">
        <f>IFERROR(INDEX(Raw_orders!G:G, MATCH(shipments[[#This Row],[order_id]],Raw_orders!A:A, 0)), "Unknown")</f>
        <v>Baltics</v>
      </c>
      <c r="J4322" t="str">
        <f>PROPER(shipments[[#This Row],[delivery_status]])</f>
        <v>Delivered</v>
      </c>
      <c r="K4322" t="s">
        <v>6922</v>
      </c>
    </row>
    <row r="4323" spans="1:11">
      <c r="A4323" t="s">
        <v>11259</v>
      </c>
      <c r="B4323" t="s">
        <v>4973</v>
      </c>
      <c r="C4323" t="s">
        <v>6935</v>
      </c>
      <c r="D4323" s="1">
        <v>45496</v>
      </c>
      <c r="E4323" s="1">
        <v>45503</v>
      </c>
      <c r="F4323" s="1">
        <v>45508</v>
      </c>
      <c r="G4323">
        <v>49.4</v>
      </c>
      <c r="H43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23" t="str">
        <f>IFERROR(INDEX(Raw_orders!G:G, MATCH(shipments[[#This Row],[order_id]],Raw_orders!A:A, 0)), "Unknown")</f>
        <v>Central Europe</v>
      </c>
      <c r="J4323" t="str">
        <f>PROPER(shipments[[#This Row],[delivery_status]])</f>
        <v>Delivered</v>
      </c>
      <c r="K4323" t="s">
        <v>6926</v>
      </c>
    </row>
    <row r="4324" spans="1:11">
      <c r="A4324" t="s">
        <v>11260</v>
      </c>
      <c r="B4324" t="s">
        <v>4974</v>
      </c>
      <c r="C4324" t="s">
        <v>6931</v>
      </c>
      <c r="D4324" s="1">
        <v>45374</v>
      </c>
      <c r="E4324" s="1">
        <v>45381</v>
      </c>
      <c r="F4324" s="1">
        <v>45384</v>
      </c>
      <c r="G4324">
        <v>39.07</v>
      </c>
      <c r="H43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24" t="str">
        <f>IFERROR(INDEX(Raw_orders!G:G, MATCH(shipments[[#This Row],[order_id]],Raw_orders!A:A, 0)), "Unknown")</f>
        <v>Baltics</v>
      </c>
      <c r="J4324" t="str">
        <f>PROPER(shipments[[#This Row],[delivery_status]])</f>
        <v>Delivered</v>
      </c>
      <c r="K4324" t="s">
        <v>6922</v>
      </c>
    </row>
    <row r="4325" spans="1:11">
      <c r="A4325" t="s">
        <v>11261</v>
      </c>
      <c r="B4325" t="s">
        <v>4975</v>
      </c>
      <c r="C4325" t="s">
        <v>6931</v>
      </c>
      <c r="D4325" s="1">
        <v>45600</v>
      </c>
      <c r="E4325" s="1">
        <v>45605</v>
      </c>
      <c r="F4325" s="1">
        <v>45605</v>
      </c>
      <c r="G4325">
        <v>4.93</v>
      </c>
      <c r="H43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325" t="str">
        <f>IFERROR(INDEX(Raw_orders!G:G, MATCH(shipments[[#This Row],[order_id]],Raw_orders!A:A, 0)), "Unknown")</f>
        <v>Baltics</v>
      </c>
      <c r="J4325" t="str">
        <f>PROPER(shipments[[#This Row],[delivery_status]])</f>
        <v>Delivered</v>
      </c>
      <c r="K4325" t="s">
        <v>6922</v>
      </c>
    </row>
    <row r="4326" spans="1:11">
      <c r="A4326" t="s">
        <v>11262</v>
      </c>
      <c r="B4326" t="s">
        <v>4975</v>
      </c>
      <c r="C4326" t="s">
        <v>6928</v>
      </c>
      <c r="D4326" s="1">
        <v>45599</v>
      </c>
      <c r="E4326" s="1">
        <v>45609</v>
      </c>
      <c r="F4326" s="1">
        <v>45612</v>
      </c>
      <c r="G4326">
        <v>51.26</v>
      </c>
      <c r="H43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26" t="str">
        <f>IFERROR(INDEX(Raw_orders!G:G, MATCH(shipments[[#This Row],[order_id]],Raw_orders!A:A, 0)), "Unknown")</f>
        <v>Baltics</v>
      </c>
      <c r="J4326" t="str">
        <f>PROPER(shipments[[#This Row],[delivery_status]])</f>
        <v>Delivered</v>
      </c>
      <c r="K4326" t="s">
        <v>6922</v>
      </c>
    </row>
    <row r="4327" spans="1:11">
      <c r="A4327" t="s">
        <v>11263</v>
      </c>
      <c r="B4327" t="s">
        <v>4976</v>
      </c>
      <c r="C4327" t="s">
        <v>6921</v>
      </c>
      <c r="D4327" s="1">
        <v>44939</v>
      </c>
      <c r="E4327" s="1">
        <v>44949</v>
      </c>
      <c r="F4327" s="1">
        <v>44951</v>
      </c>
      <c r="G4327">
        <v>62.2</v>
      </c>
      <c r="H43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27" t="str">
        <f>IFERROR(INDEX(Raw_orders!G:G, MATCH(shipments[[#This Row],[order_id]],Raw_orders!A:A, 0)), "Unknown")</f>
        <v>Nordics</v>
      </c>
      <c r="J4327" t="str">
        <f>PROPER(shipments[[#This Row],[delivery_status]])</f>
        <v>Delivered</v>
      </c>
      <c r="K4327" t="s">
        <v>6922</v>
      </c>
    </row>
    <row r="4328" spans="1:11">
      <c r="A4328" t="s">
        <v>11264</v>
      </c>
      <c r="B4328" t="s">
        <v>4977</v>
      </c>
      <c r="C4328" t="s">
        <v>6935</v>
      </c>
      <c r="D4328" s="1">
        <v>45311</v>
      </c>
      <c r="E4328" s="1">
        <v>45313</v>
      </c>
      <c r="F4328" s="1">
        <v>45313</v>
      </c>
      <c r="G4328">
        <v>48.73</v>
      </c>
      <c r="H43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328" t="str">
        <f>IFERROR(INDEX(Raw_orders!G:G, MATCH(shipments[[#This Row],[order_id]],Raw_orders!A:A, 0)), "Unknown")</f>
        <v>Central Europe</v>
      </c>
      <c r="J4328" t="str">
        <f>PROPER(shipments[[#This Row],[delivery_status]])</f>
        <v>Delivered</v>
      </c>
      <c r="K4328" t="s">
        <v>6922</v>
      </c>
    </row>
    <row r="4329" spans="1:11">
      <c r="A4329" t="s">
        <v>11265</v>
      </c>
      <c r="B4329" t="s">
        <v>4978</v>
      </c>
      <c r="C4329" t="s">
        <v>6938</v>
      </c>
      <c r="D4329" s="1">
        <v>44935</v>
      </c>
      <c r="E4329" s="1">
        <v>44940</v>
      </c>
      <c r="F4329" s="1"/>
      <c r="G4329">
        <v>43.54</v>
      </c>
      <c r="H43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329" t="str">
        <f>IFERROR(INDEX(Raw_orders!G:G, MATCH(shipments[[#This Row],[order_id]],Raw_orders!A:A, 0)), "Unknown")</f>
        <v>Central Europe</v>
      </c>
      <c r="J4329" t="str">
        <f>PROPER(shipments[[#This Row],[delivery_status]])</f>
        <v>Cancelled</v>
      </c>
      <c r="K4329" t="s">
        <v>6963</v>
      </c>
    </row>
    <row r="4330" spans="1:11">
      <c r="A4330" t="s">
        <v>11266</v>
      </c>
      <c r="B4330" t="s">
        <v>4979</v>
      </c>
      <c r="C4330" t="s">
        <v>6935</v>
      </c>
      <c r="D4330" s="1">
        <v>45123</v>
      </c>
      <c r="E4330" s="1">
        <v>45128</v>
      </c>
      <c r="F4330" s="1">
        <v>45133</v>
      </c>
      <c r="G4330">
        <v>11.53</v>
      </c>
      <c r="H43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30" t="str">
        <f>IFERROR(INDEX(Raw_orders!G:G, MATCH(shipments[[#This Row],[order_id]],Raw_orders!A:A, 0)), "Unknown")</f>
        <v>Central Europe</v>
      </c>
      <c r="J4330" t="str">
        <f>PROPER(shipments[[#This Row],[delivery_status]])</f>
        <v>Delivered</v>
      </c>
      <c r="K4330" t="s">
        <v>6929</v>
      </c>
    </row>
    <row r="4331" spans="1:11">
      <c r="A4331" t="s">
        <v>11267</v>
      </c>
      <c r="B4331" t="s">
        <v>4980</v>
      </c>
      <c r="C4331" t="s">
        <v>6940</v>
      </c>
      <c r="D4331" s="1">
        <v>45551</v>
      </c>
      <c r="E4331" s="1">
        <v>45558</v>
      </c>
      <c r="F4331" s="1">
        <v>45566</v>
      </c>
      <c r="G4331">
        <v>62.97</v>
      </c>
      <c r="H43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31" t="str">
        <f>IFERROR(INDEX(Raw_orders!G:G, MATCH(shipments[[#This Row],[order_id]],Raw_orders!A:A, 0)), "Unknown")</f>
        <v>Baltics</v>
      </c>
      <c r="J4331" t="str">
        <f>PROPER(shipments[[#This Row],[delivery_status]])</f>
        <v>Delivered</v>
      </c>
      <c r="K4331" t="s">
        <v>6929</v>
      </c>
    </row>
    <row r="4332" spans="1:11">
      <c r="A4332" t="s">
        <v>11268</v>
      </c>
      <c r="B4332" t="s">
        <v>4981</v>
      </c>
      <c r="C4332" t="s">
        <v>6925</v>
      </c>
      <c r="D4332" s="1">
        <v>45060</v>
      </c>
      <c r="E4332" s="1">
        <v>45063</v>
      </c>
      <c r="F4332" s="1">
        <v>45075</v>
      </c>
      <c r="G4332">
        <v>58.26</v>
      </c>
      <c r="H43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32" t="str">
        <f>IFERROR(INDEX(Raw_orders!G:G, MATCH(shipments[[#This Row],[order_id]],Raw_orders!A:A, 0)), "Unknown")</f>
        <v>Nordics</v>
      </c>
      <c r="J4332" t="str">
        <f>PROPER(shipments[[#This Row],[delivery_status]])</f>
        <v>Delivered</v>
      </c>
      <c r="K4332" t="s">
        <v>6926</v>
      </c>
    </row>
    <row r="4333" spans="1:11">
      <c r="A4333" t="s">
        <v>11269</v>
      </c>
      <c r="B4333" t="s">
        <v>4982</v>
      </c>
      <c r="C4333" t="s">
        <v>6931</v>
      </c>
      <c r="D4333" s="1">
        <v>45601</v>
      </c>
      <c r="E4333" s="1">
        <v>45604</v>
      </c>
      <c r="F4333" s="1">
        <v>45612</v>
      </c>
      <c r="G4333">
        <v>55.26</v>
      </c>
      <c r="H43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33" t="str">
        <f>IFERROR(INDEX(Raw_orders!G:G, MATCH(shipments[[#This Row],[order_id]],Raw_orders!A:A, 0)), "Unknown")</f>
        <v>Central Europe</v>
      </c>
      <c r="J4333" t="str">
        <f>PROPER(shipments[[#This Row],[delivery_status]])</f>
        <v>Delivered</v>
      </c>
      <c r="K4333" t="s">
        <v>6926</v>
      </c>
    </row>
    <row r="4334" spans="1:11">
      <c r="A4334" t="s">
        <v>11270</v>
      </c>
      <c r="B4334" t="s">
        <v>4983</v>
      </c>
      <c r="C4334" t="s">
        <v>6921</v>
      </c>
      <c r="D4334" s="1">
        <v>45566</v>
      </c>
      <c r="E4334" s="1">
        <v>45573</v>
      </c>
      <c r="F4334" s="1">
        <v>45576</v>
      </c>
      <c r="G4334">
        <v>7.01</v>
      </c>
      <c r="H43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34" t="str">
        <f>IFERROR(INDEX(Raw_orders!G:G, MATCH(shipments[[#This Row],[order_id]],Raw_orders!A:A, 0)), "Unknown")</f>
        <v>Central Europe</v>
      </c>
      <c r="J4334" t="str">
        <f>PROPER(shipments[[#This Row],[delivery_status]])</f>
        <v>Delivered</v>
      </c>
      <c r="K4334" t="s">
        <v>6922</v>
      </c>
    </row>
    <row r="4335" spans="1:11">
      <c r="A4335" t="s">
        <v>11271</v>
      </c>
      <c r="B4335" t="s">
        <v>4984</v>
      </c>
      <c r="C4335" t="s">
        <v>6949</v>
      </c>
      <c r="D4335" s="1">
        <v>45306</v>
      </c>
      <c r="E4335" s="1">
        <v>45316</v>
      </c>
      <c r="F4335" s="1"/>
      <c r="G4335">
        <v>18.23</v>
      </c>
      <c r="H43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335" t="str">
        <f>IFERROR(INDEX(Raw_orders!G:G, MATCH(shipments[[#This Row],[order_id]],Raw_orders!A:A, 0)), "Unknown")</f>
        <v>Nordics</v>
      </c>
      <c r="J4335" t="str">
        <f>PROPER(shipments[[#This Row],[delivery_status]])</f>
        <v>In Transit</v>
      </c>
      <c r="K4335" t="s">
        <v>6958</v>
      </c>
    </row>
    <row r="4336" spans="1:11">
      <c r="A4336" t="s">
        <v>11272</v>
      </c>
      <c r="B4336" t="s">
        <v>4985</v>
      </c>
      <c r="C4336" t="s">
        <v>6935</v>
      </c>
      <c r="D4336" s="1">
        <v>45273</v>
      </c>
      <c r="E4336" s="1">
        <v>45275</v>
      </c>
      <c r="F4336" s="1"/>
      <c r="G4336">
        <v>9.8000000000000007</v>
      </c>
      <c r="H43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336" t="str">
        <f>IFERROR(INDEX(Raw_orders!G:G, MATCH(shipments[[#This Row],[order_id]],Raw_orders!A:A, 0)), "Unknown")</f>
        <v>Central Europe</v>
      </c>
      <c r="J4336" t="str">
        <f>PROPER(shipments[[#This Row],[delivery_status]])</f>
        <v>In Transit</v>
      </c>
      <c r="K4336" t="s">
        <v>6946</v>
      </c>
    </row>
    <row r="4337" spans="1:11">
      <c r="A4337" t="s">
        <v>11273</v>
      </c>
      <c r="B4337" t="s">
        <v>4986</v>
      </c>
      <c r="C4337" t="s">
        <v>6925</v>
      </c>
      <c r="D4337" s="1">
        <v>45544</v>
      </c>
      <c r="E4337" s="1">
        <v>45547</v>
      </c>
      <c r="F4337" s="1">
        <v>45547</v>
      </c>
      <c r="H43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337" t="str">
        <f>IFERROR(INDEX(Raw_orders!G:G, MATCH(shipments[[#This Row],[order_id]],Raw_orders!A:A, 0)), "Unknown")</f>
        <v>Nordics</v>
      </c>
      <c r="J4337" t="str">
        <f>PROPER(shipments[[#This Row],[delivery_status]])</f>
        <v>Delivered</v>
      </c>
      <c r="K4337" t="s">
        <v>6929</v>
      </c>
    </row>
    <row r="4338" spans="1:11">
      <c r="A4338" t="s">
        <v>11274</v>
      </c>
      <c r="B4338" t="s">
        <v>4987</v>
      </c>
      <c r="C4338" t="s">
        <v>6940</v>
      </c>
      <c r="D4338" s="1">
        <v>45066</v>
      </c>
      <c r="E4338" s="1">
        <v>45069</v>
      </c>
      <c r="F4338" s="1">
        <v>45069</v>
      </c>
      <c r="G4338">
        <v>16.12</v>
      </c>
      <c r="H43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338" t="str">
        <f>IFERROR(INDEX(Raw_orders!G:G, MATCH(shipments[[#This Row],[order_id]],Raw_orders!A:A, 0)), "Unknown")</f>
        <v>Nordics</v>
      </c>
      <c r="J4338" t="str">
        <f>PROPER(shipments[[#This Row],[delivery_status]])</f>
        <v>Delivered</v>
      </c>
      <c r="K4338" t="s">
        <v>6929</v>
      </c>
    </row>
    <row r="4339" spans="1:11">
      <c r="A4339" t="s">
        <v>11275</v>
      </c>
      <c r="B4339" t="s">
        <v>4988</v>
      </c>
      <c r="C4339" t="s">
        <v>6925</v>
      </c>
      <c r="D4339" s="1">
        <v>45290</v>
      </c>
      <c r="E4339" s="1">
        <v>45300</v>
      </c>
      <c r="F4339" s="1">
        <v>45301</v>
      </c>
      <c r="G4339">
        <v>55.54</v>
      </c>
      <c r="H43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39" t="str">
        <f>IFERROR(INDEX(Raw_orders!G:G, MATCH(shipments[[#This Row],[order_id]],Raw_orders!A:A, 0)), "Unknown")</f>
        <v>Nordics</v>
      </c>
      <c r="J4339" t="str">
        <f>PROPER(shipments[[#This Row],[delivery_status]])</f>
        <v>Delivered</v>
      </c>
      <c r="K4339" t="s">
        <v>6926</v>
      </c>
    </row>
    <row r="4340" spans="1:11">
      <c r="A4340" t="s">
        <v>11276</v>
      </c>
      <c r="B4340" t="s">
        <v>4989</v>
      </c>
      <c r="C4340" t="s">
        <v>6956</v>
      </c>
      <c r="D4340" s="1">
        <v>45235</v>
      </c>
      <c r="E4340" s="1">
        <v>45240</v>
      </c>
      <c r="F4340" s="1">
        <v>45250</v>
      </c>
      <c r="G4340">
        <v>5.0599999999999996</v>
      </c>
      <c r="H43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40" t="str">
        <f>IFERROR(INDEX(Raw_orders!G:G, MATCH(shipments[[#This Row],[order_id]],Raw_orders!A:A, 0)), "Unknown")</f>
        <v>Nordics</v>
      </c>
      <c r="J4340" t="str">
        <f>PROPER(shipments[[#This Row],[delivery_status]])</f>
        <v>Delivered</v>
      </c>
      <c r="K4340" t="s">
        <v>6922</v>
      </c>
    </row>
    <row r="4341" spans="1:11">
      <c r="A4341" t="s">
        <v>11277</v>
      </c>
      <c r="B4341" t="s">
        <v>4990</v>
      </c>
      <c r="C4341" t="s">
        <v>6935</v>
      </c>
      <c r="D4341" s="1">
        <v>45011</v>
      </c>
      <c r="E4341" s="1">
        <v>45021</v>
      </c>
      <c r="F4341" s="1">
        <v>45020</v>
      </c>
      <c r="G4341">
        <v>33.049999999999997</v>
      </c>
      <c r="H43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341" t="str">
        <f>IFERROR(INDEX(Raw_orders!G:G, MATCH(shipments[[#This Row],[order_id]],Raw_orders!A:A, 0)), "Unknown")</f>
        <v>Central Europe</v>
      </c>
      <c r="J4341" t="str">
        <f>PROPER(shipments[[#This Row],[delivery_status]])</f>
        <v>Delivered</v>
      </c>
      <c r="K4341" t="s">
        <v>6922</v>
      </c>
    </row>
    <row r="4342" spans="1:11">
      <c r="A4342" t="s">
        <v>11278</v>
      </c>
      <c r="B4342" t="s">
        <v>4991</v>
      </c>
      <c r="C4342" t="s">
        <v>6925</v>
      </c>
      <c r="D4342" s="1">
        <v>45123</v>
      </c>
      <c r="E4342" s="1">
        <v>45133</v>
      </c>
      <c r="F4342" s="1">
        <v>45133</v>
      </c>
      <c r="G4342">
        <v>15.93</v>
      </c>
      <c r="H43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342" t="str">
        <f>IFERROR(INDEX(Raw_orders!G:G, MATCH(shipments[[#This Row],[order_id]],Raw_orders!A:A, 0)), "Unknown")</f>
        <v>Central Europe</v>
      </c>
      <c r="J4342" t="str">
        <f>PROPER(shipments[[#This Row],[delivery_status]])</f>
        <v>Delivered</v>
      </c>
      <c r="K4342" t="s">
        <v>6929</v>
      </c>
    </row>
    <row r="4343" spans="1:11">
      <c r="A4343" t="s">
        <v>11279</v>
      </c>
      <c r="B4343" t="s">
        <v>4992</v>
      </c>
      <c r="C4343" t="s">
        <v>6928</v>
      </c>
      <c r="D4343" s="1">
        <v>45588</v>
      </c>
      <c r="E4343" s="1">
        <v>45598</v>
      </c>
      <c r="F4343" s="1">
        <v>45606</v>
      </c>
      <c r="G4343">
        <v>29.82</v>
      </c>
      <c r="H43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43" t="str">
        <f>IFERROR(INDEX(Raw_orders!G:G, MATCH(shipments[[#This Row],[order_id]],Raw_orders!A:A, 0)), "Unknown")</f>
        <v>Baltics</v>
      </c>
      <c r="J4343" t="str">
        <f>PROPER(shipments[[#This Row],[delivery_status]])</f>
        <v>Delivered</v>
      </c>
      <c r="K4343" t="s">
        <v>6922</v>
      </c>
    </row>
    <row r="4344" spans="1:11">
      <c r="A4344" t="s">
        <v>11280</v>
      </c>
      <c r="B4344" t="s">
        <v>4993</v>
      </c>
      <c r="C4344" t="s">
        <v>6925</v>
      </c>
      <c r="D4344" s="1">
        <v>45204</v>
      </c>
      <c r="E4344" s="1">
        <v>45209</v>
      </c>
      <c r="F4344" s="1">
        <v>45222</v>
      </c>
      <c r="G4344">
        <v>8.0399999999999991</v>
      </c>
      <c r="H43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44" t="str">
        <f>IFERROR(INDEX(Raw_orders!G:G, MATCH(shipments[[#This Row],[order_id]],Raw_orders!A:A, 0)), "Unknown")</f>
        <v>Baltics</v>
      </c>
      <c r="J4344" t="str">
        <f>PROPER(shipments[[#This Row],[delivery_status]])</f>
        <v>Delivered</v>
      </c>
      <c r="K4344" t="s">
        <v>6929</v>
      </c>
    </row>
    <row r="4345" spans="1:11">
      <c r="A4345" t="s">
        <v>11281</v>
      </c>
      <c r="B4345" t="s">
        <v>4994</v>
      </c>
      <c r="C4345" t="s">
        <v>6925</v>
      </c>
      <c r="D4345" s="1">
        <v>45021</v>
      </c>
      <c r="E4345" s="1">
        <v>45023</v>
      </c>
      <c r="F4345" s="1">
        <v>45024</v>
      </c>
      <c r="G4345">
        <v>18.57</v>
      </c>
      <c r="H43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45" t="str">
        <f>IFERROR(INDEX(Raw_orders!G:G, MATCH(shipments[[#This Row],[order_id]],Raw_orders!A:A, 0)), "Unknown")</f>
        <v>Nordics</v>
      </c>
      <c r="J4345" t="str">
        <f>PROPER(shipments[[#This Row],[delivery_status]])</f>
        <v>Delivered</v>
      </c>
      <c r="K4345" t="s">
        <v>6922</v>
      </c>
    </row>
    <row r="4346" spans="1:11">
      <c r="A4346" t="s">
        <v>11282</v>
      </c>
      <c r="B4346" t="s">
        <v>4995</v>
      </c>
      <c r="C4346" t="s">
        <v>6928</v>
      </c>
      <c r="D4346" s="1">
        <v>45379</v>
      </c>
      <c r="E4346" s="1">
        <v>45381</v>
      </c>
      <c r="F4346" s="1">
        <v>45380</v>
      </c>
      <c r="G4346">
        <v>13.88</v>
      </c>
      <c r="H43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346" t="str">
        <f>IFERROR(INDEX(Raw_orders!G:G, MATCH(shipments[[#This Row],[order_id]],Raw_orders!A:A, 0)), "Unknown")</f>
        <v>Nordics</v>
      </c>
      <c r="J4346" t="str">
        <f>PROPER(shipments[[#This Row],[delivery_status]])</f>
        <v>Delivered</v>
      </c>
      <c r="K4346" t="s">
        <v>6929</v>
      </c>
    </row>
    <row r="4347" spans="1:11">
      <c r="A4347" t="s">
        <v>11283</v>
      </c>
      <c r="B4347" t="s">
        <v>4996</v>
      </c>
      <c r="C4347" t="s">
        <v>6921</v>
      </c>
      <c r="D4347" s="1">
        <v>45199</v>
      </c>
      <c r="E4347" s="1">
        <v>45202</v>
      </c>
      <c r="F4347" s="1">
        <v>45202</v>
      </c>
      <c r="G4347">
        <v>5.88</v>
      </c>
      <c r="H43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347" t="str">
        <f>IFERROR(INDEX(Raw_orders!G:G, MATCH(shipments[[#This Row],[order_id]],Raw_orders!A:A, 0)), "Unknown")</f>
        <v>Nordics</v>
      </c>
      <c r="J4347" t="str">
        <f>PROPER(shipments[[#This Row],[delivery_status]])</f>
        <v>Delivered</v>
      </c>
      <c r="K4347" t="s">
        <v>6929</v>
      </c>
    </row>
    <row r="4348" spans="1:11">
      <c r="A4348" t="s">
        <v>11284</v>
      </c>
      <c r="B4348" t="s">
        <v>4997</v>
      </c>
      <c r="C4348" t="s">
        <v>6938</v>
      </c>
      <c r="D4348" s="1">
        <v>45522</v>
      </c>
      <c r="E4348" s="1">
        <v>45532</v>
      </c>
      <c r="F4348" s="1">
        <v>45534</v>
      </c>
      <c r="G4348">
        <v>24.99</v>
      </c>
      <c r="H43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48" t="str">
        <f>IFERROR(INDEX(Raw_orders!G:G, MATCH(shipments[[#This Row],[order_id]],Raw_orders!A:A, 0)), "Unknown")</f>
        <v>Central Europe</v>
      </c>
      <c r="J4348" t="str">
        <f>PROPER(shipments[[#This Row],[delivery_status]])</f>
        <v>Delivered</v>
      </c>
      <c r="K4348" t="s">
        <v>6922</v>
      </c>
    </row>
    <row r="4349" spans="1:11">
      <c r="A4349" t="s">
        <v>11285</v>
      </c>
      <c r="B4349" t="s">
        <v>4998</v>
      </c>
      <c r="C4349" t="s">
        <v>6921</v>
      </c>
      <c r="D4349" s="1">
        <v>44992</v>
      </c>
      <c r="E4349" s="1">
        <v>44995</v>
      </c>
      <c r="F4349" s="1">
        <v>44994</v>
      </c>
      <c r="G4349">
        <v>17.88</v>
      </c>
      <c r="H43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349" t="str">
        <f>IFERROR(INDEX(Raw_orders!G:G, MATCH(shipments[[#This Row],[order_id]],Raw_orders!A:A, 0)), "Unknown")</f>
        <v>Central Europe</v>
      </c>
      <c r="J4349" t="str">
        <f>PROPER(shipments[[#This Row],[delivery_status]])</f>
        <v>Delivered</v>
      </c>
      <c r="K4349" t="s">
        <v>6929</v>
      </c>
    </row>
    <row r="4350" spans="1:11">
      <c r="A4350" t="s">
        <v>11286</v>
      </c>
      <c r="B4350" t="s">
        <v>4998</v>
      </c>
      <c r="C4350" t="s">
        <v>6925</v>
      </c>
      <c r="D4350" s="1">
        <v>44993</v>
      </c>
      <c r="E4350" s="1">
        <v>45000</v>
      </c>
      <c r="F4350" s="1">
        <v>44999</v>
      </c>
      <c r="H43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350" t="str">
        <f>IFERROR(INDEX(Raw_orders!G:G, MATCH(shipments[[#This Row],[order_id]],Raw_orders!A:A, 0)), "Unknown")</f>
        <v>Central Europe</v>
      </c>
      <c r="J4350" t="str">
        <f>PROPER(shipments[[#This Row],[delivery_status]])</f>
        <v>Delivered</v>
      </c>
      <c r="K4350" t="s">
        <v>6922</v>
      </c>
    </row>
    <row r="4351" spans="1:11">
      <c r="A4351" t="s">
        <v>11287</v>
      </c>
      <c r="B4351" t="s">
        <v>4999</v>
      </c>
      <c r="C4351" t="s">
        <v>6928</v>
      </c>
      <c r="D4351" s="1">
        <v>45101</v>
      </c>
      <c r="E4351" s="1">
        <v>45111</v>
      </c>
      <c r="F4351" s="1">
        <v>45112</v>
      </c>
      <c r="G4351">
        <v>6.2</v>
      </c>
      <c r="H43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51" t="str">
        <f>IFERROR(INDEX(Raw_orders!G:G, MATCH(shipments[[#This Row],[order_id]],Raw_orders!A:A, 0)), "Unknown")</f>
        <v>Central Europe</v>
      </c>
      <c r="J4351" t="str">
        <f>PROPER(shipments[[#This Row],[delivery_status]])</f>
        <v>Delivered</v>
      </c>
      <c r="K4351" t="s">
        <v>6929</v>
      </c>
    </row>
    <row r="4352" spans="1:11">
      <c r="A4352" t="s">
        <v>11288</v>
      </c>
      <c r="B4352" t="s">
        <v>5000</v>
      </c>
      <c r="C4352" t="s">
        <v>6956</v>
      </c>
      <c r="D4352" s="1">
        <v>44991</v>
      </c>
      <c r="E4352" s="1">
        <v>44993</v>
      </c>
      <c r="F4352" s="1">
        <v>44996</v>
      </c>
      <c r="G4352">
        <v>38.07</v>
      </c>
      <c r="H43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52" t="str">
        <f>IFERROR(INDEX(Raw_orders!G:G, MATCH(shipments[[#This Row],[order_id]],Raw_orders!A:A, 0)), "Unknown")</f>
        <v>Baltics</v>
      </c>
      <c r="J4352" t="str">
        <f>PROPER(shipments[[#This Row],[delivery_status]])</f>
        <v>Delivered</v>
      </c>
      <c r="K4352" t="s">
        <v>6922</v>
      </c>
    </row>
    <row r="4353" spans="1:11">
      <c r="A4353" t="s">
        <v>11289</v>
      </c>
      <c r="B4353" t="s">
        <v>5001</v>
      </c>
      <c r="C4353" t="s">
        <v>6931</v>
      </c>
      <c r="D4353" s="1">
        <v>45231</v>
      </c>
      <c r="E4353" s="1">
        <v>45238</v>
      </c>
      <c r="F4353" s="1">
        <v>45240</v>
      </c>
      <c r="G4353">
        <v>58.67</v>
      </c>
      <c r="H43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53" t="str">
        <f>IFERROR(INDEX(Raw_orders!G:G, MATCH(shipments[[#This Row],[order_id]],Raw_orders!A:A, 0)), "Unknown")</f>
        <v>Nordics</v>
      </c>
      <c r="J4353" t="str">
        <f>PROPER(shipments[[#This Row],[delivery_status]])</f>
        <v>Delivered</v>
      </c>
      <c r="K4353" t="s">
        <v>6926</v>
      </c>
    </row>
    <row r="4354" spans="1:11">
      <c r="A4354" t="s">
        <v>11290</v>
      </c>
      <c r="B4354" t="s">
        <v>5002</v>
      </c>
      <c r="C4354" t="s">
        <v>6931</v>
      </c>
      <c r="D4354" s="1">
        <v>44981</v>
      </c>
      <c r="E4354" s="1">
        <v>44983</v>
      </c>
      <c r="F4354" s="1">
        <v>44983</v>
      </c>
      <c r="G4354">
        <v>64.569999999999993</v>
      </c>
      <c r="H43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354" t="str">
        <f>IFERROR(INDEX(Raw_orders!G:G, MATCH(shipments[[#This Row],[order_id]],Raw_orders!A:A, 0)), "Unknown")</f>
        <v>Central Europe</v>
      </c>
      <c r="J4354" t="str">
        <f>PROPER(shipments[[#This Row],[delivery_status]])</f>
        <v>Delivered</v>
      </c>
      <c r="K4354" t="s">
        <v>6929</v>
      </c>
    </row>
    <row r="4355" spans="1:11">
      <c r="A4355" t="s">
        <v>11291</v>
      </c>
      <c r="B4355" t="s">
        <v>5003</v>
      </c>
      <c r="C4355" t="s">
        <v>6935</v>
      </c>
      <c r="D4355" s="1">
        <v>45517</v>
      </c>
      <c r="E4355" s="1">
        <v>45527</v>
      </c>
      <c r="F4355" s="1">
        <v>45530</v>
      </c>
      <c r="G4355">
        <v>52.21</v>
      </c>
      <c r="H43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55" t="str">
        <f>IFERROR(INDEX(Raw_orders!G:G, MATCH(shipments[[#This Row],[order_id]],Raw_orders!A:A, 0)), "Unknown")</f>
        <v>Baltics</v>
      </c>
      <c r="J4355" t="str">
        <f>PROPER(shipments[[#This Row],[delivery_status]])</f>
        <v>Delivered</v>
      </c>
      <c r="K4355" t="s">
        <v>6926</v>
      </c>
    </row>
    <row r="4356" spans="1:11">
      <c r="A4356" t="s">
        <v>11292</v>
      </c>
      <c r="B4356" t="s">
        <v>5004</v>
      </c>
      <c r="C4356" t="s">
        <v>6925</v>
      </c>
      <c r="D4356" s="1">
        <v>45067</v>
      </c>
      <c r="E4356" s="1">
        <v>45070</v>
      </c>
      <c r="F4356" s="1">
        <v>45071</v>
      </c>
      <c r="G4356">
        <v>17.29</v>
      </c>
      <c r="H43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56" t="str">
        <f>IFERROR(INDEX(Raw_orders!G:G, MATCH(shipments[[#This Row],[order_id]],Raw_orders!A:A, 0)), "Unknown")</f>
        <v>Central Europe</v>
      </c>
      <c r="J4356" t="str">
        <f>PROPER(shipments[[#This Row],[delivery_status]])</f>
        <v>Delivered</v>
      </c>
      <c r="K4356" t="s">
        <v>6926</v>
      </c>
    </row>
    <row r="4357" spans="1:11">
      <c r="A4357" t="s">
        <v>11293</v>
      </c>
      <c r="B4357" t="s">
        <v>5005</v>
      </c>
      <c r="C4357" t="s">
        <v>6925</v>
      </c>
      <c r="D4357" s="1">
        <v>45014</v>
      </c>
      <c r="E4357" s="1">
        <v>45016</v>
      </c>
      <c r="F4357" s="1">
        <v>45025</v>
      </c>
      <c r="H43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57" t="str">
        <f>IFERROR(INDEX(Raw_orders!G:G, MATCH(shipments[[#This Row],[order_id]],Raw_orders!A:A, 0)), "Unknown")</f>
        <v>Baltics</v>
      </c>
      <c r="J4357" t="str">
        <f>PROPER(shipments[[#This Row],[delivery_status]])</f>
        <v>Delivered</v>
      </c>
      <c r="K4357" t="s">
        <v>6922</v>
      </c>
    </row>
    <row r="4358" spans="1:11">
      <c r="A4358" t="s">
        <v>11294</v>
      </c>
      <c r="B4358" t="s">
        <v>5006</v>
      </c>
      <c r="C4358" t="s">
        <v>6935</v>
      </c>
      <c r="D4358" s="1">
        <v>45247</v>
      </c>
      <c r="E4358" s="1">
        <v>45257</v>
      </c>
      <c r="F4358" s="1">
        <v>45265</v>
      </c>
      <c r="G4358">
        <v>49.88</v>
      </c>
      <c r="H43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58" t="str">
        <f>IFERROR(INDEX(Raw_orders!G:G, MATCH(shipments[[#This Row],[order_id]],Raw_orders!A:A, 0)), "Unknown")</f>
        <v>Baltics</v>
      </c>
      <c r="J4358" t="str">
        <f>PROPER(shipments[[#This Row],[delivery_status]])</f>
        <v>Delivered</v>
      </c>
      <c r="K4358" t="s">
        <v>6929</v>
      </c>
    </row>
    <row r="4359" spans="1:11">
      <c r="A4359" t="s">
        <v>11295</v>
      </c>
      <c r="B4359" t="s">
        <v>5007</v>
      </c>
      <c r="C4359" t="s">
        <v>6938</v>
      </c>
      <c r="D4359" s="1">
        <v>44957</v>
      </c>
      <c r="E4359" s="1">
        <v>44959</v>
      </c>
      <c r="F4359" s="1">
        <v>44962</v>
      </c>
      <c r="G4359">
        <v>31.17</v>
      </c>
      <c r="H43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59" t="str">
        <f>IFERROR(INDEX(Raw_orders!G:G, MATCH(shipments[[#This Row],[order_id]],Raw_orders!A:A, 0)), "Unknown")</f>
        <v>Central Europe</v>
      </c>
      <c r="J4359" t="str">
        <f>PROPER(shipments[[#This Row],[delivery_status]])</f>
        <v>Delivered</v>
      </c>
      <c r="K4359" t="s">
        <v>6926</v>
      </c>
    </row>
    <row r="4360" spans="1:11">
      <c r="A4360" t="s">
        <v>11296</v>
      </c>
      <c r="B4360" t="s">
        <v>5008</v>
      </c>
      <c r="C4360" t="s">
        <v>6921</v>
      </c>
      <c r="D4360" s="1">
        <v>45417</v>
      </c>
      <c r="E4360" s="1">
        <v>45419</v>
      </c>
      <c r="F4360" s="1">
        <v>45420</v>
      </c>
      <c r="G4360">
        <v>51.93</v>
      </c>
      <c r="H43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60" t="str">
        <f>IFERROR(INDEX(Raw_orders!G:G, MATCH(shipments[[#This Row],[order_id]],Raw_orders!A:A, 0)), "Unknown")</f>
        <v>Baltics</v>
      </c>
      <c r="J4360" t="str">
        <f>PROPER(shipments[[#This Row],[delivery_status]])</f>
        <v>Delivered</v>
      </c>
      <c r="K4360" t="s">
        <v>6929</v>
      </c>
    </row>
    <row r="4361" spans="1:11">
      <c r="A4361" t="s">
        <v>11297</v>
      </c>
      <c r="B4361" t="s">
        <v>5009</v>
      </c>
      <c r="C4361" t="s">
        <v>6956</v>
      </c>
      <c r="D4361" s="1">
        <v>45355</v>
      </c>
      <c r="E4361" s="1">
        <v>45360</v>
      </c>
      <c r="F4361" s="1">
        <v>45368</v>
      </c>
      <c r="G4361">
        <v>52.38</v>
      </c>
      <c r="H43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61" t="str">
        <f>IFERROR(INDEX(Raw_orders!G:G, MATCH(shipments[[#This Row],[order_id]],Raw_orders!A:A, 0)), "Unknown")</f>
        <v>Baltics</v>
      </c>
      <c r="J4361" t="str">
        <f>PROPER(shipments[[#This Row],[delivery_status]])</f>
        <v>Delivered</v>
      </c>
      <c r="K4361" t="s">
        <v>6922</v>
      </c>
    </row>
    <row r="4362" spans="1:11">
      <c r="A4362" t="s">
        <v>11298</v>
      </c>
      <c r="B4362" t="s">
        <v>5010</v>
      </c>
      <c r="C4362" t="s">
        <v>6935</v>
      </c>
      <c r="D4362" s="1">
        <v>45110</v>
      </c>
      <c r="E4362" s="1">
        <v>45117</v>
      </c>
      <c r="F4362" s="1">
        <v>45118</v>
      </c>
      <c r="G4362">
        <v>17.18</v>
      </c>
      <c r="H43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62" t="str">
        <f>IFERROR(INDEX(Raw_orders!G:G, MATCH(shipments[[#This Row],[order_id]],Raw_orders!A:A, 0)), "Unknown")</f>
        <v>Baltics</v>
      </c>
      <c r="J4362" t="str">
        <f>PROPER(shipments[[#This Row],[delivery_status]])</f>
        <v>Delivered</v>
      </c>
      <c r="K4362" t="s">
        <v>6922</v>
      </c>
    </row>
    <row r="4363" spans="1:11">
      <c r="A4363" t="s">
        <v>11299</v>
      </c>
      <c r="B4363" t="s">
        <v>5011</v>
      </c>
      <c r="C4363" t="s">
        <v>6935</v>
      </c>
      <c r="D4363" s="1">
        <v>45239</v>
      </c>
      <c r="E4363" s="1">
        <v>45242</v>
      </c>
      <c r="F4363" s="1">
        <v>45241</v>
      </c>
      <c r="G4363">
        <v>61.28</v>
      </c>
      <c r="H43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363" t="str">
        <f>IFERROR(INDEX(Raw_orders!G:G, MATCH(shipments[[#This Row],[order_id]],Raw_orders!A:A, 0)), "Unknown")</f>
        <v>Baltics</v>
      </c>
      <c r="J4363" t="str">
        <f>PROPER(shipments[[#This Row],[delivery_status]])</f>
        <v>Delivered</v>
      </c>
      <c r="K4363" t="s">
        <v>6926</v>
      </c>
    </row>
    <row r="4364" spans="1:11">
      <c r="A4364" t="s">
        <v>11300</v>
      </c>
      <c r="B4364" t="s">
        <v>5012</v>
      </c>
      <c r="C4364" t="s">
        <v>6956</v>
      </c>
      <c r="D4364" s="1">
        <v>45137</v>
      </c>
      <c r="E4364" s="1">
        <v>45140</v>
      </c>
      <c r="F4364" s="1">
        <v>45140</v>
      </c>
      <c r="G4364">
        <v>39.03</v>
      </c>
      <c r="H43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364" t="str">
        <f>IFERROR(INDEX(Raw_orders!G:G, MATCH(shipments[[#This Row],[order_id]],Raw_orders!A:A, 0)), "Unknown")</f>
        <v>Central Europe</v>
      </c>
      <c r="J4364" t="str">
        <f>PROPER(shipments[[#This Row],[delivery_status]])</f>
        <v>Delivered</v>
      </c>
      <c r="K4364" t="s">
        <v>6929</v>
      </c>
    </row>
    <row r="4365" spans="1:11">
      <c r="A4365" t="s">
        <v>11301</v>
      </c>
      <c r="B4365" t="s">
        <v>5013</v>
      </c>
      <c r="C4365" t="s">
        <v>6938</v>
      </c>
      <c r="D4365" s="1">
        <v>45218</v>
      </c>
      <c r="E4365" s="1">
        <v>45225</v>
      </c>
      <c r="F4365" s="1">
        <v>45237</v>
      </c>
      <c r="G4365">
        <v>50.41</v>
      </c>
      <c r="H43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65" t="str">
        <f>IFERROR(INDEX(Raw_orders!G:G, MATCH(shipments[[#This Row],[order_id]],Raw_orders!A:A, 0)), "Unknown")</f>
        <v>Central Europe</v>
      </c>
      <c r="J4365" t="str">
        <f>PROPER(shipments[[#This Row],[delivery_status]])</f>
        <v>Delivered</v>
      </c>
      <c r="K4365" t="s">
        <v>6926</v>
      </c>
    </row>
    <row r="4366" spans="1:11">
      <c r="A4366" t="s">
        <v>11302</v>
      </c>
      <c r="B4366" t="s">
        <v>5014</v>
      </c>
      <c r="C4366" t="s">
        <v>6956</v>
      </c>
      <c r="D4366" s="1">
        <v>45465</v>
      </c>
      <c r="E4366" s="1">
        <v>45470</v>
      </c>
      <c r="F4366" s="1">
        <v>45472</v>
      </c>
      <c r="G4366">
        <v>5.79</v>
      </c>
      <c r="H43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66" t="str">
        <f>IFERROR(INDEX(Raw_orders!G:G, MATCH(shipments[[#This Row],[order_id]],Raw_orders!A:A, 0)), "Unknown")</f>
        <v>Baltics</v>
      </c>
      <c r="J4366" t="str">
        <f>PROPER(shipments[[#This Row],[delivery_status]])</f>
        <v>Delivered</v>
      </c>
      <c r="K4366" t="s">
        <v>6922</v>
      </c>
    </row>
    <row r="4367" spans="1:11">
      <c r="A4367" t="s">
        <v>11303</v>
      </c>
      <c r="B4367" t="s">
        <v>5015</v>
      </c>
      <c r="C4367" t="s">
        <v>6931</v>
      </c>
      <c r="D4367" s="1">
        <v>45505</v>
      </c>
      <c r="E4367" s="1">
        <v>45510</v>
      </c>
      <c r="F4367" s="1">
        <v>45521</v>
      </c>
      <c r="G4367">
        <v>31.25</v>
      </c>
      <c r="H43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67" t="str">
        <f>IFERROR(INDEX(Raw_orders!G:G, MATCH(shipments[[#This Row],[order_id]],Raw_orders!A:A, 0)), "Unknown")</f>
        <v>Baltics</v>
      </c>
      <c r="J4367" t="str">
        <f>PROPER(shipments[[#This Row],[delivery_status]])</f>
        <v>Delivered</v>
      </c>
      <c r="K4367" t="s">
        <v>6929</v>
      </c>
    </row>
    <row r="4368" spans="1:11">
      <c r="A4368" t="s">
        <v>11304</v>
      </c>
      <c r="B4368" t="s">
        <v>5016</v>
      </c>
      <c r="C4368" t="s">
        <v>6931</v>
      </c>
      <c r="D4368" s="1">
        <v>45204</v>
      </c>
      <c r="E4368" s="1">
        <v>45214</v>
      </c>
      <c r="F4368" s="1"/>
      <c r="G4368">
        <v>21.79</v>
      </c>
      <c r="H43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368" t="str">
        <f>IFERROR(INDEX(Raw_orders!G:G, MATCH(shipments[[#This Row],[order_id]],Raw_orders!A:A, 0)), "Unknown")</f>
        <v>Baltics</v>
      </c>
      <c r="J4368" t="str">
        <f>PROPER(shipments[[#This Row],[delivery_status]])</f>
        <v>In Transit</v>
      </c>
      <c r="K4368" t="s">
        <v>6958</v>
      </c>
    </row>
    <row r="4369" spans="1:11">
      <c r="A4369" t="s">
        <v>11305</v>
      </c>
      <c r="B4369" t="s">
        <v>5017</v>
      </c>
      <c r="C4369" t="s">
        <v>6938</v>
      </c>
      <c r="D4369" s="1">
        <v>45591</v>
      </c>
      <c r="E4369" s="1">
        <v>45594</v>
      </c>
      <c r="F4369" s="1"/>
      <c r="G4369">
        <v>39.869999999999997</v>
      </c>
      <c r="H43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369" t="str">
        <f>IFERROR(INDEX(Raw_orders!G:G, MATCH(shipments[[#This Row],[order_id]],Raw_orders!A:A, 0)), "Unknown")</f>
        <v>Central Europe</v>
      </c>
      <c r="J4369" t="str">
        <f>PROPER(shipments[[#This Row],[delivery_status]])</f>
        <v>In Transit</v>
      </c>
      <c r="K4369" t="s">
        <v>6977</v>
      </c>
    </row>
    <row r="4370" spans="1:11">
      <c r="A4370" t="s">
        <v>11306</v>
      </c>
      <c r="B4370" t="s">
        <v>5018</v>
      </c>
      <c r="C4370" t="s">
        <v>6921</v>
      </c>
      <c r="D4370" s="1">
        <v>45549</v>
      </c>
      <c r="E4370" s="1">
        <v>45551</v>
      </c>
      <c r="F4370" s="1">
        <v>45559</v>
      </c>
      <c r="G4370">
        <v>60.43</v>
      </c>
      <c r="H43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70" t="str">
        <f>IFERROR(INDEX(Raw_orders!G:G, MATCH(shipments[[#This Row],[order_id]],Raw_orders!A:A, 0)), "Unknown")</f>
        <v>Baltics</v>
      </c>
      <c r="J4370" t="str">
        <f>PROPER(shipments[[#This Row],[delivery_status]])</f>
        <v>Delivered</v>
      </c>
      <c r="K4370" t="s">
        <v>6922</v>
      </c>
    </row>
    <row r="4371" spans="1:11">
      <c r="A4371" t="s">
        <v>11307</v>
      </c>
      <c r="B4371" t="s">
        <v>5019</v>
      </c>
      <c r="C4371" t="s">
        <v>6956</v>
      </c>
      <c r="D4371" s="1">
        <v>45438</v>
      </c>
      <c r="E4371" s="1">
        <v>45443</v>
      </c>
      <c r="F4371" s="1">
        <v>45443</v>
      </c>
      <c r="G4371">
        <v>35.43</v>
      </c>
      <c r="H43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371" t="str">
        <f>IFERROR(INDEX(Raw_orders!G:G, MATCH(shipments[[#This Row],[order_id]],Raw_orders!A:A, 0)), "Unknown")</f>
        <v>Baltics</v>
      </c>
      <c r="J4371" t="str">
        <f>PROPER(shipments[[#This Row],[delivery_status]])</f>
        <v>Delivered</v>
      </c>
      <c r="K4371" t="s">
        <v>6926</v>
      </c>
    </row>
    <row r="4372" spans="1:11">
      <c r="A4372" t="s">
        <v>11308</v>
      </c>
      <c r="B4372" t="s">
        <v>5020</v>
      </c>
      <c r="C4372" t="s">
        <v>6940</v>
      </c>
      <c r="D4372" s="1">
        <v>45311</v>
      </c>
      <c r="E4372" s="1">
        <v>45321</v>
      </c>
      <c r="F4372" s="1">
        <v>45326</v>
      </c>
      <c r="G4372">
        <v>15.41</v>
      </c>
      <c r="H43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72" t="str">
        <f>IFERROR(INDEX(Raw_orders!G:G, MATCH(shipments[[#This Row],[order_id]],Raw_orders!A:A, 0)), "Unknown")</f>
        <v>Nordics</v>
      </c>
      <c r="J4372" t="str">
        <f>PROPER(shipments[[#This Row],[delivery_status]])</f>
        <v>Delivered</v>
      </c>
      <c r="K4372" t="s">
        <v>6929</v>
      </c>
    </row>
    <row r="4373" spans="1:11">
      <c r="A4373" t="s">
        <v>11309</v>
      </c>
      <c r="B4373" t="s">
        <v>5021</v>
      </c>
      <c r="C4373" t="s">
        <v>6938</v>
      </c>
      <c r="D4373" s="1">
        <v>44990</v>
      </c>
      <c r="E4373" s="1">
        <v>44993</v>
      </c>
      <c r="F4373" s="1">
        <v>44995</v>
      </c>
      <c r="G4373">
        <v>34.04</v>
      </c>
      <c r="H43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73" t="str">
        <f>IFERROR(INDEX(Raw_orders!G:G, MATCH(shipments[[#This Row],[order_id]],Raw_orders!A:A, 0)), "Unknown")</f>
        <v>Central Europe</v>
      </c>
      <c r="J4373" t="str">
        <f>PROPER(shipments[[#This Row],[delivery_status]])</f>
        <v>Delivered</v>
      </c>
      <c r="K4373" t="s">
        <v>6926</v>
      </c>
    </row>
    <row r="4374" spans="1:11">
      <c r="A4374" t="s">
        <v>11310</v>
      </c>
      <c r="B4374" t="s">
        <v>5022</v>
      </c>
      <c r="C4374" t="s">
        <v>6921</v>
      </c>
      <c r="D4374" s="1">
        <v>45568</v>
      </c>
      <c r="E4374" s="1">
        <v>45570</v>
      </c>
      <c r="F4374" s="1">
        <v>45575</v>
      </c>
      <c r="G4374">
        <v>43.13</v>
      </c>
      <c r="H43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74" t="str">
        <f>IFERROR(INDEX(Raw_orders!G:G, MATCH(shipments[[#This Row],[order_id]],Raw_orders!A:A, 0)), "Unknown")</f>
        <v>Central Europe</v>
      </c>
      <c r="J4374" t="str">
        <f>PROPER(shipments[[#This Row],[delivery_status]])</f>
        <v>Delivered</v>
      </c>
      <c r="K4374" t="s">
        <v>6922</v>
      </c>
    </row>
    <row r="4375" spans="1:11">
      <c r="A4375" t="s">
        <v>11311</v>
      </c>
      <c r="B4375" t="s">
        <v>5023</v>
      </c>
      <c r="C4375" t="s">
        <v>6938</v>
      </c>
      <c r="D4375" s="1">
        <v>45302</v>
      </c>
      <c r="E4375" s="1">
        <v>45309</v>
      </c>
      <c r="F4375" s="1">
        <v>45309</v>
      </c>
      <c r="G4375">
        <v>63.12</v>
      </c>
      <c r="H43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375" t="str">
        <f>IFERROR(INDEX(Raw_orders!G:G, MATCH(shipments[[#This Row],[order_id]],Raw_orders!A:A, 0)), "Unknown")</f>
        <v>Central Europe</v>
      </c>
      <c r="J4375" t="str">
        <f>PROPER(shipments[[#This Row],[delivery_status]])</f>
        <v>Delivered</v>
      </c>
      <c r="K4375" t="s">
        <v>6922</v>
      </c>
    </row>
    <row r="4376" spans="1:11">
      <c r="A4376" t="s">
        <v>11312</v>
      </c>
      <c r="B4376" t="s">
        <v>5024</v>
      </c>
      <c r="C4376" t="s">
        <v>6921</v>
      </c>
      <c r="D4376" s="1">
        <v>44981</v>
      </c>
      <c r="E4376" s="1">
        <v>44991</v>
      </c>
      <c r="F4376" s="1">
        <v>44991</v>
      </c>
      <c r="G4376">
        <v>47.3</v>
      </c>
      <c r="H43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376" t="str">
        <f>IFERROR(INDEX(Raw_orders!G:G, MATCH(shipments[[#This Row],[order_id]],Raw_orders!A:A, 0)), "Unknown")</f>
        <v>Central Europe</v>
      </c>
      <c r="J4376" t="str">
        <f>PROPER(shipments[[#This Row],[delivery_status]])</f>
        <v>Delivered</v>
      </c>
      <c r="K4376" t="s">
        <v>6926</v>
      </c>
    </row>
    <row r="4377" spans="1:11">
      <c r="A4377" t="s">
        <v>11313</v>
      </c>
      <c r="B4377" t="s">
        <v>5025</v>
      </c>
      <c r="C4377" t="s">
        <v>6921</v>
      </c>
      <c r="D4377" s="1">
        <v>45207</v>
      </c>
      <c r="E4377" s="1">
        <v>45212</v>
      </c>
      <c r="F4377" s="1">
        <v>45211</v>
      </c>
      <c r="G4377">
        <v>9.58</v>
      </c>
      <c r="H43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377" t="str">
        <f>IFERROR(INDEX(Raw_orders!G:G, MATCH(shipments[[#This Row],[order_id]],Raw_orders!A:A, 0)), "Unknown")</f>
        <v>Central Europe</v>
      </c>
      <c r="J4377" t="str">
        <f>PROPER(shipments[[#This Row],[delivery_status]])</f>
        <v>Delivered</v>
      </c>
      <c r="K4377" t="s">
        <v>6929</v>
      </c>
    </row>
    <row r="4378" spans="1:11">
      <c r="A4378" t="s">
        <v>11314</v>
      </c>
      <c r="B4378" t="s">
        <v>5026</v>
      </c>
      <c r="C4378" t="s">
        <v>6921</v>
      </c>
      <c r="D4378" s="1">
        <v>45462</v>
      </c>
      <c r="E4378" s="1">
        <v>45465</v>
      </c>
      <c r="F4378" s="1">
        <v>45465</v>
      </c>
      <c r="G4378">
        <v>55.15</v>
      </c>
      <c r="H43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378" t="str">
        <f>IFERROR(INDEX(Raw_orders!G:G, MATCH(shipments[[#This Row],[order_id]],Raw_orders!A:A, 0)), "Unknown")</f>
        <v>Central Europe</v>
      </c>
      <c r="J4378" t="str">
        <f>PROPER(shipments[[#This Row],[delivery_status]])</f>
        <v>Delivered</v>
      </c>
      <c r="K4378" t="s">
        <v>6929</v>
      </c>
    </row>
    <row r="4379" spans="1:11">
      <c r="A4379" t="s">
        <v>11315</v>
      </c>
      <c r="B4379" t="s">
        <v>5027</v>
      </c>
      <c r="C4379" t="s">
        <v>6938</v>
      </c>
      <c r="D4379" s="1">
        <v>45265</v>
      </c>
      <c r="E4379" s="1">
        <v>45275</v>
      </c>
      <c r="F4379" s="1">
        <v>45275</v>
      </c>
      <c r="G4379">
        <v>36.68</v>
      </c>
      <c r="H43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379" t="str">
        <f>IFERROR(INDEX(Raw_orders!G:G, MATCH(shipments[[#This Row],[order_id]],Raw_orders!A:A, 0)), "Unknown")</f>
        <v>Central Europe</v>
      </c>
      <c r="J4379" t="str">
        <f>PROPER(shipments[[#This Row],[delivery_status]])</f>
        <v>Delivered</v>
      </c>
      <c r="K4379" t="s">
        <v>6926</v>
      </c>
    </row>
    <row r="4380" spans="1:11">
      <c r="A4380" t="s">
        <v>11316</v>
      </c>
      <c r="B4380" t="s">
        <v>5028</v>
      </c>
      <c r="C4380" t="s">
        <v>6935</v>
      </c>
      <c r="D4380" s="1">
        <v>45332</v>
      </c>
      <c r="E4380" s="1">
        <v>45342</v>
      </c>
      <c r="F4380" s="1">
        <v>45347</v>
      </c>
      <c r="G4380">
        <v>63.97</v>
      </c>
      <c r="H43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80" t="str">
        <f>IFERROR(INDEX(Raw_orders!G:G, MATCH(shipments[[#This Row],[order_id]],Raw_orders!A:A, 0)), "Unknown")</f>
        <v>Baltics</v>
      </c>
      <c r="J4380" t="str">
        <f>PROPER(shipments[[#This Row],[delivery_status]])</f>
        <v>Delivered</v>
      </c>
      <c r="K4380" t="s">
        <v>6922</v>
      </c>
    </row>
    <row r="4381" spans="1:11">
      <c r="A4381" t="s">
        <v>11317</v>
      </c>
      <c r="B4381" t="s">
        <v>5029</v>
      </c>
      <c r="C4381" t="s">
        <v>6925</v>
      </c>
      <c r="D4381" s="1">
        <v>45095</v>
      </c>
      <c r="E4381" s="1">
        <v>45097</v>
      </c>
      <c r="F4381" s="1">
        <v>45109</v>
      </c>
      <c r="G4381">
        <v>43.24</v>
      </c>
      <c r="H43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81" t="str">
        <f>IFERROR(INDEX(Raw_orders!G:G, MATCH(shipments[[#This Row],[order_id]],Raw_orders!A:A, 0)), "Unknown")</f>
        <v>Central Europe</v>
      </c>
      <c r="J4381" t="str">
        <f>PROPER(shipments[[#This Row],[delivery_status]])</f>
        <v>Delivered</v>
      </c>
      <c r="K4381" t="s">
        <v>6922</v>
      </c>
    </row>
    <row r="4382" spans="1:11">
      <c r="A4382" t="s">
        <v>11318</v>
      </c>
      <c r="B4382" t="s">
        <v>5030</v>
      </c>
      <c r="C4382" t="s">
        <v>6938</v>
      </c>
      <c r="D4382" s="1">
        <v>45501</v>
      </c>
      <c r="E4382" s="1">
        <v>45504</v>
      </c>
      <c r="F4382" s="1">
        <v>45504</v>
      </c>
      <c r="G4382">
        <v>44.06</v>
      </c>
      <c r="H43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382" t="str">
        <f>IFERROR(INDEX(Raw_orders!G:G, MATCH(shipments[[#This Row],[order_id]],Raw_orders!A:A, 0)), "Unknown")</f>
        <v>Nordics</v>
      </c>
      <c r="J4382" t="str">
        <f>PROPER(shipments[[#This Row],[delivery_status]])</f>
        <v>Delivered</v>
      </c>
      <c r="K4382" t="s">
        <v>6922</v>
      </c>
    </row>
    <row r="4383" spans="1:11">
      <c r="A4383" t="s">
        <v>11319</v>
      </c>
      <c r="B4383" t="s">
        <v>5031</v>
      </c>
      <c r="C4383" t="s">
        <v>6935</v>
      </c>
      <c r="D4383" s="1">
        <v>45093</v>
      </c>
      <c r="E4383" s="1">
        <v>45095</v>
      </c>
      <c r="F4383" s="1"/>
      <c r="G4383">
        <v>35.29</v>
      </c>
      <c r="H43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383" t="str">
        <f>IFERROR(INDEX(Raw_orders!G:G, MATCH(shipments[[#This Row],[order_id]],Raw_orders!A:A, 0)), "Unknown")</f>
        <v>Nordics</v>
      </c>
      <c r="J4383" t="str">
        <f>PROPER(shipments[[#This Row],[delivery_status]])</f>
        <v>Cancelled</v>
      </c>
      <c r="K4383" t="s">
        <v>6979</v>
      </c>
    </row>
    <row r="4384" spans="1:11">
      <c r="A4384" t="s">
        <v>11320</v>
      </c>
      <c r="B4384" t="s">
        <v>5032</v>
      </c>
      <c r="C4384" t="s">
        <v>6921</v>
      </c>
      <c r="D4384" s="1">
        <v>45419</v>
      </c>
      <c r="E4384" s="1">
        <v>45426</v>
      </c>
      <c r="F4384" s="1"/>
      <c r="G4384">
        <v>63.89</v>
      </c>
      <c r="H43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384" t="str">
        <f>IFERROR(INDEX(Raw_orders!G:G, MATCH(shipments[[#This Row],[order_id]],Raw_orders!A:A, 0)), "Unknown")</f>
        <v>Baltics</v>
      </c>
      <c r="J4384" t="str">
        <f>PROPER(shipments[[#This Row],[delivery_status]])</f>
        <v>In Transit</v>
      </c>
      <c r="K4384" t="s">
        <v>6977</v>
      </c>
    </row>
    <row r="4385" spans="1:11">
      <c r="A4385" t="s">
        <v>11321</v>
      </c>
      <c r="B4385" t="s">
        <v>5032</v>
      </c>
      <c r="C4385" t="s">
        <v>6935</v>
      </c>
      <c r="D4385" s="1">
        <v>45421</v>
      </c>
      <c r="E4385" s="1">
        <v>45426</v>
      </c>
      <c r="F4385" s="1">
        <v>45429</v>
      </c>
      <c r="G4385">
        <v>53.57</v>
      </c>
      <c r="H43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85" t="str">
        <f>IFERROR(INDEX(Raw_orders!G:G, MATCH(shipments[[#This Row],[order_id]],Raw_orders!A:A, 0)), "Unknown")</f>
        <v>Baltics</v>
      </c>
      <c r="J4385" t="str">
        <f>PROPER(shipments[[#This Row],[delivery_status]])</f>
        <v>Delivered</v>
      </c>
      <c r="K4385" t="s">
        <v>6922</v>
      </c>
    </row>
    <row r="4386" spans="1:11">
      <c r="A4386" t="s">
        <v>11322</v>
      </c>
      <c r="B4386" t="s">
        <v>5033</v>
      </c>
      <c r="C4386" t="s">
        <v>6931</v>
      </c>
      <c r="D4386" s="1">
        <v>45557</v>
      </c>
      <c r="E4386" s="1">
        <v>45564</v>
      </c>
      <c r="F4386" s="1"/>
      <c r="G4386">
        <v>24.14</v>
      </c>
      <c r="H43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386" t="str">
        <f>IFERROR(INDEX(Raw_orders!G:G, MATCH(shipments[[#This Row],[order_id]],Raw_orders!A:A, 0)), "Unknown")</f>
        <v>Central Europe</v>
      </c>
      <c r="J4386" t="str">
        <f>PROPER(shipments[[#This Row],[delivery_status]])</f>
        <v>Cancelled</v>
      </c>
      <c r="K4386" t="s">
        <v>6963</v>
      </c>
    </row>
    <row r="4387" spans="1:11">
      <c r="A4387" t="s">
        <v>11323</v>
      </c>
      <c r="B4387" t="s">
        <v>5034</v>
      </c>
      <c r="C4387" t="s">
        <v>6928</v>
      </c>
      <c r="D4387" s="1">
        <v>45110</v>
      </c>
      <c r="E4387" s="1">
        <v>45115</v>
      </c>
      <c r="F4387" s="1"/>
      <c r="G4387">
        <v>33.840000000000003</v>
      </c>
      <c r="H43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387" t="str">
        <f>IFERROR(INDEX(Raw_orders!G:G, MATCH(shipments[[#This Row],[order_id]],Raw_orders!A:A, 0)), "Unknown")</f>
        <v>Central Europe</v>
      </c>
      <c r="J4387" t="str">
        <f>PROPER(shipments[[#This Row],[delivery_status]])</f>
        <v>In Transit</v>
      </c>
      <c r="K4387" t="s">
        <v>6958</v>
      </c>
    </row>
    <row r="4388" spans="1:11">
      <c r="A4388" t="s">
        <v>11324</v>
      </c>
      <c r="B4388" t="s">
        <v>5035</v>
      </c>
      <c r="C4388" t="s">
        <v>6925</v>
      </c>
      <c r="D4388" s="1">
        <v>45630</v>
      </c>
      <c r="E4388" s="1">
        <v>45635</v>
      </c>
      <c r="F4388" s="1">
        <v>45635</v>
      </c>
      <c r="G4388">
        <v>59.53</v>
      </c>
      <c r="H43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388" t="str">
        <f>IFERROR(INDEX(Raw_orders!G:G, MATCH(shipments[[#This Row],[order_id]],Raw_orders!A:A, 0)), "Unknown")</f>
        <v>Central Europe</v>
      </c>
      <c r="J4388" t="str">
        <f>PROPER(shipments[[#This Row],[delivery_status]])</f>
        <v>Delivered</v>
      </c>
      <c r="K4388" t="s">
        <v>6929</v>
      </c>
    </row>
    <row r="4389" spans="1:11">
      <c r="A4389" t="s">
        <v>11325</v>
      </c>
      <c r="B4389" t="s">
        <v>5036</v>
      </c>
      <c r="C4389" t="s">
        <v>6931</v>
      </c>
      <c r="D4389" s="1">
        <v>45047</v>
      </c>
      <c r="E4389" s="1">
        <v>45052</v>
      </c>
      <c r="F4389" s="1">
        <v>45056</v>
      </c>
      <c r="G4389">
        <v>60.35</v>
      </c>
      <c r="H43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89" t="str">
        <f>IFERROR(INDEX(Raw_orders!G:G, MATCH(shipments[[#This Row],[order_id]],Raw_orders!A:A, 0)), "Unknown")</f>
        <v>Unknown</v>
      </c>
      <c r="J4389" t="str">
        <f>PROPER(shipments[[#This Row],[delivery_status]])</f>
        <v>Delivered</v>
      </c>
      <c r="K4389" t="s">
        <v>6926</v>
      </c>
    </row>
    <row r="4390" spans="1:11">
      <c r="A4390" t="s">
        <v>11326</v>
      </c>
      <c r="B4390" t="s">
        <v>5037</v>
      </c>
      <c r="C4390" t="s">
        <v>6935</v>
      </c>
      <c r="D4390" s="1">
        <v>45321</v>
      </c>
      <c r="E4390" s="1">
        <v>45323</v>
      </c>
      <c r="F4390" s="1">
        <v>45322</v>
      </c>
      <c r="G4390">
        <v>35.200000000000003</v>
      </c>
      <c r="H43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390" t="str">
        <f>IFERROR(INDEX(Raw_orders!G:G, MATCH(shipments[[#This Row],[order_id]],Raw_orders!A:A, 0)), "Unknown")</f>
        <v>Nordics</v>
      </c>
      <c r="J4390" t="str">
        <f>PROPER(shipments[[#This Row],[delivery_status]])</f>
        <v>Delivered</v>
      </c>
      <c r="K4390" t="s">
        <v>6926</v>
      </c>
    </row>
    <row r="4391" spans="1:11">
      <c r="A4391" t="s">
        <v>11327</v>
      </c>
      <c r="B4391" t="s">
        <v>5037</v>
      </c>
      <c r="C4391" t="s">
        <v>6935</v>
      </c>
      <c r="D4391" s="1">
        <v>45322</v>
      </c>
      <c r="E4391" s="1">
        <v>45332</v>
      </c>
      <c r="F4391" s="1">
        <v>45340</v>
      </c>
      <c r="G4391">
        <v>41.02</v>
      </c>
      <c r="H43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91" t="str">
        <f>IFERROR(INDEX(Raw_orders!G:G, MATCH(shipments[[#This Row],[order_id]],Raw_orders!A:A, 0)), "Unknown")</f>
        <v>Nordics</v>
      </c>
      <c r="J4391" t="str">
        <f>PROPER(shipments[[#This Row],[delivery_status]])</f>
        <v>Delivered</v>
      </c>
      <c r="K4391" t="s">
        <v>6929</v>
      </c>
    </row>
    <row r="4392" spans="1:11">
      <c r="A4392" t="s">
        <v>11328</v>
      </c>
      <c r="B4392" t="s">
        <v>5038</v>
      </c>
      <c r="C4392" t="s">
        <v>6935</v>
      </c>
      <c r="D4392" s="1">
        <v>45208</v>
      </c>
      <c r="E4392" s="1">
        <v>45218</v>
      </c>
      <c r="F4392" s="1">
        <v>45218</v>
      </c>
      <c r="G4392">
        <v>27.57</v>
      </c>
      <c r="H43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392" t="str">
        <f>IFERROR(INDEX(Raw_orders!G:G, MATCH(shipments[[#This Row],[order_id]],Raw_orders!A:A, 0)), "Unknown")</f>
        <v>Nordics</v>
      </c>
      <c r="J4392" t="str">
        <f>PROPER(shipments[[#This Row],[delivery_status]])</f>
        <v>Delivered</v>
      </c>
      <c r="K4392" t="s">
        <v>6929</v>
      </c>
    </row>
    <row r="4393" spans="1:11">
      <c r="A4393" t="s">
        <v>11329</v>
      </c>
      <c r="B4393" t="s">
        <v>5039</v>
      </c>
      <c r="C4393" t="s">
        <v>6921</v>
      </c>
      <c r="D4393" s="1">
        <v>45452</v>
      </c>
      <c r="E4393" s="1">
        <v>45462</v>
      </c>
      <c r="F4393" s="1">
        <v>45467</v>
      </c>
      <c r="G4393">
        <v>29.52</v>
      </c>
      <c r="H43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93" t="str">
        <f>IFERROR(INDEX(Raw_orders!G:G, MATCH(shipments[[#This Row],[order_id]],Raw_orders!A:A, 0)), "Unknown")</f>
        <v>Nordics</v>
      </c>
      <c r="J4393" t="str">
        <f>PROPER(shipments[[#This Row],[delivery_status]])</f>
        <v>Delivered</v>
      </c>
      <c r="K4393" t="s">
        <v>6929</v>
      </c>
    </row>
    <row r="4394" spans="1:11">
      <c r="A4394" t="s">
        <v>11330</v>
      </c>
      <c r="B4394" t="s">
        <v>5040</v>
      </c>
      <c r="C4394" t="s">
        <v>6921</v>
      </c>
      <c r="D4394" s="1">
        <v>45063</v>
      </c>
      <c r="E4394" s="1">
        <v>45066</v>
      </c>
      <c r="F4394" s="1">
        <v>45065</v>
      </c>
      <c r="G4394">
        <v>22.9</v>
      </c>
      <c r="H43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394" t="str">
        <f>IFERROR(INDEX(Raw_orders!G:G, MATCH(shipments[[#This Row],[order_id]],Raw_orders!A:A, 0)), "Unknown")</f>
        <v>Central Europe</v>
      </c>
      <c r="J4394" t="str">
        <f>PROPER(shipments[[#This Row],[delivery_status]])</f>
        <v>Delivered</v>
      </c>
      <c r="K4394" t="s">
        <v>6926</v>
      </c>
    </row>
    <row r="4395" spans="1:11">
      <c r="A4395" t="s">
        <v>11331</v>
      </c>
      <c r="B4395" t="s">
        <v>5041</v>
      </c>
      <c r="C4395" t="s">
        <v>6938</v>
      </c>
      <c r="D4395" s="1">
        <v>45042</v>
      </c>
      <c r="E4395" s="1">
        <v>45052</v>
      </c>
      <c r="F4395" s="1">
        <v>45054</v>
      </c>
      <c r="G4395">
        <v>40.479999999999997</v>
      </c>
      <c r="H43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95" t="str">
        <f>IFERROR(INDEX(Raw_orders!G:G, MATCH(shipments[[#This Row],[order_id]],Raw_orders!A:A, 0)), "Unknown")</f>
        <v>Central Europe</v>
      </c>
      <c r="J4395" t="str">
        <f>PROPER(shipments[[#This Row],[delivery_status]])</f>
        <v>Delivered</v>
      </c>
      <c r="K4395" t="s">
        <v>6926</v>
      </c>
    </row>
    <row r="4396" spans="1:11">
      <c r="A4396" t="s">
        <v>11332</v>
      </c>
      <c r="B4396" t="s">
        <v>5042</v>
      </c>
      <c r="C4396" t="s">
        <v>6938</v>
      </c>
      <c r="D4396" s="1">
        <v>45514</v>
      </c>
      <c r="E4396" s="1">
        <v>45524</v>
      </c>
      <c r="F4396" s="1">
        <v>45524</v>
      </c>
      <c r="G4396">
        <v>8.66</v>
      </c>
      <c r="H43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396" t="str">
        <f>IFERROR(INDEX(Raw_orders!G:G, MATCH(shipments[[#This Row],[order_id]],Raw_orders!A:A, 0)), "Unknown")</f>
        <v>Central Europe</v>
      </c>
      <c r="J4396" t="str">
        <f>PROPER(shipments[[#This Row],[delivery_status]])</f>
        <v>Delivered</v>
      </c>
      <c r="K4396" t="s">
        <v>6929</v>
      </c>
    </row>
    <row r="4397" spans="1:11">
      <c r="A4397" t="s">
        <v>11333</v>
      </c>
      <c r="B4397" t="s">
        <v>5043</v>
      </c>
      <c r="C4397" t="s">
        <v>6931</v>
      </c>
      <c r="D4397" s="1">
        <v>45604</v>
      </c>
      <c r="E4397" s="1">
        <v>45607</v>
      </c>
      <c r="F4397" s="1">
        <v>45609</v>
      </c>
      <c r="G4397">
        <v>25.49</v>
      </c>
      <c r="H43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397" t="str">
        <f>IFERROR(INDEX(Raw_orders!G:G, MATCH(shipments[[#This Row],[order_id]],Raw_orders!A:A, 0)), "Unknown")</f>
        <v>Nordics</v>
      </c>
      <c r="J4397" t="str">
        <f>PROPER(shipments[[#This Row],[delivery_status]])</f>
        <v>Delivered</v>
      </c>
      <c r="K4397" t="s">
        <v>6929</v>
      </c>
    </row>
    <row r="4398" spans="1:11">
      <c r="A4398" t="s">
        <v>11334</v>
      </c>
      <c r="B4398" t="s">
        <v>5044</v>
      </c>
      <c r="C4398" t="s">
        <v>6940</v>
      </c>
      <c r="D4398" s="1">
        <v>45426</v>
      </c>
      <c r="E4398" s="1">
        <v>45429</v>
      </c>
      <c r="F4398" s="1">
        <v>45428</v>
      </c>
      <c r="G4398">
        <v>18.47</v>
      </c>
      <c r="H43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398" t="str">
        <f>IFERROR(INDEX(Raw_orders!G:G, MATCH(shipments[[#This Row],[order_id]],Raw_orders!A:A, 0)), "Unknown")</f>
        <v>Nordics</v>
      </c>
      <c r="J4398" t="str">
        <f>PROPER(shipments[[#This Row],[delivery_status]])</f>
        <v>Delivered</v>
      </c>
      <c r="K4398" t="s">
        <v>6926</v>
      </c>
    </row>
    <row r="4399" spans="1:11">
      <c r="A4399" t="s">
        <v>11335</v>
      </c>
      <c r="B4399" t="s">
        <v>5045</v>
      </c>
      <c r="C4399" t="s">
        <v>6956</v>
      </c>
      <c r="D4399" s="1">
        <v>45187</v>
      </c>
      <c r="E4399" s="1">
        <v>45190</v>
      </c>
      <c r="F4399" s="1"/>
      <c r="G4399">
        <v>13.2</v>
      </c>
      <c r="H43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399" t="str">
        <f>IFERROR(INDEX(Raw_orders!G:G, MATCH(shipments[[#This Row],[order_id]],Raw_orders!A:A, 0)), "Unknown")</f>
        <v>Central Europe</v>
      </c>
      <c r="J4399" t="str">
        <f>PROPER(shipments[[#This Row],[delivery_status]])</f>
        <v>In Transit</v>
      </c>
      <c r="K4399" t="s">
        <v>6977</v>
      </c>
    </row>
    <row r="4400" spans="1:11">
      <c r="A4400" t="s">
        <v>11336</v>
      </c>
      <c r="B4400" t="s">
        <v>5046</v>
      </c>
      <c r="C4400" t="s">
        <v>6956</v>
      </c>
      <c r="D4400" s="1">
        <v>45342</v>
      </c>
      <c r="E4400" s="1">
        <v>45349</v>
      </c>
      <c r="F4400" s="1">
        <v>45357</v>
      </c>
      <c r="G4400">
        <v>31.46</v>
      </c>
      <c r="H44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00" t="str">
        <f>IFERROR(INDEX(Raw_orders!G:G, MATCH(shipments[[#This Row],[order_id]],Raw_orders!A:A, 0)), "Unknown")</f>
        <v>Central Europe</v>
      </c>
      <c r="J4400" t="str">
        <f>PROPER(shipments[[#This Row],[delivery_status]])</f>
        <v>Delivered</v>
      </c>
      <c r="K4400" t="s">
        <v>6922</v>
      </c>
    </row>
    <row r="4401" spans="1:11">
      <c r="A4401" t="s">
        <v>11337</v>
      </c>
      <c r="B4401" t="s">
        <v>5047</v>
      </c>
      <c r="C4401" t="s">
        <v>6925</v>
      </c>
      <c r="D4401" s="1">
        <v>45511</v>
      </c>
      <c r="E4401" s="1">
        <v>45513</v>
      </c>
      <c r="F4401" s="1">
        <v>45516</v>
      </c>
      <c r="G4401">
        <v>9.0299999999999994</v>
      </c>
      <c r="H44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01" t="str">
        <f>IFERROR(INDEX(Raw_orders!G:G, MATCH(shipments[[#This Row],[order_id]],Raw_orders!A:A, 0)), "Unknown")</f>
        <v>Nordics</v>
      </c>
      <c r="J4401" t="str">
        <f>PROPER(shipments[[#This Row],[delivery_status]])</f>
        <v>Delivered</v>
      </c>
      <c r="K4401" t="s">
        <v>6929</v>
      </c>
    </row>
    <row r="4402" spans="1:11">
      <c r="A4402" t="s">
        <v>11338</v>
      </c>
      <c r="B4402" t="s">
        <v>5048</v>
      </c>
      <c r="C4402" t="s">
        <v>6935</v>
      </c>
      <c r="D4402" s="1">
        <v>45477</v>
      </c>
      <c r="E4402" s="1">
        <v>45487</v>
      </c>
      <c r="F4402" s="1"/>
      <c r="G4402">
        <v>45.2</v>
      </c>
      <c r="H44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402" t="str">
        <f>IFERROR(INDEX(Raw_orders!G:G, MATCH(shipments[[#This Row],[order_id]],Raw_orders!A:A, 0)), "Unknown")</f>
        <v>Baltics</v>
      </c>
      <c r="J4402" t="str">
        <f>PROPER(shipments[[#This Row],[delivery_status]])</f>
        <v>In Transit</v>
      </c>
      <c r="K4402" t="s">
        <v>6958</v>
      </c>
    </row>
    <row r="4403" spans="1:11">
      <c r="A4403" t="s">
        <v>11339</v>
      </c>
      <c r="B4403" t="s">
        <v>5049</v>
      </c>
      <c r="C4403" t="s">
        <v>6931</v>
      </c>
      <c r="D4403" s="1">
        <v>45121</v>
      </c>
      <c r="E4403" s="1">
        <v>45124</v>
      </c>
      <c r="F4403" s="1">
        <v>45124</v>
      </c>
      <c r="H44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403" t="str">
        <f>IFERROR(INDEX(Raw_orders!G:G, MATCH(shipments[[#This Row],[order_id]],Raw_orders!A:A, 0)), "Unknown")</f>
        <v>Baltics</v>
      </c>
      <c r="J4403" t="str">
        <f>PROPER(shipments[[#This Row],[delivery_status]])</f>
        <v>Delivered</v>
      </c>
      <c r="K4403" t="s">
        <v>6922</v>
      </c>
    </row>
    <row r="4404" spans="1:11">
      <c r="A4404" t="s">
        <v>11340</v>
      </c>
      <c r="B4404" t="s">
        <v>5050</v>
      </c>
      <c r="C4404" t="s">
        <v>6940</v>
      </c>
      <c r="D4404" s="1">
        <v>45328</v>
      </c>
      <c r="E4404" s="1">
        <v>45335</v>
      </c>
      <c r="F4404" s="1">
        <v>45337</v>
      </c>
      <c r="G4404">
        <v>40.71</v>
      </c>
      <c r="H44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04" t="str">
        <f>IFERROR(INDEX(Raw_orders!G:G, MATCH(shipments[[#This Row],[order_id]],Raw_orders!A:A, 0)), "Unknown")</f>
        <v>Central Europe</v>
      </c>
      <c r="J4404" t="str">
        <f>PROPER(shipments[[#This Row],[delivery_status]])</f>
        <v>Delivered</v>
      </c>
      <c r="K4404" t="s">
        <v>6922</v>
      </c>
    </row>
    <row r="4405" spans="1:11">
      <c r="A4405" t="s">
        <v>11341</v>
      </c>
      <c r="B4405" t="s">
        <v>5051</v>
      </c>
      <c r="C4405" t="s">
        <v>6925</v>
      </c>
      <c r="D4405" s="1">
        <v>45166</v>
      </c>
      <c r="E4405" s="1">
        <v>45176</v>
      </c>
      <c r="F4405" s="1">
        <v>45180</v>
      </c>
      <c r="G4405">
        <v>20.34</v>
      </c>
      <c r="H44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05" t="str">
        <f>IFERROR(INDEX(Raw_orders!G:G, MATCH(shipments[[#This Row],[order_id]],Raw_orders!A:A, 0)), "Unknown")</f>
        <v>Baltics</v>
      </c>
      <c r="J4405" t="str">
        <f>PROPER(shipments[[#This Row],[delivery_status]])</f>
        <v>Delivered</v>
      </c>
      <c r="K4405" t="s">
        <v>6922</v>
      </c>
    </row>
    <row r="4406" spans="1:11">
      <c r="A4406" t="s">
        <v>11342</v>
      </c>
      <c r="B4406" t="s">
        <v>5052</v>
      </c>
      <c r="C4406" t="s">
        <v>6935</v>
      </c>
      <c r="D4406" s="1">
        <v>45515</v>
      </c>
      <c r="E4406" s="1">
        <v>45522</v>
      </c>
      <c r="F4406" s="1"/>
      <c r="G4406">
        <v>62.42</v>
      </c>
      <c r="H44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406" t="str">
        <f>IFERROR(INDEX(Raw_orders!G:G, MATCH(shipments[[#This Row],[order_id]],Raw_orders!A:A, 0)), "Unknown")</f>
        <v>Nordics</v>
      </c>
      <c r="J4406" t="str">
        <f>PROPER(shipments[[#This Row],[delivery_status]])</f>
        <v>Cancelled</v>
      </c>
      <c r="K4406" t="s">
        <v>6963</v>
      </c>
    </row>
    <row r="4407" spans="1:11">
      <c r="A4407" t="s">
        <v>11343</v>
      </c>
      <c r="B4407" t="s">
        <v>5053</v>
      </c>
      <c r="C4407" t="s">
        <v>6925</v>
      </c>
      <c r="D4407" s="1">
        <v>45428</v>
      </c>
      <c r="E4407" s="1">
        <v>45430</v>
      </c>
      <c r="F4407" s="1"/>
      <c r="G4407">
        <v>35.08</v>
      </c>
      <c r="H44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407" t="str">
        <f>IFERROR(INDEX(Raw_orders!G:G, MATCH(shipments[[#This Row],[order_id]],Raw_orders!A:A, 0)), "Unknown")</f>
        <v>Baltics</v>
      </c>
      <c r="J4407" t="str">
        <f>PROPER(shipments[[#This Row],[delivery_status]])</f>
        <v>Cancelled</v>
      </c>
      <c r="K4407" t="s">
        <v>6963</v>
      </c>
    </row>
    <row r="4408" spans="1:11">
      <c r="A4408" t="s">
        <v>11344</v>
      </c>
      <c r="B4408" t="s">
        <v>5054</v>
      </c>
      <c r="C4408" t="s">
        <v>6938</v>
      </c>
      <c r="D4408" s="1">
        <v>45162</v>
      </c>
      <c r="E4408" s="1">
        <v>45169</v>
      </c>
      <c r="F4408" s="1">
        <v>45169</v>
      </c>
      <c r="G4408">
        <v>8.8000000000000007</v>
      </c>
      <c r="H44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408" t="str">
        <f>IFERROR(INDEX(Raw_orders!G:G, MATCH(shipments[[#This Row],[order_id]],Raw_orders!A:A, 0)), "Unknown")</f>
        <v>Central Europe</v>
      </c>
      <c r="J4408" t="str">
        <f>PROPER(shipments[[#This Row],[delivery_status]])</f>
        <v>Delivered</v>
      </c>
      <c r="K4408" t="s">
        <v>6922</v>
      </c>
    </row>
    <row r="4409" spans="1:11">
      <c r="A4409" t="s">
        <v>11345</v>
      </c>
      <c r="B4409" t="s">
        <v>5055</v>
      </c>
      <c r="C4409" t="s">
        <v>6931</v>
      </c>
      <c r="D4409" s="1">
        <v>45256</v>
      </c>
      <c r="E4409" s="1">
        <v>45263</v>
      </c>
      <c r="F4409" s="1">
        <v>45262</v>
      </c>
      <c r="G4409">
        <v>7.44</v>
      </c>
      <c r="H44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409" t="str">
        <f>IFERROR(INDEX(Raw_orders!G:G, MATCH(shipments[[#This Row],[order_id]],Raw_orders!A:A, 0)), "Unknown")</f>
        <v>Baltics</v>
      </c>
      <c r="J4409" t="str">
        <f>PROPER(shipments[[#This Row],[delivery_status]])</f>
        <v>Delivered</v>
      </c>
      <c r="K4409" t="s">
        <v>6922</v>
      </c>
    </row>
    <row r="4410" spans="1:11">
      <c r="A4410" t="s">
        <v>11346</v>
      </c>
      <c r="B4410" t="s">
        <v>5056</v>
      </c>
      <c r="C4410" t="s">
        <v>6931</v>
      </c>
      <c r="D4410" s="1">
        <v>45160</v>
      </c>
      <c r="E4410" s="1">
        <v>45167</v>
      </c>
      <c r="F4410" s="1">
        <v>45170</v>
      </c>
      <c r="G4410">
        <v>57.93</v>
      </c>
      <c r="H44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10" t="str">
        <f>IFERROR(INDEX(Raw_orders!G:G, MATCH(shipments[[#This Row],[order_id]],Raw_orders!A:A, 0)), "Unknown")</f>
        <v>Central Europe</v>
      </c>
      <c r="J4410" t="str">
        <f>PROPER(shipments[[#This Row],[delivery_status]])</f>
        <v>Delivered</v>
      </c>
      <c r="K4410" t="s">
        <v>6929</v>
      </c>
    </row>
    <row r="4411" spans="1:11">
      <c r="A4411" t="s">
        <v>11347</v>
      </c>
      <c r="B4411" t="s">
        <v>5057</v>
      </c>
      <c r="C4411" t="s">
        <v>6921</v>
      </c>
      <c r="D4411" s="1">
        <v>45138</v>
      </c>
      <c r="E4411" s="1">
        <v>45141</v>
      </c>
      <c r="F4411" s="1">
        <v>45140</v>
      </c>
      <c r="G4411">
        <v>57.43</v>
      </c>
      <c r="H44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411" t="str">
        <f>IFERROR(INDEX(Raw_orders!G:G, MATCH(shipments[[#This Row],[order_id]],Raw_orders!A:A, 0)), "Unknown")</f>
        <v>Baltics</v>
      </c>
      <c r="J4411" t="str">
        <f>PROPER(shipments[[#This Row],[delivery_status]])</f>
        <v>Delivered</v>
      </c>
      <c r="K4411" t="s">
        <v>6922</v>
      </c>
    </row>
    <row r="4412" spans="1:11">
      <c r="A4412" t="s">
        <v>11348</v>
      </c>
      <c r="B4412" t="s">
        <v>5058</v>
      </c>
      <c r="C4412" t="s">
        <v>6925</v>
      </c>
      <c r="D4412" s="1">
        <v>45157</v>
      </c>
      <c r="E4412" s="1">
        <v>45159</v>
      </c>
      <c r="F4412" s="1">
        <v>45161</v>
      </c>
      <c r="G4412">
        <v>13.65</v>
      </c>
      <c r="H44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12" t="str">
        <f>IFERROR(INDEX(Raw_orders!G:G, MATCH(shipments[[#This Row],[order_id]],Raw_orders!A:A, 0)), "Unknown")</f>
        <v>Central Europe</v>
      </c>
      <c r="J4412" t="str">
        <f>PROPER(shipments[[#This Row],[delivery_status]])</f>
        <v>Delivered</v>
      </c>
      <c r="K4412" t="s">
        <v>6926</v>
      </c>
    </row>
    <row r="4413" spans="1:11">
      <c r="A4413" t="s">
        <v>11349</v>
      </c>
      <c r="B4413" t="s">
        <v>5059</v>
      </c>
      <c r="C4413" t="s">
        <v>6938</v>
      </c>
      <c r="D4413" s="1">
        <v>45466</v>
      </c>
      <c r="E4413" s="1">
        <v>45468</v>
      </c>
      <c r="F4413" s="1">
        <v>45476</v>
      </c>
      <c r="G4413">
        <v>50.76</v>
      </c>
      <c r="H44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13" t="str">
        <f>IFERROR(INDEX(Raw_orders!G:G, MATCH(shipments[[#This Row],[order_id]],Raw_orders!A:A, 0)), "Unknown")</f>
        <v>Nordics</v>
      </c>
      <c r="J4413" t="str">
        <f>PROPER(shipments[[#This Row],[delivery_status]])</f>
        <v>Delivered</v>
      </c>
      <c r="K4413" t="s">
        <v>6926</v>
      </c>
    </row>
    <row r="4414" spans="1:11">
      <c r="A4414" t="s">
        <v>11350</v>
      </c>
      <c r="B4414" t="s">
        <v>5060</v>
      </c>
      <c r="C4414" t="s">
        <v>6940</v>
      </c>
      <c r="D4414" s="1">
        <v>45133</v>
      </c>
      <c r="E4414" s="1">
        <v>45138</v>
      </c>
      <c r="F4414" s="1">
        <v>45143</v>
      </c>
      <c r="G4414">
        <v>16.420000000000002</v>
      </c>
      <c r="H44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14" t="str">
        <f>IFERROR(INDEX(Raw_orders!G:G, MATCH(shipments[[#This Row],[order_id]],Raw_orders!A:A, 0)), "Unknown")</f>
        <v>Baltics</v>
      </c>
      <c r="J4414" t="str">
        <f>PROPER(shipments[[#This Row],[delivery_status]])</f>
        <v>Delivered</v>
      </c>
      <c r="K4414" t="s">
        <v>6929</v>
      </c>
    </row>
    <row r="4415" spans="1:11">
      <c r="A4415" t="s">
        <v>11351</v>
      </c>
      <c r="B4415" t="s">
        <v>5061</v>
      </c>
      <c r="C4415" t="s">
        <v>6921</v>
      </c>
      <c r="D4415" s="1">
        <v>45305</v>
      </c>
      <c r="E4415" s="1">
        <v>45307</v>
      </c>
      <c r="F4415" s="1">
        <v>45306</v>
      </c>
      <c r="G4415">
        <v>39.979999999999997</v>
      </c>
      <c r="H44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415" t="str">
        <f>IFERROR(INDEX(Raw_orders!G:G, MATCH(shipments[[#This Row],[order_id]],Raw_orders!A:A, 0)), "Unknown")</f>
        <v>Nordics</v>
      </c>
      <c r="J4415" t="str">
        <f>PROPER(shipments[[#This Row],[delivery_status]])</f>
        <v>Delivered</v>
      </c>
      <c r="K4415" t="s">
        <v>6929</v>
      </c>
    </row>
    <row r="4416" spans="1:11">
      <c r="A4416" t="s">
        <v>11352</v>
      </c>
      <c r="B4416" t="s">
        <v>5062</v>
      </c>
      <c r="C4416" t="s">
        <v>6925</v>
      </c>
      <c r="D4416" s="1">
        <v>45484</v>
      </c>
      <c r="E4416" s="1">
        <v>45489</v>
      </c>
      <c r="F4416" s="1"/>
      <c r="G4416">
        <v>32.68</v>
      </c>
      <c r="H44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416" t="str">
        <f>IFERROR(INDEX(Raw_orders!G:G, MATCH(shipments[[#This Row],[order_id]],Raw_orders!A:A, 0)), "Unknown")</f>
        <v>Nordics</v>
      </c>
      <c r="J4416" t="str">
        <f>PROPER(shipments[[#This Row],[delivery_status]])</f>
        <v>In Transit</v>
      </c>
      <c r="K4416" t="s">
        <v>6977</v>
      </c>
    </row>
    <row r="4417" spans="1:11">
      <c r="A4417" t="s">
        <v>11353</v>
      </c>
      <c r="B4417" t="s">
        <v>5062</v>
      </c>
      <c r="C4417" t="s">
        <v>6928</v>
      </c>
      <c r="D4417" s="1">
        <v>45484</v>
      </c>
      <c r="E4417" s="1">
        <v>45487</v>
      </c>
      <c r="F4417" s="1">
        <v>45499</v>
      </c>
      <c r="G4417">
        <v>24.02</v>
      </c>
      <c r="H44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17" t="str">
        <f>IFERROR(INDEX(Raw_orders!G:G, MATCH(shipments[[#This Row],[order_id]],Raw_orders!A:A, 0)), "Unknown")</f>
        <v>Nordics</v>
      </c>
      <c r="J4417" t="str">
        <f>PROPER(shipments[[#This Row],[delivery_status]])</f>
        <v>Delivered</v>
      </c>
      <c r="K4417" t="s">
        <v>6926</v>
      </c>
    </row>
    <row r="4418" spans="1:11">
      <c r="A4418" t="s">
        <v>11354</v>
      </c>
      <c r="B4418" t="s">
        <v>5063</v>
      </c>
      <c r="C4418" t="s">
        <v>6935</v>
      </c>
      <c r="D4418" s="1">
        <v>45428</v>
      </c>
      <c r="E4418" s="1">
        <v>45430</v>
      </c>
      <c r="F4418" s="1">
        <v>45438</v>
      </c>
      <c r="G4418">
        <v>20.6</v>
      </c>
      <c r="H44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18" t="str">
        <f>IFERROR(INDEX(Raw_orders!G:G, MATCH(shipments[[#This Row],[order_id]],Raw_orders!A:A, 0)), "Unknown")</f>
        <v>Central Europe</v>
      </c>
      <c r="J4418" t="str">
        <f>PROPER(shipments[[#This Row],[delivery_status]])</f>
        <v>Delivered</v>
      </c>
      <c r="K4418" t="s">
        <v>6926</v>
      </c>
    </row>
    <row r="4419" spans="1:11">
      <c r="A4419" t="s">
        <v>11355</v>
      </c>
      <c r="B4419" t="s">
        <v>5064</v>
      </c>
      <c r="C4419" t="s">
        <v>6956</v>
      </c>
      <c r="D4419" s="1">
        <v>45302</v>
      </c>
      <c r="E4419" s="1">
        <v>45307</v>
      </c>
      <c r="F4419" s="1">
        <v>45319</v>
      </c>
      <c r="G4419">
        <v>7.42</v>
      </c>
      <c r="H44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19" t="str">
        <f>IFERROR(INDEX(Raw_orders!G:G, MATCH(shipments[[#This Row],[order_id]],Raw_orders!A:A, 0)), "Unknown")</f>
        <v>Central Europe</v>
      </c>
      <c r="J4419" t="str">
        <f>PROPER(shipments[[#This Row],[delivery_status]])</f>
        <v>Delivered</v>
      </c>
      <c r="K4419" t="s">
        <v>6929</v>
      </c>
    </row>
    <row r="4420" spans="1:11">
      <c r="A4420" t="s">
        <v>11356</v>
      </c>
      <c r="B4420" t="s">
        <v>5065</v>
      </c>
      <c r="C4420" t="s">
        <v>6925</v>
      </c>
      <c r="D4420" s="1">
        <v>45032</v>
      </c>
      <c r="E4420" s="1">
        <v>45037</v>
      </c>
      <c r="F4420" s="1"/>
      <c r="G4420">
        <v>54.66</v>
      </c>
      <c r="H44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420" t="str">
        <f>IFERROR(INDEX(Raw_orders!G:G, MATCH(shipments[[#This Row],[order_id]],Raw_orders!A:A, 0)), "Unknown")</f>
        <v>Nordics</v>
      </c>
      <c r="J4420" t="str">
        <f>PROPER(shipments[[#This Row],[delivery_status]])</f>
        <v>In Transit</v>
      </c>
      <c r="K4420" t="s">
        <v>6977</v>
      </c>
    </row>
    <row r="4421" spans="1:11">
      <c r="A4421" t="s">
        <v>11357</v>
      </c>
      <c r="B4421" t="s">
        <v>5065</v>
      </c>
      <c r="C4421" t="s">
        <v>6935</v>
      </c>
      <c r="D4421" s="1">
        <v>45032</v>
      </c>
      <c r="E4421" s="1">
        <v>45039</v>
      </c>
      <c r="F4421" s="1">
        <v>45040</v>
      </c>
      <c r="G4421">
        <v>38.71</v>
      </c>
      <c r="H44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21" t="str">
        <f>IFERROR(INDEX(Raw_orders!G:G, MATCH(shipments[[#This Row],[order_id]],Raw_orders!A:A, 0)), "Unknown")</f>
        <v>Nordics</v>
      </c>
      <c r="J4421" t="str">
        <f>PROPER(shipments[[#This Row],[delivery_status]])</f>
        <v>Delivered</v>
      </c>
      <c r="K4421" t="s">
        <v>6929</v>
      </c>
    </row>
    <row r="4422" spans="1:11">
      <c r="A4422" t="s">
        <v>11358</v>
      </c>
      <c r="B4422" t="s">
        <v>5066</v>
      </c>
      <c r="C4422" t="s">
        <v>6938</v>
      </c>
      <c r="D4422" s="1">
        <v>45580</v>
      </c>
      <c r="E4422" s="1">
        <v>45587</v>
      </c>
      <c r="F4422" s="1">
        <v>45588</v>
      </c>
      <c r="G4422">
        <v>57.65</v>
      </c>
      <c r="H44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22" t="str">
        <f>IFERROR(INDEX(Raw_orders!G:G, MATCH(shipments[[#This Row],[order_id]],Raw_orders!A:A, 0)), "Unknown")</f>
        <v>Central Europe</v>
      </c>
      <c r="J4422" t="str">
        <f>PROPER(shipments[[#This Row],[delivery_status]])</f>
        <v>Delivered</v>
      </c>
      <c r="K4422" t="s">
        <v>6926</v>
      </c>
    </row>
    <row r="4423" spans="1:11">
      <c r="A4423" t="s">
        <v>11359</v>
      </c>
      <c r="B4423" t="s">
        <v>5067</v>
      </c>
      <c r="C4423" t="s">
        <v>6931</v>
      </c>
      <c r="D4423" s="1">
        <v>45302</v>
      </c>
      <c r="E4423" s="1">
        <v>45312</v>
      </c>
      <c r="F4423" s="1"/>
      <c r="G4423">
        <v>63.56</v>
      </c>
      <c r="H44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423" t="str">
        <f>IFERROR(INDEX(Raw_orders!G:G, MATCH(shipments[[#This Row],[order_id]],Raw_orders!A:A, 0)), "Unknown")</f>
        <v>Central Europe</v>
      </c>
      <c r="J4423" t="str">
        <f>PROPER(shipments[[#This Row],[delivery_status]])</f>
        <v>In Transit</v>
      </c>
      <c r="K4423" t="s">
        <v>6977</v>
      </c>
    </row>
    <row r="4424" spans="1:11">
      <c r="A4424" t="s">
        <v>11360</v>
      </c>
      <c r="B4424" t="s">
        <v>5068</v>
      </c>
      <c r="C4424" t="s">
        <v>6935</v>
      </c>
      <c r="D4424" s="1">
        <v>45098</v>
      </c>
      <c r="E4424" s="1">
        <v>45105</v>
      </c>
      <c r="F4424" s="1">
        <v>45110</v>
      </c>
      <c r="G4424">
        <v>38.56</v>
      </c>
      <c r="H44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24" t="str">
        <f>IFERROR(INDEX(Raw_orders!G:G, MATCH(shipments[[#This Row],[order_id]],Raw_orders!A:A, 0)), "Unknown")</f>
        <v>Nordics</v>
      </c>
      <c r="J4424" t="str">
        <f>PROPER(shipments[[#This Row],[delivery_status]])</f>
        <v>Delivered</v>
      </c>
      <c r="K4424" t="s">
        <v>6926</v>
      </c>
    </row>
    <row r="4425" spans="1:11">
      <c r="A4425" t="s">
        <v>11361</v>
      </c>
      <c r="B4425" t="s">
        <v>5069</v>
      </c>
      <c r="C4425" t="s">
        <v>6940</v>
      </c>
      <c r="D4425" s="1">
        <v>45287</v>
      </c>
      <c r="E4425" s="1">
        <v>45297</v>
      </c>
      <c r="F4425" s="1"/>
      <c r="G4425">
        <v>17.62</v>
      </c>
      <c r="H44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425" t="str">
        <f>IFERROR(INDEX(Raw_orders!G:G, MATCH(shipments[[#This Row],[order_id]],Raw_orders!A:A, 0)), "Unknown")</f>
        <v>Central Europe</v>
      </c>
      <c r="J4425" t="str">
        <f>PROPER(shipments[[#This Row],[delivery_status]])</f>
        <v>Cancelled</v>
      </c>
      <c r="K4425" t="s">
        <v>6972</v>
      </c>
    </row>
    <row r="4426" spans="1:11">
      <c r="A4426" t="s">
        <v>11362</v>
      </c>
      <c r="B4426" t="s">
        <v>5070</v>
      </c>
      <c r="C4426" t="s">
        <v>6921</v>
      </c>
      <c r="D4426" s="1">
        <v>45481</v>
      </c>
      <c r="E4426" s="1">
        <v>45484</v>
      </c>
      <c r="F4426" s="1"/>
      <c r="G4426">
        <v>43.64</v>
      </c>
      <c r="H44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426" t="str">
        <f>IFERROR(INDEX(Raw_orders!G:G, MATCH(shipments[[#This Row],[order_id]],Raw_orders!A:A, 0)), "Unknown")</f>
        <v>Central Europe</v>
      </c>
      <c r="J4426" t="str">
        <f>PROPER(shipments[[#This Row],[delivery_status]])</f>
        <v>Cancelled</v>
      </c>
      <c r="K4426" t="s">
        <v>6963</v>
      </c>
    </row>
    <row r="4427" spans="1:11">
      <c r="A4427" t="s">
        <v>11363</v>
      </c>
      <c r="B4427" t="s">
        <v>5071</v>
      </c>
      <c r="C4427" t="s">
        <v>6940</v>
      </c>
      <c r="D4427" s="1">
        <v>45510</v>
      </c>
      <c r="E4427" s="1">
        <v>45515</v>
      </c>
      <c r="F4427" s="1">
        <v>45523</v>
      </c>
      <c r="G4427">
        <v>25.81</v>
      </c>
      <c r="H44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27" t="str">
        <f>IFERROR(INDEX(Raw_orders!G:G, MATCH(shipments[[#This Row],[order_id]],Raw_orders!A:A, 0)), "Unknown")</f>
        <v>Nordics</v>
      </c>
      <c r="J4427" t="str">
        <f>PROPER(shipments[[#This Row],[delivery_status]])</f>
        <v>Delivered</v>
      </c>
      <c r="K4427" t="s">
        <v>6922</v>
      </c>
    </row>
    <row r="4428" spans="1:11">
      <c r="A4428" t="s">
        <v>11364</v>
      </c>
      <c r="B4428" t="s">
        <v>5072</v>
      </c>
      <c r="C4428" t="s">
        <v>6935</v>
      </c>
      <c r="D4428" s="1">
        <v>45462</v>
      </c>
      <c r="E4428" s="1">
        <v>45464</v>
      </c>
      <c r="F4428" s="1">
        <v>45466</v>
      </c>
      <c r="G4428">
        <v>19.059999999999999</v>
      </c>
      <c r="H44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28" t="str">
        <f>IFERROR(INDEX(Raw_orders!G:G, MATCH(shipments[[#This Row],[order_id]],Raw_orders!A:A, 0)), "Unknown")</f>
        <v>Central Europe</v>
      </c>
      <c r="J4428" t="str">
        <f>PROPER(shipments[[#This Row],[delivery_status]])</f>
        <v>Delivered</v>
      </c>
      <c r="K4428" t="s">
        <v>6926</v>
      </c>
    </row>
    <row r="4429" spans="1:11">
      <c r="A4429" t="s">
        <v>11365</v>
      </c>
      <c r="B4429" t="s">
        <v>5073</v>
      </c>
      <c r="C4429" t="s">
        <v>6925</v>
      </c>
      <c r="D4429" s="1">
        <v>45002</v>
      </c>
      <c r="E4429" s="1">
        <v>45005</v>
      </c>
      <c r="F4429" s="1">
        <v>45006</v>
      </c>
      <c r="G4429">
        <v>51.75</v>
      </c>
      <c r="H44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29" t="str">
        <f>IFERROR(INDEX(Raw_orders!G:G, MATCH(shipments[[#This Row],[order_id]],Raw_orders!A:A, 0)), "Unknown")</f>
        <v>Baltics</v>
      </c>
      <c r="J4429" t="str">
        <f>PROPER(shipments[[#This Row],[delivery_status]])</f>
        <v>Delivered</v>
      </c>
      <c r="K4429" t="s">
        <v>6922</v>
      </c>
    </row>
    <row r="4430" spans="1:11">
      <c r="A4430" t="s">
        <v>11366</v>
      </c>
      <c r="B4430" t="s">
        <v>5074</v>
      </c>
      <c r="C4430" t="s">
        <v>6940</v>
      </c>
      <c r="D4430" s="1">
        <v>45565</v>
      </c>
      <c r="E4430" s="1">
        <v>45567</v>
      </c>
      <c r="F4430" s="1">
        <v>45572</v>
      </c>
      <c r="G4430">
        <v>60.84</v>
      </c>
      <c r="H44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30" t="str">
        <f>IFERROR(INDEX(Raw_orders!G:G, MATCH(shipments[[#This Row],[order_id]],Raw_orders!A:A, 0)), "Unknown")</f>
        <v>Nordics</v>
      </c>
      <c r="J4430" t="str">
        <f>PROPER(shipments[[#This Row],[delivery_status]])</f>
        <v>Delivered</v>
      </c>
      <c r="K4430" t="s">
        <v>6929</v>
      </c>
    </row>
    <row r="4431" spans="1:11">
      <c r="A4431" t="s">
        <v>11367</v>
      </c>
      <c r="B4431" t="s">
        <v>5075</v>
      </c>
      <c r="C4431" t="s">
        <v>6928</v>
      </c>
      <c r="D4431" s="1">
        <v>45255</v>
      </c>
      <c r="E4431" s="1">
        <v>45260</v>
      </c>
      <c r="F4431" s="1">
        <v>45268</v>
      </c>
      <c r="G4431">
        <v>21.89</v>
      </c>
      <c r="H44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31" t="str">
        <f>IFERROR(INDEX(Raw_orders!G:G, MATCH(shipments[[#This Row],[order_id]],Raw_orders!A:A, 0)), "Unknown")</f>
        <v>Central Europe</v>
      </c>
      <c r="J4431" t="str">
        <f>PROPER(shipments[[#This Row],[delivery_status]])</f>
        <v>Delivered</v>
      </c>
      <c r="K4431" t="s">
        <v>6922</v>
      </c>
    </row>
    <row r="4432" spans="1:11">
      <c r="A4432" t="s">
        <v>11368</v>
      </c>
      <c r="B4432" t="s">
        <v>5076</v>
      </c>
      <c r="C4432" t="s">
        <v>6921</v>
      </c>
      <c r="D4432" s="1">
        <v>45376</v>
      </c>
      <c r="E4432" s="1">
        <v>45386</v>
      </c>
      <c r="F4432" s="1">
        <v>45385</v>
      </c>
      <c r="G4432">
        <v>48.72</v>
      </c>
      <c r="H44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432" t="str">
        <f>IFERROR(INDEX(Raw_orders!G:G, MATCH(shipments[[#This Row],[order_id]],Raw_orders!A:A, 0)), "Unknown")</f>
        <v>Baltics</v>
      </c>
      <c r="J4432" t="str">
        <f>PROPER(shipments[[#This Row],[delivery_status]])</f>
        <v>Delivered</v>
      </c>
      <c r="K4432" t="s">
        <v>6922</v>
      </c>
    </row>
    <row r="4433" spans="1:11">
      <c r="A4433" t="s">
        <v>11369</v>
      </c>
      <c r="B4433" t="s">
        <v>5077</v>
      </c>
      <c r="C4433" t="s">
        <v>6940</v>
      </c>
      <c r="D4433" s="1">
        <v>45502</v>
      </c>
      <c r="E4433" s="1">
        <v>45507</v>
      </c>
      <c r="F4433" s="1">
        <v>45519</v>
      </c>
      <c r="G4433">
        <v>41.26</v>
      </c>
      <c r="H44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33" t="str">
        <f>IFERROR(INDEX(Raw_orders!G:G, MATCH(shipments[[#This Row],[order_id]],Raw_orders!A:A, 0)), "Unknown")</f>
        <v>Nordics</v>
      </c>
      <c r="J4433" t="str">
        <f>PROPER(shipments[[#This Row],[delivery_status]])</f>
        <v>Delivered</v>
      </c>
      <c r="K4433" t="s">
        <v>6922</v>
      </c>
    </row>
    <row r="4434" spans="1:11">
      <c r="A4434" t="s">
        <v>11370</v>
      </c>
      <c r="B4434" t="s">
        <v>5078</v>
      </c>
      <c r="C4434" t="s">
        <v>6921</v>
      </c>
      <c r="D4434" s="1">
        <v>45243</v>
      </c>
      <c r="E4434" s="1">
        <v>45245</v>
      </c>
      <c r="F4434" s="1">
        <v>45247</v>
      </c>
      <c r="G4434">
        <v>47.89</v>
      </c>
      <c r="H44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34" t="str">
        <f>IFERROR(INDEX(Raw_orders!G:G, MATCH(shipments[[#This Row],[order_id]],Raw_orders!A:A, 0)), "Unknown")</f>
        <v>Baltics</v>
      </c>
      <c r="J4434" t="str">
        <f>PROPER(shipments[[#This Row],[delivery_status]])</f>
        <v>Delivered</v>
      </c>
      <c r="K4434" t="s">
        <v>6922</v>
      </c>
    </row>
    <row r="4435" spans="1:11">
      <c r="A4435" t="s">
        <v>11371</v>
      </c>
      <c r="B4435" t="s">
        <v>5079</v>
      </c>
      <c r="C4435" t="s">
        <v>6956</v>
      </c>
      <c r="D4435" s="1">
        <v>45261</v>
      </c>
      <c r="E4435" s="1">
        <v>45271</v>
      </c>
      <c r="F4435" s="1">
        <v>45279</v>
      </c>
      <c r="G4435">
        <v>34.880000000000003</v>
      </c>
      <c r="H44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35" t="str">
        <f>IFERROR(INDEX(Raw_orders!G:G, MATCH(shipments[[#This Row],[order_id]],Raw_orders!A:A, 0)), "Unknown")</f>
        <v>Baltics</v>
      </c>
      <c r="J4435" t="str">
        <f>PROPER(shipments[[#This Row],[delivery_status]])</f>
        <v>Delivered</v>
      </c>
      <c r="K4435" t="s">
        <v>6922</v>
      </c>
    </row>
    <row r="4436" spans="1:11">
      <c r="A4436" t="s">
        <v>11372</v>
      </c>
      <c r="B4436" t="s">
        <v>5080</v>
      </c>
      <c r="C4436" t="s">
        <v>6931</v>
      </c>
      <c r="D4436" s="1">
        <v>45365</v>
      </c>
      <c r="E4436" s="1">
        <v>45372</v>
      </c>
      <c r="F4436" s="1">
        <v>45380</v>
      </c>
      <c r="G4436">
        <v>23.04</v>
      </c>
      <c r="H44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36" t="str">
        <f>IFERROR(INDEX(Raw_orders!G:G, MATCH(shipments[[#This Row],[order_id]],Raw_orders!A:A, 0)), "Unknown")</f>
        <v>Central Europe</v>
      </c>
      <c r="J4436" t="str">
        <f>PROPER(shipments[[#This Row],[delivery_status]])</f>
        <v>Delivered</v>
      </c>
      <c r="K4436" t="s">
        <v>6929</v>
      </c>
    </row>
    <row r="4437" spans="1:11">
      <c r="A4437" t="s">
        <v>11373</v>
      </c>
      <c r="B4437" t="s">
        <v>5081</v>
      </c>
      <c r="C4437" t="s">
        <v>6956</v>
      </c>
      <c r="D4437" s="1">
        <v>45526</v>
      </c>
      <c r="E4437" s="1">
        <v>45533</v>
      </c>
      <c r="F4437" s="1">
        <v>45534</v>
      </c>
      <c r="G4437">
        <v>13.18</v>
      </c>
      <c r="H44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37" t="str">
        <f>IFERROR(INDEX(Raw_orders!G:G, MATCH(shipments[[#This Row],[order_id]],Raw_orders!A:A, 0)), "Unknown")</f>
        <v>Baltics</v>
      </c>
      <c r="J4437" t="str">
        <f>PROPER(shipments[[#This Row],[delivery_status]])</f>
        <v>Delivered</v>
      </c>
      <c r="K4437" t="s">
        <v>6922</v>
      </c>
    </row>
    <row r="4438" spans="1:11">
      <c r="A4438" t="s">
        <v>11374</v>
      </c>
      <c r="B4438" t="s">
        <v>5082</v>
      </c>
      <c r="C4438" t="s">
        <v>6925</v>
      </c>
      <c r="D4438" s="1">
        <v>45625</v>
      </c>
      <c r="E4438" s="1">
        <v>45628</v>
      </c>
      <c r="F4438" s="1">
        <v>45631</v>
      </c>
      <c r="G4438">
        <v>11.78</v>
      </c>
      <c r="H44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38" t="str">
        <f>IFERROR(INDEX(Raw_orders!G:G, MATCH(shipments[[#This Row],[order_id]],Raw_orders!A:A, 0)), "Unknown")</f>
        <v>Central Europe</v>
      </c>
      <c r="J4438" t="str">
        <f>PROPER(shipments[[#This Row],[delivery_status]])</f>
        <v>Delivered</v>
      </c>
      <c r="K4438" t="s">
        <v>6929</v>
      </c>
    </row>
    <row r="4439" spans="1:11">
      <c r="A4439" t="s">
        <v>11375</v>
      </c>
      <c r="B4439" t="s">
        <v>5083</v>
      </c>
      <c r="C4439" t="s">
        <v>6931</v>
      </c>
      <c r="D4439" s="1">
        <v>44999</v>
      </c>
      <c r="E4439" s="1">
        <v>45006</v>
      </c>
      <c r="F4439" s="1">
        <v>45009</v>
      </c>
      <c r="G4439">
        <v>50.07</v>
      </c>
      <c r="H44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39" t="str">
        <f>IFERROR(INDEX(Raw_orders!G:G, MATCH(shipments[[#This Row],[order_id]],Raw_orders!A:A, 0)), "Unknown")</f>
        <v>Central Europe</v>
      </c>
      <c r="J4439" t="str">
        <f>PROPER(shipments[[#This Row],[delivery_status]])</f>
        <v>Delivered</v>
      </c>
      <c r="K4439" t="s">
        <v>6926</v>
      </c>
    </row>
    <row r="4440" spans="1:11">
      <c r="A4440" t="s">
        <v>11376</v>
      </c>
      <c r="B4440" t="s">
        <v>5084</v>
      </c>
      <c r="C4440" t="s">
        <v>6940</v>
      </c>
      <c r="D4440" s="1">
        <v>45538</v>
      </c>
      <c r="E4440" s="1">
        <v>45545</v>
      </c>
      <c r="F4440" s="1">
        <v>45546</v>
      </c>
      <c r="G4440">
        <v>56.2</v>
      </c>
      <c r="H44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40" t="str">
        <f>IFERROR(INDEX(Raw_orders!G:G, MATCH(shipments[[#This Row],[order_id]],Raw_orders!A:A, 0)), "Unknown")</f>
        <v>Nordics</v>
      </c>
      <c r="J4440" t="str">
        <f>PROPER(shipments[[#This Row],[delivery_status]])</f>
        <v>Delivered</v>
      </c>
      <c r="K4440" t="s">
        <v>6926</v>
      </c>
    </row>
    <row r="4441" spans="1:11">
      <c r="A4441" t="s">
        <v>11377</v>
      </c>
      <c r="B4441" t="s">
        <v>5085</v>
      </c>
      <c r="C4441" t="s">
        <v>6925</v>
      </c>
      <c r="D4441" s="1">
        <v>45578</v>
      </c>
      <c r="E4441" s="1">
        <v>45583</v>
      </c>
      <c r="F4441" s="1">
        <v>45583</v>
      </c>
      <c r="G4441">
        <v>23.92</v>
      </c>
      <c r="H44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441" t="str">
        <f>IFERROR(INDEX(Raw_orders!G:G, MATCH(shipments[[#This Row],[order_id]],Raw_orders!A:A, 0)), "Unknown")</f>
        <v>Central Europe</v>
      </c>
      <c r="J4441" t="str">
        <f>PROPER(shipments[[#This Row],[delivery_status]])</f>
        <v>Delivered</v>
      </c>
      <c r="K4441" t="s">
        <v>6929</v>
      </c>
    </row>
    <row r="4442" spans="1:11">
      <c r="A4442" t="s">
        <v>11378</v>
      </c>
      <c r="B4442" t="s">
        <v>5086</v>
      </c>
      <c r="C4442" t="s">
        <v>6956</v>
      </c>
      <c r="D4442" s="1">
        <v>45137</v>
      </c>
      <c r="E4442" s="1">
        <v>45139</v>
      </c>
      <c r="F4442" s="1"/>
      <c r="G4442">
        <v>49.48</v>
      </c>
      <c r="H44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442" t="str">
        <f>IFERROR(INDEX(Raw_orders!G:G, MATCH(shipments[[#This Row],[order_id]],Raw_orders!A:A, 0)), "Unknown")</f>
        <v>Central Europe</v>
      </c>
      <c r="J4442" t="str">
        <f>PROPER(shipments[[#This Row],[delivery_status]])</f>
        <v>In Transit</v>
      </c>
      <c r="K4442" t="s">
        <v>6958</v>
      </c>
    </row>
    <row r="4443" spans="1:11">
      <c r="A4443" t="s">
        <v>11379</v>
      </c>
      <c r="B4443" t="s">
        <v>5087</v>
      </c>
      <c r="C4443" t="s">
        <v>6935</v>
      </c>
      <c r="D4443" s="1">
        <v>44932</v>
      </c>
      <c r="E4443" s="1">
        <v>44942</v>
      </c>
      <c r="F4443" s="1">
        <v>44945</v>
      </c>
      <c r="G4443">
        <v>33.799999999999997</v>
      </c>
      <c r="H44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43" t="str">
        <f>IFERROR(INDEX(Raw_orders!G:G, MATCH(shipments[[#This Row],[order_id]],Raw_orders!A:A, 0)), "Unknown")</f>
        <v>Baltics</v>
      </c>
      <c r="J4443" t="str">
        <f>PROPER(shipments[[#This Row],[delivery_status]])</f>
        <v>Delivered</v>
      </c>
      <c r="K4443" t="s">
        <v>6922</v>
      </c>
    </row>
    <row r="4444" spans="1:11">
      <c r="A4444" t="s">
        <v>11380</v>
      </c>
      <c r="B4444" t="s">
        <v>5088</v>
      </c>
      <c r="C4444" t="s">
        <v>6956</v>
      </c>
      <c r="D4444" s="1">
        <v>45588</v>
      </c>
      <c r="E4444" s="1">
        <v>45595</v>
      </c>
      <c r="F4444" s="1">
        <v>45600</v>
      </c>
      <c r="G4444">
        <v>13.41</v>
      </c>
      <c r="H44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44" t="str">
        <f>IFERROR(INDEX(Raw_orders!G:G, MATCH(shipments[[#This Row],[order_id]],Raw_orders!A:A, 0)), "Unknown")</f>
        <v>Central Europe</v>
      </c>
      <c r="J4444" t="str">
        <f>PROPER(shipments[[#This Row],[delivery_status]])</f>
        <v>Delivered</v>
      </c>
      <c r="K4444" t="s">
        <v>6926</v>
      </c>
    </row>
    <row r="4445" spans="1:11">
      <c r="A4445" t="s">
        <v>11381</v>
      </c>
      <c r="B4445" t="s">
        <v>5089</v>
      </c>
      <c r="C4445" t="s">
        <v>6956</v>
      </c>
      <c r="D4445" s="1">
        <v>45197</v>
      </c>
      <c r="E4445" s="1">
        <v>45202</v>
      </c>
      <c r="F4445" s="1">
        <v>45201</v>
      </c>
      <c r="G4445">
        <v>61.39</v>
      </c>
      <c r="H44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445" t="str">
        <f>IFERROR(INDEX(Raw_orders!G:G, MATCH(shipments[[#This Row],[order_id]],Raw_orders!A:A, 0)), "Unknown")</f>
        <v>Baltics</v>
      </c>
      <c r="J4445" t="str">
        <f>PROPER(shipments[[#This Row],[delivery_status]])</f>
        <v>Delivered</v>
      </c>
      <c r="K4445" t="s">
        <v>6929</v>
      </c>
    </row>
    <row r="4446" spans="1:11">
      <c r="A4446" t="s">
        <v>11382</v>
      </c>
      <c r="B4446" t="s">
        <v>5090</v>
      </c>
      <c r="C4446" t="s">
        <v>6928</v>
      </c>
      <c r="D4446" s="1">
        <v>45034</v>
      </c>
      <c r="E4446" s="1">
        <v>45036</v>
      </c>
      <c r="F4446" s="1">
        <v>45036</v>
      </c>
      <c r="G4446">
        <v>30.2</v>
      </c>
      <c r="H44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446" t="str">
        <f>IFERROR(INDEX(Raw_orders!G:G, MATCH(shipments[[#This Row],[order_id]],Raw_orders!A:A, 0)), "Unknown")</f>
        <v>Baltics</v>
      </c>
      <c r="J4446" t="str">
        <f>PROPER(shipments[[#This Row],[delivery_status]])</f>
        <v>Delivered</v>
      </c>
      <c r="K4446" t="s">
        <v>6926</v>
      </c>
    </row>
    <row r="4447" spans="1:11">
      <c r="A4447" t="s">
        <v>11383</v>
      </c>
      <c r="B4447" t="s">
        <v>5091</v>
      </c>
      <c r="C4447" t="s">
        <v>6928</v>
      </c>
      <c r="D4447" s="1">
        <v>45105</v>
      </c>
      <c r="E4447" s="1">
        <v>45110</v>
      </c>
      <c r="F4447" s="1">
        <v>45115</v>
      </c>
      <c r="G4447">
        <v>21.75</v>
      </c>
      <c r="H44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47" t="str">
        <f>IFERROR(INDEX(Raw_orders!G:G, MATCH(shipments[[#This Row],[order_id]],Raw_orders!A:A, 0)), "Unknown")</f>
        <v>Baltics</v>
      </c>
      <c r="J4447" t="str">
        <f>PROPER(shipments[[#This Row],[delivery_status]])</f>
        <v>Delivered</v>
      </c>
      <c r="K4447" t="s">
        <v>6929</v>
      </c>
    </row>
    <row r="4448" spans="1:11">
      <c r="A4448" t="s">
        <v>11384</v>
      </c>
      <c r="B4448" t="s">
        <v>5092</v>
      </c>
      <c r="C4448" t="s">
        <v>6928</v>
      </c>
      <c r="D4448" s="1">
        <v>44949</v>
      </c>
      <c r="E4448" s="1">
        <v>44951</v>
      </c>
      <c r="F4448" s="1"/>
      <c r="G4448">
        <v>20.34</v>
      </c>
      <c r="H44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448" t="str">
        <f>IFERROR(INDEX(Raw_orders!G:G, MATCH(shipments[[#This Row],[order_id]],Raw_orders!A:A, 0)), "Unknown")</f>
        <v>Baltics</v>
      </c>
      <c r="J4448" t="str">
        <f>PROPER(shipments[[#This Row],[delivery_status]])</f>
        <v>In Transit</v>
      </c>
      <c r="K4448" t="s">
        <v>6946</v>
      </c>
    </row>
    <row r="4449" spans="1:11">
      <c r="A4449" t="s">
        <v>11385</v>
      </c>
      <c r="B4449" t="s">
        <v>5092</v>
      </c>
      <c r="C4449" t="s">
        <v>6935</v>
      </c>
      <c r="D4449" s="1">
        <v>44951</v>
      </c>
      <c r="E4449" s="1">
        <v>44961</v>
      </c>
      <c r="F4449" s="1">
        <v>44960</v>
      </c>
      <c r="G4449">
        <v>61.64</v>
      </c>
      <c r="H44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449" t="str">
        <f>IFERROR(INDEX(Raw_orders!G:G, MATCH(shipments[[#This Row],[order_id]],Raw_orders!A:A, 0)), "Unknown")</f>
        <v>Baltics</v>
      </c>
      <c r="J4449" t="str">
        <f>PROPER(shipments[[#This Row],[delivery_status]])</f>
        <v>Delivered</v>
      </c>
      <c r="K4449" t="s">
        <v>6922</v>
      </c>
    </row>
    <row r="4450" spans="1:11">
      <c r="A4450" t="s">
        <v>11386</v>
      </c>
      <c r="B4450" t="s">
        <v>5093</v>
      </c>
      <c r="C4450" t="s">
        <v>6940</v>
      </c>
      <c r="D4450" s="1">
        <v>45571</v>
      </c>
      <c r="E4450" s="1">
        <v>45578</v>
      </c>
      <c r="F4450" s="1">
        <v>45581</v>
      </c>
      <c r="G4450">
        <v>34.020000000000003</v>
      </c>
      <c r="H44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50" t="str">
        <f>IFERROR(INDEX(Raw_orders!G:G, MATCH(shipments[[#This Row],[order_id]],Raw_orders!A:A, 0)), "Unknown")</f>
        <v>Nordics</v>
      </c>
      <c r="J4450" t="str">
        <f>PROPER(shipments[[#This Row],[delivery_status]])</f>
        <v>Delivered</v>
      </c>
      <c r="K4450" t="s">
        <v>6929</v>
      </c>
    </row>
    <row r="4451" spans="1:11">
      <c r="A4451" t="s">
        <v>11387</v>
      </c>
      <c r="B4451" t="s">
        <v>5094</v>
      </c>
      <c r="C4451" t="s">
        <v>6940</v>
      </c>
      <c r="D4451" s="1">
        <v>45227</v>
      </c>
      <c r="E4451" s="1">
        <v>45232</v>
      </c>
      <c r="F4451" s="1">
        <v>45235</v>
      </c>
      <c r="G4451">
        <v>10.130000000000001</v>
      </c>
      <c r="H44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51" t="str">
        <f>IFERROR(INDEX(Raw_orders!G:G, MATCH(shipments[[#This Row],[order_id]],Raw_orders!A:A, 0)), "Unknown")</f>
        <v>Nordics</v>
      </c>
      <c r="J4451" t="str">
        <f>PROPER(shipments[[#This Row],[delivery_status]])</f>
        <v>Delivered</v>
      </c>
      <c r="K4451" t="s">
        <v>6929</v>
      </c>
    </row>
    <row r="4452" spans="1:11">
      <c r="A4452" t="s">
        <v>11388</v>
      </c>
      <c r="B4452" t="s">
        <v>5095</v>
      </c>
      <c r="C4452" t="s">
        <v>6940</v>
      </c>
      <c r="D4452" s="1">
        <v>45052</v>
      </c>
      <c r="E4452" s="1">
        <v>45054</v>
      </c>
      <c r="F4452" s="1">
        <v>45062</v>
      </c>
      <c r="G4452">
        <v>53.44</v>
      </c>
      <c r="H44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52" t="str">
        <f>IFERROR(INDEX(Raw_orders!G:G, MATCH(shipments[[#This Row],[order_id]],Raw_orders!A:A, 0)), "Unknown")</f>
        <v>Central Europe</v>
      </c>
      <c r="J4452" t="str">
        <f>PROPER(shipments[[#This Row],[delivery_status]])</f>
        <v>Delivered</v>
      </c>
      <c r="K4452" t="s">
        <v>6926</v>
      </c>
    </row>
    <row r="4453" spans="1:11">
      <c r="A4453" t="s">
        <v>11389</v>
      </c>
      <c r="B4453" t="s">
        <v>5096</v>
      </c>
      <c r="C4453" t="s">
        <v>6956</v>
      </c>
      <c r="D4453" s="1">
        <v>45232</v>
      </c>
      <c r="E4453" s="1">
        <v>45237</v>
      </c>
      <c r="F4453" s="1"/>
      <c r="G4453">
        <v>51.4</v>
      </c>
      <c r="H44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453" t="str">
        <f>IFERROR(INDEX(Raw_orders!G:G, MATCH(shipments[[#This Row],[order_id]],Raw_orders!A:A, 0)), "Unknown")</f>
        <v>Nordics</v>
      </c>
      <c r="J4453" t="str">
        <f>PROPER(shipments[[#This Row],[delivery_status]])</f>
        <v>In Transit</v>
      </c>
      <c r="K4453" t="s">
        <v>6977</v>
      </c>
    </row>
    <row r="4454" spans="1:11">
      <c r="A4454" t="s">
        <v>11390</v>
      </c>
      <c r="B4454" t="s">
        <v>5097</v>
      </c>
      <c r="C4454" t="s">
        <v>6940</v>
      </c>
      <c r="D4454" s="1">
        <v>45093</v>
      </c>
      <c r="E4454" s="1">
        <v>45103</v>
      </c>
      <c r="F4454" s="1">
        <v>45111</v>
      </c>
      <c r="G4454">
        <v>58.31</v>
      </c>
      <c r="H44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54" t="str">
        <f>IFERROR(INDEX(Raw_orders!G:G, MATCH(shipments[[#This Row],[order_id]],Raw_orders!A:A, 0)), "Unknown")</f>
        <v>Central Europe</v>
      </c>
      <c r="J4454" t="str">
        <f>PROPER(shipments[[#This Row],[delivery_status]])</f>
        <v>Delivered</v>
      </c>
      <c r="K4454" t="s">
        <v>6926</v>
      </c>
    </row>
    <row r="4455" spans="1:11">
      <c r="A4455" t="s">
        <v>11391</v>
      </c>
      <c r="B4455" t="s">
        <v>5098</v>
      </c>
      <c r="C4455" t="s">
        <v>6921</v>
      </c>
      <c r="D4455" s="1">
        <v>44935</v>
      </c>
      <c r="E4455" s="1">
        <v>44945</v>
      </c>
      <c r="F4455" s="1">
        <v>44956</v>
      </c>
      <c r="G4455">
        <v>49.65</v>
      </c>
      <c r="H44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55" t="str">
        <f>IFERROR(INDEX(Raw_orders!G:G, MATCH(shipments[[#This Row],[order_id]],Raw_orders!A:A, 0)), "Unknown")</f>
        <v>Nordics</v>
      </c>
      <c r="J4455" t="str">
        <f>PROPER(shipments[[#This Row],[delivery_status]])</f>
        <v>Delivered</v>
      </c>
      <c r="K4455" t="s">
        <v>6929</v>
      </c>
    </row>
    <row r="4456" spans="1:11">
      <c r="A4456" t="s">
        <v>11392</v>
      </c>
      <c r="B4456" t="s">
        <v>5099</v>
      </c>
      <c r="C4456" t="s">
        <v>6931</v>
      </c>
      <c r="D4456" s="1">
        <v>45458</v>
      </c>
      <c r="E4456" s="1">
        <v>45468</v>
      </c>
      <c r="F4456" s="1">
        <v>45476</v>
      </c>
      <c r="G4456">
        <v>59.88</v>
      </c>
      <c r="H44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56" t="str">
        <f>IFERROR(INDEX(Raw_orders!G:G, MATCH(shipments[[#This Row],[order_id]],Raw_orders!A:A, 0)), "Unknown")</f>
        <v>Baltics</v>
      </c>
      <c r="J4456" t="str">
        <f>PROPER(shipments[[#This Row],[delivery_status]])</f>
        <v>Delivered</v>
      </c>
      <c r="K4456" t="s">
        <v>6922</v>
      </c>
    </row>
    <row r="4457" spans="1:11">
      <c r="A4457" t="s">
        <v>11393</v>
      </c>
      <c r="B4457" t="s">
        <v>5100</v>
      </c>
      <c r="C4457" t="s">
        <v>6925</v>
      </c>
      <c r="D4457" s="1">
        <v>45074</v>
      </c>
      <c r="E4457" s="1">
        <v>45081</v>
      </c>
      <c r="F4457" s="1">
        <v>45095</v>
      </c>
      <c r="G4457">
        <v>33.83</v>
      </c>
      <c r="H44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57" t="str">
        <f>IFERROR(INDEX(Raw_orders!G:G, MATCH(shipments[[#This Row],[order_id]],Raw_orders!A:A, 0)), "Unknown")</f>
        <v>Baltics</v>
      </c>
      <c r="J4457" t="str">
        <f>PROPER(shipments[[#This Row],[delivery_status]])</f>
        <v>Delivered</v>
      </c>
      <c r="K4457" t="s">
        <v>6922</v>
      </c>
    </row>
    <row r="4458" spans="1:11">
      <c r="A4458" t="s">
        <v>11394</v>
      </c>
      <c r="B4458" t="s">
        <v>5101</v>
      </c>
      <c r="C4458" t="s">
        <v>6940</v>
      </c>
      <c r="D4458" s="1">
        <v>45396</v>
      </c>
      <c r="E4458" s="1">
        <v>45399</v>
      </c>
      <c r="F4458" s="1">
        <v>45399</v>
      </c>
      <c r="G4458">
        <v>29.35</v>
      </c>
      <c r="H44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458" t="str">
        <f>IFERROR(INDEX(Raw_orders!G:G, MATCH(shipments[[#This Row],[order_id]],Raw_orders!A:A, 0)), "Unknown")</f>
        <v>Central Europe</v>
      </c>
      <c r="J4458" t="str">
        <f>PROPER(shipments[[#This Row],[delivery_status]])</f>
        <v>Delivered</v>
      </c>
      <c r="K4458" t="s">
        <v>6926</v>
      </c>
    </row>
    <row r="4459" spans="1:11">
      <c r="A4459" t="s">
        <v>11395</v>
      </c>
      <c r="B4459" t="s">
        <v>5102</v>
      </c>
      <c r="C4459" t="s">
        <v>6940</v>
      </c>
      <c r="D4459" s="1">
        <v>45547</v>
      </c>
      <c r="E4459" s="1">
        <v>45557</v>
      </c>
      <c r="F4459" s="1">
        <v>45556</v>
      </c>
      <c r="G4459">
        <v>23.23</v>
      </c>
      <c r="H44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459" t="str">
        <f>IFERROR(INDEX(Raw_orders!G:G, MATCH(shipments[[#This Row],[order_id]],Raw_orders!A:A, 0)), "Unknown")</f>
        <v>Baltics</v>
      </c>
      <c r="J4459" t="str">
        <f>PROPER(shipments[[#This Row],[delivery_status]])</f>
        <v>Delivered</v>
      </c>
      <c r="K4459" t="s">
        <v>6922</v>
      </c>
    </row>
    <row r="4460" spans="1:11">
      <c r="A4460" t="s">
        <v>11396</v>
      </c>
      <c r="B4460" t="s">
        <v>5103</v>
      </c>
      <c r="C4460" t="s">
        <v>6928</v>
      </c>
      <c r="D4460" s="1">
        <v>45281</v>
      </c>
      <c r="E4460" s="1">
        <v>45283</v>
      </c>
      <c r="F4460" s="1">
        <v>45288</v>
      </c>
      <c r="G4460">
        <v>6.38</v>
      </c>
      <c r="H44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60" t="str">
        <f>IFERROR(INDEX(Raw_orders!G:G, MATCH(shipments[[#This Row],[order_id]],Raw_orders!A:A, 0)), "Unknown")</f>
        <v>Nordics</v>
      </c>
      <c r="J4460" t="str">
        <f>PROPER(shipments[[#This Row],[delivery_status]])</f>
        <v>Delivered</v>
      </c>
      <c r="K4460" t="s">
        <v>6922</v>
      </c>
    </row>
    <row r="4461" spans="1:11">
      <c r="A4461" t="s">
        <v>11397</v>
      </c>
      <c r="B4461" t="s">
        <v>5104</v>
      </c>
      <c r="C4461" t="s">
        <v>6956</v>
      </c>
      <c r="D4461" s="1">
        <v>45147</v>
      </c>
      <c r="E4461" s="1">
        <v>45152</v>
      </c>
      <c r="F4461" s="1">
        <v>45152</v>
      </c>
      <c r="G4461">
        <v>33.549999999999997</v>
      </c>
      <c r="H44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461" t="str">
        <f>IFERROR(INDEX(Raw_orders!G:G, MATCH(shipments[[#This Row],[order_id]],Raw_orders!A:A, 0)), "Unknown")</f>
        <v>Unknown</v>
      </c>
      <c r="J4461" t="str">
        <f>PROPER(shipments[[#This Row],[delivery_status]])</f>
        <v>Delivered</v>
      </c>
      <c r="K4461" t="s">
        <v>6926</v>
      </c>
    </row>
    <row r="4462" spans="1:11">
      <c r="A4462" t="s">
        <v>11398</v>
      </c>
      <c r="B4462" t="s">
        <v>5105</v>
      </c>
      <c r="C4462" t="s">
        <v>6938</v>
      </c>
      <c r="D4462" s="1">
        <v>45361</v>
      </c>
      <c r="E4462" s="1">
        <v>45368</v>
      </c>
      <c r="F4462" s="1">
        <v>45371</v>
      </c>
      <c r="G4462">
        <v>26.2</v>
      </c>
      <c r="H44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62" t="str">
        <f>IFERROR(INDEX(Raw_orders!G:G, MATCH(shipments[[#This Row],[order_id]],Raw_orders!A:A, 0)), "Unknown")</f>
        <v>Nordics</v>
      </c>
      <c r="J4462" t="str">
        <f>PROPER(shipments[[#This Row],[delivery_status]])</f>
        <v>Delivered</v>
      </c>
      <c r="K4462" t="s">
        <v>6926</v>
      </c>
    </row>
    <row r="4463" spans="1:11">
      <c r="A4463" t="s">
        <v>11399</v>
      </c>
      <c r="B4463" t="s">
        <v>5106</v>
      </c>
      <c r="C4463" t="s">
        <v>6940</v>
      </c>
      <c r="D4463" s="1">
        <v>44988</v>
      </c>
      <c r="E4463" s="1">
        <v>44991</v>
      </c>
      <c r="F4463" s="1">
        <v>44990</v>
      </c>
      <c r="G4463">
        <v>58.76</v>
      </c>
      <c r="H44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463" t="str">
        <f>IFERROR(INDEX(Raw_orders!G:G, MATCH(shipments[[#This Row],[order_id]],Raw_orders!A:A, 0)), "Unknown")</f>
        <v>Central Europe</v>
      </c>
      <c r="J4463" t="str">
        <f>PROPER(shipments[[#This Row],[delivery_status]])</f>
        <v>Delivered</v>
      </c>
      <c r="K4463" t="s">
        <v>6926</v>
      </c>
    </row>
    <row r="4464" spans="1:11">
      <c r="A4464" t="s">
        <v>11400</v>
      </c>
      <c r="B4464" t="s">
        <v>5107</v>
      </c>
      <c r="C4464" t="s">
        <v>6931</v>
      </c>
      <c r="D4464" s="1">
        <v>45449</v>
      </c>
      <c r="E4464" s="1">
        <v>45454</v>
      </c>
      <c r="F4464" s="1">
        <v>45459</v>
      </c>
      <c r="G4464">
        <v>36.840000000000003</v>
      </c>
      <c r="H44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64" t="str">
        <f>IFERROR(INDEX(Raw_orders!G:G, MATCH(shipments[[#This Row],[order_id]],Raw_orders!A:A, 0)), "Unknown")</f>
        <v>Nordics</v>
      </c>
      <c r="J4464" t="str">
        <f>PROPER(shipments[[#This Row],[delivery_status]])</f>
        <v>Delivered</v>
      </c>
      <c r="K4464" t="s">
        <v>6922</v>
      </c>
    </row>
    <row r="4465" spans="1:11">
      <c r="A4465" t="s">
        <v>11401</v>
      </c>
      <c r="B4465" t="s">
        <v>5108</v>
      </c>
      <c r="C4465" t="s">
        <v>6938</v>
      </c>
      <c r="D4465" s="1">
        <v>45190</v>
      </c>
      <c r="E4465" s="1">
        <v>45197</v>
      </c>
      <c r="F4465" s="1">
        <v>45197</v>
      </c>
      <c r="G4465">
        <v>28.12</v>
      </c>
      <c r="H44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465" t="str">
        <f>IFERROR(INDEX(Raw_orders!G:G, MATCH(shipments[[#This Row],[order_id]],Raw_orders!A:A, 0)), "Unknown")</f>
        <v>Nordics</v>
      </c>
      <c r="J4465" t="str">
        <f>PROPER(shipments[[#This Row],[delivery_status]])</f>
        <v>Delivered</v>
      </c>
      <c r="K4465" t="s">
        <v>6929</v>
      </c>
    </row>
    <row r="4466" spans="1:11">
      <c r="A4466" t="s">
        <v>11402</v>
      </c>
      <c r="B4466" t="s">
        <v>5109</v>
      </c>
      <c r="C4466" t="s">
        <v>6940</v>
      </c>
      <c r="D4466" s="1">
        <v>45000</v>
      </c>
      <c r="E4466" s="1">
        <v>45007</v>
      </c>
      <c r="F4466" s="1">
        <v>45012</v>
      </c>
      <c r="G4466">
        <v>47.18</v>
      </c>
      <c r="H44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66" t="str">
        <f>IFERROR(INDEX(Raw_orders!G:G, MATCH(shipments[[#This Row],[order_id]],Raw_orders!A:A, 0)), "Unknown")</f>
        <v>Central Europe</v>
      </c>
      <c r="J4466" t="str">
        <f>PROPER(shipments[[#This Row],[delivery_status]])</f>
        <v>Delivered</v>
      </c>
      <c r="K4466" t="s">
        <v>6926</v>
      </c>
    </row>
    <row r="4467" spans="1:11">
      <c r="A4467" t="s">
        <v>11403</v>
      </c>
      <c r="B4467" t="s">
        <v>5110</v>
      </c>
      <c r="C4467" t="s">
        <v>6949</v>
      </c>
      <c r="D4467" s="1">
        <v>45319</v>
      </c>
      <c r="E4467" s="1">
        <v>45321</v>
      </c>
      <c r="F4467" s="1">
        <v>45329</v>
      </c>
      <c r="G4467">
        <v>53.95</v>
      </c>
      <c r="H44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67" t="str">
        <f>IFERROR(INDEX(Raw_orders!G:G, MATCH(shipments[[#This Row],[order_id]],Raw_orders!A:A, 0)), "Unknown")</f>
        <v>Nordics</v>
      </c>
      <c r="J4467" t="str">
        <f>PROPER(shipments[[#This Row],[delivery_status]])</f>
        <v>Delivered</v>
      </c>
      <c r="K4467" t="s">
        <v>6922</v>
      </c>
    </row>
    <row r="4468" spans="1:11">
      <c r="A4468" t="s">
        <v>11404</v>
      </c>
      <c r="B4468" t="s">
        <v>5111</v>
      </c>
      <c r="C4468" t="s">
        <v>6938</v>
      </c>
      <c r="D4468" s="1">
        <v>45107</v>
      </c>
      <c r="E4468" s="1">
        <v>45114</v>
      </c>
      <c r="F4468" s="1">
        <v>45122</v>
      </c>
      <c r="G4468">
        <v>11.53</v>
      </c>
      <c r="H44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68" t="str">
        <f>IFERROR(INDEX(Raw_orders!G:G, MATCH(shipments[[#This Row],[order_id]],Raw_orders!A:A, 0)), "Unknown")</f>
        <v>Baltics</v>
      </c>
      <c r="J4468" t="str">
        <f>PROPER(shipments[[#This Row],[delivery_status]])</f>
        <v>Delivered</v>
      </c>
      <c r="K4468" t="s">
        <v>6926</v>
      </c>
    </row>
    <row r="4469" spans="1:11">
      <c r="A4469" t="s">
        <v>11405</v>
      </c>
      <c r="B4469" t="s">
        <v>5112</v>
      </c>
      <c r="C4469" t="s">
        <v>6956</v>
      </c>
      <c r="D4469" s="1">
        <v>45126</v>
      </c>
      <c r="E4469" s="1">
        <v>45136</v>
      </c>
      <c r="F4469" s="1">
        <v>45139</v>
      </c>
      <c r="G4469">
        <v>14.6</v>
      </c>
      <c r="H44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69" t="str">
        <f>IFERROR(INDEX(Raw_orders!G:G, MATCH(shipments[[#This Row],[order_id]],Raw_orders!A:A, 0)), "Unknown")</f>
        <v>Baltics</v>
      </c>
      <c r="J4469" t="str">
        <f>PROPER(shipments[[#This Row],[delivery_status]])</f>
        <v>Delivered</v>
      </c>
      <c r="K4469" t="s">
        <v>6922</v>
      </c>
    </row>
    <row r="4470" spans="1:11">
      <c r="A4470" t="s">
        <v>11406</v>
      </c>
      <c r="B4470" t="s">
        <v>5113</v>
      </c>
      <c r="C4470" t="s">
        <v>6928</v>
      </c>
      <c r="D4470" s="1">
        <v>45381</v>
      </c>
      <c r="E4470" s="1">
        <v>45388</v>
      </c>
      <c r="F4470" s="1">
        <v>45394</v>
      </c>
      <c r="G4470">
        <v>21.86</v>
      </c>
      <c r="H44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70" t="str">
        <f>IFERROR(INDEX(Raw_orders!G:G, MATCH(shipments[[#This Row],[order_id]],Raw_orders!A:A, 0)), "Unknown")</f>
        <v>Central Europe</v>
      </c>
      <c r="J4470" t="str">
        <f>PROPER(shipments[[#This Row],[delivery_status]])</f>
        <v>Delivered</v>
      </c>
      <c r="K4470" t="s">
        <v>6929</v>
      </c>
    </row>
    <row r="4471" spans="1:11">
      <c r="A4471" t="s">
        <v>11407</v>
      </c>
      <c r="B4471" t="s">
        <v>5114</v>
      </c>
      <c r="C4471" t="s">
        <v>6938</v>
      </c>
      <c r="D4471" s="1">
        <v>45387</v>
      </c>
      <c r="E4471" s="1">
        <v>45390</v>
      </c>
      <c r="F4471" s="1">
        <v>45391</v>
      </c>
      <c r="G4471">
        <v>37.07</v>
      </c>
      <c r="H44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71" t="str">
        <f>IFERROR(INDEX(Raw_orders!G:G, MATCH(shipments[[#This Row],[order_id]],Raw_orders!A:A, 0)), "Unknown")</f>
        <v>Nordics</v>
      </c>
      <c r="J4471" t="str">
        <f>PROPER(shipments[[#This Row],[delivery_status]])</f>
        <v>Delivered</v>
      </c>
      <c r="K4471" t="s">
        <v>6926</v>
      </c>
    </row>
    <row r="4472" spans="1:11">
      <c r="A4472" t="s">
        <v>11408</v>
      </c>
      <c r="B4472" t="s">
        <v>5115</v>
      </c>
      <c r="C4472" t="s">
        <v>6921</v>
      </c>
      <c r="D4472" s="1">
        <v>45442</v>
      </c>
      <c r="E4472" s="1">
        <v>45447</v>
      </c>
      <c r="F4472" s="1">
        <v>45455</v>
      </c>
      <c r="G4472">
        <v>11.45</v>
      </c>
      <c r="H44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72" t="str">
        <f>IFERROR(INDEX(Raw_orders!G:G, MATCH(shipments[[#This Row],[order_id]],Raw_orders!A:A, 0)), "Unknown")</f>
        <v>Nordics</v>
      </c>
      <c r="J4472" t="str">
        <f>PROPER(shipments[[#This Row],[delivery_status]])</f>
        <v>Delivered</v>
      </c>
      <c r="K4472" t="s">
        <v>6926</v>
      </c>
    </row>
    <row r="4473" spans="1:11">
      <c r="A4473" t="s">
        <v>11409</v>
      </c>
      <c r="B4473" t="s">
        <v>5115</v>
      </c>
      <c r="C4473" t="s">
        <v>6938</v>
      </c>
      <c r="D4473" s="1">
        <v>45441</v>
      </c>
      <c r="E4473" s="1">
        <v>45443</v>
      </c>
      <c r="F4473" s="1">
        <v>45443</v>
      </c>
      <c r="G4473">
        <v>37.79</v>
      </c>
      <c r="H44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473" t="str">
        <f>IFERROR(INDEX(Raw_orders!G:G, MATCH(shipments[[#This Row],[order_id]],Raw_orders!A:A, 0)), "Unknown")</f>
        <v>Nordics</v>
      </c>
      <c r="J4473" t="str">
        <f>PROPER(shipments[[#This Row],[delivery_status]])</f>
        <v>Delivered</v>
      </c>
      <c r="K4473" t="s">
        <v>6926</v>
      </c>
    </row>
    <row r="4474" spans="1:11">
      <c r="A4474" t="s">
        <v>11410</v>
      </c>
      <c r="B4474" t="s">
        <v>5116</v>
      </c>
      <c r="C4474" t="s">
        <v>6938</v>
      </c>
      <c r="D4474" s="1">
        <v>45167</v>
      </c>
      <c r="E4474" s="1">
        <v>45170</v>
      </c>
      <c r="F4474" s="1">
        <v>45184</v>
      </c>
      <c r="G4474">
        <v>45.7</v>
      </c>
      <c r="H44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74" t="str">
        <f>IFERROR(INDEX(Raw_orders!G:G, MATCH(shipments[[#This Row],[order_id]],Raw_orders!A:A, 0)), "Unknown")</f>
        <v>Nordics</v>
      </c>
      <c r="J4474" t="str">
        <f>PROPER(shipments[[#This Row],[delivery_status]])</f>
        <v>Delivered</v>
      </c>
      <c r="K4474" t="s">
        <v>6929</v>
      </c>
    </row>
    <row r="4475" spans="1:11">
      <c r="A4475" t="s">
        <v>11411</v>
      </c>
      <c r="B4475" t="s">
        <v>5117</v>
      </c>
      <c r="C4475" t="s">
        <v>6935</v>
      </c>
      <c r="D4475" s="1">
        <v>45556</v>
      </c>
      <c r="E4475" s="1">
        <v>45563</v>
      </c>
      <c r="F4475" s="1"/>
      <c r="G4475">
        <v>38.51</v>
      </c>
      <c r="H44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475" t="str">
        <f>IFERROR(INDEX(Raw_orders!G:G, MATCH(shipments[[#This Row],[order_id]],Raw_orders!A:A, 0)), "Unknown")</f>
        <v>Central Europe</v>
      </c>
      <c r="J4475" t="str">
        <f>PROPER(shipments[[#This Row],[delivery_status]])</f>
        <v>In Transit</v>
      </c>
      <c r="K4475" t="s">
        <v>6946</v>
      </c>
    </row>
    <row r="4476" spans="1:11">
      <c r="A4476" t="s">
        <v>11412</v>
      </c>
      <c r="B4476" t="s">
        <v>5118</v>
      </c>
      <c r="C4476" t="s">
        <v>6925</v>
      </c>
      <c r="D4476" s="1">
        <v>45238</v>
      </c>
      <c r="E4476" s="1">
        <v>45248</v>
      </c>
      <c r="F4476" s="1"/>
      <c r="G4476">
        <v>14.79</v>
      </c>
      <c r="H44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476" t="str">
        <f>IFERROR(INDEX(Raw_orders!G:G, MATCH(shipments[[#This Row],[order_id]],Raw_orders!A:A, 0)), "Unknown")</f>
        <v>Nordics</v>
      </c>
      <c r="J4476" t="str">
        <f>PROPER(shipments[[#This Row],[delivery_status]])</f>
        <v>Cancelled</v>
      </c>
      <c r="K4476" t="s">
        <v>6979</v>
      </c>
    </row>
    <row r="4477" spans="1:11">
      <c r="A4477" t="s">
        <v>11413</v>
      </c>
      <c r="B4477" t="s">
        <v>5119</v>
      </c>
      <c r="C4477" t="s">
        <v>6925</v>
      </c>
      <c r="D4477" s="1">
        <v>45275</v>
      </c>
      <c r="E4477" s="1">
        <v>45280</v>
      </c>
      <c r="F4477" s="1">
        <v>45279</v>
      </c>
      <c r="G4477">
        <v>10.44</v>
      </c>
      <c r="H44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477" t="str">
        <f>IFERROR(INDEX(Raw_orders!G:G, MATCH(shipments[[#This Row],[order_id]],Raw_orders!A:A, 0)), "Unknown")</f>
        <v>Nordics</v>
      </c>
      <c r="J4477" t="str">
        <f>PROPER(shipments[[#This Row],[delivery_status]])</f>
        <v>Delivered</v>
      </c>
      <c r="K4477" t="s">
        <v>6922</v>
      </c>
    </row>
    <row r="4478" spans="1:11">
      <c r="A4478" t="s">
        <v>11414</v>
      </c>
      <c r="B4478" t="s">
        <v>5120</v>
      </c>
      <c r="C4478" t="s">
        <v>6956</v>
      </c>
      <c r="D4478" s="1">
        <v>45624</v>
      </c>
      <c r="E4478" s="1">
        <v>45627</v>
      </c>
      <c r="F4478" s="1">
        <v>45627</v>
      </c>
      <c r="G4478">
        <v>53.64</v>
      </c>
      <c r="H44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478" t="str">
        <f>IFERROR(INDEX(Raw_orders!G:G, MATCH(shipments[[#This Row],[order_id]],Raw_orders!A:A, 0)), "Unknown")</f>
        <v>Central Europe</v>
      </c>
      <c r="J4478" t="str">
        <f>PROPER(shipments[[#This Row],[delivery_status]])</f>
        <v>Delivered</v>
      </c>
      <c r="K4478" t="s">
        <v>6922</v>
      </c>
    </row>
    <row r="4479" spans="1:11">
      <c r="A4479" t="s">
        <v>11415</v>
      </c>
      <c r="B4479" t="s">
        <v>5121</v>
      </c>
      <c r="C4479" t="s">
        <v>6949</v>
      </c>
      <c r="D4479" s="1">
        <v>45619</v>
      </c>
      <c r="E4479" s="1">
        <v>45624</v>
      </c>
      <c r="F4479" s="1"/>
      <c r="G4479">
        <v>21.74</v>
      </c>
      <c r="H44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479" t="str">
        <f>IFERROR(INDEX(Raw_orders!G:G, MATCH(shipments[[#This Row],[order_id]],Raw_orders!A:A, 0)), "Unknown")</f>
        <v>Nordics</v>
      </c>
      <c r="J4479" t="str">
        <f>PROPER(shipments[[#This Row],[delivery_status]])</f>
        <v>In Transit</v>
      </c>
      <c r="K4479" t="s">
        <v>6946</v>
      </c>
    </row>
    <row r="4480" spans="1:11">
      <c r="A4480" t="s">
        <v>11416</v>
      </c>
      <c r="B4480" t="s">
        <v>5122</v>
      </c>
      <c r="C4480" t="s">
        <v>6956</v>
      </c>
      <c r="D4480" s="1">
        <v>44958</v>
      </c>
      <c r="E4480" s="1">
        <v>44963</v>
      </c>
      <c r="F4480" s="1">
        <v>44971</v>
      </c>
      <c r="G4480">
        <v>47.75</v>
      </c>
      <c r="H44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80" t="str">
        <f>IFERROR(INDEX(Raw_orders!G:G, MATCH(shipments[[#This Row],[order_id]],Raw_orders!A:A, 0)), "Unknown")</f>
        <v>Baltics</v>
      </c>
      <c r="J4480" t="str">
        <f>PROPER(shipments[[#This Row],[delivery_status]])</f>
        <v>Delivered</v>
      </c>
      <c r="K4480" t="s">
        <v>6929</v>
      </c>
    </row>
    <row r="4481" spans="1:11">
      <c r="A4481" t="s">
        <v>11417</v>
      </c>
      <c r="B4481" t="s">
        <v>5123</v>
      </c>
      <c r="C4481" t="s">
        <v>6956</v>
      </c>
      <c r="D4481" s="1">
        <v>45097</v>
      </c>
      <c r="E4481" s="1">
        <v>45107</v>
      </c>
      <c r="F4481" s="1">
        <v>45112</v>
      </c>
      <c r="G4481">
        <v>19.57</v>
      </c>
      <c r="H44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81" t="str">
        <f>IFERROR(INDEX(Raw_orders!G:G, MATCH(shipments[[#This Row],[order_id]],Raw_orders!A:A, 0)), "Unknown")</f>
        <v>Central Europe</v>
      </c>
      <c r="J4481" t="str">
        <f>PROPER(shipments[[#This Row],[delivery_status]])</f>
        <v>Delivered</v>
      </c>
      <c r="K4481" t="s">
        <v>6929</v>
      </c>
    </row>
    <row r="4482" spans="1:11">
      <c r="A4482" t="s">
        <v>11418</v>
      </c>
      <c r="B4482" t="s">
        <v>5124</v>
      </c>
      <c r="C4482" t="s">
        <v>6925</v>
      </c>
      <c r="D4482" s="1">
        <v>44997</v>
      </c>
      <c r="E4482" s="1">
        <v>45007</v>
      </c>
      <c r="F4482" s="1"/>
      <c r="G4482">
        <v>17.86</v>
      </c>
      <c r="H44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482" t="str">
        <f>IFERROR(INDEX(Raw_orders!G:G, MATCH(shipments[[#This Row],[order_id]],Raw_orders!A:A, 0)), "Unknown")</f>
        <v>Nordics</v>
      </c>
      <c r="J4482" t="str">
        <f>PROPER(shipments[[#This Row],[delivery_status]])</f>
        <v>Cancelled</v>
      </c>
      <c r="K4482" t="s">
        <v>6963</v>
      </c>
    </row>
    <row r="4483" spans="1:11">
      <c r="A4483" t="s">
        <v>11419</v>
      </c>
      <c r="B4483" t="s">
        <v>5125</v>
      </c>
      <c r="C4483" t="s">
        <v>6925</v>
      </c>
      <c r="D4483" s="1">
        <v>45257</v>
      </c>
      <c r="E4483" s="1">
        <v>45260</v>
      </c>
      <c r="F4483" s="1">
        <v>45274</v>
      </c>
      <c r="G4483">
        <v>58.74</v>
      </c>
      <c r="H44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83" t="str">
        <f>IFERROR(INDEX(Raw_orders!G:G, MATCH(shipments[[#This Row],[order_id]],Raw_orders!A:A, 0)), "Unknown")</f>
        <v>Central Europe</v>
      </c>
      <c r="J4483" t="str">
        <f>PROPER(shipments[[#This Row],[delivery_status]])</f>
        <v>Delivered</v>
      </c>
      <c r="K4483" t="s">
        <v>6922</v>
      </c>
    </row>
    <row r="4484" spans="1:11">
      <c r="A4484" t="s">
        <v>11420</v>
      </c>
      <c r="B4484" t="s">
        <v>5126</v>
      </c>
      <c r="C4484" t="s">
        <v>6931</v>
      </c>
      <c r="D4484" s="1">
        <v>45227</v>
      </c>
      <c r="E4484" s="1">
        <v>45237</v>
      </c>
      <c r="F4484" s="1">
        <v>45237</v>
      </c>
      <c r="G4484">
        <v>39.29</v>
      </c>
      <c r="H44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484" t="str">
        <f>IFERROR(INDEX(Raw_orders!G:G, MATCH(shipments[[#This Row],[order_id]],Raw_orders!A:A, 0)), "Unknown")</f>
        <v>Baltics</v>
      </c>
      <c r="J4484" t="str">
        <f>PROPER(shipments[[#This Row],[delivery_status]])</f>
        <v>Delivered</v>
      </c>
      <c r="K4484" t="s">
        <v>6929</v>
      </c>
    </row>
    <row r="4485" spans="1:11">
      <c r="A4485" t="s">
        <v>11421</v>
      </c>
      <c r="B4485" t="s">
        <v>5126</v>
      </c>
      <c r="C4485" t="s">
        <v>6931</v>
      </c>
      <c r="D4485" s="1">
        <v>45225</v>
      </c>
      <c r="E4485" s="1">
        <v>45232</v>
      </c>
      <c r="F4485" s="1">
        <v>45237</v>
      </c>
      <c r="G4485">
        <v>27.62</v>
      </c>
      <c r="H44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85" t="str">
        <f>IFERROR(INDEX(Raw_orders!G:G, MATCH(shipments[[#This Row],[order_id]],Raw_orders!A:A, 0)), "Unknown")</f>
        <v>Baltics</v>
      </c>
      <c r="J4485" t="str">
        <f>PROPER(shipments[[#This Row],[delivery_status]])</f>
        <v>Delivered</v>
      </c>
      <c r="K4485" t="s">
        <v>6929</v>
      </c>
    </row>
    <row r="4486" spans="1:11">
      <c r="A4486" t="s">
        <v>11422</v>
      </c>
      <c r="B4486" t="s">
        <v>5127</v>
      </c>
      <c r="C4486" t="s">
        <v>6931</v>
      </c>
      <c r="D4486" s="1">
        <v>45105</v>
      </c>
      <c r="E4486" s="1">
        <v>45107</v>
      </c>
      <c r="F4486" s="1">
        <v>45115</v>
      </c>
      <c r="G4486">
        <v>33.880000000000003</v>
      </c>
      <c r="H44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86" t="str">
        <f>IFERROR(INDEX(Raw_orders!G:G, MATCH(shipments[[#This Row],[order_id]],Raw_orders!A:A, 0)), "Unknown")</f>
        <v>Central Europe</v>
      </c>
      <c r="J4486" t="str">
        <f>PROPER(shipments[[#This Row],[delivery_status]])</f>
        <v>Delivered</v>
      </c>
      <c r="K4486" t="s">
        <v>6922</v>
      </c>
    </row>
    <row r="4487" spans="1:11">
      <c r="A4487" t="s">
        <v>11423</v>
      </c>
      <c r="B4487" t="s">
        <v>5128</v>
      </c>
      <c r="C4487" t="s">
        <v>6928</v>
      </c>
      <c r="D4487" s="1">
        <v>45421</v>
      </c>
      <c r="E4487" s="1">
        <v>45428</v>
      </c>
      <c r="F4487" s="1">
        <v>45428</v>
      </c>
      <c r="G4487">
        <v>44.07</v>
      </c>
      <c r="H44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487" t="str">
        <f>IFERROR(INDEX(Raw_orders!G:G, MATCH(shipments[[#This Row],[order_id]],Raw_orders!A:A, 0)), "Unknown")</f>
        <v>Unknown</v>
      </c>
      <c r="J4487" t="str">
        <f>PROPER(shipments[[#This Row],[delivery_status]])</f>
        <v>Delivered</v>
      </c>
      <c r="K4487" t="s">
        <v>6926</v>
      </c>
    </row>
    <row r="4488" spans="1:11">
      <c r="A4488" t="s">
        <v>11424</v>
      </c>
      <c r="B4488" t="s">
        <v>5129</v>
      </c>
      <c r="C4488" t="s">
        <v>6935</v>
      </c>
      <c r="D4488" s="1">
        <v>45562</v>
      </c>
      <c r="E4488" s="1">
        <v>45572</v>
      </c>
      <c r="F4488" s="1">
        <v>45574</v>
      </c>
      <c r="H44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88" t="str">
        <f>IFERROR(INDEX(Raw_orders!G:G, MATCH(shipments[[#This Row],[order_id]],Raw_orders!A:A, 0)), "Unknown")</f>
        <v>Baltics</v>
      </c>
      <c r="J4488" t="str">
        <f>PROPER(shipments[[#This Row],[delivery_status]])</f>
        <v>Delivered</v>
      </c>
      <c r="K4488" t="s">
        <v>6926</v>
      </c>
    </row>
    <row r="4489" spans="1:11">
      <c r="A4489" t="s">
        <v>11425</v>
      </c>
      <c r="B4489" t="s">
        <v>5130</v>
      </c>
      <c r="C4489" t="s">
        <v>6940</v>
      </c>
      <c r="D4489" s="1">
        <v>45610</v>
      </c>
      <c r="E4489" s="1">
        <v>45620</v>
      </c>
      <c r="F4489" s="1">
        <v>45620</v>
      </c>
      <c r="G4489">
        <v>59.13</v>
      </c>
      <c r="H44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489" t="str">
        <f>IFERROR(INDEX(Raw_orders!G:G, MATCH(shipments[[#This Row],[order_id]],Raw_orders!A:A, 0)), "Unknown")</f>
        <v>Baltics</v>
      </c>
      <c r="J4489" t="str">
        <f>PROPER(shipments[[#This Row],[delivery_status]])</f>
        <v>Delivered</v>
      </c>
      <c r="K4489" t="s">
        <v>6926</v>
      </c>
    </row>
    <row r="4490" spans="1:11">
      <c r="A4490" t="s">
        <v>11426</v>
      </c>
      <c r="B4490" t="s">
        <v>5131</v>
      </c>
      <c r="C4490" t="s">
        <v>6931</v>
      </c>
      <c r="D4490" s="1">
        <v>45073</v>
      </c>
      <c r="E4490" s="1">
        <v>45075</v>
      </c>
      <c r="F4490" s="1"/>
      <c r="G4490">
        <v>56.98</v>
      </c>
      <c r="H44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490" t="str">
        <f>IFERROR(INDEX(Raw_orders!G:G, MATCH(shipments[[#This Row],[order_id]],Raw_orders!A:A, 0)), "Unknown")</f>
        <v>Nordics</v>
      </c>
      <c r="J4490" t="str">
        <f>PROPER(shipments[[#This Row],[delivery_status]])</f>
        <v>In Transit</v>
      </c>
      <c r="K4490" t="s">
        <v>6958</v>
      </c>
    </row>
    <row r="4491" spans="1:11">
      <c r="A4491" t="s">
        <v>11427</v>
      </c>
      <c r="B4491" t="s">
        <v>5132</v>
      </c>
      <c r="C4491" t="s">
        <v>6928</v>
      </c>
      <c r="D4491" s="1">
        <v>45515</v>
      </c>
      <c r="E4491" s="1">
        <v>45520</v>
      </c>
      <c r="F4491" s="1">
        <v>45526</v>
      </c>
      <c r="G4491">
        <v>49.13</v>
      </c>
      <c r="H44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91" t="str">
        <f>IFERROR(INDEX(Raw_orders!G:G, MATCH(shipments[[#This Row],[order_id]],Raw_orders!A:A, 0)), "Unknown")</f>
        <v>Central Europe</v>
      </c>
      <c r="J4491" t="str">
        <f>PROPER(shipments[[#This Row],[delivery_status]])</f>
        <v>Delivered</v>
      </c>
      <c r="K4491" t="s">
        <v>6922</v>
      </c>
    </row>
    <row r="4492" spans="1:11">
      <c r="A4492" t="s">
        <v>11428</v>
      </c>
      <c r="B4492" t="s">
        <v>5133</v>
      </c>
      <c r="C4492" t="s">
        <v>6928</v>
      </c>
      <c r="D4492" s="1">
        <v>45071</v>
      </c>
      <c r="E4492" s="1">
        <v>45074</v>
      </c>
      <c r="F4492" s="1"/>
      <c r="G4492">
        <v>58.53</v>
      </c>
      <c r="H44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492" t="str">
        <f>IFERROR(INDEX(Raw_orders!G:G, MATCH(shipments[[#This Row],[order_id]],Raw_orders!A:A, 0)), "Unknown")</f>
        <v>Baltics</v>
      </c>
      <c r="J4492" t="str">
        <f>PROPER(shipments[[#This Row],[delivery_status]])</f>
        <v>Cancelled</v>
      </c>
      <c r="K4492" t="s">
        <v>6963</v>
      </c>
    </row>
    <row r="4493" spans="1:11">
      <c r="A4493" t="s">
        <v>11429</v>
      </c>
      <c r="B4493" t="s">
        <v>5134</v>
      </c>
      <c r="C4493" t="s">
        <v>6949</v>
      </c>
      <c r="D4493" s="1">
        <v>45472</v>
      </c>
      <c r="E4493" s="1">
        <v>45479</v>
      </c>
      <c r="F4493" s="1">
        <v>45479</v>
      </c>
      <c r="G4493">
        <v>38.74</v>
      </c>
      <c r="H44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493" t="str">
        <f>IFERROR(INDEX(Raw_orders!G:G, MATCH(shipments[[#This Row],[order_id]],Raw_orders!A:A, 0)), "Unknown")</f>
        <v>Central Europe</v>
      </c>
      <c r="J4493" t="str">
        <f>PROPER(shipments[[#This Row],[delivery_status]])</f>
        <v>Delivered</v>
      </c>
      <c r="K4493" t="s">
        <v>6929</v>
      </c>
    </row>
    <row r="4494" spans="1:11">
      <c r="A4494" t="s">
        <v>11430</v>
      </c>
      <c r="B4494" t="s">
        <v>5135</v>
      </c>
      <c r="C4494" t="s">
        <v>6956</v>
      </c>
      <c r="D4494" s="1">
        <v>45017</v>
      </c>
      <c r="E4494" s="1">
        <v>45019</v>
      </c>
      <c r="F4494" s="1">
        <v>45020</v>
      </c>
      <c r="G4494">
        <v>38.909999999999997</v>
      </c>
      <c r="H44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94" t="str">
        <f>IFERROR(INDEX(Raw_orders!G:G, MATCH(shipments[[#This Row],[order_id]],Raw_orders!A:A, 0)), "Unknown")</f>
        <v>Central Europe</v>
      </c>
      <c r="J4494" t="str">
        <f>PROPER(shipments[[#This Row],[delivery_status]])</f>
        <v>Delivered</v>
      </c>
      <c r="K4494" t="s">
        <v>6922</v>
      </c>
    </row>
    <row r="4495" spans="1:11">
      <c r="A4495" t="s">
        <v>11431</v>
      </c>
      <c r="B4495" t="s">
        <v>5136</v>
      </c>
      <c r="C4495" t="s">
        <v>6949</v>
      </c>
      <c r="D4495" s="1">
        <v>45430</v>
      </c>
      <c r="E4495" s="1">
        <v>45437</v>
      </c>
      <c r="F4495" s="1">
        <v>45436</v>
      </c>
      <c r="G4495">
        <v>30.03</v>
      </c>
      <c r="H44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495" t="str">
        <f>IFERROR(INDEX(Raw_orders!G:G, MATCH(shipments[[#This Row],[order_id]],Raw_orders!A:A, 0)), "Unknown")</f>
        <v>Nordics</v>
      </c>
      <c r="J4495" t="str">
        <f>PROPER(shipments[[#This Row],[delivery_status]])</f>
        <v>Delivered</v>
      </c>
      <c r="K4495" t="s">
        <v>6926</v>
      </c>
    </row>
    <row r="4496" spans="1:11">
      <c r="A4496" t="s">
        <v>11432</v>
      </c>
      <c r="B4496" t="s">
        <v>5136</v>
      </c>
      <c r="C4496" t="s">
        <v>6931</v>
      </c>
      <c r="D4496" s="1">
        <v>45431</v>
      </c>
      <c r="E4496" s="1">
        <v>45438</v>
      </c>
      <c r="F4496" s="1">
        <v>45440</v>
      </c>
      <c r="G4496">
        <v>42.58</v>
      </c>
      <c r="H44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96" t="str">
        <f>IFERROR(INDEX(Raw_orders!G:G, MATCH(shipments[[#This Row],[order_id]],Raw_orders!A:A, 0)), "Unknown")</f>
        <v>Nordics</v>
      </c>
      <c r="J4496" t="str">
        <f>PROPER(shipments[[#This Row],[delivery_status]])</f>
        <v>Delivered</v>
      </c>
      <c r="K4496" t="s">
        <v>6926</v>
      </c>
    </row>
    <row r="4497" spans="1:11">
      <c r="A4497" t="s">
        <v>11433</v>
      </c>
      <c r="B4497" t="s">
        <v>5137</v>
      </c>
      <c r="C4497" t="s">
        <v>6931</v>
      </c>
      <c r="D4497" s="1">
        <v>45229</v>
      </c>
      <c r="E4497" s="1">
        <v>45239</v>
      </c>
      <c r="F4497" s="1">
        <v>45239</v>
      </c>
      <c r="G4497">
        <v>54.27</v>
      </c>
      <c r="H44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497" t="str">
        <f>IFERROR(INDEX(Raw_orders!G:G, MATCH(shipments[[#This Row],[order_id]],Raw_orders!A:A, 0)), "Unknown")</f>
        <v>Baltics</v>
      </c>
      <c r="J4497" t="str">
        <f>PROPER(shipments[[#This Row],[delivery_status]])</f>
        <v>Delivered</v>
      </c>
      <c r="K4497" t="s">
        <v>6922</v>
      </c>
    </row>
    <row r="4498" spans="1:11">
      <c r="A4498" t="s">
        <v>11434</v>
      </c>
      <c r="B4498" t="s">
        <v>5138</v>
      </c>
      <c r="C4498" t="s">
        <v>6938</v>
      </c>
      <c r="D4498" s="1">
        <v>45062</v>
      </c>
      <c r="E4498" s="1">
        <v>45072</v>
      </c>
      <c r="F4498" s="1">
        <v>45077</v>
      </c>
      <c r="G4498">
        <v>27.62</v>
      </c>
      <c r="H44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98" t="str">
        <f>IFERROR(INDEX(Raw_orders!G:G, MATCH(shipments[[#This Row],[order_id]],Raw_orders!A:A, 0)), "Unknown")</f>
        <v>Nordics</v>
      </c>
      <c r="J4498" t="str">
        <f>PROPER(shipments[[#This Row],[delivery_status]])</f>
        <v>Delivered</v>
      </c>
      <c r="K4498" t="s">
        <v>6922</v>
      </c>
    </row>
    <row r="4499" spans="1:11">
      <c r="A4499" t="s">
        <v>11435</v>
      </c>
      <c r="B4499" t="s">
        <v>5139</v>
      </c>
      <c r="C4499" t="s">
        <v>6925</v>
      </c>
      <c r="D4499" s="1">
        <v>45256</v>
      </c>
      <c r="E4499" s="1">
        <v>45266</v>
      </c>
      <c r="F4499" s="1">
        <v>45279</v>
      </c>
      <c r="G4499">
        <v>49.17</v>
      </c>
      <c r="H44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499" t="str">
        <f>IFERROR(INDEX(Raw_orders!G:G, MATCH(shipments[[#This Row],[order_id]],Raw_orders!A:A, 0)), "Unknown")</f>
        <v>Central Europe</v>
      </c>
      <c r="J4499" t="str">
        <f>PROPER(shipments[[#This Row],[delivery_status]])</f>
        <v>Delivered</v>
      </c>
      <c r="K4499" t="s">
        <v>6929</v>
      </c>
    </row>
    <row r="4500" spans="1:11">
      <c r="A4500" t="s">
        <v>11436</v>
      </c>
      <c r="B4500" t="s">
        <v>5140</v>
      </c>
      <c r="C4500" t="s">
        <v>6938</v>
      </c>
      <c r="D4500" s="1">
        <v>45516</v>
      </c>
      <c r="E4500" s="1">
        <v>45526</v>
      </c>
      <c r="F4500" s="1">
        <v>45526</v>
      </c>
      <c r="G4500">
        <v>35.270000000000003</v>
      </c>
      <c r="H45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500" t="str">
        <f>IFERROR(INDEX(Raw_orders!G:G, MATCH(shipments[[#This Row],[order_id]],Raw_orders!A:A, 0)), "Unknown")</f>
        <v>Baltics</v>
      </c>
      <c r="J4500" t="str">
        <f>PROPER(shipments[[#This Row],[delivery_status]])</f>
        <v>Delivered</v>
      </c>
      <c r="K4500" t="s">
        <v>6922</v>
      </c>
    </row>
    <row r="4501" spans="1:11">
      <c r="A4501" t="s">
        <v>11437</v>
      </c>
      <c r="B4501" t="s">
        <v>5141</v>
      </c>
      <c r="C4501" t="s">
        <v>6925</v>
      </c>
      <c r="D4501" s="1">
        <v>45175</v>
      </c>
      <c r="E4501" s="1">
        <v>45185</v>
      </c>
      <c r="F4501" s="1">
        <v>45186</v>
      </c>
      <c r="G4501">
        <v>53.47</v>
      </c>
      <c r="H45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01" t="str">
        <f>IFERROR(INDEX(Raw_orders!G:G, MATCH(shipments[[#This Row],[order_id]],Raw_orders!A:A, 0)), "Unknown")</f>
        <v>Baltics</v>
      </c>
      <c r="J4501" t="str">
        <f>PROPER(shipments[[#This Row],[delivery_status]])</f>
        <v>Delivered</v>
      </c>
      <c r="K4501" t="s">
        <v>6929</v>
      </c>
    </row>
    <row r="4502" spans="1:11">
      <c r="A4502" t="s">
        <v>11438</v>
      </c>
      <c r="B4502" t="s">
        <v>5142</v>
      </c>
      <c r="C4502" t="s">
        <v>6931</v>
      </c>
      <c r="D4502" s="1">
        <v>45320</v>
      </c>
      <c r="E4502" s="1">
        <v>45325</v>
      </c>
      <c r="F4502" s="1">
        <v>45335</v>
      </c>
      <c r="G4502">
        <v>49.95</v>
      </c>
      <c r="H45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02" t="str">
        <f>IFERROR(INDEX(Raw_orders!G:G, MATCH(shipments[[#This Row],[order_id]],Raw_orders!A:A, 0)), "Unknown")</f>
        <v>Baltics</v>
      </c>
      <c r="J4502" t="str">
        <f>PROPER(shipments[[#This Row],[delivery_status]])</f>
        <v>Delivered</v>
      </c>
      <c r="K4502" t="s">
        <v>6922</v>
      </c>
    </row>
    <row r="4503" spans="1:11">
      <c r="A4503" t="s">
        <v>11439</v>
      </c>
      <c r="B4503" t="s">
        <v>5143</v>
      </c>
      <c r="C4503" t="s">
        <v>6935</v>
      </c>
      <c r="D4503" s="1">
        <v>45107</v>
      </c>
      <c r="E4503" s="1">
        <v>45109</v>
      </c>
      <c r="F4503" s="1">
        <v>45109</v>
      </c>
      <c r="G4503">
        <v>17.010000000000002</v>
      </c>
      <c r="H45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503" t="str">
        <f>IFERROR(INDEX(Raw_orders!G:G, MATCH(shipments[[#This Row],[order_id]],Raw_orders!A:A, 0)), "Unknown")</f>
        <v>Baltics</v>
      </c>
      <c r="J4503" t="str">
        <f>PROPER(shipments[[#This Row],[delivery_status]])</f>
        <v>Delivered</v>
      </c>
      <c r="K4503" t="s">
        <v>6926</v>
      </c>
    </row>
    <row r="4504" spans="1:11">
      <c r="A4504" t="s">
        <v>11440</v>
      </c>
      <c r="B4504" t="s">
        <v>5144</v>
      </c>
      <c r="C4504" t="s">
        <v>6940</v>
      </c>
      <c r="D4504" s="1">
        <v>45204</v>
      </c>
      <c r="E4504" s="1">
        <v>45207</v>
      </c>
      <c r="F4504" s="1">
        <v>45218</v>
      </c>
      <c r="G4504">
        <v>40.75</v>
      </c>
      <c r="H45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04" t="str">
        <f>IFERROR(INDEX(Raw_orders!G:G, MATCH(shipments[[#This Row],[order_id]],Raw_orders!A:A, 0)), "Unknown")</f>
        <v>Baltics</v>
      </c>
      <c r="J4504" t="str">
        <f>PROPER(shipments[[#This Row],[delivery_status]])</f>
        <v>Delivered</v>
      </c>
      <c r="K4504" t="s">
        <v>6929</v>
      </c>
    </row>
    <row r="4505" spans="1:11">
      <c r="A4505" t="s">
        <v>11441</v>
      </c>
      <c r="B4505" t="s">
        <v>5145</v>
      </c>
      <c r="C4505" t="s">
        <v>6931</v>
      </c>
      <c r="D4505" s="1">
        <v>45319</v>
      </c>
      <c r="E4505" s="1">
        <v>45322</v>
      </c>
      <c r="F4505" s="1">
        <v>45321</v>
      </c>
      <c r="G4505">
        <v>8.23</v>
      </c>
      <c r="H45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505" t="str">
        <f>IFERROR(INDEX(Raw_orders!G:G, MATCH(shipments[[#This Row],[order_id]],Raw_orders!A:A, 0)), "Unknown")</f>
        <v>Nordics</v>
      </c>
      <c r="J4505" t="str">
        <f>PROPER(shipments[[#This Row],[delivery_status]])</f>
        <v>Delivered</v>
      </c>
      <c r="K4505" t="s">
        <v>6922</v>
      </c>
    </row>
    <row r="4506" spans="1:11">
      <c r="A4506" t="s">
        <v>11442</v>
      </c>
      <c r="B4506" t="s">
        <v>5146</v>
      </c>
      <c r="C4506" t="s">
        <v>6938</v>
      </c>
      <c r="D4506" s="1">
        <v>45034</v>
      </c>
      <c r="E4506" s="1">
        <v>45041</v>
      </c>
      <c r="F4506" s="1">
        <v>45052</v>
      </c>
      <c r="G4506">
        <v>54.29</v>
      </c>
      <c r="H45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06" t="str">
        <f>IFERROR(INDEX(Raw_orders!G:G, MATCH(shipments[[#This Row],[order_id]],Raw_orders!A:A, 0)), "Unknown")</f>
        <v>Nordics</v>
      </c>
      <c r="J4506" t="str">
        <f>PROPER(shipments[[#This Row],[delivery_status]])</f>
        <v>Delivered</v>
      </c>
      <c r="K4506" t="s">
        <v>6926</v>
      </c>
    </row>
    <row r="4507" spans="1:11">
      <c r="A4507" t="s">
        <v>11443</v>
      </c>
      <c r="B4507" t="s">
        <v>5147</v>
      </c>
      <c r="C4507" t="s">
        <v>6938</v>
      </c>
      <c r="D4507" s="1">
        <v>45590</v>
      </c>
      <c r="E4507" s="1">
        <v>45595</v>
      </c>
      <c r="F4507" s="1">
        <v>45603</v>
      </c>
      <c r="G4507">
        <v>43.37</v>
      </c>
      <c r="H45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07" t="str">
        <f>IFERROR(INDEX(Raw_orders!G:G, MATCH(shipments[[#This Row],[order_id]],Raw_orders!A:A, 0)), "Unknown")</f>
        <v>Baltics</v>
      </c>
      <c r="J4507" t="str">
        <f>PROPER(shipments[[#This Row],[delivery_status]])</f>
        <v>Delivered</v>
      </c>
      <c r="K4507" t="s">
        <v>6922</v>
      </c>
    </row>
    <row r="4508" spans="1:11">
      <c r="A4508" t="s">
        <v>11444</v>
      </c>
      <c r="B4508" t="s">
        <v>5148</v>
      </c>
      <c r="C4508" t="s">
        <v>6956</v>
      </c>
      <c r="D4508" s="1">
        <v>45375</v>
      </c>
      <c r="E4508" s="1">
        <v>45377</v>
      </c>
      <c r="F4508" s="1">
        <v>45378</v>
      </c>
      <c r="G4508">
        <v>18.13</v>
      </c>
      <c r="H45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08" t="str">
        <f>IFERROR(INDEX(Raw_orders!G:G, MATCH(shipments[[#This Row],[order_id]],Raw_orders!A:A, 0)), "Unknown")</f>
        <v>Central Europe</v>
      </c>
      <c r="J4508" t="str">
        <f>PROPER(shipments[[#This Row],[delivery_status]])</f>
        <v>Delivered</v>
      </c>
      <c r="K4508" t="s">
        <v>6922</v>
      </c>
    </row>
    <row r="4509" spans="1:11">
      <c r="A4509" t="s">
        <v>11445</v>
      </c>
      <c r="B4509" t="s">
        <v>5149</v>
      </c>
      <c r="C4509" t="s">
        <v>6935</v>
      </c>
      <c r="D4509" s="1">
        <v>45524</v>
      </c>
      <c r="E4509" s="1">
        <v>45526</v>
      </c>
      <c r="F4509" s="1">
        <v>45526</v>
      </c>
      <c r="G4509">
        <v>39.86</v>
      </c>
      <c r="H45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509" t="str">
        <f>IFERROR(INDEX(Raw_orders!G:G, MATCH(shipments[[#This Row],[order_id]],Raw_orders!A:A, 0)), "Unknown")</f>
        <v>Central Europe</v>
      </c>
      <c r="J4509" t="str">
        <f>PROPER(shipments[[#This Row],[delivery_status]])</f>
        <v>Delivered</v>
      </c>
      <c r="K4509" t="s">
        <v>6926</v>
      </c>
    </row>
    <row r="4510" spans="1:11">
      <c r="A4510" t="s">
        <v>11446</v>
      </c>
      <c r="B4510" t="s">
        <v>5150</v>
      </c>
      <c r="C4510" t="s">
        <v>6925</v>
      </c>
      <c r="D4510" s="1">
        <v>45448</v>
      </c>
      <c r="E4510" s="1">
        <v>45458</v>
      </c>
      <c r="F4510" s="1">
        <v>45463</v>
      </c>
      <c r="G4510">
        <v>63.14</v>
      </c>
      <c r="H45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10" t="str">
        <f>IFERROR(INDEX(Raw_orders!G:G, MATCH(shipments[[#This Row],[order_id]],Raw_orders!A:A, 0)), "Unknown")</f>
        <v>Central Europe</v>
      </c>
      <c r="J4510" t="str">
        <f>PROPER(shipments[[#This Row],[delivery_status]])</f>
        <v>Delivered</v>
      </c>
      <c r="K4510" t="s">
        <v>6926</v>
      </c>
    </row>
    <row r="4511" spans="1:11">
      <c r="A4511" t="s">
        <v>11447</v>
      </c>
      <c r="B4511" t="s">
        <v>5151</v>
      </c>
      <c r="C4511" t="s">
        <v>6938</v>
      </c>
      <c r="D4511" s="1">
        <v>45536</v>
      </c>
      <c r="E4511" s="1">
        <v>45538</v>
      </c>
      <c r="F4511" s="1">
        <v>45538</v>
      </c>
      <c r="G4511">
        <v>12.65</v>
      </c>
      <c r="H45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511" t="str">
        <f>IFERROR(INDEX(Raw_orders!G:G, MATCH(shipments[[#This Row],[order_id]],Raw_orders!A:A, 0)), "Unknown")</f>
        <v>Central Europe</v>
      </c>
      <c r="J4511" t="str">
        <f>PROPER(shipments[[#This Row],[delivery_status]])</f>
        <v>Delivered</v>
      </c>
      <c r="K4511" t="s">
        <v>6922</v>
      </c>
    </row>
    <row r="4512" spans="1:11">
      <c r="A4512" t="s">
        <v>11448</v>
      </c>
      <c r="B4512" t="s">
        <v>5152</v>
      </c>
      <c r="C4512" t="s">
        <v>6931</v>
      </c>
      <c r="D4512" s="1">
        <v>45138</v>
      </c>
      <c r="E4512" s="1">
        <v>45141</v>
      </c>
      <c r="F4512" s="1"/>
      <c r="G4512">
        <v>19.98</v>
      </c>
      <c r="H45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512" t="str">
        <f>IFERROR(INDEX(Raw_orders!G:G, MATCH(shipments[[#This Row],[order_id]],Raw_orders!A:A, 0)), "Unknown")</f>
        <v>Baltics</v>
      </c>
      <c r="J4512" t="str">
        <f>PROPER(shipments[[#This Row],[delivery_status]])</f>
        <v>In Transit</v>
      </c>
      <c r="K4512" t="s">
        <v>6958</v>
      </c>
    </row>
    <row r="4513" spans="1:11">
      <c r="A4513" t="s">
        <v>11449</v>
      </c>
      <c r="B4513" t="s">
        <v>5153</v>
      </c>
      <c r="C4513" t="s">
        <v>6956</v>
      </c>
      <c r="D4513" s="1">
        <v>45124</v>
      </c>
      <c r="E4513" s="1">
        <v>45131</v>
      </c>
      <c r="F4513" s="1">
        <v>45139</v>
      </c>
      <c r="G4513">
        <v>42.57</v>
      </c>
      <c r="H45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13" t="str">
        <f>IFERROR(INDEX(Raw_orders!G:G, MATCH(shipments[[#This Row],[order_id]],Raw_orders!A:A, 0)), "Unknown")</f>
        <v>Baltics</v>
      </c>
      <c r="J4513" t="str">
        <f>PROPER(shipments[[#This Row],[delivery_status]])</f>
        <v>Delivered</v>
      </c>
      <c r="K4513" t="s">
        <v>6922</v>
      </c>
    </row>
    <row r="4514" spans="1:11">
      <c r="A4514" t="s">
        <v>11450</v>
      </c>
      <c r="B4514" t="s">
        <v>5154</v>
      </c>
      <c r="C4514" t="s">
        <v>6928</v>
      </c>
      <c r="D4514" s="1">
        <v>45355</v>
      </c>
      <c r="E4514" s="1">
        <v>45357</v>
      </c>
      <c r="F4514" s="1">
        <v>45357</v>
      </c>
      <c r="G4514">
        <v>58.04</v>
      </c>
      <c r="H45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514" t="str">
        <f>IFERROR(INDEX(Raw_orders!G:G, MATCH(shipments[[#This Row],[order_id]],Raw_orders!A:A, 0)), "Unknown")</f>
        <v>Nordics</v>
      </c>
      <c r="J4514" t="str">
        <f>PROPER(shipments[[#This Row],[delivery_status]])</f>
        <v>Delivered</v>
      </c>
      <c r="K4514" t="s">
        <v>6929</v>
      </c>
    </row>
    <row r="4515" spans="1:11">
      <c r="A4515" t="s">
        <v>11451</v>
      </c>
      <c r="B4515" t="s">
        <v>5155</v>
      </c>
      <c r="C4515" t="s">
        <v>6956</v>
      </c>
      <c r="D4515" s="1">
        <v>45258</v>
      </c>
      <c r="E4515" s="1">
        <v>45261</v>
      </c>
      <c r="F4515" s="1"/>
      <c r="G4515">
        <v>20.6</v>
      </c>
      <c r="H45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515" t="str">
        <f>IFERROR(INDEX(Raw_orders!G:G, MATCH(shipments[[#This Row],[order_id]],Raw_orders!A:A, 0)), "Unknown")</f>
        <v>Nordics</v>
      </c>
      <c r="J4515" t="str">
        <f>PROPER(shipments[[#This Row],[delivery_status]])</f>
        <v>In Transit</v>
      </c>
      <c r="K4515" t="s">
        <v>6977</v>
      </c>
    </row>
    <row r="4516" spans="1:11">
      <c r="A4516" t="s">
        <v>11452</v>
      </c>
      <c r="B4516" t="s">
        <v>5156</v>
      </c>
      <c r="C4516" t="s">
        <v>6938</v>
      </c>
      <c r="D4516" s="1">
        <v>45249</v>
      </c>
      <c r="E4516" s="1">
        <v>45252</v>
      </c>
      <c r="F4516" s="1">
        <v>45258</v>
      </c>
      <c r="G4516">
        <v>20.36</v>
      </c>
      <c r="H45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16" t="str">
        <f>IFERROR(INDEX(Raw_orders!G:G, MATCH(shipments[[#This Row],[order_id]],Raw_orders!A:A, 0)), "Unknown")</f>
        <v>Baltics</v>
      </c>
      <c r="J4516" t="str">
        <f>PROPER(shipments[[#This Row],[delivery_status]])</f>
        <v>Delivered</v>
      </c>
      <c r="K4516" t="s">
        <v>6929</v>
      </c>
    </row>
    <row r="4517" spans="1:11">
      <c r="A4517" t="s">
        <v>11453</v>
      </c>
      <c r="B4517" t="s">
        <v>5156</v>
      </c>
      <c r="C4517" t="s">
        <v>6940</v>
      </c>
      <c r="D4517" s="1">
        <v>45249</v>
      </c>
      <c r="E4517" s="1">
        <v>45251</v>
      </c>
      <c r="F4517" s="1">
        <v>45251</v>
      </c>
      <c r="G4517">
        <v>43.26</v>
      </c>
      <c r="H45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517" t="str">
        <f>IFERROR(INDEX(Raw_orders!G:G, MATCH(shipments[[#This Row],[order_id]],Raw_orders!A:A, 0)), "Unknown")</f>
        <v>Baltics</v>
      </c>
      <c r="J4517" t="str">
        <f>PROPER(shipments[[#This Row],[delivery_status]])</f>
        <v>Delivered</v>
      </c>
      <c r="K4517" t="s">
        <v>6926</v>
      </c>
    </row>
    <row r="4518" spans="1:11">
      <c r="A4518" t="s">
        <v>11454</v>
      </c>
      <c r="B4518" t="s">
        <v>5157</v>
      </c>
      <c r="C4518" t="s">
        <v>6938</v>
      </c>
      <c r="D4518" s="1">
        <v>45387</v>
      </c>
      <c r="E4518" s="1">
        <v>45394</v>
      </c>
      <c r="F4518" s="1">
        <v>45396</v>
      </c>
      <c r="G4518">
        <v>24.78</v>
      </c>
      <c r="H45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18" t="str">
        <f>IFERROR(INDEX(Raw_orders!G:G, MATCH(shipments[[#This Row],[order_id]],Raw_orders!A:A, 0)), "Unknown")</f>
        <v>Nordics</v>
      </c>
      <c r="J4518" t="str">
        <f>PROPER(shipments[[#This Row],[delivery_status]])</f>
        <v>Delivered</v>
      </c>
      <c r="K4518" t="s">
        <v>6926</v>
      </c>
    </row>
    <row r="4519" spans="1:11">
      <c r="A4519" t="s">
        <v>11455</v>
      </c>
      <c r="B4519" t="s">
        <v>5158</v>
      </c>
      <c r="C4519" t="s">
        <v>6921</v>
      </c>
      <c r="D4519" s="1">
        <v>45441</v>
      </c>
      <c r="E4519" s="1">
        <v>45444</v>
      </c>
      <c r="F4519" s="1">
        <v>45443</v>
      </c>
      <c r="G4519">
        <v>21.67</v>
      </c>
      <c r="H45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519" t="str">
        <f>IFERROR(INDEX(Raw_orders!G:G, MATCH(shipments[[#This Row],[order_id]],Raw_orders!A:A, 0)), "Unknown")</f>
        <v>Central Europe</v>
      </c>
      <c r="J4519" t="str">
        <f>PROPER(shipments[[#This Row],[delivery_status]])</f>
        <v>Delivered</v>
      </c>
      <c r="K4519" t="s">
        <v>6929</v>
      </c>
    </row>
    <row r="4520" spans="1:11">
      <c r="A4520" t="s">
        <v>11456</v>
      </c>
      <c r="B4520" t="s">
        <v>5159</v>
      </c>
      <c r="C4520" t="s">
        <v>6928</v>
      </c>
      <c r="D4520" s="1">
        <v>45486</v>
      </c>
      <c r="E4520" s="1">
        <v>45493</v>
      </c>
      <c r="F4520" s="1"/>
      <c r="G4520">
        <v>13.82</v>
      </c>
      <c r="H45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520" t="str">
        <f>IFERROR(INDEX(Raw_orders!G:G, MATCH(shipments[[#This Row],[order_id]],Raw_orders!A:A, 0)), "Unknown")</f>
        <v>Baltics</v>
      </c>
      <c r="J4520" t="str">
        <f>PROPER(shipments[[#This Row],[delivery_status]])</f>
        <v>In Transit</v>
      </c>
      <c r="K4520" t="s">
        <v>6977</v>
      </c>
    </row>
    <row r="4521" spans="1:11">
      <c r="A4521" t="s">
        <v>11457</v>
      </c>
      <c r="B4521" t="s">
        <v>5160</v>
      </c>
      <c r="C4521" t="s">
        <v>6925</v>
      </c>
      <c r="D4521" s="1">
        <v>45447</v>
      </c>
      <c r="E4521" s="1">
        <v>45452</v>
      </c>
      <c r="F4521" s="1">
        <v>45451</v>
      </c>
      <c r="G4521">
        <v>6.88</v>
      </c>
      <c r="H45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521" t="str">
        <f>IFERROR(INDEX(Raw_orders!G:G, MATCH(shipments[[#This Row],[order_id]],Raw_orders!A:A, 0)), "Unknown")</f>
        <v>Nordics</v>
      </c>
      <c r="J4521" t="str">
        <f>PROPER(shipments[[#This Row],[delivery_status]])</f>
        <v>Delivered</v>
      </c>
      <c r="K4521" t="s">
        <v>6922</v>
      </c>
    </row>
    <row r="4522" spans="1:11">
      <c r="A4522" t="s">
        <v>11458</v>
      </c>
      <c r="B4522" t="s">
        <v>5161</v>
      </c>
      <c r="C4522" t="s">
        <v>6931</v>
      </c>
      <c r="D4522" s="1">
        <v>45482</v>
      </c>
      <c r="E4522" s="1">
        <v>45487</v>
      </c>
      <c r="F4522" s="1">
        <v>45487</v>
      </c>
      <c r="G4522">
        <v>53.36</v>
      </c>
      <c r="H45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522" t="str">
        <f>IFERROR(INDEX(Raw_orders!G:G, MATCH(shipments[[#This Row],[order_id]],Raw_orders!A:A, 0)), "Unknown")</f>
        <v>Central Europe</v>
      </c>
      <c r="J4522" t="str">
        <f>PROPER(shipments[[#This Row],[delivery_status]])</f>
        <v>Delivered</v>
      </c>
      <c r="K4522" t="s">
        <v>6922</v>
      </c>
    </row>
    <row r="4523" spans="1:11">
      <c r="A4523" t="s">
        <v>11459</v>
      </c>
      <c r="B4523" t="s">
        <v>5162</v>
      </c>
      <c r="C4523" t="s">
        <v>6940</v>
      </c>
      <c r="D4523" s="1">
        <v>45456</v>
      </c>
      <c r="E4523" s="1">
        <v>45458</v>
      </c>
      <c r="F4523" s="1"/>
      <c r="G4523">
        <v>54.13</v>
      </c>
      <c r="H45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523" t="str">
        <f>IFERROR(INDEX(Raw_orders!G:G, MATCH(shipments[[#This Row],[order_id]],Raw_orders!A:A, 0)), "Unknown")</f>
        <v>Baltics</v>
      </c>
      <c r="J4523" t="str">
        <f>PROPER(shipments[[#This Row],[delivery_status]])</f>
        <v>In Transit</v>
      </c>
      <c r="K4523" t="s">
        <v>6946</v>
      </c>
    </row>
    <row r="4524" spans="1:11">
      <c r="A4524" t="s">
        <v>11460</v>
      </c>
      <c r="B4524" t="s">
        <v>5163</v>
      </c>
      <c r="C4524" t="s">
        <v>6938</v>
      </c>
      <c r="D4524" s="1">
        <v>45443</v>
      </c>
      <c r="E4524" s="1">
        <v>45448</v>
      </c>
      <c r="F4524" s="1">
        <v>45456</v>
      </c>
      <c r="G4524">
        <v>42.42</v>
      </c>
      <c r="H45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24" t="str">
        <f>IFERROR(INDEX(Raw_orders!G:G, MATCH(shipments[[#This Row],[order_id]],Raw_orders!A:A, 0)), "Unknown")</f>
        <v>Nordics</v>
      </c>
      <c r="J4524" t="str">
        <f>PROPER(shipments[[#This Row],[delivery_status]])</f>
        <v>Delivered</v>
      </c>
      <c r="K4524" t="s">
        <v>6922</v>
      </c>
    </row>
    <row r="4525" spans="1:11">
      <c r="A4525" t="s">
        <v>11461</v>
      </c>
      <c r="B4525" t="s">
        <v>5164</v>
      </c>
      <c r="C4525" t="s">
        <v>6921</v>
      </c>
      <c r="D4525" s="1">
        <v>45544</v>
      </c>
      <c r="E4525" s="1">
        <v>45547</v>
      </c>
      <c r="F4525" s="1">
        <v>45555</v>
      </c>
      <c r="G4525">
        <v>21.4</v>
      </c>
      <c r="H45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25" t="str">
        <f>IFERROR(INDEX(Raw_orders!G:G, MATCH(shipments[[#This Row],[order_id]],Raw_orders!A:A, 0)), "Unknown")</f>
        <v>Nordics</v>
      </c>
      <c r="J4525" t="str">
        <f>PROPER(shipments[[#This Row],[delivery_status]])</f>
        <v>Delivered</v>
      </c>
      <c r="K4525" t="s">
        <v>6926</v>
      </c>
    </row>
    <row r="4526" spans="1:11">
      <c r="A4526" t="s">
        <v>11462</v>
      </c>
      <c r="B4526" t="s">
        <v>5165</v>
      </c>
      <c r="C4526" t="s">
        <v>6938</v>
      </c>
      <c r="D4526" s="1">
        <v>45532</v>
      </c>
      <c r="E4526" s="1">
        <v>45539</v>
      </c>
      <c r="F4526" s="1">
        <v>45540</v>
      </c>
      <c r="G4526">
        <v>19.12</v>
      </c>
      <c r="H45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26" t="str">
        <f>IFERROR(INDEX(Raw_orders!G:G, MATCH(shipments[[#This Row],[order_id]],Raw_orders!A:A, 0)), "Unknown")</f>
        <v>Baltics</v>
      </c>
      <c r="J4526" t="str">
        <f>PROPER(shipments[[#This Row],[delivery_status]])</f>
        <v>Delivered</v>
      </c>
      <c r="K4526" t="s">
        <v>6922</v>
      </c>
    </row>
    <row r="4527" spans="1:11">
      <c r="A4527" t="s">
        <v>11463</v>
      </c>
      <c r="B4527" t="s">
        <v>5166</v>
      </c>
      <c r="C4527" t="s">
        <v>6928</v>
      </c>
      <c r="D4527" s="1">
        <v>45024</v>
      </c>
      <c r="E4527" s="1">
        <v>45034</v>
      </c>
      <c r="F4527" s="1">
        <v>45036</v>
      </c>
      <c r="G4527">
        <v>14.74</v>
      </c>
      <c r="H45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27" t="str">
        <f>IFERROR(INDEX(Raw_orders!G:G, MATCH(shipments[[#This Row],[order_id]],Raw_orders!A:A, 0)), "Unknown")</f>
        <v>Nordics</v>
      </c>
      <c r="J4527" t="str">
        <f>PROPER(shipments[[#This Row],[delivery_status]])</f>
        <v>Delivered</v>
      </c>
      <c r="K4527" t="s">
        <v>6926</v>
      </c>
    </row>
    <row r="4528" spans="1:11">
      <c r="A4528" t="s">
        <v>11464</v>
      </c>
      <c r="B4528" t="s">
        <v>5167</v>
      </c>
      <c r="C4528" t="s">
        <v>6931</v>
      </c>
      <c r="D4528" s="1">
        <v>45479</v>
      </c>
      <c r="E4528" s="1">
        <v>45481</v>
      </c>
      <c r="F4528" s="1">
        <v>45484</v>
      </c>
      <c r="G4528">
        <v>46.25</v>
      </c>
      <c r="H45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28" t="str">
        <f>IFERROR(INDEX(Raw_orders!G:G, MATCH(shipments[[#This Row],[order_id]],Raw_orders!A:A, 0)), "Unknown")</f>
        <v>Nordics</v>
      </c>
      <c r="J4528" t="str">
        <f>PROPER(shipments[[#This Row],[delivery_status]])</f>
        <v>Delivered</v>
      </c>
      <c r="K4528" t="s">
        <v>6929</v>
      </c>
    </row>
    <row r="4529" spans="1:11">
      <c r="A4529" t="s">
        <v>11465</v>
      </c>
      <c r="B4529" t="s">
        <v>5168</v>
      </c>
      <c r="C4529" t="s">
        <v>6956</v>
      </c>
      <c r="D4529" s="1">
        <v>44954</v>
      </c>
      <c r="E4529" s="1">
        <v>44961</v>
      </c>
      <c r="F4529" s="1">
        <v>44962</v>
      </c>
      <c r="G4529">
        <v>39.04</v>
      </c>
      <c r="H45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29" t="str">
        <f>IFERROR(INDEX(Raw_orders!G:G, MATCH(shipments[[#This Row],[order_id]],Raw_orders!A:A, 0)), "Unknown")</f>
        <v>Nordics</v>
      </c>
      <c r="J4529" t="str">
        <f>PROPER(shipments[[#This Row],[delivery_status]])</f>
        <v>Delivered</v>
      </c>
      <c r="K4529" t="s">
        <v>6926</v>
      </c>
    </row>
    <row r="4530" spans="1:11">
      <c r="A4530" t="s">
        <v>11466</v>
      </c>
      <c r="B4530" t="s">
        <v>5169</v>
      </c>
      <c r="C4530" t="s">
        <v>6921</v>
      </c>
      <c r="D4530" s="1">
        <v>45459</v>
      </c>
      <c r="E4530" s="1">
        <v>45469</v>
      </c>
      <c r="F4530" s="1">
        <v>45469</v>
      </c>
      <c r="G4530">
        <v>24.4</v>
      </c>
      <c r="H45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530" t="str">
        <f>IFERROR(INDEX(Raw_orders!G:G, MATCH(shipments[[#This Row],[order_id]],Raw_orders!A:A, 0)), "Unknown")</f>
        <v>Central Europe</v>
      </c>
      <c r="J4530" t="str">
        <f>PROPER(shipments[[#This Row],[delivery_status]])</f>
        <v>Delivered</v>
      </c>
      <c r="K4530" t="s">
        <v>6922</v>
      </c>
    </row>
    <row r="4531" spans="1:11">
      <c r="A4531" t="s">
        <v>11467</v>
      </c>
      <c r="B4531" t="s">
        <v>5169</v>
      </c>
      <c r="C4531" t="s">
        <v>6921</v>
      </c>
      <c r="D4531" s="1">
        <v>45459</v>
      </c>
      <c r="E4531" s="1">
        <v>45462</v>
      </c>
      <c r="F4531" s="1">
        <v>45476</v>
      </c>
      <c r="G4531">
        <v>36.630000000000003</v>
      </c>
      <c r="H45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31" t="str">
        <f>IFERROR(INDEX(Raw_orders!G:G, MATCH(shipments[[#This Row],[order_id]],Raw_orders!A:A, 0)), "Unknown")</f>
        <v>Central Europe</v>
      </c>
      <c r="J4531" t="str">
        <f>PROPER(shipments[[#This Row],[delivery_status]])</f>
        <v>Delivered</v>
      </c>
      <c r="K4531" t="s">
        <v>6926</v>
      </c>
    </row>
    <row r="4532" spans="1:11">
      <c r="A4532" t="s">
        <v>11468</v>
      </c>
      <c r="B4532" t="s">
        <v>5170</v>
      </c>
      <c r="C4532" t="s">
        <v>6940</v>
      </c>
      <c r="D4532" s="1">
        <v>45578</v>
      </c>
      <c r="E4532" s="1">
        <v>45581</v>
      </c>
      <c r="F4532" s="1">
        <v>45589</v>
      </c>
      <c r="G4532">
        <v>31.11</v>
      </c>
      <c r="H45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32" t="str">
        <f>IFERROR(INDEX(Raw_orders!G:G, MATCH(shipments[[#This Row],[order_id]],Raw_orders!A:A, 0)), "Unknown")</f>
        <v>Baltics</v>
      </c>
      <c r="J4532" t="str">
        <f>PROPER(shipments[[#This Row],[delivery_status]])</f>
        <v>Delivered</v>
      </c>
      <c r="K4532" t="s">
        <v>6929</v>
      </c>
    </row>
    <row r="4533" spans="1:11">
      <c r="A4533" t="s">
        <v>11469</v>
      </c>
      <c r="B4533" t="s">
        <v>5171</v>
      </c>
      <c r="C4533" t="s">
        <v>6931</v>
      </c>
      <c r="D4533" s="1">
        <v>45554</v>
      </c>
      <c r="E4533" s="1">
        <v>45561</v>
      </c>
      <c r="F4533" s="1">
        <v>45561</v>
      </c>
      <c r="G4533">
        <v>59</v>
      </c>
      <c r="H45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533" t="str">
        <f>IFERROR(INDEX(Raw_orders!G:G, MATCH(shipments[[#This Row],[order_id]],Raw_orders!A:A, 0)), "Unknown")</f>
        <v>Central Europe</v>
      </c>
      <c r="J4533" t="str">
        <f>PROPER(shipments[[#This Row],[delivery_status]])</f>
        <v>Delivered</v>
      </c>
      <c r="K4533" t="s">
        <v>6929</v>
      </c>
    </row>
    <row r="4534" spans="1:11">
      <c r="A4534" t="s">
        <v>11470</v>
      </c>
      <c r="B4534" t="s">
        <v>5172</v>
      </c>
      <c r="C4534" t="s">
        <v>6928</v>
      </c>
      <c r="D4534" s="1">
        <v>45028</v>
      </c>
      <c r="E4534" s="1">
        <v>45035</v>
      </c>
      <c r="F4534" s="1"/>
      <c r="G4534">
        <v>55.81</v>
      </c>
      <c r="H45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534" t="str">
        <f>IFERROR(INDEX(Raw_orders!G:G, MATCH(shipments[[#This Row],[order_id]],Raw_orders!A:A, 0)), "Unknown")</f>
        <v>Baltics</v>
      </c>
      <c r="J4534" t="str">
        <f>PROPER(shipments[[#This Row],[delivery_status]])</f>
        <v>Cancelled</v>
      </c>
      <c r="K4534" t="s">
        <v>6979</v>
      </c>
    </row>
    <row r="4535" spans="1:11">
      <c r="A4535" t="s">
        <v>11471</v>
      </c>
      <c r="B4535" t="s">
        <v>5173</v>
      </c>
      <c r="C4535" t="s">
        <v>6928</v>
      </c>
      <c r="D4535" s="1">
        <v>45200</v>
      </c>
      <c r="E4535" s="1">
        <v>45203</v>
      </c>
      <c r="F4535" s="1">
        <v>45203</v>
      </c>
      <c r="G4535">
        <v>62.73</v>
      </c>
      <c r="H45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535" t="str">
        <f>IFERROR(INDEX(Raw_orders!G:G, MATCH(shipments[[#This Row],[order_id]],Raw_orders!A:A, 0)), "Unknown")</f>
        <v>Baltics</v>
      </c>
      <c r="J4535" t="str">
        <f>PROPER(shipments[[#This Row],[delivery_status]])</f>
        <v>Delivered</v>
      </c>
      <c r="K4535" t="s">
        <v>6926</v>
      </c>
    </row>
    <row r="4536" spans="1:11">
      <c r="A4536" t="s">
        <v>11472</v>
      </c>
      <c r="B4536" t="s">
        <v>5174</v>
      </c>
      <c r="C4536" t="s">
        <v>6928</v>
      </c>
      <c r="D4536" s="1">
        <v>44949</v>
      </c>
      <c r="E4536" s="1">
        <v>44959</v>
      </c>
      <c r="F4536" s="1">
        <v>44958</v>
      </c>
      <c r="G4536">
        <v>14.25</v>
      </c>
      <c r="H45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536" t="str">
        <f>IFERROR(INDEX(Raw_orders!G:G, MATCH(shipments[[#This Row],[order_id]],Raw_orders!A:A, 0)), "Unknown")</f>
        <v>Nordics</v>
      </c>
      <c r="J4536" t="str">
        <f>PROPER(shipments[[#This Row],[delivery_status]])</f>
        <v>Delivered</v>
      </c>
      <c r="K4536" t="s">
        <v>6922</v>
      </c>
    </row>
    <row r="4537" spans="1:11">
      <c r="A4537" t="s">
        <v>11473</v>
      </c>
      <c r="B4537" t="s">
        <v>5175</v>
      </c>
      <c r="C4537" t="s">
        <v>6956</v>
      </c>
      <c r="D4537" s="1">
        <v>45196</v>
      </c>
      <c r="E4537" s="1">
        <v>45198</v>
      </c>
      <c r="F4537" s="1">
        <v>45201</v>
      </c>
      <c r="G4537">
        <v>24.76</v>
      </c>
      <c r="H45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37" t="str">
        <f>IFERROR(INDEX(Raw_orders!G:G, MATCH(shipments[[#This Row],[order_id]],Raw_orders!A:A, 0)), "Unknown")</f>
        <v>Baltics</v>
      </c>
      <c r="J4537" t="str">
        <f>PROPER(shipments[[#This Row],[delivery_status]])</f>
        <v>Delivered</v>
      </c>
      <c r="K4537" t="s">
        <v>6922</v>
      </c>
    </row>
    <row r="4538" spans="1:11">
      <c r="A4538" t="s">
        <v>11474</v>
      </c>
      <c r="B4538" t="s">
        <v>5176</v>
      </c>
      <c r="C4538" t="s">
        <v>6925</v>
      </c>
      <c r="D4538" s="1">
        <v>45083</v>
      </c>
      <c r="E4538" s="1">
        <v>45088</v>
      </c>
      <c r="F4538" s="1">
        <v>45089</v>
      </c>
      <c r="G4538">
        <v>26.28</v>
      </c>
      <c r="H45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38" t="str">
        <f>IFERROR(INDEX(Raw_orders!G:G, MATCH(shipments[[#This Row],[order_id]],Raw_orders!A:A, 0)), "Unknown")</f>
        <v>Central Europe</v>
      </c>
      <c r="J4538" t="str">
        <f>PROPER(shipments[[#This Row],[delivery_status]])</f>
        <v>Delivered</v>
      </c>
      <c r="K4538" t="s">
        <v>6926</v>
      </c>
    </row>
    <row r="4539" spans="1:11">
      <c r="A4539" t="s">
        <v>11475</v>
      </c>
      <c r="B4539" t="s">
        <v>5177</v>
      </c>
      <c r="C4539" t="s">
        <v>6931</v>
      </c>
      <c r="D4539" s="1">
        <v>45531</v>
      </c>
      <c r="E4539" s="1">
        <v>45533</v>
      </c>
      <c r="F4539" s="1">
        <v>45537</v>
      </c>
      <c r="G4539">
        <v>58.16</v>
      </c>
      <c r="H45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39" t="str">
        <f>IFERROR(INDEX(Raw_orders!G:G, MATCH(shipments[[#This Row],[order_id]],Raw_orders!A:A, 0)), "Unknown")</f>
        <v>Nordics</v>
      </c>
      <c r="J4539" t="str">
        <f>PROPER(shipments[[#This Row],[delivery_status]])</f>
        <v>Delivered</v>
      </c>
      <c r="K4539" t="s">
        <v>6922</v>
      </c>
    </row>
    <row r="4540" spans="1:11">
      <c r="A4540" t="s">
        <v>11476</v>
      </c>
      <c r="B4540" t="s">
        <v>5178</v>
      </c>
      <c r="C4540" t="s">
        <v>6940</v>
      </c>
      <c r="D4540" s="1">
        <v>45349</v>
      </c>
      <c r="E4540" s="1">
        <v>45356</v>
      </c>
      <c r="F4540" s="1">
        <v>45356</v>
      </c>
      <c r="G4540">
        <v>25.97</v>
      </c>
      <c r="H45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540" t="str">
        <f>IFERROR(INDEX(Raw_orders!G:G, MATCH(shipments[[#This Row],[order_id]],Raw_orders!A:A, 0)), "Unknown")</f>
        <v>Central Europe</v>
      </c>
      <c r="J4540" t="str">
        <f>PROPER(shipments[[#This Row],[delivery_status]])</f>
        <v>Delivered</v>
      </c>
      <c r="K4540" t="s">
        <v>6929</v>
      </c>
    </row>
    <row r="4541" spans="1:11">
      <c r="A4541" t="s">
        <v>11477</v>
      </c>
      <c r="B4541" t="s">
        <v>5179</v>
      </c>
      <c r="C4541" t="s">
        <v>6935</v>
      </c>
      <c r="D4541" s="1">
        <v>45141</v>
      </c>
      <c r="E4541" s="1">
        <v>45143</v>
      </c>
      <c r="F4541" s="1">
        <v>45146</v>
      </c>
      <c r="G4541">
        <v>48.52</v>
      </c>
      <c r="H45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41" t="str">
        <f>IFERROR(INDEX(Raw_orders!G:G, MATCH(shipments[[#This Row],[order_id]],Raw_orders!A:A, 0)), "Unknown")</f>
        <v>Baltics</v>
      </c>
      <c r="J4541" t="str">
        <f>PROPER(shipments[[#This Row],[delivery_status]])</f>
        <v>Delivered</v>
      </c>
      <c r="K4541" t="s">
        <v>6926</v>
      </c>
    </row>
    <row r="4542" spans="1:11">
      <c r="A4542" t="s">
        <v>11478</v>
      </c>
      <c r="B4542" t="s">
        <v>5179</v>
      </c>
      <c r="C4542" t="s">
        <v>6940</v>
      </c>
      <c r="D4542" s="1">
        <v>45140</v>
      </c>
      <c r="E4542" s="1">
        <v>45150</v>
      </c>
      <c r="F4542" s="1">
        <v>45150</v>
      </c>
      <c r="G4542">
        <v>44.52</v>
      </c>
      <c r="H45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542" t="str">
        <f>IFERROR(INDEX(Raw_orders!G:G, MATCH(shipments[[#This Row],[order_id]],Raw_orders!A:A, 0)), "Unknown")</f>
        <v>Baltics</v>
      </c>
      <c r="J4542" t="str">
        <f>PROPER(shipments[[#This Row],[delivery_status]])</f>
        <v>Delivered</v>
      </c>
      <c r="K4542" t="s">
        <v>6926</v>
      </c>
    </row>
    <row r="4543" spans="1:11">
      <c r="A4543" t="s">
        <v>11479</v>
      </c>
      <c r="B4543" t="s">
        <v>5180</v>
      </c>
      <c r="C4543" t="s">
        <v>6931</v>
      </c>
      <c r="D4543" s="1">
        <v>44996</v>
      </c>
      <c r="E4543" s="1">
        <v>45001</v>
      </c>
      <c r="F4543" s="1">
        <v>45003</v>
      </c>
      <c r="G4543">
        <v>21.76</v>
      </c>
      <c r="H45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43" t="str">
        <f>IFERROR(INDEX(Raw_orders!G:G, MATCH(shipments[[#This Row],[order_id]],Raw_orders!A:A, 0)), "Unknown")</f>
        <v>Baltics</v>
      </c>
      <c r="J4543" t="str">
        <f>PROPER(shipments[[#This Row],[delivery_status]])</f>
        <v>Delivered</v>
      </c>
      <c r="K4543" t="s">
        <v>6926</v>
      </c>
    </row>
    <row r="4544" spans="1:11">
      <c r="A4544" t="s">
        <v>11480</v>
      </c>
      <c r="B4544" t="s">
        <v>5181</v>
      </c>
      <c r="C4544" t="s">
        <v>6931</v>
      </c>
      <c r="D4544" s="1">
        <v>45337</v>
      </c>
      <c r="E4544" s="1">
        <v>45339</v>
      </c>
      <c r="F4544" s="1">
        <v>45339</v>
      </c>
      <c r="G4544">
        <v>59.67</v>
      </c>
      <c r="H45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544" t="str">
        <f>IFERROR(INDEX(Raw_orders!G:G, MATCH(shipments[[#This Row],[order_id]],Raw_orders!A:A, 0)), "Unknown")</f>
        <v>Nordics</v>
      </c>
      <c r="J4544" t="str">
        <f>PROPER(shipments[[#This Row],[delivery_status]])</f>
        <v>Delivered</v>
      </c>
      <c r="K4544" t="s">
        <v>6922</v>
      </c>
    </row>
    <row r="4545" spans="1:11">
      <c r="A4545" t="s">
        <v>11481</v>
      </c>
      <c r="B4545" t="s">
        <v>5182</v>
      </c>
      <c r="C4545" t="s">
        <v>6931</v>
      </c>
      <c r="D4545" s="1">
        <v>45006</v>
      </c>
      <c r="E4545" s="1">
        <v>45013</v>
      </c>
      <c r="F4545" s="1">
        <v>45013</v>
      </c>
      <c r="G4545">
        <v>32.22</v>
      </c>
      <c r="H45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545" t="str">
        <f>IFERROR(INDEX(Raw_orders!G:G, MATCH(shipments[[#This Row],[order_id]],Raw_orders!A:A, 0)), "Unknown")</f>
        <v>Nordics</v>
      </c>
      <c r="J4545" t="str">
        <f>PROPER(shipments[[#This Row],[delivery_status]])</f>
        <v>Delivered</v>
      </c>
      <c r="K4545" t="s">
        <v>6922</v>
      </c>
    </row>
    <row r="4546" spans="1:11">
      <c r="A4546" t="s">
        <v>11482</v>
      </c>
      <c r="B4546" t="s">
        <v>5183</v>
      </c>
      <c r="C4546" t="s">
        <v>6928</v>
      </c>
      <c r="D4546" s="1">
        <v>45318</v>
      </c>
      <c r="E4546" s="1">
        <v>45320</v>
      </c>
      <c r="F4546" s="1"/>
      <c r="G4546">
        <v>12.87</v>
      </c>
      <c r="H45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546" t="str">
        <f>IFERROR(INDEX(Raw_orders!G:G, MATCH(shipments[[#This Row],[order_id]],Raw_orders!A:A, 0)), "Unknown")</f>
        <v>Baltics</v>
      </c>
      <c r="J4546" t="str">
        <f>PROPER(shipments[[#This Row],[delivery_status]])</f>
        <v>Cancelled</v>
      </c>
      <c r="K4546" t="s">
        <v>6972</v>
      </c>
    </row>
    <row r="4547" spans="1:11">
      <c r="A4547" t="s">
        <v>11483</v>
      </c>
      <c r="B4547" t="s">
        <v>5184</v>
      </c>
      <c r="C4547" t="s">
        <v>6949</v>
      </c>
      <c r="D4547" s="1">
        <v>45564</v>
      </c>
      <c r="E4547" s="1">
        <v>45571</v>
      </c>
      <c r="F4547" s="1">
        <v>45574</v>
      </c>
      <c r="G4547">
        <v>13.07</v>
      </c>
      <c r="H45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47" t="str">
        <f>IFERROR(INDEX(Raw_orders!G:G, MATCH(shipments[[#This Row],[order_id]],Raw_orders!A:A, 0)), "Unknown")</f>
        <v>Baltics</v>
      </c>
      <c r="J4547" t="str">
        <f>PROPER(shipments[[#This Row],[delivery_status]])</f>
        <v>Delivered</v>
      </c>
      <c r="K4547" t="s">
        <v>6929</v>
      </c>
    </row>
    <row r="4548" spans="1:11">
      <c r="A4548" t="s">
        <v>11484</v>
      </c>
      <c r="B4548" t="s">
        <v>5185</v>
      </c>
      <c r="C4548" t="s">
        <v>6940</v>
      </c>
      <c r="D4548" s="1">
        <v>45603</v>
      </c>
      <c r="E4548" s="1">
        <v>45608</v>
      </c>
      <c r="F4548" s="1">
        <v>45616</v>
      </c>
      <c r="G4548">
        <v>24.53</v>
      </c>
      <c r="H45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48" t="str">
        <f>IFERROR(INDEX(Raw_orders!G:G, MATCH(shipments[[#This Row],[order_id]],Raw_orders!A:A, 0)), "Unknown")</f>
        <v>Baltics</v>
      </c>
      <c r="J4548" t="str">
        <f>PROPER(shipments[[#This Row],[delivery_status]])</f>
        <v>Delivered</v>
      </c>
      <c r="K4548" t="s">
        <v>6922</v>
      </c>
    </row>
    <row r="4549" spans="1:11">
      <c r="A4549" t="s">
        <v>11485</v>
      </c>
      <c r="B4549" t="s">
        <v>5186</v>
      </c>
      <c r="C4549" t="s">
        <v>6940</v>
      </c>
      <c r="D4549" s="1">
        <v>45623</v>
      </c>
      <c r="E4549" s="1">
        <v>45626</v>
      </c>
      <c r="F4549" s="1">
        <v>45634</v>
      </c>
      <c r="G4549">
        <v>53.44</v>
      </c>
      <c r="H45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49" t="str">
        <f>IFERROR(INDEX(Raw_orders!G:G, MATCH(shipments[[#This Row],[order_id]],Raw_orders!A:A, 0)), "Unknown")</f>
        <v>Central Europe</v>
      </c>
      <c r="J4549" t="str">
        <f>PROPER(shipments[[#This Row],[delivery_status]])</f>
        <v>Delivered</v>
      </c>
      <c r="K4549" t="s">
        <v>6929</v>
      </c>
    </row>
    <row r="4550" spans="1:11">
      <c r="A4550" t="s">
        <v>11486</v>
      </c>
      <c r="B4550" t="s">
        <v>5187</v>
      </c>
      <c r="C4550" t="s">
        <v>6928</v>
      </c>
      <c r="D4550" s="1">
        <v>45188</v>
      </c>
      <c r="E4550" s="1">
        <v>45193</v>
      </c>
      <c r="F4550" s="1">
        <v>45196</v>
      </c>
      <c r="G4550">
        <v>7.32</v>
      </c>
      <c r="H45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50" t="str">
        <f>IFERROR(INDEX(Raw_orders!G:G, MATCH(shipments[[#This Row],[order_id]],Raw_orders!A:A, 0)), "Unknown")</f>
        <v>Central Europe</v>
      </c>
      <c r="J4550" t="str">
        <f>PROPER(shipments[[#This Row],[delivery_status]])</f>
        <v>Delivered</v>
      </c>
      <c r="K4550" t="s">
        <v>6922</v>
      </c>
    </row>
    <row r="4551" spans="1:11">
      <c r="A4551" t="s">
        <v>11487</v>
      </c>
      <c r="B4551" t="s">
        <v>5188</v>
      </c>
      <c r="C4551" t="s">
        <v>6921</v>
      </c>
      <c r="D4551" s="1">
        <v>45308</v>
      </c>
      <c r="E4551" s="1">
        <v>45310</v>
      </c>
      <c r="F4551" s="1">
        <v>45315</v>
      </c>
      <c r="G4551">
        <v>56.4</v>
      </c>
      <c r="H45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51" t="str">
        <f>IFERROR(INDEX(Raw_orders!G:G, MATCH(shipments[[#This Row],[order_id]],Raw_orders!A:A, 0)), "Unknown")</f>
        <v>Central Europe</v>
      </c>
      <c r="J4551" t="str">
        <f>PROPER(shipments[[#This Row],[delivery_status]])</f>
        <v>Delivered</v>
      </c>
      <c r="K4551" t="s">
        <v>6929</v>
      </c>
    </row>
    <row r="4552" spans="1:11">
      <c r="A4552" t="s">
        <v>11488</v>
      </c>
      <c r="B4552" t="s">
        <v>5189</v>
      </c>
      <c r="C4552" t="s">
        <v>6921</v>
      </c>
      <c r="D4552" s="1">
        <v>45278</v>
      </c>
      <c r="E4552" s="1">
        <v>45288</v>
      </c>
      <c r="F4552" s="1">
        <v>45288</v>
      </c>
      <c r="G4552">
        <v>16.27</v>
      </c>
      <c r="H45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552" t="str">
        <f>IFERROR(INDEX(Raw_orders!G:G, MATCH(shipments[[#This Row],[order_id]],Raw_orders!A:A, 0)), "Unknown")</f>
        <v>Nordics</v>
      </c>
      <c r="J4552" t="str">
        <f>PROPER(shipments[[#This Row],[delivery_status]])</f>
        <v>Delivered</v>
      </c>
      <c r="K4552" t="s">
        <v>6926</v>
      </c>
    </row>
    <row r="4553" spans="1:11">
      <c r="A4553" t="s">
        <v>11489</v>
      </c>
      <c r="B4553" t="s">
        <v>5190</v>
      </c>
      <c r="C4553" t="s">
        <v>6956</v>
      </c>
      <c r="D4553" s="1">
        <v>45597</v>
      </c>
      <c r="E4553" s="1">
        <v>45600</v>
      </c>
      <c r="F4553" s="1">
        <v>45603</v>
      </c>
      <c r="G4553">
        <v>33.81</v>
      </c>
      <c r="H45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53" t="str">
        <f>IFERROR(INDEX(Raw_orders!G:G, MATCH(shipments[[#This Row],[order_id]],Raw_orders!A:A, 0)), "Unknown")</f>
        <v>Central Europe</v>
      </c>
      <c r="J4553" t="str">
        <f>PROPER(shipments[[#This Row],[delivery_status]])</f>
        <v>Delivered</v>
      </c>
      <c r="K4553" t="s">
        <v>6929</v>
      </c>
    </row>
    <row r="4554" spans="1:11">
      <c r="A4554" t="s">
        <v>11490</v>
      </c>
      <c r="B4554" t="s">
        <v>5190</v>
      </c>
      <c r="C4554" t="s">
        <v>6956</v>
      </c>
      <c r="D4554" s="1">
        <v>45595</v>
      </c>
      <c r="E4554" s="1">
        <v>45598</v>
      </c>
      <c r="F4554" s="1">
        <v>45597</v>
      </c>
      <c r="G4554">
        <v>55.47</v>
      </c>
      <c r="H45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554" t="str">
        <f>IFERROR(INDEX(Raw_orders!G:G, MATCH(shipments[[#This Row],[order_id]],Raw_orders!A:A, 0)), "Unknown")</f>
        <v>Central Europe</v>
      </c>
      <c r="J4554" t="str">
        <f>PROPER(shipments[[#This Row],[delivery_status]])</f>
        <v>Delivered</v>
      </c>
      <c r="K4554" t="s">
        <v>6926</v>
      </c>
    </row>
    <row r="4555" spans="1:11">
      <c r="A4555" t="s">
        <v>11491</v>
      </c>
      <c r="B4555" t="s">
        <v>5191</v>
      </c>
      <c r="C4555" t="s">
        <v>6928</v>
      </c>
      <c r="D4555" s="1">
        <v>45066</v>
      </c>
      <c r="E4555" s="1">
        <v>45068</v>
      </c>
      <c r="F4555" s="1"/>
      <c r="G4555">
        <v>57.29</v>
      </c>
      <c r="H45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555" t="str">
        <f>IFERROR(INDEX(Raw_orders!G:G, MATCH(shipments[[#This Row],[order_id]],Raw_orders!A:A, 0)), "Unknown")</f>
        <v>Baltics</v>
      </c>
      <c r="J4555" t="str">
        <f>PROPER(shipments[[#This Row],[delivery_status]])</f>
        <v>Cancelled</v>
      </c>
      <c r="K4555" t="s">
        <v>6979</v>
      </c>
    </row>
    <row r="4556" spans="1:11">
      <c r="A4556" t="s">
        <v>11492</v>
      </c>
      <c r="B4556" t="s">
        <v>5192</v>
      </c>
      <c r="C4556" t="s">
        <v>6925</v>
      </c>
      <c r="D4556" s="1">
        <v>45041</v>
      </c>
      <c r="E4556" s="1">
        <v>45043</v>
      </c>
      <c r="F4556" s="1">
        <v>45043</v>
      </c>
      <c r="G4556">
        <v>23.38</v>
      </c>
      <c r="H45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556" t="str">
        <f>IFERROR(INDEX(Raw_orders!G:G, MATCH(shipments[[#This Row],[order_id]],Raw_orders!A:A, 0)), "Unknown")</f>
        <v>Nordics</v>
      </c>
      <c r="J4556" t="str">
        <f>PROPER(shipments[[#This Row],[delivery_status]])</f>
        <v>Delivered</v>
      </c>
      <c r="K4556" t="s">
        <v>6929</v>
      </c>
    </row>
    <row r="4557" spans="1:11">
      <c r="A4557" t="s">
        <v>11493</v>
      </c>
      <c r="B4557" t="s">
        <v>5193</v>
      </c>
      <c r="C4557" t="s">
        <v>6938</v>
      </c>
      <c r="D4557" s="1">
        <v>45555</v>
      </c>
      <c r="E4557" s="1">
        <v>45565</v>
      </c>
      <c r="F4557" s="1">
        <v>45570</v>
      </c>
      <c r="G4557">
        <v>24.73</v>
      </c>
      <c r="H45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57" t="str">
        <f>IFERROR(INDEX(Raw_orders!G:G, MATCH(shipments[[#This Row],[order_id]],Raw_orders!A:A, 0)), "Unknown")</f>
        <v>Baltics</v>
      </c>
      <c r="J4557" t="str">
        <f>PROPER(shipments[[#This Row],[delivery_status]])</f>
        <v>Delivered</v>
      </c>
      <c r="K4557" t="s">
        <v>6929</v>
      </c>
    </row>
    <row r="4558" spans="1:11">
      <c r="A4558" t="s">
        <v>11494</v>
      </c>
      <c r="B4558" t="s">
        <v>5194</v>
      </c>
      <c r="C4558" t="s">
        <v>6938</v>
      </c>
      <c r="D4558" s="1">
        <v>45329</v>
      </c>
      <c r="E4558" s="1">
        <v>45332</v>
      </c>
      <c r="F4558" s="1">
        <v>45337</v>
      </c>
      <c r="G4558">
        <v>32.81</v>
      </c>
      <c r="H45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58" t="str">
        <f>IFERROR(INDEX(Raw_orders!G:G, MATCH(shipments[[#This Row],[order_id]],Raw_orders!A:A, 0)), "Unknown")</f>
        <v>Baltics</v>
      </c>
      <c r="J4558" t="str">
        <f>PROPER(shipments[[#This Row],[delivery_status]])</f>
        <v>Delivered</v>
      </c>
      <c r="K4558" t="s">
        <v>6926</v>
      </c>
    </row>
    <row r="4559" spans="1:11">
      <c r="A4559" t="s">
        <v>11495</v>
      </c>
      <c r="B4559" t="s">
        <v>5195</v>
      </c>
      <c r="C4559" t="s">
        <v>6940</v>
      </c>
      <c r="D4559" s="1">
        <v>45444</v>
      </c>
      <c r="E4559" s="1">
        <v>45451</v>
      </c>
      <c r="F4559" s="1">
        <v>45452</v>
      </c>
      <c r="G4559">
        <v>28.18</v>
      </c>
      <c r="H45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59" t="str">
        <f>IFERROR(INDEX(Raw_orders!G:G, MATCH(shipments[[#This Row],[order_id]],Raw_orders!A:A, 0)), "Unknown")</f>
        <v>Central Europe</v>
      </c>
      <c r="J4559" t="str">
        <f>PROPER(shipments[[#This Row],[delivery_status]])</f>
        <v>Delivered</v>
      </c>
      <c r="K4559" t="s">
        <v>6929</v>
      </c>
    </row>
    <row r="4560" spans="1:11">
      <c r="A4560" t="s">
        <v>11496</v>
      </c>
      <c r="B4560" t="s">
        <v>5196</v>
      </c>
      <c r="C4560" t="s">
        <v>6949</v>
      </c>
      <c r="D4560" s="1">
        <v>45345</v>
      </c>
      <c r="E4560" s="1">
        <v>45347</v>
      </c>
      <c r="F4560" s="1">
        <v>45359</v>
      </c>
      <c r="G4560">
        <v>15.34</v>
      </c>
      <c r="H45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60" t="str">
        <f>IFERROR(INDEX(Raw_orders!G:G, MATCH(shipments[[#This Row],[order_id]],Raw_orders!A:A, 0)), "Unknown")</f>
        <v>Baltics</v>
      </c>
      <c r="J4560" t="str">
        <f>PROPER(shipments[[#This Row],[delivery_status]])</f>
        <v>Delivered</v>
      </c>
      <c r="K4560" t="s">
        <v>6929</v>
      </c>
    </row>
    <row r="4561" spans="1:11">
      <c r="A4561" t="s">
        <v>11497</v>
      </c>
      <c r="B4561" t="s">
        <v>5197</v>
      </c>
      <c r="C4561" t="s">
        <v>6921</v>
      </c>
      <c r="D4561" s="1">
        <v>45541</v>
      </c>
      <c r="E4561" s="1">
        <v>45546</v>
      </c>
      <c r="F4561" s="1">
        <v>45549</v>
      </c>
      <c r="G4561">
        <v>37.89</v>
      </c>
      <c r="H45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61" t="str">
        <f>IFERROR(INDEX(Raw_orders!G:G, MATCH(shipments[[#This Row],[order_id]],Raw_orders!A:A, 0)), "Unknown")</f>
        <v>Baltics</v>
      </c>
      <c r="J4561" t="str">
        <f>PROPER(shipments[[#This Row],[delivery_status]])</f>
        <v>Delivered</v>
      </c>
      <c r="K4561" t="s">
        <v>6926</v>
      </c>
    </row>
    <row r="4562" spans="1:11">
      <c r="A4562" t="s">
        <v>11498</v>
      </c>
      <c r="B4562" t="s">
        <v>5198</v>
      </c>
      <c r="C4562" t="s">
        <v>6938</v>
      </c>
      <c r="D4562" s="1">
        <v>45390</v>
      </c>
      <c r="E4562" s="1">
        <v>45400</v>
      </c>
      <c r="F4562" s="1">
        <v>45402</v>
      </c>
      <c r="G4562">
        <v>5.15</v>
      </c>
      <c r="H45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62" t="str">
        <f>IFERROR(INDEX(Raw_orders!G:G, MATCH(shipments[[#This Row],[order_id]],Raw_orders!A:A, 0)), "Unknown")</f>
        <v>Nordics</v>
      </c>
      <c r="J4562" t="str">
        <f>PROPER(shipments[[#This Row],[delivery_status]])</f>
        <v>Delivered</v>
      </c>
      <c r="K4562" t="s">
        <v>6929</v>
      </c>
    </row>
    <row r="4563" spans="1:11">
      <c r="A4563" t="s">
        <v>11499</v>
      </c>
      <c r="B4563" t="s">
        <v>5199</v>
      </c>
      <c r="C4563" t="s">
        <v>6956</v>
      </c>
      <c r="D4563" s="1">
        <v>45022</v>
      </c>
      <c r="E4563" s="1">
        <v>45024</v>
      </c>
      <c r="F4563" s="1">
        <v>45032</v>
      </c>
      <c r="G4563">
        <v>31.59</v>
      </c>
      <c r="H45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63" t="str">
        <f>IFERROR(INDEX(Raw_orders!G:G, MATCH(shipments[[#This Row],[order_id]],Raw_orders!A:A, 0)), "Unknown")</f>
        <v>Central Europe</v>
      </c>
      <c r="J4563" t="str">
        <f>PROPER(shipments[[#This Row],[delivery_status]])</f>
        <v>Delivered</v>
      </c>
      <c r="K4563" t="s">
        <v>6926</v>
      </c>
    </row>
    <row r="4564" spans="1:11">
      <c r="A4564" t="s">
        <v>11500</v>
      </c>
      <c r="B4564" t="s">
        <v>5200</v>
      </c>
      <c r="C4564" t="s">
        <v>6938</v>
      </c>
      <c r="D4564" s="1">
        <v>44972</v>
      </c>
      <c r="E4564" s="1">
        <v>44974</v>
      </c>
      <c r="F4564" s="1">
        <v>44977</v>
      </c>
      <c r="G4564">
        <v>14.05</v>
      </c>
      <c r="H45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64" t="str">
        <f>IFERROR(INDEX(Raw_orders!G:G, MATCH(shipments[[#This Row],[order_id]],Raw_orders!A:A, 0)), "Unknown")</f>
        <v>Central Europe</v>
      </c>
      <c r="J4564" t="str">
        <f>PROPER(shipments[[#This Row],[delivery_status]])</f>
        <v>Delivered</v>
      </c>
      <c r="K4564" t="s">
        <v>6922</v>
      </c>
    </row>
    <row r="4565" spans="1:11">
      <c r="A4565" t="s">
        <v>11501</v>
      </c>
      <c r="B4565" t="s">
        <v>5201</v>
      </c>
      <c r="C4565" t="s">
        <v>6940</v>
      </c>
      <c r="D4565" s="1">
        <v>45607</v>
      </c>
      <c r="E4565" s="1">
        <v>45612</v>
      </c>
      <c r="F4565" s="1">
        <v>45614</v>
      </c>
      <c r="G4565">
        <v>18.600000000000001</v>
      </c>
      <c r="H45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65" t="str">
        <f>IFERROR(INDEX(Raw_orders!G:G, MATCH(shipments[[#This Row],[order_id]],Raw_orders!A:A, 0)), "Unknown")</f>
        <v>Central Europe</v>
      </c>
      <c r="J4565" t="str">
        <f>PROPER(shipments[[#This Row],[delivery_status]])</f>
        <v>Delivered</v>
      </c>
      <c r="K4565" t="s">
        <v>6922</v>
      </c>
    </row>
    <row r="4566" spans="1:11">
      <c r="A4566" t="s">
        <v>11502</v>
      </c>
      <c r="B4566" t="s">
        <v>5202</v>
      </c>
      <c r="C4566" t="s">
        <v>6921</v>
      </c>
      <c r="D4566" s="1">
        <v>45531</v>
      </c>
      <c r="E4566" s="1">
        <v>45541</v>
      </c>
      <c r="F4566" s="1">
        <v>45542</v>
      </c>
      <c r="G4566">
        <v>5.44</v>
      </c>
      <c r="H45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66" t="str">
        <f>IFERROR(INDEX(Raw_orders!G:G, MATCH(shipments[[#This Row],[order_id]],Raw_orders!A:A, 0)), "Unknown")</f>
        <v>Baltics</v>
      </c>
      <c r="J4566" t="str">
        <f>PROPER(shipments[[#This Row],[delivery_status]])</f>
        <v>Delivered</v>
      </c>
      <c r="K4566" t="s">
        <v>6929</v>
      </c>
    </row>
    <row r="4567" spans="1:11">
      <c r="A4567" t="s">
        <v>11503</v>
      </c>
      <c r="B4567" t="s">
        <v>5203</v>
      </c>
      <c r="C4567" t="s">
        <v>6928</v>
      </c>
      <c r="D4567" s="1">
        <v>45106</v>
      </c>
      <c r="E4567" s="1">
        <v>45109</v>
      </c>
      <c r="F4567" s="1">
        <v>45109</v>
      </c>
      <c r="G4567">
        <v>46.87</v>
      </c>
      <c r="H45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567" t="str">
        <f>IFERROR(INDEX(Raw_orders!G:G, MATCH(shipments[[#This Row],[order_id]],Raw_orders!A:A, 0)), "Unknown")</f>
        <v>Baltics</v>
      </c>
      <c r="J4567" t="str">
        <f>PROPER(shipments[[#This Row],[delivery_status]])</f>
        <v>Delivered</v>
      </c>
      <c r="K4567" t="s">
        <v>6922</v>
      </c>
    </row>
    <row r="4568" spans="1:11">
      <c r="A4568" t="s">
        <v>11504</v>
      </c>
      <c r="B4568" t="s">
        <v>5204</v>
      </c>
      <c r="C4568" t="s">
        <v>6925</v>
      </c>
      <c r="D4568" s="1">
        <v>44932</v>
      </c>
      <c r="E4568" s="1">
        <v>44937</v>
      </c>
      <c r="F4568" s="1">
        <v>44936</v>
      </c>
      <c r="G4568">
        <v>43.01</v>
      </c>
      <c r="H45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568" t="str">
        <f>IFERROR(INDEX(Raw_orders!G:G, MATCH(shipments[[#This Row],[order_id]],Raw_orders!A:A, 0)), "Unknown")</f>
        <v>Nordics</v>
      </c>
      <c r="J4568" t="str">
        <f>PROPER(shipments[[#This Row],[delivery_status]])</f>
        <v>Delivered</v>
      </c>
      <c r="K4568" t="s">
        <v>6922</v>
      </c>
    </row>
    <row r="4569" spans="1:11">
      <c r="A4569" t="s">
        <v>11505</v>
      </c>
      <c r="B4569" t="s">
        <v>5205</v>
      </c>
      <c r="C4569" t="s">
        <v>6931</v>
      </c>
      <c r="D4569" s="1">
        <v>45352</v>
      </c>
      <c r="E4569" s="1">
        <v>45362</v>
      </c>
      <c r="F4569" s="1">
        <v>45363</v>
      </c>
      <c r="G4569">
        <v>41.71</v>
      </c>
      <c r="H45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69" t="str">
        <f>IFERROR(INDEX(Raw_orders!G:G, MATCH(shipments[[#This Row],[order_id]],Raw_orders!A:A, 0)), "Unknown")</f>
        <v>Baltics</v>
      </c>
      <c r="J4569" t="str">
        <f>PROPER(shipments[[#This Row],[delivery_status]])</f>
        <v>Delivered</v>
      </c>
      <c r="K4569" t="s">
        <v>6929</v>
      </c>
    </row>
    <row r="4570" spans="1:11">
      <c r="A4570" t="s">
        <v>11506</v>
      </c>
      <c r="B4570" t="s">
        <v>5205</v>
      </c>
      <c r="C4570" t="s">
        <v>6935</v>
      </c>
      <c r="D4570" s="1">
        <v>45352</v>
      </c>
      <c r="E4570" s="1">
        <v>45357</v>
      </c>
      <c r="F4570" s="1">
        <v>45358</v>
      </c>
      <c r="G4570">
        <v>34.909999999999997</v>
      </c>
      <c r="H45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70" t="str">
        <f>IFERROR(INDEX(Raw_orders!G:G, MATCH(shipments[[#This Row],[order_id]],Raw_orders!A:A, 0)), "Unknown")</f>
        <v>Baltics</v>
      </c>
      <c r="J4570" t="str">
        <f>PROPER(shipments[[#This Row],[delivery_status]])</f>
        <v>Delivered</v>
      </c>
      <c r="K4570" t="s">
        <v>6922</v>
      </c>
    </row>
    <row r="4571" spans="1:11">
      <c r="A4571" t="s">
        <v>11507</v>
      </c>
      <c r="B4571" t="s">
        <v>5206</v>
      </c>
      <c r="C4571" t="s">
        <v>6949</v>
      </c>
      <c r="D4571" s="1">
        <v>45464</v>
      </c>
      <c r="E4571" s="1">
        <v>45471</v>
      </c>
      <c r="F4571" s="1"/>
      <c r="G4571">
        <v>64.14</v>
      </c>
      <c r="H45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571" t="str">
        <f>IFERROR(INDEX(Raw_orders!G:G, MATCH(shipments[[#This Row],[order_id]],Raw_orders!A:A, 0)), "Unknown")</f>
        <v>Central Europe</v>
      </c>
      <c r="J4571" t="str">
        <f>PROPER(shipments[[#This Row],[delivery_status]])</f>
        <v>In Transit</v>
      </c>
      <c r="K4571" t="s">
        <v>6977</v>
      </c>
    </row>
    <row r="4572" spans="1:11">
      <c r="A4572" t="s">
        <v>11508</v>
      </c>
      <c r="B4572" t="s">
        <v>5207</v>
      </c>
      <c r="C4572" t="s">
        <v>6940</v>
      </c>
      <c r="D4572" s="1">
        <v>45622</v>
      </c>
      <c r="E4572" s="1">
        <v>45627</v>
      </c>
      <c r="F4572" s="1">
        <v>45627</v>
      </c>
      <c r="G4572">
        <v>56.98</v>
      </c>
      <c r="H45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572" t="str">
        <f>IFERROR(INDEX(Raw_orders!G:G, MATCH(shipments[[#This Row],[order_id]],Raw_orders!A:A, 0)), "Unknown")</f>
        <v>Baltics</v>
      </c>
      <c r="J4572" t="str">
        <f>PROPER(shipments[[#This Row],[delivery_status]])</f>
        <v>Delivered</v>
      </c>
      <c r="K4572" t="s">
        <v>6929</v>
      </c>
    </row>
    <row r="4573" spans="1:11">
      <c r="A4573" t="s">
        <v>11509</v>
      </c>
      <c r="B4573" t="s">
        <v>5208</v>
      </c>
      <c r="C4573" t="s">
        <v>6921</v>
      </c>
      <c r="D4573" s="1">
        <v>45349</v>
      </c>
      <c r="E4573" s="1">
        <v>45359</v>
      </c>
      <c r="F4573" s="1">
        <v>45367</v>
      </c>
      <c r="G4573">
        <v>31.45</v>
      </c>
      <c r="H45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73" t="str">
        <f>IFERROR(INDEX(Raw_orders!G:G, MATCH(shipments[[#This Row],[order_id]],Raw_orders!A:A, 0)), "Unknown")</f>
        <v>Nordics</v>
      </c>
      <c r="J4573" t="str">
        <f>PROPER(shipments[[#This Row],[delivery_status]])</f>
        <v>Delivered</v>
      </c>
      <c r="K4573" t="s">
        <v>6929</v>
      </c>
    </row>
    <row r="4574" spans="1:11">
      <c r="A4574" t="s">
        <v>11510</v>
      </c>
      <c r="B4574" t="s">
        <v>5208</v>
      </c>
      <c r="C4574" t="s">
        <v>6938</v>
      </c>
      <c r="D4574" s="1">
        <v>45347</v>
      </c>
      <c r="E4574" s="1">
        <v>45354</v>
      </c>
      <c r="F4574" s="1">
        <v>45354</v>
      </c>
      <c r="G4574">
        <v>31.73</v>
      </c>
      <c r="H45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574" t="str">
        <f>IFERROR(INDEX(Raw_orders!G:G, MATCH(shipments[[#This Row],[order_id]],Raw_orders!A:A, 0)), "Unknown")</f>
        <v>Nordics</v>
      </c>
      <c r="J4574" t="str">
        <f>PROPER(shipments[[#This Row],[delivery_status]])</f>
        <v>Delivered</v>
      </c>
      <c r="K4574" t="s">
        <v>6926</v>
      </c>
    </row>
    <row r="4575" spans="1:11">
      <c r="A4575" t="s">
        <v>11511</v>
      </c>
      <c r="B4575" t="s">
        <v>5209</v>
      </c>
      <c r="C4575" t="s">
        <v>6956</v>
      </c>
      <c r="D4575" s="1">
        <v>45031</v>
      </c>
      <c r="E4575" s="1">
        <v>45034</v>
      </c>
      <c r="F4575" s="1"/>
      <c r="G4575">
        <v>28.06</v>
      </c>
      <c r="H45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575" t="str">
        <f>IFERROR(INDEX(Raw_orders!G:G, MATCH(shipments[[#This Row],[order_id]],Raw_orders!A:A, 0)), "Unknown")</f>
        <v>Nordics</v>
      </c>
      <c r="J4575" t="str">
        <f>PROPER(shipments[[#This Row],[delivery_status]])</f>
        <v>Cancelled</v>
      </c>
      <c r="K4575" t="s">
        <v>6979</v>
      </c>
    </row>
    <row r="4576" spans="1:11">
      <c r="A4576" t="s">
        <v>11512</v>
      </c>
      <c r="B4576" t="s">
        <v>5210</v>
      </c>
      <c r="C4576" t="s">
        <v>6935</v>
      </c>
      <c r="D4576" s="1">
        <v>45306</v>
      </c>
      <c r="E4576" s="1">
        <v>45309</v>
      </c>
      <c r="F4576" s="1">
        <v>45310</v>
      </c>
      <c r="G4576">
        <v>36.69</v>
      </c>
      <c r="H45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76" t="str">
        <f>IFERROR(INDEX(Raw_orders!G:G, MATCH(shipments[[#This Row],[order_id]],Raw_orders!A:A, 0)), "Unknown")</f>
        <v>Nordics</v>
      </c>
      <c r="J4576" t="str">
        <f>PROPER(shipments[[#This Row],[delivery_status]])</f>
        <v>Delivered</v>
      </c>
      <c r="K4576" t="s">
        <v>6929</v>
      </c>
    </row>
    <row r="4577" spans="1:11">
      <c r="A4577" t="s">
        <v>11513</v>
      </c>
      <c r="B4577" t="s">
        <v>5211</v>
      </c>
      <c r="C4577" t="s">
        <v>6928</v>
      </c>
      <c r="D4577" s="1">
        <v>45147</v>
      </c>
      <c r="E4577" s="1">
        <v>45154</v>
      </c>
      <c r="F4577" s="1">
        <v>45157</v>
      </c>
      <c r="G4577">
        <v>60.83</v>
      </c>
      <c r="H45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77" t="str">
        <f>IFERROR(INDEX(Raw_orders!G:G, MATCH(shipments[[#This Row],[order_id]],Raw_orders!A:A, 0)), "Unknown")</f>
        <v>Central Europe</v>
      </c>
      <c r="J4577" t="str">
        <f>PROPER(shipments[[#This Row],[delivery_status]])</f>
        <v>Delivered</v>
      </c>
      <c r="K4577" t="s">
        <v>6922</v>
      </c>
    </row>
    <row r="4578" spans="1:11">
      <c r="A4578" t="s">
        <v>11514</v>
      </c>
      <c r="B4578" t="s">
        <v>5212</v>
      </c>
      <c r="C4578" t="s">
        <v>6928</v>
      </c>
      <c r="D4578" s="1">
        <v>44951</v>
      </c>
      <c r="E4578" s="1">
        <v>44954</v>
      </c>
      <c r="F4578" s="1">
        <v>44961</v>
      </c>
      <c r="G4578">
        <v>56.48</v>
      </c>
      <c r="H45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78" t="str">
        <f>IFERROR(INDEX(Raw_orders!G:G, MATCH(shipments[[#This Row],[order_id]],Raw_orders!A:A, 0)), "Unknown")</f>
        <v>Central Europe</v>
      </c>
      <c r="J4578" t="str">
        <f>PROPER(shipments[[#This Row],[delivery_status]])</f>
        <v>Delivered</v>
      </c>
      <c r="K4578" t="s">
        <v>6926</v>
      </c>
    </row>
    <row r="4579" spans="1:11">
      <c r="A4579" t="s">
        <v>11515</v>
      </c>
      <c r="B4579" t="s">
        <v>5213</v>
      </c>
      <c r="C4579" t="s">
        <v>6921</v>
      </c>
      <c r="D4579" s="1">
        <v>44993</v>
      </c>
      <c r="E4579" s="1">
        <v>45003</v>
      </c>
      <c r="F4579" s="1">
        <v>45006</v>
      </c>
      <c r="G4579">
        <v>31.97</v>
      </c>
      <c r="H45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79" t="str">
        <f>IFERROR(INDEX(Raw_orders!G:G, MATCH(shipments[[#This Row],[order_id]],Raw_orders!A:A, 0)), "Unknown")</f>
        <v>Nordics</v>
      </c>
      <c r="J4579" t="str">
        <f>PROPER(shipments[[#This Row],[delivery_status]])</f>
        <v>Delivered</v>
      </c>
      <c r="K4579" t="s">
        <v>6926</v>
      </c>
    </row>
    <row r="4580" spans="1:11">
      <c r="A4580" t="s">
        <v>11516</v>
      </c>
      <c r="B4580" t="s">
        <v>5214</v>
      </c>
      <c r="C4580" t="s">
        <v>6956</v>
      </c>
      <c r="D4580" s="1">
        <v>45263</v>
      </c>
      <c r="E4580" s="1">
        <v>45268</v>
      </c>
      <c r="F4580" s="1">
        <v>45282</v>
      </c>
      <c r="G4580">
        <v>9.09</v>
      </c>
      <c r="H45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80" t="str">
        <f>IFERROR(INDEX(Raw_orders!G:G, MATCH(shipments[[#This Row],[order_id]],Raw_orders!A:A, 0)), "Unknown")</f>
        <v>Nordics</v>
      </c>
      <c r="J4580" t="str">
        <f>PROPER(shipments[[#This Row],[delivery_status]])</f>
        <v>Delivered</v>
      </c>
      <c r="K4580" t="s">
        <v>6922</v>
      </c>
    </row>
    <row r="4581" spans="1:11">
      <c r="A4581" t="s">
        <v>11517</v>
      </c>
      <c r="B4581" t="s">
        <v>5215</v>
      </c>
      <c r="C4581" t="s">
        <v>6925</v>
      </c>
      <c r="D4581" s="1">
        <v>45045</v>
      </c>
      <c r="E4581" s="1">
        <v>45055</v>
      </c>
      <c r="F4581" s="1"/>
      <c r="G4581">
        <v>38.89</v>
      </c>
      <c r="H45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581" t="str">
        <f>IFERROR(INDEX(Raw_orders!G:G, MATCH(shipments[[#This Row],[order_id]],Raw_orders!A:A, 0)), "Unknown")</f>
        <v>Nordics</v>
      </c>
      <c r="J4581" t="str">
        <f>PROPER(shipments[[#This Row],[delivery_status]])</f>
        <v>Cancelled</v>
      </c>
      <c r="K4581" t="s">
        <v>6972</v>
      </c>
    </row>
    <row r="4582" spans="1:11">
      <c r="A4582" t="s">
        <v>11518</v>
      </c>
      <c r="B4582" t="s">
        <v>5215</v>
      </c>
      <c r="C4582" t="s">
        <v>6931</v>
      </c>
      <c r="D4582" s="1">
        <v>45046</v>
      </c>
      <c r="E4582" s="1">
        <v>45049</v>
      </c>
      <c r="F4582" s="1">
        <v>45049</v>
      </c>
      <c r="G4582">
        <v>12.51</v>
      </c>
      <c r="H45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582" t="str">
        <f>IFERROR(INDEX(Raw_orders!G:G, MATCH(shipments[[#This Row],[order_id]],Raw_orders!A:A, 0)), "Unknown")</f>
        <v>Nordics</v>
      </c>
      <c r="J4582" t="str">
        <f>PROPER(shipments[[#This Row],[delivery_status]])</f>
        <v>Delivered</v>
      </c>
      <c r="K4582" t="s">
        <v>6922</v>
      </c>
    </row>
    <row r="4583" spans="1:11">
      <c r="A4583" t="s">
        <v>11519</v>
      </c>
      <c r="B4583" t="s">
        <v>5216</v>
      </c>
      <c r="C4583" t="s">
        <v>6956</v>
      </c>
      <c r="D4583" s="1">
        <v>45577</v>
      </c>
      <c r="E4583" s="1">
        <v>45579</v>
      </c>
      <c r="F4583" s="1">
        <v>45582</v>
      </c>
      <c r="G4583">
        <v>20.95</v>
      </c>
      <c r="H45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83" t="str">
        <f>IFERROR(INDEX(Raw_orders!G:G, MATCH(shipments[[#This Row],[order_id]],Raw_orders!A:A, 0)), "Unknown")</f>
        <v>Central Europe</v>
      </c>
      <c r="J4583" t="str">
        <f>PROPER(shipments[[#This Row],[delivery_status]])</f>
        <v>Delivered</v>
      </c>
      <c r="K4583" t="s">
        <v>6926</v>
      </c>
    </row>
    <row r="4584" spans="1:11">
      <c r="A4584" t="s">
        <v>11520</v>
      </c>
      <c r="B4584" t="s">
        <v>5217</v>
      </c>
      <c r="C4584" t="s">
        <v>6956</v>
      </c>
      <c r="D4584" s="1">
        <v>44962</v>
      </c>
      <c r="E4584" s="1">
        <v>44967</v>
      </c>
      <c r="F4584" s="1">
        <v>44972</v>
      </c>
      <c r="G4584">
        <v>23.69</v>
      </c>
      <c r="H45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84" t="str">
        <f>IFERROR(INDEX(Raw_orders!G:G, MATCH(shipments[[#This Row],[order_id]],Raw_orders!A:A, 0)), "Unknown")</f>
        <v>Baltics</v>
      </c>
      <c r="J4584" t="str">
        <f>PROPER(shipments[[#This Row],[delivery_status]])</f>
        <v>Delivered</v>
      </c>
      <c r="K4584" t="s">
        <v>6929</v>
      </c>
    </row>
    <row r="4585" spans="1:11">
      <c r="A4585" t="s">
        <v>11521</v>
      </c>
      <c r="B4585" t="s">
        <v>5218</v>
      </c>
      <c r="C4585" t="s">
        <v>6940</v>
      </c>
      <c r="D4585" s="1">
        <v>44984</v>
      </c>
      <c r="E4585" s="1">
        <v>44994</v>
      </c>
      <c r="F4585" s="1">
        <v>45006</v>
      </c>
      <c r="G4585">
        <v>31.77</v>
      </c>
      <c r="H45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85" t="str">
        <f>IFERROR(INDEX(Raw_orders!G:G, MATCH(shipments[[#This Row],[order_id]],Raw_orders!A:A, 0)), "Unknown")</f>
        <v>Baltics</v>
      </c>
      <c r="J4585" t="str">
        <f>PROPER(shipments[[#This Row],[delivery_status]])</f>
        <v>Delivered</v>
      </c>
      <c r="K4585" t="s">
        <v>6926</v>
      </c>
    </row>
    <row r="4586" spans="1:11">
      <c r="A4586" t="s">
        <v>11522</v>
      </c>
      <c r="B4586" t="s">
        <v>5219</v>
      </c>
      <c r="C4586" t="s">
        <v>6938</v>
      </c>
      <c r="D4586" s="1">
        <v>45086</v>
      </c>
      <c r="E4586" s="1">
        <v>45096</v>
      </c>
      <c r="F4586" s="1">
        <v>45101</v>
      </c>
      <c r="G4586">
        <v>13.96</v>
      </c>
      <c r="H45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86" t="str">
        <f>IFERROR(INDEX(Raw_orders!G:G, MATCH(shipments[[#This Row],[order_id]],Raw_orders!A:A, 0)), "Unknown")</f>
        <v>Central Europe</v>
      </c>
      <c r="J4586" t="str">
        <f>PROPER(shipments[[#This Row],[delivery_status]])</f>
        <v>Delivered</v>
      </c>
      <c r="K4586" t="s">
        <v>6922</v>
      </c>
    </row>
    <row r="4587" spans="1:11">
      <c r="A4587" t="s">
        <v>11523</v>
      </c>
      <c r="B4587" t="s">
        <v>5220</v>
      </c>
      <c r="C4587" t="s">
        <v>6921</v>
      </c>
      <c r="D4587" s="1">
        <v>45297</v>
      </c>
      <c r="E4587" s="1">
        <v>45304</v>
      </c>
      <c r="F4587" s="1">
        <v>45309</v>
      </c>
      <c r="G4587">
        <v>36.31</v>
      </c>
      <c r="H45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87" t="str">
        <f>IFERROR(INDEX(Raw_orders!G:G, MATCH(shipments[[#This Row],[order_id]],Raw_orders!A:A, 0)), "Unknown")</f>
        <v>Nordics</v>
      </c>
      <c r="J4587" t="str">
        <f>PROPER(shipments[[#This Row],[delivery_status]])</f>
        <v>Delivered</v>
      </c>
      <c r="K4587" t="s">
        <v>6926</v>
      </c>
    </row>
    <row r="4588" spans="1:11">
      <c r="A4588" t="s">
        <v>11524</v>
      </c>
      <c r="B4588" t="s">
        <v>5221</v>
      </c>
      <c r="C4588" t="s">
        <v>6940</v>
      </c>
      <c r="D4588" s="1">
        <v>45627</v>
      </c>
      <c r="E4588" s="1">
        <v>45632</v>
      </c>
      <c r="F4588" s="1">
        <v>45632</v>
      </c>
      <c r="G4588">
        <v>53.69</v>
      </c>
      <c r="H45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588" t="str">
        <f>IFERROR(INDEX(Raw_orders!G:G, MATCH(shipments[[#This Row],[order_id]],Raw_orders!A:A, 0)), "Unknown")</f>
        <v>Nordics</v>
      </c>
      <c r="J4588" t="str">
        <f>PROPER(shipments[[#This Row],[delivery_status]])</f>
        <v>Delivered</v>
      </c>
      <c r="K4588" t="s">
        <v>6922</v>
      </c>
    </row>
    <row r="4589" spans="1:11">
      <c r="A4589" t="s">
        <v>11525</v>
      </c>
      <c r="B4589" t="s">
        <v>5222</v>
      </c>
      <c r="C4589" t="s">
        <v>6928</v>
      </c>
      <c r="D4589" s="1">
        <v>45142</v>
      </c>
      <c r="E4589" s="1">
        <v>45144</v>
      </c>
      <c r="F4589" s="1">
        <v>45143</v>
      </c>
      <c r="G4589">
        <v>60.26</v>
      </c>
      <c r="H45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589" t="str">
        <f>IFERROR(INDEX(Raw_orders!G:G, MATCH(shipments[[#This Row],[order_id]],Raw_orders!A:A, 0)), "Unknown")</f>
        <v>Unknown</v>
      </c>
      <c r="J4589" t="str">
        <f>PROPER(shipments[[#This Row],[delivery_status]])</f>
        <v>Delivered</v>
      </c>
      <c r="K4589" t="s">
        <v>6929</v>
      </c>
    </row>
    <row r="4590" spans="1:11">
      <c r="A4590" t="s">
        <v>11526</v>
      </c>
      <c r="B4590" t="s">
        <v>5223</v>
      </c>
      <c r="C4590" t="s">
        <v>6935</v>
      </c>
      <c r="D4590" s="1">
        <v>45172</v>
      </c>
      <c r="E4590" s="1">
        <v>45182</v>
      </c>
      <c r="F4590" s="1">
        <v>45187</v>
      </c>
      <c r="G4590">
        <v>41.36</v>
      </c>
      <c r="H45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90" t="str">
        <f>IFERROR(INDEX(Raw_orders!G:G, MATCH(shipments[[#This Row],[order_id]],Raw_orders!A:A, 0)), "Unknown")</f>
        <v>Central Europe</v>
      </c>
      <c r="J4590" t="str">
        <f>PROPER(shipments[[#This Row],[delivery_status]])</f>
        <v>Delivered</v>
      </c>
      <c r="K4590" t="s">
        <v>6922</v>
      </c>
    </row>
    <row r="4591" spans="1:11">
      <c r="A4591" t="s">
        <v>11527</v>
      </c>
      <c r="B4591" t="s">
        <v>5224</v>
      </c>
      <c r="C4591" t="s">
        <v>6935</v>
      </c>
      <c r="D4591" s="1">
        <v>45229</v>
      </c>
      <c r="E4591" s="1">
        <v>45234</v>
      </c>
      <c r="F4591" s="1">
        <v>45239</v>
      </c>
      <c r="G4591">
        <v>37.840000000000003</v>
      </c>
      <c r="H45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91" t="str">
        <f>IFERROR(INDEX(Raw_orders!G:G, MATCH(shipments[[#This Row],[order_id]],Raw_orders!A:A, 0)), "Unknown")</f>
        <v>Central Europe</v>
      </c>
      <c r="J4591" t="str">
        <f>PROPER(shipments[[#This Row],[delivery_status]])</f>
        <v>Delivered</v>
      </c>
      <c r="K4591" t="s">
        <v>6929</v>
      </c>
    </row>
    <row r="4592" spans="1:11">
      <c r="A4592" t="s">
        <v>11528</v>
      </c>
      <c r="B4592" t="s">
        <v>5225</v>
      </c>
      <c r="C4592" t="s">
        <v>6928</v>
      </c>
      <c r="D4592" s="1">
        <v>45460</v>
      </c>
      <c r="E4592" s="1">
        <v>45463</v>
      </c>
      <c r="F4592" s="1">
        <v>45471</v>
      </c>
      <c r="G4592">
        <v>25.96</v>
      </c>
      <c r="H45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92" t="str">
        <f>IFERROR(INDEX(Raw_orders!G:G, MATCH(shipments[[#This Row],[order_id]],Raw_orders!A:A, 0)), "Unknown")</f>
        <v>Central Europe</v>
      </c>
      <c r="J4592" t="str">
        <f>PROPER(shipments[[#This Row],[delivery_status]])</f>
        <v>Delivered</v>
      </c>
      <c r="K4592" t="s">
        <v>6926</v>
      </c>
    </row>
    <row r="4593" spans="1:11">
      <c r="A4593" t="s">
        <v>11529</v>
      </c>
      <c r="B4593" t="s">
        <v>5226</v>
      </c>
      <c r="C4593" t="s">
        <v>6925</v>
      </c>
      <c r="D4593" s="1">
        <v>45614</v>
      </c>
      <c r="E4593" s="1">
        <v>45617</v>
      </c>
      <c r="F4593" s="1">
        <v>45620</v>
      </c>
      <c r="G4593">
        <v>24.72</v>
      </c>
      <c r="H45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93" t="str">
        <f>IFERROR(INDEX(Raw_orders!G:G, MATCH(shipments[[#This Row],[order_id]],Raw_orders!A:A, 0)), "Unknown")</f>
        <v>Central Europe</v>
      </c>
      <c r="J4593" t="str">
        <f>PROPER(shipments[[#This Row],[delivery_status]])</f>
        <v>Delivered</v>
      </c>
      <c r="K4593" t="s">
        <v>6922</v>
      </c>
    </row>
    <row r="4594" spans="1:11">
      <c r="A4594" t="s">
        <v>11530</v>
      </c>
      <c r="B4594" t="s">
        <v>5227</v>
      </c>
      <c r="C4594" t="s">
        <v>6938</v>
      </c>
      <c r="D4594" s="1">
        <v>45473</v>
      </c>
      <c r="E4594" s="1">
        <v>45476</v>
      </c>
      <c r="F4594" s="1">
        <v>45484</v>
      </c>
      <c r="G4594">
        <v>40.380000000000003</v>
      </c>
      <c r="H45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94" t="str">
        <f>IFERROR(INDEX(Raw_orders!G:G, MATCH(shipments[[#This Row],[order_id]],Raw_orders!A:A, 0)), "Unknown")</f>
        <v>Baltics</v>
      </c>
      <c r="J4594" t="str">
        <f>PROPER(shipments[[#This Row],[delivery_status]])</f>
        <v>Delivered</v>
      </c>
      <c r="K4594" t="s">
        <v>6922</v>
      </c>
    </row>
    <row r="4595" spans="1:11">
      <c r="A4595" t="s">
        <v>11531</v>
      </c>
      <c r="B4595" t="s">
        <v>5228</v>
      </c>
      <c r="C4595" t="s">
        <v>6928</v>
      </c>
      <c r="D4595" s="1">
        <v>45235</v>
      </c>
      <c r="E4595" s="1">
        <v>45242</v>
      </c>
      <c r="F4595" s="1">
        <v>45242</v>
      </c>
      <c r="G4595">
        <v>64.599999999999994</v>
      </c>
      <c r="H45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595" t="str">
        <f>IFERROR(INDEX(Raw_orders!G:G, MATCH(shipments[[#This Row],[order_id]],Raw_orders!A:A, 0)), "Unknown")</f>
        <v>Central Europe</v>
      </c>
      <c r="J4595" t="str">
        <f>PROPER(shipments[[#This Row],[delivery_status]])</f>
        <v>Delivered</v>
      </c>
      <c r="K4595" t="s">
        <v>6922</v>
      </c>
    </row>
    <row r="4596" spans="1:11">
      <c r="A4596" t="s">
        <v>11532</v>
      </c>
      <c r="B4596" t="s">
        <v>5229</v>
      </c>
      <c r="C4596" t="s">
        <v>6935</v>
      </c>
      <c r="D4596" s="1">
        <v>45517</v>
      </c>
      <c r="E4596" s="1">
        <v>45524</v>
      </c>
      <c r="F4596" s="1">
        <v>45532</v>
      </c>
      <c r="G4596">
        <v>24.77</v>
      </c>
      <c r="H45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96" t="str">
        <f>IFERROR(INDEX(Raw_orders!G:G, MATCH(shipments[[#This Row],[order_id]],Raw_orders!A:A, 0)), "Unknown")</f>
        <v>Central Europe</v>
      </c>
      <c r="J4596" t="str">
        <f>PROPER(shipments[[#This Row],[delivery_status]])</f>
        <v>Delivered</v>
      </c>
      <c r="K4596" t="s">
        <v>6929</v>
      </c>
    </row>
    <row r="4597" spans="1:11">
      <c r="A4597" t="s">
        <v>11533</v>
      </c>
      <c r="B4597" t="s">
        <v>5230</v>
      </c>
      <c r="C4597" t="s">
        <v>6956</v>
      </c>
      <c r="D4597" s="1">
        <v>45007</v>
      </c>
      <c r="E4597" s="1">
        <v>45012</v>
      </c>
      <c r="F4597" s="1"/>
      <c r="G4597">
        <v>22.81</v>
      </c>
      <c r="H45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597" t="str">
        <f>IFERROR(INDEX(Raw_orders!G:G, MATCH(shipments[[#This Row],[order_id]],Raw_orders!A:A, 0)), "Unknown")</f>
        <v>Nordics</v>
      </c>
      <c r="J4597" t="str">
        <f>PROPER(shipments[[#This Row],[delivery_status]])</f>
        <v>In Transit</v>
      </c>
      <c r="K4597" t="s">
        <v>6958</v>
      </c>
    </row>
    <row r="4598" spans="1:11">
      <c r="A4598" t="s">
        <v>11534</v>
      </c>
      <c r="B4598" t="s">
        <v>5231</v>
      </c>
      <c r="C4598" t="s">
        <v>6956</v>
      </c>
      <c r="D4598" s="1">
        <v>45240</v>
      </c>
      <c r="E4598" s="1">
        <v>45247</v>
      </c>
      <c r="F4598" s="1">
        <v>45249</v>
      </c>
      <c r="G4598">
        <v>59.19</v>
      </c>
      <c r="H45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598" t="str">
        <f>IFERROR(INDEX(Raw_orders!G:G, MATCH(shipments[[#This Row],[order_id]],Raw_orders!A:A, 0)), "Unknown")</f>
        <v>Baltics</v>
      </c>
      <c r="J4598" t="str">
        <f>PROPER(shipments[[#This Row],[delivery_status]])</f>
        <v>Delivered</v>
      </c>
      <c r="K4598" t="s">
        <v>6926</v>
      </c>
    </row>
    <row r="4599" spans="1:11">
      <c r="A4599" t="s">
        <v>11535</v>
      </c>
      <c r="B4599" t="s">
        <v>5232</v>
      </c>
      <c r="C4599" t="s">
        <v>6956</v>
      </c>
      <c r="D4599" s="1">
        <v>45123</v>
      </c>
      <c r="E4599" s="1">
        <v>45128</v>
      </c>
      <c r="F4599" s="1">
        <v>45127</v>
      </c>
      <c r="G4599">
        <v>38.61</v>
      </c>
      <c r="H45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599" t="str">
        <f>IFERROR(INDEX(Raw_orders!G:G, MATCH(shipments[[#This Row],[order_id]],Raw_orders!A:A, 0)), "Unknown")</f>
        <v>Central Europe</v>
      </c>
      <c r="J4599" t="str">
        <f>PROPER(shipments[[#This Row],[delivery_status]])</f>
        <v>Delivered</v>
      </c>
      <c r="K4599" t="s">
        <v>6926</v>
      </c>
    </row>
    <row r="4600" spans="1:11">
      <c r="A4600" t="s">
        <v>11536</v>
      </c>
      <c r="B4600" t="s">
        <v>5233</v>
      </c>
      <c r="C4600" t="s">
        <v>6931</v>
      </c>
      <c r="D4600" s="1">
        <v>44970</v>
      </c>
      <c r="E4600" s="1">
        <v>44975</v>
      </c>
      <c r="F4600" s="1">
        <v>44978</v>
      </c>
      <c r="G4600">
        <v>50.83</v>
      </c>
      <c r="H46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00" t="str">
        <f>IFERROR(INDEX(Raw_orders!G:G, MATCH(shipments[[#This Row],[order_id]],Raw_orders!A:A, 0)), "Unknown")</f>
        <v>Baltics</v>
      </c>
      <c r="J4600" t="str">
        <f>PROPER(shipments[[#This Row],[delivery_status]])</f>
        <v>Delivered</v>
      </c>
      <c r="K4600" t="s">
        <v>6926</v>
      </c>
    </row>
    <row r="4601" spans="1:11">
      <c r="A4601" t="s">
        <v>11537</v>
      </c>
      <c r="B4601" t="s">
        <v>5234</v>
      </c>
      <c r="C4601" t="s">
        <v>6940</v>
      </c>
      <c r="D4601" s="1">
        <v>44961</v>
      </c>
      <c r="E4601" s="1">
        <v>44971</v>
      </c>
      <c r="F4601" s="1"/>
      <c r="G4601">
        <v>23.59</v>
      </c>
      <c r="H46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601" t="str">
        <f>IFERROR(INDEX(Raw_orders!G:G, MATCH(shipments[[#This Row],[order_id]],Raw_orders!A:A, 0)), "Unknown")</f>
        <v>Central Europe</v>
      </c>
      <c r="J4601" t="str">
        <f>PROPER(shipments[[#This Row],[delivery_status]])</f>
        <v>Cancelled</v>
      </c>
      <c r="K4601" t="s">
        <v>6979</v>
      </c>
    </row>
    <row r="4602" spans="1:11">
      <c r="A4602" t="s">
        <v>11538</v>
      </c>
      <c r="B4602" t="s">
        <v>5235</v>
      </c>
      <c r="C4602" t="s">
        <v>6925</v>
      </c>
      <c r="D4602" s="1">
        <v>45594</v>
      </c>
      <c r="E4602" s="1">
        <v>45599</v>
      </c>
      <c r="F4602" s="1">
        <v>45607</v>
      </c>
      <c r="G4602">
        <v>53.98</v>
      </c>
      <c r="H46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02" t="str">
        <f>IFERROR(INDEX(Raw_orders!G:G, MATCH(shipments[[#This Row],[order_id]],Raw_orders!A:A, 0)), "Unknown")</f>
        <v>Nordics</v>
      </c>
      <c r="J4602" t="str">
        <f>PROPER(shipments[[#This Row],[delivery_status]])</f>
        <v>Delivered</v>
      </c>
      <c r="K4602" t="s">
        <v>6922</v>
      </c>
    </row>
    <row r="4603" spans="1:11">
      <c r="A4603" t="s">
        <v>11539</v>
      </c>
      <c r="B4603" t="s">
        <v>5236</v>
      </c>
      <c r="C4603" t="s">
        <v>6921</v>
      </c>
      <c r="D4603" s="1">
        <v>45048</v>
      </c>
      <c r="E4603" s="1">
        <v>45051</v>
      </c>
      <c r="F4603" s="1"/>
      <c r="G4603">
        <v>24.36</v>
      </c>
      <c r="H46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603" t="str">
        <f>IFERROR(INDEX(Raw_orders!G:G, MATCH(shipments[[#This Row],[order_id]],Raw_orders!A:A, 0)), "Unknown")</f>
        <v>Baltics</v>
      </c>
      <c r="J4603" t="str">
        <f>PROPER(shipments[[#This Row],[delivery_status]])</f>
        <v>In Transit</v>
      </c>
      <c r="K4603" t="s">
        <v>6958</v>
      </c>
    </row>
    <row r="4604" spans="1:11">
      <c r="A4604" t="s">
        <v>11540</v>
      </c>
      <c r="B4604" t="s">
        <v>5236</v>
      </c>
      <c r="C4604" t="s">
        <v>6921</v>
      </c>
      <c r="D4604" s="1">
        <v>45046</v>
      </c>
      <c r="E4604" s="1">
        <v>45049</v>
      </c>
      <c r="F4604" s="1">
        <v>45050</v>
      </c>
      <c r="G4604">
        <v>34.090000000000003</v>
      </c>
      <c r="H46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04" t="str">
        <f>IFERROR(INDEX(Raw_orders!G:G, MATCH(shipments[[#This Row],[order_id]],Raw_orders!A:A, 0)), "Unknown")</f>
        <v>Baltics</v>
      </c>
      <c r="J4604" t="str">
        <f>PROPER(shipments[[#This Row],[delivery_status]])</f>
        <v>Delivered</v>
      </c>
      <c r="K4604" t="s">
        <v>6929</v>
      </c>
    </row>
    <row r="4605" spans="1:11">
      <c r="A4605" t="s">
        <v>11541</v>
      </c>
      <c r="B4605" t="s">
        <v>5237</v>
      </c>
      <c r="C4605" t="s">
        <v>6956</v>
      </c>
      <c r="D4605" s="1">
        <v>45491</v>
      </c>
      <c r="E4605" s="1">
        <v>45498</v>
      </c>
      <c r="F4605" s="1">
        <v>45500</v>
      </c>
      <c r="G4605">
        <v>25.37</v>
      </c>
      <c r="H46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05" t="str">
        <f>IFERROR(INDEX(Raw_orders!G:G, MATCH(shipments[[#This Row],[order_id]],Raw_orders!A:A, 0)), "Unknown")</f>
        <v>Nordics</v>
      </c>
      <c r="J4605" t="str">
        <f>PROPER(shipments[[#This Row],[delivery_status]])</f>
        <v>Delivered</v>
      </c>
      <c r="K4605" t="s">
        <v>6929</v>
      </c>
    </row>
    <row r="4606" spans="1:11">
      <c r="A4606" t="s">
        <v>11542</v>
      </c>
      <c r="B4606" t="s">
        <v>5238</v>
      </c>
      <c r="C4606" t="s">
        <v>6938</v>
      </c>
      <c r="D4606" s="1">
        <v>45121</v>
      </c>
      <c r="E4606" s="1">
        <v>45131</v>
      </c>
      <c r="F4606" s="1">
        <v>45134</v>
      </c>
      <c r="G4606">
        <v>52.59</v>
      </c>
      <c r="H46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06" t="str">
        <f>IFERROR(INDEX(Raw_orders!G:G, MATCH(shipments[[#This Row],[order_id]],Raw_orders!A:A, 0)), "Unknown")</f>
        <v>Central Europe</v>
      </c>
      <c r="J4606" t="str">
        <f>PROPER(shipments[[#This Row],[delivery_status]])</f>
        <v>Delivered</v>
      </c>
      <c r="K4606" t="s">
        <v>6929</v>
      </c>
    </row>
    <row r="4607" spans="1:11">
      <c r="A4607" t="s">
        <v>11543</v>
      </c>
      <c r="B4607" t="s">
        <v>5239</v>
      </c>
      <c r="C4607" t="s">
        <v>6956</v>
      </c>
      <c r="D4607" s="1">
        <v>45357</v>
      </c>
      <c r="E4607" s="1">
        <v>45362</v>
      </c>
      <c r="F4607" s="1">
        <v>45364</v>
      </c>
      <c r="G4607">
        <v>58.87</v>
      </c>
      <c r="H46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07" t="str">
        <f>IFERROR(INDEX(Raw_orders!G:G, MATCH(shipments[[#This Row],[order_id]],Raw_orders!A:A, 0)), "Unknown")</f>
        <v>Nordics</v>
      </c>
      <c r="J4607" t="str">
        <f>PROPER(shipments[[#This Row],[delivery_status]])</f>
        <v>Delivered</v>
      </c>
      <c r="K4607" t="s">
        <v>6929</v>
      </c>
    </row>
    <row r="4608" spans="1:11">
      <c r="A4608" t="s">
        <v>11544</v>
      </c>
      <c r="B4608" t="s">
        <v>5240</v>
      </c>
      <c r="C4608" t="s">
        <v>6935</v>
      </c>
      <c r="D4608" s="1">
        <v>45225</v>
      </c>
      <c r="E4608" s="1">
        <v>45227</v>
      </c>
      <c r="F4608" s="1">
        <v>45240</v>
      </c>
      <c r="G4608">
        <v>58.46</v>
      </c>
      <c r="H46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08" t="str">
        <f>IFERROR(INDEX(Raw_orders!G:G, MATCH(shipments[[#This Row],[order_id]],Raw_orders!A:A, 0)), "Unknown")</f>
        <v>Unknown</v>
      </c>
      <c r="J4608" t="str">
        <f>PROPER(shipments[[#This Row],[delivery_status]])</f>
        <v>Delivered</v>
      </c>
      <c r="K4608" t="s">
        <v>6922</v>
      </c>
    </row>
    <row r="4609" spans="1:11">
      <c r="A4609" t="s">
        <v>11545</v>
      </c>
      <c r="B4609" t="s">
        <v>5241</v>
      </c>
      <c r="C4609" t="s">
        <v>6921</v>
      </c>
      <c r="D4609" s="1">
        <v>45041</v>
      </c>
      <c r="E4609" s="1">
        <v>45046</v>
      </c>
      <c r="F4609" s="1">
        <v>45046</v>
      </c>
      <c r="G4609">
        <v>12.31</v>
      </c>
      <c r="H46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609" t="str">
        <f>IFERROR(INDEX(Raw_orders!G:G, MATCH(shipments[[#This Row],[order_id]],Raw_orders!A:A, 0)), "Unknown")</f>
        <v>Nordics</v>
      </c>
      <c r="J4609" t="str">
        <f>PROPER(shipments[[#This Row],[delivery_status]])</f>
        <v>Delivered</v>
      </c>
      <c r="K4609" t="s">
        <v>6926</v>
      </c>
    </row>
    <row r="4610" spans="1:11">
      <c r="A4610" t="s">
        <v>11546</v>
      </c>
      <c r="B4610" t="s">
        <v>5242</v>
      </c>
      <c r="C4610" t="s">
        <v>6931</v>
      </c>
      <c r="D4610" s="1">
        <v>45263</v>
      </c>
      <c r="E4610" s="1">
        <v>45273</v>
      </c>
      <c r="F4610" s="1"/>
      <c r="H46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610" t="str">
        <f>IFERROR(INDEX(Raw_orders!G:G, MATCH(shipments[[#This Row],[order_id]],Raw_orders!A:A, 0)), "Unknown")</f>
        <v>Nordics</v>
      </c>
      <c r="J4610" t="str">
        <f>PROPER(shipments[[#This Row],[delivery_status]])</f>
        <v>In Transit</v>
      </c>
      <c r="K4610" t="s">
        <v>6958</v>
      </c>
    </row>
    <row r="4611" spans="1:11">
      <c r="A4611" t="s">
        <v>11547</v>
      </c>
      <c r="B4611" t="s">
        <v>5243</v>
      </c>
      <c r="C4611" t="s">
        <v>6938</v>
      </c>
      <c r="D4611" s="1">
        <v>45606</v>
      </c>
      <c r="E4611" s="1">
        <v>45608</v>
      </c>
      <c r="F4611" s="1">
        <v>45612</v>
      </c>
      <c r="G4611">
        <v>51.89</v>
      </c>
      <c r="H46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11" t="str">
        <f>IFERROR(INDEX(Raw_orders!G:G, MATCH(shipments[[#This Row],[order_id]],Raw_orders!A:A, 0)), "Unknown")</f>
        <v>Baltics</v>
      </c>
      <c r="J4611" t="str">
        <f>PROPER(shipments[[#This Row],[delivery_status]])</f>
        <v>Delivered</v>
      </c>
      <c r="K4611" t="s">
        <v>6929</v>
      </c>
    </row>
    <row r="4612" spans="1:11">
      <c r="A4612" t="s">
        <v>11548</v>
      </c>
      <c r="B4612" t="s">
        <v>5244</v>
      </c>
      <c r="C4612" t="s">
        <v>6938</v>
      </c>
      <c r="D4612" s="1">
        <v>45576</v>
      </c>
      <c r="E4612" s="1">
        <v>45579</v>
      </c>
      <c r="F4612" s="1">
        <v>45583</v>
      </c>
      <c r="G4612">
        <v>49.64</v>
      </c>
      <c r="H46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12" t="str">
        <f>IFERROR(INDEX(Raw_orders!G:G, MATCH(shipments[[#This Row],[order_id]],Raw_orders!A:A, 0)), "Unknown")</f>
        <v>Nordics</v>
      </c>
      <c r="J4612" t="str">
        <f>PROPER(shipments[[#This Row],[delivery_status]])</f>
        <v>Delivered</v>
      </c>
      <c r="K4612" t="s">
        <v>6926</v>
      </c>
    </row>
    <row r="4613" spans="1:11">
      <c r="A4613" t="s">
        <v>11549</v>
      </c>
      <c r="B4613" t="s">
        <v>5245</v>
      </c>
      <c r="C4613" t="s">
        <v>6956</v>
      </c>
      <c r="D4613" s="1">
        <v>45382</v>
      </c>
      <c r="E4613" s="1">
        <v>45384</v>
      </c>
      <c r="F4613" s="1">
        <v>45384</v>
      </c>
      <c r="G4613">
        <v>58.58</v>
      </c>
      <c r="H46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613" t="str">
        <f>IFERROR(INDEX(Raw_orders!G:G, MATCH(shipments[[#This Row],[order_id]],Raw_orders!A:A, 0)), "Unknown")</f>
        <v>Nordics</v>
      </c>
      <c r="J4613" t="str">
        <f>PROPER(shipments[[#This Row],[delivery_status]])</f>
        <v>Delivered</v>
      </c>
      <c r="K4613" t="s">
        <v>6929</v>
      </c>
    </row>
    <row r="4614" spans="1:11">
      <c r="A4614" t="s">
        <v>11550</v>
      </c>
      <c r="B4614" t="s">
        <v>5246</v>
      </c>
      <c r="C4614" t="s">
        <v>6921</v>
      </c>
      <c r="D4614" s="1">
        <v>44957</v>
      </c>
      <c r="E4614" s="1">
        <v>44960</v>
      </c>
      <c r="F4614" s="1">
        <v>44959</v>
      </c>
      <c r="G4614">
        <v>6.04</v>
      </c>
      <c r="H46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614" t="str">
        <f>IFERROR(INDEX(Raw_orders!G:G, MATCH(shipments[[#This Row],[order_id]],Raw_orders!A:A, 0)), "Unknown")</f>
        <v>Central Europe</v>
      </c>
      <c r="J4614" t="str">
        <f>PROPER(shipments[[#This Row],[delivery_status]])</f>
        <v>Delivered</v>
      </c>
      <c r="K4614" t="s">
        <v>6929</v>
      </c>
    </row>
    <row r="4615" spans="1:11">
      <c r="A4615" t="s">
        <v>11551</v>
      </c>
      <c r="B4615" t="s">
        <v>5247</v>
      </c>
      <c r="C4615" t="s">
        <v>6928</v>
      </c>
      <c r="D4615" s="1">
        <v>45183</v>
      </c>
      <c r="E4615" s="1">
        <v>45188</v>
      </c>
      <c r="F4615" s="1">
        <v>45188</v>
      </c>
      <c r="G4615">
        <v>38.049999999999997</v>
      </c>
      <c r="H46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615" t="str">
        <f>IFERROR(INDEX(Raw_orders!G:G, MATCH(shipments[[#This Row],[order_id]],Raw_orders!A:A, 0)), "Unknown")</f>
        <v>Central Europe</v>
      </c>
      <c r="J4615" t="str">
        <f>PROPER(shipments[[#This Row],[delivery_status]])</f>
        <v>Delivered</v>
      </c>
      <c r="K4615" t="s">
        <v>6926</v>
      </c>
    </row>
    <row r="4616" spans="1:11">
      <c r="A4616" t="s">
        <v>11552</v>
      </c>
      <c r="B4616" t="s">
        <v>5248</v>
      </c>
      <c r="C4616" t="s">
        <v>6925</v>
      </c>
      <c r="D4616" s="1">
        <v>45602</v>
      </c>
      <c r="E4616" s="1">
        <v>45609</v>
      </c>
      <c r="F4616" s="1">
        <v>45609</v>
      </c>
      <c r="G4616">
        <v>22.16</v>
      </c>
      <c r="H46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616" t="str">
        <f>IFERROR(INDEX(Raw_orders!G:G, MATCH(shipments[[#This Row],[order_id]],Raw_orders!A:A, 0)), "Unknown")</f>
        <v>Nordics</v>
      </c>
      <c r="J4616" t="str">
        <f>PROPER(shipments[[#This Row],[delivery_status]])</f>
        <v>Delivered</v>
      </c>
      <c r="K4616" t="s">
        <v>6929</v>
      </c>
    </row>
    <row r="4617" spans="1:11">
      <c r="A4617" t="s">
        <v>11553</v>
      </c>
      <c r="B4617" t="s">
        <v>5249</v>
      </c>
      <c r="C4617" t="s">
        <v>6925</v>
      </c>
      <c r="D4617" s="1">
        <v>44993</v>
      </c>
      <c r="E4617" s="1">
        <v>45003</v>
      </c>
      <c r="F4617" s="1">
        <v>45004</v>
      </c>
      <c r="G4617">
        <v>51.77</v>
      </c>
      <c r="H46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17" t="str">
        <f>IFERROR(INDEX(Raw_orders!G:G, MATCH(shipments[[#This Row],[order_id]],Raw_orders!A:A, 0)), "Unknown")</f>
        <v>Central Europe</v>
      </c>
      <c r="J4617" t="str">
        <f>PROPER(shipments[[#This Row],[delivery_status]])</f>
        <v>Delivered</v>
      </c>
      <c r="K4617" t="s">
        <v>6929</v>
      </c>
    </row>
    <row r="4618" spans="1:11">
      <c r="A4618" t="s">
        <v>11554</v>
      </c>
      <c r="B4618" t="s">
        <v>5250</v>
      </c>
      <c r="C4618" t="s">
        <v>6935</v>
      </c>
      <c r="D4618" s="1">
        <v>45535</v>
      </c>
      <c r="E4618" s="1">
        <v>45538</v>
      </c>
      <c r="F4618" s="1"/>
      <c r="G4618">
        <v>54.36</v>
      </c>
      <c r="H46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618" t="str">
        <f>IFERROR(INDEX(Raw_orders!G:G, MATCH(shipments[[#This Row],[order_id]],Raw_orders!A:A, 0)), "Unknown")</f>
        <v>Nordics</v>
      </c>
      <c r="J4618" t="str">
        <f>PROPER(shipments[[#This Row],[delivery_status]])</f>
        <v>In Transit</v>
      </c>
      <c r="K4618" t="s">
        <v>6958</v>
      </c>
    </row>
    <row r="4619" spans="1:11">
      <c r="A4619" t="s">
        <v>11555</v>
      </c>
      <c r="B4619" t="s">
        <v>5251</v>
      </c>
      <c r="C4619" t="s">
        <v>6935</v>
      </c>
      <c r="D4619" s="1">
        <v>45139</v>
      </c>
      <c r="E4619" s="1">
        <v>45144</v>
      </c>
      <c r="F4619" s="1">
        <v>45149</v>
      </c>
      <c r="G4619">
        <v>28.01</v>
      </c>
      <c r="H46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19" t="str">
        <f>IFERROR(INDEX(Raw_orders!G:G, MATCH(shipments[[#This Row],[order_id]],Raw_orders!A:A, 0)), "Unknown")</f>
        <v>Baltics</v>
      </c>
      <c r="J4619" t="str">
        <f>PROPER(shipments[[#This Row],[delivery_status]])</f>
        <v>Delivered</v>
      </c>
      <c r="K4619" t="s">
        <v>6926</v>
      </c>
    </row>
    <row r="4620" spans="1:11">
      <c r="A4620" t="s">
        <v>11556</v>
      </c>
      <c r="B4620" t="s">
        <v>5252</v>
      </c>
      <c r="C4620" t="s">
        <v>6935</v>
      </c>
      <c r="D4620" s="1">
        <v>45463</v>
      </c>
      <c r="E4620" s="1">
        <v>45468</v>
      </c>
      <c r="F4620" s="1">
        <v>45470</v>
      </c>
      <c r="G4620">
        <v>9.57</v>
      </c>
      <c r="H46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20" t="str">
        <f>IFERROR(INDEX(Raw_orders!G:G, MATCH(shipments[[#This Row],[order_id]],Raw_orders!A:A, 0)), "Unknown")</f>
        <v>Baltics</v>
      </c>
      <c r="J4620" t="str">
        <f>PROPER(shipments[[#This Row],[delivery_status]])</f>
        <v>Delivered</v>
      </c>
      <c r="K4620" t="s">
        <v>6926</v>
      </c>
    </row>
    <row r="4621" spans="1:11">
      <c r="A4621" t="s">
        <v>11557</v>
      </c>
      <c r="B4621" t="s">
        <v>5253</v>
      </c>
      <c r="C4621" t="s">
        <v>6935</v>
      </c>
      <c r="D4621" s="1">
        <v>45238</v>
      </c>
      <c r="E4621" s="1">
        <v>45240</v>
      </c>
      <c r="F4621" s="1">
        <v>45248</v>
      </c>
      <c r="G4621">
        <v>12.39</v>
      </c>
      <c r="H46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21" t="str">
        <f>IFERROR(INDEX(Raw_orders!G:G, MATCH(shipments[[#This Row],[order_id]],Raw_orders!A:A, 0)), "Unknown")</f>
        <v>Central Europe</v>
      </c>
      <c r="J4621" t="str">
        <f>PROPER(shipments[[#This Row],[delivery_status]])</f>
        <v>Delivered</v>
      </c>
      <c r="K4621" t="s">
        <v>6929</v>
      </c>
    </row>
    <row r="4622" spans="1:11">
      <c r="A4622" t="s">
        <v>11558</v>
      </c>
      <c r="B4622" t="s">
        <v>5254</v>
      </c>
      <c r="C4622" t="s">
        <v>6925</v>
      </c>
      <c r="D4622" s="1">
        <v>45616</v>
      </c>
      <c r="E4622" s="1">
        <v>45619</v>
      </c>
      <c r="F4622" s="1">
        <v>45625</v>
      </c>
      <c r="G4622">
        <v>26.96</v>
      </c>
      <c r="H46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22" t="str">
        <f>IFERROR(INDEX(Raw_orders!G:G, MATCH(shipments[[#This Row],[order_id]],Raw_orders!A:A, 0)), "Unknown")</f>
        <v>Baltics</v>
      </c>
      <c r="J4622" t="str">
        <f>PROPER(shipments[[#This Row],[delivery_status]])</f>
        <v>Delivered</v>
      </c>
      <c r="K4622" t="s">
        <v>6929</v>
      </c>
    </row>
    <row r="4623" spans="1:11">
      <c r="A4623" t="s">
        <v>11559</v>
      </c>
      <c r="B4623" t="s">
        <v>5255</v>
      </c>
      <c r="C4623" t="s">
        <v>6940</v>
      </c>
      <c r="D4623" s="1">
        <v>45020</v>
      </c>
      <c r="E4623" s="1">
        <v>45022</v>
      </c>
      <c r="F4623" s="1">
        <v>45022</v>
      </c>
      <c r="G4623">
        <v>48.05</v>
      </c>
      <c r="H46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623" t="str">
        <f>IFERROR(INDEX(Raw_orders!G:G, MATCH(shipments[[#This Row],[order_id]],Raw_orders!A:A, 0)), "Unknown")</f>
        <v>Nordics</v>
      </c>
      <c r="J4623" t="str">
        <f>PROPER(shipments[[#This Row],[delivery_status]])</f>
        <v>Delivered</v>
      </c>
      <c r="K4623" t="s">
        <v>6926</v>
      </c>
    </row>
    <row r="4624" spans="1:11">
      <c r="A4624" t="s">
        <v>11560</v>
      </c>
      <c r="B4624" t="s">
        <v>5256</v>
      </c>
      <c r="C4624" t="s">
        <v>6938</v>
      </c>
      <c r="D4624" s="1">
        <v>45466</v>
      </c>
      <c r="E4624" s="1">
        <v>45476</v>
      </c>
      <c r="F4624" s="1">
        <v>45484</v>
      </c>
      <c r="G4624">
        <v>44.27</v>
      </c>
      <c r="H46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24" t="str">
        <f>IFERROR(INDEX(Raw_orders!G:G, MATCH(shipments[[#This Row],[order_id]],Raw_orders!A:A, 0)), "Unknown")</f>
        <v>Central Europe</v>
      </c>
      <c r="J4624" t="str">
        <f>PROPER(shipments[[#This Row],[delivery_status]])</f>
        <v>Delivered</v>
      </c>
      <c r="K4624" t="s">
        <v>6926</v>
      </c>
    </row>
    <row r="4625" spans="1:11">
      <c r="A4625" t="s">
        <v>11561</v>
      </c>
      <c r="B4625" t="s">
        <v>5257</v>
      </c>
      <c r="C4625" t="s">
        <v>6921</v>
      </c>
      <c r="D4625" s="1">
        <v>45568</v>
      </c>
      <c r="E4625" s="1">
        <v>45573</v>
      </c>
      <c r="F4625" s="1">
        <v>45575</v>
      </c>
      <c r="G4625">
        <v>32.71</v>
      </c>
      <c r="H46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25" t="str">
        <f>IFERROR(INDEX(Raw_orders!G:G, MATCH(shipments[[#This Row],[order_id]],Raw_orders!A:A, 0)), "Unknown")</f>
        <v>Central Europe</v>
      </c>
      <c r="J4625" t="str">
        <f>PROPER(shipments[[#This Row],[delivery_status]])</f>
        <v>Delivered</v>
      </c>
      <c r="K4625" t="s">
        <v>6922</v>
      </c>
    </row>
    <row r="4626" spans="1:11">
      <c r="A4626" t="s">
        <v>11562</v>
      </c>
      <c r="B4626" t="s">
        <v>5258</v>
      </c>
      <c r="C4626" t="s">
        <v>6925</v>
      </c>
      <c r="D4626" s="1">
        <v>45478</v>
      </c>
      <c r="E4626" s="1">
        <v>45485</v>
      </c>
      <c r="F4626" s="1"/>
      <c r="G4626">
        <v>61.1</v>
      </c>
      <c r="H46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626" t="str">
        <f>IFERROR(INDEX(Raw_orders!G:G, MATCH(shipments[[#This Row],[order_id]],Raw_orders!A:A, 0)), "Unknown")</f>
        <v>Nordics</v>
      </c>
      <c r="J4626" t="str">
        <f>PROPER(shipments[[#This Row],[delivery_status]])</f>
        <v>In Transit</v>
      </c>
      <c r="K4626" t="s">
        <v>6977</v>
      </c>
    </row>
    <row r="4627" spans="1:11">
      <c r="A4627" t="s">
        <v>11563</v>
      </c>
      <c r="B4627" t="s">
        <v>5259</v>
      </c>
      <c r="C4627" t="s">
        <v>6938</v>
      </c>
      <c r="D4627" s="1">
        <v>45173</v>
      </c>
      <c r="E4627" s="1">
        <v>45180</v>
      </c>
      <c r="F4627" s="1">
        <v>45179</v>
      </c>
      <c r="G4627">
        <v>58.25</v>
      </c>
      <c r="H46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627" t="str">
        <f>IFERROR(INDEX(Raw_orders!G:G, MATCH(shipments[[#This Row],[order_id]],Raw_orders!A:A, 0)), "Unknown")</f>
        <v>Baltics</v>
      </c>
      <c r="J4627" t="str">
        <f>PROPER(shipments[[#This Row],[delivery_status]])</f>
        <v>Delivered</v>
      </c>
      <c r="K4627" t="s">
        <v>6929</v>
      </c>
    </row>
    <row r="4628" spans="1:11">
      <c r="A4628" t="s">
        <v>11564</v>
      </c>
      <c r="B4628" t="s">
        <v>5260</v>
      </c>
      <c r="C4628" t="s">
        <v>6938</v>
      </c>
      <c r="D4628" s="1">
        <v>45188</v>
      </c>
      <c r="E4628" s="1">
        <v>45193</v>
      </c>
      <c r="F4628" s="1">
        <v>45193</v>
      </c>
      <c r="G4628">
        <v>14.56</v>
      </c>
      <c r="H46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628" t="str">
        <f>IFERROR(INDEX(Raw_orders!G:G, MATCH(shipments[[#This Row],[order_id]],Raw_orders!A:A, 0)), "Unknown")</f>
        <v>Nordics</v>
      </c>
      <c r="J4628" t="str">
        <f>PROPER(shipments[[#This Row],[delivery_status]])</f>
        <v>Delivered</v>
      </c>
      <c r="K4628" t="s">
        <v>6922</v>
      </c>
    </row>
    <row r="4629" spans="1:11">
      <c r="A4629" t="s">
        <v>11565</v>
      </c>
      <c r="B4629" t="s">
        <v>5261</v>
      </c>
      <c r="C4629" t="s">
        <v>6931</v>
      </c>
      <c r="D4629" s="1">
        <v>45347</v>
      </c>
      <c r="E4629" s="1">
        <v>45357</v>
      </c>
      <c r="F4629" s="1">
        <v>45365</v>
      </c>
      <c r="G4629">
        <v>26.27</v>
      </c>
      <c r="H46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29" t="str">
        <f>IFERROR(INDEX(Raw_orders!G:G, MATCH(shipments[[#This Row],[order_id]],Raw_orders!A:A, 0)), "Unknown")</f>
        <v>Central Europe</v>
      </c>
      <c r="J4629" t="str">
        <f>PROPER(shipments[[#This Row],[delivery_status]])</f>
        <v>Delivered</v>
      </c>
      <c r="K4629" t="s">
        <v>6929</v>
      </c>
    </row>
    <row r="4630" spans="1:11">
      <c r="A4630" t="s">
        <v>11566</v>
      </c>
      <c r="B4630" t="s">
        <v>5262</v>
      </c>
      <c r="C4630" t="s">
        <v>6949</v>
      </c>
      <c r="D4630" s="1">
        <v>45050</v>
      </c>
      <c r="E4630" s="1">
        <v>45060</v>
      </c>
      <c r="F4630" s="1">
        <v>45070</v>
      </c>
      <c r="G4630">
        <v>60.3</v>
      </c>
      <c r="H46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30" t="str">
        <f>IFERROR(INDEX(Raw_orders!G:G, MATCH(shipments[[#This Row],[order_id]],Raw_orders!A:A, 0)), "Unknown")</f>
        <v>Nordics</v>
      </c>
      <c r="J4630" t="str">
        <f>PROPER(shipments[[#This Row],[delivery_status]])</f>
        <v>Delivered</v>
      </c>
      <c r="K4630" t="s">
        <v>6922</v>
      </c>
    </row>
    <row r="4631" spans="1:11">
      <c r="A4631" t="s">
        <v>11567</v>
      </c>
      <c r="B4631" t="s">
        <v>5262</v>
      </c>
      <c r="C4631" t="s">
        <v>6940</v>
      </c>
      <c r="D4631" s="1">
        <v>45051</v>
      </c>
      <c r="E4631" s="1">
        <v>45058</v>
      </c>
      <c r="F4631" s="1">
        <v>45061</v>
      </c>
      <c r="G4631">
        <v>61.6</v>
      </c>
      <c r="H46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31" t="str">
        <f>IFERROR(INDEX(Raw_orders!G:G, MATCH(shipments[[#This Row],[order_id]],Raw_orders!A:A, 0)), "Unknown")</f>
        <v>Nordics</v>
      </c>
      <c r="J4631" t="str">
        <f>PROPER(shipments[[#This Row],[delivery_status]])</f>
        <v>Delivered</v>
      </c>
      <c r="K4631" t="s">
        <v>6929</v>
      </c>
    </row>
    <row r="4632" spans="1:11">
      <c r="A4632" t="s">
        <v>11568</v>
      </c>
      <c r="B4632" t="s">
        <v>5263</v>
      </c>
      <c r="C4632" t="s">
        <v>6931</v>
      </c>
      <c r="D4632" s="1">
        <v>45284</v>
      </c>
      <c r="E4632" s="1">
        <v>45287</v>
      </c>
      <c r="F4632" s="1">
        <v>45287</v>
      </c>
      <c r="G4632">
        <v>15.2</v>
      </c>
      <c r="H46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632" t="str">
        <f>IFERROR(INDEX(Raw_orders!G:G, MATCH(shipments[[#This Row],[order_id]],Raw_orders!A:A, 0)), "Unknown")</f>
        <v>Nordics</v>
      </c>
      <c r="J4632" t="str">
        <f>PROPER(shipments[[#This Row],[delivery_status]])</f>
        <v>Delivered</v>
      </c>
      <c r="K4632" t="s">
        <v>6922</v>
      </c>
    </row>
    <row r="4633" spans="1:11">
      <c r="A4633" t="s">
        <v>11569</v>
      </c>
      <c r="B4633" t="s">
        <v>5264</v>
      </c>
      <c r="C4633" t="s">
        <v>6931</v>
      </c>
      <c r="D4633" s="1">
        <v>45473</v>
      </c>
      <c r="E4633" s="1">
        <v>45478</v>
      </c>
      <c r="F4633" s="1">
        <v>45478</v>
      </c>
      <c r="G4633">
        <v>15.98</v>
      </c>
      <c r="H46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633" t="str">
        <f>IFERROR(INDEX(Raw_orders!G:G, MATCH(shipments[[#This Row],[order_id]],Raw_orders!A:A, 0)), "Unknown")</f>
        <v>Baltics</v>
      </c>
      <c r="J4633" t="str">
        <f>PROPER(shipments[[#This Row],[delivery_status]])</f>
        <v>Delivered</v>
      </c>
      <c r="K4633" t="s">
        <v>6926</v>
      </c>
    </row>
    <row r="4634" spans="1:11">
      <c r="A4634" t="s">
        <v>11570</v>
      </c>
      <c r="B4634" t="s">
        <v>5265</v>
      </c>
      <c r="C4634" t="s">
        <v>6935</v>
      </c>
      <c r="D4634" s="1">
        <v>45067</v>
      </c>
      <c r="E4634" s="1">
        <v>45072</v>
      </c>
      <c r="F4634" s="1">
        <v>45072</v>
      </c>
      <c r="G4634">
        <v>44.8</v>
      </c>
      <c r="H46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634" t="str">
        <f>IFERROR(INDEX(Raw_orders!G:G, MATCH(shipments[[#This Row],[order_id]],Raw_orders!A:A, 0)), "Unknown")</f>
        <v>Central Europe</v>
      </c>
      <c r="J4634" t="str">
        <f>PROPER(shipments[[#This Row],[delivery_status]])</f>
        <v>Delivered</v>
      </c>
      <c r="K4634" t="s">
        <v>6926</v>
      </c>
    </row>
    <row r="4635" spans="1:11">
      <c r="A4635" t="s">
        <v>11571</v>
      </c>
      <c r="B4635" t="s">
        <v>5266</v>
      </c>
      <c r="C4635" t="s">
        <v>6935</v>
      </c>
      <c r="D4635" s="1">
        <v>45263</v>
      </c>
      <c r="E4635" s="1">
        <v>45266</v>
      </c>
      <c r="F4635" s="1">
        <v>45267</v>
      </c>
      <c r="G4635">
        <v>44.5</v>
      </c>
      <c r="H46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35" t="str">
        <f>IFERROR(INDEX(Raw_orders!G:G, MATCH(shipments[[#This Row],[order_id]],Raw_orders!A:A, 0)), "Unknown")</f>
        <v>Baltics</v>
      </c>
      <c r="J4635" t="str">
        <f>PROPER(shipments[[#This Row],[delivery_status]])</f>
        <v>Delivered</v>
      </c>
      <c r="K4635" t="s">
        <v>6929</v>
      </c>
    </row>
    <row r="4636" spans="1:11">
      <c r="A4636" t="s">
        <v>11572</v>
      </c>
      <c r="B4636" t="s">
        <v>5267</v>
      </c>
      <c r="C4636" t="s">
        <v>6940</v>
      </c>
      <c r="D4636" s="1">
        <v>45421</v>
      </c>
      <c r="E4636" s="1">
        <v>45431</v>
      </c>
      <c r="F4636" s="1">
        <v>45431</v>
      </c>
      <c r="G4636">
        <v>14.31</v>
      </c>
      <c r="H46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636" t="str">
        <f>IFERROR(INDEX(Raw_orders!G:G, MATCH(shipments[[#This Row],[order_id]],Raw_orders!A:A, 0)), "Unknown")</f>
        <v>Nordics</v>
      </c>
      <c r="J4636" t="str">
        <f>PROPER(shipments[[#This Row],[delivery_status]])</f>
        <v>Delivered</v>
      </c>
      <c r="K4636" t="s">
        <v>6926</v>
      </c>
    </row>
    <row r="4637" spans="1:11">
      <c r="A4637" t="s">
        <v>11573</v>
      </c>
      <c r="B4637" t="s">
        <v>5268</v>
      </c>
      <c r="C4637" t="s">
        <v>6935</v>
      </c>
      <c r="D4637" s="1">
        <v>45207</v>
      </c>
      <c r="E4637" s="1">
        <v>45217</v>
      </c>
      <c r="F4637" s="1"/>
      <c r="G4637">
        <v>49.62</v>
      </c>
      <c r="H46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637" t="str">
        <f>IFERROR(INDEX(Raw_orders!G:G, MATCH(shipments[[#This Row],[order_id]],Raw_orders!A:A, 0)), "Unknown")</f>
        <v>Baltics</v>
      </c>
      <c r="J4637" t="str">
        <f>PROPER(shipments[[#This Row],[delivery_status]])</f>
        <v>In Transit</v>
      </c>
      <c r="K4637" t="s">
        <v>6977</v>
      </c>
    </row>
    <row r="4638" spans="1:11">
      <c r="A4638" t="s">
        <v>11574</v>
      </c>
      <c r="B4638" t="s">
        <v>5269</v>
      </c>
      <c r="C4638" t="s">
        <v>6931</v>
      </c>
      <c r="D4638" s="1">
        <v>45023</v>
      </c>
      <c r="E4638" s="1">
        <v>45033</v>
      </c>
      <c r="F4638" s="1">
        <v>45032</v>
      </c>
      <c r="G4638">
        <v>28.91</v>
      </c>
      <c r="H46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638" t="str">
        <f>IFERROR(INDEX(Raw_orders!G:G, MATCH(shipments[[#This Row],[order_id]],Raw_orders!A:A, 0)), "Unknown")</f>
        <v>Central Europe</v>
      </c>
      <c r="J4638" t="str">
        <f>PROPER(shipments[[#This Row],[delivery_status]])</f>
        <v>Delivered</v>
      </c>
      <c r="K4638" t="s">
        <v>6929</v>
      </c>
    </row>
    <row r="4639" spans="1:11">
      <c r="A4639" t="s">
        <v>11575</v>
      </c>
      <c r="B4639" t="s">
        <v>5269</v>
      </c>
      <c r="C4639" t="s">
        <v>6940</v>
      </c>
      <c r="D4639" s="1">
        <v>45026</v>
      </c>
      <c r="E4639" s="1">
        <v>45033</v>
      </c>
      <c r="F4639" s="1">
        <v>45047</v>
      </c>
      <c r="H46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39" t="str">
        <f>IFERROR(INDEX(Raw_orders!G:G, MATCH(shipments[[#This Row],[order_id]],Raw_orders!A:A, 0)), "Unknown")</f>
        <v>Central Europe</v>
      </c>
      <c r="J4639" t="str">
        <f>PROPER(shipments[[#This Row],[delivery_status]])</f>
        <v>Delivered</v>
      </c>
      <c r="K4639" t="s">
        <v>6926</v>
      </c>
    </row>
    <row r="4640" spans="1:11">
      <c r="A4640" t="s">
        <v>11576</v>
      </c>
      <c r="B4640" t="s">
        <v>5270</v>
      </c>
      <c r="C4640" t="s">
        <v>6921</v>
      </c>
      <c r="D4640" s="1">
        <v>45381</v>
      </c>
      <c r="E4640" s="1">
        <v>45383</v>
      </c>
      <c r="F4640" s="1">
        <v>45383</v>
      </c>
      <c r="G4640">
        <v>15.75</v>
      </c>
      <c r="H46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640" t="str">
        <f>IFERROR(INDEX(Raw_orders!G:G, MATCH(shipments[[#This Row],[order_id]],Raw_orders!A:A, 0)), "Unknown")</f>
        <v>Baltics</v>
      </c>
      <c r="J4640" t="str">
        <f>PROPER(shipments[[#This Row],[delivery_status]])</f>
        <v>Delivered</v>
      </c>
      <c r="K4640" t="s">
        <v>6929</v>
      </c>
    </row>
    <row r="4641" spans="1:11">
      <c r="A4641" t="s">
        <v>11577</v>
      </c>
      <c r="B4641" t="s">
        <v>5271</v>
      </c>
      <c r="C4641" t="s">
        <v>6931</v>
      </c>
      <c r="D4641" s="1">
        <v>45138</v>
      </c>
      <c r="E4641" s="1">
        <v>45143</v>
      </c>
      <c r="F4641" s="1">
        <v>45151</v>
      </c>
      <c r="H46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41" t="str">
        <f>IFERROR(INDEX(Raw_orders!G:G, MATCH(shipments[[#This Row],[order_id]],Raw_orders!A:A, 0)), "Unknown")</f>
        <v>Baltics</v>
      </c>
      <c r="J4641" t="str">
        <f>PROPER(shipments[[#This Row],[delivery_status]])</f>
        <v>Delivered</v>
      </c>
      <c r="K4641" t="s">
        <v>6922</v>
      </c>
    </row>
    <row r="4642" spans="1:11">
      <c r="A4642" t="s">
        <v>11578</v>
      </c>
      <c r="B4642" t="s">
        <v>5271</v>
      </c>
      <c r="C4642" t="s">
        <v>6928</v>
      </c>
      <c r="D4642" s="1">
        <v>45141</v>
      </c>
      <c r="E4642" s="1">
        <v>45144</v>
      </c>
      <c r="F4642" s="1">
        <v>45149</v>
      </c>
      <c r="G4642">
        <v>26.37</v>
      </c>
      <c r="H46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42" t="str">
        <f>IFERROR(INDEX(Raw_orders!G:G, MATCH(shipments[[#This Row],[order_id]],Raw_orders!A:A, 0)), "Unknown")</f>
        <v>Baltics</v>
      </c>
      <c r="J4642" t="str">
        <f>PROPER(shipments[[#This Row],[delivery_status]])</f>
        <v>Delivered</v>
      </c>
      <c r="K4642" t="s">
        <v>6926</v>
      </c>
    </row>
    <row r="4643" spans="1:11">
      <c r="A4643" t="s">
        <v>11579</v>
      </c>
      <c r="B4643" t="s">
        <v>5272</v>
      </c>
      <c r="C4643" t="s">
        <v>6935</v>
      </c>
      <c r="D4643" s="1">
        <v>45161</v>
      </c>
      <c r="E4643" s="1">
        <v>45164</v>
      </c>
      <c r="F4643" s="1">
        <v>45163</v>
      </c>
      <c r="G4643">
        <v>38.33</v>
      </c>
      <c r="H46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643" t="str">
        <f>IFERROR(INDEX(Raw_orders!G:G, MATCH(shipments[[#This Row],[order_id]],Raw_orders!A:A, 0)), "Unknown")</f>
        <v>Nordics</v>
      </c>
      <c r="J4643" t="str">
        <f>PROPER(shipments[[#This Row],[delivery_status]])</f>
        <v>Delivered</v>
      </c>
      <c r="K4643" t="s">
        <v>6926</v>
      </c>
    </row>
    <row r="4644" spans="1:11">
      <c r="A4644" t="s">
        <v>11580</v>
      </c>
      <c r="B4644" t="s">
        <v>5273</v>
      </c>
      <c r="C4644" t="s">
        <v>6928</v>
      </c>
      <c r="D4644" s="1">
        <v>45398</v>
      </c>
      <c r="E4644" s="1">
        <v>45405</v>
      </c>
      <c r="F4644" s="1">
        <v>45406</v>
      </c>
      <c r="G4644">
        <v>37.270000000000003</v>
      </c>
      <c r="H46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44" t="str">
        <f>IFERROR(INDEX(Raw_orders!G:G, MATCH(shipments[[#This Row],[order_id]],Raw_orders!A:A, 0)), "Unknown")</f>
        <v>Nordics</v>
      </c>
      <c r="J4644" t="str">
        <f>PROPER(shipments[[#This Row],[delivery_status]])</f>
        <v>Delivered</v>
      </c>
      <c r="K4644" t="s">
        <v>6929</v>
      </c>
    </row>
    <row r="4645" spans="1:11">
      <c r="A4645" t="s">
        <v>11581</v>
      </c>
      <c r="B4645" t="s">
        <v>5274</v>
      </c>
      <c r="C4645" t="s">
        <v>6935</v>
      </c>
      <c r="D4645" s="1">
        <v>45039</v>
      </c>
      <c r="E4645" s="1">
        <v>45041</v>
      </c>
      <c r="F4645" s="1">
        <v>45049</v>
      </c>
      <c r="G4645">
        <v>43.33</v>
      </c>
      <c r="H46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45" t="str">
        <f>IFERROR(INDEX(Raw_orders!G:G, MATCH(shipments[[#This Row],[order_id]],Raw_orders!A:A, 0)), "Unknown")</f>
        <v>Unknown</v>
      </c>
      <c r="J4645" t="str">
        <f>PROPER(shipments[[#This Row],[delivery_status]])</f>
        <v>Delivered</v>
      </c>
      <c r="K4645" t="s">
        <v>6926</v>
      </c>
    </row>
    <row r="4646" spans="1:11">
      <c r="A4646" t="s">
        <v>11582</v>
      </c>
      <c r="B4646" t="s">
        <v>5275</v>
      </c>
      <c r="C4646" t="s">
        <v>6928</v>
      </c>
      <c r="D4646" s="1">
        <v>45276</v>
      </c>
      <c r="E4646" s="1">
        <v>45281</v>
      </c>
      <c r="F4646" s="1">
        <v>45281</v>
      </c>
      <c r="G4646">
        <v>61.89</v>
      </c>
      <c r="H46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646" t="str">
        <f>IFERROR(INDEX(Raw_orders!G:G, MATCH(shipments[[#This Row],[order_id]],Raw_orders!A:A, 0)), "Unknown")</f>
        <v>Unknown</v>
      </c>
      <c r="J4646" t="str">
        <f>PROPER(shipments[[#This Row],[delivery_status]])</f>
        <v>Delivered</v>
      </c>
      <c r="K4646" t="s">
        <v>6929</v>
      </c>
    </row>
    <row r="4647" spans="1:11">
      <c r="A4647" t="s">
        <v>11583</v>
      </c>
      <c r="B4647" t="s">
        <v>5276</v>
      </c>
      <c r="C4647" t="s">
        <v>6935</v>
      </c>
      <c r="D4647" s="1">
        <v>45628</v>
      </c>
      <c r="E4647" s="1">
        <v>45631</v>
      </c>
      <c r="F4647" s="1"/>
      <c r="G4647">
        <v>18.03</v>
      </c>
      <c r="H46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647" t="str">
        <f>IFERROR(INDEX(Raw_orders!G:G, MATCH(shipments[[#This Row],[order_id]],Raw_orders!A:A, 0)), "Unknown")</f>
        <v>Central Europe</v>
      </c>
      <c r="J4647" t="str">
        <f>PROPER(shipments[[#This Row],[delivery_status]])</f>
        <v>In Transit</v>
      </c>
      <c r="K4647" t="s">
        <v>6977</v>
      </c>
    </row>
    <row r="4648" spans="1:11">
      <c r="A4648" t="s">
        <v>11584</v>
      </c>
      <c r="B4648" t="s">
        <v>5277</v>
      </c>
      <c r="C4648" t="s">
        <v>6956</v>
      </c>
      <c r="D4648" s="1">
        <v>45535</v>
      </c>
      <c r="E4648" s="1">
        <v>45545</v>
      </c>
      <c r="F4648" s="1">
        <v>45548</v>
      </c>
      <c r="G4648">
        <v>49.99</v>
      </c>
      <c r="H46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48" t="str">
        <f>IFERROR(INDEX(Raw_orders!G:G, MATCH(shipments[[#This Row],[order_id]],Raw_orders!A:A, 0)), "Unknown")</f>
        <v>Nordics</v>
      </c>
      <c r="J4648" t="str">
        <f>PROPER(shipments[[#This Row],[delivery_status]])</f>
        <v>Delivered</v>
      </c>
      <c r="K4648" t="s">
        <v>6929</v>
      </c>
    </row>
    <row r="4649" spans="1:11">
      <c r="A4649" t="s">
        <v>11585</v>
      </c>
      <c r="B4649" t="s">
        <v>5278</v>
      </c>
      <c r="C4649" t="s">
        <v>6938</v>
      </c>
      <c r="D4649" s="1">
        <v>44944</v>
      </c>
      <c r="E4649" s="1">
        <v>44946</v>
      </c>
      <c r="F4649" s="1">
        <v>44951</v>
      </c>
      <c r="G4649">
        <v>59.04</v>
      </c>
      <c r="H46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49" t="str">
        <f>IFERROR(INDEX(Raw_orders!G:G, MATCH(shipments[[#This Row],[order_id]],Raw_orders!A:A, 0)), "Unknown")</f>
        <v>Baltics</v>
      </c>
      <c r="J4649" t="str">
        <f>PROPER(shipments[[#This Row],[delivery_status]])</f>
        <v>Delivered</v>
      </c>
      <c r="K4649" t="s">
        <v>6929</v>
      </c>
    </row>
    <row r="4650" spans="1:11">
      <c r="A4650" t="s">
        <v>11586</v>
      </c>
      <c r="B4650" t="s">
        <v>5279</v>
      </c>
      <c r="C4650" t="s">
        <v>6921</v>
      </c>
      <c r="D4650" s="1">
        <v>45198</v>
      </c>
      <c r="E4650" s="1">
        <v>45208</v>
      </c>
      <c r="F4650" s="1">
        <v>45208</v>
      </c>
      <c r="G4650">
        <v>8.5399999999999991</v>
      </c>
      <c r="H46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650" t="str">
        <f>IFERROR(INDEX(Raw_orders!G:G, MATCH(shipments[[#This Row],[order_id]],Raw_orders!A:A, 0)), "Unknown")</f>
        <v>Baltics</v>
      </c>
      <c r="J4650" t="str">
        <f>PROPER(shipments[[#This Row],[delivery_status]])</f>
        <v>Delivered</v>
      </c>
      <c r="K4650" t="s">
        <v>6929</v>
      </c>
    </row>
    <row r="4651" spans="1:11">
      <c r="A4651" t="s">
        <v>11587</v>
      </c>
      <c r="B4651" t="s">
        <v>5279</v>
      </c>
      <c r="C4651" t="s">
        <v>6956</v>
      </c>
      <c r="D4651" s="1">
        <v>45196</v>
      </c>
      <c r="E4651" s="1">
        <v>45201</v>
      </c>
      <c r="F4651" s="1">
        <v>45201</v>
      </c>
      <c r="G4651">
        <v>38.21</v>
      </c>
      <c r="H46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651" t="str">
        <f>IFERROR(INDEX(Raw_orders!G:G, MATCH(shipments[[#This Row],[order_id]],Raw_orders!A:A, 0)), "Unknown")</f>
        <v>Baltics</v>
      </c>
      <c r="J4651" t="str">
        <f>PROPER(shipments[[#This Row],[delivery_status]])</f>
        <v>Delivered</v>
      </c>
      <c r="K4651" t="s">
        <v>6929</v>
      </c>
    </row>
    <row r="4652" spans="1:11">
      <c r="A4652" t="s">
        <v>11588</v>
      </c>
      <c r="B4652" t="s">
        <v>5280</v>
      </c>
      <c r="C4652" t="s">
        <v>6928</v>
      </c>
      <c r="D4652" s="1">
        <v>45342</v>
      </c>
      <c r="E4652" s="1">
        <v>45345</v>
      </c>
      <c r="F4652" s="1">
        <v>45345</v>
      </c>
      <c r="G4652">
        <v>62.63</v>
      </c>
      <c r="H46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652" t="str">
        <f>IFERROR(INDEX(Raw_orders!G:G, MATCH(shipments[[#This Row],[order_id]],Raw_orders!A:A, 0)), "Unknown")</f>
        <v>Nordics</v>
      </c>
      <c r="J4652" t="str">
        <f>PROPER(shipments[[#This Row],[delivery_status]])</f>
        <v>Delivered</v>
      </c>
      <c r="K4652" t="s">
        <v>6926</v>
      </c>
    </row>
    <row r="4653" spans="1:11">
      <c r="A4653" t="s">
        <v>11589</v>
      </c>
      <c r="B4653" t="s">
        <v>5281</v>
      </c>
      <c r="C4653" t="s">
        <v>6935</v>
      </c>
      <c r="D4653" s="1">
        <v>45481</v>
      </c>
      <c r="E4653" s="1">
        <v>45484</v>
      </c>
      <c r="F4653" s="1">
        <v>45483</v>
      </c>
      <c r="G4653">
        <v>27.54</v>
      </c>
      <c r="H46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653" t="str">
        <f>IFERROR(INDEX(Raw_orders!G:G, MATCH(shipments[[#This Row],[order_id]],Raw_orders!A:A, 0)), "Unknown")</f>
        <v>Nordics</v>
      </c>
      <c r="J4653" t="str">
        <f>PROPER(shipments[[#This Row],[delivery_status]])</f>
        <v>Delivered</v>
      </c>
      <c r="K4653" t="s">
        <v>6929</v>
      </c>
    </row>
    <row r="4654" spans="1:11">
      <c r="A4654" t="s">
        <v>11590</v>
      </c>
      <c r="B4654" t="s">
        <v>5282</v>
      </c>
      <c r="C4654" t="s">
        <v>6956</v>
      </c>
      <c r="D4654" s="1">
        <v>45415</v>
      </c>
      <c r="E4654" s="1">
        <v>45422</v>
      </c>
      <c r="F4654" s="1">
        <v>45422</v>
      </c>
      <c r="H46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654" t="str">
        <f>IFERROR(INDEX(Raw_orders!G:G, MATCH(shipments[[#This Row],[order_id]],Raw_orders!A:A, 0)), "Unknown")</f>
        <v>Nordics</v>
      </c>
      <c r="J4654" t="str">
        <f>PROPER(shipments[[#This Row],[delivery_status]])</f>
        <v>Delivered</v>
      </c>
      <c r="K4654" t="s">
        <v>6929</v>
      </c>
    </row>
    <row r="4655" spans="1:11">
      <c r="A4655" t="s">
        <v>11591</v>
      </c>
      <c r="B4655" t="s">
        <v>5283</v>
      </c>
      <c r="C4655" t="s">
        <v>6956</v>
      </c>
      <c r="D4655" s="1">
        <v>45469</v>
      </c>
      <c r="E4655" s="1">
        <v>45474</v>
      </c>
      <c r="F4655" s="1">
        <v>45473</v>
      </c>
      <c r="G4655">
        <v>45.53</v>
      </c>
      <c r="H46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655" t="str">
        <f>IFERROR(INDEX(Raw_orders!G:G, MATCH(shipments[[#This Row],[order_id]],Raw_orders!A:A, 0)), "Unknown")</f>
        <v>Nordics</v>
      </c>
      <c r="J4655" t="str">
        <f>PROPER(shipments[[#This Row],[delivery_status]])</f>
        <v>Delivered</v>
      </c>
      <c r="K4655" t="s">
        <v>6926</v>
      </c>
    </row>
    <row r="4656" spans="1:11">
      <c r="A4656" t="s">
        <v>11592</v>
      </c>
      <c r="B4656" t="s">
        <v>5284</v>
      </c>
      <c r="C4656" t="s">
        <v>6931</v>
      </c>
      <c r="D4656" s="1">
        <v>45500</v>
      </c>
      <c r="E4656" s="1">
        <v>45505</v>
      </c>
      <c r="F4656" s="1">
        <v>45505</v>
      </c>
      <c r="G4656">
        <v>16.48</v>
      </c>
      <c r="H46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656" t="str">
        <f>IFERROR(INDEX(Raw_orders!G:G, MATCH(shipments[[#This Row],[order_id]],Raw_orders!A:A, 0)), "Unknown")</f>
        <v>Baltics</v>
      </c>
      <c r="J4656" t="str">
        <f>PROPER(shipments[[#This Row],[delivery_status]])</f>
        <v>Delivered</v>
      </c>
      <c r="K4656" t="s">
        <v>6922</v>
      </c>
    </row>
    <row r="4657" spans="1:11">
      <c r="A4657" t="s">
        <v>11593</v>
      </c>
      <c r="B4657" t="s">
        <v>5285</v>
      </c>
      <c r="C4657" t="s">
        <v>6938</v>
      </c>
      <c r="D4657" s="1">
        <v>44997</v>
      </c>
      <c r="E4657" s="1">
        <v>45000</v>
      </c>
      <c r="F4657" s="1"/>
      <c r="G4657">
        <v>16.5</v>
      </c>
      <c r="H46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657" t="str">
        <f>IFERROR(INDEX(Raw_orders!G:G, MATCH(shipments[[#This Row],[order_id]],Raw_orders!A:A, 0)), "Unknown")</f>
        <v>Central Europe</v>
      </c>
      <c r="J4657" t="str">
        <f>PROPER(shipments[[#This Row],[delivery_status]])</f>
        <v>In Transit</v>
      </c>
      <c r="K4657" t="s">
        <v>6958</v>
      </c>
    </row>
    <row r="4658" spans="1:11">
      <c r="A4658" t="s">
        <v>11594</v>
      </c>
      <c r="B4658" t="s">
        <v>5286</v>
      </c>
      <c r="C4658" t="s">
        <v>6928</v>
      </c>
      <c r="D4658" s="1">
        <v>45040</v>
      </c>
      <c r="E4658" s="1">
        <v>45050</v>
      </c>
      <c r="F4658" s="1">
        <v>45051</v>
      </c>
      <c r="G4658">
        <v>55.22</v>
      </c>
      <c r="H46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58" t="str">
        <f>IFERROR(INDEX(Raw_orders!G:G, MATCH(shipments[[#This Row],[order_id]],Raw_orders!A:A, 0)), "Unknown")</f>
        <v>Central Europe</v>
      </c>
      <c r="J4658" t="str">
        <f>PROPER(shipments[[#This Row],[delivery_status]])</f>
        <v>Delivered</v>
      </c>
      <c r="K4658" t="s">
        <v>6929</v>
      </c>
    </row>
    <row r="4659" spans="1:11">
      <c r="A4659" t="s">
        <v>11595</v>
      </c>
      <c r="B4659" t="s">
        <v>5287</v>
      </c>
      <c r="C4659" t="s">
        <v>6940</v>
      </c>
      <c r="D4659" s="1">
        <v>45497</v>
      </c>
      <c r="E4659" s="1">
        <v>45500</v>
      </c>
      <c r="F4659" s="1">
        <v>45500</v>
      </c>
      <c r="G4659">
        <v>56.52</v>
      </c>
      <c r="H46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659" t="str">
        <f>IFERROR(INDEX(Raw_orders!G:G, MATCH(shipments[[#This Row],[order_id]],Raw_orders!A:A, 0)), "Unknown")</f>
        <v>Central Europe</v>
      </c>
      <c r="J4659" t="str">
        <f>PROPER(shipments[[#This Row],[delivery_status]])</f>
        <v>Delivered</v>
      </c>
      <c r="K4659" t="s">
        <v>6926</v>
      </c>
    </row>
    <row r="4660" spans="1:11">
      <c r="A4660" t="s">
        <v>11596</v>
      </c>
      <c r="B4660" t="s">
        <v>5288</v>
      </c>
      <c r="C4660" t="s">
        <v>6938</v>
      </c>
      <c r="D4660" s="1">
        <v>45308</v>
      </c>
      <c r="E4660" s="1">
        <v>45318</v>
      </c>
      <c r="F4660" s="1"/>
      <c r="G4660">
        <v>28.92</v>
      </c>
      <c r="H46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660" t="str">
        <f>IFERROR(INDEX(Raw_orders!G:G, MATCH(shipments[[#This Row],[order_id]],Raw_orders!A:A, 0)), "Unknown")</f>
        <v>Central Europe</v>
      </c>
      <c r="J4660" t="str">
        <f>PROPER(shipments[[#This Row],[delivery_status]])</f>
        <v>In Transit</v>
      </c>
      <c r="K4660" t="s">
        <v>6977</v>
      </c>
    </row>
    <row r="4661" spans="1:11">
      <c r="A4661" t="s">
        <v>11597</v>
      </c>
      <c r="B4661" t="s">
        <v>5289</v>
      </c>
      <c r="C4661" t="s">
        <v>6938</v>
      </c>
      <c r="D4661" s="1">
        <v>45566</v>
      </c>
      <c r="E4661" s="1">
        <v>45568</v>
      </c>
      <c r="F4661" s="1">
        <v>45568</v>
      </c>
      <c r="G4661">
        <v>25.49</v>
      </c>
      <c r="H46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661" t="str">
        <f>IFERROR(INDEX(Raw_orders!G:G, MATCH(shipments[[#This Row],[order_id]],Raw_orders!A:A, 0)), "Unknown")</f>
        <v>Central Europe</v>
      </c>
      <c r="J4661" t="str">
        <f>PROPER(shipments[[#This Row],[delivery_status]])</f>
        <v>Delivered</v>
      </c>
      <c r="K4661" t="s">
        <v>6926</v>
      </c>
    </row>
    <row r="4662" spans="1:11">
      <c r="A4662" t="s">
        <v>11598</v>
      </c>
      <c r="B4662" t="s">
        <v>5290</v>
      </c>
      <c r="C4662" t="s">
        <v>6940</v>
      </c>
      <c r="D4662" s="1">
        <v>44992</v>
      </c>
      <c r="E4662" s="1">
        <v>45002</v>
      </c>
      <c r="F4662" s="1">
        <v>45004</v>
      </c>
      <c r="G4662">
        <v>62.61</v>
      </c>
      <c r="H46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62" t="str">
        <f>IFERROR(INDEX(Raw_orders!G:G, MATCH(shipments[[#This Row],[order_id]],Raw_orders!A:A, 0)), "Unknown")</f>
        <v>Baltics</v>
      </c>
      <c r="J4662" t="str">
        <f>PROPER(shipments[[#This Row],[delivery_status]])</f>
        <v>Delivered</v>
      </c>
      <c r="K4662" t="s">
        <v>6929</v>
      </c>
    </row>
    <row r="4663" spans="1:11">
      <c r="A4663" t="s">
        <v>11599</v>
      </c>
      <c r="B4663" t="s">
        <v>5291</v>
      </c>
      <c r="C4663" t="s">
        <v>6956</v>
      </c>
      <c r="D4663" s="1">
        <v>45324</v>
      </c>
      <c r="E4663" s="1">
        <v>45331</v>
      </c>
      <c r="F4663" s="1">
        <v>45333</v>
      </c>
      <c r="G4663">
        <v>49.65</v>
      </c>
      <c r="H46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63" t="str">
        <f>IFERROR(INDEX(Raw_orders!G:G, MATCH(shipments[[#This Row],[order_id]],Raw_orders!A:A, 0)), "Unknown")</f>
        <v>Nordics</v>
      </c>
      <c r="J4663" t="str">
        <f>PROPER(shipments[[#This Row],[delivery_status]])</f>
        <v>Delivered</v>
      </c>
      <c r="K4663" t="s">
        <v>6922</v>
      </c>
    </row>
    <row r="4664" spans="1:11">
      <c r="A4664" t="s">
        <v>11600</v>
      </c>
      <c r="B4664" t="s">
        <v>5292</v>
      </c>
      <c r="C4664" t="s">
        <v>6931</v>
      </c>
      <c r="D4664" s="1">
        <v>45251</v>
      </c>
      <c r="E4664" s="1">
        <v>45254</v>
      </c>
      <c r="F4664" s="1">
        <v>45262</v>
      </c>
      <c r="G4664">
        <v>14.97</v>
      </c>
      <c r="H46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64" t="str">
        <f>IFERROR(INDEX(Raw_orders!G:G, MATCH(shipments[[#This Row],[order_id]],Raw_orders!A:A, 0)), "Unknown")</f>
        <v>Central Europe</v>
      </c>
      <c r="J4664" t="str">
        <f>PROPER(shipments[[#This Row],[delivery_status]])</f>
        <v>Delivered</v>
      </c>
      <c r="K4664" t="s">
        <v>6926</v>
      </c>
    </row>
    <row r="4665" spans="1:11">
      <c r="A4665" t="s">
        <v>11601</v>
      </c>
      <c r="B4665" t="s">
        <v>5293</v>
      </c>
      <c r="C4665" t="s">
        <v>6940</v>
      </c>
      <c r="D4665" s="1">
        <v>45259</v>
      </c>
      <c r="E4665" s="1">
        <v>45264</v>
      </c>
      <c r="F4665" s="1">
        <v>45278</v>
      </c>
      <c r="G4665">
        <v>18.809999999999999</v>
      </c>
      <c r="H46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65" t="str">
        <f>IFERROR(INDEX(Raw_orders!G:G, MATCH(shipments[[#This Row],[order_id]],Raw_orders!A:A, 0)), "Unknown")</f>
        <v>Nordics</v>
      </c>
      <c r="J4665" t="str">
        <f>PROPER(shipments[[#This Row],[delivery_status]])</f>
        <v>Delivered</v>
      </c>
      <c r="K4665" t="s">
        <v>6926</v>
      </c>
    </row>
    <row r="4666" spans="1:11">
      <c r="A4666" t="s">
        <v>11602</v>
      </c>
      <c r="B4666" t="s">
        <v>5294</v>
      </c>
      <c r="C4666" t="s">
        <v>6928</v>
      </c>
      <c r="D4666" s="1">
        <v>45341</v>
      </c>
      <c r="E4666" s="1">
        <v>45343</v>
      </c>
      <c r="F4666" s="1">
        <v>45342</v>
      </c>
      <c r="G4666">
        <v>29.16</v>
      </c>
      <c r="H46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666" t="str">
        <f>IFERROR(INDEX(Raw_orders!G:G, MATCH(shipments[[#This Row],[order_id]],Raw_orders!A:A, 0)), "Unknown")</f>
        <v>Baltics</v>
      </c>
      <c r="J4666" t="str">
        <f>PROPER(shipments[[#This Row],[delivery_status]])</f>
        <v>Delivered</v>
      </c>
      <c r="K4666" t="s">
        <v>6926</v>
      </c>
    </row>
    <row r="4667" spans="1:11">
      <c r="A4667" t="s">
        <v>11603</v>
      </c>
      <c r="B4667" t="s">
        <v>5295</v>
      </c>
      <c r="C4667" t="s">
        <v>6921</v>
      </c>
      <c r="D4667" s="1">
        <v>45491</v>
      </c>
      <c r="E4667" s="1">
        <v>45498</v>
      </c>
      <c r="F4667" s="1">
        <v>45501</v>
      </c>
      <c r="G4667">
        <v>7.16</v>
      </c>
      <c r="H46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67" t="str">
        <f>IFERROR(INDEX(Raw_orders!G:G, MATCH(shipments[[#This Row],[order_id]],Raw_orders!A:A, 0)), "Unknown")</f>
        <v>Central Europe</v>
      </c>
      <c r="J4667" t="str">
        <f>PROPER(shipments[[#This Row],[delivery_status]])</f>
        <v>Delivered</v>
      </c>
      <c r="K4667" t="s">
        <v>6926</v>
      </c>
    </row>
    <row r="4668" spans="1:11">
      <c r="A4668" t="s">
        <v>11604</v>
      </c>
      <c r="B4668" t="s">
        <v>5296</v>
      </c>
      <c r="C4668" t="s">
        <v>6956</v>
      </c>
      <c r="D4668" s="1">
        <v>45432</v>
      </c>
      <c r="E4668" s="1">
        <v>45434</v>
      </c>
      <c r="F4668" s="1">
        <v>45447</v>
      </c>
      <c r="G4668">
        <v>6.3</v>
      </c>
      <c r="H46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68" t="str">
        <f>IFERROR(INDEX(Raw_orders!G:G, MATCH(shipments[[#This Row],[order_id]],Raw_orders!A:A, 0)), "Unknown")</f>
        <v>Central Europe</v>
      </c>
      <c r="J4668" t="str">
        <f>PROPER(shipments[[#This Row],[delivery_status]])</f>
        <v>Delivered</v>
      </c>
      <c r="K4668" t="s">
        <v>6922</v>
      </c>
    </row>
    <row r="4669" spans="1:11">
      <c r="A4669" t="s">
        <v>11605</v>
      </c>
      <c r="B4669" t="s">
        <v>5297</v>
      </c>
      <c r="C4669" t="s">
        <v>6921</v>
      </c>
      <c r="D4669" s="1">
        <v>45275</v>
      </c>
      <c r="E4669" s="1">
        <v>45277</v>
      </c>
      <c r="F4669" s="1"/>
      <c r="G4669">
        <v>45.73</v>
      </c>
      <c r="H46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669" t="str">
        <f>IFERROR(INDEX(Raw_orders!G:G, MATCH(shipments[[#This Row],[order_id]],Raw_orders!A:A, 0)), "Unknown")</f>
        <v>Central Europe</v>
      </c>
      <c r="J4669" t="str">
        <f>PROPER(shipments[[#This Row],[delivery_status]])</f>
        <v>In Transit</v>
      </c>
      <c r="K4669" t="s">
        <v>6958</v>
      </c>
    </row>
    <row r="4670" spans="1:11">
      <c r="A4670" t="s">
        <v>11606</v>
      </c>
      <c r="B4670" t="s">
        <v>5298</v>
      </c>
      <c r="C4670" t="s">
        <v>6928</v>
      </c>
      <c r="D4670" s="1">
        <v>45278</v>
      </c>
      <c r="E4670" s="1">
        <v>45283</v>
      </c>
      <c r="F4670" s="1">
        <v>45284</v>
      </c>
      <c r="G4670">
        <v>43.96</v>
      </c>
      <c r="H46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70" t="str">
        <f>IFERROR(INDEX(Raw_orders!G:G, MATCH(shipments[[#This Row],[order_id]],Raw_orders!A:A, 0)), "Unknown")</f>
        <v>Nordics</v>
      </c>
      <c r="J4670" t="str">
        <f>PROPER(shipments[[#This Row],[delivery_status]])</f>
        <v>Delivered</v>
      </c>
      <c r="K4670" t="s">
        <v>6922</v>
      </c>
    </row>
    <row r="4671" spans="1:11">
      <c r="A4671" t="s">
        <v>11607</v>
      </c>
      <c r="B4671" t="s">
        <v>5299</v>
      </c>
      <c r="C4671" t="s">
        <v>6928</v>
      </c>
      <c r="D4671" s="1">
        <v>45078</v>
      </c>
      <c r="E4671" s="1">
        <v>45088</v>
      </c>
      <c r="F4671" s="1">
        <v>45099</v>
      </c>
      <c r="G4671">
        <v>10.43</v>
      </c>
      <c r="H46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71" t="str">
        <f>IFERROR(INDEX(Raw_orders!G:G, MATCH(shipments[[#This Row],[order_id]],Raw_orders!A:A, 0)), "Unknown")</f>
        <v>Nordics</v>
      </c>
      <c r="J4671" t="str">
        <f>PROPER(shipments[[#This Row],[delivery_status]])</f>
        <v>Delivered</v>
      </c>
      <c r="K4671" t="s">
        <v>6922</v>
      </c>
    </row>
    <row r="4672" spans="1:11">
      <c r="A4672" t="s">
        <v>11608</v>
      </c>
      <c r="B4672" t="s">
        <v>5300</v>
      </c>
      <c r="C4672" t="s">
        <v>6935</v>
      </c>
      <c r="D4672" s="1">
        <v>45624</v>
      </c>
      <c r="E4672" s="1">
        <v>45631</v>
      </c>
      <c r="F4672" s="1">
        <v>45640</v>
      </c>
      <c r="G4672">
        <v>50.74</v>
      </c>
      <c r="H46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72" t="str">
        <f>IFERROR(INDEX(Raw_orders!G:G, MATCH(shipments[[#This Row],[order_id]],Raw_orders!A:A, 0)), "Unknown")</f>
        <v>Baltics</v>
      </c>
      <c r="J4672" t="str">
        <f>PROPER(shipments[[#This Row],[delivery_status]])</f>
        <v>Delivered</v>
      </c>
      <c r="K4672" t="s">
        <v>6929</v>
      </c>
    </row>
    <row r="4673" spans="1:11">
      <c r="A4673" t="s">
        <v>11609</v>
      </c>
      <c r="B4673" t="s">
        <v>5301</v>
      </c>
      <c r="C4673" t="s">
        <v>6935</v>
      </c>
      <c r="D4673" s="1">
        <v>45526</v>
      </c>
      <c r="E4673" s="1">
        <v>45528</v>
      </c>
      <c r="F4673" s="1">
        <v>45531</v>
      </c>
      <c r="G4673">
        <v>49.33</v>
      </c>
      <c r="H46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73" t="str">
        <f>IFERROR(INDEX(Raw_orders!G:G, MATCH(shipments[[#This Row],[order_id]],Raw_orders!A:A, 0)), "Unknown")</f>
        <v>Baltics</v>
      </c>
      <c r="J4673" t="str">
        <f>PROPER(shipments[[#This Row],[delivery_status]])</f>
        <v>Delivered</v>
      </c>
      <c r="K4673" t="s">
        <v>6929</v>
      </c>
    </row>
    <row r="4674" spans="1:11">
      <c r="A4674" t="s">
        <v>11610</v>
      </c>
      <c r="B4674" t="s">
        <v>5302</v>
      </c>
      <c r="C4674" t="s">
        <v>6949</v>
      </c>
      <c r="D4674" s="1">
        <v>45326</v>
      </c>
      <c r="E4674" s="1">
        <v>45333</v>
      </c>
      <c r="F4674" s="1">
        <v>45335</v>
      </c>
      <c r="G4674">
        <v>41.58</v>
      </c>
      <c r="H46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74" t="str">
        <f>IFERROR(INDEX(Raw_orders!G:G, MATCH(shipments[[#This Row],[order_id]],Raw_orders!A:A, 0)), "Unknown")</f>
        <v>Central Europe</v>
      </c>
      <c r="J4674" t="str">
        <f>PROPER(shipments[[#This Row],[delivery_status]])</f>
        <v>Delivered</v>
      </c>
      <c r="K4674" t="s">
        <v>6929</v>
      </c>
    </row>
    <row r="4675" spans="1:11">
      <c r="A4675" t="s">
        <v>11611</v>
      </c>
      <c r="B4675" t="s">
        <v>5303</v>
      </c>
      <c r="C4675" t="s">
        <v>6921</v>
      </c>
      <c r="D4675" s="1">
        <v>45484</v>
      </c>
      <c r="E4675" s="1">
        <v>45489</v>
      </c>
      <c r="F4675" s="1">
        <v>45488</v>
      </c>
      <c r="G4675">
        <v>10.77</v>
      </c>
      <c r="H46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675" t="str">
        <f>IFERROR(INDEX(Raw_orders!G:G, MATCH(shipments[[#This Row],[order_id]],Raw_orders!A:A, 0)), "Unknown")</f>
        <v>Nordics</v>
      </c>
      <c r="J4675" t="str">
        <f>PROPER(shipments[[#This Row],[delivery_status]])</f>
        <v>Delivered</v>
      </c>
      <c r="K4675" t="s">
        <v>6922</v>
      </c>
    </row>
    <row r="4676" spans="1:11">
      <c r="A4676" t="s">
        <v>11612</v>
      </c>
      <c r="B4676" t="s">
        <v>5304</v>
      </c>
      <c r="C4676" t="s">
        <v>6925</v>
      </c>
      <c r="D4676" s="1">
        <v>45613</v>
      </c>
      <c r="E4676" s="1">
        <v>45620</v>
      </c>
      <c r="F4676" s="1">
        <v>45620</v>
      </c>
      <c r="G4676">
        <v>39.19</v>
      </c>
      <c r="H46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676" t="str">
        <f>IFERROR(INDEX(Raw_orders!G:G, MATCH(shipments[[#This Row],[order_id]],Raw_orders!A:A, 0)), "Unknown")</f>
        <v>Central Europe</v>
      </c>
      <c r="J4676" t="str">
        <f>PROPER(shipments[[#This Row],[delivery_status]])</f>
        <v>Delivered</v>
      </c>
      <c r="K4676" t="s">
        <v>6926</v>
      </c>
    </row>
    <row r="4677" spans="1:11">
      <c r="A4677" t="s">
        <v>11613</v>
      </c>
      <c r="B4677" t="s">
        <v>5304</v>
      </c>
      <c r="C4677" t="s">
        <v>6925</v>
      </c>
      <c r="D4677" s="1">
        <v>45613</v>
      </c>
      <c r="E4677" s="1">
        <v>45615</v>
      </c>
      <c r="F4677" s="1">
        <v>45628</v>
      </c>
      <c r="G4677">
        <v>56.96</v>
      </c>
      <c r="H46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77" t="str">
        <f>IFERROR(INDEX(Raw_orders!G:G, MATCH(shipments[[#This Row],[order_id]],Raw_orders!A:A, 0)), "Unknown")</f>
        <v>Central Europe</v>
      </c>
      <c r="J4677" t="str">
        <f>PROPER(shipments[[#This Row],[delivery_status]])</f>
        <v>Delivered</v>
      </c>
      <c r="K4677" t="s">
        <v>6926</v>
      </c>
    </row>
    <row r="4678" spans="1:11">
      <c r="A4678" t="s">
        <v>11614</v>
      </c>
      <c r="B4678" t="s">
        <v>5305</v>
      </c>
      <c r="C4678" t="s">
        <v>6931</v>
      </c>
      <c r="D4678" s="1">
        <v>45296</v>
      </c>
      <c r="E4678" s="1">
        <v>45298</v>
      </c>
      <c r="F4678" s="1">
        <v>45301</v>
      </c>
      <c r="G4678">
        <v>11.69</v>
      </c>
      <c r="H46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78" t="str">
        <f>IFERROR(INDEX(Raw_orders!G:G, MATCH(shipments[[#This Row],[order_id]],Raw_orders!A:A, 0)), "Unknown")</f>
        <v>Nordics</v>
      </c>
      <c r="J4678" t="str">
        <f>PROPER(shipments[[#This Row],[delivery_status]])</f>
        <v>Delivered</v>
      </c>
      <c r="K4678" t="s">
        <v>6929</v>
      </c>
    </row>
    <row r="4679" spans="1:11">
      <c r="A4679" t="s">
        <v>11615</v>
      </c>
      <c r="B4679" t="s">
        <v>5306</v>
      </c>
      <c r="C4679" t="s">
        <v>6935</v>
      </c>
      <c r="D4679" s="1">
        <v>45374</v>
      </c>
      <c r="E4679" s="1">
        <v>45381</v>
      </c>
      <c r="F4679" s="1">
        <v>45386</v>
      </c>
      <c r="G4679">
        <v>61.05</v>
      </c>
      <c r="H46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79" t="str">
        <f>IFERROR(INDEX(Raw_orders!G:G, MATCH(shipments[[#This Row],[order_id]],Raw_orders!A:A, 0)), "Unknown")</f>
        <v>Nordics</v>
      </c>
      <c r="J4679" t="str">
        <f>PROPER(shipments[[#This Row],[delivery_status]])</f>
        <v>Delivered</v>
      </c>
      <c r="K4679" t="s">
        <v>6929</v>
      </c>
    </row>
    <row r="4680" spans="1:11">
      <c r="A4680" t="s">
        <v>11616</v>
      </c>
      <c r="B4680" t="s">
        <v>5307</v>
      </c>
      <c r="C4680" t="s">
        <v>6928</v>
      </c>
      <c r="D4680" s="1">
        <v>45112</v>
      </c>
      <c r="E4680" s="1">
        <v>45122</v>
      </c>
      <c r="F4680" s="1">
        <v>45123</v>
      </c>
      <c r="G4680">
        <v>44.36</v>
      </c>
      <c r="H46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80" t="str">
        <f>IFERROR(INDEX(Raw_orders!G:G, MATCH(shipments[[#This Row],[order_id]],Raw_orders!A:A, 0)), "Unknown")</f>
        <v>Baltics</v>
      </c>
      <c r="J4680" t="str">
        <f>PROPER(shipments[[#This Row],[delivery_status]])</f>
        <v>Delivered</v>
      </c>
      <c r="K4680" t="s">
        <v>6929</v>
      </c>
    </row>
    <row r="4681" spans="1:11">
      <c r="A4681" t="s">
        <v>11617</v>
      </c>
      <c r="B4681" t="s">
        <v>5308</v>
      </c>
      <c r="C4681" t="s">
        <v>6931</v>
      </c>
      <c r="D4681" s="1">
        <v>45153</v>
      </c>
      <c r="E4681" s="1">
        <v>45163</v>
      </c>
      <c r="F4681" s="1"/>
      <c r="G4681">
        <v>18.29</v>
      </c>
      <c r="H46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681" t="str">
        <f>IFERROR(INDEX(Raw_orders!G:G, MATCH(shipments[[#This Row],[order_id]],Raw_orders!A:A, 0)), "Unknown")</f>
        <v>Baltics</v>
      </c>
      <c r="J4681" t="str">
        <f>PROPER(shipments[[#This Row],[delivery_status]])</f>
        <v>In Transit</v>
      </c>
      <c r="K4681" t="s">
        <v>6977</v>
      </c>
    </row>
    <row r="4682" spans="1:11">
      <c r="A4682" t="s">
        <v>11618</v>
      </c>
      <c r="B4682" t="s">
        <v>5309</v>
      </c>
      <c r="C4682" t="s">
        <v>6931</v>
      </c>
      <c r="D4682" s="1">
        <v>45023</v>
      </c>
      <c r="E4682" s="1">
        <v>45025</v>
      </c>
      <c r="F4682" s="1">
        <v>45030</v>
      </c>
      <c r="G4682">
        <v>26.07</v>
      </c>
      <c r="H46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82" t="str">
        <f>IFERROR(INDEX(Raw_orders!G:G, MATCH(shipments[[#This Row],[order_id]],Raw_orders!A:A, 0)), "Unknown")</f>
        <v>Central Europe</v>
      </c>
      <c r="J4682" t="str">
        <f>PROPER(shipments[[#This Row],[delivery_status]])</f>
        <v>Delivered</v>
      </c>
      <c r="K4682" t="s">
        <v>6926</v>
      </c>
    </row>
    <row r="4683" spans="1:11">
      <c r="A4683" t="s">
        <v>11619</v>
      </c>
      <c r="B4683" t="s">
        <v>5309</v>
      </c>
      <c r="C4683" t="s">
        <v>6940</v>
      </c>
      <c r="D4683" s="1">
        <v>45024</v>
      </c>
      <c r="E4683" s="1">
        <v>45026</v>
      </c>
      <c r="F4683" s="1">
        <v>45036</v>
      </c>
      <c r="G4683">
        <v>25.81</v>
      </c>
      <c r="H46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83" t="str">
        <f>IFERROR(INDEX(Raw_orders!G:G, MATCH(shipments[[#This Row],[order_id]],Raw_orders!A:A, 0)), "Unknown")</f>
        <v>Central Europe</v>
      </c>
      <c r="J4683" t="str">
        <f>PROPER(shipments[[#This Row],[delivery_status]])</f>
        <v>Delivered</v>
      </c>
      <c r="K4683" t="s">
        <v>6929</v>
      </c>
    </row>
    <row r="4684" spans="1:11">
      <c r="A4684" t="s">
        <v>11620</v>
      </c>
      <c r="B4684" t="s">
        <v>5310</v>
      </c>
      <c r="C4684" t="s">
        <v>6921</v>
      </c>
      <c r="D4684" s="1">
        <v>45273</v>
      </c>
      <c r="E4684" s="1">
        <v>45283</v>
      </c>
      <c r="F4684" s="1">
        <v>45289</v>
      </c>
      <c r="G4684">
        <v>10.77</v>
      </c>
      <c r="H46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84" t="str">
        <f>IFERROR(INDEX(Raw_orders!G:G, MATCH(shipments[[#This Row],[order_id]],Raw_orders!A:A, 0)), "Unknown")</f>
        <v>Central Europe</v>
      </c>
      <c r="J4684" t="str">
        <f>PROPER(shipments[[#This Row],[delivery_status]])</f>
        <v>Delivered</v>
      </c>
      <c r="K4684" t="s">
        <v>6929</v>
      </c>
    </row>
    <row r="4685" spans="1:11">
      <c r="A4685" t="s">
        <v>11621</v>
      </c>
      <c r="B4685" t="s">
        <v>5311</v>
      </c>
      <c r="C4685" t="s">
        <v>6921</v>
      </c>
      <c r="D4685" s="1">
        <v>44956</v>
      </c>
      <c r="E4685" s="1">
        <v>44959</v>
      </c>
      <c r="F4685" s="1">
        <v>44960</v>
      </c>
      <c r="G4685">
        <v>57.6</v>
      </c>
      <c r="H46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85" t="str">
        <f>IFERROR(INDEX(Raw_orders!G:G, MATCH(shipments[[#This Row],[order_id]],Raw_orders!A:A, 0)), "Unknown")</f>
        <v>Central Europe</v>
      </c>
      <c r="J4685" t="str">
        <f>PROPER(shipments[[#This Row],[delivery_status]])</f>
        <v>Delivered</v>
      </c>
      <c r="K4685" t="s">
        <v>6926</v>
      </c>
    </row>
    <row r="4686" spans="1:11">
      <c r="A4686" t="s">
        <v>11622</v>
      </c>
      <c r="B4686" t="s">
        <v>5312</v>
      </c>
      <c r="C4686" t="s">
        <v>6931</v>
      </c>
      <c r="D4686" s="1">
        <v>45518</v>
      </c>
      <c r="E4686" s="1">
        <v>45521</v>
      </c>
      <c r="F4686" s="1">
        <v>45535</v>
      </c>
      <c r="G4686">
        <v>36.49</v>
      </c>
      <c r="H46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86" t="str">
        <f>IFERROR(INDEX(Raw_orders!G:G, MATCH(shipments[[#This Row],[order_id]],Raw_orders!A:A, 0)), "Unknown")</f>
        <v>Nordics</v>
      </c>
      <c r="J4686" t="str">
        <f>PROPER(shipments[[#This Row],[delivery_status]])</f>
        <v>Delivered</v>
      </c>
      <c r="K4686" t="s">
        <v>6922</v>
      </c>
    </row>
    <row r="4687" spans="1:11">
      <c r="A4687" t="s">
        <v>11623</v>
      </c>
      <c r="B4687" t="s">
        <v>5313</v>
      </c>
      <c r="C4687" t="s">
        <v>6931</v>
      </c>
      <c r="D4687" s="1">
        <v>45406</v>
      </c>
      <c r="E4687" s="1">
        <v>45411</v>
      </c>
      <c r="F4687" s="1">
        <v>45413</v>
      </c>
      <c r="G4687">
        <v>64.02</v>
      </c>
      <c r="H46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87" t="str">
        <f>IFERROR(INDEX(Raw_orders!G:G, MATCH(shipments[[#This Row],[order_id]],Raw_orders!A:A, 0)), "Unknown")</f>
        <v>Central Europe</v>
      </c>
      <c r="J4687" t="str">
        <f>PROPER(shipments[[#This Row],[delivery_status]])</f>
        <v>Delivered</v>
      </c>
      <c r="K4687" t="s">
        <v>6929</v>
      </c>
    </row>
    <row r="4688" spans="1:11">
      <c r="A4688" t="s">
        <v>11624</v>
      </c>
      <c r="B4688" t="s">
        <v>5314</v>
      </c>
      <c r="C4688" t="s">
        <v>6925</v>
      </c>
      <c r="D4688" s="1">
        <v>44969</v>
      </c>
      <c r="E4688" s="1">
        <v>44976</v>
      </c>
      <c r="F4688" s="1">
        <v>44984</v>
      </c>
      <c r="G4688">
        <v>39.380000000000003</v>
      </c>
      <c r="H46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88" t="str">
        <f>IFERROR(INDEX(Raw_orders!G:G, MATCH(shipments[[#This Row],[order_id]],Raw_orders!A:A, 0)), "Unknown")</f>
        <v>Nordics</v>
      </c>
      <c r="J4688" t="str">
        <f>PROPER(shipments[[#This Row],[delivery_status]])</f>
        <v>Delivered</v>
      </c>
      <c r="K4688" t="s">
        <v>6929</v>
      </c>
    </row>
    <row r="4689" spans="1:11">
      <c r="A4689" t="s">
        <v>11625</v>
      </c>
      <c r="B4689" t="s">
        <v>5315</v>
      </c>
      <c r="C4689" t="s">
        <v>6940</v>
      </c>
      <c r="D4689" s="1">
        <v>44985</v>
      </c>
      <c r="E4689" s="1">
        <v>44995</v>
      </c>
      <c r="F4689" s="1">
        <v>44999</v>
      </c>
      <c r="G4689">
        <v>64.819999999999993</v>
      </c>
      <c r="H46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89" t="str">
        <f>IFERROR(INDEX(Raw_orders!G:G, MATCH(shipments[[#This Row],[order_id]],Raw_orders!A:A, 0)), "Unknown")</f>
        <v>Central Europe</v>
      </c>
      <c r="J4689" t="str">
        <f>PROPER(shipments[[#This Row],[delivery_status]])</f>
        <v>Delivered</v>
      </c>
      <c r="K4689" t="s">
        <v>6926</v>
      </c>
    </row>
    <row r="4690" spans="1:11">
      <c r="A4690" t="s">
        <v>11626</v>
      </c>
      <c r="B4690" t="s">
        <v>5316</v>
      </c>
      <c r="C4690" t="s">
        <v>6928</v>
      </c>
      <c r="D4690" s="1">
        <v>45380</v>
      </c>
      <c r="E4690" s="1">
        <v>45382</v>
      </c>
      <c r="F4690" s="1">
        <v>45385</v>
      </c>
      <c r="G4690">
        <v>9.98</v>
      </c>
      <c r="H46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90" t="str">
        <f>IFERROR(INDEX(Raw_orders!G:G, MATCH(shipments[[#This Row],[order_id]],Raw_orders!A:A, 0)), "Unknown")</f>
        <v>Nordics</v>
      </c>
      <c r="J4690" t="str">
        <f>PROPER(shipments[[#This Row],[delivery_status]])</f>
        <v>Delivered</v>
      </c>
      <c r="K4690" t="s">
        <v>6922</v>
      </c>
    </row>
    <row r="4691" spans="1:11">
      <c r="A4691" t="s">
        <v>11627</v>
      </c>
      <c r="B4691" t="s">
        <v>5317</v>
      </c>
      <c r="C4691" t="s">
        <v>6938</v>
      </c>
      <c r="D4691" s="1">
        <v>44934</v>
      </c>
      <c r="E4691" s="1">
        <v>44944</v>
      </c>
      <c r="F4691" s="1">
        <v>44952</v>
      </c>
      <c r="G4691">
        <v>8.4499999999999993</v>
      </c>
      <c r="H46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91" t="str">
        <f>IFERROR(INDEX(Raw_orders!G:G, MATCH(shipments[[#This Row],[order_id]],Raw_orders!A:A, 0)), "Unknown")</f>
        <v>Central Europe</v>
      </c>
      <c r="J4691" t="str">
        <f>PROPER(shipments[[#This Row],[delivery_status]])</f>
        <v>Delivered</v>
      </c>
      <c r="K4691" t="s">
        <v>6929</v>
      </c>
    </row>
    <row r="4692" spans="1:11">
      <c r="A4692" t="s">
        <v>11628</v>
      </c>
      <c r="B4692" t="s">
        <v>5318</v>
      </c>
      <c r="C4692" t="s">
        <v>6928</v>
      </c>
      <c r="D4692" s="1">
        <v>45612</v>
      </c>
      <c r="E4692" s="1">
        <v>45614</v>
      </c>
      <c r="F4692" s="1">
        <v>45614</v>
      </c>
      <c r="G4692">
        <v>4.91</v>
      </c>
      <c r="H46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692" t="str">
        <f>IFERROR(INDEX(Raw_orders!G:G, MATCH(shipments[[#This Row],[order_id]],Raw_orders!A:A, 0)), "Unknown")</f>
        <v>Central Europe</v>
      </c>
      <c r="J4692" t="str">
        <f>PROPER(shipments[[#This Row],[delivery_status]])</f>
        <v>Delivered</v>
      </c>
      <c r="K4692" t="s">
        <v>6922</v>
      </c>
    </row>
    <row r="4693" spans="1:11">
      <c r="A4693" t="s">
        <v>11629</v>
      </c>
      <c r="B4693" t="s">
        <v>5319</v>
      </c>
      <c r="C4693" t="s">
        <v>6940</v>
      </c>
      <c r="D4693" s="1">
        <v>45382</v>
      </c>
      <c r="E4693" s="1">
        <v>45387</v>
      </c>
      <c r="F4693" s="1">
        <v>45387</v>
      </c>
      <c r="G4693">
        <v>59.68</v>
      </c>
      <c r="H46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693" t="str">
        <f>IFERROR(INDEX(Raw_orders!G:G, MATCH(shipments[[#This Row],[order_id]],Raw_orders!A:A, 0)), "Unknown")</f>
        <v>Baltics</v>
      </c>
      <c r="J4693" t="str">
        <f>PROPER(shipments[[#This Row],[delivery_status]])</f>
        <v>Delivered</v>
      </c>
      <c r="K4693" t="s">
        <v>6929</v>
      </c>
    </row>
    <row r="4694" spans="1:11">
      <c r="A4694" t="s">
        <v>11630</v>
      </c>
      <c r="B4694" t="s">
        <v>5320</v>
      </c>
      <c r="C4694" t="s">
        <v>6928</v>
      </c>
      <c r="D4694" s="1">
        <v>45326</v>
      </c>
      <c r="E4694" s="1">
        <v>45333</v>
      </c>
      <c r="F4694" s="1">
        <v>45333</v>
      </c>
      <c r="G4694">
        <v>51.31</v>
      </c>
      <c r="H46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694" t="str">
        <f>IFERROR(INDEX(Raw_orders!G:G, MATCH(shipments[[#This Row],[order_id]],Raw_orders!A:A, 0)), "Unknown")</f>
        <v>Central Europe</v>
      </c>
      <c r="J4694" t="str">
        <f>PROPER(shipments[[#This Row],[delivery_status]])</f>
        <v>Delivered</v>
      </c>
      <c r="K4694" t="s">
        <v>6929</v>
      </c>
    </row>
    <row r="4695" spans="1:11">
      <c r="A4695" t="s">
        <v>11631</v>
      </c>
      <c r="B4695" t="s">
        <v>5321</v>
      </c>
      <c r="C4695" t="s">
        <v>6938</v>
      </c>
      <c r="D4695" s="1">
        <v>45032</v>
      </c>
      <c r="E4695" s="1">
        <v>45039</v>
      </c>
      <c r="F4695" s="1">
        <v>45044</v>
      </c>
      <c r="G4695">
        <v>44.41</v>
      </c>
      <c r="H46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95" t="str">
        <f>IFERROR(INDEX(Raw_orders!G:G, MATCH(shipments[[#This Row],[order_id]],Raw_orders!A:A, 0)), "Unknown")</f>
        <v>Central Europe</v>
      </c>
      <c r="J4695" t="str">
        <f>PROPER(shipments[[#This Row],[delivery_status]])</f>
        <v>Delivered</v>
      </c>
      <c r="K4695" t="s">
        <v>6926</v>
      </c>
    </row>
    <row r="4696" spans="1:11">
      <c r="A4696" t="s">
        <v>11632</v>
      </c>
      <c r="B4696" t="s">
        <v>5322</v>
      </c>
      <c r="C4696" t="s">
        <v>6928</v>
      </c>
      <c r="D4696" s="1">
        <v>45353</v>
      </c>
      <c r="E4696" s="1">
        <v>45356</v>
      </c>
      <c r="F4696" s="1">
        <v>45356</v>
      </c>
      <c r="G4696">
        <v>56.6</v>
      </c>
      <c r="H46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696" t="str">
        <f>IFERROR(INDEX(Raw_orders!G:G, MATCH(shipments[[#This Row],[order_id]],Raw_orders!A:A, 0)), "Unknown")</f>
        <v>Nordics</v>
      </c>
      <c r="J4696" t="str">
        <f>PROPER(shipments[[#This Row],[delivery_status]])</f>
        <v>Delivered</v>
      </c>
      <c r="K4696" t="s">
        <v>6926</v>
      </c>
    </row>
    <row r="4697" spans="1:11">
      <c r="A4697" t="s">
        <v>11633</v>
      </c>
      <c r="B4697" t="s">
        <v>5323</v>
      </c>
      <c r="C4697" t="s">
        <v>6928</v>
      </c>
      <c r="D4697" s="1">
        <v>45283</v>
      </c>
      <c r="E4697" s="1">
        <v>45293</v>
      </c>
      <c r="F4697" s="1">
        <v>45294</v>
      </c>
      <c r="G4697">
        <v>45.55</v>
      </c>
      <c r="H46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97" t="str">
        <f>IFERROR(INDEX(Raw_orders!G:G, MATCH(shipments[[#This Row],[order_id]],Raw_orders!A:A, 0)), "Unknown")</f>
        <v>Central Europe</v>
      </c>
      <c r="J4697" t="str">
        <f>PROPER(shipments[[#This Row],[delivery_status]])</f>
        <v>Delivered</v>
      </c>
      <c r="K4697" t="s">
        <v>6929</v>
      </c>
    </row>
    <row r="4698" spans="1:11">
      <c r="A4698" t="s">
        <v>11634</v>
      </c>
      <c r="B4698" t="s">
        <v>5324</v>
      </c>
      <c r="C4698" t="s">
        <v>6931</v>
      </c>
      <c r="D4698" s="1">
        <v>45363</v>
      </c>
      <c r="E4698" s="1">
        <v>45365</v>
      </c>
      <c r="F4698" s="1">
        <v>45366</v>
      </c>
      <c r="G4698">
        <v>42.1</v>
      </c>
      <c r="H46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98" t="str">
        <f>IFERROR(INDEX(Raw_orders!G:G, MATCH(shipments[[#This Row],[order_id]],Raw_orders!A:A, 0)), "Unknown")</f>
        <v>Central Europe</v>
      </c>
      <c r="J4698" t="str">
        <f>PROPER(shipments[[#This Row],[delivery_status]])</f>
        <v>Delivered</v>
      </c>
      <c r="K4698" t="s">
        <v>6922</v>
      </c>
    </row>
    <row r="4699" spans="1:11">
      <c r="A4699" t="s">
        <v>11635</v>
      </c>
      <c r="B4699" t="s">
        <v>5325</v>
      </c>
      <c r="C4699" t="s">
        <v>6956</v>
      </c>
      <c r="D4699" s="1">
        <v>45362</v>
      </c>
      <c r="E4699" s="1">
        <v>45372</v>
      </c>
      <c r="F4699" s="1">
        <v>45380</v>
      </c>
      <c r="G4699">
        <v>38.83</v>
      </c>
      <c r="H46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699" t="str">
        <f>IFERROR(INDEX(Raw_orders!G:G, MATCH(shipments[[#This Row],[order_id]],Raw_orders!A:A, 0)), "Unknown")</f>
        <v>Nordics</v>
      </c>
      <c r="J4699" t="str">
        <f>PROPER(shipments[[#This Row],[delivery_status]])</f>
        <v>Delivered</v>
      </c>
      <c r="K4699" t="s">
        <v>6922</v>
      </c>
    </row>
    <row r="4700" spans="1:11">
      <c r="A4700" t="s">
        <v>11636</v>
      </c>
      <c r="B4700" t="s">
        <v>5326</v>
      </c>
      <c r="C4700" t="s">
        <v>6956</v>
      </c>
      <c r="D4700" s="1">
        <v>44968</v>
      </c>
      <c r="E4700" s="1">
        <v>44975</v>
      </c>
      <c r="F4700" s="1"/>
      <c r="G4700">
        <v>11.51</v>
      </c>
      <c r="H47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700" t="str">
        <f>IFERROR(INDEX(Raw_orders!G:G, MATCH(shipments[[#This Row],[order_id]],Raw_orders!A:A, 0)), "Unknown")</f>
        <v>Nordics</v>
      </c>
      <c r="J4700" t="str">
        <f>PROPER(shipments[[#This Row],[delivery_status]])</f>
        <v>In Transit</v>
      </c>
      <c r="K4700" t="s">
        <v>6946</v>
      </c>
    </row>
    <row r="4701" spans="1:11">
      <c r="A4701" t="s">
        <v>11637</v>
      </c>
      <c r="B4701" t="s">
        <v>5327</v>
      </c>
      <c r="C4701" t="s">
        <v>6928</v>
      </c>
      <c r="D4701" s="1">
        <v>45476</v>
      </c>
      <c r="E4701" s="1">
        <v>45486</v>
      </c>
      <c r="F4701" s="1">
        <v>45490</v>
      </c>
      <c r="G4701">
        <v>25.3</v>
      </c>
      <c r="H47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01" t="str">
        <f>IFERROR(INDEX(Raw_orders!G:G, MATCH(shipments[[#This Row],[order_id]],Raw_orders!A:A, 0)), "Unknown")</f>
        <v>Baltics</v>
      </c>
      <c r="J4701" t="str">
        <f>PROPER(shipments[[#This Row],[delivery_status]])</f>
        <v>Delivered</v>
      </c>
      <c r="K4701" t="s">
        <v>6922</v>
      </c>
    </row>
    <row r="4702" spans="1:11">
      <c r="A4702" t="s">
        <v>11638</v>
      </c>
      <c r="B4702" t="s">
        <v>5328</v>
      </c>
      <c r="C4702" t="s">
        <v>6921</v>
      </c>
      <c r="D4702" s="1">
        <v>44995</v>
      </c>
      <c r="E4702" s="1">
        <v>44998</v>
      </c>
      <c r="F4702" s="1">
        <v>45011</v>
      </c>
      <c r="G4702">
        <v>56.28</v>
      </c>
      <c r="H47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02" t="str">
        <f>IFERROR(INDEX(Raw_orders!G:G, MATCH(shipments[[#This Row],[order_id]],Raw_orders!A:A, 0)), "Unknown")</f>
        <v>Nordics</v>
      </c>
      <c r="J4702" t="str">
        <f>PROPER(shipments[[#This Row],[delivery_status]])</f>
        <v>Delivered</v>
      </c>
      <c r="K4702" t="s">
        <v>6926</v>
      </c>
    </row>
    <row r="4703" spans="1:11">
      <c r="A4703" t="s">
        <v>11639</v>
      </c>
      <c r="B4703" t="s">
        <v>5329</v>
      </c>
      <c r="C4703" t="s">
        <v>6956</v>
      </c>
      <c r="D4703" s="1">
        <v>45477</v>
      </c>
      <c r="E4703" s="1">
        <v>45482</v>
      </c>
      <c r="F4703" s="1">
        <v>45487</v>
      </c>
      <c r="G4703">
        <v>20.74</v>
      </c>
      <c r="H47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03" t="str">
        <f>IFERROR(INDEX(Raw_orders!G:G, MATCH(shipments[[#This Row],[order_id]],Raw_orders!A:A, 0)), "Unknown")</f>
        <v>Baltics</v>
      </c>
      <c r="J4703" t="str">
        <f>PROPER(shipments[[#This Row],[delivery_status]])</f>
        <v>Delivered</v>
      </c>
      <c r="K4703" t="s">
        <v>6926</v>
      </c>
    </row>
    <row r="4704" spans="1:11">
      <c r="A4704" t="s">
        <v>11640</v>
      </c>
      <c r="B4704" t="s">
        <v>5330</v>
      </c>
      <c r="C4704" t="s">
        <v>6935</v>
      </c>
      <c r="D4704" s="1">
        <v>45175</v>
      </c>
      <c r="E4704" s="1">
        <v>45177</v>
      </c>
      <c r="F4704" s="1">
        <v>45178</v>
      </c>
      <c r="G4704">
        <v>40.64</v>
      </c>
      <c r="H47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04" t="str">
        <f>IFERROR(INDEX(Raw_orders!G:G, MATCH(shipments[[#This Row],[order_id]],Raw_orders!A:A, 0)), "Unknown")</f>
        <v>Baltics</v>
      </c>
      <c r="J4704" t="str">
        <f>PROPER(shipments[[#This Row],[delivery_status]])</f>
        <v>Delivered</v>
      </c>
      <c r="K4704" t="s">
        <v>6922</v>
      </c>
    </row>
    <row r="4705" spans="1:11">
      <c r="A4705" t="s">
        <v>11641</v>
      </c>
      <c r="B4705" t="s">
        <v>5331</v>
      </c>
      <c r="C4705" t="s">
        <v>6928</v>
      </c>
      <c r="D4705" s="1">
        <v>45273</v>
      </c>
      <c r="E4705" s="1">
        <v>45280</v>
      </c>
      <c r="F4705" s="1">
        <v>45282</v>
      </c>
      <c r="G4705">
        <v>49.9</v>
      </c>
      <c r="H47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05" t="str">
        <f>IFERROR(INDEX(Raw_orders!G:G, MATCH(shipments[[#This Row],[order_id]],Raw_orders!A:A, 0)), "Unknown")</f>
        <v>Nordics</v>
      </c>
      <c r="J4705" t="str">
        <f>PROPER(shipments[[#This Row],[delivery_status]])</f>
        <v>Delivered</v>
      </c>
      <c r="K4705" t="s">
        <v>6922</v>
      </c>
    </row>
    <row r="4706" spans="1:11">
      <c r="A4706" t="s">
        <v>11642</v>
      </c>
      <c r="B4706" t="s">
        <v>5332</v>
      </c>
      <c r="C4706" t="s">
        <v>6935</v>
      </c>
      <c r="D4706" s="1">
        <v>45268</v>
      </c>
      <c r="E4706" s="1">
        <v>45278</v>
      </c>
      <c r="F4706" s="1">
        <v>45278</v>
      </c>
      <c r="G4706">
        <v>49.24</v>
      </c>
      <c r="H47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706" t="str">
        <f>IFERROR(INDEX(Raw_orders!G:G, MATCH(shipments[[#This Row],[order_id]],Raw_orders!A:A, 0)), "Unknown")</f>
        <v>Central Europe</v>
      </c>
      <c r="J4706" t="str">
        <f>PROPER(shipments[[#This Row],[delivery_status]])</f>
        <v>Delivered</v>
      </c>
      <c r="K4706" t="s">
        <v>6926</v>
      </c>
    </row>
    <row r="4707" spans="1:11">
      <c r="A4707" t="s">
        <v>11643</v>
      </c>
      <c r="B4707" t="s">
        <v>5333</v>
      </c>
      <c r="C4707" t="s">
        <v>6928</v>
      </c>
      <c r="D4707" s="1">
        <v>45185</v>
      </c>
      <c r="E4707" s="1">
        <v>45195</v>
      </c>
      <c r="F4707" s="1"/>
      <c r="G4707">
        <v>46.18</v>
      </c>
      <c r="H47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707" t="str">
        <f>IFERROR(INDEX(Raw_orders!G:G, MATCH(shipments[[#This Row],[order_id]],Raw_orders!A:A, 0)), "Unknown")</f>
        <v>Nordics</v>
      </c>
      <c r="J4707" t="str">
        <f>PROPER(shipments[[#This Row],[delivery_status]])</f>
        <v>Cancelled</v>
      </c>
      <c r="K4707" t="s">
        <v>6979</v>
      </c>
    </row>
    <row r="4708" spans="1:11">
      <c r="A4708" t="s">
        <v>11644</v>
      </c>
      <c r="B4708" t="s">
        <v>5334</v>
      </c>
      <c r="C4708" t="s">
        <v>6928</v>
      </c>
      <c r="D4708" s="1">
        <v>45483</v>
      </c>
      <c r="E4708" s="1">
        <v>45488</v>
      </c>
      <c r="F4708" s="1">
        <v>45488</v>
      </c>
      <c r="G4708">
        <v>6.56</v>
      </c>
      <c r="H47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708" t="str">
        <f>IFERROR(INDEX(Raw_orders!G:G, MATCH(shipments[[#This Row],[order_id]],Raw_orders!A:A, 0)), "Unknown")</f>
        <v>Nordics</v>
      </c>
      <c r="J4708" t="str">
        <f>PROPER(shipments[[#This Row],[delivery_status]])</f>
        <v>Delivered</v>
      </c>
      <c r="K4708" t="s">
        <v>6929</v>
      </c>
    </row>
    <row r="4709" spans="1:11">
      <c r="A4709" t="s">
        <v>11645</v>
      </c>
      <c r="B4709" t="s">
        <v>5335</v>
      </c>
      <c r="C4709" t="s">
        <v>6935</v>
      </c>
      <c r="D4709" s="1">
        <v>45472</v>
      </c>
      <c r="E4709" s="1">
        <v>45475</v>
      </c>
      <c r="F4709" s="1">
        <v>45489</v>
      </c>
      <c r="G4709">
        <v>11.62</v>
      </c>
      <c r="H47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09" t="str">
        <f>IFERROR(INDEX(Raw_orders!G:G, MATCH(shipments[[#This Row],[order_id]],Raw_orders!A:A, 0)), "Unknown")</f>
        <v>Baltics</v>
      </c>
      <c r="J4709" t="str">
        <f>PROPER(shipments[[#This Row],[delivery_status]])</f>
        <v>Delivered</v>
      </c>
      <c r="K4709" t="s">
        <v>6926</v>
      </c>
    </row>
    <row r="4710" spans="1:11">
      <c r="A4710" t="s">
        <v>11646</v>
      </c>
      <c r="B4710" t="s">
        <v>5336</v>
      </c>
      <c r="C4710" t="s">
        <v>6938</v>
      </c>
      <c r="D4710" s="1">
        <v>45613</v>
      </c>
      <c r="E4710" s="1">
        <v>45623</v>
      </c>
      <c r="F4710" s="1">
        <v>45630</v>
      </c>
      <c r="G4710">
        <v>29.92</v>
      </c>
      <c r="H47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10" t="str">
        <f>IFERROR(INDEX(Raw_orders!G:G, MATCH(shipments[[#This Row],[order_id]],Raw_orders!A:A, 0)), "Unknown")</f>
        <v>Baltics</v>
      </c>
      <c r="J4710" t="str">
        <f>PROPER(shipments[[#This Row],[delivery_status]])</f>
        <v>Delivered</v>
      </c>
      <c r="K4710" t="s">
        <v>6926</v>
      </c>
    </row>
    <row r="4711" spans="1:11">
      <c r="A4711" t="s">
        <v>11647</v>
      </c>
      <c r="B4711" t="s">
        <v>5337</v>
      </c>
      <c r="C4711" t="s">
        <v>6928</v>
      </c>
      <c r="D4711" s="1">
        <v>45019</v>
      </c>
      <c r="E4711" s="1">
        <v>45021</v>
      </c>
      <c r="F4711" s="1"/>
      <c r="G4711">
        <v>33.630000000000003</v>
      </c>
      <c r="H47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711" t="str">
        <f>IFERROR(INDEX(Raw_orders!G:G, MATCH(shipments[[#This Row],[order_id]],Raw_orders!A:A, 0)), "Unknown")</f>
        <v>Baltics</v>
      </c>
      <c r="J4711" t="str">
        <f>PROPER(shipments[[#This Row],[delivery_status]])</f>
        <v>Cancelled</v>
      </c>
      <c r="K4711" t="s">
        <v>6972</v>
      </c>
    </row>
    <row r="4712" spans="1:11">
      <c r="A4712" t="s">
        <v>11648</v>
      </c>
      <c r="B4712" t="s">
        <v>5338</v>
      </c>
      <c r="C4712" t="s">
        <v>6956</v>
      </c>
      <c r="D4712" s="1">
        <v>45449</v>
      </c>
      <c r="E4712" s="1">
        <v>45452</v>
      </c>
      <c r="F4712" s="1"/>
      <c r="G4712">
        <v>32.880000000000003</v>
      </c>
      <c r="H47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712" t="str">
        <f>IFERROR(INDEX(Raw_orders!G:G, MATCH(shipments[[#This Row],[order_id]],Raw_orders!A:A, 0)), "Unknown")</f>
        <v>Baltics</v>
      </c>
      <c r="J4712" t="str">
        <f>PROPER(shipments[[#This Row],[delivery_status]])</f>
        <v>In Transit</v>
      </c>
      <c r="K4712" t="s">
        <v>6958</v>
      </c>
    </row>
    <row r="4713" spans="1:11">
      <c r="A4713" t="s">
        <v>11649</v>
      </c>
      <c r="B4713" t="s">
        <v>5339</v>
      </c>
      <c r="C4713" t="s">
        <v>6928</v>
      </c>
      <c r="D4713" s="1">
        <v>45506</v>
      </c>
      <c r="E4713" s="1">
        <v>45513</v>
      </c>
      <c r="F4713" s="1">
        <v>45512</v>
      </c>
      <c r="G4713">
        <v>59.7</v>
      </c>
      <c r="H47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713" t="str">
        <f>IFERROR(INDEX(Raw_orders!G:G, MATCH(shipments[[#This Row],[order_id]],Raw_orders!A:A, 0)), "Unknown")</f>
        <v>Baltics</v>
      </c>
      <c r="J4713" t="str">
        <f>PROPER(shipments[[#This Row],[delivery_status]])</f>
        <v>Delivered</v>
      </c>
      <c r="K4713" t="s">
        <v>6929</v>
      </c>
    </row>
    <row r="4714" spans="1:11">
      <c r="A4714" t="s">
        <v>11650</v>
      </c>
      <c r="B4714" t="s">
        <v>5340</v>
      </c>
      <c r="C4714" t="s">
        <v>6928</v>
      </c>
      <c r="D4714" s="1">
        <v>45090</v>
      </c>
      <c r="E4714" s="1">
        <v>45092</v>
      </c>
      <c r="F4714" s="1">
        <v>45092</v>
      </c>
      <c r="G4714">
        <v>26.85</v>
      </c>
      <c r="H47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714" t="str">
        <f>IFERROR(INDEX(Raw_orders!G:G, MATCH(shipments[[#This Row],[order_id]],Raw_orders!A:A, 0)), "Unknown")</f>
        <v>Nordics</v>
      </c>
      <c r="J4714" t="str">
        <f>PROPER(shipments[[#This Row],[delivery_status]])</f>
        <v>Delivered</v>
      </c>
      <c r="K4714" t="s">
        <v>6929</v>
      </c>
    </row>
    <row r="4715" spans="1:11">
      <c r="A4715" t="s">
        <v>11651</v>
      </c>
      <c r="B4715" t="s">
        <v>5341</v>
      </c>
      <c r="C4715" t="s">
        <v>6928</v>
      </c>
      <c r="D4715" s="1">
        <v>45461</v>
      </c>
      <c r="E4715" s="1">
        <v>45464</v>
      </c>
      <c r="F4715" s="1">
        <v>45469</v>
      </c>
      <c r="G4715">
        <v>26.89</v>
      </c>
      <c r="H47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15" t="str">
        <f>IFERROR(INDEX(Raw_orders!G:G, MATCH(shipments[[#This Row],[order_id]],Raw_orders!A:A, 0)), "Unknown")</f>
        <v>Central Europe</v>
      </c>
      <c r="J4715" t="str">
        <f>PROPER(shipments[[#This Row],[delivery_status]])</f>
        <v>Delivered</v>
      </c>
      <c r="K4715" t="s">
        <v>6922</v>
      </c>
    </row>
    <row r="4716" spans="1:11">
      <c r="A4716" t="s">
        <v>11652</v>
      </c>
      <c r="B4716" t="s">
        <v>5342</v>
      </c>
      <c r="C4716" t="s">
        <v>6928</v>
      </c>
      <c r="D4716" s="1">
        <v>45464</v>
      </c>
      <c r="E4716" s="1">
        <v>45469</v>
      </c>
      <c r="F4716" s="1">
        <v>45470</v>
      </c>
      <c r="G4716">
        <v>58.6</v>
      </c>
      <c r="H47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16" t="str">
        <f>IFERROR(INDEX(Raw_orders!G:G, MATCH(shipments[[#This Row],[order_id]],Raw_orders!A:A, 0)), "Unknown")</f>
        <v>Central Europe</v>
      </c>
      <c r="J4716" t="str">
        <f>PROPER(shipments[[#This Row],[delivery_status]])</f>
        <v>Delivered</v>
      </c>
      <c r="K4716" t="s">
        <v>6926</v>
      </c>
    </row>
    <row r="4717" spans="1:11">
      <c r="A4717" t="s">
        <v>11653</v>
      </c>
      <c r="B4717" t="s">
        <v>5343</v>
      </c>
      <c r="C4717" t="s">
        <v>6928</v>
      </c>
      <c r="D4717" s="1">
        <v>45022</v>
      </c>
      <c r="E4717" s="1">
        <v>45025</v>
      </c>
      <c r="F4717" s="1">
        <v>45030</v>
      </c>
      <c r="G4717">
        <v>55.63</v>
      </c>
      <c r="H47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17" t="str">
        <f>IFERROR(INDEX(Raw_orders!G:G, MATCH(shipments[[#This Row],[order_id]],Raw_orders!A:A, 0)), "Unknown")</f>
        <v>Baltics</v>
      </c>
      <c r="J4717" t="str">
        <f>PROPER(shipments[[#This Row],[delivery_status]])</f>
        <v>Delivered</v>
      </c>
      <c r="K4717" t="s">
        <v>6926</v>
      </c>
    </row>
    <row r="4718" spans="1:11">
      <c r="A4718" t="s">
        <v>11654</v>
      </c>
      <c r="B4718" t="s">
        <v>5344</v>
      </c>
      <c r="C4718" t="s">
        <v>6925</v>
      </c>
      <c r="D4718" s="1">
        <v>45430</v>
      </c>
      <c r="E4718" s="1">
        <v>45432</v>
      </c>
      <c r="F4718" s="1">
        <v>45432</v>
      </c>
      <c r="G4718">
        <v>29.74</v>
      </c>
      <c r="H47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718" t="str">
        <f>IFERROR(INDEX(Raw_orders!G:G, MATCH(shipments[[#This Row],[order_id]],Raw_orders!A:A, 0)), "Unknown")</f>
        <v>Nordics</v>
      </c>
      <c r="J4718" t="str">
        <f>PROPER(shipments[[#This Row],[delivery_status]])</f>
        <v>Delivered</v>
      </c>
      <c r="K4718" t="s">
        <v>6926</v>
      </c>
    </row>
    <row r="4719" spans="1:11">
      <c r="A4719" t="s">
        <v>11655</v>
      </c>
      <c r="B4719" t="s">
        <v>5345</v>
      </c>
      <c r="C4719" t="s">
        <v>6956</v>
      </c>
      <c r="D4719" s="1">
        <v>45531</v>
      </c>
      <c r="E4719" s="1">
        <v>45534</v>
      </c>
      <c r="F4719" s="1">
        <v>45539</v>
      </c>
      <c r="G4719">
        <v>8.51</v>
      </c>
      <c r="H47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19" t="str">
        <f>IFERROR(INDEX(Raw_orders!G:G, MATCH(shipments[[#This Row],[order_id]],Raw_orders!A:A, 0)), "Unknown")</f>
        <v>Nordics</v>
      </c>
      <c r="J4719" t="str">
        <f>PROPER(shipments[[#This Row],[delivery_status]])</f>
        <v>Delivered</v>
      </c>
      <c r="K4719" t="s">
        <v>6922</v>
      </c>
    </row>
    <row r="4720" spans="1:11">
      <c r="A4720" t="s">
        <v>11656</v>
      </c>
      <c r="B4720" t="s">
        <v>5346</v>
      </c>
      <c r="C4720" t="s">
        <v>6940</v>
      </c>
      <c r="D4720" s="1">
        <v>45157</v>
      </c>
      <c r="E4720" s="1">
        <v>45160</v>
      </c>
      <c r="F4720" s="1">
        <v>45168</v>
      </c>
      <c r="G4720">
        <v>8.83</v>
      </c>
      <c r="H47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20" t="str">
        <f>IFERROR(INDEX(Raw_orders!G:G, MATCH(shipments[[#This Row],[order_id]],Raw_orders!A:A, 0)), "Unknown")</f>
        <v>Nordics</v>
      </c>
      <c r="J4720" t="str">
        <f>PROPER(shipments[[#This Row],[delivery_status]])</f>
        <v>Delivered</v>
      </c>
      <c r="K4720" t="s">
        <v>6922</v>
      </c>
    </row>
    <row r="4721" spans="1:11">
      <c r="A4721" t="s">
        <v>11657</v>
      </c>
      <c r="B4721" t="s">
        <v>5347</v>
      </c>
      <c r="C4721" t="s">
        <v>6931</v>
      </c>
      <c r="D4721" s="1">
        <v>45201</v>
      </c>
      <c r="E4721" s="1">
        <v>45203</v>
      </c>
      <c r="F4721" s="1">
        <v>45213</v>
      </c>
      <c r="G4721">
        <v>15.2</v>
      </c>
      <c r="H47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21" t="str">
        <f>IFERROR(INDEX(Raw_orders!G:G, MATCH(shipments[[#This Row],[order_id]],Raw_orders!A:A, 0)), "Unknown")</f>
        <v>Unknown</v>
      </c>
      <c r="J4721" t="str">
        <f>PROPER(shipments[[#This Row],[delivery_status]])</f>
        <v>Delivered</v>
      </c>
      <c r="K4721" t="s">
        <v>6922</v>
      </c>
    </row>
    <row r="4722" spans="1:11">
      <c r="A4722" t="s">
        <v>11658</v>
      </c>
      <c r="B4722" t="s">
        <v>5348</v>
      </c>
      <c r="C4722" t="s">
        <v>6938</v>
      </c>
      <c r="D4722" s="1">
        <v>45022</v>
      </c>
      <c r="E4722" s="1">
        <v>45029</v>
      </c>
      <c r="F4722" s="1">
        <v>45034</v>
      </c>
      <c r="G4722">
        <v>62.12</v>
      </c>
      <c r="H47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22" t="str">
        <f>IFERROR(INDEX(Raw_orders!G:G, MATCH(shipments[[#This Row],[order_id]],Raw_orders!A:A, 0)), "Unknown")</f>
        <v>Nordics</v>
      </c>
      <c r="J4722" t="str">
        <f>PROPER(shipments[[#This Row],[delivery_status]])</f>
        <v>Delivered</v>
      </c>
      <c r="K4722" t="s">
        <v>6926</v>
      </c>
    </row>
    <row r="4723" spans="1:11">
      <c r="A4723" t="s">
        <v>11659</v>
      </c>
      <c r="B4723" t="s">
        <v>5349</v>
      </c>
      <c r="C4723" t="s">
        <v>6949</v>
      </c>
      <c r="D4723" s="1">
        <v>45541</v>
      </c>
      <c r="E4723" s="1">
        <v>45544</v>
      </c>
      <c r="F4723" s="1"/>
      <c r="G4723">
        <v>54.79</v>
      </c>
      <c r="H47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723" t="str">
        <f>IFERROR(INDEX(Raw_orders!G:G, MATCH(shipments[[#This Row],[order_id]],Raw_orders!A:A, 0)), "Unknown")</f>
        <v>Baltics</v>
      </c>
      <c r="J4723" t="str">
        <f>PROPER(shipments[[#This Row],[delivery_status]])</f>
        <v>In Transit</v>
      </c>
      <c r="K4723" t="s">
        <v>6958</v>
      </c>
    </row>
    <row r="4724" spans="1:11">
      <c r="A4724" t="s">
        <v>11660</v>
      </c>
      <c r="B4724" t="s">
        <v>5350</v>
      </c>
      <c r="C4724" t="s">
        <v>6935</v>
      </c>
      <c r="D4724" s="1">
        <v>45434</v>
      </c>
      <c r="E4724" s="1">
        <v>45439</v>
      </c>
      <c r="F4724" s="1">
        <v>45439</v>
      </c>
      <c r="G4724">
        <v>4.79</v>
      </c>
      <c r="H47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724" t="str">
        <f>IFERROR(INDEX(Raw_orders!G:G, MATCH(shipments[[#This Row],[order_id]],Raw_orders!A:A, 0)), "Unknown")</f>
        <v>Central Europe</v>
      </c>
      <c r="J4724" t="str">
        <f>PROPER(shipments[[#This Row],[delivery_status]])</f>
        <v>Delivered</v>
      </c>
      <c r="K4724" t="s">
        <v>6929</v>
      </c>
    </row>
    <row r="4725" spans="1:11">
      <c r="A4725" t="s">
        <v>11661</v>
      </c>
      <c r="B4725" t="s">
        <v>5351</v>
      </c>
      <c r="C4725" t="s">
        <v>6925</v>
      </c>
      <c r="D4725" s="1">
        <v>45518</v>
      </c>
      <c r="E4725" s="1">
        <v>45528</v>
      </c>
      <c r="F4725" s="1">
        <v>45528</v>
      </c>
      <c r="G4725">
        <v>35.07</v>
      </c>
      <c r="H47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725" t="str">
        <f>IFERROR(INDEX(Raw_orders!G:G, MATCH(shipments[[#This Row],[order_id]],Raw_orders!A:A, 0)), "Unknown")</f>
        <v>Nordics</v>
      </c>
      <c r="J4725" t="str">
        <f>PROPER(shipments[[#This Row],[delivery_status]])</f>
        <v>Delivered</v>
      </c>
      <c r="K4725" t="s">
        <v>6922</v>
      </c>
    </row>
    <row r="4726" spans="1:11">
      <c r="A4726" t="s">
        <v>11662</v>
      </c>
      <c r="B4726" t="s">
        <v>5351</v>
      </c>
      <c r="C4726" t="s">
        <v>6940</v>
      </c>
      <c r="D4726" s="1">
        <v>45517</v>
      </c>
      <c r="E4726" s="1">
        <v>45522</v>
      </c>
      <c r="F4726" s="1">
        <v>45524</v>
      </c>
      <c r="G4726">
        <v>34.81</v>
      </c>
      <c r="H47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26" t="str">
        <f>IFERROR(INDEX(Raw_orders!G:G, MATCH(shipments[[#This Row],[order_id]],Raw_orders!A:A, 0)), "Unknown")</f>
        <v>Nordics</v>
      </c>
      <c r="J4726" t="str">
        <f>PROPER(shipments[[#This Row],[delivery_status]])</f>
        <v>Delivered</v>
      </c>
      <c r="K4726" t="s">
        <v>6922</v>
      </c>
    </row>
    <row r="4727" spans="1:11">
      <c r="A4727" t="s">
        <v>11663</v>
      </c>
      <c r="B4727" t="s">
        <v>5352</v>
      </c>
      <c r="C4727" t="s">
        <v>6921</v>
      </c>
      <c r="D4727" s="1">
        <v>45398</v>
      </c>
      <c r="E4727" s="1">
        <v>45408</v>
      </c>
      <c r="F4727" s="1"/>
      <c r="G4727">
        <v>47.85</v>
      </c>
      <c r="H47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727" t="str">
        <f>IFERROR(INDEX(Raw_orders!G:G, MATCH(shipments[[#This Row],[order_id]],Raw_orders!A:A, 0)), "Unknown")</f>
        <v>Central Europe</v>
      </c>
      <c r="J4727" t="str">
        <f>PROPER(shipments[[#This Row],[delivery_status]])</f>
        <v>In Transit</v>
      </c>
      <c r="K4727" t="s">
        <v>6946</v>
      </c>
    </row>
    <row r="4728" spans="1:11">
      <c r="A4728" t="s">
        <v>11664</v>
      </c>
      <c r="B4728" t="s">
        <v>5353</v>
      </c>
      <c r="C4728" t="s">
        <v>6935</v>
      </c>
      <c r="D4728" s="1">
        <v>44947</v>
      </c>
      <c r="E4728" s="1">
        <v>44957</v>
      </c>
      <c r="F4728" s="1">
        <v>44957</v>
      </c>
      <c r="G4728">
        <v>23.37</v>
      </c>
      <c r="H47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728" t="str">
        <f>IFERROR(INDEX(Raw_orders!G:G, MATCH(shipments[[#This Row],[order_id]],Raw_orders!A:A, 0)), "Unknown")</f>
        <v>Central Europe</v>
      </c>
      <c r="J4728" t="str">
        <f>PROPER(shipments[[#This Row],[delivery_status]])</f>
        <v>Delivered</v>
      </c>
      <c r="K4728" t="s">
        <v>6922</v>
      </c>
    </row>
    <row r="4729" spans="1:11">
      <c r="A4729" t="s">
        <v>11665</v>
      </c>
      <c r="B4729" t="s">
        <v>5354</v>
      </c>
      <c r="C4729" t="s">
        <v>6921</v>
      </c>
      <c r="D4729" s="1">
        <v>45194</v>
      </c>
      <c r="E4729" s="1">
        <v>45197</v>
      </c>
      <c r="F4729" s="1">
        <v>45196</v>
      </c>
      <c r="G4729">
        <v>59.84</v>
      </c>
      <c r="H47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729" t="str">
        <f>IFERROR(INDEX(Raw_orders!G:G, MATCH(shipments[[#This Row],[order_id]],Raw_orders!A:A, 0)), "Unknown")</f>
        <v>Central Europe</v>
      </c>
      <c r="J4729" t="str">
        <f>PROPER(shipments[[#This Row],[delivery_status]])</f>
        <v>Delivered</v>
      </c>
      <c r="K4729" t="s">
        <v>6926</v>
      </c>
    </row>
    <row r="4730" spans="1:11">
      <c r="A4730" t="s">
        <v>11666</v>
      </c>
      <c r="B4730" t="s">
        <v>5355</v>
      </c>
      <c r="C4730" t="s">
        <v>6921</v>
      </c>
      <c r="D4730" s="1">
        <v>45020</v>
      </c>
      <c r="E4730" s="1">
        <v>45025</v>
      </c>
      <c r="F4730" s="1">
        <v>45026</v>
      </c>
      <c r="G4730">
        <v>38.840000000000003</v>
      </c>
      <c r="H47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30" t="str">
        <f>IFERROR(INDEX(Raw_orders!G:G, MATCH(shipments[[#This Row],[order_id]],Raw_orders!A:A, 0)), "Unknown")</f>
        <v>Nordics</v>
      </c>
      <c r="J4730" t="str">
        <f>PROPER(shipments[[#This Row],[delivery_status]])</f>
        <v>Delivered</v>
      </c>
      <c r="K4730" t="s">
        <v>6926</v>
      </c>
    </row>
    <row r="4731" spans="1:11">
      <c r="A4731" t="s">
        <v>11667</v>
      </c>
      <c r="B4731" t="s">
        <v>5356</v>
      </c>
      <c r="C4731" t="s">
        <v>6940</v>
      </c>
      <c r="D4731" s="1">
        <v>45067</v>
      </c>
      <c r="E4731" s="1">
        <v>45070</v>
      </c>
      <c r="F4731" s="1">
        <v>45075</v>
      </c>
      <c r="G4731">
        <v>11.36</v>
      </c>
      <c r="H47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31" t="str">
        <f>IFERROR(INDEX(Raw_orders!G:G, MATCH(shipments[[#This Row],[order_id]],Raw_orders!A:A, 0)), "Unknown")</f>
        <v>Nordics</v>
      </c>
      <c r="J4731" t="str">
        <f>PROPER(shipments[[#This Row],[delivery_status]])</f>
        <v>Delivered</v>
      </c>
      <c r="K4731" t="s">
        <v>6929</v>
      </c>
    </row>
    <row r="4732" spans="1:11">
      <c r="A4732" t="s">
        <v>11668</v>
      </c>
      <c r="B4732" t="s">
        <v>5357</v>
      </c>
      <c r="C4732" t="s">
        <v>6956</v>
      </c>
      <c r="D4732" s="1">
        <v>45616</v>
      </c>
      <c r="E4732" s="1">
        <v>45621</v>
      </c>
      <c r="F4732" s="1">
        <v>45630</v>
      </c>
      <c r="G4732">
        <v>63</v>
      </c>
      <c r="H47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32" t="str">
        <f>IFERROR(INDEX(Raw_orders!G:G, MATCH(shipments[[#This Row],[order_id]],Raw_orders!A:A, 0)), "Unknown")</f>
        <v>Central Europe</v>
      </c>
      <c r="J4732" t="str">
        <f>PROPER(shipments[[#This Row],[delivery_status]])</f>
        <v>Delivered</v>
      </c>
      <c r="K4732" t="s">
        <v>6926</v>
      </c>
    </row>
    <row r="4733" spans="1:11">
      <c r="A4733" t="s">
        <v>11669</v>
      </c>
      <c r="B4733" t="s">
        <v>5358</v>
      </c>
      <c r="C4733" t="s">
        <v>6925</v>
      </c>
      <c r="D4733" s="1">
        <v>45058</v>
      </c>
      <c r="E4733" s="1">
        <v>45068</v>
      </c>
      <c r="F4733" s="1">
        <v>45068</v>
      </c>
      <c r="G4733">
        <v>9.51</v>
      </c>
      <c r="H47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733" t="str">
        <f>IFERROR(INDEX(Raw_orders!G:G, MATCH(shipments[[#This Row],[order_id]],Raw_orders!A:A, 0)), "Unknown")</f>
        <v>Central Europe</v>
      </c>
      <c r="J4733" t="str">
        <f>PROPER(shipments[[#This Row],[delivery_status]])</f>
        <v>Delivered</v>
      </c>
      <c r="K4733" t="s">
        <v>6926</v>
      </c>
    </row>
    <row r="4734" spans="1:11">
      <c r="A4734" t="s">
        <v>11670</v>
      </c>
      <c r="B4734" t="s">
        <v>5359</v>
      </c>
      <c r="C4734" t="s">
        <v>6938</v>
      </c>
      <c r="D4734" s="1">
        <v>45237</v>
      </c>
      <c r="E4734" s="1">
        <v>45239</v>
      </c>
      <c r="F4734" s="1">
        <v>45238</v>
      </c>
      <c r="G4734">
        <v>28.16</v>
      </c>
      <c r="H47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734" t="str">
        <f>IFERROR(INDEX(Raw_orders!G:G, MATCH(shipments[[#This Row],[order_id]],Raw_orders!A:A, 0)), "Unknown")</f>
        <v>Baltics</v>
      </c>
      <c r="J4734" t="str">
        <f>PROPER(shipments[[#This Row],[delivery_status]])</f>
        <v>Delivered</v>
      </c>
      <c r="K4734" t="s">
        <v>6929</v>
      </c>
    </row>
    <row r="4735" spans="1:11">
      <c r="A4735" t="s">
        <v>11671</v>
      </c>
      <c r="B4735" t="s">
        <v>5360</v>
      </c>
      <c r="C4735" t="s">
        <v>6921</v>
      </c>
      <c r="D4735" s="1">
        <v>45464</v>
      </c>
      <c r="E4735" s="1">
        <v>45471</v>
      </c>
      <c r="F4735" s="1"/>
      <c r="G4735">
        <v>13.1</v>
      </c>
      <c r="H47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735" t="str">
        <f>IFERROR(INDEX(Raw_orders!G:G, MATCH(shipments[[#This Row],[order_id]],Raw_orders!A:A, 0)), "Unknown")</f>
        <v>Central Europe</v>
      </c>
      <c r="J4735" t="str">
        <f>PROPER(shipments[[#This Row],[delivery_status]])</f>
        <v>Cancelled</v>
      </c>
      <c r="K4735" t="s">
        <v>6979</v>
      </c>
    </row>
    <row r="4736" spans="1:11">
      <c r="A4736" t="s">
        <v>11672</v>
      </c>
      <c r="B4736" t="s">
        <v>5361</v>
      </c>
      <c r="C4736" t="s">
        <v>6931</v>
      </c>
      <c r="D4736" s="1">
        <v>45617</v>
      </c>
      <c r="E4736" s="1">
        <v>45620</v>
      </c>
      <c r="F4736" s="1"/>
      <c r="G4736">
        <v>18.22</v>
      </c>
      <c r="H47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736" t="str">
        <f>IFERROR(INDEX(Raw_orders!G:G, MATCH(shipments[[#This Row],[order_id]],Raw_orders!A:A, 0)), "Unknown")</f>
        <v>Nordics</v>
      </c>
      <c r="J4736" t="str">
        <f>PROPER(shipments[[#This Row],[delivery_status]])</f>
        <v>In Transit</v>
      </c>
      <c r="K4736" t="s">
        <v>6977</v>
      </c>
    </row>
    <row r="4737" spans="1:11">
      <c r="A4737" t="s">
        <v>11673</v>
      </c>
      <c r="B4737" t="s">
        <v>5362</v>
      </c>
      <c r="C4737" t="s">
        <v>6931</v>
      </c>
      <c r="D4737" s="1">
        <v>45202</v>
      </c>
      <c r="E4737" s="1">
        <v>45212</v>
      </c>
      <c r="F4737" s="1">
        <v>45212</v>
      </c>
      <c r="G4737">
        <v>52.15</v>
      </c>
      <c r="H47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737" t="str">
        <f>IFERROR(INDEX(Raw_orders!G:G, MATCH(shipments[[#This Row],[order_id]],Raw_orders!A:A, 0)), "Unknown")</f>
        <v>Baltics</v>
      </c>
      <c r="J4737" t="str">
        <f>PROPER(shipments[[#This Row],[delivery_status]])</f>
        <v>Delivered</v>
      </c>
      <c r="K4737" t="s">
        <v>6922</v>
      </c>
    </row>
    <row r="4738" spans="1:11">
      <c r="A4738" t="s">
        <v>11674</v>
      </c>
      <c r="B4738" t="s">
        <v>5363</v>
      </c>
      <c r="C4738" t="s">
        <v>6940</v>
      </c>
      <c r="D4738" s="1">
        <v>45412</v>
      </c>
      <c r="E4738" s="1">
        <v>45422</v>
      </c>
      <c r="F4738" s="1">
        <v>45429</v>
      </c>
      <c r="G4738">
        <v>9.57</v>
      </c>
      <c r="H47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38" t="str">
        <f>IFERROR(INDEX(Raw_orders!G:G, MATCH(shipments[[#This Row],[order_id]],Raw_orders!A:A, 0)), "Unknown")</f>
        <v>Nordics</v>
      </c>
      <c r="J4738" t="str">
        <f>PROPER(shipments[[#This Row],[delivery_status]])</f>
        <v>Delivered</v>
      </c>
      <c r="K4738" t="s">
        <v>6929</v>
      </c>
    </row>
    <row r="4739" spans="1:11">
      <c r="A4739" t="s">
        <v>11675</v>
      </c>
      <c r="B4739" t="s">
        <v>5364</v>
      </c>
      <c r="C4739" t="s">
        <v>6940</v>
      </c>
      <c r="D4739" s="1">
        <v>45261</v>
      </c>
      <c r="E4739" s="1">
        <v>45271</v>
      </c>
      <c r="F4739" s="1">
        <v>45275</v>
      </c>
      <c r="G4739">
        <v>27.01</v>
      </c>
      <c r="H47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39" t="str">
        <f>IFERROR(INDEX(Raw_orders!G:G, MATCH(shipments[[#This Row],[order_id]],Raw_orders!A:A, 0)), "Unknown")</f>
        <v>Nordics</v>
      </c>
      <c r="J4739" t="str">
        <f>PROPER(shipments[[#This Row],[delivery_status]])</f>
        <v>Delivered</v>
      </c>
      <c r="K4739" t="s">
        <v>6922</v>
      </c>
    </row>
    <row r="4740" spans="1:11">
      <c r="A4740" t="s">
        <v>11676</v>
      </c>
      <c r="B4740" t="s">
        <v>5365</v>
      </c>
      <c r="C4740" t="s">
        <v>6938</v>
      </c>
      <c r="D4740" s="1">
        <v>45507</v>
      </c>
      <c r="E4740" s="1">
        <v>45517</v>
      </c>
      <c r="F4740" s="1">
        <v>45522</v>
      </c>
      <c r="G4740">
        <v>50.72</v>
      </c>
      <c r="H47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40" t="str">
        <f>IFERROR(INDEX(Raw_orders!G:G, MATCH(shipments[[#This Row],[order_id]],Raw_orders!A:A, 0)), "Unknown")</f>
        <v>Nordics</v>
      </c>
      <c r="J4740" t="str">
        <f>PROPER(shipments[[#This Row],[delivery_status]])</f>
        <v>Delivered</v>
      </c>
      <c r="K4740" t="s">
        <v>6922</v>
      </c>
    </row>
    <row r="4741" spans="1:11">
      <c r="A4741" t="s">
        <v>11677</v>
      </c>
      <c r="B4741" t="s">
        <v>5366</v>
      </c>
      <c r="C4741" t="s">
        <v>6921</v>
      </c>
      <c r="D4741" s="1">
        <v>45596</v>
      </c>
      <c r="E4741" s="1">
        <v>45606</v>
      </c>
      <c r="F4741" s="1">
        <v>45616</v>
      </c>
      <c r="G4741">
        <v>52.15</v>
      </c>
      <c r="H47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41" t="str">
        <f>IFERROR(INDEX(Raw_orders!G:G, MATCH(shipments[[#This Row],[order_id]],Raw_orders!A:A, 0)), "Unknown")</f>
        <v>Baltics</v>
      </c>
      <c r="J4741" t="str">
        <f>PROPER(shipments[[#This Row],[delivery_status]])</f>
        <v>Delivered</v>
      </c>
      <c r="K4741" t="s">
        <v>6922</v>
      </c>
    </row>
    <row r="4742" spans="1:11">
      <c r="A4742" t="s">
        <v>11678</v>
      </c>
      <c r="B4742" t="s">
        <v>5367</v>
      </c>
      <c r="C4742" t="s">
        <v>6949</v>
      </c>
      <c r="D4742" s="1">
        <v>44977</v>
      </c>
      <c r="E4742" s="1">
        <v>44984</v>
      </c>
      <c r="F4742" s="1">
        <v>44989</v>
      </c>
      <c r="G4742">
        <v>24.68</v>
      </c>
      <c r="H47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42" t="str">
        <f>IFERROR(INDEX(Raw_orders!G:G, MATCH(shipments[[#This Row],[order_id]],Raw_orders!A:A, 0)), "Unknown")</f>
        <v>Baltics</v>
      </c>
      <c r="J4742" t="str">
        <f>PROPER(shipments[[#This Row],[delivery_status]])</f>
        <v>Delivered</v>
      </c>
      <c r="K4742" t="s">
        <v>6929</v>
      </c>
    </row>
    <row r="4743" spans="1:11">
      <c r="A4743" t="s">
        <v>11679</v>
      </c>
      <c r="B4743" t="s">
        <v>5368</v>
      </c>
      <c r="C4743" t="s">
        <v>6928</v>
      </c>
      <c r="D4743" s="1">
        <v>45401</v>
      </c>
      <c r="E4743" s="1">
        <v>45406</v>
      </c>
      <c r="F4743" s="1">
        <v>45405</v>
      </c>
      <c r="G4743">
        <v>59.73</v>
      </c>
      <c r="H47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743" t="str">
        <f>IFERROR(INDEX(Raw_orders!G:G, MATCH(shipments[[#This Row],[order_id]],Raw_orders!A:A, 0)), "Unknown")</f>
        <v>Central Europe</v>
      </c>
      <c r="J4743" t="str">
        <f>PROPER(shipments[[#This Row],[delivery_status]])</f>
        <v>Delivered</v>
      </c>
      <c r="K4743" t="s">
        <v>6926</v>
      </c>
    </row>
    <row r="4744" spans="1:11">
      <c r="A4744" t="s">
        <v>11680</v>
      </c>
      <c r="B4744" t="s">
        <v>5369</v>
      </c>
      <c r="C4744" t="s">
        <v>6938</v>
      </c>
      <c r="D4744" s="1">
        <v>44949</v>
      </c>
      <c r="E4744" s="1">
        <v>44959</v>
      </c>
      <c r="F4744" s="1"/>
      <c r="G4744">
        <v>56.79</v>
      </c>
      <c r="H47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744" t="str">
        <f>IFERROR(INDEX(Raw_orders!G:G, MATCH(shipments[[#This Row],[order_id]],Raw_orders!A:A, 0)), "Unknown")</f>
        <v>Central Europe</v>
      </c>
      <c r="J4744" t="str">
        <f>PROPER(shipments[[#This Row],[delivery_status]])</f>
        <v>Cancelled</v>
      </c>
      <c r="K4744" t="s">
        <v>6963</v>
      </c>
    </row>
    <row r="4745" spans="1:11">
      <c r="A4745" t="s">
        <v>11681</v>
      </c>
      <c r="B4745" t="s">
        <v>5370</v>
      </c>
      <c r="C4745" t="s">
        <v>6928</v>
      </c>
      <c r="D4745" s="1">
        <v>45461</v>
      </c>
      <c r="E4745" s="1">
        <v>45464</v>
      </c>
      <c r="F4745" s="1"/>
      <c r="G4745">
        <v>61.46</v>
      </c>
      <c r="H47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745" t="str">
        <f>IFERROR(INDEX(Raw_orders!G:G, MATCH(shipments[[#This Row],[order_id]],Raw_orders!A:A, 0)), "Unknown")</f>
        <v>Nordics</v>
      </c>
      <c r="J4745" t="str">
        <f>PROPER(shipments[[#This Row],[delivery_status]])</f>
        <v>In Transit</v>
      </c>
      <c r="K4745" t="s">
        <v>6977</v>
      </c>
    </row>
    <row r="4746" spans="1:11">
      <c r="A4746" t="s">
        <v>11682</v>
      </c>
      <c r="B4746" t="s">
        <v>5371</v>
      </c>
      <c r="C4746" t="s">
        <v>6938</v>
      </c>
      <c r="D4746" s="1">
        <v>45298</v>
      </c>
      <c r="E4746" s="1">
        <v>45300</v>
      </c>
      <c r="F4746" s="1">
        <v>45314</v>
      </c>
      <c r="G4746">
        <v>11.42</v>
      </c>
      <c r="H47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46" t="str">
        <f>IFERROR(INDEX(Raw_orders!G:G, MATCH(shipments[[#This Row],[order_id]],Raw_orders!A:A, 0)), "Unknown")</f>
        <v>Baltics</v>
      </c>
      <c r="J4746" t="str">
        <f>PROPER(shipments[[#This Row],[delivery_status]])</f>
        <v>Delivered</v>
      </c>
      <c r="K4746" t="s">
        <v>6922</v>
      </c>
    </row>
    <row r="4747" spans="1:11">
      <c r="A4747" t="s">
        <v>11683</v>
      </c>
      <c r="B4747" t="s">
        <v>5372</v>
      </c>
      <c r="C4747" t="s">
        <v>6931</v>
      </c>
      <c r="D4747" s="1">
        <v>45557</v>
      </c>
      <c r="E4747" s="1">
        <v>45562</v>
      </c>
      <c r="F4747" s="1">
        <v>45562</v>
      </c>
      <c r="G4747">
        <v>58.74</v>
      </c>
      <c r="H47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747" t="str">
        <f>IFERROR(INDEX(Raw_orders!G:G, MATCH(shipments[[#This Row],[order_id]],Raw_orders!A:A, 0)), "Unknown")</f>
        <v>Baltics</v>
      </c>
      <c r="J4747" t="str">
        <f>PROPER(shipments[[#This Row],[delivery_status]])</f>
        <v>Delivered</v>
      </c>
      <c r="K4747" t="s">
        <v>6926</v>
      </c>
    </row>
    <row r="4748" spans="1:11">
      <c r="A4748" t="s">
        <v>11684</v>
      </c>
      <c r="B4748" t="s">
        <v>5373</v>
      </c>
      <c r="C4748" t="s">
        <v>6921</v>
      </c>
      <c r="D4748" s="1">
        <v>45216</v>
      </c>
      <c r="E4748" s="1">
        <v>45223</v>
      </c>
      <c r="F4748" s="1">
        <v>45222</v>
      </c>
      <c r="G4748">
        <v>16.170000000000002</v>
      </c>
      <c r="H47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748" t="str">
        <f>IFERROR(INDEX(Raw_orders!G:G, MATCH(shipments[[#This Row],[order_id]],Raw_orders!A:A, 0)), "Unknown")</f>
        <v>Central Europe</v>
      </c>
      <c r="J4748" t="str">
        <f>PROPER(shipments[[#This Row],[delivery_status]])</f>
        <v>Delivered</v>
      </c>
      <c r="K4748" t="s">
        <v>6926</v>
      </c>
    </row>
    <row r="4749" spans="1:11">
      <c r="A4749" t="s">
        <v>11685</v>
      </c>
      <c r="B4749" t="s">
        <v>5374</v>
      </c>
      <c r="C4749" t="s">
        <v>6921</v>
      </c>
      <c r="D4749" s="1">
        <v>45294</v>
      </c>
      <c r="E4749" s="1">
        <v>45301</v>
      </c>
      <c r="F4749" s="1">
        <v>45315</v>
      </c>
      <c r="G4749">
        <v>47.7</v>
      </c>
      <c r="H47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49" t="str">
        <f>IFERROR(INDEX(Raw_orders!G:G, MATCH(shipments[[#This Row],[order_id]],Raw_orders!A:A, 0)), "Unknown")</f>
        <v>Baltics</v>
      </c>
      <c r="J4749" t="str">
        <f>PROPER(shipments[[#This Row],[delivery_status]])</f>
        <v>Delivered</v>
      </c>
      <c r="K4749" t="s">
        <v>6926</v>
      </c>
    </row>
    <row r="4750" spans="1:11">
      <c r="A4750" t="s">
        <v>11686</v>
      </c>
      <c r="B4750" t="s">
        <v>5375</v>
      </c>
      <c r="C4750" t="s">
        <v>6925</v>
      </c>
      <c r="D4750" s="1">
        <v>45143</v>
      </c>
      <c r="E4750" s="1">
        <v>45150</v>
      </c>
      <c r="F4750" s="1">
        <v>45153</v>
      </c>
      <c r="G4750">
        <v>5.64</v>
      </c>
      <c r="H47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50" t="str">
        <f>IFERROR(INDEX(Raw_orders!G:G, MATCH(shipments[[#This Row],[order_id]],Raw_orders!A:A, 0)), "Unknown")</f>
        <v>Nordics</v>
      </c>
      <c r="J4750" t="str">
        <f>PROPER(shipments[[#This Row],[delivery_status]])</f>
        <v>Delivered</v>
      </c>
      <c r="K4750" t="s">
        <v>6922</v>
      </c>
    </row>
    <row r="4751" spans="1:11">
      <c r="A4751" t="s">
        <v>11687</v>
      </c>
      <c r="B4751" t="s">
        <v>5376</v>
      </c>
      <c r="C4751" t="s">
        <v>6931</v>
      </c>
      <c r="D4751" s="1">
        <v>45069</v>
      </c>
      <c r="E4751" s="1">
        <v>45076</v>
      </c>
      <c r="F4751" s="1">
        <v>45077</v>
      </c>
      <c r="G4751">
        <v>63.83</v>
      </c>
      <c r="H47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51" t="str">
        <f>IFERROR(INDEX(Raw_orders!G:G, MATCH(shipments[[#This Row],[order_id]],Raw_orders!A:A, 0)), "Unknown")</f>
        <v>Nordics</v>
      </c>
      <c r="J4751" t="str">
        <f>PROPER(shipments[[#This Row],[delivery_status]])</f>
        <v>Delivered</v>
      </c>
      <c r="K4751" t="s">
        <v>6929</v>
      </c>
    </row>
    <row r="4752" spans="1:11">
      <c r="A4752" t="s">
        <v>11688</v>
      </c>
      <c r="B4752" t="s">
        <v>5377</v>
      </c>
      <c r="C4752" t="s">
        <v>6956</v>
      </c>
      <c r="D4752" s="1">
        <v>45515</v>
      </c>
      <c r="E4752" s="1">
        <v>45525</v>
      </c>
      <c r="F4752" s="1"/>
      <c r="G4752">
        <v>42.99</v>
      </c>
      <c r="H47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752" t="str">
        <f>IFERROR(INDEX(Raw_orders!G:G, MATCH(shipments[[#This Row],[order_id]],Raw_orders!A:A, 0)), "Unknown")</f>
        <v>Nordics</v>
      </c>
      <c r="J4752" t="str">
        <f>PROPER(shipments[[#This Row],[delivery_status]])</f>
        <v>Cancelled</v>
      </c>
      <c r="K4752" t="s">
        <v>6963</v>
      </c>
    </row>
    <row r="4753" spans="1:11">
      <c r="A4753" t="s">
        <v>11689</v>
      </c>
      <c r="B4753" t="s">
        <v>5378</v>
      </c>
      <c r="C4753" t="s">
        <v>6921</v>
      </c>
      <c r="D4753" s="1">
        <v>45529</v>
      </c>
      <c r="E4753" s="1">
        <v>45531</v>
      </c>
      <c r="F4753" s="1">
        <v>45544</v>
      </c>
      <c r="G4753">
        <v>62.49</v>
      </c>
      <c r="H47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53" t="str">
        <f>IFERROR(INDEX(Raw_orders!G:G, MATCH(shipments[[#This Row],[order_id]],Raw_orders!A:A, 0)), "Unknown")</f>
        <v>Nordics</v>
      </c>
      <c r="J4753" t="str">
        <f>PROPER(shipments[[#This Row],[delivery_status]])</f>
        <v>Delivered</v>
      </c>
      <c r="K4753" t="s">
        <v>6922</v>
      </c>
    </row>
    <row r="4754" spans="1:11">
      <c r="A4754" t="s">
        <v>11690</v>
      </c>
      <c r="B4754" t="s">
        <v>5379</v>
      </c>
      <c r="C4754" t="s">
        <v>6938</v>
      </c>
      <c r="D4754" s="1">
        <v>45576</v>
      </c>
      <c r="E4754" s="1">
        <v>45583</v>
      </c>
      <c r="F4754" s="1">
        <v>45588</v>
      </c>
      <c r="G4754">
        <v>26.25</v>
      </c>
      <c r="H47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54" t="str">
        <f>IFERROR(INDEX(Raw_orders!G:G, MATCH(shipments[[#This Row],[order_id]],Raw_orders!A:A, 0)), "Unknown")</f>
        <v>Baltics</v>
      </c>
      <c r="J4754" t="str">
        <f>PROPER(shipments[[#This Row],[delivery_status]])</f>
        <v>Delivered</v>
      </c>
      <c r="K4754" t="s">
        <v>6929</v>
      </c>
    </row>
    <row r="4755" spans="1:11">
      <c r="A4755" t="s">
        <v>11691</v>
      </c>
      <c r="B4755" t="s">
        <v>5380</v>
      </c>
      <c r="C4755" t="s">
        <v>6956</v>
      </c>
      <c r="D4755" s="1">
        <v>45395</v>
      </c>
      <c r="E4755" s="1">
        <v>45400</v>
      </c>
      <c r="F4755" s="1">
        <v>45400</v>
      </c>
      <c r="G4755">
        <v>18.489999999999998</v>
      </c>
      <c r="H47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755" t="str">
        <f>IFERROR(INDEX(Raw_orders!G:G, MATCH(shipments[[#This Row],[order_id]],Raw_orders!A:A, 0)), "Unknown")</f>
        <v>Central Europe</v>
      </c>
      <c r="J4755" t="str">
        <f>PROPER(shipments[[#This Row],[delivery_status]])</f>
        <v>Delivered</v>
      </c>
      <c r="K4755" t="s">
        <v>6922</v>
      </c>
    </row>
    <row r="4756" spans="1:11">
      <c r="A4756" t="s">
        <v>11692</v>
      </c>
      <c r="B4756" t="s">
        <v>5381</v>
      </c>
      <c r="C4756" t="s">
        <v>6931</v>
      </c>
      <c r="D4756" s="1">
        <v>45603</v>
      </c>
      <c r="E4756" s="1">
        <v>45610</v>
      </c>
      <c r="F4756" s="1"/>
      <c r="G4756">
        <v>57.88</v>
      </c>
      <c r="H47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756" t="str">
        <f>IFERROR(INDEX(Raw_orders!G:G, MATCH(shipments[[#This Row],[order_id]],Raw_orders!A:A, 0)), "Unknown")</f>
        <v>Nordics</v>
      </c>
      <c r="J4756" t="str">
        <f>PROPER(shipments[[#This Row],[delivery_status]])</f>
        <v>In Transit</v>
      </c>
      <c r="K4756" t="s">
        <v>6958</v>
      </c>
    </row>
    <row r="4757" spans="1:11">
      <c r="A4757" t="s">
        <v>11693</v>
      </c>
      <c r="B4757" t="s">
        <v>5382</v>
      </c>
      <c r="C4757" t="s">
        <v>6949</v>
      </c>
      <c r="D4757" s="1">
        <v>45036</v>
      </c>
      <c r="E4757" s="1">
        <v>45041</v>
      </c>
      <c r="F4757" s="1">
        <v>45042</v>
      </c>
      <c r="G4757">
        <v>32.85</v>
      </c>
      <c r="H47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57" t="str">
        <f>IFERROR(INDEX(Raw_orders!G:G, MATCH(shipments[[#This Row],[order_id]],Raw_orders!A:A, 0)), "Unknown")</f>
        <v>Nordics</v>
      </c>
      <c r="J4757" t="str">
        <f>PROPER(shipments[[#This Row],[delivery_status]])</f>
        <v>Delivered</v>
      </c>
      <c r="K4757" t="s">
        <v>6922</v>
      </c>
    </row>
    <row r="4758" spans="1:11">
      <c r="A4758" t="s">
        <v>11694</v>
      </c>
      <c r="B4758" t="s">
        <v>5383</v>
      </c>
      <c r="C4758" t="s">
        <v>6935</v>
      </c>
      <c r="D4758" s="1">
        <v>45529</v>
      </c>
      <c r="E4758" s="1">
        <v>45531</v>
      </c>
      <c r="F4758" s="1">
        <v>45536</v>
      </c>
      <c r="G4758">
        <v>57.16</v>
      </c>
      <c r="H47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58" t="str">
        <f>IFERROR(INDEX(Raw_orders!G:G, MATCH(shipments[[#This Row],[order_id]],Raw_orders!A:A, 0)), "Unknown")</f>
        <v>Central Europe</v>
      </c>
      <c r="J4758" t="str">
        <f>PROPER(shipments[[#This Row],[delivery_status]])</f>
        <v>Delivered</v>
      </c>
      <c r="K4758" t="s">
        <v>6929</v>
      </c>
    </row>
    <row r="4759" spans="1:11">
      <c r="A4759" t="s">
        <v>11695</v>
      </c>
      <c r="B4759" t="s">
        <v>5383</v>
      </c>
      <c r="C4759" t="s">
        <v>6940</v>
      </c>
      <c r="D4759" s="1">
        <v>45530</v>
      </c>
      <c r="E4759" s="1">
        <v>45535</v>
      </c>
      <c r="F4759" s="1">
        <v>45543</v>
      </c>
      <c r="G4759">
        <v>5.99</v>
      </c>
      <c r="H47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59" t="str">
        <f>IFERROR(INDEX(Raw_orders!G:G, MATCH(shipments[[#This Row],[order_id]],Raw_orders!A:A, 0)), "Unknown")</f>
        <v>Central Europe</v>
      </c>
      <c r="J4759" t="str">
        <f>PROPER(shipments[[#This Row],[delivery_status]])</f>
        <v>Delivered</v>
      </c>
      <c r="K4759" t="s">
        <v>6929</v>
      </c>
    </row>
    <row r="4760" spans="1:11">
      <c r="A4760" t="s">
        <v>11696</v>
      </c>
      <c r="B4760" t="s">
        <v>5384</v>
      </c>
      <c r="C4760" t="s">
        <v>6921</v>
      </c>
      <c r="D4760" s="1">
        <v>45517</v>
      </c>
      <c r="E4760" s="1">
        <v>45522</v>
      </c>
      <c r="F4760" s="1">
        <v>45525</v>
      </c>
      <c r="G4760">
        <v>13.35</v>
      </c>
      <c r="H47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60" t="str">
        <f>IFERROR(INDEX(Raw_orders!G:G, MATCH(shipments[[#This Row],[order_id]],Raw_orders!A:A, 0)), "Unknown")</f>
        <v>Baltics</v>
      </c>
      <c r="J4760" t="str">
        <f>PROPER(shipments[[#This Row],[delivery_status]])</f>
        <v>Delivered</v>
      </c>
      <c r="K4760" t="s">
        <v>6922</v>
      </c>
    </row>
    <row r="4761" spans="1:11">
      <c r="A4761" t="s">
        <v>11697</v>
      </c>
      <c r="B4761" t="s">
        <v>5385</v>
      </c>
      <c r="C4761" t="s">
        <v>6940</v>
      </c>
      <c r="D4761" s="1">
        <v>45069</v>
      </c>
      <c r="E4761" s="1">
        <v>45071</v>
      </c>
      <c r="F4761" s="1">
        <v>45076</v>
      </c>
      <c r="G4761">
        <v>6.31</v>
      </c>
      <c r="H47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61" t="str">
        <f>IFERROR(INDEX(Raw_orders!G:G, MATCH(shipments[[#This Row],[order_id]],Raw_orders!A:A, 0)), "Unknown")</f>
        <v>Nordics</v>
      </c>
      <c r="J4761" t="str">
        <f>PROPER(shipments[[#This Row],[delivery_status]])</f>
        <v>Delivered</v>
      </c>
      <c r="K4761" t="s">
        <v>6926</v>
      </c>
    </row>
    <row r="4762" spans="1:11">
      <c r="A4762" t="s">
        <v>11698</v>
      </c>
      <c r="B4762" t="s">
        <v>5386</v>
      </c>
      <c r="C4762" t="s">
        <v>6921</v>
      </c>
      <c r="D4762" s="1">
        <v>45291</v>
      </c>
      <c r="E4762" s="1">
        <v>45294</v>
      </c>
      <c r="F4762" s="1">
        <v>45299</v>
      </c>
      <c r="G4762">
        <v>46.39</v>
      </c>
      <c r="H47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62" t="str">
        <f>IFERROR(INDEX(Raw_orders!G:G, MATCH(shipments[[#This Row],[order_id]],Raw_orders!A:A, 0)), "Unknown")</f>
        <v>Nordics</v>
      </c>
      <c r="J4762" t="str">
        <f>PROPER(shipments[[#This Row],[delivery_status]])</f>
        <v>Delivered</v>
      </c>
      <c r="K4762" t="s">
        <v>6926</v>
      </c>
    </row>
    <row r="4763" spans="1:11">
      <c r="A4763" t="s">
        <v>11699</v>
      </c>
      <c r="B4763" t="s">
        <v>5387</v>
      </c>
      <c r="C4763" t="s">
        <v>6956</v>
      </c>
      <c r="D4763" s="1">
        <v>45577</v>
      </c>
      <c r="E4763" s="1">
        <v>45584</v>
      </c>
      <c r="F4763" s="1"/>
      <c r="G4763">
        <v>46.78</v>
      </c>
      <c r="H47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763" t="str">
        <f>IFERROR(INDEX(Raw_orders!G:G, MATCH(shipments[[#This Row],[order_id]],Raw_orders!A:A, 0)), "Unknown")</f>
        <v>Unknown</v>
      </c>
      <c r="J4763" t="str">
        <f>PROPER(shipments[[#This Row],[delivery_status]])</f>
        <v>In Transit</v>
      </c>
      <c r="K4763" t="s">
        <v>6958</v>
      </c>
    </row>
    <row r="4764" spans="1:11">
      <c r="A4764" t="s">
        <v>11700</v>
      </c>
      <c r="B4764" t="s">
        <v>5388</v>
      </c>
      <c r="C4764" t="s">
        <v>6935</v>
      </c>
      <c r="D4764" s="1">
        <v>45101</v>
      </c>
      <c r="E4764" s="1">
        <v>45106</v>
      </c>
      <c r="F4764" s="1">
        <v>45106</v>
      </c>
      <c r="G4764">
        <v>47.92</v>
      </c>
      <c r="H47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764" t="str">
        <f>IFERROR(INDEX(Raw_orders!G:G, MATCH(shipments[[#This Row],[order_id]],Raw_orders!A:A, 0)), "Unknown")</f>
        <v>Nordics</v>
      </c>
      <c r="J4764" t="str">
        <f>PROPER(shipments[[#This Row],[delivery_status]])</f>
        <v>Delivered</v>
      </c>
      <c r="K4764" t="s">
        <v>6922</v>
      </c>
    </row>
    <row r="4765" spans="1:11">
      <c r="A4765" t="s">
        <v>11701</v>
      </c>
      <c r="B4765" t="s">
        <v>5389</v>
      </c>
      <c r="C4765" t="s">
        <v>6935</v>
      </c>
      <c r="D4765" s="1">
        <v>45520</v>
      </c>
      <c r="E4765" s="1">
        <v>45522</v>
      </c>
      <c r="F4765" s="1">
        <v>45522</v>
      </c>
      <c r="G4765">
        <v>52.8</v>
      </c>
      <c r="H47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765" t="str">
        <f>IFERROR(INDEX(Raw_orders!G:G, MATCH(shipments[[#This Row],[order_id]],Raw_orders!A:A, 0)), "Unknown")</f>
        <v>Baltics</v>
      </c>
      <c r="J4765" t="str">
        <f>PROPER(shipments[[#This Row],[delivery_status]])</f>
        <v>Delivered</v>
      </c>
      <c r="K4765" t="s">
        <v>6922</v>
      </c>
    </row>
    <row r="4766" spans="1:11">
      <c r="A4766" t="s">
        <v>11702</v>
      </c>
      <c r="B4766" t="s">
        <v>5390</v>
      </c>
      <c r="C4766" t="s">
        <v>6938</v>
      </c>
      <c r="D4766" s="1">
        <v>44978</v>
      </c>
      <c r="E4766" s="1">
        <v>44981</v>
      </c>
      <c r="F4766" s="1">
        <v>44983</v>
      </c>
      <c r="G4766">
        <v>35.01</v>
      </c>
      <c r="H47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66" t="str">
        <f>IFERROR(INDEX(Raw_orders!G:G, MATCH(shipments[[#This Row],[order_id]],Raw_orders!A:A, 0)), "Unknown")</f>
        <v>Central Europe</v>
      </c>
      <c r="J4766" t="str">
        <f>PROPER(shipments[[#This Row],[delivery_status]])</f>
        <v>Delivered</v>
      </c>
      <c r="K4766" t="s">
        <v>6922</v>
      </c>
    </row>
    <row r="4767" spans="1:11">
      <c r="A4767" t="s">
        <v>11703</v>
      </c>
      <c r="B4767" t="s">
        <v>5391</v>
      </c>
      <c r="C4767" t="s">
        <v>6935</v>
      </c>
      <c r="D4767" s="1">
        <v>45555</v>
      </c>
      <c r="E4767" s="1">
        <v>45558</v>
      </c>
      <c r="F4767" s="1">
        <v>45563</v>
      </c>
      <c r="G4767">
        <v>53.57</v>
      </c>
      <c r="H47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67" t="str">
        <f>IFERROR(INDEX(Raw_orders!G:G, MATCH(shipments[[#This Row],[order_id]],Raw_orders!A:A, 0)), "Unknown")</f>
        <v>Central Europe</v>
      </c>
      <c r="J4767" t="str">
        <f>PROPER(shipments[[#This Row],[delivery_status]])</f>
        <v>Delivered</v>
      </c>
      <c r="K4767" t="s">
        <v>6926</v>
      </c>
    </row>
    <row r="4768" spans="1:11">
      <c r="A4768" t="s">
        <v>11704</v>
      </c>
      <c r="B4768" t="s">
        <v>5392</v>
      </c>
      <c r="C4768" t="s">
        <v>6925</v>
      </c>
      <c r="D4768" s="1">
        <v>45015</v>
      </c>
      <c r="E4768" s="1">
        <v>45022</v>
      </c>
      <c r="F4768" s="1">
        <v>45026</v>
      </c>
      <c r="G4768">
        <v>54.27</v>
      </c>
      <c r="H47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68" t="str">
        <f>IFERROR(INDEX(Raw_orders!G:G, MATCH(shipments[[#This Row],[order_id]],Raw_orders!A:A, 0)), "Unknown")</f>
        <v>Nordics</v>
      </c>
      <c r="J4768" t="str">
        <f>PROPER(shipments[[#This Row],[delivery_status]])</f>
        <v>Delivered</v>
      </c>
      <c r="K4768" t="s">
        <v>6929</v>
      </c>
    </row>
    <row r="4769" spans="1:11">
      <c r="A4769" t="s">
        <v>11705</v>
      </c>
      <c r="B4769" t="s">
        <v>5393</v>
      </c>
      <c r="C4769" t="s">
        <v>6928</v>
      </c>
      <c r="D4769" s="1">
        <v>45111</v>
      </c>
      <c r="E4769" s="1">
        <v>45113</v>
      </c>
      <c r="F4769" s="1">
        <v>45113</v>
      </c>
      <c r="G4769">
        <v>18.04</v>
      </c>
      <c r="H47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769" t="str">
        <f>IFERROR(INDEX(Raw_orders!G:G, MATCH(shipments[[#This Row],[order_id]],Raw_orders!A:A, 0)), "Unknown")</f>
        <v>Nordics</v>
      </c>
      <c r="J4769" t="str">
        <f>PROPER(shipments[[#This Row],[delivery_status]])</f>
        <v>Delivered</v>
      </c>
      <c r="K4769" t="s">
        <v>6929</v>
      </c>
    </row>
    <row r="4770" spans="1:11">
      <c r="A4770" t="s">
        <v>11706</v>
      </c>
      <c r="B4770" t="s">
        <v>5394</v>
      </c>
      <c r="C4770" t="s">
        <v>6931</v>
      </c>
      <c r="D4770" s="1">
        <v>45023</v>
      </c>
      <c r="E4770" s="1">
        <v>45033</v>
      </c>
      <c r="F4770" s="1">
        <v>45036</v>
      </c>
      <c r="G4770">
        <v>55.24</v>
      </c>
      <c r="H47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70" t="str">
        <f>IFERROR(INDEX(Raw_orders!G:G, MATCH(shipments[[#This Row],[order_id]],Raw_orders!A:A, 0)), "Unknown")</f>
        <v>Baltics</v>
      </c>
      <c r="J4770" t="str">
        <f>PROPER(shipments[[#This Row],[delivery_status]])</f>
        <v>Delivered</v>
      </c>
      <c r="K4770" t="s">
        <v>6926</v>
      </c>
    </row>
    <row r="4771" spans="1:11">
      <c r="A4771" t="s">
        <v>11707</v>
      </c>
      <c r="B4771" t="s">
        <v>5395</v>
      </c>
      <c r="C4771" t="s">
        <v>6928</v>
      </c>
      <c r="D4771" s="1">
        <v>45517</v>
      </c>
      <c r="E4771" s="1">
        <v>45522</v>
      </c>
      <c r="F4771" s="1">
        <v>45534</v>
      </c>
      <c r="G4771">
        <v>63.89</v>
      </c>
      <c r="H47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71" t="str">
        <f>IFERROR(INDEX(Raw_orders!G:G, MATCH(shipments[[#This Row],[order_id]],Raw_orders!A:A, 0)), "Unknown")</f>
        <v>Central Europe</v>
      </c>
      <c r="J4771" t="str">
        <f>PROPER(shipments[[#This Row],[delivery_status]])</f>
        <v>Delivered</v>
      </c>
      <c r="K4771" t="s">
        <v>6929</v>
      </c>
    </row>
    <row r="4772" spans="1:11">
      <c r="A4772" t="s">
        <v>11708</v>
      </c>
      <c r="B4772" t="s">
        <v>5396</v>
      </c>
      <c r="C4772" t="s">
        <v>6940</v>
      </c>
      <c r="D4772" s="1">
        <v>45492</v>
      </c>
      <c r="E4772" s="1">
        <v>45497</v>
      </c>
      <c r="F4772" s="1">
        <v>45500</v>
      </c>
      <c r="G4772">
        <v>22.82</v>
      </c>
      <c r="H47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72" t="str">
        <f>IFERROR(INDEX(Raw_orders!G:G, MATCH(shipments[[#This Row],[order_id]],Raw_orders!A:A, 0)), "Unknown")</f>
        <v>Nordics</v>
      </c>
      <c r="J4772" t="str">
        <f>PROPER(shipments[[#This Row],[delivery_status]])</f>
        <v>Delivered</v>
      </c>
      <c r="K4772" t="s">
        <v>6922</v>
      </c>
    </row>
    <row r="4773" spans="1:11">
      <c r="A4773" t="s">
        <v>11709</v>
      </c>
      <c r="B4773" t="s">
        <v>5396</v>
      </c>
      <c r="C4773" t="s">
        <v>6925</v>
      </c>
      <c r="D4773" s="1">
        <v>45493</v>
      </c>
      <c r="E4773" s="1">
        <v>45503</v>
      </c>
      <c r="F4773" s="1">
        <v>45508</v>
      </c>
      <c r="G4773">
        <v>26.67</v>
      </c>
      <c r="H47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73" t="str">
        <f>IFERROR(INDEX(Raw_orders!G:G, MATCH(shipments[[#This Row],[order_id]],Raw_orders!A:A, 0)), "Unknown")</f>
        <v>Nordics</v>
      </c>
      <c r="J4773" t="str">
        <f>PROPER(shipments[[#This Row],[delivery_status]])</f>
        <v>Delivered</v>
      </c>
      <c r="K4773" t="s">
        <v>6926</v>
      </c>
    </row>
    <row r="4774" spans="1:11">
      <c r="A4774" t="s">
        <v>11710</v>
      </c>
      <c r="B4774" t="s">
        <v>5397</v>
      </c>
      <c r="C4774" t="s">
        <v>6928</v>
      </c>
      <c r="D4774" s="1">
        <v>45156</v>
      </c>
      <c r="E4774" s="1">
        <v>45163</v>
      </c>
      <c r="F4774" s="1">
        <v>45163</v>
      </c>
      <c r="G4774">
        <v>16.940000000000001</v>
      </c>
      <c r="H47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774" t="str">
        <f>IFERROR(INDEX(Raw_orders!G:G, MATCH(shipments[[#This Row],[order_id]],Raw_orders!A:A, 0)), "Unknown")</f>
        <v>Baltics</v>
      </c>
      <c r="J4774" t="str">
        <f>PROPER(shipments[[#This Row],[delivery_status]])</f>
        <v>Delivered</v>
      </c>
      <c r="K4774" t="s">
        <v>6926</v>
      </c>
    </row>
    <row r="4775" spans="1:11">
      <c r="A4775" t="s">
        <v>11711</v>
      </c>
      <c r="B4775" t="s">
        <v>5398</v>
      </c>
      <c r="C4775" t="s">
        <v>6928</v>
      </c>
      <c r="D4775" s="1">
        <v>44980</v>
      </c>
      <c r="E4775" s="1">
        <v>44983</v>
      </c>
      <c r="F4775" s="1">
        <v>44982</v>
      </c>
      <c r="G4775">
        <v>8.34</v>
      </c>
      <c r="H47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775" t="str">
        <f>IFERROR(INDEX(Raw_orders!G:G, MATCH(shipments[[#This Row],[order_id]],Raw_orders!A:A, 0)), "Unknown")</f>
        <v>Nordics</v>
      </c>
      <c r="J4775" t="str">
        <f>PROPER(shipments[[#This Row],[delivery_status]])</f>
        <v>Delivered</v>
      </c>
      <c r="K4775" t="s">
        <v>6922</v>
      </c>
    </row>
    <row r="4776" spans="1:11">
      <c r="A4776" t="s">
        <v>11712</v>
      </c>
      <c r="B4776" t="s">
        <v>5399</v>
      </c>
      <c r="C4776" t="s">
        <v>6925</v>
      </c>
      <c r="D4776" s="1">
        <v>45088</v>
      </c>
      <c r="E4776" s="1">
        <v>45091</v>
      </c>
      <c r="F4776" s="1"/>
      <c r="G4776">
        <v>18.73</v>
      </c>
      <c r="H47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776" t="str">
        <f>IFERROR(INDEX(Raw_orders!G:G, MATCH(shipments[[#This Row],[order_id]],Raw_orders!A:A, 0)), "Unknown")</f>
        <v>Baltics</v>
      </c>
      <c r="J4776" t="str">
        <f>PROPER(shipments[[#This Row],[delivery_status]])</f>
        <v>In Transit</v>
      </c>
      <c r="K4776" t="s">
        <v>6977</v>
      </c>
    </row>
    <row r="4777" spans="1:11">
      <c r="A4777" t="s">
        <v>11713</v>
      </c>
      <c r="B4777" t="s">
        <v>5400</v>
      </c>
      <c r="C4777" t="s">
        <v>6925</v>
      </c>
      <c r="D4777" s="1">
        <v>45285</v>
      </c>
      <c r="E4777" s="1">
        <v>45288</v>
      </c>
      <c r="F4777" s="1"/>
      <c r="G4777">
        <v>5.84</v>
      </c>
      <c r="H47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777" t="str">
        <f>IFERROR(INDEX(Raw_orders!G:G, MATCH(shipments[[#This Row],[order_id]],Raw_orders!A:A, 0)), "Unknown")</f>
        <v>Nordics</v>
      </c>
      <c r="J4777" t="str">
        <f>PROPER(shipments[[#This Row],[delivery_status]])</f>
        <v>Cancelled</v>
      </c>
      <c r="K4777" t="s">
        <v>6963</v>
      </c>
    </row>
    <row r="4778" spans="1:11">
      <c r="A4778" t="s">
        <v>11714</v>
      </c>
      <c r="B4778" t="s">
        <v>5401</v>
      </c>
      <c r="C4778" t="s">
        <v>6921</v>
      </c>
      <c r="D4778" s="1">
        <v>45141</v>
      </c>
      <c r="E4778" s="1">
        <v>45144</v>
      </c>
      <c r="F4778" s="1"/>
      <c r="G4778">
        <v>16.32</v>
      </c>
      <c r="H47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778" t="str">
        <f>IFERROR(INDEX(Raw_orders!G:G, MATCH(shipments[[#This Row],[order_id]],Raw_orders!A:A, 0)), "Unknown")</f>
        <v>Central Europe</v>
      </c>
      <c r="J4778" t="str">
        <f>PROPER(shipments[[#This Row],[delivery_status]])</f>
        <v>Cancelled</v>
      </c>
      <c r="K4778" t="s">
        <v>6963</v>
      </c>
    </row>
    <row r="4779" spans="1:11">
      <c r="A4779" t="s">
        <v>11715</v>
      </c>
      <c r="B4779" t="s">
        <v>5402</v>
      </c>
      <c r="C4779" t="s">
        <v>6940</v>
      </c>
      <c r="D4779" s="1">
        <v>45555</v>
      </c>
      <c r="E4779" s="1">
        <v>45560</v>
      </c>
      <c r="F4779" s="1"/>
      <c r="G4779">
        <v>26.83</v>
      </c>
      <c r="H47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779" t="str">
        <f>IFERROR(INDEX(Raw_orders!G:G, MATCH(shipments[[#This Row],[order_id]],Raw_orders!A:A, 0)), "Unknown")</f>
        <v>Central Europe</v>
      </c>
      <c r="J4779" t="str">
        <f>PROPER(shipments[[#This Row],[delivery_status]])</f>
        <v>Cancelled</v>
      </c>
      <c r="K4779" t="s">
        <v>6979</v>
      </c>
    </row>
    <row r="4780" spans="1:11">
      <c r="A4780" t="s">
        <v>11716</v>
      </c>
      <c r="B4780" t="s">
        <v>5403</v>
      </c>
      <c r="C4780" t="s">
        <v>6928</v>
      </c>
      <c r="D4780" s="1">
        <v>45082</v>
      </c>
      <c r="E4780" s="1">
        <v>45084</v>
      </c>
      <c r="F4780" s="1">
        <v>45087</v>
      </c>
      <c r="G4780">
        <v>5.65</v>
      </c>
      <c r="H47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80" t="str">
        <f>IFERROR(INDEX(Raw_orders!G:G, MATCH(shipments[[#This Row],[order_id]],Raw_orders!A:A, 0)), "Unknown")</f>
        <v>Nordics</v>
      </c>
      <c r="J4780" t="str">
        <f>PROPER(shipments[[#This Row],[delivery_status]])</f>
        <v>Delivered</v>
      </c>
      <c r="K4780" t="s">
        <v>6929</v>
      </c>
    </row>
    <row r="4781" spans="1:11">
      <c r="A4781" t="s">
        <v>11717</v>
      </c>
      <c r="B4781" t="s">
        <v>5404</v>
      </c>
      <c r="C4781" t="s">
        <v>6921</v>
      </c>
      <c r="D4781" s="1">
        <v>44939</v>
      </c>
      <c r="E4781" s="1">
        <v>44949</v>
      </c>
      <c r="F4781" s="1">
        <v>44949</v>
      </c>
      <c r="G4781">
        <v>50.06</v>
      </c>
      <c r="H47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781" t="str">
        <f>IFERROR(INDEX(Raw_orders!G:G, MATCH(shipments[[#This Row],[order_id]],Raw_orders!A:A, 0)), "Unknown")</f>
        <v>Baltics</v>
      </c>
      <c r="J4781" t="str">
        <f>PROPER(shipments[[#This Row],[delivery_status]])</f>
        <v>Delivered</v>
      </c>
      <c r="K4781" t="s">
        <v>6922</v>
      </c>
    </row>
    <row r="4782" spans="1:11">
      <c r="A4782" t="s">
        <v>11718</v>
      </c>
      <c r="B4782" t="s">
        <v>5405</v>
      </c>
      <c r="C4782" t="s">
        <v>6940</v>
      </c>
      <c r="D4782" s="1">
        <v>45423</v>
      </c>
      <c r="E4782" s="1">
        <v>45428</v>
      </c>
      <c r="F4782" s="1">
        <v>45430</v>
      </c>
      <c r="G4782">
        <v>15.42</v>
      </c>
      <c r="H47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82" t="str">
        <f>IFERROR(INDEX(Raw_orders!G:G, MATCH(shipments[[#This Row],[order_id]],Raw_orders!A:A, 0)), "Unknown")</f>
        <v>Nordics</v>
      </c>
      <c r="J4782" t="str">
        <f>PROPER(shipments[[#This Row],[delivery_status]])</f>
        <v>Delivered</v>
      </c>
      <c r="K4782" t="s">
        <v>6926</v>
      </c>
    </row>
    <row r="4783" spans="1:11">
      <c r="A4783" t="s">
        <v>11719</v>
      </c>
      <c r="B4783" t="s">
        <v>5406</v>
      </c>
      <c r="C4783" t="s">
        <v>6925</v>
      </c>
      <c r="D4783" s="1">
        <v>44939</v>
      </c>
      <c r="E4783" s="1">
        <v>44942</v>
      </c>
      <c r="F4783" s="1">
        <v>44941</v>
      </c>
      <c r="G4783">
        <v>53.04</v>
      </c>
      <c r="H47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783" t="str">
        <f>IFERROR(INDEX(Raw_orders!G:G, MATCH(shipments[[#This Row],[order_id]],Raw_orders!A:A, 0)), "Unknown")</f>
        <v>Unknown</v>
      </c>
      <c r="J4783" t="str">
        <f>PROPER(shipments[[#This Row],[delivery_status]])</f>
        <v>Delivered</v>
      </c>
      <c r="K4783" t="s">
        <v>6926</v>
      </c>
    </row>
    <row r="4784" spans="1:11">
      <c r="A4784" t="s">
        <v>11720</v>
      </c>
      <c r="B4784" t="s">
        <v>5407</v>
      </c>
      <c r="C4784" t="s">
        <v>6949</v>
      </c>
      <c r="D4784" s="1">
        <v>45057</v>
      </c>
      <c r="E4784" s="1">
        <v>45064</v>
      </c>
      <c r="F4784" s="1">
        <v>45064</v>
      </c>
      <c r="G4784">
        <v>11.98</v>
      </c>
      <c r="H47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784" t="str">
        <f>IFERROR(INDEX(Raw_orders!G:G, MATCH(shipments[[#This Row],[order_id]],Raw_orders!A:A, 0)), "Unknown")</f>
        <v>Baltics</v>
      </c>
      <c r="J4784" t="str">
        <f>PROPER(shipments[[#This Row],[delivery_status]])</f>
        <v>Delivered</v>
      </c>
      <c r="K4784" t="s">
        <v>6929</v>
      </c>
    </row>
    <row r="4785" spans="1:11">
      <c r="A4785" t="s">
        <v>11721</v>
      </c>
      <c r="B4785" t="s">
        <v>5408</v>
      </c>
      <c r="C4785" t="s">
        <v>6940</v>
      </c>
      <c r="D4785" s="1">
        <v>45052</v>
      </c>
      <c r="E4785" s="1">
        <v>45055</v>
      </c>
      <c r="F4785" s="1">
        <v>45058</v>
      </c>
      <c r="G4785">
        <v>50.39</v>
      </c>
      <c r="H47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85" t="str">
        <f>IFERROR(INDEX(Raw_orders!G:G, MATCH(shipments[[#This Row],[order_id]],Raw_orders!A:A, 0)), "Unknown")</f>
        <v>Central Europe</v>
      </c>
      <c r="J4785" t="str">
        <f>PROPER(shipments[[#This Row],[delivery_status]])</f>
        <v>Delivered</v>
      </c>
      <c r="K4785" t="s">
        <v>6922</v>
      </c>
    </row>
    <row r="4786" spans="1:11">
      <c r="A4786" t="s">
        <v>11722</v>
      </c>
      <c r="B4786" t="s">
        <v>5409</v>
      </c>
      <c r="C4786" t="s">
        <v>6938</v>
      </c>
      <c r="D4786" s="1">
        <v>45129</v>
      </c>
      <c r="E4786" s="1">
        <v>45136</v>
      </c>
      <c r="F4786" s="1">
        <v>45144</v>
      </c>
      <c r="G4786">
        <v>21.37</v>
      </c>
      <c r="H47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86" t="str">
        <f>IFERROR(INDEX(Raw_orders!G:G, MATCH(shipments[[#This Row],[order_id]],Raw_orders!A:A, 0)), "Unknown")</f>
        <v>Baltics</v>
      </c>
      <c r="J4786" t="str">
        <f>PROPER(shipments[[#This Row],[delivery_status]])</f>
        <v>Delivered</v>
      </c>
      <c r="K4786" t="s">
        <v>6929</v>
      </c>
    </row>
    <row r="4787" spans="1:11">
      <c r="A4787" t="s">
        <v>11723</v>
      </c>
      <c r="B4787" t="s">
        <v>5410</v>
      </c>
      <c r="C4787" t="s">
        <v>6938</v>
      </c>
      <c r="D4787" s="1">
        <v>45176</v>
      </c>
      <c r="E4787" s="1">
        <v>45179</v>
      </c>
      <c r="F4787" s="1">
        <v>45182</v>
      </c>
      <c r="G4787">
        <v>21.37</v>
      </c>
      <c r="H47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87" t="str">
        <f>IFERROR(INDEX(Raw_orders!G:G, MATCH(shipments[[#This Row],[order_id]],Raw_orders!A:A, 0)), "Unknown")</f>
        <v>Baltics</v>
      </c>
      <c r="J4787" t="str">
        <f>PROPER(shipments[[#This Row],[delivery_status]])</f>
        <v>Delivered</v>
      </c>
      <c r="K4787" t="s">
        <v>6922</v>
      </c>
    </row>
    <row r="4788" spans="1:11">
      <c r="A4788" t="s">
        <v>11724</v>
      </c>
      <c r="B4788" t="s">
        <v>5411</v>
      </c>
      <c r="C4788" t="s">
        <v>6925</v>
      </c>
      <c r="D4788" s="1">
        <v>45272</v>
      </c>
      <c r="E4788" s="1">
        <v>45279</v>
      </c>
      <c r="F4788" s="1">
        <v>45287</v>
      </c>
      <c r="G4788">
        <v>54.57</v>
      </c>
      <c r="H47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88" t="str">
        <f>IFERROR(INDEX(Raw_orders!G:G, MATCH(shipments[[#This Row],[order_id]],Raw_orders!A:A, 0)), "Unknown")</f>
        <v>Central Europe</v>
      </c>
      <c r="J4788" t="str">
        <f>PROPER(shipments[[#This Row],[delivery_status]])</f>
        <v>Delivered</v>
      </c>
      <c r="K4788" t="s">
        <v>6929</v>
      </c>
    </row>
    <row r="4789" spans="1:11">
      <c r="A4789" t="s">
        <v>11725</v>
      </c>
      <c r="B4789" t="s">
        <v>5412</v>
      </c>
      <c r="C4789" t="s">
        <v>6938</v>
      </c>
      <c r="D4789" s="1">
        <v>45149</v>
      </c>
      <c r="E4789" s="1">
        <v>45159</v>
      </c>
      <c r="F4789" s="1">
        <v>45159</v>
      </c>
      <c r="G4789">
        <v>38.82</v>
      </c>
      <c r="H47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789" t="str">
        <f>IFERROR(INDEX(Raw_orders!G:G, MATCH(shipments[[#This Row],[order_id]],Raw_orders!A:A, 0)), "Unknown")</f>
        <v>Baltics</v>
      </c>
      <c r="J4789" t="str">
        <f>PROPER(shipments[[#This Row],[delivery_status]])</f>
        <v>Delivered</v>
      </c>
      <c r="K4789" t="s">
        <v>6929</v>
      </c>
    </row>
    <row r="4790" spans="1:11">
      <c r="A4790" t="s">
        <v>11726</v>
      </c>
      <c r="B4790" t="s">
        <v>5413</v>
      </c>
      <c r="C4790" t="s">
        <v>6938</v>
      </c>
      <c r="D4790" s="1">
        <v>45117</v>
      </c>
      <c r="E4790" s="1">
        <v>45127</v>
      </c>
      <c r="F4790" s="1">
        <v>45135</v>
      </c>
      <c r="G4790">
        <v>43.24</v>
      </c>
      <c r="H47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90" t="str">
        <f>IFERROR(INDEX(Raw_orders!G:G, MATCH(shipments[[#This Row],[order_id]],Raw_orders!A:A, 0)), "Unknown")</f>
        <v>Nordics</v>
      </c>
      <c r="J4790" t="str">
        <f>PROPER(shipments[[#This Row],[delivery_status]])</f>
        <v>Delivered</v>
      </c>
      <c r="K4790" t="s">
        <v>6922</v>
      </c>
    </row>
    <row r="4791" spans="1:11">
      <c r="A4791" t="s">
        <v>11727</v>
      </c>
      <c r="B4791" t="s">
        <v>5414</v>
      </c>
      <c r="C4791" t="s">
        <v>6935</v>
      </c>
      <c r="D4791" s="1">
        <v>45249</v>
      </c>
      <c r="E4791" s="1">
        <v>45252</v>
      </c>
      <c r="F4791" s="1">
        <v>45254</v>
      </c>
      <c r="G4791">
        <v>38.549999999999997</v>
      </c>
      <c r="H47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91" t="str">
        <f>IFERROR(INDEX(Raw_orders!G:G, MATCH(shipments[[#This Row],[order_id]],Raw_orders!A:A, 0)), "Unknown")</f>
        <v>Nordics</v>
      </c>
      <c r="J4791" t="str">
        <f>PROPER(shipments[[#This Row],[delivery_status]])</f>
        <v>Delivered</v>
      </c>
      <c r="K4791" t="s">
        <v>6922</v>
      </c>
    </row>
    <row r="4792" spans="1:11">
      <c r="A4792" t="s">
        <v>11728</v>
      </c>
      <c r="B4792" t="s">
        <v>5415</v>
      </c>
      <c r="C4792" t="s">
        <v>6925</v>
      </c>
      <c r="D4792" s="1">
        <v>45528</v>
      </c>
      <c r="E4792" s="1">
        <v>45535</v>
      </c>
      <c r="F4792" s="1"/>
      <c r="G4792">
        <v>57.11</v>
      </c>
      <c r="H47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792" t="str">
        <f>IFERROR(INDEX(Raw_orders!G:G, MATCH(shipments[[#This Row],[order_id]],Raw_orders!A:A, 0)), "Unknown")</f>
        <v>Central Europe</v>
      </c>
      <c r="J4792" t="str">
        <f>PROPER(shipments[[#This Row],[delivery_status]])</f>
        <v>Cancelled</v>
      </c>
      <c r="K4792" t="s">
        <v>6972</v>
      </c>
    </row>
    <row r="4793" spans="1:11">
      <c r="A4793" t="s">
        <v>11729</v>
      </c>
      <c r="B4793" t="s">
        <v>5415</v>
      </c>
      <c r="C4793" t="s">
        <v>6938</v>
      </c>
      <c r="D4793" s="1">
        <v>45529</v>
      </c>
      <c r="E4793" s="1">
        <v>45531</v>
      </c>
      <c r="F4793" s="1"/>
      <c r="G4793">
        <v>21.14</v>
      </c>
      <c r="H47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793" t="str">
        <f>IFERROR(INDEX(Raw_orders!G:G, MATCH(shipments[[#This Row],[order_id]],Raw_orders!A:A, 0)), "Unknown")</f>
        <v>Central Europe</v>
      </c>
      <c r="J4793" t="str">
        <f>PROPER(shipments[[#This Row],[delivery_status]])</f>
        <v>In Transit</v>
      </c>
      <c r="K4793" t="s">
        <v>6958</v>
      </c>
    </row>
    <row r="4794" spans="1:11">
      <c r="A4794" t="s">
        <v>11730</v>
      </c>
      <c r="B4794" t="s">
        <v>5416</v>
      </c>
      <c r="C4794" t="s">
        <v>6956</v>
      </c>
      <c r="D4794" s="1">
        <v>45130</v>
      </c>
      <c r="E4794" s="1">
        <v>45133</v>
      </c>
      <c r="F4794" s="1">
        <v>45133</v>
      </c>
      <c r="G4794">
        <v>16.899999999999999</v>
      </c>
      <c r="H47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794" t="str">
        <f>IFERROR(INDEX(Raw_orders!G:G, MATCH(shipments[[#This Row],[order_id]],Raw_orders!A:A, 0)), "Unknown")</f>
        <v>Central Europe</v>
      </c>
      <c r="J4794" t="str">
        <f>PROPER(shipments[[#This Row],[delivery_status]])</f>
        <v>Delivered</v>
      </c>
      <c r="K4794" t="s">
        <v>6922</v>
      </c>
    </row>
    <row r="4795" spans="1:11">
      <c r="A4795" t="s">
        <v>11731</v>
      </c>
      <c r="B4795" t="s">
        <v>5417</v>
      </c>
      <c r="C4795" t="s">
        <v>6935</v>
      </c>
      <c r="D4795" s="1">
        <v>45443</v>
      </c>
      <c r="E4795" s="1">
        <v>45453</v>
      </c>
      <c r="F4795" s="1"/>
      <c r="G4795">
        <v>14.51</v>
      </c>
      <c r="H47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795" t="str">
        <f>IFERROR(INDEX(Raw_orders!G:G, MATCH(shipments[[#This Row],[order_id]],Raw_orders!A:A, 0)), "Unknown")</f>
        <v>Central Europe</v>
      </c>
      <c r="J4795" t="str">
        <f>PROPER(shipments[[#This Row],[delivery_status]])</f>
        <v>Cancelled</v>
      </c>
      <c r="K4795" t="s">
        <v>6963</v>
      </c>
    </row>
    <row r="4796" spans="1:11">
      <c r="A4796" t="s">
        <v>11732</v>
      </c>
      <c r="B4796" t="s">
        <v>5418</v>
      </c>
      <c r="C4796" t="s">
        <v>6940</v>
      </c>
      <c r="D4796" s="1">
        <v>45295</v>
      </c>
      <c r="E4796" s="1">
        <v>45305</v>
      </c>
      <c r="F4796" s="1">
        <v>45307</v>
      </c>
      <c r="G4796">
        <v>61.16</v>
      </c>
      <c r="H47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96" t="str">
        <f>IFERROR(INDEX(Raw_orders!G:G, MATCH(shipments[[#This Row],[order_id]],Raw_orders!A:A, 0)), "Unknown")</f>
        <v>Unknown</v>
      </c>
      <c r="J4796" t="str">
        <f>PROPER(shipments[[#This Row],[delivery_status]])</f>
        <v>Delivered</v>
      </c>
      <c r="K4796" t="s">
        <v>6926</v>
      </c>
    </row>
    <row r="4797" spans="1:11">
      <c r="A4797" t="s">
        <v>11733</v>
      </c>
      <c r="B4797" t="s">
        <v>5419</v>
      </c>
      <c r="C4797" t="s">
        <v>6935</v>
      </c>
      <c r="D4797" s="1">
        <v>45620</v>
      </c>
      <c r="E4797" s="1">
        <v>45622</v>
      </c>
      <c r="F4797" s="1">
        <v>45622</v>
      </c>
      <c r="G4797">
        <v>34.92</v>
      </c>
      <c r="H47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797" t="str">
        <f>IFERROR(INDEX(Raw_orders!G:G, MATCH(shipments[[#This Row],[order_id]],Raw_orders!A:A, 0)), "Unknown")</f>
        <v>Central Europe</v>
      </c>
      <c r="J4797" t="str">
        <f>PROPER(shipments[[#This Row],[delivery_status]])</f>
        <v>Delivered</v>
      </c>
      <c r="K4797" t="s">
        <v>6926</v>
      </c>
    </row>
    <row r="4798" spans="1:11">
      <c r="A4798" t="s">
        <v>11734</v>
      </c>
      <c r="B4798" t="s">
        <v>5420</v>
      </c>
      <c r="C4798" t="s">
        <v>6928</v>
      </c>
      <c r="D4798" s="1">
        <v>45442</v>
      </c>
      <c r="E4798" s="1">
        <v>45444</v>
      </c>
      <c r="F4798" s="1"/>
      <c r="G4798">
        <v>27.02</v>
      </c>
      <c r="H47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798" t="str">
        <f>IFERROR(INDEX(Raw_orders!G:G, MATCH(shipments[[#This Row],[order_id]],Raw_orders!A:A, 0)), "Unknown")</f>
        <v>Central Europe</v>
      </c>
      <c r="J4798" t="str">
        <f>PROPER(shipments[[#This Row],[delivery_status]])</f>
        <v>In Transit</v>
      </c>
      <c r="K4798" t="s">
        <v>6958</v>
      </c>
    </row>
    <row r="4799" spans="1:11">
      <c r="A4799" t="s">
        <v>11735</v>
      </c>
      <c r="B4799" t="s">
        <v>5421</v>
      </c>
      <c r="C4799" t="s">
        <v>6928</v>
      </c>
      <c r="D4799" s="1">
        <v>45509</v>
      </c>
      <c r="E4799" s="1">
        <v>45511</v>
      </c>
      <c r="F4799" s="1">
        <v>45519</v>
      </c>
      <c r="G4799">
        <v>61.87</v>
      </c>
      <c r="H47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799" t="str">
        <f>IFERROR(INDEX(Raw_orders!G:G, MATCH(shipments[[#This Row],[order_id]],Raw_orders!A:A, 0)), "Unknown")</f>
        <v>Central Europe</v>
      </c>
      <c r="J4799" t="str">
        <f>PROPER(shipments[[#This Row],[delivery_status]])</f>
        <v>Delivered</v>
      </c>
      <c r="K4799" t="s">
        <v>6926</v>
      </c>
    </row>
    <row r="4800" spans="1:11">
      <c r="A4800" t="s">
        <v>11736</v>
      </c>
      <c r="B4800" t="s">
        <v>5421</v>
      </c>
      <c r="C4800" t="s">
        <v>6928</v>
      </c>
      <c r="D4800" s="1">
        <v>45509</v>
      </c>
      <c r="E4800" s="1">
        <v>45519</v>
      </c>
      <c r="F4800" s="1">
        <v>45519</v>
      </c>
      <c r="G4800">
        <v>30.64</v>
      </c>
      <c r="H48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800" t="str">
        <f>IFERROR(INDEX(Raw_orders!G:G, MATCH(shipments[[#This Row],[order_id]],Raw_orders!A:A, 0)), "Unknown")</f>
        <v>Central Europe</v>
      </c>
      <c r="J4800" t="str">
        <f>PROPER(shipments[[#This Row],[delivery_status]])</f>
        <v>Delivered</v>
      </c>
      <c r="K4800" t="s">
        <v>6929</v>
      </c>
    </row>
    <row r="4801" spans="1:11">
      <c r="A4801" t="s">
        <v>11737</v>
      </c>
      <c r="B4801" t="s">
        <v>5422</v>
      </c>
      <c r="C4801" t="s">
        <v>6928</v>
      </c>
      <c r="D4801" s="1">
        <v>45461</v>
      </c>
      <c r="E4801" s="1">
        <v>45468</v>
      </c>
      <c r="F4801" s="1">
        <v>45469</v>
      </c>
      <c r="G4801">
        <v>31.36</v>
      </c>
      <c r="H48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01" t="str">
        <f>IFERROR(INDEX(Raw_orders!G:G, MATCH(shipments[[#This Row],[order_id]],Raw_orders!A:A, 0)), "Unknown")</f>
        <v>Baltics</v>
      </c>
      <c r="J4801" t="str">
        <f>PROPER(shipments[[#This Row],[delivery_status]])</f>
        <v>Delivered</v>
      </c>
      <c r="K4801" t="s">
        <v>6922</v>
      </c>
    </row>
    <row r="4802" spans="1:11">
      <c r="A4802" t="s">
        <v>11738</v>
      </c>
      <c r="B4802" t="s">
        <v>5423</v>
      </c>
      <c r="C4802" t="s">
        <v>6940</v>
      </c>
      <c r="D4802" s="1">
        <v>45265</v>
      </c>
      <c r="E4802" s="1">
        <v>45275</v>
      </c>
      <c r="F4802" s="1">
        <v>45280</v>
      </c>
      <c r="G4802">
        <v>22.22</v>
      </c>
      <c r="H48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02" t="str">
        <f>IFERROR(INDEX(Raw_orders!G:G, MATCH(shipments[[#This Row],[order_id]],Raw_orders!A:A, 0)), "Unknown")</f>
        <v>Baltics</v>
      </c>
      <c r="J4802" t="str">
        <f>PROPER(shipments[[#This Row],[delivery_status]])</f>
        <v>Delivered</v>
      </c>
      <c r="K4802" t="s">
        <v>6926</v>
      </c>
    </row>
    <row r="4803" spans="1:11">
      <c r="A4803" t="s">
        <v>11739</v>
      </c>
      <c r="B4803" t="s">
        <v>5424</v>
      </c>
      <c r="C4803" t="s">
        <v>6928</v>
      </c>
      <c r="D4803" s="1">
        <v>45260</v>
      </c>
      <c r="E4803" s="1">
        <v>45265</v>
      </c>
      <c r="F4803" s="1">
        <v>45266</v>
      </c>
      <c r="G4803">
        <v>32.01</v>
      </c>
      <c r="H48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03" t="str">
        <f>IFERROR(INDEX(Raw_orders!G:G, MATCH(shipments[[#This Row],[order_id]],Raw_orders!A:A, 0)), "Unknown")</f>
        <v>Central Europe</v>
      </c>
      <c r="J4803" t="str">
        <f>PROPER(shipments[[#This Row],[delivery_status]])</f>
        <v>Delivered</v>
      </c>
      <c r="K4803" t="s">
        <v>6926</v>
      </c>
    </row>
    <row r="4804" spans="1:11">
      <c r="A4804" t="s">
        <v>11740</v>
      </c>
      <c r="B4804" t="s">
        <v>5425</v>
      </c>
      <c r="C4804" t="s">
        <v>6956</v>
      </c>
      <c r="D4804" s="1">
        <v>45156</v>
      </c>
      <c r="E4804" s="1">
        <v>45161</v>
      </c>
      <c r="F4804" s="1"/>
      <c r="G4804">
        <v>60.75</v>
      </c>
      <c r="H48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804" t="str">
        <f>IFERROR(INDEX(Raw_orders!G:G, MATCH(shipments[[#This Row],[order_id]],Raw_orders!A:A, 0)), "Unknown")</f>
        <v>Baltics</v>
      </c>
      <c r="J4804" t="str">
        <f>PROPER(shipments[[#This Row],[delivery_status]])</f>
        <v>In Transit</v>
      </c>
      <c r="K4804" t="s">
        <v>6946</v>
      </c>
    </row>
    <row r="4805" spans="1:11">
      <c r="A4805" t="s">
        <v>11741</v>
      </c>
      <c r="B4805" t="s">
        <v>5426</v>
      </c>
      <c r="C4805" t="s">
        <v>6921</v>
      </c>
      <c r="D4805" s="1">
        <v>45028</v>
      </c>
      <c r="E4805" s="1">
        <v>45031</v>
      </c>
      <c r="F4805" s="1">
        <v>45032</v>
      </c>
      <c r="G4805">
        <v>52.17</v>
      </c>
      <c r="H48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05" t="str">
        <f>IFERROR(INDEX(Raw_orders!G:G, MATCH(shipments[[#This Row],[order_id]],Raw_orders!A:A, 0)), "Unknown")</f>
        <v>Baltics</v>
      </c>
      <c r="J4805" t="str">
        <f>PROPER(shipments[[#This Row],[delivery_status]])</f>
        <v>Delivered</v>
      </c>
      <c r="K4805" t="s">
        <v>6922</v>
      </c>
    </row>
    <row r="4806" spans="1:11">
      <c r="A4806" t="s">
        <v>11742</v>
      </c>
      <c r="B4806" t="s">
        <v>5427</v>
      </c>
      <c r="C4806" t="s">
        <v>6921</v>
      </c>
      <c r="D4806" s="1">
        <v>45127</v>
      </c>
      <c r="E4806" s="1">
        <v>45130</v>
      </c>
      <c r="F4806" s="1">
        <v>45136</v>
      </c>
      <c r="G4806">
        <v>22.64</v>
      </c>
      <c r="H48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06" t="str">
        <f>IFERROR(INDEX(Raw_orders!G:G, MATCH(shipments[[#This Row],[order_id]],Raw_orders!A:A, 0)), "Unknown")</f>
        <v>Baltics</v>
      </c>
      <c r="J4806" t="str">
        <f>PROPER(shipments[[#This Row],[delivery_status]])</f>
        <v>Delivered</v>
      </c>
      <c r="K4806" t="s">
        <v>6922</v>
      </c>
    </row>
    <row r="4807" spans="1:11">
      <c r="A4807" t="s">
        <v>11743</v>
      </c>
      <c r="B4807" t="s">
        <v>5428</v>
      </c>
      <c r="C4807" t="s">
        <v>6935</v>
      </c>
      <c r="D4807" s="1">
        <v>45240</v>
      </c>
      <c r="E4807" s="1">
        <v>45247</v>
      </c>
      <c r="F4807" s="1">
        <v>45248</v>
      </c>
      <c r="G4807">
        <v>34.61</v>
      </c>
      <c r="H48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07" t="str">
        <f>IFERROR(INDEX(Raw_orders!G:G, MATCH(shipments[[#This Row],[order_id]],Raw_orders!A:A, 0)), "Unknown")</f>
        <v>Central Europe</v>
      </c>
      <c r="J4807" t="str">
        <f>PROPER(shipments[[#This Row],[delivery_status]])</f>
        <v>Delivered</v>
      </c>
      <c r="K4807" t="s">
        <v>6926</v>
      </c>
    </row>
    <row r="4808" spans="1:11">
      <c r="A4808" t="s">
        <v>11744</v>
      </c>
      <c r="B4808" t="s">
        <v>5429</v>
      </c>
      <c r="C4808" t="s">
        <v>6921</v>
      </c>
      <c r="D4808" s="1">
        <v>45197</v>
      </c>
      <c r="E4808" s="1">
        <v>45199</v>
      </c>
      <c r="F4808" s="1">
        <v>45207</v>
      </c>
      <c r="G4808">
        <v>58.7</v>
      </c>
      <c r="H48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08" t="str">
        <f>IFERROR(INDEX(Raw_orders!G:G, MATCH(shipments[[#This Row],[order_id]],Raw_orders!A:A, 0)), "Unknown")</f>
        <v>Central Europe</v>
      </c>
      <c r="J4808" t="str">
        <f>PROPER(shipments[[#This Row],[delivery_status]])</f>
        <v>Delivered</v>
      </c>
      <c r="K4808" t="s">
        <v>6926</v>
      </c>
    </row>
    <row r="4809" spans="1:11">
      <c r="A4809" t="s">
        <v>11745</v>
      </c>
      <c r="B4809" t="s">
        <v>5430</v>
      </c>
      <c r="C4809" t="s">
        <v>6938</v>
      </c>
      <c r="D4809" s="1">
        <v>45018</v>
      </c>
      <c r="E4809" s="1">
        <v>45021</v>
      </c>
      <c r="F4809" s="1">
        <v>45023</v>
      </c>
      <c r="G4809">
        <v>15.76</v>
      </c>
      <c r="H48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09" t="str">
        <f>IFERROR(INDEX(Raw_orders!G:G, MATCH(shipments[[#This Row],[order_id]],Raw_orders!A:A, 0)), "Unknown")</f>
        <v>Central Europe</v>
      </c>
      <c r="J4809" t="str">
        <f>PROPER(shipments[[#This Row],[delivery_status]])</f>
        <v>Delivered</v>
      </c>
      <c r="K4809" t="s">
        <v>6929</v>
      </c>
    </row>
    <row r="4810" spans="1:11">
      <c r="A4810" t="s">
        <v>11746</v>
      </c>
      <c r="B4810" t="s">
        <v>5431</v>
      </c>
      <c r="C4810" t="s">
        <v>6931</v>
      </c>
      <c r="D4810" s="1">
        <v>45090</v>
      </c>
      <c r="E4810" s="1">
        <v>45097</v>
      </c>
      <c r="F4810" s="1">
        <v>45106</v>
      </c>
      <c r="G4810">
        <v>35.03</v>
      </c>
      <c r="H48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10" t="str">
        <f>IFERROR(INDEX(Raw_orders!G:G, MATCH(shipments[[#This Row],[order_id]],Raw_orders!A:A, 0)), "Unknown")</f>
        <v>Baltics</v>
      </c>
      <c r="J4810" t="str">
        <f>PROPER(shipments[[#This Row],[delivery_status]])</f>
        <v>Delivered</v>
      </c>
      <c r="K4810" t="s">
        <v>6926</v>
      </c>
    </row>
    <row r="4811" spans="1:11">
      <c r="A4811" t="s">
        <v>11747</v>
      </c>
      <c r="B4811" t="s">
        <v>5432</v>
      </c>
      <c r="C4811" t="s">
        <v>6940</v>
      </c>
      <c r="D4811" s="1">
        <v>45295</v>
      </c>
      <c r="E4811" s="1">
        <v>45302</v>
      </c>
      <c r="F4811" s="1">
        <v>45304</v>
      </c>
      <c r="G4811">
        <v>13.03</v>
      </c>
      <c r="H48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11" t="str">
        <f>IFERROR(INDEX(Raw_orders!G:G, MATCH(shipments[[#This Row],[order_id]],Raw_orders!A:A, 0)), "Unknown")</f>
        <v>Central Europe</v>
      </c>
      <c r="J4811" t="str">
        <f>PROPER(shipments[[#This Row],[delivery_status]])</f>
        <v>Delivered</v>
      </c>
      <c r="K4811" t="s">
        <v>6929</v>
      </c>
    </row>
    <row r="4812" spans="1:11">
      <c r="A4812" t="s">
        <v>11748</v>
      </c>
      <c r="B4812" t="s">
        <v>5433</v>
      </c>
      <c r="C4812" t="s">
        <v>6925</v>
      </c>
      <c r="D4812" s="1">
        <v>45081</v>
      </c>
      <c r="E4812" s="1">
        <v>45083</v>
      </c>
      <c r="F4812" s="1">
        <v>45083</v>
      </c>
      <c r="G4812">
        <v>49.45</v>
      </c>
      <c r="H48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812" t="str">
        <f>IFERROR(INDEX(Raw_orders!G:G, MATCH(shipments[[#This Row],[order_id]],Raw_orders!A:A, 0)), "Unknown")</f>
        <v>Baltics</v>
      </c>
      <c r="J4812" t="str">
        <f>PROPER(shipments[[#This Row],[delivery_status]])</f>
        <v>Delivered</v>
      </c>
      <c r="K4812" t="s">
        <v>6922</v>
      </c>
    </row>
    <row r="4813" spans="1:11">
      <c r="A4813" t="s">
        <v>11749</v>
      </c>
      <c r="B4813" t="s">
        <v>5434</v>
      </c>
      <c r="C4813" t="s">
        <v>6940</v>
      </c>
      <c r="D4813" s="1">
        <v>45566</v>
      </c>
      <c r="E4813" s="1">
        <v>45573</v>
      </c>
      <c r="F4813" s="1">
        <v>45578</v>
      </c>
      <c r="H48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13" t="str">
        <f>IFERROR(INDEX(Raw_orders!G:G, MATCH(shipments[[#This Row],[order_id]],Raw_orders!A:A, 0)), "Unknown")</f>
        <v>Baltics</v>
      </c>
      <c r="J4813" t="str">
        <f>PROPER(shipments[[#This Row],[delivery_status]])</f>
        <v>Delivered</v>
      </c>
      <c r="K4813" t="s">
        <v>6926</v>
      </c>
    </row>
    <row r="4814" spans="1:11">
      <c r="A4814" t="s">
        <v>11750</v>
      </c>
      <c r="B4814" t="s">
        <v>5435</v>
      </c>
      <c r="C4814" t="s">
        <v>6938</v>
      </c>
      <c r="D4814" s="1">
        <v>45294</v>
      </c>
      <c r="E4814" s="1">
        <v>45304</v>
      </c>
      <c r="F4814" s="1">
        <v>45309</v>
      </c>
      <c r="G4814">
        <v>54.21</v>
      </c>
      <c r="H48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14" t="str">
        <f>IFERROR(INDEX(Raw_orders!G:G, MATCH(shipments[[#This Row],[order_id]],Raw_orders!A:A, 0)), "Unknown")</f>
        <v>Nordics</v>
      </c>
      <c r="J4814" t="str">
        <f>PROPER(shipments[[#This Row],[delivery_status]])</f>
        <v>Delivered</v>
      </c>
      <c r="K4814" t="s">
        <v>6929</v>
      </c>
    </row>
    <row r="4815" spans="1:11">
      <c r="A4815" t="s">
        <v>11751</v>
      </c>
      <c r="B4815" t="s">
        <v>5436</v>
      </c>
      <c r="C4815" t="s">
        <v>6931</v>
      </c>
      <c r="D4815" s="1">
        <v>44953</v>
      </c>
      <c r="E4815" s="1">
        <v>44958</v>
      </c>
      <c r="F4815" s="1">
        <v>44961</v>
      </c>
      <c r="G4815">
        <v>15.93</v>
      </c>
      <c r="H48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15" t="str">
        <f>IFERROR(INDEX(Raw_orders!G:G, MATCH(shipments[[#This Row],[order_id]],Raw_orders!A:A, 0)), "Unknown")</f>
        <v>Central Europe</v>
      </c>
      <c r="J4815" t="str">
        <f>PROPER(shipments[[#This Row],[delivery_status]])</f>
        <v>Delivered</v>
      </c>
      <c r="K4815" t="s">
        <v>6922</v>
      </c>
    </row>
    <row r="4816" spans="1:11">
      <c r="A4816" t="s">
        <v>11752</v>
      </c>
      <c r="B4816" t="s">
        <v>5437</v>
      </c>
      <c r="C4816" t="s">
        <v>6938</v>
      </c>
      <c r="D4816" s="1">
        <v>45398</v>
      </c>
      <c r="E4816" s="1">
        <v>45400</v>
      </c>
      <c r="F4816" s="1">
        <v>45400</v>
      </c>
      <c r="G4816">
        <v>13.04</v>
      </c>
      <c r="H48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816" t="str">
        <f>IFERROR(INDEX(Raw_orders!G:G, MATCH(shipments[[#This Row],[order_id]],Raw_orders!A:A, 0)), "Unknown")</f>
        <v>Baltics</v>
      </c>
      <c r="J4816" t="str">
        <f>PROPER(shipments[[#This Row],[delivery_status]])</f>
        <v>Delivered</v>
      </c>
      <c r="K4816" t="s">
        <v>6922</v>
      </c>
    </row>
    <row r="4817" spans="1:11">
      <c r="A4817" t="s">
        <v>11753</v>
      </c>
      <c r="B4817" t="s">
        <v>5438</v>
      </c>
      <c r="C4817" t="s">
        <v>6949</v>
      </c>
      <c r="D4817" s="1">
        <v>45529</v>
      </c>
      <c r="E4817" s="1">
        <v>45532</v>
      </c>
      <c r="F4817" s="1">
        <v>45537</v>
      </c>
      <c r="G4817">
        <v>55.24</v>
      </c>
      <c r="H48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17" t="str">
        <f>IFERROR(INDEX(Raw_orders!G:G, MATCH(shipments[[#This Row],[order_id]],Raw_orders!A:A, 0)), "Unknown")</f>
        <v>Nordics</v>
      </c>
      <c r="J4817" t="str">
        <f>PROPER(shipments[[#This Row],[delivery_status]])</f>
        <v>Delivered</v>
      </c>
      <c r="K4817" t="s">
        <v>6929</v>
      </c>
    </row>
    <row r="4818" spans="1:11">
      <c r="A4818" t="s">
        <v>11754</v>
      </c>
      <c r="B4818" t="s">
        <v>5439</v>
      </c>
      <c r="C4818" t="s">
        <v>6940</v>
      </c>
      <c r="D4818" s="1">
        <v>45570</v>
      </c>
      <c r="E4818" s="1">
        <v>45575</v>
      </c>
      <c r="F4818" s="1">
        <v>45577</v>
      </c>
      <c r="G4818">
        <v>18.68</v>
      </c>
      <c r="H48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18" t="str">
        <f>IFERROR(INDEX(Raw_orders!G:G, MATCH(shipments[[#This Row],[order_id]],Raw_orders!A:A, 0)), "Unknown")</f>
        <v>Baltics</v>
      </c>
      <c r="J4818" t="str">
        <f>PROPER(shipments[[#This Row],[delivery_status]])</f>
        <v>Delivered</v>
      </c>
      <c r="K4818" t="s">
        <v>6929</v>
      </c>
    </row>
    <row r="4819" spans="1:11">
      <c r="A4819" t="s">
        <v>11755</v>
      </c>
      <c r="B4819" t="s">
        <v>5440</v>
      </c>
      <c r="C4819" t="s">
        <v>6928</v>
      </c>
      <c r="D4819" s="1">
        <v>45255</v>
      </c>
      <c r="E4819" s="1">
        <v>45262</v>
      </c>
      <c r="F4819" s="1">
        <v>45265</v>
      </c>
      <c r="G4819">
        <v>5.91</v>
      </c>
      <c r="H48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19" t="str">
        <f>IFERROR(INDEX(Raw_orders!G:G, MATCH(shipments[[#This Row],[order_id]],Raw_orders!A:A, 0)), "Unknown")</f>
        <v>Nordics</v>
      </c>
      <c r="J4819" t="str">
        <f>PROPER(shipments[[#This Row],[delivery_status]])</f>
        <v>Delivered</v>
      </c>
      <c r="K4819" t="s">
        <v>6926</v>
      </c>
    </row>
    <row r="4820" spans="1:11">
      <c r="A4820" t="s">
        <v>11756</v>
      </c>
      <c r="B4820" t="s">
        <v>5441</v>
      </c>
      <c r="C4820" t="s">
        <v>6956</v>
      </c>
      <c r="D4820" s="1">
        <v>45526</v>
      </c>
      <c r="E4820" s="1">
        <v>45531</v>
      </c>
      <c r="F4820" s="1">
        <v>45531</v>
      </c>
      <c r="G4820">
        <v>19.28</v>
      </c>
      <c r="H48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820" t="str">
        <f>IFERROR(INDEX(Raw_orders!G:G, MATCH(shipments[[#This Row],[order_id]],Raw_orders!A:A, 0)), "Unknown")</f>
        <v>Nordics</v>
      </c>
      <c r="J4820" t="str">
        <f>PROPER(shipments[[#This Row],[delivery_status]])</f>
        <v>Delivered</v>
      </c>
      <c r="K4820" t="s">
        <v>6929</v>
      </c>
    </row>
    <row r="4821" spans="1:11">
      <c r="A4821" t="s">
        <v>11757</v>
      </c>
      <c r="B4821" t="s">
        <v>5441</v>
      </c>
      <c r="C4821" t="s">
        <v>6928</v>
      </c>
      <c r="D4821" s="1">
        <v>45523</v>
      </c>
      <c r="E4821" s="1">
        <v>45525</v>
      </c>
      <c r="F4821" s="1"/>
      <c r="G4821">
        <v>35.47</v>
      </c>
      <c r="H48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821" t="str">
        <f>IFERROR(INDEX(Raw_orders!G:G, MATCH(shipments[[#This Row],[order_id]],Raw_orders!A:A, 0)), "Unknown")</f>
        <v>Nordics</v>
      </c>
      <c r="J4821" t="str">
        <f>PROPER(shipments[[#This Row],[delivery_status]])</f>
        <v>In Transit</v>
      </c>
      <c r="K4821" t="s">
        <v>6977</v>
      </c>
    </row>
    <row r="4822" spans="1:11">
      <c r="A4822" t="s">
        <v>11758</v>
      </c>
      <c r="B4822" t="s">
        <v>5442</v>
      </c>
      <c r="C4822" t="s">
        <v>6921</v>
      </c>
      <c r="D4822" s="1">
        <v>45332</v>
      </c>
      <c r="E4822" s="1">
        <v>45335</v>
      </c>
      <c r="F4822" s="1">
        <v>45334</v>
      </c>
      <c r="G4822">
        <v>25.02</v>
      </c>
      <c r="H48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822" t="str">
        <f>IFERROR(INDEX(Raw_orders!G:G, MATCH(shipments[[#This Row],[order_id]],Raw_orders!A:A, 0)), "Unknown")</f>
        <v>Central Europe</v>
      </c>
      <c r="J4822" t="str">
        <f>PROPER(shipments[[#This Row],[delivery_status]])</f>
        <v>Delivered</v>
      </c>
      <c r="K4822" t="s">
        <v>6929</v>
      </c>
    </row>
    <row r="4823" spans="1:11">
      <c r="A4823" t="s">
        <v>11759</v>
      </c>
      <c r="B4823" t="s">
        <v>5443</v>
      </c>
      <c r="C4823" t="s">
        <v>6928</v>
      </c>
      <c r="D4823" s="1">
        <v>44970</v>
      </c>
      <c r="E4823" s="1">
        <v>44980</v>
      </c>
      <c r="F4823" s="1">
        <v>44981</v>
      </c>
      <c r="G4823">
        <v>55.27</v>
      </c>
      <c r="H48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23" t="str">
        <f>IFERROR(INDEX(Raw_orders!G:G, MATCH(shipments[[#This Row],[order_id]],Raw_orders!A:A, 0)), "Unknown")</f>
        <v>Central Europe</v>
      </c>
      <c r="J4823" t="str">
        <f>PROPER(shipments[[#This Row],[delivery_status]])</f>
        <v>Delivered</v>
      </c>
      <c r="K4823" t="s">
        <v>6922</v>
      </c>
    </row>
    <row r="4824" spans="1:11">
      <c r="A4824" t="s">
        <v>11760</v>
      </c>
      <c r="B4824" t="s">
        <v>5444</v>
      </c>
      <c r="C4824" t="s">
        <v>6938</v>
      </c>
      <c r="D4824" s="1">
        <v>45006</v>
      </c>
      <c r="E4824" s="1">
        <v>45013</v>
      </c>
      <c r="F4824" s="1"/>
      <c r="G4824">
        <v>34.909999999999997</v>
      </c>
      <c r="H48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824" t="str">
        <f>IFERROR(INDEX(Raw_orders!G:G, MATCH(shipments[[#This Row],[order_id]],Raw_orders!A:A, 0)), "Unknown")</f>
        <v>Central Europe</v>
      </c>
      <c r="J4824" t="str">
        <f>PROPER(shipments[[#This Row],[delivery_status]])</f>
        <v>Cancelled</v>
      </c>
      <c r="K4824" t="s">
        <v>6972</v>
      </c>
    </row>
    <row r="4825" spans="1:11">
      <c r="A4825" t="s">
        <v>11761</v>
      </c>
      <c r="B4825" t="s">
        <v>5445</v>
      </c>
      <c r="C4825" t="s">
        <v>6931</v>
      </c>
      <c r="D4825" s="1">
        <v>45492</v>
      </c>
      <c r="E4825" s="1">
        <v>45495</v>
      </c>
      <c r="F4825" s="1"/>
      <c r="G4825">
        <v>49.24</v>
      </c>
      <c r="H48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825" t="str">
        <f>IFERROR(INDEX(Raw_orders!G:G, MATCH(shipments[[#This Row],[order_id]],Raw_orders!A:A, 0)), "Unknown")</f>
        <v>Baltics</v>
      </c>
      <c r="J4825" t="str">
        <f>PROPER(shipments[[#This Row],[delivery_status]])</f>
        <v>In Transit</v>
      </c>
      <c r="K4825" t="s">
        <v>6958</v>
      </c>
    </row>
    <row r="4826" spans="1:11">
      <c r="A4826" t="s">
        <v>11762</v>
      </c>
      <c r="B4826" t="s">
        <v>5446</v>
      </c>
      <c r="C4826" t="s">
        <v>6928</v>
      </c>
      <c r="D4826" s="1">
        <v>45013</v>
      </c>
      <c r="E4826" s="1">
        <v>45023</v>
      </c>
      <c r="F4826" s="1">
        <v>45034</v>
      </c>
      <c r="G4826">
        <v>24.01</v>
      </c>
      <c r="H48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26" t="str">
        <f>IFERROR(INDEX(Raw_orders!G:G, MATCH(shipments[[#This Row],[order_id]],Raw_orders!A:A, 0)), "Unknown")</f>
        <v>Central Europe</v>
      </c>
      <c r="J4826" t="str">
        <f>PROPER(shipments[[#This Row],[delivery_status]])</f>
        <v>Delivered</v>
      </c>
      <c r="K4826" t="s">
        <v>6922</v>
      </c>
    </row>
    <row r="4827" spans="1:11">
      <c r="A4827" t="s">
        <v>11763</v>
      </c>
      <c r="B4827" t="s">
        <v>5447</v>
      </c>
      <c r="C4827" t="s">
        <v>6956</v>
      </c>
      <c r="D4827" s="1">
        <v>45543</v>
      </c>
      <c r="E4827" s="1">
        <v>45546</v>
      </c>
      <c r="F4827" s="1">
        <v>45549</v>
      </c>
      <c r="G4827">
        <v>64.260000000000005</v>
      </c>
      <c r="H48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27" t="str">
        <f>IFERROR(INDEX(Raw_orders!G:G, MATCH(shipments[[#This Row],[order_id]],Raw_orders!A:A, 0)), "Unknown")</f>
        <v>Central Europe</v>
      </c>
      <c r="J4827" t="str">
        <f>PROPER(shipments[[#This Row],[delivery_status]])</f>
        <v>Delivered</v>
      </c>
      <c r="K4827" t="s">
        <v>6926</v>
      </c>
    </row>
    <row r="4828" spans="1:11">
      <c r="A4828" t="s">
        <v>11764</v>
      </c>
      <c r="B4828" t="s">
        <v>5448</v>
      </c>
      <c r="C4828" t="s">
        <v>6956</v>
      </c>
      <c r="D4828" s="1">
        <v>45465</v>
      </c>
      <c r="E4828" s="1">
        <v>45468</v>
      </c>
      <c r="F4828" s="1">
        <v>45467</v>
      </c>
      <c r="G4828">
        <v>7.88</v>
      </c>
      <c r="H48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828" t="str">
        <f>IFERROR(INDEX(Raw_orders!G:G, MATCH(shipments[[#This Row],[order_id]],Raw_orders!A:A, 0)), "Unknown")</f>
        <v>Nordics</v>
      </c>
      <c r="J4828" t="str">
        <f>PROPER(shipments[[#This Row],[delivery_status]])</f>
        <v>Delivered</v>
      </c>
      <c r="K4828" t="s">
        <v>6922</v>
      </c>
    </row>
    <row r="4829" spans="1:11">
      <c r="A4829" t="s">
        <v>11765</v>
      </c>
      <c r="B4829" t="s">
        <v>5449</v>
      </c>
      <c r="C4829" t="s">
        <v>6940</v>
      </c>
      <c r="D4829" s="1">
        <v>44996</v>
      </c>
      <c r="E4829" s="1">
        <v>44998</v>
      </c>
      <c r="F4829" s="1">
        <v>45006</v>
      </c>
      <c r="G4829">
        <v>49.2</v>
      </c>
      <c r="H48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29" t="str">
        <f>IFERROR(INDEX(Raw_orders!G:G, MATCH(shipments[[#This Row],[order_id]],Raw_orders!A:A, 0)), "Unknown")</f>
        <v>Baltics</v>
      </c>
      <c r="J4829" t="str">
        <f>PROPER(shipments[[#This Row],[delivery_status]])</f>
        <v>Delivered</v>
      </c>
      <c r="K4829" t="s">
        <v>6926</v>
      </c>
    </row>
    <row r="4830" spans="1:11">
      <c r="A4830" t="s">
        <v>11766</v>
      </c>
      <c r="B4830" t="s">
        <v>5450</v>
      </c>
      <c r="C4830" t="s">
        <v>6921</v>
      </c>
      <c r="D4830" s="1">
        <v>45501</v>
      </c>
      <c r="E4830" s="1">
        <v>45503</v>
      </c>
      <c r="F4830" s="1">
        <v>45504</v>
      </c>
      <c r="G4830">
        <v>35.99</v>
      </c>
      <c r="H48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30" t="str">
        <f>IFERROR(INDEX(Raw_orders!G:G, MATCH(shipments[[#This Row],[order_id]],Raw_orders!A:A, 0)), "Unknown")</f>
        <v>Baltics</v>
      </c>
      <c r="J4830" t="str">
        <f>PROPER(shipments[[#This Row],[delivery_status]])</f>
        <v>Delivered</v>
      </c>
      <c r="K4830" t="s">
        <v>6929</v>
      </c>
    </row>
    <row r="4831" spans="1:11">
      <c r="A4831" t="s">
        <v>11767</v>
      </c>
      <c r="B4831" t="s">
        <v>5451</v>
      </c>
      <c r="C4831" t="s">
        <v>6925</v>
      </c>
      <c r="D4831" s="1">
        <v>45058</v>
      </c>
      <c r="E4831" s="1">
        <v>45065</v>
      </c>
      <c r="F4831" s="1">
        <v>45065</v>
      </c>
      <c r="G4831">
        <v>42</v>
      </c>
      <c r="H48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831" t="str">
        <f>IFERROR(INDEX(Raw_orders!G:G, MATCH(shipments[[#This Row],[order_id]],Raw_orders!A:A, 0)), "Unknown")</f>
        <v>Nordics</v>
      </c>
      <c r="J4831" t="str">
        <f>PROPER(shipments[[#This Row],[delivery_status]])</f>
        <v>Delivered</v>
      </c>
      <c r="K4831" t="s">
        <v>6926</v>
      </c>
    </row>
    <row r="4832" spans="1:11">
      <c r="A4832" t="s">
        <v>11768</v>
      </c>
      <c r="B4832" t="s">
        <v>5452</v>
      </c>
      <c r="C4832" t="s">
        <v>6925</v>
      </c>
      <c r="D4832" s="1">
        <v>45526</v>
      </c>
      <c r="E4832" s="1">
        <v>45531</v>
      </c>
      <c r="F4832" s="1">
        <v>45531</v>
      </c>
      <c r="G4832">
        <v>55.15</v>
      </c>
      <c r="H48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832" t="str">
        <f>IFERROR(INDEX(Raw_orders!G:G, MATCH(shipments[[#This Row],[order_id]],Raw_orders!A:A, 0)), "Unknown")</f>
        <v>Nordics</v>
      </c>
      <c r="J4832" t="str">
        <f>PROPER(shipments[[#This Row],[delivery_status]])</f>
        <v>Delivered</v>
      </c>
      <c r="K4832" t="s">
        <v>6926</v>
      </c>
    </row>
    <row r="4833" spans="1:11">
      <c r="A4833" t="s">
        <v>11769</v>
      </c>
      <c r="B4833" t="s">
        <v>5453</v>
      </c>
      <c r="C4833" t="s">
        <v>6938</v>
      </c>
      <c r="D4833" s="1">
        <v>45350</v>
      </c>
      <c r="E4833" s="1">
        <v>45352</v>
      </c>
      <c r="F4833" s="1">
        <v>45352</v>
      </c>
      <c r="G4833">
        <v>5.45</v>
      </c>
      <c r="H48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833" t="str">
        <f>IFERROR(INDEX(Raw_orders!G:G, MATCH(shipments[[#This Row],[order_id]],Raw_orders!A:A, 0)), "Unknown")</f>
        <v>Nordics</v>
      </c>
      <c r="J4833" t="str">
        <f>PROPER(shipments[[#This Row],[delivery_status]])</f>
        <v>Delivered</v>
      </c>
      <c r="K4833" t="s">
        <v>6926</v>
      </c>
    </row>
    <row r="4834" spans="1:11">
      <c r="A4834" t="s">
        <v>11770</v>
      </c>
      <c r="B4834" t="s">
        <v>5454</v>
      </c>
      <c r="C4834" t="s">
        <v>6925</v>
      </c>
      <c r="D4834" s="1">
        <v>45385</v>
      </c>
      <c r="E4834" s="1">
        <v>45392</v>
      </c>
      <c r="F4834" s="1">
        <v>45394</v>
      </c>
      <c r="G4834">
        <v>48.9</v>
      </c>
      <c r="H48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34" t="str">
        <f>IFERROR(INDEX(Raw_orders!G:G, MATCH(shipments[[#This Row],[order_id]],Raw_orders!A:A, 0)), "Unknown")</f>
        <v>Baltics</v>
      </c>
      <c r="J4834" t="str">
        <f>PROPER(shipments[[#This Row],[delivery_status]])</f>
        <v>Delivered</v>
      </c>
      <c r="K4834" t="s">
        <v>6929</v>
      </c>
    </row>
    <row r="4835" spans="1:11">
      <c r="A4835" t="s">
        <v>11771</v>
      </c>
      <c r="B4835" t="s">
        <v>5455</v>
      </c>
      <c r="C4835" t="s">
        <v>6931</v>
      </c>
      <c r="D4835" s="1">
        <v>45041</v>
      </c>
      <c r="E4835" s="1">
        <v>45044</v>
      </c>
      <c r="F4835" s="1"/>
      <c r="G4835">
        <v>26.54</v>
      </c>
      <c r="H48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835" t="str">
        <f>IFERROR(INDEX(Raw_orders!G:G, MATCH(shipments[[#This Row],[order_id]],Raw_orders!A:A, 0)), "Unknown")</f>
        <v>Nordics</v>
      </c>
      <c r="J4835" t="str">
        <f>PROPER(shipments[[#This Row],[delivery_status]])</f>
        <v>In Transit</v>
      </c>
      <c r="K4835" t="s">
        <v>6977</v>
      </c>
    </row>
    <row r="4836" spans="1:11">
      <c r="A4836" t="s">
        <v>11772</v>
      </c>
      <c r="B4836" t="s">
        <v>5456</v>
      </c>
      <c r="C4836" t="s">
        <v>6921</v>
      </c>
      <c r="D4836" s="1">
        <v>44961</v>
      </c>
      <c r="E4836" s="1">
        <v>44963</v>
      </c>
      <c r="F4836" s="1">
        <v>44963</v>
      </c>
      <c r="G4836">
        <v>61.65</v>
      </c>
      <c r="H48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836" t="str">
        <f>IFERROR(INDEX(Raw_orders!G:G, MATCH(shipments[[#This Row],[order_id]],Raw_orders!A:A, 0)), "Unknown")</f>
        <v>Nordics</v>
      </c>
      <c r="J4836" t="str">
        <f>PROPER(shipments[[#This Row],[delivery_status]])</f>
        <v>Delivered</v>
      </c>
      <c r="K4836" t="s">
        <v>6926</v>
      </c>
    </row>
    <row r="4837" spans="1:11">
      <c r="A4837" t="s">
        <v>11773</v>
      </c>
      <c r="B4837" t="s">
        <v>5457</v>
      </c>
      <c r="C4837" t="s">
        <v>6938</v>
      </c>
      <c r="D4837" s="1">
        <v>45155</v>
      </c>
      <c r="E4837" s="1">
        <v>45158</v>
      </c>
      <c r="F4837" s="1">
        <v>45159</v>
      </c>
      <c r="G4837">
        <v>23.5</v>
      </c>
      <c r="H48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37" t="str">
        <f>IFERROR(INDEX(Raw_orders!G:G, MATCH(shipments[[#This Row],[order_id]],Raw_orders!A:A, 0)), "Unknown")</f>
        <v>Central Europe</v>
      </c>
      <c r="J4837" t="str">
        <f>PROPER(shipments[[#This Row],[delivery_status]])</f>
        <v>Delivered</v>
      </c>
      <c r="K4837" t="s">
        <v>6926</v>
      </c>
    </row>
    <row r="4838" spans="1:11">
      <c r="A4838" t="s">
        <v>11774</v>
      </c>
      <c r="B4838" t="s">
        <v>5458</v>
      </c>
      <c r="C4838" t="s">
        <v>6940</v>
      </c>
      <c r="D4838" s="1">
        <v>45266</v>
      </c>
      <c r="E4838" s="1">
        <v>45268</v>
      </c>
      <c r="F4838" s="1">
        <v>45268</v>
      </c>
      <c r="G4838">
        <v>59.34</v>
      </c>
      <c r="H48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838" t="str">
        <f>IFERROR(INDEX(Raw_orders!G:G, MATCH(shipments[[#This Row],[order_id]],Raw_orders!A:A, 0)), "Unknown")</f>
        <v>Nordics</v>
      </c>
      <c r="J4838" t="str">
        <f>PROPER(shipments[[#This Row],[delivery_status]])</f>
        <v>Delivered</v>
      </c>
      <c r="K4838" t="s">
        <v>6926</v>
      </c>
    </row>
    <row r="4839" spans="1:11">
      <c r="A4839" t="s">
        <v>11775</v>
      </c>
      <c r="B4839" t="s">
        <v>5459</v>
      </c>
      <c r="C4839" t="s">
        <v>6925</v>
      </c>
      <c r="D4839" s="1">
        <v>45103</v>
      </c>
      <c r="E4839" s="1">
        <v>45110</v>
      </c>
      <c r="F4839" s="1">
        <v>45118</v>
      </c>
      <c r="G4839">
        <v>18</v>
      </c>
      <c r="H48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39" t="str">
        <f>IFERROR(INDEX(Raw_orders!G:G, MATCH(shipments[[#This Row],[order_id]],Raw_orders!A:A, 0)), "Unknown")</f>
        <v>Central Europe</v>
      </c>
      <c r="J4839" t="str">
        <f>PROPER(shipments[[#This Row],[delivery_status]])</f>
        <v>Delivered</v>
      </c>
      <c r="K4839" t="s">
        <v>6926</v>
      </c>
    </row>
    <row r="4840" spans="1:11">
      <c r="A4840" t="s">
        <v>11776</v>
      </c>
      <c r="B4840" t="s">
        <v>5460</v>
      </c>
      <c r="C4840" t="s">
        <v>6925</v>
      </c>
      <c r="D4840" s="1">
        <v>45351</v>
      </c>
      <c r="E4840" s="1">
        <v>45356</v>
      </c>
      <c r="F4840" s="1">
        <v>45368</v>
      </c>
      <c r="G4840">
        <v>14.23</v>
      </c>
      <c r="H48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40" t="str">
        <f>IFERROR(INDEX(Raw_orders!G:G, MATCH(shipments[[#This Row],[order_id]],Raw_orders!A:A, 0)), "Unknown")</f>
        <v>Baltics</v>
      </c>
      <c r="J4840" t="str">
        <f>PROPER(shipments[[#This Row],[delivery_status]])</f>
        <v>Delivered</v>
      </c>
      <c r="K4840" t="s">
        <v>6922</v>
      </c>
    </row>
    <row r="4841" spans="1:11">
      <c r="A4841" t="s">
        <v>11777</v>
      </c>
      <c r="B4841" t="s">
        <v>5461</v>
      </c>
      <c r="C4841" t="s">
        <v>6928</v>
      </c>
      <c r="D4841" s="1">
        <v>45276</v>
      </c>
      <c r="E4841" s="1">
        <v>45278</v>
      </c>
      <c r="F4841" s="1">
        <v>45279</v>
      </c>
      <c r="G4841">
        <v>5</v>
      </c>
      <c r="H48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41" t="str">
        <f>IFERROR(INDEX(Raw_orders!G:G, MATCH(shipments[[#This Row],[order_id]],Raw_orders!A:A, 0)), "Unknown")</f>
        <v>Nordics</v>
      </c>
      <c r="J4841" t="str">
        <f>PROPER(shipments[[#This Row],[delivery_status]])</f>
        <v>Delivered</v>
      </c>
      <c r="K4841" t="s">
        <v>6922</v>
      </c>
    </row>
    <row r="4842" spans="1:11">
      <c r="A4842" t="s">
        <v>11778</v>
      </c>
      <c r="B4842" t="s">
        <v>5462</v>
      </c>
      <c r="C4842" t="s">
        <v>6931</v>
      </c>
      <c r="D4842" s="1">
        <v>44932</v>
      </c>
      <c r="E4842" s="1">
        <v>44939</v>
      </c>
      <c r="F4842" s="1">
        <v>44939</v>
      </c>
      <c r="G4842">
        <v>45.89</v>
      </c>
      <c r="H48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842" t="str">
        <f>IFERROR(INDEX(Raw_orders!G:G, MATCH(shipments[[#This Row],[order_id]],Raw_orders!A:A, 0)), "Unknown")</f>
        <v>Nordics</v>
      </c>
      <c r="J4842" t="str">
        <f>PROPER(shipments[[#This Row],[delivery_status]])</f>
        <v>Delivered</v>
      </c>
      <c r="K4842" t="s">
        <v>6929</v>
      </c>
    </row>
    <row r="4843" spans="1:11">
      <c r="A4843" t="s">
        <v>11779</v>
      </c>
      <c r="B4843" t="s">
        <v>5463</v>
      </c>
      <c r="C4843" t="s">
        <v>6940</v>
      </c>
      <c r="D4843" s="1">
        <v>45403</v>
      </c>
      <c r="E4843" s="1">
        <v>45406</v>
      </c>
      <c r="F4843" s="1">
        <v>45409</v>
      </c>
      <c r="G4843">
        <v>34.99</v>
      </c>
      <c r="H48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43" t="str">
        <f>IFERROR(INDEX(Raw_orders!G:G, MATCH(shipments[[#This Row],[order_id]],Raw_orders!A:A, 0)), "Unknown")</f>
        <v>Baltics</v>
      </c>
      <c r="J4843" t="str">
        <f>PROPER(shipments[[#This Row],[delivery_status]])</f>
        <v>Delivered</v>
      </c>
      <c r="K4843" t="s">
        <v>6926</v>
      </c>
    </row>
    <row r="4844" spans="1:11">
      <c r="A4844" t="s">
        <v>11780</v>
      </c>
      <c r="B4844" t="s">
        <v>5464</v>
      </c>
      <c r="C4844" t="s">
        <v>6931</v>
      </c>
      <c r="D4844" s="1">
        <v>45286</v>
      </c>
      <c r="E4844" s="1">
        <v>45291</v>
      </c>
      <c r="F4844" s="1">
        <v>45291</v>
      </c>
      <c r="G4844">
        <v>53.73</v>
      </c>
      <c r="H48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844" t="str">
        <f>IFERROR(INDEX(Raw_orders!G:G, MATCH(shipments[[#This Row],[order_id]],Raw_orders!A:A, 0)), "Unknown")</f>
        <v>Central Europe</v>
      </c>
      <c r="J4844" t="str">
        <f>PROPER(shipments[[#This Row],[delivery_status]])</f>
        <v>Delivered</v>
      </c>
      <c r="K4844" t="s">
        <v>6929</v>
      </c>
    </row>
    <row r="4845" spans="1:11">
      <c r="A4845" t="s">
        <v>11781</v>
      </c>
      <c r="B4845" t="s">
        <v>5465</v>
      </c>
      <c r="C4845" t="s">
        <v>6956</v>
      </c>
      <c r="D4845" s="1">
        <v>45164</v>
      </c>
      <c r="E4845" s="1">
        <v>45174</v>
      </c>
      <c r="F4845" s="1">
        <v>45183</v>
      </c>
      <c r="G4845">
        <v>41.11</v>
      </c>
      <c r="H48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45" t="str">
        <f>IFERROR(INDEX(Raw_orders!G:G, MATCH(shipments[[#This Row],[order_id]],Raw_orders!A:A, 0)), "Unknown")</f>
        <v>Nordics</v>
      </c>
      <c r="J4845" t="str">
        <f>PROPER(shipments[[#This Row],[delivery_status]])</f>
        <v>Delivered</v>
      </c>
      <c r="K4845" t="s">
        <v>6929</v>
      </c>
    </row>
    <row r="4846" spans="1:11">
      <c r="A4846" t="s">
        <v>11782</v>
      </c>
      <c r="B4846" t="s">
        <v>5466</v>
      </c>
      <c r="C4846" t="s">
        <v>6940</v>
      </c>
      <c r="D4846" s="1">
        <v>45146</v>
      </c>
      <c r="E4846" s="1">
        <v>45156</v>
      </c>
      <c r="F4846" s="1">
        <v>45159</v>
      </c>
      <c r="G4846">
        <v>6.08</v>
      </c>
      <c r="H48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46" t="str">
        <f>IFERROR(INDEX(Raw_orders!G:G, MATCH(shipments[[#This Row],[order_id]],Raw_orders!A:A, 0)), "Unknown")</f>
        <v>Nordics</v>
      </c>
      <c r="J4846" t="str">
        <f>PROPER(shipments[[#This Row],[delivery_status]])</f>
        <v>Delivered</v>
      </c>
      <c r="K4846" t="s">
        <v>6929</v>
      </c>
    </row>
    <row r="4847" spans="1:11">
      <c r="A4847" t="s">
        <v>11783</v>
      </c>
      <c r="B4847" t="s">
        <v>5467</v>
      </c>
      <c r="C4847" t="s">
        <v>6956</v>
      </c>
      <c r="D4847" s="1">
        <v>44946</v>
      </c>
      <c r="E4847" s="1">
        <v>44949</v>
      </c>
      <c r="F4847" s="1">
        <v>44957</v>
      </c>
      <c r="G4847">
        <v>40.61</v>
      </c>
      <c r="H48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47" t="str">
        <f>IFERROR(INDEX(Raw_orders!G:G, MATCH(shipments[[#This Row],[order_id]],Raw_orders!A:A, 0)), "Unknown")</f>
        <v>Central Europe</v>
      </c>
      <c r="J4847" t="str">
        <f>PROPER(shipments[[#This Row],[delivery_status]])</f>
        <v>Delivered</v>
      </c>
      <c r="K4847" t="s">
        <v>6929</v>
      </c>
    </row>
    <row r="4848" spans="1:11">
      <c r="A4848" t="s">
        <v>11784</v>
      </c>
      <c r="B4848" t="s">
        <v>5468</v>
      </c>
      <c r="C4848" t="s">
        <v>6925</v>
      </c>
      <c r="D4848" s="1">
        <v>45490</v>
      </c>
      <c r="E4848" s="1">
        <v>45500</v>
      </c>
      <c r="F4848" s="1">
        <v>45510</v>
      </c>
      <c r="G4848">
        <v>34.42</v>
      </c>
      <c r="H48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48" t="str">
        <f>IFERROR(INDEX(Raw_orders!G:G, MATCH(shipments[[#This Row],[order_id]],Raw_orders!A:A, 0)), "Unknown")</f>
        <v>Baltics</v>
      </c>
      <c r="J4848" t="str">
        <f>PROPER(shipments[[#This Row],[delivery_status]])</f>
        <v>Delivered</v>
      </c>
      <c r="K4848" t="s">
        <v>6929</v>
      </c>
    </row>
    <row r="4849" spans="1:11">
      <c r="A4849" t="s">
        <v>11785</v>
      </c>
      <c r="B4849" t="s">
        <v>5469</v>
      </c>
      <c r="C4849" t="s">
        <v>6925</v>
      </c>
      <c r="D4849" s="1">
        <v>45626</v>
      </c>
      <c r="E4849" s="1">
        <v>45628</v>
      </c>
      <c r="F4849" s="1">
        <v>45629</v>
      </c>
      <c r="G4849">
        <v>40.75</v>
      </c>
      <c r="H48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49" t="str">
        <f>IFERROR(INDEX(Raw_orders!G:G, MATCH(shipments[[#This Row],[order_id]],Raw_orders!A:A, 0)), "Unknown")</f>
        <v>Baltics</v>
      </c>
      <c r="J4849" t="str">
        <f>PROPER(shipments[[#This Row],[delivery_status]])</f>
        <v>Delivered</v>
      </c>
      <c r="K4849" t="s">
        <v>6926</v>
      </c>
    </row>
    <row r="4850" spans="1:11">
      <c r="A4850" t="s">
        <v>11786</v>
      </c>
      <c r="B4850" t="s">
        <v>5470</v>
      </c>
      <c r="C4850" t="s">
        <v>6940</v>
      </c>
      <c r="D4850" s="1">
        <v>44992</v>
      </c>
      <c r="E4850" s="1">
        <v>44997</v>
      </c>
      <c r="F4850" s="1">
        <v>45000</v>
      </c>
      <c r="G4850">
        <v>23</v>
      </c>
      <c r="H48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50" t="str">
        <f>IFERROR(INDEX(Raw_orders!G:G, MATCH(shipments[[#This Row],[order_id]],Raw_orders!A:A, 0)), "Unknown")</f>
        <v>Central Europe</v>
      </c>
      <c r="J4850" t="str">
        <f>PROPER(shipments[[#This Row],[delivery_status]])</f>
        <v>Delivered</v>
      </c>
      <c r="K4850" t="s">
        <v>6929</v>
      </c>
    </row>
    <row r="4851" spans="1:11">
      <c r="A4851" t="s">
        <v>11787</v>
      </c>
      <c r="B4851" t="s">
        <v>5471</v>
      </c>
      <c r="C4851" t="s">
        <v>6928</v>
      </c>
      <c r="D4851" s="1">
        <v>45081</v>
      </c>
      <c r="E4851" s="1">
        <v>45084</v>
      </c>
      <c r="F4851" s="1"/>
      <c r="G4851">
        <v>5.98</v>
      </c>
      <c r="H48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851" t="str">
        <f>IFERROR(INDEX(Raw_orders!G:G, MATCH(shipments[[#This Row],[order_id]],Raw_orders!A:A, 0)), "Unknown")</f>
        <v>Central Europe</v>
      </c>
      <c r="J4851" t="str">
        <f>PROPER(shipments[[#This Row],[delivery_status]])</f>
        <v>In Transit</v>
      </c>
      <c r="K4851" t="s">
        <v>6946</v>
      </c>
    </row>
    <row r="4852" spans="1:11">
      <c r="A4852" t="s">
        <v>11788</v>
      </c>
      <c r="B4852" t="s">
        <v>5472</v>
      </c>
      <c r="C4852" t="s">
        <v>6928</v>
      </c>
      <c r="D4852" s="1">
        <v>45118</v>
      </c>
      <c r="E4852" s="1">
        <v>45128</v>
      </c>
      <c r="F4852" s="1">
        <v>45128</v>
      </c>
      <c r="G4852">
        <v>52.66</v>
      </c>
      <c r="H48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852" t="str">
        <f>IFERROR(INDEX(Raw_orders!G:G, MATCH(shipments[[#This Row],[order_id]],Raw_orders!A:A, 0)), "Unknown")</f>
        <v>Nordics</v>
      </c>
      <c r="J4852" t="str">
        <f>PROPER(shipments[[#This Row],[delivery_status]])</f>
        <v>Delivered</v>
      </c>
      <c r="K4852" t="s">
        <v>6929</v>
      </c>
    </row>
    <row r="4853" spans="1:11">
      <c r="A4853" t="s">
        <v>11789</v>
      </c>
      <c r="B4853" t="s">
        <v>5473</v>
      </c>
      <c r="C4853" t="s">
        <v>6938</v>
      </c>
      <c r="D4853" s="1">
        <v>44990</v>
      </c>
      <c r="E4853" s="1">
        <v>44993</v>
      </c>
      <c r="F4853" s="1">
        <v>45001</v>
      </c>
      <c r="G4853">
        <v>5.25</v>
      </c>
      <c r="H48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53" t="str">
        <f>IFERROR(INDEX(Raw_orders!G:G, MATCH(shipments[[#This Row],[order_id]],Raw_orders!A:A, 0)), "Unknown")</f>
        <v>Baltics</v>
      </c>
      <c r="J4853" t="str">
        <f>PROPER(shipments[[#This Row],[delivery_status]])</f>
        <v>Delivered</v>
      </c>
      <c r="K4853" t="s">
        <v>6922</v>
      </c>
    </row>
    <row r="4854" spans="1:11">
      <c r="A4854" t="s">
        <v>11790</v>
      </c>
      <c r="B4854" t="s">
        <v>5474</v>
      </c>
      <c r="C4854" t="s">
        <v>6938</v>
      </c>
      <c r="D4854" s="1">
        <v>44931</v>
      </c>
      <c r="E4854" s="1">
        <v>44934</v>
      </c>
      <c r="F4854" s="1">
        <v>44934</v>
      </c>
      <c r="G4854">
        <v>44.43</v>
      </c>
      <c r="H48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854" t="str">
        <f>IFERROR(INDEX(Raw_orders!G:G, MATCH(shipments[[#This Row],[order_id]],Raw_orders!A:A, 0)), "Unknown")</f>
        <v>Nordics</v>
      </c>
      <c r="J4854" t="str">
        <f>PROPER(shipments[[#This Row],[delivery_status]])</f>
        <v>Delivered</v>
      </c>
      <c r="K4854" t="s">
        <v>6926</v>
      </c>
    </row>
    <row r="4855" spans="1:11">
      <c r="A4855" t="s">
        <v>11791</v>
      </c>
      <c r="B4855" t="s">
        <v>5475</v>
      </c>
      <c r="C4855" t="s">
        <v>6925</v>
      </c>
      <c r="D4855" s="1">
        <v>45220</v>
      </c>
      <c r="E4855" s="1">
        <v>45230</v>
      </c>
      <c r="F4855" s="1">
        <v>45233</v>
      </c>
      <c r="G4855">
        <v>63.87</v>
      </c>
      <c r="H48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55" t="str">
        <f>IFERROR(INDEX(Raw_orders!G:G, MATCH(shipments[[#This Row],[order_id]],Raw_orders!A:A, 0)), "Unknown")</f>
        <v>Baltics</v>
      </c>
      <c r="J4855" t="str">
        <f>PROPER(shipments[[#This Row],[delivery_status]])</f>
        <v>Delivered</v>
      </c>
      <c r="K4855" t="s">
        <v>6922</v>
      </c>
    </row>
    <row r="4856" spans="1:11">
      <c r="A4856" t="s">
        <v>11792</v>
      </c>
      <c r="B4856" t="s">
        <v>5476</v>
      </c>
      <c r="C4856" t="s">
        <v>6949</v>
      </c>
      <c r="D4856" s="1">
        <v>45318</v>
      </c>
      <c r="E4856" s="1">
        <v>45323</v>
      </c>
      <c r="F4856" s="1">
        <v>45328</v>
      </c>
      <c r="G4856">
        <v>12.64</v>
      </c>
      <c r="H48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56" t="str">
        <f>IFERROR(INDEX(Raw_orders!G:G, MATCH(shipments[[#This Row],[order_id]],Raw_orders!A:A, 0)), "Unknown")</f>
        <v>Central Europe</v>
      </c>
      <c r="J4856" t="str">
        <f>PROPER(shipments[[#This Row],[delivery_status]])</f>
        <v>Delivered</v>
      </c>
      <c r="K4856" t="s">
        <v>6922</v>
      </c>
    </row>
    <row r="4857" spans="1:11">
      <c r="A4857" t="s">
        <v>11793</v>
      </c>
      <c r="B4857" t="s">
        <v>5477</v>
      </c>
      <c r="C4857" t="s">
        <v>6928</v>
      </c>
      <c r="D4857" s="1">
        <v>45289</v>
      </c>
      <c r="E4857" s="1">
        <v>45292</v>
      </c>
      <c r="F4857" s="1">
        <v>45297</v>
      </c>
      <c r="G4857">
        <v>52.89</v>
      </c>
      <c r="H48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57" t="str">
        <f>IFERROR(INDEX(Raw_orders!G:G, MATCH(shipments[[#This Row],[order_id]],Raw_orders!A:A, 0)), "Unknown")</f>
        <v>Nordics</v>
      </c>
      <c r="J4857" t="str">
        <f>PROPER(shipments[[#This Row],[delivery_status]])</f>
        <v>Delivered</v>
      </c>
      <c r="K4857" t="s">
        <v>6922</v>
      </c>
    </row>
    <row r="4858" spans="1:11">
      <c r="A4858" t="s">
        <v>11794</v>
      </c>
      <c r="B4858" t="s">
        <v>5478</v>
      </c>
      <c r="C4858" t="s">
        <v>6940</v>
      </c>
      <c r="D4858" s="1">
        <v>45229</v>
      </c>
      <c r="E4858" s="1">
        <v>45239</v>
      </c>
      <c r="F4858" s="1">
        <v>45239</v>
      </c>
      <c r="G4858">
        <v>18.010000000000002</v>
      </c>
      <c r="H48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858" t="str">
        <f>IFERROR(INDEX(Raw_orders!G:G, MATCH(shipments[[#This Row],[order_id]],Raw_orders!A:A, 0)), "Unknown")</f>
        <v>Baltics</v>
      </c>
      <c r="J4858" t="str">
        <f>PROPER(shipments[[#This Row],[delivery_status]])</f>
        <v>Delivered</v>
      </c>
      <c r="K4858" t="s">
        <v>6922</v>
      </c>
    </row>
    <row r="4859" spans="1:11">
      <c r="A4859" t="s">
        <v>11795</v>
      </c>
      <c r="B4859" t="s">
        <v>5479</v>
      </c>
      <c r="C4859" t="s">
        <v>6928</v>
      </c>
      <c r="D4859" s="1">
        <v>45286</v>
      </c>
      <c r="E4859" s="1">
        <v>45288</v>
      </c>
      <c r="F4859" s="1">
        <v>45290</v>
      </c>
      <c r="G4859">
        <v>48.22</v>
      </c>
      <c r="H48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59" t="str">
        <f>IFERROR(INDEX(Raw_orders!G:G, MATCH(shipments[[#This Row],[order_id]],Raw_orders!A:A, 0)), "Unknown")</f>
        <v>Nordics</v>
      </c>
      <c r="J4859" t="str">
        <f>PROPER(shipments[[#This Row],[delivery_status]])</f>
        <v>Delivered</v>
      </c>
      <c r="K4859" t="s">
        <v>6922</v>
      </c>
    </row>
    <row r="4860" spans="1:11">
      <c r="A4860" t="s">
        <v>11796</v>
      </c>
      <c r="B4860" t="s">
        <v>5480</v>
      </c>
      <c r="C4860" t="s">
        <v>6928</v>
      </c>
      <c r="D4860" s="1">
        <v>45382</v>
      </c>
      <c r="E4860" s="1">
        <v>45385</v>
      </c>
      <c r="F4860" s="1">
        <v>45386</v>
      </c>
      <c r="G4860">
        <v>22.58</v>
      </c>
      <c r="H48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60" t="str">
        <f>IFERROR(INDEX(Raw_orders!G:G, MATCH(shipments[[#This Row],[order_id]],Raw_orders!A:A, 0)), "Unknown")</f>
        <v>Baltics</v>
      </c>
      <c r="J4860" t="str">
        <f>PROPER(shipments[[#This Row],[delivery_status]])</f>
        <v>Delivered</v>
      </c>
      <c r="K4860" t="s">
        <v>6929</v>
      </c>
    </row>
    <row r="4861" spans="1:11">
      <c r="A4861" t="s">
        <v>11797</v>
      </c>
      <c r="B4861" t="s">
        <v>5481</v>
      </c>
      <c r="C4861" t="s">
        <v>6938</v>
      </c>
      <c r="D4861" s="1">
        <v>45316</v>
      </c>
      <c r="E4861" s="1">
        <v>45326</v>
      </c>
      <c r="F4861" s="1">
        <v>45326</v>
      </c>
      <c r="G4861">
        <v>24.43</v>
      </c>
      <c r="H48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861" t="str">
        <f>IFERROR(INDEX(Raw_orders!G:G, MATCH(shipments[[#This Row],[order_id]],Raw_orders!A:A, 0)), "Unknown")</f>
        <v>Nordics</v>
      </c>
      <c r="J4861" t="str">
        <f>PROPER(shipments[[#This Row],[delivery_status]])</f>
        <v>Delivered</v>
      </c>
      <c r="K4861" t="s">
        <v>6929</v>
      </c>
    </row>
    <row r="4862" spans="1:11">
      <c r="A4862" t="s">
        <v>11798</v>
      </c>
      <c r="B4862" t="s">
        <v>5482</v>
      </c>
      <c r="C4862" t="s">
        <v>6938</v>
      </c>
      <c r="D4862" s="1">
        <v>45457</v>
      </c>
      <c r="E4862" s="1">
        <v>45459</v>
      </c>
      <c r="F4862" s="1">
        <v>45472</v>
      </c>
      <c r="G4862">
        <v>44.16</v>
      </c>
      <c r="H48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62" t="str">
        <f>IFERROR(INDEX(Raw_orders!G:G, MATCH(shipments[[#This Row],[order_id]],Raw_orders!A:A, 0)), "Unknown")</f>
        <v>Central Europe</v>
      </c>
      <c r="J4862" t="str">
        <f>PROPER(shipments[[#This Row],[delivery_status]])</f>
        <v>Delivered</v>
      </c>
      <c r="K4862" t="s">
        <v>6929</v>
      </c>
    </row>
    <row r="4863" spans="1:11">
      <c r="A4863" t="s">
        <v>11799</v>
      </c>
      <c r="B4863" t="s">
        <v>5483</v>
      </c>
      <c r="C4863" t="s">
        <v>6925</v>
      </c>
      <c r="D4863" s="1">
        <v>45091</v>
      </c>
      <c r="E4863" s="1">
        <v>45098</v>
      </c>
      <c r="F4863" s="1"/>
      <c r="G4863">
        <v>48.73</v>
      </c>
      <c r="H48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863" t="str">
        <f>IFERROR(INDEX(Raw_orders!G:G, MATCH(shipments[[#This Row],[order_id]],Raw_orders!A:A, 0)), "Unknown")</f>
        <v>Baltics</v>
      </c>
      <c r="J4863" t="str">
        <f>PROPER(shipments[[#This Row],[delivery_status]])</f>
        <v>Cancelled</v>
      </c>
      <c r="K4863" t="s">
        <v>6972</v>
      </c>
    </row>
    <row r="4864" spans="1:11">
      <c r="A4864" t="s">
        <v>11800</v>
      </c>
      <c r="B4864" t="s">
        <v>5484</v>
      </c>
      <c r="C4864" t="s">
        <v>6940</v>
      </c>
      <c r="D4864" s="1">
        <v>45414</v>
      </c>
      <c r="E4864" s="1">
        <v>45421</v>
      </c>
      <c r="F4864" s="1">
        <v>45426</v>
      </c>
      <c r="G4864">
        <v>26.8</v>
      </c>
      <c r="H48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64" t="str">
        <f>IFERROR(INDEX(Raw_orders!G:G, MATCH(shipments[[#This Row],[order_id]],Raw_orders!A:A, 0)), "Unknown")</f>
        <v>Central Europe</v>
      </c>
      <c r="J4864" t="str">
        <f>PROPER(shipments[[#This Row],[delivery_status]])</f>
        <v>Delivered</v>
      </c>
      <c r="K4864" t="s">
        <v>6929</v>
      </c>
    </row>
    <row r="4865" spans="1:11">
      <c r="A4865" t="s">
        <v>11801</v>
      </c>
      <c r="B4865" t="s">
        <v>5485</v>
      </c>
      <c r="C4865" t="s">
        <v>6931</v>
      </c>
      <c r="D4865" s="1">
        <v>45318</v>
      </c>
      <c r="E4865" s="1">
        <v>45325</v>
      </c>
      <c r="F4865" s="1">
        <v>45325</v>
      </c>
      <c r="G4865">
        <v>52.21</v>
      </c>
      <c r="H48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865" t="str">
        <f>IFERROR(INDEX(Raw_orders!G:G, MATCH(shipments[[#This Row],[order_id]],Raw_orders!A:A, 0)), "Unknown")</f>
        <v>Baltics</v>
      </c>
      <c r="J4865" t="str">
        <f>PROPER(shipments[[#This Row],[delivery_status]])</f>
        <v>Delivered</v>
      </c>
      <c r="K4865" t="s">
        <v>6926</v>
      </c>
    </row>
    <row r="4866" spans="1:11">
      <c r="A4866" t="s">
        <v>11802</v>
      </c>
      <c r="B4866" t="s">
        <v>5486</v>
      </c>
      <c r="C4866" t="s">
        <v>6940</v>
      </c>
      <c r="D4866" s="1">
        <v>45282</v>
      </c>
      <c r="E4866" s="1">
        <v>45285</v>
      </c>
      <c r="F4866" s="1">
        <v>45287</v>
      </c>
      <c r="G4866">
        <v>59.73</v>
      </c>
      <c r="H48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66" t="str">
        <f>IFERROR(INDEX(Raw_orders!G:G, MATCH(shipments[[#This Row],[order_id]],Raw_orders!A:A, 0)), "Unknown")</f>
        <v>Nordics</v>
      </c>
      <c r="J4866" t="str">
        <f>PROPER(shipments[[#This Row],[delivery_status]])</f>
        <v>Delivered</v>
      </c>
      <c r="K4866" t="s">
        <v>6926</v>
      </c>
    </row>
    <row r="4867" spans="1:11">
      <c r="A4867" t="s">
        <v>11803</v>
      </c>
      <c r="B4867" t="s">
        <v>5487</v>
      </c>
      <c r="C4867" t="s">
        <v>6928</v>
      </c>
      <c r="D4867" s="1">
        <v>45380</v>
      </c>
      <c r="E4867" s="1">
        <v>45382</v>
      </c>
      <c r="F4867" s="1">
        <v>45382</v>
      </c>
      <c r="G4867">
        <v>30.37</v>
      </c>
      <c r="H48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867" t="str">
        <f>IFERROR(INDEX(Raw_orders!G:G, MATCH(shipments[[#This Row],[order_id]],Raw_orders!A:A, 0)), "Unknown")</f>
        <v>Baltics</v>
      </c>
      <c r="J4867" t="str">
        <f>PROPER(shipments[[#This Row],[delivery_status]])</f>
        <v>Delivered</v>
      </c>
      <c r="K4867" t="s">
        <v>6922</v>
      </c>
    </row>
    <row r="4868" spans="1:11">
      <c r="A4868" t="s">
        <v>11804</v>
      </c>
      <c r="B4868" t="s">
        <v>5488</v>
      </c>
      <c r="C4868" t="s">
        <v>6938</v>
      </c>
      <c r="D4868" s="1">
        <v>44932</v>
      </c>
      <c r="E4868" s="1">
        <v>44937</v>
      </c>
      <c r="F4868" s="1"/>
      <c r="G4868">
        <v>20.93</v>
      </c>
      <c r="H48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868" t="str">
        <f>IFERROR(INDEX(Raw_orders!G:G, MATCH(shipments[[#This Row],[order_id]],Raw_orders!A:A, 0)), "Unknown")</f>
        <v>Baltics</v>
      </c>
      <c r="J4868" t="str">
        <f>PROPER(shipments[[#This Row],[delivery_status]])</f>
        <v>Cancelled</v>
      </c>
      <c r="K4868" t="s">
        <v>6972</v>
      </c>
    </row>
    <row r="4869" spans="1:11">
      <c r="A4869" t="s">
        <v>11805</v>
      </c>
      <c r="B4869" t="s">
        <v>5489</v>
      </c>
      <c r="C4869" t="s">
        <v>6931</v>
      </c>
      <c r="D4869" s="1">
        <v>45200</v>
      </c>
      <c r="E4869" s="1">
        <v>45210</v>
      </c>
      <c r="F4869" s="1">
        <v>45216</v>
      </c>
      <c r="G4869">
        <v>27.67</v>
      </c>
      <c r="H48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69" t="str">
        <f>IFERROR(INDEX(Raw_orders!G:G, MATCH(shipments[[#This Row],[order_id]],Raw_orders!A:A, 0)), "Unknown")</f>
        <v>Central Europe</v>
      </c>
      <c r="J4869" t="str">
        <f>PROPER(shipments[[#This Row],[delivery_status]])</f>
        <v>Delivered</v>
      </c>
      <c r="K4869" t="s">
        <v>6922</v>
      </c>
    </row>
    <row r="4870" spans="1:11">
      <c r="A4870" t="s">
        <v>11806</v>
      </c>
      <c r="B4870" t="s">
        <v>5490</v>
      </c>
      <c r="C4870" t="s">
        <v>6921</v>
      </c>
      <c r="D4870" s="1">
        <v>44932</v>
      </c>
      <c r="E4870" s="1">
        <v>44939</v>
      </c>
      <c r="F4870" s="1">
        <v>44939</v>
      </c>
      <c r="G4870">
        <v>25.11</v>
      </c>
      <c r="H48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870" t="str">
        <f>IFERROR(INDEX(Raw_orders!G:G, MATCH(shipments[[#This Row],[order_id]],Raw_orders!A:A, 0)), "Unknown")</f>
        <v>Nordics</v>
      </c>
      <c r="J4870" t="str">
        <f>PROPER(shipments[[#This Row],[delivery_status]])</f>
        <v>Delivered</v>
      </c>
      <c r="K4870" t="s">
        <v>6926</v>
      </c>
    </row>
    <row r="4871" spans="1:11">
      <c r="A4871" t="s">
        <v>11807</v>
      </c>
      <c r="B4871" t="s">
        <v>5491</v>
      </c>
      <c r="C4871" t="s">
        <v>6921</v>
      </c>
      <c r="D4871" s="1">
        <v>45260</v>
      </c>
      <c r="E4871" s="1">
        <v>45267</v>
      </c>
      <c r="F4871" s="1">
        <v>45267</v>
      </c>
      <c r="G4871">
        <v>9.25</v>
      </c>
      <c r="H48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871" t="str">
        <f>IFERROR(INDEX(Raw_orders!G:G, MATCH(shipments[[#This Row],[order_id]],Raw_orders!A:A, 0)), "Unknown")</f>
        <v>Nordics</v>
      </c>
      <c r="J4871" t="str">
        <f>PROPER(shipments[[#This Row],[delivery_status]])</f>
        <v>Delivered</v>
      </c>
      <c r="K4871" t="s">
        <v>6926</v>
      </c>
    </row>
    <row r="4872" spans="1:11">
      <c r="A4872" t="s">
        <v>11808</v>
      </c>
      <c r="B4872" t="s">
        <v>5491</v>
      </c>
      <c r="C4872" t="s">
        <v>6938</v>
      </c>
      <c r="D4872" s="1">
        <v>45260</v>
      </c>
      <c r="E4872" s="1">
        <v>45263</v>
      </c>
      <c r="F4872" s="1"/>
      <c r="G4872">
        <v>30.13</v>
      </c>
      <c r="H48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872" t="str">
        <f>IFERROR(INDEX(Raw_orders!G:G, MATCH(shipments[[#This Row],[order_id]],Raw_orders!A:A, 0)), "Unknown")</f>
        <v>Nordics</v>
      </c>
      <c r="J4872" t="str">
        <f>PROPER(shipments[[#This Row],[delivery_status]])</f>
        <v>Cancelled</v>
      </c>
      <c r="K4872" t="s">
        <v>6972</v>
      </c>
    </row>
    <row r="4873" spans="1:11">
      <c r="A4873" t="s">
        <v>11809</v>
      </c>
      <c r="B4873" t="s">
        <v>5492</v>
      </c>
      <c r="C4873" t="s">
        <v>6921</v>
      </c>
      <c r="D4873" s="1">
        <v>45297</v>
      </c>
      <c r="E4873" s="1">
        <v>45307</v>
      </c>
      <c r="F4873" s="1">
        <v>45307</v>
      </c>
      <c r="G4873">
        <v>52.75</v>
      </c>
      <c r="H48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873" t="str">
        <f>IFERROR(INDEX(Raw_orders!G:G, MATCH(shipments[[#This Row],[order_id]],Raw_orders!A:A, 0)), "Unknown")</f>
        <v>Baltics</v>
      </c>
      <c r="J4873" t="str">
        <f>PROPER(shipments[[#This Row],[delivery_status]])</f>
        <v>Delivered</v>
      </c>
      <c r="K4873" t="s">
        <v>6926</v>
      </c>
    </row>
    <row r="4874" spans="1:11">
      <c r="A4874" t="s">
        <v>11810</v>
      </c>
      <c r="B4874" t="s">
        <v>5493</v>
      </c>
      <c r="C4874" t="s">
        <v>6925</v>
      </c>
      <c r="D4874" s="1">
        <v>45450</v>
      </c>
      <c r="E4874" s="1">
        <v>45453</v>
      </c>
      <c r="F4874" s="1">
        <v>45453</v>
      </c>
      <c r="G4874">
        <v>20.61</v>
      </c>
      <c r="H48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874" t="str">
        <f>IFERROR(INDEX(Raw_orders!G:G, MATCH(shipments[[#This Row],[order_id]],Raw_orders!A:A, 0)), "Unknown")</f>
        <v>Nordics</v>
      </c>
      <c r="J4874" t="str">
        <f>PROPER(shipments[[#This Row],[delivery_status]])</f>
        <v>Delivered</v>
      </c>
      <c r="K4874" t="s">
        <v>6922</v>
      </c>
    </row>
    <row r="4875" spans="1:11">
      <c r="A4875" t="s">
        <v>11811</v>
      </c>
      <c r="B4875" t="s">
        <v>5493</v>
      </c>
      <c r="C4875" t="s">
        <v>6949</v>
      </c>
      <c r="D4875" s="1">
        <v>45449</v>
      </c>
      <c r="E4875" s="1">
        <v>45451</v>
      </c>
      <c r="F4875" s="1">
        <v>45454</v>
      </c>
      <c r="G4875">
        <v>21.35</v>
      </c>
      <c r="H48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75" t="str">
        <f>IFERROR(INDEX(Raw_orders!G:G, MATCH(shipments[[#This Row],[order_id]],Raw_orders!A:A, 0)), "Unknown")</f>
        <v>Nordics</v>
      </c>
      <c r="J4875" t="str">
        <f>PROPER(shipments[[#This Row],[delivery_status]])</f>
        <v>Delivered</v>
      </c>
      <c r="K4875" t="s">
        <v>6926</v>
      </c>
    </row>
    <row r="4876" spans="1:11">
      <c r="A4876" t="s">
        <v>11812</v>
      </c>
      <c r="B4876" t="s">
        <v>5494</v>
      </c>
      <c r="C4876" t="s">
        <v>6931</v>
      </c>
      <c r="D4876" s="1">
        <v>45065</v>
      </c>
      <c r="E4876" s="1">
        <v>45075</v>
      </c>
      <c r="F4876" s="1"/>
      <c r="G4876">
        <v>36.79</v>
      </c>
      <c r="H48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876" t="str">
        <f>IFERROR(INDEX(Raw_orders!G:G, MATCH(shipments[[#This Row],[order_id]],Raw_orders!A:A, 0)), "Unknown")</f>
        <v>Baltics</v>
      </c>
      <c r="J4876" t="str">
        <f>PROPER(shipments[[#This Row],[delivery_status]])</f>
        <v>In Transit</v>
      </c>
      <c r="K4876" t="s">
        <v>6958</v>
      </c>
    </row>
    <row r="4877" spans="1:11">
      <c r="A4877" t="s">
        <v>11813</v>
      </c>
      <c r="B4877" t="s">
        <v>5495</v>
      </c>
      <c r="C4877" t="s">
        <v>6931</v>
      </c>
      <c r="D4877" s="1">
        <v>45156</v>
      </c>
      <c r="E4877" s="1">
        <v>45158</v>
      </c>
      <c r="F4877" s="1">
        <v>45163</v>
      </c>
      <c r="G4877">
        <v>44.41</v>
      </c>
      <c r="H48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77" t="str">
        <f>IFERROR(INDEX(Raw_orders!G:G, MATCH(shipments[[#This Row],[order_id]],Raw_orders!A:A, 0)), "Unknown")</f>
        <v>Baltics</v>
      </c>
      <c r="J4877" t="str">
        <f>PROPER(shipments[[#This Row],[delivery_status]])</f>
        <v>Delivered</v>
      </c>
      <c r="K4877" t="s">
        <v>6922</v>
      </c>
    </row>
    <row r="4878" spans="1:11">
      <c r="A4878" t="s">
        <v>11814</v>
      </c>
      <c r="B4878" t="s">
        <v>5496</v>
      </c>
      <c r="C4878" t="s">
        <v>6925</v>
      </c>
      <c r="D4878" s="1">
        <v>45503</v>
      </c>
      <c r="E4878" s="1">
        <v>45510</v>
      </c>
      <c r="F4878" s="1">
        <v>45510</v>
      </c>
      <c r="G4878">
        <v>7.8</v>
      </c>
      <c r="H48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878" t="str">
        <f>IFERROR(INDEX(Raw_orders!G:G, MATCH(shipments[[#This Row],[order_id]],Raw_orders!A:A, 0)), "Unknown")</f>
        <v>Nordics</v>
      </c>
      <c r="J4878" t="str">
        <f>PROPER(shipments[[#This Row],[delivery_status]])</f>
        <v>Delivered</v>
      </c>
      <c r="K4878" t="s">
        <v>6922</v>
      </c>
    </row>
    <row r="4879" spans="1:11">
      <c r="A4879" t="s">
        <v>11815</v>
      </c>
      <c r="B4879" t="s">
        <v>5497</v>
      </c>
      <c r="C4879" t="s">
        <v>6938</v>
      </c>
      <c r="D4879" s="1">
        <v>45510</v>
      </c>
      <c r="E4879" s="1">
        <v>45513</v>
      </c>
      <c r="F4879" s="1">
        <v>45513</v>
      </c>
      <c r="G4879">
        <v>26.19</v>
      </c>
      <c r="H48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879" t="str">
        <f>IFERROR(INDEX(Raw_orders!G:G, MATCH(shipments[[#This Row],[order_id]],Raw_orders!A:A, 0)), "Unknown")</f>
        <v>Nordics</v>
      </c>
      <c r="J4879" t="str">
        <f>PROPER(shipments[[#This Row],[delivery_status]])</f>
        <v>Delivered</v>
      </c>
      <c r="K4879" t="s">
        <v>6922</v>
      </c>
    </row>
    <row r="4880" spans="1:11">
      <c r="A4880" t="s">
        <v>11816</v>
      </c>
      <c r="B4880" t="s">
        <v>5498</v>
      </c>
      <c r="C4880" t="s">
        <v>6935</v>
      </c>
      <c r="D4880" s="1">
        <v>45301</v>
      </c>
      <c r="E4880" s="1">
        <v>45306</v>
      </c>
      <c r="F4880" s="1"/>
      <c r="G4880">
        <v>16.27</v>
      </c>
      <c r="H48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880" t="str">
        <f>IFERROR(INDEX(Raw_orders!G:G, MATCH(shipments[[#This Row],[order_id]],Raw_orders!A:A, 0)), "Unknown")</f>
        <v>Nordics</v>
      </c>
      <c r="J4880" t="str">
        <f>PROPER(shipments[[#This Row],[delivery_status]])</f>
        <v>In Transit</v>
      </c>
      <c r="K4880" t="s">
        <v>6977</v>
      </c>
    </row>
    <row r="4881" spans="1:11">
      <c r="A4881" t="s">
        <v>11817</v>
      </c>
      <c r="B4881" t="s">
        <v>5499</v>
      </c>
      <c r="C4881" t="s">
        <v>6940</v>
      </c>
      <c r="D4881" s="1">
        <v>45019</v>
      </c>
      <c r="E4881" s="1">
        <v>45022</v>
      </c>
      <c r="F4881" s="1">
        <v>45022</v>
      </c>
      <c r="G4881">
        <v>5.93</v>
      </c>
      <c r="H48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881" t="str">
        <f>IFERROR(INDEX(Raw_orders!G:G, MATCH(shipments[[#This Row],[order_id]],Raw_orders!A:A, 0)), "Unknown")</f>
        <v>Nordics</v>
      </c>
      <c r="J4881" t="str">
        <f>PROPER(shipments[[#This Row],[delivery_status]])</f>
        <v>Delivered</v>
      </c>
      <c r="K4881" t="s">
        <v>6926</v>
      </c>
    </row>
    <row r="4882" spans="1:11">
      <c r="A4882" t="s">
        <v>11818</v>
      </c>
      <c r="B4882" t="s">
        <v>5500</v>
      </c>
      <c r="C4882" t="s">
        <v>6925</v>
      </c>
      <c r="D4882" s="1">
        <v>45035</v>
      </c>
      <c r="E4882" s="1">
        <v>45037</v>
      </c>
      <c r="F4882" s="1">
        <v>45039</v>
      </c>
      <c r="G4882">
        <v>55.06</v>
      </c>
      <c r="H48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82" t="str">
        <f>IFERROR(INDEX(Raw_orders!G:G, MATCH(shipments[[#This Row],[order_id]],Raw_orders!A:A, 0)), "Unknown")</f>
        <v>Baltics</v>
      </c>
      <c r="J4882" t="str">
        <f>PROPER(shipments[[#This Row],[delivery_status]])</f>
        <v>Delivered</v>
      </c>
      <c r="K4882" t="s">
        <v>6929</v>
      </c>
    </row>
    <row r="4883" spans="1:11">
      <c r="A4883" t="s">
        <v>11819</v>
      </c>
      <c r="B4883" t="s">
        <v>5501</v>
      </c>
      <c r="C4883" t="s">
        <v>6928</v>
      </c>
      <c r="D4883" s="1">
        <v>45181</v>
      </c>
      <c r="E4883" s="1">
        <v>45184</v>
      </c>
      <c r="F4883" s="1"/>
      <c r="G4883">
        <v>27.02</v>
      </c>
      <c r="H48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883" t="str">
        <f>IFERROR(INDEX(Raw_orders!G:G, MATCH(shipments[[#This Row],[order_id]],Raw_orders!A:A, 0)), "Unknown")</f>
        <v>Central Europe</v>
      </c>
      <c r="J4883" t="str">
        <f>PROPER(shipments[[#This Row],[delivery_status]])</f>
        <v>In Transit</v>
      </c>
      <c r="K4883" t="s">
        <v>6958</v>
      </c>
    </row>
    <row r="4884" spans="1:11">
      <c r="A4884" t="s">
        <v>11820</v>
      </c>
      <c r="B4884" t="s">
        <v>5502</v>
      </c>
      <c r="C4884" t="s">
        <v>6938</v>
      </c>
      <c r="D4884" s="1">
        <v>45227</v>
      </c>
      <c r="E4884" s="1">
        <v>45229</v>
      </c>
      <c r="F4884" s="1">
        <v>45230</v>
      </c>
      <c r="G4884">
        <v>57.16</v>
      </c>
      <c r="H48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84" t="str">
        <f>IFERROR(INDEX(Raw_orders!G:G, MATCH(shipments[[#This Row],[order_id]],Raw_orders!A:A, 0)), "Unknown")</f>
        <v>Central Europe</v>
      </c>
      <c r="J4884" t="str">
        <f>PROPER(shipments[[#This Row],[delivery_status]])</f>
        <v>Delivered</v>
      </c>
      <c r="K4884" t="s">
        <v>6929</v>
      </c>
    </row>
    <row r="4885" spans="1:11">
      <c r="A4885" t="s">
        <v>11821</v>
      </c>
      <c r="B4885" t="s">
        <v>5503</v>
      </c>
      <c r="C4885" t="s">
        <v>6956</v>
      </c>
      <c r="D4885" s="1">
        <v>45539</v>
      </c>
      <c r="E4885" s="1">
        <v>45549</v>
      </c>
      <c r="F4885" s="1">
        <v>45557</v>
      </c>
      <c r="G4885">
        <v>56.37</v>
      </c>
      <c r="H48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85" t="str">
        <f>IFERROR(INDEX(Raw_orders!G:G, MATCH(shipments[[#This Row],[order_id]],Raw_orders!A:A, 0)), "Unknown")</f>
        <v>Central Europe</v>
      </c>
      <c r="J4885" t="str">
        <f>PROPER(shipments[[#This Row],[delivery_status]])</f>
        <v>Delivered</v>
      </c>
      <c r="K4885" t="s">
        <v>6926</v>
      </c>
    </row>
    <row r="4886" spans="1:11">
      <c r="A4886" t="s">
        <v>11822</v>
      </c>
      <c r="B4886" t="s">
        <v>5504</v>
      </c>
      <c r="C4886" t="s">
        <v>6925</v>
      </c>
      <c r="D4886" s="1">
        <v>44930</v>
      </c>
      <c r="E4886" s="1">
        <v>44937</v>
      </c>
      <c r="F4886" s="1">
        <v>44944</v>
      </c>
      <c r="G4886">
        <v>35.380000000000003</v>
      </c>
      <c r="H48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86" t="str">
        <f>IFERROR(INDEX(Raw_orders!G:G, MATCH(shipments[[#This Row],[order_id]],Raw_orders!A:A, 0)), "Unknown")</f>
        <v>Central Europe</v>
      </c>
      <c r="J4886" t="str">
        <f>PROPER(shipments[[#This Row],[delivery_status]])</f>
        <v>Delivered</v>
      </c>
      <c r="K4886" t="s">
        <v>6922</v>
      </c>
    </row>
    <row r="4887" spans="1:11">
      <c r="A4887" t="s">
        <v>11823</v>
      </c>
      <c r="B4887" t="s">
        <v>5505</v>
      </c>
      <c r="C4887" t="s">
        <v>6921</v>
      </c>
      <c r="D4887" s="1">
        <v>45302</v>
      </c>
      <c r="E4887" s="1">
        <v>45304</v>
      </c>
      <c r="F4887" s="1"/>
      <c r="G4887">
        <v>25.73</v>
      </c>
      <c r="H48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887" t="str">
        <f>IFERROR(INDEX(Raw_orders!G:G, MATCH(shipments[[#This Row],[order_id]],Raw_orders!A:A, 0)), "Unknown")</f>
        <v>Central Europe</v>
      </c>
      <c r="J4887" t="str">
        <f>PROPER(shipments[[#This Row],[delivery_status]])</f>
        <v>Cancelled</v>
      </c>
      <c r="K4887" t="s">
        <v>6963</v>
      </c>
    </row>
    <row r="4888" spans="1:11">
      <c r="A4888" t="s">
        <v>11824</v>
      </c>
      <c r="B4888" t="s">
        <v>5506</v>
      </c>
      <c r="C4888" t="s">
        <v>6921</v>
      </c>
      <c r="D4888" s="1">
        <v>45412</v>
      </c>
      <c r="E4888" s="1">
        <v>45415</v>
      </c>
      <c r="F4888" s="1">
        <v>45415</v>
      </c>
      <c r="G4888">
        <v>55.38</v>
      </c>
      <c r="H48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888" t="str">
        <f>IFERROR(INDEX(Raw_orders!G:G, MATCH(shipments[[#This Row],[order_id]],Raw_orders!A:A, 0)), "Unknown")</f>
        <v>Central Europe</v>
      </c>
      <c r="J4888" t="str">
        <f>PROPER(shipments[[#This Row],[delivery_status]])</f>
        <v>Delivered</v>
      </c>
      <c r="K4888" t="s">
        <v>6926</v>
      </c>
    </row>
    <row r="4889" spans="1:11">
      <c r="A4889" t="s">
        <v>11825</v>
      </c>
      <c r="B4889" t="s">
        <v>5507</v>
      </c>
      <c r="C4889" t="s">
        <v>6928</v>
      </c>
      <c r="D4889" s="1">
        <v>45124</v>
      </c>
      <c r="E4889" s="1">
        <v>45129</v>
      </c>
      <c r="F4889" s="1">
        <v>45128</v>
      </c>
      <c r="G4889">
        <v>27</v>
      </c>
      <c r="H48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889" t="str">
        <f>IFERROR(INDEX(Raw_orders!G:G, MATCH(shipments[[#This Row],[order_id]],Raw_orders!A:A, 0)), "Unknown")</f>
        <v>Central Europe</v>
      </c>
      <c r="J4889" t="str">
        <f>PROPER(shipments[[#This Row],[delivery_status]])</f>
        <v>Delivered</v>
      </c>
      <c r="K4889" t="s">
        <v>6926</v>
      </c>
    </row>
    <row r="4890" spans="1:11">
      <c r="A4890" t="s">
        <v>11826</v>
      </c>
      <c r="B4890" t="s">
        <v>5508</v>
      </c>
      <c r="C4890" t="s">
        <v>6921</v>
      </c>
      <c r="D4890" s="1">
        <v>45355</v>
      </c>
      <c r="E4890" s="1">
        <v>45360</v>
      </c>
      <c r="F4890" s="1"/>
      <c r="G4890">
        <v>22.63</v>
      </c>
      <c r="H48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890" t="str">
        <f>IFERROR(INDEX(Raw_orders!G:G, MATCH(shipments[[#This Row],[order_id]],Raw_orders!A:A, 0)), "Unknown")</f>
        <v>Central Europe</v>
      </c>
      <c r="J4890" t="str">
        <f>PROPER(shipments[[#This Row],[delivery_status]])</f>
        <v>Cancelled</v>
      </c>
      <c r="K4890" t="s">
        <v>6972</v>
      </c>
    </row>
    <row r="4891" spans="1:11">
      <c r="A4891" t="s">
        <v>11827</v>
      </c>
      <c r="B4891" t="s">
        <v>5509</v>
      </c>
      <c r="C4891" t="s">
        <v>6956</v>
      </c>
      <c r="D4891" s="1">
        <v>45395</v>
      </c>
      <c r="E4891" s="1">
        <v>45400</v>
      </c>
      <c r="F4891" s="1">
        <v>45408</v>
      </c>
      <c r="G4891">
        <v>7.56</v>
      </c>
      <c r="H48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91" t="str">
        <f>IFERROR(INDEX(Raw_orders!G:G, MATCH(shipments[[#This Row],[order_id]],Raw_orders!A:A, 0)), "Unknown")</f>
        <v>Baltics</v>
      </c>
      <c r="J4891" t="str">
        <f>PROPER(shipments[[#This Row],[delivery_status]])</f>
        <v>Delivered</v>
      </c>
      <c r="K4891" t="s">
        <v>6929</v>
      </c>
    </row>
    <row r="4892" spans="1:11">
      <c r="A4892" t="s">
        <v>11828</v>
      </c>
      <c r="B4892" t="s">
        <v>5510</v>
      </c>
      <c r="C4892" t="s">
        <v>6956</v>
      </c>
      <c r="D4892" s="1">
        <v>44957</v>
      </c>
      <c r="E4892" s="1">
        <v>44967</v>
      </c>
      <c r="F4892" s="1">
        <v>44970</v>
      </c>
      <c r="G4892">
        <v>14.61</v>
      </c>
      <c r="H48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92" t="str">
        <f>IFERROR(INDEX(Raw_orders!G:G, MATCH(shipments[[#This Row],[order_id]],Raw_orders!A:A, 0)), "Unknown")</f>
        <v>Nordics</v>
      </c>
      <c r="J4892" t="str">
        <f>PROPER(shipments[[#This Row],[delivery_status]])</f>
        <v>Delivered</v>
      </c>
      <c r="K4892" t="s">
        <v>6922</v>
      </c>
    </row>
    <row r="4893" spans="1:11">
      <c r="A4893" t="s">
        <v>11829</v>
      </c>
      <c r="B4893" t="s">
        <v>5511</v>
      </c>
      <c r="C4893" t="s">
        <v>6935</v>
      </c>
      <c r="D4893" s="1">
        <v>45581</v>
      </c>
      <c r="E4893" s="1">
        <v>45586</v>
      </c>
      <c r="F4893" s="1"/>
      <c r="G4893">
        <v>41.35</v>
      </c>
      <c r="H48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893" t="str">
        <f>IFERROR(INDEX(Raw_orders!G:G, MATCH(shipments[[#This Row],[order_id]],Raw_orders!A:A, 0)), "Unknown")</f>
        <v>Baltics</v>
      </c>
      <c r="J4893" t="str">
        <f>PROPER(shipments[[#This Row],[delivery_status]])</f>
        <v>In Transit</v>
      </c>
      <c r="K4893" t="s">
        <v>6946</v>
      </c>
    </row>
    <row r="4894" spans="1:11">
      <c r="A4894" t="s">
        <v>11830</v>
      </c>
      <c r="B4894" t="s">
        <v>5512</v>
      </c>
      <c r="C4894" t="s">
        <v>6931</v>
      </c>
      <c r="D4894" s="1">
        <v>45309</v>
      </c>
      <c r="E4894" s="1">
        <v>45319</v>
      </c>
      <c r="F4894" s="1">
        <v>45320</v>
      </c>
      <c r="G4894">
        <v>31.76</v>
      </c>
      <c r="H48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94" t="str">
        <f>IFERROR(INDEX(Raw_orders!G:G, MATCH(shipments[[#This Row],[order_id]],Raw_orders!A:A, 0)), "Unknown")</f>
        <v>Nordics</v>
      </c>
      <c r="J4894" t="str">
        <f>PROPER(shipments[[#This Row],[delivery_status]])</f>
        <v>Delivered</v>
      </c>
      <c r="K4894" t="s">
        <v>6922</v>
      </c>
    </row>
    <row r="4895" spans="1:11">
      <c r="A4895" t="s">
        <v>11831</v>
      </c>
      <c r="B4895" t="s">
        <v>5513</v>
      </c>
      <c r="C4895" t="s">
        <v>6931</v>
      </c>
      <c r="D4895" s="1">
        <v>45006</v>
      </c>
      <c r="E4895" s="1">
        <v>45009</v>
      </c>
      <c r="F4895" s="1">
        <v>45017</v>
      </c>
      <c r="G4895">
        <v>60.3</v>
      </c>
      <c r="H48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95" t="str">
        <f>IFERROR(INDEX(Raw_orders!G:G, MATCH(shipments[[#This Row],[order_id]],Raw_orders!A:A, 0)), "Unknown")</f>
        <v>Nordics</v>
      </c>
      <c r="J4895" t="str">
        <f>PROPER(shipments[[#This Row],[delivery_status]])</f>
        <v>Delivered</v>
      </c>
      <c r="K4895" t="s">
        <v>6926</v>
      </c>
    </row>
    <row r="4896" spans="1:11">
      <c r="A4896" t="s">
        <v>11832</v>
      </c>
      <c r="B4896" t="s">
        <v>5514</v>
      </c>
      <c r="C4896" t="s">
        <v>6956</v>
      </c>
      <c r="D4896" s="1">
        <v>45244</v>
      </c>
      <c r="E4896" s="1">
        <v>45249</v>
      </c>
      <c r="F4896" s="1">
        <v>45251</v>
      </c>
      <c r="G4896">
        <v>36.020000000000003</v>
      </c>
      <c r="H48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96" t="str">
        <f>IFERROR(INDEX(Raw_orders!G:G, MATCH(shipments[[#This Row],[order_id]],Raw_orders!A:A, 0)), "Unknown")</f>
        <v>Baltics</v>
      </c>
      <c r="J4896" t="str">
        <f>PROPER(shipments[[#This Row],[delivery_status]])</f>
        <v>Delivered</v>
      </c>
      <c r="K4896" t="s">
        <v>6929</v>
      </c>
    </row>
    <row r="4897" spans="1:11">
      <c r="A4897" t="s">
        <v>11833</v>
      </c>
      <c r="B4897" t="s">
        <v>5515</v>
      </c>
      <c r="C4897" t="s">
        <v>6940</v>
      </c>
      <c r="D4897" s="1">
        <v>45559</v>
      </c>
      <c r="E4897" s="1">
        <v>45566</v>
      </c>
      <c r="F4897" s="1">
        <v>45580</v>
      </c>
      <c r="G4897">
        <v>16.95</v>
      </c>
      <c r="H48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97" t="str">
        <f>IFERROR(INDEX(Raw_orders!G:G, MATCH(shipments[[#This Row],[order_id]],Raw_orders!A:A, 0)), "Unknown")</f>
        <v>Central Europe</v>
      </c>
      <c r="J4897" t="str">
        <f>PROPER(shipments[[#This Row],[delivery_status]])</f>
        <v>Delivered</v>
      </c>
      <c r="K4897" t="s">
        <v>6926</v>
      </c>
    </row>
    <row r="4898" spans="1:11">
      <c r="A4898" t="s">
        <v>11834</v>
      </c>
      <c r="B4898" t="s">
        <v>5516</v>
      </c>
      <c r="C4898" t="s">
        <v>6921</v>
      </c>
      <c r="D4898" s="1">
        <v>45568</v>
      </c>
      <c r="E4898" s="1">
        <v>45571</v>
      </c>
      <c r="F4898" s="1">
        <v>45579</v>
      </c>
      <c r="G4898">
        <v>10.36</v>
      </c>
      <c r="H48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98" t="str">
        <f>IFERROR(INDEX(Raw_orders!G:G, MATCH(shipments[[#This Row],[order_id]],Raw_orders!A:A, 0)), "Unknown")</f>
        <v>Nordics</v>
      </c>
      <c r="J4898" t="str">
        <f>PROPER(shipments[[#This Row],[delivery_status]])</f>
        <v>Delivered</v>
      </c>
      <c r="K4898" t="s">
        <v>6922</v>
      </c>
    </row>
    <row r="4899" spans="1:11">
      <c r="A4899" t="s">
        <v>11835</v>
      </c>
      <c r="B4899" t="s">
        <v>5516</v>
      </c>
      <c r="C4899" t="s">
        <v>6921</v>
      </c>
      <c r="D4899" s="1">
        <v>45571</v>
      </c>
      <c r="E4899" s="1">
        <v>45573</v>
      </c>
      <c r="F4899" s="1">
        <v>45576</v>
      </c>
      <c r="G4899">
        <v>61.95</v>
      </c>
      <c r="H48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899" t="str">
        <f>IFERROR(INDEX(Raw_orders!G:G, MATCH(shipments[[#This Row],[order_id]],Raw_orders!A:A, 0)), "Unknown")</f>
        <v>Nordics</v>
      </c>
      <c r="J4899" t="str">
        <f>PROPER(shipments[[#This Row],[delivery_status]])</f>
        <v>Delivered</v>
      </c>
      <c r="K4899" t="s">
        <v>6929</v>
      </c>
    </row>
    <row r="4900" spans="1:11">
      <c r="A4900" t="s">
        <v>11836</v>
      </c>
      <c r="B4900" t="s">
        <v>5517</v>
      </c>
      <c r="C4900" t="s">
        <v>6938</v>
      </c>
      <c r="D4900" s="1">
        <v>45547</v>
      </c>
      <c r="E4900" s="1">
        <v>45557</v>
      </c>
      <c r="F4900" s="1"/>
      <c r="G4900">
        <v>23.21</v>
      </c>
      <c r="H49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900" t="str">
        <f>IFERROR(INDEX(Raw_orders!G:G, MATCH(shipments[[#This Row],[order_id]],Raw_orders!A:A, 0)), "Unknown")</f>
        <v>Baltics</v>
      </c>
      <c r="J4900" t="str">
        <f>PROPER(shipments[[#This Row],[delivery_status]])</f>
        <v>Cancelled</v>
      </c>
      <c r="K4900" t="s">
        <v>6963</v>
      </c>
    </row>
    <row r="4901" spans="1:11">
      <c r="A4901" t="s">
        <v>11837</v>
      </c>
      <c r="B4901" t="s">
        <v>5518</v>
      </c>
      <c r="C4901" t="s">
        <v>6935</v>
      </c>
      <c r="D4901" s="1">
        <v>45315</v>
      </c>
      <c r="E4901" s="1">
        <v>45320</v>
      </c>
      <c r="F4901" s="1"/>
      <c r="G4901">
        <v>21.41</v>
      </c>
      <c r="H49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901" t="str">
        <f>IFERROR(INDEX(Raw_orders!G:G, MATCH(shipments[[#This Row],[order_id]],Raw_orders!A:A, 0)), "Unknown")</f>
        <v>Nordics</v>
      </c>
      <c r="J4901" t="str">
        <f>PROPER(shipments[[#This Row],[delivery_status]])</f>
        <v>In Transit</v>
      </c>
      <c r="K4901" t="s">
        <v>6977</v>
      </c>
    </row>
    <row r="4902" spans="1:11">
      <c r="A4902" t="s">
        <v>11838</v>
      </c>
      <c r="B4902" t="s">
        <v>5519</v>
      </c>
      <c r="C4902" t="s">
        <v>6935</v>
      </c>
      <c r="D4902" s="1">
        <v>45181</v>
      </c>
      <c r="E4902" s="1">
        <v>45183</v>
      </c>
      <c r="F4902" s="1">
        <v>45191</v>
      </c>
      <c r="G4902">
        <v>16.12</v>
      </c>
      <c r="H49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02" t="str">
        <f>IFERROR(INDEX(Raw_orders!G:G, MATCH(shipments[[#This Row],[order_id]],Raw_orders!A:A, 0)), "Unknown")</f>
        <v>Baltics</v>
      </c>
      <c r="J4902" t="str">
        <f>PROPER(shipments[[#This Row],[delivery_status]])</f>
        <v>Delivered</v>
      </c>
      <c r="K4902" t="s">
        <v>6929</v>
      </c>
    </row>
    <row r="4903" spans="1:11">
      <c r="A4903" t="s">
        <v>11839</v>
      </c>
      <c r="B4903" t="s">
        <v>5520</v>
      </c>
      <c r="C4903" t="s">
        <v>6925</v>
      </c>
      <c r="D4903" s="1">
        <v>45399</v>
      </c>
      <c r="E4903" s="1">
        <v>45404</v>
      </c>
      <c r="F4903" s="1"/>
      <c r="G4903">
        <v>39.61</v>
      </c>
      <c r="H49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903" t="str">
        <f>IFERROR(INDEX(Raw_orders!G:G, MATCH(shipments[[#This Row],[order_id]],Raw_orders!A:A, 0)), "Unknown")</f>
        <v>Central Europe</v>
      </c>
      <c r="J4903" t="str">
        <f>PROPER(shipments[[#This Row],[delivery_status]])</f>
        <v>In Transit</v>
      </c>
      <c r="K4903" t="s">
        <v>6977</v>
      </c>
    </row>
    <row r="4904" spans="1:11">
      <c r="A4904" t="s">
        <v>11840</v>
      </c>
      <c r="B4904" t="s">
        <v>5521</v>
      </c>
      <c r="C4904" t="s">
        <v>6921</v>
      </c>
      <c r="D4904" s="1">
        <v>45396</v>
      </c>
      <c r="E4904" s="1">
        <v>45401</v>
      </c>
      <c r="F4904" s="1">
        <v>45408</v>
      </c>
      <c r="G4904">
        <v>54.93</v>
      </c>
      <c r="H49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04" t="str">
        <f>IFERROR(INDEX(Raw_orders!G:G, MATCH(shipments[[#This Row],[order_id]],Raw_orders!A:A, 0)), "Unknown")</f>
        <v>Central Europe</v>
      </c>
      <c r="J4904" t="str">
        <f>PROPER(shipments[[#This Row],[delivery_status]])</f>
        <v>Delivered</v>
      </c>
      <c r="K4904" t="s">
        <v>6926</v>
      </c>
    </row>
    <row r="4905" spans="1:11">
      <c r="A4905" t="s">
        <v>11841</v>
      </c>
      <c r="B4905" t="s">
        <v>5522</v>
      </c>
      <c r="C4905" t="s">
        <v>6931</v>
      </c>
      <c r="D4905" s="1">
        <v>45252</v>
      </c>
      <c r="E4905" s="1">
        <v>45257</v>
      </c>
      <c r="F4905" s="1">
        <v>45256</v>
      </c>
      <c r="G4905">
        <v>48.97</v>
      </c>
      <c r="H49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905" t="str">
        <f>IFERROR(INDEX(Raw_orders!G:G, MATCH(shipments[[#This Row],[order_id]],Raw_orders!A:A, 0)), "Unknown")</f>
        <v>Nordics</v>
      </c>
      <c r="J4905" t="str">
        <f>PROPER(shipments[[#This Row],[delivery_status]])</f>
        <v>Delivered</v>
      </c>
      <c r="K4905" t="s">
        <v>6922</v>
      </c>
    </row>
    <row r="4906" spans="1:11">
      <c r="A4906" t="s">
        <v>11842</v>
      </c>
      <c r="B4906" t="s">
        <v>5523</v>
      </c>
      <c r="C4906" t="s">
        <v>6928</v>
      </c>
      <c r="D4906" s="1">
        <v>45548</v>
      </c>
      <c r="E4906" s="1">
        <v>45550</v>
      </c>
      <c r="F4906" s="1">
        <v>45550</v>
      </c>
      <c r="G4906">
        <v>56.73</v>
      </c>
      <c r="H49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906" t="str">
        <f>IFERROR(INDEX(Raw_orders!G:G, MATCH(shipments[[#This Row],[order_id]],Raw_orders!A:A, 0)), "Unknown")</f>
        <v>Nordics</v>
      </c>
      <c r="J4906" t="str">
        <f>PROPER(shipments[[#This Row],[delivery_status]])</f>
        <v>Delivered</v>
      </c>
      <c r="K4906" t="s">
        <v>6926</v>
      </c>
    </row>
    <row r="4907" spans="1:11">
      <c r="A4907" t="s">
        <v>11843</v>
      </c>
      <c r="B4907" t="s">
        <v>5524</v>
      </c>
      <c r="C4907" t="s">
        <v>6921</v>
      </c>
      <c r="D4907" s="1">
        <v>45579</v>
      </c>
      <c r="E4907" s="1">
        <v>45584</v>
      </c>
      <c r="F4907" s="1">
        <v>45586</v>
      </c>
      <c r="G4907">
        <v>34.17</v>
      </c>
      <c r="H49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07" t="str">
        <f>IFERROR(INDEX(Raw_orders!G:G, MATCH(shipments[[#This Row],[order_id]],Raw_orders!A:A, 0)), "Unknown")</f>
        <v>Central Europe</v>
      </c>
      <c r="J4907" t="str">
        <f>PROPER(shipments[[#This Row],[delivery_status]])</f>
        <v>Delivered</v>
      </c>
      <c r="K4907" t="s">
        <v>6922</v>
      </c>
    </row>
    <row r="4908" spans="1:11">
      <c r="A4908" t="s">
        <v>11844</v>
      </c>
      <c r="B4908" t="s">
        <v>5525</v>
      </c>
      <c r="C4908" t="s">
        <v>6938</v>
      </c>
      <c r="D4908" s="1">
        <v>45135</v>
      </c>
      <c r="E4908" s="1">
        <v>45142</v>
      </c>
      <c r="F4908" s="1">
        <v>45144</v>
      </c>
      <c r="G4908">
        <v>42.05</v>
      </c>
      <c r="H49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08" t="str">
        <f>IFERROR(INDEX(Raw_orders!G:G, MATCH(shipments[[#This Row],[order_id]],Raw_orders!A:A, 0)), "Unknown")</f>
        <v>Central Europe</v>
      </c>
      <c r="J4908" t="str">
        <f>PROPER(shipments[[#This Row],[delivery_status]])</f>
        <v>Delivered</v>
      </c>
      <c r="K4908" t="s">
        <v>6929</v>
      </c>
    </row>
    <row r="4909" spans="1:11">
      <c r="A4909" t="s">
        <v>11845</v>
      </c>
      <c r="B4909" t="s">
        <v>5526</v>
      </c>
      <c r="C4909" t="s">
        <v>6921</v>
      </c>
      <c r="D4909" s="1">
        <v>45460</v>
      </c>
      <c r="E4909" s="1">
        <v>45467</v>
      </c>
      <c r="F4909" s="1">
        <v>45475</v>
      </c>
      <c r="G4909">
        <v>43.12</v>
      </c>
      <c r="H49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09" t="str">
        <f>IFERROR(INDEX(Raw_orders!G:G, MATCH(shipments[[#This Row],[order_id]],Raw_orders!A:A, 0)), "Unknown")</f>
        <v>Nordics</v>
      </c>
      <c r="J4909" t="str">
        <f>PROPER(shipments[[#This Row],[delivery_status]])</f>
        <v>Delivered</v>
      </c>
      <c r="K4909" t="s">
        <v>6929</v>
      </c>
    </row>
    <row r="4910" spans="1:11">
      <c r="A4910" t="s">
        <v>11846</v>
      </c>
      <c r="B4910" t="s">
        <v>5527</v>
      </c>
      <c r="C4910" t="s">
        <v>6921</v>
      </c>
      <c r="D4910" s="1">
        <v>45441</v>
      </c>
      <c r="E4910" s="1">
        <v>45451</v>
      </c>
      <c r="F4910" s="1">
        <v>45452</v>
      </c>
      <c r="G4910">
        <v>38.200000000000003</v>
      </c>
      <c r="H49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10" t="str">
        <f>IFERROR(INDEX(Raw_orders!G:G, MATCH(shipments[[#This Row],[order_id]],Raw_orders!A:A, 0)), "Unknown")</f>
        <v>Baltics</v>
      </c>
      <c r="J4910" t="str">
        <f>PROPER(shipments[[#This Row],[delivery_status]])</f>
        <v>Delivered</v>
      </c>
      <c r="K4910" t="s">
        <v>6926</v>
      </c>
    </row>
    <row r="4911" spans="1:11">
      <c r="A4911" t="s">
        <v>11847</v>
      </c>
      <c r="B4911" t="s">
        <v>5527</v>
      </c>
      <c r="C4911" t="s">
        <v>6921</v>
      </c>
      <c r="D4911" s="1">
        <v>45439</v>
      </c>
      <c r="E4911" s="1">
        <v>45441</v>
      </c>
      <c r="F4911" s="1">
        <v>45446</v>
      </c>
      <c r="G4911">
        <v>29.78</v>
      </c>
      <c r="H49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11" t="str">
        <f>IFERROR(INDEX(Raw_orders!G:G, MATCH(shipments[[#This Row],[order_id]],Raw_orders!A:A, 0)), "Unknown")</f>
        <v>Baltics</v>
      </c>
      <c r="J4911" t="str">
        <f>PROPER(shipments[[#This Row],[delivery_status]])</f>
        <v>Delivered</v>
      </c>
      <c r="K4911" t="s">
        <v>6929</v>
      </c>
    </row>
    <row r="4912" spans="1:11">
      <c r="A4912" t="s">
        <v>11848</v>
      </c>
      <c r="B4912" t="s">
        <v>5528</v>
      </c>
      <c r="C4912" t="s">
        <v>6938</v>
      </c>
      <c r="D4912" s="1">
        <v>45271</v>
      </c>
      <c r="E4912" s="1">
        <v>45273</v>
      </c>
      <c r="F4912" s="1"/>
      <c r="G4912">
        <v>40.57</v>
      </c>
      <c r="H49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912" t="str">
        <f>IFERROR(INDEX(Raw_orders!G:G, MATCH(shipments[[#This Row],[order_id]],Raw_orders!A:A, 0)), "Unknown")</f>
        <v>Baltics</v>
      </c>
      <c r="J4912" t="str">
        <f>PROPER(shipments[[#This Row],[delivery_status]])</f>
        <v>Cancelled</v>
      </c>
      <c r="K4912" t="s">
        <v>6972</v>
      </c>
    </row>
    <row r="4913" spans="1:11">
      <c r="A4913" t="s">
        <v>11849</v>
      </c>
      <c r="B4913" t="s">
        <v>5529</v>
      </c>
      <c r="C4913" t="s">
        <v>6931</v>
      </c>
      <c r="D4913" s="1">
        <v>45290</v>
      </c>
      <c r="E4913" s="1">
        <v>45300</v>
      </c>
      <c r="F4913" s="1">
        <v>45303</v>
      </c>
      <c r="G4913">
        <v>19.239999999999998</v>
      </c>
      <c r="H49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13" t="str">
        <f>IFERROR(INDEX(Raw_orders!G:G, MATCH(shipments[[#This Row],[order_id]],Raw_orders!A:A, 0)), "Unknown")</f>
        <v>Central Europe</v>
      </c>
      <c r="J4913" t="str">
        <f>PROPER(shipments[[#This Row],[delivery_status]])</f>
        <v>Delivered</v>
      </c>
      <c r="K4913" t="s">
        <v>6922</v>
      </c>
    </row>
    <row r="4914" spans="1:11">
      <c r="A4914" t="s">
        <v>11850</v>
      </c>
      <c r="B4914" t="s">
        <v>5530</v>
      </c>
      <c r="C4914" t="s">
        <v>6956</v>
      </c>
      <c r="D4914" s="1">
        <v>45430</v>
      </c>
      <c r="E4914" s="1">
        <v>45433</v>
      </c>
      <c r="F4914" s="1">
        <v>45435</v>
      </c>
      <c r="G4914">
        <v>62.09</v>
      </c>
      <c r="H49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14" t="str">
        <f>IFERROR(INDEX(Raw_orders!G:G, MATCH(shipments[[#This Row],[order_id]],Raw_orders!A:A, 0)), "Unknown")</f>
        <v>Central Europe</v>
      </c>
      <c r="J4914" t="str">
        <f>PROPER(shipments[[#This Row],[delivery_status]])</f>
        <v>Delivered</v>
      </c>
      <c r="K4914" t="s">
        <v>6926</v>
      </c>
    </row>
    <row r="4915" spans="1:11">
      <c r="A4915" t="s">
        <v>11851</v>
      </c>
      <c r="B4915" t="s">
        <v>5531</v>
      </c>
      <c r="C4915" t="s">
        <v>6940</v>
      </c>
      <c r="D4915" s="1">
        <v>44952</v>
      </c>
      <c r="E4915" s="1">
        <v>44954</v>
      </c>
      <c r="F4915" s="1">
        <v>44954</v>
      </c>
      <c r="G4915">
        <v>54.1</v>
      </c>
      <c r="H49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915" t="str">
        <f>IFERROR(INDEX(Raw_orders!G:G, MATCH(shipments[[#This Row],[order_id]],Raw_orders!A:A, 0)), "Unknown")</f>
        <v>Central Europe</v>
      </c>
      <c r="J4915" t="str">
        <f>PROPER(shipments[[#This Row],[delivery_status]])</f>
        <v>Delivered</v>
      </c>
      <c r="K4915" t="s">
        <v>6929</v>
      </c>
    </row>
    <row r="4916" spans="1:11">
      <c r="A4916" t="s">
        <v>11852</v>
      </c>
      <c r="B4916" t="s">
        <v>5532</v>
      </c>
      <c r="C4916" t="s">
        <v>6940</v>
      </c>
      <c r="D4916" s="1">
        <v>45099</v>
      </c>
      <c r="E4916" s="1">
        <v>45104</v>
      </c>
      <c r="F4916" s="1">
        <v>45113</v>
      </c>
      <c r="G4916">
        <v>33.950000000000003</v>
      </c>
      <c r="H49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16" t="str">
        <f>IFERROR(INDEX(Raw_orders!G:G, MATCH(shipments[[#This Row],[order_id]],Raw_orders!A:A, 0)), "Unknown")</f>
        <v>Central Europe</v>
      </c>
      <c r="J4916" t="str">
        <f>PROPER(shipments[[#This Row],[delivery_status]])</f>
        <v>Delivered</v>
      </c>
      <c r="K4916" t="s">
        <v>6922</v>
      </c>
    </row>
    <row r="4917" spans="1:11">
      <c r="A4917" t="s">
        <v>11853</v>
      </c>
      <c r="B4917" t="s">
        <v>5533</v>
      </c>
      <c r="C4917" t="s">
        <v>6956</v>
      </c>
      <c r="D4917" s="1">
        <v>45575</v>
      </c>
      <c r="E4917" s="1">
        <v>45577</v>
      </c>
      <c r="F4917" s="1">
        <v>45580</v>
      </c>
      <c r="G4917">
        <v>46.92</v>
      </c>
      <c r="H49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17" t="str">
        <f>IFERROR(INDEX(Raw_orders!G:G, MATCH(shipments[[#This Row],[order_id]],Raw_orders!A:A, 0)), "Unknown")</f>
        <v>Nordics</v>
      </c>
      <c r="J4917" t="str">
        <f>PROPER(shipments[[#This Row],[delivery_status]])</f>
        <v>Delivered</v>
      </c>
      <c r="K4917" t="s">
        <v>6922</v>
      </c>
    </row>
    <row r="4918" spans="1:11">
      <c r="A4918" t="s">
        <v>11854</v>
      </c>
      <c r="B4918" t="s">
        <v>5534</v>
      </c>
      <c r="C4918" t="s">
        <v>6931</v>
      </c>
      <c r="D4918" s="1">
        <v>45347</v>
      </c>
      <c r="E4918" s="1">
        <v>45349</v>
      </c>
      <c r="F4918" s="1">
        <v>45351</v>
      </c>
      <c r="G4918">
        <v>30.31</v>
      </c>
      <c r="H49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18" t="str">
        <f>IFERROR(INDEX(Raw_orders!G:G, MATCH(shipments[[#This Row],[order_id]],Raw_orders!A:A, 0)), "Unknown")</f>
        <v>Baltics</v>
      </c>
      <c r="J4918" t="str">
        <f>PROPER(shipments[[#This Row],[delivery_status]])</f>
        <v>Delivered</v>
      </c>
      <c r="K4918" t="s">
        <v>6929</v>
      </c>
    </row>
    <row r="4919" spans="1:11">
      <c r="A4919" t="s">
        <v>11855</v>
      </c>
      <c r="B4919" t="s">
        <v>5535</v>
      </c>
      <c r="C4919" t="s">
        <v>6925</v>
      </c>
      <c r="D4919" s="1">
        <v>45085</v>
      </c>
      <c r="E4919" s="1">
        <v>45090</v>
      </c>
      <c r="F4919" s="1">
        <v>45098</v>
      </c>
      <c r="G4919">
        <v>29.06</v>
      </c>
      <c r="H49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19" t="str">
        <f>IFERROR(INDEX(Raw_orders!G:G, MATCH(shipments[[#This Row],[order_id]],Raw_orders!A:A, 0)), "Unknown")</f>
        <v>Central Europe</v>
      </c>
      <c r="J4919" t="str">
        <f>PROPER(shipments[[#This Row],[delivery_status]])</f>
        <v>Delivered</v>
      </c>
      <c r="K4919" t="s">
        <v>6926</v>
      </c>
    </row>
    <row r="4920" spans="1:11">
      <c r="A4920" t="s">
        <v>11856</v>
      </c>
      <c r="B4920" t="s">
        <v>5536</v>
      </c>
      <c r="C4920" t="s">
        <v>6940</v>
      </c>
      <c r="D4920" s="1">
        <v>45279</v>
      </c>
      <c r="E4920" s="1">
        <v>45284</v>
      </c>
      <c r="F4920" s="1">
        <v>45287</v>
      </c>
      <c r="G4920">
        <v>60.66</v>
      </c>
      <c r="H49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20" t="str">
        <f>IFERROR(INDEX(Raw_orders!G:G, MATCH(shipments[[#This Row],[order_id]],Raw_orders!A:A, 0)), "Unknown")</f>
        <v>Central Europe</v>
      </c>
      <c r="J4920" t="str">
        <f>PROPER(shipments[[#This Row],[delivery_status]])</f>
        <v>Delivered</v>
      </c>
      <c r="K4920" t="s">
        <v>6926</v>
      </c>
    </row>
    <row r="4921" spans="1:11">
      <c r="A4921" t="s">
        <v>11857</v>
      </c>
      <c r="B4921" t="s">
        <v>5537</v>
      </c>
      <c r="C4921" t="s">
        <v>6935</v>
      </c>
      <c r="D4921" s="1">
        <v>45280</v>
      </c>
      <c r="E4921" s="1">
        <v>45283</v>
      </c>
      <c r="F4921" s="1">
        <v>45291</v>
      </c>
      <c r="G4921">
        <v>5.41</v>
      </c>
      <c r="H49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21" t="str">
        <f>IFERROR(INDEX(Raw_orders!G:G, MATCH(shipments[[#This Row],[order_id]],Raw_orders!A:A, 0)), "Unknown")</f>
        <v>Baltics</v>
      </c>
      <c r="J4921" t="str">
        <f>PROPER(shipments[[#This Row],[delivery_status]])</f>
        <v>Delivered</v>
      </c>
      <c r="K4921" t="s">
        <v>6926</v>
      </c>
    </row>
    <row r="4922" spans="1:11">
      <c r="A4922" t="s">
        <v>11858</v>
      </c>
      <c r="B4922" t="s">
        <v>5538</v>
      </c>
      <c r="C4922" t="s">
        <v>6938</v>
      </c>
      <c r="D4922" s="1">
        <v>45054</v>
      </c>
      <c r="E4922" s="1">
        <v>45064</v>
      </c>
      <c r="F4922" s="1">
        <v>45075</v>
      </c>
      <c r="G4922">
        <v>38.94</v>
      </c>
      <c r="H49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22" t="str">
        <f>IFERROR(INDEX(Raw_orders!G:G, MATCH(shipments[[#This Row],[order_id]],Raw_orders!A:A, 0)), "Unknown")</f>
        <v>Central Europe</v>
      </c>
      <c r="J4922" t="str">
        <f>PROPER(shipments[[#This Row],[delivery_status]])</f>
        <v>Delivered</v>
      </c>
      <c r="K4922" t="s">
        <v>6929</v>
      </c>
    </row>
    <row r="4923" spans="1:11">
      <c r="A4923" t="s">
        <v>11859</v>
      </c>
      <c r="B4923" t="s">
        <v>5539</v>
      </c>
      <c r="C4923" t="s">
        <v>6921</v>
      </c>
      <c r="D4923" s="1">
        <v>45431</v>
      </c>
      <c r="E4923" s="1">
        <v>45433</v>
      </c>
      <c r="F4923" s="1">
        <v>45438</v>
      </c>
      <c r="G4923">
        <v>54.95</v>
      </c>
      <c r="H49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23" t="str">
        <f>IFERROR(INDEX(Raw_orders!G:G, MATCH(shipments[[#This Row],[order_id]],Raw_orders!A:A, 0)), "Unknown")</f>
        <v>Central Europe</v>
      </c>
      <c r="J4923" t="str">
        <f>PROPER(shipments[[#This Row],[delivery_status]])</f>
        <v>Delivered</v>
      </c>
      <c r="K4923" t="s">
        <v>6929</v>
      </c>
    </row>
    <row r="4924" spans="1:11">
      <c r="A4924" t="s">
        <v>11860</v>
      </c>
      <c r="B4924" t="s">
        <v>5540</v>
      </c>
      <c r="C4924" t="s">
        <v>6949</v>
      </c>
      <c r="D4924" s="1">
        <v>45218</v>
      </c>
      <c r="E4924" s="1">
        <v>45221</v>
      </c>
      <c r="F4924" s="1">
        <v>45220</v>
      </c>
      <c r="G4924">
        <v>15</v>
      </c>
      <c r="H49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924" t="str">
        <f>IFERROR(INDEX(Raw_orders!G:G, MATCH(shipments[[#This Row],[order_id]],Raw_orders!A:A, 0)), "Unknown")</f>
        <v>Central Europe</v>
      </c>
      <c r="J4924" t="str">
        <f>PROPER(shipments[[#This Row],[delivery_status]])</f>
        <v>Delivered</v>
      </c>
      <c r="K4924" t="s">
        <v>6922</v>
      </c>
    </row>
    <row r="4925" spans="1:11">
      <c r="A4925" t="s">
        <v>11861</v>
      </c>
      <c r="B4925" t="s">
        <v>5541</v>
      </c>
      <c r="C4925" t="s">
        <v>6935</v>
      </c>
      <c r="D4925" s="1">
        <v>45502</v>
      </c>
      <c r="E4925" s="1">
        <v>45505</v>
      </c>
      <c r="F4925" s="1">
        <v>45505</v>
      </c>
      <c r="G4925">
        <v>8.36</v>
      </c>
      <c r="H49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925" t="str">
        <f>IFERROR(INDEX(Raw_orders!G:G, MATCH(shipments[[#This Row],[order_id]],Raw_orders!A:A, 0)), "Unknown")</f>
        <v>Central Europe</v>
      </c>
      <c r="J4925" t="str">
        <f>PROPER(shipments[[#This Row],[delivery_status]])</f>
        <v>Delivered</v>
      </c>
      <c r="K4925" t="s">
        <v>6922</v>
      </c>
    </row>
    <row r="4926" spans="1:11">
      <c r="A4926" t="s">
        <v>11862</v>
      </c>
      <c r="B4926" t="s">
        <v>5542</v>
      </c>
      <c r="C4926" t="s">
        <v>6921</v>
      </c>
      <c r="D4926" s="1">
        <v>44963</v>
      </c>
      <c r="E4926" s="1">
        <v>44970</v>
      </c>
      <c r="F4926" s="1">
        <v>44975</v>
      </c>
      <c r="G4926">
        <v>6.92</v>
      </c>
      <c r="H49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26" t="str">
        <f>IFERROR(INDEX(Raw_orders!G:G, MATCH(shipments[[#This Row],[order_id]],Raw_orders!A:A, 0)), "Unknown")</f>
        <v>Nordics</v>
      </c>
      <c r="J4926" t="str">
        <f>PROPER(shipments[[#This Row],[delivery_status]])</f>
        <v>Delivered</v>
      </c>
      <c r="K4926" t="s">
        <v>6929</v>
      </c>
    </row>
    <row r="4927" spans="1:11">
      <c r="A4927" t="s">
        <v>11863</v>
      </c>
      <c r="B4927" t="s">
        <v>5542</v>
      </c>
      <c r="C4927" t="s">
        <v>6921</v>
      </c>
      <c r="D4927" s="1">
        <v>44962</v>
      </c>
      <c r="E4927" s="1">
        <v>44967</v>
      </c>
      <c r="F4927" s="1">
        <v>44972</v>
      </c>
      <c r="G4927">
        <v>64.209999999999994</v>
      </c>
      <c r="H49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27" t="str">
        <f>IFERROR(INDEX(Raw_orders!G:G, MATCH(shipments[[#This Row],[order_id]],Raw_orders!A:A, 0)), "Unknown")</f>
        <v>Nordics</v>
      </c>
      <c r="J4927" t="str">
        <f>PROPER(shipments[[#This Row],[delivery_status]])</f>
        <v>Delivered</v>
      </c>
      <c r="K4927" t="s">
        <v>6922</v>
      </c>
    </row>
    <row r="4928" spans="1:11">
      <c r="A4928" t="s">
        <v>11864</v>
      </c>
      <c r="B4928" t="s">
        <v>5543</v>
      </c>
      <c r="C4928" t="s">
        <v>6925</v>
      </c>
      <c r="D4928" s="1">
        <v>45025</v>
      </c>
      <c r="E4928" s="1">
        <v>45027</v>
      </c>
      <c r="F4928" s="1">
        <v>45032</v>
      </c>
      <c r="G4928">
        <v>36.159999999999997</v>
      </c>
      <c r="H49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28" t="str">
        <f>IFERROR(INDEX(Raw_orders!G:G, MATCH(shipments[[#This Row],[order_id]],Raw_orders!A:A, 0)), "Unknown")</f>
        <v>Nordics</v>
      </c>
      <c r="J4928" t="str">
        <f>PROPER(shipments[[#This Row],[delivery_status]])</f>
        <v>Delivered</v>
      </c>
      <c r="K4928" t="s">
        <v>6922</v>
      </c>
    </row>
    <row r="4929" spans="1:11">
      <c r="A4929" t="s">
        <v>11865</v>
      </c>
      <c r="B4929" t="s">
        <v>5544</v>
      </c>
      <c r="C4929" t="s">
        <v>6925</v>
      </c>
      <c r="D4929" s="1">
        <v>45122</v>
      </c>
      <c r="E4929" s="1">
        <v>45124</v>
      </c>
      <c r="F4929" s="1">
        <v>45136</v>
      </c>
      <c r="G4929">
        <v>43.56</v>
      </c>
      <c r="H49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29" t="str">
        <f>IFERROR(INDEX(Raw_orders!G:G, MATCH(shipments[[#This Row],[order_id]],Raw_orders!A:A, 0)), "Unknown")</f>
        <v>Central Europe</v>
      </c>
      <c r="J4929" t="str">
        <f>PROPER(shipments[[#This Row],[delivery_status]])</f>
        <v>Delivered</v>
      </c>
      <c r="K4929" t="s">
        <v>6929</v>
      </c>
    </row>
    <row r="4930" spans="1:11">
      <c r="A4930" t="s">
        <v>11866</v>
      </c>
      <c r="B4930" t="s">
        <v>5545</v>
      </c>
      <c r="C4930" t="s">
        <v>6931</v>
      </c>
      <c r="D4930" s="1">
        <v>44986</v>
      </c>
      <c r="E4930" s="1">
        <v>44989</v>
      </c>
      <c r="F4930" s="1">
        <v>44989</v>
      </c>
      <c r="G4930">
        <v>17.2</v>
      </c>
      <c r="H49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930" t="str">
        <f>IFERROR(INDEX(Raw_orders!G:G, MATCH(shipments[[#This Row],[order_id]],Raw_orders!A:A, 0)), "Unknown")</f>
        <v>Central Europe</v>
      </c>
      <c r="J4930" t="str">
        <f>PROPER(shipments[[#This Row],[delivery_status]])</f>
        <v>Delivered</v>
      </c>
      <c r="K4930" t="s">
        <v>6929</v>
      </c>
    </row>
    <row r="4931" spans="1:11">
      <c r="A4931" t="s">
        <v>11867</v>
      </c>
      <c r="B4931" t="s">
        <v>5546</v>
      </c>
      <c r="C4931" t="s">
        <v>6925</v>
      </c>
      <c r="D4931" s="1">
        <v>45069</v>
      </c>
      <c r="E4931" s="1">
        <v>45071</v>
      </c>
      <c r="F4931" s="1"/>
      <c r="G4931">
        <v>48.71</v>
      </c>
      <c r="H49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931" t="str">
        <f>IFERROR(INDEX(Raw_orders!G:G, MATCH(shipments[[#This Row],[order_id]],Raw_orders!A:A, 0)), "Unknown")</f>
        <v>Central Europe</v>
      </c>
      <c r="J4931" t="str">
        <f>PROPER(shipments[[#This Row],[delivery_status]])</f>
        <v>In Transit</v>
      </c>
      <c r="K4931" t="s">
        <v>6977</v>
      </c>
    </row>
    <row r="4932" spans="1:11">
      <c r="A4932" t="s">
        <v>11868</v>
      </c>
      <c r="B4932" t="s">
        <v>5547</v>
      </c>
      <c r="C4932" t="s">
        <v>6921</v>
      </c>
      <c r="D4932" s="1">
        <v>45261</v>
      </c>
      <c r="E4932" s="1">
        <v>45264</v>
      </c>
      <c r="F4932" s="1">
        <v>45267</v>
      </c>
      <c r="G4932">
        <v>23.89</v>
      </c>
      <c r="H49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32" t="str">
        <f>IFERROR(INDEX(Raw_orders!G:G, MATCH(shipments[[#This Row],[order_id]],Raw_orders!A:A, 0)), "Unknown")</f>
        <v>Baltics</v>
      </c>
      <c r="J4932" t="str">
        <f>PROPER(shipments[[#This Row],[delivery_status]])</f>
        <v>Delivered</v>
      </c>
      <c r="K4932" t="s">
        <v>6929</v>
      </c>
    </row>
    <row r="4933" spans="1:11">
      <c r="A4933" t="s">
        <v>11869</v>
      </c>
      <c r="B4933" t="s">
        <v>5548</v>
      </c>
      <c r="C4933" t="s">
        <v>6921</v>
      </c>
      <c r="D4933" s="1">
        <v>45566</v>
      </c>
      <c r="E4933" s="1">
        <v>45571</v>
      </c>
      <c r="F4933" s="1">
        <v>45570</v>
      </c>
      <c r="G4933">
        <v>24.75</v>
      </c>
      <c r="H49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933" t="str">
        <f>IFERROR(INDEX(Raw_orders!G:G, MATCH(shipments[[#This Row],[order_id]],Raw_orders!A:A, 0)), "Unknown")</f>
        <v>Nordics</v>
      </c>
      <c r="J4933" t="str">
        <f>PROPER(shipments[[#This Row],[delivery_status]])</f>
        <v>Delivered</v>
      </c>
      <c r="K4933" t="s">
        <v>6929</v>
      </c>
    </row>
    <row r="4934" spans="1:11">
      <c r="A4934" t="s">
        <v>11870</v>
      </c>
      <c r="B4934" t="s">
        <v>5549</v>
      </c>
      <c r="C4934" t="s">
        <v>6928</v>
      </c>
      <c r="D4934" s="1">
        <v>45311</v>
      </c>
      <c r="E4934" s="1">
        <v>45316</v>
      </c>
      <c r="F4934" s="1">
        <v>45315</v>
      </c>
      <c r="G4934">
        <v>64.97</v>
      </c>
      <c r="H49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934" t="str">
        <f>IFERROR(INDEX(Raw_orders!G:G, MATCH(shipments[[#This Row],[order_id]],Raw_orders!A:A, 0)), "Unknown")</f>
        <v>Central Europe</v>
      </c>
      <c r="J4934" t="str">
        <f>PROPER(shipments[[#This Row],[delivery_status]])</f>
        <v>Delivered</v>
      </c>
      <c r="K4934" t="s">
        <v>6929</v>
      </c>
    </row>
    <row r="4935" spans="1:11">
      <c r="A4935" t="s">
        <v>11871</v>
      </c>
      <c r="B4935" t="s">
        <v>5550</v>
      </c>
      <c r="C4935" t="s">
        <v>6956</v>
      </c>
      <c r="D4935" s="1">
        <v>45550</v>
      </c>
      <c r="E4935" s="1">
        <v>45557</v>
      </c>
      <c r="F4935" s="1">
        <v>45563</v>
      </c>
      <c r="G4935">
        <v>37.380000000000003</v>
      </c>
      <c r="H49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35" t="str">
        <f>IFERROR(INDEX(Raw_orders!G:G, MATCH(shipments[[#This Row],[order_id]],Raw_orders!A:A, 0)), "Unknown")</f>
        <v>Central Europe</v>
      </c>
      <c r="J4935" t="str">
        <f>PROPER(shipments[[#This Row],[delivery_status]])</f>
        <v>Delivered</v>
      </c>
      <c r="K4935" t="s">
        <v>6926</v>
      </c>
    </row>
    <row r="4936" spans="1:11">
      <c r="A4936" t="s">
        <v>11872</v>
      </c>
      <c r="B4936" t="s">
        <v>5551</v>
      </c>
      <c r="C4936" t="s">
        <v>6928</v>
      </c>
      <c r="D4936" s="1">
        <v>45565</v>
      </c>
      <c r="E4936" s="1">
        <v>45568</v>
      </c>
      <c r="F4936" s="1">
        <v>45573</v>
      </c>
      <c r="G4936">
        <v>47.54</v>
      </c>
      <c r="H49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36" t="str">
        <f>IFERROR(INDEX(Raw_orders!G:G, MATCH(shipments[[#This Row],[order_id]],Raw_orders!A:A, 0)), "Unknown")</f>
        <v>Nordics</v>
      </c>
      <c r="J4936" t="str">
        <f>PROPER(shipments[[#This Row],[delivery_status]])</f>
        <v>Delivered</v>
      </c>
      <c r="K4936" t="s">
        <v>6926</v>
      </c>
    </row>
    <row r="4937" spans="1:11">
      <c r="A4937" t="s">
        <v>11873</v>
      </c>
      <c r="B4937" t="s">
        <v>5552</v>
      </c>
      <c r="C4937" t="s">
        <v>6928</v>
      </c>
      <c r="D4937" s="1">
        <v>45290</v>
      </c>
      <c r="E4937" s="1">
        <v>45295</v>
      </c>
      <c r="F4937" s="1">
        <v>45309</v>
      </c>
      <c r="G4937">
        <v>19.559999999999999</v>
      </c>
      <c r="H49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37" t="str">
        <f>IFERROR(INDEX(Raw_orders!G:G, MATCH(shipments[[#This Row],[order_id]],Raw_orders!A:A, 0)), "Unknown")</f>
        <v>Nordics</v>
      </c>
      <c r="J4937" t="str">
        <f>PROPER(shipments[[#This Row],[delivery_status]])</f>
        <v>Delivered</v>
      </c>
      <c r="K4937" t="s">
        <v>6926</v>
      </c>
    </row>
    <row r="4938" spans="1:11">
      <c r="A4938" t="s">
        <v>11874</v>
      </c>
      <c r="B4938" t="s">
        <v>5553</v>
      </c>
      <c r="C4938" t="s">
        <v>6925</v>
      </c>
      <c r="D4938" s="1">
        <v>45409</v>
      </c>
      <c r="E4938" s="1">
        <v>45416</v>
      </c>
      <c r="F4938" s="1">
        <v>45424</v>
      </c>
      <c r="G4938">
        <v>42.99</v>
      </c>
      <c r="H49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38" t="str">
        <f>IFERROR(INDEX(Raw_orders!G:G, MATCH(shipments[[#This Row],[order_id]],Raw_orders!A:A, 0)), "Unknown")</f>
        <v>Nordics</v>
      </c>
      <c r="J4938" t="str">
        <f>PROPER(shipments[[#This Row],[delivery_status]])</f>
        <v>Delivered</v>
      </c>
      <c r="K4938" t="s">
        <v>6926</v>
      </c>
    </row>
    <row r="4939" spans="1:11">
      <c r="A4939" t="s">
        <v>11875</v>
      </c>
      <c r="B4939" t="s">
        <v>5554</v>
      </c>
      <c r="C4939" t="s">
        <v>6931</v>
      </c>
      <c r="D4939" s="1">
        <v>45613</v>
      </c>
      <c r="E4939" s="1">
        <v>45618</v>
      </c>
      <c r="F4939" s="1">
        <v>45618</v>
      </c>
      <c r="G4939">
        <v>40.770000000000003</v>
      </c>
      <c r="H49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939" t="str">
        <f>IFERROR(INDEX(Raw_orders!G:G, MATCH(shipments[[#This Row],[order_id]],Raw_orders!A:A, 0)), "Unknown")</f>
        <v>Baltics</v>
      </c>
      <c r="J4939" t="str">
        <f>PROPER(shipments[[#This Row],[delivery_status]])</f>
        <v>Delivered</v>
      </c>
      <c r="K4939" t="s">
        <v>6922</v>
      </c>
    </row>
    <row r="4940" spans="1:11">
      <c r="A4940" t="s">
        <v>11876</v>
      </c>
      <c r="B4940" t="s">
        <v>5555</v>
      </c>
      <c r="C4940" t="s">
        <v>6928</v>
      </c>
      <c r="D4940" s="1">
        <v>45068</v>
      </c>
      <c r="E4940" s="1">
        <v>45070</v>
      </c>
      <c r="F4940" s="1">
        <v>45075</v>
      </c>
      <c r="G4940">
        <v>47.57</v>
      </c>
      <c r="H49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40" t="str">
        <f>IFERROR(INDEX(Raw_orders!G:G, MATCH(shipments[[#This Row],[order_id]],Raw_orders!A:A, 0)), "Unknown")</f>
        <v>Baltics</v>
      </c>
      <c r="J4940" t="str">
        <f>PROPER(shipments[[#This Row],[delivery_status]])</f>
        <v>Delivered</v>
      </c>
      <c r="K4940" t="s">
        <v>6922</v>
      </c>
    </row>
    <row r="4941" spans="1:11">
      <c r="A4941" t="s">
        <v>11877</v>
      </c>
      <c r="B4941" t="s">
        <v>5556</v>
      </c>
      <c r="C4941" t="s">
        <v>6928</v>
      </c>
      <c r="D4941" s="1">
        <v>45307</v>
      </c>
      <c r="E4941" s="1">
        <v>45312</v>
      </c>
      <c r="F4941" s="1">
        <v>45312</v>
      </c>
      <c r="G4941">
        <v>36.19</v>
      </c>
      <c r="H49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941" t="str">
        <f>IFERROR(INDEX(Raw_orders!G:G, MATCH(shipments[[#This Row],[order_id]],Raw_orders!A:A, 0)), "Unknown")</f>
        <v>Baltics</v>
      </c>
      <c r="J4941" t="str">
        <f>PROPER(shipments[[#This Row],[delivery_status]])</f>
        <v>Delivered</v>
      </c>
      <c r="K4941" t="s">
        <v>6926</v>
      </c>
    </row>
    <row r="4942" spans="1:11">
      <c r="A4942" t="s">
        <v>11878</v>
      </c>
      <c r="B4942" t="s">
        <v>5557</v>
      </c>
      <c r="C4942" t="s">
        <v>6925</v>
      </c>
      <c r="D4942" s="1">
        <v>45501</v>
      </c>
      <c r="E4942" s="1">
        <v>45511</v>
      </c>
      <c r="F4942" s="1"/>
      <c r="G4942">
        <v>20.170000000000002</v>
      </c>
      <c r="H49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942" t="str">
        <f>IFERROR(INDEX(Raw_orders!G:G, MATCH(shipments[[#This Row],[order_id]],Raw_orders!A:A, 0)), "Unknown")</f>
        <v>Baltics</v>
      </c>
      <c r="J4942" t="str">
        <f>PROPER(shipments[[#This Row],[delivery_status]])</f>
        <v>In Transit</v>
      </c>
      <c r="K4942" t="s">
        <v>6946</v>
      </c>
    </row>
    <row r="4943" spans="1:11">
      <c r="A4943" t="s">
        <v>11879</v>
      </c>
      <c r="B4943" t="s">
        <v>5558</v>
      </c>
      <c r="C4943" t="s">
        <v>6940</v>
      </c>
      <c r="D4943" s="1">
        <v>44964</v>
      </c>
      <c r="E4943" s="1">
        <v>44969</v>
      </c>
      <c r="F4943" s="1">
        <v>44970</v>
      </c>
      <c r="G4943">
        <v>45.24</v>
      </c>
      <c r="H49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43" t="str">
        <f>IFERROR(INDEX(Raw_orders!G:G, MATCH(shipments[[#This Row],[order_id]],Raw_orders!A:A, 0)), "Unknown")</f>
        <v>Nordics</v>
      </c>
      <c r="J4943" t="str">
        <f>PROPER(shipments[[#This Row],[delivery_status]])</f>
        <v>Delivered</v>
      </c>
      <c r="K4943" t="s">
        <v>6929</v>
      </c>
    </row>
    <row r="4944" spans="1:11">
      <c r="A4944" t="s">
        <v>11880</v>
      </c>
      <c r="B4944" t="s">
        <v>5559</v>
      </c>
      <c r="C4944" t="s">
        <v>6931</v>
      </c>
      <c r="D4944" s="1">
        <v>44984</v>
      </c>
      <c r="E4944" s="1">
        <v>44987</v>
      </c>
      <c r="F4944" s="1">
        <v>44995</v>
      </c>
      <c r="G4944">
        <v>39.229999999999997</v>
      </c>
      <c r="H49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44" t="str">
        <f>IFERROR(INDEX(Raw_orders!G:G, MATCH(shipments[[#This Row],[order_id]],Raw_orders!A:A, 0)), "Unknown")</f>
        <v>Baltics</v>
      </c>
      <c r="J4944" t="str">
        <f>PROPER(shipments[[#This Row],[delivery_status]])</f>
        <v>Delivered</v>
      </c>
      <c r="K4944" t="s">
        <v>6926</v>
      </c>
    </row>
    <row r="4945" spans="1:11">
      <c r="A4945" t="s">
        <v>11881</v>
      </c>
      <c r="B4945" t="s">
        <v>5560</v>
      </c>
      <c r="C4945" t="s">
        <v>6940</v>
      </c>
      <c r="D4945" s="1">
        <v>45183</v>
      </c>
      <c r="E4945" s="1">
        <v>45188</v>
      </c>
      <c r="F4945" s="1"/>
      <c r="G4945">
        <v>41.19</v>
      </c>
      <c r="H49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945" t="str">
        <f>IFERROR(INDEX(Raw_orders!G:G, MATCH(shipments[[#This Row],[order_id]],Raw_orders!A:A, 0)), "Unknown")</f>
        <v>Baltics</v>
      </c>
      <c r="J4945" t="str">
        <f>PROPER(shipments[[#This Row],[delivery_status]])</f>
        <v>Cancelled</v>
      </c>
      <c r="K4945" t="s">
        <v>6972</v>
      </c>
    </row>
    <row r="4946" spans="1:11">
      <c r="A4946" t="s">
        <v>11882</v>
      </c>
      <c r="B4946" t="s">
        <v>5561</v>
      </c>
      <c r="C4946" t="s">
        <v>6956</v>
      </c>
      <c r="D4946" s="1">
        <v>45184</v>
      </c>
      <c r="E4946" s="1">
        <v>45187</v>
      </c>
      <c r="F4946" s="1"/>
      <c r="G4946">
        <v>55.42</v>
      </c>
      <c r="H49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946" t="str">
        <f>IFERROR(INDEX(Raw_orders!G:G, MATCH(shipments[[#This Row],[order_id]],Raw_orders!A:A, 0)), "Unknown")</f>
        <v>Nordics</v>
      </c>
      <c r="J4946" t="str">
        <f>PROPER(shipments[[#This Row],[delivery_status]])</f>
        <v>Cancelled</v>
      </c>
      <c r="K4946" t="s">
        <v>6972</v>
      </c>
    </row>
    <row r="4947" spans="1:11">
      <c r="A4947" t="s">
        <v>11883</v>
      </c>
      <c r="B4947" t="s">
        <v>5562</v>
      </c>
      <c r="C4947" t="s">
        <v>6956</v>
      </c>
      <c r="D4947" s="1">
        <v>45231</v>
      </c>
      <c r="E4947" s="1">
        <v>45233</v>
      </c>
      <c r="F4947" s="1">
        <v>45236</v>
      </c>
      <c r="G4947">
        <v>17.95</v>
      </c>
      <c r="H49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47" t="str">
        <f>IFERROR(INDEX(Raw_orders!G:G, MATCH(shipments[[#This Row],[order_id]],Raw_orders!A:A, 0)), "Unknown")</f>
        <v>Baltics</v>
      </c>
      <c r="J4947" t="str">
        <f>PROPER(shipments[[#This Row],[delivery_status]])</f>
        <v>Delivered</v>
      </c>
      <c r="K4947" t="s">
        <v>6922</v>
      </c>
    </row>
    <row r="4948" spans="1:11">
      <c r="A4948" t="s">
        <v>11884</v>
      </c>
      <c r="B4948" t="s">
        <v>5563</v>
      </c>
      <c r="C4948" t="s">
        <v>6935</v>
      </c>
      <c r="D4948" s="1">
        <v>44978</v>
      </c>
      <c r="E4948" s="1">
        <v>44980</v>
      </c>
      <c r="F4948" s="1">
        <v>44981</v>
      </c>
      <c r="G4948">
        <v>57.74</v>
      </c>
      <c r="H49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48" t="str">
        <f>IFERROR(INDEX(Raw_orders!G:G, MATCH(shipments[[#This Row],[order_id]],Raw_orders!A:A, 0)), "Unknown")</f>
        <v>Nordics</v>
      </c>
      <c r="J4948" t="str">
        <f>PROPER(shipments[[#This Row],[delivery_status]])</f>
        <v>Delivered</v>
      </c>
      <c r="K4948" t="s">
        <v>6929</v>
      </c>
    </row>
    <row r="4949" spans="1:11">
      <c r="A4949" t="s">
        <v>11885</v>
      </c>
      <c r="B4949" t="s">
        <v>5564</v>
      </c>
      <c r="C4949" t="s">
        <v>6935</v>
      </c>
      <c r="D4949" s="1">
        <v>45236</v>
      </c>
      <c r="E4949" s="1">
        <v>45243</v>
      </c>
      <c r="F4949" s="1"/>
      <c r="G4949">
        <v>51.81</v>
      </c>
      <c r="H49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949" t="str">
        <f>IFERROR(INDEX(Raw_orders!G:G, MATCH(shipments[[#This Row],[order_id]],Raw_orders!A:A, 0)), "Unknown")</f>
        <v>Central Europe</v>
      </c>
      <c r="J4949" t="str">
        <f>PROPER(shipments[[#This Row],[delivery_status]])</f>
        <v>In Transit</v>
      </c>
      <c r="K4949" t="s">
        <v>6946</v>
      </c>
    </row>
    <row r="4950" spans="1:11">
      <c r="A4950" t="s">
        <v>11886</v>
      </c>
      <c r="B4950" t="s">
        <v>5565</v>
      </c>
      <c r="C4950" t="s">
        <v>6938</v>
      </c>
      <c r="D4950" s="1">
        <v>45349</v>
      </c>
      <c r="E4950" s="1">
        <v>45351</v>
      </c>
      <c r="F4950" s="1">
        <v>45356</v>
      </c>
      <c r="G4950">
        <v>62.08</v>
      </c>
      <c r="H49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50" t="str">
        <f>IFERROR(INDEX(Raw_orders!G:G, MATCH(shipments[[#This Row],[order_id]],Raw_orders!A:A, 0)), "Unknown")</f>
        <v>Nordics</v>
      </c>
      <c r="J4950" t="str">
        <f>PROPER(shipments[[#This Row],[delivery_status]])</f>
        <v>Delivered</v>
      </c>
      <c r="K4950" t="s">
        <v>6926</v>
      </c>
    </row>
    <row r="4951" spans="1:11">
      <c r="A4951" t="s">
        <v>11887</v>
      </c>
      <c r="B4951" t="s">
        <v>5566</v>
      </c>
      <c r="C4951" t="s">
        <v>6940</v>
      </c>
      <c r="D4951" s="1">
        <v>45330</v>
      </c>
      <c r="E4951" s="1">
        <v>45335</v>
      </c>
      <c r="F4951" s="1">
        <v>45337</v>
      </c>
      <c r="G4951">
        <v>58.19</v>
      </c>
      <c r="H49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51" t="str">
        <f>IFERROR(INDEX(Raw_orders!G:G, MATCH(shipments[[#This Row],[order_id]],Raw_orders!A:A, 0)), "Unknown")</f>
        <v>Central Europe</v>
      </c>
      <c r="J4951" t="str">
        <f>PROPER(shipments[[#This Row],[delivery_status]])</f>
        <v>Delivered</v>
      </c>
      <c r="K4951" t="s">
        <v>6929</v>
      </c>
    </row>
    <row r="4952" spans="1:11">
      <c r="A4952" t="s">
        <v>11888</v>
      </c>
      <c r="B4952" t="s">
        <v>5567</v>
      </c>
      <c r="C4952" t="s">
        <v>6938</v>
      </c>
      <c r="D4952" s="1">
        <v>44983</v>
      </c>
      <c r="E4952" s="1">
        <v>44985</v>
      </c>
      <c r="F4952" s="1">
        <v>44993</v>
      </c>
      <c r="G4952">
        <v>4.6900000000000004</v>
      </c>
      <c r="H49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52" t="str">
        <f>IFERROR(INDEX(Raw_orders!G:G, MATCH(shipments[[#This Row],[order_id]],Raw_orders!A:A, 0)), "Unknown")</f>
        <v>Central Europe</v>
      </c>
      <c r="J4952" t="str">
        <f>PROPER(shipments[[#This Row],[delivery_status]])</f>
        <v>Delivered</v>
      </c>
      <c r="K4952" t="s">
        <v>6926</v>
      </c>
    </row>
    <row r="4953" spans="1:11">
      <c r="A4953" t="s">
        <v>11889</v>
      </c>
      <c r="B4953" t="s">
        <v>5568</v>
      </c>
      <c r="C4953" t="s">
        <v>6938</v>
      </c>
      <c r="D4953" s="1">
        <v>44936</v>
      </c>
      <c r="E4953" s="1">
        <v>44938</v>
      </c>
      <c r="F4953" s="1">
        <v>44946</v>
      </c>
      <c r="G4953">
        <v>53.93</v>
      </c>
      <c r="H49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53" t="str">
        <f>IFERROR(INDEX(Raw_orders!G:G, MATCH(shipments[[#This Row],[order_id]],Raw_orders!A:A, 0)), "Unknown")</f>
        <v>Baltics</v>
      </c>
      <c r="J4953" t="str">
        <f>PROPER(shipments[[#This Row],[delivery_status]])</f>
        <v>Delivered</v>
      </c>
      <c r="K4953" t="s">
        <v>6929</v>
      </c>
    </row>
    <row r="4954" spans="1:11">
      <c r="A4954" t="s">
        <v>11890</v>
      </c>
      <c r="B4954" t="s">
        <v>5569</v>
      </c>
      <c r="C4954" t="s">
        <v>6928</v>
      </c>
      <c r="D4954" s="1">
        <v>45081</v>
      </c>
      <c r="E4954" s="1">
        <v>45086</v>
      </c>
      <c r="F4954" s="1">
        <v>45087</v>
      </c>
      <c r="G4954">
        <v>30.87</v>
      </c>
      <c r="H49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54" t="str">
        <f>IFERROR(INDEX(Raw_orders!G:G, MATCH(shipments[[#This Row],[order_id]],Raw_orders!A:A, 0)), "Unknown")</f>
        <v>Nordics</v>
      </c>
      <c r="J4954" t="str">
        <f>PROPER(shipments[[#This Row],[delivery_status]])</f>
        <v>Delivered</v>
      </c>
      <c r="K4954" t="s">
        <v>6922</v>
      </c>
    </row>
    <row r="4955" spans="1:11">
      <c r="A4955" t="s">
        <v>11891</v>
      </c>
      <c r="B4955" t="s">
        <v>5570</v>
      </c>
      <c r="C4955" t="s">
        <v>6925</v>
      </c>
      <c r="D4955" s="1">
        <v>45463</v>
      </c>
      <c r="E4955" s="1">
        <v>45468</v>
      </c>
      <c r="F4955" s="1"/>
      <c r="G4955">
        <v>25.11</v>
      </c>
      <c r="H49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955" t="str">
        <f>IFERROR(INDEX(Raw_orders!G:G, MATCH(shipments[[#This Row],[order_id]],Raw_orders!A:A, 0)), "Unknown")</f>
        <v>Nordics</v>
      </c>
      <c r="J4955" t="str">
        <f>PROPER(shipments[[#This Row],[delivery_status]])</f>
        <v>In Transit</v>
      </c>
      <c r="K4955" t="s">
        <v>6958</v>
      </c>
    </row>
    <row r="4956" spans="1:11">
      <c r="A4956" t="s">
        <v>11892</v>
      </c>
      <c r="B4956" t="s">
        <v>5571</v>
      </c>
      <c r="C4956" t="s">
        <v>6935</v>
      </c>
      <c r="D4956" s="1">
        <v>45537</v>
      </c>
      <c r="E4956" s="1">
        <v>45547</v>
      </c>
      <c r="F4956" s="1">
        <v>45546</v>
      </c>
      <c r="G4956">
        <v>31.26</v>
      </c>
      <c r="H49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956" t="str">
        <f>IFERROR(INDEX(Raw_orders!G:G, MATCH(shipments[[#This Row],[order_id]],Raw_orders!A:A, 0)), "Unknown")</f>
        <v>Central Europe</v>
      </c>
      <c r="J4956" t="str">
        <f>PROPER(shipments[[#This Row],[delivery_status]])</f>
        <v>Delivered</v>
      </c>
      <c r="K4956" t="s">
        <v>6926</v>
      </c>
    </row>
    <row r="4957" spans="1:11">
      <c r="A4957" t="s">
        <v>11893</v>
      </c>
      <c r="B4957" t="s">
        <v>5572</v>
      </c>
      <c r="C4957" t="s">
        <v>6928</v>
      </c>
      <c r="D4957" s="1">
        <v>45511</v>
      </c>
      <c r="E4957" s="1">
        <v>45518</v>
      </c>
      <c r="F4957" s="1">
        <v>45517</v>
      </c>
      <c r="G4957">
        <v>15.79</v>
      </c>
      <c r="H49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957" t="str">
        <f>IFERROR(INDEX(Raw_orders!G:G, MATCH(shipments[[#This Row],[order_id]],Raw_orders!A:A, 0)), "Unknown")</f>
        <v>Central Europe</v>
      </c>
      <c r="J4957" t="str">
        <f>PROPER(shipments[[#This Row],[delivery_status]])</f>
        <v>Delivered</v>
      </c>
      <c r="K4957" t="s">
        <v>6929</v>
      </c>
    </row>
    <row r="4958" spans="1:11">
      <c r="A4958" t="s">
        <v>11894</v>
      </c>
      <c r="B4958" t="s">
        <v>5573</v>
      </c>
      <c r="C4958" t="s">
        <v>6938</v>
      </c>
      <c r="D4958" s="1">
        <v>45372</v>
      </c>
      <c r="E4958" s="1">
        <v>45375</v>
      </c>
      <c r="F4958" s="1">
        <v>45375</v>
      </c>
      <c r="G4958">
        <v>22.66</v>
      </c>
      <c r="H49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958" t="str">
        <f>IFERROR(INDEX(Raw_orders!G:G, MATCH(shipments[[#This Row],[order_id]],Raw_orders!A:A, 0)), "Unknown")</f>
        <v>Nordics</v>
      </c>
      <c r="J4958" t="str">
        <f>PROPER(shipments[[#This Row],[delivery_status]])</f>
        <v>Delivered</v>
      </c>
      <c r="K4958" t="s">
        <v>6926</v>
      </c>
    </row>
    <row r="4959" spans="1:11">
      <c r="A4959" t="s">
        <v>11895</v>
      </c>
      <c r="B4959" t="s">
        <v>5574</v>
      </c>
      <c r="C4959" t="s">
        <v>6931</v>
      </c>
      <c r="D4959" s="1">
        <v>45108</v>
      </c>
      <c r="E4959" s="1">
        <v>45115</v>
      </c>
      <c r="F4959" s="1"/>
      <c r="G4959">
        <v>40.72</v>
      </c>
      <c r="H49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959" t="str">
        <f>IFERROR(INDEX(Raw_orders!G:G, MATCH(shipments[[#This Row],[order_id]],Raw_orders!A:A, 0)), "Unknown")</f>
        <v>Central Europe</v>
      </c>
      <c r="J4959" t="str">
        <f>PROPER(shipments[[#This Row],[delivery_status]])</f>
        <v>Cancelled</v>
      </c>
      <c r="K4959" t="s">
        <v>6972</v>
      </c>
    </row>
    <row r="4960" spans="1:11">
      <c r="A4960" t="s">
        <v>11896</v>
      </c>
      <c r="B4960" t="s">
        <v>5575</v>
      </c>
      <c r="C4960" t="s">
        <v>6938</v>
      </c>
      <c r="D4960" s="1">
        <v>45542</v>
      </c>
      <c r="E4960" s="1">
        <v>45545</v>
      </c>
      <c r="F4960" s="1"/>
      <c r="G4960">
        <v>14.23</v>
      </c>
      <c r="H49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960" t="str">
        <f>IFERROR(INDEX(Raw_orders!G:G, MATCH(shipments[[#This Row],[order_id]],Raw_orders!A:A, 0)), "Unknown")</f>
        <v>Nordics</v>
      </c>
      <c r="J4960" t="str">
        <f>PROPER(shipments[[#This Row],[delivery_status]])</f>
        <v>Cancelled</v>
      </c>
      <c r="K4960" t="s">
        <v>6963</v>
      </c>
    </row>
    <row r="4961" spans="1:11">
      <c r="A4961" t="s">
        <v>11897</v>
      </c>
      <c r="B4961" t="s">
        <v>5576</v>
      </c>
      <c r="C4961" t="s">
        <v>6940</v>
      </c>
      <c r="D4961" s="1">
        <v>45190</v>
      </c>
      <c r="E4961" s="1">
        <v>45193</v>
      </c>
      <c r="F4961" s="1">
        <v>45193</v>
      </c>
      <c r="G4961">
        <v>9.07</v>
      </c>
      <c r="H49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961" t="str">
        <f>IFERROR(INDEX(Raw_orders!G:G, MATCH(shipments[[#This Row],[order_id]],Raw_orders!A:A, 0)), "Unknown")</f>
        <v>Central Europe</v>
      </c>
      <c r="J4961" t="str">
        <f>PROPER(shipments[[#This Row],[delivery_status]])</f>
        <v>Delivered</v>
      </c>
      <c r="K4961" t="s">
        <v>6922</v>
      </c>
    </row>
    <row r="4962" spans="1:11">
      <c r="A4962" t="s">
        <v>11898</v>
      </c>
      <c r="B4962" t="s">
        <v>5577</v>
      </c>
      <c r="C4962" t="s">
        <v>6938</v>
      </c>
      <c r="D4962" s="1">
        <v>45133</v>
      </c>
      <c r="E4962" s="1">
        <v>45136</v>
      </c>
      <c r="F4962" s="1"/>
      <c r="G4962">
        <v>15.82</v>
      </c>
      <c r="H49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962" t="str">
        <f>IFERROR(INDEX(Raw_orders!G:G, MATCH(shipments[[#This Row],[order_id]],Raw_orders!A:A, 0)), "Unknown")</f>
        <v>Central Europe</v>
      </c>
      <c r="J4962" t="str">
        <f>PROPER(shipments[[#This Row],[delivery_status]])</f>
        <v>In Transit</v>
      </c>
      <c r="K4962" t="s">
        <v>6958</v>
      </c>
    </row>
    <row r="4963" spans="1:11">
      <c r="A4963" t="s">
        <v>11899</v>
      </c>
      <c r="B4963" t="s">
        <v>5578</v>
      </c>
      <c r="C4963" t="s">
        <v>6928</v>
      </c>
      <c r="D4963" s="1">
        <v>44989</v>
      </c>
      <c r="E4963" s="1">
        <v>44994</v>
      </c>
      <c r="F4963" s="1">
        <v>45002</v>
      </c>
      <c r="G4963">
        <v>14.4</v>
      </c>
      <c r="H49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63" t="str">
        <f>IFERROR(INDEX(Raw_orders!G:G, MATCH(shipments[[#This Row],[order_id]],Raw_orders!A:A, 0)), "Unknown")</f>
        <v>Baltics</v>
      </c>
      <c r="J4963" t="str">
        <f>PROPER(shipments[[#This Row],[delivery_status]])</f>
        <v>Delivered</v>
      </c>
      <c r="K4963" t="s">
        <v>6926</v>
      </c>
    </row>
    <row r="4964" spans="1:11">
      <c r="A4964" t="s">
        <v>11900</v>
      </c>
      <c r="B4964" t="s">
        <v>5579</v>
      </c>
      <c r="C4964" t="s">
        <v>6931</v>
      </c>
      <c r="D4964" s="1">
        <v>45186</v>
      </c>
      <c r="E4964" s="1">
        <v>45193</v>
      </c>
      <c r="F4964" s="1">
        <v>45198</v>
      </c>
      <c r="G4964">
        <v>54.63</v>
      </c>
      <c r="H49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64" t="str">
        <f>IFERROR(INDEX(Raw_orders!G:G, MATCH(shipments[[#This Row],[order_id]],Raw_orders!A:A, 0)), "Unknown")</f>
        <v>Baltics</v>
      </c>
      <c r="J4964" t="str">
        <f>PROPER(shipments[[#This Row],[delivery_status]])</f>
        <v>Delivered</v>
      </c>
      <c r="K4964" t="s">
        <v>6929</v>
      </c>
    </row>
    <row r="4965" spans="1:11">
      <c r="A4965" t="s">
        <v>11901</v>
      </c>
      <c r="B4965" t="s">
        <v>5580</v>
      </c>
      <c r="C4965" t="s">
        <v>6921</v>
      </c>
      <c r="D4965" s="1">
        <v>45357</v>
      </c>
      <c r="E4965" s="1">
        <v>45360</v>
      </c>
      <c r="F4965" s="1">
        <v>45364</v>
      </c>
      <c r="G4965">
        <v>30.53</v>
      </c>
      <c r="H49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65" t="str">
        <f>IFERROR(INDEX(Raw_orders!G:G, MATCH(shipments[[#This Row],[order_id]],Raw_orders!A:A, 0)), "Unknown")</f>
        <v>Nordics</v>
      </c>
      <c r="J4965" t="str">
        <f>PROPER(shipments[[#This Row],[delivery_status]])</f>
        <v>Delivered</v>
      </c>
      <c r="K4965" t="s">
        <v>6929</v>
      </c>
    </row>
    <row r="4966" spans="1:11">
      <c r="A4966" t="s">
        <v>11902</v>
      </c>
      <c r="B4966" t="s">
        <v>5581</v>
      </c>
      <c r="C4966" t="s">
        <v>6921</v>
      </c>
      <c r="D4966" s="1">
        <v>45355</v>
      </c>
      <c r="E4966" s="1">
        <v>45357</v>
      </c>
      <c r="F4966" s="1">
        <v>45357</v>
      </c>
      <c r="G4966">
        <v>25.43</v>
      </c>
      <c r="H49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966" t="str">
        <f>IFERROR(INDEX(Raw_orders!G:G, MATCH(shipments[[#This Row],[order_id]],Raw_orders!A:A, 0)), "Unknown")</f>
        <v>Central Europe</v>
      </c>
      <c r="J4966" t="str">
        <f>PROPER(shipments[[#This Row],[delivery_status]])</f>
        <v>Delivered</v>
      </c>
      <c r="K4966" t="s">
        <v>6926</v>
      </c>
    </row>
    <row r="4967" spans="1:11">
      <c r="A4967" t="s">
        <v>11903</v>
      </c>
      <c r="B4967" t="s">
        <v>5582</v>
      </c>
      <c r="C4967" t="s">
        <v>6938</v>
      </c>
      <c r="D4967" s="1">
        <v>45409</v>
      </c>
      <c r="E4967" s="1">
        <v>45411</v>
      </c>
      <c r="F4967" s="1">
        <v>45411</v>
      </c>
      <c r="G4967">
        <v>40.6</v>
      </c>
      <c r="H49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967" t="str">
        <f>IFERROR(INDEX(Raw_orders!G:G, MATCH(shipments[[#This Row],[order_id]],Raw_orders!A:A, 0)), "Unknown")</f>
        <v>Nordics</v>
      </c>
      <c r="J4967" t="str">
        <f>PROPER(shipments[[#This Row],[delivery_status]])</f>
        <v>Delivered</v>
      </c>
      <c r="K4967" t="s">
        <v>6926</v>
      </c>
    </row>
    <row r="4968" spans="1:11">
      <c r="A4968" t="s">
        <v>11904</v>
      </c>
      <c r="B4968" t="s">
        <v>5583</v>
      </c>
      <c r="C4968" t="s">
        <v>6935</v>
      </c>
      <c r="D4968" s="1">
        <v>45591</v>
      </c>
      <c r="E4968" s="1">
        <v>45593</v>
      </c>
      <c r="F4968" s="1">
        <v>45593</v>
      </c>
      <c r="G4968">
        <v>39.68</v>
      </c>
      <c r="H49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968" t="str">
        <f>IFERROR(INDEX(Raw_orders!G:G, MATCH(shipments[[#This Row],[order_id]],Raw_orders!A:A, 0)), "Unknown")</f>
        <v>Baltics</v>
      </c>
      <c r="J4968" t="str">
        <f>PROPER(shipments[[#This Row],[delivery_status]])</f>
        <v>Delivered</v>
      </c>
      <c r="K4968" t="s">
        <v>6929</v>
      </c>
    </row>
    <row r="4969" spans="1:11">
      <c r="A4969" t="s">
        <v>11905</v>
      </c>
      <c r="B4969" t="s">
        <v>5584</v>
      </c>
      <c r="C4969" t="s">
        <v>6935</v>
      </c>
      <c r="D4969" s="1">
        <v>45608</v>
      </c>
      <c r="E4969" s="1">
        <v>45611</v>
      </c>
      <c r="F4969" s="1">
        <v>45624</v>
      </c>
      <c r="G4969">
        <v>15.45</v>
      </c>
      <c r="H49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69" t="str">
        <f>IFERROR(INDEX(Raw_orders!G:G, MATCH(shipments[[#This Row],[order_id]],Raw_orders!A:A, 0)), "Unknown")</f>
        <v>Central Europe</v>
      </c>
      <c r="J4969" t="str">
        <f>PROPER(shipments[[#This Row],[delivery_status]])</f>
        <v>Delivered</v>
      </c>
      <c r="K4969" t="s">
        <v>6926</v>
      </c>
    </row>
    <row r="4970" spans="1:11">
      <c r="A4970" t="s">
        <v>11906</v>
      </c>
      <c r="B4970" t="s">
        <v>5584</v>
      </c>
      <c r="C4970" t="s">
        <v>6921</v>
      </c>
      <c r="D4970" s="1">
        <v>45606</v>
      </c>
      <c r="E4970" s="1">
        <v>45611</v>
      </c>
      <c r="F4970" s="1">
        <v>45616</v>
      </c>
      <c r="G4970">
        <v>40.32</v>
      </c>
      <c r="H49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70" t="str">
        <f>IFERROR(INDEX(Raw_orders!G:G, MATCH(shipments[[#This Row],[order_id]],Raw_orders!A:A, 0)), "Unknown")</f>
        <v>Central Europe</v>
      </c>
      <c r="J4970" t="str">
        <f>PROPER(shipments[[#This Row],[delivery_status]])</f>
        <v>Delivered</v>
      </c>
      <c r="K4970" t="s">
        <v>6922</v>
      </c>
    </row>
    <row r="4971" spans="1:11">
      <c r="A4971" t="s">
        <v>11907</v>
      </c>
      <c r="B4971" t="s">
        <v>5585</v>
      </c>
      <c r="C4971" t="s">
        <v>6931</v>
      </c>
      <c r="D4971" s="1">
        <v>45365</v>
      </c>
      <c r="E4971" s="1">
        <v>45367</v>
      </c>
      <c r="F4971" s="1"/>
      <c r="G4971">
        <v>18.61</v>
      </c>
      <c r="H49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971" t="str">
        <f>IFERROR(INDEX(Raw_orders!G:G, MATCH(shipments[[#This Row],[order_id]],Raw_orders!A:A, 0)), "Unknown")</f>
        <v>Baltics</v>
      </c>
      <c r="J4971" t="str">
        <f>PROPER(shipments[[#This Row],[delivery_status]])</f>
        <v>In Transit</v>
      </c>
      <c r="K4971" t="s">
        <v>6946</v>
      </c>
    </row>
    <row r="4972" spans="1:11">
      <c r="A4972" t="s">
        <v>11908</v>
      </c>
      <c r="B4972" t="s">
        <v>5586</v>
      </c>
      <c r="C4972" t="s">
        <v>6938</v>
      </c>
      <c r="D4972" s="1">
        <v>45156</v>
      </c>
      <c r="E4972" s="1">
        <v>45159</v>
      </c>
      <c r="F4972" s="1">
        <v>45166</v>
      </c>
      <c r="G4972">
        <v>51.74</v>
      </c>
      <c r="H49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72" t="str">
        <f>IFERROR(INDEX(Raw_orders!G:G, MATCH(shipments[[#This Row],[order_id]],Raw_orders!A:A, 0)), "Unknown")</f>
        <v>Central Europe</v>
      </c>
      <c r="J4972" t="str">
        <f>PROPER(shipments[[#This Row],[delivery_status]])</f>
        <v>Delivered</v>
      </c>
      <c r="K4972" t="s">
        <v>6929</v>
      </c>
    </row>
    <row r="4973" spans="1:11">
      <c r="A4973" t="s">
        <v>11909</v>
      </c>
      <c r="B4973" t="s">
        <v>5586</v>
      </c>
      <c r="C4973" t="s">
        <v>6938</v>
      </c>
      <c r="D4973" s="1">
        <v>45159</v>
      </c>
      <c r="E4973" s="1">
        <v>45161</v>
      </c>
      <c r="F4973" s="1">
        <v>45166</v>
      </c>
      <c r="G4973">
        <v>53.89</v>
      </c>
      <c r="H49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73" t="str">
        <f>IFERROR(INDEX(Raw_orders!G:G, MATCH(shipments[[#This Row],[order_id]],Raw_orders!A:A, 0)), "Unknown")</f>
        <v>Central Europe</v>
      </c>
      <c r="J4973" t="str">
        <f>PROPER(shipments[[#This Row],[delivery_status]])</f>
        <v>Delivered</v>
      </c>
      <c r="K4973" t="s">
        <v>6929</v>
      </c>
    </row>
    <row r="4974" spans="1:11">
      <c r="A4974" t="s">
        <v>11910</v>
      </c>
      <c r="B4974" t="s">
        <v>5587</v>
      </c>
      <c r="C4974" t="s">
        <v>6921</v>
      </c>
      <c r="D4974" s="1">
        <v>44991</v>
      </c>
      <c r="E4974" s="1">
        <v>44993</v>
      </c>
      <c r="F4974" s="1">
        <v>45001</v>
      </c>
      <c r="G4974">
        <v>64.3</v>
      </c>
      <c r="H49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74" t="str">
        <f>IFERROR(INDEX(Raw_orders!G:G, MATCH(shipments[[#This Row],[order_id]],Raw_orders!A:A, 0)), "Unknown")</f>
        <v>Central Europe</v>
      </c>
      <c r="J4974" t="str">
        <f>PROPER(shipments[[#This Row],[delivery_status]])</f>
        <v>Delivered</v>
      </c>
      <c r="K4974" t="s">
        <v>6929</v>
      </c>
    </row>
    <row r="4975" spans="1:11">
      <c r="A4975" t="s">
        <v>11911</v>
      </c>
      <c r="B4975" t="s">
        <v>5588</v>
      </c>
      <c r="C4975" t="s">
        <v>6921</v>
      </c>
      <c r="D4975" s="1">
        <v>45199</v>
      </c>
      <c r="E4975" s="1">
        <v>45206</v>
      </c>
      <c r="F4975" s="1"/>
      <c r="G4975">
        <v>45.36</v>
      </c>
      <c r="H49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4975" t="str">
        <f>IFERROR(INDEX(Raw_orders!G:G, MATCH(shipments[[#This Row],[order_id]],Raw_orders!A:A, 0)), "Unknown")</f>
        <v>Central Europe</v>
      </c>
      <c r="J4975" t="str">
        <f>PROPER(shipments[[#This Row],[delivery_status]])</f>
        <v>In Transit</v>
      </c>
      <c r="K4975" t="s">
        <v>6958</v>
      </c>
    </row>
    <row r="4976" spans="1:11">
      <c r="A4976" t="s">
        <v>11912</v>
      </c>
      <c r="B4976" t="s">
        <v>5589</v>
      </c>
      <c r="C4976" t="s">
        <v>6956</v>
      </c>
      <c r="D4976" s="1">
        <v>45458</v>
      </c>
      <c r="E4976" s="1">
        <v>45460</v>
      </c>
      <c r="F4976" s="1"/>
      <c r="G4976">
        <v>64.77</v>
      </c>
      <c r="H49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976" t="str">
        <f>IFERROR(INDEX(Raw_orders!G:G, MATCH(shipments[[#This Row],[order_id]],Raw_orders!A:A, 0)), "Unknown")</f>
        <v>Baltics</v>
      </c>
      <c r="J4976" t="str">
        <f>PROPER(shipments[[#This Row],[delivery_status]])</f>
        <v>Cancelled</v>
      </c>
      <c r="K4976" t="s">
        <v>6972</v>
      </c>
    </row>
    <row r="4977" spans="1:11">
      <c r="A4977" t="s">
        <v>11913</v>
      </c>
      <c r="B4977" t="s">
        <v>5590</v>
      </c>
      <c r="C4977" t="s">
        <v>6925</v>
      </c>
      <c r="D4977" s="1">
        <v>45053</v>
      </c>
      <c r="E4977" s="1">
        <v>45055</v>
      </c>
      <c r="F4977" s="1">
        <v>45062</v>
      </c>
      <c r="G4977">
        <v>40.21</v>
      </c>
      <c r="H49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77" t="str">
        <f>IFERROR(INDEX(Raw_orders!G:G, MATCH(shipments[[#This Row],[order_id]],Raw_orders!A:A, 0)), "Unknown")</f>
        <v>Nordics</v>
      </c>
      <c r="J4977" t="str">
        <f>PROPER(shipments[[#This Row],[delivery_status]])</f>
        <v>Delivered</v>
      </c>
      <c r="K4977" t="s">
        <v>6929</v>
      </c>
    </row>
    <row r="4978" spans="1:11">
      <c r="A4978" t="s">
        <v>11914</v>
      </c>
      <c r="B4978" t="s">
        <v>5591</v>
      </c>
      <c r="C4978" t="s">
        <v>6956</v>
      </c>
      <c r="D4978" s="1">
        <v>45340</v>
      </c>
      <c r="E4978" s="1">
        <v>45350</v>
      </c>
      <c r="F4978" s="1">
        <v>45353</v>
      </c>
      <c r="G4978">
        <v>59.1</v>
      </c>
      <c r="H49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78" t="str">
        <f>IFERROR(INDEX(Raw_orders!G:G, MATCH(shipments[[#This Row],[order_id]],Raw_orders!A:A, 0)), "Unknown")</f>
        <v>Nordics</v>
      </c>
      <c r="J4978" t="str">
        <f>PROPER(shipments[[#This Row],[delivery_status]])</f>
        <v>Delivered</v>
      </c>
      <c r="K4978" t="s">
        <v>6929</v>
      </c>
    </row>
    <row r="4979" spans="1:11">
      <c r="A4979" t="s">
        <v>11915</v>
      </c>
      <c r="B4979" t="s">
        <v>5592</v>
      </c>
      <c r="C4979" t="s">
        <v>6935</v>
      </c>
      <c r="D4979" s="1">
        <v>45531</v>
      </c>
      <c r="E4979" s="1">
        <v>45533</v>
      </c>
      <c r="F4979" s="1">
        <v>45543</v>
      </c>
      <c r="G4979">
        <v>49.96</v>
      </c>
      <c r="H49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79" t="str">
        <f>IFERROR(INDEX(Raw_orders!G:G, MATCH(shipments[[#This Row],[order_id]],Raw_orders!A:A, 0)), "Unknown")</f>
        <v>Central Europe</v>
      </c>
      <c r="J4979" t="str">
        <f>PROPER(shipments[[#This Row],[delivery_status]])</f>
        <v>Delivered</v>
      </c>
      <c r="K4979" t="s">
        <v>6929</v>
      </c>
    </row>
    <row r="4980" spans="1:11">
      <c r="A4980" t="s">
        <v>11916</v>
      </c>
      <c r="B4980" t="s">
        <v>5593</v>
      </c>
      <c r="C4980" t="s">
        <v>6940</v>
      </c>
      <c r="D4980" s="1">
        <v>44993</v>
      </c>
      <c r="E4980" s="1">
        <v>45000</v>
      </c>
      <c r="F4980" s="1">
        <v>44999</v>
      </c>
      <c r="G4980">
        <v>34.229999999999997</v>
      </c>
      <c r="H49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980" t="str">
        <f>IFERROR(INDEX(Raw_orders!G:G, MATCH(shipments[[#This Row],[order_id]],Raw_orders!A:A, 0)), "Unknown")</f>
        <v>Central Europe</v>
      </c>
      <c r="J4980" t="str">
        <f>PROPER(shipments[[#This Row],[delivery_status]])</f>
        <v>Delivered</v>
      </c>
      <c r="K4980" t="s">
        <v>6929</v>
      </c>
    </row>
    <row r="4981" spans="1:11">
      <c r="A4981" t="s">
        <v>11917</v>
      </c>
      <c r="B4981" t="s">
        <v>5594</v>
      </c>
      <c r="C4981" t="s">
        <v>6931</v>
      </c>
      <c r="D4981" s="1">
        <v>44937</v>
      </c>
      <c r="E4981" s="1">
        <v>44944</v>
      </c>
      <c r="F4981" s="1">
        <v>44944</v>
      </c>
      <c r="G4981">
        <v>29.43</v>
      </c>
      <c r="H49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981" t="str">
        <f>IFERROR(INDEX(Raw_orders!G:G, MATCH(shipments[[#This Row],[order_id]],Raw_orders!A:A, 0)), "Unknown")</f>
        <v>Nordics</v>
      </c>
      <c r="J4981" t="str">
        <f>PROPER(shipments[[#This Row],[delivery_status]])</f>
        <v>Delivered</v>
      </c>
      <c r="K4981" t="s">
        <v>6922</v>
      </c>
    </row>
    <row r="4982" spans="1:11">
      <c r="A4982" t="s">
        <v>11918</v>
      </c>
      <c r="B4982" t="s">
        <v>5595</v>
      </c>
      <c r="C4982" t="s">
        <v>6928</v>
      </c>
      <c r="D4982" s="1">
        <v>44990</v>
      </c>
      <c r="E4982" s="1">
        <v>44993</v>
      </c>
      <c r="F4982" s="1">
        <v>44994</v>
      </c>
      <c r="G4982">
        <v>45.6</v>
      </c>
      <c r="H49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82" t="str">
        <f>IFERROR(INDEX(Raw_orders!G:G, MATCH(shipments[[#This Row],[order_id]],Raw_orders!A:A, 0)), "Unknown")</f>
        <v>Baltics</v>
      </c>
      <c r="J4982" t="str">
        <f>PROPER(shipments[[#This Row],[delivery_status]])</f>
        <v>Delivered</v>
      </c>
      <c r="K4982" t="s">
        <v>6926</v>
      </c>
    </row>
    <row r="4983" spans="1:11">
      <c r="A4983" t="s">
        <v>11919</v>
      </c>
      <c r="B4983" t="s">
        <v>5596</v>
      </c>
      <c r="C4983" t="s">
        <v>6949</v>
      </c>
      <c r="D4983" s="1">
        <v>45290</v>
      </c>
      <c r="E4983" s="1">
        <v>45293</v>
      </c>
      <c r="F4983" s="1">
        <v>45301</v>
      </c>
      <c r="G4983">
        <v>16.02</v>
      </c>
      <c r="H49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83" t="str">
        <f>IFERROR(INDEX(Raw_orders!G:G, MATCH(shipments[[#This Row],[order_id]],Raw_orders!A:A, 0)), "Unknown")</f>
        <v>Nordics</v>
      </c>
      <c r="J4983" t="str">
        <f>PROPER(shipments[[#This Row],[delivery_status]])</f>
        <v>Delivered</v>
      </c>
      <c r="K4983" t="s">
        <v>6926</v>
      </c>
    </row>
    <row r="4984" spans="1:11">
      <c r="A4984" t="s">
        <v>11920</v>
      </c>
      <c r="B4984" t="s">
        <v>5597</v>
      </c>
      <c r="C4984" t="s">
        <v>6956</v>
      </c>
      <c r="D4984" s="1">
        <v>45379</v>
      </c>
      <c r="E4984" s="1">
        <v>45382</v>
      </c>
      <c r="F4984" s="1"/>
      <c r="G4984">
        <v>24.45</v>
      </c>
      <c r="H49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984" t="str">
        <f>IFERROR(INDEX(Raw_orders!G:G, MATCH(shipments[[#This Row],[order_id]],Raw_orders!A:A, 0)), "Unknown")</f>
        <v>Baltics</v>
      </c>
      <c r="J4984" t="str">
        <f>PROPER(shipments[[#This Row],[delivery_status]])</f>
        <v>Cancelled</v>
      </c>
      <c r="K4984" t="s">
        <v>6963</v>
      </c>
    </row>
    <row r="4985" spans="1:11">
      <c r="A4985" t="s">
        <v>11921</v>
      </c>
      <c r="B4985" t="s">
        <v>5598</v>
      </c>
      <c r="C4985" t="s">
        <v>6935</v>
      </c>
      <c r="D4985" s="1">
        <v>45559</v>
      </c>
      <c r="E4985" s="1">
        <v>45562</v>
      </c>
      <c r="F4985" s="1">
        <v>45567</v>
      </c>
      <c r="G4985">
        <v>32.14</v>
      </c>
      <c r="H49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85" t="str">
        <f>IFERROR(INDEX(Raw_orders!G:G, MATCH(shipments[[#This Row],[order_id]],Raw_orders!A:A, 0)), "Unknown")</f>
        <v>Baltics</v>
      </c>
      <c r="J4985" t="str">
        <f>PROPER(shipments[[#This Row],[delivery_status]])</f>
        <v>Delivered</v>
      </c>
      <c r="K4985" t="s">
        <v>6926</v>
      </c>
    </row>
    <row r="4986" spans="1:11">
      <c r="A4986" t="s">
        <v>11922</v>
      </c>
      <c r="B4986" t="s">
        <v>5599</v>
      </c>
      <c r="C4986" t="s">
        <v>6925</v>
      </c>
      <c r="D4986" s="1">
        <v>45111</v>
      </c>
      <c r="E4986" s="1">
        <v>45121</v>
      </c>
      <c r="F4986" s="1"/>
      <c r="G4986">
        <v>26.16</v>
      </c>
      <c r="H49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986" t="str">
        <f>IFERROR(INDEX(Raw_orders!G:G, MATCH(shipments[[#This Row],[order_id]],Raw_orders!A:A, 0)), "Unknown")</f>
        <v>Nordics</v>
      </c>
      <c r="J4986" t="str">
        <f>PROPER(shipments[[#This Row],[delivery_status]])</f>
        <v>Cancelled</v>
      </c>
      <c r="K4986" t="s">
        <v>6963</v>
      </c>
    </row>
    <row r="4987" spans="1:11">
      <c r="A4987" t="s">
        <v>11923</v>
      </c>
      <c r="B4987" t="s">
        <v>5600</v>
      </c>
      <c r="C4987" t="s">
        <v>6940</v>
      </c>
      <c r="D4987" s="1">
        <v>45612</v>
      </c>
      <c r="E4987" s="1">
        <v>45622</v>
      </c>
      <c r="F4987" s="1">
        <v>45630</v>
      </c>
      <c r="G4987">
        <v>55.82</v>
      </c>
      <c r="H49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87" t="str">
        <f>IFERROR(INDEX(Raw_orders!G:G, MATCH(shipments[[#This Row],[order_id]],Raw_orders!A:A, 0)), "Unknown")</f>
        <v>Baltics</v>
      </c>
      <c r="J4987" t="str">
        <f>PROPER(shipments[[#This Row],[delivery_status]])</f>
        <v>Delivered</v>
      </c>
      <c r="K4987" t="s">
        <v>6929</v>
      </c>
    </row>
    <row r="4988" spans="1:11">
      <c r="A4988" t="s">
        <v>11924</v>
      </c>
      <c r="B4988" t="s">
        <v>5601</v>
      </c>
      <c r="C4988" t="s">
        <v>6921</v>
      </c>
      <c r="D4988" s="1">
        <v>45532</v>
      </c>
      <c r="E4988" s="1">
        <v>45537</v>
      </c>
      <c r="F4988" s="1">
        <v>45537</v>
      </c>
      <c r="G4988">
        <v>9.9600000000000009</v>
      </c>
      <c r="H49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988" t="str">
        <f>IFERROR(INDEX(Raw_orders!G:G, MATCH(shipments[[#This Row],[order_id]],Raw_orders!A:A, 0)), "Unknown")</f>
        <v>Central Europe</v>
      </c>
      <c r="J4988" t="str">
        <f>PROPER(shipments[[#This Row],[delivery_status]])</f>
        <v>Delivered</v>
      </c>
      <c r="K4988" t="s">
        <v>6929</v>
      </c>
    </row>
    <row r="4989" spans="1:11">
      <c r="A4989" t="s">
        <v>11925</v>
      </c>
      <c r="B4989" t="s">
        <v>5602</v>
      </c>
      <c r="C4989" t="s">
        <v>6931</v>
      </c>
      <c r="D4989" s="1">
        <v>45010</v>
      </c>
      <c r="E4989" s="1">
        <v>45020</v>
      </c>
      <c r="F4989" s="1">
        <v>45019</v>
      </c>
      <c r="G4989">
        <v>45.55</v>
      </c>
      <c r="H49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989" t="str">
        <f>IFERROR(INDEX(Raw_orders!G:G, MATCH(shipments[[#This Row],[order_id]],Raw_orders!A:A, 0)), "Unknown")</f>
        <v>Nordics</v>
      </c>
      <c r="J4989" t="str">
        <f>PROPER(shipments[[#This Row],[delivery_status]])</f>
        <v>Delivered</v>
      </c>
      <c r="K4989" t="s">
        <v>6929</v>
      </c>
    </row>
    <row r="4990" spans="1:11">
      <c r="A4990" t="s">
        <v>11926</v>
      </c>
      <c r="B4990" t="s">
        <v>5603</v>
      </c>
      <c r="C4990" t="s">
        <v>6935</v>
      </c>
      <c r="D4990" s="1">
        <v>45489</v>
      </c>
      <c r="E4990" s="1">
        <v>45492</v>
      </c>
      <c r="F4990" s="1"/>
      <c r="H49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990" t="str">
        <f>IFERROR(INDEX(Raw_orders!G:G, MATCH(shipments[[#This Row],[order_id]],Raw_orders!A:A, 0)), "Unknown")</f>
        <v>Nordics</v>
      </c>
      <c r="J4990" t="str">
        <f>PROPER(shipments[[#This Row],[delivery_status]])</f>
        <v>Cancelled</v>
      </c>
      <c r="K4990" t="s">
        <v>6972</v>
      </c>
    </row>
    <row r="4991" spans="1:11">
      <c r="A4991" t="s">
        <v>11927</v>
      </c>
      <c r="B4991" t="s">
        <v>5604</v>
      </c>
      <c r="C4991" t="s">
        <v>6938</v>
      </c>
      <c r="D4991" s="1">
        <v>45153</v>
      </c>
      <c r="E4991" s="1">
        <v>45156</v>
      </c>
      <c r="F4991" s="1">
        <v>45159</v>
      </c>
      <c r="G4991">
        <v>28.44</v>
      </c>
      <c r="H49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91" t="str">
        <f>IFERROR(INDEX(Raw_orders!G:G, MATCH(shipments[[#This Row],[order_id]],Raw_orders!A:A, 0)), "Unknown")</f>
        <v>Central Europe</v>
      </c>
      <c r="J4991" t="str">
        <f>PROPER(shipments[[#This Row],[delivery_status]])</f>
        <v>Delivered</v>
      </c>
      <c r="K4991" t="s">
        <v>6922</v>
      </c>
    </row>
    <row r="4992" spans="1:11">
      <c r="A4992" t="s">
        <v>11928</v>
      </c>
      <c r="B4992" t="s">
        <v>5605</v>
      </c>
      <c r="C4992" t="s">
        <v>6921</v>
      </c>
      <c r="D4992" s="1">
        <v>44978</v>
      </c>
      <c r="E4992" s="1">
        <v>44983</v>
      </c>
      <c r="F4992" s="1">
        <v>44991</v>
      </c>
      <c r="G4992">
        <v>35.64</v>
      </c>
      <c r="H49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92" t="str">
        <f>IFERROR(INDEX(Raw_orders!G:G, MATCH(shipments[[#This Row],[order_id]],Raw_orders!A:A, 0)), "Unknown")</f>
        <v>Baltics</v>
      </c>
      <c r="J4992" t="str">
        <f>PROPER(shipments[[#This Row],[delivery_status]])</f>
        <v>Delivered</v>
      </c>
      <c r="K4992" t="s">
        <v>6926</v>
      </c>
    </row>
    <row r="4993" spans="1:11">
      <c r="A4993" t="s">
        <v>11929</v>
      </c>
      <c r="B4993" t="s">
        <v>5606</v>
      </c>
      <c r="C4993" t="s">
        <v>6940</v>
      </c>
      <c r="D4993" s="1">
        <v>45008</v>
      </c>
      <c r="E4993" s="1">
        <v>45013</v>
      </c>
      <c r="F4993" s="1">
        <v>45013</v>
      </c>
      <c r="G4993">
        <v>41.04</v>
      </c>
      <c r="H49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993" t="str">
        <f>IFERROR(INDEX(Raw_orders!G:G, MATCH(shipments[[#This Row],[order_id]],Raw_orders!A:A, 0)), "Unknown")</f>
        <v>Nordics</v>
      </c>
      <c r="J4993" t="str">
        <f>PROPER(shipments[[#This Row],[delivery_status]])</f>
        <v>Delivered</v>
      </c>
      <c r="K4993" t="s">
        <v>6922</v>
      </c>
    </row>
    <row r="4994" spans="1:11">
      <c r="A4994" t="s">
        <v>11930</v>
      </c>
      <c r="B4994" t="s">
        <v>5607</v>
      </c>
      <c r="C4994" t="s">
        <v>6925</v>
      </c>
      <c r="D4994" s="1">
        <v>44930</v>
      </c>
      <c r="E4994" s="1">
        <v>44937</v>
      </c>
      <c r="F4994" s="1">
        <v>44939</v>
      </c>
      <c r="G4994">
        <v>45.57</v>
      </c>
      <c r="H49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94" t="str">
        <f>IFERROR(INDEX(Raw_orders!G:G, MATCH(shipments[[#This Row],[order_id]],Raw_orders!A:A, 0)), "Unknown")</f>
        <v>Central Europe</v>
      </c>
      <c r="J4994" t="str">
        <f>PROPER(shipments[[#This Row],[delivery_status]])</f>
        <v>Delivered</v>
      </c>
      <c r="K4994" t="s">
        <v>6926</v>
      </c>
    </row>
    <row r="4995" spans="1:11">
      <c r="A4995" t="s">
        <v>11931</v>
      </c>
      <c r="B4995" t="s">
        <v>5608</v>
      </c>
      <c r="C4995" t="s">
        <v>6935</v>
      </c>
      <c r="D4995" s="1">
        <v>45045</v>
      </c>
      <c r="E4995" s="1">
        <v>45055</v>
      </c>
      <c r="F4995" s="1">
        <v>45055</v>
      </c>
      <c r="G4995">
        <v>47.74</v>
      </c>
      <c r="H49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995" t="str">
        <f>IFERROR(INDEX(Raw_orders!G:G, MATCH(shipments[[#This Row],[order_id]],Raw_orders!A:A, 0)), "Unknown")</f>
        <v>Central Europe</v>
      </c>
      <c r="J4995" t="str">
        <f>PROPER(shipments[[#This Row],[delivery_status]])</f>
        <v>Delivered</v>
      </c>
      <c r="K4995" t="s">
        <v>6926</v>
      </c>
    </row>
    <row r="4996" spans="1:11">
      <c r="A4996" t="s">
        <v>11932</v>
      </c>
      <c r="B4996" t="s">
        <v>5609</v>
      </c>
      <c r="C4996" t="s">
        <v>6925</v>
      </c>
      <c r="D4996" s="1">
        <v>45606</v>
      </c>
      <c r="E4996" s="1">
        <v>45613</v>
      </c>
      <c r="F4996" s="1">
        <v>45616</v>
      </c>
      <c r="G4996">
        <v>46.25</v>
      </c>
      <c r="H49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96" t="str">
        <f>IFERROR(INDEX(Raw_orders!G:G, MATCH(shipments[[#This Row],[order_id]],Raw_orders!A:A, 0)), "Unknown")</f>
        <v>Central Europe</v>
      </c>
      <c r="J4996" t="str">
        <f>PROPER(shipments[[#This Row],[delivery_status]])</f>
        <v>Delivered</v>
      </c>
      <c r="K4996" t="s">
        <v>6922</v>
      </c>
    </row>
    <row r="4997" spans="1:11">
      <c r="A4997" t="s">
        <v>11933</v>
      </c>
      <c r="B4997" t="s">
        <v>5610</v>
      </c>
      <c r="C4997" t="s">
        <v>6928</v>
      </c>
      <c r="D4997" s="1">
        <v>45417</v>
      </c>
      <c r="E4997" s="1">
        <v>45420</v>
      </c>
      <c r="F4997" s="1"/>
      <c r="G4997">
        <v>38.17</v>
      </c>
      <c r="H49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4997" t="str">
        <f>IFERROR(INDEX(Raw_orders!G:G, MATCH(shipments[[#This Row],[order_id]],Raw_orders!A:A, 0)), "Unknown")</f>
        <v>Baltics</v>
      </c>
      <c r="J4997" t="str">
        <f>PROPER(shipments[[#This Row],[delivery_status]])</f>
        <v>Cancelled</v>
      </c>
      <c r="K4997" t="s">
        <v>6963</v>
      </c>
    </row>
    <row r="4998" spans="1:11">
      <c r="A4998" t="s">
        <v>11934</v>
      </c>
      <c r="B4998" t="s">
        <v>5611</v>
      </c>
      <c r="C4998" t="s">
        <v>6928</v>
      </c>
      <c r="D4998" s="1">
        <v>45067</v>
      </c>
      <c r="E4998" s="1">
        <v>45074</v>
      </c>
      <c r="F4998" s="1">
        <v>45074</v>
      </c>
      <c r="G4998">
        <v>30.66</v>
      </c>
      <c r="H49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4998" t="str">
        <f>IFERROR(INDEX(Raw_orders!G:G, MATCH(shipments[[#This Row],[order_id]],Raw_orders!A:A, 0)), "Unknown")</f>
        <v>Baltics</v>
      </c>
      <c r="J4998" t="str">
        <f>PROPER(shipments[[#This Row],[delivery_status]])</f>
        <v>Delivered</v>
      </c>
      <c r="K4998" t="s">
        <v>6929</v>
      </c>
    </row>
    <row r="4999" spans="1:11">
      <c r="A4999" t="s">
        <v>11935</v>
      </c>
      <c r="B4999" t="s">
        <v>5612</v>
      </c>
      <c r="C4999" t="s">
        <v>6938</v>
      </c>
      <c r="D4999" s="1">
        <v>45619</v>
      </c>
      <c r="E4999" s="1">
        <v>45629</v>
      </c>
      <c r="F4999" s="1">
        <v>45634</v>
      </c>
      <c r="G4999">
        <v>35.700000000000003</v>
      </c>
      <c r="H49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4999" t="str">
        <f>IFERROR(INDEX(Raw_orders!G:G, MATCH(shipments[[#This Row],[order_id]],Raw_orders!A:A, 0)), "Unknown")</f>
        <v>Baltics</v>
      </c>
      <c r="J4999" t="str">
        <f>PROPER(shipments[[#This Row],[delivery_status]])</f>
        <v>Delivered</v>
      </c>
      <c r="K4999" t="s">
        <v>6926</v>
      </c>
    </row>
    <row r="5000" spans="1:11">
      <c r="A5000" t="s">
        <v>11936</v>
      </c>
      <c r="B5000" t="s">
        <v>5613</v>
      </c>
      <c r="C5000" t="s">
        <v>6940</v>
      </c>
      <c r="D5000" s="1">
        <v>45041</v>
      </c>
      <c r="E5000" s="1">
        <v>45044</v>
      </c>
      <c r="F5000" s="1">
        <v>45047</v>
      </c>
      <c r="G5000">
        <v>54.04</v>
      </c>
      <c r="H50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00" t="str">
        <f>IFERROR(INDEX(Raw_orders!G:G, MATCH(shipments[[#This Row],[order_id]],Raw_orders!A:A, 0)), "Unknown")</f>
        <v>Nordics</v>
      </c>
      <c r="J5000" t="str">
        <f>PROPER(shipments[[#This Row],[delivery_status]])</f>
        <v>Delivered</v>
      </c>
      <c r="K5000" t="s">
        <v>6926</v>
      </c>
    </row>
    <row r="5001" spans="1:11">
      <c r="A5001" t="s">
        <v>11937</v>
      </c>
      <c r="B5001" t="s">
        <v>5614</v>
      </c>
      <c r="C5001" t="s">
        <v>6956</v>
      </c>
      <c r="D5001" s="1">
        <v>45340</v>
      </c>
      <c r="E5001" s="1">
        <v>45350</v>
      </c>
      <c r="F5001" s="1">
        <v>45355</v>
      </c>
      <c r="G5001">
        <v>14.2</v>
      </c>
      <c r="H50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01" t="str">
        <f>IFERROR(INDEX(Raw_orders!G:G, MATCH(shipments[[#This Row],[order_id]],Raw_orders!A:A, 0)), "Unknown")</f>
        <v>Unknown</v>
      </c>
      <c r="J5001" t="str">
        <f>PROPER(shipments[[#This Row],[delivery_status]])</f>
        <v>Delivered</v>
      </c>
      <c r="K5001" t="s">
        <v>6929</v>
      </c>
    </row>
    <row r="5002" spans="1:11">
      <c r="A5002" t="s">
        <v>11938</v>
      </c>
      <c r="B5002" t="s">
        <v>5615</v>
      </c>
      <c r="C5002" t="s">
        <v>6938</v>
      </c>
      <c r="D5002" s="1">
        <v>45128</v>
      </c>
      <c r="E5002" s="1">
        <v>45133</v>
      </c>
      <c r="F5002" s="1"/>
      <c r="G5002">
        <v>42.39</v>
      </c>
      <c r="H50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002" t="str">
        <f>IFERROR(INDEX(Raw_orders!G:G, MATCH(shipments[[#This Row],[order_id]],Raw_orders!A:A, 0)), "Unknown")</f>
        <v>Central Europe</v>
      </c>
      <c r="J5002" t="str">
        <f>PROPER(shipments[[#This Row],[delivery_status]])</f>
        <v>Cancelled</v>
      </c>
      <c r="K5002" t="s">
        <v>6979</v>
      </c>
    </row>
    <row r="5003" spans="1:11">
      <c r="A5003" t="s">
        <v>11939</v>
      </c>
      <c r="B5003" t="s">
        <v>5616</v>
      </c>
      <c r="C5003" t="s">
        <v>6921</v>
      </c>
      <c r="D5003" s="1">
        <v>45530</v>
      </c>
      <c r="E5003" s="1">
        <v>45535</v>
      </c>
      <c r="F5003" s="1"/>
      <c r="G5003">
        <v>44.87</v>
      </c>
      <c r="H50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003" t="str">
        <f>IFERROR(INDEX(Raw_orders!G:G, MATCH(shipments[[#This Row],[order_id]],Raw_orders!A:A, 0)), "Unknown")</f>
        <v>Nordics</v>
      </c>
      <c r="J5003" t="str">
        <f>PROPER(shipments[[#This Row],[delivery_status]])</f>
        <v>Cancelled</v>
      </c>
      <c r="K5003" t="s">
        <v>6963</v>
      </c>
    </row>
    <row r="5004" spans="1:11">
      <c r="A5004" t="s">
        <v>11940</v>
      </c>
      <c r="B5004" t="s">
        <v>5617</v>
      </c>
      <c r="C5004" t="s">
        <v>6935</v>
      </c>
      <c r="D5004" s="1">
        <v>45383</v>
      </c>
      <c r="E5004" s="1">
        <v>45388</v>
      </c>
      <c r="F5004" s="1">
        <v>45398</v>
      </c>
      <c r="G5004">
        <v>33.979999999999997</v>
      </c>
      <c r="H50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04" t="str">
        <f>IFERROR(INDEX(Raw_orders!G:G, MATCH(shipments[[#This Row],[order_id]],Raw_orders!A:A, 0)), "Unknown")</f>
        <v>Baltics</v>
      </c>
      <c r="J5004" t="str">
        <f>PROPER(shipments[[#This Row],[delivery_status]])</f>
        <v>Delivered</v>
      </c>
      <c r="K5004" t="s">
        <v>6922</v>
      </c>
    </row>
    <row r="5005" spans="1:11">
      <c r="A5005" t="s">
        <v>11941</v>
      </c>
      <c r="B5005" t="s">
        <v>5618</v>
      </c>
      <c r="C5005" t="s">
        <v>6931</v>
      </c>
      <c r="D5005" s="1">
        <v>44977</v>
      </c>
      <c r="E5005" s="1">
        <v>44987</v>
      </c>
      <c r="F5005" s="1">
        <v>44992</v>
      </c>
      <c r="G5005">
        <v>44.04</v>
      </c>
      <c r="H50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05" t="str">
        <f>IFERROR(INDEX(Raw_orders!G:G, MATCH(shipments[[#This Row],[order_id]],Raw_orders!A:A, 0)), "Unknown")</f>
        <v>Baltics</v>
      </c>
      <c r="J5005" t="str">
        <f>PROPER(shipments[[#This Row],[delivery_status]])</f>
        <v>Delivered</v>
      </c>
      <c r="K5005" t="s">
        <v>6922</v>
      </c>
    </row>
    <row r="5006" spans="1:11">
      <c r="A5006" t="s">
        <v>11942</v>
      </c>
      <c r="B5006" t="s">
        <v>5619</v>
      </c>
      <c r="C5006" t="s">
        <v>6928</v>
      </c>
      <c r="D5006" s="1">
        <v>45216</v>
      </c>
      <c r="E5006" s="1">
        <v>45221</v>
      </c>
      <c r="F5006" s="1"/>
      <c r="G5006">
        <v>33.700000000000003</v>
      </c>
      <c r="H50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006" t="str">
        <f>IFERROR(INDEX(Raw_orders!G:G, MATCH(shipments[[#This Row],[order_id]],Raw_orders!A:A, 0)), "Unknown")</f>
        <v>Nordics</v>
      </c>
      <c r="J5006" t="str">
        <f>PROPER(shipments[[#This Row],[delivery_status]])</f>
        <v>In Transit</v>
      </c>
      <c r="K5006" t="s">
        <v>6958</v>
      </c>
    </row>
    <row r="5007" spans="1:11">
      <c r="A5007" t="s">
        <v>11943</v>
      </c>
      <c r="B5007" t="s">
        <v>5620</v>
      </c>
      <c r="C5007" t="s">
        <v>6938</v>
      </c>
      <c r="D5007" s="1">
        <v>45519</v>
      </c>
      <c r="E5007" s="1">
        <v>45521</v>
      </c>
      <c r="F5007" s="1">
        <v>45521</v>
      </c>
      <c r="G5007">
        <v>64.23</v>
      </c>
      <c r="H50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007" t="str">
        <f>IFERROR(INDEX(Raw_orders!G:G, MATCH(shipments[[#This Row],[order_id]],Raw_orders!A:A, 0)), "Unknown")</f>
        <v>Baltics</v>
      </c>
      <c r="J5007" t="str">
        <f>PROPER(shipments[[#This Row],[delivery_status]])</f>
        <v>Delivered</v>
      </c>
      <c r="K5007" t="s">
        <v>6929</v>
      </c>
    </row>
    <row r="5008" spans="1:11">
      <c r="A5008" t="s">
        <v>11944</v>
      </c>
      <c r="B5008" t="s">
        <v>5621</v>
      </c>
      <c r="C5008" t="s">
        <v>6940</v>
      </c>
      <c r="D5008" s="1">
        <v>45298</v>
      </c>
      <c r="E5008" s="1">
        <v>45301</v>
      </c>
      <c r="F5008" s="1">
        <v>45313</v>
      </c>
      <c r="G5008">
        <v>14.36</v>
      </c>
      <c r="H50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08" t="str">
        <f>IFERROR(INDEX(Raw_orders!G:G, MATCH(shipments[[#This Row],[order_id]],Raw_orders!A:A, 0)), "Unknown")</f>
        <v>Baltics</v>
      </c>
      <c r="J5008" t="str">
        <f>PROPER(shipments[[#This Row],[delivery_status]])</f>
        <v>Delivered</v>
      </c>
      <c r="K5008" t="s">
        <v>6929</v>
      </c>
    </row>
    <row r="5009" spans="1:11">
      <c r="A5009" t="s">
        <v>11945</v>
      </c>
      <c r="B5009" t="s">
        <v>5622</v>
      </c>
      <c r="C5009" t="s">
        <v>6931</v>
      </c>
      <c r="D5009" s="1">
        <v>45179</v>
      </c>
      <c r="E5009" s="1">
        <v>45186</v>
      </c>
      <c r="F5009" s="1">
        <v>45188</v>
      </c>
      <c r="G5009">
        <v>64.540000000000006</v>
      </c>
      <c r="H50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09" t="str">
        <f>IFERROR(INDEX(Raw_orders!G:G, MATCH(shipments[[#This Row],[order_id]],Raw_orders!A:A, 0)), "Unknown")</f>
        <v>Baltics</v>
      </c>
      <c r="J5009" t="str">
        <f>PROPER(shipments[[#This Row],[delivery_status]])</f>
        <v>Delivered</v>
      </c>
      <c r="K5009" t="s">
        <v>6929</v>
      </c>
    </row>
    <row r="5010" spans="1:11">
      <c r="A5010" t="s">
        <v>11946</v>
      </c>
      <c r="B5010" t="s">
        <v>5623</v>
      </c>
      <c r="C5010" t="s">
        <v>6931</v>
      </c>
      <c r="D5010" s="1">
        <v>45397</v>
      </c>
      <c r="E5010" s="1">
        <v>45404</v>
      </c>
      <c r="F5010" s="1">
        <v>45404</v>
      </c>
      <c r="G5010">
        <v>14.51</v>
      </c>
      <c r="H50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010" t="str">
        <f>IFERROR(INDEX(Raw_orders!G:G, MATCH(shipments[[#This Row],[order_id]],Raw_orders!A:A, 0)), "Unknown")</f>
        <v>Nordics</v>
      </c>
      <c r="J5010" t="str">
        <f>PROPER(shipments[[#This Row],[delivery_status]])</f>
        <v>Delivered</v>
      </c>
      <c r="K5010" t="s">
        <v>6929</v>
      </c>
    </row>
    <row r="5011" spans="1:11">
      <c r="A5011" t="s">
        <v>11947</v>
      </c>
      <c r="B5011" t="s">
        <v>5624</v>
      </c>
      <c r="C5011" t="s">
        <v>6940</v>
      </c>
      <c r="D5011" s="1">
        <v>45241</v>
      </c>
      <c r="E5011" s="1">
        <v>45251</v>
      </c>
      <c r="F5011" s="1">
        <v>45253</v>
      </c>
      <c r="G5011">
        <v>59.96</v>
      </c>
      <c r="H50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11" t="str">
        <f>IFERROR(INDEX(Raw_orders!G:G, MATCH(shipments[[#This Row],[order_id]],Raw_orders!A:A, 0)), "Unknown")</f>
        <v>Baltics</v>
      </c>
      <c r="J5011" t="str">
        <f>PROPER(shipments[[#This Row],[delivery_status]])</f>
        <v>Delivered</v>
      </c>
      <c r="K5011" t="s">
        <v>6926</v>
      </c>
    </row>
    <row r="5012" spans="1:11">
      <c r="A5012" t="s">
        <v>11948</v>
      </c>
      <c r="B5012" t="s">
        <v>5625</v>
      </c>
      <c r="C5012" t="s">
        <v>6928</v>
      </c>
      <c r="D5012" s="1">
        <v>44981</v>
      </c>
      <c r="E5012" s="1">
        <v>44986</v>
      </c>
      <c r="F5012" s="1">
        <v>45000</v>
      </c>
      <c r="G5012">
        <v>10.93</v>
      </c>
      <c r="H50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12" t="str">
        <f>IFERROR(INDEX(Raw_orders!G:G, MATCH(shipments[[#This Row],[order_id]],Raw_orders!A:A, 0)), "Unknown")</f>
        <v>Central Europe</v>
      </c>
      <c r="J5012" t="str">
        <f>PROPER(shipments[[#This Row],[delivery_status]])</f>
        <v>Delivered</v>
      </c>
      <c r="K5012" t="s">
        <v>6922</v>
      </c>
    </row>
    <row r="5013" spans="1:11">
      <c r="A5013" t="s">
        <v>11949</v>
      </c>
      <c r="B5013" t="s">
        <v>5625</v>
      </c>
      <c r="C5013" t="s">
        <v>6938</v>
      </c>
      <c r="D5013" s="1">
        <v>44982</v>
      </c>
      <c r="E5013" s="1">
        <v>44992</v>
      </c>
      <c r="F5013" s="1">
        <v>44994</v>
      </c>
      <c r="G5013">
        <v>8.14</v>
      </c>
      <c r="H50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13" t="str">
        <f>IFERROR(INDEX(Raw_orders!G:G, MATCH(shipments[[#This Row],[order_id]],Raw_orders!A:A, 0)), "Unknown")</f>
        <v>Central Europe</v>
      </c>
      <c r="J5013" t="str">
        <f>PROPER(shipments[[#This Row],[delivery_status]])</f>
        <v>Delivered</v>
      </c>
      <c r="K5013" t="s">
        <v>6926</v>
      </c>
    </row>
    <row r="5014" spans="1:11">
      <c r="A5014" t="s">
        <v>11950</v>
      </c>
      <c r="B5014" t="s">
        <v>5626</v>
      </c>
      <c r="C5014" t="s">
        <v>6938</v>
      </c>
      <c r="D5014" s="1">
        <v>45525</v>
      </c>
      <c r="E5014" s="1">
        <v>45527</v>
      </c>
      <c r="F5014" s="1">
        <v>45527</v>
      </c>
      <c r="G5014">
        <v>31.72</v>
      </c>
      <c r="H50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014" t="str">
        <f>IFERROR(INDEX(Raw_orders!G:G, MATCH(shipments[[#This Row],[order_id]],Raw_orders!A:A, 0)), "Unknown")</f>
        <v>Nordics</v>
      </c>
      <c r="J5014" t="str">
        <f>PROPER(shipments[[#This Row],[delivery_status]])</f>
        <v>Delivered</v>
      </c>
      <c r="K5014" t="s">
        <v>6926</v>
      </c>
    </row>
    <row r="5015" spans="1:11">
      <c r="A5015" t="s">
        <v>11951</v>
      </c>
      <c r="B5015" t="s">
        <v>5627</v>
      </c>
      <c r="C5015" t="s">
        <v>6938</v>
      </c>
      <c r="D5015" s="1">
        <v>45374</v>
      </c>
      <c r="E5015" s="1">
        <v>45377</v>
      </c>
      <c r="F5015" s="1"/>
      <c r="G5015">
        <v>52.3</v>
      </c>
      <c r="H50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015" t="str">
        <f>IFERROR(INDEX(Raw_orders!G:G, MATCH(shipments[[#This Row],[order_id]],Raw_orders!A:A, 0)), "Unknown")</f>
        <v>Nordics</v>
      </c>
      <c r="J5015" t="str">
        <f>PROPER(shipments[[#This Row],[delivery_status]])</f>
        <v>In Transit</v>
      </c>
      <c r="K5015" t="s">
        <v>6958</v>
      </c>
    </row>
    <row r="5016" spans="1:11">
      <c r="A5016" t="s">
        <v>11952</v>
      </c>
      <c r="B5016" t="s">
        <v>5628</v>
      </c>
      <c r="C5016" t="s">
        <v>6921</v>
      </c>
      <c r="D5016" s="1">
        <v>45423</v>
      </c>
      <c r="E5016" s="1">
        <v>45433</v>
      </c>
      <c r="F5016" s="1"/>
      <c r="G5016">
        <v>52.19</v>
      </c>
      <c r="H50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016" t="str">
        <f>IFERROR(INDEX(Raw_orders!G:G, MATCH(shipments[[#This Row],[order_id]],Raw_orders!A:A, 0)), "Unknown")</f>
        <v>Baltics</v>
      </c>
      <c r="J5016" t="str">
        <f>PROPER(shipments[[#This Row],[delivery_status]])</f>
        <v>In Transit</v>
      </c>
      <c r="K5016" t="s">
        <v>6946</v>
      </c>
    </row>
    <row r="5017" spans="1:11">
      <c r="A5017" t="s">
        <v>11953</v>
      </c>
      <c r="B5017" t="s">
        <v>5629</v>
      </c>
      <c r="C5017" t="s">
        <v>6935</v>
      </c>
      <c r="D5017" s="1">
        <v>45326</v>
      </c>
      <c r="E5017" s="1">
        <v>45329</v>
      </c>
      <c r="F5017" s="1">
        <v>45328</v>
      </c>
      <c r="G5017">
        <v>4.78</v>
      </c>
      <c r="H50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017" t="str">
        <f>IFERROR(INDEX(Raw_orders!G:G, MATCH(shipments[[#This Row],[order_id]],Raw_orders!A:A, 0)), "Unknown")</f>
        <v>Central Europe</v>
      </c>
      <c r="J5017" t="str">
        <f>PROPER(shipments[[#This Row],[delivery_status]])</f>
        <v>Delivered</v>
      </c>
      <c r="K5017" t="s">
        <v>6926</v>
      </c>
    </row>
    <row r="5018" spans="1:11">
      <c r="A5018" t="s">
        <v>11954</v>
      </c>
      <c r="B5018" t="s">
        <v>5630</v>
      </c>
      <c r="C5018" t="s">
        <v>6921</v>
      </c>
      <c r="D5018" s="1">
        <v>45122</v>
      </c>
      <c r="E5018" s="1">
        <v>45132</v>
      </c>
      <c r="F5018" s="1">
        <v>45137</v>
      </c>
      <c r="G5018">
        <v>46.17</v>
      </c>
      <c r="H50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18" t="str">
        <f>IFERROR(INDEX(Raw_orders!G:G, MATCH(shipments[[#This Row],[order_id]],Raw_orders!A:A, 0)), "Unknown")</f>
        <v>Baltics</v>
      </c>
      <c r="J5018" t="str">
        <f>PROPER(shipments[[#This Row],[delivery_status]])</f>
        <v>Delivered</v>
      </c>
      <c r="K5018" t="s">
        <v>6929</v>
      </c>
    </row>
    <row r="5019" spans="1:11">
      <c r="A5019" t="s">
        <v>11955</v>
      </c>
      <c r="B5019" t="s">
        <v>5631</v>
      </c>
      <c r="C5019" t="s">
        <v>6938</v>
      </c>
      <c r="D5019" s="1">
        <v>45403</v>
      </c>
      <c r="E5019" s="1">
        <v>45406</v>
      </c>
      <c r="F5019" s="1">
        <v>45406</v>
      </c>
      <c r="G5019">
        <v>43.03</v>
      </c>
      <c r="H50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019" t="str">
        <f>IFERROR(INDEX(Raw_orders!G:G, MATCH(shipments[[#This Row],[order_id]],Raw_orders!A:A, 0)), "Unknown")</f>
        <v>Baltics</v>
      </c>
      <c r="J5019" t="str">
        <f>PROPER(shipments[[#This Row],[delivery_status]])</f>
        <v>Delivered</v>
      </c>
      <c r="K5019" t="s">
        <v>6922</v>
      </c>
    </row>
    <row r="5020" spans="1:11">
      <c r="A5020" t="s">
        <v>11956</v>
      </c>
      <c r="B5020" t="s">
        <v>5632</v>
      </c>
      <c r="C5020" t="s">
        <v>6935</v>
      </c>
      <c r="D5020" s="1">
        <v>45181</v>
      </c>
      <c r="E5020" s="1">
        <v>45188</v>
      </c>
      <c r="F5020" s="1">
        <v>45188</v>
      </c>
      <c r="G5020">
        <v>46.92</v>
      </c>
      <c r="H50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020" t="str">
        <f>IFERROR(INDEX(Raw_orders!G:G, MATCH(shipments[[#This Row],[order_id]],Raw_orders!A:A, 0)), "Unknown")</f>
        <v>Nordics</v>
      </c>
      <c r="J5020" t="str">
        <f>PROPER(shipments[[#This Row],[delivery_status]])</f>
        <v>Delivered</v>
      </c>
      <c r="K5020" t="s">
        <v>6922</v>
      </c>
    </row>
    <row r="5021" spans="1:11">
      <c r="A5021" t="s">
        <v>11957</v>
      </c>
      <c r="B5021" t="s">
        <v>5633</v>
      </c>
      <c r="C5021" t="s">
        <v>6940</v>
      </c>
      <c r="D5021" s="1">
        <v>45236</v>
      </c>
      <c r="E5021" s="1">
        <v>45243</v>
      </c>
      <c r="F5021" s="1">
        <v>45245</v>
      </c>
      <c r="G5021">
        <v>44.82</v>
      </c>
      <c r="H50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21" t="str">
        <f>IFERROR(INDEX(Raw_orders!G:G, MATCH(shipments[[#This Row],[order_id]],Raw_orders!A:A, 0)), "Unknown")</f>
        <v>Nordics</v>
      </c>
      <c r="J5021" t="str">
        <f>PROPER(shipments[[#This Row],[delivery_status]])</f>
        <v>Delivered</v>
      </c>
      <c r="K5021" t="s">
        <v>6926</v>
      </c>
    </row>
    <row r="5022" spans="1:11">
      <c r="A5022" t="s">
        <v>11958</v>
      </c>
      <c r="B5022" t="s">
        <v>5634</v>
      </c>
      <c r="C5022" t="s">
        <v>6925</v>
      </c>
      <c r="D5022" s="1">
        <v>45226</v>
      </c>
      <c r="E5022" s="1">
        <v>45231</v>
      </c>
      <c r="F5022" s="1">
        <v>45231</v>
      </c>
      <c r="G5022">
        <v>39.979999999999997</v>
      </c>
      <c r="H50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022" t="str">
        <f>IFERROR(INDEX(Raw_orders!G:G, MATCH(shipments[[#This Row],[order_id]],Raw_orders!A:A, 0)), "Unknown")</f>
        <v>Baltics</v>
      </c>
      <c r="J5022" t="str">
        <f>PROPER(shipments[[#This Row],[delivery_status]])</f>
        <v>Delivered</v>
      </c>
      <c r="K5022" t="s">
        <v>6926</v>
      </c>
    </row>
    <row r="5023" spans="1:11">
      <c r="A5023" t="s">
        <v>11959</v>
      </c>
      <c r="B5023" t="s">
        <v>5635</v>
      </c>
      <c r="C5023" t="s">
        <v>6928</v>
      </c>
      <c r="D5023" s="1">
        <v>45312</v>
      </c>
      <c r="E5023" s="1">
        <v>45317</v>
      </c>
      <c r="F5023" s="1">
        <v>45322</v>
      </c>
      <c r="G5023">
        <v>35.78</v>
      </c>
      <c r="H50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23" t="str">
        <f>IFERROR(INDEX(Raw_orders!G:G, MATCH(shipments[[#This Row],[order_id]],Raw_orders!A:A, 0)), "Unknown")</f>
        <v>Unknown</v>
      </c>
      <c r="J5023" t="str">
        <f>PROPER(shipments[[#This Row],[delivery_status]])</f>
        <v>Delivered</v>
      </c>
      <c r="K5023" t="s">
        <v>6929</v>
      </c>
    </row>
    <row r="5024" spans="1:11">
      <c r="A5024" t="s">
        <v>11960</v>
      </c>
      <c r="B5024" t="s">
        <v>5636</v>
      </c>
      <c r="C5024" t="s">
        <v>6940</v>
      </c>
      <c r="D5024" s="1">
        <v>45600</v>
      </c>
      <c r="E5024" s="1">
        <v>45605</v>
      </c>
      <c r="F5024" s="1">
        <v>45607</v>
      </c>
      <c r="G5024">
        <v>56.3</v>
      </c>
      <c r="H50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24" t="str">
        <f>IFERROR(INDEX(Raw_orders!G:G, MATCH(shipments[[#This Row],[order_id]],Raw_orders!A:A, 0)), "Unknown")</f>
        <v>Nordics</v>
      </c>
      <c r="J5024" t="str">
        <f>PROPER(shipments[[#This Row],[delivery_status]])</f>
        <v>Delivered</v>
      </c>
      <c r="K5024" t="s">
        <v>6929</v>
      </c>
    </row>
    <row r="5025" spans="1:11">
      <c r="A5025" t="s">
        <v>11961</v>
      </c>
      <c r="B5025" t="s">
        <v>5637</v>
      </c>
      <c r="C5025" t="s">
        <v>6925</v>
      </c>
      <c r="D5025" s="1">
        <v>45445</v>
      </c>
      <c r="E5025" s="1">
        <v>45448</v>
      </c>
      <c r="F5025" s="1">
        <v>45448</v>
      </c>
      <c r="G5025">
        <v>10.130000000000001</v>
      </c>
      <c r="H50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025" t="str">
        <f>IFERROR(INDEX(Raw_orders!G:G, MATCH(shipments[[#This Row],[order_id]],Raw_orders!A:A, 0)), "Unknown")</f>
        <v>Nordics</v>
      </c>
      <c r="J5025" t="str">
        <f>PROPER(shipments[[#This Row],[delivery_status]])</f>
        <v>Delivered</v>
      </c>
      <c r="K5025" t="s">
        <v>6929</v>
      </c>
    </row>
    <row r="5026" spans="1:11">
      <c r="A5026" t="s">
        <v>11962</v>
      </c>
      <c r="B5026" t="s">
        <v>5638</v>
      </c>
      <c r="C5026" t="s">
        <v>6921</v>
      </c>
      <c r="D5026" s="1">
        <v>45536</v>
      </c>
      <c r="E5026" s="1">
        <v>45538</v>
      </c>
      <c r="F5026" s="1">
        <v>45538</v>
      </c>
      <c r="G5026">
        <v>60.15</v>
      </c>
      <c r="H50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026" t="str">
        <f>IFERROR(INDEX(Raw_orders!G:G, MATCH(shipments[[#This Row],[order_id]],Raw_orders!A:A, 0)), "Unknown")</f>
        <v>Central Europe</v>
      </c>
      <c r="J5026" t="str">
        <f>PROPER(shipments[[#This Row],[delivery_status]])</f>
        <v>Delivered</v>
      </c>
      <c r="K5026" t="s">
        <v>6926</v>
      </c>
    </row>
    <row r="5027" spans="1:11">
      <c r="A5027" t="s">
        <v>11963</v>
      </c>
      <c r="B5027" t="s">
        <v>5639</v>
      </c>
      <c r="C5027" t="s">
        <v>6931</v>
      </c>
      <c r="D5027" s="1">
        <v>45066</v>
      </c>
      <c r="E5027" s="1">
        <v>45073</v>
      </c>
      <c r="F5027" s="1">
        <v>45073</v>
      </c>
      <c r="G5027">
        <v>14.52</v>
      </c>
      <c r="H50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027" t="str">
        <f>IFERROR(INDEX(Raw_orders!G:G, MATCH(shipments[[#This Row],[order_id]],Raw_orders!A:A, 0)), "Unknown")</f>
        <v>Baltics</v>
      </c>
      <c r="J5027" t="str">
        <f>PROPER(shipments[[#This Row],[delivery_status]])</f>
        <v>Delivered</v>
      </c>
      <c r="K5027" t="s">
        <v>6926</v>
      </c>
    </row>
    <row r="5028" spans="1:11">
      <c r="A5028" t="s">
        <v>11964</v>
      </c>
      <c r="B5028" t="s">
        <v>5640</v>
      </c>
      <c r="C5028" t="s">
        <v>6928</v>
      </c>
      <c r="D5028" s="1">
        <v>44991</v>
      </c>
      <c r="E5028" s="1">
        <v>44998</v>
      </c>
      <c r="F5028" s="1">
        <v>45003</v>
      </c>
      <c r="G5028">
        <v>8.06</v>
      </c>
      <c r="H50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28" t="str">
        <f>IFERROR(INDEX(Raw_orders!G:G, MATCH(shipments[[#This Row],[order_id]],Raw_orders!A:A, 0)), "Unknown")</f>
        <v>Central Europe</v>
      </c>
      <c r="J5028" t="str">
        <f>PROPER(shipments[[#This Row],[delivery_status]])</f>
        <v>Delivered</v>
      </c>
      <c r="K5028" t="s">
        <v>6929</v>
      </c>
    </row>
    <row r="5029" spans="1:11">
      <c r="A5029" t="s">
        <v>11965</v>
      </c>
      <c r="B5029" t="s">
        <v>5641</v>
      </c>
      <c r="C5029" t="s">
        <v>6931</v>
      </c>
      <c r="D5029" s="1">
        <v>45475</v>
      </c>
      <c r="E5029" s="1">
        <v>45477</v>
      </c>
      <c r="F5029" s="1">
        <v>45476</v>
      </c>
      <c r="G5029">
        <v>11.8</v>
      </c>
      <c r="H50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029" t="str">
        <f>IFERROR(INDEX(Raw_orders!G:G, MATCH(shipments[[#This Row],[order_id]],Raw_orders!A:A, 0)), "Unknown")</f>
        <v>Nordics</v>
      </c>
      <c r="J5029" t="str">
        <f>PROPER(shipments[[#This Row],[delivery_status]])</f>
        <v>Delivered</v>
      </c>
      <c r="K5029" t="s">
        <v>6922</v>
      </c>
    </row>
    <row r="5030" spans="1:11">
      <c r="A5030" t="s">
        <v>11966</v>
      </c>
      <c r="B5030" t="s">
        <v>5642</v>
      </c>
      <c r="C5030" t="s">
        <v>6935</v>
      </c>
      <c r="D5030" s="1">
        <v>45528</v>
      </c>
      <c r="E5030" s="1">
        <v>45535</v>
      </c>
      <c r="F5030" s="1">
        <v>45540</v>
      </c>
      <c r="G5030">
        <v>27.79</v>
      </c>
      <c r="H50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30" t="str">
        <f>IFERROR(INDEX(Raw_orders!G:G, MATCH(shipments[[#This Row],[order_id]],Raw_orders!A:A, 0)), "Unknown")</f>
        <v>Baltics</v>
      </c>
      <c r="J5030" t="str">
        <f>PROPER(shipments[[#This Row],[delivery_status]])</f>
        <v>Delivered</v>
      </c>
      <c r="K5030" t="s">
        <v>6922</v>
      </c>
    </row>
    <row r="5031" spans="1:11">
      <c r="A5031" t="s">
        <v>11967</v>
      </c>
      <c r="B5031" t="s">
        <v>5643</v>
      </c>
      <c r="C5031" t="s">
        <v>6956</v>
      </c>
      <c r="D5031" s="1">
        <v>45398</v>
      </c>
      <c r="E5031" s="1">
        <v>45405</v>
      </c>
      <c r="F5031" s="1">
        <v>45413</v>
      </c>
      <c r="G5031">
        <v>33.47</v>
      </c>
      <c r="H50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31" t="str">
        <f>IFERROR(INDEX(Raw_orders!G:G, MATCH(shipments[[#This Row],[order_id]],Raw_orders!A:A, 0)), "Unknown")</f>
        <v>Nordics</v>
      </c>
      <c r="J5031" t="str">
        <f>PROPER(shipments[[#This Row],[delivery_status]])</f>
        <v>Delivered</v>
      </c>
      <c r="K5031" t="s">
        <v>6922</v>
      </c>
    </row>
    <row r="5032" spans="1:11">
      <c r="A5032" t="s">
        <v>11968</v>
      </c>
      <c r="B5032" t="s">
        <v>5644</v>
      </c>
      <c r="C5032" t="s">
        <v>6928</v>
      </c>
      <c r="D5032" s="1">
        <v>45426</v>
      </c>
      <c r="E5032" s="1">
        <v>45429</v>
      </c>
      <c r="F5032" s="1"/>
      <c r="G5032">
        <v>9.6999999999999993</v>
      </c>
      <c r="H50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032" t="str">
        <f>IFERROR(INDEX(Raw_orders!G:G, MATCH(shipments[[#This Row],[order_id]],Raw_orders!A:A, 0)), "Unknown")</f>
        <v>Nordics</v>
      </c>
      <c r="J5032" t="str">
        <f>PROPER(shipments[[#This Row],[delivery_status]])</f>
        <v>In Transit</v>
      </c>
      <c r="K5032" t="s">
        <v>6977</v>
      </c>
    </row>
    <row r="5033" spans="1:11">
      <c r="A5033" t="s">
        <v>11969</v>
      </c>
      <c r="B5033" t="s">
        <v>5645</v>
      </c>
      <c r="C5033" t="s">
        <v>6949</v>
      </c>
      <c r="D5033" s="1">
        <v>45431</v>
      </c>
      <c r="E5033" s="1">
        <v>45434</v>
      </c>
      <c r="F5033" s="1">
        <v>45448</v>
      </c>
      <c r="G5033">
        <v>20.52</v>
      </c>
      <c r="H50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33" t="str">
        <f>IFERROR(INDEX(Raw_orders!G:G, MATCH(shipments[[#This Row],[order_id]],Raw_orders!A:A, 0)), "Unknown")</f>
        <v>Baltics</v>
      </c>
      <c r="J5033" t="str">
        <f>PROPER(shipments[[#This Row],[delivery_status]])</f>
        <v>Delivered</v>
      </c>
      <c r="K5033" t="s">
        <v>6926</v>
      </c>
    </row>
    <row r="5034" spans="1:11">
      <c r="A5034" t="s">
        <v>11970</v>
      </c>
      <c r="B5034" t="s">
        <v>5646</v>
      </c>
      <c r="C5034" t="s">
        <v>6928</v>
      </c>
      <c r="D5034" s="1">
        <v>45624</v>
      </c>
      <c r="E5034" s="1">
        <v>45631</v>
      </c>
      <c r="F5034" s="1">
        <v>45633</v>
      </c>
      <c r="G5034">
        <v>50.64</v>
      </c>
      <c r="H50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34" t="str">
        <f>IFERROR(INDEX(Raw_orders!G:G, MATCH(shipments[[#This Row],[order_id]],Raw_orders!A:A, 0)), "Unknown")</f>
        <v>Central Europe</v>
      </c>
      <c r="J5034" t="str">
        <f>PROPER(shipments[[#This Row],[delivery_status]])</f>
        <v>Delivered</v>
      </c>
      <c r="K5034" t="s">
        <v>6929</v>
      </c>
    </row>
    <row r="5035" spans="1:11">
      <c r="A5035" t="s">
        <v>11971</v>
      </c>
      <c r="B5035" t="s">
        <v>5646</v>
      </c>
      <c r="C5035" t="s">
        <v>6940</v>
      </c>
      <c r="D5035" s="1">
        <v>45623</v>
      </c>
      <c r="E5035" s="1">
        <v>45625</v>
      </c>
      <c r="F5035" s="1">
        <v>45626</v>
      </c>
      <c r="G5035">
        <v>7.38</v>
      </c>
      <c r="H50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35" t="str">
        <f>IFERROR(INDEX(Raw_orders!G:G, MATCH(shipments[[#This Row],[order_id]],Raw_orders!A:A, 0)), "Unknown")</f>
        <v>Central Europe</v>
      </c>
      <c r="J5035" t="str">
        <f>PROPER(shipments[[#This Row],[delivery_status]])</f>
        <v>Delivered</v>
      </c>
      <c r="K5035" t="s">
        <v>6922</v>
      </c>
    </row>
    <row r="5036" spans="1:11">
      <c r="A5036" t="s">
        <v>11972</v>
      </c>
      <c r="B5036" t="s">
        <v>5647</v>
      </c>
      <c r="C5036" t="s">
        <v>6949</v>
      </c>
      <c r="D5036" s="1">
        <v>45028</v>
      </c>
      <c r="E5036" s="1">
        <v>45035</v>
      </c>
      <c r="F5036" s="1"/>
      <c r="G5036">
        <v>24.99</v>
      </c>
      <c r="H50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036" t="str">
        <f>IFERROR(INDEX(Raw_orders!G:G, MATCH(shipments[[#This Row],[order_id]],Raw_orders!A:A, 0)), "Unknown")</f>
        <v>Nordics</v>
      </c>
      <c r="J5036" t="str">
        <f>PROPER(shipments[[#This Row],[delivery_status]])</f>
        <v>In Transit</v>
      </c>
      <c r="K5036" t="s">
        <v>6977</v>
      </c>
    </row>
    <row r="5037" spans="1:11">
      <c r="A5037" t="s">
        <v>11973</v>
      </c>
      <c r="B5037" t="s">
        <v>5648</v>
      </c>
      <c r="C5037" t="s">
        <v>6925</v>
      </c>
      <c r="D5037" s="1">
        <v>45436</v>
      </c>
      <c r="E5037" s="1">
        <v>45443</v>
      </c>
      <c r="F5037" s="1">
        <v>45445</v>
      </c>
      <c r="G5037">
        <v>62.93</v>
      </c>
      <c r="H50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37" t="str">
        <f>IFERROR(INDEX(Raw_orders!G:G, MATCH(shipments[[#This Row],[order_id]],Raw_orders!A:A, 0)), "Unknown")</f>
        <v>Central Europe</v>
      </c>
      <c r="J5037" t="str">
        <f>PROPER(shipments[[#This Row],[delivery_status]])</f>
        <v>Delivered</v>
      </c>
      <c r="K5037" t="s">
        <v>6929</v>
      </c>
    </row>
    <row r="5038" spans="1:11">
      <c r="A5038" t="s">
        <v>11974</v>
      </c>
      <c r="B5038" t="s">
        <v>5649</v>
      </c>
      <c r="C5038" t="s">
        <v>6938</v>
      </c>
      <c r="D5038" s="1">
        <v>45047</v>
      </c>
      <c r="E5038" s="1">
        <v>45049</v>
      </c>
      <c r="F5038" s="1"/>
      <c r="G5038">
        <v>26.76</v>
      </c>
      <c r="H50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038" t="str">
        <f>IFERROR(INDEX(Raw_orders!G:G, MATCH(shipments[[#This Row],[order_id]],Raw_orders!A:A, 0)), "Unknown")</f>
        <v>Baltics</v>
      </c>
      <c r="J5038" t="str">
        <f>PROPER(shipments[[#This Row],[delivery_status]])</f>
        <v>In Transit</v>
      </c>
      <c r="K5038" t="s">
        <v>6946</v>
      </c>
    </row>
    <row r="5039" spans="1:11">
      <c r="A5039" t="s">
        <v>11975</v>
      </c>
      <c r="B5039" t="s">
        <v>5650</v>
      </c>
      <c r="C5039" t="s">
        <v>6921</v>
      </c>
      <c r="D5039" s="1">
        <v>45479</v>
      </c>
      <c r="E5039" s="1">
        <v>45484</v>
      </c>
      <c r="F5039" s="1">
        <v>45489</v>
      </c>
      <c r="G5039">
        <v>45.17</v>
      </c>
      <c r="H50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39" t="str">
        <f>IFERROR(INDEX(Raw_orders!G:G, MATCH(shipments[[#This Row],[order_id]],Raw_orders!A:A, 0)), "Unknown")</f>
        <v>Nordics</v>
      </c>
      <c r="J5039" t="str">
        <f>PROPER(shipments[[#This Row],[delivery_status]])</f>
        <v>Delivered</v>
      </c>
      <c r="K5039" t="s">
        <v>6926</v>
      </c>
    </row>
    <row r="5040" spans="1:11">
      <c r="A5040" t="s">
        <v>11976</v>
      </c>
      <c r="B5040" t="s">
        <v>5651</v>
      </c>
      <c r="C5040" t="s">
        <v>6925</v>
      </c>
      <c r="D5040" s="1">
        <v>45441</v>
      </c>
      <c r="E5040" s="1">
        <v>45444</v>
      </c>
      <c r="F5040" s="1"/>
      <c r="G5040">
        <v>50.75</v>
      </c>
      <c r="H50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040" t="str">
        <f>IFERROR(INDEX(Raw_orders!G:G, MATCH(shipments[[#This Row],[order_id]],Raw_orders!A:A, 0)), "Unknown")</f>
        <v>Nordics</v>
      </c>
      <c r="J5040" t="str">
        <f>PROPER(shipments[[#This Row],[delivery_status]])</f>
        <v>In Transit</v>
      </c>
      <c r="K5040" t="s">
        <v>6958</v>
      </c>
    </row>
    <row r="5041" spans="1:11">
      <c r="A5041" t="s">
        <v>11977</v>
      </c>
      <c r="B5041" t="s">
        <v>5652</v>
      </c>
      <c r="C5041" t="s">
        <v>6940</v>
      </c>
      <c r="D5041" s="1">
        <v>45242</v>
      </c>
      <c r="E5041" s="1">
        <v>45249</v>
      </c>
      <c r="F5041" s="1">
        <v>45263</v>
      </c>
      <c r="G5041">
        <v>31.42</v>
      </c>
      <c r="H50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41" t="str">
        <f>IFERROR(INDEX(Raw_orders!G:G, MATCH(shipments[[#This Row],[order_id]],Raw_orders!A:A, 0)), "Unknown")</f>
        <v>Baltics</v>
      </c>
      <c r="J5041" t="str">
        <f>PROPER(shipments[[#This Row],[delivery_status]])</f>
        <v>Delivered</v>
      </c>
      <c r="K5041" t="s">
        <v>6922</v>
      </c>
    </row>
    <row r="5042" spans="1:11">
      <c r="A5042" t="s">
        <v>11978</v>
      </c>
      <c r="B5042" t="s">
        <v>5653</v>
      </c>
      <c r="C5042" t="s">
        <v>6956</v>
      </c>
      <c r="D5042" s="1">
        <v>45458</v>
      </c>
      <c r="E5042" s="1">
        <v>45468</v>
      </c>
      <c r="F5042" s="1">
        <v>45469</v>
      </c>
      <c r="G5042">
        <v>41.2</v>
      </c>
      <c r="H50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42" t="str">
        <f>IFERROR(INDEX(Raw_orders!G:G, MATCH(shipments[[#This Row],[order_id]],Raw_orders!A:A, 0)), "Unknown")</f>
        <v>Nordics</v>
      </c>
      <c r="J5042" t="str">
        <f>PROPER(shipments[[#This Row],[delivery_status]])</f>
        <v>Delivered</v>
      </c>
      <c r="K5042" t="s">
        <v>6922</v>
      </c>
    </row>
    <row r="5043" spans="1:11">
      <c r="A5043" t="s">
        <v>11979</v>
      </c>
      <c r="B5043" t="s">
        <v>5654</v>
      </c>
      <c r="C5043" t="s">
        <v>6935</v>
      </c>
      <c r="D5043" s="1">
        <v>45591</v>
      </c>
      <c r="E5043" s="1">
        <v>45598</v>
      </c>
      <c r="F5043" s="1">
        <v>45598</v>
      </c>
      <c r="G5043">
        <v>40.71</v>
      </c>
      <c r="H50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043" t="str">
        <f>IFERROR(INDEX(Raw_orders!G:G, MATCH(shipments[[#This Row],[order_id]],Raw_orders!A:A, 0)), "Unknown")</f>
        <v>Baltics</v>
      </c>
      <c r="J5043" t="str">
        <f>PROPER(shipments[[#This Row],[delivery_status]])</f>
        <v>Delivered</v>
      </c>
      <c r="K5043" t="s">
        <v>6922</v>
      </c>
    </row>
    <row r="5044" spans="1:11">
      <c r="A5044" t="s">
        <v>11980</v>
      </c>
      <c r="B5044" t="s">
        <v>5655</v>
      </c>
      <c r="C5044" t="s">
        <v>6938</v>
      </c>
      <c r="D5044" s="1">
        <v>45549</v>
      </c>
      <c r="E5044" s="1">
        <v>45559</v>
      </c>
      <c r="F5044" s="1">
        <v>45568</v>
      </c>
      <c r="G5044">
        <v>41.77</v>
      </c>
      <c r="H50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44" t="str">
        <f>IFERROR(INDEX(Raw_orders!G:G, MATCH(shipments[[#This Row],[order_id]],Raw_orders!A:A, 0)), "Unknown")</f>
        <v>Central Europe</v>
      </c>
      <c r="J5044" t="str">
        <f>PROPER(shipments[[#This Row],[delivery_status]])</f>
        <v>Delivered</v>
      </c>
      <c r="K5044" t="s">
        <v>6922</v>
      </c>
    </row>
    <row r="5045" spans="1:11">
      <c r="A5045" t="s">
        <v>11981</v>
      </c>
      <c r="B5045" t="s">
        <v>5656</v>
      </c>
      <c r="C5045" t="s">
        <v>6931</v>
      </c>
      <c r="D5045" s="1">
        <v>45478</v>
      </c>
      <c r="E5045" s="1">
        <v>45488</v>
      </c>
      <c r="F5045" s="1">
        <v>45488</v>
      </c>
      <c r="G5045">
        <v>57.08</v>
      </c>
      <c r="H50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045" t="str">
        <f>IFERROR(INDEX(Raw_orders!G:G, MATCH(shipments[[#This Row],[order_id]],Raw_orders!A:A, 0)), "Unknown")</f>
        <v>Baltics</v>
      </c>
      <c r="J5045" t="str">
        <f>PROPER(shipments[[#This Row],[delivery_status]])</f>
        <v>Delivered</v>
      </c>
      <c r="K5045" t="s">
        <v>6929</v>
      </c>
    </row>
    <row r="5046" spans="1:11">
      <c r="A5046" t="s">
        <v>11982</v>
      </c>
      <c r="B5046" t="s">
        <v>5656</v>
      </c>
      <c r="C5046" t="s">
        <v>6931</v>
      </c>
      <c r="D5046" s="1">
        <v>45480</v>
      </c>
      <c r="E5046" s="1">
        <v>45485</v>
      </c>
      <c r="F5046" s="1">
        <v>45484</v>
      </c>
      <c r="G5046">
        <v>21.77</v>
      </c>
      <c r="H50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046" t="str">
        <f>IFERROR(INDEX(Raw_orders!G:G, MATCH(shipments[[#This Row],[order_id]],Raw_orders!A:A, 0)), "Unknown")</f>
        <v>Baltics</v>
      </c>
      <c r="J5046" t="str">
        <f>PROPER(shipments[[#This Row],[delivery_status]])</f>
        <v>Delivered</v>
      </c>
      <c r="K5046" t="s">
        <v>6929</v>
      </c>
    </row>
    <row r="5047" spans="1:11">
      <c r="A5047" t="s">
        <v>11983</v>
      </c>
      <c r="B5047" t="s">
        <v>5657</v>
      </c>
      <c r="C5047" t="s">
        <v>6931</v>
      </c>
      <c r="D5047" s="1">
        <v>45231</v>
      </c>
      <c r="E5047" s="1">
        <v>45233</v>
      </c>
      <c r="F5047" s="1">
        <v>45238</v>
      </c>
      <c r="G5047">
        <v>30.34</v>
      </c>
      <c r="H50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47" t="str">
        <f>IFERROR(INDEX(Raw_orders!G:G, MATCH(shipments[[#This Row],[order_id]],Raw_orders!A:A, 0)), "Unknown")</f>
        <v>Central Europe</v>
      </c>
      <c r="J5047" t="str">
        <f>PROPER(shipments[[#This Row],[delivery_status]])</f>
        <v>Delivered</v>
      </c>
      <c r="K5047" t="s">
        <v>6922</v>
      </c>
    </row>
    <row r="5048" spans="1:11">
      <c r="A5048" t="s">
        <v>11984</v>
      </c>
      <c r="B5048" t="s">
        <v>5658</v>
      </c>
      <c r="C5048" t="s">
        <v>6935</v>
      </c>
      <c r="D5048" s="1">
        <v>45127</v>
      </c>
      <c r="E5048" s="1">
        <v>45137</v>
      </c>
      <c r="F5048" s="1">
        <v>45137</v>
      </c>
      <c r="G5048">
        <v>33.83</v>
      </c>
      <c r="H50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048" t="str">
        <f>IFERROR(INDEX(Raw_orders!G:G, MATCH(shipments[[#This Row],[order_id]],Raw_orders!A:A, 0)), "Unknown")</f>
        <v>Nordics</v>
      </c>
      <c r="J5048" t="str">
        <f>PROPER(shipments[[#This Row],[delivery_status]])</f>
        <v>Delivered</v>
      </c>
      <c r="K5048" t="s">
        <v>6926</v>
      </c>
    </row>
    <row r="5049" spans="1:11">
      <c r="A5049" t="s">
        <v>11985</v>
      </c>
      <c r="B5049" t="s">
        <v>5659</v>
      </c>
      <c r="C5049" t="s">
        <v>6925</v>
      </c>
      <c r="D5049" s="1">
        <v>45166</v>
      </c>
      <c r="E5049" s="1">
        <v>45171</v>
      </c>
      <c r="F5049" s="1">
        <v>45172</v>
      </c>
      <c r="G5049">
        <v>51.77</v>
      </c>
      <c r="H50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49" t="str">
        <f>IFERROR(INDEX(Raw_orders!G:G, MATCH(shipments[[#This Row],[order_id]],Raw_orders!A:A, 0)), "Unknown")</f>
        <v>Central Europe</v>
      </c>
      <c r="J5049" t="str">
        <f>PROPER(shipments[[#This Row],[delivery_status]])</f>
        <v>Delivered</v>
      </c>
      <c r="K5049" t="s">
        <v>6922</v>
      </c>
    </row>
    <row r="5050" spans="1:11">
      <c r="A5050" t="s">
        <v>11986</v>
      </c>
      <c r="B5050" t="s">
        <v>5660</v>
      </c>
      <c r="C5050" t="s">
        <v>6921</v>
      </c>
      <c r="D5050" s="1">
        <v>45213</v>
      </c>
      <c r="E5050" s="1">
        <v>45223</v>
      </c>
      <c r="F5050" s="1">
        <v>45223</v>
      </c>
      <c r="G5050">
        <v>17.079999999999998</v>
      </c>
      <c r="H50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050" t="str">
        <f>IFERROR(INDEX(Raw_orders!G:G, MATCH(shipments[[#This Row],[order_id]],Raw_orders!A:A, 0)), "Unknown")</f>
        <v>Nordics</v>
      </c>
      <c r="J5050" t="str">
        <f>PROPER(shipments[[#This Row],[delivery_status]])</f>
        <v>Delivered</v>
      </c>
      <c r="K5050" t="s">
        <v>6926</v>
      </c>
    </row>
    <row r="5051" spans="1:11">
      <c r="A5051" t="s">
        <v>11987</v>
      </c>
      <c r="B5051" t="s">
        <v>5661</v>
      </c>
      <c r="C5051" t="s">
        <v>6921</v>
      </c>
      <c r="D5051" s="1">
        <v>45458</v>
      </c>
      <c r="E5051" s="1">
        <v>45460</v>
      </c>
      <c r="F5051" s="1">
        <v>45463</v>
      </c>
      <c r="G5051">
        <v>16.670000000000002</v>
      </c>
      <c r="H50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51" t="str">
        <f>IFERROR(INDEX(Raw_orders!G:G, MATCH(shipments[[#This Row],[order_id]],Raw_orders!A:A, 0)), "Unknown")</f>
        <v>Nordics</v>
      </c>
      <c r="J5051" t="str">
        <f>PROPER(shipments[[#This Row],[delivery_status]])</f>
        <v>Delivered</v>
      </c>
      <c r="K5051" t="s">
        <v>6926</v>
      </c>
    </row>
    <row r="5052" spans="1:11">
      <c r="A5052" t="s">
        <v>11988</v>
      </c>
      <c r="B5052" t="s">
        <v>5662</v>
      </c>
      <c r="C5052" t="s">
        <v>6956</v>
      </c>
      <c r="D5052" s="1">
        <v>45375</v>
      </c>
      <c r="E5052" s="1">
        <v>45382</v>
      </c>
      <c r="F5052" s="1">
        <v>45382</v>
      </c>
      <c r="G5052">
        <v>24.44</v>
      </c>
      <c r="H50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052" t="str">
        <f>IFERROR(INDEX(Raw_orders!G:G, MATCH(shipments[[#This Row],[order_id]],Raw_orders!A:A, 0)), "Unknown")</f>
        <v>Central Europe</v>
      </c>
      <c r="J5052" t="str">
        <f>PROPER(shipments[[#This Row],[delivery_status]])</f>
        <v>Delivered</v>
      </c>
      <c r="K5052" t="s">
        <v>6922</v>
      </c>
    </row>
    <row r="5053" spans="1:11">
      <c r="A5053" t="s">
        <v>11989</v>
      </c>
      <c r="B5053" t="s">
        <v>5663</v>
      </c>
      <c r="C5053" t="s">
        <v>6938</v>
      </c>
      <c r="D5053" s="1">
        <v>45359</v>
      </c>
      <c r="E5053" s="1">
        <v>45364</v>
      </c>
      <c r="F5053" s="1">
        <v>45367</v>
      </c>
      <c r="G5053">
        <v>51.52</v>
      </c>
      <c r="H50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53" t="str">
        <f>IFERROR(INDEX(Raw_orders!G:G, MATCH(shipments[[#This Row],[order_id]],Raw_orders!A:A, 0)), "Unknown")</f>
        <v>Central Europe</v>
      </c>
      <c r="J5053" t="str">
        <f>PROPER(shipments[[#This Row],[delivery_status]])</f>
        <v>Delivered</v>
      </c>
      <c r="K5053" t="s">
        <v>6922</v>
      </c>
    </row>
    <row r="5054" spans="1:11">
      <c r="A5054" t="s">
        <v>11990</v>
      </c>
      <c r="B5054" t="s">
        <v>5664</v>
      </c>
      <c r="C5054" t="s">
        <v>6935</v>
      </c>
      <c r="D5054" s="1">
        <v>45386</v>
      </c>
      <c r="E5054" s="1">
        <v>45388</v>
      </c>
      <c r="F5054" s="1">
        <v>45388</v>
      </c>
      <c r="G5054">
        <v>28.54</v>
      </c>
      <c r="H50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054" t="str">
        <f>IFERROR(INDEX(Raw_orders!G:G, MATCH(shipments[[#This Row],[order_id]],Raw_orders!A:A, 0)), "Unknown")</f>
        <v>Baltics</v>
      </c>
      <c r="J5054" t="str">
        <f>PROPER(shipments[[#This Row],[delivery_status]])</f>
        <v>Delivered</v>
      </c>
      <c r="K5054" t="s">
        <v>6929</v>
      </c>
    </row>
    <row r="5055" spans="1:11">
      <c r="A5055" t="s">
        <v>11991</v>
      </c>
      <c r="B5055" t="s">
        <v>5665</v>
      </c>
      <c r="C5055" t="s">
        <v>6931</v>
      </c>
      <c r="D5055" s="1">
        <v>45068</v>
      </c>
      <c r="E5055" s="1">
        <v>45075</v>
      </c>
      <c r="F5055" s="1"/>
      <c r="G5055">
        <v>60.02</v>
      </c>
      <c r="H50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055" t="str">
        <f>IFERROR(INDEX(Raw_orders!G:G, MATCH(shipments[[#This Row],[order_id]],Raw_orders!A:A, 0)), "Unknown")</f>
        <v>Central Europe</v>
      </c>
      <c r="J5055" t="str">
        <f>PROPER(shipments[[#This Row],[delivery_status]])</f>
        <v>In Transit</v>
      </c>
      <c r="K5055" t="s">
        <v>6977</v>
      </c>
    </row>
    <row r="5056" spans="1:11">
      <c r="A5056" t="s">
        <v>11992</v>
      </c>
      <c r="B5056" t="s">
        <v>5666</v>
      </c>
      <c r="C5056" t="s">
        <v>6931</v>
      </c>
      <c r="D5056" s="1">
        <v>44962</v>
      </c>
      <c r="E5056" s="1">
        <v>44972</v>
      </c>
      <c r="F5056" s="1">
        <v>44972</v>
      </c>
      <c r="G5056">
        <v>23.75</v>
      </c>
      <c r="H50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056" t="str">
        <f>IFERROR(INDEX(Raw_orders!G:G, MATCH(shipments[[#This Row],[order_id]],Raw_orders!A:A, 0)), "Unknown")</f>
        <v>Nordics</v>
      </c>
      <c r="J5056" t="str">
        <f>PROPER(shipments[[#This Row],[delivery_status]])</f>
        <v>Delivered</v>
      </c>
      <c r="K5056" t="s">
        <v>6929</v>
      </c>
    </row>
    <row r="5057" spans="1:11">
      <c r="A5057" t="s">
        <v>11993</v>
      </c>
      <c r="B5057" t="s">
        <v>5667</v>
      </c>
      <c r="C5057" t="s">
        <v>6938</v>
      </c>
      <c r="D5057" s="1">
        <v>45348</v>
      </c>
      <c r="E5057" s="1">
        <v>45355</v>
      </c>
      <c r="F5057" s="1">
        <v>45356</v>
      </c>
      <c r="G5057">
        <v>13.41</v>
      </c>
      <c r="H50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57" t="str">
        <f>IFERROR(INDEX(Raw_orders!G:G, MATCH(shipments[[#This Row],[order_id]],Raw_orders!A:A, 0)), "Unknown")</f>
        <v>Central Europe</v>
      </c>
      <c r="J5057" t="str">
        <f>PROPER(shipments[[#This Row],[delivery_status]])</f>
        <v>Delivered</v>
      </c>
      <c r="K5057" t="s">
        <v>6926</v>
      </c>
    </row>
    <row r="5058" spans="1:11">
      <c r="A5058" t="s">
        <v>11994</v>
      </c>
      <c r="B5058" t="s">
        <v>5668</v>
      </c>
      <c r="C5058" t="s">
        <v>6938</v>
      </c>
      <c r="D5058" s="1">
        <v>45298</v>
      </c>
      <c r="E5058" s="1">
        <v>45303</v>
      </c>
      <c r="F5058" s="1">
        <v>45306</v>
      </c>
      <c r="G5058">
        <v>63.67</v>
      </c>
      <c r="H50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58" t="str">
        <f>IFERROR(INDEX(Raw_orders!G:G, MATCH(shipments[[#This Row],[order_id]],Raw_orders!A:A, 0)), "Unknown")</f>
        <v>Baltics</v>
      </c>
      <c r="J5058" t="str">
        <f>PROPER(shipments[[#This Row],[delivery_status]])</f>
        <v>Delivered</v>
      </c>
      <c r="K5058" t="s">
        <v>6926</v>
      </c>
    </row>
    <row r="5059" spans="1:11">
      <c r="A5059" t="s">
        <v>11995</v>
      </c>
      <c r="B5059" t="s">
        <v>5669</v>
      </c>
      <c r="C5059" t="s">
        <v>6956</v>
      </c>
      <c r="D5059" s="1">
        <v>45270</v>
      </c>
      <c r="E5059" s="1">
        <v>45275</v>
      </c>
      <c r="F5059" s="1">
        <v>45274</v>
      </c>
      <c r="G5059">
        <v>21.83</v>
      </c>
      <c r="H50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059" t="str">
        <f>IFERROR(INDEX(Raw_orders!G:G, MATCH(shipments[[#This Row],[order_id]],Raw_orders!A:A, 0)), "Unknown")</f>
        <v>Central Europe</v>
      </c>
      <c r="J5059" t="str">
        <f>PROPER(shipments[[#This Row],[delivery_status]])</f>
        <v>Delivered</v>
      </c>
      <c r="K5059" t="s">
        <v>6926</v>
      </c>
    </row>
    <row r="5060" spans="1:11">
      <c r="A5060" t="s">
        <v>11996</v>
      </c>
      <c r="B5060" t="s">
        <v>5670</v>
      </c>
      <c r="C5060" t="s">
        <v>6921</v>
      </c>
      <c r="D5060" s="1">
        <v>45524</v>
      </c>
      <c r="E5060" s="1">
        <v>45534</v>
      </c>
      <c r="F5060" s="1">
        <v>45539</v>
      </c>
      <c r="G5060">
        <v>19.43</v>
      </c>
      <c r="H50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60" t="str">
        <f>IFERROR(INDEX(Raw_orders!G:G, MATCH(shipments[[#This Row],[order_id]],Raw_orders!A:A, 0)), "Unknown")</f>
        <v>Central Europe</v>
      </c>
      <c r="J5060" t="str">
        <f>PROPER(shipments[[#This Row],[delivery_status]])</f>
        <v>Delivered</v>
      </c>
      <c r="K5060" t="s">
        <v>6929</v>
      </c>
    </row>
    <row r="5061" spans="1:11">
      <c r="A5061" t="s">
        <v>11997</v>
      </c>
      <c r="B5061" t="s">
        <v>5671</v>
      </c>
      <c r="C5061" t="s">
        <v>6931</v>
      </c>
      <c r="D5061" s="1">
        <v>44937</v>
      </c>
      <c r="E5061" s="1">
        <v>44940</v>
      </c>
      <c r="F5061" s="1">
        <v>44939</v>
      </c>
      <c r="G5061">
        <v>61.17</v>
      </c>
      <c r="H50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061" t="str">
        <f>IFERROR(INDEX(Raw_orders!G:G, MATCH(shipments[[#This Row],[order_id]],Raw_orders!A:A, 0)), "Unknown")</f>
        <v>Nordics</v>
      </c>
      <c r="J5061" t="str">
        <f>PROPER(shipments[[#This Row],[delivery_status]])</f>
        <v>Delivered</v>
      </c>
      <c r="K5061" t="s">
        <v>6926</v>
      </c>
    </row>
    <row r="5062" spans="1:11">
      <c r="A5062" t="s">
        <v>11998</v>
      </c>
      <c r="B5062" t="s">
        <v>5672</v>
      </c>
      <c r="C5062" t="s">
        <v>6921</v>
      </c>
      <c r="D5062" s="1">
        <v>45480</v>
      </c>
      <c r="E5062" s="1">
        <v>45485</v>
      </c>
      <c r="F5062" s="1">
        <v>45493</v>
      </c>
      <c r="G5062">
        <v>26.2</v>
      </c>
      <c r="H50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62" t="str">
        <f>IFERROR(INDEX(Raw_orders!G:G, MATCH(shipments[[#This Row],[order_id]],Raw_orders!A:A, 0)), "Unknown")</f>
        <v>Central Europe</v>
      </c>
      <c r="J5062" t="str">
        <f>PROPER(shipments[[#This Row],[delivery_status]])</f>
        <v>Delivered</v>
      </c>
      <c r="K5062" t="s">
        <v>6922</v>
      </c>
    </row>
    <row r="5063" spans="1:11">
      <c r="A5063" t="s">
        <v>11999</v>
      </c>
      <c r="B5063" t="s">
        <v>5673</v>
      </c>
      <c r="C5063" t="s">
        <v>6925</v>
      </c>
      <c r="D5063" s="1">
        <v>45333</v>
      </c>
      <c r="E5063" s="1">
        <v>45343</v>
      </c>
      <c r="F5063" s="1">
        <v>45346</v>
      </c>
      <c r="G5063">
        <v>9.7100000000000009</v>
      </c>
      <c r="H50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63" t="str">
        <f>IFERROR(INDEX(Raw_orders!G:G, MATCH(shipments[[#This Row],[order_id]],Raw_orders!A:A, 0)), "Unknown")</f>
        <v>Central Europe</v>
      </c>
      <c r="J5063" t="str">
        <f>PROPER(shipments[[#This Row],[delivery_status]])</f>
        <v>Delivered</v>
      </c>
      <c r="K5063" t="s">
        <v>6926</v>
      </c>
    </row>
    <row r="5064" spans="1:11">
      <c r="A5064" t="s">
        <v>12000</v>
      </c>
      <c r="B5064" t="s">
        <v>5674</v>
      </c>
      <c r="C5064" t="s">
        <v>6935</v>
      </c>
      <c r="D5064" s="1">
        <v>44985</v>
      </c>
      <c r="E5064" s="1">
        <v>44987</v>
      </c>
      <c r="F5064" s="1">
        <v>44997</v>
      </c>
      <c r="G5064">
        <v>18.600000000000001</v>
      </c>
      <c r="H50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64" t="str">
        <f>IFERROR(INDEX(Raw_orders!G:G, MATCH(shipments[[#This Row],[order_id]],Raw_orders!A:A, 0)), "Unknown")</f>
        <v>Central Europe</v>
      </c>
      <c r="J5064" t="str">
        <f>PROPER(shipments[[#This Row],[delivery_status]])</f>
        <v>Delivered</v>
      </c>
      <c r="K5064" t="s">
        <v>6922</v>
      </c>
    </row>
    <row r="5065" spans="1:11">
      <c r="A5065" t="s">
        <v>12001</v>
      </c>
      <c r="B5065" t="s">
        <v>5674</v>
      </c>
      <c r="C5065" t="s">
        <v>6938</v>
      </c>
      <c r="D5065" s="1">
        <v>44984</v>
      </c>
      <c r="E5065" s="1">
        <v>44987</v>
      </c>
      <c r="F5065" s="1">
        <v>44989</v>
      </c>
      <c r="G5065">
        <v>57.34</v>
      </c>
      <c r="H50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65" t="str">
        <f>IFERROR(INDEX(Raw_orders!G:G, MATCH(shipments[[#This Row],[order_id]],Raw_orders!A:A, 0)), "Unknown")</f>
        <v>Central Europe</v>
      </c>
      <c r="J5065" t="str">
        <f>PROPER(shipments[[#This Row],[delivery_status]])</f>
        <v>Delivered</v>
      </c>
      <c r="K5065" t="s">
        <v>6922</v>
      </c>
    </row>
    <row r="5066" spans="1:11">
      <c r="A5066" t="s">
        <v>12002</v>
      </c>
      <c r="B5066" t="s">
        <v>5675</v>
      </c>
      <c r="C5066" t="s">
        <v>6921</v>
      </c>
      <c r="D5066" s="1">
        <v>45592</v>
      </c>
      <c r="E5066" s="1">
        <v>45595</v>
      </c>
      <c r="F5066" s="1">
        <v>45600</v>
      </c>
      <c r="G5066">
        <v>20.71</v>
      </c>
      <c r="H50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66" t="str">
        <f>IFERROR(INDEX(Raw_orders!G:G, MATCH(shipments[[#This Row],[order_id]],Raw_orders!A:A, 0)), "Unknown")</f>
        <v>Central Europe</v>
      </c>
      <c r="J5066" t="str">
        <f>PROPER(shipments[[#This Row],[delivery_status]])</f>
        <v>Delivered</v>
      </c>
      <c r="K5066" t="s">
        <v>6929</v>
      </c>
    </row>
    <row r="5067" spans="1:11">
      <c r="A5067" t="s">
        <v>12003</v>
      </c>
      <c r="B5067" t="s">
        <v>5676</v>
      </c>
      <c r="C5067" t="s">
        <v>6956</v>
      </c>
      <c r="D5067" s="1">
        <v>45230</v>
      </c>
      <c r="E5067" s="1">
        <v>45233</v>
      </c>
      <c r="F5067" s="1">
        <v>45232</v>
      </c>
      <c r="G5067">
        <v>27.44</v>
      </c>
      <c r="H50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067" t="str">
        <f>IFERROR(INDEX(Raw_orders!G:G, MATCH(shipments[[#This Row],[order_id]],Raw_orders!A:A, 0)), "Unknown")</f>
        <v>Baltics</v>
      </c>
      <c r="J5067" t="str">
        <f>PROPER(shipments[[#This Row],[delivery_status]])</f>
        <v>Delivered</v>
      </c>
      <c r="K5067" t="s">
        <v>6922</v>
      </c>
    </row>
    <row r="5068" spans="1:11">
      <c r="A5068" t="s">
        <v>12004</v>
      </c>
      <c r="B5068" t="s">
        <v>5677</v>
      </c>
      <c r="C5068" t="s">
        <v>6956</v>
      </c>
      <c r="D5068" s="1">
        <v>45336</v>
      </c>
      <c r="E5068" s="1">
        <v>45343</v>
      </c>
      <c r="F5068" s="1">
        <v>45343</v>
      </c>
      <c r="G5068">
        <v>16.54</v>
      </c>
      <c r="H50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068" t="str">
        <f>IFERROR(INDEX(Raw_orders!G:G, MATCH(shipments[[#This Row],[order_id]],Raw_orders!A:A, 0)), "Unknown")</f>
        <v>Nordics</v>
      </c>
      <c r="J5068" t="str">
        <f>PROPER(shipments[[#This Row],[delivery_status]])</f>
        <v>Delivered</v>
      </c>
      <c r="K5068" t="s">
        <v>6926</v>
      </c>
    </row>
    <row r="5069" spans="1:11">
      <c r="A5069" t="s">
        <v>12005</v>
      </c>
      <c r="B5069" t="s">
        <v>5678</v>
      </c>
      <c r="C5069" t="s">
        <v>6921</v>
      </c>
      <c r="D5069" s="1">
        <v>45478</v>
      </c>
      <c r="E5069" s="1">
        <v>45480</v>
      </c>
      <c r="F5069" s="1">
        <v>45481</v>
      </c>
      <c r="G5069">
        <v>53.39</v>
      </c>
      <c r="H50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69" t="str">
        <f>IFERROR(INDEX(Raw_orders!G:G, MATCH(shipments[[#This Row],[order_id]],Raw_orders!A:A, 0)), "Unknown")</f>
        <v>Central Europe</v>
      </c>
      <c r="J5069" t="str">
        <f>PROPER(shipments[[#This Row],[delivery_status]])</f>
        <v>Delivered</v>
      </c>
      <c r="K5069" t="s">
        <v>6926</v>
      </c>
    </row>
    <row r="5070" spans="1:11">
      <c r="A5070" t="s">
        <v>12006</v>
      </c>
      <c r="B5070" t="s">
        <v>5679</v>
      </c>
      <c r="C5070" t="s">
        <v>6938</v>
      </c>
      <c r="D5070" s="1">
        <v>45457</v>
      </c>
      <c r="E5070" s="1">
        <v>45459</v>
      </c>
      <c r="F5070" s="1"/>
      <c r="G5070">
        <v>36.24</v>
      </c>
      <c r="H50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070" t="str">
        <f>IFERROR(INDEX(Raw_orders!G:G, MATCH(shipments[[#This Row],[order_id]],Raw_orders!A:A, 0)), "Unknown")</f>
        <v>Baltics</v>
      </c>
      <c r="J5070" t="str">
        <f>PROPER(shipments[[#This Row],[delivery_status]])</f>
        <v>Cancelled</v>
      </c>
      <c r="K5070" t="s">
        <v>6972</v>
      </c>
    </row>
    <row r="5071" spans="1:11">
      <c r="A5071" t="s">
        <v>12007</v>
      </c>
      <c r="B5071" t="s">
        <v>5680</v>
      </c>
      <c r="C5071" t="s">
        <v>6940</v>
      </c>
      <c r="D5071" s="1">
        <v>45431</v>
      </c>
      <c r="E5071" s="1">
        <v>45434</v>
      </c>
      <c r="F5071" s="1">
        <v>45437</v>
      </c>
      <c r="G5071">
        <v>16.809999999999999</v>
      </c>
      <c r="H50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71" t="str">
        <f>IFERROR(INDEX(Raw_orders!G:G, MATCH(shipments[[#This Row],[order_id]],Raw_orders!A:A, 0)), "Unknown")</f>
        <v>Nordics</v>
      </c>
      <c r="J5071" t="str">
        <f>PROPER(shipments[[#This Row],[delivery_status]])</f>
        <v>Delivered</v>
      </c>
      <c r="K5071" t="s">
        <v>6926</v>
      </c>
    </row>
    <row r="5072" spans="1:11">
      <c r="A5072" t="s">
        <v>12008</v>
      </c>
      <c r="B5072" t="s">
        <v>5681</v>
      </c>
      <c r="C5072" t="s">
        <v>6921</v>
      </c>
      <c r="D5072" s="1">
        <v>45381</v>
      </c>
      <c r="E5072" s="1">
        <v>45383</v>
      </c>
      <c r="F5072" s="1">
        <v>45383</v>
      </c>
      <c r="G5072">
        <v>58.85</v>
      </c>
      <c r="H50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072" t="str">
        <f>IFERROR(INDEX(Raw_orders!G:G, MATCH(shipments[[#This Row],[order_id]],Raw_orders!A:A, 0)), "Unknown")</f>
        <v>Nordics</v>
      </c>
      <c r="J5072" t="str">
        <f>PROPER(shipments[[#This Row],[delivery_status]])</f>
        <v>Delivered</v>
      </c>
      <c r="K5072" t="s">
        <v>6929</v>
      </c>
    </row>
    <row r="5073" spans="1:11">
      <c r="A5073" t="s">
        <v>12009</v>
      </c>
      <c r="B5073" t="s">
        <v>5682</v>
      </c>
      <c r="C5073" t="s">
        <v>6921</v>
      </c>
      <c r="D5073" s="1">
        <v>45307</v>
      </c>
      <c r="E5073" s="1">
        <v>45314</v>
      </c>
      <c r="F5073" s="1">
        <v>45319</v>
      </c>
      <c r="G5073">
        <v>54.98</v>
      </c>
      <c r="H50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73" t="str">
        <f>IFERROR(INDEX(Raw_orders!G:G, MATCH(shipments[[#This Row],[order_id]],Raw_orders!A:A, 0)), "Unknown")</f>
        <v>Central Europe</v>
      </c>
      <c r="J5073" t="str">
        <f>PROPER(shipments[[#This Row],[delivery_status]])</f>
        <v>Delivered</v>
      </c>
      <c r="K5073" t="s">
        <v>6922</v>
      </c>
    </row>
    <row r="5074" spans="1:11">
      <c r="A5074" t="s">
        <v>12010</v>
      </c>
      <c r="B5074" t="s">
        <v>5683</v>
      </c>
      <c r="C5074" t="s">
        <v>6940</v>
      </c>
      <c r="D5074" s="1">
        <v>45629</v>
      </c>
      <c r="E5074" s="1">
        <v>45636</v>
      </c>
      <c r="F5074" s="1">
        <v>45644</v>
      </c>
      <c r="G5074">
        <v>59.17</v>
      </c>
      <c r="H50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74" t="str">
        <f>IFERROR(INDEX(Raw_orders!G:G, MATCH(shipments[[#This Row],[order_id]],Raw_orders!A:A, 0)), "Unknown")</f>
        <v>Nordics</v>
      </c>
      <c r="J5074" t="str">
        <f>PROPER(shipments[[#This Row],[delivery_status]])</f>
        <v>Delivered</v>
      </c>
      <c r="K5074" t="s">
        <v>6929</v>
      </c>
    </row>
    <row r="5075" spans="1:11">
      <c r="A5075" t="s">
        <v>12011</v>
      </c>
      <c r="B5075" t="s">
        <v>5684</v>
      </c>
      <c r="C5075" t="s">
        <v>6935</v>
      </c>
      <c r="D5075" s="1">
        <v>45022</v>
      </c>
      <c r="E5075" s="1">
        <v>45027</v>
      </c>
      <c r="F5075" s="1"/>
      <c r="G5075">
        <v>12.61</v>
      </c>
      <c r="H50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075" t="str">
        <f>IFERROR(INDEX(Raw_orders!G:G, MATCH(shipments[[#This Row],[order_id]],Raw_orders!A:A, 0)), "Unknown")</f>
        <v>Nordics</v>
      </c>
      <c r="J5075" t="str">
        <f>PROPER(shipments[[#This Row],[delivery_status]])</f>
        <v>In Transit</v>
      </c>
      <c r="K5075" t="s">
        <v>6946</v>
      </c>
    </row>
    <row r="5076" spans="1:11">
      <c r="A5076" t="s">
        <v>12012</v>
      </c>
      <c r="B5076" t="s">
        <v>5685</v>
      </c>
      <c r="C5076" t="s">
        <v>6925</v>
      </c>
      <c r="D5076" s="1">
        <v>44964</v>
      </c>
      <c r="E5076" s="1">
        <v>44967</v>
      </c>
      <c r="F5076" s="1"/>
      <c r="G5076">
        <v>37.93</v>
      </c>
      <c r="H50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076" t="str">
        <f>IFERROR(INDEX(Raw_orders!G:G, MATCH(shipments[[#This Row],[order_id]],Raw_orders!A:A, 0)), "Unknown")</f>
        <v>Nordics</v>
      </c>
      <c r="J5076" t="str">
        <f>PROPER(shipments[[#This Row],[delivery_status]])</f>
        <v>Cancelled</v>
      </c>
      <c r="K5076" t="s">
        <v>6972</v>
      </c>
    </row>
    <row r="5077" spans="1:11">
      <c r="A5077" t="s">
        <v>12013</v>
      </c>
      <c r="B5077" t="s">
        <v>5686</v>
      </c>
      <c r="C5077" t="s">
        <v>6940</v>
      </c>
      <c r="D5077" s="1">
        <v>45089</v>
      </c>
      <c r="E5077" s="1">
        <v>45091</v>
      </c>
      <c r="F5077" s="1">
        <v>45101</v>
      </c>
      <c r="G5077">
        <v>36.369999999999997</v>
      </c>
      <c r="H50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77" t="str">
        <f>IFERROR(INDEX(Raw_orders!G:G, MATCH(shipments[[#This Row],[order_id]],Raw_orders!A:A, 0)), "Unknown")</f>
        <v>Nordics</v>
      </c>
      <c r="J5077" t="str">
        <f>PROPER(shipments[[#This Row],[delivery_status]])</f>
        <v>Delivered</v>
      </c>
      <c r="K5077" t="s">
        <v>6926</v>
      </c>
    </row>
    <row r="5078" spans="1:11">
      <c r="A5078" t="s">
        <v>12014</v>
      </c>
      <c r="B5078" t="s">
        <v>5687</v>
      </c>
      <c r="C5078" t="s">
        <v>6921</v>
      </c>
      <c r="D5078" s="1">
        <v>45061</v>
      </c>
      <c r="E5078" s="1">
        <v>45064</v>
      </c>
      <c r="F5078" s="1">
        <v>45072</v>
      </c>
      <c r="G5078">
        <v>64.63</v>
      </c>
      <c r="H50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78" t="str">
        <f>IFERROR(INDEX(Raw_orders!G:G, MATCH(shipments[[#This Row],[order_id]],Raw_orders!A:A, 0)), "Unknown")</f>
        <v>Nordics</v>
      </c>
      <c r="J5078" t="str">
        <f>PROPER(shipments[[#This Row],[delivery_status]])</f>
        <v>Delivered</v>
      </c>
      <c r="K5078" t="s">
        <v>6926</v>
      </c>
    </row>
    <row r="5079" spans="1:11">
      <c r="A5079" t="s">
        <v>12015</v>
      </c>
      <c r="B5079" t="s">
        <v>5688</v>
      </c>
      <c r="C5079" t="s">
        <v>6921</v>
      </c>
      <c r="D5079" s="1">
        <v>44972</v>
      </c>
      <c r="E5079" s="1">
        <v>44975</v>
      </c>
      <c r="F5079" s="1">
        <v>44978</v>
      </c>
      <c r="G5079">
        <v>43.56</v>
      </c>
      <c r="H50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79" t="str">
        <f>IFERROR(INDEX(Raw_orders!G:G, MATCH(shipments[[#This Row],[order_id]],Raw_orders!A:A, 0)), "Unknown")</f>
        <v>Nordics</v>
      </c>
      <c r="J5079" t="str">
        <f>PROPER(shipments[[#This Row],[delivery_status]])</f>
        <v>Delivered</v>
      </c>
      <c r="K5079" t="s">
        <v>6922</v>
      </c>
    </row>
    <row r="5080" spans="1:11">
      <c r="A5080" t="s">
        <v>12016</v>
      </c>
      <c r="B5080" t="s">
        <v>5689</v>
      </c>
      <c r="C5080" t="s">
        <v>6925</v>
      </c>
      <c r="D5080" s="1">
        <v>45603</v>
      </c>
      <c r="E5080" s="1">
        <v>45613</v>
      </c>
      <c r="F5080" s="1">
        <v>45613</v>
      </c>
      <c r="G5080">
        <v>5.24</v>
      </c>
      <c r="H50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080" t="str">
        <f>IFERROR(INDEX(Raw_orders!G:G, MATCH(shipments[[#This Row],[order_id]],Raw_orders!A:A, 0)), "Unknown")</f>
        <v>Central Europe</v>
      </c>
      <c r="J5080" t="str">
        <f>PROPER(shipments[[#This Row],[delivery_status]])</f>
        <v>Delivered</v>
      </c>
      <c r="K5080" t="s">
        <v>6926</v>
      </c>
    </row>
    <row r="5081" spans="1:11">
      <c r="A5081" t="s">
        <v>12017</v>
      </c>
      <c r="B5081" t="s">
        <v>5690</v>
      </c>
      <c r="C5081" t="s">
        <v>6938</v>
      </c>
      <c r="D5081" s="1">
        <v>44939</v>
      </c>
      <c r="E5081" s="1">
        <v>44941</v>
      </c>
      <c r="F5081" s="1"/>
      <c r="G5081">
        <v>31.8</v>
      </c>
      <c r="H50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081" t="str">
        <f>IFERROR(INDEX(Raw_orders!G:G, MATCH(shipments[[#This Row],[order_id]],Raw_orders!A:A, 0)), "Unknown")</f>
        <v>Central Europe</v>
      </c>
      <c r="J5081" t="str">
        <f>PROPER(shipments[[#This Row],[delivery_status]])</f>
        <v>In Transit</v>
      </c>
      <c r="K5081" t="s">
        <v>6946</v>
      </c>
    </row>
    <row r="5082" spans="1:11">
      <c r="A5082" t="s">
        <v>12018</v>
      </c>
      <c r="B5082" t="s">
        <v>5691</v>
      </c>
      <c r="C5082" t="s">
        <v>6938</v>
      </c>
      <c r="D5082" s="1">
        <v>45312</v>
      </c>
      <c r="E5082" s="1">
        <v>45314</v>
      </c>
      <c r="F5082" s="1">
        <v>45322</v>
      </c>
      <c r="G5082">
        <v>10.69</v>
      </c>
      <c r="H50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82" t="str">
        <f>IFERROR(INDEX(Raw_orders!G:G, MATCH(shipments[[#This Row],[order_id]],Raw_orders!A:A, 0)), "Unknown")</f>
        <v>Central Europe</v>
      </c>
      <c r="J5082" t="str">
        <f>PROPER(shipments[[#This Row],[delivery_status]])</f>
        <v>Delivered</v>
      </c>
      <c r="K5082" t="s">
        <v>6922</v>
      </c>
    </row>
    <row r="5083" spans="1:11">
      <c r="A5083" t="s">
        <v>12019</v>
      </c>
      <c r="B5083" t="s">
        <v>5692</v>
      </c>
      <c r="C5083" t="s">
        <v>6925</v>
      </c>
      <c r="D5083" s="1">
        <v>45473</v>
      </c>
      <c r="E5083" s="1">
        <v>45483</v>
      </c>
      <c r="F5083" s="1">
        <v>45483</v>
      </c>
      <c r="G5083">
        <v>40.64</v>
      </c>
      <c r="H50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083" t="str">
        <f>IFERROR(INDEX(Raw_orders!G:G, MATCH(shipments[[#This Row],[order_id]],Raw_orders!A:A, 0)), "Unknown")</f>
        <v>Baltics</v>
      </c>
      <c r="J5083" t="str">
        <f>PROPER(shipments[[#This Row],[delivery_status]])</f>
        <v>Delivered</v>
      </c>
      <c r="K5083" t="s">
        <v>6922</v>
      </c>
    </row>
    <row r="5084" spans="1:11">
      <c r="A5084" t="s">
        <v>12020</v>
      </c>
      <c r="B5084" t="s">
        <v>5693</v>
      </c>
      <c r="C5084" t="s">
        <v>6940</v>
      </c>
      <c r="D5084" s="1">
        <v>45622</v>
      </c>
      <c r="E5084" s="1">
        <v>45625</v>
      </c>
      <c r="F5084" s="1">
        <v>45632</v>
      </c>
      <c r="G5084">
        <v>12.28</v>
      </c>
      <c r="H50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84" t="str">
        <f>IFERROR(INDEX(Raw_orders!G:G, MATCH(shipments[[#This Row],[order_id]],Raw_orders!A:A, 0)), "Unknown")</f>
        <v>Baltics</v>
      </c>
      <c r="J5084" t="str">
        <f>PROPER(shipments[[#This Row],[delivery_status]])</f>
        <v>Delivered</v>
      </c>
      <c r="K5084" t="s">
        <v>6926</v>
      </c>
    </row>
    <row r="5085" spans="1:11">
      <c r="A5085" t="s">
        <v>12021</v>
      </c>
      <c r="B5085" t="s">
        <v>5694</v>
      </c>
      <c r="C5085" t="s">
        <v>6956</v>
      </c>
      <c r="D5085" s="1">
        <v>45471</v>
      </c>
      <c r="E5085" s="1">
        <v>45473</v>
      </c>
      <c r="F5085" s="1">
        <v>45478</v>
      </c>
      <c r="G5085">
        <v>38.049999999999997</v>
      </c>
      <c r="H50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85" t="str">
        <f>IFERROR(INDEX(Raw_orders!G:G, MATCH(shipments[[#This Row],[order_id]],Raw_orders!A:A, 0)), "Unknown")</f>
        <v>Nordics</v>
      </c>
      <c r="J5085" t="str">
        <f>PROPER(shipments[[#This Row],[delivery_status]])</f>
        <v>Delivered</v>
      </c>
      <c r="K5085" t="s">
        <v>6922</v>
      </c>
    </row>
    <row r="5086" spans="1:11">
      <c r="A5086" t="s">
        <v>12022</v>
      </c>
      <c r="B5086" t="s">
        <v>5695</v>
      </c>
      <c r="C5086" t="s">
        <v>6935</v>
      </c>
      <c r="D5086" s="1">
        <v>45430</v>
      </c>
      <c r="E5086" s="1">
        <v>45437</v>
      </c>
      <c r="F5086" s="1">
        <v>45438</v>
      </c>
      <c r="G5086">
        <v>40.270000000000003</v>
      </c>
      <c r="H50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86" t="str">
        <f>IFERROR(INDEX(Raw_orders!G:G, MATCH(shipments[[#This Row],[order_id]],Raw_orders!A:A, 0)), "Unknown")</f>
        <v>Central Europe</v>
      </c>
      <c r="J5086" t="str">
        <f>PROPER(shipments[[#This Row],[delivery_status]])</f>
        <v>Delivered</v>
      </c>
      <c r="K5086" t="s">
        <v>6926</v>
      </c>
    </row>
    <row r="5087" spans="1:11">
      <c r="A5087" t="s">
        <v>12023</v>
      </c>
      <c r="B5087" t="s">
        <v>5696</v>
      </c>
      <c r="C5087" t="s">
        <v>6925</v>
      </c>
      <c r="D5087" s="1">
        <v>45009</v>
      </c>
      <c r="E5087" s="1">
        <v>45016</v>
      </c>
      <c r="F5087" s="1"/>
      <c r="G5087">
        <v>21.85</v>
      </c>
      <c r="H50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087" t="str">
        <f>IFERROR(INDEX(Raw_orders!G:G, MATCH(shipments[[#This Row],[order_id]],Raw_orders!A:A, 0)), "Unknown")</f>
        <v>Nordics</v>
      </c>
      <c r="J5087" t="str">
        <f>PROPER(shipments[[#This Row],[delivery_status]])</f>
        <v>Cancelled</v>
      </c>
      <c r="K5087" t="s">
        <v>6972</v>
      </c>
    </row>
    <row r="5088" spans="1:11">
      <c r="A5088" t="s">
        <v>12024</v>
      </c>
      <c r="B5088" t="s">
        <v>5697</v>
      </c>
      <c r="C5088" t="s">
        <v>6935</v>
      </c>
      <c r="D5088" s="1">
        <v>45123</v>
      </c>
      <c r="E5088" s="1">
        <v>45125</v>
      </c>
      <c r="F5088" s="1">
        <v>45136</v>
      </c>
      <c r="G5088">
        <v>51</v>
      </c>
      <c r="H50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88" t="str">
        <f>IFERROR(INDEX(Raw_orders!G:G, MATCH(shipments[[#This Row],[order_id]],Raw_orders!A:A, 0)), "Unknown")</f>
        <v>Central Europe</v>
      </c>
      <c r="J5088" t="str">
        <f>PROPER(shipments[[#This Row],[delivery_status]])</f>
        <v>Delivered</v>
      </c>
      <c r="K5088" t="s">
        <v>6929</v>
      </c>
    </row>
    <row r="5089" spans="1:11">
      <c r="A5089" t="s">
        <v>12025</v>
      </c>
      <c r="B5089" t="s">
        <v>5698</v>
      </c>
      <c r="C5089" t="s">
        <v>6940</v>
      </c>
      <c r="D5089" s="1">
        <v>45196</v>
      </c>
      <c r="E5089" s="1">
        <v>45201</v>
      </c>
      <c r="F5089" s="1">
        <v>45200</v>
      </c>
      <c r="G5089">
        <v>18.16</v>
      </c>
      <c r="H50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089" t="str">
        <f>IFERROR(INDEX(Raw_orders!G:G, MATCH(shipments[[#This Row],[order_id]],Raw_orders!A:A, 0)), "Unknown")</f>
        <v>Baltics</v>
      </c>
      <c r="J5089" t="str">
        <f>PROPER(shipments[[#This Row],[delivery_status]])</f>
        <v>Delivered</v>
      </c>
      <c r="K5089" t="s">
        <v>6926</v>
      </c>
    </row>
    <row r="5090" spans="1:11">
      <c r="A5090" t="s">
        <v>12026</v>
      </c>
      <c r="B5090" t="s">
        <v>5699</v>
      </c>
      <c r="C5090" t="s">
        <v>6956</v>
      </c>
      <c r="D5090" s="1">
        <v>45378</v>
      </c>
      <c r="E5090" s="1">
        <v>45385</v>
      </c>
      <c r="F5090" s="1"/>
      <c r="G5090">
        <v>6.43</v>
      </c>
      <c r="H50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090" t="str">
        <f>IFERROR(INDEX(Raw_orders!G:G, MATCH(shipments[[#This Row],[order_id]],Raw_orders!A:A, 0)), "Unknown")</f>
        <v>Nordics</v>
      </c>
      <c r="J5090" t="str">
        <f>PROPER(shipments[[#This Row],[delivery_status]])</f>
        <v>In Transit</v>
      </c>
      <c r="K5090" t="s">
        <v>6977</v>
      </c>
    </row>
    <row r="5091" spans="1:11">
      <c r="A5091" t="s">
        <v>12027</v>
      </c>
      <c r="B5091" t="s">
        <v>5700</v>
      </c>
      <c r="C5091" t="s">
        <v>6928</v>
      </c>
      <c r="D5091" s="1">
        <v>45424</v>
      </c>
      <c r="E5091" s="1">
        <v>45429</v>
      </c>
      <c r="F5091" s="1">
        <v>45437</v>
      </c>
      <c r="G5091">
        <v>56.61</v>
      </c>
      <c r="H50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91" t="str">
        <f>IFERROR(INDEX(Raw_orders!G:G, MATCH(shipments[[#This Row],[order_id]],Raw_orders!A:A, 0)), "Unknown")</f>
        <v>Central Europe</v>
      </c>
      <c r="J5091" t="str">
        <f>PROPER(shipments[[#This Row],[delivery_status]])</f>
        <v>Delivered</v>
      </c>
      <c r="K5091" t="s">
        <v>6926</v>
      </c>
    </row>
    <row r="5092" spans="1:11">
      <c r="A5092" t="s">
        <v>12028</v>
      </c>
      <c r="B5092" t="s">
        <v>5701</v>
      </c>
      <c r="C5092" t="s">
        <v>6940</v>
      </c>
      <c r="D5092" s="1">
        <v>45407</v>
      </c>
      <c r="E5092" s="1">
        <v>45410</v>
      </c>
      <c r="F5092" s="1">
        <v>45414</v>
      </c>
      <c r="G5092">
        <v>56.06</v>
      </c>
      <c r="H50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92" t="str">
        <f>IFERROR(INDEX(Raw_orders!G:G, MATCH(shipments[[#This Row],[order_id]],Raw_orders!A:A, 0)), "Unknown")</f>
        <v>Nordics</v>
      </c>
      <c r="J5092" t="str">
        <f>PROPER(shipments[[#This Row],[delivery_status]])</f>
        <v>Delivered</v>
      </c>
      <c r="K5092" t="s">
        <v>6926</v>
      </c>
    </row>
    <row r="5093" spans="1:11">
      <c r="A5093" t="s">
        <v>12029</v>
      </c>
      <c r="B5093" t="s">
        <v>5702</v>
      </c>
      <c r="C5093" t="s">
        <v>6956</v>
      </c>
      <c r="D5093" s="1">
        <v>45029</v>
      </c>
      <c r="E5093" s="1">
        <v>45036</v>
      </c>
      <c r="F5093" s="1">
        <v>45036</v>
      </c>
      <c r="G5093">
        <v>51.59</v>
      </c>
      <c r="H50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093" t="str">
        <f>IFERROR(INDEX(Raw_orders!G:G, MATCH(shipments[[#This Row],[order_id]],Raw_orders!A:A, 0)), "Unknown")</f>
        <v>Baltics</v>
      </c>
      <c r="J5093" t="str">
        <f>PROPER(shipments[[#This Row],[delivery_status]])</f>
        <v>Delivered</v>
      </c>
      <c r="K5093" t="s">
        <v>6929</v>
      </c>
    </row>
    <row r="5094" spans="1:11">
      <c r="A5094" t="s">
        <v>12030</v>
      </c>
      <c r="B5094" t="s">
        <v>5703</v>
      </c>
      <c r="C5094" t="s">
        <v>6921</v>
      </c>
      <c r="D5094" s="1">
        <v>45356</v>
      </c>
      <c r="E5094" s="1">
        <v>45358</v>
      </c>
      <c r="F5094" s="1">
        <v>45364</v>
      </c>
      <c r="G5094">
        <v>62.66</v>
      </c>
      <c r="H50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94" t="str">
        <f>IFERROR(INDEX(Raw_orders!G:G, MATCH(shipments[[#This Row],[order_id]],Raw_orders!A:A, 0)), "Unknown")</f>
        <v>Baltics</v>
      </c>
      <c r="J5094" t="str">
        <f>PROPER(shipments[[#This Row],[delivery_status]])</f>
        <v>Delivered</v>
      </c>
      <c r="K5094" t="s">
        <v>6926</v>
      </c>
    </row>
    <row r="5095" spans="1:11">
      <c r="A5095" t="s">
        <v>12031</v>
      </c>
      <c r="B5095" t="s">
        <v>5703</v>
      </c>
      <c r="C5095" t="s">
        <v>6931</v>
      </c>
      <c r="D5095" s="1">
        <v>45354</v>
      </c>
      <c r="E5095" s="1">
        <v>45364</v>
      </c>
      <c r="F5095" s="1">
        <v>45369</v>
      </c>
      <c r="G5095">
        <v>26.32</v>
      </c>
      <c r="H50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95" t="str">
        <f>IFERROR(INDEX(Raw_orders!G:G, MATCH(shipments[[#This Row],[order_id]],Raw_orders!A:A, 0)), "Unknown")</f>
        <v>Baltics</v>
      </c>
      <c r="J5095" t="str">
        <f>PROPER(shipments[[#This Row],[delivery_status]])</f>
        <v>Delivered</v>
      </c>
      <c r="K5095" t="s">
        <v>6922</v>
      </c>
    </row>
    <row r="5096" spans="1:11">
      <c r="A5096" t="s">
        <v>12032</v>
      </c>
      <c r="B5096" t="s">
        <v>5704</v>
      </c>
      <c r="C5096" t="s">
        <v>6938</v>
      </c>
      <c r="D5096" s="1">
        <v>45392</v>
      </c>
      <c r="E5096" s="1">
        <v>45399</v>
      </c>
      <c r="F5096" s="1">
        <v>45407</v>
      </c>
      <c r="G5096">
        <v>28.53</v>
      </c>
      <c r="H50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96" t="str">
        <f>IFERROR(INDEX(Raw_orders!G:G, MATCH(shipments[[#This Row],[order_id]],Raw_orders!A:A, 0)), "Unknown")</f>
        <v>Baltics</v>
      </c>
      <c r="J5096" t="str">
        <f>PROPER(shipments[[#This Row],[delivery_status]])</f>
        <v>Delivered</v>
      </c>
      <c r="K5096" t="s">
        <v>6929</v>
      </c>
    </row>
    <row r="5097" spans="1:11">
      <c r="A5097" t="s">
        <v>12033</v>
      </c>
      <c r="B5097" t="s">
        <v>5705</v>
      </c>
      <c r="C5097" t="s">
        <v>6921</v>
      </c>
      <c r="D5097" s="1">
        <v>45252</v>
      </c>
      <c r="E5097" s="1">
        <v>45259</v>
      </c>
      <c r="F5097" s="1">
        <v>45258</v>
      </c>
      <c r="G5097">
        <v>24.96</v>
      </c>
      <c r="H50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097" t="str">
        <f>IFERROR(INDEX(Raw_orders!G:G, MATCH(shipments[[#This Row],[order_id]],Raw_orders!A:A, 0)), "Unknown")</f>
        <v>Baltics</v>
      </c>
      <c r="J5097" t="str">
        <f>PROPER(shipments[[#This Row],[delivery_status]])</f>
        <v>Delivered</v>
      </c>
      <c r="K5097" t="s">
        <v>6922</v>
      </c>
    </row>
    <row r="5098" spans="1:11">
      <c r="A5098" t="s">
        <v>12034</v>
      </c>
      <c r="B5098" t="s">
        <v>5706</v>
      </c>
      <c r="C5098" t="s">
        <v>6949</v>
      </c>
      <c r="D5098" s="1">
        <v>45296</v>
      </c>
      <c r="E5098" s="1">
        <v>45303</v>
      </c>
      <c r="F5098" s="1"/>
      <c r="G5098">
        <v>50.92</v>
      </c>
      <c r="H50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098" t="str">
        <f>IFERROR(INDEX(Raw_orders!G:G, MATCH(shipments[[#This Row],[order_id]],Raw_orders!A:A, 0)), "Unknown")</f>
        <v>Central Europe</v>
      </c>
      <c r="J5098" t="str">
        <f>PROPER(shipments[[#This Row],[delivery_status]])</f>
        <v>In Transit</v>
      </c>
      <c r="K5098" t="s">
        <v>6946</v>
      </c>
    </row>
    <row r="5099" spans="1:11">
      <c r="A5099" t="s">
        <v>12035</v>
      </c>
      <c r="B5099" t="s">
        <v>5707</v>
      </c>
      <c r="C5099" t="s">
        <v>6931</v>
      </c>
      <c r="D5099" s="1">
        <v>45082</v>
      </c>
      <c r="E5099" s="1">
        <v>45084</v>
      </c>
      <c r="F5099" s="1">
        <v>45087</v>
      </c>
      <c r="G5099">
        <v>24.4</v>
      </c>
      <c r="H50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099" t="str">
        <f>IFERROR(INDEX(Raw_orders!G:G, MATCH(shipments[[#This Row],[order_id]],Raw_orders!A:A, 0)), "Unknown")</f>
        <v>Nordics</v>
      </c>
      <c r="J5099" t="str">
        <f>PROPER(shipments[[#This Row],[delivery_status]])</f>
        <v>Delivered</v>
      </c>
      <c r="K5099" t="s">
        <v>6926</v>
      </c>
    </row>
    <row r="5100" spans="1:11">
      <c r="A5100" t="s">
        <v>12036</v>
      </c>
      <c r="B5100" t="s">
        <v>5708</v>
      </c>
      <c r="C5100" t="s">
        <v>6931</v>
      </c>
      <c r="D5100" s="1">
        <v>45473</v>
      </c>
      <c r="E5100" s="1">
        <v>45480</v>
      </c>
      <c r="F5100" s="1">
        <v>45480</v>
      </c>
      <c r="G5100">
        <v>30.53</v>
      </c>
      <c r="H51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100" t="str">
        <f>IFERROR(INDEX(Raw_orders!G:G, MATCH(shipments[[#This Row],[order_id]],Raw_orders!A:A, 0)), "Unknown")</f>
        <v>Baltics</v>
      </c>
      <c r="J5100" t="str">
        <f>PROPER(shipments[[#This Row],[delivery_status]])</f>
        <v>Delivered</v>
      </c>
      <c r="K5100" t="s">
        <v>6929</v>
      </c>
    </row>
    <row r="5101" spans="1:11">
      <c r="A5101" t="s">
        <v>12037</v>
      </c>
      <c r="B5101" t="s">
        <v>5709</v>
      </c>
      <c r="C5101" t="s">
        <v>6931</v>
      </c>
      <c r="D5101" s="1">
        <v>45618</v>
      </c>
      <c r="E5101" s="1">
        <v>45620</v>
      </c>
      <c r="F5101" s="1">
        <v>45621</v>
      </c>
      <c r="G5101">
        <v>30.68</v>
      </c>
      <c r="H51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01" t="str">
        <f>IFERROR(INDEX(Raw_orders!G:G, MATCH(shipments[[#This Row],[order_id]],Raw_orders!A:A, 0)), "Unknown")</f>
        <v>Central Europe</v>
      </c>
      <c r="J5101" t="str">
        <f>PROPER(shipments[[#This Row],[delivery_status]])</f>
        <v>Delivered</v>
      </c>
      <c r="K5101" t="s">
        <v>6929</v>
      </c>
    </row>
    <row r="5102" spans="1:11">
      <c r="A5102" t="s">
        <v>12038</v>
      </c>
      <c r="B5102" t="s">
        <v>5710</v>
      </c>
      <c r="C5102" t="s">
        <v>6956</v>
      </c>
      <c r="D5102" s="1">
        <v>45015</v>
      </c>
      <c r="E5102" s="1">
        <v>45025</v>
      </c>
      <c r="F5102" s="1"/>
      <c r="G5102">
        <v>5.35</v>
      </c>
      <c r="H51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102" t="str">
        <f>IFERROR(INDEX(Raw_orders!G:G, MATCH(shipments[[#This Row],[order_id]],Raw_orders!A:A, 0)), "Unknown")</f>
        <v>Central Europe</v>
      </c>
      <c r="J5102" t="str">
        <f>PROPER(shipments[[#This Row],[delivery_status]])</f>
        <v>Cancelled</v>
      </c>
      <c r="K5102" t="s">
        <v>6963</v>
      </c>
    </row>
    <row r="5103" spans="1:11">
      <c r="A5103" t="s">
        <v>12039</v>
      </c>
      <c r="B5103" t="s">
        <v>5711</v>
      </c>
      <c r="C5103" t="s">
        <v>6931</v>
      </c>
      <c r="D5103" s="1">
        <v>45211</v>
      </c>
      <c r="E5103" s="1">
        <v>45216</v>
      </c>
      <c r="F5103" s="1"/>
      <c r="G5103">
        <v>9.74</v>
      </c>
      <c r="H51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103" t="str">
        <f>IFERROR(INDEX(Raw_orders!G:G, MATCH(shipments[[#This Row],[order_id]],Raw_orders!A:A, 0)), "Unknown")</f>
        <v>Nordics</v>
      </c>
      <c r="J5103" t="str">
        <f>PROPER(shipments[[#This Row],[delivery_status]])</f>
        <v>In Transit</v>
      </c>
      <c r="K5103" t="s">
        <v>6958</v>
      </c>
    </row>
    <row r="5104" spans="1:11">
      <c r="A5104" t="s">
        <v>12040</v>
      </c>
      <c r="B5104" t="s">
        <v>5712</v>
      </c>
      <c r="C5104" t="s">
        <v>6956</v>
      </c>
      <c r="D5104" s="1">
        <v>45052</v>
      </c>
      <c r="E5104" s="1">
        <v>45059</v>
      </c>
      <c r="F5104" s="1">
        <v>45058</v>
      </c>
      <c r="G5104">
        <v>40.24</v>
      </c>
      <c r="H51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104" t="str">
        <f>IFERROR(INDEX(Raw_orders!G:G, MATCH(shipments[[#This Row],[order_id]],Raw_orders!A:A, 0)), "Unknown")</f>
        <v>Central Europe</v>
      </c>
      <c r="J5104" t="str">
        <f>PROPER(shipments[[#This Row],[delivery_status]])</f>
        <v>Delivered</v>
      </c>
      <c r="K5104" t="s">
        <v>6922</v>
      </c>
    </row>
    <row r="5105" spans="1:11">
      <c r="A5105" t="s">
        <v>12041</v>
      </c>
      <c r="B5105" t="s">
        <v>5713</v>
      </c>
      <c r="C5105" t="s">
        <v>6935</v>
      </c>
      <c r="D5105" s="1">
        <v>45495</v>
      </c>
      <c r="E5105" s="1">
        <v>45502</v>
      </c>
      <c r="F5105" s="1">
        <v>45507</v>
      </c>
      <c r="G5105">
        <v>9.02</v>
      </c>
      <c r="H51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05" t="str">
        <f>IFERROR(INDEX(Raw_orders!G:G, MATCH(shipments[[#This Row],[order_id]],Raw_orders!A:A, 0)), "Unknown")</f>
        <v>Unknown</v>
      </c>
      <c r="J5105" t="str">
        <f>PROPER(shipments[[#This Row],[delivery_status]])</f>
        <v>Delivered</v>
      </c>
      <c r="K5105" t="s">
        <v>6926</v>
      </c>
    </row>
    <row r="5106" spans="1:11">
      <c r="A5106" t="s">
        <v>12042</v>
      </c>
      <c r="B5106" t="s">
        <v>5714</v>
      </c>
      <c r="C5106" t="s">
        <v>6931</v>
      </c>
      <c r="D5106" s="1">
        <v>44966</v>
      </c>
      <c r="E5106" s="1">
        <v>44968</v>
      </c>
      <c r="F5106" s="1">
        <v>44970</v>
      </c>
      <c r="G5106">
        <v>22.32</v>
      </c>
      <c r="H51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06" t="str">
        <f>IFERROR(INDEX(Raw_orders!G:G, MATCH(shipments[[#This Row],[order_id]],Raw_orders!A:A, 0)), "Unknown")</f>
        <v>Baltics</v>
      </c>
      <c r="J5106" t="str">
        <f>PROPER(shipments[[#This Row],[delivery_status]])</f>
        <v>Delivered</v>
      </c>
      <c r="K5106" t="s">
        <v>6929</v>
      </c>
    </row>
    <row r="5107" spans="1:11">
      <c r="A5107" t="s">
        <v>12043</v>
      </c>
      <c r="B5107" t="s">
        <v>5715</v>
      </c>
      <c r="C5107" t="s">
        <v>6956</v>
      </c>
      <c r="D5107" s="1">
        <v>45072</v>
      </c>
      <c r="E5107" s="1">
        <v>45079</v>
      </c>
      <c r="F5107" s="1"/>
      <c r="G5107">
        <v>6.61</v>
      </c>
      <c r="H51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107" t="str">
        <f>IFERROR(INDEX(Raw_orders!G:G, MATCH(shipments[[#This Row],[order_id]],Raw_orders!A:A, 0)), "Unknown")</f>
        <v>Nordics</v>
      </c>
      <c r="J5107" t="str">
        <f>PROPER(shipments[[#This Row],[delivery_status]])</f>
        <v>Cancelled</v>
      </c>
      <c r="K5107" t="s">
        <v>6979</v>
      </c>
    </row>
    <row r="5108" spans="1:11">
      <c r="A5108" t="s">
        <v>12044</v>
      </c>
      <c r="B5108" t="s">
        <v>5716</v>
      </c>
      <c r="C5108" t="s">
        <v>6956</v>
      </c>
      <c r="D5108" s="1">
        <v>45413</v>
      </c>
      <c r="E5108" s="1">
        <v>45423</v>
      </c>
      <c r="F5108" s="1">
        <v>45427</v>
      </c>
      <c r="G5108">
        <v>20.32</v>
      </c>
      <c r="H51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08" t="str">
        <f>IFERROR(INDEX(Raw_orders!G:G, MATCH(shipments[[#This Row],[order_id]],Raw_orders!A:A, 0)), "Unknown")</f>
        <v>Central Europe</v>
      </c>
      <c r="J5108" t="str">
        <f>PROPER(shipments[[#This Row],[delivery_status]])</f>
        <v>Delivered</v>
      </c>
      <c r="K5108" t="s">
        <v>6922</v>
      </c>
    </row>
    <row r="5109" spans="1:11">
      <c r="A5109" t="s">
        <v>12045</v>
      </c>
      <c r="B5109" t="s">
        <v>5717</v>
      </c>
      <c r="C5109" t="s">
        <v>6938</v>
      </c>
      <c r="D5109" s="1">
        <v>45036</v>
      </c>
      <c r="E5109" s="1">
        <v>45046</v>
      </c>
      <c r="F5109" s="1">
        <v>45054</v>
      </c>
      <c r="G5109">
        <v>19.75</v>
      </c>
      <c r="H51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09" t="str">
        <f>IFERROR(INDEX(Raw_orders!G:G, MATCH(shipments[[#This Row],[order_id]],Raw_orders!A:A, 0)), "Unknown")</f>
        <v>Baltics</v>
      </c>
      <c r="J5109" t="str">
        <f>PROPER(shipments[[#This Row],[delivery_status]])</f>
        <v>Delivered</v>
      </c>
      <c r="K5109" t="s">
        <v>6926</v>
      </c>
    </row>
    <row r="5110" spans="1:11">
      <c r="A5110" t="s">
        <v>12046</v>
      </c>
      <c r="B5110" t="s">
        <v>5718</v>
      </c>
      <c r="C5110" t="s">
        <v>6938</v>
      </c>
      <c r="D5110" s="1">
        <v>45002</v>
      </c>
      <c r="E5110" s="1">
        <v>45007</v>
      </c>
      <c r="F5110" s="1">
        <v>45006</v>
      </c>
      <c r="G5110">
        <v>59.09</v>
      </c>
      <c r="H51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110" t="str">
        <f>IFERROR(INDEX(Raw_orders!G:G, MATCH(shipments[[#This Row],[order_id]],Raw_orders!A:A, 0)), "Unknown")</f>
        <v>Central Europe</v>
      </c>
      <c r="J5110" t="str">
        <f>PROPER(shipments[[#This Row],[delivery_status]])</f>
        <v>Delivered</v>
      </c>
      <c r="K5110" t="s">
        <v>6926</v>
      </c>
    </row>
    <row r="5111" spans="1:11">
      <c r="A5111" t="s">
        <v>12047</v>
      </c>
      <c r="B5111" t="s">
        <v>5719</v>
      </c>
      <c r="C5111" t="s">
        <v>6949</v>
      </c>
      <c r="D5111" s="1">
        <v>44954</v>
      </c>
      <c r="E5111" s="1">
        <v>44957</v>
      </c>
      <c r="F5111" s="1">
        <v>44962</v>
      </c>
      <c r="H51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11" t="str">
        <f>IFERROR(INDEX(Raw_orders!G:G, MATCH(shipments[[#This Row],[order_id]],Raw_orders!A:A, 0)), "Unknown")</f>
        <v>Baltics</v>
      </c>
      <c r="J5111" t="str">
        <f>PROPER(shipments[[#This Row],[delivery_status]])</f>
        <v>Delivered</v>
      </c>
      <c r="K5111" t="s">
        <v>6926</v>
      </c>
    </row>
    <row r="5112" spans="1:11">
      <c r="A5112" t="s">
        <v>12048</v>
      </c>
      <c r="B5112" t="s">
        <v>5720</v>
      </c>
      <c r="C5112" t="s">
        <v>6921</v>
      </c>
      <c r="D5112" s="1">
        <v>44955</v>
      </c>
      <c r="E5112" s="1">
        <v>44957</v>
      </c>
      <c r="F5112" s="1">
        <v>44965</v>
      </c>
      <c r="G5112">
        <v>44.01</v>
      </c>
      <c r="H51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12" t="str">
        <f>IFERROR(INDEX(Raw_orders!G:G, MATCH(shipments[[#This Row],[order_id]],Raw_orders!A:A, 0)), "Unknown")</f>
        <v>Nordics</v>
      </c>
      <c r="J5112" t="str">
        <f>PROPER(shipments[[#This Row],[delivery_status]])</f>
        <v>Delivered</v>
      </c>
      <c r="K5112" t="s">
        <v>6926</v>
      </c>
    </row>
    <row r="5113" spans="1:11">
      <c r="A5113" t="s">
        <v>12049</v>
      </c>
      <c r="B5113" t="s">
        <v>5721</v>
      </c>
      <c r="C5113" t="s">
        <v>6938</v>
      </c>
      <c r="D5113" s="1">
        <v>45160</v>
      </c>
      <c r="E5113" s="1">
        <v>45167</v>
      </c>
      <c r="F5113" s="1">
        <v>45166</v>
      </c>
      <c r="G5113">
        <v>60.67</v>
      </c>
      <c r="H51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113" t="str">
        <f>IFERROR(INDEX(Raw_orders!G:G, MATCH(shipments[[#This Row],[order_id]],Raw_orders!A:A, 0)), "Unknown")</f>
        <v>Nordics</v>
      </c>
      <c r="J5113" t="str">
        <f>PROPER(shipments[[#This Row],[delivery_status]])</f>
        <v>Delivered</v>
      </c>
      <c r="K5113" t="s">
        <v>6922</v>
      </c>
    </row>
    <row r="5114" spans="1:11">
      <c r="A5114" t="s">
        <v>12050</v>
      </c>
      <c r="B5114" t="s">
        <v>5722</v>
      </c>
      <c r="C5114" t="s">
        <v>6956</v>
      </c>
      <c r="D5114" s="1">
        <v>45086</v>
      </c>
      <c r="E5114" s="1">
        <v>45089</v>
      </c>
      <c r="F5114" s="1">
        <v>45090</v>
      </c>
      <c r="G5114">
        <v>38.590000000000003</v>
      </c>
      <c r="H51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14" t="str">
        <f>IFERROR(INDEX(Raw_orders!G:G, MATCH(shipments[[#This Row],[order_id]],Raw_orders!A:A, 0)), "Unknown")</f>
        <v>Central Europe</v>
      </c>
      <c r="J5114" t="str">
        <f>PROPER(shipments[[#This Row],[delivery_status]])</f>
        <v>Delivered</v>
      </c>
      <c r="K5114" t="s">
        <v>6929</v>
      </c>
    </row>
    <row r="5115" spans="1:11">
      <c r="A5115" t="s">
        <v>12051</v>
      </c>
      <c r="B5115" t="s">
        <v>5723</v>
      </c>
      <c r="C5115" t="s">
        <v>6928</v>
      </c>
      <c r="D5115" s="1">
        <v>45388</v>
      </c>
      <c r="E5115" s="1">
        <v>45390</v>
      </c>
      <c r="F5115" s="1">
        <v>45393</v>
      </c>
      <c r="G5115">
        <v>18.22</v>
      </c>
      <c r="H51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15" t="str">
        <f>IFERROR(INDEX(Raw_orders!G:G, MATCH(shipments[[#This Row],[order_id]],Raw_orders!A:A, 0)), "Unknown")</f>
        <v>Nordics</v>
      </c>
      <c r="J5115" t="str">
        <f>PROPER(shipments[[#This Row],[delivery_status]])</f>
        <v>Delivered</v>
      </c>
      <c r="K5115" t="s">
        <v>6922</v>
      </c>
    </row>
    <row r="5116" spans="1:11">
      <c r="A5116" t="s">
        <v>12052</v>
      </c>
      <c r="B5116" t="s">
        <v>5724</v>
      </c>
      <c r="C5116" t="s">
        <v>6921</v>
      </c>
      <c r="D5116" s="1">
        <v>45021</v>
      </c>
      <c r="E5116" s="1">
        <v>45026</v>
      </c>
      <c r="F5116" s="1">
        <v>45031</v>
      </c>
      <c r="G5116">
        <v>49.57</v>
      </c>
      <c r="H51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16" t="str">
        <f>IFERROR(INDEX(Raw_orders!G:G, MATCH(shipments[[#This Row],[order_id]],Raw_orders!A:A, 0)), "Unknown")</f>
        <v>Baltics</v>
      </c>
      <c r="J5116" t="str">
        <f>PROPER(shipments[[#This Row],[delivery_status]])</f>
        <v>Delivered</v>
      </c>
      <c r="K5116" t="s">
        <v>6926</v>
      </c>
    </row>
    <row r="5117" spans="1:11">
      <c r="A5117" t="s">
        <v>12053</v>
      </c>
      <c r="B5117" t="s">
        <v>5725</v>
      </c>
      <c r="C5117" t="s">
        <v>6938</v>
      </c>
      <c r="D5117" s="1">
        <v>45372</v>
      </c>
      <c r="E5117" s="1">
        <v>45377</v>
      </c>
      <c r="F5117" s="1">
        <v>45380</v>
      </c>
      <c r="G5117">
        <v>48.24</v>
      </c>
      <c r="H51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17" t="str">
        <f>IFERROR(INDEX(Raw_orders!G:G, MATCH(shipments[[#This Row],[order_id]],Raw_orders!A:A, 0)), "Unknown")</f>
        <v>Baltics</v>
      </c>
      <c r="J5117" t="str">
        <f>PROPER(shipments[[#This Row],[delivery_status]])</f>
        <v>Delivered</v>
      </c>
      <c r="K5117" t="s">
        <v>6929</v>
      </c>
    </row>
    <row r="5118" spans="1:11">
      <c r="A5118" t="s">
        <v>12054</v>
      </c>
      <c r="B5118" t="s">
        <v>5726</v>
      </c>
      <c r="C5118" t="s">
        <v>6921</v>
      </c>
      <c r="D5118" s="1">
        <v>45242</v>
      </c>
      <c r="E5118" s="1">
        <v>45249</v>
      </c>
      <c r="F5118" s="1">
        <v>45254</v>
      </c>
      <c r="G5118">
        <v>19.13</v>
      </c>
      <c r="H51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18" t="str">
        <f>IFERROR(INDEX(Raw_orders!G:G, MATCH(shipments[[#This Row],[order_id]],Raw_orders!A:A, 0)), "Unknown")</f>
        <v>Central Europe</v>
      </c>
      <c r="J5118" t="str">
        <f>PROPER(shipments[[#This Row],[delivery_status]])</f>
        <v>Delivered</v>
      </c>
      <c r="K5118" t="s">
        <v>6922</v>
      </c>
    </row>
    <row r="5119" spans="1:11">
      <c r="A5119" t="s">
        <v>12055</v>
      </c>
      <c r="B5119" t="s">
        <v>5727</v>
      </c>
      <c r="C5119" t="s">
        <v>6940</v>
      </c>
      <c r="D5119" s="1">
        <v>45150</v>
      </c>
      <c r="E5119" s="1">
        <v>45160</v>
      </c>
      <c r="F5119" s="1">
        <v>45161</v>
      </c>
      <c r="G5119">
        <v>21.56</v>
      </c>
      <c r="H51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19" t="str">
        <f>IFERROR(INDEX(Raw_orders!G:G, MATCH(shipments[[#This Row],[order_id]],Raw_orders!A:A, 0)), "Unknown")</f>
        <v>Central Europe</v>
      </c>
      <c r="J5119" t="str">
        <f>PROPER(shipments[[#This Row],[delivery_status]])</f>
        <v>Delivered</v>
      </c>
      <c r="K5119" t="s">
        <v>6922</v>
      </c>
    </row>
    <row r="5120" spans="1:11">
      <c r="A5120" t="s">
        <v>12056</v>
      </c>
      <c r="B5120" t="s">
        <v>5728</v>
      </c>
      <c r="C5120" t="s">
        <v>6938</v>
      </c>
      <c r="D5120" s="1">
        <v>45329</v>
      </c>
      <c r="E5120" s="1">
        <v>45332</v>
      </c>
      <c r="F5120" s="1">
        <v>45332</v>
      </c>
      <c r="G5120">
        <v>50.97</v>
      </c>
      <c r="H51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120" t="str">
        <f>IFERROR(INDEX(Raw_orders!G:G, MATCH(shipments[[#This Row],[order_id]],Raw_orders!A:A, 0)), "Unknown")</f>
        <v>Nordics</v>
      </c>
      <c r="J5120" t="str">
        <f>PROPER(shipments[[#This Row],[delivery_status]])</f>
        <v>Delivered</v>
      </c>
      <c r="K5120" t="s">
        <v>6926</v>
      </c>
    </row>
    <row r="5121" spans="1:11">
      <c r="A5121" t="s">
        <v>12057</v>
      </c>
      <c r="B5121" t="s">
        <v>5729</v>
      </c>
      <c r="C5121" t="s">
        <v>6931</v>
      </c>
      <c r="D5121" s="1">
        <v>45261</v>
      </c>
      <c r="E5121" s="1">
        <v>45266</v>
      </c>
      <c r="F5121" s="1">
        <v>45269</v>
      </c>
      <c r="G5121">
        <v>20.420000000000002</v>
      </c>
      <c r="H51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21" t="str">
        <f>IFERROR(INDEX(Raw_orders!G:G, MATCH(shipments[[#This Row],[order_id]],Raw_orders!A:A, 0)), "Unknown")</f>
        <v>Nordics</v>
      </c>
      <c r="J5121" t="str">
        <f>PROPER(shipments[[#This Row],[delivery_status]])</f>
        <v>Delivered</v>
      </c>
      <c r="K5121" t="s">
        <v>6929</v>
      </c>
    </row>
    <row r="5122" spans="1:11">
      <c r="A5122" t="s">
        <v>12058</v>
      </c>
      <c r="B5122" t="s">
        <v>5730</v>
      </c>
      <c r="C5122" t="s">
        <v>6949</v>
      </c>
      <c r="D5122" s="1">
        <v>45229</v>
      </c>
      <c r="E5122" s="1">
        <v>45231</v>
      </c>
      <c r="F5122" s="1"/>
      <c r="G5122">
        <v>26.65</v>
      </c>
      <c r="H51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122" t="str">
        <f>IFERROR(INDEX(Raw_orders!G:G, MATCH(shipments[[#This Row],[order_id]],Raw_orders!A:A, 0)), "Unknown")</f>
        <v>Central Europe</v>
      </c>
      <c r="J5122" t="str">
        <f>PROPER(shipments[[#This Row],[delivery_status]])</f>
        <v>In Transit</v>
      </c>
      <c r="K5122" t="s">
        <v>6958</v>
      </c>
    </row>
    <row r="5123" spans="1:11">
      <c r="A5123" t="s">
        <v>12059</v>
      </c>
      <c r="B5123" t="s">
        <v>5731</v>
      </c>
      <c r="C5123" t="s">
        <v>6949</v>
      </c>
      <c r="D5123" s="1">
        <v>45070</v>
      </c>
      <c r="E5123" s="1">
        <v>45077</v>
      </c>
      <c r="F5123" s="1">
        <v>45082</v>
      </c>
      <c r="H51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23" t="str">
        <f>IFERROR(INDEX(Raw_orders!G:G, MATCH(shipments[[#This Row],[order_id]],Raw_orders!A:A, 0)), "Unknown")</f>
        <v>Central Europe</v>
      </c>
      <c r="J5123" t="str">
        <f>PROPER(shipments[[#This Row],[delivery_status]])</f>
        <v>Delivered</v>
      </c>
      <c r="K5123" t="s">
        <v>6922</v>
      </c>
    </row>
    <row r="5124" spans="1:11">
      <c r="A5124" t="s">
        <v>12060</v>
      </c>
      <c r="B5124" t="s">
        <v>5732</v>
      </c>
      <c r="C5124" t="s">
        <v>6935</v>
      </c>
      <c r="D5124" s="1">
        <v>45027</v>
      </c>
      <c r="E5124" s="1">
        <v>45037</v>
      </c>
      <c r="F5124" s="1">
        <v>45036</v>
      </c>
      <c r="G5124">
        <v>22.03</v>
      </c>
      <c r="H51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124" t="str">
        <f>IFERROR(INDEX(Raw_orders!G:G, MATCH(shipments[[#This Row],[order_id]],Raw_orders!A:A, 0)), "Unknown")</f>
        <v>Nordics</v>
      </c>
      <c r="J5124" t="str">
        <f>PROPER(shipments[[#This Row],[delivery_status]])</f>
        <v>Delivered</v>
      </c>
      <c r="K5124" t="s">
        <v>6926</v>
      </c>
    </row>
    <row r="5125" spans="1:11">
      <c r="A5125" t="s">
        <v>12061</v>
      </c>
      <c r="B5125" t="s">
        <v>5733</v>
      </c>
      <c r="C5125" t="s">
        <v>6931</v>
      </c>
      <c r="D5125" s="1">
        <v>45065</v>
      </c>
      <c r="E5125" s="1">
        <v>45067</v>
      </c>
      <c r="F5125" s="1">
        <v>45067</v>
      </c>
      <c r="G5125">
        <v>6.22</v>
      </c>
      <c r="H51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125" t="str">
        <f>IFERROR(INDEX(Raw_orders!G:G, MATCH(shipments[[#This Row],[order_id]],Raw_orders!A:A, 0)), "Unknown")</f>
        <v>Nordics</v>
      </c>
      <c r="J5125" t="str">
        <f>PROPER(shipments[[#This Row],[delivery_status]])</f>
        <v>Delivered</v>
      </c>
      <c r="K5125" t="s">
        <v>6929</v>
      </c>
    </row>
    <row r="5126" spans="1:11">
      <c r="A5126" t="s">
        <v>12062</v>
      </c>
      <c r="B5126" t="s">
        <v>5734</v>
      </c>
      <c r="C5126" t="s">
        <v>6935</v>
      </c>
      <c r="D5126" s="1">
        <v>45187</v>
      </c>
      <c r="E5126" s="1">
        <v>45194</v>
      </c>
      <c r="F5126" s="1">
        <v>45194</v>
      </c>
      <c r="G5126">
        <v>62.59</v>
      </c>
      <c r="H51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126" t="str">
        <f>IFERROR(INDEX(Raw_orders!G:G, MATCH(shipments[[#This Row],[order_id]],Raw_orders!A:A, 0)), "Unknown")</f>
        <v>Central Europe</v>
      </c>
      <c r="J5126" t="str">
        <f>PROPER(shipments[[#This Row],[delivery_status]])</f>
        <v>Delivered</v>
      </c>
      <c r="K5126" t="s">
        <v>6929</v>
      </c>
    </row>
    <row r="5127" spans="1:11">
      <c r="A5127" t="s">
        <v>12063</v>
      </c>
      <c r="B5127" t="s">
        <v>5735</v>
      </c>
      <c r="C5127" t="s">
        <v>6931</v>
      </c>
      <c r="D5127" s="1">
        <v>45512</v>
      </c>
      <c r="E5127" s="1">
        <v>45522</v>
      </c>
      <c r="F5127" s="1">
        <v>45530</v>
      </c>
      <c r="G5127">
        <v>53.68</v>
      </c>
      <c r="H51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27" t="str">
        <f>IFERROR(INDEX(Raw_orders!G:G, MATCH(shipments[[#This Row],[order_id]],Raw_orders!A:A, 0)), "Unknown")</f>
        <v>Central Europe</v>
      </c>
      <c r="J5127" t="str">
        <f>PROPER(shipments[[#This Row],[delivery_status]])</f>
        <v>Delivered</v>
      </c>
      <c r="K5127" t="s">
        <v>6929</v>
      </c>
    </row>
    <row r="5128" spans="1:11">
      <c r="A5128" t="s">
        <v>12064</v>
      </c>
      <c r="B5128" t="s">
        <v>5736</v>
      </c>
      <c r="C5128" t="s">
        <v>6938</v>
      </c>
      <c r="D5128" s="1">
        <v>45109</v>
      </c>
      <c r="E5128" s="1">
        <v>45114</v>
      </c>
      <c r="F5128" s="1">
        <v>45122</v>
      </c>
      <c r="G5128">
        <v>18.03</v>
      </c>
      <c r="H51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28" t="str">
        <f>IFERROR(INDEX(Raw_orders!G:G, MATCH(shipments[[#This Row],[order_id]],Raw_orders!A:A, 0)), "Unknown")</f>
        <v>Baltics</v>
      </c>
      <c r="J5128" t="str">
        <f>PROPER(shipments[[#This Row],[delivery_status]])</f>
        <v>Delivered</v>
      </c>
      <c r="K5128" t="s">
        <v>6926</v>
      </c>
    </row>
    <row r="5129" spans="1:11">
      <c r="A5129" t="s">
        <v>12065</v>
      </c>
      <c r="B5129" t="s">
        <v>5736</v>
      </c>
      <c r="C5129" t="s">
        <v>6921</v>
      </c>
      <c r="D5129" s="1">
        <v>45112</v>
      </c>
      <c r="E5129" s="1">
        <v>45117</v>
      </c>
      <c r="F5129" s="1">
        <v>45128</v>
      </c>
      <c r="G5129">
        <v>15.92</v>
      </c>
      <c r="H51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29" t="str">
        <f>IFERROR(INDEX(Raw_orders!G:G, MATCH(shipments[[#This Row],[order_id]],Raw_orders!A:A, 0)), "Unknown")</f>
        <v>Baltics</v>
      </c>
      <c r="J5129" t="str">
        <f>PROPER(shipments[[#This Row],[delivery_status]])</f>
        <v>Delivered</v>
      </c>
      <c r="K5129" t="s">
        <v>6922</v>
      </c>
    </row>
    <row r="5130" spans="1:11">
      <c r="A5130" t="s">
        <v>12066</v>
      </c>
      <c r="B5130" t="s">
        <v>5737</v>
      </c>
      <c r="C5130" t="s">
        <v>6949</v>
      </c>
      <c r="D5130" s="1">
        <v>45228</v>
      </c>
      <c r="E5130" s="1">
        <v>45230</v>
      </c>
      <c r="F5130" s="1">
        <v>45230</v>
      </c>
      <c r="G5130">
        <v>14.66</v>
      </c>
      <c r="H51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130" t="str">
        <f>IFERROR(INDEX(Raw_orders!G:G, MATCH(shipments[[#This Row],[order_id]],Raw_orders!A:A, 0)), "Unknown")</f>
        <v>Central Europe</v>
      </c>
      <c r="J5130" t="str">
        <f>PROPER(shipments[[#This Row],[delivery_status]])</f>
        <v>Delivered</v>
      </c>
      <c r="K5130" t="s">
        <v>6926</v>
      </c>
    </row>
    <row r="5131" spans="1:11">
      <c r="A5131" t="s">
        <v>12067</v>
      </c>
      <c r="B5131" t="s">
        <v>5738</v>
      </c>
      <c r="C5131" t="s">
        <v>6925</v>
      </c>
      <c r="D5131" s="1">
        <v>45327</v>
      </c>
      <c r="E5131" s="1">
        <v>45334</v>
      </c>
      <c r="F5131" s="1">
        <v>45334</v>
      </c>
      <c r="G5131">
        <v>46.39</v>
      </c>
      <c r="H51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131" t="str">
        <f>IFERROR(INDEX(Raw_orders!G:G, MATCH(shipments[[#This Row],[order_id]],Raw_orders!A:A, 0)), "Unknown")</f>
        <v>Central Europe</v>
      </c>
      <c r="J5131" t="str">
        <f>PROPER(shipments[[#This Row],[delivery_status]])</f>
        <v>Delivered</v>
      </c>
      <c r="K5131" t="s">
        <v>6929</v>
      </c>
    </row>
    <row r="5132" spans="1:11">
      <c r="A5132" t="s">
        <v>12068</v>
      </c>
      <c r="B5132" t="s">
        <v>5739</v>
      </c>
      <c r="C5132" t="s">
        <v>6956</v>
      </c>
      <c r="D5132" s="1">
        <v>45127</v>
      </c>
      <c r="E5132" s="1">
        <v>45129</v>
      </c>
      <c r="F5132" s="1">
        <v>45134</v>
      </c>
      <c r="G5132">
        <v>36.69</v>
      </c>
      <c r="H51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32" t="str">
        <f>IFERROR(INDEX(Raw_orders!G:G, MATCH(shipments[[#This Row],[order_id]],Raw_orders!A:A, 0)), "Unknown")</f>
        <v>Central Europe</v>
      </c>
      <c r="J5132" t="str">
        <f>PROPER(shipments[[#This Row],[delivery_status]])</f>
        <v>Delivered</v>
      </c>
      <c r="K5132" t="s">
        <v>6922</v>
      </c>
    </row>
    <row r="5133" spans="1:11">
      <c r="A5133" t="s">
        <v>12069</v>
      </c>
      <c r="B5133" t="s">
        <v>5740</v>
      </c>
      <c r="C5133" t="s">
        <v>6940</v>
      </c>
      <c r="D5133" s="1">
        <v>45404</v>
      </c>
      <c r="E5133" s="1">
        <v>45414</v>
      </c>
      <c r="F5133" s="1">
        <v>45426</v>
      </c>
      <c r="G5133">
        <v>63.71</v>
      </c>
      <c r="H51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33" t="str">
        <f>IFERROR(INDEX(Raw_orders!G:G, MATCH(shipments[[#This Row],[order_id]],Raw_orders!A:A, 0)), "Unknown")</f>
        <v>Nordics</v>
      </c>
      <c r="J5133" t="str">
        <f>PROPER(shipments[[#This Row],[delivery_status]])</f>
        <v>Delivered</v>
      </c>
      <c r="K5133" t="s">
        <v>6929</v>
      </c>
    </row>
    <row r="5134" spans="1:11">
      <c r="A5134" t="s">
        <v>12070</v>
      </c>
      <c r="B5134" t="s">
        <v>5741</v>
      </c>
      <c r="C5134" t="s">
        <v>6931</v>
      </c>
      <c r="D5134" s="1">
        <v>45325</v>
      </c>
      <c r="E5134" s="1">
        <v>45327</v>
      </c>
      <c r="F5134" s="1"/>
      <c r="G5134">
        <v>25.15</v>
      </c>
      <c r="H51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134" t="str">
        <f>IFERROR(INDEX(Raw_orders!G:G, MATCH(shipments[[#This Row],[order_id]],Raw_orders!A:A, 0)), "Unknown")</f>
        <v>Baltics</v>
      </c>
      <c r="J5134" t="str">
        <f>PROPER(shipments[[#This Row],[delivery_status]])</f>
        <v>Cancelled</v>
      </c>
      <c r="K5134" t="s">
        <v>6972</v>
      </c>
    </row>
    <row r="5135" spans="1:11">
      <c r="A5135" t="s">
        <v>12071</v>
      </c>
      <c r="B5135" t="s">
        <v>5742</v>
      </c>
      <c r="C5135" t="s">
        <v>6935</v>
      </c>
      <c r="D5135" s="1">
        <v>45265</v>
      </c>
      <c r="E5135" s="1">
        <v>45270</v>
      </c>
      <c r="F5135" s="1">
        <v>45270</v>
      </c>
      <c r="G5135">
        <v>9.91</v>
      </c>
      <c r="H51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135" t="str">
        <f>IFERROR(INDEX(Raw_orders!G:G, MATCH(shipments[[#This Row],[order_id]],Raw_orders!A:A, 0)), "Unknown")</f>
        <v>Nordics</v>
      </c>
      <c r="J5135" t="str">
        <f>PROPER(shipments[[#This Row],[delivery_status]])</f>
        <v>Delivered</v>
      </c>
      <c r="K5135" t="s">
        <v>6922</v>
      </c>
    </row>
    <row r="5136" spans="1:11">
      <c r="A5136" t="s">
        <v>12072</v>
      </c>
      <c r="B5136" t="s">
        <v>5742</v>
      </c>
      <c r="C5136" t="s">
        <v>6925</v>
      </c>
      <c r="D5136" s="1">
        <v>45268</v>
      </c>
      <c r="E5136" s="1">
        <v>45270</v>
      </c>
      <c r="F5136" s="1">
        <v>45269</v>
      </c>
      <c r="G5136">
        <v>5.81</v>
      </c>
      <c r="H51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136" t="str">
        <f>IFERROR(INDEX(Raw_orders!G:G, MATCH(shipments[[#This Row],[order_id]],Raw_orders!A:A, 0)), "Unknown")</f>
        <v>Nordics</v>
      </c>
      <c r="J5136" t="str">
        <f>PROPER(shipments[[#This Row],[delivery_status]])</f>
        <v>Delivered</v>
      </c>
      <c r="K5136" t="s">
        <v>6929</v>
      </c>
    </row>
    <row r="5137" spans="1:11">
      <c r="A5137" t="s">
        <v>12073</v>
      </c>
      <c r="B5137" t="s">
        <v>5743</v>
      </c>
      <c r="C5137" t="s">
        <v>6935</v>
      </c>
      <c r="D5137" s="1">
        <v>45134</v>
      </c>
      <c r="E5137" s="1">
        <v>45141</v>
      </c>
      <c r="F5137" s="1">
        <v>45144</v>
      </c>
      <c r="G5137">
        <v>44.97</v>
      </c>
      <c r="H51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37" t="str">
        <f>IFERROR(INDEX(Raw_orders!G:G, MATCH(shipments[[#This Row],[order_id]],Raw_orders!A:A, 0)), "Unknown")</f>
        <v>Nordics</v>
      </c>
      <c r="J5137" t="str">
        <f>PROPER(shipments[[#This Row],[delivery_status]])</f>
        <v>Delivered</v>
      </c>
      <c r="K5137" t="s">
        <v>6922</v>
      </c>
    </row>
    <row r="5138" spans="1:11">
      <c r="A5138" t="s">
        <v>12074</v>
      </c>
      <c r="B5138" t="s">
        <v>5744</v>
      </c>
      <c r="C5138" t="s">
        <v>6925</v>
      </c>
      <c r="D5138" s="1">
        <v>45445</v>
      </c>
      <c r="E5138" s="1">
        <v>45448</v>
      </c>
      <c r="F5138" s="1"/>
      <c r="G5138">
        <v>50.53</v>
      </c>
      <c r="H51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138" t="str">
        <f>IFERROR(INDEX(Raw_orders!G:G, MATCH(shipments[[#This Row],[order_id]],Raw_orders!A:A, 0)), "Unknown")</f>
        <v>Nordics</v>
      </c>
      <c r="J5138" t="str">
        <f>PROPER(shipments[[#This Row],[delivery_status]])</f>
        <v>In Transit</v>
      </c>
      <c r="K5138" t="s">
        <v>6946</v>
      </c>
    </row>
    <row r="5139" spans="1:11">
      <c r="A5139" t="s">
        <v>12075</v>
      </c>
      <c r="B5139" t="s">
        <v>5745</v>
      </c>
      <c r="C5139" t="s">
        <v>6940</v>
      </c>
      <c r="D5139" s="1">
        <v>45421</v>
      </c>
      <c r="E5139" s="1">
        <v>45431</v>
      </c>
      <c r="F5139" s="1">
        <v>45436</v>
      </c>
      <c r="G5139">
        <v>31.17</v>
      </c>
      <c r="H51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39" t="str">
        <f>IFERROR(INDEX(Raw_orders!G:G, MATCH(shipments[[#This Row],[order_id]],Raw_orders!A:A, 0)), "Unknown")</f>
        <v>Baltics</v>
      </c>
      <c r="J5139" t="str">
        <f>PROPER(shipments[[#This Row],[delivery_status]])</f>
        <v>Delivered</v>
      </c>
      <c r="K5139" t="s">
        <v>6926</v>
      </c>
    </row>
    <row r="5140" spans="1:11">
      <c r="A5140" t="s">
        <v>12076</v>
      </c>
      <c r="B5140" t="s">
        <v>5746</v>
      </c>
      <c r="C5140" t="s">
        <v>6935</v>
      </c>
      <c r="D5140" s="1">
        <v>44935</v>
      </c>
      <c r="E5140" s="1">
        <v>44945</v>
      </c>
      <c r="F5140" s="1">
        <v>44945</v>
      </c>
      <c r="G5140">
        <v>62.83</v>
      </c>
      <c r="H51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140" t="str">
        <f>IFERROR(INDEX(Raw_orders!G:G, MATCH(shipments[[#This Row],[order_id]],Raw_orders!A:A, 0)), "Unknown")</f>
        <v>Central Europe</v>
      </c>
      <c r="J5140" t="str">
        <f>PROPER(shipments[[#This Row],[delivery_status]])</f>
        <v>Delivered</v>
      </c>
      <c r="K5140" t="s">
        <v>6929</v>
      </c>
    </row>
    <row r="5141" spans="1:11">
      <c r="A5141" t="s">
        <v>12077</v>
      </c>
      <c r="B5141" t="s">
        <v>5747</v>
      </c>
      <c r="C5141" t="s">
        <v>6935</v>
      </c>
      <c r="D5141" s="1">
        <v>45320</v>
      </c>
      <c r="E5141" s="1">
        <v>45327</v>
      </c>
      <c r="F5141" s="1">
        <v>45328</v>
      </c>
      <c r="G5141">
        <v>32.25</v>
      </c>
      <c r="H51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41" t="str">
        <f>IFERROR(INDEX(Raw_orders!G:G, MATCH(shipments[[#This Row],[order_id]],Raw_orders!A:A, 0)), "Unknown")</f>
        <v>Baltics</v>
      </c>
      <c r="J5141" t="str">
        <f>PROPER(shipments[[#This Row],[delivery_status]])</f>
        <v>Delivered</v>
      </c>
      <c r="K5141" t="s">
        <v>6929</v>
      </c>
    </row>
    <row r="5142" spans="1:11">
      <c r="A5142" t="s">
        <v>12078</v>
      </c>
      <c r="B5142" t="s">
        <v>5748</v>
      </c>
      <c r="C5142" t="s">
        <v>6935</v>
      </c>
      <c r="D5142" s="1">
        <v>45607</v>
      </c>
      <c r="E5142" s="1">
        <v>45610</v>
      </c>
      <c r="F5142" s="1">
        <v>45610</v>
      </c>
      <c r="G5142">
        <v>22.99</v>
      </c>
      <c r="H51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142" t="str">
        <f>IFERROR(INDEX(Raw_orders!G:G, MATCH(shipments[[#This Row],[order_id]],Raw_orders!A:A, 0)), "Unknown")</f>
        <v>Central Europe</v>
      </c>
      <c r="J5142" t="str">
        <f>PROPER(shipments[[#This Row],[delivery_status]])</f>
        <v>Delivered</v>
      </c>
      <c r="K5142" t="s">
        <v>6922</v>
      </c>
    </row>
    <row r="5143" spans="1:11">
      <c r="A5143" t="s">
        <v>12079</v>
      </c>
      <c r="B5143" t="s">
        <v>5749</v>
      </c>
      <c r="C5143" t="s">
        <v>6935</v>
      </c>
      <c r="D5143" s="1">
        <v>44954</v>
      </c>
      <c r="E5143" s="1">
        <v>44961</v>
      </c>
      <c r="F5143" s="1">
        <v>44961</v>
      </c>
      <c r="G5143">
        <v>39.81</v>
      </c>
      <c r="H51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143" t="str">
        <f>IFERROR(INDEX(Raw_orders!G:G, MATCH(shipments[[#This Row],[order_id]],Raw_orders!A:A, 0)), "Unknown")</f>
        <v>Nordics</v>
      </c>
      <c r="J5143" t="str">
        <f>PROPER(shipments[[#This Row],[delivery_status]])</f>
        <v>Delivered</v>
      </c>
      <c r="K5143" t="s">
        <v>6922</v>
      </c>
    </row>
    <row r="5144" spans="1:11">
      <c r="A5144" t="s">
        <v>12080</v>
      </c>
      <c r="B5144" t="s">
        <v>5750</v>
      </c>
      <c r="C5144" t="s">
        <v>6940</v>
      </c>
      <c r="D5144" s="1">
        <v>45508</v>
      </c>
      <c r="E5144" s="1">
        <v>45518</v>
      </c>
      <c r="F5144" s="1">
        <v>45526</v>
      </c>
      <c r="G5144">
        <v>63.46</v>
      </c>
      <c r="H51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44" t="str">
        <f>IFERROR(INDEX(Raw_orders!G:G, MATCH(shipments[[#This Row],[order_id]],Raw_orders!A:A, 0)), "Unknown")</f>
        <v>Nordics</v>
      </c>
      <c r="J5144" t="str">
        <f>PROPER(shipments[[#This Row],[delivery_status]])</f>
        <v>Delivered</v>
      </c>
      <c r="K5144" t="s">
        <v>6922</v>
      </c>
    </row>
    <row r="5145" spans="1:11">
      <c r="A5145" t="s">
        <v>12081</v>
      </c>
      <c r="B5145" t="s">
        <v>5751</v>
      </c>
      <c r="C5145" t="s">
        <v>6940</v>
      </c>
      <c r="D5145" s="1">
        <v>45595</v>
      </c>
      <c r="E5145" s="1">
        <v>45598</v>
      </c>
      <c r="F5145" s="1">
        <v>45604</v>
      </c>
      <c r="G5145">
        <v>55.67</v>
      </c>
      <c r="H51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45" t="str">
        <f>IFERROR(INDEX(Raw_orders!G:G, MATCH(shipments[[#This Row],[order_id]],Raw_orders!A:A, 0)), "Unknown")</f>
        <v>Central Europe</v>
      </c>
      <c r="J5145" t="str">
        <f>PROPER(shipments[[#This Row],[delivery_status]])</f>
        <v>Delivered</v>
      </c>
      <c r="K5145" t="s">
        <v>6929</v>
      </c>
    </row>
    <row r="5146" spans="1:11">
      <c r="A5146" t="s">
        <v>12082</v>
      </c>
      <c r="B5146" t="s">
        <v>5752</v>
      </c>
      <c r="C5146" t="s">
        <v>6938</v>
      </c>
      <c r="D5146" s="1">
        <v>45182</v>
      </c>
      <c r="E5146" s="1">
        <v>45185</v>
      </c>
      <c r="F5146" s="1">
        <v>45188</v>
      </c>
      <c r="G5146">
        <v>6.02</v>
      </c>
      <c r="H51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46" t="str">
        <f>IFERROR(INDEX(Raw_orders!G:G, MATCH(shipments[[#This Row],[order_id]],Raw_orders!A:A, 0)), "Unknown")</f>
        <v>Central Europe</v>
      </c>
      <c r="J5146" t="str">
        <f>PROPER(shipments[[#This Row],[delivery_status]])</f>
        <v>Delivered</v>
      </c>
      <c r="K5146" t="s">
        <v>6922</v>
      </c>
    </row>
    <row r="5147" spans="1:11">
      <c r="A5147" t="s">
        <v>12083</v>
      </c>
      <c r="B5147" t="s">
        <v>5752</v>
      </c>
      <c r="C5147" t="s">
        <v>6956</v>
      </c>
      <c r="D5147" s="1">
        <v>45184</v>
      </c>
      <c r="E5147" s="1">
        <v>45189</v>
      </c>
      <c r="F5147" s="1">
        <v>45194</v>
      </c>
      <c r="G5147">
        <v>32.03</v>
      </c>
      <c r="H51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47" t="str">
        <f>IFERROR(INDEX(Raw_orders!G:G, MATCH(shipments[[#This Row],[order_id]],Raw_orders!A:A, 0)), "Unknown")</f>
        <v>Central Europe</v>
      </c>
      <c r="J5147" t="str">
        <f>PROPER(shipments[[#This Row],[delivery_status]])</f>
        <v>Delivered</v>
      </c>
      <c r="K5147" t="s">
        <v>6922</v>
      </c>
    </row>
    <row r="5148" spans="1:11">
      <c r="A5148" t="s">
        <v>12084</v>
      </c>
      <c r="B5148" t="s">
        <v>5753</v>
      </c>
      <c r="C5148" t="s">
        <v>6921</v>
      </c>
      <c r="D5148" s="1">
        <v>45567</v>
      </c>
      <c r="E5148" s="1">
        <v>45569</v>
      </c>
      <c r="F5148" s="1">
        <v>45569</v>
      </c>
      <c r="G5148">
        <v>38.450000000000003</v>
      </c>
      <c r="H51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148" t="str">
        <f>IFERROR(INDEX(Raw_orders!G:G, MATCH(shipments[[#This Row],[order_id]],Raw_orders!A:A, 0)), "Unknown")</f>
        <v>Central Europe</v>
      </c>
      <c r="J5148" t="str">
        <f>PROPER(shipments[[#This Row],[delivery_status]])</f>
        <v>Delivered</v>
      </c>
      <c r="K5148" t="s">
        <v>6929</v>
      </c>
    </row>
    <row r="5149" spans="1:11">
      <c r="A5149" t="s">
        <v>12085</v>
      </c>
      <c r="B5149" t="s">
        <v>5754</v>
      </c>
      <c r="C5149" t="s">
        <v>6928</v>
      </c>
      <c r="D5149" s="1">
        <v>45034</v>
      </c>
      <c r="E5149" s="1">
        <v>45041</v>
      </c>
      <c r="F5149" s="1">
        <v>45044</v>
      </c>
      <c r="G5149">
        <v>50.95</v>
      </c>
      <c r="H51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49" t="str">
        <f>IFERROR(INDEX(Raw_orders!G:G, MATCH(shipments[[#This Row],[order_id]],Raw_orders!A:A, 0)), "Unknown")</f>
        <v>Central Europe</v>
      </c>
      <c r="J5149" t="str">
        <f>PROPER(shipments[[#This Row],[delivery_status]])</f>
        <v>Delivered</v>
      </c>
      <c r="K5149" t="s">
        <v>6926</v>
      </c>
    </row>
    <row r="5150" spans="1:11">
      <c r="A5150" t="s">
        <v>12086</v>
      </c>
      <c r="B5150" t="s">
        <v>5755</v>
      </c>
      <c r="C5150" t="s">
        <v>6956</v>
      </c>
      <c r="D5150" s="1">
        <v>45293</v>
      </c>
      <c r="E5150" s="1">
        <v>45295</v>
      </c>
      <c r="F5150" s="1">
        <v>45295</v>
      </c>
      <c r="G5150">
        <v>45.96</v>
      </c>
      <c r="H51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150" t="str">
        <f>IFERROR(INDEX(Raw_orders!G:G, MATCH(shipments[[#This Row],[order_id]],Raw_orders!A:A, 0)), "Unknown")</f>
        <v>Central Europe</v>
      </c>
      <c r="J5150" t="str">
        <f>PROPER(shipments[[#This Row],[delivery_status]])</f>
        <v>Delivered</v>
      </c>
      <c r="K5150" t="s">
        <v>6929</v>
      </c>
    </row>
    <row r="5151" spans="1:11">
      <c r="A5151" t="s">
        <v>12087</v>
      </c>
      <c r="B5151" t="s">
        <v>5756</v>
      </c>
      <c r="C5151" t="s">
        <v>6928</v>
      </c>
      <c r="D5151" s="1">
        <v>45582</v>
      </c>
      <c r="E5151" s="1">
        <v>45592</v>
      </c>
      <c r="F5151" s="1"/>
      <c r="G5151">
        <v>12.81</v>
      </c>
      <c r="H51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151" t="str">
        <f>IFERROR(INDEX(Raw_orders!G:G, MATCH(shipments[[#This Row],[order_id]],Raw_orders!A:A, 0)), "Unknown")</f>
        <v>Baltics</v>
      </c>
      <c r="J5151" t="str">
        <f>PROPER(shipments[[#This Row],[delivery_status]])</f>
        <v>In Transit</v>
      </c>
      <c r="K5151" t="s">
        <v>6977</v>
      </c>
    </row>
    <row r="5152" spans="1:11">
      <c r="A5152" t="s">
        <v>12088</v>
      </c>
      <c r="B5152" t="s">
        <v>5757</v>
      </c>
      <c r="C5152" t="s">
        <v>6925</v>
      </c>
      <c r="D5152" s="1">
        <v>45039</v>
      </c>
      <c r="E5152" s="1">
        <v>45044</v>
      </c>
      <c r="F5152" s="1">
        <v>45044</v>
      </c>
      <c r="G5152">
        <v>45.04</v>
      </c>
      <c r="H51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152" t="str">
        <f>IFERROR(INDEX(Raw_orders!G:G, MATCH(shipments[[#This Row],[order_id]],Raw_orders!A:A, 0)), "Unknown")</f>
        <v>Unknown</v>
      </c>
      <c r="J5152" t="str">
        <f>PROPER(shipments[[#This Row],[delivery_status]])</f>
        <v>Delivered</v>
      </c>
      <c r="K5152" t="s">
        <v>6922</v>
      </c>
    </row>
    <row r="5153" spans="1:11">
      <c r="A5153" t="s">
        <v>12089</v>
      </c>
      <c r="B5153" t="s">
        <v>5758</v>
      </c>
      <c r="C5153" t="s">
        <v>6956</v>
      </c>
      <c r="D5153" s="1">
        <v>45048</v>
      </c>
      <c r="E5153" s="1">
        <v>45053</v>
      </c>
      <c r="F5153" s="1">
        <v>45061</v>
      </c>
      <c r="G5153">
        <v>12.27</v>
      </c>
      <c r="H51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53" t="str">
        <f>IFERROR(INDEX(Raw_orders!G:G, MATCH(shipments[[#This Row],[order_id]],Raw_orders!A:A, 0)), "Unknown")</f>
        <v>Central Europe</v>
      </c>
      <c r="J5153" t="str">
        <f>PROPER(shipments[[#This Row],[delivery_status]])</f>
        <v>Delivered</v>
      </c>
      <c r="K5153" t="s">
        <v>6922</v>
      </c>
    </row>
    <row r="5154" spans="1:11">
      <c r="A5154" t="s">
        <v>12090</v>
      </c>
      <c r="B5154" t="s">
        <v>5759</v>
      </c>
      <c r="C5154" t="s">
        <v>6938</v>
      </c>
      <c r="D5154" s="1">
        <v>45526</v>
      </c>
      <c r="E5154" s="1">
        <v>45533</v>
      </c>
      <c r="F5154" s="1">
        <v>45534</v>
      </c>
      <c r="G5154">
        <v>62.81</v>
      </c>
      <c r="H51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54" t="str">
        <f>IFERROR(INDEX(Raw_orders!G:G, MATCH(shipments[[#This Row],[order_id]],Raw_orders!A:A, 0)), "Unknown")</f>
        <v>Central Europe</v>
      </c>
      <c r="J5154" t="str">
        <f>PROPER(shipments[[#This Row],[delivery_status]])</f>
        <v>Delivered</v>
      </c>
      <c r="K5154" t="s">
        <v>6929</v>
      </c>
    </row>
    <row r="5155" spans="1:11">
      <c r="A5155" t="s">
        <v>12091</v>
      </c>
      <c r="B5155" t="s">
        <v>5760</v>
      </c>
      <c r="C5155" t="s">
        <v>6940</v>
      </c>
      <c r="D5155" s="1">
        <v>45337</v>
      </c>
      <c r="E5155" s="1">
        <v>45339</v>
      </c>
      <c r="F5155" s="1">
        <v>45340</v>
      </c>
      <c r="G5155">
        <v>37.04</v>
      </c>
      <c r="H51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55" t="str">
        <f>IFERROR(INDEX(Raw_orders!G:G, MATCH(shipments[[#This Row],[order_id]],Raw_orders!A:A, 0)), "Unknown")</f>
        <v>Nordics</v>
      </c>
      <c r="J5155" t="str">
        <f>PROPER(shipments[[#This Row],[delivery_status]])</f>
        <v>Delivered</v>
      </c>
      <c r="K5155" t="s">
        <v>6929</v>
      </c>
    </row>
    <row r="5156" spans="1:11">
      <c r="A5156" t="s">
        <v>12092</v>
      </c>
      <c r="B5156" t="s">
        <v>5761</v>
      </c>
      <c r="C5156" t="s">
        <v>6928</v>
      </c>
      <c r="D5156" s="1">
        <v>45179</v>
      </c>
      <c r="E5156" s="1">
        <v>45186</v>
      </c>
      <c r="F5156" s="1">
        <v>45191</v>
      </c>
      <c r="G5156">
        <v>11.91</v>
      </c>
      <c r="H51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56" t="str">
        <f>IFERROR(INDEX(Raw_orders!G:G, MATCH(shipments[[#This Row],[order_id]],Raw_orders!A:A, 0)), "Unknown")</f>
        <v>Baltics</v>
      </c>
      <c r="J5156" t="str">
        <f>PROPER(shipments[[#This Row],[delivery_status]])</f>
        <v>Delivered</v>
      </c>
      <c r="K5156" t="s">
        <v>6922</v>
      </c>
    </row>
    <row r="5157" spans="1:11">
      <c r="A5157" t="s">
        <v>12093</v>
      </c>
      <c r="B5157" t="s">
        <v>5762</v>
      </c>
      <c r="C5157" t="s">
        <v>6940</v>
      </c>
      <c r="D5157" s="1">
        <v>45399</v>
      </c>
      <c r="E5157" s="1">
        <v>45404</v>
      </c>
      <c r="F5157" s="1">
        <v>45403</v>
      </c>
      <c r="G5157">
        <v>27.28</v>
      </c>
      <c r="H51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157" t="str">
        <f>IFERROR(INDEX(Raw_orders!G:G, MATCH(shipments[[#This Row],[order_id]],Raw_orders!A:A, 0)), "Unknown")</f>
        <v>Central Europe</v>
      </c>
      <c r="J5157" t="str">
        <f>PROPER(shipments[[#This Row],[delivery_status]])</f>
        <v>Delivered</v>
      </c>
      <c r="K5157" t="s">
        <v>6929</v>
      </c>
    </row>
    <row r="5158" spans="1:11">
      <c r="A5158" t="s">
        <v>12094</v>
      </c>
      <c r="B5158" t="s">
        <v>5763</v>
      </c>
      <c r="C5158" t="s">
        <v>6940</v>
      </c>
      <c r="D5158" s="1">
        <v>45311</v>
      </c>
      <c r="E5158" s="1">
        <v>45318</v>
      </c>
      <c r="F5158" s="1">
        <v>45318</v>
      </c>
      <c r="G5158">
        <v>56.42</v>
      </c>
      <c r="H51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158" t="str">
        <f>IFERROR(INDEX(Raw_orders!G:G, MATCH(shipments[[#This Row],[order_id]],Raw_orders!A:A, 0)), "Unknown")</f>
        <v>Central Europe</v>
      </c>
      <c r="J5158" t="str">
        <f>PROPER(shipments[[#This Row],[delivery_status]])</f>
        <v>Delivered</v>
      </c>
      <c r="K5158" t="s">
        <v>6926</v>
      </c>
    </row>
    <row r="5159" spans="1:11">
      <c r="A5159" t="s">
        <v>12095</v>
      </c>
      <c r="B5159" t="s">
        <v>5764</v>
      </c>
      <c r="C5159" t="s">
        <v>6935</v>
      </c>
      <c r="D5159" s="1">
        <v>44986</v>
      </c>
      <c r="E5159" s="1">
        <v>44991</v>
      </c>
      <c r="F5159" s="1">
        <v>44999</v>
      </c>
      <c r="G5159">
        <v>49.96</v>
      </c>
      <c r="H51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59" t="str">
        <f>IFERROR(INDEX(Raw_orders!G:G, MATCH(shipments[[#This Row],[order_id]],Raw_orders!A:A, 0)), "Unknown")</f>
        <v>Central Europe</v>
      </c>
      <c r="J5159" t="str">
        <f>PROPER(shipments[[#This Row],[delivery_status]])</f>
        <v>Delivered</v>
      </c>
      <c r="K5159" t="s">
        <v>6926</v>
      </c>
    </row>
    <row r="5160" spans="1:11">
      <c r="A5160" t="s">
        <v>12096</v>
      </c>
      <c r="B5160" t="s">
        <v>5764</v>
      </c>
      <c r="C5160" t="s">
        <v>6956</v>
      </c>
      <c r="D5160" s="1">
        <v>44986</v>
      </c>
      <c r="E5160" s="1">
        <v>44989</v>
      </c>
      <c r="F5160" s="1"/>
      <c r="G5160">
        <v>26.95</v>
      </c>
      <c r="H51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160" t="str">
        <f>IFERROR(INDEX(Raw_orders!G:G, MATCH(shipments[[#This Row],[order_id]],Raw_orders!A:A, 0)), "Unknown")</f>
        <v>Central Europe</v>
      </c>
      <c r="J5160" t="str">
        <f>PROPER(shipments[[#This Row],[delivery_status]])</f>
        <v>In Transit</v>
      </c>
      <c r="K5160" t="s">
        <v>6958</v>
      </c>
    </row>
    <row r="5161" spans="1:11">
      <c r="A5161" t="s">
        <v>12097</v>
      </c>
      <c r="B5161" t="s">
        <v>5765</v>
      </c>
      <c r="C5161" t="s">
        <v>6921</v>
      </c>
      <c r="D5161" s="1">
        <v>44974</v>
      </c>
      <c r="E5161" s="1">
        <v>44977</v>
      </c>
      <c r="F5161" s="1"/>
      <c r="G5161">
        <v>29.99</v>
      </c>
      <c r="H51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161" t="str">
        <f>IFERROR(INDEX(Raw_orders!G:G, MATCH(shipments[[#This Row],[order_id]],Raw_orders!A:A, 0)), "Unknown")</f>
        <v>Unknown</v>
      </c>
      <c r="J5161" t="str">
        <f>PROPER(shipments[[#This Row],[delivery_status]])</f>
        <v>In Transit</v>
      </c>
      <c r="K5161" t="s">
        <v>6958</v>
      </c>
    </row>
    <row r="5162" spans="1:11">
      <c r="A5162" t="s">
        <v>12098</v>
      </c>
      <c r="B5162" t="s">
        <v>5766</v>
      </c>
      <c r="C5162" t="s">
        <v>6938</v>
      </c>
      <c r="D5162" s="1">
        <v>45170</v>
      </c>
      <c r="E5162" s="1">
        <v>45177</v>
      </c>
      <c r="F5162" s="1">
        <v>45183</v>
      </c>
      <c r="G5162">
        <v>46.45</v>
      </c>
      <c r="H51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62" t="str">
        <f>IFERROR(INDEX(Raw_orders!G:G, MATCH(shipments[[#This Row],[order_id]],Raw_orders!A:A, 0)), "Unknown")</f>
        <v>Unknown</v>
      </c>
      <c r="J5162" t="str">
        <f>PROPER(shipments[[#This Row],[delivery_status]])</f>
        <v>Delivered</v>
      </c>
      <c r="K5162" t="s">
        <v>6922</v>
      </c>
    </row>
    <row r="5163" spans="1:11">
      <c r="A5163" t="s">
        <v>12099</v>
      </c>
      <c r="B5163" t="s">
        <v>5767</v>
      </c>
      <c r="C5163" t="s">
        <v>6940</v>
      </c>
      <c r="D5163" s="1">
        <v>45625</v>
      </c>
      <c r="E5163" s="1">
        <v>45627</v>
      </c>
      <c r="F5163" s="1">
        <v>45629</v>
      </c>
      <c r="G5163">
        <v>38.26</v>
      </c>
      <c r="H51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63" t="str">
        <f>IFERROR(INDEX(Raw_orders!G:G, MATCH(shipments[[#This Row],[order_id]],Raw_orders!A:A, 0)), "Unknown")</f>
        <v>Central Europe</v>
      </c>
      <c r="J5163" t="str">
        <f>PROPER(shipments[[#This Row],[delivery_status]])</f>
        <v>Delivered</v>
      </c>
      <c r="K5163" t="s">
        <v>6922</v>
      </c>
    </row>
    <row r="5164" spans="1:11">
      <c r="A5164" t="s">
        <v>12100</v>
      </c>
      <c r="B5164" t="s">
        <v>5768</v>
      </c>
      <c r="C5164" t="s">
        <v>6940</v>
      </c>
      <c r="D5164" s="1">
        <v>45269</v>
      </c>
      <c r="E5164" s="1">
        <v>45272</v>
      </c>
      <c r="F5164" s="1">
        <v>45282</v>
      </c>
      <c r="G5164">
        <v>19.03</v>
      </c>
      <c r="H51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64" t="str">
        <f>IFERROR(INDEX(Raw_orders!G:G, MATCH(shipments[[#This Row],[order_id]],Raw_orders!A:A, 0)), "Unknown")</f>
        <v>Baltics</v>
      </c>
      <c r="J5164" t="str">
        <f>PROPER(shipments[[#This Row],[delivery_status]])</f>
        <v>Delivered</v>
      </c>
      <c r="K5164" t="s">
        <v>6922</v>
      </c>
    </row>
    <row r="5165" spans="1:11">
      <c r="A5165" t="s">
        <v>12101</v>
      </c>
      <c r="B5165" t="s">
        <v>5769</v>
      </c>
      <c r="C5165" t="s">
        <v>6928</v>
      </c>
      <c r="D5165" s="1">
        <v>45467</v>
      </c>
      <c r="E5165" s="1">
        <v>45477</v>
      </c>
      <c r="F5165" s="1">
        <v>45477</v>
      </c>
      <c r="G5165">
        <v>5.1100000000000003</v>
      </c>
      <c r="H51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165" t="str">
        <f>IFERROR(INDEX(Raw_orders!G:G, MATCH(shipments[[#This Row],[order_id]],Raw_orders!A:A, 0)), "Unknown")</f>
        <v>Baltics</v>
      </c>
      <c r="J5165" t="str">
        <f>PROPER(shipments[[#This Row],[delivery_status]])</f>
        <v>Delivered</v>
      </c>
      <c r="K5165" t="s">
        <v>6922</v>
      </c>
    </row>
    <row r="5166" spans="1:11">
      <c r="A5166" t="s">
        <v>12102</v>
      </c>
      <c r="B5166" t="s">
        <v>5770</v>
      </c>
      <c r="C5166" t="s">
        <v>6928</v>
      </c>
      <c r="D5166" s="1">
        <v>45283</v>
      </c>
      <c r="E5166" s="1">
        <v>45293</v>
      </c>
      <c r="F5166" s="1">
        <v>45296</v>
      </c>
      <c r="G5166">
        <v>31.73</v>
      </c>
      <c r="H51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66" t="str">
        <f>IFERROR(INDEX(Raw_orders!G:G, MATCH(shipments[[#This Row],[order_id]],Raw_orders!A:A, 0)), "Unknown")</f>
        <v>Nordics</v>
      </c>
      <c r="J5166" t="str">
        <f>PROPER(shipments[[#This Row],[delivery_status]])</f>
        <v>Delivered</v>
      </c>
      <c r="K5166" t="s">
        <v>6922</v>
      </c>
    </row>
    <row r="5167" spans="1:11">
      <c r="A5167" t="s">
        <v>12103</v>
      </c>
      <c r="B5167" t="s">
        <v>5771</v>
      </c>
      <c r="C5167" t="s">
        <v>6956</v>
      </c>
      <c r="D5167" s="1">
        <v>45473</v>
      </c>
      <c r="E5167" s="1">
        <v>45480</v>
      </c>
      <c r="F5167" s="1">
        <v>45492</v>
      </c>
      <c r="G5167">
        <v>30.04</v>
      </c>
      <c r="H51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67" t="str">
        <f>IFERROR(INDEX(Raw_orders!G:G, MATCH(shipments[[#This Row],[order_id]],Raw_orders!A:A, 0)), "Unknown")</f>
        <v>Central Europe</v>
      </c>
      <c r="J5167" t="str">
        <f>PROPER(shipments[[#This Row],[delivery_status]])</f>
        <v>Delivered</v>
      </c>
      <c r="K5167" t="s">
        <v>6926</v>
      </c>
    </row>
    <row r="5168" spans="1:11">
      <c r="A5168" t="s">
        <v>12104</v>
      </c>
      <c r="B5168" t="s">
        <v>5772</v>
      </c>
      <c r="C5168" t="s">
        <v>6956</v>
      </c>
      <c r="D5168" s="1">
        <v>45196</v>
      </c>
      <c r="E5168" s="1">
        <v>45203</v>
      </c>
      <c r="F5168" s="1">
        <v>45214</v>
      </c>
      <c r="G5168">
        <v>49.37</v>
      </c>
      <c r="H51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68" t="str">
        <f>IFERROR(INDEX(Raw_orders!G:G, MATCH(shipments[[#This Row],[order_id]],Raw_orders!A:A, 0)), "Unknown")</f>
        <v>Nordics</v>
      </c>
      <c r="J5168" t="str">
        <f>PROPER(shipments[[#This Row],[delivery_status]])</f>
        <v>Delivered</v>
      </c>
      <c r="K5168" t="s">
        <v>6926</v>
      </c>
    </row>
    <row r="5169" spans="1:11">
      <c r="A5169" t="s">
        <v>12105</v>
      </c>
      <c r="B5169" t="s">
        <v>5773</v>
      </c>
      <c r="C5169" t="s">
        <v>6925</v>
      </c>
      <c r="D5169" s="1">
        <v>44947</v>
      </c>
      <c r="E5169" s="1">
        <v>44957</v>
      </c>
      <c r="F5169" s="1">
        <v>44956</v>
      </c>
      <c r="G5169">
        <v>62.36</v>
      </c>
      <c r="H51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169" t="str">
        <f>IFERROR(INDEX(Raw_orders!G:G, MATCH(shipments[[#This Row],[order_id]],Raw_orders!A:A, 0)), "Unknown")</f>
        <v>Central Europe</v>
      </c>
      <c r="J5169" t="str">
        <f>PROPER(shipments[[#This Row],[delivery_status]])</f>
        <v>Delivered</v>
      </c>
      <c r="K5169" t="s">
        <v>6922</v>
      </c>
    </row>
    <row r="5170" spans="1:11">
      <c r="A5170" t="s">
        <v>12106</v>
      </c>
      <c r="B5170" t="s">
        <v>5774</v>
      </c>
      <c r="C5170" t="s">
        <v>6921</v>
      </c>
      <c r="D5170" s="1">
        <v>45219</v>
      </c>
      <c r="E5170" s="1">
        <v>45222</v>
      </c>
      <c r="F5170" s="1"/>
      <c r="G5170">
        <v>22.34</v>
      </c>
      <c r="H51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170" t="str">
        <f>IFERROR(INDEX(Raw_orders!G:G, MATCH(shipments[[#This Row],[order_id]],Raw_orders!A:A, 0)), "Unknown")</f>
        <v>Baltics</v>
      </c>
      <c r="J5170" t="str">
        <f>PROPER(shipments[[#This Row],[delivery_status]])</f>
        <v>In Transit</v>
      </c>
      <c r="K5170" t="s">
        <v>6946</v>
      </c>
    </row>
    <row r="5171" spans="1:11">
      <c r="A5171" t="s">
        <v>12107</v>
      </c>
      <c r="B5171" t="s">
        <v>5775</v>
      </c>
      <c r="C5171" t="s">
        <v>6931</v>
      </c>
      <c r="D5171" s="1">
        <v>45000</v>
      </c>
      <c r="E5171" s="1">
        <v>45010</v>
      </c>
      <c r="F5171" s="1">
        <v>45018</v>
      </c>
      <c r="G5171">
        <v>58.15</v>
      </c>
      <c r="H51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71" t="str">
        <f>IFERROR(INDEX(Raw_orders!G:G, MATCH(shipments[[#This Row],[order_id]],Raw_orders!A:A, 0)), "Unknown")</f>
        <v>Baltics</v>
      </c>
      <c r="J5171" t="str">
        <f>PROPER(shipments[[#This Row],[delivery_status]])</f>
        <v>Delivered</v>
      </c>
      <c r="K5171" t="s">
        <v>6929</v>
      </c>
    </row>
    <row r="5172" spans="1:11">
      <c r="A5172" t="s">
        <v>12108</v>
      </c>
      <c r="B5172" t="s">
        <v>5776</v>
      </c>
      <c r="C5172" t="s">
        <v>6921</v>
      </c>
      <c r="D5172" s="1">
        <v>44963</v>
      </c>
      <c r="E5172" s="1">
        <v>44968</v>
      </c>
      <c r="F5172" s="1">
        <v>44980</v>
      </c>
      <c r="G5172">
        <v>5.1100000000000003</v>
      </c>
      <c r="H51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72" t="str">
        <f>IFERROR(INDEX(Raw_orders!G:G, MATCH(shipments[[#This Row],[order_id]],Raw_orders!A:A, 0)), "Unknown")</f>
        <v>Central Europe</v>
      </c>
      <c r="J5172" t="str">
        <f>PROPER(shipments[[#This Row],[delivery_status]])</f>
        <v>Delivered</v>
      </c>
      <c r="K5172" t="s">
        <v>6922</v>
      </c>
    </row>
    <row r="5173" spans="1:11">
      <c r="A5173" t="s">
        <v>12109</v>
      </c>
      <c r="B5173" t="s">
        <v>5777</v>
      </c>
      <c r="C5173" t="s">
        <v>6938</v>
      </c>
      <c r="D5173" s="1">
        <v>45140</v>
      </c>
      <c r="E5173" s="1">
        <v>45142</v>
      </c>
      <c r="F5173" s="1">
        <v>45143</v>
      </c>
      <c r="G5173">
        <v>60.92</v>
      </c>
      <c r="H51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73" t="str">
        <f>IFERROR(INDEX(Raw_orders!G:G, MATCH(shipments[[#This Row],[order_id]],Raw_orders!A:A, 0)), "Unknown")</f>
        <v>Baltics</v>
      </c>
      <c r="J5173" t="str">
        <f>PROPER(shipments[[#This Row],[delivery_status]])</f>
        <v>Delivered</v>
      </c>
      <c r="K5173" t="s">
        <v>6926</v>
      </c>
    </row>
    <row r="5174" spans="1:11">
      <c r="A5174" t="s">
        <v>12110</v>
      </c>
      <c r="B5174" t="s">
        <v>5778</v>
      </c>
      <c r="C5174" t="s">
        <v>6935</v>
      </c>
      <c r="D5174" s="1">
        <v>45308</v>
      </c>
      <c r="E5174" s="1">
        <v>45311</v>
      </c>
      <c r="F5174" s="1">
        <v>45311</v>
      </c>
      <c r="G5174">
        <v>28.26</v>
      </c>
      <c r="H51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174" t="str">
        <f>IFERROR(INDEX(Raw_orders!G:G, MATCH(shipments[[#This Row],[order_id]],Raw_orders!A:A, 0)), "Unknown")</f>
        <v>Nordics</v>
      </c>
      <c r="J5174" t="str">
        <f>PROPER(shipments[[#This Row],[delivery_status]])</f>
        <v>Delivered</v>
      </c>
      <c r="K5174" t="s">
        <v>6926</v>
      </c>
    </row>
    <row r="5175" spans="1:11">
      <c r="A5175" t="s">
        <v>12111</v>
      </c>
      <c r="B5175" t="s">
        <v>5779</v>
      </c>
      <c r="C5175" t="s">
        <v>6928</v>
      </c>
      <c r="D5175" s="1">
        <v>45600</v>
      </c>
      <c r="E5175" s="1">
        <v>45605</v>
      </c>
      <c r="F5175" s="1">
        <v>45606</v>
      </c>
      <c r="G5175">
        <v>17.079999999999998</v>
      </c>
      <c r="H51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75" t="str">
        <f>IFERROR(INDEX(Raw_orders!G:G, MATCH(shipments[[#This Row],[order_id]],Raw_orders!A:A, 0)), "Unknown")</f>
        <v>Baltics</v>
      </c>
      <c r="J5175" t="str">
        <f>PROPER(shipments[[#This Row],[delivery_status]])</f>
        <v>Delivered</v>
      </c>
      <c r="K5175" t="s">
        <v>6929</v>
      </c>
    </row>
    <row r="5176" spans="1:11">
      <c r="A5176" t="s">
        <v>12112</v>
      </c>
      <c r="B5176" t="s">
        <v>5780</v>
      </c>
      <c r="C5176" t="s">
        <v>6925</v>
      </c>
      <c r="D5176" s="1">
        <v>45137</v>
      </c>
      <c r="E5176" s="1">
        <v>45147</v>
      </c>
      <c r="F5176" s="1">
        <v>45149</v>
      </c>
      <c r="G5176">
        <v>58.78</v>
      </c>
      <c r="H51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76" t="str">
        <f>IFERROR(INDEX(Raw_orders!G:G, MATCH(shipments[[#This Row],[order_id]],Raw_orders!A:A, 0)), "Unknown")</f>
        <v>Baltics</v>
      </c>
      <c r="J5176" t="str">
        <f>PROPER(shipments[[#This Row],[delivery_status]])</f>
        <v>Delivered</v>
      </c>
      <c r="K5176" t="s">
        <v>6922</v>
      </c>
    </row>
    <row r="5177" spans="1:11">
      <c r="A5177" t="s">
        <v>12113</v>
      </c>
      <c r="B5177" t="s">
        <v>5781</v>
      </c>
      <c r="C5177" t="s">
        <v>6940</v>
      </c>
      <c r="D5177" s="1">
        <v>45130</v>
      </c>
      <c r="E5177" s="1">
        <v>45137</v>
      </c>
      <c r="F5177" s="1">
        <v>45136</v>
      </c>
      <c r="G5177">
        <v>64.03</v>
      </c>
      <c r="H51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177" t="str">
        <f>IFERROR(INDEX(Raw_orders!G:G, MATCH(shipments[[#This Row],[order_id]],Raw_orders!A:A, 0)), "Unknown")</f>
        <v>Central Europe</v>
      </c>
      <c r="J5177" t="str">
        <f>PROPER(shipments[[#This Row],[delivery_status]])</f>
        <v>Delivered</v>
      </c>
      <c r="K5177" t="s">
        <v>6926</v>
      </c>
    </row>
    <row r="5178" spans="1:11">
      <c r="A5178" t="s">
        <v>12114</v>
      </c>
      <c r="B5178" t="s">
        <v>5782</v>
      </c>
      <c r="C5178" t="s">
        <v>6921</v>
      </c>
      <c r="D5178" s="1">
        <v>45039</v>
      </c>
      <c r="E5178" s="1">
        <v>45041</v>
      </c>
      <c r="F5178" s="1">
        <v>45042</v>
      </c>
      <c r="G5178">
        <v>59.98</v>
      </c>
      <c r="H51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78" t="str">
        <f>IFERROR(INDEX(Raw_orders!G:G, MATCH(shipments[[#This Row],[order_id]],Raw_orders!A:A, 0)), "Unknown")</f>
        <v>Central Europe</v>
      </c>
      <c r="J5178" t="str">
        <f>PROPER(shipments[[#This Row],[delivery_status]])</f>
        <v>Delivered</v>
      </c>
      <c r="K5178" t="s">
        <v>6922</v>
      </c>
    </row>
    <row r="5179" spans="1:11">
      <c r="A5179" t="s">
        <v>12115</v>
      </c>
      <c r="B5179" t="s">
        <v>5783</v>
      </c>
      <c r="C5179" t="s">
        <v>6935</v>
      </c>
      <c r="D5179" s="1">
        <v>45417</v>
      </c>
      <c r="E5179" s="1">
        <v>45420</v>
      </c>
      <c r="F5179" s="1">
        <v>45420</v>
      </c>
      <c r="G5179">
        <v>10.27</v>
      </c>
      <c r="H51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179" t="str">
        <f>IFERROR(INDEX(Raw_orders!G:G, MATCH(shipments[[#This Row],[order_id]],Raw_orders!A:A, 0)), "Unknown")</f>
        <v>Baltics</v>
      </c>
      <c r="J5179" t="str">
        <f>PROPER(shipments[[#This Row],[delivery_status]])</f>
        <v>Delivered</v>
      </c>
      <c r="K5179" t="s">
        <v>6929</v>
      </c>
    </row>
    <row r="5180" spans="1:11">
      <c r="A5180" t="s">
        <v>12116</v>
      </c>
      <c r="B5180" t="s">
        <v>5784</v>
      </c>
      <c r="C5180" t="s">
        <v>6940</v>
      </c>
      <c r="D5180" s="1">
        <v>45338</v>
      </c>
      <c r="E5180" s="1">
        <v>45345</v>
      </c>
      <c r="F5180" s="1">
        <v>45345</v>
      </c>
      <c r="G5180">
        <v>50.88</v>
      </c>
      <c r="H51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180" t="str">
        <f>IFERROR(INDEX(Raw_orders!G:G, MATCH(shipments[[#This Row],[order_id]],Raw_orders!A:A, 0)), "Unknown")</f>
        <v>Baltics</v>
      </c>
      <c r="J5180" t="str">
        <f>PROPER(shipments[[#This Row],[delivery_status]])</f>
        <v>Delivered</v>
      </c>
      <c r="K5180" t="s">
        <v>6929</v>
      </c>
    </row>
    <row r="5181" spans="1:11">
      <c r="A5181" t="s">
        <v>12117</v>
      </c>
      <c r="B5181" t="s">
        <v>5785</v>
      </c>
      <c r="C5181" t="s">
        <v>6956</v>
      </c>
      <c r="D5181" s="1">
        <v>45226</v>
      </c>
      <c r="E5181" s="1">
        <v>45233</v>
      </c>
      <c r="F5181" s="1">
        <v>45234</v>
      </c>
      <c r="G5181">
        <v>32.53</v>
      </c>
      <c r="H51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81" t="str">
        <f>IFERROR(INDEX(Raw_orders!G:G, MATCH(shipments[[#This Row],[order_id]],Raw_orders!A:A, 0)), "Unknown")</f>
        <v>Nordics</v>
      </c>
      <c r="J5181" t="str">
        <f>PROPER(shipments[[#This Row],[delivery_status]])</f>
        <v>Delivered</v>
      </c>
      <c r="K5181" t="s">
        <v>6926</v>
      </c>
    </row>
    <row r="5182" spans="1:11">
      <c r="A5182" t="s">
        <v>12118</v>
      </c>
      <c r="B5182" t="s">
        <v>5786</v>
      </c>
      <c r="C5182" t="s">
        <v>6925</v>
      </c>
      <c r="D5182" s="1">
        <v>45071</v>
      </c>
      <c r="E5182" s="1">
        <v>45078</v>
      </c>
      <c r="F5182" s="1">
        <v>45077</v>
      </c>
      <c r="G5182">
        <v>58.54</v>
      </c>
      <c r="H51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182" t="str">
        <f>IFERROR(INDEX(Raw_orders!G:G, MATCH(shipments[[#This Row],[order_id]],Raw_orders!A:A, 0)), "Unknown")</f>
        <v>Baltics</v>
      </c>
      <c r="J5182" t="str">
        <f>PROPER(shipments[[#This Row],[delivery_status]])</f>
        <v>Delivered</v>
      </c>
      <c r="K5182" t="s">
        <v>6929</v>
      </c>
    </row>
    <row r="5183" spans="1:11">
      <c r="A5183" t="s">
        <v>12119</v>
      </c>
      <c r="B5183" t="s">
        <v>5787</v>
      </c>
      <c r="C5183" t="s">
        <v>6938</v>
      </c>
      <c r="D5183" s="1">
        <v>45391</v>
      </c>
      <c r="E5183" s="1">
        <v>45398</v>
      </c>
      <c r="F5183" s="1">
        <v>45406</v>
      </c>
      <c r="G5183">
        <v>46.9</v>
      </c>
      <c r="H51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83" t="str">
        <f>IFERROR(INDEX(Raw_orders!G:G, MATCH(shipments[[#This Row],[order_id]],Raw_orders!A:A, 0)), "Unknown")</f>
        <v>Central Europe</v>
      </c>
      <c r="J5183" t="str">
        <f>PROPER(shipments[[#This Row],[delivery_status]])</f>
        <v>Delivered</v>
      </c>
      <c r="K5183" t="s">
        <v>6926</v>
      </c>
    </row>
    <row r="5184" spans="1:11">
      <c r="A5184" t="s">
        <v>12120</v>
      </c>
      <c r="B5184" t="s">
        <v>5788</v>
      </c>
      <c r="C5184" t="s">
        <v>6921</v>
      </c>
      <c r="D5184" s="1">
        <v>45139</v>
      </c>
      <c r="E5184" s="1">
        <v>45149</v>
      </c>
      <c r="F5184" s="1">
        <v>45154</v>
      </c>
      <c r="G5184">
        <v>55.16</v>
      </c>
      <c r="H51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84" t="str">
        <f>IFERROR(INDEX(Raw_orders!G:G, MATCH(shipments[[#This Row],[order_id]],Raw_orders!A:A, 0)), "Unknown")</f>
        <v>Nordics</v>
      </c>
      <c r="J5184" t="str">
        <f>PROPER(shipments[[#This Row],[delivery_status]])</f>
        <v>Delivered</v>
      </c>
      <c r="K5184" t="s">
        <v>6922</v>
      </c>
    </row>
    <row r="5185" spans="1:11">
      <c r="A5185" t="s">
        <v>12121</v>
      </c>
      <c r="B5185" t="s">
        <v>5789</v>
      </c>
      <c r="C5185" t="s">
        <v>6928</v>
      </c>
      <c r="D5185" s="1">
        <v>45373</v>
      </c>
      <c r="E5185" s="1">
        <v>45375</v>
      </c>
      <c r="F5185" s="1">
        <v>45380</v>
      </c>
      <c r="G5185">
        <v>53.47</v>
      </c>
      <c r="H51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85" t="str">
        <f>IFERROR(INDEX(Raw_orders!G:G, MATCH(shipments[[#This Row],[order_id]],Raw_orders!A:A, 0)), "Unknown")</f>
        <v>Nordics</v>
      </c>
      <c r="J5185" t="str">
        <f>PROPER(shipments[[#This Row],[delivery_status]])</f>
        <v>Delivered</v>
      </c>
      <c r="K5185" t="s">
        <v>6929</v>
      </c>
    </row>
    <row r="5186" spans="1:11">
      <c r="A5186" t="s">
        <v>12122</v>
      </c>
      <c r="B5186" t="s">
        <v>5790</v>
      </c>
      <c r="C5186" t="s">
        <v>6935</v>
      </c>
      <c r="D5186" s="1">
        <v>45438</v>
      </c>
      <c r="E5186" s="1">
        <v>45445</v>
      </c>
      <c r="F5186" s="1">
        <v>45446</v>
      </c>
      <c r="G5186">
        <v>58.67</v>
      </c>
      <c r="H51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86" t="str">
        <f>IFERROR(INDEX(Raw_orders!G:G, MATCH(shipments[[#This Row],[order_id]],Raw_orders!A:A, 0)), "Unknown")</f>
        <v>Central Europe</v>
      </c>
      <c r="J5186" t="str">
        <f>PROPER(shipments[[#This Row],[delivery_status]])</f>
        <v>Delivered</v>
      </c>
      <c r="K5186" t="s">
        <v>6926</v>
      </c>
    </row>
    <row r="5187" spans="1:11">
      <c r="A5187" t="s">
        <v>12123</v>
      </c>
      <c r="B5187" t="s">
        <v>5791</v>
      </c>
      <c r="C5187" t="s">
        <v>6938</v>
      </c>
      <c r="D5187" s="1">
        <v>45036</v>
      </c>
      <c r="E5187" s="1">
        <v>45038</v>
      </c>
      <c r="F5187" s="1">
        <v>45043</v>
      </c>
      <c r="G5187">
        <v>23</v>
      </c>
      <c r="H51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87" t="str">
        <f>IFERROR(INDEX(Raw_orders!G:G, MATCH(shipments[[#This Row],[order_id]],Raw_orders!A:A, 0)), "Unknown")</f>
        <v>Central Europe</v>
      </c>
      <c r="J5187" t="str">
        <f>PROPER(shipments[[#This Row],[delivery_status]])</f>
        <v>Delivered</v>
      </c>
      <c r="K5187" t="s">
        <v>6922</v>
      </c>
    </row>
    <row r="5188" spans="1:11">
      <c r="A5188" t="s">
        <v>12124</v>
      </c>
      <c r="B5188" t="s">
        <v>5792</v>
      </c>
      <c r="C5188" t="s">
        <v>6925</v>
      </c>
      <c r="D5188" s="1">
        <v>45524</v>
      </c>
      <c r="E5188" s="1">
        <v>45534</v>
      </c>
      <c r="F5188" s="1">
        <v>45535</v>
      </c>
      <c r="G5188">
        <v>24.42</v>
      </c>
      <c r="H51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88" t="str">
        <f>IFERROR(INDEX(Raw_orders!G:G, MATCH(shipments[[#This Row],[order_id]],Raw_orders!A:A, 0)), "Unknown")</f>
        <v>Nordics</v>
      </c>
      <c r="J5188" t="str">
        <f>PROPER(shipments[[#This Row],[delivery_status]])</f>
        <v>Delivered</v>
      </c>
      <c r="K5188" t="s">
        <v>6926</v>
      </c>
    </row>
    <row r="5189" spans="1:11">
      <c r="A5189" t="s">
        <v>12125</v>
      </c>
      <c r="B5189" t="s">
        <v>5793</v>
      </c>
      <c r="C5189" t="s">
        <v>6949</v>
      </c>
      <c r="D5189" s="1">
        <v>45138</v>
      </c>
      <c r="E5189" s="1">
        <v>45140</v>
      </c>
      <c r="F5189" s="1"/>
      <c r="G5189">
        <v>17.399999999999999</v>
      </c>
      <c r="H51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189" t="str">
        <f>IFERROR(INDEX(Raw_orders!G:G, MATCH(shipments[[#This Row],[order_id]],Raw_orders!A:A, 0)), "Unknown")</f>
        <v>Central Europe</v>
      </c>
      <c r="J5189" t="str">
        <f>PROPER(shipments[[#This Row],[delivery_status]])</f>
        <v>Cancelled</v>
      </c>
      <c r="K5189" t="s">
        <v>6979</v>
      </c>
    </row>
    <row r="5190" spans="1:11">
      <c r="A5190" t="s">
        <v>12126</v>
      </c>
      <c r="B5190" t="s">
        <v>5794</v>
      </c>
      <c r="C5190" t="s">
        <v>6938</v>
      </c>
      <c r="D5190" s="1">
        <v>45057</v>
      </c>
      <c r="E5190" s="1">
        <v>45064</v>
      </c>
      <c r="F5190" s="1">
        <v>45072</v>
      </c>
      <c r="G5190">
        <v>23.11</v>
      </c>
      <c r="H51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90" t="str">
        <f>IFERROR(INDEX(Raw_orders!G:G, MATCH(shipments[[#This Row],[order_id]],Raw_orders!A:A, 0)), "Unknown")</f>
        <v>Baltics</v>
      </c>
      <c r="J5190" t="str">
        <f>PROPER(shipments[[#This Row],[delivery_status]])</f>
        <v>Delivered</v>
      </c>
      <c r="K5190" t="s">
        <v>6929</v>
      </c>
    </row>
    <row r="5191" spans="1:11">
      <c r="A5191" t="s">
        <v>12127</v>
      </c>
      <c r="B5191" t="s">
        <v>5795</v>
      </c>
      <c r="C5191" t="s">
        <v>6956</v>
      </c>
      <c r="D5191" s="1">
        <v>44980</v>
      </c>
      <c r="E5191" s="1">
        <v>44983</v>
      </c>
      <c r="F5191" s="1">
        <v>44984</v>
      </c>
      <c r="G5191">
        <v>6.89</v>
      </c>
      <c r="H51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91" t="str">
        <f>IFERROR(INDEX(Raw_orders!G:G, MATCH(shipments[[#This Row],[order_id]],Raw_orders!A:A, 0)), "Unknown")</f>
        <v>Baltics</v>
      </c>
      <c r="J5191" t="str">
        <f>PROPER(shipments[[#This Row],[delivery_status]])</f>
        <v>Delivered</v>
      </c>
      <c r="K5191" t="s">
        <v>6929</v>
      </c>
    </row>
    <row r="5192" spans="1:11">
      <c r="A5192" t="s">
        <v>12128</v>
      </c>
      <c r="B5192" t="s">
        <v>5796</v>
      </c>
      <c r="C5192" t="s">
        <v>6956</v>
      </c>
      <c r="D5192" s="1">
        <v>45283</v>
      </c>
      <c r="E5192" s="1">
        <v>45290</v>
      </c>
      <c r="F5192" s="1">
        <v>45297</v>
      </c>
      <c r="G5192">
        <v>8.61</v>
      </c>
      <c r="H51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92" t="str">
        <f>IFERROR(INDEX(Raw_orders!G:G, MATCH(shipments[[#This Row],[order_id]],Raw_orders!A:A, 0)), "Unknown")</f>
        <v>Central Europe</v>
      </c>
      <c r="J5192" t="str">
        <f>PROPER(shipments[[#This Row],[delivery_status]])</f>
        <v>Delivered</v>
      </c>
      <c r="K5192" t="s">
        <v>6922</v>
      </c>
    </row>
    <row r="5193" spans="1:11">
      <c r="A5193" t="s">
        <v>12129</v>
      </c>
      <c r="B5193" t="s">
        <v>5797</v>
      </c>
      <c r="C5193" t="s">
        <v>6921</v>
      </c>
      <c r="D5193" s="1">
        <v>45561</v>
      </c>
      <c r="E5193" s="1">
        <v>45566</v>
      </c>
      <c r="F5193" s="1">
        <v>45566</v>
      </c>
      <c r="H51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193" t="str">
        <f>IFERROR(INDEX(Raw_orders!G:G, MATCH(shipments[[#This Row],[order_id]],Raw_orders!A:A, 0)), "Unknown")</f>
        <v>Nordics</v>
      </c>
      <c r="J5193" t="str">
        <f>PROPER(shipments[[#This Row],[delivery_status]])</f>
        <v>Delivered</v>
      </c>
      <c r="K5193" t="s">
        <v>6926</v>
      </c>
    </row>
    <row r="5194" spans="1:11">
      <c r="A5194" t="s">
        <v>12130</v>
      </c>
      <c r="B5194" t="s">
        <v>5798</v>
      </c>
      <c r="C5194" t="s">
        <v>6921</v>
      </c>
      <c r="D5194" s="1">
        <v>45258</v>
      </c>
      <c r="E5194" s="1">
        <v>45268</v>
      </c>
      <c r="F5194" s="1">
        <v>45270</v>
      </c>
      <c r="G5194">
        <v>55.53</v>
      </c>
      <c r="H51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94" t="str">
        <f>IFERROR(INDEX(Raw_orders!G:G, MATCH(shipments[[#This Row],[order_id]],Raw_orders!A:A, 0)), "Unknown")</f>
        <v>Central Europe</v>
      </c>
      <c r="J5194" t="str">
        <f>PROPER(shipments[[#This Row],[delivery_status]])</f>
        <v>Delivered</v>
      </c>
      <c r="K5194" t="s">
        <v>6926</v>
      </c>
    </row>
    <row r="5195" spans="1:11">
      <c r="A5195" t="s">
        <v>12131</v>
      </c>
      <c r="B5195" t="s">
        <v>5799</v>
      </c>
      <c r="C5195" t="s">
        <v>6931</v>
      </c>
      <c r="D5195" s="1">
        <v>45277</v>
      </c>
      <c r="E5195" s="1">
        <v>45279</v>
      </c>
      <c r="F5195" s="1">
        <v>45279</v>
      </c>
      <c r="G5195">
        <v>12.36</v>
      </c>
      <c r="H51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195" t="str">
        <f>IFERROR(INDEX(Raw_orders!G:G, MATCH(shipments[[#This Row],[order_id]],Raw_orders!A:A, 0)), "Unknown")</f>
        <v>Baltics</v>
      </c>
      <c r="J5195" t="str">
        <f>PROPER(shipments[[#This Row],[delivery_status]])</f>
        <v>Delivered</v>
      </c>
      <c r="K5195" t="s">
        <v>6926</v>
      </c>
    </row>
    <row r="5196" spans="1:11">
      <c r="A5196" t="s">
        <v>12132</v>
      </c>
      <c r="B5196" t="s">
        <v>5800</v>
      </c>
      <c r="C5196" t="s">
        <v>6938</v>
      </c>
      <c r="D5196" s="1">
        <v>45341</v>
      </c>
      <c r="E5196" s="1">
        <v>45344</v>
      </c>
      <c r="F5196" s="1"/>
      <c r="G5196">
        <v>59.42</v>
      </c>
      <c r="H51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196" t="str">
        <f>IFERROR(INDEX(Raw_orders!G:G, MATCH(shipments[[#This Row],[order_id]],Raw_orders!A:A, 0)), "Unknown")</f>
        <v>Central Europe</v>
      </c>
      <c r="J5196" t="str">
        <f>PROPER(shipments[[#This Row],[delivery_status]])</f>
        <v>In Transit</v>
      </c>
      <c r="K5196" t="s">
        <v>6958</v>
      </c>
    </row>
    <row r="5197" spans="1:11">
      <c r="A5197" t="s">
        <v>12133</v>
      </c>
      <c r="B5197" t="s">
        <v>5801</v>
      </c>
      <c r="C5197" t="s">
        <v>6928</v>
      </c>
      <c r="D5197" s="1">
        <v>44963</v>
      </c>
      <c r="E5197" s="1">
        <v>44965</v>
      </c>
      <c r="F5197" s="1">
        <v>44967</v>
      </c>
      <c r="G5197">
        <v>33.57</v>
      </c>
      <c r="H51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97" t="str">
        <f>IFERROR(INDEX(Raw_orders!G:G, MATCH(shipments[[#This Row],[order_id]],Raw_orders!A:A, 0)), "Unknown")</f>
        <v>Baltics</v>
      </c>
      <c r="J5197" t="str">
        <f>PROPER(shipments[[#This Row],[delivery_status]])</f>
        <v>Delivered</v>
      </c>
      <c r="K5197" t="s">
        <v>6929</v>
      </c>
    </row>
    <row r="5198" spans="1:11">
      <c r="A5198" t="s">
        <v>12134</v>
      </c>
      <c r="B5198" t="s">
        <v>5802</v>
      </c>
      <c r="C5198" t="s">
        <v>6928</v>
      </c>
      <c r="D5198" s="1">
        <v>45399</v>
      </c>
      <c r="E5198" s="1">
        <v>45406</v>
      </c>
      <c r="F5198" s="1">
        <v>45406</v>
      </c>
      <c r="G5198">
        <v>61.17</v>
      </c>
      <c r="H51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198" t="str">
        <f>IFERROR(INDEX(Raw_orders!G:G, MATCH(shipments[[#This Row],[order_id]],Raw_orders!A:A, 0)), "Unknown")</f>
        <v>Baltics</v>
      </c>
      <c r="J5198" t="str">
        <f>PROPER(shipments[[#This Row],[delivery_status]])</f>
        <v>Delivered</v>
      </c>
      <c r="K5198" t="s">
        <v>6929</v>
      </c>
    </row>
    <row r="5199" spans="1:11">
      <c r="A5199" t="s">
        <v>12135</v>
      </c>
      <c r="B5199" t="s">
        <v>5803</v>
      </c>
      <c r="C5199" t="s">
        <v>6938</v>
      </c>
      <c r="D5199" s="1">
        <v>45572</v>
      </c>
      <c r="E5199" s="1">
        <v>45582</v>
      </c>
      <c r="F5199" s="1">
        <v>45589</v>
      </c>
      <c r="G5199">
        <v>27.85</v>
      </c>
      <c r="H51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199" t="str">
        <f>IFERROR(INDEX(Raw_orders!G:G, MATCH(shipments[[#This Row],[order_id]],Raw_orders!A:A, 0)), "Unknown")</f>
        <v>Baltics</v>
      </c>
      <c r="J5199" t="str">
        <f>PROPER(shipments[[#This Row],[delivery_status]])</f>
        <v>Delivered</v>
      </c>
      <c r="K5199" t="s">
        <v>6926</v>
      </c>
    </row>
    <row r="5200" spans="1:11">
      <c r="A5200" t="s">
        <v>12136</v>
      </c>
      <c r="B5200" t="s">
        <v>5804</v>
      </c>
      <c r="C5200" t="s">
        <v>6925</v>
      </c>
      <c r="D5200" s="1">
        <v>45457</v>
      </c>
      <c r="E5200" s="1">
        <v>45460</v>
      </c>
      <c r="F5200" s="1"/>
      <c r="G5200">
        <v>29.36</v>
      </c>
      <c r="H52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200" t="str">
        <f>IFERROR(INDEX(Raw_orders!G:G, MATCH(shipments[[#This Row],[order_id]],Raw_orders!A:A, 0)), "Unknown")</f>
        <v>Baltics</v>
      </c>
      <c r="J5200" t="str">
        <f>PROPER(shipments[[#This Row],[delivery_status]])</f>
        <v>Cancelled</v>
      </c>
      <c r="K5200" t="s">
        <v>6979</v>
      </c>
    </row>
    <row r="5201" spans="1:11">
      <c r="A5201" t="s">
        <v>12137</v>
      </c>
      <c r="B5201" t="s">
        <v>5805</v>
      </c>
      <c r="C5201" t="s">
        <v>6956</v>
      </c>
      <c r="D5201" s="1">
        <v>45488</v>
      </c>
      <c r="E5201" s="1">
        <v>45495</v>
      </c>
      <c r="F5201" s="1">
        <v>45497</v>
      </c>
      <c r="G5201">
        <v>34.22</v>
      </c>
      <c r="H52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01" t="str">
        <f>IFERROR(INDEX(Raw_orders!G:G, MATCH(shipments[[#This Row],[order_id]],Raw_orders!A:A, 0)), "Unknown")</f>
        <v>Nordics</v>
      </c>
      <c r="J5201" t="str">
        <f>PROPER(shipments[[#This Row],[delivery_status]])</f>
        <v>Delivered</v>
      </c>
      <c r="K5201" t="s">
        <v>6926</v>
      </c>
    </row>
    <row r="5202" spans="1:11">
      <c r="A5202" t="s">
        <v>12138</v>
      </c>
      <c r="B5202" t="s">
        <v>5806</v>
      </c>
      <c r="C5202" t="s">
        <v>6940</v>
      </c>
      <c r="D5202" s="1">
        <v>44978</v>
      </c>
      <c r="E5202" s="1">
        <v>44980</v>
      </c>
      <c r="F5202" s="1">
        <v>44980</v>
      </c>
      <c r="G5202">
        <v>14.48</v>
      </c>
      <c r="H52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202" t="str">
        <f>IFERROR(INDEX(Raw_orders!G:G, MATCH(shipments[[#This Row],[order_id]],Raw_orders!A:A, 0)), "Unknown")</f>
        <v>Central Europe</v>
      </c>
      <c r="J5202" t="str">
        <f>PROPER(shipments[[#This Row],[delivery_status]])</f>
        <v>Delivered</v>
      </c>
      <c r="K5202" t="s">
        <v>6926</v>
      </c>
    </row>
    <row r="5203" spans="1:11">
      <c r="A5203" t="s">
        <v>12139</v>
      </c>
      <c r="B5203" t="s">
        <v>5807</v>
      </c>
      <c r="C5203" t="s">
        <v>6935</v>
      </c>
      <c r="D5203" s="1">
        <v>45225</v>
      </c>
      <c r="E5203" s="1">
        <v>45232</v>
      </c>
      <c r="F5203" s="1">
        <v>45233</v>
      </c>
      <c r="G5203">
        <v>11.01</v>
      </c>
      <c r="H52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03" t="str">
        <f>IFERROR(INDEX(Raw_orders!G:G, MATCH(shipments[[#This Row],[order_id]],Raw_orders!A:A, 0)), "Unknown")</f>
        <v>Baltics</v>
      </c>
      <c r="J5203" t="str">
        <f>PROPER(shipments[[#This Row],[delivery_status]])</f>
        <v>Delivered</v>
      </c>
      <c r="K5203" t="s">
        <v>6929</v>
      </c>
    </row>
    <row r="5204" spans="1:11">
      <c r="A5204" t="s">
        <v>12140</v>
      </c>
      <c r="B5204" t="s">
        <v>5808</v>
      </c>
      <c r="C5204" t="s">
        <v>6935</v>
      </c>
      <c r="D5204" s="1">
        <v>45560</v>
      </c>
      <c r="E5204" s="1">
        <v>45565</v>
      </c>
      <c r="F5204" s="1">
        <v>45569</v>
      </c>
      <c r="G5204">
        <v>13.58</v>
      </c>
      <c r="H52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04" t="str">
        <f>IFERROR(INDEX(Raw_orders!G:G, MATCH(shipments[[#This Row],[order_id]],Raw_orders!A:A, 0)), "Unknown")</f>
        <v>Nordics</v>
      </c>
      <c r="J5204" t="str">
        <f>PROPER(shipments[[#This Row],[delivery_status]])</f>
        <v>Delivered</v>
      </c>
      <c r="K5204" t="s">
        <v>6929</v>
      </c>
    </row>
    <row r="5205" spans="1:11">
      <c r="A5205" t="s">
        <v>12141</v>
      </c>
      <c r="B5205" t="s">
        <v>5809</v>
      </c>
      <c r="C5205" t="s">
        <v>6940</v>
      </c>
      <c r="D5205" s="1">
        <v>45165</v>
      </c>
      <c r="E5205" s="1">
        <v>45172</v>
      </c>
      <c r="F5205" s="1"/>
      <c r="G5205">
        <v>6.29</v>
      </c>
      <c r="H52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205" t="str">
        <f>IFERROR(INDEX(Raw_orders!G:G, MATCH(shipments[[#This Row],[order_id]],Raw_orders!A:A, 0)), "Unknown")</f>
        <v>Central Europe</v>
      </c>
      <c r="J5205" t="str">
        <f>PROPER(shipments[[#This Row],[delivery_status]])</f>
        <v>In Transit</v>
      </c>
      <c r="K5205" t="s">
        <v>6977</v>
      </c>
    </row>
    <row r="5206" spans="1:11">
      <c r="A5206" t="s">
        <v>12142</v>
      </c>
      <c r="B5206" t="s">
        <v>5810</v>
      </c>
      <c r="C5206" t="s">
        <v>6921</v>
      </c>
      <c r="D5206" s="1">
        <v>45477</v>
      </c>
      <c r="E5206" s="1">
        <v>45484</v>
      </c>
      <c r="F5206" s="1">
        <v>45485</v>
      </c>
      <c r="G5206">
        <v>54.51</v>
      </c>
      <c r="H52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06" t="str">
        <f>IFERROR(INDEX(Raw_orders!G:G, MATCH(shipments[[#This Row],[order_id]],Raw_orders!A:A, 0)), "Unknown")</f>
        <v>Baltics</v>
      </c>
      <c r="J5206" t="str">
        <f>PROPER(shipments[[#This Row],[delivery_status]])</f>
        <v>Delivered</v>
      </c>
      <c r="K5206" t="s">
        <v>6929</v>
      </c>
    </row>
    <row r="5207" spans="1:11">
      <c r="A5207" t="s">
        <v>12143</v>
      </c>
      <c r="B5207" t="s">
        <v>5811</v>
      </c>
      <c r="C5207" t="s">
        <v>6938</v>
      </c>
      <c r="D5207" s="1">
        <v>45265</v>
      </c>
      <c r="E5207" s="1">
        <v>45270</v>
      </c>
      <c r="F5207" s="1">
        <v>45270</v>
      </c>
      <c r="G5207">
        <v>6.91</v>
      </c>
      <c r="H52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207" t="str">
        <f>IFERROR(INDEX(Raw_orders!G:G, MATCH(shipments[[#This Row],[order_id]],Raw_orders!A:A, 0)), "Unknown")</f>
        <v>Nordics</v>
      </c>
      <c r="J5207" t="str">
        <f>PROPER(shipments[[#This Row],[delivery_status]])</f>
        <v>Delivered</v>
      </c>
      <c r="K5207" t="s">
        <v>6922</v>
      </c>
    </row>
    <row r="5208" spans="1:11">
      <c r="A5208" t="s">
        <v>12144</v>
      </c>
      <c r="B5208" t="s">
        <v>5812</v>
      </c>
      <c r="C5208" t="s">
        <v>6940</v>
      </c>
      <c r="D5208" s="1">
        <v>45382</v>
      </c>
      <c r="E5208" s="1">
        <v>45385</v>
      </c>
      <c r="F5208" s="1"/>
      <c r="G5208">
        <v>20.71</v>
      </c>
      <c r="H52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208" t="str">
        <f>IFERROR(INDEX(Raw_orders!G:G, MATCH(shipments[[#This Row],[order_id]],Raw_orders!A:A, 0)), "Unknown")</f>
        <v>Nordics</v>
      </c>
      <c r="J5208" t="str">
        <f>PROPER(shipments[[#This Row],[delivery_status]])</f>
        <v>In Transit</v>
      </c>
      <c r="K5208" t="s">
        <v>6977</v>
      </c>
    </row>
    <row r="5209" spans="1:11">
      <c r="A5209" t="s">
        <v>12145</v>
      </c>
      <c r="B5209" t="s">
        <v>5813</v>
      </c>
      <c r="C5209" t="s">
        <v>6935</v>
      </c>
      <c r="D5209" s="1">
        <v>45491</v>
      </c>
      <c r="E5209" s="1">
        <v>45496</v>
      </c>
      <c r="F5209" s="1">
        <v>45498</v>
      </c>
      <c r="G5209">
        <v>48.59</v>
      </c>
      <c r="H52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09" t="str">
        <f>IFERROR(INDEX(Raw_orders!G:G, MATCH(shipments[[#This Row],[order_id]],Raw_orders!A:A, 0)), "Unknown")</f>
        <v>Baltics</v>
      </c>
      <c r="J5209" t="str">
        <f>PROPER(shipments[[#This Row],[delivery_status]])</f>
        <v>Delivered</v>
      </c>
      <c r="K5209" t="s">
        <v>6922</v>
      </c>
    </row>
    <row r="5210" spans="1:11">
      <c r="A5210" t="s">
        <v>12146</v>
      </c>
      <c r="B5210" t="s">
        <v>5814</v>
      </c>
      <c r="C5210" t="s">
        <v>6940</v>
      </c>
      <c r="D5210" s="1">
        <v>45259</v>
      </c>
      <c r="E5210" s="1">
        <v>45266</v>
      </c>
      <c r="F5210" s="1"/>
      <c r="G5210">
        <v>13.95</v>
      </c>
      <c r="H52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210" t="str">
        <f>IFERROR(INDEX(Raw_orders!G:G, MATCH(shipments[[#This Row],[order_id]],Raw_orders!A:A, 0)), "Unknown")</f>
        <v>Nordics</v>
      </c>
      <c r="J5210" t="str">
        <f>PROPER(shipments[[#This Row],[delivery_status]])</f>
        <v>In Transit</v>
      </c>
      <c r="K5210" t="s">
        <v>6977</v>
      </c>
    </row>
    <row r="5211" spans="1:11">
      <c r="A5211" t="s">
        <v>12147</v>
      </c>
      <c r="B5211" t="s">
        <v>5815</v>
      </c>
      <c r="C5211" t="s">
        <v>6925</v>
      </c>
      <c r="D5211" s="1">
        <v>45322</v>
      </c>
      <c r="E5211" s="1">
        <v>45325</v>
      </c>
      <c r="F5211" s="1">
        <v>45326</v>
      </c>
      <c r="G5211">
        <v>32.39</v>
      </c>
      <c r="H52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11" t="str">
        <f>IFERROR(INDEX(Raw_orders!G:G, MATCH(shipments[[#This Row],[order_id]],Raw_orders!A:A, 0)), "Unknown")</f>
        <v>Baltics</v>
      </c>
      <c r="J5211" t="str">
        <f>PROPER(shipments[[#This Row],[delivery_status]])</f>
        <v>Delivered</v>
      </c>
      <c r="K5211" t="s">
        <v>6926</v>
      </c>
    </row>
    <row r="5212" spans="1:11">
      <c r="A5212" t="s">
        <v>12148</v>
      </c>
      <c r="B5212" t="s">
        <v>5816</v>
      </c>
      <c r="C5212" t="s">
        <v>6935</v>
      </c>
      <c r="D5212" s="1">
        <v>44980</v>
      </c>
      <c r="E5212" s="1">
        <v>44990</v>
      </c>
      <c r="F5212" s="1">
        <v>45003</v>
      </c>
      <c r="G5212">
        <v>4.9000000000000004</v>
      </c>
      <c r="H52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12" t="str">
        <f>IFERROR(INDEX(Raw_orders!G:G, MATCH(shipments[[#This Row],[order_id]],Raw_orders!A:A, 0)), "Unknown")</f>
        <v>Central Europe</v>
      </c>
      <c r="J5212" t="str">
        <f>PROPER(shipments[[#This Row],[delivery_status]])</f>
        <v>Delivered</v>
      </c>
      <c r="K5212" t="s">
        <v>6926</v>
      </c>
    </row>
    <row r="5213" spans="1:11">
      <c r="A5213" t="s">
        <v>12149</v>
      </c>
      <c r="B5213" t="s">
        <v>5817</v>
      </c>
      <c r="C5213" t="s">
        <v>6928</v>
      </c>
      <c r="D5213" s="1">
        <v>44995</v>
      </c>
      <c r="E5213" s="1">
        <v>45005</v>
      </c>
      <c r="F5213" s="1"/>
      <c r="G5213">
        <v>52.69</v>
      </c>
      <c r="H52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213" t="str">
        <f>IFERROR(INDEX(Raw_orders!G:G, MATCH(shipments[[#This Row],[order_id]],Raw_orders!A:A, 0)), "Unknown")</f>
        <v>Nordics</v>
      </c>
      <c r="J5213" t="str">
        <f>PROPER(shipments[[#This Row],[delivery_status]])</f>
        <v>In Transit</v>
      </c>
      <c r="K5213" t="s">
        <v>6958</v>
      </c>
    </row>
    <row r="5214" spans="1:11">
      <c r="A5214" t="s">
        <v>12150</v>
      </c>
      <c r="B5214" t="s">
        <v>5818</v>
      </c>
      <c r="C5214" t="s">
        <v>6956</v>
      </c>
      <c r="D5214" s="1">
        <v>45197</v>
      </c>
      <c r="E5214" s="1">
        <v>45200</v>
      </c>
      <c r="F5214" s="1"/>
      <c r="G5214">
        <v>53.44</v>
      </c>
      <c r="H52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214" t="str">
        <f>IFERROR(INDEX(Raw_orders!G:G, MATCH(shipments[[#This Row],[order_id]],Raw_orders!A:A, 0)), "Unknown")</f>
        <v>Nordics</v>
      </c>
      <c r="J5214" t="str">
        <f>PROPER(shipments[[#This Row],[delivery_status]])</f>
        <v>In Transit</v>
      </c>
      <c r="K5214" t="s">
        <v>6977</v>
      </c>
    </row>
    <row r="5215" spans="1:11">
      <c r="A5215" t="s">
        <v>12151</v>
      </c>
      <c r="B5215" t="s">
        <v>5819</v>
      </c>
      <c r="C5215" t="s">
        <v>6928</v>
      </c>
      <c r="D5215" s="1">
        <v>45082</v>
      </c>
      <c r="E5215" s="1">
        <v>45087</v>
      </c>
      <c r="F5215" s="1">
        <v>45087</v>
      </c>
      <c r="G5215">
        <v>43.37</v>
      </c>
      <c r="H52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215" t="str">
        <f>IFERROR(INDEX(Raw_orders!G:G, MATCH(shipments[[#This Row],[order_id]],Raw_orders!A:A, 0)), "Unknown")</f>
        <v>Baltics</v>
      </c>
      <c r="J5215" t="str">
        <f>PROPER(shipments[[#This Row],[delivery_status]])</f>
        <v>Delivered</v>
      </c>
      <c r="K5215" t="s">
        <v>6922</v>
      </c>
    </row>
    <row r="5216" spans="1:11">
      <c r="A5216" t="s">
        <v>12152</v>
      </c>
      <c r="B5216" t="s">
        <v>5820</v>
      </c>
      <c r="C5216" t="s">
        <v>6928</v>
      </c>
      <c r="D5216" s="1">
        <v>45627</v>
      </c>
      <c r="E5216" s="1">
        <v>45629</v>
      </c>
      <c r="F5216" s="1">
        <v>45634</v>
      </c>
      <c r="G5216">
        <v>28.15</v>
      </c>
      <c r="H52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16" t="str">
        <f>IFERROR(INDEX(Raw_orders!G:G, MATCH(shipments[[#This Row],[order_id]],Raw_orders!A:A, 0)), "Unknown")</f>
        <v>Central Europe</v>
      </c>
      <c r="J5216" t="str">
        <f>PROPER(shipments[[#This Row],[delivery_status]])</f>
        <v>Delivered</v>
      </c>
      <c r="K5216" t="s">
        <v>6926</v>
      </c>
    </row>
    <row r="5217" spans="1:11">
      <c r="A5217" t="s">
        <v>12153</v>
      </c>
      <c r="B5217" t="s">
        <v>5821</v>
      </c>
      <c r="C5217" t="s">
        <v>6931</v>
      </c>
      <c r="D5217" s="1">
        <v>45052</v>
      </c>
      <c r="E5217" s="1">
        <v>45054</v>
      </c>
      <c r="F5217" s="1">
        <v>45062</v>
      </c>
      <c r="G5217">
        <v>55.48</v>
      </c>
      <c r="H52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17" t="str">
        <f>IFERROR(INDEX(Raw_orders!G:G, MATCH(shipments[[#This Row],[order_id]],Raw_orders!A:A, 0)), "Unknown")</f>
        <v>Central Europe</v>
      </c>
      <c r="J5217" t="str">
        <f>PROPER(shipments[[#This Row],[delivery_status]])</f>
        <v>Delivered</v>
      </c>
      <c r="K5217" t="s">
        <v>6922</v>
      </c>
    </row>
    <row r="5218" spans="1:11">
      <c r="A5218" t="s">
        <v>12154</v>
      </c>
      <c r="B5218" t="s">
        <v>5822</v>
      </c>
      <c r="C5218" t="s">
        <v>6938</v>
      </c>
      <c r="D5218" s="1">
        <v>45349</v>
      </c>
      <c r="E5218" s="1">
        <v>45351</v>
      </c>
      <c r="F5218" s="1">
        <v>45359</v>
      </c>
      <c r="G5218">
        <v>50.4</v>
      </c>
      <c r="H52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18" t="str">
        <f>IFERROR(INDEX(Raw_orders!G:G, MATCH(shipments[[#This Row],[order_id]],Raw_orders!A:A, 0)), "Unknown")</f>
        <v>Central Europe</v>
      </c>
      <c r="J5218" t="str">
        <f>PROPER(shipments[[#This Row],[delivery_status]])</f>
        <v>Delivered</v>
      </c>
      <c r="K5218" t="s">
        <v>6926</v>
      </c>
    </row>
    <row r="5219" spans="1:11">
      <c r="A5219" t="s">
        <v>12155</v>
      </c>
      <c r="B5219" t="s">
        <v>5823</v>
      </c>
      <c r="C5219" t="s">
        <v>6931</v>
      </c>
      <c r="D5219" s="1">
        <v>45200</v>
      </c>
      <c r="E5219" s="1">
        <v>45202</v>
      </c>
      <c r="F5219" s="1">
        <v>45210</v>
      </c>
      <c r="G5219">
        <v>5.1100000000000003</v>
      </c>
      <c r="H52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19" t="str">
        <f>IFERROR(INDEX(Raw_orders!G:G, MATCH(shipments[[#This Row],[order_id]],Raw_orders!A:A, 0)), "Unknown")</f>
        <v>Nordics</v>
      </c>
      <c r="J5219" t="str">
        <f>PROPER(shipments[[#This Row],[delivery_status]])</f>
        <v>Delivered</v>
      </c>
      <c r="K5219" t="s">
        <v>6926</v>
      </c>
    </row>
    <row r="5220" spans="1:11">
      <c r="A5220" t="s">
        <v>12156</v>
      </c>
      <c r="B5220" t="s">
        <v>5824</v>
      </c>
      <c r="C5220" t="s">
        <v>6956</v>
      </c>
      <c r="D5220" s="1">
        <v>45619</v>
      </c>
      <c r="E5220" s="1">
        <v>45624</v>
      </c>
      <c r="F5220" s="1"/>
      <c r="G5220">
        <v>27.71</v>
      </c>
      <c r="H52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220" t="str">
        <f>IFERROR(INDEX(Raw_orders!G:G, MATCH(shipments[[#This Row],[order_id]],Raw_orders!A:A, 0)), "Unknown")</f>
        <v>Baltics</v>
      </c>
      <c r="J5220" t="str">
        <f>PROPER(shipments[[#This Row],[delivery_status]])</f>
        <v>Cancelled</v>
      </c>
      <c r="K5220" t="s">
        <v>6979</v>
      </c>
    </row>
    <row r="5221" spans="1:11">
      <c r="A5221" t="s">
        <v>12157</v>
      </c>
      <c r="B5221" t="s">
        <v>5825</v>
      </c>
      <c r="C5221" t="s">
        <v>6935</v>
      </c>
      <c r="D5221" s="1">
        <v>45334</v>
      </c>
      <c r="E5221" s="1">
        <v>45344</v>
      </c>
      <c r="F5221" s="1">
        <v>45344</v>
      </c>
      <c r="G5221">
        <v>29.55</v>
      </c>
      <c r="H52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221" t="str">
        <f>IFERROR(INDEX(Raw_orders!G:G, MATCH(shipments[[#This Row],[order_id]],Raw_orders!A:A, 0)), "Unknown")</f>
        <v>Nordics</v>
      </c>
      <c r="J5221" t="str">
        <f>PROPER(shipments[[#This Row],[delivery_status]])</f>
        <v>Delivered</v>
      </c>
      <c r="K5221" t="s">
        <v>6926</v>
      </c>
    </row>
    <row r="5222" spans="1:11">
      <c r="A5222" t="s">
        <v>12158</v>
      </c>
      <c r="B5222" t="s">
        <v>5826</v>
      </c>
      <c r="C5222" t="s">
        <v>6925</v>
      </c>
      <c r="D5222" s="1">
        <v>45529</v>
      </c>
      <c r="E5222" s="1">
        <v>45531</v>
      </c>
      <c r="F5222" s="1">
        <v>45541</v>
      </c>
      <c r="G5222">
        <v>56.03</v>
      </c>
      <c r="H52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22" t="str">
        <f>IFERROR(INDEX(Raw_orders!G:G, MATCH(shipments[[#This Row],[order_id]],Raw_orders!A:A, 0)), "Unknown")</f>
        <v>Nordics</v>
      </c>
      <c r="J5222" t="str">
        <f>PROPER(shipments[[#This Row],[delivery_status]])</f>
        <v>Delivered</v>
      </c>
      <c r="K5222" t="s">
        <v>6929</v>
      </c>
    </row>
    <row r="5223" spans="1:11">
      <c r="A5223" t="s">
        <v>12159</v>
      </c>
      <c r="B5223" t="s">
        <v>5827</v>
      </c>
      <c r="C5223" t="s">
        <v>6938</v>
      </c>
      <c r="D5223" s="1">
        <v>45356</v>
      </c>
      <c r="E5223" s="1">
        <v>45363</v>
      </c>
      <c r="F5223" s="1">
        <v>45363</v>
      </c>
      <c r="G5223">
        <v>31.91</v>
      </c>
      <c r="H52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223" t="str">
        <f>IFERROR(INDEX(Raw_orders!G:G, MATCH(shipments[[#This Row],[order_id]],Raw_orders!A:A, 0)), "Unknown")</f>
        <v>Baltics</v>
      </c>
      <c r="J5223" t="str">
        <f>PROPER(shipments[[#This Row],[delivery_status]])</f>
        <v>Delivered</v>
      </c>
      <c r="K5223" t="s">
        <v>6926</v>
      </c>
    </row>
    <row r="5224" spans="1:11">
      <c r="A5224" t="s">
        <v>12160</v>
      </c>
      <c r="B5224" t="s">
        <v>5828</v>
      </c>
      <c r="C5224" t="s">
        <v>6925</v>
      </c>
      <c r="D5224" s="1">
        <v>45513</v>
      </c>
      <c r="E5224" s="1">
        <v>45518</v>
      </c>
      <c r="F5224" s="1">
        <v>45523</v>
      </c>
      <c r="G5224">
        <v>47.11</v>
      </c>
      <c r="H52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24" t="str">
        <f>IFERROR(INDEX(Raw_orders!G:G, MATCH(shipments[[#This Row],[order_id]],Raw_orders!A:A, 0)), "Unknown")</f>
        <v>Nordics</v>
      </c>
      <c r="J5224" t="str">
        <f>PROPER(shipments[[#This Row],[delivery_status]])</f>
        <v>Delivered</v>
      </c>
      <c r="K5224" t="s">
        <v>6926</v>
      </c>
    </row>
    <row r="5225" spans="1:11">
      <c r="A5225" t="s">
        <v>12161</v>
      </c>
      <c r="B5225" t="s">
        <v>5829</v>
      </c>
      <c r="C5225" t="s">
        <v>6935</v>
      </c>
      <c r="D5225" s="1">
        <v>45330</v>
      </c>
      <c r="E5225" s="1">
        <v>45337</v>
      </c>
      <c r="F5225" s="1">
        <v>45351</v>
      </c>
      <c r="G5225">
        <v>43.31</v>
      </c>
      <c r="H52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25" t="str">
        <f>IFERROR(INDEX(Raw_orders!G:G, MATCH(shipments[[#This Row],[order_id]],Raw_orders!A:A, 0)), "Unknown")</f>
        <v>Nordics</v>
      </c>
      <c r="J5225" t="str">
        <f>PROPER(shipments[[#This Row],[delivery_status]])</f>
        <v>Delivered</v>
      </c>
      <c r="K5225" t="s">
        <v>6922</v>
      </c>
    </row>
    <row r="5226" spans="1:11">
      <c r="A5226" t="s">
        <v>12162</v>
      </c>
      <c r="B5226" t="s">
        <v>5830</v>
      </c>
      <c r="C5226" t="s">
        <v>6956</v>
      </c>
      <c r="D5226" s="1">
        <v>45406</v>
      </c>
      <c r="E5226" s="1">
        <v>45408</v>
      </c>
      <c r="F5226" s="1">
        <v>45417</v>
      </c>
      <c r="G5226">
        <v>20.079999999999998</v>
      </c>
      <c r="H52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26" t="str">
        <f>IFERROR(INDEX(Raw_orders!G:G, MATCH(shipments[[#This Row],[order_id]],Raw_orders!A:A, 0)), "Unknown")</f>
        <v>Nordics</v>
      </c>
      <c r="J5226" t="str">
        <f>PROPER(shipments[[#This Row],[delivery_status]])</f>
        <v>Delivered</v>
      </c>
      <c r="K5226" t="s">
        <v>6929</v>
      </c>
    </row>
    <row r="5227" spans="1:11">
      <c r="A5227" t="s">
        <v>12163</v>
      </c>
      <c r="B5227" t="s">
        <v>5831</v>
      </c>
      <c r="C5227" t="s">
        <v>6931</v>
      </c>
      <c r="D5227" s="1">
        <v>45480</v>
      </c>
      <c r="E5227" s="1">
        <v>45490</v>
      </c>
      <c r="F5227" s="1"/>
      <c r="G5227">
        <v>43.63</v>
      </c>
      <c r="H52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227" t="str">
        <f>IFERROR(INDEX(Raw_orders!G:G, MATCH(shipments[[#This Row],[order_id]],Raw_orders!A:A, 0)), "Unknown")</f>
        <v>Central Europe</v>
      </c>
      <c r="J5227" t="str">
        <f>PROPER(shipments[[#This Row],[delivery_status]])</f>
        <v>Cancelled</v>
      </c>
      <c r="K5227" t="s">
        <v>6972</v>
      </c>
    </row>
    <row r="5228" spans="1:11">
      <c r="A5228" t="s">
        <v>12164</v>
      </c>
      <c r="B5228" t="s">
        <v>5832</v>
      </c>
      <c r="C5228" t="s">
        <v>6931</v>
      </c>
      <c r="D5228" s="1">
        <v>45120</v>
      </c>
      <c r="E5228" s="1">
        <v>45122</v>
      </c>
      <c r="F5228" s="1">
        <v>45134</v>
      </c>
      <c r="G5228">
        <v>33.950000000000003</v>
      </c>
      <c r="H52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28" t="str">
        <f>IFERROR(INDEX(Raw_orders!G:G, MATCH(shipments[[#This Row],[order_id]],Raw_orders!A:A, 0)), "Unknown")</f>
        <v>Central Europe</v>
      </c>
      <c r="J5228" t="str">
        <f>PROPER(shipments[[#This Row],[delivery_status]])</f>
        <v>Delivered</v>
      </c>
      <c r="K5228" t="s">
        <v>6929</v>
      </c>
    </row>
    <row r="5229" spans="1:11">
      <c r="A5229" t="s">
        <v>12165</v>
      </c>
      <c r="B5229" t="s">
        <v>5833</v>
      </c>
      <c r="C5229" t="s">
        <v>6928</v>
      </c>
      <c r="D5229" s="1">
        <v>45035</v>
      </c>
      <c r="E5229" s="1">
        <v>45038</v>
      </c>
      <c r="F5229" s="1">
        <v>45043</v>
      </c>
      <c r="G5229">
        <v>29.45</v>
      </c>
      <c r="H52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29" t="str">
        <f>IFERROR(INDEX(Raw_orders!G:G, MATCH(shipments[[#This Row],[order_id]],Raw_orders!A:A, 0)), "Unknown")</f>
        <v>Central Europe</v>
      </c>
      <c r="J5229" t="str">
        <f>PROPER(shipments[[#This Row],[delivery_status]])</f>
        <v>Delivered</v>
      </c>
      <c r="K5229" t="s">
        <v>6922</v>
      </c>
    </row>
    <row r="5230" spans="1:11">
      <c r="A5230" t="s">
        <v>12166</v>
      </c>
      <c r="B5230" t="s">
        <v>5834</v>
      </c>
      <c r="C5230" t="s">
        <v>6928</v>
      </c>
      <c r="D5230" s="1">
        <v>44958</v>
      </c>
      <c r="E5230" s="1">
        <v>44960</v>
      </c>
      <c r="F5230" s="1">
        <v>44960</v>
      </c>
      <c r="G5230">
        <v>28.48</v>
      </c>
      <c r="H52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230" t="str">
        <f>IFERROR(INDEX(Raw_orders!G:G, MATCH(shipments[[#This Row],[order_id]],Raw_orders!A:A, 0)), "Unknown")</f>
        <v>Baltics</v>
      </c>
      <c r="J5230" t="str">
        <f>PROPER(shipments[[#This Row],[delivery_status]])</f>
        <v>Delivered</v>
      </c>
      <c r="K5230" t="s">
        <v>6922</v>
      </c>
    </row>
    <row r="5231" spans="1:11">
      <c r="A5231" t="s">
        <v>12167</v>
      </c>
      <c r="B5231" t="s">
        <v>5835</v>
      </c>
      <c r="C5231" t="s">
        <v>6925</v>
      </c>
      <c r="D5231" s="1">
        <v>45026</v>
      </c>
      <c r="E5231" s="1">
        <v>45028</v>
      </c>
      <c r="F5231" s="1">
        <v>45029</v>
      </c>
      <c r="G5231">
        <v>9.06</v>
      </c>
      <c r="H52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31" t="str">
        <f>IFERROR(INDEX(Raw_orders!G:G, MATCH(shipments[[#This Row],[order_id]],Raw_orders!A:A, 0)), "Unknown")</f>
        <v>Baltics</v>
      </c>
      <c r="J5231" t="str">
        <f>PROPER(shipments[[#This Row],[delivery_status]])</f>
        <v>Delivered</v>
      </c>
      <c r="K5231" t="s">
        <v>6926</v>
      </c>
    </row>
    <row r="5232" spans="1:11">
      <c r="A5232" t="s">
        <v>12168</v>
      </c>
      <c r="B5232" t="s">
        <v>5836</v>
      </c>
      <c r="C5232" t="s">
        <v>6938</v>
      </c>
      <c r="D5232" s="1">
        <v>45109</v>
      </c>
      <c r="E5232" s="1">
        <v>45114</v>
      </c>
      <c r="F5232" s="1">
        <v>45126</v>
      </c>
      <c r="G5232">
        <v>34.03</v>
      </c>
      <c r="H52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32" t="str">
        <f>IFERROR(INDEX(Raw_orders!G:G, MATCH(shipments[[#This Row],[order_id]],Raw_orders!A:A, 0)), "Unknown")</f>
        <v>Nordics</v>
      </c>
      <c r="J5232" t="str">
        <f>PROPER(shipments[[#This Row],[delivery_status]])</f>
        <v>Delivered</v>
      </c>
      <c r="K5232" t="s">
        <v>6926</v>
      </c>
    </row>
    <row r="5233" spans="1:11">
      <c r="A5233" t="s">
        <v>12169</v>
      </c>
      <c r="B5233" t="s">
        <v>5837</v>
      </c>
      <c r="C5233" t="s">
        <v>6935</v>
      </c>
      <c r="D5233" s="1">
        <v>45277</v>
      </c>
      <c r="E5233" s="1">
        <v>45284</v>
      </c>
      <c r="F5233" s="1">
        <v>45283</v>
      </c>
      <c r="G5233">
        <v>25.06</v>
      </c>
      <c r="H52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233" t="str">
        <f>IFERROR(INDEX(Raw_orders!G:G, MATCH(shipments[[#This Row],[order_id]],Raw_orders!A:A, 0)), "Unknown")</f>
        <v>Baltics</v>
      </c>
      <c r="J5233" t="str">
        <f>PROPER(shipments[[#This Row],[delivery_status]])</f>
        <v>Delivered</v>
      </c>
      <c r="K5233" t="s">
        <v>6929</v>
      </c>
    </row>
    <row r="5234" spans="1:11">
      <c r="A5234" t="s">
        <v>12170</v>
      </c>
      <c r="B5234" t="s">
        <v>5838</v>
      </c>
      <c r="C5234" t="s">
        <v>6938</v>
      </c>
      <c r="D5234" s="1">
        <v>45332</v>
      </c>
      <c r="E5234" s="1">
        <v>45337</v>
      </c>
      <c r="F5234" s="1">
        <v>45343</v>
      </c>
      <c r="G5234">
        <v>64.400000000000006</v>
      </c>
      <c r="H52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34" t="str">
        <f>IFERROR(INDEX(Raw_orders!G:G, MATCH(shipments[[#This Row],[order_id]],Raw_orders!A:A, 0)), "Unknown")</f>
        <v>Nordics</v>
      </c>
      <c r="J5234" t="str">
        <f>PROPER(shipments[[#This Row],[delivery_status]])</f>
        <v>Delivered</v>
      </c>
      <c r="K5234" t="s">
        <v>6929</v>
      </c>
    </row>
    <row r="5235" spans="1:11">
      <c r="A5235" t="s">
        <v>12171</v>
      </c>
      <c r="B5235" t="s">
        <v>5839</v>
      </c>
      <c r="C5235" t="s">
        <v>6921</v>
      </c>
      <c r="D5235" s="1">
        <v>45035</v>
      </c>
      <c r="E5235" s="1">
        <v>45038</v>
      </c>
      <c r="F5235" s="1">
        <v>45049</v>
      </c>
      <c r="G5235">
        <v>48.11</v>
      </c>
      <c r="H52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35" t="str">
        <f>IFERROR(INDEX(Raw_orders!G:G, MATCH(shipments[[#This Row],[order_id]],Raw_orders!A:A, 0)), "Unknown")</f>
        <v>Baltics</v>
      </c>
      <c r="J5235" t="str">
        <f>PROPER(shipments[[#This Row],[delivery_status]])</f>
        <v>Delivered</v>
      </c>
      <c r="K5235" t="s">
        <v>6922</v>
      </c>
    </row>
    <row r="5236" spans="1:11">
      <c r="A5236" t="s">
        <v>12172</v>
      </c>
      <c r="B5236" t="s">
        <v>5839</v>
      </c>
      <c r="C5236" t="s">
        <v>6931</v>
      </c>
      <c r="D5236" s="1">
        <v>45035</v>
      </c>
      <c r="E5236" s="1">
        <v>45040</v>
      </c>
      <c r="F5236" s="1"/>
      <c r="G5236">
        <v>5.41</v>
      </c>
      <c r="H52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236" t="str">
        <f>IFERROR(INDEX(Raw_orders!G:G, MATCH(shipments[[#This Row],[order_id]],Raw_orders!A:A, 0)), "Unknown")</f>
        <v>Baltics</v>
      </c>
      <c r="J5236" t="str">
        <f>PROPER(shipments[[#This Row],[delivery_status]])</f>
        <v>In Transit</v>
      </c>
      <c r="K5236" t="s">
        <v>6946</v>
      </c>
    </row>
    <row r="5237" spans="1:11">
      <c r="A5237" t="s">
        <v>12173</v>
      </c>
      <c r="B5237" t="s">
        <v>5840</v>
      </c>
      <c r="C5237" t="s">
        <v>6935</v>
      </c>
      <c r="D5237" s="1">
        <v>45339</v>
      </c>
      <c r="E5237" s="1">
        <v>45342</v>
      </c>
      <c r="F5237" s="1">
        <v>45341</v>
      </c>
      <c r="G5237">
        <v>45.1</v>
      </c>
      <c r="H52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237" t="str">
        <f>IFERROR(INDEX(Raw_orders!G:G, MATCH(shipments[[#This Row],[order_id]],Raw_orders!A:A, 0)), "Unknown")</f>
        <v>Baltics</v>
      </c>
      <c r="J5237" t="str">
        <f>PROPER(shipments[[#This Row],[delivery_status]])</f>
        <v>Delivered</v>
      </c>
      <c r="K5237" t="s">
        <v>6926</v>
      </c>
    </row>
    <row r="5238" spans="1:11">
      <c r="A5238" t="s">
        <v>12174</v>
      </c>
      <c r="B5238" t="s">
        <v>5841</v>
      </c>
      <c r="C5238" t="s">
        <v>6956</v>
      </c>
      <c r="D5238" s="1">
        <v>45419</v>
      </c>
      <c r="E5238" s="1">
        <v>45422</v>
      </c>
      <c r="F5238" s="1">
        <v>45422</v>
      </c>
      <c r="G5238">
        <v>58.44</v>
      </c>
      <c r="H52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238" t="str">
        <f>IFERROR(INDEX(Raw_orders!G:G, MATCH(shipments[[#This Row],[order_id]],Raw_orders!A:A, 0)), "Unknown")</f>
        <v>Unknown</v>
      </c>
      <c r="J5238" t="str">
        <f>PROPER(shipments[[#This Row],[delivery_status]])</f>
        <v>Delivered</v>
      </c>
      <c r="K5238" t="s">
        <v>6929</v>
      </c>
    </row>
    <row r="5239" spans="1:11">
      <c r="A5239" t="s">
        <v>12175</v>
      </c>
      <c r="B5239" t="s">
        <v>5842</v>
      </c>
      <c r="C5239" t="s">
        <v>6956</v>
      </c>
      <c r="D5239" s="1">
        <v>44976</v>
      </c>
      <c r="E5239" s="1">
        <v>44981</v>
      </c>
      <c r="F5239" s="1">
        <v>44984</v>
      </c>
      <c r="G5239">
        <v>51.74</v>
      </c>
      <c r="H52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39" t="str">
        <f>IFERROR(INDEX(Raw_orders!G:G, MATCH(shipments[[#This Row],[order_id]],Raw_orders!A:A, 0)), "Unknown")</f>
        <v>Central Europe</v>
      </c>
      <c r="J5239" t="str">
        <f>PROPER(shipments[[#This Row],[delivery_status]])</f>
        <v>Delivered</v>
      </c>
      <c r="K5239" t="s">
        <v>6922</v>
      </c>
    </row>
    <row r="5240" spans="1:11">
      <c r="A5240" t="s">
        <v>12176</v>
      </c>
      <c r="B5240" t="s">
        <v>5843</v>
      </c>
      <c r="C5240" t="s">
        <v>6940</v>
      </c>
      <c r="D5240" s="1">
        <v>45508</v>
      </c>
      <c r="E5240" s="1">
        <v>45511</v>
      </c>
      <c r="F5240" s="1">
        <v>45511</v>
      </c>
      <c r="G5240">
        <v>54.16</v>
      </c>
      <c r="H52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240" t="str">
        <f>IFERROR(INDEX(Raw_orders!G:G, MATCH(shipments[[#This Row],[order_id]],Raw_orders!A:A, 0)), "Unknown")</f>
        <v>Nordics</v>
      </c>
      <c r="J5240" t="str">
        <f>PROPER(shipments[[#This Row],[delivery_status]])</f>
        <v>Delivered</v>
      </c>
      <c r="K5240" t="s">
        <v>6929</v>
      </c>
    </row>
    <row r="5241" spans="1:11">
      <c r="A5241" t="s">
        <v>12177</v>
      </c>
      <c r="B5241" t="s">
        <v>5844</v>
      </c>
      <c r="C5241" t="s">
        <v>6940</v>
      </c>
      <c r="D5241" s="1">
        <v>44947</v>
      </c>
      <c r="E5241" s="1">
        <v>44957</v>
      </c>
      <c r="F5241" s="1">
        <v>44957</v>
      </c>
      <c r="G5241">
        <v>47.52</v>
      </c>
      <c r="H52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241" t="str">
        <f>IFERROR(INDEX(Raw_orders!G:G, MATCH(shipments[[#This Row],[order_id]],Raw_orders!A:A, 0)), "Unknown")</f>
        <v>Central Europe</v>
      </c>
      <c r="J5241" t="str">
        <f>PROPER(shipments[[#This Row],[delivery_status]])</f>
        <v>Delivered</v>
      </c>
      <c r="K5241" t="s">
        <v>6926</v>
      </c>
    </row>
    <row r="5242" spans="1:11">
      <c r="A5242" t="s">
        <v>12178</v>
      </c>
      <c r="B5242" t="s">
        <v>5845</v>
      </c>
      <c r="C5242" t="s">
        <v>6938</v>
      </c>
      <c r="D5242" s="1">
        <v>45093</v>
      </c>
      <c r="E5242" s="1">
        <v>45098</v>
      </c>
      <c r="F5242" s="1">
        <v>45101</v>
      </c>
      <c r="G5242">
        <v>39.369999999999997</v>
      </c>
      <c r="H52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42" t="str">
        <f>IFERROR(INDEX(Raw_orders!G:G, MATCH(shipments[[#This Row],[order_id]],Raw_orders!A:A, 0)), "Unknown")</f>
        <v>Baltics</v>
      </c>
      <c r="J5242" t="str">
        <f>PROPER(shipments[[#This Row],[delivery_status]])</f>
        <v>Delivered</v>
      </c>
      <c r="K5242" t="s">
        <v>6922</v>
      </c>
    </row>
    <row r="5243" spans="1:11">
      <c r="A5243" t="s">
        <v>12179</v>
      </c>
      <c r="B5243" t="s">
        <v>5845</v>
      </c>
      <c r="C5243" t="s">
        <v>6931</v>
      </c>
      <c r="D5243" s="1">
        <v>45091</v>
      </c>
      <c r="E5243" s="1">
        <v>45101</v>
      </c>
      <c r="F5243" s="1">
        <v>45101</v>
      </c>
      <c r="G5243">
        <v>57.66</v>
      </c>
      <c r="H52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243" t="str">
        <f>IFERROR(INDEX(Raw_orders!G:G, MATCH(shipments[[#This Row],[order_id]],Raw_orders!A:A, 0)), "Unknown")</f>
        <v>Baltics</v>
      </c>
      <c r="J5243" t="str">
        <f>PROPER(shipments[[#This Row],[delivery_status]])</f>
        <v>Delivered</v>
      </c>
      <c r="K5243" t="s">
        <v>6926</v>
      </c>
    </row>
    <row r="5244" spans="1:11">
      <c r="A5244" t="s">
        <v>12180</v>
      </c>
      <c r="B5244" t="s">
        <v>5846</v>
      </c>
      <c r="C5244" t="s">
        <v>6956</v>
      </c>
      <c r="D5244" s="1">
        <v>45429</v>
      </c>
      <c r="E5244" s="1">
        <v>45434</v>
      </c>
      <c r="F5244" s="1">
        <v>45439</v>
      </c>
      <c r="G5244">
        <v>5.77</v>
      </c>
      <c r="H52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44" t="str">
        <f>IFERROR(INDEX(Raw_orders!G:G, MATCH(shipments[[#This Row],[order_id]],Raw_orders!A:A, 0)), "Unknown")</f>
        <v>Baltics</v>
      </c>
      <c r="J5244" t="str">
        <f>PROPER(shipments[[#This Row],[delivery_status]])</f>
        <v>Delivered</v>
      </c>
      <c r="K5244" t="s">
        <v>6922</v>
      </c>
    </row>
    <row r="5245" spans="1:11">
      <c r="A5245" t="s">
        <v>12181</v>
      </c>
      <c r="B5245" t="s">
        <v>5847</v>
      </c>
      <c r="C5245" t="s">
        <v>6931</v>
      </c>
      <c r="D5245" s="1">
        <v>45096</v>
      </c>
      <c r="E5245" s="1">
        <v>45098</v>
      </c>
      <c r="F5245" s="1">
        <v>45103</v>
      </c>
      <c r="G5245">
        <v>9.34</v>
      </c>
      <c r="H52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45" t="str">
        <f>IFERROR(INDEX(Raw_orders!G:G, MATCH(shipments[[#This Row],[order_id]],Raw_orders!A:A, 0)), "Unknown")</f>
        <v>Baltics</v>
      </c>
      <c r="J5245" t="str">
        <f>PROPER(shipments[[#This Row],[delivery_status]])</f>
        <v>Delivered</v>
      </c>
      <c r="K5245" t="s">
        <v>6922</v>
      </c>
    </row>
    <row r="5246" spans="1:11">
      <c r="A5246" t="s">
        <v>12182</v>
      </c>
      <c r="B5246" t="s">
        <v>5848</v>
      </c>
      <c r="C5246" t="s">
        <v>6938</v>
      </c>
      <c r="D5246" s="1">
        <v>45433</v>
      </c>
      <c r="E5246" s="1">
        <v>45436</v>
      </c>
      <c r="F5246" s="1">
        <v>45435</v>
      </c>
      <c r="G5246">
        <v>7.61</v>
      </c>
      <c r="H52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246" t="str">
        <f>IFERROR(INDEX(Raw_orders!G:G, MATCH(shipments[[#This Row],[order_id]],Raw_orders!A:A, 0)), "Unknown")</f>
        <v>Baltics</v>
      </c>
      <c r="J5246" t="str">
        <f>PROPER(shipments[[#This Row],[delivery_status]])</f>
        <v>Delivered</v>
      </c>
      <c r="K5246" t="s">
        <v>6926</v>
      </c>
    </row>
    <row r="5247" spans="1:11">
      <c r="A5247" t="s">
        <v>12183</v>
      </c>
      <c r="B5247" t="s">
        <v>5849</v>
      </c>
      <c r="C5247" t="s">
        <v>6940</v>
      </c>
      <c r="D5247" s="1">
        <v>45604</v>
      </c>
      <c r="E5247" s="1">
        <v>45611</v>
      </c>
      <c r="F5247" s="1">
        <v>45612</v>
      </c>
      <c r="G5247">
        <v>60.95</v>
      </c>
      <c r="H52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47" t="str">
        <f>IFERROR(INDEX(Raw_orders!G:G, MATCH(shipments[[#This Row],[order_id]],Raw_orders!A:A, 0)), "Unknown")</f>
        <v>Nordics</v>
      </c>
      <c r="J5247" t="str">
        <f>PROPER(shipments[[#This Row],[delivery_status]])</f>
        <v>Delivered</v>
      </c>
      <c r="K5247" t="s">
        <v>6926</v>
      </c>
    </row>
    <row r="5248" spans="1:11">
      <c r="A5248" t="s">
        <v>12184</v>
      </c>
      <c r="B5248" t="s">
        <v>5850</v>
      </c>
      <c r="C5248" t="s">
        <v>6938</v>
      </c>
      <c r="D5248" s="1">
        <v>44995</v>
      </c>
      <c r="E5248" s="1">
        <v>45002</v>
      </c>
      <c r="F5248" s="1">
        <v>45004</v>
      </c>
      <c r="G5248">
        <v>58.36</v>
      </c>
      <c r="H52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48" t="str">
        <f>IFERROR(INDEX(Raw_orders!G:G, MATCH(shipments[[#This Row],[order_id]],Raw_orders!A:A, 0)), "Unknown")</f>
        <v>Nordics</v>
      </c>
      <c r="J5248" t="str">
        <f>PROPER(shipments[[#This Row],[delivery_status]])</f>
        <v>Delivered</v>
      </c>
      <c r="K5248" t="s">
        <v>6926</v>
      </c>
    </row>
    <row r="5249" spans="1:11">
      <c r="A5249" t="s">
        <v>12185</v>
      </c>
      <c r="B5249" t="s">
        <v>5851</v>
      </c>
      <c r="C5249" t="s">
        <v>6938</v>
      </c>
      <c r="D5249" s="1">
        <v>45604</v>
      </c>
      <c r="E5249" s="1">
        <v>45607</v>
      </c>
      <c r="F5249" s="1">
        <v>45608</v>
      </c>
      <c r="G5249">
        <v>40.22</v>
      </c>
      <c r="H52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49" t="str">
        <f>IFERROR(INDEX(Raw_orders!G:G, MATCH(shipments[[#This Row],[order_id]],Raw_orders!A:A, 0)), "Unknown")</f>
        <v>Nordics</v>
      </c>
      <c r="J5249" t="str">
        <f>PROPER(shipments[[#This Row],[delivery_status]])</f>
        <v>Delivered</v>
      </c>
      <c r="K5249" t="s">
        <v>6929</v>
      </c>
    </row>
    <row r="5250" spans="1:11">
      <c r="A5250" t="s">
        <v>12186</v>
      </c>
      <c r="B5250" t="s">
        <v>5852</v>
      </c>
      <c r="C5250" t="s">
        <v>6940</v>
      </c>
      <c r="D5250" s="1">
        <v>45573</v>
      </c>
      <c r="E5250" s="1">
        <v>45583</v>
      </c>
      <c r="F5250" s="1"/>
      <c r="G5250">
        <v>57.06</v>
      </c>
      <c r="H52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250" t="str">
        <f>IFERROR(INDEX(Raw_orders!G:G, MATCH(shipments[[#This Row],[order_id]],Raw_orders!A:A, 0)), "Unknown")</f>
        <v>Nordics</v>
      </c>
      <c r="J5250" t="str">
        <f>PROPER(shipments[[#This Row],[delivery_status]])</f>
        <v>Cancelled</v>
      </c>
      <c r="K5250" t="s">
        <v>6972</v>
      </c>
    </row>
    <row r="5251" spans="1:11">
      <c r="A5251" t="s">
        <v>12187</v>
      </c>
      <c r="B5251" t="s">
        <v>5853</v>
      </c>
      <c r="C5251" t="s">
        <v>6931</v>
      </c>
      <c r="D5251" s="1">
        <v>45580</v>
      </c>
      <c r="E5251" s="1">
        <v>45583</v>
      </c>
      <c r="F5251" s="1">
        <v>45583</v>
      </c>
      <c r="G5251">
        <v>47.81</v>
      </c>
      <c r="H52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251" t="str">
        <f>IFERROR(INDEX(Raw_orders!G:G, MATCH(shipments[[#This Row],[order_id]],Raw_orders!A:A, 0)), "Unknown")</f>
        <v>Central Europe</v>
      </c>
      <c r="J5251" t="str">
        <f>PROPER(shipments[[#This Row],[delivery_status]])</f>
        <v>Delivered</v>
      </c>
      <c r="K5251" t="s">
        <v>6926</v>
      </c>
    </row>
    <row r="5252" spans="1:11">
      <c r="A5252" t="s">
        <v>12188</v>
      </c>
      <c r="B5252" t="s">
        <v>5854</v>
      </c>
      <c r="C5252" t="s">
        <v>6949</v>
      </c>
      <c r="D5252" s="1">
        <v>45375</v>
      </c>
      <c r="E5252" s="1">
        <v>45377</v>
      </c>
      <c r="F5252" s="1">
        <v>45377</v>
      </c>
      <c r="G5252">
        <v>55.68</v>
      </c>
      <c r="H52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252" t="str">
        <f>IFERROR(INDEX(Raw_orders!G:G, MATCH(shipments[[#This Row],[order_id]],Raw_orders!A:A, 0)), "Unknown")</f>
        <v>Central Europe</v>
      </c>
      <c r="J5252" t="str">
        <f>PROPER(shipments[[#This Row],[delivery_status]])</f>
        <v>Delivered</v>
      </c>
      <c r="K5252" t="s">
        <v>6929</v>
      </c>
    </row>
    <row r="5253" spans="1:11">
      <c r="A5253" t="s">
        <v>12189</v>
      </c>
      <c r="B5253" t="s">
        <v>5855</v>
      </c>
      <c r="C5253" t="s">
        <v>6928</v>
      </c>
      <c r="D5253" s="1">
        <v>45230</v>
      </c>
      <c r="E5253" s="1">
        <v>45233</v>
      </c>
      <c r="F5253" s="1">
        <v>45233</v>
      </c>
      <c r="G5253">
        <v>53.91</v>
      </c>
      <c r="H52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253" t="str">
        <f>IFERROR(INDEX(Raw_orders!G:G, MATCH(shipments[[#This Row],[order_id]],Raw_orders!A:A, 0)), "Unknown")</f>
        <v>Baltics</v>
      </c>
      <c r="J5253" t="str">
        <f>PROPER(shipments[[#This Row],[delivery_status]])</f>
        <v>Delivered</v>
      </c>
      <c r="K5253" t="s">
        <v>6922</v>
      </c>
    </row>
    <row r="5254" spans="1:11">
      <c r="A5254" t="s">
        <v>12190</v>
      </c>
      <c r="B5254" t="s">
        <v>5856</v>
      </c>
      <c r="C5254" t="s">
        <v>6940</v>
      </c>
      <c r="D5254" s="1">
        <v>45579</v>
      </c>
      <c r="E5254" s="1">
        <v>45582</v>
      </c>
      <c r="F5254" s="1">
        <v>45582</v>
      </c>
      <c r="G5254">
        <v>45.88</v>
      </c>
      <c r="H52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254" t="str">
        <f>IFERROR(INDEX(Raw_orders!G:G, MATCH(shipments[[#This Row],[order_id]],Raw_orders!A:A, 0)), "Unknown")</f>
        <v>Nordics</v>
      </c>
      <c r="J5254" t="str">
        <f>PROPER(shipments[[#This Row],[delivery_status]])</f>
        <v>Delivered</v>
      </c>
      <c r="K5254" t="s">
        <v>6929</v>
      </c>
    </row>
    <row r="5255" spans="1:11">
      <c r="A5255" t="s">
        <v>12191</v>
      </c>
      <c r="B5255" t="s">
        <v>5857</v>
      </c>
      <c r="C5255" t="s">
        <v>6956</v>
      </c>
      <c r="D5255" s="1">
        <v>45397</v>
      </c>
      <c r="E5255" s="1">
        <v>45399</v>
      </c>
      <c r="F5255" s="1">
        <v>45399</v>
      </c>
      <c r="G5255">
        <v>26.75</v>
      </c>
      <c r="H52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255" t="str">
        <f>IFERROR(INDEX(Raw_orders!G:G, MATCH(shipments[[#This Row],[order_id]],Raw_orders!A:A, 0)), "Unknown")</f>
        <v>Central Europe</v>
      </c>
      <c r="J5255" t="str">
        <f>PROPER(shipments[[#This Row],[delivery_status]])</f>
        <v>Delivered</v>
      </c>
      <c r="K5255" t="s">
        <v>6922</v>
      </c>
    </row>
    <row r="5256" spans="1:11">
      <c r="A5256" t="s">
        <v>12192</v>
      </c>
      <c r="B5256" t="s">
        <v>5858</v>
      </c>
      <c r="C5256" t="s">
        <v>6940</v>
      </c>
      <c r="D5256" s="1">
        <v>45240</v>
      </c>
      <c r="E5256" s="1">
        <v>45247</v>
      </c>
      <c r="F5256" s="1">
        <v>45252</v>
      </c>
      <c r="G5256">
        <v>13.76</v>
      </c>
      <c r="H52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56" t="str">
        <f>IFERROR(INDEX(Raw_orders!G:G, MATCH(shipments[[#This Row],[order_id]],Raw_orders!A:A, 0)), "Unknown")</f>
        <v>Nordics</v>
      </c>
      <c r="J5256" t="str">
        <f>PROPER(shipments[[#This Row],[delivery_status]])</f>
        <v>Delivered</v>
      </c>
      <c r="K5256" t="s">
        <v>6926</v>
      </c>
    </row>
    <row r="5257" spans="1:11">
      <c r="A5257" t="s">
        <v>12193</v>
      </c>
      <c r="B5257" t="s">
        <v>5859</v>
      </c>
      <c r="C5257" t="s">
        <v>6925</v>
      </c>
      <c r="D5257" s="1">
        <v>44971</v>
      </c>
      <c r="E5257" s="1">
        <v>44978</v>
      </c>
      <c r="F5257" s="1"/>
      <c r="G5257">
        <v>15</v>
      </c>
      <c r="H52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257" t="str">
        <f>IFERROR(INDEX(Raw_orders!G:G, MATCH(shipments[[#This Row],[order_id]],Raw_orders!A:A, 0)), "Unknown")</f>
        <v>Nordics</v>
      </c>
      <c r="J5257" t="str">
        <f>PROPER(shipments[[#This Row],[delivery_status]])</f>
        <v>In Transit</v>
      </c>
      <c r="K5257" t="s">
        <v>6946</v>
      </c>
    </row>
    <row r="5258" spans="1:11">
      <c r="A5258" t="s">
        <v>12194</v>
      </c>
      <c r="B5258" t="s">
        <v>5859</v>
      </c>
      <c r="C5258" t="s">
        <v>6925</v>
      </c>
      <c r="D5258" s="1">
        <v>44974</v>
      </c>
      <c r="E5258" s="1">
        <v>44976</v>
      </c>
      <c r="F5258" s="1">
        <v>44978</v>
      </c>
      <c r="G5258">
        <v>56.79</v>
      </c>
      <c r="H52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58" t="str">
        <f>IFERROR(INDEX(Raw_orders!G:G, MATCH(shipments[[#This Row],[order_id]],Raw_orders!A:A, 0)), "Unknown")</f>
        <v>Nordics</v>
      </c>
      <c r="J5258" t="str">
        <f>PROPER(shipments[[#This Row],[delivery_status]])</f>
        <v>Delivered</v>
      </c>
      <c r="K5258" t="s">
        <v>6926</v>
      </c>
    </row>
    <row r="5259" spans="1:11">
      <c r="A5259" t="s">
        <v>12195</v>
      </c>
      <c r="B5259" t="s">
        <v>5860</v>
      </c>
      <c r="C5259" t="s">
        <v>6921</v>
      </c>
      <c r="D5259" s="1">
        <v>45506</v>
      </c>
      <c r="E5259" s="1">
        <v>45509</v>
      </c>
      <c r="F5259" s="1">
        <v>45511</v>
      </c>
      <c r="G5259">
        <v>59.97</v>
      </c>
      <c r="H52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59" t="str">
        <f>IFERROR(INDEX(Raw_orders!G:G, MATCH(shipments[[#This Row],[order_id]],Raw_orders!A:A, 0)), "Unknown")</f>
        <v>Nordics</v>
      </c>
      <c r="J5259" t="str">
        <f>PROPER(shipments[[#This Row],[delivery_status]])</f>
        <v>Delivered</v>
      </c>
      <c r="K5259" t="s">
        <v>6929</v>
      </c>
    </row>
    <row r="5260" spans="1:11">
      <c r="A5260" t="s">
        <v>12196</v>
      </c>
      <c r="B5260" t="s">
        <v>5860</v>
      </c>
      <c r="C5260" t="s">
        <v>6956</v>
      </c>
      <c r="D5260" s="1">
        <v>45506</v>
      </c>
      <c r="E5260" s="1">
        <v>45508</v>
      </c>
      <c r="F5260" s="1">
        <v>45507</v>
      </c>
      <c r="G5260">
        <v>40.98</v>
      </c>
      <c r="H52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260" t="str">
        <f>IFERROR(INDEX(Raw_orders!G:G, MATCH(shipments[[#This Row],[order_id]],Raw_orders!A:A, 0)), "Unknown")</f>
        <v>Nordics</v>
      </c>
      <c r="J5260" t="str">
        <f>PROPER(shipments[[#This Row],[delivery_status]])</f>
        <v>Delivered</v>
      </c>
      <c r="K5260" t="s">
        <v>6926</v>
      </c>
    </row>
    <row r="5261" spans="1:11">
      <c r="A5261" t="s">
        <v>12197</v>
      </c>
      <c r="B5261" t="s">
        <v>5861</v>
      </c>
      <c r="C5261" t="s">
        <v>6921</v>
      </c>
      <c r="D5261" s="1">
        <v>45445</v>
      </c>
      <c r="E5261" s="1">
        <v>45447</v>
      </c>
      <c r="F5261" s="1">
        <v>45447</v>
      </c>
      <c r="G5261">
        <v>5.88</v>
      </c>
      <c r="H52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261" t="str">
        <f>IFERROR(INDEX(Raw_orders!G:G, MATCH(shipments[[#This Row],[order_id]],Raw_orders!A:A, 0)), "Unknown")</f>
        <v>Nordics</v>
      </c>
      <c r="J5261" t="str">
        <f>PROPER(shipments[[#This Row],[delivery_status]])</f>
        <v>Delivered</v>
      </c>
      <c r="K5261" t="s">
        <v>6929</v>
      </c>
    </row>
    <row r="5262" spans="1:11">
      <c r="A5262" t="s">
        <v>12198</v>
      </c>
      <c r="B5262" t="s">
        <v>5862</v>
      </c>
      <c r="C5262" t="s">
        <v>6956</v>
      </c>
      <c r="D5262" s="1">
        <v>45278</v>
      </c>
      <c r="E5262" s="1">
        <v>45281</v>
      </c>
      <c r="F5262" s="1">
        <v>45281</v>
      </c>
      <c r="G5262">
        <v>37.74</v>
      </c>
      <c r="H52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262" t="str">
        <f>IFERROR(INDEX(Raw_orders!G:G, MATCH(shipments[[#This Row],[order_id]],Raw_orders!A:A, 0)), "Unknown")</f>
        <v>Central Europe</v>
      </c>
      <c r="J5262" t="str">
        <f>PROPER(shipments[[#This Row],[delivery_status]])</f>
        <v>Delivered</v>
      </c>
      <c r="K5262" t="s">
        <v>6929</v>
      </c>
    </row>
    <row r="5263" spans="1:11">
      <c r="A5263" t="s">
        <v>12199</v>
      </c>
      <c r="B5263" t="s">
        <v>5863</v>
      </c>
      <c r="C5263" t="s">
        <v>6925</v>
      </c>
      <c r="D5263" s="1">
        <v>45135</v>
      </c>
      <c r="E5263" s="1">
        <v>45138</v>
      </c>
      <c r="F5263" s="1">
        <v>45138</v>
      </c>
      <c r="G5263">
        <v>50.69</v>
      </c>
      <c r="H52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263" t="str">
        <f>IFERROR(INDEX(Raw_orders!G:G, MATCH(shipments[[#This Row],[order_id]],Raw_orders!A:A, 0)), "Unknown")</f>
        <v>Central Europe</v>
      </c>
      <c r="J5263" t="str">
        <f>PROPER(shipments[[#This Row],[delivery_status]])</f>
        <v>Delivered</v>
      </c>
      <c r="K5263" t="s">
        <v>6926</v>
      </c>
    </row>
    <row r="5264" spans="1:11">
      <c r="A5264" t="s">
        <v>12200</v>
      </c>
      <c r="B5264" t="s">
        <v>5864</v>
      </c>
      <c r="C5264" t="s">
        <v>6940</v>
      </c>
      <c r="D5264" s="1">
        <v>45290</v>
      </c>
      <c r="E5264" s="1">
        <v>45293</v>
      </c>
      <c r="F5264" s="1">
        <v>45296</v>
      </c>
      <c r="G5264">
        <v>46.32</v>
      </c>
      <c r="H52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64" t="str">
        <f>IFERROR(INDEX(Raw_orders!G:G, MATCH(shipments[[#This Row],[order_id]],Raw_orders!A:A, 0)), "Unknown")</f>
        <v>Baltics</v>
      </c>
      <c r="J5264" t="str">
        <f>PROPER(shipments[[#This Row],[delivery_status]])</f>
        <v>Delivered</v>
      </c>
      <c r="K5264" t="s">
        <v>6926</v>
      </c>
    </row>
    <row r="5265" spans="1:11">
      <c r="A5265" t="s">
        <v>12201</v>
      </c>
      <c r="B5265" t="s">
        <v>5865</v>
      </c>
      <c r="C5265" t="s">
        <v>6921</v>
      </c>
      <c r="D5265" s="1">
        <v>45536</v>
      </c>
      <c r="E5265" s="1">
        <v>45543</v>
      </c>
      <c r="F5265" s="1">
        <v>45543</v>
      </c>
      <c r="G5265">
        <v>11.37</v>
      </c>
      <c r="H52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265" t="str">
        <f>IFERROR(INDEX(Raw_orders!G:G, MATCH(shipments[[#This Row],[order_id]],Raw_orders!A:A, 0)), "Unknown")</f>
        <v>Baltics</v>
      </c>
      <c r="J5265" t="str">
        <f>PROPER(shipments[[#This Row],[delivery_status]])</f>
        <v>Delivered</v>
      </c>
      <c r="K5265" t="s">
        <v>6922</v>
      </c>
    </row>
    <row r="5266" spans="1:11">
      <c r="A5266" t="s">
        <v>12202</v>
      </c>
      <c r="B5266" t="s">
        <v>5865</v>
      </c>
      <c r="C5266" t="s">
        <v>6925</v>
      </c>
      <c r="D5266" s="1">
        <v>45537</v>
      </c>
      <c r="E5266" s="1">
        <v>45544</v>
      </c>
      <c r="F5266" s="1"/>
      <c r="G5266">
        <v>42.35</v>
      </c>
      <c r="H52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266" t="str">
        <f>IFERROR(INDEX(Raw_orders!G:G, MATCH(shipments[[#This Row],[order_id]],Raw_orders!A:A, 0)), "Unknown")</f>
        <v>Baltics</v>
      </c>
      <c r="J5266" t="str">
        <f>PROPER(shipments[[#This Row],[delivery_status]])</f>
        <v>In Transit</v>
      </c>
      <c r="K5266" t="s">
        <v>6977</v>
      </c>
    </row>
    <row r="5267" spans="1:11">
      <c r="A5267" t="s">
        <v>12203</v>
      </c>
      <c r="B5267" t="s">
        <v>5866</v>
      </c>
      <c r="C5267" t="s">
        <v>6940</v>
      </c>
      <c r="D5267" s="1">
        <v>44984</v>
      </c>
      <c r="E5267" s="1">
        <v>44994</v>
      </c>
      <c r="F5267" s="1">
        <v>44994</v>
      </c>
      <c r="G5267">
        <v>22.68</v>
      </c>
      <c r="H52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267" t="str">
        <f>IFERROR(INDEX(Raw_orders!G:G, MATCH(shipments[[#This Row],[order_id]],Raw_orders!A:A, 0)), "Unknown")</f>
        <v>Central Europe</v>
      </c>
      <c r="J5267" t="str">
        <f>PROPER(shipments[[#This Row],[delivery_status]])</f>
        <v>Delivered</v>
      </c>
      <c r="K5267" t="s">
        <v>6926</v>
      </c>
    </row>
    <row r="5268" spans="1:11">
      <c r="A5268" t="s">
        <v>12204</v>
      </c>
      <c r="B5268" t="s">
        <v>5867</v>
      </c>
      <c r="C5268" t="s">
        <v>6956</v>
      </c>
      <c r="D5268" s="1">
        <v>45492</v>
      </c>
      <c r="E5268" s="1">
        <v>45494</v>
      </c>
      <c r="F5268" s="1">
        <v>45499</v>
      </c>
      <c r="G5268">
        <v>18.75</v>
      </c>
      <c r="H52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68" t="str">
        <f>IFERROR(INDEX(Raw_orders!G:G, MATCH(shipments[[#This Row],[order_id]],Raw_orders!A:A, 0)), "Unknown")</f>
        <v>Baltics</v>
      </c>
      <c r="J5268" t="str">
        <f>PROPER(shipments[[#This Row],[delivery_status]])</f>
        <v>Delivered</v>
      </c>
      <c r="K5268" t="s">
        <v>6926</v>
      </c>
    </row>
    <row r="5269" spans="1:11">
      <c r="A5269" t="s">
        <v>12205</v>
      </c>
      <c r="B5269" t="s">
        <v>5868</v>
      </c>
      <c r="C5269" t="s">
        <v>6940</v>
      </c>
      <c r="D5269" s="1">
        <v>45582</v>
      </c>
      <c r="E5269" s="1">
        <v>45587</v>
      </c>
      <c r="F5269" s="1">
        <v>45601</v>
      </c>
      <c r="G5269">
        <v>11.36</v>
      </c>
      <c r="H52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69" t="str">
        <f>IFERROR(INDEX(Raw_orders!G:G, MATCH(shipments[[#This Row],[order_id]],Raw_orders!A:A, 0)), "Unknown")</f>
        <v>Nordics</v>
      </c>
      <c r="J5269" t="str">
        <f>PROPER(shipments[[#This Row],[delivery_status]])</f>
        <v>Delivered</v>
      </c>
      <c r="K5269" t="s">
        <v>6926</v>
      </c>
    </row>
    <row r="5270" spans="1:11">
      <c r="A5270" t="s">
        <v>12206</v>
      </c>
      <c r="B5270" t="s">
        <v>5869</v>
      </c>
      <c r="C5270" t="s">
        <v>6940</v>
      </c>
      <c r="D5270" s="1">
        <v>45068</v>
      </c>
      <c r="E5270" s="1">
        <v>45073</v>
      </c>
      <c r="F5270" s="1">
        <v>45075</v>
      </c>
      <c r="G5270">
        <v>5.58</v>
      </c>
      <c r="H52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70" t="str">
        <f>IFERROR(INDEX(Raw_orders!G:G, MATCH(shipments[[#This Row],[order_id]],Raw_orders!A:A, 0)), "Unknown")</f>
        <v>Central Europe</v>
      </c>
      <c r="J5270" t="str">
        <f>PROPER(shipments[[#This Row],[delivery_status]])</f>
        <v>Delivered</v>
      </c>
      <c r="K5270" t="s">
        <v>6922</v>
      </c>
    </row>
    <row r="5271" spans="1:11">
      <c r="A5271" t="s">
        <v>12207</v>
      </c>
      <c r="B5271" t="s">
        <v>5870</v>
      </c>
      <c r="C5271" t="s">
        <v>6938</v>
      </c>
      <c r="D5271" s="1">
        <v>45439</v>
      </c>
      <c r="E5271" s="1">
        <v>45446</v>
      </c>
      <c r="F5271" s="1">
        <v>45445</v>
      </c>
      <c r="G5271">
        <v>47.22</v>
      </c>
      <c r="H52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271" t="str">
        <f>IFERROR(INDEX(Raw_orders!G:G, MATCH(shipments[[#This Row],[order_id]],Raw_orders!A:A, 0)), "Unknown")</f>
        <v>Central Europe</v>
      </c>
      <c r="J5271" t="str">
        <f>PROPER(shipments[[#This Row],[delivery_status]])</f>
        <v>Delivered</v>
      </c>
      <c r="K5271" t="s">
        <v>6922</v>
      </c>
    </row>
    <row r="5272" spans="1:11">
      <c r="A5272" t="s">
        <v>12208</v>
      </c>
      <c r="B5272" t="s">
        <v>5871</v>
      </c>
      <c r="C5272" t="s">
        <v>6931</v>
      </c>
      <c r="D5272" s="1">
        <v>44968</v>
      </c>
      <c r="E5272" s="1">
        <v>44978</v>
      </c>
      <c r="F5272" s="1">
        <v>44978</v>
      </c>
      <c r="G5272">
        <v>61.68</v>
      </c>
      <c r="H52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272" t="str">
        <f>IFERROR(INDEX(Raw_orders!G:G, MATCH(shipments[[#This Row],[order_id]],Raw_orders!A:A, 0)), "Unknown")</f>
        <v>Nordics</v>
      </c>
      <c r="J5272" t="str">
        <f>PROPER(shipments[[#This Row],[delivery_status]])</f>
        <v>Delivered</v>
      </c>
      <c r="K5272" t="s">
        <v>6926</v>
      </c>
    </row>
    <row r="5273" spans="1:11">
      <c r="A5273" t="s">
        <v>12209</v>
      </c>
      <c r="B5273" t="s">
        <v>5872</v>
      </c>
      <c r="C5273" t="s">
        <v>6940</v>
      </c>
      <c r="D5273" s="1">
        <v>45107</v>
      </c>
      <c r="E5273" s="1">
        <v>45117</v>
      </c>
      <c r="F5273" s="1">
        <v>45117</v>
      </c>
      <c r="G5273">
        <v>31.57</v>
      </c>
      <c r="H52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273" t="str">
        <f>IFERROR(INDEX(Raw_orders!G:G, MATCH(shipments[[#This Row],[order_id]],Raw_orders!A:A, 0)), "Unknown")</f>
        <v>Central Europe</v>
      </c>
      <c r="J5273" t="str">
        <f>PROPER(shipments[[#This Row],[delivery_status]])</f>
        <v>Delivered</v>
      </c>
      <c r="K5273" t="s">
        <v>6926</v>
      </c>
    </row>
    <row r="5274" spans="1:11">
      <c r="A5274" t="s">
        <v>12210</v>
      </c>
      <c r="B5274" t="s">
        <v>5873</v>
      </c>
      <c r="C5274" t="s">
        <v>6931</v>
      </c>
      <c r="D5274" s="1">
        <v>45254</v>
      </c>
      <c r="E5274" s="1">
        <v>45256</v>
      </c>
      <c r="F5274" s="1">
        <v>45256</v>
      </c>
      <c r="G5274">
        <v>52.01</v>
      </c>
      <c r="H52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274" t="str">
        <f>IFERROR(INDEX(Raw_orders!G:G, MATCH(shipments[[#This Row],[order_id]],Raw_orders!A:A, 0)), "Unknown")</f>
        <v>Central Europe</v>
      </c>
      <c r="J5274" t="str">
        <f>PROPER(shipments[[#This Row],[delivery_status]])</f>
        <v>Delivered</v>
      </c>
      <c r="K5274" t="s">
        <v>6926</v>
      </c>
    </row>
    <row r="5275" spans="1:11">
      <c r="A5275" t="s">
        <v>12211</v>
      </c>
      <c r="B5275" t="s">
        <v>5874</v>
      </c>
      <c r="C5275" t="s">
        <v>6928</v>
      </c>
      <c r="D5275" s="1">
        <v>45482</v>
      </c>
      <c r="E5275" s="1">
        <v>45489</v>
      </c>
      <c r="F5275" s="1"/>
      <c r="G5275">
        <v>18.25</v>
      </c>
      <c r="H52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275" t="str">
        <f>IFERROR(INDEX(Raw_orders!G:G, MATCH(shipments[[#This Row],[order_id]],Raw_orders!A:A, 0)), "Unknown")</f>
        <v>Nordics</v>
      </c>
      <c r="J5275" t="str">
        <f>PROPER(shipments[[#This Row],[delivery_status]])</f>
        <v>In Transit</v>
      </c>
      <c r="K5275" t="s">
        <v>6946</v>
      </c>
    </row>
    <row r="5276" spans="1:11">
      <c r="A5276" t="s">
        <v>12212</v>
      </c>
      <c r="B5276" t="s">
        <v>5874</v>
      </c>
      <c r="C5276" t="s">
        <v>6940</v>
      </c>
      <c r="D5276" s="1">
        <v>45482</v>
      </c>
      <c r="E5276" s="1">
        <v>45492</v>
      </c>
      <c r="F5276" s="1">
        <v>45494</v>
      </c>
      <c r="G5276">
        <v>8.48</v>
      </c>
      <c r="H52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76" t="str">
        <f>IFERROR(INDEX(Raw_orders!G:G, MATCH(shipments[[#This Row],[order_id]],Raw_orders!A:A, 0)), "Unknown")</f>
        <v>Nordics</v>
      </c>
      <c r="J5276" t="str">
        <f>PROPER(shipments[[#This Row],[delivery_status]])</f>
        <v>Delivered</v>
      </c>
      <c r="K5276" t="s">
        <v>6929</v>
      </c>
    </row>
    <row r="5277" spans="1:11">
      <c r="A5277" t="s">
        <v>12213</v>
      </c>
      <c r="B5277" t="s">
        <v>5875</v>
      </c>
      <c r="C5277" t="s">
        <v>6928</v>
      </c>
      <c r="D5277" s="1">
        <v>44929</v>
      </c>
      <c r="E5277" s="1">
        <v>44931</v>
      </c>
      <c r="F5277" s="1">
        <v>44930</v>
      </c>
      <c r="G5277">
        <v>21.77</v>
      </c>
      <c r="H52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277" t="str">
        <f>IFERROR(INDEX(Raw_orders!G:G, MATCH(shipments[[#This Row],[order_id]],Raw_orders!A:A, 0)), "Unknown")</f>
        <v>Central Europe</v>
      </c>
      <c r="J5277" t="str">
        <f>PROPER(shipments[[#This Row],[delivery_status]])</f>
        <v>Delivered</v>
      </c>
      <c r="K5277" t="s">
        <v>6926</v>
      </c>
    </row>
    <row r="5278" spans="1:11">
      <c r="A5278" t="s">
        <v>12214</v>
      </c>
      <c r="B5278" t="s">
        <v>5876</v>
      </c>
      <c r="C5278" t="s">
        <v>6938</v>
      </c>
      <c r="D5278" s="1">
        <v>45094</v>
      </c>
      <c r="E5278" s="1">
        <v>45096</v>
      </c>
      <c r="F5278" s="1">
        <v>45099</v>
      </c>
      <c r="G5278">
        <v>64.38</v>
      </c>
      <c r="H52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78" t="str">
        <f>IFERROR(INDEX(Raw_orders!G:G, MATCH(shipments[[#This Row],[order_id]],Raw_orders!A:A, 0)), "Unknown")</f>
        <v>Central Europe</v>
      </c>
      <c r="J5278" t="str">
        <f>PROPER(shipments[[#This Row],[delivery_status]])</f>
        <v>Delivered</v>
      </c>
      <c r="K5278" t="s">
        <v>6922</v>
      </c>
    </row>
    <row r="5279" spans="1:11">
      <c r="A5279" t="s">
        <v>12215</v>
      </c>
      <c r="B5279" t="s">
        <v>5877</v>
      </c>
      <c r="C5279" t="s">
        <v>6938</v>
      </c>
      <c r="D5279" s="1">
        <v>44981</v>
      </c>
      <c r="E5279" s="1">
        <v>44988</v>
      </c>
      <c r="F5279" s="1"/>
      <c r="G5279">
        <v>40.36</v>
      </c>
      <c r="H52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279" t="str">
        <f>IFERROR(INDEX(Raw_orders!G:G, MATCH(shipments[[#This Row],[order_id]],Raw_orders!A:A, 0)), "Unknown")</f>
        <v>Baltics</v>
      </c>
      <c r="J5279" t="str">
        <f>PROPER(shipments[[#This Row],[delivery_status]])</f>
        <v>In Transit</v>
      </c>
      <c r="K5279" t="s">
        <v>6946</v>
      </c>
    </row>
    <row r="5280" spans="1:11">
      <c r="A5280" t="s">
        <v>12216</v>
      </c>
      <c r="B5280" t="s">
        <v>5878</v>
      </c>
      <c r="C5280" t="s">
        <v>6928</v>
      </c>
      <c r="D5280" s="1">
        <v>45106</v>
      </c>
      <c r="E5280" s="1">
        <v>45111</v>
      </c>
      <c r="F5280" s="1"/>
      <c r="G5280">
        <v>15.94</v>
      </c>
      <c r="H52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280" t="str">
        <f>IFERROR(INDEX(Raw_orders!G:G, MATCH(shipments[[#This Row],[order_id]],Raw_orders!A:A, 0)), "Unknown")</f>
        <v>Central Europe</v>
      </c>
      <c r="J5280" t="str">
        <f>PROPER(shipments[[#This Row],[delivery_status]])</f>
        <v>In Transit</v>
      </c>
      <c r="K5280" t="s">
        <v>6977</v>
      </c>
    </row>
    <row r="5281" spans="1:11">
      <c r="A5281" t="s">
        <v>12217</v>
      </c>
      <c r="B5281" t="s">
        <v>5879</v>
      </c>
      <c r="C5281" t="s">
        <v>6928</v>
      </c>
      <c r="D5281" s="1">
        <v>45501</v>
      </c>
      <c r="E5281" s="1">
        <v>45508</v>
      </c>
      <c r="F5281" s="1"/>
      <c r="G5281">
        <v>9.24</v>
      </c>
      <c r="H52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281" t="str">
        <f>IFERROR(INDEX(Raw_orders!G:G, MATCH(shipments[[#This Row],[order_id]],Raw_orders!A:A, 0)), "Unknown")</f>
        <v>Baltics</v>
      </c>
      <c r="J5281" t="str">
        <f>PROPER(shipments[[#This Row],[delivery_status]])</f>
        <v>In Transit</v>
      </c>
      <c r="K5281" t="s">
        <v>6977</v>
      </c>
    </row>
    <row r="5282" spans="1:11">
      <c r="A5282" t="s">
        <v>12218</v>
      </c>
      <c r="B5282" t="s">
        <v>5880</v>
      </c>
      <c r="C5282" t="s">
        <v>6925</v>
      </c>
      <c r="D5282" s="1">
        <v>45303</v>
      </c>
      <c r="E5282" s="1">
        <v>45306</v>
      </c>
      <c r="F5282" s="1">
        <v>45307</v>
      </c>
      <c r="G5282">
        <v>22.15</v>
      </c>
      <c r="H52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82" t="str">
        <f>IFERROR(INDEX(Raw_orders!G:G, MATCH(shipments[[#This Row],[order_id]],Raw_orders!A:A, 0)), "Unknown")</f>
        <v>Nordics</v>
      </c>
      <c r="J5282" t="str">
        <f>PROPER(shipments[[#This Row],[delivery_status]])</f>
        <v>Delivered</v>
      </c>
      <c r="K5282" t="s">
        <v>6926</v>
      </c>
    </row>
    <row r="5283" spans="1:11">
      <c r="A5283" t="s">
        <v>12219</v>
      </c>
      <c r="B5283" t="s">
        <v>5881</v>
      </c>
      <c r="C5283" t="s">
        <v>6938</v>
      </c>
      <c r="D5283" s="1">
        <v>45272</v>
      </c>
      <c r="E5283" s="1">
        <v>45279</v>
      </c>
      <c r="F5283" s="1"/>
      <c r="G5283">
        <v>17.45</v>
      </c>
      <c r="H52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283" t="str">
        <f>IFERROR(INDEX(Raw_orders!G:G, MATCH(shipments[[#This Row],[order_id]],Raw_orders!A:A, 0)), "Unknown")</f>
        <v>Central Europe</v>
      </c>
      <c r="J5283" t="str">
        <f>PROPER(shipments[[#This Row],[delivery_status]])</f>
        <v>In Transit</v>
      </c>
      <c r="K5283" t="s">
        <v>6958</v>
      </c>
    </row>
    <row r="5284" spans="1:11">
      <c r="A5284" t="s">
        <v>12220</v>
      </c>
      <c r="B5284" t="s">
        <v>5882</v>
      </c>
      <c r="C5284" t="s">
        <v>6935</v>
      </c>
      <c r="D5284" s="1">
        <v>45300</v>
      </c>
      <c r="E5284" s="1">
        <v>45303</v>
      </c>
      <c r="F5284" s="1">
        <v>45303</v>
      </c>
      <c r="G5284">
        <v>56.37</v>
      </c>
      <c r="H52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284" t="str">
        <f>IFERROR(INDEX(Raw_orders!G:G, MATCH(shipments[[#This Row],[order_id]],Raw_orders!A:A, 0)), "Unknown")</f>
        <v>Central Europe</v>
      </c>
      <c r="J5284" t="str">
        <f>PROPER(shipments[[#This Row],[delivery_status]])</f>
        <v>Delivered</v>
      </c>
      <c r="K5284" t="s">
        <v>6926</v>
      </c>
    </row>
    <row r="5285" spans="1:11">
      <c r="A5285" t="s">
        <v>12221</v>
      </c>
      <c r="B5285" t="s">
        <v>5883</v>
      </c>
      <c r="C5285" t="s">
        <v>6935</v>
      </c>
      <c r="D5285" s="1">
        <v>45468</v>
      </c>
      <c r="E5285" s="1">
        <v>45471</v>
      </c>
      <c r="F5285" s="1">
        <v>45484</v>
      </c>
      <c r="G5285">
        <v>63.43</v>
      </c>
      <c r="H52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85" t="str">
        <f>IFERROR(INDEX(Raw_orders!G:G, MATCH(shipments[[#This Row],[order_id]],Raw_orders!A:A, 0)), "Unknown")</f>
        <v>Baltics</v>
      </c>
      <c r="J5285" t="str">
        <f>PROPER(shipments[[#This Row],[delivery_status]])</f>
        <v>Delivered</v>
      </c>
      <c r="K5285" t="s">
        <v>6929</v>
      </c>
    </row>
    <row r="5286" spans="1:11">
      <c r="A5286" t="s">
        <v>12222</v>
      </c>
      <c r="B5286" t="s">
        <v>5884</v>
      </c>
      <c r="C5286" t="s">
        <v>6956</v>
      </c>
      <c r="D5286" s="1">
        <v>45318</v>
      </c>
      <c r="E5286" s="1">
        <v>45323</v>
      </c>
      <c r="F5286" s="1">
        <v>45323</v>
      </c>
      <c r="G5286">
        <v>52.79</v>
      </c>
      <c r="H52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286" t="str">
        <f>IFERROR(INDEX(Raw_orders!G:G, MATCH(shipments[[#This Row],[order_id]],Raw_orders!A:A, 0)), "Unknown")</f>
        <v>Central Europe</v>
      </c>
      <c r="J5286" t="str">
        <f>PROPER(shipments[[#This Row],[delivery_status]])</f>
        <v>Delivered</v>
      </c>
      <c r="K5286" t="s">
        <v>6929</v>
      </c>
    </row>
    <row r="5287" spans="1:11">
      <c r="A5287" t="s">
        <v>12223</v>
      </c>
      <c r="B5287" t="s">
        <v>5885</v>
      </c>
      <c r="C5287" t="s">
        <v>6928</v>
      </c>
      <c r="D5287" s="1">
        <v>45069</v>
      </c>
      <c r="E5287" s="1">
        <v>45071</v>
      </c>
      <c r="F5287" s="1">
        <v>45076</v>
      </c>
      <c r="G5287">
        <v>59.92</v>
      </c>
      <c r="H52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87" t="str">
        <f>IFERROR(INDEX(Raw_orders!G:G, MATCH(shipments[[#This Row],[order_id]],Raw_orders!A:A, 0)), "Unknown")</f>
        <v>Central Europe</v>
      </c>
      <c r="J5287" t="str">
        <f>PROPER(shipments[[#This Row],[delivery_status]])</f>
        <v>Delivered</v>
      </c>
      <c r="K5287" t="s">
        <v>6929</v>
      </c>
    </row>
    <row r="5288" spans="1:11">
      <c r="A5288" t="s">
        <v>12224</v>
      </c>
      <c r="B5288" t="s">
        <v>5886</v>
      </c>
      <c r="C5288" t="s">
        <v>6921</v>
      </c>
      <c r="D5288" s="1">
        <v>45524</v>
      </c>
      <c r="E5288" s="1">
        <v>45527</v>
      </c>
      <c r="F5288" s="1">
        <v>45528</v>
      </c>
      <c r="G5288">
        <v>45.41</v>
      </c>
      <c r="H52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88" t="str">
        <f>IFERROR(INDEX(Raw_orders!G:G, MATCH(shipments[[#This Row],[order_id]],Raw_orders!A:A, 0)), "Unknown")</f>
        <v>Nordics</v>
      </c>
      <c r="J5288" t="str">
        <f>PROPER(shipments[[#This Row],[delivery_status]])</f>
        <v>Delivered</v>
      </c>
      <c r="K5288" t="s">
        <v>6929</v>
      </c>
    </row>
    <row r="5289" spans="1:11">
      <c r="A5289" t="s">
        <v>12225</v>
      </c>
      <c r="B5289" t="s">
        <v>5887</v>
      </c>
      <c r="C5289" t="s">
        <v>6928</v>
      </c>
      <c r="D5289" s="1">
        <v>45044</v>
      </c>
      <c r="E5289" s="1">
        <v>45054</v>
      </c>
      <c r="F5289" s="1">
        <v>45056</v>
      </c>
      <c r="G5289">
        <v>57.38</v>
      </c>
      <c r="H52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89" t="str">
        <f>IFERROR(INDEX(Raw_orders!G:G, MATCH(shipments[[#This Row],[order_id]],Raw_orders!A:A, 0)), "Unknown")</f>
        <v>Central Europe</v>
      </c>
      <c r="J5289" t="str">
        <f>PROPER(shipments[[#This Row],[delivery_status]])</f>
        <v>Delivered</v>
      </c>
      <c r="K5289" t="s">
        <v>6929</v>
      </c>
    </row>
    <row r="5290" spans="1:11">
      <c r="A5290" t="s">
        <v>12226</v>
      </c>
      <c r="B5290" t="s">
        <v>5888</v>
      </c>
      <c r="C5290" t="s">
        <v>6949</v>
      </c>
      <c r="D5290" s="1">
        <v>45212</v>
      </c>
      <c r="E5290" s="1">
        <v>45222</v>
      </c>
      <c r="F5290" s="1">
        <v>45222</v>
      </c>
      <c r="G5290">
        <v>21.33</v>
      </c>
      <c r="H52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290" t="str">
        <f>IFERROR(INDEX(Raw_orders!G:G, MATCH(shipments[[#This Row],[order_id]],Raw_orders!A:A, 0)), "Unknown")</f>
        <v>Nordics</v>
      </c>
      <c r="J5290" t="str">
        <f>PROPER(shipments[[#This Row],[delivery_status]])</f>
        <v>Delivered</v>
      </c>
      <c r="K5290" t="s">
        <v>6922</v>
      </c>
    </row>
    <row r="5291" spans="1:11">
      <c r="A5291" t="s">
        <v>12227</v>
      </c>
      <c r="B5291" t="s">
        <v>5889</v>
      </c>
      <c r="C5291" t="s">
        <v>6928</v>
      </c>
      <c r="D5291" s="1">
        <v>44961</v>
      </c>
      <c r="E5291" s="1">
        <v>44971</v>
      </c>
      <c r="F5291" s="1"/>
      <c r="G5291">
        <v>25.98</v>
      </c>
      <c r="H52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291" t="str">
        <f>IFERROR(INDEX(Raw_orders!G:G, MATCH(shipments[[#This Row],[order_id]],Raw_orders!A:A, 0)), "Unknown")</f>
        <v>Central Europe</v>
      </c>
      <c r="J5291" t="str">
        <f>PROPER(shipments[[#This Row],[delivery_status]])</f>
        <v>Cancelled</v>
      </c>
      <c r="K5291" t="s">
        <v>6972</v>
      </c>
    </row>
    <row r="5292" spans="1:11">
      <c r="A5292" t="s">
        <v>12228</v>
      </c>
      <c r="B5292" t="s">
        <v>5889</v>
      </c>
      <c r="C5292" t="s">
        <v>6935</v>
      </c>
      <c r="D5292" s="1">
        <v>44959</v>
      </c>
      <c r="E5292" s="1">
        <v>44964</v>
      </c>
      <c r="F5292" s="1">
        <v>44967</v>
      </c>
      <c r="G5292">
        <v>30.66</v>
      </c>
      <c r="H52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92" t="str">
        <f>IFERROR(INDEX(Raw_orders!G:G, MATCH(shipments[[#This Row],[order_id]],Raw_orders!A:A, 0)), "Unknown")</f>
        <v>Central Europe</v>
      </c>
      <c r="J5292" t="str">
        <f>PROPER(shipments[[#This Row],[delivery_status]])</f>
        <v>Delivered</v>
      </c>
      <c r="K5292" t="s">
        <v>6929</v>
      </c>
    </row>
    <row r="5293" spans="1:11">
      <c r="A5293" t="s">
        <v>12229</v>
      </c>
      <c r="B5293" t="s">
        <v>5890</v>
      </c>
      <c r="C5293" t="s">
        <v>6931</v>
      </c>
      <c r="D5293" s="1">
        <v>45289</v>
      </c>
      <c r="E5293" s="1">
        <v>45299</v>
      </c>
      <c r="F5293" s="1">
        <v>45301</v>
      </c>
      <c r="G5293">
        <v>53.89</v>
      </c>
      <c r="H52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93" t="str">
        <f>IFERROR(INDEX(Raw_orders!G:G, MATCH(shipments[[#This Row],[order_id]],Raw_orders!A:A, 0)), "Unknown")</f>
        <v>Baltics</v>
      </c>
      <c r="J5293" t="str">
        <f>PROPER(shipments[[#This Row],[delivery_status]])</f>
        <v>Delivered</v>
      </c>
      <c r="K5293" t="s">
        <v>6922</v>
      </c>
    </row>
    <row r="5294" spans="1:11">
      <c r="A5294" t="s">
        <v>12230</v>
      </c>
      <c r="B5294" t="s">
        <v>5890</v>
      </c>
      <c r="C5294" t="s">
        <v>6925</v>
      </c>
      <c r="D5294" s="1">
        <v>45292</v>
      </c>
      <c r="E5294" s="1">
        <v>45294</v>
      </c>
      <c r="F5294" s="1">
        <v>45296</v>
      </c>
      <c r="G5294">
        <v>60.72</v>
      </c>
      <c r="H52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94" t="str">
        <f>IFERROR(INDEX(Raw_orders!G:G, MATCH(shipments[[#This Row],[order_id]],Raw_orders!A:A, 0)), "Unknown")</f>
        <v>Baltics</v>
      </c>
      <c r="J5294" t="str">
        <f>PROPER(shipments[[#This Row],[delivery_status]])</f>
        <v>Delivered</v>
      </c>
      <c r="K5294" t="s">
        <v>6929</v>
      </c>
    </row>
    <row r="5295" spans="1:11">
      <c r="A5295" t="s">
        <v>12231</v>
      </c>
      <c r="B5295" t="s">
        <v>5891</v>
      </c>
      <c r="C5295" t="s">
        <v>6921</v>
      </c>
      <c r="D5295" s="1">
        <v>45102</v>
      </c>
      <c r="E5295" s="1">
        <v>45112</v>
      </c>
      <c r="F5295" s="1">
        <v>45114</v>
      </c>
      <c r="G5295">
        <v>32.22</v>
      </c>
      <c r="H52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95" t="str">
        <f>IFERROR(INDEX(Raw_orders!G:G, MATCH(shipments[[#This Row],[order_id]],Raw_orders!A:A, 0)), "Unknown")</f>
        <v>Nordics</v>
      </c>
      <c r="J5295" t="str">
        <f>PROPER(shipments[[#This Row],[delivery_status]])</f>
        <v>Delivered</v>
      </c>
      <c r="K5295" t="s">
        <v>6926</v>
      </c>
    </row>
    <row r="5296" spans="1:11">
      <c r="A5296" t="s">
        <v>12232</v>
      </c>
      <c r="B5296" t="s">
        <v>5892</v>
      </c>
      <c r="C5296" t="s">
        <v>6935</v>
      </c>
      <c r="D5296" s="1">
        <v>45194</v>
      </c>
      <c r="E5296" s="1">
        <v>45204</v>
      </c>
      <c r="F5296" s="1"/>
      <c r="G5296">
        <v>29.39</v>
      </c>
      <c r="H52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296" t="str">
        <f>IFERROR(INDEX(Raw_orders!G:G, MATCH(shipments[[#This Row],[order_id]],Raw_orders!A:A, 0)), "Unknown")</f>
        <v>Baltics</v>
      </c>
      <c r="J5296" t="str">
        <f>PROPER(shipments[[#This Row],[delivery_status]])</f>
        <v>In Transit</v>
      </c>
      <c r="K5296" t="s">
        <v>6958</v>
      </c>
    </row>
    <row r="5297" spans="1:11">
      <c r="A5297" t="s">
        <v>12233</v>
      </c>
      <c r="B5297" t="s">
        <v>5893</v>
      </c>
      <c r="C5297" t="s">
        <v>6940</v>
      </c>
      <c r="D5297" s="1">
        <v>45331</v>
      </c>
      <c r="E5297" s="1">
        <v>45334</v>
      </c>
      <c r="F5297" s="1"/>
      <c r="G5297">
        <v>6.87</v>
      </c>
      <c r="H52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297" t="str">
        <f>IFERROR(INDEX(Raw_orders!G:G, MATCH(shipments[[#This Row],[order_id]],Raw_orders!A:A, 0)), "Unknown")</f>
        <v>Baltics</v>
      </c>
      <c r="J5297" t="str">
        <f>PROPER(shipments[[#This Row],[delivery_status]])</f>
        <v>In Transit</v>
      </c>
      <c r="K5297" t="s">
        <v>6977</v>
      </c>
    </row>
    <row r="5298" spans="1:11">
      <c r="A5298" t="s">
        <v>12234</v>
      </c>
      <c r="B5298" t="s">
        <v>5894</v>
      </c>
      <c r="C5298" t="s">
        <v>6940</v>
      </c>
      <c r="D5298" s="1">
        <v>45545</v>
      </c>
      <c r="E5298" s="1">
        <v>45550</v>
      </c>
      <c r="F5298" s="1">
        <v>45554</v>
      </c>
      <c r="G5298">
        <v>46.39</v>
      </c>
      <c r="H52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298" t="str">
        <f>IFERROR(INDEX(Raw_orders!G:G, MATCH(shipments[[#This Row],[order_id]],Raw_orders!A:A, 0)), "Unknown")</f>
        <v>Nordics</v>
      </c>
      <c r="J5298" t="str">
        <f>PROPER(shipments[[#This Row],[delivery_status]])</f>
        <v>Delivered</v>
      </c>
      <c r="K5298" t="s">
        <v>6922</v>
      </c>
    </row>
    <row r="5299" spans="1:11">
      <c r="A5299" t="s">
        <v>12235</v>
      </c>
      <c r="B5299" t="s">
        <v>5895</v>
      </c>
      <c r="C5299" t="s">
        <v>6938</v>
      </c>
      <c r="D5299" s="1">
        <v>44942</v>
      </c>
      <c r="E5299" s="1">
        <v>44944</v>
      </c>
      <c r="F5299" s="1">
        <v>44944</v>
      </c>
      <c r="G5299">
        <v>17.45</v>
      </c>
      <c r="H52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299" t="str">
        <f>IFERROR(INDEX(Raw_orders!G:G, MATCH(shipments[[#This Row],[order_id]],Raw_orders!A:A, 0)), "Unknown")</f>
        <v>Nordics</v>
      </c>
      <c r="J5299" t="str">
        <f>PROPER(shipments[[#This Row],[delivery_status]])</f>
        <v>Delivered</v>
      </c>
      <c r="K5299" t="s">
        <v>6922</v>
      </c>
    </row>
    <row r="5300" spans="1:11">
      <c r="A5300" t="s">
        <v>12236</v>
      </c>
      <c r="B5300" t="s">
        <v>5896</v>
      </c>
      <c r="C5300" t="s">
        <v>6940</v>
      </c>
      <c r="D5300" s="1">
        <v>45231</v>
      </c>
      <c r="E5300" s="1">
        <v>45234</v>
      </c>
      <c r="F5300" s="1">
        <v>45233</v>
      </c>
      <c r="G5300">
        <v>41.87</v>
      </c>
      <c r="H53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300" t="str">
        <f>IFERROR(INDEX(Raw_orders!G:G, MATCH(shipments[[#This Row],[order_id]],Raw_orders!A:A, 0)), "Unknown")</f>
        <v>Baltics</v>
      </c>
      <c r="J5300" t="str">
        <f>PROPER(shipments[[#This Row],[delivery_status]])</f>
        <v>Delivered</v>
      </c>
      <c r="K5300" t="s">
        <v>6926</v>
      </c>
    </row>
    <row r="5301" spans="1:11">
      <c r="A5301" t="s">
        <v>12237</v>
      </c>
      <c r="B5301" t="s">
        <v>5897</v>
      </c>
      <c r="C5301" t="s">
        <v>6931</v>
      </c>
      <c r="D5301" s="1">
        <v>45224</v>
      </c>
      <c r="E5301" s="1">
        <v>45229</v>
      </c>
      <c r="F5301" s="1">
        <v>45234</v>
      </c>
      <c r="G5301">
        <v>22.45</v>
      </c>
      <c r="H53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01" t="str">
        <f>IFERROR(INDEX(Raw_orders!G:G, MATCH(shipments[[#This Row],[order_id]],Raw_orders!A:A, 0)), "Unknown")</f>
        <v>Baltics</v>
      </c>
      <c r="J5301" t="str">
        <f>PROPER(shipments[[#This Row],[delivery_status]])</f>
        <v>Delivered</v>
      </c>
      <c r="K5301" t="s">
        <v>6929</v>
      </c>
    </row>
    <row r="5302" spans="1:11">
      <c r="A5302" t="s">
        <v>12238</v>
      </c>
      <c r="B5302" t="s">
        <v>5898</v>
      </c>
      <c r="C5302" t="s">
        <v>6956</v>
      </c>
      <c r="D5302" s="1">
        <v>45124</v>
      </c>
      <c r="E5302" s="1">
        <v>45129</v>
      </c>
      <c r="F5302" s="1">
        <v>45131</v>
      </c>
      <c r="G5302">
        <v>28.81</v>
      </c>
      <c r="H53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02" t="str">
        <f>IFERROR(INDEX(Raw_orders!G:G, MATCH(shipments[[#This Row],[order_id]],Raw_orders!A:A, 0)), "Unknown")</f>
        <v>Nordics</v>
      </c>
      <c r="J5302" t="str">
        <f>PROPER(shipments[[#This Row],[delivery_status]])</f>
        <v>Delivered</v>
      </c>
      <c r="K5302" t="s">
        <v>6929</v>
      </c>
    </row>
    <row r="5303" spans="1:11">
      <c r="A5303" t="s">
        <v>12239</v>
      </c>
      <c r="B5303" t="s">
        <v>5899</v>
      </c>
      <c r="C5303" t="s">
        <v>6938</v>
      </c>
      <c r="D5303" s="1">
        <v>45182</v>
      </c>
      <c r="E5303" s="1">
        <v>45184</v>
      </c>
      <c r="F5303" s="1">
        <v>45184</v>
      </c>
      <c r="G5303">
        <v>32.22</v>
      </c>
      <c r="H53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303" t="str">
        <f>IFERROR(INDEX(Raw_orders!G:G, MATCH(shipments[[#This Row],[order_id]],Raw_orders!A:A, 0)), "Unknown")</f>
        <v>Baltics</v>
      </c>
      <c r="J5303" t="str">
        <f>PROPER(shipments[[#This Row],[delivery_status]])</f>
        <v>Delivered</v>
      </c>
      <c r="K5303" t="s">
        <v>6922</v>
      </c>
    </row>
    <row r="5304" spans="1:11">
      <c r="A5304" t="s">
        <v>12240</v>
      </c>
      <c r="B5304" t="s">
        <v>5900</v>
      </c>
      <c r="C5304" t="s">
        <v>6925</v>
      </c>
      <c r="D5304" s="1">
        <v>45306</v>
      </c>
      <c r="E5304" s="1">
        <v>45311</v>
      </c>
      <c r="F5304" s="1"/>
      <c r="G5304">
        <v>6.22</v>
      </c>
      <c r="H53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304" t="str">
        <f>IFERROR(INDEX(Raw_orders!G:G, MATCH(shipments[[#This Row],[order_id]],Raw_orders!A:A, 0)), "Unknown")</f>
        <v>Nordics</v>
      </c>
      <c r="J5304" t="str">
        <f>PROPER(shipments[[#This Row],[delivery_status]])</f>
        <v>Cancelled</v>
      </c>
      <c r="K5304" t="s">
        <v>6979</v>
      </c>
    </row>
    <row r="5305" spans="1:11">
      <c r="A5305" t="s">
        <v>12241</v>
      </c>
      <c r="B5305" t="s">
        <v>5901</v>
      </c>
      <c r="C5305" t="s">
        <v>6956</v>
      </c>
      <c r="D5305" s="1">
        <v>45564</v>
      </c>
      <c r="E5305" s="1">
        <v>45567</v>
      </c>
      <c r="F5305" s="1">
        <v>45581</v>
      </c>
      <c r="G5305">
        <v>28.54</v>
      </c>
      <c r="H53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05" t="str">
        <f>IFERROR(INDEX(Raw_orders!G:G, MATCH(shipments[[#This Row],[order_id]],Raw_orders!A:A, 0)), "Unknown")</f>
        <v>Baltics</v>
      </c>
      <c r="J5305" t="str">
        <f>PROPER(shipments[[#This Row],[delivery_status]])</f>
        <v>Delivered</v>
      </c>
      <c r="K5305" t="s">
        <v>6926</v>
      </c>
    </row>
    <row r="5306" spans="1:11">
      <c r="A5306" t="s">
        <v>12242</v>
      </c>
      <c r="B5306" t="s">
        <v>5902</v>
      </c>
      <c r="C5306" t="s">
        <v>6921</v>
      </c>
      <c r="D5306" s="1">
        <v>45328</v>
      </c>
      <c r="E5306" s="1">
        <v>45333</v>
      </c>
      <c r="F5306" s="1">
        <v>45338</v>
      </c>
      <c r="G5306">
        <v>50.61</v>
      </c>
      <c r="H53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06" t="str">
        <f>IFERROR(INDEX(Raw_orders!G:G, MATCH(shipments[[#This Row],[order_id]],Raw_orders!A:A, 0)), "Unknown")</f>
        <v>Baltics</v>
      </c>
      <c r="J5306" t="str">
        <f>PROPER(shipments[[#This Row],[delivery_status]])</f>
        <v>Delivered</v>
      </c>
      <c r="K5306" t="s">
        <v>6929</v>
      </c>
    </row>
    <row r="5307" spans="1:11">
      <c r="A5307" t="s">
        <v>12243</v>
      </c>
      <c r="B5307" t="s">
        <v>5903</v>
      </c>
      <c r="C5307" t="s">
        <v>6940</v>
      </c>
      <c r="D5307" s="1">
        <v>45542</v>
      </c>
      <c r="E5307" s="1">
        <v>45544</v>
      </c>
      <c r="F5307" s="1">
        <v>45544</v>
      </c>
      <c r="G5307">
        <v>54.8</v>
      </c>
      <c r="H53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307" t="str">
        <f>IFERROR(INDEX(Raw_orders!G:G, MATCH(shipments[[#This Row],[order_id]],Raw_orders!A:A, 0)), "Unknown")</f>
        <v>Baltics</v>
      </c>
      <c r="J5307" t="str">
        <f>PROPER(shipments[[#This Row],[delivery_status]])</f>
        <v>Delivered</v>
      </c>
      <c r="K5307" t="s">
        <v>6926</v>
      </c>
    </row>
    <row r="5308" spans="1:11">
      <c r="A5308" t="s">
        <v>12244</v>
      </c>
      <c r="B5308" t="s">
        <v>5904</v>
      </c>
      <c r="C5308" t="s">
        <v>6921</v>
      </c>
      <c r="D5308" s="1">
        <v>45179</v>
      </c>
      <c r="E5308" s="1">
        <v>45189</v>
      </c>
      <c r="F5308" s="1">
        <v>45189</v>
      </c>
      <c r="G5308">
        <v>59.84</v>
      </c>
      <c r="H53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308" t="str">
        <f>IFERROR(INDEX(Raw_orders!G:G, MATCH(shipments[[#This Row],[order_id]],Raw_orders!A:A, 0)), "Unknown")</f>
        <v>Baltics</v>
      </c>
      <c r="J5308" t="str">
        <f>PROPER(shipments[[#This Row],[delivery_status]])</f>
        <v>Delivered</v>
      </c>
      <c r="K5308" t="s">
        <v>6929</v>
      </c>
    </row>
    <row r="5309" spans="1:11">
      <c r="A5309" t="s">
        <v>12245</v>
      </c>
      <c r="B5309" t="s">
        <v>5904</v>
      </c>
      <c r="C5309" t="s">
        <v>6956</v>
      </c>
      <c r="D5309" s="1">
        <v>45178</v>
      </c>
      <c r="E5309" s="1">
        <v>45180</v>
      </c>
      <c r="F5309" s="1">
        <v>45182</v>
      </c>
      <c r="G5309">
        <v>19.11</v>
      </c>
      <c r="H53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09" t="str">
        <f>IFERROR(INDEX(Raw_orders!G:G, MATCH(shipments[[#This Row],[order_id]],Raw_orders!A:A, 0)), "Unknown")</f>
        <v>Baltics</v>
      </c>
      <c r="J5309" t="str">
        <f>PROPER(shipments[[#This Row],[delivery_status]])</f>
        <v>Delivered</v>
      </c>
      <c r="K5309" t="s">
        <v>6922</v>
      </c>
    </row>
    <row r="5310" spans="1:11">
      <c r="A5310" t="s">
        <v>12246</v>
      </c>
      <c r="B5310" t="s">
        <v>5905</v>
      </c>
      <c r="C5310" t="s">
        <v>6940</v>
      </c>
      <c r="D5310" s="1">
        <v>44960</v>
      </c>
      <c r="E5310" s="1">
        <v>44965</v>
      </c>
      <c r="F5310" s="1">
        <v>44966</v>
      </c>
      <c r="G5310">
        <v>58.29</v>
      </c>
      <c r="H53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10" t="str">
        <f>IFERROR(INDEX(Raw_orders!G:G, MATCH(shipments[[#This Row],[order_id]],Raw_orders!A:A, 0)), "Unknown")</f>
        <v>Central Europe</v>
      </c>
      <c r="J5310" t="str">
        <f>PROPER(shipments[[#This Row],[delivery_status]])</f>
        <v>Delivered</v>
      </c>
      <c r="K5310" t="s">
        <v>6929</v>
      </c>
    </row>
    <row r="5311" spans="1:11">
      <c r="A5311" t="s">
        <v>12247</v>
      </c>
      <c r="B5311" t="s">
        <v>5906</v>
      </c>
      <c r="C5311" t="s">
        <v>6921</v>
      </c>
      <c r="D5311" s="1">
        <v>45613</v>
      </c>
      <c r="E5311" s="1">
        <v>45615</v>
      </c>
      <c r="F5311" s="1"/>
      <c r="G5311">
        <v>18.03</v>
      </c>
      <c r="H53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311" t="str">
        <f>IFERROR(INDEX(Raw_orders!G:G, MATCH(shipments[[#This Row],[order_id]],Raw_orders!A:A, 0)), "Unknown")</f>
        <v>Nordics</v>
      </c>
      <c r="J5311" t="str">
        <f>PROPER(shipments[[#This Row],[delivery_status]])</f>
        <v>Cancelled</v>
      </c>
      <c r="K5311" t="s">
        <v>6963</v>
      </c>
    </row>
    <row r="5312" spans="1:11">
      <c r="A5312" t="s">
        <v>12248</v>
      </c>
      <c r="B5312" t="s">
        <v>5906</v>
      </c>
      <c r="C5312" t="s">
        <v>6938</v>
      </c>
      <c r="D5312" s="1">
        <v>45613</v>
      </c>
      <c r="E5312" s="1">
        <v>45618</v>
      </c>
      <c r="F5312" s="1"/>
      <c r="G5312">
        <v>13.14</v>
      </c>
      <c r="H53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312" t="str">
        <f>IFERROR(INDEX(Raw_orders!G:G, MATCH(shipments[[#This Row],[order_id]],Raw_orders!A:A, 0)), "Unknown")</f>
        <v>Nordics</v>
      </c>
      <c r="J5312" t="str">
        <f>PROPER(shipments[[#This Row],[delivery_status]])</f>
        <v>In Transit</v>
      </c>
      <c r="K5312" t="s">
        <v>6958</v>
      </c>
    </row>
    <row r="5313" spans="1:11">
      <c r="A5313" t="s">
        <v>12249</v>
      </c>
      <c r="B5313" t="s">
        <v>5907</v>
      </c>
      <c r="C5313" t="s">
        <v>6925</v>
      </c>
      <c r="D5313" s="1">
        <v>45028</v>
      </c>
      <c r="E5313" s="1">
        <v>45035</v>
      </c>
      <c r="F5313" s="1">
        <v>45035</v>
      </c>
      <c r="G5313">
        <v>37.1</v>
      </c>
      <c r="H53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313" t="str">
        <f>IFERROR(INDEX(Raw_orders!G:G, MATCH(shipments[[#This Row],[order_id]],Raw_orders!A:A, 0)), "Unknown")</f>
        <v>Central Europe</v>
      </c>
      <c r="J5313" t="str">
        <f>PROPER(shipments[[#This Row],[delivery_status]])</f>
        <v>Delivered</v>
      </c>
      <c r="K5313" t="s">
        <v>6926</v>
      </c>
    </row>
    <row r="5314" spans="1:11">
      <c r="A5314" t="s">
        <v>12250</v>
      </c>
      <c r="B5314" t="s">
        <v>5907</v>
      </c>
      <c r="C5314" t="s">
        <v>6940</v>
      </c>
      <c r="D5314" s="1">
        <v>45028</v>
      </c>
      <c r="E5314" s="1">
        <v>45033</v>
      </c>
      <c r="F5314" s="1">
        <v>45033</v>
      </c>
      <c r="G5314">
        <v>40.86</v>
      </c>
      <c r="H53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314" t="str">
        <f>IFERROR(INDEX(Raw_orders!G:G, MATCH(shipments[[#This Row],[order_id]],Raw_orders!A:A, 0)), "Unknown")</f>
        <v>Central Europe</v>
      </c>
      <c r="J5314" t="str">
        <f>PROPER(shipments[[#This Row],[delivery_status]])</f>
        <v>Delivered</v>
      </c>
      <c r="K5314" t="s">
        <v>6926</v>
      </c>
    </row>
    <row r="5315" spans="1:11">
      <c r="A5315" t="s">
        <v>12251</v>
      </c>
      <c r="B5315" t="s">
        <v>5908</v>
      </c>
      <c r="C5315" t="s">
        <v>6921</v>
      </c>
      <c r="D5315" s="1">
        <v>45386</v>
      </c>
      <c r="E5315" s="1">
        <v>45391</v>
      </c>
      <c r="F5315" s="1">
        <v>45391</v>
      </c>
      <c r="G5315">
        <v>31.95</v>
      </c>
      <c r="H53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315" t="str">
        <f>IFERROR(INDEX(Raw_orders!G:G, MATCH(shipments[[#This Row],[order_id]],Raw_orders!A:A, 0)), "Unknown")</f>
        <v>Baltics</v>
      </c>
      <c r="J5315" t="str">
        <f>PROPER(shipments[[#This Row],[delivery_status]])</f>
        <v>Delivered</v>
      </c>
      <c r="K5315" t="s">
        <v>6922</v>
      </c>
    </row>
    <row r="5316" spans="1:11">
      <c r="A5316" t="s">
        <v>12252</v>
      </c>
      <c r="B5316" t="s">
        <v>5909</v>
      </c>
      <c r="C5316" t="s">
        <v>6925</v>
      </c>
      <c r="D5316" s="1">
        <v>45192</v>
      </c>
      <c r="E5316" s="1">
        <v>45197</v>
      </c>
      <c r="F5316" s="1">
        <v>45197</v>
      </c>
      <c r="G5316">
        <v>58.92</v>
      </c>
      <c r="H53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316" t="str">
        <f>IFERROR(INDEX(Raw_orders!G:G, MATCH(shipments[[#This Row],[order_id]],Raw_orders!A:A, 0)), "Unknown")</f>
        <v>Nordics</v>
      </c>
      <c r="J5316" t="str">
        <f>PROPER(shipments[[#This Row],[delivery_status]])</f>
        <v>Delivered</v>
      </c>
      <c r="K5316" t="s">
        <v>6922</v>
      </c>
    </row>
    <row r="5317" spans="1:11">
      <c r="A5317" t="s">
        <v>12253</v>
      </c>
      <c r="B5317" t="s">
        <v>5910</v>
      </c>
      <c r="C5317" t="s">
        <v>6940</v>
      </c>
      <c r="D5317" s="1">
        <v>44991</v>
      </c>
      <c r="E5317" s="1">
        <v>44994</v>
      </c>
      <c r="F5317" s="1"/>
      <c r="G5317">
        <v>30.03</v>
      </c>
      <c r="H53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317" t="str">
        <f>IFERROR(INDEX(Raw_orders!G:G, MATCH(shipments[[#This Row],[order_id]],Raw_orders!A:A, 0)), "Unknown")</f>
        <v>Nordics</v>
      </c>
      <c r="J5317" t="str">
        <f>PROPER(shipments[[#This Row],[delivery_status]])</f>
        <v>In Transit</v>
      </c>
      <c r="K5317" t="s">
        <v>6946</v>
      </c>
    </row>
    <row r="5318" spans="1:11">
      <c r="A5318" t="s">
        <v>12254</v>
      </c>
      <c r="B5318" t="s">
        <v>5911</v>
      </c>
      <c r="C5318" t="s">
        <v>6931</v>
      </c>
      <c r="D5318" s="1">
        <v>45264</v>
      </c>
      <c r="E5318" s="1">
        <v>45271</v>
      </c>
      <c r="F5318" s="1">
        <v>45274</v>
      </c>
      <c r="G5318">
        <v>19.86</v>
      </c>
      <c r="H53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18" t="str">
        <f>IFERROR(INDEX(Raw_orders!G:G, MATCH(shipments[[#This Row],[order_id]],Raw_orders!A:A, 0)), "Unknown")</f>
        <v>Baltics</v>
      </c>
      <c r="J5318" t="str">
        <f>PROPER(shipments[[#This Row],[delivery_status]])</f>
        <v>Delivered</v>
      </c>
      <c r="K5318" t="s">
        <v>6922</v>
      </c>
    </row>
    <row r="5319" spans="1:11">
      <c r="A5319" t="s">
        <v>12255</v>
      </c>
      <c r="B5319" t="s">
        <v>5912</v>
      </c>
      <c r="C5319" t="s">
        <v>6931</v>
      </c>
      <c r="D5319" s="1">
        <v>45216</v>
      </c>
      <c r="E5319" s="1">
        <v>45218</v>
      </c>
      <c r="F5319" s="1">
        <v>45218</v>
      </c>
      <c r="G5319">
        <v>13.33</v>
      </c>
      <c r="H53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319" t="str">
        <f>IFERROR(INDEX(Raw_orders!G:G, MATCH(shipments[[#This Row],[order_id]],Raw_orders!A:A, 0)), "Unknown")</f>
        <v>Nordics</v>
      </c>
      <c r="J5319" t="str">
        <f>PROPER(shipments[[#This Row],[delivery_status]])</f>
        <v>Delivered</v>
      </c>
      <c r="K5319" t="s">
        <v>6922</v>
      </c>
    </row>
    <row r="5320" spans="1:11">
      <c r="A5320" t="s">
        <v>12256</v>
      </c>
      <c r="B5320" t="s">
        <v>5913</v>
      </c>
      <c r="C5320" t="s">
        <v>6925</v>
      </c>
      <c r="D5320" s="1">
        <v>45451</v>
      </c>
      <c r="E5320" s="1">
        <v>45454</v>
      </c>
      <c r="F5320" s="1">
        <v>45455</v>
      </c>
      <c r="G5320">
        <v>15.74</v>
      </c>
      <c r="H53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20" t="str">
        <f>IFERROR(INDEX(Raw_orders!G:G, MATCH(shipments[[#This Row],[order_id]],Raw_orders!A:A, 0)), "Unknown")</f>
        <v>Central Europe</v>
      </c>
      <c r="J5320" t="str">
        <f>PROPER(shipments[[#This Row],[delivery_status]])</f>
        <v>Delivered</v>
      </c>
      <c r="K5320" t="s">
        <v>6929</v>
      </c>
    </row>
    <row r="5321" spans="1:11">
      <c r="A5321" t="s">
        <v>12257</v>
      </c>
      <c r="B5321" t="s">
        <v>5914</v>
      </c>
      <c r="C5321" t="s">
        <v>6921</v>
      </c>
      <c r="D5321" s="1">
        <v>45489</v>
      </c>
      <c r="E5321" s="1">
        <v>45496</v>
      </c>
      <c r="F5321" s="1"/>
      <c r="G5321">
        <v>62.24</v>
      </c>
      <c r="H53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321" t="str">
        <f>IFERROR(INDEX(Raw_orders!G:G, MATCH(shipments[[#This Row],[order_id]],Raw_orders!A:A, 0)), "Unknown")</f>
        <v>Nordics</v>
      </c>
      <c r="J5321" t="str">
        <f>PROPER(shipments[[#This Row],[delivery_status]])</f>
        <v>In Transit</v>
      </c>
      <c r="K5321" t="s">
        <v>6977</v>
      </c>
    </row>
    <row r="5322" spans="1:11">
      <c r="A5322" t="s">
        <v>12258</v>
      </c>
      <c r="B5322" t="s">
        <v>5915</v>
      </c>
      <c r="C5322" t="s">
        <v>6938</v>
      </c>
      <c r="D5322" s="1">
        <v>45368</v>
      </c>
      <c r="E5322" s="1">
        <v>45373</v>
      </c>
      <c r="F5322" s="1"/>
      <c r="G5322">
        <v>45.54</v>
      </c>
      <c r="H53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322" t="str">
        <f>IFERROR(INDEX(Raw_orders!G:G, MATCH(shipments[[#This Row],[order_id]],Raw_orders!A:A, 0)), "Unknown")</f>
        <v>Nordics</v>
      </c>
      <c r="J5322" t="str">
        <f>PROPER(shipments[[#This Row],[delivery_status]])</f>
        <v>In Transit</v>
      </c>
      <c r="K5322" t="s">
        <v>6946</v>
      </c>
    </row>
    <row r="5323" spans="1:11">
      <c r="A5323" t="s">
        <v>12259</v>
      </c>
      <c r="B5323" t="s">
        <v>5916</v>
      </c>
      <c r="C5323" t="s">
        <v>6928</v>
      </c>
      <c r="D5323" s="1">
        <v>45260</v>
      </c>
      <c r="E5323" s="1">
        <v>45270</v>
      </c>
      <c r="F5323" s="1">
        <v>45278</v>
      </c>
      <c r="G5323">
        <v>39.450000000000003</v>
      </c>
      <c r="H53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23" t="str">
        <f>IFERROR(INDEX(Raw_orders!G:G, MATCH(shipments[[#This Row],[order_id]],Raw_orders!A:A, 0)), "Unknown")</f>
        <v>Central Europe</v>
      </c>
      <c r="J5323" t="str">
        <f>PROPER(shipments[[#This Row],[delivery_status]])</f>
        <v>Delivered</v>
      </c>
      <c r="K5323" t="s">
        <v>6926</v>
      </c>
    </row>
    <row r="5324" spans="1:11">
      <c r="A5324" t="s">
        <v>12260</v>
      </c>
      <c r="B5324" t="s">
        <v>5917</v>
      </c>
      <c r="C5324" t="s">
        <v>6925</v>
      </c>
      <c r="D5324" s="1">
        <v>45618</v>
      </c>
      <c r="E5324" s="1">
        <v>45620</v>
      </c>
      <c r="F5324" s="1">
        <v>45622</v>
      </c>
      <c r="G5324">
        <v>6.6</v>
      </c>
      <c r="H53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24" t="str">
        <f>IFERROR(INDEX(Raw_orders!G:G, MATCH(shipments[[#This Row],[order_id]],Raw_orders!A:A, 0)), "Unknown")</f>
        <v>Central Europe</v>
      </c>
      <c r="J5324" t="str">
        <f>PROPER(shipments[[#This Row],[delivery_status]])</f>
        <v>Delivered</v>
      </c>
      <c r="K5324" t="s">
        <v>6929</v>
      </c>
    </row>
    <row r="5325" spans="1:11">
      <c r="A5325" t="s">
        <v>12261</v>
      </c>
      <c r="B5325" t="s">
        <v>5918</v>
      </c>
      <c r="C5325" t="s">
        <v>6925</v>
      </c>
      <c r="D5325" s="1">
        <v>45449</v>
      </c>
      <c r="E5325" s="1">
        <v>45454</v>
      </c>
      <c r="F5325" s="1">
        <v>45454</v>
      </c>
      <c r="G5325">
        <v>32.479999999999997</v>
      </c>
      <c r="H53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325" t="str">
        <f>IFERROR(INDEX(Raw_orders!G:G, MATCH(shipments[[#This Row],[order_id]],Raw_orders!A:A, 0)), "Unknown")</f>
        <v>Baltics</v>
      </c>
      <c r="J5325" t="str">
        <f>PROPER(shipments[[#This Row],[delivery_status]])</f>
        <v>Delivered</v>
      </c>
      <c r="K5325" t="s">
        <v>6929</v>
      </c>
    </row>
    <row r="5326" spans="1:11">
      <c r="A5326" t="s">
        <v>12262</v>
      </c>
      <c r="B5326" t="s">
        <v>5918</v>
      </c>
      <c r="C5326" t="s">
        <v>6921</v>
      </c>
      <c r="D5326" s="1">
        <v>45446</v>
      </c>
      <c r="E5326" s="1">
        <v>45449</v>
      </c>
      <c r="F5326" s="1">
        <v>45449</v>
      </c>
      <c r="G5326">
        <v>46.9</v>
      </c>
      <c r="H53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326" t="str">
        <f>IFERROR(INDEX(Raw_orders!G:G, MATCH(shipments[[#This Row],[order_id]],Raw_orders!A:A, 0)), "Unknown")</f>
        <v>Baltics</v>
      </c>
      <c r="J5326" t="str">
        <f>PROPER(shipments[[#This Row],[delivery_status]])</f>
        <v>Delivered</v>
      </c>
      <c r="K5326" t="s">
        <v>6926</v>
      </c>
    </row>
    <row r="5327" spans="1:11">
      <c r="A5327" t="s">
        <v>12263</v>
      </c>
      <c r="B5327" t="s">
        <v>5919</v>
      </c>
      <c r="C5327" t="s">
        <v>6938</v>
      </c>
      <c r="D5327" s="1">
        <v>45462</v>
      </c>
      <c r="E5327" s="1">
        <v>45467</v>
      </c>
      <c r="F5327" s="1">
        <v>45466</v>
      </c>
      <c r="G5327">
        <v>40.32</v>
      </c>
      <c r="H53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327" t="str">
        <f>IFERROR(INDEX(Raw_orders!G:G, MATCH(shipments[[#This Row],[order_id]],Raw_orders!A:A, 0)), "Unknown")</f>
        <v>Nordics</v>
      </c>
      <c r="J5327" t="str">
        <f>PROPER(shipments[[#This Row],[delivery_status]])</f>
        <v>Delivered</v>
      </c>
      <c r="K5327" t="s">
        <v>6922</v>
      </c>
    </row>
    <row r="5328" spans="1:11">
      <c r="A5328" t="s">
        <v>12264</v>
      </c>
      <c r="B5328" t="s">
        <v>5920</v>
      </c>
      <c r="C5328" t="s">
        <v>6940</v>
      </c>
      <c r="D5328" s="1">
        <v>45575</v>
      </c>
      <c r="E5328" s="1">
        <v>45585</v>
      </c>
      <c r="F5328" s="1">
        <v>45599</v>
      </c>
      <c r="G5328">
        <v>20.13</v>
      </c>
      <c r="H53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28" t="str">
        <f>IFERROR(INDEX(Raw_orders!G:G, MATCH(shipments[[#This Row],[order_id]],Raw_orders!A:A, 0)), "Unknown")</f>
        <v>Central Europe</v>
      </c>
      <c r="J5328" t="str">
        <f>PROPER(shipments[[#This Row],[delivery_status]])</f>
        <v>Delivered</v>
      </c>
      <c r="K5328" t="s">
        <v>6929</v>
      </c>
    </row>
    <row r="5329" spans="1:11">
      <c r="A5329" t="s">
        <v>12265</v>
      </c>
      <c r="B5329" t="s">
        <v>5921</v>
      </c>
      <c r="C5329" t="s">
        <v>6956</v>
      </c>
      <c r="D5329" s="1">
        <v>44948</v>
      </c>
      <c r="E5329" s="1">
        <v>44955</v>
      </c>
      <c r="F5329" s="1">
        <v>44967</v>
      </c>
      <c r="G5329">
        <v>18.04</v>
      </c>
      <c r="H53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29" t="str">
        <f>IFERROR(INDEX(Raw_orders!G:G, MATCH(shipments[[#This Row],[order_id]],Raw_orders!A:A, 0)), "Unknown")</f>
        <v>Nordics</v>
      </c>
      <c r="J5329" t="str">
        <f>PROPER(shipments[[#This Row],[delivery_status]])</f>
        <v>Delivered</v>
      </c>
      <c r="K5329" t="s">
        <v>6922</v>
      </c>
    </row>
    <row r="5330" spans="1:11">
      <c r="A5330" t="s">
        <v>12266</v>
      </c>
      <c r="B5330" t="s">
        <v>5922</v>
      </c>
      <c r="C5330" t="s">
        <v>6931</v>
      </c>
      <c r="D5330" s="1">
        <v>45239</v>
      </c>
      <c r="E5330" s="1">
        <v>45242</v>
      </c>
      <c r="F5330" s="1"/>
      <c r="G5330">
        <v>11.05</v>
      </c>
      <c r="H53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330" t="str">
        <f>IFERROR(INDEX(Raw_orders!G:G, MATCH(shipments[[#This Row],[order_id]],Raw_orders!A:A, 0)), "Unknown")</f>
        <v>Nordics</v>
      </c>
      <c r="J5330" t="str">
        <f>PROPER(shipments[[#This Row],[delivery_status]])</f>
        <v>In Transit</v>
      </c>
      <c r="K5330" t="s">
        <v>6958</v>
      </c>
    </row>
    <row r="5331" spans="1:11">
      <c r="A5331" t="s">
        <v>12267</v>
      </c>
      <c r="B5331" t="s">
        <v>5923</v>
      </c>
      <c r="C5331" t="s">
        <v>6921</v>
      </c>
      <c r="D5331" s="1">
        <v>45572</v>
      </c>
      <c r="E5331" s="1">
        <v>45577</v>
      </c>
      <c r="F5331" s="1">
        <v>45590</v>
      </c>
      <c r="G5331">
        <v>42.58</v>
      </c>
      <c r="H53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31" t="str">
        <f>IFERROR(INDEX(Raw_orders!G:G, MATCH(shipments[[#This Row],[order_id]],Raw_orders!A:A, 0)), "Unknown")</f>
        <v>Nordics</v>
      </c>
      <c r="J5331" t="str">
        <f>PROPER(shipments[[#This Row],[delivery_status]])</f>
        <v>Delivered</v>
      </c>
      <c r="K5331" t="s">
        <v>6922</v>
      </c>
    </row>
    <row r="5332" spans="1:11">
      <c r="A5332" t="s">
        <v>12268</v>
      </c>
      <c r="B5332" t="s">
        <v>5924</v>
      </c>
      <c r="C5332" t="s">
        <v>6935</v>
      </c>
      <c r="D5332" s="1">
        <v>44953</v>
      </c>
      <c r="E5332" s="1">
        <v>44960</v>
      </c>
      <c r="F5332" s="1">
        <v>44959</v>
      </c>
      <c r="G5332">
        <v>13.24</v>
      </c>
      <c r="H53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332" t="str">
        <f>IFERROR(INDEX(Raw_orders!G:G, MATCH(shipments[[#This Row],[order_id]],Raw_orders!A:A, 0)), "Unknown")</f>
        <v>Baltics</v>
      </c>
      <c r="J5332" t="str">
        <f>PROPER(shipments[[#This Row],[delivery_status]])</f>
        <v>Delivered</v>
      </c>
      <c r="K5332" t="s">
        <v>6926</v>
      </c>
    </row>
    <row r="5333" spans="1:11">
      <c r="A5333" t="s">
        <v>12269</v>
      </c>
      <c r="B5333" t="s">
        <v>5925</v>
      </c>
      <c r="C5333" t="s">
        <v>6935</v>
      </c>
      <c r="D5333" s="1">
        <v>45487</v>
      </c>
      <c r="E5333" s="1">
        <v>45494</v>
      </c>
      <c r="F5333" s="1">
        <v>45495</v>
      </c>
      <c r="G5333">
        <v>54.08</v>
      </c>
      <c r="H53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33" t="str">
        <f>IFERROR(INDEX(Raw_orders!G:G, MATCH(shipments[[#This Row],[order_id]],Raw_orders!A:A, 0)), "Unknown")</f>
        <v>Central Europe</v>
      </c>
      <c r="J5333" t="str">
        <f>PROPER(shipments[[#This Row],[delivery_status]])</f>
        <v>Delivered</v>
      </c>
      <c r="K5333" t="s">
        <v>6929</v>
      </c>
    </row>
    <row r="5334" spans="1:11">
      <c r="A5334" t="s">
        <v>12270</v>
      </c>
      <c r="B5334" t="s">
        <v>5926</v>
      </c>
      <c r="C5334" t="s">
        <v>6949</v>
      </c>
      <c r="D5334" s="1">
        <v>45054</v>
      </c>
      <c r="E5334" s="1">
        <v>45056</v>
      </c>
      <c r="F5334" s="1"/>
      <c r="G5334">
        <v>5.84</v>
      </c>
      <c r="H53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334" t="str">
        <f>IFERROR(INDEX(Raw_orders!G:G, MATCH(shipments[[#This Row],[order_id]],Raw_orders!A:A, 0)), "Unknown")</f>
        <v>Nordics</v>
      </c>
      <c r="J5334" t="str">
        <f>PROPER(shipments[[#This Row],[delivery_status]])</f>
        <v>Cancelled</v>
      </c>
      <c r="K5334" t="s">
        <v>6979</v>
      </c>
    </row>
    <row r="5335" spans="1:11">
      <c r="A5335" t="s">
        <v>12271</v>
      </c>
      <c r="B5335" t="s">
        <v>5927</v>
      </c>
      <c r="C5335" t="s">
        <v>6949</v>
      </c>
      <c r="D5335" s="1">
        <v>45372</v>
      </c>
      <c r="E5335" s="1">
        <v>45377</v>
      </c>
      <c r="F5335" s="1">
        <v>45385</v>
      </c>
      <c r="G5335">
        <v>51.81</v>
      </c>
      <c r="H53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35" t="str">
        <f>IFERROR(INDEX(Raw_orders!G:G, MATCH(shipments[[#This Row],[order_id]],Raw_orders!A:A, 0)), "Unknown")</f>
        <v>Central Europe</v>
      </c>
      <c r="J5335" t="str">
        <f>PROPER(shipments[[#This Row],[delivery_status]])</f>
        <v>Delivered</v>
      </c>
      <c r="K5335" t="s">
        <v>6929</v>
      </c>
    </row>
    <row r="5336" spans="1:11">
      <c r="A5336" t="s">
        <v>12272</v>
      </c>
      <c r="B5336" t="s">
        <v>5928</v>
      </c>
      <c r="C5336" t="s">
        <v>6956</v>
      </c>
      <c r="D5336" s="1">
        <v>45121</v>
      </c>
      <c r="E5336" s="1">
        <v>45123</v>
      </c>
      <c r="F5336" s="1">
        <v>45123</v>
      </c>
      <c r="G5336">
        <v>42.69</v>
      </c>
      <c r="H53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336" t="str">
        <f>IFERROR(INDEX(Raw_orders!G:G, MATCH(shipments[[#This Row],[order_id]],Raw_orders!A:A, 0)), "Unknown")</f>
        <v>Nordics</v>
      </c>
      <c r="J5336" t="str">
        <f>PROPER(shipments[[#This Row],[delivery_status]])</f>
        <v>Delivered</v>
      </c>
      <c r="K5336" t="s">
        <v>6929</v>
      </c>
    </row>
    <row r="5337" spans="1:11">
      <c r="A5337" t="s">
        <v>12273</v>
      </c>
      <c r="B5337" t="s">
        <v>5929</v>
      </c>
      <c r="C5337" t="s">
        <v>6931</v>
      </c>
      <c r="D5337" s="1">
        <v>44954</v>
      </c>
      <c r="E5337" s="1">
        <v>44957</v>
      </c>
      <c r="F5337" s="1">
        <v>44965</v>
      </c>
      <c r="G5337">
        <v>50.37</v>
      </c>
      <c r="H53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37" t="str">
        <f>IFERROR(INDEX(Raw_orders!G:G, MATCH(shipments[[#This Row],[order_id]],Raw_orders!A:A, 0)), "Unknown")</f>
        <v>Nordics</v>
      </c>
      <c r="J5337" t="str">
        <f>PROPER(shipments[[#This Row],[delivery_status]])</f>
        <v>Delivered</v>
      </c>
      <c r="K5337" t="s">
        <v>6929</v>
      </c>
    </row>
    <row r="5338" spans="1:11">
      <c r="A5338" t="s">
        <v>12274</v>
      </c>
      <c r="B5338" t="s">
        <v>5930</v>
      </c>
      <c r="C5338" t="s">
        <v>6938</v>
      </c>
      <c r="D5338" s="1">
        <v>45087</v>
      </c>
      <c r="E5338" s="1">
        <v>45089</v>
      </c>
      <c r="F5338" s="1">
        <v>45097</v>
      </c>
      <c r="G5338">
        <v>42.65</v>
      </c>
      <c r="H53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38" t="str">
        <f>IFERROR(INDEX(Raw_orders!G:G, MATCH(shipments[[#This Row],[order_id]],Raw_orders!A:A, 0)), "Unknown")</f>
        <v>Baltics</v>
      </c>
      <c r="J5338" t="str">
        <f>PROPER(shipments[[#This Row],[delivery_status]])</f>
        <v>Delivered</v>
      </c>
      <c r="K5338" t="s">
        <v>6922</v>
      </c>
    </row>
    <row r="5339" spans="1:11">
      <c r="A5339" t="s">
        <v>12275</v>
      </c>
      <c r="B5339" t="s">
        <v>5931</v>
      </c>
      <c r="C5339" t="s">
        <v>6956</v>
      </c>
      <c r="D5339" s="1">
        <v>45299</v>
      </c>
      <c r="E5339" s="1">
        <v>45301</v>
      </c>
      <c r="F5339" s="1"/>
      <c r="G5339">
        <v>47.6</v>
      </c>
      <c r="H53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339" t="str">
        <f>IFERROR(INDEX(Raw_orders!G:G, MATCH(shipments[[#This Row],[order_id]],Raw_orders!A:A, 0)), "Unknown")</f>
        <v>Nordics</v>
      </c>
      <c r="J5339" t="str">
        <f>PROPER(shipments[[#This Row],[delivery_status]])</f>
        <v>Cancelled</v>
      </c>
      <c r="K5339" t="s">
        <v>6972</v>
      </c>
    </row>
    <row r="5340" spans="1:11">
      <c r="A5340" t="s">
        <v>12276</v>
      </c>
      <c r="B5340" t="s">
        <v>5932</v>
      </c>
      <c r="C5340" t="s">
        <v>6925</v>
      </c>
      <c r="D5340" s="1">
        <v>45247</v>
      </c>
      <c r="E5340" s="1">
        <v>45257</v>
      </c>
      <c r="F5340" s="1">
        <v>45262</v>
      </c>
      <c r="G5340">
        <v>62.24</v>
      </c>
      <c r="H53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40" t="str">
        <f>IFERROR(INDEX(Raw_orders!G:G, MATCH(shipments[[#This Row],[order_id]],Raw_orders!A:A, 0)), "Unknown")</f>
        <v>Nordics</v>
      </c>
      <c r="J5340" t="str">
        <f>PROPER(shipments[[#This Row],[delivery_status]])</f>
        <v>Delivered</v>
      </c>
      <c r="K5340" t="s">
        <v>6929</v>
      </c>
    </row>
    <row r="5341" spans="1:11">
      <c r="A5341" t="s">
        <v>12277</v>
      </c>
      <c r="B5341" t="s">
        <v>5933</v>
      </c>
      <c r="C5341" t="s">
        <v>6921</v>
      </c>
      <c r="D5341" s="1">
        <v>44982</v>
      </c>
      <c r="E5341" s="1">
        <v>44989</v>
      </c>
      <c r="F5341" s="1">
        <v>44991</v>
      </c>
      <c r="G5341">
        <v>23.76</v>
      </c>
      <c r="H53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41" t="str">
        <f>IFERROR(INDEX(Raw_orders!G:G, MATCH(shipments[[#This Row],[order_id]],Raw_orders!A:A, 0)), "Unknown")</f>
        <v>Nordics</v>
      </c>
      <c r="J5341" t="str">
        <f>PROPER(shipments[[#This Row],[delivery_status]])</f>
        <v>Delivered</v>
      </c>
      <c r="K5341" t="s">
        <v>6929</v>
      </c>
    </row>
    <row r="5342" spans="1:11">
      <c r="A5342" t="s">
        <v>12278</v>
      </c>
      <c r="B5342" t="s">
        <v>5934</v>
      </c>
      <c r="C5342" t="s">
        <v>6931</v>
      </c>
      <c r="D5342" s="1">
        <v>45360</v>
      </c>
      <c r="E5342" s="1">
        <v>45362</v>
      </c>
      <c r="F5342" s="1">
        <v>45362</v>
      </c>
      <c r="G5342">
        <v>25.52</v>
      </c>
      <c r="H53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342" t="str">
        <f>IFERROR(INDEX(Raw_orders!G:G, MATCH(shipments[[#This Row],[order_id]],Raw_orders!A:A, 0)), "Unknown")</f>
        <v>Baltics</v>
      </c>
      <c r="J5342" t="str">
        <f>PROPER(shipments[[#This Row],[delivery_status]])</f>
        <v>Delivered</v>
      </c>
      <c r="K5342" t="s">
        <v>6926</v>
      </c>
    </row>
    <row r="5343" spans="1:11">
      <c r="A5343" t="s">
        <v>12279</v>
      </c>
      <c r="B5343" t="s">
        <v>5935</v>
      </c>
      <c r="C5343" t="s">
        <v>6928</v>
      </c>
      <c r="D5343" s="1">
        <v>45509</v>
      </c>
      <c r="E5343" s="1">
        <v>45519</v>
      </c>
      <c r="F5343" s="1">
        <v>45527</v>
      </c>
      <c r="G5343">
        <v>37.909999999999997</v>
      </c>
      <c r="H53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43" t="str">
        <f>IFERROR(INDEX(Raw_orders!G:G, MATCH(shipments[[#This Row],[order_id]],Raw_orders!A:A, 0)), "Unknown")</f>
        <v>Baltics</v>
      </c>
      <c r="J5343" t="str">
        <f>PROPER(shipments[[#This Row],[delivery_status]])</f>
        <v>Delivered</v>
      </c>
      <c r="K5343" t="s">
        <v>6922</v>
      </c>
    </row>
    <row r="5344" spans="1:11">
      <c r="A5344" t="s">
        <v>12280</v>
      </c>
      <c r="B5344" t="s">
        <v>5936</v>
      </c>
      <c r="C5344" t="s">
        <v>6931</v>
      </c>
      <c r="D5344" s="1">
        <v>45417</v>
      </c>
      <c r="E5344" s="1">
        <v>45419</v>
      </c>
      <c r="F5344" s="1">
        <v>45419</v>
      </c>
      <c r="G5344">
        <v>20.350000000000001</v>
      </c>
      <c r="H53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344" t="str">
        <f>IFERROR(INDEX(Raw_orders!G:G, MATCH(shipments[[#This Row],[order_id]],Raw_orders!A:A, 0)), "Unknown")</f>
        <v>Baltics</v>
      </c>
      <c r="J5344" t="str">
        <f>PROPER(shipments[[#This Row],[delivery_status]])</f>
        <v>Delivered</v>
      </c>
      <c r="K5344" t="s">
        <v>6922</v>
      </c>
    </row>
    <row r="5345" spans="1:11">
      <c r="A5345" t="s">
        <v>12281</v>
      </c>
      <c r="B5345" t="s">
        <v>5937</v>
      </c>
      <c r="C5345" t="s">
        <v>6925</v>
      </c>
      <c r="D5345" s="1">
        <v>45234</v>
      </c>
      <c r="E5345" s="1">
        <v>45236</v>
      </c>
      <c r="F5345" s="1">
        <v>45241</v>
      </c>
      <c r="G5345">
        <v>8.1</v>
      </c>
      <c r="H53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45" t="str">
        <f>IFERROR(INDEX(Raw_orders!G:G, MATCH(shipments[[#This Row],[order_id]],Raw_orders!A:A, 0)), "Unknown")</f>
        <v>Baltics</v>
      </c>
      <c r="J5345" t="str">
        <f>PROPER(shipments[[#This Row],[delivery_status]])</f>
        <v>Delivered</v>
      </c>
      <c r="K5345" t="s">
        <v>6926</v>
      </c>
    </row>
    <row r="5346" spans="1:11">
      <c r="A5346" t="s">
        <v>12282</v>
      </c>
      <c r="B5346" t="s">
        <v>5938</v>
      </c>
      <c r="C5346" t="s">
        <v>6921</v>
      </c>
      <c r="D5346" s="1">
        <v>44986</v>
      </c>
      <c r="E5346" s="1">
        <v>44996</v>
      </c>
      <c r="F5346" s="1">
        <v>45001</v>
      </c>
      <c r="G5346">
        <v>43.52</v>
      </c>
      <c r="H53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46" t="str">
        <f>IFERROR(INDEX(Raw_orders!G:G, MATCH(shipments[[#This Row],[order_id]],Raw_orders!A:A, 0)), "Unknown")</f>
        <v>Baltics</v>
      </c>
      <c r="J5346" t="str">
        <f>PROPER(shipments[[#This Row],[delivery_status]])</f>
        <v>Delivered</v>
      </c>
      <c r="K5346" t="s">
        <v>6929</v>
      </c>
    </row>
    <row r="5347" spans="1:11">
      <c r="A5347" t="s">
        <v>12283</v>
      </c>
      <c r="B5347" t="s">
        <v>5939</v>
      </c>
      <c r="C5347" t="s">
        <v>6928</v>
      </c>
      <c r="D5347" s="1">
        <v>45306</v>
      </c>
      <c r="E5347" s="1">
        <v>45316</v>
      </c>
      <c r="F5347" s="1">
        <v>45316</v>
      </c>
      <c r="G5347">
        <v>37.1</v>
      </c>
      <c r="H53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347" t="str">
        <f>IFERROR(INDEX(Raw_orders!G:G, MATCH(shipments[[#This Row],[order_id]],Raw_orders!A:A, 0)), "Unknown")</f>
        <v>Nordics</v>
      </c>
      <c r="J5347" t="str">
        <f>PROPER(shipments[[#This Row],[delivery_status]])</f>
        <v>Delivered</v>
      </c>
      <c r="K5347" t="s">
        <v>6929</v>
      </c>
    </row>
    <row r="5348" spans="1:11">
      <c r="A5348" t="s">
        <v>12284</v>
      </c>
      <c r="B5348" t="s">
        <v>5940</v>
      </c>
      <c r="C5348" t="s">
        <v>6928</v>
      </c>
      <c r="D5348" s="1">
        <v>45466</v>
      </c>
      <c r="E5348" s="1">
        <v>45476</v>
      </c>
      <c r="F5348" s="1">
        <v>45475</v>
      </c>
      <c r="G5348">
        <v>46.62</v>
      </c>
      <c r="H53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348" t="str">
        <f>IFERROR(INDEX(Raw_orders!G:G, MATCH(shipments[[#This Row],[order_id]],Raw_orders!A:A, 0)), "Unknown")</f>
        <v>Nordics</v>
      </c>
      <c r="J5348" t="str">
        <f>PROPER(shipments[[#This Row],[delivery_status]])</f>
        <v>Delivered</v>
      </c>
      <c r="K5348" t="s">
        <v>6922</v>
      </c>
    </row>
    <row r="5349" spans="1:11">
      <c r="A5349" t="s">
        <v>12285</v>
      </c>
      <c r="B5349" t="s">
        <v>5941</v>
      </c>
      <c r="C5349" t="s">
        <v>6925</v>
      </c>
      <c r="D5349" s="1">
        <v>45579</v>
      </c>
      <c r="E5349" s="1">
        <v>45584</v>
      </c>
      <c r="F5349" s="1">
        <v>45584</v>
      </c>
      <c r="G5349">
        <v>28.67</v>
      </c>
      <c r="H53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349" t="str">
        <f>IFERROR(INDEX(Raw_orders!G:G, MATCH(shipments[[#This Row],[order_id]],Raw_orders!A:A, 0)), "Unknown")</f>
        <v>Central Europe</v>
      </c>
      <c r="J5349" t="str">
        <f>PROPER(shipments[[#This Row],[delivery_status]])</f>
        <v>Delivered</v>
      </c>
      <c r="K5349" t="s">
        <v>6926</v>
      </c>
    </row>
    <row r="5350" spans="1:11">
      <c r="A5350" t="s">
        <v>12286</v>
      </c>
      <c r="B5350" t="s">
        <v>5942</v>
      </c>
      <c r="C5350" t="s">
        <v>6935</v>
      </c>
      <c r="D5350" s="1">
        <v>45559</v>
      </c>
      <c r="E5350" s="1">
        <v>45569</v>
      </c>
      <c r="F5350" s="1">
        <v>45569</v>
      </c>
      <c r="G5350">
        <v>17.170000000000002</v>
      </c>
      <c r="H53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350" t="str">
        <f>IFERROR(INDEX(Raw_orders!G:G, MATCH(shipments[[#This Row],[order_id]],Raw_orders!A:A, 0)), "Unknown")</f>
        <v>Baltics</v>
      </c>
      <c r="J5350" t="str">
        <f>PROPER(shipments[[#This Row],[delivery_status]])</f>
        <v>Delivered</v>
      </c>
      <c r="K5350" t="s">
        <v>6929</v>
      </c>
    </row>
    <row r="5351" spans="1:11">
      <c r="A5351" t="s">
        <v>12287</v>
      </c>
      <c r="B5351" t="s">
        <v>5943</v>
      </c>
      <c r="C5351" t="s">
        <v>6928</v>
      </c>
      <c r="D5351" s="1">
        <v>45365</v>
      </c>
      <c r="E5351" s="1">
        <v>45370</v>
      </c>
      <c r="F5351" s="1">
        <v>45374</v>
      </c>
      <c r="G5351">
        <v>20.81</v>
      </c>
      <c r="H53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51" t="str">
        <f>IFERROR(INDEX(Raw_orders!G:G, MATCH(shipments[[#This Row],[order_id]],Raw_orders!A:A, 0)), "Unknown")</f>
        <v>Baltics</v>
      </c>
      <c r="J5351" t="str">
        <f>PROPER(shipments[[#This Row],[delivery_status]])</f>
        <v>Delivered</v>
      </c>
      <c r="K5351" t="s">
        <v>6922</v>
      </c>
    </row>
    <row r="5352" spans="1:11">
      <c r="A5352" t="s">
        <v>12288</v>
      </c>
      <c r="B5352" t="s">
        <v>5944</v>
      </c>
      <c r="C5352" t="s">
        <v>6921</v>
      </c>
      <c r="D5352" s="1">
        <v>45252</v>
      </c>
      <c r="E5352" s="1">
        <v>45254</v>
      </c>
      <c r="F5352" s="1">
        <v>45265</v>
      </c>
      <c r="G5352">
        <v>42.25</v>
      </c>
      <c r="H53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52" t="str">
        <f>IFERROR(INDEX(Raw_orders!G:G, MATCH(shipments[[#This Row],[order_id]],Raw_orders!A:A, 0)), "Unknown")</f>
        <v>Nordics</v>
      </c>
      <c r="J5352" t="str">
        <f>PROPER(shipments[[#This Row],[delivery_status]])</f>
        <v>Delivered</v>
      </c>
      <c r="K5352" t="s">
        <v>6929</v>
      </c>
    </row>
    <row r="5353" spans="1:11">
      <c r="A5353" t="s">
        <v>12289</v>
      </c>
      <c r="B5353" t="s">
        <v>5945</v>
      </c>
      <c r="C5353" t="s">
        <v>6949</v>
      </c>
      <c r="D5353" s="1">
        <v>45162</v>
      </c>
      <c r="E5353" s="1">
        <v>45167</v>
      </c>
      <c r="F5353" s="1">
        <v>45166</v>
      </c>
      <c r="G5353">
        <v>5.45</v>
      </c>
      <c r="H53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353" t="str">
        <f>IFERROR(INDEX(Raw_orders!G:G, MATCH(shipments[[#This Row],[order_id]],Raw_orders!A:A, 0)), "Unknown")</f>
        <v>Central Europe</v>
      </c>
      <c r="J5353" t="str">
        <f>PROPER(shipments[[#This Row],[delivery_status]])</f>
        <v>Delivered</v>
      </c>
      <c r="K5353" t="s">
        <v>6922</v>
      </c>
    </row>
    <row r="5354" spans="1:11">
      <c r="A5354" t="s">
        <v>12290</v>
      </c>
      <c r="B5354" t="s">
        <v>5946</v>
      </c>
      <c r="C5354" t="s">
        <v>6938</v>
      </c>
      <c r="D5354" s="1">
        <v>45471</v>
      </c>
      <c r="E5354" s="1">
        <v>45473</v>
      </c>
      <c r="F5354" s="1">
        <v>45481</v>
      </c>
      <c r="G5354">
        <v>16.96</v>
      </c>
      <c r="H53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54" t="str">
        <f>IFERROR(INDEX(Raw_orders!G:G, MATCH(shipments[[#This Row],[order_id]],Raw_orders!A:A, 0)), "Unknown")</f>
        <v>Central Europe</v>
      </c>
      <c r="J5354" t="str">
        <f>PROPER(shipments[[#This Row],[delivery_status]])</f>
        <v>Delivered</v>
      </c>
      <c r="K5354" t="s">
        <v>6929</v>
      </c>
    </row>
    <row r="5355" spans="1:11">
      <c r="A5355" t="s">
        <v>12291</v>
      </c>
      <c r="B5355" t="s">
        <v>5947</v>
      </c>
      <c r="C5355" t="s">
        <v>6949</v>
      </c>
      <c r="D5355" s="1">
        <v>45555</v>
      </c>
      <c r="E5355" s="1">
        <v>45560</v>
      </c>
      <c r="F5355" s="1">
        <v>45566</v>
      </c>
      <c r="G5355">
        <v>15.46</v>
      </c>
      <c r="H53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55" t="str">
        <f>IFERROR(INDEX(Raw_orders!G:G, MATCH(shipments[[#This Row],[order_id]],Raw_orders!A:A, 0)), "Unknown")</f>
        <v>Baltics</v>
      </c>
      <c r="J5355" t="str">
        <f>PROPER(shipments[[#This Row],[delivery_status]])</f>
        <v>Delivered</v>
      </c>
      <c r="K5355" t="s">
        <v>6922</v>
      </c>
    </row>
    <row r="5356" spans="1:11">
      <c r="A5356" t="s">
        <v>12292</v>
      </c>
      <c r="B5356" t="s">
        <v>5948</v>
      </c>
      <c r="C5356" t="s">
        <v>6931</v>
      </c>
      <c r="D5356" s="1">
        <v>45387</v>
      </c>
      <c r="E5356" s="1">
        <v>45389</v>
      </c>
      <c r="F5356" s="1">
        <v>45392</v>
      </c>
      <c r="G5356">
        <v>45.81</v>
      </c>
      <c r="H53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56" t="str">
        <f>IFERROR(INDEX(Raw_orders!G:G, MATCH(shipments[[#This Row],[order_id]],Raw_orders!A:A, 0)), "Unknown")</f>
        <v>Central Europe</v>
      </c>
      <c r="J5356" t="str">
        <f>PROPER(shipments[[#This Row],[delivery_status]])</f>
        <v>Delivered</v>
      </c>
      <c r="K5356" t="s">
        <v>6922</v>
      </c>
    </row>
    <row r="5357" spans="1:11">
      <c r="A5357" t="s">
        <v>12293</v>
      </c>
      <c r="B5357" t="s">
        <v>5949</v>
      </c>
      <c r="C5357" t="s">
        <v>6931</v>
      </c>
      <c r="D5357" s="1">
        <v>45110</v>
      </c>
      <c r="E5357" s="1">
        <v>45117</v>
      </c>
      <c r="F5357" s="1">
        <v>45118</v>
      </c>
      <c r="H53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57" t="str">
        <f>IFERROR(INDEX(Raw_orders!G:G, MATCH(shipments[[#This Row],[order_id]],Raw_orders!A:A, 0)), "Unknown")</f>
        <v>Baltics</v>
      </c>
      <c r="J5357" t="str">
        <f>PROPER(shipments[[#This Row],[delivery_status]])</f>
        <v>Delivered</v>
      </c>
      <c r="K5357" t="s">
        <v>6926</v>
      </c>
    </row>
    <row r="5358" spans="1:11">
      <c r="A5358" t="s">
        <v>12294</v>
      </c>
      <c r="B5358" t="s">
        <v>5950</v>
      </c>
      <c r="C5358" t="s">
        <v>6938</v>
      </c>
      <c r="D5358" s="1">
        <v>45252</v>
      </c>
      <c r="E5358" s="1">
        <v>45262</v>
      </c>
      <c r="F5358" s="1">
        <v>45263</v>
      </c>
      <c r="G5358">
        <v>47.03</v>
      </c>
      <c r="H53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58" t="str">
        <f>IFERROR(INDEX(Raw_orders!G:G, MATCH(shipments[[#This Row],[order_id]],Raw_orders!A:A, 0)), "Unknown")</f>
        <v>Baltics</v>
      </c>
      <c r="J5358" t="str">
        <f>PROPER(shipments[[#This Row],[delivery_status]])</f>
        <v>Delivered</v>
      </c>
      <c r="K5358" t="s">
        <v>6926</v>
      </c>
    </row>
    <row r="5359" spans="1:11">
      <c r="A5359" t="s">
        <v>12295</v>
      </c>
      <c r="B5359" t="s">
        <v>5951</v>
      </c>
      <c r="C5359" t="s">
        <v>6956</v>
      </c>
      <c r="D5359" s="1">
        <v>45511</v>
      </c>
      <c r="E5359" s="1">
        <v>45514</v>
      </c>
      <c r="F5359" s="1"/>
      <c r="G5359">
        <v>44.7</v>
      </c>
      <c r="H53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359" t="str">
        <f>IFERROR(INDEX(Raw_orders!G:G, MATCH(shipments[[#This Row],[order_id]],Raw_orders!A:A, 0)), "Unknown")</f>
        <v>Central Europe</v>
      </c>
      <c r="J5359" t="str">
        <f>PROPER(shipments[[#This Row],[delivery_status]])</f>
        <v>In Transit</v>
      </c>
      <c r="K5359" t="s">
        <v>6977</v>
      </c>
    </row>
    <row r="5360" spans="1:11">
      <c r="A5360" t="s">
        <v>12296</v>
      </c>
      <c r="B5360" t="s">
        <v>5952</v>
      </c>
      <c r="C5360" t="s">
        <v>6928</v>
      </c>
      <c r="D5360" s="1">
        <v>45415</v>
      </c>
      <c r="E5360" s="1">
        <v>45417</v>
      </c>
      <c r="F5360" s="1">
        <v>45421</v>
      </c>
      <c r="G5360">
        <v>54</v>
      </c>
      <c r="H53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60" t="str">
        <f>IFERROR(INDEX(Raw_orders!G:G, MATCH(shipments[[#This Row],[order_id]],Raw_orders!A:A, 0)), "Unknown")</f>
        <v>Nordics</v>
      </c>
      <c r="J5360" t="str">
        <f>PROPER(shipments[[#This Row],[delivery_status]])</f>
        <v>Delivered</v>
      </c>
      <c r="K5360" t="s">
        <v>6929</v>
      </c>
    </row>
    <row r="5361" spans="1:11">
      <c r="A5361" t="s">
        <v>12297</v>
      </c>
      <c r="B5361" t="s">
        <v>5953</v>
      </c>
      <c r="C5361" t="s">
        <v>6938</v>
      </c>
      <c r="D5361" s="1">
        <v>44941</v>
      </c>
      <c r="E5361" s="1">
        <v>44944</v>
      </c>
      <c r="F5361" s="1">
        <v>44944</v>
      </c>
      <c r="G5361">
        <v>64.64</v>
      </c>
      <c r="H53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361" t="str">
        <f>IFERROR(INDEX(Raw_orders!G:G, MATCH(shipments[[#This Row],[order_id]],Raw_orders!A:A, 0)), "Unknown")</f>
        <v>Nordics</v>
      </c>
      <c r="J5361" t="str">
        <f>PROPER(shipments[[#This Row],[delivery_status]])</f>
        <v>Delivered</v>
      </c>
      <c r="K5361" t="s">
        <v>6926</v>
      </c>
    </row>
    <row r="5362" spans="1:11">
      <c r="A5362" t="s">
        <v>12298</v>
      </c>
      <c r="B5362" t="s">
        <v>5954</v>
      </c>
      <c r="C5362" t="s">
        <v>6931</v>
      </c>
      <c r="D5362" s="1">
        <v>45492</v>
      </c>
      <c r="E5362" s="1">
        <v>45497</v>
      </c>
      <c r="F5362" s="1">
        <v>45497</v>
      </c>
      <c r="G5362">
        <v>15.24</v>
      </c>
      <c r="H53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362" t="str">
        <f>IFERROR(INDEX(Raw_orders!G:G, MATCH(shipments[[#This Row],[order_id]],Raw_orders!A:A, 0)), "Unknown")</f>
        <v>Nordics</v>
      </c>
      <c r="J5362" t="str">
        <f>PROPER(shipments[[#This Row],[delivery_status]])</f>
        <v>Delivered</v>
      </c>
      <c r="K5362" t="s">
        <v>6926</v>
      </c>
    </row>
    <row r="5363" spans="1:11">
      <c r="A5363" t="s">
        <v>12299</v>
      </c>
      <c r="B5363" t="s">
        <v>5955</v>
      </c>
      <c r="C5363" t="s">
        <v>6921</v>
      </c>
      <c r="D5363" s="1">
        <v>45179</v>
      </c>
      <c r="E5363" s="1">
        <v>45189</v>
      </c>
      <c r="F5363" s="1">
        <v>45194</v>
      </c>
      <c r="G5363">
        <v>59.78</v>
      </c>
      <c r="H53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63" t="str">
        <f>IFERROR(INDEX(Raw_orders!G:G, MATCH(shipments[[#This Row],[order_id]],Raw_orders!A:A, 0)), "Unknown")</f>
        <v>Baltics</v>
      </c>
      <c r="J5363" t="str">
        <f>PROPER(shipments[[#This Row],[delivery_status]])</f>
        <v>Delivered</v>
      </c>
      <c r="K5363" t="s">
        <v>6922</v>
      </c>
    </row>
    <row r="5364" spans="1:11">
      <c r="A5364" t="s">
        <v>12300</v>
      </c>
      <c r="B5364" t="s">
        <v>5956</v>
      </c>
      <c r="C5364" t="s">
        <v>6925</v>
      </c>
      <c r="D5364" s="1">
        <v>45331</v>
      </c>
      <c r="E5364" s="1">
        <v>45336</v>
      </c>
      <c r="F5364" s="1"/>
      <c r="G5364">
        <v>4.8</v>
      </c>
      <c r="H53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364" t="str">
        <f>IFERROR(INDEX(Raw_orders!G:G, MATCH(shipments[[#This Row],[order_id]],Raw_orders!A:A, 0)), "Unknown")</f>
        <v>Nordics</v>
      </c>
      <c r="J5364" t="str">
        <f>PROPER(shipments[[#This Row],[delivery_status]])</f>
        <v>Cancelled</v>
      </c>
      <c r="K5364" t="s">
        <v>6963</v>
      </c>
    </row>
    <row r="5365" spans="1:11">
      <c r="A5365" t="s">
        <v>12301</v>
      </c>
      <c r="B5365" t="s">
        <v>5957</v>
      </c>
      <c r="C5365" t="s">
        <v>6931</v>
      </c>
      <c r="D5365" s="1">
        <v>44939</v>
      </c>
      <c r="E5365" s="1">
        <v>44941</v>
      </c>
      <c r="F5365" s="1">
        <v>44949</v>
      </c>
      <c r="G5365">
        <v>28.99</v>
      </c>
      <c r="H53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65" t="str">
        <f>IFERROR(INDEX(Raw_orders!G:G, MATCH(shipments[[#This Row],[order_id]],Raw_orders!A:A, 0)), "Unknown")</f>
        <v>Central Europe</v>
      </c>
      <c r="J5365" t="str">
        <f>PROPER(shipments[[#This Row],[delivery_status]])</f>
        <v>Delivered</v>
      </c>
      <c r="K5365" t="s">
        <v>6929</v>
      </c>
    </row>
    <row r="5366" spans="1:11">
      <c r="A5366" t="s">
        <v>12302</v>
      </c>
      <c r="B5366" t="s">
        <v>5958</v>
      </c>
      <c r="C5366" t="s">
        <v>6925</v>
      </c>
      <c r="D5366" s="1">
        <v>45436</v>
      </c>
      <c r="E5366" s="1">
        <v>45443</v>
      </c>
      <c r="F5366" s="1">
        <v>45443</v>
      </c>
      <c r="G5366">
        <v>22.33</v>
      </c>
      <c r="H53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366" t="str">
        <f>IFERROR(INDEX(Raw_orders!G:G, MATCH(shipments[[#This Row],[order_id]],Raw_orders!A:A, 0)), "Unknown")</f>
        <v>Baltics</v>
      </c>
      <c r="J5366" t="str">
        <f>PROPER(shipments[[#This Row],[delivery_status]])</f>
        <v>Delivered</v>
      </c>
      <c r="K5366" t="s">
        <v>6926</v>
      </c>
    </row>
    <row r="5367" spans="1:11">
      <c r="A5367" t="s">
        <v>12303</v>
      </c>
      <c r="B5367" t="s">
        <v>5959</v>
      </c>
      <c r="C5367" t="s">
        <v>6931</v>
      </c>
      <c r="D5367" s="1">
        <v>45384</v>
      </c>
      <c r="E5367" s="1">
        <v>45389</v>
      </c>
      <c r="F5367" s="1">
        <v>45394</v>
      </c>
      <c r="G5367">
        <v>63.36</v>
      </c>
      <c r="H53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67" t="str">
        <f>IFERROR(INDEX(Raw_orders!G:G, MATCH(shipments[[#This Row],[order_id]],Raw_orders!A:A, 0)), "Unknown")</f>
        <v>Baltics</v>
      </c>
      <c r="J5367" t="str">
        <f>PROPER(shipments[[#This Row],[delivery_status]])</f>
        <v>Delivered</v>
      </c>
      <c r="K5367" t="s">
        <v>6929</v>
      </c>
    </row>
    <row r="5368" spans="1:11">
      <c r="A5368" t="s">
        <v>12304</v>
      </c>
      <c r="B5368" t="s">
        <v>5959</v>
      </c>
      <c r="C5368" t="s">
        <v>6940</v>
      </c>
      <c r="D5368" s="1">
        <v>45382</v>
      </c>
      <c r="E5368" s="1">
        <v>45385</v>
      </c>
      <c r="F5368" s="1">
        <v>45385</v>
      </c>
      <c r="G5368">
        <v>24.67</v>
      </c>
      <c r="H53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368" t="str">
        <f>IFERROR(INDEX(Raw_orders!G:G, MATCH(shipments[[#This Row],[order_id]],Raw_orders!A:A, 0)), "Unknown")</f>
        <v>Baltics</v>
      </c>
      <c r="J5368" t="str">
        <f>PROPER(shipments[[#This Row],[delivery_status]])</f>
        <v>Delivered</v>
      </c>
      <c r="K5368" t="s">
        <v>6929</v>
      </c>
    </row>
    <row r="5369" spans="1:11">
      <c r="A5369" t="s">
        <v>12305</v>
      </c>
      <c r="B5369" t="s">
        <v>5960</v>
      </c>
      <c r="C5369" t="s">
        <v>6935</v>
      </c>
      <c r="D5369" s="1">
        <v>45011</v>
      </c>
      <c r="E5369" s="1">
        <v>45014</v>
      </c>
      <c r="F5369" s="1">
        <v>45013</v>
      </c>
      <c r="G5369">
        <v>33.46</v>
      </c>
      <c r="H53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369" t="str">
        <f>IFERROR(INDEX(Raw_orders!G:G, MATCH(shipments[[#This Row],[order_id]],Raw_orders!A:A, 0)), "Unknown")</f>
        <v>Nordics</v>
      </c>
      <c r="J5369" t="str">
        <f>PROPER(shipments[[#This Row],[delivery_status]])</f>
        <v>Delivered</v>
      </c>
      <c r="K5369" t="s">
        <v>6929</v>
      </c>
    </row>
    <row r="5370" spans="1:11">
      <c r="A5370" t="s">
        <v>12306</v>
      </c>
      <c r="B5370" t="s">
        <v>5961</v>
      </c>
      <c r="C5370" t="s">
        <v>6925</v>
      </c>
      <c r="D5370" s="1">
        <v>44986</v>
      </c>
      <c r="E5370" s="1">
        <v>44988</v>
      </c>
      <c r="F5370" s="1"/>
      <c r="G5370">
        <v>15.46</v>
      </c>
      <c r="H53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370" t="str">
        <f>IFERROR(INDEX(Raw_orders!G:G, MATCH(shipments[[#This Row],[order_id]],Raw_orders!A:A, 0)), "Unknown")</f>
        <v>Central Europe</v>
      </c>
      <c r="J5370" t="str">
        <f>PROPER(shipments[[#This Row],[delivery_status]])</f>
        <v>In Transit</v>
      </c>
      <c r="K5370" t="s">
        <v>6977</v>
      </c>
    </row>
    <row r="5371" spans="1:11">
      <c r="A5371" t="s">
        <v>12307</v>
      </c>
      <c r="B5371" t="s">
        <v>5962</v>
      </c>
      <c r="C5371" t="s">
        <v>6940</v>
      </c>
      <c r="D5371" s="1">
        <v>45497</v>
      </c>
      <c r="E5371" s="1">
        <v>45499</v>
      </c>
      <c r="F5371" s="1">
        <v>45504</v>
      </c>
      <c r="G5371">
        <v>8.19</v>
      </c>
      <c r="H53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71" t="str">
        <f>IFERROR(INDEX(Raw_orders!G:G, MATCH(shipments[[#This Row],[order_id]],Raw_orders!A:A, 0)), "Unknown")</f>
        <v>Central Europe</v>
      </c>
      <c r="J5371" t="str">
        <f>PROPER(shipments[[#This Row],[delivery_status]])</f>
        <v>Delivered</v>
      </c>
      <c r="K5371" t="s">
        <v>6922</v>
      </c>
    </row>
    <row r="5372" spans="1:11">
      <c r="A5372" t="s">
        <v>12308</v>
      </c>
      <c r="B5372" t="s">
        <v>5963</v>
      </c>
      <c r="C5372" t="s">
        <v>6921</v>
      </c>
      <c r="D5372" s="1">
        <v>45053</v>
      </c>
      <c r="E5372" s="1">
        <v>45058</v>
      </c>
      <c r="F5372" s="1"/>
      <c r="G5372">
        <v>55.51</v>
      </c>
      <c r="H53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372" t="str">
        <f>IFERROR(INDEX(Raw_orders!G:G, MATCH(shipments[[#This Row],[order_id]],Raw_orders!A:A, 0)), "Unknown")</f>
        <v>Central Europe</v>
      </c>
      <c r="J5372" t="str">
        <f>PROPER(shipments[[#This Row],[delivery_status]])</f>
        <v>In Transit</v>
      </c>
      <c r="K5372" t="s">
        <v>6977</v>
      </c>
    </row>
    <row r="5373" spans="1:11">
      <c r="A5373" t="s">
        <v>12309</v>
      </c>
      <c r="B5373" t="s">
        <v>5964</v>
      </c>
      <c r="C5373" t="s">
        <v>6956</v>
      </c>
      <c r="D5373" s="1">
        <v>45123</v>
      </c>
      <c r="E5373" s="1">
        <v>45133</v>
      </c>
      <c r="F5373" s="1">
        <v>45142</v>
      </c>
      <c r="G5373">
        <v>42.29</v>
      </c>
      <c r="H53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73" t="str">
        <f>IFERROR(INDEX(Raw_orders!G:G, MATCH(shipments[[#This Row],[order_id]],Raw_orders!A:A, 0)), "Unknown")</f>
        <v>Nordics</v>
      </c>
      <c r="J5373" t="str">
        <f>PROPER(shipments[[#This Row],[delivery_status]])</f>
        <v>Delivered</v>
      </c>
      <c r="K5373" t="s">
        <v>6926</v>
      </c>
    </row>
    <row r="5374" spans="1:11">
      <c r="A5374" t="s">
        <v>12310</v>
      </c>
      <c r="B5374" t="s">
        <v>5964</v>
      </c>
      <c r="C5374" t="s">
        <v>6931</v>
      </c>
      <c r="D5374" s="1">
        <v>45125</v>
      </c>
      <c r="E5374" s="1">
        <v>45135</v>
      </c>
      <c r="F5374" s="1">
        <v>45143</v>
      </c>
      <c r="G5374">
        <v>34.6</v>
      </c>
      <c r="H53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74" t="str">
        <f>IFERROR(INDEX(Raw_orders!G:G, MATCH(shipments[[#This Row],[order_id]],Raw_orders!A:A, 0)), "Unknown")</f>
        <v>Nordics</v>
      </c>
      <c r="J5374" t="str">
        <f>PROPER(shipments[[#This Row],[delivery_status]])</f>
        <v>Delivered</v>
      </c>
      <c r="K5374" t="s">
        <v>6929</v>
      </c>
    </row>
    <row r="5375" spans="1:11">
      <c r="A5375" t="s">
        <v>12311</v>
      </c>
      <c r="B5375" t="s">
        <v>5965</v>
      </c>
      <c r="C5375" t="s">
        <v>6935</v>
      </c>
      <c r="D5375" s="1">
        <v>45264</v>
      </c>
      <c r="E5375" s="1">
        <v>45266</v>
      </c>
      <c r="F5375" s="1">
        <v>45274</v>
      </c>
      <c r="G5375">
        <v>59.06</v>
      </c>
      <c r="H53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75" t="str">
        <f>IFERROR(INDEX(Raw_orders!G:G, MATCH(shipments[[#This Row],[order_id]],Raw_orders!A:A, 0)), "Unknown")</f>
        <v>Central Europe</v>
      </c>
      <c r="J5375" t="str">
        <f>PROPER(shipments[[#This Row],[delivery_status]])</f>
        <v>Delivered</v>
      </c>
      <c r="K5375" t="s">
        <v>6926</v>
      </c>
    </row>
    <row r="5376" spans="1:11">
      <c r="A5376" t="s">
        <v>12312</v>
      </c>
      <c r="B5376" t="s">
        <v>5966</v>
      </c>
      <c r="C5376" t="s">
        <v>6925</v>
      </c>
      <c r="D5376" s="1">
        <v>45402</v>
      </c>
      <c r="E5376" s="1">
        <v>45412</v>
      </c>
      <c r="F5376" s="1">
        <v>45415</v>
      </c>
      <c r="G5376">
        <v>33.35</v>
      </c>
      <c r="H53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76" t="str">
        <f>IFERROR(INDEX(Raw_orders!G:G, MATCH(shipments[[#This Row],[order_id]],Raw_orders!A:A, 0)), "Unknown")</f>
        <v>Baltics</v>
      </c>
      <c r="J5376" t="str">
        <f>PROPER(shipments[[#This Row],[delivery_status]])</f>
        <v>Delivered</v>
      </c>
      <c r="K5376" t="s">
        <v>6929</v>
      </c>
    </row>
    <row r="5377" spans="1:11">
      <c r="A5377" t="s">
        <v>12313</v>
      </c>
      <c r="B5377" t="s">
        <v>5967</v>
      </c>
      <c r="C5377" t="s">
        <v>6925</v>
      </c>
      <c r="D5377" s="1">
        <v>45012</v>
      </c>
      <c r="E5377" s="1">
        <v>45017</v>
      </c>
      <c r="F5377" s="1"/>
      <c r="G5377">
        <v>45.7</v>
      </c>
      <c r="H53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377" t="str">
        <f>IFERROR(INDEX(Raw_orders!G:G, MATCH(shipments[[#This Row],[order_id]],Raw_orders!A:A, 0)), "Unknown")</f>
        <v>Nordics</v>
      </c>
      <c r="J5377" t="str">
        <f>PROPER(shipments[[#This Row],[delivery_status]])</f>
        <v>In Transit</v>
      </c>
      <c r="K5377" t="s">
        <v>6946</v>
      </c>
    </row>
    <row r="5378" spans="1:11">
      <c r="A5378" t="s">
        <v>12314</v>
      </c>
      <c r="B5378" t="s">
        <v>5968</v>
      </c>
      <c r="C5378" t="s">
        <v>6956</v>
      </c>
      <c r="D5378" s="1">
        <v>45335</v>
      </c>
      <c r="E5378" s="1">
        <v>45345</v>
      </c>
      <c r="F5378" s="1">
        <v>45353</v>
      </c>
      <c r="G5378">
        <v>34.15</v>
      </c>
      <c r="H53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78" t="str">
        <f>IFERROR(INDEX(Raw_orders!G:G, MATCH(shipments[[#This Row],[order_id]],Raw_orders!A:A, 0)), "Unknown")</f>
        <v>Nordics</v>
      </c>
      <c r="J5378" t="str">
        <f>PROPER(shipments[[#This Row],[delivery_status]])</f>
        <v>Delivered</v>
      </c>
      <c r="K5378" t="s">
        <v>6929</v>
      </c>
    </row>
    <row r="5379" spans="1:11">
      <c r="A5379" t="s">
        <v>12315</v>
      </c>
      <c r="B5379" t="s">
        <v>5969</v>
      </c>
      <c r="C5379" t="s">
        <v>6921</v>
      </c>
      <c r="D5379" s="1">
        <v>45428</v>
      </c>
      <c r="E5379" s="1">
        <v>45431</v>
      </c>
      <c r="F5379" s="1">
        <v>45432</v>
      </c>
      <c r="G5379">
        <v>60.15</v>
      </c>
      <c r="H53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79" t="str">
        <f>IFERROR(INDEX(Raw_orders!G:G, MATCH(shipments[[#This Row],[order_id]],Raw_orders!A:A, 0)), "Unknown")</f>
        <v>Nordics</v>
      </c>
      <c r="J5379" t="str">
        <f>PROPER(shipments[[#This Row],[delivery_status]])</f>
        <v>Delivered</v>
      </c>
      <c r="K5379" t="s">
        <v>6929</v>
      </c>
    </row>
    <row r="5380" spans="1:11">
      <c r="A5380" t="s">
        <v>12316</v>
      </c>
      <c r="B5380" t="s">
        <v>5970</v>
      </c>
      <c r="C5380" t="s">
        <v>6928</v>
      </c>
      <c r="D5380" s="1">
        <v>45585</v>
      </c>
      <c r="E5380" s="1">
        <v>45590</v>
      </c>
      <c r="F5380" s="1"/>
      <c r="G5380">
        <v>64.599999999999994</v>
      </c>
      <c r="H53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380" t="str">
        <f>IFERROR(INDEX(Raw_orders!G:G, MATCH(shipments[[#This Row],[order_id]],Raw_orders!A:A, 0)), "Unknown")</f>
        <v>Central Europe</v>
      </c>
      <c r="J5380" t="str">
        <f>PROPER(shipments[[#This Row],[delivery_status]])</f>
        <v>In Transit</v>
      </c>
      <c r="K5380" t="s">
        <v>6958</v>
      </c>
    </row>
    <row r="5381" spans="1:11">
      <c r="A5381" t="s">
        <v>12317</v>
      </c>
      <c r="B5381" t="s">
        <v>5971</v>
      </c>
      <c r="C5381" t="s">
        <v>6956</v>
      </c>
      <c r="D5381" s="1">
        <v>44956</v>
      </c>
      <c r="E5381" s="1">
        <v>44963</v>
      </c>
      <c r="F5381" s="1"/>
      <c r="G5381">
        <v>51.85</v>
      </c>
      <c r="H53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381" t="str">
        <f>IFERROR(INDEX(Raw_orders!G:G, MATCH(shipments[[#This Row],[order_id]],Raw_orders!A:A, 0)), "Unknown")</f>
        <v>Nordics</v>
      </c>
      <c r="J5381" t="str">
        <f>PROPER(shipments[[#This Row],[delivery_status]])</f>
        <v>In Transit</v>
      </c>
      <c r="K5381" t="s">
        <v>6958</v>
      </c>
    </row>
    <row r="5382" spans="1:11">
      <c r="A5382" t="s">
        <v>12318</v>
      </c>
      <c r="B5382" t="s">
        <v>5972</v>
      </c>
      <c r="C5382" t="s">
        <v>6925</v>
      </c>
      <c r="D5382" s="1">
        <v>45363</v>
      </c>
      <c r="E5382" s="1">
        <v>45368</v>
      </c>
      <c r="F5382" s="1">
        <v>45368</v>
      </c>
      <c r="G5382">
        <v>47.61</v>
      </c>
      <c r="H53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382" t="str">
        <f>IFERROR(INDEX(Raw_orders!G:G, MATCH(shipments[[#This Row],[order_id]],Raw_orders!A:A, 0)), "Unknown")</f>
        <v>Central Europe</v>
      </c>
      <c r="J5382" t="str">
        <f>PROPER(shipments[[#This Row],[delivery_status]])</f>
        <v>Delivered</v>
      </c>
      <c r="K5382" t="s">
        <v>6926</v>
      </c>
    </row>
    <row r="5383" spans="1:11">
      <c r="A5383" t="s">
        <v>12319</v>
      </c>
      <c r="B5383" t="s">
        <v>5973</v>
      </c>
      <c r="C5383" t="s">
        <v>6956</v>
      </c>
      <c r="D5383" s="1">
        <v>45542</v>
      </c>
      <c r="E5383" s="1">
        <v>45552</v>
      </c>
      <c r="F5383" s="1">
        <v>45552</v>
      </c>
      <c r="G5383">
        <v>62.52</v>
      </c>
      <c r="H53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383" t="str">
        <f>IFERROR(INDEX(Raw_orders!G:G, MATCH(shipments[[#This Row],[order_id]],Raw_orders!A:A, 0)), "Unknown")</f>
        <v>Nordics</v>
      </c>
      <c r="J5383" t="str">
        <f>PROPER(shipments[[#This Row],[delivery_status]])</f>
        <v>Delivered</v>
      </c>
      <c r="K5383" t="s">
        <v>6929</v>
      </c>
    </row>
    <row r="5384" spans="1:11">
      <c r="A5384" t="s">
        <v>12320</v>
      </c>
      <c r="B5384" t="s">
        <v>5974</v>
      </c>
      <c r="C5384" t="s">
        <v>6931</v>
      </c>
      <c r="D5384" s="1">
        <v>45049</v>
      </c>
      <c r="E5384" s="1">
        <v>45052</v>
      </c>
      <c r="F5384" s="1">
        <v>45052</v>
      </c>
      <c r="G5384">
        <v>24.65</v>
      </c>
      <c r="H53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384" t="str">
        <f>IFERROR(INDEX(Raw_orders!G:G, MATCH(shipments[[#This Row],[order_id]],Raw_orders!A:A, 0)), "Unknown")</f>
        <v>Nordics</v>
      </c>
      <c r="J5384" t="str">
        <f>PROPER(shipments[[#This Row],[delivery_status]])</f>
        <v>Delivered</v>
      </c>
      <c r="K5384" t="s">
        <v>6929</v>
      </c>
    </row>
    <row r="5385" spans="1:11">
      <c r="A5385" t="s">
        <v>12321</v>
      </c>
      <c r="B5385" t="s">
        <v>5975</v>
      </c>
      <c r="C5385" t="s">
        <v>6925</v>
      </c>
      <c r="D5385" s="1">
        <v>45209</v>
      </c>
      <c r="E5385" s="1">
        <v>45212</v>
      </c>
      <c r="F5385" s="1">
        <v>45220</v>
      </c>
      <c r="G5385">
        <v>26.89</v>
      </c>
      <c r="H53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85" t="str">
        <f>IFERROR(INDEX(Raw_orders!G:G, MATCH(shipments[[#This Row],[order_id]],Raw_orders!A:A, 0)), "Unknown")</f>
        <v>Baltics</v>
      </c>
      <c r="J5385" t="str">
        <f>PROPER(shipments[[#This Row],[delivery_status]])</f>
        <v>Delivered</v>
      </c>
      <c r="K5385" t="s">
        <v>6929</v>
      </c>
    </row>
    <row r="5386" spans="1:11">
      <c r="A5386" t="s">
        <v>12322</v>
      </c>
      <c r="B5386" t="s">
        <v>5976</v>
      </c>
      <c r="C5386" t="s">
        <v>6931</v>
      </c>
      <c r="D5386" s="1">
        <v>45591</v>
      </c>
      <c r="E5386" s="1">
        <v>45598</v>
      </c>
      <c r="F5386" s="1"/>
      <c r="G5386">
        <v>31.8</v>
      </c>
      <c r="H53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386" t="str">
        <f>IFERROR(INDEX(Raw_orders!G:G, MATCH(shipments[[#This Row],[order_id]],Raw_orders!A:A, 0)), "Unknown")</f>
        <v>Central Europe</v>
      </c>
      <c r="J5386" t="str">
        <f>PROPER(shipments[[#This Row],[delivery_status]])</f>
        <v>In Transit</v>
      </c>
      <c r="K5386" t="s">
        <v>6958</v>
      </c>
    </row>
    <row r="5387" spans="1:11">
      <c r="A5387" t="s">
        <v>12323</v>
      </c>
      <c r="B5387" t="s">
        <v>5977</v>
      </c>
      <c r="C5387" t="s">
        <v>6921</v>
      </c>
      <c r="D5387" s="1">
        <v>45561</v>
      </c>
      <c r="E5387" s="1">
        <v>45571</v>
      </c>
      <c r="F5387" s="1">
        <v>45571</v>
      </c>
      <c r="G5387">
        <v>47.93</v>
      </c>
      <c r="H53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387" t="str">
        <f>IFERROR(INDEX(Raw_orders!G:G, MATCH(shipments[[#This Row],[order_id]],Raw_orders!A:A, 0)), "Unknown")</f>
        <v>Baltics</v>
      </c>
      <c r="J5387" t="str">
        <f>PROPER(shipments[[#This Row],[delivery_status]])</f>
        <v>Delivered</v>
      </c>
      <c r="K5387" t="s">
        <v>6926</v>
      </c>
    </row>
    <row r="5388" spans="1:11">
      <c r="A5388" t="s">
        <v>12324</v>
      </c>
      <c r="B5388" t="s">
        <v>5978</v>
      </c>
      <c r="C5388" t="s">
        <v>6935</v>
      </c>
      <c r="D5388" s="1">
        <v>45260</v>
      </c>
      <c r="E5388" s="1">
        <v>45265</v>
      </c>
      <c r="F5388" s="1">
        <v>45270</v>
      </c>
      <c r="G5388">
        <v>37.68</v>
      </c>
      <c r="H53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88" t="str">
        <f>IFERROR(INDEX(Raw_orders!G:G, MATCH(shipments[[#This Row],[order_id]],Raw_orders!A:A, 0)), "Unknown")</f>
        <v>Central Europe</v>
      </c>
      <c r="J5388" t="str">
        <f>PROPER(shipments[[#This Row],[delivery_status]])</f>
        <v>Delivered</v>
      </c>
      <c r="K5388" t="s">
        <v>6926</v>
      </c>
    </row>
    <row r="5389" spans="1:11">
      <c r="A5389" t="s">
        <v>12325</v>
      </c>
      <c r="B5389" t="s">
        <v>5979</v>
      </c>
      <c r="C5389" t="s">
        <v>6938</v>
      </c>
      <c r="D5389" s="1">
        <v>44986</v>
      </c>
      <c r="E5389" s="1">
        <v>44996</v>
      </c>
      <c r="F5389" s="1">
        <v>44997</v>
      </c>
      <c r="G5389">
        <v>51.71</v>
      </c>
      <c r="H53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89" t="str">
        <f>IFERROR(INDEX(Raw_orders!G:G, MATCH(shipments[[#This Row],[order_id]],Raw_orders!A:A, 0)), "Unknown")</f>
        <v>Baltics</v>
      </c>
      <c r="J5389" t="str">
        <f>PROPER(shipments[[#This Row],[delivery_status]])</f>
        <v>Delivered</v>
      </c>
      <c r="K5389" t="s">
        <v>6926</v>
      </c>
    </row>
    <row r="5390" spans="1:11">
      <c r="A5390" t="s">
        <v>12326</v>
      </c>
      <c r="B5390" t="s">
        <v>5980</v>
      </c>
      <c r="C5390" t="s">
        <v>6925</v>
      </c>
      <c r="D5390" s="1">
        <v>45275</v>
      </c>
      <c r="E5390" s="1">
        <v>45278</v>
      </c>
      <c r="F5390" s="1">
        <v>45283</v>
      </c>
      <c r="G5390">
        <v>61.06</v>
      </c>
      <c r="H53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90" t="str">
        <f>IFERROR(INDEX(Raw_orders!G:G, MATCH(shipments[[#This Row],[order_id]],Raw_orders!A:A, 0)), "Unknown")</f>
        <v>Baltics</v>
      </c>
      <c r="J5390" t="str">
        <f>PROPER(shipments[[#This Row],[delivery_status]])</f>
        <v>Delivered</v>
      </c>
      <c r="K5390" t="s">
        <v>6926</v>
      </c>
    </row>
    <row r="5391" spans="1:11">
      <c r="A5391" t="s">
        <v>12327</v>
      </c>
      <c r="B5391" t="s">
        <v>5980</v>
      </c>
      <c r="C5391" t="s">
        <v>6938</v>
      </c>
      <c r="D5391" s="1">
        <v>45275</v>
      </c>
      <c r="E5391" s="1">
        <v>45278</v>
      </c>
      <c r="F5391" s="1">
        <v>45286</v>
      </c>
      <c r="G5391">
        <v>16.7</v>
      </c>
      <c r="H53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91" t="str">
        <f>IFERROR(INDEX(Raw_orders!G:G, MATCH(shipments[[#This Row],[order_id]],Raw_orders!A:A, 0)), "Unknown")</f>
        <v>Baltics</v>
      </c>
      <c r="J5391" t="str">
        <f>PROPER(shipments[[#This Row],[delivery_status]])</f>
        <v>Delivered</v>
      </c>
      <c r="K5391" t="s">
        <v>6926</v>
      </c>
    </row>
    <row r="5392" spans="1:11">
      <c r="A5392" t="s">
        <v>12328</v>
      </c>
      <c r="B5392" t="s">
        <v>5981</v>
      </c>
      <c r="C5392" t="s">
        <v>6956</v>
      </c>
      <c r="D5392" s="1">
        <v>45079</v>
      </c>
      <c r="E5392" s="1">
        <v>45082</v>
      </c>
      <c r="F5392" s="1">
        <v>45082</v>
      </c>
      <c r="G5392">
        <v>64.349999999999994</v>
      </c>
      <c r="H53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392" t="str">
        <f>IFERROR(INDEX(Raw_orders!G:G, MATCH(shipments[[#This Row],[order_id]],Raw_orders!A:A, 0)), "Unknown")</f>
        <v>Nordics</v>
      </c>
      <c r="J5392" t="str">
        <f>PROPER(shipments[[#This Row],[delivery_status]])</f>
        <v>Delivered</v>
      </c>
      <c r="K5392" t="s">
        <v>6926</v>
      </c>
    </row>
    <row r="5393" spans="1:11">
      <c r="A5393" t="s">
        <v>12329</v>
      </c>
      <c r="B5393" t="s">
        <v>5982</v>
      </c>
      <c r="C5393" t="s">
        <v>6935</v>
      </c>
      <c r="D5393" s="1">
        <v>45002</v>
      </c>
      <c r="E5393" s="1">
        <v>45007</v>
      </c>
      <c r="F5393" s="1">
        <v>45006</v>
      </c>
      <c r="G5393">
        <v>16.399999999999999</v>
      </c>
      <c r="H53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393" t="str">
        <f>IFERROR(INDEX(Raw_orders!G:G, MATCH(shipments[[#This Row],[order_id]],Raw_orders!A:A, 0)), "Unknown")</f>
        <v>Nordics</v>
      </c>
      <c r="J5393" t="str">
        <f>PROPER(shipments[[#This Row],[delivery_status]])</f>
        <v>Delivered</v>
      </c>
      <c r="K5393" t="s">
        <v>6926</v>
      </c>
    </row>
    <row r="5394" spans="1:11">
      <c r="A5394" t="s">
        <v>12330</v>
      </c>
      <c r="B5394" t="s">
        <v>5983</v>
      </c>
      <c r="C5394" t="s">
        <v>6925</v>
      </c>
      <c r="D5394" s="1">
        <v>45388</v>
      </c>
      <c r="E5394" s="1">
        <v>45398</v>
      </c>
      <c r="F5394" s="1">
        <v>45397</v>
      </c>
      <c r="G5394">
        <v>47.42</v>
      </c>
      <c r="H53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394" t="str">
        <f>IFERROR(INDEX(Raw_orders!G:G, MATCH(shipments[[#This Row],[order_id]],Raw_orders!A:A, 0)), "Unknown")</f>
        <v>Nordics</v>
      </c>
      <c r="J5394" t="str">
        <f>PROPER(shipments[[#This Row],[delivery_status]])</f>
        <v>Delivered</v>
      </c>
      <c r="K5394" t="s">
        <v>6922</v>
      </c>
    </row>
    <row r="5395" spans="1:11">
      <c r="A5395" t="s">
        <v>12331</v>
      </c>
      <c r="B5395" t="s">
        <v>5984</v>
      </c>
      <c r="C5395" t="s">
        <v>6928</v>
      </c>
      <c r="D5395" s="1">
        <v>45102</v>
      </c>
      <c r="E5395" s="1">
        <v>45107</v>
      </c>
      <c r="F5395" s="1">
        <v>45107</v>
      </c>
      <c r="G5395">
        <v>42.68</v>
      </c>
      <c r="H53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395" t="str">
        <f>IFERROR(INDEX(Raw_orders!G:G, MATCH(shipments[[#This Row],[order_id]],Raw_orders!A:A, 0)), "Unknown")</f>
        <v>Baltics</v>
      </c>
      <c r="J5395" t="str">
        <f>PROPER(shipments[[#This Row],[delivery_status]])</f>
        <v>Delivered</v>
      </c>
      <c r="K5395" t="s">
        <v>6929</v>
      </c>
    </row>
    <row r="5396" spans="1:11">
      <c r="A5396" t="s">
        <v>12332</v>
      </c>
      <c r="B5396" t="s">
        <v>5985</v>
      </c>
      <c r="C5396" t="s">
        <v>6921</v>
      </c>
      <c r="D5396" s="1">
        <v>45262</v>
      </c>
      <c r="E5396" s="1">
        <v>45264</v>
      </c>
      <c r="F5396" s="1">
        <v>45266</v>
      </c>
      <c r="G5396">
        <v>49.02</v>
      </c>
      <c r="H53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96" t="str">
        <f>IFERROR(INDEX(Raw_orders!G:G, MATCH(shipments[[#This Row],[order_id]],Raw_orders!A:A, 0)), "Unknown")</f>
        <v>Central Europe</v>
      </c>
      <c r="J5396" t="str">
        <f>PROPER(shipments[[#This Row],[delivery_status]])</f>
        <v>Delivered</v>
      </c>
      <c r="K5396" t="s">
        <v>6926</v>
      </c>
    </row>
    <row r="5397" spans="1:11">
      <c r="A5397" t="s">
        <v>12333</v>
      </c>
      <c r="B5397" t="s">
        <v>5986</v>
      </c>
      <c r="C5397" t="s">
        <v>6928</v>
      </c>
      <c r="D5397" s="1">
        <v>45139</v>
      </c>
      <c r="E5397" s="1">
        <v>45141</v>
      </c>
      <c r="F5397" s="1"/>
      <c r="G5397">
        <v>47.09</v>
      </c>
      <c r="H53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397" t="str">
        <f>IFERROR(INDEX(Raw_orders!G:G, MATCH(shipments[[#This Row],[order_id]],Raw_orders!A:A, 0)), "Unknown")</f>
        <v>Nordics</v>
      </c>
      <c r="J5397" t="str">
        <f>PROPER(shipments[[#This Row],[delivery_status]])</f>
        <v>Cancelled</v>
      </c>
      <c r="K5397" t="s">
        <v>6979</v>
      </c>
    </row>
    <row r="5398" spans="1:11">
      <c r="A5398" t="s">
        <v>12334</v>
      </c>
      <c r="B5398" t="s">
        <v>5987</v>
      </c>
      <c r="C5398" t="s">
        <v>6935</v>
      </c>
      <c r="D5398" s="1">
        <v>45629</v>
      </c>
      <c r="E5398" s="1">
        <v>45636</v>
      </c>
      <c r="F5398" s="1">
        <v>45638</v>
      </c>
      <c r="G5398">
        <v>23.48</v>
      </c>
      <c r="H53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98" t="str">
        <f>IFERROR(INDEX(Raw_orders!G:G, MATCH(shipments[[#This Row],[order_id]],Raw_orders!A:A, 0)), "Unknown")</f>
        <v>Central Europe</v>
      </c>
      <c r="J5398" t="str">
        <f>PROPER(shipments[[#This Row],[delivery_status]])</f>
        <v>Delivered</v>
      </c>
      <c r="K5398" t="s">
        <v>6922</v>
      </c>
    </row>
    <row r="5399" spans="1:11">
      <c r="A5399" t="s">
        <v>12335</v>
      </c>
      <c r="B5399" t="s">
        <v>5988</v>
      </c>
      <c r="C5399" t="s">
        <v>6921</v>
      </c>
      <c r="D5399" s="1">
        <v>45310</v>
      </c>
      <c r="E5399" s="1">
        <v>45312</v>
      </c>
      <c r="F5399" s="1">
        <v>45317</v>
      </c>
      <c r="G5399">
        <v>27.5</v>
      </c>
      <c r="H53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399" t="str">
        <f>IFERROR(INDEX(Raw_orders!G:G, MATCH(shipments[[#This Row],[order_id]],Raw_orders!A:A, 0)), "Unknown")</f>
        <v>Nordics</v>
      </c>
      <c r="J5399" t="str">
        <f>PROPER(shipments[[#This Row],[delivery_status]])</f>
        <v>Delivered</v>
      </c>
      <c r="K5399" t="s">
        <v>6929</v>
      </c>
    </row>
    <row r="5400" spans="1:11">
      <c r="A5400" t="s">
        <v>12336</v>
      </c>
      <c r="B5400" t="s">
        <v>5989</v>
      </c>
      <c r="C5400" t="s">
        <v>6921</v>
      </c>
      <c r="D5400" s="1">
        <v>45111</v>
      </c>
      <c r="E5400" s="1">
        <v>45113</v>
      </c>
      <c r="F5400" s="1">
        <v>45118</v>
      </c>
      <c r="G5400">
        <v>48.57</v>
      </c>
      <c r="H54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00" t="str">
        <f>IFERROR(INDEX(Raw_orders!G:G, MATCH(shipments[[#This Row],[order_id]],Raw_orders!A:A, 0)), "Unknown")</f>
        <v>Baltics</v>
      </c>
      <c r="J5400" t="str">
        <f>PROPER(shipments[[#This Row],[delivery_status]])</f>
        <v>Delivered</v>
      </c>
      <c r="K5400" t="s">
        <v>6926</v>
      </c>
    </row>
    <row r="5401" spans="1:11">
      <c r="A5401" t="s">
        <v>12337</v>
      </c>
      <c r="B5401" t="s">
        <v>5990</v>
      </c>
      <c r="C5401" t="s">
        <v>6925</v>
      </c>
      <c r="D5401" s="1">
        <v>45584</v>
      </c>
      <c r="E5401" s="1">
        <v>45594</v>
      </c>
      <c r="F5401" s="1">
        <v>45594</v>
      </c>
      <c r="G5401">
        <v>54.33</v>
      </c>
      <c r="H54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01" t="str">
        <f>IFERROR(INDEX(Raw_orders!G:G, MATCH(shipments[[#This Row],[order_id]],Raw_orders!A:A, 0)), "Unknown")</f>
        <v>Central Europe</v>
      </c>
      <c r="J5401" t="str">
        <f>PROPER(shipments[[#This Row],[delivery_status]])</f>
        <v>Delivered</v>
      </c>
      <c r="K5401" t="s">
        <v>6926</v>
      </c>
    </row>
    <row r="5402" spans="1:11">
      <c r="A5402" t="s">
        <v>12338</v>
      </c>
      <c r="B5402" t="s">
        <v>5991</v>
      </c>
      <c r="C5402" t="s">
        <v>6938</v>
      </c>
      <c r="D5402" s="1">
        <v>45292</v>
      </c>
      <c r="E5402" s="1">
        <v>45294</v>
      </c>
      <c r="F5402" s="1">
        <v>45299</v>
      </c>
      <c r="G5402">
        <v>34.46</v>
      </c>
      <c r="H54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02" t="str">
        <f>IFERROR(INDEX(Raw_orders!G:G, MATCH(shipments[[#This Row],[order_id]],Raw_orders!A:A, 0)), "Unknown")</f>
        <v>Central Europe</v>
      </c>
      <c r="J5402" t="str">
        <f>PROPER(shipments[[#This Row],[delivery_status]])</f>
        <v>Delivered</v>
      </c>
      <c r="K5402" t="s">
        <v>6926</v>
      </c>
    </row>
    <row r="5403" spans="1:11">
      <c r="A5403" t="s">
        <v>12339</v>
      </c>
      <c r="B5403" t="s">
        <v>5992</v>
      </c>
      <c r="C5403" t="s">
        <v>6940</v>
      </c>
      <c r="D5403" s="1">
        <v>45379</v>
      </c>
      <c r="E5403" s="1">
        <v>45381</v>
      </c>
      <c r="F5403" s="1"/>
      <c r="G5403">
        <v>61.12</v>
      </c>
      <c r="H54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403" t="str">
        <f>IFERROR(INDEX(Raw_orders!G:G, MATCH(shipments[[#This Row],[order_id]],Raw_orders!A:A, 0)), "Unknown")</f>
        <v>Central Europe</v>
      </c>
      <c r="J5403" t="str">
        <f>PROPER(shipments[[#This Row],[delivery_status]])</f>
        <v>In Transit</v>
      </c>
      <c r="K5403" t="s">
        <v>6958</v>
      </c>
    </row>
    <row r="5404" spans="1:11">
      <c r="A5404" t="s">
        <v>12340</v>
      </c>
      <c r="B5404" t="s">
        <v>5993</v>
      </c>
      <c r="C5404" t="s">
        <v>6931</v>
      </c>
      <c r="D5404" s="1">
        <v>45586</v>
      </c>
      <c r="E5404" s="1">
        <v>45588</v>
      </c>
      <c r="F5404" s="1">
        <v>45593</v>
      </c>
      <c r="G5404">
        <v>13.1</v>
      </c>
      <c r="H54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04" t="str">
        <f>IFERROR(INDEX(Raw_orders!G:G, MATCH(shipments[[#This Row],[order_id]],Raw_orders!A:A, 0)), "Unknown")</f>
        <v>Nordics</v>
      </c>
      <c r="J5404" t="str">
        <f>PROPER(shipments[[#This Row],[delivery_status]])</f>
        <v>Delivered</v>
      </c>
      <c r="K5404" t="s">
        <v>6922</v>
      </c>
    </row>
    <row r="5405" spans="1:11">
      <c r="A5405" t="s">
        <v>12341</v>
      </c>
      <c r="B5405" t="s">
        <v>5994</v>
      </c>
      <c r="C5405" t="s">
        <v>6938</v>
      </c>
      <c r="D5405" s="1">
        <v>45129</v>
      </c>
      <c r="E5405" s="1">
        <v>45139</v>
      </c>
      <c r="F5405" s="1">
        <v>45139</v>
      </c>
      <c r="G5405">
        <v>8.0299999999999994</v>
      </c>
      <c r="H54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05" t="str">
        <f>IFERROR(INDEX(Raw_orders!G:G, MATCH(shipments[[#This Row],[order_id]],Raw_orders!A:A, 0)), "Unknown")</f>
        <v>Nordics</v>
      </c>
      <c r="J5405" t="str">
        <f>PROPER(shipments[[#This Row],[delivery_status]])</f>
        <v>Delivered</v>
      </c>
      <c r="K5405" t="s">
        <v>6929</v>
      </c>
    </row>
    <row r="5406" spans="1:11">
      <c r="A5406" t="s">
        <v>12342</v>
      </c>
      <c r="B5406" t="s">
        <v>5995</v>
      </c>
      <c r="C5406" t="s">
        <v>6940</v>
      </c>
      <c r="D5406" s="1">
        <v>45064</v>
      </c>
      <c r="E5406" s="1">
        <v>45067</v>
      </c>
      <c r="F5406" s="1">
        <v>45079</v>
      </c>
      <c r="G5406">
        <v>18.149999999999999</v>
      </c>
      <c r="H54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06" t="str">
        <f>IFERROR(INDEX(Raw_orders!G:G, MATCH(shipments[[#This Row],[order_id]],Raw_orders!A:A, 0)), "Unknown")</f>
        <v>Baltics</v>
      </c>
      <c r="J5406" t="str">
        <f>PROPER(shipments[[#This Row],[delivery_status]])</f>
        <v>Delivered</v>
      </c>
      <c r="K5406" t="s">
        <v>6926</v>
      </c>
    </row>
    <row r="5407" spans="1:11">
      <c r="A5407" t="s">
        <v>12343</v>
      </c>
      <c r="B5407" t="s">
        <v>5996</v>
      </c>
      <c r="C5407" t="s">
        <v>6956</v>
      </c>
      <c r="D5407" s="1">
        <v>45041</v>
      </c>
      <c r="E5407" s="1">
        <v>45046</v>
      </c>
      <c r="F5407" s="1">
        <v>45046</v>
      </c>
      <c r="G5407">
        <v>38.520000000000003</v>
      </c>
      <c r="H54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07" t="str">
        <f>IFERROR(INDEX(Raw_orders!G:G, MATCH(shipments[[#This Row],[order_id]],Raw_orders!A:A, 0)), "Unknown")</f>
        <v>Baltics</v>
      </c>
      <c r="J5407" t="str">
        <f>PROPER(shipments[[#This Row],[delivery_status]])</f>
        <v>Delivered</v>
      </c>
      <c r="K5407" t="s">
        <v>6929</v>
      </c>
    </row>
    <row r="5408" spans="1:11">
      <c r="A5408" t="s">
        <v>12344</v>
      </c>
      <c r="B5408" t="s">
        <v>5997</v>
      </c>
      <c r="C5408" t="s">
        <v>6938</v>
      </c>
      <c r="D5408" s="1">
        <v>45220</v>
      </c>
      <c r="E5408" s="1">
        <v>45225</v>
      </c>
      <c r="F5408" s="1">
        <v>45230</v>
      </c>
      <c r="G5408">
        <v>63.95</v>
      </c>
      <c r="H54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08" t="str">
        <f>IFERROR(INDEX(Raw_orders!G:G, MATCH(shipments[[#This Row],[order_id]],Raw_orders!A:A, 0)), "Unknown")</f>
        <v>Central Europe</v>
      </c>
      <c r="J5408" t="str">
        <f>PROPER(shipments[[#This Row],[delivery_status]])</f>
        <v>Delivered</v>
      </c>
      <c r="K5408" t="s">
        <v>6922</v>
      </c>
    </row>
    <row r="5409" spans="1:11">
      <c r="A5409" t="s">
        <v>12345</v>
      </c>
      <c r="B5409" t="s">
        <v>5998</v>
      </c>
      <c r="C5409" t="s">
        <v>6956</v>
      </c>
      <c r="D5409" s="1">
        <v>45047</v>
      </c>
      <c r="E5409" s="1">
        <v>45049</v>
      </c>
      <c r="F5409" s="1"/>
      <c r="G5409">
        <v>47.63</v>
      </c>
      <c r="H54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409" t="str">
        <f>IFERROR(INDEX(Raw_orders!G:G, MATCH(shipments[[#This Row],[order_id]],Raw_orders!A:A, 0)), "Unknown")</f>
        <v>Central Europe</v>
      </c>
      <c r="J5409" t="str">
        <f>PROPER(shipments[[#This Row],[delivery_status]])</f>
        <v>In Transit</v>
      </c>
      <c r="K5409" t="s">
        <v>6958</v>
      </c>
    </row>
    <row r="5410" spans="1:11">
      <c r="A5410" t="s">
        <v>12346</v>
      </c>
      <c r="B5410" t="s">
        <v>5999</v>
      </c>
      <c r="C5410" t="s">
        <v>6931</v>
      </c>
      <c r="D5410" s="1">
        <v>45290</v>
      </c>
      <c r="E5410" s="1">
        <v>45295</v>
      </c>
      <c r="F5410" s="1">
        <v>45300</v>
      </c>
      <c r="G5410">
        <v>22.22</v>
      </c>
      <c r="H54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10" t="str">
        <f>IFERROR(INDEX(Raw_orders!G:G, MATCH(shipments[[#This Row],[order_id]],Raw_orders!A:A, 0)), "Unknown")</f>
        <v>Central Europe</v>
      </c>
      <c r="J5410" t="str">
        <f>PROPER(shipments[[#This Row],[delivery_status]])</f>
        <v>Delivered</v>
      </c>
      <c r="K5410" t="s">
        <v>6929</v>
      </c>
    </row>
    <row r="5411" spans="1:11">
      <c r="A5411" t="s">
        <v>12347</v>
      </c>
      <c r="B5411" t="s">
        <v>6000</v>
      </c>
      <c r="C5411" t="s">
        <v>6925</v>
      </c>
      <c r="D5411" s="1">
        <v>45204</v>
      </c>
      <c r="E5411" s="1">
        <v>45214</v>
      </c>
      <c r="F5411" s="1">
        <v>45213</v>
      </c>
      <c r="G5411">
        <v>55.24</v>
      </c>
      <c r="H54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11" t="str">
        <f>IFERROR(INDEX(Raw_orders!G:G, MATCH(shipments[[#This Row],[order_id]],Raw_orders!A:A, 0)), "Unknown")</f>
        <v>Baltics</v>
      </c>
      <c r="J5411" t="str">
        <f>PROPER(shipments[[#This Row],[delivery_status]])</f>
        <v>Delivered</v>
      </c>
      <c r="K5411" t="s">
        <v>6922</v>
      </c>
    </row>
    <row r="5412" spans="1:11">
      <c r="A5412" t="s">
        <v>12348</v>
      </c>
      <c r="B5412" t="s">
        <v>6001</v>
      </c>
      <c r="C5412" t="s">
        <v>6935</v>
      </c>
      <c r="D5412" s="1">
        <v>45624</v>
      </c>
      <c r="E5412" s="1">
        <v>45629</v>
      </c>
      <c r="F5412" s="1">
        <v>45634</v>
      </c>
      <c r="G5412">
        <v>8.15</v>
      </c>
      <c r="H54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12" t="str">
        <f>IFERROR(INDEX(Raw_orders!G:G, MATCH(shipments[[#This Row],[order_id]],Raw_orders!A:A, 0)), "Unknown")</f>
        <v>Central Europe</v>
      </c>
      <c r="J5412" t="str">
        <f>PROPER(shipments[[#This Row],[delivery_status]])</f>
        <v>Delivered</v>
      </c>
      <c r="K5412" t="s">
        <v>6926</v>
      </c>
    </row>
    <row r="5413" spans="1:11">
      <c r="A5413" t="s">
        <v>12349</v>
      </c>
      <c r="B5413" t="s">
        <v>6002</v>
      </c>
      <c r="C5413" t="s">
        <v>6931</v>
      </c>
      <c r="D5413" s="1">
        <v>45258</v>
      </c>
      <c r="E5413" s="1">
        <v>45265</v>
      </c>
      <c r="F5413" s="1">
        <v>45265</v>
      </c>
      <c r="G5413">
        <v>37.35</v>
      </c>
      <c r="H54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13" t="str">
        <f>IFERROR(INDEX(Raw_orders!G:G, MATCH(shipments[[#This Row],[order_id]],Raw_orders!A:A, 0)), "Unknown")</f>
        <v>Baltics</v>
      </c>
      <c r="J5413" t="str">
        <f>PROPER(shipments[[#This Row],[delivery_status]])</f>
        <v>Delivered</v>
      </c>
      <c r="K5413" t="s">
        <v>6926</v>
      </c>
    </row>
    <row r="5414" spans="1:11">
      <c r="A5414" t="s">
        <v>12350</v>
      </c>
      <c r="B5414" t="s">
        <v>6003</v>
      </c>
      <c r="C5414" t="s">
        <v>6935</v>
      </c>
      <c r="D5414" s="1">
        <v>45248</v>
      </c>
      <c r="E5414" s="1">
        <v>45258</v>
      </c>
      <c r="F5414" s="1">
        <v>45258</v>
      </c>
      <c r="G5414">
        <v>31.8</v>
      </c>
      <c r="H54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14" t="str">
        <f>IFERROR(INDEX(Raw_orders!G:G, MATCH(shipments[[#This Row],[order_id]],Raw_orders!A:A, 0)), "Unknown")</f>
        <v>Nordics</v>
      </c>
      <c r="J5414" t="str">
        <f>PROPER(shipments[[#This Row],[delivery_status]])</f>
        <v>Delivered</v>
      </c>
      <c r="K5414" t="s">
        <v>6929</v>
      </c>
    </row>
    <row r="5415" spans="1:11">
      <c r="A5415" t="s">
        <v>12351</v>
      </c>
      <c r="B5415" t="s">
        <v>6004</v>
      </c>
      <c r="C5415" t="s">
        <v>6938</v>
      </c>
      <c r="D5415" s="1">
        <v>44968</v>
      </c>
      <c r="E5415" s="1">
        <v>44973</v>
      </c>
      <c r="F5415" s="1">
        <v>44978</v>
      </c>
      <c r="G5415">
        <v>15.14</v>
      </c>
      <c r="H54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15" t="str">
        <f>IFERROR(INDEX(Raw_orders!G:G, MATCH(shipments[[#This Row],[order_id]],Raw_orders!A:A, 0)), "Unknown")</f>
        <v>Nordics</v>
      </c>
      <c r="J5415" t="str">
        <f>PROPER(shipments[[#This Row],[delivery_status]])</f>
        <v>Delivered</v>
      </c>
      <c r="K5415" t="s">
        <v>6922</v>
      </c>
    </row>
    <row r="5416" spans="1:11">
      <c r="A5416" t="s">
        <v>12352</v>
      </c>
      <c r="B5416" t="s">
        <v>6005</v>
      </c>
      <c r="C5416" t="s">
        <v>6928</v>
      </c>
      <c r="D5416" s="1">
        <v>44950</v>
      </c>
      <c r="E5416" s="1">
        <v>44955</v>
      </c>
      <c r="F5416" s="1">
        <v>44954</v>
      </c>
      <c r="G5416">
        <v>61.38</v>
      </c>
      <c r="H54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16" t="str">
        <f>IFERROR(INDEX(Raw_orders!G:G, MATCH(shipments[[#This Row],[order_id]],Raw_orders!A:A, 0)), "Unknown")</f>
        <v>Central Europe</v>
      </c>
      <c r="J5416" t="str">
        <f>PROPER(shipments[[#This Row],[delivery_status]])</f>
        <v>Delivered</v>
      </c>
      <c r="K5416" t="s">
        <v>6926</v>
      </c>
    </row>
    <row r="5417" spans="1:11">
      <c r="A5417" t="s">
        <v>12353</v>
      </c>
      <c r="B5417" t="s">
        <v>6006</v>
      </c>
      <c r="C5417" t="s">
        <v>6935</v>
      </c>
      <c r="D5417" s="1">
        <v>45568</v>
      </c>
      <c r="E5417" s="1">
        <v>45573</v>
      </c>
      <c r="F5417" s="1"/>
      <c r="G5417">
        <v>35.770000000000003</v>
      </c>
      <c r="H54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417" t="str">
        <f>IFERROR(INDEX(Raw_orders!G:G, MATCH(shipments[[#This Row],[order_id]],Raw_orders!A:A, 0)), "Unknown")</f>
        <v>Central Europe</v>
      </c>
      <c r="J5417" t="str">
        <f>PROPER(shipments[[#This Row],[delivery_status]])</f>
        <v>Cancelled</v>
      </c>
      <c r="K5417" t="s">
        <v>6979</v>
      </c>
    </row>
    <row r="5418" spans="1:11">
      <c r="A5418" t="s">
        <v>12354</v>
      </c>
      <c r="B5418" t="s">
        <v>6007</v>
      </c>
      <c r="C5418" t="s">
        <v>6940</v>
      </c>
      <c r="D5418" s="1">
        <v>45333</v>
      </c>
      <c r="E5418" s="1">
        <v>45338</v>
      </c>
      <c r="F5418" s="1">
        <v>45338</v>
      </c>
      <c r="G5418">
        <v>58.13</v>
      </c>
      <c r="H54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18" t="str">
        <f>IFERROR(INDEX(Raw_orders!G:G, MATCH(shipments[[#This Row],[order_id]],Raw_orders!A:A, 0)), "Unknown")</f>
        <v>Nordics</v>
      </c>
      <c r="J5418" t="str">
        <f>PROPER(shipments[[#This Row],[delivery_status]])</f>
        <v>Delivered</v>
      </c>
      <c r="K5418" t="s">
        <v>6922</v>
      </c>
    </row>
    <row r="5419" spans="1:11">
      <c r="A5419" t="s">
        <v>12355</v>
      </c>
      <c r="B5419" t="s">
        <v>6008</v>
      </c>
      <c r="C5419" t="s">
        <v>6925</v>
      </c>
      <c r="D5419" s="1">
        <v>44998</v>
      </c>
      <c r="E5419" s="1">
        <v>45001</v>
      </c>
      <c r="F5419" s="1">
        <v>45009</v>
      </c>
      <c r="G5419">
        <v>27.53</v>
      </c>
      <c r="H54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19" t="str">
        <f>IFERROR(INDEX(Raw_orders!G:G, MATCH(shipments[[#This Row],[order_id]],Raw_orders!A:A, 0)), "Unknown")</f>
        <v>Baltics</v>
      </c>
      <c r="J5419" t="str">
        <f>PROPER(shipments[[#This Row],[delivery_status]])</f>
        <v>Delivered</v>
      </c>
      <c r="K5419" t="s">
        <v>6922</v>
      </c>
    </row>
    <row r="5420" spans="1:11">
      <c r="A5420" t="s">
        <v>12356</v>
      </c>
      <c r="B5420" t="s">
        <v>6009</v>
      </c>
      <c r="C5420" t="s">
        <v>6921</v>
      </c>
      <c r="D5420" s="1">
        <v>45266</v>
      </c>
      <c r="E5420" s="1">
        <v>45268</v>
      </c>
      <c r="F5420" s="1">
        <v>45267</v>
      </c>
      <c r="G5420">
        <v>63.21</v>
      </c>
      <c r="H54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20" t="str">
        <f>IFERROR(INDEX(Raw_orders!G:G, MATCH(shipments[[#This Row],[order_id]],Raw_orders!A:A, 0)), "Unknown")</f>
        <v>Nordics</v>
      </c>
      <c r="J5420" t="str">
        <f>PROPER(shipments[[#This Row],[delivery_status]])</f>
        <v>Delivered</v>
      </c>
      <c r="K5420" t="s">
        <v>6922</v>
      </c>
    </row>
    <row r="5421" spans="1:11">
      <c r="A5421" t="s">
        <v>12357</v>
      </c>
      <c r="B5421" t="s">
        <v>6010</v>
      </c>
      <c r="C5421" t="s">
        <v>6956</v>
      </c>
      <c r="D5421" s="1">
        <v>45190</v>
      </c>
      <c r="E5421" s="1">
        <v>45200</v>
      </c>
      <c r="F5421" s="1">
        <v>45202</v>
      </c>
      <c r="G5421">
        <v>37.799999999999997</v>
      </c>
      <c r="H54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21" t="str">
        <f>IFERROR(INDEX(Raw_orders!G:G, MATCH(shipments[[#This Row],[order_id]],Raw_orders!A:A, 0)), "Unknown")</f>
        <v>Central Europe</v>
      </c>
      <c r="J5421" t="str">
        <f>PROPER(shipments[[#This Row],[delivery_status]])</f>
        <v>Delivered</v>
      </c>
      <c r="K5421" t="s">
        <v>6929</v>
      </c>
    </row>
    <row r="5422" spans="1:11">
      <c r="A5422" t="s">
        <v>12358</v>
      </c>
      <c r="B5422" t="s">
        <v>6010</v>
      </c>
      <c r="C5422" t="s">
        <v>6925</v>
      </c>
      <c r="D5422" s="1">
        <v>45190</v>
      </c>
      <c r="E5422" s="1">
        <v>45193</v>
      </c>
      <c r="F5422" s="1">
        <v>45193</v>
      </c>
      <c r="G5422">
        <v>44.04</v>
      </c>
      <c r="H54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22" t="str">
        <f>IFERROR(INDEX(Raw_orders!G:G, MATCH(shipments[[#This Row],[order_id]],Raw_orders!A:A, 0)), "Unknown")</f>
        <v>Central Europe</v>
      </c>
      <c r="J5422" t="str">
        <f>PROPER(shipments[[#This Row],[delivery_status]])</f>
        <v>Delivered</v>
      </c>
      <c r="K5422" t="s">
        <v>6929</v>
      </c>
    </row>
    <row r="5423" spans="1:11">
      <c r="A5423" t="s">
        <v>12359</v>
      </c>
      <c r="B5423" t="s">
        <v>6011</v>
      </c>
      <c r="C5423" t="s">
        <v>6935</v>
      </c>
      <c r="D5423" s="1">
        <v>45581</v>
      </c>
      <c r="E5423" s="1">
        <v>45583</v>
      </c>
      <c r="F5423" s="1">
        <v>45582</v>
      </c>
      <c r="G5423">
        <v>52.09</v>
      </c>
      <c r="H54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23" t="str">
        <f>IFERROR(INDEX(Raw_orders!G:G, MATCH(shipments[[#This Row],[order_id]],Raw_orders!A:A, 0)), "Unknown")</f>
        <v>Central Europe</v>
      </c>
      <c r="J5423" t="str">
        <f>PROPER(shipments[[#This Row],[delivery_status]])</f>
        <v>Delivered</v>
      </c>
      <c r="K5423" t="s">
        <v>6926</v>
      </c>
    </row>
    <row r="5424" spans="1:11">
      <c r="A5424" t="s">
        <v>12360</v>
      </c>
      <c r="B5424" t="s">
        <v>6012</v>
      </c>
      <c r="C5424" t="s">
        <v>6938</v>
      </c>
      <c r="D5424" s="1">
        <v>45039</v>
      </c>
      <c r="E5424" s="1">
        <v>45044</v>
      </c>
      <c r="F5424" s="1"/>
      <c r="G5424">
        <v>21.37</v>
      </c>
      <c r="H54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424" t="str">
        <f>IFERROR(INDEX(Raw_orders!G:G, MATCH(shipments[[#This Row],[order_id]],Raw_orders!A:A, 0)), "Unknown")</f>
        <v>Nordics</v>
      </c>
      <c r="J5424" t="str">
        <f>PROPER(shipments[[#This Row],[delivery_status]])</f>
        <v>In Transit</v>
      </c>
      <c r="K5424" t="s">
        <v>6958</v>
      </c>
    </row>
    <row r="5425" spans="1:11">
      <c r="A5425" t="s">
        <v>12361</v>
      </c>
      <c r="B5425" t="s">
        <v>6013</v>
      </c>
      <c r="C5425" t="s">
        <v>6928</v>
      </c>
      <c r="D5425" s="1">
        <v>45115</v>
      </c>
      <c r="E5425" s="1">
        <v>45118</v>
      </c>
      <c r="F5425" s="1"/>
      <c r="G5425">
        <v>58</v>
      </c>
      <c r="H54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425" t="str">
        <f>IFERROR(INDEX(Raw_orders!G:G, MATCH(shipments[[#This Row],[order_id]],Raw_orders!A:A, 0)), "Unknown")</f>
        <v>Nordics</v>
      </c>
      <c r="J5425" t="str">
        <f>PROPER(shipments[[#This Row],[delivery_status]])</f>
        <v>Cancelled</v>
      </c>
      <c r="K5425" t="s">
        <v>6963</v>
      </c>
    </row>
    <row r="5426" spans="1:11">
      <c r="A5426" t="s">
        <v>12362</v>
      </c>
      <c r="B5426" t="s">
        <v>6014</v>
      </c>
      <c r="C5426" t="s">
        <v>6938</v>
      </c>
      <c r="D5426" s="1">
        <v>45217</v>
      </c>
      <c r="E5426" s="1">
        <v>45219</v>
      </c>
      <c r="F5426" s="1">
        <v>45226</v>
      </c>
      <c r="G5426">
        <v>11.71</v>
      </c>
      <c r="H54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26" t="str">
        <f>IFERROR(INDEX(Raw_orders!G:G, MATCH(shipments[[#This Row],[order_id]],Raw_orders!A:A, 0)), "Unknown")</f>
        <v>Central Europe</v>
      </c>
      <c r="J5426" t="str">
        <f>PROPER(shipments[[#This Row],[delivery_status]])</f>
        <v>Delivered</v>
      </c>
      <c r="K5426" t="s">
        <v>6922</v>
      </c>
    </row>
    <row r="5427" spans="1:11">
      <c r="A5427" t="s">
        <v>12363</v>
      </c>
      <c r="B5427" t="s">
        <v>6015</v>
      </c>
      <c r="C5427" t="s">
        <v>6949</v>
      </c>
      <c r="D5427" s="1">
        <v>45397</v>
      </c>
      <c r="E5427" s="1">
        <v>45402</v>
      </c>
      <c r="F5427" s="1">
        <v>45407</v>
      </c>
      <c r="G5427">
        <v>33.65</v>
      </c>
      <c r="H54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27" t="str">
        <f>IFERROR(INDEX(Raw_orders!G:G, MATCH(shipments[[#This Row],[order_id]],Raw_orders!A:A, 0)), "Unknown")</f>
        <v>Central Europe</v>
      </c>
      <c r="J5427" t="str">
        <f>PROPER(shipments[[#This Row],[delivery_status]])</f>
        <v>Delivered</v>
      </c>
      <c r="K5427" t="s">
        <v>6929</v>
      </c>
    </row>
    <row r="5428" spans="1:11">
      <c r="A5428" t="s">
        <v>12364</v>
      </c>
      <c r="B5428" t="s">
        <v>6016</v>
      </c>
      <c r="C5428" t="s">
        <v>6940</v>
      </c>
      <c r="D5428" s="1">
        <v>45621</v>
      </c>
      <c r="E5428" s="1">
        <v>45628</v>
      </c>
      <c r="F5428" s="1">
        <v>45636</v>
      </c>
      <c r="G5428">
        <v>20.079999999999998</v>
      </c>
      <c r="H54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28" t="str">
        <f>IFERROR(INDEX(Raw_orders!G:G, MATCH(shipments[[#This Row],[order_id]],Raw_orders!A:A, 0)), "Unknown")</f>
        <v>Nordics</v>
      </c>
      <c r="J5428" t="str">
        <f>PROPER(shipments[[#This Row],[delivery_status]])</f>
        <v>Delivered</v>
      </c>
      <c r="K5428" t="s">
        <v>6929</v>
      </c>
    </row>
    <row r="5429" spans="1:11">
      <c r="A5429" t="s">
        <v>12365</v>
      </c>
      <c r="B5429" t="s">
        <v>6017</v>
      </c>
      <c r="C5429" t="s">
        <v>6940</v>
      </c>
      <c r="D5429" s="1">
        <v>45334</v>
      </c>
      <c r="E5429" s="1">
        <v>45336</v>
      </c>
      <c r="F5429" s="1"/>
      <c r="G5429">
        <v>7.35</v>
      </c>
      <c r="H54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429" t="str">
        <f>IFERROR(INDEX(Raw_orders!G:G, MATCH(shipments[[#This Row],[order_id]],Raw_orders!A:A, 0)), "Unknown")</f>
        <v>Nordics</v>
      </c>
      <c r="J5429" t="str">
        <f>PROPER(shipments[[#This Row],[delivery_status]])</f>
        <v>Cancelled</v>
      </c>
      <c r="K5429" t="s">
        <v>6972</v>
      </c>
    </row>
    <row r="5430" spans="1:11">
      <c r="A5430" t="s">
        <v>12366</v>
      </c>
      <c r="B5430" t="s">
        <v>6018</v>
      </c>
      <c r="C5430" t="s">
        <v>6931</v>
      </c>
      <c r="D5430" s="1">
        <v>45354</v>
      </c>
      <c r="E5430" s="1">
        <v>45364</v>
      </c>
      <c r="F5430" s="1">
        <v>45372</v>
      </c>
      <c r="G5430">
        <v>7.97</v>
      </c>
      <c r="H54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30" t="str">
        <f>IFERROR(INDEX(Raw_orders!G:G, MATCH(shipments[[#This Row],[order_id]],Raw_orders!A:A, 0)), "Unknown")</f>
        <v>Baltics</v>
      </c>
      <c r="J5430" t="str">
        <f>PROPER(shipments[[#This Row],[delivery_status]])</f>
        <v>Delivered</v>
      </c>
      <c r="K5430" t="s">
        <v>6929</v>
      </c>
    </row>
    <row r="5431" spans="1:11">
      <c r="A5431" t="s">
        <v>12367</v>
      </c>
      <c r="B5431" t="s">
        <v>6019</v>
      </c>
      <c r="C5431" t="s">
        <v>6935</v>
      </c>
      <c r="D5431" s="1">
        <v>45522</v>
      </c>
      <c r="E5431" s="1">
        <v>45525</v>
      </c>
      <c r="F5431" s="1"/>
      <c r="G5431">
        <v>8.33</v>
      </c>
      <c r="H54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431" t="str">
        <f>IFERROR(INDEX(Raw_orders!G:G, MATCH(shipments[[#This Row],[order_id]],Raw_orders!A:A, 0)), "Unknown")</f>
        <v>Central Europe</v>
      </c>
      <c r="J5431" t="str">
        <f>PROPER(shipments[[#This Row],[delivery_status]])</f>
        <v>In Transit</v>
      </c>
      <c r="K5431" t="s">
        <v>6946</v>
      </c>
    </row>
    <row r="5432" spans="1:11">
      <c r="A5432" t="s">
        <v>12368</v>
      </c>
      <c r="B5432" t="s">
        <v>6020</v>
      </c>
      <c r="C5432" t="s">
        <v>6938</v>
      </c>
      <c r="D5432" s="1">
        <v>45339</v>
      </c>
      <c r="E5432" s="1">
        <v>45346</v>
      </c>
      <c r="F5432" s="1">
        <v>45346</v>
      </c>
      <c r="G5432">
        <v>24.55</v>
      </c>
      <c r="H54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32" t="str">
        <f>IFERROR(INDEX(Raw_orders!G:G, MATCH(shipments[[#This Row],[order_id]],Raw_orders!A:A, 0)), "Unknown")</f>
        <v>Baltics</v>
      </c>
      <c r="J5432" t="str">
        <f>PROPER(shipments[[#This Row],[delivery_status]])</f>
        <v>Delivered</v>
      </c>
      <c r="K5432" t="s">
        <v>6926</v>
      </c>
    </row>
    <row r="5433" spans="1:11">
      <c r="A5433" t="s">
        <v>12369</v>
      </c>
      <c r="B5433" t="s">
        <v>6021</v>
      </c>
      <c r="C5433" t="s">
        <v>6921</v>
      </c>
      <c r="D5433" s="1">
        <v>45597</v>
      </c>
      <c r="E5433" s="1">
        <v>45599</v>
      </c>
      <c r="F5433" s="1">
        <v>45599</v>
      </c>
      <c r="G5433">
        <v>41.44</v>
      </c>
      <c r="H54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33" t="str">
        <f>IFERROR(INDEX(Raw_orders!G:G, MATCH(shipments[[#This Row],[order_id]],Raw_orders!A:A, 0)), "Unknown")</f>
        <v>Baltics</v>
      </c>
      <c r="J5433" t="str">
        <f>PROPER(shipments[[#This Row],[delivery_status]])</f>
        <v>Delivered</v>
      </c>
      <c r="K5433" t="s">
        <v>6926</v>
      </c>
    </row>
    <row r="5434" spans="1:11">
      <c r="A5434" t="s">
        <v>12370</v>
      </c>
      <c r="B5434" t="s">
        <v>6022</v>
      </c>
      <c r="C5434" t="s">
        <v>6938</v>
      </c>
      <c r="D5434" s="1">
        <v>45243</v>
      </c>
      <c r="E5434" s="1">
        <v>45253</v>
      </c>
      <c r="F5434" s="1">
        <v>45253</v>
      </c>
      <c r="G5434">
        <v>26.23</v>
      </c>
      <c r="H54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34" t="str">
        <f>IFERROR(INDEX(Raw_orders!G:G, MATCH(shipments[[#This Row],[order_id]],Raw_orders!A:A, 0)), "Unknown")</f>
        <v>Baltics</v>
      </c>
      <c r="J5434" t="str">
        <f>PROPER(shipments[[#This Row],[delivery_status]])</f>
        <v>Delivered</v>
      </c>
      <c r="K5434" t="s">
        <v>6926</v>
      </c>
    </row>
    <row r="5435" spans="1:11">
      <c r="A5435" t="s">
        <v>12371</v>
      </c>
      <c r="B5435" t="s">
        <v>6023</v>
      </c>
      <c r="C5435" t="s">
        <v>6921</v>
      </c>
      <c r="D5435" s="1">
        <v>45323</v>
      </c>
      <c r="E5435" s="1">
        <v>45333</v>
      </c>
      <c r="F5435" s="1">
        <v>45338</v>
      </c>
      <c r="G5435">
        <v>21.14</v>
      </c>
      <c r="H54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35" t="str">
        <f>IFERROR(INDEX(Raw_orders!G:G, MATCH(shipments[[#This Row],[order_id]],Raw_orders!A:A, 0)), "Unknown")</f>
        <v>Baltics</v>
      </c>
      <c r="J5435" t="str">
        <f>PROPER(shipments[[#This Row],[delivery_status]])</f>
        <v>Delivered</v>
      </c>
      <c r="K5435" t="s">
        <v>6926</v>
      </c>
    </row>
    <row r="5436" spans="1:11">
      <c r="A5436" t="s">
        <v>12372</v>
      </c>
      <c r="B5436" t="s">
        <v>6024</v>
      </c>
      <c r="C5436" t="s">
        <v>6928</v>
      </c>
      <c r="D5436" s="1">
        <v>45267</v>
      </c>
      <c r="E5436" s="1">
        <v>45270</v>
      </c>
      <c r="F5436" s="1">
        <v>45270</v>
      </c>
      <c r="G5436">
        <v>20.86</v>
      </c>
      <c r="H54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36" t="str">
        <f>IFERROR(INDEX(Raw_orders!G:G, MATCH(shipments[[#This Row],[order_id]],Raw_orders!A:A, 0)), "Unknown")</f>
        <v>Baltics</v>
      </c>
      <c r="J5436" t="str">
        <f>PROPER(shipments[[#This Row],[delivery_status]])</f>
        <v>Delivered</v>
      </c>
      <c r="K5436" t="s">
        <v>6926</v>
      </c>
    </row>
    <row r="5437" spans="1:11">
      <c r="A5437" t="s">
        <v>12373</v>
      </c>
      <c r="B5437" t="s">
        <v>6025</v>
      </c>
      <c r="C5437" t="s">
        <v>6928</v>
      </c>
      <c r="D5437" s="1">
        <v>45184</v>
      </c>
      <c r="E5437" s="1">
        <v>45194</v>
      </c>
      <c r="F5437" s="1"/>
      <c r="G5437">
        <v>28.01</v>
      </c>
      <c r="H54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437" t="str">
        <f>IFERROR(INDEX(Raw_orders!G:G, MATCH(shipments[[#This Row],[order_id]],Raw_orders!A:A, 0)), "Unknown")</f>
        <v>Nordics</v>
      </c>
      <c r="J5437" t="str">
        <f>PROPER(shipments[[#This Row],[delivery_status]])</f>
        <v>In Transit</v>
      </c>
      <c r="K5437" t="s">
        <v>6958</v>
      </c>
    </row>
    <row r="5438" spans="1:11">
      <c r="A5438" t="s">
        <v>12374</v>
      </c>
      <c r="B5438" t="s">
        <v>6026</v>
      </c>
      <c r="C5438" t="s">
        <v>6938</v>
      </c>
      <c r="D5438" s="1">
        <v>45387</v>
      </c>
      <c r="E5438" s="1">
        <v>45390</v>
      </c>
      <c r="F5438" s="1">
        <v>45389</v>
      </c>
      <c r="G5438">
        <v>30.07</v>
      </c>
      <c r="H54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38" t="str">
        <f>IFERROR(INDEX(Raw_orders!G:G, MATCH(shipments[[#This Row],[order_id]],Raw_orders!A:A, 0)), "Unknown")</f>
        <v>Nordics</v>
      </c>
      <c r="J5438" t="str">
        <f>PROPER(shipments[[#This Row],[delivery_status]])</f>
        <v>Delivered</v>
      </c>
      <c r="K5438" t="s">
        <v>6922</v>
      </c>
    </row>
    <row r="5439" spans="1:11">
      <c r="A5439" t="s">
        <v>12375</v>
      </c>
      <c r="B5439" t="s">
        <v>6027</v>
      </c>
      <c r="C5439" t="s">
        <v>6956</v>
      </c>
      <c r="D5439" s="1">
        <v>45545</v>
      </c>
      <c r="E5439" s="1">
        <v>45552</v>
      </c>
      <c r="F5439" s="1"/>
      <c r="G5439">
        <v>39.6</v>
      </c>
      <c r="H54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439" t="str">
        <f>IFERROR(INDEX(Raw_orders!G:G, MATCH(shipments[[#This Row],[order_id]],Raw_orders!A:A, 0)), "Unknown")</f>
        <v>Baltics</v>
      </c>
      <c r="J5439" t="str">
        <f>PROPER(shipments[[#This Row],[delivery_status]])</f>
        <v>Cancelled</v>
      </c>
      <c r="K5439" t="s">
        <v>6972</v>
      </c>
    </row>
    <row r="5440" spans="1:11">
      <c r="A5440" t="s">
        <v>12376</v>
      </c>
      <c r="B5440" t="s">
        <v>6028</v>
      </c>
      <c r="C5440" t="s">
        <v>6931</v>
      </c>
      <c r="D5440" s="1">
        <v>45210</v>
      </c>
      <c r="E5440" s="1">
        <v>45215</v>
      </c>
      <c r="F5440" s="1">
        <v>45228</v>
      </c>
      <c r="G5440">
        <v>14.16</v>
      </c>
      <c r="H54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40" t="str">
        <f>IFERROR(INDEX(Raw_orders!G:G, MATCH(shipments[[#This Row],[order_id]],Raw_orders!A:A, 0)), "Unknown")</f>
        <v>Baltics</v>
      </c>
      <c r="J5440" t="str">
        <f>PROPER(shipments[[#This Row],[delivery_status]])</f>
        <v>Delivered</v>
      </c>
      <c r="K5440" t="s">
        <v>6926</v>
      </c>
    </row>
    <row r="5441" spans="1:11">
      <c r="A5441" t="s">
        <v>12377</v>
      </c>
      <c r="B5441" t="s">
        <v>6029</v>
      </c>
      <c r="C5441" t="s">
        <v>6940</v>
      </c>
      <c r="D5441" s="1">
        <v>45064</v>
      </c>
      <c r="E5441" s="1">
        <v>45066</v>
      </c>
      <c r="F5441" s="1">
        <v>45067</v>
      </c>
      <c r="G5441">
        <v>10.66</v>
      </c>
      <c r="H54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41" t="str">
        <f>IFERROR(INDEX(Raw_orders!G:G, MATCH(shipments[[#This Row],[order_id]],Raw_orders!A:A, 0)), "Unknown")</f>
        <v>Nordics</v>
      </c>
      <c r="J5441" t="str">
        <f>PROPER(shipments[[#This Row],[delivery_status]])</f>
        <v>Delivered</v>
      </c>
      <c r="K5441" t="s">
        <v>6926</v>
      </c>
    </row>
    <row r="5442" spans="1:11">
      <c r="A5442" t="s">
        <v>12378</v>
      </c>
      <c r="B5442" t="s">
        <v>6030</v>
      </c>
      <c r="C5442" t="s">
        <v>6931</v>
      </c>
      <c r="D5442" s="1">
        <v>45064</v>
      </c>
      <c r="E5442" s="1">
        <v>45074</v>
      </c>
      <c r="F5442" s="1">
        <v>45085</v>
      </c>
      <c r="G5442">
        <v>42.93</v>
      </c>
      <c r="H54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42" t="str">
        <f>IFERROR(INDEX(Raw_orders!G:G, MATCH(shipments[[#This Row],[order_id]],Raw_orders!A:A, 0)), "Unknown")</f>
        <v>Baltics</v>
      </c>
      <c r="J5442" t="str">
        <f>PROPER(shipments[[#This Row],[delivery_status]])</f>
        <v>Delivered</v>
      </c>
      <c r="K5442" t="s">
        <v>6926</v>
      </c>
    </row>
    <row r="5443" spans="1:11">
      <c r="A5443" t="s">
        <v>12379</v>
      </c>
      <c r="B5443" t="s">
        <v>6031</v>
      </c>
      <c r="C5443" t="s">
        <v>6956</v>
      </c>
      <c r="D5443" s="1">
        <v>45140</v>
      </c>
      <c r="E5443" s="1">
        <v>45150</v>
      </c>
      <c r="F5443" s="1">
        <v>45150</v>
      </c>
      <c r="G5443">
        <v>25.86</v>
      </c>
      <c r="H54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43" t="str">
        <f>IFERROR(INDEX(Raw_orders!G:G, MATCH(shipments[[#This Row],[order_id]],Raw_orders!A:A, 0)), "Unknown")</f>
        <v>Nordics</v>
      </c>
      <c r="J5443" t="str">
        <f>PROPER(shipments[[#This Row],[delivery_status]])</f>
        <v>Delivered</v>
      </c>
      <c r="K5443" t="s">
        <v>6929</v>
      </c>
    </row>
    <row r="5444" spans="1:11">
      <c r="A5444" t="s">
        <v>12380</v>
      </c>
      <c r="B5444" t="s">
        <v>6032</v>
      </c>
      <c r="C5444" t="s">
        <v>6928</v>
      </c>
      <c r="D5444" s="1">
        <v>45079</v>
      </c>
      <c r="E5444" s="1">
        <v>45084</v>
      </c>
      <c r="F5444" s="1">
        <v>45092</v>
      </c>
      <c r="G5444">
        <v>14.5</v>
      </c>
      <c r="H54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44" t="str">
        <f>IFERROR(INDEX(Raw_orders!G:G, MATCH(shipments[[#This Row],[order_id]],Raw_orders!A:A, 0)), "Unknown")</f>
        <v>Baltics</v>
      </c>
      <c r="J5444" t="str">
        <f>PROPER(shipments[[#This Row],[delivery_status]])</f>
        <v>Delivered</v>
      </c>
      <c r="K5444" t="s">
        <v>6926</v>
      </c>
    </row>
    <row r="5445" spans="1:11">
      <c r="A5445" t="s">
        <v>12381</v>
      </c>
      <c r="B5445" t="s">
        <v>6033</v>
      </c>
      <c r="C5445" t="s">
        <v>6938</v>
      </c>
      <c r="D5445" s="1">
        <v>45502</v>
      </c>
      <c r="E5445" s="1">
        <v>45512</v>
      </c>
      <c r="F5445" s="1"/>
      <c r="G5445">
        <v>8.98</v>
      </c>
      <c r="H54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445" t="str">
        <f>IFERROR(INDEX(Raw_orders!G:G, MATCH(shipments[[#This Row],[order_id]],Raw_orders!A:A, 0)), "Unknown")</f>
        <v>Central Europe</v>
      </c>
      <c r="J5445" t="str">
        <f>PROPER(shipments[[#This Row],[delivery_status]])</f>
        <v>In Transit</v>
      </c>
      <c r="K5445" t="s">
        <v>6946</v>
      </c>
    </row>
    <row r="5446" spans="1:11">
      <c r="A5446" t="s">
        <v>12382</v>
      </c>
      <c r="B5446" t="s">
        <v>6034</v>
      </c>
      <c r="C5446" t="s">
        <v>6928</v>
      </c>
      <c r="D5446" s="1">
        <v>45264</v>
      </c>
      <c r="E5446" s="1">
        <v>45267</v>
      </c>
      <c r="F5446" s="1"/>
      <c r="G5446">
        <v>32.42</v>
      </c>
      <c r="H54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446" t="str">
        <f>IFERROR(INDEX(Raw_orders!G:G, MATCH(shipments[[#This Row],[order_id]],Raw_orders!A:A, 0)), "Unknown")</f>
        <v>Central Europe</v>
      </c>
      <c r="J5446" t="str">
        <f>PROPER(shipments[[#This Row],[delivery_status]])</f>
        <v>Cancelled</v>
      </c>
      <c r="K5446" t="s">
        <v>6963</v>
      </c>
    </row>
    <row r="5447" spans="1:11">
      <c r="A5447" t="s">
        <v>12383</v>
      </c>
      <c r="B5447" t="s">
        <v>6035</v>
      </c>
      <c r="C5447" t="s">
        <v>6931</v>
      </c>
      <c r="D5447" s="1">
        <v>45410</v>
      </c>
      <c r="E5447" s="1">
        <v>45417</v>
      </c>
      <c r="F5447" s="1"/>
      <c r="G5447">
        <v>46.16</v>
      </c>
      <c r="H54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447" t="str">
        <f>IFERROR(INDEX(Raw_orders!G:G, MATCH(shipments[[#This Row],[order_id]],Raw_orders!A:A, 0)), "Unknown")</f>
        <v>Baltics</v>
      </c>
      <c r="J5447" t="str">
        <f>PROPER(shipments[[#This Row],[delivery_status]])</f>
        <v>Cancelled</v>
      </c>
      <c r="K5447" t="s">
        <v>6979</v>
      </c>
    </row>
    <row r="5448" spans="1:11">
      <c r="A5448" t="s">
        <v>12384</v>
      </c>
      <c r="B5448" t="s">
        <v>6036</v>
      </c>
      <c r="C5448" t="s">
        <v>6940</v>
      </c>
      <c r="D5448" s="1">
        <v>45165</v>
      </c>
      <c r="E5448" s="1">
        <v>45172</v>
      </c>
      <c r="F5448" s="1">
        <v>45172</v>
      </c>
      <c r="G5448">
        <v>59.96</v>
      </c>
      <c r="H54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48" t="str">
        <f>IFERROR(INDEX(Raw_orders!G:G, MATCH(shipments[[#This Row],[order_id]],Raw_orders!A:A, 0)), "Unknown")</f>
        <v>Central Europe</v>
      </c>
      <c r="J5448" t="str">
        <f>PROPER(shipments[[#This Row],[delivery_status]])</f>
        <v>Delivered</v>
      </c>
      <c r="K5448" t="s">
        <v>6926</v>
      </c>
    </row>
    <row r="5449" spans="1:11">
      <c r="A5449" t="s">
        <v>12385</v>
      </c>
      <c r="B5449" t="s">
        <v>6037</v>
      </c>
      <c r="C5449" t="s">
        <v>6940</v>
      </c>
      <c r="D5449" s="1">
        <v>45512</v>
      </c>
      <c r="E5449" s="1">
        <v>45514</v>
      </c>
      <c r="F5449" s="1">
        <v>45522</v>
      </c>
      <c r="G5449">
        <v>30.8</v>
      </c>
      <c r="H54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49" t="str">
        <f>IFERROR(INDEX(Raw_orders!G:G, MATCH(shipments[[#This Row],[order_id]],Raw_orders!A:A, 0)), "Unknown")</f>
        <v>Baltics</v>
      </c>
      <c r="J5449" t="str">
        <f>PROPER(shipments[[#This Row],[delivery_status]])</f>
        <v>Delivered</v>
      </c>
      <c r="K5449" t="s">
        <v>6926</v>
      </c>
    </row>
    <row r="5450" spans="1:11">
      <c r="A5450" t="s">
        <v>12386</v>
      </c>
      <c r="B5450" t="s">
        <v>6038</v>
      </c>
      <c r="C5450" t="s">
        <v>6935</v>
      </c>
      <c r="D5450" s="1">
        <v>44992</v>
      </c>
      <c r="E5450" s="1">
        <v>44997</v>
      </c>
      <c r="F5450" s="1">
        <v>44998</v>
      </c>
      <c r="G5450">
        <v>57.08</v>
      </c>
      <c r="H54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50" t="str">
        <f>IFERROR(INDEX(Raw_orders!G:G, MATCH(shipments[[#This Row],[order_id]],Raw_orders!A:A, 0)), "Unknown")</f>
        <v>Central Europe</v>
      </c>
      <c r="J5450" t="str">
        <f>PROPER(shipments[[#This Row],[delivery_status]])</f>
        <v>Delivered</v>
      </c>
      <c r="K5450" t="s">
        <v>6926</v>
      </c>
    </row>
    <row r="5451" spans="1:11">
      <c r="A5451" t="s">
        <v>12387</v>
      </c>
      <c r="B5451" t="s">
        <v>6039</v>
      </c>
      <c r="C5451" t="s">
        <v>6921</v>
      </c>
      <c r="D5451" s="1">
        <v>45361</v>
      </c>
      <c r="E5451" s="1">
        <v>45368</v>
      </c>
      <c r="F5451" s="1">
        <v>45368</v>
      </c>
      <c r="G5451">
        <v>23</v>
      </c>
      <c r="H54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51" t="str">
        <f>IFERROR(INDEX(Raw_orders!G:G, MATCH(shipments[[#This Row],[order_id]],Raw_orders!A:A, 0)), "Unknown")</f>
        <v>Nordics</v>
      </c>
      <c r="J5451" t="str">
        <f>PROPER(shipments[[#This Row],[delivery_status]])</f>
        <v>Delivered</v>
      </c>
      <c r="K5451" t="s">
        <v>6926</v>
      </c>
    </row>
    <row r="5452" spans="1:11">
      <c r="A5452" t="s">
        <v>12388</v>
      </c>
      <c r="B5452" t="s">
        <v>6040</v>
      </c>
      <c r="C5452" t="s">
        <v>6956</v>
      </c>
      <c r="D5452" s="1">
        <v>45439</v>
      </c>
      <c r="E5452" s="1">
        <v>45446</v>
      </c>
      <c r="F5452" s="1">
        <v>45448</v>
      </c>
      <c r="G5452">
        <v>33.630000000000003</v>
      </c>
      <c r="H54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52" t="str">
        <f>IFERROR(INDEX(Raw_orders!G:G, MATCH(shipments[[#This Row],[order_id]],Raw_orders!A:A, 0)), "Unknown")</f>
        <v>Central Europe</v>
      </c>
      <c r="J5452" t="str">
        <f>PROPER(shipments[[#This Row],[delivery_status]])</f>
        <v>Delivered</v>
      </c>
      <c r="K5452" t="s">
        <v>6922</v>
      </c>
    </row>
    <row r="5453" spans="1:11">
      <c r="A5453" t="s">
        <v>12389</v>
      </c>
      <c r="B5453" t="s">
        <v>6041</v>
      </c>
      <c r="C5453" t="s">
        <v>6931</v>
      </c>
      <c r="D5453" s="1">
        <v>45162</v>
      </c>
      <c r="E5453" s="1">
        <v>45169</v>
      </c>
      <c r="F5453" s="1">
        <v>45177</v>
      </c>
      <c r="G5453">
        <v>16.79</v>
      </c>
      <c r="H54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53" t="str">
        <f>IFERROR(INDEX(Raw_orders!G:G, MATCH(shipments[[#This Row],[order_id]],Raw_orders!A:A, 0)), "Unknown")</f>
        <v>Baltics</v>
      </c>
      <c r="J5453" t="str">
        <f>PROPER(shipments[[#This Row],[delivery_status]])</f>
        <v>Delivered</v>
      </c>
      <c r="K5453" t="s">
        <v>6929</v>
      </c>
    </row>
    <row r="5454" spans="1:11">
      <c r="A5454" t="s">
        <v>12390</v>
      </c>
      <c r="B5454" t="s">
        <v>6042</v>
      </c>
      <c r="C5454" t="s">
        <v>6931</v>
      </c>
      <c r="D5454" s="1">
        <v>45496</v>
      </c>
      <c r="E5454" s="1">
        <v>45501</v>
      </c>
      <c r="F5454" s="1">
        <v>45500</v>
      </c>
      <c r="G5454">
        <v>45.29</v>
      </c>
      <c r="H54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54" t="str">
        <f>IFERROR(INDEX(Raw_orders!G:G, MATCH(shipments[[#This Row],[order_id]],Raw_orders!A:A, 0)), "Unknown")</f>
        <v>Central Europe</v>
      </c>
      <c r="J5454" t="str">
        <f>PROPER(shipments[[#This Row],[delivery_status]])</f>
        <v>Delivered</v>
      </c>
      <c r="K5454" t="s">
        <v>6929</v>
      </c>
    </row>
    <row r="5455" spans="1:11">
      <c r="A5455" t="s">
        <v>12391</v>
      </c>
      <c r="B5455" t="s">
        <v>6043</v>
      </c>
      <c r="C5455" t="s">
        <v>6956</v>
      </c>
      <c r="D5455" s="1">
        <v>45304</v>
      </c>
      <c r="E5455" s="1">
        <v>45311</v>
      </c>
      <c r="F5455" s="1">
        <v>45311</v>
      </c>
      <c r="G5455">
        <v>57.8</v>
      </c>
      <c r="H54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55" t="str">
        <f>IFERROR(INDEX(Raw_orders!G:G, MATCH(shipments[[#This Row],[order_id]],Raw_orders!A:A, 0)), "Unknown")</f>
        <v>Baltics</v>
      </c>
      <c r="J5455" t="str">
        <f>PROPER(shipments[[#This Row],[delivery_status]])</f>
        <v>Delivered</v>
      </c>
      <c r="K5455" t="s">
        <v>6922</v>
      </c>
    </row>
    <row r="5456" spans="1:11">
      <c r="A5456" t="s">
        <v>12392</v>
      </c>
      <c r="B5456" t="s">
        <v>6044</v>
      </c>
      <c r="C5456" t="s">
        <v>6928</v>
      </c>
      <c r="D5456" s="1">
        <v>45578</v>
      </c>
      <c r="E5456" s="1">
        <v>45583</v>
      </c>
      <c r="F5456" s="1">
        <v>45588</v>
      </c>
      <c r="G5456">
        <v>17.440000000000001</v>
      </c>
      <c r="H54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56" t="str">
        <f>IFERROR(INDEX(Raw_orders!G:G, MATCH(shipments[[#This Row],[order_id]],Raw_orders!A:A, 0)), "Unknown")</f>
        <v>Baltics</v>
      </c>
      <c r="J5456" t="str">
        <f>PROPER(shipments[[#This Row],[delivery_status]])</f>
        <v>Delivered</v>
      </c>
      <c r="K5456" t="s">
        <v>6926</v>
      </c>
    </row>
    <row r="5457" spans="1:11">
      <c r="A5457" t="s">
        <v>12393</v>
      </c>
      <c r="B5457" t="s">
        <v>6044</v>
      </c>
      <c r="C5457" t="s">
        <v>6921</v>
      </c>
      <c r="D5457" s="1">
        <v>45578</v>
      </c>
      <c r="E5457" s="1">
        <v>45581</v>
      </c>
      <c r="F5457" s="1"/>
      <c r="G5457">
        <v>39.380000000000003</v>
      </c>
      <c r="H54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457" t="str">
        <f>IFERROR(INDEX(Raw_orders!G:G, MATCH(shipments[[#This Row],[order_id]],Raw_orders!A:A, 0)), "Unknown")</f>
        <v>Baltics</v>
      </c>
      <c r="J5457" t="str">
        <f>PROPER(shipments[[#This Row],[delivery_status]])</f>
        <v>In Transit</v>
      </c>
      <c r="K5457" t="s">
        <v>6977</v>
      </c>
    </row>
    <row r="5458" spans="1:11">
      <c r="A5458" t="s">
        <v>12394</v>
      </c>
      <c r="B5458" t="s">
        <v>6045</v>
      </c>
      <c r="C5458" t="s">
        <v>6940</v>
      </c>
      <c r="D5458" s="1">
        <v>45474</v>
      </c>
      <c r="E5458" s="1">
        <v>45477</v>
      </c>
      <c r="F5458" s="1">
        <v>45479</v>
      </c>
      <c r="G5458">
        <v>18.59</v>
      </c>
      <c r="H54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58" t="str">
        <f>IFERROR(INDEX(Raw_orders!G:G, MATCH(shipments[[#This Row],[order_id]],Raw_orders!A:A, 0)), "Unknown")</f>
        <v>Baltics</v>
      </c>
      <c r="J5458" t="str">
        <f>PROPER(shipments[[#This Row],[delivery_status]])</f>
        <v>Delivered</v>
      </c>
      <c r="K5458" t="s">
        <v>6926</v>
      </c>
    </row>
    <row r="5459" spans="1:11">
      <c r="A5459" t="s">
        <v>12395</v>
      </c>
      <c r="B5459" t="s">
        <v>6046</v>
      </c>
      <c r="C5459" t="s">
        <v>6931</v>
      </c>
      <c r="D5459" s="1">
        <v>45269</v>
      </c>
      <c r="E5459" s="1">
        <v>45272</v>
      </c>
      <c r="F5459" s="1">
        <v>45271</v>
      </c>
      <c r="G5459">
        <v>30.76</v>
      </c>
      <c r="H54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59" t="str">
        <f>IFERROR(INDEX(Raw_orders!G:G, MATCH(shipments[[#This Row],[order_id]],Raw_orders!A:A, 0)), "Unknown")</f>
        <v>Nordics</v>
      </c>
      <c r="J5459" t="str">
        <f>PROPER(shipments[[#This Row],[delivery_status]])</f>
        <v>Delivered</v>
      </c>
      <c r="K5459" t="s">
        <v>6922</v>
      </c>
    </row>
    <row r="5460" spans="1:11">
      <c r="A5460" t="s">
        <v>12396</v>
      </c>
      <c r="B5460" t="s">
        <v>6047</v>
      </c>
      <c r="C5460" t="s">
        <v>6938</v>
      </c>
      <c r="D5460" s="1">
        <v>45227</v>
      </c>
      <c r="E5460" s="1">
        <v>45232</v>
      </c>
      <c r="F5460" s="1">
        <v>45234</v>
      </c>
      <c r="G5460">
        <v>28.08</v>
      </c>
      <c r="H54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60" t="str">
        <f>IFERROR(INDEX(Raw_orders!G:G, MATCH(shipments[[#This Row],[order_id]],Raw_orders!A:A, 0)), "Unknown")</f>
        <v>Central Europe</v>
      </c>
      <c r="J5460" t="str">
        <f>PROPER(shipments[[#This Row],[delivery_status]])</f>
        <v>Delivered</v>
      </c>
      <c r="K5460" t="s">
        <v>6929</v>
      </c>
    </row>
    <row r="5461" spans="1:11">
      <c r="A5461" t="s">
        <v>12397</v>
      </c>
      <c r="B5461" t="s">
        <v>6048</v>
      </c>
      <c r="C5461" t="s">
        <v>6956</v>
      </c>
      <c r="D5461" s="1">
        <v>44988</v>
      </c>
      <c r="E5461" s="1">
        <v>44998</v>
      </c>
      <c r="F5461" s="1">
        <v>44998</v>
      </c>
      <c r="G5461">
        <v>29.98</v>
      </c>
      <c r="H54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61" t="str">
        <f>IFERROR(INDEX(Raw_orders!G:G, MATCH(shipments[[#This Row],[order_id]],Raw_orders!A:A, 0)), "Unknown")</f>
        <v>Central Europe</v>
      </c>
      <c r="J5461" t="str">
        <f>PROPER(shipments[[#This Row],[delivery_status]])</f>
        <v>Delivered</v>
      </c>
      <c r="K5461" t="s">
        <v>6922</v>
      </c>
    </row>
    <row r="5462" spans="1:11">
      <c r="A5462" t="s">
        <v>12398</v>
      </c>
      <c r="B5462" t="s">
        <v>6049</v>
      </c>
      <c r="C5462" t="s">
        <v>6928</v>
      </c>
      <c r="D5462" s="1">
        <v>45044</v>
      </c>
      <c r="E5462" s="1">
        <v>45051</v>
      </c>
      <c r="F5462" s="1">
        <v>45050</v>
      </c>
      <c r="G5462">
        <v>13.91</v>
      </c>
      <c r="H54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62" t="str">
        <f>IFERROR(INDEX(Raw_orders!G:G, MATCH(shipments[[#This Row],[order_id]],Raw_orders!A:A, 0)), "Unknown")</f>
        <v>Central Europe</v>
      </c>
      <c r="J5462" t="str">
        <f>PROPER(shipments[[#This Row],[delivery_status]])</f>
        <v>Delivered</v>
      </c>
      <c r="K5462" t="s">
        <v>6929</v>
      </c>
    </row>
    <row r="5463" spans="1:11">
      <c r="A5463" t="s">
        <v>12399</v>
      </c>
      <c r="B5463" t="s">
        <v>6050</v>
      </c>
      <c r="C5463" t="s">
        <v>6938</v>
      </c>
      <c r="D5463" s="1">
        <v>45420</v>
      </c>
      <c r="E5463" s="1">
        <v>45425</v>
      </c>
      <c r="F5463" s="1"/>
      <c r="G5463">
        <v>48.59</v>
      </c>
      <c r="H54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463" t="str">
        <f>IFERROR(INDEX(Raw_orders!G:G, MATCH(shipments[[#This Row],[order_id]],Raw_orders!A:A, 0)), "Unknown")</f>
        <v>Nordics</v>
      </c>
      <c r="J5463" t="str">
        <f>PROPER(shipments[[#This Row],[delivery_status]])</f>
        <v>In Transit</v>
      </c>
      <c r="K5463" t="s">
        <v>6958</v>
      </c>
    </row>
    <row r="5464" spans="1:11">
      <c r="A5464" t="s">
        <v>12400</v>
      </c>
      <c r="B5464" t="s">
        <v>6051</v>
      </c>
      <c r="C5464" t="s">
        <v>6925</v>
      </c>
      <c r="D5464" s="1">
        <v>45546</v>
      </c>
      <c r="E5464" s="1">
        <v>45551</v>
      </c>
      <c r="F5464" s="1">
        <v>45559</v>
      </c>
      <c r="G5464">
        <v>48.38</v>
      </c>
      <c r="H54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64" t="str">
        <f>IFERROR(INDEX(Raw_orders!G:G, MATCH(shipments[[#This Row],[order_id]],Raw_orders!A:A, 0)), "Unknown")</f>
        <v>Baltics</v>
      </c>
      <c r="J5464" t="str">
        <f>PROPER(shipments[[#This Row],[delivery_status]])</f>
        <v>Delivered</v>
      </c>
      <c r="K5464" t="s">
        <v>6926</v>
      </c>
    </row>
    <row r="5465" spans="1:11">
      <c r="A5465" t="s">
        <v>12401</v>
      </c>
      <c r="B5465" t="s">
        <v>6052</v>
      </c>
      <c r="C5465" t="s">
        <v>6925</v>
      </c>
      <c r="D5465" s="1">
        <v>45607</v>
      </c>
      <c r="E5465" s="1">
        <v>45614</v>
      </c>
      <c r="F5465" s="1">
        <v>45615</v>
      </c>
      <c r="G5465">
        <v>12.85</v>
      </c>
      <c r="H54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65" t="str">
        <f>IFERROR(INDEX(Raw_orders!G:G, MATCH(shipments[[#This Row],[order_id]],Raw_orders!A:A, 0)), "Unknown")</f>
        <v>Baltics</v>
      </c>
      <c r="J5465" t="str">
        <f>PROPER(shipments[[#This Row],[delivery_status]])</f>
        <v>Delivered</v>
      </c>
      <c r="K5465" t="s">
        <v>6922</v>
      </c>
    </row>
    <row r="5466" spans="1:11">
      <c r="A5466" t="s">
        <v>12402</v>
      </c>
      <c r="B5466" t="s">
        <v>6053</v>
      </c>
      <c r="C5466" t="s">
        <v>6921</v>
      </c>
      <c r="D5466" s="1">
        <v>45060</v>
      </c>
      <c r="E5466" s="1">
        <v>45062</v>
      </c>
      <c r="F5466" s="1">
        <v>45062</v>
      </c>
      <c r="G5466">
        <v>30.32</v>
      </c>
      <c r="H54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66" t="str">
        <f>IFERROR(INDEX(Raw_orders!G:G, MATCH(shipments[[#This Row],[order_id]],Raw_orders!A:A, 0)), "Unknown")</f>
        <v>Central Europe</v>
      </c>
      <c r="J5466" t="str">
        <f>PROPER(shipments[[#This Row],[delivery_status]])</f>
        <v>Delivered</v>
      </c>
      <c r="K5466" t="s">
        <v>6926</v>
      </c>
    </row>
    <row r="5467" spans="1:11">
      <c r="A5467" t="s">
        <v>12403</v>
      </c>
      <c r="B5467" t="s">
        <v>6054</v>
      </c>
      <c r="C5467" t="s">
        <v>6956</v>
      </c>
      <c r="D5467" s="1">
        <v>45618</v>
      </c>
      <c r="E5467" s="1">
        <v>45625</v>
      </c>
      <c r="F5467" s="1">
        <v>45625</v>
      </c>
      <c r="G5467">
        <v>9.26</v>
      </c>
      <c r="H54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67" t="str">
        <f>IFERROR(INDEX(Raw_orders!G:G, MATCH(shipments[[#This Row],[order_id]],Raw_orders!A:A, 0)), "Unknown")</f>
        <v>Central Europe</v>
      </c>
      <c r="J5467" t="str">
        <f>PROPER(shipments[[#This Row],[delivery_status]])</f>
        <v>Delivered</v>
      </c>
      <c r="K5467" t="s">
        <v>6922</v>
      </c>
    </row>
    <row r="5468" spans="1:11">
      <c r="A5468" t="s">
        <v>12404</v>
      </c>
      <c r="B5468" t="s">
        <v>6055</v>
      </c>
      <c r="C5468" t="s">
        <v>6940</v>
      </c>
      <c r="D5468" s="1">
        <v>45060</v>
      </c>
      <c r="E5468" s="1">
        <v>45063</v>
      </c>
      <c r="F5468" s="1">
        <v>45071</v>
      </c>
      <c r="G5468">
        <v>40.71</v>
      </c>
      <c r="H54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68" t="str">
        <f>IFERROR(INDEX(Raw_orders!G:G, MATCH(shipments[[#This Row],[order_id]],Raw_orders!A:A, 0)), "Unknown")</f>
        <v>Nordics</v>
      </c>
      <c r="J5468" t="str">
        <f>PROPER(shipments[[#This Row],[delivery_status]])</f>
        <v>Delivered</v>
      </c>
      <c r="K5468" t="s">
        <v>6922</v>
      </c>
    </row>
    <row r="5469" spans="1:11">
      <c r="A5469" t="s">
        <v>12405</v>
      </c>
      <c r="B5469" t="s">
        <v>6056</v>
      </c>
      <c r="C5469" t="s">
        <v>6931</v>
      </c>
      <c r="D5469" s="1">
        <v>45626</v>
      </c>
      <c r="E5469" s="1">
        <v>45633</v>
      </c>
      <c r="F5469" s="1">
        <v>45634</v>
      </c>
      <c r="G5469">
        <v>43.2</v>
      </c>
      <c r="H54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69" t="str">
        <f>IFERROR(INDEX(Raw_orders!G:G, MATCH(shipments[[#This Row],[order_id]],Raw_orders!A:A, 0)), "Unknown")</f>
        <v>Baltics</v>
      </c>
      <c r="J5469" t="str">
        <f>PROPER(shipments[[#This Row],[delivery_status]])</f>
        <v>Delivered</v>
      </c>
      <c r="K5469" t="s">
        <v>6922</v>
      </c>
    </row>
    <row r="5470" spans="1:11">
      <c r="A5470" t="s">
        <v>12406</v>
      </c>
      <c r="B5470" t="s">
        <v>6057</v>
      </c>
      <c r="C5470" t="s">
        <v>6928</v>
      </c>
      <c r="D5470" s="1">
        <v>45266</v>
      </c>
      <c r="E5470" s="1">
        <v>45268</v>
      </c>
      <c r="F5470" s="1">
        <v>45276</v>
      </c>
      <c r="G5470">
        <v>19.36</v>
      </c>
      <c r="H54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70" t="str">
        <f>IFERROR(INDEX(Raw_orders!G:G, MATCH(shipments[[#This Row],[order_id]],Raw_orders!A:A, 0)), "Unknown")</f>
        <v>Central Europe</v>
      </c>
      <c r="J5470" t="str">
        <f>PROPER(shipments[[#This Row],[delivery_status]])</f>
        <v>Delivered</v>
      </c>
      <c r="K5470" t="s">
        <v>6922</v>
      </c>
    </row>
    <row r="5471" spans="1:11">
      <c r="A5471" t="s">
        <v>12407</v>
      </c>
      <c r="B5471" t="s">
        <v>6058</v>
      </c>
      <c r="C5471" t="s">
        <v>6935</v>
      </c>
      <c r="D5471" s="1">
        <v>45345</v>
      </c>
      <c r="E5471" s="1">
        <v>45347</v>
      </c>
      <c r="F5471" s="1">
        <v>45355</v>
      </c>
      <c r="G5471">
        <v>6.76</v>
      </c>
      <c r="H54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71" t="str">
        <f>IFERROR(INDEX(Raw_orders!G:G, MATCH(shipments[[#This Row],[order_id]],Raw_orders!A:A, 0)), "Unknown")</f>
        <v>Central Europe</v>
      </c>
      <c r="J5471" t="str">
        <f>PROPER(shipments[[#This Row],[delivery_status]])</f>
        <v>Delivered</v>
      </c>
      <c r="K5471" t="s">
        <v>6929</v>
      </c>
    </row>
    <row r="5472" spans="1:11">
      <c r="A5472" t="s">
        <v>12408</v>
      </c>
      <c r="B5472" t="s">
        <v>6059</v>
      </c>
      <c r="C5472" t="s">
        <v>6931</v>
      </c>
      <c r="D5472" s="1">
        <v>45265</v>
      </c>
      <c r="E5472" s="1">
        <v>45275</v>
      </c>
      <c r="F5472" s="1"/>
      <c r="G5472">
        <v>34.69</v>
      </c>
      <c r="H54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472" t="str">
        <f>IFERROR(INDEX(Raw_orders!G:G, MATCH(shipments[[#This Row],[order_id]],Raw_orders!A:A, 0)), "Unknown")</f>
        <v>Central Europe</v>
      </c>
      <c r="J5472" t="str">
        <f>PROPER(shipments[[#This Row],[delivery_status]])</f>
        <v>In Transit</v>
      </c>
      <c r="K5472" t="s">
        <v>6946</v>
      </c>
    </row>
    <row r="5473" spans="1:11">
      <c r="A5473" t="s">
        <v>12409</v>
      </c>
      <c r="B5473" t="s">
        <v>6060</v>
      </c>
      <c r="C5473" t="s">
        <v>6940</v>
      </c>
      <c r="D5473" s="1">
        <v>45094</v>
      </c>
      <c r="E5473" s="1">
        <v>45099</v>
      </c>
      <c r="F5473" s="1"/>
      <c r="G5473">
        <v>40.65</v>
      </c>
      <c r="H54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473" t="str">
        <f>IFERROR(INDEX(Raw_orders!G:G, MATCH(shipments[[#This Row],[order_id]],Raw_orders!A:A, 0)), "Unknown")</f>
        <v>Nordics</v>
      </c>
      <c r="J5473" t="str">
        <f>PROPER(shipments[[#This Row],[delivery_status]])</f>
        <v>In Transit</v>
      </c>
      <c r="K5473" t="s">
        <v>6977</v>
      </c>
    </row>
    <row r="5474" spans="1:11">
      <c r="A5474" t="s">
        <v>12410</v>
      </c>
      <c r="B5474" t="s">
        <v>6061</v>
      </c>
      <c r="C5474" t="s">
        <v>6931</v>
      </c>
      <c r="D5474" s="1">
        <v>45596</v>
      </c>
      <c r="E5474" s="1">
        <v>45603</v>
      </c>
      <c r="F5474" s="1">
        <v>45611</v>
      </c>
      <c r="G5474">
        <v>64.84</v>
      </c>
      <c r="H54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74" t="str">
        <f>IFERROR(INDEX(Raw_orders!G:G, MATCH(shipments[[#This Row],[order_id]],Raw_orders!A:A, 0)), "Unknown")</f>
        <v>Nordics</v>
      </c>
      <c r="J5474" t="str">
        <f>PROPER(shipments[[#This Row],[delivery_status]])</f>
        <v>Delivered</v>
      </c>
      <c r="K5474" t="s">
        <v>6926</v>
      </c>
    </row>
    <row r="5475" spans="1:11">
      <c r="A5475" t="s">
        <v>12411</v>
      </c>
      <c r="B5475" t="s">
        <v>6062</v>
      </c>
      <c r="C5475" t="s">
        <v>6928</v>
      </c>
      <c r="D5475" s="1">
        <v>45558</v>
      </c>
      <c r="E5475" s="1">
        <v>45561</v>
      </c>
      <c r="F5475" s="1"/>
      <c r="G5475">
        <v>41.07</v>
      </c>
      <c r="H54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475" t="str">
        <f>IFERROR(INDEX(Raw_orders!G:G, MATCH(shipments[[#This Row],[order_id]],Raw_orders!A:A, 0)), "Unknown")</f>
        <v>Nordics</v>
      </c>
      <c r="J5475" t="str">
        <f>PROPER(shipments[[#This Row],[delivery_status]])</f>
        <v>Cancelled</v>
      </c>
      <c r="K5475" t="s">
        <v>6972</v>
      </c>
    </row>
    <row r="5476" spans="1:11">
      <c r="A5476" t="s">
        <v>12412</v>
      </c>
      <c r="B5476" t="s">
        <v>6063</v>
      </c>
      <c r="C5476" t="s">
        <v>6940</v>
      </c>
      <c r="D5476" s="1">
        <v>45191</v>
      </c>
      <c r="E5476" s="1">
        <v>45201</v>
      </c>
      <c r="F5476" s="1">
        <v>45201</v>
      </c>
      <c r="G5476">
        <v>63.04</v>
      </c>
      <c r="H54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76" t="str">
        <f>IFERROR(INDEX(Raw_orders!G:G, MATCH(shipments[[#This Row],[order_id]],Raw_orders!A:A, 0)), "Unknown")</f>
        <v>Baltics</v>
      </c>
      <c r="J5476" t="str">
        <f>PROPER(shipments[[#This Row],[delivery_status]])</f>
        <v>Delivered</v>
      </c>
      <c r="K5476" t="s">
        <v>6926</v>
      </c>
    </row>
    <row r="5477" spans="1:11">
      <c r="A5477" t="s">
        <v>12413</v>
      </c>
      <c r="B5477" t="s">
        <v>6064</v>
      </c>
      <c r="C5477" t="s">
        <v>6940</v>
      </c>
      <c r="D5477" s="1">
        <v>45417</v>
      </c>
      <c r="E5477" s="1">
        <v>45424</v>
      </c>
      <c r="F5477" s="1">
        <v>45425</v>
      </c>
      <c r="G5477">
        <v>12.09</v>
      </c>
      <c r="H54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77" t="str">
        <f>IFERROR(INDEX(Raw_orders!G:G, MATCH(shipments[[#This Row],[order_id]],Raw_orders!A:A, 0)), "Unknown")</f>
        <v>Central Europe</v>
      </c>
      <c r="J5477" t="str">
        <f>PROPER(shipments[[#This Row],[delivery_status]])</f>
        <v>Delivered</v>
      </c>
      <c r="K5477" t="s">
        <v>6926</v>
      </c>
    </row>
    <row r="5478" spans="1:11">
      <c r="A5478" t="s">
        <v>12414</v>
      </c>
      <c r="B5478" t="s">
        <v>6065</v>
      </c>
      <c r="C5478" t="s">
        <v>6940</v>
      </c>
      <c r="D5478" s="1">
        <v>45534</v>
      </c>
      <c r="E5478" s="1">
        <v>45539</v>
      </c>
      <c r="F5478" s="1">
        <v>45539</v>
      </c>
      <c r="G5478">
        <v>26.44</v>
      </c>
      <c r="H54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78" t="str">
        <f>IFERROR(INDEX(Raw_orders!G:G, MATCH(shipments[[#This Row],[order_id]],Raw_orders!A:A, 0)), "Unknown")</f>
        <v>Baltics</v>
      </c>
      <c r="J5478" t="str">
        <f>PROPER(shipments[[#This Row],[delivery_status]])</f>
        <v>Delivered</v>
      </c>
      <c r="K5478" t="s">
        <v>6929</v>
      </c>
    </row>
    <row r="5479" spans="1:11">
      <c r="A5479" t="s">
        <v>12415</v>
      </c>
      <c r="B5479" t="s">
        <v>6066</v>
      </c>
      <c r="C5479" t="s">
        <v>6925</v>
      </c>
      <c r="D5479" s="1">
        <v>45612</v>
      </c>
      <c r="E5479" s="1">
        <v>45622</v>
      </c>
      <c r="F5479" s="1">
        <v>45630</v>
      </c>
      <c r="G5479">
        <v>48.38</v>
      </c>
      <c r="H54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79" t="str">
        <f>IFERROR(INDEX(Raw_orders!G:G, MATCH(shipments[[#This Row],[order_id]],Raw_orders!A:A, 0)), "Unknown")</f>
        <v>Central Europe</v>
      </c>
      <c r="J5479" t="str">
        <f>PROPER(shipments[[#This Row],[delivery_status]])</f>
        <v>Delivered</v>
      </c>
      <c r="K5479" t="s">
        <v>6926</v>
      </c>
    </row>
    <row r="5480" spans="1:11">
      <c r="A5480" t="s">
        <v>12416</v>
      </c>
      <c r="B5480" t="s">
        <v>6067</v>
      </c>
      <c r="C5480" t="s">
        <v>6938</v>
      </c>
      <c r="D5480" s="1">
        <v>45198</v>
      </c>
      <c r="E5480" s="1">
        <v>45201</v>
      </c>
      <c r="F5480" s="1">
        <v>45201</v>
      </c>
      <c r="G5480">
        <v>34.880000000000003</v>
      </c>
      <c r="H54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80" t="str">
        <f>IFERROR(INDEX(Raw_orders!G:G, MATCH(shipments[[#This Row],[order_id]],Raw_orders!A:A, 0)), "Unknown")</f>
        <v>Nordics</v>
      </c>
      <c r="J5480" t="str">
        <f>PROPER(shipments[[#This Row],[delivery_status]])</f>
        <v>Delivered</v>
      </c>
      <c r="K5480" t="s">
        <v>6929</v>
      </c>
    </row>
    <row r="5481" spans="1:11">
      <c r="A5481" t="s">
        <v>12417</v>
      </c>
      <c r="B5481" t="s">
        <v>6068</v>
      </c>
      <c r="C5481" t="s">
        <v>6949</v>
      </c>
      <c r="D5481" s="1">
        <v>45392</v>
      </c>
      <c r="E5481" s="1">
        <v>45399</v>
      </c>
      <c r="F5481" s="1"/>
      <c r="G5481">
        <v>14.18</v>
      </c>
      <c r="H54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481" t="str">
        <f>IFERROR(INDEX(Raw_orders!G:G, MATCH(shipments[[#This Row],[order_id]],Raw_orders!A:A, 0)), "Unknown")</f>
        <v>Central Europe</v>
      </c>
      <c r="J5481" t="str">
        <f>PROPER(shipments[[#This Row],[delivery_status]])</f>
        <v>Cancelled</v>
      </c>
      <c r="K5481" t="s">
        <v>6963</v>
      </c>
    </row>
    <row r="5482" spans="1:11">
      <c r="A5482" t="s">
        <v>12418</v>
      </c>
      <c r="B5482" t="s">
        <v>6069</v>
      </c>
      <c r="C5482" t="s">
        <v>6921</v>
      </c>
      <c r="D5482" s="1">
        <v>45281</v>
      </c>
      <c r="E5482" s="1">
        <v>45284</v>
      </c>
      <c r="F5482" s="1">
        <v>45284</v>
      </c>
      <c r="G5482">
        <v>11.98</v>
      </c>
      <c r="H54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82" t="str">
        <f>IFERROR(INDEX(Raw_orders!G:G, MATCH(shipments[[#This Row],[order_id]],Raw_orders!A:A, 0)), "Unknown")</f>
        <v>Baltics</v>
      </c>
      <c r="J5482" t="str">
        <f>PROPER(shipments[[#This Row],[delivery_status]])</f>
        <v>Delivered</v>
      </c>
      <c r="K5482" t="s">
        <v>6926</v>
      </c>
    </row>
    <row r="5483" spans="1:11">
      <c r="A5483" t="s">
        <v>12419</v>
      </c>
      <c r="B5483" t="s">
        <v>6070</v>
      </c>
      <c r="C5483" t="s">
        <v>6949</v>
      </c>
      <c r="D5483" s="1">
        <v>45324</v>
      </c>
      <c r="E5483" s="1">
        <v>45329</v>
      </c>
      <c r="F5483" s="1">
        <v>45329</v>
      </c>
      <c r="H54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83" t="str">
        <f>IFERROR(INDEX(Raw_orders!G:G, MATCH(shipments[[#This Row],[order_id]],Raw_orders!A:A, 0)), "Unknown")</f>
        <v>Central Europe</v>
      </c>
      <c r="J5483" t="str">
        <f>PROPER(shipments[[#This Row],[delivery_status]])</f>
        <v>Delivered</v>
      </c>
      <c r="K5483" t="s">
        <v>6926</v>
      </c>
    </row>
    <row r="5484" spans="1:11">
      <c r="A5484" t="s">
        <v>12420</v>
      </c>
      <c r="B5484" t="s">
        <v>6071</v>
      </c>
      <c r="C5484" t="s">
        <v>6921</v>
      </c>
      <c r="D5484" s="1">
        <v>45329</v>
      </c>
      <c r="E5484" s="1">
        <v>45336</v>
      </c>
      <c r="F5484" s="1">
        <v>45338</v>
      </c>
      <c r="G5484">
        <v>9.39</v>
      </c>
      <c r="H54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84" t="str">
        <f>IFERROR(INDEX(Raw_orders!G:G, MATCH(shipments[[#This Row],[order_id]],Raw_orders!A:A, 0)), "Unknown")</f>
        <v>Nordics</v>
      </c>
      <c r="J5484" t="str">
        <f>PROPER(shipments[[#This Row],[delivery_status]])</f>
        <v>Delivered</v>
      </c>
      <c r="K5484" t="s">
        <v>6922</v>
      </c>
    </row>
    <row r="5485" spans="1:11">
      <c r="A5485" t="s">
        <v>12421</v>
      </c>
      <c r="B5485" t="s">
        <v>6072</v>
      </c>
      <c r="C5485" t="s">
        <v>6956</v>
      </c>
      <c r="D5485" s="1">
        <v>45285</v>
      </c>
      <c r="E5485" s="1">
        <v>45287</v>
      </c>
      <c r="F5485" s="1">
        <v>45287</v>
      </c>
      <c r="G5485">
        <v>54.3</v>
      </c>
      <c r="H54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85" t="str">
        <f>IFERROR(INDEX(Raw_orders!G:G, MATCH(shipments[[#This Row],[order_id]],Raw_orders!A:A, 0)), "Unknown")</f>
        <v>Central Europe</v>
      </c>
      <c r="J5485" t="str">
        <f>PROPER(shipments[[#This Row],[delivery_status]])</f>
        <v>Delivered</v>
      </c>
      <c r="K5485" t="s">
        <v>6929</v>
      </c>
    </row>
    <row r="5486" spans="1:11">
      <c r="A5486" t="s">
        <v>12422</v>
      </c>
      <c r="B5486" t="s">
        <v>6073</v>
      </c>
      <c r="C5486" t="s">
        <v>6938</v>
      </c>
      <c r="D5486" s="1">
        <v>45263</v>
      </c>
      <c r="E5486" s="1">
        <v>45270</v>
      </c>
      <c r="F5486" s="1">
        <v>45275</v>
      </c>
      <c r="H54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86" t="str">
        <f>IFERROR(INDEX(Raw_orders!G:G, MATCH(shipments[[#This Row],[order_id]],Raw_orders!A:A, 0)), "Unknown")</f>
        <v>Central Europe</v>
      </c>
      <c r="J5486" t="str">
        <f>PROPER(shipments[[#This Row],[delivery_status]])</f>
        <v>Delivered</v>
      </c>
      <c r="K5486" t="s">
        <v>6922</v>
      </c>
    </row>
    <row r="5487" spans="1:11">
      <c r="A5487" t="s">
        <v>12423</v>
      </c>
      <c r="B5487" t="s">
        <v>6074</v>
      </c>
      <c r="C5487" t="s">
        <v>6935</v>
      </c>
      <c r="D5487" s="1">
        <v>45540</v>
      </c>
      <c r="E5487" s="1">
        <v>45545</v>
      </c>
      <c r="F5487" s="1"/>
      <c r="G5487">
        <v>60.03</v>
      </c>
      <c r="H54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487" t="str">
        <f>IFERROR(INDEX(Raw_orders!G:G, MATCH(shipments[[#This Row],[order_id]],Raw_orders!A:A, 0)), "Unknown")</f>
        <v>Baltics</v>
      </c>
      <c r="J5487" t="str">
        <f>PROPER(shipments[[#This Row],[delivery_status]])</f>
        <v>Cancelled</v>
      </c>
      <c r="K5487" t="s">
        <v>6963</v>
      </c>
    </row>
    <row r="5488" spans="1:11">
      <c r="A5488" t="s">
        <v>12424</v>
      </c>
      <c r="B5488" t="s">
        <v>6074</v>
      </c>
      <c r="C5488" t="s">
        <v>6940</v>
      </c>
      <c r="D5488" s="1">
        <v>45539</v>
      </c>
      <c r="E5488" s="1">
        <v>45544</v>
      </c>
      <c r="F5488" s="1">
        <v>45549</v>
      </c>
      <c r="G5488">
        <v>63.95</v>
      </c>
      <c r="H54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88" t="str">
        <f>IFERROR(INDEX(Raw_orders!G:G, MATCH(shipments[[#This Row],[order_id]],Raw_orders!A:A, 0)), "Unknown")</f>
        <v>Baltics</v>
      </c>
      <c r="J5488" t="str">
        <f>PROPER(shipments[[#This Row],[delivery_status]])</f>
        <v>Delivered</v>
      </c>
      <c r="K5488" t="s">
        <v>6926</v>
      </c>
    </row>
    <row r="5489" spans="1:11">
      <c r="A5489" t="s">
        <v>12425</v>
      </c>
      <c r="B5489" t="s">
        <v>6075</v>
      </c>
      <c r="C5489" t="s">
        <v>6925</v>
      </c>
      <c r="D5489" s="1">
        <v>45521</v>
      </c>
      <c r="E5489" s="1">
        <v>45523</v>
      </c>
      <c r="F5489" s="1">
        <v>45522</v>
      </c>
      <c r="H54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89" t="str">
        <f>IFERROR(INDEX(Raw_orders!G:G, MATCH(shipments[[#This Row],[order_id]],Raw_orders!A:A, 0)), "Unknown")</f>
        <v>Baltics</v>
      </c>
      <c r="J5489" t="str">
        <f>PROPER(shipments[[#This Row],[delivery_status]])</f>
        <v>Delivered</v>
      </c>
      <c r="K5489" t="s">
        <v>6922</v>
      </c>
    </row>
    <row r="5490" spans="1:11">
      <c r="A5490" t="s">
        <v>12426</v>
      </c>
      <c r="B5490" t="s">
        <v>6076</v>
      </c>
      <c r="C5490" t="s">
        <v>6935</v>
      </c>
      <c r="D5490" s="1">
        <v>45230</v>
      </c>
      <c r="E5490" s="1">
        <v>45240</v>
      </c>
      <c r="F5490" s="1">
        <v>45247</v>
      </c>
      <c r="G5490">
        <v>63.07</v>
      </c>
      <c r="H54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90" t="str">
        <f>IFERROR(INDEX(Raw_orders!G:G, MATCH(shipments[[#This Row],[order_id]],Raw_orders!A:A, 0)), "Unknown")</f>
        <v>Nordics</v>
      </c>
      <c r="J5490" t="str">
        <f>PROPER(shipments[[#This Row],[delivery_status]])</f>
        <v>Delivered</v>
      </c>
      <c r="K5490" t="s">
        <v>6922</v>
      </c>
    </row>
    <row r="5491" spans="1:11">
      <c r="A5491" t="s">
        <v>12427</v>
      </c>
      <c r="B5491" t="s">
        <v>6077</v>
      </c>
      <c r="C5491" t="s">
        <v>6935</v>
      </c>
      <c r="D5491" s="1">
        <v>45592</v>
      </c>
      <c r="E5491" s="1">
        <v>45602</v>
      </c>
      <c r="F5491" s="1">
        <v>45613</v>
      </c>
      <c r="G5491">
        <v>15.75</v>
      </c>
      <c r="H54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91" t="str">
        <f>IFERROR(INDEX(Raw_orders!G:G, MATCH(shipments[[#This Row],[order_id]],Raw_orders!A:A, 0)), "Unknown")</f>
        <v>Baltics</v>
      </c>
      <c r="J5491" t="str">
        <f>PROPER(shipments[[#This Row],[delivery_status]])</f>
        <v>Delivered</v>
      </c>
      <c r="K5491" t="s">
        <v>6926</v>
      </c>
    </row>
    <row r="5492" spans="1:11">
      <c r="A5492" t="s">
        <v>12428</v>
      </c>
      <c r="B5492" t="s">
        <v>6078</v>
      </c>
      <c r="C5492" t="s">
        <v>6921</v>
      </c>
      <c r="D5492" s="1">
        <v>45244</v>
      </c>
      <c r="E5492" s="1">
        <v>45247</v>
      </c>
      <c r="F5492" s="1">
        <v>45249</v>
      </c>
      <c r="G5492">
        <v>40.69</v>
      </c>
      <c r="H54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92" t="str">
        <f>IFERROR(INDEX(Raw_orders!G:G, MATCH(shipments[[#This Row],[order_id]],Raw_orders!A:A, 0)), "Unknown")</f>
        <v>Baltics</v>
      </c>
      <c r="J5492" t="str">
        <f>PROPER(shipments[[#This Row],[delivery_status]])</f>
        <v>Delivered</v>
      </c>
      <c r="K5492" t="s">
        <v>6929</v>
      </c>
    </row>
    <row r="5493" spans="1:11">
      <c r="A5493" t="s">
        <v>12429</v>
      </c>
      <c r="B5493" t="s">
        <v>6079</v>
      </c>
      <c r="C5493" t="s">
        <v>6925</v>
      </c>
      <c r="D5493" s="1">
        <v>45130</v>
      </c>
      <c r="E5493" s="1">
        <v>45132</v>
      </c>
      <c r="F5493" s="1"/>
      <c r="G5493">
        <v>9.5399999999999991</v>
      </c>
      <c r="H54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493" t="str">
        <f>IFERROR(INDEX(Raw_orders!G:G, MATCH(shipments[[#This Row],[order_id]],Raw_orders!A:A, 0)), "Unknown")</f>
        <v>Central Europe</v>
      </c>
      <c r="J5493" t="str">
        <f>PROPER(shipments[[#This Row],[delivery_status]])</f>
        <v>In Transit</v>
      </c>
      <c r="K5493" t="s">
        <v>6977</v>
      </c>
    </row>
    <row r="5494" spans="1:11">
      <c r="A5494" t="s">
        <v>12430</v>
      </c>
      <c r="B5494" t="s">
        <v>6080</v>
      </c>
      <c r="C5494" t="s">
        <v>6935</v>
      </c>
      <c r="D5494" s="1">
        <v>45556</v>
      </c>
      <c r="E5494" s="1">
        <v>45558</v>
      </c>
      <c r="F5494" s="1">
        <v>45557</v>
      </c>
      <c r="G5494">
        <v>5.36</v>
      </c>
      <c r="H54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94" t="str">
        <f>IFERROR(INDEX(Raw_orders!G:G, MATCH(shipments[[#This Row],[order_id]],Raw_orders!A:A, 0)), "Unknown")</f>
        <v>Central Europe</v>
      </c>
      <c r="J5494" t="str">
        <f>PROPER(shipments[[#This Row],[delivery_status]])</f>
        <v>Delivered</v>
      </c>
      <c r="K5494" t="s">
        <v>6926</v>
      </c>
    </row>
    <row r="5495" spans="1:11">
      <c r="A5495" t="s">
        <v>12431</v>
      </c>
      <c r="B5495" t="s">
        <v>6081</v>
      </c>
      <c r="C5495" t="s">
        <v>6921</v>
      </c>
      <c r="D5495" s="1">
        <v>45471</v>
      </c>
      <c r="E5495" s="1">
        <v>45481</v>
      </c>
      <c r="F5495" s="1">
        <v>45489</v>
      </c>
      <c r="G5495">
        <v>7.98</v>
      </c>
      <c r="H54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95" t="str">
        <f>IFERROR(INDEX(Raw_orders!G:G, MATCH(shipments[[#This Row],[order_id]],Raw_orders!A:A, 0)), "Unknown")</f>
        <v>Baltics</v>
      </c>
      <c r="J5495" t="str">
        <f>PROPER(shipments[[#This Row],[delivery_status]])</f>
        <v>Delivered</v>
      </c>
      <c r="K5495" t="s">
        <v>6926</v>
      </c>
    </row>
    <row r="5496" spans="1:11">
      <c r="A5496" t="s">
        <v>12432</v>
      </c>
      <c r="B5496" t="s">
        <v>6082</v>
      </c>
      <c r="C5496" t="s">
        <v>6928</v>
      </c>
      <c r="D5496" s="1">
        <v>45624</v>
      </c>
      <c r="E5496" s="1">
        <v>45626</v>
      </c>
      <c r="F5496" s="1">
        <v>45625</v>
      </c>
      <c r="G5496">
        <v>10.55</v>
      </c>
      <c r="H54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96" t="str">
        <f>IFERROR(INDEX(Raw_orders!G:G, MATCH(shipments[[#This Row],[order_id]],Raw_orders!A:A, 0)), "Unknown")</f>
        <v>Central Europe</v>
      </c>
      <c r="J5496" t="str">
        <f>PROPER(shipments[[#This Row],[delivery_status]])</f>
        <v>Delivered</v>
      </c>
      <c r="K5496" t="s">
        <v>6929</v>
      </c>
    </row>
    <row r="5497" spans="1:11">
      <c r="A5497" t="s">
        <v>12433</v>
      </c>
      <c r="B5497" t="s">
        <v>6083</v>
      </c>
      <c r="C5497" t="s">
        <v>6931</v>
      </c>
      <c r="D5497" s="1">
        <v>45263</v>
      </c>
      <c r="E5497" s="1">
        <v>45273</v>
      </c>
      <c r="F5497" s="1">
        <v>45281</v>
      </c>
      <c r="G5497">
        <v>49.52</v>
      </c>
      <c r="H54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97" t="str">
        <f>IFERROR(INDEX(Raw_orders!G:G, MATCH(shipments[[#This Row],[order_id]],Raw_orders!A:A, 0)), "Unknown")</f>
        <v>Baltics</v>
      </c>
      <c r="J5497" t="str">
        <f>PROPER(shipments[[#This Row],[delivery_status]])</f>
        <v>Delivered</v>
      </c>
      <c r="K5497" t="s">
        <v>6929</v>
      </c>
    </row>
    <row r="5498" spans="1:11">
      <c r="A5498" t="s">
        <v>12434</v>
      </c>
      <c r="B5498" t="s">
        <v>6084</v>
      </c>
      <c r="C5498" t="s">
        <v>6931</v>
      </c>
      <c r="D5498" s="1">
        <v>45492</v>
      </c>
      <c r="E5498" s="1">
        <v>45497</v>
      </c>
      <c r="F5498" s="1">
        <v>45505</v>
      </c>
      <c r="G5498">
        <v>28.31</v>
      </c>
      <c r="H54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498" t="str">
        <f>IFERROR(INDEX(Raw_orders!G:G, MATCH(shipments[[#This Row],[order_id]],Raw_orders!A:A, 0)), "Unknown")</f>
        <v>Nordics</v>
      </c>
      <c r="J5498" t="str">
        <f>PROPER(shipments[[#This Row],[delivery_status]])</f>
        <v>Delivered</v>
      </c>
      <c r="K5498" t="s">
        <v>6929</v>
      </c>
    </row>
    <row r="5499" spans="1:11">
      <c r="A5499" t="s">
        <v>12435</v>
      </c>
      <c r="B5499" t="s">
        <v>6085</v>
      </c>
      <c r="C5499" t="s">
        <v>6938</v>
      </c>
      <c r="D5499" s="1">
        <v>45274</v>
      </c>
      <c r="E5499" s="1">
        <v>45284</v>
      </c>
      <c r="F5499" s="1">
        <v>45283</v>
      </c>
      <c r="G5499">
        <v>30.32</v>
      </c>
      <c r="H54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499" t="str">
        <f>IFERROR(INDEX(Raw_orders!G:G, MATCH(shipments[[#This Row],[order_id]],Raw_orders!A:A, 0)), "Unknown")</f>
        <v>Central Europe</v>
      </c>
      <c r="J5499" t="str">
        <f>PROPER(shipments[[#This Row],[delivery_status]])</f>
        <v>Delivered</v>
      </c>
      <c r="K5499" t="s">
        <v>6922</v>
      </c>
    </row>
    <row r="5500" spans="1:11">
      <c r="A5500" t="s">
        <v>12436</v>
      </c>
      <c r="B5500" t="s">
        <v>6086</v>
      </c>
      <c r="C5500" t="s">
        <v>6956</v>
      </c>
      <c r="D5500" s="1">
        <v>45533</v>
      </c>
      <c r="E5500" s="1">
        <v>45543</v>
      </c>
      <c r="F5500" s="1"/>
      <c r="G5500">
        <v>33.14</v>
      </c>
      <c r="H55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500" t="str">
        <f>IFERROR(INDEX(Raw_orders!G:G, MATCH(shipments[[#This Row],[order_id]],Raw_orders!A:A, 0)), "Unknown")</f>
        <v>Baltics</v>
      </c>
      <c r="J5500" t="str">
        <f>PROPER(shipments[[#This Row],[delivery_status]])</f>
        <v>Cancelled</v>
      </c>
      <c r="K5500" t="s">
        <v>6972</v>
      </c>
    </row>
    <row r="5501" spans="1:11">
      <c r="A5501" t="s">
        <v>12437</v>
      </c>
      <c r="B5501" t="s">
        <v>6087</v>
      </c>
      <c r="C5501" t="s">
        <v>6921</v>
      </c>
      <c r="D5501" s="1">
        <v>45427</v>
      </c>
      <c r="E5501" s="1">
        <v>45434</v>
      </c>
      <c r="F5501" s="1"/>
      <c r="G5501">
        <v>60.5</v>
      </c>
      <c r="H55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501" t="str">
        <f>IFERROR(INDEX(Raw_orders!G:G, MATCH(shipments[[#This Row],[order_id]],Raw_orders!A:A, 0)), "Unknown")</f>
        <v>Central Europe</v>
      </c>
      <c r="J5501" t="str">
        <f>PROPER(shipments[[#This Row],[delivery_status]])</f>
        <v>In Transit</v>
      </c>
      <c r="K5501" t="s">
        <v>6946</v>
      </c>
    </row>
    <row r="5502" spans="1:11">
      <c r="A5502" t="s">
        <v>12438</v>
      </c>
      <c r="B5502" t="s">
        <v>6088</v>
      </c>
      <c r="C5502" t="s">
        <v>6956</v>
      </c>
      <c r="D5502" s="1">
        <v>45376</v>
      </c>
      <c r="E5502" s="1">
        <v>45381</v>
      </c>
      <c r="F5502" s="1">
        <v>45381</v>
      </c>
      <c r="G5502">
        <v>31.72</v>
      </c>
      <c r="H55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502" t="str">
        <f>IFERROR(INDEX(Raw_orders!G:G, MATCH(shipments[[#This Row],[order_id]],Raw_orders!A:A, 0)), "Unknown")</f>
        <v>Central Europe</v>
      </c>
      <c r="J5502" t="str">
        <f>PROPER(shipments[[#This Row],[delivery_status]])</f>
        <v>Delivered</v>
      </c>
      <c r="K5502" t="s">
        <v>6922</v>
      </c>
    </row>
    <row r="5503" spans="1:11">
      <c r="A5503" t="s">
        <v>12439</v>
      </c>
      <c r="B5503" t="s">
        <v>6089</v>
      </c>
      <c r="C5503" t="s">
        <v>6938</v>
      </c>
      <c r="D5503" s="1">
        <v>45485</v>
      </c>
      <c r="E5503" s="1">
        <v>45490</v>
      </c>
      <c r="F5503" s="1">
        <v>45490</v>
      </c>
      <c r="G5503">
        <v>37.53</v>
      </c>
      <c r="H55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503" t="str">
        <f>IFERROR(INDEX(Raw_orders!G:G, MATCH(shipments[[#This Row],[order_id]],Raw_orders!A:A, 0)), "Unknown")</f>
        <v>Baltics</v>
      </c>
      <c r="J5503" t="str">
        <f>PROPER(shipments[[#This Row],[delivery_status]])</f>
        <v>Delivered</v>
      </c>
      <c r="K5503" t="s">
        <v>6926</v>
      </c>
    </row>
    <row r="5504" spans="1:11">
      <c r="A5504" t="s">
        <v>12440</v>
      </c>
      <c r="B5504" t="s">
        <v>6090</v>
      </c>
      <c r="C5504" t="s">
        <v>6928</v>
      </c>
      <c r="D5504" s="1">
        <v>45061</v>
      </c>
      <c r="E5504" s="1">
        <v>45068</v>
      </c>
      <c r="F5504" s="1">
        <v>45068</v>
      </c>
      <c r="G5504">
        <v>58.08</v>
      </c>
      <c r="H55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504" t="str">
        <f>IFERROR(INDEX(Raw_orders!G:G, MATCH(shipments[[#This Row],[order_id]],Raw_orders!A:A, 0)), "Unknown")</f>
        <v>Baltics</v>
      </c>
      <c r="J5504" t="str">
        <f>PROPER(shipments[[#This Row],[delivery_status]])</f>
        <v>Delivered</v>
      </c>
      <c r="K5504" t="s">
        <v>6929</v>
      </c>
    </row>
    <row r="5505" spans="1:11">
      <c r="A5505" t="s">
        <v>12441</v>
      </c>
      <c r="B5505" t="s">
        <v>6091</v>
      </c>
      <c r="C5505" t="s">
        <v>6921</v>
      </c>
      <c r="D5505" s="1">
        <v>45222</v>
      </c>
      <c r="E5505" s="1">
        <v>45224</v>
      </c>
      <c r="F5505" s="1">
        <v>45227</v>
      </c>
      <c r="G5505">
        <v>41.51</v>
      </c>
      <c r="H55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05" t="str">
        <f>IFERROR(INDEX(Raw_orders!G:G, MATCH(shipments[[#This Row],[order_id]],Raw_orders!A:A, 0)), "Unknown")</f>
        <v>Nordics</v>
      </c>
      <c r="J5505" t="str">
        <f>PROPER(shipments[[#This Row],[delivery_status]])</f>
        <v>Delivered</v>
      </c>
      <c r="K5505" t="s">
        <v>6926</v>
      </c>
    </row>
    <row r="5506" spans="1:11">
      <c r="A5506" t="s">
        <v>12442</v>
      </c>
      <c r="B5506" t="s">
        <v>6091</v>
      </c>
      <c r="C5506" t="s">
        <v>6931</v>
      </c>
      <c r="D5506" s="1">
        <v>45223</v>
      </c>
      <c r="E5506" s="1">
        <v>45228</v>
      </c>
      <c r="F5506" s="1">
        <v>45229</v>
      </c>
      <c r="G5506">
        <v>8.85</v>
      </c>
      <c r="H55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06" t="str">
        <f>IFERROR(INDEX(Raw_orders!G:G, MATCH(shipments[[#This Row],[order_id]],Raw_orders!A:A, 0)), "Unknown")</f>
        <v>Nordics</v>
      </c>
      <c r="J5506" t="str">
        <f>PROPER(shipments[[#This Row],[delivery_status]])</f>
        <v>Delivered</v>
      </c>
      <c r="K5506" t="s">
        <v>6926</v>
      </c>
    </row>
    <row r="5507" spans="1:11">
      <c r="A5507" t="s">
        <v>12443</v>
      </c>
      <c r="B5507" t="s">
        <v>6092</v>
      </c>
      <c r="C5507" t="s">
        <v>6938</v>
      </c>
      <c r="D5507" s="1">
        <v>45510</v>
      </c>
      <c r="E5507" s="1">
        <v>45517</v>
      </c>
      <c r="F5507" s="1">
        <v>45516</v>
      </c>
      <c r="G5507">
        <v>25.02</v>
      </c>
      <c r="H55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507" t="str">
        <f>IFERROR(INDEX(Raw_orders!G:G, MATCH(shipments[[#This Row],[order_id]],Raw_orders!A:A, 0)), "Unknown")</f>
        <v>Central Europe</v>
      </c>
      <c r="J5507" t="str">
        <f>PROPER(shipments[[#This Row],[delivery_status]])</f>
        <v>Delivered</v>
      </c>
      <c r="K5507" t="s">
        <v>6922</v>
      </c>
    </row>
    <row r="5508" spans="1:11">
      <c r="A5508" t="s">
        <v>12444</v>
      </c>
      <c r="B5508" t="s">
        <v>6092</v>
      </c>
      <c r="C5508" t="s">
        <v>6938</v>
      </c>
      <c r="D5508" s="1">
        <v>45511</v>
      </c>
      <c r="E5508" s="1">
        <v>45518</v>
      </c>
      <c r="F5508" s="1">
        <v>45519</v>
      </c>
      <c r="G5508">
        <v>32.19</v>
      </c>
      <c r="H55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08" t="str">
        <f>IFERROR(INDEX(Raw_orders!G:G, MATCH(shipments[[#This Row],[order_id]],Raw_orders!A:A, 0)), "Unknown")</f>
        <v>Central Europe</v>
      </c>
      <c r="J5508" t="str">
        <f>PROPER(shipments[[#This Row],[delivery_status]])</f>
        <v>Delivered</v>
      </c>
      <c r="K5508" t="s">
        <v>6929</v>
      </c>
    </row>
    <row r="5509" spans="1:11">
      <c r="A5509" t="s">
        <v>12445</v>
      </c>
      <c r="B5509" t="s">
        <v>6093</v>
      </c>
      <c r="C5509" t="s">
        <v>6935</v>
      </c>
      <c r="D5509" s="1">
        <v>45524</v>
      </c>
      <c r="E5509" s="1">
        <v>45529</v>
      </c>
      <c r="F5509" s="1">
        <v>45528</v>
      </c>
      <c r="G5509">
        <v>44.69</v>
      </c>
      <c r="H55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509" t="str">
        <f>IFERROR(INDEX(Raw_orders!G:G, MATCH(shipments[[#This Row],[order_id]],Raw_orders!A:A, 0)), "Unknown")</f>
        <v>Baltics</v>
      </c>
      <c r="J5509" t="str">
        <f>PROPER(shipments[[#This Row],[delivery_status]])</f>
        <v>Delivered</v>
      </c>
      <c r="K5509" t="s">
        <v>6926</v>
      </c>
    </row>
    <row r="5510" spans="1:11">
      <c r="A5510" t="s">
        <v>12446</v>
      </c>
      <c r="B5510" t="s">
        <v>6094</v>
      </c>
      <c r="C5510" t="s">
        <v>6938</v>
      </c>
      <c r="D5510" s="1">
        <v>45182</v>
      </c>
      <c r="E5510" s="1">
        <v>45187</v>
      </c>
      <c r="F5510" s="1">
        <v>45196</v>
      </c>
      <c r="G5510">
        <v>31.84</v>
      </c>
      <c r="H55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10" t="str">
        <f>IFERROR(INDEX(Raw_orders!G:G, MATCH(shipments[[#This Row],[order_id]],Raw_orders!A:A, 0)), "Unknown")</f>
        <v>Nordics</v>
      </c>
      <c r="J5510" t="str">
        <f>PROPER(shipments[[#This Row],[delivery_status]])</f>
        <v>Delivered</v>
      </c>
      <c r="K5510" t="s">
        <v>6926</v>
      </c>
    </row>
    <row r="5511" spans="1:11">
      <c r="A5511" t="s">
        <v>12447</v>
      </c>
      <c r="B5511" t="s">
        <v>6095</v>
      </c>
      <c r="C5511" t="s">
        <v>6921</v>
      </c>
      <c r="D5511" s="1">
        <v>45088</v>
      </c>
      <c r="E5511" s="1">
        <v>45091</v>
      </c>
      <c r="F5511" s="1">
        <v>45094</v>
      </c>
      <c r="G5511">
        <v>27.15</v>
      </c>
      <c r="H55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11" t="str">
        <f>IFERROR(INDEX(Raw_orders!G:G, MATCH(shipments[[#This Row],[order_id]],Raw_orders!A:A, 0)), "Unknown")</f>
        <v>Nordics</v>
      </c>
      <c r="J5511" t="str">
        <f>PROPER(shipments[[#This Row],[delivery_status]])</f>
        <v>Delivered</v>
      </c>
      <c r="K5511" t="s">
        <v>6922</v>
      </c>
    </row>
    <row r="5512" spans="1:11">
      <c r="A5512" t="s">
        <v>12448</v>
      </c>
      <c r="B5512" t="s">
        <v>6096</v>
      </c>
      <c r="C5512" t="s">
        <v>6928</v>
      </c>
      <c r="D5512" s="1">
        <v>45344</v>
      </c>
      <c r="E5512" s="1">
        <v>45347</v>
      </c>
      <c r="F5512" s="1">
        <v>45358</v>
      </c>
      <c r="G5512">
        <v>45.74</v>
      </c>
      <c r="H55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12" t="str">
        <f>IFERROR(INDEX(Raw_orders!G:G, MATCH(shipments[[#This Row],[order_id]],Raw_orders!A:A, 0)), "Unknown")</f>
        <v>Central Europe</v>
      </c>
      <c r="J5512" t="str">
        <f>PROPER(shipments[[#This Row],[delivery_status]])</f>
        <v>Delivered</v>
      </c>
      <c r="K5512" t="s">
        <v>6929</v>
      </c>
    </row>
    <row r="5513" spans="1:11">
      <c r="A5513" t="s">
        <v>12449</v>
      </c>
      <c r="B5513" t="s">
        <v>6097</v>
      </c>
      <c r="C5513" t="s">
        <v>6931</v>
      </c>
      <c r="D5513" s="1">
        <v>45277</v>
      </c>
      <c r="E5513" s="1">
        <v>45279</v>
      </c>
      <c r="F5513" s="1">
        <v>45278</v>
      </c>
      <c r="G5513">
        <v>56.06</v>
      </c>
      <c r="H55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513" t="str">
        <f>IFERROR(INDEX(Raw_orders!G:G, MATCH(shipments[[#This Row],[order_id]],Raw_orders!A:A, 0)), "Unknown")</f>
        <v>Nordics</v>
      </c>
      <c r="J5513" t="str">
        <f>PROPER(shipments[[#This Row],[delivery_status]])</f>
        <v>Delivered</v>
      </c>
      <c r="K5513" t="s">
        <v>6922</v>
      </c>
    </row>
    <row r="5514" spans="1:11">
      <c r="A5514" t="s">
        <v>12450</v>
      </c>
      <c r="B5514" t="s">
        <v>6098</v>
      </c>
      <c r="C5514" t="s">
        <v>6956</v>
      </c>
      <c r="D5514" s="1">
        <v>45186</v>
      </c>
      <c r="E5514" s="1">
        <v>45188</v>
      </c>
      <c r="F5514" s="1">
        <v>45188</v>
      </c>
      <c r="G5514">
        <v>26.6</v>
      </c>
      <c r="H55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514" t="str">
        <f>IFERROR(INDEX(Raw_orders!G:G, MATCH(shipments[[#This Row],[order_id]],Raw_orders!A:A, 0)), "Unknown")</f>
        <v>Baltics</v>
      </c>
      <c r="J5514" t="str">
        <f>PROPER(shipments[[#This Row],[delivery_status]])</f>
        <v>Delivered</v>
      </c>
      <c r="K5514" t="s">
        <v>6922</v>
      </c>
    </row>
    <row r="5515" spans="1:11">
      <c r="A5515" t="s">
        <v>12451</v>
      </c>
      <c r="B5515" t="s">
        <v>6099</v>
      </c>
      <c r="C5515" t="s">
        <v>6925</v>
      </c>
      <c r="D5515" s="1">
        <v>45061</v>
      </c>
      <c r="E5515" s="1">
        <v>45068</v>
      </c>
      <c r="F5515" s="1">
        <v>45067</v>
      </c>
      <c r="H55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515" t="str">
        <f>IFERROR(INDEX(Raw_orders!G:G, MATCH(shipments[[#This Row],[order_id]],Raw_orders!A:A, 0)), "Unknown")</f>
        <v>Baltics</v>
      </c>
      <c r="J5515" t="str">
        <f>PROPER(shipments[[#This Row],[delivery_status]])</f>
        <v>Delivered</v>
      </c>
      <c r="K5515" t="s">
        <v>6926</v>
      </c>
    </row>
    <row r="5516" spans="1:11">
      <c r="A5516" t="s">
        <v>12452</v>
      </c>
      <c r="B5516" t="s">
        <v>6100</v>
      </c>
      <c r="C5516" t="s">
        <v>6928</v>
      </c>
      <c r="D5516" s="1">
        <v>45092</v>
      </c>
      <c r="E5516" s="1">
        <v>45094</v>
      </c>
      <c r="F5516" s="1">
        <v>45107</v>
      </c>
      <c r="G5516">
        <v>17.52</v>
      </c>
      <c r="H55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16" t="str">
        <f>IFERROR(INDEX(Raw_orders!G:G, MATCH(shipments[[#This Row],[order_id]],Raw_orders!A:A, 0)), "Unknown")</f>
        <v>Nordics</v>
      </c>
      <c r="J5516" t="str">
        <f>PROPER(shipments[[#This Row],[delivery_status]])</f>
        <v>Delivered</v>
      </c>
      <c r="K5516" t="s">
        <v>6922</v>
      </c>
    </row>
    <row r="5517" spans="1:11">
      <c r="A5517" t="s">
        <v>12453</v>
      </c>
      <c r="B5517" t="s">
        <v>6100</v>
      </c>
      <c r="C5517" t="s">
        <v>6940</v>
      </c>
      <c r="D5517" s="1">
        <v>45089</v>
      </c>
      <c r="E5517" s="1">
        <v>45096</v>
      </c>
      <c r="F5517" s="1"/>
      <c r="G5517">
        <v>8.34</v>
      </c>
      <c r="H55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517" t="str">
        <f>IFERROR(INDEX(Raw_orders!G:G, MATCH(shipments[[#This Row],[order_id]],Raw_orders!A:A, 0)), "Unknown")</f>
        <v>Nordics</v>
      </c>
      <c r="J5517" t="str">
        <f>PROPER(shipments[[#This Row],[delivery_status]])</f>
        <v>In Transit</v>
      </c>
      <c r="K5517" t="s">
        <v>6946</v>
      </c>
    </row>
    <row r="5518" spans="1:11">
      <c r="A5518" t="s">
        <v>12454</v>
      </c>
      <c r="B5518" t="s">
        <v>6101</v>
      </c>
      <c r="C5518" t="s">
        <v>6925</v>
      </c>
      <c r="D5518" s="1">
        <v>44935</v>
      </c>
      <c r="E5518" s="1">
        <v>44945</v>
      </c>
      <c r="F5518" s="1">
        <v>44945</v>
      </c>
      <c r="H55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518" t="str">
        <f>IFERROR(INDEX(Raw_orders!G:G, MATCH(shipments[[#This Row],[order_id]],Raw_orders!A:A, 0)), "Unknown")</f>
        <v>Nordics</v>
      </c>
      <c r="J5518" t="str">
        <f>PROPER(shipments[[#This Row],[delivery_status]])</f>
        <v>Delivered</v>
      </c>
      <c r="K5518" t="s">
        <v>6929</v>
      </c>
    </row>
    <row r="5519" spans="1:11">
      <c r="A5519" t="s">
        <v>12455</v>
      </c>
      <c r="B5519" t="s">
        <v>6102</v>
      </c>
      <c r="C5519" t="s">
        <v>6935</v>
      </c>
      <c r="D5519" s="1">
        <v>45510</v>
      </c>
      <c r="E5519" s="1">
        <v>45512</v>
      </c>
      <c r="F5519" s="1">
        <v>45520</v>
      </c>
      <c r="G5519">
        <v>17.27</v>
      </c>
      <c r="H55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19" t="str">
        <f>IFERROR(INDEX(Raw_orders!G:G, MATCH(shipments[[#This Row],[order_id]],Raw_orders!A:A, 0)), "Unknown")</f>
        <v>Central Europe</v>
      </c>
      <c r="J5519" t="str">
        <f>PROPER(shipments[[#This Row],[delivery_status]])</f>
        <v>Delivered</v>
      </c>
      <c r="K5519" t="s">
        <v>6922</v>
      </c>
    </row>
    <row r="5520" spans="1:11">
      <c r="A5520" t="s">
        <v>12456</v>
      </c>
      <c r="B5520" t="s">
        <v>6103</v>
      </c>
      <c r="C5520" t="s">
        <v>6931</v>
      </c>
      <c r="D5520" s="1">
        <v>45385</v>
      </c>
      <c r="E5520" s="1">
        <v>45395</v>
      </c>
      <c r="F5520" s="1"/>
      <c r="G5520">
        <v>40.79</v>
      </c>
      <c r="H55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520" t="str">
        <f>IFERROR(INDEX(Raw_orders!G:G, MATCH(shipments[[#This Row],[order_id]],Raw_orders!A:A, 0)), "Unknown")</f>
        <v>Central Europe</v>
      </c>
      <c r="J5520" t="str">
        <f>PROPER(shipments[[#This Row],[delivery_status]])</f>
        <v>In Transit</v>
      </c>
      <c r="K5520" t="s">
        <v>6977</v>
      </c>
    </row>
    <row r="5521" spans="1:11">
      <c r="A5521" t="s">
        <v>12457</v>
      </c>
      <c r="B5521" t="s">
        <v>6104</v>
      </c>
      <c r="C5521" t="s">
        <v>6935</v>
      </c>
      <c r="D5521" s="1">
        <v>45466</v>
      </c>
      <c r="E5521" s="1">
        <v>45471</v>
      </c>
      <c r="F5521" s="1">
        <v>45471</v>
      </c>
      <c r="G5521">
        <v>28.5</v>
      </c>
      <c r="H55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521" t="str">
        <f>IFERROR(INDEX(Raw_orders!G:G, MATCH(shipments[[#This Row],[order_id]],Raw_orders!A:A, 0)), "Unknown")</f>
        <v>Baltics</v>
      </c>
      <c r="J5521" t="str">
        <f>PROPER(shipments[[#This Row],[delivery_status]])</f>
        <v>Delivered</v>
      </c>
      <c r="K5521" t="s">
        <v>6926</v>
      </c>
    </row>
    <row r="5522" spans="1:11">
      <c r="A5522" t="s">
        <v>12458</v>
      </c>
      <c r="B5522" t="s">
        <v>6105</v>
      </c>
      <c r="C5522" t="s">
        <v>6938</v>
      </c>
      <c r="D5522" s="1">
        <v>45117</v>
      </c>
      <c r="E5522" s="1">
        <v>45122</v>
      </c>
      <c r="F5522" s="1"/>
      <c r="G5522">
        <v>21.46</v>
      </c>
      <c r="H55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522" t="str">
        <f>IFERROR(INDEX(Raw_orders!G:G, MATCH(shipments[[#This Row],[order_id]],Raw_orders!A:A, 0)), "Unknown")</f>
        <v>Nordics</v>
      </c>
      <c r="J5522" t="str">
        <f>PROPER(shipments[[#This Row],[delivery_status]])</f>
        <v>In Transit</v>
      </c>
      <c r="K5522" t="s">
        <v>6977</v>
      </c>
    </row>
    <row r="5523" spans="1:11">
      <c r="A5523" t="s">
        <v>12459</v>
      </c>
      <c r="B5523" t="s">
        <v>6106</v>
      </c>
      <c r="C5523" t="s">
        <v>6925</v>
      </c>
      <c r="D5523" s="1">
        <v>45531</v>
      </c>
      <c r="E5523" s="1">
        <v>45534</v>
      </c>
      <c r="F5523" s="1">
        <v>45534</v>
      </c>
      <c r="G5523">
        <v>44.04</v>
      </c>
      <c r="H55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523" t="str">
        <f>IFERROR(INDEX(Raw_orders!G:G, MATCH(shipments[[#This Row],[order_id]],Raw_orders!A:A, 0)), "Unknown")</f>
        <v>Nordics</v>
      </c>
      <c r="J5523" t="str">
        <f>PROPER(shipments[[#This Row],[delivery_status]])</f>
        <v>Delivered</v>
      </c>
      <c r="K5523" t="s">
        <v>6922</v>
      </c>
    </row>
    <row r="5524" spans="1:11">
      <c r="A5524" t="s">
        <v>12460</v>
      </c>
      <c r="B5524" t="s">
        <v>6107</v>
      </c>
      <c r="C5524" t="s">
        <v>6928</v>
      </c>
      <c r="D5524" s="1">
        <v>44964</v>
      </c>
      <c r="E5524" s="1">
        <v>44967</v>
      </c>
      <c r="F5524" s="1">
        <v>44967</v>
      </c>
      <c r="G5524">
        <v>43.34</v>
      </c>
      <c r="H55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524" t="str">
        <f>IFERROR(INDEX(Raw_orders!G:G, MATCH(shipments[[#This Row],[order_id]],Raw_orders!A:A, 0)), "Unknown")</f>
        <v>Central Europe</v>
      </c>
      <c r="J5524" t="str">
        <f>PROPER(shipments[[#This Row],[delivery_status]])</f>
        <v>Delivered</v>
      </c>
      <c r="K5524" t="s">
        <v>6922</v>
      </c>
    </row>
    <row r="5525" spans="1:11">
      <c r="A5525" t="s">
        <v>12461</v>
      </c>
      <c r="B5525" t="s">
        <v>6108</v>
      </c>
      <c r="C5525" t="s">
        <v>6949</v>
      </c>
      <c r="D5525" s="1">
        <v>44977</v>
      </c>
      <c r="E5525" s="1">
        <v>44980</v>
      </c>
      <c r="F5525" s="1">
        <v>44982</v>
      </c>
      <c r="G5525">
        <v>32.99</v>
      </c>
      <c r="H55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25" t="str">
        <f>IFERROR(INDEX(Raw_orders!G:G, MATCH(shipments[[#This Row],[order_id]],Raw_orders!A:A, 0)), "Unknown")</f>
        <v>Unknown</v>
      </c>
      <c r="J5525" t="str">
        <f>PROPER(shipments[[#This Row],[delivery_status]])</f>
        <v>Delivered</v>
      </c>
      <c r="K5525" t="s">
        <v>6929</v>
      </c>
    </row>
    <row r="5526" spans="1:11">
      <c r="A5526" t="s">
        <v>12462</v>
      </c>
      <c r="B5526" t="s">
        <v>6109</v>
      </c>
      <c r="C5526" t="s">
        <v>6935</v>
      </c>
      <c r="D5526" s="1">
        <v>45235</v>
      </c>
      <c r="E5526" s="1">
        <v>45240</v>
      </c>
      <c r="F5526" s="1"/>
      <c r="G5526">
        <v>6.68</v>
      </c>
      <c r="H55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526" t="str">
        <f>IFERROR(INDEX(Raw_orders!G:G, MATCH(shipments[[#This Row],[order_id]],Raw_orders!A:A, 0)), "Unknown")</f>
        <v>Nordics</v>
      </c>
      <c r="J5526" t="str">
        <f>PROPER(shipments[[#This Row],[delivery_status]])</f>
        <v>Cancelled</v>
      </c>
      <c r="K5526" t="s">
        <v>6979</v>
      </c>
    </row>
    <row r="5527" spans="1:11">
      <c r="A5527" t="s">
        <v>12463</v>
      </c>
      <c r="B5527" t="s">
        <v>6110</v>
      </c>
      <c r="C5527" t="s">
        <v>6925</v>
      </c>
      <c r="D5527" s="1">
        <v>44981</v>
      </c>
      <c r="E5527" s="1">
        <v>44986</v>
      </c>
      <c r="F5527" s="1">
        <v>44991</v>
      </c>
      <c r="G5527">
        <v>28.02</v>
      </c>
      <c r="H55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27" t="str">
        <f>IFERROR(INDEX(Raw_orders!G:G, MATCH(shipments[[#This Row],[order_id]],Raw_orders!A:A, 0)), "Unknown")</f>
        <v>Nordics</v>
      </c>
      <c r="J5527" t="str">
        <f>PROPER(shipments[[#This Row],[delivery_status]])</f>
        <v>Delivered</v>
      </c>
      <c r="K5527" t="s">
        <v>6929</v>
      </c>
    </row>
    <row r="5528" spans="1:11">
      <c r="A5528" t="s">
        <v>12464</v>
      </c>
      <c r="B5528" t="s">
        <v>6111</v>
      </c>
      <c r="C5528" t="s">
        <v>6921</v>
      </c>
      <c r="D5528" s="1">
        <v>45515</v>
      </c>
      <c r="E5528" s="1">
        <v>45518</v>
      </c>
      <c r="F5528" s="1">
        <v>45518</v>
      </c>
      <c r="G5528">
        <v>22.98</v>
      </c>
      <c r="H55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528" t="str">
        <f>IFERROR(INDEX(Raw_orders!G:G, MATCH(shipments[[#This Row],[order_id]],Raw_orders!A:A, 0)), "Unknown")</f>
        <v>Nordics</v>
      </c>
      <c r="J5528" t="str">
        <f>PROPER(shipments[[#This Row],[delivery_status]])</f>
        <v>Delivered</v>
      </c>
      <c r="K5528" t="s">
        <v>6922</v>
      </c>
    </row>
    <row r="5529" spans="1:11">
      <c r="A5529" t="s">
        <v>12465</v>
      </c>
      <c r="B5529" t="s">
        <v>6112</v>
      </c>
      <c r="C5529" t="s">
        <v>6940</v>
      </c>
      <c r="D5529" s="1">
        <v>45400</v>
      </c>
      <c r="E5529" s="1">
        <v>45407</v>
      </c>
      <c r="F5529" s="1">
        <v>45415</v>
      </c>
      <c r="G5529">
        <v>12.66</v>
      </c>
      <c r="H55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29" t="str">
        <f>IFERROR(INDEX(Raw_orders!G:G, MATCH(shipments[[#This Row],[order_id]],Raw_orders!A:A, 0)), "Unknown")</f>
        <v>Central Europe</v>
      </c>
      <c r="J5529" t="str">
        <f>PROPER(shipments[[#This Row],[delivery_status]])</f>
        <v>Delivered</v>
      </c>
      <c r="K5529" t="s">
        <v>6926</v>
      </c>
    </row>
    <row r="5530" spans="1:11">
      <c r="A5530" t="s">
        <v>12466</v>
      </c>
      <c r="B5530" t="s">
        <v>6113</v>
      </c>
      <c r="C5530" t="s">
        <v>6949</v>
      </c>
      <c r="D5530" s="1">
        <v>45217</v>
      </c>
      <c r="E5530" s="1">
        <v>45220</v>
      </c>
      <c r="F5530" s="1">
        <v>45220</v>
      </c>
      <c r="G5530">
        <v>31.39</v>
      </c>
      <c r="H55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530" t="str">
        <f>IFERROR(INDEX(Raw_orders!G:G, MATCH(shipments[[#This Row],[order_id]],Raw_orders!A:A, 0)), "Unknown")</f>
        <v>Baltics</v>
      </c>
      <c r="J5530" t="str">
        <f>PROPER(shipments[[#This Row],[delivery_status]])</f>
        <v>Delivered</v>
      </c>
      <c r="K5530" t="s">
        <v>6926</v>
      </c>
    </row>
    <row r="5531" spans="1:11">
      <c r="A5531" t="s">
        <v>12467</v>
      </c>
      <c r="B5531" t="s">
        <v>6113</v>
      </c>
      <c r="C5531" t="s">
        <v>6940</v>
      </c>
      <c r="D5531" s="1">
        <v>45218</v>
      </c>
      <c r="E5531" s="1">
        <v>45223</v>
      </c>
      <c r="F5531" s="1">
        <v>45223</v>
      </c>
      <c r="G5531">
        <v>40.090000000000003</v>
      </c>
      <c r="H55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531" t="str">
        <f>IFERROR(INDEX(Raw_orders!G:G, MATCH(shipments[[#This Row],[order_id]],Raw_orders!A:A, 0)), "Unknown")</f>
        <v>Baltics</v>
      </c>
      <c r="J5531" t="str">
        <f>PROPER(shipments[[#This Row],[delivery_status]])</f>
        <v>Delivered</v>
      </c>
      <c r="K5531" t="s">
        <v>6922</v>
      </c>
    </row>
    <row r="5532" spans="1:11">
      <c r="A5532" t="s">
        <v>12468</v>
      </c>
      <c r="B5532" t="s">
        <v>6114</v>
      </c>
      <c r="C5532" t="s">
        <v>6925</v>
      </c>
      <c r="D5532" s="1">
        <v>45343</v>
      </c>
      <c r="E5532" s="1">
        <v>45345</v>
      </c>
      <c r="F5532" s="1">
        <v>45347</v>
      </c>
      <c r="G5532">
        <v>30.98</v>
      </c>
      <c r="H55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32" t="str">
        <f>IFERROR(INDEX(Raw_orders!G:G, MATCH(shipments[[#This Row],[order_id]],Raw_orders!A:A, 0)), "Unknown")</f>
        <v>Nordics</v>
      </c>
      <c r="J5532" t="str">
        <f>PROPER(shipments[[#This Row],[delivery_status]])</f>
        <v>Delivered</v>
      </c>
      <c r="K5532" t="s">
        <v>6922</v>
      </c>
    </row>
    <row r="5533" spans="1:11">
      <c r="A5533" t="s">
        <v>12469</v>
      </c>
      <c r="B5533" t="s">
        <v>6115</v>
      </c>
      <c r="C5533" t="s">
        <v>6938</v>
      </c>
      <c r="D5533" s="1">
        <v>45536</v>
      </c>
      <c r="E5533" s="1">
        <v>45539</v>
      </c>
      <c r="F5533" s="1">
        <v>45544</v>
      </c>
      <c r="G5533">
        <v>47.13</v>
      </c>
      <c r="H55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33" t="str">
        <f>IFERROR(INDEX(Raw_orders!G:G, MATCH(shipments[[#This Row],[order_id]],Raw_orders!A:A, 0)), "Unknown")</f>
        <v>Central Europe</v>
      </c>
      <c r="J5533" t="str">
        <f>PROPER(shipments[[#This Row],[delivery_status]])</f>
        <v>Delivered</v>
      </c>
      <c r="K5533" t="s">
        <v>6929</v>
      </c>
    </row>
    <row r="5534" spans="1:11">
      <c r="A5534" t="s">
        <v>12470</v>
      </c>
      <c r="B5534" t="s">
        <v>6116</v>
      </c>
      <c r="C5534" t="s">
        <v>6925</v>
      </c>
      <c r="D5534" s="1">
        <v>45458</v>
      </c>
      <c r="E5534" s="1">
        <v>45460</v>
      </c>
      <c r="F5534" s="1">
        <v>45468</v>
      </c>
      <c r="G5534">
        <v>31.91</v>
      </c>
      <c r="H55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34" t="str">
        <f>IFERROR(INDEX(Raw_orders!G:G, MATCH(shipments[[#This Row],[order_id]],Raw_orders!A:A, 0)), "Unknown")</f>
        <v>Central Europe</v>
      </c>
      <c r="J5534" t="str">
        <f>PROPER(shipments[[#This Row],[delivery_status]])</f>
        <v>Delivered</v>
      </c>
      <c r="K5534" t="s">
        <v>6929</v>
      </c>
    </row>
    <row r="5535" spans="1:11">
      <c r="A5535" t="s">
        <v>12471</v>
      </c>
      <c r="B5535" t="s">
        <v>6117</v>
      </c>
      <c r="C5535" t="s">
        <v>6928</v>
      </c>
      <c r="D5535" s="1">
        <v>45176</v>
      </c>
      <c r="E5535" s="1">
        <v>45178</v>
      </c>
      <c r="F5535" s="1">
        <v>45179</v>
      </c>
      <c r="G5535">
        <v>5.09</v>
      </c>
      <c r="H55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35" t="str">
        <f>IFERROR(INDEX(Raw_orders!G:G, MATCH(shipments[[#This Row],[order_id]],Raw_orders!A:A, 0)), "Unknown")</f>
        <v>Central Europe</v>
      </c>
      <c r="J5535" t="str">
        <f>PROPER(shipments[[#This Row],[delivery_status]])</f>
        <v>Delivered</v>
      </c>
      <c r="K5535" t="s">
        <v>6929</v>
      </c>
    </row>
    <row r="5536" spans="1:11">
      <c r="A5536" t="s">
        <v>12472</v>
      </c>
      <c r="B5536" t="s">
        <v>6118</v>
      </c>
      <c r="C5536" t="s">
        <v>6931</v>
      </c>
      <c r="D5536" s="1">
        <v>45611</v>
      </c>
      <c r="E5536" s="1">
        <v>45618</v>
      </c>
      <c r="F5536" s="1">
        <v>45618</v>
      </c>
      <c r="G5536">
        <v>37.4</v>
      </c>
      <c r="H55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536" t="str">
        <f>IFERROR(INDEX(Raw_orders!G:G, MATCH(shipments[[#This Row],[order_id]],Raw_orders!A:A, 0)), "Unknown")</f>
        <v>Central Europe</v>
      </c>
      <c r="J5536" t="str">
        <f>PROPER(shipments[[#This Row],[delivery_status]])</f>
        <v>Delivered</v>
      </c>
      <c r="K5536" t="s">
        <v>6929</v>
      </c>
    </row>
    <row r="5537" spans="1:11">
      <c r="A5537" t="s">
        <v>12473</v>
      </c>
      <c r="B5537" t="s">
        <v>6119</v>
      </c>
      <c r="C5537" t="s">
        <v>6928</v>
      </c>
      <c r="D5537" s="1">
        <v>45306</v>
      </c>
      <c r="E5537" s="1">
        <v>45316</v>
      </c>
      <c r="F5537" s="1">
        <v>45325</v>
      </c>
      <c r="G5537">
        <v>14.37</v>
      </c>
      <c r="H55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37" t="str">
        <f>IFERROR(INDEX(Raw_orders!G:G, MATCH(shipments[[#This Row],[order_id]],Raw_orders!A:A, 0)), "Unknown")</f>
        <v>Central Europe</v>
      </c>
      <c r="J5537" t="str">
        <f>PROPER(shipments[[#This Row],[delivery_status]])</f>
        <v>Delivered</v>
      </c>
      <c r="K5537" t="s">
        <v>6926</v>
      </c>
    </row>
    <row r="5538" spans="1:11">
      <c r="A5538" t="s">
        <v>12474</v>
      </c>
      <c r="B5538" t="s">
        <v>6119</v>
      </c>
      <c r="C5538" t="s">
        <v>6956</v>
      </c>
      <c r="D5538" s="1">
        <v>45306</v>
      </c>
      <c r="E5538" s="1">
        <v>45313</v>
      </c>
      <c r="F5538" s="1">
        <v>45316</v>
      </c>
      <c r="G5538">
        <v>4.82</v>
      </c>
      <c r="H55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38" t="str">
        <f>IFERROR(INDEX(Raw_orders!G:G, MATCH(shipments[[#This Row],[order_id]],Raw_orders!A:A, 0)), "Unknown")</f>
        <v>Central Europe</v>
      </c>
      <c r="J5538" t="str">
        <f>PROPER(shipments[[#This Row],[delivery_status]])</f>
        <v>Delivered</v>
      </c>
      <c r="K5538" t="s">
        <v>6926</v>
      </c>
    </row>
    <row r="5539" spans="1:11">
      <c r="A5539" t="s">
        <v>12475</v>
      </c>
      <c r="B5539" t="s">
        <v>6120</v>
      </c>
      <c r="C5539" t="s">
        <v>6938</v>
      </c>
      <c r="D5539" s="1">
        <v>45309</v>
      </c>
      <c r="E5539" s="1">
        <v>45319</v>
      </c>
      <c r="F5539" s="1">
        <v>45324</v>
      </c>
      <c r="G5539">
        <v>62.86</v>
      </c>
      <c r="H55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39" t="str">
        <f>IFERROR(INDEX(Raw_orders!G:G, MATCH(shipments[[#This Row],[order_id]],Raw_orders!A:A, 0)), "Unknown")</f>
        <v>Nordics</v>
      </c>
      <c r="J5539" t="str">
        <f>PROPER(shipments[[#This Row],[delivery_status]])</f>
        <v>Delivered</v>
      </c>
      <c r="K5539" t="s">
        <v>6929</v>
      </c>
    </row>
    <row r="5540" spans="1:11">
      <c r="A5540" t="s">
        <v>12476</v>
      </c>
      <c r="B5540" t="s">
        <v>6121</v>
      </c>
      <c r="C5540" t="s">
        <v>6935</v>
      </c>
      <c r="D5540" s="1">
        <v>45556</v>
      </c>
      <c r="E5540" s="1">
        <v>45559</v>
      </c>
      <c r="F5540" s="1">
        <v>45564</v>
      </c>
      <c r="G5540">
        <v>44.17</v>
      </c>
      <c r="H55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40" t="str">
        <f>IFERROR(INDEX(Raw_orders!G:G, MATCH(shipments[[#This Row],[order_id]],Raw_orders!A:A, 0)), "Unknown")</f>
        <v>Nordics</v>
      </c>
      <c r="J5540" t="str">
        <f>PROPER(shipments[[#This Row],[delivery_status]])</f>
        <v>Delivered</v>
      </c>
      <c r="K5540" t="s">
        <v>6929</v>
      </c>
    </row>
    <row r="5541" spans="1:11">
      <c r="A5541" t="s">
        <v>12477</v>
      </c>
      <c r="B5541" t="s">
        <v>6122</v>
      </c>
      <c r="C5541" t="s">
        <v>6925</v>
      </c>
      <c r="D5541" s="1">
        <v>45072</v>
      </c>
      <c r="E5541" s="1">
        <v>45077</v>
      </c>
      <c r="F5541" s="1"/>
      <c r="G5541">
        <v>39.82</v>
      </c>
      <c r="H55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541" t="str">
        <f>IFERROR(INDEX(Raw_orders!G:G, MATCH(shipments[[#This Row],[order_id]],Raw_orders!A:A, 0)), "Unknown")</f>
        <v>Baltics</v>
      </c>
      <c r="J5541" t="str">
        <f>PROPER(shipments[[#This Row],[delivery_status]])</f>
        <v>In Transit</v>
      </c>
      <c r="K5541" t="s">
        <v>6958</v>
      </c>
    </row>
    <row r="5542" spans="1:11">
      <c r="A5542" t="s">
        <v>12478</v>
      </c>
      <c r="B5542" t="s">
        <v>6123</v>
      </c>
      <c r="C5542" t="s">
        <v>6956</v>
      </c>
      <c r="D5542" s="1">
        <v>45229</v>
      </c>
      <c r="E5542" s="1">
        <v>45232</v>
      </c>
      <c r="F5542" s="1">
        <v>45242</v>
      </c>
      <c r="G5542">
        <v>46.78</v>
      </c>
      <c r="H55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42" t="str">
        <f>IFERROR(INDEX(Raw_orders!G:G, MATCH(shipments[[#This Row],[order_id]],Raw_orders!A:A, 0)), "Unknown")</f>
        <v>Nordics</v>
      </c>
      <c r="J5542" t="str">
        <f>PROPER(shipments[[#This Row],[delivery_status]])</f>
        <v>Delivered</v>
      </c>
      <c r="K5542" t="s">
        <v>6926</v>
      </c>
    </row>
    <row r="5543" spans="1:11">
      <c r="A5543" t="s">
        <v>12479</v>
      </c>
      <c r="B5543" t="s">
        <v>6124</v>
      </c>
      <c r="C5543" t="s">
        <v>6931</v>
      </c>
      <c r="D5543" s="1">
        <v>45286</v>
      </c>
      <c r="E5543" s="1">
        <v>45291</v>
      </c>
      <c r="F5543" s="1">
        <v>45292</v>
      </c>
      <c r="G5543">
        <v>32.86</v>
      </c>
      <c r="H55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43" t="str">
        <f>IFERROR(INDEX(Raw_orders!G:G, MATCH(shipments[[#This Row],[order_id]],Raw_orders!A:A, 0)), "Unknown")</f>
        <v>Central Europe</v>
      </c>
      <c r="J5543" t="str">
        <f>PROPER(shipments[[#This Row],[delivery_status]])</f>
        <v>Delivered</v>
      </c>
      <c r="K5543" t="s">
        <v>6926</v>
      </c>
    </row>
    <row r="5544" spans="1:11">
      <c r="A5544" t="s">
        <v>12480</v>
      </c>
      <c r="B5544" t="s">
        <v>6125</v>
      </c>
      <c r="C5544" t="s">
        <v>6935</v>
      </c>
      <c r="D5544" s="1">
        <v>45039</v>
      </c>
      <c r="E5544" s="1">
        <v>45049</v>
      </c>
      <c r="F5544" s="1"/>
      <c r="G5544">
        <v>6.53</v>
      </c>
      <c r="H55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544" t="str">
        <f>IFERROR(INDEX(Raw_orders!G:G, MATCH(shipments[[#This Row],[order_id]],Raw_orders!A:A, 0)), "Unknown")</f>
        <v>Central Europe</v>
      </c>
      <c r="J5544" t="str">
        <f>PROPER(shipments[[#This Row],[delivery_status]])</f>
        <v>In Transit</v>
      </c>
      <c r="K5544" t="s">
        <v>6958</v>
      </c>
    </row>
    <row r="5545" spans="1:11">
      <c r="A5545" t="s">
        <v>12481</v>
      </c>
      <c r="B5545" t="s">
        <v>6126</v>
      </c>
      <c r="C5545" t="s">
        <v>6938</v>
      </c>
      <c r="D5545" s="1">
        <v>45123</v>
      </c>
      <c r="E5545" s="1">
        <v>45133</v>
      </c>
      <c r="F5545" s="1">
        <v>45139</v>
      </c>
      <c r="G5545">
        <v>61.18</v>
      </c>
      <c r="H55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45" t="str">
        <f>IFERROR(INDEX(Raw_orders!G:G, MATCH(shipments[[#This Row],[order_id]],Raw_orders!A:A, 0)), "Unknown")</f>
        <v>Central Europe</v>
      </c>
      <c r="J5545" t="str">
        <f>PROPER(shipments[[#This Row],[delivery_status]])</f>
        <v>Delivered</v>
      </c>
      <c r="K5545" t="s">
        <v>6922</v>
      </c>
    </row>
    <row r="5546" spans="1:11">
      <c r="A5546" t="s">
        <v>12482</v>
      </c>
      <c r="B5546" t="s">
        <v>6127</v>
      </c>
      <c r="C5546" t="s">
        <v>6956</v>
      </c>
      <c r="D5546" s="1">
        <v>45119</v>
      </c>
      <c r="E5546" s="1">
        <v>45124</v>
      </c>
      <c r="F5546" s="1">
        <v>45124</v>
      </c>
      <c r="G5546">
        <v>45.47</v>
      </c>
      <c r="H55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546" t="str">
        <f>IFERROR(INDEX(Raw_orders!G:G, MATCH(shipments[[#This Row],[order_id]],Raw_orders!A:A, 0)), "Unknown")</f>
        <v>Baltics</v>
      </c>
      <c r="J5546" t="str">
        <f>PROPER(shipments[[#This Row],[delivery_status]])</f>
        <v>Delivered</v>
      </c>
      <c r="K5546" t="s">
        <v>6929</v>
      </c>
    </row>
    <row r="5547" spans="1:11">
      <c r="A5547" t="s">
        <v>12483</v>
      </c>
      <c r="B5547" t="s">
        <v>6128</v>
      </c>
      <c r="C5547" t="s">
        <v>6935</v>
      </c>
      <c r="D5547" s="1">
        <v>45186</v>
      </c>
      <c r="E5547" s="1">
        <v>45196</v>
      </c>
      <c r="F5547" s="1">
        <v>45195</v>
      </c>
      <c r="G5547">
        <v>31.56</v>
      </c>
      <c r="H55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547" t="str">
        <f>IFERROR(INDEX(Raw_orders!G:G, MATCH(shipments[[#This Row],[order_id]],Raw_orders!A:A, 0)), "Unknown")</f>
        <v>Central Europe</v>
      </c>
      <c r="J5547" t="str">
        <f>PROPER(shipments[[#This Row],[delivery_status]])</f>
        <v>Delivered</v>
      </c>
      <c r="K5547" t="s">
        <v>6926</v>
      </c>
    </row>
    <row r="5548" spans="1:11">
      <c r="A5548" t="s">
        <v>12484</v>
      </c>
      <c r="B5548" t="s">
        <v>6129</v>
      </c>
      <c r="C5548" t="s">
        <v>6949</v>
      </c>
      <c r="D5548" s="1">
        <v>45093</v>
      </c>
      <c r="E5548" s="1">
        <v>45100</v>
      </c>
      <c r="F5548" s="1">
        <v>45100</v>
      </c>
      <c r="G5548">
        <v>54.82</v>
      </c>
      <c r="H55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548" t="str">
        <f>IFERROR(INDEX(Raw_orders!G:G, MATCH(shipments[[#This Row],[order_id]],Raw_orders!A:A, 0)), "Unknown")</f>
        <v>Baltics</v>
      </c>
      <c r="J5548" t="str">
        <f>PROPER(shipments[[#This Row],[delivery_status]])</f>
        <v>Delivered</v>
      </c>
      <c r="K5548" t="s">
        <v>6926</v>
      </c>
    </row>
    <row r="5549" spans="1:11">
      <c r="A5549" t="s">
        <v>12485</v>
      </c>
      <c r="B5549" t="s">
        <v>6130</v>
      </c>
      <c r="C5549" t="s">
        <v>6956</v>
      </c>
      <c r="D5549" s="1">
        <v>45418</v>
      </c>
      <c r="E5549" s="1">
        <v>45425</v>
      </c>
      <c r="F5549" s="1">
        <v>45430</v>
      </c>
      <c r="G5549">
        <v>12.88</v>
      </c>
      <c r="H55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49" t="str">
        <f>IFERROR(INDEX(Raw_orders!G:G, MATCH(shipments[[#This Row],[order_id]],Raw_orders!A:A, 0)), "Unknown")</f>
        <v>Nordics</v>
      </c>
      <c r="J5549" t="str">
        <f>PROPER(shipments[[#This Row],[delivery_status]])</f>
        <v>Delivered</v>
      </c>
      <c r="K5549" t="s">
        <v>6929</v>
      </c>
    </row>
    <row r="5550" spans="1:11">
      <c r="A5550" t="s">
        <v>12486</v>
      </c>
      <c r="B5550" t="s">
        <v>6131</v>
      </c>
      <c r="C5550" t="s">
        <v>6931</v>
      </c>
      <c r="D5550" s="1">
        <v>45128</v>
      </c>
      <c r="E5550" s="1">
        <v>45131</v>
      </c>
      <c r="F5550" s="1">
        <v>45139</v>
      </c>
      <c r="G5550">
        <v>57.42</v>
      </c>
      <c r="H55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50" t="str">
        <f>IFERROR(INDEX(Raw_orders!G:G, MATCH(shipments[[#This Row],[order_id]],Raw_orders!A:A, 0)), "Unknown")</f>
        <v>Central Europe</v>
      </c>
      <c r="J5550" t="str">
        <f>PROPER(shipments[[#This Row],[delivery_status]])</f>
        <v>Delivered</v>
      </c>
      <c r="K5550" t="s">
        <v>6922</v>
      </c>
    </row>
    <row r="5551" spans="1:11">
      <c r="A5551" t="s">
        <v>12487</v>
      </c>
      <c r="B5551" t="s">
        <v>6132</v>
      </c>
      <c r="C5551" t="s">
        <v>6938</v>
      </c>
      <c r="D5551" s="1">
        <v>45319</v>
      </c>
      <c r="E5551" s="1">
        <v>45326</v>
      </c>
      <c r="F5551" s="1">
        <v>45325</v>
      </c>
      <c r="G5551">
        <v>61.01</v>
      </c>
      <c r="H55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551" t="str">
        <f>IFERROR(INDEX(Raw_orders!G:G, MATCH(shipments[[#This Row],[order_id]],Raw_orders!A:A, 0)), "Unknown")</f>
        <v>Baltics</v>
      </c>
      <c r="J5551" t="str">
        <f>PROPER(shipments[[#This Row],[delivery_status]])</f>
        <v>Delivered</v>
      </c>
      <c r="K5551" t="s">
        <v>6926</v>
      </c>
    </row>
    <row r="5552" spans="1:11">
      <c r="A5552" t="s">
        <v>12488</v>
      </c>
      <c r="B5552" t="s">
        <v>6133</v>
      </c>
      <c r="C5552" t="s">
        <v>6956</v>
      </c>
      <c r="D5552" s="1">
        <v>44999</v>
      </c>
      <c r="E5552" s="1">
        <v>45002</v>
      </c>
      <c r="F5552" s="1">
        <v>45002</v>
      </c>
      <c r="G5552">
        <v>55.35</v>
      </c>
      <c r="H55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552" t="str">
        <f>IFERROR(INDEX(Raw_orders!G:G, MATCH(shipments[[#This Row],[order_id]],Raw_orders!A:A, 0)), "Unknown")</f>
        <v>Central Europe</v>
      </c>
      <c r="J5552" t="str">
        <f>PROPER(shipments[[#This Row],[delivery_status]])</f>
        <v>Delivered</v>
      </c>
      <c r="K5552" t="s">
        <v>6922</v>
      </c>
    </row>
    <row r="5553" spans="1:11">
      <c r="A5553" t="s">
        <v>12489</v>
      </c>
      <c r="B5553" t="s">
        <v>6134</v>
      </c>
      <c r="C5553" t="s">
        <v>6935</v>
      </c>
      <c r="D5553" s="1">
        <v>45302</v>
      </c>
      <c r="E5553" s="1">
        <v>45312</v>
      </c>
      <c r="F5553" s="1">
        <v>45314</v>
      </c>
      <c r="G5553">
        <v>45.84</v>
      </c>
      <c r="H55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53" t="str">
        <f>IFERROR(INDEX(Raw_orders!G:G, MATCH(shipments[[#This Row],[order_id]],Raw_orders!A:A, 0)), "Unknown")</f>
        <v>Baltics</v>
      </c>
      <c r="J5553" t="str">
        <f>PROPER(shipments[[#This Row],[delivery_status]])</f>
        <v>Delivered</v>
      </c>
      <c r="K5553" t="s">
        <v>6922</v>
      </c>
    </row>
    <row r="5554" spans="1:11">
      <c r="A5554" t="s">
        <v>12490</v>
      </c>
      <c r="B5554" t="s">
        <v>6135</v>
      </c>
      <c r="C5554" t="s">
        <v>6931</v>
      </c>
      <c r="D5554" s="1">
        <v>45537</v>
      </c>
      <c r="E5554" s="1">
        <v>45539</v>
      </c>
      <c r="F5554" s="1">
        <v>45539</v>
      </c>
      <c r="G5554">
        <v>55.1</v>
      </c>
      <c r="H55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554" t="str">
        <f>IFERROR(INDEX(Raw_orders!G:G, MATCH(shipments[[#This Row],[order_id]],Raw_orders!A:A, 0)), "Unknown")</f>
        <v>Nordics</v>
      </c>
      <c r="J5554" t="str">
        <f>PROPER(shipments[[#This Row],[delivery_status]])</f>
        <v>Delivered</v>
      </c>
      <c r="K5554" t="s">
        <v>6929</v>
      </c>
    </row>
    <row r="5555" spans="1:11">
      <c r="A5555" t="s">
        <v>12491</v>
      </c>
      <c r="B5555" t="s">
        <v>6136</v>
      </c>
      <c r="C5555" t="s">
        <v>6938</v>
      </c>
      <c r="D5555" s="1">
        <v>45431</v>
      </c>
      <c r="E5555" s="1">
        <v>45438</v>
      </c>
      <c r="F5555" s="1"/>
      <c r="G5555">
        <v>64.66</v>
      </c>
      <c r="H55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555" t="str">
        <f>IFERROR(INDEX(Raw_orders!G:G, MATCH(shipments[[#This Row],[order_id]],Raw_orders!A:A, 0)), "Unknown")</f>
        <v>Baltics</v>
      </c>
      <c r="J5555" t="str">
        <f>PROPER(shipments[[#This Row],[delivery_status]])</f>
        <v>In Transit</v>
      </c>
      <c r="K5555" t="s">
        <v>6977</v>
      </c>
    </row>
    <row r="5556" spans="1:11">
      <c r="A5556" t="s">
        <v>12492</v>
      </c>
      <c r="B5556" t="s">
        <v>6137</v>
      </c>
      <c r="C5556" t="s">
        <v>6938</v>
      </c>
      <c r="D5556" s="1">
        <v>45582</v>
      </c>
      <c r="E5556" s="1">
        <v>45585</v>
      </c>
      <c r="F5556" s="1">
        <v>45599</v>
      </c>
      <c r="G5556">
        <v>51.26</v>
      </c>
      <c r="H55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56" t="str">
        <f>IFERROR(INDEX(Raw_orders!G:G, MATCH(shipments[[#This Row],[order_id]],Raw_orders!A:A, 0)), "Unknown")</f>
        <v>Central Europe</v>
      </c>
      <c r="J5556" t="str">
        <f>PROPER(shipments[[#This Row],[delivery_status]])</f>
        <v>Delivered</v>
      </c>
      <c r="K5556" t="s">
        <v>6929</v>
      </c>
    </row>
    <row r="5557" spans="1:11">
      <c r="A5557" t="s">
        <v>12493</v>
      </c>
      <c r="B5557" t="s">
        <v>6138</v>
      </c>
      <c r="C5557" t="s">
        <v>6928</v>
      </c>
      <c r="D5557" s="1">
        <v>45600</v>
      </c>
      <c r="E5557" s="1">
        <v>45605</v>
      </c>
      <c r="F5557" s="1">
        <v>45606</v>
      </c>
      <c r="G5557">
        <v>22.2</v>
      </c>
      <c r="H55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57" t="str">
        <f>IFERROR(INDEX(Raw_orders!G:G, MATCH(shipments[[#This Row],[order_id]],Raw_orders!A:A, 0)), "Unknown")</f>
        <v>Nordics</v>
      </c>
      <c r="J5557" t="str">
        <f>PROPER(shipments[[#This Row],[delivery_status]])</f>
        <v>Delivered</v>
      </c>
      <c r="K5557" t="s">
        <v>6922</v>
      </c>
    </row>
    <row r="5558" spans="1:11">
      <c r="A5558" t="s">
        <v>12494</v>
      </c>
      <c r="B5558" t="s">
        <v>6139</v>
      </c>
      <c r="C5558" t="s">
        <v>6921</v>
      </c>
      <c r="D5558" s="1">
        <v>45497</v>
      </c>
      <c r="E5558" s="1">
        <v>45500</v>
      </c>
      <c r="F5558" s="1">
        <v>45512</v>
      </c>
      <c r="G5558">
        <v>44.96</v>
      </c>
      <c r="H55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58" t="str">
        <f>IFERROR(INDEX(Raw_orders!G:G, MATCH(shipments[[#This Row],[order_id]],Raw_orders!A:A, 0)), "Unknown")</f>
        <v>Baltics</v>
      </c>
      <c r="J5558" t="str">
        <f>PROPER(shipments[[#This Row],[delivery_status]])</f>
        <v>Delivered</v>
      </c>
      <c r="K5558" t="s">
        <v>6922</v>
      </c>
    </row>
    <row r="5559" spans="1:11">
      <c r="A5559" t="s">
        <v>12495</v>
      </c>
      <c r="B5559" t="s">
        <v>6140</v>
      </c>
      <c r="C5559" t="s">
        <v>6956</v>
      </c>
      <c r="D5559" s="1">
        <v>45187</v>
      </c>
      <c r="E5559" s="1">
        <v>45192</v>
      </c>
      <c r="F5559" s="1">
        <v>45194</v>
      </c>
      <c r="G5559">
        <v>10.68</v>
      </c>
      <c r="H55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59" t="str">
        <f>IFERROR(INDEX(Raw_orders!G:G, MATCH(shipments[[#This Row],[order_id]],Raw_orders!A:A, 0)), "Unknown")</f>
        <v>Nordics</v>
      </c>
      <c r="J5559" t="str">
        <f>PROPER(shipments[[#This Row],[delivery_status]])</f>
        <v>Delivered</v>
      </c>
      <c r="K5559" t="s">
        <v>6926</v>
      </c>
    </row>
    <row r="5560" spans="1:11">
      <c r="A5560" t="s">
        <v>12496</v>
      </c>
      <c r="B5560" t="s">
        <v>6141</v>
      </c>
      <c r="C5560" t="s">
        <v>6921</v>
      </c>
      <c r="D5560" s="1">
        <v>45062</v>
      </c>
      <c r="E5560" s="1">
        <v>45072</v>
      </c>
      <c r="F5560" s="1">
        <v>45074</v>
      </c>
      <c r="G5560">
        <v>41.72</v>
      </c>
      <c r="H55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60" t="str">
        <f>IFERROR(INDEX(Raw_orders!G:G, MATCH(shipments[[#This Row],[order_id]],Raw_orders!A:A, 0)), "Unknown")</f>
        <v>Central Europe</v>
      </c>
      <c r="J5560" t="str">
        <f>PROPER(shipments[[#This Row],[delivery_status]])</f>
        <v>Delivered</v>
      </c>
      <c r="K5560" t="s">
        <v>6929</v>
      </c>
    </row>
    <row r="5561" spans="1:11">
      <c r="A5561" t="s">
        <v>12497</v>
      </c>
      <c r="B5561" t="s">
        <v>6142</v>
      </c>
      <c r="C5561" t="s">
        <v>6925</v>
      </c>
      <c r="D5561" s="1">
        <v>45184</v>
      </c>
      <c r="E5561" s="1">
        <v>45187</v>
      </c>
      <c r="F5561" s="1">
        <v>45190</v>
      </c>
      <c r="G5561">
        <v>48.17</v>
      </c>
      <c r="H55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61" t="str">
        <f>IFERROR(INDEX(Raw_orders!G:G, MATCH(shipments[[#This Row],[order_id]],Raw_orders!A:A, 0)), "Unknown")</f>
        <v>Nordics</v>
      </c>
      <c r="J5561" t="str">
        <f>PROPER(shipments[[#This Row],[delivery_status]])</f>
        <v>Delivered</v>
      </c>
      <c r="K5561" t="s">
        <v>6922</v>
      </c>
    </row>
    <row r="5562" spans="1:11">
      <c r="A5562" t="s">
        <v>12498</v>
      </c>
      <c r="B5562" t="s">
        <v>6143</v>
      </c>
      <c r="C5562" t="s">
        <v>6925</v>
      </c>
      <c r="D5562" s="1">
        <v>45369</v>
      </c>
      <c r="E5562" s="1">
        <v>45374</v>
      </c>
      <c r="F5562" s="1">
        <v>45374</v>
      </c>
      <c r="G5562">
        <v>42.19</v>
      </c>
      <c r="H55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562" t="str">
        <f>IFERROR(INDEX(Raw_orders!G:G, MATCH(shipments[[#This Row],[order_id]],Raw_orders!A:A, 0)), "Unknown")</f>
        <v>Nordics</v>
      </c>
      <c r="J5562" t="str">
        <f>PROPER(shipments[[#This Row],[delivery_status]])</f>
        <v>Delivered</v>
      </c>
      <c r="K5562" t="s">
        <v>6922</v>
      </c>
    </row>
    <row r="5563" spans="1:11">
      <c r="A5563" t="s">
        <v>12499</v>
      </c>
      <c r="B5563" t="s">
        <v>6144</v>
      </c>
      <c r="C5563" t="s">
        <v>6938</v>
      </c>
      <c r="D5563" s="1">
        <v>45352</v>
      </c>
      <c r="E5563" s="1">
        <v>45359</v>
      </c>
      <c r="F5563" s="1">
        <v>45358</v>
      </c>
      <c r="G5563">
        <v>14.49</v>
      </c>
      <c r="H55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563" t="str">
        <f>IFERROR(INDEX(Raw_orders!G:G, MATCH(shipments[[#This Row],[order_id]],Raw_orders!A:A, 0)), "Unknown")</f>
        <v>Nordics</v>
      </c>
      <c r="J5563" t="str">
        <f>PROPER(shipments[[#This Row],[delivery_status]])</f>
        <v>Delivered</v>
      </c>
      <c r="K5563" t="s">
        <v>6929</v>
      </c>
    </row>
    <row r="5564" spans="1:11">
      <c r="A5564" t="s">
        <v>12500</v>
      </c>
      <c r="B5564" t="s">
        <v>6144</v>
      </c>
      <c r="C5564" t="s">
        <v>6938</v>
      </c>
      <c r="D5564" s="1">
        <v>45354</v>
      </c>
      <c r="E5564" s="1">
        <v>45357</v>
      </c>
      <c r="F5564" s="1">
        <v>45357</v>
      </c>
      <c r="G5564">
        <v>55.08</v>
      </c>
      <c r="H55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564" t="str">
        <f>IFERROR(INDEX(Raw_orders!G:G, MATCH(shipments[[#This Row],[order_id]],Raw_orders!A:A, 0)), "Unknown")</f>
        <v>Nordics</v>
      </c>
      <c r="J5564" t="str">
        <f>PROPER(shipments[[#This Row],[delivery_status]])</f>
        <v>Delivered</v>
      </c>
      <c r="K5564" t="s">
        <v>6926</v>
      </c>
    </row>
    <row r="5565" spans="1:11">
      <c r="A5565" t="s">
        <v>12501</v>
      </c>
      <c r="B5565" t="s">
        <v>6145</v>
      </c>
      <c r="C5565" t="s">
        <v>6928</v>
      </c>
      <c r="D5565" s="1">
        <v>45114</v>
      </c>
      <c r="E5565" s="1">
        <v>45124</v>
      </c>
      <c r="F5565" s="1">
        <v>45132</v>
      </c>
      <c r="H55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65" t="str">
        <f>IFERROR(INDEX(Raw_orders!G:G, MATCH(shipments[[#This Row],[order_id]],Raw_orders!A:A, 0)), "Unknown")</f>
        <v>Nordics</v>
      </c>
      <c r="J5565" t="str">
        <f>PROPER(shipments[[#This Row],[delivery_status]])</f>
        <v>Delivered</v>
      </c>
      <c r="K5565" t="s">
        <v>6926</v>
      </c>
    </row>
    <row r="5566" spans="1:11">
      <c r="A5566" t="s">
        <v>12502</v>
      </c>
      <c r="B5566" t="s">
        <v>6146</v>
      </c>
      <c r="C5566" t="s">
        <v>6921</v>
      </c>
      <c r="D5566" s="1">
        <v>44973</v>
      </c>
      <c r="E5566" s="1">
        <v>44978</v>
      </c>
      <c r="F5566" s="1">
        <v>44977</v>
      </c>
      <c r="G5566">
        <v>7.04</v>
      </c>
      <c r="H55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566" t="str">
        <f>IFERROR(INDEX(Raw_orders!G:G, MATCH(shipments[[#This Row],[order_id]],Raw_orders!A:A, 0)), "Unknown")</f>
        <v>Nordics</v>
      </c>
      <c r="J5566" t="str">
        <f>PROPER(shipments[[#This Row],[delivery_status]])</f>
        <v>Delivered</v>
      </c>
      <c r="K5566" t="s">
        <v>6926</v>
      </c>
    </row>
    <row r="5567" spans="1:11">
      <c r="A5567" t="s">
        <v>12503</v>
      </c>
      <c r="B5567" t="s">
        <v>6146</v>
      </c>
      <c r="C5567" t="s">
        <v>6935</v>
      </c>
      <c r="D5567" s="1">
        <v>44975</v>
      </c>
      <c r="E5567" s="1">
        <v>44985</v>
      </c>
      <c r="F5567" s="1">
        <v>44987</v>
      </c>
      <c r="G5567">
        <v>47.28</v>
      </c>
      <c r="H55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67" t="str">
        <f>IFERROR(INDEX(Raw_orders!G:G, MATCH(shipments[[#This Row],[order_id]],Raw_orders!A:A, 0)), "Unknown")</f>
        <v>Nordics</v>
      </c>
      <c r="J5567" t="str">
        <f>PROPER(shipments[[#This Row],[delivery_status]])</f>
        <v>Delivered</v>
      </c>
      <c r="K5567" t="s">
        <v>6926</v>
      </c>
    </row>
    <row r="5568" spans="1:11">
      <c r="A5568" t="s">
        <v>12504</v>
      </c>
      <c r="B5568" t="s">
        <v>6147</v>
      </c>
      <c r="C5568" t="s">
        <v>6949</v>
      </c>
      <c r="D5568" s="1">
        <v>45458</v>
      </c>
      <c r="E5568" s="1">
        <v>45465</v>
      </c>
      <c r="F5568" s="1">
        <v>45468</v>
      </c>
      <c r="G5568">
        <v>20.74</v>
      </c>
      <c r="H55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68" t="str">
        <f>IFERROR(INDEX(Raw_orders!G:G, MATCH(shipments[[#This Row],[order_id]],Raw_orders!A:A, 0)), "Unknown")</f>
        <v>Nordics</v>
      </c>
      <c r="J5568" t="str">
        <f>PROPER(shipments[[#This Row],[delivery_status]])</f>
        <v>Delivered</v>
      </c>
      <c r="K5568" t="s">
        <v>6922</v>
      </c>
    </row>
    <row r="5569" spans="1:11">
      <c r="A5569" t="s">
        <v>12505</v>
      </c>
      <c r="B5569" t="s">
        <v>6148</v>
      </c>
      <c r="C5569" t="s">
        <v>6938</v>
      </c>
      <c r="D5569" s="1">
        <v>45190</v>
      </c>
      <c r="E5569" s="1">
        <v>45197</v>
      </c>
      <c r="F5569" s="1">
        <v>45200</v>
      </c>
      <c r="G5569">
        <v>29.5</v>
      </c>
      <c r="H55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69" t="str">
        <f>IFERROR(INDEX(Raw_orders!G:G, MATCH(shipments[[#This Row],[order_id]],Raw_orders!A:A, 0)), "Unknown")</f>
        <v>Central Europe</v>
      </c>
      <c r="J5569" t="str">
        <f>PROPER(shipments[[#This Row],[delivery_status]])</f>
        <v>Delivered</v>
      </c>
      <c r="K5569" t="s">
        <v>6929</v>
      </c>
    </row>
    <row r="5570" spans="1:11">
      <c r="A5570" t="s">
        <v>12506</v>
      </c>
      <c r="B5570" t="s">
        <v>6148</v>
      </c>
      <c r="C5570" t="s">
        <v>6938</v>
      </c>
      <c r="D5570" s="1">
        <v>45187</v>
      </c>
      <c r="E5570" s="1">
        <v>45197</v>
      </c>
      <c r="F5570" s="1">
        <v>45202</v>
      </c>
      <c r="G5570">
        <v>46.94</v>
      </c>
      <c r="H55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70" t="str">
        <f>IFERROR(INDEX(Raw_orders!G:G, MATCH(shipments[[#This Row],[order_id]],Raw_orders!A:A, 0)), "Unknown")</f>
        <v>Central Europe</v>
      </c>
      <c r="J5570" t="str">
        <f>PROPER(shipments[[#This Row],[delivery_status]])</f>
        <v>Delivered</v>
      </c>
      <c r="K5570" t="s">
        <v>6929</v>
      </c>
    </row>
    <row r="5571" spans="1:11">
      <c r="A5571" t="s">
        <v>12507</v>
      </c>
      <c r="B5571" t="s">
        <v>6149</v>
      </c>
      <c r="C5571" t="s">
        <v>6935</v>
      </c>
      <c r="D5571" s="1">
        <v>45382</v>
      </c>
      <c r="E5571" s="1">
        <v>45384</v>
      </c>
      <c r="F5571" s="1">
        <v>45385</v>
      </c>
      <c r="G5571">
        <v>27.72</v>
      </c>
      <c r="H55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71" t="str">
        <f>IFERROR(INDEX(Raw_orders!G:G, MATCH(shipments[[#This Row],[order_id]],Raw_orders!A:A, 0)), "Unknown")</f>
        <v>Baltics</v>
      </c>
      <c r="J5571" t="str">
        <f>PROPER(shipments[[#This Row],[delivery_status]])</f>
        <v>Delivered</v>
      </c>
      <c r="K5571" t="s">
        <v>6929</v>
      </c>
    </row>
    <row r="5572" spans="1:11">
      <c r="A5572" t="s">
        <v>12508</v>
      </c>
      <c r="B5572" t="s">
        <v>6150</v>
      </c>
      <c r="C5572" t="s">
        <v>6925</v>
      </c>
      <c r="D5572" s="1">
        <v>45072</v>
      </c>
      <c r="E5572" s="1">
        <v>45074</v>
      </c>
      <c r="F5572" s="1"/>
      <c r="G5572">
        <v>30.61</v>
      </c>
      <c r="H55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572" t="str">
        <f>IFERROR(INDEX(Raw_orders!G:G, MATCH(shipments[[#This Row],[order_id]],Raw_orders!A:A, 0)), "Unknown")</f>
        <v>Nordics</v>
      </c>
      <c r="J5572" t="str">
        <f>PROPER(shipments[[#This Row],[delivery_status]])</f>
        <v>In Transit</v>
      </c>
      <c r="K5572" t="s">
        <v>6946</v>
      </c>
    </row>
    <row r="5573" spans="1:11">
      <c r="A5573" t="s">
        <v>12509</v>
      </c>
      <c r="B5573" t="s">
        <v>6151</v>
      </c>
      <c r="C5573" t="s">
        <v>6928</v>
      </c>
      <c r="D5573" s="1">
        <v>45441</v>
      </c>
      <c r="E5573" s="1">
        <v>45443</v>
      </c>
      <c r="F5573" s="1">
        <v>45448</v>
      </c>
      <c r="G5573">
        <v>45.74</v>
      </c>
      <c r="H55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73" t="str">
        <f>IFERROR(INDEX(Raw_orders!G:G, MATCH(shipments[[#This Row],[order_id]],Raw_orders!A:A, 0)), "Unknown")</f>
        <v>Central Europe</v>
      </c>
      <c r="J5573" t="str">
        <f>PROPER(shipments[[#This Row],[delivery_status]])</f>
        <v>Delivered</v>
      </c>
      <c r="K5573" t="s">
        <v>6926</v>
      </c>
    </row>
    <row r="5574" spans="1:11">
      <c r="A5574" t="s">
        <v>12510</v>
      </c>
      <c r="B5574" t="s">
        <v>6152</v>
      </c>
      <c r="C5574" t="s">
        <v>6940</v>
      </c>
      <c r="D5574" s="1">
        <v>45488</v>
      </c>
      <c r="E5574" s="1">
        <v>45490</v>
      </c>
      <c r="F5574" s="1">
        <v>45498</v>
      </c>
      <c r="G5574">
        <v>27.11</v>
      </c>
      <c r="H55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74" t="str">
        <f>IFERROR(INDEX(Raw_orders!G:G, MATCH(shipments[[#This Row],[order_id]],Raw_orders!A:A, 0)), "Unknown")</f>
        <v>Central Europe</v>
      </c>
      <c r="J5574" t="str">
        <f>PROPER(shipments[[#This Row],[delivery_status]])</f>
        <v>Delivered</v>
      </c>
      <c r="K5574" t="s">
        <v>6922</v>
      </c>
    </row>
    <row r="5575" spans="1:11">
      <c r="A5575" t="s">
        <v>12511</v>
      </c>
      <c r="B5575" t="s">
        <v>6153</v>
      </c>
      <c r="C5575" t="s">
        <v>6956</v>
      </c>
      <c r="D5575" s="1">
        <v>45185</v>
      </c>
      <c r="E5575" s="1">
        <v>45188</v>
      </c>
      <c r="F5575" s="1"/>
      <c r="G5575">
        <v>29.29</v>
      </c>
      <c r="H55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575" t="str">
        <f>IFERROR(INDEX(Raw_orders!G:G, MATCH(shipments[[#This Row],[order_id]],Raw_orders!A:A, 0)), "Unknown")</f>
        <v>Baltics</v>
      </c>
      <c r="J5575" t="str">
        <f>PROPER(shipments[[#This Row],[delivery_status]])</f>
        <v>Cancelled</v>
      </c>
      <c r="K5575" t="s">
        <v>6979</v>
      </c>
    </row>
    <row r="5576" spans="1:11">
      <c r="A5576" t="s">
        <v>12512</v>
      </c>
      <c r="B5576" t="s">
        <v>6154</v>
      </c>
      <c r="C5576" t="s">
        <v>6940</v>
      </c>
      <c r="D5576" s="1">
        <v>45084</v>
      </c>
      <c r="E5576" s="1">
        <v>45091</v>
      </c>
      <c r="F5576" s="1">
        <v>45098</v>
      </c>
      <c r="G5576">
        <v>23.63</v>
      </c>
      <c r="H55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76" t="str">
        <f>IFERROR(INDEX(Raw_orders!G:G, MATCH(shipments[[#This Row],[order_id]],Raw_orders!A:A, 0)), "Unknown")</f>
        <v>Baltics</v>
      </c>
      <c r="J5576" t="str">
        <f>PROPER(shipments[[#This Row],[delivery_status]])</f>
        <v>Delivered</v>
      </c>
      <c r="K5576" t="s">
        <v>6929</v>
      </c>
    </row>
    <row r="5577" spans="1:11">
      <c r="A5577" t="s">
        <v>12513</v>
      </c>
      <c r="B5577" t="s">
        <v>6155</v>
      </c>
      <c r="C5577" t="s">
        <v>6956</v>
      </c>
      <c r="D5577" s="1">
        <v>45398</v>
      </c>
      <c r="E5577" s="1">
        <v>45401</v>
      </c>
      <c r="F5577" s="1">
        <v>45401</v>
      </c>
      <c r="G5577">
        <v>60.21</v>
      </c>
      <c r="H55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577" t="str">
        <f>IFERROR(INDEX(Raw_orders!G:G, MATCH(shipments[[#This Row],[order_id]],Raw_orders!A:A, 0)), "Unknown")</f>
        <v>Central Europe</v>
      </c>
      <c r="J5577" t="str">
        <f>PROPER(shipments[[#This Row],[delivery_status]])</f>
        <v>Delivered</v>
      </c>
      <c r="K5577" t="s">
        <v>6929</v>
      </c>
    </row>
    <row r="5578" spans="1:11">
      <c r="A5578" t="s">
        <v>12514</v>
      </c>
      <c r="B5578" t="s">
        <v>6156</v>
      </c>
      <c r="C5578" t="s">
        <v>6949</v>
      </c>
      <c r="D5578" s="1">
        <v>45573</v>
      </c>
      <c r="E5578" s="1">
        <v>45580</v>
      </c>
      <c r="F5578" s="1"/>
      <c r="G5578">
        <v>36.380000000000003</v>
      </c>
      <c r="H55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578" t="str">
        <f>IFERROR(INDEX(Raw_orders!G:G, MATCH(shipments[[#This Row],[order_id]],Raw_orders!A:A, 0)), "Unknown")</f>
        <v>Nordics</v>
      </c>
      <c r="J5578" t="str">
        <f>PROPER(shipments[[#This Row],[delivery_status]])</f>
        <v>Cancelled</v>
      </c>
      <c r="K5578" t="s">
        <v>6963</v>
      </c>
    </row>
    <row r="5579" spans="1:11">
      <c r="A5579" t="s">
        <v>12515</v>
      </c>
      <c r="B5579" t="s">
        <v>6157</v>
      </c>
      <c r="C5579" t="s">
        <v>6940</v>
      </c>
      <c r="D5579" s="1">
        <v>45361</v>
      </c>
      <c r="E5579" s="1">
        <v>45371</v>
      </c>
      <c r="F5579" s="1">
        <v>45371</v>
      </c>
      <c r="G5579">
        <v>34.9</v>
      </c>
      <c r="H55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579" t="str">
        <f>IFERROR(INDEX(Raw_orders!G:G, MATCH(shipments[[#This Row],[order_id]],Raw_orders!A:A, 0)), "Unknown")</f>
        <v>Central Europe</v>
      </c>
      <c r="J5579" t="str">
        <f>PROPER(shipments[[#This Row],[delivery_status]])</f>
        <v>Delivered</v>
      </c>
      <c r="K5579" t="s">
        <v>6922</v>
      </c>
    </row>
    <row r="5580" spans="1:11">
      <c r="A5580" t="s">
        <v>12516</v>
      </c>
      <c r="B5580" t="s">
        <v>6158</v>
      </c>
      <c r="C5580" t="s">
        <v>6928</v>
      </c>
      <c r="D5580" s="1">
        <v>45021</v>
      </c>
      <c r="E5580" s="1">
        <v>45028</v>
      </c>
      <c r="F5580" s="1">
        <v>45036</v>
      </c>
      <c r="G5580">
        <v>55.63</v>
      </c>
      <c r="H55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80" t="str">
        <f>IFERROR(INDEX(Raw_orders!G:G, MATCH(shipments[[#This Row],[order_id]],Raw_orders!A:A, 0)), "Unknown")</f>
        <v>Baltics</v>
      </c>
      <c r="J5580" t="str">
        <f>PROPER(shipments[[#This Row],[delivery_status]])</f>
        <v>Delivered</v>
      </c>
      <c r="K5580" t="s">
        <v>6929</v>
      </c>
    </row>
    <row r="5581" spans="1:11">
      <c r="A5581" t="s">
        <v>12517</v>
      </c>
      <c r="B5581" t="s">
        <v>6159</v>
      </c>
      <c r="C5581" t="s">
        <v>6949</v>
      </c>
      <c r="D5581" s="1">
        <v>45524</v>
      </c>
      <c r="E5581" s="1">
        <v>45531</v>
      </c>
      <c r="F5581" s="1">
        <v>45534</v>
      </c>
      <c r="G5581">
        <v>64.150000000000006</v>
      </c>
      <c r="H55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81" t="str">
        <f>IFERROR(INDEX(Raw_orders!G:G, MATCH(shipments[[#This Row],[order_id]],Raw_orders!A:A, 0)), "Unknown")</f>
        <v>Nordics</v>
      </c>
      <c r="J5581" t="str">
        <f>PROPER(shipments[[#This Row],[delivery_status]])</f>
        <v>Delivered</v>
      </c>
      <c r="K5581" t="s">
        <v>6929</v>
      </c>
    </row>
    <row r="5582" spans="1:11">
      <c r="A5582" t="s">
        <v>12518</v>
      </c>
      <c r="B5582" t="s">
        <v>6160</v>
      </c>
      <c r="C5582" t="s">
        <v>6928</v>
      </c>
      <c r="D5582" s="1">
        <v>45374</v>
      </c>
      <c r="E5582" s="1">
        <v>45384</v>
      </c>
      <c r="F5582" s="1">
        <v>45398</v>
      </c>
      <c r="G5582">
        <v>58.92</v>
      </c>
      <c r="H55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82" t="str">
        <f>IFERROR(INDEX(Raw_orders!G:G, MATCH(shipments[[#This Row],[order_id]],Raw_orders!A:A, 0)), "Unknown")</f>
        <v>Nordics</v>
      </c>
      <c r="J5582" t="str">
        <f>PROPER(shipments[[#This Row],[delivery_status]])</f>
        <v>Delivered</v>
      </c>
      <c r="K5582" t="s">
        <v>6926</v>
      </c>
    </row>
    <row r="5583" spans="1:11">
      <c r="A5583" t="s">
        <v>12519</v>
      </c>
      <c r="B5583" t="s">
        <v>6160</v>
      </c>
      <c r="C5583" t="s">
        <v>6938</v>
      </c>
      <c r="D5583" s="1">
        <v>45376</v>
      </c>
      <c r="E5583" s="1">
        <v>45383</v>
      </c>
      <c r="F5583" s="1">
        <v>45391</v>
      </c>
      <c r="G5583">
        <v>10.96</v>
      </c>
      <c r="H55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83" t="str">
        <f>IFERROR(INDEX(Raw_orders!G:G, MATCH(shipments[[#This Row],[order_id]],Raw_orders!A:A, 0)), "Unknown")</f>
        <v>Nordics</v>
      </c>
      <c r="J5583" t="str">
        <f>PROPER(shipments[[#This Row],[delivery_status]])</f>
        <v>Delivered</v>
      </c>
      <c r="K5583" t="s">
        <v>6929</v>
      </c>
    </row>
    <row r="5584" spans="1:11">
      <c r="A5584" t="s">
        <v>12520</v>
      </c>
      <c r="B5584" t="s">
        <v>6161</v>
      </c>
      <c r="C5584" t="s">
        <v>6928</v>
      </c>
      <c r="D5584" s="1">
        <v>45177</v>
      </c>
      <c r="E5584" s="1">
        <v>45182</v>
      </c>
      <c r="F5584" s="1"/>
      <c r="G5584">
        <v>54.16</v>
      </c>
      <c r="H55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584" t="str">
        <f>IFERROR(INDEX(Raw_orders!G:G, MATCH(shipments[[#This Row],[order_id]],Raw_orders!A:A, 0)), "Unknown")</f>
        <v>Central Europe</v>
      </c>
      <c r="J5584" t="str">
        <f>PROPER(shipments[[#This Row],[delivery_status]])</f>
        <v>In Transit</v>
      </c>
      <c r="K5584" t="s">
        <v>6958</v>
      </c>
    </row>
    <row r="5585" spans="1:11">
      <c r="A5585" t="s">
        <v>12521</v>
      </c>
      <c r="B5585" t="s">
        <v>6162</v>
      </c>
      <c r="C5585" t="s">
        <v>6956</v>
      </c>
      <c r="D5585" s="1">
        <v>45220</v>
      </c>
      <c r="E5585" s="1">
        <v>45223</v>
      </c>
      <c r="F5585" s="1">
        <v>45225</v>
      </c>
      <c r="G5585">
        <v>43.91</v>
      </c>
      <c r="H55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85" t="str">
        <f>IFERROR(INDEX(Raw_orders!G:G, MATCH(shipments[[#This Row],[order_id]],Raw_orders!A:A, 0)), "Unknown")</f>
        <v>Central Europe</v>
      </c>
      <c r="J5585" t="str">
        <f>PROPER(shipments[[#This Row],[delivery_status]])</f>
        <v>Delivered</v>
      </c>
      <c r="K5585" t="s">
        <v>6926</v>
      </c>
    </row>
    <row r="5586" spans="1:11">
      <c r="A5586" t="s">
        <v>12522</v>
      </c>
      <c r="B5586" t="s">
        <v>6163</v>
      </c>
      <c r="C5586" t="s">
        <v>6949</v>
      </c>
      <c r="D5586" s="1">
        <v>45159</v>
      </c>
      <c r="E5586" s="1">
        <v>45166</v>
      </c>
      <c r="F5586" s="1">
        <v>45166</v>
      </c>
      <c r="G5586">
        <v>21.42</v>
      </c>
      <c r="H55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586" t="str">
        <f>IFERROR(INDEX(Raw_orders!G:G, MATCH(shipments[[#This Row],[order_id]],Raw_orders!A:A, 0)), "Unknown")</f>
        <v>Nordics</v>
      </c>
      <c r="J5586" t="str">
        <f>PROPER(shipments[[#This Row],[delivery_status]])</f>
        <v>Delivered</v>
      </c>
      <c r="K5586" t="s">
        <v>6926</v>
      </c>
    </row>
    <row r="5587" spans="1:11">
      <c r="A5587" t="s">
        <v>12523</v>
      </c>
      <c r="B5587" t="s">
        <v>6164</v>
      </c>
      <c r="C5587" t="s">
        <v>6938</v>
      </c>
      <c r="D5587" s="1">
        <v>45527</v>
      </c>
      <c r="E5587" s="1">
        <v>45537</v>
      </c>
      <c r="F5587" s="1">
        <v>45537</v>
      </c>
      <c r="G5587">
        <v>56.04</v>
      </c>
      <c r="H55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587" t="str">
        <f>IFERROR(INDEX(Raw_orders!G:G, MATCH(shipments[[#This Row],[order_id]],Raw_orders!A:A, 0)), "Unknown")</f>
        <v>Baltics</v>
      </c>
      <c r="J5587" t="str">
        <f>PROPER(shipments[[#This Row],[delivery_status]])</f>
        <v>Delivered</v>
      </c>
      <c r="K5587" t="s">
        <v>6926</v>
      </c>
    </row>
    <row r="5588" spans="1:11">
      <c r="A5588" t="s">
        <v>12524</v>
      </c>
      <c r="B5588" t="s">
        <v>6165</v>
      </c>
      <c r="C5588" t="s">
        <v>6956</v>
      </c>
      <c r="D5588" s="1">
        <v>45488</v>
      </c>
      <c r="E5588" s="1">
        <v>45498</v>
      </c>
      <c r="F5588" s="1">
        <v>45498</v>
      </c>
      <c r="G5588">
        <v>34.78</v>
      </c>
      <c r="H55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588" t="str">
        <f>IFERROR(INDEX(Raw_orders!G:G, MATCH(shipments[[#This Row],[order_id]],Raw_orders!A:A, 0)), "Unknown")</f>
        <v>Central Europe</v>
      </c>
      <c r="J5588" t="str">
        <f>PROPER(shipments[[#This Row],[delivery_status]])</f>
        <v>Delivered</v>
      </c>
      <c r="K5588" t="s">
        <v>6926</v>
      </c>
    </row>
    <row r="5589" spans="1:11">
      <c r="A5589" t="s">
        <v>12525</v>
      </c>
      <c r="B5589" t="s">
        <v>6166</v>
      </c>
      <c r="C5589" t="s">
        <v>6938</v>
      </c>
      <c r="D5589" s="1">
        <v>45597</v>
      </c>
      <c r="E5589" s="1">
        <v>45604</v>
      </c>
      <c r="F5589" s="1">
        <v>45609</v>
      </c>
      <c r="G5589">
        <v>13.05</v>
      </c>
      <c r="H55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89" t="str">
        <f>IFERROR(INDEX(Raw_orders!G:G, MATCH(shipments[[#This Row],[order_id]],Raw_orders!A:A, 0)), "Unknown")</f>
        <v>Nordics</v>
      </c>
      <c r="J5589" t="str">
        <f>PROPER(shipments[[#This Row],[delivery_status]])</f>
        <v>Delivered</v>
      </c>
      <c r="K5589" t="s">
        <v>6922</v>
      </c>
    </row>
    <row r="5590" spans="1:11">
      <c r="A5590" t="s">
        <v>12526</v>
      </c>
      <c r="B5590" t="s">
        <v>6167</v>
      </c>
      <c r="C5590" t="s">
        <v>6935</v>
      </c>
      <c r="D5590" s="1">
        <v>45303</v>
      </c>
      <c r="E5590" s="1">
        <v>45306</v>
      </c>
      <c r="F5590" s="1">
        <v>45313</v>
      </c>
      <c r="G5590">
        <v>53.51</v>
      </c>
      <c r="H55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90" t="str">
        <f>IFERROR(INDEX(Raw_orders!G:G, MATCH(shipments[[#This Row],[order_id]],Raw_orders!A:A, 0)), "Unknown")</f>
        <v>Central Europe</v>
      </c>
      <c r="J5590" t="str">
        <f>PROPER(shipments[[#This Row],[delivery_status]])</f>
        <v>Delivered</v>
      </c>
      <c r="K5590" t="s">
        <v>6922</v>
      </c>
    </row>
    <row r="5591" spans="1:11">
      <c r="A5591" t="s">
        <v>12527</v>
      </c>
      <c r="B5591" t="s">
        <v>6168</v>
      </c>
      <c r="C5591" t="s">
        <v>6928</v>
      </c>
      <c r="D5591" s="1">
        <v>45485</v>
      </c>
      <c r="E5591" s="1">
        <v>45487</v>
      </c>
      <c r="F5591" s="1">
        <v>45488</v>
      </c>
      <c r="G5591">
        <v>27.36</v>
      </c>
      <c r="H55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91" t="str">
        <f>IFERROR(INDEX(Raw_orders!G:G, MATCH(shipments[[#This Row],[order_id]],Raw_orders!A:A, 0)), "Unknown")</f>
        <v>Central Europe</v>
      </c>
      <c r="J5591" t="str">
        <f>PROPER(shipments[[#This Row],[delivery_status]])</f>
        <v>Delivered</v>
      </c>
      <c r="K5591" t="s">
        <v>6929</v>
      </c>
    </row>
    <row r="5592" spans="1:11">
      <c r="A5592" t="s">
        <v>12528</v>
      </c>
      <c r="B5592" t="s">
        <v>6169</v>
      </c>
      <c r="C5592" t="s">
        <v>6925</v>
      </c>
      <c r="D5592" s="1">
        <v>45590</v>
      </c>
      <c r="E5592" s="1">
        <v>45595</v>
      </c>
      <c r="F5592" s="1"/>
      <c r="G5592">
        <v>44.65</v>
      </c>
      <c r="H55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592" t="str">
        <f>IFERROR(INDEX(Raw_orders!G:G, MATCH(shipments[[#This Row],[order_id]],Raw_orders!A:A, 0)), "Unknown")</f>
        <v>Nordics</v>
      </c>
      <c r="J5592" t="str">
        <f>PROPER(shipments[[#This Row],[delivery_status]])</f>
        <v>In Transit</v>
      </c>
      <c r="K5592" t="s">
        <v>6977</v>
      </c>
    </row>
    <row r="5593" spans="1:11">
      <c r="A5593" t="s">
        <v>12529</v>
      </c>
      <c r="B5593" t="s">
        <v>6170</v>
      </c>
      <c r="C5593" t="s">
        <v>6938</v>
      </c>
      <c r="D5593" s="1">
        <v>44988</v>
      </c>
      <c r="E5593" s="1">
        <v>44991</v>
      </c>
      <c r="F5593" s="1">
        <v>44996</v>
      </c>
      <c r="G5593">
        <v>56.83</v>
      </c>
      <c r="H55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93" t="str">
        <f>IFERROR(INDEX(Raw_orders!G:G, MATCH(shipments[[#This Row],[order_id]],Raw_orders!A:A, 0)), "Unknown")</f>
        <v>Baltics</v>
      </c>
      <c r="J5593" t="str">
        <f>PROPER(shipments[[#This Row],[delivery_status]])</f>
        <v>Delivered</v>
      </c>
      <c r="K5593" t="s">
        <v>6922</v>
      </c>
    </row>
    <row r="5594" spans="1:11">
      <c r="A5594" t="s">
        <v>12530</v>
      </c>
      <c r="B5594" t="s">
        <v>6171</v>
      </c>
      <c r="C5594" t="s">
        <v>6940</v>
      </c>
      <c r="D5594" s="1">
        <v>45396</v>
      </c>
      <c r="E5594" s="1">
        <v>45399</v>
      </c>
      <c r="F5594" s="1">
        <v>45404</v>
      </c>
      <c r="G5594">
        <v>6.77</v>
      </c>
      <c r="H55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94" t="str">
        <f>IFERROR(INDEX(Raw_orders!G:G, MATCH(shipments[[#This Row],[order_id]],Raw_orders!A:A, 0)), "Unknown")</f>
        <v>Nordics</v>
      </c>
      <c r="J5594" t="str">
        <f>PROPER(shipments[[#This Row],[delivery_status]])</f>
        <v>Delivered</v>
      </c>
      <c r="K5594" t="s">
        <v>6929</v>
      </c>
    </row>
    <row r="5595" spans="1:11">
      <c r="A5595" t="s">
        <v>12531</v>
      </c>
      <c r="B5595" t="s">
        <v>6172</v>
      </c>
      <c r="C5595" t="s">
        <v>6928</v>
      </c>
      <c r="D5595" s="1">
        <v>45250</v>
      </c>
      <c r="E5595" s="1">
        <v>45252</v>
      </c>
      <c r="F5595" s="1">
        <v>45260</v>
      </c>
      <c r="G5595">
        <v>7.3</v>
      </c>
      <c r="H55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95" t="str">
        <f>IFERROR(INDEX(Raw_orders!G:G, MATCH(shipments[[#This Row],[order_id]],Raw_orders!A:A, 0)), "Unknown")</f>
        <v>Nordics</v>
      </c>
      <c r="J5595" t="str">
        <f>PROPER(shipments[[#This Row],[delivery_status]])</f>
        <v>Delivered</v>
      </c>
      <c r="K5595" t="s">
        <v>6929</v>
      </c>
    </row>
    <row r="5596" spans="1:11">
      <c r="A5596" t="s">
        <v>12532</v>
      </c>
      <c r="B5596" t="s">
        <v>6173</v>
      </c>
      <c r="C5596" t="s">
        <v>6925</v>
      </c>
      <c r="D5596" s="1">
        <v>45303</v>
      </c>
      <c r="E5596" s="1">
        <v>45305</v>
      </c>
      <c r="F5596" s="1">
        <v>45310</v>
      </c>
      <c r="G5596">
        <v>7.93</v>
      </c>
      <c r="H55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96" t="str">
        <f>IFERROR(INDEX(Raw_orders!G:G, MATCH(shipments[[#This Row],[order_id]],Raw_orders!A:A, 0)), "Unknown")</f>
        <v>Baltics</v>
      </c>
      <c r="J5596" t="str">
        <f>PROPER(shipments[[#This Row],[delivery_status]])</f>
        <v>Delivered</v>
      </c>
      <c r="K5596" t="s">
        <v>6926</v>
      </c>
    </row>
    <row r="5597" spans="1:11">
      <c r="A5597" t="s">
        <v>12533</v>
      </c>
      <c r="B5597" t="s">
        <v>6173</v>
      </c>
      <c r="C5597" t="s">
        <v>6940</v>
      </c>
      <c r="D5597" s="1">
        <v>45302</v>
      </c>
      <c r="E5597" s="1">
        <v>45307</v>
      </c>
      <c r="F5597" s="1">
        <v>45307</v>
      </c>
      <c r="G5597">
        <v>20.45</v>
      </c>
      <c r="H55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597" t="str">
        <f>IFERROR(INDEX(Raw_orders!G:G, MATCH(shipments[[#This Row],[order_id]],Raw_orders!A:A, 0)), "Unknown")</f>
        <v>Baltics</v>
      </c>
      <c r="J5597" t="str">
        <f>PROPER(shipments[[#This Row],[delivery_status]])</f>
        <v>Delivered</v>
      </c>
      <c r="K5597" t="s">
        <v>6929</v>
      </c>
    </row>
    <row r="5598" spans="1:11">
      <c r="A5598" t="s">
        <v>12534</v>
      </c>
      <c r="B5598" t="s">
        <v>6174</v>
      </c>
      <c r="C5598" t="s">
        <v>6928</v>
      </c>
      <c r="D5598" s="1">
        <v>45301</v>
      </c>
      <c r="E5598" s="1">
        <v>45308</v>
      </c>
      <c r="F5598" s="1"/>
      <c r="G5598">
        <v>50.7</v>
      </c>
      <c r="H55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598" t="str">
        <f>IFERROR(INDEX(Raw_orders!G:G, MATCH(shipments[[#This Row],[order_id]],Raw_orders!A:A, 0)), "Unknown")</f>
        <v>Nordics</v>
      </c>
      <c r="J5598" t="str">
        <f>PROPER(shipments[[#This Row],[delivery_status]])</f>
        <v>In Transit</v>
      </c>
      <c r="K5598" t="s">
        <v>6958</v>
      </c>
    </row>
    <row r="5599" spans="1:11">
      <c r="A5599" t="s">
        <v>12535</v>
      </c>
      <c r="B5599" t="s">
        <v>6174</v>
      </c>
      <c r="C5599" t="s">
        <v>6928</v>
      </c>
      <c r="D5599" s="1">
        <v>45302</v>
      </c>
      <c r="E5599" s="1">
        <v>45304</v>
      </c>
      <c r="F5599" s="1">
        <v>45318</v>
      </c>
      <c r="G5599">
        <v>7.8</v>
      </c>
      <c r="H55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599" t="str">
        <f>IFERROR(INDEX(Raw_orders!G:G, MATCH(shipments[[#This Row],[order_id]],Raw_orders!A:A, 0)), "Unknown")</f>
        <v>Nordics</v>
      </c>
      <c r="J5599" t="str">
        <f>PROPER(shipments[[#This Row],[delivery_status]])</f>
        <v>Delivered</v>
      </c>
      <c r="K5599" t="s">
        <v>6929</v>
      </c>
    </row>
    <row r="5600" spans="1:11">
      <c r="A5600" t="s">
        <v>12536</v>
      </c>
      <c r="B5600" t="s">
        <v>6175</v>
      </c>
      <c r="C5600" t="s">
        <v>6935</v>
      </c>
      <c r="D5600" s="1">
        <v>45573</v>
      </c>
      <c r="E5600" s="1">
        <v>45575</v>
      </c>
      <c r="F5600" s="1">
        <v>45576</v>
      </c>
      <c r="G5600">
        <v>55.56</v>
      </c>
      <c r="H56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00" t="str">
        <f>IFERROR(INDEX(Raw_orders!G:G, MATCH(shipments[[#This Row],[order_id]],Raw_orders!A:A, 0)), "Unknown")</f>
        <v>Nordics</v>
      </c>
      <c r="J5600" t="str">
        <f>PROPER(shipments[[#This Row],[delivery_status]])</f>
        <v>Delivered</v>
      </c>
      <c r="K5600" t="s">
        <v>6922</v>
      </c>
    </row>
    <row r="5601" spans="1:11">
      <c r="A5601" t="s">
        <v>12537</v>
      </c>
      <c r="B5601" t="s">
        <v>6176</v>
      </c>
      <c r="C5601" t="s">
        <v>6938</v>
      </c>
      <c r="D5601" s="1">
        <v>44953</v>
      </c>
      <c r="E5601" s="1">
        <v>44960</v>
      </c>
      <c r="F5601" s="1">
        <v>44968</v>
      </c>
      <c r="G5601">
        <v>21.38</v>
      </c>
      <c r="H56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01" t="str">
        <f>IFERROR(INDEX(Raw_orders!G:G, MATCH(shipments[[#This Row],[order_id]],Raw_orders!A:A, 0)), "Unknown")</f>
        <v>Central Europe</v>
      </c>
      <c r="J5601" t="str">
        <f>PROPER(shipments[[#This Row],[delivery_status]])</f>
        <v>Delivered</v>
      </c>
      <c r="K5601" t="s">
        <v>6922</v>
      </c>
    </row>
    <row r="5602" spans="1:11">
      <c r="A5602" t="s">
        <v>12538</v>
      </c>
      <c r="B5602" t="s">
        <v>6177</v>
      </c>
      <c r="C5602" t="s">
        <v>6931</v>
      </c>
      <c r="D5602" s="1">
        <v>45258</v>
      </c>
      <c r="E5602" s="1">
        <v>45261</v>
      </c>
      <c r="F5602" s="1">
        <v>45261</v>
      </c>
      <c r="G5602">
        <v>56.37</v>
      </c>
      <c r="H56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02" t="str">
        <f>IFERROR(INDEX(Raw_orders!G:G, MATCH(shipments[[#This Row],[order_id]],Raw_orders!A:A, 0)), "Unknown")</f>
        <v>Baltics</v>
      </c>
      <c r="J5602" t="str">
        <f>PROPER(shipments[[#This Row],[delivery_status]])</f>
        <v>Delivered</v>
      </c>
      <c r="K5602" t="s">
        <v>6922</v>
      </c>
    </row>
    <row r="5603" spans="1:11">
      <c r="A5603" t="s">
        <v>12539</v>
      </c>
      <c r="B5603" t="s">
        <v>6178</v>
      </c>
      <c r="C5603" t="s">
        <v>6940</v>
      </c>
      <c r="D5603" s="1">
        <v>45350</v>
      </c>
      <c r="E5603" s="1">
        <v>45360</v>
      </c>
      <c r="F5603" s="1">
        <v>45363</v>
      </c>
      <c r="G5603">
        <v>24.74</v>
      </c>
      <c r="H56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03" t="str">
        <f>IFERROR(INDEX(Raw_orders!G:G, MATCH(shipments[[#This Row],[order_id]],Raw_orders!A:A, 0)), "Unknown")</f>
        <v>Baltics</v>
      </c>
      <c r="J5603" t="str">
        <f>PROPER(shipments[[#This Row],[delivery_status]])</f>
        <v>Delivered</v>
      </c>
      <c r="K5603" t="s">
        <v>6922</v>
      </c>
    </row>
    <row r="5604" spans="1:11">
      <c r="A5604" t="s">
        <v>12540</v>
      </c>
      <c r="B5604" t="s">
        <v>6179</v>
      </c>
      <c r="C5604" t="s">
        <v>6938</v>
      </c>
      <c r="D5604" s="1">
        <v>45535</v>
      </c>
      <c r="E5604" s="1">
        <v>45538</v>
      </c>
      <c r="F5604" s="1">
        <v>45538</v>
      </c>
      <c r="G5604">
        <v>10.69</v>
      </c>
      <c r="H56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04" t="str">
        <f>IFERROR(INDEX(Raw_orders!G:G, MATCH(shipments[[#This Row],[order_id]],Raw_orders!A:A, 0)), "Unknown")</f>
        <v>Nordics</v>
      </c>
      <c r="J5604" t="str">
        <f>PROPER(shipments[[#This Row],[delivery_status]])</f>
        <v>Delivered</v>
      </c>
      <c r="K5604" t="s">
        <v>6926</v>
      </c>
    </row>
    <row r="5605" spans="1:11">
      <c r="A5605" t="s">
        <v>12541</v>
      </c>
      <c r="B5605" t="s">
        <v>6180</v>
      </c>
      <c r="C5605" t="s">
        <v>6940</v>
      </c>
      <c r="D5605" s="1">
        <v>45286</v>
      </c>
      <c r="E5605" s="1">
        <v>45288</v>
      </c>
      <c r="F5605" s="1">
        <v>45292</v>
      </c>
      <c r="G5605">
        <v>51.81</v>
      </c>
      <c r="H56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05" t="str">
        <f>IFERROR(INDEX(Raw_orders!G:G, MATCH(shipments[[#This Row],[order_id]],Raw_orders!A:A, 0)), "Unknown")</f>
        <v>Central Europe</v>
      </c>
      <c r="J5605" t="str">
        <f>PROPER(shipments[[#This Row],[delivery_status]])</f>
        <v>Delivered</v>
      </c>
      <c r="K5605" t="s">
        <v>6926</v>
      </c>
    </row>
    <row r="5606" spans="1:11">
      <c r="A5606" t="s">
        <v>12542</v>
      </c>
      <c r="B5606" t="s">
        <v>6181</v>
      </c>
      <c r="C5606" t="s">
        <v>6938</v>
      </c>
      <c r="D5606" s="1">
        <v>45139</v>
      </c>
      <c r="E5606" s="1">
        <v>45144</v>
      </c>
      <c r="F5606" s="1">
        <v>45155</v>
      </c>
      <c r="H56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06" t="str">
        <f>IFERROR(INDEX(Raw_orders!G:G, MATCH(shipments[[#This Row],[order_id]],Raw_orders!A:A, 0)), "Unknown")</f>
        <v>Central Europe</v>
      </c>
      <c r="J5606" t="str">
        <f>PROPER(shipments[[#This Row],[delivery_status]])</f>
        <v>Delivered</v>
      </c>
      <c r="K5606" t="s">
        <v>6922</v>
      </c>
    </row>
    <row r="5607" spans="1:11">
      <c r="A5607" t="s">
        <v>12543</v>
      </c>
      <c r="B5607" t="s">
        <v>6182</v>
      </c>
      <c r="C5607" t="s">
        <v>6949</v>
      </c>
      <c r="D5607" s="1">
        <v>45001</v>
      </c>
      <c r="E5607" s="1">
        <v>45008</v>
      </c>
      <c r="F5607" s="1"/>
      <c r="G5607">
        <v>53.47</v>
      </c>
      <c r="H56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607" t="str">
        <f>IFERROR(INDEX(Raw_orders!G:G, MATCH(shipments[[#This Row],[order_id]],Raw_orders!A:A, 0)), "Unknown")</f>
        <v>Central Europe</v>
      </c>
      <c r="J5607" t="str">
        <f>PROPER(shipments[[#This Row],[delivery_status]])</f>
        <v>In Transit</v>
      </c>
      <c r="K5607" t="s">
        <v>6977</v>
      </c>
    </row>
    <row r="5608" spans="1:11">
      <c r="A5608" t="s">
        <v>12544</v>
      </c>
      <c r="B5608" t="s">
        <v>6183</v>
      </c>
      <c r="C5608" t="s">
        <v>6928</v>
      </c>
      <c r="D5608" s="1">
        <v>45020</v>
      </c>
      <c r="E5608" s="1">
        <v>45025</v>
      </c>
      <c r="F5608" s="1">
        <v>45036</v>
      </c>
      <c r="G5608">
        <v>8.39</v>
      </c>
      <c r="H56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08" t="str">
        <f>IFERROR(INDEX(Raw_orders!G:G, MATCH(shipments[[#This Row],[order_id]],Raw_orders!A:A, 0)), "Unknown")</f>
        <v>Nordics</v>
      </c>
      <c r="J5608" t="str">
        <f>PROPER(shipments[[#This Row],[delivery_status]])</f>
        <v>Delivered</v>
      </c>
      <c r="K5608" t="s">
        <v>6922</v>
      </c>
    </row>
    <row r="5609" spans="1:11">
      <c r="A5609" t="s">
        <v>12545</v>
      </c>
      <c r="B5609" t="s">
        <v>6184</v>
      </c>
      <c r="C5609" t="s">
        <v>6935</v>
      </c>
      <c r="D5609" s="1">
        <v>44985</v>
      </c>
      <c r="E5609" s="1">
        <v>44995</v>
      </c>
      <c r="F5609" s="1">
        <v>45006</v>
      </c>
      <c r="G5609">
        <v>5.46</v>
      </c>
      <c r="H56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09" t="str">
        <f>IFERROR(INDEX(Raw_orders!G:G, MATCH(shipments[[#This Row],[order_id]],Raw_orders!A:A, 0)), "Unknown")</f>
        <v>Central Europe</v>
      </c>
      <c r="J5609" t="str">
        <f>PROPER(shipments[[#This Row],[delivery_status]])</f>
        <v>Delivered</v>
      </c>
      <c r="K5609" t="s">
        <v>6929</v>
      </c>
    </row>
    <row r="5610" spans="1:11">
      <c r="A5610" t="s">
        <v>12546</v>
      </c>
      <c r="B5610" t="s">
        <v>6185</v>
      </c>
      <c r="C5610" t="s">
        <v>6931</v>
      </c>
      <c r="D5610" s="1">
        <v>44935</v>
      </c>
      <c r="E5610" s="1">
        <v>44937</v>
      </c>
      <c r="F5610" s="1">
        <v>44946</v>
      </c>
      <c r="G5610">
        <v>13.83</v>
      </c>
      <c r="H56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10" t="str">
        <f>IFERROR(INDEX(Raw_orders!G:G, MATCH(shipments[[#This Row],[order_id]],Raw_orders!A:A, 0)), "Unknown")</f>
        <v>Nordics</v>
      </c>
      <c r="J5610" t="str">
        <f>PROPER(shipments[[#This Row],[delivery_status]])</f>
        <v>Delivered</v>
      </c>
      <c r="K5610" t="s">
        <v>6926</v>
      </c>
    </row>
    <row r="5611" spans="1:11">
      <c r="A5611" t="s">
        <v>12547</v>
      </c>
      <c r="B5611" t="s">
        <v>6186</v>
      </c>
      <c r="C5611" t="s">
        <v>6921</v>
      </c>
      <c r="D5611" s="1">
        <v>45387</v>
      </c>
      <c r="E5611" s="1">
        <v>45389</v>
      </c>
      <c r="F5611" s="1">
        <v>45391</v>
      </c>
      <c r="G5611">
        <v>9.7899999999999991</v>
      </c>
      <c r="H56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11" t="str">
        <f>IFERROR(INDEX(Raw_orders!G:G, MATCH(shipments[[#This Row],[order_id]],Raw_orders!A:A, 0)), "Unknown")</f>
        <v>Nordics</v>
      </c>
      <c r="J5611" t="str">
        <f>PROPER(shipments[[#This Row],[delivery_status]])</f>
        <v>Delivered</v>
      </c>
      <c r="K5611" t="s">
        <v>6922</v>
      </c>
    </row>
    <row r="5612" spans="1:11">
      <c r="A5612" t="s">
        <v>12548</v>
      </c>
      <c r="B5612" t="s">
        <v>6186</v>
      </c>
      <c r="C5612" t="s">
        <v>6928</v>
      </c>
      <c r="D5612" s="1">
        <v>45387</v>
      </c>
      <c r="E5612" s="1">
        <v>45390</v>
      </c>
      <c r="F5612" s="1"/>
      <c r="G5612">
        <v>10.88</v>
      </c>
      <c r="H56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612" t="str">
        <f>IFERROR(INDEX(Raw_orders!G:G, MATCH(shipments[[#This Row],[order_id]],Raw_orders!A:A, 0)), "Unknown")</f>
        <v>Nordics</v>
      </c>
      <c r="J5612" t="str">
        <f>PROPER(shipments[[#This Row],[delivery_status]])</f>
        <v>In Transit</v>
      </c>
      <c r="K5612" t="s">
        <v>6946</v>
      </c>
    </row>
    <row r="5613" spans="1:11">
      <c r="A5613" t="s">
        <v>12549</v>
      </c>
      <c r="B5613" t="s">
        <v>6187</v>
      </c>
      <c r="C5613" t="s">
        <v>6956</v>
      </c>
      <c r="D5613" s="1">
        <v>45117</v>
      </c>
      <c r="E5613" s="1">
        <v>45120</v>
      </c>
      <c r="F5613" s="1">
        <v>45120</v>
      </c>
      <c r="G5613">
        <v>21.1</v>
      </c>
      <c r="H56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13" t="str">
        <f>IFERROR(INDEX(Raw_orders!G:G, MATCH(shipments[[#This Row],[order_id]],Raw_orders!A:A, 0)), "Unknown")</f>
        <v>Baltics</v>
      </c>
      <c r="J5613" t="str">
        <f>PROPER(shipments[[#This Row],[delivery_status]])</f>
        <v>Delivered</v>
      </c>
      <c r="K5613" t="s">
        <v>6926</v>
      </c>
    </row>
    <row r="5614" spans="1:11">
      <c r="A5614" t="s">
        <v>12550</v>
      </c>
      <c r="B5614" t="s">
        <v>6188</v>
      </c>
      <c r="C5614" t="s">
        <v>6921</v>
      </c>
      <c r="D5614" s="1">
        <v>44982</v>
      </c>
      <c r="E5614" s="1">
        <v>44992</v>
      </c>
      <c r="F5614" s="1">
        <v>44992</v>
      </c>
      <c r="G5614">
        <v>49.14</v>
      </c>
      <c r="H56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14" t="str">
        <f>IFERROR(INDEX(Raw_orders!G:G, MATCH(shipments[[#This Row],[order_id]],Raw_orders!A:A, 0)), "Unknown")</f>
        <v>Nordics</v>
      </c>
      <c r="J5614" t="str">
        <f>PROPER(shipments[[#This Row],[delivery_status]])</f>
        <v>Delivered</v>
      </c>
      <c r="K5614" t="s">
        <v>6929</v>
      </c>
    </row>
    <row r="5615" spans="1:11">
      <c r="A5615" t="s">
        <v>12551</v>
      </c>
      <c r="B5615" t="s">
        <v>6189</v>
      </c>
      <c r="C5615" t="s">
        <v>6935</v>
      </c>
      <c r="D5615" s="1">
        <v>45610</v>
      </c>
      <c r="E5615" s="1">
        <v>45612</v>
      </c>
      <c r="F5615" s="1">
        <v>45625</v>
      </c>
      <c r="G5615">
        <v>51.9</v>
      </c>
      <c r="H56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15" t="str">
        <f>IFERROR(INDEX(Raw_orders!G:G, MATCH(shipments[[#This Row],[order_id]],Raw_orders!A:A, 0)), "Unknown")</f>
        <v>Central Europe</v>
      </c>
      <c r="J5615" t="str">
        <f>PROPER(shipments[[#This Row],[delivery_status]])</f>
        <v>Delivered</v>
      </c>
      <c r="K5615" t="s">
        <v>6922</v>
      </c>
    </row>
    <row r="5616" spans="1:11">
      <c r="A5616" t="s">
        <v>12552</v>
      </c>
      <c r="B5616" t="s">
        <v>6190</v>
      </c>
      <c r="C5616" t="s">
        <v>6956</v>
      </c>
      <c r="D5616" s="1">
        <v>45281</v>
      </c>
      <c r="E5616" s="1">
        <v>45288</v>
      </c>
      <c r="F5616" s="1">
        <v>45296</v>
      </c>
      <c r="G5616">
        <v>15.05</v>
      </c>
      <c r="H56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16" t="str">
        <f>IFERROR(INDEX(Raw_orders!G:G, MATCH(shipments[[#This Row],[order_id]],Raw_orders!A:A, 0)), "Unknown")</f>
        <v>Baltics</v>
      </c>
      <c r="J5616" t="str">
        <f>PROPER(shipments[[#This Row],[delivery_status]])</f>
        <v>Delivered</v>
      </c>
      <c r="K5616" t="s">
        <v>6922</v>
      </c>
    </row>
    <row r="5617" spans="1:11">
      <c r="A5617" t="s">
        <v>12553</v>
      </c>
      <c r="B5617" t="s">
        <v>6190</v>
      </c>
      <c r="C5617" t="s">
        <v>6928</v>
      </c>
      <c r="D5617" s="1">
        <v>45281</v>
      </c>
      <c r="E5617" s="1">
        <v>45284</v>
      </c>
      <c r="F5617" s="1"/>
      <c r="G5617">
        <v>58.52</v>
      </c>
      <c r="H56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617" t="str">
        <f>IFERROR(INDEX(Raw_orders!G:G, MATCH(shipments[[#This Row],[order_id]],Raw_orders!A:A, 0)), "Unknown")</f>
        <v>Baltics</v>
      </c>
      <c r="J5617" t="str">
        <f>PROPER(shipments[[#This Row],[delivery_status]])</f>
        <v>Cancelled</v>
      </c>
      <c r="K5617" t="s">
        <v>6963</v>
      </c>
    </row>
    <row r="5618" spans="1:11">
      <c r="A5618" t="s">
        <v>12554</v>
      </c>
      <c r="B5618" t="s">
        <v>6191</v>
      </c>
      <c r="C5618" t="s">
        <v>6940</v>
      </c>
      <c r="D5618" s="1">
        <v>45578</v>
      </c>
      <c r="E5618" s="1">
        <v>45583</v>
      </c>
      <c r="F5618" s="1">
        <v>45584</v>
      </c>
      <c r="G5618">
        <v>15.7</v>
      </c>
      <c r="H56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18" t="str">
        <f>IFERROR(INDEX(Raw_orders!G:G, MATCH(shipments[[#This Row],[order_id]],Raw_orders!A:A, 0)), "Unknown")</f>
        <v>Central Europe</v>
      </c>
      <c r="J5618" t="str">
        <f>PROPER(shipments[[#This Row],[delivery_status]])</f>
        <v>Delivered</v>
      </c>
      <c r="K5618" t="s">
        <v>6926</v>
      </c>
    </row>
    <row r="5619" spans="1:11">
      <c r="A5619" t="s">
        <v>12555</v>
      </c>
      <c r="B5619" t="s">
        <v>6192</v>
      </c>
      <c r="C5619" t="s">
        <v>6938</v>
      </c>
      <c r="D5619" s="1">
        <v>45018</v>
      </c>
      <c r="E5619" s="1">
        <v>45028</v>
      </c>
      <c r="F5619" s="1">
        <v>45028</v>
      </c>
      <c r="G5619">
        <v>24.99</v>
      </c>
      <c r="H56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19" t="str">
        <f>IFERROR(INDEX(Raw_orders!G:G, MATCH(shipments[[#This Row],[order_id]],Raw_orders!A:A, 0)), "Unknown")</f>
        <v>Central Europe</v>
      </c>
      <c r="J5619" t="str">
        <f>PROPER(shipments[[#This Row],[delivery_status]])</f>
        <v>Delivered</v>
      </c>
      <c r="K5619" t="s">
        <v>6922</v>
      </c>
    </row>
    <row r="5620" spans="1:11">
      <c r="A5620" t="s">
        <v>12556</v>
      </c>
      <c r="B5620" t="s">
        <v>6193</v>
      </c>
      <c r="C5620" t="s">
        <v>6928</v>
      </c>
      <c r="D5620" s="1">
        <v>45206</v>
      </c>
      <c r="E5620" s="1">
        <v>45209</v>
      </c>
      <c r="F5620" s="1">
        <v>45210</v>
      </c>
      <c r="G5620">
        <v>30.75</v>
      </c>
      <c r="H56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20" t="str">
        <f>IFERROR(INDEX(Raw_orders!G:G, MATCH(shipments[[#This Row],[order_id]],Raw_orders!A:A, 0)), "Unknown")</f>
        <v>Nordics</v>
      </c>
      <c r="J5620" t="str">
        <f>PROPER(shipments[[#This Row],[delivery_status]])</f>
        <v>Delivered</v>
      </c>
      <c r="K5620" t="s">
        <v>6922</v>
      </c>
    </row>
    <row r="5621" spans="1:11">
      <c r="A5621" t="s">
        <v>12557</v>
      </c>
      <c r="B5621" t="s">
        <v>6194</v>
      </c>
      <c r="C5621" t="s">
        <v>6931</v>
      </c>
      <c r="D5621" s="1">
        <v>45189</v>
      </c>
      <c r="E5621" s="1">
        <v>45196</v>
      </c>
      <c r="F5621" s="1">
        <v>45196</v>
      </c>
      <c r="G5621">
        <v>14.1</v>
      </c>
      <c r="H56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21" t="str">
        <f>IFERROR(INDEX(Raw_orders!G:G, MATCH(shipments[[#This Row],[order_id]],Raw_orders!A:A, 0)), "Unknown")</f>
        <v>Nordics</v>
      </c>
      <c r="J5621" t="str">
        <f>PROPER(shipments[[#This Row],[delivery_status]])</f>
        <v>Delivered</v>
      </c>
      <c r="K5621" t="s">
        <v>6929</v>
      </c>
    </row>
    <row r="5622" spans="1:11">
      <c r="A5622" t="s">
        <v>12558</v>
      </c>
      <c r="B5622" t="s">
        <v>6195</v>
      </c>
      <c r="C5622" t="s">
        <v>6935</v>
      </c>
      <c r="D5622" s="1">
        <v>44932</v>
      </c>
      <c r="E5622" s="1">
        <v>44939</v>
      </c>
      <c r="F5622" s="1">
        <v>44938</v>
      </c>
      <c r="G5622">
        <v>41.54</v>
      </c>
      <c r="H56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22" t="str">
        <f>IFERROR(INDEX(Raw_orders!G:G, MATCH(shipments[[#This Row],[order_id]],Raw_orders!A:A, 0)), "Unknown")</f>
        <v>Nordics</v>
      </c>
      <c r="J5622" t="str">
        <f>PROPER(shipments[[#This Row],[delivery_status]])</f>
        <v>Delivered</v>
      </c>
      <c r="K5622" t="s">
        <v>6926</v>
      </c>
    </row>
    <row r="5623" spans="1:11">
      <c r="A5623" t="s">
        <v>12559</v>
      </c>
      <c r="B5623" t="s">
        <v>6196</v>
      </c>
      <c r="C5623" t="s">
        <v>6938</v>
      </c>
      <c r="D5623" s="1">
        <v>45064</v>
      </c>
      <c r="E5623" s="1">
        <v>45074</v>
      </c>
      <c r="F5623" s="1">
        <v>45073</v>
      </c>
      <c r="G5623">
        <v>17.23</v>
      </c>
      <c r="H56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23" t="str">
        <f>IFERROR(INDEX(Raw_orders!G:G, MATCH(shipments[[#This Row],[order_id]],Raw_orders!A:A, 0)), "Unknown")</f>
        <v>Baltics</v>
      </c>
      <c r="J5623" t="str">
        <f>PROPER(shipments[[#This Row],[delivery_status]])</f>
        <v>Delivered</v>
      </c>
      <c r="K5623" t="s">
        <v>6926</v>
      </c>
    </row>
    <row r="5624" spans="1:11">
      <c r="A5624" t="s">
        <v>12560</v>
      </c>
      <c r="B5624" t="s">
        <v>6197</v>
      </c>
      <c r="C5624" t="s">
        <v>6921</v>
      </c>
      <c r="D5624" s="1">
        <v>45552</v>
      </c>
      <c r="E5624" s="1">
        <v>45554</v>
      </c>
      <c r="F5624" s="1">
        <v>45562</v>
      </c>
      <c r="G5624">
        <v>41.7</v>
      </c>
      <c r="H56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24" t="str">
        <f>IFERROR(INDEX(Raw_orders!G:G, MATCH(shipments[[#This Row],[order_id]],Raw_orders!A:A, 0)), "Unknown")</f>
        <v>Nordics</v>
      </c>
      <c r="J5624" t="str">
        <f>PROPER(shipments[[#This Row],[delivery_status]])</f>
        <v>Delivered</v>
      </c>
      <c r="K5624" t="s">
        <v>6929</v>
      </c>
    </row>
    <row r="5625" spans="1:11">
      <c r="A5625" t="s">
        <v>12561</v>
      </c>
      <c r="B5625" t="s">
        <v>6198</v>
      </c>
      <c r="C5625" t="s">
        <v>6928</v>
      </c>
      <c r="D5625" s="1">
        <v>45504</v>
      </c>
      <c r="E5625" s="1">
        <v>45509</v>
      </c>
      <c r="F5625" s="1"/>
      <c r="G5625">
        <v>46.92</v>
      </c>
      <c r="H56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625" t="str">
        <f>IFERROR(INDEX(Raw_orders!G:G, MATCH(shipments[[#This Row],[order_id]],Raw_orders!A:A, 0)), "Unknown")</f>
        <v>Baltics</v>
      </c>
      <c r="J5625" t="str">
        <f>PROPER(shipments[[#This Row],[delivery_status]])</f>
        <v>In Transit</v>
      </c>
      <c r="K5625" t="s">
        <v>6977</v>
      </c>
    </row>
    <row r="5626" spans="1:11">
      <c r="A5626" t="s">
        <v>12562</v>
      </c>
      <c r="B5626" t="s">
        <v>6199</v>
      </c>
      <c r="C5626" t="s">
        <v>6928</v>
      </c>
      <c r="D5626" s="1">
        <v>45131</v>
      </c>
      <c r="E5626" s="1">
        <v>45141</v>
      </c>
      <c r="F5626" s="1"/>
      <c r="G5626">
        <v>33.83</v>
      </c>
      <c r="H56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626" t="str">
        <f>IFERROR(INDEX(Raw_orders!G:G, MATCH(shipments[[#This Row],[order_id]],Raw_orders!A:A, 0)), "Unknown")</f>
        <v>Nordics</v>
      </c>
      <c r="J5626" t="str">
        <f>PROPER(shipments[[#This Row],[delivery_status]])</f>
        <v>Cancelled</v>
      </c>
      <c r="K5626" t="s">
        <v>6963</v>
      </c>
    </row>
    <row r="5627" spans="1:11">
      <c r="A5627" t="s">
        <v>12563</v>
      </c>
      <c r="B5627" t="s">
        <v>6200</v>
      </c>
      <c r="C5627" t="s">
        <v>6928</v>
      </c>
      <c r="D5627" s="1">
        <v>45072</v>
      </c>
      <c r="E5627" s="1">
        <v>45082</v>
      </c>
      <c r="F5627" s="1"/>
      <c r="G5627">
        <v>56.93</v>
      </c>
      <c r="H56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627" t="str">
        <f>IFERROR(INDEX(Raw_orders!G:G, MATCH(shipments[[#This Row],[order_id]],Raw_orders!A:A, 0)), "Unknown")</f>
        <v>Baltics</v>
      </c>
      <c r="J5627" t="str">
        <f>PROPER(shipments[[#This Row],[delivery_status]])</f>
        <v>In Transit</v>
      </c>
      <c r="K5627" t="s">
        <v>6946</v>
      </c>
    </row>
    <row r="5628" spans="1:11">
      <c r="A5628" t="s">
        <v>12564</v>
      </c>
      <c r="B5628" t="s">
        <v>6201</v>
      </c>
      <c r="C5628" t="s">
        <v>6925</v>
      </c>
      <c r="D5628" s="1">
        <v>45295</v>
      </c>
      <c r="E5628" s="1">
        <v>45300</v>
      </c>
      <c r="F5628" s="1">
        <v>45300</v>
      </c>
      <c r="G5628">
        <v>32.19</v>
      </c>
      <c r="H56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28" t="str">
        <f>IFERROR(INDEX(Raw_orders!G:G, MATCH(shipments[[#This Row],[order_id]],Raw_orders!A:A, 0)), "Unknown")</f>
        <v>Central Europe</v>
      </c>
      <c r="J5628" t="str">
        <f>PROPER(shipments[[#This Row],[delivery_status]])</f>
        <v>Delivered</v>
      </c>
      <c r="K5628" t="s">
        <v>6922</v>
      </c>
    </row>
    <row r="5629" spans="1:11">
      <c r="A5629" t="s">
        <v>12565</v>
      </c>
      <c r="B5629" t="s">
        <v>6202</v>
      </c>
      <c r="C5629" t="s">
        <v>6940</v>
      </c>
      <c r="D5629" s="1">
        <v>45361</v>
      </c>
      <c r="E5629" s="1">
        <v>45363</v>
      </c>
      <c r="F5629" s="1">
        <v>45363</v>
      </c>
      <c r="G5629">
        <v>58.84</v>
      </c>
      <c r="H56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29" t="str">
        <f>IFERROR(INDEX(Raw_orders!G:G, MATCH(shipments[[#This Row],[order_id]],Raw_orders!A:A, 0)), "Unknown")</f>
        <v>Baltics</v>
      </c>
      <c r="J5629" t="str">
        <f>PROPER(shipments[[#This Row],[delivery_status]])</f>
        <v>Delivered</v>
      </c>
      <c r="K5629" t="s">
        <v>6929</v>
      </c>
    </row>
    <row r="5630" spans="1:11">
      <c r="A5630" t="s">
        <v>12566</v>
      </c>
      <c r="B5630" t="s">
        <v>6203</v>
      </c>
      <c r="C5630" t="s">
        <v>6935</v>
      </c>
      <c r="D5630" s="1">
        <v>45511</v>
      </c>
      <c r="E5630" s="1">
        <v>45516</v>
      </c>
      <c r="F5630" s="1">
        <v>45515</v>
      </c>
      <c r="G5630">
        <v>21.74</v>
      </c>
      <c r="H56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30" t="str">
        <f>IFERROR(INDEX(Raw_orders!G:G, MATCH(shipments[[#This Row],[order_id]],Raw_orders!A:A, 0)), "Unknown")</f>
        <v>Nordics</v>
      </c>
      <c r="J5630" t="str">
        <f>PROPER(shipments[[#This Row],[delivery_status]])</f>
        <v>Delivered</v>
      </c>
      <c r="K5630" t="s">
        <v>6929</v>
      </c>
    </row>
    <row r="5631" spans="1:11">
      <c r="A5631" t="s">
        <v>12567</v>
      </c>
      <c r="B5631" t="s">
        <v>6204</v>
      </c>
      <c r="C5631" t="s">
        <v>6925</v>
      </c>
      <c r="D5631" s="1">
        <v>45297</v>
      </c>
      <c r="E5631" s="1">
        <v>45304</v>
      </c>
      <c r="F5631" s="1">
        <v>45303</v>
      </c>
      <c r="G5631">
        <v>25.49</v>
      </c>
      <c r="H56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31" t="str">
        <f>IFERROR(INDEX(Raw_orders!G:G, MATCH(shipments[[#This Row],[order_id]],Raw_orders!A:A, 0)), "Unknown")</f>
        <v>Nordics</v>
      </c>
      <c r="J5631" t="str">
        <f>PROPER(shipments[[#This Row],[delivery_status]])</f>
        <v>Delivered</v>
      </c>
      <c r="K5631" t="s">
        <v>6926</v>
      </c>
    </row>
    <row r="5632" spans="1:11">
      <c r="A5632" t="s">
        <v>12568</v>
      </c>
      <c r="B5632" t="s">
        <v>6205</v>
      </c>
      <c r="C5632" t="s">
        <v>6928</v>
      </c>
      <c r="D5632" s="1">
        <v>45243</v>
      </c>
      <c r="E5632" s="1">
        <v>45250</v>
      </c>
      <c r="F5632" s="1">
        <v>45255</v>
      </c>
      <c r="G5632">
        <v>11.05</v>
      </c>
      <c r="H56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32" t="str">
        <f>IFERROR(INDEX(Raw_orders!G:G, MATCH(shipments[[#This Row],[order_id]],Raw_orders!A:A, 0)), "Unknown")</f>
        <v>Central Europe</v>
      </c>
      <c r="J5632" t="str">
        <f>PROPER(shipments[[#This Row],[delivery_status]])</f>
        <v>Delivered</v>
      </c>
      <c r="K5632" t="s">
        <v>6922</v>
      </c>
    </row>
    <row r="5633" spans="1:11">
      <c r="A5633" t="s">
        <v>12569</v>
      </c>
      <c r="B5633" t="s">
        <v>6206</v>
      </c>
      <c r="C5633" t="s">
        <v>6935</v>
      </c>
      <c r="D5633" s="1">
        <v>45097</v>
      </c>
      <c r="E5633" s="1">
        <v>45107</v>
      </c>
      <c r="F5633" s="1"/>
      <c r="G5633">
        <v>32.43</v>
      </c>
      <c r="H56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633" t="str">
        <f>IFERROR(INDEX(Raw_orders!G:G, MATCH(shipments[[#This Row],[order_id]],Raw_orders!A:A, 0)), "Unknown")</f>
        <v>Baltics</v>
      </c>
      <c r="J5633" t="str">
        <f>PROPER(shipments[[#This Row],[delivery_status]])</f>
        <v>In Transit</v>
      </c>
      <c r="K5633" t="s">
        <v>6958</v>
      </c>
    </row>
    <row r="5634" spans="1:11">
      <c r="A5634" t="s">
        <v>12570</v>
      </c>
      <c r="B5634" t="s">
        <v>6206</v>
      </c>
      <c r="C5634" t="s">
        <v>6921</v>
      </c>
      <c r="D5634" s="1">
        <v>45096</v>
      </c>
      <c r="E5634" s="1">
        <v>45101</v>
      </c>
      <c r="F5634" s="1">
        <v>45106</v>
      </c>
      <c r="G5634">
        <v>16.36</v>
      </c>
      <c r="H56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34" t="str">
        <f>IFERROR(INDEX(Raw_orders!G:G, MATCH(shipments[[#This Row],[order_id]],Raw_orders!A:A, 0)), "Unknown")</f>
        <v>Baltics</v>
      </c>
      <c r="J5634" t="str">
        <f>PROPER(shipments[[#This Row],[delivery_status]])</f>
        <v>Delivered</v>
      </c>
      <c r="K5634" t="s">
        <v>6922</v>
      </c>
    </row>
    <row r="5635" spans="1:11">
      <c r="A5635" t="s">
        <v>12571</v>
      </c>
      <c r="B5635" t="s">
        <v>6207</v>
      </c>
      <c r="C5635" t="s">
        <v>6931</v>
      </c>
      <c r="D5635" s="1">
        <v>45029</v>
      </c>
      <c r="E5635" s="1">
        <v>45036</v>
      </c>
      <c r="F5635" s="1">
        <v>45035</v>
      </c>
      <c r="G5635">
        <v>18.29</v>
      </c>
      <c r="H56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35" t="str">
        <f>IFERROR(INDEX(Raw_orders!G:G, MATCH(shipments[[#This Row],[order_id]],Raw_orders!A:A, 0)), "Unknown")</f>
        <v>Nordics</v>
      </c>
      <c r="J5635" t="str">
        <f>PROPER(shipments[[#This Row],[delivery_status]])</f>
        <v>Delivered</v>
      </c>
      <c r="K5635" t="s">
        <v>6922</v>
      </c>
    </row>
    <row r="5636" spans="1:11">
      <c r="A5636" t="s">
        <v>12572</v>
      </c>
      <c r="B5636" t="s">
        <v>6208</v>
      </c>
      <c r="C5636" t="s">
        <v>6928</v>
      </c>
      <c r="D5636" s="1">
        <v>45323</v>
      </c>
      <c r="E5636" s="1">
        <v>45325</v>
      </c>
      <c r="F5636" s="1">
        <v>45326</v>
      </c>
      <c r="G5636">
        <v>32.46</v>
      </c>
      <c r="H56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36" t="str">
        <f>IFERROR(INDEX(Raw_orders!G:G, MATCH(shipments[[#This Row],[order_id]],Raw_orders!A:A, 0)), "Unknown")</f>
        <v>Nordics</v>
      </c>
      <c r="J5636" t="str">
        <f>PROPER(shipments[[#This Row],[delivery_status]])</f>
        <v>Delivered</v>
      </c>
      <c r="K5636" t="s">
        <v>6926</v>
      </c>
    </row>
    <row r="5637" spans="1:11">
      <c r="A5637" t="s">
        <v>12573</v>
      </c>
      <c r="B5637" t="s">
        <v>6209</v>
      </c>
      <c r="C5637" t="s">
        <v>6940</v>
      </c>
      <c r="D5637" s="1">
        <v>45505</v>
      </c>
      <c r="E5637" s="1">
        <v>45512</v>
      </c>
      <c r="F5637" s="1">
        <v>45525</v>
      </c>
      <c r="G5637">
        <v>14.65</v>
      </c>
      <c r="H56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37" t="str">
        <f>IFERROR(INDEX(Raw_orders!G:G, MATCH(shipments[[#This Row],[order_id]],Raw_orders!A:A, 0)), "Unknown")</f>
        <v>Nordics</v>
      </c>
      <c r="J5637" t="str">
        <f>PROPER(shipments[[#This Row],[delivery_status]])</f>
        <v>Delivered</v>
      </c>
      <c r="K5637" t="s">
        <v>6922</v>
      </c>
    </row>
    <row r="5638" spans="1:11">
      <c r="A5638" t="s">
        <v>12574</v>
      </c>
      <c r="B5638" t="s">
        <v>6210</v>
      </c>
      <c r="C5638" t="s">
        <v>6925</v>
      </c>
      <c r="D5638" s="1">
        <v>45350</v>
      </c>
      <c r="E5638" s="1">
        <v>45360</v>
      </c>
      <c r="F5638" s="1">
        <v>45360</v>
      </c>
      <c r="G5638">
        <v>30.99</v>
      </c>
      <c r="H56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38" t="str">
        <f>IFERROR(INDEX(Raw_orders!G:G, MATCH(shipments[[#This Row],[order_id]],Raw_orders!A:A, 0)), "Unknown")</f>
        <v>Central Europe</v>
      </c>
      <c r="J5638" t="str">
        <f>PROPER(shipments[[#This Row],[delivery_status]])</f>
        <v>Delivered</v>
      </c>
      <c r="K5638" t="s">
        <v>6926</v>
      </c>
    </row>
    <row r="5639" spans="1:11">
      <c r="A5639" t="s">
        <v>12575</v>
      </c>
      <c r="B5639" t="s">
        <v>6211</v>
      </c>
      <c r="C5639" t="s">
        <v>6938</v>
      </c>
      <c r="D5639" s="1">
        <v>45541</v>
      </c>
      <c r="E5639" s="1">
        <v>45543</v>
      </c>
      <c r="F5639" s="1">
        <v>45542</v>
      </c>
      <c r="G5639">
        <v>24.17</v>
      </c>
      <c r="H56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39" t="str">
        <f>IFERROR(INDEX(Raw_orders!G:G, MATCH(shipments[[#This Row],[order_id]],Raw_orders!A:A, 0)), "Unknown")</f>
        <v>Baltics</v>
      </c>
      <c r="J5639" t="str">
        <f>PROPER(shipments[[#This Row],[delivery_status]])</f>
        <v>Delivered</v>
      </c>
      <c r="K5639" t="s">
        <v>6922</v>
      </c>
    </row>
    <row r="5640" spans="1:11">
      <c r="A5640" t="s">
        <v>12576</v>
      </c>
      <c r="B5640" t="s">
        <v>6212</v>
      </c>
      <c r="C5640" t="s">
        <v>6935</v>
      </c>
      <c r="D5640" s="1">
        <v>45023</v>
      </c>
      <c r="E5640" s="1">
        <v>45025</v>
      </c>
      <c r="F5640" s="1">
        <v>45024</v>
      </c>
      <c r="G5640">
        <v>26.09</v>
      </c>
      <c r="H56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40" t="str">
        <f>IFERROR(INDEX(Raw_orders!G:G, MATCH(shipments[[#This Row],[order_id]],Raw_orders!A:A, 0)), "Unknown")</f>
        <v>Baltics</v>
      </c>
      <c r="J5640" t="str">
        <f>PROPER(shipments[[#This Row],[delivery_status]])</f>
        <v>Delivered</v>
      </c>
      <c r="K5640" t="s">
        <v>6922</v>
      </c>
    </row>
    <row r="5641" spans="1:11">
      <c r="A5641" t="s">
        <v>12577</v>
      </c>
      <c r="B5641" t="s">
        <v>6213</v>
      </c>
      <c r="C5641" t="s">
        <v>6921</v>
      </c>
      <c r="D5641" s="1">
        <v>45161</v>
      </c>
      <c r="E5641" s="1">
        <v>45168</v>
      </c>
      <c r="F5641" s="1">
        <v>45168</v>
      </c>
      <c r="G5641">
        <v>49.52</v>
      </c>
      <c r="H56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41" t="str">
        <f>IFERROR(INDEX(Raw_orders!G:G, MATCH(shipments[[#This Row],[order_id]],Raw_orders!A:A, 0)), "Unknown")</f>
        <v>Nordics</v>
      </c>
      <c r="J5641" t="str">
        <f>PROPER(shipments[[#This Row],[delivery_status]])</f>
        <v>Delivered</v>
      </c>
      <c r="K5641" t="s">
        <v>6926</v>
      </c>
    </row>
    <row r="5642" spans="1:11">
      <c r="A5642" t="s">
        <v>12578</v>
      </c>
      <c r="B5642" t="s">
        <v>6214</v>
      </c>
      <c r="C5642" t="s">
        <v>6938</v>
      </c>
      <c r="D5642" s="1">
        <v>44982</v>
      </c>
      <c r="E5642" s="1">
        <v>44989</v>
      </c>
      <c r="F5642" s="1">
        <v>44994</v>
      </c>
      <c r="G5642">
        <v>58.89</v>
      </c>
      <c r="H56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42" t="str">
        <f>IFERROR(INDEX(Raw_orders!G:G, MATCH(shipments[[#This Row],[order_id]],Raw_orders!A:A, 0)), "Unknown")</f>
        <v>Central Europe</v>
      </c>
      <c r="J5642" t="str">
        <f>PROPER(shipments[[#This Row],[delivery_status]])</f>
        <v>Delivered</v>
      </c>
      <c r="K5642" t="s">
        <v>6929</v>
      </c>
    </row>
    <row r="5643" spans="1:11">
      <c r="A5643" t="s">
        <v>12579</v>
      </c>
      <c r="B5643" t="s">
        <v>6215</v>
      </c>
      <c r="C5643" t="s">
        <v>6931</v>
      </c>
      <c r="D5643" s="1">
        <v>45443</v>
      </c>
      <c r="E5643" s="1">
        <v>45446</v>
      </c>
      <c r="F5643" s="1">
        <v>45448</v>
      </c>
      <c r="G5643">
        <v>37.659999999999997</v>
      </c>
      <c r="H56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43" t="str">
        <f>IFERROR(INDEX(Raw_orders!G:G, MATCH(shipments[[#This Row],[order_id]],Raw_orders!A:A, 0)), "Unknown")</f>
        <v>Central Europe</v>
      </c>
      <c r="J5643" t="str">
        <f>PROPER(shipments[[#This Row],[delivery_status]])</f>
        <v>Delivered</v>
      </c>
      <c r="K5643" t="s">
        <v>6926</v>
      </c>
    </row>
    <row r="5644" spans="1:11">
      <c r="A5644" t="s">
        <v>12580</v>
      </c>
      <c r="B5644" t="s">
        <v>6216</v>
      </c>
      <c r="C5644" t="s">
        <v>6921</v>
      </c>
      <c r="D5644" s="1">
        <v>45578</v>
      </c>
      <c r="E5644" s="1">
        <v>45583</v>
      </c>
      <c r="F5644" s="1">
        <v>45583</v>
      </c>
      <c r="G5644">
        <v>47.69</v>
      </c>
      <c r="H56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44" t="str">
        <f>IFERROR(INDEX(Raw_orders!G:G, MATCH(shipments[[#This Row],[order_id]],Raw_orders!A:A, 0)), "Unknown")</f>
        <v>Central Europe</v>
      </c>
      <c r="J5644" t="str">
        <f>PROPER(shipments[[#This Row],[delivery_status]])</f>
        <v>Delivered</v>
      </c>
      <c r="K5644" t="s">
        <v>6926</v>
      </c>
    </row>
    <row r="5645" spans="1:11">
      <c r="A5645" t="s">
        <v>12581</v>
      </c>
      <c r="B5645" t="s">
        <v>6217</v>
      </c>
      <c r="C5645" t="s">
        <v>6925</v>
      </c>
      <c r="D5645" s="1">
        <v>45584</v>
      </c>
      <c r="E5645" s="1">
        <v>45586</v>
      </c>
      <c r="F5645" s="1">
        <v>45589</v>
      </c>
      <c r="G5645">
        <v>45.01</v>
      </c>
      <c r="H56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45" t="str">
        <f>IFERROR(INDEX(Raw_orders!G:G, MATCH(shipments[[#This Row],[order_id]],Raw_orders!A:A, 0)), "Unknown")</f>
        <v>Nordics</v>
      </c>
      <c r="J5645" t="str">
        <f>PROPER(shipments[[#This Row],[delivery_status]])</f>
        <v>Delivered</v>
      </c>
      <c r="K5645" t="s">
        <v>6922</v>
      </c>
    </row>
    <row r="5646" spans="1:11">
      <c r="A5646" t="s">
        <v>12582</v>
      </c>
      <c r="B5646" t="s">
        <v>6218</v>
      </c>
      <c r="C5646" t="s">
        <v>6921</v>
      </c>
      <c r="D5646" s="1">
        <v>45357</v>
      </c>
      <c r="E5646" s="1">
        <v>45367</v>
      </c>
      <c r="F5646" s="1">
        <v>45367</v>
      </c>
      <c r="G5646">
        <v>11.46</v>
      </c>
      <c r="H56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46" t="str">
        <f>IFERROR(INDEX(Raw_orders!G:G, MATCH(shipments[[#This Row],[order_id]],Raw_orders!A:A, 0)), "Unknown")</f>
        <v>Nordics</v>
      </c>
      <c r="J5646" t="str">
        <f>PROPER(shipments[[#This Row],[delivery_status]])</f>
        <v>Delivered</v>
      </c>
      <c r="K5646" t="s">
        <v>6929</v>
      </c>
    </row>
    <row r="5647" spans="1:11">
      <c r="A5647" t="s">
        <v>12583</v>
      </c>
      <c r="B5647" t="s">
        <v>6219</v>
      </c>
      <c r="C5647" t="s">
        <v>6921</v>
      </c>
      <c r="D5647" s="1">
        <v>45052</v>
      </c>
      <c r="E5647" s="1">
        <v>45059</v>
      </c>
      <c r="F5647" s="1">
        <v>45058</v>
      </c>
      <c r="G5647">
        <v>28.7</v>
      </c>
      <c r="H56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47" t="str">
        <f>IFERROR(INDEX(Raw_orders!G:G, MATCH(shipments[[#This Row],[order_id]],Raw_orders!A:A, 0)), "Unknown")</f>
        <v>Baltics</v>
      </c>
      <c r="J5647" t="str">
        <f>PROPER(shipments[[#This Row],[delivery_status]])</f>
        <v>Delivered</v>
      </c>
      <c r="K5647" t="s">
        <v>6929</v>
      </c>
    </row>
    <row r="5648" spans="1:11">
      <c r="A5648" t="s">
        <v>12584</v>
      </c>
      <c r="B5648" t="s">
        <v>6220</v>
      </c>
      <c r="C5648" t="s">
        <v>6956</v>
      </c>
      <c r="D5648" s="1">
        <v>45414</v>
      </c>
      <c r="E5648" s="1">
        <v>45419</v>
      </c>
      <c r="F5648" s="1">
        <v>45418</v>
      </c>
      <c r="G5648">
        <v>35.049999999999997</v>
      </c>
      <c r="H56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48" t="str">
        <f>IFERROR(INDEX(Raw_orders!G:G, MATCH(shipments[[#This Row],[order_id]],Raw_orders!A:A, 0)), "Unknown")</f>
        <v>Nordics</v>
      </c>
      <c r="J5648" t="str">
        <f>PROPER(shipments[[#This Row],[delivery_status]])</f>
        <v>Delivered</v>
      </c>
      <c r="K5648" t="s">
        <v>6929</v>
      </c>
    </row>
    <row r="5649" spans="1:11">
      <c r="A5649" t="s">
        <v>12585</v>
      </c>
      <c r="B5649" t="s">
        <v>6221</v>
      </c>
      <c r="C5649" t="s">
        <v>6956</v>
      </c>
      <c r="D5649" s="1">
        <v>45191</v>
      </c>
      <c r="E5649" s="1">
        <v>45196</v>
      </c>
      <c r="F5649" s="1">
        <v>45196</v>
      </c>
      <c r="G5649">
        <v>56.41</v>
      </c>
      <c r="H56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49" t="str">
        <f>IFERROR(INDEX(Raw_orders!G:G, MATCH(shipments[[#This Row],[order_id]],Raw_orders!A:A, 0)), "Unknown")</f>
        <v>Nordics</v>
      </c>
      <c r="J5649" t="str">
        <f>PROPER(shipments[[#This Row],[delivery_status]])</f>
        <v>Delivered</v>
      </c>
      <c r="K5649" t="s">
        <v>6926</v>
      </c>
    </row>
    <row r="5650" spans="1:11">
      <c r="A5650" t="s">
        <v>12586</v>
      </c>
      <c r="B5650" t="s">
        <v>6221</v>
      </c>
      <c r="C5650" t="s">
        <v>6938</v>
      </c>
      <c r="D5650" s="1">
        <v>45192</v>
      </c>
      <c r="E5650" s="1">
        <v>45194</v>
      </c>
      <c r="F5650" s="1">
        <v>45193</v>
      </c>
      <c r="G5650">
        <v>45.04</v>
      </c>
      <c r="H56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50" t="str">
        <f>IFERROR(INDEX(Raw_orders!G:G, MATCH(shipments[[#This Row],[order_id]],Raw_orders!A:A, 0)), "Unknown")</f>
        <v>Nordics</v>
      </c>
      <c r="J5650" t="str">
        <f>PROPER(shipments[[#This Row],[delivery_status]])</f>
        <v>Delivered</v>
      </c>
      <c r="K5650" t="s">
        <v>6926</v>
      </c>
    </row>
    <row r="5651" spans="1:11">
      <c r="A5651" t="s">
        <v>12587</v>
      </c>
      <c r="B5651" t="s">
        <v>6222</v>
      </c>
      <c r="C5651" t="s">
        <v>6940</v>
      </c>
      <c r="D5651" s="1">
        <v>45462</v>
      </c>
      <c r="E5651" s="1">
        <v>45464</v>
      </c>
      <c r="F5651" s="1"/>
      <c r="G5651">
        <v>50.89</v>
      </c>
      <c r="H56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651" t="str">
        <f>IFERROR(INDEX(Raw_orders!G:G, MATCH(shipments[[#This Row],[order_id]],Raw_orders!A:A, 0)), "Unknown")</f>
        <v>Baltics</v>
      </c>
      <c r="J5651" t="str">
        <f>PROPER(shipments[[#This Row],[delivery_status]])</f>
        <v>Cancelled</v>
      </c>
      <c r="K5651" t="s">
        <v>6979</v>
      </c>
    </row>
    <row r="5652" spans="1:11">
      <c r="A5652" t="s">
        <v>12588</v>
      </c>
      <c r="B5652" t="s">
        <v>6223</v>
      </c>
      <c r="C5652" t="s">
        <v>6925</v>
      </c>
      <c r="D5652" s="1">
        <v>45234</v>
      </c>
      <c r="E5652" s="1">
        <v>45236</v>
      </c>
      <c r="F5652" s="1">
        <v>45241</v>
      </c>
      <c r="G5652">
        <v>43.56</v>
      </c>
      <c r="H56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52" t="str">
        <f>IFERROR(INDEX(Raw_orders!G:G, MATCH(shipments[[#This Row],[order_id]],Raw_orders!A:A, 0)), "Unknown")</f>
        <v>Nordics</v>
      </c>
      <c r="J5652" t="str">
        <f>PROPER(shipments[[#This Row],[delivery_status]])</f>
        <v>Delivered</v>
      </c>
      <c r="K5652" t="s">
        <v>6929</v>
      </c>
    </row>
    <row r="5653" spans="1:11">
      <c r="A5653" t="s">
        <v>12589</v>
      </c>
      <c r="B5653" t="s">
        <v>6224</v>
      </c>
      <c r="C5653" t="s">
        <v>6928</v>
      </c>
      <c r="D5653" s="1">
        <v>45170</v>
      </c>
      <c r="E5653" s="1">
        <v>45172</v>
      </c>
      <c r="F5653" s="1">
        <v>45175</v>
      </c>
      <c r="H56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53" t="str">
        <f>IFERROR(INDEX(Raw_orders!G:G, MATCH(shipments[[#This Row],[order_id]],Raw_orders!A:A, 0)), "Unknown")</f>
        <v>Baltics</v>
      </c>
      <c r="J5653" t="str">
        <f>PROPER(shipments[[#This Row],[delivery_status]])</f>
        <v>Delivered</v>
      </c>
      <c r="K5653" t="s">
        <v>6922</v>
      </c>
    </row>
    <row r="5654" spans="1:11">
      <c r="A5654" t="s">
        <v>12590</v>
      </c>
      <c r="B5654" t="s">
        <v>6225</v>
      </c>
      <c r="C5654" t="s">
        <v>6925</v>
      </c>
      <c r="D5654" s="1">
        <v>45484</v>
      </c>
      <c r="E5654" s="1">
        <v>45489</v>
      </c>
      <c r="F5654" s="1">
        <v>45497</v>
      </c>
      <c r="G5654">
        <v>40.869999999999997</v>
      </c>
      <c r="H56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54" t="str">
        <f>IFERROR(INDEX(Raw_orders!G:G, MATCH(shipments[[#This Row],[order_id]],Raw_orders!A:A, 0)), "Unknown")</f>
        <v>Baltics</v>
      </c>
      <c r="J5654" t="str">
        <f>PROPER(shipments[[#This Row],[delivery_status]])</f>
        <v>Delivered</v>
      </c>
      <c r="K5654" t="s">
        <v>6922</v>
      </c>
    </row>
    <row r="5655" spans="1:11">
      <c r="A5655" t="s">
        <v>12591</v>
      </c>
      <c r="B5655" t="s">
        <v>6226</v>
      </c>
      <c r="C5655" t="s">
        <v>6938</v>
      </c>
      <c r="D5655" s="1">
        <v>45195</v>
      </c>
      <c r="E5655" s="1">
        <v>45205</v>
      </c>
      <c r="F5655" s="1">
        <v>45208</v>
      </c>
      <c r="G5655">
        <v>53.13</v>
      </c>
      <c r="H56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55" t="str">
        <f>IFERROR(INDEX(Raw_orders!G:G, MATCH(shipments[[#This Row],[order_id]],Raw_orders!A:A, 0)), "Unknown")</f>
        <v>Nordics</v>
      </c>
      <c r="J5655" t="str">
        <f>PROPER(shipments[[#This Row],[delivery_status]])</f>
        <v>Delivered</v>
      </c>
      <c r="K5655" t="s">
        <v>6929</v>
      </c>
    </row>
    <row r="5656" spans="1:11">
      <c r="A5656" t="s">
        <v>12592</v>
      </c>
      <c r="B5656" t="s">
        <v>6227</v>
      </c>
      <c r="C5656" t="s">
        <v>6921</v>
      </c>
      <c r="D5656" s="1">
        <v>44983</v>
      </c>
      <c r="E5656" s="1">
        <v>44985</v>
      </c>
      <c r="F5656" s="1"/>
      <c r="G5656">
        <v>15.47</v>
      </c>
      <c r="H56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656" t="str">
        <f>IFERROR(INDEX(Raw_orders!G:G, MATCH(shipments[[#This Row],[order_id]],Raw_orders!A:A, 0)), "Unknown")</f>
        <v>Nordics</v>
      </c>
      <c r="J5656" t="str">
        <f>PROPER(shipments[[#This Row],[delivery_status]])</f>
        <v>In Transit</v>
      </c>
      <c r="K5656" t="s">
        <v>6958</v>
      </c>
    </row>
    <row r="5657" spans="1:11">
      <c r="A5657" t="s">
        <v>12593</v>
      </c>
      <c r="B5657" t="s">
        <v>6228</v>
      </c>
      <c r="C5657" t="s">
        <v>6931</v>
      </c>
      <c r="D5657" s="1">
        <v>45208</v>
      </c>
      <c r="E5657" s="1">
        <v>45218</v>
      </c>
      <c r="F5657" s="1">
        <v>45217</v>
      </c>
      <c r="G5657">
        <v>48.14</v>
      </c>
      <c r="H56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57" t="str">
        <f>IFERROR(INDEX(Raw_orders!G:G, MATCH(shipments[[#This Row],[order_id]],Raw_orders!A:A, 0)), "Unknown")</f>
        <v>Baltics</v>
      </c>
      <c r="J5657" t="str">
        <f>PROPER(shipments[[#This Row],[delivery_status]])</f>
        <v>Delivered</v>
      </c>
      <c r="K5657" t="s">
        <v>6922</v>
      </c>
    </row>
    <row r="5658" spans="1:11">
      <c r="A5658" t="s">
        <v>12594</v>
      </c>
      <c r="B5658" t="s">
        <v>6229</v>
      </c>
      <c r="C5658" t="s">
        <v>6938</v>
      </c>
      <c r="D5658" s="1">
        <v>45535</v>
      </c>
      <c r="E5658" s="1">
        <v>45538</v>
      </c>
      <c r="F5658" s="1">
        <v>45541</v>
      </c>
      <c r="G5658">
        <v>37.770000000000003</v>
      </c>
      <c r="H56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58" t="str">
        <f>IFERROR(INDEX(Raw_orders!G:G, MATCH(shipments[[#This Row],[order_id]],Raw_orders!A:A, 0)), "Unknown")</f>
        <v>Nordics</v>
      </c>
      <c r="J5658" t="str">
        <f>PROPER(shipments[[#This Row],[delivery_status]])</f>
        <v>Delivered</v>
      </c>
      <c r="K5658" t="s">
        <v>6922</v>
      </c>
    </row>
    <row r="5659" spans="1:11">
      <c r="A5659" t="s">
        <v>12595</v>
      </c>
      <c r="B5659" t="s">
        <v>6230</v>
      </c>
      <c r="C5659" t="s">
        <v>6925</v>
      </c>
      <c r="D5659" s="1">
        <v>45190</v>
      </c>
      <c r="E5659" s="1">
        <v>45192</v>
      </c>
      <c r="F5659" s="1">
        <v>45192</v>
      </c>
      <c r="G5659">
        <v>63.62</v>
      </c>
      <c r="H56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59" t="str">
        <f>IFERROR(INDEX(Raw_orders!G:G, MATCH(shipments[[#This Row],[order_id]],Raw_orders!A:A, 0)), "Unknown")</f>
        <v>Nordics</v>
      </c>
      <c r="J5659" t="str">
        <f>PROPER(shipments[[#This Row],[delivery_status]])</f>
        <v>Delivered</v>
      </c>
      <c r="K5659" t="s">
        <v>6922</v>
      </c>
    </row>
    <row r="5660" spans="1:11">
      <c r="A5660" t="s">
        <v>12596</v>
      </c>
      <c r="B5660" t="s">
        <v>6231</v>
      </c>
      <c r="C5660" t="s">
        <v>6956</v>
      </c>
      <c r="D5660" s="1">
        <v>44999</v>
      </c>
      <c r="E5660" s="1">
        <v>45004</v>
      </c>
      <c r="F5660" s="1">
        <v>45005</v>
      </c>
      <c r="G5660">
        <v>61.38</v>
      </c>
      <c r="H56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60" t="str">
        <f>IFERROR(INDEX(Raw_orders!G:G, MATCH(shipments[[#This Row],[order_id]],Raw_orders!A:A, 0)), "Unknown")</f>
        <v>Baltics</v>
      </c>
      <c r="J5660" t="str">
        <f>PROPER(shipments[[#This Row],[delivery_status]])</f>
        <v>Delivered</v>
      </c>
      <c r="K5660" t="s">
        <v>6922</v>
      </c>
    </row>
    <row r="5661" spans="1:11">
      <c r="A5661" t="s">
        <v>12597</v>
      </c>
      <c r="B5661" t="s">
        <v>6232</v>
      </c>
      <c r="C5661" t="s">
        <v>6935</v>
      </c>
      <c r="D5661" s="1">
        <v>45300</v>
      </c>
      <c r="E5661" s="1">
        <v>45303</v>
      </c>
      <c r="F5661" s="1">
        <v>45303</v>
      </c>
      <c r="G5661">
        <v>21.5</v>
      </c>
      <c r="H56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61" t="str">
        <f>IFERROR(INDEX(Raw_orders!G:G, MATCH(shipments[[#This Row],[order_id]],Raw_orders!A:A, 0)), "Unknown")</f>
        <v>Nordics</v>
      </c>
      <c r="J5661" t="str">
        <f>PROPER(shipments[[#This Row],[delivery_status]])</f>
        <v>Delivered</v>
      </c>
      <c r="K5661" t="s">
        <v>6926</v>
      </c>
    </row>
    <row r="5662" spans="1:11">
      <c r="A5662" t="s">
        <v>12598</v>
      </c>
      <c r="B5662" t="s">
        <v>6233</v>
      </c>
      <c r="C5662" t="s">
        <v>6931</v>
      </c>
      <c r="D5662" s="1">
        <v>45505</v>
      </c>
      <c r="E5662" s="1">
        <v>45512</v>
      </c>
      <c r="F5662" s="1">
        <v>45519</v>
      </c>
      <c r="G5662">
        <v>36.75</v>
      </c>
      <c r="H56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62" t="str">
        <f>IFERROR(INDEX(Raw_orders!G:G, MATCH(shipments[[#This Row],[order_id]],Raw_orders!A:A, 0)), "Unknown")</f>
        <v>Central Europe</v>
      </c>
      <c r="J5662" t="str">
        <f>PROPER(shipments[[#This Row],[delivery_status]])</f>
        <v>Delivered</v>
      </c>
      <c r="K5662" t="s">
        <v>6926</v>
      </c>
    </row>
    <row r="5663" spans="1:11">
      <c r="A5663" t="s">
        <v>12599</v>
      </c>
      <c r="B5663" t="s">
        <v>6233</v>
      </c>
      <c r="C5663" t="s">
        <v>6949</v>
      </c>
      <c r="D5663" s="1">
        <v>45505</v>
      </c>
      <c r="E5663" s="1">
        <v>45515</v>
      </c>
      <c r="F5663" s="1"/>
      <c r="G5663">
        <v>14.53</v>
      </c>
      <c r="H56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663" t="str">
        <f>IFERROR(INDEX(Raw_orders!G:G, MATCH(shipments[[#This Row],[order_id]],Raw_orders!A:A, 0)), "Unknown")</f>
        <v>Central Europe</v>
      </c>
      <c r="J5663" t="str">
        <f>PROPER(shipments[[#This Row],[delivery_status]])</f>
        <v>Cancelled</v>
      </c>
      <c r="K5663" t="s">
        <v>6963</v>
      </c>
    </row>
    <row r="5664" spans="1:11">
      <c r="A5664" t="s">
        <v>12600</v>
      </c>
      <c r="B5664" t="s">
        <v>6234</v>
      </c>
      <c r="C5664" t="s">
        <v>6921</v>
      </c>
      <c r="D5664" s="1">
        <v>45415</v>
      </c>
      <c r="E5664" s="1">
        <v>45422</v>
      </c>
      <c r="F5664" s="1">
        <v>45421</v>
      </c>
      <c r="G5664">
        <v>49.72</v>
      </c>
      <c r="H56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64" t="str">
        <f>IFERROR(INDEX(Raw_orders!G:G, MATCH(shipments[[#This Row],[order_id]],Raw_orders!A:A, 0)), "Unknown")</f>
        <v>Nordics</v>
      </c>
      <c r="J5664" t="str">
        <f>PROPER(shipments[[#This Row],[delivery_status]])</f>
        <v>Delivered</v>
      </c>
      <c r="K5664" t="s">
        <v>6922</v>
      </c>
    </row>
    <row r="5665" spans="1:11">
      <c r="A5665" t="s">
        <v>12601</v>
      </c>
      <c r="B5665" t="s">
        <v>6235</v>
      </c>
      <c r="C5665" t="s">
        <v>6925</v>
      </c>
      <c r="D5665" s="1">
        <v>45036</v>
      </c>
      <c r="E5665" s="1">
        <v>45041</v>
      </c>
      <c r="F5665" s="1">
        <v>45044</v>
      </c>
      <c r="G5665">
        <v>44.18</v>
      </c>
      <c r="H56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65" t="str">
        <f>IFERROR(INDEX(Raw_orders!G:G, MATCH(shipments[[#This Row],[order_id]],Raw_orders!A:A, 0)), "Unknown")</f>
        <v>Nordics</v>
      </c>
      <c r="J5665" t="str">
        <f>PROPER(shipments[[#This Row],[delivery_status]])</f>
        <v>Delivered</v>
      </c>
      <c r="K5665" t="s">
        <v>6929</v>
      </c>
    </row>
    <row r="5666" spans="1:11">
      <c r="A5666" t="s">
        <v>12602</v>
      </c>
      <c r="B5666" t="s">
        <v>6236</v>
      </c>
      <c r="C5666" t="s">
        <v>6940</v>
      </c>
      <c r="D5666" s="1">
        <v>45214</v>
      </c>
      <c r="E5666" s="1">
        <v>45221</v>
      </c>
      <c r="F5666" s="1">
        <v>45222</v>
      </c>
      <c r="G5666">
        <v>53.71</v>
      </c>
      <c r="H56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66" t="str">
        <f>IFERROR(INDEX(Raw_orders!G:G, MATCH(shipments[[#This Row],[order_id]],Raw_orders!A:A, 0)), "Unknown")</f>
        <v>Central Europe</v>
      </c>
      <c r="J5666" t="str">
        <f>PROPER(shipments[[#This Row],[delivery_status]])</f>
        <v>Delivered</v>
      </c>
      <c r="K5666" t="s">
        <v>6926</v>
      </c>
    </row>
    <row r="5667" spans="1:11">
      <c r="A5667" t="s">
        <v>12603</v>
      </c>
      <c r="B5667" t="s">
        <v>6237</v>
      </c>
      <c r="C5667" t="s">
        <v>6928</v>
      </c>
      <c r="D5667" s="1">
        <v>45519</v>
      </c>
      <c r="E5667" s="1">
        <v>45529</v>
      </c>
      <c r="F5667" s="1"/>
      <c r="G5667">
        <v>35.729999999999997</v>
      </c>
      <c r="H56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667" t="str">
        <f>IFERROR(INDEX(Raw_orders!G:G, MATCH(shipments[[#This Row],[order_id]],Raw_orders!A:A, 0)), "Unknown")</f>
        <v>Baltics</v>
      </c>
      <c r="J5667" t="str">
        <f>PROPER(shipments[[#This Row],[delivery_status]])</f>
        <v>Cancelled</v>
      </c>
      <c r="K5667" t="s">
        <v>6979</v>
      </c>
    </row>
    <row r="5668" spans="1:11">
      <c r="A5668" t="s">
        <v>12604</v>
      </c>
      <c r="B5668" t="s">
        <v>6238</v>
      </c>
      <c r="C5668" t="s">
        <v>6921</v>
      </c>
      <c r="D5668" s="1">
        <v>44998</v>
      </c>
      <c r="E5668" s="1">
        <v>45001</v>
      </c>
      <c r="F5668" s="1">
        <v>45009</v>
      </c>
      <c r="G5668">
        <v>8.34</v>
      </c>
      <c r="H56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68" t="str">
        <f>IFERROR(INDEX(Raw_orders!G:G, MATCH(shipments[[#This Row],[order_id]],Raw_orders!A:A, 0)), "Unknown")</f>
        <v>Baltics</v>
      </c>
      <c r="J5668" t="str">
        <f>PROPER(shipments[[#This Row],[delivery_status]])</f>
        <v>Delivered</v>
      </c>
      <c r="K5668" t="s">
        <v>6926</v>
      </c>
    </row>
    <row r="5669" spans="1:11">
      <c r="A5669" t="s">
        <v>12605</v>
      </c>
      <c r="B5669" t="s">
        <v>6239</v>
      </c>
      <c r="C5669" t="s">
        <v>6925</v>
      </c>
      <c r="D5669" s="1">
        <v>44971</v>
      </c>
      <c r="E5669" s="1">
        <v>44978</v>
      </c>
      <c r="F5669" s="1">
        <v>44980</v>
      </c>
      <c r="G5669">
        <v>35.94</v>
      </c>
      <c r="H56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69" t="str">
        <f>IFERROR(INDEX(Raw_orders!G:G, MATCH(shipments[[#This Row],[order_id]],Raw_orders!A:A, 0)), "Unknown")</f>
        <v>Baltics</v>
      </c>
      <c r="J5669" t="str">
        <f>PROPER(shipments[[#This Row],[delivery_status]])</f>
        <v>Delivered</v>
      </c>
      <c r="K5669" t="s">
        <v>6922</v>
      </c>
    </row>
    <row r="5670" spans="1:11">
      <c r="A5670" t="s">
        <v>12606</v>
      </c>
      <c r="B5670" t="s">
        <v>6240</v>
      </c>
      <c r="C5670" t="s">
        <v>6956</v>
      </c>
      <c r="D5670" s="1">
        <v>45107</v>
      </c>
      <c r="E5670" s="1">
        <v>45114</v>
      </c>
      <c r="F5670" s="1">
        <v>45114</v>
      </c>
      <c r="G5670">
        <v>53.84</v>
      </c>
      <c r="H56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70" t="str">
        <f>IFERROR(INDEX(Raw_orders!G:G, MATCH(shipments[[#This Row],[order_id]],Raw_orders!A:A, 0)), "Unknown")</f>
        <v>Central Europe</v>
      </c>
      <c r="J5670" t="str">
        <f>PROPER(shipments[[#This Row],[delivery_status]])</f>
        <v>Delivered</v>
      </c>
      <c r="K5670" t="s">
        <v>6922</v>
      </c>
    </row>
    <row r="5671" spans="1:11">
      <c r="A5671" t="s">
        <v>12607</v>
      </c>
      <c r="B5671" t="s">
        <v>6240</v>
      </c>
      <c r="C5671" t="s">
        <v>6925</v>
      </c>
      <c r="D5671" s="1">
        <v>45108</v>
      </c>
      <c r="E5671" s="1">
        <v>45115</v>
      </c>
      <c r="F5671" s="1">
        <v>45118</v>
      </c>
      <c r="G5671">
        <v>19.149999999999999</v>
      </c>
      <c r="H56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71" t="str">
        <f>IFERROR(INDEX(Raw_orders!G:G, MATCH(shipments[[#This Row],[order_id]],Raw_orders!A:A, 0)), "Unknown")</f>
        <v>Central Europe</v>
      </c>
      <c r="J5671" t="str">
        <f>PROPER(shipments[[#This Row],[delivery_status]])</f>
        <v>Delivered</v>
      </c>
      <c r="K5671" t="s">
        <v>6926</v>
      </c>
    </row>
    <row r="5672" spans="1:11">
      <c r="A5672" t="s">
        <v>12608</v>
      </c>
      <c r="B5672" t="s">
        <v>6241</v>
      </c>
      <c r="C5672" t="s">
        <v>6928</v>
      </c>
      <c r="D5672" s="1">
        <v>45388</v>
      </c>
      <c r="E5672" s="1">
        <v>45398</v>
      </c>
      <c r="F5672" s="1">
        <v>45398</v>
      </c>
      <c r="G5672">
        <v>35.26</v>
      </c>
      <c r="H56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72" t="str">
        <f>IFERROR(INDEX(Raw_orders!G:G, MATCH(shipments[[#This Row],[order_id]],Raw_orders!A:A, 0)), "Unknown")</f>
        <v>Central Europe</v>
      </c>
      <c r="J5672" t="str">
        <f>PROPER(shipments[[#This Row],[delivery_status]])</f>
        <v>Delivered</v>
      </c>
      <c r="K5672" t="s">
        <v>6929</v>
      </c>
    </row>
    <row r="5673" spans="1:11">
      <c r="A5673" t="s">
        <v>12609</v>
      </c>
      <c r="B5673" t="s">
        <v>6242</v>
      </c>
      <c r="C5673" t="s">
        <v>6938</v>
      </c>
      <c r="D5673" s="1">
        <v>45178</v>
      </c>
      <c r="E5673" s="1">
        <v>45188</v>
      </c>
      <c r="F5673" s="1">
        <v>45187</v>
      </c>
      <c r="G5673">
        <v>20.62</v>
      </c>
      <c r="H56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73" t="str">
        <f>IFERROR(INDEX(Raw_orders!G:G, MATCH(shipments[[#This Row],[order_id]],Raw_orders!A:A, 0)), "Unknown")</f>
        <v>Nordics</v>
      </c>
      <c r="J5673" t="str">
        <f>PROPER(shipments[[#This Row],[delivery_status]])</f>
        <v>Delivered</v>
      </c>
      <c r="K5673" t="s">
        <v>6926</v>
      </c>
    </row>
    <row r="5674" spans="1:11">
      <c r="A5674" t="s">
        <v>12610</v>
      </c>
      <c r="B5674" t="s">
        <v>6243</v>
      </c>
      <c r="C5674" t="s">
        <v>6921</v>
      </c>
      <c r="D5674" s="1">
        <v>45162</v>
      </c>
      <c r="E5674" s="1">
        <v>45169</v>
      </c>
      <c r="F5674" s="1">
        <v>45169</v>
      </c>
      <c r="G5674">
        <v>60.17</v>
      </c>
      <c r="H56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74" t="str">
        <f>IFERROR(INDEX(Raw_orders!G:G, MATCH(shipments[[#This Row],[order_id]],Raw_orders!A:A, 0)), "Unknown")</f>
        <v>Nordics</v>
      </c>
      <c r="J5674" t="str">
        <f>PROPER(shipments[[#This Row],[delivery_status]])</f>
        <v>Delivered</v>
      </c>
      <c r="K5674" t="s">
        <v>6922</v>
      </c>
    </row>
    <row r="5675" spans="1:11">
      <c r="A5675" t="s">
        <v>12611</v>
      </c>
      <c r="B5675" t="s">
        <v>6244</v>
      </c>
      <c r="C5675" t="s">
        <v>6956</v>
      </c>
      <c r="D5675" s="1">
        <v>45124</v>
      </c>
      <c r="E5675" s="1">
        <v>45126</v>
      </c>
      <c r="F5675" s="1">
        <v>45126</v>
      </c>
      <c r="G5675">
        <v>62.1</v>
      </c>
      <c r="H56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75" t="str">
        <f>IFERROR(INDEX(Raw_orders!G:G, MATCH(shipments[[#This Row],[order_id]],Raw_orders!A:A, 0)), "Unknown")</f>
        <v>Nordics</v>
      </c>
      <c r="J5675" t="str">
        <f>PROPER(shipments[[#This Row],[delivery_status]])</f>
        <v>Delivered</v>
      </c>
      <c r="K5675" t="s">
        <v>6926</v>
      </c>
    </row>
    <row r="5676" spans="1:11">
      <c r="A5676" t="s">
        <v>12612</v>
      </c>
      <c r="B5676" t="s">
        <v>6245</v>
      </c>
      <c r="C5676" t="s">
        <v>6925</v>
      </c>
      <c r="D5676" s="1">
        <v>45157</v>
      </c>
      <c r="E5676" s="1">
        <v>45164</v>
      </c>
      <c r="F5676" s="1"/>
      <c r="G5676">
        <v>23.41</v>
      </c>
      <c r="H56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676" t="str">
        <f>IFERROR(INDEX(Raw_orders!G:G, MATCH(shipments[[#This Row],[order_id]],Raw_orders!A:A, 0)), "Unknown")</f>
        <v>Central Europe</v>
      </c>
      <c r="J5676" t="str">
        <f>PROPER(shipments[[#This Row],[delivery_status]])</f>
        <v>Cancelled</v>
      </c>
      <c r="K5676" t="s">
        <v>6972</v>
      </c>
    </row>
    <row r="5677" spans="1:11">
      <c r="A5677" t="s">
        <v>12613</v>
      </c>
      <c r="B5677" t="s">
        <v>6246</v>
      </c>
      <c r="C5677" t="s">
        <v>6925</v>
      </c>
      <c r="D5677" s="1">
        <v>44939</v>
      </c>
      <c r="E5677" s="1">
        <v>44944</v>
      </c>
      <c r="F5677" s="1">
        <v>44949</v>
      </c>
      <c r="G5677">
        <v>45.98</v>
      </c>
      <c r="H56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77" t="str">
        <f>IFERROR(INDEX(Raw_orders!G:G, MATCH(shipments[[#This Row],[order_id]],Raw_orders!A:A, 0)), "Unknown")</f>
        <v>Central Europe</v>
      </c>
      <c r="J5677" t="str">
        <f>PROPER(shipments[[#This Row],[delivery_status]])</f>
        <v>Delivered</v>
      </c>
      <c r="K5677" t="s">
        <v>6922</v>
      </c>
    </row>
    <row r="5678" spans="1:11">
      <c r="A5678" t="s">
        <v>12614</v>
      </c>
      <c r="B5678" t="s">
        <v>6246</v>
      </c>
      <c r="C5678" t="s">
        <v>6956</v>
      </c>
      <c r="D5678" s="1">
        <v>44940</v>
      </c>
      <c r="E5678" s="1">
        <v>44942</v>
      </c>
      <c r="F5678" s="1">
        <v>44942</v>
      </c>
      <c r="G5678">
        <v>43.48</v>
      </c>
      <c r="H56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78" t="str">
        <f>IFERROR(INDEX(Raw_orders!G:G, MATCH(shipments[[#This Row],[order_id]],Raw_orders!A:A, 0)), "Unknown")</f>
        <v>Central Europe</v>
      </c>
      <c r="J5678" t="str">
        <f>PROPER(shipments[[#This Row],[delivery_status]])</f>
        <v>Delivered</v>
      </c>
      <c r="K5678" t="s">
        <v>6926</v>
      </c>
    </row>
    <row r="5679" spans="1:11">
      <c r="A5679" t="s">
        <v>12615</v>
      </c>
      <c r="B5679" t="s">
        <v>6247</v>
      </c>
      <c r="C5679" t="s">
        <v>6938</v>
      </c>
      <c r="D5679" s="1">
        <v>45335</v>
      </c>
      <c r="E5679" s="1">
        <v>45345</v>
      </c>
      <c r="F5679" s="1"/>
      <c r="G5679">
        <v>51.11</v>
      </c>
      <c r="H56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679" t="str">
        <f>IFERROR(INDEX(Raw_orders!G:G, MATCH(shipments[[#This Row],[order_id]],Raw_orders!A:A, 0)), "Unknown")</f>
        <v>Baltics</v>
      </c>
      <c r="J5679" t="str">
        <f>PROPER(shipments[[#This Row],[delivery_status]])</f>
        <v>Cancelled</v>
      </c>
      <c r="K5679" t="s">
        <v>6972</v>
      </c>
    </row>
    <row r="5680" spans="1:11">
      <c r="A5680" t="s">
        <v>12616</v>
      </c>
      <c r="B5680" t="s">
        <v>6248</v>
      </c>
      <c r="C5680" t="s">
        <v>6935</v>
      </c>
      <c r="D5680" s="1">
        <v>45058</v>
      </c>
      <c r="E5680" s="1">
        <v>45061</v>
      </c>
      <c r="F5680" s="1">
        <v>45061</v>
      </c>
      <c r="G5680">
        <v>14.81</v>
      </c>
      <c r="H56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80" t="str">
        <f>IFERROR(INDEX(Raw_orders!G:G, MATCH(shipments[[#This Row],[order_id]],Raw_orders!A:A, 0)), "Unknown")</f>
        <v>Central Europe</v>
      </c>
      <c r="J5680" t="str">
        <f>PROPER(shipments[[#This Row],[delivery_status]])</f>
        <v>Delivered</v>
      </c>
      <c r="K5680" t="s">
        <v>6926</v>
      </c>
    </row>
    <row r="5681" spans="1:11">
      <c r="A5681" t="s">
        <v>12617</v>
      </c>
      <c r="B5681" t="s">
        <v>6249</v>
      </c>
      <c r="C5681" t="s">
        <v>6925</v>
      </c>
      <c r="D5681" s="1">
        <v>45477</v>
      </c>
      <c r="E5681" s="1">
        <v>45479</v>
      </c>
      <c r="F5681" s="1">
        <v>45487</v>
      </c>
      <c r="G5681">
        <v>7.56</v>
      </c>
      <c r="H56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81" t="str">
        <f>IFERROR(INDEX(Raw_orders!G:G, MATCH(shipments[[#This Row],[order_id]],Raw_orders!A:A, 0)), "Unknown")</f>
        <v>Nordics</v>
      </c>
      <c r="J5681" t="str">
        <f>PROPER(shipments[[#This Row],[delivery_status]])</f>
        <v>Delivered</v>
      </c>
      <c r="K5681" t="s">
        <v>6926</v>
      </c>
    </row>
    <row r="5682" spans="1:11">
      <c r="A5682" t="s">
        <v>12618</v>
      </c>
      <c r="B5682" t="s">
        <v>6250</v>
      </c>
      <c r="C5682" t="s">
        <v>6931</v>
      </c>
      <c r="D5682" s="1">
        <v>45296</v>
      </c>
      <c r="E5682" s="1">
        <v>45306</v>
      </c>
      <c r="F5682" s="1">
        <v>45306</v>
      </c>
      <c r="G5682">
        <v>24.92</v>
      </c>
      <c r="H56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82" t="str">
        <f>IFERROR(INDEX(Raw_orders!G:G, MATCH(shipments[[#This Row],[order_id]],Raw_orders!A:A, 0)), "Unknown")</f>
        <v>Baltics</v>
      </c>
      <c r="J5682" t="str">
        <f>PROPER(shipments[[#This Row],[delivery_status]])</f>
        <v>Delivered</v>
      </c>
      <c r="K5682" t="s">
        <v>6926</v>
      </c>
    </row>
    <row r="5683" spans="1:11">
      <c r="A5683" t="s">
        <v>12619</v>
      </c>
      <c r="B5683" t="s">
        <v>6251</v>
      </c>
      <c r="C5683" t="s">
        <v>6938</v>
      </c>
      <c r="D5683" s="1">
        <v>45032</v>
      </c>
      <c r="E5683" s="1">
        <v>45034</v>
      </c>
      <c r="F5683" s="1">
        <v>45034</v>
      </c>
      <c r="G5683">
        <v>14.51</v>
      </c>
      <c r="H56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83" t="str">
        <f>IFERROR(INDEX(Raw_orders!G:G, MATCH(shipments[[#This Row],[order_id]],Raw_orders!A:A, 0)), "Unknown")</f>
        <v>Nordics</v>
      </c>
      <c r="J5683" t="str">
        <f>PROPER(shipments[[#This Row],[delivery_status]])</f>
        <v>Delivered</v>
      </c>
      <c r="K5683" t="s">
        <v>6922</v>
      </c>
    </row>
    <row r="5684" spans="1:11">
      <c r="A5684" t="s">
        <v>12620</v>
      </c>
      <c r="B5684" t="s">
        <v>6252</v>
      </c>
      <c r="C5684" t="s">
        <v>6931</v>
      </c>
      <c r="D5684" s="1">
        <v>45078</v>
      </c>
      <c r="E5684" s="1">
        <v>45085</v>
      </c>
      <c r="F5684" s="1"/>
      <c r="G5684">
        <v>44.03</v>
      </c>
      <c r="H56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684" t="str">
        <f>IFERROR(INDEX(Raw_orders!G:G, MATCH(shipments[[#This Row],[order_id]],Raw_orders!A:A, 0)), "Unknown")</f>
        <v>Central Europe</v>
      </c>
      <c r="J5684" t="str">
        <f>PROPER(shipments[[#This Row],[delivery_status]])</f>
        <v>In Transit</v>
      </c>
      <c r="K5684" t="s">
        <v>6958</v>
      </c>
    </row>
    <row r="5685" spans="1:11">
      <c r="A5685" t="s">
        <v>12621</v>
      </c>
      <c r="B5685" t="s">
        <v>6253</v>
      </c>
      <c r="C5685" t="s">
        <v>6940</v>
      </c>
      <c r="D5685" s="1">
        <v>45548</v>
      </c>
      <c r="E5685" s="1">
        <v>45553</v>
      </c>
      <c r="F5685" s="1">
        <v>45553</v>
      </c>
      <c r="G5685">
        <v>15.09</v>
      </c>
      <c r="H56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85" t="str">
        <f>IFERROR(INDEX(Raw_orders!G:G, MATCH(shipments[[#This Row],[order_id]],Raw_orders!A:A, 0)), "Unknown")</f>
        <v>Baltics</v>
      </c>
      <c r="J5685" t="str">
        <f>PROPER(shipments[[#This Row],[delivery_status]])</f>
        <v>Delivered</v>
      </c>
      <c r="K5685" t="s">
        <v>6929</v>
      </c>
    </row>
    <row r="5686" spans="1:11">
      <c r="A5686" t="s">
        <v>12622</v>
      </c>
      <c r="B5686" t="s">
        <v>6254</v>
      </c>
      <c r="C5686" t="s">
        <v>6925</v>
      </c>
      <c r="D5686" s="1">
        <v>45267</v>
      </c>
      <c r="E5686" s="1">
        <v>45272</v>
      </c>
      <c r="F5686" s="1">
        <v>45271</v>
      </c>
      <c r="G5686">
        <v>23.67</v>
      </c>
      <c r="H56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86" t="str">
        <f>IFERROR(INDEX(Raw_orders!G:G, MATCH(shipments[[#This Row],[order_id]],Raw_orders!A:A, 0)), "Unknown")</f>
        <v>Nordics</v>
      </c>
      <c r="J5686" t="str">
        <f>PROPER(shipments[[#This Row],[delivery_status]])</f>
        <v>Delivered</v>
      </c>
      <c r="K5686" t="s">
        <v>6926</v>
      </c>
    </row>
    <row r="5687" spans="1:11">
      <c r="A5687" t="s">
        <v>12623</v>
      </c>
      <c r="B5687" t="s">
        <v>6255</v>
      </c>
      <c r="C5687" t="s">
        <v>6949</v>
      </c>
      <c r="D5687" s="1">
        <v>45367</v>
      </c>
      <c r="E5687" s="1">
        <v>45370</v>
      </c>
      <c r="F5687" s="1">
        <v>45373</v>
      </c>
      <c r="G5687">
        <v>32.130000000000003</v>
      </c>
      <c r="H56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87" t="str">
        <f>IFERROR(INDEX(Raw_orders!G:G, MATCH(shipments[[#This Row],[order_id]],Raw_orders!A:A, 0)), "Unknown")</f>
        <v>Central Europe</v>
      </c>
      <c r="J5687" t="str">
        <f>PROPER(shipments[[#This Row],[delivery_status]])</f>
        <v>Delivered</v>
      </c>
      <c r="K5687" t="s">
        <v>6929</v>
      </c>
    </row>
    <row r="5688" spans="1:11">
      <c r="A5688" t="s">
        <v>12624</v>
      </c>
      <c r="B5688" t="s">
        <v>6256</v>
      </c>
      <c r="C5688" t="s">
        <v>6935</v>
      </c>
      <c r="D5688" s="1">
        <v>45191</v>
      </c>
      <c r="E5688" s="1">
        <v>45198</v>
      </c>
      <c r="F5688" s="1">
        <v>45198</v>
      </c>
      <c r="G5688">
        <v>54.79</v>
      </c>
      <c r="H56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88" t="str">
        <f>IFERROR(INDEX(Raw_orders!G:G, MATCH(shipments[[#This Row],[order_id]],Raw_orders!A:A, 0)), "Unknown")</f>
        <v>Nordics</v>
      </c>
      <c r="J5688" t="str">
        <f>PROPER(shipments[[#This Row],[delivery_status]])</f>
        <v>Delivered</v>
      </c>
      <c r="K5688" t="s">
        <v>6922</v>
      </c>
    </row>
    <row r="5689" spans="1:11">
      <c r="A5689" t="s">
        <v>12625</v>
      </c>
      <c r="B5689" t="s">
        <v>6257</v>
      </c>
      <c r="C5689" t="s">
        <v>6935</v>
      </c>
      <c r="D5689" s="1">
        <v>45451</v>
      </c>
      <c r="E5689" s="1">
        <v>45458</v>
      </c>
      <c r="F5689" s="1">
        <v>45459</v>
      </c>
      <c r="G5689">
        <v>52.5</v>
      </c>
      <c r="H56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89" t="str">
        <f>IFERROR(INDEX(Raw_orders!G:G, MATCH(shipments[[#This Row],[order_id]],Raw_orders!A:A, 0)), "Unknown")</f>
        <v>Nordics</v>
      </c>
      <c r="J5689" t="str">
        <f>PROPER(shipments[[#This Row],[delivery_status]])</f>
        <v>Delivered</v>
      </c>
      <c r="K5689" t="s">
        <v>6929</v>
      </c>
    </row>
    <row r="5690" spans="1:11">
      <c r="A5690" t="s">
        <v>12626</v>
      </c>
      <c r="B5690" t="s">
        <v>6258</v>
      </c>
      <c r="C5690" t="s">
        <v>6949</v>
      </c>
      <c r="D5690" s="1">
        <v>45589</v>
      </c>
      <c r="E5690" s="1">
        <v>45592</v>
      </c>
      <c r="F5690" s="1">
        <v>45594</v>
      </c>
      <c r="G5690">
        <v>46.51</v>
      </c>
      <c r="H56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90" t="str">
        <f>IFERROR(INDEX(Raw_orders!G:G, MATCH(shipments[[#This Row],[order_id]],Raw_orders!A:A, 0)), "Unknown")</f>
        <v>Nordics</v>
      </c>
      <c r="J5690" t="str">
        <f>PROPER(shipments[[#This Row],[delivery_status]])</f>
        <v>Delivered</v>
      </c>
      <c r="K5690" t="s">
        <v>6929</v>
      </c>
    </row>
    <row r="5691" spans="1:11">
      <c r="A5691" t="s">
        <v>12627</v>
      </c>
      <c r="B5691" t="s">
        <v>6259</v>
      </c>
      <c r="C5691" t="s">
        <v>6938</v>
      </c>
      <c r="D5691" s="1">
        <v>45269</v>
      </c>
      <c r="E5691" s="1">
        <v>45274</v>
      </c>
      <c r="F5691" s="1">
        <v>45288</v>
      </c>
      <c r="G5691">
        <v>59.71</v>
      </c>
      <c r="H56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91" t="str">
        <f>IFERROR(INDEX(Raw_orders!G:G, MATCH(shipments[[#This Row],[order_id]],Raw_orders!A:A, 0)), "Unknown")</f>
        <v>Central Europe</v>
      </c>
      <c r="J5691" t="str">
        <f>PROPER(shipments[[#This Row],[delivery_status]])</f>
        <v>Delivered</v>
      </c>
      <c r="K5691" t="s">
        <v>6926</v>
      </c>
    </row>
    <row r="5692" spans="1:11">
      <c r="A5692" t="s">
        <v>12628</v>
      </c>
      <c r="B5692" t="s">
        <v>6260</v>
      </c>
      <c r="C5692" t="s">
        <v>6940</v>
      </c>
      <c r="D5692" s="1">
        <v>45498</v>
      </c>
      <c r="E5692" s="1">
        <v>45501</v>
      </c>
      <c r="F5692" s="1">
        <v>45501</v>
      </c>
      <c r="G5692">
        <v>35.74</v>
      </c>
      <c r="H56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92" t="str">
        <f>IFERROR(INDEX(Raw_orders!G:G, MATCH(shipments[[#This Row],[order_id]],Raw_orders!A:A, 0)), "Unknown")</f>
        <v>Central Europe</v>
      </c>
      <c r="J5692" t="str">
        <f>PROPER(shipments[[#This Row],[delivery_status]])</f>
        <v>Delivered</v>
      </c>
      <c r="K5692" t="s">
        <v>6922</v>
      </c>
    </row>
    <row r="5693" spans="1:11">
      <c r="A5693" t="s">
        <v>12629</v>
      </c>
      <c r="B5693" t="s">
        <v>6261</v>
      </c>
      <c r="C5693" t="s">
        <v>6925</v>
      </c>
      <c r="D5693" s="1">
        <v>45143</v>
      </c>
      <c r="E5693" s="1">
        <v>45153</v>
      </c>
      <c r="F5693" s="1">
        <v>45161</v>
      </c>
      <c r="G5693">
        <v>21.3</v>
      </c>
      <c r="H56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93" t="str">
        <f>IFERROR(INDEX(Raw_orders!G:G, MATCH(shipments[[#This Row],[order_id]],Raw_orders!A:A, 0)), "Unknown")</f>
        <v>Baltics</v>
      </c>
      <c r="J5693" t="str">
        <f>PROPER(shipments[[#This Row],[delivery_status]])</f>
        <v>Delivered</v>
      </c>
      <c r="K5693" t="s">
        <v>6922</v>
      </c>
    </row>
    <row r="5694" spans="1:11">
      <c r="A5694" t="s">
        <v>12630</v>
      </c>
      <c r="B5694" t="s">
        <v>6261</v>
      </c>
      <c r="C5694" t="s">
        <v>6949</v>
      </c>
      <c r="D5694" s="1">
        <v>45143</v>
      </c>
      <c r="E5694" s="1">
        <v>45150</v>
      </c>
      <c r="F5694" s="1">
        <v>45163</v>
      </c>
      <c r="G5694">
        <v>64.849999999999994</v>
      </c>
      <c r="H56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94" t="str">
        <f>IFERROR(INDEX(Raw_orders!G:G, MATCH(shipments[[#This Row],[order_id]],Raw_orders!A:A, 0)), "Unknown")</f>
        <v>Baltics</v>
      </c>
      <c r="J5694" t="str">
        <f>PROPER(shipments[[#This Row],[delivery_status]])</f>
        <v>Delivered</v>
      </c>
      <c r="K5694" t="s">
        <v>6922</v>
      </c>
    </row>
    <row r="5695" spans="1:11">
      <c r="A5695" t="s">
        <v>12631</v>
      </c>
      <c r="B5695" t="s">
        <v>6262</v>
      </c>
      <c r="C5695" t="s">
        <v>6921</v>
      </c>
      <c r="D5695" s="1">
        <v>45347</v>
      </c>
      <c r="E5695" s="1">
        <v>45357</v>
      </c>
      <c r="F5695" s="1">
        <v>45370</v>
      </c>
      <c r="G5695">
        <v>55.3</v>
      </c>
      <c r="H56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95" t="str">
        <f>IFERROR(INDEX(Raw_orders!G:G, MATCH(shipments[[#This Row],[order_id]],Raw_orders!A:A, 0)), "Unknown")</f>
        <v>Baltics</v>
      </c>
      <c r="J5695" t="str">
        <f>PROPER(shipments[[#This Row],[delivery_status]])</f>
        <v>Delivered</v>
      </c>
      <c r="K5695" t="s">
        <v>6922</v>
      </c>
    </row>
    <row r="5696" spans="1:11">
      <c r="A5696" t="s">
        <v>12632</v>
      </c>
      <c r="B5696" t="s">
        <v>6263</v>
      </c>
      <c r="C5696" t="s">
        <v>6928</v>
      </c>
      <c r="D5696" s="1">
        <v>45138</v>
      </c>
      <c r="E5696" s="1">
        <v>45140</v>
      </c>
      <c r="F5696" s="1"/>
      <c r="G5696">
        <v>53.34</v>
      </c>
      <c r="H56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696" t="str">
        <f>IFERROR(INDEX(Raw_orders!G:G, MATCH(shipments[[#This Row],[order_id]],Raw_orders!A:A, 0)), "Unknown")</f>
        <v>Central Europe</v>
      </c>
      <c r="J5696" t="str">
        <f>PROPER(shipments[[#This Row],[delivery_status]])</f>
        <v>Cancelled</v>
      </c>
      <c r="K5696" t="s">
        <v>6979</v>
      </c>
    </row>
    <row r="5697" spans="1:11">
      <c r="A5697" t="s">
        <v>12633</v>
      </c>
      <c r="B5697" t="s">
        <v>6264</v>
      </c>
      <c r="C5697" t="s">
        <v>6938</v>
      </c>
      <c r="D5697" s="1">
        <v>45138</v>
      </c>
      <c r="E5697" s="1">
        <v>45148</v>
      </c>
      <c r="F5697" s="1">
        <v>45148</v>
      </c>
      <c r="G5697">
        <v>16.8</v>
      </c>
      <c r="H56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697" t="str">
        <f>IFERROR(INDEX(Raw_orders!G:G, MATCH(shipments[[#This Row],[order_id]],Raw_orders!A:A, 0)), "Unknown")</f>
        <v>Baltics</v>
      </c>
      <c r="J5697" t="str">
        <f>PROPER(shipments[[#This Row],[delivery_status]])</f>
        <v>Delivered</v>
      </c>
      <c r="K5697" t="s">
        <v>6929</v>
      </c>
    </row>
    <row r="5698" spans="1:11">
      <c r="A5698" t="s">
        <v>12634</v>
      </c>
      <c r="B5698" t="s">
        <v>6265</v>
      </c>
      <c r="C5698" t="s">
        <v>6938</v>
      </c>
      <c r="D5698" s="1">
        <v>45086</v>
      </c>
      <c r="E5698" s="1">
        <v>45088</v>
      </c>
      <c r="F5698" s="1"/>
      <c r="G5698">
        <v>13.83</v>
      </c>
      <c r="H56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698" t="str">
        <f>IFERROR(INDEX(Raw_orders!G:G, MATCH(shipments[[#This Row],[order_id]],Raw_orders!A:A, 0)), "Unknown")</f>
        <v>Central Europe</v>
      </c>
      <c r="J5698" t="str">
        <f>PROPER(shipments[[#This Row],[delivery_status]])</f>
        <v>In Transit</v>
      </c>
      <c r="K5698" t="s">
        <v>6946</v>
      </c>
    </row>
    <row r="5699" spans="1:11">
      <c r="A5699" t="s">
        <v>12635</v>
      </c>
      <c r="B5699" t="s">
        <v>6266</v>
      </c>
      <c r="C5699" t="s">
        <v>6940</v>
      </c>
      <c r="D5699" s="1">
        <v>45273</v>
      </c>
      <c r="E5699" s="1">
        <v>45275</v>
      </c>
      <c r="F5699" s="1">
        <v>45276</v>
      </c>
      <c r="G5699">
        <v>11.79</v>
      </c>
      <c r="H56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699" t="str">
        <f>IFERROR(INDEX(Raw_orders!G:G, MATCH(shipments[[#This Row],[order_id]],Raw_orders!A:A, 0)), "Unknown")</f>
        <v>Baltics</v>
      </c>
      <c r="J5699" t="str">
        <f>PROPER(shipments[[#This Row],[delivery_status]])</f>
        <v>Delivered</v>
      </c>
      <c r="K5699" t="s">
        <v>6929</v>
      </c>
    </row>
    <row r="5700" spans="1:11">
      <c r="A5700" t="s">
        <v>12636</v>
      </c>
      <c r="B5700" t="s">
        <v>6266</v>
      </c>
      <c r="C5700" t="s">
        <v>6938</v>
      </c>
      <c r="D5700" s="1">
        <v>45275</v>
      </c>
      <c r="E5700" s="1">
        <v>45285</v>
      </c>
      <c r="F5700" s="1">
        <v>45293</v>
      </c>
      <c r="G5700">
        <v>19.48</v>
      </c>
      <c r="H57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00" t="str">
        <f>IFERROR(INDEX(Raw_orders!G:G, MATCH(shipments[[#This Row],[order_id]],Raw_orders!A:A, 0)), "Unknown")</f>
        <v>Baltics</v>
      </c>
      <c r="J5700" t="str">
        <f>PROPER(shipments[[#This Row],[delivery_status]])</f>
        <v>Delivered</v>
      </c>
      <c r="K5700" t="s">
        <v>6922</v>
      </c>
    </row>
    <row r="5701" spans="1:11">
      <c r="A5701" t="s">
        <v>12637</v>
      </c>
      <c r="B5701" t="s">
        <v>6267</v>
      </c>
      <c r="C5701" t="s">
        <v>6925</v>
      </c>
      <c r="D5701" s="1">
        <v>44934</v>
      </c>
      <c r="E5701" s="1">
        <v>44941</v>
      </c>
      <c r="F5701" s="1">
        <v>44946</v>
      </c>
      <c r="G5701">
        <v>51.97</v>
      </c>
      <c r="H57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01" t="str">
        <f>IFERROR(INDEX(Raw_orders!G:G, MATCH(shipments[[#This Row],[order_id]],Raw_orders!A:A, 0)), "Unknown")</f>
        <v>Central Europe</v>
      </c>
      <c r="J5701" t="str">
        <f>PROPER(shipments[[#This Row],[delivery_status]])</f>
        <v>Delivered</v>
      </c>
      <c r="K5701" t="s">
        <v>6922</v>
      </c>
    </row>
    <row r="5702" spans="1:11">
      <c r="A5702" t="s">
        <v>12638</v>
      </c>
      <c r="B5702" t="s">
        <v>6268</v>
      </c>
      <c r="C5702" t="s">
        <v>6938</v>
      </c>
      <c r="D5702" s="1">
        <v>45593</v>
      </c>
      <c r="E5702" s="1">
        <v>45603</v>
      </c>
      <c r="F5702" s="1">
        <v>45612</v>
      </c>
      <c r="G5702">
        <v>34.119999999999997</v>
      </c>
      <c r="H57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02" t="str">
        <f>IFERROR(INDEX(Raw_orders!G:G, MATCH(shipments[[#This Row],[order_id]],Raw_orders!A:A, 0)), "Unknown")</f>
        <v>Baltics</v>
      </c>
      <c r="J5702" t="str">
        <f>PROPER(shipments[[#This Row],[delivery_status]])</f>
        <v>Delivered</v>
      </c>
      <c r="K5702" t="s">
        <v>6922</v>
      </c>
    </row>
    <row r="5703" spans="1:11">
      <c r="A5703" t="s">
        <v>12639</v>
      </c>
      <c r="B5703" t="s">
        <v>6269</v>
      </c>
      <c r="C5703" t="s">
        <v>6928</v>
      </c>
      <c r="D5703" s="1">
        <v>45284</v>
      </c>
      <c r="E5703" s="1">
        <v>45286</v>
      </c>
      <c r="F5703" s="1">
        <v>45289</v>
      </c>
      <c r="G5703">
        <v>31.79</v>
      </c>
      <c r="H57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03" t="str">
        <f>IFERROR(INDEX(Raw_orders!G:G, MATCH(shipments[[#This Row],[order_id]],Raw_orders!A:A, 0)), "Unknown")</f>
        <v>Baltics</v>
      </c>
      <c r="J5703" t="str">
        <f>PROPER(shipments[[#This Row],[delivery_status]])</f>
        <v>Delivered</v>
      </c>
      <c r="K5703" t="s">
        <v>6922</v>
      </c>
    </row>
    <row r="5704" spans="1:11">
      <c r="A5704" t="s">
        <v>12640</v>
      </c>
      <c r="B5704" t="s">
        <v>6270</v>
      </c>
      <c r="C5704" t="s">
        <v>6940</v>
      </c>
      <c r="D5704" s="1">
        <v>45397</v>
      </c>
      <c r="E5704" s="1">
        <v>45400</v>
      </c>
      <c r="F5704" s="1">
        <v>45400</v>
      </c>
      <c r="G5704">
        <v>28.99</v>
      </c>
      <c r="H57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704" t="str">
        <f>IFERROR(INDEX(Raw_orders!G:G, MATCH(shipments[[#This Row],[order_id]],Raw_orders!A:A, 0)), "Unknown")</f>
        <v>Central Europe</v>
      </c>
      <c r="J5704" t="str">
        <f>PROPER(shipments[[#This Row],[delivery_status]])</f>
        <v>Delivered</v>
      </c>
      <c r="K5704" t="s">
        <v>6922</v>
      </c>
    </row>
    <row r="5705" spans="1:11">
      <c r="A5705" t="s">
        <v>12641</v>
      </c>
      <c r="B5705" t="s">
        <v>6271</v>
      </c>
      <c r="C5705" t="s">
        <v>6935</v>
      </c>
      <c r="D5705" s="1">
        <v>45419</v>
      </c>
      <c r="E5705" s="1">
        <v>45429</v>
      </c>
      <c r="F5705" s="1">
        <v>45429</v>
      </c>
      <c r="G5705">
        <v>56.42</v>
      </c>
      <c r="H57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705" t="str">
        <f>IFERROR(INDEX(Raw_orders!G:G, MATCH(shipments[[#This Row],[order_id]],Raw_orders!A:A, 0)), "Unknown")</f>
        <v>Central Europe</v>
      </c>
      <c r="J5705" t="str">
        <f>PROPER(shipments[[#This Row],[delivery_status]])</f>
        <v>Delivered</v>
      </c>
      <c r="K5705" t="s">
        <v>6922</v>
      </c>
    </row>
    <row r="5706" spans="1:11">
      <c r="A5706" t="s">
        <v>12642</v>
      </c>
      <c r="B5706" t="s">
        <v>6272</v>
      </c>
      <c r="C5706" t="s">
        <v>6935</v>
      </c>
      <c r="D5706" s="1">
        <v>44947</v>
      </c>
      <c r="E5706" s="1">
        <v>44952</v>
      </c>
      <c r="F5706" s="1">
        <v>44951</v>
      </c>
      <c r="G5706">
        <v>54.81</v>
      </c>
      <c r="H57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706" t="str">
        <f>IFERROR(INDEX(Raw_orders!G:G, MATCH(shipments[[#This Row],[order_id]],Raw_orders!A:A, 0)), "Unknown")</f>
        <v>Nordics</v>
      </c>
      <c r="J5706" t="str">
        <f>PROPER(shipments[[#This Row],[delivery_status]])</f>
        <v>Delivered</v>
      </c>
      <c r="K5706" t="s">
        <v>6922</v>
      </c>
    </row>
    <row r="5707" spans="1:11">
      <c r="A5707" t="s">
        <v>12643</v>
      </c>
      <c r="B5707" t="s">
        <v>6273</v>
      </c>
      <c r="C5707" t="s">
        <v>6928</v>
      </c>
      <c r="D5707" s="1">
        <v>45530</v>
      </c>
      <c r="E5707" s="1">
        <v>45540</v>
      </c>
      <c r="F5707" s="1">
        <v>45543</v>
      </c>
      <c r="G5707">
        <v>27.69</v>
      </c>
      <c r="H57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07" t="str">
        <f>IFERROR(INDEX(Raw_orders!G:G, MATCH(shipments[[#This Row],[order_id]],Raw_orders!A:A, 0)), "Unknown")</f>
        <v>Baltics</v>
      </c>
      <c r="J5707" t="str">
        <f>PROPER(shipments[[#This Row],[delivery_status]])</f>
        <v>Delivered</v>
      </c>
      <c r="K5707" t="s">
        <v>6929</v>
      </c>
    </row>
    <row r="5708" spans="1:11">
      <c r="A5708" t="s">
        <v>12644</v>
      </c>
      <c r="B5708" t="s">
        <v>6274</v>
      </c>
      <c r="C5708" t="s">
        <v>6925</v>
      </c>
      <c r="D5708" s="1">
        <v>45529</v>
      </c>
      <c r="E5708" s="1">
        <v>45532</v>
      </c>
      <c r="F5708" s="1"/>
      <c r="G5708">
        <v>60.3</v>
      </c>
      <c r="H57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708" t="str">
        <f>IFERROR(INDEX(Raw_orders!G:G, MATCH(shipments[[#This Row],[order_id]],Raw_orders!A:A, 0)), "Unknown")</f>
        <v>Baltics</v>
      </c>
      <c r="J5708" t="str">
        <f>PROPER(shipments[[#This Row],[delivery_status]])</f>
        <v>In Transit</v>
      </c>
      <c r="K5708" t="s">
        <v>6958</v>
      </c>
    </row>
    <row r="5709" spans="1:11">
      <c r="A5709" t="s">
        <v>12645</v>
      </c>
      <c r="B5709" t="s">
        <v>6275</v>
      </c>
      <c r="C5709" t="s">
        <v>6928</v>
      </c>
      <c r="D5709" s="1">
        <v>45184</v>
      </c>
      <c r="E5709" s="1">
        <v>45187</v>
      </c>
      <c r="F5709" s="1">
        <v>45186</v>
      </c>
      <c r="G5709">
        <v>32.630000000000003</v>
      </c>
      <c r="H57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709" t="str">
        <f>IFERROR(INDEX(Raw_orders!G:G, MATCH(shipments[[#This Row],[order_id]],Raw_orders!A:A, 0)), "Unknown")</f>
        <v>Central Europe</v>
      </c>
      <c r="J5709" t="str">
        <f>PROPER(shipments[[#This Row],[delivery_status]])</f>
        <v>Delivered</v>
      </c>
      <c r="K5709" t="s">
        <v>6929</v>
      </c>
    </row>
    <row r="5710" spans="1:11">
      <c r="A5710" t="s">
        <v>12646</v>
      </c>
      <c r="B5710" t="s">
        <v>6276</v>
      </c>
      <c r="C5710" t="s">
        <v>6931</v>
      </c>
      <c r="D5710" s="1">
        <v>45353</v>
      </c>
      <c r="E5710" s="1">
        <v>45355</v>
      </c>
      <c r="F5710" s="1"/>
      <c r="G5710">
        <v>36.409999999999997</v>
      </c>
      <c r="H57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710" t="str">
        <f>IFERROR(INDEX(Raw_orders!G:G, MATCH(shipments[[#This Row],[order_id]],Raw_orders!A:A, 0)), "Unknown")</f>
        <v>Nordics</v>
      </c>
      <c r="J5710" t="str">
        <f>PROPER(shipments[[#This Row],[delivery_status]])</f>
        <v>In Transit</v>
      </c>
      <c r="K5710" t="s">
        <v>6946</v>
      </c>
    </row>
    <row r="5711" spans="1:11">
      <c r="A5711" t="s">
        <v>12647</v>
      </c>
      <c r="B5711" t="s">
        <v>6277</v>
      </c>
      <c r="C5711" t="s">
        <v>6935</v>
      </c>
      <c r="D5711" s="1">
        <v>45204</v>
      </c>
      <c r="E5711" s="1">
        <v>45206</v>
      </c>
      <c r="F5711" s="1">
        <v>45206</v>
      </c>
      <c r="G5711">
        <v>58.14</v>
      </c>
      <c r="H57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711" t="str">
        <f>IFERROR(INDEX(Raw_orders!G:G, MATCH(shipments[[#This Row],[order_id]],Raw_orders!A:A, 0)), "Unknown")</f>
        <v>Baltics</v>
      </c>
      <c r="J5711" t="str">
        <f>PROPER(shipments[[#This Row],[delivery_status]])</f>
        <v>Delivered</v>
      </c>
      <c r="K5711" t="s">
        <v>6926</v>
      </c>
    </row>
    <row r="5712" spans="1:11">
      <c r="A5712" t="s">
        <v>12648</v>
      </c>
      <c r="B5712" t="s">
        <v>6278</v>
      </c>
      <c r="C5712" t="s">
        <v>6928</v>
      </c>
      <c r="D5712" s="1">
        <v>45271</v>
      </c>
      <c r="E5712" s="1">
        <v>45276</v>
      </c>
      <c r="F5712" s="1">
        <v>45276</v>
      </c>
      <c r="G5712">
        <v>41.8</v>
      </c>
      <c r="H57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712" t="str">
        <f>IFERROR(INDEX(Raw_orders!G:G, MATCH(shipments[[#This Row],[order_id]],Raw_orders!A:A, 0)), "Unknown")</f>
        <v>Baltics</v>
      </c>
      <c r="J5712" t="str">
        <f>PROPER(shipments[[#This Row],[delivery_status]])</f>
        <v>Delivered</v>
      </c>
      <c r="K5712" t="s">
        <v>6926</v>
      </c>
    </row>
    <row r="5713" spans="1:11">
      <c r="A5713" t="s">
        <v>12649</v>
      </c>
      <c r="B5713" t="s">
        <v>6279</v>
      </c>
      <c r="C5713" t="s">
        <v>6940</v>
      </c>
      <c r="D5713" s="1">
        <v>45017</v>
      </c>
      <c r="E5713" s="1">
        <v>45027</v>
      </c>
      <c r="F5713" s="1"/>
      <c r="G5713">
        <v>28.98</v>
      </c>
      <c r="H57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713" t="str">
        <f>IFERROR(INDEX(Raw_orders!G:G, MATCH(shipments[[#This Row],[order_id]],Raw_orders!A:A, 0)), "Unknown")</f>
        <v>Central Europe</v>
      </c>
      <c r="J5713" t="str">
        <f>PROPER(shipments[[#This Row],[delivery_status]])</f>
        <v>In Transit</v>
      </c>
      <c r="K5713" t="s">
        <v>6958</v>
      </c>
    </row>
    <row r="5714" spans="1:11">
      <c r="A5714" t="s">
        <v>12650</v>
      </c>
      <c r="B5714" t="s">
        <v>6280</v>
      </c>
      <c r="C5714" t="s">
        <v>6938</v>
      </c>
      <c r="D5714" s="1">
        <v>45229</v>
      </c>
      <c r="E5714" s="1">
        <v>45239</v>
      </c>
      <c r="F5714" s="1">
        <v>45241</v>
      </c>
      <c r="G5714">
        <v>21.91</v>
      </c>
      <c r="H57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14" t="str">
        <f>IFERROR(INDEX(Raw_orders!G:G, MATCH(shipments[[#This Row],[order_id]],Raw_orders!A:A, 0)), "Unknown")</f>
        <v>Central Europe</v>
      </c>
      <c r="J5714" t="str">
        <f>PROPER(shipments[[#This Row],[delivery_status]])</f>
        <v>Delivered</v>
      </c>
      <c r="K5714" t="s">
        <v>6929</v>
      </c>
    </row>
    <row r="5715" spans="1:11">
      <c r="A5715" t="s">
        <v>12651</v>
      </c>
      <c r="B5715" t="s">
        <v>6281</v>
      </c>
      <c r="C5715" t="s">
        <v>6921</v>
      </c>
      <c r="D5715" s="1">
        <v>45570</v>
      </c>
      <c r="E5715" s="1">
        <v>45573</v>
      </c>
      <c r="F5715" s="1">
        <v>45575</v>
      </c>
      <c r="G5715">
        <v>59.29</v>
      </c>
      <c r="H57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15" t="str">
        <f>IFERROR(INDEX(Raw_orders!G:G, MATCH(shipments[[#This Row],[order_id]],Raw_orders!A:A, 0)), "Unknown")</f>
        <v>Nordics</v>
      </c>
      <c r="J5715" t="str">
        <f>PROPER(shipments[[#This Row],[delivery_status]])</f>
        <v>Delivered</v>
      </c>
      <c r="K5715" t="s">
        <v>6926</v>
      </c>
    </row>
    <row r="5716" spans="1:11">
      <c r="A5716" t="s">
        <v>12652</v>
      </c>
      <c r="B5716" t="s">
        <v>6282</v>
      </c>
      <c r="C5716" t="s">
        <v>6931</v>
      </c>
      <c r="D5716" s="1">
        <v>45021</v>
      </c>
      <c r="E5716" s="1">
        <v>45031</v>
      </c>
      <c r="F5716" s="1">
        <v>45031</v>
      </c>
      <c r="G5716">
        <v>53.24</v>
      </c>
      <c r="H57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716" t="str">
        <f>IFERROR(INDEX(Raw_orders!G:G, MATCH(shipments[[#This Row],[order_id]],Raw_orders!A:A, 0)), "Unknown")</f>
        <v>Baltics</v>
      </c>
      <c r="J5716" t="str">
        <f>PROPER(shipments[[#This Row],[delivery_status]])</f>
        <v>Delivered</v>
      </c>
      <c r="K5716" t="s">
        <v>6929</v>
      </c>
    </row>
    <row r="5717" spans="1:11">
      <c r="A5717" t="s">
        <v>12653</v>
      </c>
      <c r="B5717" t="s">
        <v>6283</v>
      </c>
      <c r="C5717" t="s">
        <v>6928</v>
      </c>
      <c r="D5717" s="1">
        <v>45183</v>
      </c>
      <c r="E5717" s="1">
        <v>45188</v>
      </c>
      <c r="F5717" s="1">
        <v>45191</v>
      </c>
      <c r="G5717">
        <v>36.56</v>
      </c>
      <c r="H57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17" t="str">
        <f>IFERROR(INDEX(Raw_orders!G:G, MATCH(shipments[[#This Row],[order_id]],Raw_orders!A:A, 0)), "Unknown")</f>
        <v>Baltics</v>
      </c>
      <c r="J5717" t="str">
        <f>PROPER(shipments[[#This Row],[delivery_status]])</f>
        <v>Delivered</v>
      </c>
      <c r="K5717" t="s">
        <v>6922</v>
      </c>
    </row>
    <row r="5718" spans="1:11">
      <c r="A5718" t="s">
        <v>12654</v>
      </c>
      <c r="B5718" t="s">
        <v>6284</v>
      </c>
      <c r="C5718" t="s">
        <v>6956</v>
      </c>
      <c r="D5718" s="1">
        <v>45403</v>
      </c>
      <c r="E5718" s="1">
        <v>45410</v>
      </c>
      <c r="F5718" s="1">
        <v>45418</v>
      </c>
      <c r="G5718">
        <v>60.02</v>
      </c>
      <c r="H57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18" t="str">
        <f>IFERROR(INDEX(Raw_orders!G:G, MATCH(shipments[[#This Row],[order_id]],Raw_orders!A:A, 0)), "Unknown")</f>
        <v>Baltics</v>
      </c>
      <c r="J5718" t="str">
        <f>PROPER(shipments[[#This Row],[delivery_status]])</f>
        <v>Delivered</v>
      </c>
      <c r="K5718" t="s">
        <v>6929</v>
      </c>
    </row>
    <row r="5719" spans="1:11">
      <c r="A5719" t="s">
        <v>12655</v>
      </c>
      <c r="B5719" t="s">
        <v>6285</v>
      </c>
      <c r="C5719" t="s">
        <v>6935</v>
      </c>
      <c r="D5719" s="1">
        <v>45385</v>
      </c>
      <c r="E5719" s="1">
        <v>45390</v>
      </c>
      <c r="F5719" s="1">
        <v>45390</v>
      </c>
      <c r="G5719">
        <v>28.59</v>
      </c>
      <c r="H57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719" t="str">
        <f>IFERROR(INDEX(Raw_orders!G:G, MATCH(shipments[[#This Row],[order_id]],Raw_orders!A:A, 0)), "Unknown")</f>
        <v>Baltics</v>
      </c>
      <c r="J5719" t="str">
        <f>PROPER(shipments[[#This Row],[delivery_status]])</f>
        <v>Delivered</v>
      </c>
      <c r="K5719" t="s">
        <v>6926</v>
      </c>
    </row>
    <row r="5720" spans="1:11">
      <c r="A5720" t="s">
        <v>12656</v>
      </c>
      <c r="B5720" t="s">
        <v>6286</v>
      </c>
      <c r="C5720" t="s">
        <v>6931</v>
      </c>
      <c r="D5720" s="1">
        <v>45129</v>
      </c>
      <c r="E5720" s="1">
        <v>45134</v>
      </c>
      <c r="F5720" s="1">
        <v>45138</v>
      </c>
      <c r="G5720">
        <v>25.65</v>
      </c>
      <c r="H57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20" t="str">
        <f>IFERROR(INDEX(Raw_orders!G:G, MATCH(shipments[[#This Row],[order_id]],Raw_orders!A:A, 0)), "Unknown")</f>
        <v>Nordics</v>
      </c>
      <c r="J5720" t="str">
        <f>PROPER(shipments[[#This Row],[delivery_status]])</f>
        <v>Delivered</v>
      </c>
      <c r="K5720" t="s">
        <v>6922</v>
      </c>
    </row>
    <row r="5721" spans="1:11">
      <c r="A5721" t="s">
        <v>12657</v>
      </c>
      <c r="B5721" t="s">
        <v>6287</v>
      </c>
      <c r="C5721" t="s">
        <v>6935</v>
      </c>
      <c r="D5721" s="1">
        <v>45551</v>
      </c>
      <c r="E5721" s="1">
        <v>45554</v>
      </c>
      <c r="F5721" s="1">
        <v>45567</v>
      </c>
      <c r="G5721">
        <v>47.89</v>
      </c>
      <c r="H57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21" t="str">
        <f>IFERROR(INDEX(Raw_orders!G:G, MATCH(shipments[[#This Row],[order_id]],Raw_orders!A:A, 0)), "Unknown")</f>
        <v>Baltics</v>
      </c>
      <c r="J5721" t="str">
        <f>PROPER(shipments[[#This Row],[delivery_status]])</f>
        <v>Delivered</v>
      </c>
      <c r="K5721" t="s">
        <v>6922</v>
      </c>
    </row>
    <row r="5722" spans="1:11">
      <c r="A5722" t="s">
        <v>12658</v>
      </c>
      <c r="B5722" t="s">
        <v>6288</v>
      </c>
      <c r="C5722" t="s">
        <v>6940</v>
      </c>
      <c r="D5722" s="1">
        <v>45278</v>
      </c>
      <c r="E5722" s="1">
        <v>45281</v>
      </c>
      <c r="F5722" s="1">
        <v>45281</v>
      </c>
      <c r="G5722">
        <v>48.64</v>
      </c>
      <c r="H57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722" t="str">
        <f>IFERROR(INDEX(Raw_orders!G:G, MATCH(shipments[[#This Row],[order_id]],Raw_orders!A:A, 0)), "Unknown")</f>
        <v>Central Europe</v>
      </c>
      <c r="J5722" t="str">
        <f>PROPER(shipments[[#This Row],[delivery_status]])</f>
        <v>Delivered</v>
      </c>
      <c r="K5722" t="s">
        <v>6922</v>
      </c>
    </row>
    <row r="5723" spans="1:11">
      <c r="A5723" t="s">
        <v>12659</v>
      </c>
      <c r="B5723" t="s">
        <v>6289</v>
      </c>
      <c r="C5723" t="s">
        <v>6928</v>
      </c>
      <c r="D5723" s="1">
        <v>45610</v>
      </c>
      <c r="E5723" s="1">
        <v>45620</v>
      </c>
      <c r="F5723" s="1">
        <v>45621</v>
      </c>
      <c r="G5723">
        <v>48.1</v>
      </c>
      <c r="H57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23" t="str">
        <f>IFERROR(INDEX(Raw_orders!G:G, MATCH(shipments[[#This Row],[order_id]],Raw_orders!A:A, 0)), "Unknown")</f>
        <v>Nordics</v>
      </c>
      <c r="J5723" t="str">
        <f>PROPER(shipments[[#This Row],[delivery_status]])</f>
        <v>Delivered</v>
      </c>
      <c r="K5723" t="s">
        <v>6926</v>
      </c>
    </row>
    <row r="5724" spans="1:11">
      <c r="A5724" t="s">
        <v>12660</v>
      </c>
      <c r="B5724" t="s">
        <v>6290</v>
      </c>
      <c r="C5724" t="s">
        <v>6938</v>
      </c>
      <c r="D5724" s="1">
        <v>45249</v>
      </c>
      <c r="E5724" s="1">
        <v>45252</v>
      </c>
      <c r="F5724" s="1">
        <v>45254</v>
      </c>
      <c r="G5724">
        <v>27.7</v>
      </c>
      <c r="H57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24" t="str">
        <f>IFERROR(INDEX(Raw_orders!G:G, MATCH(shipments[[#This Row],[order_id]],Raw_orders!A:A, 0)), "Unknown")</f>
        <v>Central Europe</v>
      </c>
      <c r="J5724" t="str">
        <f>PROPER(shipments[[#This Row],[delivery_status]])</f>
        <v>Delivered</v>
      </c>
      <c r="K5724" t="s">
        <v>6922</v>
      </c>
    </row>
    <row r="5725" spans="1:11">
      <c r="A5725" t="s">
        <v>12661</v>
      </c>
      <c r="B5725" t="s">
        <v>6291</v>
      </c>
      <c r="C5725" t="s">
        <v>6931</v>
      </c>
      <c r="D5725" s="1">
        <v>45337</v>
      </c>
      <c r="E5725" s="1">
        <v>45344</v>
      </c>
      <c r="F5725" s="1">
        <v>45354</v>
      </c>
      <c r="G5725">
        <v>63.25</v>
      </c>
      <c r="H57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25" t="str">
        <f>IFERROR(INDEX(Raw_orders!G:G, MATCH(shipments[[#This Row],[order_id]],Raw_orders!A:A, 0)), "Unknown")</f>
        <v>Central Europe</v>
      </c>
      <c r="J5725" t="str">
        <f>PROPER(shipments[[#This Row],[delivery_status]])</f>
        <v>Delivered</v>
      </c>
      <c r="K5725" t="s">
        <v>6926</v>
      </c>
    </row>
    <row r="5726" spans="1:11">
      <c r="A5726" t="s">
        <v>12662</v>
      </c>
      <c r="B5726" t="s">
        <v>6292</v>
      </c>
      <c r="C5726" t="s">
        <v>6935</v>
      </c>
      <c r="D5726" s="1">
        <v>45105</v>
      </c>
      <c r="E5726" s="1">
        <v>45108</v>
      </c>
      <c r="F5726" s="1">
        <v>45107</v>
      </c>
      <c r="G5726">
        <v>49.55</v>
      </c>
      <c r="H57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726" t="str">
        <f>IFERROR(INDEX(Raw_orders!G:G, MATCH(shipments[[#This Row],[order_id]],Raw_orders!A:A, 0)), "Unknown")</f>
        <v>Nordics</v>
      </c>
      <c r="J5726" t="str">
        <f>PROPER(shipments[[#This Row],[delivery_status]])</f>
        <v>Delivered</v>
      </c>
      <c r="K5726" t="s">
        <v>6926</v>
      </c>
    </row>
    <row r="5727" spans="1:11">
      <c r="A5727" t="s">
        <v>12663</v>
      </c>
      <c r="B5727" t="s">
        <v>6293</v>
      </c>
      <c r="C5727" t="s">
        <v>6928</v>
      </c>
      <c r="D5727" s="1">
        <v>45185</v>
      </c>
      <c r="E5727" s="1">
        <v>45188</v>
      </c>
      <c r="F5727" s="1"/>
      <c r="G5727">
        <v>38.020000000000003</v>
      </c>
      <c r="H57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727" t="str">
        <f>IFERROR(INDEX(Raw_orders!G:G, MATCH(shipments[[#This Row],[order_id]],Raw_orders!A:A, 0)), "Unknown")</f>
        <v>Nordics</v>
      </c>
      <c r="J5727" t="str">
        <f>PROPER(shipments[[#This Row],[delivery_status]])</f>
        <v>In Transit</v>
      </c>
      <c r="K5727" t="s">
        <v>6946</v>
      </c>
    </row>
    <row r="5728" spans="1:11">
      <c r="A5728" t="s">
        <v>12664</v>
      </c>
      <c r="B5728" t="s">
        <v>6294</v>
      </c>
      <c r="C5728" t="s">
        <v>6956</v>
      </c>
      <c r="D5728" s="1">
        <v>45307</v>
      </c>
      <c r="E5728" s="1">
        <v>45317</v>
      </c>
      <c r="F5728" s="1">
        <v>45322</v>
      </c>
      <c r="G5728">
        <v>24.87</v>
      </c>
      <c r="H57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28" t="str">
        <f>IFERROR(INDEX(Raw_orders!G:G, MATCH(shipments[[#This Row],[order_id]],Raw_orders!A:A, 0)), "Unknown")</f>
        <v>Nordics</v>
      </c>
      <c r="J5728" t="str">
        <f>PROPER(shipments[[#This Row],[delivery_status]])</f>
        <v>Delivered</v>
      </c>
      <c r="K5728" t="s">
        <v>6922</v>
      </c>
    </row>
    <row r="5729" spans="1:11">
      <c r="A5729" t="s">
        <v>12665</v>
      </c>
      <c r="B5729" t="s">
        <v>6294</v>
      </c>
      <c r="C5729" t="s">
        <v>6940</v>
      </c>
      <c r="D5729" s="1">
        <v>45309</v>
      </c>
      <c r="E5729" s="1">
        <v>45316</v>
      </c>
      <c r="F5729" s="1">
        <v>45324</v>
      </c>
      <c r="G5729">
        <v>53.53</v>
      </c>
      <c r="H57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29" t="str">
        <f>IFERROR(INDEX(Raw_orders!G:G, MATCH(shipments[[#This Row],[order_id]],Raw_orders!A:A, 0)), "Unknown")</f>
        <v>Nordics</v>
      </c>
      <c r="J5729" t="str">
        <f>PROPER(shipments[[#This Row],[delivery_status]])</f>
        <v>Delivered</v>
      </c>
      <c r="K5729" t="s">
        <v>6926</v>
      </c>
    </row>
    <row r="5730" spans="1:11">
      <c r="A5730" t="s">
        <v>12666</v>
      </c>
      <c r="B5730" t="s">
        <v>6295</v>
      </c>
      <c r="C5730" t="s">
        <v>6938</v>
      </c>
      <c r="D5730" s="1">
        <v>45386</v>
      </c>
      <c r="E5730" s="1">
        <v>45389</v>
      </c>
      <c r="F5730" s="1">
        <v>45388</v>
      </c>
      <c r="G5730">
        <v>56.46</v>
      </c>
      <c r="H57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730" t="str">
        <f>IFERROR(INDEX(Raw_orders!G:G, MATCH(shipments[[#This Row],[order_id]],Raw_orders!A:A, 0)), "Unknown")</f>
        <v>Baltics</v>
      </c>
      <c r="J5730" t="str">
        <f>PROPER(shipments[[#This Row],[delivery_status]])</f>
        <v>Delivered</v>
      </c>
      <c r="K5730" t="s">
        <v>6922</v>
      </c>
    </row>
    <row r="5731" spans="1:11">
      <c r="A5731" t="s">
        <v>12667</v>
      </c>
      <c r="B5731" t="s">
        <v>6296</v>
      </c>
      <c r="C5731" t="s">
        <v>6940</v>
      </c>
      <c r="D5731" s="1">
        <v>45286</v>
      </c>
      <c r="E5731" s="1">
        <v>45288</v>
      </c>
      <c r="F5731" s="1">
        <v>45291</v>
      </c>
      <c r="G5731">
        <v>64.91</v>
      </c>
      <c r="H57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31" t="str">
        <f>IFERROR(INDEX(Raw_orders!G:G, MATCH(shipments[[#This Row],[order_id]],Raw_orders!A:A, 0)), "Unknown")</f>
        <v>Central Europe</v>
      </c>
      <c r="J5731" t="str">
        <f>PROPER(shipments[[#This Row],[delivery_status]])</f>
        <v>Delivered</v>
      </c>
      <c r="K5731" t="s">
        <v>6926</v>
      </c>
    </row>
    <row r="5732" spans="1:11">
      <c r="A5732" t="s">
        <v>12668</v>
      </c>
      <c r="B5732" t="s">
        <v>6297</v>
      </c>
      <c r="C5732" t="s">
        <v>6925</v>
      </c>
      <c r="D5732" s="1">
        <v>45573</v>
      </c>
      <c r="E5732" s="1">
        <v>45575</v>
      </c>
      <c r="F5732" s="1">
        <v>45574</v>
      </c>
      <c r="G5732">
        <v>54.96</v>
      </c>
      <c r="H57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732" t="str">
        <f>IFERROR(INDEX(Raw_orders!G:G, MATCH(shipments[[#This Row],[order_id]],Raw_orders!A:A, 0)), "Unknown")</f>
        <v>Central Europe</v>
      </c>
      <c r="J5732" t="str">
        <f>PROPER(shipments[[#This Row],[delivery_status]])</f>
        <v>Delivered</v>
      </c>
      <c r="K5732" t="s">
        <v>6929</v>
      </c>
    </row>
    <row r="5733" spans="1:11">
      <c r="A5733" t="s">
        <v>12669</v>
      </c>
      <c r="B5733" t="s">
        <v>6297</v>
      </c>
      <c r="C5733" t="s">
        <v>6925</v>
      </c>
      <c r="D5733" s="1">
        <v>45570</v>
      </c>
      <c r="E5733" s="1">
        <v>45573</v>
      </c>
      <c r="F5733" s="1">
        <v>45579</v>
      </c>
      <c r="G5733">
        <v>4.6399999999999997</v>
      </c>
      <c r="H57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33" t="str">
        <f>IFERROR(INDEX(Raw_orders!G:G, MATCH(shipments[[#This Row],[order_id]],Raw_orders!A:A, 0)), "Unknown")</f>
        <v>Central Europe</v>
      </c>
      <c r="J5733" t="str">
        <f>PROPER(shipments[[#This Row],[delivery_status]])</f>
        <v>Delivered</v>
      </c>
      <c r="K5733" t="s">
        <v>6929</v>
      </c>
    </row>
    <row r="5734" spans="1:11">
      <c r="A5734" t="s">
        <v>12670</v>
      </c>
      <c r="B5734" t="s">
        <v>6298</v>
      </c>
      <c r="C5734" t="s">
        <v>6956</v>
      </c>
      <c r="D5734" s="1">
        <v>45579</v>
      </c>
      <c r="E5734" s="1">
        <v>45582</v>
      </c>
      <c r="F5734" s="1">
        <v>45594</v>
      </c>
      <c r="G5734">
        <v>38.42</v>
      </c>
      <c r="H57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34" t="str">
        <f>IFERROR(INDEX(Raw_orders!G:G, MATCH(shipments[[#This Row],[order_id]],Raw_orders!A:A, 0)), "Unknown")</f>
        <v>Baltics</v>
      </c>
      <c r="J5734" t="str">
        <f>PROPER(shipments[[#This Row],[delivery_status]])</f>
        <v>Delivered</v>
      </c>
      <c r="K5734" t="s">
        <v>6926</v>
      </c>
    </row>
    <row r="5735" spans="1:11">
      <c r="A5735" t="s">
        <v>12671</v>
      </c>
      <c r="B5735" t="s">
        <v>6299</v>
      </c>
      <c r="C5735" t="s">
        <v>6935</v>
      </c>
      <c r="D5735" s="1">
        <v>45431</v>
      </c>
      <c r="E5735" s="1">
        <v>45441</v>
      </c>
      <c r="F5735" s="1">
        <v>45453</v>
      </c>
      <c r="G5735">
        <v>49.67</v>
      </c>
      <c r="H57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35" t="str">
        <f>IFERROR(INDEX(Raw_orders!G:G, MATCH(shipments[[#This Row],[order_id]],Raw_orders!A:A, 0)), "Unknown")</f>
        <v>Central Europe</v>
      </c>
      <c r="J5735" t="str">
        <f>PROPER(shipments[[#This Row],[delivery_status]])</f>
        <v>Delivered</v>
      </c>
      <c r="K5735" t="s">
        <v>6929</v>
      </c>
    </row>
    <row r="5736" spans="1:11">
      <c r="A5736" t="s">
        <v>12672</v>
      </c>
      <c r="B5736" t="s">
        <v>6300</v>
      </c>
      <c r="C5736" t="s">
        <v>6931</v>
      </c>
      <c r="D5736" s="1">
        <v>45257</v>
      </c>
      <c r="E5736" s="1">
        <v>45262</v>
      </c>
      <c r="F5736" s="1">
        <v>45264</v>
      </c>
      <c r="G5736">
        <v>6.25</v>
      </c>
      <c r="H57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36" t="str">
        <f>IFERROR(INDEX(Raw_orders!G:G, MATCH(shipments[[#This Row],[order_id]],Raw_orders!A:A, 0)), "Unknown")</f>
        <v>Nordics</v>
      </c>
      <c r="J5736" t="str">
        <f>PROPER(shipments[[#This Row],[delivery_status]])</f>
        <v>Delivered</v>
      </c>
      <c r="K5736" t="s">
        <v>6922</v>
      </c>
    </row>
    <row r="5737" spans="1:11">
      <c r="A5737" t="s">
        <v>12673</v>
      </c>
      <c r="B5737" t="s">
        <v>6301</v>
      </c>
      <c r="C5737" t="s">
        <v>6956</v>
      </c>
      <c r="D5737" s="1">
        <v>45096</v>
      </c>
      <c r="E5737" s="1">
        <v>45101</v>
      </c>
      <c r="F5737" s="1">
        <v>45106</v>
      </c>
      <c r="G5737">
        <v>38.450000000000003</v>
      </c>
      <c r="H57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37" t="str">
        <f>IFERROR(INDEX(Raw_orders!G:G, MATCH(shipments[[#This Row],[order_id]],Raw_orders!A:A, 0)), "Unknown")</f>
        <v>Baltics</v>
      </c>
      <c r="J5737" t="str">
        <f>PROPER(shipments[[#This Row],[delivery_status]])</f>
        <v>Delivered</v>
      </c>
      <c r="K5737" t="s">
        <v>6926</v>
      </c>
    </row>
    <row r="5738" spans="1:11">
      <c r="A5738" t="s">
        <v>12674</v>
      </c>
      <c r="B5738" t="s">
        <v>6302</v>
      </c>
      <c r="C5738" t="s">
        <v>6956</v>
      </c>
      <c r="D5738" s="1">
        <v>45207</v>
      </c>
      <c r="E5738" s="1">
        <v>45217</v>
      </c>
      <c r="F5738" s="1"/>
      <c r="G5738">
        <v>22.36</v>
      </c>
      <c r="H57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738" t="str">
        <f>IFERROR(INDEX(Raw_orders!G:G, MATCH(shipments[[#This Row],[order_id]],Raw_orders!A:A, 0)), "Unknown")</f>
        <v>Baltics</v>
      </c>
      <c r="J5738" t="str">
        <f>PROPER(shipments[[#This Row],[delivery_status]])</f>
        <v>In Transit</v>
      </c>
      <c r="K5738" t="s">
        <v>6946</v>
      </c>
    </row>
    <row r="5739" spans="1:11">
      <c r="A5739" t="s">
        <v>12675</v>
      </c>
      <c r="B5739" t="s">
        <v>6302</v>
      </c>
      <c r="C5739" t="s">
        <v>6928</v>
      </c>
      <c r="D5739" s="1">
        <v>45206</v>
      </c>
      <c r="E5739" s="1">
        <v>45216</v>
      </c>
      <c r="F5739" s="1">
        <v>45218</v>
      </c>
      <c r="G5739">
        <v>15.79</v>
      </c>
      <c r="H57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39" t="str">
        <f>IFERROR(INDEX(Raw_orders!G:G, MATCH(shipments[[#This Row],[order_id]],Raw_orders!A:A, 0)), "Unknown")</f>
        <v>Baltics</v>
      </c>
      <c r="J5739" t="str">
        <f>PROPER(shipments[[#This Row],[delivery_status]])</f>
        <v>Delivered</v>
      </c>
      <c r="K5739" t="s">
        <v>6929</v>
      </c>
    </row>
    <row r="5740" spans="1:11">
      <c r="A5740" t="s">
        <v>12676</v>
      </c>
      <c r="B5740" t="s">
        <v>6303</v>
      </c>
      <c r="C5740" t="s">
        <v>6938</v>
      </c>
      <c r="D5740" s="1">
        <v>45046</v>
      </c>
      <c r="E5740" s="1">
        <v>45053</v>
      </c>
      <c r="F5740" s="1">
        <v>45061</v>
      </c>
      <c r="G5740">
        <v>12.06</v>
      </c>
      <c r="H57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40" t="str">
        <f>IFERROR(INDEX(Raw_orders!G:G, MATCH(shipments[[#This Row],[order_id]],Raw_orders!A:A, 0)), "Unknown")</f>
        <v>Baltics</v>
      </c>
      <c r="J5740" t="str">
        <f>PROPER(shipments[[#This Row],[delivery_status]])</f>
        <v>Delivered</v>
      </c>
      <c r="K5740" t="s">
        <v>6926</v>
      </c>
    </row>
    <row r="5741" spans="1:11">
      <c r="A5741" t="s">
        <v>12677</v>
      </c>
      <c r="B5741" t="s">
        <v>6303</v>
      </c>
      <c r="C5741" t="s">
        <v>6938</v>
      </c>
      <c r="D5741" s="1">
        <v>45043</v>
      </c>
      <c r="E5741" s="1">
        <v>45053</v>
      </c>
      <c r="F5741" s="1">
        <v>45053</v>
      </c>
      <c r="G5741">
        <v>5.55</v>
      </c>
      <c r="H57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741" t="str">
        <f>IFERROR(INDEX(Raw_orders!G:G, MATCH(shipments[[#This Row],[order_id]],Raw_orders!A:A, 0)), "Unknown")</f>
        <v>Baltics</v>
      </c>
      <c r="J5741" t="str">
        <f>PROPER(shipments[[#This Row],[delivery_status]])</f>
        <v>Delivered</v>
      </c>
      <c r="K5741" t="s">
        <v>6922</v>
      </c>
    </row>
    <row r="5742" spans="1:11">
      <c r="A5742" t="s">
        <v>12678</v>
      </c>
      <c r="B5742" t="s">
        <v>6304</v>
      </c>
      <c r="C5742" t="s">
        <v>6921</v>
      </c>
      <c r="D5742" s="1">
        <v>45258</v>
      </c>
      <c r="E5742" s="1">
        <v>45268</v>
      </c>
      <c r="F5742" s="1">
        <v>45268</v>
      </c>
      <c r="G5742">
        <v>23.99</v>
      </c>
      <c r="H57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742" t="str">
        <f>IFERROR(INDEX(Raw_orders!G:G, MATCH(shipments[[#This Row],[order_id]],Raw_orders!A:A, 0)), "Unknown")</f>
        <v>Central Europe</v>
      </c>
      <c r="J5742" t="str">
        <f>PROPER(shipments[[#This Row],[delivery_status]])</f>
        <v>Delivered</v>
      </c>
      <c r="K5742" t="s">
        <v>6926</v>
      </c>
    </row>
    <row r="5743" spans="1:11">
      <c r="A5743" t="s">
        <v>12679</v>
      </c>
      <c r="B5743" t="s">
        <v>6305</v>
      </c>
      <c r="C5743" t="s">
        <v>6925</v>
      </c>
      <c r="D5743" s="1">
        <v>45415</v>
      </c>
      <c r="E5743" s="1">
        <v>45422</v>
      </c>
      <c r="F5743" s="1">
        <v>45427</v>
      </c>
      <c r="G5743">
        <v>41.32</v>
      </c>
      <c r="H57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43" t="str">
        <f>IFERROR(INDEX(Raw_orders!G:G, MATCH(shipments[[#This Row],[order_id]],Raw_orders!A:A, 0)), "Unknown")</f>
        <v>Nordics</v>
      </c>
      <c r="J5743" t="str">
        <f>PROPER(shipments[[#This Row],[delivery_status]])</f>
        <v>Delivered</v>
      </c>
      <c r="K5743" t="s">
        <v>6926</v>
      </c>
    </row>
    <row r="5744" spans="1:11">
      <c r="A5744" t="s">
        <v>12680</v>
      </c>
      <c r="B5744" t="s">
        <v>6306</v>
      </c>
      <c r="C5744" t="s">
        <v>6921</v>
      </c>
      <c r="D5744" s="1">
        <v>45343</v>
      </c>
      <c r="E5744" s="1">
        <v>45348</v>
      </c>
      <c r="F5744" s="1">
        <v>45348</v>
      </c>
      <c r="G5744">
        <v>19.670000000000002</v>
      </c>
      <c r="H57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744" t="str">
        <f>IFERROR(INDEX(Raw_orders!G:G, MATCH(shipments[[#This Row],[order_id]],Raw_orders!A:A, 0)), "Unknown")</f>
        <v>Baltics</v>
      </c>
      <c r="J5744" t="str">
        <f>PROPER(shipments[[#This Row],[delivery_status]])</f>
        <v>Delivered</v>
      </c>
      <c r="K5744" t="s">
        <v>6922</v>
      </c>
    </row>
    <row r="5745" spans="1:11">
      <c r="A5745" t="s">
        <v>12681</v>
      </c>
      <c r="B5745" t="s">
        <v>6307</v>
      </c>
      <c r="C5745" t="s">
        <v>6925</v>
      </c>
      <c r="D5745" s="1">
        <v>45462</v>
      </c>
      <c r="E5745" s="1">
        <v>45469</v>
      </c>
      <c r="F5745" s="1"/>
      <c r="G5745">
        <v>47.58</v>
      </c>
      <c r="H57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745" t="str">
        <f>IFERROR(INDEX(Raw_orders!G:G, MATCH(shipments[[#This Row],[order_id]],Raw_orders!A:A, 0)), "Unknown")</f>
        <v>Central Europe</v>
      </c>
      <c r="J5745" t="str">
        <f>PROPER(shipments[[#This Row],[delivery_status]])</f>
        <v>Cancelled</v>
      </c>
      <c r="K5745" t="s">
        <v>6963</v>
      </c>
    </row>
    <row r="5746" spans="1:11">
      <c r="A5746" t="s">
        <v>12682</v>
      </c>
      <c r="B5746" t="s">
        <v>6308</v>
      </c>
      <c r="C5746" t="s">
        <v>6921</v>
      </c>
      <c r="D5746" s="1">
        <v>45410</v>
      </c>
      <c r="E5746" s="1">
        <v>45420</v>
      </c>
      <c r="F5746" s="1">
        <v>45422</v>
      </c>
      <c r="G5746">
        <v>61.53</v>
      </c>
      <c r="H57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46" t="str">
        <f>IFERROR(INDEX(Raw_orders!G:G, MATCH(shipments[[#This Row],[order_id]],Raw_orders!A:A, 0)), "Unknown")</f>
        <v>Nordics</v>
      </c>
      <c r="J5746" t="str">
        <f>PROPER(shipments[[#This Row],[delivery_status]])</f>
        <v>Delivered</v>
      </c>
      <c r="K5746" t="s">
        <v>6926</v>
      </c>
    </row>
    <row r="5747" spans="1:11">
      <c r="A5747" t="s">
        <v>12683</v>
      </c>
      <c r="B5747" t="s">
        <v>6309</v>
      </c>
      <c r="C5747" t="s">
        <v>6940</v>
      </c>
      <c r="D5747" s="1">
        <v>45077</v>
      </c>
      <c r="E5747" s="1">
        <v>45080</v>
      </c>
      <c r="F5747" s="1">
        <v>45080</v>
      </c>
      <c r="G5747">
        <v>46.88</v>
      </c>
      <c r="H57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747" t="str">
        <f>IFERROR(INDEX(Raw_orders!G:G, MATCH(shipments[[#This Row],[order_id]],Raw_orders!A:A, 0)), "Unknown")</f>
        <v>Baltics</v>
      </c>
      <c r="J5747" t="str">
        <f>PROPER(shipments[[#This Row],[delivery_status]])</f>
        <v>Delivered</v>
      </c>
      <c r="K5747" t="s">
        <v>6929</v>
      </c>
    </row>
    <row r="5748" spans="1:11">
      <c r="A5748" t="s">
        <v>12684</v>
      </c>
      <c r="B5748" t="s">
        <v>6310</v>
      </c>
      <c r="C5748" t="s">
        <v>6949</v>
      </c>
      <c r="D5748" s="1">
        <v>45315</v>
      </c>
      <c r="E5748" s="1">
        <v>45322</v>
      </c>
      <c r="F5748" s="1">
        <v>45330</v>
      </c>
      <c r="G5748">
        <v>64.42</v>
      </c>
      <c r="H57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48" t="str">
        <f>IFERROR(INDEX(Raw_orders!G:G, MATCH(shipments[[#This Row],[order_id]],Raw_orders!A:A, 0)), "Unknown")</f>
        <v>Baltics</v>
      </c>
      <c r="J5748" t="str">
        <f>PROPER(shipments[[#This Row],[delivery_status]])</f>
        <v>Delivered</v>
      </c>
      <c r="K5748" t="s">
        <v>6926</v>
      </c>
    </row>
    <row r="5749" spans="1:11">
      <c r="A5749" t="s">
        <v>12685</v>
      </c>
      <c r="B5749" t="s">
        <v>6311</v>
      </c>
      <c r="C5749" t="s">
        <v>6938</v>
      </c>
      <c r="D5749" s="1">
        <v>45608</v>
      </c>
      <c r="E5749" s="1">
        <v>45613</v>
      </c>
      <c r="F5749" s="1">
        <v>45613</v>
      </c>
      <c r="G5749">
        <v>26.37</v>
      </c>
      <c r="H57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749" t="str">
        <f>IFERROR(INDEX(Raw_orders!G:G, MATCH(shipments[[#This Row],[order_id]],Raw_orders!A:A, 0)), "Unknown")</f>
        <v>Central Europe</v>
      </c>
      <c r="J5749" t="str">
        <f>PROPER(shipments[[#This Row],[delivery_status]])</f>
        <v>Delivered</v>
      </c>
      <c r="K5749" t="s">
        <v>6929</v>
      </c>
    </row>
    <row r="5750" spans="1:11">
      <c r="A5750" t="s">
        <v>12686</v>
      </c>
      <c r="B5750" t="s">
        <v>6312</v>
      </c>
      <c r="C5750" t="s">
        <v>6938</v>
      </c>
      <c r="D5750" s="1">
        <v>44928</v>
      </c>
      <c r="E5750" s="1">
        <v>44931</v>
      </c>
      <c r="F5750" s="1">
        <v>44938</v>
      </c>
      <c r="G5750">
        <v>53.91</v>
      </c>
      <c r="H57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50" t="str">
        <f>IFERROR(INDEX(Raw_orders!G:G, MATCH(shipments[[#This Row],[order_id]],Raw_orders!A:A, 0)), "Unknown")</f>
        <v>Nordics</v>
      </c>
      <c r="J5750" t="str">
        <f>PROPER(shipments[[#This Row],[delivery_status]])</f>
        <v>Delivered</v>
      </c>
      <c r="K5750" t="s">
        <v>6926</v>
      </c>
    </row>
    <row r="5751" spans="1:11">
      <c r="A5751" t="s">
        <v>12687</v>
      </c>
      <c r="B5751" t="s">
        <v>6313</v>
      </c>
      <c r="C5751" t="s">
        <v>6925</v>
      </c>
      <c r="D5751" s="1">
        <v>45257</v>
      </c>
      <c r="E5751" s="1">
        <v>45264</v>
      </c>
      <c r="F5751" s="1">
        <v>45269</v>
      </c>
      <c r="G5751">
        <v>62.03</v>
      </c>
      <c r="H57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51" t="str">
        <f>IFERROR(INDEX(Raw_orders!G:G, MATCH(shipments[[#This Row],[order_id]],Raw_orders!A:A, 0)), "Unknown")</f>
        <v>Nordics</v>
      </c>
      <c r="J5751" t="str">
        <f>PROPER(shipments[[#This Row],[delivery_status]])</f>
        <v>Delivered</v>
      </c>
      <c r="K5751" t="s">
        <v>6926</v>
      </c>
    </row>
    <row r="5752" spans="1:11">
      <c r="A5752" t="s">
        <v>12688</v>
      </c>
      <c r="B5752" t="s">
        <v>6314</v>
      </c>
      <c r="C5752" t="s">
        <v>6921</v>
      </c>
      <c r="D5752" s="1">
        <v>45512</v>
      </c>
      <c r="E5752" s="1">
        <v>45515</v>
      </c>
      <c r="F5752" s="1">
        <v>45515</v>
      </c>
      <c r="G5752">
        <v>28.23</v>
      </c>
      <c r="H57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752" t="str">
        <f>IFERROR(INDEX(Raw_orders!G:G, MATCH(shipments[[#This Row],[order_id]],Raw_orders!A:A, 0)), "Unknown")</f>
        <v>Nordics</v>
      </c>
      <c r="J5752" t="str">
        <f>PROPER(shipments[[#This Row],[delivery_status]])</f>
        <v>Delivered</v>
      </c>
      <c r="K5752" t="s">
        <v>6922</v>
      </c>
    </row>
    <row r="5753" spans="1:11">
      <c r="A5753" t="s">
        <v>12689</v>
      </c>
      <c r="B5753" t="s">
        <v>6315</v>
      </c>
      <c r="C5753" t="s">
        <v>6938</v>
      </c>
      <c r="D5753" s="1">
        <v>45227</v>
      </c>
      <c r="E5753" s="1">
        <v>45234</v>
      </c>
      <c r="F5753" s="1">
        <v>45237</v>
      </c>
      <c r="G5753">
        <v>13.53</v>
      </c>
      <c r="H57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53" t="str">
        <f>IFERROR(INDEX(Raw_orders!G:G, MATCH(shipments[[#This Row],[order_id]],Raw_orders!A:A, 0)), "Unknown")</f>
        <v>Nordics</v>
      </c>
      <c r="J5753" t="str">
        <f>PROPER(shipments[[#This Row],[delivery_status]])</f>
        <v>Delivered</v>
      </c>
      <c r="K5753" t="s">
        <v>6922</v>
      </c>
    </row>
    <row r="5754" spans="1:11">
      <c r="A5754" t="s">
        <v>12690</v>
      </c>
      <c r="B5754" t="s">
        <v>6316</v>
      </c>
      <c r="C5754" t="s">
        <v>6938</v>
      </c>
      <c r="D5754" s="1">
        <v>45604</v>
      </c>
      <c r="E5754" s="1">
        <v>45611</v>
      </c>
      <c r="F5754" s="1">
        <v>45616</v>
      </c>
      <c r="G5754">
        <v>40.33</v>
      </c>
      <c r="H57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54" t="str">
        <f>IFERROR(INDEX(Raw_orders!G:G, MATCH(shipments[[#This Row],[order_id]],Raw_orders!A:A, 0)), "Unknown")</f>
        <v>Central Europe</v>
      </c>
      <c r="J5754" t="str">
        <f>PROPER(shipments[[#This Row],[delivery_status]])</f>
        <v>Delivered</v>
      </c>
      <c r="K5754" t="s">
        <v>6929</v>
      </c>
    </row>
    <row r="5755" spans="1:11">
      <c r="A5755" t="s">
        <v>12691</v>
      </c>
      <c r="B5755" t="s">
        <v>6317</v>
      </c>
      <c r="C5755" t="s">
        <v>6938</v>
      </c>
      <c r="D5755" s="1">
        <v>45401</v>
      </c>
      <c r="E5755" s="1">
        <v>45411</v>
      </c>
      <c r="F5755" s="1">
        <v>45410</v>
      </c>
      <c r="G5755">
        <v>12.07</v>
      </c>
      <c r="H57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755" t="str">
        <f>IFERROR(INDEX(Raw_orders!G:G, MATCH(shipments[[#This Row],[order_id]],Raw_orders!A:A, 0)), "Unknown")</f>
        <v>Nordics</v>
      </c>
      <c r="J5755" t="str">
        <f>PROPER(shipments[[#This Row],[delivery_status]])</f>
        <v>Delivered</v>
      </c>
      <c r="K5755" t="s">
        <v>6922</v>
      </c>
    </row>
    <row r="5756" spans="1:11">
      <c r="A5756" t="s">
        <v>12692</v>
      </c>
      <c r="B5756" t="s">
        <v>6318</v>
      </c>
      <c r="C5756" t="s">
        <v>6925</v>
      </c>
      <c r="D5756" s="1">
        <v>45570</v>
      </c>
      <c r="E5756" s="1">
        <v>45573</v>
      </c>
      <c r="F5756" s="1"/>
      <c r="G5756">
        <v>26.11</v>
      </c>
      <c r="H57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756" t="str">
        <f>IFERROR(INDEX(Raw_orders!G:G, MATCH(shipments[[#This Row],[order_id]],Raw_orders!A:A, 0)), "Unknown")</f>
        <v>Central Europe</v>
      </c>
      <c r="J5756" t="str">
        <f>PROPER(shipments[[#This Row],[delivery_status]])</f>
        <v>In Transit</v>
      </c>
      <c r="K5756" t="s">
        <v>6958</v>
      </c>
    </row>
    <row r="5757" spans="1:11">
      <c r="A5757" t="s">
        <v>12693</v>
      </c>
      <c r="B5757" t="s">
        <v>6319</v>
      </c>
      <c r="C5757" t="s">
        <v>6935</v>
      </c>
      <c r="D5757" s="1">
        <v>45237</v>
      </c>
      <c r="E5757" s="1">
        <v>45240</v>
      </c>
      <c r="F5757" s="1">
        <v>45248</v>
      </c>
      <c r="G5757">
        <v>61.46</v>
      </c>
      <c r="H57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57" t="str">
        <f>IFERROR(INDEX(Raw_orders!G:G, MATCH(shipments[[#This Row],[order_id]],Raw_orders!A:A, 0)), "Unknown")</f>
        <v>Central Europe</v>
      </c>
      <c r="J5757" t="str">
        <f>PROPER(shipments[[#This Row],[delivery_status]])</f>
        <v>Delivered</v>
      </c>
      <c r="K5757" t="s">
        <v>6922</v>
      </c>
    </row>
    <row r="5758" spans="1:11">
      <c r="A5758" t="s">
        <v>12694</v>
      </c>
      <c r="B5758" t="s">
        <v>6320</v>
      </c>
      <c r="C5758" t="s">
        <v>6925</v>
      </c>
      <c r="D5758" s="1">
        <v>45207</v>
      </c>
      <c r="E5758" s="1">
        <v>45212</v>
      </c>
      <c r="F5758" s="1">
        <v>45217</v>
      </c>
      <c r="G5758">
        <v>61.66</v>
      </c>
      <c r="H57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58" t="str">
        <f>IFERROR(INDEX(Raw_orders!G:G, MATCH(shipments[[#This Row],[order_id]],Raw_orders!A:A, 0)), "Unknown")</f>
        <v>Nordics</v>
      </c>
      <c r="J5758" t="str">
        <f>PROPER(shipments[[#This Row],[delivery_status]])</f>
        <v>Delivered</v>
      </c>
      <c r="K5758" t="s">
        <v>6922</v>
      </c>
    </row>
    <row r="5759" spans="1:11">
      <c r="A5759" t="s">
        <v>12695</v>
      </c>
      <c r="B5759" t="s">
        <v>6321</v>
      </c>
      <c r="C5759" t="s">
        <v>6931</v>
      </c>
      <c r="D5759" s="1">
        <v>45368</v>
      </c>
      <c r="E5759" s="1">
        <v>45375</v>
      </c>
      <c r="F5759" s="1">
        <v>45385</v>
      </c>
      <c r="G5759">
        <v>12.71</v>
      </c>
      <c r="H57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59" t="str">
        <f>IFERROR(INDEX(Raw_orders!G:G, MATCH(shipments[[#This Row],[order_id]],Raw_orders!A:A, 0)), "Unknown")</f>
        <v>Nordics</v>
      </c>
      <c r="J5759" t="str">
        <f>PROPER(shipments[[#This Row],[delivery_status]])</f>
        <v>Delivered</v>
      </c>
      <c r="K5759" t="s">
        <v>6929</v>
      </c>
    </row>
    <row r="5760" spans="1:11">
      <c r="A5760" t="s">
        <v>12696</v>
      </c>
      <c r="B5760" t="s">
        <v>6322</v>
      </c>
      <c r="C5760" t="s">
        <v>6925</v>
      </c>
      <c r="D5760" s="1">
        <v>45022</v>
      </c>
      <c r="E5760" s="1">
        <v>45032</v>
      </c>
      <c r="F5760" s="1"/>
      <c r="G5760">
        <v>42.6</v>
      </c>
      <c r="H57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760" t="str">
        <f>IFERROR(INDEX(Raw_orders!G:G, MATCH(shipments[[#This Row],[order_id]],Raw_orders!A:A, 0)), "Unknown")</f>
        <v>Baltics</v>
      </c>
      <c r="J5760" t="str">
        <f>PROPER(shipments[[#This Row],[delivery_status]])</f>
        <v>Cancelled</v>
      </c>
      <c r="K5760" t="s">
        <v>6972</v>
      </c>
    </row>
    <row r="5761" spans="1:11">
      <c r="A5761" t="s">
        <v>12697</v>
      </c>
      <c r="B5761" t="s">
        <v>6323</v>
      </c>
      <c r="C5761" t="s">
        <v>6931</v>
      </c>
      <c r="D5761" s="1">
        <v>45151</v>
      </c>
      <c r="E5761" s="1">
        <v>45153</v>
      </c>
      <c r="F5761" s="1"/>
      <c r="G5761">
        <v>49.2</v>
      </c>
      <c r="H57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761" t="str">
        <f>IFERROR(INDEX(Raw_orders!G:G, MATCH(shipments[[#This Row],[order_id]],Raw_orders!A:A, 0)), "Unknown")</f>
        <v>Baltics</v>
      </c>
      <c r="J5761" t="str">
        <f>PROPER(shipments[[#This Row],[delivery_status]])</f>
        <v>In Transit</v>
      </c>
      <c r="K5761" t="s">
        <v>6958</v>
      </c>
    </row>
    <row r="5762" spans="1:11">
      <c r="A5762" t="s">
        <v>12698</v>
      </c>
      <c r="B5762" t="s">
        <v>6324</v>
      </c>
      <c r="C5762" t="s">
        <v>6931</v>
      </c>
      <c r="D5762" s="1">
        <v>45533</v>
      </c>
      <c r="E5762" s="1">
        <v>45538</v>
      </c>
      <c r="F5762" s="1">
        <v>45543</v>
      </c>
      <c r="G5762">
        <v>55.36</v>
      </c>
      <c r="H57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62" t="str">
        <f>IFERROR(INDEX(Raw_orders!G:G, MATCH(shipments[[#This Row],[order_id]],Raw_orders!A:A, 0)), "Unknown")</f>
        <v>Nordics</v>
      </c>
      <c r="J5762" t="str">
        <f>PROPER(shipments[[#This Row],[delivery_status]])</f>
        <v>Delivered</v>
      </c>
      <c r="K5762" t="s">
        <v>6922</v>
      </c>
    </row>
    <row r="5763" spans="1:11">
      <c r="A5763" t="s">
        <v>12699</v>
      </c>
      <c r="B5763" t="s">
        <v>6325</v>
      </c>
      <c r="C5763" t="s">
        <v>6935</v>
      </c>
      <c r="D5763" s="1">
        <v>45228</v>
      </c>
      <c r="E5763" s="1">
        <v>45231</v>
      </c>
      <c r="F5763" s="1">
        <v>45243</v>
      </c>
      <c r="G5763">
        <v>59.8</v>
      </c>
      <c r="H57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63" t="str">
        <f>IFERROR(INDEX(Raw_orders!G:G, MATCH(shipments[[#This Row],[order_id]],Raw_orders!A:A, 0)), "Unknown")</f>
        <v>Central Europe</v>
      </c>
      <c r="J5763" t="str">
        <f>PROPER(shipments[[#This Row],[delivery_status]])</f>
        <v>Delivered</v>
      </c>
      <c r="K5763" t="s">
        <v>6926</v>
      </c>
    </row>
    <row r="5764" spans="1:11">
      <c r="A5764" t="s">
        <v>12700</v>
      </c>
      <c r="B5764" t="s">
        <v>6326</v>
      </c>
      <c r="C5764" t="s">
        <v>6935</v>
      </c>
      <c r="D5764" s="1">
        <v>45198</v>
      </c>
      <c r="E5764" s="1">
        <v>45205</v>
      </c>
      <c r="F5764" s="1">
        <v>45206</v>
      </c>
      <c r="H57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64" t="str">
        <f>IFERROR(INDEX(Raw_orders!G:G, MATCH(shipments[[#This Row],[order_id]],Raw_orders!A:A, 0)), "Unknown")</f>
        <v>Central Europe</v>
      </c>
      <c r="J5764" t="str">
        <f>PROPER(shipments[[#This Row],[delivery_status]])</f>
        <v>Delivered</v>
      </c>
      <c r="K5764" t="s">
        <v>6929</v>
      </c>
    </row>
    <row r="5765" spans="1:11">
      <c r="A5765" t="s">
        <v>12701</v>
      </c>
      <c r="B5765" t="s">
        <v>6326</v>
      </c>
      <c r="C5765" t="s">
        <v>6935</v>
      </c>
      <c r="D5765" s="1">
        <v>45198</v>
      </c>
      <c r="E5765" s="1">
        <v>45200</v>
      </c>
      <c r="F5765" s="1"/>
      <c r="G5765">
        <v>51.61</v>
      </c>
      <c r="H57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765" t="str">
        <f>IFERROR(INDEX(Raw_orders!G:G, MATCH(shipments[[#This Row],[order_id]],Raw_orders!A:A, 0)), "Unknown")</f>
        <v>Central Europe</v>
      </c>
      <c r="J5765" t="str">
        <f>PROPER(shipments[[#This Row],[delivery_status]])</f>
        <v>In Transit</v>
      </c>
      <c r="K5765" t="s">
        <v>6946</v>
      </c>
    </row>
    <row r="5766" spans="1:11">
      <c r="A5766" t="s">
        <v>12702</v>
      </c>
      <c r="B5766" t="s">
        <v>6327</v>
      </c>
      <c r="C5766" t="s">
        <v>6928</v>
      </c>
      <c r="D5766" s="1">
        <v>45376</v>
      </c>
      <c r="E5766" s="1">
        <v>45378</v>
      </c>
      <c r="F5766" s="1">
        <v>45378</v>
      </c>
      <c r="G5766">
        <v>55.65</v>
      </c>
      <c r="H57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766" t="str">
        <f>IFERROR(INDEX(Raw_orders!G:G, MATCH(shipments[[#This Row],[order_id]],Raw_orders!A:A, 0)), "Unknown")</f>
        <v>Baltics</v>
      </c>
      <c r="J5766" t="str">
        <f>PROPER(shipments[[#This Row],[delivery_status]])</f>
        <v>Delivered</v>
      </c>
      <c r="K5766" t="s">
        <v>6929</v>
      </c>
    </row>
    <row r="5767" spans="1:11">
      <c r="A5767" t="s">
        <v>12703</v>
      </c>
      <c r="B5767" t="s">
        <v>6328</v>
      </c>
      <c r="C5767" t="s">
        <v>6956</v>
      </c>
      <c r="D5767" s="1">
        <v>45602</v>
      </c>
      <c r="E5767" s="1">
        <v>45609</v>
      </c>
      <c r="F5767" s="1">
        <v>45609</v>
      </c>
      <c r="G5767">
        <v>14.21</v>
      </c>
      <c r="H57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767" t="str">
        <f>IFERROR(INDEX(Raw_orders!G:G, MATCH(shipments[[#This Row],[order_id]],Raw_orders!A:A, 0)), "Unknown")</f>
        <v>Central Europe</v>
      </c>
      <c r="J5767" t="str">
        <f>PROPER(shipments[[#This Row],[delivery_status]])</f>
        <v>Delivered</v>
      </c>
      <c r="K5767" t="s">
        <v>6929</v>
      </c>
    </row>
    <row r="5768" spans="1:11">
      <c r="A5768" t="s">
        <v>12704</v>
      </c>
      <c r="B5768" t="s">
        <v>6329</v>
      </c>
      <c r="C5768" t="s">
        <v>6921</v>
      </c>
      <c r="D5768" s="1">
        <v>45011</v>
      </c>
      <c r="E5768" s="1">
        <v>45016</v>
      </c>
      <c r="F5768" s="1">
        <v>45021</v>
      </c>
      <c r="G5768">
        <v>61.98</v>
      </c>
      <c r="H57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68" t="str">
        <f>IFERROR(INDEX(Raw_orders!G:G, MATCH(shipments[[#This Row],[order_id]],Raw_orders!A:A, 0)), "Unknown")</f>
        <v>Nordics</v>
      </c>
      <c r="J5768" t="str">
        <f>PROPER(shipments[[#This Row],[delivery_status]])</f>
        <v>Delivered</v>
      </c>
      <c r="K5768" t="s">
        <v>6929</v>
      </c>
    </row>
    <row r="5769" spans="1:11">
      <c r="A5769" t="s">
        <v>12705</v>
      </c>
      <c r="B5769" t="s">
        <v>6330</v>
      </c>
      <c r="C5769" t="s">
        <v>6949</v>
      </c>
      <c r="D5769" s="1">
        <v>45148</v>
      </c>
      <c r="E5769" s="1">
        <v>45155</v>
      </c>
      <c r="F5769" s="1">
        <v>45157</v>
      </c>
      <c r="G5769">
        <v>6.19</v>
      </c>
      <c r="H57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69" t="str">
        <f>IFERROR(INDEX(Raw_orders!G:G, MATCH(shipments[[#This Row],[order_id]],Raw_orders!A:A, 0)), "Unknown")</f>
        <v>Unknown</v>
      </c>
      <c r="J5769" t="str">
        <f>PROPER(shipments[[#This Row],[delivery_status]])</f>
        <v>Delivered</v>
      </c>
      <c r="K5769" t="s">
        <v>6926</v>
      </c>
    </row>
    <row r="5770" spans="1:11">
      <c r="A5770" t="s">
        <v>12706</v>
      </c>
      <c r="B5770" t="s">
        <v>6331</v>
      </c>
      <c r="C5770" t="s">
        <v>6940</v>
      </c>
      <c r="D5770" s="1">
        <v>45271</v>
      </c>
      <c r="E5770" s="1">
        <v>45278</v>
      </c>
      <c r="F5770" s="1"/>
      <c r="G5770">
        <v>31.54</v>
      </c>
      <c r="H57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770" t="str">
        <f>IFERROR(INDEX(Raw_orders!G:G, MATCH(shipments[[#This Row],[order_id]],Raw_orders!A:A, 0)), "Unknown")</f>
        <v>Central Europe</v>
      </c>
      <c r="J5770" t="str">
        <f>PROPER(shipments[[#This Row],[delivery_status]])</f>
        <v>In Transit</v>
      </c>
      <c r="K5770" t="s">
        <v>6977</v>
      </c>
    </row>
    <row r="5771" spans="1:11">
      <c r="A5771" t="s">
        <v>12707</v>
      </c>
      <c r="B5771" t="s">
        <v>6332</v>
      </c>
      <c r="C5771" t="s">
        <v>6940</v>
      </c>
      <c r="D5771" s="1">
        <v>45075</v>
      </c>
      <c r="E5771" s="1">
        <v>45080</v>
      </c>
      <c r="F5771" s="1">
        <v>45085</v>
      </c>
      <c r="G5771">
        <v>36.83</v>
      </c>
      <c r="H57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71" t="str">
        <f>IFERROR(INDEX(Raw_orders!G:G, MATCH(shipments[[#This Row],[order_id]],Raw_orders!A:A, 0)), "Unknown")</f>
        <v>Baltics</v>
      </c>
      <c r="J5771" t="str">
        <f>PROPER(shipments[[#This Row],[delivery_status]])</f>
        <v>Delivered</v>
      </c>
      <c r="K5771" t="s">
        <v>6926</v>
      </c>
    </row>
    <row r="5772" spans="1:11">
      <c r="A5772" t="s">
        <v>12708</v>
      </c>
      <c r="B5772" t="s">
        <v>6333</v>
      </c>
      <c r="C5772" t="s">
        <v>6921</v>
      </c>
      <c r="D5772" s="1">
        <v>45231</v>
      </c>
      <c r="E5772" s="1">
        <v>45234</v>
      </c>
      <c r="F5772" s="1">
        <v>45246</v>
      </c>
      <c r="G5772">
        <v>48.74</v>
      </c>
      <c r="H57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72" t="str">
        <f>IFERROR(INDEX(Raw_orders!G:G, MATCH(shipments[[#This Row],[order_id]],Raw_orders!A:A, 0)), "Unknown")</f>
        <v>Nordics</v>
      </c>
      <c r="J5772" t="str">
        <f>PROPER(shipments[[#This Row],[delivery_status]])</f>
        <v>Delivered</v>
      </c>
      <c r="K5772" t="s">
        <v>6929</v>
      </c>
    </row>
    <row r="5773" spans="1:11">
      <c r="A5773" t="s">
        <v>12709</v>
      </c>
      <c r="B5773" t="s">
        <v>6334</v>
      </c>
      <c r="C5773" t="s">
        <v>6921</v>
      </c>
      <c r="D5773" s="1">
        <v>45547</v>
      </c>
      <c r="E5773" s="1">
        <v>45552</v>
      </c>
      <c r="F5773" s="1"/>
      <c r="G5773">
        <v>58.99</v>
      </c>
      <c r="H57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773" t="str">
        <f>IFERROR(INDEX(Raw_orders!G:G, MATCH(shipments[[#This Row],[order_id]],Raw_orders!A:A, 0)), "Unknown")</f>
        <v>Central Europe</v>
      </c>
      <c r="J5773" t="str">
        <f>PROPER(shipments[[#This Row],[delivery_status]])</f>
        <v>Cancelled</v>
      </c>
      <c r="K5773" t="s">
        <v>6972</v>
      </c>
    </row>
    <row r="5774" spans="1:11">
      <c r="A5774" t="s">
        <v>12710</v>
      </c>
      <c r="B5774" t="s">
        <v>6335</v>
      </c>
      <c r="C5774" t="s">
        <v>6956</v>
      </c>
      <c r="D5774" s="1">
        <v>45418</v>
      </c>
      <c r="E5774" s="1">
        <v>45420</v>
      </c>
      <c r="F5774" s="1">
        <v>45425</v>
      </c>
      <c r="G5774">
        <v>12.27</v>
      </c>
      <c r="H57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74" t="str">
        <f>IFERROR(INDEX(Raw_orders!G:G, MATCH(shipments[[#This Row],[order_id]],Raw_orders!A:A, 0)), "Unknown")</f>
        <v>Nordics</v>
      </c>
      <c r="J5774" t="str">
        <f>PROPER(shipments[[#This Row],[delivery_status]])</f>
        <v>Delivered</v>
      </c>
      <c r="K5774" t="s">
        <v>6929</v>
      </c>
    </row>
    <row r="5775" spans="1:11">
      <c r="A5775" t="s">
        <v>12711</v>
      </c>
      <c r="B5775" t="s">
        <v>6336</v>
      </c>
      <c r="C5775" t="s">
        <v>6931</v>
      </c>
      <c r="D5775" s="1">
        <v>45303</v>
      </c>
      <c r="E5775" s="1">
        <v>45305</v>
      </c>
      <c r="F5775" s="1"/>
      <c r="G5775">
        <v>32.729999999999997</v>
      </c>
      <c r="H57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775" t="str">
        <f>IFERROR(INDEX(Raw_orders!G:G, MATCH(shipments[[#This Row],[order_id]],Raw_orders!A:A, 0)), "Unknown")</f>
        <v>Baltics</v>
      </c>
      <c r="J5775" t="str">
        <f>PROPER(shipments[[#This Row],[delivery_status]])</f>
        <v>Cancelled</v>
      </c>
      <c r="K5775" t="s">
        <v>6979</v>
      </c>
    </row>
    <row r="5776" spans="1:11">
      <c r="A5776" t="s">
        <v>12712</v>
      </c>
      <c r="B5776" t="s">
        <v>6337</v>
      </c>
      <c r="C5776" t="s">
        <v>6940</v>
      </c>
      <c r="D5776" s="1">
        <v>45418</v>
      </c>
      <c r="E5776" s="1">
        <v>45423</v>
      </c>
      <c r="F5776" s="1">
        <v>45422</v>
      </c>
      <c r="G5776">
        <v>39.24</v>
      </c>
      <c r="H57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776" t="str">
        <f>IFERROR(INDEX(Raw_orders!G:G, MATCH(shipments[[#This Row],[order_id]],Raw_orders!A:A, 0)), "Unknown")</f>
        <v>Central Europe</v>
      </c>
      <c r="J5776" t="str">
        <f>PROPER(shipments[[#This Row],[delivery_status]])</f>
        <v>Delivered</v>
      </c>
      <c r="K5776" t="s">
        <v>6926</v>
      </c>
    </row>
    <row r="5777" spans="1:11">
      <c r="A5777" t="s">
        <v>12713</v>
      </c>
      <c r="B5777" t="s">
        <v>6338</v>
      </c>
      <c r="C5777" t="s">
        <v>6921</v>
      </c>
      <c r="D5777" s="1">
        <v>45388</v>
      </c>
      <c r="E5777" s="1">
        <v>45395</v>
      </c>
      <c r="F5777" s="1">
        <v>45394</v>
      </c>
      <c r="G5777">
        <v>36.61</v>
      </c>
      <c r="H57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777" t="str">
        <f>IFERROR(INDEX(Raw_orders!G:G, MATCH(shipments[[#This Row],[order_id]],Raw_orders!A:A, 0)), "Unknown")</f>
        <v>Baltics</v>
      </c>
      <c r="J5777" t="str">
        <f>PROPER(shipments[[#This Row],[delivery_status]])</f>
        <v>Delivered</v>
      </c>
      <c r="K5777" t="s">
        <v>6922</v>
      </c>
    </row>
    <row r="5778" spans="1:11">
      <c r="A5778" t="s">
        <v>12714</v>
      </c>
      <c r="B5778" t="s">
        <v>6339</v>
      </c>
      <c r="C5778" t="s">
        <v>6931</v>
      </c>
      <c r="D5778" s="1">
        <v>45510</v>
      </c>
      <c r="E5778" s="1">
        <v>45515</v>
      </c>
      <c r="F5778" s="1"/>
      <c r="G5778">
        <v>14.65</v>
      </c>
      <c r="H57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778" t="str">
        <f>IFERROR(INDEX(Raw_orders!G:G, MATCH(shipments[[#This Row],[order_id]],Raw_orders!A:A, 0)), "Unknown")</f>
        <v>Nordics</v>
      </c>
      <c r="J5778" t="str">
        <f>PROPER(shipments[[#This Row],[delivery_status]])</f>
        <v>Cancelled</v>
      </c>
      <c r="K5778" t="s">
        <v>6979</v>
      </c>
    </row>
    <row r="5779" spans="1:11">
      <c r="A5779" t="s">
        <v>12715</v>
      </c>
      <c r="B5779" t="s">
        <v>6340</v>
      </c>
      <c r="C5779" t="s">
        <v>6931</v>
      </c>
      <c r="D5779" s="1">
        <v>45531</v>
      </c>
      <c r="E5779" s="1">
        <v>45541</v>
      </c>
      <c r="F5779" s="1">
        <v>45542</v>
      </c>
      <c r="G5779">
        <v>36.82</v>
      </c>
      <c r="H57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79" t="str">
        <f>IFERROR(INDEX(Raw_orders!G:G, MATCH(shipments[[#This Row],[order_id]],Raw_orders!A:A, 0)), "Unknown")</f>
        <v>Nordics</v>
      </c>
      <c r="J5779" t="str">
        <f>PROPER(shipments[[#This Row],[delivery_status]])</f>
        <v>Delivered</v>
      </c>
      <c r="K5779" t="s">
        <v>6926</v>
      </c>
    </row>
    <row r="5780" spans="1:11">
      <c r="A5780" t="s">
        <v>12716</v>
      </c>
      <c r="B5780" t="s">
        <v>6340</v>
      </c>
      <c r="C5780" t="s">
        <v>6921</v>
      </c>
      <c r="D5780" s="1">
        <v>45533</v>
      </c>
      <c r="E5780" s="1">
        <v>45536</v>
      </c>
      <c r="F5780" s="1">
        <v>45536</v>
      </c>
      <c r="G5780">
        <v>59.11</v>
      </c>
      <c r="H57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780" t="str">
        <f>IFERROR(INDEX(Raw_orders!G:G, MATCH(shipments[[#This Row],[order_id]],Raw_orders!A:A, 0)), "Unknown")</f>
        <v>Nordics</v>
      </c>
      <c r="J5780" t="str">
        <f>PROPER(shipments[[#This Row],[delivery_status]])</f>
        <v>Delivered</v>
      </c>
      <c r="K5780" t="s">
        <v>6929</v>
      </c>
    </row>
    <row r="5781" spans="1:11">
      <c r="A5781" t="s">
        <v>12717</v>
      </c>
      <c r="B5781" t="s">
        <v>6341</v>
      </c>
      <c r="C5781" t="s">
        <v>6921</v>
      </c>
      <c r="D5781" s="1">
        <v>45199</v>
      </c>
      <c r="E5781" s="1">
        <v>45201</v>
      </c>
      <c r="F5781" s="1">
        <v>45210</v>
      </c>
      <c r="G5781">
        <v>17.63</v>
      </c>
      <c r="H57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81" t="str">
        <f>IFERROR(INDEX(Raw_orders!G:G, MATCH(shipments[[#This Row],[order_id]],Raw_orders!A:A, 0)), "Unknown")</f>
        <v>Central Europe</v>
      </c>
      <c r="J5781" t="str">
        <f>PROPER(shipments[[#This Row],[delivery_status]])</f>
        <v>Delivered</v>
      </c>
      <c r="K5781" t="s">
        <v>6922</v>
      </c>
    </row>
    <row r="5782" spans="1:11">
      <c r="A5782" t="s">
        <v>12718</v>
      </c>
      <c r="B5782" t="s">
        <v>6342</v>
      </c>
      <c r="C5782" t="s">
        <v>6956</v>
      </c>
      <c r="D5782" s="1">
        <v>44969</v>
      </c>
      <c r="E5782" s="1">
        <v>44971</v>
      </c>
      <c r="F5782" s="1">
        <v>44973</v>
      </c>
      <c r="G5782">
        <v>8.9600000000000009</v>
      </c>
      <c r="H57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82" t="str">
        <f>IFERROR(INDEX(Raw_orders!G:G, MATCH(shipments[[#This Row],[order_id]],Raw_orders!A:A, 0)), "Unknown")</f>
        <v>Baltics</v>
      </c>
      <c r="J5782" t="str">
        <f>PROPER(shipments[[#This Row],[delivery_status]])</f>
        <v>Delivered</v>
      </c>
      <c r="K5782" t="s">
        <v>6929</v>
      </c>
    </row>
    <row r="5783" spans="1:11">
      <c r="A5783" t="s">
        <v>12719</v>
      </c>
      <c r="B5783" t="s">
        <v>6343</v>
      </c>
      <c r="C5783" t="s">
        <v>6931</v>
      </c>
      <c r="D5783" s="1">
        <v>45293</v>
      </c>
      <c r="E5783" s="1">
        <v>45303</v>
      </c>
      <c r="F5783" s="1">
        <v>45311</v>
      </c>
      <c r="G5783">
        <v>17.89</v>
      </c>
      <c r="H57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83" t="str">
        <f>IFERROR(INDEX(Raw_orders!G:G, MATCH(shipments[[#This Row],[order_id]],Raw_orders!A:A, 0)), "Unknown")</f>
        <v>Baltics</v>
      </c>
      <c r="J5783" t="str">
        <f>PROPER(shipments[[#This Row],[delivery_status]])</f>
        <v>Delivered</v>
      </c>
      <c r="K5783" t="s">
        <v>6922</v>
      </c>
    </row>
    <row r="5784" spans="1:11">
      <c r="A5784" t="s">
        <v>12720</v>
      </c>
      <c r="B5784" t="s">
        <v>6344</v>
      </c>
      <c r="C5784" t="s">
        <v>6921</v>
      </c>
      <c r="D5784" s="1">
        <v>45297</v>
      </c>
      <c r="E5784" s="1">
        <v>45307</v>
      </c>
      <c r="F5784" s="1">
        <v>45310</v>
      </c>
      <c r="G5784">
        <v>37.85</v>
      </c>
      <c r="H57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84" t="str">
        <f>IFERROR(INDEX(Raw_orders!G:G, MATCH(shipments[[#This Row],[order_id]],Raw_orders!A:A, 0)), "Unknown")</f>
        <v>Central Europe</v>
      </c>
      <c r="J5784" t="str">
        <f>PROPER(shipments[[#This Row],[delivery_status]])</f>
        <v>Delivered</v>
      </c>
      <c r="K5784" t="s">
        <v>6922</v>
      </c>
    </row>
    <row r="5785" spans="1:11">
      <c r="A5785" t="s">
        <v>12721</v>
      </c>
      <c r="B5785" t="s">
        <v>6345</v>
      </c>
      <c r="C5785" t="s">
        <v>6935</v>
      </c>
      <c r="D5785" s="1">
        <v>45127</v>
      </c>
      <c r="E5785" s="1">
        <v>45129</v>
      </c>
      <c r="F5785" s="1">
        <v>45129</v>
      </c>
      <c r="G5785">
        <v>62.37</v>
      </c>
      <c r="H57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785" t="str">
        <f>IFERROR(INDEX(Raw_orders!G:G, MATCH(shipments[[#This Row],[order_id]],Raw_orders!A:A, 0)), "Unknown")</f>
        <v>Unknown</v>
      </c>
      <c r="J5785" t="str">
        <f>PROPER(shipments[[#This Row],[delivery_status]])</f>
        <v>Delivered</v>
      </c>
      <c r="K5785" t="s">
        <v>6926</v>
      </c>
    </row>
    <row r="5786" spans="1:11">
      <c r="A5786" t="s">
        <v>12722</v>
      </c>
      <c r="B5786" t="s">
        <v>6346</v>
      </c>
      <c r="C5786" t="s">
        <v>6940</v>
      </c>
      <c r="D5786" s="1">
        <v>45270</v>
      </c>
      <c r="E5786" s="1">
        <v>45272</v>
      </c>
      <c r="F5786" s="1">
        <v>45273</v>
      </c>
      <c r="G5786">
        <v>60.22</v>
      </c>
      <c r="H57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86" t="str">
        <f>IFERROR(INDEX(Raw_orders!G:G, MATCH(shipments[[#This Row],[order_id]],Raw_orders!A:A, 0)), "Unknown")</f>
        <v>Central Europe</v>
      </c>
      <c r="J5786" t="str">
        <f>PROPER(shipments[[#This Row],[delivery_status]])</f>
        <v>Delivered</v>
      </c>
      <c r="K5786" t="s">
        <v>6922</v>
      </c>
    </row>
    <row r="5787" spans="1:11">
      <c r="A5787" t="s">
        <v>12723</v>
      </c>
      <c r="B5787" t="s">
        <v>6347</v>
      </c>
      <c r="C5787" t="s">
        <v>6921</v>
      </c>
      <c r="D5787" s="1">
        <v>45340</v>
      </c>
      <c r="E5787" s="1">
        <v>45345</v>
      </c>
      <c r="F5787" s="1"/>
      <c r="G5787">
        <v>53.81</v>
      </c>
      <c r="H57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787" t="str">
        <f>IFERROR(INDEX(Raw_orders!G:G, MATCH(shipments[[#This Row],[order_id]],Raw_orders!A:A, 0)), "Unknown")</f>
        <v>Baltics</v>
      </c>
      <c r="J5787" t="str">
        <f>PROPER(shipments[[#This Row],[delivery_status]])</f>
        <v>In Transit</v>
      </c>
      <c r="K5787" t="s">
        <v>6977</v>
      </c>
    </row>
    <row r="5788" spans="1:11">
      <c r="A5788" t="s">
        <v>12724</v>
      </c>
      <c r="B5788" t="s">
        <v>6348</v>
      </c>
      <c r="C5788" t="s">
        <v>6956</v>
      </c>
      <c r="D5788" s="1">
        <v>45555</v>
      </c>
      <c r="E5788" s="1">
        <v>45560</v>
      </c>
      <c r="F5788" s="1">
        <v>45560</v>
      </c>
      <c r="G5788">
        <v>10.9</v>
      </c>
      <c r="H57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788" t="str">
        <f>IFERROR(INDEX(Raw_orders!G:G, MATCH(shipments[[#This Row],[order_id]],Raw_orders!A:A, 0)), "Unknown")</f>
        <v>Central Europe</v>
      </c>
      <c r="J5788" t="str">
        <f>PROPER(shipments[[#This Row],[delivery_status]])</f>
        <v>Delivered</v>
      </c>
      <c r="K5788" t="s">
        <v>6929</v>
      </c>
    </row>
    <row r="5789" spans="1:11">
      <c r="A5789" t="s">
        <v>12725</v>
      </c>
      <c r="B5789" t="s">
        <v>6349</v>
      </c>
      <c r="C5789" t="s">
        <v>6956</v>
      </c>
      <c r="D5789" s="1">
        <v>45245</v>
      </c>
      <c r="E5789" s="1">
        <v>45247</v>
      </c>
      <c r="F5789" s="1">
        <v>45252</v>
      </c>
      <c r="G5789">
        <v>15.12</v>
      </c>
      <c r="H57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89" t="str">
        <f>IFERROR(INDEX(Raw_orders!G:G, MATCH(shipments[[#This Row],[order_id]],Raw_orders!A:A, 0)), "Unknown")</f>
        <v>Baltics</v>
      </c>
      <c r="J5789" t="str">
        <f>PROPER(shipments[[#This Row],[delivery_status]])</f>
        <v>Delivered</v>
      </c>
      <c r="K5789" t="s">
        <v>6922</v>
      </c>
    </row>
    <row r="5790" spans="1:11">
      <c r="A5790" t="s">
        <v>12726</v>
      </c>
      <c r="B5790" t="s">
        <v>6350</v>
      </c>
      <c r="C5790" t="s">
        <v>6925</v>
      </c>
      <c r="D5790" s="1">
        <v>45410</v>
      </c>
      <c r="E5790" s="1">
        <v>45420</v>
      </c>
      <c r="F5790" s="1">
        <v>45426</v>
      </c>
      <c r="G5790">
        <v>24.91</v>
      </c>
      <c r="H57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90" t="str">
        <f>IFERROR(INDEX(Raw_orders!G:G, MATCH(shipments[[#This Row],[order_id]],Raw_orders!A:A, 0)), "Unknown")</f>
        <v>Central Europe</v>
      </c>
      <c r="J5790" t="str">
        <f>PROPER(shipments[[#This Row],[delivery_status]])</f>
        <v>Delivered</v>
      </c>
      <c r="K5790" t="s">
        <v>6929</v>
      </c>
    </row>
    <row r="5791" spans="1:11">
      <c r="A5791" t="s">
        <v>12727</v>
      </c>
      <c r="B5791" t="s">
        <v>6351</v>
      </c>
      <c r="C5791" t="s">
        <v>6938</v>
      </c>
      <c r="D5791" s="1">
        <v>45618</v>
      </c>
      <c r="E5791" s="1">
        <v>45620</v>
      </c>
      <c r="F5791" s="1">
        <v>45625</v>
      </c>
      <c r="G5791">
        <v>26.23</v>
      </c>
      <c r="H57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91" t="str">
        <f>IFERROR(INDEX(Raw_orders!G:G, MATCH(shipments[[#This Row],[order_id]],Raw_orders!A:A, 0)), "Unknown")</f>
        <v>Central Europe</v>
      </c>
      <c r="J5791" t="str">
        <f>PROPER(shipments[[#This Row],[delivery_status]])</f>
        <v>Delivered</v>
      </c>
      <c r="K5791" t="s">
        <v>6929</v>
      </c>
    </row>
    <row r="5792" spans="1:11">
      <c r="A5792" t="s">
        <v>12728</v>
      </c>
      <c r="B5792" t="s">
        <v>6352</v>
      </c>
      <c r="C5792" t="s">
        <v>6935</v>
      </c>
      <c r="D5792" s="1">
        <v>45147</v>
      </c>
      <c r="E5792" s="1">
        <v>45154</v>
      </c>
      <c r="F5792" s="1">
        <v>45154</v>
      </c>
      <c r="G5792">
        <v>46.62</v>
      </c>
      <c r="H57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792" t="str">
        <f>IFERROR(INDEX(Raw_orders!G:G, MATCH(shipments[[#This Row],[order_id]],Raw_orders!A:A, 0)), "Unknown")</f>
        <v>Nordics</v>
      </c>
      <c r="J5792" t="str">
        <f>PROPER(shipments[[#This Row],[delivery_status]])</f>
        <v>Delivered</v>
      </c>
      <c r="K5792" t="s">
        <v>6922</v>
      </c>
    </row>
    <row r="5793" spans="1:11">
      <c r="A5793" t="s">
        <v>12729</v>
      </c>
      <c r="B5793" t="s">
        <v>6353</v>
      </c>
      <c r="C5793" t="s">
        <v>6956</v>
      </c>
      <c r="D5793" s="1">
        <v>45334</v>
      </c>
      <c r="E5793" s="1">
        <v>45337</v>
      </c>
      <c r="F5793" s="1">
        <v>45337</v>
      </c>
      <c r="G5793">
        <v>14.79</v>
      </c>
      <c r="H57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793" t="str">
        <f>IFERROR(INDEX(Raw_orders!G:G, MATCH(shipments[[#This Row],[order_id]],Raw_orders!A:A, 0)), "Unknown")</f>
        <v>Central Europe</v>
      </c>
      <c r="J5793" t="str">
        <f>PROPER(shipments[[#This Row],[delivery_status]])</f>
        <v>Delivered</v>
      </c>
      <c r="K5793" t="s">
        <v>6929</v>
      </c>
    </row>
    <row r="5794" spans="1:11">
      <c r="A5794" t="s">
        <v>12730</v>
      </c>
      <c r="B5794" t="s">
        <v>6354</v>
      </c>
      <c r="C5794" t="s">
        <v>6935</v>
      </c>
      <c r="D5794" s="1">
        <v>44985</v>
      </c>
      <c r="E5794" s="1">
        <v>44988</v>
      </c>
      <c r="F5794" s="1">
        <v>44993</v>
      </c>
      <c r="G5794">
        <v>46.36</v>
      </c>
      <c r="H57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94" t="str">
        <f>IFERROR(INDEX(Raw_orders!G:G, MATCH(shipments[[#This Row],[order_id]],Raw_orders!A:A, 0)), "Unknown")</f>
        <v>Central Europe</v>
      </c>
      <c r="J5794" t="str">
        <f>PROPER(shipments[[#This Row],[delivery_status]])</f>
        <v>Delivered</v>
      </c>
      <c r="K5794" t="s">
        <v>6922</v>
      </c>
    </row>
    <row r="5795" spans="1:11">
      <c r="A5795" t="s">
        <v>12731</v>
      </c>
      <c r="B5795" t="s">
        <v>6355</v>
      </c>
      <c r="C5795" t="s">
        <v>6938</v>
      </c>
      <c r="D5795" s="1">
        <v>45283</v>
      </c>
      <c r="E5795" s="1">
        <v>45293</v>
      </c>
      <c r="F5795" s="1">
        <v>45307</v>
      </c>
      <c r="G5795">
        <v>9.26</v>
      </c>
      <c r="H57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95" t="str">
        <f>IFERROR(INDEX(Raw_orders!G:G, MATCH(shipments[[#This Row],[order_id]],Raw_orders!A:A, 0)), "Unknown")</f>
        <v>Baltics</v>
      </c>
      <c r="J5795" t="str">
        <f>PROPER(shipments[[#This Row],[delivery_status]])</f>
        <v>Delivered</v>
      </c>
      <c r="K5795" t="s">
        <v>6926</v>
      </c>
    </row>
    <row r="5796" spans="1:11">
      <c r="A5796" t="s">
        <v>12732</v>
      </c>
      <c r="B5796" t="s">
        <v>6355</v>
      </c>
      <c r="C5796" t="s">
        <v>6940</v>
      </c>
      <c r="D5796" s="1">
        <v>45283</v>
      </c>
      <c r="E5796" s="1">
        <v>45288</v>
      </c>
      <c r="F5796" s="1">
        <v>45288</v>
      </c>
      <c r="G5796">
        <v>46.78</v>
      </c>
      <c r="H57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796" t="str">
        <f>IFERROR(INDEX(Raw_orders!G:G, MATCH(shipments[[#This Row],[order_id]],Raw_orders!A:A, 0)), "Unknown")</f>
        <v>Baltics</v>
      </c>
      <c r="J5796" t="str">
        <f>PROPER(shipments[[#This Row],[delivery_status]])</f>
        <v>Delivered</v>
      </c>
      <c r="K5796" t="s">
        <v>6929</v>
      </c>
    </row>
    <row r="5797" spans="1:11">
      <c r="A5797" t="s">
        <v>12733</v>
      </c>
      <c r="B5797" t="s">
        <v>6356</v>
      </c>
      <c r="C5797" t="s">
        <v>6931</v>
      </c>
      <c r="D5797" s="1">
        <v>45524</v>
      </c>
      <c r="E5797" s="1">
        <v>45531</v>
      </c>
      <c r="F5797" s="1"/>
      <c r="G5797">
        <v>21.77</v>
      </c>
      <c r="H57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797" t="str">
        <f>IFERROR(INDEX(Raw_orders!G:G, MATCH(shipments[[#This Row],[order_id]],Raw_orders!A:A, 0)), "Unknown")</f>
        <v>Central Europe</v>
      </c>
      <c r="J5797" t="str">
        <f>PROPER(shipments[[#This Row],[delivery_status]])</f>
        <v>Cancelled</v>
      </c>
      <c r="K5797" t="s">
        <v>6963</v>
      </c>
    </row>
    <row r="5798" spans="1:11">
      <c r="A5798" t="s">
        <v>12734</v>
      </c>
      <c r="B5798" t="s">
        <v>6357</v>
      </c>
      <c r="C5798" t="s">
        <v>6921</v>
      </c>
      <c r="D5798" s="1">
        <v>44990</v>
      </c>
      <c r="E5798" s="1">
        <v>44993</v>
      </c>
      <c r="F5798" s="1">
        <v>44998</v>
      </c>
      <c r="G5798">
        <v>37.03</v>
      </c>
      <c r="H57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98" t="str">
        <f>IFERROR(INDEX(Raw_orders!G:G, MATCH(shipments[[#This Row],[order_id]],Raw_orders!A:A, 0)), "Unknown")</f>
        <v>Baltics</v>
      </c>
      <c r="J5798" t="str">
        <f>PROPER(shipments[[#This Row],[delivery_status]])</f>
        <v>Delivered</v>
      </c>
      <c r="K5798" t="s">
        <v>6922</v>
      </c>
    </row>
    <row r="5799" spans="1:11">
      <c r="A5799" t="s">
        <v>12735</v>
      </c>
      <c r="B5799" t="s">
        <v>6358</v>
      </c>
      <c r="C5799" t="s">
        <v>6925</v>
      </c>
      <c r="D5799" s="1">
        <v>45565</v>
      </c>
      <c r="E5799" s="1">
        <v>45570</v>
      </c>
      <c r="F5799" s="1">
        <v>45571</v>
      </c>
      <c r="G5799">
        <v>26.4</v>
      </c>
      <c r="H57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799" t="str">
        <f>IFERROR(INDEX(Raw_orders!G:G, MATCH(shipments[[#This Row],[order_id]],Raw_orders!A:A, 0)), "Unknown")</f>
        <v>Baltics</v>
      </c>
      <c r="J5799" t="str">
        <f>PROPER(shipments[[#This Row],[delivery_status]])</f>
        <v>Delivered</v>
      </c>
      <c r="K5799" t="s">
        <v>6922</v>
      </c>
    </row>
    <row r="5800" spans="1:11">
      <c r="A5800" t="s">
        <v>12736</v>
      </c>
      <c r="B5800" t="s">
        <v>6359</v>
      </c>
      <c r="C5800" t="s">
        <v>6928</v>
      </c>
      <c r="D5800" s="1">
        <v>45046</v>
      </c>
      <c r="E5800" s="1">
        <v>45053</v>
      </c>
      <c r="F5800" s="1">
        <v>45053</v>
      </c>
      <c r="G5800">
        <v>49.3</v>
      </c>
      <c r="H58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800" t="str">
        <f>IFERROR(INDEX(Raw_orders!G:G, MATCH(shipments[[#This Row],[order_id]],Raw_orders!A:A, 0)), "Unknown")</f>
        <v>Central Europe</v>
      </c>
      <c r="J5800" t="str">
        <f>PROPER(shipments[[#This Row],[delivery_status]])</f>
        <v>Delivered</v>
      </c>
      <c r="K5800" t="s">
        <v>6922</v>
      </c>
    </row>
    <row r="5801" spans="1:11">
      <c r="A5801" t="s">
        <v>12737</v>
      </c>
      <c r="B5801" t="s">
        <v>6360</v>
      </c>
      <c r="C5801" t="s">
        <v>6935</v>
      </c>
      <c r="D5801" s="1">
        <v>45188</v>
      </c>
      <c r="E5801" s="1">
        <v>45195</v>
      </c>
      <c r="F5801" s="1">
        <v>45199</v>
      </c>
      <c r="G5801">
        <v>62.53</v>
      </c>
      <c r="H58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01" t="str">
        <f>IFERROR(INDEX(Raw_orders!G:G, MATCH(shipments[[#This Row],[order_id]],Raw_orders!A:A, 0)), "Unknown")</f>
        <v>Baltics</v>
      </c>
      <c r="J5801" t="str">
        <f>PROPER(shipments[[#This Row],[delivery_status]])</f>
        <v>Delivered</v>
      </c>
      <c r="K5801" t="s">
        <v>6929</v>
      </c>
    </row>
    <row r="5802" spans="1:11">
      <c r="A5802" t="s">
        <v>12738</v>
      </c>
      <c r="B5802" t="s">
        <v>6361</v>
      </c>
      <c r="C5802" t="s">
        <v>6956</v>
      </c>
      <c r="D5802" s="1">
        <v>45214</v>
      </c>
      <c r="E5802" s="1">
        <v>45217</v>
      </c>
      <c r="F5802" s="1">
        <v>45225</v>
      </c>
      <c r="G5802">
        <v>34.299999999999997</v>
      </c>
      <c r="H58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02" t="str">
        <f>IFERROR(INDEX(Raw_orders!G:G, MATCH(shipments[[#This Row],[order_id]],Raw_orders!A:A, 0)), "Unknown")</f>
        <v>Baltics</v>
      </c>
      <c r="J5802" t="str">
        <f>PROPER(shipments[[#This Row],[delivery_status]])</f>
        <v>Delivered</v>
      </c>
      <c r="K5802" t="s">
        <v>6922</v>
      </c>
    </row>
    <row r="5803" spans="1:11">
      <c r="A5803" t="s">
        <v>12739</v>
      </c>
      <c r="B5803" t="s">
        <v>6362</v>
      </c>
      <c r="C5803" t="s">
        <v>6931</v>
      </c>
      <c r="D5803" s="1">
        <v>45269</v>
      </c>
      <c r="E5803" s="1">
        <v>45279</v>
      </c>
      <c r="F5803" s="1">
        <v>45279</v>
      </c>
      <c r="G5803">
        <v>26.91</v>
      </c>
      <c r="H58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803" t="str">
        <f>IFERROR(INDEX(Raw_orders!G:G, MATCH(shipments[[#This Row],[order_id]],Raw_orders!A:A, 0)), "Unknown")</f>
        <v>Nordics</v>
      </c>
      <c r="J5803" t="str">
        <f>PROPER(shipments[[#This Row],[delivery_status]])</f>
        <v>Delivered</v>
      </c>
      <c r="K5803" t="s">
        <v>6929</v>
      </c>
    </row>
    <row r="5804" spans="1:11">
      <c r="A5804" t="s">
        <v>12740</v>
      </c>
      <c r="B5804" t="s">
        <v>6363</v>
      </c>
      <c r="C5804" t="s">
        <v>6928</v>
      </c>
      <c r="D5804" s="1">
        <v>45095</v>
      </c>
      <c r="E5804" s="1">
        <v>45098</v>
      </c>
      <c r="F5804" s="1">
        <v>45106</v>
      </c>
      <c r="G5804">
        <v>15.63</v>
      </c>
      <c r="H58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04" t="str">
        <f>IFERROR(INDEX(Raw_orders!G:G, MATCH(shipments[[#This Row],[order_id]],Raw_orders!A:A, 0)), "Unknown")</f>
        <v>Central Europe</v>
      </c>
      <c r="J5804" t="str">
        <f>PROPER(shipments[[#This Row],[delivery_status]])</f>
        <v>Delivered</v>
      </c>
      <c r="K5804" t="s">
        <v>6926</v>
      </c>
    </row>
    <row r="5805" spans="1:11">
      <c r="A5805" t="s">
        <v>12741</v>
      </c>
      <c r="B5805" t="s">
        <v>6364</v>
      </c>
      <c r="C5805" t="s">
        <v>6925</v>
      </c>
      <c r="D5805" s="1">
        <v>45303</v>
      </c>
      <c r="E5805" s="1">
        <v>45310</v>
      </c>
      <c r="F5805" s="1"/>
      <c r="G5805">
        <v>26.24</v>
      </c>
      <c r="H58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805" t="str">
        <f>IFERROR(INDEX(Raw_orders!G:G, MATCH(shipments[[#This Row],[order_id]],Raw_orders!A:A, 0)), "Unknown")</f>
        <v>Central Europe</v>
      </c>
      <c r="J5805" t="str">
        <f>PROPER(shipments[[#This Row],[delivery_status]])</f>
        <v>In Transit</v>
      </c>
      <c r="K5805" t="s">
        <v>6958</v>
      </c>
    </row>
    <row r="5806" spans="1:11">
      <c r="A5806" t="s">
        <v>12742</v>
      </c>
      <c r="B5806" t="s">
        <v>6365</v>
      </c>
      <c r="C5806" t="s">
        <v>6935</v>
      </c>
      <c r="D5806" s="1">
        <v>45004</v>
      </c>
      <c r="E5806" s="1">
        <v>45009</v>
      </c>
      <c r="F5806" s="1">
        <v>45011</v>
      </c>
      <c r="G5806">
        <v>47.63</v>
      </c>
      <c r="H58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06" t="str">
        <f>IFERROR(INDEX(Raw_orders!G:G, MATCH(shipments[[#This Row],[order_id]],Raw_orders!A:A, 0)), "Unknown")</f>
        <v>Baltics</v>
      </c>
      <c r="J5806" t="str">
        <f>PROPER(shipments[[#This Row],[delivery_status]])</f>
        <v>Delivered</v>
      </c>
      <c r="K5806" t="s">
        <v>6922</v>
      </c>
    </row>
    <row r="5807" spans="1:11">
      <c r="A5807" t="s">
        <v>12743</v>
      </c>
      <c r="B5807" t="s">
        <v>6366</v>
      </c>
      <c r="C5807" t="s">
        <v>6921</v>
      </c>
      <c r="D5807" s="1">
        <v>45561</v>
      </c>
      <c r="E5807" s="1">
        <v>45568</v>
      </c>
      <c r="F5807" s="1">
        <v>45568</v>
      </c>
      <c r="G5807">
        <v>37.32</v>
      </c>
      <c r="H58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807" t="str">
        <f>IFERROR(INDEX(Raw_orders!G:G, MATCH(shipments[[#This Row],[order_id]],Raw_orders!A:A, 0)), "Unknown")</f>
        <v>Central Europe</v>
      </c>
      <c r="J5807" t="str">
        <f>PROPER(shipments[[#This Row],[delivery_status]])</f>
        <v>Delivered</v>
      </c>
      <c r="K5807" t="s">
        <v>6929</v>
      </c>
    </row>
    <row r="5808" spans="1:11">
      <c r="A5808" t="s">
        <v>12744</v>
      </c>
      <c r="B5808" t="s">
        <v>6367</v>
      </c>
      <c r="C5808" t="s">
        <v>6935</v>
      </c>
      <c r="D5808" s="1">
        <v>45566</v>
      </c>
      <c r="E5808" s="1">
        <v>45571</v>
      </c>
      <c r="F5808" s="1">
        <v>45572</v>
      </c>
      <c r="G5808">
        <v>20.12</v>
      </c>
      <c r="H58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08" t="str">
        <f>IFERROR(INDEX(Raw_orders!G:G, MATCH(shipments[[#This Row],[order_id]],Raw_orders!A:A, 0)), "Unknown")</f>
        <v>Central Europe</v>
      </c>
      <c r="J5808" t="str">
        <f>PROPER(shipments[[#This Row],[delivery_status]])</f>
        <v>Delivered</v>
      </c>
      <c r="K5808" t="s">
        <v>6922</v>
      </c>
    </row>
    <row r="5809" spans="1:11">
      <c r="A5809" t="s">
        <v>12745</v>
      </c>
      <c r="B5809" t="s">
        <v>6368</v>
      </c>
      <c r="C5809" t="s">
        <v>6928</v>
      </c>
      <c r="D5809" s="1">
        <v>45604</v>
      </c>
      <c r="E5809" s="1">
        <v>45611</v>
      </c>
      <c r="F5809" s="1">
        <v>45615</v>
      </c>
      <c r="G5809">
        <v>61.45</v>
      </c>
      <c r="H58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09" t="str">
        <f>IFERROR(INDEX(Raw_orders!G:G, MATCH(shipments[[#This Row],[order_id]],Raw_orders!A:A, 0)), "Unknown")</f>
        <v>Nordics</v>
      </c>
      <c r="J5809" t="str">
        <f>PROPER(shipments[[#This Row],[delivery_status]])</f>
        <v>Delivered</v>
      </c>
      <c r="K5809" t="s">
        <v>6929</v>
      </c>
    </row>
    <row r="5810" spans="1:11">
      <c r="A5810" t="s">
        <v>12746</v>
      </c>
      <c r="B5810" t="s">
        <v>6369</v>
      </c>
      <c r="C5810" t="s">
        <v>6935</v>
      </c>
      <c r="D5810" s="1">
        <v>45589</v>
      </c>
      <c r="E5810" s="1">
        <v>45599</v>
      </c>
      <c r="F5810" s="1">
        <v>45604</v>
      </c>
      <c r="G5810">
        <v>20.3</v>
      </c>
      <c r="H58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10" t="str">
        <f>IFERROR(INDEX(Raw_orders!G:G, MATCH(shipments[[#This Row],[order_id]],Raw_orders!A:A, 0)), "Unknown")</f>
        <v>Baltics</v>
      </c>
      <c r="J5810" t="str">
        <f>PROPER(shipments[[#This Row],[delivery_status]])</f>
        <v>Delivered</v>
      </c>
      <c r="K5810" t="s">
        <v>6926</v>
      </c>
    </row>
    <row r="5811" spans="1:11">
      <c r="A5811" t="s">
        <v>12747</v>
      </c>
      <c r="B5811" t="s">
        <v>6369</v>
      </c>
      <c r="C5811" t="s">
        <v>6921</v>
      </c>
      <c r="D5811" s="1">
        <v>45589</v>
      </c>
      <c r="E5811" s="1">
        <v>45599</v>
      </c>
      <c r="F5811" s="1">
        <v>45598</v>
      </c>
      <c r="G5811">
        <v>5.66</v>
      </c>
      <c r="H58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811" t="str">
        <f>IFERROR(INDEX(Raw_orders!G:G, MATCH(shipments[[#This Row],[order_id]],Raw_orders!A:A, 0)), "Unknown")</f>
        <v>Baltics</v>
      </c>
      <c r="J5811" t="str">
        <f>PROPER(shipments[[#This Row],[delivery_status]])</f>
        <v>Delivered</v>
      </c>
      <c r="K5811" t="s">
        <v>6926</v>
      </c>
    </row>
    <row r="5812" spans="1:11">
      <c r="A5812" t="s">
        <v>12748</v>
      </c>
      <c r="B5812" t="s">
        <v>6370</v>
      </c>
      <c r="C5812" t="s">
        <v>6925</v>
      </c>
      <c r="D5812" s="1">
        <v>45115</v>
      </c>
      <c r="E5812" s="1">
        <v>45120</v>
      </c>
      <c r="F5812" s="1">
        <v>45127</v>
      </c>
      <c r="G5812">
        <v>6.25</v>
      </c>
      <c r="H58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12" t="str">
        <f>IFERROR(INDEX(Raw_orders!G:G, MATCH(shipments[[#This Row],[order_id]],Raw_orders!A:A, 0)), "Unknown")</f>
        <v>Nordics</v>
      </c>
      <c r="J5812" t="str">
        <f>PROPER(shipments[[#This Row],[delivery_status]])</f>
        <v>Delivered</v>
      </c>
      <c r="K5812" t="s">
        <v>6922</v>
      </c>
    </row>
    <row r="5813" spans="1:11">
      <c r="A5813" t="s">
        <v>12749</v>
      </c>
      <c r="B5813" t="s">
        <v>6371</v>
      </c>
      <c r="C5813" t="s">
        <v>6938</v>
      </c>
      <c r="D5813" s="1">
        <v>44971</v>
      </c>
      <c r="E5813" s="1">
        <v>44976</v>
      </c>
      <c r="F5813" s="1">
        <v>44975</v>
      </c>
      <c r="G5813">
        <v>60.27</v>
      </c>
      <c r="H58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813" t="str">
        <f>IFERROR(INDEX(Raw_orders!G:G, MATCH(shipments[[#This Row],[order_id]],Raw_orders!A:A, 0)), "Unknown")</f>
        <v>Central Europe</v>
      </c>
      <c r="J5813" t="str">
        <f>PROPER(shipments[[#This Row],[delivery_status]])</f>
        <v>Delivered</v>
      </c>
      <c r="K5813" t="s">
        <v>6922</v>
      </c>
    </row>
    <row r="5814" spans="1:11">
      <c r="A5814" t="s">
        <v>12750</v>
      </c>
      <c r="B5814" t="s">
        <v>6372</v>
      </c>
      <c r="C5814" t="s">
        <v>6938</v>
      </c>
      <c r="D5814" s="1">
        <v>45421</v>
      </c>
      <c r="E5814" s="1">
        <v>45426</v>
      </c>
      <c r="F5814" s="1">
        <v>45431</v>
      </c>
      <c r="G5814">
        <v>61.16</v>
      </c>
      <c r="H58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14" t="str">
        <f>IFERROR(INDEX(Raw_orders!G:G, MATCH(shipments[[#This Row],[order_id]],Raw_orders!A:A, 0)), "Unknown")</f>
        <v>Central Europe</v>
      </c>
      <c r="J5814" t="str">
        <f>PROPER(shipments[[#This Row],[delivery_status]])</f>
        <v>Delivered</v>
      </c>
      <c r="K5814" t="s">
        <v>6922</v>
      </c>
    </row>
    <row r="5815" spans="1:11">
      <c r="A5815" t="s">
        <v>12751</v>
      </c>
      <c r="B5815" t="s">
        <v>6373</v>
      </c>
      <c r="C5815" t="s">
        <v>6938</v>
      </c>
      <c r="D5815" s="1">
        <v>45344</v>
      </c>
      <c r="E5815" s="1">
        <v>45354</v>
      </c>
      <c r="F5815" s="1">
        <v>45354</v>
      </c>
      <c r="G5815">
        <v>19.170000000000002</v>
      </c>
      <c r="H58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815" t="str">
        <f>IFERROR(INDEX(Raw_orders!G:G, MATCH(shipments[[#This Row],[order_id]],Raw_orders!A:A, 0)), "Unknown")</f>
        <v>Baltics</v>
      </c>
      <c r="J5815" t="str">
        <f>PROPER(shipments[[#This Row],[delivery_status]])</f>
        <v>Delivered</v>
      </c>
      <c r="K5815" t="s">
        <v>6926</v>
      </c>
    </row>
    <row r="5816" spans="1:11">
      <c r="A5816" t="s">
        <v>12752</v>
      </c>
      <c r="B5816" t="s">
        <v>6374</v>
      </c>
      <c r="C5816" t="s">
        <v>6925</v>
      </c>
      <c r="D5816" s="1">
        <v>45269</v>
      </c>
      <c r="E5816" s="1">
        <v>45276</v>
      </c>
      <c r="F5816" s="1">
        <v>45279</v>
      </c>
      <c r="G5816">
        <v>57.67</v>
      </c>
      <c r="H58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16" t="str">
        <f>IFERROR(INDEX(Raw_orders!G:G, MATCH(shipments[[#This Row],[order_id]],Raw_orders!A:A, 0)), "Unknown")</f>
        <v>Nordics</v>
      </c>
      <c r="J5816" t="str">
        <f>PROPER(shipments[[#This Row],[delivery_status]])</f>
        <v>Delivered</v>
      </c>
      <c r="K5816" t="s">
        <v>6922</v>
      </c>
    </row>
    <row r="5817" spans="1:11">
      <c r="A5817" t="s">
        <v>12753</v>
      </c>
      <c r="B5817" t="s">
        <v>6375</v>
      </c>
      <c r="C5817" t="s">
        <v>6921</v>
      </c>
      <c r="D5817" s="1">
        <v>45572</v>
      </c>
      <c r="E5817" s="1">
        <v>45579</v>
      </c>
      <c r="F5817" s="1">
        <v>45579</v>
      </c>
      <c r="G5817">
        <v>61.19</v>
      </c>
      <c r="H58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817" t="str">
        <f>IFERROR(INDEX(Raw_orders!G:G, MATCH(shipments[[#This Row],[order_id]],Raw_orders!A:A, 0)), "Unknown")</f>
        <v>Baltics</v>
      </c>
      <c r="J5817" t="str">
        <f>PROPER(shipments[[#This Row],[delivery_status]])</f>
        <v>Delivered</v>
      </c>
      <c r="K5817" t="s">
        <v>6929</v>
      </c>
    </row>
    <row r="5818" spans="1:11">
      <c r="A5818" t="s">
        <v>12754</v>
      </c>
      <c r="B5818" t="s">
        <v>6376</v>
      </c>
      <c r="C5818" t="s">
        <v>6935</v>
      </c>
      <c r="D5818" s="1">
        <v>45570</v>
      </c>
      <c r="E5818" s="1">
        <v>45575</v>
      </c>
      <c r="F5818" s="1">
        <v>45583</v>
      </c>
      <c r="G5818">
        <v>31.93</v>
      </c>
      <c r="H58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18" t="str">
        <f>IFERROR(INDEX(Raw_orders!G:G, MATCH(shipments[[#This Row],[order_id]],Raw_orders!A:A, 0)), "Unknown")</f>
        <v>Central Europe</v>
      </c>
      <c r="J5818" t="str">
        <f>PROPER(shipments[[#This Row],[delivery_status]])</f>
        <v>Delivered</v>
      </c>
      <c r="K5818" t="s">
        <v>6922</v>
      </c>
    </row>
    <row r="5819" spans="1:11">
      <c r="A5819" t="s">
        <v>12755</v>
      </c>
      <c r="B5819" t="s">
        <v>6377</v>
      </c>
      <c r="C5819" t="s">
        <v>6928</v>
      </c>
      <c r="D5819" s="1">
        <v>45043</v>
      </c>
      <c r="E5819" s="1">
        <v>45046</v>
      </c>
      <c r="F5819" s="1">
        <v>45047</v>
      </c>
      <c r="G5819">
        <v>61.29</v>
      </c>
      <c r="H58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19" t="str">
        <f>IFERROR(INDEX(Raw_orders!G:G, MATCH(shipments[[#This Row],[order_id]],Raw_orders!A:A, 0)), "Unknown")</f>
        <v>Central Europe</v>
      </c>
      <c r="J5819" t="str">
        <f>PROPER(shipments[[#This Row],[delivery_status]])</f>
        <v>Delivered</v>
      </c>
      <c r="K5819" t="s">
        <v>6922</v>
      </c>
    </row>
    <row r="5820" spans="1:11">
      <c r="A5820" t="s">
        <v>12756</v>
      </c>
      <c r="B5820" t="s">
        <v>6378</v>
      </c>
      <c r="C5820" t="s">
        <v>6921</v>
      </c>
      <c r="D5820" s="1">
        <v>45558</v>
      </c>
      <c r="E5820" s="1">
        <v>45563</v>
      </c>
      <c r="F5820" s="1">
        <v>45562</v>
      </c>
      <c r="G5820">
        <v>13.85</v>
      </c>
      <c r="H58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820" t="str">
        <f>IFERROR(INDEX(Raw_orders!G:G, MATCH(shipments[[#This Row],[order_id]],Raw_orders!A:A, 0)), "Unknown")</f>
        <v>Baltics</v>
      </c>
      <c r="J5820" t="str">
        <f>PROPER(shipments[[#This Row],[delivery_status]])</f>
        <v>Delivered</v>
      </c>
      <c r="K5820" t="s">
        <v>6922</v>
      </c>
    </row>
    <row r="5821" spans="1:11">
      <c r="A5821" t="s">
        <v>12757</v>
      </c>
      <c r="B5821" t="s">
        <v>6379</v>
      </c>
      <c r="C5821" t="s">
        <v>6931</v>
      </c>
      <c r="D5821" s="1">
        <v>45115</v>
      </c>
      <c r="E5821" s="1">
        <v>45122</v>
      </c>
      <c r="F5821" s="1">
        <v>45125</v>
      </c>
      <c r="G5821">
        <v>45.52</v>
      </c>
      <c r="H58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21" t="str">
        <f>IFERROR(INDEX(Raw_orders!G:G, MATCH(shipments[[#This Row],[order_id]],Raw_orders!A:A, 0)), "Unknown")</f>
        <v>Baltics</v>
      </c>
      <c r="J5821" t="str">
        <f>PROPER(shipments[[#This Row],[delivery_status]])</f>
        <v>Delivered</v>
      </c>
      <c r="K5821" t="s">
        <v>6929</v>
      </c>
    </row>
    <row r="5822" spans="1:11">
      <c r="A5822" t="s">
        <v>12758</v>
      </c>
      <c r="B5822" t="s">
        <v>6380</v>
      </c>
      <c r="C5822" t="s">
        <v>6931</v>
      </c>
      <c r="D5822" s="1">
        <v>45621</v>
      </c>
      <c r="E5822" s="1">
        <v>45628</v>
      </c>
      <c r="F5822" s="1">
        <v>45627</v>
      </c>
      <c r="G5822">
        <v>62.09</v>
      </c>
      <c r="H58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822" t="str">
        <f>IFERROR(INDEX(Raw_orders!G:G, MATCH(shipments[[#This Row],[order_id]],Raw_orders!A:A, 0)), "Unknown")</f>
        <v>Nordics</v>
      </c>
      <c r="J5822" t="str">
        <f>PROPER(shipments[[#This Row],[delivery_status]])</f>
        <v>Delivered</v>
      </c>
      <c r="K5822" t="s">
        <v>6926</v>
      </c>
    </row>
    <row r="5823" spans="1:11">
      <c r="A5823" t="s">
        <v>12759</v>
      </c>
      <c r="B5823" t="s">
        <v>6381</v>
      </c>
      <c r="C5823" t="s">
        <v>6935</v>
      </c>
      <c r="D5823" s="1">
        <v>45157</v>
      </c>
      <c r="E5823" s="1">
        <v>45162</v>
      </c>
      <c r="F5823" s="1">
        <v>45165</v>
      </c>
      <c r="G5823">
        <v>60.01</v>
      </c>
      <c r="H58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23" t="str">
        <f>IFERROR(INDEX(Raw_orders!G:G, MATCH(shipments[[#This Row],[order_id]],Raw_orders!A:A, 0)), "Unknown")</f>
        <v>Nordics</v>
      </c>
      <c r="J5823" t="str">
        <f>PROPER(shipments[[#This Row],[delivery_status]])</f>
        <v>Delivered</v>
      </c>
      <c r="K5823" t="s">
        <v>6922</v>
      </c>
    </row>
    <row r="5824" spans="1:11">
      <c r="A5824" t="s">
        <v>12760</v>
      </c>
      <c r="B5824" t="s">
        <v>6382</v>
      </c>
      <c r="C5824" t="s">
        <v>6938</v>
      </c>
      <c r="D5824" s="1">
        <v>45478</v>
      </c>
      <c r="E5824" s="1">
        <v>45481</v>
      </c>
      <c r="F5824" s="1">
        <v>45488</v>
      </c>
      <c r="G5824">
        <v>45.98</v>
      </c>
      <c r="H58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24" t="str">
        <f>IFERROR(INDEX(Raw_orders!G:G, MATCH(shipments[[#This Row],[order_id]],Raw_orders!A:A, 0)), "Unknown")</f>
        <v>Nordics</v>
      </c>
      <c r="J5824" t="str">
        <f>PROPER(shipments[[#This Row],[delivery_status]])</f>
        <v>Delivered</v>
      </c>
      <c r="K5824" t="s">
        <v>6922</v>
      </c>
    </row>
    <row r="5825" spans="1:11">
      <c r="A5825" t="s">
        <v>12761</v>
      </c>
      <c r="B5825" t="s">
        <v>6383</v>
      </c>
      <c r="C5825" t="s">
        <v>6921</v>
      </c>
      <c r="D5825" s="1">
        <v>45082</v>
      </c>
      <c r="E5825" s="1">
        <v>45087</v>
      </c>
      <c r="F5825" s="1">
        <v>45089</v>
      </c>
      <c r="G5825">
        <v>60.09</v>
      </c>
      <c r="H58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25" t="str">
        <f>IFERROR(INDEX(Raw_orders!G:G, MATCH(shipments[[#This Row],[order_id]],Raw_orders!A:A, 0)), "Unknown")</f>
        <v>Central Europe</v>
      </c>
      <c r="J5825" t="str">
        <f>PROPER(shipments[[#This Row],[delivery_status]])</f>
        <v>Delivered</v>
      </c>
      <c r="K5825" t="s">
        <v>6926</v>
      </c>
    </row>
    <row r="5826" spans="1:11">
      <c r="A5826" t="s">
        <v>12762</v>
      </c>
      <c r="B5826" t="s">
        <v>6384</v>
      </c>
      <c r="C5826" t="s">
        <v>6949</v>
      </c>
      <c r="D5826" s="1">
        <v>44939</v>
      </c>
      <c r="E5826" s="1">
        <v>44946</v>
      </c>
      <c r="F5826" s="1">
        <v>44949</v>
      </c>
      <c r="G5826">
        <v>40.06</v>
      </c>
      <c r="H58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26" t="str">
        <f>IFERROR(INDEX(Raw_orders!G:G, MATCH(shipments[[#This Row],[order_id]],Raw_orders!A:A, 0)), "Unknown")</f>
        <v>Central Europe</v>
      </c>
      <c r="J5826" t="str">
        <f>PROPER(shipments[[#This Row],[delivery_status]])</f>
        <v>Delivered</v>
      </c>
      <c r="K5826" t="s">
        <v>6926</v>
      </c>
    </row>
    <row r="5827" spans="1:11">
      <c r="A5827" t="s">
        <v>12763</v>
      </c>
      <c r="B5827" t="s">
        <v>6385</v>
      </c>
      <c r="C5827" t="s">
        <v>6935</v>
      </c>
      <c r="D5827" s="1">
        <v>45595</v>
      </c>
      <c r="E5827" s="1">
        <v>45605</v>
      </c>
      <c r="F5827" s="1"/>
      <c r="G5827">
        <v>49.71</v>
      </c>
      <c r="H58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827" t="str">
        <f>IFERROR(INDEX(Raw_orders!G:G, MATCH(shipments[[#This Row],[order_id]],Raw_orders!A:A, 0)), "Unknown")</f>
        <v>Central Europe</v>
      </c>
      <c r="J5827" t="str">
        <f>PROPER(shipments[[#This Row],[delivery_status]])</f>
        <v>In Transit</v>
      </c>
      <c r="K5827" t="s">
        <v>6946</v>
      </c>
    </row>
    <row r="5828" spans="1:11">
      <c r="A5828" t="s">
        <v>12764</v>
      </c>
      <c r="B5828" t="s">
        <v>6386</v>
      </c>
      <c r="C5828" t="s">
        <v>6928</v>
      </c>
      <c r="D5828" s="1">
        <v>45298</v>
      </c>
      <c r="E5828" s="1">
        <v>45303</v>
      </c>
      <c r="F5828" s="1">
        <v>45311</v>
      </c>
      <c r="G5828">
        <v>21.33</v>
      </c>
      <c r="H58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28" t="str">
        <f>IFERROR(INDEX(Raw_orders!G:G, MATCH(shipments[[#This Row],[order_id]],Raw_orders!A:A, 0)), "Unknown")</f>
        <v>Central Europe</v>
      </c>
      <c r="J5828" t="str">
        <f>PROPER(shipments[[#This Row],[delivery_status]])</f>
        <v>Delivered</v>
      </c>
      <c r="K5828" t="s">
        <v>6922</v>
      </c>
    </row>
    <row r="5829" spans="1:11">
      <c r="A5829" t="s">
        <v>12765</v>
      </c>
      <c r="B5829" t="s">
        <v>6387</v>
      </c>
      <c r="C5829" t="s">
        <v>6925</v>
      </c>
      <c r="D5829" s="1">
        <v>45443</v>
      </c>
      <c r="E5829" s="1">
        <v>45448</v>
      </c>
      <c r="F5829" s="1">
        <v>45456</v>
      </c>
      <c r="G5829">
        <v>33.24</v>
      </c>
      <c r="H58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29" t="str">
        <f>IFERROR(INDEX(Raw_orders!G:G, MATCH(shipments[[#This Row],[order_id]],Raw_orders!A:A, 0)), "Unknown")</f>
        <v>Baltics</v>
      </c>
      <c r="J5829" t="str">
        <f>PROPER(shipments[[#This Row],[delivery_status]])</f>
        <v>Delivered</v>
      </c>
      <c r="K5829" t="s">
        <v>6926</v>
      </c>
    </row>
    <row r="5830" spans="1:11">
      <c r="A5830" t="s">
        <v>12766</v>
      </c>
      <c r="B5830" t="s">
        <v>6388</v>
      </c>
      <c r="C5830" t="s">
        <v>6931</v>
      </c>
      <c r="D5830" s="1">
        <v>45165</v>
      </c>
      <c r="E5830" s="1">
        <v>45172</v>
      </c>
      <c r="F5830" s="1">
        <v>45172</v>
      </c>
      <c r="G5830">
        <v>22.38</v>
      </c>
      <c r="H58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830" t="str">
        <f>IFERROR(INDEX(Raw_orders!G:G, MATCH(shipments[[#This Row],[order_id]],Raw_orders!A:A, 0)), "Unknown")</f>
        <v>Unknown</v>
      </c>
      <c r="J5830" t="str">
        <f>PROPER(shipments[[#This Row],[delivery_status]])</f>
        <v>Delivered</v>
      </c>
      <c r="K5830" t="s">
        <v>6922</v>
      </c>
    </row>
    <row r="5831" spans="1:11">
      <c r="A5831" t="s">
        <v>12767</v>
      </c>
      <c r="B5831" t="s">
        <v>6389</v>
      </c>
      <c r="C5831" t="s">
        <v>6931</v>
      </c>
      <c r="D5831" s="1">
        <v>45442</v>
      </c>
      <c r="E5831" s="1">
        <v>45444</v>
      </c>
      <c r="F5831" s="1">
        <v>45444</v>
      </c>
      <c r="G5831">
        <v>45.94</v>
      </c>
      <c r="H58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831" t="str">
        <f>IFERROR(INDEX(Raw_orders!G:G, MATCH(shipments[[#This Row],[order_id]],Raw_orders!A:A, 0)), "Unknown")</f>
        <v>Nordics</v>
      </c>
      <c r="J5831" t="str">
        <f>PROPER(shipments[[#This Row],[delivery_status]])</f>
        <v>Delivered</v>
      </c>
      <c r="K5831" t="s">
        <v>6922</v>
      </c>
    </row>
    <row r="5832" spans="1:11">
      <c r="A5832" t="s">
        <v>12768</v>
      </c>
      <c r="B5832" t="s">
        <v>6390</v>
      </c>
      <c r="C5832" t="s">
        <v>6940</v>
      </c>
      <c r="D5832" s="1">
        <v>45469</v>
      </c>
      <c r="E5832" s="1">
        <v>45474</v>
      </c>
      <c r="F5832" s="1">
        <v>45474</v>
      </c>
      <c r="G5832">
        <v>19.11</v>
      </c>
      <c r="H58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832" t="str">
        <f>IFERROR(INDEX(Raw_orders!G:G, MATCH(shipments[[#This Row],[order_id]],Raw_orders!A:A, 0)), "Unknown")</f>
        <v>Baltics</v>
      </c>
      <c r="J5832" t="str">
        <f>PROPER(shipments[[#This Row],[delivery_status]])</f>
        <v>Delivered</v>
      </c>
      <c r="K5832" t="s">
        <v>6929</v>
      </c>
    </row>
    <row r="5833" spans="1:11">
      <c r="A5833" t="s">
        <v>12769</v>
      </c>
      <c r="B5833" t="s">
        <v>6391</v>
      </c>
      <c r="C5833" t="s">
        <v>6938</v>
      </c>
      <c r="D5833" s="1">
        <v>45447</v>
      </c>
      <c r="E5833" s="1">
        <v>45454</v>
      </c>
      <c r="F5833" s="1">
        <v>45457</v>
      </c>
      <c r="G5833">
        <v>51.16</v>
      </c>
      <c r="H58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33" t="str">
        <f>IFERROR(INDEX(Raw_orders!G:G, MATCH(shipments[[#This Row],[order_id]],Raw_orders!A:A, 0)), "Unknown")</f>
        <v>Nordics</v>
      </c>
      <c r="J5833" t="str">
        <f>PROPER(shipments[[#This Row],[delivery_status]])</f>
        <v>Delivered</v>
      </c>
      <c r="K5833" t="s">
        <v>6926</v>
      </c>
    </row>
    <row r="5834" spans="1:11">
      <c r="A5834" t="s">
        <v>12770</v>
      </c>
      <c r="B5834" t="s">
        <v>6392</v>
      </c>
      <c r="C5834" t="s">
        <v>6940</v>
      </c>
      <c r="D5834" s="1">
        <v>45134</v>
      </c>
      <c r="E5834" s="1">
        <v>45136</v>
      </c>
      <c r="F5834" s="1">
        <v>45138</v>
      </c>
      <c r="G5834">
        <v>62.3</v>
      </c>
      <c r="H58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34" t="str">
        <f>IFERROR(INDEX(Raw_orders!G:G, MATCH(shipments[[#This Row],[order_id]],Raw_orders!A:A, 0)), "Unknown")</f>
        <v>Central Europe</v>
      </c>
      <c r="J5834" t="str">
        <f>PROPER(shipments[[#This Row],[delivery_status]])</f>
        <v>Delivered</v>
      </c>
      <c r="K5834" t="s">
        <v>6922</v>
      </c>
    </row>
    <row r="5835" spans="1:11">
      <c r="A5835" t="s">
        <v>12771</v>
      </c>
      <c r="B5835" t="s">
        <v>6393</v>
      </c>
      <c r="C5835" t="s">
        <v>6949</v>
      </c>
      <c r="D5835" s="1">
        <v>45510</v>
      </c>
      <c r="E5835" s="1">
        <v>45517</v>
      </c>
      <c r="F5835" s="1">
        <v>45517</v>
      </c>
      <c r="G5835">
        <v>14.45</v>
      </c>
      <c r="H58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835" t="str">
        <f>IFERROR(INDEX(Raw_orders!G:G, MATCH(shipments[[#This Row],[order_id]],Raw_orders!A:A, 0)), "Unknown")</f>
        <v>Central Europe</v>
      </c>
      <c r="J5835" t="str">
        <f>PROPER(shipments[[#This Row],[delivery_status]])</f>
        <v>Delivered</v>
      </c>
      <c r="K5835" t="s">
        <v>6926</v>
      </c>
    </row>
    <row r="5836" spans="1:11">
      <c r="A5836" t="s">
        <v>12772</v>
      </c>
      <c r="B5836" t="s">
        <v>6393</v>
      </c>
      <c r="C5836" t="s">
        <v>6940</v>
      </c>
      <c r="D5836" s="1">
        <v>45509</v>
      </c>
      <c r="E5836" s="1">
        <v>45512</v>
      </c>
      <c r="F5836" s="1">
        <v>45517</v>
      </c>
      <c r="G5836">
        <v>58.83</v>
      </c>
      <c r="H58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36" t="str">
        <f>IFERROR(INDEX(Raw_orders!G:G, MATCH(shipments[[#This Row],[order_id]],Raw_orders!A:A, 0)), "Unknown")</f>
        <v>Central Europe</v>
      </c>
      <c r="J5836" t="str">
        <f>PROPER(shipments[[#This Row],[delivery_status]])</f>
        <v>Delivered</v>
      </c>
      <c r="K5836" t="s">
        <v>6922</v>
      </c>
    </row>
    <row r="5837" spans="1:11">
      <c r="A5837" t="s">
        <v>12773</v>
      </c>
      <c r="B5837" t="s">
        <v>6394</v>
      </c>
      <c r="C5837" t="s">
        <v>6956</v>
      </c>
      <c r="D5837" s="1">
        <v>45320</v>
      </c>
      <c r="E5837" s="1">
        <v>45323</v>
      </c>
      <c r="F5837" s="1">
        <v>45328</v>
      </c>
      <c r="G5837">
        <v>64.63</v>
      </c>
      <c r="H58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37" t="str">
        <f>IFERROR(INDEX(Raw_orders!G:G, MATCH(shipments[[#This Row],[order_id]],Raw_orders!A:A, 0)), "Unknown")</f>
        <v>Baltics</v>
      </c>
      <c r="J5837" t="str">
        <f>PROPER(shipments[[#This Row],[delivery_status]])</f>
        <v>Delivered</v>
      </c>
      <c r="K5837" t="s">
        <v>6926</v>
      </c>
    </row>
    <row r="5838" spans="1:11">
      <c r="A5838" t="s">
        <v>12774</v>
      </c>
      <c r="B5838" t="s">
        <v>6395</v>
      </c>
      <c r="C5838" t="s">
        <v>6921</v>
      </c>
      <c r="D5838" s="1">
        <v>45537</v>
      </c>
      <c r="E5838" s="1">
        <v>45547</v>
      </c>
      <c r="F5838" s="1">
        <v>45549</v>
      </c>
      <c r="G5838">
        <v>47.8</v>
      </c>
      <c r="H58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38" t="str">
        <f>IFERROR(INDEX(Raw_orders!G:G, MATCH(shipments[[#This Row],[order_id]],Raw_orders!A:A, 0)), "Unknown")</f>
        <v>Baltics</v>
      </c>
      <c r="J5838" t="str">
        <f>PROPER(shipments[[#This Row],[delivery_status]])</f>
        <v>Delivered</v>
      </c>
      <c r="K5838" t="s">
        <v>6929</v>
      </c>
    </row>
    <row r="5839" spans="1:11">
      <c r="A5839" t="s">
        <v>12775</v>
      </c>
      <c r="B5839" t="s">
        <v>6396</v>
      </c>
      <c r="C5839" t="s">
        <v>6928</v>
      </c>
      <c r="D5839" s="1">
        <v>44973</v>
      </c>
      <c r="E5839" s="1">
        <v>44976</v>
      </c>
      <c r="F5839" s="1">
        <v>44982</v>
      </c>
      <c r="G5839">
        <v>9.68</v>
      </c>
      <c r="H58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39" t="str">
        <f>IFERROR(INDEX(Raw_orders!G:G, MATCH(shipments[[#This Row],[order_id]],Raw_orders!A:A, 0)), "Unknown")</f>
        <v>Nordics</v>
      </c>
      <c r="J5839" t="str">
        <f>PROPER(shipments[[#This Row],[delivery_status]])</f>
        <v>Delivered</v>
      </c>
      <c r="K5839" t="s">
        <v>6929</v>
      </c>
    </row>
    <row r="5840" spans="1:11">
      <c r="A5840" t="s">
        <v>12776</v>
      </c>
      <c r="B5840" t="s">
        <v>6397</v>
      </c>
      <c r="C5840" t="s">
        <v>6925</v>
      </c>
      <c r="D5840" s="1">
        <v>45577</v>
      </c>
      <c r="E5840" s="1">
        <v>45582</v>
      </c>
      <c r="F5840" s="1">
        <v>45582</v>
      </c>
      <c r="G5840">
        <v>61.17</v>
      </c>
      <c r="H58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840" t="str">
        <f>IFERROR(INDEX(Raw_orders!G:G, MATCH(shipments[[#This Row],[order_id]],Raw_orders!A:A, 0)), "Unknown")</f>
        <v>Baltics</v>
      </c>
      <c r="J5840" t="str">
        <f>PROPER(shipments[[#This Row],[delivery_status]])</f>
        <v>Delivered</v>
      </c>
      <c r="K5840" t="s">
        <v>6929</v>
      </c>
    </row>
    <row r="5841" spans="1:11">
      <c r="A5841" t="s">
        <v>12777</v>
      </c>
      <c r="B5841" t="s">
        <v>6398</v>
      </c>
      <c r="C5841" t="s">
        <v>6928</v>
      </c>
      <c r="D5841" s="1">
        <v>45517</v>
      </c>
      <c r="E5841" s="1">
        <v>45522</v>
      </c>
      <c r="F5841" s="1"/>
      <c r="G5841">
        <v>62.68</v>
      </c>
      <c r="H58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841" t="str">
        <f>IFERROR(INDEX(Raw_orders!G:G, MATCH(shipments[[#This Row],[order_id]],Raw_orders!A:A, 0)), "Unknown")</f>
        <v>Baltics</v>
      </c>
      <c r="J5841" t="str">
        <f>PROPER(shipments[[#This Row],[delivery_status]])</f>
        <v>Cancelled</v>
      </c>
      <c r="K5841" t="s">
        <v>6972</v>
      </c>
    </row>
    <row r="5842" spans="1:11">
      <c r="A5842" t="s">
        <v>12778</v>
      </c>
      <c r="B5842" t="s">
        <v>6399</v>
      </c>
      <c r="C5842" t="s">
        <v>6928</v>
      </c>
      <c r="D5842" s="1">
        <v>45063</v>
      </c>
      <c r="E5842" s="1">
        <v>45070</v>
      </c>
      <c r="F5842" s="1"/>
      <c r="H58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842" t="str">
        <f>IFERROR(INDEX(Raw_orders!G:G, MATCH(shipments[[#This Row],[order_id]],Raw_orders!A:A, 0)), "Unknown")</f>
        <v>Nordics</v>
      </c>
      <c r="J5842" t="str">
        <f>PROPER(shipments[[#This Row],[delivery_status]])</f>
        <v>Cancelled</v>
      </c>
      <c r="K5842" t="s">
        <v>6972</v>
      </c>
    </row>
    <row r="5843" spans="1:11">
      <c r="A5843" t="s">
        <v>12779</v>
      </c>
      <c r="B5843" t="s">
        <v>6400</v>
      </c>
      <c r="C5843" t="s">
        <v>6956</v>
      </c>
      <c r="D5843" s="1">
        <v>45438</v>
      </c>
      <c r="E5843" s="1">
        <v>45448</v>
      </c>
      <c r="F5843" s="1">
        <v>45451</v>
      </c>
      <c r="G5843">
        <v>59.82</v>
      </c>
      <c r="H58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43" t="str">
        <f>IFERROR(INDEX(Raw_orders!G:G, MATCH(shipments[[#This Row],[order_id]],Raw_orders!A:A, 0)), "Unknown")</f>
        <v>Nordics</v>
      </c>
      <c r="J5843" t="str">
        <f>PROPER(shipments[[#This Row],[delivery_status]])</f>
        <v>Delivered</v>
      </c>
      <c r="K5843" t="s">
        <v>6926</v>
      </c>
    </row>
    <row r="5844" spans="1:11">
      <c r="A5844" t="s">
        <v>12780</v>
      </c>
      <c r="B5844" t="s">
        <v>6401</v>
      </c>
      <c r="C5844" t="s">
        <v>6925</v>
      </c>
      <c r="D5844" s="1">
        <v>44963</v>
      </c>
      <c r="E5844" s="1">
        <v>44968</v>
      </c>
      <c r="F5844" s="1">
        <v>44975</v>
      </c>
      <c r="G5844">
        <v>45.98</v>
      </c>
      <c r="H58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44" t="str">
        <f>IFERROR(INDEX(Raw_orders!G:G, MATCH(shipments[[#This Row],[order_id]],Raw_orders!A:A, 0)), "Unknown")</f>
        <v>Central Europe</v>
      </c>
      <c r="J5844" t="str">
        <f>PROPER(shipments[[#This Row],[delivery_status]])</f>
        <v>Delivered</v>
      </c>
      <c r="K5844" t="s">
        <v>6929</v>
      </c>
    </row>
    <row r="5845" spans="1:11">
      <c r="A5845" t="s">
        <v>12781</v>
      </c>
      <c r="B5845" t="s">
        <v>6402</v>
      </c>
      <c r="C5845" t="s">
        <v>6935</v>
      </c>
      <c r="D5845" s="1">
        <v>45403</v>
      </c>
      <c r="E5845" s="1">
        <v>45405</v>
      </c>
      <c r="F5845" s="1">
        <v>45405</v>
      </c>
      <c r="G5845">
        <v>52.44</v>
      </c>
      <c r="H58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845" t="str">
        <f>IFERROR(INDEX(Raw_orders!G:G, MATCH(shipments[[#This Row],[order_id]],Raw_orders!A:A, 0)), "Unknown")</f>
        <v>Nordics</v>
      </c>
      <c r="J5845" t="str">
        <f>PROPER(shipments[[#This Row],[delivery_status]])</f>
        <v>Delivered</v>
      </c>
      <c r="K5845" t="s">
        <v>6922</v>
      </c>
    </row>
    <row r="5846" spans="1:11">
      <c r="A5846" t="s">
        <v>12782</v>
      </c>
      <c r="B5846" t="s">
        <v>6403</v>
      </c>
      <c r="C5846" t="s">
        <v>6938</v>
      </c>
      <c r="D5846" s="1">
        <v>45183</v>
      </c>
      <c r="E5846" s="1">
        <v>45185</v>
      </c>
      <c r="F5846" s="1"/>
      <c r="G5846">
        <v>39.909999999999997</v>
      </c>
      <c r="H58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846" t="str">
        <f>IFERROR(INDEX(Raw_orders!G:G, MATCH(shipments[[#This Row],[order_id]],Raw_orders!A:A, 0)), "Unknown")</f>
        <v>Nordics</v>
      </c>
      <c r="J5846" t="str">
        <f>PROPER(shipments[[#This Row],[delivery_status]])</f>
        <v>Cancelled</v>
      </c>
      <c r="K5846" t="s">
        <v>6972</v>
      </c>
    </row>
    <row r="5847" spans="1:11">
      <c r="A5847" t="s">
        <v>12783</v>
      </c>
      <c r="B5847" t="s">
        <v>6404</v>
      </c>
      <c r="C5847" t="s">
        <v>6935</v>
      </c>
      <c r="D5847" s="1">
        <v>45082</v>
      </c>
      <c r="E5847" s="1">
        <v>45092</v>
      </c>
      <c r="F5847" s="1">
        <v>45100</v>
      </c>
      <c r="G5847">
        <v>36.380000000000003</v>
      </c>
      <c r="H58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47" t="str">
        <f>IFERROR(INDEX(Raw_orders!G:G, MATCH(shipments[[#This Row],[order_id]],Raw_orders!A:A, 0)), "Unknown")</f>
        <v>Central Europe</v>
      </c>
      <c r="J5847" t="str">
        <f>PROPER(shipments[[#This Row],[delivery_status]])</f>
        <v>Delivered</v>
      </c>
      <c r="K5847" t="s">
        <v>6926</v>
      </c>
    </row>
    <row r="5848" spans="1:11">
      <c r="A5848" t="s">
        <v>12784</v>
      </c>
      <c r="B5848" t="s">
        <v>6405</v>
      </c>
      <c r="C5848" t="s">
        <v>6925</v>
      </c>
      <c r="D5848" s="1">
        <v>44935</v>
      </c>
      <c r="E5848" s="1">
        <v>44937</v>
      </c>
      <c r="F5848" s="1">
        <v>44942</v>
      </c>
      <c r="G5848">
        <v>56.31</v>
      </c>
      <c r="H58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48" t="str">
        <f>IFERROR(INDEX(Raw_orders!G:G, MATCH(shipments[[#This Row],[order_id]],Raw_orders!A:A, 0)), "Unknown")</f>
        <v>Baltics</v>
      </c>
      <c r="J5848" t="str">
        <f>PROPER(shipments[[#This Row],[delivery_status]])</f>
        <v>Delivered</v>
      </c>
      <c r="K5848" t="s">
        <v>6922</v>
      </c>
    </row>
    <row r="5849" spans="1:11">
      <c r="A5849" t="s">
        <v>12785</v>
      </c>
      <c r="B5849" t="s">
        <v>6406</v>
      </c>
      <c r="C5849" t="s">
        <v>6940</v>
      </c>
      <c r="D5849" s="1">
        <v>45370</v>
      </c>
      <c r="E5849" s="1">
        <v>45375</v>
      </c>
      <c r="F5849" s="1">
        <v>45378</v>
      </c>
      <c r="G5849">
        <v>48.77</v>
      </c>
      <c r="H58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49" t="str">
        <f>IFERROR(INDEX(Raw_orders!G:G, MATCH(shipments[[#This Row],[order_id]],Raw_orders!A:A, 0)), "Unknown")</f>
        <v>Baltics</v>
      </c>
      <c r="J5849" t="str">
        <f>PROPER(shipments[[#This Row],[delivery_status]])</f>
        <v>Delivered</v>
      </c>
      <c r="K5849" t="s">
        <v>6922</v>
      </c>
    </row>
    <row r="5850" spans="1:11">
      <c r="A5850" t="s">
        <v>12786</v>
      </c>
      <c r="B5850" t="s">
        <v>6407</v>
      </c>
      <c r="C5850" t="s">
        <v>6956</v>
      </c>
      <c r="D5850" s="1">
        <v>45572</v>
      </c>
      <c r="E5850" s="1">
        <v>45575</v>
      </c>
      <c r="F5850" s="1">
        <v>45574</v>
      </c>
      <c r="G5850">
        <v>59.11</v>
      </c>
      <c r="H58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850" t="str">
        <f>IFERROR(INDEX(Raw_orders!G:G, MATCH(shipments[[#This Row],[order_id]],Raw_orders!A:A, 0)), "Unknown")</f>
        <v>Central Europe</v>
      </c>
      <c r="J5850" t="str">
        <f>PROPER(shipments[[#This Row],[delivery_status]])</f>
        <v>Delivered</v>
      </c>
      <c r="K5850" t="s">
        <v>6929</v>
      </c>
    </row>
    <row r="5851" spans="1:11">
      <c r="A5851" t="s">
        <v>12787</v>
      </c>
      <c r="B5851" t="s">
        <v>6408</v>
      </c>
      <c r="C5851" t="s">
        <v>6935</v>
      </c>
      <c r="D5851" s="1">
        <v>45351</v>
      </c>
      <c r="E5851" s="1">
        <v>45353</v>
      </c>
      <c r="F5851" s="1"/>
      <c r="G5851">
        <v>43.74</v>
      </c>
      <c r="H58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851" t="str">
        <f>IFERROR(INDEX(Raw_orders!G:G, MATCH(shipments[[#This Row],[order_id]],Raw_orders!A:A, 0)), "Unknown")</f>
        <v>Nordics</v>
      </c>
      <c r="J5851" t="str">
        <f>PROPER(shipments[[#This Row],[delivery_status]])</f>
        <v>In Transit</v>
      </c>
      <c r="K5851" t="s">
        <v>6946</v>
      </c>
    </row>
    <row r="5852" spans="1:11">
      <c r="A5852" t="s">
        <v>12788</v>
      </c>
      <c r="B5852" t="s">
        <v>6409</v>
      </c>
      <c r="C5852" t="s">
        <v>6949</v>
      </c>
      <c r="D5852" s="1">
        <v>45582</v>
      </c>
      <c r="E5852" s="1">
        <v>45587</v>
      </c>
      <c r="F5852" s="1">
        <v>45588</v>
      </c>
      <c r="G5852">
        <v>29.84</v>
      </c>
      <c r="H58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52" t="str">
        <f>IFERROR(INDEX(Raw_orders!G:G, MATCH(shipments[[#This Row],[order_id]],Raw_orders!A:A, 0)), "Unknown")</f>
        <v>Baltics</v>
      </c>
      <c r="J5852" t="str">
        <f>PROPER(shipments[[#This Row],[delivery_status]])</f>
        <v>Delivered</v>
      </c>
      <c r="K5852" t="s">
        <v>6929</v>
      </c>
    </row>
    <row r="5853" spans="1:11">
      <c r="A5853" t="s">
        <v>12789</v>
      </c>
      <c r="B5853" t="s">
        <v>6410</v>
      </c>
      <c r="C5853" t="s">
        <v>6935</v>
      </c>
      <c r="D5853" s="1">
        <v>45110</v>
      </c>
      <c r="E5853" s="1">
        <v>45112</v>
      </c>
      <c r="F5853" s="1">
        <v>45117</v>
      </c>
      <c r="G5853">
        <v>17.8</v>
      </c>
      <c r="H58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53" t="str">
        <f>IFERROR(INDEX(Raw_orders!G:G, MATCH(shipments[[#This Row],[order_id]],Raw_orders!A:A, 0)), "Unknown")</f>
        <v>Nordics</v>
      </c>
      <c r="J5853" t="str">
        <f>PROPER(shipments[[#This Row],[delivery_status]])</f>
        <v>Delivered</v>
      </c>
      <c r="K5853" t="s">
        <v>6922</v>
      </c>
    </row>
    <row r="5854" spans="1:11">
      <c r="A5854" t="s">
        <v>12790</v>
      </c>
      <c r="B5854" t="s">
        <v>6411</v>
      </c>
      <c r="C5854" t="s">
        <v>6931</v>
      </c>
      <c r="D5854" s="1">
        <v>45518</v>
      </c>
      <c r="E5854" s="1">
        <v>45525</v>
      </c>
      <c r="F5854" s="1"/>
      <c r="G5854">
        <v>46.85</v>
      </c>
      <c r="H58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854" t="str">
        <f>IFERROR(INDEX(Raw_orders!G:G, MATCH(shipments[[#This Row],[order_id]],Raw_orders!A:A, 0)), "Unknown")</f>
        <v>Nordics</v>
      </c>
      <c r="J5854" t="str">
        <f>PROPER(shipments[[#This Row],[delivery_status]])</f>
        <v>In Transit</v>
      </c>
      <c r="K5854" t="s">
        <v>6977</v>
      </c>
    </row>
    <row r="5855" spans="1:11">
      <c r="A5855" t="s">
        <v>12791</v>
      </c>
      <c r="B5855" t="s">
        <v>6412</v>
      </c>
      <c r="C5855" t="s">
        <v>6938</v>
      </c>
      <c r="D5855" s="1">
        <v>45321</v>
      </c>
      <c r="E5855" s="1">
        <v>45326</v>
      </c>
      <c r="F5855" s="1">
        <v>45326</v>
      </c>
      <c r="G5855">
        <v>14.77</v>
      </c>
      <c r="H58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855" t="str">
        <f>IFERROR(INDEX(Raw_orders!G:G, MATCH(shipments[[#This Row],[order_id]],Raw_orders!A:A, 0)), "Unknown")</f>
        <v>Central Europe</v>
      </c>
      <c r="J5855" t="str">
        <f>PROPER(shipments[[#This Row],[delivery_status]])</f>
        <v>Delivered</v>
      </c>
      <c r="K5855" t="s">
        <v>6929</v>
      </c>
    </row>
    <row r="5856" spans="1:11">
      <c r="A5856" t="s">
        <v>12792</v>
      </c>
      <c r="B5856" t="s">
        <v>6413</v>
      </c>
      <c r="C5856" t="s">
        <v>6931</v>
      </c>
      <c r="D5856" s="1">
        <v>45301</v>
      </c>
      <c r="E5856" s="1">
        <v>45311</v>
      </c>
      <c r="F5856" s="1">
        <v>45314</v>
      </c>
      <c r="G5856">
        <v>55.01</v>
      </c>
      <c r="H58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56" t="str">
        <f>IFERROR(INDEX(Raw_orders!G:G, MATCH(shipments[[#This Row],[order_id]],Raw_orders!A:A, 0)), "Unknown")</f>
        <v>Nordics</v>
      </c>
      <c r="J5856" t="str">
        <f>PROPER(shipments[[#This Row],[delivery_status]])</f>
        <v>Delivered</v>
      </c>
      <c r="K5856" t="s">
        <v>6922</v>
      </c>
    </row>
    <row r="5857" spans="1:11">
      <c r="A5857" t="s">
        <v>12793</v>
      </c>
      <c r="B5857" t="s">
        <v>6414</v>
      </c>
      <c r="C5857" t="s">
        <v>6938</v>
      </c>
      <c r="D5857" s="1">
        <v>45108</v>
      </c>
      <c r="E5857" s="1">
        <v>45110</v>
      </c>
      <c r="F5857" s="1"/>
      <c r="G5857">
        <v>16.43</v>
      </c>
      <c r="H58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857" t="str">
        <f>IFERROR(INDEX(Raw_orders!G:G, MATCH(shipments[[#This Row],[order_id]],Raw_orders!A:A, 0)), "Unknown")</f>
        <v>Nordics</v>
      </c>
      <c r="J5857" t="str">
        <f>PROPER(shipments[[#This Row],[delivery_status]])</f>
        <v>Cancelled</v>
      </c>
      <c r="K5857" t="s">
        <v>6963</v>
      </c>
    </row>
    <row r="5858" spans="1:11">
      <c r="A5858" t="s">
        <v>12794</v>
      </c>
      <c r="B5858" t="s">
        <v>6415</v>
      </c>
      <c r="C5858" t="s">
        <v>6931</v>
      </c>
      <c r="D5858" s="1">
        <v>45083</v>
      </c>
      <c r="E5858" s="1">
        <v>45088</v>
      </c>
      <c r="F5858" s="1">
        <v>45088</v>
      </c>
      <c r="G5858">
        <v>27.09</v>
      </c>
      <c r="H58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858" t="str">
        <f>IFERROR(INDEX(Raw_orders!G:G, MATCH(shipments[[#This Row],[order_id]],Raw_orders!A:A, 0)), "Unknown")</f>
        <v>Nordics</v>
      </c>
      <c r="J5858" t="str">
        <f>PROPER(shipments[[#This Row],[delivery_status]])</f>
        <v>Delivered</v>
      </c>
      <c r="K5858" t="s">
        <v>6926</v>
      </c>
    </row>
    <row r="5859" spans="1:11">
      <c r="A5859" t="s">
        <v>12795</v>
      </c>
      <c r="B5859" t="s">
        <v>6416</v>
      </c>
      <c r="C5859" t="s">
        <v>6931</v>
      </c>
      <c r="D5859" s="1">
        <v>45325</v>
      </c>
      <c r="E5859" s="1">
        <v>45330</v>
      </c>
      <c r="F5859" s="1">
        <v>45333</v>
      </c>
      <c r="G5859">
        <v>47.23</v>
      </c>
      <c r="H58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59" t="str">
        <f>IFERROR(INDEX(Raw_orders!G:G, MATCH(shipments[[#This Row],[order_id]],Raw_orders!A:A, 0)), "Unknown")</f>
        <v>Baltics</v>
      </c>
      <c r="J5859" t="str">
        <f>PROPER(shipments[[#This Row],[delivery_status]])</f>
        <v>Delivered</v>
      </c>
      <c r="K5859" t="s">
        <v>6922</v>
      </c>
    </row>
    <row r="5860" spans="1:11">
      <c r="A5860" t="s">
        <v>12796</v>
      </c>
      <c r="B5860" t="s">
        <v>6417</v>
      </c>
      <c r="C5860" t="s">
        <v>6956</v>
      </c>
      <c r="D5860" s="1">
        <v>45451</v>
      </c>
      <c r="E5860" s="1">
        <v>45454</v>
      </c>
      <c r="F5860" s="1">
        <v>45454</v>
      </c>
      <c r="G5860">
        <v>48.09</v>
      </c>
      <c r="H58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860" t="str">
        <f>IFERROR(INDEX(Raw_orders!G:G, MATCH(shipments[[#This Row],[order_id]],Raw_orders!A:A, 0)), "Unknown")</f>
        <v>Baltics</v>
      </c>
      <c r="J5860" t="str">
        <f>PROPER(shipments[[#This Row],[delivery_status]])</f>
        <v>Delivered</v>
      </c>
      <c r="K5860" t="s">
        <v>6922</v>
      </c>
    </row>
    <row r="5861" spans="1:11">
      <c r="A5861" t="s">
        <v>12797</v>
      </c>
      <c r="B5861" t="s">
        <v>6418</v>
      </c>
      <c r="C5861" t="s">
        <v>6921</v>
      </c>
      <c r="D5861" s="1">
        <v>45081</v>
      </c>
      <c r="E5861" s="1">
        <v>45091</v>
      </c>
      <c r="F5861" s="1">
        <v>45092</v>
      </c>
      <c r="G5861">
        <v>54.04</v>
      </c>
      <c r="H58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61" t="str">
        <f>IFERROR(INDEX(Raw_orders!G:G, MATCH(shipments[[#This Row],[order_id]],Raw_orders!A:A, 0)), "Unknown")</f>
        <v>Central Europe</v>
      </c>
      <c r="J5861" t="str">
        <f>PROPER(shipments[[#This Row],[delivery_status]])</f>
        <v>Delivered</v>
      </c>
      <c r="K5861" t="s">
        <v>6926</v>
      </c>
    </row>
    <row r="5862" spans="1:11">
      <c r="A5862" t="s">
        <v>12798</v>
      </c>
      <c r="B5862" t="s">
        <v>6419</v>
      </c>
      <c r="C5862" t="s">
        <v>6928</v>
      </c>
      <c r="D5862" s="1">
        <v>45034</v>
      </c>
      <c r="E5862" s="1">
        <v>45044</v>
      </c>
      <c r="F5862" s="1">
        <v>45053</v>
      </c>
      <c r="G5862">
        <v>53.88</v>
      </c>
      <c r="H58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62" t="str">
        <f>IFERROR(INDEX(Raw_orders!G:G, MATCH(shipments[[#This Row],[order_id]],Raw_orders!A:A, 0)), "Unknown")</f>
        <v>Baltics</v>
      </c>
      <c r="J5862" t="str">
        <f>PROPER(shipments[[#This Row],[delivery_status]])</f>
        <v>Delivered</v>
      </c>
      <c r="K5862" t="s">
        <v>6922</v>
      </c>
    </row>
    <row r="5863" spans="1:11">
      <c r="A5863" t="s">
        <v>12799</v>
      </c>
      <c r="B5863" t="s">
        <v>6420</v>
      </c>
      <c r="C5863" t="s">
        <v>6956</v>
      </c>
      <c r="D5863" s="1">
        <v>45014</v>
      </c>
      <c r="E5863" s="1">
        <v>45016</v>
      </c>
      <c r="F5863" s="1">
        <v>45024</v>
      </c>
      <c r="G5863">
        <v>38.83</v>
      </c>
      <c r="H58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63" t="str">
        <f>IFERROR(INDEX(Raw_orders!G:G, MATCH(shipments[[#This Row],[order_id]],Raw_orders!A:A, 0)), "Unknown")</f>
        <v>Baltics</v>
      </c>
      <c r="J5863" t="str">
        <f>PROPER(shipments[[#This Row],[delivery_status]])</f>
        <v>Delivered</v>
      </c>
      <c r="K5863" t="s">
        <v>6929</v>
      </c>
    </row>
    <row r="5864" spans="1:11">
      <c r="A5864" t="s">
        <v>12800</v>
      </c>
      <c r="B5864" t="s">
        <v>6421</v>
      </c>
      <c r="C5864" t="s">
        <v>6940</v>
      </c>
      <c r="D5864" s="1">
        <v>45291</v>
      </c>
      <c r="E5864" s="1">
        <v>45294</v>
      </c>
      <c r="F5864" s="1"/>
      <c r="G5864">
        <v>22.36</v>
      </c>
      <c r="H58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864" t="str">
        <f>IFERROR(INDEX(Raw_orders!G:G, MATCH(shipments[[#This Row],[order_id]],Raw_orders!A:A, 0)), "Unknown")</f>
        <v>Central Europe</v>
      </c>
      <c r="J5864" t="str">
        <f>PROPER(shipments[[#This Row],[delivery_status]])</f>
        <v>In Transit</v>
      </c>
      <c r="K5864" t="s">
        <v>6946</v>
      </c>
    </row>
    <row r="5865" spans="1:11">
      <c r="A5865" t="s">
        <v>12801</v>
      </c>
      <c r="B5865" t="s">
        <v>6422</v>
      </c>
      <c r="C5865" t="s">
        <v>6949</v>
      </c>
      <c r="D5865" s="1">
        <v>45428</v>
      </c>
      <c r="E5865" s="1">
        <v>45430</v>
      </c>
      <c r="F5865" s="1">
        <v>45429</v>
      </c>
      <c r="G5865">
        <v>11.73</v>
      </c>
      <c r="H58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865" t="str">
        <f>IFERROR(INDEX(Raw_orders!G:G, MATCH(shipments[[#This Row],[order_id]],Raw_orders!A:A, 0)), "Unknown")</f>
        <v>Baltics</v>
      </c>
      <c r="J5865" t="str">
        <f>PROPER(shipments[[#This Row],[delivery_status]])</f>
        <v>Delivered</v>
      </c>
      <c r="K5865" t="s">
        <v>6929</v>
      </c>
    </row>
    <row r="5866" spans="1:11">
      <c r="A5866" t="s">
        <v>12802</v>
      </c>
      <c r="B5866" t="s">
        <v>6423</v>
      </c>
      <c r="C5866" t="s">
        <v>6940</v>
      </c>
      <c r="D5866" s="1">
        <v>45039</v>
      </c>
      <c r="E5866" s="1">
        <v>45049</v>
      </c>
      <c r="F5866" s="1">
        <v>45052</v>
      </c>
      <c r="G5866">
        <v>55.32</v>
      </c>
      <c r="H58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66" t="str">
        <f>IFERROR(INDEX(Raw_orders!G:G, MATCH(shipments[[#This Row],[order_id]],Raw_orders!A:A, 0)), "Unknown")</f>
        <v>Central Europe</v>
      </c>
      <c r="J5866" t="str">
        <f>PROPER(shipments[[#This Row],[delivery_status]])</f>
        <v>Delivered</v>
      </c>
      <c r="K5866" t="s">
        <v>6926</v>
      </c>
    </row>
    <row r="5867" spans="1:11">
      <c r="A5867" t="s">
        <v>12803</v>
      </c>
      <c r="B5867" t="s">
        <v>6424</v>
      </c>
      <c r="C5867" t="s">
        <v>6935</v>
      </c>
      <c r="D5867" s="1">
        <v>45476</v>
      </c>
      <c r="E5867" s="1">
        <v>45486</v>
      </c>
      <c r="F5867" s="1">
        <v>45486</v>
      </c>
      <c r="G5867">
        <v>51.44</v>
      </c>
      <c r="H58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867" t="str">
        <f>IFERROR(INDEX(Raw_orders!G:G, MATCH(shipments[[#This Row],[order_id]],Raw_orders!A:A, 0)), "Unknown")</f>
        <v>Nordics</v>
      </c>
      <c r="J5867" t="str">
        <f>PROPER(shipments[[#This Row],[delivery_status]])</f>
        <v>Delivered</v>
      </c>
      <c r="K5867" t="s">
        <v>6926</v>
      </c>
    </row>
    <row r="5868" spans="1:11">
      <c r="A5868" t="s">
        <v>12804</v>
      </c>
      <c r="B5868" t="s">
        <v>6425</v>
      </c>
      <c r="C5868" t="s">
        <v>6935</v>
      </c>
      <c r="D5868" s="1">
        <v>45443</v>
      </c>
      <c r="E5868" s="1">
        <v>45453</v>
      </c>
      <c r="F5868" s="1">
        <v>45453</v>
      </c>
      <c r="G5868">
        <v>41.11</v>
      </c>
      <c r="H58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868" t="str">
        <f>IFERROR(INDEX(Raw_orders!G:G, MATCH(shipments[[#This Row],[order_id]],Raw_orders!A:A, 0)), "Unknown")</f>
        <v>Nordics</v>
      </c>
      <c r="J5868" t="str">
        <f>PROPER(shipments[[#This Row],[delivery_status]])</f>
        <v>Delivered</v>
      </c>
      <c r="K5868" t="s">
        <v>6926</v>
      </c>
    </row>
    <row r="5869" spans="1:11">
      <c r="A5869" t="s">
        <v>12805</v>
      </c>
      <c r="B5869" t="s">
        <v>6426</v>
      </c>
      <c r="C5869" t="s">
        <v>6928</v>
      </c>
      <c r="D5869" s="1">
        <v>45531</v>
      </c>
      <c r="E5869" s="1">
        <v>45533</v>
      </c>
      <c r="F5869" s="1">
        <v>45541</v>
      </c>
      <c r="G5869">
        <v>50.36</v>
      </c>
      <c r="H58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69" t="str">
        <f>IFERROR(INDEX(Raw_orders!G:G, MATCH(shipments[[#This Row],[order_id]],Raw_orders!A:A, 0)), "Unknown")</f>
        <v>Baltics</v>
      </c>
      <c r="J5869" t="str">
        <f>PROPER(shipments[[#This Row],[delivery_status]])</f>
        <v>Delivered</v>
      </c>
      <c r="K5869" t="s">
        <v>6922</v>
      </c>
    </row>
    <row r="5870" spans="1:11">
      <c r="A5870" t="s">
        <v>12806</v>
      </c>
      <c r="B5870" t="s">
        <v>6427</v>
      </c>
      <c r="C5870" t="s">
        <v>6925</v>
      </c>
      <c r="D5870" s="1">
        <v>45174</v>
      </c>
      <c r="E5870" s="1">
        <v>45177</v>
      </c>
      <c r="F5870" s="1">
        <v>45177</v>
      </c>
      <c r="G5870">
        <v>45.25</v>
      </c>
      <c r="H58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870" t="str">
        <f>IFERROR(INDEX(Raw_orders!G:G, MATCH(shipments[[#This Row],[order_id]],Raw_orders!A:A, 0)), "Unknown")</f>
        <v>Central Europe</v>
      </c>
      <c r="J5870" t="str">
        <f>PROPER(shipments[[#This Row],[delivery_status]])</f>
        <v>Delivered</v>
      </c>
      <c r="K5870" t="s">
        <v>6929</v>
      </c>
    </row>
    <row r="5871" spans="1:11">
      <c r="A5871" t="s">
        <v>12807</v>
      </c>
      <c r="B5871" t="s">
        <v>6428</v>
      </c>
      <c r="C5871" t="s">
        <v>6956</v>
      </c>
      <c r="D5871" s="1">
        <v>45552</v>
      </c>
      <c r="E5871" s="1">
        <v>45557</v>
      </c>
      <c r="F5871" s="1">
        <v>45566</v>
      </c>
      <c r="G5871">
        <v>21.13</v>
      </c>
      <c r="H58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71" t="str">
        <f>IFERROR(INDEX(Raw_orders!G:G, MATCH(shipments[[#This Row],[order_id]],Raw_orders!A:A, 0)), "Unknown")</f>
        <v>Baltics</v>
      </c>
      <c r="J5871" t="str">
        <f>PROPER(shipments[[#This Row],[delivery_status]])</f>
        <v>Delivered</v>
      </c>
      <c r="K5871" t="s">
        <v>6929</v>
      </c>
    </row>
    <row r="5872" spans="1:11">
      <c r="A5872" t="s">
        <v>12808</v>
      </c>
      <c r="B5872" t="s">
        <v>6429</v>
      </c>
      <c r="C5872" t="s">
        <v>6931</v>
      </c>
      <c r="D5872" s="1">
        <v>45616</v>
      </c>
      <c r="E5872" s="1">
        <v>45621</v>
      </c>
      <c r="F5872" s="1">
        <v>45632</v>
      </c>
      <c r="G5872">
        <v>31.14</v>
      </c>
      <c r="H58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72" t="str">
        <f>IFERROR(INDEX(Raw_orders!G:G, MATCH(shipments[[#This Row],[order_id]],Raw_orders!A:A, 0)), "Unknown")</f>
        <v>Baltics</v>
      </c>
      <c r="J5872" t="str">
        <f>PROPER(shipments[[#This Row],[delivery_status]])</f>
        <v>Delivered</v>
      </c>
      <c r="K5872" t="s">
        <v>6922</v>
      </c>
    </row>
    <row r="5873" spans="1:11">
      <c r="A5873" t="s">
        <v>12809</v>
      </c>
      <c r="B5873" t="s">
        <v>6430</v>
      </c>
      <c r="C5873" t="s">
        <v>6940</v>
      </c>
      <c r="D5873" s="1">
        <v>44954</v>
      </c>
      <c r="E5873" s="1">
        <v>44961</v>
      </c>
      <c r="F5873" s="1">
        <v>44971</v>
      </c>
      <c r="G5873">
        <v>24.95</v>
      </c>
      <c r="H58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73" t="str">
        <f>IFERROR(INDEX(Raw_orders!G:G, MATCH(shipments[[#This Row],[order_id]],Raw_orders!A:A, 0)), "Unknown")</f>
        <v>Baltics</v>
      </c>
      <c r="J5873" t="str">
        <f>PROPER(shipments[[#This Row],[delivery_status]])</f>
        <v>Delivered</v>
      </c>
      <c r="K5873" t="s">
        <v>6926</v>
      </c>
    </row>
    <row r="5874" spans="1:11">
      <c r="A5874" t="s">
        <v>12810</v>
      </c>
      <c r="B5874" t="s">
        <v>6431</v>
      </c>
      <c r="C5874" t="s">
        <v>6925</v>
      </c>
      <c r="D5874" s="1">
        <v>45111</v>
      </c>
      <c r="E5874" s="1">
        <v>45114</v>
      </c>
      <c r="F5874" s="1">
        <v>45114</v>
      </c>
      <c r="G5874">
        <v>53.65</v>
      </c>
      <c r="H58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874" t="str">
        <f>IFERROR(INDEX(Raw_orders!G:G, MATCH(shipments[[#This Row],[order_id]],Raw_orders!A:A, 0)), "Unknown")</f>
        <v>Central Europe</v>
      </c>
      <c r="J5874" t="str">
        <f>PROPER(shipments[[#This Row],[delivery_status]])</f>
        <v>Delivered</v>
      </c>
      <c r="K5874" t="s">
        <v>6922</v>
      </c>
    </row>
    <row r="5875" spans="1:11">
      <c r="A5875" t="s">
        <v>12811</v>
      </c>
      <c r="B5875" t="s">
        <v>6432</v>
      </c>
      <c r="C5875" t="s">
        <v>6940</v>
      </c>
      <c r="D5875" s="1">
        <v>45212</v>
      </c>
      <c r="E5875" s="1">
        <v>45222</v>
      </c>
      <c r="F5875" s="1">
        <v>45222</v>
      </c>
      <c r="G5875">
        <v>15.71</v>
      </c>
      <c r="H58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875" t="str">
        <f>IFERROR(INDEX(Raw_orders!G:G, MATCH(shipments[[#This Row],[order_id]],Raw_orders!A:A, 0)), "Unknown")</f>
        <v>Nordics</v>
      </c>
      <c r="J5875" t="str">
        <f>PROPER(shipments[[#This Row],[delivery_status]])</f>
        <v>Delivered</v>
      </c>
      <c r="K5875" t="s">
        <v>6926</v>
      </c>
    </row>
    <row r="5876" spans="1:11">
      <c r="A5876" t="s">
        <v>12812</v>
      </c>
      <c r="B5876" t="s">
        <v>6432</v>
      </c>
      <c r="C5876" t="s">
        <v>6935</v>
      </c>
      <c r="D5876" s="1">
        <v>45213</v>
      </c>
      <c r="E5876" s="1">
        <v>45216</v>
      </c>
      <c r="F5876" s="1">
        <v>45218</v>
      </c>
      <c r="G5876">
        <v>35.93</v>
      </c>
      <c r="H58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76" t="str">
        <f>IFERROR(INDEX(Raw_orders!G:G, MATCH(shipments[[#This Row],[order_id]],Raw_orders!A:A, 0)), "Unknown")</f>
        <v>Nordics</v>
      </c>
      <c r="J5876" t="str">
        <f>PROPER(shipments[[#This Row],[delivery_status]])</f>
        <v>Delivered</v>
      </c>
      <c r="K5876" t="s">
        <v>6926</v>
      </c>
    </row>
    <row r="5877" spans="1:11">
      <c r="A5877" t="s">
        <v>12813</v>
      </c>
      <c r="B5877" t="s">
        <v>6433</v>
      </c>
      <c r="C5877" t="s">
        <v>6928</v>
      </c>
      <c r="D5877" s="1">
        <v>45108</v>
      </c>
      <c r="E5877" s="1">
        <v>45111</v>
      </c>
      <c r="F5877" s="1">
        <v>45111</v>
      </c>
      <c r="G5877">
        <v>51.94</v>
      </c>
      <c r="H58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877" t="str">
        <f>IFERROR(INDEX(Raw_orders!G:G, MATCH(shipments[[#This Row],[order_id]],Raw_orders!A:A, 0)), "Unknown")</f>
        <v>Baltics</v>
      </c>
      <c r="J5877" t="str">
        <f>PROPER(shipments[[#This Row],[delivery_status]])</f>
        <v>Delivered</v>
      </c>
      <c r="K5877" t="s">
        <v>6929</v>
      </c>
    </row>
    <row r="5878" spans="1:11">
      <c r="A5878" t="s">
        <v>12814</v>
      </c>
      <c r="B5878" t="s">
        <v>6434</v>
      </c>
      <c r="C5878" t="s">
        <v>6956</v>
      </c>
      <c r="D5878" s="1">
        <v>45465</v>
      </c>
      <c r="E5878" s="1">
        <v>45475</v>
      </c>
      <c r="F5878" s="1">
        <v>45482</v>
      </c>
      <c r="G5878">
        <v>17.59</v>
      </c>
      <c r="H58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78" t="str">
        <f>IFERROR(INDEX(Raw_orders!G:G, MATCH(shipments[[#This Row],[order_id]],Raw_orders!A:A, 0)), "Unknown")</f>
        <v>Baltics</v>
      </c>
      <c r="J5878" t="str">
        <f>PROPER(shipments[[#This Row],[delivery_status]])</f>
        <v>Delivered</v>
      </c>
      <c r="K5878" t="s">
        <v>6926</v>
      </c>
    </row>
    <row r="5879" spans="1:11">
      <c r="A5879" t="s">
        <v>12815</v>
      </c>
      <c r="B5879" t="s">
        <v>6435</v>
      </c>
      <c r="C5879" t="s">
        <v>6938</v>
      </c>
      <c r="D5879" s="1">
        <v>45204</v>
      </c>
      <c r="E5879" s="1">
        <v>45206</v>
      </c>
      <c r="F5879" s="1">
        <v>45211</v>
      </c>
      <c r="G5879">
        <v>29.58</v>
      </c>
      <c r="H58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79" t="str">
        <f>IFERROR(INDEX(Raw_orders!G:G, MATCH(shipments[[#This Row],[order_id]],Raw_orders!A:A, 0)), "Unknown")</f>
        <v>Central Europe</v>
      </c>
      <c r="J5879" t="str">
        <f>PROPER(shipments[[#This Row],[delivery_status]])</f>
        <v>Delivered</v>
      </c>
      <c r="K5879" t="s">
        <v>6929</v>
      </c>
    </row>
    <row r="5880" spans="1:11">
      <c r="A5880" t="s">
        <v>12816</v>
      </c>
      <c r="B5880" t="s">
        <v>6436</v>
      </c>
      <c r="C5880" t="s">
        <v>6940</v>
      </c>
      <c r="D5880" s="1">
        <v>45230</v>
      </c>
      <c r="E5880" s="1">
        <v>45240</v>
      </c>
      <c r="F5880" s="1">
        <v>45242</v>
      </c>
      <c r="G5880">
        <v>6.12</v>
      </c>
      <c r="H58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80" t="str">
        <f>IFERROR(INDEX(Raw_orders!G:G, MATCH(shipments[[#This Row],[order_id]],Raw_orders!A:A, 0)), "Unknown")</f>
        <v>Central Europe</v>
      </c>
      <c r="J5880" t="str">
        <f>PROPER(shipments[[#This Row],[delivery_status]])</f>
        <v>Delivered</v>
      </c>
      <c r="K5880" t="s">
        <v>6926</v>
      </c>
    </row>
    <row r="5881" spans="1:11">
      <c r="A5881" t="s">
        <v>12817</v>
      </c>
      <c r="B5881" t="s">
        <v>6437</v>
      </c>
      <c r="C5881" t="s">
        <v>6928</v>
      </c>
      <c r="D5881" s="1">
        <v>45481</v>
      </c>
      <c r="E5881" s="1">
        <v>45484</v>
      </c>
      <c r="F5881" s="1">
        <v>45484</v>
      </c>
      <c r="G5881">
        <v>61.73</v>
      </c>
      <c r="H58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881" t="str">
        <f>IFERROR(INDEX(Raw_orders!G:G, MATCH(shipments[[#This Row],[order_id]],Raw_orders!A:A, 0)), "Unknown")</f>
        <v>Unknown</v>
      </c>
      <c r="J5881" t="str">
        <f>PROPER(shipments[[#This Row],[delivery_status]])</f>
        <v>Delivered</v>
      </c>
      <c r="K5881" t="s">
        <v>6926</v>
      </c>
    </row>
    <row r="5882" spans="1:11">
      <c r="A5882" t="s">
        <v>12818</v>
      </c>
      <c r="B5882" t="s">
        <v>6438</v>
      </c>
      <c r="C5882" t="s">
        <v>6931</v>
      </c>
      <c r="D5882" s="1">
        <v>45069</v>
      </c>
      <c r="E5882" s="1">
        <v>45076</v>
      </c>
      <c r="F5882" s="1"/>
      <c r="G5882">
        <v>46.96</v>
      </c>
      <c r="H58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882" t="str">
        <f>IFERROR(INDEX(Raw_orders!G:G, MATCH(shipments[[#This Row],[order_id]],Raw_orders!A:A, 0)), "Unknown")</f>
        <v>Baltics</v>
      </c>
      <c r="J5882" t="str">
        <f>PROPER(shipments[[#This Row],[delivery_status]])</f>
        <v>Cancelled</v>
      </c>
      <c r="K5882" t="s">
        <v>6972</v>
      </c>
    </row>
    <row r="5883" spans="1:11">
      <c r="A5883" t="s">
        <v>12819</v>
      </c>
      <c r="B5883" t="s">
        <v>6439</v>
      </c>
      <c r="C5883" t="s">
        <v>6921</v>
      </c>
      <c r="D5883" s="1">
        <v>45236</v>
      </c>
      <c r="E5883" s="1">
        <v>45241</v>
      </c>
      <c r="F5883" s="1">
        <v>45243</v>
      </c>
      <c r="G5883">
        <v>12.26</v>
      </c>
      <c r="H58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83" t="str">
        <f>IFERROR(INDEX(Raw_orders!G:G, MATCH(shipments[[#This Row],[order_id]],Raw_orders!A:A, 0)), "Unknown")</f>
        <v>Central Europe</v>
      </c>
      <c r="J5883" t="str">
        <f>PROPER(shipments[[#This Row],[delivery_status]])</f>
        <v>Delivered</v>
      </c>
      <c r="K5883" t="s">
        <v>6929</v>
      </c>
    </row>
    <row r="5884" spans="1:11">
      <c r="A5884" t="s">
        <v>12820</v>
      </c>
      <c r="B5884" t="s">
        <v>6440</v>
      </c>
      <c r="C5884" t="s">
        <v>6935</v>
      </c>
      <c r="D5884" s="1">
        <v>45417</v>
      </c>
      <c r="E5884" s="1">
        <v>45424</v>
      </c>
      <c r="F5884" s="1">
        <v>45429</v>
      </c>
      <c r="G5884">
        <v>20.23</v>
      </c>
      <c r="H58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84" t="str">
        <f>IFERROR(INDEX(Raw_orders!G:G, MATCH(shipments[[#This Row],[order_id]],Raw_orders!A:A, 0)), "Unknown")</f>
        <v>Central Europe</v>
      </c>
      <c r="J5884" t="str">
        <f>PROPER(shipments[[#This Row],[delivery_status]])</f>
        <v>Delivered</v>
      </c>
      <c r="K5884" t="s">
        <v>6929</v>
      </c>
    </row>
    <row r="5885" spans="1:11">
      <c r="A5885" t="s">
        <v>12821</v>
      </c>
      <c r="B5885" t="s">
        <v>6441</v>
      </c>
      <c r="C5885" t="s">
        <v>6956</v>
      </c>
      <c r="D5885" s="1">
        <v>45255</v>
      </c>
      <c r="E5885" s="1">
        <v>45260</v>
      </c>
      <c r="F5885" s="1">
        <v>45264</v>
      </c>
      <c r="G5885">
        <v>23.47</v>
      </c>
      <c r="H58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85" t="str">
        <f>IFERROR(INDEX(Raw_orders!G:G, MATCH(shipments[[#This Row],[order_id]],Raw_orders!A:A, 0)), "Unknown")</f>
        <v>Central Europe</v>
      </c>
      <c r="J5885" t="str">
        <f>PROPER(shipments[[#This Row],[delivery_status]])</f>
        <v>Delivered</v>
      </c>
      <c r="K5885" t="s">
        <v>6929</v>
      </c>
    </row>
    <row r="5886" spans="1:11">
      <c r="A5886" t="s">
        <v>12822</v>
      </c>
      <c r="B5886" t="s">
        <v>6442</v>
      </c>
      <c r="C5886" t="s">
        <v>6925</v>
      </c>
      <c r="D5886" s="1">
        <v>45064</v>
      </c>
      <c r="E5886" s="1">
        <v>45071</v>
      </c>
      <c r="F5886" s="1">
        <v>45076</v>
      </c>
      <c r="G5886">
        <v>21.6</v>
      </c>
      <c r="H58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86" t="str">
        <f>IFERROR(INDEX(Raw_orders!G:G, MATCH(shipments[[#This Row],[order_id]],Raw_orders!A:A, 0)), "Unknown")</f>
        <v>Central Europe</v>
      </c>
      <c r="J5886" t="str">
        <f>PROPER(shipments[[#This Row],[delivery_status]])</f>
        <v>Delivered</v>
      </c>
      <c r="K5886" t="s">
        <v>6922</v>
      </c>
    </row>
    <row r="5887" spans="1:11">
      <c r="A5887" t="s">
        <v>12823</v>
      </c>
      <c r="B5887" t="s">
        <v>6443</v>
      </c>
      <c r="C5887" t="s">
        <v>6928</v>
      </c>
      <c r="D5887" s="1">
        <v>45161</v>
      </c>
      <c r="E5887" s="1">
        <v>45171</v>
      </c>
      <c r="F5887" s="1">
        <v>45174</v>
      </c>
      <c r="G5887">
        <v>64.959999999999994</v>
      </c>
      <c r="H58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87" t="str">
        <f>IFERROR(INDEX(Raw_orders!G:G, MATCH(shipments[[#This Row],[order_id]],Raw_orders!A:A, 0)), "Unknown")</f>
        <v>Nordics</v>
      </c>
      <c r="J5887" t="str">
        <f>PROPER(shipments[[#This Row],[delivery_status]])</f>
        <v>Delivered</v>
      </c>
      <c r="K5887" t="s">
        <v>6922</v>
      </c>
    </row>
    <row r="5888" spans="1:11">
      <c r="A5888" t="s">
        <v>12824</v>
      </c>
      <c r="B5888" t="s">
        <v>6444</v>
      </c>
      <c r="C5888" t="s">
        <v>6940</v>
      </c>
      <c r="D5888" s="1">
        <v>45375</v>
      </c>
      <c r="E5888" s="1">
        <v>45378</v>
      </c>
      <c r="F5888" s="1">
        <v>45377</v>
      </c>
      <c r="G5888">
        <v>32.33</v>
      </c>
      <c r="H58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888" t="str">
        <f>IFERROR(INDEX(Raw_orders!G:G, MATCH(shipments[[#This Row],[order_id]],Raw_orders!A:A, 0)), "Unknown")</f>
        <v>Central Europe</v>
      </c>
      <c r="J5888" t="str">
        <f>PROPER(shipments[[#This Row],[delivery_status]])</f>
        <v>Delivered</v>
      </c>
      <c r="K5888" t="s">
        <v>6922</v>
      </c>
    </row>
    <row r="5889" spans="1:11">
      <c r="A5889" t="s">
        <v>12825</v>
      </c>
      <c r="B5889" t="s">
        <v>6445</v>
      </c>
      <c r="C5889" t="s">
        <v>6921</v>
      </c>
      <c r="D5889" s="1">
        <v>45531</v>
      </c>
      <c r="E5889" s="1">
        <v>45541</v>
      </c>
      <c r="F5889" s="1">
        <v>45541</v>
      </c>
      <c r="G5889">
        <v>19.87</v>
      </c>
      <c r="H58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889" t="str">
        <f>IFERROR(INDEX(Raw_orders!G:G, MATCH(shipments[[#This Row],[order_id]],Raw_orders!A:A, 0)), "Unknown")</f>
        <v>Unknown</v>
      </c>
      <c r="J5889" t="str">
        <f>PROPER(shipments[[#This Row],[delivery_status]])</f>
        <v>Delivered</v>
      </c>
      <c r="K5889" t="s">
        <v>6926</v>
      </c>
    </row>
    <row r="5890" spans="1:11">
      <c r="A5890" t="s">
        <v>12826</v>
      </c>
      <c r="B5890" t="s">
        <v>6446</v>
      </c>
      <c r="C5890" t="s">
        <v>6935</v>
      </c>
      <c r="D5890" s="1">
        <v>45102</v>
      </c>
      <c r="E5890" s="1">
        <v>45109</v>
      </c>
      <c r="F5890" s="1">
        <v>45114</v>
      </c>
      <c r="G5890">
        <v>48.75</v>
      </c>
      <c r="H58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90" t="str">
        <f>IFERROR(INDEX(Raw_orders!G:G, MATCH(shipments[[#This Row],[order_id]],Raw_orders!A:A, 0)), "Unknown")</f>
        <v>Nordics</v>
      </c>
      <c r="J5890" t="str">
        <f>PROPER(shipments[[#This Row],[delivery_status]])</f>
        <v>Delivered</v>
      </c>
      <c r="K5890" t="s">
        <v>6929</v>
      </c>
    </row>
    <row r="5891" spans="1:11">
      <c r="A5891" t="s">
        <v>12827</v>
      </c>
      <c r="B5891" t="s">
        <v>6447</v>
      </c>
      <c r="C5891" t="s">
        <v>6925</v>
      </c>
      <c r="D5891" s="1">
        <v>45535</v>
      </c>
      <c r="E5891" s="1">
        <v>45538</v>
      </c>
      <c r="F5891" s="1">
        <v>45540</v>
      </c>
      <c r="G5891">
        <v>10.61</v>
      </c>
      <c r="H58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91" t="str">
        <f>IFERROR(INDEX(Raw_orders!G:G, MATCH(shipments[[#This Row],[order_id]],Raw_orders!A:A, 0)), "Unknown")</f>
        <v>Baltics</v>
      </c>
      <c r="J5891" t="str">
        <f>PROPER(shipments[[#This Row],[delivery_status]])</f>
        <v>Delivered</v>
      </c>
      <c r="K5891" t="s">
        <v>6929</v>
      </c>
    </row>
    <row r="5892" spans="1:11">
      <c r="A5892" t="s">
        <v>12828</v>
      </c>
      <c r="B5892" t="s">
        <v>6448</v>
      </c>
      <c r="C5892" t="s">
        <v>6956</v>
      </c>
      <c r="D5892" s="1">
        <v>45182</v>
      </c>
      <c r="E5892" s="1">
        <v>45187</v>
      </c>
      <c r="F5892" s="1">
        <v>45187</v>
      </c>
      <c r="G5892">
        <v>28.23</v>
      </c>
      <c r="H58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892" t="str">
        <f>IFERROR(INDEX(Raw_orders!G:G, MATCH(shipments[[#This Row],[order_id]],Raw_orders!A:A, 0)), "Unknown")</f>
        <v>Central Europe</v>
      </c>
      <c r="J5892" t="str">
        <f>PROPER(shipments[[#This Row],[delivery_status]])</f>
        <v>Delivered</v>
      </c>
      <c r="K5892" t="s">
        <v>6922</v>
      </c>
    </row>
    <row r="5893" spans="1:11">
      <c r="A5893" t="s">
        <v>12829</v>
      </c>
      <c r="B5893" t="s">
        <v>6449</v>
      </c>
      <c r="C5893" t="s">
        <v>6940</v>
      </c>
      <c r="D5893" s="1">
        <v>45416</v>
      </c>
      <c r="E5893" s="1">
        <v>45421</v>
      </c>
      <c r="F5893" s="1">
        <v>45424</v>
      </c>
      <c r="G5893">
        <v>38.28</v>
      </c>
      <c r="H58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93" t="str">
        <f>IFERROR(INDEX(Raw_orders!G:G, MATCH(shipments[[#This Row],[order_id]],Raw_orders!A:A, 0)), "Unknown")</f>
        <v>Baltics</v>
      </c>
      <c r="J5893" t="str">
        <f>PROPER(shipments[[#This Row],[delivery_status]])</f>
        <v>Delivered</v>
      </c>
      <c r="K5893" t="s">
        <v>6922</v>
      </c>
    </row>
    <row r="5894" spans="1:11">
      <c r="A5894" t="s">
        <v>12830</v>
      </c>
      <c r="B5894" t="s">
        <v>6450</v>
      </c>
      <c r="C5894" t="s">
        <v>6925</v>
      </c>
      <c r="D5894" s="1">
        <v>45421</v>
      </c>
      <c r="E5894" s="1">
        <v>45423</v>
      </c>
      <c r="F5894" s="1">
        <v>45425</v>
      </c>
      <c r="G5894">
        <v>22.69</v>
      </c>
      <c r="H58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94" t="str">
        <f>IFERROR(INDEX(Raw_orders!G:G, MATCH(shipments[[#This Row],[order_id]],Raw_orders!A:A, 0)), "Unknown")</f>
        <v>Baltics</v>
      </c>
      <c r="J5894" t="str">
        <f>PROPER(shipments[[#This Row],[delivery_status]])</f>
        <v>Delivered</v>
      </c>
      <c r="K5894" t="s">
        <v>6922</v>
      </c>
    </row>
    <row r="5895" spans="1:11">
      <c r="A5895" t="s">
        <v>12831</v>
      </c>
      <c r="B5895" t="s">
        <v>6451</v>
      </c>
      <c r="C5895" t="s">
        <v>6940</v>
      </c>
      <c r="D5895" s="1">
        <v>45462</v>
      </c>
      <c r="E5895" s="1">
        <v>45467</v>
      </c>
      <c r="F5895" s="1">
        <v>45470</v>
      </c>
      <c r="G5895">
        <v>27.59</v>
      </c>
      <c r="H58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95" t="str">
        <f>IFERROR(INDEX(Raw_orders!G:G, MATCH(shipments[[#This Row],[order_id]],Raw_orders!A:A, 0)), "Unknown")</f>
        <v>Central Europe</v>
      </c>
      <c r="J5895" t="str">
        <f>PROPER(shipments[[#This Row],[delivery_status]])</f>
        <v>Delivered</v>
      </c>
      <c r="K5895" t="s">
        <v>6926</v>
      </c>
    </row>
    <row r="5896" spans="1:11">
      <c r="A5896" t="s">
        <v>12832</v>
      </c>
      <c r="B5896" t="s">
        <v>6452</v>
      </c>
      <c r="C5896" t="s">
        <v>6935</v>
      </c>
      <c r="D5896" s="1">
        <v>45532</v>
      </c>
      <c r="E5896" s="1">
        <v>45539</v>
      </c>
      <c r="F5896" s="1">
        <v>45538</v>
      </c>
      <c r="G5896">
        <v>45.94</v>
      </c>
      <c r="H58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896" t="str">
        <f>IFERROR(INDEX(Raw_orders!G:G, MATCH(shipments[[#This Row],[order_id]],Raw_orders!A:A, 0)), "Unknown")</f>
        <v>Central Europe</v>
      </c>
      <c r="J5896" t="str">
        <f>PROPER(shipments[[#This Row],[delivery_status]])</f>
        <v>Delivered</v>
      </c>
      <c r="K5896" t="s">
        <v>6929</v>
      </c>
    </row>
    <row r="5897" spans="1:11">
      <c r="A5897" t="s">
        <v>12833</v>
      </c>
      <c r="B5897" t="s">
        <v>6453</v>
      </c>
      <c r="C5897" t="s">
        <v>6928</v>
      </c>
      <c r="D5897" s="1">
        <v>45203</v>
      </c>
      <c r="E5897" s="1">
        <v>45205</v>
      </c>
      <c r="F5897" s="1">
        <v>45211</v>
      </c>
      <c r="G5897">
        <v>19.920000000000002</v>
      </c>
      <c r="H58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97" t="str">
        <f>IFERROR(INDEX(Raw_orders!G:G, MATCH(shipments[[#This Row],[order_id]],Raw_orders!A:A, 0)), "Unknown")</f>
        <v>Baltics</v>
      </c>
      <c r="J5897" t="str">
        <f>PROPER(shipments[[#This Row],[delivery_status]])</f>
        <v>Delivered</v>
      </c>
      <c r="K5897" t="s">
        <v>6926</v>
      </c>
    </row>
    <row r="5898" spans="1:11">
      <c r="A5898" t="s">
        <v>12834</v>
      </c>
      <c r="B5898" t="s">
        <v>6454</v>
      </c>
      <c r="C5898" t="s">
        <v>6925</v>
      </c>
      <c r="D5898" s="1">
        <v>45057</v>
      </c>
      <c r="E5898" s="1">
        <v>45062</v>
      </c>
      <c r="F5898" s="1">
        <v>45074</v>
      </c>
      <c r="G5898">
        <v>26.53</v>
      </c>
      <c r="H58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98" t="str">
        <f>IFERROR(INDEX(Raw_orders!G:G, MATCH(shipments[[#This Row],[order_id]],Raw_orders!A:A, 0)), "Unknown")</f>
        <v>Baltics</v>
      </c>
      <c r="J5898" t="str">
        <f>PROPER(shipments[[#This Row],[delivery_status]])</f>
        <v>Delivered</v>
      </c>
      <c r="K5898" t="s">
        <v>6922</v>
      </c>
    </row>
    <row r="5899" spans="1:11">
      <c r="A5899" t="s">
        <v>12835</v>
      </c>
      <c r="B5899" t="s">
        <v>6455</v>
      </c>
      <c r="C5899" t="s">
        <v>6931</v>
      </c>
      <c r="D5899" s="1">
        <v>45581</v>
      </c>
      <c r="E5899" s="1">
        <v>45583</v>
      </c>
      <c r="F5899" s="1">
        <v>45588</v>
      </c>
      <c r="G5899">
        <v>53.28</v>
      </c>
      <c r="H58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899" t="str">
        <f>IFERROR(INDEX(Raw_orders!G:G, MATCH(shipments[[#This Row],[order_id]],Raw_orders!A:A, 0)), "Unknown")</f>
        <v>Baltics</v>
      </c>
      <c r="J5899" t="str">
        <f>PROPER(shipments[[#This Row],[delivery_status]])</f>
        <v>Delivered</v>
      </c>
      <c r="K5899" t="s">
        <v>6926</v>
      </c>
    </row>
    <row r="5900" spans="1:11">
      <c r="A5900" t="s">
        <v>12836</v>
      </c>
      <c r="B5900" t="s">
        <v>6456</v>
      </c>
      <c r="C5900" t="s">
        <v>6925</v>
      </c>
      <c r="D5900" s="1">
        <v>44986</v>
      </c>
      <c r="E5900" s="1">
        <v>44996</v>
      </c>
      <c r="F5900" s="1">
        <v>44999</v>
      </c>
      <c r="G5900">
        <v>11.98</v>
      </c>
      <c r="H59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00" t="str">
        <f>IFERROR(INDEX(Raw_orders!G:G, MATCH(shipments[[#This Row],[order_id]],Raw_orders!A:A, 0)), "Unknown")</f>
        <v>Baltics</v>
      </c>
      <c r="J5900" t="str">
        <f>PROPER(shipments[[#This Row],[delivery_status]])</f>
        <v>Delivered</v>
      </c>
      <c r="K5900" t="s">
        <v>6926</v>
      </c>
    </row>
    <row r="5901" spans="1:11">
      <c r="A5901" t="s">
        <v>12837</v>
      </c>
      <c r="B5901" t="s">
        <v>6457</v>
      </c>
      <c r="C5901" t="s">
        <v>6921</v>
      </c>
      <c r="D5901" s="1">
        <v>45489</v>
      </c>
      <c r="E5901" s="1">
        <v>45494</v>
      </c>
      <c r="F5901" s="1">
        <v>45502</v>
      </c>
      <c r="G5901">
        <v>42.42</v>
      </c>
      <c r="H59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01" t="str">
        <f>IFERROR(INDEX(Raw_orders!G:G, MATCH(shipments[[#This Row],[order_id]],Raw_orders!A:A, 0)), "Unknown")</f>
        <v>Nordics</v>
      </c>
      <c r="J5901" t="str">
        <f>PROPER(shipments[[#This Row],[delivery_status]])</f>
        <v>Delivered</v>
      </c>
      <c r="K5901" t="s">
        <v>6929</v>
      </c>
    </row>
    <row r="5902" spans="1:11">
      <c r="A5902" t="s">
        <v>12838</v>
      </c>
      <c r="B5902" t="s">
        <v>6458</v>
      </c>
      <c r="C5902" t="s">
        <v>6938</v>
      </c>
      <c r="D5902" s="1">
        <v>45586</v>
      </c>
      <c r="E5902" s="1">
        <v>45589</v>
      </c>
      <c r="F5902" s="1">
        <v>45602</v>
      </c>
      <c r="G5902">
        <v>36.14</v>
      </c>
      <c r="H59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02" t="str">
        <f>IFERROR(INDEX(Raw_orders!G:G, MATCH(shipments[[#This Row],[order_id]],Raw_orders!A:A, 0)), "Unknown")</f>
        <v>Nordics</v>
      </c>
      <c r="J5902" t="str">
        <f>PROPER(shipments[[#This Row],[delivery_status]])</f>
        <v>Delivered</v>
      </c>
      <c r="K5902" t="s">
        <v>6926</v>
      </c>
    </row>
    <row r="5903" spans="1:11">
      <c r="A5903" t="s">
        <v>12839</v>
      </c>
      <c r="B5903" t="s">
        <v>6459</v>
      </c>
      <c r="C5903" t="s">
        <v>6956</v>
      </c>
      <c r="D5903" s="1">
        <v>44983</v>
      </c>
      <c r="E5903" s="1">
        <v>44990</v>
      </c>
      <c r="F5903" s="1"/>
      <c r="G5903">
        <v>29.67</v>
      </c>
      <c r="H59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903" t="str">
        <f>IFERROR(INDEX(Raw_orders!G:G, MATCH(shipments[[#This Row],[order_id]],Raw_orders!A:A, 0)), "Unknown")</f>
        <v>Central Europe</v>
      </c>
      <c r="J5903" t="str">
        <f>PROPER(shipments[[#This Row],[delivery_status]])</f>
        <v>Cancelled</v>
      </c>
      <c r="K5903" t="s">
        <v>6979</v>
      </c>
    </row>
    <row r="5904" spans="1:11">
      <c r="A5904" t="s">
        <v>12840</v>
      </c>
      <c r="B5904" t="s">
        <v>6460</v>
      </c>
      <c r="C5904" t="s">
        <v>6938</v>
      </c>
      <c r="D5904" s="1">
        <v>45200</v>
      </c>
      <c r="E5904" s="1">
        <v>45202</v>
      </c>
      <c r="F5904" s="1">
        <v>45201</v>
      </c>
      <c r="G5904">
        <v>58.89</v>
      </c>
      <c r="H59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904" t="str">
        <f>IFERROR(INDEX(Raw_orders!G:G, MATCH(shipments[[#This Row],[order_id]],Raw_orders!A:A, 0)), "Unknown")</f>
        <v>Central Europe</v>
      </c>
      <c r="J5904" t="str">
        <f>PROPER(shipments[[#This Row],[delivery_status]])</f>
        <v>Delivered</v>
      </c>
      <c r="K5904" t="s">
        <v>6922</v>
      </c>
    </row>
    <row r="5905" spans="1:11">
      <c r="A5905" t="s">
        <v>12841</v>
      </c>
      <c r="B5905" t="s">
        <v>6460</v>
      </c>
      <c r="C5905" t="s">
        <v>6925</v>
      </c>
      <c r="D5905" s="1">
        <v>45202</v>
      </c>
      <c r="E5905" s="1">
        <v>45212</v>
      </c>
      <c r="F5905" s="1">
        <v>45214</v>
      </c>
      <c r="G5905">
        <v>28.24</v>
      </c>
      <c r="H59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05" t="str">
        <f>IFERROR(INDEX(Raw_orders!G:G, MATCH(shipments[[#This Row],[order_id]],Raw_orders!A:A, 0)), "Unknown")</f>
        <v>Central Europe</v>
      </c>
      <c r="J5905" t="str">
        <f>PROPER(shipments[[#This Row],[delivery_status]])</f>
        <v>Delivered</v>
      </c>
      <c r="K5905" t="s">
        <v>6922</v>
      </c>
    </row>
    <row r="5906" spans="1:11">
      <c r="A5906" t="s">
        <v>12842</v>
      </c>
      <c r="B5906" t="s">
        <v>6461</v>
      </c>
      <c r="C5906" t="s">
        <v>6949</v>
      </c>
      <c r="D5906" s="1">
        <v>45149</v>
      </c>
      <c r="E5906" s="1">
        <v>45154</v>
      </c>
      <c r="F5906" s="1">
        <v>45159</v>
      </c>
      <c r="G5906">
        <v>12.36</v>
      </c>
      <c r="H59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06" t="str">
        <f>IFERROR(INDEX(Raw_orders!G:G, MATCH(shipments[[#This Row],[order_id]],Raw_orders!A:A, 0)), "Unknown")</f>
        <v>Baltics</v>
      </c>
      <c r="J5906" t="str">
        <f>PROPER(shipments[[#This Row],[delivery_status]])</f>
        <v>Delivered</v>
      </c>
      <c r="K5906" t="s">
        <v>6922</v>
      </c>
    </row>
    <row r="5907" spans="1:11">
      <c r="A5907" t="s">
        <v>12843</v>
      </c>
      <c r="B5907" t="s">
        <v>6462</v>
      </c>
      <c r="C5907" t="s">
        <v>6931</v>
      </c>
      <c r="D5907" s="1">
        <v>45413</v>
      </c>
      <c r="E5907" s="1">
        <v>45418</v>
      </c>
      <c r="F5907" s="1">
        <v>45418</v>
      </c>
      <c r="G5907">
        <v>21.23</v>
      </c>
      <c r="H59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907" t="str">
        <f>IFERROR(INDEX(Raw_orders!G:G, MATCH(shipments[[#This Row],[order_id]],Raw_orders!A:A, 0)), "Unknown")</f>
        <v>Baltics</v>
      </c>
      <c r="J5907" t="str">
        <f>PROPER(shipments[[#This Row],[delivery_status]])</f>
        <v>Delivered</v>
      </c>
      <c r="K5907" t="s">
        <v>6922</v>
      </c>
    </row>
    <row r="5908" spans="1:11">
      <c r="A5908" t="s">
        <v>12844</v>
      </c>
      <c r="B5908" t="s">
        <v>6463</v>
      </c>
      <c r="C5908" t="s">
        <v>6935</v>
      </c>
      <c r="D5908" s="1">
        <v>45042</v>
      </c>
      <c r="E5908" s="1">
        <v>45049</v>
      </c>
      <c r="F5908" s="1"/>
      <c r="G5908">
        <v>16.510000000000002</v>
      </c>
      <c r="H59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908" t="str">
        <f>IFERROR(INDEX(Raw_orders!G:G, MATCH(shipments[[#This Row],[order_id]],Raw_orders!A:A, 0)), "Unknown")</f>
        <v>Nordics</v>
      </c>
      <c r="J5908" t="str">
        <f>PROPER(shipments[[#This Row],[delivery_status]])</f>
        <v>Cancelled</v>
      </c>
      <c r="K5908" t="s">
        <v>6963</v>
      </c>
    </row>
    <row r="5909" spans="1:11">
      <c r="A5909" t="s">
        <v>12845</v>
      </c>
      <c r="B5909" t="s">
        <v>6464</v>
      </c>
      <c r="C5909" t="s">
        <v>6925</v>
      </c>
      <c r="D5909" s="1">
        <v>44942</v>
      </c>
      <c r="E5909" s="1">
        <v>44952</v>
      </c>
      <c r="F5909" s="1">
        <v>44957</v>
      </c>
      <c r="G5909">
        <v>31</v>
      </c>
      <c r="H59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09" t="str">
        <f>IFERROR(INDEX(Raw_orders!G:G, MATCH(shipments[[#This Row],[order_id]],Raw_orders!A:A, 0)), "Unknown")</f>
        <v>Baltics</v>
      </c>
      <c r="J5909" t="str">
        <f>PROPER(shipments[[#This Row],[delivery_status]])</f>
        <v>Delivered</v>
      </c>
      <c r="K5909" t="s">
        <v>6922</v>
      </c>
    </row>
    <row r="5910" spans="1:11">
      <c r="A5910" t="s">
        <v>12846</v>
      </c>
      <c r="B5910" t="s">
        <v>6465</v>
      </c>
      <c r="C5910" t="s">
        <v>6931</v>
      </c>
      <c r="D5910" s="1">
        <v>45429</v>
      </c>
      <c r="E5910" s="1">
        <v>45431</v>
      </c>
      <c r="F5910" s="1">
        <v>45431</v>
      </c>
      <c r="G5910">
        <v>12.86</v>
      </c>
      <c r="H59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910" t="str">
        <f>IFERROR(INDEX(Raw_orders!G:G, MATCH(shipments[[#This Row],[order_id]],Raw_orders!A:A, 0)), "Unknown")</f>
        <v>Unknown</v>
      </c>
      <c r="J5910" t="str">
        <f>PROPER(shipments[[#This Row],[delivery_status]])</f>
        <v>Delivered</v>
      </c>
      <c r="K5910" t="s">
        <v>6922</v>
      </c>
    </row>
    <row r="5911" spans="1:11">
      <c r="A5911" t="s">
        <v>12847</v>
      </c>
      <c r="B5911" t="s">
        <v>6466</v>
      </c>
      <c r="C5911" t="s">
        <v>6956</v>
      </c>
      <c r="D5911" s="1">
        <v>45183</v>
      </c>
      <c r="E5911" s="1">
        <v>45190</v>
      </c>
      <c r="F5911" s="1">
        <v>45198</v>
      </c>
      <c r="G5911">
        <v>18.29</v>
      </c>
      <c r="H59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11" t="str">
        <f>IFERROR(INDEX(Raw_orders!G:G, MATCH(shipments[[#This Row],[order_id]],Raw_orders!A:A, 0)), "Unknown")</f>
        <v>Central Europe</v>
      </c>
      <c r="J5911" t="str">
        <f>PROPER(shipments[[#This Row],[delivery_status]])</f>
        <v>Delivered</v>
      </c>
      <c r="K5911" t="s">
        <v>6926</v>
      </c>
    </row>
    <row r="5912" spans="1:11">
      <c r="A5912" t="s">
        <v>12848</v>
      </c>
      <c r="B5912" t="s">
        <v>6467</v>
      </c>
      <c r="C5912" t="s">
        <v>6956</v>
      </c>
      <c r="D5912" s="1">
        <v>45337</v>
      </c>
      <c r="E5912" s="1">
        <v>45340</v>
      </c>
      <c r="F5912" s="1">
        <v>45341</v>
      </c>
      <c r="G5912">
        <v>34.450000000000003</v>
      </c>
      <c r="H59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12" t="str">
        <f>IFERROR(INDEX(Raw_orders!G:G, MATCH(shipments[[#This Row],[order_id]],Raw_orders!A:A, 0)), "Unknown")</f>
        <v>Nordics</v>
      </c>
      <c r="J5912" t="str">
        <f>PROPER(shipments[[#This Row],[delivery_status]])</f>
        <v>Delivered</v>
      </c>
      <c r="K5912" t="s">
        <v>6926</v>
      </c>
    </row>
    <row r="5913" spans="1:11">
      <c r="A5913" t="s">
        <v>12849</v>
      </c>
      <c r="B5913" t="s">
        <v>6468</v>
      </c>
      <c r="C5913" t="s">
        <v>6928</v>
      </c>
      <c r="D5913" s="1">
        <v>45020</v>
      </c>
      <c r="E5913" s="1">
        <v>45023</v>
      </c>
      <c r="F5913" s="1"/>
      <c r="G5913">
        <v>11.95</v>
      </c>
      <c r="H59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913" t="str">
        <f>IFERROR(INDEX(Raw_orders!G:G, MATCH(shipments[[#This Row],[order_id]],Raw_orders!A:A, 0)), "Unknown")</f>
        <v>Nordics</v>
      </c>
      <c r="J5913" t="str">
        <f>PROPER(shipments[[#This Row],[delivery_status]])</f>
        <v>In Transit</v>
      </c>
      <c r="K5913" t="s">
        <v>6977</v>
      </c>
    </row>
    <row r="5914" spans="1:11">
      <c r="A5914" t="s">
        <v>12850</v>
      </c>
      <c r="B5914" t="s">
        <v>6469</v>
      </c>
      <c r="C5914" t="s">
        <v>6940</v>
      </c>
      <c r="D5914" s="1">
        <v>45413</v>
      </c>
      <c r="E5914" s="1">
        <v>45418</v>
      </c>
      <c r="F5914" s="1">
        <v>45420</v>
      </c>
      <c r="G5914">
        <v>16.350000000000001</v>
      </c>
      <c r="H59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14" t="str">
        <f>IFERROR(INDEX(Raw_orders!G:G, MATCH(shipments[[#This Row],[order_id]],Raw_orders!A:A, 0)), "Unknown")</f>
        <v>Baltics</v>
      </c>
      <c r="J5914" t="str">
        <f>PROPER(shipments[[#This Row],[delivery_status]])</f>
        <v>Delivered</v>
      </c>
      <c r="K5914" t="s">
        <v>6926</v>
      </c>
    </row>
    <row r="5915" spans="1:11">
      <c r="A5915" t="s">
        <v>12851</v>
      </c>
      <c r="B5915" t="s">
        <v>6470</v>
      </c>
      <c r="C5915" t="s">
        <v>6928</v>
      </c>
      <c r="D5915" s="1">
        <v>45596</v>
      </c>
      <c r="E5915" s="1">
        <v>45599</v>
      </c>
      <c r="F5915" s="1">
        <v>45610</v>
      </c>
      <c r="H59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15" t="str">
        <f>IFERROR(INDEX(Raw_orders!G:G, MATCH(shipments[[#This Row],[order_id]],Raw_orders!A:A, 0)), "Unknown")</f>
        <v>Central Europe</v>
      </c>
      <c r="J5915" t="str">
        <f>PROPER(shipments[[#This Row],[delivery_status]])</f>
        <v>Delivered</v>
      </c>
      <c r="K5915" t="s">
        <v>6929</v>
      </c>
    </row>
    <row r="5916" spans="1:11">
      <c r="A5916" t="s">
        <v>12852</v>
      </c>
      <c r="B5916" t="s">
        <v>6471</v>
      </c>
      <c r="C5916" t="s">
        <v>6921</v>
      </c>
      <c r="D5916" s="1">
        <v>44972</v>
      </c>
      <c r="E5916" s="1">
        <v>44977</v>
      </c>
      <c r="F5916" s="1"/>
      <c r="G5916">
        <v>15.55</v>
      </c>
      <c r="H59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916" t="str">
        <f>IFERROR(INDEX(Raw_orders!G:G, MATCH(shipments[[#This Row],[order_id]],Raw_orders!A:A, 0)), "Unknown")</f>
        <v>Baltics</v>
      </c>
      <c r="J5916" t="str">
        <f>PROPER(shipments[[#This Row],[delivery_status]])</f>
        <v>Cancelled</v>
      </c>
      <c r="K5916" t="s">
        <v>6972</v>
      </c>
    </row>
    <row r="5917" spans="1:11">
      <c r="A5917" t="s">
        <v>12853</v>
      </c>
      <c r="B5917" t="s">
        <v>6472</v>
      </c>
      <c r="C5917" t="s">
        <v>6925</v>
      </c>
      <c r="D5917" s="1">
        <v>45393</v>
      </c>
      <c r="E5917" s="1">
        <v>45396</v>
      </c>
      <c r="F5917" s="1">
        <v>45404</v>
      </c>
      <c r="G5917">
        <v>41.88</v>
      </c>
      <c r="H59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17" t="str">
        <f>IFERROR(INDEX(Raw_orders!G:G, MATCH(shipments[[#This Row],[order_id]],Raw_orders!A:A, 0)), "Unknown")</f>
        <v>Nordics</v>
      </c>
      <c r="J5917" t="str">
        <f>PROPER(shipments[[#This Row],[delivery_status]])</f>
        <v>Delivered</v>
      </c>
      <c r="K5917" t="s">
        <v>6926</v>
      </c>
    </row>
    <row r="5918" spans="1:11">
      <c r="A5918" t="s">
        <v>12854</v>
      </c>
      <c r="B5918" t="s">
        <v>6473</v>
      </c>
      <c r="C5918" t="s">
        <v>6935</v>
      </c>
      <c r="D5918" s="1">
        <v>44947</v>
      </c>
      <c r="E5918" s="1">
        <v>44952</v>
      </c>
      <c r="F5918" s="1"/>
      <c r="G5918">
        <v>41.65</v>
      </c>
      <c r="H59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918" t="str">
        <f>IFERROR(INDEX(Raw_orders!G:G, MATCH(shipments[[#This Row],[order_id]],Raw_orders!A:A, 0)), "Unknown")</f>
        <v>Central Europe</v>
      </c>
      <c r="J5918" t="str">
        <f>PROPER(shipments[[#This Row],[delivery_status]])</f>
        <v>Cancelled</v>
      </c>
      <c r="K5918" t="s">
        <v>6972</v>
      </c>
    </row>
    <row r="5919" spans="1:11">
      <c r="A5919" t="s">
        <v>12855</v>
      </c>
      <c r="B5919" t="s">
        <v>6474</v>
      </c>
      <c r="C5919" t="s">
        <v>6956</v>
      </c>
      <c r="D5919" s="1">
        <v>45192</v>
      </c>
      <c r="E5919" s="1">
        <v>45202</v>
      </c>
      <c r="F5919" s="1">
        <v>45207</v>
      </c>
      <c r="G5919">
        <v>55.81</v>
      </c>
      <c r="H59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19" t="str">
        <f>IFERROR(INDEX(Raw_orders!G:G, MATCH(shipments[[#This Row],[order_id]],Raw_orders!A:A, 0)), "Unknown")</f>
        <v>Central Europe</v>
      </c>
      <c r="J5919" t="str">
        <f>PROPER(shipments[[#This Row],[delivery_status]])</f>
        <v>Delivered</v>
      </c>
      <c r="K5919" t="s">
        <v>6929</v>
      </c>
    </row>
    <row r="5920" spans="1:11">
      <c r="A5920" t="s">
        <v>12856</v>
      </c>
      <c r="B5920" t="s">
        <v>6475</v>
      </c>
      <c r="C5920" t="s">
        <v>6935</v>
      </c>
      <c r="D5920" s="1">
        <v>45442</v>
      </c>
      <c r="E5920" s="1">
        <v>45444</v>
      </c>
      <c r="F5920" s="1">
        <v>45457</v>
      </c>
      <c r="G5920">
        <v>54.24</v>
      </c>
      <c r="H59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20" t="str">
        <f>IFERROR(INDEX(Raw_orders!G:G, MATCH(shipments[[#This Row],[order_id]],Raw_orders!A:A, 0)), "Unknown")</f>
        <v>Central Europe</v>
      </c>
      <c r="J5920" t="str">
        <f>PROPER(shipments[[#This Row],[delivery_status]])</f>
        <v>Delivered</v>
      </c>
      <c r="K5920" t="s">
        <v>6929</v>
      </c>
    </row>
    <row r="5921" spans="1:11">
      <c r="A5921" t="s">
        <v>12857</v>
      </c>
      <c r="B5921" t="s">
        <v>6476</v>
      </c>
      <c r="C5921" t="s">
        <v>6925</v>
      </c>
      <c r="D5921" s="1">
        <v>45464</v>
      </c>
      <c r="E5921" s="1">
        <v>45471</v>
      </c>
      <c r="F5921" s="1">
        <v>45472</v>
      </c>
      <c r="G5921">
        <v>28.48</v>
      </c>
      <c r="H59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21" t="str">
        <f>IFERROR(INDEX(Raw_orders!G:G, MATCH(shipments[[#This Row],[order_id]],Raw_orders!A:A, 0)), "Unknown")</f>
        <v>Central Europe</v>
      </c>
      <c r="J5921" t="str">
        <f>PROPER(shipments[[#This Row],[delivery_status]])</f>
        <v>Delivered</v>
      </c>
      <c r="K5921" t="s">
        <v>6926</v>
      </c>
    </row>
    <row r="5922" spans="1:11">
      <c r="A5922" t="s">
        <v>12858</v>
      </c>
      <c r="B5922" t="s">
        <v>6477</v>
      </c>
      <c r="C5922" t="s">
        <v>6938</v>
      </c>
      <c r="D5922" s="1">
        <v>45549</v>
      </c>
      <c r="E5922" s="1">
        <v>45552</v>
      </c>
      <c r="F5922" s="1">
        <v>45554</v>
      </c>
      <c r="G5922">
        <v>21.29</v>
      </c>
      <c r="H59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22" t="str">
        <f>IFERROR(INDEX(Raw_orders!G:G, MATCH(shipments[[#This Row],[order_id]],Raw_orders!A:A, 0)), "Unknown")</f>
        <v>Nordics</v>
      </c>
      <c r="J5922" t="str">
        <f>PROPER(shipments[[#This Row],[delivery_status]])</f>
        <v>Delivered</v>
      </c>
      <c r="K5922" t="s">
        <v>6922</v>
      </c>
    </row>
    <row r="5923" spans="1:11">
      <c r="A5923" t="s">
        <v>12859</v>
      </c>
      <c r="B5923" t="s">
        <v>6478</v>
      </c>
      <c r="C5923" t="s">
        <v>6938</v>
      </c>
      <c r="D5923" s="1">
        <v>45481</v>
      </c>
      <c r="E5923" s="1">
        <v>45483</v>
      </c>
      <c r="F5923" s="1">
        <v>45491</v>
      </c>
      <c r="G5923">
        <v>58.27</v>
      </c>
      <c r="H59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23" t="str">
        <f>IFERROR(INDEX(Raw_orders!G:G, MATCH(shipments[[#This Row],[order_id]],Raw_orders!A:A, 0)), "Unknown")</f>
        <v>Central Europe</v>
      </c>
      <c r="J5923" t="str">
        <f>PROPER(shipments[[#This Row],[delivery_status]])</f>
        <v>Delivered</v>
      </c>
      <c r="K5923" t="s">
        <v>6926</v>
      </c>
    </row>
    <row r="5924" spans="1:11">
      <c r="A5924" t="s">
        <v>12860</v>
      </c>
      <c r="B5924" t="s">
        <v>6479</v>
      </c>
      <c r="C5924" t="s">
        <v>6921</v>
      </c>
      <c r="D5924" s="1">
        <v>45288</v>
      </c>
      <c r="E5924" s="1">
        <v>45295</v>
      </c>
      <c r="F5924" s="1">
        <v>45298</v>
      </c>
      <c r="G5924">
        <v>55.49</v>
      </c>
      <c r="H59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24" t="str">
        <f>IFERROR(INDEX(Raw_orders!G:G, MATCH(shipments[[#This Row],[order_id]],Raw_orders!A:A, 0)), "Unknown")</f>
        <v>Baltics</v>
      </c>
      <c r="J5924" t="str">
        <f>PROPER(shipments[[#This Row],[delivery_status]])</f>
        <v>Delivered</v>
      </c>
      <c r="K5924" t="s">
        <v>6926</v>
      </c>
    </row>
    <row r="5925" spans="1:11">
      <c r="A5925" t="s">
        <v>12861</v>
      </c>
      <c r="B5925" t="s">
        <v>6480</v>
      </c>
      <c r="C5925" t="s">
        <v>6921</v>
      </c>
      <c r="D5925" s="1">
        <v>45208</v>
      </c>
      <c r="E5925" s="1">
        <v>45215</v>
      </c>
      <c r="F5925" s="1">
        <v>45215</v>
      </c>
      <c r="G5925">
        <v>61.8</v>
      </c>
      <c r="H59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925" t="str">
        <f>IFERROR(INDEX(Raw_orders!G:G, MATCH(shipments[[#This Row],[order_id]],Raw_orders!A:A, 0)), "Unknown")</f>
        <v>Unknown</v>
      </c>
      <c r="J5925" t="str">
        <f>PROPER(shipments[[#This Row],[delivery_status]])</f>
        <v>Delivered</v>
      </c>
      <c r="K5925" t="s">
        <v>6926</v>
      </c>
    </row>
    <row r="5926" spans="1:11">
      <c r="A5926" t="s">
        <v>12862</v>
      </c>
      <c r="B5926" t="s">
        <v>6481</v>
      </c>
      <c r="C5926" t="s">
        <v>6931</v>
      </c>
      <c r="D5926" s="1">
        <v>44970</v>
      </c>
      <c r="E5926" s="1">
        <v>44975</v>
      </c>
      <c r="F5926" s="1">
        <v>44985</v>
      </c>
      <c r="G5926">
        <v>16.2</v>
      </c>
      <c r="H59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26" t="str">
        <f>IFERROR(INDEX(Raw_orders!G:G, MATCH(shipments[[#This Row],[order_id]],Raw_orders!A:A, 0)), "Unknown")</f>
        <v>Central Europe</v>
      </c>
      <c r="J5926" t="str">
        <f>PROPER(shipments[[#This Row],[delivery_status]])</f>
        <v>Delivered</v>
      </c>
      <c r="K5926" t="s">
        <v>6929</v>
      </c>
    </row>
    <row r="5927" spans="1:11">
      <c r="A5927" t="s">
        <v>12863</v>
      </c>
      <c r="B5927" t="s">
        <v>6482</v>
      </c>
      <c r="C5927" t="s">
        <v>6925</v>
      </c>
      <c r="D5927" s="1">
        <v>45016</v>
      </c>
      <c r="E5927" s="1">
        <v>45023</v>
      </c>
      <c r="F5927" s="1"/>
      <c r="G5927">
        <v>38.549999999999997</v>
      </c>
      <c r="H59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927" t="str">
        <f>IFERROR(INDEX(Raw_orders!G:G, MATCH(shipments[[#This Row],[order_id]],Raw_orders!A:A, 0)), "Unknown")</f>
        <v>Baltics</v>
      </c>
      <c r="J5927" t="str">
        <f>PROPER(shipments[[#This Row],[delivery_status]])</f>
        <v>Cancelled</v>
      </c>
      <c r="K5927" t="s">
        <v>6979</v>
      </c>
    </row>
    <row r="5928" spans="1:11">
      <c r="A5928" t="s">
        <v>12864</v>
      </c>
      <c r="B5928" t="s">
        <v>6483</v>
      </c>
      <c r="C5928" t="s">
        <v>6925</v>
      </c>
      <c r="D5928" s="1">
        <v>45155</v>
      </c>
      <c r="E5928" s="1">
        <v>45162</v>
      </c>
      <c r="F5928" s="1">
        <v>45167</v>
      </c>
      <c r="G5928">
        <v>34.85</v>
      </c>
      <c r="H59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28" t="str">
        <f>IFERROR(INDEX(Raw_orders!G:G, MATCH(shipments[[#This Row],[order_id]],Raw_orders!A:A, 0)), "Unknown")</f>
        <v>Nordics</v>
      </c>
      <c r="J5928" t="str">
        <f>PROPER(shipments[[#This Row],[delivery_status]])</f>
        <v>Delivered</v>
      </c>
      <c r="K5928" t="s">
        <v>6929</v>
      </c>
    </row>
    <row r="5929" spans="1:11">
      <c r="A5929" t="s">
        <v>12865</v>
      </c>
      <c r="B5929" t="s">
        <v>6484</v>
      </c>
      <c r="C5929" t="s">
        <v>6928</v>
      </c>
      <c r="D5929" s="1">
        <v>44995</v>
      </c>
      <c r="E5929" s="1">
        <v>45000</v>
      </c>
      <c r="F5929" s="1">
        <v>45007</v>
      </c>
      <c r="G5929">
        <v>28.61</v>
      </c>
      <c r="H59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29" t="str">
        <f>IFERROR(INDEX(Raw_orders!G:G, MATCH(shipments[[#This Row],[order_id]],Raw_orders!A:A, 0)), "Unknown")</f>
        <v>Central Europe</v>
      </c>
      <c r="J5929" t="str">
        <f>PROPER(shipments[[#This Row],[delivery_status]])</f>
        <v>Delivered</v>
      </c>
      <c r="K5929" t="s">
        <v>6929</v>
      </c>
    </row>
    <row r="5930" spans="1:11">
      <c r="A5930" t="s">
        <v>12866</v>
      </c>
      <c r="B5930" t="s">
        <v>6485</v>
      </c>
      <c r="C5930" t="s">
        <v>6931</v>
      </c>
      <c r="D5930" s="1">
        <v>45266</v>
      </c>
      <c r="E5930" s="1">
        <v>45268</v>
      </c>
      <c r="F5930" s="1">
        <v>45267</v>
      </c>
      <c r="G5930">
        <v>6</v>
      </c>
      <c r="H59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930" t="str">
        <f>IFERROR(INDEX(Raw_orders!G:G, MATCH(shipments[[#This Row],[order_id]],Raw_orders!A:A, 0)), "Unknown")</f>
        <v>Nordics</v>
      </c>
      <c r="J5930" t="str">
        <f>PROPER(shipments[[#This Row],[delivery_status]])</f>
        <v>Delivered</v>
      </c>
      <c r="K5930" t="s">
        <v>6926</v>
      </c>
    </row>
    <row r="5931" spans="1:11">
      <c r="A5931" t="s">
        <v>12867</v>
      </c>
      <c r="B5931" t="s">
        <v>6486</v>
      </c>
      <c r="C5931" t="s">
        <v>6935</v>
      </c>
      <c r="D5931" s="1">
        <v>45232</v>
      </c>
      <c r="E5931" s="1">
        <v>45237</v>
      </c>
      <c r="F5931" s="1">
        <v>45248</v>
      </c>
      <c r="G5931">
        <v>55.55</v>
      </c>
      <c r="H59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31" t="str">
        <f>IFERROR(INDEX(Raw_orders!G:G, MATCH(shipments[[#This Row],[order_id]],Raw_orders!A:A, 0)), "Unknown")</f>
        <v>Nordics</v>
      </c>
      <c r="J5931" t="str">
        <f>PROPER(shipments[[#This Row],[delivery_status]])</f>
        <v>Delivered</v>
      </c>
      <c r="K5931" t="s">
        <v>6922</v>
      </c>
    </row>
    <row r="5932" spans="1:11">
      <c r="A5932" t="s">
        <v>12868</v>
      </c>
      <c r="B5932" t="s">
        <v>6487</v>
      </c>
      <c r="C5932" t="s">
        <v>6956</v>
      </c>
      <c r="D5932" s="1">
        <v>45509</v>
      </c>
      <c r="E5932" s="1">
        <v>45514</v>
      </c>
      <c r="F5932" s="1">
        <v>45522</v>
      </c>
      <c r="G5932">
        <v>55.69</v>
      </c>
      <c r="H59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32" t="str">
        <f>IFERROR(INDEX(Raw_orders!G:G, MATCH(shipments[[#This Row],[order_id]],Raw_orders!A:A, 0)), "Unknown")</f>
        <v>Baltics</v>
      </c>
      <c r="J5932" t="str">
        <f>PROPER(shipments[[#This Row],[delivery_status]])</f>
        <v>Delivered</v>
      </c>
      <c r="K5932" t="s">
        <v>6922</v>
      </c>
    </row>
    <row r="5933" spans="1:11">
      <c r="A5933" t="s">
        <v>12869</v>
      </c>
      <c r="B5933" t="s">
        <v>6488</v>
      </c>
      <c r="C5933" t="s">
        <v>6928</v>
      </c>
      <c r="D5933" s="1">
        <v>45623</v>
      </c>
      <c r="E5933" s="1">
        <v>45633</v>
      </c>
      <c r="F5933" s="1">
        <v>45633</v>
      </c>
      <c r="G5933">
        <v>37.14</v>
      </c>
      <c r="H59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933" t="str">
        <f>IFERROR(INDEX(Raw_orders!G:G, MATCH(shipments[[#This Row],[order_id]],Raw_orders!A:A, 0)), "Unknown")</f>
        <v>Central Europe</v>
      </c>
      <c r="J5933" t="str">
        <f>PROPER(shipments[[#This Row],[delivery_status]])</f>
        <v>Delivered</v>
      </c>
      <c r="K5933" t="s">
        <v>6922</v>
      </c>
    </row>
    <row r="5934" spans="1:11">
      <c r="A5934" t="s">
        <v>12870</v>
      </c>
      <c r="B5934" t="s">
        <v>6489</v>
      </c>
      <c r="C5934" t="s">
        <v>6956</v>
      </c>
      <c r="D5934" s="1">
        <v>45482</v>
      </c>
      <c r="E5934" s="1">
        <v>45489</v>
      </c>
      <c r="F5934" s="1"/>
      <c r="G5934">
        <v>63.05</v>
      </c>
      <c r="H59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934" t="str">
        <f>IFERROR(INDEX(Raw_orders!G:G, MATCH(shipments[[#This Row],[order_id]],Raw_orders!A:A, 0)), "Unknown")</f>
        <v>Nordics</v>
      </c>
      <c r="J5934" t="str">
        <f>PROPER(shipments[[#This Row],[delivery_status]])</f>
        <v>In Transit</v>
      </c>
      <c r="K5934" t="s">
        <v>6946</v>
      </c>
    </row>
    <row r="5935" spans="1:11">
      <c r="A5935" t="s">
        <v>12871</v>
      </c>
      <c r="B5935" t="s">
        <v>6490</v>
      </c>
      <c r="C5935" t="s">
        <v>6921</v>
      </c>
      <c r="D5935" s="1">
        <v>45310</v>
      </c>
      <c r="E5935" s="1">
        <v>45315</v>
      </c>
      <c r="F5935" s="1">
        <v>45327</v>
      </c>
      <c r="G5935">
        <v>41.11</v>
      </c>
      <c r="H59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35" t="str">
        <f>IFERROR(INDEX(Raw_orders!G:G, MATCH(shipments[[#This Row],[order_id]],Raw_orders!A:A, 0)), "Unknown")</f>
        <v>Nordics</v>
      </c>
      <c r="J5935" t="str">
        <f>PROPER(shipments[[#This Row],[delivery_status]])</f>
        <v>Delivered</v>
      </c>
      <c r="K5935" t="s">
        <v>6926</v>
      </c>
    </row>
    <row r="5936" spans="1:11">
      <c r="A5936" t="s">
        <v>12872</v>
      </c>
      <c r="B5936" t="s">
        <v>6491</v>
      </c>
      <c r="C5936" t="s">
        <v>6940</v>
      </c>
      <c r="D5936" s="1">
        <v>45625</v>
      </c>
      <c r="E5936" s="1">
        <v>45628</v>
      </c>
      <c r="F5936" s="1">
        <v>45635</v>
      </c>
      <c r="G5936">
        <v>17.88</v>
      </c>
      <c r="H59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36" t="str">
        <f>IFERROR(INDEX(Raw_orders!G:G, MATCH(shipments[[#This Row],[order_id]],Raw_orders!A:A, 0)), "Unknown")</f>
        <v>Baltics</v>
      </c>
      <c r="J5936" t="str">
        <f>PROPER(shipments[[#This Row],[delivery_status]])</f>
        <v>Delivered</v>
      </c>
      <c r="K5936" t="s">
        <v>6926</v>
      </c>
    </row>
    <row r="5937" spans="1:11">
      <c r="A5937" t="s">
        <v>12873</v>
      </c>
      <c r="B5937" t="s">
        <v>6492</v>
      </c>
      <c r="C5937" t="s">
        <v>6938</v>
      </c>
      <c r="D5937" s="1">
        <v>45083</v>
      </c>
      <c r="E5937" s="1">
        <v>45088</v>
      </c>
      <c r="F5937" s="1">
        <v>45088</v>
      </c>
      <c r="G5937">
        <v>58.1</v>
      </c>
      <c r="H59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937" t="str">
        <f>IFERROR(INDEX(Raw_orders!G:G, MATCH(shipments[[#This Row],[order_id]],Raw_orders!A:A, 0)), "Unknown")</f>
        <v>Baltics</v>
      </c>
      <c r="J5937" t="str">
        <f>PROPER(shipments[[#This Row],[delivery_status]])</f>
        <v>Delivered</v>
      </c>
      <c r="K5937" t="s">
        <v>6926</v>
      </c>
    </row>
    <row r="5938" spans="1:11">
      <c r="A5938" t="s">
        <v>12874</v>
      </c>
      <c r="B5938" t="s">
        <v>6493</v>
      </c>
      <c r="C5938" t="s">
        <v>6940</v>
      </c>
      <c r="D5938" s="1">
        <v>45263</v>
      </c>
      <c r="E5938" s="1">
        <v>45268</v>
      </c>
      <c r="F5938" s="1"/>
      <c r="G5938">
        <v>61.69</v>
      </c>
      <c r="H59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938" t="str">
        <f>IFERROR(INDEX(Raw_orders!G:G, MATCH(shipments[[#This Row],[order_id]],Raw_orders!A:A, 0)), "Unknown")</f>
        <v>Nordics</v>
      </c>
      <c r="J5938" t="str">
        <f>PROPER(shipments[[#This Row],[delivery_status]])</f>
        <v>In Transit</v>
      </c>
      <c r="K5938" t="s">
        <v>6977</v>
      </c>
    </row>
    <row r="5939" spans="1:11">
      <c r="A5939" t="s">
        <v>12875</v>
      </c>
      <c r="B5939" t="s">
        <v>6494</v>
      </c>
      <c r="C5939" t="s">
        <v>6956</v>
      </c>
      <c r="D5939" s="1">
        <v>44945</v>
      </c>
      <c r="E5939" s="1">
        <v>44950</v>
      </c>
      <c r="F5939" s="1">
        <v>44951</v>
      </c>
      <c r="G5939">
        <v>28.2</v>
      </c>
      <c r="H59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39" t="str">
        <f>IFERROR(INDEX(Raw_orders!G:G, MATCH(shipments[[#This Row],[order_id]],Raw_orders!A:A, 0)), "Unknown")</f>
        <v>Baltics</v>
      </c>
      <c r="J5939" t="str">
        <f>PROPER(shipments[[#This Row],[delivery_status]])</f>
        <v>Delivered</v>
      </c>
      <c r="K5939" t="s">
        <v>6929</v>
      </c>
    </row>
    <row r="5940" spans="1:11">
      <c r="A5940" t="s">
        <v>12876</v>
      </c>
      <c r="B5940" t="s">
        <v>6495</v>
      </c>
      <c r="C5940" t="s">
        <v>6956</v>
      </c>
      <c r="D5940" s="1">
        <v>45325</v>
      </c>
      <c r="E5940" s="1">
        <v>45327</v>
      </c>
      <c r="F5940" s="1">
        <v>45326</v>
      </c>
      <c r="G5940">
        <v>42.45</v>
      </c>
      <c r="H59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940" t="str">
        <f>IFERROR(INDEX(Raw_orders!G:G, MATCH(shipments[[#This Row],[order_id]],Raw_orders!A:A, 0)), "Unknown")</f>
        <v>Central Europe</v>
      </c>
      <c r="J5940" t="str">
        <f>PROPER(shipments[[#This Row],[delivery_status]])</f>
        <v>Delivered</v>
      </c>
      <c r="K5940" t="s">
        <v>6922</v>
      </c>
    </row>
    <row r="5941" spans="1:11">
      <c r="A5941" t="s">
        <v>12877</v>
      </c>
      <c r="B5941" t="s">
        <v>6496</v>
      </c>
      <c r="C5941" t="s">
        <v>6925</v>
      </c>
      <c r="D5941" s="1">
        <v>45003</v>
      </c>
      <c r="E5941" s="1">
        <v>45006</v>
      </c>
      <c r="F5941" s="1">
        <v>45005</v>
      </c>
      <c r="G5941">
        <v>8.0500000000000007</v>
      </c>
      <c r="H59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941" t="str">
        <f>IFERROR(INDEX(Raw_orders!G:G, MATCH(shipments[[#This Row],[order_id]],Raw_orders!A:A, 0)), "Unknown")</f>
        <v>Nordics</v>
      </c>
      <c r="J5941" t="str">
        <f>PROPER(shipments[[#This Row],[delivery_status]])</f>
        <v>Delivered</v>
      </c>
      <c r="K5941" t="s">
        <v>6926</v>
      </c>
    </row>
    <row r="5942" spans="1:11">
      <c r="A5942" t="s">
        <v>12878</v>
      </c>
      <c r="B5942" t="s">
        <v>6497</v>
      </c>
      <c r="C5942" t="s">
        <v>6956</v>
      </c>
      <c r="D5942" s="1">
        <v>45175</v>
      </c>
      <c r="E5942" s="1">
        <v>45178</v>
      </c>
      <c r="F5942" s="1">
        <v>45192</v>
      </c>
      <c r="G5942">
        <v>26.05</v>
      </c>
      <c r="H59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42" t="str">
        <f>IFERROR(INDEX(Raw_orders!G:G, MATCH(shipments[[#This Row],[order_id]],Raw_orders!A:A, 0)), "Unknown")</f>
        <v>Baltics</v>
      </c>
      <c r="J5942" t="str">
        <f>PROPER(shipments[[#This Row],[delivery_status]])</f>
        <v>Delivered</v>
      </c>
      <c r="K5942" t="s">
        <v>6922</v>
      </c>
    </row>
    <row r="5943" spans="1:11">
      <c r="A5943" t="s">
        <v>12879</v>
      </c>
      <c r="B5943" t="s">
        <v>6498</v>
      </c>
      <c r="C5943" t="s">
        <v>6938</v>
      </c>
      <c r="D5943" s="1">
        <v>45165</v>
      </c>
      <c r="E5943" s="1">
        <v>45167</v>
      </c>
      <c r="F5943" s="1">
        <v>45168</v>
      </c>
      <c r="G5943">
        <v>56.46</v>
      </c>
      <c r="H59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43" t="str">
        <f>IFERROR(INDEX(Raw_orders!G:G, MATCH(shipments[[#This Row],[order_id]],Raw_orders!A:A, 0)), "Unknown")</f>
        <v>Nordics</v>
      </c>
      <c r="J5943" t="str">
        <f>PROPER(shipments[[#This Row],[delivery_status]])</f>
        <v>Delivered</v>
      </c>
      <c r="K5943" t="s">
        <v>6926</v>
      </c>
    </row>
    <row r="5944" spans="1:11">
      <c r="A5944" t="s">
        <v>12880</v>
      </c>
      <c r="B5944" t="s">
        <v>6499</v>
      </c>
      <c r="C5944" t="s">
        <v>6938</v>
      </c>
      <c r="D5944" s="1">
        <v>44993</v>
      </c>
      <c r="E5944" s="1">
        <v>44996</v>
      </c>
      <c r="F5944" s="1">
        <v>44997</v>
      </c>
      <c r="G5944">
        <v>37.17</v>
      </c>
      <c r="H59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44" t="str">
        <f>IFERROR(INDEX(Raw_orders!G:G, MATCH(shipments[[#This Row],[order_id]],Raw_orders!A:A, 0)), "Unknown")</f>
        <v>Central Europe</v>
      </c>
      <c r="J5944" t="str">
        <f>PROPER(shipments[[#This Row],[delivery_status]])</f>
        <v>Delivered</v>
      </c>
      <c r="K5944" t="s">
        <v>6929</v>
      </c>
    </row>
    <row r="5945" spans="1:11">
      <c r="A5945" t="s">
        <v>12881</v>
      </c>
      <c r="B5945" t="s">
        <v>6500</v>
      </c>
      <c r="C5945" t="s">
        <v>6931</v>
      </c>
      <c r="D5945" s="1">
        <v>45297</v>
      </c>
      <c r="E5945" s="1">
        <v>45302</v>
      </c>
      <c r="F5945" s="1">
        <v>45303</v>
      </c>
      <c r="G5945">
        <v>35.24</v>
      </c>
      <c r="H59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45" t="str">
        <f>IFERROR(INDEX(Raw_orders!G:G, MATCH(shipments[[#This Row],[order_id]],Raw_orders!A:A, 0)), "Unknown")</f>
        <v>Central Europe</v>
      </c>
      <c r="J5945" t="str">
        <f>PROPER(shipments[[#This Row],[delivery_status]])</f>
        <v>Delivered</v>
      </c>
      <c r="K5945" t="s">
        <v>6929</v>
      </c>
    </row>
    <row r="5946" spans="1:11">
      <c r="A5946" t="s">
        <v>12882</v>
      </c>
      <c r="B5946" t="s">
        <v>6500</v>
      </c>
      <c r="C5946" t="s">
        <v>6956</v>
      </c>
      <c r="D5946" s="1">
        <v>45296</v>
      </c>
      <c r="E5946" s="1">
        <v>45301</v>
      </c>
      <c r="F5946" s="1">
        <v>45302</v>
      </c>
      <c r="G5946">
        <v>12.19</v>
      </c>
      <c r="H59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46" t="str">
        <f>IFERROR(INDEX(Raw_orders!G:G, MATCH(shipments[[#This Row],[order_id]],Raw_orders!A:A, 0)), "Unknown")</f>
        <v>Central Europe</v>
      </c>
      <c r="J5946" t="str">
        <f>PROPER(shipments[[#This Row],[delivery_status]])</f>
        <v>Delivered</v>
      </c>
      <c r="K5946" t="s">
        <v>6929</v>
      </c>
    </row>
    <row r="5947" spans="1:11">
      <c r="A5947" t="s">
        <v>12883</v>
      </c>
      <c r="B5947" t="s">
        <v>6501</v>
      </c>
      <c r="C5947" t="s">
        <v>6935</v>
      </c>
      <c r="D5947" s="1">
        <v>45624</v>
      </c>
      <c r="E5947" s="1">
        <v>45629</v>
      </c>
      <c r="F5947" s="1">
        <v>45633</v>
      </c>
      <c r="G5947">
        <v>11.3</v>
      </c>
      <c r="H59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47" t="str">
        <f>IFERROR(INDEX(Raw_orders!G:G, MATCH(shipments[[#This Row],[order_id]],Raw_orders!A:A, 0)), "Unknown")</f>
        <v>Central Europe</v>
      </c>
      <c r="J5947" t="str">
        <f>PROPER(shipments[[#This Row],[delivery_status]])</f>
        <v>Delivered</v>
      </c>
      <c r="K5947" t="s">
        <v>6926</v>
      </c>
    </row>
    <row r="5948" spans="1:11">
      <c r="A5948" t="s">
        <v>12884</v>
      </c>
      <c r="B5948" t="s">
        <v>6502</v>
      </c>
      <c r="C5948" t="s">
        <v>6925</v>
      </c>
      <c r="D5948" s="1">
        <v>45330</v>
      </c>
      <c r="E5948" s="1">
        <v>45335</v>
      </c>
      <c r="F5948" s="1">
        <v>45336</v>
      </c>
      <c r="G5948">
        <v>7.84</v>
      </c>
      <c r="H59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48" t="str">
        <f>IFERROR(INDEX(Raw_orders!G:G, MATCH(shipments[[#This Row],[order_id]],Raw_orders!A:A, 0)), "Unknown")</f>
        <v>Nordics</v>
      </c>
      <c r="J5948" t="str">
        <f>PROPER(shipments[[#This Row],[delivery_status]])</f>
        <v>Delivered</v>
      </c>
      <c r="K5948" t="s">
        <v>6926</v>
      </c>
    </row>
    <row r="5949" spans="1:11">
      <c r="A5949" t="s">
        <v>12885</v>
      </c>
      <c r="B5949" t="s">
        <v>6503</v>
      </c>
      <c r="C5949" t="s">
        <v>6956</v>
      </c>
      <c r="D5949" s="1">
        <v>45100</v>
      </c>
      <c r="E5949" s="1">
        <v>45102</v>
      </c>
      <c r="F5949" s="1">
        <v>45113</v>
      </c>
      <c r="G5949">
        <v>10.78</v>
      </c>
      <c r="H59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49" t="str">
        <f>IFERROR(INDEX(Raw_orders!G:G, MATCH(shipments[[#This Row],[order_id]],Raw_orders!A:A, 0)), "Unknown")</f>
        <v>Baltics</v>
      </c>
      <c r="J5949" t="str">
        <f>PROPER(shipments[[#This Row],[delivery_status]])</f>
        <v>Delivered</v>
      </c>
      <c r="K5949" t="s">
        <v>6929</v>
      </c>
    </row>
    <row r="5950" spans="1:11">
      <c r="A5950" t="s">
        <v>12886</v>
      </c>
      <c r="B5950" t="s">
        <v>6503</v>
      </c>
      <c r="C5950" t="s">
        <v>6940</v>
      </c>
      <c r="D5950" s="1">
        <v>45099</v>
      </c>
      <c r="E5950" s="1">
        <v>45104</v>
      </c>
      <c r="F5950" s="1">
        <v>45112</v>
      </c>
      <c r="G5950">
        <v>17.55</v>
      </c>
      <c r="H59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50" t="str">
        <f>IFERROR(INDEX(Raw_orders!G:G, MATCH(shipments[[#This Row],[order_id]],Raw_orders!A:A, 0)), "Unknown")</f>
        <v>Baltics</v>
      </c>
      <c r="J5950" t="str">
        <f>PROPER(shipments[[#This Row],[delivery_status]])</f>
        <v>Delivered</v>
      </c>
      <c r="K5950" t="s">
        <v>6929</v>
      </c>
    </row>
    <row r="5951" spans="1:11">
      <c r="A5951" t="s">
        <v>12887</v>
      </c>
      <c r="B5951" t="s">
        <v>6504</v>
      </c>
      <c r="C5951" t="s">
        <v>6925</v>
      </c>
      <c r="D5951" s="1">
        <v>45192</v>
      </c>
      <c r="E5951" s="1">
        <v>45197</v>
      </c>
      <c r="F5951" s="1">
        <v>45203</v>
      </c>
      <c r="G5951">
        <v>7.03</v>
      </c>
      <c r="H59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51" t="str">
        <f>IFERROR(INDEX(Raw_orders!G:G, MATCH(shipments[[#This Row],[order_id]],Raw_orders!A:A, 0)), "Unknown")</f>
        <v>Central Europe</v>
      </c>
      <c r="J5951" t="str">
        <f>PROPER(shipments[[#This Row],[delivery_status]])</f>
        <v>Delivered</v>
      </c>
      <c r="K5951" t="s">
        <v>6929</v>
      </c>
    </row>
    <row r="5952" spans="1:11">
      <c r="A5952" t="s">
        <v>12888</v>
      </c>
      <c r="B5952" t="s">
        <v>6504</v>
      </c>
      <c r="C5952" t="s">
        <v>6928</v>
      </c>
      <c r="D5952" s="1">
        <v>45192</v>
      </c>
      <c r="E5952" s="1">
        <v>45199</v>
      </c>
      <c r="F5952" s="1"/>
      <c r="G5952">
        <v>62.07</v>
      </c>
      <c r="H59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952" t="str">
        <f>IFERROR(INDEX(Raw_orders!G:G, MATCH(shipments[[#This Row],[order_id]],Raw_orders!A:A, 0)), "Unknown")</f>
        <v>Central Europe</v>
      </c>
      <c r="J5952" t="str">
        <f>PROPER(shipments[[#This Row],[delivery_status]])</f>
        <v>Cancelled</v>
      </c>
      <c r="K5952" t="s">
        <v>6972</v>
      </c>
    </row>
    <row r="5953" spans="1:11">
      <c r="A5953" t="s">
        <v>12889</v>
      </c>
      <c r="B5953" t="s">
        <v>6505</v>
      </c>
      <c r="C5953" t="s">
        <v>6925</v>
      </c>
      <c r="D5953" s="1">
        <v>45327</v>
      </c>
      <c r="E5953" s="1">
        <v>45332</v>
      </c>
      <c r="F5953" s="1">
        <v>45332</v>
      </c>
      <c r="G5953">
        <v>11.85</v>
      </c>
      <c r="H59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953" t="str">
        <f>IFERROR(INDEX(Raw_orders!G:G, MATCH(shipments[[#This Row],[order_id]],Raw_orders!A:A, 0)), "Unknown")</f>
        <v>Nordics</v>
      </c>
      <c r="J5953" t="str">
        <f>PROPER(shipments[[#This Row],[delivery_status]])</f>
        <v>Delivered</v>
      </c>
      <c r="K5953" t="s">
        <v>6926</v>
      </c>
    </row>
    <row r="5954" spans="1:11">
      <c r="A5954" t="s">
        <v>12890</v>
      </c>
      <c r="B5954" t="s">
        <v>6506</v>
      </c>
      <c r="C5954" t="s">
        <v>6921</v>
      </c>
      <c r="D5954" s="1">
        <v>45494</v>
      </c>
      <c r="E5954" s="1">
        <v>45499</v>
      </c>
      <c r="F5954" s="1">
        <v>45505</v>
      </c>
      <c r="G5954">
        <v>19.399999999999999</v>
      </c>
      <c r="H59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54" t="str">
        <f>IFERROR(INDEX(Raw_orders!G:G, MATCH(shipments[[#This Row],[order_id]],Raw_orders!A:A, 0)), "Unknown")</f>
        <v>Baltics</v>
      </c>
      <c r="J5954" t="str">
        <f>PROPER(shipments[[#This Row],[delivery_status]])</f>
        <v>Delivered</v>
      </c>
      <c r="K5954" t="s">
        <v>6926</v>
      </c>
    </row>
    <row r="5955" spans="1:11">
      <c r="A5955" t="s">
        <v>12891</v>
      </c>
      <c r="B5955" t="s">
        <v>6507</v>
      </c>
      <c r="C5955" t="s">
        <v>6935</v>
      </c>
      <c r="D5955" s="1">
        <v>45431</v>
      </c>
      <c r="E5955" s="1">
        <v>45434</v>
      </c>
      <c r="F5955" s="1">
        <v>45434</v>
      </c>
      <c r="G5955">
        <v>21.91</v>
      </c>
      <c r="H59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955" t="str">
        <f>IFERROR(INDEX(Raw_orders!G:G, MATCH(shipments[[#This Row],[order_id]],Raw_orders!A:A, 0)), "Unknown")</f>
        <v>Baltics</v>
      </c>
      <c r="J5955" t="str">
        <f>PROPER(shipments[[#This Row],[delivery_status]])</f>
        <v>Delivered</v>
      </c>
      <c r="K5955" t="s">
        <v>6922</v>
      </c>
    </row>
    <row r="5956" spans="1:11">
      <c r="A5956" t="s">
        <v>12892</v>
      </c>
      <c r="B5956" t="s">
        <v>6508</v>
      </c>
      <c r="C5956" t="s">
        <v>6935</v>
      </c>
      <c r="D5956" s="1">
        <v>45367</v>
      </c>
      <c r="E5956" s="1">
        <v>45372</v>
      </c>
      <c r="F5956" s="1">
        <v>45373</v>
      </c>
      <c r="G5956">
        <v>40.47</v>
      </c>
      <c r="H59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56" t="str">
        <f>IFERROR(INDEX(Raw_orders!G:G, MATCH(shipments[[#This Row],[order_id]],Raw_orders!A:A, 0)), "Unknown")</f>
        <v>Baltics</v>
      </c>
      <c r="J5956" t="str">
        <f>PROPER(shipments[[#This Row],[delivery_status]])</f>
        <v>Delivered</v>
      </c>
      <c r="K5956" t="s">
        <v>6926</v>
      </c>
    </row>
    <row r="5957" spans="1:11">
      <c r="A5957" t="s">
        <v>12893</v>
      </c>
      <c r="B5957" t="s">
        <v>6509</v>
      </c>
      <c r="C5957" t="s">
        <v>6921</v>
      </c>
      <c r="D5957" s="1">
        <v>45115</v>
      </c>
      <c r="E5957" s="1">
        <v>45120</v>
      </c>
      <c r="F5957" s="1"/>
      <c r="G5957">
        <v>33.67</v>
      </c>
      <c r="H59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957" t="str">
        <f>IFERROR(INDEX(Raw_orders!G:G, MATCH(shipments[[#This Row],[order_id]],Raw_orders!A:A, 0)), "Unknown")</f>
        <v>Baltics</v>
      </c>
      <c r="J5957" t="str">
        <f>PROPER(shipments[[#This Row],[delivery_status]])</f>
        <v>Cancelled</v>
      </c>
      <c r="K5957" t="s">
        <v>6963</v>
      </c>
    </row>
    <row r="5958" spans="1:11">
      <c r="A5958" t="s">
        <v>12894</v>
      </c>
      <c r="B5958" t="s">
        <v>6510</v>
      </c>
      <c r="C5958" t="s">
        <v>6921</v>
      </c>
      <c r="D5958" s="1">
        <v>45035</v>
      </c>
      <c r="E5958" s="1">
        <v>45042</v>
      </c>
      <c r="F5958" s="1">
        <v>45050</v>
      </c>
      <c r="G5958">
        <v>8.26</v>
      </c>
      <c r="H59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58" t="str">
        <f>IFERROR(INDEX(Raw_orders!G:G, MATCH(shipments[[#This Row],[order_id]],Raw_orders!A:A, 0)), "Unknown")</f>
        <v>Central Europe</v>
      </c>
      <c r="J5958" t="str">
        <f>PROPER(shipments[[#This Row],[delivery_status]])</f>
        <v>Delivered</v>
      </c>
      <c r="K5958" t="s">
        <v>6922</v>
      </c>
    </row>
    <row r="5959" spans="1:11">
      <c r="A5959" t="s">
        <v>12895</v>
      </c>
      <c r="B5959" t="s">
        <v>6511</v>
      </c>
      <c r="C5959" t="s">
        <v>6928</v>
      </c>
      <c r="D5959" s="1">
        <v>45511</v>
      </c>
      <c r="E5959" s="1">
        <v>45516</v>
      </c>
      <c r="F5959" s="1">
        <v>45516</v>
      </c>
      <c r="G5959">
        <v>53.21</v>
      </c>
      <c r="H59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959" t="str">
        <f>IFERROR(INDEX(Raw_orders!G:G, MATCH(shipments[[#This Row],[order_id]],Raw_orders!A:A, 0)), "Unknown")</f>
        <v>Central Europe</v>
      </c>
      <c r="J5959" t="str">
        <f>PROPER(shipments[[#This Row],[delivery_status]])</f>
        <v>Delivered</v>
      </c>
      <c r="K5959" t="s">
        <v>6926</v>
      </c>
    </row>
    <row r="5960" spans="1:11">
      <c r="A5960" t="s">
        <v>12896</v>
      </c>
      <c r="B5960" t="s">
        <v>6512</v>
      </c>
      <c r="C5960" t="s">
        <v>6931</v>
      </c>
      <c r="D5960" s="1">
        <v>45298</v>
      </c>
      <c r="E5960" s="1">
        <v>45301</v>
      </c>
      <c r="F5960" s="1"/>
      <c r="G5960">
        <v>10.199999999999999</v>
      </c>
      <c r="H59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960" t="str">
        <f>IFERROR(INDEX(Raw_orders!G:G, MATCH(shipments[[#This Row],[order_id]],Raw_orders!A:A, 0)), "Unknown")</f>
        <v>Nordics</v>
      </c>
      <c r="J5960" t="str">
        <f>PROPER(shipments[[#This Row],[delivery_status]])</f>
        <v>In Transit</v>
      </c>
      <c r="K5960" t="s">
        <v>6977</v>
      </c>
    </row>
    <row r="5961" spans="1:11">
      <c r="A5961" t="s">
        <v>12897</v>
      </c>
      <c r="B5961" t="s">
        <v>6513</v>
      </c>
      <c r="C5961" t="s">
        <v>6921</v>
      </c>
      <c r="D5961" s="1">
        <v>45187</v>
      </c>
      <c r="E5961" s="1">
        <v>45190</v>
      </c>
      <c r="F5961" s="1">
        <v>45193</v>
      </c>
      <c r="G5961">
        <v>42.14</v>
      </c>
      <c r="H59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61" t="str">
        <f>IFERROR(INDEX(Raw_orders!G:G, MATCH(shipments[[#This Row],[order_id]],Raw_orders!A:A, 0)), "Unknown")</f>
        <v>Nordics</v>
      </c>
      <c r="J5961" t="str">
        <f>PROPER(shipments[[#This Row],[delivery_status]])</f>
        <v>Delivered</v>
      </c>
      <c r="K5961" t="s">
        <v>6926</v>
      </c>
    </row>
    <row r="5962" spans="1:11">
      <c r="A5962" t="s">
        <v>12898</v>
      </c>
      <c r="B5962" t="s">
        <v>6513</v>
      </c>
      <c r="C5962" t="s">
        <v>6949</v>
      </c>
      <c r="D5962" s="1">
        <v>45189</v>
      </c>
      <c r="E5962" s="1">
        <v>45192</v>
      </c>
      <c r="F5962" s="1">
        <v>45197</v>
      </c>
      <c r="G5962">
        <v>19.170000000000002</v>
      </c>
      <c r="H59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62" t="str">
        <f>IFERROR(INDEX(Raw_orders!G:G, MATCH(shipments[[#This Row],[order_id]],Raw_orders!A:A, 0)), "Unknown")</f>
        <v>Nordics</v>
      </c>
      <c r="J5962" t="str">
        <f>PROPER(shipments[[#This Row],[delivery_status]])</f>
        <v>Delivered</v>
      </c>
      <c r="K5962" t="s">
        <v>6929</v>
      </c>
    </row>
    <row r="5963" spans="1:11">
      <c r="A5963" t="s">
        <v>12899</v>
      </c>
      <c r="B5963" t="s">
        <v>6514</v>
      </c>
      <c r="C5963" t="s">
        <v>6931</v>
      </c>
      <c r="D5963" s="1">
        <v>45147</v>
      </c>
      <c r="E5963" s="1">
        <v>45154</v>
      </c>
      <c r="F5963" s="1"/>
      <c r="G5963">
        <v>50.81</v>
      </c>
      <c r="H59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963" t="str">
        <f>IFERROR(INDEX(Raw_orders!G:G, MATCH(shipments[[#This Row],[order_id]],Raw_orders!A:A, 0)), "Unknown")</f>
        <v>Nordics</v>
      </c>
      <c r="J5963" t="str">
        <f>PROPER(shipments[[#This Row],[delivery_status]])</f>
        <v>Cancelled</v>
      </c>
      <c r="K5963" t="s">
        <v>6963</v>
      </c>
    </row>
    <row r="5964" spans="1:11">
      <c r="A5964" t="s">
        <v>12900</v>
      </c>
      <c r="B5964" t="s">
        <v>6515</v>
      </c>
      <c r="C5964" t="s">
        <v>6935</v>
      </c>
      <c r="D5964" s="1">
        <v>45473</v>
      </c>
      <c r="E5964" s="1">
        <v>45480</v>
      </c>
      <c r="F5964" s="1">
        <v>45481</v>
      </c>
      <c r="G5964">
        <v>44.16</v>
      </c>
      <c r="H59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64" t="str">
        <f>IFERROR(INDEX(Raw_orders!G:G, MATCH(shipments[[#This Row],[order_id]],Raw_orders!A:A, 0)), "Unknown")</f>
        <v>Central Europe</v>
      </c>
      <c r="J5964" t="str">
        <f>PROPER(shipments[[#This Row],[delivery_status]])</f>
        <v>Delivered</v>
      </c>
      <c r="K5964" t="s">
        <v>6929</v>
      </c>
    </row>
    <row r="5965" spans="1:11">
      <c r="A5965" t="s">
        <v>12901</v>
      </c>
      <c r="B5965" t="s">
        <v>6516</v>
      </c>
      <c r="C5965" t="s">
        <v>6925</v>
      </c>
      <c r="D5965" s="1">
        <v>45144</v>
      </c>
      <c r="E5965" s="1">
        <v>45147</v>
      </c>
      <c r="F5965" s="1"/>
      <c r="G5965">
        <v>38.08</v>
      </c>
      <c r="H59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965" t="str">
        <f>IFERROR(INDEX(Raw_orders!G:G, MATCH(shipments[[#This Row],[order_id]],Raw_orders!A:A, 0)), "Unknown")</f>
        <v>Central Europe</v>
      </c>
      <c r="J5965" t="str">
        <f>PROPER(shipments[[#This Row],[delivery_status]])</f>
        <v>Cancelled</v>
      </c>
      <c r="K5965" t="s">
        <v>6963</v>
      </c>
    </row>
    <row r="5966" spans="1:11">
      <c r="A5966" t="s">
        <v>12902</v>
      </c>
      <c r="B5966" t="s">
        <v>6517</v>
      </c>
      <c r="C5966" t="s">
        <v>6935</v>
      </c>
      <c r="D5966" s="1">
        <v>45168</v>
      </c>
      <c r="E5966" s="1">
        <v>45175</v>
      </c>
      <c r="F5966" s="1">
        <v>45174</v>
      </c>
      <c r="G5966">
        <v>44.11</v>
      </c>
      <c r="H59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966" t="str">
        <f>IFERROR(INDEX(Raw_orders!G:G, MATCH(shipments[[#This Row],[order_id]],Raw_orders!A:A, 0)), "Unknown")</f>
        <v>Central Europe</v>
      </c>
      <c r="J5966" t="str">
        <f>PROPER(shipments[[#This Row],[delivery_status]])</f>
        <v>Delivered</v>
      </c>
      <c r="K5966" t="s">
        <v>6922</v>
      </c>
    </row>
    <row r="5967" spans="1:11">
      <c r="A5967" t="s">
        <v>12903</v>
      </c>
      <c r="B5967" t="s">
        <v>6518</v>
      </c>
      <c r="C5967" t="s">
        <v>6935</v>
      </c>
      <c r="D5967" s="1">
        <v>45055</v>
      </c>
      <c r="E5967" s="1">
        <v>45057</v>
      </c>
      <c r="F5967" s="1">
        <v>45069</v>
      </c>
      <c r="G5967">
        <v>7.3</v>
      </c>
      <c r="H59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67" t="str">
        <f>IFERROR(INDEX(Raw_orders!G:G, MATCH(shipments[[#This Row],[order_id]],Raw_orders!A:A, 0)), "Unknown")</f>
        <v>Central Europe</v>
      </c>
      <c r="J5967" t="str">
        <f>PROPER(shipments[[#This Row],[delivery_status]])</f>
        <v>Delivered</v>
      </c>
      <c r="K5967" t="s">
        <v>6929</v>
      </c>
    </row>
    <row r="5968" spans="1:11">
      <c r="A5968" t="s">
        <v>12904</v>
      </c>
      <c r="B5968" t="s">
        <v>6519</v>
      </c>
      <c r="C5968" t="s">
        <v>6921</v>
      </c>
      <c r="D5968" s="1">
        <v>45581</v>
      </c>
      <c r="E5968" s="1">
        <v>45586</v>
      </c>
      <c r="F5968" s="1"/>
      <c r="G5968">
        <v>60.97</v>
      </c>
      <c r="H59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968" t="str">
        <f>IFERROR(INDEX(Raw_orders!G:G, MATCH(shipments[[#This Row],[order_id]],Raw_orders!A:A, 0)), "Unknown")</f>
        <v>Nordics</v>
      </c>
      <c r="J5968" t="str">
        <f>PROPER(shipments[[#This Row],[delivery_status]])</f>
        <v>Cancelled</v>
      </c>
      <c r="K5968" t="s">
        <v>6972</v>
      </c>
    </row>
    <row r="5969" spans="1:11">
      <c r="A5969" t="s">
        <v>12905</v>
      </c>
      <c r="B5969" t="s">
        <v>6520</v>
      </c>
      <c r="C5969" t="s">
        <v>6931</v>
      </c>
      <c r="D5969" s="1">
        <v>45498</v>
      </c>
      <c r="E5969" s="1">
        <v>45508</v>
      </c>
      <c r="F5969" s="1">
        <v>45508</v>
      </c>
      <c r="G5969">
        <v>64.91</v>
      </c>
      <c r="H59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969" t="str">
        <f>IFERROR(INDEX(Raw_orders!G:G, MATCH(shipments[[#This Row],[order_id]],Raw_orders!A:A, 0)), "Unknown")</f>
        <v>Nordics</v>
      </c>
      <c r="J5969" t="str">
        <f>PROPER(shipments[[#This Row],[delivery_status]])</f>
        <v>Delivered</v>
      </c>
      <c r="K5969" t="s">
        <v>6929</v>
      </c>
    </row>
    <row r="5970" spans="1:11">
      <c r="A5970" t="s">
        <v>12906</v>
      </c>
      <c r="B5970" t="s">
        <v>6521</v>
      </c>
      <c r="C5970" t="s">
        <v>6931</v>
      </c>
      <c r="D5970" s="1">
        <v>45358</v>
      </c>
      <c r="E5970" s="1">
        <v>45361</v>
      </c>
      <c r="F5970" s="1">
        <v>45369</v>
      </c>
      <c r="G5970">
        <v>7.08</v>
      </c>
      <c r="H59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70" t="str">
        <f>IFERROR(INDEX(Raw_orders!G:G, MATCH(shipments[[#This Row],[order_id]],Raw_orders!A:A, 0)), "Unknown")</f>
        <v>Baltics</v>
      </c>
      <c r="J5970" t="str">
        <f>PROPER(shipments[[#This Row],[delivery_status]])</f>
        <v>Delivered</v>
      </c>
      <c r="K5970" t="s">
        <v>6922</v>
      </c>
    </row>
    <row r="5971" spans="1:11">
      <c r="A5971" t="s">
        <v>12907</v>
      </c>
      <c r="B5971" t="s">
        <v>6522</v>
      </c>
      <c r="C5971" t="s">
        <v>6921</v>
      </c>
      <c r="D5971" s="1">
        <v>45620</v>
      </c>
      <c r="E5971" s="1">
        <v>45622</v>
      </c>
      <c r="F5971" s="1"/>
      <c r="G5971">
        <v>21.21</v>
      </c>
      <c r="H59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971" t="str">
        <f>IFERROR(INDEX(Raw_orders!G:G, MATCH(shipments[[#This Row],[order_id]],Raw_orders!A:A, 0)), "Unknown")</f>
        <v>Baltics</v>
      </c>
      <c r="J5971" t="str">
        <f>PROPER(shipments[[#This Row],[delivery_status]])</f>
        <v>Cancelled</v>
      </c>
      <c r="K5971" t="s">
        <v>6972</v>
      </c>
    </row>
    <row r="5972" spans="1:11">
      <c r="A5972" t="s">
        <v>12908</v>
      </c>
      <c r="B5972" t="s">
        <v>6522</v>
      </c>
      <c r="C5972" t="s">
        <v>6940</v>
      </c>
      <c r="D5972" s="1">
        <v>45622</v>
      </c>
      <c r="E5972" s="1">
        <v>45625</v>
      </c>
      <c r="F5972" s="1">
        <v>45627</v>
      </c>
      <c r="G5972">
        <v>39.51</v>
      </c>
      <c r="H59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72" t="str">
        <f>IFERROR(INDEX(Raw_orders!G:G, MATCH(shipments[[#This Row],[order_id]],Raw_orders!A:A, 0)), "Unknown")</f>
        <v>Baltics</v>
      </c>
      <c r="J5972" t="str">
        <f>PROPER(shipments[[#This Row],[delivery_status]])</f>
        <v>Delivered</v>
      </c>
      <c r="K5972" t="s">
        <v>6922</v>
      </c>
    </row>
    <row r="5973" spans="1:11">
      <c r="A5973" t="s">
        <v>12909</v>
      </c>
      <c r="B5973" t="s">
        <v>6523</v>
      </c>
      <c r="C5973" t="s">
        <v>6928</v>
      </c>
      <c r="D5973" s="1">
        <v>44957</v>
      </c>
      <c r="E5973" s="1">
        <v>44964</v>
      </c>
      <c r="F5973" s="1">
        <v>44964</v>
      </c>
      <c r="G5973">
        <v>59.32</v>
      </c>
      <c r="H59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973" t="str">
        <f>IFERROR(INDEX(Raw_orders!G:G, MATCH(shipments[[#This Row],[order_id]],Raw_orders!A:A, 0)), "Unknown")</f>
        <v>Central Europe</v>
      </c>
      <c r="J5973" t="str">
        <f>PROPER(shipments[[#This Row],[delivery_status]])</f>
        <v>Delivered</v>
      </c>
      <c r="K5973" t="s">
        <v>6929</v>
      </c>
    </row>
    <row r="5974" spans="1:11">
      <c r="A5974" t="s">
        <v>12910</v>
      </c>
      <c r="B5974" t="s">
        <v>6524</v>
      </c>
      <c r="C5974" t="s">
        <v>6921</v>
      </c>
      <c r="D5974" s="1">
        <v>45564</v>
      </c>
      <c r="E5974" s="1">
        <v>45566</v>
      </c>
      <c r="F5974" s="1">
        <v>45566</v>
      </c>
      <c r="G5974">
        <v>55.69</v>
      </c>
      <c r="H59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974" t="str">
        <f>IFERROR(INDEX(Raw_orders!G:G, MATCH(shipments[[#This Row],[order_id]],Raw_orders!A:A, 0)), "Unknown")</f>
        <v>Central Europe</v>
      </c>
      <c r="J5974" t="str">
        <f>PROPER(shipments[[#This Row],[delivery_status]])</f>
        <v>Delivered</v>
      </c>
      <c r="K5974" t="s">
        <v>6929</v>
      </c>
    </row>
    <row r="5975" spans="1:11">
      <c r="A5975" t="s">
        <v>12911</v>
      </c>
      <c r="B5975" t="s">
        <v>6525</v>
      </c>
      <c r="C5975" t="s">
        <v>6931</v>
      </c>
      <c r="D5975" s="1">
        <v>45593</v>
      </c>
      <c r="E5975" s="1">
        <v>45600</v>
      </c>
      <c r="F5975" s="1">
        <v>45603</v>
      </c>
      <c r="G5975">
        <v>13.27</v>
      </c>
      <c r="H59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75" t="str">
        <f>IFERROR(INDEX(Raw_orders!G:G, MATCH(shipments[[#This Row],[order_id]],Raw_orders!A:A, 0)), "Unknown")</f>
        <v>Baltics</v>
      </c>
      <c r="J5975" t="str">
        <f>PROPER(shipments[[#This Row],[delivery_status]])</f>
        <v>Delivered</v>
      </c>
      <c r="K5975" t="s">
        <v>6922</v>
      </c>
    </row>
    <row r="5976" spans="1:11">
      <c r="A5976" t="s">
        <v>12912</v>
      </c>
      <c r="B5976" t="s">
        <v>6526</v>
      </c>
      <c r="C5976" t="s">
        <v>6931</v>
      </c>
      <c r="D5976" s="1">
        <v>45615</v>
      </c>
      <c r="E5976" s="1">
        <v>45625</v>
      </c>
      <c r="F5976" s="1">
        <v>45627</v>
      </c>
      <c r="G5976">
        <v>9.4700000000000006</v>
      </c>
      <c r="H59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76" t="str">
        <f>IFERROR(INDEX(Raw_orders!G:G, MATCH(shipments[[#This Row],[order_id]],Raw_orders!A:A, 0)), "Unknown")</f>
        <v>Central Europe</v>
      </c>
      <c r="J5976" t="str">
        <f>PROPER(shipments[[#This Row],[delivery_status]])</f>
        <v>Delivered</v>
      </c>
      <c r="K5976" t="s">
        <v>6926</v>
      </c>
    </row>
    <row r="5977" spans="1:11">
      <c r="A5977" t="s">
        <v>12913</v>
      </c>
      <c r="B5977" t="s">
        <v>6527</v>
      </c>
      <c r="C5977" t="s">
        <v>6928</v>
      </c>
      <c r="D5977" s="1">
        <v>45017</v>
      </c>
      <c r="E5977" s="1">
        <v>45020</v>
      </c>
      <c r="F5977" s="1">
        <v>45023</v>
      </c>
      <c r="G5977">
        <v>26.43</v>
      </c>
      <c r="H59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77" t="str">
        <f>IFERROR(INDEX(Raw_orders!G:G, MATCH(shipments[[#This Row],[order_id]],Raw_orders!A:A, 0)), "Unknown")</f>
        <v>Central Europe</v>
      </c>
      <c r="J5977" t="str">
        <f>PROPER(shipments[[#This Row],[delivery_status]])</f>
        <v>Delivered</v>
      </c>
      <c r="K5977" t="s">
        <v>6922</v>
      </c>
    </row>
    <row r="5978" spans="1:11">
      <c r="A5978" t="s">
        <v>12914</v>
      </c>
      <c r="B5978" t="s">
        <v>6528</v>
      </c>
      <c r="C5978" t="s">
        <v>6938</v>
      </c>
      <c r="D5978" s="1">
        <v>44940</v>
      </c>
      <c r="E5978" s="1">
        <v>44945</v>
      </c>
      <c r="F5978" s="1"/>
      <c r="G5978">
        <v>44.73</v>
      </c>
      <c r="H59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978" t="str">
        <f>IFERROR(INDEX(Raw_orders!G:G, MATCH(shipments[[#This Row],[order_id]],Raw_orders!A:A, 0)), "Unknown")</f>
        <v>Baltics</v>
      </c>
      <c r="J5978" t="str">
        <f>PROPER(shipments[[#This Row],[delivery_status]])</f>
        <v>Cancelled</v>
      </c>
      <c r="K5978" t="s">
        <v>6963</v>
      </c>
    </row>
    <row r="5979" spans="1:11">
      <c r="A5979" t="s">
        <v>12915</v>
      </c>
      <c r="B5979" t="s">
        <v>6529</v>
      </c>
      <c r="C5979" t="s">
        <v>6921</v>
      </c>
      <c r="D5979" s="1">
        <v>45152</v>
      </c>
      <c r="E5979" s="1">
        <v>45155</v>
      </c>
      <c r="F5979" s="1">
        <v>45163</v>
      </c>
      <c r="G5979">
        <v>52.78</v>
      </c>
      <c r="H59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79" t="str">
        <f>IFERROR(INDEX(Raw_orders!G:G, MATCH(shipments[[#This Row],[order_id]],Raw_orders!A:A, 0)), "Unknown")</f>
        <v>Central Europe</v>
      </c>
      <c r="J5979" t="str">
        <f>PROPER(shipments[[#This Row],[delivery_status]])</f>
        <v>Delivered</v>
      </c>
      <c r="K5979" t="s">
        <v>6922</v>
      </c>
    </row>
    <row r="5980" spans="1:11">
      <c r="A5980" t="s">
        <v>12916</v>
      </c>
      <c r="B5980" t="s">
        <v>6530</v>
      </c>
      <c r="C5980" t="s">
        <v>6935</v>
      </c>
      <c r="D5980" s="1">
        <v>45185</v>
      </c>
      <c r="E5980" s="1">
        <v>45187</v>
      </c>
      <c r="F5980" s="1">
        <v>45187</v>
      </c>
      <c r="G5980">
        <v>5.03</v>
      </c>
      <c r="H59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980" t="str">
        <f>IFERROR(INDEX(Raw_orders!G:G, MATCH(shipments[[#This Row],[order_id]],Raw_orders!A:A, 0)), "Unknown")</f>
        <v>Nordics</v>
      </c>
      <c r="J5980" t="str">
        <f>PROPER(shipments[[#This Row],[delivery_status]])</f>
        <v>Delivered</v>
      </c>
      <c r="K5980" t="s">
        <v>6926</v>
      </c>
    </row>
    <row r="5981" spans="1:11">
      <c r="A5981" t="s">
        <v>12917</v>
      </c>
      <c r="B5981" t="s">
        <v>6531</v>
      </c>
      <c r="C5981" t="s">
        <v>6931</v>
      </c>
      <c r="D5981" s="1">
        <v>45121</v>
      </c>
      <c r="E5981" s="1">
        <v>45123</v>
      </c>
      <c r="F5981" s="1">
        <v>45123</v>
      </c>
      <c r="G5981">
        <v>20.46</v>
      </c>
      <c r="H59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981" t="str">
        <f>IFERROR(INDEX(Raw_orders!G:G, MATCH(shipments[[#This Row],[order_id]],Raw_orders!A:A, 0)), "Unknown")</f>
        <v>Nordics</v>
      </c>
      <c r="J5981" t="str">
        <f>PROPER(shipments[[#This Row],[delivery_status]])</f>
        <v>Delivered</v>
      </c>
      <c r="K5981" t="s">
        <v>6926</v>
      </c>
    </row>
    <row r="5982" spans="1:11">
      <c r="A5982" t="s">
        <v>12918</v>
      </c>
      <c r="B5982" t="s">
        <v>6532</v>
      </c>
      <c r="C5982" t="s">
        <v>6956</v>
      </c>
      <c r="D5982" s="1">
        <v>45557</v>
      </c>
      <c r="E5982" s="1">
        <v>45567</v>
      </c>
      <c r="F5982" s="1">
        <v>45569</v>
      </c>
      <c r="G5982">
        <v>26.26</v>
      </c>
      <c r="H59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82" t="str">
        <f>IFERROR(INDEX(Raw_orders!G:G, MATCH(shipments[[#This Row],[order_id]],Raw_orders!A:A, 0)), "Unknown")</f>
        <v>Baltics</v>
      </c>
      <c r="J5982" t="str">
        <f>PROPER(shipments[[#This Row],[delivery_status]])</f>
        <v>Delivered</v>
      </c>
      <c r="K5982" t="s">
        <v>6929</v>
      </c>
    </row>
    <row r="5983" spans="1:11">
      <c r="A5983" t="s">
        <v>12919</v>
      </c>
      <c r="B5983" t="s">
        <v>6532</v>
      </c>
      <c r="C5983" t="s">
        <v>6940</v>
      </c>
      <c r="D5983" s="1">
        <v>45559</v>
      </c>
      <c r="E5983" s="1">
        <v>45561</v>
      </c>
      <c r="F5983" s="1"/>
      <c r="G5983">
        <v>40.58</v>
      </c>
      <c r="H59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983" t="str">
        <f>IFERROR(INDEX(Raw_orders!G:G, MATCH(shipments[[#This Row],[order_id]],Raw_orders!A:A, 0)), "Unknown")</f>
        <v>Baltics</v>
      </c>
      <c r="J5983" t="str">
        <f>PROPER(shipments[[#This Row],[delivery_status]])</f>
        <v>In Transit</v>
      </c>
      <c r="K5983" t="s">
        <v>6977</v>
      </c>
    </row>
    <row r="5984" spans="1:11">
      <c r="A5984" t="s">
        <v>12920</v>
      </c>
      <c r="B5984" t="s">
        <v>6533</v>
      </c>
      <c r="C5984" t="s">
        <v>6925</v>
      </c>
      <c r="D5984" s="1">
        <v>44964</v>
      </c>
      <c r="E5984" s="1">
        <v>44967</v>
      </c>
      <c r="F5984" s="1">
        <v>44969</v>
      </c>
      <c r="G5984">
        <v>31.39</v>
      </c>
      <c r="H59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84" t="str">
        <f>IFERROR(INDEX(Raw_orders!G:G, MATCH(shipments[[#This Row],[order_id]],Raw_orders!A:A, 0)), "Unknown")</f>
        <v>Baltics</v>
      </c>
      <c r="J5984" t="str">
        <f>PROPER(shipments[[#This Row],[delivery_status]])</f>
        <v>Delivered</v>
      </c>
      <c r="K5984" t="s">
        <v>6929</v>
      </c>
    </row>
    <row r="5985" spans="1:11">
      <c r="A5985" t="s">
        <v>12921</v>
      </c>
      <c r="B5985" t="s">
        <v>6534</v>
      </c>
      <c r="C5985" t="s">
        <v>6931</v>
      </c>
      <c r="D5985" s="1">
        <v>45282</v>
      </c>
      <c r="E5985" s="1">
        <v>45292</v>
      </c>
      <c r="F5985" s="1">
        <v>45292</v>
      </c>
      <c r="H59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985" t="str">
        <f>IFERROR(INDEX(Raw_orders!G:G, MATCH(shipments[[#This Row],[order_id]],Raw_orders!A:A, 0)), "Unknown")</f>
        <v>Central Europe</v>
      </c>
      <c r="J5985" t="str">
        <f>PROPER(shipments[[#This Row],[delivery_status]])</f>
        <v>Delivered</v>
      </c>
      <c r="K5985" t="s">
        <v>6929</v>
      </c>
    </row>
    <row r="5986" spans="1:11">
      <c r="A5986" t="s">
        <v>12922</v>
      </c>
      <c r="B5986" t="s">
        <v>6535</v>
      </c>
      <c r="C5986" t="s">
        <v>6931</v>
      </c>
      <c r="D5986" s="1">
        <v>45045</v>
      </c>
      <c r="E5986" s="1">
        <v>45052</v>
      </c>
      <c r="F5986" s="1">
        <v>45055</v>
      </c>
      <c r="G5986">
        <v>56.03</v>
      </c>
      <c r="H59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86" t="str">
        <f>IFERROR(INDEX(Raw_orders!G:G, MATCH(shipments[[#This Row],[order_id]],Raw_orders!A:A, 0)), "Unknown")</f>
        <v>Nordics</v>
      </c>
      <c r="J5986" t="str">
        <f>PROPER(shipments[[#This Row],[delivery_status]])</f>
        <v>Delivered</v>
      </c>
      <c r="K5986" t="s">
        <v>6922</v>
      </c>
    </row>
    <row r="5987" spans="1:11">
      <c r="A5987" t="s">
        <v>12923</v>
      </c>
      <c r="B5987" t="s">
        <v>6536</v>
      </c>
      <c r="C5987" t="s">
        <v>6938</v>
      </c>
      <c r="D5987" s="1">
        <v>45602</v>
      </c>
      <c r="E5987" s="1">
        <v>45605</v>
      </c>
      <c r="F5987" s="1"/>
      <c r="G5987">
        <v>57.1</v>
      </c>
      <c r="H59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987" t="str">
        <f>IFERROR(INDEX(Raw_orders!G:G, MATCH(shipments[[#This Row],[order_id]],Raw_orders!A:A, 0)), "Unknown")</f>
        <v>Central Europe</v>
      </c>
      <c r="J5987" t="str">
        <f>PROPER(shipments[[#This Row],[delivery_status]])</f>
        <v>Cancelled</v>
      </c>
      <c r="K5987" t="s">
        <v>6979</v>
      </c>
    </row>
    <row r="5988" spans="1:11">
      <c r="A5988" t="s">
        <v>12924</v>
      </c>
      <c r="B5988" t="s">
        <v>6537</v>
      </c>
      <c r="C5988" t="s">
        <v>6925</v>
      </c>
      <c r="D5988" s="1">
        <v>45575</v>
      </c>
      <c r="E5988" s="1">
        <v>45585</v>
      </c>
      <c r="F5988" s="1"/>
      <c r="G5988">
        <v>57.56</v>
      </c>
      <c r="H59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988" t="str">
        <f>IFERROR(INDEX(Raw_orders!G:G, MATCH(shipments[[#This Row],[order_id]],Raw_orders!A:A, 0)), "Unknown")</f>
        <v>Central Europe</v>
      </c>
      <c r="J5988" t="str">
        <f>PROPER(shipments[[#This Row],[delivery_status]])</f>
        <v>In Transit</v>
      </c>
      <c r="K5988" t="s">
        <v>6977</v>
      </c>
    </row>
    <row r="5989" spans="1:11">
      <c r="A5989" t="s">
        <v>12925</v>
      </c>
      <c r="B5989" t="s">
        <v>6538</v>
      </c>
      <c r="C5989" t="s">
        <v>6956</v>
      </c>
      <c r="D5989" s="1">
        <v>45578</v>
      </c>
      <c r="E5989" s="1">
        <v>45583</v>
      </c>
      <c r="F5989" s="1"/>
      <c r="G5989">
        <v>61.51</v>
      </c>
      <c r="H59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5989" t="str">
        <f>IFERROR(INDEX(Raw_orders!G:G, MATCH(shipments[[#This Row],[order_id]],Raw_orders!A:A, 0)), "Unknown")</f>
        <v>Central Europe</v>
      </c>
      <c r="J5989" t="str">
        <f>PROPER(shipments[[#This Row],[delivery_status]])</f>
        <v>Cancelled</v>
      </c>
      <c r="K5989" t="s">
        <v>6972</v>
      </c>
    </row>
    <row r="5990" spans="1:11">
      <c r="A5990" t="s">
        <v>12926</v>
      </c>
      <c r="B5990" t="s">
        <v>6539</v>
      </c>
      <c r="C5990" t="s">
        <v>6921</v>
      </c>
      <c r="D5990" s="1">
        <v>45216</v>
      </c>
      <c r="E5990" s="1">
        <v>45223</v>
      </c>
      <c r="F5990" s="1">
        <v>45228</v>
      </c>
      <c r="G5990">
        <v>21.88</v>
      </c>
      <c r="H59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90" t="str">
        <f>IFERROR(INDEX(Raw_orders!G:G, MATCH(shipments[[#This Row],[order_id]],Raw_orders!A:A, 0)), "Unknown")</f>
        <v>Baltics</v>
      </c>
      <c r="J5990" t="str">
        <f>PROPER(shipments[[#This Row],[delivery_status]])</f>
        <v>Delivered</v>
      </c>
      <c r="K5990" t="s">
        <v>6929</v>
      </c>
    </row>
    <row r="5991" spans="1:11">
      <c r="A5991" t="s">
        <v>12927</v>
      </c>
      <c r="B5991" t="s">
        <v>6540</v>
      </c>
      <c r="C5991" t="s">
        <v>6925</v>
      </c>
      <c r="D5991" s="1">
        <v>45205</v>
      </c>
      <c r="E5991" s="1">
        <v>45208</v>
      </c>
      <c r="F5991" s="1"/>
      <c r="G5991">
        <v>37.76</v>
      </c>
      <c r="H59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991" t="str">
        <f>IFERROR(INDEX(Raw_orders!G:G, MATCH(shipments[[#This Row],[order_id]],Raw_orders!A:A, 0)), "Unknown")</f>
        <v>Baltics</v>
      </c>
      <c r="J5991" t="str">
        <f>PROPER(shipments[[#This Row],[delivery_status]])</f>
        <v>In Transit</v>
      </c>
      <c r="K5991" t="s">
        <v>6958</v>
      </c>
    </row>
    <row r="5992" spans="1:11">
      <c r="A5992" t="s">
        <v>12928</v>
      </c>
      <c r="B5992" t="s">
        <v>6541</v>
      </c>
      <c r="C5992" t="s">
        <v>6931</v>
      </c>
      <c r="D5992" s="1">
        <v>45100</v>
      </c>
      <c r="E5992" s="1">
        <v>45105</v>
      </c>
      <c r="F5992" s="1">
        <v>45105</v>
      </c>
      <c r="G5992">
        <v>30.44</v>
      </c>
      <c r="H59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992" t="str">
        <f>IFERROR(INDEX(Raw_orders!G:G, MATCH(shipments[[#This Row],[order_id]],Raw_orders!A:A, 0)), "Unknown")</f>
        <v>Central Europe</v>
      </c>
      <c r="J5992" t="str">
        <f>PROPER(shipments[[#This Row],[delivery_status]])</f>
        <v>Delivered</v>
      </c>
      <c r="K5992" t="s">
        <v>6929</v>
      </c>
    </row>
    <row r="5993" spans="1:11">
      <c r="A5993" t="s">
        <v>12929</v>
      </c>
      <c r="B5993" t="s">
        <v>6542</v>
      </c>
      <c r="C5993" t="s">
        <v>6949</v>
      </c>
      <c r="D5993" s="1">
        <v>45112</v>
      </c>
      <c r="E5993" s="1">
        <v>45122</v>
      </c>
      <c r="F5993" s="1">
        <v>45122</v>
      </c>
      <c r="G5993">
        <v>19.43</v>
      </c>
      <c r="H59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993" t="str">
        <f>IFERROR(INDEX(Raw_orders!G:G, MATCH(shipments[[#This Row],[order_id]],Raw_orders!A:A, 0)), "Unknown")</f>
        <v>Baltics</v>
      </c>
      <c r="J5993" t="str">
        <f>PROPER(shipments[[#This Row],[delivery_status]])</f>
        <v>Delivered</v>
      </c>
      <c r="K5993" t="s">
        <v>6926</v>
      </c>
    </row>
    <row r="5994" spans="1:11">
      <c r="A5994" t="s">
        <v>12930</v>
      </c>
      <c r="B5994" t="s">
        <v>6543</v>
      </c>
      <c r="C5994" t="s">
        <v>6921</v>
      </c>
      <c r="D5994" s="1">
        <v>45033</v>
      </c>
      <c r="E5994" s="1">
        <v>45036</v>
      </c>
      <c r="F5994" s="1">
        <v>45038</v>
      </c>
      <c r="G5994">
        <v>14.36</v>
      </c>
      <c r="H59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94" t="str">
        <f>IFERROR(INDEX(Raw_orders!G:G, MATCH(shipments[[#This Row],[order_id]],Raw_orders!A:A, 0)), "Unknown")</f>
        <v>Nordics</v>
      </c>
      <c r="J5994" t="str">
        <f>PROPER(shipments[[#This Row],[delivery_status]])</f>
        <v>Delivered</v>
      </c>
      <c r="K5994" t="s">
        <v>6922</v>
      </c>
    </row>
    <row r="5995" spans="1:11">
      <c r="A5995" t="s">
        <v>12931</v>
      </c>
      <c r="B5995" t="s">
        <v>6544</v>
      </c>
      <c r="C5995" t="s">
        <v>6925</v>
      </c>
      <c r="D5995" s="1">
        <v>45177</v>
      </c>
      <c r="E5995" s="1">
        <v>45187</v>
      </c>
      <c r="F5995" s="1">
        <v>45195</v>
      </c>
      <c r="G5995">
        <v>41.74</v>
      </c>
      <c r="H59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5995" t="str">
        <f>IFERROR(INDEX(Raw_orders!G:G, MATCH(shipments[[#This Row],[order_id]],Raw_orders!A:A, 0)), "Unknown")</f>
        <v>Baltics</v>
      </c>
      <c r="J5995" t="str">
        <f>PROPER(shipments[[#This Row],[delivery_status]])</f>
        <v>Delivered</v>
      </c>
      <c r="K5995" t="s">
        <v>6926</v>
      </c>
    </row>
    <row r="5996" spans="1:11">
      <c r="A5996" t="s">
        <v>12932</v>
      </c>
      <c r="B5996" t="s">
        <v>6545</v>
      </c>
      <c r="C5996" t="s">
        <v>6925</v>
      </c>
      <c r="D5996" s="1">
        <v>45024</v>
      </c>
      <c r="E5996" s="1">
        <v>45029</v>
      </c>
      <c r="F5996" s="1">
        <v>45028</v>
      </c>
      <c r="G5996">
        <v>28.84</v>
      </c>
      <c r="H59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996" t="str">
        <f>IFERROR(INDEX(Raw_orders!G:G, MATCH(shipments[[#This Row],[order_id]],Raw_orders!A:A, 0)), "Unknown")</f>
        <v>Nordics</v>
      </c>
      <c r="J5996" t="str">
        <f>PROPER(shipments[[#This Row],[delivery_status]])</f>
        <v>Delivered</v>
      </c>
      <c r="K5996" t="s">
        <v>6922</v>
      </c>
    </row>
    <row r="5997" spans="1:11">
      <c r="A5997" t="s">
        <v>12933</v>
      </c>
      <c r="B5997" t="s">
        <v>6546</v>
      </c>
      <c r="C5997" t="s">
        <v>6935</v>
      </c>
      <c r="D5997" s="1">
        <v>45329</v>
      </c>
      <c r="E5997" s="1">
        <v>45332</v>
      </c>
      <c r="F5997" s="1">
        <v>45331</v>
      </c>
      <c r="G5997">
        <v>15.46</v>
      </c>
      <c r="H59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997" t="str">
        <f>IFERROR(INDEX(Raw_orders!G:G, MATCH(shipments[[#This Row],[order_id]],Raw_orders!A:A, 0)), "Unknown")</f>
        <v>Nordics</v>
      </c>
      <c r="J5997" t="str">
        <f>PROPER(shipments[[#This Row],[delivery_status]])</f>
        <v>Delivered</v>
      </c>
      <c r="K5997" t="s">
        <v>6929</v>
      </c>
    </row>
    <row r="5998" spans="1:11">
      <c r="A5998" t="s">
        <v>12934</v>
      </c>
      <c r="B5998" t="s">
        <v>6547</v>
      </c>
      <c r="C5998" t="s">
        <v>6931</v>
      </c>
      <c r="D5998" s="1">
        <v>45416</v>
      </c>
      <c r="E5998" s="1">
        <v>45426</v>
      </c>
      <c r="F5998" s="1"/>
      <c r="G5998">
        <v>9.36</v>
      </c>
      <c r="H59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5998" t="str">
        <f>IFERROR(INDEX(Raw_orders!G:G, MATCH(shipments[[#This Row],[order_id]],Raw_orders!A:A, 0)), "Unknown")</f>
        <v>Baltics</v>
      </c>
      <c r="J5998" t="str">
        <f>PROPER(shipments[[#This Row],[delivery_status]])</f>
        <v>In Transit</v>
      </c>
      <c r="K5998" t="s">
        <v>6977</v>
      </c>
    </row>
    <row r="5999" spans="1:11">
      <c r="A5999" t="s">
        <v>12935</v>
      </c>
      <c r="B5999" t="s">
        <v>6548</v>
      </c>
      <c r="C5999" t="s">
        <v>6925</v>
      </c>
      <c r="D5999" s="1">
        <v>45035</v>
      </c>
      <c r="E5999" s="1">
        <v>45038</v>
      </c>
      <c r="F5999" s="1">
        <v>45038</v>
      </c>
      <c r="G5999">
        <v>13.88</v>
      </c>
      <c r="H59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5999" t="str">
        <f>IFERROR(INDEX(Raw_orders!G:G, MATCH(shipments[[#This Row],[order_id]],Raw_orders!A:A, 0)), "Unknown")</f>
        <v>Central Europe</v>
      </c>
      <c r="J5999" t="str">
        <f>PROPER(shipments[[#This Row],[delivery_status]])</f>
        <v>Delivered</v>
      </c>
      <c r="K5999" t="s">
        <v>6929</v>
      </c>
    </row>
    <row r="6000" spans="1:11">
      <c r="A6000" t="s">
        <v>12936</v>
      </c>
      <c r="B6000" t="s">
        <v>6549</v>
      </c>
      <c r="C6000" t="s">
        <v>6938</v>
      </c>
      <c r="D6000" s="1">
        <v>44937</v>
      </c>
      <c r="E6000" s="1">
        <v>44944</v>
      </c>
      <c r="F6000" s="1">
        <v>44952</v>
      </c>
      <c r="G6000">
        <v>53.53</v>
      </c>
      <c r="H60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00" t="str">
        <f>IFERROR(INDEX(Raw_orders!G:G, MATCH(shipments[[#This Row],[order_id]],Raw_orders!A:A, 0)), "Unknown")</f>
        <v>Baltics</v>
      </c>
      <c r="J6000" t="str">
        <f>PROPER(shipments[[#This Row],[delivery_status]])</f>
        <v>Delivered</v>
      </c>
      <c r="K6000" t="s">
        <v>6922</v>
      </c>
    </row>
    <row r="6001" spans="1:11">
      <c r="A6001" t="s">
        <v>12937</v>
      </c>
      <c r="B6001" t="s">
        <v>6550</v>
      </c>
      <c r="C6001" t="s">
        <v>6921</v>
      </c>
      <c r="D6001" s="1">
        <v>45447</v>
      </c>
      <c r="E6001" s="1">
        <v>45457</v>
      </c>
      <c r="F6001" s="1">
        <v>45457</v>
      </c>
      <c r="G6001">
        <v>59.58</v>
      </c>
      <c r="H60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01" t="str">
        <f>IFERROR(INDEX(Raw_orders!G:G, MATCH(shipments[[#This Row],[order_id]],Raw_orders!A:A, 0)), "Unknown")</f>
        <v>Central Europe</v>
      </c>
      <c r="J6001" t="str">
        <f>PROPER(shipments[[#This Row],[delivery_status]])</f>
        <v>Delivered</v>
      </c>
      <c r="K6001" t="s">
        <v>6926</v>
      </c>
    </row>
    <row r="6002" spans="1:11">
      <c r="A6002" t="s">
        <v>12938</v>
      </c>
      <c r="B6002" t="s">
        <v>6551</v>
      </c>
      <c r="C6002" t="s">
        <v>6940</v>
      </c>
      <c r="D6002" s="1">
        <v>45343</v>
      </c>
      <c r="E6002" s="1">
        <v>45350</v>
      </c>
      <c r="F6002" s="1">
        <v>45350</v>
      </c>
      <c r="G6002">
        <v>15.17</v>
      </c>
      <c r="H60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02" t="str">
        <f>IFERROR(INDEX(Raw_orders!G:G, MATCH(shipments[[#This Row],[order_id]],Raw_orders!A:A, 0)), "Unknown")</f>
        <v>Central Europe</v>
      </c>
      <c r="J6002" t="str">
        <f>PROPER(shipments[[#This Row],[delivery_status]])</f>
        <v>Delivered</v>
      </c>
      <c r="K6002" t="s">
        <v>6929</v>
      </c>
    </row>
    <row r="6003" spans="1:11">
      <c r="A6003" t="s">
        <v>12939</v>
      </c>
      <c r="B6003" t="s">
        <v>6552</v>
      </c>
      <c r="C6003" t="s">
        <v>6931</v>
      </c>
      <c r="D6003" s="1">
        <v>44976</v>
      </c>
      <c r="E6003" s="1">
        <v>44978</v>
      </c>
      <c r="F6003" s="1">
        <v>44980</v>
      </c>
      <c r="G6003">
        <v>40.729999999999997</v>
      </c>
      <c r="H60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03" t="str">
        <f>IFERROR(INDEX(Raw_orders!G:G, MATCH(shipments[[#This Row],[order_id]],Raw_orders!A:A, 0)), "Unknown")</f>
        <v>Nordics</v>
      </c>
      <c r="J6003" t="str">
        <f>PROPER(shipments[[#This Row],[delivery_status]])</f>
        <v>Delivered</v>
      </c>
      <c r="K6003" t="s">
        <v>6926</v>
      </c>
    </row>
    <row r="6004" spans="1:11">
      <c r="A6004" t="s">
        <v>12940</v>
      </c>
      <c r="B6004" t="s">
        <v>6553</v>
      </c>
      <c r="C6004" t="s">
        <v>6956</v>
      </c>
      <c r="D6004" s="1">
        <v>45073</v>
      </c>
      <c r="E6004" s="1">
        <v>45075</v>
      </c>
      <c r="F6004" s="1">
        <v>45076</v>
      </c>
      <c r="G6004">
        <v>41.27</v>
      </c>
      <c r="H60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04" t="str">
        <f>IFERROR(INDEX(Raw_orders!G:G, MATCH(shipments[[#This Row],[order_id]],Raw_orders!A:A, 0)), "Unknown")</f>
        <v>Baltics</v>
      </c>
      <c r="J6004" t="str">
        <f>PROPER(shipments[[#This Row],[delivery_status]])</f>
        <v>Delivered</v>
      </c>
      <c r="K6004" t="s">
        <v>6922</v>
      </c>
    </row>
    <row r="6005" spans="1:11">
      <c r="A6005" t="s">
        <v>12941</v>
      </c>
      <c r="B6005" t="s">
        <v>6554</v>
      </c>
      <c r="C6005" t="s">
        <v>6935</v>
      </c>
      <c r="D6005" s="1">
        <v>45076</v>
      </c>
      <c r="E6005" s="1">
        <v>45078</v>
      </c>
      <c r="F6005" s="1">
        <v>45078</v>
      </c>
      <c r="G6005">
        <v>61.52</v>
      </c>
      <c r="H60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05" t="str">
        <f>IFERROR(INDEX(Raw_orders!G:G, MATCH(shipments[[#This Row],[order_id]],Raw_orders!A:A, 0)), "Unknown")</f>
        <v>Baltics</v>
      </c>
      <c r="J6005" t="str">
        <f>PROPER(shipments[[#This Row],[delivery_status]])</f>
        <v>Delivered</v>
      </c>
      <c r="K6005" t="s">
        <v>6926</v>
      </c>
    </row>
    <row r="6006" spans="1:11">
      <c r="A6006" t="s">
        <v>12942</v>
      </c>
      <c r="B6006" t="s">
        <v>6555</v>
      </c>
      <c r="C6006" t="s">
        <v>6956</v>
      </c>
      <c r="D6006" s="1">
        <v>45404</v>
      </c>
      <c r="E6006" s="1">
        <v>45414</v>
      </c>
      <c r="F6006" s="1">
        <v>45414</v>
      </c>
      <c r="G6006">
        <v>30.16</v>
      </c>
      <c r="H60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06" t="str">
        <f>IFERROR(INDEX(Raw_orders!G:G, MATCH(shipments[[#This Row],[order_id]],Raw_orders!A:A, 0)), "Unknown")</f>
        <v>Baltics</v>
      </c>
      <c r="J6006" t="str">
        <f>PROPER(shipments[[#This Row],[delivery_status]])</f>
        <v>Delivered</v>
      </c>
      <c r="K6006" t="s">
        <v>6929</v>
      </c>
    </row>
    <row r="6007" spans="1:11">
      <c r="A6007" t="s">
        <v>12943</v>
      </c>
      <c r="B6007" t="s">
        <v>6556</v>
      </c>
      <c r="C6007" t="s">
        <v>6931</v>
      </c>
      <c r="D6007" s="1">
        <v>45031</v>
      </c>
      <c r="E6007" s="1">
        <v>45041</v>
      </c>
      <c r="F6007" s="1">
        <v>45044</v>
      </c>
      <c r="G6007">
        <v>57.03</v>
      </c>
      <c r="H60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07" t="str">
        <f>IFERROR(INDEX(Raw_orders!G:G, MATCH(shipments[[#This Row],[order_id]],Raw_orders!A:A, 0)), "Unknown")</f>
        <v>Nordics</v>
      </c>
      <c r="J6007" t="str">
        <f>PROPER(shipments[[#This Row],[delivery_status]])</f>
        <v>Delivered</v>
      </c>
      <c r="K6007" t="s">
        <v>6929</v>
      </c>
    </row>
    <row r="6008" spans="1:11">
      <c r="A6008" t="s">
        <v>12944</v>
      </c>
      <c r="B6008" t="s">
        <v>6557</v>
      </c>
      <c r="C6008" t="s">
        <v>6931</v>
      </c>
      <c r="D6008" s="1">
        <v>45090</v>
      </c>
      <c r="E6008" s="1">
        <v>45100</v>
      </c>
      <c r="F6008" s="1">
        <v>45108</v>
      </c>
      <c r="G6008">
        <v>60.76</v>
      </c>
      <c r="H60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08" t="str">
        <f>IFERROR(INDEX(Raw_orders!G:G, MATCH(shipments[[#This Row],[order_id]],Raw_orders!A:A, 0)), "Unknown")</f>
        <v>Central Europe</v>
      </c>
      <c r="J6008" t="str">
        <f>PROPER(shipments[[#This Row],[delivery_status]])</f>
        <v>Delivered</v>
      </c>
      <c r="K6008" t="s">
        <v>6922</v>
      </c>
    </row>
    <row r="6009" spans="1:11">
      <c r="A6009" t="s">
        <v>12945</v>
      </c>
      <c r="B6009" t="s">
        <v>6558</v>
      </c>
      <c r="C6009" t="s">
        <v>6956</v>
      </c>
      <c r="D6009" s="1">
        <v>45509</v>
      </c>
      <c r="E6009" s="1">
        <v>45514</v>
      </c>
      <c r="F6009" s="1"/>
      <c r="G6009">
        <v>11.41</v>
      </c>
      <c r="H60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009" t="str">
        <f>IFERROR(INDEX(Raw_orders!G:G, MATCH(shipments[[#This Row],[order_id]],Raw_orders!A:A, 0)), "Unknown")</f>
        <v>Baltics</v>
      </c>
      <c r="J6009" t="str">
        <f>PROPER(shipments[[#This Row],[delivery_status]])</f>
        <v>In Transit</v>
      </c>
      <c r="K6009" t="s">
        <v>6977</v>
      </c>
    </row>
    <row r="6010" spans="1:11">
      <c r="A6010" t="s">
        <v>12946</v>
      </c>
      <c r="B6010" t="s">
        <v>6559</v>
      </c>
      <c r="C6010" t="s">
        <v>6925</v>
      </c>
      <c r="D6010" s="1">
        <v>45269</v>
      </c>
      <c r="E6010" s="1">
        <v>45276</v>
      </c>
      <c r="F6010" s="1">
        <v>45277</v>
      </c>
      <c r="G6010">
        <v>21.95</v>
      </c>
      <c r="H60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10" t="str">
        <f>IFERROR(INDEX(Raw_orders!G:G, MATCH(shipments[[#This Row],[order_id]],Raw_orders!A:A, 0)), "Unknown")</f>
        <v>Baltics</v>
      </c>
      <c r="J6010" t="str">
        <f>PROPER(shipments[[#This Row],[delivery_status]])</f>
        <v>Delivered</v>
      </c>
      <c r="K6010" t="s">
        <v>6922</v>
      </c>
    </row>
    <row r="6011" spans="1:11">
      <c r="A6011" t="s">
        <v>12947</v>
      </c>
      <c r="B6011" t="s">
        <v>6560</v>
      </c>
      <c r="C6011" t="s">
        <v>6925</v>
      </c>
      <c r="D6011" s="1">
        <v>44964</v>
      </c>
      <c r="E6011" s="1">
        <v>44966</v>
      </c>
      <c r="F6011" s="1"/>
      <c r="G6011">
        <v>5.41</v>
      </c>
      <c r="H60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011" t="str">
        <f>IFERROR(INDEX(Raw_orders!G:G, MATCH(shipments[[#This Row],[order_id]],Raw_orders!A:A, 0)), "Unknown")</f>
        <v>Baltics</v>
      </c>
      <c r="J6011" t="str">
        <f>PROPER(shipments[[#This Row],[delivery_status]])</f>
        <v>In Transit</v>
      </c>
      <c r="K6011" t="s">
        <v>6958</v>
      </c>
    </row>
    <row r="6012" spans="1:11">
      <c r="A6012" t="s">
        <v>12948</v>
      </c>
      <c r="B6012" t="s">
        <v>6561</v>
      </c>
      <c r="C6012" t="s">
        <v>6921</v>
      </c>
      <c r="D6012" s="1">
        <v>45347</v>
      </c>
      <c r="E6012" s="1">
        <v>45350</v>
      </c>
      <c r="F6012" s="1"/>
      <c r="G6012">
        <v>19.760000000000002</v>
      </c>
      <c r="H60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012" t="str">
        <f>IFERROR(INDEX(Raw_orders!G:G, MATCH(shipments[[#This Row],[order_id]],Raw_orders!A:A, 0)), "Unknown")</f>
        <v>Baltics</v>
      </c>
      <c r="J6012" t="str">
        <f>PROPER(shipments[[#This Row],[delivery_status]])</f>
        <v>In Transit</v>
      </c>
      <c r="K6012" t="s">
        <v>6977</v>
      </c>
    </row>
    <row r="6013" spans="1:11">
      <c r="A6013" t="s">
        <v>12949</v>
      </c>
      <c r="B6013" t="s">
        <v>6562</v>
      </c>
      <c r="C6013" t="s">
        <v>6935</v>
      </c>
      <c r="D6013" s="1">
        <v>45480</v>
      </c>
      <c r="E6013" s="1">
        <v>45487</v>
      </c>
      <c r="F6013" s="1">
        <v>45495</v>
      </c>
      <c r="G6013">
        <v>50.4</v>
      </c>
      <c r="H60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13" t="str">
        <f>IFERROR(INDEX(Raw_orders!G:G, MATCH(shipments[[#This Row],[order_id]],Raw_orders!A:A, 0)), "Unknown")</f>
        <v>Baltics</v>
      </c>
      <c r="J6013" t="str">
        <f>PROPER(shipments[[#This Row],[delivery_status]])</f>
        <v>Delivered</v>
      </c>
      <c r="K6013" t="s">
        <v>6922</v>
      </c>
    </row>
    <row r="6014" spans="1:11">
      <c r="A6014" t="s">
        <v>12950</v>
      </c>
      <c r="B6014" t="s">
        <v>6563</v>
      </c>
      <c r="C6014" t="s">
        <v>6925</v>
      </c>
      <c r="D6014" s="1">
        <v>45034</v>
      </c>
      <c r="E6014" s="1">
        <v>45044</v>
      </c>
      <c r="F6014" s="1">
        <v>45044</v>
      </c>
      <c r="G6014">
        <v>9.89</v>
      </c>
      <c r="H60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14" t="str">
        <f>IFERROR(INDEX(Raw_orders!G:G, MATCH(shipments[[#This Row],[order_id]],Raw_orders!A:A, 0)), "Unknown")</f>
        <v>Central Europe</v>
      </c>
      <c r="J6014" t="str">
        <f>PROPER(shipments[[#This Row],[delivery_status]])</f>
        <v>Delivered</v>
      </c>
      <c r="K6014" t="s">
        <v>6929</v>
      </c>
    </row>
    <row r="6015" spans="1:11">
      <c r="A6015" t="s">
        <v>12951</v>
      </c>
      <c r="B6015" t="s">
        <v>6564</v>
      </c>
      <c r="C6015" t="s">
        <v>6925</v>
      </c>
      <c r="D6015" s="1">
        <v>45260</v>
      </c>
      <c r="E6015" s="1">
        <v>45270</v>
      </c>
      <c r="F6015" s="1">
        <v>45270</v>
      </c>
      <c r="G6015">
        <v>21.57</v>
      </c>
      <c r="H60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15" t="str">
        <f>IFERROR(INDEX(Raw_orders!G:G, MATCH(shipments[[#This Row],[order_id]],Raw_orders!A:A, 0)), "Unknown")</f>
        <v>Baltics</v>
      </c>
      <c r="J6015" t="str">
        <f>PROPER(shipments[[#This Row],[delivery_status]])</f>
        <v>Delivered</v>
      </c>
      <c r="K6015" t="s">
        <v>6922</v>
      </c>
    </row>
    <row r="6016" spans="1:11">
      <c r="A6016" t="s">
        <v>12952</v>
      </c>
      <c r="B6016" t="s">
        <v>6565</v>
      </c>
      <c r="C6016" t="s">
        <v>6940</v>
      </c>
      <c r="D6016" s="1">
        <v>45071</v>
      </c>
      <c r="E6016" s="1">
        <v>45074</v>
      </c>
      <c r="F6016" s="1">
        <v>45074</v>
      </c>
      <c r="G6016">
        <v>15.1</v>
      </c>
      <c r="H60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16" t="str">
        <f>IFERROR(INDEX(Raw_orders!G:G, MATCH(shipments[[#This Row],[order_id]],Raw_orders!A:A, 0)), "Unknown")</f>
        <v>Central Europe</v>
      </c>
      <c r="J6016" t="str">
        <f>PROPER(shipments[[#This Row],[delivery_status]])</f>
        <v>Delivered</v>
      </c>
      <c r="K6016" t="s">
        <v>6926</v>
      </c>
    </row>
    <row r="6017" spans="1:11">
      <c r="A6017" t="s">
        <v>12953</v>
      </c>
      <c r="B6017" t="s">
        <v>6566</v>
      </c>
      <c r="C6017" t="s">
        <v>6925</v>
      </c>
      <c r="D6017" s="1">
        <v>44977</v>
      </c>
      <c r="E6017" s="1">
        <v>44987</v>
      </c>
      <c r="F6017" s="1">
        <v>44988</v>
      </c>
      <c r="G6017">
        <v>18.27</v>
      </c>
      <c r="H60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17" t="str">
        <f>IFERROR(INDEX(Raw_orders!G:G, MATCH(shipments[[#This Row],[order_id]],Raw_orders!A:A, 0)), "Unknown")</f>
        <v>Nordics</v>
      </c>
      <c r="J6017" t="str">
        <f>PROPER(shipments[[#This Row],[delivery_status]])</f>
        <v>Delivered</v>
      </c>
      <c r="K6017" t="s">
        <v>6929</v>
      </c>
    </row>
    <row r="6018" spans="1:11">
      <c r="A6018" t="s">
        <v>12954</v>
      </c>
      <c r="B6018" t="s">
        <v>6567</v>
      </c>
      <c r="C6018" t="s">
        <v>6940</v>
      </c>
      <c r="D6018" s="1">
        <v>45035</v>
      </c>
      <c r="E6018" s="1">
        <v>45045</v>
      </c>
      <c r="F6018" s="1">
        <v>45047</v>
      </c>
      <c r="G6018">
        <v>17.62</v>
      </c>
      <c r="H60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18" t="str">
        <f>IFERROR(INDEX(Raw_orders!G:G, MATCH(shipments[[#This Row],[order_id]],Raw_orders!A:A, 0)), "Unknown")</f>
        <v>Central Europe</v>
      </c>
      <c r="J6018" t="str">
        <f>PROPER(shipments[[#This Row],[delivery_status]])</f>
        <v>Delivered</v>
      </c>
      <c r="K6018" t="s">
        <v>6929</v>
      </c>
    </row>
    <row r="6019" spans="1:11">
      <c r="A6019" t="s">
        <v>12955</v>
      </c>
      <c r="B6019" t="s">
        <v>6568</v>
      </c>
      <c r="C6019" t="s">
        <v>6938</v>
      </c>
      <c r="D6019" s="1">
        <v>45543</v>
      </c>
      <c r="E6019" s="1">
        <v>45548</v>
      </c>
      <c r="F6019" s="1">
        <v>45553</v>
      </c>
      <c r="G6019">
        <v>53.62</v>
      </c>
      <c r="H60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19" t="str">
        <f>IFERROR(INDEX(Raw_orders!G:G, MATCH(shipments[[#This Row],[order_id]],Raw_orders!A:A, 0)), "Unknown")</f>
        <v>Nordics</v>
      </c>
      <c r="J6019" t="str">
        <f>PROPER(shipments[[#This Row],[delivery_status]])</f>
        <v>Delivered</v>
      </c>
      <c r="K6019" t="s">
        <v>6929</v>
      </c>
    </row>
    <row r="6020" spans="1:11">
      <c r="A6020" t="s">
        <v>12956</v>
      </c>
      <c r="B6020" t="s">
        <v>6569</v>
      </c>
      <c r="C6020" t="s">
        <v>6925</v>
      </c>
      <c r="D6020" s="1">
        <v>45386</v>
      </c>
      <c r="E6020" s="1">
        <v>45389</v>
      </c>
      <c r="F6020" s="1">
        <v>45388</v>
      </c>
      <c r="G6020">
        <v>32.869999999999997</v>
      </c>
      <c r="H60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20" t="str">
        <f>IFERROR(INDEX(Raw_orders!G:G, MATCH(shipments[[#This Row],[order_id]],Raw_orders!A:A, 0)), "Unknown")</f>
        <v>Nordics</v>
      </c>
      <c r="J6020" t="str">
        <f>PROPER(shipments[[#This Row],[delivery_status]])</f>
        <v>Delivered</v>
      </c>
      <c r="K6020" t="s">
        <v>6929</v>
      </c>
    </row>
    <row r="6021" spans="1:11">
      <c r="A6021" t="s">
        <v>12957</v>
      </c>
      <c r="B6021" t="s">
        <v>6570</v>
      </c>
      <c r="C6021" t="s">
        <v>6938</v>
      </c>
      <c r="D6021" s="1">
        <v>45418</v>
      </c>
      <c r="E6021" s="1">
        <v>45420</v>
      </c>
      <c r="F6021" s="1">
        <v>45420</v>
      </c>
      <c r="G6021">
        <v>24.83</v>
      </c>
      <c r="H60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21" t="str">
        <f>IFERROR(INDEX(Raw_orders!G:G, MATCH(shipments[[#This Row],[order_id]],Raw_orders!A:A, 0)), "Unknown")</f>
        <v>Central Europe</v>
      </c>
      <c r="J6021" t="str">
        <f>PROPER(shipments[[#This Row],[delivery_status]])</f>
        <v>Delivered</v>
      </c>
      <c r="K6021" t="s">
        <v>6922</v>
      </c>
    </row>
    <row r="6022" spans="1:11">
      <c r="A6022" t="s">
        <v>12958</v>
      </c>
      <c r="B6022" t="s">
        <v>6571</v>
      </c>
      <c r="C6022" t="s">
        <v>6925</v>
      </c>
      <c r="D6022" s="1">
        <v>45010</v>
      </c>
      <c r="E6022" s="1">
        <v>45015</v>
      </c>
      <c r="F6022" s="1">
        <v>45014</v>
      </c>
      <c r="G6022">
        <v>27.15</v>
      </c>
      <c r="H60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22" t="str">
        <f>IFERROR(INDEX(Raw_orders!G:G, MATCH(shipments[[#This Row],[order_id]],Raw_orders!A:A, 0)), "Unknown")</f>
        <v>Nordics</v>
      </c>
      <c r="J6022" t="str">
        <f>PROPER(shipments[[#This Row],[delivery_status]])</f>
        <v>Delivered</v>
      </c>
      <c r="K6022" t="s">
        <v>6922</v>
      </c>
    </row>
    <row r="6023" spans="1:11">
      <c r="A6023" t="s">
        <v>12959</v>
      </c>
      <c r="B6023" t="s">
        <v>6572</v>
      </c>
      <c r="C6023" t="s">
        <v>6935</v>
      </c>
      <c r="D6023" s="1">
        <v>45325</v>
      </c>
      <c r="E6023" s="1">
        <v>45327</v>
      </c>
      <c r="F6023" s="1">
        <v>45327</v>
      </c>
      <c r="G6023">
        <v>54.46</v>
      </c>
      <c r="H60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23" t="str">
        <f>IFERROR(INDEX(Raw_orders!G:G, MATCH(shipments[[#This Row],[order_id]],Raw_orders!A:A, 0)), "Unknown")</f>
        <v>Nordics</v>
      </c>
      <c r="J6023" t="str">
        <f>PROPER(shipments[[#This Row],[delivery_status]])</f>
        <v>Delivered</v>
      </c>
      <c r="K6023" t="s">
        <v>6929</v>
      </c>
    </row>
    <row r="6024" spans="1:11">
      <c r="A6024" t="s">
        <v>12960</v>
      </c>
      <c r="B6024" t="s">
        <v>6573</v>
      </c>
      <c r="C6024" t="s">
        <v>6935</v>
      </c>
      <c r="D6024" s="1">
        <v>45442</v>
      </c>
      <c r="E6024" s="1">
        <v>45447</v>
      </c>
      <c r="F6024" s="1">
        <v>45447</v>
      </c>
      <c r="G6024">
        <v>49.2</v>
      </c>
      <c r="H60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24" t="str">
        <f>IFERROR(INDEX(Raw_orders!G:G, MATCH(shipments[[#This Row],[order_id]],Raw_orders!A:A, 0)), "Unknown")</f>
        <v>Central Europe</v>
      </c>
      <c r="J6024" t="str">
        <f>PROPER(shipments[[#This Row],[delivery_status]])</f>
        <v>Delivered</v>
      </c>
      <c r="K6024" t="s">
        <v>6929</v>
      </c>
    </row>
    <row r="6025" spans="1:11">
      <c r="A6025" t="s">
        <v>12961</v>
      </c>
      <c r="B6025" t="s">
        <v>6574</v>
      </c>
      <c r="C6025" t="s">
        <v>6935</v>
      </c>
      <c r="D6025" s="1">
        <v>45294</v>
      </c>
      <c r="E6025" s="1">
        <v>45296</v>
      </c>
      <c r="F6025" s="1"/>
      <c r="G6025">
        <v>6.54</v>
      </c>
      <c r="H60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6025" t="str">
        <f>IFERROR(INDEX(Raw_orders!G:G, MATCH(shipments[[#This Row],[order_id]],Raw_orders!A:A, 0)), "Unknown")</f>
        <v>Baltics</v>
      </c>
      <c r="J6025" t="str">
        <f>PROPER(shipments[[#This Row],[delivery_status]])</f>
        <v>Cancelled</v>
      </c>
      <c r="K6025" t="s">
        <v>6979</v>
      </c>
    </row>
    <row r="6026" spans="1:11">
      <c r="A6026" t="s">
        <v>12962</v>
      </c>
      <c r="B6026" t="s">
        <v>6575</v>
      </c>
      <c r="C6026" t="s">
        <v>6921</v>
      </c>
      <c r="D6026" s="1">
        <v>45225</v>
      </c>
      <c r="E6026" s="1">
        <v>45232</v>
      </c>
      <c r="F6026" s="1">
        <v>45240</v>
      </c>
      <c r="G6026">
        <v>23.05</v>
      </c>
      <c r="H60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26" t="str">
        <f>IFERROR(INDEX(Raw_orders!G:G, MATCH(shipments[[#This Row],[order_id]],Raw_orders!A:A, 0)), "Unknown")</f>
        <v>Central Europe</v>
      </c>
      <c r="J6026" t="str">
        <f>PROPER(shipments[[#This Row],[delivery_status]])</f>
        <v>Delivered</v>
      </c>
      <c r="K6026" t="s">
        <v>6926</v>
      </c>
    </row>
    <row r="6027" spans="1:11">
      <c r="A6027" t="s">
        <v>12963</v>
      </c>
      <c r="B6027" t="s">
        <v>6576</v>
      </c>
      <c r="C6027" t="s">
        <v>6931</v>
      </c>
      <c r="D6027" s="1">
        <v>45040</v>
      </c>
      <c r="E6027" s="1">
        <v>45045</v>
      </c>
      <c r="F6027" s="1">
        <v>45045</v>
      </c>
      <c r="G6027">
        <v>20.63</v>
      </c>
      <c r="H60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27" t="str">
        <f>IFERROR(INDEX(Raw_orders!G:G, MATCH(shipments[[#This Row],[order_id]],Raw_orders!A:A, 0)), "Unknown")</f>
        <v>Nordics</v>
      </c>
      <c r="J6027" t="str">
        <f>PROPER(shipments[[#This Row],[delivery_status]])</f>
        <v>Delivered</v>
      </c>
      <c r="K6027" t="s">
        <v>6929</v>
      </c>
    </row>
    <row r="6028" spans="1:11">
      <c r="A6028" t="s">
        <v>12964</v>
      </c>
      <c r="B6028" t="s">
        <v>6577</v>
      </c>
      <c r="C6028" t="s">
        <v>6928</v>
      </c>
      <c r="D6028" s="1">
        <v>45442</v>
      </c>
      <c r="E6028" s="1">
        <v>45449</v>
      </c>
      <c r="F6028" s="1">
        <v>45452</v>
      </c>
      <c r="G6028">
        <v>6.76</v>
      </c>
      <c r="H60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28" t="str">
        <f>IFERROR(INDEX(Raw_orders!G:G, MATCH(shipments[[#This Row],[order_id]],Raw_orders!A:A, 0)), "Unknown")</f>
        <v>Baltics</v>
      </c>
      <c r="J6028" t="str">
        <f>PROPER(shipments[[#This Row],[delivery_status]])</f>
        <v>Delivered</v>
      </c>
      <c r="K6028" t="s">
        <v>6926</v>
      </c>
    </row>
    <row r="6029" spans="1:11">
      <c r="A6029" t="s">
        <v>12965</v>
      </c>
      <c r="B6029" t="s">
        <v>6578</v>
      </c>
      <c r="C6029" t="s">
        <v>6928</v>
      </c>
      <c r="D6029" s="1">
        <v>45170</v>
      </c>
      <c r="E6029" s="1">
        <v>45175</v>
      </c>
      <c r="F6029" s="1">
        <v>45175</v>
      </c>
      <c r="G6029">
        <v>40.130000000000003</v>
      </c>
      <c r="H60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29" t="str">
        <f>IFERROR(INDEX(Raw_orders!G:G, MATCH(shipments[[#This Row],[order_id]],Raw_orders!A:A, 0)), "Unknown")</f>
        <v>Baltics</v>
      </c>
      <c r="J6029" t="str">
        <f>PROPER(shipments[[#This Row],[delivery_status]])</f>
        <v>Delivered</v>
      </c>
      <c r="K6029" t="s">
        <v>6922</v>
      </c>
    </row>
    <row r="6030" spans="1:11">
      <c r="A6030" t="s">
        <v>12966</v>
      </c>
      <c r="B6030" t="s">
        <v>6579</v>
      </c>
      <c r="C6030" t="s">
        <v>6956</v>
      </c>
      <c r="D6030" s="1">
        <v>45562</v>
      </c>
      <c r="E6030" s="1">
        <v>45572</v>
      </c>
      <c r="F6030" s="1"/>
      <c r="G6030">
        <v>9.86</v>
      </c>
      <c r="H60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030" t="str">
        <f>IFERROR(INDEX(Raw_orders!G:G, MATCH(shipments[[#This Row],[order_id]],Raw_orders!A:A, 0)), "Unknown")</f>
        <v>Baltics</v>
      </c>
      <c r="J6030" t="str">
        <f>PROPER(shipments[[#This Row],[delivery_status]])</f>
        <v>In Transit</v>
      </c>
      <c r="K6030" t="s">
        <v>6977</v>
      </c>
    </row>
    <row r="6031" spans="1:11">
      <c r="A6031" t="s">
        <v>12967</v>
      </c>
      <c r="B6031" t="s">
        <v>6580</v>
      </c>
      <c r="C6031" t="s">
        <v>6940</v>
      </c>
      <c r="D6031" s="1">
        <v>44995</v>
      </c>
      <c r="E6031" s="1">
        <v>44997</v>
      </c>
      <c r="F6031" s="1"/>
      <c r="G6031">
        <v>16.96</v>
      </c>
      <c r="H60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031" t="str">
        <f>IFERROR(INDEX(Raw_orders!G:G, MATCH(shipments[[#This Row],[order_id]],Raw_orders!A:A, 0)), "Unknown")</f>
        <v>Baltics</v>
      </c>
      <c r="J6031" t="str">
        <f>PROPER(shipments[[#This Row],[delivery_status]])</f>
        <v>In Transit</v>
      </c>
      <c r="K6031" t="s">
        <v>6946</v>
      </c>
    </row>
    <row r="6032" spans="1:11">
      <c r="A6032" t="s">
        <v>12968</v>
      </c>
      <c r="B6032" t="s">
        <v>6581</v>
      </c>
      <c r="C6032" t="s">
        <v>6925</v>
      </c>
      <c r="D6032" s="1">
        <v>45087</v>
      </c>
      <c r="E6032" s="1">
        <v>45089</v>
      </c>
      <c r="F6032" s="1">
        <v>45089</v>
      </c>
      <c r="G6032">
        <v>9.48</v>
      </c>
      <c r="H60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32" t="str">
        <f>IFERROR(INDEX(Raw_orders!G:G, MATCH(shipments[[#This Row],[order_id]],Raw_orders!A:A, 0)), "Unknown")</f>
        <v>Nordics</v>
      </c>
      <c r="J6032" t="str">
        <f>PROPER(shipments[[#This Row],[delivery_status]])</f>
        <v>Delivered</v>
      </c>
      <c r="K6032" t="s">
        <v>6922</v>
      </c>
    </row>
    <row r="6033" spans="1:11">
      <c r="A6033" t="s">
        <v>12969</v>
      </c>
      <c r="B6033" t="s">
        <v>6582</v>
      </c>
      <c r="C6033" t="s">
        <v>6931</v>
      </c>
      <c r="D6033" s="1">
        <v>45275</v>
      </c>
      <c r="E6033" s="1">
        <v>45285</v>
      </c>
      <c r="F6033" s="1">
        <v>45288</v>
      </c>
      <c r="G6033">
        <v>37.24</v>
      </c>
      <c r="H60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33" t="str">
        <f>IFERROR(INDEX(Raw_orders!G:G, MATCH(shipments[[#This Row],[order_id]],Raw_orders!A:A, 0)), "Unknown")</f>
        <v>Nordics</v>
      </c>
      <c r="J6033" t="str">
        <f>PROPER(shipments[[#This Row],[delivery_status]])</f>
        <v>Delivered</v>
      </c>
      <c r="K6033" t="s">
        <v>6926</v>
      </c>
    </row>
    <row r="6034" spans="1:11">
      <c r="A6034" t="s">
        <v>12970</v>
      </c>
      <c r="B6034" t="s">
        <v>6583</v>
      </c>
      <c r="C6034" t="s">
        <v>6940</v>
      </c>
      <c r="D6034" s="1">
        <v>44946</v>
      </c>
      <c r="E6034" s="1">
        <v>44949</v>
      </c>
      <c r="F6034" s="1">
        <v>44949</v>
      </c>
      <c r="G6034">
        <v>34.44</v>
      </c>
      <c r="H60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34" t="str">
        <f>IFERROR(INDEX(Raw_orders!G:G, MATCH(shipments[[#This Row],[order_id]],Raw_orders!A:A, 0)), "Unknown")</f>
        <v>Nordics</v>
      </c>
      <c r="J6034" t="str">
        <f>PROPER(shipments[[#This Row],[delivery_status]])</f>
        <v>Delivered</v>
      </c>
      <c r="K6034" t="s">
        <v>6929</v>
      </c>
    </row>
    <row r="6035" spans="1:11">
      <c r="A6035" t="s">
        <v>12971</v>
      </c>
      <c r="B6035" t="s">
        <v>6584</v>
      </c>
      <c r="C6035" t="s">
        <v>6938</v>
      </c>
      <c r="D6035" s="1">
        <v>45468</v>
      </c>
      <c r="E6035" s="1">
        <v>45473</v>
      </c>
      <c r="F6035" s="1">
        <v>45473</v>
      </c>
      <c r="G6035">
        <v>39.61</v>
      </c>
      <c r="H60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35" t="str">
        <f>IFERROR(INDEX(Raw_orders!G:G, MATCH(shipments[[#This Row],[order_id]],Raw_orders!A:A, 0)), "Unknown")</f>
        <v>Nordics</v>
      </c>
      <c r="J6035" t="str">
        <f>PROPER(shipments[[#This Row],[delivery_status]])</f>
        <v>Delivered</v>
      </c>
      <c r="K6035" t="s">
        <v>6922</v>
      </c>
    </row>
    <row r="6036" spans="1:11">
      <c r="A6036" t="s">
        <v>12972</v>
      </c>
      <c r="B6036" t="s">
        <v>6585</v>
      </c>
      <c r="C6036" t="s">
        <v>6938</v>
      </c>
      <c r="D6036" s="1">
        <v>45426</v>
      </c>
      <c r="E6036" s="1">
        <v>45436</v>
      </c>
      <c r="F6036" s="1">
        <v>45436</v>
      </c>
      <c r="G6036">
        <v>39.33</v>
      </c>
      <c r="H60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36" t="str">
        <f>IFERROR(INDEX(Raw_orders!G:G, MATCH(shipments[[#This Row],[order_id]],Raw_orders!A:A, 0)), "Unknown")</f>
        <v>Baltics</v>
      </c>
      <c r="J6036" t="str">
        <f>PROPER(shipments[[#This Row],[delivery_status]])</f>
        <v>Delivered</v>
      </c>
      <c r="K6036" t="s">
        <v>6922</v>
      </c>
    </row>
    <row r="6037" spans="1:11">
      <c r="A6037" t="s">
        <v>12973</v>
      </c>
      <c r="B6037" t="s">
        <v>6586</v>
      </c>
      <c r="C6037" t="s">
        <v>6938</v>
      </c>
      <c r="D6037" s="1">
        <v>45451</v>
      </c>
      <c r="E6037" s="1">
        <v>45461</v>
      </c>
      <c r="F6037" s="1"/>
      <c r="G6037">
        <v>61.14</v>
      </c>
      <c r="H60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6037" t="str">
        <f>IFERROR(INDEX(Raw_orders!G:G, MATCH(shipments[[#This Row],[order_id]],Raw_orders!A:A, 0)), "Unknown")</f>
        <v>Central Europe</v>
      </c>
      <c r="J6037" t="str">
        <f>PROPER(shipments[[#This Row],[delivery_status]])</f>
        <v>Cancelled</v>
      </c>
      <c r="K6037" t="s">
        <v>6972</v>
      </c>
    </row>
    <row r="6038" spans="1:11">
      <c r="A6038" t="s">
        <v>12974</v>
      </c>
      <c r="B6038" t="s">
        <v>6587</v>
      </c>
      <c r="C6038" t="s">
        <v>6921</v>
      </c>
      <c r="D6038" s="1">
        <v>45431</v>
      </c>
      <c r="E6038" s="1">
        <v>45441</v>
      </c>
      <c r="F6038" s="1">
        <v>45449</v>
      </c>
      <c r="G6038">
        <v>6.21</v>
      </c>
      <c r="H60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38" t="str">
        <f>IFERROR(INDEX(Raw_orders!G:G, MATCH(shipments[[#This Row],[order_id]],Raw_orders!A:A, 0)), "Unknown")</f>
        <v>Nordics</v>
      </c>
      <c r="J6038" t="str">
        <f>PROPER(shipments[[#This Row],[delivery_status]])</f>
        <v>Delivered</v>
      </c>
      <c r="K6038" t="s">
        <v>6922</v>
      </c>
    </row>
    <row r="6039" spans="1:11">
      <c r="A6039" t="s">
        <v>12975</v>
      </c>
      <c r="B6039" t="s">
        <v>6588</v>
      </c>
      <c r="C6039" t="s">
        <v>6956</v>
      </c>
      <c r="D6039" s="1">
        <v>44955</v>
      </c>
      <c r="E6039" s="1">
        <v>44958</v>
      </c>
      <c r="F6039" s="1">
        <v>44961</v>
      </c>
      <c r="G6039">
        <v>61.52</v>
      </c>
      <c r="H60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39" t="str">
        <f>IFERROR(INDEX(Raw_orders!G:G, MATCH(shipments[[#This Row],[order_id]],Raw_orders!A:A, 0)), "Unknown")</f>
        <v>Baltics</v>
      </c>
      <c r="J6039" t="str">
        <f>PROPER(shipments[[#This Row],[delivery_status]])</f>
        <v>Delivered</v>
      </c>
      <c r="K6039" t="s">
        <v>6929</v>
      </c>
    </row>
    <row r="6040" spans="1:11">
      <c r="A6040" t="s">
        <v>12976</v>
      </c>
      <c r="B6040" t="s">
        <v>6589</v>
      </c>
      <c r="C6040" t="s">
        <v>6921</v>
      </c>
      <c r="D6040" s="1">
        <v>44942</v>
      </c>
      <c r="E6040" s="1">
        <v>44949</v>
      </c>
      <c r="F6040" s="1">
        <v>44954</v>
      </c>
      <c r="G6040">
        <v>53.01</v>
      </c>
      <c r="H60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40" t="str">
        <f>IFERROR(INDEX(Raw_orders!G:G, MATCH(shipments[[#This Row],[order_id]],Raw_orders!A:A, 0)), "Unknown")</f>
        <v>Baltics</v>
      </c>
      <c r="J6040" t="str">
        <f>PROPER(shipments[[#This Row],[delivery_status]])</f>
        <v>Delivered</v>
      </c>
      <c r="K6040" t="s">
        <v>6926</v>
      </c>
    </row>
    <row r="6041" spans="1:11">
      <c r="A6041" t="s">
        <v>12977</v>
      </c>
      <c r="B6041" t="s">
        <v>6589</v>
      </c>
      <c r="C6041" t="s">
        <v>6938</v>
      </c>
      <c r="D6041" s="1">
        <v>44941</v>
      </c>
      <c r="E6041" s="1">
        <v>44943</v>
      </c>
      <c r="F6041" s="1">
        <v>44946</v>
      </c>
      <c r="G6041">
        <v>32.57</v>
      </c>
      <c r="H60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41" t="str">
        <f>IFERROR(INDEX(Raw_orders!G:G, MATCH(shipments[[#This Row],[order_id]],Raw_orders!A:A, 0)), "Unknown")</f>
        <v>Baltics</v>
      </c>
      <c r="J6041" t="str">
        <f>PROPER(shipments[[#This Row],[delivery_status]])</f>
        <v>Delivered</v>
      </c>
      <c r="K6041" t="s">
        <v>6929</v>
      </c>
    </row>
    <row r="6042" spans="1:11">
      <c r="A6042" t="s">
        <v>12978</v>
      </c>
      <c r="B6042" t="s">
        <v>6590</v>
      </c>
      <c r="C6042" t="s">
        <v>6931</v>
      </c>
      <c r="D6042" s="1">
        <v>45494</v>
      </c>
      <c r="E6042" s="1">
        <v>45504</v>
      </c>
      <c r="F6042" s="1">
        <v>45507</v>
      </c>
      <c r="G6042">
        <v>56.57</v>
      </c>
      <c r="H60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42" t="str">
        <f>IFERROR(INDEX(Raw_orders!G:G, MATCH(shipments[[#This Row],[order_id]],Raw_orders!A:A, 0)), "Unknown")</f>
        <v>Nordics</v>
      </c>
      <c r="J6042" t="str">
        <f>PROPER(shipments[[#This Row],[delivery_status]])</f>
        <v>Delivered</v>
      </c>
      <c r="K6042" t="s">
        <v>6929</v>
      </c>
    </row>
    <row r="6043" spans="1:11">
      <c r="A6043" t="s">
        <v>12979</v>
      </c>
      <c r="B6043" t="s">
        <v>6591</v>
      </c>
      <c r="C6043" t="s">
        <v>6938</v>
      </c>
      <c r="D6043" s="1">
        <v>45404</v>
      </c>
      <c r="E6043" s="1">
        <v>45411</v>
      </c>
      <c r="F6043" s="1">
        <v>45413</v>
      </c>
      <c r="G6043">
        <v>28.4</v>
      </c>
      <c r="H60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43" t="str">
        <f>IFERROR(INDEX(Raw_orders!G:G, MATCH(shipments[[#This Row],[order_id]],Raw_orders!A:A, 0)), "Unknown")</f>
        <v>Central Europe</v>
      </c>
      <c r="J6043" t="str">
        <f>PROPER(shipments[[#This Row],[delivery_status]])</f>
        <v>Delivered</v>
      </c>
      <c r="K6043" t="s">
        <v>6926</v>
      </c>
    </row>
    <row r="6044" spans="1:11">
      <c r="A6044" t="s">
        <v>12980</v>
      </c>
      <c r="B6044" t="s">
        <v>6592</v>
      </c>
      <c r="C6044" t="s">
        <v>6938</v>
      </c>
      <c r="D6044" s="1">
        <v>45015</v>
      </c>
      <c r="E6044" s="1">
        <v>45017</v>
      </c>
      <c r="F6044" s="1">
        <v>45022</v>
      </c>
      <c r="G6044">
        <v>56.04</v>
      </c>
      <c r="H60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44" t="str">
        <f>IFERROR(INDEX(Raw_orders!G:G, MATCH(shipments[[#This Row],[order_id]],Raw_orders!A:A, 0)), "Unknown")</f>
        <v>Central Europe</v>
      </c>
      <c r="J6044" t="str">
        <f>PROPER(shipments[[#This Row],[delivery_status]])</f>
        <v>Delivered</v>
      </c>
      <c r="K6044" t="s">
        <v>6922</v>
      </c>
    </row>
    <row r="6045" spans="1:11">
      <c r="A6045" t="s">
        <v>12981</v>
      </c>
      <c r="B6045" t="s">
        <v>6592</v>
      </c>
      <c r="C6045" t="s">
        <v>6935</v>
      </c>
      <c r="D6045" s="1">
        <v>45012</v>
      </c>
      <c r="E6045" s="1">
        <v>45022</v>
      </c>
      <c r="F6045" s="1">
        <v>45023</v>
      </c>
      <c r="G6045">
        <v>41.26</v>
      </c>
      <c r="H60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45" t="str">
        <f>IFERROR(INDEX(Raw_orders!G:G, MATCH(shipments[[#This Row],[order_id]],Raw_orders!A:A, 0)), "Unknown")</f>
        <v>Central Europe</v>
      </c>
      <c r="J6045" t="str">
        <f>PROPER(shipments[[#This Row],[delivery_status]])</f>
        <v>Delivered</v>
      </c>
      <c r="K6045" t="s">
        <v>6926</v>
      </c>
    </row>
    <row r="6046" spans="1:11">
      <c r="A6046" t="s">
        <v>12982</v>
      </c>
      <c r="B6046" t="s">
        <v>6593</v>
      </c>
      <c r="C6046" t="s">
        <v>6925</v>
      </c>
      <c r="D6046" s="1">
        <v>45437</v>
      </c>
      <c r="E6046" s="1">
        <v>45439</v>
      </c>
      <c r="F6046" s="1">
        <v>45439</v>
      </c>
      <c r="G6046">
        <v>8.1999999999999993</v>
      </c>
      <c r="H60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46" t="str">
        <f>IFERROR(INDEX(Raw_orders!G:G, MATCH(shipments[[#This Row],[order_id]],Raw_orders!A:A, 0)), "Unknown")</f>
        <v>Baltics</v>
      </c>
      <c r="J6046" t="str">
        <f>PROPER(shipments[[#This Row],[delivery_status]])</f>
        <v>Delivered</v>
      </c>
      <c r="K6046" t="s">
        <v>6929</v>
      </c>
    </row>
    <row r="6047" spans="1:11">
      <c r="A6047" t="s">
        <v>12983</v>
      </c>
      <c r="B6047" t="s">
        <v>6594</v>
      </c>
      <c r="C6047" t="s">
        <v>6931</v>
      </c>
      <c r="D6047" s="1">
        <v>45292</v>
      </c>
      <c r="E6047" s="1">
        <v>45297</v>
      </c>
      <c r="F6047" s="1">
        <v>45302</v>
      </c>
      <c r="G6047">
        <v>9.8699999999999992</v>
      </c>
      <c r="H60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47" t="str">
        <f>IFERROR(INDEX(Raw_orders!G:G, MATCH(shipments[[#This Row],[order_id]],Raw_orders!A:A, 0)), "Unknown")</f>
        <v>Central Europe</v>
      </c>
      <c r="J6047" t="str">
        <f>PROPER(shipments[[#This Row],[delivery_status]])</f>
        <v>Delivered</v>
      </c>
      <c r="K6047" t="s">
        <v>6926</v>
      </c>
    </row>
    <row r="6048" spans="1:11">
      <c r="A6048" t="s">
        <v>12984</v>
      </c>
      <c r="B6048" t="s">
        <v>6595</v>
      </c>
      <c r="C6048" t="s">
        <v>6931</v>
      </c>
      <c r="D6048" s="1">
        <v>44928</v>
      </c>
      <c r="E6048" s="1">
        <v>44930</v>
      </c>
      <c r="F6048" s="1"/>
      <c r="G6048">
        <v>47.45</v>
      </c>
      <c r="H60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6048" t="str">
        <f>IFERROR(INDEX(Raw_orders!G:G, MATCH(shipments[[#This Row],[order_id]],Raw_orders!A:A, 0)), "Unknown")</f>
        <v>Unknown</v>
      </c>
      <c r="J6048" t="str">
        <f>PROPER(shipments[[#This Row],[delivery_status]])</f>
        <v>Cancelled</v>
      </c>
      <c r="K6048" t="s">
        <v>6972</v>
      </c>
    </row>
    <row r="6049" spans="1:11">
      <c r="A6049" t="s">
        <v>12985</v>
      </c>
      <c r="B6049" t="s">
        <v>6596</v>
      </c>
      <c r="C6049" t="s">
        <v>6938</v>
      </c>
      <c r="D6049" s="1">
        <v>45296</v>
      </c>
      <c r="E6049" s="1">
        <v>45306</v>
      </c>
      <c r="F6049" s="1">
        <v>45311</v>
      </c>
      <c r="G6049">
        <v>8.7799999999999994</v>
      </c>
      <c r="H60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49" t="str">
        <f>IFERROR(INDEX(Raw_orders!G:G, MATCH(shipments[[#This Row],[order_id]],Raw_orders!A:A, 0)), "Unknown")</f>
        <v>Central Europe</v>
      </c>
      <c r="J6049" t="str">
        <f>PROPER(shipments[[#This Row],[delivery_status]])</f>
        <v>Delivered</v>
      </c>
      <c r="K6049" t="s">
        <v>6922</v>
      </c>
    </row>
    <row r="6050" spans="1:11">
      <c r="A6050" t="s">
        <v>12986</v>
      </c>
      <c r="B6050" t="s">
        <v>6597</v>
      </c>
      <c r="C6050" t="s">
        <v>6925</v>
      </c>
      <c r="D6050" s="1">
        <v>45133</v>
      </c>
      <c r="E6050" s="1">
        <v>45143</v>
      </c>
      <c r="F6050" s="1">
        <v>45143</v>
      </c>
      <c r="G6050">
        <v>13.94</v>
      </c>
      <c r="H60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50" t="str">
        <f>IFERROR(INDEX(Raw_orders!G:G, MATCH(shipments[[#This Row],[order_id]],Raw_orders!A:A, 0)), "Unknown")</f>
        <v>Central Europe</v>
      </c>
      <c r="J6050" t="str">
        <f>PROPER(shipments[[#This Row],[delivery_status]])</f>
        <v>Delivered</v>
      </c>
      <c r="K6050" t="s">
        <v>6926</v>
      </c>
    </row>
    <row r="6051" spans="1:11">
      <c r="A6051" t="s">
        <v>12987</v>
      </c>
      <c r="B6051" t="s">
        <v>6598</v>
      </c>
      <c r="C6051" t="s">
        <v>6935</v>
      </c>
      <c r="D6051" s="1">
        <v>45568</v>
      </c>
      <c r="E6051" s="1">
        <v>45571</v>
      </c>
      <c r="F6051" s="1">
        <v>45579</v>
      </c>
      <c r="G6051">
        <v>22.51</v>
      </c>
      <c r="H60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51" t="str">
        <f>IFERROR(INDEX(Raw_orders!G:G, MATCH(shipments[[#This Row],[order_id]],Raw_orders!A:A, 0)), "Unknown")</f>
        <v>Baltics</v>
      </c>
      <c r="J6051" t="str">
        <f>PROPER(shipments[[#This Row],[delivery_status]])</f>
        <v>Delivered</v>
      </c>
      <c r="K6051" t="s">
        <v>6922</v>
      </c>
    </row>
    <row r="6052" spans="1:11">
      <c r="A6052" t="s">
        <v>12988</v>
      </c>
      <c r="B6052" t="s">
        <v>6599</v>
      </c>
      <c r="C6052" t="s">
        <v>6956</v>
      </c>
      <c r="D6052" s="1">
        <v>45212</v>
      </c>
      <c r="E6052" s="1">
        <v>45214</v>
      </c>
      <c r="F6052" s="1">
        <v>45217</v>
      </c>
      <c r="G6052">
        <v>25.94</v>
      </c>
      <c r="H60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52" t="str">
        <f>IFERROR(INDEX(Raw_orders!G:G, MATCH(shipments[[#This Row],[order_id]],Raw_orders!A:A, 0)), "Unknown")</f>
        <v>Central Europe</v>
      </c>
      <c r="J6052" t="str">
        <f>PROPER(shipments[[#This Row],[delivery_status]])</f>
        <v>Delivered</v>
      </c>
      <c r="K6052" t="s">
        <v>6922</v>
      </c>
    </row>
    <row r="6053" spans="1:11">
      <c r="A6053" t="s">
        <v>12989</v>
      </c>
      <c r="B6053" t="s">
        <v>6600</v>
      </c>
      <c r="C6053" t="s">
        <v>6925</v>
      </c>
      <c r="D6053" s="1">
        <v>45550</v>
      </c>
      <c r="E6053" s="1">
        <v>45560</v>
      </c>
      <c r="F6053" s="1">
        <v>45561</v>
      </c>
      <c r="G6053">
        <v>51.07</v>
      </c>
      <c r="H60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53" t="str">
        <f>IFERROR(INDEX(Raw_orders!G:G, MATCH(shipments[[#This Row],[order_id]],Raw_orders!A:A, 0)), "Unknown")</f>
        <v>Nordics</v>
      </c>
      <c r="J6053" t="str">
        <f>PROPER(shipments[[#This Row],[delivery_status]])</f>
        <v>Delivered</v>
      </c>
      <c r="K6053" t="s">
        <v>6926</v>
      </c>
    </row>
    <row r="6054" spans="1:11">
      <c r="A6054" t="s">
        <v>12990</v>
      </c>
      <c r="B6054" t="s">
        <v>6601</v>
      </c>
      <c r="C6054" t="s">
        <v>6925</v>
      </c>
      <c r="D6054" s="1">
        <v>45220</v>
      </c>
      <c r="E6054" s="1">
        <v>45227</v>
      </c>
      <c r="F6054" s="1">
        <v>45230</v>
      </c>
      <c r="G6054">
        <v>44.98</v>
      </c>
      <c r="H60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54" t="str">
        <f>IFERROR(INDEX(Raw_orders!G:G, MATCH(shipments[[#This Row],[order_id]],Raw_orders!A:A, 0)), "Unknown")</f>
        <v>Baltics</v>
      </c>
      <c r="J6054" t="str">
        <f>PROPER(shipments[[#This Row],[delivery_status]])</f>
        <v>Delivered</v>
      </c>
      <c r="K6054" t="s">
        <v>6929</v>
      </c>
    </row>
    <row r="6055" spans="1:11">
      <c r="A6055" t="s">
        <v>12991</v>
      </c>
      <c r="B6055" t="s">
        <v>6601</v>
      </c>
      <c r="C6055" t="s">
        <v>6931</v>
      </c>
      <c r="D6055" s="1">
        <v>45221</v>
      </c>
      <c r="E6055" s="1">
        <v>45224</v>
      </c>
      <c r="F6055" s="1">
        <v>45223</v>
      </c>
      <c r="G6055">
        <v>15.95</v>
      </c>
      <c r="H60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55" t="str">
        <f>IFERROR(INDEX(Raw_orders!G:G, MATCH(shipments[[#This Row],[order_id]],Raw_orders!A:A, 0)), "Unknown")</f>
        <v>Baltics</v>
      </c>
      <c r="J6055" t="str">
        <f>PROPER(shipments[[#This Row],[delivery_status]])</f>
        <v>Delivered</v>
      </c>
      <c r="K6055" t="s">
        <v>6929</v>
      </c>
    </row>
    <row r="6056" spans="1:11">
      <c r="A6056" t="s">
        <v>12992</v>
      </c>
      <c r="B6056" t="s">
        <v>6602</v>
      </c>
      <c r="C6056" t="s">
        <v>6925</v>
      </c>
      <c r="D6056" s="1">
        <v>45378</v>
      </c>
      <c r="E6056" s="1">
        <v>45385</v>
      </c>
      <c r="F6056" s="1">
        <v>45385</v>
      </c>
      <c r="G6056">
        <v>54.92</v>
      </c>
      <c r="H60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56" t="str">
        <f>IFERROR(INDEX(Raw_orders!G:G, MATCH(shipments[[#This Row],[order_id]],Raw_orders!A:A, 0)), "Unknown")</f>
        <v>Nordics</v>
      </c>
      <c r="J6056" t="str">
        <f>PROPER(shipments[[#This Row],[delivery_status]])</f>
        <v>Delivered</v>
      </c>
      <c r="K6056" t="s">
        <v>6929</v>
      </c>
    </row>
    <row r="6057" spans="1:11">
      <c r="A6057" t="s">
        <v>12993</v>
      </c>
      <c r="B6057" t="s">
        <v>6603</v>
      </c>
      <c r="C6057" t="s">
        <v>6928</v>
      </c>
      <c r="D6057" s="1">
        <v>44934</v>
      </c>
      <c r="E6057" s="1">
        <v>44936</v>
      </c>
      <c r="F6057" s="1">
        <v>44936</v>
      </c>
      <c r="G6057">
        <v>58.73</v>
      </c>
      <c r="H60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57" t="str">
        <f>IFERROR(INDEX(Raw_orders!G:G, MATCH(shipments[[#This Row],[order_id]],Raw_orders!A:A, 0)), "Unknown")</f>
        <v>Central Europe</v>
      </c>
      <c r="J6057" t="str">
        <f>PROPER(shipments[[#This Row],[delivery_status]])</f>
        <v>Delivered</v>
      </c>
      <c r="K6057" t="s">
        <v>6922</v>
      </c>
    </row>
    <row r="6058" spans="1:11">
      <c r="A6058" t="s">
        <v>12994</v>
      </c>
      <c r="B6058" t="s">
        <v>6604</v>
      </c>
      <c r="C6058" t="s">
        <v>6928</v>
      </c>
      <c r="D6058" s="1">
        <v>44955</v>
      </c>
      <c r="E6058" s="1">
        <v>44962</v>
      </c>
      <c r="F6058" s="1">
        <v>44962</v>
      </c>
      <c r="G6058">
        <v>55.87</v>
      </c>
      <c r="H60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58" t="str">
        <f>IFERROR(INDEX(Raw_orders!G:G, MATCH(shipments[[#This Row],[order_id]],Raw_orders!A:A, 0)), "Unknown")</f>
        <v>Central Europe</v>
      </c>
      <c r="J6058" t="str">
        <f>PROPER(shipments[[#This Row],[delivery_status]])</f>
        <v>Delivered</v>
      </c>
      <c r="K6058" t="s">
        <v>6922</v>
      </c>
    </row>
    <row r="6059" spans="1:11">
      <c r="A6059" t="s">
        <v>12995</v>
      </c>
      <c r="B6059" t="s">
        <v>6605</v>
      </c>
      <c r="C6059" t="s">
        <v>6928</v>
      </c>
      <c r="D6059" s="1">
        <v>45031</v>
      </c>
      <c r="E6059" s="1">
        <v>45034</v>
      </c>
      <c r="F6059" s="1">
        <v>45034</v>
      </c>
      <c r="G6059">
        <v>52.27</v>
      </c>
      <c r="H60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59" t="str">
        <f>IFERROR(INDEX(Raw_orders!G:G, MATCH(shipments[[#This Row],[order_id]],Raw_orders!A:A, 0)), "Unknown")</f>
        <v>Nordics</v>
      </c>
      <c r="J6059" t="str">
        <f>PROPER(shipments[[#This Row],[delivery_status]])</f>
        <v>Delivered</v>
      </c>
      <c r="K6059" t="s">
        <v>6922</v>
      </c>
    </row>
    <row r="6060" spans="1:11">
      <c r="A6060" t="s">
        <v>12996</v>
      </c>
      <c r="B6060" t="s">
        <v>6605</v>
      </c>
      <c r="C6060" t="s">
        <v>6940</v>
      </c>
      <c r="D6060" s="1">
        <v>45031</v>
      </c>
      <c r="E6060" s="1">
        <v>45034</v>
      </c>
      <c r="F6060" s="1">
        <v>45042</v>
      </c>
      <c r="G6060">
        <v>17.21</v>
      </c>
      <c r="H60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60" t="str">
        <f>IFERROR(INDEX(Raw_orders!G:G, MATCH(shipments[[#This Row],[order_id]],Raw_orders!A:A, 0)), "Unknown")</f>
        <v>Nordics</v>
      </c>
      <c r="J6060" t="str">
        <f>PROPER(shipments[[#This Row],[delivery_status]])</f>
        <v>Delivered</v>
      </c>
      <c r="K6060" t="s">
        <v>6922</v>
      </c>
    </row>
    <row r="6061" spans="1:11">
      <c r="A6061" t="s">
        <v>12997</v>
      </c>
      <c r="B6061" t="s">
        <v>6606</v>
      </c>
      <c r="C6061" t="s">
        <v>6925</v>
      </c>
      <c r="D6061" s="1">
        <v>45599</v>
      </c>
      <c r="E6061" s="1">
        <v>45609</v>
      </c>
      <c r="F6061" s="1">
        <v>45610</v>
      </c>
      <c r="G6061">
        <v>63.16</v>
      </c>
      <c r="H60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61" t="str">
        <f>IFERROR(INDEX(Raw_orders!G:G, MATCH(shipments[[#This Row],[order_id]],Raw_orders!A:A, 0)), "Unknown")</f>
        <v>Nordics</v>
      </c>
      <c r="J6061" t="str">
        <f>PROPER(shipments[[#This Row],[delivery_status]])</f>
        <v>Delivered</v>
      </c>
      <c r="K6061" t="s">
        <v>6922</v>
      </c>
    </row>
    <row r="6062" spans="1:11">
      <c r="A6062" t="s">
        <v>12998</v>
      </c>
      <c r="B6062" t="s">
        <v>6607</v>
      </c>
      <c r="C6062" t="s">
        <v>6931</v>
      </c>
      <c r="D6062" s="1">
        <v>45065</v>
      </c>
      <c r="E6062" s="1">
        <v>45075</v>
      </c>
      <c r="F6062" s="1">
        <v>45083</v>
      </c>
      <c r="G6062">
        <v>53.81</v>
      </c>
      <c r="H60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62" t="str">
        <f>IFERROR(INDEX(Raw_orders!G:G, MATCH(shipments[[#This Row],[order_id]],Raw_orders!A:A, 0)), "Unknown")</f>
        <v>Central Europe</v>
      </c>
      <c r="J6062" t="str">
        <f>PROPER(shipments[[#This Row],[delivery_status]])</f>
        <v>Delivered</v>
      </c>
      <c r="K6062" t="s">
        <v>6929</v>
      </c>
    </row>
    <row r="6063" spans="1:11">
      <c r="A6063" t="s">
        <v>12999</v>
      </c>
      <c r="B6063" t="s">
        <v>6608</v>
      </c>
      <c r="C6063" t="s">
        <v>6928</v>
      </c>
      <c r="D6063" s="1">
        <v>45388</v>
      </c>
      <c r="E6063" s="1">
        <v>45395</v>
      </c>
      <c r="F6063" s="1">
        <v>45395</v>
      </c>
      <c r="G6063">
        <v>51.18</v>
      </c>
      <c r="H60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63" t="str">
        <f>IFERROR(INDEX(Raw_orders!G:G, MATCH(shipments[[#This Row],[order_id]],Raw_orders!A:A, 0)), "Unknown")</f>
        <v>Nordics</v>
      </c>
      <c r="J6063" t="str">
        <f>PROPER(shipments[[#This Row],[delivery_status]])</f>
        <v>Delivered</v>
      </c>
      <c r="K6063" t="s">
        <v>6926</v>
      </c>
    </row>
    <row r="6064" spans="1:11">
      <c r="A6064" t="s">
        <v>13000</v>
      </c>
      <c r="B6064" t="s">
        <v>6609</v>
      </c>
      <c r="C6064" t="s">
        <v>6931</v>
      </c>
      <c r="D6064" s="1">
        <v>45603</v>
      </c>
      <c r="E6064" s="1">
        <v>45606</v>
      </c>
      <c r="F6064" s="1">
        <v>45608</v>
      </c>
      <c r="G6064">
        <v>55.4</v>
      </c>
      <c r="H60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64" t="str">
        <f>IFERROR(INDEX(Raw_orders!G:G, MATCH(shipments[[#This Row],[order_id]],Raw_orders!A:A, 0)), "Unknown")</f>
        <v>Central Europe</v>
      </c>
      <c r="J6064" t="str">
        <f>PROPER(shipments[[#This Row],[delivery_status]])</f>
        <v>Delivered</v>
      </c>
      <c r="K6064" t="s">
        <v>6922</v>
      </c>
    </row>
    <row r="6065" spans="1:11">
      <c r="A6065" t="s">
        <v>13001</v>
      </c>
      <c r="B6065" t="s">
        <v>6610</v>
      </c>
      <c r="C6065" t="s">
        <v>6921</v>
      </c>
      <c r="D6065" s="1">
        <v>45359</v>
      </c>
      <c r="E6065" s="1">
        <v>45366</v>
      </c>
      <c r="F6065" s="1">
        <v>45368</v>
      </c>
      <c r="G6065">
        <v>31.64</v>
      </c>
      <c r="H60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65" t="str">
        <f>IFERROR(INDEX(Raw_orders!G:G, MATCH(shipments[[#This Row],[order_id]],Raw_orders!A:A, 0)), "Unknown")</f>
        <v>Central Europe</v>
      </c>
      <c r="J6065" t="str">
        <f>PROPER(shipments[[#This Row],[delivery_status]])</f>
        <v>Delivered</v>
      </c>
      <c r="K6065" t="s">
        <v>6926</v>
      </c>
    </row>
    <row r="6066" spans="1:11">
      <c r="A6066" t="s">
        <v>13002</v>
      </c>
      <c r="B6066" t="s">
        <v>6611</v>
      </c>
      <c r="C6066" t="s">
        <v>6931</v>
      </c>
      <c r="D6066" s="1">
        <v>45496</v>
      </c>
      <c r="E6066" s="1">
        <v>45506</v>
      </c>
      <c r="F6066" s="1">
        <v>45506</v>
      </c>
      <c r="G6066">
        <v>5.83</v>
      </c>
      <c r="H60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66" t="str">
        <f>IFERROR(INDEX(Raw_orders!G:G, MATCH(shipments[[#This Row],[order_id]],Raw_orders!A:A, 0)), "Unknown")</f>
        <v>Nordics</v>
      </c>
      <c r="J6066" t="str">
        <f>PROPER(shipments[[#This Row],[delivery_status]])</f>
        <v>Delivered</v>
      </c>
      <c r="K6066" t="s">
        <v>6926</v>
      </c>
    </row>
    <row r="6067" spans="1:11">
      <c r="A6067" t="s">
        <v>13003</v>
      </c>
      <c r="B6067" t="s">
        <v>6612</v>
      </c>
      <c r="C6067" t="s">
        <v>6928</v>
      </c>
      <c r="D6067" s="1">
        <v>45049</v>
      </c>
      <c r="E6067" s="1">
        <v>45052</v>
      </c>
      <c r="F6067" s="1">
        <v>45055</v>
      </c>
      <c r="G6067">
        <v>50.74</v>
      </c>
      <c r="H60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67" t="str">
        <f>IFERROR(INDEX(Raw_orders!G:G, MATCH(shipments[[#This Row],[order_id]],Raw_orders!A:A, 0)), "Unknown")</f>
        <v>Baltics</v>
      </c>
      <c r="J6067" t="str">
        <f>PROPER(shipments[[#This Row],[delivery_status]])</f>
        <v>Delivered</v>
      </c>
      <c r="K6067" t="s">
        <v>6926</v>
      </c>
    </row>
    <row r="6068" spans="1:11">
      <c r="A6068" t="s">
        <v>13004</v>
      </c>
      <c r="B6068" t="s">
        <v>6613</v>
      </c>
      <c r="C6068" t="s">
        <v>6928</v>
      </c>
      <c r="D6068" s="1">
        <v>45091</v>
      </c>
      <c r="E6068" s="1">
        <v>45093</v>
      </c>
      <c r="F6068" s="1"/>
      <c r="G6068">
        <v>63.97</v>
      </c>
      <c r="H60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6068" t="str">
        <f>IFERROR(INDEX(Raw_orders!G:G, MATCH(shipments[[#This Row],[order_id]],Raw_orders!A:A, 0)), "Unknown")</f>
        <v>Baltics</v>
      </c>
      <c r="J6068" t="str">
        <f>PROPER(shipments[[#This Row],[delivery_status]])</f>
        <v>Cancelled</v>
      </c>
      <c r="K6068" t="s">
        <v>6963</v>
      </c>
    </row>
    <row r="6069" spans="1:11">
      <c r="A6069" t="s">
        <v>13005</v>
      </c>
      <c r="B6069" t="s">
        <v>6614</v>
      </c>
      <c r="C6069" t="s">
        <v>6938</v>
      </c>
      <c r="D6069" s="1">
        <v>45268</v>
      </c>
      <c r="E6069" s="1">
        <v>45278</v>
      </c>
      <c r="F6069" s="1">
        <v>45278</v>
      </c>
      <c r="G6069">
        <v>42.52</v>
      </c>
      <c r="H60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69" t="str">
        <f>IFERROR(INDEX(Raw_orders!G:G, MATCH(shipments[[#This Row],[order_id]],Raw_orders!A:A, 0)), "Unknown")</f>
        <v>Baltics</v>
      </c>
      <c r="J6069" t="str">
        <f>PROPER(shipments[[#This Row],[delivery_status]])</f>
        <v>Delivered</v>
      </c>
      <c r="K6069" t="s">
        <v>6929</v>
      </c>
    </row>
    <row r="6070" spans="1:11">
      <c r="A6070" t="s">
        <v>13006</v>
      </c>
      <c r="B6070" t="s">
        <v>6615</v>
      </c>
      <c r="C6070" t="s">
        <v>6940</v>
      </c>
      <c r="D6070" s="1">
        <v>45323</v>
      </c>
      <c r="E6070" s="1">
        <v>45326</v>
      </c>
      <c r="F6070" s="1">
        <v>45328</v>
      </c>
      <c r="G6070">
        <v>64.94</v>
      </c>
      <c r="H60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70" t="str">
        <f>IFERROR(INDEX(Raw_orders!G:G, MATCH(shipments[[#This Row],[order_id]],Raw_orders!A:A, 0)), "Unknown")</f>
        <v>Baltics</v>
      </c>
      <c r="J6070" t="str">
        <f>PROPER(shipments[[#This Row],[delivery_status]])</f>
        <v>Delivered</v>
      </c>
      <c r="K6070" t="s">
        <v>6922</v>
      </c>
    </row>
    <row r="6071" spans="1:11">
      <c r="A6071" t="s">
        <v>13007</v>
      </c>
      <c r="B6071" t="s">
        <v>6616</v>
      </c>
      <c r="C6071" t="s">
        <v>6931</v>
      </c>
      <c r="D6071" s="1">
        <v>45147</v>
      </c>
      <c r="E6071" s="1">
        <v>45154</v>
      </c>
      <c r="F6071" s="1">
        <v>45157</v>
      </c>
      <c r="G6071">
        <v>9.81</v>
      </c>
      <c r="H60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71" t="str">
        <f>IFERROR(INDEX(Raw_orders!G:G, MATCH(shipments[[#This Row],[order_id]],Raw_orders!A:A, 0)), "Unknown")</f>
        <v>Nordics</v>
      </c>
      <c r="J6071" t="str">
        <f>PROPER(shipments[[#This Row],[delivery_status]])</f>
        <v>Delivered</v>
      </c>
      <c r="K6071" t="s">
        <v>6922</v>
      </c>
    </row>
    <row r="6072" spans="1:11">
      <c r="A6072" t="s">
        <v>13008</v>
      </c>
      <c r="B6072" t="s">
        <v>6617</v>
      </c>
      <c r="C6072" t="s">
        <v>6938</v>
      </c>
      <c r="D6072" s="1">
        <v>45265</v>
      </c>
      <c r="E6072" s="1">
        <v>45275</v>
      </c>
      <c r="F6072" s="1">
        <v>45275</v>
      </c>
      <c r="G6072">
        <v>6.49</v>
      </c>
      <c r="H60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72" t="str">
        <f>IFERROR(INDEX(Raw_orders!G:G, MATCH(shipments[[#This Row],[order_id]],Raw_orders!A:A, 0)), "Unknown")</f>
        <v>Nordics</v>
      </c>
      <c r="J6072" t="str">
        <f>PROPER(shipments[[#This Row],[delivery_status]])</f>
        <v>Delivered</v>
      </c>
      <c r="K6072" t="s">
        <v>6922</v>
      </c>
    </row>
    <row r="6073" spans="1:11">
      <c r="A6073" t="s">
        <v>13009</v>
      </c>
      <c r="B6073" t="s">
        <v>6618</v>
      </c>
      <c r="C6073" t="s">
        <v>6921</v>
      </c>
      <c r="D6073" s="1">
        <v>45545</v>
      </c>
      <c r="E6073" s="1">
        <v>45555</v>
      </c>
      <c r="F6073" s="1">
        <v>45554</v>
      </c>
      <c r="G6073">
        <v>37.53</v>
      </c>
      <c r="H60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73" t="str">
        <f>IFERROR(INDEX(Raw_orders!G:G, MATCH(shipments[[#This Row],[order_id]],Raw_orders!A:A, 0)), "Unknown")</f>
        <v>Nordics</v>
      </c>
      <c r="J6073" t="str">
        <f>PROPER(shipments[[#This Row],[delivery_status]])</f>
        <v>Delivered</v>
      </c>
      <c r="K6073" t="s">
        <v>6922</v>
      </c>
    </row>
    <row r="6074" spans="1:11">
      <c r="A6074" t="s">
        <v>13010</v>
      </c>
      <c r="B6074" t="s">
        <v>6619</v>
      </c>
      <c r="C6074" t="s">
        <v>6931</v>
      </c>
      <c r="D6074" s="1">
        <v>45258</v>
      </c>
      <c r="E6074" s="1">
        <v>45268</v>
      </c>
      <c r="F6074" s="1">
        <v>45276</v>
      </c>
      <c r="G6074">
        <v>56.01</v>
      </c>
      <c r="H60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74" t="str">
        <f>IFERROR(INDEX(Raw_orders!G:G, MATCH(shipments[[#This Row],[order_id]],Raw_orders!A:A, 0)), "Unknown")</f>
        <v>Baltics</v>
      </c>
      <c r="J6074" t="str">
        <f>PROPER(shipments[[#This Row],[delivery_status]])</f>
        <v>Delivered</v>
      </c>
      <c r="K6074" t="s">
        <v>6929</v>
      </c>
    </row>
    <row r="6075" spans="1:11">
      <c r="A6075" t="s">
        <v>13011</v>
      </c>
      <c r="B6075" t="s">
        <v>6620</v>
      </c>
      <c r="C6075" t="s">
        <v>6935</v>
      </c>
      <c r="D6075" s="1">
        <v>44978</v>
      </c>
      <c r="E6075" s="1">
        <v>44981</v>
      </c>
      <c r="F6075" s="1">
        <v>44982</v>
      </c>
      <c r="G6075">
        <v>43.75</v>
      </c>
      <c r="H60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75" t="str">
        <f>IFERROR(INDEX(Raw_orders!G:G, MATCH(shipments[[#This Row],[order_id]],Raw_orders!A:A, 0)), "Unknown")</f>
        <v>Central Europe</v>
      </c>
      <c r="J6075" t="str">
        <f>PROPER(shipments[[#This Row],[delivery_status]])</f>
        <v>Delivered</v>
      </c>
      <c r="K6075" t="s">
        <v>6922</v>
      </c>
    </row>
    <row r="6076" spans="1:11">
      <c r="A6076" t="s">
        <v>13012</v>
      </c>
      <c r="B6076" t="s">
        <v>6620</v>
      </c>
      <c r="C6076" t="s">
        <v>6921</v>
      </c>
      <c r="D6076" s="1">
        <v>44976</v>
      </c>
      <c r="E6076" s="1">
        <v>44981</v>
      </c>
      <c r="F6076" s="1">
        <v>44982</v>
      </c>
      <c r="G6076">
        <v>46.97</v>
      </c>
      <c r="H60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76" t="str">
        <f>IFERROR(INDEX(Raw_orders!G:G, MATCH(shipments[[#This Row],[order_id]],Raw_orders!A:A, 0)), "Unknown")</f>
        <v>Central Europe</v>
      </c>
      <c r="J6076" t="str">
        <f>PROPER(shipments[[#This Row],[delivery_status]])</f>
        <v>Delivered</v>
      </c>
      <c r="K6076" t="s">
        <v>6922</v>
      </c>
    </row>
    <row r="6077" spans="1:11">
      <c r="A6077" t="s">
        <v>13013</v>
      </c>
      <c r="B6077" t="s">
        <v>6621</v>
      </c>
      <c r="C6077" t="s">
        <v>6935</v>
      </c>
      <c r="D6077" s="1">
        <v>45456</v>
      </c>
      <c r="E6077" s="1">
        <v>45463</v>
      </c>
      <c r="F6077" s="1">
        <v>45463</v>
      </c>
      <c r="G6077">
        <v>38.29</v>
      </c>
      <c r="H60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77" t="str">
        <f>IFERROR(INDEX(Raw_orders!G:G, MATCH(shipments[[#This Row],[order_id]],Raw_orders!A:A, 0)), "Unknown")</f>
        <v>Nordics</v>
      </c>
      <c r="J6077" t="str">
        <f>PROPER(shipments[[#This Row],[delivery_status]])</f>
        <v>Delivered</v>
      </c>
      <c r="K6077" t="s">
        <v>6926</v>
      </c>
    </row>
    <row r="6078" spans="1:11">
      <c r="A6078" t="s">
        <v>13014</v>
      </c>
      <c r="B6078" t="s">
        <v>6622</v>
      </c>
      <c r="C6078" t="s">
        <v>6940</v>
      </c>
      <c r="D6078" s="1">
        <v>44930</v>
      </c>
      <c r="E6078" s="1">
        <v>44933</v>
      </c>
      <c r="F6078" s="1">
        <v>44933</v>
      </c>
      <c r="G6078">
        <v>21.65</v>
      </c>
      <c r="H60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78" t="str">
        <f>IFERROR(INDEX(Raw_orders!G:G, MATCH(shipments[[#This Row],[order_id]],Raw_orders!A:A, 0)), "Unknown")</f>
        <v>Baltics</v>
      </c>
      <c r="J6078" t="str">
        <f>PROPER(shipments[[#This Row],[delivery_status]])</f>
        <v>Delivered</v>
      </c>
      <c r="K6078" t="s">
        <v>6922</v>
      </c>
    </row>
    <row r="6079" spans="1:11">
      <c r="A6079" t="s">
        <v>13015</v>
      </c>
      <c r="B6079" t="s">
        <v>6623</v>
      </c>
      <c r="C6079" t="s">
        <v>6940</v>
      </c>
      <c r="D6079" s="1">
        <v>45030</v>
      </c>
      <c r="E6079" s="1">
        <v>45035</v>
      </c>
      <c r="F6079" s="1">
        <v>45035</v>
      </c>
      <c r="G6079">
        <v>30.04</v>
      </c>
      <c r="H60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79" t="str">
        <f>IFERROR(INDEX(Raw_orders!G:G, MATCH(shipments[[#This Row],[order_id]],Raw_orders!A:A, 0)), "Unknown")</f>
        <v>Baltics</v>
      </c>
      <c r="J6079" t="str">
        <f>PROPER(shipments[[#This Row],[delivery_status]])</f>
        <v>Delivered</v>
      </c>
      <c r="K6079" t="s">
        <v>6922</v>
      </c>
    </row>
    <row r="6080" spans="1:11">
      <c r="A6080" t="s">
        <v>13016</v>
      </c>
      <c r="B6080" t="s">
        <v>6624</v>
      </c>
      <c r="C6080" t="s">
        <v>6928</v>
      </c>
      <c r="D6080" s="1">
        <v>45323</v>
      </c>
      <c r="E6080" s="1">
        <v>45328</v>
      </c>
      <c r="F6080" s="1">
        <v>45333</v>
      </c>
      <c r="G6080">
        <v>7.8</v>
      </c>
      <c r="H60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80" t="str">
        <f>IFERROR(INDEX(Raw_orders!G:G, MATCH(shipments[[#This Row],[order_id]],Raw_orders!A:A, 0)), "Unknown")</f>
        <v>Baltics</v>
      </c>
      <c r="J6080" t="str">
        <f>PROPER(shipments[[#This Row],[delivery_status]])</f>
        <v>Delivered</v>
      </c>
      <c r="K6080" t="s">
        <v>6922</v>
      </c>
    </row>
    <row r="6081" spans="1:11">
      <c r="A6081" t="s">
        <v>13017</v>
      </c>
      <c r="B6081" t="s">
        <v>6625</v>
      </c>
      <c r="C6081" t="s">
        <v>6921</v>
      </c>
      <c r="D6081" s="1">
        <v>45516</v>
      </c>
      <c r="E6081" s="1">
        <v>45518</v>
      </c>
      <c r="F6081" s="1">
        <v>45518</v>
      </c>
      <c r="G6081">
        <v>6.67</v>
      </c>
      <c r="H60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81" t="str">
        <f>IFERROR(INDEX(Raw_orders!G:G, MATCH(shipments[[#This Row],[order_id]],Raw_orders!A:A, 0)), "Unknown")</f>
        <v>Nordics</v>
      </c>
      <c r="J6081" t="str">
        <f>PROPER(shipments[[#This Row],[delivery_status]])</f>
        <v>Delivered</v>
      </c>
      <c r="K6081" t="s">
        <v>6926</v>
      </c>
    </row>
    <row r="6082" spans="1:11">
      <c r="A6082" t="s">
        <v>13018</v>
      </c>
      <c r="B6082" t="s">
        <v>6626</v>
      </c>
      <c r="C6082" t="s">
        <v>6925</v>
      </c>
      <c r="D6082" s="1">
        <v>45075</v>
      </c>
      <c r="E6082" s="1">
        <v>45080</v>
      </c>
      <c r="F6082" s="1">
        <v>45083</v>
      </c>
      <c r="G6082">
        <v>57.73</v>
      </c>
      <c r="H60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82" t="str">
        <f>IFERROR(INDEX(Raw_orders!G:G, MATCH(shipments[[#This Row],[order_id]],Raw_orders!A:A, 0)), "Unknown")</f>
        <v>Central Europe</v>
      </c>
      <c r="J6082" t="str">
        <f>PROPER(shipments[[#This Row],[delivery_status]])</f>
        <v>Delivered</v>
      </c>
      <c r="K6082" t="s">
        <v>6926</v>
      </c>
    </row>
    <row r="6083" spans="1:11">
      <c r="A6083" t="s">
        <v>13019</v>
      </c>
      <c r="B6083" t="s">
        <v>6627</v>
      </c>
      <c r="C6083" t="s">
        <v>6949</v>
      </c>
      <c r="D6083" s="1">
        <v>45111</v>
      </c>
      <c r="E6083" s="1">
        <v>45113</v>
      </c>
      <c r="F6083" s="1">
        <v>45113</v>
      </c>
      <c r="G6083">
        <v>7.67</v>
      </c>
      <c r="H60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83" t="str">
        <f>IFERROR(INDEX(Raw_orders!G:G, MATCH(shipments[[#This Row],[order_id]],Raw_orders!A:A, 0)), "Unknown")</f>
        <v>Nordics</v>
      </c>
      <c r="J6083" t="str">
        <f>PROPER(shipments[[#This Row],[delivery_status]])</f>
        <v>Delivered</v>
      </c>
      <c r="K6083" t="s">
        <v>6922</v>
      </c>
    </row>
    <row r="6084" spans="1:11">
      <c r="A6084" t="s">
        <v>13020</v>
      </c>
      <c r="B6084" t="s">
        <v>6628</v>
      </c>
      <c r="C6084" t="s">
        <v>6928</v>
      </c>
      <c r="D6084" s="1">
        <v>45486</v>
      </c>
      <c r="E6084" s="1">
        <v>45491</v>
      </c>
      <c r="F6084" s="1">
        <v>45491</v>
      </c>
      <c r="G6084">
        <v>45.67</v>
      </c>
      <c r="H60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84" t="str">
        <f>IFERROR(INDEX(Raw_orders!G:G, MATCH(shipments[[#This Row],[order_id]],Raw_orders!A:A, 0)), "Unknown")</f>
        <v>Nordics</v>
      </c>
      <c r="J6084" t="str">
        <f>PROPER(shipments[[#This Row],[delivery_status]])</f>
        <v>Delivered</v>
      </c>
      <c r="K6084" t="s">
        <v>6929</v>
      </c>
    </row>
    <row r="6085" spans="1:11">
      <c r="A6085" t="s">
        <v>13021</v>
      </c>
      <c r="B6085" t="s">
        <v>6629</v>
      </c>
      <c r="C6085" t="s">
        <v>6928</v>
      </c>
      <c r="D6085" s="1">
        <v>45298</v>
      </c>
      <c r="E6085" s="1">
        <v>45305</v>
      </c>
      <c r="F6085" s="1">
        <v>45305</v>
      </c>
      <c r="G6085">
        <v>30.08</v>
      </c>
      <c r="H60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85" t="str">
        <f>IFERROR(INDEX(Raw_orders!G:G, MATCH(shipments[[#This Row],[order_id]],Raw_orders!A:A, 0)), "Unknown")</f>
        <v>Nordics</v>
      </c>
      <c r="J6085" t="str">
        <f>PROPER(shipments[[#This Row],[delivery_status]])</f>
        <v>Delivered</v>
      </c>
      <c r="K6085" t="s">
        <v>6929</v>
      </c>
    </row>
    <row r="6086" spans="1:11">
      <c r="A6086" t="s">
        <v>13022</v>
      </c>
      <c r="B6086" t="s">
        <v>6630</v>
      </c>
      <c r="C6086" t="s">
        <v>6921</v>
      </c>
      <c r="D6086" s="1">
        <v>45371</v>
      </c>
      <c r="E6086" s="1">
        <v>45376</v>
      </c>
      <c r="F6086" s="1">
        <v>45377</v>
      </c>
      <c r="G6086">
        <v>13.24</v>
      </c>
      <c r="H60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86" t="str">
        <f>IFERROR(INDEX(Raw_orders!G:G, MATCH(shipments[[#This Row],[order_id]],Raw_orders!A:A, 0)), "Unknown")</f>
        <v>Central Europe</v>
      </c>
      <c r="J6086" t="str">
        <f>PROPER(shipments[[#This Row],[delivery_status]])</f>
        <v>Delivered</v>
      </c>
      <c r="K6086" t="s">
        <v>6929</v>
      </c>
    </row>
    <row r="6087" spans="1:11">
      <c r="A6087" t="s">
        <v>13023</v>
      </c>
      <c r="B6087" t="s">
        <v>6631</v>
      </c>
      <c r="C6087" t="s">
        <v>6956</v>
      </c>
      <c r="D6087" s="1">
        <v>44973</v>
      </c>
      <c r="E6087" s="1">
        <v>44978</v>
      </c>
      <c r="F6087" s="1">
        <v>44986</v>
      </c>
      <c r="G6087">
        <v>58.83</v>
      </c>
      <c r="H60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87" t="str">
        <f>IFERROR(INDEX(Raw_orders!G:G, MATCH(shipments[[#This Row],[order_id]],Raw_orders!A:A, 0)), "Unknown")</f>
        <v>Nordics</v>
      </c>
      <c r="J6087" t="str">
        <f>PROPER(shipments[[#This Row],[delivery_status]])</f>
        <v>Delivered</v>
      </c>
      <c r="K6087" t="s">
        <v>6926</v>
      </c>
    </row>
    <row r="6088" spans="1:11">
      <c r="A6088" t="s">
        <v>13024</v>
      </c>
      <c r="B6088" t="s">
        <v>6632</v>
      </c>
      <c r="C6088" t="s">
        <v>6921</v>
      </c>
      <c r="D6088" s="1">
        <v>45111</v>
      </c>
      <c r="E6088" s="1">
        <v>45113</v>
      </c>
      <c r="F6088" s="1">
        <v>45122</v>
      </c>
      <c r="G6088">
        <v>8.67</v>
      </c>
      <c r="H60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88" t="str">
        <f>IFERROR(INDEX(Raw_orders!G:G, MATCH(shipments[[#This Row],[order_id]],Raw_orders!A:A, 0)), "Unknown")</f>
        <v>Baltics</v>
      </c>
      <c r="J6088" t="str">
        <f>PROPER(shipments[[#This Row],[delivery_status]])</f>
        <v>Delivered</v>
      </c>
      <c r="K6088" t="s">
        <v>6926</v>
      </c>
    </row>
    <row r="6089" spans="1:11">
      <c r="A6089" t="s">
        <v>13025</v>
      </c>
      <c r="B6089" t="s">
        <v>6633</v>
      </c>
      <c r="C6089" t="s">
        <v>6921</v>
      </c>
      <c r="D6089" s="1">
        <v>45513</v>
      </c>
      <c r="E6089" s="1">
        <v>45518</v>
      </c>
      <c r="F6089" s="1">
        <v>45522</v>
      </c>
      <c r="G6089">
        <v>64.56</v>
      </c>
      <c r="H60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89" t="str">
        <f>IFERROR(INDEX(Raw_orders!G:G, MATCH(shipments[[#This Row],[order_id]],Raw_orders!A:A, 0)), "Unknown")</f>
        <v>Central Europe</v>
      </c>
      <c r="J6089" t="str">
        <f>PROPER(shipments[[#This Row],[delivery_status]])</f>
        <v>Delivered</v>
      </c>
      <c r="K6089" t="s">
        <v>6922</v>
      </c>
    </row>
    <row r="6090" spans="1:11">
      <c r="A6090" t="s">
        <v>13026</v>
      </c>
      <c r="B6090" t="s">
        <v>6634</v>
      </c>
      <c r="C6090" t="s">
        <v>6931</v>
      </c>
      <c r="D6090" s="1">
        <v>45528</v>
      </c>
      <c r="E6090" s="1">
        <v>45531</v>
      </c>
      <c r="F6090" s="1">
        <v>45531</v>
      </c>
      <c r="G6090">
        <v>25.74</v>
      </c>
      <c r="H60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90" t="str">
        <f>IFERROR(INDEX(Raw_orders!G:G, MATCH(shipments[[#This Row],[order_id]],Raw_orders!A:A, 0)), "Unknown")</f>
        <v>Baltics</v>
      </c>
      <c r="J6090" t="str">
        <f>PROPER(shipments[[#This Row],[delivery_status]])</f>
        <v>Delivered</v>
      </c>
      <c r="K6090" t="s">
        <v>6929</v>
      </c>
    </row>
    <row r="6091" spans="1:11">
      <c r="A6091" t="s">
        <v>13027</v>
      </c>
      <c r="B6091" t="s">
        <v>6635</v>
      </c>
      <c r="C6091" t="s">
        <v>6938</v>
      </c>
      <c r="D6091" s="1">
        <v>45569</v>
      </c>
      <c r="E6091" s="1">
        <v>45574</v>
      </c>
      <c r="F6091" s="1">
        <v>45573</v>
      </c>
      <c r="G6091">
        <v>63.94</v>
      </c>
      <c r="H60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91" t="str">
        <f>IFERROR(INDEX(Raw_orders!G:G, MATCH(shipments[[#This Row],[order_id]],Raw_orders!A:A, 0)), "Unknown")</f>
        <v>Central Europe</v>
      </c>
      <c r="J6091" t="str">
        <f>PROPER(shipments[[#This Row],[delivery_status]])</f>
        <v>Delivered</v>
      </c>
      <c r="K6091" t="s">
        <v>6926</v>
      </c>
    </row>
    <row r="6092" spans="1:11">
      <c r="A6092" t="s">
        <v>13028</v>
      </c>
      <c r="B6092" t="s">
        <v>6636</v>
      </c>
      <c r="C6092" t="s">
        <v>6940</v>
      </c>
      <c r="D6092" s="1">
        <v>45216</v>
      </c>
      <c r="E6092" s="1">
        <v>45219</v>
      </c>
      <c r="F6092" s="1">
        <v>45228</v>
      </c>
      <c r="G6092">
        <v>28.9</v>
      </c>
      <c r="H60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92" t="str">
        <f>IFERROR(INDEX(Raw_orders!G:G, MATCH(shipments[[#This Row],[order_id]],Raw_orders!A:A, 0)), "Unknown")</f>
        <v>Baltics</v>
      </c>
      <c r="J6092" t="str">
        <f>PROPER(shipments[[#This Row],[delivery_status]])</f>
        <v>Delivered</v>
      </c>
      <c r="K6092" t="s">
        <v>6926</v>
      </c>
    </row>
    <row r="6093" spans="1:11">
      <c r="A6093" t="s">
        <v>13029</v>
      </c>
      <c r="B6093" t="s">
        <v>6637</v>
      </c>
      <c r="C6093" t="s">
        <v>6928</v>
      </c>
      <c r="D6093" s="1">
        <v>45395</v>
      </c>
      <c r="E6093" s="1">
        <v>45405</v>
      </c>
      <c r="F6093" s="1">
        <v>45407</v>
      </c>
      <c r="G6093">
        <v>48.75</v>
      </c>
      <c r="H60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93" t="str">
        <f>IFERROR(INDEX(Raw_orders!G:G, MATCH(shipments[[#This Row],[order_id]],Raw_orders!A:A, 0)), "Unknown")</f>
        <v>Nordics</v>
      </c>
      <c r="J6093" t="str">
        <f>PROPER(shipments[[#This Row],[delivery_status]])</f>
        <v>Delivered</v>
      </c>
      <c r="K6093" t="s">
        <v>6929</v>
      </c>
    </row>
    <row r="6094" spans="1:11">
      <c r="A6094" t="s">
        <v>13030</v>
      </c>
      <c r="B6094" t="s">
        <v>6638</v>
      </c>
      <c r="C6094" t="s">
        <v>6956</v>
      </c>
      <c r="D6094" s="1">
        <v>45210</v>
      </c>
      <c r="E6094" s="1">
        <v>45217</v>
      </c>
      <c r="F6094" s="1">
        <v>45225</v>
      </c>
      <c r="G6094">
        <v>25.69</v>
      </c>
      <c r="H60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94" t="str">
        <f>IFERROR(INDEX(Raw_orders!G:G, MATCH(shipments[[#This Row],[order_id]],Raw_orders!A:A, 0)), "Unknown")</f>
        <v>Central Europe</v>
      </c>
      <c r="J6094" t="str">
        <f>PROPER(shipments[[#This Row],[delivery_status]])</f>
        <v>Delivered</v>
      </c>
      <c r="K6094" t="s">
        <v>6922</v>
      </c>
    </row>
    <row r="6095" spans="1:11">
      <c r="A6095" t="s">
        <v>13031</v>
      </c>
      <c r="B6095" t="s">
        <v>6639</v>
      </c>
      <c r="C6095" t="s">
        <v>6956</v>
      </c>
      <c r="D6095" s="1">
        <v>45404</v>
      </c>
      <c r="E6095" s="1">
        <v>45406</v>
      </c>
      <c r="F6095" s="1"/>
      <c r="G6095">
        <v>6.62</v>
      </c>
      <c r="H60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095" t="str">
        <f>IFERROR(INDEX(Raw_orders!G:G, MATCH(shipments[[#This Row],[order_id]],Raw_orders!A:A, 0)), "Unknown")</f>
        <v>Baltics</v>
      </c>
      <c r="J6095" t="str">
        <f>PROPER(shipments[[#This Row],[delivery_status]])</f>
        <v>In Transit</v>
      </c>
      <c r="K6095" t="s">
        <v>6977</v>
      </c>
    </row>
    <row r="6096" spans="1:11">
      <c r="A6096" t="s">
        <v>13032</v>
      </c>
      <c r="B6096" t="s">
        <v>6640</v>
      </c>
      <c r="C6096" t="s">
        <v>6935</v>
      </c>
      <c r="D6096" s="1">
        <v>45034</v>
      </c>
      <c r="E6096" s="1">
        <v>45036</v>
      </c>
      <c r="F6096" s="1">
        <v>45037</v>
      </c>
      <c r="G6096">
        <v>59.7</v>
      </c>
      <c r="H60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96" t="str">
        <f>IFERROR(INDEX(Raw_orders!G:G, MATCH(shipments[[#This Row],[order_id]],Raw_orders!A:A, 0)), "Unknown")</f>
        <v>Nordics</v>
      </c>
      <c r="J6096" t="str">
        <f>PROPER(shipments[[#This Row],[delivery_status]])</f>
        <v>Delivered</v>
      </c>
      <c r="K6096" t="s">
        <v>6926</v>
      </c>
    </row>
    <row r="6097" spans="1:11">
      <c r="A6097" t="s">
        <v>13033</v>
      </c>
      <c r="B6097" t="s">
        <v>6641</v>
      </c>
      <c r="C6097" t="s">
        <v>6921</v>
      </c>
      <c r="D6097" s="1">
        <v>45238</v>
      </c>
      <c r="E6097" s="1">
        <v>45240</v>
      </c>
      <c r="F6097" s="1">
        <v>45242</v>
      </c>
      <c r="G6097">
        <v>48.75</v>
      </c>
      <c r="H60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097" t="str">
        <f>IFERROR(INDEX(Raw_orders!G:G, MATCH(shipments[[#This Row],[order_id]],Raw_orders!A:A, 0)), "Unknown")</f>
        <v>Central Europe</v>
      </c>
      <c r="J6097" t="str">
        <f>PROPER(shipments[[#This Row],[delivery_status]])</f>
        <v>Delivered</v>
      </c>
      <c r="K6097" t="s">
        <v>6922</v>
      </c>
    </row>
    <row r="6098" spans="1:11">
      <c r="A6098" t="s">
        <v>13034</v>
      </c>
      <c r="B6098" t="s">
        <v>6642</v>
      </c>
      <c r="C6098" t="s">
        <v>6956</v>
      </c>
      <c r="D6098" s="1">
        <v>45576</v>
      </c>
      <c r="E6098" s="1">
        <v>45583</v>
      </c>
      <c r="F6098" s="1">
        <v>45583</v>
      </c>
      <c r="G6098">
        <v>35.200000000000003</v>
      </c>
      <c r="H60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98" t="str">
        <f>IFERROR(INDEX(Raw_orders!G:G, MATCH(shipments[[#This Row],[order_id]],Raw_orders!A:A, 0)), "Unknown")</f>
        <v>Baltics</v>
      </c>
      <c r="J6098" t="str">
        <f>PROPER(shipments[[#This Row],[delivery_status]])</f>
        <v>Delivered</v>
      </c>
      <c r="K6098" t="s">
        <v>6922</v>
      </c>
    </row>
    <row r="6099" spans="1:11">
      <c r="A6099" t="s">
        <v>13035</v>
      </c>
      <c r="B6099" t="s">
        <v>6643</v>
      </c>
      <c r="C6099" t="s">
        <v>6938</v>
      </c>
      <c r="D6099" s="1">
        <v>45076</v>
      </c>
      <c r="E6099" s="1">
        <v>45079</v>
      </c>
      <c r="F6099" s="1">
        <v>45079</v>
      </c>
      <c r="G6099">
        <v>51.01</v>
      </c>
      <c r="H60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099" t="str">
        <f>IFERROR(INDEX(Raw_orders!G:G, MATCH(shipments[[#This Row],[order_id]],Raw_orders!A:A, 0)), "Unknown")</f>
        <v>Central Europe</v>
      </c>
      <c r="J6099" t="str">
        <f>PROPER(shipments[[#This Row],[delivery_status]])</f>
        <v>Delivered</v>
      </c>
      <c r="K6099" t="s">
        <v>6929</v>
      </c>
    </row>
    <row r="6100" spans="1:11">
      <c r="A6100" t="s">
        <v>13036</v>
      </c>
      <c r="B6100" t="s">
        <v>6644</v>
      </c>
      <c r="C6100" t="s">
        <v>6921</v>
      </c>
      <c r="D6100" s="1">
        <v>45540</v>
      </c>
      <c r="E6100" s="1">
        <v>45547</v>
      </c>
      <c r="F6100" s="1"/>
      <c r="G6100">
        <v>8.9499999999999993</v>
      </c>
      <c r="H61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100" t="str">
        <f>IFERROR(INDEX(Raw_orders!G:G, MATCH(shipments[[#This Row],[order_id]],Raw_orders!A:A, 0)), "Unknown")</f>
        <v>Nordics</v>
      </c>
      <c r="J6100" t="str">
        <f>PROPER(shipments[[#This Row],[delivery_status]])</f>
        <v>In Transit</v>
      </c>
      <c r="K6100" t="s">
        <v>6958</v>
      </c>
    </row>
    <row r="6101" spans="1:11">
      <c r="A6101" t="s">
        <v>13037</v>
      </c>
      <c r="B6101" t="s">
        <v>6645</v>
      </c>
      <c r="C6101" t="s">
        <v>6925</v>
      </c>
      <c r="D6101" s="1">
        <v>44999</v>
      </c>
      <c r="E6101" s="1">
        <v>45002</v>
      </c>
      <c r="F6101" s="1">
        <v>45016</v>
      </c>
      <c r="G6101">
        <v>34.229999999999997</v>
      </c>
      <c r="H61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01" t="str">
        <f>IFERROR(INDEX(Raw_orders!G:G, MATCH(shipments[[#This Row],[order_id]],Raw_orders!A:A, 0)), "Unknown")</f>
        <v>Central Europe</v>
      </c>
      <c r="J6101" t="str">
        <f>PROPER(shipments[[#This Row],[delivery_status]])</f>
        <v>Delivered</v>
      </c>
      <c r="K6101" t="s">
        <v>6926</v>
      </c>
    </row>
    <row r="6102" spans="1:11">
      <c r="A6102" t="s">
        <v>13038</v>
      </c>
      <c r="B6102" t="s">
        <v>6646</v>
      </c>
      <c r="C6102" t="s">
        <v>6925</v>
      </c>
      <c r="D6102" s="1">
        <v>45533</v>
      </c>
      <c r="E6102" s="1">
        <v>45540</v>
      </c>
      <c r="F6102" s="1">
        <v>45548</v>
      </c>
      <c r="G6102">
        <v>25.11</v>
      </c>
      <c r="H61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02" t="str">
        <f>IFERROR(INDEX(Raw_orders!G:G, MATCH(shipments[[#This Row],[order_id]],Raw_orders!A:A, 0)), "Unknown")</f>
        <v>Central Europe</v>
      </c>
      <c r="J6102" t="str">
        <f>PROPER(shipments[[#This Row],[delivery_status]])</f>
        <v>Delivered</v>
      </c>
      <c r="K6102" t="s">
        <v>6926</v>
      </c>
    </row>
    <row r="6103" spans="1:11">
      <c r="A6103" t="s">
        <v>13039</v>
      </c>
      <c r="B6103" t="s">
        <v>6647</v>
      </c>
      <c r="C6103" t="s">
        <v>6928</v>
      </c>
      <c r="D6103" s="1">
        <v>45202</v>
      </c>
      <c r="E6103" s="1">
        <v>45205</v>
      </c>
      <c r="F6103" s="1">
        <v>45213</v>
      </c>
      <c r="G6103">
        <v>22.97</v>
      </c>
      <c r="H61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03" t="str">
        <f>IFERROR(INDEX(Raw_orders!G:G, MATCH(shipments[[#This Row],[order_id]],Raw_orders!A:A, 0)), "Unknown")</f>
        <v>Nordics</v>
      </c>
      <c r="J6103" t="str">
        <f>PROPER(shipments[[#This Row],[delivery_status]])</f>
        <v>Delivered</v>
      </c>
      <c r="K6103" t="s">
        <v>6929</v>
      </c>
    </row>
    <row r="6104" spans="1:11">
      <c r="A6104" t="s">
        <v>13040</v>
      </c>
      <c r="B6104" t="s">
        <v>6648</v>
      </c>
      <c r="C6104" t="s">
        <v>6931</v>
      </c>
      <c r="D6104" s="1">
        <v>45098</v>
      </c>
      <c r="E6104" s="1">
        <v>45103</v>
      </c>
      <c r="F6104" s="1">
        <v>45106</v>
      </c>
      <c r="G6104">
        <v>39.130000000000003</v>
      </c>
      <c r="H61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04" t="str">
        <f>IFERROR(INDEX(Raw_orders!G:G, MATCH(shipments[[#This Row],[order_id]],Raw_orders!A:A, 0)), "Unknown")</f>
        <v>Central Europe</v>
      </c>
      <c r="J6104" t="str">
        <f>PROPER(shipments[[#This Row],[delivery_status]])</f>
        <v>Delivered</v>
      </c>
      <c r="K6104" t="s">
        <v>6922</v>
      </c>
    </row>
    <row r="6105" spans="1:11">
      <c r="A6105" t="s">
        <v>13041</v>
      </c>
      <c r="B6105" t="s">
        <v>6649</v>
      </c>
      <c r="C6105" t="s">
        <v>6921</v>
      </c>
      <c r="D6105" s="1">
        <v>45448</v>
      </c>
      <c r="E6105" s="1">
        <v>45455</v>
      </c>
      <c r="F6105" s="1">
        <v>45456</v>
      </c>
      <c r="G6105">
        <v>43.43</v>
      </c>
      <c r="H61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05" t="str">
        <f>IFERROR(INDEX(Raw_orders!G:G, MATCH(shipments[[#This Row],[order_id]],Raw_orders!A:A, 0)), "Unknown")</f>
        <v>Nordics</v>
      </c>
      <c r="J6105" t="str">
        <f>PROPER(shipments[[#This Row],[delivery_status]])</f>
        <v>Delivered</v>
      </c>
      <c r="K6105" t="s">
        <v>6926</v>
      </c>
    </row>
    <row r="6106" spans="1:11">
      <c r="A6106" t="s">
        <v>13042</v>
      </c>
      <c r="B6106" t="s">
        <v>6650</v>
      </c>
      <c r="C6106" t="s">
        <v>6931</v>
      </c>
      <c r="D6106" s="1">
        <v>45607</v>
      </c>
      <c r="E6106" s="1">
        <v>45609</v>
      </c>
      <c r="F6106" s="1">
        <v>45614</v>
      </c>
      <c r="G6106">
        <v>52.12</v>
      </c>
      <c r="H61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06" t="str">
        <f>IFERROR(INDEX(Raw_orders!G:G, MATCH(shipments[[#This Row],[order_id]],Raw_orders!A:A, 0)), "Unknown")</f>
        <v>Central Europe</v>
      </c>
      <c r="J6106" t="str">
        <f>PROPER(shipments[[#This Row],[delivery_status]])</f>
        <v>Delivered</v>
      </c>
      <c r="K6106" t="s">
        <v>6926</v>
      </c>
    </row>
    <row r="6107" spans="1:11">
      <c r="A6107" t="s">
        <v>13043</v>
      </c>
      <c r="B6107" t="s">
        <v>6651</v>
      </c>
      <c r="C6107" t="s">
        <v>6935</v>
      </c>
      <c r="D6107" s="1">
        <v>45272</v>
      </c>
      <c r="E6107" s="1">
        <v>45274</v>
      </c>
      <c r="F6107" s="1">
        <v>45279</v>
      </c>
      <c r="G6107">
        <v>37.64</v>
      </c>
      <c r="H61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07" t="str">
        <f>IFERROR(INDEX(Raw_orders!G:G, MATCH(shipments[[#This Row],[order_id]],Raw_orders!A:A, 0)), "Unknown")</f>
        <v>Baltics</v>
      </c>
      <c r="J6107" t="str">
        <f>PROPER(shipments[[#This Row],[delivery_status]])</f>
        <v>Delivered</v>
      </c>
      <c r="K6107" t="s">
        <v>6922</v>
      </c>
    </row>
    <row r="6108" spans="1:11">
      <c r="A6108" t="s">
        <v>13044</v>
      </c>
      <c r="B6108" t="s">
        <v>6652</v>
      </c>
      <c r="C6108" t="s">
        <v>6931</v>
      </c>
      <c r="D6108" s="1">
        <v>44932</v>
      </c>
      <c r="E6108" s="1">
        <v>44935</v>
      </c>
      <c r="F6108" s="1">
        <v>44941</v>
      </c>
      <c r="G6108">
        <v>29.69</v>
      </c>
      <c r="H61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08" t="str">
        <f>IFERROR(INDEX(Raw_orders!G:G, MATCH(shipments[[#This Row],[order_id]],Raw_orders!A:A, 0)), "Unknown")</f>
        <v>Nordics</v>
      </c>
      <c r="J6108" t="str">
        <f>PROPER(shipments[[#This Row],[delivery_status]])</f>
        <v>Delivered</v>
      </c>
      <c r="K6108" t="s">
        <v>6922</v>
      </c>
    </row>
    <row r="6109" spans="1:11">
      <c r="A6109" t="s">
        <v>13045</v>
      </c>
      <c r="B6109" t="s">
        <v>6653</v>
      </c>
      <c r="C6109" t="s">
        <v>6921</v>
      </c>
      <c r="D6109" s="1">
        <v>45400</v>
      </c>
      <c r="E6109" s="1">
        <v>45402</v>
      </c>
      <c r="F6109" s="1">
        <v>45410</v>
      </c>
      <c r="G6109">
        <v>48.1</v>
      </c>
      <c r="H61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09" t="str">
        <f>IFERROR(INDEX(Raw_orders!G:G, MATCH(shipments[[#This Row],[order_id]],Raw_orders!A:A, 0)), "Unknown")</f>
        <v>Baltics</v>
      </c>
      <c r="J6109" t="str">
        <f>PROPER(shipments[[#This Row],[delivery_status]])</f>
        <v>Delivered</v>
      </c>
      <c r="K6109" t="s">
        <v>6922</v>
      </c>
    </row>
    <row r="6110" spans="1:11">
      <c r="A6110" t="s">
        <v>13046</v>
      </c>
      <c r="B6110" t="s">
        <v>6654</v>
      </c>
      <c r="C6110" t="s">
        <v>6938</v>
      </c>
      <c r="D6110" s="1">
        <v>44990</v>
      </c>
      <c r="E6110" s="1">
        <v>44993</v>
      </c>
      <c r="F6110" s="1">
        <v>44996</v>
      </c>
      <c r="G6110">
        <v>5.63</v>
      </c>
      <c r="H61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10" t="str">
        <f>IFERROR(INDEX(Raw_orders!G:G, MATCH(shipments[[#This Row],[order_id]],Raw_orders!A:A, 0)), "Unknown")</f>
        <v>Central Europe</v>
      </c>
      <c r="J6110" t="str">
        <f>PROPER(shipments[[#This Row],[delivery_status]])</f>
        <v>Delivered</v>
      </c>
      <c r="K6110" t="s">
        <v>6922</v>
      </c>
    </row>
    <row r="6111" spans="1:11">
      <c r="A6111" t="s">
        <v>13047</v>
      </c>
      <c r="B6111" t="s">
        <v>6655</v>
      </c>
      <c r="C6111" t="s">
        <v>6935</v>
      </c>
      <c r="D6111" s="1">
        <v>45464</v>
      </c>
      <c r="E6111" s="1">
        <v>45474</v>
      </c>
      <c r="F6111" s="1">
        <v>45474</v>
      </c>
      <c r="G6111">
        <v>58.75</v>
      </c>
      <c r="H61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111" t="str">
        <f>IFERROR(INDEX(Raw_orders!G:G, MATCH(shipments[[#This Row],[order_id]],Raw_orders!A:A, 0)), "Unknown")</f>
        <v>Central Europe</v>
      </c>
      <c r="J6111" t="str">
        <f>PROPER(shipments[[#This Row],[delivery_status]])</f>
        <v>Delivered</v>
      </c>
      <c r="K6111" t="s">
        <v>6929</v>
      </c>
    </row>
    <row r="6112" spans="1:11">
      <c r="A6112" t="s">
        <v>13048</v>
      </c>
      <c r="B6112" t="s">
        <v>6656</v>
      </c>
      <c r="C6112" t="s">
        <v>6940</v>
      </c>
      <c r="D6112" s="1">
        <v>45220</v>
      </c>
      <c r="E6112" s="1">
        <v>45225</v>
      </c>
      <c r="F6112" s="1">
        <v>45224</v>
      </c>
      <c r="G6112">
        <v>5.89</v>
      </c>
      <c r="H61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112" t="str">
        <f>IFERROR(INDEX(Raw_orders!G:G, MATCH(shipments[[#This Row],[order_id]],Raw_orders!A:A, 0)), "Unknown")</f>
        <v>Central Europe</v>
      </c>
      <c r="J6112" t="str">
        <f>PROPER(shipments[[#This Row],[delivery_status]])</f>
        <v>Delivered</v>
      </c>
      <c r="K6112" t="s">
        <v>6929</v>
      </c>
    </row>
    <row r="6113" spans="1:11">
      <c r="A6113" t="s">
        <v>13049</v>
      </c>
      <c r="B6113" t="s">
        <v>6657</v>
      </c>
      <c r="C6113" t="s">
        <v>6940</v>
      </c>
      <c r="D6113" s="1">
        <v>45536</v>
      </c>
      <c r="E6113" s="1">
        <v>45546</v>
      </c>
      <c r="F6113" s="1">
        <v>45546</v>
      </c>
      <c r="G6113">
        <v>64.27</v>
      </c>
      <c r="H61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113" t="str">
        <f>IFERROR(INDEX(Raw_orders!G:G, MATCH(shipments[[#This Row],[order_id]],Raw_orders!A:A, 0)), "Unknown")</f>
        <v>Central Europe</v>
      </c>
      <c r="J6113" t="str">
        <f>PROPER(shipments[[#This Row],[delivery_status]])</f>
        <v>Delivered</v>
      </c>
      <c r="K6113" t="s">
        <v>6922</v>
      </c>
    </row>
    <row r="6114" spans="1:11">
      <c r="A6114" t="s">
        <v>13050</v>
      </c>
      <c r="B6114" t="s">
        <v>6658</v>
      </c>
      <c r="C6114" t="s">
        <v>6938</v>
      </c>
      <c r="D6114" s="1">
        <v>45395</v>
      </c>
      <c r="E6114" s="1">
        <v>45397</v>
      </c>
      <c r="F6114" s="1"/>
      <c r="G6114">
        <v>58.97</v>
      </c>
      <c r="H61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6114" t="str">
        <f>IFERROR(INDEX(Raw_orders!G:G, MATCH(shipments[[#This Row],[order_id]],Raw_orders!A:A, 0)), "Unknown")</f>
        <v>Nordics</v>
      </c>
      <c r="J6114" t="str">
        <f>PROPER(shipments[[#This Row],[delivery_status]])</f>
        <v>Cancelled</v>
      </c>
      <c r="K6114" t="s">
        <v>6979</v>
      </c>
    </row>
    <row r="6115" spans="1:11">
      <c r="A6115" t="s">
        <v>13051</v>
      </c>
      <c r="B6115" t="s">
        <v>6659</v>
      </c>
      <c r="C6115" t="s">
        <v>6921</v>
      </c>
      <c r="D6115" s="1">
        <v>45027</v>
      </c>
      <c r="E6115" s="1">
        <v>45037</v>
      </c>
      <c r="F6115" s="1">
        <v>45047</v>
      </c>
      <c r="G6115">
        <v>43.67</v>
      </c>
      <c r="H61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15" t="str">
        <f>IFERROR(INDEX(Raw_orders!G:G, MATCH(shipments[[#This Row],[order_id]],Raw_orders!A:A, 0)), "Unknown")</f>
        <v>Baltics</v>
      </c>
      <c r="J6115" t="str">
        <f>PROPER(shipments[[#This Row],[delivery_status]])</f>
        <v>Delivered</v>
      </c>
      <c r="K6115" t="s">
        <v>6929</v>
      </c>
    </row>
    <row r="6116" spans="1:11">
      <c r="A6116" t="s">
        <v>13052</v>
      </c>
      <c r="B6116" t="s">
        <v>6660</v>
      </c>
      <c r="C6116" t="s">
        <v>6956</v>
      </c>
      <c r="D6116" s="1">
        <v>45330</v>
      </c>
      <c r="E6116" s="1">
        <v>45335</v>
      </c>
      <c r="F6116" s="1"/>
      <c r="G6116">
        <v>14.46</v>
      </c>
      <c r="H61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116" t="str">
        <f>IFERROR(INDEX(Raw_orders!G:G, MATCH(shipments[[#This Row],[order_id]],Raw_orders!A:A, 0)), "Unknown")</f>
        <v>Baltics</v>
      </c>
      <c r="J6116" t="str">
        <f>PROPER(shipments[[#This Row],[delivery_status]])</f>
        <v>In Transit</v>
      </c>
      <c r="K6116" t="s">
        <v>6958</v>
      </c>
    </row>
    <row r="6117" spans="1:11">
      <c r="A6117" t="s">
        <v>13053</v>
      </c>
      <c r="B6117" t="s">
        <v>6661</v>
      </c>
      <c r="C6117" t="s">
        <v>6928</v>
      </c>
      <c r="D6117" s="1">
        <v>45362</v>
      </c>
      <c r="E6117" s="1">
        <v>45364</v>
      </c>
      <c r="F6117" s="1"/>
      <c r="G6117">
        <v>51.11</v>
      </c>
      <c r="H61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117" t="str">
        <f>IFERROR(INDEX(Raw_orders!G:G, MATCH(shipments[[#This Row],[order_id]],Raw_orders!A:A, 0)), "Unknown")</f>
        <v>Central Europe</v>
      </c>
      <c r="J6117" t="str">
        <f>PROPER(shipments[[#This Row],[delivery_status]])</f>
        <v>In Transit</v>
      </c>
      <c r="K6117" t="s">
        <v>6946</v>
      </c>
    </row>
    <row r="6118" spans="1:11">
      <c r="A6118" t="s">
        <v>13054</v>
      </c>
      <c r="B6118" t="s">
        <v>6662</v>
      </c>
      <c r="C6118" t="s">
        <v>6928</v>
      </c>
      <c r="D6118" s="1">
        <v>44973</v>
      </c>
      <c r="E6118" s="1">
        <v>44978</v>
      </c>
      <c r="F6118" s="1">
        <v>44982</v>
      </c>
      <c r="G6118">
        <v>48.15</v>
      </c>
      <c r="H61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18" t="str">
        <f>IFERROR(INDEX(Raw_orders!G:G, MATCH(shipments[[#This Row],[order_id]],Raw_orders!A:A, 0)), "Unknown")</f>
        <v>Nordics</v>
      </c>
      <c r="J6118" t="str">
        <f>PROPER(shipments[[#This Row],[delivery_status]])</f>
        <v>Delivered</v>
      </c>
      <c r="K6118" t="s">
        <v>6922</v>
      </c>
    </row>
    <row r="6119" spans="1:11">
      <c r="A6119" t="s">
        <v>13055</v>
      </c>
      <c r="B6119" t="s">
        <v>6663</v>
      </c>
      <c r="C6119" t="s">
        <v>6931</v>
      </c>
      <c r="D6119" s="1">
        <v>45319</v>
      </c>
      <c r="E6119" s="1">
        <v>45322</v>
      </c>
      <c r="F6119" s="1">
        <v>45330</v>
      </c>
      <c r="G6119">
        <v>39.94</v>
      </c>
      <c r="H61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19" t="str">
        <f>IFERROR(INDEX(Raw_orders!G:G, MATCH(shipments[[#This Row],[order_id]],Raw_orders!A:A, 0)), "Unknown")</f>
        <v>Nordics</v>
      </c>
      <c r="J6119" t="str">
        <f>PROPER(shipments[[#This Row],[delivery_status]])</f>
        <v>Delivered</v>
      </c>
      <c r="K6119" t="s">
        <v>6929</v>
      </c>
    </row>
    <row r="6120" spans="1:11">
      <c r="A6120" t="s">
        <v>13056</v>
      </c>
      <c r="B6120" t="s">
        <v>6664</v>
      </c>
      <c r="C6120" t="s">
        <v>6940</v>
      </c>
      <c r="D6120" s="1">
        <v>45393</v>
      </c>
      <c r="E6120" s="1">
        <v>45403</v>
      </c>
      <c r="F6120" s="1">
        <v>45408</v>
      </c>
      <c r="G6120">
        <v>16.18</v>
      </c>
      <c r="H61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20" t="str">
        <f>IFERROR(INDEX(Raw_orders!G:G, MATCH(shipments[[#This Row],[order_id]],Raw_orders!A:A, 0)), "Unknown")</f>
        <v>Baltics</v>
      </c>
      <c r="J6120" t="str">
        <f>PROPER(shipments[[#This Row],[delivery_status]])</f>
        <v>Delivered</v>
      </c>
      <c r="K6120" t="s">
        <v>6922</v>
      </c>
    </row>
    <row r="6121" spans="1:11">
      <c r="A6121" t="s">
        <v>13057</v>
      </c>
      <c r="B6121" t="s">
        <v>6665</v>
      </c>
      <c r="C6121" t="s">
        <v>6925</v>
      </c>
      <c r="D6121" s="1">
        <v>45125</v>
      </c>
      <c r="E6121" s="1">
        <v>45127</v>
      </c>
      <c r="F6121" s="1">
        <v>45126</v>
      </c>
      <c r="G6121">
        <v>30.43</v>
      </c>
      <c r="H61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121" t="str">
        <f>IFERROR(INDEX(Raw_orders!G:G, MATCH(shipments[[#This Row],[order_id]],Raw_orders!A:A, 0)), "Unknown")</f>
        <v>Central Europe</v>
      </c>
      <c r="J6121" t="str">
        <f>PROPER(shipments[[#This Row],[delivery_status]])</f>
        <v>Delivered</v>
      </c>
      <c r="K6121" t="s">
        <v>6926</v>
      </c>
    </row>
    <row r="6122" spans="1:11">
      <c r="A6122" t="s">
        <v>13058</v>
      </c>
      <c r="B6122" t="s">
        <v>6666</v>
      </c>
      <c r="C6122" t="s">
        <v>6935</v>
      </c>
      <c r="D6122" s="1">
        <v>45342</v>
      </c>
      <c r="E6122" s="1">
        <v>45352</v>
      </c>
      <c r="F6122" s="1"/>
      <c r="G6122">
        <v>24.59</v>
      </c>
      <c r="H61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6122" t="str">
        <f>IFERROR(INDEX(Raw_orders!G:G, MATCH(shipments[[#This Row],[order_id]],Raw_orders!A:A, 0)), "Unknown")</f>
        <v>Baltics</v>
      </c>
      <c r="J6122" t="str">
        <f>PROPER(shipments[[#This Row],[delivery_status]])</f>
        <v>Cancelled</v>
      </c>
      <c r="K6122" t="s">
        <v>6972</v>
      </c>
    </row>
    <row r="6123" spans="1:11">
      <c r="A6123" t="s">
        <v>13059</v>
      </c>
      <c r="B6123" t="s">
        <v>6667</v>
      </c>
      <c r="C6123" t="s">
        <v>6931</v>
      </c>
      <c r="D6123" s="1">
        <v>44940</v>
      </c>
      <c r="E6123" s="1">
        <v>44942</v>
      </c>
      <c r="F6123" s="1"/>
      <c r="G6123">
        <v>24.31</v>
      </c>
      <c r="H61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6123" t="str">
        <f>IFERROR(INDEX(Raw_orders!G:G, MATCH(shipments[[#This Row],[order_id]],Raw_orders!A:A, 0)), "Unknown")</f>
        <v>Central Europe</v>
      </c>
      <c r="J6123" t="str">
        <f>PROPER(shipments[[#This Row],[delivery_status]])</f>
        <v>Cancelled</v>
      </c>
      <c r="K6123" t="s">
        <v>6979</v>
      </c>
    </row>
    <row r="6124" spans="1:11">
      <c r="A6124" t="s">
        <v>13060</v>
      </c>
      <c r="B6124" t="s">
        <v>6668</v>
      </c>
      <c r="C6124" t="s">
        <v>6921</v>
      </c>
      <c r="D6124" s="1">
        <v>45372</v>
      </c>
      <c r="E6124" s="1">
        <v>45377</v>
      </c>
      <c r="F6124" s="1">
        <v>45382</v>
      </c>
      <c r="G6124">
        <v>4.7</v>
      </c>
      <c r="H61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24" t="str">
        <f>IFERROR(INDEX(Raw_orders!G:G, MATCH(shipments[[#This Row],[order_id]],Raw_orders!A:A, 0)), "Unknown")</f>
        <v>Central Europe</v>
      </c>
      <c r="J6124" t="str">
        <f>PROPER(shipments[[#This Row],[delivery_status]])</f>
        <v>Delivered</v>
      </c>
      <c r="K6124" t="s">
        <v>6926</v>
      </c>
    </row>
    <row r="6125" spans="1:11">
      <c r="A6125" t="s">
        <v>13061</v>
      </c>
      <c r="B6125" t="s">
        <v>6669</v>
      </c>
      <c r="C6125" t="s">
        <v>6949</v>
      </c>
      <c r="D6125" s="1">
        <v>45322</v>
      </c>
      <c r="E6125" s="1">
        <v>45332</v>
      </c>
      <c r="F6125" s="1">
        <v>45331</v>
      </c>
      <c r="G6125">
        <v>58.29</v>
      </c>
      <c r="H61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125" t="str">
        <f>IFERROR(INDEX(Raw_orders!G:G, MATCH(shipments[[#This Row],[order_id]],Raw_orders!A:A, 0)), "Unknown")</f>
        <v>Central Europe</v>
      </c>
      <c r="J6125" t="str">
        <f>PROPER(shipments[[#This Row],[delivery_status]])</f>
        <v>Delivered</v>
      </c>
      <c r="K6125" t="s">
        <v>6926</v>
      </c>
    </row>
    <row r="6126" spans="1:11">
      <c r="A6126" t="s">
        <v>13062</v>
      </c>
      <c r="B6126" t="s">
        <v>6670</v>
      </c>
      <c r="C6126" t="s">
        <v>6921</v>
      </c>
      <c r="D6126" s="1">
        <v>44968</v>
      </c>
      <c r="E6126" s="1">
        <v>44978</v>
      </c>
      <c r="F6126" s="1">
        <v>44978</v>
      </c>
      <c r="G6126">
        <v>27.74</v>
      </c>
      <c r="H61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126" t="str">
        <f>IFERROR(INDEX(Raw_orders!G:G, MATCH(shipments[[#This Row],[order_id]],Raw_orders!A:A, 0)), "Unknown")</f>
        <v>Nordics</v>
      </c>
      <c r="J6126" t="str">
        <f>PROPER(shipments[[#This Row],[delivery_status]])</f>
        <v>Delivered</v>
      </c>
      <c r="K6126" t="s">
        <v>6929</v>
      </c>
    </row>
    <row r="6127" spans="1:11">
      <c r="A6127" t="s">
        <v>13063</v>
      </c>
      <c r="B6127" t="s">
        <v>6671</v>
      </c>
      <c r="C6127" t="s">
        <v>6928</v>
      </c>
      <c r="D6127" s="1">
        <v>45057</v>
      </c>
      <c r="E6127" s="1">
        <v>45060</v>
      </c>
      <c r="F6127" s="1">
        <v>45060</v>
      </c>
      <c r="H61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127" t="str">
        <f>IFERROR(INDEX(Raw_orders!G:G, MATCH(shipments[[#This Row],[order_id]],Raw_orders!A:A, 0)), "Unknown")</f>
        <v>Baltics</v>
      </c>
      <c r="J6127" t="str">
        <f>PROPER(shipments[[#This Row],[delivery_status]])</f>
        <v>Delivered</v>
      </c>
      <c r="K6127" t="s">
        <v>6926</v>
      </c>
    </row>
    <row r="6128" spans="1:11">
      <c r="A6128" t="s">
        <v>13064</v>
      </c>
      <c r="B6128" t="s">
        <v>6672</v>
      </c>
      <c r="C6128" t="s">
        <v>6940</v>
      </c>
      <c r="D6128" s="1">
        <v>45548</v>
      </c>
      <c r="E6128" s="1">
        <v>45558</v>
      </c>
      <c r="F6128" s="1"/>
      <c r="G6128">
        <v>38.22</v>
      </c>
      <c r="H61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128" t="str">
        <f>IFERROR(INDEX(Raw_orders!G:G, MATCH(shipments[[#This Row],[order_id]],Raw_orders!A:A, 0)), "Unknown")</f>
        <v>Baltics</v>
      </c>
      <c r="J6128" t="str">
        <f>PROPER(shipments[[#This Row],[delivery_status]])</f>
        <v>In Transit</v>
      </c>
      <c r="K6128" t="s">
        <v>6977</v>
      </c>
    </row>
    <row r="6129" spans="1:11">
      <c r="A6129" t="s">
        <v>13065</v>
      </c>
      <c r="B6129" t="s">
        <v>6673</v>
      </c>
      <c r="C6129" t="s">
        <v>6935</v>
      </c>
      <c r="D6129" s="1">
        <v>45032</v>
      </c>
      <c r="E6129" s="1">
        <v>45035</v>
      </c>
      <c r="F6129" s="1">
        <v>45035</v>
      </c>
      <c r="G6129">
        <v>15.57</v>
      </c>
      <c r="H61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129" t="str">
        <f>IFERROR(INDEX(Raw_orders!G:G, MATCH(shipments[[#This Row],[order_id]],Raw_orders!A:A, 0)), "Unknown")</f>
        <v>Baltics</v>
      </c>
      <c r="J6129" t="str">
        <f>PROPER(shipments[[#This Row],[delivery_status]])</f>
        <v>Delivered</v>
      </c>
      <c r="K6129" t="s">
        <v>6929</v>
      </c>
    </row>
    <row r="6130" spans="1:11">
      <c r="A6130" t="s">
        <v>13066</v>
      </c>
      <c r="B6130" t="s">
        <v>6674</v>
      </c>
      <c r="C6130" t="s">
        <v>6921</v>
      </c>
      <c r="D6130" s="1">
        <v>45175</v>
      </c>
      <c r="E6130" s="1">
        <v>45182</v>
      </c>
      <c r="F6130" s="1">
        <v>45190</v>
      </c>
      <c r="G6130">
        <v>14</v>
      </c>
      <c r="H61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30" t="str">
        <f>IFERROR(INDEX(Raw_orders!G:G, MATCH(shipments[[#This Row],[order_id]],Raw_orders!A:A, 0)), "Unknown")</f>
        <v>Central Europe</v>
      </c>
      <c r="J6130" t="str">
        <f>PROPER(shipments[[#This Row],[delivery_status]])</f>
        <v>Delivered</v>
      </c>
      <c r="K6130" t="s">
        <v>6926</v>
      </c>
    </row>
    <row r="6131" spans="1:11">
      <c r="A6131" t="s">
        <v>13067</v>
      </c>
      <c r="B6131" t="s">
        <v>6675</v>
      </c>
      <c r="C6131" t="s">
        <v>6928</v>
      </c>
      <c r="D6131" s="1">
        <v>45389</v>
      </c>
      <c r="E6131" s="1">
        <v>45394</v>
      </c>
      <c r="F6131" s="1">
        <v>45403</v>
      </c>
      <c r="G6131">
        <v>44.55</v>
      </c>
      <c r="H61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31" t="str">
        <f>IFERROR(INDEX(Raw_orders!G:G, MATCH(shipments[[#This Row],[order_id]],Raw_orders!A:A, 0)), "Unknown")</f>
        <v>Nordics</v>
      </c>
      <c r="J6131" t="str">
        <f>PROPER(shipments[[#This Row],[delivery_status]])</f>
        <v>Delivered</v>
      </c>
      <c r="K6131" t="s">
        <v>6926</v>
      </c>
    </row>
    <row r="6132" spans="1:11">
      <c r="A6132" t="s">
        <v>13068</v>
      </c>
      <c r="B6132" t="s">
        <v>6676</v>
      </c>
      <c r="C6132" t="s">
        <v>6935</v>
      </c>
      <c r="D6132" s="1">
        <v>45559</v>
      </c>
      <c r="E6132" s="1">
        <v>45566</v>
      </c>
      <c r="F6132" s="1">
        <v>45571</v>
      </c>
      <c r="G6132">
        <v>21.09</v>
      </c>
      <c r="H61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32" t="str">
        <f>IFERROR(INDEX(Raw_orders!G:G, MATCH(shipments[[#This Row],[order_id]],Raw_orders!A:A, 0)), "Unknown")</f>
        <v>Central Europe</v>
      </c>
      <c r="J6132" t="str">
        <f>PROPER(shipments[[#This Row],[delivery_status]])</f>
        <v>Delivered</v>
      </c>
      <c r="K6132" t="s">
        <v>6929</v>
      </c>
    </row>
    <row r="6133" spans="1:11">
      <c r="A6133" t="s">
        <v>13069</v>
      </c>
      <c r="B6133" t="s">
        <v>6677</v>
      </c>
      <c r="C6133" t="s">
        <v>6938</v>
      </c>
      <c r="D6133" s="1">
        <v>45209</v>
      </c>
      <c r="E6133" s="1">
        <v>45216</v>
      </c>
      <c r="F6133" s="1"/>
      <c r="G6133">
        <v>17.12</v>
      </c>
      <c r="H61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133" t="str">
        <f>IFERROR(INDEX(Raw_orders!G:G, MATCH(shipments[[#This Row],[order_id]],Raw_orders!A:A, 0)), "Unknown")</f>
        <v>Baltics</v>
      </c>
      <c r="J6133" t="str">
        <f>PROPER(shipments[[#This Row],[delivery_status]])</f>
        <v>In Transit</v>
      </c>
      <c r="K6133" t="s">
        <v>6977</v>
      </c>
    </row>
    <row r="6134" spans="1:11">
      <c r="A6134" t="s">
        <v>13070</v>
      </c>
      <c r="B6134" t="s">
        <v>6678</v>
      </c>
      <c r="C6134" t="s">
        <v>6949</v>
      </c>
      <c r="D6134" s="1">
        <v>44999</v>
      </c>
      <c r="E6134" s="1">
        <v>45006</v>
      </c>
      <c r="F6134" s="1">
        <v>45006</v>
      </c>
      <c r="G6134">
        <v>56.51</v>
      </c>
      <c r="H61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134" t="str">
        <f>IFERROR(INDEX(Raw_orders!G:G, MATCH(shipments[[#This Row],[order_id]],Raw_orders!A:A, 0)), "Unknown")</f>
        <v>Central Europe</v>
      </c>
      <c r="J6134" t="str">
        <f>PROPER(shipments[[#This Row],[delivery_status]])</f>
        <v>Delivered</v>
      </c>
      <c r="K6134" t="s">
        <v>6929</v>
      </c>
    </row>
    <row r="6135" spans="1:11">
      <c r="A6135" t="s">
        <v>13071</v>
      </c>
      <c r="B6135" t="s">
        <v>6679</v>
      </c>
      <c r="C6135" t="s">
        <v>6940</v>
      </c>
      <c r="D6135" s="1">
        <v>45214</v>
      </c>
      <c r="E6135" s="1">
        <v>45217</v>
      </c>
      <c r="F6135" s="1">
        <v>45219</v>
      </c>
      <c r="G6135">
        <v>13.04</v>
      </c>
      <c r="H61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35" t="str">
        <f>IFERROR(INDEX(Raw_orders!G:G, MATCH(shipments[[#This Row],[order_id]],Raw_orders!A:A, 0)), "Unknown")</f>
        <v>Nordics</v>
      </c>
      <c r="J6135" t="str">
        <f>PROPER(shipments[[#This Row],[delivery_status]])</f>
        <v>Delivered</v>
      </c>
      <c r="K6135" t="s">
        <v>6926</v>
      </c>
    </row>
    <row r="6136" spans="1:11">
      <c r="A6136" t="s">
        <v>13072</v>
      </c>
      <c r="B6136" t="s">
        <v>6680</v>
      </c>
      <c r="C6136" t="s">
        <v>6935</v>
      </c>
      <c r="D6136" s="1">
        <v>45072</v>
      </c>
      <c r="E6136" s="1">
        <v>45082</v>
      </c>
      <c r="F6136" s="1">
        <v>45087</v>
      </c>
      <c r="G6136">
        <v>28.49</v>
      </c>
      <c r="H61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36" t="str">
        <f>IFERROR(INDEX(Raw_orders!G:G, MATCH(shipments[[#This Row],[order_id]],Raw_orders!A:A, 0)), "Unknown")</f>
        <v>Central Europe</v>
      </c>
      <c r="J6136" t="str">
        <f>PROPER(shipments[[#This Row],[delivery_status]])</f>
        <v>Delivered</v>
      </c>
      <c r="K6136" t="s">
        <v>6929</v>
      </c>
    </row>
    <row r="6137" spans="1:11">
      <c r="A6137" t="s">
        <v>13073</v>
      </c>
      <c r="B6137" t="s">
        <v>6681</v>
      </c>
      <c r="C6137" t="s">
        <v>6928</v>
      </c>
      <c r="D6137" s="1">
        <v>45048</v>
      </c>
      <c r="E6137" s="1">
        <v>45050</v>
      </c>
      <c r="F6137" s="1">
        <v>45055</v>
      </c>
      <c r="G6137">
        <v>55.25</v>
      </c>
      <c r="H61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37" t="str">
        <f>IFERROR(INDEX(Raw_orders!G:G, MATCH(shipments[[#This Row],[order_id]],Raw_orders!A:A, 0)), "Unknown")</f>
        <v>Baltics</v>
      </c>
      <c r="J6137" t="str">
        <f>PROPER(shipments[[#This Row],[delivery_status]])</f>
        <v>Delivered</v>
      </c>
      <c r="K6137" t="s">
        <v>6929</v>
      </c>
    </row>
    <row r="6138" spans="1:11">
      <c r="A6138" t="s">
        <v>13074</v>
      </c>
      <c r="B6138" t="s">
        <v>6682</v>
      </c>
      <c r="C6138" t="s">
        <v>6921</v>
      </c>
      <c r="D6138" s="1">
        <v>45116</v>
      </c>
      <c r="E6138" s="1">
        <v>45123</v>
      </c>
      <c r="F6138" s="1">
        <v>45122</v>
      </c>
      <c r="G6138">
        <v>33.630000000000003</v>
      </c>
      <c r="H61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138" t="str">
        <f>IFERROR(INDEX(Raw_orders!G:G, MATCH(shipments[[#This Row],[order_id]],Raw_orders!A:A, 0)), "Unknown")</f>
        <v>Nordics</v>
      </c>
      <c r="J6138" t="str">
        <f>PROPER(shipments[[#This Row],[delivery_status]])</f>
        <v>Delivered</v>
      </c>
      <c r="K6138" t="s">
        <v>6926</v>
      </c>
    </row>
    <row r="6139" spans="1:11">
      <c r="A6139" t="s">
        <v>13075</v>
      </c>
      <c r="B6139" t="s">
        <v>6683</v>
      </c>
      <c r="C6139" t="s">
        <v>6925</v>
      </c>
      <c r="D6139" s="1">
        <v>45063</v>
      </c>
      <c r="E6139" s="1">
        <v>45065</v>
      </c>
      <c r="F6139" s="1">
        <v>45075</v>
      </c>
      <c r="G6139">
        <v>49.34</v>
      </c>
      <c r="H61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39" t="str">
        <f>IFERROR(INDEX(Raw_orders!G:G, MATCH(shipments[[#This Row],[order_id]],Raw_orders!A:A, 0)), "Unknown")</f>
        <v>Central Europe</v>
      </c>
      <c r="J6139" t="str">
        <f>PROPER(shipments[[#This Row],[delivery_status]])</f>
        <v>Delivered</v>
      </c>
      <c r="K6139" t="s">
        <v>6929</v>
      </c>
    </row>
    <row r="6140" spans="1:11">
      <c r="A6140" t="s">
        <v>13076</v>
      </c>
      <c r="B6140" t="s">
        <v>6684</v>
      </c>
      <c r="C6140" t="s">
        <v>6925</v>
      </c>
      <c r="D6140" s="1">
        <v>45572</v>
      </c>
      <c r="E6140" s="1">
        <v>45579</v>
      </c>
      <c r="F6140" s="1">
        <v>45579</v>
      </c>
      <c r="G6140">
        <v>62.74</v>
      </c>
      <c r="H61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140" t="str">
        <f>IFERROR(INDEX(Raw_orders!G:G, MATCH(shipments[[#This Row],[order_id]],Raw_orders!A:A, 0)), "Unknown")</f>
        <v>Nordics</v>
      </c>
      <c r="J6140" t="str">
        <f>PROPER(shipments[[#This Row],[delivery_status]])</f>
        <v>Delivered</v>
      </c>
      <c r="K6140" t="s">
        <v>6922</v>
      </c>
    </row>
    <row r="6141" spans="1:11">
      <c r="A6141" t="s">
        <v>13077</v>
      </c>
      <c r="B6141" t="s">
        <v>6685</v>
      </c>
      <c r="C6141" t="s">
        <v>6928</v>
      </c>
      <c r="D6141" s="1">
        <v>44986</v>
      </c>
      <c r="E6141" s="1">
        <v>44988</v>
      </c>
      <c r="F6141" s="1">
        <v>44989</v>
      </c>
      <c r="G6141">
        <v>7.95</v>
      </c>
      <c r="H61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41" t="str">
        <f>IFERROR(INDEX(Raw_orders!G:G, MATCH(shipments[[#This Row],[order_id]],Raw_orders!A:A, 0)), "Unknown")</f>
        <v>Nordics</v>
      </c>
      <c r="J6141" t="str">
        <f>PROPER(shipments[[#This Row],[delivery_status]])</f>
        <v>Delivered</v>
      </c>
      <c r="K6141" t="s">
        <v>6926</v>
      </c>
    </row>
    <row r="6142" spans="1:11">
      <c r="A6142" t="s">
        <v>13078</v>
      </c>
      <c r="B6142" t="s">
        <v>6686</v>
      </c>
      <c r="C6142" t="s">
        <v>6956</v>
      </c>
      <c r="D6142" s="1">
        <v>45402</v>
      </c>
      <c r="E6142" s="1">
        <v>45412</v>
      </c>
      <c r="F6142" s="1"/>
      <c r="G6142">
        <v>20.56</v>
      </c>
      <c r="H61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142" t="str">
        <f>IFERROR(INDEX(Raw_orders!G:G, MATCH(shipments[[#This Row],[order_id]],Raw_orders!A:A, 0)), "Unknown")</f>
        <v>Nordics</v>
      </c>
      <c r="J6142" t="str">
        <f>PROPER(shipments[[#This Row],[delivery_status]])</f>
        <v>In Transit</v>
      </c>
      <c r="K6142" t="s">
        <v>6977</v>
      </c>
    </row>
    <row r="6143" spans="1:11">
      <c r="A6143" t="s">
        <v>13079</v>
      </c>
      <c r="B6143" t="s">
        <v>6687</v>
      </c>
      <c r="C6143" t="s">
        <v>6935</v>
      </c>
      <c r="D6143" s="1">
        <v>45258</v>
      </c>
      <c r="E6143" s="1">
        <v>45260</v>
      </c>
      <c r="F6143" s="1">
        <v>45262</v>
      </c>
      <c r="G6143">
        <v>5.66</v>
      </c>
      <c r="H61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43" t="str">
        <f>IFERROR(INDEX(Raw_orders!G:G, MATCH(shipments[[#This Row],[order_id]],Raw_orders!A:A, 0)), "Unknown")</f>
        <v>Nordics</v>
      </c>
      <c r="J6143" t="str">
        <f>PROPER(shipments[[#This Row],[delivery_status]])</f>
        <v>Delivered</v>
      </c>
      <c r="K6143" t="s">
        <v>6922</v>
      </c>
    </row>
    <row r="6144" spans="1:11">
      <c r="A6144" t="s">
        <v>13080</v>
      </c>
      <c r="B6144" t="s">
        <v>6688</v>
      </c>
      <c r="C6144" t="s">
        <v>6938</v>
      </c>
      <c r="D6144" s="1">
        <v>45575</v>
      </c>
      <c r="E6144" s="1">
        <v>45585</v>
      </c>
      <c r="F6144" s="1">
        <v>45597</v>
      </c>
      <c r="G6144">
        <v>62.51</v>
      </c>
      <c r="H61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44" t="str">
        <f>IFERROR(INDEX(Raw_orders!G:G, MATCH(shipments[[#This Row],[order_id]],Raw_orders!A:A, 0)), "Unknown")</f>
        <v>Nordics</v>
      </c>
      <c r="J6144" t="str">
        <f>PROPER(shipments[[#This Row],[delivery_status]])</f>
        <v>Delivered</v>
      </c>
      <c r="K6144" t="s">
        <v>6926</v>
      </c>
    </row>
    <row r="6145" spans="1:11">
      <c r="A6145" t="s">
        <v>13081</v>
      </c>
      <c r="B6145" t="s">
        <v>6689</v>
      </c>
      <c r="C6145" t="s">
        <v>6938</v>
      </c>
      <c r="D6145" s="1">
        <v>45224</v>
      </c>
      <c r="E6145" s="1">
        <v>45226</v>
      </c>
      <c r="F6145" s="1">
        <v>45226</v>
      </c>
      <c r="G6145">
        <v>42.09</v>
      </c>
      <c r="H61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145" t="str">
        <f>IFERROR(INDEX(Raw_orders!G:G, MATCH(shipments[[#This Row],[order_id]],Raw_orders!A:A, 0)), "Unknown")</f>
        <v>Baltics</v>
      </c>
      <c r="J6145" t="str">
        <f>PROPER(shipments[[#This Row],[delivery_status]])</f>
        <v>Delivered</v>
      </c>
      <c r="K6145" t="s">
        <v>6922</v>
      </c>
    </row>
    <row r="6146" spans="1:11">
      <c r="A6146" t="s">
        <v>13082</v>
      </c>
      <c r="B6146" t="s">
        <v>6690</v>
      </c>
      <c r="C6146" t="s">
        <v>6940</v>
      </c>
      <c r="D6146" s="1">
        <v>45355</v>
      </c>
      <c r="E6146" s="1">
        <v>45360</v>
      </c>
      <c r="F6146" s="1">
        <v>45367</v>
      </c>
      <c r="G6146">
        <v>54.77</v>
      </c>
      <c r="H61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46" t="str">
        <f>IFERROR(INDEX(Raw_orders!G:G, MATCH(shipments[[#This Row],[order_id]],Raw_orders!A:A, 0)), "Unknown")</f>
        <v>Central Europe</v>
      </c>
      <c r="J6146" t="str">
        <f>PROPER(shipments[[#This Row],[delivery_status]])</f>
        <v>Delivered</v>
      </c>
      <c r="K6146" t="s">
        <v>6926</v>
      </c>
    </row>
    <row r="6147" spans="1:11">
      <c r="A6147" t="s">
        <v>13083</v>
      </c>
      <c r="B6147" t="s">
        <v>6691</v>
      </c>
      <c r="C6147" t="s">
        <v>6931</v>
      </c>
      <c r="D6147" s="1">
        <v>45057</v>
      </c>
      <c r="E6147" s="1">
        <v>45064</v>
      </c>
      <c r="F6147" s="1">
        <v>45067</v>
      </c>
      <c r="G6147">
        <v>60.1</v>
      </c>
      <c r="H61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47" t="str">
        <f>IFERROR(INDEX(Raw_orders!G:G, MATCH(shipments[[#This Row],[order_id]],Raw_orders!A:A, 0)), "Unknown")</f>
        <v>Nordics</v>
      </c>
      <c r="J6147" t="str">
        <f>PROPER(shipments[[#This Row],[delivery_status]])</f>
        <v>Delivered</v>
      </c>
      <c r="K6147" t="s">
        <v>6922</v>
      </c>
    </row>
    <row r="6148" spans="1:11">
      <c r="A6148" t="s">
        <v>13084</v>
      </c>
      <c r="B6148" t="s">
        <v>6692</v>
      </c>
      <c r="C6148" t="s">
        <v>6921</v>
      </c>
      <c r="D6148" s="1">
        <v>45365</v>
      </c>
      <c r="E6148" s="1">
        <v>45372</v>
      </c>
      <c r="F6148" s="1">
        <v>45375</v>
      </c>
      <c r="G6148">
        <v>22.2</v>
      </c>
      <c r="H61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48" t="str">
        <f>IFERROR(INDEX(Raw_orders!G:G, MATCH(shipments[[#This Row],[order_id]],Raw_orders!A:A, 0)), "Unknown")</f>
        <v>Baltics</v>
      </c>
      <c r="J6148" t="str">
        <f>PROPER(shipments[[#This Row],[delivery_status]])</f>
        <v>Delivered</v>
      </c>
      <c r="K6148" t="s">
        <v>6929</v>
      </c>
    </row>
    <row r="6149" spans="1:11">
      <c r="A6149" t="s">
        <v>13085</v>
      </c>
      <c r="B6149" t="s">
        <v>6693</v>
      </c>
      <c r="C6149" t="s">
        <v>6940</v>
      </c>
      <c r="D6149" s="1">
        <v>45530</v>
      </c>
      <c r="E6149" s="1">
        <v>45535</v>
      </c>
      <c r="F6149" s="1">
        <v>45538</v>
      </c>
      <c r="G6149">
        <v>56.02</v>
      </c>
      <c r="H61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49" t="str">
        <f>IFERROR(INDEX(Raw_orders!G:G, MATCH(shipments[[#This Row],[order_id]],Raw_orders!A:A, 0)), "Unknown")</f>
        <v>Central Europe</v>
      </c>
      <c r="J6149" t="str">
        <f>PROPER(shipments[[#This Row],[delivery_status]])</f>
        <v>Delivered</v>
      </c>
      <c r="K6149" t="s">
        <v>6929</v>
      </c>
    </row>
    <row r="6150" spans="1:11">
      <c r="A6150" t="s">
        <v>13086</v>
      </c>
      <c r="B6150" t="s">
        <v>6694</v>
      </c>
      <c r="C6150" t="s">
        <v>6928</v>
      </c>
      <c r="D6150" s="1">
        <v>45400</v>
      </c>
      <c r="E6150" s="1">
        <v>45405</v>
      </c>
      <c r="F6150" s="1">
        <v>45405</v>
      </c>
      <c r="G6150">
        <v>5.8</v>
      </c>
      <c r="H61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150" t="str">
        <f>IFERROR(INDEX(Raw_orders!G:G, MATCH(shipments[[#This Row],[order_id]],Raw_orders!A:A, 0)), "Unknown")</f>
        <v>Baltics</v>
      </c>
      <c r="J6150" t="str">
        <f>PROPER(shipments[[#This Row],[delivery_status]])</f>
        <v>Delivered</v>
      </c>
      <c r="K6150" t="s">
        <v>6922</v>
      </c>
    </row>
    <row r="6151" spans="1:11">
      <c r="A6151" t="s">
        <v>13087</v>
      </c>
      <c r="B6151" t="s">
        <v>6695</v>
      </c>
      <c r="C6151" t="s">
        <v>6925</v>
      </c>
      <c r="D6151" s="1">
        <v>45623</v>
      </c>
      <c r="E6151" s="1">
        <v>45628</v>
      </c>
      <c r="F6151" s="1"/>
      <c r="G6151">
        <v>51.09</v>
      </c>
      <c r="H61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151" t="str">
        <f>IFERROR(INDEX(Raw_orders!G:G, MATCH(shipments[[#This Row],[order_id]],Raw_orders!A:A, 0)), "Unknown")</f>
        <v>Baltics</v>
      </c>
      <c r="J6151" t="str">
        <f>PROPER(shipments[[#This Row],[delivery_status]])</f>
        <v>In Transit</v>
      </c>
      <c r="K6151" t="s">
        <v>6958</v>
      </c>
    </row>
    <row r="6152" spans="1:11">
      <c r="A6152" t="s">
        <v>13088</v>
      </c>
      <c r="B6152" t="s">
        <v>6696</v>
      </c>
      <c r="C6152" t="s">
        <v>6931</v>
      </c>
      <c r="D6152" s="1">
        <v>44939</v>
      </c>
      <c r="E6152" s="1">
        <v>44949</v>
      </c>
      <c r="F6152" s="1"/>
      <c r="G6152">
        <v>62.59</v>
      </c>
      <c r="H61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6152" t="str">
        <f>IFERROR(INDEX(Raw_orders!G:G, MATCH(shipments[[#This Row],[order_id]],Raw_orders!A:A, 0)), "Unknown")</f>
        <v>Central Europe</v>
      </c>
      <c r="J6152" t="str">
        <f>PROPER(shipments[[#This Row],[delivery_status]])</f>
        <v>Cancelled</v>
      </c>
      <c r="K6152" t="s">
        <v>6972</v>
      </c>
    </row>
    <row r="6153" spans="1:11">
      <c r="A6153" t="s">
        <v>13089</v>
      </c>
      <c r="B6153" t="s">
        <v>6697</v>
      </c>
      <c r="C6153" t="s">
        <v>6940</v>
      </c>
      <c r="D6153" s="1">
        <v>45184</v>
      </c>
      <c r="E6153" s="1">
        <v>45189</v>
      </c>
      <c r="F6153" s="1">
        <v>45192</v>
      </c>
      <c r="G6153">
        <v>47.51</v>
      </c>
      <c r="H61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53" t="str">
        <f>IFERROR(INDEX(Raw_orders!G:G, MATCH(shipments[[#This Row],[order_id]],Raw_orders!A:A, 0)), "Unknown")</f>
        <v>Nordics</v>
      </c>
      <c r="J6153" t="str">
        <f>PROPER(shipments[[#This Row],[delivery_status]])</f>
        <v>Delivered</v>
      </c>
      <c r="K6153" t="s">
        <v>6929</v>
      </c>
    </row>
    <row r="6154" spans="1:11">
      <c r="A6154" t="s">
        <v>13090</v>
      </c>
      <c r="B6154" t="s">
        <v>6697</v>
      </c>
      <c r="C6154" t="s">
        <v>6931</v>
      </c>
      <c r="D6154" s="1">
        <v>45182</v>
      </c>
      <c r="E6154" s="1">
        <v>45189</v>
      </c>
      <c r="F6154" s="1"/>
      <c r="G6154">
        <v>19.78</v>
      </c>
      <c r="H61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6154" t="str">
        <f>IFERROR(INDEX(Raw_orders!G:G, MATCH(shipments[[#This Row],[order_id]],Raw_orders!A:A, 0)), "Unknown")</f>
        <v>Nordics</v>
      </c>
      <c r="J6154" t="str">
        <f>PROPER(shipments[[#This Row],[delivery_status]])</f>
        <v>Cancelled</v>
      </c>
      <c r="K6154" t="s">
        <v>6979</v>
      </c>
    </row>
    <row r="6155" spans="1:11">
      <c r="A6155" t="s">
        <v>13091</v>
      </c>
      <c r="B6155" t="s">
        <v>6698</v>
      </c>
      <c r="C6155" t="s">
        <v>6928</v>
      </c>
      <c r="D6155" s="1">
        <v>45291</v>
      </c>
      <c r="E6155" s="1">
        <v>45293</v>
      </c>
      <c r="F6155" s="1"/>
      <c r="G6155">
        <v>48.19</v>
      </c>
      <c r="H61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155" t="str">
        <f>IFERROR(INDEX(Raw_orders!G:G, MATCH(shipments[[#This Row],[order_id]],Raw_orders!A:A, 0)), "Unknown")</f>
        <v>Nordics</v>
      </c>
      <c r="J6155" t="str">
        <f>PROPER(shipments[[#This Row],[delivery_status]])</f>
        <v>In Transit</v>
      </c>
      <c r="K6155" t="s">
        <v>6946</v>
      </c>
    </row>
    <row r="6156" spans="1:11">
      <c r="A6156" t="s">
        <v>13092</v>
      </c>
      <c r="B6156" t="s">
        <v>6699</v>
      </c>
      <c r="C6156" t="s">
        <v>6949</v>
      </c>
      <c r="D6156" s="1">
        <v>45069</v>
      </c>
      <c r="E6156" s="1">
        <v>45076</v>
      </c>
      <c r="F6156" s="1"/>
      <c r="G6156">
        <v>41.64</v>
      </c>
      <c r="H61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156" t="str">
        <f>IFERROR(INDEX(Raw_orders!G:G, MATCH(shipments[[#This Row],[order_id]],Raw_orders!A:A, 0)), "Unknown")</f>
        <v>Baltics</v>
      </c>
      <c r="J6156" t="str">
        <f>PROPER(shipments[[#This Row],[delivery_status]])</f>
        <v>In Transit</v>
      </c>
      <c r="K6156" t="s">
        <v>6946</v>
      </c>
    </row>
    <row r="6157" spans="1:11">
      <c r="A6157" t="s">
        <v>13093</v>
      </c>
      <c r="B6157" t="s">
        <v>6700</v>
      </c>
      <c r="C6157" t="s">
        <v>6921</v>
      </c>
      <c r="D6157" s="1">
        <v>45272</v>
      </c>
      <c r="E6157" s="1">
        <v>45282</v>
      </c>
      <c r="F6157" s="1">
        <v>45284</v>
      </c>
      <c r="G6157">
        <v>27.03</v>
      </c>
      <c r="H61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57" t="str">
        <f>IFERROR(INDEX(Raw_orders!G:G, MATCH(shipments[[#This Row],[order_id]],Raw_orders!A:A, 0)), "Unknown")</f>
        <v>Nordics</v>
      </c>
      <c r="J6157" t="str">
        <f>PROPER(shipments[[#This Row],[delivery_status]])</f>
        <v>Delivered</v>
      </c>
      <c r="K6157" t="s">
        <v>6922</v>
      </c>
    </row>
    <row r="6158" spans="1:11">
      <c r="A6158" t="s">
        <v>13094</v>
      </c>
      <c r="B6158" t="s">
        <v>6701</v>
      </c>
      <c r="C6158" t="s">
        <v>6931</v>
      </c>
      <c r="D6158" s="1">
        <v>45385</v>
      </c>
      <c r="E6158" s="1">
        <v>45387</v>
      </c>
      <c r="F6158" s="1">
        <v>45395</v>
      </c>
      <c r="G6158">
        <v>22.34</v>
      </c>
      <c r="H61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58" t="str">
        <f>IFERROR(INDEX(Raw_orders!G:G, MATCH(shipments[[#This Row],[order_id]],Raw_orders!A:A, 0)), "Unknown")</f>
        <v>Central Europe</v>
      </c>
      <c r="J6158" t="str">
        <f>PROPER(shipments[[#This Row],[delivery_status]])</f>
        <v>Delivered</v>
      </c>
      <c r="K6158" t="s">
        <v>6929</v>
      </c>
    </row>
    <row r="6159" spans="1:11">
      <c r="A6159" t="s">
        <v>13095</v>
      </c>
      <c r="B6159" t="s">
        <v>6702</v>
      </c>
      <c r="C6159" t="s">
        <v>6935</v>
      </c>
      <c r="D6159" s="1">
        <v>45261</v>
      </c>
      <c r="E6159" s="1">
        <v>45268</v>
      </c>
      <c r="F6159" s="1">
        <v>45276</v>
      </c>
      <c r="G6159">
        <v>29.34</v>
      </c>
      <c r="H61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59" t="str">
        <f>IFERROR(INDEX(Raw_orders!G:G, MATCH(shipments[[#This Row],[order_id]],Raw_orders!A:A, 0)), "Unknown")</f>
        <v>Baltics</v>
      </c>
      <c r="J6159" t="str">
        <f>PROPER(shipments[[#This Row],[delivery_status]])</f>
        <v>Delivered</v>
      </c>
      <c r="K6159" t="s">
        <v>6926</v>
      </c>
    </row>
    <row r="6160" spans="1:11">
      <c r="A6160" t="s">
        <v>13096</v>
      </c>
      <c r="B6160" t="s">
        <v>6703</v>
      </c>
      <c r="C6160" t="s">
        <v>6956</v>
      </c>
      <c r="D6160" s="1">
        <v>45343</v>
      </c>
      <c r="E6160" s="1">
        <v>45346</v>
      </c>
      <c r="F6160" s="1"/>
      <c r="G6160">
        <v>18.260000000000002</v>
      </c>
      <c r="H61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160" t="str">
        <f>IFERROR(INDEX(Raw_orders!G:G, MATCH(shipments[[#This Row],[order_id]],Raw_orders!A:A, 0)), "Unknown")</f>
        <v>Baltics</v>
      </c>
      <c r="J6160" t="str">
        <f>PROPER(shipments[[#This Row],[delivery_status]])</f>
        <v>In Transit</v>
      </c>
      <c r="K6160" t="s">
        <v>6977</v>
      </c>
    </row>
    <row r="6161" spans="1:11">
      <c r="A6161" t="s">
        <v>13097</v>
      </c>
      <c r="B6161" t="s">
        <v>6704</v>
      </c>
      <c r="C6161" t="s">
        <v>6931</v>
      </c>
      <c r="D6161" s="1">
        <v>45157</v>
      </c>
      <c r="E6161" s="1">
        <v>45167</v>
      </c>
      <c r="F6161" s="1">
        <v>45172</v>
      </c>
      <c r="G6161">
        <v>6.32</v>
      </c>
      <c r="H61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61" t="str">
        <f>IFERROR(INDEX(Raw_orders!G:G, MATCH(shipments[[#This Row],[order_id]],Raw_orders!A:A, 0)), "Unknown")</f>
        <v>Baltics</v>
      </c>
      <c r="J6161" t="str">
        <f>PROPER(shipments[[#This Row],[delivery_status]])</f>
        <v>Delivered</v>
      </c>
      <c r="K6161" t="s">
        <v>6922</v>
      </c>
    </row>
    <row r="6162" spans="1:11">
      <c r="A6162" t="s">
        <v>13098</v>
      </c>
      <c r="B6162" t="s">
        <v>6705</v>
      </c>
      <c r="C6162" t="s">
        <v>6956</v>
      </c>
      <c r="D6162" s="1">
        <v>45336</v>
      </c>
      <c r="E6162" s="1">
        <v>45338</v>
      </c>
      <c r="F6162" s="1">
        <v>45339</v>
      </c>
      <c r="G6162">
        <v>23.45</v>
      </c>
      <c r="H61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62" t="str">
        <f>IFERROR(INDEX(Raw_orders!G:G, MATCH(shipments[[#This Row],[order_id]],Raw_orders!A:A, 0)), "Unknown")</f>
        <v>Baltics</v>
      </c>
      <c r="J6162" t="str">
        <f>PROPER(shipments[[#This Row],[delivery_status]])</f>
        <v>Delivered</v>
      </c>
      <c r="K6162" t="s">
        <v>6929</v>
      </c>
    </row>
    <row r="6163" spans="1:11">
      <c r="A6163" t="s">
        <v>13099</v>
      </c>
      <c r="B6163" t="s">
        <v>6706</v>
      </c>
      <c r="C6163" t="s">
        <v>6931</v>
      </c>
      <c r="D6163" s="1">
        <v>44971</v>
      </c>
      <c r="E6163" s="1">
        <v>44973</v>
      </c>
      <c r="F6163" s="1">
        <v>44978</v>
      </c>
      <c r="G6163">
        <v>33.369999999999997</v>
      </c>
      <c r="H61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63" t="str">
        <f>IFERROR(INDEX(Raw_orders!G:G, MATCH(shipments[[#This Row],[order_id]],Raw_orders!A:A, 0)), "Unknown")</f>
        <v>Baltics</v>
      </c>
      <c r="J6163" t="str">
        <f>PROPER(shipments[[#This Row],[delivery_status]])</f>
        <v>Delivered</v>
      </c>
      <c r="K6163" t="s">
        <v>6926</v>
      </c>
    </row>
    <row r="6164" spans="1:11">
      <c r="A6164" t="s">
        <v>13100</v>
      </c>
      <c r="B6164" t="s">
        <v>6707</v>
      </c>
      <c r="C6164" t="s">
        <v>6938</v>
      </c>
      <c r="D6164" s="1">
        <v>45601</v>
      </c>
      <c r="E6164" s="1">
        <v>45604</v>
      </c>
      <c r="F6164" s="1">
        <v>45607</v>
      </c>
      <c r="G6164">
        <v>6.5</v>
      </c>
      <c r="H61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64" t="str">
        <f>IFERROR(INDEX(Raw_orders!G:G, MATCH(shipments[[#This Row],[order_id]],Raw_orders!A:A, 0)), "Unknown")</f>
        <v>Central Europe</v>
      </c>
      <c r="J6164" t="str">
        <f>PROPER(shipments[[#This Row],[delivery_status]])</f>
        <v>Delivered</v>
      </c>
      <c r="K6164" t="s">
        <v>6926</v>
      </c>
    </row>
    <row r="6165" spans="1:11">
      <c r="A6165" t="s">
        <v>13101</v>
      </c>
      <c r="B6165" t="s">
        <v>6708</v>
      </c>
      <c r="C6165" t="s">
        <v>6921</v>
      </c>
      <c r="D6165" s="1">
        <v>45550</v>
      </c>
      <c r="E6165" s="1">
        <v>45555</v>
      </c>
      <c r="F6165" s="1">
        <v>45555</v>
      </c>
      <c r="G6165">
        <v>37.200000000000003</v>
      </c>
      <c r="H61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165" t="str">
        <f>IFERROR(INDEX(Raw_orders!G:G, MATCH(shipments[[#This Row],[order_id]],Raw_orders!A:A, 0)), "Unknown")</f>
        <v>Central Europe</v>
      </c>
      <c r="J6165" t="str">
        <f>PROPER(shipments[[#This Row],[delivery_status]])</f>
        <v>Delivered</v>
      </c>
      <c r="K6165" t="s">
        <v>6922</v>
      </c>
    </row>
    <row r="6166" spans="1:11">
      <c r="A6166" t="s">
        <v>13102</v>
      </c>
      <c r="B6166" t="s">
        <v>6709</v>
      </c>
      <c r="C6166" t="s">
        <v>6956</v>
      </c>
      <c r="D6166" s="1">
        <v>45613</v>
      </c>
      <c r="E6166" s="1">
        <v>45620</v>
      </c>
      <c r="F6166" s="1">
        <v>45621</v>
      </c>
      <c r="G6166">
        <v>42.43</v>
      </c>
      <c r="H61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66" t="str">
        <f>IFERROR(INDEX(Raw_orders!G:G, MATCH(shipments[[#This Row],[order_id]],Raw_orders!A:A, 0)), "Unknown")</f>
        <v>Baltics</v>
      </c>
      <c r="J6166" t="str">
        <f>PROPER(shipments[[#This Row],[delivery_status]])</f>
        <v>Delivered</v>
      </c>
      <c r="K6166" t="s">
        <v>6926</v>
      </c>
    </row>
    <row r="6167" spans="1:11">
      <c r="A6167" t="s">
        <v>13103</v>
      </c>
      <c r="B6167" t="s">
        <v>6710</v>
      </c>
      <c r="C6167" t="s">
        <v>6925</v>
      </c>
      <c r="D6167" s="1">
        <v>45260</v>
      </c>
      <c r="E6167" s="1">
        <v>45262</v>
      </c>
      <c r="F6167" s="1">
        <v>45261</v>
      </c>
      <c r="G6167">
        <v>62.22</v>
      </c>
      <c r="H61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167" t="str">
        <f>IFERROR(INDEX(Raw_orders!G:G, MATCH(shipments[[#This Row],[order_id]],Raw_orders!A:A, 0)), "Unknown")</f>
        <v>Central Europe</v>
      </c>
      <c r="J6167" t="str">
        <f>PROPER(shipments[[#This Row],[delivery_status]])</f>
        <v>Delivered</v>
      </c>
      <c r="K6167" t="s">
        <v>6929</v>
      </c>
    </row>
    <row r="6168" spans="1:11">
      <c r="A6168" t="s">
        <v>13104</v>
      </c>
      <c r="B6168" t="s">
        <v>6711</v>
      </c>
      <c r="C6168" t="s">
        <v>6928</v>
      </c>
      <c r="D6168" s="1">
        <v>45345</v>
      </c>
      <c r="E6168" s="1">
        <v>45350</v>
      </c>
      <c r="F6168" s="1">
        <v>45352</v>
      </c>
      <c r="G6168">
        <v>33.53</v>
      </c>
      <c r="H61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68" t="str">
        <f>IFERROR(INDEX(Raw_orders!G:G, MATCH(shipments[[#This Row],[order_id]],Raw_orders!A:A, 0)), "Unknown")</f>
        <v>Central Europe</v>
      </c>
      <c r="J6168" t="str">
        <f>PROPER(shipments[[#This Row],[delivery_status]])</f>
        <v>Delivered</v>
      </c>
      <c r="K6168" t="s">
        <v>6929</v>
      </c>
    </row>
    <row r="6169" spans="1:11">
      <c r="A6169" t="s">
        <v>13105</v>
      </c>
      <c r="B6169" t="s">
        <v>6712</v>
      </c>
      <c r="C6169" t="s">
        <v>6925</v>
      </c>
      <c r="D6169" s="1">
        <v>45499</v>
      </c>
      <c r="E6169" s="1">
        <v>45502</v>
      </c>
      <c r="F6169" s="1">
        <v>45510</v>
      </c>
      <c r="G6169">
        <v>16.57</v>
      </c>
      <c r="H61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69" t="str">
        <f>IFERROR(INDEX(Raw_orders!G:G, MATCH(shipments[[#This Row],[order_id]],Raw_orders!A:A, 0)), "Unknown")</f>
        <v>Unknown</v>
      </c>
      <c r="J6169" t="str">
        <f>PROPER(shipments[[#This Row],[delivery_status]])</f>
        <v>Delivered</v>
      </c>
      <c r="K6169" t="s">
        <v>6929</v>
      </c>
    </row>
    <row r="6170" spans="1:11">
      <c r="A6170" t="s">
        <v>13106</v>
      </c>
      <c r="B6170" t="s">
        <v>6713</v>
      </c>
      <c r="C6170" t="s">
        <v>6956</v>
      </c>
      <c r="D6170" s="1">
        <v>45260</v>
      </c>
      <c r="E6170" s="1">
        <v>45263</v>
      </c>
      <c r="F6170" s="1"/>
      <c r="G6170">
        <v>52.83</v>
      </c>
      <c r="H61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170" t="str">
        <f>IFERROR(INDEX(Raw_orders!G:G, MATCH(shipments[[#This Row],[order_id]],Raw_orders!A:A, 0)), "Unknown")</f>
        <v>Central Europe</v>
      </c>
      <c r="J6170" t="str">
        <f>PROPER(shipments[[#This Row],[delivery_status]])</f>
        <v>In Transit</v>
      </c>
      <c r="K6170" t="s">
        <v>6958</v>
      </c>
    </row>
    <row r="6171" spans="1:11">
      <c r="A6171" t="s">
        <v>13107</v>
      </c>
      <c r="B6171" t="s">
        <v>6714</v>
      </c>
      <c r="C6171" t="s">
        <v>6938</v>
      </c>
      <c r="D6171" s="1">
        <v>45602</v>
      </c>
      <c r="E6171" s="1">
        <v>45612</v>
      </c>
      <c r="F6171" s="1">
        <v>45615</v>
      </c>
      <c r="G6171">
        <v>42.2</v>
      </c>
      <c r="H61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71" t="str">
        <f>IFERROR(INDEX(Raw_orders!G:G, MATCH(shipments[[#This Row],[order_id]],Raw_orders!A:A, 0)), "Unknown")</f>
        <v>Central Europe</v>
      </c>
      <c r="J6171" t="str">
        <f>PROPER(shipments[[#This Row],[delivery_status]])</f>
        <v>Delivered</v>
      </c>
      <c r="K6171" t="s">
        <v>6926</v>
      </c>
    </row>
    <row r="6172" spans="1:11">
      <c r="A6172" t="s">
        <v>13108</v>
      </c>
      <c r="B6172" t="s">
        <v>6715</v>
      </c>
      <c r="C6172" t="s">
        <v>6925</v>
      </c>
      <c r="D6172" s="1">
        <v>45443</v>
      </c>
      <c r="E6172" s="1">
        <v>45453</v>
      </c>
      <c r="F6172" s="1">
        <v>45457</v>
      </c>
      <c r="G6172">
        <v>31.62</v>
      </c>
      <c r="H61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72" t="str">
        <f>IFERROR(INDEX(Raw_orders!G:G, MATCH(shipments[[#This Row],[order_id]],Raw_orders!A:A, 0)), "Unknown")</f>
        <v>Central Europe</v>
      </c>
      <c r="J6172" t="str">
        <f>PROPER(shipments[[#This Row],[delivery_status]])</f>
        <v>Delivered</v>
      </c>
      <c r="K6172" t="s">
        <v>6922</v>
      </c>
    </row>
    <row r="6173" spans="1:11">
      <c r="A6173" t="s">
        <v>13109</v>
      </c>
      <c r="B6173" t="s">
        <v>6716</v>
      </c>
      <c r="C6173" t="s">
        <v>6931</v>
      </c>
      <c r="D6173" s="1">
        <v>45042</v>
      </c>
      <c r="E6173" s="1">
        <v>45044</v>
      </c>
      <c r="F6173" s="1">
        <v>45044</v>
      </c>
      <c r="G6173">
        <v>46.13</v>
      </c>
      <c r="H61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173" t="str">
        <f>IFERROR(INDEX(Raw_orders!G:G, MATCH(shipments[[#This Row],[order_id]],Raw_orders!A:A, 0)), "Unknown")</f>
        <v>Central Europe</v>
      </c>
      <c r="J6173" t="str">
        <f>PROPER(shipments[[#This Row],[delivery_status]])</f>
        <v>Delivered</v>
      </c>
      <c r="K6173" t="s">
        <v>6922</v>
      </c>
    </row>
    <row r="6174" spans="1:11">
      <c r="A6174" t="s">
        <v>13110</v>
      </c>
      <c r="B6174" t="s">
        <v>6717</v>
      </c>
      <c r="C6174" t="s">
        <v>6949</v>
      </c>
      <c r="D6174" s="1">
        <v>45585</v>
      </c>
      <c r="E6174" s="1">
        <v>45595</v>
      </c>
      <c r="F6174" s="1">
        <v>45600</v>
      </c>
      <c r="G6174">
        <v>10.28</v>
      </c>
      <c r="H61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74" t="str">
        <f>IFERROR(INDEX(Raw_orders!G:G, MATCH(shipments[[#This Row],[order_id]],Raw_orders!A:A, 0)), "Unknown")</f>
        <v>Baltics</v>
      </c>
      <c r="J6174" t="str">
        <f>PROPER(shipments[[#This Row],[delivery_status]])</f>
        <v>Delivered</v>
      </c>
      <c r="K6174" t="s">
        <v>6929</v>
      </c>
    </row>
    <row r="6175" spans="1:11">
      <c r="A6175" t="s">
        <v>13111</v>
      </c>
      <c r="B6175" t="s">
        <v>6718</v>
      </c>
      <c r="C6175" t="s">
        <v>6956</v>
      </c>
      <c r="D6175" s="1">
        <v>45419</v>
      </c>
      <c r="E6175" s="1">
        <v>45422</v>
      </c>
      <c r="F6175" s="1">
        <v>45427</v>
      </c>
      <c r="G6175">
        <v>17.41</v>
      </c>
      <c r="H61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75" t="str">
        <f>IFERROR(INDEX(Raw_orders!G:G, MATCH(shipments[[#This Row],[order_id]],Raw_orders!A:A, 0)), "Unknown")</f>
        <v>Baltics</v>
      </c>
      <c r="J6175" t="str">
        <f>PROPER(shipments[[#This Row],[delivery_status]])</f>
        <v>Delivered</v>
      </c>
      <c r="K6175" t="s">
        <v>6929</v>
      </c>
    </row>
    <row r="6176" spans="1:11">
      <c r="A6176" t="s">
        <v>13112</v>
      </c>
      <c r="B6176" t="s">
        <v>6719</v>
      </c>
      <c r="C6176" t="s">
        <v>6925</v>
      </c>
      <c r="D6176" s="1">
        <v>45224</v>
      </c>
      <c r="E6176" s="1">
        <v>45231</v>
      </c>
      <c r="F6176" s="1">
        <v>45239</v>
      </c>
      <c r="G6176">
        <v>60.37</v>
      </c>
      <c r="H61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76" t="str">
        <f>IFERROR(INDEX(Raw_orders!G:G, MATCH(shipments[[#This Row],[order_id]],Raw_orders!A:A, 0)), "Unknown")</f>
        <v>Central Europe</v>
      </c>
      <c r="J6176" t="str">
        <f>PROPER(shipments[[#This Row],[delivery_status]])</f>
        <v>Delivered</v>
      </c>
      <c r="K6176" t="s">
        <v>6926</v>
      </c>
    </row>
    <row r="6177" spans="1:11">
      <c r="A6177" t="s">
        <v>13113</v>
      </c>
      <c r="B6177" t="s">
        <v>6720</v>
      </c>
      <c r="C6177" t="s">
        <v>6921</v>
      </c>
      <c r="D6177" s="1">
        <v>44964</v>
      </c>
      <c r="E6177" s="1">
        <v>44969</v>
      </c>
      <c r="F6177" s="1">
        <v>44970</v>
      </c>
      <c r="G6177">
        <v>25.65</v>
      </c>
      <c r="H61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77" t="str">
        <f>IFERROR(INDEX(Raw_orders!G:G, MATCH(shipments[[#This Row],[order_id]],Raw_orders!A:A, 0)), "Unknown")</f>
        <v>Nordics</v>
      </c>
      <c r="J6177" t="str">
        <f>PROPER(shipments[[#This Row],[delivery_status]])</f>
        <v>Delivered</v>
      </c>
      <c r="K6177" t="s">
        <v>6926</v>
      </c>
    </row>
    <row r="6178" spans="1:11">
      <c r="A6178" t="s">
        <v>13114</v>
      </c>
      <c r="B6178" t="s">
        <v>6721</v>
      </c>
      <c r="C6178" t="s">
        <v>6931</v>
      </c>
      <c r="D6178" s="1">
        <v>45333</v>
      </c>
      <c r="E6178" s="1">
        <v>45340</v>
      </c>
      <c r="F6178" s="1"/>
      <c r="G6178">
        <v>23.44</v>
      </c>
      <c r="H61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178" t="str">
        <f>IFERROR(INDEX(Raw_orders!G:G, MATCH(shipments[[#This Row],[order_id]],Raw_orders!A:A, 0)), "Unknown")</f>
        <v>Baltics</v>
      </c>
      <c r="J6178" t="str">
        <f>PROPER(shipments[[#This Row],[delivery_status]])</f>
        <v>In Transit</v>
      </c>
      <c r="K6178" t="s">
        <v>6958</v>
      </c>
    </row>
    <row r="6179" spans="1:11">
      <c r="A6179" t="s">
        <v>13115</v>
      </c>
      <c r="B6179" t="s">
        <v>6722</v>
      </c>
      <c r="C6179" t="s">
        <v>6940</v>
      </c>
      <c r="D6179" s="1">
        <v>45026</v>
      </c>
      <c r="E6179" s="1">
        <v>45029</v>
      </c>
      <c r="F6179" s="1">
        <v>45029</v>
      </c>
      <c r="G6179">
        <v>24.78</v>
      </c>
      <c r="H61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179" t="str">
        <f>IFERROR(INDEX(Raw_orders!G:G, MATCH(shipments[[#This Row],[order_id]],Raw_orders!A:A, 0)), "Unknown")</f>
        <v>Central Europe</v>
      </c>
      <c r="J6179" t="str">
        <f>PROPER(shipments[[#This Row],[delivery_status]])</f>
        <v>Delivered</v>
      </c>
      <c r="K6179" t="s">
        <v>6926</v>
      </c>
    </row>
    <row r="6180" spans="1:11">
      <c r="A6180" t="s">
        <v>13116</v>
      </c>
      <c r="B6180" t="s">
        <v>6723</v>
      </c>
      <c r="C6180" t="s">
        <v>6956</v>
      </c>
      <c r="D6180" s="1">
        <v>45220</v>
      </c>
      <c r="E6180" s="1">
        <v>45223</v>
      </c>
      <c r="F6180" s="1"/>
      <c r="G6180">
        <v>17.989999999999998</v>
      </c>
      <c r="H61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180" t="str">
        <f>IFERROR(INDEX(Raw_orders!G:G, MATCH(shipments[[#This Row],[order_id]],Raw_orders!A:A, 0)), "Unknown")</f>
        <v>Nordics</v>
      </c>
      <c r="J6180" t="str">
        <f>PROPER(shipments[[#This Row],[delivery_status]])</f>
        <v>In Transit</v>
      </c>
      <c r="K6180" t="s">
        <v>6946</v>
      </c>
    </row>
    <row r="6181" spans="1:11">
      <c r="A6181" t="s">
        <v>13117</v>
      </c>
      <c r="B6181" t="s">
        <v>6724</v>
      </c>
      <c r="C6181" t="s">
        <v>6940</v>
      </c>
      <c r="D6181" s="1">
        <v>45023</v>
      </c>
      <c r="E6181" s="1">
        <v>45033</v>
      </c>
      <c r="F6181" s="1"/>
      <c r="G6181">
        <v>38.32</v>
      </c>
      <c r="H61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181" t="str">
        <f>IFERROR(INDEX(Raw_orders!G:G, MATCH(shipments[[#This Row],[order_id]],Raw_orders!A:A, 0)), "Unknown")</f>
        <v>Nordics</v>
      </c>
      <c r="J6181" t="str">
        <f>PROPER(shipments[[#This Row],[delivery_status]])</f>
        <v>In Transit</v>
      </c>
      <c r="K6181" t="s">
        <v>6977</v>
      </c>
    </row>
    <row r="6182" spans="1:11">
      <c r="A6182" t="s">
        <v>13118</v>
      </c>
      <c r="B6182" t="s">
        <v>6725</v>
      </c>
      <c r="C6182" t="s">
        <v>6938</v>
      </c>
      <c r="D6182" s="1">
        <v>45443</v>
      </c>
      <c r="E6182" s="1">
        <v>45448</v>
      </c>
      <c r="F6182" s="1"/>
      <c r="G6182">
        <v>27.45</v>
      </c>
      <c r="H61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182" t="str">
        <f>IFERROR(INDEX(Raw_orders!G:G, MATCH(shipments[[#This Row],[order_id]],Raw_orders!A:A, 0)), "Unknown")</f>
        <v>Central Europe</v>
      </c>
      <c r="J6182" t="str">
        <f>PROPER(shipments[[#This Row],[delivery_status]])</f>
        <v>In Transit</v>
      </c>
      <c r="K6182" t="s">
        <v>6977</v>
      </c>
    </row>
    <row r="6183" spans="1:11">
      <c r="A6183" t="s">
        <v>13119</v>
      </c>
      <c r="B6183" t="s">
        <v>6726</v>
      </c>
      <c r="C6183" t="s">
        <v>6935</v>
      </c>
      <c r="D6183" s="1">
        <v>45284</v>
      </c>
      <c r="E6183" s="1">
        <v>45286</v>
      </c>
      <c r="F6183" s="1">
        <v>45289</v>
      </c>
      <c r="G6183">
        <v>6.29</v>
      </c>
      <c r="H61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83" t="str">
        <f>IFERROR(INDEX(Raw_orders!G:G, MATCH(shipments[[#This Row],[order_id]],Raw_orders!A:A, 0)), "Unknown")</f>
        <v>Baltics</v>
      </c>
      <c r="J6183" t="str">
        <f>PROPER(shipments[[#This Row],[delivery_status]])</f>
        <v>Delivered</v>
      </c>
      <c r="K6183" t="s">
        <v>6922</v>
      </c>
    </row>
    <row r="6184" spans="1:11">
      <c r="A6184" t="s">
        <v>13120</v>
      </c>
      <c r="B6184" t="s">
        <v>6727</v>
      </c>
      <c r="C6184" t="s">
        <v>6921</v>
      </c>
      <c r="D6184" s="1">
        <v>45467</v>
      </c>
      <c r="E6184" s="1">
        <v>45470</v>
      </c>
      <c r="F6184" s="1"/>
      <c r="G6184">
        <v>6.9</v>
      </c>
      <c r="H61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184" t="str">
        <f>IFERROR(INDEX(Raw_orders!G:G, MATCH(shipments[[#This Row],[order_id]],Raw_orders!A:A, 0)), "Unknown")</f>
        <v>Central Europe</v>
      </c>
      <c r="J6184" t="str">
        <f>PROPER(shipments[[#This Row],[delivery_status]])</f>
        <v>In Transit</v>
      </c>
      <c r="K6184" t="s">
        <v>6946</v>
      </c>
    </row>
    <row r="6185" spans="1:11">
      <c r="A6185" t="s">
        <v>13121</v>
      </c>
      <c r="B6185" t="s">
        <v>6728</v>
      </c>
      <c r="C6185" t="s">
        <v>6921</v>
      </c>
      <c r="D6185" s="1">
        <v>44958</v>
      </c>
      <c r="E6185" s="1">
        <v>44961</v>
      </c>
      <c r="F6185" s="1">
        <v>44964</v>
      </c>
      <c r="G6185">
        <v>45.62</v>
      </c>
      <c r="H61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85" t="str">
        <f>IFERROR(INDEX(Raw_orders!G:G, MATCH(shipments[[#This Row],[order_id]],Raw_orders!A:A, 0)), "Unknown")</f>
        <v>Baltics</v>
      </c>
      <c r="J6185" t="str">
        <f>PROPER(shipments[[#This Row],[delivery_status]])</f>
        <v>Delivered</v>
      </c>
      <c r="K6185" t="s">
        <v>6922</v>
      </c>
    </row>
    <row r="6186" spans="1:11">
      <c r="A6186" t="s">
        <v>13122</v>
      </c>
      <c r="B6186" t="s">
        <v>6729</v>
      </c>
      <c r="C6186" t="s">
        <v>6921</v>
      </c>
      <c r="D6186" s="1">
        <v>45208</v>
      </c>
      <c r="E6186" s="1">
        <v>45213</v>
      </c>
      <c r="F6186" s="1">
        <v>45213</v>
      </c>
      <c r="G6186">
        <v>31.59</v>
      </c>
      <c r="H61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186" t="str">
        <f>IFERROR(INDEX(Raw_orders!G:G, MATCH(shipments[[#This Row],[order_id]],Raw_orders!A:A, 0)), "Unknown")</f>
        <v>Central Europe</v>
      </c>
      <c r="J6186" t="str">
        <f>PROPER(shipments[[#This Row],[delivery_status]])</f>
        <v>Delivered</v>
      </c>
      <c r="K6186" t="s">
        <v>6922</v>
      </c>
    </row>
    <row r="6187" spans="1:11">
      <c r="A6187" t="s">
        <v>13123</v>
      </c>
      <c r="B6187" t="s">
        <v>6730</v>
      </c>
      <c r="C6187" t="s">
        <v>6949</v>
      </c>
      <c r="D6187" s="1">
        <v>45035</v>
      </c>
      <c r="E6187" s="1">
        <v>45042</v>
      </c>
      <c r="F6187" s="1">
        <v>45044</v>
      </c>
      <c r="G6187">
        <v>10.71</v>
      </c>
      <c r="H61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87" t="str">
        <f>IFERROR(INDEX(Raw_orders!G:G, MATCH(shipments[[#This Row],[order_id]],Raw_orders!A:A, 0)), "Unknown")</f>
        <v>Baltics</v>
      </c>
      <c r="J6187" t="str">
        <f>PROPER(shipments[[#This Row],[delivery_status]])</f>
        <v>Delivered</v>
      </c>
      <c r="K6187" t="s">
        <v>6929</v>
      </c>
    </row>
    <row r="6188" spans="1:11">
      <c r="A6188" t="s">
        <v>13124</v>
      </c>
      <c r="B6188" t="s">
        <v>6731</v>
      </c>
      <c r="C6188" t="s">
        <v>6940</v>
      </c>
      <c r="D6188" s="1">
        <v>45313</v>
      </c>
      <c r="E6188" s="1">
        <v>45318</v>
      </c>
      <c r="F6188" s="1">
        <v>45318</v>
      </c>
      <c r="G6188">
        <v>61.38</v>
      </c>
      <c r="H61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188" t="str">
        <f>IFERROR(INDEX(Raw_orders!G:G, MATCH(shipments[[#This Row],[order_id]],Raw_orders!A:A, 0)), "Unknown")</f>
        <v>Nordics</v>
      </c>
      <c r="J6188" t="str">
        <f>PROPER(shipments[[#This Row],[delivery_status]])</f>
        <v>Delivered</v>
      </c>
      <c r="K6188" t="s">
        <v>6926</v>
      </c>
    </row>
    <row r="6189" spans="1:11">
      <c r="A6189" t="s">
        <v>13125</v>
      </c>
      <c r="B6189" t="s">
        <v>6731</v>
      </c>
      <c r="C6189" t="s">
        <v>6940</v>
      </c>
      <c r="D6189" s="1">
        <v>45314</v>
      </c>
      <c r="E6189" s="1">
        <v>45321</v>
      </c>
      <c r="F6189" s="1">
        <v>45331</v>
      </c>
      <c r="G6189">
        <v>38.17</v>
      </c>
      <c r="H61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89" t="str">
        <f>IFERROR(INDEX(Raw_orders!G:G, MATCH(shipments[[#This Row],[order_id]],Raw_orders!A:A, 0)), "Unknown")</f>
        <v>Nordics</v>
      </c>
      <c r="J6189" t="str">
        <f>PROPER(shipments[[#This Row],[delivery_status]])</f>
        <v>Delivered</v>
      </c>
      <c r="K6189" t="s">
        <v>6929</v>
      </c>
    </row>
    <row r="6190" spans="1:11">
      <c r="A6190" t="s">
        <v>13126</v>
      </c>
      <c r="B6190" t="s">
        <v>6732</v>
      </c>
      <c r="C6190" t="s">
        <v>6935</v>
      </c>
      <c r="D6190" s="1">
        <v>45516</v>
      </c>
      <c r="E6190" s="1">
        <v>45523</v>
      </c>
      <c r="F6190" s="1">
        <v>45523</v>
      </c>
      <c r="G6190">
        <v>62.45</v>
      </c>
      <c r="H61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190" t="str">
        <f>IFERROR(INDEX(Raw_orders!G:G, MATCH(shipments[[#This Row],[order_id]],Raw_orders!A:A, 0)), "Unknown")</f>
        <v>Baltics</v>
      </c>
      <c r="J6190" t="str">
        <f>PROPER(shipments[[#This Row],[delivery_status]])</f>
        <v>Delivered</v>
      </c>
      <c r="K6190" t="s">
        <v>6926</v>
      </c>
    </row>
    <row r="6191" spans="1:11">
      <c r="A6191" t="s">
        <v>13127</v>
      </c>
      <c r="B6191" t="s">
        <v>6733</v>
      </c>
      <c r="C6191" t="s">
        <v>6940</v>
      </c>
      <c r="D6191" s="1">
        <v>45224</v>
      </c>
      <c r="E6191" s="1">
        <v>45227</v>
      </c>
      <c r="F6191" s="1"/>
      <c r="G6191">
        <v>53.94</v>
      </c>
      <c r="H61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191" t="str">
        <f>IFERROR(INDEX(Raw_orders!G:G, MATCH(shipments[[#This Row],[order_id]],Raw_orders!A:A, 0)), "Unknown")</f>
        <v>Baltics</v>
      </c>
      <c r="J6191" t="str">
        <f>PROPER(shipments[[#This Row],[delivery_status]])</f>
        <v>In Transit</v>
      </c>
      <c r="K6191" t="s">
        <v>6958</v>
      </c>
    </row>
    <row r="6192" spans="1:11">
      <c r="A6192" t="s">
        <v>13128</v>
      </c>
      <c r="B6192" t="s">
        <v>6734</v>
      </c>
      <c r="C6192" t="s">
        <v>6928</v>
      </c>
      <c r="D6192" s="1">
        <v>45227</v>
      </c>
      <c r="E6192" s="1">
        <v>45237</v>
      </c>
      <c r="F6192" s="1">
        <v>45245</v>
      </c>
      <c r="G6192">
        <v>40.14</v>
      </c>
      <c r="H61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92" t="str">
        <f>IFERROR(INDEX(Raw_orders!G:G, MATCH(shipments[[#This Row],[order_id]],Raw_orders!A:A, 0)), "Unknown")</f>
        <v>Central Europe</v>
      </c>
      <c r="J6192" t="str">
        <f>PROPER(shipments[[#This Row],[delivery_status]])</f>
        <v>Delivered</v>
      </c>
      <c r="K6192" t="s">
        <v>6929</v>
      </c>
    </row>
    <row r="6193" spans="1:11">
      <c r="A6193" t="s">
        <v>13129</v>
      </c>
      <c r="B6193" t="s">
        <v>6735</v>
      </c>
      <c r="C6193" t="s">
        <v>6928</v>
      </c>
      <c r="D6193" s="1">
        <v>45367</v>
      </c>
      <c r="E6193" s="1">
        <v>45374</v>
      </c>
      <c r="F6193" s="1">
        <v>45374</v>
      </c>
      <c r="G6193">
        <v>19.89</v>
      </c>
      <c r="H61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193" t="str">
        <f>IFERROR(INDEX(Raw_orders!G:G, MATCH(shipments[[#This Row],[order_id]],Raw_orders!A:A, 0)), "Unknown")</f>
        <v>Central Europe</v>
      </c>
      <c r="J6193" t="str">
        <f>PROPER(shipments[[#This Row],[delivery_status]])</f>
        <v>Delivered</v>
      </c>
      <c r="K6193" t="s">
        <v>6922</v>
      </c>
    </row>
    <row r="6194" spans="1:11">
      <c r="A6194" t="s">
        <v>13130</v>
      </c>
      <c r="B6194" t="s">
        <v>6736</v>
      </c>
      <c r="C6194" t="s">
        <v>6940</v>
      </c>
      <c r="D6194" s="1">
        <v>45155</v>
      </c>
      <c r="E6194" s="1">
        <v>45162</v>
      </c>
      <c r="F6194" s="1">
        <v>45161</v>
      </c>
      <c r="G6194">
        <v>49.16</v>
      </c>
      <c r="H61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194" t="str">
        <f>IFERROR(INDEX(Raw_orders!G:G, MATCH(shipments[[#This Row],[order_id]],Raw_orders!A:A, 0)), "Unknown")</f>
        <v>Baltics</v>
      </c>
      <c r="J6194" t="str">
        <f>PROPER(shipments[[#This Row],[delivery_status]])</f>
        <v>Delivered</v>
      </c>
      <c r="K6194" t="s">
        <v>6926</v>
      </c>
    </row>
    <row r="6195" spans="1:11">
      <c r="A6195" t="s">
        <v>13131</v>
      </c>
      <c r="B6195" t="s">
        <v>6737</v>
      </c>
      <c r="C6195" t="s">
        <v>6938</v>
      </c>
      <c r="D6195" s="1">
        <v>45256</v>
      </c>
      <c r="E6195" s="1">
        <v>45258</v>
      </c>
      <c r="F6195" s="1"/>
      <c r="G6195">
        <v>58.48</v>
      </c>
      <c r="H61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195" t="str">
        <f>IFERROR(INDEX(Raw_orders!G:G, MATCH(shipments[[#This Row],[order_id]],Raw_orders!A:A, 0)), "Unknown")</f>
        <v>Baltics</v>
      </c>
      <c r="J6195" t="str">
        <f>PROPER(shipments[[#This Row],[delivery_status]])</f>
        <v>In Transit</v>
      </c>
      <c r="K6195" t="s">
        <v>6977</v>
      </c>
    </row>
    <row r="6196" spans="1:11">
      <c r="A6196" t="s">
        <v>13132</v>
      </c>
      <c r="B6196" t="s">
        <v>6738</v>
      </c>
      <c r="C6196" t="s">
        <v>6938</v>
      </c>
      <c r="D6196" s="1">
        <v>45064</v>
      </c>
      <c r="E6196" s="1">
        <v>45067</v>
      </c>
      <c r="F6196" s="1">
        <v>45068</v>
      </c>
      <c r="G6196">
        <v>34.729999999999997</v>
      </c>
      <c r="H61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96" t="str">
        <f>IFERROR(INDEX(Raw_orders!G:G, MATCH(shipments[[#This Row],[order_id]],Raw_orders!A:A, 0)), "Unknown")</f>
        <v>Baltics</v>
      </c>
      <c r="J6196" t="str">
        <f>PROPER(shipments[[#This Row],[delivery_status]])</f>
        <v>Delivered</v>
      </c>
      <c r="K6196" t="s">
        <v>6929</v>
      </c>
    </row>
    <row r="6197" spans="1:11">
      <c r="A6197" t="s">
        <v>13133</v>
      </c>
      <c r="B6197" t="s">
        <v>6739</v>
      </c>
      <c r="C6197" t="s">
        <v>6925</v>
      </c>
      <c r="D6197" s="1">
        <v>45542</v>
      </c>
      <c r="E6197" s="1">
        <v>45552</v>
      </c>
      <c r="F6197" s="1"/>
      <c r="G6197">
        <v>7.96</v>
      </c>
      <c r="H61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197" t="str">
        <f>IFERROR(INDEX(Raw_orders!G:G, MATCH(shipments[[#This Row],[order_id]],Raw_orders!A:A, 0)), "Unknown")</f>
        <v>Baltics</v>
      </c>
      <c r="J6197" t="str">
        <f>PROPER(shipments[[#This Row],[delivery_status]])</f>
        <v>In Transit</v>
      </c>
      <c r="K6197" t="s">
        <v>6977</v>
      </c>
    </row>
    <row r="6198" spans="1:11">
      <c r="A6198" t="s">
        <v>13134</v>
      </c>
      <c r="B6198" t="s">
        <v>6740</v>
      </c>
      <c r="C6198" t="s">
        <v>6935</v>
      </c>
      <c r="D6198" s="1">
        <v>45549</v>
      </c>
      <c r="E6198" s="1">
        <v>45554</v>
      </c>
      <c r="F6198" s="1">
        <v>45553</v>
      </c>
      <c r="G6198">
        <v>5.32</v>
      </c>
      <c r="H61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198" t="str">
        <f>IFERROR(INDEX(Raw_orders!G:G, MATCH(shipments[[#This Row],[order_id]],Raw_orders!A:A, 0)), "Unknown")</f>
        <v>Nordics</v>
      </c>
      <c r="J6198" t="str">
        <f>PROPER(shipments[[#This Row],[delivery_status]])</f>
        <v>Delivered</v>
      </c>
      <c r="K6198" t="s">
        <v>6922</v>
      </c>
    </row>
    <row r="6199" spans="1:11">
      <c r="A6199" t="s">
        <v>13135</v>
      </c>
      <c r="B6199" t="s">
        <v>6741</v>
      </c>
      <c r="C6199" t="s">
        <v>6938</v>
      </c>
      <c r="D6199" s="1">
        <v>45557</v>
      </c>
      <c r="E6199" s="1">
        <v>45559</v>
      </c>
      <c r="F6199" s="1">
        <v>45571</v>
      </c>
      <c r="G6199">
        <v>34.58</v>
      </c>
      <c r="H61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199" t="str">
        <f>IFERROR(INDEX(Raw_orders!G:G, MATCH(shipments[[#This Row],[order_id]],Raw_orders!A:A, 0)), "Unknown")</f>
        <v>Baltics</v>
      </c>
      <c r="J6199" t="str">
        <f>PROPER(shipments[[#This Row],[delivery_status]])</f>
        <v>Delivered</v>
      </c>
      <c r="K6199" t="s">
        <v>6926</v>
      </c>
    </row>
    <row r="6200" spans="1:11">
      <c r="A6200" t="s">
        <v>13136</v>
      </c>
      <c r="B6200" t="s">
        <v>6742</v>
      </c>
      <c r="C6200" t="s">
        <v>6940</v>
      </c>
      <c r="D6200" s="1">
        <v>45427</v>
      </c>
      <c r="E6200" s="1">
        <v>45429</v>
      </c>
      <c r="F6200" s="1">
        <v>45429</v>
      </c>
      <c r="G6200">
        <v>40.33</v>
      </c>
      <c r="H62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200" t="str">
        <f>IFERROR(INDEX(Raw_orders!G:G, MATCH(shipments[[#This Row],[order_id]],Raw_orders!A:A, 0)), "Unknown")</f>
        <v>Baltics</v>
      </c>
      <c r="J6200" t="str">
        <f>PROPER(shipments[[#This Row],[delivery_status]])</f>
        <v>Delivered</v>
      </c>
      <c r="K6200" t="s">
        <v>6926</v>
      </c>
    </row>
    <row r="6201" spans="1:11">
      <c r="A6201" t="s">
        <v>13137</v>
      </c>
      <c r="B6201" t="s">
        <v>6743</v>
      </c>
      <c r="C6201" t="s">
        <v>6925</v>
      </c>
      <c r="D6201" s="1">
        <v>45470</v>
      </c>
      <c r="E6201" s="1">
        <v>45472</v>
      </c>
      <c r="F6201" s="1">
        <v>45475</v>
      </c>
      <c r="G6201">
        <v>22.34</v>
      </c>
      <c r="H62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01" t="str">
        <f>IFERROR(INDEX(Raw_orders!G:G, MATCH(shipments[[#This Row],[order_id]],Raw_orders!A:A, 0)), "Unknown")</f>
        <v>Central Europe</v>
      </c>
      <c r="J6201" t="str">
        <f>PROPER(shipments[[#This Row],[delivery_status]])</f>
        <v>Delivered</v>
      </c>
      <c r="K6201" t="s">
        <v>6929</v>
      </c>
    </row>
    <row r="6202" spans="1:11">
      <c r="A6202" t="s">
        <v>13138</v>
      </c>
      <c r="B6202" t="s">
        <v>6744</v>
      </c>
      <c r="C6202" t="s">
        <v>6931</v>
      </c>
      <c r="D6202" s="1">
        <v>45577</v>
      </c>
      <c r="E6202" s="1">
        <v>45582</v>
      </c>
      <c r="F6202" s="1">
        <v>45585</v>
      </c>
      <c r="G6202">
        <v>35.03</v>
      </c>
      <c r="H62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02" t="str">
        <f>IFERROR(INDEX(Raw_orders!G:G, MATCH(shipments[[#This Row],[order_id]],Raw_orders!A:A, 0)), "Unknown")</f>
        <v>Central Europe</v>
      </c>
      <c r="J6202" t="str">
        <f>PROPER(shipments[[#This Row],[delivery_status]])</f>
        <v>Delivered</v>
      </c>
      <c r="K6202" t="s">
        <v>6929</v>
      </c>
    </row>
    <row r="6203" spans="1:11">
      <c r="A6203" t="s">
        <v>13139</v>
      </c>
      <c r="B6203" t="s">
        <v>6745</v>
      </c>
      <c r="C6203" t="s">
        <v>6938</v>
      </c>
      <c r="D6203" s="1">
        <v>45205</v>
      </c>
      <c r="E6203" s="1">
        <v>45208</v>
      </c>
      <c r="F6203" s="1"/>
      <c r="G6203">
        <v>19.260000000000002</v>
      </c>
      <c r="H62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203" t="str">
        <f>IFERROR(INDEX(Raw_orders!G:G, MATCH(shipments[[#This Row],[order_id]],Raw_orders!A:A, 0)), "Unknown")</f>
        <v>Baltics</v>
      </c>
      <c r="J6203" t="str">
        <f>PROPER(shipments[[#This Row],[delivery_status]])</f>
        <v>In Transit</v>
      </c>
      <c r="K6203" t="s">
        <v>6958</v>
      </c>
    </row>
    <row r="6204" spans="1:11">
      <c r="A6204" t="s">
        <v>13140</v>
      </c>
      <c r="B6204" t="s">
        <v>6746</v>
      </c>
      <c r="C6204" t="s">
        <v>6931</v>
      </c>
      <c r="D6204" s="1">
        <v>45021</v>
      </c>
      <c r="E6204" s="1">
        <v>45028</v>
      </c>
      <c r="F6204" s="1">
        <v>45028</v>
      </c>
      <c r="G6204">
        <v>21.35</v>
      </c>
      <c r="H62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204" t="str">
        <f>IFERROR(INDEX(Raw_orders!G:G, MATCH(shipments[[#This Row],[order_id]],Raw_orders!A:A, 0)), "Unknown")</f>
        <v>Nordics</v>
      </c>
      <c r="J6204" t="str">
        <f>PROPER(shipments[[#This Row],[delivery_status]])</f>
        <v>Delivered</v>
      </c>
      <c r="K6204" t="s">
        <v>6926</v>
      </c>
    </row>
    <row r="6205" spans="1:11">
      <c r="A6205" t="s">
        <v>13141</v>
      </c>
      <c r="B6205" t="s">
        <v>6747</v>
      </c>
      <c r="C6205" t="s">
        <v>6931</v>
      </c>
      <c r="D6205" s="1">
        <v>45353</v>
      </c>
      <c r="E6205" s="1">
        <v>45356</v>
      </c>
      <c r="F6205" s="1">
        <v>45356</v>
      </c>
      <c r="G6205">
        <v>59.57</v>
      </c>
      <c r="H62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205" t="str">
        <f>IFERROR(INDEX(Raw_orders!G:G, MATCH(shipments[[#This Row],[order_id]],Raw_orders!A:A, 0)), "Unknown")</f>
        <v>Baltics</v>
      </c>
      <c r="J6205" t="str">
        <f>PROPER(shipments[[#This Row],[delivery_status]])</f>
        <v>Delivered</v>
      </c>
      <c r="K6205" t="s">
        <v>6922</v>
      </c>
    </row>
    <row r="6206" spans="1:11">
      <c r="A6206" t="s">
        <v>13142</v>
      </c>
      <c r="B6206" t="s">
        <v>6748</v>
      </c>
      <c r="C6206" t="s">
        <v>6928</v>
      </c>
      <c r="D6206" s="1">
        <v>45181</v>
      </c>
      <c r="E6206" s="1">
        <v>45186</v>
      </c>
      <c r="F6206" s="1">
        <v>45186</v>
      </c>
      <c r="G6206">
        <v>45.31</v>
      </c>
      <c r="H62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206" t="str">
        <f>IFERROR(INDEX(Raw_orders!G:G, MATCH(shipments[[#This Row],[order_id]],Raw_orders!A:A, 0)), "Unknown")</f>
        <v>Nordics</v>
      </c>
      <c r="J6206" t="str">
        <f>PROPER(shipments[[#This Row],[delivery_status]])</f>
        <v>Delivered</v>
      </c>
      <c r="K6206" t="s">
        <v>6929</v>
      </c>
    </row>
    <row r="6207" spans="1:11">
      <c r="A6207" t="s">
        <v>13143</v>
      </c>
      <c r="B6207" t="s">
        <v>6749</v>
      </c>
      <c r="C6207" t="s">
        <v>6935</v>
      </c>
      <c r="D6207" s="1">
        <v>45272</v>
      </c>
      <c r="E6207" s="1">
        <v>45279</v>
      </c>
      <c r="F6207" s="1"/>
      <c r="G6207">
        <v>40.28</v>
      </c>
      <c r="H62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207" t="str">
        <f>IFERROR(INDEX(Raw_orders!G:G, MATCH(shipments[[#This Row],[order_id]],Raw_orders!A:A, 0)), "Unknown")</f>
        <v>Central Europe</v>
      </c>
      <c r="J6207" t="str">
        <f>PROPER(shipments[[#This Row],[delivery_status]])</f>
        <v>In Transit</v>
      </c>
      <c r="K6207" t="s">
        <v>6946</v>
      </c>
    </row>
    <row r="6208" spans="1:11">
      <c r="A6208" t="s">
        <v>13144</v>
      </c>
      <c r="B6208" t="s">
        <v>6750</v>
      </c>
      <c r="C6208" t="s">
        <v>6925</v>
      </c>
      <c r="D6208" s="1">
        <v>45151</v>
      </c>
      <c r="E6208" s="1">
        <v>45161</v>
      </c>
      <c r="F6208" s="1">
        <v>45161</v>
      </c>
      <c r="G6208">
        <v>29.98</v>
      </c>
      <c r="H62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208" t="str">
        <f>IFERROR(INDEX(Raw_orders!G:G, MATCH(shipments[[#This Row],[order_id]],Raw_orders!A:A, 0)), "Unknown")</f>
        <v>Central Europe</v>
      </c>
      <c r="J6208" t="str">
        <f>PROPER(shipments[[#This Row],[delivery_status]])</f>
        <v>Delivered</v>
      </c>
      <c r="K6208" t="s">
        <v>6929</v>
      </c>
    </row>
    <row r="6209" spans="1:11">
      <c r="A6209" t="s">
        <v>13145</v>
      </c>
      <c r="B6209" t="s">
        <v>6751</v>
      </c>
      <c r="C6209" t="s">
        <v>6931</v>
      </c>
      <c r="D6209" s="1">
        <v>45281</v>
      </c>
      <c r="E6209" s="1">
        <v>45288</v>
      </c>
      <c r="F6209" s="1">
        <v>45299</v>
      </c>
      <c r="G6209">
        <v>36.07</v>
      </c>
      <c r="H62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09" t="str">
        <f>IFERROR(INDEX(Raw_orders!G:G, MATCH(shipments[[#This Row],[order_id]],Raw_orders!A:A, 0)), "Unknown")</f>
        <v>Nordics</v>
      </c>
      <c r="J6209" t="str">
        <f>PROPER(shipments[[#This Row],[delivery_status]])</f>
        <v>Delivered</v>
      </c>
      <c r="K6209" t="s">
        <v>6926</v>
      </c>
    </row>
    <row r="6210" spans="1:11">
      <c r="A6210" t="s">
        <v>13146</v>
      </c>
      <c r="B6210" t="s">
        <v>6752</v>
      </c>
      <c r="C6210" t="s">
        <v>6925</v>
      </c>
      <c r="D6210" s="1">
        <v>44948</v>
      </c>
      <c r="E6210" s="1">
        <v>44950</v>
      </c>
      <c r="F6210" s="1">
        <v>44949</v>
      </c>
      <c r="G6210">
        <v>49.05</v>
      </c>
      <c r="H62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210" t="str">
        <f>IFERROR(INDEX(Raw_orders!G:G, MATCH(shipments[[#This Row],[order_id]],Raw_orders!A:A, 0)), "Unknown")</f>
        <v>Baltics</v>
      </c>
      <c r="J6210" t="str">
        <f>PROPER(shipments[[#This Row],[delivery_status]])</f>
        <v>Delivered</v>
      </c>
      <c r="K6210" t="s">
        <v>6926</v>
      </c>
    </row>
    <row r="6211" spans="1:11">
      <c r="A6211" t="s">
        <v>13147</v>
      </c>
      <c r="B6211" t="s">
        <v>6753</v>
      </c>
      <c r="C6211" t="s">
        <v>6925</v>
      </c>
      <c r="D6211" s="1">
        <v>45436</v>
      </c>
      <c r="E6211" s="1">
        <v>45441</v>
      </c>
      <c r="F6211" s="1">
        <v>45441</v>
      </c>
      <c r="G6211">
        <v>48.04</v>
      </c>
      <c r="H62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211" t="str">
        <f>IFERROR(INDEX(Raw_orders!G:G, MATCH(shipments[[#This Row],[order_id]],Raw_orders!A:A, 0)), "Unknown")</f>
        <v>Nordics</v>
      </c>
      <c r="J6211" t="str">
        <f>PROPER(shipments[[#This Row],[delivery_status]])</f>
        <v>Delivered</v>
      </c>
      <c r="K6211" t="s">
        <v>6922</v>
      </c>
    </row>
    <row r="6212" spans="1:11">
      <c r="A6212" t="s">
        <v>13148</v>
      </c>
      <c r="B6212" t="s">
        <v>6754</v>
      </c>
      <c r="C6212" t="s">
        <v>6940</v>
      </c>
      <c r="D6212" s="1">
        <v>45549</v>
      </c>
      <c r="E6212" s="1">
        <v>45554</v>
      </c>
      <c r="F6212" s="1">
        <v>45559</v>
      </c>
      <c r="G6212">
        <v>57.78</v>
      </c>
      <c r="H62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12" t="str">
        <f>IFERROR(INDEX(Raw_orders!G:G, MATCH(shipments[[#This Row],[order_id]],Raw_orders!A:A, 0)), "Unknown")</f>
        <v>Central Europe</v>
      </c>
      <c r="J6212" t="str">
        <f>PROPER(shipments[[#This Row],[delivery_status]])</f>
        <v>Delivered</v>
      </c>
      <c r="K6212" t="s">
        <v>6922</v>
      </c>
    </row>
    <row r="6213" spans="1:11">
      <c r="A6213" t="s">
        <v>13149</v>
      </c>
      <c r="B6213" t="s">
        <v>6755</v>
      </c>
      <c r="C6213" t="s">
        <v>6928</v>
      </c>
      <c r="D6213" s="1">
        <v>45021</v>
      </c>
      <c r="E6213" s="1">
        <v>45028</v>
      </c>
      <c r="F6213" s="1">
        <v>45033</v>
      </c>
      <c r="G6213">
        <v>14.13</v>
      </c>
      <c r="H62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13" t="str">
        <f>IFERROR(INDEX(Raw_orders!G:G, MATCH(shipments[[#This Row],[order_id]],Raw_orders!A:A, 0)), "Unknown")</f>
        <v>Nordics</v>
      </c>
      <c r="J6213" t="str">
        <f>PROPER(shipments[[#This Row],[delivery_status]])</f>
        <v>Delivered</v>
      </c>
      <c r="K6213" t="s">
        <v>6929</v>
      </c>
    </row>
    <row r="6214" spans="1:11">
      <c r="A6214" t="s">
        <v>13150</v>
      </c>
      <c r="B6214" t="s">
        <v>6756</v>
      </c>
      <c r="C6214" t="s">
        <v>6928</v>
      </c>
      <c r="D6214" s="1">
        <v>45353</v>
      </c>
      <c r="E6214" s="1">
        <v>45360</v>
      </c>
      <c r="F6214" s="1">
        <v>45360</v>
      </c>
      <c r="G6214">
        <v>29.94</v>
      </c>
      <c r="H62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214" t="str">
        <f>IFERROR(INDEX(Raw_orders!G:G, MATCH(shipments[[#This Row],[order_id]],Raw_orders!A:A, 0)), "Unknown")</f>
        <v>Baltics</v>
      </c>
      <c r="J6214" t="str">
        <f>PROPER(shipments[[#This Row],[delivery_status]])</f>
        <v>Delivered</v>
      </c>
      <c r="K6214" t="s">
        <v>6922</v>
      </c>
    </row>
    <row r="6215" spans="1:11">
      <c r="A6215" t="s">
        <v>13151</v>
      </c>
      <c r="B6215" t="s">
        <v>6757</v>
      </c>
      <c r="C6215" t="s">
        <v>6940</v>
      </c>
      <c r="D6215" s="1">
        <v>44945</v>
      </c>
      <c r="E6215" s="1">
        <v>44950</v>
      </c>
      <c r="F6215" s="1"/>
      <c r="G6215">
        <v>16.59</v>
      </c>
      <c r="H62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215" t="str">
        <f>IFERROR(INDEX(Raw_orders!G:G, MATCH(shipments[[#This Row],[order_id]],Raw_orders!A:A, 0)), "Unknown")</f>
        <v>Nordics</v>
      </c>
      <c r="J6215" t="str">
        <f>PROPER(shipments[[#This Row],[delivery_status]])</f>
        <v>In Transit</v>
      </c>
      <c r="K6215" t="s">
        <v>6958</v>
      </c>
    </row>
    <row r="6216" spans="1:11">
      <c r="A6216" t="s">
        <v>13152</v>
      </c>
      <c r="B6216" t="s">
        <v>6758</v>
      </c>
      <c r="C6216" t="s">
        <v>6935</v>
      </c>
      <c r="D6216" s="1">
        <v>45184</v>
      </c>
      <c r="E6216" s="1">
        <v>45189</v>
      </c>
      <c r="F6216" s="1">
        <v>45194</v>
      </c>
      <c r="G6216">
        <v>62.68</v>
      </c>
      <c r="H62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16" t="str">
        <f>IFERROR(INDEX(Raw_orders!G:G, MATCH(shipments[[#This Row],[order_id]],Raw_orders!A:A, 0)), "Unknown")</f>
        <v>Nordics</v>
      </c>
      <c r="J6216" t="str">
        <f>PROPER(shipments[[#This Row],[delivery_status]])</f>
        <v>Delivered</v>
      </c>
      <c r="K6216" t="s">
        <v>6926</v>
      </c>
    </row>
    <row r="6217" spans="1:11">
      <c r="A6217" t="s">
        <v>13153</v>
      </c>
      <c r="B6217" t="s">
        <v>6759</v>
      </c>
      <c r="C6217" t="s">
        <v>6956</v>
      </c>
      <c r="D6217" s="1">
        <v>45466</v>
      </c>
      <c r="E6217" s="1">
        <v>45473</v>
      </c>
      <c r="F6217" s="1"/>
      <c r="G6217">
        <v>36.76</v>
      </c>
      <c r="H62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217" t="str">
        <f>IFERROR(INDEX(Raw_orders!G:G, MATCH(shipments[[#This Row],[order_id]],Raw_orders!A:A, 0)), "Unknown")</f>
        <v>Central Europe</v>
      </c>
      <c r="J6217" t="str">
        <f>PROPER(shipments[[#This Row],[delivery_status]])</f>
        <v>In Transit</v>
      </c>
      <c r="K6217" t="s">
        <v>6958</v>
      </c>
    </row>
    <row r="6218" spans="1:11">
      <c r="A6218" t="s">
        <v>13154</v>
      </c>
      <c r="B6218" t="s">
        <v>6760</v>
      </c>
      <c r="C6218" t="s">
        <v>6940</v>
      </c>
      <c r="D6218" s="1">
        <v>45080</v>
      </c>
      <c r="E6218" s="1">
        <v>45085</v>
      </c>
      <c r="F6218" s="1">
        <v>45090</v>
      </c>
      <c r="G6218">
        <v>44.73</v>
      </c>
      <c r="H62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18" t="str">
        <f>IFERROR(INDEX(Raw_orders!G:G, MATCH(shipments[[#This Row],[order_id]],Raw_orders!A:A, 0)), "Unknown")</f>
        <v>Baltics</v>
      </c>
      <c r="J6218" t="str">
        <f>PROPER(shipments[[#This Row],[delivery_status]])</f>
        <v>Delivered</v>
      </c>
      <c r="K6218" t="s">
        <v>6929</v>
      </c>
    </row>
    <row r="6219" spans="1:11">
      <c r="A6219" t="s">
        <v>13155</v>
      </c>
      <c r="B6219" t="s">
        <v>6761</v>
      </c>
      <c r="C6219" t="s">
        <v>6921</v>
      </c>
      <c r="D6219" s="1">
        <v>45294</v>
      </c>
      <c r="E6219" s="1">
        <v>45299</v>
      </c>
      <c r="F6219" s="1"/>
      <c r="G6219">
        <v>12.63</v>
      </c>
      <c r="H62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219" t="str">
        <f>IFERROR(INDEX(Raw_orders!G:G, MATCH(shipments[[#This Row],[order_id]],Raw_orders!A:A, 0)), "Unknown")</f>
        <v>Central Europe</v>
      </c>
      <c r="J6219" t="str">
        <f>PROPER(shipments[[#This Row],[delivery_status]])</f>
        <v>In Transit</v>
      </c>
      <c r="K6219" t="s">
        <v>6977</v>
      </c>
    </row>
    <row r="6220" spans="1:11">
      <c r="A6220" t="s">
        <v>13156</v>
      </c>
      <c r="B6220" t="s">
        <v>6762</v>
      </c>
      <c r="C6220" t="s">
        <v>6931</v>
      </c>
      <c r="D6220" s="1">
        <v>45342</v>
      </c>
      <c r="E6220" s="1">
        <v>45352</v>
      </c>
      <c r="F6220" s="1">
        <v>45354</v>
      </c>
      <c r="G6220">
        <v>51.68</v>
      </c>
      <c r="H62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20" t="str">
        <f>IFERROR(INDEX(Raw_orders!G:G, MATCH(shipments[[#This Row],[order_id]],Raw_orders!A:A, 0)), "Unknown")</f>
        <v>Central Europe</v>
      </c>
      <c r="J6220" t="str">
        <f>PROPER(shipments[[#This Row],[delivery_status]])</f>
        <v>Delivered</v>
      </c>
      <c r="K6220" t="s">
        <v>6922</v>
      </c>
    </row>
    <row r="6221" spans="1:11">
      <c r="A6221" t="s">
        <v>13157</v>
      </c>
      <c r="B6221" t="s">
        <v>6763</v>
      </c>
      <c r="C6221" t="s">
        <v>6921</v>
      </c>
      <c r="D6221" s="1">
        <v>45261</v>
      </c>
      <c r="E6221" s="1">
        <v>45264</v>
      </c>
      <c r="F6221" s="1"/>
      <c r="G6221">
        <v>35.67</v>
      </c>
      <c r="H62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221" t="str">
        <f>IFERROR(INDEX(Raw_orders!G:G, MATCH(shipments[[#This Row],[order_id]],Raw_orders!A:A, 0)), "Unknown")</f>
        <v>Central Europe</v>
      </c>
      <c r="J6221" t="str">
        <f>PROPER(shipments[[#This Row],[delivery_status]])</f>
        <v>In Transit</v>
      </c>
      <c r="K6221" t="s">
        <v>6958</v>
      </c>
    </row>
    <row r="6222" spans="1:11">
      <c r="A6222" t="s">
        <v>13158</v>
      </c>
      <c r="B6222" t="s">
        <v>6764</v>
      </c>
      <c r="C6222" t="s">
        <v>6938</v>
      </c>
      <c r="D6222" s="1">
        <v>45461</v>
      </c>
      <c r="E6222" s="1">
        <v>45466</v>
      </c>
      <c r="F6222" s="1">
        <v>45471</v>
      </c>
      <c r="G6222">
        <v>11.37</v>
      </c>
      <c r="H62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22" t="str">
        <f>IFERROR(INDEX(Raw_orders!G:G, MATCH(shipments[[#This Row],[order_id]],Raw_orders!A:A, 0)), "Unknown")</f>
        <v>Central Europe</v>
      </c>
      <c r="J6222" t="str">
        <f>PROPER(shipments[[#This Row],[delivery_status]])</f>
        <v>Delivered</v>
      </c>
      <c r="K6222" t="s">
        <v>6922</v>
      </c>
    </row>
    <row r="6223" spans="1:11">
      <c r="A6223" t="s">
        <v>13159</v>
      </c>
      <c r="B6223" t="s">
        <v>6765</v>
      </c>
      <c r="C6223" t="s">
        <v>6921</v>
      </c>
      <c r="D6223" s="1">
        <v>45173</v>
      </c>
      <c r="E6223" s="1">
        <v>45183</v>
      </c>
      <c r="F6223" s="1">
        <v>45192</v>
      </c>
      <c r="G6223">
        <v>8</v>
      </c>
      <c r="H62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23" t="str">
        <f>IFERROR(INDEX(Raw_orders!G:G, MATCH(shipments[[#This Row],[order_id]],Raw_orders!A:A, 0)), "Unknown")</f>
        <v>Nordics</v>
      </c>
      <c r="J6223" t="str">
        <f>PROPER(shipments[[#This Row],[delivery_status]])</f>
        <v>Delivered</v>
      </c>
      <c r="K6223" t="s">
        <v>6922</v>
      </c>
    </row>
    <row r="6224" spans="1:11">
      <c r="A6224" t="s">
        <v>13160</v>
      </c>
      <c r="B6224" t="s">
        <v>6766</v>
      </c>
      <c r="C6224" t="s">
        <v>6938</v>
      </c>
      <c r="D6224" s="1">
        <v>45303</v>
      </c>
      <c r="E6224" s="1">
        <v>45305</v>
      </c>
      <c r="F6224" s="1">
        <v>45308</v>
      </c>
      <c r="H62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24" t="str">
        <f>IFERROR(INDEX(Raw_orders!G:G, MATCH(shipments[[#This Row],[order_id]],Raw_orders!A:A, 0)), "Unknown")</f>
        <v>Nordics</v>
      </c>
      <c r="J6224" t="str">
        <f>PROPER(shipments[[#This Row],[delivery_status]])</f>
        <v>Delivered</v>
      </c>
      <c r="K6224" t="s">
        <v>6922</v>
      </c>
    </row>
    <row r="6225" spans="1:11">
      <c r="A6225" t="s">
        <v>13161</v>
      </c>
      <c r="B6225" t="s">
        <v>6767</v>
      </c>
      <c r="C6225" t="s">
        <v>6935</v>
      </c>
      <c r="D6225" s="1">
        <v>45523</v>
      </c>
      <c r="E6225" s="1">
        <v>45525</v>
      </c>
      <c r="F6225" s="1">
        <v>45528</v>
      </c>
      <c r="G6225">
        <v>19.739999999999998</v>
      </c>
      <c r="H62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25" t="str">
        <f>IFERROR(INDEX(Raw_orders!G:G, MATCH(shipments[[#This Row],[order_id]],Raw_orders!A:A, 0)), "Unknown")</f>
        <v>Central Europe</v>
      </c>
      <c r="J6225" t="str">
        <f>PROPER(shipments[[#This Row],[delivery_status]])</f>
        <v>Delivered</v>
      </c>
      <c r="K6225" t="s">
        <v>6929</v>
      </c>
    </row>
    <row r="6226" spans="1:11">
      <c r="A6226" t="s">
        <v>13162</v>
      </c>
      <c r="B6226" t="s">
        <v>6768</v>
      </c>
      <c r="C6226" t="s">
        <v>6956</v>
      </c>
      <c r="D6226" s="1">
        <v>45046</v>
      </c>
      <c r="E6226" s="1">
        <v>45056</v>
      </c>
      <c r="F6226" s="1">
        <v>45057</v>
      </c>
      <c r="G6226">
        <v>37.909999999999997</v>
      </c>
      <c r="H62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26" t="str">
        <f>IFERROR(INDEX(Raw_orders!G:G, MATCH(shipments[[#This Row],[order_id]],Raw_orders!A:A, 0)), "Unknown")</f>
        <v>Baltics</v>
      </c>
      <c r="J6226" t="str">
        <f>PROPER(shipments[[#This Row],[delivery_status]])</f>
        <v>Delivered</v>
      </c>
      <c r="K6226" t="s">
        <v>6929</v>
      </c>
    </row>
    <row r="6227" spans="1:11">
      <c r="A6227" t="s">
        <v>13163</v>
      </c>
      <c r="B6227" t="s">
        <v>6769</v>
      </c>
      <c r="C6227" t="s">
        <v>6925</v>
      </c>
      <c r="D6227" s="1">
        <v>45138</v>
      </c>
      <c r="E6227" s="1">
        <v>45148</v>
      </c>
      <c r="F6227" s="1">
        <v>45157</v>
      </c>
      <c r="G6227">
        <v>22.28</v>
      </c>
      <c r="H62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27" t="str">
        <f>IFERROR(INDEX(Raw_orders!G:G, MATCH(shipments[[#This Row],[order_id]],Raw_orders!A:A, 0)), "Unknown")</f>
        <v>Nordics</v>
      </c>
      <c r="J6227" t="str">
        <f>PROPER(shipments[[#This Row],[delivery_status]])</f>
        <v>Delivered</v>
      </c>
      <c r="K6227" t="s">
        <v>6929</v>
      </c>
    </row>
    <row r="6228" spans="1:11">
      <c r="A6228" t="s">
        <v>13164</v>
      </c>
      <c r="B6228" t="s">
        <v>6770</v>
      </c>
      <c r="C6228" t="s">
        <v>6940</v>
      </c>
      <c r="D6228" s="1">
        <v>45098</v>
      </c>
      <c r="E6228" s="1">
        <v>45108</v>
      </c>
      <c r="F6228" s="1"/>
      <c r="G6228">
        <v>5.07</v>
      </c>
      <c r="H62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228" t="str">
        <f>IFERROR(INDEX(Raw_orders!G:G, MATCH(shipments[[#This Row],[order_id]],Raw_orders!A:A, 0)), "Unknown")</f>
        <v>Central Europe</v>
      </c>
      <c r="J6228" t="str">
        <f>PROPER(shipments[[#This Row],[delivery_status]])</f>
        <v>In Transit</v>
      </c>
      <c r="K6228" t="s">
        <v>6958</v>
      </c>
    </row>
    <row r="6229" spans="1:11">
      <c r="A6229" t="s">
        <v>13165</v>
      </c>
      <c r="B6229" t="s">
        <v>6771</v>
      </c>
      <c r="C6229" t="s">
        <v>6956</v>
      </c>
      <c r="D6229" s="1">
        <v>45566</v>
      </c>
      <c r="E6229" s="1">
        <v>45573</v>
      </c>
      <c r="F6229" s="1">
        <v>45573</v>
      </c>
      <c r="G6229">
        <v>54.2</v>
      </c>
      <c r="H62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229" t="str">
        <f>IFERROR(INDEX(Raw_orders!G:G, MATCH(shipments[[#This Row],[order_id]],Raw_orders!A:A, 0)), "Unknown")</f>
        <v>Baltics</v>
      </c>
      <c r="J6229" t="str">
        <f>PROPER(shipments[[#This Row],[delivery_status]])</f>
        <v>Delivered</v>
      </c>
      <c r="K6229" t="s">
        <v>6926</v>
      </c>
    </row>
    <row r="6230" spans="1:11">
      <c r="A6230" t="s">
        <v>13166</v>
      </c>
      <c r="B6230" t="s">
        <v>6772</v>
      </c>
      <c r="C6230" t="s">
        <v>6940</v>
      </c>
      <c r="D6230" s="1">
        <v>45181</v>
      </c>
      <c r="E6230" s="1">
        <v>45184</v>
      </c>
      <c r="F6230" s="1">
        <v>45184</v>
      </c>
      <c r="G6230">
        <v>61.48</v>
      </c>
      <c r="H62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230" t="str">
        <f>IFERROR(INDEX(Raw_orders!G:G, MATCH(shipments[[#This Row],[order_id]],Raw_orders!A:A, 0)), "Unknown")</f>
        <v>Central Europe</v>
      </c>
      <c r="J6230" t="str">
        <f>PROPER(shipments[[#This Row],[delivery_status]])</f>
        <v>Delivered</v>
      </c>
      <c r="K6230" t="s">
        <v>6922</v>
      </c>
    </row>
    <row r="6231" spans="1:11">
      <c r="A6231" t="s">
        <v>13167</v>
      </c>
      <c r="B6231" t="s">
        <v>6773</v>
      </c>
      <c r="C6231" t="s">
        <v>6921</v>
      </c>
      <c r="D6231" s="1">
        <v>45099</v>
      </c>
      <c r="E6231" s="1">
        <v>45104</v>
      </c>
      <c r="F6231" s="1">
        <v>45105</v>
      </c>
      <c r="G6231">
        <v>18.07</v>
      </c>
      <c r="H62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31" t="str">
        <f>IFERROR(INDEX(Raw_orders!G:G, MATCH(shipments[[#This Row],[order_id]],Raw_orders!A:A, 0)), "Unknown")</f>
        <v>Baltics</v>
      </c>
      <c r="J6231" t="str">
        <f>PROPER(shipments[[#This Row],[delivery_status]])</f>
        <v>Delivered</v>
      </c>
      <c r="K6231" t="s">
        <v>6926</v>
      </c>
    </row>
    <row r="6232" spans="1:11">
      <c r="A6232" t="s">
        <v>13168</v>
      </c>
      <c r="B6232" t="s">
        <v>6774</v>
      </c>
      <c r="C6232" t="s">
        <v>6935</v>
      </c>
      <c r="D6232" s="1">
        <v>44955</v>
      </c>
      <c r="E6232" s="1">
        <v>44965</v>
      </c>
      <c r="F6232" s="1"/>
      <c r="G6232">
        <v>26.21</v>
      </c>
      <c r="H62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232" t="str">
        <f>IFERROR(INDEX(Raw_orders!G:G, MATCH(shipments[[#This Row],[order_id]],Raw_orders!A:A, 0)), "Unknown")</f>
        <v>Baltics</v>
      </c>
      <c r="J6232" t="str">
        <f>PROPER(shipments[[#This Row],[delivery_status]])</f>
        <v>In Transit</v>
      </c>
      <c r="K6232" t="s">
        <v>6946</v>
      </c>
    </row>
    <row r="6233" spans="1:11">
      <c r="A6233" t="s">
        <v>13169</v>
      </c>
      <c r="B6233" t="s">
        <v>6775</v>
      </c>
      <c r="C6233" t="s">
        <v>6925</v>
      </c>
      <c r="D6233" s="1">
        <v>45293</v>
      </c>
      <c r="E6233" s="1">
        <v>45300</v>
      </c>
      <c r="F6233" s="1">
        <v>45301</v>
      </c>
      <c r="G6233">
        <v>36.25</v>
      </c>
      <c r="H62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33" t="str">
        <f>IFERROR(INDEX(Raw_orders!G:G, MATCH(shipments[[#This Row],[order_id]],Raw_orders!A:A, 0)), "Unknown")</f>
        <v>Nordics</v>
      </c>
      <c r="J6233" t="str">
        <f>PROPER(shipments[[#This Row],[delivery_status]])</f>
        <v>Delivered</v>
      </c>
      <c r="K6233" t="s">
        <v>6926</v>
      </c>
    </row>
    <row r="6234" spans="1:11">
      <c r="A6234" t="s">
        <v>13170</v>
      </c>
      <c r="B6234" t="s">
        <v>6776</v>
      </c>
      <c r="C6234" t="s">
        <v>6931</v>
      </c>
      <c r="D6234" s="1">
        <v>45293</v>
      </c>
      <c r="E6234" s="1">
        <v>45300</v>
      </c>
      <c r="F6234" s="1">
        <v>45301</v>
      </c>
      <c r="G6234">
        <v>39.67</v>
      </c>
      <c r="H62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34" t="str">
        <f>IFERROR(INDEX(Raw_orders!G:G, MATCH(shipments[[#This Row],[order_id]],Raw_orders!A:A, 0)), "Unknown")</f>
        <v>Central Europe</v>
      </c>
      <c r="J6234" t="str">
        <f>PROPER(shipments[[#This Row],[delivery_status]])</f>
        <v>Delivered</v>
      </c>
      <c r="K6234" t="s">
        <v>6926</v>
      </c>
    </row>
    <row r="6235" spans="1:11">
      <c r="A6235" t="s">
        <v>13171</v>
      </c>
      <c r="B6235" t="s">
        <v>6777</v>
      </c>
      <c r="C6235" t="s">
        <v>6956</v>
      </c>
      <c r="D6235" s="1">
        <v>45331</v>
      </c>
      <c r="E6235" s="1">
        <v>45341</v>
      </c>
      <c r="F6235" s="1">
        <v>45353</v>
      </c>
      <c r="G6235">
        <v>38.29</v>
      </c>
      <c r="H62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35" t="str">
        <f>IFERROR(INDEX(Raw_orders!G:G, MATCH(shipments[[#This Row],[order_id]],Raw_orders!A:A, 0)), "Unknown")</f>
        <v>Baltics</v>
      </c>
      <c r="J6235" t="str">
        <f>PROPER(shipments[[#This Row],[delivery_status]])</f>
        <v>Delivered</v>
      </c>
      <c r="K6235" t="s">
        <v>6926</v>
      </c>
    </row>
    <row r="6236" spans="1:11">
      <c r="A6236" t="s">
        <v>13172</v>
      </c>
      <c r="B6236" t="s">
        <v>6778</v>
      </c>
      <c r="C6236" t="s">
        <v>6938</v>
      </c>
      <c r="D6236" s="1">
        <v>45090</v>
      </c>
      <c r="E6236" s="1">
        <v>45095</v>
      </c>
      <c r="F6236" s="1">
        <v>45100</v>
      </c>
      <c r="G6236">
        <v>20.02</v>
      </c>
      <c r="H62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36" t="str">
        <f>IFERROR(INDEX(Raw_orders!G:G, MATCH(shipments[[#This Row],[order_id]],Raw_orders!A:A, 0)), "Unknown")</f>
        <v>Central Europe</v>
      </c>
      <c r="J6236" t="str">
        <f>PROPER(shipments[[#This Row],[delivery_status]])</f>
        <v>Delivered</v>
      </c>
      <c r="K6236" t="s">
        <v>6929</v>
      </c>
    </row>
    <row r="6237" spans="1:11">
      <c r="A6237" t="s">
        <v>13173</v>
      </c>
      <c r="B6237" t="s">
        <v>6779</v>
      </c>
      <c r="C6237" t="s">
        <v>6935</v>
      </c>
      <c r="D6237" s="1">
        <v>44993</v>
      </c>
      <c r="E6237" s="1">
        <v>44998</v>
      </c>
      <c r="F6237" s="1">
        <v>44998</v>
      </c>
      <c r="G6237">
        <v>33.74</v>
      </c>
      <c r="H62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237" t="str">
        <f>IFERROR(INDEX(Raw_orders!G:G, MATCH(shipments[[#This Row],[order_id]],Raw_orders!A:A, 0)), "Unknown")</f>
        <v>Central Europe</v>
      </c>
      <c r="J6237" t="str">
        <f>PROPER(shipments[[#This Row],[delivery_status]])</f>
        <v>Delivered</v>
      </c>
      <c r="K6237" t="s">
        <v>6922</v>
      </c>
    </row>
    <row r="6238" spans="1:11">
      <c r="A6238" t="s">
        <v>13174</v>
      </c>
      <c r="B6238" t="s">
        <v>6780</v>
      </c>
      <c r="C6238" t="s">
        <v>6928</v>
      </c>
      <c r="D6238" s="1">
        <v>45619</v>
      </c>
      <c r="E6238" s="1">
        <v>45624</v>
      </c>
      <c r="F6238" s="1">
        <v>45627</v>
      </c>
      <c r="H62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38" t="str">
        <f>IFERROR(INDEX(Raw_orders!G:G, MATCH(shipments[[#This Row],[order_id]],Raw_orders!A:A, 0)), "Unknown")</f>
        <v>Central Europe</v>
      </c>
      <c r="J6238" t="str">
        <f>PROPER(shipments[[#This Row],[delivery_status]])</f>
        <v>Delivered</v>
      </c>
      <c r="K6238" t="s">
        <v>6922</v>
      </c>
    </row>
    <row r="6239" spans="1:11">
      <c r="A6239" t="s">
        <v>13175</v>
      </c>
      <c r="B6239" t="s">
        <v>6781</v>
      </c>
      <c r="C6239" t="s">
        <v>6928</v>
      </c>
      <c r="D6239" s="1">
        <v>45312</v>
      </c>
      <c r="E6239" s="1">
        <v>45319</v>
      </c>
      <c r="F6239" s="1">
        <v>45318</v>
      </c>
      <c r="G6239">
        <v>13.1</v>
      </c>
      <c r="H62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239" t="str">
        <f>IFERROR(INDEX(Raw_orders!G:G, MATCH(shipments[[#This Row],[order_id]],Raw_orders!A:A, 0)), "Unknown")</f>
        <v>Nordics</v>
      </c>
      <c r="J6239" t="str">
        <f>PROPER(shipments[[#This Row],[delivery_status]])</f>
        <v>Delivered</v>
      </c>
      <c r="K6239" t="s">
        <v>6929</v>
      </c>
    </row>
    <row r="6240" spans="1:11">
      <c r="A6240" t="s">
        <v>13176</v>
      </c>
      <c r="B6240" t="s">
        <v>6782</v>
      </c>
      <c r="C6240" t="s">
        <v>6956</v>
      </c>
      <c r="D6240" s="1">
        <v>44993</v>
      </c>
      <c r="E6240" s="1">
        <v>44998</v>
      </c>
      <c r="F6240" s="1">
        <v>44999</v>
      </c>
      <c r="G6240">
        <v>8.02</v>
      </c>
      <c r="H62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40" t="str">
        <f>IFERROR(INDEX(Raw_orders!G:G, MATCH(shipments[[#This Row],[order_id]],Raw_orders!A:A, 0)), "Unknown")</f>
        <v>Baltics</v>
      </c>
      <c r="J6240" t="str">
        <f>PROPER(shipments[[#This Row],[delivery_status]])</f>
        <v>Delivered</v>
      </c>
      <c r="K6240" t="s">
        <v>6929</v>
      </c>
    </row>
    <row r="6241" spans="1:11">
      <c r="A6241" t="s">
        <v>13177</v>
      </c>
      <c r="B6241" t="s">
        <v>6783</v>
      </c>
      <c r="C6241" t="s">
        <v>6956</v>
      </c>
      <c r="D6241" s="1">
        <v>45237</v>
      </c>
      <c r="E6241" s="1">
        <v>45247</v>
      </c>
      <c r="F6241" s="1"/>
      <c r="G6241">
        <v>20.79</v>
      </c>
      <c r="H62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241" t="str">
        <f>IFERROR(INDEX(Raw_orders!G:G, MATCH(shipments[[#This Row],[order_id]],Raw_orders!A:A, 0)), "Unknown")</f>
        <v>Central Europe</v>
      </c>
      <c r="J6241" t="str">
        <f>PROPER(shipments[[#This Row],[delivery_status]])</f>
        <v>In Transit</v>
      </c>
      <c r="K6241" t="s">
        <v>6958</v>
      </c>
    </row>
    <row r="6242" spans="1:11">
      <c r="A6242" t="s">
        <v>13178</v>
      </c>
      <c r="B6242" t="s">
        <v>6783</v>
      </c>
      <c r="C6242" t="s">
        <v>6956</v>
      </c>
      <c r="D6242" s="1">
        <v>45238</v>
      </c>
      <c r="E6242" s="1">
        <v>45240</v>
      </c>
      <c r="F6242" s="1">
        <v>45246</v>
      </c>
      <c r="G6242">
        <v>49.83</v>
      </c>
      <c r="H62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42" t="str">
        <f>IFERROR(INDEX(Raw_orders!G:G, MATCH(shipments[[#This Row],[order_id]],Raw_orders!A:A, 0)), "Unknown")</f>
        <v>Central Europe</v>
      </c>
      <c r="J6242" t="str">
        <f>PROPER(shipments[[#This Row],[delivery_status]])</f>
        <v>Delivered</v>
      </c>
      <c r="K6242" t="s">
        <v>6922</v>
      </c>
    </row>
    <row r="6243" spans="1:11">
      <c r="A6243" t="s">
        <v>13179</v>
      </c>
      <c r="B6243" t="s">
        <v>6784</v>
      </c>
      <c r="C6243" t="s">
        <v>6956</v>
      </c>
      <c r="D6243" s="1">
        <v>45044</v>
      </c>
      <c r="E6243" s="1">
        <v>45046</v>
      </c>
      <c r="F6243" s="1">
        <v>45047</v>
      </c>
      <c r="G6243">
        <v>14.55</v>
      </c>
      <c r="H62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43" t="str">
        <f>IFERROR(INDEX(Raw_orders!G:G, MATCH(shipments[[#This Row],[order_id]],Raw_orders!A:A, 0)), "Unknown")</f>
        <v>Central Europe</v>
      </c>
      <c r="J6243" t="str">
        <f>PROPER(shipments[[#This Row],[delivery_status]])</f>
        <v>Delivered</v>
      </c>
      <c r="K6243" t="s">
        <v>6926</v>
      </c>
    </row>
    <row r="6244" spans="1:11">
      <c r="A6244" t="s">
        <v>13180</v>
      </c>
      <c r="B6244" t="s">
        <v>6785</v>
      </c>
      <c r="C6244" t="s">
        <v>6925</v>
      </c>
      <c r="D6244" s="1">
        <v>45309</v>
      </c>
      <c r="E6244" s="1">
        <v>45311</v>
      </c>
      <c r="F6244" s="1"/>
      <c r="G6244">
        <v>25.3</v>
      </c>
      <c r="H62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244" t="str">
        <f>IFERROR(INDEX(Raw_orders!G:G, MATCH(shipments[[#This Row],[order_id]],Raw_orders!A:A, 0)), "Unknown")</f>
        <v>Nordics</v>
      </c>
      <c r="J6244" t="str">
        <f>PROPER(shipments[[#This Row],[delivery_status]])</f>
        <v>In Transit</v>
      </c>
      <c r="K6244" t="s">
        <v>6977</v>
      </c>
    </row>
    <row r="6245" spans="1:11">
      <c r="A6245" t="s">
        <v>13181</v>
      </c>
      <c r="B6245" t="s">
        <v>6786</v>
      </c>
      <c r="C6245" t="s">
        <v>6931</v>
      </c>
      <c r="D6245" s="1">
        <v>45537</v>
      </c>
      <c r="E6245" s="1">
        <v>45547</v>
      </c>
      <c r="F6245" s="1">
        <v>45550</v>
      </c>
      <c r="G6245">
        <v>35.25</v>
      </c>
      <c r="H62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45" t="str">
        <f>IFERROR(INDEX(Raw_orders!G:G, MATCH(shipments[[#This Row],[order_id]],Raw_orders!A:A, 0)), "Unknown")</f>
        <v>Nordics</v>
      </c>
      <c r="J6245" t="str">
        <f>PROPER(shipments[[#This Row],[delivery_status]])</f>
        <v>Delivered</v>
      </c>
      <c r="K6245" t="s">
        <v>6926</v>
      </c>
    </row>
    <row r="6246" spans="1:11">
      <c r="A6246" t="s">
        <v>13182</v>
      </c>
      <c r="B6246" t="s">
        <v>6787</v>
      </c>
      <c r="C6246" t="s">
        <v>6956</v>
      </c>
      <c r="D6246" s="1">
        <v>45616</v>
      </c>
      <c r="E6246" s="1">
        <v>45626</v>
      </c>
      <c r="F6246" s="1">
        <v>45627</v>
      </c>
      <c r="G6246">
        <v>38.28</v>
      </c>
      <c r="H62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46" t="str">
        <f>IFERROR(INDEX(Raw_orders!G:G, MATCH(shipments[[#This Row],[order_id]],Raw_orders!A:A, 0)), "Unknown")</f>
        <v>Nordics</v>
      </c>
      <c r="J6246" t="str">
        <f>PROPER(shipments[[#This Row],[delivery_status]])</f>
        <v>Delivered</v>
      </c>
      <c r="K6246" t="s">
        <v>6926</v>
      </c>
    </row>
    <row r="6247" spans="1:11">
      <c r="A6247" t="s">
        <v>13183</v>
      </c>
      <c r="B6247" t="s">
        <v>6788</v>
      </c>
      <c r="C6247" t="s">
        <v>6956</v>
      </c>
      <c r="D6247" s="1">
        <v>45441</v>
      </c>
      <c r="E6247" s="1">
        <v>45444</v>
      </c>
      <c r="F6247" s="1">
        <v>45444</v>
      </c>
      <c r="G6247">
        <v>6.74</v>
      </c>
      <c r="H62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247" t="str">
        <f>IFERROR(INDEX(Raw_orders!G:G, MATCH(shipments[[#This Row],[order_id]],Raw_orders!A:A, 0)), "Unknown")</f>
        <v>Central Europe</v>
      </c>
      <c r="J6247" t="str">
        <f>PROPER(shipments[[#This Row],[delivery_status]])</f>
        <v>Delivered</v>
      </c>
      <c r="K6247" t="s">
        <v>6926</v>
      </c>
    </row>
    <row r="6248" spans="1:11">
      <c r="A6248" t="s">
        <v>13184</v>
      </c>
      <c r="B6248" t="s">
        <v>6789</v>
      </c>
      <c r="C6248" t="s">
        <v>6928</v>
      </c>
      <c r="D6248" s="1">
        <v>45441</v>
      </c>
      <c r="E6248" s="1">
        <v>45446</v>
      </c>
      <c r="F6248" s="1">
        <v>45446</v>
      </c>
      <c r="H62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248" t="str">
        <f>IFERROR(INDEX(Raw_orders!G:G, MATCH(shipments[[#This Row],[order_id]],Raw_orders!A:A, 0)), "Unknown")</f>
        <v>Nordics</v>
      </c>
      <c r="J6248" t="str">
        <f>PROPER(shipments[[#This Row],[delivery_status]])</f>
        <v>Delivered</v>
      </c>
      <c r="K6248" t="s">
        <v>6929</v>
      </c>
    </row>
    <row r="6249" spans="1:11">
      <c r="A6249" t="s">
        <v>13185</v>
      </c>
      <c r="B6249" t="s">
        <v>6790</v>
      </c>
      <c r="C6249" t="s">
        <v>6921</v>
      </c>
      <c r="D6249" s="1">
        <v>45592</v>
      </c>
      <c r="E6249" s="1">
        <v>45594</v>
      </c>
      <c r="F6249" s="1">
        <v>45594</v>
      </c>
      <c r="G6249">
        <v>63.11</v>
      </c>
      <c r="H62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249" t="str">
        <f>IFERROR(INDEX(Raw_orders!G:G, MATCH(shipments[[#This Row],[order_id]],Raw_orders!A:A, 0)), "Unknown")</f>
        <v>Nordics</v>
      </c>
      <c r="J6249" t="str">
        <f>PROPER(shipments[[#This Row],[delivery_status]])</f>
        <v>Delivered</v>
      </c>
      <c r="K6249" t="s">
        <v>6926</v>
      </c>
    </row>
    <row r="6250" spans="1:11">
      <c r="A6250" t="s">
        <v>13186</v>
      </c>
      <c r="B6250" t="s">
        <v>6791</v>
      </c>
      <c r="C6250" t="s">
        <v>6938</v>
      </c>
      <c r="D6250" s="1">
        <v>45156</v>
      </c>
      <c r="E6250" s="1">
        <v>45161</v>
      </c>
      <c r="F6250" s="1">
        <v>45161</v>
      </c>
      <c r="G6250">
        <v>42.98</v>
      </c>
      <c r="H62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250" t="str">
        <f>IFERROR(INDEX(Raw_orders!G:G, MATCH(shipments[[#This Row],[order_id]],Raw_orders!A:A, 0)), "Unknown")</f>
        <v>Central Europe</v>
      </c>
      <c r="J6250" t="str">
        <f>PROPER(shipments[[#This Row],[delivery_status]])</f>
        <v>Delivered</v>
      </c>
      <c r="K6250" t="s">
        <v>6929</v>
      </c>
    </row>
    <row r="6251" spans="1:11">
      <c r="A6251" t="s">
        <v>13187</v>
      </c>
      <c r="B6251" t="s">
        <v>6792</v>
      </c>
      <c r="C6251" t="s">
        <v>6956</v>
      </c>
      <c r="D6251" s="1">
        <v>45576</v>
      </c>
      <c r="E6251" s="1">
        <v>45586</v>
      </c>
      <c r="F6251" s="1">
        <v>45588</v>
      </c>
      <c r="G6251">
        <v>45.43</v>
      </c>
      <c r="H62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51" t="str">
        <f>IFERROR(INDEX(Raw_orders!G:G, MATCH(shipments[[#This Row],[order_id]],Raw_orders!A:A, 0)), "Unknown")</f>
        <v>Nordics</v>
      </c>
      <c r="J6251" t="str">
        <f>PROPER(shipments[[#This Row],[delivery_status]])</f>
        <v>Delivered</v>
      </c>
      <c r="K6251" t="s">
        <v>6922</v>
      </c>
    </row>
    <row r="6252" spans="1:11">
      <c r="A6252" t="s">
        <v>13188</v>
      </c>
      <c r="B6252" t="s">
        <v>6793</v>
      </c>
      <c r="C6252" t="s">
        <v>6935</v>
      </c>
      <c r="D6252" s="1">
        <v>45139</v>
      </c>
      <c r="E6252" s="1">
        <v>45144</v>
      </c>
      <c r="F6252" s="1"/>
      <c r="G6252">
        <v>62.49</v>
      </c>
      <c r="H62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252" t="str">
        <f>IFERROR(INDEX(Raw_orders!G:G, MATCH(shipments[[#This Row],[order_id]],Raw_orders!A:A, 0)), "Unknown")</f>
        <v>Central Europe</v>
      </c>
      <c r="J6252" t="str">
        <f>PROPER(shipments[[#This Row],[delivery_status]])</f>
        <v>In Transit</v>
      </c>
      <c r="K6252" t="s">
        <v>6958</v>
      </c>
    </row>
    <row r="6253" spans="1:11">
      <c r="A6253" t="s">
        <v>13189</v>
      </c>
      <c r="B6253" t="s">
        <v>6794</v>
      </c>
      <c r="C6253" t="s">
        <v>6956</v>
      </c>
      <c r="D6253" s="1">
        <v>45157</v>
      </c>
      <c r="E6253" s="1">
        <v>45164</v>
      </c>
      <c r="F6253" s="1"/>
      <c r="G6253">
        <v>31.25</v>
      </c>
      <c r="H62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6253" t="str">
        <f>IFERROR(INDEX(Raw_orders!G:G, MATCH(shipments[[#This Row],[order_id]],Raw_orders!A:A, 0)), "Unknown")</f>
        <v>Nordics</v>
      </c>
      <c r="J6253" t="str">
        <f>PROPER(shipments[[#This Row],[delivery_status]])</f>
        <v>Cancelled</v>
      </c>
      <c r="K6253" t="s">
        <v>6972</v>
      </c>
    </row>
    <row r="6254" spans="1:11">
      <c r="A6254" t="s">
        <v>13190</v>
      </c>
      <c r="B6254" t="s">
        <v>6795</v>
      </c>
      <c r="C6254" t="s">
        <v>6931</v>
      </c>
      <c r="D6254" s="1">
        <v>45338</v>
      </c>
      <c r="E6254" s="1">
        <v>45345</v>
      </c>
      <c r="F6254" s="1">
        <v>45350</v>
      </c>
      <c r="G6254">
        <v>50</v>
      </c>
      <c r="H62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54" t="str">
        <f>IFERROR(INDEX(Raw_orders!G:G, MATCH(shipments[[#This Row],[order_id]],Raw_orders!A:A, 0)), "Unknown")</f>
        <v>Nordics</v>
      </c>
      <c r="J6254" t="str">
        <f>PROPER(shipments[[#This Row],[delivery_status]])</f>
        <v>Delivered</v>
      </c>
      <c r="K6254" t="s">
        <v>6929</v>
      </c>
    </row>
    <row r="6255" spans="1:11">
      <c r="A6255" t="s">
        <v>13191</v>
      </c>
      <c r="B6255" t="s">
        <v>6796</v>
      </c>
      <c r="C6255" t="s">
        <v>6928</v>
      </c>
      <c r="D6255" s="1">
        <v>45584</v>
      </c>
      <c r="E6255" s="1">
        <v>45594</v>
      </c>
      <c r="F6255" s="1">
        <v>45599</v>
      </c>
      <c r="G6255">
        <v>49.91</v>
      </c>
      <c r="H62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55" t="str">
        <f>IFERROR(INDEX(Raw_orders!G:G, MATCH(shipments[[#This Row],[order_id]],Raw_orders!A:A, 0)), "Unknown")</f>
        <v>Central Europe</v>
      </c>
      <c r="J6255" t="str">
        <f>PROPER(shipments[[#This Row],[delivery_status]])</f>
        <v>Delivered</v>
      </c>
      <c r="K6255" t="s">
        <v>6922</v>
      </c>
    </row>
    <row r="6256" spans="1:11">
      <c r="A6256" t="s">
        <v>13192</v>
      </c>
      <c r="B6256" t="s">
        <v>6797</v>
      </c>
      <c r="C6256" t="s">
        <v>6928</v>
      </c>
      <c r="D6256" s="1">
        <v>45491</v>
      </c>
      <c r="E6256" s="1">
        <v>45498</v>
      </c>
      <c r="F6256" s="1">
        <v>45503</v>
      </c>
      <c r="G6256">
        <v>18.87</v>
      </c>
      <c r="H62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56" t="str">
        <f>IFERROR(INDEX(Raw_orders!G:G, MATCH(shipments[[#This Row],[order_id]],Raw_orders!A:A, 0)), "Unknown")</f>
        <v>Baltics</v>
      </c>
      <c r="J6256" t="str">
        <f>PROPER(shipments[[#This Row],[delivery_status]])</f>
        <v>Delivered</v>
      </c>
      <c r="K6256" t="s">
        <v>6929</v>
      </c>
    </row>
    <row r="6257" spans="1:11">
      <c r="A6257" t="s">
        <v>13193</v>
      </c>
      <c r="B6257" t="s">
        <v>6798</v>
      </c>
      <c r="C6257" t="s">
        <v>6940</v>
      </c>
      <c r="D6257" s="1">
        <v>45565</v>
      </c>
      <c r="E6257" s="1">
        <v>45568</v>
      </c>
      <c r="F6257" s="1"/>
      <c r="G6257">
        <v>9.4700000000000006</v>
      </c>
      <c r="H62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257" t="str">
        <f>IFERROR(INDEX(Raw_orders!G:G, MATCH(shipments[[#This Row],[order_id]],Raw_orders!A:A, 0)), "Unknown")</f>
        <v>Baltics</v>
      </c>
      <c r="J6257" t="str">
        <f>PROPER(shipments[[#This Row],[delivery_status]])</f>
        <v>In Transit</v>
      </c>
      <c r="K6257" t="s">
        <v>6946</v>
      </c>
    </row>
    <row r="6258" spans="1:11">
      <c r="A6258" t="s">
        <v>13194</v>
      </c>
      <c r="B6258" t="s">
        <v>6799</v>
      </c>
      <c r="C6258" t="s">
        <v>6935</v>
      </c>
      <c r="D6258" s="1">
        <v>44946</v>
      </c>
      <c r="E6258" s="1">
        <v>44951</v>
      </c>
      <c r="F6258" s="1"/>
      <c r="G6258">
        <v>38.89</v>
      </c>
      <c r="H62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6258" t="str">
        <f>IFERROR(INDEX(Raw_orders!G:G, MATCH(shipments[[#This Row],[order_id]],Raw_orders!A:A, 0)), "Unknown")</f>
        <v>Nordics</v>
      </c>
      <c r="J6258" t="str">
        <f>PROPER(shipments[[#This Row],[delivery_status]])</f>
        <v>Cancelled</v>
      </c>
      <c r="K6258" t="s">
        <v>6972</v>
      </c>
    </row>
    <row r="6259" spans="1:11">
      <c r="A6259" t="s">
        <v>13195</v>
      </c>
      <c r="B6259" t="s">
        <v>6800</v>
      </c>
      <c r="C6259" t="s">
        <v>6928</v>
      </c>
      <c r="D6259" s="1">
        <v>44987</v>
      </c>
      <c r="E6259" s="1">
        <v>44992</v>
      </c>
      <c r="F6259" s="1">
        <v>44992</v>
      </c>
      <c r="G6259">
        <v>9.31</v>
      </c>
      <c r="H62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259" t="str">
        <f>IFERROR(INDEX(Raw_orders!G:G, MATCH(shipments[[#This Row],[order_id]],Raw_orders!A:A, 0)), "Unknown")</f>
        <v>Nordics</v>
      </c>
      <c r="J6259" t="str">
        <f>PROPER(shipments[[#This Row],[delivery_status]])</f>
        <v>Delivered</v>
      </c>
      <c r="K6259" t="s">
        <v>6922</v>
      </c>
    </row>
    <row r="6260" spans="1:11">
      <c r="A6260" t="s">
        <v>13196</v>
      </c>
      <c r="B6260" t="s">
        <v>6801</v>
      </c>
      <c r="C6260" t="s">
        <v>6928</v>
      </c>
      <c r="D6260" s="1">
        <v>45475</v>
      </c>
      <c r="E6260" s="1">
        <v>45477</v>
      </c>
      <c r="F6260" s="1">
        <v>45477</v>
      </c>
      <c r="G6260">
        <v>10.29</v>
      </c>
      <c r="H62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260" t="str">
        <f>IFERROR(INDEX(Raw_orders!G:G, MATCH(shipments[[#This Row],[order_id]],Raw_orders!A:A, 0)), "Unknown")</f>
        <v>Nordics</v>
      </c>
      <c r="J6260" t="str">
        <f>PROPER(shipments[[#This Row],[delivery_status]])</f>
        <v>Delivered</v>
      </c>
      <c r="K6260" t="s">
        <v>6926</v>
      </c>
    </row>
    <row r="6261" spans="1:11">
      <c r="A6261" t="s">
        <v>13197</v>
      </c>
      <c r="B6261" t="s">
        <v>6802</v>
      </c>
      <c r="C6261" t="s">
        <v>6940</v>
      </c>
      <c r="D6261" s="1">
        <v>45017</v>
      </c>
      <c r="E6261" s="1">
        <v>45022</v>
      </c>
      <c r="F6261" s="1">
        <v>45027</v>
      </c>
      <c r="G6261">
        <v>61.1</v>
      </c>
      <c r="H62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61" t="str">
        <f>IFERROR(INDEX(Raw_orders!G:G, MATCH(shipments[[#This Row],[order_id]],Raw_orders!A:A, 0)), "Unknown")</f>
        <v>Central Europe</v>
      </c>
      <c r="J6261" t="str">
        <f>PROPER(shipments[[#This Row],[delivery_status]])</f>
        <v>Delivered</v>
      </c>
      <c r="K6261" t="s">
        <v>6929</v>
      </c>
    </row>
    <row r="6262" spans="1:11">
      <c r="A6262" t="s">
        <v>13198</v>
      </c>
      <c r="B6262" t="s">
        <v>6803</v>
      </c>
      <c r="C6262" t="s">
        <v>6938</v>
      </c>
      <c r="D6262" s="1">
        <v>45278</v>
      </c>
      <c r="E6262" s="1">
        <v>45281</v>
      </c>
      <c r="F6262" s="1">
        <v>45284</v>
      </c>
      <c r="G6262">
        <v>46.33</v>
      </c>
      <c r="H62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62" t="str">
        <f>IFERROR(INDEX(Raw_orders!G:G, MATCH(shipments[[#This Row],[order_id]],Raw_orders!A:A, 0)), "Unknown")</f>
        <v>Baltics</v>
      </c>
      <c r="J6262" t="str">
        <f>PROPER(shipments[[#This Row],[delivery_status]])</f>
        <v>Delivered</v>
      </c>
      <c r="K6262" t="s">
        <v>6929</v>
      </c>
    </row>
    <row r="6263" spans="1:11">
      <c r="A6263" t="s">
        <v>13199</v>
      </c>
      <c r="B6263" t="s">
        <v>6804</v>
      </c>
      <c r="C6263" t="s">
        <v>6921</v>
      </c>
      <c r="D6263" s="1">
        <v>45500</v>
      </c>
      <c r="E6263" s="1">
        <v>45502</v>
      </c>
      <c r="F6263" s="1">
        <v>45510</v>
      </c>
      <c r="G6263">
        <v>25.9</v>
      </c>
      <c r="H62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63" t="str">
        <f>IFERROR(INDEX(Raw_orders!G:G, MATCH(shipments[[#This Row],[order_id]],Raw_orders!A:A, 0)), "Unknown")</f>
        <v>Central Europe</v>
      </c>
      <c r="J6263" t="str">
        <f>PROPER(shipments[[#This Row],[delivery_status]])</f>
        <v>Delivered</v>
      </c>
      <c r="K6263" t="s">
        <v>6922</v>
      </c>
    </row>
    <row r="6264" spans="1:11">
      <c r="A6264" t="s">
        <v>13200</v>
      </c>
      <c r="B6264" t="s">
        <v>6805</v>
      </c>
      <c r="C6264" t="s">
        <v>6931</v>
      </c>
      <c r="D6264" s="1">
        <v>45181</v>
      </c>
      <c r="E6264" s="1">
        <v>45191</v>
      </c>
      <c r="F6264" s="1">
        <v>45192</v>
      </c>
      <c r="G6264">
        <v>63.02</v>
      </c>
      <c r="H62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64" t="str">
        <f>IFERROR(INDEX(Raw_orders!G:G, MATCH(shipments[[#This Row],[order_id]],Raw_orders!A:A, 0)), "Unknown")</f>
        <v>Baltics</v>
      </c>
      <c r="J6264" t="str">
        <f>PROPER(shipments[[#This Row],[delivery_status]])</f>
        <v>Delivered</v>
      </c>
      <c r="K6264" t="s">
        <v>6922</v>
      </c>
    </row>
    <row r="6265" spans="1:11">
      <c r="A6265" t="s">
        <v>13201</v>
      </c>
      <c r="B6265" t="s">
        <v>6806</v>
      </c>
      <c r="C6265" t="s">
        <v>6928</v>
      </c>
      <c r="D6265" s="1">
        <v>45419</v>
      </c>
      <c r="E6265" s="1">
        <v>45426</v>
      </c>
      <c r="F6265" s="1">
        <v>45435</v>
      </c>
      <c r="G6265">
        <v>48.12</v>
      </c>
      <c r="H62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65" t="str">
        <f>IFERROR(INDEX(Raw_orders!G:G, MATCH(shipments[[#This Row],[order_id]],Raw_orders!A:A, 0)), "Unknown")</f>
        <v>Central Europe</v>
      </c>
      <c r="J6265" t="str">
        <f>PROPER(shipments[[#This Row],[delivery_status]])</f>
        <v>Delivered</v>
      </c>
      <c r="K6265" t="s">
        <v>6922</v>
      </c>
    </row>
    <row r="6266" spans="1:11">
      <c r="A6266" t="s">
        <v>13202</v>
      </c>
      <c r="B6266" t="s">
        <v>6807</v>
      </c>
      <c r="C6266" t="s">
        <v>6931</v>
      </c>
      <c r="D6266" s="1">
        <v>45583</v>
      </c>
      <c r="E6266" s="1">
        <v>45593</v>
      </c>
      <c r="F6266" s="1"/>
      <c r="G6266">
        <v>28.16</v>
      </c>
      <c r="H62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266" t="str">
        <f>IFERROR(INDEX(Raw_orders!G:G, MATCH(shipments[[#This Row],[order_id]],Raw_orders!A:A, 0)), "Unknown")</f>
        <v>Baltics</v>
      </c>
      <c r="J6266" t="str">
        <f>PROPER(shipments[[#This Row],[delivery_status]])</f>
        <v>In Transit</v>
      </c>
      <c r="K6266" t="s">
        <v>6958</v>
      </c>
    </row>
    <row r="6267" spans="1:11">
      <c r="A6267" t="s">
        <v>13203</v>
      </c>
      <c r="B6267" t="s">
        <v>6808</v>
      </c>
      <c r="C6267" t="s">
        <v>6956</v>
      </c>
      <c r="D6267" s="1">
        <v>45516</v>
      </c>
      <c r="E6267" s="1">
        <v>45521</v>
      </c>
      <c r="F6267" s="1">
        <v>45521</v>
      </c>
      <c r="G6267">
        <v>31.66</v>
      </c>
      <c r="H62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267" t="str">
        <f>IFERROR(INDEX(Raw_orders!G:G, MATCH(shipments[[#This Row],[order_id]],Raw_orders!A:A, 0)), "Unknown")</f>
        <v>Baltics</v>
      </c>
      <c r="J6267" t="str">
        <f>PROPER(shipments[[#This Row],[delivery_status]])</f>
        <v>Delivered</v>
      </c>
      <c r="K6267" t="s">
        <v>6922</v>
      </c>
    </row>
    <row r="6268" spans="1:11">
      <c r="A6268" t="s">
        <v>13204</v>
      </c>
      <c r="B6268" t="s">
        <v>6809</v>
      </c>
      <c r="C6268" t="s">
        <v>6935</v>
      </c>
      <c r="D6268" s="1">
        <v>45155</v>
      </c>
      <c r="E6268" s="1">
        <v>45160</v>
      </c>
      <c r="F6268" s="1"/>
      <c r="G6268">
        <v>35.369999999999997</v>
      </c>
      <c r="H62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268" t="str">
        <f>IFERROR(INDEX(Raw_orders!G:G, MATCH(shipments[[#This Row],[order_id]],Raw_orders!A:A, 0)), "Unknown")</f>
        <v>Nordics</v>
      </c>
      <c r="J6268" t="str">
        <f>PROPER(shipments[[#This Row],[delivery_status]])</f>
        <v>In Transit</v>
      </c>
      <c r="K6268" t="s">
        <v>6977</v>
      </c>
    </row>
    <row r="6269" spans="1:11">
      <c r="A6269" t="s">
        <v>13205</v>
      </c>
      <c r="B6269" t="s">
        <v>6810</v>
      </c>
      <c r="C6269" t="s">
        <v>6921</v>
      </c>
      <c r="D6269" s="1">
        <v>45596</v>
      </c>
      <c r="E6269" s="1">
        <v>45606</v>
      </c>
      <c r="F6269" s="1">
        <v>45607</v>
      </c>
      <c r="G6269">
        <v>44.89</v>
      </c>
      <c r="H62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69" t="str">
        <f>IFERROR(INDEX(Raw_orders!G:G, MATCH(shipments[[#This Row],[order_id]],Raw_orders!A:A, 0)), "Unknown")</f>
        <v>Baltics</v>
      </c>
      <c r="J6269" t="str">
        <f>PROPER(shipments[[#This Row],[delivery_status]])</f>
        <v>Delivered</v>
      </c>
      <c r="K6269" t="s">
        <v>6926</v>
      </c>
    </row>
    <row r="6270" spans="1:11">
      <c r="A6270" t="s">
        <v>13206</v>
      </c>
      <c r="B6270" t="s">
        <v>6811</v>
      </c>
      <c r="C6270" t="s">
        <v>6921</v>
      </c>
      <c r="D6270" s="1">
        <v>45453</v>
      </c>
      <c r="E6270" s="1">
        <v>45455</v>
      </c>
      <c r="F6270" s="1">
        <v>45457</v>
      </c>
      <c r="G6270">
        <v>45.32</v>
      </c>
      <c r="H62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70" t="str">
        <f>IFERROR(INDEX(Raw_orders!G:G, MATCH(shipments[[#This Row],[order_id]],Raw_orders!A:A, 0)), "Unknown")</f>
        <v>Baltics</v>
      </c>
      <c r="J6270" t="str">
        <f>PROPER(shipments[[#This Row],[delivery_status]])</f>
        <v>Delivered</v>
      </c>
      <c r="K6270" t="s">
        <v>6922</v>
      </c>
    </row>
    <row r="6271" spans="1:11">
      <c r="A6271" t="s">
        <v>13207</v>
      </c>
      <c r="B6271" t="s">
        <v>6812</v>
      </c>
      <c r="C6271" t="s">
        <v>6956</v>
      </c>
      <c r="D6271" s="1">
        <v>45086</v>
      </c>
      <c r="E6271" s="1">
        <v>45091</v>
      </c>
      <c r="F6271" s="1">
        <v>45093</v>
      </c>
      <c r="G6271">
        <v>10.87</v>
      </c>
      <c r="H62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71" t="str">
        <f>IFERROR(INDEX(Raw_orders!G:G, MATCH(shipments[[#This Row],[order_id]],Raw_orders!A:A, 0)), "Unknown")</f>
        <v>Central Europe</v>
      </c>
      <c r="J6271" t="str">
        <f>PROPER(shipments[[#This Row],[delivery_status]])</f>
        <v>Delivered</v>
      </c>
      <c r="K6271" t="s">
        <v>6926</v>
      </c>
    </row>
    <row r="6272" spans="1:11">
      <c r="A6272" t="s">
        <v>13208</v>
      </c>
      <c r="B6272" t="s">
        <v>6813</v>
      </c>
      <c r="C6272" t="s">
        <v>6925</v>
      </c>
      <c r="D6272" s="1">
        <v>45317</v>
      </c>
      <c r="E6272" s="1">
        <v>45327</v>
      </c>
      <c r="F6272" s="1">
        <v>45330</v>
      </c>
      <c r="G6272">
        <v>33.9</v>
      </c>
      <c r="H62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72" t="str">
        <f>IFERROR(INDEX(Raw_orders!G:G, MATCH(shipments[[#This Row],[order_id]],Raw_orders!A:A, 0)), "Unknown")</f>
        <v>Baltics</v>
      </c>
      <c r="J6272" t="str">
        <f>PROPER(shipments[[#This Row],[delivery_status]])</f>
        <v>Delivered</v>
      </c>
      <c r="K6272" t="s">
        <v>6929</v>
      </c>
    </row>
    <row r="6273" spans="1:11">
      <c r="A6273" t="s">
        <v>13209</v>
      </c>
      <c r="B6273" t="s">
        <v>6814</v>
      </c>
      <c r="C6273" t="s">
        <v>6928</v>
      </c>
      <c r="D6273" s="1">
        <v>44983</v>
      </c>
      <c r="E6273" s="1">
        <v>44993</v>
      </c>
      <c r="F6273" s="1">
        <v>44994</v>
      </c>
      <c r="G6273">
        <v>39.69</v>
      </c>
      <c r="H62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73" t="str">
        <f>IFERROR(INDEX(Raw_orders!G:G, MATCH(shipments[[#This Row],[order_id]],Raw_orders!A:A, 0)), "Unknown")</f>
        <v>Baltics</v>
      </c>
      <c r="J6273" t="str">
        <f>PROPER(shipments[[#This Row],[delivery_status]])</f>
        <v>Delivered</v>
      </c>
      <c r="K6273" t="s">
        <v>6922</v>
      </c>
    </row>
    <row r="6274" spans="1:11">
      <c r="A6274" t="s">
        <v>13210</v>
      </c>
      <c r="B6274" t="s">
        <v>6815</v>
      </c>
      <c r="C6274" t="s">
        <v>6921</v>
      </c>
      <c r="D6274" s="1">
        <v>45455</v>
      </c>
      <c r="E6274" s="1">
        <v>45462</v>
      </c>
      <c r="F6274" s="1"/>
      <c r="G6274">
        <v>54.24</v>
      </c>
      <c r="H62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274" t="str">
        <f>IFERROR(INDEX(Raw_orders!G:G, MATCH(shipments[[#This Row],[order_id]],Raw_orders!A:A, 0)), "Unknown")</f>
        <v>Central Europe</v>
      </c>
      <c r="J6274" t="str">
        <f>PROPER(shipments[[#This Row],[delivery_status]])</f>
        <v>In Transit</v>
      </c>
      <c r="K6274" t="s">
        <v>6958</v>
      </c>
    </row>
    <row r="6275" spans="1:11">
      <c r="A6275" t="s">
        <v>13211</v>
      </c>
      <c r="B6275" t="s">
        <v>6816</v>
      </c>
      <c r="C6275" t="s">
        <v>6931</v>
      </c>
      <c r="D6275" s="1">
        <v>44967</v>
      </c>
      <c r="E6275" s="1">
        <v>44969</v>
      </c>
      <c r="F6275" s="1">
        <v>44980</v>
      </c>
      <c r="G6275">
        <v>15.36</v>
      </c>
      <c r="H62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75" t="str">
        <f>IFERROR(INDEX(Raw_orders!G:G, MATCH(shipments[[#This Row],[order_id]],Raw_orders!A:A, 0)), "Unknown")</f>
        <v>Nordics</v>
      </c>
      <c r="J6275" t="str">
        <f>PROPER(shipments[[#This Row],[delivery_status]])</f>
        <v>Delivered</v>
      </c>
      <c r="K6275" t="s">
        <v>6929</v>
      </c>
    </row>
    <row r="6276" spans="1:11">
      <c r="A6276" t="s">
        <v>13212</v>
      </c>
      <c r="B6276" t="s">
        <v>6817</v>
      </c>
      <c r="C6276" t="s">
        <v>6938</v>
      </c>
      <c r="D6276" s="1">
        <v>45378</v>
      </c>
      <c r="E6276" s="1">
        <v>45388</v>
      </c>
      <c r="F6276" s="1">
        <v>45393</v>
      </c>
      <c r="G6276">
        <v>11.12</v>
      </c>
      <c r="H62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76" t="str">
        <f>IFERROR(INDEX(Raw_orders!G:G, MATCH(shipments[[#This Row],[order_id]],Raw_orders!A:A, 0)), "Unknown")</f>
        <v>Baltics</v>
      </c>
      <c r="J6276" t="str">
        <f>PROPER(shipments[[#This Row],[delivery_status]])</f>
        <v>Delivered</v>
      </c>
      <c r="K6276" t="s">
        <v>6926</v>
      </c>
    </row>
    <row r="6277" spans="1:11">
      <c r="A6277" t="s">
        <v>13213</v>
      </c>
      <c r="B6277" t="s">
        <v>6818</v>
      </c>
      <c r="C6277" t="s">
        <v>6925</v>
      </c>
      <c r="D6277" s="1">
        <v>45554</v>
      </c>
      <c r="E6277" s="1">
        <v>45561</v>
      </c>
      <c r="F6277" s="1">
        <v>45561</v>
      </c>
      <c r="G6277">
        <v>37.159999999999997</v>
      </c>
      <c r="H627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277" t="str">
        <f>IFERROR(INDEX(Raw_orders!G:G, MATCH(shipments[[#This Row],[order_id]],Raw_orders!A:A, 0)), "Unknown")</f>
        <v>Baltics</v>
      </c>
      <c r="J6277" t="str">
        <f>PROPER(shipments[[#This Row],[delivery_status]])</f>
        <v>Delivered</v>
      </c>
      <c r="K6277" t="s">
        <v>6929</v>
      </c>
    </row>
    <row r="6278" spans="1:11">
      <c r="A6278" t="s">
        <v>13214</v>
      </c>
      <c r="B6278" t="s">
        <v>6819</v>
      </c>
      <c r="C6278" t="s">
        <v>6928</v>
      </c>
      <c r="D6278" s="1">
        <v>45221</v>
      </c>
      <c r="E6278" s="1">
        <v>45226</v>
      </c>
      <c r="F6278" s="1">
        <v>45231</v>
      </c>
      <c r="G6278">
        <v>39.36</v>
      </c>
      <c r="H627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78" t="str">
        <f>IFERROR(INDEX(Raw_orders!G:G, MATCH(shipments[[#This Row],[order_id]],Raw_orders!A:A, 0)), "Unknown")</f>
        <v>Nordics</v>
      </c>
      <c r="J6278" t="str">
        <f>PROPER(shipments[[#This Row],[delivery_status]])</f>
        <v>Delivered</v>
      </c>
      <c r="K6278" t="s">
        <v>6922</v>
      </c>
    </row>
    <row r="6279" spans="1:11">
      <c r="A6279" t="s">
        <v>13215</v>
      </c>
      <c r="B6279" t="s">
        <v>6820</v>
      </c>
      <c r="C6279" t="s">
        <v>6928</v>
      </c>
      <c r="D6279" s="1">
        <v>45202</v>
      </c>
      <c r="E6279" s="1">
        <v>45204</v>
      </c>
      <c r="F6279" s="1">
        <v>45203</v>
      </c>
      <c r="G6279">
        <v>18.079999999999998</v>
      </c>
      <c r="H627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279" t="str">
        <f>IFERROR(INDEX(Raw_orders!G:G, MATCH(shipments[[#This Row],[order_id]],Raw_orders!A:A, 0)), "Unknown")</f>
        <v>Central Europe</v>
      </c>
      <c r="J6279" t="str">
        <f>PROPER(shipments[[#This Row],[delivery_status]])</f>
        <v>Delivered</v>
      </c>
      <c r="K6279" t="s">
        <v>6926</v>
      </c>
    </row>
    <row r="6280" spans="1:11">
      <c r="A6280" t="s">
        <v>13216</v>
      </c>
      <c r="B6280" t="s">
        <v>6821</v>
      </c>
      <c r="C6280" t="s">
        <v>6938</v>
      </c>
      <c r="D6280" s="1">
        <v>45335</v>
      </c>
      <c r="E6280" s="1">
        <v>45337</v>
      </c>
      <c r="F6280" s="1">
        <v>45337</v>
      </c>
      <c r="G6280">
        <v>49.61</v>
      </c>
      <c r="H628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280" t="str">
        <f>IFERROR(INDEX(Raw_orders!G:G, MATCH(shipments[[#This Row],[order_id]],Raw_orders!A:A, 0)), "Unknown")</f>
        <v>Baltics</v>
      </c>
      <c r="J6280" t="str">
        <f>PROPER(shipments[[#This Row],[delivery_status]])</f>
        <v>Delivered</v>
      </c>
      <c r="K6280" t="s">
        <v>6926</v>
      </c>
    </row>
    <row r="6281" spans="1:11">
      <c r="A6281" t="s">
        <v>13217</v>
      </c>
      <c r="B6281" t="s">
        <v>6822</v>
      </c>
      <c r="C6281" t="s">
        <v>6925</v>
      </c>
      <c r="D6281" s="1">
        <v>45082</v>
      </c>
      <c r="E6281" s="1">
        <v>45092</v>
      </c>
      <c r="F6281" s="1">
        <v>45097</v>
      </c>
      <c r="G6281">
        <v>19.16</v>
      </c>
      <c r="H628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81" t="str">
        <f>IFERROR(INDEX(Raw_orders!G:G, MATCH(shipments[[#This Row],[order_id]],Raw_orders!A:A, 0)), "Unknown")</f>
        <v>Baltics</v>
      </c>
      <c r="J6281" t="str">
        <f>PROPER(shipments[[#This Row],[delivery_status]])</f>
        <v>Delivered</v>
      </c>
      <c r="K6281" t="s">
        <v>6929</v>
      </c>
    </row>
    <row r="6282" spans="1:11">
      <c r="A6282" t="s">
        <v>13218</v>
      </c>
      <c r="B6282" t="s">
        <v>6823</v>
      </c>
      <c r="C6282" t="s">
        <v>6925</v>
      </c>
      <c r="D6282" s="1">
        <v>45032</v>
      </c>
      <c r="E6282" s="1">
        <v>45037</v>
      </c>
      <c r="F6282" s="1">
        <v>45037</v>
      </c>
      <c r="G6282">
        <v>29.19</v>
      </c>
      <c r="H628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282" t="str">
        <f>IFERROR(INDEX(Raw_orders!G:G, MATCH(shipments[[#This Row],[order_id]],Raw_orders!A:A, 0)), "Unknown")</f>
        <v>Central Europe</v>
      </c>
      <c r="J6282" t="str">
        <f>PROPER(shipments[[#This Row],[delivery_status]])</f>
        <v>Delivered</v>
      </c>
      <c r="K6282" t="s">
        <v>6929</v>
      </c>
    </row>
    <row r="6283" spans="1:11">
      <c r="A6283" t="s">
        <v>13219</v>
      </c>
      <c r="B6283" t="s">
        <v>6824</v>
      </c>
      <c r="C6283" t="s">
        <v>6925</v>
      </c>
      <c r="D6283" s="1">
        <v>45022</v>
      </c>
      <c r="E6283" s="1">
        <v>45029</v>
      </c>
      <c r="F6283" s="1">
        <v>45030</v>
      </c>
      <c r="G6283">
        <v>40.07</v>
      </c>
      <c r="H628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83" t="str">
        <f>IFERROR(INDEX(Raw_orders!G:G, MATCH(shipments[[#This Row],[order_id]],Raw_orders!A:A, 0)), "Unknown")</f>
        <v>Central Europe</v>
      </c>
      <c r="J6283" t="str">
        <f>PROPER(shipments[[#This Row],[delivery_status]])</f>
        <v>Delivered</v>
      </c>
      <c r="K6283" t="s">
        <v>6922</v>
      </c>
    </row>
    <row r="6284" spans="1:11">
      <c r="A6284" t="s">
        <v>13220</v>
      </c>
      <c r="B6284" t="s">
        <v>6825</v>
      </c>
      <c r="C6284" t="s">
        <v>6935</v>
      </c>
      <c r="D6284" s="1">
        <v>45584</v>
      </c>
      <c r="E6284" s="1">
        <v>45586</v>
      </c>
      <c r="F6284" s="1"/>
      <c r="G6284">
        <v>57.18</v>
      </c>
      <c r="H628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6284" t="str">
        <f>IFERROR(INDEX(Raw_orders!G:G, MATCH(shipments[[#This Row],[order_id]],Raw_orders!A:A, 0)), "Unknown")</f>
        <v>Central Europe</v>
      </c>
      <c r="J6284" t="str">
        <f>PROPER(shipments[[#This Row],[delivery_status]])</f>
        <v>Cancelled</v>
      </c>
      <c r="K6284" t="s">
        <v>6979</v>
      </c>
    </row>
    <row r="6285" spans="1:11">
      <c r="A6285" t="s">
        <v>13221</v>
      </c>
      <c r="B6285" t="s">
        <v>6826</v>
      </c>
      <c r="C6285" t="s">
        <v>6925</v>
      </c>
      <c r="D6285" s="1">
        <v>45602</v>
      </c>
      <c r="E6285" s="1">
        <v>45607</v>
      </c>
      <c r="F6285" s="1">
        <v>45607</v>
      </c>
      <c r="G6285">
        <v>20.11</v>
      </c>
      <c r="H628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285" t="str">
        <f>IFERROR(INDEX(Raw_orders!G:G, MATCH(shipments[[#This Row],[order_id]],Raw_orders!A:A, 0)), "Unknown")</f>
        <v>Baltics</v>
      </c>
      <c r="J6285" t="str">
        <f>PROPER(shipments[[#This Row],[delivery_status]])</f>
        <v>Delivered</v>
      </c>
      <c r="K6285" t="s">
        <v>6926</v>
      </c>
    </row>
    <row r="6286" spans="1:11">
      <c r="A6286" t="s">
        <v>13222</v>
      </c>
      <c r="B6286" t="s">
        <v>6827</v>
      </c>
      <c r="C6286" t="s">
        <v>6935</v>
      </c>
      <c r="D6286" s="1">
        <v>45025</v>
      </c>
      <c r="E6286" s="1">
        <v>45028</v>
      </c>
      <c r="F6286" s="1">
        <v>45036</v>
      </c>
      <c r="G6286">
        <v>39.94</v>
      </c>
      <c r="H628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86" t="str">
        <f>IFERROR(INDEX(Raw_orders!G:G, MATCH(shipments[[#This Row],[order_id]],Raw_orders!A:A, 0)), "Unknown")</f>
        <v>Central Europe</v>
      </c>
      <c r="J6286" t="str">
        <f>PROPER(shipments[[#This Row],[delivery_status]])</f>
        <v>Delivered</v>
      </c>
      <c r="K6286" t="s">
        <v>6926</v>
      </c>
    </row>
    <row r="6287" spans="1:11">
      <c r="A6287" t="s">
        <v>13223</v>
      </c>
      <c r="B6287" t="s">
        <v>6827</v>
      </c>
      <c r="C6287" t="s">
        <v>6956</v>
      </c>
      <c r="D6287" s="1">
        <v>45026</v>
      </c>
      <c r="E6287" s="1">
        <v>45029</v>
      </c>
      <c r="F6287" s="1">
        <v>45039</v>
      </c>
      <c r="G6287">
        <v>19.350000000000001</v>
      </c>
      <c r="H628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87" t="str">
        <f>IFERROR(INDEX(Raw_orders!G:G, MATCH(shipments[[#This Row],[order_id]],Raw_orders!A:A, 0)), "Unknown")</f>
        <v>Central Europe</v>
      </c>
      <c r="J6287" t="str">
        <f>PROPER(shipments[[#This Row],[delivery_status]])</f>
        <v>Delivered</v>
      </c>
      <c r="K6287" t="s">
        <v>6929</v>
      </c>
    </row>
    <row r="6288" spans="1:11">
      <c r="A6288" t="s">
        <v>13224</v>
      </c>
      <c r="B6288" t="s">
        <v>6828</v>
      </c>
      <c r="C6288" t="s">
        <v>6931</v>
      </c>
      <c r="D6288" s="1">
        <v>45507</v>
      </c>
      <c r="E6288" s="1">
        <v>45509</v>
      </c>
      <c r="F6288" s="1"/>
      <c r="G6288">
        <v>18.239999999999998</v>
      </c>
      <c r="H628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288" t="str">
        <f>IFERROR(INDEX(Raw_orders!G:G, MATCH(shipments[[#This Row],[order_id]],Raw_orders!A:A, 0)), "Unknown")</f>
        <v>Nordics</v>
      </c>
      <c r="J6288" t="str">
        <f>PROPER(shipments[[#This Row],[delivery_status]])</f>
        <v>In Transit</v>
      </c>
      <c r="K6288" t="s">
        <v>6977</v>
      </c>
    </row>
    <row r="6289" spans="1:11">
      <c r="A6289" t="s">
        <v>13225</v>
      </c>
      <c r="B6289" t="s">
        <v>6829</v>
      </c>
      <c r="C6289" t="s">
        <v>6921</v>
      </c>
      <c r="D6289" s="1">
        <v>45575</v>
      </c>
      <c r="E6289" s="1">
        <v>45582</v>
      </c>
      <c r="F6289" s="1">
        <v>45589</v>
      </c>
      <c r="G6289">
        <v>35.020000000000003</v>
      </c>
      <c r="H628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89" t="str">
        <f>IFERROR(INDEX(Raw_orders!G:G, MATCH(shipments[[#This Row],[order_id]],Raw_orders!A:A, 0)), "Unknown")</f>
        <v>Baltics</v>
      </c>
      <c r="J6289" t="str">
        <f>PROPER(shipments[[#This Row],[delivery_status]])</f>
        <v>Delivered</v>
      </c>
      <c r="K6289" t="s">
        <v>6922</v>
      </c>
    </row>
    <row r="6290" spans="1:11">
      <c r="A6290" t="s">
        <v>13226</v>
      </c>
      <c r="B6290" t="s">
        <v>6830</v>
      </c>
      <c r="C6290" t="s">
        <v>6931</v>
      </c>
      <c r="D6290" s="1">
        <v>45548</v>
      </c>
      <c r="E6290" s="1">
        <v>45558</v>
      </c>
      <c r="F6290" s="1">
        <v>45558</v>
      </c>
      <c r="G6290">
        <v>26.04</v>
      </c>
      <c r="H629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290" t="str">
        <f>IFERROR(INDEX(Raw_orders!G:G, MATCH(shipments[[#This Row],[order_id]],Raw_orders!A:A, 0)), "Unknown")</f>
        <v>Nordics</v>
      </c>
      <c r="J6290" t="str">
        <f>PROPER(shipments[[#This Row],[delivery_status]])</f>
        <v>Delivered</v>
      </c>
      <c r="K6290" t="s">
        <v>6929</v>
      </c>
    </row>
    <row r="6291" spans="1:11">
      <c r="A6291" t="s">
        <v>13227</v>
      </c>
      <c r="B6291" t="s">
        <v>6831</v>
      </c>
      <c r="C6291" t="s">
        <v>6935</v>
      </c>
      <c r="D6291" s="1">
        <v>45550</v>
      </c>
      <c r="E6291" s="1">
        <v>45560</v>
      </c>
      <c r="F6291" s="1">
        <v>45568</v>
      </c>
      <c r="G6291">
        <v>62.62</v>
      </c>
      <c r="H629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91" t="str">
        <f>IFERROR(INDEX(Raw_orders!G:G, MATCH(shipments[[#This Row],[order_id]],Raw_orders!A:A, 0)), "Unknown")</f>
        <v>Central Europe</v>
      </c>
      <c r="J6291" t="str">
        <f>PROPER(shipments[[#This Row],[delivery_status]])</f>
        <v>Delivered</v>
      </c>
      <c r="K6291" t="s">
        <v>6929</v>
      </c>
    </row>
    <row r="6292" spans="1:11">
      <c r="A6292" t="s">
        <v>13228</v>
      </c>
      <c r="B6292" t="s">
        <v>6832</v>
      </c>
      <c r="C6292" t="s">
        <v>6931</v>
      </c>
      <c r="D6292" s="1">
        <v>45098</v>
      </c>
      <c r="E6292" s="1">
        <v>45100</v>
      </c>
      <c r="F6292" s="1">
        <v>45102</v>
      </c>
      <c r="G6292">
        <v>58.95</v>
      </c>
      <c r="H629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92" t="str">
        <f>IFERROR(INDEX(Raw_orders!G:G, MATCH(shipments[[#This Row],[order_id]],Raw_orders!A:A, 0)), "Unknown")</f>
        <v>Baltics</v>
      </c>
      <c r="J6292" t="str">
        <f>PROPER(shipments[[#This Row],[delivery_status]])</f>
        <v>Delivered</v>
      </c>
      <c r="K6292" t="s">
        <v>6929</v>
      </c>
    </row>
    <row r="6293" spans="1:11">
      <c r="A6293" t="s">
        <v>13229</v>
      </c>
      <c r="B6293" t="s">
        <v>6833</v>
      </c>
      <c r="C6293" t="s">
        <v>6931</v>
      </c>
      <c r="D6293" s="1">
        <v>44999</v>
      </c>
      <c r="E6293" s="1">
        <v>45001</v>
      </c>
      <c r="F6293" s="1">
        <v>45009</v>
      </c>
      <c r="G6293">
        <v>6.75</v>
      </c>
      <c r="H629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93" t="str">
        <f>IFERROR(INDEX(Raw_orders!G:G, MATCH(shipments[[#This Row],[order_id]],Raw_orders!A:A, 0)), "Unknown")</f>
        <v>Central Europe</v>
      </c>
      <c r="J6293" t="str">
        <f>PROPER(shipments[[#This Row],[delivery_status]])</f>
        <v>Delivered</v>
      </c>
      <c r="K6293" t="s">
        <v>6922</v>
      </c>
    </row>
    <row r="6294" spans="1:11">
      <c r="A6294" t="s">
        <v>13230</v>
      </c>
      <c r="B6294" t="s">
        <v>6834</v>
      </c>
      <c r="C6294" t="s">
        <v>6931</v>
      </c>
      <c r="D6294" s="1">
        <v>45254</v>
      </c>
      <c r="E6294" s="1">
        <v>45264</v>
      </c>
      <c r="F6294" s="1">
        <v>45266</v>
      </c>
      <c r="G6294">
        <v>58.4</v>
      </c>
      <c r="H629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94" t="str">
        <f>IFERROR(INDEX(Raw_orders!G:G, MATCH(shipments[[#This Row],[order_id]],Raw_orders!A:A, 0)), "Unknown")</f>
        <v>Central Europe</v>
      </c>
      <c r="J6294" t="str">
        <f>PROPER(shipments[[#This Row],[delivery_status]])</f>
        <v>Delivered</v>
      </c>
      <c r="K6294" t="s">
        <v>6929</v>
      </c>
    </row>
    <row r="6295" spans="1:11">
      <c r="A6295" t="s">
        <v>13231</v>
      </c>
      <c r="B6295" t="s">
        <v>6835</v>
      </c>
      <c r="C6295" t="s">
        <v>6921</v>
      </c>
      <c r="D6295" s="1">
        <v>45130</v>
      </c>
      <c r="E6295" s="1">
        <v>45133</v>
      </c>
      <c r="F6295" s="1">
        <v>45136</v>
      </c>
      <c r="G6295">
        <v>20.47</v>
      </c>
      <c r="H629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295" t="str">
        <f>IFERROR(INDEX(Raw_orders!G:G, MATCH(shipments[[#This Row],[order_id]],Raw_orders!A:A, 0)), "Unknown")</f>
        <v>Central Europe</v>
      </c>
      <c r="J6295" t="str">
        <f>PROPER(shipments[[#This Row],[delivery_status]])</f>
        <v>Delivered</v>
      </c>
      <c r="K6295" t="s">
        <v>6926</v>
      </c>
    </row>
    <row r="6296" spans="1:11">
      <c r="A6296" t="s">
        <v>13232</v>
      </c>
      <c r="B6296" t="s">
        <v>6836</v>
      </c>
      <c r="C6296" t="s">
        <v>6928</v>
      </c>
      <c r="D6296" s="1">
        <v>45181</v>
      </c>
      <c r="E6296" s="1">
        <v>45184</v>
      </c>
      <c r="F6296" s="1">
        <v>45184</v>
      </c>
      <c r="G6296">
        <v>32.229999999999997</v>
      </c>
      <c r="H629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296" t="str">
        <f>IFERROR(INDEX(Raw_orders!G:G, MATCH(shipments[[#This Row],[order_id]],Raw_orders!A:A, 0)), "Unknown")</f>
        <v>Central Europe</v>
      </c>
      <c r="J6296" t="str">
        <f>PROPER(shipments[[#This Row],[delivery_status]])</f>
        <v>Delivered</v>
      </c>
      <c r="K6296" t="s">
        <v>6926</v>
      </c>
    </row>
    <row r="6297" spans="1:11">
      <c r="A6297" t="s">
        <v>13233</v>
      </c>
      <c r="B6297" t="s">
        <v>6837</v>
      </c>
      <c r="C6297" t="s">
        <v>6938</v>
      </c>
      <c r="D6297" s="1">
        <v>45616</v>
      </c>
      <c r="E6297" s="1">
        <v>45623</v>
      </c>
      <c r="F6297" s="1">
        <v>45623</v>
      </c>
      <c r="G6297">
        <v>45.04</v>
      </c>
      <c r="H629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297" t="str">
        <f>IFERROR(INDEX(Raw_orders!G:G, MATCH(shipments[[#This Row],[order_id]],Raw_orders!A:A, 0)), "Unknown")</f>
        <v>Nordics</v>
      </c>
      <c r="J6297" t="str">
        <f>PROPER(shipments[[#This Row],[delivery_status]])</f>
        <v>Delivered</v>
      </c>
      <c r="K6297" t="s">
        <v>6929</v>
      </c>
    </row>
    <row r="6298" spans="1:11">
      <c r="A6298" t="s">
        <v>13234</v>
      </c>
      <c r="B6298" t="s">
        <v>6838</v>
      </c>
      <c r="C6298" t="s">
        <v>6925</v>
      </c>
      <c r="D6298" s="1">
        <v>45264</v>
      </c>
      <c r="E6298" s="1">
        <v>45269</v>
      </c>
      <c r="F6298" s="1"/>
      <c r="G6298">
        <v>59.23</v>
      </c>
      <c r="H629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6298" t="str">
        <f>IFERROR(INDEX(Raw_orders!G:G, MATCH(shipments[[#This Row],[order_id]],Raw_orders!A:A, 0)), "Unknown")</f>
        <v>Nordics</v>
      </c>
      <c r="J6298" t="str">
        <f>PROPER(shipments[[#This Row],[delivery_status]])</f>
        <v>Cancelled</v>
      </c>
      <c r="K6298" t="s">
        <v>6963</v>
      </c>
    </row>
    <row r="6299" spans="1:11">
      <c r="A6299" t="s">
        <v>13235</v>
      </c>
      <c r="B6299" t="s">
        <v>6838</v>
      </c>
      <c r="C6299" t="s">
        <v>6925</v>
      </c>
      <c r="D6299" s="1">
        <v>45265</v>
      </c>
      <c r="E6299" s="1">
        <v>45267</v>
      </c>
      <c r="F6299" s="1">
        <v>45266</v>
      </c>
      <c r="G6299">
        <v>25.98</v>
      </c>
      <c r="H629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299" t="str">
        <f>IFERROR(INDEX(Raw_orders!G:G, MATCH(shipments[[#This Row],[order_id]],Raw_orders!A:A, 0)), "Unknown")</f>
        <v>Nordics</v>
      </c>
      <c r="J6299" t="str">
        <f>PROPER(shipments[[#This Row],[delivery_status]])</f>
        <v>Delivered</v>
      </c>
      <c r="K6299" t="s">
        <v>6926</v>
      </c>
    </row>
    <row r="6300" spans="1:11">
      <c r="A6300" t="s">
        <v>13236</v>
      </c>
      <c r="B6300" t="s">
        <v>6839</v>
      </c>
      <c r="C6300" t="s">
        <v>6921</v>
      </c>
      <c r="D6300" s="1">
        <v>44947</v>
      </c>
      <c r="E6300" s="1">
        <v>44957</v>
      </c>
      <c r="F6300" s="1">
        <v>44957</v>
      </c>
      <c r="G6300">
        <v>61.1</v>
      </c>
      <c r="H630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300" t="str">
        <f>IFERROR(INDEX(Raw_orders!G:G, MATCH(shipments[[#This Row],[order_id]],Raw_orders!A:A, 0)), "Unknown")</f>
        <v>Central Europe</v>
      </c>
      <c r="J6300" t="str">
        <f>PROPER(shipments[[#This Row],[delivery_status]])</f>
        <v>Delivered</v>
      </c>
      <c r="K6300" t="s">
        <v>6926</v>
      </c>
    </row>
    <row r="6301" spans="1:11">
      <c r="A6301" t="s">
        <v>13237</v>
      </c>
      <c r="B6301" t="s">
        <v>6840</v>
      </c>
      <c r="C6301" t="s">
        <v>6925</v>
      </c>
      <c r="D6301" s="1">
        <v>45282</v>
      </c>
      <c r="E6301" s="1">
        <v>45289</v>
      </c>
      <c r="F6301" s="1">
        <v>45289</v>
      </c>
      <c r="G6301">
        <v>35.78</v>
      </c>
      <c r="H630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301" t="str">
        <f>IFERROR(INDEX(Raw_orders!G:G, MATCH(shipments[[#This Row],[order_id]],Raw_orders!A:A, 0)), "Unknown")</f>
        <v>Baltics</v>
      </c>
      <c r="J6301" t="str">
        <f>PROPER(shipments[[#This Row],[delivery_status]])</f>
        <v>Delivered</v>
      </c>
      <c r="K6301" t="s">
        <v>6922</v>
      </c>
    </row>
    <row r="6302" spans="1:11">
      <c r="A6302" t="s">
        <v>13238</v>
      </c>
      <c r="B6302" t="s">
        <v>6841</v>
      </c>
      <c r="C6302" t="s">
        <v>6925</v>
      </c>
      <c r="D6302" s="1">
        <v>45033</v>
      </c>
      <c r="E6302" s="1">
        <v>45043</v>
      </c>
      <c r="F6302" s="1"/>
      <c r="G6302">
        <v>38.33</v>
      </c>
      <c r="H630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6302" t="str">
        <f>IFERROR(INDEX(Raw_orders!G:G, MATCH(shipments[[#This Row],[order_id]],Raw_orders!A:A, 0)), "Unknown")</f>
        <v>Baltics</v>
      </c>
      <c r="J6302" t="str">
        <f>PROPER(shipments[[#This Row],[delivery_status]])</f>
        <v>Cancelled</v>
      </c>
      <c r="K6302" t="s">
        <v>6972</v>
      </c>
    </row>
    <row r="6303" spans="1:11">
      <c r="A6303" t="s">
        <v>13239</v>
      </c>
      <c r="B6303" t="s">
        <v>6842</v>
      </c>
      <c r="C6303" t="s">
        <v>6931</v>
      </c>
      <c r="D6303" s="1">
        <v>45172</v>
      </c>
      <c r="E6303" s="1">
        <v>45179</v>
      </c>
      <c r="F6303" s="1">
        <v>45179</v>
      </c>
      <c r="G6303">
        <v>35.79</v>
      </c>
      <c r="H630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303" t="str">
        <f>IFERROR(INDEX(Raw_orders!G:G, MATCH(shipments[[#This Row],[order_id]],Raw_orders!A:A, 0)), "Unknown")</f>
        <v>Baltics</v>
      </c>
      <c r="J6303" t="str">
        <f>PROPER(shipments[[#This Row],[delivery_status]])</f>
        <v>Delivered</v>
      </c>
      <c r="K6303" t="s">
        <v>6929</v>
      </c>
    </row>
    <row r="6304" spans="1:11">
      <c r="A6304" t="s">
        <v>13240</v>
      </c>
      <c r="B6304" t="s">
        <v>6843</v>
      </c>
      <c r="C6304" t="s">
        <v>6931</v>
      </c>
      <c r="D6304" s="1">
        <v>45526</v>
      </c>
      <c r="E6304" s="1">
        <v>45533</v>
      </c>
      <c r="F6304" s="1">
        <v>45536</v>
      </c>
      <c r="G6304">
        <v>42.71</v>
      </c>
      <c r="H630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04" t="str">
        <f>IFERROR(INDEX(Raw_orders!G:G, MATCH(shipments[[#This Row],[order_id]],Raw_orders!A:A, 0)), "Unknown")</f>
        <v>Baltics</v>
      </c>
      <c r="J6304" t="str">
        <f>PROPER(shipments[[#This Row],[delivery_status]])</f>
        <v>Delivered</v>
      </c>
      <c r="K6304" t="s">
        <v>6929</v>
      </c>
    </row>
    <row r="6305" spans="1:11">
      <c r="A6305" t="s">
        <v>13241</v>
      </c>
      <c r="B6305" t="s">
        <v>6844</v>
      </c>
      <c r="C6305" t="s">
        <v>6928</v>
      </c>
      <c r="D6305" s="1">
        <v>45126</v>
      </c>
      <c r="E6305" s="1">
        <v>45131</v>
      </c>
      <c r="F6305" s="1">
        <v>45132</v>
      </c>
      <c r="G6305">
        <v>36.44</v>
      </c>
      <c r="H630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05" t="str">
        <f>IFERROR(INDEX(Raw_orders!G:G, MATCH(shipments[[#This Row],[order_id]],Raw_orders!A:A, 0)), "Unknown")</f>
        <v>Baltics</v>
      </c>
      <c r="J6305" t="str">
        <f>PROPER(shipments[[#This Row],[delivery_status]])</f>
        <v>Delivered</v>
      </c>
      <c r="K6305" t="s">
        <v>6929</v>
      </c>
    </row>
    <row r="6306" spans="1:11">
      <c r="A6306" t="s">
        <v>13242</v>
      </c>
      <c r="B6306" t="s">
        <v>6845</v>
      </c>
      <c r="C6306" t="s">
        <v>6928</v>
      </c>
      <c r="D6306" s="1">
        <v>45495</v>
      </c>
      <c r="E6306" s="1">
        <v>45497</v>
      </c>
      <c r="F6306" s="1">
        <v>45506</v>
      </c>
      <c r="G6306">
        <v>56.87</v>
      </c>
      <c r="H630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06" t="str">
        <f>IFERROR(INDEX(Raw_orders!G:G, MATCH(shipments[[#This Row],[order_id]],Raw_orders!A:A, 0)), "Unknown")</f>
        <v>Baltics</v>
      </c>
      <c r="J6306" t="str">
        <f>PROPER(shipments[[#This Row],[delivery_status]])</f>
        <v>Delivered</v>
      </c>
      <c r="K6306" t="s">
        <v>6926</v>
      </c>
    </row>
    <row r="6307" spans="1:11">
      <c r="A6307" t="s">
        <v>13243</v>
      </c>
      <c r="B6307" t="s">
        <v>6846</v>
      </c>
      <c r="C6307" t="s">
        <v>6935</v>
      </c>
      <c r="D6307" s="1">
        <v>45576</v>
      </c>
      <c r="E6307" s="1">
        <v>45586</v>
      </c>
      <c r="F6307" s="1">
        <v>45598</v>
      </c>
      <c r="G6307">
        <v>19.78</v>
      </c>
      <c r="H630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07" t="str">
        <f>IFERROR(INDEX(Raw_orders!G:G, MATCH(shipments[[#This Row],[order_id]],Raw_orders!A:A, 0)), "Unknown")</f>
        <v>Central Europe</v>
      </c>
      <c r="J6307" t="str">
        <f>PROPER(shipments[[#This Row],[delivery_status]])</f>
        <v>Delivered</v>
      </c>
      <c r="K6307" t="s">
        <v>6926</v>
      </c>
    </row>
    <row r="6308" spans="1:11">
      <c r="A6308" t="s">
        <v>13244</v>
      </c>
      <c r="B6308" t="s">
        <v>6847</v>
      </c>
      <c r="C6308" t="s">
        <v>6921</v>
      </c>
      <c r="D6308" s="1">
        <v>45163</v>
      </c>
      <c r="E6308" s="1">
        <v>45166</v>
      </c>
      <c r="F6308" s="1">
        <v>45167</v>
      </c>
      <c r="G6308">
        <v>21.79</v>
      </c>
      <c r="H630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08" t="str">
        <f>IFERROR(INDEX(Raw_orders!G:G, MATCH(shipments[[#This Row],[order_id]],Raw_orders!A:A, 0)), "Unknown")</f>
        <v>Baltics</v>
      </c>
      <c r="J6308" t="str">
        <f>PROPER(shipments[[#This Row],[delivery_status]])</f>
        <v>Delivered</v>
      </c>
      <c r="K6308" t="s">
        <v>6929</v>
      </c>
    </row>
    <row r="6309" spans="1:11">
      <c r="A6309" t="s">
        <v>13245</v>
      </c>
      <c r="B6309" t="s">
        <v>6848</v>
      </c>
      <c r="C6309" t="s">
        <v>6921</v>
      </c>
      <c r="D6309" s="1">
        <v>45397</v>
      </c>
      <c r="E6309" s="1">
        <v>45402</v>
      </c>
      <c r="F6309" s="1">
        <v>45403</v>
      </c>
      <c r="G6309">
        <v>33.6</v>
      </c>
      <c r="H630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09" t="str">
        <f>IFERROR(INDEX(Raw_orders!G:G, MATCH(shipments[[#This Row],[order_id]],Raw_orders!A:A, 0)), "Unknown")</f>
        <v>Baltics</v>
      </c>
      <c r="J6309" t="str">
        <f>PROPER(shipments[[#This Row],[delivery_status]])</f>
        <v>Delivered</v>
      </c>
      <c r="K6309" t="s">
        <v>6929</v>
      </c>
    </row>
    <row r="6310" spans="1:11">
      <c r="A6310" t="s">
        <v>13246</v>
      </c>
      <c r="B6310" t="s">
        <v>6849</v>
      </c>
      <c r="C6310" t="s">
        <v>6931</v>
      </c>
      <c r="D6310" s="1">
        <v>44985</v>
      </c>
      <c r="E6310" s="1">
        <v>44987</v>
      </c>
      <c r="F6310" s="1">
        <v>44986</v>
      </c>
      <c r="G6310">
        <v>33.369999999999997</v>
      </c>
      <c r="H631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310" t="str">
        <f>IFERROR(INDEX(Raw_orders!G:G, MATCH(shipments[[#This Row],[order_id]],Raw_orders!A:A, 0)), "Unknown")</f>
        <v>Central Europe</v>
      </c>
      <c r="J6310" t="str">
        <f>PROPER(shipments[[#This Row],[delivery_status]])</f>
        <v>Delivered</v>
      </c>
      <c r="K6310" t="s">
        <v>6922</v>
      </c>
    </row>
    <row r="6311" spans="1:11">
      <c r="A6311" t="s">
        <v>13247</v>
      </c>
      <c r="B6311" t="s">
        <v>6850</v>
      </c>
      <c r="C6311" t="s">
        <v>6928</v>
      </c>
      <c r="D6311" s="1">
        <v>45161</v>
      </c>
      <c r="E6311" s="1">
        <v>45164</v>
      </c>
      <c r="F6311" s="1">
        <v>45166</v>
      </c>
      <c r="G6311">
        <v>42.46</v>
      </c>
      <c r="H631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11" t="str">
        <f>IFERROR(INDEX(Raw_orders!G:G, MATCH(shipments[[#This Row],[order_id]],Raw_orders!A:A, 0)), "Unknown")</f>
        <v>Central Europe</v>
      </c>
      <c r="J6311" t="str">
        <f>PROPER(shipments[[#This Row],[delivery_status]])</f>
        <v>Delivered</v>
      </c>
      <c r="K6311" t="s">
        <v>6926</v>
      </c>
    </row>
    <row r="6312" spans="1:11">
      <c r="A6312" t="s">
        <v>13248</v>
      </c>
      <c r="B6312" t="s">
        <v>6851</v>
      </c>
      <c r="C6312" t="s">
        <v>6928</v>
      </c>
      <c r="D6312" s="1">
        <v>45435</v>
      </c>
      <c r="E6312" s="1">
        <v>45442</v>
      </c>
      <c r="F6312" s="1">
        <v>45441</v>
      </c>
      <c r="G6312">
        <v>16.5</v>
      </c>
      <c r="H631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312" t="str">
        <f>IFERROR(INDEX(Raw_orders!G:G, MATCH(shipments[[#This Row],[order_id]],Raw_orders!A:A, 0)), "Unknown")</f>
        <v>Central Europe</v>
      </c>
      <c r="J6312" t="str">
        <f>PROPER(shipments[[#This Row],[delivery_status]])</f>
        <v>Delivered</v>
      </c>
      <c r="K6312" t="s">
        <v>6922</v>
      </c>
    </row>
    <row r="6313" spans="1:11">
      <c r="A6313" t="s">
        <v>13249</v>
      </c>
      <c r="B6313" t="s">
        <v>6852</v>
      </c>
      <c r="C6313" t="s">
        <v>6931</v>
      </c>
      <c r="D6313" s="1">
        <v>45220</v>
      </c>
      <c r="E6313" s="1">
        <v>45230</v>
      </c>
      <c r="F6313" s="1">
        <v>45232</v>
      </c>
      <c r="G6313">
        <v>45.21</v>
      </c>
      <c r="H631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13" t="str">
        <f>IFERROR(INDEX(Raw_orders!G:G, MATCH(shipments[[#This Row],[order_id]],Raw_orders!A:A, 0)), "Unknown")</f>
        <v>Central Europe</v>
      </c>
      <c r="J6313" t="str">
        <f>PROPER(shipments[[#This Row],[delivery_status]])</f>
        <v>Delivered</v>
      </c>
      <c r="K6313" t="s">
        <v>6922</v>
      </c>
    </row>
    <row r="6314" spans="1:11">
      <c r="A6314" t="s">
        <v>13250</v>
      </c>
      <c r="B6314" t="s">
        <v>6853</v>
      </c>
      <c r="C6314" t="s">
        <v>6940</v>
      </c>
      <c r="D6314" s="1">
        <v>45240</v>
      </c>
      <c r="E6314" s="1">
        <v>45243</v>
      </c>
      <c r="F6314" s="1">
        <v>45244</v>
      </c>
      <c r="G6314">
        <v>58.29</v>
      </c>
      <c r="H631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14" t="str">
        <f>IFERROR(INDEX(Raw_orders!G:G, MATCH(shipments[[#This Row],[order_id]],Raw_orders!A:A, 0)), "Unknown")</f>
        <v>Nordics</v>
      </c>
      <c r="J6314" t="str">
        <f>PROPER(shipments[[#This Row],[delivery_status]])</f>
        <v>Delivered</v>
      </c>
      <c r="K6314" t="s">
        <v>6926</v>
      </c>
    </row>
    <row r="6315" spans="1:11">
      <c r="A6315" t="s">
        <v>13251</v>
      </c>
      <c r="B6315" t="s">
        <v>6854</v>
      </c>
      <c r="C6315" t="s">
        <v>6925</v>
      </c>
      <c r="D6315" s="1">
        <v>45175</v>
      </c>
      <c r="E6315" s="1">
        <v>45178</v>
      </c>
      <c r="F6315" s="1"/>
      <c r="G6315">
        <v>52.65</v>
      </c>
      <c r="H631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6315" t="str">
        <f>IFERROR(INDEX(Raw_orders!G:G, MATCH(shipments[[#This Row],[order_id]],Raw_orders!A:A, 0)), "Unknown")</f>
        <v>Baltics</v>
      </c>
      <c r="J6315" t="str">
        <f>PROPER(shipments[[#This Row],[delivery_status]])</f>
        <v>Cancelled</v>
      </c>
      <c r="K6315" t="s">
        <v>6979</v>
      </c>
    </row>
    <row r="6316" spans="1:11">
      <c r="A6316" t="s">
        <v>13252</v>
      </c>
      <c r="B6316" t="s">
        <v>6854</v>
      </c>
      <c r="C6316" t="s">
        <v>6935</v>
      </c>
      <c r="D6316" s="1">
        <v>45174</v>
      </c>
      <c r="E6316" s="1">
        <v>45177</v>
      </c>
      <c r="F6316" s="1">
        <v>45176</v>
      </c>
      <c r="G6316">
        <v>47.68</v>
      </c>
      <c r="H631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316" t="str">
        <f>IFERROR(INDEX(Raw_orders!G:G, MATCH(shipments[[#This Row],[order_id]],Raw_orders!A:A, 0)), "Unknown")</f>
        <v>Baltics</v>
      </c>
      <c r="J6316" t="str">
        <f>PROPER(shipments[[#This Row],[delivery_status]])</f>
        <v>Delivered</v>
      </c>
      <c r="K6316" t="s">
        <v>6929</v>
      </c>
    </row>
    <row r="6317" spans="1:11">
      <c r="A6317" t="s">
        <v>13253</v>
      </c>
      <c r="B6317" t="s">
        <v>6855</v>
      </c>
      <c r="C6317" t="s">
        <v>6938</v>
      </c>
      <c r="D6317" s="1">
        <v>45433</v>
      </c>
      <c r="E6317" s="1">
        <v>45438</v>
      </c>
      <c r="F6317" s="1">
        <v>45438</v>
      </c>
      <c r="G6317">
        <v>37.33</v>
      </c>
      <c r="H631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317" t="str">
        <f>IFERROR(INDEX(Raw_orders!G:G, MATCH(shipments[[#This Row],[order_id]],Raw_orders!A:A, 0)), "Unknown")</f>
        <v>Nordics</v>
      </c>
      <c r="J6317" t="str">
        <f>PROPER(shipments[[#This Row],[delivery_status]])</f>
        <v>Delivered</v>
      </c>
      <c r="K6317" t="s">
        <v>6929</v>
      </c>
    </row>
    <row r="6318" spans="1:11">
      <c r="A6318" t="s">
        <v>13254</v>
      </c>
      <c r="B6318" t="s">
        <v>6856</v>
      </c>
      <c r="C6318" t="s">
        <v>6940</v>
      </c>
      <c r="D6318" s="1">
        <v>45083</v>
      </c>
      <c r="E6318" s="1">
        <v>45093</v>
      </c>
      <c r="F6318" s="1">
        <v>45093</v>
      </c>
      <c r="G6318">
        <v>54.12</v>
      </c>
      <c r="H631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318" t="str">
        <f>IFERROR(INDEX(Raw_orders!G:G, MATCH(shipments[[#This Row],[order_id]],Raw_orders!A:A, 0)), "Unknown")</f>
        <v>Unknown</v>
      </c>
      <c r="J6318" t="str">
        <f>PROPER(shipments[[#This Row],[delivery_status]])</f>
        <v>Delivered</v>
      </c>
      <c r="K6318" t="s">
        <v>6929</v>
      </c>
    </row>
    <row r="6319" spans="1:11">
      <c r="A6319" t="s">
        <v>13255</v>
      </c>
      <c r="B6319" t="s">
        <v>6857</v>
      </c>
      <c r="C6319" t="s">
        <v>6925</v>
      </c>
      <c r="D6319" s="1">
        <v>45111</v>
      </c>
      <c r="E6319" s="1">
        <v>45121</v>
      </c>
      <c r="F6319" s="1">
        <v>45126</v>
      </c>
      <c r="G6319">
        <v>32.869999999999997</v>
      </c>
      <c r="H631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19" t="str">
        <f>IFERROR(INDEX(Raw_orders!G:G, MATCH(shipments[[#This Row],[order_id]],Raw_orders!A:A, 0)), "Unknown")</f>
        <v>Nordics</v>
      </c>
      <c r="J6319" t="str">
        <f>PROPER(shipments[[#This Row],[delivery_status]])</f>
        <v>Delivered</v>
      </c>
      <c r="K6319" t="s">
        <v>6922</v>
      </c>
    </row>
    <row r="6320" spans="1:11">
      <c r="A6320" t="s">
        <v>13256</v>
      </c>
      <c r="B6320" t="s">
        <v>6858</v>
      </c>
      <c r="C6320" t="s">
        <v>6956</v>
      </c>
      <c r="D6320" s="1">
        <v>45233</v>
      </c>
      <c r="E6320" s="1">
        <v>45235</v>
      </c>
      <c r="F6320" s="1"/>
      <c r="G6320">
        <v>62.27</v>
      </c>
      <c r="H632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6320" t="str">
        <f>IFERROR(INDEX(Raw_orders!G:G, MATCH(shipments[[#This Row],[order_id]],Raw_orders!A:A, 0)), "Unknown")</f>
        <v>Nordics</v>
      </c>
      <c r="J6320" t="str">
        <f>PROPER(shipments[[#This Row],[delivery_status]])</f>
        <v>Cancelled</v>
      </c>
      <c r="K6320" t="s">
        <v>6979</v>
      </c>
    </row>
    <row r="6321" spans="1:11">
      <c r="A6321" t="s">
        <v>13257</v>
      </c>
      <c r="B6321" t="s">
        <v>6859</v>
      </c>
      <c r="C6321" t="s">
        <v>6940</v>
      </c>
      <c r="D6321" s="1">
        <v>45452</v>
      </c>
      <c r="E6321" s="1">
        <v>45459</v>
      </c>
      <c r="F6321" s="1">
        <v>45458</v>
      </c>
      <c r="G6321">
        <v>14.75</v>
      </c>
      <c r="H632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321" t="str">
        <f>IFERROR(INDEX(Raw_orders!G:G, MATCH(shipments[[#This Row],[order_id]],Raw_orders!A:A, 0)), "Unknown")</f>
        <v>Nordics</v>
      </c>
      <c r="J6321" t="str">
        <f>PROPER(shipments[[#This Row],[delivery_status]])</f>
        <v>Delivered</v>
      </c>
      <c r="K6321" t="s">
        <v>6922</v>
      </c>
    </row>
    <row r="6322" spans="1:11">
      <c r="A6322" t="s">
        <v>13258</v>
      </c>
      <c r="B6322" t="s">
        <v>6860</v>
      </c>
      <c r="C6322" t="s">
        <v>6956</v>
      </c>
      <c r="D6322" s="1">
        <v>44979</v>
      </c>
      <c r="E6322" s="1">
        <v>44986</v>
      </c>
      <c r="F6322" s="1">
        <v>44986</v>
      </c>
      <c r="G6322">
        <v>61.98</v>
      </c>
      <c r="H632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322" t="str">
        <f>IFERROR(INDEX(Raw_orders!G:G, MATCH(shipments[[#This Row],[order_id]],Raw_orders!A:A, 0)), "Unknown")</f>
        <v>Baltics</v>
      </c>
      <c r="J6322" t="str">
        <f>PROPER(shipments[[#This Row],[delivery_status]])</f>
        <v>Delivered</v>
      </c>
      <c r="K6322" t="s">
        <v>6926</v>
      </c>
    </row>
    <row r="6323" spans="1:11">
      <c r="A6323" t="s">
        <v>13259</v>
      </c>
      <c r="B6323" t="s">
        <v>6861</v>
      </c>
      <c r="C6323" t="s">
        <v>6940</v>
      </c>
      <c r="D6323" s="1">
        <v>45183</v>
      </c>
      <c r="E6323" s="1">
        <v>45190</v>
      </c>
      <c r="F6323" s="1">
        <v>45190</v>
      </c>
      <c r="G6323">
        <v>55.37</v>
      </c>
      <c r="H632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323" t="str">
        <f>IFERROR(INDEX(Raw_orders!G:G, MATCH(shipments[[#This Row],[order_id]],Raw_orders!A:A, 0)), "Unknown")</f>
        <v>Nordics</v>
      </c>
      <c r="J6323" t="str">
        <f>PROPER(shipments[[#This Row],[delivery_status]])</f>
        <v>Delivered</v>
      </c>
      <c r="K6323" t="s">
        <v>6929</v>
      </c>
    </row>
    <row r="6324" spans="1:11">
      <c r="A6324" t="s">
        <v>13260</v>
      </c>
      <c r="B6324" t="s">
        <v>6862</v>
      </c>
      <c r="C6324" t="s">
        <v>6928</v>
      </c>
      <c r="D6324" s="1">
        <v>45312</v>
      </c>
      <c r="E6324" s="1">
        <v>45315</v>
      </c>
      <c r="F6324" s="1">
        <v>45318</v>
      </c>
      <c r="G6324">
        <v>64.44</v>
      </c>
      <c r="H632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24" t="str">
        <f>IFERROR(INDEX(Raw_orders!G:G, MATCH(shipments[[#This Row],[order_id]],Raw_orders!A:A, 0)), "Unknown")</f>
        <v>Central Europe</v>
      </c>
      <c r="J6324" t="str">
        <f>PROPER(shipments[[#This Row],[delivery_status]])</f>
        <v>Delivered</v>
      </c>
      <c r="K6324" t="s">
        <v>6926</v>
      </c>
    </row>
    <row r="6325" spans="1:11">
      <c r="A6325" t="s">
        <v>13261</v>
      </c>
      <c r="B6325" t="s">
        <v>6863</v>
      </c>
      <c r="C6325" t="s">
        <v>6931</v>
      </c>
      <c r="D6325" s="1">
        <v>45520</v>
      </c>
      <c r="E6325" s="1">
        <v>45523</v>
      </c>
      <c r="F6325" s="1"/>
      <c r="G6325">
        <v>54.65</v>
      </c>
      <c r="H632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325" t="str">
        <f>IFERROR(INDEX(Raw_orders!G:G, MATCH(shipments[[#This Row],[order_id]],Raw_orders!A:A, 0)), "Unknown")</f>
        <v>Baltics</v>
      </c>
      <c r="J6325" t="str">
        <f>PROPER(shipments[[#This Row],[delivery_status]])</f>
        <v>In Transit</v>
      </c>
      <c r="K6325" t="s">
        <v>6977</v>
      </c>
    </row>
    <row r="6326" spans="1:11">
      <c r="A6326" t="s">
        <v>13262</v>
      </c>
      <c r="B6326" t="s">
        <v>6864</v>
      </c>
      <c r="C6326" t="s">
        <v>6925</v>
      </c>
      <c r="D6326" s="1">
        <v>45397</v>
      </c>
      <c r="E6326" s="1">
        <v>45399</v>
      </c>
      <c r="F6326" s="1">
        <v>45400</v>
      </c>
      <c r="G6326">
        <v>56.15</v>
      </c>
      <c r="H632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26" t="str">
        <f>IFERROR(INDEX(Raw_orders!G:G, MATCH(shipments[[#This Row],[order_id]],Raw_orders!A:A, 0)), "Unknown")</f>
        <v>Central Europe</v>
      </c>
      <c r="J6326" t="str">
        <f>PROPER(shipments[[#This Row],[delivery_status]])</f>
        <v>Delivered</v>
      </c>
      <c r="K6326" t="s">
        <v>6926</v>
      </c>
    </row>
    <row r="6327" spans="1:11">
      <c r="A6327" t="s">
        <v>13263</v>
      </c>
      <c r="B6327" t="s">
        <v>6865</v>
      </c>
      <c r="C6327" t="s">
        <v>6935</v>
      </c>
      <c r="D6327" s="1">
        <v>45478</v>
      </c>
      <c r="E6327" s="1">
        <v>45485</v>
      </c>
      <c r="F6327" s="1">
        <v>45485</v>
      </c>
      <c r="G6327">
        <v>33.78</v>
      </c>
      <c r="H632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327" t="str">
        <f>IFERROR(INDEX(Raw_orders!G:G, MATCH(shipments[[#This Row],[order_id]],Raw_orders!A:A, 0)), "Unknown")</f>
        <v>Baltics</v>
      </c>
      <c r="J6327" t="str">
        <f>PROPER(shipments[[#This Row],[delivery_status]])</f>
        <v>Delivered</v>
      </c>
      <c r="K6327" t="s">
        <v>6926</v>
      </c>
    </row>
    <row r="6328" spans="1:11">
      <c r="A6328" t="s">
        <v>13264</v>
      </c>
      <c r="B6328" t="s">
        <v>6866</v>
      </c>
      <c r="C6328" t="s">
        <v>6940</v>
      </c>
      <c r="D6328" s="1">
        <v>45588</v>
      </c>
      <c r="E6328" s="1">
        <v>45593</v>
      </c>
      <c r="F6328" s="1">
        <v>45594</v>
      </c>
      <c r="G6328">
        <v>63.68</v>
      </c>
      <c r="H632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28" t="str">
        <f>IFERROR(INDEX(Raw_orders!G:G, MATCH(shipments[[#This Row],[order_id]],Raw_orders!A:A, 0)), "Unknown")</f>
        <v>Central Europe</v>
      </c>
      <c r="J6328" t="str">
        <f>PROPER(shipments[[#This Row],[delivery_status]])</f>
        <v>Delivered</v>
      </c>
      <c r="K6328" t="s">
        <v>6929</v>
      </c>
    </row>
    <row r="6329" spans="1:11">
      <c r="A6329" t="s">
        <v>13265</v>
      </c>
      <c r="B6329" t="s">
        <v>6867</v>
      </c>
      <c r="C6329" t="s">
        <v>6921</v>
      </c>
      <c r="D6329" s="1">
        <v>45177</v>
      </c>
      <c r="E6329" s="1">
        <v>45187</v>
      </c>
      <c r="F6329" s="1">
        <v>45187</v>
      </c>
      <c r="G6329">
        <v>34.22</v>
      </c>
      <c r="H632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329" t="str">
        <f>IFERROR(INDEX(Raw_orders!G:G, MATCH(shipments[[#This Row],[order_id]],Raw_orders!A:A, 0)), "Unknown")</f>
        <v>Central Europe</v>
      </c>
      <c r="J6329" t="str">
        <f>PROPER(shipments[[#This Row],[delivery_status]])</f>
        <v>Delivered</v>
      </c>
      <c r="K6329" t="s">
        <v>6922</v>
      </c>
    </row>
    <row r="6330" spans="1:11">
      <c r="A6330" t="s">
        <v>13266</v>
      </c>
      <c r="B6330" t="s">
        <v>6868</v>
      </c>
      <c r="C6330" t="s">
        <v>6925</v>
      </c>
      <c r="D6330" s="1">
        <v>45153</v>
      </c>
      <c r="E6330" s="1">
        <v>45155</v>
      </c>
      <c r="F6330" s="1"/>
      <c r="G6330">
        <v>47.68</v>
      </c>
      <c r="H633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330" t="str">
        <f>IFERROR(INDEX(Raw_orders!G:G, MATCH(shipments[[#This Row],[order_id]],Raw_orders!A:A, 0)), "Unknown")</f>
        <v>Baltics</v>
      </c>
      <c r="J6330" t="str">
        <f>PROPER(shipments[[#This Row],[delivery_status]])</f>
        <v>In Transit</v>
      </c>
      <c r="K6330" t="s">
        <v>6977</v>
      </c>
    </row>
    <row r="6331" spans="1:11">
      <c r="A6331" t="s">
        <v>13267</v>
      </c>
      <c r="B6331" t="s">
        <v>6869</v>
      </c>
      <c r="C6331" t="s">
        <v>6925</v>
      </c>
      <c r="D6331" s="1">
        <v>44984</v>
      </c>
      <c r="E6331" s="1">
        <v>44994</v>
      </c>
      <c r="F6331" s="1">
        <v>44994</v>
      </c>
      <c r="G6331">
        <v>30.24</v>
      </c>
      <c r="H633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331" t="str">
        <f>IFERROR(INDEX(Raw_orders!G:G, MATCH(shipments[[#This Row],[order_id]],Raw_orders!A:A, 0)), "Unknown")</f>
        <v>Baltics</v>
      </c>
      <c r="J6331" t="str">
        <f>PROPER(shipments[[#This Row],[delivery_status]])</f>
        <v>Delivered</v>
      </c>
      <c r="K6331" t="s">
        <v>6926</v>
      </c>
    </row>
    <row r="6332" spans="1:11">
      <c r="A6332" t="s">
        <v>13268</v>
      </c>
      <c r="B6332" t="s">
        <v>6870</v>
      </c>
      <c r="C6332" t="s">
        <v>6928</v>
      </c>
      <c r="D6332" s="1">
        <v>45376</v>
      </c>
      <c r="E6332" s="1">
        <v>45381</v>
      </c>
      <c r="F6332" s="1">
        <v>45381</v>
      </c>
      <c r="G6332">
        <v>43.51</v>
      </c>
      <c r="H633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332" t="str">
        <f>IFERROR(INDEX(Raw_orders!G:G, MATCH(shipments[[#This Row],[order_id]],Raw_orders!A:A, 0)), "Unknown")</f>
        <v>Nordics</v>
      </c>
      <c r="J6332" t="str">
        <f>PROPER(shipments[[#This Row],[delivery_status]])</f>
        <v>Delivered</v>
      </c>
      <c r="K6332" t="s">
        <v>6922</v>
      </c>
    </row>
    <row r="6333" spans="1:11">
      <c r="A6333" t="s">
        <v>13269</v>
      </c>
      <c r="B6333" t="s">
        <v>6871</v>
      </c>
      <c r="C6333" t="s">
        <v>6928</v>
      </c>
      <c r="D6333" s="1">
        <v>45053</v>
      </c>
      <c r="E6333" s="1">
        <v>45058</v>
      </c>
      <c r="F6333" s="1">
        <v>45061</v>
      </c>
      <c r="G6333">
        <v>51.94</v>
      </c>
      <c r="H633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33" t="str">
        <f>IFERROR(INDEX(Raw_orders!G:G, MATCH(shipments[[#This Row],[order_id]],Raw_orders!A:A, 0)), "Unknown")</f>
        <v>Baltics</v>
      </c>
      <c r="J6333" t="str">
        <f>PROPER(shipments[[#This Row],[delivery_status]])</f>
        <v>Delivered</v>
      </c>
      <c r="K6333" t="s">
        <v>6929</v>
      </c>
    </row>
    <row r="6334" spans="1:11">
      <c r="A6334" t="s">
        <v>13270</v>
      </c>
      <c r="B6334" t="s">
        <v>6872</v>
      </c>
      <c r="C6334" t="s">
        <v>6935</v>
      </c>
      <c r="D6334" s="1">
        <v>45389</v>
      </c>
      <c r="E6334" s="1">
        <v>45391</v>
      </c>
      <c r="F6334" s="1">
        <v>45392</v>
      </c>
      <c r="G6334">
        <v>52.18</v>
      </c>
      <c r="H633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34" t="str">
        <f>IFERROR(INDEX(Raw_orders!G:G, MATCH(shipments[[#This Row],[order_id]],Raw_orders!A:A, 0)), "Unknown")</f>
        <v>Baltics</v>
      </c>
      <c r="J6334" t="str">
        <f>PROPER(shipments[[#This Row],[delivery_status]])</f>
        <v>Delivered</v>
      </c>
      <c r="K6334" t="s">
        <v>6926</v>
      </c>
    </row>
    <row r="6335" spans="1:11">
      <c r="A6335" t="s">
        <v>13271</v>
      </c>
      <c r="B6335" t="s">
        <v>6873</v>
      </c>
      <c r="C6335" t="s">
        <v>6935</v>
      </c>
      <c r="D6335" s="1">
        <v>45349</v>
      </c>
      <c r="E6335" s="1">
        <v>45359</v>
      </c>
      <c r="F6335" s="1">
        <v>45359</v>
      </c>
      <c r="G6335">
        <v>20.55</v>
      </c>
      <c r="H633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335" t="str">
        <f>IFERROR(INDEX(Raw_orders!G:G, MATCH(shipments[[#This Row],[order_id]],Raw_orders!A:A, 0)), "Unknown")</f>
        <v>Nordics</v>
      </c>
      <c r="J6335" t="str">
        <f>PROPER(shipments[[#This Row],[delivery_status]])</f>
        <v>Delivered</v>
      </c>
      <c r="K6335" t="s">
        <v>6926</v>
      </c>
    </row>
    <row r="6336" spans="1:11">
      <c r="A6336" t="s">
        <v>13272</v>
      </c>
      <c r="B6336" t="s">
        <v>6874</v>
      </c>
      <c r="C6336" t="s">
        <v>6940</v>
      </c>
      <c r="D6336" s="1">
        <v>45586</v>
      </c>
      <c r="E6336" s="1">
        <v>45596</v>
      </c>
      <c r="F6336" s="1">
        <v>45596</v>
      </c>
      <c r="G6336">
        <v>15.66</v>
      </c>
      <c r="H633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336" t="str">
        <f>IFERROR(INDEX(Raw_orders!G:G, MATCH(shipments[[#This Row],[order_id]],Raw_orders!A:A, 0)), "Unknown")</f>
        <v>Central Europe</v>
      </c>
      <c r="J6336" t="str">
        <f>PROPER(shipments[[#This Row],[delivery_status]])</f>
        <v>Delivered</v>
      </c>
      <c r="K6336" t="s">
        <v>6922</v>
      </c>
    </row>
    <row r="6337" spans="1:11">
      <c r="A6337" t="s">
        <v>13273</v>
      </c>
      <c r="B6337" t="s">
        <v>6875</v>
      </c>
      <c r="C6337" t="s">
        <v>6938</v>
      </c>
      <c r="D6337" s="1">
        <v>45361</v>
      </c>
      <c r="E6337" s="1">
        <v>45371</v>
      </c>
      <c r="F6337" s="1">
        <v>45371</v>
      </c>
      <c r="G6337">
        <v>33.72</v>
      </c>
      <c r="H633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337" t="str">
        <f>IFERROR(INDEX(Raw_orders!G:G, MATCH(shipments[[#This Row],[order_id]],Raw_orders!A:A, 0)), "Unknown")</f>
        <v>Central Europe</v>
      </c>
      <c r="J6337" t="str">
        <f>PROPER(shipments[[#This Row],[delivery_status]])</f>
        <v>Delivered</v>
      </c>
      <c r="K6337" t="s">
        <v>6926</v>
      </c>
    </row>
    <row r="6338" spans="1:11">
      <c r="A6338" t="s">
        <v>13274</v>
      </c>
      <c r="B6338" t="s">
        <v>6876</v>
      </c>
      <c r="C6338" t="s">
        <v>6938</v>
      </c>
      <c r="D6338" s="1">
        <v>45113</v>
      </c>
      <c r="E6338" s="1">
        <v>45116</v>
      </c>
      <c r="F6338" s="1">
        <v>45116</v>
      </c>
      <c r="G6338">
        <v>11.84</v>
      </c>
      <c r="H633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338" t="str">
        <f>IFERROR(INDEX(Raw_orders!G:G, MATCH(shipments[[#This Row],[order_id]],Raw_orders!A:A, 0)), "Unknown")</f>
        <v>Nordics</v>
      </c>
      <c r="J6338" t="str">
        <f>PROPER(shipments[[#This Row],[delivery_status]])</f>
        <v>Delivered</v>
      </c>
      <c r="K6338" t="s">
        <v>6926</v>
      </c>
    </row>
    <row r="6339" spans="1:11">
      <c r="A6339" t="s">
        <v>13275</v>
      </c>
      <c r="B6339" t="s">
        <v>6877</v>
      </c>
      <c r="C6339" t="s">
        <v>6931</v>
      </c>
      <c r="D6339" s="1">
        <v>45369</v>
      </c>
      <c r="E6339" s="1">
        <v>45371</v>
      </c>
      <c r="F6339" s="1">
        <v>45371</v>
      </c>
      <c r="G6339">
        <v>18.11</v>
      </c>
      <c r="H633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339" t="str">
        <f>IFERROR(INDEX(Raw_orders!G:G, MATCH(shipments[[#This Row],[order_id]],Raw_orders!A:A, 0)), "Unknown")</f>
        <v>Nordics</v>
      </c>
      <c r="J6339" t="str">
        <f>PROPER(shipments[[#This Row],[delivery_status]])</f>
        <v>Delivered</v>
      </c>
      <c r="K6339" t="s">
        <v>6926</v>
      </c>
    </row>
    <row r="6340" spans="1:11">
      <c r="A6340" t="s">
        <v>13276</v>
      </c>
      <c r="B6340" t="s">
        <v>6878</v>
      </c>
      <c r="C6340" t="s">
        <v>6956</v>
      </c>
      <c r="D6340" s="1">
        <v>44976</v>
      </c>
      <c r="E6340" s="1">
        <v>44983</v>
      </c>
      <c r="F6340" s="1">
        <v>44996</v>
      </c>
      <c r="G6340">
        <v>58.32</v>
      </c>
      <c r="H634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40" t="str">
        <f>IFERROR(INDEX(Raw_orders!G:G, MATCH(shipments[[#This Row],[order_id]],Raw_orders!A:A, 0)), "Unknown")</f>
        <v>Nordics</v>
      </c>
      <c r="J6340" t="str">
        <f>PROPER(shipments[[#This Row],[delivery_status]])</f>
        <v>Delivered</v>
      </c>
      <c r="K6340" t="s">
        <v>6922</v>
      </c>
    </row>
    <row r="6341" spans="1:11">
      <c r="A6341" t="s">
        <v>13277</v>
      </c>
      <c r="B6341" t="s">
        <v>6879</v>
      </c>
      <c r="C6341" t="s">
        <v>6938</v>
      </c>
      <c r="D6341" s="1">
        <v>44975</v>
      </c>
      <c r="E6341" s="1">
        <v>44985</v>
      </c>
      <c r="F6341" s="1">
        <v>44984</v>
      </c>
      <c r="G6341">
        <v>55.97</v>
      </c>
      <c r="H634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341" t="str">
        <f>IFERROR(INDEX(Raw_orders!G:G, MATCH(shipments[[#This Row],[order_id]],Raw_orders!A:A, 0)), "Unknown")</f>
        <v>Baltics</v>
      </c>
      <c r="J6341" t="str">
        <f>PROPER(shipments[[#This Row],[delivery_status]])</f>
        <v>Delivered</v>
      </c>
      <c r="K6341" t="s">
        <v>6929</v>
      </c>
    </row>
    <row r="6342" spans="1:11">
      <c r="A6342" t="s">
        <v>13278</v>
      </c>
      <c r="B6342" t="s">
        <v>6880</v>
      </c>
      <c r="C6342" t="s">
        <v>6935</v>
      </c>
      <c r="D6342" s="1">
        <v>45616</v>
      </c>
      <c r="E6342" s="1">
        <v>45619</v>
      </c>
      <c r="F6342" s="1">
        <v>45619</v>
      </c>
      <c r="G6342">
        <v>22.09</v>
      </c>
      <c r="H634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342" t="str">
        <f>IFERROR(INDEX(Raw_orders!G:G, MATCH(shipments[[#This Row],[order_id]],Raw_orders!A:A, 0)), "Unknown")</f>
        <v>Baltics</v>
      </c>
      <c r="J6342" t="str">
        <f>PROPER(shipments[[#This Row],[delivery_status]])</f>
        <v>Delivered</v>
      </c>
      <c r="K6342" t="s">
        <v>6926</v>
      </c>
    </row>
    <row r="6343" spans="1:11">
      <c r="A6343" t="s">
        <v>13279</v>
      </c>
      <c r="B6343" t="s">
        <v>6881</v>
      </c>
      <c r="C6343" t="s">
        <v>6956</v>
      </c>
      <c r="D6343" s="1">
        <v>45327</v>
      </c>
      <c r="E6343" s="1">
        <v>45332</v>
      </c>
      <c r="F6343" s="1"/>
      <c r="G6343">
        <v>47.2</v>
      </c>
      <c r="H634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343" t="str">
        <f>IFERROR(INDEX(Raw_orders!G:G, MATCH(shipments[[#This Row],[order_id]],Raw_orders!A:A, 0)), "Unknown")</f>
        <v>Baltics</v>
      </c>
      <c r="J6343" t="str">
        <f>PROPER(shipments[[#This Row],[delivery_status]])</f>
        <v>In Transit</v>
      </c>
      <c r="K6343" t="s">
        <v>6958</v>
      </c>
    </row>
    <row r="6344" spans="1:11">
      <c r="A6344" t="s">
        <v>13280</v>
      </c>
      <c r="B6344" t="s">
        <v>6882</v>
      </c>
      <c r="C6344" t="s">
        <v>6938</v>
      </c>
      <c r="D6344" s="1">
        <v>45365</v>
      </c>
      <c r="E6344" s="1">
        <v>45370</v>
      </c>
      <c r="F6344" s="1">
        <v>45370</v>
      </c>
      <c r="G6344">
        <v>15.47</v>
      </c>
      <c r="H634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344" t="str">
        <f>IFERROR(INDEX(Raw_orders!G:G, MATCH(shipments[[#This Row],[order_id]],Raw_orders!A:A, 0)), "Unknown")</f>
        <v>Central Europe</v>
      </c>
      <c r="J6344" t="str">
        <f>PROPER(shipments[[#This Row],[delivery_status]])</f>
        <v>Delivered</v>
      </c>
      <c r="K6344" t="s">
        <v>6926</v>
      </c>
    </row>
    <row r="6345" spans="1:11">
      <c r="A6345" t="s">
        <v>13281</v>
      </c>
      <c r="B6345" t="s">
        <v>6883</v>
      </c>
      <c r="C6345" t="s">
        <v>6956</v>
      </c>
      <c r="D6345" s="1">
        <v>45471</v>
      </c>
      <c r="E6345" s="1">
        <v>45473</v>
      </c>
      <c r="F6345" s="1">
        <v>45476</v>
      </c>
      <c r="G6345">
        <v>28.63</v>
      </c>
      <c r="H634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45" t="str">
        <f>IFERROR(INDEX(Raw_orders!G:G, MATCH(shipments[[#This Row],[order_id]],Raw_orders!A:A, 0)), "Unknown")</f>
        <v>Central Europe</v>
      </c>
      <c r="J6345" t="str">
        <f>PROPER(shipments[[#This Row],[delivery_status]])</f>
        <v>Delivered</v>
      </c>
      <c r="K6345" t="s">
        <v>6926</v>
      </c>
    </row>
    <row r="6346" spans="1:11">
      <c r="A6346" t="s">
        <v>13282</v>
      </c>
      <c r="B6346" t="s">
        <v>6884</v>
      </c>
      <c r="C6346" t="s">
        <v>6938</v>
      </c>
      <c r="D6346" s="1">
        <v>45443</v>
      </c>
      <c r="E6346" s="1">
        <v>45453</v>
      </c>
      <c r="F6346" s="1">
        <v>45453</v>
      </c>
      <c r="G6346">
        <v>60.53</v>
      </c>
      <c r="H634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346" t="str">
        <f>IFERROR(INDEX(Raw_orders!G:G, MATCH(shipments[[#This Row],[order_id]],Raw_orders!A:A, 0)), "Unknown")</f>
        <v>Nordics</v>
      </c>
      <c r="J6346" t="str">
        <f>PROPER(shipments[[#This Row],[delivery_status]])</f>
        <v>Delivered</v>
      </c>
      <c r="K6346" t="s">
        <v>6926</v>
      </c>
    </row>
    <row r="6347" spans="1:11">
      <c r="A6347" t="s">
        <v>13283</v>
      </c>
      <c r="B6347" t="s">
        <v>6885</v>
      </c>
      <c r="C6347" t="s">
        <v>6938</v>
      </c>
      <c r="D6347" s="1">
        <v>45080</v>
      </c>
      <c r="E6347" s="1">
        <v>45087</v>
      </c>
      <c r="F6347" s="1">
        <v>45087</v>
      </c>
      <c r="G6347">
        <v>62.63</v>
      </c>
      <c r="H634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347" t="str">
        <f>IFERROR(INDEX(Raw_orders!G:G, MATCH(shipments[[#This Row],[order_id]],Raw_orders!A:A, 0)), "Unknown")</f>
        <v>Central Europe</v>
      </c>
      <c r="J6347" t="str">
        <f>PROPER(shipments[[#This Row],[delivery_status]])</f>
        <v>Delivered</v>
      </c>
      <c r="K6347" t="s">
        <v>6922</v>
      </c>
    </row>
    <row r="6348" spans="1:11">
      <c r="A6348" t="s">
        <v>13284</v>
      </c>
      <c r="B6348" t="s">
        <v>6886</v>
      </c>
      <c r="C6348" t="s">
        <v>6921</v>
      </c>
      <c r="D6348" s="1">
        <v>45020</v>
      </c>
      <c r="E6348" s="1">
        <v>45022</v>
      </c>
      <c r="F6348" s="1">
        <v>45021</v>
      </c>
      <c r="G6348">
        <v>36.79</v>
      </c>
      <c r="H634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348" t="str">
        <f>IFERROR(INDEX(Raw_orders!G:G, MATCH(shipments[[#This Row],[order_id]],Raw_orders!A:A, 0)), "Unknown")</f>
        <v>Central Europe</v>
      </c>
      <c r="J6348" t="str">
        <f>PROPER(shipments[[#This Row],[delivery_status]])</f>
        <v>Delivered</v>
      </c>
      <c r="K6348" t="s">
        <v>6929</v>
      </c>
    </row>
    <row r="6349" spans="1:11">
      <c r="A6349" t="s">
        <v>13285</v>
      </c>
      <c r="B6349" t="s">
        <v>6887</v>
      </c>
      <c r="C6349" t="s">
        <v>6928</v>
      </c>
      <c r="D6349" s="1">
        <v>45159</v>
      </c>
      <c r="E6349" s="1">
        <v>45161</v>
      </c>
      <c r="F6349" s="1"/>
      <c r="G6349">
        <v>13.84</v>
      </c>
      <c r="H634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349" t="str">
        <f>IFERROR(INDEX(Raw_orders!G:G, MATCH(shipments[[#This Row],[order_id]],Raw_orders!A:A, 0)), "Unknown")</f>
        <v>Nordics</v>
      </c>
      <c r="J6349" t="str">
        <f>PROPER(shipments[[#This Row],[delivery_status]])</f>
        <v>In Transit</v>
      </c>
      <c r="K6349" t="s">
        <v>6946</v>
      </c>
    </row>
    <row r="6350" spans="1:11">
      <c r="A6350" t="s">
        <v>13286</v>
      </c>
      <c r="B6350" t="s">
        <v>6888</v>
      </c>
      <c r="C6350" t="s">
        <v>6921</v>
      </c>
      <c r="D6350" s="1">
        <v>45395</v>
      </c>
      <c r="E6350" s="1">
        <v>45398</v>
      </c>
      <c r="F6350" s="1">
        <v>45408</v>
      </c>
      <c r="G6350">
        <v>64.48</v>
      </c>
      <c r="H635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50" t="str">
        <f>IFERROR(INDEX(Raw_orders!G:G, MATCH(shipments[[#This Row],[order_id]],Raw_orders!A:A, 0)), "Unknown")</f>
        <v>Nordics</v>
      </c>
      <c r="J6350" t="str">
        <f>PROPER(shipments[[#This Row],[delivery_status]])</f>
        <v>Delivered</v>
      </c>
      <c r="K6350" t="s">
        <v>6922</v>
      </c>
    </row>
    <row r="6351" spans="1:11">
      <c r="A6351" t="s">
        <v>13287</v>
      </c>
      <c r="B6351" t="s">
        <v>6889</v>
      </c>
      <c r="C6351" t="s">
        <v>6940</v>
      </c>
      <c r="D6351" s="1">
        <v>45127</v>
      </c>
      <c r="E6351" s="1">
        <v>45132</v>
      </c>
      <c r="F6351" s="1">
        <v>45143</v>
      </c>
      <c r="G6351">
        <v>29.9</v>
      </c>
      <c r="H635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51" t="str">
        <f>IFERROR(INDEX(Raw_orders!G:G, MATCH(shipments[[#This Row],[order_id]],Raw_orders!A:A, 0)), "Unknown")</f>
        <v>Nordics</v>
      </c>
      <c r="J6351" t="str">
        <f>PROPER(shipments[[#This Row],[delivery_status]])</f>
        <v>Delivered</v>
      </c>
      <c r="K6351" t="s">
        <v>6926</v>
      </c>
    </row>
    <row r="6352" spans="1:11">
      <c r="A6352" t="s">
        <v>13288</v>
      </c>
      <c r="B6352" t="s">
        <v>6890</v>
      </c>
      <c r="C6352" t="s">
        <v>6921</v>
      </c>
      <c r="D6352" s="1">
        <v>44958</v>
      </c>
      <c r="E6352" s="1">
        <v>44961</v>
      </c>
      <c r="F6352" s="1">
        <v>44961</v>
      </c>
      <c r="G6352">
        <v>13.15</v>
      </c>
      <c r="H635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352" t="str">
        <f>IFERROR(INDEX(Raw_orders!G:G, MATCH(shipments[[#This Row],[order_id]],Raw_orders!A:A, 0)), "Unknown")</f>
        <v>Baltics</v>
      </c>
      <c r="J6352" t="str">
        <f>PROPER(shipments[[#This Row],[delivery_status]])</f>
        <v>Delivered</v>
      </c>
      <c r="K6352" t="s">
        <v>6926</v>
      </c>
    </row>
    <row r="6353" spans="1:11">
      <c r="A6353" t="s">
        <v>13289</v>
      </c>
      <c r="B6353" t="s">
        <v>6891</v>
      </c>
      <c r="C6353" t="s">
        <v>6921</v>
      </c>
      <c r="D6353" s="1">
        <v>45438</v>
      </c>
      <c r="E6353" s="1">
        <v>45441</v>
      </c>
      <c r="F6353" s="1">
        <v>45442</v>
      </c>
      <c r="G6353">
        <v>14.38</v>
      </c>
      <c r="H635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53" t="str">
        <f>IFERROR(INDEX(Raw_orders!G:G, MATCH(shipments[[#This Row],[order_id]],Raw_orders!A:A, 0)), "Unknown")</f>
        <v>Central Europe</v>
      </c>
      <c r="J6353" t="str">
        <f>PROPER(shipments[[#This Row],[delivery_status]])</f>
        <v>Delivered</v>
      </c>
      <c r="K6353" t="s">
        <v>6922</v>
      </c>
    </row>
    <row r="6354" spans="1:11">
      <c r="A6354" t="s">
        <v>13290</v>
      </c>
      <c r="B6354" t="s">
        <v>6892</v>
      </c>
      <c r="C6354" t="s">
        <v>6928</v>
      </c>
      <c r="D6354" s="1">
        <v>45260</v>
      </c>
      <c r="E6354" s="1">
        <v>45270</v>
      </c>
      <c r="F6354" s="1">
        <v>45270</v>
      </c>
      <c r="G6354">
        <v>55.76</v>
      </c>
      <c r="H635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354" t="str">
        <f>IFERROR(INDEX(Raw_orders!G:G, MATCH(shipments[[#This Row],[order_id]],Raw_orders!A:A, 0)), "Unknown")</f>
        <v>Central Europe</v>
      </c>
      <c r="J6354" t="str">
        <f>PROPER(shipments[[#This Row],[delivery_status]])</f>
        <v>Delivered</v>
      </c>
      <c r="K6354" t="s">
        <v>6929</v>
      </c>
    </row>
    <row r="6355" spans="1:11">
      <c r="A6355" t="s">
        <v>13291</v>
      </c>
      <c r="B6355" t="s">
        <v>6893</v>
      </c>
      <c r="C6355" t="s">
        <v>6938</v>
      </c>
      <c r="D6355" s="1">
        <v>45570</v>
      </c>
      <c r="E6355" s="1">
        <v>45572</v>
      </c>
      <c r="F6355" s="1"/>
      <c r="G6355">
        <v>7.63</v>
      </c>
      <c r="H635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6355" t="str">
        <f>IFERROR(INDEX(Raw_orders!G:G, MATCH(shipments[[#This Row],[order_id]],Raw_orders!A:A, 0)), "Unknown")</f>
        <v>Baltics</v>
      </c>
      <c r="J6355" t="str">
        <f>PROPER(shipments[[#This Row],[delivery_status]])</f>
        <v>Cancelled</v>
      </c>
      <c r="K6355" t="s">
        <v>6979</v>
      </c>
    </row>
    <row r="6356" spans="1:11">
      <c r="A6356" t="s">
        <v>13292</v>
      </c>
      <c r="B6356" t="s">
        <v>6894</v>
      </c>
      <c r="C6356" t="s">
        <v>6940</v>
      </c>
      <c r="D6356" s="1">
        <v>45014</v>
      </c>
      <c r="E6356" s="1">
        <v>45024</v>
      </c>
      <c r="F6356" s="1">
        <v>45027</v>
      </c>
      <c r="G6356">
        <v>28.19</v>
      </c>
      <c r="H635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56" t="str">
        <f>IFERROR(INDEX(Raw_orders!G:G, MATCH(shipments[[#This Row],[order_id]],Raw_orders!A:A, 0)), "Unknown")</f>
        <v>Baltics</v>
      </c>
      <c r="J6356" t="str">
        <f>PROPER(shipments[[#This Row],[delivery_status]])</f>
        <v>Delivered</v>
      </c>
      <c r="K6356" t="s">
        <v>6929</v>
      </c>
    </row>
    <row r="6357" spans="1:11">
      <c r="A6357" t="s">
        <v>13293</v>
      </c>
      <c r="B6357" t="s">
        <v>6895</v>
      </c>
      <c r="C6357" t="s">
        <v>6949</v>
      </c>
      <c r="D6357" s="1">
        <v>45445</v>
      </c>
      <c r="E6357" s="1">
        <v>45455</v>
      </c>
      <c r="F6357" s="1">
        <v>45455</v>
      </c>
      <c r="G6357">
        <v>60.44</v>
      </c>
      <c r="H635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357" t="str">
        <f>IFERROR(INDEX(Raw_orders!G:G, MATCH(shipments[[#This Row],[order_id]],Raw_orders!A:A, 0)), "Unknown")</f>
        <v>Central Europe</v>
      </c>
      <c r="J6357" t="str">
        <f>PROPER(shipments[[#This Row],[delivery_status]])</f>
        <v>Delivered</v>
      </c>
      <c r="K6357" t="s">
        <v>6926</v>
      </c>
    </row>
    <row r="6358" spans="1:11">
      <c r="A6358" t="s">
        <v>13294</v>
      </c>
      <c r="B6358" t="s">
        <v>6896</v>
      </c>
      <c r="C6358" t="s">
        <v>6940</v>
      </c>
      <c r="D6358" s="1">
        <v>45551</v>
      </c>
      <c r="E6358" s="1">
        <v>45554</v>
      </c>
      <c r="F6358" s="1"/>
      <c r="G6358">
        <v>29.07</v>
      </c>
      <c r="H635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Cancelled</v>
      </c>
      <c r="I6358" t="str">
        <f>IFERROR(INDEX(Raw_orders!G:G, MATCH(shipments[[#This Row],[order_id]],Raw_orders!A:A, 0)), "Unknown")</f>
        <v>Nordics</v>
      </c>
      <c r="J6358" t="str">
        <f>PROPER(shipments[[#This Row],[delivery_status]])</f>
        <v>Cancelled</v>
      </c>
      <c r="K6358" t="s">
        <v>6972</v>
      </c>
    </row>
    <row r="6359" spans="1:11">
      <c r="A6359" t="s">
        <v>13295</v>
      </c>
      <c r="B6359" t="s">
        <v>6897</v>
      </c>
      <c r="C6359" t="s">
        <v>6938</v>
      </c>
      <c r="D6359" s="1">
        <v>45387</v>
      </c>
      <c r="E6359" s="1">
        <v>45390</v>
      </c>
      <c r="F6359" s="1">
        <v>45398</v>
      </c>
      <c r="G6359">
        <v>39.67</v>
      </c>
      <c r="H635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59" t="str">
        <f>IFERROR(INDEX(Raw_orders!G:G, MATCH(shipments[[#This Row],[order_id]],Raw_orders!A:A, 0)), "Unknown")</f>
        <v>Central Europe</v>
      </c>
      <c r="J6359" t="str">
        <f>PROPER(shipments[[#This Row],[delivery_status]])</f>
        <v>Delivered</v>
      </c>
      <c r="K6359" t="s">
        <v>6922</v>
      </c>
    </row>
    <row r="6360" spans="1:11">
      <c r="A6360" t="s">
        <v>13296</v>
      </c>
      <c r="B6360" t="s">
        <v>6898</v>
      </c>
      <c r="C6360" t="s">
        <v>6925</v>
      </c>
      <c r="D6360" s="1">
        <v>45544</v>
      </c>
      <c r="E6360" s="1">
        <v>45549</v>
      </c>
      <c r="F6360" s="1">
        <v>45555</v>
      </c>
      <c r="G6360">
        <v>9.8800000000000008</v>
      </c>
      <c r="H636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60" t="str">
        <f>IFERROR(INDEX(Raw_orders!G:G, MATCH(shipments[[#This Row],[order_id]],Raw_orders!A:A, 0)), "Unknown")</f>
        <v>Central Europe</v>
      </c>
      <c r="J6360" t="str">
        <f>PROPER(shipments[[#This Row],[delivery_status]])</f>
        <v>Delivered</v>
      </c>
      <c r="K6360" t="s">
        <v>6926</v>
      </c>
    </row>
    <row r="6361" spans="1:11">
      <c r="A6361" t="s">
        <v>13297</v>
      </c>
      <c r="B6361" t="s">
        <v>6899</v>
      </c>
      <c r="C6361" t="s">
        <v>6956</v>
      </c>
      <c r="D6361" s="1">
        <v>45257</v>
      </c>
      <c r="E6361" s="1">
        <v>45262</v>
      </c>
      <c r="F6361" s="1">
        <v>45266</v>
      </c>
      <c r="G6361">
        <v>64.44</v>
      </c>
      <c r="H636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61" t="str">
        <f>IFERROR(INDEX(Raw_orders!G:G, MATCH(shipments[[#This Row],[order_id]],Raw_orders!A:A, 0)), "Unknown")</f>
        <v>Baltics</v>
      </c>
      <c r="J6361" t="str">
        <f>PROPER(shipments[[#This Row],[delivery_status]])</f>
        <v>Delivered</v>
      </c>
      <c r="K6361" t="s">
        <v>6922</v>
      </c>
    </row>
    <row r="6362" spans="1:11">
      <c r="A6362" t="s">
        <v>13298</v>
      </c>
      <c r="B6362" t="s">
        <v>6900</v>
      </c>
      <c r="C6362" t="s">
        <v>6931</v>
      </c>
      <c r="D6362" s="1">
        <v>45578</v>
      </c>
      <c r="E6362" s="1">
        <v>45583</v>
      </c>
      <c r="F6362" s="1">
        <v>45591</v>
      </c>
      <c r="G6362">
        <v>48.12</v>
      </c>
      <c r="H636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62" t="str">
        <f>IFERROR(INDEX(Raw_orders!G:G, MATCH(shipments[[#This Row],[order_id]],Raw_orders!A:A, 0)), "Unknown")</f>
        <v>Central Europe</v>
      </c>
      <c r="J6362" t="str">
        <f>PROPER(shipments[[#This Row],[delivery_status]])</f>
        <v>Delivered</v>
      </c>
      <c r="K6362" t="s">
        <v>6922</v>
      </c>
    </row>
    <row r="6363" spans="1:11">
      <c r="A6363" t="s">
        <v>13299</v>
      </c>
      <c r="B6363" t="s">
        <v>6901</v>
      </c>
      <c r="C6363" t="s">
        <v>6938</v>
      </c>
      <c r="D6363" s="1">
        <v>45459</v>
      </c>
      <c r="E6363" s="1">
        <v>45461</v>
      </c>
      <c r="F6363" s="1">
        <v>45462</v>
      </c>
      <c r="G6363">
        <v>29.34</v>
      </c>
      <c r="H636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63" t="str">
        <f>IFERROR(INDEX(Raw_orders!G:G, MATCH(shipments[[#This Row],[order_id]],Raw_orders!A:A, 0)), "Unknown")</f>
        <v>Nordics</v>
      </c>
      <c r="J6363" t="str">
        <f>PROPER(shipments[[#This Row],[delivery_status]])</f>
        <v>Delivered</v>
      </c>
      <c r="K6363" t="s">
        <v>6922</v>
      </c>
    </row>
    <row r="6364" spans="1:11">
      <c r="A6364" t="s">
        <v>13300</v>
      </c>
      <c r="B6364" t="s">
        <v>6901</v>
      </c>
      <c r="C6364" t="s">
        <v>6940</v>
      </c>
      <c r="D6364" s="1">
        <v>45460</v>
      </c>
      <c r="E6364" s="1">
        <v>45463</v>
      </c>
      <c r="F6364" s="1">
        <v>45471</v>
      </c>
      <c r="G6364">
        <v>18.88</v>
      </c>
      <c r="H636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64" t="str">
        <f>IFERROR(INDEX(Raw_orders!G:G, MATCH(shipments[[#This Row],[order_id]],Raw_orders!A:A, 0)), "Unknown")</f>
        <v>Nordics</v>
      </c>
      <c r="J6364" t="str">
        <f>PROPER(shipments[[#This Row],[delivery_status]])</f>
        <v>Delivered</v>
      </c>
      <c r="K6364" t="s">
        <v>6926</v>
      </c>
    </row>
    <row r="6365" spans="1:11">
      <c r="A6365" t="s">
        <v>13301</v>
      </c>
      <c r="B6365" t="s">
        <v>6902</v>
      </c>
      <c r="C6365" t="s">
        <v>6931</v>
      </c>
      <c r="D6365" s="1">
        <v>44996</v>
      </c>
      <c r="E6365" s="1">
        <v>45001</v>
      </c>
      <c r="F6365" s="1">
        <v>45006</v>
      </c>
      <c r="G6365">
        <v>36.57</v>
      </c>
      <c r="H636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65" t="str">
        <f>IFERROR(INDEX(Raw_orders!G:G, MATCH(shipments[[#This Row],[order_id]],Raw_orders!A:A, 0)), "Unknown")</f>
        <v>Nordics</v>
      </c>
      <c r="J6365" t="str">
        <f>PROPER(shipments[[#This Row],[delivery_status]])</f>
        <v>Delivered</v>
      </c>
      <c r="K6365" t="s">
        <v>6926</v>
      </c>
    </row>
    <row r="6366" spans="1:11">
      <c r="A6366" t="s">
        <v>13302</v>
      </c>
      <c r="B6366" t="s">
        <v>6903</v>
      </c>
      <c r="C6366" t="s">
        <v>6935</v>
      </c>
      <c r="D6366" s="1">
        <v>45267</v>
      </c>
      <c r="E6366" s="1">
        <v>45274</v>
      </c>
      <c r="F6366" s="1">
        <v>45274</v>
      </c>
      <c r="G6366">
        <v>32.82</v>
      </c>
      <c r="H636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366" t="str">
        <f>IFERROR(INDEX(Raw_orders!G:G, MATCH(shipments[[#This Row],[order_id]],Raw_orders!A:A, 0)), "Unknown")</f>
        <v>Nordics</v>
      </c>
      <c r="J6366" t="str">
        <f>PROPER(shipments[[#This Row],[delivery_status]])</f>
        <v>Delivered</v>
      </c>
      <c r="K6366" t="s">
        <v>6929</v>
      </c>
    </row>
    <row r="6367" spans="1:11">
      <c r="A6367" t="s">
        <v>13303</v>
      </c>
      <c r="B6367" t="s">
        <v>6904</v>
      </c>
      <c r="C6367" t="s">
        <v>6956</v>
      </c>
      <c r="D6367" s="1">
        <v>45249</v>
      </c>
      <c r="E6367" s="1">
        <v>45252</v>
      </c>
      <c r="F6367" s="1">
        <v>45253</v>
      </c>
      <c r="G6367">
        <v>30.42</v>
      </c>
      <c r="H6367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67" t="str">
        <f>IFERROR(INDEX(Raw_orders!G:G, MATCH(shipments[[#This Row],[order_id]],Raw_orders!A:A, 0)), "Unknown")</f>
        <v>Baltics</v>
      </c>
      <c r="J6367" t="str">
        <f>PROPER(shipments[[#This Row],[delivery_status]])</f>
        <v>Delivered</v>
      </c>
      <c r="K6367" t="s">
        <v>6929</v>
      </c>
    </row>
    <row r="6368" spans="1:11">
      <c r="A6368" t="s">
        <v>13304</v>
      </c>
      <c r="B6368" t="s">
        <v>6905</v>
      </c>
      <c r="C6368" t="s">
        <v>6938</v>
      </c>
      <c r="D6368" s="1">
        <v>45107</v>
      </c>
      <c r="E6368" s="1">
        <v>45114</v>
      </c>
      <c r="F6368" s="1">
        <v>45117</v>
      </c>
      <c r="G6368">
        <v>56.51</v>
      </c>
      <c r="H6368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68" t="str">
        <f>IFERROR(INDEX(Raw_orders!G:G, MATCH(shipments[[#This Row],[order_id]],Raw_orders!A:A, 0)), "Unknown")</f>
        <v>Nordics</v>
      </c>
      <c r="J6368" t="str">
        <f>PROPER(shipments[[#This Row],[delivery_status]])</f>
        <v>Delivered</v>
      </c>
      <c r="K6368" t="s">
        <v>6929</v>
      </c>
    </row>
    <row r="6369" spans="1:11">
      <c r="A6369" t="s">
        <v>13305</v>
      </c>
      <c r="B6369" t="s">
        <v>6906</v>
      </c>
      <c r="C6369" t="s">
        <v>6935</v>
      </c>
      <c r="D6369" s="1">
        <v>45112</v>
      </c>
      <c r="E6369" s="1">
        <v>45114</v>
      </c>
      <c r="F6369" s="1">
        <v>45121</v>
      </c>
      <c r="G6369">
        <v>42.26</v>
      </c>
      <c r="H6369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69" t="str">
        <f>IFERROR(INDEX(Raw_orders!G:G, MATCH(shipments[[#This Row],[order_id]],Raw_orders!A:A, 0)), "Unknown")</f>
        <v>Nordics</v>
      </c>
      <c r="J6369" t="str">
        <f>PROPER(shipments[[#This Row],[delivery_status]])</f>
        <v>Delivered</v>
      </c>
      <c r="K6369" t="s">
        <v>6922</v>
      </c>
    </row>
    <row r="6370" spans="1:11">
      <c r="A6370" t="s">
        <v>13306</v>
      </c>
      <c r="B6370" t="s">
        <v>6907</v>
      </c>
      <c r="C6370" t="s">
        <v>6940</v>
      </c>
      <c r="D6370" s="1">
        <v>45027</v>
      </c>
      <c r="E6370" s="1">
        <v>45037</v>
      </c>
      <c r="F6370" s="1">
        <v>45037</v>
      </c>
      <c r="G6370">
        <v>8.68</v>
      </c>
      <c r="H6370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370" t="str">
        <f>IFERROR(INDEX(Raw_orders!G:G, MATCH(shipments[[#This Row],[order_id]],Raw_orders!A:A, 0)), "Unknown")</f>
        <v>Nordics</v>
      </c>
      <c r="J6370" t="str">
        <f>PROPER(shipments[[#This Row],[delivery_status]])</f>
        <v>Delivered</v>
      </c>
      <c r="K6370" t="s">
        <v>6922</v>
      </c>
    </row>
    <row r="6371" spans="1:11">
      <c r="A6371" t="s">
        <v>13307</v>
      </c>
      <c r="B6371" t="s">
        <v>6908</v>
      </c>
      <c r="C6371" t="s">
        <v>6921</v>
      </c>
      <c r="D6371" s="1">
        <v>45478</v>
      </c>
      <c r="E6371" s="1">
        <v>45485</v>
      </c>
      <c r="F6371" s="1">
        <v>45499</v>
      </c>
      <c r="G6371">
        <v>27.23</v>
      </c>
      <c r="H6371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71" t="str">
        <f>IFERROR(INDEX(Raw_orders!G:G, MATCH(shipments[[#This Row],[order_id]],Raw_orders!A:A, 0)), "Unknown")</f>
        <v>Nordics</v>
      </c>
      <c r="J6371" t="str">
        <f>PROPER(shipments[[#This Row],[delivery_status]])</f>
        <v>Delivered</v>
      </c>
      <c r="K6371" t="s">
        <v>6922</v>
      </c>
    </row>
    <row r="6372" spans="1:11">
      <c r="A6372" t="s">
        <v>13308</v>
      </c>
      <c r="B6372" t="s">
        <v>6909</v>
      </c>
      <c r="C6372" t="s">
        <v>6935</v>
      </c>
      <c r="D6372" s="1">
        <v>44985</v>
      </c>
      <c r="E6372" s="1">
        <v>44995</v>
      </c>
      <c r="F6372" s="1"/>
      <c r="G6372">
        <v>64.69</v>
      </c>
      <c r="H6372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In Transit</v>
      </c>
      <c r="I6372" t="str">
        <f>IFERROR(INDEX(Raw_orders!G:G, MATCH(shipments[[#This Row],[order_id]],Raw_orders!A:A, 0)), "Unknown")</f>
        <v>Baltics</v>
      </c>
      <c r="J6372" t="str">
        <f>PROPER(shipments[[#This Row],[delivery_status]])</f>
        <v>In Transit</v>
      </c>
      <c r="K6372" t="s">
        <v>6946</v>
      </c>
    </row>
    <row r="6373" spans="1:11">
      <c r="A6373" t="s">
        <v>13309</v>
      </c>
      <c r="B6373" t="s">
        <v>6910</v>
      </c>
      <c r="C6373" t="s">
        <v>6938</v>
      </c>
      <c r="D6373" s="1">
        <v>45053</v>
      </c>
      <c r="E6373" s="1">
        <v>45055</v>
      </c>
      <c r="F6373" s="1">
        <v>45063</v>
      </c>
      <c r="G6373">
        <v>26.88</v>
      </c>
      <c r="H6373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73" t="str">
        <f>IFERROR(INDEX(Raw_orders!G:G, MATCH(shipments[[#This Row],[order_id]],Raw_orders!A:A, 0)), "Unknown")</f>
        <v>Central Europe</v>
      </c>
      <c r="J6373" t="str">
        <f>PROPER(shipments[[#This Row],[delivery_status]])</f>
        <v>Delivered</v>
      </c>
      <c r="K6373" t="s">
        <v>6926</v>
      </c>
    </row>
    <row r="6374" spans="1:11">
      <c r="A6374" t="s">
        <v>13310</v>
      </c>
      <c r="B6374" t="s">
        <v>6910</v>
      </c>
      <c r="C6374" t="s">
        <v>6921</v>
      </c>
      <c r="D6374" s="1">
        <v>45053</v>
      </c>
      <c r="E6374" s="1">
        <v>45056</v>
      </c>
      <c r="F6374" s="1">
        <v>45057</v>
      </c>
      <c r="G6374">
        <v>41.58</v>
      </c>
      <c r="H6374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Late</v>
      </c>
      <c r="I6374" t="str">
        <f>IFERROR(INDEX(Raw_orders!G:G, MATCH(shipments[[#This Row],[order_id]],Raw_orders!A:A, 0)), "Unknown")</f>
        <v>Central Europe</v>
      </c>
      <c r="J6374" t="str">
        <f>PROPER(shipments[[#This Row],[delivery_status]])</f>
        <v>Delivered</v>
      </c>
      <c r="K6374" t="s">
        <v>6929</v>
      </c>
    </row>
    <row r="6375" spans="1:11">
      <c r="A6375" t="s">
        <v>13311</v>
      </c>
      <c r="B6375" t="s">
        <v>6911</v>
      </c>
      <c r="C6375" t="s">
        <v>6935</v>
      </c>
      <c r="D6375" s="1">
        <v>45389</v>
      </c>
      <c r="E6375" s="1">
        <v>45392</v>
      </c>
      <c r="F6375" s="1">
        <v>45392</v>
      </c>
      <c r="G6375">
        <v>14.11</v>
      </c>
      <c r="H6375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375" t="str">
        <f>IFERROR(INDEX(Raw_orders!G:G, MATCH(shipments[[#This Row],[order_id]],Raw_orders!A:A, 0)), "Unknown")</f>
        <v>Central Europe</v>
      </c>
      <c r="J6375" t="str">
        <f>PROPER(shipments[[#This Row],[delivery_status]])</f>
        <v>Delivered</v>
      </c>
      <c r="K6375" t="s">
        <v>6926</v>
      </c>
    </row>
    <row r="6376" spans="1:11">
      <c r="A6376" t="s">
        <v>13312</v>
      </c>
      <c r="B6376" t="s">
        <v>6912</v>
      </c>
      <c r="C6376" t="s">
        <v>6925</v>
      </c>
      <c r="D6376" s="1">
        <v>45244</v>
      </c>
      <c r="E6376" s="1">
        <v>45251</v>
      </c>
      <c r="F6376" s="1">
        <v>45251</v>
      </c>
      <c r="G6376">
        <v>42.91</v>
      </c>
      <c r="H6376" t="str">
        <f>IF(shipments[[#This Row],[Cleaned_delivery_status]]="Cancelled", "Cancelled", IF(ISBLANK(shipments[[#This Row],[actual_delivery_date]]), "In Transit", IF(shipments[[#This Row],[actual_delivery_date]]&lt;=shipments[[#This Row],[scheduled_delivery_date]], "On Time", "Late")))</f>
        <v>On Time</v>
      </c>
      <c r="I6376" t="str">
        <f>IFERROR(INDEX(Raw_orders!G:G, MATCH(shipments[[#This Row],[order_id]],Raw_orders!A:A, 0)), "Unknown")</f>
        <v>Baltics</v>
      </c>
      <c r="J6376" t="str">
        <f>PROPER(shipments[[#This Row],[delivery_status]])</f>
        <v>Delivered</v>
      </c>
      <c r="K6376" t="s">
        <v>6926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3A649-621E-3A41-B97C-E587450314FD}">
  <dimension ref="A1:H6026"/>
  <sheetViews>
    <sheetView tabSelected="1" zoomScale="142" workbookViewId="0">
      <selection activeCell="G5" sqref="G5"/>
    </sheetView>
  </sheetViews>
  <sheetFormatPr baseColWidth="10" defaultRowHeight="16"/>
  <cols>
    <col min="1" max="1" width="11" bestFit="1" customWidth="1"/>
    <col min="2" max="2" width="14" bestFit="1" customWidth="1"/>
    <col min="3" max="3" width="12.5" bestFit="1" customWidth="1"/>
    <col min="4" max="4" width="21" bestFit="1" customWidth="1"/>
    <col min="5" max="5" width="14.6640625" bestFit="1" customWidth="1"/>
    <col min="6" max="6" width="19.5" bestFit="1" customWidth="1"/>
    <col min="7" max="7" width="16.5" bestFit="1" customWidth="1"/>
    <col min="8" max="8" width="8.83203125" bestFit="1" customWidth="1"/>
  </cols>
  <sheetData>
    <row r="1" spans="1:8">
      <c r="A1" t="s">
        <v>912</v>
      </c>
      <c r="B1" t="s">
        <v>0</v>
      </c>
      <c r="C1" t="s">
        <v>13313</v>
      </c>
      <c r="D1" t="s">
        <v>13385</v>
      </c>
      <c r="E1" t="s">
        <v>13314</v>
      </c>
      <c r="F1" t="s">
        <v>13391</v>
      </c>
      <c r="G1" t="s">
        <v>13392</v>
      </c>
      <c r="H1" t="s">
        <v>13315</v>
      </c>
    </row>
    <row r="2" spans="1:8">
      <c r="A2" t="s">
        <v>913</v>
      </c>
      <c r="B2" t="s">
        <v>834</v>
      </c>
      <c r="C2" s="1">
        <v>45387</v>
      </c>
      <c r="D2" s="1" t="str">
        <f>PROPER(orders[[#This Row],[order_priority]])</f>
        <v>Economy</v>
      </c>
      <c r="E2" t="s">
        <v>13316</v>
      </c>
      <c r="F2" t="str">
        <f>IFERROR(INDEX(customers[country], MATCH(orders[[#This Row],[customer_id]], customers[customer_id], 0)), "Unmapped")</f>
        <v>Denmark</v>
      </c>
      <c r="G2" t="str">
        <f>IFERROR(INDEX(Region_Map[Region], MATCH(orders[[#This Row],[Customer_Country]], Region_Map[Country], 0)), "Unknown")</f>
        <v>Nordics</v>
      </c>
    </row>
    <row r="3" spans="1:8">
      <c r="A3" t="s">
        <v>914</v>
      </c>
      <c r="B3" t="s">
        <v>721</v>
      </c>
      <c r="C3" s="1">
        <v>45274</v>
      </c>
      <c r="D3" s="1" t="str">
        <f>PROPER(orders[[#This Row],[order_priority]])</f>
        <v>Standard</v>
      </c>
      <c r="E3" t="s">
        <v>13317</v>
      </c>
      <c r="F3" t="str">
        <f>IFERROR(INDEX(customers[country], MATCH(orders[[#This Row],[customer_id]], customers[customer_id], 0)), "Unmapped")</f>
        <v>Netherlands</v>
      </c>
      <c r="G3" t="str">
        <f>IFERROR(INDEX(Region_Map[Region], MATCH(orders[[#This Row],[Customer_Country]], Region_Map[Country], 0)), "Unknown")</f>
        <v>Central Europe</v>
      </c>
      <c r="H3" t="s">
        <v>6949</v>
      </c>
    </row>
    <row r="4" spans="1:8">
      <c r="A4" t="s">
        <v>915</v>
      </c>
      <c r="B4" t="s">
        <v>219</v>
      </c>
      <c r="C4" s="1">
        <v>44991</v>
      </c>
      <c r="D4" s="1" t="str">
        <f>PROPER(orders[[#This Row],[order_priority]])</f>
        <v>Express</v>
      </c>
      <c r="E4" t="s">
        <v>13318</v>
      </c>
      <c r="F4" t="str">
        <f>IFERROR(INDEX(customers[country], MATCH(orders[[#This Row],[customer_id]], customers[customer_id], 0)), "Unmapped")</f>
        <v>Latvia</v>
      </c>
      <c r="G4" t="str">
        <f>IFERROR(INDEX(Region_Map[Region], MATCH(orders[[#This Row],[Customer_Country]], Region_Map[Country], 0)), "Unknown")</f>
        <v>Baltics</v>
      </c>
      <c r="H4" t="s">
        <v>6949</v>
      </c>
    </row>
    <row r="5" spans="1:8">
      <c r="A5" t="s">
        <v>916</v>
      </c>
      <c r="B5" t="s">
        <v>452</v>
      </c>
      <c r="C5" s="1">
        <v>45321</v>
      </c>
      <c r="D5" s="1" t="str">
        <f>PROPER(orders[[#This Row],[order_priority]])</f>
        <v>Express</v>
      </c>
      <c r="E5" t="s">
        <v>13318</v>
      </c>
      <c r="F5" t="str">
        <f>IFERROR(INDEX(customers[country], MATCH(orders[[#This Row],[customer_id]], customers[customer_id], 0)), "Unmapped")</f>
        <v>Sweden</v>
      </c>
      <c r="G5" t="str">
        <f>IFERROR(INDEX(Region_Map[Region], MATCH(orders[[#This Row],[Customer_Country]], Region_Map[Country], 0)), "Unknown")</f>
        <v>Nordics</v>
      </c>
      <c r="H5" t="s">
        <v>6949</v>
      </c>
    </row>
    <row r="6" spans="1:8">
      <c r="A6" t="s">
        <v>917</v>
      </c>
      <c r="B6" t="s">
        <v>326</v>
      </c>
      <c r="C6" s="1">
        <v>45237</v>
      </c>
      <c r="D6" s="1" t="str">
        <f>PROPER(orders[[#This Row],[order_priority]])</f>
        <v>Economy</v>
      </c>
      <c r="E6" t="s">
        <v>13316</v>
      </c>
      <c r="F6" t="str">
        <f>IFERROR(INDEX(customers[country], MATCH(orders[[#This Row],[customer_id]], customers[customer_id], 0)), "Unmapped")</f>
        <v>Lithuania</v>
      </c>
      <c r="G6" t="str">
        <f>IFERROR(INDEX(Region_Map[Region], MATCH(orders[[#This Row],[Customer_Country]], Region_Map[Country], 0)), "Unknown")</f>
        <v>Baltics</v>
      </c>
      <c r="H6" t="s">
        <v>6949</v>
      </c>
    </row>
    <row r="7" spans="1:8">
      <c r="A7" t="s">
        <v>918</v>
      </c>
      <c r="B7" t="s">
        <v>557</v>
      </c>
      <c r="C7" s="1">
        <v>45618</v>
      </c>
      <c r="D7" s="1" t="str">
        <f>PROPER(orders[[#This Row],[order_priority]])</f>
        <v>Standard</v>
      </c>
      <c r="E7" t="s">
        <v>13319</v>
      </c>
      <c r="F7" t="str">
        <f>IFERROR(INDEX(customers[country], MATCH(orders[[#This Row],[customer_id]], customers[customer_id], 0)), "Unmapped")</f>
        <v>Norway</v>
      </c>
      <c r="G7" t="str">
        <f>IFERROR(INDEX(Region_Map[Region], MATCH(orders[[#This Row],[Customer_Country]], Region_Map[Country], 0)), "Unknown")</f>
        <v>Nordics</v>
      </c>
      <c r="H7" t="s">
        <v>6949</v>
      </c>
    </row>
    <row r="8" spans="1:8">
      <c r="A8" t="s">
        <v>919</v>
      </c>
      <c r="B8" t="s">
        <v>347</v>
      </c>
      <c r="C8" s="1">
        <v>45308</v>
      </c>
      <c r="D8" s="1" t="str">
        <f>PROPER(orders[[#This Row],[order_priority]])</f>
        <v>Economy</v>
      </c>
      <c r="E8" t="s">
        <v>13316</v>
      </c>
      <c r="F8" t="str">
        <f>IFERROR(INDEX(customers[country], MATCH(orders[[#This Row],[customer_id]], customers[customer_id], 0)), "Unmapped")</f>
        <v>Norway</v>
      </c>
      <c r="G8" t="str">
        <f>IFERROR(INDEX(Region_Map[Region], MATCH(orders[[#This Row],[Customer_Country]], Region_Map[Country], 0)), "Unknown")</f>
        <v>Nordics</v>
      </c>
      <c r="H8" t="s">
        <v>6949</v>
      </c>
    </row>
    <row r="9" spans="1:8">
      <c r="A9" t="s">
        <v>920</v>
      </c>
      <c r="B9" t="s">
        <v>288</v>
      </c>
      <c r="C9" s="1">
        <v>44983</v>
      </c>
      <c r="D9" s="1" t="str">
        <f>PROPER(orders[[#This Row],[order_priority]])</f>
        <v>Express</v>
      </c>
      <c r="E9" t="s">
        <v>13318</v>
      </c>
      <c r="F9" t="str">
        <f>IFERROR(INDEX(customers[country], MATCH(orders[[#This Row],[customer_id]], customers[customer_id], 0)), "Unmapped")</f>
        <v>Netherlands</v>
      </c>
      <c r="G9" t="str">
        <f>IFERROR(INDEX(Region_Map[Region], MATCH(orders[[#This Row],[Customer_Country]], Region_Map[Country], 0)), "Unknown")</f>
        <v>Central Europe</v>
      </c>
      <c r="H9" t="s">
        <v>6949</v>
      </c>
    </row>
    <row r="10" spans="1:8">
      <c r="A10" t="s">
        <v>921</v>
      </c>
      <c r="B10" t="s">
        <v>730</v>
      </c>
      <c r="C10" s="1">
        <v>45003</v>
      </c>
      <c r="D10" s="1" t="str">
        <f>PROPER(orders[[#This Row],[order_priority]])</f>
        <v>Standard</v>
      </c>
      <c r="E10" t="s">
        <v>13317</v>
      </c>
      <c r="F10" t="str">
        <f>IFERROR(INDEX(customers[country], MATCH(orders[[#This Row],[customer_id]], customers[customer_id], 0)), "Unmapped")</f>
        <v>Lithuania</v>
      </c>
      <c r="G10" t="str">
        <f>IFERROR(INDEX(Region_Map[Region], MATCH(orders[[#This Row],[Customer_Country]], Region_Map[Country], 0)), "Unknown")</f>
        <v>Baltics</v>
      </c>
      <c r="H10" t="s">
        <v>6949</v>
      </c>
    </row>
    <row r="11" spans="1:8">
      <c r="A11" t="s">
        <v>922</v>
      </c>
      <c r="B11" t="s">
        <v>93</v>
      </c>
      <c r="C11" s="1">
        <v>45541</v>
      </c>
      <c r="D11" s="1" t="str">
        <f>PROPER(orders[[#This Row],[order_priority]])</f>
        <v>Express</v>
      </c>
      <c r="E11" t="s">
        <v>13320</v>
      </c>
      <c r="F11" t="str">
        <f>IFERROR(INDEX(customers[country], MATCH(orders[[#This Row],[customer_id]], customers[customer_id], 0)), "Unmapped")</f>
        <v>Norway</v>
      </c>
      <c r="G11" t="str">
        <f>IFERROR(INDEX(Region_Map[Region], MATCH(orders[[#This Row],[Customer_Country]], Region_Map[Country], 0)), "Unknown")</f>
        <v>Nordics</v>
      </c>
      <c r="H11" t="s">
        <v>6949</v>
      </c>
    </row>
    <row r="12" spans="1:8">
      <c r="A12" t="s">
        <v>923</v>
      </c>
      <c r="B12" t="s">
        <v>819</v>
      </c>
      <c r="C12" s="1">
        <v>45227</v>
      </c>
      <c r="D12" s="1" t="str">
        <f>PROPER(orders[[#This Row],[order_priority]])</f>
        <v>Express</v>
      </c>
      <c r="E12" t="s">
        <v>13318</v>
      </c>
      <c r="F12" t="str">
        <f>IFERROR(INDEX(customers[country], MATCH(orders[[#This Row],[customer_id]], customers[customer_id], 0)), "Unmapped")</f>
        <v>Estonia</v>
      </c>
      <c r="G12" t="str">
        <f>IFERROR(INDEX(Region_Map[Region], MATCH(orders[[#This Row],[Customer_Country]], Region_Map[Country], 0)), "Unknown")</f>
        <v>Baltics</v>
      </c>
      <c r="H12" t="s">
        <v>6949</v>
      </c>
    </row>
    <row r="13" spans="1:8">
      <c r="A13" t="s">
        <v>924</v>
      </c>
      <c r="B13" t="s">
        <v>371</v>
      </c>
      <c r="C13" s="1">
        <v>45509</v>
      </c>
      <c r="D13" s="1" t="str">
        <f>PROPER(orders[[#This Row],[order_priority]])</f>
        <v>Standard</v>
      </c>
      <c r="E13" t="s">
        <v>13317</v>
      </c>
      <c r="F13" t="str">
        <f>IFERROR(INDEX(customers[country], MATCH(orders[[#This Row],[customer_id]], customers[customer_id], 0)), "Unmapped")</f>
        <v>Germany</v>
      </c>
      <c r="G13" t="str">
        <f>IFERROR(INDEX(Region_Map[Region], MATCH(orders[[#This Row],[Customer_Country]], Region_Map[Country], 0)), "Unknown")</f>
        <v>Central Europe</v>
      </c>
      <c r="H13" t="s">
        <v>6949</v>
      </c>
    </row>
    <row r="14" spans="1:8">
      <c r="A14" t="s">
        <v>925</v>
      </c>
      <c r="B14" t="s">
        <v>297</v>
      </c>
      <c r="C14" s="1">
        <v>45341</v>
      </c>
      <c r="D14" s="1" t="str">
        <f>PROPER(orders[[#This Row],[order_priority]])</f>
        <v>Express</v>
      </c>
      <c r="E14" t="s">
        <v>13318</v>
      </c>
      <c r="F14" t="str">
        <f>IFERROR(INDEX(customers[country], MATCH(orders[[#This Row],[customer_id]], customers[customer_id], 0)), "Unmapped")</f>
        <v>Poland</v>
      </c>
      <c r="G14" t="str">
        <f>IFERROR(INDEX(Region_Map[Region], MATCH(orders[[#This Row],[Customer_Country]], Region_Map[Country], 0)), "Unknown")</f>
        <v>Central Europe</v>
      </c>
      <c r="H14" t="s">
        <v>6949</v>
      </c>
    </row>
    <row r="15" spans="1:8">
      <c r="A15" t="s">
        <v>926</v>
      </c>
      <c r="B15" t="s">
        <v>494</v>
      </c>
      <c r="C15" s="1">
        <v>45329</v>
      </c>
      <c r="D15" s="1" t="str">
        <f>PROPER(orders[[#This Row],[order_priority]])</f>
        <v>Express</v>
      </c>
      <c r="E15" t="s">
        <v>13318</v>
      </c>
      <c r="F15" t="str">
        <f>IFERROR(INDEX(customers[country], MATCH(orders[[#This Row],[customer_id]], customers[customer_id], 0)), "Unmapped")</f>
        <v>Sweden</v>
      </c>
      <c r="G15" t="str">
        <f>IFERROR(INDEX(Region_Map[Region], MATCH(orders[[#This Row],[Customer_Country]], Region_Map[Country], 0)), "Unknown")</f>
        <v>Nordics</v>
      </c>
      <c r="H15" t="s">
        <v>6949</v>
      </c>
    </row>
    <row r="16" spans="1:8">
      <c r="A16" t="s">
        <v>927</v>
      </c>
      <c r="B16" t="s">
        <v>30</v>
      </c>
      <c r="C16" s="1">
        <v>45466</v>
      </c>
      <c r="D16" s="1" t="str">
        <f>PROPER(orders[[#This Row],[order_priority]])</f>
        <v>Standard</v>
      </c>
      <c r="E16" t="s">
        <v>13319</v>
      </c>
      <c r="F16" t="str">
        <f>IFERROR(INDEX(customers[country], MATCH(orders[[#This Row],[customer_id]], customers[customer_id], 0)), "Unmapped")</f>
        <v>Netherlands</v>
      </c>
      <c r="G16" t="str">
        <f>IFERROR(INDEX(Region_Map[Region], MATCH(orders[[#This Row],[Customer_Country]], Region_Map[Country], 0)), "Unknown")</f>
        <v>Central Europe</v>
      </c>
      <c r="H16" t="s">
        <v>6949</v>
      </c>
    </row>
    <row r="17" spans="1:8">
      <c r="A17" t="s">
        <v>928</v>
      </c>
      <c r="B17" t="s">
        <v>6949</v>
      </c>
      <c r="C17" s="1">
        <v>45233</v>
      </c>
      <c r="D17" s="1" t="str">
        <f>PROPER(orders[[#This Row],[order_priority]])</f>
        <v>Same Day</v>
      </c>
      <c r="E17" t="s">
        <v>13321</v>
      </c>
      <c r="F17" t="str">
        <f>IFERROR(INDEX(customers[country], MATCH(orders[[#This Row],[customer_id]], customers[customer_id], 0)), "Unmapped")</f>
        <v>Unmapped</v>
      </c>
      <c r="G17" t="str">
        <f>IFERROR(INDEX(Region_Map[Region], MATCH(orders[[#This Row],[Customer_Country]], Region_Map[Country], 0)), "Unknown")</f>
        <v>Unknown</v>
      </c>
      <c r="H17" t="s">
        <v>6949</v>
      </c>
    </row>
    <row r="18" spans="1:8">
      <c r="A18" t="s">
        <v>929</v>
      </c>
      <c r="B18" t="s">
        <v>130</v>
      </c>
      <c r="C18" s="1">
        <v>45311</v>
      </c>
      <c r="D18" s="1" t="str">
        <f>PROPER(orders[[#This Row],[order_priority]])</f>
        <v>Express</v>
      </c>
      <c r="E18" t="s">
        <v>13318</v>
      </c>
      <c r="F18" t="str">
        <f>IFERROR(INDEX(customers[country], MATCH(orders[[#This Row],[customer_id]], customers[customer_id], 0)), "Unmapped")</f>
        <v>Latvia</v>
      </c>
      <c r="G18" t="str">
        <f>IFERROR(INDEX(Region_Map[Region], MATCH(orders[[#This Row],[Customer_Country]], Region_Map[Country], 0)), "Unknown")</f>
        <v>Baltics</v>
      </c>
      <c r="H18" t="s">
        <v>6949</v>
      </c>
    </row>
    <row r="19" spans="1:8">
      <c r="A19" t="s">
        <v>930</v>
      </c>
      <c r="B19" t="s">
        <v>602</v>
      </c>
      <c r="C19" s="1">
        <v>45588</v>
      </c>
      <c r="D19" s="1" t="str">
        <f>PROPER(orders[[#This Row],[order_priority]])</f>
        <v>Same Day</v>
      </c>
      <c r="E19" t="s">
        <v>13322</v>
      </c>
      <c r="F19" t="str">
        <f>IFERROR(INDEX(customers[country], MATCH(orders[[#This Row],[customer_id]], customers[customer_id], 0)), "Unmapped")</f>
        <v>Poland</v>
      </c>
      <c r="G19" t="str">
        <f>IFERROR(INDEX(Region_Map[Region], MATCH(orders[[#This Row],[Customer_Country]], Region_Map[Country], 0)), "Unknown")</f>
        <v>Central Europe</v>
      </c>
      <c r="H19" t="s">
        <v>6949</v>
      </c>
    </row>
    <row r="20" spans="1:8">
      <c r="A20" t="s">
        <v>931</v>
      </c>
      <c r="B20" t="s">
        <v>626</v>
      </c>
      <c r="C20" s="1">
        <v>45485</v>
      </c>
      <c r="D20" s="1" t="str">
        <f>PROPER(orders[[#This Row],[order_priority]])</f>
        <v>Same Day</v>
      </c>
      <c r="E20" t="s">
        <v>13322</v>
      </c>
      <c r="F20" t="str">
        <f>IFERROR(INDEX(customers[country], MATCH(orders[[#This Row],[customer_id]], customers[customer_id], 0)), "Unmapped")</f>
        <v>Denmark</v>
      </c>
      <c r="G20" t="str">
        <f>IFERROR(INDEX(Region_Map[Region], MATCH(orders[[#This Row],[Customer_Country]], Region_Map[Country], 0)), "Unknown")</f>
        <v>Nordics</v>
      </c>
      <c r="H20" t="s">
        <v>6949</v>
      </c>
    </row>
    <row r="21" spans="1:8">
      <c r="A21" t="s">
        <v>932</v>
      </c>
      <c r="B21" t="s">
        <v>596</v>
      </c>
      <c r="C21" s="1">
        <v>45295</v>
      </c>
      <c r="D21" s="1" t="str">
        <f>PROPER(orders[[#This Row],[order_priority]])</f>
        <v>Standard</v>
      </c>
      <c r="E21" t="s">
        <v>13317</v>
      </c>
      <c r="F21" t="str">
        <f>IFERROR(INDEX(customers[country], MATCH(orders[[#This Row],[customer_id]], customers[customer_id], 0)), "Unmapped")</f>
        <v>Lithuania</v>
      </c>
      <c r="G21" t="str">
        <f>IFERROR(INDEX(Region_Map[Region], MATCH(orders[[#This Row],[Customer_Country]], Region_Map[Country], 0)), "Unknown")</f>
        <v>Baltics</v>
      </c>
      <c r="H21" t="s">
        <v>6949</v>
      </c>
    </row>
    <row r="22" spans="1:8">
      <c r="A22" t="s">
        <v>933</v>
      </c>
      <c r="B22" t="s">
        <v>419</v>
      </c>
      <c r="C22" s="1">
        <v>45244</v>
      </c>
      <c r="D22" s="1" t="str">
        <f>PROPER(orders[[#This Row],[order_priority]])</f>
        <v>Express</v>
      </c>
      <c r="E22" t="s">
        <v>13318</v>
      </c>
      <c r="F22" t="str">
        <f>IFERROR(INDEX(customers[country], MATCH(orders[[#This Row],[customer_id]], customers[customer_id], 0)), "Unmapped")</f>
        <v>Estonia</v>
      </c>
      <c r="G22" t="str">
        <f>IFERROR(INDEX(Region_Map[Region], MATCH(orders[[#This Row],[Customer_Country]], Region_Map[Country], 0)), "Unknown")</f>
        <v>Baltics</v>
      </c>
      <c r="H22" t="s">
        <v>6949</v>
      </c>
    </row>
    <row r="23" spans="1:8">
      <c r="A23" t="s">
        <v>934</v>
      </c>
      <c r="B23" t="s">
        <v>425</v>
      </c>
      <c r="C23" s="1">
        <v>45094</v>
      </c>
      <c r="D23" s="1" t="str">
        <f>PROPER(orders[[#This Row],[order_priority]])</f>
        <v>Same Day</v>
      </c>
      <c r="E23" t="s">
        <v>13322</v>
      </c>
      <c r="F23" t="str">
        <f>IFERROR(INDEX(customers[country], MATCH(orders[[#This Row],[customer_id]], customers[customer_id], 0)), "Unmapped")</f>
        <v>Denmark</v>
      </c>
      <c r="G23" t="str">
        <f>IFERROR(INDEX(Region_Map[Region], MATCH(orders[[#This Row],[Customer_Country]], Region_Map[Country], 0)), "Unknown")</f>
        <v>Nordics</v>
      </c>
      <c r="H23" t="s">
        <v>6949</v>
      </c>
    </row>
    <row r="24" spans="1:8">
      <c r="A24" t="s">
        <v>935</v>
      </c>
      <c r="B24" t="s">
        <v>623</v>
      </c>
      <c r="C24" s="1">
        <v>45035</v>
      </c>
      <c r="D24" s="1" t="str">
        <f>PROPER(orders[[#This Row],[order_priority]])</f>
        <v>Standard</v>
      </c>
      <c r="E24" t="s">
        <v>13323</v>
      </c>
      <c r="F24" t="str">
        <f>IFERROR(INDEX(customers[country], MATCH(orders[[#This Row],[customer_id]], customers[customer_id], 0)), "Unmapped")</f>
        <v>Denmark</v>
      </c>
      <c r="G24" t="str">
        <f>IFERROR(INDEX(Region_Map[Region], MATCH(orders[[#This Row],[Customer_Country]], Region_Map[Country], 0)), "Unknown")</f>
        <v>Nordics</v>
      </c>
      <c r="H24" t="s">
        <v>6949</v>
      </c>
    </row>
    <row r="25" spans="1:8">
      <c r="A25" t="s">
        <v>936</v>
      </c>
      <c r="B25" t="s">
        <v>688</v>
      </c>
      <c r="C25" s="1">
        <v>45031</v>
      </c>
      <c r="D25" s="1" t="str">
        <f>PROPER(orders[[#This Row],[order_priority]])</f>
        <v>Standard</v>
      </c>
      <c r="E25" t="s">
        <v>13317</v>
      </c>
      <c r="F25" t="str">
        <f>IFERROR(INDEX(customers[country], MATCH(orders[[#This Row],[customer_id]], customers[customer_id], 0)), "Unmapped")</f>
        <v>Norway</v>
      </c>
      <c r="G25" t="str">
        <f>IFERROR(INDEX(Region_Map[Region], MATCH(orders[[#This Row],[Customer_Country]], Region_Map[Country], 0)), "Unknown")</f>
        <v>Nordics</v>
      </c>
      <c r="H25" t="s">
        <v>6949</v>
      </c>
    </row>
    <row r="26" spans="1:8">
      <c r="A26" t="s">
        <v>937</v>
      </c>
      <c r="B26" t="s">
        <v>536</v>
      </c>
      <c r="C26" s="1">
        <v>45346</v>
      </c>
      <c r="D26" s="1" t="str">
        <f>PROPER(orders[[#This Row],[order_priority]])</f>
        <v>Express</v>
      </c>
      <c r="E26" t="s">
        <v>13318</v>
      </c>
      <c r="F26" t="str">
        <f>IFERROR(INDEX(customers[country], MATCH(orders[[#This Row],[customer_id]], customers[customer_id], 0)), "Unmapped")</f>
        <v>Germany</v>
      </c>
      <c r="G26" t="str">
        <f>IFERROR(INDEX(Region_Map[Region], MATCH(orders[[#This Row],[Customer_Country]], Region_Map[Country], 0)), "Unknown")</f>
        <v>Central Europe</v>
      </c>
      <c r="H26" t="s">
        <v>6949</v>
      </c>
    </row>
    <row r="27" spans="1:8">
      <c r="A27" t="s">
        <v>938</v>
      </c>
      <c r="B27" t="s">
        <v>813</v>
      </c>
      <c r="C27" s="1">
        <v>45041</v>
      </c>
      <c r="D27" s="1" t="str">
        <f>PROPER(orders[[#This Row],[order_priority]])</f>
        <v>Same Day</v>
      </c>
      <c r="E27" t="s">
        <v>13322</v>
      </c>
      <c r="F27" t="str">
        <f>IFERROR(INDEX(customers[country], MATCH(orders[[#This Row],[customer_id]], customers[customer_id], 0)), "Unmapped")</f>
        <v>Norway</v>
      </c>
      <c r="G27" t="str">
        <f>IFERROR(INDEX(Region_Map[Region], MATCH(orders[[#This Row],[Customer_Country]], Region_Map[Country], 0)), "Unknown")</f>
        <v>Nordics</v>
      </c>
      <c r="H27" t="s">
        <v>6949</v>
      </c>
    </row>
    <row r="28" spans="1:8">
      <c r="A28" t="s">
        <v>939</v>
      </c>
      <c r="B28" t="s">
        <v>682</v>
      </c>
      <c r="C28" s="1">
        <v>44984</v>
      </c>
      <c r="D28" s="1" t="str">
        <f>PROPER(orders[[#This Row],[order_priority]])</f>
        <v>Standard</v>
      </c>
      <c r="E28" t="s">
        <v>13317</v>
      </c>
      <c r="F28" t="str">
        <f>IFERROR(INDEX(customers[country], MATCH(orders[[#This Row],[customer_id]], customers[customer_id], 0)), "Unmapped")</f>
        <v>Germany</v>
      </c>
      <c r="G28" t="str">
        <f>IFERROR(INDEX(Region_Map[Region], MATCH(orders[[#This Row],[Customer_Country]], Region_Map[Country], 0)), "Unknown")</f>
        <v>Central Europe</v>
      </c>
      <c r="H28" t="s">
        <v>6949</v>
      </c>
    </row>
    <row r="29" spans="1:8">
      <c r="A29" t="s">
        <v>940</v>
      </c>
      <c r="B29" t="s">
        <v>819</v>
      </c>
      <c r="C29" s="1">
        <v>45239</v>
      </c>
      <c r="D29" s="1" t="str">
        <f>PROPER(orders[[#This Row],[order_priority]])</f>
        <v>Standard</v>
      </c>
      <c r="E29" t="s">
        <v>13317</v>
      </c>
      <c r="F29" t="str">
        <f>IFERROR(INDEX(customers[country], MATCH(orders[[#This Row],[customer_id]], customers[customer_id], 0)), "Unmapped")</f>
        <v>Estonia</v>
      </c>
      <c r="G29" t="str">
        <f>IFERROR(INDEX(Region_Map[Region], MATCH(orders[[#This Row],[Customer_Country]], Region_Map[Country], 0)), "Unknown")</f>
        <v>Baltics</v>
      </c>
      <c r="H29" t="s">
        <v>6949</v>
      </c>
    </row>
    <row r="30" spans="1:8">
      <c r="A30" t="s">
        <v>941</v>
      </c>
      <c r="B30" t="s">
        <v>365</v>
      </c>
      <c r="C30" s="1">
        <v>44979</v>
      </c>
      <c r="D30" s="1" t="str">
        <f>PROPER(orders[[#This Row],[order_priority]])</f>
        <v>Economy</v>
      </c>
      <c r="E30" t="s">
        <v>13316</v>
      </c>
      <c r="F30" t="str">
        <f>IFERROR(INDEX(customers[country], MATCH(orders[[#This Row],[customer_id]], customers[customer_id], 0)), "Unmapped")</f>
        <v>Poland</v>
      </c>
      <c r="G30" t="str">
        <f>IFERROR(INDEX(Region_Map[Region], MATCH(orders[[#This Row],[Customer_Country]], Region_Map[Country], 0)), "Unknown")</f>
        <v>Central Europe</v>
      </c>
      <c r="H30" t="s">
        <v>6949</v>
      </c>
    </row>
    <row r="31" spans="1:8">
      <c r="A31" t="s">
        <v>942</v>
      </c>
      <c r="B31" t="s">
        <v>682</v>
      </c>
      <c r="C31" s="1">
        <v>45203</v>
      </c>
      <c r="D31" s="1" t="str">
        <f>PROPER(orders[[#This Row],[order_priority]])</f>
        <v>Same Day</v>
      </c>
      <c r="E31" t="s">
        <v>13322</v>
      </c>
      <c r="F31" t="str">
        <f>IFERROR(INDEX(customers[country], MATCH(orders[[#This Row],[customer_id]], customers[customer_id], 0)), "Unmapped")</f>
        <v>Germany</v>
      </c>
      <c r="G31" t="str">
        <f>IFERROR(INDEX(Region_Map[Region], MATCH(orders[[#This Row],[Customer_Country]], Region_Map[Country], 0)), "Unknown")</f>
        <v>Central Europe</v>
      </c>
      <c r="H31" t="s">
        <v>6949</v>
      </c>
    </row>
    <row r="32" spans="1:8">
      <c r="A32" t="s">
        <v>943</v>
      </c>
      <c r="B32" t="s">
        <v>735</v>
      </c>
      <c r="C32" s="1">
        <v>44963</v>
      </c>
      <c r="D32" s="1" t="str">
        <f>PROPER(orders[[#This Row],[order_priority]])</f>
        <v>Express</v>
      </c>
      <c r="E32" t="s">
        <v>13320</v>
      </c>
      <c r="F32" t="str">
        <f>IFERROR(INDEX(customers[country], MATCH(orders[[#This Row],[customer_id]], customers[customer_id], 0)), "Unmapped")</f>
        <v>Poland</v>
      </c>
      <c r="G32" t="str">
        <f>IFERROR(INDEX(Region_Map[Region], MATCH(orders[[#This Row],[Customer_Country]], Region_Map[Country], 0)), "Unknown")</f>
        <v>Central Europe</v>
      </c>
      <c r="H32" t="s">
        <v>6949</v>
      </c>
    </row>
    <row r="33" spans="1:8">
      <c r="A33" t="s">
        <v>944</v>
      </c>
      <c r="B33" t="s">
        <v>661</v>
      </c>
      <c r="C33" s="1">
        <v>45162</v>
      </c>
      <c r="D33" s="1" t="str">
        <f>PROPER(orders[[#This Row],[order_priority]])</f>
        <v>Express</v>
      </c>
      <c r="E33" t="s">
        <v>13318</v>
      </c>
      <c r="F33" t="str">
        <f>IFERROR(INDEX(customers[country], MATCH(orders[[#This Row],[customer_id]], customers[customer_id], 0)), "Unmapped")</f>
        <v>Lithuania</v>
      </c>
      <c r="G33" t="str">
        <f>IFERROR(INDEX(Region_Map[Region], MATCH(orders[[#This Row],[Customer_Country]], Region_Map[Country], 0)), "Unknown")</f>
        <v>Baltics</v>
      </c>
      <c r="H33" t="s">
        <v>6949</v>
      </c>
    </row>
    <row r="34" spans="1:8">
      <c r="A34" t="s">
        <v>945</v>
      </c>
      <c r="B34" t="s">
        <v>42</v>
      </c>
      <c r="C34" s="1">
        <v>45070</v>
      </c>
      <c r="D34" s="1" t="str">
        <f>PROPER(orders[[#This Row],[order_priority]])</f>
        <v>Express</v>
      </c>
      <c r="E34" t="s">
        <v>13318</v>
      </c>
      <c r="F34" t="str">
        <f>IFERROR(INDEX(customers[country], MATCH(orders[[#This Row],[customer_id]], customers[customer_id], 0)), "Unmapped")</f>
        <v>Estonia</v>
      </c>
      <c r="G34" t="str">
        <f>IFERROR(INDEX(Region_Map[Region], MATCH(orders[[#This Row],[Customer_Country]], Region_Map[Country], 0)), "Unknown")</f>
        <v>Baltics</v>
      </c>
      <c r="H34" t="s">
        <v>6949</v>
      </c>
    </row>
    <row r="35" spans="1:8">
      <c r="A35" t="s">
        <v>946</v>
      </c>
      <c r="B35" t="s">
        <v>6949</v>
      </c>
      <c r="C35" s="1">
        <v>45144</v>
      </c>
      <c r="D35" s="1" t="str">
        <f>PROPER(orders[[#This Row],[order_priority]])</f>
        <v>Standard</v>
      </c>
      <c r="E35" t="s">
        <v>13317</v>
      </c>
      <c r="F35" t="str">
        <f>IFERROR(INDEX(customers[country], MATCH(orders[[#This Row],[customer_id]], customers[customer_id], 0)), "Unmapped")</f>
        <v>Unmapped</v>
      </c>
      <c r="G35" t="str">
        <f>IFERROR(INDEX(Region_Map[Region], MATCH(orders[[#This Row],[Customer_Country]], Region_Map[Country], 0)), "Unknown")</f>
        <v>Unknown</v>
      </c>
      <c r="H35" t="s">
        <v>6949</v>
      </c>
    </row>
    <row r="36" spans="1:8">
      <c r="A36" t="s">
        <v>947</v>
      </c>
      <c r="B36" t="s">
        <v>461</v>
      </c>
      <c r="C36" s="1">
        <v>45460</v>
      </c>
      <c r="D36" s="1" t="str">
        <f>PROPER(orders[[#This Row],[order_priority]])</f>
        <v>Standard</v>
      </c>
      <c r="E36" t="s">
        <v>13317</v>
      </c>
      <c r="F36" t="str">
        <f>IFERROR(INDEX(customers[country], MATCH(orders[[#This Row],[customer_id]], customers[customer_id], 0)), "Unmapped")</f>
        <v>Latvia</v>
      </c>
      <c r="G36" t="str">
        <f>IFERROR(INDEX(Region_Map[Region], MATCH(orders[[#This Row],[Customer_Country]], Region_Map[Country], 0)), "Unknown")</f>
        <v>Baltics</v>
      </c>
      <c r="H36" t="s">
        <v>6949</v>
      </c>
    </row>
    <row r="37" spans="1:8">
      <c r="A37" t="s">
        <v>948</v>
      </c>
      <c r="B37" t="s">
        <v>270</v>
      </c>
      <c r="C37" s="1">
        <v>45149</v>
      </c>
      <c r="D37" s="1" t="str">
        <f>PROPER(orders[[#This Row],[order_priority]])</f>
        <v>Economy</v>
      </c>
      <c r="E37" t="s">
        <v>13316</v>
      </c>
      <c r="F37" t="str">
        <f>IFERROR(INDEX(customers[country], MATCH(orders[[#This Row],[customer_id]], customers[customer_id], 0)), "Unmapped")</f>
        <v>Poland</v>
      </c>
      <c r="G37" t="str">
        <f>IFERROR(INDEX(Region_Map[Region], MATCH(orders[[#This Row],[Customer_Country]], Region_Map[Country], 0)), "Unknown")</f>
        <v>Central Europe</v>
      </c>
      <c r="H37" t="s">
        <v>6949</v>
      </c>
    </row>
    <row r="38" spans="1:8">
      <c r="A38" t="s">
        <v>949</v>
      </c>
      <c r="B38" t="s">
        <v>691</v>
      </c>
      <c r="C38" s="1">
        <v>45215</v>
      </c>
      <c r="D38" s="1" t="str">
        <f>PROPER(orders[[#This Row],[order_priority]])</f>
        <v>Express</v>
      </c>
      <c r="E38" t="s">
        <v>13318</v>
      </c>
      <c r="F38" t="str">
        <f>IFERROR(INDEX(customers[country], MATCH(orders[[#This Row],[customer_id]], customers[customer_id], 0)), "Unmapped")</f>
        <v>Latvia</v>
      </c>
      <c r="G38" t="str">
        <f>IFERROR(INDEX(Region_Map[Region], MATCH(orders[[#This Row],[Customer_Country]], Region_Map[Country], 0)), "Unknown")</f>
        <v>Baltics</v>
      </c>
      <c r="H38" t="s">
        <v>6949</v>
      </c>
    </row>
    <row r="39" spans="1:8">
      <c r="A39" t="s">
        <v>950</v>
      </c>
      <c r="B39" t="s">
        <v>303</v>
      </c>
      <c r="C39" s="1">
        <v>45304</v>
      </c>
      <c r="D39" s="1" t="str">
        <f>PROPER(orders[[#This Row],[order_priority]])</f>
        <v>Express</v>
      </c>
      <c r="E39" t="s">
        <v>13318</v>
      </c>
      <c r="F39" t="str">
        <f>IFERROR(INDEX(customers[country], MATCH(orders[[#This Row],[customer_id]], customers[customer_id], 0)), "Unmapped")</f>
        <v>Netherlands</v>
      </c>
      <c r="G39" t="str">
        <f>IFERROR(INDEX(Region_Map[Region], MATCH(orders[[#This Row],[Customer_Country]], Region_Map[Country], 0)), "Unknown")</f>
        <v>Central Europe</v>
      </c>
      <c r="H39" t="s">
        <v>6949</v>
      </c>
    </row>
    <row r="40" spans="1:8">
      <c r="A40" t="s">
        <v>951</v>
      </c>
      <c r="B40" t="s">
        <v>811</v>
      </c>
      <c r="C40" s="1">
        <v>45390</v>
      </c>
      <c r="D40" s="1" t="str">
        <f>PROPER(orders[[#This Row],[order_priority]])</f>
        <v>Same Day</v>
      </c>
      <c r="E40" t="s">
        <v>13322</v>
      </c>
      <c r="F40" t="str">
        <f>IFERROR(INDEX(customers[country], MATCH(orders[[#This Row],[customer_id]], customers[customer_id], 0)), "Unmapped")</f>
        <v>Finland</v>
      </c>
      <c r="G40" t="str">
        <f>IFERROR(INDEX(Region_Map[Region], MATCH(orders[[#This Row],[Customer_Country]], Region_Map[Country], 0)), "Unknown")</f>
        <v>Nordics</v>
      </c>
      <c r="H40" t="s">
        <v>6949</v>
      </c>
    </row>
    <row r="41" spans="1:8">
      <c r="A41" t="s">
        <v>952</v>
      </c>
      <c r="B41" t="s">
        <v>712</v>
      </c>
      <c r="C41" s="1">
        <v>45024</v>
      </c>
      <c r="D41" s="1" t="str">
        <f>PROPER(orders[[#This Row],[order_priority]])</f>
        <v>Same Day</v>
      </c>
      <c r="E41" t="s">
        <v>13322</v>
      </c>
      <c r="F41" t="str">
        <f>IFERROR(INDEX(customers[country], MATCH(orders[[#This Row],[customer_id]], customers[customer_id], 0)), "Unmapped")</f>
        <v>Finland</v>
      </c>
      <c r="G41" t="str">
        <f>IFERROR(INDEX(Region_Map[Region], MATCH(orders[[#This Row],[Customer_Country]], Region_Map[Country], 0)), "Unknown")</f>
        <v>Nordics</v>
      </c>
      <c r="H41" t="s">
        <v>6949</v>
      </c>
    </row>
    <row r="42" spans="1:8">
      <c r="A42" t="s">
        <v>953</v>
      </c>
      <c r="B42" t="s">
        <v>793</v>
      </c>
      <c r="C42" s="1">
        <v>45231</v>
      </c>
      <c r="D42" s="1" t="str">
        <f>PROPER(orders[[#This Row],[order_priority]])</f>
        <v>Standard</v>
      </c>
      <c r="E42" t="s">
        <v>13317</v>
      </c>
      <c r="F42" t="str">
        <f>IFERROR(INDEX(customers[country], MATCH(orders[[#This Row],[customer_id]], customers[customer_id], 0)), "Unmapped")</f>
        <v>Sweden</v>
      </c>
      <c r="G42" t="str">
        <f>IFERROR(INDEX(Region_Map[Region], MATCH(orders[[#This Row],[Customer_Country]], Region_Map[Country], 0)), "Unknown")</f>
        <v>Nordics</v>
      </c>
      <c r="H42" t="s">
        <v>6949</v>
      </c>
    </row>
    <row r="43" spans="1:8">
      <c r="A43" t="s">
        <v>954</v>
      </c>
      <c r="B43" t="s">
        <v>285</v>
      </c>
      <c r="C43" s="1">
        <v>45316</v>
      </c>
      <c r="D43" s="1" t="str">
        <f>PROPER(orders[[#This Row],[order_priority]])</f>
        <v>Standard</v>
      </c>
      <c r="E43" t="s">
        <v>13317</v>
      </c>
      <c r="F43" t="str">
        <f>IFERROR(INDEX(customers[country], MATCH(orders[[#This Row],[customer_id]], customers[customer_id], 0)), "Unmapped")</f>
        <v>Norway</v>
      </c>
      <c r="G43" t="str">
        <f>IFERROR(INDEX(Region_Map[Region], MATCH(orders[[#This Row],[Customer_Country]], Region_Map[Country], 0)), "Unknown")</f>
        <v>Nordics</v>
      </c>
      <c r="H43" t="s">
        <v>6949</v>
      </c>
    </row>
    <row r="44" spans="1:8">
      <c r="A44" t="s">
        <v>955</v>
      </c>
      <c r="B44" t="s">
        <v>252</v>
      </c>
      <c r="C44" s="1">
        <v>45372</v>
      </c>
      <c r="D44" s="1" t="str">
        <f>PROPER(orders[[#This Row],[order_priority]])</f>
        <v>Standard</v>
      </c>
      <c r="E44" t="s">
        <v>13317</v>
      </c>
      <c r="F44" t="str">
        <f>IFERROR(INDEX(customers[country], MATCH(orders[[#This Row],[customer_id]], customers[customer_id], 0)), "Unmapped")</f>
        <v>Lithuania</v>
      </c>
      <c r="G44" t="str">
        <f>IFERROR(INDEX(Region_Map[Region], MATCH(orders[[#This Row],[Customer_Country]], Region_Map[Country], 0)), "Unknown")</f>
        <v>Baltics</v>
      </c>
      <c r="H44" t="s">
        <v>6949</v>
      </c>
    </row>
    <row r="45" spans="1:8">
      <c r="A45" t="s">
        <v>956</v>
      </c>
      <c r="B45" t="s">
        <v>15</v>
      </c>
      <c r="C45" s="1">
        <v>45043</v>
      </c>
      <c r="D45" s="1" t="str">
        <f>PROPER(orders[[#This Row],[order_priority]])</f>
        <v>Express</v>
      </c>
      <c r="E45" t="s">
        <v>13318</v>
      </c>
      <c r="F45" t="str">
        <f>IFERROR(INDEX(customers[country], MATCH(orders[[#This Row],[customer_id]], customers[customer_id], 0)), "Unmapped")</f>
        <v>Estonia</v>
      </c>
      <c r="G45" t="str">
        <f>IFERROR(INDEX(Region_Map[Region], MATCH(orders[[#This Row],[Customer_Country]], Region_Map[Country], 0)), "Unknown")</f>
        <v>Baltics</v>
      </c>
      <c r="H45" t="s">
        <v>6949</v>
      </c>
    </row>
    <row r="46" spans="1:8">
      <c r="A46" t="s">
        <v>957</v>
      </c>
      <c r="B46" t="s">
        <v>192</v>
      </c>
      <c r="C46" s="1">
        <v>45317</v>
      </c>
      <c r="D46" s="1" t="str">
        <f>PROPER(orders[[#This Row],[order_priority]])</f>
        <v>Standard</v>
      </c>
      <c r="E46" t="s">
        <v>13317</v>
      </c>
      <c r="F46" t="str">
        <f>IFERROR(INDEX(customers[country], MATCH(orders[[#This Row],[customer_id]], customers[customer_id], 0)), "Unmapped")</f>
        <v>Estonia</v>
      </c>
      <c r="G46" t="str">
        <f>IFERROR(INDEX(Region_Map[Region], MATCH(orders[[#This Row],[Customer_Country]], Region_Map[Country], 0)), "Unknown")</f>
        <v>Baltics</v>
      </c>
      <c r="H46" t="s">
        <v>6949</v>
      </c>
    </row>
    <row r="47" spans="1:8">
      <c r="A47" t="s">
        <v>958</v>
      </c>
      <c r="B47" t="s">
        <v>422</v>
      </c>
      <c r="C47" s="1">
        <v>45611</v>
      </c>
      <c r="D47" s="1" t="str">
        <f>PROPER(orders[[#This Row],[order_priority]])</f>
        <v>Standard</v>
      </c>
      <c r="E47" t="s">
        <v>13319</v>
      </c>
      <c r="F47" t="str">
        <f>IFERROR(INDEX(customers[country], MATCH(orders[[#This Row],[customer_id]], customers[customer_id], 0)), "Unmapped")</f>
        <v>Germany</v>
      </c>
      <c r="G47" t="str">
        <f>IFERROR(INDEX(Region_Map[Region], MATCH(orders[[#This Row],[Customer_Country]], Region_Map[Country], 0)), "Unknown")</f>
        <v>Central Europe</v>
      </c>
      <c r="H47" t="s">
        <v>6949</v>
      </c>
    </row>
    <row r="48" spans="1:8">
      <c r="A48" t="s">
        <v>959</v>
      </c>
      <c r="B48" t="s">
        <v>882</v>
      </c>
      <c r="C48" s="1">
        <v>45448</v>
      </c>
      <c r="D48" s="1" t="str">
        <f>PROPER(orders[[#This Row],[order_priority]])</f>
        <v>Express</v>
      </c>
      <c r="E48" t="s">
        <v>13318</v>
      </c>
      <c r="F48" t="str">
        <f>IFERROR(INDEX(customers[country], MATCH(orders[[#This Row],[customer_id]], customers[customer_id], 0)), "Unmapped")</f>
        <v>Netherlands</v>
      </c>
      <c r="G48" t="str">
        <f>IFERROR(INDEX(Region_Map[Region], MATCH(orders[[#This Row],[Customer_Country]], Region_Map[Country], 0)), "Unknown")</f>
        <v>Central Europe</v>
      </c>
      <c r="H48" t="s">
        <v>6949</v>
      </c>
    </row>
    <row r="49" spans="1:8">
      <c r="A49" t="s">
        <v>960</v>
      </c>
      <c r="B49" t="s">
        <v>715</v>
      </c>
      <c r="C49" s="1">
        <v>45380</v>
      </c>
      <c r="D49" s="1" t="str">
        <f>PROPER(orders[[#This Row],[order_priority]])</f>
        <v>Standard</v>
      </c>
      <c r="E49" t="s">
        <v>13317</v>
      </c>
      <c r="F49" t="str">
        <f>IFERROR(INDEX(customers[country], MATCH(orders[[#This Row],[customer_id]], customers[customer_id], 0)), "Unmapped")</f>
        <v>Netherlands</v>
      </c>
      <c r="G49" t="str">
        <f>IFERROR(INDEX(Region_Map[Region], MATCH(orders[[#This Row],[Customer_Country]], Region_Map[Country], 0)), "Unknown")</f>
        <v>Central Europe</v>
      </c>
      <c r="H49" t="s">
        <v>6949</v>
      </c>
    </row>
    <row r="50" spans="1:8">
      <c r="A50" t="s">
        <v>961</v>
      </c>
      <c r="B50" t="s">
        <v>148</v>
      </c>
      <c r="C50" s="1">
        <v>45449</v>
      </c>
      <c r="D50" s="1" t="str">
        <f>PROPER(orders[[#This Row],[order_priority]])</f>
        <v>Standard</v>
      </c>
      <c r="E50" t="s">
        <v>13317</v>
      </c>
      <c r="F50" t="str">
        <f>IFERROR(INDEX(customers[country], MATCH(orders[[#This Row],[customer_id]], customers[customer_id], 0)), "Unmapped")</f>
        <v>Poland</v>
      </c>
      <c r="G50" t="str">
        <f>IFERROR(INDEX(Region_Map[Region], MATCH(orders[[#This Row],[Customer_Country]], Region_Map[Country], 0)), "Unknown")</f>
        <v>Central Europe</v>
      </c>
      <c r="H50" t="s">
        <v>6949</v>
      </c>
    </row>
    <row r="51" spans="1:8">
      <c r="A51" t="s">
        <v>962</v>
      </c>
      <c r="B51" t="s">
        <v>249</v>
      </c>
      <c r="C51" s="1">
        <v>44989</v>
      </c>
      <c r="D51" s="1" t="str">
        <f>PROPER(orders[[#This Row],[order_priority]])</f>
        <v>Standard</v>
      </c>
      <c r="E51" t="s">
        <v>13317</v>
      </c>
      <c r="F51" t="str">
        <f>IFERROR(INDEX(customers[country], MATCH(orders[[#This Row],[customer_id]], customers[customer_id], 0)), "Unmapped")</f>
        <v>Estonia</v>
      </c>
      <c r="G51" t="str">
        <f>IFERROR(INDEX(Region_Map[Region], MATCH(orders[[#This Row],[Customer_Country]], Region_Map[Country], 0)), "Unknown")</f>
        <v>Baltics</v>
      </c>
      <c r="H51" t="s">
        <v>6949</v>
      </c>
    </row>
    <row r="52" spans="1:8">
      <c r="A52" t="s">
        <v>963</v>
      </c>
      <c r="B52" t="s">
        <v>195</v>
      </c>
      <c r="C52" s="1">
        <v>45112</v>
      </c>
      <c r="D52" s="1" t="str">
        <f>PROPER(orders[[#This Row],[order_priority]])</f>
        <v>Express</v>
      </c>
      <c r="E52" t="s">
        <v>13318</v>
      </c>
      <c r="F52" t="str">
        <f>IFERROR(INDEX(customers[country], MATCH(orders[[#This Row],[customer_id]], customers[customer_id], 0)), "Unmapped")</f>
        <v>Latvia</v>
      </c>
      <c r="G52" t="str">
        <f>IFERROR(INDEX(Region_Map[Region], MATCH(orders[[#This Row],[Customer_Country]], Region_Map[Country], 0)), "Unknown")</f>
        <v>Baltics</v>
      </c>
      <c r="H52" t="s">
        <v>6949</v>
      </c>
    </row>
    <row r="53" spans="1:8">
      <c r="A53" t="s">
        <v>964</v>
      </c>
      <c r="B53" t="s">
        <v>458</v>
      </c>
      <c r="C53" s="1">
        <v>45411</v>
      </c>
      <c r="D53" s="1" t="str">
        <f>PROPER(orders[[#This Row],[order_priority]])</f>
        <v>Same Day</v>
      </c>
      <c r="E53" t="s">
        <v>13322</v>
      </c>
      <c r="F53" t="str">
        <f>IFERROR(INDEX(customers[country], MATCH(orders[[#This Row],[customer_id]], customers[customer_id], 0)), "Unmapped")</f>
        <v>Poland</v>
      </c>
      <c r="G53" t="str">
        <f>IFERROR(INDEX(Region_Map[Region], MATCH(orders[[#This Row],[Customer_Country]], Region_Map[Country], 0)), "Unknown")</f>
        <v>Central Europe</v>
      </c>
      <c r="H53" t="s">
        <v>6949</v>
      </c>
    </row>
    <row r="54" spans="1:8">
      <c r="A54" t="s">
        <v>965</v>
      </c>
      <c r="B54" t="s">
        <v>335</v>
      </c>
      <c r="C54" s="1">
        <v>45082</v>
      </c>
      <c r="D54" s="1" t="str">
        <f>PROPER(orders[[#This Row],[order_priority]])</f>
        <v>Same Day</v>
      </c>
      <c r="E54" t="s">
        <v>13321</v>
      </c>
      <c r="F54" t="str">
        <f>IFERROR(INDEX(customers[country], MATCH(orders[[#This Row],[customer_id]], customers[customer_id], 0)), "Unmapped")</f>
        <v>Denmark</v>
      </c>
      <c r="G54" t="str">
        <f>IFERROR(INDEX(Region_Map[Region], MATCH(orders[[#This Row],[Customer_Country]], Region_Map[Country], 0)), "Unknown")</f>
        <v>Nordics</v>
      </c>
      <c r="H54" t="s">
        <v>6949</v>
      </c>
    </row>
    <row r="55" spans="1:8">
      <c r="A55" t="s">
        <v>966</v>
      </c>
      <c r="B55" t="s">
        <v>724</v>
      </c>
      <c r="C55" s="1">
        <v>45238</v>
      </c>
      <c r="D55" s="1" t="str">
        <f>PROPER(orders[[#This Row],[order_priority]])</f>
        <v>Standard</v>
      </c>
      <c r="E55" t="s">
        <v>13317</v>
      </c>
      <c r="F55" t="str">
        <f>IFERROR(INDEX(customers[country], MATCH(orders[[#This Row],[customer_id]], customers[customer_id], 0)), "Unmapped")</f>
        <v>Denmark</v>
      </c>
      <c r="G55" t="str">
        <f>IFERROR(INDEX(Region_Map[Region], MATCH(orders[[#This Row],[Customer_Country]], Region_Map[Country], 0)), "Unknown")</f>
        <v>Nordics</v>
      </c>
      <c r="H55" t="s">
        <v>6949</v>
      </c>
    </row>
    <row r="56" spans="1:8">
      <c r="A56" t="s">
        <v>967</v>
      </c>
      <c r="B56" t="s">
        <v>425</v>
      </c>
      <c r="C56" s="1">
        <v>45405</v>
      </c>
      <c r="D56" s="1" t="str">
        <f>PROPER(orders[[#This Row],[order_priority]])</f>
        <v>Standard</v>
      </c>
      <c r="E56" t="s">
        <v>13317</v>
      </c>
      <c r="F56" t="str">
        <f>IFERROR(INDEX(customers[country], MATCH(orders[[#This Row],[customer_id]], customers[customer_id], 0)), "Unmapped")</f>
        <v>Denmark</v>
      </c>
      <c r="G56" t="str">
        <f>IFERROR(INDEX(Region_Map[Region], MATCH(orders[[#This Row],[Customer_Country]], Region_Map[Country], 0)), "Unknown")</f>
        <v>Nordics</v>
      </c>
      <c r="H56" t="s">
        <v>6949</v>
      </c>
    </row>
    <row r="57" spans="1:8">
      <c r="A57" t="s">
        <v>968</v>
      </c>
      <c r="B57" t="s">
        <v>64</v>
      </c>
      <c r="C57" s="1">
        <v>45596</v>
      </c>
      <c r="D57" s="1" t="str">
        <f>PROPER(orders[[#This Row],[order_priority]])</f>
        <v>Standard</v>
      </c>
      <c r="E57" t="s">
        <v>13317</v>
      </c>
      <c r="F57" t="str">
        <f>IFERROR(INDEX(customers[country], MATCH(orders[[#This Row],[customer_id]], customers[customer_id], 0)), "Unmapped")</f>
        <v>Netherlands</v>
      </c>
      <c r="G57" t="str">
        <f>IFERROR(INDEX(Region_Map[Region], MATCH(orders[[#This Row],[Customer_Country]], Region_Map[Country], 0)), "Unknown")</f>
        <v>Central Europe</v>
      </c>
      <c r="H57" t="s">
        <v>6949</v>
      </c>
    </row>
    <row r="58" spans="1:8">
      <c r="A58" t="s">
        <v>969</v>
      </c>
      <c r="B58" t="s">
        <v>727</v>
      </c>
      <c r="C58" s="1">
        <v>45380</v>
      </c>
      <c r="D58" s="1" t="str">
        <f>PROPER(orders[[#This Row],[order_priority]])</f>
        <v>Standard</v>
      </c>
      <c r="E58" t="s">
        <v>13317</v>
      </c>
      <c r="F58" t="str">
        <f>IFERROR(INDEX(customers[country], MATCH(orders[[#This Row],[customer_id]], customers[customer_id], 0)), "Unmapped")</f>
        <v>Sweden</v>
      </c>
      <c r="G58" t="str">
        <f>IFERROR(INDEX(Region_Map[Region], MATCH(orders[[#This Row],[Customer_Country]], Region_Map[Country], 0)), "Unknown")</f>
        <v>Nordics</v>
      </c>
      <c r="H58" t="s">
        <v>6949</v>
      </c>
    </row>
    <row r="59" spans="1:8">
      <c r="A59" t="s">
        <v>970</v>
      </c>
      <c r="B59" t="s">
        <v>30</v>
      </c>
      <c r="C59" s="1">
        <v>45457</v>
      </c>
      <c r="D59" s="1" t="str">
        <f>PROPER(orders[[#This Row],[order_priority]])</f>
        <v>Express</v>
      </c>
      <c r="E59" t="s">
        <v>13318</v>
      </c>
      <c r="F59" t="str">
        <f>IFERROR(INDEX(customers[country], MATCH(orders[[#This Row],[customer_id]], customers[customer_id], 0)), "Unmapped")</f>
        <v>Netherlands</v>
      </c>
      <c r="G59" t="str">
        <f>IFERROR(INDEX(Region_Map[Region], MATCH(orders[[#This Row],[Customer_Country]], Region_Map[Country], 0)), "Unknown")</f>
        <v>Central Europe</v>
      </c>
      <c r="H59" t="s">
        <v>6949</v>
      </c>
    </row>
    <row r="60" spans="1:8">
      <c r="A60" t="s">
        <v>971</v>
      </c>
      <c r="B60" t="s">
        <v>724</v>
      </c>
      <c r="C60" s="1">
        <v>45555</v>
      </c>
      <c r="D60" s="1" t="str">
        <f>PROPER(orders[[#This Row],[order_priority]])</f>
        <v>Same Day</v>
      </c>
      <c r="E60" t="s">
        <v>13322</v>
      </c>
      <c r="F60" t="str">
        <f>IFERROR(INDEX(customers[country], MATCH(orders[[#This Row],[customer_id]], customers[customer_id], 0)), "Unmapped")</f>
        <v>Denmark</v>
      </c>
      <c r="G60" t="str">
        <f>IFERROR(INDEX(Region_Map[Region], MATCH(orders[[#This Row],[Customer_Country]], Region_Map[Country], 0)), "Unknown")</f>
        <v>Nordics</v>
      </c>
      <c r="H60" t="s">
        <v>6949</v>
      </c>
    </row>
    <row r="61" spans="1:8">
      <c r="A61" t="s">
        <v>972</v>
      </c>
      <c r="B61" t="s">
        <v>464</v>
      </c>
      <c r="C61" s="1">
        <v>45242</v>
      </c>
      <c r="D61" s="1" t="str">
        <f>PROPER(orders[[#This Row],[order_priority]])</f>
        <v>Express</v>
      </c>
      <c r="E61" t="s">
        <v>13320</v>
      </c>
      <c r="F61" t="str">
        <f>IFERROR(INDEX(customers[country], MATCH(orders[[#This Row],[customer_id]], customers[customer_id], 0)), "Unmapped")</f>
        <v>Finland</v>
      </c>
      <c r="G61" t="str">
        <f>IFERROR(INDEX(Region_Map[Region], MATCH(orders[[#This Row],[Customer_Country]], Region_Map[Country], 0)), "Unknown")</f>
        <v>Nordics</v>
      </c>
      <c r="H61" t="s">
        <v>6949</v>
      </c>
    </row>
    <row r="62" spans="1:8">
      <c r="A62" t="s">
        <v>973</v>
      </c>
      <c r="B62" t="s">
        <v>752</v>
      </c>
      <c r="C62" s="1">
        <v>45559</v>
      </c>
      <c r="D62" s="1" t="str">
        <f>PROPER(orders[[#This Row],[order_priority]])</f>
        <v>Same Day</v>
      </c>
      <c r="E62" t="s">
        <v>13324</v>
      </c>
      <c r="F62" t="str">
        <f>IFERROR(INDEX(customers[country], MATCH(orders[[#This Row],[customer_id]], customers[customer_id], 0)), "Unmapped")</f>
        <v>Estonia</v>
      </c>
      <c r="G62" t="str">
        <f>IFERROR(INDEX(Region_Map[Region], MATCH(orders[[#This Row],[Customer_Country]], Region_Map[Country], 0)), "Unknown")</f>
        <v>Baltics</v>
      </c>
      <c r="H62" t="s">
        <v>6949</v>
      </c>
    </row>
    <row r="63" spans="1:8">
      <c r="A63" t="s">
        <v>974</v>
      </c>
      <c r="B63" t="s">
        <v>24</v>
      </c>
      <c r="C63" s="1">
        <v>45305</v>
      </c>
      <c r="D63" s="1" t="str">
        <f>PROPER(orders[[#This Row],[order_priority]])</f>
        <v>Economy</v>
      </c>
      <c r="E63" t="s">
        <v>13316</v>
      </c>
      <c r="F63" t="str">
        <f>IFERROR(INDEX(customers[country], MATCH(orders[[#This Row],[customer_id]], customers[customer_id], 0)), "Unmapped")</f>
        <v>Sweden</v>
      </c>
      <c r="G63" t="str">
        <f>IFERROR(INDEX(Region_Map[Region], MATCH(orders[[#This Row],[Customer_Country]], Region_Map[Country], 0)), "Unknown")</f>
        <v>Nordics</v>
      </c>
      <c r="H63" t="s">
        <v>6949</v>
      </c>
    </row>
    <row r="64" spans="1:8">
      <c r="A64" t="s">
        <v>975</v>
      </c>
      <c r="B64" t="s">
        <v>285</v>
      </c>
      <c r="C64" s="1">
        <v>45391</v>
      </c>
      <c r="D64" s="1" t="str">
        <f>PROPER(orders[[#This Row],[order_priority]])</f>
        <v>Standard</v>
      </c>
      <c r="E64" t="s">
        <v>13323</v>
      </c>
      <c r="F64" t="str">
        <f>IFERROR(INDEX(customers[country], MATCH(orders[[#This Row],[customer_id]], customers[customer_id], 0)), "Unmapped")</f>
        <v>Norway</v>
      </c>
      <c r="G64" t="str">
        <f>IFERROR(INDEX(Region_Map[Region], MATCH(orders[[#This Row],[Customer_Country]], Region_Map[Country], 0)), "Unknown")</f>
        <v>Nordics</v>
      </c>
      <c r="H64" t="s">
        <v>6949</v>
      </c>
    </row>
    <row r="65" spans="1:8">
      <c r="A65" t="s">
        <v>976</v>
      </c>
      <c r="B65" t="s">
        <v>160</v>
      </c>
      <c r="C65" s="1">
        <v>44968</v>
      </c>
      <c r="D65" s="1" t="str">
        <f>PROPER(orders[[#This Row],[order_priority]])</f>
        <v>Economy</v>
      </c>
      <c r="E65" t="s">
        <v>13325</v>
      </c>
      <c r="F65" t="str">
        <f>IFERROR(INDEX(customers[country], MATCH(orders[[#This Row],[customer_id]], customers[customer_id], 0)), "Unmapped")</f>
        <v>Denmark</v>
      </c>
      <c r="G65" t="str">
        <f>IFERROR(INDEX(Region_Map[Region], MATCH(orders[[#This Row],[Customer_Country]], Region_Map[Country], 0)), "Unknown")</f>
        <v>Nordics</v>
      </c>
      <c r="H65" t="s">
        <v>6949</v>
      </c>
    </row>
    <row r="66" spans="1:8">
      <c r="A66" t="s">
        <v>977</v>
      </c>
      <c r="B66" t="s">
        <v>201</v>
      </c>
      <c r="C66" s="1">
        <v>44986</v>
      </c>
      <c r="D66" s="1" t="str">
        <f>PROPER(orders[[#This Row],[order_priority]])</f>
        <v>Express</v>
      </c>
      <c r="E66" t="s">
        <v>13326</v>
      </c>
      <c r="F66" t="str">
        <f>IFERROR(INDEX(customers[country], MATCH(orders[[#This Row],[customer_id]], customers[customer_id], 0)), "Unmapped")</f>
        <v>Estonia</v>
      </c>
      <c r="G66" t="str">
        <f>IFERROR(INDEX(Region_Map[Region], MATCH(orders[[#This Row],[Customer_Country]], Region_Map[Country], 0)), "Unknown")</f>
        <v>Baltics</v>
      </c>
      <c r="H66" t="s">
        <v>6949</v>
      </c>
    </row>
    <row r="67" spans="1:8">
      <c r="A67" t="s">
        <v>978</v>
      </c>
      <c r="B67" t="s">
        <v>542</v>
      </c>
      <c r="C67" s="1">
        <v>45335</v>
      </c>
      <c r="D67" s="1" t="str">
        <f>PROPER(orders[[#This Row],[order_priority]])</f>
        <v>Same Day</v>
      </c>
      <c r="E67" t="s">
        <v>13321</v>
      </c>
      <c r="F67" t="str">
        <f>IFERROR(INDEX(customers[country], MATCH(orders[[#This Row],[customer_id]], customers[customer_id], 0)), "Unmapped")</f>
        <v>Poland</v>
      </c>
      <c r="G67" t="str">
        <f>IFERROR(INDEX(Region_Map[Region], MATCH(orders[[#This Row],[Customer_Country]], Region_Map[Country], 0)), "Unknown")</f>
        <v>Central Europe</v>
      </c>
      <c r="H67" t="s">
        <v>6949</v>
      </c>
    </row>
    <row r="68" spans="1:8">
      <c r="A68" t="s">
        <v>979</v>
      </c>
      <c r="B68" t="s">
        <v>834</v>
      </c>
      <c r="C68" s="1">
        <v>45557</v>
      </c>
      <c r="D68" s="1" t="str">
        <f>PROPER(orders[[#This Row],[order_priority]])</f>
        <v>Same Day</v>
      </c>
      <c r="E68" t="s">
        <v>13322</v>
      </c>
      <c r="F68" t="str">
        <f>IFERROR(INDEX(customers[country], MATCH(orders[[#This Row],[customer_id]], customers[customer_id], 0)), "Unmapped")</f>
        <v>Denmark</v>
      </c>
      <c r="G68" t="str">
        <f>IFERROR(INDEX(Region_Map[Region], MATCH(orders[[#This Row],[Customer_Country]], Region_Map[Country], 0)), "Unknown")</f>
        <v>Nordics</v>
      </c>
      <c r="H68" t="s">
        <v>6949</v>
      </c>
    </row>
    <row r="69" spans="1:8">
      <c r="A69" t="s">
        <v>980</v>
      </c>
      <c r="B69" t="s">
        <v>48</v>
      </c>
      <c r="C69" s="1">
        <v>45166</v>
      </c>
      <c r="D69" s="1" t="str">
        <f>PROPER(orders[[#This Row],[order_priority]])</f>
        <v>Economy</v>
      </c>
      <c r="E69" t="s">
        <v>13316</v>
      </c>
      <c r="F69" t="str">
        <f>IFERROR(INDEX(customers[country], MATCH(orders[[#This Row],[customer_id]], customers[customer_id], 0)), "Unmapped")</f>
        <v>Poland</v>
      </c>
      <c r="G69" t="str">
        <f>IFERROR(INDEX(Region_Map[Region], MATCH(orders[[#This Row],[Customer_Country]], Region_Map[Country], 0)), "Unknown")</f>
        <v>Central Europe</v>
      </c>
      <c r="H69" t="s">
        <v>6949</v>
      </c>
    </row>
    <row r="70" spans="1:8">
      <c r="A70" t="s">
        <v>981</v>
      </c>
      <c r="B70" t="s">
        <v>187</v>
      </c>
      <c r="C70" s="1">
        <v>45513</v>
      </c>
      <c r="D70" s="1" t="str">
        <f>PROPER(orders[[#This Row],[order_priority]])</f>
        <v>Economy</v>
      </c>
      <c r="E70" t="s">
        <v>13316</v>
      </c>
      <c r="F70" t="str">
        <f>IFERROR(INDEX(customers[country], MATCH(orders[[#This Row],[customer_id]], customers[customer_id], 0)), "Unmapped")</f>
        <v>Latvia</v>
      </c>
      <c r="G70" t="str">
        <f>IFERROR(INDEX(Region_Map[Region], MATCH(orders[[#This Row],[Customer_Country]], Region_Map[Country], 0)), "Unknown")</f>
        <v>Baltics</v>
      </c>
      <c r="H70" t="s">
        <v>6949</v>
      </c>
    </row>
    <row r="71" spans="1:8">
      <c r="A71" t="s">
        <v>982</v>
      </c>
      <c r="B71" t="s">
        <v>306</v>
      </c>
      <c r="C71" s="1">
        <v>45579</v>
      </c>
      <c r="D71" s="1" t="str">
        <f>PROPER(orders[[#This Row],[order_priority]])</f>
        <v>Standard</v>
      </c>
      <c r="E71" t="s">
        <v>13319</v>
      </c>
      <c r="F71" t="str">
        <f>IFERROR(INDEX(customers[country], MATCH(orders[[#This Row],[customer_id]], customers[customer_id], 0)), "Unmapped")</f>
        <v>Estonia</v>
      </c>
      <c r="G71" t="str">
        <f>IFERROR(INDEX(Region_Map[Region], MATCH(orders[[#This Row],[Customer_Country]], Region_Map[Country], 0)), "Unknown")</f>
        <v>Baltics</v>
      </c>
      <c r="H71" t="s">
        <v>6949</v>
      </c>
    </row>
    <row r="72" spans="1:8">
      <c r="A72" t="s">
        <v>983</v>
      </c>
      <c r="B72" t="s">
        <v>563</v>
      </c>
      <c r="C72" s="1">
        <v>45618</v>
      </c>
      <c r="D72" s="1" t="str">
        <f>PROPER(orders[[#This Row],[order_priority]])</f>
        <v>Same Day</v>
      </c>
      <c r="E72" t="s">
        <v>13322</v>
      </c>
      <c r="F72" t="str">
        <f>IFERROR(INDEX(customers[country], MATCH(orders[[#This Row],[customer_id]], customers[customer_id], 0)), "Unmapped")</f>
        <v>Estonia</v>
      </c>
      <c r="G72" t="str">
        <f>IFERROR(INDEX(Region_Map[Region], MATCH(orders[[#This Row],[Customer_Country]], Region_Map[Country], 0)), "Unknown")</f>
        <v>Baltics</v>
      </c>
      <c r="H72" t="s">
        <v>6949</v>
      </c>
    </row>
    <row r="73" spans="1:8">
      <c r="A73" t="s">
        <v>984</v>
      </c>
      <c r="B73" t="s">
        <v>228</v>
      </c>
      <c r="C73" s="1">
        <v>45195</v>
      </c>
      <c r="D73" s="1" t="str">
        <f>PROPER(orders[[#This Row],[order_priority]])</f>
        <v>Same Day</v>
      </c>
      <c r="E73" t="s">
        <v>13322</v>
      </c>
      <c r="F73" t="str">
        <f>IFERROR(INDEX(customers[country], MATCH(orders[[#This Row],[customer_id]], customers[customer_id], 0)), "Unmapped")</f>
        <v>Latvia</v>
      </c>
      <c r="G73" t="str">
        <f>IFERROR(INDEX(Region_Map[Region], MATCH(orders[[#This Row],[Customer_Country]], Region_Map[Country], 0)), "Unknown")</f>
        <v>Baltics</v>
      </c>
      <c r="H73" t="s">
        <v>6949</v>
      </c>
    </row>
    <row r="74" spans="1:8">
      <c r="A74" t="s">
        <v>985</v>
      </c>
      <c r="B74" t="s">
        <v>503</v>
      </c>
      <c r="C74" s="1">
        <v>45286</v>
      </c>
      <c r="D74" s="1" t="str">
        <f>PROPER(orders[[#This Row],[order_priority]])</f>
        <v>Same Day</v>
      </c>
      <c r="E74" t="s">
        <v>13322</v>
      </c>
      <c r="F74" t="str">
        <f>IFERROR(INDEX(customers[country], MATCH(orders[[#This Row],[customer_id]], customers[customer_id], 0)), "Unmapped")</f>
        <v>Denmark</v>
      </c>
      <c r="G74" t="str">
        <f>IFERROR(INDEX(Region_Map[Region], MATCH(orders[[#This Row],[Customer_Country]], Region_Map[Country], 0)), "Unknown")</f>
        <v>Nordics</v>
      </c>
      <c r="H74" t="s">
        <v>6949</v>
      </c>
    </row>
    <row r="75" spans="1:8">
      <c r="A75" t="s">
        <v>986</v>
      </c>
      <c r="B75" t="s">
        <v>542</v>
      </c>
      <c r="C75" s="1">
        <v>45574</v>
      </c>
      <c r="D75" s="1" t="str">
        <f>PROPER(orders[[#This Row],[order_priority]])</f>
        <v>Standard</v>
      </c>
      <c r="E75" t="s">
        <v>13317</v>
      </c>
      <c r="F75" t="str">
        <f>IFERROR(INDEX(customers[country], MATCH(orders[[#This Row],[customer_id]], customers[customer_id], 0)), "Unmapped")</f>
        <v>Poland</v>
      </c>
      <c r="G75" t="str">
        <f>IFERROR(INDEX(Region_Map[Region], MATCH(orders[[#This Row],[Customer_Country]], Region_Map[Country], 0)), "Unknown")</f>
        <v>Central Europe</v>
      </c>
      <c r="H75" t="s">
        <v>6949</v>
      </c>
    </row>
    <row r="76" spans="1:8">
      <c r="A76" t="s">
        <v>987</v>
      </c>
      <c r="B76" t="s">
        <v>198</v>
      </c>
      <c r="C76" s="1">
        <v>45594</v>
      </c>
      <c r="D76" s="1" t="str">
        <f>PROPER(orders[[#This Row],[order_priority]])</f>
        <v>Express</v>
      </c>
      <c r="E76" t="s">
        <v>13318</v>
      </c>
      <c r="F76" t="str">
        <f>IFERROR(INDEX(customers[country], MATCH(orders[[#This Row],[customer_id]], customers[customer_id], 0)), "Unmapped")</f>
        <v>Poland</v>
      </c>
      <c r="G76" t="str">
        <f>IFERROR(INDEX(Region_Map[Region], MATCH(orders[[#This Row],[Customer_Country]], Region_Map[Country], 0)), "Unknown")</f>
        <v>Central Europe</v>
      </c>
      <c r="H76" t="s">
        <v>6949</v>
      </c>
    </row>
    <row r="77" spans="1:8">
      <c r="A77" t="s">
        <v>988</v>
      </c>
      <c r="B77" t="s">
        <v>326</v>
      </c>
      <c r="C77" s="1">
        <v>45407</v>
      </c>
      <c r="D77" s="1" t="str">
        <f>PROPER(orders[[#This Row],[order_priority]])</f>
        <v>Standard</v>
      </c>
      <c r="E77" t="s">
        <v>13317</v>
      </c>
      <c r="F77" t="str">
        <f>IFERROR(INDEX(customers[country], MATCH(orders[[#This Row],[customer_id]], customers[customer_id], 0)), "Unmapped")</f>
        <v>Lithuania</v>
      </c>
      <c r="G77" t="str">
        <f>IFERROR(INDEX(Region_Map[Region], MATCH(orders[[#This Row],[Customer_Country]], Region_Map[Country], 0)), "Unknown")</f>
        <v>Baltics</v>
      </c>
      <c r="H77" t="s">
        <v>6949</v>
      </c>
    </row>
    <row r="78" spans="1:8">
      <c r="A78" t="s">
        <v>989</v>
      </c>
      <c r="B78" t="s">
        <v>587</v>
      </c>
      <c r="C78" s="1">
        <v>45120</v>
      </c>
      <c r="D78" s="1" t="str">
        <f>PROPER(orders[[#This Row],[order_priority]])</f>
        <v>Same Day</v>
      </c>
      <c r="E78" t="s">
        <v>13322</v>
      </c>
      <c r="F78" t="str">
        <f>IFERROR(INDEX(customers[country], MATCH(orders[[#This Row],[customer_id]], customers[customer_id], 0)), "Unmapped")</f>
        <v>Finland</v>
      </c>
      <c r="G78" t="str">
        <f>IFERROR(INDEX(Region_Map[Region], MATCH(orders[[#This Row],[Customer_Country]], Region_Map[Country], 0)), "Unknown")</f>
        <v>Nordics</v>
      </c>
      <c r="H78" t="s">
        <v>6949</v>
      </c>
    </row>
    <row r="79" spans="1:8">
      <c r="A79" t="s">
        <v>990</v>
      </c>
      <c r="B79" t="s">
        <v>64</v>
      </c>
      <c r="C79" s="1">
        <v>45330</v>
      </c>
      <c r="D79" s="1" t="str">
        <f>PROPER(orders[[#This Row],[order_priority]])</f>
        <v>Express</v>
      </c>
      <c r="E79" t="s">
        <v>13318</v>
      </c>
      <c r="F79" t="str">
        <f>IFERROR(INDEX(customers[country], MATCH(orders[[#This Row],[customer_id]], customers[customer_id], 0)), "Unmapped")</f>
        <v>Netherlands</v>
      </c>
      <c r="G79" t="str">
        <f>IFERROR(INDEX(Region_Map[Region], MATCH(orders[[#This Row],[Customer_Country]], Region_Map[Country], 0)), "Unknown")</f>
        <v>Central Europe</v>
      </c>
      <c r="H79" t="s">
        <v>6949</v>
      </c>
    </row>
    <row r="80" spans="1:8">
      <c r="A80" t="s">
        <v>991</v>
      </c>
      <c r="B80" t="s">
        <v>802</v>
      </c>
      <c r="C80" s="1">
        <v>45626</v>
      </c>
      <c r="D80" s="1" t="str">
        <f>PROPER(orders[[#This Row],[order_priority]])</f>
        <v>Standard</v>
      </c>
      <c r="E80" t="s">
        <v>13317</v>
      </c>
      <c r="F80" t="str">
        <f>IFERROR(INDEX(customers[country], MATCH(orders[[#This Row],[customer_id]], customers[customer_id], 0)), "Unmapped")</f>
        <v>Poland</v>
      </c>
      <c r="G80" t="str">
        <f>IFERROR(INDEX(Region_Map[Region], MATCH(orders[[#This Row],[Customer_Country]], Region_Map[Country], 0)), "Unknown")</f>
        <v>Central Europe</v>
      </c>
      <c r="H80" t="s">
        <v>6949</v>
      </c>
    </row>
    <row r="81" spans="1:8">
      <c r="A81" t="s">
        <v>992</v>
      </c>
      <c r="B81" t="s">
        <v>560</v>
      </c>
      <c r="C81" s="1">
        <v>44933</v>
      </c>
      <c r="D81" s="1" t="str">
        <f>PROPER(orders[[#This Row],[order_priority]])</f>
        <v>Standard</v>
      </c>
      <c r="E81" t="s">
        <v>13323</v>
      </c>
      <c r="F81" t="str">
        <f>IFERROR(INDEX(customers[country], MATCH(orders[[#This Row],[customer_id]], customers[customer_id], 0)), "Unmapped")</f>
        <v>Finland</v>
      </c>
      <c r="G81" t="str">
        <f>IFERROR(INDEX(Region_Map[Region], MATCH(orders[[#This Row],[Customer_Country]], Region_Map[Country], 0)), "Unknown")</f>
        <v>Nordics</v>
      </c>
      <c r="H81" t="s">
        <v>6949</v>
      </c>
    </row>
    <row r="82" spans="1:8">
      <c r="A82" t="s">
        <v>993</v>
      </c>
      <c r="B82" t="s">
        <v>27</v>
      </c>
      <c r="C82" s="1">
        <v>45159</v>
      </c>
      <c r="D82" s="1" t="str">
        <f>PROPER(orders[[#This Row],[order_priority]])</f>
        <v>Same Day</v>
      </c>
      <c r="E82" t="s">
        <v>13324</v>
      </c>
      <c r="F82" t="str">
        <f>IFERROR(INDEX(customers[country], MATCH(orders[[#This Row],[customer_id]], customers[customer_id], 0)), "Unmapped")</f>
        <v>Latvia</v>
      </c>
      <c r="G82" t="str">
        <f>IFERROR(INDEX(Region_Map[Region], MATCH(orders[[#This Row],[Customer_Country]], Region_Map[Country], 0)), "Unknown")</f>
        <v>Baltics</v>
      </c>
      <c r="H82" t="s">
        <v>6949</v>
      </c>
    </row>
    <row r="83" spans="1:8">
      <c r="A83" t="s">
        <v>994</v>
      </c>
      <c r="B83" t="s">
        <v>169</v>
      </c>
      <c r="C83" s="1">
        <v>45287</v>
      </c>
      <c r="D83" s="1" t="str">
        <f>PROPER(orders[[#This Row],[order_priority]])</f>
        <v>Standard</v>
      </c>
      <c r="E83" t="s">
        <v>13317</v>
      </c>
      <c r="F83" t="str">
        <f>IFERROR(INDEX(customers[country], MATCH(orders[[#This Row],[customer_id]], customers[customer_id], 0)), "Unmapped")</f>
        <v>Norway</v>
      </c>
      <c r="G83" t="str">
        <f>IFERROR(INDEX(Region_Map[Region], MATCH(orders[[#This Row],[Customer_Country]], Region_Map[Country], 0)), "Unknown")</f>
        <v>Nordics</v>
      </c>
      <c r="H83" t="s">
        <v>6949</v>
      </c>
    </row>
    <row r="84" spans="1:8">
      <c r="A84" t="s">
        <v>995</v>
      </c>
      <c r="B84" t="s">
        <v>127</v>
      </c>
      <c r="C84" s="1">
        <v>44937</v>
      </c>
      <c r="D84" s="1" t="str">
        <f>PROPER(orders[[#This Row],[order_priority]])</f>
        <v>Express</v>
      </c>
      <c r="E84" t="s">
        <v>13318</v>
      </c>
      <c r="F84" t="str">
        <f>IFERROR(INDEX(customers[country], MATCH(orders[[#This Row],[customer_id]], customers[customer_id], 0)), "Unmapped")</f>
        <v>Denmark</v>
      </c>
      <c r="G84" t="str">
        <f>IFERROR(INDEX(Region_Map[Region], MATCH(orders[[#This Row],[Customer_Country]], Region_Map[Country], 0)), "Unknown")</f>
        <v>Nordics</v>
      </c>
      <c r="H84" t="s">
        <v>6949</v>
      </c>
    </row>
    <row r="85" spans="1:8">
      <c r="A85" t="s">
        <v>996</v>
      </c>
      <c r="B85" t="s">
        <v>548</v>
      </c>
      <c r="C85" s="1">
        <v>45514</v>
      </c>
      <c r="D85" s="1" t="str">
        <f>PROPER(orders[[#This Row],[order_priority]])</f>
        <v>Express</v>
      </c>
      <c r="E85" t="s">
        <v>13318</v>
      </c>
      <c r="F85" t="str">
        <f>IFERROR(INDEX(customers[country], MATCH(orders[[#This Row],[customer_id]], customers[customer_id], 0)), "Unmapped")</f>
        <v>Sweden</v>
      </c>
      <c r="G85" t="str">
        <f>IFERROR(INDEX(Region_Map[Region], MATCH(orders[[#This Row],[Customer_Country]], Region_Map[Country], 0)), "Unknown")</f>
        <v>Nordics</v>
      </c>
      <c r="H85" t="s">
        <v>6949</v>
      </c>
    </row>
    <row r="86" spans="1:8">
      <c r="A86" t="s">
        <v>997</v>
      </c>
      <c r="B86" t="s">
        <v>362</v>
      </c>
      <c r="C86" s="1">
        <v>45043</v>
      </c>
      <c r="D86" s="1" t="str">
        <f>PROPER(orders[[#This Row],[order_priority]])</f>
        <v>Same Day</v>
      </c>
      <c r="E86" t="s">
        <v>13321</v>
      </c>
      <c r="F86" t="str">
        <f>IFERROR(INDEX(customers[country], MATCH(orders[[#This Row],[customer_id]], customers[customer_id], 0)), "Unmapped")</f>
        <v>Denmark</v>
      </c>
      <c r="G86" t="str">
        <f>IFERROR(INDEX(Region_Map[Region], MATCH(orders[[#This Row],[Customer_Country]], Region_Map[Country], 0)), "Unknown")</f>
        <v>Nordics</v>
      </c>
      <c r="H86" t="s">
        <v>6949</v>
      </c>
    </row>
    <row r="87" spans="1:8">
      <c r="A87" t="s">
        <v>998</v>
      </c>
      <c r="B87" t="s">
        <v>6949</v>
      </c>
      <c r="C87" s="1">
        <v>45410</v>
      </c>
      <c r="D87" s="1" t="str">
        <f>PROPER(orders[[#This Row],[order_priority]])</f>
        <v>Standard</v>
      </c>
      <c r="E87" t="s">
        <v>13317</v>
      </c>
      <c r="F87" t="str">
        <f>IFERROR(INDEX(customers[country], MATCH(orders[[#This Row],[customer_id]], customers[customer_id], 0)), "Unmapped")</f>
        <v>Unmapped</v>
      </c>
      <c r="G87" t="str">
        <f>IFERROR(INDEX(Region_Map[Region], MATCH(orders[[#This Row],[Customer_Country]], Region_Map[Country], 0)), "Unknown")</f>
        <v>Unknown</v>
      </c>
      <c r="H87" t="s">
        <v>6949</v>
      </c>
    </row>
    <row r="88" spans="1:8">
      <c r="A88" t="s">
        <v>999</v>
      </c>
      <c r="B88" t="s">
        <v>207</v>
      </c>
      <c r="C88" s="1">
        <v>45021</v>
      </c>
      <c r="D88" s="1" t="str">
        <f>PROPER(orders[[#This Row],[order_priority]])</f>
        <v>Standard</v>
      </c>
      <c r="E88" t="s">
        <v>13317</v>
      </c>
      <c r="F88" t="str">
        <f>IFERROR(INDEX(customers[country], MATCH(orders[[#This Row],[customer_id]], customers[customer_id], 0)), "Unmapped")</f>
        <v>Poland</v>
      </c>
      <c r="G88" t="str">
        <f>IFERROR(INDEX(Region_Map[Region], MATCH(orders[[#This Row],[Customer_Country]], Region_Map[Country], 0)), "Unknown")</f>
        <v>Central Europe</v>
      </c>
      <c r="H88" t="s">
        <v>6949</v>
      </c>
    </row>
    <row r="89" spans="1:8">
      <c r="A89" t="s">
        <v>1000</v>
      </c>
      <c r="B89" t="s">
        <v>772</v>
      </c>
      <c r="C89" s="1">
        <v>45572</v>
      </c>
      <c r="D89" s="1" t="str">
        <f>PROPER(orders[[#This Row],[order_priority]])</f>
        <v>Express</v>
      </c>
      <c r="E89" t="s">
        <v>13318</v>
      </c>
      <c r="F89" t="str">
        <f>IFERROR(INDEX(customers[country], MATCH(orders[[#This Row],[customer_id]], customers[customer_id], 0)), "Unmapped")</f>
        <v>Estonia</v>
      </c>
      <c r="G89" t="str">
        <f>IFERROR(INDEX(Region_Map[Region], MATCH(orders[[#This Row],[Customer_Country]], Region_Map[Country], 0)), "Unknown")</f>
        <v>Baltics</v>
      </c>
      <c r="H89" t="s">
        <v>6949</v>
      </c>
    </row>
    <row r="90" spans="1:8">
      <c r="A90" t="s">
        <v>1001</v>
      </c>
      <c r="B90" t="s">
        <v>746</v>
      </c>
      <c r="C90" s="1">
        <v>45078</v>
      </c>
      <c r="D90" s="1" t="str">
        <f>PROPER(orders[[#This Row],[order_priority]])</f>
        <v>Standard</v>
      </c>
      <c r="E90" t="s">
        <v>13317</v>
      </c>
      <c r="F90" t="str">
        <f>IFERROR(INDEX(customers[country], MATCH(orders[[#This Row],[customer_id]], customers[customer_id], 0)), "Unmapped")</f>
        <v>Poland</v>
      </c>
      <c r="G90" t="str">
        <f>IFERROR(INDEX(Region_Map[Region], MATCH(orders[[#This Row],[Customer_Country]], Region_Map[Country], 0)), "Unknown")</f>
        <v>Central Europe</v>
      </c>
      <c r="H90" t="s">
        <v>6949</v>
      </c>
    </row>
    <row r="91" spans="1:8">
      <c r="A91" t="s">
        <v>1002</v>
      </c>
      <c r="B91" t="s">
        <v>145</v>
      </c>
      <c r="C91" s="1">
        <v>45360</v>
      </c>
      <c r="D91" s="1" t="str">
        <f>PROPER(orders[[#This Row],[order_priority]])</f>
        <v>Express</v>
      </c>
      <c r="E91" t="s">
        <v>13320</v>
      </c>
      <c r="F91" t="str">
        <f>IFERROR(INDEX(customers[country], MATCH(orders[[#This Row],[customer_id]], customers[customer_id], 0)), "Unmapped")</f>
        <v>Latvia</v>
      </c>
      <c r="G91" t="str">
        <f>IFERROR(INDEX(Region_Map[Region], MATCH(orders[[#This Row],[Customer_Country]], Region_Map[Country], 0)), "Unknown")</f>
        <v>Baltics</v>
      </c>
      <c r="H91" t="s">
        <v>6949</v>
      </c>
    </row>
    <row r="92" spans="1:8">
      <c r="A92" t="s">
        <v>1003</v>
      </c>
      <c r="B92" t="s">
        <v>13327</v>
      </c>
      <c r="C92" s="1">
        <v>44981</v>
      </c>
      <c r="D92" s="1" t="str">
        <f>PROPER(orders[[#This Row],[order_priority]])</f>
        <v>Same Day</v>
      </c>
      <c r="E92" t="s">
        <v>13322</v>
      </c>
      <c r="F92" t="str">
        <f>IFERROR(INDEX(customers[country], MATCH(orders[[#This Row],[customer_id]], customers[customer_id], 0)), "Unmapped")</f>
        <v>Unmapped</v>
      </c>
      <c r="G92" t="str">
        <f>IFERROR(INDEX(Region_Map[Region], MATCH(orders[[#This Row],[Customer_Country]], Region_Map[Country], 0)), "Unknown")</f>
        <v>Unknown</v>
      </c>
      <c r="H92" t="s">
        <v>6949</v>
      </c>
    </row>
    <row r="93" spans="1:8">
      <c r="A93" t="s">
        <v>1004</v>
      </c>
      <c r="B93" t="s">
        <v>300</v>
      </c>
      <c r="C93" s="1">
        <v>45506</v>
      </c>
      <c r="D93" s="1" t="str">
        <f>PROPER(orders[[#This Row],[order_priority]])</f>
        <v>Express</v>
      </c>
      <c r="E93" t="s">
        <v>13318</v>
      </c>
      <c r="F93" t="str">
        <f>IFERROR(INDEX(customers[country], MATCH(orders[[#This Row],[customer_id]], customers[customer_id], 0)), "Unmapped")</f>
        <v>Poland</v>
      </c>
      <c r="G93" t="str">
        <f>IFERROR(INDEX(Region_Map[Region], MATCH(orders[[#This Row],[Customer_Country]], Region_Map[Country], 0)), "Unknown")</f>
        <v>Central Europe</v>
      </c>
      <c r="H93" t="s">
        <v>6949</v>
      </c>
    </row>
    <row r="94" spans="1:8">
      <c r="A94" t="s">
        <v>1005</v>
      </c>
      <c r="B94" t="s">
        <v>641</v>
      </c>
      <c r="C94" s="1">
        <v>45247</v>
      </c>
      <c r="D94" s="1" t="str">
        <f>PROPER(orders[[#This Row],[order_priority]])</f>
        <v>Express</v>
      </c>
      <c r="E94" t="s">
        <v>13318</v>
      </c>
      <c r="F94" t="str">
        <f>IFERROR(INDEX(customers[country], MATCH(orders[[#This Row],[customer_id]], customers[customer_id], 0)), "Unmapped")</f>
        <v>Poland</v>
      </c>
      <c r="G94" t="str">
        <f>IFERROR(INDEX(Region_Map[Region], MATCH(orders[[#This Row],[Customer_Country]], Region_Map[Country], 0)), "Unknown")</f>
        <v>Central Europe</v>
      </c>
      <c r="H94" t="s">
        <v>6949</v>
      </c>
    </row>
    <row r="95" spans="1:8">
      <c r="A95" t="s">
        <v>1006</v>
      </c>
      <c r="B95" t="s">
        <v>216</v>
      </c>
      <c r="C95" s="1">
        <v>45249</v>
      </c>
      <c r="D95" s="1" t="str">
        <f>PROPER(orders[[#This Row],[order_priority]])</f>
        <v>Standard</v>
      </c>
      <c r="E95" t="s">
        <v>13317</v>
      </c>
      <c r="F95" t="str">
        <f>IFERROR(INDEX(customers[country], MATCH(orders[[#This Row],[customer_id]], customers[customer_id], 0)), "Unmapped")</f>
        <v>Norway</v>
      </c>
      <c r="G95" t="str">
        <f>IFERROR(INDEX(Region_Map[Region], MATCH(orders[[#This Row],[Customer_Country]], Region_Map[Country], 0)), "Unknown")</f>
        <v>Nordics</v>
      </c>
      <c r="H95" t="s">
        <v>6949</v>
      </c>
    </row>
    <row r="96" spans="1:8">
      <c r="A96" t="s">
        <v>1007</v>
      </c>
      <c r="B96" t="s">
        <v>464</v>
      </c>
      <c r="C96" s="1">
        <v>45045</v>
      </c>
      <c r="D96" s="1" t="str">
        <f>PROPER(orders[[#This Row],[order_priority]])</f>
        <v>Express</v>
      </c>
      <c r="E96" t="s">
        <v>13318</v>
      </c>
      <c r="F96" t="str">
        <f>IFERROR(INDEX(customers[country], MATCH(orders[[#This Row],[customer_id]], customers[customer_id], 0)), "Unmapped")</f>
        <v>Finland</v>
      </c>
      <c r="G96" t="str">
        <f>IFERROR(INDEX(Region_Map[Region], MATCH(orders[[#This Row],[Customer_Country]], Region_Map[Country], 0)), "Unknown")</f>
        <v>Nordics</v>
      </c>
      <c r="H96" t="s">
        <v>6949</v>
      </c>
    </row>
    <row r="97" spans="1:8">
      <c r="A97" t="s">
        <v>1008</v>
      </c>
      <c r="B97" t="s">
        <v>746</v>
      </c>
      <c r="C97" s="1">
        <v>45276</v>
      </c>
      <c r="D97" s="1" t="str">
        <f>PROPER(orders[[#This Row],[order_priority]])</f>
        <v>Standard</v>
      </c>
      <c r="E97" t="s">
        <v>13317</v>
      </c>
      <c r="F97" t="str">
        <f>IFERROR(INDEX(customers[country], MATCH(orders[[#This Row],[customer_id]], customers[customer_id], 0)), "Unmapped")</f>
        <v>Poland</v>
      </c>
      <c r="G97" t="str">
        <f>IFERROR(INDEX(Region_Map[Region], MATCH(orders[[#This Row],[Customer_Country]], Region_Map[Country], 0)), "Unknown")</f>
        <v>Central Europe</v>
      </c>
      <c r="H97" t="s">
        <v>6949</v>
      </c>
    </row>
    <row r="98" spans="1:8">
      <c r="A98" t="s">
        <v>1009</v>
      </c>
      <c r="B98" t="s">
        <v>42</v>
      </c>
      <c r="C98" s="1">
        <v>45462</v>
      </c>
      <c r="D98" s="1" t="str">
        <f>PROPER(orders[[#This Row],[order_priority]])</f>
        <v>Same Day</v>
      </c>
      <c r="E98" t="s">
        <v>13322</v>
      </c>
      <c r="F98" t="str">
        <f>IFERROR(INDEX(customers[country], MATCH(orders[[#This Row],[customer_id]], customers[customer_id], 0)), "Unmapped")</f>
        <v>Estonia</v>
      </c>
      <c r="G98" t="str">
        <f>IFERROR(INDEX(Region_Map[Region], MATCH(orders[[#This Row],[Customer_Country]], Region_Map[Country], 0)), "Unknown")</f>
        <v>Baltics</v>
      </c>
      <c r="H98" t="s">
        <v>6949</v>
      </c>
    </row>
    <row r="99" spans="1:8">
      <c r="A99" t="s">
        <v>1010</v>
      </c>
      <c r="B99" t="s">
        <v>626</v>
      </c>
      <c r="C99" s="1">
        <v>45112</v>
      </c>
      <c r="D99" s="1" t="str">
        <f>PROPER(orders[[#This Row],[order_priority]])</f>
        <v>Express</v>
      </c>
      <c r="E99" t="s">
        <v>13318</v>
      </c>
      <c r="F99" t="str">
        <f>IFERROR(INDEX(customers[country], MATCH(orders[[#This Row],[customer_id]], customers[customer_id], 0)), "Unmapped")</f>
        <v>Denmark</v>
      </c>
      <c r="G99" t="str">
        <f>IFERROR(INDEX(Region_Map[Region], MATCH(orders[[#This Row],[Customer_Country]], Region_Map[Country], 0)), "Unknown")</f>
        <v>Nordics</v>
      </c>
      <c r="H99" t="s">
        <v>6949</v>
      </c>
    </row>
    <row r="100" spans="1:8">
      <c r="A100" t="s">
        <v>1011</v>
      </c>
      <c r="B100" t="s">
        <v>873</v>
      </c>
      <c r="C100" s="1">
        <v>45502</v>
      </c>
      <c r="D100" s="1" t="str">
        <f>PROPER(orders[[#This Row],[order_priority]])</f>
        <v>Same Day</v>
      </c>
      <c r="E100" t="s">
        <v>13322</v>
      </c>
      <c r="F100" t="str">
        <f>IFERROR(INDEX(customers[country], MATCH(orders[[#This Row],[customer_id]], customers[customer_id], 0)), "Unmapped")</f>
        <v>Estonia</v>
      </c>
      <c r="G100" t="str">
        <f>IFERROR(INDEX(Region_Map[Region], MATCH(orders[[#This Row],[Customer_Country]], Region_Map[Country], 0)), "Unknown")</f>
        <v>Baltics</v>
      </c>
      <c r="H100" t="s">
        <v>6949</v>
      </c>
    </row>
    <row r="101" spans="1:8">
      <c r="A101" t="s">
        <v>1012</v>
      </c>
      <c r="B101" t="s">
        <v>246</v>
      </c>
      <c r="C101" s="1">
        <v>45454</v>
      </c>
      <c r="D101" s="1" t="str">
        <f>PROPER(orders[[#This Row],[order_priority]])</f>
        <v>Same Day</v>
      </c>
      <c r="E101" t="s">
        <v>13322</v>
      </c>
      <c r="F101" t="str">
        <f>IFERROR(INDEX(customers[country], MATCH(orders[[#This Row],[customer_id]], customers[customer_id], 0)), "Unmapped")</f>
        <v>Netherlands</v>
      </c>
      <c r="G101" t="str">
        <f>IFERROR(INDEX(Region_Map[Region], MATCH(orders[[#This Row],[Customer_Country]], Region_Map[Country], 0)), "Unknown")</f>
        <v>Central Europe</v>
      </c>
      <c r="H101" t="s">
        <v>6949</v>
      </c>
    </row>
    <row r="102" spans="1:8">
      <c r="A102" t="s">
        <v>1013</v>
      </c>
      <c r="B102" t="s">
        <v>70</v>
      </c>
      <c r="C102" s="1">
        <v>45614</v>
      </c>
      <c r="D102" s="1" t="str">
        <f>PROPER(orders[[#This Row],[order_priority]])</f>
        <v>Economy</v>
      </c>
      <c r="E102" t="s">
        <v>13316</v>
      </c>
      <c r="F102" t="str">
        <f>IFERROR(INDEX(customers[country], MATCH(orders[[#This Row],[customer_id]], customers[customer_id], 0)), "Unmapped")</f>
        <v>Estonia</v>
      </c>
      <c r="G102" t="str">
        <f>IFERROR(INDEX(Region_Map[Region], MATCH(orders[[#This Row],[Customer_Country]], Region_Map[Country], 0)), "Unknown")</f>
        <v>Baltics</v>
      </c>
      <c r="H102" t="s">
        <v>6949</v>
      </c>
    </row>
    <row r="103" spans="1:8">
      <c r="A103" t="s">
        <v>1014</v>
      </c>
      <c r="B103" t="s">
        <v>494</v>
      </c>
      <c r="C103" s="1">
        <v>45500</v>
      </c>
      <c r="D103" s="1" t="str">
        <f>PROPER(orders[[#This Row],[order_priority]])</f>
        <v>Same Day</v>
      </c>
      <c r="E103" t="s">
        <v>13321</v>
      </c>
      <c r="F103" t="str">
        <f>IFERROR(INDEX(customers[country], MATCH(orders[[#This Row],[customer_id]], customers[customer_id], 0)), "Unmapped")</f>
        <v>Sweden</v>
      </c>
      <c r="G103" t="str">
        <f>IFERROR(INDEX(Region_Map[Region], MATCH(orders[[#This Row],[Customer_Country]], Region_Map[Country], 0)), "Unknown")</f>
        <v>Nordics</v>
      </c>
      <c r="H103" t="s">
        <v>6949</v>
      </c>
    </row>
    <row r="104" spans="1:8">
      <c r="A104" t="s">
        <v>1015</v>
      </c>
      <c r="B104" t="s">
        <v>195</v>
      </c>
      <c r="C104" s="1">
        <v>45367</v>
      </c>
      <c r="D104" s="1" t="str">
        <f>PROPER(orders[[#This Row],[order_priority]])</f>
        <v>Same Day</v>
      </c>
      <c r="E104" t="s">
        <v>13322</v>
      </c>
      <c r="F104" t="str">
        <f>IFERROR(INDEX(customers[country], MATCH(orders[[#This Row],[customer_id]], customers[customer_id], 0)), "Unmapped")</f>
        <v>Latvia</v>
      </c>
      <c r="G104" t="str">
        <f>IFERROR(INDEX(Region_Map[Region], MATCH(orders[[#This Row],[Customer_Country]], Region_Map[Country], 0)), "Unknown")</f>
        <v>Baltics</v>
      </c>
      <c r="H104" t="s">
        <v>6949</v>
      </c>
    </row>
    <row r="105" spans="1:8">
      <c r="A105" t="s">
        <v>1016</v>
      </c>
      <c r="B105" t="s">
        <v>512</v>
      </c>
      <c r="C105" s="1">
        <v>45407</v>
      </c>
      <c r="D105" s="1" t="str">
        <f>PROPER(orders[[#This Row],[order_priority]])</f>
        <v>Economy</v>
      </c>
      <c r="E105" t="s">
        <v>13316</v>
      </c>
      <c r="F105" t="str">
        <f>IFERROR(INDEX(customers[country], MATCH(orders[[#This Row],[customer_id]], customers[customer_id], 0)), "Unmapped")</f>
        <v>Poland</v>
      </c>
      <c r="G105" t="str">
        <f>IFERROR(INDEX(Region_Map[Region], MATCH(orders[[#This Row],[Customer_Country]], Region_Map[Country], 0)), "Unknown")</f>
        <v>Central Europe</v>
      </c>
      <c r="H105" t="s">
        <v>6949</v>
      </c>
    </row>
    <row r="106" spans="1:8">
      <c r="A106" t="s">
        <v>1017</v>
      </c>
      <c r="B106" t="s">
        <v>512</v>
      </c>
      <c r="C106" s="1">
        <v>44996</v>
      </c>
      <c r="D106" s="1" t="str">
        <f>PROPER(orders[[#This Row],[order_priority]])</f>
        <v>Standard</v>
      </c>
      <c r="E106" t="s">
        <v>13317</v>
      </c>
      <c r="F106" t="str">
        <f>IFERROR(INDEX(customers[country], MATCH(orders[[#This Row],[customer_id]], customers[customer_id], 0)), "Unmapped")</f>
        <v>Poland</v>
      </c>
      <c r="G106" t="str">
        <f>IFERROR(INDEX(Region_Map[Region], MATCH(orders[[#This Row],[Customer_Country]], Region_Map[Country], 0)), "Unknown")</f>
        <v>Central Europe</v>
      </c>
      <c r="H106" t="s">
        <v>6949</v>
      </c>
    </row>
    <row r="107" spans="1:8">
      <c r="A107" t="s">
        <v>1018</v>
      </c>
      <c r="B107" t="s">
        <v>416</v>
      </c>
      <c r="C107" s="1">
        <v>45024</v>
      </c>
      <c r="D107" s="1" t="str">
        <f>PROPER(orders[[#This Row],[order_priority]])</f>
        <v>Economy</v>
      </c>
      <c r="E107" t="s">
        <v>13316</v>
      </c>
      <c r="F107" t="str">
        <f>IFERROR(INDEX(customers[country], MATCH(orders[[#This Row],[customer_id]], customers[customer_id], 0)), "Unmapped")</f>
        <v>Denmark</v>
      </c>
      <c r="G107" t="str">
        <f>IFERROR(INDEX(Region_Map[Region], MATCH(orders[[#This Row],[Customer_Country]], Region_Map[Country], 0)), "Unknown")</f>
        <v>Nordics</v>
      </c>
      <c r="H107" t="s">
        <v>6949</v>
      </c>
    </row>
    <row r="108" spans="1:8">
      <c r="A108" t="s">
        <v>1019</v>
      </c>
      <c r="B108" t="s">
        <v>596</v>
      </c>
      <c r="C108" s="1">
        <v>45313</v>
      </c>
      <c r="D108" s="1" t="str">
        <f>PROPER(orders[[#This Row],[order_priority]])</f>
        <v>Same Day</v>
      </c>
      <c r="E108" t="s">
        <v>13322</v>
      </c>
      <c r="F108" t="str">
        <f>IFERROR(INDEX(customers[country], MATCH(orders[[#This Row],[customer_id]], customers[customer_id], 0)), "Unmapped")</f>
        <v>Lithuania</v>
      </c>
      <c r="G108" t="str">
        <f>IFERROR(INDEX(Region_Map[Region], MATCH(orders[[#This Row],[Customer_Country]], Region_Map[Country], 0)), "Unknown")</f>
        <v>Baltics</v>
      </c>
      <c r="H108" t="s">
        <v>6949</v>
      </c>
    </row>
    <row r="109" spans="1:8">
      <c r="A109" t="s">
        <v>1020</v>
      </c>
      <c r="B109" t="s">
        <v>506</v>
      </c>
      <c r="C109" s="1">
        <v>45341</v>
      </c>
      <c r="D109" s="1" t="str">
        <f>PROPER(orders[[#This Row],[order_priority]])</f>
        <v>Express</v>
      </c>
      <c r="E109" t="s">
        <v>13318</v>
      </c>
      <c r="F109" t="str">
        <f>IFERROR(INDEX(customers[country], MATCH(orders[[#This Row],[customer_id]], customers[customer_id], 0)), "Unmapped")</f>
        <v>Poland</v>
      </c>
      <c r="G109" t="str">
        <f>IFERROR(INDEX(Region_Map[Region], MATCH(orders[[#This Row],[Customer_Country]], Region_Map[Country], 0)), "Unknown")</f>
        <v>Central Europe</v>
      </c>
      <c r="H109" t="s">
        <v>6949</v>
      </c>
    </row>
    <row r="110" spans="1:8">
      <c r="A110" t="s">
        <v>1021</v>
      </c>
      <c r="B110" t="s">
        <v>900</v>
      </c>
      <c r="C110" s="1">
        <v>45328</v>
      </c>
      <c r="D110" s="1" t="str">
        <f>PROPER(orders[[#This Row],[order_priority]])</f>
        <v>Economy</v>
      </c>
      <c r="E110" t="s">
        <v>13316</v>
      </c>
      <c r="F110" t="str">
        <f>IFERROR(INDEX(customers[country], MATCH(orders[[#This Row],[customer_id]], customers[customer_id], 0)), "Unmapped")</f>
        <v>Germany</v>
      </c>
      <c r="G110" t="str">
        <f>IFERROR(INDEX(Region_Map[Region], MATCH(orders[[#This Row],[Customer_Country]], Region_Map[Country], 0)), "Unknown")</f>
        <v>Central Europe</v>
      </c>
      <c r="H110" t="s">
        <v>6949</v>
      </c>
    </row>
    <row r="111" spans="1:8">
      <c r="A111" t="s">
        <v>1022</v>
      </c>
      <c r="B111" t="s">
        <v>291</v>
      </c>
      <c r="C111" s="1">
        <v>44930</v>
      </c>
      <c r="D111" s="1" t="str">
        <f>PROPER(orders[[#This Row],[order_priority]])</f>
        <v>Economy</v>
      </c>
      <c r="E111" t="s">
        <v>13316</v>
      </c>
      <c r="F111" t="str">
        <f>IFERROR(INDEX(customers[country], MATCH(orders[[#This Row],[customer_id]], customers[customer_id], 0)), "Unmapped")</f>
        <v>Poland</v>
      </c>
      <c r="G111" t="str">
        <f>IFERROR(INDEX(Region_Map[Region], MATCH(orders[[#This Row],[Customer_Country]], Region_Map[Country], 0)), "Unknown")</f>
        <v>Central Europe</v>
      </c>
      <c r="H111" t="s">
        <v>6949</v>
      </c>
    </row>
    <row r="112" spans="1:8">
      <c r="A112" t="s">
        <v>1023</v>
      </c>
      <c r="B112" t="s">
        <v>419</v>
      </c>
      <c r="C112" s="1">
        <v>45121</v>
      </c>
      <c r="D112" s="1" t="str">
        <f>PROPER(orders[[#This Row],[order_priority]])</f>
        <v>Standard</v>
      </c>
      <c r="E112" t="s">
        <v>13317</v>
      </c>
      <c r="F112" t="str">
        <f>IFERROR(INDEX(customers[country], MATCH(orders[[#This Row],[customer_id]], customers[customer_id], 0)), "Unmapped")</f>
        <v>Estonia</v>
      </c>
      <c r="G112" t="str">
        <f>IFERROR(INDEX(Region_Map[Region], MATCH(orders[[#This Row],[Customer_Country]], Region_Map[Country], 0)), "Unknown")</f>
        <v>Baltics</v>
      </c>
      <c r="H112" t="s">
        <v>6949</v>
      </c>
    </row>
    <row r="113" spans="1:8">
      <c r="A113" t="s">
        <v>1024</v>
      </c>
      <c r="B113" t="s">
        <v>121</v>
      </c>
      <c r="C113" s="1">
        <v>45352</v>
      </c>
      <c r="D113" s="1" t="str">
        <f>PROPER(orders[[#This Row],[order_priority]])</f>
        <v>Express</v>
      </c>
      <c r="E113" t="s">
        <v>13318</v>
      </c>
      <c r="F113" t="str">
        <f>IFERROR(INDEX(customers[country], MATCH(orders[[#This Row],[customer_id]], customers[customer_id], 0)), "Unmapped")</f>
        <v>Estonia</v>
      </c>
      <c r="G113" t="str">
        <f>IFERROR(INDEX(Region_Map[Region], MATCH(orders[[#This Row],[Customer_Country]], Region_Map[Country], 0)), "Unknown")</f>
        <v>Baltics</v>
      </c>
      <c r="H113" t="s">
        <v>6949</v>
      </c>
    </row>
    <row r="114" spans="1:8">
      <c r="A114" t="s">
        <v>1025</v>
      </c>
      <c r="B114" t="s">
        <v>437</v>
      </c>
      <c r="C114" s="1">
        <v>45396</v>
      </c>
      <c r="D114" s="1" t="str">
        <f>PROPER(orders[[#This Row],[order_priority]])</f>
        <v>Standard</v>
      </c>
      <c r="E114" t="s">
        <v>13317</v>
      </c>
      <c r="F114" t="str">
        <f>IFERROR(INDEX(customers[country], MATCH(orders[[#This Row],[customer_id]], customers[customer_id], 0)), "Unmapped")</f>
        <v>Lithuania</v>
      </c>
      <c r="G114" t="str">
        <f>IFERROR(INDEX(Region_Map[Region], MATCH(orders[[#This Row],[Customer_Country]], Region_Map[Country], 0)), "Unknown")</f>
        <v>Baltics</v>
      </c>
      <c r="H114" t="s">
        <v>6949</v>
      </c>
    </row>
    <row r="115" spans="1:8">
      <c r="A115" t="s">
        <v>1026</v>
      </c>
      <c r="B115" t="s">
        <v>828</v>
      </c>
      <c r="C115" s="1">
        <v>45424</v>
      </c>
      <c r="D115" s="1" t="str">
        <f>PROPER(orders[[#This Row],[order_priority]])</f>
        <v>Economy</v>
      </c>
      <c r="E115" t="s">
        <v>13316</v>
      </c>
      <c r="F115" t="str">
        <f>IFERROR(INDEX(customers[country], MATCH(orders[[#This Row],[customer_id]], customers[customer_id], 0)), "Unmapped")</f>
        <v>Germany</v>
      </c>
      <c r="G115" t="str">
        <f>IFERROR(INDEX(Region_Map[Region], MATCH(orders[[#This Row],[Customer_Country]], Region_Map[Country], 0)), "Unknown")</f>
        <v>Central Europe</v>
      </c>
      <c r="H115" t="s">
        <v>6949</v>
      </c>
    </row>
    <row r="116" spans="1:8">
      <c r="A116" t="s">
        <v>1027</v>
      </c>
      <c r="B116" t="s">
        <v>443</v>
      </c>
      <c r="C116" s="1">
        <v>44984</v>
      </c>
      <c r="D116" s="1" t="str">
        <f>PROPER(orders[[#This Row],[order_priority]])</f>
        <v>Express</v>
      </c>
      <c r="E116" t="s">
        <v>13318</v>
      </c>
      <c r="F116" t="str">
        <f>IFERROR(INDEX(customers[country], MATCH(orders[[#This Row],[customer_id]], customers[customer_id], 0)), "Unmapped")</f>
        <v>Estonia</v>
      </c>
      <c r="G116" t="str">
        <f>IFERROR(INDEX(Region_Map[Region], MATCH(orders[[#This Row],[Customer_Country]], Region_Map[Country], 0)), "Unknown")</f>
        <v>Baltics</v>
      </c>
      <c r="H116" t="s">
        <v>6949</v>
      </c>
    </row>
    <row r="117" spans="1:8">
      <c r="A117" t="s">
        <v>1028</v>
      </c>
      <c r="B117" t="s">
        <v>557</v>
      </c>
      <c r="C117" s="1">
        <v>45027</v>
      </c>
      <c r="D117" s="1" t="str">
        <f>PROPER(orders[[#This Row],[order_priority]])</f>
        <v>Same Day</v>
      </c>
      <c r="E117" t="s">
        <v>13322</v>
      </c>
      <c r="F117" t="str">
        <f>IFERROR(INDEX(customers[country], MATCH(orders[[#This Row],[customer_id]], customers[customer_id], 0)), "Unmapped")</f>
        <v>Norway</v>
      </c>
      <c r="G117" t="str">
        <f>IFERROR(INDEX(Region_Map[Region], MATCH(orders[[#This Row],[Customer_Country]], Region_Map[Country], 0)), "Unknown")</f>
        <v>Nordics</v>
      </c>
      <c r="H117" t="s">
        <v>6949</v>
      </c>
    </row>
    <row r="118" spans="1:8">
      <c r="A118" t="s">
        <v>1029</v>
      </c>
      <c r="B118" t="s">
        <v>509</v>
      </c>
      <c r="C118" s="1">
        <v>44941</v>
      </c>
      <c r="D118" s="1" t="str">
        <f>PROPER(orders[[#This Row],[order_priority]])</f>
        <v>Same Day</v>
      </c>
      <c r="E118" t="s">
        <v>13322</v>
      </c>
      <c r="F118" t="str">
        <f>IFERROR(INDEX(customers[country], MATCH(orders[[#This Row],[customer_id]], customers[customer_id], 0)), "Unmapped")</f>
        <v>Sweden</v>
      </c>
      <c r="G118" t="str">
        <f>IFERROR(INDEX(Region_Map[Region], MATCH(orders[[#This Row],[Customer_Country]], Region_Map[Country], 0)), "Unknown")</f>
        <v>Nordics</v>
      </c>
      <c r="H118" t="s">
        <v>6949</v>
      </c>
    </row>
    <row r="119" spans="1:8">
      <c r="A119" t="s">
        <v>1030</v>
      </c>
      <c r="B119" t="s">
        <v>264</v>
      </c>
      <c r="C119" s="1">
        <v>45016</v>
      </c>
      <c r="D119" s="1" t="str">
        <f>PROPER(orders[[#This Row],[order_priority]])</f>
        <v>Same Day</v>
      </c>
      <c r="E119" t="s">
        <v>13322</v>
      </c>
      <c r="F119" t="str">
        <f>IFERROR(INDEX(customers[country], MATCH(orders[[#This Row],[customer_id]], customers[customer_id], 0)), "Unmapped")</f>
        <v>Germany</v>
      </c>
      <c r="G119" t="str">
        <f>IFERROR(INDEX(Region_Map[Region], MATCH(orders[[#This Row],[Customer_Country]], Region_Map[Country], 0)), "Unknown")</f>
        <v>Central Europe</v>
      </c>
      <c r="H119" t="s">
        <v>6949</v>
      </c>
    </row>
    <row r="120" spans="1:8">
      <c r="A120" t="s">
        <v>1031</v>
      </c>
      <c r="B120" t="s">
        <v>255</v>
      </c>
      <c r="C120" s="1">
        <v>45418</v>
      </c>
      <c r="D120" s="1" t="str">
        <f>PROPER(orders[[#This Row],[order_priority]])</f>
        <v>Same Day</v>
      </c>
      <c r="E120" t="s">
        <v>13322</v>
      </c>
      <c r="F120" t="str">
        <f>IFERROR(INDEX(customers[country], MATCH(orders[[#This Row],[customer_id]], customers[customer_id], 0)), "Unmapped")</f>
        <v>Sweden</v>
      </c>
      <c r="G120" t="str">
        <f>IFERROR(INDEX(Region_Map[Region], MATCH(orders[[#This Row],[Customer_Country]], Region_Map[Country], 0)), "Unknown")</f>
        <v>Nordics</v>
      </c>
      <c r="H120" t="s">
        <v>6949</v>
      </c>
    </row>
    <row r="121" spans="1:8">
      <c r="A121" t="s">
        <v>1032</v>
      </c>
      <c r="B121" t="s">
        <v>362</v>
      </c>
      <c r="C121" s="1">
        <v>45344</v>
      </c>
      <c r="D121" s="1" t="str">
        <f>PROPER(orders[[#This Row],[order_priority]])</f>
        <v>Same Day</v>
      </c>
      <c r="E121" t="s">
        <v>13322</v>
      </c>
      <c r="F121" t="str">
        <f>IFERROR(INDEX(customers[country], MATCH(orders[[#This Row],[customer_id]], customers[customer_id], 0)), "Unmapped")</f>
        <v>Denmark</v>
      </c>
      <c r="G121" t="str">
        <f>IFERROR(INDEX(Region_Map[Region], MATCH(orders[[#This Row],[Customer_Country]], Region_Map[Country], 0)), "Unknown")</f>
        <v>Nordics</v>
      </c>
      <c r="H121" t="s">
        <v>6949</v>
      </c>
    </row>
    <row r="122" spans="1:8">
      <c r="A122" t="s">
        <v>1033</v>
      </c>
      <c r="B122" t="s">
        <v>294</v>
      </c>
      <c r="C122" s="1">
        <v>45107</v>
      </c>
      <c r="D122" s="1" t="str">
        <f>PROPER(orders[[#This Row],[order_priority]])</f>
        <v>Economy</v>
      </c>
      <c r="E122" t="s">
        <v>13328</v>
      </c>
      <c r="F122" t="str">
        <f>IFERROR(INDEX(customers[country], MATCH(orders[[#This Row],[customer_id]], customers[customer_id], 0)), "Unmapped")</f>
        <v>Denmark</v>
      </c>
      <c r="G122" t="str">
        <f>IFERROR(INDEX(Region_Map[Region], MATCH(orders[[#This Row],[Customer_Country]], Region_Map[Country], 0)), "Unknown")</f>
        <v>Nordics</v>
      </c>
      <c r="H122" t="s">
        <v>6949</v>
      </c>
    </row>
    <row r="123" spans="1:8">
      <c r="A123" t="s">
        <v>1034</v>
      </c>
      <c r="B123" t="s">
        <v>87</v>
      </c>
      <c r="C123" s="1">
        <v>45287</v>
      </c>
      <c r="D123" s="1" t="str">
        <f>PROPER(orders[[#This Row],[order_priority]])</f>
        <v>Economy</v>
      </c>
      <c r="E123" t="s">
        <v>13316</v>
      </c>
      <c r="F123" t="str">
        <f>IFERROR(INDEX(customers[country], MATCH(orders[[#This Row],[customer_id]], customers[customer_id], 0)), "Unmapped")</f>
        <v>Latvia</v>
      </c>
      <c r="G123" t="str">
        <f>IFERROR(INDEX(Region_Map[Region], MATCH(orders[[#This Row],[Customer_Country]], Region_Map[Country], 0)), "Unknown")</f>
        <v>Baltics</v>
      </c>
      <c r="H123" t="s">
        <v>6949</v>
      </c>
    </row>
    <row r="124" spans="1:8">
      <c r="A124" t="s">
        <v>1035</v>
      </c>
      <c r="B124" t="s">
        <v>843</v>
      </c>
      <c r="C124" s="1">
        <v>45577</v>
      </c>
      <c r="D124" s="1" t="str">
        <f>PROPER(orders[[#This Row],[order_priority]])</f>
        <v>Standard</v>
      </c>
      <c r="E124" t="s">
        <v>13317</v>
      </c>
      <c r="F124" t="str">
        <f>IFERROR(INDEX(customers[country], MATCH(orders[[#This Row],[customer_id]], customers[customer_id], 0)), "Unmapped")</f>
        <v>Netherlands</v>
      </c>
      <c r="G124" t="str">
        <f>IFERROR(INDEX(Region_Map[Region], MATCH(orders[[#This Row],[Customer_Country]], Region_Map[Country], 0)), "Unknown")</f>
        <v>Central Europe</v>
      </c>
      <c r="H124" t="s">
        <v>6949</v>
      </c>
    </row>
    <row r="125" spans="1:8">
      <c r="A125" t="s">
        <v>1036</v>
      </c>
      <c r="B125" t="s">
        <v>323</v>
      </c>
      <c r="C125" s="1">
        <v>44970</v>
      </c>
      <c r="D125" s="1" t="str">
        <f>PROPER(orders[[#This Row],[order_priority]])</f>
        <v>Standard</v>
      </c>
      <c r="E125" t="s">
        <v>13317</v>
      </c>
      <c r="F125" t="str">
        <f>IFERROR(INDEX(customers[country], MATCH(orders[[#This Row],[customer_id]], customers[customer_id], 0)), "Unmapped")</f>
        <v>Estonia</v>
      </c>
      <c r="G125" t="str">
        <f>IFERROR(INDEX(Region_Map[Region], MATCH(orders[[#This Row],[Customer_Country]], Region_Map[Country], 0)), "Unknown")</f>
        <v>Baltics</v>
      </c>
      <c r="H125" t="s">
        <v>6949</v>
      </c>
    </row>
    <row r="126" spans="1:8">
      <c r="A126" t="s">
        <v>1037</v>
      </c>
      <c r="B126" t="s">
        <v>545</v>
      </c>
      <c r="C126" s="1">
        <v>45547</v>
      </c>
      <c r="D126" s="1" t="str">
        <f>PROPER(orders[[#This Row],[order_priority]])</f>
        <v>Economy</v>
      </c>
      <c r="E126" t="s">
        <v>13316</v>
      </c>
      <c r="F126" t="str">
        <f>IFERROR(INDEX(customers[country], MATCH(orders[[#This Row],[customer_id]], customers[customer_id], 0)), "Unmapped")</f>
        <v>Netherlands</v>
      </c>
      <c r="G126" t="str">
        <f>IFERROR(INDEX(Region_Map[Region], MATCH(orders[[#This Row],[Customer_Country]], Region_Map[Country], 0)), "Unknown")</f>
        <v>Central Europe</v>
      </c>
      <c r="H126" t="s">
        <v>6949</v>
      </c>
    </row>
    <row r="127" spans="1:8">
      <c r="A127" t="s">
        <v>1038</v>
      </c>
      <c r="B127" t="s">
        <v>80</v>
      </c>
      <c r="C127" s="1">
        <v>45008</v>
      </c>
      <c r="D127" s="1" t="str">
        <f>PROPER(orders[[#This Row],[order_priority]])</f>
        <v>Same Day</v>
      </c>
      <c r="E127" t="s">
        <v>13324</v>
      </c>
      <c r="F127" t="str">
        <f>IFERROR(INDEX(customers[country], MATCH(orders[[#This Row],[customer_id]], customers[customer_id], 0)), "Unmapped")</f>
        <v>Finland</v>
      </c>
      <c r="G127" t="str">
        <f>IFERROR(INDEX(Region_Map[Region], MATCH(orders[[#This Row],[Customer_Country]], Region_Map[Country], 0)), "Unknown")</f>
        <v>Nordics</v>
      </c>
      <c r="H127" t="s">
        <v>6949</v>
      </c>
    </row>
    <row r="128" spans="1:8">
      <c r="A128" t="s">
        <v>1039</v>
      </c>
      <c r="B128" t="s">
        <v>228</v>
      </c>
      <c r="C128" s="1">
        <v>45518</v>
      </c>
      <c r="D128" s="1" t="str">
        <f>PROPER(orders[[#This Row],[order_priority]])</f>
        <v>Standard</v>
      </c>
      <c r="E128" t="s">
        <v>13317</v>
      </c>
      <c r="F128" t="str">
        <f>IFERROR(INDEX(customers[country], MATCH(orders[[#This Row],[customer_id]], customers[customer_id], 0)), "Unmapped")</f>
        <v>Latvia</v>
      </c>
      <c r="G128" t="str">
        <f>IFERROR(INDEX(Region_Map[Region], MATCH(orders[[#This Row],[Customer_Country]], Region_Map[Country], 0)), "Unknown")</f>
        <v>Baltics</v>
      </c>
      <c r="H128" t="s">
        <v>6949</v>
      </c>
    </row>
    <row r="129" spans="1:8">
      <c r="A129" t="s">
        <v>1040</v>
      </c>
      <c r="B129" t="s">
        <v>240</v>
      </c>
      <c r="C129" s="1">
        <v>45258</v>
      </c>
      <c r="D129" s="1" t="str">
        <f>PROPER(orders[[#This Row],[order_priority]])</f>
        <v>Same Day</v>
      </c>
      <c r="E129" t="s">
        <v>13322</v>
      </c>
      <c r="F129" t="str">
        <f>IFERROR(INDEX(customers[country], MATCH(orders[[#This Row],[customer_id]], customers[customer_id], 0)), "Unmapped")</f>
        <v>Lithuania</v>
      </c>
      <c r="G129" t="str">
        <f>IFERROR(INDEX(Region_Map[Region], MATCH(orders[[#This Row],[Customer_Country]], Region_Map[Country], 0)), "Unknown")</f>
        <v>Baltics</v>
      </c>
      <c r="H129" t="s">
        <v>6949</v>
      </c>
    </row>
    <row r="130" spans="1:8">
      <c r="A130" t="s">
        <v>1041</v>
      </c>
      <c r="B130" t="s">
        <v>359</v>
      </c>
      <c r="C130" s="1">
        <v>45550</v>
      </c>
      <c r="D130" s="1" t="str">
        <f>PROPER(orders[[#This Row],[order_priority]])</f>
        <v>Same Day</v>
      </c>
      <c r="E130" t="s">
        <v>13322</v>
      </c>
      <c r="F130" t="str">
        <f>IFERROR(INDEX(customers[country], MATCH(orders[[#This Row],[customer_id]], customers[customer_id], 0)), "Unmapped")</f>
        <v>Estonia</v>
      </c>
      <c r="G130" t="str">
        <f>IFERROR(INDEX(Region_Map[Region], MATCH(orders[[#This Row],[Customer_Country]], Region_Map[Country], 0)), "Unknown")</f>
        <v>Baltics</v>
      </c>
      <c r="H130" t="s">
        <v>6949</v>
      </c>
    </row>
    <row r="131" spans="1:8">
      <c r="A131" t="s">
        <v>1042</v>
      </c>
      <c r="B131" t="s">
        <v>288</v>
      </c>
      <c r="C131" s="1">
        <v>45023</v>
      </c>
      <c r="D131" s="1" t="str">
        <f>PROPER(orders[[#This Row],[order_priority]])</f>
        <v>Same Day</v>
      </c>
      <c r="E131" t="s">
        <v>13322</v>
      </c>
      <c r="F131" t="str">
        <f>IFERROR(INDEX(customers[country], MATCH(orders[[#This Row],[customer_id]], customers[customer_id], 0)), "Unmapped")</f>
        <v>Netherlands</v>
      </c>
      <c r="G131" t="str">
        <f>IFERROR(INDEX(Region_Map[Region], MATCH(orders[[#This Row],[Customer_Country]], Region_Map[Country], 0)), "Unknown")</f>
        <v>Central Europe</v>
      </c>
      <c r="H131" t="s">
        <v>6949</v>
      </c>
    </row>
    <row r="132" spans="1:8">
      <c r="A132" t="s">
        <v>1043</v>
      </c>
      <c r="B132" t="s">
        <v>626</v>
      </c>
      <c r="C132" s="1">
        <v>45303</v>
      </c>
      <c r="D132" s="1" t="str">
        <f>PROPER(orders[[#This Row],[order_priority]])</f>
        <v>Express</v>
      </c>
      <c r="E132" t="s">
        <v>13326</v>
      </c>
      <c r="F132" t="str">
        <f>IFERROR(INDEX(customers[country], MATCH(orders[[#This Row],[customer_id]], customers[customer_id], 0)), "Unmapped")</f>
        <v>Denmark</v>
      </c>
      <c r="G132" t="str">
        <f>IFERROR(INDEX(Region_Map[Region], MATCH(orders[[#This Row],[Customer_Country]], Region_Map[Country], 0)), "Unknown")</f>
        <v>Nordics</v>
      </c>
      <c r="H132" t="s">
        <v>6949</v>
      </c>
    </row>
    <row r="133" spans="1:8">
      <c r="A133" t="s">
        <v>1044</v>
      </c>
      <c r="B133" t="s">
        <v>873</v>
      </c>
      <c r="C133" s="1">
        <v>45425</v>
      </c>
      <c r="D133" s="1" t="str">
        <f>PROPER(orders[[#This Row],[order_priority]])</f>
        <v>Economy</v>
      </c>
      <c r="E133" t="s">
        <v>13316</v>
      </c>
      <c r="F133" t="str">
        <f>IFERROR(INDEX(customers[country], MATCH(orders[[#This Row],[customer_id]], customers[customer_id], 0)), "Unmapped")</f>
        <v>Estonia</v>
      </c>
      <c r="G133" t="str">
        <f>IFERROR(INDEX(Region_Map[Region], MATCH(orders[[#This Row],[Customer_Country]], Region_Map[Country], 0)), "Unknown")</f>
        <v>Baltics</v>
      </c>
      <c r="H133" t="s">
        <v>6949</v>
      </c>
    </row>
    <row r="134" spans="1:8">
      <c r="A134" t="s">
        <v>1045</v>
      </c>
      <c r="B134" t="s">
        <v>596</v>
      </c>
      <c r="C134" s="1">
        <v>45016</v>
      </c>
      <c r="D134" s="1" t="str">
        <f>PROPER(orders[[#This Row],[order_priority]])</f>
        <v>Express</v>
      </c>
      <c r="E134" t="s">
        <v>13318</v>
      </c>
      <c r="F134" t="str">
        <f>IFERROR(INDEX(customers[country], MATCH(orders[[#This Row],[customer_id]], customers[customer_id], 0)), "Unmapped")</f>
        <v>Lithuania</v>
      </c>
      <c r="G134" t="str">
        <f>IFERROR(INDEX(Region_Map[Region], MATCH(orders[[#This Row],[Customer_Country]], Region_Map[Country], 0)), "Unknown")</f>
        <v>Baltics</v>
      </c>
      <c r="H134" t="s">
        <v>6949</v>
      </c>
    </row>
    <row r="135" spans="1:8">
      <c r="A135" t="s">
        <v>1046</v>
      </c>
      <c r="B135" t="s">
        <v>243</v>
      </c>
      <c r="C135" s="1">
        <v>45226</v>
      </c>
      <c r="D135" s="1" t="str">
        <f>PROPER(orders[[#This Row],[order_priority]])</f>
        <v>Same Day</v>
      </c>
      <c r="E135" t="s">
        <v>13322</v>
      </c>
      <c r="F135" t="str">
        <f>IFERROR(INDEX(customers[country], MATCH(orders[[#This Row],[customer_id]], customers[customer_id], 0)), "Unmapped")</f>
        <v>Netherlands</v>
      </c>
      <c r="G135" t="str">
        <f>IFERROR(INDEX(Region_Map[Region], MATCH(orders[[#This Row],[Customer_Country]], Region_Map[Country], 0)), "Unknown")</f>
        <v>Central Europe</v>
      </c>
      <c r="H135" t="s">
        <v>6949</v>
      </c>
    </row>
    <row r="136" spans="1:8">
      <c r="A136" t="s">
        <v>1047</v>
      </c>
      <c r="B136" t="s">
        <v>793</v>
      </c>
      <c r="C136" s="1">
        <v>45427</v>
      </c>
      <c r="D136" s="1" t="str">
        <f>PROPER(orders[[#This Row],[order_priority]])</f>
        <v>Same Day</v>
      </c>
      <c r="E136" t="s">
        <v>13322</v>
      </c>
      <c r="F136" t="str">
        <f>IFERROR(INDEX(customers[country], MATCH(orders[[#This Row],[customer_id]], customers[customer_id], 0)), "Unmapped")</f>
        <v>Sweden</v>
      </c>
      <c r="G136" t="str">
        <f>IFERROR(INDEX(Region_Map[Region], MATCH(orders[[#This Row],[Customer_Country]], Region_Map[Country], 0)), "Unknown")</f>
        <v>Nordics</v>
      </c>
      <c r="H136" t="s">
        <v>6949</v>
      </c>
    </row>
    <row r="137" spans="1:8">
      <c r="A137" t="s">
        <v>1048</v>
      </c>
      <c r="B137" t="s">
        <v>837</v>
      </c>
      <c r="C137" s="1">
        <v>45094</v>
      </c>
      <c r="D137" s="1" t="str">
        <f>PROPER(orders[[#This Row],[order_priority]])</f>
        <v>Standard</v>
      </c>
      <c r="E137" t="s">
        <v>13317</v>
      </c>
      <c r="F137" t="str">
        <f>IFERROR(INDEX(customers[country], MATCH(orders[[#This Row],[customer_id]], customers[customer_id], 0)), "Unmapped")</f>
        <v>Poland</v>
      </c>
      <c r="G137" t="str">
        <f>IFERROR(INDEX(Region_Map[Region], MATCH(orders[[#This Row],[Customer_Country]], Region_Map[Country], 0)), "Unknown")</f>
        <v>Central Europe</v>
      </c>
      <c r="H137" t="s">
        <v>6949</v>
      </c>
    </row>
    <row r="138" spans="1:8">
      <c r="A138" t="s">
        <v>1049</v>
      </c>
      <c r="B138" t="s">
        <v>894</v>
      </c>
      <c r="C138" s="1">
        <v>45088</v>
      </c>
      <c r="D138" s="1" t="str">
        <f>PROPER(orders[[#This Row],[order_priority]])</f>
        <v>Express</v>
      </c>
      <c r="E138" t="s">
        <v>13318</v>
      </c>
      <c r="F138" t="str">
        <f>IFERROR(INDEX(customers[country], MATCH(orders[[#This Row],[customer_id]], customers[customer_id], 0)), "Unmapped")</f>
        <v>Poland</v>
      </c>
      <c r="G138" t="str">
        <f>IFERROR(INDEX(Region_Map[Region], MATCH(orders[[#This Row],[Customer_Country]], Region_Map[Country], 0)), "Unknown")</f>
        <v>Central Europe</v>
      </c>
      <c r="H138" t="s">
        <v>6949</v>
      </c>
    </row>
    <row r="139" spans="1:8">
      <c r="A139" t="s">
        <v>1050</v>
      </c>
      <c r="B139" t="s">
        <v>539</v>
      </c>
      <c r="C139" s="1">
        <v>45189</v>
      </c>
      <c r="D139" s="1" t="str">
        <f>PROPER(orders[[#This Row],[order_priority]])</f>
        <v>Economy</v>
      </c>
      <c r="E139" t="s">
        <v>13328</v>
      </c>
      <c r="F139" t="str">
        <f>IFERROR(INDEX(customers[country], MATCH(orders[[#This Row],[customer_id]], customers[customer_id], 0)), "Unmapped")</f>
        <v>Sweden</v>
      </c>
      <c r="G139" t="str">
        <f>IFERROR(INDEX(Region_Map[Region], MATCH(orders[[#This Row],[Customer_Country]], Region_Map[Country], 0)), "Unknown")</f>
        <v>Nordics</v>
      </c>
      <c r="H139" t="s">
        <v>6949</v>
      </c>
    </row>
    <row r="140" spans="1:8">
      <c r="A140" t="s">
        <v>1051</v>
      </c>
      <c r="B140" t="s">
        <v>332</v>
      </c>
      <c r="C140" s="1">
        <v>45134</v>
      </c>
      <c r="D140" s="1" t="str">
        <f>PROPER(orders[[#This Row],[order_priority]])</f>
        <v>Economy</v>
      </c>
      <c r="E140" t="s">
        <v>13316</v>
      </c>
      <c r="F140" t="str">
        <f>IFERROR(INDEX(customers[country], MATCH(orders[[#This Row],[customer_id]], customers[customer_id], 0)), "Unmapped")</f>
        <v>Lithuania</v>
      </c>
      <c r="G140" t="str">
        <f>IFERROR(INDEX(Region_Map[Region], MATCH(orders[[#This Row],[Customer_Country]], Region_Map[Country], 0)), "Unknown")</f>
        <v>Baltics</v>
      </c>
      <c r="H140" t="s">
        <v>6949</v>
      </c>
    </row>
    <row r="141" spans="1:8">
      <c r="A141" t="s">
        <v>1052</v>
      </c>
      <c r="B141" t="s">
        <v>80</v>
      </c>
      <c r="C141" s="1">
        <v>45174</v>
      </c>
      <c r="D141" s="1" t="str">
        <f>PROPER(orders[[#This Row],[order_priority]])</f>
        <v>Express</v>
      </c>
      <c r="E141" t="s">
        <v>13318</v>
      </c>
      <c r="F141" t="str">
        <f>IFERROR(INDEX(customers[country], MATCH(orders[[#This Row],[customer_id]], customers[customer_id], 0)), "Unmapped")</f>
        <v>Finland</v>
      </c>
      <c r="G141" t="str">
        <f>IFERROR(INDEX(Region_Map[Region], MATCH(orders[[#This Row],[Customer_Country]], Region_Map[Country], 0)), "Unknown")</f>
        <v>Nordics</v>
      </c>
      <c r="H141" t="s">
        <v>6949</v>
      </c>
    </row>
    <row r="142" spans="1:8">
      <c r="A142" t="s">
        <v>1053</v>
      </c>
      <c r="B142" t="s">
        <v>808</v>
      </c>
      <c r="C142" s="1">
        <v>45564</v>
      </c>
      <c r="D142" s="1" t="str">
        <f>PROPER(orders[[#This Row],[order_priority]])</f>
        <v>Same Day</v>
      </c>
      <c r="E142" t="s">
        <v>13322</v>
      </c>
      <c r="F142" t="str">
        <f>IFERROR(INDEX(customers[country], MATCH(orders[[#This Row],[customer_id]], customers[customer_id], 0)), "Unmapped")</f>
        <v>Sweden</v>
      </c>
      <c r="G142" t="str">
        <f>IFERROR(INDEX(Region_Map[Region], MATCH(orders[[#This Row],[Customer_Country]], Region_Map[Country], 0)), "Unknown")</f>
        <v>Nordics</v>
      </c>
      <c r="H142" t="s">
        <v>6949</v>
      </c>
    </row>
    <row r="143" spans="1:8">
      <c r="A143" t="s">
        <v>1054</v>
      </c>
      <c r="B143" t="s">
        <v>650</v>
      </c>
      <c r="C143" s="1">
        <v>45301</v>
      </c>
      <c r="D143" s="1" t="str">
        <f>PROPER(orders[[#This Row],[order_priority]])</f>
        <v>Standard</v>
      </c>
      <c r="E143" t="s">
        <v>13317</v>
      </c>
      <c r="F143" t="str">
        <f>IFERROR(INDEX(customers[country], MATCH(orders[[#This Row],[customer_id]], customers[customer_id], 0)), "Unmapped")</f>
        <v>Poland</v>
      </c>
      <c r="G143" t="str">
        <f>IFERROR(INDEX(Region_Map[Region], MATCH(orders[[#This Row],[Customer_Country]], Region_Map[Country], 0)), "Unknown")</f>
        <v>Central Europe</v>
      </c>
      <c r="H143" t="s">
        <v>6949</v>
      </c>
    </row>
    <row r="144" spans="1:8">
      <c r="A144" t="s">
        <v>1055</v>
      </c>
      <c r="B144" t="s">
        <v>422</v>
      </c>
      <c r="C144" s="1">
        <v>45416</v>
      </c>
      <c r="D144" s="1" t="str">
        <f>PROPER(orders[[#This Row],[order_priority]])</f>
        <v>Same Day</v>
      </c>
      <c r="E144" t="s">
        <v>13322</v>
      </c>
      <c r="F144" t="str">
        <f>IFERROR(INDEX(customers[country], MATCH(orders[[#This Row],[customer_id]], customers[customer_id], 0)), "Unmapped")</f>
        <v>Germany</v>
      </c>
      <c r="G144" t="str">
        <f>IFERROR(INDEX(Region_Map[Region], MATCH(orders[[#This Row],[Customer_Country]], Region_Map[Country], 0)), "Unknown")</f>
        <v>Central Europe</v>
      </c>
      <c r="H144" t="s">
        <v>6949</v>
      </c>
    </row>
    <row r="145" spans="1:8">
      <c r="A145" t="s">
        <v>1056</v>
      </c>
      <c r="B145" t="s">
        <v>572</v>
      </c>
      <c r="C145" s="1">
        <v>45532</v>
      </c>
      <c r="D145" s="1" t="str">
        <f>PROPER(orders[[#This Row],[order_priority]])</f>
        <v>Economy</v>
      </c>
      <c r="E145" t="s">
        <v>13316</v>
      </c>
      <c r="F145" t="str">
        <f>IFERROR(INDEX(customers[country], MATCH(orders[[#This Row],[customer_id]], customers[customer_id], 0)), "Unmapped")</f>
        <v>Germany</v>
      </c>
      <c r="G145" t="str">
        <f>IFERROR(INDEX(Region_Map[Region], MATCH(orders[[#This Row],[Customer_Country]], Region_Map[Country], 0)), "Unknown")</f>
        <v>Central Europe</v>
      </c>
      <c r="H145" t="s">
        <v>6949</v>
      </c>
    </row>
    <row r="146" spans="1:8">
      <c r="A146" t="s">
        <v>1057</v>
      </c>
      <c r="B146" t="s">
        <v>641</v>
      </c>
      <c r="C146" s="1">
        <v>45022</v>
      </c>
      <c r="D146" s="1" t="str">
        <f>PROPER(orders[[#This Row],[order_priority]])</f>
        <v>Economy</v>
      </c>
      <c r="E146" t="s">
        <v>13325</v>
      </c>
      <c r="F146" t="str">
        <f>IFERROR(INDEX(customers[country], MATCH(orders[[#This Row],[customer_id]], customers[customer_id], 0)), "Unmapped")</f>
        <v>Poland</v>
      </c>
      <c r="G146" t="str">
        <f>IFERROR(INDEX(Region_Map[Region], MATCH(orders[[#This Row],[Customer_Country]], Region_Map[Country], 0)), "Unknown")</f>
        <v>Central Europe</v>
      </c>
      <c r="H146" t="s">
        <v>6949</v>
      </c>
    </row>
    <row r="147" spans="1:8">
      <c r="A147" t="s">
        <v>1058</v>
      </c>
      <c r="B147" t="s">
        <v>623</v>
      </c>
      <c r="C147" s="1">
        <v>45378</v>
      </c>
      <c r="D147" s="1" t="str">
        <f>PROPER(orders[[#This Row],[order_priority]])</f>
        <v>Express</v>
      </c>
      <c r="E147" t="s">
        <v>13318</v>
      </c>
      <c r="F147" t="str">
        <f>IFERROR(INDEX(customers[country], MATCH(orders[[#This Row],[customer_id]], customers[customer_id], 0)), "Unmapped")</f>
        <v>Denmark</v>
      </c>
      <c r="G147" t="str">
        <f>IFERROR(INDEX(Region_Map[Region], MATCH(orders[[#This Row],[Customer_Country]], Region_Map[Country], 0)), "Unknown")</f>
        <v>Nordics</v>
      </c>
      <c r="H147" t="s">
        <v>6949</v>
      </c>
    </row>
    <row r="148" spans="1:8">
      <c r="A148" t="s">
        <v>1059</v>
      </c>
      <c r="B148" t="s">
        <v>335</v>
      </c>
      <c r="C148" s="1">
        <v>45257</v>
      </c>
      <c r="D148" s="1" t="str">
        <f>PROPER(orders[[#This Row],[order_priority]])</f>
        <v>Same Day</v>
      </c>
      <c r="E148" t="s">
        <v>13322</v>
      </c>
      <c r="F148" t="str">
        <f>IFERROR(INDEX(customers[country], MATCH(orders[[#This Row],[customer_id]], customers[customer_id], 0)), "Unmapped")</f>
        <v>Denmark</v>
      </c>
      <c r="G148" t="str">
        <f>IFERROR(INDEX(Region_Map[Region], MATCH(orders[[#This Row],[Customer_Country]], Region_Map[Country], 0)), "Unknown")</f>
        <v>Nordics</v>
      </c>
      <c r="H148" t="s">
        <v>6949</v>
      </c>
    </row>
    <row r="149" spans="1:8">
      <c r="A149" t="s">
        <v>1060</v>
      </c>
      <c r="B149" t="s">
        <v>231</v>
      </c>
      <c r="C149" s="1">
        <v>45018</v>
      </c>
      <c r="D149" s="1" t="str">
        <f>PROPER(orders[[#This Row],[order_priority]])</f>
        <v>Economy</v>
      </c>
      <c r="E149" t="s">
        <v>13316</v>
      </c>
      <c r="F149" t="str">
        <f>IFERROR(INDEX(customers[country], MATCH(orders[[#This Row],[customer_id]], customers[customer_id], 0)), "Unmapped")</f>
        <v>Lithuania</v>
      </c>
      <c r="G149" t="str">
        <f>IFERROR(INDEX(Region_Map[Region], MATCH(orders[[#This Row],[Customer_Country]], Region_Map[Country], 0)), "Unknown")</f>
        <v>Baltics</v>
      </c>
      <c r="H149" t="s">
        <v>6949</v>
      </c>
    </row>
    <row r="150" spans="1:8">
      <c r="A150" t="s">
        <v>1061</v>
      </c>
      <c r="B150" t="s">
        <v>204</v>
      </c>
      <c r="C150" s="1">
        <v>45184</v>
      </c>
      <c r="D150" s="1" t="str">
        <f>PROPER(orders[[#This Row],[order_priority]])</f>
        <v>Economy</v>
      </c>
      <c r="E150" t="s">
        <v>13316</v>
      </c>
      <c r="F150" t="str">
        <f>IFERROR(INDEX(customers[country], MATCH(orders[[#This Row],[customer_id]], customers[customer_id], 0)), "Unmapped")</f>
        <v>Sweden</v>
      </c>
      <c r="G150" t="str">
        <f>IFERROR(INDEX(Region_Map[Region], MATCH(orders[[#This Row],[Customer_Country]], Region_Map[Country], 0)), "Unknown")</f>
        <v>Nordics</v>
      </c>
      <c r="H150" t="s">
        <v>6949</v>
      </c>
    </row>
    <row r="151" spans="1:8">
      <c r="A151" t="s">
        <v>1062</v>
      </c>
      <c r="B151" t="s">
        <v>879</v>
      </c>
      <c r="C151" s="1">
        <v>45577</v>
      </c>
      <c r="D151" s="1" t="str">
        <f>PROPER(orders[[#This Row],[order_priority]])</f>
        <v>Standard</v>
      </c>
      <c r="E151" t="s">
        <v>13317</v>
      </c>
      <c r="F151" t="str">
        <f>IFERROR(INDEX(customers[country], MATCH(orders[[#This Row],[customer_id]], customers[customer_id], 0)), "Unmapped")</f>
        <v>Norway</v>
      </c>
      <c r="G151" t="str">
        <f>IFERROR(INDEX(Region_Map[Region], MATCH(orders[[#This Row],[Customer_Country]], Region_Map[Country], 0)), "Unknown")</f>
        <v>Nordics</v>
      </c>
      <c r="H151" t="s">
        <v>6949</v>
      </c>
    </row>
    <row r="152" spans="1:8">
      <c r="A152" t="s">
        <v>1063</v>
      </c>
      <c r="B152" t="s">
        <v>834</v>
      </c>
      <c r="C152" s="1">
        <v>45436</v>
      </c>
      <c r="D152" s="1" t="str">
        <f>PROPER(orders[[#This Row],[order_priority]])</f>
        <v>Express</v>
      </c>
      <c r="E152" t="s">
        <v>13318</v>
      </c>
      <c r="F152" t="str">
        <f>IFERROR(INDEX(customers[country], MATCH(orders[[#This Row],[customer_id]], customers[customer_id], 0)), "Unmapped")</f>
        <v>Denmark</v>
      </c>
      <c r="G152" t="str">
        <f>IFERROR(INDEX(Region_Map[Region], MATCH(orders[[#This Row],[Customer_Country]], Region_Map[Country], 0)), "Unknown")</f>
        <v>Nordics</v>
      </c>
      <c r="H152" t="s">
        <v>6949</v>
      </c>
    </row>
    <row r="153" spans="1:8">
      <c r="A153" t="s">
        <v>1064</v>
      </c>
      <c r="B153" t="s">
        <v>620</v>
      </c>
      <c r="C153" s="1">
        <v>45418</v>
      </c>
      <c r="D153" s="1" t="str">
        <f>PROPER(orders[[#This Row],[order_priority]])</f>
        <v>Express</v>
      </c>
      <c r="E153" t="s">
        <v>13318</v>
      </c>
      <c r="F153" t="str">
        <f>IFERROR(INDEX(customers[country], MATCH(orders[[#This Row],[customer_id]], customers[customer_id], 0)), "Unmapped")</f>
        <v>Latvia</v>
      </c>
      <c r="G153" t="str">
        <f>IFERROR(INDEX(Region_Map[Region], MATCH(orders[[#This Row],[Customer_Country]], Region_Map[Country], 0)), "Unknown")</f>
        <v>Baltics</v>
      </c>
      <c r="H153" t="s">
        <v>6949</v>
      </c>
    </row>
    <row r="154" spans="1:8">
      <c r="A154" t="s">
        <v>1065</v>
      </c>
      <c r="B154" t="s">
        <v>234</v>
      </c>
      <c r="C154" s="1">
        <v>45430</v>
      </c>
      <c r="D154" s="1" t="str">
        <f>PROPER(orders[[#This Row],[order_priority]])</f>
        <v>Express</v>
      </c>
      <c r="E154" t="s">
        <v>13318</v>
      </c>
      <c r="F154" t="str">
        <f>IFERROR(INDEX(customers[country], MATCH(orders[[#This Row],[customer_id]], customers[customer_id], 0)), "Unmapped")</f>
        <v>Finland</v>
      </c>
      <c r="G154" t="str">
        <f>IFERROR(INDEX(Region_Map[Region], MATCH(orders[[#This Row],[Customer_Country]], Region_Map[Country], 0)), "Unknown")</f>
        <v>Nordics</v>
      </c>
      <c r="H154" t="s">
        <v>6949</v>
      </c>
    </row>
    <row r="155" spans="1:8">
      <c r="A155" t="s">
        <v>1066</v>
      </c>
      <c r="B155" t="s">
        <v>700</v>
      </c>
      <c r="C155" s="1">
        <v>45488</v>
      </c>
      <c r="D155" s="1" t="str">
        <f>PROPER(orders[[#This Row],[order_priority]])</f>
        <v>Standard</v>
      </c>
      <c r="E155" t="s">
        <v>13317</v>
      </c>
      <c r="F155" t="str">
        <f>IFERROR(INDEX(customers[country], MATCH(orders[[#This Row],[customer_id]], customers[customer_id], 0)), "Unmapped")</f>
        <v>Germany</v>
      </c>
      <c r="G155" t="str">
        <f>IFERROR(INDEX(Region_Map[Region], MATCH(orders[[#This Row],[Customer_Country]], Region_Map[Country], 0)), "Unknown")</f>
        <v>Central Europe</v>
      </c>
      <c r="H155" t="s">
        <v>6949</v>
      </c>
    </row>
    <row r="156" spans="1:8">
      <c r="A156" t="s">
        <v>1067</v>
      </c>
      <c r="B156" t="s">
        <v>766</v>
      </c>
      <c r="C156" s="1">
        <v>45308</v>
      </c>
      <c r="D156" s="1" t="str">
        <f>PROPER(orders[[#This Row],[order_priority]])</f>
        <v>Economy</v>
      </c>
      <c r="E156" t="s">
        <v>13316</v>
      </c>
      <c r="F156" t="str">
        <f>IFERROR(INDEX(customers[country], MATCH(orders[[#This Row],[customer_id]], customers[customer_id], 0)), "Unmapped")</f>
        <v>Germany</v>
      </c>
      <c r="G156" t="str">
        <f>IFERROR(INDEX(Region_Map[Region], MATCH(orders[[#This Row],[Customer_Country]], Region_Map[Country], 0)), "Unknown")</f>
        <v>Central Europe</v>
      </c>
      <c r="H156" t="s">
        <v>6949</v>
      </c>
    </row>
    <row r="157" spans="1:8">
      <c r="A157" t="s">
        <v>1068</v>
      </c>
      <c r="B157" t="s">
        <v>207</v>
      </c>
      <c r="C157" s="1">
        <v>45174</v>
      </c>
      <c r="D157" s="1" t="str">
        <f>PROPER(orders[[#This Row],[order_priority]])</f>
        <v>Same Day</v>
      </c>
      <c r="E157" t="s">
        <v>13322</v>
      </c>
      <c r="F157" t="str">
        <f>IFERROR(INDEX(customers[country], MATCH(orders[[#This Row],[customer_id]], customers[customer_id], 0)), "Unmapped")</f>
        <v>Poland</v>
      </c>
      <c r="G157" t="str">
        <f>IFERROR(INDEX(Region_Map[Region], MATCH(orders[[#This Row],[Customer_Country]], Region_Map[Country], 0)), "Unknown")</f>
        <v>Central Europe</v>
      </c>
      <c r="H157" t="s">
        <v>6949</v>
      </c>
    </row>
    <row r="158" spans="1:8">
      <c r="A158" t="s">
        <v>1069</v>
      </c>
      <c r="B158" t="s">
        <v>491</v>
      </c>
      <c r="C158" s="1">
        <v>45567</v>
      </c>
      <c r="D158" s="1" t="str">
        <f>PROPER(orders[[#This Row],[order_priority]])</f>
        <v>Same Day</v>
      </c>
      <c r="E158" t="s">
        <v>13322</v>
      </c>
      <c r="F158" t="str">
        <f>IFERROR(INDEX(customers[country], MATCH(orders[[#This Row],[customer_id]], customers[customer_id], 0)), "Unmapped")</f>
        <v>Latvia</v>
      </c>
      <c r="G158" t="str">
        <f>IFERROR(INDEX(Region_Map[Region], MATCH(orders[[#This Row],[Customer_Country]], Region_Map[Country], 0)), "Unknown")</f>
        <v>Baltics</v>
      </c>
      <c r="H158" t="s">
        <v>6949</v>
      </c>
    </row>
    <row r="159" spans="1:8">
      <c r="A159" t="s">
        <v>1070</v>
      </c>
      <c r="B159" t="s">
        <v>267</v>
      </c>
      <c r="C159" s="1">
        <v>45428</v>
      </c>
      <c r="D159" s="1" t="str">
        <f>PROPER(orders[[#This Row],[order_priority]])</f>
        <v>Express</v>
      </c>
      <c r="E159" t="s">
        <v>13318</v>
      </c>
      <c r="F159" t="str">
        <f>IFERROR(INDEX(customers[country], MATCH(orders[[#This Row],[customer_id]], customers[customer_id], 0)), "Unmapped")</f>
        <v>Norway</v>
      </c>
      <c r="G159" t="str">
        <f>IFERROR(INDEX(Region_Map[Region], MATCH(orders[[#This Row],[Customer_Country]], Region_Map[Country], 0)), "Unknown")</f>
        <v>Nordics</v>
      </c>
      <c r="H159" t="s">
        <v>6949</v>
      </c>
    </row>
    <row r="160" spans="1:8">
      <c r="A160" t="s">
        <v>1071</v>
      </c>
      <c r="B160" t="s">
        <v>793</v>
      </c>
      <c r="C160" s="1">
        <v>45250</v>
      </c>
      <c r="D160" s="1" t="str">
        <f>PROPER(orders[[#This Row],[order_priority]])</f>
        <v>Standard</v>
      </c>
      <c r="E160" t="s">
        <v>13317</v>
      </c>
      <c r="F160" t="str">
        <f>IFERROR(INDEX(customers[country], MATCH(orders[[#This Row],[customer_id]], customers[customer_id], 0)), "Unmapped")</f>
        <v>Sweden</v>
      </c>
      <c r="G160" t="str">
        <f>IFERROR(INDEX(Region_Map[Region], MATCH(orders[[#This Row],[Customer_Country]], Region_Map[Country], 0)), "Unknown")</f>
        <v>Nordics</v>
      </c>
      <c r="H160" t="s">
        <v>6949</v>
      </c>
    </row>
    <row r="161" spans="1:8">
      <c r="A161" t="s">
        <v>1072</v>
      </c>
      <c r="B161" t="s">
        <v>746</v>
      </c>
      <c r="C161" s="1">
        <v>45463</v>
      </c>
      <c r="D161" s="1" t="str">
        <f>PROPER(orders[[#This Row],[order_priority]])</f>
        <v>Economy</v>
      </c>
      <c r="E161" t="s">
        <v>13316</v>
      </c>
      <c r="F161" t="str">
        <f>IFERROR(INDEX(customers[country], MATCH(orders[[#This Row],[customer_id]], customers[customer_id], 0)), "Unmapped")</f>
        <v>Poland</v>
      </c>
      <c r="G161" t="str">
        <f>IFERROR(INDEX(Region_Map[Region], MATCH(orders[[#This Row],[Customer_Country]], Region_Map[Country], 0)), "Unknown")</f>
        <v>Central Europe</v>
      </c>
      <c r="H161" t="s">
        <v>6949</v>
      </c>
    </row>
    <row r="162" spans="1:8">
      <c r="A162" t="s">
        <v>1073</v>
      </c>
      <c r="B162" t="s">
        <v>715</v>
      </c>
      <c r="C162" s="1">
        <v>45442</v>
      </c>
      <c r="D162" s="1" t="str">
        <f>PROPER(orders[[#This Row],[order_priority]])</f>
        <v>Economy</v>
      </c>
      <c r="E162" t="s">
        <v>13316</v>
      </c>
      <c r="F162" t="str">
        <f>IFERROR(INDEX(customers[country], MATCH(orders[[#This Row],[customer_id]], customers[customer_id], 0)), "Unmapped")</f>
        <v>Netherlands</v>
      </c>
      <c r="G162" t="str">
        <f>IFERROR(INDEX(Region_Map[Region], MATCH(orders[[#This Row],[Customer_Country]], Region_Map[Country], 0)), "Unknown")</f>
        <v>Central Europe</v>
      </c>
      <c r="H162" t="s">
        <v>6949</v>
      </c>
    </row>
    <row r="163" spans="1:8">
      <c r="A163" t="s">
        <v>1074</v>
      </c>
      <c r="B163" t="s">
        <v>758</v>
      </c>
      <c r="C163" s="1">
        <v>44992</v>
      </c>
      <c r="D163" s="1" t="str">
        <f>PROPER(orders[[#This Row],[order_priority]])</f>
        <v>Economy</v>
      </c>
      <c r="E163" t="s">
        <v>13328</v>
      </c>
      <c r="F163" t="str">
        <f>IFERROR(INDEX(customers[country], MATCH(orders[[#This Row],[customer_id]], customers[customer_id], 0)), "Unmapped")</f>
        <v>Estonia</v>
      </c>
      <c r="G163" t="str">
        <f>IFERROR(INDEX(Region_Map[Region], MATCH(orders[[#This Row],[Customer_Country]], Region_Map[Country], 0)), "Unknown")</f>
        <v>Baltics</v>
      </c>
      <c r="H163" t="s">
        <v>6949</v>
      </c>
    </row>
    <row r="164" spans="1:8">
      <c r="A164" t="s">
        <v>1075</v>
      </c>
      <c r="B164" t="s">
        <v>13329</v>
      </c>
      <c r="C164" s="1">
        <v>45079</v>
      </c>
      <c r="D164" s="1" t="str">
        <f>PROPER(orders[[#This Row],[order_priority]])</f>
        <v>Standard</v>
      </c>
      <c r="E164" t="s">
        <v>13317</v>
      </c>
      <c r="F164" t="str">
        <f>IFERROR(INDEX(customers[country], MATCH(orders[[#This Row],[customer_id]], customers[customer_id], 0)), "Unmapped")</f>
        <v>Unmapped</v>
      </c>
      <c r="G164" t="str">
        <f>IFERROR(INDEX(Region_Map[Region], MATCH(orders[[#This Row],[Customer_Country]], Region_Map[Country], 0)), "Unknown")</f>
        <v>Unknown</v>
      </c>
      <c r="H164" t="s">
        <v>6949</v>
      </c>
    </row>
    <row r="165" spans="1:8">
      <c r="A165" t="s">
        <v>1076</v>
      </c>
      <c r="B165" t="s">
        <v>658</v>
      </c>
      <c r="C165" s="1">
        <v>45337</v>
      </c>
      <c r="D165" s="1" t="str">
        <f>PROPER(orders[[#This Row],[order_priority]])</f>
        <v>Same Day</v>
      </c>
      <c r="E165" t="s">
        <v>13322</v>
      </c>
      <c r="F165" t="str">
        <f>IFERROR(INDEX(customers[country], MATCH(orders[[#This Row],[customer_id]], customers[customer_id], 0)), "Unmapped")</f>
        <v>Latvia</v>
      </c>
      <c r="G165" t="str">
        <f>IFERROR(INDEX(Region_Map[Region], MATCH(orders[[#This Row],[Customer_Country]], Region_Map[Country], 0)), "Unknown")</f>
        <v>Baltics</v>
      </c>
      <c r="H165" t="s">
        <v>6949</v>
      </c>
    </row>
    <row r="166" spans="1:8">
      <c r="A166" t="s">
        <v>1077</v>
      </c>
      <c r="B166" t="s">
        <v>769</v>
      </c>
      <c r="C166" s="1">
        <v>45281</v>
      </c>
      <c r="D166" s="1" t="str">
        <f>PROPER(orders[[#This Row],[order_priority]])</f>
        <v>Express</v>
      </c>
      <c r="E166" t="s">
        <v>13318</v>
      </c>
      <c r="F166" t="str">
        <f>IFERROR(INDEX(customers[country], MATCH(orders[[#This Row],[customer_id]], customers[customer_id], 0)), "Unmapped")</f>
        <v>Latvia</v>
      </c>
      <c r="G166" t="str">
        <f>IFERROR(INDEX(Region_Map[Region], MATCH(orders[[#This Row],[Customer_Country]], Region_Map[Country], 0)), "Unknown")</f>
        <v>Baltics</v>
      </c>
      <c r="H166" t="s">
        <v>6949</v>
      </c>
    </row>
    <row r="167" spans="1:8">
      <c r="A167" t="s">
        <v>1078</v>
      </c>
      <c r="B167" t="s">
        <v>38</v>
      </c>
      <c r="C167" s="1">
        <v>45511</v>
      </c>
      <c r="D167" s="1" t="str">
        <f>PROPER(orders[[#This Row],[order_priority]])</f>
        <v>Economy</v>
      </c>
      <c r="E167" t="s">
        <v>13316</v>
      </c>
      <c r="F167" t="str">
        <f>IFERROR(INDEX(customers[country], MATCH(orders[[#This Row],[customer_id]], customers[customer_id], 0)), "Unmapped")</f>
        <v>Lithuania</v>
      </c>
      <c r="G167" t="str">
        <f>IFERROR(INDEX(Region_Map[Region], MATCH(orders[[#This Row],[Customer_Country]], Region_Map[Country], 0)), "Unknown")</f>
        <v>Baltics</v>
      </c>
      <c r="H167" t="s">
        <v>6949</v>
      </c>
    </row>
    <row r="168" spans="1:8">
      <c r="A168" t="s">
        <v>1079</v>
      </c>
      <c r="B168" t="s">
        <v>712</v>
      </c>
      <c r="C168" s="1">
        <v>45472</v>
      </c>
      <c r="D168" s="1" t="str">
        <f>PROPER(orders[[#This Row],[order_priority]])</f>
        <v>Standard</v>
      </c>
      <c r="E168" t="s">
        <v>13317</v>
      </c>
      <c r="F168" t="str">
        <f>IFERROR(INDEX(customers[country], MATCH(orders[[#This Row],[customer_id]], customers[customer_id], 0)), "Unmapped")</f>
        <v>Finland</v>
      </c>
      <c r="G168" t="str">
        <f>IFERROR(INDEX(Region_Map[Region], MATCH(orders[[#This Row],[Customer_Country]], Region_Map[Country], 0)), "Unknown")</f>
        <v>Nordics</v>
      </c>
      <c r="H168" t="s">
        <v>6949</v>
      </c>
    </row>
    <row r="169" spans="1:8">
      <c r="A169" t="s">
        <v>1080</v>
      </c>
      <c r="B169" t="s">
        <v>861</v>
      </c>
      <c r="C169" s="1">
        <v>45289</v>
      </c>
      <c r="D169" s="1" t="str">
        <f>PROPER(orders[[#This Row],[order_priority]])</f>
        <v>Economy</v>
      </c>
      <c r="E169" t="s">
        <v>13316</v>
      </c>
      <c r="F169" t="str">
        <f>IFERROR(INDEX(customers[country], MATCH(orders[[#This Row],[customer_id]], customers[customer_id], 0)), "Unmapped")</f>
        <v>Latvia</v>
      </c>
      <c r="G169" t="str">
        <f>IFERROR(INDEX(Region_Map[Region], MATCH(orders[[#This Row],[Customer_Country]], Region_Map[Country], 0)), "Unknown")</f>
        <v>Baltics</v>
      </c>
      <c r="H169" t="s">
        <v>6949</v>
      </c>
    </row>
    <row r="170" spans="1:8">
      <c r="A170" t="s">
        <v>1081</v>
      </c>
      <c r="B170" t="s">
        <v>602</v>
      </c>
      <c r="C170" s="1">
        <v>44963</v>
      </c>
      <c r="D170" s="1" t="str">
        <f>PROPER(orders[[#This Row],[order_priority]])</f>
        <v>Express</v>
      </c>
      <c r="E170" t="s">
        <v>13318</v>
      </c>
      <c r="F170" t="str">
        <f>IFERROR(INDEX(customers[country], MATCH(orders[[#This Row],[customer_id]], customers[customer_id], 0)), "Unmapped")</f>
        <v>Poland</v>
      </c>
      <c r="G170" t="str">
        <f>IFERROR(INDEX(Region_Map[Region], MATCH(orders[[#This Row],[Customer_Country]], Region_Map[Country], 0)), "Unknown")</f>
        <v>Central Europe</v>
      </c>
      <c r="H170" t="s">
        <v>6949</v>
      </c>
    </row>
    <row r="171" spans="1:8">
      <c r="A171" t="s">
        <v>1082</v>
      </c>
      <c r="B171" t="s">
        <v>900</v>
      </c>
      <c r="C171" s="1">
        <v>45440</v>
      </c>
      <c r="D171" s="1" t="str">
        <f>PROPER(orders[[#This Row],[order_priority]])</f>
        <v>Standard</v>
      </c>
      <c r="E171" t="s">
        <v>13317</v>
      </c>
      <c r="F171" t="str">
        <f>IFERROR(INDEX(customers[country], MATCH(orders[[#This Row],[customer_id]], customers[customer_id], 0)), "Unmapped")</f>
        <v>Germany</v>
      </c>
      <c r="G171" t="str">
        <f>IFERROR(INDEX(Region_Map[Region], MATCH(orders[[#This Row],[Customer_Country]], Region_Map[Country], 0)), "Unknown")</f>
        <v>Central Europe</v>
      </c>
      <c r="H171" t="s">
        <v>6949</v>
      </c>
    </row>
    <row r="172" spans="1:8">
      <c r="A172" t="s">
        <v>1083</v>
      </c>
      <c r="B172" t="s">
        <v>709</v>
      </c>
      <c r="C172" s="1">
        <v>44954</v>
      </c>
      <c r="D172" s="1" t="str">
        <f>PROPER(orders[[#This Row],[order_priority]])</f>
        <v>Same Day</v>
      </c>
      <c r="E172" t="s">
        <v>13324</v>
      </c>
      <c r="F172" t="str">
        <f>IFERROR(INDEX(customers[country], MATCH(orders[[#This Row],[customer_id]], customers[customer_id], 0)), "Unmapped")</f>
        <v>Netherlands</v>
      </c>
      <c r="G172" t="str">
        <f>IFERROR(INDEX(Region_Map[Region], MATCH(orders[[#This Row],[Customer_Country]], Region_Map[Country], 0)), "Unknown")</f>
        <v>Central Europe</v>
      </c>
      <c r="H172" t="s">
        <v>6949</v>
      </c>
    </row>
    <row r="173" spans="1:8">
      <c r="A173" t="s">
        <v>1084</v>
      </c>
      <c r="B173" t="s">
        <v>852</v>
      </c>
      <c r="C173" s="1">
        <v>45167</v>
      </c>
      <c r="D173" s="1" t="str">
        <f>PROPER(orders[[#This Row],[order_priority]])</f>
        <v>Standard</v>
      </c>
      <c r="E173" t="s">
        <v>13317</v>
      </c>
      <c r="F173" t="str">
        <f>IFERROR(INDEX(customers[country], MATCH(orders[[#This Row],[customer_id]], customers[customer_id], 0)), "Unmapped")</f>
        <v>Sweden</v>
      </c>
      <c r="G173" t="str">
        <f>IFERROR(INDEX(Region_Map[Region], MATCH(orders[[#This Row],[Customer_Country]], Region_Map[Country], 0)), "Unknown")</f>
        <v>Nordics</v>
      </c>
      <c r="H173" t="s">
        <v>6949</v>
      </c>
    </row>
    <row r="174" spans="1:8">
      <c r="A174" t="s">
        <v>1085</v>
      </c>
      <c r="B174" t="s">
        <v>876</v>
      </c>
      <c r="C174" s="1">
        <v>45538</v>
      </c>
      <c r="D174" s="1" t="str">
        <f>PROPER(orders[[#This Row],[order_priority]])</f>
        <v>Economy</v>
      </c>
      <c r="E174" t="s">
        <v>13328</v>
      </c>
      <c r="F174" t="str">
        <f>IFERROR(INDEX(customers[country], MATCH(orders[[#This Row],[customer_id]], customers[customer_id], 0)), "Unmapped")</f>
        <v>Estonia</v>
      </c>
      <c r="G174" t="str">
        <f>IFERROR(INDEX(Region_Map[Region], MATCH(orders[[#This Row],[Customer_Country]], Region_Map[Country], 0)), "Unknown")</f>
        <v>Baltics</v>
      </c>
      <c r="H174" t="s">
        <v>6949</v>
      </c>
    </row>
    <row r="175" spans="1:8">
      <c r="A175" t="s">
        <v>1086</v>
      </c>
      <c r="B175" t="s">
        <v>410</v>
      </c>
      <c r="C175" s="1">
        <v>45478</v>
      </c>
      <c r="D175" s="1" t="str">
        <f>PROPER(orders[[#This Row],[order_priority]])</f>
        <v>Express</v>
      </c>
      <c r="E175" t="s">
        <v>13318</v>
      </c>
      <c r="F175" t="str">
        <f>IFERROR(INDEX(customers[country], MATCH(orders[[#This Row],[customer_id]], customers[customer_id], 0)), "Unmapped")</f>
        <v>Norway</v>
      </c>
      <c r="G175" t="str">
        <f>IFERROR(INDEX(Region_Map[Region], MATCH(orders[[#This Row],[Customer_Country]], Region_Map[Country], 0)), "Unknown")</f>
        <v>Nordics</v>
      </c>
      <c r="H175" t="s">
        <v>6949</v>
      </c>
    </row>
    <row r="176" spans="1:8">
      <c r="A176" t="s">
        <v>1087</v>
      </c>
      <c r="B176" t="s">
        <v>371</v>
      </c>
      <c r="C176" s="1">
        <v>45000</v>
      </c>
      <c r="D176" s="1" t="str">
        <f>PROPER(orders[[#This Row],[order_priority]])</f>
        <v>Standard</v>
      </c>
      <c r="E176" t="s">
        <v>13317</v>
      </c>
      <c r="F176" t="str">
        <f>IFERROR(INDEX(customers[country], MATCH(orders[[#This Row],[customer_id]], customers[customer_id], 0)), "Unmapped")</f>
        <v>Germany</v>
      </c>
      <c r="G176" t="str">
        <f>IFERROR(INDEX(Region_Map[Region], MATCH(orders[[#This Row],[Customer_Country]], Region_Map[Country], 0)), "Unknown")</f>
        <v>Central Europe</v>
      </c>
      <c r="H176" t="s">
        <v>6949</v>
      </c>
    </row>
    <row r="177" spans="1:8">
      <c r="A177" t="s">
        <v>1088</v>
      </c>
      <c r="B177" t="s">
        <v>700</v>
      </c>
      <c r="C177" s="1">
        <v>44982</v>
      </c>
      <c r="D177" s="1" t="str">
        <f>PROPER(orders[[#This Row],[order_priority]])</f>
        <v>Economy</v>
      </c>
      <c r="E177" t="s">
        <v>13316</v>
      </c>
      <c r="F177" t="str">
        <f>IFERROR(INDEX(customers[country], MATCH(orders[[#This Row],[customer_id]], customers[customer_id], 0)), "Unmapped")</f>
        <v>Germany</v>
      </c>
      <c r="G177" t="str">
        <f>IFERROR(INDEX(Region_Map[Region], MATCH(orders[[#This Row],[Customer_Country]], Region_Map[Country], 0)), "Unknown")</f>
        <v>Central Europe</v>
      </c>
      <c r="H177" t="s">
        <v>6949</v>
      </c>
    </row>
    <row r="178" spans="1:8">
      <c r="A178" t="s">
        <v>1089</v>
      </c>
      <c r="B178" t="s">
        <v>655</v>
      </c>
      <c r="C178" s="1">
        <v>44975</v>
      </c>
      <c r="D178" s="1" t="str">
        <f>PROPER(orders[[#This Row],[order_priority]])</f>
        <v>Express</v>
      </c>
      <c r="E178" t="s">
        <v>13318</v>
      </c>
      <c r="F178" t="str">
        <f>IFERROR(INDEX(customers[country], MATCH(orders[[#This Row],[customer_id]], customers[customer_id], 0)), "Unmapped")</f>
        <v>Sweden</v>
      </c>
      <c r="G178" t="str">
        <f>IFERROR(INDEX(Region_Map[Region], MATCH(orders[[#This Row],[Customer_Country]], Region_Map[Country], 0)), "Unknown")</f>
        <v>Nordics</v>
      </c>
      <c r="H178" t="s">
        <v>6949</v>
      </c>
    </row>
    <row r="179" spans="1:8">
      <c r="A179" t="s">
        <v>1090</v>
      </c>
      <c r="B179" t="s">
        <v>828</v>
      </c>
      <c r="C179" s="1">
        <v>45405</v>
      </c>
      <c r="D179" s="1" t="str">
        <f>PROPER(orders[[#This Row],[order_priority]])</f>
        <v>Express</v>
      </c>
      <c r="E179" t="s">
        <v>13318</v>
      </c>
      <c r="F179" t="str">
        <f>IFERROR(INDEX(customers[country], MATCH(orders[[#This Row],[customer_id]], customers[customer_id], 0)), "Unmapped")</f>
        <v>Germany</v>
      </c>
      <c r="G179" t="str">
        <f>IFERROR(INDEX(Region_Map[Region], MATCH(orders[[#This Row],[Customer_Country]], Region_Map[Country], 0)), "Unknown")</f>
        <v>Central Europe</v>
      </c>
      <c r="H179" t="s">
        <v>6949</v>
      </c>
    </row>
    <row r="180" spans="1:8">
      <c r="A180" t="s">
        <v>1091</v>
      </c>
      <c r="B180" t="s">
        <v>42</v>
      </c>
      <c r="C180" s="1">
        <v>45192</v>
      </c>
      <c r="D180" s="1" t="str">
        <f>PROPER(orders[[#This Row],[order_priority]])</f>
        <v>Express</v>
      </c>
      <c r="E180" t="s">
        <v>13318</v>
      </c>
      <c r="F180" t="str">
        <f>IFERROR(INDEX(customers[country], MATCH(orders[[#This Row],[customer_id]], customers[customer_id], 0)), "Unmapped")</f>
        <v>Estonia</v>
      </c>
      <c r="G180" t="str">
        <f>IFERROR(INDEX(Region_Map[Region], MATCH(orders[[#This Row],[Customer_Country]], Region_Map[Country], 0)), "Unknown")</f>
        <v>Baltics</v>
      </c>
      <c r="H180" t="s">
        <v>6949</v>
      </c>
    </row>
    <row r="181" spans="1:8">
      <c r="A181" t="s">
        <v>1092</v>
      </c>
      <c r="B181" t="s">
        <v>297</v>
      </c>
      <c r="C181" s="1">
        <v>45151</v>
      </c>
      <c r="D181" s="1" t="str">
        <f>PROPER(orders[[#This Row],[order_priority]])</f>
        <v>Express</v>
      </c>
      <c r="E181" t="s">
        <v>13318</v>
      </c>
      <c r="F181" t="str">
        <f>IFERROR(INDEX(customers[country], MATCH(orders[[#This Row],[customer_id]], customers[customer_id], 0)), "Unmapped")</f>
        <v>Poland</v>
      </c>
      <c r="G181" t="str">
        <f>IFERROR(INDEX(Region_Map[Region], MATCH(orders[[#This Row],[Customer_Country]], Region_Map[Country], 0)), "Unknown")</f>
        <v>Central Europe</v>
      </c>
      <c r="H181" t="s">
        <v>6949</v>
      </c>
    </row>
    <row r="182" spans="1:8">
      <c r="A182" t="s">
        <v>1093</v>
      </c>
      <c r="B182" t="s">
        <v>876</v>
      </c>
      <c r="C182" s="1">
        <v>45043</v>
      </c>
      <c r="D182" s="1" t="str">
        <f>PROPER(orders[[#This Row],[order_priority]])</f>
        <v>Standard</v>
      </c>
      <c r="E182" t="s">
        <v>13317</v>
      </c>
      <c r="F182" t="str">
        <f>IFERROR(INDEX(customers[country], MATCH(orders[[#This Row],[customer_id]], customers[customer_id], 0)), "Unmapped")</f>
        <v>Estonia</v>
      </c>
      <c r="G182" t="str">
        <f>IFERROR(INDEX(Region_Map[Region], MATCH(orders[[#This Row],[Customer_Country]], Region_Map[Country], 0)), "Unknown")</f>
        <v>Baltics</v>
      </c>
      <c r="H182" t="s">
        <v>6949</v>
      </c>
    </row>
    <row r="183" spans="1:8">
      <c r="A183" t="s">
        <v>1094</v>
      </c>
      <c r="B183" t="s">
        <v>443</v>
      </c>
      <c r="C183" s="1">
        <v>45051</v>
      </c>
      <c r="D183" s="1" t="str">
        <f>PROPER(orders[[#This Row],[order_priority]])</f>
        <v>Economy</v>
      </c>
      <c r="E183" t="s">
        <v>13316</v>
      </c>
      <c r="F183" t="str">
        <f>IFERROR(INDEX(customers[country], MATCH(orders[[#This Row],[customer_id]], customers[customer_id], 0)), "Unmapped")</f>
        <v>Estonia</v>
      </c>
      <c r="G183" t="str">
        <f>IFERROR(INDEX(Region_Map[Region], MATCH(orders[[#This Row],[Customer_Country]], Region_Map[Country], 0)), "Unknown")</f>
        <v>Baltics</v>
      </c>
      <c r="H183" t="s">
        <v>6949</v>
      </c>
    </row>
    <row r="184" spans="1:8">
      <c r="A184" t="s">
        <v>1095</v>
      </c>
      <c r="B184" t="s">
        <v>906</v>
      </c>
      <c r="C184" s="1">
        <v>45014</v>
      </c>
      <c r="D184" s="1" t="str">
        <f>PROPER(orders[[#This Row],[order_priority]])</f>
        <v>Standard</v>
      </c>
      <c r="E184" t="s">
        <v>13317</v>
      </c>
      <c r="F184" t="str">
        <f>IFERROR(INDEX(customers[country], MATCH(orders[[#This Row],[customer_id]], customers[customer_id], 0)), "Unmapped")</f>
        <v>Sweden</v>
      </c>
      <c r="G184" t="str">
        <f>IFERROR(INDEX(Region_Map[Region], MATCH(orders[[#This Row],[Customer_Country]], Region_Map[Country], 0)), "Unknown")</f>
        <v>Nordics</v>
      </c>
      <c r="H184" t="s">
        <v>6949</v>
      </c>
    </row>
    <row r="185" spans="1:8">
      <c r="A185" t="s">
        <v>1096</v>
      </c>
      <c r="B185" t="s">
        <v>210</v>
      </c>
      <c r="C185" s="1">
        <v>45424</v>
      </c>
      <c r="D185" s="1" t="str">
        <f>PROPER(orders[[#This Row],[order_priority]])</f>
        <v>Standard</v>
      </c>
      <c r="E185" t="s">
        <v>13317</v>
      </c>
      <c r="F185" t="str">
        <f>IFERROR(INDEX(customers[country], MATCH(orders[[#This Row],[customer_id]], customers[customer_id], 0)), "Unmapped")</f>
        <v>Finland</v>
      </c>
      <c r="G185" t="str">
        <f>IFERROR(INDEX(Region_Map[Region], MATCH(orders[[#This Row],[Customer_Country]], Region_Map[Country], 0)), "Unknown")</f>
        <v>Nordics</v>
      </c>
      <c r="H185" t="s">
        <v>6949</v>
      </c>
    </row>
    <row r="186" spans="1:8">
      <c r="A186" t="s">
        <v>1097</v>
      </c>
      <c r="B186" t="s">
        <v>790</v>
      </c>
      <c r="C186" s="1">
        <v>45623</v>
      </c>
      <c r="D186" s="1" t="str">
        <f>PROPER(orders[[#This Row],[order_priority]])</f>
        <v>Express</v>
      </c>
      <c r="E186" t="s">
        <v>13318</v>
      </c>
      <c r="F186" t="str">
        <f>IFERROR(INDEX(customers[country], MATCH(orders[[#This Row],[customer_id]], customers[customer_id], 0)), "Unmapped")</f>
        <v>Germany</v>
      </c>
      <c r="G186" t="str">
        <f>IFERROR(INDEX(Region_Map[Region], MATCH(orders[[#This Row],[Customer_Country]], Region_Map[Country], 0)), "Unknown")</f>
        <v>Central Europe</v>
      </c>
      <c r="H186" t="s">
        <v>6949</v>
      </c>
    </row>
    <row r="187" spans="1:8">
      <c r="A187" t="s">
        <v>1098</v>
      </c>
      <c r="B187" t="s">
        <v>843</v>
      </c>
      <c r="C187" s="1">
        <v>45472</v>
      </c>
      <c r="D187" s="1" t="str">
        <f>PROPER(orders[[#This Row],[order_priority]])</f>
        <v>Economy</v>
      </c>
      <c r="E187" t="s">
        <v>13316</v>
      </c>
      <c r="F187" t="str">
        <f>IFERROR(INDEX(customers[country], MATCH(orders[[#This Row],[customer_id]], customers[customer_id], 0)), "Unmapped")</f>
        <v>Netherlands</v>
      </c>
      <c r="G187" t="str">
        <f>IFERROR(INDEX(Region_Map[Region], MATCH(orders[[#This Row],[Customer_Country]], Region_Map[Country], 0)), "Unknown")</f>
        <v>Central Europe</v>
      </c>
      <c r="H187" t="s">
        <v>6949</v>
      </c>
    </row>
    <row r="188" spans="1:8">
      <c r="A188" t="s">
        <v>1099</v>
      </c>
      <c r="B188" t="s">
        <v>207</v>
      </c>
      <c r="C188" s="1">
        <v>45545</v>
      </c>
      <c r="D188" s="1" t="str">
        <f>PROPER(orders[[#This Row],[order_priority]])</f>
        <v>Express</v>
      </c>
      <c r="E188" t="s">
        <v>13318</v>
      </c>
      <c r="F188" t="str">
        <f>IFERROR(INDEX(customers[country], MATCH(orders[[#This Row],[customer_id]], customers[customer_id], 0)), "Unmapped")</f>
        <v>Poland</v>
      </c>
      <c r="G188" t="str">
        <f>IFERROR(INDEX(Region_Map[Region], MATCH(orders[[#This Row],[Customer_Country]], Region_Map[Country], 0)), "Unknown")</f>
        <v>Central Europe</v>
      </c>
      <c r="H188" t="s">
        <v>6949</v>
      </c>
    </row>
    <row r="189" spans="1:8">
      <c r="A189" t="s">
        <v>1100</v>
      </c>
      <c r="B189" t="s">
        <v>852</v>
      </c>
      <c r="C189" s="1">
        <v>45502</v>
      </c>
      <c r="D189" s="1" t="str">
        <f>PROPER(orders[[#This Row],[order_priority]])</f>
        <v>Express</v>
      </c>
      <c r="E189" t="s">
        <v>13318</v>
      </c>
      <c r="F189" t="str">
        <f>IFERROR(INDEX(customers[country], MATCH(orders[[#This Row],[customer_id]], customers[customer_id], 0)), "Unmapped")</f>
        <v>Sweden</v>
      </c>
      <c r="G189" t="str">
        <f>IFERROR(INDEX(Region_Map[Region], MATCH(orders[[#This Row],[Customer_Country]], Region_Map[Country], 0)), "Unknown")</f>
        <v>Nordics</v>
      </c>
      <c r="H189" t="s">
        <v>6949</v>
      </c>
    </row>
    <row r="190" spans="1:8">
      <c r="A190" t="s">
        <v>1101</v>
      </c>
      <c r="B190" t="s">
        <v>255</v>
      </c>
      <c r="C190" s="1">
        <v>45509</v>
      </c>
      <c r="D190" s="1" t="str">
        <f>PROPER(orders[[#This Row],[order_priority]])</f>
        <v>Standard</v>
      </c>
      <c r="E190" t="s">
        <v>13317</v>
      </c>
      <c r="F190" t="str">
        <f>IFERROR(INDEX(customers[country], MATCH(orders[[#This Row],[customer_id]], customers[customer_id], 0)), "Unmapped")</f>
        <v>Sweden</v>
      </c>
      <c r="G190" t="str">
        <f>IFERROR(INDEX(Region_Map[Region], MATCH(orders[[#This Row],[Customer_Country]], Region_Map[Country], 0)), "Unknown")</f>
        <v>Nordics</v>
      </c>
      <c r="H190" t="s">
        <v>6949</v>
      </c>
    </row>
    <row r="191" spans="1:8">
      <c r="A191" t="s">
        <v>1102</v>
      </c>
      <c r="B191" t="s">
        <v>42</v>
      </c>
      <c r="C191" s="1">
        <v>45549</v>
      </c>
      <c r="D191" s="1" t="str">
        <f>PROPER(orders[[#This Row],[order_priority]])</f>
        <v>Same Day</v>
      </c>
      <c r="E191" t="s">
        <v>13324</v>
      </c>
      <c r="F191" t="str">
        <f>IFERROR(INDEX(customers[country], MATCH(orders[[#This Row],[customer_id]], customers[customer_id], 0)), "Unmapped")</f>
        <v>Estonia</v>
      </c>
      <c r="G191" t="str">
        <f>IFERROR(INDEX(Region_Map[Region], MATCH(orders[[#This Row],[Customer_Country]], Region_Map[Country], 0)), "Unknown")</f>
        <v>Baltics</v>
      </c>
      <c r="H191" t="s">
        <v>6949</v>
      </c>
    </row>
    <row r="192" spans="1:8">
      <c r="A192" t="s">
        <v>1103</v>
      </c>
      <c r="B192" t="s">
        <v>84</v>
      </c>
      <c r="C192" s="1">
        <v>45051</v>
      </c>
      <c r="D192" s="1" t="str">
        <f>PROPER(orders[[#This Row],[order_priority]])</f>
        <v>Same Day</v>
      </c>
      <c r="E192" t="s">
        <v>13321</v>
      </c>
      <c r="F192" t="str">
        <f>IFERROR(INDEX(customers[country], MATCH(orders[[#This Row],[customer_id]], customers[customer_id], 0)), "Unmapped")</f>
        <v>Lithuania</v>
      </c>
      <c r="G192" t="str">
        <f>IFERROR(INDEX(Region_Map[Region], MATCH(orders[[#This Row],[Customer_Country]], Region_Map[Country], 0)), "Unknown")</f>
        <v>Baltics</v>
      </c>
      <c r="H192" t="s">
        <v>6949</v>
      </c>
    </row>
    <row r="193" spans="1:8">
      <c r="A193" t="s">
        <v>1104</v>
      </c>
      <c r="B193" t="s">
        <v>891</v>
      </c>
      <c r="C193" s="1">
        <v>45625</v>
      </c>
      <c r="D193" s="1" t="str">
        <f>PROPER(orders[[#This Row],[order_priority]])</f>
        <v>Express</v>
      </c>
      <c r="E193" t="s">
        <v>13318</v>
      </c>
      <c r="F193" t="str">
        <f>IFERROR(INDEX(customers[country], MATCH(orders[[#This Row],[customer_id]], customers[customer_id], 0)), "Unmapped")</f>
        <v>Netherlands</v>
      </c>
      <c r="G193" t="str">
        <f>IFERROR(INDEX(Region_Map[Region], MATCH(orders[[#This Row],[Customer_Country]], Region_Map[Country], 0)), "Unknown")</f>
        <v>Central Europe</v>
      </c>
      <c r="H193" t="s">
        <v>6949</v>
      </c>
    </row>
    <row r="194" spans="1:8">
      <c r="A194" t="s">
        <v>1105</v>
      </c>
      <c r="B194" t="s">
        <v>175</v>
      </c>
      <c r="C194" s="1">
        <v>45026</v>
      </c>
      <c r="D194" s="1" t="str">
        <f>PROPER(orders[[#This Row],[order_priority]])</f>
        <v>Economy</v>
      </c>
      <c r="E194" t="s">
        <v>13316</v>
      </c>
      <c r="F194" t="str">
        <f>IFERROR(INDEX(customers[country], MATCH(orders[[#This Row],[customer_id]], customers[customer_id], 0)), "Unmapped")</f>
        <v>Sweden</v>
      </c>
      <c r="G194" t="str">
        <f>IFERROR(INDEX(Region_Map[Region], MATCH(orders[[#This Row],[Customer_Country]], Region_Map[Country], 0)), "Unknown")</f>
        <v>Nordics</v>
      </c>
      <c r="H194" t="s">
        <v>6949</v>
      </c>
    </row>
    <row r="195" spans="1:8">
      <c r="A195" t="s">
        <v>1106</v>
      </c>
      <c r="B195" t="s">
        <v>749</v>
      </c>
      <c r="C195" s="1">
        <v>45499</v>
      </c>
      <c r="D195" s="1" t="str">
        <f>PROPER(orders[[#This Row],[order_priority]])</f>
        <v>Economy</v>
      </c>
      <c r="E195" t="s">
        <v>13316</v>
      </c>
      <c r="F195" t="str">
        <f>IFERROR(INDEX(customers[country], MATCH(orders[[#This Row],[customer_id]], customers[customer_id], 0)), "Unmapped")</f>
        <v>Latvia</v>
      </c>
      <c r="G195" t="str">
        <f>IFERROR(INDEX(Region_Map[Region], MATCH(orders[[#This Row],[Customer_Country]], Region_Map[Country], 0)), "Unknown")</f>
        <v>Baltics</v>
      </c>
      <c r="H195" t="s">
        <v>6949</v>
      </c>
    </row>
    <row r="196" spans="1:8">
      <c r="A196" t="s">
        <v>1107</v>
      </c>
      <c r="B196" t="s">
        <v>644</v>
      </c>
      <c r="C196" s="1">
        <v>45615</v>
      </c>
      <c r="D196" s="1" t="str">
        <f>PROPER(orders[[#This Row],[order_priority]])</f>
        <v>Economy</v>
      </c>
      <c r="E196" t="s">
        <v>13316</v>
      </c>
      <c r="F196" t="str">
        <f>IFERROR(INDEX(customers[country], MATCH(orders[[#This Row],[customer_id]], customers[customer_id], 0)), "Unmapped")</f>
        <v>Germany</v>
      </c>
      <c r="G196" t="str">
        <f>IFERROR(INDEX(Region_Map[Region], MATCH(orders[[#This Row],[Customer_Country]], Region_Map[Country], 0)), "Unknown")</f>
        <v>Central Europe</v>
      </c>
      <c r="H196" t="s">
        <v>6949</v>
      </c>
    </row>
    <row r="197" spans="1:8">
      <c r="A197" t="s">
        <v>1108</v>
      </c>
      <c r="B197" t="s">
        <v>479</v>
      </c>
      <c r="C197" s="1">
        <v>44972</v>
      </c>
      <c r="D197" s="1" t="str">
        <f>PROPER(orders[[#This Row],[order_priority]])</f>
        <v>Same Day</v>
      </c>
      <c r="E197" t="s">
        <v>13321</v>
      </c>
      <c r="F197" t="str">
        <f>IFERROR(INDEX(customers[country], MATCH(orders[[#This Row],[customer_id]], customers[customer_id], 0)), "Unmapped")</f>
        <v>Latvia</v>
      </c>
      <c r="G197" t="str">
        <f>IFERROR(INDEX(Region_Map[Region], MATCH(orders[[#This Row],[Customer_Country]], Region_Map[Country], 0)), "Unknown")</f>
        <v>Baltics</v>
      </c>
      <c r="H197" t="s">
        <v>6949</v>
      </c>
    </row>
    <row r="198" spans="1:8">
      <c r="A198" t="s">
        <v>1109</v>
      </c>
      <c r="B198" t="s">
        <v>548</v>
      </c>
      <c r="C198" s="1">
        <v>45107</v>
      </c>
      <c r="D198" s="1" t="str">
        <f>PROPER(orders[[#This Row],[order_priority]])</f>
        <v>Standard</v>
      </c>
      <c r="E198" t="s">
        <v>13317</v>
      </c>
      <c r="F198" t="str">
        <f>IFERROR(INDEX(customers[country], MATCH(orders[[#This Row],[customer_id]], customers[customer_id], 0)), "Unmapped")</f>
        <v>Sweden</v>
      </c>
      <c r="G198" t="str">
        <f>IFERROR(INDEX(Region_Map[Region], MATCH(orders[[#This Row],[Customer_Country]], Region_Map[Country], 0)), "Unknown")</f>
        <v>Nordics</v>
      </c>
      <c r="H198" t="s">
        <v>6949</v>
      </c>
    </row>
    <row r="199" spans="1:8">
      <c r="A199" t="s">
        <v>1110</v>
      </c>
      <c r="B199" t="s">
        <v>793</v>
      </c>
      <c r="C199" s="1">
        <v>45264</v>
      </c>
      <c r="D199" s="1" t="str">
        <f>PROPER(orders[[#This Row],[order_priority]])</f>
        <v>Standard</v>
      </c>
      <c r="E199" t="s">
        <v>13317</v>
      </c>
      <c r="F199" t="str">
        <f>IFERROR(INDEX(customers[country], MATCH(orders[[#This Row],[customer_id]], customers[customer_id], 0)), "Unmapped")</f>
        <v>Sweden</v>
      </c>
      <c r="G199" t="str">
        <f>IFERROR(INDEX(Region_Map[Region], MATCH(orders[[#This Row],[Customer_Country]], Region_Map[Country], 0)), "Unknown")</f>
        <v>Nordics</v>
      </c>
      <c r="H199" t="s">
        <v>6949</v>
      </c>
    </row>
    <row r="200" spans="1:8">
      <c r="A200" t="s">
        <v>1111</v>
      </c>
      <c r="B200" t="s">
        <v>840</v>
      </c>
      <c r="C200" s="1">
        <v>45493</v>
      </c>
      <c r="D200" s="1" t="str">
        <f>PROPER(orders[[#This Row],[order_priority]])</f>
        <v>Economy</v>
      </c>
      <c r="E200" t="s">
        <v>13328</v>
      </c>
      <c r="F200" t="str">
        <f>IFERROR(INDEX(customers[country], MATCH(orders[[#This Row],[customer_id]], customers[customer_id], 0)), "Unmapped")</f>
        <v>Finland</v>
      </c>
      <c r="G200" t="str">
        <f>IFERROR(INDEX(Region_Map[Region], MATCH(orders[[#This Row],[Customer_Country]], Region_Map[Country], 0)), "Unknown")</f>
        <v>Nordics</v>
      </c>
      <c r="H200" t="s">
        <v>6949</v>
      </c>
    </row>
    <row r="201" spans="1:8">
      <c r="A201" t="s">
        <v>1112</v>
      </c>
      <c r="B201" t="s">
        <v>261</v>
      </c>
      <c r="C201" s="1">
        <v>45545</v>
      </c>
      <c r="D201" s="1" t="str">
        <f>PROPER(orders[[#This Row],[order_priority]])</f>
        <v>Express</v>
      </c>
      <c r="E201" t="s">
        <v>13318</v>
      </c>
      <c r="F201" t="str">
        <f>IFERROR(INDEX(customers[country], MATCH(orders[[#This Row],[customer_id]], customers[customer_id], 0)), "Unmapped")</f>
        <v>Germany</v>
      </c>
      <c r="G201" t="str">
        <f>IFERROR(INDEX(Region_Map[Region], MATCH(orders[[#This Row],[Customer_Country]], Region_Map[Country], 0)), "Unknown")</f>
        <v>Central Europe</v>
      </c>
      <c r="H201" t="s">
        <v>6949</v>
      </c>
    </row>
    <row r="202" spans="1:8">
      <c r="A202" t="s">
        <v>1113</v>
      </c>
      <c r="B202" t="s">
        <v>617</v>
      </c>
      <c r="C202" s="1">
        <v>45324</v>
      </c>
      <c r="D202" s="1" t="str">
        <f>PROPER(orders[[#This Row],[order_priority]])</f>
        <v>Express</v>
      </c>
      <c r="E202" t="s">
        <v>13318</v>
      </c>
      <c r="F202" t="str">
        <f>IFERROR(INDEX(customers[country], MATCH(orders[[#This Row],[customer_id]], customers[customer_id], 0)), "Unmapped")</f>
        <v>Latvia</v>
      </c>
      <c r="G202" t="str">
        <f>IFERROR(INDEX(Region_Map[Region], MATCH(orders[[#This Row],[Customer_Country]], Region_Map[Country], 0)), "Unknown")</f>
        <v>Baltics</v>
      </c>
      <c r="H202" t="s">
        <v>6949</v>
      </c>
    </row>
    <row r="203" spans="1:8">
      <c r="A203" t="s">
        <v>1114</v>
      </c>
      <c r="B203" t="s">
        <v>213</v>
      </c>
      <c r="C203" s="1">
        <v>45172</v>
      </c>
      <c r="D203" s="1" t="str">
        <f>PROPER(orders[[#This Row],[order_priority]])</f>
        <v>Express</v>
      </c>
      <c r="E203" t="s">
        <v>13320</v>
      </c>
      <c r="F203" t="str">
        <f>IFERROR(INDEX(customers[country], MATCH(orders[[#This Row],[customer_id]], customers[customer_id], 0)), "Unmapped")</f>
        <v>Denmark</v>
      </c>
      <c r="G203" t="str">
        <f>IFERROR(INDEX(Region_Map[Region], MATCH(orders[[#This Row],[Customer_Country]], Region_Map[Country], 0)), "Unknown")</f>
        <v>Nordics</v>
      </c>
      <c r="H203" t="s">
        <v>6949</v>
      </c>
    </row>
    <row r="204" spans="1:8">
      <c r="A204" t="s">
        <v>1115</v>
      </c>
      <c r="B204" t="s">
        <v>530</v>
      </c>
      <c r="C204" s="1">
        <v>45488</v>
      </c>
      <c r="D204" s="1" t="str">
        <f>PROPER(orders[[#This Row],[order_priority]])</f>
        <v>Standard</v>
      </c>
      <c r="E204" t="s">
        <v>13317</v>
      </c>
      <c r="F204" t="str">
        <f>IFERROR(INDEX(customers[country], MATCH(orders[[#This Row],[customer_id]], customers[customer_id], 0)), "Unmapped")</f>
        <v>Denmark</v>
      </c>
      <c r="G204" t="str">
        <f>IFERROR(INDEX(Region_Map[Region], MATCH(orders[[#This Row],[Customer_Country]], Region_Map[Country], 0)), "Unknown")</f>
        <v>Nordics</v>
      </c>
      <c r="H204" t="s">
        <v>6949</v>
      </c>
    </row>
    <row r="205" spans="1:8">
      <c r="A205" t="s">
        <v>1116</v>
      </c>
      <c r="B205" t="s">
        <v>198</v>
      </c>
      <c r="C205" s="1">
        <v>45451</v>
      </c>
      <c r="D205" s="1" t="str">
        <f>PROPER(orders[[#This Row],[order_priority]])</f>
        <v>Standard</v>
      </c>
      <c r="E205" t="s">
        <v>13317</v>
      </c>
      <c r="F205" t="str">
        <f>IFERROR(INDEX(customers[country], MATCH(orders[[#This Row],[customer_id]], customers[customer_id], 0)), "Unmapped")</f>
        <v>Poland</v>
      </c>
      <c r="G205" t="str">
        <f>IFERROR(INDEX(Region_Map[Region], MATCH(orders[[#This Row],[Customer_Country]], Region_Map[Country], 0)), "Unknown")</f>
        <v>Central Europe</v>
      </c>
      <c r="H205" t="s">
        <v>6949</v>
      </c>
    </row>
    <row r="206" spans="1:8">
      <c r="A206" t="s">
        <v>1117</v>
      </c>
      <c r="B206" t="s">
        <v>575</v>
      </c>
      <c r="C206" s="1">
        <v>45255</v>
      </c>
      <c r="D206" s="1" t="str">
        <f>PROPER(orders[[#This Row],[order_priority]])</f>
        <v>Standard</v>
      </c>
      <c r="E206" t="s">
        <v>13317</v>
      </c>
      <c r="F206" t="str">
        <f>IFERROR(INDEX(customers[country], MATCH(orders[[#This Row],[customer_id]], customers[customer_id], 0)), "Unmapped")</f>
        <v>Netherlands</v>
      </c>
      <c r="G206" t="str">
        <f>IFERROR(INDEX(Region_Map[Region], MATCH(orders[[#This Row],[Customer_Country]], Region_Map[Country], 0)), "Unknown")</f>
        <v>Central Europe</v>
      </c>
      <c r="H206" t="s">
        <v>6949</v>
      </c>
    </row>
    <row r="207" spans="1:8">
      <c r="A207" t="s">
        <v>1118</v>
      </c>
      <c r="B207" t="s">
        <v>455</v>
      </c>
      <c r="C207" s="1">
        <v>45384</v>
      </c>
      <c r="D207" s="1" t="str">
        <f>PROPER(orders[[#This Row],[order_priority]])</f>
        <v>Same Day</v>
      </c>
      <c r="E207" t="s">
        <v>13322</v>
      </c>
      <c r="F207" t="str">
        <f>IFERROR(INDEX(customers[country], MATCH(orders[[#This Row],[customer_id]], customers[customer_id], 0)), "Unmapped")</f>
        <v>Poland</v>
      </c>
      <c r="G207" t="str">
        <f>IFERROR(INDEX(Region_Map[Region], MATCH(orders[[#This Row],[Customer_Country]], Region_Map[Country], 0)), "Unknown")</f>
        <v>Central Europe</v>
      </c>
      <c r="H207" t="s">
        <v>6949</v>
      </c>
    </row>
    <row r="208" spans="1:8">
      <c r="A208" t="s">
        <v>1119</v>
      </c>
      <c r="B208" t="s">
        <v>679</v>
      </c>
      <c r="C208" s="1">
        <v>45121</v>
      </c>
      <c r="D208" s="1" t="str">
        <f>PROPER(orders[[#This Row],[order_priority]])</f>
        <v>Same Day</v>
      </c>
      <c r="E208" t="s">
        <v>13322</v>
      </c>
      <c r="F208" t="str">
        <f>IFERROR(INDEX(customers[country], MATCH(orders[[#This Row],[customer_id]], customers[customer_id], 0)), "Unmapped")</f>
        <v>Norway</v>
      </c>
      <c r="G208" t="str">
        <f>IFERROR(INDEX(Region_Map[Region], MATCH(orders[[#This Row],[Customer_Country]], Region_Map[Country], 0)), "Unknown")</f>
        <v>Nordics</v>
      </c>
      <c r="H208" t="s">
        <v>6949</v>
      </c>
    </row>
    <row r="209" spans="1:8">
      <c r="A209" t="s">
        <v>1120</v>
      </c>
      <c r="B209" t="s">
        <v>482</v>
      </c>
      <c r="C209" s="1">
        <v>45417</v>
      </c>
      <c r="D209" s="1" t="str">
        <f>PROPER(orders[[#This Row],[order_priority]])</f>
        <v>Standard</v>
      </c>
      <c r="E209" t="s">
        <v>13317</v>
      </c>
      <c r="F209" t="str">
        <f>IFERROR(INDEX(customers[country], MATCH(orders[[#This Row],[customer_id]], customers[customer_id], 0)), "Unmapped")</f>
        <v>Finland</v>
      </c>
      <c r="G209" t="str">
        <f>IFERROR(INDEX(Region_Map[Region], MATCH(orders[[#This Row],[Customer_Country]], Region_Map[Country], 0)), "Unknown")</f>
        <v>Nordics</v>
      </c>
      <c r="H209" t="s">
        <v>6949</v>
      </c>
    </row>
    <row r="210" spans="1:8">
      <c r="A210" t="s">
        <v>1121</v>
      </c>
      <c r="B210" t="s">
        <v>11</v>
      </c>
      <c r="C210" s="1">
        <v>45622</v>
      </c>
      <c r="D210" s="1" t="str">
        <f>PROPER(orders[[#This Row],[order_priority]])</f>
        <v>Express</v>
      </c>
      <c r="E210" t="s">
        <v>13318</v>
      </c>
      <c r="F210" t="str">
        <f>IFERROR(INDEX(customers[country], MATCH(orders[[#This Row],[customer_id]], customers[customer_id], 0)), "Unmapped")</f>
        <v>Sweden</v>
      </c>
      <c r="G210" t="str">
        <f>IFERROR(INDEX(Region_Map[Region], MATCH(orders[[#This Row],[Customer_Country]], Region_Map[Country], 0)), "Unknown")</f>
        <v>Nordics</v>
      </c>
      <c r="H210" t="s">
        <v>6949</v>
      </c>
    </row>
    <row r="211" spans="1:8">
      <c r="A211" t="s">
        <v>1122</v>
      </c>
      <c r="B211" t="s">
        <v>401</v>
      </c>
      <c r="C211" s="1">
        <v>45357</v>
      </c>
      <c r="D211" s="1" t="str">
        <f>PROPER(orders[[#This Row],[order_priority]])</f>
        <v>Standard</v>
      </c>
      <c r="E211" t="s">
        <v>13323</v>
      </c>
      <c r="F211" t="str">
        <f>IFERROR(INDEX(customers[country], MATCH(orders[[#This Row],[customer_id]], customers[customer_id], 0)), "Unmapped")</f>
        <v>Latvia</v>
      </c>
      <c r="G211" t="str">
        <f>IFERROR(INDEX(Region_Map[Region], MATCH(orders[[#This Row],[Customer_Country]], Region_Map[Country], 0)), "Unknown")</f>
        <v>Baltics</v>
      </c>
      <c r="H211" t="s">
        <v>6949</v>
      </c>
    </row>
    <row r="212" spans="1:8">
      <c r="A212" t="s">
        <v>1123</v>
      </c>
      <c r="B212" t="s">
        <v>822</v>
      </c>
      <c r="C212" s="1">
        <v>45024</v>
      </c>
      <c r="D212" s="1" t="str">
        <f>PROPER(orders[[#This Row],[order_priority]])</f>
        <v>Standard</v>
      </c>
      <c r="E212" t="s">
        <v>13323</v>
      </c>
      <c r="F212" t="str">
        <f>IFERROR(INDEX(customers[country], MATCH(orders[[#This Row],[customer_id]], customers[customer_id], 0)), "Unmapped")</f>
        <v>Netherlands</v>
      </c>
      <c r="G212" t="str">
        <f>IFERROR(INDEX(Region_Map[Region], MATCH(orders[[#This Row],[Customer_Country]], Region_Map[Country], 0)), "Unknown")</f>
        <v>Central Europe</v>
      </c>
      <c r="H212" t="s">
        <v>6949</v>
      </c>
    </row>
    <row r="213" spans="1:8">
      <c r="A213" t="s">
        <v>1124</v>
      </c>
      <c r="B213" t="s">
        <v>755</v>
      </c>
      <c r="C213" s="1">
        <v>45594</v>
      </c>
      <c r="D213" s="1" t="str">
        <f>PROPER(orders[[#This Row],[order_priority]])</f>
        <v>Standard</v>
      </c>
      <c r="E213" t="s">
        <v>13317</v>
      </c>
      <c r="F213" t="str">
        <f>IFERROR(INDEX(customers[country], MATCH(orders[[#This Row],[customer_id]], customers[customer_id], 0)), "Unmapped")</f>
        <v>Denmark</v>
      </c>
      <c r="G213" t="str">
        <f>IFERROR(INDEX(Region_Map[Region], MATCH(orders[[#This Row],[Customer_Country]], Region_Map[Country], 0)), "Unknown")</f>
        <v>Nordics</v>
      </c>
      <c r="H213" t="s">
        <v>6949</v>
      </c>
    </row>
    <row r="214" spans="1:8">
      <c r="A214" t="s">
        <v>1125</v>
      </c>
      <c r="B214" t="s">
        <v>93</v>
      </c>
      <c r="C214" s="1">
        <v>45578</v>
      </c>
      <c r="D214" s="1" t="str">
        <f>PROPER(orders[[#This Row],[order_priority]])</f>
        <v>Standard</v>
      </c>
      <c r="E214" t="s">
        <v>13323</v>
      </c>
      <c r="F214" t="str">
        <f>IFERROR(INDEX(customers[country], MATCH(orders[[#This Row],[customer_id]], customers[customer_id], 0)), "Unmapped")</f>
        <v>Norway</v>
      </c>
      <c r="G214" t="str">
        <f>IFERROR(INDEX(Region_Map[Region], MATCH(orders[[#This Row],[Customer_Country]], Region_Map[Country], 0)), "Unknown")</f>
        <v>Nordics</v>
      </c>
      <c r="H214" t="s">
        <v>6949</v>
      </c>
    </row>
    <row r="215" spans="1:8">
      <c r="A215" t="s">
        <v>1126</v>
      </c>
      <c r="B215" t="s">
        <v>19</v>
      </c>
      <c r="C215" s="1">
        <v>45490</v>
      </c>
      <c r="D215" s="1" t="str">
        <f>PROPER(orders[[#This Row],[order_priority]])</f>
        <v>Economy</v>
      </c>
      <c r="E215" t="s">
        <v>13316</v>
      </c>
      <c r="F215" t="str">
        <f>IFERROR(INDEX(customers[country], MATCH(orders[[#This Row],[customer_id]], customers[customer_id], 0)), "Unmapped")</f>
        <v>Poland</v>
      </c>
      <c r="G215" t="str">
        <f>IFERROR(INDEX(Region_Map[Region], MATCH(orders[[#This Row],[Customer_Country]], Region_Map[Country], 0)), "Unknown")</f>
        <v>Central Europe</v>
      </c>
      <c r="H215" t="s">
        <v>6949</v>
      </c>
    </row>
    <row r="216" spans="1:8">
      <c r="A216" t="s">
        <v>1127</v>
      </c>
      <c r="B216" t="s">
        <v>488</v>
      </c>
      <c r="C216" s="1">
        <v>45623</v>
      </c>
      <c r="D216" s="1" t="str">
        <f>PROPER(orders[[#This Row],[order_priority]])</f>
        <v>Economy</v>
      </c>
      <c r="E216" t="s">
        <v>13316</v>
      </c>
      <c r="F216" t="str">
        <f>IFERROR(INDEX(customers[country], MATCH(orders[[#This Row],[customer_id]], customers[customer_id], 0)), "Unmapped")</f>
        <v>Netherlands</v>
      </c>
      <c r="G216" t="str">
        <f>IFERROR(INDEX(Region_Map[Region], MATCH(orders[[#This Row],[Customer_Country]], Region_Map[Country], 0)), "Unknown")</f>
        <v>Central Europe</v>
      </c>
      <c r="H216" t="s">
        <v>6949</v>
      </c>
    </row>
    <row r="217" spans="1:8">
      <c r="A217" t="s">
        <v>1128</v>
      </c>
      <c r="B217" t="s">
        <v>608</v>
      </c>
      <c r="C217" s="1">
        <v>45529</v>
      </c>
      <c r="D217" s="1" t="str">
        <f>PROPER(orders[[#This Row],[order_priority]])</f>
        <v>Standard</v>
      </c>
      <c r="E217" t="s">
        <v>13317</v>
      </c>
      <c r="F217" t="str">
        <f>IFERROR(INDEX(customers[country], MATCH(orders[[#This Row],[customer_id]], customers[customer_id], 0)), "Unmapped")</f>
        <v>Finland</v>
      </c>
      <c r="G217" t="str">
        <f>IFERROR(INDEX(Region_Map[Region], MATCH(orders[[#This Row],[Customer_Country]], Region_Map[Country], 0)), "Unknown")</f>
        <v>Nordics</v>
      </c>
      <c r="H217" t="s">
        <v>6949</v>
      </c>
    </row>
    <row r="218" spans="1:8">
      <c r="A218" t="s">
        <v>1129</v>
      </c>
      <c r="B218" t="s">
        <v>831</v>
      </c>
      <c r="C218" s="1">
        <v>45407</v>
      </c>
      <c r="D218" s="1" t="str">
        <f>PROPER(orders[[#This Row],[order_priority]])</f>
        <v>Express</v>
      </c>
      <c r="E218" t="s">
        <v>13318</v>
      </c>
      <c r="F218" t="str">
        <f>IFERROR(INDEX(customers[country], MATCH(orders[[#This Row],[customer_id]], customers[customer_id], 0)), "Unmapped")</f>
        <v>Norway</v>
      </c>
      <c r="G218" t="str">
        <f>IFERROR(INDEX(Region_Map[Region], MATCH(orders[[#This Row],[Customer_Country]], Region_Map[Country], 0)), "Unknown")</f>
        <v>Nordics</v>
      </c>
      <c r="H218" t="s">
        <v>6949</v>
      </c>
    </row>
    <row r="219" spans="1:8">
      <c r="A219" t="s">
        <v>1130</v>
      </c>
      <c r="B219" t="s">
        <v>452</v>
      </c>
      <c r="C219" s="1">
        <v>45472</v>
      </c>
      <c r="D219" s="1" t="str">
        <f>PROPER(orders[[#This Row],[order_priority]])</f>
        <v>Same Day</v>
      </c>
      <c r="E219" t="s">
        <v>13322</v>
      </c>
      <c r="F219" t="str">
        <f>IFERROR(INDEX(customers[country], MATCH(orders[[#This Row],[customer_id]], customers[customer_id], 0)), "Unmapped")</f>
        <v>Sweden</v>
      </c>
      <c r="G219" t="str">
        <f>IFERROR(INDEX(Region_Map[Region], MATCH(orders[[#This Row],[Customer_Country]], Region_Map[Country], 0)), "Unknown")</f>
        <v>Nordics</v>
      </c>
      <c r="H219" t="s">
        <v>6949</v>
      </c>
    </row>
    <row r="220" spans="1:8">
      <c r="A220" t="s">
        <v>1131</v>
      </c>
      <c r="B220" t="s">
        <v>13330</v>
      </c>
      <c r="C220" s="1">
        <v>45239</v>
      </c>
      <c r="D220" s="1" t="str">
        <f>PROPER(orders[[#This Row],[order_priority]])</f>
        <v>Standard</v>
      </c>
      <c r="E220" t="s">
        <v>13317</v>
      </c>
      <c r="F220" t="str">
        <f>IFERROR(INDEX(customers[country], MATCH(orders[[#This Row],[customer_id]], customers[customer_id], 0)), "Unmapped")</f>
        <v>Unmapped</v>
      </c>
      <c r="G220" t="str">
        <f>IFERROR(INDEX(Region_Map[Region], MATCH(orders[[#This Row],[Customer_Country]], Region_Map[Country], 0)), "Unknown")</f>
        <v>Unknown</v>
      </c>
      <c r="H220" t="s">
        <v>6949</v>
      </c>
    </row>
    <row r="221" spans="1:8">
      <c r="A221" t="s">
        <v>1132</v>
      </c>
      <c r="B221" t="s">
        <v>222</v>
      </c>
      <c r="C221" s="1">
        <v>45480</v>
      </c>
      <c r="D221" s="1" t="str">
        <f>PROPER(orders[[#This Row],[order_priority]])</f>
        <v>Standard</v>
      </c>
      <c r="E221" t="s">
        <v>13317</v>
      </c>
      <c r="F221" t="str">
        <f>IFERROR(INDEX(customers[country], MATCH(orders[[#This Row],[customer_id]], customers[customer_id], 0)), "Unmapped")</f>
        <v>Norway</v>
      </c>
      <c r="G221" t="str">
        <f>IFERROR(INDEX(Region_Map[Region], MATCH(orders[[#This Row],[Customer_Country]], Region_Map[Country], 0)), "Unknown")</f>
        <v>Nordics</v>
      </c>
      <c r="H221" t="s">
        <v>6949</v>
      </c>
    </row>
    <row r="222" spans="1:8">
      <c r="A222" t="s">
        <v>1133</v>
      </c>
      <c r="B222" t="s">
        <v>27</v>
      </c>
      <c r="C222" s="1">
        <v>45498</v>
      </c>
      <c r="D222" s="1" t="str">
        <f>PROPER(orders[[#This Row],[order_priority]])</f>
        <v>Express</v>
      </c>
      <c r="E222" t="s">
        <v>13318</v>
      </c>
      <c r="F222" t="str">
        <f>IFERROR(INDEX(customers[country], MATCH(orders[[#This Row],[customer_id]], customers[customer_id], 0)), "Unmapped")</f>
        <v>Latvia</v>
      </c>
      <c r="G222" t="str">
        <f>IFERROR(INDEX(Region_Map[Region], MATCH(orders[[#This Row],[Customer_Country]], Region_Map[Country], 0)), "Unknown")</f>
        <v>Baltics</v>
      </c>
      <c r="H222" t="s">
        <v>6949</v>
      </c>
    </row>
    <row r="223" spans="1:8">
      <c r="A223" t="s">
        <v>1134</v>
      </c>
      <c r="B223" t="s">
        <v>813</v>
      </c>
      <c r="C223" s="1">
        <v>45406</v>
      </c>
      <c r="D223" s="1" t="str">
        <f>PROPER(orders[[#This Row],[order_priority]])</f>
        <v>Economy</v>
      </c>
      <c r="E223" t="s">
        <v>13328</v>
      </c>
      <c r="F223" t="str">
        <f>IFERROR(INDEX(customers[country], MATCH(orders[[#This Row],[customer_id]], customers[customer_id], 0)), "Unmapped")</f>
        <v>Norway</v>
      </c>
      <c r="G223" t="str">
        <f>IFERROR(INDEX(Region_Map[Region], MATCH(orders[[#This Row],[Customer_Country]], Region_Map[Country], 0)), "Unknown")</f>
        <v>Nordics</v>
      </c>
      <c r="H223" t="s">
        <v>6949</v>
      </c>
    </row>
    <row r="224" spans="1:8">
      <c r="A224" t="s">
        <v>1135</v>
      </c>
      <c r="B224" t="s">
        <v>527</v>
      </c>
      <c r="C224" s="1">
        <v>45142</v>
      </c>
      <c r="D224" s="1" t="str">
        <f>PROPER(orders[[#This Row],[order_priority]])</f>
        <v>Same Day</v>
      </c>
      <c r="E224" t="s">
        <v>13322</v>
      </c>
      <c r="F224" t="str">
        <f>IFERROR(INDEX(customers[country], MATCH(orders[[#This Row],[customer_id]], customers[customer_id], 0)), "Unmapped")</f>
        <v>Sweden</v>
      </c>
      <c r="G224" t="str">
        <f>IFERROR(INDEX(Region_Map[Region], MATCH(orders[[#This Row],[Customer_Country]], Region_Map[Country], 0)), "Unknown")</f>
        <v>Nordics</v>
      </c>
      <c r="H224" t="s">
        <v>6949</v>
      </c>
    </row>
    <row r="225" spans="1:8">
      <c r="A225" t="s">
        <v>1136</v>
      </c>
      <c r="B225" t="s">
        <v>755</v>
      </c>
      <c r="C225" s="1">
        <v>45052</v>
      </c>
      <c r="D225" s="1" t="str">
        <f>PROPER(orders[[#This Row],[order_priority]])</f>
        <v>Express</v>
      </c>
      <c r="E225" t="s">
        <v>13320</v>
      </c>
      <c r="F225" t="str">
        <f>IFERROR(INDEX(customers[country], MATCH(orders[[#This Row],[customer_id]], customers[customer_id], 0)), "Unmapped")</f>
        <v>Denmark</v>
      </c>
      <c r="G225" t="str">
        <f>IFERROR(INDEX(Region_Map[Region], MATCH(orders[[#This Row],[Customer_Country]], Region_Map[Country], 0)), "Unknown")</f>
        <v>Nordics</v>
      </c>
      <c r="H225" t="s">
        <v>6949</v>
      </c>
    </row>
    <row r="226" spans="1:8">
      <c r="A226" t="s">
        <v>1137</v>
      </c>
      <c r="B226" t="s">
        <v>249</v>
      </c>
      <c r="C226" s="1">
        <v>44940</v>
      </c>
      <c r="D226" s="1" t="str">
        <f>PROPER(orders[[#This Row],[order_priority]])</f>
        <v>Same Day</v>
      </c>
      <c r="E226" t="s">
        <v>13322</v>
      </c>
      <c r="F226" t="str">
        <f>IFERROR(INDEX(customers[country], MATCH(orders[[#This Row],[customer_id]], customers[customer_id], 0)), "Unmapped")</f>
        <v>Estonia</v>
      </c>
      <c r="G226" t="str">
        <f>IFERROR(INDEX(Region_Map[Region], MATCH(orders[[#This Row],[Customer_Country]], Region_Map[Country], 0)), "Unknown")</f>
        <v>Baltics</v>
      </c>
      <c r="H226" t="s">
        <v>6949</v>
      </c>
    </row>
    <row r="227" spans="1:8">
      <c r="A227" t="s">
        <v>1138</v>
      </c>
      <c r="B227" t="s">
        <v>261</v>
      </c>
      <c r="C227" s="1">
        <v>45115</v>
      </c>
      <c r="D227" s="1" t="str">
        <f>PROPER(orders[[#This Row],[order_priority]])</f>
        <v>Same Day</v>
      </c>
      <c r="E227" t="s">
        <v>13322</v>
      </c>
      <c r="F227" t="str">
        <f>IFERROR(INDEX(customers[country], MATCH(orders[[#This Row],[customer_id]], customers[customer_id], 0)), "Unmapped")</f>
        <v>Germany</v>
      </c>
      <c r="G227" t="str">
        <f>IFERROR(INDEX(Region_Map[Region], MATCH(orders[[#This Row],[Customer_Country]], Region_Map[Country], 0)), "Unknown")</f>
        <v>Central Europe</v>
      </c>
      <c r="H227" t="s">
        <v>6949</v>
      </c>
    </row>
    <row r="228" spans="1:8">
      <c r="A228" t="s">
        <v>1139</v>
      </c>
      <c r="B228" t="s">
        <v>285</v>
      </c>
      <c r="C228" s="1">
        <v>45244</v>
      </c>
      <c r="D228" s="1" t="str">
        <f>PROPER(orders[[#This Row],[order_priority]])</f>
        <v>Standard</v>
      </c>
      <c r="E228" t="s">
        <v>13317</v>
      </c>
      <c r="F228" t="str">
        <f>IFERROR(INDEX(customers[country], MATCH(orders[[#This Row],[customer_id]], customers[customer_id], 0)), "Unmapped")</f>
        <v>Norway</v>
      </c>
      <c r="G228" t="str">
        <f>IFERROR(INDEX(Region_Map[Region], MATCH(orders[[#This Row],[Customer_Country]], Region_Map[Country], 0)), "Unknown")</f>
        <v>Nordics</v>
      </c>
      <c r="H228" t="s">
        <v>6949</v>
      </c>
    </row>
    <row r="229" spans="1:8">
      <c r="A229" t="s">
        <v>1140</v>
      </c>
      <c r="B229" t="s">
        <v>527</v>
      </c>
      <c r="C229" s="1">
        <v>45544</v>
      </c>
      <c r="D229" s="1" t="str">
        <f>PROPER(orders[[#This Row],[order_priority]])</f>
        <v>Express</v>
      </c>
      <c r="E229" t="s">
        <v>13318</v>
      </c>
      <c r="F229" t="str">
        <f>IFERROR(INDEX(customers[country], MATCH(orders[[#This Row],[customer_id]], customers[customer_id], 0)), "Unmapped")</f>
        <v>Sweden</v>
      </c>
      <c r="G229" t="str">
        <f>IFERROR(INDEX(Region_Map[Region], MATCH(orders[[#This Row],[Customer_Country]], Region_Map[Country], 0)), "Unknown")</f>
        <v>Nordics</v>
      </c>
      <c r="H229" t="s">
        <v>6949</v>
      </c>
    </row>
    <row r="230" spans="1:8">
      <c r="A230" t="s">
        <v>1141</v>
      </c>
      <c r="B230" t="s">
        <v>614</v>
      </c>
      <c r="C230" s="1">
        <v>45045</v>
      </c>
      <c r="D230" s="1" t="str">
        <f>PROPER(orders[[#This Row],[order_priority]])</f>
        <v>Economy</v>
      </c>
      <c r="E230" t="s">
        <v>13316</v>
      </c>
      <c r="F230" t="str">
        <f>IFERROR(INDEX(customers[country], MATCH(orders[[#This Row],[customer_id]], customers[customer_id], 0)), "Unmapped")</f>
        <v>Latvia</v>
      </c>
      <c r="G230" t="str">
        <f>IFERROR(INDEX(Region_Map[Region], MATCH(orders[[#This Row],[Customer_Country]], Region_Map[Country], 0)), "Unknown")</f>
        <v>Baltics</v>
      </c>
      <c r="H230" t="s">
        <v>6949</v>
      </c>
    </row>
    <row r="231" spans="1:8">
      <c r="A231" t="s">
        <v>1142</v>
      </c>
      <c r="B231" t="s">
        <v>527</v>
      </c>
      <c r="C231" s="1">
        <v>45348</v>
      </c>
      <c r="D231" s="1" t="str">
        <f>PROPER(orders[[#This Row],[order_priority]])</f>
        <v>Standard</v>
      </c>
      <c r="E231" t="s">
        <v>13323</v>
      </c>
      <c r="F231" t="str">
        <f>IFERROR(INDEX(customers[country], MATCH(orders[[#This Row],[customer_id]], customers[customer_id], 0)), "Unmapped")</f>
        <v>Sweden</v>
      </c>
      <c r="G231" t="str">
        <f>IFERROR(INDEX(Region_Map[Region], MATCH(orders[[#This Row],[Customer_Country]], Region_Map[Country], 0)), "Unknown")</f>
        <v>Nordics</v>
      </c>
      <c r="H231" t="s">
        <v>6949</v>
      </c>
    </row>
    <row r="232" spans="1:8">
      <c r="A232" t="s">
        <v>1143</v>
      </c>
      <c r="B232" t="s">
        <v>347</v>
      </c>
      <c r="C232" s="1">
        <v>45129</v>
      </c>
      <c r="D232" s="1" t="str">
        <f>PROPER(orders[[#This Row],[order_priority]])</f>
        <v>Standard</v>
      </c>
      <c r="E232" t="s">
        <v>13317</v>
      </c>
      <c r="F232" t="str">
        <f>IFERROR(INDEX(customers[country], MATCH(orders[[#This Row],[customer_id]], customers[customer_id], 0)), "Unmapped")</f>
        <v>Norway</v>
      </c>
      <c r="G232" t="str">
        <f>IFERROR(INDEX(Region_Map[Region], MATCH(orders[[#This Row],[Customer_Country]], Region_Map[Country], 0)), "Unknown")</f>
        <v>Nordics</v>
      </c>
      <c r="H232" t="s">
        <v>6949</v>
      </c>
    </row>
    <row r="233" spans="1:8">
      <c r="A233" t="s">
        <v>1144</v>
      </c>
      <c r="B233" t="s">
        <v>404</v>
      </c>
      <c r="C233" s="1">
        <v>45083</v>
      </c>
      <c r="D233" s="1" t="str">
        <f>PROPER(orders[[#This Row],[order_priority]])</f>
        <v>Standard</v>
      </c>
      <c r="E233" t="s">
        <v>13317</v>
      </c>
      <c r="F233" t="str">
        <f>IFERROR(INDEX(customers[country], MATCH(orders[[#This Row],[customer_id]], customers[customer_id], 0)), "Unmapped")</f>
        <v>Latvia</v>
      </c>
      <c r="G233" t="str">
        <f>IFERROR(INDEX(Region_Map[Region], MATCH(orders[[#This Row],[Customer_Country]], Region_Map[Country], 0)), "Unknown")</f>
        <v>Baltics</v>
      </c>
      <c r="H233" t="s">
        <v>6949</v>
      </c>
    </row>
    <row r="234" spans="1:8">
      <c r="A234" t="s">
        <v>1145</v>
      </c>
      <c r="B234" t="s">
        <v>160</v>
      </c>
      <c r="C234" s="1">
        <v>45507</v>
      </c>
      <c r="D234" s="1" t="str">
        <f>PROPER(orders[[#This Row],[order_priority]])</f>
        <v>Standard</v>
      </c>
      <c r="E234" t="s">
        <v>13319</v>
      </c>
      <c r="F234" t="str">
        <f>IFERROR(INDEX(customers[country], MATCH(orders[[#This Row],[customer_id]], customers[customer_id], 0)), "Unmapped")</f>
        <v>Denmark</v>
      </c>
      <c r="G234" t="str">
        <f>IFERROR(INDEX(Region_Map[Region], MATCH(orders[[#This Row],[Customer_Country]], Region_Map[Country], 0)), "Unknown")</f>
        <v>Nordics</v>
      </c>
      <c r="H234" t="s">
        <v>6949</v>
      </c>
    </row>
    <row r="235" spans="1:8">
      <c r="A235" t="s">
        <v>1146</v>
      </c>
      <c r="B235" t="s">
        <v>303</v>
      </c>
      <c r="C235" s="1">
        <v>45415</v>
      </c>
      <c r="D235" s="1" t="str">
        <f>PROPER(orders[[#This Row],[order_priority]])</f>
        <v>Economy</v>
      </c>
      <c r="E235" t="s">
        <v>13316</v>
      </c>
      <c r="F235" t="str">
        <f>IFERROR(INDEX(customers[country], MATCH(orders[[#This Row],[customer_id]], customers[customer_id], 0)), "Unmapped")</f>
        <v>Netherlands</v>
      </c>
      <c r="G235" t="str">
        <f>IFERROR(INDEX(Region_Map[Region], MATCH(orders[[#This Row],[Customer_Country]], Region_Map[Country], 0)), "Unknown")</f>
        <v>Central Europe</v>
      </c>
      <c r="H235" t="s">
        <v>6949</v>
      </c>
    </row>
    <row r="236" spans="1:8">
      <c r="A236" t="s">
        <v>1147</v>
      </c>
      <c r="B236" t="s">
        <v>743</v>
      </c>
      <c r="C236" s="1">
        <v>44981</v>
      </c>
      <c r="D236" s="1" t="str">
        <f>PROPER(orders[[#This Row],[order_priority]])</f>
        <v>Standard</v>
      </c>
      <c r="E236" t="s">
        <v>13317</v>
      </c>
      <c r="F236" t="str">
        <f>IFERROR(INDEX(customers[country], MATCH(orders[[#This Row],[customer_id]], customers[customer_id], 0)), "Unmapped")</f>
        <v>Germany</v>
      </c>
      <c r="G236" t="str">
        <f>IFERROR(INDEX(Region_Map[Region], MATCH(orders[[#This Row],[Customer_Country]], Region_Map[Country], 0)), "Unknown")</f>
        <v>Central Europe</v>
      </c>
      <c r="H236" t="s">
        <v>6949</v>
      </c>
    </row>
    <row r="237" spans="1:8">
      <c r="A237" t="s">
        <v>1148</v>
      </c>
      <c r="B237" t="s">
        <v>326</v>
      </c>
      <c r="C237" s="1">
        <v>45127</v>
      </c>
      <c r="D237" s="1" t="str">
        <f>PROPER(orders[[#This Row],[order_priority]])</f>
        <v>Standard</v>
      </c>
      <c r="E237" t="s">
        <v>13317</v>
      </c>
      <c r="F237" t="str">
        <f>IFERROR(INDEX(customers[country], MATCH(orders[[#This Row],[customer_id]], customers[customer_id], 0)), "Unmapped")</f>
        <v>Lithuania</v>
      </c>
      <c r="G237" t="str">
        <f>IFERROR(INDEX(Region_Map[Region], MATCH(orders[[#This Row],[Customer_Country]], Region_Map[Country], 0)), "Unknown")</f>
        <v>Baltics</v>
      </c>
      <c r="H237" t="s">
        <v>6949</v>
      </c>
    </row>
    <row r="238" spans="1:8">
      <c r="A238" t="s">
        <v>1149</v>
      </c>
      <c r="B238" t="s">
        <v>635</v>
      </c>
      <c r="C238" s="1">
        <v>45290</v>
      </c>
      <c r="D238" s="1" t="str">
        <f>PROPER(orders[[#This Row],[order_priority]])</f>
        <v>Economy</v>
      </c>
      <c r="E238" t="s">
        <v>13316</v>
      </c>
      <c r="F238" t="str">
        <f>IFERROR(INDEX(customers[country], MATCH(orders[[#This Row],[customer_id]], customers[customer_id], 0)), "Unmapped")</f>
        <v>Latvia</v>
      </c>
      <c r="G238" t="str">
        <f>IFERROR(INDEX(Region_Map[Region], MATCH(orders[[#This Row],[Customer_Country]], Region_Map[Country], 0)), "Unknown")</f>
        <v>Baltics</v>
      </c>
      <c r="H238" t="s">
        <v>6949</v>
      </c>
    </row>
    <row r="239" spans="1:8">
      <c r="A239" t="s">
        <v>1150</v>
      </c>
      <c r="B239" t="s">
        <v>207</v>
      </c>
      <c r="C239" s="1">
        <v>45458</v>
      </c>
      <c r="D239" s="1" t="str">
        <f>PROPER(orders[[#This Row],[order_priority]])</f>
        <v>Express</v>
      </c>
      <c r="E239" t="s">
        <v>13318</v>
      </c>
      <c r="F239" t="str">
        <f>IFERROR(INDEX(customers[country], MATCH(orders[[#This Row],[customer_id]], customers[customer_id], 0)), "Unmapped")</f>
        <v>Poland</v>
      </c>
      <c r="G239" t="str">
        <f>IFERROR(INDEX(Region_Map[Region], MATCH(orders[[#This Row],[Customer_Country]], Region_Map[Country], 0)), "Unknown")</f>
        <v>Central Europe</v>
      </c>
      <c r="H239" t="s">
        <v>6949</v>
      </c>
    </row>
    <row r="240" spans="1:8">
      <c r="A240" t="s">
        <v>1151</v>
      </c>
      <c r="B240" t="s">
        <v>38</v>
      </c>
      <c r="C240" s="1">
        <v>45611</v>
      </c>
      <c r="D240" s="1" t="str">
        <f>PROPER(orders[[#This Row],[order_priority]])</f>
        <v>Standard</v>
      </c>
      <c r="E240" t="s">
        <v>13317</v>
      </c>
      <c r="F240" t="str">
        <f>IFERROR(INDEX(customers[country], MATCH(orders[[#This Row],[customer_id]], customers[customer_id], 0)), "Unmapped")</f>
        <v>Lithuania</v>
      </c>
      <c r="G240" t="str">
        <f>IFERROR(INDEX(Region_Map[Region], MATCH(orders[[#This Row],[Customer_Country]], Region_Map[Country], 0)), "Unknown")</f>
        <v>Baltics</v>
      </c>
      <c r="H240" t="s">
        <v>6949</v>
      </c>
    </row>
    <row r="241" spans="1:8">
      <c r="A241" t="s">
        <v>1152</v>
      </c>
      <c r="B241" t="s">
        <v>623</v>
      </c>
      <c r="C241" s="1">
        <v>45109</v>
      </c>
      <c r="D241" s="1" t="str">
        <f>PROPER(orders[[#This Row],[order_priority]])</f>
        <v>Standard</v>
      </c>
      <c r="E241" t="s">
        <v>13317</v>
      </c>
      <c r="F241" t="str">
        <f>IFERROR(INDEX(customers[country], MATCH(orders[[#This Row],[customer_id]], customers[customer_id], 0)), "Unmapped")</f>
        <v>Denmark</v>
      </c>
      <c r="G241" t="str">
        <f>IFERROR(INDEX(Region_Map[Region], MATCH(orders[[#This Row],[Customer_Country]], Region_Map[Country], 0)), "Unknown")</f>
        <v>Nordics</v>
      </c>
      <c r="H241" t="s">
        <v>6949</v>
      </c>
    </row>
    <row r="242" spans="1:8">
      <c r="A242" t="s">
        <v>1153</v>
      </c>
      <c r="B242" t="s">
        <v>703</v>
      </c>
      <c r="C242" s="1">
        <v>45007</v>
      </c>
      <c r="D242" s="1" t="str">
        <f>PROPER(orders[[#This Row],[order_priority]])</f>
        <v>Standard</v>
      </c>
      <c r="E242" t="s">
        <v>13317</v>
      </c>
      <c r="F242" t="str">
        <f>IFERROR(INDEX(customers[country], MATCH(orders[[#This Row],[customer_id]], customers[customer_id], 0)), "Unmapped")</f>
        <v>Estonia</v>
      </c>
      <c r="G242" t="str">
        <f>IFERROR(INDEX(Region_Map[Region], MATCH(orders[[#This Row],[Customer_Country]], Region_Map[Country], 0)), "Unknown")</f>
        <v>Baltics</v>
      </c>
      <c r="H242" t="s">
        <v>6949</v>
      </c>
    </row>
    <row r="243" spans="1:8">
      <c r="A243" t="s">
        <v>1154</v>
      </c>
      <c r="B243" t="s">
        <v>416</v>
      </c>
      <c r="C243" s="1">
        <v>45425</v>
      </c>
      <c r="D243" s="1" t="str">
        <f>PROPER(orders[[#This Row],[order_priority]])</f>
        <v>Standard</v>
      </c>
      <c r="E243" t="s">
        <v>13317</v>
      </c>
      <c r="F243" t="str">
        <f>IFERROR(INDEX(customers[country], MATCH(orders[[#This Row],[customer_id]], customers[customer_id], 0)), "Unmapped")</f>
        <v>Denmark</v>
      </c>
      <c r="G243" t="str">
        <f>IFERROR(INDEX(Region_Map[Region], MATCH(orders[[#This Row],[Customer_Country]], Region_Map[Country], 0)), "Unknown")</f>
        <v>Nordics</v>
      </c>
      <c r="H243" t="s">
        <v>6949</v>
      </c>
    </row>
    <row r="244" spans="1:8">
      <c r="A244" t="s">
        <v>1155</v>
      </c>
      <c r="B244" t="s">
        <v>398</v>
      </c>
      <c r="C244" s="1">
        <v>45407</v>
      </c>
      <c r="D244" s="1" t="str">
        <f>PROPER(orders[[#This Row],[order_priority]])</f>
        <v>Standard</v>
      </c>
      <c r="E244" t="s">
        <v>13317</v>
      </c>
      <c r="F244" t="str">
        <f>IFERROR(INDEX(customers[country], MATCH(orders[[#This Row],[customer_id]], customers[customer_id], 0)), "Unmapped")</f>
        <v>Sweden</v>
      </c>
      <c r="G244" t="str">
        <f>IFERROR(INDEX(Region_Map[Region], MATCH(orders[[#This Row],[Customer_Country]], Region_Map[Country], 0)), "Unknown")</f>
        <v>Nordics</v>
      </c>
      <c r="H244" t="s">
        <v>6949</v>
      </c>
    </row>
    <row r="245" spans="1:8">
      <c r="A245" t="s">
        <v>1156</v>
      </c>
      <c r="B245" t="s">
        <v>389</v>
      </c>
      <c r="C245" s="1">
        <v>45557</v>
      </c>
      <c r="D245" s="1" t="str">
        <f>PROPER(orders[[#This Row],[order_priority]])</f>
        <v>Standard</v>
      </c>
      <c r="E245" t="s">
        <v>13317</v>
      </c>
      <c r="F245" t="str">
        <f>IFERROR(INDEX(customers[country], MATCH(orders[[#This Row],[customer_id]], customers[customer_id], 0)), "Unmapped")</f>
        <v>Poland</v>
      </c>
      <c r="G245" t="str">
        <f>IFERROR(INDEX(Region_Map[Region], MATCH(orders[[#This Row],[Customer_Country]], Region_Map[Country], 0)), "Unknown")</f>
        <v>Central Europe</v>
      </c>
      <c r="H245" t="s">
        <v>6949</v>
      </c>
    </row>
    <row r="246" spans="1:8">
      <c r="A246" t="s">
        <v>1157</v>
      </c>
      <c r="B246" t="s">
        <v>712</v>
      </c>
      <c r="C246" s="1">
        <v>45194</v>
      </c>
      <c r="D246" s="1" t="str">
        <f>PROPER(orders[[#This Row],[order_priority]])</f>
        <v>Express</v>
      </c>
      <c r="E246" t="s">
        <v>13318</v>
      </c>
      <c r="F246" t="str">
        <f>IFERROR(INDEX(customers[country], MATCH(orders[[#This Row],[customer_id]], customers[customer_id], 0)), "Unmapped")</f>
        <v>Finland</v>
      </c>
      <c r="G246" t="str">
        <f>IFERROR(INDEX(Region_Map[Region], MATCH(orders[[#This Row],[Customer_Country]], Region_Map[Country], 0)), "Unknown")</f>
        <v>Nordics</v>
      </c>
      <c r="H246" t="s">
        <v>6949</v>
      </c>
    </row>
    <row r="247" spans="1:8">
      <c r="A247" t="s">
        <v>1158</v>
      </c>
      <c r="B247" t="s">
        <v>255</v>
      </c>
      <c r="C247" s="1">
        <v>45209</v>
      </c>
      <c r="D247" s="1" t="str">
        <f>PROPER(orders[[#This Row],[order_priority]])</f>
        <v>Same Day</v>
      </c>
      <c r="E247" t="s">
        <v>13322</v>
      </c>
      <c r="F247" t="str">
        <f>IFERROR(INDEX(customers[country], MATCH(orders[[#This Row],[customer_id]], customers[customer_id], 0)), "Unmapped")</f>
        <v>Sweden</v>
      </c>
      <c r="G247" t="str">
        <f>IFERROR(INDEX(Region_Map[Region], MATCH(orders[[#This Row],[Customer_Country]], Region_Map[Country], 0)), "Unknown")</f>
        <v>Nordics</v>
      </c>
      <c r="H247" t="s">
        <v>6949</v>
      </c>
    </row>
    <row r="248" spans="1:8">
      <c r="A248" t="s">
        <v>1159</v>
      </c>
      <c r="B248" t="s">
        <v>721</v>
      </c>
      <c r="C248" s="1">
        <v>44976</v>
      </c>
      <c r="D248" s="1" t="str">
        <f>PROPER(orders[[#This Row],[order_priority]])</f>
        <v>Standard</v>
      </c>
      <c r="E248" t="s">
        <v>13317</v>
      </c>
      <c r="F248" t="str">
        <f>IFERROR(INDEX(customers[country], MATCH(orders[[#This Row],[customer_id]], customers[customer_id], 0)), "Unmapped")</f>
        <v>Netherlands</v>
      </c>
      <c r="G248" t="str">
        <f>IFERROR(INDEX(Region_Map[Region], MATCH(orders[[#This Row],[Customer_Country]], Region_Map[Country], 0)), "Unknown")</f>
        <v>Central Europe</v>
      </c>
      <c r="H248" t="s">
        <v>6949</v>
      </c>
    </row>
    <row r="249" spans="1:8">
      <c r="A249" t="s">
        <v>1160</v>
      </c>
      <c r="B249" t="s">
        <v>309</v>
      </c>
      <c r="C249" s="1">
        <v>45519</v>
      </c>
      <c r="D249" s="1" t="str">
        <f>PROPER(orders[[#This Row],[order_priority]])</f>
        <v>Economy</v>
      </c>
      <c r="E249" t="s">
        <v>13316</v>
      </c>
      <c r="F249" t="str">
        <f>IFERROR(INDEX(customers[country], MATCH(orders[[#This Row],[customer_id]], customers[customer_id], 0)), "Unmapped")</f>
        <v>Lithuania</v>
      </c>
      <c r="G249" t="str">
        <f>IFERROR(INDEX(Region_Map[Region], MATCH(orders[[#This Row],[Customer_Country]], Region_Map[Country], 0)), "Unknown")</f>
        <v>Baltics</v>
      </c>
      <c r="H249" t="s">
        <v>6949</v>
      </c>
    </row>
    <row r="250" spans="1:8">
      <c r="A250" t="s">
        <v>1161</v>
      </c>
      <c r="B250" t="s">
        <v>204</v>
      </c>
      <c r="C250" s="1">
        <v>44994</v>
      </c>
      <c r="D250" s="1" t="str">
        <f>PROPER(orders[[#This Row],[order_priority]])</f>
        <v>Express</v>
      </c>
      <c r="E250" t="s">
        <v>13318</v>
      </c>
      <c r="F250" t="str">
        <f>IFERROR(INDEX(customers[country], MATCH(orders[[#This Row],[customer_id]], customers[customer_id], 0)), "Unmapped")</f>
        <v>Sweden</v>
      </c>
      <c r="G250" t="str">
        <f>IFERROR(INDEX(Region_Map[Region], MATCH(orders[[#This Row],[Customer_Country]], Region_Map[Country], 0)), "Unknown")</f>
        <v>Nordics</v>
      </c>
      <c r="H250" t="s">
        <v>6949</v>
      </c>
    </row>
    <row r="251" spans="1:8">
      <c r="A251" t="s">
        <v>1162</v>
      </c>
      <c r="B251" t="s">
        <v>13331</v>
      </c>
      <c r="C251" s="1">
        <v>45280</v>
      </c>
      <c r="D251" s="1" t="str">
        <f>PROPER(orders[[#This Row],[order_priority]])</f>
        <v>Same Day</v>
      </c>
      <c r="E251" t="s">
        <v>13322</v>
      </c>
      <c r="F251" t="str">
        <f>IFERROR(INDEX(customers[country], MATCH(orders[[#This Row],[customer_id]], customers[customer_id], 0)), "Unmapped")</f>
        <v>Unmapped</v>
      </c>
      <c r="G251" t="str">
        <f>IFERROR(INDEX(Region_Map[Region], MATCH(orders[[#This Row],[Customer_Country]], Region_Map[Country], 0)), "Unknown")</f>
        <v>Unknown</v>
      </c>
      <c r="H251" t="s">
        <v>6949</v>
      </c>
    </row>
    <row r="252" spans="1:8">
      <c r="A252" t="s">
        <v>1163</v>
      </c>
      <c r="B252" t="s">
        <v>909</v>
      </c>
      <c r="C252" s="1">
        <v>45081</v>
      </c>
      <c r="D252" s="1" t="str">
        <f>PROPER(orders[[#This Row],[order_priority]])</f>
        <v>Standard</v>
      </c>
      <c r="E252" t="s">
        <v>13317</v>
      </c>
      <c r="F252" t="str">
        <f>IFERROR(INDEX(customers[country], MATCH(orders[[#This Row],[customer_id]], customers[customer_id], 0)), "Unmapped")</f>
        <v>Poland</v>
      </c>
      <c r="G252" t="str">
        <f>IFERROR(INDEX(Region_Map[Region], MATCH(orders[[#This Row],[Customer_Country]], Region_Map[Country], 0)), "Unknown")</f>
        <v>Central Europe</v>
      </c>
      <c r="H252" t="s">
        <v>6949</v>
      </c>
    </row>
    <row r="253" spans="1:8">
      <c r="A253" t="s">
        <v>1164</v>
      </c>
      <c r="B253" t="s">
        <v>291</v>
      </c>
      <c r="C253" s="1">
        <v>44931</v>
      </c>
      <c r="D253" s="1" t="str">
        <f>PROPER(orders[[#This Row],[order_priority]])</f>
        <v>Economy</v>
      </c>
      <c r="E253" t="s">
        <v>13316</v>
      </c>
      <c r="F253" t="str">
        <f>IFERROR(INDEX(customers[country], MATCH(orders[[#This Row],[customer_id]], customers[customer_id], 0)), "Unmapped")</f>
        <v>Poland</v>
      </c>
      <c r="G253" t="str">
        <f>IFERROR(INDEX(Region_Map[Region], MATCH(orders[[#This Row],[Customer_Country]], Region_Map[Country], 0)), "Unknown")</f>
        <v>Central Europe</v>
      </c>
      <c r="H253" t="s">
        <v>6949</v>
      </c>
    </row>
    <row r="254" spans="1:8">
      <c r="A254" t="s">
        <v>1165</v>
      </c>
      <c r="B254" t="s">
        <v>30</v>
      </c>
      <c r="C254" s="1">
        <v>45183</v>
      </c>
      <c r="D254" s="1" t="str">
        <f>PROPER(orders[[#This Row],[order_priority]])</f>
        <v>Standard</v>
      </c>
      <c r="E254" t="s">
        <v>13317</v>
      </c>
      <c r="F254" t="str">
        <f>IFERROR(INDEX(customers[country], MATCH(orders[[#This Row],[customer_id]], customers[customer_id], 0)), "Unmapped")</f>
        <v>Netherlands</v>
      </c>
      <c r="G254" t="str">
        <f>IFERROR(INDEX(Region_Map[Region], MATCH(orders[[#This Row],[Customer_Country]], Region_Map[Country], 0)), "Unknown")</f>
        <v>Central Europe</v>
      </c>
      <c r="H254" t="s">
        <v>6949</v>
      </c>
    </row>
    <row r="255" spans="1:8">
      <c r="A255" t="s">
        <v>1166</v>
      </c>
      <c r="B255" t="s">
        <v>252</v>
      </c>
      <c r="C255" s="1">
        <v>44979</v>
      </c>
      <c r="D255" s="1" t="str">
        <f>PROPER(orders[[#This Row],[order_priority]])</f>
        <v>Express</v>
      </c>
      <c r="E255" t="s">
        <v>13318</v>
      </c>
      <c r="F255" t="str">
        <f>IFERROR(INDEX(customers[country], MATCH(orders[[#This Row],[customer_id]], customers[customer_id], 0)), "Unmapped")</f>
        <v>Lithuania</v>
      </c>
      <c r="G255" t="str">
        <f>IFERROR(INDEX(Region_Map[Region], MATCH(orders[[#This Row],[Customer_Country]], Region_Map[Country], 0)), "Unknown")</f>
        <v>Baltics</v>
      </c>
      <c r="H255" t="s">
        <v>6949</v>
      </c>
    </row>
    <row r="256" spans="1:8">
      <c r="A256" t="s">
        <v>1167</v>
      </c>
      <c r="B256" t="s">
        <v>682</v>
      </c>
      <c r="C256" s="1">
        <v>45477</v>
      </c>
      <c r="D256" s="1" t="str">
        <f>PROPER(orders[[#This Row],[order_priority]])</f>
        <v>Express</v>
      </c>
      <c r="E256" t="s">
        <v>13318</v>
      </c>
      <c r="F256" t="str">
        <f>IFERROR(INDEX(customers[country], MATCH(orders[[#This Row],[customer_id]], customers[customer_id], 0)), "Unmapped")</f>
        <v>Germany</v>
      </c>
      <c r="G256" t="str">
        <f>IFERROR(INDEX(Region_Map[Region], MATCH(orders[[#This Row],[Customer_Country]], Region_Map[Country], 0)), "Unknown")</f>
        <v>Central Europe</v>
      </c>
      <c r="H256" t="s">
        <v>6949</v>
      </c>
    </row>
    <row r="257" spans="1:8">
      <c r="A257" t="s">
        <v>1168</v>
      </c>
      <c r="B257" t="s">
        <v>730</v>
      </c>
      <c r="C257" s="1">
        <v>45586</v>
      </c>
      <c r="D257" s="1" t="str">
        <f>PROPER(orders[[#This Row],[order_priority]])</f>
        <v>Express</v>
      </c>
      <c r="E257" t="s">
        <v>13318</v>
      </c>
      <c r="F257" t="str">
        <f>IFERROR(INDEX(customers[country], MATCH(orders[[#This Row],[customer_id]], customers[customer_id], 0)), "Unmapped")</f>
        <v>Lithuania</v>
      </c>
      <c r="G257" t="str">
        <f>IFERROR(INDEX(Region_Map[Region], MATCH(orders[[#This Row],[Customer_Country]], Region_Map[Country], 0)), "Unknown")</f>
        <v>Baltics</v>
      </c>
      <c r="H257" t="s">
        <v>6949</v>
      </c>
    </row>
    <row r="258" spans="1:8">
      <c r="A258" t="s">
        <v>1169</v>
      </c>
      <c r="B258" t="s">
        <v>590</v>
      </c>
      <c r="C258" s="1">
        <v>45354</v>
      </c>
      <c r="D258" s="1" t="str">
        <f>PROPER(orders[[#This Row],[order_priority]])</f>
        <v>Express</v>
      </c>
      <c r="E258" t="s">
        <v>13318</v>
      </c>
      <c r="F258" t="str">
        <f>IFERROR(INDEX(customers[country], MATCH(orders[[#This Row],[customer_id]], customers[customer_id], 0)), "Unmapped")</f>
        <v>Finland</v>
      </c>
      <c r="G258" t="str">
        <f>IFERROR(INDEX(Region_Map[Region], MATCH(orders[[#This Row],[Customer_Country]], Region_Map[Country], 0)), "Unknown")</f>
        <v>Nordics</v>
      </c>
      <c r="H258" t="s">
        <v>6949</v>
      </c>
    </row>
    <row r="259" spans="1:8">
      <c r="A259" t="s">
        <v>1170</v>
      </c>
      <c r="B259" t="s">
        <v>6949</v>
      </c>
      <c r="C259" s="1">
        <v>45402</v>
      </c>
      <c r="D259" s="1" t="str">
        <f>PROPER(orders[[#This Row],[order_priority]])</f>
        <v>Standard</v>
      </c>
      <c r="E259" t="s">
        <v>13317</v>
      </c>
      <c r="F259" t="str">
        <f>IFERROR(INDEX(customers[country], MATCH(orders[[#This Row],[customer_id]], customers[customer_id], 0)), "Unmapped")</f>
        <v>Unmapped</v>
      </c>
      <c r="G259" t="str">
        <f>IFERROR(INDEX(Region_Map[Region], MATCH(orders[[#This Row],[Customer_Country]], Region_Map[Country], 0)), "Unknown")</f>
        <v>Unknown</v>
      </c>
      <c r="H259" t="s">
        <v>6949</v>
      </c>
    </row>
    <row r="260" spans="1:8">
      <c r="A260" t="s">
        <v>1171</v>
      </c>
      <c r="B260" t="s">
        <v>231</v>
      </c>
      <c r="C260" s="1">
        <v>45187</v>
      </c>
      <c r="D260" s="1" t="str">
        <f>PROPER(orders[[#This Row],[order_priority]])</f>
        <v>Economy</v>
      </c>
      <c r="E260" t="s">
        <v>13316</v>
      </c>
      <c r="F260" t="str">
        <f>IFERROR(INDEX(customers[country], MATCH(orders[[#This Row],[customer_id]], customers[customer_id], 0)), "Unmapped")</f>
        <v>Lithuania</v>
      </c>
      <c r="G260" t="str">
        <f>IFERROR(INDEX(Region_Map[Region], MATCH(orders[[#This Row],[Customer_Country]], Region_Map[Country], 0)), "Unknown")</f>
        <v>Baltics</v>
      </c>
      <c r="H260" t="s">
        <v>6949</v>
      </c>
    </row>
    <row r="261" spans="1:8">
      <c r="A261" t="s">
        <v>1172</v>
      </c>
      <c r="B261" t="s">
        <v>846</v>
      </c>
      <c r="C261" s="1">
        <v>45320</v>
      </c>
      <c r="D261" s="1" t="str">
        <f>PROPER(orders[[#This Row],[order_priority]])</f>
        <v>Economy</v>
      </c>
      <c r="E261" t="s">
        <v>13316</v>
      </c>
      <c r="F261" t="str">
        <f>IFERROR(INDEX(customers[country], MATCH(orders[[#This Row],[customer_id]], customers[customer_id], 0)), "Unmapped")</f>
        <v>Netherlands</v>
      </c>
      <c r="G261" t="str">
        <f>IFERROR(INDEX(Region_Map[Region], MATCH(orders[[#This Row],[Customer_Country]], Region_Map[Country], 0)), "Unknown")</f>
        <v>Central Europe</v>
      </c>
      <c r="H261" t="s">
        <v>6949</v>
      </c>
    </row>
    <row r="262" spans="1:8">
      <c r="A262" t="s">
        <v>1173</v>
      </c>
      <c r="B262" t="s">
        <v>527</v>
      </c>
      <c r="C262" s="1">
        <v>45071</v>
      </c>
      <c r="D262" s="1" t="str">
        <f>PROPER(orders[[#This Row],[order_priority]])</f>
        <v>Standard</v>
      </c>
      <c r="E262" t="s">
        <v>13317</v>
      </c>
      <c r="F262" t="str">
        <f>IFERROR(INDEX(customers[country], MATCH(orders[[#This Row],[customer_id]], customers[customer_id], 0)), "Unmapped")</f>
        <v>Sweden</v>
      </c>
      <c r="G262" t="str">
        <f>IFERROR(INDEX(Region_Map[Region], MATCH(orders[[#This Row],[Customer_Country]], Region_Map[Country], 0)), "Unknown")</f>
        <v>Nordics</v>
      </c>
      <c r="H262" t="s">
        <v>6949</v>
      </c>
    </row>
    <row r="263" spans="1:8">
      <c r="A263" t="s">
        <v>1174</v>
      </c>
      <c r="B263" t="s">
        <v>906</v>
      </c>
      <c r="C263" s="1">
        <v>45364</v>
      </c>
      <c r="D263" s="1" t="str">
        <f>PROPER(orders[[#This Row],[order_priority]])</f>
        <v>Same Day</v>
      </c>
      <c r="E263" t="s">
        <v>13322</v>
      </c>
      <c r="F263" t="str">
        <f>IFERROR(INDEX(customers[country], MATCH(orders[[#This Row],[customer_id]], customers[customer_id], 0)), "Unmapped")</f>
        <v>Sweden</v>
      </c>
      <c r="G263" t="str">
        <f>IFERROR(INDEX(Region_Map[Region], MATCH(orders[[#This Row],[Customer_Country]], Region_Map[Country], 0)), "Unknown")</f>
        <v>Nordics</v>
      </c>
      <c r="H263" t="s">
        <v>6949</v>
      </c>
    </row>
    <row r="264" spans="1:8">
      <c r="A264" t="s">
        <v>1175</v>
      </c>
      <c r="B264" t="s">
        <v>198</v>
      </c>
      <c r="C264" s="1">
        <v>45253</v>
      </c>
      <c r="D264" s="1" t="str">
        <f>PROPER(orders[[#This Row],[order_priority]])</f>
        <v>Same Day</v>
      </c>
      <c r="E264" t="s">
        <v>13322</v>
      </c>
      <c r="F264" t="str">
        <f>IFERROR(INDEX(customers[country], MATCH(orders[[#This Row],[customer_id]], customers[customer_id], 0)), "Unmapped")</f>
        <v>Poland</v>
      </c>
      <c r="G264" t="str">
        <f>IFERROR(INDEX(Region_Map[Region], MATCH(orders[[#This Row],[Customer_Country]], Region_Map[Country], 0)), "Unknown")</f>
        <v>Central Europe</v>
      </c>
      <c r="H264" t="s">
        <v>6949</v>
      </c>
    </row>
    <row r="265" spans="1:8">
      <c r="A265" t="s">
        <v>1176</v>
      </c>
      <c r="B265" t="s">
        <v>464</v>
      </c>
      <c r="C265" s="1">
        <v>45457</v>
      </c>
      <c r="D265" s="1" t="str">
        <f>PROPER(orders[[#This Row],[order_priority]])</f>
        <v>Standard</v>
      </c>
      <c r="E265" t="s">
        <v>13317</v>
      </c>
      <c r="F265" t="str">
        <f>IFERROR(INDEX(customers[country], MATCH(orders[[#This Row],[customer_id]], customers[customer_id], 0)), "Unmapped")</f>
        <v>Finland</v>
      </c>
      <c r="G265" t="str">
        <f>IFERROR(INDEX(Region_Map[Region], MATCH(orders[[#This Row],[Customer_Country]], Region_Map[Country], 0)), "Unknown")</f>
        <v>Nordics</v>
      </c>
      <c r="H265" t="s">
        <v>6949</v>
      </c>
    </row>
    <row r="266" spans="1:8">
      <c r="A266" t="s">
        <v>1177</v>
      </c>
      <c r="B266" t="s">
        <v>425</v>
      </c>
      <c r="C266" s="1">
        <v>45457</v>
      </c>
      <c r="D266" s="1" t="str">
        <f>PROPER(orders[[#This Row],[order_priority]])</f>
        <v>Express</v>
      </c>
      <c r="E266" t="s">
        <v>13320</v>
      </c>
      <c r="F266" t="str">
        <f>IFERROR(INDEX(customers[country], MATCH(orders[[#This Row],[customer_id]], customers[customer_id], 0)), "Unmapped")</f>
        <v>Denmark</v>
      </c>
      <c r="G266" t="str">
        <f>IFERROR(INDEX(Region_Map[Region], MATCH(orders[[#This Row],[Customer_Country]], Region_Map[Country], 0)), "Unknown")</f>
        <v>Nordics</v>
      </c>
      <c r="H266" t="s">
        <v>6949</v>
      </c>
    </row>
    <row r="267" spans="1:8">
      <c r="A267" t="s">
        <v>1178</v>
      </c>
      <c r="B267" t="s">
        <v>587</v>
      </c>
      <c r="C267" s="1">
        <v>45559</v>
      </c>
      <c r="D267" s="1" t="str">
        <f>PROPER(orders[[#This Row],[order_priority]])</f>
        <v>Standard</v>
      </c>
      <c r="E267" t="s">
        <v>13317</v>
      </c>
      <c r="F267" t="str">
        <f>IFERROR(INDEX(customers[country], MATCH(orders[[#This Row],[customer_id]], customers[customer_id], 0)), "Unmapped")</f>
        <v>Finland</v>
      </c>
      <c r="G267" t="str">
        <f>IFERROR(INDEX(Region_Map[Region], MATCH(orders[[#This Row],[Customer_Country]], Region_Map[Country], 0)), "Unknown")</f>
        <v>Nordics</v>
      </c>
      <c r="H267" t="s">
        <v>6949</v>
      </c>
    </row>
    <row r="268" spans="1:8">
      <c r="A268" t="s">
        <v>1179</v>
      </c>
      <c r="B268" t="s">
        <v>682</v>
      </c>
      <c r="C268" s="1">
        <v>45353</v>
      </c>
      <c r="D268" s="1" t="str">
        <f>PROPER(orders[[#This Row],[order_priority]])</f>
        <v>Express</v>
      </c>
      <c r="E268" t="s">
        <v>13318</v>
      </c>
      <c r="F268" t="str">
        <f>IFERROR(INDEX(customers[country], MATCH(orders[[#This Row],[customer_id]], customers[customer_id], 0)), "Unmapped")</f>
        <v>Germany</v>
      </c>
      <c r="G268" t="str">
        <f>IFERROR(INDEX(Region_Map[Region], MATCH(orders[[#This Row],[Customer_Country]], Region_Map[Country], 0)), "Unknown")</f>
        <v>Central Europe</v>
      </c>
      <c r="H268" t="s">
        <v>6949</v>
      </c>
    </row>
    <row r="269" spans="1:8">
      <c r="A269" t="s">
        <v>1180</v>
      </c>
      <c r="B269" t="s">
        <v>752</v>
      </c>
      <c r="C269" s="1">
        <v>45352</v>
      </c>
      <c r="D269" s="1" t="str">
        <f>PROPER(orders[[#This Row],[order_priority]])</f>
        <v>Economy</v>
      </c>
      <c r="E269" t="s">
        <v>13316</v>
      </c>
      <c r="F269" t="str">
        <f>IFERROR(INDEX(customers[country], MATCH(orders[[#This Row],[customer_id]], customers[customer_id], 0)), "Unmapped")</f>
        <v>Estonia</v>
      </c>
      <c r="G269" t="str">
        <f>IFERROR(INDEX(Region_Map[Region], MATCH(orders[[#This Row],[Customer_Country]], Region_Map[Country], 0)), "Unknown")</f>
        <v>Baltics</v>
      </c>
      <c r="H269" t="s">
        <v>6949</v>
      </c>
    </row>
    <row r="270" spans="1:8">
      <c r="A270" t="s">
        <v>1181</v>
      </c>
      <c r="B270" t="s">
        <v>697</v>
      </c>
      <c r="C270" s="1">
        <v>45137</v>
      </c>
      <c r="D270" s="1" t="str">
        <f>PROPER(orders[[#This Row],[order_priority]])</f>
        <v>Same Day</v>
      </c>
      <c r="E270" t="s">
        <v>13324</v>
      </c>
      <c r="F270" t="str">
        <f>IFERROR(INDEX(customers[country], MATCH(orders[[#This Row],[customer_id]], customers[customer_id], 0)), "Unmapped")</f>
        <v>Estonia</v>
      </c>
      <c r="G270" t="str">
        <f>IFERROR(INDEX(Region_Map[Region], MATCH(orders[[#This Row],[Customer_Country]], Region_Map[Country], 0)), "Unknown")</f>
        <v>Baltics</v>
      </c>
      <c r="H270" t="s">
        <v>6949</v>
      </c>
    </row>
    <row r="271" spans="1:8">
      <c r="A271" t="s">
        <v>1182</v>
      </c>
      <c r="B271" t="s">
        <v>840</v>
      </c>
      <c r="C271" s="1">
        <v>45448</v>
      </c>
      <c r="D271" s="1" t="str">
        <f>PROPER(orders[[#This Row],[order_priority]])</f>
        <v>Same Day</v>
      </c>
      <c r="E271" t="s">
        <v>13322</v>
      </c>
      <c r="F271" t="str">
        <f>IFERROR(INDEX(customers[country], MATCH(orders[[#This Row],[customer_id]], customers[customer_id], 0)), "Unmapped")</f>
        <v>Finland</v>
      </c>
      <c r="G271" t="str">
        <f>IFERROR(INDEX(Region_Map[Region], MATCH(orders[[#This Row],[Customer_Country]], Region_Map[Country], 0)), "Unknown")</f>
        <v>Nordics</v>
      </c>
      <c r="H271" t="s">
        <v>6949</v>
      </c>
    </row>
    <row r="272" spans="1:8">
      <c r="A272" t="s">
        <v>1183</v>
      </c>
      <c r="B272" t="s">
        <v>368</v>
      </c>
      <c r="C272" s="1">
        <v>45188</v>
      </c>
      <c r="D272" s="1" t="str">
        <f>PROPER(orders[[#This Row],[order_priority]])</f>
        <v>Economy</v>
      </c>
      <c r="E272" t="s">
        <v>13316</v>
      </c>
      <c r="F272" t="str">
        <f>IFERROR(INDEX(customers[country], MATCH(orders[[#This Row],[customer_id]], customers[customer_id], 0)), "Unmapped")</f>
        <v>Poland</v>
      </c>
      <c r="G272" t="str">
        <f>IFERROR(INDEX(Region_Map[Region], MATCH(orders[[#This Row],[Customer_Country]], Region_Map[Country], 0)), "Unknown")</f>
        <v>Central Europe</v>
      </c>
      <c r="H272" t="s">
        <v>6949</v>
      </c>
    </row>
    <row r="273" spans="1:8">
      <c r="A273" t="s">
        <v>1184</v>
      </c>
      <c r="B273" t="s">
        <v>252</v>
      </c>
      <c r="C273" s="1">
        <v>44954</v>
      </c>
      <c r="D273" s="1" t="str">
        <f>PROPER(orders[[#This Row],[order_priority]])</f>
        <v>Same Day</v>
      </c>
      <c r="E273" t="s">
        <v>13324</v>
      </c>
      <c r="F273" t="str">
        <f>IFERROR(INDEX(customers[country], MATCH(orders[[#This Row],[customer_id]], customers[customer_id], 0)), "Unmapped")</f>
        <v>Lithuania</v>
      </c>
      <c r="G273" t="str">
        <f>IFERROR(INDEX(Region_Map[Region], MATCH(orders[[#This Row],[Customer_Country]], Region_Map[Country], 0)), "Unknown")</f>
        <v>Baltics</v>
      </c>
      <c r="H273" t="s">
        <v>6949</v>
      </c>
    </row>
    <row r="274" spans="1:8">
      <c r="A274" t="s">
        <v>1185</v>
      </c>
      <c r="B274" t="s">
        <v>563</v>
      </c>
      <c r="C274" s="1">
        <v>45511</v>
      </c>
      <c r="D274" s="1" t="str">
        <f>PROPER(orders[[#This Row],[order_priority]])</f>
        <v>Express</v>
      </c>
      <c r="E274" t="s">
        <v>13318</v>
      </c>
      <c r="F274" t="str">
        <f>IFERROR(INDEX(customers[country], MATCH(orders[[#This Row],[customer_id]], customers[customer_id], 0)), "Unmapped")</f>
        <v>Estonia</v>
      </c>
      <c r="G274" t="str">
        <f>IFERROR(INDEX(Region_Map[Region], MATCH(orders[[#This Row],[Customer_Country]], Region_Map[Country], 0)), "Unknown")</f>
        <v>Baltics</v>
      </c>
      <c r="H274" t="s">
        <v>6949</v>
      </c>
    </row>
    <row r="275" spans="1:8">
      <c r="A275" t="s">
        <v>1186</v>
      </c>
      <c r="B275" t="s">
        <v>566</v>
      </c>
      <c r="C275" s="1">
        <v>45483</v>
      </c>
      <c r="D275" s="1" t="str">
        <f>PROPER(orders[[#This Row],[order_priority]])</f>
        <v>Same Day</v>
      </c>
      <c r="E275" t="s">
        <v>13322</v>
      </c>
      <c r="F275" t="str">
        <f>IFERROR(INDEX(customers[country], MATCH(orders[[#This Row],[customer_id]], customers[customer_id], 0)), "Unmapped")</f>
        <v>Denmark</v>
      </c>
      <c r="G275" t="str">
        <f>IFERROR(INDEX(Region_Map[Region], MATCH(orders[[#This Row],[Customer_Country]], Region_Map[Country], 0)), "Unknown")</f>
        <v>Nordics</v>
      </c>
      <c r="H275" t="s">
        <v>6949</v>
      </c>
    </row>
    <row r="276" spans="1:8">
      <c r="A276" t="s">
        <v>1187</v>
      </c>
      <c r="B276" t="s">
        <v>27</v>
      </c>
      <c r="C276" s="1">
        <v>45295</v>
      </c>
      <c r="D276" s="1" t="str">
        <f>PROPER(orders[[#This Row],[order_priority]])</f>
        <v>Express</v>
      </c>
      <c r="E276" t="s">
        <v>13318</v>
      </c>
      <c r="F276" t="str">
        <f>IFERROR(INDEX(customers[country], MATCH(orders[[#This Row],[customer_id]], customers[customer_id], 0)), "Unmapped")</f>
        <v>Latvia</v>
      </c>
      <c r="G276" t="str">
        <f>IFERROR(INDEX(Region_Map[Region], MATCH(orders[[#This Row],[Customer_Country]], Region_Map[Country], 0)), "Unknown")</f>
        <v>Baltics</v>
      </c>
      <c r="H276" t="s">
        <v>6949</v>
      </c>
    </row>
    <row r="277" spans="1:8">
      <c r="A277" t="s">
        <v>1188</v>
      </c>
      <c r="B277" t="s">
        <v>888</v>
      </c>
      <c r="C277" s="1">
        <v>45012</v>
      </c>
      <c r="D277" s="1" t="str">
        <f>PROPER(orders[[#This Row],[order_priority]])</f>
        <v>Same Day</v>
      </c>
      <c r="E277" t="s">
        <v>13322</v>
      </c>
      <c r="F277" t="str">
        <f>IFERROR(INDEX(customers[country], MATCH(orders[[#This Row],[customer_id]], customers[customer_id], 0)), "Unmapped")</f>
        <v>Denmark</v>
      </c>
      <c r="G277" t="str">
        <f>IFERROR(INDEX(Region_Map[Region], MATCH(orders[[#This Row],[Customer_Country]], Region_Map[Country], 0)), "Unknown")</f>
        <v>Nordics</v>
      </c>
      <c r="H277" t="s">
        <v>6949</v>
      </c>
    </row>
    <row r="278" spans="1:8">
      <c r="A278" t="s">
        <v>1189</v>
      </c>
      <c r="B278" t="s">
        <v>852</v>
      </c>
      <c r="C278" s="1">
        <v>45355</v>
      </c>
      <c r="D278" s="1" t="str">
        <f>PROPER(orders[[#This Row],[order_priority]])</f>
        <v>Express</v>
      </c>
      <c r="E278" t="s">
        <v>13318</v>
      </c>
      <c r="F278" t="str">
        <f>IFERROR(INDEX(customers[country], MATCH(orders[[#This Row],[customer_id]], customers[customer_id], 0)), "Unmapped")</f>
        <v>Sweden</v>
      </c>
      <c r="G278" t="str">
        <f>IFERROR(INDEX(Region_Map[Region], MATCH(orders[[#This Row],[Customer_Country]], Region_Map[Country], 0)), "Unknown")</f>
        <v>Nordics</v>
      </c>
      <c r="H278" t="s">
        <v>6949</v>
      </c>
    </row>
    <row r="279" spans="1:8">
      <c r="A279" t="s">
        <v>1190</v>
      </c>
      <c r="B279" t="s">
        <v>715</v>
      </c>
      <c r="C279" s="1">
        <v>45317</v>
      </c>
      <c r="D279" s="1" t="str">
        <f>PROPER(orders[[#This Row],[order_priority]])</f>
        <v>Standard</v>
      </c>
      <c r="E279" t="s">
        <v>13317</v>
      </c>
      <c r="F279" t="str">
        <f>IFERROR(INDEX(customers[country], MATCH(orders[[#This Row],[customer_id]], customers[customer_id], 0)), "Unmapped")</f>
        <v>Netherlands</v>
      </c>
      <c r="G279" t="str">
        <f>IFERROR(INDEX(Region_Map[Region], MATCH(orders[[#This Row],[Customer_Country]], Region_Map[Country], 0)), "Unknown")</f>
        <v>Central Europe</v>
      </c>
      <c r="H279" t="s">
        <v>6949</v>
      </c>
    </row>
    <row r="280" spans="1:8">
      <c r="A280" t="s">
        <v>1191</v>
      </c>
      <c r="B280" t="s">
        <v>102</v>
      </c>
      <c r="C280" s="1">
        <v>45591</v>
      </c>
      <c r="D280" s="1" t="str">
        <f>PROPER(orders[[#This Row],[order_priority]])</f>
        <v>Same Day</v>
      </c>
      <c r="E280" t="s">
        <v>13322</v>
      </c>
      <c r="F280" t="str">
        <f>IFERROR(INDEX(customers[country], MATCH(orders[[#This Row],[customer_id]], customers[customer_id], 0)), "Unmapped")</f>
        <v>Denmark</v>
      </c>
      <c r="G280" t="str">
        <f>IFERROR(INDEX(Region_Map[Region], MATCH(orders[[#This Row],[Customer_Country]], Region_Map[Country], 0)), "Unknown")</f>
        <v>Nordics</v>
      </c>
      <c r="H280" t="s">
        <v>6949</v>
      </c>
    </row>
    <row r="281" spans="1:8">
      <c r="A281" t="s">
        <v>1192</v>
      </c>
      <c r="B281" t="s">
        <v>109</v>
      </c>
      <c r="C281" s="1">
        <v>45358</v>
      </c>
      <c r="D281" s="1" t="str">
        <f>PROPER(orders[[#This Row],[order_priority]])</f>
        <v>Express</v>
      </c>
      <c r="E281" t="s">
        <v>13318</v>
      </c>
      <c r="F281" t="str">
        <f>IFERROR(INDEX(customers[country], MATCH(orders[[#This Row],[customer_id]], customers[customer_id], 0)), "Unmapped")</f>
        <v>Netherlands</v>
      </c>
      <c r="G281" t="str">
        <f>IFERROR(INDEX(Region_Map[Region], MATCH(orders[[#This Row],[Customer_Country]], Region_Map[Country], 0)), "Unknown")</f>
        <v>Central Europe</v>
      </c>
      <c r="H281" t="s">
        <v>6949</v>
      </c>
    </row>
    <row r="282" spans="1:8">
      <c r="A282" t="s">
        <v>1193</v>
      </c>
      <c r="B282" t="s">
        <v>799</v>
      </c>
      <c r="C282" s="1">
        <v>45302</v>
      </c>
      <c r="D282" s="1" t="str">
        <f>PROPER(orders[[#This Row],[order_priority]])</f>
        <v>Economy</v>
      </c>
      <c r="E282" t="s">
        <v>13316</v>
      </c>
      <c r="F282" t="str">
        <f>IFERROR(INDEX(customers[country], MATCH(orders[[#This Row],[customer_id]], customers[customer_id], 0)), "Unmapped")</f>
        <v>Germany</v>
      </c>
      <c r="G282" t="str">
        <f>IFERROR(INDEX(Region_Map[Region], MATCH(orders[[#This Row],[Customer_Country]], Region_Map[Country], 0)), "Unknown")</f>
        <v>Central Europe</v>
      </c>
      <c r="H282" t="s">
        <v>6949</v>
      </c>
    </row>
    <row r="283" spans="1:8">
      <c r="A283" t="s">
        <v>1194</v>
      </c>
      <c r="B283" t="s">
        <v>332</v>
      </c>
      <c r="C283" s="1">
        <v>45514</v>
      </c>
      <c r="D283" s="1" t="str">
        <f>PROPER(orders[[#This Row],[order_priority]])</f>
        <v>Same Day</v>
      </c>
      <c r="E283" t="s">
        <v>13322</v>
      </c>
      <c r="F283" t="str">
        <f>IFERROR(INDEX(customers[country], MATCH(orders[[#This Row],[customer_id]], customers[customer_id], 0)), "Unmapped")</f>
        <v>Lithuania</v>
      </c>
      <c r="G283" t="str">
        <f>IFERROR(INDEX(Region_Map[Region], MATCH(orders[[#This Row],[Customer_Country]], Region_Map[Country], 0)), "Unknown")</f>
        <v>Baltics</v>
      </c>
      <c r="H283" t="s">
        <v>6949</v>
      </c>
    </row>
    <row r="284" spans="1:8">
      <c r="A284" t="s">
        <v>1195</v>
      </c>
      <c r="B284" t="s">
        <v>515</v>
      </c>
      <c r="C284" s="1">
        <v>45123</v>
      </c>
      <c r="D284" s="1" t="str">
        <f>PROPER(orders[[#This Row],[order_priority]])</f>
        <v>Express</v>
      </c>
      <c r="E284" t="s">
        <v>13318</v>
      </c>
      <c r="F284" t="str">
        <f>IFERROR(INDEX(customers[country], MATCH(orders[[#This Row],[customer_id]], customers[customer_id], 0)), "Unmapped")</f>
        <v>Latvia</v>
      </c>
      <c r="G284" t="str">
        <f>IFERROR(INDEX(Region_Map[Region], MATCH(orders[[#This Row],[Customer_Country]], Region_Map[Country], 0)), "Unknown")</f>
        <v>Baltics</v>
      </c>
      <c r="H284" t="s">
        <v>6949</v>
      </c>
    </row>
    <row r="285" spans="1:8">
      <c r="A285" t="s">
        <v>1196</v>
      </c>
      <c r="B285" t="s">
        <v>799</v>
      </c>
      <c r="C285" s="1">
        <v>45596</v>
      </c>
      <c r="D285" s="1" t="str">
        <f>PROPER(orders[[#This Row],[order_priority]])</f>
        <v>Economy</v>
      </c>
      <c r="E285" t="s">
        <v>13316</v>
      </c>
      <c r="F285" t="str">
        <f>IFERROR(INDEX(customers[country], MATCH(orders[[#This Row],[customer_id]], customers[customer_id], 0)), "Unmapped")</f>
        <v>Germany</v>
      </c>
      <c r="G285" t="str">
        <f>IFERROR(INDEX(Region_Map[Region], MATCH(orders[[#This Row],[Customer_Country]], Region_Map[Country], 0)), "Unknown")</f>
        <v>Central Europe</v>
      </c>
      <c r="H285" t="s">
        <v>6949</v>
      </c>
    </row>
    <row r="286" spans="1:8">
      <c r="A286" t="s">
        <v>1197</v>
      </c>
      <c r="B286" t="s">
        <v>189</v>
      </c>
      <c r="C286" s="1">
        <v>45508</v>
      </c>
      <c r="D286" s="1" t="str">
        <f>PROPER(orders[[#This Row],[order_priority]])</f>
        <v>Standard</v>
      </c>
      <c r="E286" t="s">
        <v>13317</v>
      </c>
      <c r="F286" t="str">
        <f>IFERROR(INDEX(customers[country], MATCH(orders[[#This Row],[customer_id]], customers[customer_id], 0)), "Unmapped")</f>
        <v>Norway</v>
      </c>
      <c r="G286" t="str">
        <f>IFERROR(INDEX(Region_Map[Region], MATCH(orders[[#This Row],[Customer_Country]], Region_Map[Country], 0)), "Unknown")</f>
        <v>Nordics</v>
      </c>
      <c r="H286" t="s">
        <v>6949</v>
      </c>
    </row>
    <row r="287" spans="1:8">
      <c r="A287" t="s">
        <v>1198</v>
      </c>
      <c r="B287" t="s">
        <v>276</v>
      </c>
      <c r="C287" s="1">
        <v>45058</v>
      </c>
      <c r="D287" s="1" t="str">
        <f>PROPER(orders[[#This Row],[order_priority]])</f>
        <v>Standard</v>
      </c>
      <c r="E287" t="s">
        <v>13317</v>
      </c>
      <c r="F287" t="str">
        <f>IFERROR(INDEX(customers[country], MATCH(orders[[#This Row],[customer_id]], customers[customer_id], 0)), "Unmapped")</f>
        <v>Sweden</v>
      </c>
      <c r="G287" t="str">
        <f>IFERROR(INDEX(Region_Map[Region], MATCH(orders[[#This Row],[Customer_Country]], Region_Map[Country], 0)), "Unknown")</f>
        <v>Nordics</v>
      </c>
      <c r="H287" t="s">
        <v>6949</v>
      </c>
    </row>
    <row r="288" spans="1:8">
      <c r="A288" t="s">
        <v>1199</v>
      </c>
      <c r="B288" t="s">
        <v>581</v>
      </c>
      <c r="C288" s="1">
        <v>45357</v>
      </c>
      <c r="D288" s="1" t="str">
        <f>PROPER(orders[[#This Row],[order_priority]])</f>
        <v>Standard</v>
      </c>
      <c r="E288" t="s">
        <v>13317</v>
      </c>
      <c r="F288" t="str">
        <f>IFERROR(INDEX(customers[country], MATCH(orders[[#This Row],[customer_id]], customers[customer_id], 0)), "Unmapped")</f>
        <v>Norway</v>
      </c>
      <c r="G288" t="str">
        <f>IFERROR(INDEX(Region_Map[Region], MATCH(orders[[#This Row],[Customer_Country]], Region_Map[Country], 0)), "Unknown")</f>
        <v>Nordics</v>
      </c>
      <c r="H288" t="s">
        <v>6949</v>
      </c>
    </row>
    <row r="289" spans="1:8">
      <c r="A289" t="s">
        <v>1200</v>
      </c>
      <c r="B289" t="s">
        <v>320</v>
      </c>
      <c r="C289" s="1">
        <v>45624</v>
      </c>
      <c r="D289" s="1" t="str">
        <f>PROPER(orders[[#This Row],[order_priority]])</f>
        <v>Standard</v>
      </c>
      <c r="E289" t="s">
        <v>13323</v>
      </c>
      <c r="F289" t="str">
        <f>IFERROR(INDEX(customers[country], MATCH(orders[[#This Row],[customer_id]], customers[customer_id], 0)), "Unmapped")</f>
        <v>Sweden</v>
      </c>
      <c r="G289" t="str">
        <f>IFERROR(INDEX(Region_Map[Region], MATCH(orders[[#This Row],[Customer_Country]], Region_Map[Country], 0)), "Unknown")</f>
        <v>Nordics</v>
      </c>
      <c r="H289" t="s">
        <v>6949</v>
      </c>
    </row>
    <row r="290" spans="1:8">
      <c r="A290" t="s">
        <v>1201</v>
      </c>
      <c r="B290" t="s">
        <v>58</v>
      </c>
      <c r="C290" s="1">
        <v>45575</v>
      </c>
      <c r="D290" s="1" t="str">
        <f>PROPER(orders[[#This Row],[order_priority]])</f>
        <v>Economy</v>
      </c>
      <c r="E290" t="s">
        <v>13316</v>
      </c>
      <c r="F290" t="str">
        <f>IFERROR(INDEX(customers[country], MATCH(orders[[#This Row],[customer_id]], customers[customer_id], 0)), "Unmapped")</f>
        <v>Germany</v>
      </c>
      <c r="G290" t="str">
        <f>IFERROR(INDEX(Region_Map[Region], MATCH(orders[[#This Row],[Customer_Country]], Region_Map[Country], 0)), "Unknown")</f>
        <v>Central Europe</v>
      </c>
      <c r="H290" t="s">
        <v>6949</v>
      </c>
    </row>
    <row r="291" spans="1:8">
      <c r="A291" t="s">
        <v>1202</v>
      </c>
      <c r="B291" t="s">
        <v>19</v>
      </c>
      <c r="C291" s="1">
        <v>45127</v>
      </c>
      <c r="D291" s="1" t="str">
        <f>PROPER(orders[[#This Row],[order_priority]])</f>
        <v>Same Day</v>
      </c>
      <c r="E291" t="s">
        <v>13322</v>
      </c>
      <c r="F291" t="str">
        <f>IFERROR(INDEX(customers[country], MATCH(orders[[#This Row],[customer_id]], customers[customer_id], 0)), "Unmapped")</f>
        <v>Poland</v>
      </c>
      <c r="G291" t="str">
        <f>IFERROR(INDEX(Region_Map[Region], MATCH(orders[[#This Row],[Customer_Country]], Region_Map[Country], 0)), "Unknown")</f>
        <v>Central Europe</v>
      </c>
      <c r="H291" t="s">
        <v>6949</v>
      </c>
    </row>
    <row r="292" spans="1:8">
      <c r="A292" t="s">
        <v>1203</v>
      </c>
      <c r="B292" t="s">
        <v>228</v>
      </c>
      <c r="C292" s="1">
        <v>45393</v>
      </c>
      <c r="D292" s="1" t="str">
        <f>PROPER(orders[[#This Row],[order_priority]])</f>
        <v>Standard</v>
      </c>
      <c r="E292" t="s">
        <v>13317</v>
      </c>
      <c r="F292" t="str">
        <f>IFERROR(INDEX(customers[country], MATCH(orders[[#This Row],[customer_id]], customers[customer_id], 0)), "Unmapped")</f>
        <v>Latvia</v>
      </c>
      <c r="G292" t="str">
        <f>IFERROR(INDEX(Region_Map[Region], MATCH(orders[[#This Row],[Customer_Country]], Region_Map[Country], 0)), "Unknown")</f>
        <v>Baltics</v>
      </c>
      <c r="H292" t="s">
        <v>6949</v>
      </c>
    </row>
    <row r="293" spans="1:8">
      <c r="A293" t="s">
        <v>1204</v>
      </c>
      <c r="B293" t="s">
        <v>563</v>
      </c>
      <c r="C293" s="1">
        <v>45624</v>
      </c>
      <c r="D293" s="1" t="str">
        <f>PROPER(orders[[#This Row],[order_priority]])</f>
        <v>Same Day</v>
      </c>
      <c r="E293" t="s">
        <v>13322</v>
      </c>
      <c r="F293" t="str">
        <f>IFERROR(INDEX(customers[country], MATCH(orders[[#This Row],[customer_id]], customers[customer_id], 0)), "Unmapped")</f>
        <v>Estonia</v>
      </c>
      <c r="G293" t="str">
        <f>IFERROR(INDEX(Region_Map[Region], MATCH(orders[[#This Row],[Customer_Country]], Region_Map[Country], 0)), "Unknown")</f>
        <v>Baltics</v>
      </c>
      <c r="H293" t="s">
        <v>6949</v>
      </c>
    </row>
    <row r="294" spans="1:8">
      <c r="A294" t="s">
        <v>1205</v>
      </c>
      <c r="B294" t="s">
        <v>644</v>
      </c>
      <c r="C294" s="1">
        <v>45316</v>
      </c>
      <c r="D294" s="1" t="str">
        <f>PROPER(orders[[#This Row],[order_priority]])</f>
        <v>Standard</v>
      </c>
      <c r="E294" t="s">
        <v>13317</v>
      </c>
      <c r="F294" t="str">
        <f>IFERROR(INDEX(customers[country], MATCH(orders[[#This Row],[customer_id]], customers[customer_id], 0)), "Unmapped")</f>
        <v>Germany</v>
      </c>
      <c r="G294" t="str">
        <f>IFERROR(INDEX(Region_Map[Region], MATCH(orders[[#This Row],[Customer_Country]], Region_Map[Country], 0)), "Unknown")</f>
        <v>Central Europe</v>
      </c>
      <c r="H294" t="s">
        <v>6949</v>
      </c>
    </row>
    <row r="295" spans="1:8">
      <c r="A295" t="s">
        <v>1206</v>
      </c>
      <c r="B295" t="s">
        <v>560</v>
      </c>
      <c r="C295" s="1">
        <v>44949</v>
      </c>
      <c r="D295" s="1" t="str">
        <f>PROPER(orders[[#This Row],[order_priority]])</f>
        <v>Same Day</v>
      </c>
      <c r="E295" t="s">
        <v>13322</v>
      </c>
      <c r="F295" t="str">
        <f>IFERROR(INDEX(customers[country], MATCH(orders[[#This Row],[customer_id]], customers[customer_id], 0)), "Unmapped")</f>
        <v>Finland</v>
      </c>
      <c r="G295" t="str">
        <f>IFERROR(INDEX(Region_Map[Region], MATCH(orders[[#This Row],[Customer_Country]], Region_Map[Country], 0)), "Unknown")</f>
        <v>Nordics</v>
      </c>
      <c r="H295" t="s">
        <v>6949</v>
      </c>
    </row>
    <row r="296" spans="1:8">
      <c r="A296" t="s">
        <v>1207</v>
      </c>
      <c r="B296" t="s">
        <v>380</v>
      </c>
      <c r="C296" s="1">
        <v>45549</v>
      </c>
      <c r="D296" s="1" t="str">
        <f>PROPER(orders[[#This Row],[order_priority]])</f>
        <v>Standard</v>
      </c>
      <c r="E296" t="s">
        <v>13317</v>
      </c>
      <c r="F296" t="str">
        <f>IFERROR(INDEX(customers[country], MATCH(orders[[#This Row],[customer_id]], customers[customer_id], 0)), "Unmapped")</f>
        <v>Sweden</v>
      </c>
      <c r="G296" t="str">
        <f>IFERROR(INDEX(Region_Map[Region], MATCH(orders[[#This Row],[Customer_Country]], Region_Map[Country], 0)), "Unknown")</f>
        <v>Nordics</v>
      </c>
      <c r="H296" t="s">
        <v>6949</v>
      </c>
    </row>
    <row r="297" spans="1:8">
      <c r="A297" t="s">
        <v>1208</v>
      </c>
      <c r="B297" t="s">
        <v>413</v>
      </c>
      <c r="C297" s="1">
        <v>45269</v>
      </c>
      <c r="D297" s="1" t="str">
        <f>PROPER(orders[[#This Row],[order_priority]])</f>
        <v>Standard</v>
      </c>
      <c r="E297" t="s">
        <v>13323</v>
      </c>
      <c r="F297" t="str">
        <f>IFERROR(INDEX(customers[country], MATCH(orders[[#This Row],[customer_id]], customers[customer_id], 0)), "Unmapped")</f>
        <v>Poland</v>
      </c>
      <c r="G297" t="str">
        <f>IFERROR(INDEX(Region_Map[Region], MATCH(orders[[#This Row],[Customer_Country]], Region_Map[Country], 0)), "Unknown")</f>
        <v>Central Europe</v>
      </c>
      <c r="H297" t="s">
        <v>6949</v>
      </c>
    </row>
    <row r="298" spans="1:8">
      <c r="A298" t="s">
        <v>1209</v>
      </c>
      <c r="B298" t="s">
        <v>210</v>
      </c>
      <c r="C298" s="1">
        <v>45444</v>
      </c>
      <c r="D298" s="1" t="str">
        <f>PROPER(orders[[#This Row],[order_priority]])</f>
        <v>Standard</v>
      </c>
      <c r="E298" t="s">
        <v>13317</v>
      </c>
      <c r="F298" t="str">
        <f>IFERROR(INDEX(customers[country], MATCH(orders[[#This Row],[customer_id]], customers[customer_id], 0)), "Unmapped")</f>
        <v>Finland</v>
      </c>
      <c r="G298" t="str">
        <f>IFERROR(INDEX(Region_Map[Region], MATCH(orders[[#This Row],[Customer_Country]], Region_Map[Country], 0)), "Unknown")</f>
        <v>Nordics</v>
      </c>
      <c r="H298" t="s">
        <v>6949</v>
      </c>
    </row>
    <row r="299" spans="1:8">
      <c r="A299" t="s">
        <v>1210</v>
      </c>
      <c r="B299" t="s">
        <v>303</v>
      </c>
      <c r="C299" s="1">
        <v>45528</v>
      </c>
      <c r="D299" s="1" t="str">
        <f>PROPER(orders[[#This Row],[order_priority]])</f>
        <v>Express</v>
      </c>
      <c r="E299" t="s">
        <v>13318</v>
      </c>
      <c r="F299" t="str">
        <f>IFERROR(INDEX(customers[country], MATCH(orders[[#This Row],[customer_id]], customers[customer_id], 0)), "Unmapped")</f>
        <v>Netherlands</v>
      </c>
      <c r="G299" t="str">
        <f>IFERROR(INDEX(Region_Map[Region], MATCH(orders[[#This Row],[Customer_Country]], Region_Map[Country], 0)), "Unknown")</f>
        <v>Central Europe</v>
      </c>
      <c r="H299" t="s">
        <v>6949</v>
      </c>
    </row>
    <row r="300" spans="1:8">
      <c r="A300" t="s">
        <v>1211</v>
      </c>
      <c r="B300" t="s">
        <v>6949</v>
      </c>
      <c r="C300" s="1">
        <v>45224</v>
      </c>
      <c r="D300" s="1" t="str">
        <f>PROPER(orders[[#This Row],[order_priority]])</f>
        <v>Same Day</v>
      </c>
      <c r="E300" t="s">
        <v>13322</v>
      </c>
      <c r="F300" t="str">
        <f>IFERROR(INDEX(customers[country], MATCH(orders[[#This Row],[customer_id]], customers[customer_id], 0)), "Unmapped")</f>
        <v>Unmapped</v>
      </c>
      <c r="G300" t="str">
        <f>IFERROR(INDEX(Region_Map[Region], MATCH(orders[[#This Row],[Customer_Country]], Region_Map[Country], 0)), "Unknown")</f>
        <v>Unknown</v>
      </c>
      <c r="H300" t="s">
        <v>6949</v>
      </c>
    </row>
    <row r="301" spans="1:8">
      <c r="A301" t="s">
        <v>1212</v>
      </c>
      <c r="B301" t="s">
        <v>99</v>
      </c>
      <c r="C301" s="1">
        <v>45321</v>
      </c>
      <c r="D301" s="1" t="str">
        <f>PROPER(orders[[#This Row],[order_priority]])</f>
        <v>Same Day</v>
      </c>
      <c r="E301" t="s">
        <v>13322</v>
      </c>
      <c r="F301" t="str">
        <f>IFERROR(INDEX(customers[country], MATCH(orders[[#This Row],[customer_id]], customers[customer_id], 0)), "Unmapped")</f>
        <v>Poland</v>
      </c>
      <c r="G301" t="str">
        <f>IFERROR(INDEX(Region_Map[Region], MATCH(orders[[#This Row],[Customer_Country]], Region_Map[Country], 0)), "Unknown")</f>
        <v>Central Europe</v>
      </c>
      <c r="H301" t="s">
        <v>6949</v>
      </c>
    </row>
    <row r="302" spans="1:8">
      <c r="A302" t="s">
        <v>1213</v>
      </c>
      <c r="B302" t="s">
        <v>314</v>
      </c>
      <c r="C302" s="1">
        <v>45094</v>
      </c>
      <c r="D302" s="1" t="str">
        <f>PROPER(orders[[#This Row],[order_priority]])</f>
        <v>Same Day</v>
      </c>
      <c r="E302" t="s">
        <v>13322</v>
      </c>
      <c r="F302" t="str">
        <f>IFERROR(INDEX(customers[country], MATCH(orders[[#This Row],[customer_id]], customers[customer_id], 0)), "Unmapped")</f>
        <v>Poland</v>
      </c>
      <c r="G302" t="str">
        <f>IFERROR(INDEX(Region_Map[Region], MATCH(orders[[#This Row],[Customer_Country]], Region_Map[Country], 0)), "Unknown")</f>
        <v>Central Europe</v>
      </c>
      <c r="H302" t="s">
        <v>6949</v>
      </c>
    </row>
    <row r="303" spans="1:8">
      <c r="A303" t="s">
        <v>1214</v>
      </c>
      <c r="B303" t="s">
        <v>906</v>
      </c>
      <c r="C303" s="1">
        <v>45365</v>
      </c>
      <c r="D303" s="1" t="str">
        <f>PROPER(orders[[#This Row],[order_priority]])</f>
        <v>Same Day</v>
      </c>
      <c r="E303" t="s">
        <v>13322</v>
      </c>
      <c r="F303" t="str">
        <f>IFERROR(INDEX(customers[country], MATCH(orders[[#This Row],[customer_id]], customers[customer_id], 0)), "Unmapped")</f>
        <v>Sweden</v>
      </c>
      <c r="G303" t="str">
        <f>IFERROR(INDEX(Region_Map[Region], MATCH(orders[[#This Row],[Customer_Country]], Region_Map[Country], 0)), "Unknown")</f>
        <v>Nordics</v>
      </c>
      <c r="H303" t="s">
        <v>6949</v>
      </c>
    </row>
    <row r="304" spans="1:8">
      <c r="A304" t="s">
        <v>1215</v>
      </c>
      <c r="B304" t="s">
        <v>575</v>
      </c>
      <c r="C304" s="1">
        <v>45304</v>
      </c>
      <c r="D304" s="1" t="str">
        <f>PROPER(orders[[#This Row],[order_priority]])</f>
        <v>Same Day</v>
      </c>
      <c r="E304" t="s">
        <v>13322</v>
      </c>
      <c r="F304" t="str">
        <f>IFERROR(INDEX(customers[country], MATCH(orders[[#This Row],[customer_id]], customers[customer_id], 0)), "Unmapped")</f>
        <v>Netherlands</v>
      </c>
      <c r="G304" t="str">
        <f>IFERROR(INDEX(Region_Map[Region], MATCH(orders[[#This Row],[Customer_Country]], Region_Map[Country], 0)), "Unknown")</f>
        <v>Central Europe</v>
      </c>
      <c r="H304" t="s">
        <v>6949</v>
      </c>
    </row>
    <row r="305" spans="1:8">
      <c r="A305" t="s">
        <v>1216</v>
      </c>
      <c r="B305" t="s">
        <v>276</v>
      </c>
      <c r="C305" s="1">
        <v>45315</v>
      </c>
      <c r="D305" s="1" t="str">
        <f>PROPER(orders[[#This Row],[order_priority]])</f>
        <v>Same Day</v>
      </c>
      <c r="E305" t="s">
        <v>13322</v>
      </c>
      <c r="F305" t="str">
        <f>IFERROR(INDEX(customers[country], MATCH(orders[[#This Row],[customer_id]], customers[customer_id], 0)), "Unmapped")</f>
        <v>Sweden</v>
      </c>
      <c r="G305" t="str">
        <f>IFERROR(INDEX(Region_Map[Region], MATCH(orders[[#This Row],[Customer_Country]], Region_Map[Country], 0)), "Unknown")</f>
        <v>Nordics</v>
      </c>
      <c r="H305" t="s">
        <v>6949</v>
      </c>
    </row>
    <row r="306" spans="1:8">
      <c r="A306" t="s">
        <v>1217</v>
      </c>
      <c r="B306" t="s">
        <v>294</v>
      </c>
      <c r="C306" s="1">
        <v>45447</v>
      </c>
      <c r="D306" s="1" t="str">
        <f>PROPER(orders[[#This Row],[order_priority]])</f>
        <v>Same Day</v>
      </c>
      <c r="E306" t="s">
        <v>13322</v>
      </c>
      <c r="F306" t="str">
        <f>IFERROR(INDEX(customers[country], MATCH(orders[[#This Row],[customer_id]], customers[customer_id], 0)), "Unmapped")</f>
        <v>Denmark</v>
      </c>
      <c r="G306" t="str">
        <f>IFERROR(INDEX(Region_Map[Region], MATCH(orders[[#This Row],[Customer_Country]], Region_Map[Country], 0)), "Unknown")</f>
        <v>Nordics</v>
      </c>
      <c r="H306" t="s">
        <v>6949</v>
      </c>
    </row>
    <row r="307" spans="1:8">
      <c r="A307" t="s">
        <v>1218</v>
      </c>
      <c r="B307" t="s">
        <v>650</v>
      </c>
      <c r="C307" s="1">
        <v>45253</v>
      </c>
      <c r="D307" s="1" t="str">
        <f>PROPER(orders[[#This Row],[order_priority]])</f>
        <v>Same Day</v>
      </c>
      <c r="E307" t="s">
        <v>13322</v>
      </c>
      <c r="F307" t="str">
        <f>IFERROR(INDEX(customers[country], MATCH(orders[[#This Row],[customer_id]], customers[customer_id], 0)), "Unmapped")</f>
        <v>Poland</v>
      </c>
      <c r="G307" t="str">
        <f>IFERROR(INDEX(Region_Map[Region], MATCH(orders[[#This Row],[Customer_Country]], Region_Map[Country], 0)), "Unknown")</f>
        <v>Central Europe</v>
      </c>
      <c r="H307" t="s">
        <v>6949</v>
      </c>
    </row>
    <row r="308" spans="1:8">
      <c r="A308" t="s">
        <v>1219</v>
      </c>
      <c r="B308" t="s">
        <v>282</v>
      </c>
      <c r="C308" s="1">
        <v>45337</v>
      </c>
      <c r="D308" s="1" t="str">
        <f>PROPER(orders[[#This Row],[order_priority]])</f>
        <v>Same Day</v>
      </c>
      <c r="E308" t="s">
        <v>13322</v>
      </c>
      <c r="F308" t="str">
        <f>IFERROR(INDEX(customers[country], MATCH(orders[[#This Row],[customer_id]], customers[customer_id], 0)), "Unmapped")</f>
        <v>Netherlands</v>
      </c>
      <c r="G308" t="str">
        <f>IFERROR(INDEX(Region_Map[Region], MATCH(orders[[#This Row],[Customer_Country]], Region_Map[Country], 0)), "Unknown")</f>
        <v>Central Europe</v>
      </c>
      <c r="H308" t="s">
        <v>6949</v>
      </c>
    </row>
    <row r="309" spans="1:8">
      <c r="A309" t="s">
        <v>1220</v>
      </c>
      <c r="B309" t="s">
        <v>61</v>
      </c>
      <c r="C309" s="1">
        <v>45265</v>
      </c>
      <c r="D309" s="1" t="str">
        <f>PROPER(orders[[#This Row],[order_priority]])</f>
        <v>Standard</v>
      </c>
      <c r="E309" t="s">
        <v>13317</v>
      </c>
      <c r="F309" t="str">
        <f>IFERROR(INDEX(customers[country], MATCH(orders[[#This Row],[customer_id]], customers[customer_id], 0)), "Unmapped")</f>
        <v>Netherlands</v>
      </c>
      <c r="G309" t="str">
        <f>IFERROR(INDEX(Region_Map[Region], MATCH(orders[[#This Row],[Customer_Country]], Region_Map[Country], 0)), "Unknown")</f>
        <v>Central Europe</v>
      </c>
      <c r="H309" t="s">
        <v>6949</v>
      </c>
    </row>
    <row r="310" spans="1:8">
      <c r="A310" t="s">
        <v>1221</v>
      </c>
      <c r="B310" t="s">
        <v>623</v>
      </c>
      <c r="C310" s="1">
        <v>45595</v>
      </c>
      <c r="D310" s="1" t="str">
        <f>PROPER(orders[[#This Row],[order_priority]])</f>
        <v>Economy</v>
      </c>
      <c r="E310" t="s">
        <v>13316</v>
      </c>
      <c r="F310" t="str">
        <f>IFERROR(INDEX(customers[country], MATCH(orders[[#This Row],[customer_id]], customers[customer_id], 0)), "Unmapped")</f>
        <v>Denmark</v>
      </c>
      <c r="G310" t="str">
        <f>IFERROR(INDEX(Region_Map[Region], MATCH(orders[[#This Row],[Customer_Country]], Region_Map[Country], 0)), "Unknown")</f>
        <v>Nordics</v>
      </c>
      <c r="H310" t="s">
        <v>6949</v>
      </c>
    </row>
    <row r="311" spans="1:8">
      <c r="A311" t="s">
        <v>1222</v>
      </c>
      <c r="B311" t="s">
        <v>746</v>
      </c>
      <c r="C311" s="1">
        <v>45198</v>
      </c>
      <c r="D311" s="1" t="str">
        <f>PROPER(orders[[#This Row],[order_priority]])</f>
        <v>Economy</v>
      </c>
      <c r="E311" t="s">
        <v>13316</v>
      </c>
      <c r="F311" t="str">
        <f>IFERROR(INDEX(customers[country], MATCH(orders[[#This Row],[customer_id]], customers[customer_id], 0)), "Unmapped")</f>
        <v>Poland</v>
      </c>
      <c r="G311" t="str">
        <f>IFERROR(INDEX(Region_Map[Region], MATCH(orders[[#This Row],[Customer_Country]], Region_Map[Country], 0)), "Unknown")</f>
        <v>Central Europe</v>
      </c>
      <c r="H311" t="s">
        <v>6949</v>
      </c>
    </row>
    <row r="312" spans="1:8">
      <c r="A312" t="s">
        <v>1223</v>
      </c>
      <c r="B312" t="s">
        <v>407</v>
      </c>
      <c r="C312" s="1">
        <v>45430</v>
      </c>
      <c r="D312" s="1" t="str">
        <f>PROPER(orders[[#This Row],[order_priority]])</f>
        <v>Express</v>
      </c>
      <c r="E312" t="s">
        <v>13318</v>
      </c>
      <c r="F312" t="str">
        <f>IFERROR(INDEX(customers[country], MATCH(orders[[#This Row],[customer_id]], customers[customer_id], 0)), "Unmapped")</f>
        <v>Poland</v>
      </c>
      <c r="G312" t="str">
        <f>IFERROR(INDEX(Region_Map[Region], MATCH(orders[[#This Row],[Customer_Country]], Region_Map[Country], 0)), "Unknown")</f>
        <v>Central Europe</v>
      </c>
      <c r="H312" t="s">
        <v>6949</v>
      </c>
    </row>
    <row r="313" spans="1:8">
      <c r="A313" t="s">
        <v>1224</v>
      </c>
      <c r="B313" t="s">
        <v>163</v>
      </c>
      <c r="C313" s="1">
        <v>45492</v>
      </c>
      <c r="D313" s="1" t="str">
        <f>PROPER(orders[[#This Row],[order_priority]])</f>
        <v>Express</v>
      </c>
      <c r="E313" t="s">
        <v>13318</v>
      </c>
      <c r="F313" t="str">
        <f>IFERROR(INDEX(customers[country], MATCH(orders[[#This Row],[customer_id]], customers[customer_id], 0)), "Unmapped")</f>
        <v>Germany</v>
      </c>
      <c r="G313" t="str">
        <f>IFERROR(INDEX(Region_Map[Region], MATCH(orders[[#This Row],[Customer_Country]], Region_Map[Country], 0)), "Unknown")</f>
        <v>Central Europe</v>
      </c>
      <c r="H313" t="s">
        <v>6949</v>
      </c>
    </row>
    <row r="314" spans="1:8">
      <c r="A314" t="s">
        <v>1225</v>
      </c>
      <c r="B314" t="s">
        <v>670</v>
      </c>
      <c r="C314" s="1">
        <v>45053</v>
      </c>
      <c r="D314" s="1" t="str">
        <f>PROPER(orders[[#This Row],[order_priority]])</f>
        <v>Same Day</v>
      </c>
      <c r="E314" t="s">
        <v>13322</v>
      </c>
      <c r="F314" t="str">
        <f>IFERROR(INDEX(customers[country], MATCH(orders[[#This Row],[customer_id]], customers[customer_id], 0)), "Unmapped")</f>
        <v>Netherlands</v>
      </c>
      <c r="G314" t="str">
        <f>IFERROR(INDEX(Region_Map[Region], MATCH(orders[[#This Row],[Customer_Country]], Region_Map[Country], 0)), "Unknown")</f>
        <v>Central Europe</v>
      </c>
      <c r="H314" t="s">
        <v>6949</v>
      </c>
    </row>
    <row r="315" spans="1:8">
      <c r="A315" t="s">
        <v>1226</v>
      </c>
      <c r="B315" t="s">
        <v>306</v>
      </c>
      <c r="C315" s="1">
        <v>45203</v>
      </c>
      <c r="D315" s="1" t="str">
        <f>PROPER(orders[[#This Row],[order_priority]])</f>
        <v>Economy</v>
      </c>
      <c r="E315" t="s">
        <v>13316</v>
      </c>
      <c r="F315" t="str">
        <f>IFERROR(INDEX(customers[country], MATCH(orders[[#This Row],[customer_id]], customers[customer_id], 0)), "Unmapped")</f>
        <v>Estonia</v>
      </c>
      <c r="G315" t="str">
        <f>IFERROR(INDEX(Region_Map[Region], MATCH(orders[[#This Row],[Customer_Country]], Region_Map[Country], 0)), "Unknown")</f>
        <v>Baltics</v>
      </c>
      <c r="H315" t="s">
        <v>6949</v>
      </c>
    </row>
    <row r="316" spans="1:8">
      <c r="A316" t="s">
        <v>1227</v>
      </c>
      <c r="B316" t="s">
        <v>249</v>
      </c>
      <c r="C316" s="1">
        <v>44974</v>
      </c>
      <c r="D316" s="1" t="str">
        <f>PROPER(orders[[#This Row],[order_priority]])</f>
        <v>Standard</v>
      </c>
      <c r="E316" t="s">
        <v>13317</v>
      </c>
      <c r="F316" t="str">
        <f>IFERROR(INDEX(customers[country], MATCH(orders[[#This Row],[customer_id]], customers[customer_id], 0)), "Unmapped")</f>
        <v>Estonia</v>
      </c>
      <c r="G316" t="str">
        <f>IFERROR(INDEX(Region_Map[Region], MATCH(orders[[#This Row],[Customer_Country]], Region_Map[Country], 0)), "Unknown")</f>
        <v>Baltics</v>
      </c>
      <c r="H316" t="s">
        <v>6949</v>
      </c>
    </row>
    <row r="317" spans="1:8">
      <c r="A317" t="s">
        <v>1228</v>
      </c>
      <c r="B317" t="s">
        <v>237</v>
      </c>
      <c r="C317" s="1">
        <v>45314</v>
      </c>
      <c r="D317" s="1" t="str">
        <f>PROPER(orders[[#This Row],[order_priority]])</f>
        <v>Economy</v>
      </c>
      <c r="E317" t="s">
        <v>13316</v>
      </c>
      <c r="F317" t="str">
        <f>IFERROR(INDEX(customers[country], MATCH(orders[[#This Row],[customer_id]], customers[customer_id], 0)), "Unmapped")</f>
        <v>Sweden</v>
      </c>
      <c r="G317" t="str">
        <f>IFERROR(INDEX(Region_Map[Region], MATCH(orders[[#This Row],[Customer_Country]], Region_Map[Country], 0)), "Unknown")</f>
        <v>Nordics</v>
      </c>
      <c r="H317" t="s">
        <v>6949</v>
      </c>
    </row>
    <row r="318" spans="1:8">
      <c r="A318" t="s">
        <v>1229</v>
      </c>
      <c r="B318" t="s">
        <v>614</v>
      </c>
      <c r="C318" s="1">
        <v>44948</v>
      </c>
      <c r="D318" s="1" t="str">
        <f>PROPER(orders[[#This Row],[order_priority]])</f>
        <v>Standard</v>
      </c>
      <c r="E318" t="s">
        <v>13323</v>
      </c>
      <c r="F318" t="str">
        <f>IFERROR(INDEX(customers[country], MATCH(orders[[#This Row],[customer_id]], customers[customer_id], 0)), "Unmapped")</f>
        <v>Latvia</v>
      </c>
      <c r="G318" t="str">
        <f>IFERROR(INDEX(Region_Map[Region], MATCH(orders[[#This Row],[Customer_Country]], Region_Map[Country], 0)), "Unknown")</f>
        <v>Baltics</v>
      </c>
      <c r="H318" t="s">
        <v>6949</v>
      </c>
    </row>
    <row r="319" spans="1:8">
      <c r="A319" t="s">
        <v>1230</v>
      </c>
      <c r="B319" t="s">
        <v>706</v>
      </c>
      <c r="C319" s="1">
        <v>45528</v>
      </c>
      <c r="D319" s="1" t="str">
        <f>PROPER(orders[[#This Row],[order_priority]])</f>
        <v>Standard</v>
      </c>
      <c r="E319" t="s">
        <v>13317</v>
      </c>
      <c r="F319" t="str">
        <f>IFERROR(INDEX(customers[country], MATCH(orders[[#This Row],[customer_id]], customers[customer_id], 0)), "Unmapped")</f>
        <v>Latvia</v>
      </c>
      <c r="G319" t="str">
        <f>IFERROR(INDEX(Region_Map[Region], MATCH(orders[[#This Row],[Customer_Country]], Region_Map[Country], 0)), "Unknown")</f>
        <v>Baltics</v>
      </c>
      <c r="H319" t="s">
        <v>6949</v>
      </c>
    </row>
    <row r="320" spans="1:8">
      <c r="A320" t="s">
        <v>1231</v>
      </c>
      <c r="B320" t="s">
        <v>13332</v>
      </c>
      <c r="C320" s="1">
        <v>45370</v>
      </c>
      <c r="D320" s="1" t="str">
        <f>PROPER(orders[[#This Row],[order_priority]])</f>
        <v>Standard</v>
      </c>
      <c r="E320" t="s">
        <v>13317</v>
      </c>
      <c r="F320" t="str">
        <f>IFERROR(INDEX(customers[country], MATCH(orders[[#This Row],[customer_id]], customers[customer_id], 0)), "Unmapped")</f>
        <v>Unmapped</v>
      </c>
      <c r="G320" t="str">
        <f>IFERROR(INDEX(Region_Map[Region], MATCH(orders[[#This Row],[Customer_Country]], Region_Map[Country], 0)), "Unknown")</f>
        <v>Unknown</v>
      </c>
      <c r="H320" t="s">
        <v>6949</v>
      </c>
    </row>
    <row r="321" spans="1:8">
      <c r="A321" t="s">
        <v>1232</v>
      </c>
      <c r="B321" t="s">
        <v>647</v>
      </c>
      <c r="C321" s="1">
        <v>45406</v>
      </c>
      <c r="D321" s="1" t="str">
        <f>PROPER(orders[[#This Row],[order_priority]])</f>
        <v>Express</v>
      </c>
      <c r="E321" t="s">
        <v>13326</v>
      </c>
      <c r="F321" t="str">
        <f>IFERROR(INDEX(customers[country], MATCH(orders[[#This Row],[customer_id]], customers[customer_id], 0)), "Unmapped")</f>
        <v>Netherlands</v>
      </c>
      <c r="G321" t="str">
        <f>IFERROR(INDEX(Region_Map[Region], MATCH(orders[[#This Row],[Customer_Country]], Region_Map[Country], 0)), "Unknown")</f>
        <v>Central Europe</v>
      </c>
      <c r="H321" t="s">
        <v>6949</v>
      </c>
    </row>
    <row r="322" spans="1:8">
      <c r="A322" t="s">
        <v>1233</v>
      </c>
      <c r="B322" t="s">
        <v>184</v>
      </c>
      <c r="C322" s="1">
        <v>44929</v>
      </c>
      <c r="D322" s="1" t="str">
        <f>PROPER(orders[[#This Row],[order_priority]])</f>
        <v>Express</v>
      </c>
      <c r="E322" t="s">
        <v>13318</v>
      </c>
      <c r="F322" t="str">
        <f>IFERROR(INDEX(customers[country], MATCH(orders[[#This Row],[customer_id]], customers[customer_id], 0)), "Unmapped")</f>
        <v>Netherlands</v>
      </c>
      <c r="G322" t="str">
        <f>IFERROR(INDEX(Region_Map[Region], MATCH(orders[[#This Row],[Customer_Country]], Region_Map[Country], 0)), "Unknown")</f>
        <v>Central Europe</v>
      </c>
      <c r="H322" t="s">
        <v>6949</v>
      </c>
    </row>
    <row r="323" spans="1:8">
      <c r="A323" t="s">
        <v>1234</v>
      </c>
      <c r="B323" t="s">
        <v>629</v>
      </c>
      <c r="C323" s="1">
        <v>45387</v>
      </c>
      <c r="D323" s="1" t="str">
        <f>PROPER(orders[[#This Row],[order_priority]])</f>
        <v>Economy</v>
      </c>
      <c r="E323" t="s">
        <v>13328</v>
      </c>
      <c r="F323" t="str">
        <f>IFERROR(INDEX(customers[country], MATCH(orders[[#This Row],[customer_id]], customers[customer_id], 0)), "Unmapped")</f>
        <v>Lithuania</v>
      </c>
      <c r="G323" t="str">
        <f>IFERROR(INDEX(Region_Map[Region], MATCH(orders[[#This Row],[Customer_Country]], Region_Map[Country], 0)), "Unknown")</f>
        <v>Baltics</v>
      </c>
      <c r="H323" t="s">
        <v>6949</v>
      </c>
    </row>
    <row r="324" spans="1:8">
      <c r="A324" t="s">
        <v>1235</v>
      </c>
      <c r="B324" t="s">
        <v>419</v>
      </c>
      <c r="C324" s="1">
        <v>45101</v>
      </c>
      <c r="D324" s="1" t="str">
        <f>PROPER(orders[[#This Row],[order_priority]])</f>
        <v>Same Day</v>
      </c>
      <c r="E324" t="s">
        <v>13324</v>
      </c>
      <c r="F324" t="str">
        <f>IFERROR(INDEX(customers[country], MATCH(orders[[#This Row],[customer_id]], customers[customer_id], 0)), "Unmapped")</f>
        <v>Estonia</v>
      </c>
      <c r="G324" t="str">
        <f>IFERROR(INDEX(Region_Map[Region], MATCH(orders[[#This Row],[Customer_Country]], Region_Map[Country], 0)), "Unknown")</f>
        <v>Baltics</v>
      </c>
      <c r="H324" t="s">
        <v>6949</v>
      </c>
    </row>
    <row r="325" spans="1:8">
      <c r="A325" t="s">
        <v>1236</v>
      </c>
      <c r="B325" t="s">
        <v>99</v>
      </c>
      <c r="C325" s="1">
        <v>45117</v>
      </c>
      <c r="D325" s="1" t="str">
        <f>PROPER(orders[[#This Row],[order_priority]])</f>
        <v>Standard</v>
      </c>
      <c r="E325" t="s">
        <v>13317</v>
      </c>
      <c r="F325" t="str">
        <f>IFERROR(INDEX(customers[country], MATCH(orders[[#This Row],[customer_id]], customers[customer_id], 0)), "Unmapped")</f>
        <v>Poland</v>
      </c>
      <c r="G325" t="str">
        <f>IFERROR(INDEX(Region_Map[Region], MATCH(orders[[#This Row],[Customer_Country]], Region_Map[Country], 0)), "Unknown")</f>
        <v>Central Europe</v>
      </c>
      <c r="H325" t="s">
        <v>6949</v>
      </c>
    </row>
    <row r="326" spans="1:8">
      <c r="A326" t="s">
        <v>1237</v>
      </c>
      <c r="B326" t="s">
        <v>124</v>
      </c>
      <c r="C326" s="1">
        <v>45382</v>
      </c>
      <c r="D326" s="1" t="str">
        <f>PROPER(orders[[#This Row],[order_priority]])</f>
        <v>Standard</v>
      </c>
      <c r="E326" t="s">
        <v>13317</v>
      </c>
      <c r="F326" t="str">
        <f>IFERROR(INDEX(customers[country], MATCH(orders[[#This Row],[customer_id]], customers[customer_id], 0)), "Unmapped")</f>
        <v>Lithuania</v>
      </c>
      <c r="G326" t="str">
        <f>IFERROR(INDEX(Region_Map[Region], MATCH(orders[[#This Row],[Customer_Country]], Region_Map[Country], 0)), "Unknown")</f>
        <v>Baltics</v>
      </c>
      <c r="H326" t="s">
        <v>6949</v>
      </c>
    </row>
    <row r="327" spans="1:8">
      <c r="A327" t="s">
        <v>1238</v>
      </c>
      <c r="B327" t="s">
        <v>506</v>
      </c>
      <c r="C327" s="1">
        <v>45496</v>
      </c>
      <c r="D327" s="1" t="str">
        <f>PROPER(orders[[#This Row],[order_priority]])</f>
        <v>Economy</v>
      </c>
      <c r="E327" t="s">
        <v>13316</v>
      </c>
      <c r="F327" t="str">
        <f>IFERROR(INDEX(customers[country], MATCH(orders[[#This Row],[customer_id]], customers[customer_id], 0)), "Unmapped")</f>
        <v>Poland</v>
      </c>
      <c r="G327" t="str">
        <f>IFERROR(INDEX(Region_Map[Region], MATCH(orders[[#This Row],[Customer_Country]], Region_Map[Country], 0)), "Unknown")</f>
        <v>Central Europe</v>
      </c>
      <c r="H327" t="s">
        <v>6949</v>
      </c>
    </row>
    <row r="328" spans="1:8">
      <c r="A328" t="s">
        <v>1239</v>
      </c>
      <c r="B328" t="s">
        <v>831</v>
      </c>
      <c r="C328" s="1">
        <v>44950</v>
      </c>
      <c r="D328" s="1" t="str">
        <f>PROPER(orders[[#This Row],[order_priority]])</f>
        <v>Economy</v>
      </c>
      <c r="E328" t="s">
        <v>13328</v>
      </c>
      <c r="F328" t="str">
        <f>IFERROR(INDEX(customers[country], MATCH(orders[[#This Row],[customer_id]], customers[customer_id], 0)), "Unmapped")</f>
        <v>Norway</v>
      </c>
      <c r="G328" t="str">
        <f>IFERROR(INDEX(Region_Map[Region], MATCH(orders[[#This Row],[Customer_Country]], Region_Map[Country], 0)), "Unknown")</f>
        <v>Nordics</v>
      </c>
      <c r="H328" t="s">
        <v>6949</v>
      </c>
    </row>
    <row r="329" spans="1:8">
      <c r="A329" t="s">
        <v>1240</v>
      </c>
      <c r="B329" t="s">
        <v>584</v>
      </c>
      <c r="C329" s="1">
        <v>45342</v>
      </c>
      <c r="D329" s="1" t="str">
        <f>PROPER(orders[[#This Row],[order_priority]])</f>
        <v>Express</v>
      </c>
      <c r="E329" t="s">
        <v>13318</v>
      </c>
      <c r="F329" t="str">
        <f>IFERROR(INDEX(customers[country], MATCH(orders[[#This Row],[customer_id]], customers[customer_id], 0)), "Unmapped")</f>
        <v>Netherlands</v>
      </c>
      <c r="G329" t="str">
        <f>IFERROR(INDEX(Region_Map[Region], MATCH(orders[[#This Row],[Customer_Country]], Region_Map[Country], 0)), "Unknown")</f>
        <v>Central Europe</v>
      </c>
      <c r="H329" t="s">
        <v>6949</v>
      </c>
    </row>
    <row r="330" spans="1:8">
      <c r="A330" t="s">
        <v>1241</v>
      </c>
      <c r="B330" t="s">
        <v>121</v>
      </c>
      <c r="C330" s="1">
        <v>45120</v>
      </c>
      <c r="D330" s="1" t="str">
        <f>PROPER(orders[[#This Row],[order_priority]])</f>
        <v>Express</v>
      </c>
      <c r="E330" t="s">
        <v>13318</v>
      </c>
      <c r="F330" t="str">
        <f>IFERROR(INDEX(customers[country], MATCH(orders[[#This Row],[customer_id]], customers[customer_id], 0)), "Unmapped")</f>
        <v>Estonia</v>
      </c>
      <c r="G330" t="str">
        <f>IFERROR(INDEX(Region_Map[Region], MATCH(orders[[#This Row],[Customer_Country]], Region_Map[Country], 0)), "Unknown")</f>
        <v>Baltics</v>
      </c>
      <c r="H330" t="s">
        <v>6949</v>
      </c>
    </row>
    <row r="331" spans="1:8">
      <c r="A331" t="s">
        <v>1242</v>
      </c>
      <c r="B331" t="s">
        <v>749</v>
      </c>
      <c r="C331" s="1">
        <v>45206</v>
      </c>
      <c r="D331" s="1" t="str">
        <f>PROPER(orders[[#This Row],[order_priority]])</f>
        <v>Standard</v>
      </c>
      <c r="E331" t="s">
        <v>13317</v>
      </c>
      <c r="F331" t="str">
        <f>IFERROR(INDEX(customers[country], MATCH(orders[[#This Row],[customer_id]], customers[customer_id], 0)), "Unmapped")</f>
        <v>Latvia</v>
      </c>
      <c r="G331" t="str">
        <f>IFERROR(INDEX(Region_Map[Region], MATCH(orders[[#This Row],[Customer_Country]], Region_Map[Country], 0)), "Unknown")</f>
        <v>Baltics</v>
      </c>
      <c r="H331" t="s">
        <v>6949</v>
      </c>
    </row>
    <row r="332" spans="1:8">
      <c r="A332" t="s">
        <v>1243</v>
      </c>
      <c r="B332" t="s">
        <v>392</v>
      </c>
      <c r="C332" s="1">
        <v>45545</v>
      </c>
      <c r="D332" s="1" t="str">
        <f>PROPER(orders[[#This Row],[order_priority]])</f>
        <v>Standard</v>
      </c>
      <c r="E332" t="s">
        <v>13317</v>
      </c>
      <c r="F332" t="str">
        <f>IFERROR(INDEX(customers[country], MATCH(orders[[#This Row],[customer_id]], customers[customer_id], 0)), "Unmapped")</f>
        <v>Latvia</v>
      </c>
      <c r="G332" t="str">
        <f>IFERROR(INDEX(Region_Map[Region], MATCH(orders[[#This Row],[Customer_Country]], Region_Map[Country], 0)), "Unknown")</f>
        <v>Baltics</v>
      </c>
      <c r="H332" t="s">
        <v>6949</v>
      </c>
    </row>
    <row r="333" spans="1:8">
      <c r="A333" t="s">
        <v>1244</v>
      </c>
      <c r="B333" t="s">
        <v>611</v>
      </c>
      <c r="C333" s="1">
        <v>45513</v>
      </c>
      <c r="D333" s="1" t="str">
        <f>PROPER(orders[[#This Row],[order_priority]])</f>
        <v>Same Day</v>
      </c>
      <c r="E333" t="s">
        <v>13321</v>
      </c>
      <c r="F333" t="str">
        <f>IFERROR(INDEX(customers[country], MATCH(orders[[#This Row],[customer_id]], customers[customer_id], 0)), "Unmapped")</f>
        <v>Poland</v>
      </c>
      <c r="G333" t="str">
        <f>IFERROR(INDEX(Region_Map[Region], MATCH(orders[[#This Row],[Customer_Country]], Region_Map[Country], 0)), "Unknown")</f>
        <v>Central Europe</v>
      </c>
      <c r="H333" t="s">
        <v>6949</v>
      </c>
    </row>
    <row r="334" spans="1:8">
      <c r="A334" t="s">
        <v>1245</v>
      </c>
      <c r="B334" t="s">
        <v>216</v>
      </c>
      <c r="C334" s="1">
        <v>45442</v>
      </c>
      <c r="D334" s="1" t="str">
        <f>PROPER(orders[[#This Row],[order_priority]])</f>
        <v>Standard</v>
      </c>
      <c r="E334" t="s">
        <v>13317</v>
      </c>
      <c r="F334" t="str">
        <f>IFERROR(INDEX(customers[country], MATCH(orders[[#This Row],[customer_id]], customers[customer_id], 0)), "Unmapped")</f>
        <v>Norway</v>
      </c>
      <c r="G334" t="str">
        <f>IFERROR(INDEX(Region_Map[Region], MATCH(orders[[#This Row],[Customer_Country]], Region_Map[Country], 0)), "Unknown")</f>
        <v>Nordics</v>
      </c>
      <c r="H334" t="s">
        <v>6949</v>
      </c>
    </row>
    <row r="335" spans="1:8">
      <c r="A335" t="s">
        <v>1246</v>
      </c>
      <c r="B335" t="s">
        <v>658</v>
      </c>
      <c r="C335" s="1">
        <v>45231</v>
      </c>
      <c r="D335" s="1" t="str">
        <f>PROPER(orders[[#This Row],[order_priority]])</f>
        <v>Same Day</v>
      </c>
      <c r="E335" t="s">
        <v>13322</v>
      </c>
      <c r="F335" t="str">
        <f>IFERROR(INDEX(customers[country], MATCH(orders[[#This Row],[customer_id]], customers[customer_id], 0)), "Unmapped")</f>
        <v>Latvia</v>
      </c>
      <c r="G335" t="str">
        <f>IFERROR(INDEX(Region_Map[Region], MATCH(orders[[#This Row],[Customer_Country]], Region_Map[Country], 0)), "Unknown")</f>
        <v>Baltics</v>
      </c>
      <c r="H335" t="s">
        <v>6949</v>
      </c>
    </row>
    <row r="336" spans="1:8">
      <c r="A336" t="s">
        <v>1247</v>
      </c>
      <c r="B336" t="s">
        <v>578</v>
      </c>
      <c r="C336" s="1">
        <v>45498</v>
      </c>
      <c r="D336" s="1" t="str">
        <f>PROPER(orders[[#This Row],[order_priority]])</f>
        <v>Standard</v>
      </c>
      <c r="E336" t="s">
        <v>13317</v>
      </c>
      <c r="F336" t="str">
        <f>IFERROR(INDEX(customers[country], MATCH(orders[[#This Row],[customer_id]], customers[customer_id], 0)), "Unmapped")</f>
        <v>Norway</v>
      </c>
      <c r="G336" t="str">
        <f>IFERROR(INDEX(Region_Map[Region], MATCH(orders[[#This Row],[Customer_Country]], Region_Map[Country], 0)), "Unknown")</f>
        <v>Nordics</v>
      </c>
      <c r="H336" t="s">
        <v>6949</v>
      </c>
    </row>
    <row r="337" spans="1:8">
      <c r="A337" t="s">
        <v>1248</v>
      </c>
      <c r="B337" t="s">
        <v>13333</v>
      </c>
      <c r="C337" s="1">
        <v>45086</v>
      </c>
      <c r="D337" s="1" t="str">
        <f>PROPER(orders[[#This Row],[order_priority]])</f>
        <v>Economy</v>
      </c>
      <c r="E337" t="s">
        <v>13316</v>
      </c>
      <c r="F337" t="str">
        <f>IFERROR(INDEX(customers[country], MATCH(orders[[#This Row],[customer_id]], customers[customer_id], 0)), "Unmapped")</f>
        <v>Unmapped</v>
      </c>
      <c r="G337" t="str">
        <f>IFERROR(INDEX(Region_Map[Region], MATCH(orders[[#This Row],[Customer_Country]], Region_Map[Country], 0)), "Unknown")</f>
        <v>Unknown</v>
      </c>
      <c r="H337" t="s">
        <v>6949</v>
      </c>
    </row>
    <row r="338" spans="1:8">
      <c r="A338" t="s">
        <v>1249</v>
      </c>
      <c r="B338" t="s">
        <v>626</v>
      </c>
      <c r="C338" s="1">
        <v>45496</v>
      </c>
      <c r="D338" s="1" t="str">
        <f>PROPER(orders[[#This Row],[order_priority]])</f>
        <v>Same Day</v>
      </c>
      <c r="E338" t="s">
        <v>13322</v>
      </c>
      <c r="F338" t="str">
        <f>IFERROR(INDEX(customers[country], MATCH(orders[[#This Row],[customer_id]], customers[customer_id], 0)), "Unmapped")</f>
        <v>Denmark</v>
      </c>
      <c r="G338" t="str">
        <f>IFERROR(INDEX(Region_Map[Region], MATCH(orders[[#This Row],[Customer_Country]], Region_Map[Country], 0)), "Unknown")</f>
        <v>Nordics</v>
      </c>
      <c r="H338" t="s">
        <v>6949</v>
      </c>
    </row>
    <row r="339" spans="1:8">
      <c r="A339" t="s">
        <v>1250</v>
      </c>
      <c r="B339" t="s">
        <v>808</v>
      </c>
      <c r="C339" s="1">
        <v>45530</v>
      </c>
      <c r="D339" s="1" t="str">
        <f>PROPER(orders[[#This Row],[order_priority]])</f>
        <v>Standard</v>
      </c>
      <c r="E339" t="s">
        <v>13317</v>
      </c>
      <c r="F339" t="str">
        <f>IFERROR(INDEX(customers[country], MATCH(orders[[#This Row],[customer_id]], customers[customer_id], 0)), "Unmapped")</f>
        <v>Sweden</v>
      </c>
      <c r="G339" t="str">
        <f>IFERROR(INDEX(Region_Map[Region], MATCH(orders[[#This Row],[Customer_Country]], Region_Map[Country], 0)), "Unknown")</f>
        <v>Nordics</v>
      </c>
      <c r="H339" t="s">
        <v>6949</v>
      </c>
    </row>
    <row r="340" spans="1:8">
      <c r="A340" t="s">
        <v>1251</v>
      </c>
      <c r="B340" t="s">
        <v>802</v>
      </c>
      <c r="C340" s="1">
        <v>45569</v>
      </c>
      <c r="D340" s="1" t="str">
        <f>PROPER(orders[[#This Row],[order_priority]])</f>
        <v>Standard</v>
      </c>
      <c r="E340" t="s">
        <v>13317</v>
      </c>
      <c r="F340" t="str">
        <f>IFERROR(INDEX(customers[country], MATCH(orders[[#This Row],[customer_id]], customers[customer_id], 0)), "Unmapped")</f>
        <v>Poland</v>
      </c>
      <c r="G340" t="str">
        <f>IFERROR(INDEX(Region_Map[Region], MATCH(orders[[#This Row],[Customer_Country]], Region_Map[Country], 0)), "Unknown")</f>
        <v>Central Europe</v>
      </c>
      <c r="H340" t="s">
        <v>6949</v>
      </c>
    </row>
    <row r="341" spans="1:8">
      <c r="A341" t="s">
        <v>1252</v>
      </c>
      <c r="B341" t="s">
        <v>243</v>
      </c>
      <c r="C341" s="1">
        <v>45045</v>
      </c>
      <c r="D341" s="1" t="str">
        <f>PROPER(orders[[#This Row],[order_priority]])</f>
        <v>Economy</v>
      </c>
      <c r="E341" t="s">
        <v>13316</v>
      </c>
      <c r="F341" t="str">
        <f>IFERROR(INDEX(customers[country], MATCH(orders[[#This Row],[customer_id]], customers[customer_id], 0)), "Unmapped")</f>
        <v>Netherlands</v>
      </c>
      <c r="G341" t="str">
        <f>IFERROR(INDEX(Region_Map[Region], MATCH(orders[[#This Row],[Customer_Country]], Region_Map[Country], 0)), "Unknown")</f>
        <v>Central Europe</v>
      </c>
      <c r="H341" t="s">
        <v>6949</v>
      </c>
    </row>
    <row r="342" spans="1:8">
      <c r="A342" t="s">
        <v>1253</v>
      </c>
      <c r="B342" t="s">
        <v>685</v>
      </c>
      <c r="C342" s="1">
        <v>44982</v>
      </c>
      <c r="D342" s="1" t="str">
        <f>PROPER(orders[[#This Row],[order_priority]])</f>
        <v>Economy</v>
      </c>
      <c r="E342" t="s">
        <v>13316</v>
      </c>
      <c r="F342" t="str">
        <f>IFERROR(INDEX(customers[country], MATCH(orders[[#This Row],[customer_id]], customers[customer_id], 0)), "Unmapped")</f>
        <v>Latvia</v>
      </c>
      <c r="G342" t="str">
        <f>IFERROR(INDEX(Region_Map[Region], MATCH(orders[[#This Row],[Customer_Country]], Region_Map[Country], 0)), "Unknown")</f>
        <v>Baltics</v>
      </c>
      <c r="H342" t="s">
        <v>6949</v>
      </c>
    </row>
    <row r="343" spans="1:8">
      <c r="A343" t="s">
        <v>1254</v>
      </c>
      <c r="B343" t="s">
        <v>521</v>
      </c>
      <c r="C343" s="1">
        <v>45389</v>
      </c>
      <c r="D343" s="1" t="str">
        <f>PROPER(orders[[#This Row],[order_priority]])</f>
        <v>Economy</v>
      </c>
      <c r="E343" t="s">
        <v>13316</v>
      </c>
      <c r="F343" t="str">
        <f>IFERROR(INDEX(customers[country], MATCH(orders[[#This Row],[customer_id]], customers[customer_id], 0)), "Unmapped")</f>
        <v>Norway</v>
      </c>
      <c r="G343" t="str">
        <f>IFERROR(INDEX(Region_Map[Region], MATCH(orders[[#This Row],[Customer_Country]], Region_Map[Country], 0)), "Unknown")</f>
        <v>Nordics</v>
      </c>
      <c r="H343" t="s">
        <v>6949</v>
      </c>
    </row>
    <row r="344" spans="1:8">
      <c r="A344" t="s">
        <v>1255</v>
      </c>
      <c r="B344" t="s">
        <v>27</v>
      </c>
      <c r="C344" s="1">
        <v>45025</v>
      </c>
      <c r="D344" s="1" t="str">
        <f>PROPER(orders[[#This Row],[order_priority]])</f>
        <v>Economy</v>
      </c>
      <c r="E344" t="s">
        <v>13316</v>
      </c>
      <c r="F344" t="str">
        <f>IFERROR(INDEX(customers[country], MATCH(orders[[#This Row],[customer_id]], customers[customer_id], 0)), "Unmapped")</f>
        <v>Latvia</v>
      </c>
      <c r="G344" t="str">
        <f>IFERROR(INDEX(Region_Map[Region], MATCH(orders[[#This Row],[Customer_Country]], Region_Map[Country], 0)), "Unknown")</f>
        <v>Baltics</v>
      </c>
      <c r="H344" t="s">
        <v>6949</v>
      </c>
    </row>
    <row r="345" spans="1:8">
      <c r="A345" t="s">
        <v>1256</v>
      </c>
      <c r="B345" t="s">
        <v>189</v>
      </c>
      <c r="C345" s="1">
        <v>45272</v>
      </c>
      <c r="D345" s="1" t="str">
        <f>PROPER(orders[[#This Row],[order_priority]])</f>
        <v>Express</v>
      </c>
      <c r="E345" t="s">
        <v>13318</v>
      </c>
      <c r="F345" t="str">
        <f>IFERROR(INDEX(customers[country], MATCH(orders[[#This Row],[customer_id]], customers[customer_id], 0)), "Unmapped")</f>
        <v>Norway</v>
      </c>
      <c r="G345" t="str">
        <f>IFERROR(INDEX(Region_Map[Region], MATCH(orders[[#This Row],[Customer_Country]], Region_Map[Country], 0)), "Unknown")</f>
        <v>Nordics</v>
      </c>
      <c r="H345" t="s">
        <v>6949</v>
      </c>
    </row>
    <row r="346" spans="1:8">
      <c r="A346" t="s">
        <v>1257</v>
      </c>
      <c r="B346" t="s">
        <v>587</v>
      </c>
      <c r="C346" s="1">
        <v>45246</v>
      </c>
      <c r="D346" s="1" t="str">
        <f>PROPER(orders[[#This Row],[order_priority]])</f>
        <v>Same Day</v>
      </c>
      <c r="E346" t="s">
        <v>13321</v>
      </c>
      <c r="F346" t="str">
        <f>IFERROR(INDEX(customers[country], MATCH(orders[[#This Row],[customer_id]], customers[customer_id], 0)), "Unmapped")</f>
        <v>Finland</v>
      </c>
      <c r="G346" t="str">
        <f>IFERROR(INDEX(Region_Map[Region], MATCH(orders[[#This Row],[Customer_Country]], Region_Map[Country], 0)), "Unknown")</f>
        <v>Nordics</v>
      </c>
      <c r="H346" t="s">
        <v>6949</v>
      </c>
    </row>
    <row r="347" spans="1:8">
      <c r="A347" t="s">
        <v>1258</v>
      </c>
      <c r="B347" t="s">
        <v>479</v>
      </c>
      <c r="C347" s="1">
        <v>45383</v>
      </c>
      <c r="D347" s="1" t="str">
        <f>PROPER(orders[[#This Row],[order_priority]])</f>
        <v>Standard</v>
      </c>
      <c r="E347" t="s">
        <v>13317</v>
      </c>
      <c r="F347" t="str">
        <f>IFERROR(INDEX(customers[country], MATCH(orders[[#This Row],[customer_id]], customers[customer_id], 0)), "Unmapped")</f>
        <v>Latvia</v>
      </c>
      <c r="G347" t="str">
        <f>IFERROR(INDEX(Region_Map[Region], MATCH(orders[[#This Row],[Customer_Country]], Region_Map[Country], 0)), "Unknown")</f>
        <v>Baltics</v>
      </c>
      <c r="H347" t="s">
        <v>6949</v>
      </c>
    </row>
    <row r="348" spans="1:8">
      <c r="A348" t="s">
        <v>1259</v>
      </c>
      <c r="B348" t="s">
        <v>500</v>
      </c>
      <c r="C348" s="1">
        <v>45540</v>
      </c>
      <c r="D348" s="1" t="str">
        <f>PROPER(orders[[#This Row],[order_priority]])</f>
        <v>Same Day</v>
      </c>
      <c r="E348" t="s">
        <v>13322</v>
      </c>
      <c r="F348" t="str">
        <f>IFERROR(INDEX(customers[country], MATCH(orders[[#This Row],[customer_id]], customers[customer_id], 0)), "Unmapped")</f>
        <v>Estonia</v>
      </c>
      <c r="G348" t="str">
        <f>IFERROR(INDEX(Region_Map[Region], MATCH(orders[[#This Row],[Customer_Country]], Region_Map[Country], 0)), "Unknown")</f>
        <v>Baltics</v>
      </c>
      <c r="H348" t="s">
        <v>6949</v>
      </c>
    </row>
    <row r="349" spans="1:8">
      <c r="A349" t="s">
        <v>1260</v>
      </c>
      <c r="B349" t="s">
        <v>368</v>
      </c>
      <c r="C349" s="1">
        <v>45030</v>
      </c>
      <c r="D349" s="1" t="str">
        <f>PROPER(orders[[#This Row],[order_priority]])</f>
        <v>Express</v>
      </c>
      <c r="E349" t="s">
        <v>13318</v>
      </c>
      <c r="F349" t="str">
        <f>IFERROR(INDEX(customers[country], MATCH(orders[[#This Row],[customer_id]], customers[customer_id], 0)), "Unmapped")</f>
        <v>Poland</v>
      </c>
      <c r="G349" t="str">
        <f>IFERROR(INDEX(Region_Map[Region], MATCH(orders[[#This Row],[Customer_Country]], Region_Map[Country], 0)), "Unknown")</f>
        <v>Central Europe</v>
      </c>
      <c r="H349" t="s">
        <v>6949</v>
      </c>
    </row>
    <row r="350" spans="1:8">
      <c r="A350" t="s">
        <v>1261</v>
      </c>
      <c r="B350" t="s">
        <v>775</v>
      </c>
      <c r="C350" s="1">
        <v>45092</v>
      </c>
      <c r="D350" s="1" t="str">
        <f>PROPER(orders[[#This Row],[order_priority]])</f>
        <v>Economy</v>
      </c>
      <c r="E350" t="s">
        <v>13316</v>
      </c>
      <c r="F350" t="str">
        <f>IFERROR(INDEX(customers[country], MATCH(orders[[#This Row],[customer_id]], customers[customer_id], 0)), "Unmapped")</f>
        <v>Sweden</v>
      </c>
      <c r="G350" t="str">
        <f>IFERROR(INDEX(Region_Map[Region], MATCH(orders[[#This Row],[Customer_Country]], Region_Map[Country], 0)), "Unknown")</f>
        <v>Nordics</v>
      </c>
      <c r="H350" t="s">
        <v>6949</v>
      </c>
    </row>
    <row r="351" spans="1:8">
      <c r="A351" t="s">
        <v>1262</v>
      </c>
      <c r="B351" t="s">
        <v>760</v>
      </c>
      <c r="C351" s="1">
        <v>45568</v>
      </c>
      <c r="D351" s="1" t="str">
        <f>PROPER(orders[[#This Row],[order_priority]])</f>
        <v>Economy</v>
      </c>
      <c r="E351" t="s">
        <v>13316</v>
      </c>
      <c r="F351" t="str">
        <f>IFERROR(INDEX(customers[country], MATCH(orders[[#This Row],[customer_id]], customers[customer_id], 0)), "Unmapped")</f>
        <v>Poland</v>
      </c>
      <c r="G351" t="str">
        <f>IFERROR(INDEX(Region_Map[Region], MATCH(orders[[#This Row],[Customer_Country]], Region_Map[Country], 0)), "Unknown")</f>
        <v>Central Europe</v>
      </c>
      <c r="H351" t="s">
        <v>6949</v>
      </c>
    </row>
    <row r="352" spans="1:8">
      <c r="A352" t="s">
        <v>1263</v>
      </c>
      <c r="B352" t="s">
        <v>157</v>
      </c>
      <c r="C352" s="1">
        <v>45503</v>
      </c>
      <c r="D352" s="1" t="str">
        <f>PROPER(orders[[#This Row],[order_priority]])</f>
        <v>Standard</v>
      </c>
      <c r="E352" t="s">
        <v>13317</v>
      </c>
      <c r="F352" t="str">
        <f>IFERROR(INDEX(customers[country], MATCH(orders[[#This Row],[customer_id]], customers[customer_id], 0)), "Unmapped")</f>
        <v>Lithuania</v>
      </c>
      <c r="G352" t="str">
        <f>IFERROR(INDEX(Region_Map[Region], MATCH(orders[[#This Row],[Customer_Country]], Region_Map[Country], 0)), "Unknown")</f>
        <v>Baltics</v>
      </c>
      <c r="H352" t="s">
        <v>6949</v>
      </c>
    </row>
    <row r="353" spans="1:8">
      <c r="A353" t="s">
        <v>1264</v>
      </c>
      <c r="B353" t="s">
        <v>407</v>
      </c>
      <c r="C353" s="1">
        <v>45572</v>
      </c>
      <c r="D353" s="1" t="str">
        <f>PROPER(orders[[#This Row],[order_priority]])</f>
        <v>Economy</v>
      </c>
      <c r="E353" t="s">
        <v>13316</v>
      </c>
      <c r="F353" t="str">
        <f>IFERROR(INDEX(customers[country], MATCH(orders[[#This Row],[customer_id]], customers[customer_id], 0)), "Unmapped")</f>
        <v>Poland</v>
      </c>
      <c r="G353" t="str">
        <f>IFERROR(INDEX(Region_Map[Region], MATCH(orders[[#This Row],[Customer_Country]], Region_Map[Country], 0)), "Unknown")</f>
        <v>Central Europe</v>
      </c>
      <c r="H353" t="s">
        <v>6949</v>
      </c>
    </row>
    <row r="354" spans="1:8">
      <c r="A354" t="s">
        <v>1265</v>
      </c>
      <c r="B354" t="s">
        <v>314</v>
      </c>
      <c r="C354" s="1">
        <v>44980</v>
      </c>
      <c r="D354" s="1" t="str">
        <f>PROPER(orders[[#This Row],[order_priority]])</f>
        <v>Express</v>
      </c>
      <c r="E354" t="s">
        <v>13320</v>
      </c>
      <c r="F354" t="str">
        <f>IFERROR(INDEX(customers[country], MATCH(orders[[#This Row],[customer_id]], customers[customer_id], 0)), "Unmapped")</f>
        <v>Poland</v>
      </c>
      <c r="G354" t="str">
        <f>IFERROR(INDEX(Region_Map[Region], MATCH(orders[[#This Row],[Customer_Country]], Region_Map[Country], 0)), "Unknown")</f>
        <v>Central Europe</v>
      </c>
      <c r="H354" t="s">
        <v>6949</v>
      </c>
    </row>
    <row r="355" spans="1:8">
      <c r="A355" t="s">
        <v>1266</v>
      </c>
      <c r="B355" t="s">
        <v>617</v>
      </c>
      <c r="C355" s="1">
        <v>45011</v>
      </c>
      <c r="D355" s="1" t="str">
        <f>PROPER(orders[[#This Row],[order_priority]])</f>
        <v>Same Day</v>
      </c>
      <c r="E355" t="s">
        <v>13322</v>
      </c>
      <c r="F355" t="str">
        <f>IFERROR(INDEX(customers[country], MATCH(orders[[#This Row],[customer_id]], customers[customer_id], 0)), "Unmapped")</f>
        <v>Latvia</v>
      </c>
      <c r="G355" t="str">
        <f>IFERROR(INDEX(Region_Map[Region], MATCH(orders[[#This Row],[Customer_Country]], Region_Map[Country], 0)), "Unknown")</f>
        <v>Baltics</v>
      </c>
      <c r="H355" t="s">
        <v>6949</v>
      </c>
    </row>
    <row r="356" spans="1:8">
      <c r="A356" t="s">
        <v>1267</v>
      </c>
      <c r="B356" t="s">
        <v>688</v>
      </c>
      <c r="C356" s="1">
        <v>45345</v>
      </c>
      <c r="D356" s="1" t="str">
        <f>PROPER(orders[[#This Row],[order_priority]])</f>
        <v>Express</v>
      </c>
      <c r="E356" t="s">
        <v>13318</v>
      </c>
      <c r="F356" t="str">
        <f>IFERROR(INDEX(customers[country], MATCH(orders[[#This Row],[customer_id]], customers[customer_id], 0)), "Unmapped")</f>
        <v>Norway</v>
      </c>
      <c r="G356" t="str">
        <f>IFERROR(INDEX(Region_Map[Region], MATCH(orders[[#This Row],[Customer_Country]], Region_Map[Country], 0)), "Unknown")</f>
        <v>Nordics</v>
      </c>
      <c r="H356" t="s">
        <v>6949</v>
      </c>
    </row>
    <row r="357" spans="1:8">
      <c r="A357" t="s">
        <v>1268</v>
      </c>
      <c r="B357" t="s">
        <v>903</v>
      </c>
      <c r="C357" s="1">
        <v>45291</v>
      </c>
      <c r="D357" s="1" t="str">
        <f>PROPER(orders[[#This Row],[order_priority]])</f>
        <v>Express</v>
      </c>
      <c r="E357" t="s">
        <v>13318</v>
      </c>
      <c r="F357" t="str">
        <f>IFERROR(INDEX(customers[country], MATCH(orders[[#This Row],[customer_id]], customers[customer_id], 0)), "Unmapped")</f>
        <v>Norway</v>
      </c>
      <c r="G357" t="str">
        <f>IFERROR(INDEX(Region_Map[Region], MATCH(orders[[#This Row],[Customer_Country]], Region_Map[Country], 0)), "Unknown")</f>
        <v>Nordics</v>
      </c>
      <c r="H357" t="s">
        <v>6949</v>
      </c>
    </row>
    <row r="358" spans="1:8">
      <c r="A358" t="s">
        <v>1269</v>
      </c>
      <c r="B358" t="s">
        <v>784</v>
      </c>
      <c r="C358" s="1">
        <v>45149</v>
      </c>
      <c r="D358" s="1" t="str">
        <f>PROPER(orders[[#This Row],[order_priority]])</f>
        <v>Economy</v>
      </c>
      <c r="E358" t="s">
        <v>13316</v>
      </c>
      <c r="F358" t="str">
        <f>IFERROR(INDEX(customers[country], MATCH(orders[[#This Row],[customer_id]], customers[customer_id], 0)), "Unmapped")</f>
        <v>Estonia</v>
      </c>
      <c r="G358" t="str">
        <f>IFERROR(INDEX(Region_Map[Region], MATCH(orders[[#This Row],[Customer_Country]], Region_Map[Country], 0)), "Unknown")</f>
        <v>Baltics</v>
      </c>
      <c r="H358" t="s">
        <v>6949</v>
      </c>
    </row>
    <row r="359" spans="1:8">
      <c r="A359" t="s">
        <v>1270</v>
      </c>
      <c r="B359" t="s">
        <v>133</v>
      </c>
      <c r="C359" s="1">
        <v>45049</v>
      </c>
      <c r="D359" s="1" t="str">
        <f>PROPER(orders[[#This Row],[order_priority]])</f>
        <v>Express</v>
      </c>
      <c r="E359" t="s">
        <v>13318</v>
      </c>
      <c r="F359" t="str">
        <f>IFERROR(INDEX(customers[country], MATCH(orders[[#This Row],[customer_id]], customers[customer_id], 0)), "Unmapped")</f>
        <v>Finland</v>
      </c>
      <c r="G359" t="str">
        <f>IFERROR(INDEX(Region_Map[Region], MATCH(orders[[#This Row],[Customer_Country]], Region_Map[Country], 0)), "Unknown")</f>
        <v>Nordics</v>
      </c>
      <c r="H359" t="s">
        <v>6949</v>
      </c>
    </row>
    <row r="360" spans="1:8">
      <c r="A360" t="s">
        <v>1271</v>
      </c>
      <c r="B360" t="s">
        <v>578</v>
      </c>
      <c r="C360" s="1">
        <v>45227</v>
      </c>
      <c r="D360" s="1" t="str">
        <f>PROPER(orders[[#This Row],[order_priority]])</f>
        <v>Economy</v>
      </c>
      <c r="E360" t="s">
        <v>13316</v>
      </c>
      <c r="F360" t="str">
        <f>IFERROR(INDEX(customers[country], MATCH(orders[[#This Row],[customer_id]], customers[customer_id], 0)), "Unmapped")</f>
        <v>Norway</v>
      </c>
      <c r="G360" t="str">
        <f>IFERROR(INDEX(Region_Map[Region], MATCH(orders[[#This Row],[Customer_Country]], Region_Map[Country], 0)), "Unknown")</f>
        <v>Nordics</v>
      </c>
      <c r="H360" t="s">
        <v>6949</v>
      </c>
    </row>
    <row r="361" spans="1:8">
      <c r="A361" t="s">
        <v>1272</v>
      </c>
      <c r="B361" t="s">
        <v>139</v>
      </c>
      <c r="C361" s="1">
        <v>45080</v>
      </c>
      <c r="D361" s="1" t="str">
        <f>PROPER(orders[[#This Row],[order_priority]])</f>
        <v>Standard</v>
      </c>
      <c r="E361" t="s">
        <v>13317</v>
      </c>
      <c r="F361" t="str">
        <f>IFERROR(INDEX(customers[country], MATCH(orders[[#This Row],[customer_id]], customers[customer_id], 0)), "Unmapped")</f>
        <v>Netherlands</v>
      </c>
      <c r="G361" t="str">
        <f>IFERROR(INDEX(Region_Map[Region], MATCH(orders[[#This Row],[Customer_Country]], Region_Map[Country], 0)), "Unknown")</f>
        <v>Central Europe</v>
      </c>
      <c r="H361" t="s">
        <v>6949</v>
      </c>
    </row>
    <row r="362" spans="1:8">
      <c r="A362" t="s">
        <v>1273</v>
      </c>
      <c r="B362" t="s">
        <v>867</v>
      </c>
      <c r="C362" s="1">
        <v>45369</v>
      </c>
      <c r="D362" s="1" t="str">
        <f>PROPER(orders[[#This Row],[order_priority]])</f>
        <v>Same Day</v>
      </c>
      <c r="E362" t="s">
        <v>13321</v>
      </c>
      <c r="F362" t="str">
        <f>IFERROR(INDEX(customers[country], MATCH(orders[[#This Row],[customer_id]], customers[customer_id], 0)), "Unmapped")</f>
        <v>Denmark</v>
      </c>
      <c r="G362" t="str">
        <f>IFERROR(INDEX(Region_Map[Region], MATCH(orders[[#This Row],[Customer_Country]], Region_Map[Country], 0)), "Unknown")</f>
        <v>Nordics</v>
      </c>
      <c r="H362" t="s">
        <v>6949</v>
      </c>
    </row>
    <row r="363" spans="1:8">
      <c r="A363" t="s">
        <v>1274</v>
      </c>
      <c r="B363" t="s">
        <v>760</v>
      </c>
      <c r="C363" s="1">
        <v>45279</v>
      </c>
      <c r="D363" s="1" t="str">
        <f>PROPER(orders[[#This Row],[order_priority]])</f>
        <v>Economy</v>
      </c>
      <c r="E363" t="s">
        <v>13316</v>
      </c>
      <c r="F363" t="str">
        <f>IFERROR(INDEX(customers[country], MATCH(orders[[#This Row],[customer_id]], customers[customer_id], 0)), "Unmapped")</f>
        <v>Poland</v>
      </c>
      <c r="G363" t="str">
        <f>IFERROR(INDEX(Region_Map[Region], MATCH(orders[[#This Row],[Customer_Country]], Region_Map[Country], 0)), "Unknown")</f>
        <v>Central Europe</v>
      </c>
      <c r="H363" t="s">
        <v>6949</v>
      </c>
    </row>
    <row r="364" spans="1:8">
      <c r="A364" t="s">
        <v>1275</v>
      </c>
      <c r="B364" t="s">
        <v>909</v>
      </c>
      <c r="C364" s="1">
        <v>44939</v>
      </c>
      <c r="D364" s="1" t="str">
        <f>PROPER(orders[[#This Row],[order_priority]])</f>
        <v>Standard</v>
      </c>
      <c r="E364" t="s">
        <v>13317</v>
      </c>
      <c r="F364" t="str">
        <f>IFERROR(INDEX(customers[country], MATCH(orders[[#This Row],[customer_id]], customers[customer_id], 0)), "Unmapped")</f>
        <v>Poland</v>
      </c>
      <c r="G364" t="str">
        <f>IFERROR(INDEX(Region_Map[Region], MATCH(orders[[#This Row],[Customer_Country]], Region_Map[Country], 0)), "Unknown")</f>
        <v>Central Europe</v>
      </c>
      <c r="H364" t="s">
        <v>6949</v>
      </c>
    </row>
    <row r="365" spans="1:8">
      <c r="A365" t="s">
        <v>1276</v>
      </c>
      <c r="B365" t="s">
        <v>635</v>
      </c>
      <c r="C365" s="1">
        <v>45467</v>
      </c>
      <c r="D365" s="1" t="str">
        <f>PROPER(orders[[#This Row],[order_priority]])</f>
        <v>Same Day</v>
      </c>
      <c r="E365" t="s">
        <v>13322</v>
      </c>
      <c r="F365" t="str">
        <f>IFERROR(INDEX(customers[country], MATCH(orders[[#This Row],[customer_id]], customers[customer_id], 0)), "Unmapped")</f>
        <v>Latvia</v>
      </c>
      <c r="G365" t="str">
        <f>IFERROR(INDEX(Region_Map[Region], MATCH(orders[[#This Row],[Customer_Country]], Region_Map[Country], 0)), "Unknown")</f>
        <v>Baltics</v>
      </c>
      <c r="H365" t="s">
        <v>6949</v>
      </c>
    </row>
    <row r="366" spans="1:8">
      <c r="A366" t="s">
        <v>1277</v>
      </c>
      <c r="B366" t="s">
        <v>6</v>
      </c>
      <c r="C366" s="1">
        <v>45065</v>
      </c>
      <c r="D366" s="1" t="str">
        <f>PROPER(orders[[#This Row],[order_priority]])</f>
        <v>Express</v>
      </c>
      <c r="E366" t="s">
        <v>13318</v>
      </c>
      <c r="F366" t="str">
        <f>IFERROR(INDEX(customers[country], MATCH(orders[[#This Row],[customer_id]], customers[customer_id], 0)), "Unmapped")</f>
        <v>Latvia</v>
      </c>
      <c r="G366" t="str">
        <f>IFERROR(INDEX(Region_Map[Region], MATCH(orders[[#This Row],[Customer_Country]], Region_Map[Country], 0)), "Unknown")</f>
        <v>Baltics</v>
      </c>
      <c r="H366" t="s">
        <v>6949</v>
      </c>
    </row>
    <row r="367" spans="1:8">
      <c r="A367" t="s">
        <v>1278</v>
      </c>
      <c r="B367" t="s">
        <v>766</v>
      </c>
      <c r="C367" s="1">
        <v>45483</v>
      </c>
      <c r="D367" s="1" t="str">
        <f>PROPER(orders[[#This Row],[order_priority]])</f>
        <v>Same Day</v>
      </c>
      <c r="E367" t="s">
        <v>13322</v>
      </c>
      <c r="F367" t="str">
        <f>IFERROR(INDEX(customers[country], MATCH(orders[[#This Row],[customer_id]], customers[customer_id], 0)), "Unmapped")</f>
        <v>Germany</v>
      </c>
      <c r="G367" t="str">
        <f>IFERROR(INDEX(Region_Map[Region], MATCH(orders[[#This Row],[Customer_Country]], Region_Map[Country], 0)), "Unknown")</f>
        <v>Central Europe</v>
      </c>
      <c r="H367" t="s">
        <v>6949</v>
      </c>
    </row>
    <row r="368" spans="1:8">
      <c r="A368" t="s">
        <v>1279</v>
      </c>
      <c r="B368" t="s">
        <v>903</v>
      </c>
      <c r="C368" s="1">
        <v>45023</v>
      </c>
      <c r="D368" s="1" t="str">
        <f>PROPER(orders[[#This Row],[order_priority]])</f>
        <v>Same Day</v>
      </c>
      <c r="E368" t="s">
        <v>13322</v>
      </c>
      <c r="F368" t="str">
        <f>IFERROR(INDEX(customers[country], MATCH(orders[[#This Row],[customer_id]], customers[customer_id], 0)), "Unmapped")</f>
        <v>Norway</v>
      </c>
      <c r="G368" t="str">
        <f>IFERROR(INDEX(Region_Map[Region], MATCH(orders[[#This Row],[Customer_Country]], Region_Map[Country], 0)), "Unknown")</f>
        <v>Nordics</v>
      </c>
      <c r="H368" t="s">
        <v>6949</v>
      </c>
    </row>
    <row r="369" spans="1:8">
      <c r="A369" t="s">
        <v>1280</v>
      </c>
      <c r="B369" t="s">
        <v>752</v>
      </c>
      <c r="C369" s="1">
        <v>45071</v>
      </c>
      <c r="D369" s="1" t="str">
        <f>PROPER(orders[[#This Row],[order_priority]])</f>
        <v>Economy</v>
      </c>
      <c r="E369" t="s">
        <v>13316</v>
      </c>
      <c r="F369" t="str">
        <f>IFERROR(INDEX(customers[country], MATCH(orders[[#This Row],[customer_id]], customers[customer_id], 0)), "Unmapped")</f>
        <v>Estonia</v>
      </c>
      <c r="G369" t="str">
        <f>IFERROR(INDEX(Region_Map[Region], MATCH(orders[[#This Row],[Customer_Country]], Region_Map[Country], 0)), "Unknown")</f>
        <v>Baltics</v>
      </c>
      <c r="H369" t="s">
        <v>6949</v>
      </c>
    </row>
    <row r="370" spans="1:8">
      <c r="A370" t="s">
        <v>1281</v>
      </c>
      <c r="B370" t="s">
        <v>118</v>
      </c>
      <c r="C370" s="1">
        <v>45199</v>
      </c>
      <c r="D370" s="1" t="str">
        <f>PROPER(orders[[#This Row],[order_priority]])</f>
        <v>Economy</v>
      </c>
      <c r="E370" t="s">
        <v>13316</v>
      </c>
      <c r="F370" t="str">
        <f>IFERROR(INDEX(customers[country], MATCH(orders[[#This Row],[customer_id]], customers[customer_id], 0)), "Unmapped")</f>
        <v>Denmark</v>
      </c>
      <c r="G370" t="str">
        <f>IFERROR(INDEX(Region_Map[Region], MATCH(orders[[#This Row],[Customer_Country]], Region_Map[Country], 0)), "Unknown")</f>
        <v>Nordics</v>
      </c>
      <c r="H370" t="s">
        <v>6949</v>
      </c>
    </row>
    <row r="371" spans="1:8">
      <c r="A371" t="s">
        <v>1282</v>
      </c>
      <c r="B371" t="s">
        <v>115</v>
      </c>
      <c r="C371" s="1">
        <v>45528</v>
      </c>
      <c r="D371" s="1" t="str">
        <f>PROPER(orders[[#This Row],[order_priority]])</f>
        <v>Economy</v>
      </c>
      <c r="E371" t="s">
        <v>13316</v>
      </c>
      <c r="F371" t="str">
        <f>IFERROR(INDEX(customers[country], MATCH(orders[[#This Row],[customer_id]], customers[customer_id], 0)), "Unmapped")</f>
        <v>Finland</v>
      </c>
      <c r="G371" t="str">
        <f>IFERROR(INDEX(Region_Map[Region], MATCH(orders[[#This Row],[Customer_Country]], Region_Map[Country], 0)), "Unknown")</f>
        <v>Nordics</v>
      </c>
      <c r="H371" t="s">
        <v>6949</v>
      </c>
    </row>
    <row r="372" spans="1:8">
      <c r="A372" t="s">
        <v>1283</v>
      </c>
      <c r="B372" t="s">
        <v>55</v>
      </c>
      <c r="C372" s="1">
        <v>45003</v>
      </c>
      <c r="D372" s="1" t="str">
        <f>PROPER(orders[[#This Row],[order_priority]])</f>
        <v>Express</v>
      </c>
      <c r="E372" t="s">
        <v>13318</v>
      </c>
      <c r="F372" t="str">
        <f>IFERROR(INDEX(customers[country], MATCH(orders[[#This Row],[customer_id]], customers[customer_id], 0)), "Unmapped")</f>
        <v>Netherlands</v>
      </c>
      <c r="G372" t="str">
        <f>IFERROR(INDEX(Region_Map[Region], MATCH(orders[[#This Row],[Customer_Country]], Region_Map[Country], 0)), "Unknown")</f>
        <v>Central Europe</v>
      </c>
      <c r="H372" t="s">
        <v>6949</v>
      </c>
    </row>
    <row r="373" spans="1:8">
      <c r="A373" t="s">
        <v>1284</v>
      </c>
      <c r="B373" t="s">
        <v>77</v>
      </c>
      <c r="C373" s="1">
        <v>45152</v>
      </c>
      <c r="D373" s="1" t="str">
        <f>PROPER(orders[[#This Row],[order_priority]])</f>
        <v>Standard</v>
      </c>
      <c r="E373" t="s">
        <v>13317</v>
      </c>
      <c r="F373" t="str">
        <f>IFERROR(INDEX(customers[country], MATCH(orders[[#This Row],[customer_id]], customers[customer_id], 0)), "Unmapped")</f>
        <v>Lithuania</v>
      </c>
      <c r="G373" t="str">
        <f>IFERROR(INDEX(Region_Map[Region], MATCH(orders[[#This Row],[Customer_Country]], Region_Map[Country], 0)), "Unknown")</f>
        <v>Baltics</v>
      </c>
      <c r="H373" t="s">
        <v>6949</v>
      </c>
    </row>
    <row r="374" spans="1:8">
      <c r="A374" t="s">
        <v>1285</v>
      </c>
      <c r="B374" t="s">
        <v>273</v>
      </c>
      <c r="C374" s="1">
        <v>45227</v>
      </c>
      <c r="D374" s="1" t="str">
        <f>PROPER(orders[[#This Row],[order_priority]])</f>
        <v>Same Day</v>
      </c>
      <c r="E374" t="s">
        <v>13322</v>
      </c>
      <c r="F374" t="str">
        <f>IFERROR(INDEX(customers[country], MATCH(orders[[#This Row],[customer_id]], customers[customer_id], 0)), "Unmapped")</f>
        <v>Norway</v>
      </c>
      <c r="G374" t="str">
        <f>IFERROR(INDEX(Region_Map[Region], MATCH(orders[[#This Row],[Customer_Country]], Region_Map[Country], 0)), "Unknown")</f>
        <v>Nordics</v>
      </c>
      <c r="H374" t="s">
        <v>6949</v>
      </c>
    </row>
    <row r="375" spans="1:8">
      <c r="A375" t="s">
        <v>1286</v>
      </c>
      <c r="B375" t="s">
        <v>822</v>
      </c>
      <c r="C375" s="1">
        <v>44971</v>
      </c>
      <c r="D375" s="1" t="str">
        <f>PROPER(orders[[#This Row],[order_priority]])</f>
        <v>Express</v>
      </c>
      <c r="E375" t="s">
        <v>13318</v>
      </c>
      <c r="F375" t="str">
        <f>IFERROR(INDEX(customers[country], MATCH(orders[[#This Row],[customer_id]], customers[customer_id], 0)), "Unmapped")</f>
        <v>Netherlands</v>
      </c>
      <c r="G375" t="str">
        <f>IFERROR(INDEX(Region_Map[Region], MATCH(orders[[#This Row],[Customer_Country]], Region_Map[Country], 0)), "Unknown")</f>
        <v>Central Europe</v>
      </c>
      <c r="H375" t="s">
        <v>6949</v>
      </c>
    </row>
    <row r="376" spans="1:8">
      <c r="A376" t="s">
        <v>1287</v>
      </c>
      <c r="B376" t="s">
        <v>13334</v>
      </c>
      <c r="C376" s="1">
        <v>45310</v>
      </c>
      <c r="D376" s="1" t="str">
        <f>PROPER(orders[[#This Row],[order_priority]])</f>
        <v>Economy</v>
      </c>
      <c r="E376" t="s">
        <v>13316</v>
      </c>
      <c r="F376" t="str">
        <f>IFERROR(INDEX(customers[country], MATCH(orders[[#This Row],[customer_id]], customers[customer_id], 0)), "Unmapped")</f>
        <v>Unmapped</v>
      </c>
      <c r="G376" t="str">
        <f>IFERROR(INDEX(Region_Map[Region], MATCH(orders[[#This Row],[Customer_Country]], Region_Map[Country], 0)), "Unknown")</f>
        <v>Unknown</v>
      </c>
      <c r="H376" t="s">
        <v>6949</v>
      </c>
    </row>
    <row r="377" spans="1:8">
      <c r="A377" t="s">
        <v>1288</v>
      </c>
      <c r="B377" t="s">
        <v>755</v>
      </c>
      <c r="C377" s="1">
        <v>45420</v>
      </c>
      <c r="D377" s="1" t="str">
        <f>PROPER(orders[[#This Row],[order_priority]])</f>
        <v>Standard</v>
      </c>
      <c r="E377" t="s">
        <v>13317</v>
      </c>
      <c r="F377" t="str">
        <f>IFERROR(INDEX(customers[country], MATCH(orders[[#This Row],[customer_id]], customers[customer_id], 0)), "Unmapped")</f>
        <v>Denmark</v>
      </c>
      <c r="G377" t="str">
        <f>IFERROR(INDEX(Region_Map[Region], MATCH(orders[[#This Row],[Customer_Country]], Region_Map[Country], 0)), "Unknown")</f>
        <v>Nordics</v>
      </c>
      <c r="H377" t="s">
        <v>6949</v>
      </c>
    </row>
    <row r="378" spans="1:8">
      <c r="A378" t="s">
        <v>1289</v>
      </c>
      <c r="B378" t="s">
        <v>198</v>
      </c>
      <c r="C378" s="1">
        <v>45496</v>
      </c>
      <c r="D378" s="1" t="str">
        <f>PROPER(orders[[#This Row],[order_priority]])</f>
        <v>Same Day</v>
      </c>
      <c r="E378" t="s">
        <v>13324</v>
      </c>
      <c r="F378" t="str">
        <f>IFERROR(INDEX(customers[country], MATCH(orders[[#This Row],[customer_id]], customers[customer_id], 0)), "Unmapped")</f>
        <v>Poland</v>
      </c>
      <c r="G378" t="str">
        <f>IFERROR(INDEX(Region_Map[Region], MATCH(orders[[#This Row],[Customer_Country]], Region_Map[Country], 0)), "Unknown")</f>
        <v>Central Europe</v>
      </c>
      <c r="H378" t="s">
        <v>6949</v>
      </c>
    </row>
    <row r="379" spans="1:8">
      <c r="A379" t="s">
        <v>1290</v>
      </c>
      <c r="B379" t="s">
        <v>909</v>
      </c>
      <c r="C379" s="1">
        <v>45304</v>
      </c>
      <c r="D379" s="1" t="str">
        <f>PROPER(orders[[#This Row],[order_priority]])</f>
        <v>Standard</v>
      </c>
      <c r="E379" t="s">
        <v>13317</v>
      </c>
      <c r="F379" t="str">
        <f>IFERROR(INDEX(customers[country], MATCH(orders[[#This Row],[customer_id]], customers[customer_id], 0)), "Unmapped")</f>
        <v>Poland</v>
      </c>
      <c r="G379" t="str">
        <f>IFERROR(INDEX(Region_Map[Region], MATCH(orders[[#This Row],[Customer_Country]], Region_Map[Country], 0)), "Unknown")</f>
        <v>Central Europe</v>
      </c>
      <c r="H379" t="s">
        <v>6949</v>
      </c>
    </row>
    <row r="380" spans="1:8">
      <c r="A380" t="s">
        <v>1291</v>
      </c>
      <c r="B380" t="s">
        <v>515</v>
      </c>
      <c r="C380" s="1">
        <v>44929</v>
      </c>
      <c r="D380" s="1" t="str">
        <f>PROPER(orders[[#This Row],[order_priority]])</f>
        <v>Same Day</v>
      </c>
      <c r="E380" t="s">
        <v>13322</v>
      </c>
      <c r="F380" t="str">
        <f>IFERROR(INDEX(customers[country], MATCH(orders[[#This Row],[customer_id]], customers[customer_id], 0)), "Unmapped")</f>
        <v>Latvia</v>
      </c>
      <c r="G380" t="str">
        <f>IFERROR(INDEX(Region_Map[Region], MATCH(orders[[#This Row],[Customer_Country]], Region_Map[Country], 0)), "Unknown")</f>
        <v>Baltics</v>
      </c>
      <c r="H380" t="s">
        <v>6949</v>
      </c>
    </row>
    <row r="381" spans="1:8">
      <c r="A381" t="s">
        <v>1292</v>
      </c>
      <c r="B381" t="s">
        <v>392</v>
      </c>
      <c r="C381" s="1">
        <v>45530</v>
      </c>
      <c r="D381" s="1" t="str">
        <f>PROPER(orders[[#This Row],[order_priority]])</f>
        <v>Express</v>
      </c>
      <c r="E381" t="s">
        <v>13318</v>
      </c>
      <c r="F381" t="str">
        <f>IFERROR(INDEX(customers[country], MATCH(orders[[#This Row],[customer_id]], customers[customer_id], 0)), "Unmapped")</f>
        <v>Latvia</v>
      </c>
      <c r="G381" t="str">
        <f>IFERROR(INDEX(Region_Map[Region], MATCH(orders[[#This Row],[Customer_Country]], Region_Map[Country], 0)), "Unknown")</f>
        <v>Baltics</v>
      </c>
      <c r="H381" t="s">
        <v>6949</v>
      </c>
    </row>
    <row r="382" spans="1:8">
      <c r="A382" t="s">
        <v>1293</v>
      </c>
      <c r="B382" t="s">
        <v>401</v>
      </c>
      <c r="C382" s="1">
        <v>45170</v>
      </c>
      <c r="D382" s="1" t="str">
        <f>PROPER(orders[[#This Row],[order_priority]])</f>
        <v>Express</v>
      </c>
      <c r="E382" t="s">
        <v>13318</v>
      </c>
      <c r="F382" t="str">
        <f>IFERROR(INDEX(customers[country], MATCH(orders[[#This Row],[customer_id]], customers[customer_id], 0)), "Unmapped")</f>
        <v>Latvia</v>
      </c>
      <c r="G382" t="str">
        <f>IFERROR(INDEX(Region_Map[Region], MATCH(orders[[#This Row],[Customer_Country]], Region_Map[Country], 0)), "Unknown")</f>
        <v>Baltics</v>
      </c>
      <c r="H382" t="s">
        <v>6949</v>
      </c>
    </row>
    <row r="383" spans="1:8">
      <c r="A383" t="s">
        <v>1294</v>
      </c>
      <c r="B383" t="s">
        <v>73</v>
      </c>
      <c r="C383" s="1">
        <v>45572</v>
      </c>
      <c r="D383" s="1" t="str">
        <f>PROPER(orders[[#This Row],[order_priority]])</f>
        <v>Same Day</v>
      </c>
      <c r="E383" t="s">
        <v>13322</v>
      </c>
      <c r="F383" t="str">
        <f>IFERROR(INDEX(customers[country], MATCH(orders[[#This Row],[customer_id]], customers[customer_id], 0)), "Unmapped")</f>
        <v>Norway</v>
      </c>
      <c r="G383" t="str">
        <f>IFERROR(INDEX(Region_Map[Region], MATCH(orders[[#This Row],[Customer_Country]], Region_Map[Country], 0)), "Unknown")</f>
        <v>Nordics</v>
      </c>
      <c r="H383" t="s">
        <v>6949</v>
      </c>
    </row>
    <row r="384" spans="1:8">
      <c r="A384" t="s">
        <v>1295</v>
      </c>
      <c r="B384" t="s">
        <v>87</v>
      </c>
      <c r="C384" s="1">
        <v>45509</v>
      </c>
      <c r="D384" s="1" t="str">
        <f>PROPER(orders[[#This Row],[order_priority]])</f>
        <v>Standard</v>
      </c>
      <c r="E384" t="s">
        <v>13317</v>
      </c>
      <c r="F384" t="str">
        <f>IFERROR(INDEX(customers[country], MATCH(orders[[#This Row],[customer_id]], customers[customer_id], 0)), "Unmapped")</f>
        <v>Latvia</v>
      </c>
      <c r="G384" t="str">
        <f>IFERROR(INDEX(Region_Map[Region], MATCH(orders[[#This Row],[Customer_Country]], Region_Map[Country], 0)), "Unknown")</f>
        <v>Baltics</v>
      </c>
      <c r="H384" t="s">
        <v>6949</v>
      </c>
    </row>
    <row r="385" spans="1:8">
      <c r="A385" t="s">
        <v>1296</v>
      </c>
      <c r="B385" t="s">
        <v>811</v>
      </c>
      <c r="C385" s="1">
        <v>45025</v>
      </c>
      <c r="D385" s="1" t="str">
        <f>PROPER(orders[[#This Row],[order_priority]])</f>
        <v>Same Day</v>
      </c>
      <c r="E385" t="s">
        <v>13322</v>
      </c>
      <c r="F385" t="str">
        <f>IFERROR(INDEX(customers[country], MATCH(orders[[#This Row],[customer_id]], customers[customer_id], 0)), "Unmapped")</f>
        <v>Finland</v>
      </c>
      <c r="G385" t="str">
        <f>IFERROR(INDEX(Region_Map[Region], MATCH(orders[[#This Row],[Customer_Country]], Region_Map[Country], 0)), "Unknown")</f>
        <v>Nordics</v>
      </c>
      <c r="H385" t="s">
        <v>6949</v>
      </c>
    </row>
    <row r="386" spans="1:8">
      <c r="A386" t="s">
        <v>1297</v>
      </c>
      <c r="B386" t="s">
        <v>443</v>
      </c>
      <c r="C386" s="1">
        <v>45240</v>
      </c>
      <c r="D386" s="1" t="str">
        <f>PROPER(orders[[#This Row],[order_priority]])</f>
        <v>Express</v>
      </c>
      <c r="E386" t="s">
        <v>13318</v>
      </c>
      <c r="F386" t="str">
        <f>IFERROR(INDEX(customers[country], MATCH(orders[[#This Row],[customer_id]], customers[customer_id], 0)), "Unmapped")</f>
        <v>Estonia</v>
      </c>
      <c r="G386" t="str">
        <f>IFERROR(INDEX(Region_Map[Region], MATCH(orders[[#This Row],[Customer_Country]], Region_Map[Country], 0)), "Unknown")</f>
        <v>Baltics</v>
      </c>
      <c r="H386" t="s">
        <v>6949</v>
      </c>
    </row>
    <row r="387" spans="1:8">
      <c r="A387" t="s">
        <v>1298</v>
      </c>
      <c r="B387" t="s">
        <v>712</v>
      </c>
      <c r="C387" s="1">
        <v>45360</v>
      </c>
      <c r="D387" s="1" t="str">
        <f>PROPER(orders[[#This Row],[order_priority]])</f>
        <v>Standard</v>
      </c>
      <c r="E387" t="s">
        <v>13317</v>
      </c>
      <c r="F387" t="str">
        <f>IFERROR(INDEX(customers[country], MATCH(orders[[#This Row],[customer_id]], customers[customer_id], 0)), "Unmapped")</f>
        <v>Finland</v>
      </c>
      <c r="G387" t="str">
        <f>IFERROR(INDEX(Region_Map[Region], MATCH(orders[[#This Row],[Customer_Country]], Region_Map[Country], 0)), "Unknown")</f>
        <v>Nordics</v>
      </c>
      <c r="H387" t="s">
        <v>6949</v>
      </c>
    </row>
    <row r="388" spans="1:8">
      <c r="A388" t="s">
        <v>1299</v>
      </c>
      <c r="B388" t="s">
        <v>578</v>
      </c>
      <c r="C388" s="1">
        <v>45225</v>
      </c>
      <c r="D388" s="1" t="str">
        <f>PROPER(orders[[#This Row],[order_priority]])</f>
        <v>Standard</v>
      </c>
      <c r="E388" t="s">
        <v>13317</v>
      </c>
      <c r="F388" t="str">
        <f>IFERROR(INDEX(customers[country], MATCH(orders[[#This Row],[customer_id]], customers[customer_id], 0)), "Unmapped")</f>
        <v>Norway</v>
      </c>
      <c r="G388" t="str">
        <f>IFERROR(INDEX(Region_Map[Region], MATCH(orders[[#This Row],[Customer_Country]], Region_Map[Country], 0)), "Unknown")</f>
        <v>Nordics</v>
      </c>
      <c r="H388" t="s">
        <v>6949</v>
      </c>
    </row>
    <row r="389" spans="1:8">
      <c r="A389" t="s">
        <v>1300</v>
      </c>
      <c r="B389" t="s">
        <v>524</v>
      </c>
      <c r="C389" s="1">
        <v>45299</v>
      </c>
      <c r="D389" s="1" t="str">
        <f>PROPER(orders[[#This Row],[order_priority]])</f>
        <v>Economy</v>
      </c>
      <c r="E389" t="s">
        <v>13325</v>
      </c>
      <c r="F389" t="str">
        <f>IFERROR(INDEX(customers[country], MATCH(orders[[#This Row],[customer_id]], customers[customer_id], 0)), "Unmapped")</f>
        <v>Norway</v>
      </c>
      <c r="G389" t="str">
        <f>IFERROR(INDEX(Region_Map[Region], MATCH(orders[[#This Row],[Customer_Country]], Region_Map[Country], 0)), "Unknown")</f>
        <v>Nordics</v>
      </c>
      <c r="H389" t="s">
        <v>6949</v>
      </c>
    </row>
    <row r="390" spans="1:8">
      <c r="A390" t="s">
        <v>1301</v>
      </c>
      <c r="B390" t="s">
        <v>311</v>
      </c>
      <c r="C390" s="1">
        <v>45155</v>
      </c>
      <c r="D390" s="1" t="str">
        <f>PROPER(orders[[#This Row],[order_priority]])</f>
        <v>Same Day</v>
      </c>
      <c r="E390" t="s">
        <v>13324</v>
      </c>
      <c r="F390" t="str">
        <f>IFERROR(INDEX(customers[country], MATCH(orders[[#This Row],[customer_id]], customers[customer_id], 0)), "Unmapped")</f>
        <v>Netherlands</v>
      </c>
      <c r="G390" t="str">
        <f>IFERROR(INDEX(Region_Map[Region], MATCH(orders[[#This Row],[Customer_Country]], Region_Map[Country], 0)), "Unknown")</f>
        <v>Central Europe</v>
      </c>
      <c r="H390" t="s">
        <v>6949</v>
      </c>
    </row>
    <row r="391" spans="1:8">
      <c r="A391" t="s">
        <v>1302</v>
      </c>
      <c r="B391" t="s">
        <v>813</v>
      </c>
      <c r="C391" s="1">
        <v>45192</v>
      </c>
      <c r="D391" s="1" t="str">
        <f>PROPER(orders[[#This Row],[order_priority]])</f>
        <v>Economy</v>
      </c>
      <c r="E391" t="s">
        <v>13316</v>
      </c>
      <c r="F391" t="str">
        <f>IFERROR(INDEX(customers[country], MATCH(orders[[#This Row],[customer_id]], customers[customer_id], 0)), "Unmapped")</f>
        <v>Norway</v>
      </c>
      <c r="G391" t="str">
        <f>IFERROR(INDEX(Region_Map[Region], MATCH(orders[[#This Row],[Customer_Country]], Region_Map[Country], 0)), "Unknown")</f>
        <v>Nordics</v>
      </c>
      <c r="H391" t="s">
        <v>6949</v>
      </c>
    </row>
    <row r="392" spans="1:8">
      <c r="A392" t="s">
        <v>1303</v>
      </c>
      <c r="B392" t="s">
        <v>395</v>
      </c>
      <c r="C392" s="1">
        <v>45215</v>
      </c>
      <c r="D392" s="1" t="str">
        <f>PROPER(orders[[#This Row],[order_priority]])</f>
        <v>Express</v>
      </c>
      <c r="E392" t="s">
        <v>13318</v>
      </c>
      <c r="F392" t="str">
        <f>IFERROR(INDEX(customers[country], MATCH(orders[[#This Row],[customer_id]], customers[customer_id], 0)), "Unmapped")</f>
        <v>Sweden</v>
      </c>
      <c r="G392" t="str">
        <f>IFERROR(INDEX(Region_Map[Region], MATCH(orders[[#This Row],[Customer_Country]], Region_Map[Country], 0)), "Unknown")</f>
        <v>Nordics</v>
      </c>
      <c r="H392" t="s">
        <v>6949</v>
      </c>
    </row>
    <row r="393" spans="1:8">
      <c r="A393" t="s">
        <v>1304</v>
      </c>
      <c r="B393" t="s">
        <v>231</v>
      </c>
      <c r="C393" s="1">
        <v>45530</v>
      </c>
      <c r="D393" s="1" t="str">
        <f>PROPER(orders[[#This Row],[order_priority]])</f>
        <v>Express</v>
      </c>
      <c r="E393" t="s">
        <v>13318</v>
      </c>
      <c r="F393" t="str">
        <f>IFERROR(INDEX(customers[country], MATCH(orders[[#This Row],[customer_id]], customers[customer_id], 0)), "Unmapped")</f>
        <v>Lithuania</v>
      </c>
      <c r="G393" t="str">
        <f>IFERROR(INDEX(Region_Map[Region], MATCH(orders[[#This Row],[Customer_Country]], Region_Map[Country], 0)), "Unknown")</f>
        <v>Baltics</v>
      </c>
      <c r="H393" t="s">
        <v>6949</v>
      </c>
    </row>
    <row r="394" spans="1:8">
      <c r="A394" t="s">
        <v>1305</v>
      </c>
      <c r="B394" t="s">
        <v>790</v>
      </c>
      <c r="C394" s="1">
        <v>45165</v>
      </c>
      <c r="D394" s="1" t="str">
        <f>PROPER(orders[[#This Row],[order_priority]])</f>
        <v>Economy</v>
      </c>
      <c r="E394" t="s">
        <v>13325</v>
      </c>
      <c r="F394" t="str">
        <f>IFERROR(INDEX(customers[country], MATCH(orders[[#This Row],[customer_id]], customers[customer_id], 0)), "Unmapped")</f>
        <v>Germany</v>
      </c>
      <c r="G394" t="str">
        <f>IFERROR(INDEX(Region_Map[Region], MATCH(orders[[#This Row],[Customer_Country]], Region_Map[Country], 0)), "Unknown")</f>
        <v>Central Europe</v>
      </c>
      <c r="H394" t="s">
        <v>6949</v>
      </c>
    </row>
    <row r="395" spans="1:8">
      <c r="A395" t="s">
        <v>1306</v>
      </c>
      <c r="B395" t="s">
        <v>611</v>
      </c>
      <c r="C395" s="1">
        <v>45245</v>
      </c>
      <c r="D395" s="1" t="str">
        <f>PROPER(orders[[#This Row],[order_priority]])</f>
        <v>Same Day</v>
      </c>
      <c r="E395" t="s">
        <v>13322</v>
      </c>
      <c r="F395" t="str">
        <f>IFERROR(INDEX(customers[country], MATCH(orders[[#This Row],[customer_id]], customers[customer_id], 0)), "Unmapped")</f>
        <v>Poland</v>
      </c>
      <c r="G395" t="str">
        <f>IFERROR(INDEX(Region_Map[Region], MATCH(orders[[#This Row],[Customer_Country]], Region_Map[Country], 0)), "Unknown")</f>
        <v>Central Europe</v>
      </c>
      <c r="H395" t="s">
        <v>6949</v>
      </c>
    </row>
    <row r="396" spans="1:8">
      <c r="A396" t="s">
        <v>1307</v>
      </c>
      <c r="B396" t="s">
        <v>563</v>
      </c>
      <c r="C396" s="1">
        <v>44982</v>
      </c>
      <c r="D396" s="1" t="str">
        <f>PROPER(orders[[#This Row],[order_priority]])</f>
        <v>Express</v>
      </c>
      <c r="E396" t="s">
        <v>13318</v>
      </c>
      <c r="F396" t="str">
        <f>IFERROR(INDEX(customers[country], MATCH(orders[[#This Row],[customer_id]], customers[customer_id], 0)), "Unmapped")</f>
        <v>Estonia</v>
      </c>
      <c r="G396" t="str">
        <f>IFERROR(INDEX(Region_Map[Region], MATCH(orders[[#This Row],[Customer_Country]], Region_Map[Country], 0)), "Unknown")</f>
        <v>Baltics</v>
      </c>
      <c r="H396" t="s">
        <v>6949</v>
      </c>
    </row>
    <row r="397" spans="1:8">
      <c r="A397" t="s">
        <v>1308</v>
      </c>
      <c r="B397" t="s">
        <v>530</v>
      </c>
      <c r="C397" s="1">
        <v>45176</v>
      </c>
      <c r="D397" s="1" t="str">
        <f>PROPER(orders[[#This Row],[order_priority]])</f>
        <v>Same Day</v>
      </c>
      <c r="E397" t="s">
        <v>13322</v>
      </c>
      <c r="F397" t="str">
        <f>IFERROR(INDEX(customers[country], MATCH(orders[[#This Row],[customer_id]], customers[customer_id], 0)), "Unmapped")</f>
        <v>Denmark</v>
      </c>
      <c r="G397" t="str">
        <f>IFERROR(INDEX(Region_Map[Region], MATCH(orders[[#This Row],[Customer_Country]], Region_Map[Country], 0)), "Unknown")</f>
        <v>Nordics</v>
      </c>
      <c r="H397" t="s">
        <v>6949</v>
      </c>
    </row>
    <row r="398" spans="1:8">
      <c r="A398" t="s">
        <v>1309</v>
      </c>
      <c r="B398" t="s">
        <v>816</v>
      </c>
      <c r="C398" s="1">
        <v>45335</v>
      </c>
      <c r="D398" s="1" t="str">
        <f>PROPER(orders[[#This Row],[order_priority]])</f>
        <v>Standard</v>
      </c>
      <c r="E398" t="s">
        <v>13317</v>
      </c>
      <c r="F398" t="str">
        <f>IFERROR(INDEX(customers[country], MATCH(orders[[#This Row],[customer_id]], customers[customer_id], 0)), "Unmapped")</f>
        <v>Lithuania</v>
      </c>
      <c r="G398" t="str">
        <f>IFERROR(INDEX(Region_Map[Region], MATCH(orders[[#This Row],[Customer_Country]], Region_Map[Country], 0)), "Unknown")</f>
        <v>Baltics</v>
      </c>
      <c r="H398" t="s">
        <v>6949</v>
      </c>
    </row>
    <row r="399" spans="1:8">
      <c r="A399" t="s">
        <v>1310</v>
      </c>
      <c r="B399" t="s">
        <v>738</v>
      </c>
      <c r="C399" s="1">
        <v>45280</v>
      </c>
      <c r="D399" s="1" t="str">
        <f>PROPER(orders[[#This Row],[order_priority]])</f>
        <v>Same Day</v>
      </c>
      <c r="E399" t="s">
        <v>13322</v>
      </c>
      <c r="F399" t="str">
        <f>IFERROR(INDEX(customers[country], MATCH(orders[[#This Row],[customer_id]], customers[customer_id], 0)), "Unmapped")</f>
        <v>Finland</v>
      </c>
      <c r="G399" t="str">
        <f>IFERROR(INDEX(Region_Map[Region], MATCH(orders[[#This Row],[Customer_Country]], Region_Map[Country], 0)), "Unknown")</f>
        <v>Nordics</v>
      </c>
      <c r="H399" t="s">
        <v>6949</v>
      </c>
    </row>
    <row r="400" spans="1:8">
      <c r="A400" t="s">
        <v>1311</v>
      </c>
      <c r="B400" t="s">
        <v>560</v>
      </c>
      <c r="C400" s="1">
        <v>45623</v>
      </c>
      <c r="D400" s="1" t="str">
        <f>PROPER(orders[[#This Row],[order_priority]])</f>
        <v>Express</v>
      </c>
      <c r="E400" t="s">
        <v>13318</v>
      </c>
      <c r="F400" t="str">
        <f>IFERROR(INDEX(customers[country], MATCH(orders[[#This Row],[customer_id]], customers[customer_id], 0)), "Unmapped")</f>
        <v>Finland</v>
      </c>
      <c r="G400" t="str">
        <f>IFERROR(INDEX(Region_Map[Region], MATCH(orders[[#This Row],[Customer_Country]], Region_Map[Country], 0)), "Unknown")</f>
        <v>Nordics</v>
      </c>
      <c r="H400" t="s">
        <v>6949</v>
      </c>
    </row>
    <row r="401" spans="1:8">
      <c r="A401" t="s">
        <v>1312</v>
      </c>
      <c r="B401" t="s">
        <v>724</v>
      </c>
      <c r="C401" s="1">
        <v>45035</v>
      </c>
      <c r="D401" s="1" t="str">
        <f>PROPER(orders[[#This Row],[order_priority]])</f>
        <v>Same Day</v>
      </c>
      <c r="E401" t="s">
        <v>13324</v>
      </c>
      <c r="F401" t="str">
        <f>IFERROR(INDEX(customers[country], MATCH(orders[[#This Row],[customer_id]], customers[customer_id], 0)), "Unmapped")</f>
        <v>Denmark</v>
      </c>
      <c r="G401" t="str">
        <f>IFERROR(INDEX(Region_Map[Region], MATCH(orders[[#This Row],[Customer_Country]], Region_Map[Country], 0)), "Unknown")</f>
        <v>Nordics</v>
      </c>
      <c r="H401" t="s">
        <v>6949</v>
      </c>
    </row>
    <row r="402" spans="1:8">
      <c r="A402" t="s">
        <v>1313</v>
      </c>
      <c r="B402" t="s">
        <v>811</v>
      </c>
      <c r="C402" s="1">
        <v>45042</v>
      </c>
      <c r="D402" s="1" t="str">
        <f>PROPER(orders[[#This Row],[order_priority]])</f>
        <v>Same Day</v>
      </c>
      <c r="E402" t="s">
        <v>13322</v>
      </c>
      <c r="F402" t="str">
        <f>IFERROR(INDEX(customers[country], MATCH(orders[[#This Row],[customer_id]], customers[customer_id], 0)), "Unmapped")</f>
        <v>Finland</v>
      </c>
      <c r="G402" t="str">
        <f>IFERROR(INDEX(Region_Map[Region], MATCH(orders[[#This Row],[Customer_Country]], Region_Map[Country], 0)), "Unknown")</f>
        <v>Nordics</v>
      </c>
      <c r="H402" t="s">
        <v>6949</v>
      </c>
    </row>
    <row r="403" spans="1:8">
      <c r="A403" t="s">
        <v>1314</v>
      </c>
      <c r="B403" t="s">
        <v>446</v>
      </c>
      <c r="C403" s="1">
        <v>45385</v>
      </c>
      <c r="D403" s="1" t="str">
        <f>PROPER(orders[[#This Row],[order_priority]])</f>
        <v>Same Day</v>
      </c>
      <c r="E403" t="s">
        <v>13322</v>
      </c>
      <c r="F403" t="str">
        <f>IFERROR(INDEX(customers[country], MATCH(orders[[#This Row],[customer_id]], customers[customer_id], 0)), "Unmapped")</f>
        <v>Sweden</v>
      </c>
      <c r="G403" t="str">
        <f>IFERROR(INDEX(Region_Map[Region], MATCH(orders[[#This Row],[Customer_Country]], Region_Map[Country], 0)), "Unknown")</f>
        <v>Nordics</v>
      </c>
      <c r="H403" t="s">
        <v>6949</v>
      </c>
    </row>
    <row r="404" spans="1:8">
      <c r="A404" t="s">
        <v>1315</v>
      </c>
      <c r="B404" t="s">
        <v>431</v>
      </c>
      <c r="C404" s="1">
        <v>45072</v>
      </c>
      <c r="D404" s="1" t="str">
        <f>PROPER(orders[[#This Row],[order_priority]])</f>
        <v>Economy</v>
      </c>
      <c r="E404" t="s">
        <v>13316</v>
      </c>
      <c r="F404" t="str">
        <f>IFERROR(INDEX(customers[country], MATCH(orders[[#This Row],[customer_id]], customers[customer_id], 0)), "Unmapped")</f>
        <v>Sweden</v>
      </c>
      <c r="G404" t="str">
        <f>IFERROR(INDEX(Region_Map[Region], MATCH(orders[[#This Row],[Customer_Country]], Region_Map[Country], 0)), "Unknown")</f>
        <v>Nordics</v>
      </c>
      <c r="H404" t="s">
        <v>6949</v>
      </c>
    </row>
    <row r="405" spans="1:8">
      <c r="A405" t="s">
        <v>1316</v>
      </c>
      <c r="B405" t="s">
        <v>45</v>
      </c>
      <c r="C405" s="1">
        <v>45011</v>
      </c>
      <c r="D405" s="1" t="str">
        <f>PROPER(orders[[#This Row],[order_priority]])</f>
        <v>Express</v>
      </c>
      <c r="E405" t="s">
        <v>13318</v>
      </c>
      <c r="F405" t="str">
        <f>IFERROR(INDEX(customers[country], MATCH(orders[[#This Row],[customer_id]], customers[customer_id], 0)), "Unmapped")</f>
        <v>Netherlands</v>
      </c>
      <c r="G405" t="str">
        <f>IFERROR(INDEX(Region_Map[Region], MATCH(orders[[#This Row],[Customer_Country]], Region_Map[Country], 0)), "Unknown")</f>
        <v>Central Europe</v>
      </c>
      <c r="H405" t="s">
        <v>6949</v>
      </c>
    </row>
    <row r="406" spans="1:8">
      <c r="A406" t="s">
        <v>1317</v>
      </c>
      <c r="B406" t="s">
        <v>652</v>
      </c>
      <c r="C406" s="1">
        <v>45389</v>
      </c>
      <c r="D406" s="1" t="str">
        <f>PROPER(orders[[#This Row],[order_priority]])</f>
        <v>Express</v>
      </c>
      <c r="E406" t="s">
        <v>13318</v>
      </c>
      <c r="F406" t="str">
        <f>IFERROR(INDEX(customers[country], MATCH(orders[[#This Row],[customer_id]], customers[customer_id], 0)), "Unmapped")</f>
        <v>Poland</v>
      </c>
      <c r="G406" t="str">
        <f>IFERROR(INDEX(Region_Map[Region], MATCH(orders[[#This Row],[Customer_Country]], Region_Map[Country], 0)), "Unknown")</f>
        <v>Central Europe</v>
      </c>
      <c r="H406" t="s">
        <v>6949</v>
      </c>
    </row>
    <row r="407" spans="1:8">
      <c r="A407" t="s">
        <v>1318</v>
      </c>
      <c r="B407" t="s">
        <v>491</v>
      </c>
      <c r="C407" s="1">
        <v>44996</v>
      </c>
      <c r="D407" s="1" t="str">
        <f>PROPER(orders[[#This Row],[order_priority]])</f>
        <v>Express</v>
      </c>
      <c r="E407" t="s">
        <v>13318</v>
      </c>
      <c r="F407" t="str">
        <f>IFERROR(INDEX(customers[country], MATCH(orders[[#This Row],[customer_id]], customers[customer_id], 0)), "Unmapped")</f>
        <v>Latvia</v>
      </c>
      <c r="G407" t="str">
        <f>IFERROR(INDEX(Region_Map[Region], MATCH(orders[[#This Row],[Customer_Country]], Region_Map[Country], 0)), "Unknown")</f>
        <v>Baltics</v>
      </c>
      <c r="H407" t="s">
        <v>6949</v>
      </c>
    </row>
    <row r="408" spans="1:8">
      <c r="A408" t="s">
        <v>1319</v>
      </c>
      <c r="B408" t="s">
        <v>452</v>
      </c>
      <c r="C408" s="1">
        <v>45518</v>
      </c>
      <c r="D408" s="1" t="str">
        <f>PROPER(orders[[#This Row],[order_priority]])</f>
        <v>Same Day</v>
      </c>
      <c r="E408" t="s">
        <v>13322</v>
      </c>
      <c r="F408" t="str">
        <f>IFERROR(INDEX(customers[country], MATCH(orders[[#This Row],[customer_id]], customers[customer_id], 0)), "Unmapped")</f>
        <v>Sweden</v>
      </c>
      <c r="G408" t="str">
        <f>IFERROR(INDEX(Region_Map[Region], MATCH(orders[[#This Row],[Customer_Country]], Region_Map[Country], 0)), "Unknown")</f>
        <v>Nordics</v>
      </c>
      <c r="H408" t="s">
        <v>6949</v>
      </c>
    </row>
    <row r="409" spans="1:8">
      <c r="A409" t="s">
        <v>1320</v>
      </c>
      <c r="B409" t="s">
        <v>34</v>
      </c>
      <c r="C409" s="1">
        <v>45217</v>
      </c>
      <c r="D409" s="1" t="str">
        <f>PROPER(orders[[#This Row],[order_priority]])</f>
        <v>Same Day</v>
      </c>
      <c r="E409" t="s">
        <v>13322</v>
      </c>
      <c r="F409" t="str">
        <f>IFERROR(INDEX(customers[country], MATCH(orders[[#This Row],[customer_id]], customers[customer_id], 0)), "Unmapped")</f>
        <v>Sweden</v>
      </c>
      <c r="G409" t="str">
        <f>IFERROR(INDEX(Region_Map[Region], MATCH(orders[[#This Row],[Customer_Country]], Region_Map[Country], 0)), "Unknown")</f>
        <v>Nordics</v>
      </c>
      <c r="H409" t="s">
        <v>6949</v>
      </c>
    </row>
    <row r="410" spans="1:8">
      <c r="A410" t="s">
        <v>1321</v>
      </c>
      <c r="B410" t="s">
        <v>578</v>
      </c>
      <c r="C410" s="1">
        <v>45008</v>
      </c>
      <c r="D410" s="1" t="str">
        <f>PROPER(orders[[#This Row],[order_priority]])</f>
        <v>Express</v>
      </c>
      <c r="E410" t="s">
        <v>13318</v>
      </c>
      <c r="F410" t="str">
        <f>IFERROR(INDEX(customers[country], MATCH(orders[[#This Row],[customer_id]], customers[customer_id], 0)), "Unmapped")</f>
        <v>Norway</v>
      </c>
      <c r="G410" t="str">
        <f>IFERROR(INDEX(Region_Map[Region], MATCH(orders[[#This Row],[Customer_Country]], Region_Map[Country], 0)), "Unknown")</f>
        <v>Nordics</v>
      </c>
      <c r="H410" t="s">
        <v>6949</v>
      </c>
    </row>
    <row r="411" spans="1:8">
      <c r="A411" t="s">
        <v>1322</v>
      </c>
      <c r="B411" t="s">
        <v>706</v>
      </c>
      <c r="C411" s="1">
        <v>45321</v>
      </c>
      <c r="D411" s="1" t="str">
        <f>PROPER(orders[[#This Row],[order_priority]])</f>
        <v>Economy</v>
      </c>
      <c r="E411" t="s">
        <v>13325</v>
      </c>
      <c r="F411" t="str">
        <f>IFERROR(INDEX(customers[country], MATCH(orders[[#This Row],[customer_id]], customers[customer_id], 0)), "Unmapped")</f>
        <v>Latvia</v>
      </c>
      <c r="G411" t="str">
        <f>IFERROR(INDEX(Region_Map[Region], MATCH(orders[[#This Row],[Customer_Country]], Region_Map[Country], 0)), "Unknown")</f>
        <v>Baltics</v>
      </c>
      <c r="H411" t="s">
        <v>6949</v>
      </c>
    </row>
    <row r="412" spans="1:8">
      <c r="A412" t="s">
        <v>1323</v>
      </c>
      <c r="B412" t="s">
        <v>888</v>
      </c>
      <c r="C412" s="1">
        <v>45430</v>
      </c>
      <c r="D412" s="1" t="str">
        <f>PROPER(orders[[#This Row],[order_priority]])</f>
        <v>Standard</v>
      </c>
      <c r="E412" t="s">
        <v>13317</v>
      </c>
      <c r="F412" t="str">
        <f>IFERROR(INDEX(customers[country], MATCH(orders[[#This Row],[customer_id]], customers[customer_id], 0)), "Unmapped")</f>
        <v>Denmark</v>
      </c>
      <c r="G412" t="str">
        <f>IFERROR(INDEX(Region_Map[Region], MATCH(orders[[#This Row],[Customer_Country]], Region_Map[Country], 0)), "Unknown")</f>
        <v>Nordics</v>
      </c>
      <c r="H412" t="s">
        <v>6949</v>
      </c>
    </row>
    <row r="413" spans="1:8">
      <c r="A413" t="s">
        <v>1324</v>
      </c>
      <c r="B413" t="s">
        <v>903</v>
      </c>
      <c r="C413" s="1">
        <v>45567</v>
      </c>
      <c r="D413" s="1" t="str">
        <f>PROPER(orders[[#This Row],[order_priority]])</f>
        <v>Express</v>
      </c>
      <c r="E413" t="s">
        <v>13318</v>
      </c>
      <c r="F413" t="str">
        <f>IFERROR(INDEX(customers[country], MATCH(orders[[#This Row],[customer_id]], customers[customer_id], 0)), "Unmapped")</f>
        <v>Norway</v>
      </c>
      <c r="G413" t="str">
        <f>IFERROR(INDEX(Region_Map[Region], MATCH(orders[[#This Row],[Customer_Country]], Region_Map[Country], 0)), "Unknown")</f>
        <v>Nordics</v>
      </c>
      <c r="H413" t="s">
        <v>6949</v>
      </c>
    </row>
    <row r="414" spans="1:8">
      <c r="A414" t="s">
        <v>1325</v>
      </c>
      <c r="B414" t="s">
        <v>106</v>
      </c>
      <c r="C414" s="1">
        <v>45625</v>
      </c>
      <c r="D414" s="1" t="str">
        <f>PROPER(orders[[#This Row],[order_priority]])</f>
        <v>Express</v>
      </c>
      <c r="E414" t="s">
        <v>13318</v>
      </c>
      <c r="F414" t="str">
        <f>IFERROR(INDEX(customers[country], MATCH(orders[[#This Row],[customer_id]], customers[customer_id], 0)), "Unmapped")</f>
        <v>Lithuania</v>
      </c>
      <c r="G414" t="str">
        <f>IFERROR(INDEX(Region_Map[Region], MATCH(orders[[#This Row],[Customer_Country]], Region_Map[Country], 0)), "Unknown")</f>
        <v>Baltics</v>
      </c>
      <c r="H414" t="s">
        <v>6949</v>
      </c>
    </row>
    <row r="415" spans="1:8">
      <c r="A415" t="s">
        <v>1326</v>
      </c>
      <c r="B415" t="s">
        <v>743</v>
      </c>
      <c r="C415" s="1">
        <v>45500</v>
      </c>
      <c r="D415" s="1" t="str">
        <f>PROPER(orders[[#This Row],[order_priority]])</f>
        <v>Same Day</v>
      </c>
      <c r="E415" t="s">
        <v>13322</v>
      </c>
      <c r="F415" t="str">
        <f>IFERROR(INDEX(customers[country], MATCH(orders[[#This Row],[customer_id]], customers[customer_id], 0)), "Unmapped")</f>
        <v>Germany</v>
      </c>
      <c r="G415" t="str">
        <f>IFERROR(INDEX(Region_Map[Region], MATCH(orders[[#This Row],[Customer_Country]], Region_Map[Country], 0)), "Unknown")</f>
        <v>Central Europe</v>
      </c>
      <c r="H415" t="s">
        <v>6949</v>
      </c>
    </row>
    <row r="416" spans="1:8">
      <c r="A416" t="s">
        <v>1327</v>
      </c>
      <c r="B416" t="s">
        <v>491</v>
      </c>
      <c r="C416" s="1">
        <v>44999</v>
      </c>
      <c r="D416" s="1" t="str">
        <f>PROPER(orders[[#This Row],[order_priority]])</f>
        <v>Standard</v>
      </c>
      <c r="E416" t="s">
        <v>13317</v>
      </c>
      <c r="F416" t="str">
        <f>IFERROR(INDEX(customers[country], MATCH(orders[[#This Row],[customer_id]], customers[customer_id], 0)), "Unmapped")</f>
        <v>Latvia</v>
      </c>
      <c r="G416" t="str">
        <f>IFERROR(INDEX(Region_Map[Region], MATCH(orders[[#This Row],[Customer_Country]], Region_Map[Country], 0)), "Unknown")</f>
        <v>Baltics</v>
      </c>
      <c r="H416" t="s">
        <v>6949</v>
      </c>
    </row>
    <row r="417" spans="1:8">
      <c r="A417" t="s">
        <v>1328</v>
      </c>
      <c r="B417" t="s">
        <v>139</v>
      </c>
      <c r="C417" s="1">
        <v>45249</v>
      </c>
      <c r="D417" s="1" t="str">
        <f>PROPER(orders[[#This Row],[order_priority]])</f>
        <v>Economy</v>
      </c>
      <c r="E417" t="s">
        <v>13316</v>
      </c>
      <c r="F417" t="str">
        <f>IFERROR(INDEX(customers[country], MATCH(orders[[#This Row],[customer_id]], customers[customer_id], 0)), "Unmapped")</f>
        <v>Netherlands</v>
      </c>
      <c r="G417" t="str">
        <f>IFERROR(INDEX(Region_Map[Region], MATCH(orders[[#This Row],[Customer_Country]], Region_Map[Country], 0)), "Unknown")</f>
        <v>Central Europe</v>
      </c>
      <c r="H417" t="s">
        <v>6949</v>
      </c>
    </row>
    <row r="418" spans="1:8">
      <c r="A418" t="s">
        <v>1329</v>
      </c>
      <c r="B418" t="s">
        <v>225</v>
      </c>
      <c r="C418" s="1">
        <v>45540</v>
      </c>
      <c r="D418" s="1" t="str">
        <f>PROPER(orders[[#This Row],[order_priority]])</f>
        <v>Same Day</v>
      </c>
      <c r="E418" t="s">
        <v>13322</v>
      </c>
      <c r="F418" t="str">
        <f>IFERROR(INDEX(customers[country], MATCH(orders[[#This Row],[customer_id]], customers[customer_id], 0)), "Unmapped")</f>
        <v>Poland</v>
      </c>
      <c r="G418" t="str">
        <f>IFERROR(INDEX(Region_Map[Region], MATCH(orders[[#This Row],[Customer_Country]], Region_Map[Country], 0)), "Unknown")</f>
        <v>Central Europe</v>
      </c>
      <c r="H418" t="s">
        <v>6949</v>
      </c>
    </row>
    <row r="419" spans="1:8">
      <c r="A419" t="s">
        <v>1330</v>
      </c>
      <c r="B419" t="s">
        <v>178</v>
      </c>
      <c r="C419" s="1">
        <v>45445</v>
      </c>
      <c r="D419" s="1" t="str">
        <f>PROPER(orders[[#This Row],[order_priority]])</f>
        <v>Economy</v>
      </c>
      <c r="E419" t="s">
        <v>13316</v>
      </c>
      <c r="F419" t="str">
        <f>IFERROR(INDEX(customers[country], MATCH(orders[[#This Row],[customer_id]], customers[customer_id], 0)), "Unmapped")</f>
        <v>Poland</v>
      </c>
      <c r="G419" t="str">
        <f>IFERROR(INDEX(Region_Map[Region], MATCH(orders[[#This Row],[Customer_Country]], Region_Map[Country], 0)), "Unknown")</f>
        <v>Central Europe</v>
      </c>
      <c r="H419" t="s">
        <v>6949</v>
      </c>
    </row>
    <row r="420" spans="1:8">
      <c r="A420" t="s">
        <v>1331</v>
      </c>
      <c r="B420" t="s">
        <v>755</v>
      </c>
      <c r="C420" s="1">
        <v>45326</v>
      </c>
      <c r="D420" s="1" t="str">
        <f>PROPER(orders[[#This Row],[order_priority]])</f>
        <v>Express</v>
      </c>
      <c r="E420" t="s">
        <v>13318</v>
      </c>
      <c r="F420" t="str">
        <f>IFERROR(INDEX(customers[country], MATCH(orders[[#This Row],[customer_id]], customers[customer_id], 0)), "Unmapped")</f>
        <v>Denmark</v>
      </c>
      <c r="G420" t="str">
        <f>IFERROR(INDEX(Region_Map[Region], MATCH(orders[[#This Row],[Customer_Country]], Region_Map[Country], 0)), "Unknown")</f>
        <v>Nordics</v>
      </c>
      <c r="H420" t="s">
        <v>6949</v>
      </c>
    </row>
    <row r="421" spans="1:8">
      <c r="A421" t="s">
        <v>1332</v>
      </c>
      <c r="B421" t="s">
        <v>644</v>
      </c>
      <c r="C421" s="1">
        <v>45160</v>
      </c>
      <c r="D421" s="1" t="str">
        <f>PROPER(orders[[#This Row],[order_priority]])</f>
        <v>Same Day</v>
      </c>
      <c r="E421" t="s">
        <v>13322</v>
      </c>
      <c r="F421" t="str">
        <f>IFERROR(INDEX(customers[country], MATCH(orders[[#This Row],[customer_id]], customers[customer_id], 0)), "Unmapped")</f>
        <v>Germany</v>
      </c>
      <c r="G421" t="str">
        <f>IFERROR(INDEX(Region_Map[Region], MATCH(orders[[#This Row],[Customer_Country]], Region_Map[Country], 0)), "Unknown")</f>
        <v>Central Europe</v>
      </c>
      <c r="H421" t="s">
        <v>6949</v>
      </c>
    </row>
    <row r="422" spans="1:8">
      <c r="A422" t="s">
        <v>1333</v>
      </c>
      <c r="B422" t="s">
        <v>90</v>
      </c>
      <c r="C422" s="1">
        <v>44962</v>
      </c>
      <c r="D422" s="1" t="str">
        <f>PROPER(orders[[#This Row],[order_priority]])</f>
        <v>Express</v>
      </c>
      <c r="E422" t="s">
        <v>13326</v>
      </c>
      <c r="F422" t="str">
        <f>IFERROR(INDEX(customers[country], MATCH(orders[[#This Row],[customer_id]], customers[customer_id], 0)), "Unmapped")</f>
        <v>Netherlands</v>
      </c>
      <c r="G422" t="str">
        <f>IFERROR(INDEX(Region_Map[Region], MATCH(orders[[#This Row],[Customer_Country]], Region_Map[Country], 0)), "Unknown")</f>
        <v>Central Europe</v>
      </c>
      <c r="H422" t="s">
        <v>6949</v>
      </c>
    </row>
    <row r="423" spans="1:8">
      <c r="A423" t="s">
        <v>1334</v>
      </c>
      <c r="B423" t="s">
        <v>870</v>
      </c>
      <c r="C423" s="1">
        <v>45189</v>
      </c>
      <c r="D423" s="1" t="str">
        <f>PROPER(orders[[#This Row],[order_priority]])</f>
        <v>Economy</v>
      </c>
      <c r="E423" t="s">
        <v>13316</v>
      </c>
      <c r="F423" t="str">
        <f>IFERROR(INDEX(customers[country], MATCH(orders[[#This Row],[customer_id]], customers[customer_id], 0)), "Unmapped")</f>
        <v>Estonia</v>
      </c>
      <c r="G423" t="str">
        <f>IFERROR(INDEX(Region_Map[Region], MATCH(orders[[#This Row],[Customer_Country]], Region_Map[Country], 0)), "Unknown")</f>
        <v>Baltics</v>
      </c>
      <c r="H423" t="s">
        <v>6949</v>
      </c>
    </row>
    <row r="424" spans="1:8">
      <c r="A424" t="s">
        <v>1335</v>
      </c>
      <c r="B424" t="s">
        <v>661</v>
      </c>
      <c r="C424" s="1">
        <v>45080</v>
      </c>
      <c r="D424" s="1" t="str">
        <f>PROPER(orders[[#This Row],[order_priority]])</f>
        <v>Same Day</v>
      </c>
      <c r="E424" t="s">
        <v>13322</v>
      </c>
      <c r="F424" t="str">
        <f>IFERROR(INDEX(customers[country], MATCH(orders[[#This Row],[customer_id]], customers[customer_id], 0)), "Unmapped")</f>
        <v>Lithuania</v>
      </c>
      <c r="G424" t="str">
        <f>IFERROR(INDEX(Region_Map[Region], MATCH(orders[[#This Row],[Customer_Country]], Region_Map[Country], 0)), "Unknown")</f>
        <v>Baltics</v>
      </c>
      <c r="H424" t="s">
        <v>6949</v>
      </c>
    </row>
    <row r="425" spans="1:8">
      <c r="A425" t="s">
        <v>1336</v>
      </c>
      <c r="B425" t="s">
        <v>766</v>
      </c>
      <c r="C425" s="1">
        <v>45306</v>
      </c>
      <c r="D425" s="1" t="str">
        <f>PROPER(orders[[#This Row],[order_priority]])</f>
        <v>Standard</v>
      </c>
      <c r="E425" t="s">
        <v>13317</v>
      </c>
      <c r="F425" t="str">
        <f>IFERROR(INDEX(customers[country], MATCH(orders[[#This Row],[customer_id]], customers[customer_id], 0)), "Unmapped")</f>
        <v>Germany</v>
      </c>
      <c r="G425" t="str">
        <f>IFERROR(INDEX(Region_Map[Region], MATCH(orders[[#This Row],[Customer_Country]], Region_Map[Country], 0)), "Unknown")</f>
        <v>Central Europe</v>
      </c>
      <c r="H425" t="s">
        <v>6949</v>
      </c>
    </row>
    <row r="426" spans="1:8">
      <c r="A426" t="s">
        <v>1337</v>
      </c>
      <c r="B426" t="s">
        <v>733</v>
      </c>
      <c r="C426" s="1">
        <v>45166</v>
      </c>
      <c r="D426" s="1" t="str">
        <f>PROPER(orders[[#This Row],[order_priority]])</f>
        <v>Same Day</v>
      </c>
      <c r="E426" t="s">
        <v>13322</v>
      </c>
      <c r="F426" t="str">
        <f>IFERROR(INDEX(customers[country], MATCH(orders[[#This Row],[customer_id]], customers[customer_id], 0)), "Unmapped")</f>
        <v>Lithuania</v>
      </c>
      <c r="G426" t="str">
        <f>IFERROR(INDEX(Region_Map[Region], MATCH(orders[[#This Row],[Customer_Country]], Region_Map[Country], 0)), "Unknown")</f>
        <v>Baltics</v>
      </c>
      <c r="H426" t="s">
        <v>6949</v>
      </c>
    </row>
    <row r="427" spans="1:8">
      <c r="A427" t="s">
        <v>1338</v>
      </c>
      <c r="B427" t="s">
        <v>139</v>
      </c>
      <c r="C427" s="1">
        <v>44979</v>
      </c>
      <c r="D427" s="1" t="str">
        <f>PROPER(orders[[#This Row],[order_priority]])</f>
        <v>Same Day</v>
      </c>
      <c r="E427" t="s">
        <v>13322</v>
      </c>
      <c r="F427" t="str">
        <f>IFERROR(INDEX(customers[country], MATCH(orders[[#This Row],[customer_id]], customers[customer_id], 0)), "Unmapped")</f>
        <v>Netherlands</v>
      </c>
      <c r="G427" t="str">
        <f>IFERROR(INDEX(Region_Map[Region], MATCH(orders[[#This Row],[Customer_Country]], Region_Map[Country], 0)), "Unknown")</f>
        <v>Central Europe</v>
      </c>
      <c r="H427" t="s">
        <v>6949</v>
      </c>
    </row>
    <row r="428" spans="1:8">
      <c r="A428" t="s">
        <v>1339</v>
      </c>
      <c r="B428" t="s">
        <v>338</v>
      </c>
      <c r="C428" s="1">
        <v>45162</v>
      </c>
      <c r="D428" s="1" t="str">
        <f>PROPER(orders[[#This Row],[order_priority]])</f>
        <v>Economy</v>
      </c>
      <c r="E428" t="s">
        <v>13316</v>
      </c>
      <c r="F428" t="str">
        <f>IFERROR(INDEX(customers[country], MATCH(orders[[#This Row],[customer_id]], customers[customer_id], 0)), "Unmapped")</f>
        <v>Denmark</v>
      </c>
      <c r="G428" t="str">
        <f>IFERROR(INDEX(Region_Map[Region], MATCH(orders[[#This Row],[Customer_Country]], Region_Map[Country], 0)), "Unknown")</f>
        <v>Nordics</v>
      </c>
      <c r="H428" t="s">
        <v>6949</v>
      </c>
    </row>
    <row r="429" spans="1:8">
      <c r="A429" t="s">
        <v>1340</v>
      </c>
      <c r="B429" t="s">
        <v>805</v>
      </c>
      <c r="C429" s="1">
        <v>44973</v>
      </c>
      <c r="D429" s="1" t="str">
        <f>PROPER(orders[[#This Row],[order_priority]])</f>
        <v>Standard</v>
      </c>
      <c r="E429" t="s">
        <v>13319</v>
      </c>
      <c r="F429" t="str">
        <f>IFERROR(INDEX(customers[country], MATCH(orders[[#This Row],[customer_id]], customers[customer_id], 0)), "Unmapped")</f>
        <v>Estonia</v>
      </c>
      <c r="G429" t="str">
        <f>IFERROR(INDEX(Region_Map[Region], MATCH(orders[[#This Row],[Customer_Country]], Region_Map[Country], 0)), "Unknown")</f>
        <v>Baltics</v>
      </c>
      <c r="H429" t="s">
        <v>6949</v>
      </c>
    </row>
    <row r="430" spans="1:8">
      <c r="A430" t="s">
        <v>1341</v>
      </c>
      <c r="B430" t="s">
        <v>518</v>
      </c>
      <c r="C430" s="1">
        <v>45057</v>
      </c>
      <c r="D430" s="1" t="str">
        <f>PROPER(orders[[#This Row],[order_priority]])</f>
        <v>Economy</v>
      </c>
      <c r="E430" t="s">
        <v>13316</v>
      </c>
      <c r="F430" t="str">
        <f>IFERROR(INDEX(customers[country], MATCH(orders[[#This Row],[customer_id]], customers[customer_id], 0)), "Unmapped")</f>
        <v>Germany</v>
      </c>
      <c r="G430" t="str">
        <f>IFERROR(INDEX(Region_Map[Region], MATCH(orders[[#This Row],[Customer_Country]], Region_Map[Country], 0)), "Unknown")</f>
        <v>Central Europe</v>
      </c>
      <c r="H430" t="s">
        <v>6949</v>
      </c>
    </row>
    <row r="431" spans="1:8">
      <c r="A431" t="s">
        <v>1342</v>
      </c>
      <c r="B431" t="s">
        <v>133</v>
      </c>
      <c r="C431" s="1">
        <v>45115</v>
      </c>
      <c r="D431" s="1" t="str">
        <f>PROPER(orders[[#This Row],[order_priority]])</f>
        <v>Express</v>
      </c>
      <c r="E431" t="s">
        <v>13318</v>
      </c>
      <c r="F431" t="str">
        <f>IFERROR(INDEX(customers[country], MATCH(orders[[#This Row],[customer_id]], customers[customer_id], 0)), "Unmapped")</f>
        <v>Finland</v>
      </c>
      <c r="G431" t="str">
        <f>IFERROR(INDEX(Region_Map[Region], MATCH(orders[[#This Row],[Customer_Country]], Region_Map[Country], 0)), "Unknown")</f>
        <v>Nordics</v>
      </c>
      <c r="H431" t="s">
        <v>6949</v>
      </c>
    </row>
    <row r="432" spans="1:8">
      <c r="A432" t="s">
        <v>1343</v>
      </c>
      <c r="B432" t="s">
        <v>323</v>
      </c>
      <c r="C432" s="1">
        <v>45317</v>
      </c>
      <c r="D432" s="1" t="str">
        <f>PROPER(orders[[#This Row],[order_priority]])</f>
        <v>Economy</v>
      </c>
      <c r="E432" t="s">
        <v>13316</v>
      </c>
      <c r="F432" t="str">
        <f>IFERROR(INDEX(customers[country], MATCH(orders[[#This Row],[customer_id]], customers[customer_id], 0)), "Unmapped")</f>
        <v>Estonia</v>
      </c>
      <c r="G432" t="str">
        <f>IFERROR(INDEX(Region_Map[Region], MATCH(orders[[#This Row],[Customer_Country]], Region_Map[Country], 0)), "Unknown")</f>
        <v>Baltics</v>
      </c>
      <c r="H432" t="s">
        <v>6949</v>
      </c>
    </row>
    <row r="433" spans="1:8">
      <c r="A433" t="s">
        <v>1344</v>
      </c>
      <c r="B433" t="s">
        <v>569</v>
      </c>
      <c r="C433" s="1">
        <v>45576</v>
      </c>
      <c r="D433" s="1" t="str">
        <f>PROPER(orders[[#This Row],[order_priority]])</f>
        <v>Standard</v>
      </c>
      <c r="E433" t="s">
        <v>13317</v>
      </c>
      <c r="F433" t="str">
        <f>IFERROR(INDEX(customers[country], MATCH(orders[[#This Row],[customer_id]], customers[customer_id], 0)), "Unmapped")</f>
        <v>Estonia</v>
      </c>
      <c r="G433" t="str">
        <f>IFERROR(INDEX(Region_Map[Region], MATCH(orders[[#This Row],[Customer_Country]], Region_Map[Country], 0)), "Unknown")</f>
        <v>Baltics</v>
      </c>
      <c r="H433" t="s">
        <v>6949</v>
      </c>
    </row>
    <row r="434" spans="1:8">
      <c r="A434" t="s">
        <v>1345</v>
      </c>
      <c r="B434" t="s">
        <v>163</v>
      </c>
      <c r="C434" s="1">
        <v>45008</v>
      </c>
      <c r="D434" s="1" t="str">
        <f>PROPER(orders[[#This Row],[order_priority]])</f>
        <v>Standard</v>
      </c>
      <c r="E434" t="s">
        <v>13317</v>
      </c>
      <c r="F434" t="str">
        <f>IFERROR(INDEX(customers[country], MATCH(orders[[#This Row],[customer_id]], customers[customer_id], 0)), "Unmapped")</f>
        <v>Germany</v>
      </c>
      <c r="G434" t="str">
        <f>IFERROR(INDEX(Region_Map[Region], MATCH(orders[[#This Row],[Customer_Country]], Region_Map[Country], 0)), "Unknown")</f>
        <v>Central Europe</v>
      </c>
      <c r="H434" t="s">
        <v>6949</v>
      </c>
    </row>
    <row r="435" spans="1:8">
      <c r="A435" t="s">
        <v>1346</v>
      </c>
      <c r="B435" t="s">
        <v>362</v>
      </c>
      <c r="C435" s="1">
        <v>44950</v>
      </c>
      <c r="D435" s="1" t="str">
        <f>PROPER(orders[[#This Row],[order_priority]])</f>
        <v>Express</v>
      </c>
      <c r="E435" t="s">
        <v>13318</v>
      </c>
      <c r="F435" t="str">
        <f>IFERROR(INDEX(customers[country], MATCH(orders[[#This Row],[customer_id]], customers[customer_id], 0)), "Unmapped")</f>
        <v>Denmark</v>
      </c>
      <c r="G435" t="str">
        <f>IFERROR(INDEX(Region_Map[Region], MATCH(orders[[#This Row],[Customer_Country]], Region_Map[Country], 0)), "Unknown")</f>
        <v>Nordics</v>
      </c>
      <c r="H435" t="s">
        <v>6949</v>
      </c>
    </row>
    <row r="436" spans="1:8">
      <c r="A436" t="s">
        <v>1347</v>
      </c>
      <c r="B436" t="s">
        <v>819</v>
      </c>
      <c r="C436" s="1">
        <v>45050</v>
      </c>
      <c r="D436" s="1" t="str">
        <f>PROPER(orders[[#This Row],[order_priority]])</f>
        <v>Standard</v>
      </c>
      <c r="E436" t="s">
        <v>13317</v>
      </c>
      <c r="F436" t="str">
        <f>IFERROR(INDEX(customers[country], MATCH(orders[[#This Row],[customer_id]], customers[customer_id], 0)), "Unmapped")</f>
        <v>Estonia</v>
      </c>
      <c r="G436" t="str">
        <f>IFERROR(INDEX(Region_Map[Region], MATCH(orders[[#This Row],[Customer_Country]], Region_Map[Country], 0)), "Unknown")</f>
        <v>Baltics</v>
      </c>
      <c r="H436" t="s">
        <v>6949</v>
      </c>
    </row>
    <row r="437" spans="1:8">
      <c r="A437" t="s">
        <v>1348</v>
      </c>
      <c r="B437" t="s">
        <v>694</v>
      </c>
      <c r="C437" s="1">
        <v>45082</v>
      </c>
      <c r="D437" s="1" t="str">
        <f>PROPER(orders[[#This Row],[order_priority]])</f>
        <v>Express</v>
      </c>
      <c r="E437" t="s">
        <v>13318</v>
      </c>
      <c r="F437" t="str">
        <f>IFERROR(INDEX(customers[country], MATCH(orders[[#This Row],[customer_id]], customers[customer_id], 0)), "Unmapped")</f>
        <v>Lithuania</v>
      </c>
      <c r="G437" t="str">
        <f>IFERROR(INDEX(Region_Map[Region], MATCH(orders[[#This Row],[Customer_Country]], Region_Map[Country], 0)), "Unknown")</f>
        <v>Baltics</v>
      </c>
      <c r="H437" t="s">
        <v>6949</v>
      </c>
    </row>
    <row r="438" spans="1:8">
      <c r="A438" t="s">
        <v>1349</v>
      </c>
      <c r="B438" t="s">
        <v>169</v>
      </c>
      <c r="C438" s="1">
        <v>45142</v>
      </c>
      <c r="D438" s="1" t="str">
        <f>PROPER(orders[[#This Row],[order_priority]])</f>
        <v>Same Day</v>
      </c>
      <c r="E438" t="s">
        <v>13322</v>
      </c>
      <c r="F438" t="str">
        <f>IFERROR(INDEX(customers[country], MATCH(orders[[#This Row],[customer_id]], customers[customer_id], 0)), "Unmapped")</f>
        <v>Norway</v>
      </c>
      <c r="G438" t="str">
        <f>IFERROR(INDEX(Region_Map[Region], MATCH(orders[[#This Row],[Customer_Country]], Region_Map[Country], 0)), "Unknown")</f>
        <v>Nordics</v>
      </c>
      <c r="H438" t="s">
        <v>6949</v>
      </c>
    </row>
    <row r="439" spans="1:8">
      <c r="A439" t="s">
        <v>1350</v>
      </c>
      <c r="B439" t="s">
        <v>709</v>
      </c>
      <c r="C439" s="1">
        <v>45625</v>
      </c>
      <c r="D439" s="1" t="str">
        <f>PROPER(orders[[#This Row],[order_priority]])</f>
        <v>Economy</v>
      </c>
      <c r="E439" t="s">
        <v>13316</v>
      </c>
      <c r="F439" t="str">
        <f>IFERROR(INDEX(customers[country], MATCH(orders[[#This Row],[customer_id]], customers[customer_id], 0)), "Unmapped")</f>
        <v>Netherlands</v>
      </c>
      <c r="G439" t="str">
        <f>IFERROR(INDEX(Region_Map[Region], MATCH(orders[[#This Row],[Customer_Country]], Region_Map[Country], 0)), "Unknown")</f>
        <v>Central Europe</v>
      </c>
      <c r="H439" t="s">
        <v>6949</v>
      </c>
    </row>
    <row r="440" spans="1:8">
      <c r="A440" t="s">
        <v>1351</v>
      </c>
      <c r="B440" t="s">
        <v>163</v>
      </c>
      <c r="C440" s="1">
        <v>44955</v>
      </c>
      <c r="D440" s="1" t="str">
        <f>PROPER(orders[[#This Row],[order_priority]])</f>
        <v>Same Day</v>
      </c>
      <c r="E440" t="s">
        <v>13322</v>
      </c>
      <c r="F440" t="str">
        <f>IFERROR(INDEX(customers[country], MATCH(orders[[#This Row],[customer_id]], customers[customer_id], 0)), "Unmapped")</f>
        <v>Germany</v>
      </c>
      <c r="G440" t="str">
        <f>IFERROR(INDEX(Region_Map[Region], MATCH(orders[[#This Row],[Customer_Country]], Region_Map[Country], 0)), "Unknown")</f>
        <v>Central Europe</v>
      </c>
      <c r="H440" t="s">
        <v>6949</v>
      </c>
    </row>
    <row r="441" spans="1:8">
      <c r="A441" t="s">
        <v>1352</v>
      </c>
      <c r="B441" t="s">
        <v>903</v>
      </c>
      <c r="C441" s="1">
        <v>45572</v>
      </c>
      <c r="D441" s="1" t="str">
        <f>PROPER(orders[[#This Row],[order_priority]])</f>
        <v>Standard</v>
      </c>
      <c r="E441" t="s">
        <v>13317</v>
      </c>
      <c r="F441" t="str">
        <f>IFERROR(INDEX(customers[country], MATCH(orders[[#This Row],[customer_id]], customers[customer_id], 0)), "Unmapped")</f>
        <v>Norway</v>
      </c>
      <c r="G441" t="str">
        <f>IFERROR(INDEX(Region_Map[Region], MATCH(orders[[#This Row],[Customer_Country]], Region_Map[Country], 0)), "Unknown")</f>
        <v>Nordics</v>
      </c>
      <c r="H441" t="s">
        <v>6949</v>
      </c>
    </row>
    <row r="442" spans="1:8">
      <c r="A442" t="s">
        <v>1353</v>
      </c>
      <c r="B442" t="s">
        <v>455</v>
      </c>
      <c r="C442" s="1">
        <v>45057</v>
      </c>
      <c r="D442" s="1" t="str">
        <f>PROPER(orders[[#This Row],[order_priority]])</f>
        <v>Standard</v>
      </c>
      <c r="E442" t="s">
        <v>13317</v>
      </c>
      <c r="F442" t="str">
        <f>IFERROR(INDEX(customers[country], MATCH(orders[[#This Row],[customer_id]], customers[customer_id], 0)), "Unmapped")</f>
        <v>Poland</v>
      </c>
      <c r="G442" t="str">
        <f>IFERROR(INDEX(Region_Map[Region], MATCH(orders[[#This Row],[Customer_Country]], Region_Map[Country], 0)), "Unknown")</f>
        <v>Central Europe</v>
      </c>
      <c r="H442" t="s">
        <v>6949</v>
      </c>
    </row>
    <row r="443" spans="1:8">
      <c r="A443" t="s">
        <v>1354</v>
      </c>
      <c r="B443" t="s">
        <v>210</v>
      </c>
      <c r="C443" s="1">
        <v>44970</v>
      </c>
      <c r="D443" s="1" t="str">
        <f>PROPER(orders[[#This Row],[order_priority]])</f>
        <v>Express</v>
      </c>
      <c r="E443" t="s">
        <v>13318</v>
      </c>
      <c r="F443" t="str">
        <f>IFERROR(INDEX(customers[country], MATCH(orders[[#This Row],[customer_id]], customers[customer_id], 0)), "Unmapped")</f>
        <v>Finland</v>
      </c>
      <c r="G443" t="str">
        <f>IFERROR(INDEX(Region_Map[Region], MATCH(orders[[#This Row],[Customer_Country]], Region_Map[Country], 0)), "Unknown")</f>
        <v>Nordics</v>
      </c>
      <c r="H443" t="s">
        <v>6949</v>
      </c>
    </row>
    <row r="444" spans="1:8">
      <c r="A444" t="s">
        <v>1355</v>
      </c>
      <c r="B444" t="s">
        <v>775</v>
      </c>
      <c r="C444" s="1">
        <v>45576</v>
      </c>
      <c r="D444" s="1" t="str">
        <f>PROPER(orders[[#This Row],[order_priority]])</f>
        <v>Same Day</v>
      </c>
      <c r="E444" t="s">
        <v>13322</v>
      </c>
      <c r="F444" t="str">
        <f>IFERROR(INDEX(customers[country], MATCH(orders[[#This Row],[customer_id]], customers[customer_id], 0)), "Unmapped")</f>
        <v>Sweden</v>
      </c>
      <c r="G444" t="str">
        <f>IFERROR(INDEX(Region_Map[Region], MATCH(orders[[#This Row],[Customer_Country]], Region_Map[Country], 0)), "Unknown")</f>
        <v>Nordics</v>
      </c>
      <c r="H444" t="s">
        <v>6949</v>
      </c>
    </row>
    <row r="445" spans="1:8">
      <c r="A445" t="s">
        <v>1356</v>
      </c>
      <c r="B445" t="s">
        <v>530</v>
      </c>
      <c r="C445" s="1">
        <v>45352</v>
      </c>
      <c r="D445" s="1" t="str">
        <f>PROPER(orders[[#This Row],[order_priority]])</f>
        <v>Express</v>
      </c>
      <c r="E445" t="s">
        <v>13320</v>
      </c>
      <c r="F445" t="str">
        <f>IFERROR(INDEX(customers[country], MATCH(orders[[#This Row],[customer_id]], customers[customer_id], 0)), "Unmapped")</f>
        <v>Denmark</v>
      </c>
      <c r="G445" t="str">
        <f>IFERROR(INDEX(Region_Map[Region], MATCH(orders[[#This Row],[Customer_Country]], Region_Map[Country], 0)), "Unknown")</f>
        <v>Nordics</v>
      </c>
      <c r="H445" t="s">
        <v>6949</v>
      </c>
    </row>
    <row r="446" spans="1:8">
      <c r="A446" t="s">
        <v>1357</v>
      </c>
      <c r="B446" t="s">
        <v>314</v>
      </c>
      <c r="C446" s="1">
        <v>45487</v>
      </c>
      <c r="D446" s="1" t="str">
        <f>PROPER(orders[[#This Row],[order_priority]])</f>
        <v>Express</v>
      </c>
      <c r="E446" t="s">
        <v>13318</v>
      </c>
      <c r="F446" t="str">
        <f>IFERROR(INDEX(customers[country], MATCH(orders[[#This Row],[customer_id]], customers[customer_id], 0)), "Unmapped")</f>
        <v>Poland</v>
      </c>
      <c r="G446" t="str">
        <f>IFERROR(INDEX(Region_Map[Region], MATCH(orders[[#This Row],[Customer_Country]], Region_Map[Country], 0)), "Unknown")</f>
        <v>Central Europe</v>
      </c>
      <c r="H446" t="s">
        <v>6949</v>
      </c>
    </row>
    <row r="447" spans="1:8">
      <c r="A447" t="s">
        <v>1358</v>
      </c>
      <c r="B447" t="s">
        <v>688</v>
      </c>
      <c r="C447" s="1">
        <v>45193</v>
      </c>
      <c r="D447" s="1" t="str">
        <f>PROPER(orders[[#This Row],[order_priority]])</f>
        <v>Express</v>
      </c>
      <c r="E447" t="s">
        <v>13318</v>
      </c>
      <c r="F447" t="str">
        <f>IFERROR(INDEX(customers[country], MATCH(orders[[#This Row],[customer_id]], customers[customer_id], 0)), "Unmapped")</f>
        <v>Norway</v>
      </c>
      <c r="G447" t="str">
        <f>IFERROR(INDEX(Region_Map[Region], MATCH(orders[[#This Row],[Customer_Country]], Region_Map[Country], 0)), "Unknown")</f>
        <v>Nordics</v>
      </c>
      <c r="H447" t="s">
        <v>6949</v>
      </c>
    </row>
    <row r="448" spans="1:8">
      <c r="A448" t="s">
        <v>1359</v>
      </c>
      <c r="B448" t="s">
        <v>530</v>
      </c>
      <c r="C448" s="1">
        <v>45127</v>
      </c>
      <c r="D448" s="1" t="str">
        <f>PROPER(orders[[#This Row],[order_priority]])</f>
        <v>Standard</v>
      </c>
      <c r="E448" t="s">
        <v>13317</v>
      </c>
      <c r="F448" t="str">
        <f>IFERROR(INDEX(customers[country], MATCH(orders[[#This Row],[customer_id]], customers[customer_id], 0)), "Unmapped")</f>
        <v>Denmark</v>
      </c>
      <c r="G448" t="str">
        <f>IFERROR(INDEX(Region_Map[Region], MATCH(orders[[#This Row],[Customer_Country]], Region_Map[Country], 0)), "Unknown")</f>
        <v>Nordics</v>
      </c>
      <c r="H448" t="s">
        <v>6949</v>
      </c>
    </row>
    <row r="449" spans="1:8">
      <c r="A449" t="s">
        <v>1360</v>
      </c>
      <c r="B449" t="s">
        <v>87</v>
      </c>
      <c r="C449" s="1">
        <v>45348</v>
      </c>
      <c r="D449" s="1" t="str">
        <f>PROPER(orders[[#This Row],[order_priority]])</f>
        <v>Economy</v>
      </c>
      <c r="E449" t="s">
        <v>13316</v>
      </c>
      <c r="F449" t="str">
        <f>IFERROR(INDEX(customers[country], MATCH(orders[[#This Row],[customer_id]], customers[customer_id], 0)), "Unmapped")</f>
        <v>Latvia</v>
      </c>
      <c r="G449" t="str">
        <f>IFERROR(INDEX(Region_Map[Region], MATCH(orders[[#This Row],[Customer_Country]], Region_Map[Country], 0)), "Unknown")</f>
        <v>Baltics</v>
      </c>
      <c r="H449" t="s">
        <v>6949</v>
      </c>
    </row>
    <row r="450" spans="1:8">
      <c r="A450" t="s">
        <v>1361</v>
      </c>
      <c r="B450" t="s">
        <v>840</v>
      </c>
      <c r="C450" s="1">
        <v>45523</v>
      </c>
      <c r="D450" s="1" t="str">
        <f>PROPER(orders[[#This Row],[order_priority]])</f>
        <v>Same Day</v>
      </c>
      <c r="E450" t="s">
        <v>13322</v>
      </c>
      <c r="F450" t="str">
        <f>IFERROR(INDEX(customers[country], MATCH(orders[[#This Row],[customer_id]], customers[customer_id], 0)), "Unmapped")</f>
        <v>Finland</v>
      </c>
      <c r="G450" t="str">
        <f>IFERROR(INDEX(Region_Map[Region], MATCH(orders[[#This Row],[Customer_Country]], Region_Map[Country], 0)), "Unknown")</f>
        <v>Nordics</v>
      </c>
      <c r="H450" t="s">
        <v>6949</v>
      </c>
    </row>
    <row r="451" spans="1:8">
      <c r="A451" t="s">
        <v>1362</v>
      </c>
      <c r="B451" t="s">
        <v>87</v>
      </c>
      <c r="C451" s="1">
        <v>45190</v>
      </c>
      <c r="D451" s="1" t="str">
        <f>PROPER(orders[[#This Row],[order_priority]])</f>
        <v>Express</v>
      </c>
      <c r="E451" t="s">
        <v>13318</v>
      </c>
      <c r="F451" t="str">
        <f>IFERROR(INDEX(customers[country], MATCH(orders[[#This Row],[customer_id]], customers[customer_id], 0)), "Unmapped")</f>
        <v>Latvia</v>
      </c>
      <c r="G451" t="str">
        <f>IFERROR(INDEX(Region_Map[Region], MATCH(orders[[#This Row],[Customer_Country]], Region_Map[Country], 0)), "Unknown")</f>
        <v>Baltics</v>
      </c>
      <c r="H451" t="s">
        <v>6949</v>
      </c>
    </row>
    <row r="452" spans="1:8">
      <c r="A452" t="s">
        <v>1363</v>
      </c>
      <c r="B452" t="s">
        <v>195</v>
      </c>
      <c r="C452" s="1">
        <v>45055</v>
      </c>
      <c r="D452" s="1" t="str">
        <f>PROPER(orders[[#This Row],[order_priority]])</f>
        <v>Standard</v>
      </c>
      <c r="E452" t="s">
        <v>13317</v>
      </c>
      <c r="F452" t="str">
        <f>IFERROR(INDEX(customers[country], MATCH(orders[[#This Row],[customer_id]], customers[customer_id], 0)), "Unmapped")</f>
        <v>Latvia</v>
      </c>
      <c r="G452" t="str">
        <f>IFERROR(INDEX(Region_Map[Region], MATCH(orders[[#This Row],[Customer_Country]], Region_Map[Country], 0)), "Unknown")</f>
        <v>Baltics</v>
      </c>
      <c r="H452" t="s">
        <v>6949</v>
      </c>
    </row>
    <row r="453" spans="1:8">
      <c r="A453" t="s">
        <v>1364</v>
      </c>
      <c r="B453" t="s">
        <v>894</v>
      </c>
      <c r="C453" s="1">
        <v>44965</v>
      </c>
      <c r="D453" s="1" t="str">
        <f>PROPER(orders[[#This Row],[order_priority]])</f>
        <v>Same Day</v>
      </c>
      <c r="E453" t="s">
        <v>13322</v>
      </c>
      <c r="F453" t="str">
        <f>IFERROR(INDEX(customers[country], MATCH(orders[[#This Row],[customer_id]], customers[customer_id], 0)), "Unmapped")</f>
        <v>Poland</v>
      </c>
      <c r="G453" t="str">
        <f>IFERROR(INDEX(Region_Map[Region], MATCH(orders[[#This Row],[Customer_Country]], Region_Map[Country], 0)), "Unknown")</f>
        <v>Central Europe</v>
      </c>
      <c r="H453" t="s">
        <v>6949</v>
      </c>
    </row>
    <row r="454" spans="1:8">
      <c r="A454" t="s">
        <v>1365</v>
      </c>
      <c r="B454" t="s">
        <v>781</v>
      </c>
      <c r="C454" s="1">
        <v>45590</v>
      </c>
      <c r="D454" s="1" t="str">
        <f>PROPER(orders[[#This Row],[order_priority]])</f>
        <v>Standard</v>
      </c>
      <c r="E454" t="s">
        <v>13317</v>
      </c>
      <c r="F454" t="str">
        <f>IFERROR(INDEX(customers[country], MATCH(orders[[#This Row],[customer_id]], customers[customer_id], 0)), "Unmapped")</f>
        <v>Germany</v>
      </c>
      <c r="G454" t="str">
        <f>IFERROR(INDEX(Region_Map[Region], MATCH(orders[[#This Row],[Customer_Country]], Region_Map[Country], 0)), "Unknown")</f>
        <v>Central Europe</v>
      </c>
      <c r="H454" t="s">
        <v>6949</v>
      </c>
    </row>
    <row r="455" spans="1:8">
      <c r="A455" t="s">
        <v>1366</v>
      </c>
      <c r="B455" t="s">
        <v>679</v>
      </c>
      <c r="C455" s="1">
        <v>45300</v>
      </c>
      <c r="D455" s="1" t="str">
        <f>PROPER(orders[[#This Row],[order_priority]])</f>
        <v>Same Day</v>
      </c>
      <c r="E455" t="s">
        <v>13322</v>
      </c>
      <c r="F455" t="str">
        <f>IFERROR(INDEX(customers[country], MATCH(orders[[#This Row],[customer_id]], customers[customer_id], 0)), "Unmapped")</f>
        <v>Norway</v>
      </c>
      <c r="G455" t="str">
        <f>IFERROR(INDEX(Region_Map[Region], MATCH(orders[[#This Row],[Customer_Country]], Region_Map[Country], 0)), "Unknown")</f>
        <v>Nordics</v>
      </c>
      <c r="H455" t="s">
        <v>6949</v>
      </c>
    </row>
    <row r="456" spans="1:8">
      <c r="A456" t="s">
        <v>1367</v>
      </c>
      <c r="B456" t="s">
        <v>389</v>
      </c>
      <c r="C456" s="1">
        <v>45091</v>
      </c>
      <c r="D456" s="1" t="str">
        <f>PROPER(orders[[#This Row],[order_priority]])</f>
        <v>Same Day</v>
      </c>
      <c r="E456" t="s">
        <v>13322</v>
      </c>
      <c r="F456" t="str">
        <f>IFERROR(INDEX(customers[country], MATCH(orders[[#This Row],[customer_id]], customers[customer_id], 0)), "Unmapped")</f>
        <v>Poland</v>
      </c>
      <c r="G456" t="str">
        <f>IFERROR(INDEX(Region_Map[Region], MATCH(orders[[#This Row],[Customer_Country]], Region_Map[Country], 0)), "Unknown")</f>
        <v>Central Europe</v>
      </c>
      <c r="H456" t="s">
        <v>6949</v>
      </c>
    </row>
    <row r="457" spans="1:8">
      <c r="A457" t="s">
        <v>1368</v>
      </c>
      <c r="B457" t="s">
        <v>329</v>
      </c>
      <c r="C457" s="1">
        <v>45580</v>
      </c>
      <c r="D457" s="1" t="str">
        <f>PROPER(orders[[#This Row],[order_priority]])</f>
        <v>Express</v>
      </c>
      <c r="E457" t="s">
        <v>13326</v>
      </c>
      <c r="F457" t="str">
        <f>IFERROR(INDEX(customers[country], MATCH(orders[[#This Row],[customer_id]], customers[customer_id], 0)), "Unmapped")</f>
        <v>Poland</v>
      </c>
      <c r="G457" t="str">
        <f>IFERROR(INDEX(Region_Map[Region], MATCH(orders[[#This Row],[Customer_Country]], Region_Map[Country], 0)), "Unknown")</f>
        <v>Central Europe</v>
      </c>
      <c r="H457" t="s">
        <v>6949</v>
      </c>
    </row>
    <row r="458" spans="1:8">
      <c r="A458" t="s">
        <v>1369</v>
      </c>
      <c r="B458" t="s">
        <v>109</v>
      </c>
      <c r="C458" s="1">
        <v>45088</v>
      </c>
      <c r="D458" s="1" t="str">
        <f>PROPER(orders[[#This Row],[order_priority]])</f>
        <v>Standard</v>
      </c>
      <c r="E458" t="s">
        <v>13317</v>
      </c>
      <c r="F458" t="str">
        <f>IFERROR(INDEX(customers[country], MATCH(orders[[#This Row],[customer_id]], customers[customer_id], 0)), "Unmapped")</f>
        <v>Netherlands</v>
      </c>
      <c r="G458" t="str">
        <f>IFERROR(INDEX(Region_Map[Region], MATCH(orders[[#This Row],[Customer_Country]], Region_Map[Country], 0)), "Unknown")</f>
        <v>Central Europe</v>
      </c>
      <c r="H458" t="s">
        <v>6949</v>
      </c>
    </row>
    <row r="459" spans="1:8">
      <c r="A459" t="s">
        <v>1370</v>
      </c>
      <c r="B459" t="s">
        <v>566</v>
      </c>
      <c r="C459" s="1">
        <v>45076</v>
      </c>
      <c r="D459" s="1" t="str">
        <f>PROPER(orders[[#This Row],[order_priority]])</f>
        <v>Standard</v>
      </c>
      <c r="E459" t="s">
        <v>13317</v>
      </c>
      <c r="F459" t="str">
        <f>IFERROR(INDEX(customers[country], MATCH(orders[[#This Row],[customer_id]], customers[customer_id], 0)), "Unmapped")</f>
        <v>Denmark</v>
      </c>
      <c r="G459" t="str">
        <f>IFERROR(INDEX(Region_Map[Region], MATCH(orders[[#This Row],[Customer_Country]], Region_Map[Country], 0)), "Unknown")</f>
        <v>Nordics</v>
      </c>
      <c r="H459" t="s">
        <v>6949</v>
      </c>
    </row>
    <row r="460" spans="1:8">
      <c r="A460" t="s">
        <v>1371</v>
      </c>
      <c r="B460" t="s">
        <v>652</v>
      </c>
      <c r="C460" s="1">
        <v>45121</v>
      </c>
      <c r="D460" s="1" t="str">
        <f>PROPER(orders[[#This Row],[order_priority]])</f>
        <v>Same Day</v>
      </c>
      <c r="E460" t="s">
        <v>13322</v>
      </c>
      <c r="F460" t="str">
        <f>IFERROR(INDEX(customers[country], MATCH(orders[[#This Row],[customer_id]], customers[customer_id], 0)), "Unmapped")</f>
        <v>Poland</v>
      </c>
      <c r="G460" t="str">
        <f>IFERROR(INDEX(Region_Map[Region], MATCH(orders[[#This Row],[Customer_Country]], Region_Map[Country], 0)), "Unknown")</f>
        <v>Central Europe</v>
      </c>
      <c r="H460" t="s">
        <v>6949</v>
      </c>
    </row>
    <row r="461" spans="1:8">
      <c r="A461" t="s">
        <v>1372</v>
      </c>
      <c r="B461" t="s">
        <v>264</v>
      </c>
      <c r="C461" s="1">
        <v>45557</v>
      </c>
      <c r="D461" s="1" t="str">
        <f>PROPER(orders[[#This Row],[order_priority]])</f>
        <v>Economy</v>
      </c>
      <c r="E461" t="s">
        <v>13316</v>
      </c>
      <c r="F461" t="str">
        <f>IFERROR(INDEX(customers[country], MATCH(orders[[#This Row],[customer_id]], customers[customer_id], 0)), "Unmapped")</f>
        <v>Germany</v>
      </c>
      <c r="G461" t="str">
        <f>IFERROR(INDEX(Region_Map[Region], MATCH(orders[[#This Row],[Customer_Country]], Region_Map[Country], 0)), "Unknown")</f>
        <v>Central Europe</v>
      </c>
      <c r="H461" t="s">
        <v>6949</v>
      </c>
    </row>
    <row r="462" spans="1:8">
      <c r="A462" t="s">
        <v>1373</v>
      </c>
      <c r="B462" t="s">
        <v>584</v>
      </c>
      <c r="C462" s="1">
        <v>45129</v>
      </c>
      <c r="D462" s="1" t="str">
        <f>PROPER(orders[[#This Row],[order_priority]])</f>
        <v>Standard</v>
      </c>
      <c r="E462" t="s">
        <v>13319</v>
      </c>
      <c r="F462" t="str">
        <f>IFERROR(INDEX(customers[country], MATCH(orders[[#This Row],[customer_id]], customers[customer_id], 0)), "Unmapped")</f>
        <v>Netherlands</v>
      </c>
      <c r="G462" t="str">
        <f>IFERROR(INDEX(Region_Map[Region], MATCH(orders[[#This Row],[Customer_Country]], Region_Map[Country], 0)), "Unknown")</f>
        <v>Central Europe</v>
      </c>
      <c r="H462" t="s">
        <v>6949</v>
      </c>
    </row>
    <row r="463" spans="1:8">
      <c r="A463" t="s">
        <v>1374</v>
      </c>
      <c r="B463" t="s">
        <v>790</v>
      </c>
      <c r="C463" s="1">
        <v>44959</v>
      </c>
      <c r="D463" s="1" t="str">
        <f>PROPER(orders[[#This Row],[order_priority]])</f>
        <v>Economy</v>
      </c>
      <c r="E463" t="s">
        <v>13328</v>
      </c>
      <c r="F463" t="str">
        <f>IFERROR(INDEX(customers[country], MATCH(orders[[#This Row],[customer_id]], customers[customer_id], 0)), "Unmapped")</f>
        <v>Germany</v>
      </c>
      <c r="G463" t="str">
        <f>IFERROR(INDEX(Region_Map[Region], MATCH(orders[[#This Row],[Customer_Country]], Region_Map[Country], 0)), "Unknown")</f>
        <v>Central Europe</v>
      </c>
      <c r="H463" t="s">
        <v>6949</v>
      </c>
    </row>
    <row r="464" spans="1:8">
      <c r="A464" t="s">
        <v>1375</v>
      </c>
      <c r="B464" t="s">
        <v>55</v>
      </c>
      <c r="C464" s="1">
        <v>44981</v>
      </c>
      <c r="D464" s="1" t="str">
        <f>PROPER(orders[[#This Row],[order_priority]])</f>
        <v>Express</v>
      </c>
      <c r="E464" t="s">
        <v>13318</v>
      </c>
      <c r="F464" t="str">
        <f>IFERROR(INDEX(customers[country], MATCH(orders[[#This Row],[customer_id]], customers[customer_id], 0)), "Unmapped")</f>
        <v>Netherlands</v>
      </c>
      <c r="G464" t="str">
        <f>IFERROR(INDEX(Region_Map[Region], MATCH(orders[[#This Row],[Customer_Country]], Region_Map[Country], 0)), "Unknown")</f>
        <v>Central Europe</v>
      </c>
      <c r="H464" t="s">
        <v>6949</v>
      </c>
    </row>
    <row r="465" spans="1:8">
      <c r="A465" t="s">
        <v>1376</v>
      </c>
      <c r="B465" t="s">
        <v>569</v>
      </c>
      <c r="C465" s="1">
        <v>45445</v>
      </c>
      <c r="D465" s="1" t="str">
        <f>PROPER(orders[[#This Row],[order_priority]])</f>
        <v>Standard</v>
      </c>
      <c r="E465" t="s">
        <v>13317</v>
      </c>
      <c r="F465" t="str">
        <f>IFERROR(INDEX(customers[country], MATCH(orders[[#This Row],[customer_id]], customers[customer_id], 0)), "Unmapped")</f>
        <v>Estonia</v>
      </c>
      <c r="G465" t="str">
        <f>IFERROR(INDEX(Region_Map[Region], MATCH(orders[[#This Row],[Customer_Country]], Region_Map[Country], 0)), "Unknown")</f>
        <v>Baltics</v>
      </c>
      <c r="H465" t="s">
        <v>6949</v>
      </c>
    </row>
    <row r="466" spans="1:8">
      <c r="A466" t="s">
        <v>1377</v>
      </c>
      <c r="B466" t="s">
        <v>204</v>
      </c>
      <c r="C466" s="1">
        <v>45032</v>
      </c>
      <c r="D466" s="1" t="str">
        <f>PROPER(orders[[#This Row],[order_priority]])</f>
        <v>Standard</v>
      </c>
      <c r="E466" t="s">
        <v>13317</v>
      </c>
      <c r="F466" t="str">
        <f>IFERROR(INDEX(customers[country], MATCH(orders[[#This Row],[customer_id]], customers[customer_id], 0)), "Unmapped")</f>
        <v>Sweden</v>
      </c>
      <c r="G466" t="str">
        <f>IFERROR(INDEX(Region_Map[Region], MATCH(orders[[#This Row],[Customer_Country]], Region_Map[Country], 0)), "Unknown")</f>
        <v>Nordics</v>
      </c>
      <c r="H466" t="s">
        <v>6949</v>
      </c>
    </row>
    <row r="467" spans="1:8">
      <c r="A467" t="s">
        <v>1378</v>
      </c>
      <c r="B467" t="s">
        <v>796</v>
      </c>
      <c r="C467" s="1">
        <v>45013</v>
      </c>
      <c r="D467" s="1" t="str">
        <f>PROPER(orders[[#This Row],[order_priority]])</f>
        <v>Same Day</v>
      </c>
      <c r="E467" t="s">
        <v>13322</v>
      </c>
      <c r="F467" t="str">
        <f>IFERROR(INDEX(customers[country], MATCH(orders[[#This Row],[customer_id]], customers[customer_id], 0)), "Unmapped")</f>
        <v>Sweden</v>
      </c>
      <c r="G467" t="str">
        <f>IFERROR(INDEX(Region_Map[Region], MATCH(orders[[#This Row],[Customer_Country]], Region_Map[Country], 0)), "Unknown")</f>
        <v>Nordics</v>
      </c>
      <c r="H467" t="s">
        <v>6949</v>
      </c>
    </row>
    <row r="468" spans="1:8">
      <c r="A468" t="s">
        <v>1379</v>
      </c>
      <c r="B468" t="s">
        <v>151</v>
      </c>
      <c r="C468" s="1">
        <v>45580</v>
      </c>
      <c r="D468" s="1" t="str">
        <f>PROPER(orders[[#This Row],[order_priority]])</f>
        <v>Express</v>
      </c>
      <c r="E468" t="s">
        <v>13318</v>
      </c>
      <c r="F468" t="str">
        <f>IFERROR(INDEX(customers[country], MATCH(orders[[#This Row],[customer_id]], customers[customer_id], 0)), "Unmapped")</f>
        <v>Sweden</v>
      </c>
      <c r="G468" t="str">
        <f>IFERROR(INDEX(Region_Map[Region], MATCH(orders[[#This Row],[Customer_Country]], Region_Map[Country], 0)), "Unknown")</f>
        <v>Nordics</v>
      </c>
      <c r="H468" t="s">
        <v>6949</v>
      </c>
    </row>
    <row r="469" spans="1:8">
      <c r="A469" t="s">
        <v>1380</v>
      </c>
      <c r="B469" t="s">
        <v>243</v>
      </c>
      <c r="C469" s="1">
        <v>45585</v>
      </c>
      <c r="D469" s="1" t="str">
        <f>PROPER(orders[[#This Row],[order_priority]])</f>
        <v>Same Day</v>
      </c>
      <c r="E469" t="s">
        <v>13322</v>
      </c>
      <c r="F469" t="str">
        <f>IFERROR(INDEX(customers[country], MATCH(orders[[#This Row],[customer_id]], customers[customer_id], 0)), "Unmapped")</f>
        <v>Netherlands</v>
      </c>
      <c r="G469" t="str">
        <f>IFERROR(INDEX(Region_Map[Region], MATCH(orders[[#This Row],[Customer_Country]], Region_Map[Country], 0)), "Unknown")</f>
        <v>Central Europe</v>
      </c>
      <c r="H469" t="s">
        <v>6949</v>
      </c>
    </row>
    <row r="470" spans="1:8">
      <c r="A470" t="s">
        <v>1381</v>
      </c>
      <c r="B470" t="s">
        <v>897</v>
      </c>
      <c r="C470" s="1">
        <v>45030</v>
      </c>
      <c r="D470" s="1" t="str">
        <f>PROPER(orders[[#This Row],[order_priority]])</f>
        <v>Express</v>
      </c>
      <c r="E470" t="s">
        <v>13326</v>
      </c>
      <c r="F470" t="str">
        <f>IFERROR(INDEX(customers[country], MATCH(orders[[#This Row],[customer_id]], customers[customer_id], 0)), "Unmapped")</f>
        <v>Netherlands</v>
      </c>
      <c r="G470" t="str">
        <f>IFERROR(INDEX(Region_Map[Region], MATCH(orders[[#This Row],[Customer_Country]], Region_Map[Country], 0)), "Unknown")</f>
        <v>Central Europe</v>
      </c>
      <c r="H470" t="s">
        <v>6949</v>
      </c>
    </row>
    <row r="471" spans="1:8">
      <c r="A471" t="s">
        <v>1382</v>
      </c>
      <c r="B471" t="s">
        <v>685</v>
      </c>
      <c r="C471" s="1">
        <v>45336</v>
      </c>
      <c r="D471" s="1" t="str">
        <f>PROPER(orders[[#This Row],[order_priority]])</f>
        <v>Standard</v>
      </c>
      <c r="E471" t="s">
        <v>13317</v>
      </c>
      <c r="F471" t="str">
        <f>IFERROR(INDEX(customers[country], MATCH(orders[[#This Row],[customer_id]], customers[customer_id], 0)), "Unmapped")</f>
        <v>Latvia</v>
      </c>
      <c r="G471" t="str">
        <f>IFERROR(INDEX(Region_Map[Region], MATCH(orders[[#This Row],[Customer_Country]], Region_Map[Country], 0)), "Unknown")</f>
        <v>Baltics</v>
      </c>
      <c r="H471" t="s">
        <v>6949</v>
      </c>
    </row>
    <row r="472" spans="1:8">
      <c r="A472" t="s">
        <v>1383</v>
      </c>
      <c r="B472" t="s">
        <v>581</v>
      </c>
      <c r="C472" s="1">
        <v>45090</v>
      </c>
      <c r="D472" s="1" t="str">
        <f>PROPER(orders[[#This Row],[order_priority]])</f>
        <v>Standard</v>
      </c>
      <c r="E472" t="s">
        <v>13319</v>
      </c>
      <c r="F472" t="str">
        <f>IFERROR(INDEX(customers[country], MATCH(orders[[#This Row],[customer_id]], customers[customer_id], 0)), "Unmapped")</f>
        <v>Norway</v>
      </c>
      <c r="G472" t="str">
        <f>IFERROR(INDEX(Region_Map[Region], MATCH(orders[[#This Row],[Customer_Country]], Region_Map[Country], 0)), "Unknown")</f>
        <v>Nordics</v>
      </c>
      <c r="H472" t="s">
        <v>6949</v>
      </c>
    </row>
    <row r="473" spans="1:8">
      <c r="A473" t="s">
        <v>1384</v>
      </c>
      <c r="B473" t="s">
        <v>93</v>
      </c>
      <c r="C473" s="1">
        <v>45485</v>
      </c>
      <c r="D473" s="1" t="str">
        <f>PROPER(orders[[#This Row],[order_priority]])</f>
        <v>Express</v>
      </c>
      <c r="E473" t="s">
        <v>13318</v>
      </c>
      <c r="F473" t="str">
        <f>IFERROR(INDEX(customers[country], MATCH(orders[[#This Row],[customer_id]], customers[customer_id], 0)), "Unmapped")</f>
        <v>Norway</v>
      </c>
      <c r="G473" t="str">
        <f>IFERROR(INDEX(Region_Map[Region], MATCH(orders[[#This Row],[Customer_Country]], Region_Map[Country], 0)), "Unknown")</f>
        <v>Nordics</v>
      </c>
      <c r="H473" t="s">
        <v>6949</v>
      </c>
    </row>
    <row r="474" spans="1:8">
      <c r="A474" t="s">
        <v>1385</v>
      </c>
      <c r="B474" t="s">
        <v>691</v>
      </c>
      <c r="C474" s="1">
        <v>44959</v>
      </c>
      <c r="D474" s="1" t="str">
        <f>PROPER(orders[[#This Row],[order_priority]])</f>
        <v>Same Day</v>
      </c>
      <c r="E474" t="s">
        <v>13322</v>
      </c>
      <c r="F474" t="str">
        <f>IFERROR(INDEX(customers[country], MATCH(orders[[#This Row],[customer_id]], customers[customer_id], 0)), "Unmapped")</f>
        <v>Latvia</v>
      </c>
      <c r="G474" t="str">
        <f>IFERROR(INDEX(Region_Map[Region], MATCH(orders[[#This Row],[Customer_Country]], Region_Map[Country], 0)), "Unknown")</f>
        <v>Baltics</v>
      </c>
      <c r="H474" t="s">
        <v>6949</v>
      </c>
    </row>
    <row r="475" spans="1:8">
      <c r="A475" t="s">
        <v>1386</v>
      </c>
      <c r="B475" t="s">
        <v>338</v>
      </c>
      <c r="C475" s="1">
        <v>45558</v>
      </c>
      <c r="D475" s="1" t="str">
        <f>PROPER(orders[[#This Row],[order_priority]])</f>
        <v>Express</v>
      </c>
      <c r="E475" t="s">
        <v>13318</v>
      </c>
      <c r="F475" t="str">
        <f>IFERROR(INDEX(customers[country], MATCH(orders[[#This Row],[customer_id]], customers[customer_id], 0)), "Unmapped")</f>
        <v>Denmark</v>
      </c>
      <c r="G475" t="str">
        <f>IFERROR(INDEX(Region_Map[Region], MATCH(orders[[#This Row],[Customer_Country]], Region_Map[Country], 0)), "Unknown")</f>
        <v>Nordics</v>
      </c>
      <c r="H475" t="s">
        <v>6949</v>
      </c>
    </row>
    <row r="476" spans="1:8">
      <c r="A476" t="s">
        <v>1387</v>
      </c>
      <c r="B476" t="s">
        <v>617</v>
      </c>
      <c r="C476" s="1">
        <v>45434</v>
      </c>
      <c r="D476" s="1" t="str">
        <f>PROPER(orders[[#This Row],[order_priority]])</f>
        <v>Express</v>
      </c>
      <c r="E476" t="s">
        <v>13320</v>
      </c>
      <c r="F476" t="str">
        <f>IFERROR(INDEX(customers[country], MATCH(orders[[#This Row],[customer_id]], customers[customer_id], 0)), "Unmapped")</f>
        <v>Latvia</v>
      </c>
      <c r="G476" t="str">
        <f>IFERROR(INDEX(Region_Map[Region], MATCH(orders[[#This Row],[Customer_Country]], Region_Map[Country], 0)), "Unknown")</f>
        <v>Baltics</v>
      </c>
      <c r="H476" t="s">
        <v>6949</v>
      </c>
    </row>
    <row r="477" spans="1:8">
      <c r="A477" t="s">
        <v>1388</v>
      </c>
      <c r="B477" t="s">
        <v>614</v>
      </c>
      <c r="C477" s="1">
        <v>45408</v>
      </c>
      <c r="D477" s="1" t="str">
        <f>PROPER(orders[[#This Row],[order_priority]])</f>
        <v>Same Day</v>
      </c>
      <c r="E477" t="s">
        <v>13322</v>
      </c>
      <c r="F477" t="str">
        <f>IFERROR(INDEX(customers[country], MATCH(orders[[#This Row],[customer_id]], customers[customer_id], 0)), "Unmapped")</f>
        <v>Latvia</v>
      </c>
      <c r="G477" t="str">
        <f>IFERROR(INDEX(Region_Map[Region], MATCH(orders[[#This Row],[Customer_Country]], Region_Map[Country], 0)), "Unknown")</f>
        <v>Baltics</v>
      </c>
      <c r="H477" t="s">
        <v>6949</v>
      </c>
    </row>
    <row r="478" spans="1:8">
      <c r="A478" t="s">
        <v>1389</v>
      </c>
      <c r="B478" t="s">
        <v>834</v>
      </c>
      <c r="C478" s="1">
        <v>45367</v>
      </c>
      <c r="D478" s="1" t="str">
        <f>PROPER(orders[[#This Row],[order_priority]])</f>
        <v>Standard</v>
      </c>
      <c r="E478" t="s">
        <v>13317</v>
      </c>
      <c r="F478" t="str">
        <f>IFERROR(INDEX(customers[country], MATCH(orders[[#This Row],[customer_id]], customers[customer_id], 0)), "Unmapped")</f>
        <v>Denmark</v>
      </c>
      <c r="G478" t="str">
        <f>IFERROR(INDEX(Region_Map[Region], MATCH(orders[[#This Row],[Customer_Country]], Region_Map[Country], 0)), "Unknown")</f>
        <v>Nordics</v>
      </c>
      <c r="H478" t="s">
        <v>6949</v>
      </c>
    </row>
    <row r="479" spans="1:8">
      <c r="A479" t="s">
        <v>1390</v>
      </c>
      <c r="B479" t="s">
        <v>96</v>
      </c>
      <c r="C479" s="1">
        <v>45477</v>
      </c>
      <c r="D479" s="1" t="str">
        <f>PROPER(orders[[#This Row],[order_priority]])</f>
        <v>Economy</v>
      </c>
      <c r="E479" t="s">
        <v>13325</v>
      </c>
      <c r="F479" t="str">
        <f>IFERROR(INDEX(customers[country], MATCH(orders[[#This Row],[customer_id]], customers[customer_id], 0)), "Unmapped")</f>
        <v>Sweden</v>
      </c>
      <c r="G479" t="str">
        <f>IFERROR(INDEX(Region_Map[Region], MATCH(orders[[#This Row],[Customer_Country]], Region_Map[Country], 0)), "Unknown")</f>
        <v>Nordics</v>
      </c>
      <c r="H479" t="s">
        <v>6949</v>
      </c>
    </row>
    <row r="480" spans="1:8">
      <c r="A480" t="s">
        <v>1391</v>
      </c>
      <c r="B480" t="s">
        <v>715</v>
      </c>
      <c r="C480" s="1">
        <v>45536</v>
      </c>
      <c r="D480" s="1" t="str">
        <f>PROPER(orders[[#This Row],[order_priority]])</f>
        <v>Same Day</v>
      </c>
      <c r="E480" t="s">
        <v>13322</v>
      </c>
      <c r="F480" t="str">
        <f>IFERROR(INDEX(customers[country], MATCH(orders[[#This Row],[customer_id]], customers[customer_id], 0)), "Unmapped")</f>
        <v>Netherlands</v>
      </c>
      <c r="G480" t="str">
        <f>IFERROR(INDEX(Region_Map[Region], MATCH(orders[[#This Row],[Customer_Country]], Region_Map[Country], 0)), "Unknown")</f>
        <v>Central Europe</v>
      </c>
      <c r="H480" t="s">
        <v>6949</v>
      </c>
    </row>
    <row r="481" spans="1:8">
      <c r="A481" t="s">
        <v>1392</v>
      </c>
      <c r="B481" t="s">
        <v>752</v>
      </c>
      <c r="C481" s="1">
        <v>45269</v>
      </c>
      <c r="D481" s="1" t="str">
        <f>PROPER(orders[[#This Row],[order_priority]])</f>
        <v>Standard</v>
      </c>
      <c r="E481" t="s">
        <v>13317</v>
      </c>
      <c r="F481" t="str">
        <f>IFERROR(INDEX(customers[country], MATCH(orders[[#This Row],[customer_id]], customers[customer_id], 0)), "Unmapped")</f>
        <v>Estonia</v>
      </c>
      <c r="G481" t="str">
        <f>IFERROR(INDEX(Region_Map[Region], MATCH(orders[[#This Row],[Customer_Country]], Region_Map[Country], 0)), "Unknown")</f>
        <v>Baltics</v>
      </c>
      <c r="H481" t="s">
        <v>6949</v>
      </c>
    </row>
    <row r="482" spans="1:8">
      <c r="A482" t="s">
        <v>1393</v>
      </c>
      <c r="B482" t="s">
        <v>852</v>
      </c>
      <c r="C482" s="1">
        <v>44942</v>
      </c>
      <c r="D482" s="1" t="str">
        <f>PROPER(orders[[#This Row],[order_priority]])</f>
        <v>Same Day</v>
      </c>
      <c r="E482" t="s">
        <v>13322</v>
      </c>
      <c r="F482" t="str">
        <f>IFERROR(INDEX(customers[country], MATCH(orders[[#This Row],[customer_id]], customers[customer_id], 0)), "Unmapped")</f>
        <v>Sweden</v>
      </c>
      <c r="G482" t="str">
        <f>IFERROR(INDEX(Region_Map[Region], MATCH(orders[[#This Row],[Customer_Country]], Region_Map[Country], 0)), "Unknown")</f>
        <v>Nordics</v>
      </c>
      <c r="H482" t="s">
        <v>6949</v>
      </c>
    </row>
    <row r="483" spans="1:8">
      <c r="A483" t="s">
        <v>1394</v>
      </c>
      <c r="B483" t="s">
        <v>682</v>
      </c>
      <c r="C483" s="1">
        <v>45331</v>
      </c>
      <c r="D483" s="1" t="str">
        <f>PROPER(orders[[#This Row],[order_priority]])</f>
        <v>Economy</v>
      </c>
      <c r="E483" t="s">
        <v>13316</v>
      </c>
      <c r="F483" t="str">
        <f>IFERROR(INDEX(customers[country], MATCH(orders[[#This Row],[customer_id]], customers[customer_id], 0)), "Unmapped")</f>
        <v>Germany</v>
      </c>
      <c r="G483" t="str">
        <f>IFERROR(INDEX(Region_Map[Region], MATCH(orders[[#This Row],[Customer_Country]], Region_Map[Country], 0)), "Unknown")</f>
        <v>Central Europe</v>
      </c>
      <c r="H483" t="s">
        <v>6949</v>
      </c>
    </row>
    <row r="484" spans="1:8">
      <c r="A484" t="s">
        <v>1395</v>
      </c>
      <c r="B484" t="s">
        <v>778</v>
      </c>
      <c r="C484" s="1">
        <v>45296</v>
      </c>
      <c r="D484" s="1" t="str">
        <f>PROPER(orders[[#This Row],[order_priority]])</f>
        <v>Same Day</v>
      </c>
      <c r="E484" t="s">
        <v>13322</v>
      </c>
      <c r="F484" t="str">
        <f>IFERROR(INDEX(customers[country], MATCH(orders[[#This Row],[customer_id]], customers[customer_id], 0)), "Unmapped")</f>
        <v>Estonia</v>
      </c>
      <c r="G484" t="str">
        <f>IFERROR(INDEX(Region_Map[Region], MATCH(orders[[#This Row],[Customer_Country]], Region_Map[Country], 0)), "Unknown")</f>
        <v>Baltics</v>
      </c>
      <c r="H484" t="s">
        <v>6949</v>
      </c>
    </row>
    <row r="485" spans="1:8">
      <c r="A485" t="s">
        <v>1396</v>
      </c>
      <c r="B485" t="s">
        <v>70</v>
      </c>
      <c r="C485" s="1">
        <v>45436</v>
      </c>
      <c r="D485" s="1" t="str">
        <f>PROPER(orders[[#This Row],[order_priority]])</f>
        <v>Same Day</v>
      </c>
      <c r="E485" t="s">
        <v>13322</v>
      </c>
      <c r="F485" t="str">
        <f>IFERROR(INDEX(customers[country], MATCH(orders[[#This Row],[customer_id]], customers[customer_id], 0)), "Unmapped")</f>
        <v>Estonia</v>
      </c>
      <c r="G485" t="str">
        <f>IFERROR(INDEX(Region_Map[Region], MATCH(orders[[#This Row],[Customer_Country]], Region_Map[Country], 0)), "Unknown")</f>
        <v>Baltics</v>
      </c>
      <c r="H485" t="s">
        <v>6949</v>
      </c>
    </row>
    <row r="486" spans="1:8">
      <c r="A486" t="s">
        <v>1397</v>
      </c>
      <c r="B486" t="s">
        <v>563</v>
      </c>
      <c r="C486" s="1">
        <v>45506</v>
      </c>
      <c r="D486" s="1" t="str">
        <f>PROPER(orders[[#This Row],[order_priority]])</f>
        <v>Standard</v>
      </c>
      <c r="E486" t="s">
        <v>13317</v>
      </c>
      <c r="F486" t="str">
        <f>IFERROR(INDEX(customers[country], MATCH(orders[[#This Row],[customer_id]], customers[customer_id], 0)), "Unmapped")</f>
        <v>Estonia</v>
      </c>
      <c r="G486" t="str">
        <f>IFERROR(INDEX(Region_Map[Region], MATCH(orders[[#This Row],[Customer_Country]], Region_Map[Country], 0)), "Unknown")</f>
        <v>Baltics</v>
      </c>
      <c r="H486" t="s">
        <v>6949</v>
      </c>
    </row>
    <row r="487" spans="1:8">
      <c r="A487" t="s">
        <v>1398</v>
      </c>
      <c r="B487" t="s">
        <v>828</v>
      </c>
      <c r="C487" s="1">
        <v>45372</v>
      </c>
      <c r="D487" s="1" t="str">
        <f>PROPER(orders[[#This Row],[order_priority]])</f>
        <v>Same Day</v>
      </c>
      <c r="E487" t="s">
        <v>13322</v>
      </c>
      <c r="F487" t="str">
        <f>IFERROR(INDEX(customers[country], MATCH(orders[[#This Row],[customer_id]], customers[customer_id], 0)), "Unmapped")</f>
        <v>Germany</v>
      </c>
      <c r="G487" t="str">
        <f>IFERROR(INDEX(Region_Map[Region], MATCH(orders[[#This Row],[Customer_Country]], Region_Map[Country], 0)), "Unknown")</f>
        <v>Central Europe</v>
      </c>
      <c r="H487" t="s">
        <v>6949</v>
      </c>
    </row>
    <row r="488" spans="1:8">
      <c r="A488" t="s">
        <v>1399</v>
      </c>
      <c r="B488" t="s">
        <v>145</v>
      </c>
      <c r="C488" s="1">
        <v>45161</v>
      </c>
      <c r="D488" s="1" t="str">
        <f>PROPER(orders[[#This Row],[order_priority]])</f>
        <v>Same Day</v>
      </c>
      <c r="E488" t="s">
        <v>13322</v>
      </c>
      <c r="F488" t="str">
        <f>IFERROR(INDEX(customers[country], MATCH(orders[[#This Row],[customer_id]], customers[customer_id], 0)), "Unmapped")</f>
        <v>Latvia</v>
      </c>
      <c r="G488" t="str">
        <f>IFERROR(INDEX(Region_Map[Region], MATCH(orders[[#This Row],[Customer_Country]], Region_Map[Country], 0)), "Unknown")</f>
        <v>Baltics</v>
      </c>
      <c r="H488" t="s">
        <v>6949</v>
      </c>
    </row>
    <row r="489" spans="1:8">
      <c r="A489" t="s">
        <v>1400</v>
      </c>
      <c r="B489" t="s">
        <v>458</v>
      </c>
      <c r="C489" s="1">
        <v>45325</v>
      </c>
      <c r="D489" s="1" t="str">
        <f>PROPER(orders[[#This Row],[order_priority]])</f>
        <v>Standard</v>
      </c>
      <c r="E489" t="s">
        <v>13317</v>
      </c>
      <c r="F489" t="str">
        <f>IFERROR(INDEX(customers[country], MATCH(orders[[#This Row],[customer_id]], customers[customer_id], 0)), "Unmapped")</f>
        <v>Poland</v>
      </c>
      <c r="G489" t="str">
        <f>IFERROR(INDEX(Region_Map[Region], MATCH(orders[[#This Row],[Customer_Country]], Region_Map[Country], 0)), "Unknown")</f>
        <v>Central Europe</v>
      </c>
      <c r="H489" t="s">
        <v>6949</v>
      </c>
    </row>
    <row r="490" spans="1:8">
      <c r="A490" t="s">
        <v>1401</v>
      </c>
      <c r="B490" t="s">
        <v>309</v>
      </c>
      <c r="C490" s="1">
        <v>44981</v>
      </c>
      <c r="D490" s="1" t="str">
        <f>PROPER(orders[[#This Row],[order_priority]])</f>
        <v>Same Day</v>
      </c>
      <c r="E490" t="s">
        <v>13322</v>
      </c>
      <c r="F490" t="str">
        <f>IFERROR(INDEX(customers[country], MATCH(orders[[#This Row],[customer_id]], customers[customer_id], 0)), "Unmapped")</f>
        <v>Lithuania</v>
      </c>
      <c r="G490" t="str">
        <f>IFERROR(INDEX(Region_Map[Region], MATCH(orders[[#This Row],[Customer_Country]], Region_Map[Country], 0)), "Unknown")</f>
        <v>Baltics</v>
      </c>
      <c r="H490" t="s">
        <v>6949</v>
      </c>
    </row>
    <row r="491" spans="1:8">
      <c r="A491" t="s">
        <v>1402</v>
      </c>
      <c r="B491" t="s">
        <v>840</v>
      </c>
      <c r="C491" s="1">
        <v>45532</v>
      </c>
      <c r="D491" s="1" t="str">
        <f>PROPER(orders[[#This Row],[order_priority]])</f>
        <v>Standard</v>
      </c>
      <c r="E491" t="s">
        <v>13317</v>
      </c>
      <c r="F491" t="str">
        <f>IFERROR(INDEX(customers[country], MATCH(orders[[#This Row],[customer_id]], customers[customer_id], 0)), "Unmapped")</f>
        <v>Finland</v>
      </c>
      <c r="G491" t="str">
        <f>IFERROR(INDEX(Region_Map[Region], MATCH(orders[[#This Row],[Customer_Country]], Region_Map[Country], 0)), "Unknown")</f>
        <v>Nordics</v>
      </c>
      <c r="H491" t="s">
        <v>6949</v>
      </c>
    </row>
    <row r="492" spans="1:8">
      <c r="A492" t="s">
        <v>1403</v>
      </c>
      <c r="B492" t="s">
        <v>652</v>
      </c>
      <c r="C492" s="1">
        <v>45477</v>
      </c>
      <c r="D492" s="1" t="str">
        <f>PROPER(orders[[#This Row],[order_priority]])</f>
        <v>Economy</v>
      </c>
      <c r="E492" t="s">
        <v>13316</v>
      </c>
      <c r="F492" t="str">
        <f>IFERROR(INDEX(customers[country], MATCH(orders[[#This Row],[customer_id]], customers[customer_id], 0)), "Unmapped")</f>
        <v>Poland</v>
      </c>
      <c r="G492" t="str">
        <f>IFERROR(INDEX(Region_Map[Region], MATCH(orders[[#This Row],[Customer_Country]], Region_Map[Country], 0)), "Unknown")</f>
        <v>Central Europe</v>
      </c>
      <c r="H492" t="s">
        <v>6949</v>
      </c>
    </row>
    <row r="493" spans="1:8">
      <c r="A493" t="s">
        <v>1404</v>
      </c>
      <c r="B493" t="s">
        <v>314</v>
      </c>
      <c r="C493" s="1">
        <v>45044</v>
      </c>
      <c r="D493" s="1" t="str">
        <f>PROPER(orders[[#This Row],[order_priority]])</f>
        <v>Same Day</v>
      </c>
      <c r="E493" t="s">
        <v>13322</v>
      </c>
      <c r="F493" t="str">
        <f>IFERROR(INDEX(customers[country], MATCH(orders[[#This Row],[customer_id]], customers[customer_id], 0)), "Unmapped")</f>
        <v>Poland</v>
      </c>
      <c r="G493" t="str">
        <f>IFERROR(INDEX(Region_Map[Region], MATCH(orders[[#This Row],[Customer_Country]], Region_Map[Country], 0)), "Unknown")</f>
        <v>Central Europe</v>
      </c>
      <c r="H493" t="s">
        <v>6949</v>
      </c>
    </row>
    <row r="494" spans="1:8">
      <c r="A494" t="s">
        <v>1405</v>
      </c>
      <c r="B494" t="s">
        <v>563</v>
      </c>
      <c r="C494" s="1">
        <v>45247</v>
      </c>
      <c r="D494" s="1" t="str">
        <f>PROPER(orders[[#This Row],[order_priority]])</f>
        <v>Economy</v>
      </c>
      <c r="E494" t="s">
        <v>13316</v>
      </c>
      <c r="F494" t="str">
        <f>IFERROR(INDEX(customers[country], MATCH(orders[[#This Row],[customer_id]], customers[customer_id], 0)), "Unmapped")</f>
        <v>Estonia</v>
      </c>
      <c r="G494" t="str">
        <f>IFERROR(INDEX(Region_Map[Region], MATCH(orders[[#This Row],[Customer_Country]], Region_Map[Country], 0)), "Unknown")</f>
        <v>Baltics</v>
      </c>
      <c r="H494" t="s">
        <v>6949</v>
      </c>
    </row>
    <row r="495" spans="1:8">
      <c r="A495" t="s">
        <v>1406</v>
      </c>
      <c r="B495" t="s">
        <v>647</v>
      </c>
      <c r="C495" s="1">
        <v>45610</v>
      </c>
      <c r="D495" s="1" t="str">
        <f>PROPER(orders[[#This Row],[order_priority]])</f>
        <v>Express</v>
      </c>
      <c r="E495" t="s">
        <v>13318</v>
      </c>
      <c r="F495" t="str">
        <f>IFERROR(INDEX(customers[country], MATCH(orders[[#This Row],[customer_id]], customers[customer_id], 0)), "Unmapped")</f>
        <v>Netherlands</v>
      </c>
      <c r="G495" t="str">
        <f>IFERROR(INDEX(Region_Map[Region], MATCH(orders[[#This Row],[Customer_Country]], Region_Map[Country], 0)), "Unknown")</f>
        <v>Central Europe</v>
      </c>
      <c r="H495" t="s">
        <v>6949</v>
      </c>
    </row>
    <row r="496" spans="1:8">
      <c r="A496" t="s">
        <v>1407</v>
      </c>
      <c r="B496" t="s">
        <v>151</v>
      </c>
      <c r="C496" s="1">
        <v>45269</v>
      </c>
      <c r="D496" s="1" t="str">
        <f>PROPER(orders[[#This Row],[order_priority]])</f>
        <v>Express</v>
      </c>
      <c r="E496" t="s">
        <v>13318</v>
      </c>
      <c r="F496" t="str">
        <f>IFERROR(INDEX(customers[country], MATCH(orders[[#This Row],[customer_id]], customers[customer_id], 0)), "Unmapped")</f>
        <v>Sweden</v>
      </c>
      <c r="G496" t="str">
        <f>IFERROR(INDEX(Region_Map[Region], MATCH(orders[[#This Row],[Customer_Country]], Region_Map[Country], 0)), "Unknown")</f>
        <v>Nordics</v>
      </c>
      <c r="H496" t="s">
        <v>6949</v>
      </c>
    </row>
    <row r="497" spans="1:8">
      <c r="A497" t="s">
        <v>1408</v>
      </c>
      <c r="B497" t="s">
        <v>353</v>
      </c>
      <c r="C497" s="1">
        <v>45369</v>
      </c>
      <c r="D497" s="1" t="str">
        <f>PROPER(orders[[#This Row],[order_priority]])</f>
        <v>Standard</v>
      </c>
      <c r="E497" t="s">
        <v>13317</v>
      </c>
      <c r="F497" t="str">
        <f>IFERROR(INDEX(customers[country], MATCH(orders[[#This Row],[customer_id]], customers[customer_id], 0)), "Unmapped")</f>
        <v>Estonia</v>
      </c>
      <c r="G497" t="str">
        <f>IFERROR(INDEX(Region_Map[Region], MATCH(orders[[#This Row],[Customer_Country]], Region_Map[Country], 0)), "Unknown")</f>
        <v>Baltics</v>
      </c>
      <c r="H497" t="s">
        <v>6949</v>
      </c>
    </row>
    <row r="498" spans="1:8">
      <c r="A498" t="s">
        <v>1409</v>
      </c>
      <c r="B498" t="s">
        <v>115</v>
      </c>
      <c r="C498" s="1">
        <v>45083</v>
      </c>
      <c r="D498" s="1" t="str">
        <f>PROPER(orders[[#This Row],[order_priority]])</f>
        <v>Standard</v>
      </c>
      <c r="E498" t="s">
        <v>13317</v>
      </c>
      <c r="F498" t="str">
        <f>IFERROR(INDEX(customers[country], MATCH(orders[[#This Row],[customer_id]], customers[customer_id], 0)), "Unmapped")</f>
        <v>Finland</v>
      </c>
      <c r="G498" t="str">
        <f>IFERROR(INDEX(Region_Map[Region], MATCH(orders[[#This Row],[Customer_Country]], Region_Map[Country], 0)), "Unknown")</f>
        <v>Nordics</v>
      </c>
      <c r="H498" t="s">
        <v>6949</v>
      </c>
    </row>
    <row r="499" spans="1:8">
      <c r="A499" t="s">
        <v>1410</v>
      </c>
      <c r="B499" t="s">
        <v>371</v>
      </c>
      <c r="C499" s="1">
        <v>45391</v>
      </c>
      <c r="D499" s="1" t="str">
        <f>PROPER(orders[[#This Row],[order_priority]])</f>
        <v>Same Day</v>
      </c>
      <c r="E499" t="s">
        <v>13322</v>
      </c>
      <c r="F499" t="str">
        <f>IFERROR(INDEX(customers[country], MATCH(orders[[#This Row],[customer_id]], customers[customer_id], 0)), "Unmapped")</f>
        <v>Germany</v>
      </c>
      <c r="G499" t="str">
        <f>IFERROR(INDEX(Region_Map[Region], MATCH(orders[[#This Row],[Customer_Country]], Region_Map[Country], 0)), "Unknown")</f>
        <v>Central Europe</v>
      </c>
      <c r="H499" t="s">
        <v>6949</v>
      </c>
    </row>
    <row r="500" spans="1:8">
      <c r="A500" t="s">
        <v>1411</v>
      </c>
      <c r="B500" t="s">
        <v>431</v>
      </c>
      <c r="C500" s="1">
        <v>44968</v>
      </c>
      <c r="D500" s="1" t="str">
        <f>PROPER(orders[[#This Row],[order_priority]])</f>
        <v>Economy</v>
      </c>
      <c r="E500" t="s">
        <v>13316</v>
      </c>
      <c r="F500" t="str">
        <f>IFERROR(INDEX(customers[country], MATCH(orders[[#This Row],[customer_id]], customers[customer_id], 0)), "Unmapped")</f>
        <v>Sweden</v>
      </c>
      <c r="G500" t="str">
        <f>IFERROR(INDEX(Region_Map[Region], MATCH(orders[[#This Row],[Customer_Country]], Region_Map[Country], 0)), "Unknown")</f>
        <v>Nordics</v>
      </c>
      <c r="H500" t="s">
        <v>6949</v>
      </c>
    </row>
    <row r="501" spans="1:8">
      <c r="A501" t="s">
        <v>1412</v>
      </c>
      <c r="B501" t="s">
        <v>840</v>
      </c>
      <c r="C501" s="1">
        <v>45016</v>
      </c>
      <c r="D501" s="1" t="str">
        <f>PROPER(orders[[#This Row],[order_priority]])</f>
        <v>Standard</v>
      </c>
      <c r="E501" t="s">
        <v>13317</v>
      </c>
      <c r="F501" t="str">
        <f>IFERROR(INDEX(customers[country], MATCH(orders[[#This Row],[customer_id]], customers[customer_id], 0)), "Unmapped")</f>
        <v>Finland</v>
      </c>
      <c r="G501" t="str">
        <f>IFERROR(INDEX(Region_Map[Region], MATCH(orders[[#This Row],[Customer_Country]], Region_Map[Country], 0)), "Unknown")</f>
        <v>Nordics</v>
      </c>
      <c r="H501" t="s">
        <v>6949</v>
      </c>
    </row>
    <row r="502" spans="1:8">
      <c r="A502" t="s">
        <v>1413</v>
      </c>
      <c r="B502" t="s">
        <v>763</v>
      </c>
      <c r="C502" s="1">
        <v>45582</v>
      </c>
      <c r="D502" s="1" t="str">
        <f>PROPER(orders[[#This Row],[order_priority]])</f>
        <v>Standard</v>
      </c>
      <c r="E502" t="s">
        <v>13317</v>
      </c>
      <c r="F502" t="str">
        <f>IFERROR(INDEX(customers[country], MATCH(orders[[#This Row],[customer_id]], customers[customer_id], 0)), "Unmapped")</f>
        <v>Estonia</v>
      </c>
      <c r="G502" t="str">
        <f>IFERROR(INDEX(Region_Map[Region], MATCH(orders[[#This Row],[Customer_Country]], Region_Map[Country], 0)), "Unknown")</f>
        <v>Baltics</v>
      </c>
      <c r="H502" t="s">
        <v>6949</v>
      </c>
    </row>
    <row r="503" spans="1:8">
      <c r="A503" t="s">
        <v>1414</v>
      </c>
      <c r="B503" t="s">
        <v>407</v>
      </c>
      <c r="C503" s="1">
        <v>44936</v>
      </c>
      <c r="D503" s="1" t="str">
        <f>PROPER(orders[[#This Row],[order_priority]])</f>
        <v>Economy</v>
      </c>
      <c r="E503" t="s">
        <v>13316</v>
      </c>
      <c r="F503" t="str">
        <f>IFERROR(INDEX(customers[country], MATCH(orders[[#This Row],[customer_id]], customers[customer_id], 0)), "Unmapped")</f>
        <v>Poland</v>
      </c>
      <c r="G503" t="str">
        <f>IFERROR(INDEX(Region_Map[Region], MATCH(orders[[#This Row],[Customer_Country]], Region_Map[Country], 0)), "Unknown")</f>
        <v>Central Europe</v>
      </c>
      <c r="H503" t="s">
        <v>6949</v>
      </c>
    </row>
    <row r="504" spans="1:8">
      <c r="A504" t="s">
        <v>1415</v>
      </c>
      <c r="B504" t="s">
        <v>38</v>
      </c>
      <c r="C504" s="1">
        <v>45390</v>
      </c>
      <c r="D504" s="1" t="str">
        <f>PROPER(orders[[#This Row],[order_priority]])</f>
        <v>Economy</v>
      </c>
      <c r="E504" t="s">
        <v>13316</v>
      </c>
      <c r="F504" t="str">
        <f>IFERROR(INDEX(customers[country], MATCH(orders[[#This Row],[customer_id]], customers[customer_id], 0)), "Unmapped")</f>
        <v>Lithuania</v>
      </c>
      <c r="G504" t="str">
        <f>IFERROR(INDEX(Region_Map[Region], MATCH(orders[[#This Row],[Customer_Country]], Region_Map[Country], 0)), "Unknown")</f>
        <v>Baltics</v>
      </c>
      <c r="H504" t="s">
        <v>6949</v>
      </c>
    </row>
    <row r="505" spans="1:8">
      <c r="A505" t="s">
        <v>1416</v>
      </c>
      <c r="B505" t="s">
        <v>560</v>
      </c>
      <c r="C505" s="1">
        <v>45159</v>
      </c>
      <c r="D505" s="1" t="str">
        <f>PROPER(orders[[#This Row],[order_priority]])</f>
        <v>Standard</v>
      </c>
      <c r="E505" t="s">
        <v>13323</v>
      </c>
      <c r="F505" t="str">
        <f>IFERROR(INDEX(customers[country], MATCH(orders[[#This Row],[customer_id]], customers[customer_id], 0)), "Unmapped")</f>
        <v>Finland</v>
      </c>
      <c r="G505" t="str">
        <f>IFERROR(INDEX(Region_Map[Region], MATCH(orders[[#This Row],[Customer_Country]], Region_Map[Country], 0)), "Unknown")</f>
        <v>Nordics</v>
      </c>
      <c r="H505" t="s">
        <v>6949</v>
      </c>
    </row>
    <row r="506" spans="1:8">
      <c r="A506" t="s">
        <v>1417</v>
      </c>
      <c r="B506" t="s">
        <v>769</v>
      </c>
      <c r="C506" s="1">
        <v>45197</v>
      </c>
      <c r="D506" s="1" t="str">
        <f>PROPER(orders[[#This Row],[order_priority]])</f>
        <v>Same Day</v>
      </c>
      <c r="E506" t="s">
        <v>13322</v>
      </c>
      <c r="F506" t="str">
        <f>IFERROR(INDEX(customers[country], MATCH(orders[[#This Row],[customer_id]], customers[customer_id], 0)), "Unmapped")</f>
        <v>Latvia</v>
      </c>
      <c r="G506" t="str">
        <f>IFERROR(INDEX(Region_Map[Region], MATCH(orders[[#This Row],[Customer_Country]], Region_Map[Country], 0)), "Unknown")</f>
        <v>Baltics</v>
      </c>
      <c r="H506" t="s">
        <v>6949</v>
      </c>
    </row>
    <row r="507" spans="1:8">
      <c r="A507" t="s">
        <v>1418</v>
      </c>
      <c r="B507" t="s">
        <v>213</v>
      </c>
      <c r="C507" s="1">
        <v>45491</v>
      </c>
      <c r="D507" s="1" t="str">
        <f>PROPER(orders[[#This Row],[order_priority]])</f>
        <v>Express</v>
      </c>
      <c r="E507" t="s">
        <v>13318</v>
      </c>
      <c r="F507" t="str">
        <f>IFERROR(INDEX(customers[country], MATCH(orders[[#This Row],[customer_id]], customers[customer_id], 0)), "Unmapped")</f>
        <v>Denmark</v>
      </c>
      <c r="G507" t="str">
        <f>IFERROR(INDEX(Region_Map[Region], MATCH(orders[[#This Row],[Customer_Country]], Region_Map[Country], 0)), "Unknown")</f>
        <v>Nordics</v>
      </c>
      <c r="H507" t="s">
        <v>6949</v>
      </c>
    </row>
    <row r="508" spans="1:8">
      <c r="A508" t="s">
        <v>1419</v>
      </c>
      <c r="B508" t="s">
        <v>431</v>
      </c>
      <c r="C508" s="1">
        <v>45592</v>
      </c>
      <c r="D508" s="1" t="str">
        <f>PROPER(orders[[#This Row],[order_priority]])</f>
        <v>Express</v>
      </c>
      <c r="E508" t="s">
        <v>13318</v>
      </c>
      <c r="F508" t="str">
        <f>IFERROR(INDEX(customers[country], MATCH(orders[[#This Row],[customer_id]], customers[customer_id], 0)), "Unmapped")</f>
        <v>Sweden</v>
      </c>
      <c r="G508" t="str">
        <f>IFERROR(INDEX(Region_Map[Region], MATCH(orders[[#This Row],[Customer_Country]], Region_Map[Country], 0)), "Unknown")</f>
        <v>Nordics</v>
      </c>
      <c r="H508" t="s">
        <v>6949</v>
      </c>
    </row>
    <row r="509" spans="1:8">
      <c r="A509" t="s">
        <v>1420</v>
      </c>
      <c r="B509" t="s">
        <v>270</v>
      </c>
      <c r="C509" s="1">
        <v>45173</v>
      </c>
      <c r="D509" s="1" t="str">
        <f>PROPER(orders[[#This Row],[order_priority]])</f>
        <v>Express</v>
      </c>
      <c r="E509" t="s">
        <v>13318</v>
      </c>
      <c r="F509" t="str">
        <f>IFERROR(INDEX(customers[country], MATCH(orders[[#This Row],[customer_id]], customers[customer_id], 0)), "Unmapped")</f>
        <v>Poland</v>
      </c>
      <c r="G509" t="str">
        <f>IFERROR(INDEX(Region_Map[Region], MATCH(orders[[#This Row],[Customer_Country]], Region_Map[Country], 0)), "Unknown")</f>
        <v>Central Europe</v>
      </c>
      <c r="H509" t="s">
        <v>6949</v>
      </c>
    </row>
    <row r="510" spans="1:8">
      <c r="A510" t="s">
        <v>1421</v>
      </c>
      <c r="B510" t="s">
        <v>691</v>
      </c>
      <c r="C510" s="1">
        <v>45352</v>
      </c>
      <c r="D510" s="1" t="str">
        <f>PROPER(orders[[#This Row],[order_priority]])</f>
        <v>Economy</v>
      </c>
      <c r="E510" t="s">
        <v>13316</v>
      </c>
      <c r="F510" t="str">
        <f>IFERROR(INDEX(customers[country], MATCH(orders[[#This Row],[customer_id]], customers[customer_id], 0)), "Unmapped")</f>
        <v>Latvia</v>
      </c>
      <c r="G510" t="str">
        <f>IFERROR(INDEX(Region_Map[Region], MATCH(orders[[#This Row],[Customer_Country]], Region_Map[Country], 0)), "Unknown")</f>
        <v>Baltics</v>
      </c>
      <c r="H510" t="s">
        <v>6949</v>
      </c>
    </row>
    <row r="511" spans="1:8">
      <c r="A511" t="s">
        <v>1422</v>
      </c>
      <c r="B511" t="s">
        <v>222</v>
      </c>
      <c r="C511" s="1">
        <v>45078</v>
      </c>
      <c r="D511" s="1" t="str">
        <f>PROPER(orders[[#This Row],[order_priority]])</f>
        <v>Economy</v>
      </c>
      <c r="E511" t="s">
        <v>13325</v>
      </c>
      <c r="F511" t="str">
        <f>IFERROR(INDEX(customers[country], MATCH(orders[[#This Row],[customer_id]], customers[customer_id], 0)), "Unmapped")</f>
        <v>Norway</v>
      </c>
      <c r="G511" t="str">
        <f>IFERROR(INDEX(Region_Map[Region], MATCH(orders[[#This Row],[Customer_Country]], Region_Map[Country], 0)), "Unknown")</f>
        <v>Nordics</v>
      </c>
      <c r="H511" t="s">
        <v>6949</v>
      </c>
    </row>
    <row r="512" spans="1:8">
      <c r="A512" t="s">
        <v>1423</v>
      </c>
      <c r="B512" t="s">
        <v>386</v>
      </c>
      <c r="C512" s="1">
        <v>45566</v>
      </c>
      <c r="D512" s="1" t="str">
        <f>PROPER(orders[[#This Row],[order_priority]])</f>
        <v>Express</v>
      </c>
      <c r="E512" t="s">
        <v>13318</v>
      </c>
      <c r="F512" t="str">
        <f>IFERROR(INDEX(customers[country], MATCH(orders[[#This Row],[customer_id]], customers[customer_id], 0)), "Unmapped")</f>
        <v>Germany</v>
      </c>
      <c r="G512" t="str">
        <f>IFERROR(INDEX(Region_Map[Region], MATCH(orders[[#This Row],[Customer_Country]], Region_Map[Country], 0)), "Unknown")</f>
        <v>Central Europe</v>
      </c>
      <c r="H512" t="s">
        <v>6949</v>
      </c>
    </row>
    <row r="513" spans="1:8">
      <c r="A513" t="s">
        <v>1424</v>
      </c>
      <c r="B513" t="s">
        <v>201</v>
      </c>
      <c r="C513" s="1">
        <v>45518</v>
      </c>
      <c r="D513" s="1" t="str">
        <f>PROPER(orders[[#This Row],[order_priority]])</f>
        <v>Standard</v>
      </c>
      <c r="E513" t="s">
        <v>13317</v>
      </c>
      <c r="F513" t="str">
        <f>IFERROR(INDEX(customers[country], MATCH(orders[[#This Row],[customer_id]], customers[customer_id], 0)), "Unmapped")</f>
        <v>Estonia</v>
      </c>
      <c r="G513" t="str">
        <f>IFERROR(INDEX(Region_Map[Region], MATCH(orders[[#This Row],[Customer_Country]], Region_Map[Country], 0)), "Unknown")</f>
        <v>Baltics</v>
      </c>
      <c r="H513" t="s">
        <v>6949</v>
      </c>
    </row>
    <row r="514" spans="1:8">
      <c r="A514" t="s">
        <v>1425</v>
      </c>
      <c r="B514" t="s">
        <v>703</v>
      </c>
      <c r="C514" s="1">
        <v>45297</v>
      </c>
      <c r="D514" s="1" t="str">
        <f>PROPER(orders[[#This Row],[order_priority]])</f>
        <v>Same Day</v>
      </c>
      <c r="E514" t="s">
        <v>13322</v>
      </c>
      <c r="F514" t="str">
        <f>IFERROR(INDEX(customers[country], MATCH(orders[[#This Row],[customer_id]], customers[customer_id], 0)), "Unmapped")</f>
        <v>Estonia</v>
      </c>
      <c r="G514" t="str">
        <f>IFERROR(INDEX(Region_Map[Region], MATCH(orders[[#This Row],[Customer_Country]], Region_Map[Country], 0)), "Unknown")</f>
        <v>Baltics</v>
      </c>
      <c r="H514" t="s">
        <v>6949</v>
      </c>
    </row>
    <row r="515" spans="1:8">
      <c r="A515" t="s">
        <v>1426</v>
      </c>
      <c r="B515" t="s">
        <v>560</v>
      </c>
      <c r="C515" s="1">
        <v>45289</v>
      </c>
      <c r="D515" s="1" t="str">
        <f>PROPER(orders[[#This Row],[order_priority]])</f>
        <v>Standard</v>
      </c>
      <c r="E515" t="s">
        <v>13317</v>
      </c>
      <c r="F515" t="str">
        <f>IFERROR(INDEX(customers[country], MATCH(orders[[#This Row],[customer_id]], customers[customer_id], 0)), "Unmapped")</f>
        <v>Finland</v>
      </c>
      <c r="G515" t="str">
        <f>IFERROR(INDEX(Region_Map[Region], MATCH(orders[[#This Row],[Customer_Country]], Region_Map[Country], 0)), "Unknown")</f>
        <v>Nordics</v>
      </c>
      <c r="H515" t="s">
        <v>6949</v>
      </c>
    </row>
    <row r="516" spans="1:8">
      <c r="A516" t="s">
        <v>1427</v>
      </c>
      <c r="B516" t="s">
        <v>623</v>
      </c>
      <c r="C516" s="1">
        <v>45285</v>
      </c>
      <c r="D516" s="1" t="str">
        <f>PROPER(orders[[#This Row],[order_priority]])</f>
        <v>Economy</v>
      </c>
      <c r="E516" t="s">
        <v>13316</v>
      </c>
      <c r="F516" t="str">
        <f>IFERROR(INDEX(customers[country], MATCH(orders[[#This Row],[customer_id]], customers[customer_id], 0)), "Unmapped")</f>
        <v>Denmark</v>
      </c>
      <c r="G516" t="str">
        <f>IFERROR(INDEX(Region_Map[Region], MATCH(orders[[#This Row],[Customer_Country]], Region_Map[Country], 0)), "Unknown")</f>
        <v>Nordics</v>
      </c>
      <c r="H516" t="s">
        <v>6949</v>
      </c>
    </row>
    <row r="517" spans="1:8">
      <c r="A517" t="s">
        <v>1428</v>
      </c>
      <c r="B517" t="s">
        <v>500</v>
      </c>
      <c r="C517" s="1">
        <v>45152</v>
      </c>
      <c r="D517" s="1" t="str">
        <f>PROPER(orders[[#This Row],[order_priority]])</f>
        <v>Same Day</v>
      </c>
      <c r="E517" t="s">
        <v>13322</v>
      </c>
      <c r="F517" t="str">
        <f>IFERROR(INDEX(customers[country], MATCH(orders[[#This Row],[customer_id]], customers[customer_id], 0)), "Unmapped")</f>
        <v>Estonia</v>
      </c>
      <c r="G517" t="str">
        <f>IFERROR(INDEX(Region_Map[Region], MATCH(orders[[#This Row],[Customer_Country]], Region_Map[Country], 0)), "Unknown")</f>
        <v>Baltics</v>
      </c>
      <c r="H517" t="s">
        <v>6949</v>
      </c>
    </row>
    <row r="518" spans="1:8">
      <c r="A518" t="s">
        <v>1429</v>
      </c>
      <c r="B518" t="s">
        <v>816</v>
      </c>
      <c r="C518" s="1">
        <v>45351</v>
      </c>
      <c r="D518" s="1" t="str">
        <f>PROPER(orders[[#This Row],[order_priority]])</f>
        <v>Standard</v>
      </c>
      <c r="E518" t="s">
        <v>13317</v>
      </c>
      <c r="F518" t="str">
        <f>IFERROR(INDEX(customers[country], MATCH(orders[[#This Row],[customer_id]], customers[customer_id], 0)), "Unmapped")</f>
        <v>Lithuania</v>
      </c>
      <c r="G518" t="str">
        <f>IFERROR(INDEX(Region_Map[Region], MATCH(orders[[#This Row],[Customer_Country]], Region_Map[Country], 0)), "Unknown")</f>
        <v>Baltics</v>
      </c>
      <c r="H518" t="s">
        <v>6949</v>
      </c>
    </row>
    <row r="519" spans="1:8">
      <c r="A519" t="s">
        <v>1430</v>
      </c>
      <c r="B519" t="s">
        <v>611</v>
      </c>
      <c r="C519" s="1">
        <v>45354</v>
      </c>
      <c r="D519" s="1" t="str">
        <f>PROPER(orders[[#This Row],[order_priority]])</f>
        <v>Same Day</v>
      </c>
      <c r="E519" t="s">
        <v>13322</v>
      </c>
      <c r="F519" t="str">
        <f>IFERROR(INDEX(customers[country], MATCH(orders[[#This Row],[customer_id]], customers[customer_id], 0)), "Unmapped")</f>
        <v>Poland</v>
      </c>
      <c r="G519" t="str">
        <f>IFERROR(INDEX(Region_Map[Region], MATCH(orders[[#This Row],[Customer_Country]], Region_Map[Country], 0)), "Unknown")</f>
        <v>Central Europe</v>
      </c>
      <c r="H519" t="s">
        <v>6949</v>
      </c>
    </row>
    <row r="520" spans="1:8">
      <c r="A520" t="s">
        <v>1431</v>
      </c>
      <c r="B520" t="s">
        <v>691</v>
      </c>
      <c r="C520" s="1">
        <v>45623</v>
      </c>
      <c r="D520" s="1" t="str">
        <f>PROPER(orders[[#This Row],[order_priority]])</f>
        <v>Same Day</v>
      </c>
      <c r="E520" t="s">
        <v>13322</v>
      </c>
      <c r="F520" t="str">
        <f>IFERROR(INDEX(customers[country], MATCH(orders[[#This Row],[customer_id]], customers[customer_id], 0)), "Unmapped")</f>
        <v>Latvia</v>
      </c>
      <c r="G520" t="str">
        <f>IFERROR(INDEX(Region_Map[Region], MATCH(orders[[#This Row],[Customer_Country]], Region_Map[Country], 0)), "Unknown")</f>
        <v>Baltics</v>
      </c>
      <c r="H520" t="s">
        <v>6949</v>
      </c>
    </row>
    <row r="521" spans="1:8">
      <c r="A521" t="s">
        <v>1432</v>
      </c>
      <c r="B521" t="s">
        <v>816</v>
      </c>
      <c r="C521" s="1">
        <v>45378</v>
      </c>
      <c r="D521" s="1" t="str">
        <f>PROPER(orders[[#This Row],[order_priority]])</f>
        <v>Same Day</v>
      </c>
      <c r="E521" t="s">
        <v>13322</v>
      </c>
      <c r="F521" t="str">
        <f>IFERROR(INDEX(customers[country], MATCH(orders[[#This Row],[customer_id]], customers[customer_id], 0)), "Unmapped")</f>
        <v>Lithuania</v>
      </c>
      <c r="G521" t="str">
        <f>IFERROR(INDEX(Region_Map[Region], MATCH(orders[[#This Row],[Customer_Country]], Region_Map[Country], 0)), "Unknown")</f>
        <v>Baltics</v>
      </c>
      <c r="H521" t="s">
        <v>6949</v>
      </c>
    </row>
    <row r="522" spans="1:8">
      <c r="A522" t="s">
        <v>1433</v>
      </c>
      <c r="B522" t="s">
        <v>166</v>
      </c>
      <c r="C522" s="1">
        <v>45281</v>
      </c>
      <c r="D522" s="1" t="str">
        <f>PROPER(orders[[#This Row],[order_priority]])</f>
        <v>Same Day</v>
      </c>
      <c r="E522" t="s">
        <v>13322</v>
      </c>
      <c r="F522" t="str">
        <f>IFERROR(INDEX(customers[country], MATCH(orders[[#This Row],[customer_id]], customers[customer_id], 0)), "Unmapped")</f>
        <v>Denmark</v>
      </c>
      <c r="G522" t="str">
        <f>IFERROR(INDEX(Region_Map[Region], MATCH(orders[[#This Row],[Customer_Country]], Region_Map[Country], 0)), "Unknown")</f>
        <v>Nordics</v>
      </c>
      <c r="H522" t="s">
        <v>6949</v>
      </c>
    </row>
    <row r="523" spans="1:8">
      <c r="A523" t="s">
        <v>1434</v>
      </c>
      <c r="B523" t="s">
        <v>294</v>
      </c>
      <c r="C523" s="1">
        <v>45470</v>
      </c>
      <c r="D523" s="1" t="str">
        <f>PROPER(orders[[#This Row],[order_priority]])</f>
        <v>Economy</v>
      </c>
      <c r="E523" t="s">
        <v>13316</v>
      </c>
      <c r="F523" t="str">
        <f>IFERROR(INDEX(customers[country], MATCH(orders[[#This Row],[customer_id]], customers[customer_id], 0)), "Unmapped")</f>
        <v>Denmark</v>
      </c>
      <c r="G523" t="str">
        <f>IFERROR(INDEX(Region_Map[Region], MATCH(orders[[#This Row],[Customer_Country]], Region_Map[Country], 0)), "Unknown")</f>
        <v>Nordics</v>
      </c>
      <c r="H523" t="s">
        <v>6949</v>
      </c>
    </row>
    <row r="524" spans="1:8">
      <c r="A524" t="s">
        <v>1435</v>
      </c>
      <c r="B524" t="s">
        <v>67</v>
      </c>
      <c r="C524" s="1">
        <v>45381</v>
      </c>
      <c r="D524" s="1" t="str">
        <f>PROPER(orders[[#This Row],[order_priority]])</f>
        <v>Economy</v>
      </c>
      <c r="E524" t="s">
        <v>13316</v>
      </c>
      <c r="F524" t="str">
        <f>IFERROR(INDEX(customers[country], MATCH(orders[[#This Row],[customer_id]], customers[customer_id], 0)), "Unmapped")</f>
        <v>Estonia</v>
      </c>
      <c r="G524" t="str">
        <f>IFERROR(INDEX(Region_Map[Region], MATCH(orders[[#This Row],[Customer_Country]], Region_Map[Country], 0)), "Unknown")</f>
        <v>Baltics</v>
      </c>
      <c r="H524" t="s">
        <v>6949</v>
      </c>
    </row>
    <row r="525" spans="1:8">
      <c r="A525" t="s">
        <v>1436</v>
      </c>
      <c r="B525" t="s">
        <v>614</v>
      </c>
      <c r="C525" s="1">
        <v>45088</v>
      </c>
      <c r="D525" s="1" t="str">
        <f>PROPER(orders[[#This Row],[order_priority]])</f>
        <v>Same Day</v>
      </c>
      <c r="E525" t="s">
        <v>13322</v>
      </c>
      <c r="F525" t="str">
        <f>IFERROR(INDEX(customers[country], MATCH(orders[[#This Row],[customer_id]], customers[customer_id], 0)), "Unmapped")</f>
        <v>Latvia</v>
      </c>
      <c r="G525" t="str">
        <f>IFERROR(INDEX(Region_Map[Region], MATCH(orders[[#This Row],[Customer_Country]], Region_Map[Country], 0)), "Unknown")</f>
        <v>Baltics</v>
      </c>
      <c r="H525" t="s">
        <v>6949</v>
      </c>
    </row>
    <row r="526" spans="1:8">
      <c r="A526" t="s">
        <v>1437</v>
      </c>
      <c r="B526" t="s">
        <v>858</v>
      </c>
      <c r="C526" s="1">
        <v>44950</v>
      </c>
      <c r="D526" s="1" t="str">
        <f>PROPER(orders[[#This Row],[order_priority]])</f>
        <v>Same Day</v>
      </c>
      <c r="E526" t="s">
        <v>13322</v>
      </c>
      <c r="F526" t="str">
        <f>IFERROR(INDEX(customers[country], MATCH(orders[[#This Row],[customer_id]], customers[customer_id], 0)), "Unmapped")</f>
        <v>Lithuania</v>
      </c>
      <c r="G526" t="str">
        <f>IFERROR(INDEX(Region_Map[Region], MATCH(orders[[#This Row],[Customer_Country]], Region_Map[Country], 0)), "Unknown")</f>
        <v>Baltics</v>
      </c>
      <c r="H526" t="s">
        <v>6949</v>
      </c>
    </row>
    <row r="527" spans="1:8">
      <c r="A527" t="s">
        <v>1438</v>
      </c>
      <c r="B527" t="s">
        <v>455</v>
      </c>
      <c r="C527" s="1">
        <v>45620</v>
      </c>
      <c r="D527" s="1" t="str">
        <f>PROPER(orders[[#This Row],[order_priority]])</f>
        <v>Standard</v>
      </c>
      <c r="E527" t="s">
        <v>13317</v>
      </c>
      <c r="F527" t="str">
        <f>IFERROR(INDEX(customers[country], MATCH(orders[[#This Row],[customer_id]], customers[customer_id], 0)), "Unmapped")</f>
        <v>Poland</v>
      </c>
      <c r="G527" t="str">
        <f>IFERROR(INDEX(Region_Map[Region], MATCH(orders[[#This Row],[Customer_Country]], Region_Map[Country], 0)), "Unknown")</f>
        <v>Central Europe</v>
      </c>
      <c r="H527" t="s">
        <v>6949</v>
      </c>
    </row>
    <row r="528" spans="1:8">
      <c r="A528" t="s">
        <v>1439</v>
      </c>
      <c r="B528" t="s">
        <v>38</v>
      </c>
      <c r="C528" s="1">
        <v>45481</v>
      </c>
      <c r="D528" s="1" t="str">
        <f>PROPER(orders[[#This Row],[order_priority]])</f>
        <v>Express</v>
      </c>
      <c r="E528" t="s">
        <v>13318</v>
      </c>
      <c r="F528" t="str">
        <f>IFERROR(INDEX(customers[country], MATCH(orders[[#This Row],[customer_id]], customers[customer_id], 0)), "Unmapped")</f>
        <v>Lithuania</v>
      </c>
      <c r="G528" t="str">
        <f>IFERROR(INDEX(Region_Map[Region], MATCH(orders[[#This Row],[Customer_Country]], Region_Map[Country], 0)), "Unknown")</f>
        <v>Baltics</v>
      </c>
      <c r="H528" t="s">
        <v>6949</v>
      </c>
    </row>
    <row r="529" spans="1:8">
      <c r="A529" t="s">
        <v>1440</v>
      </c>
      <c r="B529" t="s">
        <v>222</v>
      </c>
      <c r="C529" s="1">
        <v>45152</v>
      </c>
      <c r="D529" s="1" t="str">
        <f>PROPER(orders[[#This Row],[order_priority]])</f>
        <v>Express</v>
      </c>
      <c r="E529" t="s">
        <v>13318</v>
      </c>
      <c r="F529" t="str">
        <f>IFERROR(INDEX(customers[country], MATCH(orders[[#This Row],[customer_id]], customers[customer_id], 0)), "Unmapped")</f>
        <v>Norway</v>
      </c>
      <c r="G529" t="str">
        <f>IFERROR(INDEX(Region_Map[Region], MATCH(orders[[#This Row],[Customer_Country]], Region_Map[Country], 0)), "Unknown")</f>
        <v>Nordics</v>
      </c>
      <c r="H529" t="s">
        <v>6949</v>
      </c>
    </row>
    <row r="530" spans="1:8">
      <c r="A530" t="s">
        <v>1441</v>
      </c>
      <c r="B530" t="s">
        <v>685</v>
      </c>
      <c r="C530" s="1">
        <v>45217</v>
      </c>
      <c r="D530" s="1" t="str">
        <f>PROPER(orders[[#This Row],[order_priority]])</f>
        <v>Standard</v>
      </c>
      <c r="E530" t="s">
        <v>13317</v>
      </c>
      <c r="F530" t="str">
        <f>IFERROR(INDEX(customers[country], MATCH(orders[[#This Row],[customer_id]], customers[customer_id], 0)), "Unmapped")</f>
        <v>Latvia</v>
      </c>
      <c r="G530" t="str">
        <f>IFERROR(INDEX(Region_Map[Region], MATCH(orders[[#This Row],[Customer_Country]], Region_Map[Country], 0)), "Unknown")</f>
        <v>Baltics</v>
      </c>
      <c r="H530" t="s">
        <v>6949</v>
      </c>
    </row>
    <row r="531" spans="1:8">
      <c r="A531" t="s">
        <v>1442</v>
      </c>
      <c r="B531" t="s">
        <v>452</v>
      </c>
      <c r="C531" s="1">
        <v>45504</v>
      </c>
      <c r="D531" s="1" t="str">
        <f>PROPER(orders[[#This Row],[order_priority]])</f>
        <v>Standard</v>
      </c>
      <c r="E531" t="s">
        <v>13317</v>
      </c>
      <c r="F531" t="str">
        <f>IFERROR(INDEX(customers[country], MATCH(orders[[#This Row],[customer_id]], customers[customer_id], 0)), "Unmapped")</f>
        <v>Sweden</v>
      </c>
      <c r="G531" t="str">
        <f>IFERROR(INDEX(Region_Map[Region], MATCH(orders[[#This Row],[Customer_Country]], Region_Map[Country], 0)), "Unknown")</f>
        <v>Nordics</v>
      </c>
      <c r="H531" t="s">
        <v>6949</v>
      </c>
    </row>
    <row r="532" spans="1:8">
      <c r="A532" t="s">
        <v>1443</v>
      </c>
      <c r="B532" t="s">
        <v>13335</v>
      </c>
      <c r="C532" s="1">
        <v>45228</v>
      </c>
      <c r="D532" s="1" t="str">
        <f>PROPER(orders[[#This Row],[order_priority]])</f>
        <v>Economy</v>
      </c>
      <c r="E532" t="s">
        <v>13316</v>
      </c>
      <c r="F532" t="str">
        <f>IFERROR(INDEX(customers[country], MATCH(orders[[#This Row],[customer_id]], customers[customer_id], 0)), "Unmapped")</f>
        <v>Unmapped</v>
      </c>
      <c r="G532" t="str">
        <f>IFERROR(INDEX(Region_Map[Region], MATCH(orders[[#This Row],[Customer_Country]], Region_Map[Country], 0)), "Unknown")</f>
        <v>Unknown</v>
      </c>
      <c r="H532" t="s">
        <v>6949</v>
      </c>
    </row>
    <row r="533" spans="1:8">
      <c r="A533" t="s">
        <v>1444</v>
      </c>
      <c r="B533" t="s">
        <v>6949</v>
      </c>
      <c r="C533" s="1">
        <v>44947</v>
      </c>
      <c r="D533" s="1" t="str">
        <f>PROPER(orders[[#This Row],[order_priority]])</f>
        <v>Express</v>
      </c>
      <c r="E533" t="s">
        <v>13318</v>
      </c>
      <c r="F533" t="str">
        <f>IFERROR(INDEX(customers[country], MATCH(orders[[#This Row],[customer_id]], customers[customer_id], 0)), "Unmapped")</f>
        <v>Unmapped</v>
      </c>
      <c r="G533" t="str">
        <f>IFERROR(INDEX(Region_Map[Region], MATCH(orders[[#This Row],[Customer_Country]], Region_Map[Country], 0)), "Unknown")</f>
        <v>Unknown</v>
      </c>
      <c r="H533" t="s">
        <v>6949</v>
      </c>
    </row>
    <row r="534" spans="1:8">
      <c r="A534" t="s">
        <v>1445</v>
      </c>
      <c r="B534" t="s">
        <v>249</v>
      </c>
      <c r="C534" s="1">
        <v>45169</v>
      </c>
      <c r="D534" s="1" t="str">
        <f>PROPER(orders[[#This Row],[order_priority]])</f>
        <v>Standard</v>
      </c>
      <c r="E534" t="s">
        <v>13317</v>
      </c>
      <c r="F534" t="str">
        <f>IFERROR(INDEX(customers[country], MATCH(orders[[#This Row],[customer_id]], customers[customer_id], 0)), "Unmapped")</f>
        <v>Estonia</v>
      </c>
      <c r="G534" t="str">
        <f>IFERROR(INDEX(Region_Map[Region], MATCH(orders[[#This Row],[Customer_Country]], Region_Map[Country], 0)), "Unknown")</f>
        <v>Baltics</v>
      </c>
      <c r="H534" t="s">
        <v>6949</v>
      </c>
    </row>
    <row r="535" spans="1:8">
      <c r="A535" t="s">
        <v>1446</v>
      </c>
      <c r="B535" t="s">
        <v>554</v>
      </c>
      <c r="C535" s="1">
        <v>45169</v>
      </c>
      <c r="D535" s="1" t="str">
        <f>PROPER(orders[[#This Row],[order_priority]])</f>
        <v>Same Day</v>
      </c>
      <c r="E535" t="s">
        <v>13322</v>
      </c>
      <c r="F535" t="str">
        <f>IFERROR(INDEX(customers[country], MATCH(orders[[#This Row],[customer_id]], customers[customer_id], 0)), "Unmapped")</f>
        <v>Germany</v>
      </c>
      <c r="G535" t="str">
        <f>IFERROR(INDEX(Region_Map[Region], MATCH(orders[[#This Row],[Customer_Country]], Region_Map[Country], 0)), "Unknown")</f>
        <v>Central Europe</v>
      </c>
      <c r="H535" t="s">
        <v>6949</v>
      </c>
    </row>
    <row r="536" spans="1:8">
      <c r="A536" t="s">
        <v>1447</v>
      </c>
      <c r="B536" t="s">
        <v>34</v>
      </c>
      <c r="C536" s="1">
        <v>45005</v>
      </c>
      <c r="D536" s="1" t="str">
        <f>PROPER(orders[[#This Row],[order_priority]])</f>
        <v>Same Day</v>
      </c>
      <c r="E536" t="s">
        <v>13322</v>
      </c>
      <c r="F536" t="str">
        <f>IFERROR(INDEX(customers[country], MATCH(orders[[#This Row],[customer_id]], customers[customer_id], 0)), "Unmapped")</f>
        <v>Sweden</v>
      </c>
      <c r="G536" t="str">
        <f>IFERROR(INDEX(Region_Map[Region], MATCH(orders[[#This Row],[Customer_Country]], Region_Map[Country], 0)), "Unknown")</f>
        <v>Nordics</v>
      </c>
      <c r="H536" t="s">
        <v>6949</v>
      </c>
    </row>
    <row r="537" spans="1:8">
      <c r="A537" t="s">
        <v>1448</v>
      </c>
      <c r="B537" t="s">
        <v>77</v>
      </c>
      <c r="C537" s="1">
        <v>45519</v>
      </c>
      <c r="D537" s="1" t="str">
        <f>PROPER(orders[[#This Row],[order_priority]])</f>
        <v>Express</v>
      </c>
      <c r="E537" t="s">
        <v>13318</v>
      </c>
      <c r="F537" t="str">
        <f>IFERROR(INDEX(customers[country], MATCH(orders[[#This Row],[customer_id]], customers[customer_id], 0)), "Unmapped")</f>
        <v>Lithuania</v>
      </c>
      <c r="G537" t="str">
        <f>IFERROR(INDEX(Region_Map[Region], MATCH(orders[[#This Row],[Customer_Country]], Region_Map[Country], 0)), "Unknown")</f>
        <v>Baltics</v>
      </c>
      <c r="H537" t="s">
        <v>6949</v>
      </c>
    </row>
    <row r="538" spans="1:8">
      <c r="A538" t="s">
        <v>1449</v>
      </c>
      <c r="B538" t="s">
        <v>743</v>
      </c>
      <c r="C538" s="1">
        <v>45146</v>
      </c>
      <c r="D538" s="1" t="str">
        <f>PROPER(orders[[#This Row],[order_priority]])</f>
        <v>Economy</v>
      </c>
      <c r="E538" t="s">
        <v>13316</v>
      </c>
      <c r="F538" t="str">
        <f>IFERROR(INDEX(customers[country], MATCH(orders[[#This Row],[customer_id]], customers[customer_id], 0)), "Unmapped")</f>
        <v>Germany</v>
      </c>
      <c r="G538" t="str">
        <f>IFERROR(INDEX(Region_Map[Region], MATCH(orders[[#This Row],[Customer_Country]], Region_Map[Country], 0)), "Unknown")</f>
        <v>Central Europe</v>
      </c>
      <c r="H538" t="s">
        <v>6949</v>
      </c>
    </row>
    <row r="539" spans="1:8">
      <c r="A539" t="s">
        <v>1450</v>
      </c>
      <c r="B539" t="s">
        <v>389</v>
      </c>
      <c r="C539" s="1">
        <v>45410</v>
      </c>
      <c r="D539" s="1" t="str">
        <f>PROPER(orders[[#This Row],[order_priority]])</f>
        <v>Standard</v>
      </c>
      <c r="E539" t="s">
        <v>13317</v>
      </c>
      <c r="F539" t="str">
        <f>IFERROR(INDEX(customers[country], MATCH(orders[[#This Row],[customer_id]], customers[customer_id], 0)), "Unmapped")</f>
        <v>Poland</v>
      </c>
      <c r="G539" t="str">
        <f>IFERROR(INDEX(Region_Map[Region], MATCH(orders[[#This Row],[Customer_Country]], Region_Map[Country], 0)), "Unknown")</f>
        <v>Central Europe</v>
      </c>
      <c r="H539" t="s">
        <v>6949</v>
      </c>
    </row>
    <row r="540" spans="1:8">
      <c r="A540" t="s">
        <v>1451</v>
      </c>
      <c r="B540" t="s">
        <v>303</v>
      </c>
      <c r="C540" s="1">
        <v>45013</v>
      </c>
      <c r="D540" s="1" t="str">
        <f>PROPER(orders[[#This Row],[order_priority]])</f>
        <v>Express</v>
      </c>
      <c r="E540" t="s">
        <v>13320</v>
      </c>
      <c r="F540" t="str">
        <f>IFERROR(INDEX(customers[country], MATCH(orders[[#This Row],[customer_id]], customers[customer_id], 0)), "Unmapped")</f>
        <v>Netherlands</v>
      </c>
      <c r="G540" t="str">
        <f>IFERROR(INDEX(Region_Map[Region], MATCH(orders[[#This Row],[Customer_Country]], Region_Map[Country], 0)), "Unknown")</f>
        <v>Central Europe</v>
      </c>
      <c r="H540" t="s">
        <v>6949</v>
      </c>
    </row>
    <row r="541" spans="1:8">
      <c r="A541" t="s">
        <v>1452</v>
      </c>
      <c r="B541" t="s">
        <v>638</v>
      </c>
      <c r="C541" s="1">
        <v>45128</v>
      </c>
      <c r="D541" s="1" t="str">
        <f>PROPER(orders[[#This Row],[order_priority]])</f>
        <v>Express</v>
      </c>
      <c r="E541" t="s">
        <v>13318</v>
      </c>
      <c r="F541" t="str">
        <f>IFERROR(INDEX(customers[country], MATCH(orders[[#This Row],[customer_id]], customers[customer_id], 0)), "Unmapped")</f>
        <v>Germany</v>
      </c>
      <c r="G541" t="str">
        <f>IFERROR(INDEX(Region_Map[Region], MATCH(orders[[#This Row],[Customer_Country]], Region_Map[Country], 0)), "Unknown")</f>
        <v>Central Europe</v>
      </c>
      <c r="H541" t="s">
        <v>6949</v>
      </c>
    </row>
    <row r="542" spans="1:8">
      <c r="A542" t="s">
        <v>1453</v>
      </c>
      <c r="B542" t="s">
        <v>58</v>
      </c>
      <c r="C542" s="1">
        <v>45329</v>
      </c>
      <c r="D542" s="1" t="str">
        <f>PROPER(orders[[#This Row],[order_priority]])</f>
        <v>Same Day</v>
      </c>
      <c r="E542" t="s">
        <v>13322</v>
      </c>
      <c r="F542" t="str">
        <f>IFERROR(INDEX(customers[country], MATCH(orders[[#This Row],[customer_id]], customers[customer_id], 0)), "Unmapped")</f>
        <v>Germany</v>
      </c>
      <c r="G542" t="str">
        <f>IFERROR(INDEX(Region_Map[Region], MATCH(orders[[#This Row],[Customer_Country]], Region_Map[Country], 0)), "Unknown")</f>
        <v>Central Europe</v>
      </c>
      <c r="H542" t="s">
        <v>6949</v>
      </c>
    </row>
    <row r="543" spans="1:8">
      <c r="A543" t="s">
        <v>1454</v>
      </c>
      <c r="B543" t="s">
        <v>840</v>
      </c>
      <c r="C543" s="1">
        <v>45146</v>
      </c>
      <c r="D543" s="1" t="str">
        <f>PROPER(orders[[#This Row],[order_priority]])</f>
        <v>Express</v>
      </c>
      <c r="E543" t="s">
        <v>13318</v>
      </c>
      <c r="F543" t="str">
        <f>IFERROR(INDEX(customers[country], MATCH(orders[[#This Row],[customer_id]], customers[customer_id], 0)), "Unmapped")</f>
        <v>Finland</v>
      </c>
      <c r="G543" t="str">
        <f>IFERROR(INDEX(Region_Map[Region], MATCH(orders[[#This Row],[Customer_Country]], Region_Map[Country], 0)), "Unknown")</f>
        <v>Nordics</v>
      </c>
      <c r="H543" t="s">
        <v>6949</v>
      </c>
    </row>
    <row r="544" spans="1:8">
      <c r="A544" t="s">
        <v>1455</v>
      </c>
      <c r="B544" t="s">
        <v>903</v>
      </c>
      <c r="C544" s="1">
        <v>45359</v>
      </c>
      <c r="D544" s="1" t="str">
        <f>PROPER(orders[[#This Row],[order_priority]])</f>
        <v>Express</v>
      </c>
      <c r="E544" t="s">
        <v>13320</v>
      </c>
      <c r="F544" t="str">
        <f>IFERROR(INDEX(customers[country], MATCH(orders[[#This Row],[customer_id]], customers[customer_id], 0)), "Unmapped")</f>
        <v>Norway</v>
      </c>
      <c r="G544" t="str">
        <f>IFERROR(INDEX(Region_Map[Region], MATCH(orders[[#This Row],[Customer_Country]], Region_Map[Country], 0)), "Unknown")</f>
        <v>Nordics</v>
      </c>
      <c r="H544" t="s">
        <v>6949</v>
      </c>
    </row>
    <row r="545" spans="1:8">
      <c r="A545" t="s">
        <v>1456</v>
      </c>
      <c r="B545" t="s">
        <v>855</v>
      </c>
      <c r="C545" s="1">
        <v>44964</v>
      </c>
      <c r="D545" s="1" t="str">
        <f>PROPER(orders[[#This Row],[order_priority]])</f>
        <v>Express</v>
      </c>
      <c r="E545" t="s">
        <v>13318</v>
      </c>
      <c r="F545" t="str">
        <f>IFERROR(INDEX(customers[country], MATCH(orders[[#This Row],[customer_id]], customers[customer_id], 0)), "Unmapped")</f>
        <v>Latvia</v>
      </c>
      <c r="G545" t="str">
        <f>IFERROR(INDEX(Region_Map[Region], MATCH(orders[[#This Row],[Customer_Country]], Region_Map[Country], 0)), "Unknown")</f>
        <v>Baltics</v>
      </c>
      <c r="H545" t="s">
        <v>6949</v>
      </c>
    </row>
    <row r="546" spans="1:8">
      <c r="A546" t="s">
        <v>1457</v>
      </c>
      <c r="B546" t="s">
        <v>189</v>
      </c>
      <c r="C546" s="1">
        <v>45506</v>
      </c>
      <c r="D546" s="1" t="str">
        <f>PROPER(orders[[#This Row],[order_priority]])</f>
        <v>Same Day</v>
      </c>
      <c r="E546" t="s">
        <v>13322</v>
      </c>
      <c r="F546" t="str">
        <f>IFERROR(INDEX(customers[country], MATCH(orders[[#This Row],[customer_id]], customers[customer_id], 0)), "Unmapped")</f>
        <v>Norway</v>
      </c>
      <c r="G546" t="str">
        <f>IFERROR(INDEX(Region_Map[Region], MATCH(orders[[#This Row],[Customer_Country]], Region_Map[Country], 0)), "Unknown")</f>
        <v>Nordics</v>
      </c>
      <c r="H546" t="s">
        <v>6949</v>
      </c>
    </row>
    <row r="547" spans="1:8">
      <c r="A547" t="s">
        <v>1458</v>
      </c>
      <c r="B547" t="s">
        <v>888</v>
      </c>
      <c r="C547" s="1">
        <v>45518</v>
      </c>
      <c r="D547" s="1" t="str">
        <f>PROPER(orders[[#This Row],[order_priority]])</f>
        <v>Same Day</v>
      </c>
      <c r="E547" t="s">
        <v>13322</v>
      </c>
      <c r="F547" t="str">
        <f>IFERROR(INDEX(customers[country], MATCH(orders[[#This Row],[customer_id]], customers[customer_id], 0)), "Unmapped")</f>
        <v>Denmark</v>
      </c>
      <c r="G547" t="str">
        <f>IFERROR(INDEX(Region_Map[Region], MATCH(orders[[#This Row],[Customer_Country]], Region_Map[Country], 0)), "Unknown")</f>
        <v>Nordics</v>
      </c>
      <c r="H547" t="s">
        <v>6949</v>
      </c>
    </row>
    <row r="548" spans="1:8">
      <c r="A548" t="s">
        <v>1459</v>
      </c>
      <c r="B548" t="s">
        <v>195</v>
      </c>
      <c r="C548" s="1">
        <v>45376</v>
      </c>
      <c r="D548" s="1" t="str">
        <f>PROPER(orders[[#This Row],[order_priority]])</f>
        <v>Standard</v>
      </c>
      <c r="E548" t="s">
        <v>13317</v>
      </c>
      <c r="F548" t="str">
        <f>IFERROR(INDEX(customers[country], MATCH(orders[[#This Row],[customer_id]], customers[customer_id], 0)), "Unmapped")</f>
        <v>Latvia</v>
      </c>
      <c r="G548" t="str">
        <f>IFERROR(INDEX(Region_Map[Region], MATCH(orders[[#This Row],[Customer_Country]], Region_Map[Country], 0)), "Unknown")</f>
        <v>Baltics</v>
      </c>
      <c r="H548" t="s">
        <v>6949</v>
      </c>
    </row>
    <row r="549" spans="1:8">
      <c r="A549" t="s">
        <v>1460</v>
      </c>
      <c r="B549" t="s">
        <v>398</v>
      </c>
      <c r="C549" s="1">
        <v>45000</v>
      </c>
      <c r="D549" s="1" t="str">
        <f>PROPER(orders[[#This Row],[order_priority]])</f>
        <v>Economy</v>
      </c>
      <c r="E549" t="s">
        <v>13316</v>
      </c>
      <c r="F549" t="str">
        <f>IFERROR(INDEX(customers[country], MATCH(orders[[#This Row],[customer_id]], customers[customer_id], 0)), "Unmapped")</f>
        <v>Sweden</v>
      </c>
      <c r="G549" t="str">
        <f>IFERROR(INDEX(Region_Map[Region], MATCH(orders[[#This Row],[Customer_Country]], Region_Map[Country], 0)), "Unknown")</f>
        <v>Nordics</v>
      </c>
      <c r="H549" t="s">
        <v>6949</v>
      </c>
    </row>
    <row r="550" spans="1:8">
      <c r="A550" t="s">
        <v>1461</v>
      </c>
      <c r="B550" t="s">
        <v>175</v>
      </c>
      <c r="C550" s="1">
        <v>45577</v>
      </c>
      <c r="D550" s="1" t="str">
        <f>PROPER(orders[[#This Row],[order_priority]])</f>
        <v>Standard</v>
      </c>
      <c r="E550" t="s">
        <v>13319</v>
      </c>
      <c r="F550" t="str">
        <f>IFERROR(INDEX(customers[country], MATCH(orders[[#This Row],[customer_id]], customers[customer_id], 0)), "Unmapped")</f>
        <v>Sweden</v>
      </c>
      <c r="G550" t="str">
        <f>IFERROR(INDEX(Region_Map[Region], MATCH(orders[[#This Row],[Customer_Country]], Region_Map[Country], 0)), "Unknown")</f>
        <v>Nordics</v>
      </c>
      <c r="H550" t="s">
        <v>6949</v>
      </c>
    </row>
    <row r="551" spans="1:8">
      <c r="A551" t="s">
        <v>1462</v>
      </c>
      <c r="B551" t="s">
        <v>512</v>
      </c>
      <c r="C551" s="1">
        <v>45159</v>
      </c>
      <c r="D551" s="1" t="str">
        <f>PROPER(orders[[#This Row],[order_priority]])</f>
        <v>Economy</v>
      </c>
      <c r="E551" t="s">
        <v>13316</v>
      </c>
      <c r="F551" t="str">
        <f>IFERROR(INDEX(customers[country], MATCH(orders[[#This Row],[customer_id]], customers[customer_id], 0)), "Unmapped")</f>
        <v>Poland</v>
      </c>
      <c r="G551" t="str">
        <f>IFERROR(INDEX(Region_Map[Region], MATCH(orders[[#This Row],[Customer_Country]], Region_Map[Country], 0)), "Unknown")</f>
        <v>Central Europe</v>
      </c>
      <c r="H551" t="s">
        <v>6949</v>
      </c>
    </row>
    <row r="552" spans="1:8">
      <c r="A552" t="s">
        <v>1463</v>
      </c>
      <c r="B552" t="s">
        <v>237</v>
      </c>
      <c r="C552" s="1">
        <v>45249</v>
      </c>
      <c r="D552" s="1" t="str">
        <f>PROPER(orders[[#This Row],[order_priority]])</f>
        <v>Same Day</v>
      </c>
      <c r="E552" t="s">
        <v>13322</v>
      </c>
      <c r="F552" t="str">
        <f>IFERROR(INDEX(customers[country], MATCH(orders[[#This Row],[customer_id]], customers[customer_id], 0)), "Unmapped")</f>
        <v>Sweden</v>
      </c>
      <c r="G552" t="str">
        <f>IFERROR(INDEX(Region_Map[Region], MATCH(orders[[#This Row],[Customer_Country]], Region_Map[Country], 0)), "Unknown")</f>
        <v>Nordics</v>
      </c>
      <c r="H552" t="s">
        <v>6949</v>
      </c>
    </row>
    <row r="553" spans="1:8">
      <c r="A553" t="s">
        <v>1464</v>
      </c>
      <c r="B553" t="s">
        <v>691</v>
      </c>
      <c r="C553" s="1">
        <v>45305</v>
      </c>
      <c r="D553" s="1" t="str">
        <f>PROPER(orders[[#This Row],[order_priority]])</f>
        <v>Same Day</v>
      </c>
      <c r="E553" t="s">
        <v>13322</v>
      </c>
      <c r="F553" t="str">
        <f>IFERROR(INDEX(customers[country], MATCH(orders[[#This Row],[customer_id]], customers[customer_id], 0)), "Unmapped")</f>
        <v>Latvia</v>
      </c>
      <c r="G553" t="str">
        <f>IFERROR(INDEX(Region_Map[Region], MATCH(orders[[#This Row],[Customer_Country]], Region_Map[Country], 0)), "Unknown")</f>
        <v>Baltics</v>
      </c>
      <c r="H553" t="s">
        <v>6949</v>
      </c>
    </row>
    <row r="554" spans="1:8">
      <c r="A554" t="s">
        <v>1465</v>
      </c>
      <c r="B554" t="s">
        <v>882</v>
      </c>
      <c r="C554" s="1">
        <v>45616</v>
      </c>
      <c r="D554" s="1" t="str">
        <f>PROPER(orders[[#This Row],[order_priority]])</f>
        <v>Same Day</v>
      </c>
      <c r="E554" t="s">
        <v>13322</v>
      </c>
      <c r="F554" t="str">
        <f>IFERROR(INDEX(customers[country], MATCH(orders[[#This Row],[customer_id]], customers[customer_id], 0)), "Unmapped")</f>
        <v>Netherlands</v>
      </c>
      <c r="G554" t="str">
        <f>IFERROR(INDEX(Region_Map[Region], MATCH(orders[[#This Row],[Customer_Country]], Region_Map[Country], 0)), "Unknown")</f>
        <v>Central Europe</v>
      </c>
      <c r="H554" t="s">
        <v>6949</v>
      </c>
    </row>
    <row r="555" spans="1:8">
      <c r="A555" t="s">
        <v>1466</v>
      </c>
      <c r="B555" t="s">
        <v>136</v>
      </c>
      <c r="C555" s="1">
        <v>45082</v>
      </c>
      <c r="D555" s="1" t="str">
        <f>PROPER(orders[[#This Row],[order_priority]])</f>
        <v>Economy</v>
      </c>
      <c r="E555" t="s">
        <v>13316</v>
      </c>
      <c r="F555" t="str">
        <f>IFERROR(INDEX(customers[country], MATCH(orders[[#This Row],[customer_id]], customers[customer_id], 0)), "Unmapped")</f>
        <v>Sweden</v>
      </c>
      <c r="G555" t="str">
        <f>IFERROR(INDEX(Region_Map[Region], MATCH(orders[[#This Row],[Customer_Country]], Region_Map[Country], 0)), "Unknown")</f>
        <v>Nordics</v>
      </c>
      <c r="H555" t="s">
        <v>6949</v>
      </c>
    </row>
    <row r="556" spans="1:8">
      <c r="A556" t="s">
        <v>1467</v>
      </c>
      <c r="B556" t="s">
        <v>365</v>
      </c>
      <c r="C556" s="1">
        <v>45269</v>
      </c>
      <c r="D556" s="1" t="str">
        <f>PROPER(orders[[#This Row],[order_priority]])</f>
        <v>Standard</v>
      </c>
      <c r="E556" t="s">
        <v>13317</v>
      </c>
      <c r="F556" t="str">
        <f>IFERROR(INDEX(customers[country], MATCH(orders[[#This Row],[customer_id]], customers[customer_id], 0)), "Unmapped")</f>
        <v>Poland</v>
      </c>
      <c r="G556" t="str">
        <f>IFERROR(INDEX(Region_Map[Region], MATCH(orders[[#This Row],[Customer_Country]], Region_Map[Country], 0)), "Unknown")</f>
        <v>Central Europe</v>
      </c>
      <c r="H556" t="s">
        <v>6949</v>
      </c>
    </row>
    <row r="557" spans="1:8">
      <c r="A557" t="s">
        <v>1468</v>
      </c>
      <c r="B557" t="s">
        <v>464</v>
      </c>
      <c r="C557" s="1">
        <v>45447</v>
      </c>
      <c r="D557" s="1" t="str">
        <f>PROPER(orders[[#This Row],[order_priority]])</f>
        <v>Same Day</v>
      </c>
      <c r="E557" t="s">
        <v>13322</v>
      </c>
      <c r="F557" t="str">
        <f>IFERROR(INDEX(customers[country], MATCH(orders[[#This Row],[customer_id]], customers[customer_id], 0)), "Unmapped")</f>
        <v>Finland</v>
      </c>
      <c r="G557" t="str">
        <f>IFERROR(INDEX(Region_Map[Region], MATCH(orders[[#This Row],[Customer_Country]], Region_Map[Country], 0)), "Unknown")</f>
        <v>Nordics</v>
      </c>
      <c r="H557" t="s">
        <v>6949</v>
      </c>
    </row>
    <row r="558" spans="1:8">
      <c r="A558" t="s">
        <v>1469</v>
      </c>
      <c r="B558" t="s">
        <v>775</v>
      </c>
      <c r="C558" s="1">
        <v>45309</v>
      </c>
      <c r="D558" s="1" t="str">
        <f>PROPER(orders[[#This Row],[order_priority]])</f>
        <v>Same Day</v>
      </c>
      <c r="E558" t="s">
        <v>13322</v>
      </c>
      <c r="F558" t="str">
        <f>IFERROR(INDEX(customers[country], MATCH(orders[[#This Row],[customer_id]], customers[customer_id], 0)), "Unmapped")</f>
        <v>Sweden</v>
      </c>
      <c r="G558" t="str">
        <f>IFERROR(INDEX(Region_Map[Region], MATCH(orders[[#This Row],[Customer_Country]], Region_Map[Country], 0)), "Unknown")</f>
        <v>Nordics</v>
      </c>
      <c r="H558" t="s">
        <v>6949</v>
      </c>
    </row>
    <row r="559" spans="1:8">
      <c r="A559" t="s">
        <v>1470</v>
      </c>
      <c r="B559" t="s">
        <v>584</v>
      </c>
      <c r="C559" s="1">
        <v>45362</v>
      </c>
      <c r="D559" s="1" t="str">
        <f>PROPER(orders[[#This Row],[order_priority]])</f>
        <v>Economy</v>
      </c>
      <c r="E559" t="s">
        <v>13316</v>
      </c>
      <c r="F559" t="str">
        <f>IFERROR(INDEX(customers[country], MATCH(orders[[#This Row],[customer_id]], customers[customer_id], 0)), "Unmapped")</f>
        <v>Netherlands</v>
      </c>
      <c r="G559" t="str">
        <f>IFERROR(INDEX(Region_Map[Region], MATCH(orders[[#This Row],[Customer_Country]], Region_Map[Country], 0)), "Unknown")</f>
        <v>Central Europe</v>
      </c>
      <c r="H559" t="s">
        <v>6949</v>
      </c>
    </row>
    <row r="560" spans="1:8">
      <c r="A560" t="s">
        <v>1471</v>
      </c>
      <c r="B560" t="s">
        <v>772</v>
      </c>
      <c r="C560" s="1">
        <v>45450</v>
      </c>
      <c r="D560" s="1" t="str">
        <f>PROPER(orders[[#This Row],[order_priority]])</f>
        <v>Express</v>
      </c>
      <c r="E560" t="s">
        <v>13318</v>
      </c>
      <c r="F560" t="str">
        <f>IFERROR(INDEX(customers[country], MATCH(orders[[#This Row],[customer_id]], customers[customer_id], 0)), "Unmapped")</f>
        <v>Estonia</v>
      </c>
      <c r="G560" t="str">
        <f>IFERROR(INDEX(Region_Map[Region], MATCH(orders[[#This Row],[Customer_Country]], Region_Map[Country], 0)), "Unknown")</f>
        <v>Baltics</v>
      </c>
      <c r="H560" t="s">
        <v>6949</v>
      </c>
    </row>
    <row r="561" spans="1:8">
      <c r="A561" t="s">
        <v>1472</v>
      </c>
      <c r="B561" t="s">
        <v>15</v>
      </c>
      <c r="C561" s="1">
        <v>45624</v>
      </c>
      <c r="D561" s="1" t="str">
        <f>PROPER(orders[[#This Row],[order_priority]])</f>
        <v>Same Day</v>
      </c>
      <c r="E561" t="s">
        <v>13321</v>
      </c>
      <c r="F561" t="str">
        <f>IFERROR(INDEX(customers[country], MATCH(orders[[#This Row],[customer_id]], customers[customer_id], 0)), "Unmapped")</f>
        <v>Estonia</v>
      </c>
      <c r="G561" t="str">
        <f>IFERROR(INDEX(Region_Map[Region], MATCH(orders[[#This Row],[Customer_Country]], Region_Map[Country], 0)), "Unknown")</f>
        <v>Baltics</v>
      </c>
      <c r="H561" t="s">
        <v>6949</v>
      </c>
    </row>
    <row r="562" spans="1:8">
      <c r="A562" t="s">
        <v>1473</v>
      </c>
      <c r="B562" t="s">
        <v>518</v>
      </c>
      <c r="C562" s="1">
        <v>45270</v>
      </c>
      <c r="D562" s="1" t="str">
        <f>PROPER(orders[[#This Row],[order_priority]])</f>
        <v>Express</v>
      </c>
      <c r="E562" t="s">
        <v>13318</v>
      </c>
      <c r="F562" t="str">
        <f>IFERROR(INDEX(customers[country], MATCH(orders[[#This Row],[customer_id]], customers[customer_id], 0)), "Unmapped")</f>
        <v>Germany</v>
      </c>
      <c r="G562" t="str">
        <f>IFERROR(INDEX(Region_Map[Region], MATCH(orders[[#This Row],[Customer_Country]], Region_Map[Country], 0)), "Unknown")</f>
        <v>Central Europe</v>
      </c>
      <c r="H562" t="s">
        <v>6949</v>
      </c>
    </row>
    <row r="563" spans="1:8">
      <c r="A563" t="s">
        <v>1474</v>
      </c>
      <c r="B563" t="s">
        <v>422</v>
      </c>
      <c r="C563" s="1">
        <v>45387</v>
      </c>
      <c r="D563" s="1" t="str">
        <f>PROPER(orders[[#This Row],[order_priority]])</f>
        <v>Same Day</v>
      </c>
      <c r="E563" t="s">
        <v>13322</v>
      </c>
      <c r="F563" t="str">
        <f>IFERROR(INDEX(customers[country], MATCH(orders[[#This Row],[customer_id]], customers[customer_id], 0)), "Unmapped")</f>
        <v>Germany</v>
      </c>
      <c r="G563" t="str">
        <f>IFERROR(INDEX(Region_Map[Region], MATCH(orders[[#This Row],[Customer_Country]], Region_Map[Country], 0)), "Unknown")</f>
        <v>Central Europe</v>
      </c>
      <c r="H563" t="s">
        <v>6949</v>
      </c>
    </row>
    <row r="564" spans="1:8">
      <c r="A564" t="s">
        <v>1475</v>
      </c>
      <c r="B564" t="s">
        <v>548</v>
      </c>
      <c r="C564" s="1">
        <v>45041</v>
      </c>
      <c r="D564" s="1" t="str">
        <f>PROPER(orders[[#This Row],[order_priority]])</f>
        <v>Economy</v>
      </c>
      <c r="E564" t="s">
        <v>13316</v>
      </c>
      <c r="F564" t="str">
        <f>IFERROR(INDEX(customers[country], MATCH(orders[[#This Row],[customer_id]], customers[customer_id], 0)), "Unmapped")</f>
        <v>Sweden</v>
      </c>
      <c r="G564" t="str">
        <f>IFERROR(INDEX(Region_Map[Region], MATCH(orders[[#This Row],[Customer_Country]], Region_Map[Country], 0)), "Unknown")</f>
        <v>Nordics</v>
      </c>
      <c r="H564" t="s">
        <v>6949</v>
      </c>
    </row>
    <row r="565" spans="1:8">
      <c r="A565" t="s">
        <v>1476</v>
      </c>
      <c r="B565" t="s">
        <v>240</v>
      </c>
      <c r="C565" s="1">
        <v>45065</v>
      </c>
      <c r="D565" s="1" t="str">
        <f>PROPER(orders[[#This Row],[order_priority]])</f>
        <v>Express</v>
      </c>
      <c r="E565" t="s">
        <v>13318</v>
      </c>
      <c r="F565" t="str">
        <f>IFERROR(INDEX(customers[country], MATCH(orders[[#This Row],[customer_id]], customers[customer_id], 0)), "Unmapped")</f>
        <v>Lithuania</v>
      </c>
      <c r="G565" t="str">
        <f>IFERROR(INDEX(Region_Map[Region], MATCH(orders[[#This Row],[Customer_Country]], Region_Map[Country], 0)), "Unknown")</f>
        <v>Baltics</v>
      </c>
      <c r="H565" t="s">
        <v>6949</v>
      </c>
    </row>
    <row r="566" spans="1:8">
      <c r="A566" t="s">
        <v>1477</v>
      </c>
      <c r="B566" t="s">
        <v>347</v>
      </c>
      <c r="C566" s="1">
        <v>45348</v>
      </c>
      <c r="D566" s="1" t="str">
        <f>PROPER(orders[[#This Row],[order_priority]])</f>
        <v>Economy</v>
      </c>
      <c r="E566" t="s">
        <v>13316</v>
      </c>
      <c r="F566" t="str">
        <f>IFERROR(INDEX(customers[country], MATCH(orders[[#This Row],[customer_id]], customers[customer_id], 0)), "Unmapped")</f>
        <v>Norway</v>
      </c>
      <c r="G566" t="str">
        <f>IFERROR(INDEX(Region_Map[Region], MATCH(orders[[#This Row],[Customer_Country]], Region_Map[Country], 0)), "Unknown")</f>
        <v>Nordics</v>
      </c>
      <c r="H566" t="s">
        <v>6949</v>
      </c>
    </row>
    <row r="567" spans="1:8">
      <c r="A567" t="s">
        <v>1478</v>
      </c>
      <c r="B567" t="s">
        <v>270</v>
      </c>
      <c r="C567" s="1">
        <v>45483</v>
      </c>
      <c r="D567" s="1" t="str">
        <f>PROPER(orders[[#This Row],[order_priority]])</f>
        <v>Economy</v>
      </c>
      <c r="E567" t="s">
        <v>13325</v>
      </c>
      <c r="F567" t="str">
        <f>IFERROR(INDEX(customers[country], MATCH(orders[[#This Row],[customer_id]], customers[customer_id], 0)), "Unmapped")</f>
        <v>Poland</v>
      </c>
      <c r="G567" t="str">
        <f>IFERROR(INDEX(Region_Map[Region], MATCH(orders[[#This Row],[Customer_Country]], Region_Map[Country], 0)), "Unknown")</f>
        <v>Central Europe</v>
      </c>
      <c r="H567" t="s">
        <v>6949</v>
      </c>
    </row>
    <row r="568" spans="1:8">
      <c r="A568" t="s">
        <v>1479</v>
      </c>
      <c r="B568" t="s">
        <v>359</v>
      </c>
      <c r="C568" s="1">
        <v>44970</v>
      </c>
      <c r="D568" s="1" t="str">
        <f>PROPER(orders[[#This Row],[order_priority]])</f>
        <v>Express</v>
      </c>
      <c r="E568" t="s">
        <v>13318</v>
      </c>
      <c r="F568" t="str">
        <f>IFERROR(INDEX(customers[country], MATCH(orders[[#This Row],[customer_id]], customers[customer_id], 0)), "Unmapped")</f>
        <v>Estonia</v>
      </c>
      <c r="G568" t="str">
        <f>IFERROR(INDEX(Region_Map[Region], MATCH(orders[[#This Row],[Customer_Country]], Region_Map[Country], 0)), "Unknown")</f>
        <v>Baltics</v>
      </c>
      <c r="H568" t="s">
        <v>6949</v>
      </c>
    </row>
    <row r="569" spans="1:8">
      <c r="A569" t="s">
        <v>1480</v>
      </c>
      <c r="B569" t="s">
        <v>870</v>
      </c>
      <c r="C569" s="1">
        <v>44956</v>
      </c>
      <c r="D569" s="1" t="str">
        <f>PROPER(orders[[#This Row],[order_priority]])</f>
        <v>Economy</v>
      </c>
      <c r="E569" t="s">
        <v>13325</v>
      </c>
      <c r="F569" t="str">
        <f>IFERROR(INDEX(customers[country], MATCH(orders[[#This Row],[customer_id]], customers[customer_id], 0)), "Unmapped")</f>
        <v>Estonia</v>
      </c>
      <c r="G569" t="str">
        <f>IFERROR(INDEX(Region_Map[Region], MATCH(orders[[#This Row],[Customer_Country]], Region_Map[Country], 0)), "Unknown")</f>
        <v>Baltics</v>
      </c>
      <c r="H569" t="s">
        <v>6949</v>
      </c>
    </row>
    <row r="570" spans="1:8">
      <c r="A570" t="s">
        <v>1481</v>
      </c>
      <c r="B570" t="s">
        <v>356</v>
      </c>
      <c r="C570" s="1">
        <v>45348</v>
      </c>
      <c r="D570" s="1" t="str">
        <f>PROPER(orders[[#This Row],[order_priority]])</f>
        <v>Economy</v>
      </c>
      <c r="E570" t="s">
        <v>13325</v>
      </c>
      <c r="F570" t="str">
        <f>IFERROR(INDEX(customers[country], MATCH(orders[[#This Row],[customer_id]], customers[customer_id], 0)), "Unmapped")</f>
        <v>Netherlands</v>
      </c>
      <c r="G570" t="str">
        <f>IFERROR(INDEX(Region_Map[Region], MATCH(orders[[#This Row],[Customer_Country]], Region_Map[Country], 0)), "Unknown")</f>
        <v>Central Europe</v>
      </c>
      <c r="H570" t="s">
        <v>6949</v>
      </c>
    </row>
    <row r="571" spans="1:8">
      <c r="A571" t="s">
        <v>1482</v>
      </c>
      <c r="B571" t="s">
        <v>160</v>
      </c>
      <c r="C571" s="1">
        <v>45535</v>
      </c>
      <c r="D571" s="1" t="str">
        <f>PROPER(orders[[#This Row],[order_priority]])</f>
        <v>Same Day</v>
      </c>
      <c r="E571" t="s">
        <v>13322</v>
      </c>
      <c r="F571" t="str">
        <f>IFERROR(INDEX(customers[country], MATCH(orders[[#This Row],[customer_id]], customers[customer_id], 0)), "Unmapped")</f>
        <v>Denmark</v>
      </c>
      <c r="G571" t="str">
        <f>IFERROR(INDEX(Region_Map[Region], MATCH(orders[[#This Row],[Customer_Country]], Region_Map[Country], 0)), "Unknown")</f>
        <v>Nordics</v>
      </c>
      <c r="H571" t="s">
        <v>6949</v>
      </c>
    </row>
    <row r="572" spans="1:8">
      <c r="A572" t="s">
        <v>1483</v>
      </c>
      <c r="B572" t="s">
        <v>715</v>
      </c>
      <c r="C572" s="1">
        <v>45443</v>
      </c>
      <c r="D572" s="1" t="str">
        <f>PROPER(orders[[#This Row],[order_priority]])</f>
        <v>Economy</v>
      </c>
      <c r="E572" t="s">
        <v>13316</v>
      </c>
      <c r="F572" t="str">
        <f>IFERROR(INDEX(customers[country], MATCH(orders[[#This Row],[customer_id]], customers[customer_id], 0)), "Unmapped")</f>
        <v>Netherlands</v>
      </c>
      <c r="G572" t="str">
        <f>IFERROR(INDEX(Region_Map[Region], MATCH(orders[[#This Row],[Customer_Country]], Region_Map[Country], 0)), "Unknown")</f>
        <v>Central Europe</v>
      </c>
      <c r="H572" t="s">
        <v>6949</v>
      </c>
    </row>
    <row r="573" spans="1:8">
      <c r="A573" t="s">
        <v>1484</v>
      </c>
      <c r="B573" t="s">
        <v>760</v>
      </c>
      <c r="C573" s="1">
        <v>45596</v>
      </c>
      <c r="D573" s="1" t="str">
        <f>PROPER(orders[[#This Row],[order_priority]])</f>
        <v>Same Day</v>
      </c>
      <c r="E573" t="s">
        <v>13321</v>
      </c>
      <c r="F573" t="str">
        <f>IFERROR(INDEX(customers[country], MATCH(orders[[#This Row],[customer_id]], customers[customer_id], 0)), "Unmapped")</f>
        <v>Poland</v>
      </c>
      <c r="G573" t="str">
        <f>IFERROR(INDEX(Region_Map[Region], MATCH(orders[[#This Row],[Customer_Country]], Region_Map[Country], 0)), "Unknown")</f>
        <v>Central Europe</v>
      </c>
      <c r="H573" t="s">
        <v>6949</v>
      </c>
    </row>
    <row r="574" spans="1:8">
      <c r="A574" t="s">
        <v>1485</v>
      </c>
      <c r="B574" t="s">
        <v>273</v>
      </c>
      <c r="C574" s="1">
        <v>45427</v>
      </c>
      <c r="D574" s="1" t="str">
        <f>PROPER(orders[[#This Row],[order_priority]])</f>
        <v>Economy</v>
      </c>
      <c r="E574" t="s">
        <v>13316</v>
      </c>
      <c r="F574" t="str">
        <f>IFERROR(INDEX(customers[country], MATCH(orders[[#This Row],[customer_id]], customers[customer_id], 0)), "Unmapped")</f>
        <v>Norway</v>
      </c>
      <c r="G574" t="str">
        <f>IFERROR(INDEX(Region_Map[Region], MATCH(orders[[#This Row],[Customer_Country]], Region_Map[Country], 0)), "Unknown")</f>
        <v>Nordics</v>
      </c>
      <c r="H574" t="s">
        <v>6949</v>
      </c>
    </row>
    <row r="575" spans="1:8">
      <c r="A575" t="s">
        <v>1486</v>
      </c>
      <c r="B575" t="s">
        <v>694</v>
      </c>
      <c r="C575" s="1">
        <v>45109</v>
      </c>
      <c r="D575" s="1" t="str">
        <f>PROPER(orders[[#This Row],[order_priority]])</f>
        <v>Express</v>
      </c>
      <c r="E575" t="s">
        <v>13318</v>
      </c>
      <c r="F575" t="str">
        <f>IFERROR(INDEX(customers[country], MATCH(orders[[#This Row],[customer_id]], customers[customer_id], 0)), "Unmapped")</f>
        <v>Lithuania</v>
      </c>
      <c r="G575" t="str">
        <f>IFERROR(INDEX(Region_Map[Region], MATCH(orders[[#This Row],[Customer_Country]], Region_Map[Country], 0)), "Unknown")</f>
        <v>Baltics</v>
      </c>
      <c r="H575" t="s">
        <v>6949</v>
      </c>
    </row>
    <row r="576" spans="1:8">
      <c r="A576" t="s">
        <v>1487</v>
      </c>
      <c r="B576" t="s">
        <v>521</v>
      </c>
      <c r="C576" s="1">
        <v>45501</v>
      </c>
      <c r="D576" s="1" t="str">
        <f>PROPER(orders[[#This Row],[order_priority]])</f>
        <v>Same Day</v>
      </c>
      <c r="E576" t="s">
        <v>13322</v>
      </c>
      <c r="F576" t="str">
        <f>IFERROR(INDEX(customers[country], MATCH(orders[[#This Row],[customer_id]], customers[customer_id], 0)), "Unmapped")</f>
        <v>Norway</v>
      </c>
      <c r="G576" t="str">
        <f>IFERROR(INDEX(Region_Map[Region], MATCH(orders[[#This Row],[Customer_Country]], Region_Map[Country], 0)), "Unknown")</f>
        <v>Nordics</v>
      </c>
      <c r="H576" t="s">
        <v>6949</v>
      </c>
    </row>
    <row r="577" spans="1:8">
      <c r="A577" t="s">
        <v>1488</v>
      </c>
      <c r="B577" t="s">
        <v>96</v>
      </c>
      <c r="C577" s="1">
        <v>45136</v>
      </c>
      <c r="D577" s="1" t="str">
        <f>PROPER(orders[[#This Row],[order_priority]])</f>
        <v>Express</v>
      </c>
      <c r="E577" t="s">
        <v>13318</v>
      </c>
      <c r="F577" t="str">
        <f>IFERROR(INDEX(customers[country], MATCH(orders[[#This Row],[customer_id]], customers[customer_id], 0)), "Unmapped")</f>
        <v>Sweden</v>
      </c>
      <c r="G577" t="str">
        <f>IFERROR(INDEX(Region_Map[Region], MATCH(orders[[#This Row],[Customer_Country]], Region_Map[Country], 0)), "Unknown")</f>
        <v>Nordics</v>
      </c>
      <c r="H577" t="s">
        <v>6949</v>
      </c>
    </row>
    <row r="578" spans="1:8">
      <c r="A578" t="s">
        <v>1489</v>
      </c>
      <c r="B578" t="s">
        <v>629</v>
      </c>
      <c r="C578" s="1">
        <v>45231</v>
      </c>
      <c r="D578" s="1" t="str">
        <f>PROPER(orders[[#This Row],[order_priority]])</f>
        <v>Express</v>
      </c>
      <c r="E578" t="s">
        <v>13318</v>
      </c>
      <c r="F578" t="str">
        <f>IFERROR(INDEX(customers[country], MATCH(orders[[#This Row],[customer_id]], customers[customer_id], 0)), "Unmapped")</f>
        <v>Lithuania</v>
      </c>
      <c r="G578" t="str">
        <f>IFERROR(INDEX(Region_Map[Region], MATCH(orders[[#This Row],[Customer_Country]], Region_Map[Country], 0)), "Unknown")</f>
        <v>Baltics</v>
      </c>
      <c r="H578" t="s">
        <v>6949</v>
      </c>
    </row>
    <row r="579" spans="1:8">
      <c r="A579" t="s">
        <v>1490</v>
      </c>
      <c r="B579" t="s">
        <v>796</v>
      </c>
      <c r="C579" s="1">
        <v>45067</v>
      </c>
      <c r="D579" s="1" t="str">
        <f>PROPER(orders[[#This Row],[order_priority]])</f>
        <v>Standard</v>
      </c>
      <c r="E579" t="s">
        <v>13317</v>
      </c>
      <c r="F579" t="str">
        <f>IFERROR(INDEX(customers[country], MATCH(orders[[#This Row],[customer_id]], customers[customer_id], 0)), "Unmapped")</f>
        <v>Sweden</v>
      </c>
      <c r="G579" t="str">
        <f>IFERROR(INDEX(Region_Map[Region], MATCH(orders[[#This Row],[Customer_Country]], Region_Map[Country], 0)), "Unknown")</f>
        <v>Nordics</v>
      </c>
      <c r="H579" t="s">
        <v>6949</v>
      </c>
    </row>
    <row r="580" spans="1:8">
      <c r="A580" t="s">
        <v>1491</v>
      </c>
      <c r="B580" t="s">
        <v>258</v>
      </c>
      <c r="C580" s="1">
        <v>45147</v>
      </c>
      <c r="D580" s="1" t="str">
        <f>PROPER(orders[[#This Row],[order_priority]])</f>
        <v>Standard</v>
      </c>
      <c r="E580" t="s">
        <v>13317</v>
      </c>
      <c r="F580" t="str">
        <f>IFERROR(INDEX(customers[country], MATCH(orders[[#This Row],[customer_id]], customers[customer_id], 0)), "Unmapped")</f>
        <v>Latvia</v>
      </c>
      <c r="G580" t="str">
        <f>IFERROR(INDEX(Region_Map[Region], MATCH(orders[[#This Row],[Customer_Country]], Region_Map[Country], 0)), "Unknown")</f>
        <v>Baltics</v>
      </c>
      <c r="H580" t="s">
        <v>6949</v>
      </c>
    </row>
    <row r="581" spans="1:8">
      <c r="A581" t="s">
        <v>1492</v>
      </c>
      <c r="B581" t="s">
        <v>61</v>
      </c>
      <c r="C581" s="1">
        <v>45128</v>
      </c>
      <c r="D581" s="1" t="str">
        <f>PROPER(orders[[#This Row],[order_priority]])</f>
        <v>Standard</v>
      </c>
      <c r="E581" t="s">
        <v>13317</v>
      </c>
      <c r="F581" t="str">
        <f>IFERROR(INDEX(customers[country], MATCH(orders[[#This Row],[customer_id]], customers[customer_id], 0)), "Unmapped")</f>
        <v>Netherlands</v>
      </c>
      <c r="G581" t="str">
        <f>IFERROR(INDEX(Region_Map[Region], MATCH(orders[[#This Row],[Customer_Country]], Region_Map[Country], 0)), "Unknown")</f>
        <v>Central Europe</v>
      </c>
      <c r="H581" t="s">
        <v>6949</v>
      </c>
    </row>
    <row r="582" spans="1:8">
      <c r="A582" t="s">
        <v>1493</v>
      </c>
      <c r="B582" t="s">
        <v>392</v>
      </c>
      <c r="C582" s="1">
        <v>45189</v>
      </c>
      <c r="D582" s="1" t="str">
        <f>PROPER(orders[[#This Row],[order_priority]])</f>
        <v>Express</v>
      </c>
      <c r="E582" t="s">
        <v>13318</v>
      </c>
      <c r="F582" t="str">
        <f>IFERROR(INDEX(customers[country], MATCH(orders[[#This Row],[customer_id]], customers[customer_id], 0)), "Unmapped")</f>
        <v>Latvia</v>
      </c>
      <c r="G582" t="str">
        <f>IFERROR(INDEX(Region_Map[Region], MATCH(orders[[#This Row],[Customer_Country]], Region_Map[Country], 0)), "Unknown")</f>
        <v>Baltics</v>
      </c>
      <c r="H582" t="s">
        <v>6949</v>
      </c>
    </row>
    <row r="583" spans="1:8">
      <c r="A583" t="s">
        <v>1494</v>
      </c>
      <c r="B583" t="s">
        <v>870</v>
      </c>
      <c r="C583" s="1">
        <v>45082</v>
      </c>
      <c r="D583" s="1" t="str">
        <f>PROPER(orders[[#This Row],[order_priority]])</f>
        <v>Economy</v>
      </c>
      <c r="E583" t="s">
        <v>13316</v>
      </c>
      <c r="F583" t="str">
        <f>IFERROR(INDEX(customers[country], MATCH(orders[[#This Row],[customer_id]], customers[customer_id], 0)), "Unmapped")</f>
        <v>Estonia</v>
      </c>
      <c r="G583" t="str">
        <f>IFERROR(INDEX(Region_Map[Region], MATCH(orders[[#This Row],[Customer_Country]], Region_Map[Country], 0)), "Unknown")</f>
        <v>Baltics</v>
      </c>
      <c r="H583" t="s">
        <v>6949</v>
      </c>
    </row>
    <row r="584" spans="1:8">
      <c r="A584" t="s">
        <v>1495</v>
      </c>
      <c r="B584" t="s">
        <v>55</v>
      </c>
      <c r="C584" s="1">
        <v>45269</v>
      </c>
      <c r="D584" s="1" t="str">
        <f>PROPER(orders[[#This Row],[order_priority]])</f>
        <v>Standard</v>
      </c>
      <c r="E584" t="s">
        <v>13317</v>
      </c>
      <c r="F584" t="str">
        <f>IFERROR(INDEX(customers[country], MATCH(orders[[#This Row],[customer_id]], customers[customer_id], 0)), "Unmapped")</f>
        <v>Netherlands</v>
      </c>
      <c r="G584" t="str">
        <f>IFERROR(INDEX(Region_Map[Region], MATCH(orders[[#This Row],[Customer_Country]], Region_Map[Country], 0)), "Unknown")</f>
        <v>Central Europe</v>
      </c>
      <c r="H584" t="s">
        <v>6949</v>
      </c>
    </row>
    <row r="585" spans="1:8">
      <c r="A585" t="s">
        <v>1496</v>
      </c>
      <c r="B585" t="s">
        <v>808</v>
      </c>
      <c r="C585" s="1">
        <v>45227</v>
      </c>
      <c r="D585" s="1" t="str">
        <f>PROPER(orders[[#This Row],[order_priority]])</f>
        <v>Economy</v>
      </c>
      <c r="E585" t="s">
        <v>13325</v>
      </c>
      <c r="F585" t="str">
        <f>IFERROR(INDEX(customers[country], MATCH(orders[[#This Row],[customer_id]], customers[customer_id], 0)), "Unmapped")</f>
        <v>Sweden</v>
      </c>
      <c r="G585" t="str">
        <f>IFERROR(INDEX(Region_Map[Region], MATCH(orders[[#This Row],[Customer_Country]], Region_Map[Country], 0)), "Unknown")</f>
        <v>Nordics</v>
      </c>
      <c r="H585" t="s">
        <v>6949</v>
      </c>
    </row>
    <row r="586" spans="1:8">
      <c r="A586" t="s">
        <v>1497</v>
      </c>
      <c r="B586" t="s">
        <v>428</v>
      </c>
      <c r="C586" s="1">
        <v>45186</v>
      </c>
      <c r="D586" s="1" t="str">
        <f>PROPER(orders[[#This Row],[order_priority]])</f>
        <v>Standard</v>
      </c>
      <c r="E586" t="s">
        <v>13323</v>
      </c>
      <c r="F586" t="str">
        <f>IFERROR(INDEX(customers[country], MATCH(orders[[#This Row],[customer_id]], customers[customer_id], 0)), "Unmapped")</f>
        <v>Finland</v>
      </c>
      <c r="G586" t="str">
        <f>IFERROR(INDEX(Region_Map[Region], MATCH(orders[[#This Row],[Customer_Country]], Region_Map[Country], 0)), "Unknown")</f>
        <v>Nordics</v>
      </c>
      <c r="H586" t="s">
        <v>6949</v>
      </c>
    </row>
    <row r="587" spans="1:8">
      <c r="A587" t="s">
        <v>1498</v>
      </c>
      <c r="B587" t="s">
        <v>276</v>
      </c>
      <c r="C587" s="1">
        <v>45016</v>
      </c>
      <c r="D587" s="1" t="str">
        <f>PROPER(orders[[#This Row],[order_priority]])</f>
        <v>Economy</v>
      </c>
      <c r="E587" t="s">
        <v>13316</v>
      </c>
      <c r="F587" t="str">
        <f>IFERROR(INDEX(customers[country], MATCH(orders[[#This Row],[customer_id]], customers[customer_id], 0)), "Unmapped")</f>
        <v>Sweden</v>
      </c>
      <c r="G587" t="str">
        <f>IFERROR(INDEX(Region_Map[Region], MATCH(orders[[#This Row],[Customer_Country]], Region_Map[Country], 0)), "Unknown")</f>
        <v>Nordics</v>
      </c>
      <c r="H587" t="s">
        <v>6949</v>
      </c>
    </row>
    <row r="588" spans="1:8">
      <c r="A588" t="s">
        <v>1499</v>
      </c>
      <c r="B588" t="s">
        <v>48</v>
      </c>
      <c r="C588" s="1">
        <v>44991</v>
      </c>
      <c r="D588" s="1" t="str">
        <f>PROPER(orders[[#This Row],[order_priority]])</f>
        <v>Express</v>
      </c>
      <c r="E588" t="s">
        <v>13318</v>
      </c>
      <c r="F588" t="str">
        <f>IFERROR(INDEX(customers[country], MATCH(orders[[#This Row],[customer_id]], customers[customer_id], 0)), "Unmapped")</f>
        <v>Poland</v>
      </c>
      <c r="G588" t="str">
        <f>IFERROR(INDEX(Region_Map[Region], MATCH(orders[[#This Row],[Customer_Country]], Region_Map[Country], 0)), "Unknown")</f>
        <v>Central Europe</v>
      </c>
      <c r="H588" t="s">
        <v>6949</v>
      </c>
    </row>
    <row r="589" spans="1:8">
      <c r="A589" t="s">
        <v>1500</v>
      </c>
      <c r="B589" t="s">
        <v>727</v>
      </c>
      <c r="C589" s="1">
        <v>44986</v>
      </c>
      <c r="D589" s="1" t="str">
        <f>PROPER(orders[[#This Row],[order_priority]])</f>
        <v>Same Day</v>
      </c>
      <c r="E589" t="s">
        <v>13322</v>
      </c>
      <c r="F589" t="str">
        <f>IFERROR(INDEX(customers[country], MATCH(orders[[#This Row],[customer_id]], customers[customer_id], 0)), "Unmapped")</f>
        <v>Sweden</v>
      </c>
      <c r="G589" t="str">
        <f>IFERROR(INDEX(Region_Map[Region], MATCH(orders[[#This Row],[Customer_Country]], Region_Map[Country], 0)), "Unknown")</f>
        <v>Nordics</v>
      </c>
      <c r="H589" t="s">
        <v>6949</v>
      </c>
    </row>
    <row r="590" spans="1:8">
      <c r="A590" t="s">
        <v>1501</v>
      </c>
      <c r="B590" t="s">
        <v>154</v>
      </c>
      <c r="C590" s="1">
        <v>45075</v>
      </c>
      <c r="D590" s="1" t="str">
        <f>PROPER(orders[[#This Row],[order_priority]])</f>
        <v>Standard</v>
      </c>
      <c r="E590" t="s">
        <v>13317</v>
      </c>
      <c r="F590" t="str">
        <f>IFERROR(INDEX(customers[country], MATCH(orders[[#This Row],[customer_id]], customers[customer_id], 0)), "Unmapped")</f>
        <v>Lithuania</v>
      </c>
      <c r="G590" t="str">
        <f>IFERROR(INDEX(Region_Map[Region], MATCH(orders[[#This Row],[Customer_Country]], Region_Map[Country], 0)), "Unknown")</f>
        <v>Baltics</v>
      </c>
      <c r="H590" t="s">
        <v>6949</v>
      </c>
    </row>
    <row r="591" spans="1:8">
      <c r="A591" t="s">
        <v>1502</v>
      </c>
      <c r="B591" t="s">
        <v>530</v>
      </c>
      <c r="C591" s="1">
        <v>45579</v>
      </c>
      <c r="D591" s="1" t="str">
        <f>PROPER(orders[[#This Row],[order_priority]])</f>
        <v>Express</v>
      </c>
      <c r="E591" t="s">
        <v>13318</v>
      </c>
      <c r="F591" t="str">
        <f>IFERROR(INDEX(customers[country], MATCH(orders[[#This Row],[customer_id]], customers[customer_id], 0)), "Unmapped")</f>
        <v>Denmark</v>
      </c>
      <c r="G591" t="str">
        <f>IFERROR(INDEX(Region_Map[Region], MATCH(orders[[#This Row],[Customer_Country]], Region_Map[Country], 0)), "Unknown")</f>
        <v>Nordics</v>
      </c>
      <c r="H591" t="s">
        <v>6949</v>
      </c>
    </row>
    <row r="592" spans="1:8">
      <c r="A592" t="s">
        <v>1503</v>
      </c>
      <c r="B592" t="s">
        <v>356</v>
      </c>
      <c r="C592" s="1">
        <v>45291</v>
      </c>
      <c r="D592" s="1" t="str">
        <f>PROPER(orders[[#This Row],[order_priority]])</f>
        <v>Same Day</v>
      </c>
      <c r="E592" t="s">
        <v>13322</v>
      </c>
      <c r="F592" t="str">
        <f>IFERROR(INDEX(customers[country], MATCH(orders[[#This Row],[customer_id]], customers[customer_id], 0)), "Unmapped")</f>
        <v>Netherlands</v>
      </c>
      <c r="G592" t="str">
        <f>IFERROR(INDEX(Region_Map[Region], MATCH(orders[[#This Row],[Customer_Country]], Region_Map[Country], 0)), "Unknown")</f>
        <v>Central Europe</v>
      </c>
      <c r="H592" t="s">
        <v>6949</v>
      </c>
    </row>
    <row r="593" spans="1:8">
      <c r="A593" t="s">
        <v>1504</v>
      </c>
      <c r="B593" t="s">
        <v>849</v>
      </c>
      <c r="C593" s="1">
        <v>45205</v>
      </c>
      <c r="D593" s="1" t="str">
        <f>PROPER(orders[[#This Row],[order_priority]])</f>
        <v>Express</v>
      </c>
      <c r="E593" t="s">
        <v>13318</v>
      </c>
      <c r="F593" t="str">
        <f>IFERROR(INDEX(customers[country], MATCH(orders[[#This Row],[customer_id]], customers[customer_id], 0)), "Unmapped")</f>
        <v>Lithuania</v>
      </c>
      <c r="G593" t="str">
        <f>IFERROR(INDEX(Region_Map[Region], MATCH(orders[[#This Row],[Customer_Country]], Region_Map[Country], 0)), "Unknown")</f>
        <v>Baltics</v>
      </c>
      <c r="H593" t="s">
        <v>6949</v>
      </c>
    </row>
    <row r="594" spans="1:8">
      <c r="A594" t="s">
        <v>1505</v>
      </c>
      <c r="B594" t="s">
        <v>213</v>
      </c>
      <c r="C594" s="1">
        <v>45481</v>
      </c>
      <c r="D594" s="1" t="str">
        <f>PROPER(orders[[#This Row],[order_priority]])</f>
        <v>Express</v>
      </c>
      <c r="E594" t="s">
        <v>13326</v>
      </c>
      <c r="F594" t="str">
        <f>IFERROR(INDEX(customers[country], MATCH(orders[[#This Row],[customer_id]], customers[customer_id], 0)), "Unmapped")</f>
        <v>Denmark</v>
      </c>
      <c r="G594" t="str">
        <f>IFERROR(INDEX(Region_Map[Region], MATCH(orders[[#This Row],[Customer_Country]], Region_Map[Country], 0)), "Unknown")</f>
        <v>Nordics</v>
      </c>
      <c r="H594" t="s">
        <v>6949</v>
      </c>
    </row>
    <row r="595" spans="1:8">
      <c r="A595" t="s">
        <v>1506</v>
      </c>
      <c r="B595" t="s">
        <v>201</v>
      </c>
      <c r="C595" s="1">
        <v>45590</v>
      </c>
      <c r="D595" s="1" t="str">
        <f>PROPER(orders[[#This Row],[order_priority]])</f>
        <v>Express</v>
      </c>
      <c r="E595" t="s">
        <v>13318</v>
      </c>
      <c r="F595" t="str">
        <f>IFERROR(INDEX(customers[country], MATCH(orders[[#This Row],[customer_id]], customers[customer_id], 0)), "Unmapped")</f>
        <v>Estonia</v>
      </c>
      <c r="G595" t="str">
        <f>IFERROR(INDEX(Region_Map[Region], MATCH(orders[[#This Row],[Customer_Country]], Region_Map[Country], 0)), "Unknown")</f>
        <v>Baltics</v>
      </c>
      <c r="H595" t="s">
        <v>6949</v>
      </c>
    </row>
    <row r="596" spans="1:8">
      <c r="A596" t="s">
        <v>1507</v>
      </c>
      <c r="B596" t="s">
        <v>24</v>
      </c>
      <c r="C596" s="1">
        <v>45111</v>
      </c>
      <c r="D596" s="1" t="str">
        <f>PROPER(orders[[#This Row],[order_priority]])</f>
        <v>Economy</v>
      </c>
      <c r="E596" t="s">
        <v>13316</v>
      </c>
      <c r="F596" t="str">
        <f>IFERROR(INDEX(customers[country], MATCH(orders[[#This Row],[customer_id]], customers[customer_id], 0)), "Unmapped")</f>
        <v>Sweden</v>
      </c>
      <c r="G596" t="str">
        <f>IFERROR(INDEX(Region_Map[Region], MATCH(orders[[#This Row],[Customer_Country]], Region_Map[Country], 0)), "Unknown")</f>
        <v>Nordics</v>
      </c>
      <c r="H596" t="s">
        <v>6949</v>
      </c>
    </row>
    <row r="597" spans="1:8">
      <c r="A597" t="s">
        <v>1508</v>
      </c>
      <c r="B597" t="s">
        <v>38</v>
      </c>
      <c r="C597" s="1">
        <v>45142</v>
      </c>
      <c r="D597" s="1" t="str">
        <f>PROPER(orders[[#This Row],[order_priority]])</f>
        <v>Same Day</v>
      </c>
      <c r="E597" t="s">
        <v>13321</v>
      </c>
      <c r="F597" t="str">
        <f>IFERROR(INDEX(customers[country], MATCH(orders[[#This Row],[customer_id]], customers[customer_id], 0)), "Unmapped")</f>
        <v>Lithuania</v>
      </c>
      <c r="G597" t="str">
        <f>IFERROR(INDEX(Region_Map[Region], MATCH(orders[[#This Row],[Customer_Country]], Region_Map[Country], 0)), "Unknown")</f>
        <v>Baltics</v>
      </c>
      <c r="H597" t="s">
        <v>6949</v>
      </c>
    </row>
    <row r="598" spans="1:8">
      <c r="A598" t="s">
        <v>1509</v>
      </c>
      <c r="B598" t="s">
        <v>431</v>
      </c>
      <c r="C598" s="1">
        <v>45044</v>
      </c>
      <c r="D598" s="1" t="str">
        <f>PROPER(orders[[#This Row],[order_priority]])</f>
        <v>Economy</v>
      </c>
      <c r="E598" t="s">
        <v>13316</v>
      </c>
      <c r="F598" t="str">
        <f>IFERROR(INDEX(customers[country], MATCH(orders[[#This Row],[customer_id]], customers[customer_id], 0)), "Unmapped")</f>
        <v>Sweden</v>
      </c>
      <c r="G598" t="str">
        <f>IFERROR(INDEX(Region_Map[Region], MATCH(orders[[#This Row],[Customer_Country]], Region_Map[Country], 0)), "Unknown")</f>
        <v>Nordics</v>
      </c>
      <c r="H598" t="s">
        <v>6949</v>
      </c>
    </row>
    <row r="599" spans="1:8">
      <c r="A599" t="s">
        <v>1510</v>
      </c>
      <c r="B599" t="s">
        <v>650</v>
      </c>
      <c r="C599" s="1">
        <v>45071</v>
      </c>
      <c r="D599" s="1" t="str">
        <f>PROPER(orders[[#This Row],[order_priority]])</f>
        <v>Express</v>
      </c>
      <c r="E599" t="s">
        <v>13318</v>
      </c>
      <c r="F599" t="str">
        <f>IFERROR(INDEX(customers[country], MATCH(orders[[#This Row],[customer_id]], customers[customer_id], 0)), "Unmapped")</f>
        <v>Poland</v>
      </c>
      <c r="G599" t="str">
        <f>IFERROR(INDEX(Region_Map[Region], MATCH(orders[[#This Row],[Customer_Country]], Region_Map[Country], 0)), "Unknown")</f>
        <v>Central Europe</v>
      </c>
      <c r="H599" t="s">
        <v>6949</v>
      </c>
    </row>
    <row r="600" spans="1:8">
      <c r="A600" t="s">
        <v>1511</v>
      </c>
      <c r="B600" t="s">
        <v>207</v>
      </c>
      <c r="C600" s="1">
        <v>45273</v>
      </c>
      <c r="D600" s="1" t="str">
        <f>PROPER(orders[[#This Row],[order_priority]])</f>
        <v>Same Day</v>
      </c>
      <c r="E600" t="s">
        <v>13322</v>
      </c>
      <c r="F600" t="str">
        <f>IFERROR(INDEX(customers[country], MATCH(orders[[#This Row],[customer_id]], customers[customer_id], 0)), "Unmapped")</f>
        <v>Poland</v>
      </c>
      <c r="G600" t="str">
        <f>IFERROR(INDEX(Region_Map[Region], MATCH(orders[[#This Row],[Customer_Country]], Region_Map[Country], 0)), "Unknown")</f>
        <v>Central Europe</v>
      </c>
      <c r="H600" t="s">
        <v>6949</v>
      </c>
    </row>
    <row r="601" spans="1:8">
      <c r="A601" t="s">
        <v>1512</v>
      </c>
      <c r="B601" t="s">
        <v>882</v>
      </c>
      <c r="C601" s="1">
        <v>45455</v>
      </c>
      <c r="D601" s="1" t="str">
        <f>PROPER(orders[[#This Row],[order_priority]])</f>
        <v>Standard</v>
      </c>
      <c r="E601" t="s">
        <v>13317</v>
      </c>
      <c r="F601" t="str">
        <f>IFERROR(INDEX(customers[country], MATCH(orders[[#This Row],[customer_id]], customers[customer_id], 0)), "Unmapped")</f>
        <v>Netherlands</v>
      </c>
      <c r="G601" t="str">
        <f>IFERROR(INDEX(Region_Map[Region], MATCH(orders[[#This Row],[Customer_Country]], Region_Map[Country], 0)), "Unknown")</f>
        <v>Central Europe</v>
      </c>
      <c r="H601" t="s">
        <v>6949</v>
      </c>
    </row>
    <row r="602" spans="1:8">
      <c r="A602" t="s">
        <v>1513</v>
      </c>
      <c r="B602" t="s">
        <v>455</v>
      </c>
      <c r="C602" s="1">
        <v>45610</v>
      </c>
      <c r="D602" s="1" t="str">
        <f>PROPER(orders[[#This Row],[order_priority]])</f>
        <v>Economy</v>
      </c>
      <c r="E602" t="s">
        <v>13316</v>
      </c>
      <c r="F602" t="str">
        <f>IFERROR(INDEX(customers[country], MATCH(orders[[#This Row],[customer_id]], customers[customer_id], 0)), "Unmapped")</f>
        <v>Poland</v>
      </c>
      <c r="G602" t="str">
        <f>IFERROR(INDEX(Region_Map[Region], MATCH(orders[[#This Row],[Customer_Country]], Region_Map[Country], 0)), "Unknown")</f>
        <v>Central Europe</v>
      </c>
      <c r="H602" t="s">
        <v>6949</v>
      </c>
    </row>
    <row r="603" spans="1:8">
      <c r="A603" t="s">
        <v>1514</v>
      </c>
      <c r="B603" t="s">
        <v>124</v>
      </c>
      <c r="C603" s="1">
        <v>45429</v>
      </c>
      <c r="D603" s="1" t="str">
        <f>PROPER(orders[[#This Row],[order_priority]])</f>
        <v>Express</v>
      </c>
      <c r="E603" t="s">
        <v>13320</v>
      </c>
      <c r="F603" t="str">
        <f>IFERROR(INDEX(customers[country], MATCH(orders[[#This Row],[customer_id]], customers[customer_id], 0)), "Unmapped")</f>
        <v>Lithuania</v>
      </c>
      <c r="G603" t="str">
        <f>IFERROR(INDEX(Region_Map[Region], MATCH(orders[[#This Row],[Customer_Country]], Region_Map[Country], 0)), "Unknown")</f>
        <v>Baltics</v>
      </c>
      <c r="H603" t="s">
        <v>6949</v>
      </c>
    </row>
    <row r="604" spans="1:8">
      <c r="A604" t="s">
        <v>1515</v>
      </c>
      <c r="B604" t="s">
        <v>175</v>
      </c>
      <c r="C604" s="1">
        <v>45346</v>
      </c>
      <c r="D604" s="1" t="str">
        <f>PROPER(orders[[#This Row],[order_priority]])</f>
        <v>Same Day</v>
      </c>
      <c r="E604" t="s">
        <v>13324</v>
      </c>
      <c r="F604" t="str">
        <f>IFERROR(INDEX(customers[country], MATCH(orders[[#This Row],[customer_id]], customers[customer_id], 0)), "Unmapped")</f>
        <v>Sweden</v>
      </c>
      <c r="G604" t="str">
        <f>IFERROR(INDEX(Region_Map[Region], MATCH(orders[[#This Row],[Customer_Country]], Region_Map[Country], 0)), "Unknown")</f>
        <v>Nordics</v>
      </c>
      <c r="H604" t="s">
        <v>6949</v>
      </c>
    </row>
    <row r="605" spans="1:8">
      <c r="A605" t="s">
        <v>1516</v>
      </c>
      <c r="B605" t="s">
        <v>386</v>
      </c>
      <c r="C605" s="1">
        <v>44982</v>
      </c>
      <c r="D605" s="1" t="str">
        <f>PROPER(orders[[#This Row],[order_priority]])</f>
        <v>Economy</v>
      </c>
      <c r="E605" t="s">
        <v>13316</v>
      </c>
      <c r="F605" t="str">
        <f>IFERROR(INDEX(customers[country], MATCH(orders[[#This Row],[customer_id]], customers[customer_id], 0)), "Unmapped")</f>
        <v>Germany</v>
      </c>
      <c r="G605" t="str">
        <f>IFERROR(INDEX(Region_Map[Region], MATCH(orders[[#This Row],[Customer_Country]], Region_Map[Country], 0)), "Unknown")</f>
        <v>Central Europe</v>
      </c>
      <c r="H605" t="s">
        <v>6949</v>
      </c>
    </row>
    <row r="606" spans="1:8">
      <c r="A606" t="s">
        <v>1517</v>
      </c>
      <c r="B606" t="s">
        <v>136</v>
      </c>
      <c r="C606" s="1">
        <v>45198</v>
      </c>
      <c r="D606" s="1" t="str">
        <f>PROPER(orders[[#This Row],[order_priority]])</f>
        <v>Standard</v>
      </c>
      <c r="E606" t="s">
        <v>13317</v>
      </c>
      <c r="F606" t="str">
        <f>IFERROR(INDEX(customers[country], MATCH(orders[[#This Row],[customer_id]], customers[customer_id], 0)), "Unmapped")</f>
        <v>Sweden</v>
      </c>
      <c r="G606" t="str">
        <f>IFERROR(INDEX(Region_Map[Region], MATCH(orders[[#This Row],[Customer_Country]], Region_Map[Country], 0)), "Unknown")</f>
        <v>Nordics</v>
      </c>
      <c r="H606" t="s">
        <v>6949</v>
      </c>
    </row>
    <row r="607" spans="1:8">
      <c r="A607" t="s">
        <v>1518</v>
      </c>
      <c r="B607" t="s">
        <v>374</v>
      </c>
      <c r="C607" s="1">
        <v>45387</v>
      </c>
      <c r="D607" s="1" t="str">
        <f>PROPER(orders[[#This Row],[order_priority]])</f>
        <v>Standard</v>
      </c>
      <c r="E607" t="s">
        <v>13317</v>
      </c>
      <c r="F607" t="str">
        <f>IFERROR(INDEX(customers[country], MATCH(orders[[#This Row],[customer_id]], customers[customer_id], 0)), "Unmapped")</f>
        <v>Estonia</v>
      </c>
      <c r="G607" t="str">
        <f>IFERROR(INDEX(Region_Map[Region], MATCH(orders[[#This Row],[Customer_Country]], Region_Map[Country], 0)), "Unknown")</f>
        <v>Baltics</v>
      </c>
      <c r="H607" t="s">
        <v>6949</v>
      </c>
    </row>
    <row r="608" spans="1:8">
      <c r="A608" t="s">
        <v>1519</v>
      </c>
      <c r="B608" t="s">
        <v>84</v>
      </c>
      <c r="C608" s="1">
        <v>45241</v>
      </c>
      <c r="D608" s="1" t="str">
        <f>PROPER(orders[[#This Row],[order_priority]])</f>
        <v>Express</v>
      </c>
      <c r="E608" t="s">
        <v>13318</v>
      </c>
      <c r="F608" t="str">
        <f>IFERROR(INDEX(customers[country], MATCH(orders[[#This Row],[customer_id]], customers[customer_id], 0)), "Unmapped")</f>
        <v>Lithuania</v>
      </c>
      <c r="G608" t="str">
        <f>IFERROR(INDEX(Region_Map[Region], MATCH(orders[[#This Row],[Customer_Country]], Region_Map[Country], 0)), "Unknown")</f>
        <v>Baltics</v>
      </c>
      <c r="H608" t="s">
        <v>6949</v>
      </c>
    </row>
    <row r="609" spans="1:8">
      <c r="A609" t="s">
        <v>1520</v>
      </c>
      <c r="B609" t="s">
        <v>398</v>
      </c>
      <c r="C609" s="1">
        <v>45471</v>
      </c>
      <c r="D609" s="1" t="str">
        <f>PROPER(orders[[#This Row],[order_priority]])</f>
        <v>Express</v>
      </c>
      <c r="E609" t="s">
        <v>13318</v>
      </c>
      <c r="F609" t="str">
        <f>IFERROR(INDEX(customers[country], MATCH(orders[[#This Row],[customer_id]], customers[customer_id], 0)), "Unmapped")</f>
        <v>Sweden</v>
      </c>
      <c r="G609" t="str">
        <f>IFERROR(INDEX(Region_Map[Region], MATCH(orders[[#This Row],[Customer_Country]], Region_Map[Country], 0)), "Unknown")</f>
        <v>Nordics</v>
      </c>
      <c r="H609" t="s">
        <v>6949</v>
      </c>
    </row>
    <row r="610" spans="1:8">
      <c r="A610" t="s">
        <v>1521</v>
      </c>
      <c r="B610" t="s">
        <v>515</v>
      </c>
      <c r="C610" s="1">
        <v>45439</v>
      </c>
      <c r="D610" s="1" t="str">
        <f>PROPER(orders[[#This Row],[order_priority]])</f>
        <v>Express</v>
      </c>
      <c r="E610" t="s">
        <v>13318</v>
      </c>
      <c r="F610" t="str">
        <f>IFERROR(INDEX(customers[country], MATCH(orders[[#This Row],[customer_id]], customers[customer_id], 0)), "Unmapped")</f>
        <v>Latvia</v>
      </c>
      <c r="G610" t="str">
        <f>IFERROR(INDEX(Region_Map[Region], MATCH(orders[[#This Row],[Customer_Country]], Region_Map[Country], 0)), "Unknown")</f>
        <v>Baltics</v>
      </c>
      <c r="H610" t="s">
        <v>6949</v>
      </c>
    </row>
    <row r="611" spans="1:8">
      <c r="A611" t="s">
        <v>1522</v>
      </c>
      <c r="B611" t="s">
        <v>142</v>
      </c>
      <c r="C611" s="1">
        <v>45320</v>
      </c>
      <c r="D611" s="1" t="str">
        <f>PROPER(orders[[#This Row],[order_priority]])</f>
        <v>Same Day</v>
      </c>
      <c r="E611" t="s">
        <v>13322</v>
      </c>
      <c r="F611" t="str">
        <f>IFERROR(INDEX(customers[country], MATCH(orders[[#This Row],[customer_id]], customers[customer_id], 0)), "Unmapped")</f>
        <v>Estonia</v>
      </c>
      <c r="G611" t="str">
        <f>IFERROR(INDEX(Region_Map[Region], MATCH(orders[[#This Row],[Customer_Country]], Region_Map[Country], 0)), "Unknown")</f>
        <v>Baltics</v>
      </c>
      <c r="H611" t="s">
        <v>6949</v>
      </c>
    </row>
    <row r="612" spans="1:8">
      <c r="A612" t="s">
        <v>1523</v>
      </c>
      <c r="B612" t="s">
        <v>365</v>
      </c>
      <c r="C612" s="1">
        <v>45044</v>
      </c>
      <c r="D612" s="1" t="str">
        <f>PROPER(orders[[#This Row],[order_priority]])</f>
        <v>Standard</v>
      </c>
      <c r="E612" t="s">
        <v>13317</v>
      </c>
      <c r="F612" t="str">
        <f>IFERROR(INDEX(customers[country], MATCH(orders[[#This Row],[customer_id]], customers[customer_id], 0)), "Unmapped")</f>
        <v>Poland</v>
      </c>
      <c r="G612" t="str">
        <f>IFERROR(INDEX(Region_Map[Region], MATCH(orders[[#This Row],[Customer_Country]], Region_Map[Country], 0)), "Unknown")</f>
        <v>Central Europe</v>
      </c>
      <c r="H612" t="s">
        <v>6949</v>
      </c>
    </row>
    <row r="613" spans="1:8">
      <c r="A613" t="s">
        <v>1524</v>
      </c>
      <c r="B613" t="s">
        <v>548</v>
      </c>
      <c r="C613" s="1">
        <v>45489</v>
      </c>
      <c r="D613" s="1" t="str">
        <f>PROPER(orders[[#This Row],[order_priority]])</f>
        <v>Express</v>
      </c>
      <c r="E613" t="s">
        <v>13318</v>
      </c>
      <c r="F613" t="str">
        <f>IFERROR(INDEX(customers[country], MATCH(orders[[#This Row],[customer_id]], customers[customer_id], 0)), "Unmapped")</f>
        <v>Sweden</v>
      </c>
      <c r="G613" t="str">
        <f>IFERROR(INDEX(Region_Map[Region], MATCH(orders[[#This Row],[Customer_Country]], Region_Map[Country], 0)), "Unknown")</f>
        <v>Nordics</v>
      </c>
      <c r="H613" t="s">
        <v>6949</v>
      </c>
    </row>
    <row r="614" spans="1:8">
      <c r="A614" t="s">
        <v>1525</v>
      </c>
      <c r="B614" t="s">
        <v>154</v>
      </c>
      <c r="C614" s="1">
        <v>45154</v>
      </c>
      <c r="D614" s="1" t="str">
        <f>PROPER(orders[[#This Row],[order_priority]])</f>
        <v>Same Day</v>
      </c>
      <c r="E614" t="s">
        <v>13322</v>
      </c>
      <c r="F614" t="str">
        <f>IFERROR(INDEX(customers[country], MATCH(orders[[#This Row],[customer_id]], customers[customer_id], 0)), "Unmapped")</f>
        <v>Lithuania</v>
      </c>
      <c r="G614" t="str">
        <f>IFERROR(INDEX(Region_Map[Region], MATCH(orders[[#This Row],[Customer_Country]], Region_Map[Country], 0)), "Unknown")</f>
        <v>Baltics</v>
      </c>
      <c r="H614" t="s">
        <v>6949</v>
      </c>
    </row>
    <row r="615" spans="1:8">
      <c r="A615" t="s">
        <v>1526</v>
      </c>
      <c r="B615" t="s">
        <v>602</v>
      </c>
      <c r="C615" s="1">
        <v>45036</v>
      </c>
      <c r="D615" s="1" t="str">
        <f>PROPER(orders[[#This Row],[order_priority]])</f>
        <v>Same Day</v>
      </c>
      <c r="E615" t="s">
        <v>13322</v>
      </c>
      <c r="F615" t="str">
        <f>IFERROR(INDEX(customers[country], MATCH(orders[[#This Row],[customer_id]], customers[customer_id], 0)), "Unmapped")</f>
        <v>Poland</v>
      </c>
      <c r="G615" t="str">
        <f>IFERROR(INDEX(Region_Map[Region], MATCH(orders[[#This Row],[Customer_Country]], Region_Map[Country], 0)), "Unknown")</f>
        <v>Central Europe</v>
      </c>
      <c r="H615" t="s">
        <v>6949</v>
      </c>
    </row>
    <row r="616" spans="1:8">
      <c r="A616" t="s">
        <v>1527</v>
      </c>
      <c r="B616" t="s">
        <v>461</v>
      </c>
      <c r="C616" s="1">
        <v>45431</v>
      </c>
      <c r="D616" s="1" t="str">
        <f>PROPER(orders[[#This Row],[order_priority]])</f>
        <v>Express</v>
      </c>
      <c r="E616" t="s">
        <v>13318</v>
      </c>
      <c r="F616" t="str">
        <f>IFERROR(INDEX(customers[country], MATCH(orders[[#This Row],[customer_id]], customers[customer_id], 0)), "Unmapped")</f>
        <v>Latvia</v>
      </c>
      <c r="G616" t="str">
        <f>IFERROR(INDEX(Region_Map[Region], MATCH(orders[[#This Row],[Customer_Country]], Region_Map[Country], 0)), "Unknown")</f>
        <v>Baltics</v>
      </c>
      <c r="H616" t="s">
        <v>6949</v>
      </c>
    </row>
    <row r="617" spans="1:8">
      <c r="A617" t="s">
        <v>1528</v>
      </c>
      <c r="B617" t="s">
        <v>160</v>
      </c>
      <c r="C617" s="1">
        <v>45075</v>
      </c>
      <c r="D617" s="1" t="str">
        <f>PROPER(orders[[#This Row],[order_priority]])</f>
        <v>Express</v>
      </c>
      <c r="E617" t="s">
        <v>13318</v>
      </c>
      <c r="F617" t="str">
        <f>IFERROR(INDEX(customers[country], MATCH(orders[[#This Row],[customer_id]], customers[customer_id], 0)), "Unmapped")</f>
        <v>Denmark</v>
      </c>
      <c r="G617" t="str">
        <f>IFERROR(INDEX(Region_Map[Region], MATCH(orders[[#This Row],[Customer_Country]], Region_Map[Country], 0)), "Unknown")</f>
        <v>Nordics</v>
      </c>
      <c r="H617" t="s">
        <v>6949</v>
      </c>
    </row>
    <row r="618" spans="1:8">
      <c r="A618" t="s">
        <v>1529</v>
      </c>
      <c r="B618" t="s">
        <v>482</v>
      </c>
      <c r="C618" s="1">
        <v>45590</v>
      </c>
      <c r="D618" s="1" t="str">
        <f>PROPER(orders[[#This Row],[order_priority]])</f>
        <v>Express</v>
      </c>
      <c r="E618" t="s">
        <v>13318</v>
      </c>
      <c r="F618" t="str">
        <f>IFERROR(INDEX(customers[country], MATCH(orders[[#This Row],[customer_id]], customers[customer_id], 0)), "Unmapped")</f>
        <v>Finland</v>
      </c>
      <c r="G618" t="str">
        <f>IFERROR(INDEX(Region_Map[Region], MATCH(orders[[#This Row],[Customer_Country]], Region_Map[Country], 0)), "Unknown")</f>
        <v>Nordics</v>
      </c>
      <c r="H618" t="s">
        <v>6949</v>
      </c>
    </row>
    <row r="619" spans="1:8">
      <c r="A619" t="s">
        <v>1530</v>
      </c>
      <c r="B619" t="s">
        <v>181</v>
      </c>
      <c r="C619" s="1">
        <v>45330</v>
      </c>
      <c r="D619" s="1" t="str">
        <f>PROPER(orders[[#This Row],[order_priority]])</f>
        <v>Economy</v>
      </c>
      <c r="E619" t="s">
        <v>13316</v>
      </c>
      <c r="F619" t="str">
        <f>IFERROR(INDEX(customers[country], MATCH(orders[[#This Row],[customer_id]], customers[customer_id], 0)), "Unmapped")</f>
        <v>Netherlands</v>
      </c>
      <c r="G619" t="str">
        <f>IFERROR(INDEX(Region_Map[Region], MATCH(orders[[#This Row],[Customer_Country]], Region_Map[Country], 0)), "Unknown")</f>
        <v>Central Europe</v>
      </c>
      <c r="H619" t="s">
        <v>6949</v>
      </c>
    </row>
    <row r="620" spans="1:8">
      <c r="A620" t="s">
        <v>1531</v>
      </c>
      <c r="B620" t="s">
        <v>772</v>
      </c>
      <c r="C620" s="1">
        <v>45014</v>
      </c>
      <c r="D620" s="1" t="str">
        <f>PROPER(orders[[#This Row],[order_priority]])</f>
        <v>Express</v>
      </c>
      <c r="E620" t="s">
        <v>13320</v>
      </c>
      <c r="F620" t="str">
        <f>IFERROR(INDEX(customers[country], MATCH(orders[[#This Row],[customer_id]], customers[customer_id], 0)), "Unmapped")</f>
        <v>Estonia</v>
      </c>
      <c r="G620" t="str">
        <f>IFERROR(INDEX(Region_Map[Region], MATCH(orders[[#This Row],[Customer_Country]], Region_Map[Country], 0)), "Unknown")</f>
        <v>Baltics</v>
      </c>
      <c r="H620" t="s">
        <v>6949</v>
      </c>
    </row>
    <row r="621" spans="1:8">
      <c r="A621" t="s">
        <v>1532</v>
      </c>
      <c r="B621" t="s">
        <v>362</v>
      </c>
      <c r="C621" s="1">
        <v>45233</v>
      </c>
      <c r="D621" s="1" t="str">
        <f>PROPER(orders[[#This Row],[order_priority]])</f>
        <v>Economy</v>
      </c>
      <c r="E621" t="s">
        <v>13328</v>
      </c>
      <c r="F621" t="str">
        <f>IFERROR(INDEX(customers[country], MATCH(orders[[#This Row],[customer_id]], customers[customer_id], 0)), "Unmapped")</f>
        <v>Denmark</v>
      </c>
      <c r="G621" t="str">
        <f>IFERROR(INDEX(Region_Map[Region], MATCH(orders[[#This Row],[Customer_Country]], Region_Map[Country], 0)), "Unknown")</f>
        <v>Nordics</v>
      </c>
      <c r="H621" t="s">
        <v>6949</v>
      </c>
    </row>
    <row r="622" spans="1:8">
      <c r="A622" t="s">
        <v>1533</v>
      </c>
      <c r="B622" t="s">
        <v>151</v>
      </c>
      <c r="C622" s="1">
        <v>45427</v>
      </c>
      <c r="D622" s="1" t="str">
        <f>PROPER(orders[[#This Row],[order_priority]])</f>
        <v>Standard</v>
      </c>
      <c r="E622" t="s">
        <v>13317</v>
      </c>
      <c r="F622" t="str">
        <f>IFERROR(INDEX(customers[country], MATCH(orders[[#This Row],[customer_id]], customers[customer_id], 0)), "Unmapped")</f>
        <v>Sweden</v>
      </c>
      <c r="G622" t="str">
        <f>IFERROR(INDEX(Region_Map[Region], MATCH(orders[[#This Row],[Customer_Country]], Region_Map[Country], 0)), "Unknown")</f>
        <v>Nordics</v>
      </c>
      <c r="H622" t="s">
        <v>6949</v>
      </c>
    </row>
    <row r="623" spans="1:8">
      <c r="A623" t="s">
        <v>1534</v>
      </c>
      <c r="B623" t="s">
        <v>470</v>
      </c>
      <c r="C623" s="1">
        <v>45019</v>
      </c>
      <c r="D623" s="1" t="str">
        <f>PROPER(orders[[#This Row],[order_priority]])</f>
        <v>Same Day</v>
      </c>
      <c r="E623" t="s">
        <v>13322</v>
      </c>
      <c r="F623" t="str">
        <f>IFERROR(INDEX(customers[country], MATCH(orders[[#This Row],[customer_id]], customers[customer_id], 0)), "Unmapped")</f>
        <v>Norway</v>
      </c>
      <c r="G623" t="str">
        <f>IFERROR(INDEX(Region_Map[Region], MATCH(orders[[#This Row],[Customer_Country]], Region_Map[Country], 0)), "Unknown")</f>
        <v>Nordics</v>
      </c>
      <c r="H623" t="s">
        <v>6949</v>
      </c>
    </row>
    <row r="624" spans="1:8">
      <c r="A624" t="s">
        <v>1535</v>
      </c>
      <c r="B624" t="s">
        <v>151</v>
      </c>
      <c r="C624" s="1">
        <v>45170</v>
      </c>
      <c r="D624" s="1" t="str">
        <f>PROPER(orders[[#This Row],[order_priority]])</f>
        <v>Same Day</v>
      </c>
      <c r="E624" t="s">
        <v>13322</v>
      </c>
      <c r="F624" t="str">
        <f>IFERROR(INDEX(customers[country], MATCH(orders[[#This Row],[customer_id]], customers[customer_id], 0)), "Unmapped")</f>
        <v>Sweden</v>
      </c>
      <c r="G624" t="str">
        <f>IFERROR(INDEX(Region_Map[Region], MATCH(orders[[#This Row],[Customer_Country]], Region_Map[Country], 0)), "Unknown")</f>
        <v>Nordics</v>
      </c>
      <c r="H624" t="s">
        <v>6949</v>
      </c>
    </row>
    <row r="625" spans="1:8">
      <c r="A625" t="s">
        <v>1536</v>
      </c>
      <c r="B625" t="s">
        <v>279</v>
      </c>
      <c r="C625" s="1">
        <v>45456</v>
      </c>
      <c r="D625" s="1" t="str">
        <f>PROPER(orders[[#This Row],[order_priority]])</f>
        <v>Economy</v>
      </c>
      <c r="E625" t="s">
        <v>13316</v>
      </c>
      <c r="F625" t="str">
        <f>IFERROR(INDEX(customers[country], MATCH(orders[[#This Row],[customer_id]], customers[customer_id], 0)), "Unmapped")</f>
        <v>Germany</v>
      </c>
      <c r="G625" t="str">
        <f>IFERROR(INDEX(Region_Map[Region], MATCH(orders[[#This Row],[Customer_Country]], Region_Map[Country], 0)), "Unknown")</f>
        <v>Central Europe</v>
      </c>
      <c r="H625" t="s">
        <v>6949</v>
      </c>
    </row>
    <row r="626" spans="1:8">
      <c r="A626" t="s">
        <v>1537</v>
      </c>
      <c r="B626" t="s">
        <v>837</v>
      </c>
      <c r="C626" s="1">
        <v>45442</v>
      </c>
      <c r="D626" s="1" t="str">
        <f>PROPER(orders[[#This Row],[order_priority]])</f>
        <v>Same Day</v>
      </c>
      <c r="E626" t="s">
        <v>13322</v>
      </c>
      <c r="F626" t="str">
        <f>IFERROR(INDEX(customers[country], MATCH(orders[[#This Row],[customer_id]], customers[customer_id], 0)), "Unmapped")</f>
        <v>Poland</v>
      </c>
      <c r="G626" t="str">
        <f>IFERROR(INDEX(Region_Map[Region], MATCH(orders[[#This Row],[Customer_Country]], Region_Map[Country], 0)), "Unknown")</f>
        <v>Central Europe</v>
      </c>
      <c r="H626" t="s">
        <v>6949</v>
      </c>
    </row>
    <row r="627" spans="1:8">
      <c r="A627" t="s">
        <v>1538</v>
      </c>
      <c r="B627" t="s">
        <v>524</v>
      </c>
      <c r="C627" s="1">
        <v>44968</v>
      </c>
      <c r="D627" s="1" t="str">
        <f>PROPER(orders[[#This Row],[order_priority]])</f>
        <v>Economy</v>
      </c>
      <c r="E627" t="s">
        <v>13325</v>
      </c>
      <c r="F627" t="str">
        <f>IFERROR(INDEX(customers[country], MATCH(orders[[#This Row],[customer_id]], customers[customer_id], 0)), "Unmapped")</f>
        <v>Norway</v>
      </c>
      <c r="G627" t="str">
        <f>IFERROR(INDEX(Region_Map[Region], MATCH(orders[[#This Row],[Customer_Country]], Region_Map[Country], 0)), "Unknown")</f>
        <v>Nordics</v>
      </c>
      <c r="H627" t="s">
        <v>6949</v>
      </c>
    </row>
    <row r="628" spans="1:8">
      <c r="A628" t="s">
        <v>1539</v>
      </c>
      <c r="B628" t="s">
        <v>347</v>
      </c>
      <c r="C628" s="1">
        <v>45150</v>
      </c>
      <c r="D628" s="1" t="str">
        <f>PROPER(orders[[#This Row],[order_priority]])</f>
        <v>Same Day</v>
      </c>
      <c r="E628" t="s">
        <v>13321</v>
      </c>
      <c r="F628" t="str">
        <f>IFERROR(INDEX(customers[country], MATCH(orders[[#This Row],[customer_id]], customers[customer_id], 0)), "Unmapped")</f>
        <v>Norway</v>
      </c>
      <c r="G628" t="str">
        <f>IFERROR(INDEX(Region_Map[Region], MATCH(orders[[#This Row],[Customer_Country]], Region_Map[Country], 0)), "Unknown")</f>
        <v>Nordics</v>
      </c>
      <c r="H628" t="s">
        <v>6949</v>
      </c>
    </row>
    <row r="629" spans="1:8">
      <c r="A629" t="s">
        <v>1540</v>
      </c>
      <c r="B629" t="s">
        <v>151</v>
      </c>
      <c r="C629" s="1">
        <v>45056</v>
      </c>
      <c r="D629" s="1" t="str">
        <f>PROPER(orders[[#This Row],[order_priority]])</f>
        <v>Express</v>
      </c>
      <c r="E629" t="s">
        <v>13318</v>
      </c>
      <c r="F629" t="str">
        <f>IFERROR(INDEX(customers[country], MATCH(orders[[#This Row],[customer_id]], customers[customer_id], 0)), "Unmapped")</f>
        <v>Sweden</v>
      </c>
      <c r="G629" t="str">
        <f>IFERROR(INDEX(Region_Map[Region], MATCH(orders[[#This Row],[Customer_Country]], Region_Map[Country], 0)), "Unknown")</f>
        <v>Nordics</v>
      </c>
      <c r="H629" t="s">
        <v>6949</v>
      </c>
    </row>
    <row r="630" spans="1:8">
      <c r="A630" t="s">
        <v>1541</v>
      </c>
      <c r="B630" t="s">
        <v>124</v>
      </c>
      <c r="C630" s="1">
        <v>45045</v>
      </c>
      <c r="D630" s="1" t="str">
        <f>PROPER(orders[[#This Row],[order_priority]])</f>
        <v>Express</v>
      </c>
      <c r="E630" t="s">
        <v>13320</v>
      </c>
      <c r="F630" t="str">
        <f>IFERROR(INDEX(customers[country], MATCH(orders[[#This Row],[customer_id]], customers[customer_id], 0)), "Unmapped")</f>
        <v>Lithuania</v>
      </c>
      <c r="G630" t="str">
        <f>IFERROR(INDEX(Region_Map[Region], MATCH(orders[[#This Row],[Customer_Country]], Region_Map[Country], 0)), "Unknown")</f>
        <v>Baltics</v>
      </c>
      <c r="H630" t="s">
        <v>6949</v>
      </c>
    </row>
    <row r="631" spans="1:8">
      <c r="A631" t="s">
        <v>1542</v>
      </c>
      <c r="B631" t="s">
        <v>371</v>
      </c>
      <c r="C631" s="1">
        <v>45278</v>
      </c>
      <c r="D631" s="1" t="str">
        <f>PROPER(orders[[#This Row],[order_priority]])</f>
        <v>Standard</v>
      </c>
      <c r="E631" t="s">
        <v>13317</v>
      </c>
      <c r="F631" t="str">
        <f>IFERROR(INDEX(customers[country], MATCH(orders[[#This Row],[customer_id]], customers[customer_id], 0)), "Unmapped")</f>
        <v>Germany</v>
      </c>
      <c r="G631" t="str">
        <f>IFERROR(INDEX(Region_Map[Region], MATCH(orders[[#This Row],[Customer_Country]], Region_Map[Country], 0)), "Unknown")</f>
        <v>Central Europe</v>
      </c>
      <c r="H631" t="s">
        <v>6949</v>
      </c>
    </row>
    <row r="632" spans="1:8">
      <c r="A632" t="s">
        <v>1543</v>
      </c>
      <c r="B632" t="s">
        <v>790</v>
      </c>
      <c r="C632" s="1">
        <v>44942</v>
      </c>
      <c r="D632" s="1" t="str">
        <f>PROPER(orders[[#This Row],[order_priority]])</f>
        <v>Economy</v>
      </c>
      <c r="E632" t="s">
        <v>13316</v>
      </c>
      <c r="F632" t="str">
        <f>IFERROR(INDEX(customers[country], MATCH(orders[[#This Row],[customer_id]], customers[customer_id], 0)), "Unmapped")</f>
        <v>Germany</v>
      </c>
      <c r="G632" t="str">
        <f>IFERROR(INDEX(Region_Map[Region], MATCH(orders[[#This Row],[Customer_Country]], Region_Map[Country], 0)), "Unknown")</f>
        <v>Central Europe</v>
      </c>
      <c r="H632" t="s">
        <v>6949</v>
      </c>
    </row>
    <row r="633" spans="1:8">
      <c r="A633" t="s">
        <v>1544</v>
      </c>
      <c r="B633" t="s">
        <v>760</v>
      </c>
      <c r="C633" s="1">
        <v>45493</v>
      </c>
      <c r="D633" s="1" t="str">
        <f>PROPER(orders[[#This Row],[order_priority]])</f>
        <v>Same Day</v>
      </c>
      <c r="E633" t="s">
        <v>13322</v>
      </c>
      <c r="F633" t="str">
        <f>IFERROR(INDEX(customers[country], MATCH(orders[[#This Row],[customer_id]], customers[customer_id], 0)), "Unmapped")</f>
        <v>Poland</v>
      </c>
      <c r="G633" t="str">
        <f>IFERROR(INDEX(Region_Map[Region], MATCH(orders[[#This Row],[Customer_Country]], Region_Map[Country], 0)), "Unknown")</f>
        <v>Central Europe</v>
      </c>
      <c r="H633" t="s">
        <v>6949</v>
      </c>
    </row>
    <row r="634" spans="1:8">
      <c r="A634" t="s">
        <v>1545</v>
      </c>
      <c r="B634" t="s">
        <v>434</v>
      </c>
      <c r="C634" s="1">
        <v>45349</v>
      </c>
      <c r="D634" s="1" t="str">
        <f>PROPER(orders[[#This Row],[order_priority]])</f>
        <v>Same Day</v>
      </c>
      <c r="E634" t="s">
        <v>13322</v>
      </c>
      <c r="F634" t="str">
        <f>IFERROR(INDEX(customers[country], MATCH(orders[[#This Row],[customer_id]], customers[customer_id], 0)), "Unmapped")</f>
        <v>Lithuania</v>
      </c>
      <c r="G634" t="str">
        <f>IFERROR(INDEX(Region_Map[Region], MATCH(orders[[#This Row],[Customer_Country]], Region_Map[Country], 0)), "Unknown")</f>
        <v>Baltics</v>
      </c>
      <c r="H634" t="s">
        <v>6949</v>
      </c>
    </row>
    <row r="635" spans="1:8">
      <c r="A635" t="s">
        <v>1546</v>
      </c>
      <c r="B635" t="s">
        <v>38</v>
      </c>
      <c r="C635" s="1">
        <v>45167</v>
      </c>
      <c r="D635" s="1" t="str">
        <f>PROPER(orders[[#This Row],[order_priority]])</f>
        <v>Standard</v>
      </c>
      <c r="E635" t="s">
        <v>13317</v>
      </c>
      <c r="F635" t="str">
        <f>IFERROR(INDEX(customers[country], MATCH(orders[[#This Row],[customer_id]], customers[customer_id], 0)), "Unmapped")</f>
        <v>Lithuania</v>
      </c>
      <c r="G635" t="str">
        <f>IFERROR(INDEX(Region_Map[Region], MATCH(orders[[#This Row],[Customer_Country]], Region_Map[Country], 0)), "Unknown")</f>
        <v>Baltics</v>
      </c>
      <c r="H635" t="s">
        <v>6949</v>
      </c>
    </row>
    <row r="636" spans="1:8">
      <c r="A636" t="s">
        <v>1547</v>
      </c>
      <c r="B636" t="s">
        <v>638</v>
      </c>
      <c r="C636" s="1">
        <v>45626</v>
      </c>
      <c r="D636" s="1" t="str">
        <f>PROPER(orders[[#This Row],[order_priority]])</f>
        <v>Economy</v>
      </c>
      <c r="E636" t="s">
        <v>13316</v>
      </c>
      <c r="F636" t="str">
        <f>IFERROR(INDEX(customers[country], MATCH(orders[[#This Row],[customer_id]], customers[customer_id], 0)), "Unmapped")</f>
        <v>Germany</v>
      </c>
      <c r="G636" t="str">
        <f>IFERROR(INDEX(Region_Map[Region], MATCH(orders[[#This Row],[Customer_Country]], Region_Map[Country], 0)), "Unknown")</f>
        <v>Central Europe</v>
      </c>
      <c r="H636" t="s">
        <v>6949</v>
      </c>
    </row>
    <row r="637" spans="1:8">
      <c r="A637" t="s">
        <v>1548</v>
      </c>
      <c r="B637" t="s">
        <v>894</v>
      </c>
      <c r="C637" s="1">
        <v>45199</v>
      </c>
      <c r="D637" s="1" t="str">
        <f>PROPER(orders[[#This Row],[order_priority]])</f>
        <v>Standard</v>
      </c>
      <c r="E637" t="s">
        <v>13317</v>
      </c>
      <c r="F637" t="str">
        <f>IFERROR(INDEX(customers[country], MATCH(orders[[#This Row],[customer_id]], customers[customer_id], 0)), "Unmapped")</f>
        <v>Poland</v>
      </c>
      <c r="G637" t="str">
        <f>IFERROR(INDEX(Region_Map[Region], MATCH(orders[[#This Row],[Customer_Country]], Region_Map[Country], 0)), "Unknown")</f>
        <v>Central Europe</v>
      </c>
      <c r="H637" t="s">
        <v>6949</v>
      </c>
    </row>
    <row r="638" spans="1:8">
      <c r="A638" t="s">
        <v>1549</v>
      </c>
      <c r="B638" t="s">
        <v>311</v>
      </c>
      <c r="C638" s="1">
        <v>45599</v>
      </c>
      <c r="D638" s="1" t="str">
        <f>PROPER(orders[[#This Row],[order_priority]])</f>
        <v>Standard</v>
      </c>
      <c r="E638" t="s">
        <v>13317</v>
      </c>
      <c r="F638" t="str">
        <f>IFERROR(INDEX(customers[country], MATCH(orders[[#This Row],[customer_id]], customers[customer_id], 0)), "Unmapped")</f>
        <v>Netherlands</v>
      </c>
      <c r="G638" t="str">
        <f>IFERROR(INDEX(Region_Map[Region], MATCH(orders[[#This Row],[Customer_Country]], Region_Map[Country], 0)), "Unknown")</f>
        <v>Central Europe</v>
      </c>
      <c r="H638" t="s">
        <v>6949</v>
      </c>
    </row>
    <row r="639" spans="1:8">
      <c r="A639" t="s">
        <v>1550</v>
      </c>
      <c r="B639" t="s">
        <v>608</v>
      </c>
      <c r="C639" s="1">
        <v>45436</v>
      </c>
      <c r="D639" s="1" t="str">
        <f>PROPER(orders[[#This Row],[order_priority]])</f>
        <v>Express</v>
      </c>
      <c r="E639" t="s">
        <v>13318</v>
      </c>
      <c r="F639" t="str">
        <f>IFERROR(INDEX(customers[country], MATCH(orders[[#This Row],[customer_id]], customers[customer_id], 0)), "Unmapped")</f>
        <v>Finland</v>
      </c>
      <c r="G639" t="str">
        <f>IFERROR(INDEX(Region_Map[Region], MATCH(orders[[#This Row],[Customer_Country]], Region_Map[Country], 0)), "Unknown")</f>
        <v>Nordics</v>
      </c>
      <c r="H639" t="s">
        <v>6949</v>
      </c>
    </row>
    <row r="640" spans="1:8">
      <c r="A640" t="s">
        <v>1551</v>
      </c>
      <c r="B640" t="s">
        <v>84</v>
      </c>
      <c r="C640" s="1">
        <v>45521</v>
      </c>
      <c r="D640" s="1" t="str">
        <f>PROPER(orders[[#This Row],[order_priority]])</f>
        <v>Same Day</v>
      </c>
      <c r="E640" t="s">
        <v>13322</v>
      </c>
      <c r="F640" t="str">
        <f>IFERROR(INDEX(customers[country], MATCH(orders[[#This Row],[customer_id]], customers[customer_id], 0)), "Unmapped")</f>
        <v>Lithuania</v>
      </c>
      <c r="G640" t="str">
        <f>IFERROR(INDEX(Region_Map[Region], MATCH(orders[[#This Row],[Customer_Country]], Region_Map[Country], 0)), "Unknown")</f>
        <v>Baltics</v>
      </c>
      <c r="H640" t="s">
        <v>6949</v>
      </c>
    </row>
    <row r="641" spans="1:8">
      <c r="A641" t="s">
        <v>1552</v>
      </c>
      <c r="B641" t="s">
        <v>136</v>
      </c>
      <c r="C641" s="1">
        <v>45222</v>
      </c>
      <c r="D641" s="1" t="str">
        <f>PROPER(orders[[#This Row],[order_priority]])</f>
        <v>Standard</v>
      </c>
      <c r="E641" t="s">
        <v>13317</v>
      </c>
      <c r="F641" t="str">
        <f>IFERROR(INDEX(customers[country], MATCH(orders[[#This Row],[customer_id]], customers[customer_id], 0)), "Unmapped")</f>
        <v>Sweden</v>
      </c>
      <c r="G641" t="str">
        <f>IFERROR(INDEX(Region_Map[Region], MATCH(orders[[#This Row],[Customer_Country]], Region_Map[Country], 0)), "Unknown")</f>
        <v>Nordics</v>
      </c>
      <c r="H641" t="s">
        <v>6949</v>
      </c>
    </row>
    <row r="642" spans="1:8">
      <c r="A642" t="s">
        <v>1553</v>
      </c>
      <c r="B642" t="s">
        <v>198</v>
      </c>
      <c r="C642" s="1">
        <v>45508</v>
      </c>
      <c r="D642" s="1" t="str">
        <f>PROPER(orders[[#This Row],[order_priority]])</f>
        <v>Same Day</v>
      </c>
      <c r="E642" t="s">
        <v>13322</v>
      </c>
      <c r="F642" t="str">
        <f>IFERROR(INDEX(customers[country], MATCH(orders[[#This Row],[customer_id]], customers[customer_id], 0)), "Unmapped")</f>
        <v>Poland</v>
      </c>
      <c r="G642" t="str">
        <f>IFERROR(INDEX(Region_Map[Region], MATCH(orders[[#This Row],[Customer_Country]], Region_Map[Country], 0)), "Unknown")</f>
        <v>Central Europe</v>
      </c>
      <c r="H642" t="s">
        <v>6949</v>
      </c>
    </row>
    <row r="643" spans="1:8">
      <c r="A643" t="s">
        <v>1554</v>
      </c>
      <c r="B643" t="s">
        <v>377</v>
      </c>
      <c r="C643" s="1">
        <v>45210</v>
      </c>
      <c r="D643" s="1" t="str">
        <f>PROPER(orders[[#This Row],[order_priority]])</f>
        <v>Same Day</v>
      </c>
      <c r="E643" t="s">
        <v>13324</v>
      </c>
      <c r="F643" t="str">
        <f>IFERROR(INDEX(customers[country], MATCH(orders[[#This Row],[customer_id]], customers[customer_id], 0)), "Unmapped")</f>
        <v>Denmark</v>
      </c>
      <c r="G643" t="str">
        <f>IFERROR(INDEX(Region_Map[Region], MATCH(orders[[#This Row],[Customer_Country]], Region_Map[Country], 0)), "Unknown")</f>
        <v>Nordics</v>
      </c>
      <c r="H643" t="s">
        <v>6949</v>
      </c>
    </row>
    <row r="644" spans="1:8">
      <c r="A644" t="s">
        <v>1555</v>
      </c>
      <c r="B644" t="s">
        <v>831</v>
      </c>
      <c r="C644" s="1">
        <v>45264</v>
      </c>
      <c r="D644" s="1" t="str">
        <f>PROPER(orders[[#This Row],[order_priority]])</f>
        <v>Standard</v>
      </c>
      <c r="E644" t="s">
        <v>13319</v>
      </c>
      <c r="F644" t="str">
        <f>IFERROR(INDEX(customers[country], MATCH(orders[[#This Row],[customer_id]], customers[customer_id], 0)), "Unmapped")</f>
        <v>Norway</v>
      </c>
      <c r="G644" t="str">
        <f>IFERROR(INDEX(Region_Map[Region], MATCH(orders[[#This Row],[Customer_Country]], Region_Map[Country], 0)), "Unknown")</f>
        <v>Nordics</v>
      </c>
      <c r="H644" t="s">
        <v>6949</v>
      </c>
    </row>
    <row r="645" spans="1:8">
      <c r="A645" t="s">
        <v>1556</v>
      </c>
      <c r="B645" t="s">
        <v>38</v>
      </c>
      <c r="C645" s="1">
        <v>45285</v>
      </c>
      <c r="D645" s="1" t="str">
        <f>PROPER(orders[[#This Row],[order_priority]])</f>
        <v>Express</v>
      </c>
      <c r="E645" t="s">
        <v>13318</v>
      </c>
      <c r="F645" t="str">
        <f>IFERROR(INDEX(customers[country], MATCH(orders[[#This Row],[customer_id]], customers[customer_id], 0)), "Unmapped")</f>
        <v>Lithuania</v>
      </c>
      <c r="G645" t="str">
        <f>IFERROR(INDEX(Region_Map[Region], MATCH(orders[[#This Row],[Customer_Country]], Region_Map[Country], 0)), "Unknown")</f>
        <v>Baltics</v>
      </c>
      <c r="H645" t="s">
        <v>6949</v>
      </c>
    </row>
    <row r="646" spans="1:8">
      <c r="A646" t="s">
        <v>1557</v>
      </c>
      <c r="B646" t="s">
        <v>419</v>
      </c>
      <c r="C646" s="1">
        <v>45032</v>
      </c>
      <c r="D646" s="1" t="str">
        <f>PROPER(orders[[#This Row],[order_priority]])</f>
        <v>Standard</v>
      </c>
      <c r="E646" t="s">
        <v>13317</v>
      </c>
      <c r="F646" t="str">
        <f>IFERROR(INDEX(customers[country], MATCH(orders[[#This Row],[customer_id]], customers[customer_id], 0)), "Unmapped")</f>
        <v>Estonia</v>
      </c>
      <c r="G646" t="str">
        <f>IFERROR(INDEX(Region_Map[Region], MATCH(orders[[#This Row],[Customer_Country]], Region_Map[Country], 0)), "Unknown")</f>
        <v>Baltics</v>
      </c>
      <c r="H646" t="s">
        <v>6949</v>
      </c>
    </row>
    <row r="647" spans="1:8">
      <c r="A647" t="s">
        <v>1558</v>
      </c>
      <c r="B647" t="s">
        <v>252</v>
      </c>
      <c r="C647" s="1">
        <v>45373</v>
      </c>
      <c r="D647" s="1" t="str">
        <f>PROPER(orders[[#This Row],[order_priority]])</f>
        <v>Economy</v>
      </c>
      <c r="E647" t="s">
        <v>13316</v>
      </c>
      <c r="F647" t="str">
        <f>IFERROR(INDEX(customers[country], MATCH(orders[[#This Row],[customer_id]], customers[customer_id], 0)), "Unmapped")</f>
        <v>Lithuania</v>
      </c>
      <c r="G647" t="str">
        <f>IFERROR(INDEX(Region_Map[Region], MATCH(orders[[#This Row],[Customer_Country]], Region_Map[Country], 0)), "Unknown")</f>
        <v>Baltics</v>
      </c>
      <c r="H647" t="s">
        <v>6949</v>
      </c>
    </row>
    <row r="648" spans="1:8">
      <c r="A648" t="s">
        <v>1559</v>
      </c>
      <c r="B648" t="s">
        <v>34</v>
      </c>
      <c r="C648" s="1">
        <v>45476</v>
      </c>
      <c r="D648" s="1" t="str">
        <f>PROPER(orders[[#This Row],[order_priority]])</f>
        <v>Express</v>
      </c>
      <c r="E648" t="s">
        <v>13326</v>
      </c>
      <c r="F648" t="str">
        <f>IFERROR(INDEX(customers[country], MATCH(orders[[#This Row],[customer_id]], customers[customer_id], 0)), "Unmapped")</f>
        <v>Sweden</v>
      </c>
      <c r="G648" t="str">
        <f>IFERROR(INDEX(Region_Map[Region], MATCH(orders[[#This Row],[Customer_Country]], Region_Map[Country], 0)), "Unknown")</f>
        <v>Nordics</v>
      </c>
      <c r="H648" t="s">
        <v>6949</v>
      </c>
    </row>
    <row r="649" spans="1:8">
      <c r="A649" t="s">
        <v>1560</v>
      </c>
      <c r="B649" t="s">
        <v>48</v>
      </c>
      <c r="C649" s="1">
        <v>45246</v>
      </c>
      <c r="D649" s="1" t="str">
        <f>PROPER(orders[[#This Row],[order_priority]])</f>
        <v>Economy</v>
      </c>
      <c r="E649" t="s">
        <v>13316</v>
      </c>
      <c r="F649" t="str">
        <f>IFERROR(INDEX(customers[country], MATCH(orders[[#This Row],[customer_id]], customers[customer_id], 0)), "Unmapped")</f>
        <v>Poland</v>
      </c>
      <c r="G649" t="str">
        <f>IFERROR(INDEX(Region_Map[Region], MATCH(orders[[#This Row],[Customer_Country]], Region_Map[Country], 0)), "Unknown")</f>
        <v>Central Europe</v>
      </c>
      <c r="H649" t="s">
        <v>6949</v>
      </c>
    </row>
    <row r="650" spans="1:8">
      <c r="A650" t="s">
        <v>1561</v>
      </c>
      <c r="B650" t="s">
        <v>213</v>
      </c>
      <c r="C650" s="1">
        <v>45537</v>
      </c>
      <c r="D650" s="1" t="str">
        <f>PROPER(orders[[#This Row],[order_priority]])</f>
        <v>Standard</v>
      </c>
      <c r="E650" t="s">
        <v>13317</v>
      </c>
      <c r="F650" t="str">
        <f>IFERROR(INDEX(customers[country], MATCH(orders[[#This Row],[customer_id]], customers[customer_id], 0)), "Unmapped")</f>
        <v>Denmark</v>
      </c>
      <c r="G650" t="str">
        <f>IFERROR(INDEX(Region_Map[Region], MATCH(orders[[#This Row],[Customer_Country]], Region_Map[Country], 0)), "Unknown")</f>
        <v>Nordics</v>
      </c>
      <c r="H650" t="s">
        <v>6949</v>
      </c>
    </row>
    <row r="651" spans="1:8">
      <c r="A651" t="s">
        <v>1562</v>
      </c>
      <c r="B651" t="s">
        <v>347</v>
      </c>
      <c r="C651" s="1">
        <v>45307</v>
      </c>
      <c r="D651" s="1" t="str">
        <f>PROPER(orders[[#This Row],[order_priority]])</f>
        <v>Economy</v>
      </c>
      <c r="E651" t="s">
        <v>13316</v>
      </c>
      <c r="F651" t="str">
        <f>IFERROR(INDEX(customers[country], MATCH(orders[[#This Row],[customer_id]], customers[customer_id], 0)), "Unmapped")</f>
        <v>Norway</v>
      </c>
      <c r="G651" t="str">
        <f>IFERROR(INDEX(Region_Map[Region], MATCH(orders[[#This Row],[Customer_Country]], Region_Map[Country], 0)), "Unknown")</f>
        <v>Nordics</v>
      </c>
      <c r="H651" t="s">
        <v>6949</v>
      </c>
    </row>
    <row r="652" spans="1:8">
      <c r="A652" t="s">
        <v>1563</v>
      </c>
      <c r="B652" t="s">
        <v>428</v>
      </c>
      <c r="C652" s="1">
        <v>45319</v>
      </c>
      <c r="D652" s="1" t="str">
        <f>PROPER(orders[[#This Row],[order_priority]])</f>
        <v>Express</v>
      </c>
      <c r="E652" t="s">
        <v>13318</v>
      </c>
      <c r="F652" t="str">
        <f>IFERROR(INDEX(customers[country], MATCH(orders[[#This Row],[customer_id]], customers[customer_id], 0)), "Unmapped")</f>
        <v>Finland</v>
      </c>
      <c r="G652" t="str">
        <f>IFERROR(INDEX(Region_Map[Region], MATCH(orders[[#This Row],[Customer_Country]], Region_Map[Country], 0)), "Unknown")</f>
        <v>Nordics</v>
      </c>
      <c r="H652" t="s">
        <v>6949</v>
      </c>
    </row>
    <row r="653" spans="1:8">
      <c r="A653" t="s">
        <v>1564</v>
      </c>
      <c r="B653" t="s">
        <v>694</v>
      </c>
      <c r="C653" s="1">
        <v>45390</v>
      </c>
      <c r="D653" s="1" t="str">
        <f>PROPER(orders[[#This Row],[order_priority]])</f>
        <v>Same Day</v>
      </c>
      <c r="E653" t="s">
        <v>13322</v>
      </c>
      <c r="F653" t="str">
        <f>IFERROR(INDEX(customers[country], MATCH(orders[[#This Row],[customer_id]], customers[customer_id], 0)), "Unmapped")</f>
        <v>Lithuania</v>
      </c>
      <c r="G653" t="str">
        <f>IFERROR(INDEX(Region_Map[Region], MATCH(orders[[#This Row],[Customer_Country]], Region_Map[Country], 0)), "Unknown")</f>
        <v>Baltics</v>
      </c>
      <c r="H653" t="s">
        <v>6949</v>
      </c>
    </row>
    <row r="654" spans="1:8">
      <c r="A654" t="s">
        <v>1565</v>
      </c>
      <c r="B654" t="s">
        <v>793</v>
      </c>
      <c r="C654" s="1">
        <v>44987</v>
      </c>
      <c r="D654" s="1" t="str">
        <f>PROPER(orders[[#This Row],[order_priority]])</f>
        <v>Same Day</v>
      </c>
      <c r="E654" t="s">
        <v>13322</v>
      </c>
      <c r="F654" t="str">
        <f>IFERROR(INDEX(customers[country], MATCH(orders[[#This Row],[customer_id]], customers[customer_id], 0)), "Unmapped")</f>
        <v>Sweden</v>
      </c>
      <c r="G654" t="str">
        <f>IFERROR(INDEX(Region_Map[Region], MATCH(orders[[#This Row],[Customer_Country]], Region_Map[Country], 0)), "Unknown")</f>
        <v>Nordics</v>
      </c>
      <c r="H654" t="s">
        <v>6949</v>
      </c>
    </row>
    <row r="655" spans="1:8">
      <c r="A655" t="s">
        <v>1566</v>
      </c>
      <c r="B655" t="s">
        <v>876</v>
      </c>
      <c r="C655" s="1">
        <v>45433</v>
      </c>
      <c r="D655" s="1" t="str">
        <f>PROPER(orders[[#This Row],[order_priority]])</f>
        <v>Standard</v>
      </c>
      <c r="E655" t="s">
        <v>13323</v>
      </c>
      <c r="F655" t="str">
        <f>IFERROR(INDEX(customers[country], MATCH(orders[[#This Row],[customer_id]], customers[customer_id], 0)), "Unmapped")</f>
        <v>Estonia</v>
      </c>
      <c r="G655" t="str">
        <f>IFERROR(INDEX(Region_Map[Region], MATCH(orders[[#This Row],[Customer_Country]], Region_Map[Country], 0)), "Unknown")</f>
        <v>Baltics</v>
      </c>
      <c r="H655" t="s">
        <v>6949</v>
      </c>
    </row>
    <row r="656" spans="1:8">
      <c r="A656" t="s">
        <v>1567</v>
      </c>
      <c r="B656" t="s">
        <v>569</v>
      </c>
      <c r="C656" s="1">
        <v>45584</v>
      </c>
      <c r="D656" s="1" t="str">
        <f>PROPER(orders[[#This Row],[order_priority]])</f>
        <v>Express</v>
      </c>
      <c r="E656" t="s">
        <v>13320</v>
      </c>
      <c r="F656" t="str">
        <f>IFERROR(INDEX(customers[country], MATCH(orders[[#This Row],[customer_id]], customers[customer_id], 0)), "Unmapped")</f>
        <v>Estonia</v>
      </c>
      <c r="G656" t="str">
        <f>IFERROR(INDEX(Region_Map[Region], MATCH(orders[[#This Row],[Customer_Country]], Region_Map[Country], 0)), "Unknown")</f>
        <v>Baltics</v>
      </c>
      <c r="H656" t="s">
        <v>6949</v>
      </c>
    </row>
    <row r="657" spans="1:8">
      <c r="A657" t="s">
        <v>1568</v>
      </c>
      <c r="B657" t="s">
        <v>664</v>
      </c>
      <c r="C657" s="1">
        <v>45143</v>
      </c>
      <c r="D657" s="1" t="str">
        <f>PROPER(orders[[#This Row],[order_priority]])</f>
        <v>Standard</v>
      </c>
      <c r="E657" t="s">
        <v>13317</v>
      </c>
      <c r="F657" t="str">
        <f>IFERROR(INDEX(customers[country], MATCH(orders[[#This Row],[customer_id]], customers[customer_id], 0)), "Unmapped")</f>
        <v>Latvia</v>
      </c>
      <c r="G657" t="str">
        <f>IFERROR(INDEX(Region_Map[Region], MATCH(orders[[#This Row],[Customer_Country]], Region_Map[Country], 0)), "Unknown")</f>
        <v>Baltics</v>
      </c>
      <c r="H657" t="s">
        <v>6949</v>
      </c>
    </row>
    <row r="658" spans="1:8">
      <c r="A658" t="s">
        <v>1569</v>
      </c>
      <c r="B658" t="s">
        <v>58</v>
      </c>
      <c r="C658" s="1">
        <v>45569</v>
      </c>
      <c r="D658" s="1" t="str">
        <f>PROPER(orders[[#This Row],[order_priority]])</f>
        <v>Express</v>
      </c>
      <c r="E658" t="s">
        <v>13318</v>
      </c>
      <c r="F658" t="str">
        <f>IFERROR(INDEX(customers[country], MATCH(orders[[#This Row],[customer_id]], customers[customer_id], 0)), "Unmapped")</f>
        <v>Germany</v>
      </c>
      <c r="G658" t="str">
        <f>IFERROR(INDEX(Region_Map[Region], MATCH(orders[[#This Row],[Customer_Country]], Region_Map[Country], 0)), "Unknown")</f>
        <v>Central Europe</v>
      </c>
      <c r="H658" t="s">
        <v>6949</v>
      </c>
    </row>
    <row r="659" spans="1:8">
      <c r="A659" t="s">
        <v>1570</v>
      </c>
      <c r="B659" t="s">
        <v>139</v>
      </c>
      <c r="C659" s="1">
        <v>45466</v>
      </c>
      <c r="D659" s="1" t="str">
        <f>PROPER(orders[[#This Row],[order_priority]])</f>
        <v>Express</v>
      </c>
      <c r="E659" t="s">
        <v>13318</v>
      </c>
      <c r="F659" t="str">
        <f>IFERROR(INDEX(customers[country], MATCH(orders[[#This Row],[customer_id]], customers[customer_id], 0)), "Unmapped")</f>
        <v>Netherlands</v>
      </c>
      <c r="G659" t="str">
        <f>IFERROR(INDEX(Region_Map[Region], MATCH(orders[[#This Row],[Customer_Country]], Region_Map[Country], 0)), "Unknown")</f>
        <v>Central Europe</v>
      </c>
      <c r="H659" t="s">
        <v>6949</v>
      </c>
    </row>
    <row r="660" spans="1:8">
      <c r="A660" t="s">
        <v>1571</v>
      </c>
      <c r="B660" t="s">
        <v>338</v>
      </c>
      <c r="C660" s="1">
        <v>45105</v>
      </c>
      <c r="D660" s="1" t="str">
        <f>PROPER(orders[[#This Row],[order_priority]])</f>
        <v>Economy</v>
      </c>
      <c r="E660" t="s">
        <v>13316</v>
      </c>
      <c r="F660" t="str">
        <f>IFERROR(INDEX(customers[country], MATCH(orders[[#This Row],[customer_id]], customers[customer_id], 0)), "Unmapped")</f>
        <v>Denmark</v>
      </c>
      <c r="G660" t="str">
        <f>IFERROR(INDEX(Region_Map[Region], MATCH(orders[[#This Row],[Customer_Country]], Region_Map[Country], 0)), "Unknown")</f>
        <v>Nordics</v>
      </c>
      <c r="H660" t="s">
        <v>6949</v>
      </c>
    </row>
    <row r="661" spans="1:8">
      <c r="A661" t="s">
        <v>1572</v>
      </c>
      <c r="B661" t="s">
        <v>326</v>
      </c>
      <c r="C661" s="1">
        <v>45186</v>
      </c>
      <c r="D661" s="1" t="str">
        <f>PROPER(orders[[#This Row],[order_priority]])</f>
        <v>Express</v>
      </c>
      <c r="E661" t="s">
        <v>13318</v>
      </c>
      <c r="F661" t="str">
        <f>IFERROR(INDEX(customers[country], MATCH(orders[[#This Row],[customer_id]], customers[customer_id], 0)), "Unmapped")</f>
        <v>Lithuania</v>
      </c>
      <c r="G661" t="str">
        <f>IFERROR(INDEX(Region_Map[Region], MATCH(orders[[#This Row],[Customer_Country]], Region_Map[Country], 0)), "Unknown")</f>
        <v>Baltics</v>
      </c>
      <c r="H661" t="s">
        <v>6949</v>
      </c>
    </row>
    <row r="662" spans="1:8">
      <c r="A662" t="s">
        <v>1573</v>
      </c>
      <c r="B662" t="s">
        <v>166</v>
      </c>
      <c r="C662" s="1">
        <v>45431</v>
      </c>
      <c r="D662" s="1" t="str">
        <f>PROPER(orders[[#This Row],[order_priority]])</f>
        <v>Economy</v>
      </c>
      <c r="E662" t="s">
        <v>13316</v>
      </c>
      <c r="F662" t="str">
        <f>IFERROR(INDEX(customers[country], MATCH(orders[[#This Row],[customer_id]], customers[customer_id], 0)), "Unmapped")</f>
        <v>Denmark</v>
      </c>
      <c r="G662" t="str">
        <f>IFERROR(INDEX(Region_Map[Region], MATCH(orders[[#This Row],[Customer_Country]], Region_Map[Country], 0)), "Unknown")</f>
        <v>Nordics</v>
      </c>
      <c r="H662" t="s">
        <v>6949</v>
      </c>
    </row>
    <row r="663" spans="1:8">
      <c r="A663" t="s">
        <v>1574</v>
      </c>
      <c r="B663" t="s">
        <v>112</v>
      </c>
      <c r="C663" s="1">
        <v>45494</v>
      </c>
      <c r="D663" s="1" t="str">
        <f>PROPER(orders[[#This Row],[order_priority]])</f>
        <v>Standard</v>
      </c>
      <c r="E663" t="s">
        <v>13317</v>
      </c>
      <c r="F663" t="str">
        <f>IFERROR(INDEX(customers[country], MATCH(orders[[#This Row],[customer_id]], customers[customer_id], 0)), "Unmapped")</f>
        <v>Finland</v>
      </c>
      <c r="G663" t="str">
        <f>IFERROR(INDEX(Region_Map[Region], MATCH(orders[[#This Row],[Customer_Country]], Region_Map[Country], 0)), "Unknown")</f>
        <v>Nordics</v>
      </c>
      <c r="H663" t="s">
        <v>6949</v>
      </c>
    </row>
    <row r="664" spans="1:8">
      <c r="A664" t="s">
        <v>1575</v>
      </c>
      <c r="B664" t="s">
        <v>198</v>
      </c>
      <c r="C664" s="1">
        <v>45175</v>
      </c>
      <c r="D664" s="1" t="str">
        <f>PROPER(orders[[#This Row],[order_priority]])</f>
        <v>Same Day</v>
      </c>
      <c r="E664" t="s">
        <v>13322</v>
      </c>
      <c r="F664" t="str">
        <f>IFERROR(INDEX(customers[country], MATCH(orders[[#This Row],[customer_id]], customers[customer_id], 0)), "Unmapped")</f>
        <v>Poland</v>
      </c>
      <c r="G664" t="str">
        <f>IFERROR(INDEX(Region_Map[Region], MATCH(orders[[#This Row],[Customer_Country]], Region_Map[Country], 0)), "Unknown")</f>
        <v>Central Europe</v>
      </c>
      <c r="H664" t="s">
        <v>6949</v>
      </c>
    </row>
    <row r="665" spans="1:8">
      <c r="A665" t="s">
        <v>1576</v>
      </c>
      <c r="B665" t="s">
        <v>443</v>
      </c>
      <c r="C665" s="1">
        <v>44965</v>
      </c>
      <c r="D665" s="1" t="str">
        <f>PROPER(orders[[#This Row],[order_priority]])</f>
        <v>Same Day</v>
      </c>
      <c r="E665" t="s">
        <v>13322</v>
      </c>
      <c r="F665" t="str">
        <f>IFERROR(INDEX(customers[country], MATCH(orders[[#This Row],[customer_id]], customers[customer_id], 0)), "Unmapped")</f>
        <v>Estonia</v>
      </c>
      <c r="G665" t="str">
        <f>IFERROR(INDEX(Region_Map[Region], MATCH(orders[[#This Row],[Customer_Country]], Region_Map[Country], 0)), "Unknown")</f>
        <v>Baltics</v>
      </c>
      <c r="H665" t="s">
        <v>6949</v>
      </c>
    </row>
    <row r="666" spans="1:8">
      <c r="A666" t="s">
        <v>1577</v>
      </c>
      <c r="B666" t="s">
        <v>341</v>
      </c>
      <c r="C666" s="1">
        <v>45325</v>
      </c>
      <c r="D666" s="1" t="str">
        <f>PROPER(orders[[#This Row],[order_priority]])</f>
        <v>Economy</v>
      </c>
      <c r="E666" t="s">
        <v>13316</v>
      </c>
      <c r="F666" t="str">
        <f>IFERROR(INDEX(customers[country], MATCH(orders[[#This Row],[customer_id]], customers[customer_id], 0)), "Unmapped")</f>
        <v>Latvia</v>
      </c>
      <c r="G666" t="str">
        <f>IFERROR(INDEX(Region_Map[Region], MATCH(orders[[#This Row],[Customer_Country]], Region_Map[Country], 0)), "Unknown")</f>
        <v>Baltics</v>
      </c>
      <c r="H666" t="s">
        <v>6949</v>
      </c>
    </row>
    <row r="667" spans="1:8">
      <c r="A667" t="s">
        <v>1578</v>
      </c>
      <c r="B667" t="s">
        <v>694</v>
      </c>
      <c r="C667" s="1">
        <v>45313</v>
      </c>
      <c r="D667" s="1" t="str">
        <f>PROPER(orders[[#This Row],[order_priority]])</f>
        <v>Same Day</v>
      </c>
      <c r="E667" t="s">
        <v>13322</v>
      </c>
      <c r="F667" t="str">
        <f>IFERROR(INDEX(customers[country], MATCH(orders[[#This Row],[customer_id]], customers[customer_id], 0)), "Unmapped")</f>
        <v>Lithuania</v>
      </c>
      <c r="G667" t="str">
        <f>IFERROR(INDEX(Region_Map[Region], MATCH(orders[[#This Row],[Customer_Country]], Region_Map[Country], 0)), "Unknown")</f>
        <v>Baltics</v>
      </c>
      <c r="H667" t="s">
        <v>6949</v>
      </c>
    </row>
    <row r="668" spans="1:8">
      <c r="A668" t="s">
        <v>1579</v>
      </c>
      <c r="B668" t="s">
        <v>664</v>
      </c>
      <c r="C668" s="1">
        <v>45017</v>
      </c>
      <c r="D668" s="1" t="str">
        <f>PROPER(orders[[#This Row],[order_priority]])</f>
        <v>Standard</v>
      </c>
      <c r="E668" t="s">
        <v>13317</v>
      </c>
      <c r="F668" t="str">
        <f>IFERROR(INDEX(customers[country], MATCH(orders[[#This Row],[customer_id]], customers[customer_id], 0)), "Unmapped")</f>
        <v>Latvia</v>
      </c>
      <c r="G668" t="str">
        <f>IFERROR(INDEX(Region_Map[Region], MATCH(orders[[#This Row],[Customer_Country]], Region_Map[Country], 0)), "Unknown")</f>
        <v>Baltics</v>
      </c>
      <c r="H668" t="s">
        <v>6949</v>
      </c>
    </row>
    <row r="669" spans="1:8">
      <c r="A669" t="s">
        <v>1580</v>
      </c>
      <c r="B669" t="s">
        <v>261</v>
      </c>
      <c r="C669" s="1">
        <v>45429</v>
      </c>
      <c r="D669" s="1" t="str">
        <f>PROPER(orders[[#This Row],[order_priority]])</f>
        <v>Economy</v>
      </c>
      <c r="E669" t="s">
        <v>13316</v>
      </c>
      <c r="F669" t="str">
        <f>IFERROR(INDEX(customers[country], MATCH(orders[[#This Row],[customer_id]], customers[customer_id], 0)), "Unmapped")</f>
        <v>Germany</v>
      </c>
      <c r="G669" t="str">
        <f>IFERROR(INDEX(Region_Map[Region], MATCH(orders[[#This Row],[Customer_Country]], Region_Map[Country], 0)), "Unknown")</f>
        <v>Central Europe</v>
      </c>
      <c r="H669" t="s">
        <v>6949</v>
      </c>
    </row>
    <row r="670" spans="1:8">
      <c r="A670" t="s">
        <v>1581</v>
      </c>
      <c r="B670" t="s">
        <v>551</v>
      </c>
      <c r="C670" s="1">
        <v>45503</v>
      </c>
      <c r="D670" s="1" t="str">
        <f>PROPER(orders[[#This Row],[order_priority]])</f>
        <v>Express</v>
      </c>
      <c r="E670" t="s">
        <v>13318</v>
      </c>
      <c r="F670" t="str">
        <f>IFERROR(INDEX(customers[country], MATCH(orders[[#This Row],[customer_id]], customers[customer_id], 0)), "Unmapped")</f>
        <v>Latvia</v>
      </c>
      <c r="G670" t="str">
        <f>IFERROR(INDEX(Region_Map[Region], MATCH(orders[[#This Row],[Customer_Country]], Region_Map[Country], 0)), "Unknown")</f>
        <v>Baltics</v>
      </c>
      <c r="H670" t="s">
        <v>6949</v>
      </c>
    </row>
    <row r="671" spans="1:8">
      <c r="A671" t="s">
        <v>1582</v>
      </c>
      <c r="B671" t="s">
        <v>676</v>
      </c>
      <c r="C671" s="1">
        <v>45217</v>
      </c>
      <c r="D671" s="1" t="str">
        <f>PROPER(orders[[#This Row],[order_priority]])</f>
        <v>Economy</v>
      </c>
      <c r="E671" t="s">
        <v>13316</v>
      </c>
      <c r="F671" t="str">
        <f>IFERROR(INDEX(customers[country], MATCH(orders[[#This Row],[customer_id]], customers[customer_id], 0)), "Unmapped")</f>
        <v>Latvia</v>
      </c>
      <c r="G671" t="str">
        <f>IFERROR(INDEX(Region_Map[Region], MATCH(orders[[#This Row],[Customer_Country]], Region_Map[Country], 0)), "Unknown")</f>
        <v>Baltics</v>
      </c>
      <c r="H671" t="s">
        <v>6949</v>
      </c>
    </row>
    <row r="672" spans="1:8">
      <c r="A672" t="s">
        <v>1583</v>
      </c>
      <c r="B672" t="s">
        <v>724</v>
      </c>
      <c r="C672" s="1">
        <v>45351</v>
      </c>
      <c r="D672" s="1" t="str">
        <f>PROPER(orders[[#This Row],[order_priority]])</f>
        <v>Economy</v>
      </c>
      <c r="E672" t="s">
        <v>13316</v>
      </c>
      <c r="F672" t="str">
        <f>IFERROR(INDEX(customers[country], MATCH(orders[[#This Row],[customer_id]], customers[customer_id], 0)), "Unmapped")</f>
        <v>Denmark</v>
      </c>
      <c r="G672" t="str">
        <f>IFERROR(INDEX(Region_Map[Region], MATCH(orders[[#This Row],[Customer_Country]], Region_Map[Country], 0)), "Unknown")</f>
        <v>Nordics</v>
      </c>
      <c r="H672" t="s">
        <v>6949</v>
      </c>
    </row>
    <row r="673" spans="1:8">
      <c r="A673" t="s">
        <v>1584</v>
      </c>
      <c r="B673" t="s">
        <v>676</v>
      </c>
      <c r="C673" s="1">
        <v>45449</v>
      </c>
      <c r="D673" s="1" t="str">
        <f>PROPER(orders[[#This Row],[order_priority]])</f>
        <v>Economy</v>
      </c>
      <c r="E673" t="s">
        <v>13325</v>
      </c>
      <c r="F673" t="str">
        <f>IFERROR(INDEX(customers[country], MATCH(orders[[#This Row],[customer_id]], customers[customer_id], 0)), "Unmapped")</f>
        <v>Latvia</v>
      </c>
      <c r="G673" t="str">
        <f>IFERROR(INDEX(Region_Map[Region], MATCH(orders[[#This Row],[Customer_Country]], Region_Map[Country], 0)), "Unknown")</f>
        <v>Baltics</v>
      </c>
      <c r="H673" t="s">
        <v>6949</v>
      </c>
    </row>
    <row r="674" spans="1:8">
      <c r="A674" t="s">
        <v>1585</v>
      </c>
      <c r="B674" t="s">
        <v>837</v>
      </c>
      <c r="C674" s="1">
        <v>45443</v>
      </c>
      <c r="D674" s="1" t="str">
        <f>PROPER(orders[[#This Row],[order_priority]])</f>
        <v>Same Day</v>
      </c>
      <c r="E674" t="s">
        <v>13322</v>
      </c>
      <c r="F674" t="str">
        <f>IFERROR(INDEX(customers[country], MATCH(orders[[#This Row],[customer_id]], customers[customer_id], 0)), "Unmapped")</f>
        <v>Poland</v>
      </c>
      <c r="G674" t="str">
        <f>IFERROR(INDEX(Region_Map[Region], MATCH(orders[[#This Row],[Customer_Country]], Region_Map[Country], 0)), "Unknown")</f>
        <v>Central Europe</v>
      </c>
      <c r="H674" t="s">
        <v>6949</v>
      </c>
    </row>
    <row r="675" spans="1:8">
      <c r="A675" t="s">
        <v>1586</v>
      </c>
      <c r="B675" t="s">
        <v>225</v>
      </c>
      <c r="C675" s="1">
        <v>45245</v>
      </c>
      <c r="D675" s="1" t="str">
        <f>PROPER(orders[[#This Row],[order_priority]])</f>
        <v>Standard</v>
      </c>
      <c r="E675" t="s">
        <v>13317</v>
      </c>
      <c r="F675" t="str">
        <f>IFERROR(INDEX(customers[country], MATCH(orders[[#This Row],[customer_id]], customers[customer_id], 0)), "Unmapped")</f>
        <v>Poland</v>
      </c>
      <c r="G675" t="str">
        <f>IFERROR(INDEX(Region_Map[Region], MATCH(orders[[#This Row],[Customer_Country]], Region_Map[Country], 0)), "Unknown")</f>
        <v>Central Europe</v>
      </c>
      <c r="H675" t="s">
        <v>6949</v>
      </c>
    </row>
    <row r="676" spans="1:8">
      <c r="A676" t="s">
        <v>1587</v>
      </c>
      <c r="B676" t="s">
        <v>311</v>
      </c>
      <c r="C676" s="1">
        <v>45496</v>
      </c>
      <c r="D676" s="1" t="str">
        <f>PROPER(orders[[#This Row],[order_priority]])</f>
        <v>Economy</v>
      </c>
      <c r="E676" t="s">
        <v>13316</v>
      </c>
      <c r="F676" t="str">
        <f>IFERROR(INDEX(customers[country], MATCH(orders[[#This Row],[customer_id]], customers[customer_id], 0)), "Unmapped")</f>
        <v>Netherlands</v>
      </c>
      <c r="G676" t="str">
        <f>IFERROR(INDEX(Region_Map[Region], MATCH(orders[[#This Row],[Customer_Country]], Region_Map[Country], 0)), "Unknown")</f>
        <v>Central Europe</v>
      </c>
      <c r="H676" t="s">
        <v>6949</v>
      </c>
    </row>
    <row r="677" spans="1:8">
      <c r="A677" t="s">
        <v>1588</v>
      </c>
      <c r="B677" t="s">
        <v>425</v>
      </c>
      <c r="C677" s="1">
        <v>45414</v>
      </c>
      <c r="D677" s="1" t="str">
        <f>PROPER(orders[[#This Row],[order_priority]])</f>
        <v>Express</v>
      </c>
      <c r="E677" t="s">
        <v>13318</v>
      </c>
      <c r="F677" t="str">
        <f>IFERROR(INDEX(customers[country], MATCH(orders[[#This Row],[customer_id]], customers[customer_id], 0)), "Unmapped")</f>
        <v>Denmark</v>
      </c>
      <c r="G677" t="str">
        <f>IFERROR(INDEX(Region_Map[Region], MATCH(orders[[#This Row],[Customer_Country]], Region_Map[Country], 0)), "Unknown")</f>
        <v>Nordics</v>
      </c>
      <c r="H677" t="s">
        <v>6949</v>
      </c>
    </row>
    <row r="678" spans="1:8">
      <c r="A678" t="s">
        <v>1589</v>
      </c>
      <c r="B678" t="s">
        <v>154</v>
      </c>
      <c r="C678" s="1">
        <v>45461</v>
      </c>
      <c r="D678" s="1" t="str">
        <f>PROPER(orders[[#This Row],[order_priority]])</f>
        <v>Express</v>
      </c>
      <c r="E678" t="s">
        <v>13318</v>
      </c>
      <c r="F678" t="str">
        <f>IFERROR(INDEX(customers[country], MATCH(orders[[#This Row],[customer_id]], customers[customer_id], 0)), "Unmapped")</f>
        <v>Lithuania</v>
      </c>
      <c r="G678" t="str">
        <f>IFERROR(INDEX(Region_Map[Region], MATCH(orders[[#This Row],[Customer_Country]], Region_Map[Country], 0)), "Unknown")</f>
        <v>Baltics</v>
      </c>
      <c r="H678" t="s">
        <v>6949</v>
      </c>
    </row>
    <row r="679" spans="1:8">
      <c r="A679" t="s">
        <v>1590</v>
      </c>
      <c r="B679" t="s">
        <v>30</v>
      </c>
      <c r="C679" s="1">
        <v>45520</v>
      </c>
      <c r="D679" s="1" t="str">
        <f>PROPER(orders[[#This Row],[order_priority]])</f>
        <v>Same Day</v>
      </c>
      <c r="E679" t="s">
        <v>13324</v>
      </c>
      <c r="F679" t="str">
        <f>IFERROR(INDEX(customers[country], MATCH(orders[[#This Row],[customer_id]], customers[customer_id], 0)), "Unmapped")</f>
        <v>Netherlands</v>
      </c>
      <c r="G679" t="str">
        <f>IFERROR(INDEX(Region_Map[Region], MATCH(orders[[#This Row],[Customer_Country]], Region_Map[Country], 0)), "Unknown")</f>
        <v>Central Europe</v>
      </c>
      <c r="H679" t="s">
        <v>6949</v>
      </c>
    </row>
    <row r="680" spans="1:8">
      <c r="A680" t="s">
        <v>1591</v>
      </c>
      <c r="B680" t="s">
        <v>715</v>
      </c>
      <c r="C680" s="1">
        <v>45284</v>
      </c>
      <c r="D680" s="1" t="str">
        <f>PROPER(orders[[#This Row],[order_priority]])</f>
        <v>Express</v>
      </c>
      <c r="E680" t="s">
        <v>13318</v>
      </c>
      <c r="F680" t="str">
        <f>IFERROR(INDEX(customers[country], MATCH(orders[[#This Row],[customer_id]], customers[customer_id], 0)), "Unmapped")</f>
        <v>Netherlands</v>
      </c>
      <c r="G680" t="str">
        <f>IFERROR(INDEX(Region_Map[Region], MATCH(orders[[#This Row],[Customer_Country]], Region_Map[Country], 0)), "Unknown")</f>
        <v>Central Europe</v>
      </c>
      <c r="H680" t="s">
        <v>6949</v>
      </c>
    </row>
    <row r="681" spans="1:8">
      <c r="A681" t="s">
        <v>1592</v>
      </c>
      <c r="B681" t="s">
        <v>401</v>
      </c>
      <c r="C681" s="1">
        <v>45287</v>
      </c>
      <c r="D681" s="1" t="str">
        <f>PROPER(orders[[#This Row],[order_priority]])</f>
        <v>Economy</v>
      </c>
      <c r="E681" t="s">
        <v>13316</v>
      </c>
      <c r="F681" t="str">
        <f>IFERROR(INDEX(customers[country], MATCH(orders[[#This Row],[customer_id]], customers[customer_id], 0)), "Unmapped")</f>
        <v>Latvia</v>
      </c>
      <c r="G681" t="str">
        <f>IFERROR(INDEX(Region_Map[Region], MATCH(orders[[#This Row],[Customer_Country]], Region_Map[Country], 0)), "Unknown")</f>
        <v>Baltics</v>
      </c>
      <c r="H681" t="s">
        <v>6949</v>
      </c>
    </row>
    <row r="682" spans="1:8">
      <c r="A682" t="s">
        <v>1593</v>
      </c>
      <c r="B682" t="s">
        <v>350</v>
      </c>
      <c r="C682" s="1">
        <v>44958</v>
      </c>
      <c r="D682" s="1" t="str">
        <f>PROPER(orders[[#This Row],[order_priority]])</f>
        <v>Economy</v>
      </c>
      <c r="E682" t="s">
        <v>13316</v>
      </c>
      <c r="F682" t="str">
        <f>IFERROR(INDEX(customers[country], MATCH(orders[[#This Row],[customer_id]], customers[customer_id], 0)), "Unmapped")</f>
        <v>Netherlands</v>
      </c>
      <c r="G682" t="str">
        <f>IFERROR(INDEX(Region_Map[Region], MATCH(orders[[#This Row],[Customer_Country]], Region_Map[Country], 0)), "Unknown")</f>
        <v>Central Europe</v>
      </c>
      <c r="H682" t="s">
        <v>6949</v>
      </c>
    </row>
    <row r="683" spans="1:8">
      <c r="A683" t="s">
        <v>1594</v>
      </c>
      <c r="B683" t="s">
        <v>569</v>
      </c>
      <c r="C683" s="1">
        <v>45008</v>
      </c>
      <c r="D683" s="1" t="str">
        <f>PROPER(orders[[#This Row],[order_priority]])</f>
        <v>Same Day</v>
      </c>
      <c r="E683" t="s">
        <v>13322</v>
      </c>
      <c r="F683" t="str">
        <f>IFERROR(INDEX(customers[country], MATCH(orders[[#This Row],[customer_id]], customers[customer_id], 0)), "Unmapped")</f>
        <v>Estonia</v>
      </c>
      <c r="G683" t="str">
        <f>IFERROR(INDEX(Region_Map[Region], MATCH(orders[[#This Row],[Customer_Country]], Region_Map[Country], 0)), "Unknown")</f>
        <v>Baltics</v>
      </c>
      <c r="H683" t="s">
        <v>6949</v>
      </c>
    </row>
    <row r="684" spans="1:8">
      <c r="A684" t="s">
        <v>1595</v>
      </c>
      <c r="B684" t="s">
        <v>599</v>
      </c>
      <c r="C684" s="1">
        <v>45616</v>
      </c>
      <c r="D684" s="1" t="str">
        <f>PROPER(orders[[#This Row],[order_priority]])</f>
        <v>Express</v>
      </c>
      <c r="E684" t="s">
        <v>13318</v>
      </c>
      <c r="F684" t="str">
        <f>IFERROR(INDEX(customers[country], MATCH(orders[[#This Row],[customer_id]], customers[customer_id], 0)), "Unmapped")</f>
        <v>Germany</v>
      </c>
      <c r="G684" t="str">
        <f>IFERROR(INDEX(Region_Map[Region], MATCH(orders[[#This Row],[Customer_Country]], Region_Map[Country], 0)), "Unknown")</f>
        <v>Central Europe</v>
      </c>
      <c r="H684" t="s">
        <v>6949</v>
      </c>
    </row>
    <row r="685" spans="1:8">
      <c r="A685" t="s">
        <v>1596</v>
      </c>
      <c r="B685" t="s">
        <v>368</v>
      </c>
      <c r="C685" s="1">
        <v>45350</v>
      </c>
      <c r="D685" s="1" t="str">
        <f>PROPER(orders[[#This Row],[order_priority]])</f>
        <v>Same Day</v>
      </c>
      <c r="E685" t="s">
        <v>13324</v>
      </c>
      <c r="F685" t="str">
        <f>IFERROR(INDEX(customers[country], MATCH(orders[[#This Row],[customer_id]], customers[customer_id], 0)), "Unmapped")</f>
        <v>Poland</v>
      </c>
      <c r="G685" t="str">
        <f>IFERROR(INDEX(Region_Map[Region], MATCH(orders[[#This Row],[Customer_Country]], Region_Map[Country], 0)), "Unknown")</f>
        <v>Central Europe</v>
      </c>
      <c r="H685" t="s">
        <v>6949</v>
      </c>
    </row>
    <row r="686" spans="1:8">
      <c r="A686" t="s">
        <v>1597</v>
      </c>
      <c r="B686" t="s">
        <v>90</v>
      </c>
      <c r="C686" s="1">
        <v>45278</v>
      </c>
      <c r="D686" s="1" t="str">
        <f>PROPER(orders[[#This Row],[order_priority]])</f>
        <v>Standard</v>
      </c>
      <c r="E686" t="s">
        <v>13317</v>
      </c>
      <c r="F686" t="str">
        <f>IFERROR(INDEX(customers[country], MATCH(orders[[#This Row],[customer_id]], customers[customer_id], 0)), "Unmapped")</f>
        <v>Netherlands</v>
      </c>
      <c r="G686" t="str">
        <f>IFERROR(INDEX(Region_Map[Region], MATCH(orders[[#This Row],[Customer_Country]], Region_Map[Country], 0)), "Unknown")</f>
        <v>Central Europe</v>
      </c>
      <c r="H686" t="s">
        <v>6949</v>
      </c>
    </row>
    <row r="687" spans="1:8">
      <c r="A687" t="s">
        <v>1598</v>
      </c>
      <c r="B687" t="s">
        <v>350</v>
      </c>
      <c r="C687" s="1">
        <v>44963</v>
      </c>
      <c r="D687" s="1" t="str">
        <f>PROPER(orders[[#This Row],[order_priority]])</f>
        <v>Express</v>
      </c>
      <c r="E687" t="s">
        <v>13318</v>
      </c>
      <c r="F687" t="str">
        <f>IFERROR(INDEX(customers[country], MATCH(orders[[#This Row],[customer_id]], customers[customer_id], 0)), "Unmapped")</f>
        <v>Netherlands</v>
      </c>
      <c r="G687" t="str">
        <f>IFERROR(INDEX(Region_Map[Region], MATCH(orders[[#This Row],[Customer_Country]], Region_Map[Country], 0)), "Unknown")</f>
        <v>Central Europe</v>
      </c>
      <c r="H687" t="s">
        <v>6949</v>
      </c>
    </row>
    <row r="688" spans="1:8">
      <c r="A688" t="s">
        <v>1599</v>
      </c>
      <c r="B688" t="s">
        <v>545</v>
      </c>
      <c r="C688" s="1">
        <v>45186</v>
      </c>
      <c r="D688" s="1" t="str">
        <f>PROPER(orders[[#This Row],[order_priority]])</f>
        <v>Standard</v>
      </c>
      <c r="E688" t="s">
        <v>13323</v>
      </c>
      <c r="F688" t="str">
        <f>IFERROR(INDEX(customers[country], MATCH(orders[[#This Row],[customer_id]], customers[customer_id], 0)), "Unmapped")</f>
        <v>Netherlands</v>
      </c>
      <c r="G688" t="str">
        <f>IFERROR(INDEX(Region_Map[Region], MATCH(orders[[#This Row],[Customer_Country]], Region_Map[Country], 0)), "Unknown")</f>
        <v>Central Europe</v>
      </c>
      <c r="H688" t="s">
        <v>6949</v>
      </c>
    </row>
    <row r="689" spans="1:8">
      <c r="A689" t="s">
        <v>1600</v>
      </c>
      <c r="B689" t="s">
        <v>109</v>
      </c>
      <c r="C689" s="1">
        <v>45504</v>
      </c>
      <c r="D689" s="1" t="str">
        <f>PROPER(orders[[#This Row],[order_priority]])</f>
        <v>Standard</v>
      </c>
      <c r="E689" t="s">
        <v>13323</v>
      </c>
      <c r="F689" t="str">
        <f>IFERROR(INDEX(customers[country], MATCH(orders[[#This Row],[customer_id]], customers[customer_id], 0)), "Unmapped")</f>
        <v>Netherlands</v>
      </c>
      <c r="G689" t="str">
        <f>IFERROR(INDEX(Region_Map[Region], MATCH(orders[[#This Row],[Customer_Country]], Region_Map[Country], 0)), "Unknown")</f>
        <v>Central Europe</v>
      </c>
      <c r="H689" t="s">
        <v>6949</v>
      </c>
    </row>
    <row r="690" spans="1:8">
      <c r="A690" t="s">
        <v>1601</v>
      </c>
      <c r="B690" t="s">
        <v>735</v>
      </c>
      <c r="C690" s="1">
        <v>44946</v>
      </c>
      <c r="D690" s="1" t="str">
        <f>PROPER(orders[[#This Row],[order_priority]])</f>
        <v>Same Day</v>
      </c>
      <c r="E690" t="s">
        <v>13322</v>
      </c>
      <c r="F690" t="str">
        <f>IFERROR(INDEX(customers[country], MATCH(orders[[#This Row],[customer_id]], customers[customer_id], 0)), "Unmapped")</f>
        <v>Poland</v>
      </c>
      <c r="G690" t="str">
        <f>IFERROR(INDEX(Region_Map[Region], MATCH(orders[[#This Row],[Customer_Country]], Region_Map[Country], 0)), "Unknown")</f>
        <v>Central Europe</v>
      </c>
      <c r="H690" t="s">
        <v>6949</v>
      </c>
    </row>
    <row r="691" spans="1:8">
      <c r="A691" t="s">
        <v>1602</v>
      </c>
      <c r="B691" t="s">
        <v>172</v>
      </c>
      <c r="C691" s="1">
        <v>45297</v>
      </c>
      <c r="D691" s="1" t="str">
        <f>PROPER(orders[[#This Row],[order_priority]])</f>
        <v>Same Day</v>
      </c>
      <c r="E691" t="s">
        <v>13322</v>
      </c>
      <c r="F691" t="str">
        <f>IFERROR(INDEX(customers[country], MATCH(orders[[#This Row],[customer_id]], customers[customer_id], 0)), "Unmapped")</f>
        <v>Denmark</v>
      </c>
      <c r="G691" t="str">
        <f>IFERROR(INDEX(Region_Map[Region], MATCH(orders[[#This Row],[Customer_Country]], Region_Map[Country], 0)), "Unknown")</f>
        <v>Nordics</v>
      </c>
      <c r="H691" t="s">
        <v>6949</v>
      </c>
    </row>
    <row r="692" spans="1:8">
      <c r="A692" t="s">
        <v>1603</v>
      </c>
      <c r="B692" t="s">
        <v>650</v>
      </c>
      <c r="C692" s="1">
        <v>45496</v>
      </c>
      <c r="D692" s="1" t="str">
        <f>PROPER(orders[[#This Row],[order_priority]])</f>
        <v>Express</v>
      </c>
      <c r="E692" t="s">
        <v>13318</v>
      </c>
      <c r="F692" t="str">
        <f>IFERROR(INDEX(customers[country], MATCH(orders[[#This Row],[customer_id]], customers[customer_id], 0)), "Unmapped")</f>
        <v>Poland</v>
      </c>
      <c r="G692" t="str">
        <f>IFERROR(INDEX(Region_Map[Region], MATCH(orders[[#This Row],[Customer_Country]], Region_Map[Country], 0)), "Unknown")</f>
        <v>Central Europe</v>
      </c>
      <c r="H692" t="s">
        <v>6949</v>
      </c>
    </row>
    <row r="693" spans="1:8">
      <c r="A693" t="s">
        <v>1604</v>
      </c>
      <c r="B693" t="s">
        <v>494</v>
      </c>
      <c r="C693" s="1">
        <v>45596</v>
      </c>
      <c r="D693" s="1" t="str">
        <f>PROPER(orders[[#This Row],[order_priority]])</f>
        <v>Same Day</v>
      </c>
      <c r="E693" t="s">
        <v>13322</v>
      </c>
      <c r="F693" t="str">
        <f>IFERROR(INDEX(customers[country], MATCH(orders[[#This Row],[customer_id]], customers[customer_id], 0)), "Unmapped")</f>
        <v>Sweden</v>
      </c>
      <c r="G693" t="str">
        <f>IFERROR(INDEX(Region_Map[Region], MATCH(orders[[#This Row],[Customer_Country]], Region_Map[Country], 0)), "Unknown")</f>
        <v>Nordics</v>
      </c>
      <c r="H693" t="s">
        <v>6949</v>
      </c>
    </row>
    <row r="694" spans="1:8">
      <c r="A694" t="s">
        <v>1605</v>
      </c>
      <c r="B694" t="s">
        <v>303</v>
      </c>
      <c r="C694" s="1">
        <v>45149</v>
      </c>
      <c r="D694" s="1" t="str">
        <f>PROPER(orders[[#This Row],[order_priority]])</f>
        <v>Standard</v>
      </c>
      <c r="E694" t="s">
        <v>13317</v>
      </c>
      <c r="F694" t="str">
        <f>IFERROR(INDEX(customers[country], MATCH(orders[[#This Row],[customer_id]], customers[customer_id], 0)), "Unmapped")</f>
        <v>Netherlands</v>
      </c>
      <c r="G694" t="str">
        <f>IFERROR(INDEX(Region_Map[Region], MATCH(orders[[#This Row],[Customer_Country]], Region_Map[Country], 0)), "Unknown")</f>
        <v>Central Europe</v>
      </c>
      <c r="H694" t="s">
        <v>6949</v>
      </c>
    </row>
    <row r="695" spans="1:8">
      <c r="A695" t="s">
        <v>1606</v>
      </c>
      <c r="B695" t="s">
        <v>596</v>
      </c>
      <c r="C695" s="1">
        <v>45595</v>
      </c>
      <c r="D695" s="1" t="str">
        <f>PROPER(orders[[#This Row],[order_priority]])</f>
        <v>Express</v>
      </c>
      <c r="E695" t="s">
        <v>13326</v>
      </c>
      <c r="F695" t="str">
        <f>IFERROR(INDEX(customers[country], MATCH(orders[[#This Row],[customer_id]], customers[customer_id], 0)), "Unmapped")</f>
        <v>Lithuania</v>
      </c>
      <c r="G695" t="str">
        <f>IFERROR(INDEX(Region_Map[Region], MATCH(orders[[#This Row],[Customer_Country]], Region_Map[Country], 0)), "Unknown")</f>
        <v>Baltics</v>
      </c>
      <c r="H695" t="s">
        <v>6949</v>
      </c>
    </row>
    <row r="696" spans="1:8">
      <c r="A696" t="s">
        <v>1607</v>
      </c>
      <c r="B696" t="s">
        <v>476</v>
      </c>
      <c r="C696" s="1">
        <v>45483</v>
      </c>
      <c r="D696" s="1" t="str">
        <f>PROPER(orders[[#This Row],[order_priority]])</f>
        <v>Economy</v>
      </c>
      <c r="E696" t="s">
        <v>13316</v>
      </c>
      <c r="F696" t="str">
        <f>IFERROR(INDEX(customers[country], MATCH(orders[[#This Row],[customer_id]], customers[customer_id], 0)), "Unmapped")</f>
        <v>Norway</v>
      </c>
      <c r="G696" t="str">
        <f>IFERROR(INDEX(Region_Map[Region], MATCH(orders[[#This Row],[Customer_Country]], Region_Map[Country], 0)), "Unknown")</f>
        <v>Nordics</v>
      </c>
      <c r="H696" t="s">
        <v>6949</v>
      </c>
    </row>
    <row r="697" spans="1:8">
      <c r="A697" t="s">
        <v>1608</v>
      </c>
      <c r="B697" t="s">
        <v>422</v>
      </c>
      <c r="C697" s="1">
        <v>45003</v>
      </c>
      <c r="D697" s="1" t="str">
        <f>PROPER(orders[[#This Row],[order_priority]])</f>
        <v>Standard</v>
      </c>
      <c r="E697" t="s">
        <v>13317</v>
      </c>
      <c r="F697" t="str">
        <f>IFERROR(INDEX(customers[country], MATCH(orders[[#This Row],[customer_id]], customers[customer_id], 0)), "Unmapped")</f>
        <v>Germany</v>
      </c>
      <c r="G697" t="str">
        <f>IFERROR(INDEX(Region_Map[Region], MATCH(orders[[#This Row],[Customer_Country]], Region_Map[Country], 0)), "Unknown")</f>
        <v>Central Europe</v>
      </c>
      <c r="H697" t="s">
        <v>6949</v>
      </c>
    </row>
    <row r="698" spans="1:8">
      <c r="A698" t="s">
        <v>1609</v>
      </c>
      <c r="B698" t="s">
        <v>846</v>
      </c>
      <c r="C698" s="1">
        <v>45308</v>
      </c>
      <c r="D698" s="1" t="str">
        <f>PROPER(orders[[#This Row],[order_priority]])</f>
        <v>Same Day</v>
      </c>
      <c r="E698" t="s">
        <v>13322</v>
      </c>
      <c r="F698" t="str">
        <f>IFERROR(INDEX(customers[country], MATCH(orders[[#This Row],[customer_id]], customers[customer_id], 0)), "Unmapped")</f>
        <v>Netherlands</v>
      </c>
      <c r="G698" t="str">
        <f>IFERROR(INDEX(Region_Map[Region], MATCH(orders[[#This Row],[Customer_Country]], Region_Map[Country], 0)), "Unknown")</f>
        <v>Central Europe</v>
      </c>
      <c r="H698" t="s">
        <v>6949</v>
      </c>
    </row>
    <row r="699" spans="1:8">
      <c r="A699" t="s">
        <v>1610</v>
      </c>
      <c r="B699" t="s">
        <v>749</v>
      </c>
      <c r="C699" s="1">
        <v>45469</v>
      </c>
      <c r="D699" s="1" t="str">
        <f>PROPER(orders[[#This Row],[order_priority]])</f>
        <v>Same Day</v>
      </c>
      <c r="E699" t="s">
        <v>13321</v>
      </c>
      <c r="F699" t="str">
        <f>IFERROR(INDEX(customers[country], MATCH(orders[[#This Row],[customer_id]], customers[customer_id], 0)), "Unmapped")</f>
        <v>Latvia</v>
      </c>
      <c r="G699" t="str">
        <f>IFERROR(INDEX(Region_Map[Region], MATCH(orders[[#This Row],[Customer_Country]], Region_Map[Country], 0)), "Unknown")</f>
        <v>Baltics</v>
      </c>
      <c r="H699" t="s">
        <v>6949</v>
      </c>
    </row>
    <row r="700" spans="1:8">
      <c r="A700" t="s">
        <v>1611</v>
      </c>
      <c r="B700" t="s">
        <v>494</v>
      </c>
      <c r="C700" s="1">
        <v>45403</v>
      </c>
      <c r="D700" s="1" t="str">
        <f>PROPER(orders[[#This Row],[order_priority]])</f>
        <v>Economy</v>
      </c>
      <c r="E700" t="s">
        <v>13316</v>
      </c>
      <c r="F700" t="str">
        <f>IFERROR(INDEX(customers[country], MATCH(orders[[#This Row],[customer_id]], customers[customer_id], 0)), "Unmapped")</f>
        <v>Sweden</v>
      </c>
      <c r="G700" t="str">
        <f>IFERROR(INDEX(Region_Map[Region], MATCH(orders[[#This Row],[Customer_Country]], Region_Map[Country], 0)), "Unknown")</f>
        <v>Nordics</v>
      </c>
      <c r="H700" t="s">
        <v>6949</v>
      </c>
    </row>
    <row r="701" spans="1:8">
      <c r="A701" t="s">
        <v>1612</v>
      </c>
      <c r="B701" t="s">
        <v>894</v>
      </c>
      <c r="C701" s="1">
        <v>45179</v>
      </c>
      <c r="D701" s="1" t="str">
        <f>PROPER(orders[[#This Row],[order_priority]])</f>
        <v>Economy</v>
      </c>
      <c r="E701" t="s">
        <v>13316</v>
      </c>
      <c r="F701" t="str">
        <f>IFERROR(INDEX(customers[country], MATCH(orders[[#This Row],[customer_id]], customers[customer_id], 0)), "Unmapped")</f>
        <v>Poland</v>
      </c>
      <c r="G701" t="str">
        <f>IFERROR(INDEX(Region_Map[Region], MATCH(orders[[#This Row],[Customer_Country]], Region_Map[Country], 0)), "Unknown")</f>
        <v>Central Europe</v>
      </c>
      <c r="H701" t="s">
        <v>6949</v>
      </c>
    </row>
    <row r="702" spans="1:8">
      <c r="A702" t="s">
        <v>1613</v>
      </c>
      <c r="B702" t="s">
        <v>90</v>
      </c>
      <c r="C702" s="1">
        <v>45427</v>
      </c>
      <c r="D702" s="1" t="str">
        <f>PROPER(orders[[#This Row],[order_priority]])</f>
        <v>Economy</v>
      </c>
      <c r="E702" t="s">
        <v>13316</v>
      </c>
      <c r="F702" t="str">
        <f>IFERROR(INDEX(customers[country], MATCH(orders[[#This Row],[customer_id]], customers[customer_id], 0)), "Unmapped")</f>
        <v>Netherlands</v>
      </c>
      <c r="G702" t="str">
        <f>IFERROR(INDEX(Region_Map[Region], MATCH(orders[[#This Row],[Customer_Country]], Region_Map[Country], 0)), "Unknown")</f>
        <v>Central Europe</v>
      </c>
      <c r="H702" t="s">
        <v>6949</v>
      </c>
    </row>
    <row r="703" spans="1:8">
      <c r="A703" t="s">
        <v>1614</v>
      </c>
      <c r="B703" t="s">
        <v>587</v>
      </c>
      <c r="C703" s="1">
        <v>45029</v>
      </c>
      <c r="D703" s="1" t="str">
        <f>PROPER(orders[[#This Row],[order_priority]])</f>
        <v>Standard</v>
      </c>
      <c r="E703" t="s">
        <v>13319</v>
      </c>
      <c r="F703" t="str">
        <f>IFERROR(INDEX(customers[country], MATCH(orders[[#This Row],[customer_id]], customers[customer_id], 0)), "Unmapped")</f>
        <v>Finland</v>
      </c>
      <c r="G703" t="str">
        <f>IFERROR(INDEX(Region_Map[Region], MATCH(orders[[#This Row],[Customer_Country]], Region_Map[Country], 0)), "Unknown")</f>
        <v>Nordics</v>
      </c>
      <c r="H703" t="s">
        <v>6949</v>
      </c>
    </row>
    <row r="704" spans="1:8">
      <c r="A704" t="s">
        <v>1615</v>
      </c>
      <c r="B704" t="s">
        <v>763</v>
      </c>
      <c r="C704" s="1">
        <v>45003</v>
      </c>
      <c r="D704" s="1" t="str">
        <f>PROPER(orders[[#This Row],[order_priority]])</f>
        <v>Same Day</v>
      </c>
      <c r="E704" t="s">
        <v>13322</v>
      </c>
      <c r="F704" t="str">
        <f>IFERROR(INDEX(customers[country], MATCH(orders[[#This Row],[customer_id]], customers[customer_id], 0)), "Unmapped")</f>
        <v>Estonia</v>
      </c>
      <c r="G704" t="str">
        <f>IFERROR(INDEX(Region_Map[Region], MATCH(orders[[#This Row],[Customer_Country]], Region_Map[Country], 0)), "Unknown")</f>
        <v>Baltics</v>
      </c>
      <c r="H704" t="s">
        <v>6949</v>
      </c>
    </row>
    <row r="705" spans="1:8">
      <c r="A705" t="s">
        <v>1616</v>
      </c>
      <c r="B705" t="s">
        <v>721</v>
      </c>
      <c r="C705" s="1">
        <v>45405</v>
      </c>
      <c r="D705" s="1" t="str">
        <f>PROPER(orders[[#This Row],[order_priority]])</f>
        <v>Standard</v>
      </c>
      <c r="E705" t="s">
        <v>13317</v>
      </c>
      <c r="F705" t="str">
        <f>IFERROR(INDEX(customers[country], MATCH(orders[[#This Row],[customer_id]], customers[customer_id], 0)), "Unmapped")</f>
        <v>Netherlands</v>
      </c>
      <c r="G705" t="str">
        <f>IFERROR(INDEX(Region_Map[Region], MATCH(orders[[#This Row],[Customer_Country]], Region_Map[Country], 0)), "Unknown")</f>
        <v>Central Europe</v>
      </c>
      <c r="H705" t="s">
        <v>6949</v>
      </c>
    </row>
    <row r="706" spans="1:8">
      <c r="A706" t="s">
        <v>1617</v>
      </c>
      <c r="B706" t="s">
        <v>652</v>
      </c>
      <c r="C706" s="1">
        <v>45004</v>
      </c>
      <c r="D706" s="1" t="str">
        <f>PROPER(orders[[#This Row],[order_priority]])</f>
        <v>Same Day</v>
      </c>
      <c r="E706" t="s">
        <v>13322</v>
      </c>
      <c r="F706" t="str">
        <f>IFERROR(INDEX(customers[country], MATCH(orders[[#This Row],[customer_id]], customers[customer_id], 0)), "Unmapped")</f>
        <v>Poland</v>
      </c>
      <c r="G706" t="str">
        <f>IFERROR(INDEX(Region_Map[Region], MATCH(orders[[#This Row],[Customer_Country]], Region_Map[Country], 0)), "Unknown")</f>
        <v>Central Europe</v>
      </c>
      <c r="H706" t="s">
        <v>6949</v>
      </c>
    </row>
    <row r="707" spans="1:8">
      <c r="A707" t="s">
        <v>1618</v>
      </c>
      <c r="B707" t="s">
        <v>694</v>
      </c>
      <c r="C707" s="1">
        <v>45514</v>
      </c>
      <c r="D707" s="1" t="str">
        <f>PROPER(orders[[#This Row],[order_priority]])</f>
        <v>Economy</v>
      </c>
      <c r="E707" t="s">
        <v>13316</v>
      </c>
      <c r="F707" t="str">
        <f>IFERROR(INDEX(customers[country], MATCH(orders[[#This Row],[customer_id]], customers[customer_id], 0)), "Unmapped")</f>
        <v>Lithuania</v>
      </c>
      <c r="G707" t="str">
        <f>IFERROR(INDEX(Region_Map[Region], MATCH(orders[[#This Row],[Customer_Country]], Region_Map[Country], 0)), "Unknown")</f>
        <v>Baltics</v>
      </c>
      <c r="H707" t="s">
        <v>6949</v>
      </c>
    </row>
    <row r="708" spans="1:8">
      <c r="A708" t="s">
        <v>1619</v>
      </c>
      <c r="B708" t="s">
        <v>121</v>
      </c>
      <c r="C708" s="1">
        <v>45077</v>
      </c>
      <c r="D708" s="1" t="str">
        <f>PROPER(orders[[#This Row],[order_priority]])</f>
        <v>Express</v>
      </c>
      <c r="E708" t="s">
        <v>13318</v>
      </c>
      <c r="F708" t="str">
        <f>IFERROR(INDEX(customers[country], MATCH(orders[[#This Row],[customer_id]], customers[customer_id], 0)), "Unmapped")</f>
        <v>Estonia</v>
      </c>
      <c r="G708" t="str">
        <f>IFERROR(INDEX(Region_Map[Region], MATCH(orders[[#This Row],[Customer_Country]], Region_Map[Country], 0)), "Unknown")</f>
        <v>Baltics</v>
      </c>
      <c r="H708" t="s">
        <v>6949</v>
      </c>
    </row>
    <row r="709" spans="1:8">
      <c r="A709" t="s">
        <v>1620</v>
      </c>
      <c r="B709" t="s">
        <v>273</v>
      </c>
      <c r="C709" s="1">
        <v>45361</v>
      </c>
      <c r="D709" s="1" t="str">
        <f>PROPER(orders[[#This Row],[order_priority]])</f>
        <v>Express</v>
      </c>
      <c r="E709" t="s">
        <v>13318</v>
      </c>
      <c r="F709" t="str">
        <f>IFERROR(INDEX(customers[country], MATCH(orders[[#This Row],[customer_id]], customers[customer_id], 0)), "Unmapped")</f>
        <v>Norway</v>
      </c>
      <c r="G709" t="str">
        <f>IFERROR(INDEX(Region_Map[Region], MATCH(orders[[#This Row],[Customer_Country]], Region_Map[Country], 0)), "Unknown")</f>
        <v>Nordics</v>
      </c>
      <c r="H709" t="s">
        <v>6949</v>
      </c>
    </row>
    <row r="710" spans="1:8">
      <c r="A710" t="s">
        <v>1621</v>
      </c>
      <c r="B710" t="s">
        <v>195</v>
      </c>
      <c r="C710" s="1">
        <v>45022</v>
      </c>
      <c r="D710" s="1" t="str">
        <f>PROPER(orders[[#This Row],[order_priority]])</f>
        <v>Standard</v>
      </c>
      <c r="E710" t="s">
        <v>13323</v>
      </c>
      <c r="F710" t="str">
        <f>IFERROR(INDEX(customers[country], MATCH(orders[[#This Row],[customer_id]], customers[customer_id], 0)), "Unmapped")</f>
        <v>Latvia</v>
      </c>
      <c r="G710" t="str">
        <f>IFERROR(INDEX(Region_Map[Region], MATCH(orders[[#This Row],[Customer_Country]], Region_Map[Country], 0)), "Unknown")</f>
        <v>Baltics</v>
      </c>
      <c r="H710" t="s">
        <v>6949</v>
      </c>
    </row>
    <row r="711" spans="1:8">
      <c r="A711" t="s">
        <v>1622</v>
      </c>
      <c r="B711" t="s">
        <v>590</v>
      </c>
      <c r="C711" s="1">
        <v>45313</v>
      </c>
      <c r="D711" s="1" t="str">
        <f>PROPER(orders[[#This Row],[order_priority]])</f>
        <v>Express</v>
      </c>
      <c r="E711" t="s">
        <v>13326</v>
      </c>
      <c r="F711" t="str">
        <f>IFERROR(INDEX(customers[country], MATCH(orders[[#This Row],[customer_id]], customers[customer_id], 0)), "Unmapped")</f>
        <v>Finland</v>
      </c>
      <c r="G711" t="str">
        <f>IFERROR(INDEX(Region_Map[Region], MATCH(orders[[#This Row],[Customer_Country]], Region_Map[Country], 0)), "Unknown")</f>
        <v>Nordics</v>
      </c>
      <c r="H711" t="s">
        <v>6949</v>
      </c>
    </row>
    <row r="712" spans="1:8">
      <c r="A712" t="s">
        <v>1623</v>
      </c>
      <c r="B712" t="s">
        <v>282</v>
      </c>
      <c r="C712" s="1">
        <v>45371</v>
      </c>
      <c r="D712" s="1" t="str">
        <f>PROPER(orders[[#This Row],[order_priority]])</f>
        <v>Express</v>
      </c>
      <c r="E712" t="s">
        <v>13318</v>
      </c>
      <c r="F712" t="str">
        <f>IFERROR(INDEX(customers[country], MATCH(orders[[#This Row],[customer_id]], customers[customer_id], 0)), "Unmapped")</f>
        <v>Netherlands</v>
      </c>
      <c r="G712" t="str">
        <f>IFERROR(INDEX(Region_Map[Region], MATCH(orders[[#This Row],[Customer_Country]], Region_Map[Country], 0)), "Unknown")</f>
        <v>Central Europe</v>
      </c>
      <c r="H712" t="s">
        <v>6949</v>
      </c>
    </row>
    <row r="713" spans="1:8">
      <c r="A713" t="s">
        <v>1624</v>
      </c>
      <c r="B713" t="s">
        <v>673</v>
      </c>
      <c r="C713" s="1">
        <v>45196</v>
      </c>
      <c r="D713" s="1" t="str">
        <f>PROPER(orders[[#This Row],[order_priority]])</f>
        <v>Express</v>
      </c>
      <c r="E713" t="s">
        <v>13318</v>
      </c>
      <c r="F713" t="str">
        <f>IFERROR(INDEX(customers[country], MATCH(orders[[#This Row],[customer_id]], customers[customer_id], 0)), "Unmapped")</f>
        <v>Sweden</v>
      </c>
      <c r="G713" t="str">
        <f>IFERROR(INDEX(Region_Map[Region], MATCH(orders[[#This Row],[Customer_Country]], Region_Map[Country], 0)), "Unknown")</f>
        <v>Nordics</v>
      </c>
      <c r="H713" t="s">
        <v>6949</v>
      </c>
    </row>
    <row r="714" spans="1:8">
      <c r="A714" t="s">
        <v>1625</v>
      </c>
      <c r="B714" t="s">
        <v>641</v>
      </c>
      <c r="C714" s="1">
        <v>44947</v>
      </c>
      <c r="D714" s="1" t="str">
        <f>PROPER(orders[[#This Row],[order_priority]])</f>
        <v>Economy</v>
      </c>
      <c r="E714" t="s">
        <v>13316</v>
      </c>
      <c r="F714" t="str">
        <f>IFERROR(INDEX(customers[country], MATCH(orders[[#This Row],[customer_id]], customers[customer_id], 0)), "Unmapped")</f>
        <v>Poland</v>
      </c>
      <c r="G714" t="str">
        <f>IFERROR(INDEX(Region_Map[Region], MATCH(orders[[#This Row],[Customer_Country]], Region_Map[Country], 0)), "Unknown")</f>
        <v>Central Europe</v>
      </c>
      <c r="H714" t="s">
        <v>6949</v>
      </c>
    </row>
    <row r="715" spans="1:8">
      <c r="A715" t="s">
        <v>1626</v>
      </c>
      <c r="B715" t="s">
        <v>77</v>
      </c>
      <c r="C715" s="1">
        <v>45005</v>
      </c>
      <c r="D715" s="1" t="str">
        <f>PROPER(orders[[#This Row],[order_priority]])</f>
        <v>Same Day</v>
      </c>
      <c r="E715" t="s">
        <v>13322</v>
      </c>
      <c r="F715" t="str">
        <f>IFERROR(INDEX(customers[country], MATCH(orders[[#This Row],[customer_id]], customers[customer_id], 0)), "Unmapped")</f>
        <v>Lithuania</v>
      </c>
      <c r="G715" t="str">
        <f>IFERROR(INDEX(Region_Map[Region], MATCH(orders[[#This Row],[Customer_Country]], Region_Map[Country], 0)), "Unknown")</f>
        <v>Baltics</v>
      </c>
      <c r="H715" t="s">
        <v>6949</v>
      </c>
    </row>
    <row r="716" spans="1:8">
      <c r="A716" t="s">
        <v>1627</v>
      </c>
      <c r="B716" t="s">
        <v>569</v>
      </c>
      <c r="C716" s="1">
        <v>45099</v>
      </c>
      <c r="D716" s="1" t="str">
        <f>PROPER(orders[[#This Row],[order_priority]])</f>
        <v>Same Day</v>
      </c>
      <c r="E716" t="s">
        <v>13322</v>
      </c>
      <c r="F716" t="str">
        <f>IFERROR(INDEX(customers[country], MATCH(orders[[#This Row],[customer_id]], customers[customer_id], 0)), "Unmapped")</f>
        <v>Estonia</v>
      </c>
      <c r="G716" t="str">
        <f>IFERROR(INDEX(Region_Map[Region], MATCH(orders[[#This Row],[Customer_Country]], Region_Map[Country], 0)), "Unknown")</f>
        <v>Baltics</v>
      </c>
      <c r="H716" t="s">
        <v>6949</v>
      </c>
    </row>
    <row r="717" spans="1:8">
      <c r="A717" t="s">
        <v>1628</v>
      </c>
      <c r="B717" t="s">
        <v>593</v>
      </c>
      <c r="C717" s="1">
        <v>45382</v>
      </c>
      <c r="D717" s="1" t="str">
        <f>PROPER(orders[[#This Row],[order_priority]])</f>
        <v>Same Day</v>
      </c>
      <c r="E717" t="s">
        <v>13322</v>
      </c>
      <c r="F717" t="str">
        <f>IFERROR(INDEX(customers[country], MATCH(orders[[#This Row],[customer_id]], customers[customer_id], 0)), "Unmapped")</f>
        <v>Estonia</v>
      </c>
      <c r="G717" t="str">
        <f>IFERROR(INDEX(Region_Map[Region], MATCH(orders[[#This Row],[Customer_Country]], Region_Map[Country], 0)), "Unknown")</f>
        <v>Baltics</v>
      </c>
      <c r="H717" t="s">
        <v>6949</v>
      </c>
    </row>
    <row r="718" spans="1:8">
      <c r="A718" t="s">
        <v>1629</v>
      </c>
      <c r="B718" t="s">
        <v>784</v>
      </c>
      <c r="C718" s="1">
        <v>45186</v>
      </c>
      <c r="D718" s="1" t="str">
        <f>PROPER(orders[[#This Row],[order_priority]])</f>
        <v>Standard</v>
      </c>
      <c r="E718" t="s">
        <v>13317</v>
      </c>
      <c r="F718" t="str">
        <f>IFERROR(INDEX(customers[country], MATCH(orders[[#This Row],[customer_id]], customers[customer_id], 0)), "Unmapped")</f>
        <v>Estonia</v>
      </c>
      <c r="G718" t="str">
        <f>IFERROR(INDEX(Region_Map[Region], MATCH(orders[[#This Row],[Customer_Country]], Region_Map[Country], 0)), "Unknown")</f>
        <v>Baltics</v>
      </c>
      <c r="H718" t="s">
        <v>6949</v>
      </c>
    </row>
    <row r="719" spans="1:8">
      <c r="A719" t="s">
        <v>1630</v>
      </c>
      <c r="B719" t="s">
        <v>276</v>
      </c>
      <c r="C719" s="1">
        <v>45012</v>
      </c>
      <c r="D719" s="1" t="str">
        <f>PROPER(orders[[#This Row],[order_priority]])</f>
        <v>Express</v>
      </c>
      <c r="E719" t="s">
        <v>13318</v>
      </c>
      <c r="F719" t="str">
        <f>IFERROR(INDEX(customers[country], MATCH(orders[[#This Row],[customer_id]], customers[customer_id], 0)), "Unmapped")</f>
        <v>Sweden</v>
      </c>
      <c r="G719" t="str">
        <f>IFERROR(INDEX(Region_Map[Region], MATCH(orders[[#This Row],[Customer_Country]], Region_Map[Country], 0)), "Unknown")</f>
        <v>Nordics</v>
      </c>
      <c r="H719" t="s">
        <v>6949</v>
      </c>
    </row>
    <row r="720" spans="1:8">
      <c r="A720" t="s">
        <v>1631</v>
      </c>
      <c r="B720" t="s">
        <v>449</v>
      </c>
      <c r="C720" s="1">
        <v>45024</v>
      </c>
      <c r="D720" s="1" t="str">
        <f>PROPER(orders[[#This Row],[order_priority]])</f>
        <v>Express</v>
      </c>
      <c r="E720" t="s">
        <v>13326</v>
      </c>
      <c r="F720" t="str">
        <f>IFERROR(INDEX(customers[country], MATCH(orders[[#This Row],[customer_id]], customers[customer_id], 0)), "Unmapped")</f>
        <v>Norway</v>
      </c>
      <c r="G720" t="str">
        <f>IFERROR(INDEX(Region_Map[Region], MATCH(orders[[#This Row],[Customer_Country]], Region_Map[Country], 0)), "Unknown")</f>
        <v>Nordics</v>
      </c>
      <c r="H720" t="s">
        <v>6949</v>
      </c>
    </row>
    <row r="721" spans="1:8">
      <c r="A721" t="s">
        <v>1632</v>
      </c>
      <c r="B721" t="s">
        <v>506</v>
      </c>
      <c r="C721" s="1">
        <v>45116</v>
      </c>
      <c r="D721" s="1" t="str">
        <f>PROPER(orders[[#This Row],[order_priority]])</f>
        <v>Express</v>
      </c>
      <c r="E721" t="s">
        <v>13318</v>
      </c>
      <c r="F721" t="str">
        <f>IFERROR(INDEX(customers[country], MATCH(orders[[#This Row],[customer_id]], customers[customer_id], 0)), "Unmapped")</f>
        <v>Poland</v>
      </c>
      <c r="G721" t="str">
        <f>IFERROR(INDEX(Region_Map[Region], MATCH(orders[[#This Row],[Customer_Country]], Region_Map[Country], 0)), "Unknown")</f>
        <v>Central Europe</v>
      </c>
      <c r="H721" t="s">
        <v>6949</v>
      </c>
    </row>
    <row r="722" spans="1:8">
      <c r="A722" t="s">
        <v>1633</v>
      </c>
      <c r="B722" t="s">
        <v>255</v>
      </c>
      <c r="C722" s="1">
        <v>45066</v>
      </c>
      <c r="D722" s="1" t="str">
        <f>PROPER(orders[[#This Row],[order_priority]])</f>
        <v>Economy</v>
      </c>
      <c r="E722" t="s">
        <v>13316</v>
      </c>
      <c r="F722" t="str">
        <f>IFERROR(INDEX(customers[country], MATCH(orders[[#This Row],[customer_id]], customers[customer_id], 0)), "Unmapped")</f>
        <v>Sweden</v>
      </c>
      <c r="G722" t="str">
        <f>IFERROR(INDEX(Region_Map[Region], MATCH(orders[[#This Row],[Customer_Country]], Region_Map[Country], 0)), "Unknown")</f>
        <v>Nordics</v>
      </c>
      <c r="H722" t="s">
        <v>6949</v>
      </c>
    </row>
    <row r="723" spans="1:8">
      <c r="A723" t="s">
        <v>1634</v>
      </c>
      <c r="B723" t="s">
        <v>467</v>
      </c>
      <c r="C723" s="1">
        <v>45489</v>
      </c>
      <c r="D723" s="1" t="str">
        <f>PROPER(orders[[#This Row],[order_priority]])</f>
        <v>Economy</v>
      </c>
      <c r="E723" t="s">
        <v>13316</v>
      </c>
      <c r="F723" t="str">
        <f>IFERROR(INDEX(customers[country], MATCH(orders[[#This Row],[customer_id]], customers[customer_id], 0)), "Unmapped")</f>
        <v>Latvia</v>
      </c>
      <c r="G723" t="str">
        <f>IFERROR(INDEX(Region_Map[Region], MATCH(orders[[#This Row],[Customer_Country]], Region_Map[Country], 0)), "Unknown")</f>
        <v>Baltics</v>
      </c>
      <c r="H723" t="s">
        <v>6949</v>
      </c>
    </row>
    <row r="724" spans="1:8">
      <c r="A724" t="s">
        <v>1635</v>
      </c>
      <c r="B724" t="s">
        <v>482</v>
      </c>
      <c r="C724" s="1">
        <v>44972</v>
      </c>
      <c r="D724" s="1" t="str">
        <f>PROPER(orders[[#This Row],[order_priority]])</f>
        <v>Standard</v>
      </c>
      <c r="E724" t="s">
        <v>13319</v>
      </c>
      <c r="F724" t="str">
        <f>IFERROR(INDEX(customers[country], MATCH(orders[[#This Row],[customer_id]], customers[customer_id], 0)), "Unmapped")</f>
        <v>Finland</v>
      </c>
      <c r="G724" t="str">
        <f>IFERROR(INDEX(Region_Map[Region], MATCH(orders[[#This Row],[Customer_Country]], Region_Map[Country], 0)), "Unknown")</f>
        <v>Nordics</v>
      </c>
      <c r="H724" t="s">
        <v>6949</v>
      </c>
    </row>
    <row r="725" spans="1:8">
      <c r="A725" t="s">
        <v>1636</v>
      </c>
      <c r="B725" t="s">
        <v>772</v>
      </c>
      <c r="C725" s="1">
        <v>45005</v>
      </c>
      <c r="D725" s="1" t="str">
        <f>PROPER(orders[[#This Row],[order_priority]])</f>
        <v>Economy</v>
      </c>
      <c r="E725" t="s">
        <v>13316</v>
      </c>
      <c r="F725" t="str">
        <f>IFERROR(INDEX(customers[country], MATCH(orders[[#This Row],[customer_id]], customers[customer_id], 0)), "Unmapped")</f>
        <v>Estonia</v>
      </c>
      <c r="G725" t="str">
        <f>IFERROR(INDEX(Region_Map[Region], MATCH(orders[[#This Row],[Customer_Country]], Region_Map[Country], 0)), "Unknown")</f>
        <v>Baltics</v>
      </c>
      <c r="H725" t="s">
        <v>6949</v>
      </c>
    </row>
    <row r="726" spans="1:8">
      <c r="A726" t="s">
        <v>1637</v>
      </c>
      <c r="B726" t="s">
        <v>664</v>
      </c>
      <c r="C726" s="1">
        <v>45078</v>
      </c>
      <c r="D726" s="1" t="str">
        <f>PROPER(orders[[#This Row],[order_priority]])</f>
        <v>Express</v>
      </c>
      <c r="E726" t="s">
        <v>13318</v>
      </c>
      <c r="F726" t="str">
        <f>IFERROR(INDEX(customers[country], MATCH(orders[[#This Row],[customer_id]], customers[customer_id], 0)), "Unmapped")</f>
        <v>Latvia</v>
      </c>
      <c r="G726" t="str">
        <f>IFERROR(INDEX(Region_Map[Region], MATCH(orders[[#This Row],[Customer_Country]], Region_Map[Country], 0)), "Unknown")</f>
        <v>Baltics</v>
      </c>
      <c r="H726" t="s">
        <v>6949</v>
      </c>
    </row>
    <row r="727" spans="1:8">
      <c r="A727" t="s">
        <v>1638</v>
      </c>
      <c r="B727" t="s">
        <v>184</v>
      </c>
      <c r="C727" s="1">
        <v>45457</v>
      </c>
      <c r="D727" s="1" t="str">
        <f>PROPER(orders[[#This Row],[order_priority]])</f>
        <v>Express</v>
      </c>
      <c r="E727" t="s">
        <v>13318</v>
      </c>
      <c r="F727" t="str">
        <f>IFERROR(INDEX(customers[country], MATCH(orders[[#This Row],[customer_id]], customers[customer_id], 0)), "Unmapped")</f>
        <v>Netherlands</v>
      </c>
      <c r="G727" t="str">
        <f>IFERROR(INDEX(Region_Map[Region], MATCH(orders[[#This Row],[Customer_Country]], Region_Map[Country], 0)), "Unknown")</f>
        <v>Central Europe</v>
      </c>
      <c r="H727" t="s">
        <v>6949</v>
      </c>
    </row>
    <row r="728" spans="1:8">
      <c r="A728" t="s">
        <v>1639</v>
      </c>
      <c r="B728" t="s">
        <v>380</v>
      </c>
      <c r="C728" s="1">
        <v>45158</v>
      </c>
      <c r="D728" s="1" t="str">
        <f>PROPER(orders[[#This Row],[order_priority]])</f>
        <v>Same Day</v>
      </c>
      <c r="E728" t="s">
        <v>13322</v>
      </c>
      <c r="F728" t="str">
        <f>IFERROR(INDEX(customers[country], MATCH(orders[[#This Row],[customer_id]], customers[customer_id], 0)), "Unmapped")</f>
        <v>Sweden</v>
      </c>
      <c r="G728" t="str">
        <f>IFERROR(INDEX(Region_Map[Region], MATCH(orders[[#This Row],[Customer_Country]], Region_Map[Country], 0)), "Unknown")</f>
        <v>Nordics</v>
      </c>
      <c r="H728" t="s">
        <v>6949</v>
      </c>
    </row>
    <row r="729" spans="1:8">
      <c r="A729" t="s">
        <v>1640</v>
      </c>
      <c r="B729" t="s">
        <v>431</v>
      </c>
      <c r="C729" s="1">
        <v>44960</v>
      </c>
      <c r="D729" s="1" t="str">
        <f>PROPER(orders[[#This Row],[order_priority]])</f>
        <v>Same Day</v>
      </c>
      <c r="E729" t="s">
        <v>13322</v>
      </c>
      <c r="F729" t="str">
        <f>IFERROR(INDEX(customers[country], MATCH(orders[[#This Row],[customer_id]], customers[customer_id], 0)), "Unmapped")</f>
        <v>Sweden</v>
      </c>
      <c r="G729" t="str">
        <f>IFERROR(INDEX(Region_Map[Region], MATCH(orders[[#This Row],[Customer_Country]], Region_Map[Country], 0)), "Unknown")</f>
        <v>Nordics</v>
      </c>
      <c r="H729" t="s">
        <v>6949</v>
      </c>
    </row>
    <row r="730" spans="1:8">
      <c r="A730" t="s">
        <v>1641</v>
      </c>
      <c r="B730" t="s">
        <v>309</v>
      </c>
      <c r="C730" s="1">
        <v>45293</v>
      </c>
      <c r="D730" s="1" t="str">
        <f>PROPER(orders[[#This Row],[order_priority]])</f>
        <v>Express</v>
      </c>
      <c r="E730" t="s">
        <v>13318</v>
      </c>
      <c r="F730" t="str">
        <f>IFERROR(INDEX(customers[country], MATCH(orders[[#This Row],[customer_id]], customers[customer_id], 0)), "Unmapped")</f>
        <v>Lithuania</v>
      </c>
      <c r="G730" t="str">
        <f>IFERROR(INDEX(Region_Map[Region], MATCH(orders[[#This Row],[Customer_Country]], Region_Map[Country], 0)), "Unknown")</f>
        <v>Baltics</v>
      </c>
      <c r="H730" t="s">
        <v>6949</v>
      </c>
    </row>
    <row r="731" spans="1:8">
      <c r="A731" t="s">
        <v>1642</v>
      </c>
      <c r="B731" t="s">
        <v>243</v>
      </c>
      <c r="C731" s="1">
        <v>45095</v>
      </c>
      <c r="D731" s="1" t="str">
        <f>PROPER(orders[[#This Row],[order_priority]])</f>
        <v>Standard</v>
      </c>
      <c r="E731" t="s">
        <v>13319</v>
      </c>
      <c r="F731" t="str">
        <f>IFERROR(INDEX(customers[country], MATCH(orders[[#This Row],[customer_id]], customers[customer_id], 0)), "Unmapped")</f>
        <v>Netherlands</v>
      </c>
      <c r="G731" t="str">
        <f>IFERROR(INDEX(Region_Map[Region], MATCH(orders[[#This Row],[Customer_Country]], Region_Map[Country], 0)), "Unknown")</f>
        <v>Central Europe</v>
      </c>
      <c r="H731" t="s">
        <v>6949</v>
      </c>
    </row>
    <row r="732" spans="1:8">
      <c r="A732" t="s">
        <v>1643</v>
      </c>
      <c r="B732" t="s">
        <v>611</v>
      </c>
      <c r="C732" s="1">
        <v>45248</v>
      </c>
      <c r="D732" s="1" t="str">
        <f>PROPER(orders[[#This Row],[order_priority]])</f>
        <v>Express</v>
      </c>
      <c r="E732" t="s">
        <v>13318</v>
      </c>
      <c r="F732" t="str">
        <f>IFERROR(INDEX(customers[country], MATCH(orders[[#This Row],[customer_id]], customers[customer_id], 0)), "Unmapped")</f>
        <v>Poland</v>
      </c>
      <c r="G732" t="str">
        <f>IFERROR(INDEX(Region_Map[Region], MATCH(orders[[#This Row],[Customer_Country]], Region_Map[Country], 0)), "Unknown")</f>
        <v>Central Europe</v>
      </c>
      <c r="H732" t="s">
        <v>6949</v>
      </c>
    </row>
    <row r="733" spans="1:8">
      <c r="A733" t="s">
        <v>1644</v>
      </c>
      <c r="B733" t="s">
        <v>353</v>
      </c>
      <c r="C733" s="1">
        <v>45098</v>
      </c>
      <c r="D733" s="1" t="str">
        <f>PROPER(orders[[#This Row],[order_priority]])</f>
        <v>Economy</v>
      </c>
      <c r="E733" t="s">
        <v>13328</v>
      </c>
      <c r="F733" t="str">
        <f>IFERROR(INDEX(customers[country], MATCH(orders[[#This Row],[customer_id]], customers[customer_id], 0)), "Unmapped")</f>
        <v>Estonia</v>
      </c>
      <c r="G733" t="str">
        <f>IFERROR(INDEX(Region_Map[Region], MATCH(orders[[#This Row],[Customer_Country]], Region_Map[Country], 0)), "Unknown")</f>
        <v>Baltics</v>
      </c>
      <c r="H733" t="s">
        <v>6949</v>
      </c>
    </row>
    <row r="734" spans="1:8">
      <c r="A734" t="s">
        <v>1645</v>
      </c>
      <c r="B734" t="s">
        <v>476</v>
      </c>
      <c r="C734" s="1">
        <v>45233</v>
      </c>
      <c r="D734" s="1" t="str">
        <f>PROPER(orders[[#This Row],[order_priority]])</f>
        <v>Same Day</v>
      </c>
      <c r="E734" t="s">
        <v>13322</v>
      </c>
      <c r="F734" t="str">
        <f>IFERROR(INDEX(customers[country], MATCH(orders[[#This Row],[customer_id]], customers[customer_id], 0)), "Unmapped")</f>
        <v>Norway</v>
      </c>
      <c r="G734" t="str">
        <f>IFERROR(INDEX(Region_Map[Region], MATCH(orders[[#This Row],[Customer_Country]], Region_Map[Country], 0)), "Unknown")</f>
        <v>Nordics</v>
      </c>
      <c r="H734" t="s">
        <v>6949</v>
      </c>
    </row>
    <row r="735" spans="1:8">
      <c r="A735" t="s">
        <v>1646</v>
      </c>
      <c r="B735" t="s">
        <v>261</v>
      </c>
      <c r="C735" s="1">
        <v>45569</v>
      </c>
      <c r="D735" s="1" t="str">
        <f>PROPER(orders[[#This Row],[order_priority]])</f>
        <v>Economy</v>
      </c>
      <c r="E735" t="s">
        <v>13316</v>
      </c>
      <c r="F735" t="str">
        <f>IFERROR(INDEX(customers[country], MATCH(orders[[#This Row],[customer_id]], customers[customer_id], 0)), "Unmapped")</f>
        <v>Germany</v>
      </c>
      <c r="G735" t="str">
        <f>IFERROR(INDEX(Region_Map[Region], MATCH(orders[[#This Row],[Customer_Country]], Region_Map[Country], 0)), "Unknown")</f>
        <v>Central Europe</v>
      </c>
      <c r="H735" t="s">
        <v>6949</v>
      </c>
    </row>
    <row r="736" spans="1:8">
      <c r="A736" t="s">
        <v>1647</v>
      </c>
      <c r="B736" t="s">
        <v>187</v>
      </c>
      <c r="C736" s="1">
        <v>45054</v>
      </c>
      <c r="D736" s="1" t="str">
        <f>PROPER(orders[[#This Row],[order_priority]])</f>
        <v>Standard</v>
      </c>
      <c r="E736" t="s">
        <v>13317</v>
      </c>
      <c r="F736" t="str">
        <f>IFERROR(INDEX(customers[country], MATCH(orders[[#This Row],[customer_id]], customers[customer_id], 0)), "Unmapped")</f>
        <v>Latvia</v>
      </c>
      <c r="G736" t="str">
        <f>IFERROR(INDEX(Region_Map[Region], MATCH(orders[[#This Row],[Customer_Country]], Region_Map[Country], 0)), "Unknown")</f>
        <v>Baltics</v>
      </c>
      <c r="H736" t="s">
        <v>6949</v>
      </c>
    </row>
    <row r="737" spans="1:8">
      <c r="A737" t="s">
        <v>1648</v>
      </c>
      <c r="B737" t="s">
        <v>620</v>
      </c>
      <c r="C737" s="1">
        <v>45475</v>
      </c>
      <c r="D737" s="1" t="str">
        <f>PROPER(orders[[#This Row],[order_priority]])</f>
        <v>Standard</v>
      </c>
      <c r="E737" t="s">
        <v>13317</v>
      </c>
      <c r="F737" t="str">
        <f>IFERROR(INDEX(customers[country], MATCH(orders[[#This Row],[customer_id]], customers[customer_id], 0)), "Unmapped")</f>
        <v>Latvia</v>
      </c>
      <c r="G737" t="str">
        <f>IFERROR(INDEX(Region_Map[Region], MATCH(orders[[#This Row],[Customer_Country]], Region_Map[Country], 0)), "Unknown")</f>
        <v>Baltics</v>
      </c>
      <c r="H737" t="s">
        <v>6949</v>
      </c>
    </row>
    <row r="738" spans="1:8">
      <c r="A738" t="s">
        <v>1649</v>
      </c>
      <c r="B738" t="s">
        <v>13336</v>
      </c>
      <c r="C738" s="1">
        <v>44938</v>
      </c>
      <c r="D738" s="1" t="str">
        <f>PROPER(orders[[#This Row],[order_priority]])</f>
        <v>Economy</v>
      </c>
      <c r="E738" t="s">
        <v>13316</v>
      </c>
      <c r="F738" t="str">
        <f>IFERROR(INDEX(customers[country], MATCH(orders[[#This Row],[customer_id]], customers[customer_id], 0)), "Unmapped")</f>
        <v>Unmapped</v>
      </c>
      <c r="G738" t="str">
        <f>IFERROR(INDEX(Region_Map[Region], MATCH(orders[[#This Row],[Customer_Country]], Region_Map[Country], 0)), "Unknown")</f>
        <v>Unknown</v>
      </c>
      <c r="H738" t="s">
        <v>6949</v>
      </c>
    </row>
    <row r="739" spans="1:8">
      <c r="A739" t="s">
        <v>1650</v>
      </c>
      <c r="B739" t="s">
        <v>763</v>
      </c>
      <c r="C739" s="1">
        <v>45196</v>
      </c>
      <c r="D739" s="1" t="str">
        <f>PROPER(orders[[#This Row],[order_priority]])</f>
        <v>Standard</v>
      </c>
      <c r="E739" t="s">
        <v>13323</v>
      </c>
      <c r="F739" t="str">
        <f>IFERROR(INDEX(customers[country], MATCH(orders[[#This Row],[customer_id]], customers[customer_id], 0)), "Unmapped")</f>
        <v>Estonia</v>
      </c>
      <c r="G739" t="str">
        <f>IFERROR(INDEX(Region_Map[Region], MATCH(orders[[#This Row],[Customer_Country]], Region_Map[Country], 0)), "Unknown")</f>
        <v>Baltics</v>
      </c>
      <c r="H739" t="s">
        <v>6949</v>
      </c>
    </row>
    <row r="740" spans="1:8">
      <c r="A740" t="s">
        <v>1651</v>
      </c>
      <c r="B740" t="s">
        <v>676</v>
      </c>
      <c r="C740" s="1">
        <v>45091</v>
      </c>
      <c r="D740" s="1" t="str">
        <f>PROPER(orders[[#This Row],[order_priority]])</f>
        <v>Same Day</v>
      </c>
      <c r="E740" t="s">
        <v>13322</v>
      </c>
      <c r="F740" t="str">
        <f>IFERROR(INDEX(customers[country], MATCH(orders[[#This Row],[customer_id]], customers[customer_id], 0)), "Unmapped")</f>
        <v>Latvia</v>
      </c>
      <c r="G740" t="str">
        <f>IFERROR(INDEX(Region_Map[Region], MATCH(orders[[#This Row],[Customer_Country]], Region_Map[Country], 0)), "Unknown")</f>
        <v>Baltics</v>
      </c>
      <c r="H740" t="s">
        <v>6949</v>
      </c>
    </row>
    <row r="741" spans="1:8">
      <c r="A741" t="s">
        <v>1652</v>
      </c>
      <c r="B741" t="s">
        <v>691</v>
      </c>
      <c r="C741" s="1">
        <v>45052</v>
      </c>
      <c r="D741" s="1" t="str">
        <f>PROPER(orders[[#This Row],[order_priority]])</f>
        <v>Economy</v>
      </c>
      <c r="E741" t="s">
        <v>13316</v>
      </c>
      <c r="F741" t="str">
        <f>IFERROR(INDEX(customers[country], MATCH(orders[[#This Row],[customer_id]], customers[customer_id], 0)), "Unmapped")</f>
        <v>Latvia</v>
      </c>
      <c r="G741" t="str">
        <f>IFERROR(INDEX(Region_Map[Region], MATCH(orders[[#This Row],[Customer_Country]], Region_Map[Country], 0)), "Unknown")</f>
        <v>Baltics</v>
      </c>
      <c r="H741" t="s">
        <v>6949</v>
      </c>
    </row>
    <row r="742" spans="1:8">
      <c r="A742" t="s">
        <v>1653</v>
      </c>
      <c r="B742" t="s">
        <v>335</v>
      </c>
      <c r="C742" s="1">
        <v>45224</v>
      </c>
      <c r="D742" s="1" t="str">
        <f>PROPER(orders[[#This Row],[order_priority]])</f>
        <v>Same Day</v>
      </c>
      <c r="E742" t="s">
        <v>13322</v>
      </c>
      <c r="F742" t="str">
        <f>IFERROR(INDEX(customers[country], MATCH(orders[[#This Row],[customer_id]], customers[customer_id], 0)), "Unmapped")</f>
        <v>Denmark</v>
      </c>
      <c r="G742" t="str">
        <f>IFERROR(INDEX(Region_Map[Region], MATCH(orders[[#This Row],[Customer_Country]], Region_Map[Country], 0)), "Unknown")</f>
        <v>Nordics</v>
      </c>
      <c r="H742" t="s">
        <v>6949</v>
      </c>
    </row>
    <row r="743" spans="1:8">
      <c r="A743" t="s">
        <v>1654</v>
      </c>
      <c r="B743" t="s">
        <v>746</v>
      </c>
      <c r="C743" s="1">
        <v>45333</v>
      </c>
      <c r="D743" s="1" t="str">
        <f>PROPER(orders[[#This Row],[order_priority]])</f>
        <v>Same Day</v>
      </c>
      <c r="E743" t="s">
        <v>13322</v>
      </c>
      <c r="F743" t="str">
        <f>IFERROR(INDEX(customers[country], MATCH(orders[[#This Row],[customer_id]], customers[customer_id], 0)), "Unmapped")</f>
        <v>Poland</v>
      </c>
      <c r="G743" t="str">
        <f>IFERROR(INDEX(Region_Map[Region], MATCH(orders[[#This Row],[Customer_Country]], Region_Map[Country], 0)), "Unknown")</f>
        <v>Central Europe</v>
      </c>
      <c r="H743" t="s">
        <v>6949</v>
      </c>
    </row>
    <row r="744" spans="1:8">
      <c r="A744" t="s">
        <v>1655</v>
      </c>
      <c r="B744" t="s">
        <v>676</v>
      </c>
      <c r="C744" s="1">
        <v>45187</v>
      </c>
      <c r="D744" s="1" t="str">
        <f>PROPER(orders[[#This Row],[order_priority]])</f>
        <v>Express</v>
      </c>
      <c r="E744" t="s">
        <v>13318</v>
      </c>
      <c r="F744" t="str">
        <f>IFERROR(INDEX(customers[country], MATCH(orders[[#This Row],[customer_id]], customers[customer_id], 0)), "Unmapped")</f>
        <v>Latvia</v>
      </c>
      <c r="G744" t="str">
        <f>IFERROR(INDEX(Region_Map[Region], MATCH(orders[[#This Row],[Customer_Country]], Region_Map[Country], 0)), "Unknown")</f>
        <v>Baltics</v>
      </c>
      <c r="H744" t="s">
        <v>6949</v>
      </c>
    </row>
    <row r="745" spans="1:8">
      <c r="A745" t="s">
        <v>1656</v>
      </c>
      <c r="B745" t="s">
        <v>160</v>
      </c>
      <c r="C745" s="1">
        <v>45605</v>
      </c>
      <c r="D745" s="1" t="str">
        <f>PROPER(orders[[#This Row],[order_priority]])</f>
        <v>Same Day</v>
      </c>
      <c r="E745" t="s">
        <v>13322</v>
      </c>
      <c r="F745" t="str">
        <f>IFERROR(INDEX(customers[country], MATCH(orders[[#This Row],[customer_id]], customers[customer_id], 0)), "Unmapped")</f>
        <v>Denmark</v>
      </c>
      <c r="G745" t="str">
        <f>IFERROR(INDEX(Region_Map[Region], MATCH(orders[[#This Row],[Customer_Country]], Region_Map[Country], 0)), "Unknown")</f>
        <v>Nordics</v>
      </c>
      <c r="H745" t="s">
        <v>6949</v>
      </c>
    </row>
    <row r="746" spans="1:8">
      <c r="A746" t="s">
        <v>1657</v>
      </c>
      <c r="B746" t="s">
        <v>124</v>
      </c>
      <c r="C746" s="1">
        <v>45587</v>
      </c>
      <c r="D746" s="1" t="str">
        <f>PROPER(orders[[#This Row],[order_priority]])</f>
        <v>Express</v>
      </c>
      <c r="E746" t="s">
        <v>13318</v>
      </c>
      <c r="F746" t="str">
        <f>IFERROR(INDEX(customers[country], MATCH(orders[[#This Row],[customer_id]], customers[customer_id], 0)), "Unmapped")</f>
        <v>Lithuania</v>
      </c>
      <c r="G746" t="str">
        <f>IFERROR(INDEX(Region_Map[Region], MATCH(orders[[#This Row],[Customer_Country]], Region_Map[Country], 0)), "Unknown")</f>
        <v>Baltics</v>
      </c>
      <c r="H746" t="s">
        <v>6949</v>
      </c>
    </row>
    <row r="747" spans="1:8">
      <c r="A747" t="s">
        <v>1658</v>
      </c>
      <c r="B747" t="s">
        <v>778</v>
      </c>
      <c r="C747" s="1">
        <v>45105</v>
      </c>
      <c r="D747" s="1" t="str">
        <f>PROPER(orders[[#This Row],[order_priority]])</f>
        <v>Economy</v>
      </c>
      <c r="E747" t="s">
        <v>13316</v>
      </c>
      <c r="F747" t="str">
        <f>IFERROR(INDEX(customers[country], MATCH(orders[[#This Row],[customer_id]], customers[customer_id], 0)), "Unmapped")</f>
        <v>Estonia</v>
      </c>
      <c r="G747" t="str">
        <f>IFERROR(INDEX(Region_Map[Region], MATCH(orders[[#This Row],[Customer_Country]], Region_Map[Country], 0)), "Unknown")</f>
        <v>Baltics</v>
      </c>
      <c r="H747" t="s">
        <v>6949</v>
      </c>
    </row>
    <row r="748" spans="1:8">
      <c r="A748" t="s">
        <v>1659</v>
      </c>
      <c r="B748" t="s">
        <v>727</v>
      </c>
      <c r="C748" s="1">
        <v>45529</v>
      </c>
      <c r="D748" s="1" t="str">
        <f>PROPER(orders[[#This Row],[order_priority]])</f>
        <v>Same Day</v>
      </c>
      <c r="E748" t="s">
        <v>13322</v>
      </c>
      <c r="F748" t="str">
        <f>IFERROR(INDEX(customers[country], MATCH(orders[[#This Row],[customer_id]], customers[customer_id], 0)), "Unmapped")</f>
        <v>Sweden</v>
      </c>
      <c r="G748" t="str">
        <f>IFERROR(INDEX(Region_Map[Region], MATCH(orders[[#This Row],[Customer_Country]], Region_Map[Country], 0)), "Unknown")</f>
        <v>Nordics</v>
      </c>
      <c r="H748" t="s">
        <v>6949</v>
      </c>
    </row>
    <row r="749" spans="1:8">
      <c r="A749" t="s">
        <v>1660</v>
      </c>
      <c r="B749" t="s">
        <v>805</v>
      </c>
      <c r="C749" s="1">
        <v>45078</v>
      </c>
      <c r="D749" s="1" t="str">
        <f>PROPER(orders[[#This Row],[order_priority]])</f>
        <v>Economy</v>
      </c>
      <c r="E749" t="s">
        <v>13316</v>
      </c>
      <c r="F749" t="str">
        <f>IFERROR(INDEX(customers[country], MATCH(orders[[#This Row],[customer_id]], customers[customer_id], 0)), "Unmapped")</f>
        <v>Estonia</v>
      </c>
      <c r="G749" t="str">
        <f>IFERROR(INDEX(Region_Map[Region], MATCH(orders[[#This Row],[Customer_Country]], Region_Map[Country], 0)), "Unknown")</f>
        <v>Baltics</v>
      </c>
      <c r="H749" t="s">
        <v>6949</v>
      </c>
    </row>
    <row r="750" spans="1:8">
      <c r="A750" t="s">
        <v>1661</v>
      </c>
      <c r="B750" t="s">
        <v>210</v>
      </c>
      <c r="C750" s="1">
        <v>45227</v>
      </c>
      <c r="D750" s="1" t="str">
        <f>PROPER(orders[[#This Row],[order_priority]])</f>
        <v>Same Day</v>
      </c>
      <c r="E750" t="s">
        <v>13322</v>
      </c>
      <c r="F750" t="str">
        <f>IFERROR(INDEX(customers[country], MATCH(orders[[#This Row],[customer_id]], customers[customer_id], 0)), "Unmapped")</f>
        <v>Finland</v>
      </c>
      <c r="G750" t="str">
        <f>IFERROR(INDEX(Region_Map[Region], MATCH(orders[[#This Row],[Customer_Country]], Region_Map[Country], 0)), "Unknown")</f>
        <v>Nordics</v>
      </c>
      <c r="H750" t="s">
        <v>6949</v>
      </c>
    </row>
    <row r="751" spans="1:8">
      <c r="A751" t="s">
        <v>1662</v>
      </c>
      <c r="B751" t="s">
        <v>80</v>
      </c>
      <c r="C751" s="1">
        <v>45579</v>
      </c>
      <c r="D751" s="1" t="str">
        <f>PROPER(orders[[#This Row],[order_priority]])</f>
        <v>Same Day</v>
      </c>
      <c r="E751" t="s">
        <v>13322</v>
      </c>
      <c r="F751" t="str">
        <f>IFERROR(INDEX(customers[country], MATCH(orders[[#This Row],[customer_id]], customers[customer_id], 0)), "Unmapped")</f>
        <v>Finland</v>
      </c>
      <c r="G751" t="str">
        <f>IFERROR(INDEX(Region_Map[Region], MATCH(orders[[#This Row],[Customer_Country]], Region_Map[Country], 0)), "Unknown")</f>
        <v>Nordics</v>
      </c>
      <c r="H751" t="s">
        <v>6949</v>
      </c>
    </row>
    <row r="752" spans="1:8">
      <c r="A752" t="s">
        <v>1663</v>
      </c>
      <c r="B752" t="s">
        <v>539</v>
      </c>
      <c r="C752" s="1">
        <v>45284</v>
      </c>
      <c r="D752" s="1" t="str">
        <f>PROPER(orders[[#This Row],[order_priority]])</f>
        <v>Same Day</v>
      </c>
      <c r="E752" t="s">
        <v>13322</v>
      </c>
      <c r="F752" t="str">
        <f>IFERROR(INDEX(customers[country], MATCH(orders[[#This Row],[customer_id]], customers[customer_id], 0)), "Unmapped")</f>
        <v>Sweden</v>
      </c>
      <c r="G752" t="str">
        <f>IFERROR(INDEX(Region_Map[Region], MATCH(orders[[#This Row],[Customer_Country]], Region_Map[Country], 0)), "Unknown")</f>
        <v>Nordics</v>
      </c>
      <c r="H752" t="s">
        <v>6949</v>
      </c>
    </row>
    <row r="753" spans="1:8">
      <c r="A753" t="s">
        <v>1664</v>
      </c>
      <c r="B753" t="s">
        <v>178</v>
      </c>
      <c r="C753" s="1">
        <v>45289</v>
      </c>
      <c r="D753" s="1" t="str">
        <f>PROPER(orders[[#This Row],[order_priority]])</f>
        <v>Express</v>
      </c>
      <c r="E753" t="s">
        <v>13318</v>
      </c>
      <c r="F753" t="str">
        <f>IFERROR(INDEX(customers[country], MATCH(orders[[#This Row],[customer_id]], customers[customer_id], 0)), "Unmapped")</f>
        <v>Poland</v>
      </c>
      <c r="G753" t="str">
        <f>IFERROR(INDEX(Region_Map[Region], MATCH(orders[[#This Row],[Customer_Country]], Region_Map[Country], 0)), "Unknown")</f>
        <v>Central Europe</v>
      </c>
      <c r="H753" t="s">
        <v>6949</v>
      </c>
    </row>
    <row r="754" spans="1:8">
      <c r="A754" t="s">
        <v>1665</v>
      </c>
      <c r="B754" t="s">
        <v>593</v>
      </c>
      <c r="C754" s="1">
        <v>45159</v>
      </c>
      <c r="D754" s="1" t="str">
        <f>PROPER(orders[[#This Row],[order_priority]])</f>
        <v>Economy</v>
      </c>
      <c r="E754" t="s">
        <v>13328</v>
      </c>
      <c r="F754" t="str">
        <f>IFERROR(INDEX(customers[country], MATCH(orders[[#This Row],[customer_id]], customers[customer_id], 0)), "Unmapped")</f>
        <v>Estonia</v>
      </c>
      <c r="G754" t="str">
        <f>IFERROR(INDEX(Region_Map[Region], MATCH(orders[[#This Row],[Customer_Country]], Region_Map[Country], 0)), "Unknown")</f>
        <v>Baltics</v>
      </c>
      <c r="H754" t="s">
        <v>6949</v>
      </c>
    </row>
    <row r="755" spans="1:8">
      <c r="A755" t="s">
        <v>1666</v>
      </c>
      <c r="B755" t="s">
        <v>464</v>
      </c>
      <c r="C755" s="1">
        <v>45319</v>
      </c>
      <c r="D755" s="1" t="str">
        <f>PROPER(orders[[#This Row],[order_priority]])</f>
        <v>Same Day</v>
      </c>
      <c r="E755" t="s">
        <v>13322</v>
      </c>
      <c r="F755" t="str">
        <f>IFERROR(INDEX(customers[country], MATCH(orders[[#This Row],[customer_id]], customers[customer_id], 0)), "Unmapped")</f>
        <v>Finland</v>
      </c>
      <c r="G755" t="str">
        <f>IFERROR(INDEX(Region_Map[Region], MATCH(orders[[#This Row],[Customer_Country]], Region_Map[Country], 0)), "Unknown")</f>
        <v>Nordics</v>
      </c>
      <c r="H755" t="s">
        <v>6949</v>
      </c>
    </row>
    <row r="756" spans="1:8">
      <c r="A756" t="s">
        <v>1667</v>
      </c>
      <c r="B756" t="s">
        <v>192</v>
      </c>
      <c r="C756" s="1">
        <v>45267</v>
      </c>
      <c r="D756" s="1" t="str">
        <f>PROPER(orders[[#This Row],[order_priority]])</f>
        <v>Same Day</v>
      </c>
      <c r="E756" t="s">
        <v>13322</v>
      </c>
      <c r="F756" t="str">
        <f>IFERROR(INDEX(customers[country], MATCH(orders[[#This Row],[customer_id]], customers[customer_id], 0)), "Unmapped")</f>
        <v>Estonia</v>
      </c>
      <c r="G756" t="str">
        <f>IFERROR(INDEX(Region_Map[Region], MATCH(orders[[#This Row],[Customer_Country]], Region_Map[Country], 0)), "Unknown")</f>
        <v>Baltics</v>
      </c>
      <c r="H756" t="s">
        <v>6949</v>
      </c>
    </row>
    <row r="757" spans="1:8">
      <c r="A757" t="s">
        <v>1668</v>
      </c>
      <c r="B757" t="s">
        <v>819</v>
      </c>
      <c r="C757" s="1">
        <v>45217</v>
      </c>
      <c r="D757" s="1" t="str">
        <f>PROPER(orders[[#This Row],[order_priority]])</f>
        <v>Express</v>
      </c>
      <c r="E757" t="s">
        <v>13320</v>
      </c>
      <c r="F757" t="str">
        <f>IFERROR(INDEX(customers[country], MATCH(orders[[#This Row],[customer_id]], customers[customer_id], 0)), "Unmapped")</f>
        <v>Estonia</v>
      </c>
      <c r="G757" t="str">
        <f>IFERROR(INDEX(Region_Map[Region], MATCH(orders[[#This Row],[Customer_Country]], Region_Map[Country], 0)), "Unknown")</f>
        <v>Baltics</v>
      </c>
      <c r="H757" t="s">
        <v>6949</v>
      </c>
    </row>
    <row r="758" spans="1:8">
      <c r="A758" t="s">
        <v>1669</v>
      </c>
      <c r="B758" t="s">
        <v>246</v>
      </c>
      <c r="C758" s="1">
        <v>45118</v>
      </c>
      <c r="D758" s="1" t="str">
        <f>PROPER(orders[[#This Row],[order_priority]])</f>
        <v>Standard</v>
      </c>
      <c r="E758" t="s">
        <v>13317</v>
      </c>
      <c r="F758" t="str">
        <f>IFERROR(INDEX(customers[country], MATCH(orders[[#This Row],[customer_id]], customers[customer_id], 0)), "Unmapped")</f>
        <v>Netherlands</v>
      </c>
      <c r="G758" t="str">
        <f>IFERROR(INDEX(Region_Map[Region], MATCH(orders[[#This Row],[Customer_Country]], Region_Map[Country], 0)), "Unknown")</f>
        <v>Central Europe</v>
      </c>
      <c r="H758" t="s">
        <v>6949</v>
      </c>
    </row>
    <row r="759" spans="1:8">
      <c r="A759" t="s">
        <v>1670</v>
      </c>
      <c r="B759" t="s">
        <v>228</v>
      </c>
      <c r="C759" s="1">
        <v>45106</v>
      </c>
      <c r="D759" s="1" t="str">
        <f>PROPER(orders[[#This Row],[order_priority]])</f>
        <v>Express</v>
      </c>
      <c r="E759" t="s">
        <v>13318</v>
      </c>
      <c r="F759" t="str">
        <f>IFERROR(INDEX(customers[country], MATCH(orders[[#This Row],[customer_id]], customers[customer_id], 0)), "Unmapped")</f>
        <v>Latvia</v>
      </c>
      <c r="G759" t="str">
        <f>IFERROR(INDEX(Region_Map[Region], MATCH(orders[[#This Row],[Customer_Country]], Region_Map[Country], 0)), "Unknown")</f>
        <v>Baltics</v>
      </c>
      <c r="H759" t="s">
        <v>6949</v>
      </c>
    </row>
    <row r="760" spans="1:8">
      <c r="A760" t="s">
        <v>1671</v>
      </c>
      <c r="B760" t="s">
        <v>70</v>
      </c>
      <c r="C760" s="1">
        <v>45313</v>
      </c>
      <c r="D760" s="1" t="str">
        <f>PROPER(orders[[#This Row],[order_priority]])</f>
        <v>Economy</v>
      </c>
      <c r="E760" t="s">
        <v>13316</v>
      </c>
      <c r="F760" t="str">
        <f>IFERROR(INDEX(customers[country], MATCH(orders[[#This Row],[customer_id]], customers[customer_id], 0)), "Unmapped")</f>
        <v>Estonia</v>
      </c>
      <c r="G760" t="str">
        <f>IFERROR(INDEX(Region_Map[Region], MATCH(orders[[#This Row],[Customer_Country]], Region_Map[Country], 0)), "Unknown")</f>
        <v>Baltics</v>
      </c>
      <c r="H760" t="s">
        <v>6949</v>
      </c>
    </row>
    <row r="761" spans="1:8">
      <c r="A761" t="s">
        <v>1672</v>
      </c>
      <c r="B761" t="s">
        <v>718</v>
      </c>
      <c r="C761" s="1">
        <v>45286</v>
      </c>
      <c r="D761" s="1" t="str">
        <f>PROPER(orders[[#This Row],[order_priority]])</f>
        <v>Same Day</v>
      </c>
      <c r="E761" t="s">
        <v>13322</v>
      </c>
      <c r="F761" t="str">
        <f>IFERROR(INDEX(customers[country], MATCH(orders[[#This Row],[customer_id]], customers[customer_id], 0)), "Unmapped")</f>
        <v>Netherlands</v>
      </c>
      <c r="G761" t="str">
        <f>IFERROR(INDEX(Region_Map[Region], MATCH(orders[[#This Row],[Customer_Country]], Region_Map[Country], 0)), "Unknown")</f>
        <v>Central Europe</v>
      </c>
      <c r="H761" t="s">
        <v>6949</v>
      </c>
    </row>
    <row r="762" spans="1:8">
      <c r="A762" t="s">
        <v>1673</v>
      </c>
      <c r="B762" t="s">
        <v>425</v>
      </c>
      <c r="C762" s="1">
        <v>45033</v>
      </c>
      <c r="D762" s="1" t="str">
        <f>PROPER(orders[[#This Row],[order_priority]])</f>
        <v>Express</v>
      </c>
      <c r="E762" t="s">
        <v>13318</v>
      </c>
      <c r="F762" t="str">
        <f>IFERROR(INDEX(customers[country], MATCH(orders[[#This Row],[customer_id]], customers[customer_id], 0)), "Unmapped")</f>
        <v>Denmark</v>
      </c>
      <c r="G762" t="str">
        <f>IFERROR(INDEX(Region_Map[Region], MATCH(orders[[#This Row],[Customer_Country]], Region_Map[Country], 0)), "Unknown")</f>
        <v>Nordics</v>
      </c>
      <c r="H762" t="s">
        <v>6949</v>
      </c>
    </row>
    <row r="763" spans="1:8">
      <c r="A763" t="s">
        <v>1674</v>
      </c>
      <c r="B763" t="s">
        <v>58</v>
      </c>
      <c r="C763" s="1">
        <v>44945</v>
      </c>
      <c r="D763" s="1" t="str">
        <f>PROPER(orders[[#This Row],[order_priority]])</f>
        <v>Express</v>
      </c>
      <c r="E763" t="s">
        <v>13320</v>
      </c>
      <c r="F763" t="str">
        <f>IFERROR(INDEX(customers[country], MATCH(orders[[#This Row],[customer_id]], customers[customer_id], 0)), "Unmapped")</f>
        <v>Germany</v>
      </c>
      <c r="G763" t="str">
        <f>IFERROR(INDEX(Region_Map[Region], MATCH(orders[[#This Row],[Customer_Country]], Region_Map[Country], 0)), "Unknown")</f>
        <v>Central Europe</v>
      </c>
      <c r="H763" t="s">
        <v>6949</v>
      </c>
    </row>
    <row r="764" spans="1:8">
      <c r="A764" t="s">
        <v>1675</v>
      </c>
      <c r="B764" t="s">
        <v>51</v>
      </c>
      <c r="C764" s="1">
        <v>45093</v>
      </c>
      <c r="D764" s="1" t="str">
        <f>PROPER(orders[[#This Row],[order_priority]])</f>
        <v>Same Day</v>
      </c>
      <c r="E764" t="s">
        <v>13322</v>
      </c>
      <c r="F764" t="str">
        <f>IFERROR(INDEX(customers[country], MATCH(orders[[#This Row],[customer_id]], customers[customer_id], 0)), "Unmapped")</f>
        <v>Germany</v>
      </c>
      <c r="G764" t="str">
        <f>IFERROR(INDEX(Region_Map[Region], MATCH(orders[[#This Row],[Customer_Country]], Region_Map[Country], 0)), "Unknown")</f>
        <v>Central Europe</v>
      </c>
      <c r="H764" t="s">
        <v>6949</v>
      </c>
    </row>
    <row r="765" spans="1:8">
      <c r="A765" t="s">
        <v>1676</v>
      </c>
      <c r="B765" t="s">
        <v>341</v>
      </c>
      <c r="C765" s="1">
        <v>45240</v>
      </c>
      <c r="D765" s="1" t="str">
        <f>PROPER(orders[[#This Row],[order_priority]])</f>
        <v>Economy</v>
      </c>
      <c r="E765" t="s">
        <v>13316</v>
      </c>
      <c r="F765" t="str">
        <f>IFERROR(INDEX(customers[country], MATCH(orders[[#This Row],[customer_id]], customers[customer_id], 0)), "Unmapped")</f>
        <v>Latvia</v>
      </c>
      <c r="G765" t="str">
        <f>IFERROR(INDEX(Region_Map[Region], MATCH(orders[[#This Row],[Customer_Country]], Region_Map[Country], 0)), "Unknown")</f>
        <v>Baltics</v>
      </c>
      <c r="H765" t="s">
        <v>6949</v>
      </c>
    </row>
    <row r="766" spans="1:8">
      <c r="A766" t="s">
        <v>1677</v>
      </c>
      <c r="B766" t="s">
        <v>198</v>
      </c>
      <c r="C766" s="1">
        <v>45177</v>
      </c>
      <c r="D766" s="1" t="str">
        <f>PROPER(orders[[#This Row],[order_priority]])</f>
        <v>Economy</v>
      </c>
      <c r="E766" t="s">
        <v>13316</v>
      </c>
      <c r="F766" t="str">
        <f>IFERROR(INDEX(customers[country], MATCH(orders[[#This Row],[customer_id]], customers[customer_id], 0)), "Unmapped")</f>
        <v>Poland</v>
      </c>
      <c r="G766" t="str">
        <f>IFERROR(INDEX(Region_Map[Region], MATCH(orders[[#This Row],[Customer_Country]], Region_Map[Country], 0)), "Unknown")</f>
        <v>Central Europe</v>
      </c>
      <c r="H766" t="s">
        <v>6949</v>
      </c>
    </row>
    <row r="767" spans="1:8">
      <c r="A767" t="s">
        <v>1678</v>
      </c>
      <c r="B767" t="s">
        <v>184</v>
      </c>
      <c r="C767" s="1">
        <v>44937</v>
      </c>
      <c r="D767" s="1" t="str">
        <f>PROPER(orders[[#This Row],[order_priority]])</f>
        <v>Standard</v>
      </c>
      <c r="E767" t="s">
        <v>13317</v>
      </c>
      <c r="F767" t="str">
        <f>IFERROR(INDEX(customers[country], MATCH(orders[[#This Row],[customer_id]], customers[customer_id], 0)), "Unmapped")</f>
        <v>Netherlands</v>
      </c>
      <c r="G767" t="str">
        <f>IFERROR(INDEX(Region_Map[Region], MATCH(orders[[#This Row],[Customer_Country]], Region_Map[Country], 0)), "Unknown")</f>
        <v>Central Europe</v>
      </c>
      <c r="H767" t="s">
        <v>6949</v>
      </c>
    </row>
    <row r="768" spans="1:8">
      <c r="A768" t="s">
        <v>1679</v>
      </c>
      <c r="B768" t="s">
        <v>846</v>
      </c>
      <c r="C768" s="1">
        <v>45113</v>
      </c>
      <c r="D768" s="1" t="str">
        <f>PROPER(orders[[#This Row],[order_priority]])</f>
        <v>Same Day</v>
      </c>
      <c r="E768" t="s">
        <v>13322</v>
      </c>
      <c r="F768" t="str">
        <f>IFERROR(INDEX(customers[country], MATCH(orders[[#This Row],[customer_id]], customers[customer_id], 0)), "Unmapped")</f>
        <v>Netherlands</v>
      </c>
      <c r="G768" t="str">
        <f>IFERROR(INDEX(Region_Map[Region], MATCH(orders[[#This Row],[Customer_Country]], Region_Map[Country], 0)), "Unknown")</f>
        <v>Central Europe</v>
      </c>
      <c r="H768" t="s">
        <v>6949</v>
      </c>
    </row>
    <row r="769" spans="1:8">
      <c r="A769" t="s">
        <v>1680</v>
      </c>
      <c r="B769" t="s">
        <v>861</v>
      </c>
      <c r="C769" s="1">
        <v>45590</v>
      </c>
      <c r="D769" s="1" t="str">
        <f>PROPER(orders[[#This Row],[order_priority]])</f>
        <v>Express</v>
      </c>
      <c r="E769" t="s">
        <v>13326</v>
      </c>
      <c r="F769" t="str">
        <f>IFERROR(INDEX(customers[country], MATCH(orders[[#This Row],[customer_id]], customers[customer_id], 0)), "Unmapped")</f>
        <v>Latvia</v>
      </c>
      <c r="G769" t="str">
        <f>IFERROR(INDEX(Region_Map[Region], MATCH(orders[[#This Row],[Customer_Country]], Region_Map[Country], 0)), "Unknown")</f>
        <v>Baltics</v>
      </c>
      <c r="H769" t="s">
        <v>6949</v>
      </c>
    </row>
    <row r="770" spans="1:8">
      <c r="A770" t="s">
        <v>1681</v>
      </c>
      <c r="B770" t="s">
        <v>691</v>
      </c>
      <c r="C770" s="1">
        <v>45332</v>
      </c>
      <c r="D770" s="1" t="str">
        <f>PROPER(orders[[#This Row],[order_priority]])</f>
        <v>Standard</v>
      </c>
      <c r="E770" t="s">
        <v>13317</v>
      </c>
      <c r="F770" t="str">
        <f>IFERROR(INDEX(customers[country], MATCH(orders[[#This Row],[customer_id]], customers[customer_id], 0)), "Unmapped")</f>
        <v>Latvia</v>
      </c>
      <c r="G770" t="str">
        <f>IFERROR(INDEX(Region_Map[Region], MATCH(orders[[#This Row],[Customer_Country]], Region_Map[Country], 0)), "Unknown")</f>
        <v>Baltics</v>
      </c>
      <c r="H770" t="s">
        <v>6949</v>
      </c>
    </row>
    <row r="771" spans="1:8">
      <c r="A771" t="s">
        <v>1682</v>
      </c>
      <c r="B771" t="s">
        <v>611</v>
      </c>
      <c r="C771" s="1">
        <v>45246</v>
      </c>
      <c r="D771" s="1" t="str">
        <f>PROPER(orders[[#This Row],[order_priority]])</f>
        <v>Same Day</v>
      </c>
      <c r="E771" t="s">
        <v>13322</v>
      </c>
      <c r="F771" t="str">
        <f>IFERROR(INDEX(customers[country], MATCH(orders[[#This Row],[customer_id]], customers[customer_id], 0)), "Unmapped")</f>
        <v>Poland</v>
      </c>
      <c r="G771" t="str">
        <f>IFERROR(INDEX(Region_Map[Region], MATCH(orders[[#This Row],[Customer_Country]], Region_Map[Country], 0)), "Unknown")</f>
        <v>Central Europe</v>
      </c>
      <c r="H771" t="s">
        <v>6949</v>
      </c>
    </row>
    <row r="772" spans="1:8">
      <c r="A772" t="s">
        <v>1683</v>
      </c>
      <c r="B772" t="s">
        <v>252</v>
      </c>
      <c r="C772" s="1">
        <v>45013</v>
      </c>
      <c r="D772" s="1" t="str">
        <f>PROPER(orders[[#This Row],[order_priority]])</f>
        <v>Same Day</v>
      </c>
      <c r="E772" t="s">
        <v>13322</v>
      </c>
      <c r="F772" t="str">
        <f>IFERROR(INDEX(customers[country], MATCH(orders[[#This Row],[customer_id]], customers[customer_id], 0)), "Unmapped")</f>
        <v>Lithuania</v>
      </c>
      <c r="G772" t="str">
        <f>IFERROR(INDEX(Region_Map[Region], MATCH(orders[[#This Row],[Customer_Country]], Region_Map[Country], 0)), "Unknown")</f>
        <v>Baltics</v>
      </c>
      <c r="H772" t="s">
        <v>6949</v>
      </c>
    </row>
    <row r="773" spans="1:8">
      <c r="A773" t="s">
        <v>1684</v>
      </c>
      <c r="B773" t="s">
        <v>741</v>
      </c>
      <c r="C773" s="1">
        <v>45598</v>
      </c>
      <c r="D773" s="1" t="str">
        <f>PROPER(orders[[#This Row],[order_priority]])</f>
        <v>Express</v>
      </c>
      <c r="E773" t="s">
        <v>13326</v>
      </c>
      <c r="F773" t="str">
        <f>IFERROR(INDEX(customers[country], MATCH(orders[[#This Row],[customer_id]], customers[customer_id], 0)), "Unmapped")</f>
        <v>Germany</v>
      </c>
      <c r="G773" t="str">
        <f>IFERROR(INDEX(Region_Map[Region], MATCH(orders[[#This Row],[Customer_Country]], Region_Map[Country], 0)), "Unknown")</f>
        <v>Central Europe</v>
      </c>
      <c r="H773" t="s">
        <v>6949</v>
      </c>
    </row>
    <row r="774" spans="1:8">
      <c r="A774" t="s">
        <v>1685</v>
      </c>
      <c r="B774" t="s">
        <v>802</v>
      </c>
      <c r="C774" s="1">
        <v>45455</v>
      </c>
      <c r="D774" s="1" t="str">
        <f>PROPER(orders[[#This Row],[order_priority]])</f>
        <v>Express</v>
      </c>
      <c r="E774" t="s">
        <v>13320</v>
      </c>
      <c r="F774" t="str">
        <f>IFERROR(INDEX(customers[country], MATCH(orders[[#This Row],[customer_id]], customers[customer_id], 0)), "Unmapped")</f>
        <v>Poland</v>
      </c>
      <c r="G774" t="str">
        <f>IFERROR(INDEX(Region_Map[Region], MATCH(orders[[#This Row],[Customer_Country]], Region_Map[Country], 0)), "Unknown")</f>
        <v>Central Europe</v>
      </c>
      <c r="H774" t="s">
        <v>6949</v>
      </c>
    </row>
    <row r="775" spans="1:8">
      <c r="A775" t="s">
        <v>1686</v>
      </c>
      <c r="B775" t="s">
        <v>793</v>
      </c>
      <c r="C775" s="1">
        <v>44994</v>
      </c>
      <c r="D775" s="1" t="str">
        <f>PROPER(orders[[#This Row],[order_priority]])</f>
        <v>Economy</v>
      </c>
      <c r="E775" t="s">
        <v>13316</v>
      </c>
      <c r="F775" t="str">
        <f>IFERROR(INDEX(customers[country], MATCH(orders[[#This Row],[customer_id]], customers[customer_id], 0)), "Unmapped")</f>
        <v>Sweden</v>
      </c>
      <c r="G775" t="str">
        <f>IFERROR(INDEX(Region_Map[Region], MATCH(orders[[#This Row],[Customer_Country]], Region_Map[Country], 0)), "Unknown")</f>
        <v>Nordics</v>
      </c>
      <c r="H775" t="s">
        <v>6949</v>
      </c>
    </row>
    <row r="776" spans="1:8">
      <c r="A776" t="s">
        <v>1687</v>
      </c>
      <c r="B776" t="s">
        <v>169</v>
      </c>
      <c r="C776" s="1">
        <v>45616</v>
      </c>
      <c r="D776" s="1" t="str">
        <f>PROPER(orders[[#This Row],[order_priority]])</f>
        <v>Economy</v>
      </c>
      <c r="E776" t="s">
        <v>13316</v>
      </c>
      <c r="F776" t="str">
        <f>IFERROR(INDEX(customers[country], MATCH(orders[[#This Row],[customer_id]], customers[customer_id], 0)), "Unmapped")</f>
        <v>Norway</v>
      </c>
      <c r="G776" t="str">
        <f>IFERROR(INDEX(Region_Map[Region], MATCH(orders[[#This Row],[Customer_Country]], Region_Map[Country], 0)), "Unknown")</f>
        <v>Nordics</v>
      </c>
      <c r="H776" t="s">
        <v>6949</v>
      </c>
    </row>
    <row r="777" spans="1:8">
      <c r="A777" t="s">
        <v>1688</v>
      </c>
      <c r="B777" t="s">
        <v>102</v>
      </c>
      <c r="C777" s="1">
        <v>45278</v>
      </c>
      <c r="D777" s="1" t="str">
        <f>PROPER(orders[[#This Row],[order_priority]])</f>
        <v>Economy</v>
      </c>
      <c r="E777" t="s">
        <v>13325</v>
      </c>
      <c r="F777" t="str">
        <f>IFERROR(INDEX(customers[country], MATCH(orders[[#This Row],[customer_id]], customers[customer_id], 0)), "Unmapped")</f>
        <v>Denmark</v>
      </c>
      <c r="G777" t="str">
        <f>IFERROR(INDEX(Region_Map[Region], MATCH(orders[[#This Row],[Customer_Country]], Region_Map[Country], 0)), "Unknown")</f>
        <v>Nordics</v>
      </c>
      <c r="H777" t="s">
        <v>6949</v>
      </c>
    </row>
    <row r="778" spans="1:8">
      <c r="A778" t="s">
        <v>1689</v>
      </c>
      <c r="B778" t="s">
        <v>775</v>
      </c>
      <c r="C778" s="1">
        <v>45071</v>
      </c>
      <c r="D778" s="1" t="str">
        <f>PROPER(orders[[#This Row],[order_priority]])</f>
        <v>Standard</v>
      </c>
      <c r="E778" t="s">
        <v>13319</v>
      </c>
      <c r="F778" t="str">
        <f>IFERROR(INDEX(customers[country], MATCH(orders[[#This Row],[customer_id]], customers[customer_id], 0)), "Unmapped")</f>
        <v>Sweden</v>
      </c>
      <c r="G778" t="str">
        <f>IFERROR(INDEX(Region_Map[Region], MATCH(orders[[#This Row],[Customer_Country]], Region_Map[Country], 0)), "Unknown")</f>
        <v>Nordics</v>
      </c>
      <c r="H778" t="s">
        <v>6949</v>
      </c>
    </row>
    <row r="779" spans="1:8">
      <c r="A779" t="s">
        <v>1690</v>
      </c>
      <c r="B779" t="s">
        <v>623</v>
      </c>
      <c r="C779" s="1">
        <v>45138</v>
      </c>
      <c r="D779" s="1" t="str">
        <f>PROPER(orders[[#This Row],[order_priority]])</f>
        <v>Express</v>
      </c>
      <c r="E779" t="s">
        <v>13318</v>
      </c>
      <c r="F779" t="str">
        <f>IFERROR(INDEX(customers[country], MATCH(orders[[#This Row],[customer_id]], customers[customer_id], 0)), "Unmapped")</f>
        <v>Denmark</v>
      </c>
      <c r="G779" t="str">
        <f>IFERROR(INDEX(Region_Map[Region], MATCH(orders[[#This Row],[Customer_Country]], Region_Map[Country], 0)), "Unknown")</f>
        <v>Nordics</v>
      </c>
      <c r="H779" t="s">
        <v>6949</v>
      </c>
    </row>
    <row r="780" spans="1:8">
      <c r="A780" t="s">
        <v>1691</v>
      </c>
      <c r="B780" t="s">
        <v>172</v>
      </c>
      <c r="C780" s="1">
        <v>45093</v>
      </c>
      <c r="D780" s="1" t="str">
        <f>PROPER(orders[[#This Row],[order_priority]])</f>
        <v>Same Day</v>
      </c>
      <c r="E780" t="s">
        <v>13322</v>
      </c>
      <c r="F780" t="str">
        <f>IFERROR(INDEX(customers[country], MATCH(orders[[#This Row],[customer_id]], customers[customer_id], 0)), "Unmapped")</f>
        <v>Denmark</v>
      </c>
      <c r="G780" t="str">
        <f>IFERROR(INDEX(Region_Map[Region], MATCH(orders[[#This Row],[Customer_Country]], Region_Map[Country], 0)), "Unknown")</f>
        <v>Nordics</v>
      </c>
      <c r="H780" t="s">
        <v>6949</v>
      </c>
    </row>
    <row r="781" spans="1:8">
      <c r="A781" t="s">
        <v>1692</v>
      </c>
      <c r="B781" t="s">
        <v>270</v>
      </c>
      <c r="C781" s="1">
        <v>45303</v>
      </c>
      <c r="D781" s="1" t="str">
        <f>PROPER(orders[[#This Row],[order_priority]])</f>
        <v>Economy</v>
      </c>
      <c r="E781" t="s">
        <v>13316</v>
      </c>
      <c r="F781" t="str">
        <f>IFERROR(INDEX(customers[country], MATCH(orders[[#This Row],[customer_id]], customers[customer_id], 0)), "Unmapped")</f>
        <v>Poland</v>
      </c>
      <c r="G781" t="str">
        <f>IFERROR(INDEX(Region_Map[Region], MATCH(orders[[#This Row],[Customer_Country]], Region_Map[Country], 0)), "Unknown")</f>
        <v>Central Europe</v>
      </c>
      <c r="H781" t="s">
        <v>6949</v>
      </c>
    </row>
    <row r="782" spans="1:8">
      <c r="A782" t="s">
        <v>1693</v>
      </c>
      <c r="B782" t="s">
        <v>24</v>
      </c>
      <c r="C782" s="1">
        <v>45204</v>
      </c>
      <c r="D782" s="1" t="str">
        <f>PROPER(orders[[#This Row],[order_priority]])</f>
        <v>Standard</v>
      </c>
      <c r="E782" t="s">
        <v>13317</v>
      </c>
      <c r="F782" t="str">
        <f>IFERROR(INDEX(customers[country], MATCH(orders[[#This Row],[customer_id]], customers[customer_id], 0)), "Unmapped")</f>
        <v>Sweden</v>
      </c>
      <c r="G782" t="str">
        <f>IFERROR(INDEX(Region_Map[Region], MATCH(orders[[#This Row],[Customer_Country]], Region_Map[Country], 0)), "Unknown")</f>
        <v>Nordics</v>
      </c>
      <c r="H782" t="s">
        <v>6949</v>
      </c>
    </row>
    <row r="783" spans="1:8">
      <c r="A783" t="s">
        <v>1694</v>
      </c>
      <c r="B783" t="s">
        <v>664</v>
      </c>
      <c r="C783" s="1">
        <v>44995</v>
      </c>
      <c r="D783" s="1" t="str">
        <f>PROPER(orders[[#This Row],[order_priority]])</f>
        <v>Economy</v>
      </c>
      <c r="E783" t="s">
        <v>13325</v>
      </c>
      <c r="F783" t="str">
        <f>IFERROR(INDEX(customers[country], MATCH(orders[[#This Row],[customer_id]], customers[customer_id], 0)), "Unmapped")</f>
        <v>Latvia</v>
      </c>
      <c r="G783" t="str">
        <f>IFERROR(INDEX(Region_Map[Region], MATCH(orders[[#This Row],[Customer_Country]], Region_Map[Country], 0)), "Unknown")</f>
        <v>Baltics</v>
      </c>
      <c r="H783" t="s">
        <v>6949</v>
      </c>
    </row>
    <row r="784" spans="1:8">
      <c r="A784" t="s">
        <v>1695</v>
      </c>
      <c r="B784" t="s">
        <v>608</v>
      </c>
      <c r="C784" s="1">
        <v>45598</v>
      </c>
      <c r="D784" s="1" t="str">
        <f>PROPER(orders[[#This Row],[order_priority]])</f>
        <v>Economy</v>
      </c>
      <c r="E784" t="s">
        <v>13316</v>
      </c>
      <c r="F784" t="str">
        <f>IFERROR(INDEX(customers[country], MATCH(orders[[#This Row],[customer_id]], customers[customer_id], 0)), "Unmapped")</f>
        <v>Finland</v>
      </c>
      <c r="G784" t="str">
        <f>IFERROR(INDEX(Region_Map[Region], MATCH(orders[[#This Row],[Customer_Country]], Region_Map[Country], 0)), "Unknown")</f>
        <v>Nordics</v>
      </c>
      <c r="H784" t="s">
        <v>6949</v>
      </c>
    </row>
    <row r="785" spans="1:8">
      <c r="A785" t="s">
        <v>1696</v>
      </c>
      <c r="B785" t="s">
        <v>799</v>
      </c>
      <c r="C785" s="1">
        <v>45263</v>
      </c>
      <c r="D785" s="1" t="str">
        <f>PROPER(orders[[#This Row],[order_priority]])</f>
        <v>Same Day</v>
      </c>
      <c r="E785" t="s">
        <v>13322</v>
      </c>
      <c r="F785" t="str">
        <f>IFERROR(INDEX(customers[country], MATCH(orders[[#This Row],[customer_id]], customers[customer_id], 0)), "Unmapped")</f>
        <v>Germany</v>
      </c>
      <c r="G785" t="str">
        <f>IFERROR(INDEX(Region_Map[Region], MATCH(orders[[#This Row],[Customer_Country]], Region_Map[Country], 0)), "Unknown")</f>
        <v>Central Europe</v>
      </c>
      <c r="H785" t="s">
        <v>6949</v>
      </c>
    </row>
    <row r="786" spans="1:8">
      <c r="A786" t="s">
        <v>1697</v>
      </c>
      <c r="B786" t="s">
        <v>139</v>
      </c>
      <c r="C786" s="1">
        <v>44929</v>
      </c>
      <c r="D786" s="1" t="str">
        <f>PROPER(orders[[#This Row],[order_priority]])</f>
        <v>Express</v>
      </c>
      <c r="E786" t="s">
        <v>13318</v>
      </c>
      <c r="F786" t="str">
        <f>IFERROR(INDEX(customers[country], MATCH(orders[[#This Row],[customer_id]], customers[customer_id], 0)), "Unmapped")</f>
        <v>Netherlands</v>
      </c>
      <c r="G786" t="str">
        <f>IFERROR(INDEX(Region_Map[Region], MATCH(orders[[#This Row],[Customer_Country]], Region_Map[Country], 0)), "Unknown")</f>
        <v>Central Europe</v>
      </c>
      <c r="H786" t="s">
        <v>6949</v>
      </c>
    </row>
    <row r="787" spans="1:8">
      <c r="A787" t="s">
        <v>1698</v>
      </c>
      <c r="B787" t="s">
        <v>629</v>
      </c>
      <c r="C787" s="1">
        <v>45090</v>
      </c>
      <c r="D787" s="1" t="str">
        <f>PROPER(orders[[#This Row],[order_priority]])</f>
        <v>Standard</v>
      </c>
      <c r="E787" t="s">
        <v>13317</v>
      </c>
      <c r="F787" t="str">
        <f>IFERROR(INDEX(customers[country], MATCH(orders[[#This Row],[customer_id]], customers[customer_id], 0)), "Unmapped")</f>
        <v>Lithuania</v>
      </c>
      <c r="G787" t="str">
        <f>IFERROR(INDEX(Region_Map[Region], MATCH(orders[[#This Row],[Customer_Country]], Region_Map[Country], 0)), "Unknown")</f>
        <v>Baltics</v>
      </c>
      <c r="H787" t="s">
        <v>6949</v>
      </c>
    </row>
    <row r="788" spans="1:8">
      <c r="A788" t="s">
        <v>1699</v>
      </c>
      <c r="B788" t="s">
        <v>243</v>
      </c>
      <c r="C788" s="1">
        <v>45023</v>
      </c>
      <c r="D788" s="1" t="str">
        <f>PROPER(orders[[#This Row],[order_priority]])</f>
        <v>Standard</v>
      </c>
      <c r="E788" t="s">
        <v>13317</v>
      </c>
      <c r="F788" t="str">
        <f>IFERROR(INDEX(customers[country], MATCH(orders[[#This Row],[customer_id]], customers[customer_id], 0)), "Unmapped")</f>
        <v>Netherlands</v>
      </c>
      <c r="G788" t="str">
        <f>IFERROR(INDEX(Region_Map[Region], MATCH(orders[[#This Row],[Customer_Country]], Region_Map[Country], 0)), "Unknown")</f>
        <v>Central Europe</v>
      </c>
      <c r="H788" t="s">
        <v>6949</v>
      </c>
    </row>
    <row r="789" spans="1:8">
      <c r="A789" t="s">
        <v>1700</v>
      </c>
      <c r="B789" t="s">
        <v>118</v>
      </c>
      <c r="C789" s="1">
        <v>45400</v>
      </c>
      <c r="D789" s="1" t="str">
        <f>PROPER(orders[[#This Row],[order_priority]])</f>
        <v>Same Day</v>
      </c>
      <c r="E789" t="s">
        <v>13322</v>
      </c>
      <c r="F789" t="str">
        <f>IFERROR(INDEX(customers[country], MATCH(orders[[#This Row],[customer_id]], customers[customer_id], 0)), "Unmapped")</f>
        <v>Denmark</v>
      </c>
      <c r="G789" t="str">
        <f>IFERROR(INDEX(Region_Map[Region], MATCH(orders[[#This Row],[Customer_Country]], Region_Map[Country], 0)), "Unknown")</f>
        <v>Nordics</v>
      </c>
      <c r="H789" t="s">
        <v>6949</v>
      </c>
    </row>
    <row r="790" spans="1:8">
      <c r="A790" t="s">
        <v>1701</v>
      </c>
      <c r="B790" t="s">
        <v>160</v>
      </c>
      <c r="C790" s="1">
        <v>45003</v>
      </c>
      <c r="D790" s="1" t="str">
        <f>PROPER(orders[[#This Row],[order_priority]])</f>
        <v>Same Day</v>
      </c>
      <c r="E790" t="s">
        <v>13322</v>
      </c>
      <c r="F790" t="str">
        <f>IFERROR(INDEX(customers[country], MATCH(orders[[#This Row],[customer_id]], customers[customer_id], 0)), "Unmapped")</f>
        <v>Denmark</v>
      </c>
      <c r="G790" t="str">
        <f>IFERROR(INDEX(Region_Map[Region], MATCH(orders[[#This Row],[Customer_Country]], Region_Map[Country], 0)), "Unknown")</f>
        <v>Nordics</v>
      </c>
      <c r="H790" t="s">
        <v>6949</v>
      </c>
    </row>
    <row r="791" spans="1:8">
      <c r="A791" t="s">
        <v>1702</v>
      </c>
      <c r="B791" t="s">
        <v>55</v>
      </c>
      <c r="C791" s="1">
        <v>45549</v>
      </c>
      <c r="D791" s="1" t="str">
        <f>PROPER(orders[[#This Row],[order_priority]])</f>
        <v>Economy</v>
      </c>
      <c r="E791" t="s">
        <v>13316</v>
      </c>
      <c r="F791" t="str">
        <f>IFERROR(INDEX(customers[country], MATCH(orders[[#This Row],[customer_id]], customers[customer_id], 0)), "Unmapped")</f>
        <v>Netherlands</v>
      </c>
      <c r="G791" t="str">
        <f>IFERROR(INDEX(Region_Map[Region], MATCH(orders[[#This Row],[Customer_Country]], Region_Map[Country], 0)), "Unknown")</f>
        <v>Central Europe</v>
      </c>
      <c r="H791" t="s">
        <v>6949</v>
      </c>
    </row>
    <row r="792" spans="1:8">
      <c r="A792" t="s">
        <v>1703</v>
      </c>
      <c r="B792" t="s">
        <v>422</v>
      </c>
      <c r="C792" s="1">
        <v>44972</v>
      </c>
      <c r="D792" s="1" t="str">
        <f>PROPER(orders[[#This Row],[order_priority]])</f>
        <v>Express</v>
      </c>
      <c r="E792" t="s">
        <v>13318</v>
      </c>
      <c r="F792" t="str">
        <f>IFERROR(INDEX(customers[country], MATCH(orders[[#This Row],[customer_id]], customers[customer_id], 0)), "Unmapped")</f>
        <v>Germany</v>
      </c>
      <c r="G792" t="str">
        <f>IFERROR(INDEX(Region_Map[Region], MATCH(orders[[#This Row],[Customer_Country]], Region_Map[Country], 0)), "Unknown")</f>
        <v>Central Europe</v>
      </c>
      <c r="H792" t="s">
        <v>6949</v>
      </c>
    </row>
    <row r="793" spans="1:8">
      <c r="A793" t="s">
        <v>1704</v>
      </c>
      <c r="B793" t="s">
        <v>410</v>
      </c>
      <c r="C793" s="1">
        <v>45072</v>
      </c>
      <c r="D793" s="1" t="str">
        <f>PROPER(orders[[#This Row],[order_priority]])</f>
        <v>Standard</v>
      </c>
      <c r="E793" t="s">
        <v>13317</v>
      </c>
      <c r="F793" t="str">
        <f>IFERROR(INDEX(customers[country], MATCH(orders[[#This Row],[customer_id]], customers[customer_id], 0)), "Unmapped")</f>
        <v>Norway</v>
      </c>
      <c r="G793" t="str">
        <f>IFERROR(INDEX(Region_Map[Region], MATCH(orders[[#This Row],[Customer_Country]], Region_Map[Country], 0)), "Unknown")</f>
        <v>Nordics</v>
      </c>
      <c r="H793" t="s">
        <v>6949</v>
      </c>
    </row>
    <row r="794" spans="1:8">
      <c r="A794" t="s">
        <v>1705</v>
      </c>
      <c r="B794" t="s">
        <v>479</v>
      </c>
      <c r="C794" s="1">
        <v>45560</v>
      </c>
      <c r="D794" s="1" t="str">
        <f>PROPER(orders[[#This Row],[order_priority]])</f>
        <v>Standard</v>
      </c>
      <c r="E794" t="s">
        <v>13317</v>
      </c>
      <c r="F794" t="str">
        <f>IFERROR(INDEX(customers[country], MATCH(orders[[#This Row],[customer_id]], customers[customer_id], 0)), "Unmapped")</f>
        <v>Latvia</v>
      </c>
      <c r="G794" t="str">
        <f>IFERROR(INDEX(Region_Map[Region], MATCH(orders[[#This Row],[Customer_Country]], Region_Map[Country], 0)), "Unknown")</f>
        <v>Baltics</v>
      </c>
      <c r="H794" t="s">
        <v>6949</v>
      </c>
    </row>
    <row r="795" spans="1:8">
      <c r="A795" t="s">
        <v>1706</v>
      </c>
      <c r="B795" t="s">
        <v>749</v>
      </c>
      <c r="C795" s="1">
        <v>45360</v>
      </c>
      <c r="D795" s="1" t="str">
        <f>PROPER(orders[[#This Row],[order_priority]])</f>
        <v>Same Day</v>
      </c>
      <c r="E795" t="s">
        <v>13322</v>
      </c>
      <c r="F795" t="str">
        <f>IFERROR(INDEX(customers[country], MATCH(orders[[#This Row],[customer_id]], customers[customer_id], 0)), "Unmapped")</f>
        <v>Latvia</v>
      </c>
      <c r="G795" t="str">
        <f>IFERROR(INDEX(Region_Map[Region], MATCH(orders[[#This Row],[Customer_Country]], Region_Map[Country], 0)), "Unknown")</f>
        <v>Baltics</v>
      </c>
      <c r="H795" t="s">
        <v>6949</v>
      </c>
    </row>
    <row r="796" spans="1:8">
      <c r="A796" t="s">
        <v>1707</v>
      </c>
      <c r="B796" t="s">
        <v>539</v>
      </c>
      <c r="C796" s="1">
        <v>44999</v>
      </c>
      <c r="D796" s="1" t="str">
        <f>PROPER(orders[[#This Row],[order_priority]])</f>
        <v>Economy</v>
      </c>
      <c r="E796" t="s">
        <v>13325</v>
      </c>
      <c r="F796" t="str">
        <f>IFERROR(INDEX(customers[country], MATCH(orders[[#This Row],[customer_id]], customers[customer_id], 0)), "Unmapped")</f>
        <v>Sweden</v>
      </c>
      <c r="G796" t="str">
        <f>IFERROR(INDEX(Region_Map[Region], MATCH(orders[[#This Row],[Customer_Country]], Region_Map[Country], 0)), "Unknown")</f>
        <v>Nordics</v>
      </c>
      <c r="H796" t="s">
        <v>6949</v>
      </c>
    </row>
    <row r="797" spans="1:8">
      <c r="A797" t="s">
        <v>1708</v>
      </c>
      <c r="B797" t="s">
        <v>778</v>
      </c>
      <c r="C797" s="1">
        <v>45591</v>
      </c>
      <c r="D797" s="1" t="str">
        <f>PROPER(orders[[#This Row],[order_priority]])</f>
        <v>Economy</v>
      </c>
      <c r="E797" t="s">
        <v>13316</v>
      </c>
      <c r="F797" t="str">
        <f>IFERROR(INDEX(customers[country], MATCH(orders[[#This Row],[customer_id]], customers[customer_id], 0)), "Unmapped")</f>
        <v>Estonia</v>
      </c>
      <c r="G797" t="str">
        <f>IFERROR(INDEX(Region_Map[Region], MATCH(orders[[#This Row],[Customer_Country]], Region_Map[Country], 0)), "Unknown")</f>
        <v>Baltics</v>
      </c>
      <c r="H797" t="s">
        <v>6949</v>
      </c>
    </row>
    <row r="798" spans="1:8">
      <c r="A798" t="s">
        <v>1709</v>
      </c>
      <c r="B798" t="s">
        <v>620</v>
      </c>
      <c r="C798" s="1">
        <v>45177</v>
      </c>
      <c r="D798" s="1" t="str">
        <f>PROPER(orders[[#This Row],[order_priority]])</f>
        <v>Economy</v>
      </c>
      <c r="E798" t="s">
        <v>13316</v>
      </c>
      <c r="F798" t="str">
        <f>IFERROR(INDEX(customers[country], MATCH(orders[[#This Row],[customer_id]], customers[customer_id], 0)), "Unmapped")</f>
        <v>Latvia</v>
      </c>
      <c r="G798" t="str">
        <f>IFERROR(INDEX(Region_Map[Region], MATCH(orders[[#This Row],[Customer_Country]], Region_Map[Country], 0)), "Unknown")</f>
        <v>Baltics</v>
      </c>
      <c r="H798" t="s">
        <v>6949</v>
      </c>
    </row>
    <row r="799" spans="1:8">
      <c r="A799" t="s">
        <v>1710</v>
      </c>
      <c r="B799" t="s">
        <v>590</v>
      </c>
      <c r="C799" s="1">
        <v>45116</v>
      </c>
      <c r="D799" s="1" t="str">
        <f>PROPER(orders[[#This Row],[order_priority]])</f>
        <v>Same Day</v>
      </c>
      <c r="E799" t="s">
        <v>13322</v>
      </c>
      <c r="F799" t="str">
        <f>IFERROR(INDEX(customers[country], MATCH(orders[[#This Row],[customer_id]], customers[customer_id], 0)), "Unmapped")</f>
        <v>Finland</v>
      </c>
      <c r="G799" t="str">
        <f>IFERROR(INDEX(Region_Map[Region], MATCH(orders[[#This Row],[Customer_Country]], Region_Map[Country], 0)), "Unknown")</f>
        <v>Nordics</v>
      </c>
      <c r="H799" t="s">
        <v>6949</v>
      </c>
    </row>
    <row r="800" spans="1:8">
      <c r="A800" t="s">
        <v>1711</v>
      </c>
      <c r="B800" t="s">
        <v>494</v>
      </c>
      <c r="C800" s="1">
        <v>45092</v>
      </c>
      <c r="D800" s="1" t="str">
        <f>PROPER(orders[[#This Row],[order_priority]])</f>
        <v>Economy</v>
      </c>
      <c r="E800" t="s">
        <v>13316</v>
      </c>
      <c r="F800" t="str">
        <f>IFERROR(INDEX(customers[country], MATCH(orders[[#This Row],[customer_id]], customers[customer_id], 0)), "Unmapped")</f>
        <v>Sweden</v>
      </c>
      <c r="G800" t="str">
        <f>IFERROR(INDEX(Region_Map[Region], MATCH(orders[[#This Row],[Customer_Country]], Region_Map[Country], 0)), "Unknown")</f>
        <v>Nordics</v>
      </c>
      <c r="H800" t="s">
        <v>6949</v>
      </c>
    </row>
    <row r="801" spans="1:8">
      <c r="A801" t="s">
        <v>1712</v>
      </c>
      <c r="B801" t="s">
        <v>778</v>
      </c>
      <c r="C801" s="1">
        <v>45435</v>
      </c>
      <c r="D801" s="1" t="str">
        <f>PROPER(orders[[#This Row],[order_priority]])</f>
        <v>Express</v>
      </c>
      <c r="E801" t="s">
        <v>13318</v>
      </c>
      <c r="F801" t="str">
        <f>IFERROR(INDEX(customers[country], MATCH(orders[[#This Row],[customer_id]], customers[customer_id], 0)), "Unmapped")</f>
        <v>Estonia</v>
      </c>
      <c r="G801" t="str">
        <f>IFERROR(INDEX(Region_Map[Region], MATCH(orders[[#This Row],[Customer_Country]], Region_Map[Country], 0)), "Unknown")</f>
        <v>Baltics</v>
      </c>
      <c r="H801" t="s">
        <v>6949</v>
      </c>
    </row>
    <row r="802" spans="1:8">
      <c r="A802" t="s">
        <v>1713</v>
      </c>
      <c r="B802" t="s">
        <v>638</v>
      </c>
      <c r="C802" s="1">
        <v>45379</v>
      </c>
      <c r="D802" s="1" t="str">
        <f>PROPER(orders[[#This Row],[order_priority]])</f>
        <v>Express</v>
      </c>
      <c r="E802" t="s">
        <v>13318</v>
      </c>
      <c r="F802" t="str">
        <f>IFERROR(INDEX(customers[country], MATCH(orders[[#This Row],[customer_id]], customers[customer_id], 0)), "Unmapped")</f>
        <v>Germany</v>
      </c>
      <c r="G802" t="str">
        <f>IFERROR(INDEX(Region_Map[Region], MATCH(orders[[#This Row],[Customer_Country]], Region_Map[Country], 0)), "Unknown")</f>
        <v>Central Europe</v>
      </c>
      <c r="H802" t="s">
        <v>6949</v>
      </c>
    </row>
    <row r="803" spans="1:8">
      <c r="A803" t="s">
        <v>1714</v>
      </c>
      <c r="B803" t="s">
        <v>855</v>
      </c>
      <c r="C803" s="1">
        <v>45481</v>
      </c>
      <c r="D803" s="1" t="str">
        <f>PROPER(orders[[#This Row],[order_priority]])</f>
        <v>Economy</v>
      </c>
      <c r="E803" t="s">
        <v>13316</v>
      </c>
      <c r="F803" t="str">
        <f>IFERROR(INDEX(customers[country], MATCH(orders[[#This Row],[customer_id]], customers[customer_id], 0)), "Unmapped")</f>
        <v>Latvia</v>
      </c>
      <c r="G803" t="str">
        <f>IFERROR(INDEX(Region_Map[Region], MATCH(orders[[#This Row],[Customer_Country]], Region_Map[Country], 0)), "Unknown")</f>
        <v>Baltics</v>
      </c>
      <c r="H803" t="s">
        <v>6949</v>
      </c>
    </row>
    <row r="804" spans="1:8">
      <c r="A804" t="s">
        <v>1715</v>
      </c>
      <c r="B804" t="s">
        <v>763</v>
      </c>
      <c r="C804" s="1">
        <v>45012</v>
      </c>
      <c r="D804" s="1" t="str">
        <f>PROPER(orders[[#This Row],[order_priority]])</f>
        <v>Express</v>
      </c>
      <c r="E804" t="s">
        <v>13318</v>
      </c>
      <c r="F804" t="str">
        <f>IFERROR(INDEX(customers[country], MATCH(orders[[#This Row],[customer_id]], customers[customer_id], 0)), "Unmapped")</f>
        <v>Estonia</v>
      </c>
      <c r="G804" t="str">
        <f>IFERROR(INDEX(Region_Map[Region], MATCH(orders[[#This Row],[Customer_Country]], Region_Map[Country], 0)), "Unknown")</f>
        <v>Baltics</v>
      </c>
      <c r="H804" t="s">
        <v>6949</v>
      </c>
    </row>
    <row r="805" spans="1:8">
      <c r="A805" t="s">
        <v>1716</v>
      </c>
      <c r="B805" t="s">
        <v>837</v>
      </c>
      <c r="C805" s="1">
        <v>45098</v>
      </c>
      <c r="D805" s="1" t="str">
        <f>PROPER(orders[[#This Row],[order_priority]])</f>
        <v>Same Day</v>
      </c>
      <c r="E805" t="s">
        <v>13322</v>
      </c>
      <c r="F805" t="str">
        <f>IFERROR(INDEX(customers[country], MATCH(orders[[#This Row],[customer_id]], customers[customer_id], 0)), "Unmapped")</f>
        <v>Poland</v>
      </c>
      <c r="G805" t="str">
        <f>IFERROR(INDEX(Region_Map[Region], MATCH(orders[[#This Row],[Customer_Country]], Region_Map[Country], 0)), "Unknown")</f>
        <v>Central Europe</v>
      </c>
      <c r="H805" t="s">
        <v>6949</v>
      </c>
    </row>
    <row r="806" spans="1:8">
      <c r="A806" t="s">
        <v>1717</v>
      </c>
      <c r="B806" t="s">
        <v>413</v>
      </c>
      <c r="C806" s="1">
        <v>45602</v>
      </c>
      <c r="D806" s="1" t="str">
        <f>PROPER(orders[[#This Row],[order_priority]])</f>
        <v>Same Day</v>
      </c>
      <c r="E806" t="s">
        <v>13322</v>
      </c>
      <c r="F806" t="str">
        <f>IFERROR(INDEX(customers[country], MATCH(orders[[#This Row],[customer_id]], customers[customer_id], 0)), "Unmapped")</f>
        <v>Poland</v>
      </c>
      <c r="G806" t="str">
        <f>IFERROR(INDEX(Region_Map[Region], MATCH(orders[[#This Row],[Customer_Country]], Region_Map[Country], 0)), "Unknown")</f>
        <v>Central Europe</v>
      </c>
      <c r="H806" t="s">
        <v>6949</v>
      </c>
    </row>
    <row r="807" spans="1:8">
      <c r="A807" t="s">
        <v>1718</v>
      </c>
      <c r="B807" t="s">
        <v>620</v>
      </c>
      <c r="C807" s="1">
        <v>44948</v>
      </c>
      <c r="D807" s="1" t="str">
        <f>PROPER(orders[[#This Row],[order_priority]])</f>
        <v>Express</v>
      </c>
      <c r="E807" t="s">
        <v>13318</v>
      </c>
      <c r="F807" t="str">
        <f>IFERROR(INDEX(customers[country], MATCH(orders[[#This Row],[customer_id]], customers[customer_id], 0)), "Unmapped")</f>
        <v>Latvia</v>
      </c>
      <c r="G807" t="str">
        <f>IFERROR(INDEX(Region_Map[Region], MATCH(orders[[#This Row],[Customer_Country]], Region_Map[Country], 0)), "Unknown")</f>
        <v>Baltics</v>
      </c>
      <c r="H807" t="s">
        <v>6949</v>
      </c>
    </row>
    <row r="808" spans="1:8">
      <c r="A808" t="s">
        <v>1719</v>
      </c>
      <c r="B808" t="s">
        <v>527</v>
      </c>
      <c r="C808" s="1">
        <v>45175</v>
      </c>
      <c r="D808" s="1" t="str">
        <f>PROPER(orders[[#This Row],[order_priority]])</f>
        <v>Same Day</v>
      </c>
      <c r="E808" t="s">
        <v>13322</v>
      </c>
      <c r="F808" t="str">
        <f>IFERROR(INDEX(customers[country], MATCH(orders[[#This Row],[customer_id]], customers[customer_id], 0)), "Unmapped")</f>
        <v>Sweden</v>
      </c>
      <c r="G808" t="str">
        <f>IFERROR(INDEX(Region_Map[Region], MATCH(orders[[#This Row],[Customer_Country]], Region_Map[Country], 0)), "Unknown")</f>
        <v>Nordics</v>
      </c>
      <c r="H808" t="s">
        <v>6949</v>
      </c>
    </row>
    <row r="809" spans="1:8">
      <c r="A809" t="s">
        <v>1720</v>
      </c>
      <c r="B809" t="s">
        <v>326</v>
      </c>
      <c r="C809" s="1">
        <v>45168</v>
      </c>
      <c r="D809" s="1" t="str">
        <f>PROPER(orders[[#This Row],[order_priority]])</f>
        <v>Express</v>
      </c>
      <c r="E809" t="s">
        <v>13326</v>
      </c>
      <c r="F809" t="str">
        <f>IFERROR(INDEX(customers[country], MATCH(orders[[#This Row],[customer_id]], customers[customer_id], 0)), "Unmapped")</f>
        <v>Lithuania</v>
      </c>
      <c r="G809" t="str">
        <f>IFERROR(INDEX(Region_Map[Region], MATCH(orders[[#This Row],[Customer_Country]], Region_Map[Country], 0)), "Unknown")</f>
        <v>Baltics</v>
      </c>
      <c r="H809" t="s">
        <v>6949</v>
      </c>
    </row>
    <row r="810" spans="1:8">
      <c r="A810" t="s">
        <v>1721</v>
      </c>
      <c r="B810" t="s">
        <v>709</v>
      </c>
      <c r="C810" s="1">
        <v>45587</v>
      </c>
      <c r="D810" s="1" t="str">
        <f>PROPER(orders[[#This Row],[order_priority]])</f>
        <v>Economy</v>
      </c>
      <c r="E810" t="s">
        <v>13316</v>
      </c>
      <c r="F810" t="str">
        <f>IFERROR(INDEX(customers[country], MATCH(orders[[#This Row],[customer_id]], customers[customer_id], 0)), "Unmapped")</f>
        <v>Netherlands</v>
      </c>
      <c r="G810" t="str">
        <f>IFERROR(INDEX(Region_Map[Region], MATCH(orders[[#This Row],[Customer_Country]], Region_Map[Country], 0)), "Unknown")</f>
        <v>Central Europe</v>
      </c>
      <c r="H810" t="s">
        <v>6949</v>
      </c>
    </row>
    <row r="811" spans="1:8">
      <c r="A811" t="s">
        <v>1722</v>
      </c>
      <c r="B811" t="s">
        <v>326</v>
      </c>
      <c r="C811" s="1">
        <v>45149</v>
      </c>
      <c r="D811" s="1" t="str">
        <f>PROPER(orders[[#This Row],[order_priority]])</f>
        <v>Standard</v>
      </c>
      <c r="E811" t="s">
        <v>13317</v>
      </c>
      <c r="F811" t="str">
        <f>IFERROR(INDEX(customers[country], MATCH(orders[[#This Row],[customer_id]], customers[customer_id], 0)), "Unmapped")</f>
        <v>Lithuania</v>
      </c>
      <c r="G811" t="str">
        <f>IFERROR(INDEX(Region_Map[Region], MATCH(orders[[#This Row],[Customer_Country]], Region_Map[Country], 0)), "Unknown")</f>
        <v>Baltics</v>
      </c>
      <c r="H811" t="s">
        <v>6949</v>
      </c>
    </row>
    <row r="812" spans="1:8">
      <c r="A812" t="s">
        <v>1723</v>
      </c>
      <c r="B812" t="s">
        <v>404</v>
      </c>
      <c r="C812" s="1">
        <v>44935</v>
      </c>
      <c r="D812" s="1" t="str">
        <f>PROPER(orders[[#This Row],[order_priority]])</f>
        <v>Economy</v>
      </c>
      <c r="E812" t="s">
        <v>13316</v>
      </c>
      <c r="F812" t="str">
        <f>IFERROR(INDEX(customers[country], MATCH(orders[[#This Row],[customer_id]], customers[customer_id], 0)), "Unmapped")</f>
        <v>Latvia</v>
      </c>
      <c r="G812" t="str">
        <f>IFERROR(INDEX(Region_Map[Region], MATCH(orders[[#This Row],[Customer_Country]], Region_Map[Country], 0)), "Unknown")</f>
        <v>Baltics</v>
      </c>
      <c r="H812" t="s">
        <v>6949</v>
      </c>
    </row>
    <row r="813" spans="1:8">
      <c r="A813" t="s">
        <v>1724</v>
      </c>
      <c r="B813" t="s">
        <v>870</v>
      </c>
      <c r="C813" s="1">
        <v>45185</v>
      </c>
      <c r="D813" s="1" t="str">
        <f>PROPER(orders[[#This Row],[order_priority]])</f>
        <v>Economy</v>
      </c>
      <c r="E813" t="s">
        <v>13316</v>
      </c>
      <c r="F813" t="str">
        <f>IFERROR(INDEX(customers[country], MATCH(orders[[#This Row],[customer_id]], customers[customer_id], 0)), "Unmapped")</f>
        <v>Estonia</v>
      </c>
      <c r="G813" t="str">
        <f>IFERROR(INDEX(Region_Map[Region], MATCH(orders[[#This Row],[Customer_Country]], Region_Map[Country], 0)), "Unknown")</f>
        <v>Baltics</v>
      </c>
      <c r="H813" t="s">
        <v>6949</v>
      </c>
    </row>
    <row r="814" spans="1:8">
      <c r="A814" t="s">
        <v>1725</v>
      </c>
      <c r="B814" t="s">
        <v>303</v>
      </c>
      <c r="C814" s="1">
        <v>45324</v>
      </c>
      <c r="D814" s="1" t="str">
        <f>PROPER(orders[[#This Row],[order_priority]])</f>
        <v>Economy</v>
      </c>
      <c r="E814" t="s">
        <v>13316</v>
      </c>
      <c r="F814" t="str">
        <f>IFERROR(INDEX(customers[country], MATCH(orders[[#This Row],[customer_id]], customers[customer_id], 0)), "Unmapped")</f>
        <v>Netherlands</v>
      </c>
      <c r="G814" t="str">
        <f>IFERROR(INDEX(Region_Map[Region], MATCH(orders[[#This Row],[Customer_Country]], Region_Map[Country], 0)), "Unknown")</f>
        <v>Central Europe</v>
      </c>
      <c r="H814" t="s">
        <v>6949</v>
      </c>
    </row>
    <row r="815" spans="1:8">
      <c r="A815" t="s">
        <v>1726</v>
      </c>
      <c r="B815" t="s">
        <v>906</v>
      </c>
      <c r="C815" s="1">
        <v>45016</v>
      </c>
      <c r="D815" s="1" t="str">
        <f>PROPER(orders[[#This Row],[order_priority]])</f>
        <v>Express</v>
      </c>
      <c r="E815" t="s">
        <v>13318</v>
      </c>
      <c r="F815" t="str">
        <f>IFERROR(INDEX(customers[country], MATCH(orders[[#This Row],[customer_id]], customers[customer_id], 0)), "Unmapped")</f>
        <v>Sweden</v>
      </c>
      <c r="G815" t="str">
        <f>IFERROR(INDEX(Region_Map[Region], MATCH(orders[[#This Row],[Customer_Country]], Region_Map[Country], 0)), "Unknown")</f>
        <v>Nordics</v>
      </c>
      <c r="H815" t="s">
        <v>6949</v>
      </c>
    </row>
    <row r="816" spans="1:8">
      <c r="A816" t="s">
        <v>1727</v>
      </c>
      <c r="B816" t="s">
        <v>718</v>
      </c>
      <c r="C816" s="1">
        <v>45061</v>
      </c>
      <c r="D816" s="1" t="str">
        <f>PROPER(orders[[#This Row],[order_priority]])</f>
        <v>Standard</v>
      </c>
      <c r="E816" t="s">
        <v>13317</v>
      </c>
      <c r="F816" t="str">
        <f>IFERROR(INDEX(customers[country], MATCH(orders[[#This Row],[customer_id]], customers[customer_id], 0)), "Unmapped")</f>
        <v>Netherlands</v>
      </c>
      <c r="G816" t="str">
        <f>IFERROR(INDEX(Region_Map[Region], MATCH(orders[[#This Row],[Customer_Country]], Region_Map[Country], 0)), "Unknown")</f>
        <v>Central Europe</v>
      </c>
      <c r="H816" t="s">
        <v>6949</v>
      </c>
    </row>
    <row r="817" spans="1:8">
      <c r="A817" t="s">
        <v>1728</v>
      </c>
      <c r="B817" t="s">
        <v>822</v>
      </c>
      <c r="C817" s="1">
        <v>45060</v>
      </c>
      <c r="D817" s="1" t="str">
        <f>PROPER(orders[[#This Row],[order_priority]])</f>
        <v>Same Day</v>
      </c>
      <c r="E817" t="s">
        <v>13322</v>
      </c>
      <c r="F817" t="str">
        <f>IFERROR(INDEX(customers[country], MATCH(orders[[#This Row],[customer_id]], customers[customer_id], 0)), "Unmapped")</f>
        <v>Netherlands</v>
      </c>
      <c r="G817" t="str">
        <f>IFERROR(INDEX(Region_Map[Region], MATCH(orders[[#This Row],[Customer_Country]], Region_Map[Country], 0)), "Unknown")</f>
        <v>Central Europe</v>
      </c>
      <c r="H817" t="s">
        <v>6949</v>
      </c>
    </row>
    <row r="818" spans="1:8">
      <c r="A818" t="s">
        <v>1729</v>
      </c>
      <c r="B818" t="s">
        <v>172</v>
      </c>
      <c r="C818" s="1">
        <v>45311</v>
      </c>
      <c r="D818" s="1" t="str">
        <f>PROPER(orders[[#This Row],[order_priority]])</f>
        <v>Economy</v>
      </c>
      <c r="E818" t="s">
        <v>13316</v>
      </c>
      <c r="F818" t="str">
        <f>IFERROR(INDEX(customers[country], MATCH(orders[[#This Row],[customer_id]], customers[customer_id], 0)), "Unmapped")</f>
        <v>Denmark</v>
      </c>
      <c r="G818" t="str">
        <f>IFERROR(INDEX(Region_Map[Region], MATCH(orders[[#This Row],[Customer_Country]], Region_Map[Country], 0)), "Unknown")</f>
        <v>Nordics</v>
      </c>
      <c r="H818" t="s">
        <v>6949</v>
      </c>
    </row>
    <row r="819" spans="1:8">
      <c r="A819" t="s">
        <v>1730</v>
      </c>
      <c r="B819" t="s">
        <v>822</v>
      </c>
      <c r="C819" s="1">
        <v>45119</v>
      </c>
      <c r="D819" s="1" t="str">
        <f>PROPER(orders[[#This Row],[order_priority]])</f>
        <v>Express</v>
      </c>
      <c r="E819" t="s">
        <v>13320</v>
      </c>
      <c r="F819" t="str">
        <f>IFERROR(INDEX(customers[country], MATCH(orders[[#This Row],[customer_id]], customers[customer_id], 0)), "Unmapped")</f>
        <v>Netherlands</v>
      </c>
      <c r="G819" t="str">
        <f>IFERROR(INDEX(Region_Map[Region], MATCH(orders[[#This Row],[Customer_Country]], Region_Map[Country], 0)), "Unknown")</f>
        <v>Central Europe</v>
      </c>
      <c r="H819" t="s">
        <v>6949</v>
      </c>
    </row>
    <row r="820" spans="1:8">
      <c r="A820" t="s">
        <v>1731</v>
      </c>
      <c r="B820" t="s">
        <v>644</v>
      </c>
      <c r="C820" s="1">
        <v>45224</v>
      </c>
      <c r="D820" s="1" t="str">
        <f>PROPER(orders[[#This Row],[order_priority]])</f>
        <v>Express</v>
      </c>
      <c r="E820" t="s">
        <v>13318</v>
      </c>
      <c r="F820" t="str">
        <f>IFERROR(INDEX(customers[country], MATCH(orders[[#This Row],[customer_id]], customers[customer_id], 0)), "Unmapped")</f>
        <v>Germany</v>
      </c>
      <c r="G820" t="str">
        <f>IFERROR(INDEX(Region_Map[Region], MATCH(orders[[#This Row],[Customer_Country]], Region_Map[Country], 0)), "Unknown")</f>
        <v>Central Europe</v>
      </c>
      <c r="H820" t="s">
        <v>6949</v>
      </c>
    </row>
    <row r="821" spans="1:8">
      <c r="A821" t="s">
        <v>1732</v>
      </c>
      <c r="B821" t="s">
        <v>413</v>
      </c>
      <c r="C821" s="1">
        <v>45308</v>
      </c>
      <c r="D821" s="1" t="str">
        <f>PROPER(orders[[#This Row],[order_priority]])</f>
        <v>Economy</v>
      </c>
      <c r="E821" t="s">
        <v>13316</v>
      </c>
      <c r="F821" t="str">
        <f>IFERROR(INDEX(customers[country], MATCH(orders[[#This Row],[customer_id]], customers[customer_id], 0)), "Unmapped")</f>
        <v>Poland</v>
      </c>
      <c r="G821" t="str">
        <f>IFERROR(INDEX(Region_Map[Region], MATCH(orders[[#This Row],[Customer_Country]], Region_Map[Country], 0)), "Unknown")</f>
        <v>Central Europe</v>
      </c>
      <c r="H821" t="s">
        <v>6949</v>
      </c>
    </row>
    <row r="822" spans="1:8">
      <c r="A822" t="s">
        <v>1733</v>
      </c>
      <c r="B822" t="s">
        <v>787</v>
      </c>
      <c r="C822" s="1">
        <v>45189</v>
      </c>
      <c r="D822" s="1" t="str">
        <f>PROPER(orders[[#This Row],[order_priority]])</f>
        <v>Economy</v>
      </c>
      <c r="E822" t="s">
        <v>13316</v>
      </c>
      <c r="F822" t="str">
        <f>IFERROR(INDEX(customers[country], MATCH(orders[[#This Row],[customer_id]], customers[customer_id], 0)), "Unmapped")</f>
        <v>Netherlands</v>
      </c>
      <c r="G822" t="str">
        <f>IFERROR(INDEX(Region_Map[Region], MATCH(orders[[#This Row],[Customer_Country]], Region_Map[Country], 0)), "Unknown")</f>
        <v>Central Europe</v>
      </c>
      <c r="H822" t="s">
        <v>6949</v>
      </c>
    </row>
    <row r="823" spans="1:8">
      <c r="A823" t="s">
        <v>1734</v>
      </c>
      <c r="B823" t="s">
        <v>267</v>
      </c>
      <c r="C823" s="1">
        <v>44943</v>
      </c>
      <c r="D823" s="1" t="str">
        <f>PROPER(orders[[#This Row],[order_priority]])</f>
        <v>Express</v>
      </c>
      <c r="E823" t="s">
        <v>13318</v>
      </c>
      <c r="F823" t="str">
        <f>IFERROR(INDEX(customers[country], MATCH(orders[[#This Row],[customer_id]], customers[customer_id], 0)), "Unmapped")</f>
        <v>Norway</v>
      </c>
      <c r="G823" t="str">
        <f>IFERROR(INDEX(Region_Map[Region], MATCH(orders[[#This Row],[Customer_Country]], Region_Map[Country], 0)), "Unknown")</f>
        <v>Nordics</v>
      </c>
      <c r="H823" t="s">
        <v>6949</v>
      </c>
    </row>
    <row r="824" spans="1:8">
      <c r="A824" t="s">
        <v>1735</v>
      </c>
      <c r="B824" t="s">
        <v>231</v>
      </c>
      <c r="C824" s="1">
        <v>45204</v>
      </c>
      <c r="D824" s="1" t="str">
        <f>PROPER(orders[[#This Row],[order_priority]])</f>
        <v>Same Day</v>
      </c>
      <c r="E824" t="s">
        <v>13322</v>
      </c>
      <c r="F824" t="str">
        <f>IFERROR(INDEX(customers[country], MATCH(orders[[#This Row],[customer_id]], customers[customer_id], 0)), "Unmapped")</f>
        <v>Lithuania</v>
      </c>
      <c r="G824" t="str">
        <f>IFERROR(INDEX(Region_Map[Region], MATCH(orders[[#This Row],[Customer_Country]], Region_Map[Country], 0)), "Unknown")</f>
        <v>Baltics</v>
      </c>
      <c r="H824" t="s">
        <v>6949</v>
      </c>
    </row>
    <row r="825" spans="1:8">
      <c r="A825" t="s">
        <v>1736</v>
      </c>
      <c r="B825" t="s">
        <v>491</v>
      </c>
      <c r="C825" s="1">
        <v>44931</v>
      </c>
      <c r="D825" s="1" t="str">
        <f>PROPER(orders[[#This Row],[order_priority]])</f>
        <v>Standard</v>
      </c>
      <c r="E825" t="s">
        <v>13317</v>
      </c>
      <c r="F825" t="str">
        <f>IFERROR(INDEX(customers[country], MATCH(orders[[#This Row],[customer_id]], customers[customer_id], 0)), "Unmapped")</f>
        <v>Latvia</v>
      </c>
      <c r="G825" t="str">
        <f>IFERROR(INDEX(Region_Map[Region], MATCH(orders[[#This Row],[Customer_Country]], Region_Map[Country], 0)), "Unknown")</f>
        <v>Baltics</v>
      </c>
      <c r="H825" t="s">
        <v>6949</v>
      </c>
    </row>
    <row r="826" spans="1:8">
      <c r="A826" t="s">
        <v>1737</v>
      </c>
      <c r="B826" t="s">
        <v>446</v>
      </c>
      <c r="C826" s="1">
        <v>45092</v>
      </c>
      <c r="D826" s="1" t="str">
        <f>PROPER(orders[[#This Row],[order_priority]])</f>
        <v>Same Day</v>
      </c>
      <c r="E826" t="s">
        <v>13322</v>
      </c>
      <c r="F826" t="str">
        <f>IFERROR(INDEX(customers[country], MATCH(orders[[#This Row],[customer_id]], customers[customer_id], 0)), "Unmapped")</f>
        <v>Sweden</v>
      </c>
      <c r="G826" t="str">
        <f>IFERROR(INDEX(Region_Map[Region], MATCH(orders[[#This Row],[Customer_Country]], Region_Map[Country], 0)), "Unknown")</f>
        <v>Nordics</v>
      </c>
      <c r="H826" t="s">
        <v>6949</v>
      </c>
    </row>
    <row r="827" spans="1:8">
      <c r="A827" t="s">
        <v>1738</v>
      </c>
      <c r="B827" t="s">
        <v>772</v>
      </c>
      <c r="C827" s="1">
        <v>45085</v>
      </c>
      <c r="D827" s="1" t="str">
        <f>PROPER(orders[[#This Row],[order_priority]])</f>
        <v>Express</v>
      </c>
      <c r="E827" t="s">
        <v>13318</v>
      </c>
      <c r="F827" t="str">
        <f>IFERROR(INDEX(customers[country], MATCH(orders[[#This Row],[customer_id]], customers[customer_id], 0)), "Unmapped")</f>
        <v>Estonia</v>
      </c>
      <c r="G827" t="str">
        <f>IFERROR(INDEX(Region_Map[Region], MATCH(orders[[#This Row],[Customer_Country]], Region_Map[Country], 0)), "Unknown")</f>
        <v>Baltics</v>
      </c>
      <c r="H827" t="s">
        <v>6949</v>
      </c>
    </row>
    <row r="828" spans="1:8">
      <c r="A828" t="s">
        <v>1739</v>
      </c>
      <c r="B828" t="s">
        <v>790</v>
      </c>
      <c r="C828" s="1">
        <v>45041</v>
      </c>
      <c r="D828" s="1" t="str">
        <f>PROPER(orders[[#This Row],[order_priority]])</f>
        <v>Economy</v>
      </c>
      <c r="E828" t="s">
        <v>13316</v>
      </c>
      <c r="F828" t="str">
        <f>IFERROR(INDEX(customers[country], MATCH(orders[[#This Row],[customer_id]], customers[customer_id], 0)), "Unmapped")</f>
        <v>Germany</v>
      </c>
      <c r="G828" t="str">
        <f>IFERROR(INDEX(Region_Map[Region], MATCH(orders[[#This Row],[Customer_Country]], Region_Map[Country], 0)), "Unknown")</f>
        <v>Central Europe</v>
      </c>
      <c r="H828" t="s">
        <v>6949</v>
      </c>
    </row>
    <row r="829" spans="1:8">
      <c r="A829" t="s">
        <v>1740</v>
      </c>
      <c r="B829" t="s">
        <v>733</v>
      </c>
      <c r="C829" s="1">
        <v>44963</v>
      </c>
      <c r="D829" s="1" t="str">
        <f>PROPER(orders[[#This Row],[order_priority]])</f>
        <v>Same Day</v>
      </c>
      <c r="E829" t="s">
        <v>13322</v>
      </c>
      <c r="F829" t="str">
        <f>IFERROR(INDEX(customers[country], MATCH(orders[[#This Row],[customer_id]], customers[customer_id], 0)), "Unmapped")</f>
        <v>Lithuania</v>
      </c>
      <c r="G829" t="str">
        <f>IFERROR(INDEX(Region_Map[Region], MATCH(orders[[#This Row],[Customer_Country]], Region_Map[Country], 0)), "Unknown")</f>
        <v>Baltics</v>
      </c>
      <c r="H829" t="s">
        <v>6949</v>
      </c>
    </row>
    <row r="830" spans="1:8">
      <c r="A830" t="s">
        <v>1741</v>
      </c>
      <c r="B830" t="s">
        <v>676</v>
      </c>
      <c r="C830" s="1">
        <v>45081</v>
      </c>
      <c r="D830" s="1" t="str">
        <f>PROPER(orders[[#This Row],[order_priority]])</f>
        <v>Standard</v>
      </c>
      <c r="E830" t="s">
        <v>13323</v>
      </c>
      <c r="F830" t="str">
        <f>IFERROR(INDEX(customers[country], MATCH(orders[[#This Row],[customer_id]], customers[customer_id], 0)), "Unmapped")</f>
        <v>Latvia</v>
      </c>
      <c r="G830" t="str">
        <f>IFERROR(INDEX(Region_Map[Region], MATCH(orders[[#This Row],[Customer_Country]], Region_Map[Country], 0)), "Unknown")</f>
        <v>Baltics</v>
      </c>
      <c r="H830" t="s">
        <v>6949</v>
      </c>
    </row>
    <row r="831" spans="1:8">
      <c r="A831" t="s">
        <v>1742</v>
      </c>
      <c r="B831" t="s">
        <v>311</v>
      </c>
      <c r="C831" s="1">
        <v>45231</v>
      </c>
      <c r="D831" s="1" t="str">
        <f>PROPER(orders[[#This Row],[order_priority]])</f>
        <v>Same Day</v>
      </c>
      <c r="E831" t="s">
        <v>13322</v>
      </c>
      <c r="F831" t="str">
        <f>IFERROR(INDEX(customers[country], MATCH(orders[[#This Row],[customer_id]], customers[customer_id], 0)), "Unmapped")</f>
        <v>Netherlands</v>
      </c>
      <c r="G831" t="str">
        <f>IFERROR(INDEX(Region_Map[Region], MATCH(orders[[#This Row],[Customer_Country]], Region_Map[Country], 0)), "Unknown")</f>
        <v>Central Europe</v>
      </c>
      <c r="H831" t="s">
        <v>6949</v>
      </c>
    </row>
    <row r="832" spans="1:8">
      <c r="A832" t="s">
        <v>1743</v>
      </c>
      <c r="B832" t="s">
        <v>225</v>
      </c>
      <c r="C832" s="1">
        <v>45100</v>
      </c>
      <c r="D832" s="1" t="str">
        <f>PROPER(orders[[#This Row],[order_priority]])</f>
        <v>Economy</v>
      </c>
      <c r="E832" t="s">
        <v>13316</v>
      </c>
      <c r="F832" t="str">
        <f>IFERROR(INDEX(customers[country], MATCH(orders[[#This Row],[customer_id]], customers[customer_id], 0)), "Unmapped")</f>
        <v>Poland</v>
      </c>
      <c r="G832" t="str">
        <f>IFERROR(INDEX(Region_Map[Region], MATCH(orders[[#This Row],[Customer_Country]], Region_Map[Country], 0)), "Unknown")</f>
        <v>Central Europe</v>
      </c>
      <c r="H832" t="s">
        <v>6949</v>
      </c>
    </row>
    <row r="833" spans="1:8">
      <c r="A833" t="s">
        <v>1744</v>
      </c>
      <c r="B833" t="s">
        <v>644</v>
      </c>
      <c r="C833" s="1">
        <v>45300</v>
      </c>
      <c r="D833" s="1" t="str">
        <f>PROPER(orders[[#This Row],[order_priority]])</f>
        <v>Standard</v>
      </c>
      <c r="E833" t="s">
        <v>13317</v>
      </c>
      <c r="F833" t="str">
        <f>IFERROR(INDEX(customers[country], MATCH(orders[[#This Row],[customer_id]], customers[customer_id], 0)), "Unmapped")</f>
        <v>Germany</v>
      </c>
      <c r="G833" t="str">
        <f>IFERROR(INDEX(Region_Map[Region], MATCH(orders[[#This Row],[Customer_Country]], Region_Map[Country], 0)), "Unknown")</f>
        <v>Central Europe</v>
      </c>
      <c r="H833" t="s">
        <v>6949</v>
      </c>
    </row>
    <row r="834" spans="1:8">
      <c r="A834" t="s">
        <v>1745</v>
      </c>
      <c r="B834" t="s">
        <v>676</v>
      </c>
      <c r="C834" s="1">
        <v>45068</v>
      </c>
      <c r="D834" s="1" t="str">
        <f>PROPER(orders[[#This Row],[order_priority]])</f>
        <v>Express</v>
      </c>
      <c r="E834" t="s">
        <v>13320</v>
      </c>
      <c r="F834" t="str">
        <f>IFERROR(INDEX(customers[country], MATCH(orders[[#This Row],[customer_id]], customers[customer_id], 0)), "Unmapped")</f>
        <v>Latvia</v>
      </c>
      <c r="G834" t="str">
        <f>IFERROR(INDEX(Region_Map[Region], MATCH(orders[[#This Row],[Customer_Country]], Region_Map[Country], 0)), "Unknown")</f>
        <v>Baltics</v>
      </c>
      <c r="H834" t="s">
        <v>6949</v>
      </c>
    </row>
    <row r="835" spans="1:8">
      <c r="A835" t="s">
        <v>1746</v>
      </c>
      <c r="B835" t="s">
        <v>291</v>
      </c>
      <c r="C835" s="1">
        <v>45570</v>
      </c>
      <c r="D835" s="1" t="str">
        <f>PROPER(orders[[#This Row],[order_priority]])</f>
        <v>Economy</v>
      </c>
      <c r="E835" t="s">
        <v>13316</v>
      </c>
      <c r="F835" t="str">
        <f>IFERROR(INDEX(customers[country], MATCH(orders[[#This Row],[customer_id]], customers[customer_id], 0)), "Unmapped")</f>
        <v>Poland</v>
      </c>
      <c r="G835" t="str">
        <f>IFERROR(INDEX(Region_Map[Region], MATCH(orders[[#This Row],[Customer_Country]], Region_Map[Country], 0)), "Unknown")</f>
        <v>Central Europe</v>
      </c>
      <c r="H835" t="s">
        <v>6949</v>
      </c>
    </row>
    <row r="836" spans="1:8">
      <c r="A836" t="s">
        <v>1747</v>
      </c>
      <c r="B836" t="s">
        <v>482</v>
      </c>
      <c r="C836" s="1">
        <v>45293</v>
      </c>
      <c r="D836" s="1" t="str">
        <f>PROPER(orders[[#This Row],[order_priority]])</f>
        <v>Express</v>
      </c>
      <c r="E836" t="s">
        <v>13318</v>
      </c>
      <c r="F836" t="str">
        <f>IFERROR(INDEX(customers[country], MATCH(orders[[#This Row],[customer_id]], customers[customer_id], 0)), "Unmapped")</f>
        <v>Finland</v>
      </c>
      <c r="G836" t="str">
        <f>IFERROR(INDEX(Region_Map[Region], MATCH(orders[[#This Row],[Customer_Country]], Region_Map[Country], 0)), "Unknown")</f>
        <v>Nordics</v>
      </c>
      <c r="H836" t="s">
        <v>6949</v>
      </c>
    </row>
    <row r="837" spans="1:8">
      <c r="A837" t="s">
        <v>1748</v>
      </c>
      <c r="B837" t="s">
        <v>70</v>
      </c>
      <c r="C837" s="1">
        <v>45390</v>
      </c>
      <c r="D837" s="1" t="str">
        <f>PROPER(orders[[#This Row],[order_priority]])</f>
        <v>Standard</v>
      </c>
      <c r="E837" t="s">
        <v>13317</v>
      </c>
      <c r="F837" t="str">
        <f>IFERROR(INDEX(customers[country], MATCH(orders[[#This Row],[customer_id]], customers[customer_id], 0)), "Unmapped")</f>
        <v>Estonia</v>
      </c>
      <c r="G837" t="str">
        <f>IFERROR(INDEX(Region_Map[Region], MATCH(orders[[#This Row],[Customer_Country]], Region_Map[Country], 0)), "Unknown")</f>
        <v>Baltics</v>
      </c>
      <c r="H837" t="s">
        <v>6949</v>
      </c>
    </row>
    <row r="838" spans="1:8">
      <c r="A838" t="s">
        <v>1749</v>
      </c>
      <c r="B838" t="s">
        <v>344</v>
      </c>
      <c r="C838" s="1">
        <v>45129</v>
      </c>
      <c r="D838" s="1" t="str">
        <f>PROPER(orders[[#This Row],[order_priority]])</f>
        <v>Standard</v>
      </c>
      <c r="E838" t="s">
        <v>13317</v>
      </c>
      <c r="F838" t="str">
        <f>IFERROR(INDEX(customers[country], MATCH(orders[[#This Row],[customer_id]], customers[customer_id], 0)), "Unmapped")</f>
        <v>Estonia</v>
      </c>
      <c r="G838" t="str">
        <f>IFERROR(INDEX(Region_Map[Region], MATCH(orders[[#This Row],[Customer_Country]], Region_Map[Country], 0)), "Unknown")</f>
        <v>Baltics</v>
      </c>
      <c r="H838" t="s">
        <v>6949</v>
      </c>
    </row>
    <row r="839" spans="1:8">
      <c r="A839" t="s">
        <v>1750</v>
      </c>
      <c r="B839" t="s">
        <v>539</v>
      </c>
      <c r="C839" s="1">
        <v>45177</v>
      </c>
      <c r="D839" s="1" t="str">
        <f>PROPER(orders[[#This Row],[order_priority]])</f>
        <v>Express</v>
      </c>
      <c r="E839" t="s">
        <v>13318</v>
      </c>
      <c r="F839" t="str">
        <f>IFERROR(INDEX(customers[country], MATCH(orders[[#This Row],[customer_id]], customers[customer_id], 0)), "Unmapped")</f>
        <v>Sweden</v>
      </c>
      <c r="G839" t="str">
        <f>IFERROR(INDEX(Region_Map[Region], MATCH(orders[[#This Row],[Customer_Country]], Region_Map[Country], 0)), "Unknown")</f>
        <v>Nordics</v>
      </c>
      <c r="H839" t="s">
        <v>6949</v>
      </c>
    </row>
    <row r="840" spans="1:8">
      <c r="A840" t="s">
        <v>1751</v>
      </c>
      <c r="B840" t="s">
        <v>530</v>
      </c>
      <c r="C840" s="1">
        <v>45620</v>
      </c>
      <c r="D840" s="1" t="str">
        <f>PROPER(orders[[#This Row],[order_priority]])</f>
        <v>Express</v>
      </c>
      <c r="E840" t="s">
        <v>13318</v>
      </c>
      <c r="F840" t="str">
        <f>IFERROR(INDEX(customers[country], MATCH(orders[[#This Row],[customer_id]], customers[customer_id], 0)), "Unmapped")</f>
        <v>Denmark</v>
      </c>
      <c r="G840" t="str">
        <f>IFERROR(INDEX(Region_Map[Region], MATCH(orders[[#This Row],[Customer_Country]], Region_Map[Country], 0)), "Unknown")</f>
        <v>Nordics</v>
      </c>
      <c r="H840" t="s">
        <v>6949</v>
      </c>
    </row>
    <row r="841" spans="1:8">
      <c r="A841" t="s">
        <v>1752</v>
      </c>
      <c r="B841" t="s">
        <v>799</v>
      </c>
      <c r="C841" s="1">
        <v>45602</v>
      </c>
      <c r="D841" s="1" t="str">
        <f>PROPER(orders[[#This Row],[order_priority]])</f>
        <v>Same Day</v>
      </c>
      <c r="E841" t="s">
        <v>13322</v>
      </c>
      <c r="F841" t="str">
        <f>IFERROR(INDEX(customers[country], MATCH(orders[[#This Row],[customer_id]], customers[customer_id], 0)), "Unmapped")</f>
        <v>Germany</v>
      </c>
      <c r="G841" t="str">
        <f>IFERROR(INDEX(Region_Map[Region], MATCH(orders[[#This Row],[Customer_Country]], Region_Map[Country], 0)), "Unknown")</f>
        <v>Central Europe</v>
      </c>
      <c r="H841" t="s">
        <v>6949</v>
      </c>
    </row>
    <row r="842" spans="1:8">
      <c r="A842" t="s">
        <v>1753</v>
      </c>
      <c r="B842" t="s">
        <v>620</v>
      </c>
      <c r="C842" s="1">
        <v>45496</v>
      </c>
      <c r="D842" s="1" t="str">
        <f>PROPER(orders[[#This Row],[order_priority]])</f>
        <v>Standard</v>
      </c>
      <c r="E842" t="s">
        <v>13317</v>
      </c>
      <c r="F842" t="str">
        <f>IFERROR(INDEX(customers[country], MATCH(orders[[#This Row],[customer_id]], customers[customer_id], 0)), "Unmapped")</f>
        <v>Latvia</v>
      </c>
      <c r="G842" t="str">
        <f>IFERROR(INDEX(Region_Map[Region], MATCH(orders[[#This Row],[Customer_Country]], Region_Map[Country], 0)), "Unknown")</f>
        <v>Baltics</v>
      </c>
      <c r="H842" t="s">
        <v>6949</v>
      </c>
    </row>
    <row r="843" spans="1:8">
      <c r="A843" t="s">
        <v>1754</v>
      </c>
      <c r="B843" t="s">
        <v>201</v>
      </c>
      <c r="C843" s="1">
        <v>45382</v>
      </c>
      <c r="D843" s="1" t="str">
        <f>PROPER(orders[[#This Row],[order_priority]])</f>
        <v>Standard</v>
      </c>
      <c r="E843" t="s">
        <v>13319</v>
      </c>
      <c r="F843" t="str">
        <f>IFERROR(INDEX(customers[country], MATCH(orders[[#This Row],[customer_id]], customers[customer_id], 0)), "Unmapped")</f>
        <v>Estonia</v>
      </c>
      <c r="G843" t="str">
        <f>IFERROR(INDEX(Region_Map[Region], MATCH(orders[[#This Row],[Customer_Country]], Region_Map[Country], 0)), "Unknown")</f>
        <v>Baltics</v>
      </c>
      <c r="H843" t="s">
        <v>6949</v>
      </c>
    </row>
    <row r="844" spans="1:8">
      <c r="A844" t="s">
        <v>1755</v>
      </c>
      <c r="B844" t="s">
        <v>596</v>
      </c>
      <c r="C844" s="1">
        <v>45388</v>
      </c>
      <c r="D844" s="1" t="str">
        <f>PROPER(orders[[#This Row],[order_priority]])</f>
        <v>Standard</v>
      </c>
      <c r="E844" t="s">
        <v>13317</v>
      </c>
      <c r="F844" t="str">
        <f>IFERROR(INDEX(customers[country], MATCH(orders[[#This Row],[customer_id]], customers[customer_id], 0)), "Unmapped")</f>
        <v>Lithuania</v>
      </c>
      <c r="G844" t="str">
        <f>IFERROR(INDEX(Region_Map[Region], MATCH(orders[[#This Row],[Customer_Country]], Region_Map[Country], 0)), "Unknown")</f>
        <v>Baltics</v>
      </c>
      <c r="H844" t="s">
        <v>6949</v>
      </c>
    </row>
    <row r="845" spans="1:8">
      <c r="A845" t="s">
        <v>1756</v>
      </c>
      <c r="B845" t="s">
        <v>518</v>
      </c>
      <c r="C845" s="1">
        <v>45183</v>
      </c>
      <c r="D845" s="1" t="str">
        <f>PROPER(orders[[#This Row],[order_priority]])</f>
        <v>Same Day</v>
      </c>
      <c r="E845" t="s">
        <v>13321</v>
      </c>
      <c r="F845" t="str">
        <f>IFERROR(INDEX(customers[country], MATCH(orders[[#This Row],[customer_id]], customers[customer_id], 0)), "Unmapped")</f>
        <v>Germany</v>
      </c>
      <c r="G845" t="str">
        <f>IFERROR(INDEX(Region_Map[Region], MATCH(orders[[#This Row],[Customer_Country]], Region_Map[Country], 0)), "Unknown")</f>
        <v>Central Europe</v>
      </c>
      <c r="H845" t="s">
        <v>6949</v>
      </c>
    </row>
    <row r="846" spans="1:8">
      <c r="A846" t="s">
        <v>1757</v>
      </c>
      <c r="B846" t="s">
        <v>470</v>
      </c>
      <c r="C846" s="1">
        <v>45181</v>
      </c>
      <c r="D846" s="1" t="str">
        <f>PROPER(orders[[#This Row],[order_priority]])</f>
        <v>Same Day</v>
      </c>
      <c r="E846" t="s">
        <v>13322</v>
      </c>
      <c r="F846" t="str">
        <f>IFERROR(INDEX(customers[country], MATCH(orders[[#This Row],[customer_id]], customers[customer_id], 0)), "Unmapped")</f>
        <v>Norway</v>
      </c>
      <c r="G846" t="str">
        <f>IFERROR(INDEX(Region_Map[Region], MATCH(orders[[#This Row],[Customer_Country]], Region_Map[Country], 0)), "Unknown")</f>
        <v>Nordics</v>
      </c>
      <c r="H846" t="s">
        <v>6949</v>
      </c>
    </row>
    <row r="847" spans="1:8">
      <c r="A847" t="s">
        <v>1758</v>
      </c>
      <c r="B847" t="s">
        <v>769</v>
      </c>
      <c r="C847" s="1">
        <v>45400</v>
      </c>
      <c r="D847" s="1" t="str">
        <f>PROPER(orders[[#This Row],[order_priority]])</f>
        <v>Express</v>
      </c>
      <c r="E847" t="s">
        <v>13318</v>
      </c>
      <c r="F847" t="str">
        <f>IFERROR(INDEX(customers[country], MATCH(orders[[#This Row],[customer_id]], customers[customer_id], 0)), "Unmapped")</f>
        <v>Latvia</v>
      </c>
      <c r="G847" t="str">
        <f>IFERROR(INDEX(Region_Map[Region], MATCH(orders[[#This Row],[Customer_Country]], Region_Map[Country], 0)), "Unknown")</f>
        <v>Baltics</v>
      </c>
      <c r="H847" t="s">
        <v>6949</v>
      </c>
    </row>
    <row r="848" spans="1:8">
      <c r="A848" t="s">
        <v>1759</v>
      </c>
      <c r="B848" t="s">
        <v>34</v>
      </c>
      <c r="C848" s="1">
        <v>45465</v>
      </c>
      <c r="D848" s="1" t="str">
        <f>PROPER(orders[[#This Row],[order_priority]])</f>
        <v>Economy</v>
      </c>
      <c r="E848" t="s">
        <v>13316</v>
      </c>
      <c r="F848" t="str">
        <f>IFERROR(INDEX(customers[country], MATCH(orders[[#This Row],[customer_id]], customers[customer_id], 0)), "Unmapped")</f>
        <v>Sweden</v>
      </c>
      <c r="G848" t="str">
        <f>IFERROR(INDEX(Region_Map[Region], MATCH(orders[[#This Row],[Customer_Country]], Region_Map[Country], 0)), "Unknown")</f>
        <v>Nordics</v>
      </c>
      <c r="H848" t="s">
        <v>6949</v>
      </c>
    </row>
    <row r="849" spans="1:8">
      <c r="A849" t="s">
        <v>1760</v>
      </c>
      <c r="B849" t="s">
        <v>799</v>
      </c>
      <c r="C849" s="1">
        <v>45241</v>
      </c>
      <c r="D849" s="1" t="str">
        <f>PROPER(orders[[#This Row],[order_priority]])</f>
        <v>Same Day</v>
      </c>
      <c r="E849" t="s">
        <v>13322</v>
      </c>
      <c r="F849" t="str">
        <f>IFERROR(INDEX(customers[country], MATCH(orders[[#This Row],[customer_id]], customers[customer_id], 0)), "Unmapped")</f>
        <v>Germany</v>
      </c>
      <c r="G849" t="str">
        <f>IFERROR(INDEX(Region_Map[Region], MATCH(orders[[#This Row],[Customer_Country]], Region_Map[Country], 0)), "Unknown")</f>
        <v>Central Europe</v>
      </c>
      <c r="H849" t="s">
        <v>6949</v>
      </c>
    </row>
    <row r="850" spans="1:8">
      <c r="A850" t="s">
        <v>1761</v>
      </c>
      <c r="B850" t="s">
        <v>661</v>
      </c>
      <c r="C850" s="1">
        <v>45412</v>
      </c>
      <c r="D850" s="1" t="str">
        <f>PROPER(orders[[#This Row],[order_priority]])</f>
        <v>Express</v>
      </c>
      <c r="E850" t="s">
        <v>13318</v>
      </c>
      <c r="F850" t="str">
        <f>IFERROR(INDEX(customers[country], MATCH(orders[[#This Row],[customer_id]], customers[customer_id], 0)), "Unmapped")</f>
        <v>Lithuania</v>
      </c>
      <c r="G850" t="str">
        <f>IFERROR(INDEX(Region_Map[Region], MATCH(orders[[#This Row],[Customer_Country]], Region_Map[Country], 0)), "Unknown")</f>
        <v>Baltics</v>
      </c>
      <c r="H850" t="s">
        <v>6949</v>
      </c>
    </row>
    <row r="851" spans="1:8">
      <c r="A851" t="s">
        <v>1762</v>
      </c>
      <c r="B851" t="s">
        <v>691</v>
      </c>
      <c r="C851" s="1">
        <v>45521</v>
      </c>
      <c r="D851" s="1" t="str">
        <f>PROPER(orders[[#This Row],[order_priority]])</f>
        <v>Standard</v>
      </c>
      <c r="E851" t="s">
        <v>13317</v>
      </c>
      <c r="F851" t="str">
        <f>IFERROR(INDEX(customers[country], MATCH(orders[[#This Row],[customer_id]], customers[customer_id], 0)), "Unmapped")</f>
        <v>Latvia</v>
      </c>
      <c r="G851" t="str">
        <f>IFERROR(INDEX(Region_Map[Region], MATCH(orders[[#This Row],[Customer_Country]], Region_Map[Country], 0)), "Unknown")</f>
        <v>Baltics</v>
      </c>
      <c r="H851" t="s">
        <v>6949</v>
      </c>
    </row>
    <row r="852" spans="1:8">
      <c r="A852" t="s">
        <v>1763</v>
      </c>
      <c r="B852" t="s">
        <v>365</v>
      </c>
      <c r="C852" s="1">
        <v>45052</v>
      </c>
      <c r="D852" s="1" t="str">
        <f>PROPER(orders[[#This Row],[order_priority]])</f>
        <v>Express</v>
      </c>
      <c r="E852" t="s">
        <v>13318</v>
      </c>
      <c r="F852" t="str">
        <f>IFERROR(INDEX(customers[country], MATCH(orders[[#This Row],[customer_id]], customers[customer_id], 0)), "Unmapped")</f>
        <v>Poland</v>
      </c>
      <c r="G852" t="str">
        <f>IFERROR(INDEX(Region_Map[Region], MATCH(orders[[#This Row],[Customer_Country]], Region_Map[Country], 0)), "Unknown")</f>
        <v>Central Europe</v>
      </c>
      <c r="H852" t="s">
        <v>6949</v>
      </c>
    </row>
    <row r="853" spans="1:8">
      <c r="A853" t="s">
        <v>1764</v>
      </c>
      <c r="B853" t="s">
        <v>374</v>
      </c>
      <c r="C853" s="1">
        <v>45383</v>
      </c>
      <c r="D853" s="1" t="str">
        <f>PROPER(orders[[#This Row],[order_priority]])</f>
        <v>Express</v>
      </c>
      <c r="E853" t="s">
        <v>13318</v>
      </c>
      <c r="F853" t="str">
        <f>IFERROR(INDEX(customers[country], MATCH(orders[[#This Row],[customer_id]], customers[customer_id], 0)), "Unmapped")</f>
        <v>Estonia</v>
      </c>
      <c r="G853" t="str">
        <f>IFERROR(INDEX(Region_Map[Region], MATCH(orders[[#This Row],[Customer_Country]], Region_Map[Country], 0)), "Unknown")</f>
        <v>Baltics</v>
      </c>
      <c r="H853" t="s">
        <v>6949</v>
      </c>
    </row>
    <row r="854" spans="1:8">
      <c r="A854" t="s">
        <v>1765</v>
      </c>
      <c r="B854" t="s">
        <v>712</v>
      </c>
      <c r="C854" s="1">
        <v>45156</v>
      </c>
      <c r="D854" s="1" t="str">
        <f>PROPER(orders[[#This Row],[order_priority]])</f>
        <v>Express</v>
      </c>
      <c r="E854" t="s">
        <v>13318</v>
      </c>
      <c r="F854" t="str">
        <f>IFERROR(INDEX(customers[country], MATCH(orders[[#This Row],[customer_id]], customers[customer_id], 0)), "Unmapped")</f>
        <v>Finland</v>
      </c>
      <c r="G854" t="str">
        <f>IFERROR(INDEX(Region_Map[Region], MATCH(orders[[#This Row],[Customer_Country]], Region_Map[Country], 0)), "Unknown")</f>
        <v>Nordics</v>
      </c>
      <c r="H854" t="s">
        <v>6949</v>
      </c>
    </row>
    <row r="855" spans="1:8">
      <c r="A855" t="s">
        <v>1766</v>
      </c>
      <c r="B855" t="s">
        <v>569</v>
      </c>
      <c r="C855" s="1">
        <v>45437</v>
      </c>
      <c r="D855" s="1" t="str">
        <f>PROPER(orders[[#This Row],[order_priority]])</f>
        <v>Economy</v>
      </c>
      <c r="E855" t="s">
        <v>13328</v>
      </c>
      <c r="F855" t="str">
        <f>IFERROR(INDEX(customers[country], MATCH(orders[[#This Row],[customer_id]], customers[customer_id], 0)), "Unmapped")</f>
        <v>Estonia</v>
      </c>
      <c r="G855" t="str">
        <f>IFERROR(INDEX(Region_Map[Region], MATCH(orders[[#This Row],[Customer_Country]], Region_Map[Country], 0)), "Unknown")</f>
        <v>Baltics</v>
      </c>
      <c r="H855" t="s">
        <v>6949</v>
      </c>
    </row>
    <row r="856" spans="1:8">
      <c r="A856" t="s">
        <v>1767</v>
      </c>
      <c r="B856" t="s">
        <v>506</v>
      </c>
      <c r="C856" s="1">
        <v>45392</v>
      </c>
      <c r="D856" s="1" t="str">
        <f>PROPER(orders[[#This Row],[order_priority]])</f>
        <v>Same Day</v>
      </c>
      <c r="E856" t="s">
        <v>13322</v>
      </c>
      <c r="F856" t="str">
        <f>IFERROR(INDEX(customers[country], MATCH(orders[[#This Row],[customer_id]], customers[customer_id], 0)), "Unmapped")</f>
        <v>Poland</v>
      </c>
      <c r="G856" t="str">
        <f>IFERROR(INDEX(Region_Map[Region], MATCH(orders[[#This Row],[Customer_Country]], Region_Map[Country], 0)), "Unknown")</f>
        <v>Central Europe</v>
      </c>
      <c r="H856" t="s">
        <v>6949</v>
      </c>
    </row>
    <row r="857" spans="1:8">
      <c r="A857" t="s">
        <v>1768</v>
      </c>
      <c r="B857" t="s">
        <v>712</v>
      </c>
      <c r="C857" s="1">
        <v>45518</v>
      </c>
      <c r="D857" s="1" t="str">
        <f>PROPER(orders[[#This Row],[order_priority]])</f>
        <v>Economy</v>
      </c>
      <c r="E857" t="s">
        <v>13316</v>
      </c>
      <c r="F857" t="str">
        <f>IFERROR(INDEX(customers[country], MATCH(orders[[#This Row],[customer_id]], customers[customer_id], 0)), "Unmapped")</f>
        <v>Finland</v>
      </c>
      <c r="G857" t="str">
        <f>IFERROR(INDEX(Region_Map[Region], MATCH(orders[[#This Row],[Customer_Country]], Region_Map[Country], 0)), "Unknown")</f>
        <v>Nordics</v>
      </c>
      <c r="H857" t="s">
        <v>6949</v>
      </c>
    </row>
    <row r="858" spans="1:8">
      <c r="A858" t="s">
        <v>1769</v>
      </c>
      <c r="B858" t="s">
        <v>169</v>
      </c>
      <c r="C858" s="1">
        <v>45574</v>
      </c>
      <c r="D858" s="1" t="str">
        <f>PROPER(orders[[#This Row],[order_priority]])</f>
        <v>Standard</v>
      </c>
      <c r="E858" t="s">
        <v>13317</v>
      </c>
      <c r="F858" t="str">
        <f>IFERROR(INDEX(customers[country], MATCH(orders[[#This Row],[customer_id]], customers[customer_id], 0)), "Unmapped")</f>
        <v>Norway</v>
      </c>
      <c r="G858" t="str">
        <f>IFERROR(INDEX(Region_Map[Region], MATCH(orders[[#This Row],[Customer_Country]], Region_Map[Country], 0)), "Unknown")</f>
        <v>Nordics</v>
      </c>
      <c r="H858" t="s">
        <v>6949</v>
      </c>
    </row>
    <row r="859" spans="1:8">
      <c r="A859" t="s">
        <v>1770</v>
      </c>
      <c r="B859" t="s">
        <v>864</v>
      </c>
      <c r="C859" s="1">
        <v>45500</v>
      </c>
      <c r="D859" s="1" t="str">
        <f>PROPER(orders[[#This Row],[order_priority]])</f>
        <v>Same Day</v>
      </c>
      <c r="E859" t="s">
        <v>13322</v>
      </c>
      <c r="F859" t="str">
        <f>IFERROR(INDEX(customers[country], MATCH(orders[[#This Row],[customer_id]], customers[customer_id], 0)), "Unmapped")</f>
        <v>Finland</v>
      </c>
      <c r="G859" t="str">
        <f>IFERROR(INDEX(Region_Map[Region], MATCH(orders[[#This Row],[Customer_Country]], Region_Map[Country], 0)), "Unknown")</f>
        <v>Nordics</v>
      </c>
      <c r="H859" t="s">
        <v>6949</v>
      </c>
    </row>
    <row r="860" spans="1:8">
      <c r="A860" t="s">
        <v>1771</v>
      </c>
      <c r="B860" t="s">
        <v>276</v>
      </c>
      <c r="C860" s="1">
        <v>45446</v>
      </c>
      <c r="D860" s="1" t="str">
        <f>PROPER(orders[[#This Row],[order_priority]])</f>
        <v>Same Day</v>
      </c>
      <c r="E860" t="s">
        <v>13322</v>
      </c>
      <c r="F860" t="str">
        <f>IFERROR(INDEX(customers[country], MATCH(orders[[#This Row],[customer_id]], customers[customer_id], 0)), "Unmapped")</f>
        <v>Sweden</v>
      </c>
      <c r="G860" t="str">
        <f>IFERROR(INDEX(Region_Map[Region], MATCH(orders[[#This Row],[Customer_Country]], Region_Map[Country], 0)), "Unknown")</f>
        <v>Nordics</v>
      </c>
      <c r="H860" t="s">
        <v>6949</v>
      </c>
    </row>
    <row r="861" spans="1:8">
      <c r="A861" t="s">
        <v>1772</v>
      </c>
      <c r="B861" t="s">
        <v>139</v>
      </c>
      <c r="C861" s="1">
        <v>45345</v>
      </c>
      <c r="D861" s="1" t="str">
        <f>PROPER(orders[[#This Row],[order_priority]])</f>
        <v>Same Day</v>
      </c>
      <c r="E861" t="s">
        <v>13322</v>
      </c>
      <c r="F861" t="str">
        <f>IFERROR(INDEX(customers[country], MATCH(orders[[#This Row],[customer_id]], customers[customer_id], 0)), "Unmapped")</f>
        <v>Netherlands</v>
      </c>
      <c r="G861" t="str">
        <f>IFERROR(INDEX(Region_Map[Region], MATCH(orders[[#This Row],[Customer_Country]], Region_Map[Country], 0)), "Unknown")</f>
        <v>Central Europe</v>
      </c>
      <c r="H861" t="s">
        <v>6949</v>
      </c>
    </row>
    <row r="862" spans="1:8">
      <c r="A862" t="s">
        <v>1773</v>
      </c>
      <c r="B862" t="s">
        <v>644</v>
      </c>
      <c r="C862" s="1">
        <v>45045</v>
      </c>
      <c r="D862" s="1" t="str">
        <f>PROPER(orders[[#This Row],[order_priority]])</f>
        <v>Economy</v>
      </c>
      <c r="E862" t="s">
        <v>13328</v>
      </c>
      <c r="F862" t="str">
        <f>IFERROR(INDEX(customers[country], MATCH(orders[[#This Row],[customer_id]], customers[customer_id], 0)), "Unmapped")</f>
        <v>Germany</v>
      </c>
      <c r="G862" t="str">
        <f>IFERROR(INDEX(Region_Map[Region], MATCH(orders[[#This Row],[Customer_Country]], Region_Map[Country], 0)), "Unknown")</f>
        <v>Central Europe</v>
      </c>
      <c r="H862" t="s">
        <v>6949</v>
      </c>
    </row>
    <row r="863" spans="1:8">
      <c r="A863" t="s">
        <v>1774</v>
      </c>
      <c r="B863" t="s">
        <v>27</v>
      </c>
      <c r="C863" s="1">
        <v>45389</v>
      </c>
      <c r="D863" s="1" t="str">
        <f>PROPER(orders[[#This Row],[order_priority]])</f>
        <v>Express</v>
      </c>
      <c r="E863" t="s">
        <v>13318</v>
      </c>
      <c r="F863" t="str">
        <f>IFERROR(INDEX(customers[country], MATCH(orders[[#This Row],[customer_id]], customers[customer_id], 0)), "Unmapped")</f>
        <v>Latvia</v>
      </c>
      <c r="G863" t="str">
        <f>IFERROR(INDEX(Region_Map[Region], MATCH(orders[[#This Row],[Customer_Country]], Region_Map[Country], 0)), "Unknown")</f>
        <v>Baltics</v>
      </c>
      <c r="H863" t="s">
        <v>6949</v>
      </c>
    </row>
    <row r="864" spans="1:8">
      <c r="A864" t="s">
        <v>1775</v>
      </c>
      <c r="B864" t="s">
        <v>288</v>
      </c>
      <c r="C864" s="1">
        <v>44959</v>
      </c>
      <c r="D864" s="1" t="str">
        <f>PROPER(orders[[#This Row],[order_priority]])</f>
        <v>Standard</v>
      </c>
      <c r="E864" t="s">
        <v>13317</v>
      </c>
      <c r="F864" t="str">
        <f>IFERROR(INDEX(customers[country], MATCH(orders[[#This Row],[customer_id]], customers[customer_id], 0)), "Unmapped")</f>
        <v>Netherlands</v>
      </c>
      <c r="G864" t="str">
        <f>IFERROR(INDEX(Region_Map[Region], MATCH(orders[[#This Row],[Customer_Country]], Region_Map[Country], 0)), "Unknown")</f>
        <v>Central Europe</v>
      </c>
      <c r="H864" t="s">
        <v>6949</v>
      </c>
    </row>
    <row r="865" spans="1:8">
      <c r="A865" t="s">
        <v>1776</v>
      </c>
      <c r="B865" t="s">
        <v>112</v>
      </c>
      <c r="C865" s="1">
        <v>45117</v>
      </c>
      <c r="D865" s="1" t="str">
        <f>PROPER(orders[[#This Row],[order_priority]])</f>
        <v>Same Day</v>
      </c>
      <c r="E865" t="s">
        <v>13321</v>
      </c>
      <c r="F865" t="str">
        <f>IFERROR(INDEX(customers[country], MATCH(orders[[#This Row],[customer_id]], customers[customer_id], 0)), "Unmapped")</f>
        <v>Finland</v>
      </c>
      <c r="G865" t="str">
        <f>IFERROR(INDEX(Region_Map[Region], MATCH(orders[[#This Row],[Customer_Country]], Region_Map[Country], 0)), "Unknown")</f>
        <v>Nordics</v>
      </c>
      <c r="H865" t="s">
        <v>6949</v>
      </c>
    </row>
    <row r="866" spans="1:8">
      <c r="A866" t="s">
        <v>1777</v>
      </c>
      <c r="B866" t="s">
        <v>846</v>
      </c>
      <c r="C866" s="1">
        <v>45157</v>
      </c>
      <c r="D866" s="1" t="str">
        <f>PROPER(orders[[#This Row],[order_priority]])</f>
        <v>Standard</v>
      </c>
      <c r="E866" t="s">
        <v>13317</v>
      </c>
      <c r="F866" t="str">
        <f>IFERROR(INDEX(customers[country], MATCH(orders[[#This Row],[customer_id]], customers[customer_id], 0)), "Unmapped")</f>
        <v>Netherlands</v>
      </c>
      <c r="G866" t="str">
        <f>IFERROR(INDEX(Region_Map[Region], MATCH(orders[[#This Row],[Customer_Country]], Region_Map[Country], 0)), "Unknown")</f>
        <v>Central Europe</v>
      </c>
      <c r="H866" t="s">
        <v>6949</v>
      </c>
    </row>
    <row r="867" spans="1:8">
      <c r="A867" t="s">
        <v>1778</v>
      </c>
      <c r="B867" t="s">
        <v>834</v>
      </c>
      <c r="C867" s="1">
        <v>44991</v>
      </c>
      <c r="D867" s="1" t="str">
        <f>PROPER(orders[[#This Row],[order_priority]])</f>
        <v>Express</v>
      </c>
      <c r="E867" t="s">
        <v>13318</v>
      </c>
      <c r="F867" t="str">
        <f>IFERROR(INDEX(customers[country], MATCH(orders[[#This Row],[customer_id]], customers[customer_id], 0)), "Unmapped")</f>
        <v>Denmark</v>
      </c>
      <c r="G867" t="str">
        <f>IFERROR(INDEX(Region_Map[Region], MATCH(orders[[#This Row],[Customer_Country]], Region_Map[Country], 0)), "Unknown")</f>
        <v>Nordics</v>
      </c>
      <c r="H867" t="s">
        <v>6949</v>
      </c>
    </row>
    <row r="868" spans="1:8">
      <c r="A868" t="s">
        <v>1779</v>
      </c>
      <c r="B868" t="s">
        <v>172</v>
      </c>
      <c r="C868" s="1">
        <v>45127</v>
      </c>
      <c r="D868" s="1" t="str">
        <f>PROPER(orders[[#This Row],[order_priority]])</f>
        <v>Economy</v>
      </c>
      <c r="E868" t="s">
        <v>13316</v>
      </c>
      <c r="F868" t="str">
        <f>IFERROR(INDEX(customers[country], MATCH(orders[[#This Row],[customer_id]], customers[customer_id], 0)), "Unmapped")</f>
        <v>Denmark</v>
      </c>
      <c r="G868" t="str">
        <f>IFERROR(INDEX(Region_Map[Region], MATCH(orders[[#This Row],[Customer_Country]], Region_Map[Country], 0)), "Unknown")</f>
        <v>Nordics</v>
      </c>
      <c r="H868" t="s">
        <v>6949</v>
      </c>
    </row>
    <row r="869" spans="1:8">
      <c r="A869" t="s">
        <v>1780</v>
      </c>
      <c r="B869" t="s">
        <v>772</v>
      </c>
      <c r="C869" s="1">
        <v>45110</v>
      </c>
      <c r="D869" s="1" t="str">
        <f>PROPER(orders[[#This Row],[order_priority]])</f>
        <v>Standard</v>
      </c>
      <c r="E869" t="s">
        <v>13317</v>
      </c>
      <c r="F869" t="str">
        <f>IFERROR(INDEX(customers[country], MATCH(orders[[#This Row],[customer_id]], customers[customer_id], 0)), "Unmapped")</f>
        <v>Estonia</v>
      </c>
      <c r="G869" t="str">
        <f>IFERROR(INDEX(Region_Map[Region], MATCH(orders[[#This Row],[Customer_Country]], Region_Map[Country], 0)), "Unknown")</f>
        <v>Baltics</v>
      </c>
      <c r="H869" t="s">
        <v>6949</v>
      </c>
    </row>
    <row r="870" spans="1:8">
      <c r="A870" t="s">
        <v>1781</v>
      </c>
      <c r="B870" t="s">
        <v>670</v>
      </c>
      <c r="C870" s="1">
        <v>45609</v>
      </c>
      <c r="D870" s="1" t="str">
        <f>PROPER(orders[[#This Row],[order_priority]])</f>
        <v>Economy</v>
      </c>
      <c r="E870" t="s">
        <v>13325</v>
      </c>
      <c r="F870" t="str">
        <f>IFERROR(INDEX(customers[country], MATCH(orders[[#This Row],[customer_id]], customers[customer_id], 0)), "Unmapped")</f>
        <v>Netherlands</v>
      </c>
      <c r="G870" t="str">
        <f>IFERROR(INDEX(Region_Map[Region], MATCH(orders[[#This Row],[Customer_Country]], Region_Map[Country], 0)), "Unknown")</f>
        <v>Central Europe</v>
      </c>
      <c r="H870" t="s">
        <v>6949</v>
      </c>
    </row>
    <row r="871" spans="1:8">
      <c r="A871" t="s">
        <v>1782</v>
      </c>
      <c r="B871" t="s">
        <v>371</v>
      </c>
      <c r="C871" s="1">
        <v>45450</v>
      </c>
      <c r="D871" s="1" t="str">
        <f>PROPER(orders[[#This Row],[order_priority]])</f>
        <v>Express</v>
      </c>
      <c r="E871" t="s">
        <v>13320</v>
      </c>
      <c r="F871" t="str">
        <f>IFERROR(INDEX(customers[country], MATCH(orders[[#This Row],[customer_id]], customers[customer_id], 0)), "Unmapped")</f>
        <v>Germany</v>
      </c>
      <c r="G871" t="str">
        <f>IFERROR(INDEX(Region_Map[Region], MATCH(orders[[#This Row],[Customer_Country]], Region_Map[Country], 0)), "Unknown")</f>
        <v>Central Europe</v>
      </c>
      <c r="H871" t="s">
        <v>6949</v>
      </c>
    </row>
    <row r="872" spans="1:8">
      <c r="A872" t="s">
        <v>1783</v>
      </c>
      <c r="B872" t="s">
        <v>398</v>
      </c>
      <c r="C872" s="1">
        <v>45363</v>
      </c>
      <c r="D872" s="1" t="str">
        <f>PROPER(orders[[#This Row],[order_priority]])</f>
        <v>Same Day</v>
      </c>
      <c r="E872" t="s">
        <v>13322</v>
      </c>
      <c r="F872" t="str">
        <f>IFERROR(INDEX(customers[country], MATCH(orders[[#This Row],[customer_id]], customers[customer_id], 0)), "Unmapped")</f>
        <v>Sweden</v>
      </c>
      <c r="G872" t="str">
        <f>IFERROR(INDEX(Region_Map[Region], MATCH(orders[[#This Row],[Customer_Country]], Region_Map[Country], 0)), "Unknown")</f>
        <v>Nordics</v>
      </c>
      <c r="H872" t="s">
        <v>6949</v>
      </c>
    </row>
    <row r="873" spans="1:8">
      <c r="A873" t="s">
        <v>1784</v>
      </c>
      <c r="B873" t="s">
        <v>243</v>
      </c>
      <c r="C873" s="1">
        <v>45618</v>
      </c>
      <c r="D873" s="1" t="str">
        <f>PROPER(orders[[#This Row],[order_priority]])</f>
        <v>Economy</v>
      </c>
      <c r="E873" t="s">
        <v>13316</v>
      </c>
      <c r="F873" t="str">
        <f>IFERROR(INDEX(customers[country], MATCH(orders[[#This Row],[customer_id]], customers[customer_id], 0)), "Unmapped")</f>
        <v>Netherlands</v>
      </c>
      <c r="G873" t="str">
        <f>IFERROR(INDEX(Region_Map[Region], MATCH(orders[[#This Row],[Customer_Country]], Region_Map[Country], 0)), "Unknown")</f>
        <v>Central Europe</v>
      </c>
      <c r="H873" t="s">
        <v>6949</v>
      </c>
    </row>
    <row r="874" spans="1:8">
      <c r="A874" t="s">
        <v>1785</v>
      </c>
      <c r="B874" t="s">
        <v>118</v>
      </c>
      <c r="C874" s="1">
        <v>45203</v>
      </c>
      <c r="D874" s="1" t="str">
        <f>PROPER(orders[[#This Row],[order_priority]])</f>
        <v>Economy</v>
      </c>
      <c r="E874" t="s">
        <v>13325</v>
      </c>
      <c r="F874" t="str">
        <f>IFERROR(INDEX(customers[country], MATCH(orders[[#This Row],[customer_id]], customers[customer_id], 0)), "Unmapped")</f>
        <v>Denmark</v>
      </c>
      <c r="G874" t="str">
        <f>IFERROR(INDEX(Region_Map[Region], MATCH(orders[[#This Row],[Customer_Country]], Region_Map[Country], 0)), "Unknown")</f>
        <v>Nordics</v>
      </c>
      <c r="H874" t="s">
        <v>6949</v>
      </c>
    </row>
    <row r="875" spans="1:8">
      <c r="A875" t="s">
        <v>1786</v>
      </c>
      <c r="B875" t="s">
        <v>151</v>
      </c>
      <c r="C875" s="1">
        <v>45106</v>
      </c>
      <c r="D875" s="1" t="str">
        <f>PROPER(orders[[#This Row],[order_priority]])</f>
        <v>Standard</v>
      </c>
      <c r="E875" t="s">
        <v>13317</v>
      </c>
      <c r="F875" t="str">
        <f>IFERROR(INDEX(customers[country], MATCH(orders[[#This Row],[customer_id]], customers[customer_id], 0)), "Unmapped")</f>
        <v>Sweden</v>
      </c>
      <c r="G875" t="str">
        <f>IFERROR(INDEX(Region_Map[Region], MATCH(orders[[#This Row],[Customer_Country]], Region_Map[Country], 0)), "Unknown")</f>
        <v>Nordics</v>
      </c>
      <c r="H875" t="s">
        <v>6949</v>
      </c>
    </row>
    <row r="876" spans="1:8">
      <c r="A876" t="s">
        <v>1787</v>
      </c>
      <c r="B876" t="s">
        <v>530</v>
      </c>
      <c r="C876" s="1">
        <v>45352</v>
      </c>
      <c r="D876" s="1" t="str">
        <f>PROPER(orders[[#This Row],[order_priority]])</f>
        <v>Economy</v>
      </c>
      <c r="E876" t="s">
        <v>13316</v>
      </c>
      <c r="F876" t="str">
        <f>IFERROR(INDEX(customers[country], MATCH(orders[[#This Row],[customer_id]], customers[customer_id], 0)), "Unmapped")</f>
        <v>Denmark</v>
      </c>
      <c r="G876" t="str">
        <f>IFERROR(INDEX(Region_Map[Region], MATCH(orders[[#This Row],[Customer_Country]], Region_Map[Country], 0)), "Unknown")</f>
        <v>Nordics</v>
      </c>
      <c r="H876" t="s">
        <v>6949</v>
      </c>
    </row>
    <row r="877" spans="1:8">
      <c r="A877" t="s">
        <v>1788</v>
      </c>
      <c r="B877" t="s">
        <v>900</v>
      </c>
      <c r="C877" s="1">
        <v>45448</v>
      </c>
      <c r="D877" s="1" t="str">
        <f>PROPER(orders[[#This Row],[order_priority]])</f>
        <v>Express</v>
      </c>
      <c r="E877" t="s">
        <v>13318</v>
      </c>
      <c r="F877" t="str">
        <f>IFERROR(INDEX(customers[country], MATCH(orders[[#This Row],[customer_id]], customers[customer_id], 0)), "Unmapped")</f>
        <v>Germany</v>
      </c>
      <c r="G877" t="str">
        <f>IFERROR(INDEX(Region_Map[Region], MATCH(orders[[#This Row],[Customer_Country]], Region_Map[Country], 0)), "Unknown")</f>
        <v>Central Europe</v>
      </c>
      <c r="H877" t="s">
        <v>6949</v>
      </c>
    </row>
    <row r="878" spans="1:8">
      <c r="A878" t="s">
        <v>1789</v>
      </c>
      <c r="B878" t="s">
        <v>752</v>
      </c>
      <c r="C878" s="1">
        <v>45462</v>
      </c>
      <c r="D878" s="1" t="str">
        <f>PROPER(orders[[#This Row],[order_priority]])</f>
        <v>Express</v>
      </c>
      <c r="E878" t="s">
        <v>13318</v>
      </c>
      <c r="F878" t="str">
        <f>IFERROR(INDEX(customers[country], MATCH(orders[[#This Row],[customer_id]], customers[customer_id], 0)), "Unmapped")</f>
        <v>Estonia</v>
      </c>
      <c r="G878" t="str">
        <f>IFERROR(INDEX(Region_Map[Region], MATCH(orders[[#This Row],[Customer_Country]], Region_Map[Country], 0)), "Unknown")</f>
        <v>Baltics</v>
      </c>
      <c r="H878" t="s">
        <v>6949</v>
      </c>
    </row>
    <row r="879" spans="1:8">
      <c r="A879" t="s">
        <v>1790</v>
      </c>
      <c r="B879" t="s">
        <v>843</v>
      </c>
      <c r="C879" s="1">
        <v>44989</v>
      </c>
      <c r="D879" s="1" t="str">
        <f>PROPER(orders[[#This Row],[order_priority]])</f>
        <v>Express</v>
      </c>
      <c r="E879" t="s">
        <v>13318</v>
      </c>
      <c r="F879" t="str">
        <f>IFERROR(INDEX(customers[country], MATCH(orders[[#This Row],[customer_id]], customers[customer_id], 0)), "Unmapped")</f>
        <v>Netherlands</v>
      </c>
      <c r="G879" t="str">
        <f>IFERROR(INDEX(Region_Map[Region], MATCH(orders[[#This Row],[Customer_Country]], Region_Map[Country], 0)), "Unknown")</f>
        <v>Central Europe</v>
      </c>
      <c r="H879" t="s">
        <v>6949</v>
      </c>
    </row>
    <row r="880" spans="1:8">
      <c r="A880" t="s">
        <v>1791</v>
      </c>
      <c r="B880" t="s">
        <v>172</v>
      </c>
      <c r="C880" s="1">
        <v>45281</v>
      </c>
      <c r="D880" s="1" t="str">
        <f>PROPER(orders[[#This Row],[order_priority]])</f>
        <v>Same Day</v>
      </c>
      <c r="E880" t="s">
        <v>13322</v>
      </c>
      <c r="F880" t="str">
        <f>IFERROR(INDEX(customers[country], MATCH(orders[[#This Row],[customer_id]], customers[customer_id], 0)), "Unmapped")</f>
        <v>Denmark</v>
      </c>
      <c r="G880" t="str">
        <f>IFERROR(INDEX(Region_Map[Region], MATCH(orders[[#This Row],[Customer_Country]], Region_Map[Country], 0)), "Unknown")</f>
        <v>Nordics</v>
      </c>
      <c r="H880" t="s">
        <v>6949</v>
      </c>
    </row>
    <row r="881" spans="1:8">
      <c r="A881" t="s">
        <v>1792</v>
      </c>
      <c r="B881" t="s">
        <v>311</v>
      </c>
      <c r="C881" s="1">
        <v>45345</v>
      </c>
      <c r="D881" s="1" t="str">
        <f>PROPER(orders[[#This Row],[order_priority]])</f>
        <v>Standard</v>
      </c>
      <c r="E881" t="s">
        <v>13317</v>
      </c>
      <c r="F881" t="str">
        <f>IFERROR(INDEX(customers[country], MATCH(orders[[#This Row],[customer_id]], customers[customer_id], 0)), "Unmapped")</f>
        <v>Netherlands</v>
      </c>
      <c r="G881" t="str">
        <f>IFERROR(INDEX(Region_Map[Region], MATCH(orders[[#This Row],[Customer_Country]], Region_Map[Country], 0)), "Unknown")</f>
        <v>Central Europe</v>
      </c>
      <c r="H881" t="s">
        <v>6949</v>
      </c>
    </row>
    <row r="882" spans="1:8">
      <c r="A882" t="s">
        <v>1793</v>
      </c>
      <c r="B882" t="s">
        <v>38</v>
      </c>
      <c r="C882" s="1">
        <v>44986</v>
      </c>
      <c r="D882" s="1" t="str">
        <f>PROPER(orders[[#This Row],[order_priority]])</f>
        <v>Express</v>
      </c>
      <c r="E882" t="s">
        <v>13318</v>
      </c>
      <c r="F882" t="str">
        <f>IFERROR(INDEX(customers[country], MATCH(orders[[#This Row],[customer_id]], customers[customer_id], 0)), "Unmapped")</f>
        <v>Lithuania</v>
      </c>
      <c r="G882" t="str">
        <f>IFERROR(INDEX(Region_Map[Region], MATCH(orders[[#This Row],[Customer_Country]], Region_Map[Country], 0)), "Unknown")</f>
        <v>Baltics</v>
      </c>
      <c r="H882" t="s">
        <v>6949</v>
      </c>
    </row>
    <row r="883" spans="1:8">
      <c r="A883" t="s">
        <v>1794</v>
      </c>
      <c r="B883" t="s">
        <v>906</v>
      </c>
      <c r="C883" s="1">
        <v>45330</v>
      </c>
      <c r="D883" s="1" t="str">
        <f>PROPER(orders[[#This Row],[order_priority]])</f>
        <v>Standard</v>
      </c>
      <c r="E883" t="s">
        <v>13317</v>
      </c>
      <c r="F883" t="str">
        <f>IFERROR(INDEX(customers[country], MATCH(orders[[#This Row],[customer_id]], customers[customer_id], 0)), "Unmapped")</f>
        <v>Sweden</v>
      </c>
      <c r="G883" t="str">
        <f>IFERROR(INDEX(Region_Map[Region], MATCH(orders[[#This Row],[Customer_Country]], Region_Map[Country], 0)), "Unknown")</f>
        <v>Nordics</v>
      </c>
      <c r="H883" t="s">
        <v>6949</v>
      </c>
    </row>
    <row r="884" spans="1:8">
      <c r="A884" t="s">
        <v>1795</v>
      </c>
      <c r="B884" t="s">
        <v>485</v>
      </c>
      <c r="C884" s="1">
        <v>45474</v>
      </c>
      <c r="D884" s="1" t="str">
        <f>PROPER(orders[[#This Row],[order_priority]])</f>
        <v>Economy</v>
      </c>
      <c r="E884" t="s">
        <v>13316</v>
      </c>
      <c r="F884" t="str">
        <f>IFERROR(INDEX(customers[country], MATCH(orders[[#This Row],[customer_id]], customers[customer_id], 0)), "Unmapped")</f>
        <v>Latvia</v>
      </c>
      <c r="G884" t="str">
        <f>IFERROR(INDEX(Region_Map[Region], MATCH(orders[[#This Row],[Customer_Country]], Region_Map[Country], 0)), "Unknown")</f>
        <v>Baltics</v>
      </c>
      <c r="H884" t="s">
        <v>6949</v>
      </c>
    </row>
    <row r="885" spans="1:8">
      <c r="A885" t="s">
        <v>1796</v>
      </c>
      <c r="B885" t="s">
        <v>151</v>
      </c>
      <c r="C885" s="1">
        <v>45050</v>
      </c>
      <c r="D885" s="1" t="str">
        <f>PROPER(orders[[#This Row],[order_priority]])</f>
        <v>Standard</v>
      </c>
      <c r="E885" t="s">
        <v>13317</v>
      </c>
      <c r="F885" t="str">
        <f>IFERROR(INDEX(customers[country], MATCH(orders[[#This Row],[customer_id]], customers[customer_id], 0)), "Unmapped")</f>
        <v>Sweden</v>
      </c>
      <c r="G885" t="str">
        <f>IFERROR(INDEX(Region_Map[Region], MATCH(orders[[#This Row],[Customer_Country]], Region_Map[Country], 0)), "Unknown")</f>
        <v>Nordics</v>
      </c>
      <c r="H885" t="s">
        <v>6949</v>
      </c>
    </row>
    <row r="886" spans="1:8">
      <c r="A886" t="s">
        <v>1797</v>
      </c>
      <c r="B886" t="s">
        <v>204</v>
      </c>
      <c r="C886" s="1">
        <v>45409</v>
      </c>
      <c r="D886" s="1" t="str">
        <f>PROPER(orders[[#This Row],[order_priority]])</f>
        <v>Economy</v>
      </c>
      <c r="E886" t="s">
        <v>13316</v>
      </c>
      <c r="F886" t="str">
        <f>IFERROR(INDEX(customers[country], MATCH(orders[[#This Row],[customer_id]], customers[customer_id], 0)), "Unmapped")</f>
        <v>Sweden</v>
      </c>
      <c r="G886" t="str">
        <f>IFERROR(INDEX(Region_Map[Region], MATCH(orders[[#This Row],[Customer_Country]], Region_Map[Country], 0)), "Unknown")</f>
        <v>Nordics</v>
      </c>
      <c r="H886" t="s">
        <v>6949</v>
      </c>
    </row>
    <row r="887" spans="1:8">
      <c r="A887" t="s">
        <v>1798</v>
      </c>
      <c r="B887" t="s">
        <v>192</v>
      </c>
      <c r="C887" s="1">
        <v>45238</v>
      </c>
      <c r="D887" s="1" t="str">
        <f>PROPER(orders[[#This Row],[order_priority]])</f>
        <v>Same Day</v>
      </c>
      <c r="E887" t="s">
        <v>13322</v>
      </c>
      <c r="F887" t="str">
        <f>IFERROR(INDEX(customers[country], MATCH(orders[[#This Row],[customer_id]], customers[customer_id], 0)), "Unmapped")</f>
        <v>Estonia</v>
      </c>
      <c r="G887" t="str">
        <f>IFERROR(INDEX(Region_Map[Region], MATCH(orders[[#This Row],[Customer_Country]], Region_Map[Country], 0)), "Unknown")</f>
        <v>Baltics</v>
      </c>
      <c r="H887" t="s">
        <v>6949</v>
      </c>
    </row>
    <row r="888" spans="1:8">
      <c r="A888" t="s">
        <v>1799</v>
      </c>
      <c r="B888" t="s">
        <v>320</v>
      </c>
      <c r="C888" s="1">
        <v>45575</v>
      </c>
      <c r="D888" s="1" t="str">
        <f>PROPER(orders[[#This Row],[order_priority]])</f>
        <v>Express</v>
      </c>
      <c r="E888" t="s">
        <v>13318</v>
      </c>
      <c r="F888" t="str">
        <f>IFERROR(INDEX(customers[country], MATCH(orders[[#This Row],[customer_id]], customers[customer_id], 0)), "Unmapped")</f>
        <v>Sweden</v>
      </c>
      <c r="G888" t="str">
        <f>IFERROR(INDEX(Region_Map[Region], MATCH(orders[[#This Row],[Customer_Country]], Region_Map[Country], 0)), "Unknown")</f>
        <v>Nordics</v>
      </c>
      <c r="H888" t="s">
        <v>6949</v>
      </c>
    </row>
    <row r="889" spans="1:8">
      <c r="A889" t="s">
        <v>1800</v>
      </c>
      <c r="B889" t="s">
        <v>237</v>
      </c>
      <c r="C889" s="1">
        <v>45377</v>
      </c>
      <c r="D889" s="1" t="str">
        <f>PROPER(orders[[#This Row],[order_priority]])</f>
        <v>Express</v>
      </c>
      <c r="E889" t="s">
        <v>13318</v>
      </c>
      <c r="F889" t="str">
        <f>IFERROR(INDEX(customers[country], MATCH(orders[[#This Row],[customer_id]], customers[customer_id], 0)), "Unmapped")</f>
        <v>Sweden</v>
      </c>
      <c r="G889" t="str">
        <f>IFERROR(INDEX(Region_Map[Region], MATCH(orders[[#This Row],[Customer_Country]], Region_Map[Country], 0)), "Unknown")</f>
        <v>Nordics</v>
      </c>
      <c r="H889" t="s">
        <v>6949</v>
      </c>
    </row>
    <row r="890" spans="1:8">
      <c r="A890" t="s">
        <v>1801</v>
      </c>
      <c r="B890" t="s">
        <v>449</v>
      </c>
      <c r="C890" s="1">
        <v>45501</v>
      </c>
      <c r="D890" s="1" t="str">
        <f>PROPER(orders[[#This Row],[order_priority]])</f>
        <v>Economy</v>
      </c>
      <c r="E890" t="s">
        <v>13316</v>
      </c>
      <c r="F890" t="str">
        <f>IFERROR(INDEX(customers[country], MATCH(orders[[#This Row],[customer_id]], customers[customer_id], 0)), "Unmapped")</f>
        <v>Norway</v>
      </c>
      <c r="G890" t="str">
        <f>IFERROR(INDEX(Region_Map[Region], MATCH(orders[[#This Row],[Customer_Country]], Region_Map[Country], 0)), "Unknown")</f>
        <v>Nordics</v>
      </c>
      <c r="H890" t="s">
        <v>6949</v>
      </c>
    </row>
    <row r="891" spans="1:8">
      <c r="A891" t="s">
        <v>1802</v>
      </c>
      <c r="B891" t="s">
        <v>184</v>
      </c>
      <c r="C891" s="1">
        <v>45241</v>
      </c>
      <c r="D891" s="1" t="str">
        <f>PROPER(orders[[#This Row],[order_priority]])</f>
        <v>Economy</v>
      </c>
      <c r="E891" t="s">
        <v>13316</v>
      </c>
      <c r="F891" t="str">
        <f>IFERROR(INDEX(customers[country], MATCH(orders[[#This Row],[customer_id]], customers[customer_id], 0)), "Unmapped")</f>
        <v>Netherlands</v>
      </c>
      <c r="G891" t="str">
        <f>IFERROR(INDEX(Region_Map[Region], MATCH(orders[[#This Row],[Customer_Country]], Region_Map[Country], 0)), "Unknown")</f>
        <v>Central Europe</v>
      </c>
      <c r="H891" t="s">
        <v>6949</v>
      </c>
    </row>
    <row r="892" spans="1:8">
      <c r="A892" t="s">
        <v>1803</v>
      </c>
      <c r="B892" t="s">
        <v>909</v>
      </c>
      <c r="C892" s="1">
        <v>45609</v>
      </c>
      <c r="D892" s="1" t="str">
        <f>PROPER(orders[[#This Row],[order_priority]])</f>
        <v>Same Day</v>
      </c>
      <c r="E892" t="s">
        <v>13322</v>
      </c>
      <c r="F892" t="str">
        <f>IFERROR(INDEX(customers[country], MATCH(orders[[#This Row],[customer_id]], customers[customer_id], 0)), "Unmapped")</f>
        <v>Poland</v>
      </c>
      <c r="G892" t="str">
        <f>IFERROR(INDEX(Region_Map[Region], MATCH(orders[[#This Row],[Customer_Country]], Region_Map[Country], 0)), "Unknown")</f>
        <v>Central Europe</v>
      </c>
      <c r="H892" t="s">
        <v>6949</v>
      </c>
    </row>
    <row r="893" spans="1:8">
      <c r="A893" t="s">
        <v>1804</v>
      </c>
      <c r="B893" t="s">
        <v>407</v>
      </c>
      <c r="C893" s="1">
        <v>45327</v>
      </c>
      <c r="D893" s="1" t="str">
        <f>PROPER(orders[[#This Row],[order_priority]])</f>
        <v>Standard</v>
      </c>
      <c r="E893" t="s">
        <v>13317</v>
      </c>
      <c r="F893" t="str">
        <f>IFERROR(INDEX(customers[country], MATCH(orders[[#This Row],[customer_id]], customers[customer_id], 0)), "Unmapped")</f>
        <v>Poland</v>
      </c>
      <c r="G893" t="str">
        <f>IFERROR(INDEX(Region_Map[Region], MATCH(orders[[#This Row],[Customer_Country]], Region_Map[Country], 0)), "Unknown")</f>
        <v>Central Europe</v>
      </c>
      <c r="H893" t="s">
        <v>6949</v>
      </c>
    </row>
    <row r="894" spans="1:8">
      <c r="A894" t="s">
        <v>1805</v>
      </c>
      <c r="B894" t="s">
        <v>479</v>
      </c>
      <c r="C894" s="1">
        <v>45017</v>
      </c>
      <c r="D894" s="1" t="str">
        <f>PROPER(orders[[#This Row],[order_priority]])</f>
        <v>Express</v>
      </c>
      <c r="E894" t="s">
        <v>13318</v>
      </c>
      <c r="F894" t="str">
        <f>IFERROR(INDEX(customers[country], MATCH(orders[[#This Row],[customer_id]], customers[customer_id], 0)), "Unmapped")</f>
        <v>Latvia</v>
      </c>
      <c r="G894" t="str">
        <f>IFERROR(INDEX(Region_Map[Region], MATCH(orders[[#This Row],[Customer_Country]], Region_Map[Country], 0)), "Unknown")</f>
        <v>Baltics</v>
      </c>
      <c r="H894" t="s">
        <v>6949</v>
      </c>
    </row>
    <row r="895" spans="1:8">
      <c r="A895" t="s">
        <v>1806</v>
      </c>
      <c r="B895" t="s">
        <v>587</v>
      </c>
      <c r="C895" s="1">
        <v>45387</v>
      </c>
      <c r="D895" s="1" t="str">
        <f>PROPER(orders[[#This Row],[order_priority]])</f>
        <v>Same Day</v>
      </c>
      <c r="E895" t="s">
        <v>13322</v>
      </c>
      <c r="F895" t="str">
        <f>IFERROR(INDEX(customers[country], MATCH(orders[[#This Row],[customer_id]], customers[customer_id], 0)), "Unmapped")</f>
        <v>Finland</v>
      </c>
      <c r="G895" t="str">
        <f>IFERROR(INDEX(Region_Map[Region], MATCH(orders[[#This Row],[Customer_Country]], Region_Map[Country], 0)), "Unknown")</f>
        <v>Nordics</v>
      </c>
      <c r="H895" t="s">
        <v>6949</v>
      </c>
    </row>
    <row r="896" spans="1:8">
      <c r="A896" t="s">
        <v>1807</v>
      </c>
      <c r="B896" t="s">
        <v>377</v>
      </c>
      <c r="C896" s="1">
        <v>45196</v>
      </c>
      <c r="D896" s="1" t="str">
        <f>PROPER(orders[[#This Row],[order_priority]])</f>
        <v>Economy</v>
      </c>
      <c r="E896" t="s">
        <v>13316</v>
      </c>
      <c r="F896" t="str">
        <f>IFERROR(INDEX(customers[country], MATCH(orders[[#This Row],[customer_id]], customers[customer_id], 0)), "Unmapped")</f>
        <v>Denmark</v>
      </c>
      <c r="G896" t="str">
        <f>IFERROR(INDEX(Region_Map[Region], MATCH(orders[[#This Row],[Customer_Country]], Region_Map[Country], 0)), "Unknown")</f>
        <v>Nordics</v>
      </c>
      <c r="H896" t="s">
        <v>6949</v>
      </c>
    </row>
    <row r="897" spans="1:8">
      <c r="A897" t="s">
        <v>1808</v>
      </c>
      <c r="B897" t="s">
        <v>709</v>
      </c>
      <c r="C897" s="1">
        <v>45010</v>
      </c>
      <c r="D897" s="1" t="str">
        <f>PROPER(orders[[#This Row],[order_priority]])</f>
        <v>Same Day</v>
      </c>
      <c r="E897" t="s">
        <v>13322</v>
      </c>
      <c r="F897" t="str">
        <f>IFERROR(INDEX(customers[country], MATCH(orders[[#This Row],[customer_id]], customers[customer_id], 0)), "Unmapped")</f>
        <v>Netherlands</v>
      </c>
      <c r="G897" t="str">
        <f>IFERROR(INDEX(Region_Map[Region], MATCH(orders[[#This Row],[Customer_Country]], Region_Map[Country], 0)), "Unknown")</f>
        <v>Central Europe</v>
      </c>
      <c r="H897" t="s">
        <v>6949</v>
      </c>
    </row>
    <row r="898" spans="1:8">
      <c r="A898" t="s">
        <v>1809</v>
      </c>
      <c r="B898" t="s">
        <v>755</v>
      </c>
      <c r="C898" s="1">
        <v>45627</v>
      </c>
      <c r="D898" s="1" t="str">
        <f>PROPER(orders[[#This Row],[order_priority]])</f>
        <v>Express</v>
      </c>
      <c r="E898" t="s">
        <v>13326</v>
      </c>
      <c r="F898" t="str">
        <f>IFERROR(INDEX(customers[country], MATCH(orders[[#This Row],[customer_id]], customers[customer_id], 0)), "Unmapped")</f>
        <v>Denmark</v>
      </c>
      <c r="G898" t="str">
        <f>IFERROR(INDEX(Region_Map[Region], MATCH(orders[[#This Row],[Customer_Country]], Region_Map[Country], 0)), "Unknown")</f>
        <v>Nordics</v>
      </c>
      <c r="H898" t="s">
        <v>6949</v>
      </c>
    </row>
    <row r="899" spans="1:8">
      <c r="A899" t="s">
        <v>1810</v>
      </c>
      <c r="B899" t="s">
        <v>563</v>
      </c>
      <c r="C899" s="1">
        <v>45054</v>
      </c>
      <c r="D899" s="1" t="str">
        <f>PROPER(orders[[#This Row],[order_priority]])</f>
        <v>Same Day</v>
      </c>
      <c r="E899" t="s">
        <v>13322</v>
      </c>
      <c r="F899" t="str">
        <f>IFERROR(INDEX(customers[country], MATCH(orders[[#This Row],[customer_id]], customers[customer_id], 0)), "Unmapped")</f>
        <v>Estonia</v>
      </c>
      <c r="G899" t="str">
        <f>IFERROR(INDEX(Region_Map[Region], MATCH(orders[[#This Row],[Customer_Country]], Region_Map[Country], 0)), "Unknown")</f>
        <v>Baltics</v>
      </c>
      <c r="H899" t="s">
        <v>6949</v>
      </c>
    </row>
    <row r="900" spans="1:8">
      <c r="A900" t="s">
        <v>1811</v>
      </c>
      <c r="B900" t="s">
        <v>772</v>
      </c>
      <c r="C900" s="1">
        <v>45522</v>
      </c>
      <c r="D900" s="1" t="str">
        <f>PROPER(orders[[#This Row],[order_priority]])</f>
        <v>Economy</v>
      </c>
      <c r="E900" t="s">
        <v>13316</v>
      </c>
      <c r="F900" t="str">
        <f>IFERROR(INDEX(customers[country], MATCH(orders[[#This Row],[customer_id]], customers[customer_id], 0)), "Unmapped")</f>
        <v>Estonia</v>
      </c>
      <c r="G900" t="str">
        <f>IFERROR(INDEX(Region_Map[Region], MATCH(orders[[#This Row],[Customer_Country]], Region_Map[Country], 0)), "Unknown")</f>
        <v>Baltics</v>
      </c>
      <c r="H900" t="s">
        <v>6949</v>
      </c>
    </row>
    <row r="901" spans="1:8">
      <c r="A901" t="s">
        <v>1812</v>
      </c>
      <c r="B901" t="s">
        <v>488</v>
      </c>
      <c r="C901" s="1">
        <v>45325</v>
      </c>
      <c r="D901" s="1" t="str">
        <f>PROPER(orders[[#This Row],[order_priority]])</f>
        <v>Economy</v>
      </c>
      <c r="E901" t="s">
        <v>13316</v>
      </c>
      <c r="F901" t="str">
        <f>IFERROR(INDEX(customers[country], MATCH(orders[[#This Row],[customer_id]], customers[customer_id], 0)), "Unmapped")</f>
        <v>Netherlands</v>
      </c>
      <c r="G901" t="str">
        <f>IFERROR(INDEX(Region_Map[Region], MATCH(orders[[#This Row],[Customer_Country]], Region_Map[Country], 0)), "Unknown")</f>
        <v>Central Europe</v>
      </c>
      <c r="H901" t="s">
        <v>6949</v>
      </c>
    </row>
    <row r="902" spans="1:8">
      <c r="A902" t="s">
        <v>1813</v>
      </c>
      <c r="B902" t="s">
        <v>766</v>
      </c>
      <c r="C902" s="1">
        <v>45005</v>
      </c>
      <c r="D902" s="1" t="str">
        <f>PROPER(orders[[#This Row],[order_priority]])</f>
        <v>Express</v>
      </c>
      <c r="E902" t="s">
        <v>13318</v>
      </c>
      <c r="F902" t="str">
        <f>IFERROR(INDEX(customers[country], MATCH(orders[[#This Row],[customer_id]], customers[customer_id], 0)), "Unmapped")</f>
        <v>Germany</v>
      </c>
      <c r="G902" t="str">
        <f>IFERROR(INDEX(Region_Map[Region], MATCH(orders[[#This Row],[Customer_Country]], Region_Map[Country], 0)), "Unknown")</f>
        <v>Central Europe</v>
      </c>
      <c r="H902" t="s">
        <v>6949</v>
      </c>
    </row>
    <row r="903" spans="1:8">
      <c r="A903" t="s">
        <v>1814</v>
      </c>
      <c r="B903" t="s">
        <v>326</v>
      </c>
      <c r="C903" s="1">
        <v>45291</v>
      </c>
      <c r="D903" s="1" t="str">
        <f>PROPER(orders[[#This Row],[order_priority]])</f>
        <v>Express</v>
      </c>
      <c r="E903" t="s">
        <v>13326</v>
      </c>
      <c r="F903" t="str">
        <f>IFERROR(INDEX(customers[country], MATCH(orders[[#This Row],[customer_id]], customers[customer_id], 0)), "Unmapped")</f>
        <v>Lithuania</v>
      </c>
      <c r="G903" t="str">
        <f>IFERROR(INDEX(Region_Map[Region], MATCH(orders[[#This Row],[Customer_Country]], Region_Map[Country], 0)), "Unknown")</f>
        <v>Baltics</v>
      </c>
      <c r="H903" t="s">
        <v>6949</v>
      </c>
    </row>
    <row r="904" spans="1:8">
      <c r="A904" t="s">
        <v>1815</v>
      </c>
      <c r="B904" t="s">
        <v>539</v>
      </c>
      <c r="C904" s="1">
        <v>45496</v>
      </c>
      <c r="D904" s="1" t="str">
        <f>PROPER(orders[[#This Row],[order_priority]])</f>
        <v>Express</v>
      </c>
      <c r="E904" t="s">
        <v>13318</v>
      </c>
      <c r="F904" t="str">
        <f>IFERROR(INDEX(customers[country], MATCH(orders[[#This Row],[customer_id]], customers[customer_id], 0)), "Unmapped")</f>
        <v>Sweden</v>
      </c>
      <c r="G904" t="str">
        <f>IFERROR(INDEX(Region_Map[Region], MATCH(orders[[#This Row],[Customer_Country]], Region_Map[Country], 0)), "Unknown")</f>
        <v>Nordics</v>
      </c>
      <c r="H904" t="s">
        <v>6949</v>
      </c>
    </row>
    <row r="905" spans="1:8">
      <c r="A905" t="s">
        <v>1816</v>
      </c>
      <c r="B905" t="s">
        <v>667</v>
      </c>
      <c r="C905" s="1">
        <v>45261</v>
      </c>
      <c r="D905" s="1" t="str">
        <f>PROPER(orders[[#This Row],[order_priority]])</f>
        <v>Same Day</v>
      </c>
      <c r="E905" t="s">
        <v>13322</v>
      </c>
      <c r="F905" t="str">
        <f>IFERROR(INDEX(customers[country], MATCH(orders[[#This Row],[customer_id]], customers[customer_id], 0)), "Unmapped")</f>
        <v>Germany</v>
      </c>
      <c r="G905" t="str">
        <f>IFERROR(INDEX(Region_Map[Region], MATCH(orders[[#This Row],[Customer_Country]], Region_Map[Country], 0)), "Unknown")</f>
        <v>Central Europe</v>
      </c>
      <c r="H905" t="s">
        <v>6949</v>
      </c>
    </row>
    <row r="906" spans="1:8">
      <c r="A906" t="s">
        <v>1817</v>
      </c>
      <c r="B906" t="s">
        <v>784</v>
      </c>
      <c r="C906" s="1">
        <v>45436</v>
      </c>
      <c r="D906" s="1" t="str">
        <f>PROPER(orders[[#This Row],[order_priority]])</f>
        <v>Economy</v>
      </c>
      <c r="E906" t="s">
        <v>13316</v>
      </c>
      <c r="F906" t="str">
        <f>IFERROR(INDEX(customers[country], MATCH(orders[[#This Row],[customer_id]], customers[customer_id], 0)), "Unmapped")</f>
        <v>Estonia</v>
      </c>
      <c r="G906" t="str">
        <f>IFERROR(INDEX(Region_Map[Region], MATCH(orders[[#This Row],[Customer_Country]], Region_Map[Country], 0)), "Unknown")</f>
        <v>Baltics</v>
      </c>
      <c r="H906" t="s">
        <v>6949</v>
      </c>
    </row>
    <row r="907" spans="1:8">
      <c r="A907" t="s">
        <v>1818</v>
      </c>
      <c r="B907" t="s">
        <v>900</v>
      </c>
      <c r="C907" s="1">
        <v>45019</v>
      </c>
      <c r="D907" s="1" t="str">
        <f>PROPER(orders[[#This Row],[order_priority]])</f>
        <v>Standard</v>
      </c>
      <c r="E907" t="s">
        <v>13317</v>
      </c>
      <c r="F907" t="str">
        <f>IFERROR(INDEX(customers[country], MATCH(orders[[#This Row],[customer_id]], customers[customer_id], 0)), "Unmapped")</f>
        <v>Germany</v>
      </c>
      <c r="G907" t="str">
        <f>IFERROR(INDEX(Region_Map[Region], MATCH(orders[[#This Row],[Customer_Country]], Region_Map[Country], 0)), "Unknown")</f>
        <v>Central Europe</v>
      </c>
      <c r="H907" t="s">
        <v>6949</v>
      </c>
    </row>
    <row r="908" spans="1:8">
      <c r="A908" t="s">
        <v>1819</v>
      </c>
      <c r="B908" t="s">
        <v>160</v>
      </c>
      <c r="C908" s="1">
        <v>45506</v>
      </c>
      <c r="D908" s="1" t="str">
        <f>PROPER(orders[[#This Row],[order_priority]])</f>
        <v>Standard</v>
      </c>
      <c r="E908" t="s">
        <v>13317</v>
      </c>
      <c r="F908" t="str">
        <f>IFERROR(INDEX(customers[country], MATCH(orders[[#This Row],[customer_id]], customers[customer_id], 0)), "Unmapped")</f>
        <v>Denmark</v>
      </c>
      <c r="G908" t="str">
        <f>IFERROR(INDEX(Region_Map[Region], MATCH(orders[[#This Row],[Customer_Country]], Region_Map[Country], 0)), "Unknown")</f>
        <v>Nordics</v>
      </c>
      <c r="H908" t="s">
        <v>6949</v>
      </c>
    </row>
    <row r="909" spans="1:8">
      <c r="A909" t="s">
        <v>1820</v>
      </c>
      <c r="B909" t="s">
        <v>676</v>
      </c>
      <c r="C909" s="1">
        <v>45235</v>
      </c>
      <c r="D909" s="1" t="str">
        <f>PROPER(orders[[#This Row],[order_priority]])</f>
        <v>Standard</v>
      </c>
      <c r="E909" t="s">
        <v>13317</v>
      </c>
      <c r="F909" t="str">
        <f>IFERROR(INDEX(customers[country], MATCH(orders[[#This Row],[customer_id]], customers[customer_id], 0)), "Unmapped")</f>
        <v>Latvia</v>
      </c>
      <c r="G909" t="str">
        <f>IFERROR(INDEX(Region_Map[Region], MATCH(orders[[#This Row],[Customer_Country]], Region_Map[Country], 0)), "Unknown")</f>
        <v>Baltics</v>
      </c>
      <c r="H909" t="s">
        <v>6949</v>
      </c>
    </row>
    <row r="910" spans="1:8">
      <c r="A910" t="s">
        <v>1821</v>
      </c>
      <c r="B910" t="s">
        <v>458</v>
      </c>
      <c r="C910" s="1">
        <v>45459</v>
      </c>
      <c r="D910" s="1" t="str">
        <f>PROPER(orders[[#This Row],[order_priority]])</f>
        <v>Standard</v>
      </c>
      <c r="E910" t="s">
        <v>13317</v>
      </c>
      <c r="F910" t="str">
        <f>IFERROR(INDEX(customers[country], MATCH(orders[[#This Row],[customer_id]], customers[customer_id], 0)), "Unmapped")</f>
        <v>Poland</v>
      </c>
      <c r="G910" t="str">
        <f>IFERROR(INDEX(Region_Map[Region], MATCH(orders[[#This Row],[Customer_Country]], Region_Map[Country], 0)), "Unknown")</f>
        <v>Central Europe</v>
      </c>
      <c r="H910" t="s">
        <v>6949</v>
      </c>
    </row>
    <row r="911" spans="1:8">
      <c r="A911" t="s">
        <v>1822</v>
      </c>
      <c r="B911" t="s">
        <v>735</v>
      </c>
      <c r="C911" s="1">
        <v>45475</v>
      </c>
      <c r="D911" s="1" t="str">
        <f>PROPER(orders[[#This Row],[order_priority]])</f>
        <v>Same Day</v>
      </c>
      <c r="E911" t="s">
        <v>13322</v>
      </c>
      <c r="F911" t="str">
        <f>IFERROR(INDEX(customers[country], MATCH(orders[[#This Row],[customer_id]], customers[customer_id], 0)), "Unmapped")</f>
        <v>Poland</v>
      </c>
      <c r="G911" t="str">
        <f>IFERROR(INDEX(Region_Map[Region], MATCH(orders[[#This Row],[Customer_Country]], Region_Map[Country], 0)), "Unknown")</f>
        <v>Central Europe</v>
      </c>
      <c r="H911" t="s">
        <v>6949</v>
      </c>
    </row>
    <row r="912" spans="1:8">
      <c r="A912" t="s">
        <v>1823</v>
      </c>
      <c r="B912" t="s">
        <v>338</v>
      </c>
      <c r="C912" s="1">
        <v>45501</v>
      </c>
      <c r="D912" s="1" t="str">
        <f>PROPER(orders[[#This Row],[order_priority]])</f>
        <v>Economy</v>
      </c>
      <c r="E912" t="s">
        <v>13316</v>
      </c>
      <c r="F912" t="str">
        <f>IFERROR(INDEX(customers[country], MATCH(orders[[#This Row],[customer_id]], customers[customer_id], 0)), "Unmapped")</f>
        <v>Denmark</v>
      </c>
      <c r="G912" t="str">
        <f>IFERROR(INDEX(Region_Map[Region], MATCH(orders[[#This Row],[Customer_Country]], Region_Map[Country], 0)), "Unknown")</f>
        <v>Nordics</v>
      </c>
      <c r="H912" t="s">
        <v>6949</v>
      </c>
    </row>
    <row r="913" spans="1:8">
      <c r="A913" t="s">
        <v>1824</v>
      </c>
      <c r="B913" t="s">
        <v>548</v>
      </c>
      <c r="C913" s="1">
        <v>45523</v>
      </c>
      <c r="D913" s="1" t="str">
        <f>PROPER(orders[[#This Row],[order_priority]])</f>
        <v>Same Day</v>
      </c>
      <c r="E913" t="s">
        <v>13322</v>
      </c>
      <c r="F913" t="str">
        <f>IFERROR(INDEX(customers[country], MATCH(orders[[#This Row],[customer_id]], customers[customer_id], 0)), "Unmapped")</f>
        <v>Sweden</v>
      </c>
      <c r="G913" t="str">
        <f>IFERROR(INDEX(Region_Map[Region], MATCH(orders[[#This Row],[Customer_Country]], Region_Map[Country], 0)), "Unknown")</f>
        <v>Nordics</v>
      </c>
      <c r="H913" t="s">
        <v>6949</v>
      </c>
    </row>
    <row r="914" spans="1:8">
      <c r="A914" t="s">
        <v>1825</v>
      </c>
      <c r="B914" t="s">
        <v>852</v>
      </c>
      <c r="C914" s="1">
        <v>45370</v>
      </c>
      <c r="D914" s="1" t="str">
        <f>PROPER(orders[[#This Row],[order_priority]])</f>
        <v>Standard</v>
      </c>
      <c r="E914" t="s">
        <v>13317</v>
      </c>
      <c r="F914" t="str">
        <f>IFERROR(INDEX(customers[country], MATCH(orders[[#This Row],[customer_id]], customers[customer_id], 0)), "Unmapped")</f>
        <v>Sweden</v>
      </c>
      <c r="G914" t="str">
        <f>IFERROR(INDEX(Region_Map[Region], MATCH(orders[[#This Row],[Customer_Country]], Region_Map[Country], 0)), "Unknown")</f>
        <v>Nordics</v>
      </c>
      <c r="H914" t="s">
        <v>6949</v>
      </c>
    </row>
    <row r="915" spans="1:8">
      <c r="A915" t="s">
        <v>1826</v>
      </c>
      <c r="B915" t="s">
        <v>207</v>
      </c>
      <c r="C915" s="1">
        <v>45190</v>
      </c>
      <c r="D915" s="1" t="str">
        <f>PROPER(orders[[#This Row],[order_priority]])</f>
        <v>Express</v>
      </c>
      <c r="E915" t="s">
        <v>13318</v>
      </c>
      <c r="F915" t="str">
        <f>IFERROR(INDEX(customers[country], MATCH(orders[[#This Row],[customer_id]], customers[customer_id], 0)), "Unmapped")</f>
        <v>Poland</v>
      </c>
      <c r="G915" t="str">
        <f>IFERROR(INDEX(Region_Map[Region], MATCH(orders[[#This Row],[Customer_Country]], Region_Map[Country], 0)), "Unknown")</f>
        <v>Central Europe</v>
      </c>
      <c r="H915" t="s">
        <v>6949</v>
      </c>
    </row>
    <row r="916" spans="1:8">
      <c r="A916" t="s">
        <v>1827</v>
      </c>
      <c r="B916" t="s">
        <v>903</v>
      </c>
      <c r="C916" s="1">
        <v>45012</v>
      </c>
      <c r="D916" s="1" t="str">
        <f>PROPER(orders[[#This Row],[order_priority]])</f>
        <v>Express</v>
      </c>
      <c r="E916" t="s">
        <v>13318</v>
      </c>
      <c r="F916" t="str">
        <f>IFERROR(INDEX(customers[country], MATCH(orders[[#This Row],[customer_id]], customers[customer_id], 0)), "Unmapped")</f>
        <v>Norway</v>
      </c>
      <c r="G916" t="str">
        <f>IFERROR(INDEX(Region_Map[Region], MATCH(orders[[#This Row],[Customer_Country]], Region_Map[Country], 0)), "Unknown")</f>
        <v>Nordics</v>
      </c>
      <c r="H916" t="s">
        <v>6949</v>
      </c>
    </row>
    <row r="917" spans="1:8">
      <c r="A917" t="s">
        <v>1828</v>
      </c>
      <c r="B917" t="s">
        <v>834</v>
      </c>
      <c r="C917" s="1">
        <v>45053</v>
      </c>
      <c r="D917" s="1" t="str">
        <f>PROPER(orders[[#This Row],[order_priority]])</f>
        <v>Same Day</v>
      </c>
      <c r="E917" t="s">
        <v>13322</v>
      </c>
      <c r="F917" t="str">
        <f>IFERROR(INDEX(customers[country], MATCH(orders[[#This Row],[customer_id]], customers[customer_id], 0)), "Unmapped")</f>
        <v>Denmark</v>
      </c>
      <c r="G917" t="str">
        <f>IFERROR(INDEX(Region_Map[Region], MATCH(orders[[#This Row],[Customer_Country]], Region_Map[Country], 0)), "Unknown")</f>
        <v>Nordics</v>
      </c>
      <c r="H917" t="s">
        <v>6949</v>
      </c>
    </row>
    <row r="918" spans="1:8">
      <c r="A918" t="s">
        <v>1829</v>
      </c>
      <c r="B918" t="s">
        <v>416</v>
      </c>
      <c r="C918" s="1">
        <v>45221</v>
      </c>
      <c r="D918" s="1" t="str">
        <f>PROPER(orders[[#This Row],[order_priority]])</f>
        <v>Express</v>
      </c>
      <c r="E918" t="s">
        <v>13318</v>
      </c>
      <c r="F918" t="str">
        <f>IFERROR(INDEX(customers[country], MATCH(orders[[#This Row],[customer_id]], customers[customer_id], 0)), "Unmapped")</f>
        <v>Denmark</v>
      </c>
      <c r="G918" t="str">
        <f>IFERROR(INDEX(Region_Map[Region], MATCH(orders[[#This Row],[Customer_Country]], Region_Map[Country], 0)), "Unknown")</f>
        <v>Nordics</v>
      </c>
      <c r="H918" t="s">
        <v>6949</v>
      </c>
    </row>
    <row r="919" spans="1:8">
      <c r="A919" t="s">
        <v>1830</v>
      </c>
      <c r="B919" t="s">
        <v>395</v>
      </c>
      <c r="C919" s="1">
        <v>45207</v>
      </c>
      <c r="D919" s="1" t="str">
        <f>PROPER(orders[[#This Row],[order_priority]])</f>
        <v>Express</v>
      </c>
      <c r="E919" t="s">
        <v>13318</v>
      </c>
      <c r="F919" t="str">
        <f>IFERROR(INDEX(customers[country], MATCH(orders[[#This Row],[customer_id]], customers[customer_id], 0)), "Unmapped")</f>
        <v>Sweden</v>
      </c>
      <c r="G919" t="str">
        <f>IFERROR(INDEX(Region_Map[Region], MATCH(orders[[#This Row],[Customer_Country]], Region_Map[Country], 0)), "Unknown")</f>
        <v>Nordics</v>
      </c>
      <c r="H919" t="s">
        <v>6949</v>
      </c>
    </row>
    <row r="920" spans="1:8">
      <c r="A920" t="s">
        <v>1831</v>
      </c>
      <c r="B920" t="s">
        <v>596</v>
      </c>
      <c r="C920" s="1">
        <v>45538</v>
      </c>
      <c r="D920" s="1" t="str">
        <f>PROPER(orders[[#This Row],[order_priority]])</f>
        <v>Economy</v>
      </c>
      <c r="E920" t="s">
        <v>13316</v>
      </c>
      <c r="F920" t="str">
        <f>IFERROR(INDEX(customers[country], MATCH(orders[[#This Row],[customer_id]], customers[customer_id], 0)), "Unmapped")</f>
        <v>Lithuania</v>
      </c>
      <c r="G920" t="str">
        <f>IFERROR(INDEX(Region_Map[Region], MATCH(orders[[#This Row],[Customer_Country]], Region_Map[Country], 0)), "Unknown")</f>
        <v>Baltics</v>
      </c>
      <c r="H920" t="s">
        <v>6949</v>
      </c>
    </row>
    <row r="921" spans="1:8">
      <c r="A921" t="s">
        <v>1832</v>
      </c>
      <c r="B921" t="s">
        <v>805</v>
      </c>
      <c r="C921" s="1">
        <v>45045</v>
      </c>
      <c r="D921" s="1" t="str">
        <f>PROPER(orders[[#This Row],[order_priority]])</f>
        <v>Standard</v>
      </c>
      <c r="E921" t="s">
        <v>13317</v>
      </c>
      <c r="F921" t="str">
        <f>IFERROR(INDEX(customers[country], MATCH(orders[[#This Row],[customer_id]], customers[customer_id], 0)), "Unmapped")</f>
        <v>Estonia</v>
      </c>
      <c r="G921" t="str">
        <f>IFERROR(INDEX(Region_Map[Region], MATCH(orders[[#This Row],[Customer_Country]], Region_Map[Country], 0)), "Unknown")</f>
        <v>Baltics</v>
      </c>
      <c r="H921" t="s">
        <v>6949</v>
      </c>
    </row>
    <row r="922" spans="1:8">
      <c r="A922" t="s">
        <v>1833</v>
      </c>
      <c r="B922" t="s">
        <v>15</v>
      </c>
      <c r="C922" s="1">
        <v>45590</v>
      </c>
      <c r="D922" s="1" t="str">
        <f>PROPER(orders[[#This Row],[order_priority]])</f>
        <v>Standard</v>
      </c>
      <c r="E922" t="s">
        <v>13317</v>
      </c>
      <c r="F922" t="str">
        <f>IFERROR(INDEX(customers[country], MATCH(orders[[#This Row],[customer_id]], customers[customer_id], 0)), "Unmapped")</f>
        <v>Estonia</v>
      </c>
      <c r="G922" t="str">
        <f>IFERROR(INDEX(Region_Map[Region], MATCH(orders[[#This Row],[Customer_Country]], Region_Map[Country], 0)), "Unknown")</f>
        <v>Baltics</v>
      </c>
      <c r="H922" t="s">
        <v>6949</v>
      </c>
    </row>
    <row r="923" spans="1:8">
      <c r="A923" t="s">
        <v>1834</v>
      </c>
      <c r="B923" t="s">
        <v>234</v>
      </c>
      <c r="C923" s="1">
        <v>45052</v>
      </c>
      <c r="D923" s="1" t="str">
        <f>PROPER(orders[[#This Row],[order_priority]])</f>
        <v>Standard</v>
      </c>
      <c r="E923" t="s">
        <v>13317</v>
      </c>
      <c r="F923" t="str">
        <f>IFERROR(INDEX(customers[country], MATCH(orders[[#This Row],[customer_id]], customers[customer_id], 0)), "Unmapped")</f>
        <v>Finland</v>
      </c>
      <c r="G923" t="str">
        <f>IFERROR(INDEX(Region_Map[Region], MATCH(orders[[#This Row],[Customer_Country]], Region_Map[Country], 0)), "Unknown")</f>
        <v>Nordics</v>
      </c>
      <c r="H923" t="s">
        <v>6949</v>
      </c>
    </row>
    <row r="924" spans="1:8">
      <c r="A924" t="s">
        <v>1835</v>
      </c>
      <c r="B924" t="s">
        <v>506</v>
      </c>
      <c r="C924" s="1">
        <v>45132</v>
      </c>
      <c r="D924" s="1" t="str">
        <f>PROPER(orders[[#This Row],[order_priority]])</f>
        <v>Economy</v>
      </c>
      <c r="E924" t="s">
        <v>13316</v>
      </c>
      <c r="F924" t="str">
        <f>IFERROR(INDEX(customers[country], MATCH(orders[[#This Row],[customer_id]], customers[customer_id], 0)), "Unmapped")</f>
        <v>Poland</v>
      </c>
      <c r="G924" t="str">
        <f>IFERROR(INDEX(Region_Map[Region], MATCH(orders[[#This Row],[Customer_Country]], Region_Map[Country], 0)), "Unknown")</f>
        <v>Central Europe</v>
      </c>
      <c r="H924" t="s">
        <v>6949</v>
      </c>
    </row>
    <row r="925" spans="1:8">
      <c r="A925" t="s">
        <v>1836</v>
      </c>
      <c r="B925" t="s">
        <v>787</v>
      </c>
      <c r="C925" s="1">
        <v>45545</v>
      </c>
      <c r="D925" s="1" t="str">
        <f>PROPER(orders[[#This Row],[order_priority]])</f>
        <v>Express</v>
      </c>
      <c r="E925" t="s">
        <v>13318</v>
      </c>
      <c r="F925" t="str">
        <f>IFERROR(INDEX(customers[country], MATCH(orders[[#This Row],[customer_id]], customers[customer_id], 0)), "Unmapped")</f>
        <v>Netherlands</v>
      </c>
      <c r="G925" t="str">
        <f>IFERROR(INDEX(Region_Map[Region], MATCH(orders[[#This Row],[Customer_Country]], Region_Map[Country], 0)), "Unknown")</f>
        <v>Central Europe</v>
      </c>
      <c r="H925" t="s">
        <v>6949</v>
      </c>
    </row>
    <row r="926" spans="1:8">
      <c r="A926" t="s">
        <v>1837</v>
      </c>
      <c r="B926" t="s">
        <v>590</v>
      </c>
      <c r="C926" s="1">
        <v>45243</v>
      </c>
      <c r="D926" s="1" t="str">
        <f>PROPER(orders[[#This Row],[order_priority]])</f>
        <v>Same Day</v>
      </c>
      <c r="E926" t="s">
        <v>13322</v>
      </c>
      <c r="F926" t="str">
        <f>IFERROR(INDEX(customers[country], MATCH(orders[[#This Row],[customer_id]], customers[customer_id], 0)), "Unmapped")</f>
        <v>Finland</v>
      </c>
      <c r="G926" t="str">
        <f>IFERROR(INDEX(Region_Map[Region], MATCH(orders[[#This Row],[Customer_Country]], Region_Map[Country], 0)), "Unknown")</f>
        <v>Nordics</v>
      </c>
      <c r="H926" t="s">
        <v>6949</v>
      </c>
    </row>
    <row r="927" spans="1:8">
      <c r="A927" t="s">
        <v>1838</v>
      </c>
      <c r="B927" t="s">
        <v>572</v>
      </c>
      <c r="C927" s="1">
        <v>45464</v>
      </c>
      <c r="D927" s="1" t="str">
        <f>PROPER(orders[[#This Row],[order_priority]])</f>
        <v>Same Day</v>
      </c>
      <c r="E927" t="s">
        <v>13321</v>
      </c>
      <c r="F927" t="str">
        <f>IFERROR(INDEX(customers[country], MATCH(orders[[#This Row],[customer_id]], customers[customer_id], 0)), "Unmapped")</f>
        <v>Germany</v>
      </c>
      <c r="G927" t="str">
        <f>IFERROR(INDEX(Region_Map[Region], MATCH(orders[[#This Row],[Customer_Country]], Region_Map[Country], 0)), "Unknown")</f>
        <v>Central Europe</v>
      </c>
      <c r="H927" t="s">
        <v>6949</v>
      </c>
    </row>
    <row r="928" spans="1:8">
      <c r="A928" t="s">
        <v>1839</v>
      </c>
      <c r="B928" t="s">
        <v>661</v>
      </c>
      <c r="C928" s="1">
        <v>44954</v>
      </c>
      <c r="D928" s="1" t="str">
        <f>PROPER(orders[[#This Row],[order_priority]])</f>
        <v>Standard</v>
      </c>
      <c r="E928" t="s">
        <v>13317</v>
      </c>
      <c r="F928" t="str">
        <f>IFERROR(INDEX(customers[country], MATCH(orders[[#This Row],[customer_id]], customers[customer_id], 0)), "Unmapped")</f>
        <v>Lithuania</v>
      </c>
      <c r="G928" t="str">
        <f>IFERROR(INDEX(Region_Map[Region], MATCH(orders[[#This Row],[Customer_Country]], Region_Map[Country], 0)), "Unknown")</f>
        <v>Baltics</v>
      </c>
      <c r="H928" t="s">
        <v>6949</v>
      </c>
    </row>
    <row r="929" spans="1:8">
      <c r="A929" t="s">
        <v>1840</v>
      </c>
      <c r="B929" t="s">
        <v>13337</v>
      </c>
      <c r="C929" s="1">
        <v>44981</v>
      </c>
      <c r="D929" s="1" t="str">
        <f>PROPER(orders[[#This Row],[order_priority]])</f>
        <v>Economy</v>
      </c>
      <c r="E929" t="s">
        <v>13316</v>
      </c>
      <c r="F929" t="str">
        <f>IFERROR(INDEX(customers[country], MATCH(orders[[#This Row],[customer_id]], customers[customer_id], 0)), "Unmapped")</f>
        <v>Unmapped</v>
      </c>
      <c r="G929" t="str">
        <f>IFERROR(INDEX(Region_Map[Region], MATCH(orders[[#This Row],[Customer_Country]], Region_Map[Country], 0)), "Unknown")</f>
        <v>Unknown</v>
      </c>
      <c r="H929" t="s">
        <v>6949</v>
      </c>
    </row>
    <row r="930" spans="1:8">
      <c r="A930" t="s">
        <v>1841</v>
      </c>
      <c r="B930" t="s">
        <v>246</v>
      </c>
      <c r="C930" s="1">
        <v>45277</v>
      </c>
      <c r="D930" s="1" t="str">
        <f>PROPER(orders[[#This Row],[order_priority]])</f>
        <v>Economy</v>
      </c>
      <c r="E930" t="s">
        <v>13316</v>
      </c>
      <c r="F930" t="str">
        <f>IFERROR(INDEX(customers[country], MATCH(orders[[#This Row],[customer_id]], customers[customer_id], 0)), "Unmapped")</f>
        <v>Netherlands</v>
      </c>
      <c r="G930" t="str">
        <f>IFERROR(INDEX(Region_Map[Region], MATCH(orders[[#This Row],[Customer_Country]], Region_Map[Country], 0)), "Unknown")</f>
        <v>Central Europe</v>
      </c>
      <c r="H930" t="s">
        <v>6949</v>
      </c>
    </row>
    <row r="931" spans="1:8">
      <c r="A931" t="s">
        <v>1842</v>
      </c>
      <c r="B931" t="s">
        <v>652</v>
      </c>
      <c r="C931" s="1">
        <v>45428</v>
      </c>
      <c r="D931" s="1" t="str">
        <f>PROPER(orders[[#This Row],[order_priority]])</f>
        <v>Same Day</v>
      </c>
      <c r="E931" t="s">
        <v>13322</v>
      </c>
      <c r="F931" t="str">
        <f>IFERROR(INDEX(customers[country], MATCH(orders[[#This Row],[customer_id]], customers[customer_id], 0)), "Unmapped")</f>
        <v>Poland</v>
      </c>
      <c r="G931" t="str">
        <f>IFERROR(INDEX(Region_Map[Region], MATCH(orders[[#This Row],[Customer_Country]], Region_Map[Country], 0)), "Unknown")</f>
        <v>Central Europe</v>
      </c>
      <c r="H931" t="s">
        <v>6949</v>
      </c>
    </row>
    <row r="932" spans="1:8">
      <c r="A932" t="s">
        <v>1843</v>
      </c>
      <c r="B932" t="s">
        <v>136</v>
      </c>
      <c r="C932" s="1">
        <v>45106</v>
      </c>
      <c r="D932" s="1" t="str">
        <f>PROPER(orders[[#This Row],[order_priority]])</f>
        <v>Standard</v>
      </c>
      <c r="E932" t="s">
        <v>13317</v>
      </c>
      <c r="F932" t="str">
        <f>IFERROR(INDEX(customers[country], MATCH(orders[[#This Row],[customer_id]], customers[customer_id], 0)), "Unmapped")</f>
        <v>Sweden</v>
      </c>
      <c r="G932" t="str">
        <f>IFERROR(INDEX(Region_Map[Region], MATCH(orders[[#This Row],[Customer_Country]], Region_Map[Country], 0)), "Unknown")</f>
        <v>Nordics</v>
      </c>
      <c r="H932" t="s">
        <v>6949</v>
      </c>
    </row>
    <row r="933" spans="1:8">
      <c r="A933" t="s">
        <v>1844</v>
      </c>
      <c r="B933" t="s">
        <v>133</v>
      </c>
      <c r="C933" s="1">
        <v>45129</v>
      </c>
      <c r="D933" s="1" t="str">
        <f>PROPER(orders[[#This Row],[order_priority]])</f>
        <v>Standard</v>
      </c>
      <c r="E933" t="s">
        <v>13319</v>
      </c>
      <c r="F933" t="str">
        <f>IFERROR(INDEX(customers[country], MATCH(orders[[#This Row],[customer_id]], customers[customer_id], 0)), "Unmapped")</f>
        <v>Finland</v>
      </c>
      <c r="G933" t="str">
        <f>IFERROR(INDEX(Region_Map[Region], MATCH(orders[[#This Row],[Customer_Country]], Region_Map[Country], 0)), "Unknown")</f>
        <v>Nordics</v>
      </c>
      <c r="H933" t="s">
        <v>6949</v>
      </c>
    </row>
    <row r="934" spans="1:8">
      <c r="A934" t="s">
        <v>1845</v>
      </c>
      <c r="B934" t="s">
        <v>497</v>
      </c>
      <c r="C934" s="1">
        <v>45284</v>
      </c>
      <c r="D934" s="1" t="str">
        <f>PROPER(orders[[#This Row],[order_priority]])</f>
        <v>Express</v>
      </c>
      <c r="E934" t="s">
        <v>13318</v>
      </c>
      <c r="F934" t="str">
        <f>IFERROR(INDEX(customers[country], MATCH(orders[[#This Row],[customer_id]], customers[customer_id], 0)), "Unmapped")</f>
        <v>Germany</v>
      </c>
      <c r="G934" t="str">
        <f>IFERROR(INDEX(Region_Map[Region], MATCH(orders[[#This Row],[Customer_Country]], Region_Map[Country], 0)), "Unknown")</f>
        <v>Central Europe</v>
      </c>
      <c r="H934" t="s">
        <v>6949</v>
      </c>
    </row>
    <row r="935" spans="1:8">
      <c r="A935" t="s">
        <v>1846</v>
      </c>
      <c r="B935" t="s">
        <v>303</v>
      </c>
      <c r="C935" s="1">
        <v>45014</v>
      </c>
      <c r="D935" s="1" t="str">
        <f>PROPER(orders[[#This Row],[order_priority]])</f>
        <v>Same Day</v>
      </c>
      <c r="E935" t="s">
        <v>13322</v>
      </c>
      <c r="F935" t="str">
        <f>IFERROR(INDEX(customers[country], MATCH(orders[[#This Row],[customer_id]], customers[customer_id], 0)), "Unmapped")</f>
        <v>Netherlands</v>
      </c>
      <c r="G935" t="str">
        <f>IFERROR(INDEX(Region_Map[Region], MATCH(orders[[#This Row],[Customer_Country]], Region_Map[Country], 0)), "Unknown")</f>
        <v>Central Europe</v>
      </c>
      <c r="H935" t="s">
        <v>6949</v>
      </c>
    </row>
    <row r="936" spans="1:8">
      <c r="A936" t="s">
        <v>1847</v>
      </c>
      <c r="B936" t="s">
        <v>323</v>
      </c>
      <c r="C936" s="1">
        <v>45441</v>
      </c>
      <c r="D936" s="1" t="str">
        <f>PROPER(orders[[#This Row],[order_priority]])</f>
        <v>Express</v>
      </c>
      <c r="E936" t="s">
        <v>13318</v>
      </c>
      <c r="F936" t="str">
        <f>IFERROR(INDEX(customers[country], MATCH(orders[[#This Row],[customer_id]], customers[customer_id], 0)), "Unmapped")</f>
        <v>Estonia</v>
      </c>
      <c r="G936" t="str">
        <f>IFERROR(INDEX(Region_Map[Region], MATCH(orders[[#This Row],[Customer_Country]], Region_Map[Country], 0)), "Unknown")</f>
        <v>Baltics</v>
      </c>
      <c r="H936" t="s">
        <v>6949</v>
      </c>
    </row>
    <row r="937" spans="1:8">
      <c r="A937" t="s">
        <v>1848</v>
      </c>
      <c r="B937" t="s">
        <v>593</v>
      </c>
      <c r="C937" s="1">
        <v>45425</v>
      </c>
      <c r="D937" s="1" t="str">
        <f>PROPER(orders[[#This Row],[order_priority]])</f>
        <v>Standard</v>
      </c>
      <c r="E937" t="s">
        <v>13317</v>
      </c>
      <c r="F937" t="str">
        <f>IFERROR(INDEX(customers[country], MATCH(orders[[#This Row],[customer_id]], customers[customer_id], 0)), "Unmapped")</f>
        <v>Estonia</v>
      </c>
      <c r="G937" t="str">
        <f>IFERROR(INDEX(Region_Map[Region], MATCH(orders[[#This Row],[Customer_Country]], Region_Map[Country], 0)), "Unknown")</f>
        <v>Baltics</v>
      </c>
      <c r="H937" t="s">
        <v>6949</v>
      </c>
    </row>
    <row r="938" spans="1:8">
      <c r="A938" t="s">
        <v>1849</v>
      </c>
      <c r="B938" t="s">
        <v>428</v>
      </c>
      <c r="C938" s="1">
        <v>45133</v>
      </c>
      <c r="D938" s="1" t="str">
        <f>PROPER(orders[[#This Row],[order_priority]])</f>
        <v>Standard</v>
      </c>
      <c r="E938" t="s">
        <v>13317</v>
      </c>
      <c r="F938" t="str">
        <f>IFERROR(INDEX(customers[country], MATCH(orders[[#This Row],[customer_id]], customers[customer_id], 0)), "Unmapped")</f>
        <v>Finland</v>
      </c>
      <c r="G938" t="str">
        <f>IFERROR(INDEX(Region_Map[Region], MATCH(orders[[#This Row],[Customer_Country]], Region_Map[Country], 0)), "Unknown")</f>
        <v>Nordics</v>
      </c>
      <c r="H938" t="s">
        <v>6949</v>
      </c>
    </row>
    <row r="939" spans="1:8">
      <c r="A939" t="s">
        <v>1850</v>
      </c>
      <c r="B939" t="s">
        <v>139</v>
      </c>
      <c r="C939" s="1">
        <v>45118</v>
      </c>
      <c r="D939" s="1" t="str">
        <f>PROPER(orders[[#This Row],[order_priority]])</f>
        <v>Standard</v>
      </c>
      <c r="E939" t="s">
        <v>13317</v>
      </c>
      <c r="F939" t="str">
        <f>IFERROR(INDEX(customers[country], MATCH(orders[[#This Row],[customer_id]], customers[customer_id], 0)), "Unmapped")</f>
        <v>Netherlands</v>
      </c>
      <c r="G939" t="str">
        <f>IFERROR(INDEX(Region_Map[Region], MATCH(orders[[#This Row],[Customer_Country]], Region_Map[Country], 0)), "Unknown")</f>
        <v>Central Europe</v>
      </c>
      <c r="H939" t="s">
        <v>6949</v>
      </c>
    </row>
    <row r="940" spans="1:8">
      <c r="A940" t="s">
        <v>1851</v>
      </c>
      <c r="B940" t="s">
        <v>831</v>
      </c>
      <c r="C940" s="1">
        <v>45410</v>
      </c>
      <c r="D940" s="1" t="str">
        <f>PROPER(orders[[#This Row],[order_priority]])</f>
        <v>Same Day</v>
      </c>
      <c r="E940" t="s">
        <v>13322</v>
      </c>
      <c r="F940" t="str">
        <f>IFERROR(INDEX(customers[country], MATCH(orders[[#This Row],[customer_id]], customers[customer_id], 0)), "Unmapped")</f>
        <v>Norway</v>
      </c>
      <c r="G940" t="str">
        <f>IFERROR(INDEX(Region_Map[Region], MATCH(orders[[#This Row],[Customer_Country]], Region_Map[Country], 0)), "Unknown")</f>
        <v>Nordics</v>
      </c>
      <c r="H940" t="s">
        <v>6949</v>
      </c>
    </row>
    <row r="941" spans="1:8">
      <c r="A941" t="s">
        <v>1852</v>
      </c>
      <c r="B941" t="s">
        <v>626</v>
      </c>
      <c r="C941" s="1">
        <v>45073</v>
      </c>
      <c r="D941" s="1" t="str">
        <f>PROPER(orders[[#This Row],[order_priority]])</f>
        <v>Same Day</v>
      </c>
      <c r="E941" t="s">
        <v>13321</v>
      </c>
      <c r="F941" t="str">
        <f>IFERROR(INDEX(customers[country], MATCH(orders[[#This Row],[customer_id]], customers[customer_id], 0)), "Unmapped")</f>
        <v>Denmark</v>
      </c>
      <c r="G941" t="str">
        <f>IFERROR(INDEX(Region_Map[Region], MATCH(orders[[#This Row],[Customer_Country]], Region_Map[Country], 0)), "Unknown")</f>
        <v>Nordics</v>
      </c>
      <c r="H941" t="s">
        <v>6949</v>
      </c>
    </row>
    <row r="942" spans="1:8">
      <c r="A942" t="s">
        <v>1853</v>
      </c>
      <c r="B942" t="s">
        <v>326</v>
      </c>
      <c r="C942" s="1">
        <v>45089</v>
      </c>
      <c r="D942" s="1" t="str">
        <f>PROPER(orders[[#This Row],[order_priority]])</f>
        <v>Same Day</v>
      </c>
      <c r="E942" t="s">
        <v>13321</v>
      </c>
      <c r="F942" t="str">
        <f>IFERROR(INDEX(customers[country], MATCH(orders[[#This Row],[customer_id]], customers[customer_id], 0)), "Unmapped")</f>
        <v>Lithuania</v>
      </c>
      <c r="G942" t="str">
        <f>IFERROR(INDEX(Region_Map[Region], MATCH(orders[[#This Row],[Customer_Country]], Region_Map[Country], 0)), "Unknown")</f>
        <v>Baltics</v>
      </c>
      <c r="H942" t="s">
        <v>6949</v>
      </c>
    </row>
    <row r="943" spans="1:8">
      <c r="A943" t="s">
        <v>1854</v>
      </c>
      <c r="B943" t="s">
        <v>494</v>
      </c>
      <c r="C943" s="1">
        <v>45424</v>
      </c>
      <c r="D943" s="1" t="str">
        <f>PROPER(orders[[#This Row],[order_priority]])</f>
        <v>Same Day</v>
      </c>
      <c r="E943" t="s">
        <v>13322</v>
      </c>
      <c r="F943" t="str">
        <f>IFERROR(INDEX(customers[country], MATCH(orders[[#This Row],[customer_id]], customers[customer_id], 0)), "Unmapped")</f>
        <v>Sweden</v>
      </c>
      <c r="G943" t="str">
        <f>IFERROR(INDEX(Region_Map[Region], MATCH(orders[[#This Row],[Customer_Country]], Region_Map[Country], 0)), "Unknown")</f>
        <v>Nordics</v>
      </c>
      <c r="H943" t="s">
        <v>6949</v>
      </c>
    </row>
    <row r="944" spans="1:8">
      <c r="A944" t="s">
        <v>1855</v>
      </c>
      <c r="B944" t="s">
        <v>876</v>
      </c>
      <c r="C944" s="1">
        <v>45198</v>
      </c>
      <c r="D944" s="1" t="str">
        <f>PROPER(orders[[#This Row],[order_priority]])</f>
        <v>Economy</v>
      </c>
      <c r="E944" t="s">
        <v>13316</v>
      </c>
      <c r="F944" t="str">
        <f>IFERROR(INDEX(customers[country], MATCH(orders[[#This Row],[customer_id]], customers[customer_id], 0)), "Unmapped")</f>
        <v>Estonia</v>
      </c>
      <c r="G944" t="str">
        <f>IFERROR(INDEX(Region_Map[Region], MATCH(orders[[#This Row],[Customer_Country]], Region_Map[Country], 0)), "Unknown")</f>
        <v>Baltics</v>
      </c>
      <c r="H944" t="s">
        <v>6949</v>
      </c>
    </row>
    <row r="945" spans="1:8">
      <c r="A945" t="s">
        <v>1856</v>
      </c>
      <c r="B945" t="s">
        <v>488</v>
      </c>
      <c r="C945" s="1">
        <v>45417</v>
      </c>
      <c r="D945" s="1" t="str">
        <f>PROPER(orders[[#This Row],[order_priority]])</f>
        <v>Standard</v>
      </c>
      <c r="E945" t="s">
        <v>13317</v>
      </c>
      <c r="F945" t="str">
        <f>IFERROR(INDEX(customers[country], MATCH(orders[[#This Row],[customer_id]], customers[customer_id], 0)), "Unmapped")</f>
        <v>Netherlands</v>
      </c>
      <c r="G945" t="str">
        <f>IFERROR(INDEX(Region_Map[Region], MATCH(orders[[#This Row],[Customer_Country]], Region_Map[Country], 0)), "Unknown")</f>
        <v>Central Europe</v>
      </c>
      <c r="H945" t="s">
        <v>6949</v>
      </c>
    </row>
    <row r="946" spans="1:8">
      <c r="A946" t="s">
        <v>1857</v>
      </c>
      <c r="B946" t="s">
        <v>55</v>
      </c>
      <c r="C946" s="1">
        <v>45198</v>
      </c>
      <c r="D946" s="1" t="str">
        <f>PROPER(orders[[#This Row],[order_priority]])</f>
        <v>Economy</v>
      </c>
      <c r="E946" t="s">
        <v>13328</v>
      </c>
      <c r="F946" t="str">
        <f>IFERROR(INDEX(customers[country], MATCH(orders[[#This Row],[customer_id]], customers[customer_id], 0)), "Unmapped")</f>
        <v>Netherlands</v>
      </c>
      <c r="G946" t="str">
        <f>IFERROR(INDEX(Region_Map[Region], MATCH(orders[[#This Row],[Customer_Country]], Region_Map[Country], 0)), "Unknown")</f>
        <v>Central Europe</v>
      </c>
      <c r="H946" t="s">
        <v>6949</v>
      </c>
    </row>
    <row r="947" spans="1:8">
      <c r="A947" t="s">
        <v>1858</v>
      </c>
      <c r="B947" t="s">
        <v>822</v>
      </c>
      <c r="C947" s="1">
        <v>45360</v>
      </c>
      <c r="D947" s="1" t="str">
        <f>PROPER(orders[[#This Row],[order_priority]])</f>
        <v>Economy</v>
      </c>
      <c r="E947" t="s">
        <v>13316</v>
      </c>
      <c r="F947" t="str">
        <f>IFERROR(INDEX(customers[country], MATCH(orders[[#This Row],[customer_id]], customers[customer_id], 0)), "Unmapped")</f>
        <v>Netherlands</v>
      </c>
      <c r="G947" t="str">
        <f>IFERROR(INDEX(Region_Map[Region], MATCH(orders[[#This Row],[Customer_Country]], Region_Map[Country], 0)), "Unknown")</f>
        <v>Central Europe</v>
      </c>
      <c r="H947" t="s">
        <v>6949</v>
      </c>
    </row>
    <row r="948" spans="1:8">
      <c r="A948" t="s">
        <v>1859</v>
      </c>
      <c r="B948" t="s">
        <v>311</v>
      </c>
      <c r="C948" s="1">
        <v>45409</v>
      </c>
      <c r="D948" s="1" t="str">
        <f>PROPER(orders[[#This Row],[order_priority]])</f>
        <v>Economy</v>
      </c>
      <c r="E948" t="s">
        <v>13316</v>
      </c>
      <c r="F948" t="str">
        <f>IFERROR(INDEX(customers[country], MATCH(orders[[#This Row],[customer_id]], customers[customer_id], 0)), "Unmapped")</f>
        <v>Netherlands</v>
      </c>
      <c r="G948" t="str">
        <f>IFERROR(INDEX(Region_Map[Region], MATCH(orders[[#This Row],[Customer_Country]], Region_Map[Country], 0)), "Unknown")</f>
        <v>Central Europe</v>
      </c>
      <c r="H948" t="s">
        <v>6949</v>
      </c>
    </row>
    <row r="949" spans="1:8">
      <c r="A949" t="s">
        <v>1860</v>
      </c>
      <c r="B949" t="s">
        <v>781</v>
      </c>
      <c r="C949" s="1">
        <v>45501</v>
      </c>
      <c r="D949" s="1" t="str">
        <f>PROPER(orders[[#This Row],[order_priority]])</f>
        <v>Same Day</v>
      </c>
      <c r="E949" t="s">
        <v>13322</v>
      </c>
      <c r="F949" t="str">
        <f>IFERROR(INDEX(customers[country], MATCH(orders[[#This Row],[customer_id]], customers[customer_id], 0)), "Unmapped")</f>
        <v>Germany</v>
      </c>
      <c r="G949" t="str">
        <f>IFERROR(INDEX(Region_Map[Region], MATCH(orders[[#This Row],[Customer_Country]], Region_Map[Country], 0)), "Unknown")</f>
        <v>Central Europe</v>
      </c>
      <c r="H949" t="s">
        <v>6949</v>
      </c>
    </row>
    <row r="950" spans="1:8">
      <c r="A950" t="s">
        <v>1861</v>
      </c>
      <c r="B950" t="s">
        <v>572</v>
      </c>
      <c r="C950" s="1">
        <v>45625</v>
      </c>
      <c r="D950" s="1" t="str">
        <f>PROPER(orders[[#This Row],[order_priority]])</f>
        <v>Economy</v>
      </c>
      <c r="E950" t="s">
        <v>13316</v>
      </c>
      <c r="F950" t="str">
        <f>IFERROR(INDEX(customers[country], MATCH(orders[[#This Row],[customer_id]], customers[customer_id], 0)), "Unmapped")</f>
        <v>Germany</v>
      </c>
      <c r="G950" t="str">
        <f>IFERROR(INDEX(Region_Map[Region], MATCH(orders[[#This Row],[Customer_Country]], Region_Map[Country], 0)), "Unknown")</f>
        <v>Central Europe</v>
      </c>
      <c r="H950" t="s">
        <v>6949</v>
      </c>
    </row>
    <row r="951" spans="1:8">
      <c r="A951" t="s">
        <v>1862</v>
      </c>
      <c r="B951" t="s">
        <v>350</v>
      </c>
      <c r="C951" s="1">
        <v>44997</v>
      </c>
      <c r="D951" s="1" t="str">
        <f>PROPER(orders[[#This Row],[order_priority]])</f>
        <v>Standard</v>
      </c>
      <c r="E951" t="s">
        <v>13317</v>
      </c>
      <c r="F951" t="str">
        <f>IFERROR(INDEX(customers[country], MATCH(orders[[#This Row],[customer_id]], customers[customer_id], 0)), "Unmapped")</f>
        <v>Netherlands</v>
      </c>
      <c r="G951" t="str">
        <f>IFERROR(INDEX(Region_Map[Region], MATCH(orders[[#This Row],[Customer_Country]], Region_Map[Country], 0)), "Unknown")</f>
        <v>Central Europe</v>
      </c>
      <c r="H951" t="s">
        <v>6949</v>
      </c>
    </row>
    <row r="952" spans="1:8">
      <c r="A952" t="s">
        <v>1863</v>
      </c>
      <c r="B952" t="s">
        <v>799</v>
      </c>
      <c r="C952" s="1">
        <v>45462</v>
      </c>
      <c r="D952" s="1" t="str">
        <f>PROPER(orders[[#This Row],[order_priority]])</f>
        <v>Standard</v>
      </c>
      <c r="E952" t="s">
        <v>13317</v>
      </c>
      <c r="F952" t="str">
        <f>IFERROR(INDEX(customers[country], MATCH(orders[[#This Row],[customer_id]], customers[customer_id], 0)), "Unmapped")</f>
        <v>Germany</v>
      </c>
      <c r="G952" t="str">
        <f>IFERROR(INDEX(Region_Map[Region], MATCH(orders[[#This Row],[Customer_Country]], Region_Map[Country], 0)), "Unknown")</f>
        <v>Central Europe</v>
      </c>
      <c r="H952" t="s">
        <v>6949</v>
      </c>
    </row>
    <row r="953" spans="1:8">
      <c r="A953" t="s">
        <v>1864</v>
      </c>
      <c r="B953" t="s">
        <v>204</v>
      </c>
      <c r="C953" s="1">
        <v>45432</v>
      </c>
      <c r="D953" s="1" t="str">
        <f>PROPER(orders[[#This Row],[order_priority]])</f>
        <v>Economy</v>
      </c>
      <c r="E953" t="s">
        <v>13316</v>
      </c>
      <c r="F953" t="str">
        <f>IFERROR(INDEX(customers[country], MATCH(orders[[#This Row],[customer_id]], customers[customer_id], 0)), "Unmapped")</f>
        <v>Sweden</v>
      </c>
      <c r="G953" t="str">
        <f>IFERROR(INDEX(Region_Map[Region], MATCH(orders[[#This Row],[Customer_Country]], Region_Map[Country], 0)), "Unknown")</f>
        <v>Nordics</v>
      </c>
      <c r="H953" t="s">
        <v>6949</v>
      </c>
    </row>
    <row r="954" spans="1:8">
      <c r="A954" t="s">
        <v>1865</v>
      </c>
      <c r="B954" t="s">
        <v>494</v>
      </c>
      <c r="C954" s="1">
        <v>45266</v>
      </c>
      <c r="D954" s="1" t="str">
        <f>PROPER(orders[[#This Row],[order_priority]])</f>
        <v>Economy</v>
      </c>
      <c r="E954" t="s">
        <v>13316</v>
      </c>
      <c r="F954" t="str">
        <f>IFERROR(INDEX(customers[country], MATCH(orders[[#This Row],[customer_id]], customers[customer_id], 0)), "Unmapped")</f>
        <v>Sweden</v>
      </c>
      <c r="G954" t="str">
        <f>IFERROR(INDEX(Region_Map[Region], MATCH(orders[[#This Row],[Customer_Country]], Region_Map[Country], 0)), "Unknown")</f>
        <v>Nordics</v>
      </c>
      <c r="H954" t="s">
        <v>6949</v>
      </c>
    </row>
    <row r="955" spans="1:8">
      <c r="A955" t="s">
        <v>1866</v>
      </c>
      <c r="B955" t="s">
        <v>127</v>
      </c>
      <c r="C955" s="1">
        <v>45502</v>
      </c>
      <c r="D955" s="1" t="str">
        <f>PROPER(orders[[#This Row],[order_priority]])</f>
        <v>Express</v>
      </c>
      <c r="E955" t="s">
        <v>13318</v>
      </c>
      <c r="F955" t="str">
        <f>IFERROR(INDEX(customers[country], MATCH(orders[[#This Row],[customer_id]], customers[customer_id], 0)), "Unmapped")</f>
        <v>Denmark</v>
      </c>
      <c r="G955" t="str">
        <f>IFERROR(INDEX(Region_Map[Region], MATCH(orders[[#This Row],[Customer_Country]], Region_Map[Country], 0)), "Unknown")</f>
        <v>Nordics</v>
      </c>
      <c r="H955" t="s">
        <v>6949</v>
      </c>
    </row>
    <row r="956" spans="1:8">
      <c r="A956" t="s">
        <v>1867</v>
      </c>
      <c r="B956" t="s">
        <v>688</v>
      </c>
      <c r="C956" s="1">
        <v>44980</v>
      </c>
      <c r="D956" s="1" t="str">
        <f>PROPER(orders[[#This Row],[order_priority]])</f>
        <v>Economy</v>
      </c>
      <c r="E956" t="s">
        <v>13316</v>
      </c>
      <c r="F956" t="str">
        <f>IFERROR(INDEX(customers[country], MATCH(orders[[#This Row],[customer_id]], customers[customer_id], 0)), "Unmapped")</f>
        <v>Norway</v>
      </c>
      <c r="G956" t="str">
        <f>IFERROR(INDEX(Region_Map[Region], MATCH(orders[[#This Row],[Customer_Country]], Region_Map[Country], 0)), "Unknown")</f>
        <v>Nordics</v>
      </c>
      <c r="H956" t="s">
        <v>6949</v>
      </c>
    </row>
    <row r="957" spans="1:8">
      <c r="A957" t="s">
        <v>1868</v>
      </c>
      <c r="B957" t="s">
        <v>121</v>
      </c>
      <c r="C957" s="1">
        <v>45115</v>
      </c>
      <c r="D957" s="1" t="str">
        <f>PROPER(orders[[#This Row],[order_priority]])</f>
        <v>Economy</v>
      </c>
      <c r="E957" t="s">
        <v>13316</v>
      </c>
      <c r="F957" t="str">
        <f>IFERROR(INDEX(customers[country], MATCH(orders[[#This Row],[customer_id]], customers[customer_id], 0)), "Unmapped")</f>
        <v>Estonia</v>
      </c>
      <c r="G957" t="str">
        <f>IFERROR(INDEX(Region_Map[Region], MATCH(orders[[#This Row],[Customer_Country]], Region_Map[Country], 0)), "Unknown")</f>
        <v>Baltics</v>
      </c>
      <c r="H957" t="s">
        <v>6949</v>
      </c>
    </row>
    <row r="958" spans="1:8">
      <c r="A958" t="s">
        <v>1869</v>
      </c>
      <c r="B958" t="s">
        <v>509</v>
      </c>
      <c r="C958" s="1">
        <v>45311</v>
      </c>
      <c r="D958" s="1" t="str">
        <f>PROPER(orders[[#This Row],[order_priority]])</f>
        <v>Same Day</v>
      </c>
      <c r="E958" t="s">
        <v>13322</v>
      </c>
      <c r="F958" t="str">
        <f>IFERROR(INDEX(customers[country], MATCH(orders[[#This Row],[customer_id]], customers[customer_id], 0)), "Unmapped")</f>
        <v>Sweden</v>
      </c>
      <c r="G958" t="str">
        <f>IFERROR(INDEX(Region_Map[Region], MATCH(orders[[#This Row],[Customer_Country]], Region_Map[Country], 0)), "Unknown")</f>
        <v>Nordics</v>
      </c>
      <c r="H958" t="s">
        <v>6949</v>
      </c>
    </row>
    <row r="959" spans="1:8">
      <c r="A959" t="s">
        <v>1870</v>
      </c>
      <c r="B959" t="s">
        <v>368</v>
      </c>
      <c r="C959" s="1">
        <v>44981</v>
      </c>
      <c r="D959" s="1" t="str">
        <f>PROPER(orders[[#This Row],[order_priority]])</f>
        <v>Express</v>
      </c>
      <c r="E959" t="s">
        <v>13318</v>
      </c>
      <c r="F959" t="str">
        <f>IFERROR(INDEX(customers[country], MATCH(orders[[#This Row],[customer_id]], customers[customer_id], 0)), "Unmapped")</f>
        <v>Poland</v>
      </c>
      <c r="G959" t="str">
        <f>IFERROR(INDEX(Region_Map[Region], MATCH(orders[[#This Row],[Customer_Country]], Region_Map[Country], 0)), "Unknown")</f>
        <v>Central Europe</v>
      </c>
      <c r="H959" t="s">
        <v>6949</v>
      </c>
    </row>
    <row r="960" spans="1:8">
      <c r="A960" t="s">
        <v>1871</v>
      </c>
      <c r="B960" t="s">
        <v>13338</v>
      </c>
      <c r="C960" s="1">
        <v>45266</v>
      </c>
      <c r="D960" s="1" t="str">
        <f>PROPER(orders[[#This Row],[order_priority]])</f>
        <v>Standard</v>
      </c>
      <c r="E960" t="s">
        <v>13317</v>
      </c>
      <c r="F960" t="str">
        <f>IFERROR(INDEX(customers[country], MATCH(orders[[#This Row],[customer_id]], customers[customer_id], 0)), "Unmapped")</f>
        <v>Unmapped</v>
      </c>
      <c r="G960" t="str">
        <f>IFERROR(INDEX(Region_Map[Region], MATCH(orders[[#This Row],[Customer_Country]], Region_Map[Country], 0)), "Unknown")</f>
        <v>Unknown</v>
      </c>
      <c r="H960" t="s">
        <v>6949</v>
      </c>
    </row>
    <row r="961" spans="1:8">
      <c r="A961" t="s">
        <v>1872</v>
      </c>
      <c r="B961" t="s">
        <v>231</v>
      </c>
      <c r="C961" s="1">
        <v>45353</v>
      </c>
      <c r="D961" s="1" t="str">
        <f>PROPER(orders[[#This Row],[order_priority]])</f>
        <v>Economy</v>
      </c>
      <c r="E961" t="s">
        <v>13316</v>
      </c>
      <c r="F961" t="str">
        <f>IFERROR(INDEX(customers[country], MATCH(orders[[#This Row],[customer_id]], customers[customer_id], 0)), "Unmapped")</f>
        <v>Lithuania</v>
      </c>
      <c r="G961" t="str">
        <f>IFERROR(INDEX(Region_Map[Region], MATCH(orders[[#This Row],[Customer_Country]], Region_Map[Country], 0)), "Unknown")</f>
        <v>Baltics</v>
      </c>
      <c r="H961" t="s">
        <v>6949</v>
      </c>
    </row>
    <row r="962" spans="1:8">
      <c r="A962" t="s">
        <v>1873</v>
      </c>
      <c r="B962" t="s">
        <v>392</v>
      </c>
      <c r="C962" s="1">
        <v>45302</v>
      </c>
      <c r="D962" s="1" t="str">
        <f>PROPER(orders[[#This Row],[order_priority]])</f>
        <v>Economy</v>
      </c>
      <c r="E962" t="s">
        <v>13316</v>
      </c>
      <c r="F962" t="str">
        <f>IFERROR(INDEX(customers[country], MATCH(orders[[#This Row],[customer_id]], customers[customer_id], 0)), "Unmapped")</f>
        <v>Latvia</v>
      </c>
      <c r="G962" t="str">
        <f>IFERROR(INDEX(Region_Map[Region], MATCH(orders[[#This Row],[Customer_Country]], Region_Map[Country], 0)), "Unknown")</f>
        <v>Baltics</v>
      </c>
      <c r="H962" t="s">
        <v>6949</v>
      </c>
    </row>
    <row r="963" spans="1:8">
      <c r="A963" t="s">
        <v>1874</v>
      </c>
      <c r="B963" t="s">
        <v>115</v>
      </c>
      <c r="C963" s="1">
        <v>45372</v>
      </c>
      <c r="D963" s="1" t="str">
        <f>PROPER(orders[[#This Row],[order_priority]])</f>
        <v>Express</v>
      </c>
      <c r="E963" t="s">
        <v>13318</v>
      </c>
      <c r="F963" t="str">
        <f>IFERROR(INDEX(customers[country], MATCH(orders[[#This Row],[customer_id]], customers[customer_id], 0)), "Unmapped")</f>
        <v>Finland</v>
      </c>
      <c r="G963" t="str">
        <f>IFERROR(INDEX(Region_Map[Region], MATCH(orders[[#This Row],[Customer_Country]], Region_Map[Country], 0)), "Unknown")</f>
        <v>Nordics</v>
      </c>
      <c r="H963" t="s">
        <v>6949</v>
      </c>
    </row>
    <row r="964" spans="1:8">
      <c r="A964" t="s">
        <v>1875</v>
      </c>
      <c r="B964" t="s">
        <v>347</v>
      </c>
      <c r="C964" s="1">
        <v>45011</v>
      </c>
      <c r="D964" s="1" t="str">
        <f>PROPER(orders[[#This Row],[order_priority]])</f>
        <v>Economy</v>
      </c>
      <c r="E964" t="s">
        <v>13316</v>
      </c>
      <c r="F964" t="str">
        <f>IFERROR(INDEX(customers[country], MATCH(orders[[#This Row],[customer_id]], customers[customer_id], 0)), "Unmapped")</f>
        <v>Norway</v>
      </c>
      <c r="G964" t="str">
        <f>IFERROR(INDEX(Region_Map[Region], MATCH(orders[[#This Row],[Customer_Country]], Region_Map[Country], 0)), "Unknown")</f>
        <v>Nordics</v>
      </c>
      <c r="H964" t="s">
        <v>6949</v>
      </c>
    </row>
    <row r="965" spans="1:8">
      <c r="A965" t="s">
        <v>1876</v>
      </c>
      <c r="B965" t="s">
        <v>700</v>
      </c>
      <c r="C965" s="1">
        <v>45181</v>
      </c>
      <c r="D965" s="1" t="str">
        <f>PROPER(orders[[#This Row],[order_priority]])</f>
        <v>Standard</v>
      </c>
      <c r="E965" t="s">
        <v>13317</v>
      </c>
      <c r="F965" t="str">
        <f>IFERROR(INDEX(customers[country], MATCH(orders[[#This Row],[customer_id]], customers[customer_id], 0)), "Unmapped")</f>
        <v>Germany</v>
      </c>
      <c r="G965" t="str">
        <f>IFERROR(INDEX(Region_Map[Region], MATCH(orders[[#This Row],[Customer_Country]], Region_Map[Country], 0)), "Unknown")</f>
        <v>Central Europe</v>
      </c>
      <c r="H965" t="s">
        <v>6949</v>
      </c>
    </row>
    <row r="966" spans="1:8">
      <c r="A966" t="s">
        <v>1877</v>
      </c>
      <c r="B966" t="s">
        <v>73</v>
      </c>
      <c r="C966" s="1">
        <v>45597</v>
      </c>
      <c r="D966" s="1" t="str">
        <f>PROPER(orders[[#This Row],[order_priority]])</f>
        <v>Express</v>
      </c>
      <c r="E966" t="s">
        <v>13318</v>
      </c>
      <c r="F966" t="str">
        <f>IFERROR(INDEX(customers[country], MATCH(orders[[#This Row],[customer_id]], customers[customer_id], 0)), "Unmapped")</f>
        <v>Norway</v>
      </c>
      <c r="G966" t="str">
        <f>IFERROR(INDEX(Region_Map[Region], MATCH(orders[[#This Row],[Customer_Country]], Region_Map[Country], 0)), "Unknown")</f>
        <v>Nordics</v>
      </c>
      <c r="H966" t="s">
        <v>6949</v>
      </c>
    </row>
    <row r="967" spans="1:8">
      <c r="A967" t="s">
        <v>1878</v>
      </c>
      <c r="B967" t="s">
        <v>479</v>
      </c>
      <c r="C967" s="1">
        <v>45157</v>
      </c>
      <c r="D967" s="1" t="str">
        <f>PROPER(orders[[#This Row],[order_priority]])</f>
        <v>Same Day</v>
      </c>
      <c r="E967" t="s">
        <v>13322</v>
      </c>
      <c r="F967" t="str">
        <f>IFERROR(INDEX(customers[country], MATCH(orders[[#This Row],[customer_id]], customers[customer_id], 0)), "Unmapped")</f>
        <v>Latvia</v>
      </c>
      <c r="G967" t="str">
        <f>IFERROR(INDEX(Region_Map[Region], MATCH(orders[[#This Row],[Customer_Country]], Region_Map[Country], 0)), "Unknown")</f>
        <v>Baltics</v>
      </c>
      <c r="H967" t="s">
        <v>6949</v>
      </c>
    </row>
    <row r="968" spans="1:8">
      <c r="A968" t="s">
        <v>1879</v>
      </c>
      <c r="B968" t="s">
        <v>359</v>
      </c>
      <c r="C968" s="1">
        <v>45564</v>
      </c>
      <c r="D968" s="1" t="str">
        <f>PROPER(orders[[#This Row],[order_priority]])</f>
        <v>Express</v>
      </c>
      <c r="E968" t="s">
        <v>13318</v>
      </c>
      <c r="F968" t="str">
        <f>IFERROR(INDEX(customers[country], MATCH(orders[[#This Row],[customer_id]], customers[customer_id], 0)), "Unmapped")</f>
        <v>Estonia</v>
      </c>
      <c r="G968" t="str">
        <f>IFERROR(INDEX(Region_Map[Region], MATCH(orders[[#This Row],[Customer_Country]], Region_Map[Country], 0)), "Unknown")</f>
        <v>Baltics</v>
      </c>
      <c r="H968" t="s">
        <v>6949</v>
      </c>
    </row>
    <row r="969" spans="1:8">
      <c r="A969" t="s">
        <v>1880</v>
      </c>
      <c r="B969" t="s">
        <v>485</v>
      </c>
      <c r="C969" s="1">
        <v>45442</v>
      </c>
      <c r="D969" s="1" t="str">
        <f>PROPER(orders[[#This Row],[order_priority]])</f>
        <v>Express</v>
      </c>
      <c r="E969" t="s">
        <v>13318</v>
      </c>
      <c r="F969" t="str">
        <f>IFERROR(INDEX(customers[country], MATCH(orders[[#This Row],[customer_id]], customers[customer_id], 0)), "Unmapped")</f>
        <v>Latvia</v>
      </c>
      <c r="G969" t="str">
        <f>IFERROR(INDEX(Region_Map[Region], MATCH(orders[[#This Row],[Customer_Country]], Region_Map[Country], 0)), "Unknown")</f>
        <v>Baltics</v>
      </c>
      <c r="H969" t="s">
        <v>6949</v>
      </c>
    </row>
    <row r="970" spans="1:8">
      <c r="A970" t="s">
        <v>1881</v>
      </c>
      <c r="B970" t="s">
        <v>6</v>
      </c>
      <c r="C970" s="1">
        <v>45260</v>
      </c>
      <c r="D970" s="1" t="str">
        <f>PROPER(orders[[#This Row],[order_priority]])</f>
        <v>Standard</v>
      </c>
      <c r="E970" t="s">
        <v>13317</v>
      </c>
      <c r="F970" t="str">
        <f>IFERROR(INDEX(customers[country], MATCH(orders[[#This Row],[customer_id]], customers[customer_id], 0)), "Unmapped")</f>
        <v>Latvia</v>
      </c>
      <c r="G970" t="str">
        <f>IFERROR(INDEX(Region_Map[Region], MATCH(orders[[#This Row],[Customer_Country]], Region_Map[Country], 0)), "Unknown")</f>
        <v>Baltics</v>
      </c>
      <c r="H970" t="s">
        <v>6949</v>
      </c>
    </row>
    <row r="971" spans="1:8">
      <c r="A971" t="s">
        <v>1882</v>
      </c>
      <c r="B971" t="s">
        <v>840</v>
      </c>
      <c r="C971" s="1">
        <v>45486</v>
      </c>
      <c r="D971" s="1" t="str">
        <f>PROPER(orders[[#This Row],[order_priority]])</f>
        <v>Standard</v>
      </c>
      <c r="E971" t="s">
        <v>13317</v>
      </c>
      <c r="F971" t="str">
        <f>IFERROR(INDEX(customers[country], MATCH(orders[[#This Row],[customer_id]], customers[customer_id], 0)), "Unmapped")</f>
        <v>Finland</v>
      </c>
      <c r="G971" t="str">
        <f>IFERROR(INDEX(Region_Map[Region], MATCH(orders[[#This Row],[Customer_Country]], Region_Map[Country], 0)), "Unknown")</f>
        <v>Nordics</v>
      </c>
      <c r="H971" t="s">
        <v>6949</v>
      </c>
    </row>
    <row r="972" spans="1:8">
      <c r="A972" t="s">
        <v>1883</v>
      </c>
      <c r="B972" t="s">
        <v>449</v>
      </c>
      <c r="C972" s="1">
        <v>45429</v>
      </c>
      <c r="D972" s="1" t="str">
        <f>PROPER(orders[[#This Row],[order_priority]])</f>
        <v>Economy</v>
      </c>
      <c r="E972" t="s">
        <v>13328</v>
      </c>
      <c r="F972" t="str">
        <f>IFERROR(INDEX(customers[country], MATCH(orders[[#This Row],[customer_id]], customers[customer_id], 0)), "Unmapped")</f>
        <v>Norway</v>
      </c>
      <c r="G972" t="str">
        <f>IFERROR(INDEX(Region_Map[Region], MATCH(orders[[#This Row],[Customer_Country]], Region_Map[Country], 0)), "Unknown")</f>
        <v>Nordics</v>
      </c>
      <c r="H972" t="s">
        <v>6949</v>
      </c>
    </row>
    <row r="973" spans="1:8">
      <c r="A973" t="s">
        <v>1884</v>
      </c>
      <c r="B973" t="s">
        <v>521</v>
      </c>
      <c r="C973" s="1">
        <v>45005</v>
      </c>
      <c r="D973" s="1" t="str">
        <f>PROPER(orders[[#This Row],[order_priority]])</f>
        <v>Standard</v>
      </c>
      <c r="E973" t="s">
        <v>13317</v>
      </c>
      <c r="F973" t="str">
        <f>IFERROR(INDEX(customers[country], MATCH(orders[[#This Row],[customer_id]], customers[customer_id], 0)), "Unmapped")</f>
        <v>Norway</v>
      </c>
      <c r="G973" t="str">
        <f>IFERROR(INDEX(Region_Map[Region], MATCH(orders[[#This Row],[Customer_Country]], Region_Map[Country], 0)), "Unknown")</f>
        <v>Nordics</v>
      </c>
      <c r="H973" t="s">
        <v>6949</v>
      </c>
    </row>
    <row r="974" spans="1:8">
      <c r="A974" t="s">
        <v>1885</v>
      </c>
      <c r="B974" t="s">
        <v>413</v>
      </c>
      <c r="C974" s="1">
        <v>45137</v>
      </c>
      <c r="D974" s="1" t="str">
        <f>PROPER(orders[[#This Row],[order_priority]])</f>
        <v>Standard</v>
      </c>
      <c r="E974" t="s">
        <v>13317</v>
      </c>
      <c r="F974" t="str">
        <f>IFERROR(INDEX(customers[country], MATCH(orders[[#This Row],[customer_id]], customers[customer_id], 0)), "Unmapped")</f>
        <v>Poland</v>
      </c>
      <c r="G974" t="str">
        <f>IFERROR(INDEX(Region_Map[Region], MATCH(orders[[#This Row],[Customer_Country]], Region_Map[Country], 0)), "Unknown")</f>
        <v>Central Europe</v>
      </c>
      <c r="H974" t="s">
        <v>6949</v>
      </c>
    </row>
    <row r="975" spans="1:8">
      <c r="A975" t="s">
        <v>1886</v>
      </c>
      <c r="B975" t="s">
        <v>778</v>
      </c>
      <c r="C975" s="1">
        <v>45481</v>
      </c>
      <c r="D975" s="1" t="str">
        <f>PROPER(orders[[#This Row],[order_priority]])</f>
        <v>Standard</v>
      </c>
      <c r="E975" t="s">
        <v>13317</v>
      </c>
      <c r="F975" t="str">
        <f>IFERROR(INDEX(customers[country], MATCH(orders[[#This Row],[customer_id]], customers[customer_id], 0)), "Unmapped")</f>
        <v>Estonia</v>
      </c>
      <c r="G975" t="str">
        <f>IFERROR(INDEX(Region_Map[Region], MATCH(orders[[#This Row],[Customer_Country]], Region_Map[Country], 0)), "Unknown")</f>
        <v>Baltics</v>
      </c>
      <c r="H975" t="s">
        <v>6949</v>
      </c>
    </row>
    <row r="976" spans="1:8">
      <c r="A976" t="s">
        <v>1887</v>
      </c>
      <c r="B976" t="s">
        <v>682</v>
      </c>
      <c r="C976" s="1">
        <v>45345</v>
      </c>
      <c r="D976" s="1" t="str">
        <f>PROPER(orders[[#This Row],[order_priority]])</f>
        <v>Express</v>
      </c>
      <c r="E976" t="s">
        <v>13318</v>
      </c>
      <c r="F976" t="str">
        <f>IFERROR(INDEX(customers[country], MATCH(orders[[#This Row],[customer_id]], customers[customer_id], 0)), "Unmapped")</f>
        <v>Germany</v>
      </c>
      <c r="G976" t="str">
        <f>IFERROR(INDEX(Region_Map[Region], MATCH(orders[[#This Row],[Customer_Country]], Region_Map[Country], 0)), "Unknown")</f>
        <v>Central Europe</v>
      </c>
      <c r="H976" t="s">
        <v>6949</v>
      </c>
    </row>
    <row r="977" spans="1:8">
      <c r="A977" t="s">
        <v>1888</v>
      </c>
      <c r="B977" t="s">
        <v>566</v>
      </c>
      <c r="C977" s="1">
        <v>45528</v>
      </c>
      <c r="D977" s="1" t="str">
        <f>PROPER(orders[[#This Row],[order_priority]])</f>
        <v>Express</v>
      </c>
      <c r="E977" t="s">
        <v>13318</v>
      </c>
      <c r="F977" t="str">
        <f>IFERROR(INDEX(customers[country], MATCH(orders[[#This Row],[customer_id]], customers[customer_id], 0)), "Unmapped")</f>
        <v>Denmark</v>
      </c>
      <c r="G977" t="str">
        <f>IFERROR(INDEX(Region_Map[Region], MATCH(orders[[#This Row],[Customer_Country]], Region_Map[Country], 0)), "Unknown")</f>
        <v>Nordics</v>
      </c>
      <c r="H977" t="s">
        <v>6949</v>
      </c>
    </row>
    <row r="978" spans="1:8">
      <c r="A978" t="s">
        <v>1889</v>
      </c>
      <c r="B978" t="s">
        <v>488</v>
      </c>
      <c r="C978" s="1">
        <v>45075</v>
      </c>
      <c r="D978" s="1" t="str">
        <f>PROPER(orders[[#This Row],[order_priority]])</f>
        <v>Standard</v>
      </c>
      <c r="E978" t="s">
        <v>13317</v>
      </c>
      <c r="F978" t="str">
        <f>IFERROR(INDEX(customers[country], MATCH(orders[[#This Row],[customer_id]], customers[customer_id], 0)), "Unmapped")</f>
        <v>Netherlands</v>
      </c>
      <c r="G978" t="str">
        <f>IFERROR(INDEX(Region_Map[Region], MATCH(orders[[#This Row],[Customer_Country]], Region_Map[Country], 0)), "Unknown")</f>
        <v>Central Europe</v>
      </c>
      <c r="H978" t="s">
        <v>6949</v>
      </c>
    </row>
    <row r="979" spans="1:8">
      <c r="A979" t="s">
        <v>1890</v>
      </c>
      <c r="B979" t="s">
        <v>115</v>
      </c>
      <c r="C979" s="1">
        <v>45360</v>
      </c>
      <c r="D979" s="1" t="str">
        <f>PROPER(orders[[#This Row],[order_priority]])</f>
        <v>Same Day</v>
      </c>
      <c r="E979" t="s">
        <v>13322</v>
      </c>
      <c r="F979" t="str">
        <f>IFERROR(INDEX(customers[country], MATCH(orders[[#This Row],[customer_id]], customers[customer_id], 0)), "Unmapped")</f>
        <v>Finland</v>
      </c>
      <c r="G979" t="str">
        <f>IFERROR(INDEX(Region_Map[Region], MATCH(orders[[#This Row],[Customer_Country]], Region_Map[Country], 0)), "Unknown")</f>
        <v>Nordics</v>
      </c>
      <c r="H979" t="s">
        <v>6949</v>
      </c>
    </row>
    <row r="980" spans="1:8">
      <c r="A980" t="s">
        <v>1891</v>
      </c>
      <c r="B980" t="s">
        <v>109</v>
      </c>
      <c r="C980" s="1">
        <v>45370</v>
      </c>
      <c r="D980" s="1" t="str">
        <f>PROPER(orders[[#This Row],[order_priority]])</f>
        <v>Same Day</v>
      </c>
      <c r="E980" t="s">
        <v>13322</v>
      </c>
      <c r="F980" t="str">
        <f>IFERROR(INDEX(customers[country], MATCH(orders[[#This Row],[customer_id]], customers[customer_id], 0)), "Unmapped")</f>
        <v>Netherlands</v>
      </c>
      <c r="G980" t="str">
        <f>IFERROR(INDEX(Region_Map[Region], MATCH(orders[[#This Row],[Customer_Country]], Region_Map[Country], 0)), "Unknown")</f>
        <v>Central Europe</v>
      </c>
      <c r="H980" t="s">
        <v>6949</v>
      </c>
    </row>
    <row r="981" spans="1:8">
      <c r="A981" t="s">
        <v>1892</v>
      </c>
      <c r="B981" t="s">
        <v>811</v>
      </c>
      <c r="C981" s="1">
        <v>45186</v>
      </c>
      <c r="D981" s="1" t="str">
        <f>PROPER(orders[[#This Row],[order_priority]])</f>
        <v>Economy</v>
      </c>
      <c r="E981" t="s">
        <v>13316</v>
      </c>
      <c r="F981" t="str">
        <f>IFERROR(INDEX(customers[country], MATCH(orders[[#This Row],[customer_id]], customers[customer_id], 0)), "Unmapped")</f>
        <v>Finland</v>
      </c>
      <c r="G981" t="str">
        <f>IFERROR(INDEX(Region_Map[Region], MATCH(orders[[#This Row],[Customer_Country]], Region_Map[Country], 0)), "Unknown")</f>
        <v>Nordics</v>
      </c>
      <c r="H981" t="s">
        <v>6949</v>
      </c>
    </row>
    <row r="982" spans="1:8">
      <c r="A982" t="s">
        <v>1893</v>
      </c>
      <c r="B982" t="s">
        <v>512</v>
      </c>
      <c r="C982" s="1">
        <v>45175</v>
      </c>
      <c r="D982" s="1" t="str">
        <f>PROPER(orders[[#This Row],[order_priority]])</f>
        <v>Same Day</v>
      </c>
      <c r="E982" t="s">
        <v>13322</v>
      </c>
      <c r="F982" t="str">
        <f>IFERROR(INDEX(customers[country], MATCH(orders[[#This Row],[customer_id]], customers[customer_id], 0)), "Unmapped")</f>
        <v>Poland</v>
      </c>
      <c r="G982" t="str">
        <f>IFERROR(INDEX(Region_Map[Region], MATCH(orders[[#This Row],[Customer_Country]], Region_Map[Country], 0)), "Unknown")</f>
        <v>Central Europe</v>
      </c>
      <c r="H982" t="s">
        <v>6949</v>
      </c>
    </row>
    <row r="983" spans="1:8">
      <c r="A983" t="s">
        <v>1894</v>
      </c>
      <c r="B983" t="s">
        <v>551</v>
      </c>
      <c r="C983" s="1">
        <v>45510</v>
      </c>
      <c r="D983" s="1" t="str">
        <f>PROPER(orders[[#This Row],[order_priority]])</f>
        <v>Economy</v>
      </c>
      <c r="E983" t="s">
        <v>13316</v>
      </c>
      <c r="F983" t="str">
        <f>IFERROR(INDEX(customers[country], MATCH(orders[[#This Row],[customer_id]], customers[customer_id], 0)), "Unmapped")</f>
        <v>Latvia</v>
      </c>
      <c r="G983" t="str">
        <f>IFERROR(INDEX(Region_Map[Region], MATCH(orders[[#This Row],[Customer_Country]], Region_Map[Country], 0)), "Unknown")</f>
        <v>Baltics</v>
      </c>
      <c r="H983" t="s">
        <v>6949</v>
      </c>
    </row>
    <row r="984" spans="1:8">
      <c r="A984" t="s">
        <v>1895</v>
      </c>
      <c r="B984" t="s">
        <v>437</v>
      </c>
      <c r="C984" s="1">
        <v>45614</v>
      </c>
      <c r="D984" s="1" t="str">
        <f>PROPER(orders[[#This Row],[order_priority]])</f>
        <v>Standard</v>
      </c>
      <c r="E984" t="s">
        <v>13323</v>
      </c>
      <c r="F984" t="str">
        <f>IFERROR(INDEX(customers[country], MATCH(orders[[#This Row],[customer_id]], customers[customer_id], 0)), "Unmapped")</f>
        <v>Lithuania</v>
      </c>
      <c r="G984" t="str">
        <f>IFERROR(INDEX(Region_Map[Region], MATCH(orders[[#This Row],[Customer_Country]], Region_Map[Country], 0)), "Unknown")</f>
        <v>Baltics</v>
      </c>
      <c r="H984" t="s">
        <v>6949</v>
      </c>
    </row>
    <row r="985" spans="1:8">
      <c r="A985" t="s">
        <v>1896</v>
      </c>
      <c r="B985" t="s">
        <v>620</v>
      </c>
      <c r="C985" s="1">
        <v>44976</v>
      </c>
      <c r="D985" s="1" t="str">
        <f>PROPER(orders[[#This Row],[order_priority]])</f>
        <v>Express</v>
      </c>
      <c r="E985" t="s">
        <v>13320</v>
      </c>
      <c r="F985" t="str">
        <f>IFERROR(INDEX(customers[country], MATCH(orders[[#This Row],[customer_id]], customers[customer_id], 0)), "Unmapped")</f>
        <v>Latvia</v>
      </c>
      <c r="G985" t="str">
        <f>IFERROR(INDEX(Region_Map[Region], MATCH(orders[[#This Row],[Customer_Country]], Region_Map[Country], 0)), "Unknown")</f>
        <v>Baltics</v>
      </c>
      <c r="H985" t="s">
        <v>6949</v>
      </c>
    </row>
    <row r="986" spans="1:8">
      <c r="A986" t="s">
        <v>1897</v>
      </c>
      <c r="B986" t="s">
        <v>45</v>
      </c>
      <c r="C986" s="1">
        <v>45035</v>
      </c>
      <c r="D986" s="1" t="str">
        <f>PROPER(orders[[#This Row],[order_priority]])</f>
        <v>Express</v>
      </c>
      <c r="E986" t="s">
        <v>13326</v>
      </c>
      <c r="F986" t="str">
        <f>IFERROR(INDEX(customers[country], MATCH(orders[[#This Row],[customer_id]], customers[customer_id], 0)), "Unmapped")</f>
        <v>Netherlands</v>
      </c>
      <c r="G986" t="str">
        <f>IFERROR(INDEX(Region_Map[Region], MATCH(orders[[#This Row],[Customer_Country]], Region_Map[Country], 0)), "Unknown")</f>
        <v>Central Europe</v>
      </c>
      <c r="H986" t="s">
        <v>6949</v>
      </c>
    </row>
    <row r="987" spans="1:8">
      <c r="A987" t="s">
        <v>1898</v>
      </c>
      <c r="B987" t="s">
        <v>578</v>
      </c>
      <c r="C987" s="1">
        <v>45364</v>
      </c>
      <c r="D987" s="1" t="str">
        <f>PROPER(orders[[#This Row],[order_priority]])</f>
        <v>Economy</v>
      </c>
      <c r="E987" t="s">
        <v>13316</v>
      </c>
      <c r="F987" t="str">
        <f>IFERROR(INDEX(customers[country], MATCH(orders[[#This Row],[customer_id]], customers[customer_id], 0)), "Unmapped")</f>
        <v>Norway</v>
      </c>
      <c r="G987" t="str">
        <f>IFERROR(INDEX(Region_Map[Region], MATCH(orders[[#This Row],[Customer_Country]], Region_Map[Country], 0)), "Unknown")</f>
        <v>Nordics</v>
      </c>
      <c r="H987" t="s">
        <v>6949</v>
      </c>
    </row>
    <row r="988" spans="1:8">
      <c r="A988" t="s">
        <v>1899</v>
      </c>
      <c r="B988" t="s">
        <v>837</v>
      </c>
      <c r="C988" s="1">
        <v>45061</v>
      </c>
      <c r="D988" s="1" t="str">
        <f>PROPER(orders[[#This Row],[order_priority]])</f>
        <v>Standard</v>
      </c>
      <c r="E988" t="s">
        <v>13319</v>
      </c>
      <c r="F988" t="str">
        <f>IFERROR(INDEX(customers[country], MATCH(orders[[#This Row],[customer_id]], customers[customer_id], 0)), "Unmapped")</f>
        <v>Poland</v>
      </c>
      <c r="G988" t="str">
        <f>IFERROR(INDEX(Region_Map[Region], MATCH(orders[[#This Row],[Customer_Country]], Region_Map[Country], 0)), "Unknown")</f>
        <v>Central Europe</v>
      </c>
      <c r="H988" t="s">
        <v>6949</v>
      </c>
    </row>
    <row r="989" spans="1:8">
      <c r="A989" t="s">
        <v>1900</v>
      </c>
      <c r="B989" t="s">
        <v>664</v>
      </c>
      <c r="C989" s="1">
        <v>45587</v>
      </c>
      <c r="D989" s="1" t="str">
        <f>PROPER(orders[[#This Row],[order_priority]])</f>
        <v>Express</v>
      </c>
      <c r="E989" t="s">
        <v>13318</v>
      </c>
      <c r="F989" t="str">
        <f>IFERROR(INDEX(customers[country], MATCH(orders[[#This Row],[customer_id]], customers[customer_id], 0)), "Unmapped")</f>
        <v>Latvia</v>
      </c>
      <c r="G989" t="str">
        <f>IFERROR(INDEX(Region_Map[Region], MATCH(orders[[#This Row],[Customer_Country]], Region_Map[Country], 0)), "Unknown")</f>
        <v>Baltics</v>
      </c>
      <c r="H989" t="s">
        <v>6949</v>
      </c>
    </row>
    <row r="990" spans="1:8">
      <c r="A990" t="s">
        <v>1901</v>
      </c>
      <c r="B990" t="s">
        <v>813</v>
      </c>
      <c r="C990" s="1">
        <v>45363</v>
      </c>
      <c r="D990" s="1" t="str">
        <f>PROPER(orders[[#This Row],[order_priority]])</f>
        <v>Same Day</v>
      </c>
      <c r="E990" t="s">
        <v>13324</v>
      </c>
      <c r="F990" t="str">
        <f>IFERROR(INDEX(customers[country], MATCH(orders[[#This Row],[customer_id]], customers[customer_id], 0)), "Unmapped")</f>
        <v>Norway</v>
      </c>
      <c r="G990" t="str">
        <f>IFERROR(INDEX(Region_Map[Region], MATCH(orders[[#This Row],[Customer_Country]], Region_Map[Country], 0)), "Unknown")</f>
        <v>Nordics</v>
      </c>
      <c r="H990" t="s">
        <v>6949</v>
      </c>
    </row>
    <row r="991" spans="1:8">
      <c r="A991" t="s">
        <v>1902</v>
      </c>
      <c r="B991" t="s">
        <v>15</v>
      </c>
      <c r="C991" s="1">
        <v>45373</v>
      </c>
      <c r="D991" s="1" t="str">
        <f>PROPER(orders[[#This Row],[order_priority]])</f>
        <v>Standard</v>
      </c>
      <c r="E991" t="s">
        <v>13317</v>
      </c>
      <c r="F991" t="str">
        <f>IFERROR(INDEX(customers[country], MATCH(orders[[#This Row],[customer_id]], customers[customer_id], 0)), "Unmapped")</f>
        <v>Estonia</v>
      </c>
      <c r="G991" t="str">
        <f>IFERROR(INDEX(Region_Map[Region], MATCH(orders[[#This Row],[Customer_Country]], Region_Map[Country], 0)), "Unknown")</f>
        <v>Baltics</v>
      </c>
      <c r="H991" t="s">
        <v>6949</v>
      </c>
    </row>
    <row r="992" spans="1:8">
      <c r="A992" t="s">
        <v>1903</v>
      </c>
      <c r="B992" t="s">
        <v>715</v>
      </c>
      <c r="C992" s="1">
        <v>45492</v>
      </c>
      <c r="D992" s="1" t="str">
        <f>PROPER(orders[[#This Row],[order_priority]])</f>
        <v>Standard</v>
      </c>
      <c r="E992" t="s">
        <v>13317</v>
      </c>
      <c r="F992" t="str">
        <f>IFERROR(INDEX(customers[country], MATCH(orders[[#This Row],[customer_id]], customers[customer_id], 0)), "Unmapped")</f>
        <v>Netherlands</v>
      </c>
      <c r="G992" t="str">
        <f>IFERROR(INDEX(Region_Map[Region], MATCH(orders[[#This Row],[Customer_Country]], Region_Map[Country], 0)), "Unknown")</f>
        <v>Central Europe</v>
      </c>
      <c r="H992" t="s">
        <v>6949</v>
      </c>
    </row>
    <row r="993" spans="1:8">
      <c r="A993" t="s">
        <v>1904</v>
      </c>
      <c r="B993" t="s">
        <v>676</v>
      </c>
      <c r="C993" s="1">
        <v>45023</v>
      </c>
      <c r="D993" s="1" t="str">
        <f>PROPER(orders[[#This Row],[order_priority]])</f>
        <v>Same Day</v>
      </c>
      <c r="E993" t="s">
        <v>13322</v>
      </c>
      <c r="F993" t="str">
        <f>IFERROR(INDEX(customers[country], MATCH(orders[[#This Row],[customer_id]], customers[customer_id], 0)), "Unmapped")</f>
        <v>Latvia</v>
      </c>
      <c r="G993" t="str">
        <f>IFERROR(INDEX(Region_Map[Region], MATCH(orders[[#This Row],[Customer_Country]], Region_Map[Country], 0)), "Unknown")</f>
        <v>Baltics</v>
      </c>
      <c r="H993" t="s">
        <v>6949</v>
      </c>
    </row>
    <row r="994" spans="1:8">
      <c r="A994" t="s">
        <v>1905</v>
      </c>
      <c r="B994" t="s">
        <v>347</v>
      </c>
      <c r="C994" s="1">
        <v>45394</v>
      </c>
      <c r="D994" s="1" t="str">
        <f>PROPER(orders[[#This Row],[order_priority]])</f>
        <v>Express</v>
      </c>
      <c r="E994" t="s">
        <v>13318</v>
      </c>
      <c r="F994" t="str">
        <f>IFERROR(INDEX(customers[country], MATCH(orders[[#This Row],[customer_id]], customers[customer_id], 0)), "Unmapped")</f>
        <v>Norway</v>
      </c>
      <c r="G994" t="str">
        <f>IFERROR(INDEX(Region_Map[Region], MATCH(orders[[#This Row],[Customer_Country]], Region_Map[Country], 0)), "Unknown")</f>
        <v>Nordics</v>
      </c>
      <c r="H994" t="s">
        <v>6949</v>
      </c>
    </row>
    <row r="995" spans="1:8">
      <c r="A995" t="s">
        <v>1906</v>
      </c>
      <c r="B995" t="s">
        <v>697</v>
      </c>
      <c r="C995" s="1">
        <v>45108</v>
      </c>
      <c r="D995" s="1" t="str">
        <f>PROPER(orders[[#This Row],[order_priority]])</f>
        <v>Economy</v>
      </c>
      <c r="E995" t="s">
        <v>13325</v>
      </c>
      <c r="F995" t="str">
        <f>IFERROR(INDEX(customers[country], MATCH(orders[[#This Row],[customer_id]], customers[customer_id], 0)), "Unmapped")</f>
        <v>Estonia</v>
      </c>
      <c r="G995" t="str">
        <f>IFERROR(INDEX(Region_Map[Region], MATCH(orders[[#This Row],[Customer_Country]], Region_Map[Country], 0)), "Unknown")</f>
        <v>Baltics</v>
      </c>
      <c r="H995" t="s">
        <v>6949</v>
      </c>
    </row>
    <row r="996" spans="1:8">
      <c r="A996" t="s">
        <v>1907</v>
      </c>
      <c r="B996" t="s">
        <v>542</v>
      </c>
      <c r="C996" s="1">
        <v>45181</v>
      </c>
      <c r="D996" s="1" t="str">
        <f>PROPER(orders[[#This Row],[order_priority]])</f>
        <v>Standard</v>
      </c>
      <c r="E996" t="s">
        <v>13317</v>
      </c>
      <c r="F996" t="str">
        <f>IFERROR(INDEX(customers[country], MATCH(orders[[#This Row],[customer_id]], customers[customer_id], 0)), "Unmapped")</f>
        <v>Poland</v>
      </c>
      <c r="G996" t="str">
        <f>IFERROR(INDEX(Region_Map[Region], MATCH(orders[[#This Row],[Customer_Country]], Region_Map[Country], 0)), "Unknown")</f>
        <v>Central Europe</v>
      </c>
      <c r="H996" t="s">
        <v>6949</v>
      </c>
    </row>
    <row r="997" spans="1:8">
      <c r="A997" t="s">
        <v>1908</v>
      </c>
      <c r="B997" t="s">
        <v>527</v>
      </c>
      <c r="C997" s="1">
        <v>45011</v>
      </c>
      <c r="D997" s="1" t="str">
        <f>PROPER(orders[[#This Row],[order_priority]])</f>
        <v>Standard</v>
      </c>
      <c r="E997" t="s">
        <v>13317</v>
      </c>
      <c r="F997" t="str">
        <f>IFERROR(INDEX(customers[country], MATCH(orders[[#This Row],[customer_id]], customers[customer_id], 0)), "Unmapped")</f>
        <v>Sweden</v>
      </c>
      <c r="G997" t="str">
        <f>IFERROR(INDEX(Region_Map[Region], MATCH(orders[[#This Row],[Customer_Country]], Region_Map[Country], 0)), "Unknown")</f>
        <v>Nordics</v>
      </c>
      <c r="H997" t="s">
        <v>6949</v>
      </c>
    </row>
    <row r="998" spans="1:8">
      <c r="A998" t="s">
        <v>1909</v>
      </c>
      <c r="B998" t="s">
        <v>709</v>
      </c>
      <c r="C998" s="1">
        <v>45063</v>
      </c>
      <c r="D998" s="1" t="str">
        <f>PROPER(orders[[#This Row],[order_priority]])</f>
        <v>Economy</v>
      </c>
      <c r="E998" t="s">
        <v>13316</v>
      </c>
      <c r="F998" t="str">
        <f>IFERROR(INDEX(customers[country], MATCH(orders[[#This Row],[customer_id]], customers[customer_id], 0)), "Unmapped")</f>
        <v>Netherlands</v>
      </c>
      <c r="G998" t="str">
        <f>IFERROR(INDEX(Region_Map[Region], MATCH(orders[[#This Row],[Customer_Country]], Region_Map[Country], 0)), "Unknown")</f>
        <v>Central Europe</v>
      </c>
      <c r="H998" t="s">
        <v>6949</v>
      </c>
    </row>
    <row r="999" spans="1:8">
      <c r="A999" t="s">
        <v>1910</v>
      </c>
      <c r="B999" t="s">
        <v>846</v>
      </c>
      <c r="C999" s="1">
        <v>45021</v>
      </c>
      <c r="D999" s="1" t="str">
        <f>PROPER(orders[[#This Row],[order_priority]])</f>
        <v>Economy</v>
      </c>
      <c r="E999" t="s">
        <v>13316</v>
      </c>
      <c r="F999" t="str">
        <f>IFERROR(INDEX(customers[country], MATCH(orders[[#This Row],[customer_id]], customers[customer_id], 0)), "Unmapped")</f>
        <v>Netherlands</v>
      </c>
      <c r="G999" t="str">
        <f>IFERROR(INDEX(Region_Map[Region], MATCH(orders[[#This Row],[Customer_Country]], Region_Map[Country], 0)), "Unknown")</f>
        <v>Central Europe</v>
      </c>
      <c r="H999" t="s">
        <v>6949</v>
      </c>
    </row>
    <row r="1000" spans="1:8">
      <c r="A1000" t="s">
        <v>1911</v>
      </c>
      <c r="B1000" t="s">
        <v>142</v>
      </c>
      <c r="C1000" s="1">
        <v>45319</v>
      </c>
      <c r="D1000" s="1" t="str">
        <f>PROPER(orders[[#This Row],[order_priority]])</f>
        <v>Same Day</v>
      </c>
      <c r="E1000" t="s">
        <v>13322</v>
      </c>
      <c r="F1000" t="str">
        <f>IFERROR(INDEX(customers[country], MATCH(orders[[#This Row],[customer_id]], customers[customer_id], 0)), "Unmapped")</f>
        <v>Estonia</v>
      </c>
      <c r="G1000" t="str">
        <f>IFERROR(INDEX(Region_Map[Region], MATCH(orders[[#This Row],[Customer_Country]], Region_Map[Country], 0)), "Unknown")</f>
        <v>Baltics</v>
      </c>
      <c r="H1000" t="s">
        <v>6949</v>
      </c>
    </row>
    <row r="1001" spans="1:8">
      <c r="A1001" t="s">
        <v>1912</v>
      </c>
      <c r="B1001" t="s">
        <v>365</v>
      </c>
      <c r="C1001" s="1">
        <v>45250</v>
      </c>
      <c r="D1001" s="1" t="str">
        <f>PROPER(orders[[#This Row],[order_priority]])</f>
        <v>Economy</v>
      </c>
      <c r="E1001" t="s">
        <v>13316</v>
      </c>
      <c r="F1001" t="str">
        <f>IFERROR(INDEX(customers[country], MATCH(orders[[#This Row],[customer_id]], customers[customer_id], 0)), "Unmapped")</f>
        <v>Poland</v>
      </c>
      <c r="G1001" t="str">
        <f>IFERROR(INDEX(Region_Map[Region], MATCH(orders[[#This Row],[Customer_Country]], Region_Map[Country], 0)), "Unknown")</f>
        <v>Central Europe</v>
      </c>
      <c r="H1001" t="s">
        <v>6949</v>
      </c>
    </row>
    <row r="1002" spans="1:8">
      <c r="A1002" t="s">
        <v>1913</v>
      </c>
      <c r="B1002" t="s">
        <v>61</v>
      </c>
      <c r="C1002" s="1">
        <v>45559</v>
      </c>
      <c r="D1002" s="1" t="str">
        <f>PROPER(orders[[#This Row],[order_priority]])</f>
        <v>Express</v>
      </c>
      <c r="E1002" t="s">
        <v>13318</v>
      </c>
      <c r="F1002" t="str">
        <f>IFERROR(INDEX(customers[country], MATCH(orders[[#This Row],[customer_id]], customers[customer_id], 0)), "Unmapped")</f>
        <v>Netherlands</v>
      </c>
      <c r="G1002" t="str">
        <f>IFERROR(INDEX(Region_Map[Region], MATCH(orders[[#This Row],[Customer_Country]], Region_Map[Country], 0)), "Unknown")</f>
        <v>Central Europe</v>
      </c>
      <c r="H1002" t="s">
        <v>6949</v>
      </c>
    </row>
    <row r="1003" spans="1:8">
      <c r="A1003" t="s">
        <v>1914</v>
      </c>
      <c r="B1003" t="s">
        <v>425</v>
      </c>
      <c r="C1003" s="1">
        <v>45313</v>
      </c>
      <c r="D1003" s="1" t="str">
        <f>PROPER(orders[[#This Row],[order_priority]])</f>
        <v>Economy</v>
      </c>
      <c r="E1003" t="s">
        <v>13328</v>
      </c>
      <c r="F1003" t="str">
        <f>IFERROR(INDEX(customers[country], MATCH(orders[[#This Row],[customer_id]], customers[customer_id], 0)), "Unmapped")</f>
        <v>Denmark</v>
      </c>
      <c r="G1003" t="str">
        <f>IFERROR(INDEX(Region_Map[Region], MATCH(orders[[#This Row],[Customer_Country]], Region_Map[Country], 0)), "Unknown")</f>
        <v>Nordics</v>
      </c>
      <c r="H1003" t="s">
        <v>6949</v>
      </c>
    </row>
    <row r="1004" spans="1:8">
      <c r="A1004" t="s">
        <v>1915</v>
      </c>
      <c r="B1004" t="s">
        <v>6949</v>
      </c>
      <c r="C1004" s="1">
        <v>45517</v>
      </c>
      <c r="D1004" s="1" t="str">
        <f>PROPER(orders[[#This Row],[order_priority]])</f>
        <v>Express</v>
      </c>
      <c r="E1004" t="s">
        <v>13318</v>
      </c>
      <c r="F1004" t="str">
        <f>IFERROR(INDEX(customers[country], MATCH(orders[[#This Row],[customer_id]], customers[customer_id], 0)), "Unmapped")</f>
        <v>Unmapped</v>
      </c>
      <c r="G1004" t="str">
        <f>IFERROR(INDEX(Region_Map[Region], MATCH(orders[[#This Row],[Customer_Country]], Region_Map[Country], 0)), "Unknown")</f>
        <v>Unknown</v>
      </c>
      <c r="H1004" t="s">
        <v>6949</v>
      </c>
    </row>
    <row r="1005" spans="1:8">
      <c r="A1005" t="s">
        <v>1916</v>
      </c>
      <c r="B1005" t="s">
        <v>703</v>
      </c>
      <c r="C1005" s="1">
        <v>45322</v>
      </c>
      <c r="D1005" s="1" t="str">
        <f>PROPER(orders[[#This Row],[order_priority]])</f>
        <v>Standard</v>
      </c>
      <c r="E1005" t="s">
        <v>13317</v>
      </c>
      <c r="F1005" t="str">
        <f>IFERROR(INDEX(customers[country], MATCH(orders[[#This Row],[customer_id]], customers[customer_id], 0)), "Unmapped")</f>
        <v>Estonia</v>
      </c>
      <c r="G1005" t="str">
        <f>IFERROR(INDEX(Region_Map[Region], MATCH(orders[[#This Row],[Customer_Country]], Region_Map[Country], 0)), "Unknown")</f>
        <v>Baltics</v>
      </c>
      <c r="H1005" t="s">
        <v>6949</v>
      </c>
    </row>
    <row r="1006" spans="1:8">
      <c r="A1006" t="s">
        <v>1917</v>
      </c>
      <c r="B1006" t="s">
        <v>187</v>
      </c>
      <c r="C1006" s="1">
        <v>45061</v>
      </c>
      <c r="D1006" s="1" t="str">
        <f>PROPER(orders[[#This Row],[order_priority]])</f>
        <v>Economy</v>
      </c>
      <c r="E1006" t="s">
        <v>13316</v>
      </c>
      <c r="F1006" t="str">
        <f>IFERROR(INDEX(customers[country], MATCH(orders[[#This Row],[customer_id]], customers[customer_id], 0)), "Unmapped")</f>
        <v>Latvia</v>
      </c>
      <c r="G1006" t="str">
        <f>IFERROR(INDEX(Region_Map[Region], MATCH(orders[[#This Row],[Customer_Country]], Region_Map[Country], 0)), "Unknown")</f>
        <v>Baltics</v>
      </c>
      <c r="H1006" t="s">
        <v>6949</v>
      </c>
    </row>
    <row r="1007" spans="1:8">
      <c r="A1007" t="s">
        <v>1918</v>
      </c>
      <c r="B1007" t="s">
        <v>273</v>
      </c>
      <c r="C1007" s="1">
        <v>45130</v>
      </c>
      <c r="D1007" s="1" t="str">
        <f>PROPER(orders[[#This Row],[order_priority]])</f>
        <v>Same Day</v>
      </c>
      <c r="E1007" t="s">
        <v>13322</v>
      </c>
      <c r="F1007" t="str">
        <f>IFERROR(INDEX(customers[country], MATCH(orders[[#This Row],[customer_id]], customers[customer_id], 0)), "Unmapped")</f>
        <v>Norway</v>
      </c>
      <c r="G1007" t="str">
        <f>IFERROR(INDEX(Region_Map[Region], MATCH(orders[[#This Row],[Customer_Country]], Region_Map[Country], 0)), "Unknown")</f>
        <v>Nordics</v>
      </c>
      <c r="H1007" t="s">
        <v>6949</v>
      </c>
    </row>
    <row r="1008" spans="1:8">
      <c r="A1008" t="s">
        <v>1919</v>
      </c>
      <c r="B1008" t="s">
        <v>861</v>
      </c>
      <c r="C1008" s="1">
        <v>45180</v>
      </c>
      <c r="D1008" s="1" t="str">
        <f>PROPER(orders[[#This Row],[order_priority]])</f>
        <v>Economy</v>
      </c>
      <c r="E1008" t="s">
        <v>13316</v>
      </c>
      <c r="F1008" t="str">
        <f>IFERROR(INDEX(customers[country], MATCH(orders[[#This Row],[customer_id]], customers[customer_id], 0)), "Unmapped")</f>
        <v>Latvia</v>
      </c>
      <c r="G1008" t="str">
        <f>IFERROR(INDEX(Region_Map[Region], MATCH(orders[[#This Row],[Customer_Country]], Region_Map[Country], 0)), "Unknown")</f>
        <v>Baltics</v>
      </c>
      <c r="H1008" t="s">
        <v>6949</v>
      </c>
    </row>
    <row r="1009" spans="1:8">
      <c r="A1009" t="s">
        <v>1920</v>
      </c>
      <c r="B1009" t="s">
        <v>650</v>
      </c>
      <c r="C1009" s="1">
        <v>45458</v>
      </c>
      <c r="D1009" s="1" t="str">
        <f>PROPER(orders[[#This Row],[order_priority]])</f>
        <v>Economy</v>
      </c>
      <c r="E1009" t="s">
        <v>13316</v>
      </c>
      <c r="F1009" t="str">
        <f>IFERROR(INDEX(customers[country], MATCH(orders[[#This Row],[customer_id]], customers[customer_id], 0)), "Unmapped")</f>
        <v>Poland</v>
      </c>
      <c r="G1009" t="str">
        <f>IFERROR(INDEX(Region_Map[Region], MATCH(orders[[#This Row],[Customer_Country]], Region_Map[Country], 0)), "Unknown")</f>
        <v>Central Europe</v>
      </c>
      <c r="H1009" t="s">
        <v>6949</v>
      </c>
    </row>
    <row r="1010" spans="1:8">
      <c r="A1010" t="s">
        <v>1921</v>
      </c>
      <c r="B1010" t="s">
        <v>473</v>
      </c>
      <c r="C1010" s="1">
        <v>44964</v>
      </c>
      <c r="D1010" s="1" t="str">
        <f>PROPER(orders[[#This Row],[order_priority]])</f>
        <v>Same Day</v>
      </c>
      <c r="E1010" t="s">
        <v>13322</v>
      </c>
      <c r="F1010" t="str">
        <f>IFERROR(INDEX(customers[country], MATCH(orders[[#This Row],[customer_id]], customers[customer_id], 0)), "Unmapped")</f>
        <v>Netherlands</v>
      </c>
      <c r="G1010" t="str">
        <f>IFERROR(INDEX(Region_Map[Region], MATCH(orders[[#This Row],[Customer_Country]], Region_Map[Country], 0)), "Unknown")</f>
        <v>Central Europe</v>
      </c>
      <c r="H1010" t="s">
        <v>6949</v>
      </c>
    </row>
    <row r="1011" spans="1:8">
      <c r="A1011" t="s">
        <v>1922</v>
      </c>
      <c r="B1011" t="s">
        <v>497</v>
      </c>
      <c r="C1011" s="1">
        <v>45076</v>
      </c>
      <c r="D1011" s="1" t="str">
        <f>PROPER(orders[[#This Row],[order_priority]])</f>
        <v>Economy</v>
      </c>
      <c r="E1011" t="s">
        <v>13316</v>
      </c>
      <c r="F1011" t="str">
        <f>IFERROR(INDEX(customers[country], MATCH(orders[[#This Row],[customer_id]], customers[customer_id], 0)), "Unmapped")</f>
        <v>Germany</v>
      </c>
      <c r="G1011" t="str">
        <f>IFERROR(INDEX(Region_Map[Region], MATCH(orders[[#This Row],[Customer_Country]], Region_Map[Country], 0)), "Unknown")</f>
        <v>Central Europe</v>
      </c>
      <c r="H1011" t="s">
        <v>6949</v>
      </c>
    </row>
    <row r="1012" spans="1:8">
      <c r="A1012" t="s">
        <v>1923</v>
      </c>
      <c r="B1012" t="s">
        <v>443</v>
      </c>
      <c r="C1012" s="1">
        <v>44937</v>
      </c>
      <c r="D1012" s="1" t="str">
        <f>PROPER(orders[[#This Row],[order_priority]])</f>
        <v>Express</v>
      </c>
      <c r="E1012" t="s">
        <v>13318</v>
      </c>
      <c r="F1012" t="str">
        <f>IFERROR(INDEX(customers[country], MATCH(orders[[#This Row],[customer_id]], customers[customer_id], 0)), "Unmapped")</f>
        <v>Estonia</v>
      </c>
      <c r="G1012" t="str">
        <f>IFERROR(INDEX(Region_Map[Region], MATCH(orders[[#This Row],[Customer_Country]], Region_Map[Country], 0)), "Unknown")</f>
        <v>Baltics</v>
      </c>
      <c r="H1012" t="s">
        <v>6949</v>
      </c>
    </row>
    <row r="1013" spans="1:8">
      <c r="A1013" t="s">
        <v>1924</v>
      </c>
      <c r="B1013" t="s">
        <v>306</v>
      </c>
      <c r="C1013" s="1">
        <v>45147</v>
      </c>
      <c r="D1013" s="1" t="str">
        <f>PROPER(orders[[#This Row],[order_priority]])</f>
        <v>Same Day</v>
      </c>
      <c r="E1013" t="s">
        <v>13322</v>
      </c>
      <c r="F1013" t="str">
        <f>IFERROR(INDEX(customers[country], MATCH(orders[[#This Row],[customer_id]], customers[customer_id], 0)), "Unmapped")</f>
        <v>Estonia</v>
      </c>
      <c r="G1013" t="str">
        <f>IFERROR(INDEX(Region_Map[Region], MATCH(orders[[#This Row],[Customer_Country]], Region_Map[Country], 0)), "Unknown")</f>
        <v>Baltics</v>
      </c>
      <c r="H1013" t="s">
        <v>6949</v>
      </c>
    </row>
    <row r="1014" spans="1:8">
      <c r="A1014" t="s">
        <v>1925</v>
      </c>
      <c r="B1014" t="s">
        <v>70</v>
      </c>
      <c r="C1014" s="1">
        <v>45276</v>
      </c>
      <c r="D1014" s="1" t="str">
        <f>PROPER(orders[[#This Row],[order_priority]])</f>
        <v>Standard</v>
      </c>
      <c r="E1014" t="s">
        <v>13317</v>
      </c>
      <c r="F1014" t="str">
        <f>IFERROR(INDEX(customers[country], MATCH(orders[[#This Row],[customer_id]], customers[customer_id], 0)), "Unmapped")</f>
        <v>Estonia</v>
      </c>
      <c r="G1014" t="str">
        <f>IFERROR(INDEX(Region_Map[Region], MATCH(orders[[#This Row],[Customer_Country]], Region_Map[Country], 0)), "Unknown")</f>
        <v>Baltics</v>
      </c>
      <c r="H1014" t="s">
        <v>6949</v>
      </c>
    </row>
    <row r="1015" spans="1:8">
      <c r="A1015" t="s">
        <v>1926</v>
      </c>
      <c r="B1015" t="s">
        <v>130</v>
      </c>
      <c r="C1015" s="1">
        <v>44954</v>
      </c>
      <c r="D1015" s="1" t="str">
        <f>PROPER(orders[[#This Row],[order_priority]])</f>
        <v>Economy</v>
      </c>
      <c r="E1015" t="s">
        <v>13316</v>
      </c>
      <c r="F1015" t="str">
        <f>IFERROR(INDEX(customers[country], MATCH(orders[[#This Row],[customer_id]], customers[customer_id], 0)), "Unmapped")</f>
        <v>Latvia</v>
      </c>
      <c r="G1015" t="str">
        <f>IFERROR(INDEX(Region_Map[Region], MATCH(orders[[#This Row],[Customer_Country]], Region_Map[Country], 0)), "Unknown")</f>
        <v>Baltics</v>
      </c>
      <c r="H1015" t="s">
        <v>6949</v>
      </c>
    </row>
    <row r="1016" spans="1:8">
      <c r="A1016" t="s">
        <v>1927</v>
      </c>
      <c r="B1016" t="s">
        <v>234</v>
      </c>
      <c r="C1016" s="1">
        <v>45170</v>
      </c>
      <c r="D1016" s="1" t="str">
        <f>PROPER(orders[[#This Row],[order_priority]])</f>
        <v>Economy</v>
      </c>
      <c r="E1016" t="s">
        <v>13316</v>
      </c>
      <c r="F1016" t="str">
        <f>IFERROR(INDEX(customers[country], MATCH(orders[[#This Row],[customer_id]], customers[customer_id], 0)), "Unmapped")</f>
        <v>Finland</v>
      </c>
      <c r="G1016" t="str">
        <f>IFERROR(INDEX(Region_Map[Region], MATCH(orders[[#This Row],[Customer_Country]], Region_Map[Country], 0)), "Unknown")</f>
        <v>Nordics</v>
      </c>
      <c r="H1016" t="s">
        <v>6949</v>
      </c>
    </row>
    <row r="1017" spans="1:8">
      <c r="A1017" t="s">
        <v>1928</v>
      </c>
      <c r="B1017" t="s">
        <v>760</v>
      </c>
      <c r="C1017" s="1">
        <v>45267</v>
      </c>
      <c r="D1017" s="1" t="str">
        <f>PROPER(orders[[#This Row],[order_priority]])</f>
        <v>Economy</v>
      </c>
      <c r="E1017" t="s">
        <v>13316</v>
      </c>
      <c r="F1017" t="str">
        <f>IFERROR(INDEX(customers[country], MATCH(orders[[#This Row],[customer_id]], customers[customer_id], 0)), "Unmapped")</f>
        <v>Poland</v>
      </c>
      <c r="G1017" t="str">
        <f>IFERROR(INDEX(Region_Map[Region], MATCH(orders[[#This Row],[Customer_Country]], Region_Map[Country], 0)), "Unknown")</f>
        <v>Central Europe</v>
      </c>
      <c r="H1017" t="s">
        <v>6949</v>
      </c>
    </row>
    <row r="1018" spans="1:8">
      <c r="A1018" t="s">
        <v>1929</v>
      </c>
      <c r="B1018" t="s">
        <v>413</v>
      </c>
      <c r="C1018" s="1">
        <v>45283</v>
      </c>
      <c r="D1018" s="1" t="str">
        <f>PROPER(orders[[#This Row],[order_priority]])</f>
        <v>Same Day</v>
      </c>
      <c r="E1018" t="s">
        <v>13322</v>
      </c>
      <c r="F1018" t="str">
        <f>IFERROR(INDEX(customers[country], MATCH(orders[[#This Row],[customer_id]], customers[customer_id], 0)), "Unmapped")</f>
        <v>Poland</v>
      </c>
      <c r="G1018" t="str">
        <f>IFERROR(INDEX(Region_Map[Region], MATCH(orders[[#This Row],[Customer_Country]], Region_Map[Country], 0)), "Unknown")</f>
        <v>Central Europe</v>
      </c>
      <c r="H1018" t="s">
        <v>6949</v>
      </c>
    </row>
    <row r="1019" spans="1:8">
      <c r="A1019" t="s">
        <v>1930</v>
      </c>
      <c r="B1019" t="s">
        <v>84</v>
      </c>
      <c r="C1019" s="1">
        <v>45415</v>
      </c>
      <c r="D1019" s="1" t="str">
        <f>PROPER(orders[[#This Row],[order_priority]])</f>
        <v>Economy</v>
      </c>
      <c r="E1019" t="s">
        <v>13316</v>
      </c>
      <c r="F1019" t="str">
        <f>IFERROR(INDEX(customers[country], MATCH(orders[[#This Row],[customer_id]], customers[customer_id], 0)), "Unmapped")</f>
        <v>Lithuania</v>
      </c>
      <c r="G1019" t="str">
        <f>IFERROR(INDEX(Region_Map[Region], MATCH(orders[[#This Row],[Customer_Country]], Region_Map[Country], 0)), "Unknown")</f>
        <v>Baltics</v>
      </c>
      <c r="H1019" t="s">
        <v>6949</v>
      </c>
    </row>
    <row r="1020" spans="1:8">
      <c r="A1020" t="s">
        <v>1931</v>
      </c>
      <c r="B1020" t="s">
        <v>338</v>
      </c>
      <c r="C1020" s="1">
        <v>45550</v>
      </c>
      <c r="D1020" s="1" t="str">
        <f>PROPER(orders[[#This Row],[order_priority]])</f>
        <v>Standard</v>
      </c>
      <c r="E1020" t="s">
        <v>13317</v>
      </c>
      <c r="F1020" t="str">
        <f>IFERROR(INDEX(customers[country], MATCH(orders[[#This Row],[customer_id]], customers[customer_id], 0)), "Unmapped")</f>
        <v>Denmark</v>
      </c>
      <c r="G1020" t="str">
        <f>IFERROR(INDEX(Region_Map[Region], MATCH(orders[[#This Row],[Customer_Country]], Region_Map[Country], 0)), "Unknown")</f>
        <v>Nordics</v>
      </c>
      <c r="H1020" t="s">
        <v>6949</v>
      </c>
    </row>
    <row r="1021" spans="1:8">
      <c r="A1021" t="s">
        <v>1932</v>
      </c>
      <c r="B1021" t="s">
        <v>608</v>
      </c>
      <c r="C1021" s="1">
        <v>45152</v>
      </c>
      <c r="D1021" s="1" t="str">
        <f>PROPER(orders[[#This Row],[order_priority]])</f>
        <v>Economy</v>
      </c>
      <c r="E1021" t="s">
        <v>13316</v>
      </c>
      <c r="F1021" t="str">
        <f>IFERROR(INDEX(customers[country], MATCH(orders[[#This Row],[customer_id]], customers[customer_id], 0)), "Unmapped")</f>
        <v>Finland</v>
      </c>
      <c r="G1021" t="str">
        <f>IFERROR(INDEX(Region_Map[Region], MATCH(orders[[#This Row],[Customer_Country]], Region_Map[Country], 0)), "Unknown")</f>
        <v>Nordics</v>
      </c>
      <c r="H1021" t="s">
        <v>6949</v>
      </c>
    </row>
    <row r="1022" spans="1:8">
      <c r="A1022" t="s">
        <v>1933</v>
      </c>
      <c r="B1022" t="s">
        <v>539</v>
      </c>
      <c r="C1022" s="1">
        <v>45050</v>
      </c>
      <c r="D1022" s="1" t="str">
        <f>PROPER(orders[[#This Row],[order_priority]])</f>
        <v>Express</v>
      </c>
      <c r="E1022" t="s">
        <v>13318</v>
      </c>
      <c r="F1022" t="str">
        <f>IFERROR(INDEX(customers[country], MATCH(orders[[#This Row],[customer_id]], customers[customer_id], 0)), "Unmapped")</f>
        <v>Sweden</v>
      </c>
      <c r="G1022" t="str">
        <f>IFERROR(INDEX(Region_Map[Region], MATCH(orders[[#This Row],[Customer_Country]], Region_Map[Country], 0)), "Unknown")</f>
        <v>Nordics</v>
      </c>
      <c r="H1022" t="s">
        <v>6949</v>
      </c>
    </row>
    <row r="1023" spans="1:8">
      <c r="A1023" t="s">
        <v>1934</v>
      </c>
      <c r="B1023" t="s">
        <v>790</v>
      </c>
      <c r="C1023" s="1">
        <v>45598</v>
      </c>
      <c r="D1023" s="1" t="str">
        <f>PROPER(orders[[#This Row],[order_priority]])</f>
        <v>Economy</v>
      </c>
      <c r="E1023" t="s">
        <v>13328</v>
      </c>
      <c r="F1023" t="str">
        <f>IFERROR(INDEX(customers[country], MATCH(orders[[#This Row],[customer_id]], customers[customer_id], 0)), "Unmapped")</f>
        <v>Germany</v>
      </c>
      <c r="G1023" t="str">
        <f>IFERROR(INDEX(Region_Map[Region], MATCH(orders[[#This Row],[Customer_Country]], Region_Map[Country], 0)), "Unknown")</f>
        <v>Central Europe</v>
      </c>
      <c r="H1023" t="s">
        <v>6949</v>
      </c>
    </row>
    <row r="1024" spans="1:8">
      <c r="A1024" t="s">
        <v>1935</v>
      </c>
      <c r="B1024" t="s">
        <v>476</v>
      </c>
      <c r="C1024" s="1">
        <v>45579</v>
      </c>
      <c r="D1024" s="1" t="str">
        <f>PROPER(orders[[#This Row],[order_priority]])</f>
        <v>Same Day</v>
      </c>
      <c r="E1024" t="s">
        <v>13322</v>
      </c>
      <c r="F1024" t="str">
        <f>IFERROR(INDEX(customers[country], MATCH(orders[[#This Row],[customer_id]], customers[customer_id], 0)), "Unmapped")</f>
        <v>Norway</v>
      </c>
      <c r="G1024" t="str">
        <f>IFERROR(INDEX(Region_Map[Region], MATCH(orders[[#This Row],[Customer_Country]], Region_Map[Country], 0)), "Unknown")</f>
        <v>Nordics</v>
      </c>
      <c r="H1024" t="s">
        <v>6949</v>
      </c>
    </row>
    <row r="1025" spans="1:8">
      <c r="A1025" t="s">
        <v>1936</v>
      </c>
      <c r="B1025" t="s">
        <v>882</v>
      </c>
      <c r="C1025" s="1">
        <v>45105</v>
      </c>
      <c r="D1025" s="1" t="str">
        <f>PROPER(orders[[#This Row],[order_priority]])</f>
        <v>Express</v>
      </c>
      <c r="E1025" t="s">
        <v>13320</v>
      </c>
      <c r="F1025" t="str">
        <f>IFERROR(INDEX(customers[country], MATCH(orders[[#This Row],[customer_id]], customers[customer_id], 0)), "Unmapped")</f>
        <v>Netherlands</v>
      </c>
      <c r="G1025" t="str">
        <f>IFERROR(INDEX(Region_Map[Region], MATCH(orders[[#This Row],[Customer_Country]], Region_Map[Country], 0)), "Unknown")</f>
        <v>Central Europe</v>
      </c>
      <c r="H1025" t="s">
        <v>6949</v>
      </c>
    </row>
    <row r="1026" spans="1:8">
      <c r="A1026" t="s">
        <v>1937</v>
      </c>
      <c r="B1026" t="s">
        <v>335</v>
      </c>
      <c r="C1026" s="1">
        <v>45275</v>
      </c>
      <c r="D1026" s="1" t="str">
        <f>PROPER(orders[[#This Row],[order_priority]])</f>
        <v>Standard</v>
      </c>
      <c r="E1026" t="s">
        <v>13317</v>
      </c>
      <c r="F1026" t="str">
        <f>IFERROR(INDEX(customers[country], MATCH(orders[[#This Row],[customer_id]], customers[customer_id], 0)), "Unmapped")</f>
        <v>Denmark</v>
      </c>
      <c r="G1026" t="str">
        <f>IFERROR(INDEX(Region_Map[Region], MATCH(orders[[#This Row],[Customer_Country]], Region_Map[Country], 0)), "Unknown")</f>
        <v>Nordics</v>
      </c>
      <c r="H1026" t="s">
        <v>6949</v>
      </c>
    </row>
    <row r="1027" spans="1:8">
      <c r="A1027" t="s">
        <v>1938</v>
      </c>
      <c r="B1027" t="s">
        <v>267</v>
      </c>
      <c r="C1027" s="1">
        <v>45277</v>
      </c>
      <c r="D1027" s="1" t="str">
        <f>PROPER(orders[[#This Row],[order_priority]])</f>
        <v>Economy</v>
      </c>
      <c r="E1027" t="s">
        <v>13316</v>
      </c>
      <c r="F1027" t="str">
        <f>IFERROR(INDEX(customers[country], MATCH(orders[[#This Row],[customer_id]], customers[customer_id], 0)), "Unmapped")</f>
        <v>Norway</v>
      </c>
      <c r="G1027" t="str">
        <f>IFERROR(INDEX(Region_Map[Region], MATCH(orders[[#This Row],[Customer_Country]], Region_Map[Country], 0)), "Unknown")</f>
        <v>Nordics</v>
      </c>
      <c r="H1027" t="s">
        <v>6949</v>
      </c>
    </row>
    <row r="1028" spans="1:8">
      <c r="A1028" t="s">
        <v>1939</v>
      </c>
      <c r="B1028" t="s">
        <v>73</v>
      </c>
      <c r="C1028" s="1">
        <v>44977</v>
      </c>
      <c r="D1028" s="1" t="str">
        <f>PROPER(orders[[#This Row],[order_priority]])</f>
        <v>Standard</v>
      </c>
      <c r="E1028" t="s">
        <v>13317</v>
      </c>
      <c r="F1028" t="str">
        <f>IFERROR(INDEX(customers[country], MATCH(orders[[#This Row],[customer_id]], customers[customer_id], 0)), "Unmapped")</f>
        <v>Norway</v>
      </c>
      <c r="G1028" t="str">
        <f>IFERROR(INDEX(Region_Map[Region], MATCH(orders[[#This Row],[Customer_Country]], Region_Map[Country], 0)), "Unknown")</f>
        <v>Nordics</v>
      </c>
      <c r="H1028" t="s">
        <v>6949</v>
      </c>
    </row>
    <row r="1029" spans="1:8">
      <c r="A1029" t="s">
        <v>1940</v>
      </c>
      <c r="B1029" t="s">
        <v>151</v>
      </c>
      <c r="C1029" s="1">
        <v>45124</v>
      </c>
      <c r="D1029" s="1" t="str">
        <f>PROPER(orders[[#This Row],[order_priority]])</f>
        <v>Economy</v>
      </c>
      <c r="E1029" t="s">
        <v>13316</v>
      </c>
      <c r="F1029" t="str">
        <f>IFERROR(INDEX(customers[country], MATCH(orders[[#This Row],[customer_id]], customers[customer_id], 0)), "Unmapped")</f>
        <v>Sweden</v>
      </c>
      <c r="G1029" t="str">
        <f>IFERROR(INDEX(Region_Map[Region], MATCH(orders[[#This Row],[Customer_Country]], Region_Map[Country], 0)), "Unknown")</f>
        <v>Nordics</v>
      </c>
      <c r="H1029" t="s">
        <v>6949</v>
      </c>
    </row>
    <row r="1030" spans="1:8">
      <c r="A1030" t="s">
        <v>1941</v>
      </c>
      <c r="B1030" t="s">
        <v>891</v>
      </c>
      <c r="C1030" s="1">
        <v>45252</v>
      </c>
      <c r="D1030" s="1" t="str">
        <f>PROPER(orders[[#This Row],[order_priority]])</f>
        <v>Economy</v>
      </c>
      <c r="E1030" t="s">
        <v>13316</v>
      </c>
      <c r="F1030" t="str">
        <f>IFERROR(INDEX(customers[country], MATCH(orders[[#This Row],[customer_id]], customers[customer_id], 0)), "Unmapped")</f>
        <v>Netherlands</v>
      </c>
      <c r="G1030" t="str">
        <f>IFERROR(INDEX(Region_Map[Region], MATCH(orders[[#This Row],[Customer_Country]], Region_Map[Country], 0)), "Unknown")</f>
        <v>Central Europe</v>
      </c>
      <c r="H1030" t="s">
        <v>6949</v>
      </c>
    </row>
    <row r="1031" spans="1:8">
      <c r="A1031" t="s">
        <v>1942</v>
      </c>
      <c r="B1031" t="s">
        <v>332</v>
      </c>
      <c r="C1031" s="1">
        <v>45383</v>
      </c>
      <c r="D1031" s="1" t="str">
        <f>PROPER(orders[[#This Row],[order_priority]])</f>
        <v>Express</v>
      </c>
      <c r="E1031" t="s">
        <v>13326</v>
      </c>
      <c r="F1031" t="str">
        <f>IFERROR(INDEX(customers[country], MATCH(orders[[#This Row],[customer_id]], customers[customer_id], 0)), "Unmapped")</f>
        <v>Lithuania</v>
      </c>
      <c r="G1031" t="str">
        <f>IFERROR(INDEX(Region_Map[Region], MATCH(orders[[#This Row],[Customer_Country]], Region_Map[Country], 0)), "Unknown")</f>
        <v>Baltics</v>
      </c>
      <c r="H1031" t="s">
        <v>6949</v>
      </c>
    </row>
    <row r="1032" spans="1:8">
      <c r="A1032" t="s">
        <v>1943</v>
      </c>
      <c r="B1032" t="s">
        <v>819</v>
      </c>
      <c r="C1032" s="1">
        <v>45426</v>
      </c>
      <c r="D1032" s="1" t="str">
        <f>PROPER(orders[[#This Row],[order_priority]])</f>
        <v>Economy</v>
      </c>
      <c r="E1032" t="s">
        <v>13316</v>
      </c>
      <c r="F1032" t="str">
        <f>IFERROR(INDEX(customers[country], MATCH(orders[[#This Row],[customer_id]], customers[customer_id], 0)), "Unmapped")</f>
        <v>Estonia</v>
      </c>
      <c r="G1032" t="str">
        <f>IFERROR(INDEX(Region_Map[Region], MATCH(orders[[#This Row],[Customer_Country]], Region_Map[Country], 0)), "Unknown")</f>
        <v>Baltics</v>
      </c>
      <c r="H1032" t="s">
        <v>6949</v>
      </c>
    </row>
    <row r="1033" spans="1:8">
      <c r="A1033" t="s">
        <v>1944</v>
      </c>
      <c r="B1033" t="s">
        <v>700</v>
      </c>
      <c r="C1033" s="1">
        <v>45364</v>
      </c>
      <c r="D1033" s="1" t="str">
        <f>PROPER(orders[[#This Row],[order_priority]])</f>
        <v>Express</v>
      </c>
      <c r="E1033" t="s">
        <v>13318</v>
      </c>
      <c r="F1033" t="str">
        <f>IFERROR(INDEX(customers[country], MATCH(orders[[#This Row],[customer_id]], customers[customer_id], 0)), "Unmapped")</f>
        <v>Germany</v>
      </c>
      <c r="G1033" t="str">
        <f>IFERROR(INDEX(Region_Map[Region], MATCH(orders[[#This Row],[Customer_Country]], Region_Map[Country], 0)), "Unknown")</f>
        <v>Central Europe</v>
      </c>
      <c r="H1033" t="s">
        <v>6949</v>
      </c>
    </row>
    <row r="1034" spans="1:8">
      <c r="A1034" t="s">
        <v>1945</v>
      </c>
      <c r="B1034" t="s">
        <v>237</v>
      </c>
      <c r="C1034" s="1">
        <v>45310</v>
      </c>
      <c r="D1034" s="1" t="str">
        <f>PROPER(orders[[#This Row],[order_priority]])</f>
        <v>Express</v>
      </c>
      <c r="E1034" t="s">
        <v>13318</v>
      </c>
      <c r="F1034" t="str">
        <f>IFERROR(INDEX(customers[country], MATCH(orders[[#This Row],[customer_id]], customers[customer_id], 0)), "Unmapped")</f>
        <v>Sweden</v>
      </c>
      <c r="G1034" t="str">
        <f>IFERROR(INDEX(Region_Map[Region], MATCH(orders[[#This Row],[Customer_Country]], Region_Map[Country], 0)), "Unknown")</f>
        <v>Nordics</v>
      </c>
      <c r="H1034" t="s">
        <v>6949</v>
      </c>
    </row>
    <row r="1035" spans="1:8">
      <c r="A1035" t="s">
        <v>1946</v>
      </c>
      <c r="B1035" t="s">
        <v>449</v>
      </c>
      <c r="C1035" s="1">
        <v>45278</v>
      </c>
      <c r="D1035" s="1" t="str">
        <f>PROPER(orders[[#This Row],[order_priority]])</f>
        <v>Economy</v>
      </c>
      <c r="E1035" t="s">
        <v>13316</v>
      </c>
      <c r="F1035" t="str">
        <f>IFERROR(INDEX(customers[country], MATCH(orders[[#This Row],[customer_id]], customers[customer_id], 0)), "Unmapped")</f>
        <v>Norway</v>
      </c>
      <c r="G1035" t="str">
        <f>IFERROR(INDEX(Region_Map[Region], MATCH(orders[[#This Row],[Customer_Country]], Region_Map[Country], 0)), "Unknown")</f>
        <v>Nordics</v>
      </c>
      <c r="H1035" t="s">
        <v>6949</v>
      </c>
    </row>
    <row r="1036" spans="1:8">
      <c r="A1036" t="s">
        <v>1947</v>
      </c>
      <c r="B1036" t="s">
        <v>395</v>
      </c>
      <c r="C1036" s="1">
        <v>45615</v>
      </c>
      <c r="D1036" s="1" t="str">
        <f>PROPER(orders[[#This Row],[order_priority]])</f>
        <v>Standard</v>
      </c>
      <c r="E1036" t="s">
        <v>13317</v>
      </c>
      <c r="F1036" t="str">
        <f>IFERROR(INDEX(customers[country], MATCH(orders[[#This Row],[customer_id]], customers[customer_id], 0)), "Unmapped")</f>
        <v>Sweden</v>
      </c>
      <c r="G1036" t="str">
        <f>IFERROR(INDEX(Region_Map[Region], MATCH(orders[[#This Row],[Customer_Country]], Region_Map[Country], 0)), "Unknown")</f>
        <v>Nordics</v>
      </c>
      <c r="H1036" t="s">
        <v>6949</v>
      </c>
    </row>
    <row r="1037" spans="1:8">
      <c r="A1037" t="s">
        <v>1948</v>
      </c>
      <c r="B1037" t="s">
        <v>811</v>
      </c>
      <c r="C1037" s="1">
        <v>45290</v>
      </c>
      <c r="D1037" s="1" t="str">
        <f>PROPER(orders[[#This Row],[order_priority]])</f>
        <v>Express</v>
      </c>
      <c r="E1037" t="s">
        <v>13318</v>
      </c>
      <c r="F1037" t="str">
        <f>IFERROR(INDEX(customers[country], MATCH(orders[[#This Row],[customer_id]], customers[customer_id], 0)), "Unmapped")</f>
        <v>Finland</v>
      </c>
      <c r="G1037" t="str">
        <f>IFERROR(INDEX(Region_Map[Region], MATCH(orders[[#This Row],[Customer_Country]], Region_Map[Country], 0)), "Unknown")</f>
        <v>Nordics</v>
      </c>
      <c r="H1037" t="s">
        <v>6949</v>
      </c>
    </row>
    <row r="1038" spans="1:8">
      <c r="A1038" t="s">
        <v>1949</v>
      </c>
      <c r="B1038" t="s">
        <v>273</v>
      </c>
      <c r="C1038" s="1">
        <v>45505</v>
      </c>
      <c r="D1038" s="1" t="str">
        <f>PROPER(orders[[#This Row],[order_priority]])</f>
        <v>Same Day</v>
      </c>
      <c r="E1038" t="s">
        <v>13322</v>
      </c>
      <c r="F1038" t="str">
        <f>IFERROR(INDEX(customers[country], MATCH(orders[[#This Row],[customer_id]], customers[customer_id], 0)), "Unmapped")</f>
        <v>Norway</v>
      </c>
      <c r="G1038" t="str">
        <f>IFERROR(INDEX(Region_Map[Region], MATCH(orders[[#This Row],[Customer_Country]], Region_Map[Country], 0)), "Unknown")</f>
        <v>Nordics</v>
      </c>
      <c r="H1038" t="s">
        <v>6949</v>
      </c>
    </row>
    <row r="1039" spans="1:8">
      <c r="A1039" t="s">
        <v>1950</v>
      </c>
      <c r="B1039" t="s">
        <v>641</v>
      </c>
      <c r="C1039" s="1">
        <v>45029</v>
      </c>
      <c r="D1039" s="1" t="str">
        <f>PROPER(orders[[#This Row],[order_priority]])</f>
        <v>Economy</v>
      </c>
      <c r="E1039" t="s">
        <v>13316</v>
      </c>
      <c r="F1039" t="str">
        <f>IFERROR(INDEX(customers[country], MATCH(orders[[#This Row],[customer_id]], customers[customer_id], 0)), "Unmapped")</f>
        <v>Poland</v>
      </c>
      <c r="G1039" t="str">
        <f>IFERROR(INDEX(Region_Map[Region], MATCH(orders[[#This Row],[Customer_Country]], Region_Map[Country], 0)), "Unknown")</f>
        <v>Central Europe</v>
      </c>
      <c r="H1039" t="s">
        <v>6949</v>
      </c>
    </row>
    <row r="1040" spans="1:8">
      <c r="A1040" t="s">
        <v>1951</v>
      </c>
      <c r="B1040" t="s">
        <v>240</v>
      </c>
      <c r="C1040" s="1">
        <v>45052</v>
      </c>
      <c r="D1040" s="1" t="str">
        <f>PROPER(orders[[#This Row],[order_priority]])</f>
        <v>Standard</v>
      </c>
      <c r="E1040" t="s">
        <v>13317</v>
      </c>
      <c r="F1040" t="str">
        <f>IFERROR(INDEX(customers[country], MATCH(orders[[#This Row],[customer_id]], customers[customer_id], 0)), "Unmapped")</f>
        <v>Lithuania</v>
      </c>
      <c r="G1040" t="str">
        <f>IFERROR(INDEX(Region_Map[Region], MATCH(orders[[#This Row],[Customer_Country]], Region_Map[Country], 0)), "Unknown")</f>
        <v>Baltics</v>
      </c>
      <c r="H1040" t="s">
        <v>6949</v>
      </c>
    </row>
    <row r="1041" spans="1:8">
      <c r="A1041" t="s">
        <v>1952</v>
      </c>
      <c r="B1041" t="s">
        <v>303</v>
      </c>
      <c r="C1041" s="1">
        <v>45187</v>
      </c>
      <c r="D1041" s="1" t="str">
        <f>PROPER(orders[[#This Row],[order_priority]])</f>
        <v>Express</v>
      </c>
      <c r="E1041" t="s">
        <v>13318</v>
      </c>
      <c r="F1041" t="str">
        <f>IFERROR(INDEX(customers[country], MATCH(orders[[#This Row],[customer_id]], customers[customer_id], 0)), "Unmapped")</f>
        <v>Netherlands</v>
      </c>
      <c r="G1041" t="str">
        <f>IFERROR(INDEX(Region_Map[Region], MATCH(orders[[#This Row],[Customer_Country]], Region_Map[Country], 0)), "Unknown")</f>
        <v>Central Europe</v>
      </c>
      <c r="H1041" t="s">
        <v>6949</v>
      </c>
    </row>
    <row r="1042" spans="1:8">
      <c r="A1042" t="s">
        <v>1953</v>
      </c>
      <c r="B1042" t="s">
        <v>145</v>
      </c>
      <c r="C1042" s="1">
        <v>45223</v>
      </c>
      <c r="D1042" s="1" t="str">
        <f>PROPER(orders[[#This Row],[order_priority]])</f>
        <v>Same Day</v>
      </c>
      <c r="E1042" t="s">
        <v>13322</v>
      </c>
      <c r="F1042" t="str">
        <f>IFERROR(INDEX(customers[country], MATCH(orders[[#This Row],[customer_id]], customers[customer_id], 0)), "Unmapped")</f>
        <v>Latvia</v>
      </c>
      <c r="G1042" t="str">
        <f>IFERROR(INDEX(Region_Map[Region], MATCH(orders[[#This Row],[Customer_Country]], Region_Map[Country], 0)), "Unknown")</f>
        <v>Baltics</v>
      </c>
      <c r="H1042" t="s">
        <v>6949</v>
      </c>
    </row>
    <row r="1043" spans="1:8">
      <c r="A1043" t="s">
        <v>1954</v>
      </c>
      <c r="B1043" t="s">
        <v>187</v>
      </c>
      <c r="C1043" s="1">
        <v>45547</v>
      </c>
      <c r="D1043" s="1" t="str">
        <f>PROPER(orders[[#This Row],[order_priority]])</f>
        <v>Standard</v>
      </c>
      <c r="E1043" t="s">
        <v>13317</v>
      </c>
      <c r="F1043" t="str">
        <f>IFERROR(INDEX(customers[country], MATCH(orders[[#This Row],[customer_id]], customers[customer_id], 0)), "Unmapped")</f>
        <v>Latvia</v>
      </c>
      <c r="G1043" t="str">
        <f>IFERROR(INDEX(Region_Map[Region], MATCH(orders[[#This Row],[Customer_Country]], Region_Map[Country], 0)), "Unknown")</f>
        <v>Baltics</v>
      </c>
      <c r="H1043" t="s">
        <v>6949</v>
      </c>
    </row>
    <row r="1044" spans="1:8">
      <c r="A1044" t="s">
        <v>1955</v>
      </c>
      <c r="B1044" t="s">
        <v>282</v>
      </c>
      <c r="C1044" s="1">
        <v>45451</v>
      </c>
      <c r="D1044" s="1" t="str">
        <f>PROPER(orders[[#This Row],[order_priority]])</f>
        <v>Express</v>
      </c>
      <c r="E1044" t="s">
        <v>13318</v>
      </c>
      <c r="F1044" t="str">
        <f>IFERROR(INDEX(customers[country], MATCH(orders[[#This Row],[customer_id]], customers[customer_id], 0)), "Unmapped")</f>
        <v>Netherlands</v>
      </c>
      <c r="G1044" t="str">
        <f>IFERROR(INDEX(Region_Map[Region], MATCH(orders[[#This Row],[Customer_Country]], Region_Map[Country], 0)), "Unknown")</f>
        <v>Central Europe</v>
      </c>
      <c r="H1044" t="s">
        <v>6949</v>
      </c>
    </row>
    <row r="1045" spans="1:8">
      <c r="A1045" t="s">
        <v>1956</v>
      </c>
      <c r="B1045" t="s">
        <v>455</v>
      </c>
      <c r="C1045" s="1">
        <v>45099</v>
      </c>
      <c r="D1045" s="1" t="str">
        <f>PROPER(orders[[#This Row],[order_priority]])</f>
        <v>Standard</v>
      </c>
      <c r="E1045" t="s">
        <v>13317</v>
      </c>
      <c r="F1045" t="str">
        <f>IFERROR(INDEX(customers[country], MATCH(orders[[#This Row],[customer_id]], customers[customer_id], 0)), "Unmapped")</f>
        <v>Poland</v>
      </c>
      <c r="G1045" t="str">
        <f>IFERROR(INDEX(Region_Map[Region], MATCH(orders[[#This Row],[Customer_Country]], Region_Map[Country], 0)), "Unknown")</f>
        <v>Central Europe</v>
      </c>
      <c r="H1045" t="s">
        <v>6949</v>
      </c>
    </row>
    <row r="1046" spans="1:8">
      <c r="A1046" t="s">
        <v>1957</v>
      </c>
      <c r="B1046" t="s">
        <v>560</v>
      </c>
      <c r="C1046" s="1">
        <v>44936</v>
      </c>
      <c r="D1046" s="1" t="str">
        <f>PROPER(orders[[#This Row],[order_priority]])</f>
        <v>Economy</v>
      </c>
      <c r="E1046" t="s">
        <v>13316</v>
      </c>
      <c r="F1046" t="str">
        <f>IFERROR(INDEX(customers[country], MATCH(orders[[#This Row],[customer_id]], customers[customer_id], 0)), "Unmapped")</f>
        <v>Finland</v>
      </c>
      <c r="G1046" t="str">
        <f>IFERROR(INDEX(Region_Map[Region], MATCH(orders[[#This Row],[Customer_Country]], Region_Map[Country], 0)), "Unknown")</f>
        <v>Nordics</v>
      </c>
      <c r="H1046" t="s">
        <v>6949</v>
      </c>
    </row>
    <row r="1047" spans="1:8">
      <c r="A1047" t="s">
        <v>1958</v>
      </c>
      <c r="B1047" t="s">
        <v>84</v>
      </c>
      <c r="C1047" s="1">
        <v>45412</v>
      </c>
      <c r="D1047" s="1" t="str">
        <f>PROPER(orders[[#This Row],[order_priority]])</f>
        <v>Standard</v>
      </c>
      <c r="E1047" t="s">
        <v>13317</v>
      </c>
      <c r="F1047" t="str">
        <f>IFERROR(INDEX(customers[country], MATCH(orders[[#This Row],[customer_id]], customers[customer_id], 0)), "Unmapped")</f>
        <v>Lithuania</v>
      </c>
      <c r="G1047" t="str">
        <f>IFERROR(INDEX(Region_Map[Region], MATCH(orders[[#This Row],[Customer_Country]], Region_Map[Country], 0)), "Unknown")</f>
        <v>Baltics</v>
      </c>
      <c r="H1047" t="s">
        <v>6949</v>
      </c>
    </row>
    <row r="1048" spans="1:8">
      <c r="A1048" t="s">
        <v>1959</v>
      </c>
      <c r="B1048" t="s">
        <v>802</v>
      </c>
      <c r="C1048" s="1">
        <v>45371</v>
      </c>
      <c r="D1048" s="1" t="str">
        <f>PROPER(orders[[#This Row],[order_priority]])</f>
        <v>Same Day</v>
      </c>
      <c r="E1048" t="s">
        <v>13322</v>
      </c>
      <c r="F1048" t="str">
        <f>IFERROR(INDEX(customers[country], MATCH(orders[[#This Row],[customer_id]], customers[customer_id], 0)), "Unmapped")</f>
        <v>Poland</v>
      </c>
      <c r="G1048" t="str">
        <f>IFERROR(INDEX(Region_Map[Region], MATCH(orders[[#This Row],[Customer_Country]], Region_Map[Country], 0)), "Unknown")</f>
        <v>Central Europe</v>
      </c>
      <c r="H1048" t="s">
        <v>6949</v>
      </c>
    </row>
    <row r="1049" spans="1:8">
      <c r="A1049" t="s">
        <v>1960</v>
      </c>
      <c r="B1049" t="s">
        <v>172</v>
      </c>
      <c r="C1049" s="1">
        <v>45007</v>
      </c>
      <c r="D1049" s="1" t="str">
        <f>PROPER(orders[[#This Row],[order_priority]])</f>
        <v>Express</v>
      </c>
      <c r="E1049" t="s">
        <v>13318</v>
      </c>
      <c r="F1049" t="str">
        <f>IFERROR(INDEX(customers[country], MATCH(orders[[#This Row],[customer_id]], customers[customer_id], 0)), "Unmapped")</f>
        <v>Denmark</v>
      </c>
      <c r="G1049" t="str">
        <f>IFERROR(INDEX(Region_Map[Region], MATCH(orders[[#This Row],[Customer_Country]], Region_Map[Country], 0)), "Unknown")</f>
        <v>Nordics</v>
      </c>
      <c r="H1049" t="s">
        <v>6949</v>
      </c>
    </row>
    <row r="1050" spans="1:8">
      <c r="A1050" t="s">
        <v>1961</v>
      </c>
      <c r="B1050" t="s">
        <v>599</v>
      </c>
      <c r="C1050" s="1">
        <v>45279</v>
      </c>
      <c r="D1050" s="1" t="str">
        <f>PROPER(orders[[#This Row],[order_priority]])</f>
        <v>Standard</v>
      </c>
      <c r="E1050" t="s">
        <v>13317</v>
      </c>
      <c r="F1050" t="str">
        <f>IFERROR(INDEX(customers[country], MATCH(orders[[#This Row],[customer_id]], customers[customer_id], 0)), "Unmapped")</f>
        <v>Germany</v>
      </c>
      <c r="G1050" t="str">
        <f>IFERROR(INDEX(Region_Map[Region], MATCH(orders[[#This Row],[Customer_Country]], Region_Map[Country], 0)), "Unknown")</f>
        <v>Central Europe</v>
      </c>
      <c r="H1050" t="s">
        <v>6949</v>
      </c>
    </row>
    <row r="1051" spans="1:8">
      <c r="A1051" t="s">
        <v>1962</v>
      </c>
      <c r="B1051" t="s">
        <v>831</v>
      </c>
      <c r="C1051" s="1">
        <v>45610</v>
      </c>
      <c r="D1051" s="1" t="str">
        <f>PROPER(orders[[#This Row],[order_priority]])</f>
        <v>Economy</v>
      </c>
      <c r="E1051" t="s">
        <v>13316</v>
      </c>
      <c r="F1051" t="str">
        <f>IFERROR(INDEX(customers[country], MATCH(orders[[#This Row],[customer_id]], customers[customer_id], 0)), "Unmapped")</f>
        <v>Norway</v>
      </c>
      <c r="G1051" t="str">
        <f>IFERROR(INDEX(Region_Map[Region], MATCH(orders[[#This Row],[Customer_Country]], Region_Map[Country], 0)), "Unknown")</f>
        <v>Nordics</v>
      </c>
      <c r="H1051" t="s">
        <v>6949</v>
      </c>
    </row>
    <row r="1052" spans="1:8">
      <c r="A1052" t="s">
        <v>1963</v>
      </c>
      <c r="B1052" t="s">
        <v>189</v>
      </c>
      <c r="C1052" s="1">
        <v>45018</v>
      </c>
      <c r="D1052" s="1" t="str">
        <f>PROPER(orders[[#This Row],[order_priority]])</f>
        <v>Express</v>
      </c>
      <c r="E1052" t="s">
        <v>13318</v>
      </c>
      <c r="F1052" t="str">
        <f>IFERROR(INDEX(customers[country], MATCH(orders[[#This Row],[customer_id]], customers[customer_id], 0)), "Unmapped")</f>
        <v>Norway</v>
      </c>
      <c r="G1052" t="str">
        <f>IFERROR(INDEX(Region_Map[Region], MATCH(orders[[#This Row],[Customer_Country]], Region_Map[Country], 0)), "Unknown")</f>
        <v>Nordics</v>
      </c>
      <c r="H1052" t="s">
        <v>6949</v>
      </c>
    </row>
    <row r="1053" spans="1:8">
      <c r="A1053" t="s">
        <v>1964</v>
      </c>
      <c r="B1053" t="s">
        <v>730</v>
      </c>
      <c r="C1053" s="1">
        <v>45105</v>
      </c>
      <c r="D1053" s="1" t="str">
        <f>PROPER(orders[[#This Row],[order_priority]])</f>
        <v>Standard</v>
      </c>
      <c r="E1053" t="s">
        <v>13317</v>
      </c>
      <c r="F1053" t="str">
        <f>IFERROR(INDEX(customers[country], MATCH(orders[[#This Row],[customer_id]], customers[customer_id], 0)), "Unmapped")</f>
        <v>Lithuania</v>
      </c>
      <c r="G1053" t="str">
        <f>IFERROR(INDEX(Region_Map[Region], MATCH(orders[[#This Row],[Customer_Country]], Region_Map[Country], 0)), "Unknown")</f>
        <v>Baltics</v>
      </c>
      <c r="H1053" t="s">
        <v>6949</v>
      </c>
    </row>
    <row r="1054" spans="1:8">
      <c r="A1054" t="s">
        <v>1965</v>
      </c>
      <c r="B1054" t="s">
        <v>398</v>
      </c>
      <c r="C1054" s="1">
        <v>45573</v>
      </c>
      <c r="D1054" s="1" t="str">
        <f>PROPER(orders[[#This Row],[order_priority]])</f>
        <v>Standard</v>
      </c>
      <c r="E1054" t="s">
        <v>13317</v>
      </c>
      <c r="F1054" t="str">
        <f>IFERROR(INDEX(customers[country], MATCH(orders[[#This Row],[customer_id]], customers[customer_id], 0)), "Unmapped")</f>
        <v>Sweden</v>
      </c>
      <c r="G1054" t="str">
        <f>IFERROR(INDEX(Region_Map[Region], MATCH(orders[[#This Row],[Customer_Country]], Region_Map[Country], 0)), "Unknown")</f>
        <v>Nordics</v>
      </c>
      <c r="H1054" t="s">
        <v>6949</v>
      </c>
    </row>
    <row r="1055" spans="1:8">
      <c r="A1055" t="s">
        <v>1966</v>
      </c>
      <c r="B1055" t="s">
        <v>27</v>
      </c>
      <c r="C1055" s="1">
        <v>45531</v>
      </c>
      <c r="D1055" s="1" t="str">
        <f>PROPER(orders[[#This Row],[order_priority]])</f>
        <v>Standard</v>
      </c>
      <c r="E1055" t="s">
        <v>13317</v>
      </c>
      <c r="F1055" t="str">
        <f>IFERROR(INDEX(customers[country], MATCH(orders[[#This Row],[customer_id]], customers[customer_id], 0)), "Unmapped")</f>
        <v>Latvia</v>
      </c>
      <c r="G1055" t="str">
        <f>IFERROR(INDEX(Region_Map[Region], MATCH(orders[[#This Row],[Customer_Country]], Region_Map[Country], 0)), "Unknown")</f>
        <v>Baltics</v>
      </c>
      <c r="H1055" t="s">
        <v>6949</v>
      </c>
    </row>
    <row r="1056" spans="1:8">
      <c r="A1056" t="s">
        <v>1967</v>
      </c>
      <c r="B1056" t="s">
        <v>347</v>
      </c>
      <c r="C1056" s="1">
        <v>45334</v>
      </c>
      <c r="D1056" s="1" t="str">
        <f>PROPER(orders[[#This Row],[order_priority]])</f>
        <v>Economy</v>
      </c>
      <c r="E1056" t="s">
        <v>13316</v>
      </c>
      <c r="F1056" t="str">
        <f>IFERROR(INDEX(customers[country], MATCH(orders[[#This Row],[customer_id]], customers[customer_id], 0)), "Unmapped")</f>
        <v>Norway</v>
      </c>
      <c r="G1056" t="str">
        <f>IFERROR(INDEX(Region_Map[Region], MATCH(orders[[#This Row],[Customer_Country]], Region_Map[Country], 0)), "Unknown")</f>
        <v>Nordics</v>
      </c>
      <c r="H1056" t="s">
        <v>6949</v>
      </c>
    </row>
    <row r="1057" spans="1:8">
      <c r="A1057" t="s">
        <v>1968</v>
      </c>
      <c r="B1057" t="s">
        <v>6949</v>
      </c>
      <c r="C1057" s="1">
        <v>45183</v>
      </c>
      <c r="D1057" s="1" t="str">
        <f>PROPER(orders[[#This Row],[order_priority]])</f>
        <v>Standard</v>
      </c>
      <c r="E1057" t="s">
        <v>13317</v>
      </c>
      <c r="F1057" t="str">
        <f>IFERROR(INDEX(customers[country], MATCH(orders[[#This Row],[customer_id]], customers[customer_id], 0)), "Unmapped")</f>
        <v>Unmapped</v>
      </c>
      <c r="G1057" t="str">
        <f>IFERROR(INDEX(Region_Map[Region], MATCH(orders[[#This Row],[Customer_Country]], Region_Map[Country], 0)), "Unknown")</f>
        <v>Unknown</v>
      </c>
      <c r="H1057" t="s">
        <v>6949</v>
      </c>
    </row>
    <row r="1058" spans="1:8">
      <c r="A1058" t="s">
        <v>1969</v>
      </c>
      <c r="B1058" t="s">
        <v>392</v>
      </c>
      <c r="C1058" s="1">
        <v>45553</v>
      </c>
      <c r="D1058" s="1" t="str">
        <f>PROPER(orders[[#This Row],[order_priority]])</f>
        <v>Express</v>
      </c>
      <c r="E1058" t="s">
        <v>13318</v>
      </c>
      <c r="F1058" t="str">
        <f>IFERROR(INDEX(customers[country], MATCH(orders[[#This Row],[customer_id]], customers[customer_id], 0)), "Unmapped")</f>
        <v>Latvia</v>
      </c>
      <c r="G1058" t="str">
        <f>IFERROR(INDEX(Region_Map[Region], MATCH(orders[[#This Row],[Customer_Country]], Region_Map[Country], 0)), "Unknown")</f>
        <v>Baltics</v>
      </c>
      <c r="H1058" t="s">
        <v>6949</v>
      </c>
    </row>
    <row r="1059" spans="1:8">
      <c r="A1059" t="s">
        <v>1970</v>
      </c>
      <c r="B1059" t="s">
        <v>282</v>
      </c>
      <c r="C1059" s="1">
        <v>45378</v>
      </c>
      <c r="D1059" s="1" t="str">
        <f>PROPER(orders[[#This Row],[order_priority]])</f>
        <v>Express</v>
      </c>
      <c r="E1059" t="s">
        <v>13318</v>
      </c>
      <c r="F1059" t="str">
        <f>IFERROR(INDEX(customers[country], MATCH(orders[[#This Row],[customer_id]], customers[customer_id], 0)), "Unmapped")</f>
        <v>Netherlands</v>
      </c>
      <c r="G1059" t="str">
        <f>IFERROR(INDEX(Region_Map[Region], MATCH(orders[[#This Row],[Customer_Country]], Region_Map[Country], 0)), "Unknown")</f>
        <v>Central Europe</v>
      </c>
      <c r="H1059" t="s">
        <v>6949</v>
      </c>
    </row>
    <row r="1060" spans="1:8">
      <c r="A1060" t="s">
        <v>1971</v>
      </c>
      <c r="B1060" t="s">
        <v>11</v>
      </c>
      <c r="C1060" s="1">
        <v>45602</v>
      </c>
      <c r="D1060" s="1" t="str">
        <f>PROPER(orders[[#This Row],[order_priority]])</f>
        <v>Express</v>
      </c>
      <c r="E1060" t="s">
        <v>13318</v>
      </c>
      <c r="F1060" t="str">
        <f>IFERROR(INDEX(customers[country], MATCH(orders[[#This Row],[customer_id]], customers[customer_id], 0)), "Unmapped")</f>
        <v>Sweden</v>
      </c>
      <c r="G1060" t="str">
        <f>IFERROR(INDEX(Region_Map[Region], MATCH(orders[[#This Row],[Customer_Country]], Region_Map[Country], 0)), "Unknown")</f>
        <v>Nordics</v>
      </c>
      <c r="H1060" t="s">
        <v>6949</v>
      </c>
    </row>
    <row r="1061" spans="1:8">
      <c r="A1061" t="s">
        <v>1972</v>
      </c>
      <c r="B1061" t="s">
        <v>288</v>
      </c>
      <c r="C1061" s="1">
        <v>45562</v>
      </c>
      <c r="D1061" s="1" t="str">
        <f>PROPER(orders[[#This Row],[order_priority]])</f>
        <v>Economy</v>
      </c>
      <c r="E1061" t="s">
        <v>13316</v>
      </c>
      <c r="F1061" t="str">
        <f>IFERROR(INDEX(customers[country], MATCH(orders[[#This Row],[customer_id]], customers[customer_id], 0)), "Unmapped")</f>
        <v>Netherlands</v>
      </c>
      <c r="G1061" t="str">
        <f>IFERROR(INDEX(Region_Map[Region], MATCH(orders[[#This Row],[Customer_Country]], Region_Map[Country], 0)), "Unknown")</f>
        <v>Central Europe</v>
      </c>
      <c r="H1061" t="s">
        <v>6949</v>
      </c>
    </row>
    <row r="1062" spans="1:8">
      <c r="A1062" t="s">
        <v>1973</v>
      </c>
      <c r="B1062" t="s">
        <v>667</v>
      </c>
      <c r="C1062" s="1">
        <v>45621</v>
      </c>
      <c r="D1062" s="1" t="str">
        <f>PROPER(orders[[#This Row],[order_priority]])</f>
        <v>Express</v>
      </c>
      <c r="E1062" t="s">
        <v>13318</v>
      </c>
      <c r="F1062" t="str">
        <f>IFERROR(INDEX(customers[country], MATCH(orders[[#This Row],[customer_id]], customers[customer_id], 0)), "Unmapped")</f>
        <v>Germany</v>
      </c>
      <c r="G1062" t="str">
        <f>IFERROR(INDEX(Region_Map[Region], MATCH(orders[[#This Row],[Customer_Country]], Region_Map[Country], 0)), "Unknown")</f>
        <v>Central Europe</v>
      </c>
      <c r="H1062" t="s">
        <v>6949</v>
      </c>
    </row>
    <row r="1063" spans="1:8">
      <c r="A1063" t="s">
        <v>1974</v>
      </c>
      <c r="B1063" t="s">
        <v>148</v>
      </c>
      <c r="C1063" s="1">
        <v>45540</v>
      </c>
      <c r="D1063" s="1" t="str">
        <f>PROPER(orders[[#This Row],[order_priority]])</f>
        <v>Economy</v>
      </c>
      <c r="E1063" t="s">
        <v>13316</v>
      </c>
      <c r="F1063" t="str">
        <f>IFERROR(INDEX(customers[country], MATCH(orders[[#This Row],[customer_id]], customers[customer_id], 0)), "Unmapped")</f>
        <v>Poland</v>
      </c>
      <c r="G1063" t="str">
        <f>IFERROR(INDEX(Region_Map[Region], MATCH(orders[[#This Row],[Customer_Country]], Region_Map[Country], 0)), "Unknown")</f>
        <v>Central Europe</v>
      </c>
      <c r="H1063" t="s">
        <v>6949</v>
      </c>
    </row>
    <row r="1064" spans="1:8">
      <c r="A1064" t="s">
        <v>1975</v>
      </c>
      <c r="B1064" t="s">
        <v>368</v>
      </c>
      <c r="C1064" s="1">
        <v>45300</v>
      </c>
      <c r="D1064" s="1" t="str">
        <f>PROPER(orders[[#This Row],[order_priority]])</f>
        <v>Express</v>
      </c>
      <c r="E1064" t="s">
        <v>13320</v>
      </c>
      <c r="F1064" t="str">
        <f>IFERROR(INDEX(customers[country], MATCH(orders[[#This Row],[customer_id]], customers[customer_id], 0)), "Unmapped")</f>
        <v>Poland</v>
      </c>
      <c r="G1064" t="str">
        <f>IFERROR(INDEX(Region_Map[Region], MATCH(orders[[#This Row],[Customer_Country]], Region_Map[Country], 0)), "Unknown")</f>
        <v>Central Europe</v>
      </c>
      <c r="H1064" t="s">
        <v>6949</v>
      </c>
    </row>
    <row r="1065" spans="1:8">
      <c r="A1065" t="s">
        <v>1976</v>
      </c>
      <c r="B1065" t="s">
        <v>763</v>
      </c>
      <c r="C1065" s="1">
        <v>45597</v>
      </c>
      <c r="D1065" s="1" t="str">
        <f>PROPER(orders[[#This Row],[order_priority]])</f>
        <v>Same Day</v>
      </c>
      <c r="E1065" t="s">
        <v>13322</v>
      </c>
      <c r="F1065" t="str">
        <f>IFERROR(INDEX(customers[country], MATCH(orders[[#This Row],[customer_id]], customers[customer_id], 0)), "Unmapped")</f>
        <v>Estonia</v>
      </c>
      <c r="G1065" t="str">
        <f>IFERROR(INDEX(Region_Map[Region], MATCH(orders[[#This Row],[Customer_Country]], Region_Map[Country], 0)), "Unknown")</f>
        <v>Baltics</v>
      </c>
      <c r="H1065" t="s">
        <v>6949</v>
      </c>
    </row>
    <row r="1066" spans="1:8">
      <c r="A1066" t="s">
        <v>1977</v>
      </c>
      <c r="B1066" t="s">
        <v>431</v>
      </c>
      <c r="C1066" s="1">
        <v>45043</v>
      </c>
      <c r="D1066" s="1" t="str">
        <f>PROPER(orders[[#This Row],[order_priority]])</f>
        <v>Economy</v>
      </c>
      <c r="E1066" t="s">
        <v>13316</v>
      </c>
      <c r="F1066" t="str">
        <f>IFERROR(INDEX(customers[country], MATCH(orders[[#This Row],[customer_id]], customers[customer_id], 0)), "Unmapped")</f>
        <v>Sweden</v>
      </c>
      <c r="G1066" t="str">
        <f>IFERROR(INDEX(Region_Map[Region], MATCH(orders[[#This Row],[Customer_Country]], Region_Map[Country], 0)), "Unknown")</f>
        <v>Nordics</v>
      </c>
      <c r="H1066" t="s">
        <v>6949</v>
      </c>
    </row>
    <row r="1067" spans="1:8">
      <c r="A1067" t="s">
        <v>1978</v>
      </c>
      <c r="B1067" t="s">
        <v>721</v>
      </c>
      <c r="C1067" s="1">
        <v>45470</v>
      </c>
      <c r="D1067" s="1" t="str">
        <f>PROPER(orders[[#This Row],[order_priority]])</f>
        <v>Economy</v>
      </c>
      <c r="E1067" t="s">
        <v>13316</v>
      </c>
      <c r="F1067" t="str">
        <f>IFERROR(INDEX(customers[country], MATCH(orders[[#This Row],[customer_id]], customers[customer_id], 0)), "Unmapped")</f>
        <v>Netherlands</v>
      </c>
      <c r="G1067" t="str">
        <f>IFERROR(INDEX(Region_Map[Region], MATCH(orders[[#This Row],[Customer_Country]], Region_Map[Country], 0)), "Unknown")</f>
        <v>Central Europe</v>
      </c>
      <c r="H1067" t="s">
        <v>6949</v>
      </c>
    </row>
    <row r="1068" spans="1:8">
      <c r="A1068" t="s">
        <v>1979</v>
      </c>
      <c r="B1068" t="s">
        <v>611</v>
      </c>
      <c r="C1068" s="1">
        <v>45597</v>
      </c>
      <c r="D1068" s="1" t="str">
        <f>PROPER(orders[[#This Row],[order_priority]])</f>
        <v>Economy</v>
      </c>
      <c r="E1068" t="s">
        <v>13325</v>
      </c>
      <c r="F1068" t="str">
        <f>IFERROR(INDEX(customers[country], MATCH(orders[[#This Row],[customer_id]], customers[customer_id], 0)), "Unmapped")</f>
        <v>Poland</v>
      </c>
      <c r="G1068" t="str">
        <f>IFERROR(INDEX(Region_Map[Region], MATCH(orders[[#This Row],[Customer_Country]], Region_Map[Country], 0)), "Unknown")</f>
        <v>Central Europe</v>
      </c>
      <c r="H1068" t="s">
        <v>6949</v>
      </c>
    </row>
    <row r="1069" spans="1:8">
      <c r="A1069" t="s">
        <v>1980</v>
      </c>
      <c r="B1069" t="s">
        <v>828</v>
      </c>
      <c r="C1069" s="1">
        <v>45300</v>
      </c>
      <c r="D1069" s="1" t="str">
        <f>PROPER(orders[[#This Row],[order_priority]])</f>
        <v>Economy</v>
      </c>
      <c r="E1069" t="s">
        <v>13316</v>
      </c>
      <c r="F1069" t="str">
        <f>IFERROR(INDEX(customers[country], MATCH(orders[[#This Row],[customer_id]], customers[customer_id], 0)), "Unmapped")</f>
        <v>Germany</v>
      </c>
      <c r="G1069" t="str">
        <f>IFERROR(INDEX(Region_Map[Region], MATCH(orders[[#This Row],[Customer_Country]], Region_Map[Country], 0)), "Unknown")</f>
        <v>Central Europe</v>
      </c>
      <c r="H1069" t="s">
        <v>6949</v>
      </c>
    </row>
    <row r="1070" spans="1:8">
      <c r="A1070" t="s">
        <v>1981</v>
      </c>
      <c r="B1070" t="s">
        <v>614</v>
      </c>
      <c r="C1070" s="1">
        <v>45450</v>
      </c>
      <c r="D1070" s="1" t="str">
        <f>PROPER(orders[[#This Row],[order_priority]])</f>
        <v>Economy</v>
      </c>
      <c r="E1070" t="s">
        <v>13316</v>
      </c>
      <c r="F1070" t="str">
        <f>IFERROR(INDEX(customers[country], MATCH(orders[[#This Row],[customer_id]], customers[customer_id], 0)), "Unmapped")</f>
        <v>Latvia</v>
      </c>
      <c r="G1070" t="str">
        <f>IFERROR(INDEX(Region_Map[Region], MATCH(orders[[#This Row],[Customer_Country]], Region_Map[Country], 0)), "Unknown")</f>
        <v>Baltics</v>
      </c>
      <c r="H1070" t="s">
        <v>6949</v>
      </c>
    </row>
    <row r="1071" spans="1:8">
      <c r="A1071" t="s">
        <v>1982</v>
      </c>
      <c r="B1071" t="s">
        <v>282</v>
      </c>
      <c r="C1071" s="1">
        <v>45147</v>
      </c>
      <c r="D1071" s="1" t="str">
        <f>PROPER(orders[[#This Row],[order_priority]])</f>
        <v>Same Day</v>
      </c>
      <c r="E1071" t="s">
        <v>13322</v>
      </c>
      <c r="F1071" t="str">
        <f>IFERROR(INDEX(customers[country], MATCH(orders[[#This Row],[customer_id]], customers[customer_id], 0)), "Unmapped")</f>
        <v>Netherlands</v>
      </c>
      <c r="G1071" t="str">
        <f>IFERROR(INDEX(Region_Map[Region], MATCH(orders[[#This Row],[Customer_Country]], Region_Map[Country], 0)), "Unknown")</f>
        <v>Central Europe</v>
      </c>
      <c r="H1071" t="s">
        <v>6949</v>
      </c>
    </row>
    <row r="1072" spans="1:8">
      <c r="A1072" t="s">
        <v>1983</v>
      </c>
      <c r="B1072" t="s">
        <v>341</v>
      </c>
      <c r="C1072" s="1">
        <v>45595</v>
      </c>
      <c r="D1072" s="1" t="str">
        <f>PROPER(orders[[#This Row],[order_priority]])</f>
        <v>Same Day</v>
      </c>
      <c r="E1072" t="s">
        <v>13322</v>
      </c>
      <c r="F1072" t="str">
        <f>IFERROR(INDEX(customers[country], MATCH(orders[[#This Row],[customer_id]], customers[customer_id], 0)), "Unmapped")</f>
        <v>Latvia</v>
      </c>
      <c r="G1072" t="str">
        <f>IFERROR(INDEX(Region_Map[Region], MATCH(orders[[#This Row],[Customer_Country]], Region_Map[Country], 0)), "Unknown")</f>
        <v>Baltics</v>
      </c>
      <c r="H1072" t="s">
        <v>6949</v>
      </c>
    </row>
    <row r="1073" spans="1:8">
      <c r="A1073" t="s">
        <v>1984</v>
      </c>
      <c r="B1073" t="s">
        <v>548</v>
      </c>
      <c r="C1073" s="1">
        <v>45305</v>
      </c>
      <c r="D1073" s="1" t="str">
        <f>PROPER(orders[[#This Row],[order_priority]])</f>
        <v>Same Day</v>
      </c>
      <c r="E1073" t="s">
        <v>13322</v>
      </c>
      <c r="F1073" t="str">
        <f>IFERROR(INDEX(customers[country], MATCH(orders[[#This Row],[customer_id]], customers[customer_id], 0)), "Unmapped")</f>
        <v>Sweden</v>
      </c>
      <c r="G1073" t="str">
        <f>IFERROR(INDEX(Region_Map[Region], MATCH(orders[[#This Row],[Customer_Country]], Region_Map[Country], 0)), "Unknown")</f>
        <v>Nordics</v>
      </c>
      <c r="H1073" t="s">
        <v>6949</v>
      </c>
    </row>
    <row r="1074" spans="1:8">
      <c r="A1074" t="s">
        <v>1985</v>
      </c>
      <c r="B1074" t="s">
        <v>184</v>
      </c>
      <c r="C1074" s="1">
        <v>45307</v>
      </c>
      <c r="D1074" s="1" t="str">
        <f>PROPER(orders[[#This Row],[order_priority]])</f>
        <v>Standard</v>
      </c>
      <c r="E1074" t="s">
        <v>13323</v>
      </c>
      <c r="F1074" t="str">
        <f>IFERROR(INDEX(customers[country], MATCH(orders[[#This Row],[customer_id]], customers[customer_id], 0)), "Unmapped")</f>
        <v>Netherlands</v>
      </c>
      <c r="G1074" t="str">
        <f>IFERROR(INDEX(Region_Map[Region], MATCH(orders[[#This Row],[Customer_Country]], Region_Map[Country], 0)), "Unknown")</f>
        <v>Central Europe</v>
      </c>
      <c r="H1074" t="s">
        <v>6949</v>
      </c>
    </row>
    <row r="1075" spans="1:8">
      <c r="A1075" t="s">
        <v>1986</v>
      </c>
      <c r="B1075" t="s">
        <v>407</v>
      </c>
      <c r="C1075" s="1">
        <v>45323</v>
      </c>
      <c r="D1075" s="1" t="str">
        <f>PROPER(orders[[#This Row],[order_priority]])</f>
        <v>Economy</v>
      </c>
      <c r="E1075" t="s">
        <v>13316</v>
      </c>
      <c r="F1075" t="str">
        <f>IFERROR(INDEX(customers[country], MATCH(orders[[#This Row],[customer_id]], customers[customer_id], 0)), "Unmapped")</f>
        <v>Poland</v>
      </c>
      <c r="G1075" t="str">
        <f>IFERROR(INDEX(Region_Map[Region], MATCH(orders[[#This Row],[Customer_Country]], Region_Map[Country], 0)), "Unknown")</f>
        <v>Central Europe</v>
      </c>
      <c r="H1075" t="s">
        <v>6949</v>
      </c>
    </row>
    <row r="1076" spans="1:8">
      <c r="A1076" t="s">
        <v>1987</v>
      </c>
      <c r="B1076" t="s">
        <v>566</v>
      </c>
      <c r="C1076" s="1">
        <v>45064</v>
      </c>
      <c r="D1076" s="1" t="str">
        <f>PROPER(orders[[#This Row],[order_priority]])</f>
        <v>Economy</v>
      </c>
      <c r="E1076" t="s">
        <v>13316</v>
      </c>
      <c r="F1076" t="str">
        <f>IFERROR(INDEX(customers[country], MATCH(orders[[#This Row],[customer_id]], customers[customer_id], 0)), "Unmapped")</f>
        <v>Denmark</v>
      </c>
      <c r="G1076" t="str">
        <f>IFERROR(INDEX(Region_Map[Region], MATCH(orders[[#This Row],[Customer_Country]], Region_Map[Country], 0)), "Unknown")</f>
        <v>Nordics</v>
      </c>
      <c r="H1076" t="s">
        <v>6949</v>
      </c>
    </row>
    <row r="1077" spans="1:8">
      <c r="A1077" t="s">
        <v>1988</v>
      </c>
      <c r="B1077" t="s">
        <v>566</v>
      </c>
      <c r="C1077" s="1">
        <v>45281</v>
      </c>
      <c r="D1077" s="1" t="str">
        <f>PROPER(orders[[#This Row],[order_priority]])</f>
        <v>Express</v>
      </c>
      <c r="E1077" t="s">
        <v>13318</v>
      </c>
      <c r="F1077" t="str">
        <f>IFERROR(INDEX(customers[country], MATCH(orders[[#This Row],[customer_id]], customers[customer_id], 0)), "Unmapped")</f>
        <v>Denmark</v>
      </c>
      <c r="G1077" t="str">
        <f>IFERROR(INDEX(Region_Map[Region], MATCH(orders[[#This Row],[Customer_Country]], Region_Map[Country], 0)), "Unknown")</f>
        <v>Nordics</v>
      </c>
      <c r="H1077" t="s">
        <v>6949</v>
      </c>
    </row>
    <row r="1078" spans="1:8">
      <c r="A1078" t="s">
        <v>1989</v>
      </c>
      <c r="B1078" t="s">
        <v>563</v>
      </c>
      <c r="C1078" s="1">
        <v>45312</v>
      </c>
      <c r="D1078" s="1" t="str">
        <f>PROPER(orders[[#This Row],[order_priority]])</f>
        <v>Same Day</v>
      </c>
      <c r="E1078" t="s">
        <v>13322</v>
      </c>
      <c r="F1078" t="str">
        <f>IFERROR(INDEX(customers[country], MATCH(orders[[#This Row],[customer_id]], customers[customer_id], 0)), "Unmapped")</f>
        <v>Estonia</v>
      </c>
      <c r="G1078" t="str">
        <f>IFERROR(INDEX(Region_Map[Region], MATCH(orders[[#This Row],[Customer_Country]], Region_Map[Country], 0)), "Unknown")</f>
        <v>Baltics</v>
      </c>
      <c r="H1078" t="s">
        <v>6949</v>
      </c>
    </row>
    <row r="1079" spans="1:8">
      <c r="A1079" t="s">
        <v>1990</v>
      </c>
      <c r="B1079" t="s">
        <v>855</v>
      </c>
      <c r="C1079" s="1">
        <v>45214</v>
      </c>
      <c r="D1079" s="1" t="str">
        <f>PROPER(orders[[#This Row],[order_priority]])</f>
        <v>Same Day</v>
      </c>
      <c r="E1079" t="s">
        <v>13322</v>
      </c>
      <c r="F1079" t="str">
        <f>IFERROR(INDEX(customers[country], MATCH(orders[[#This Row],[customer_id]], customers[customer_id], 0)), "Unmapped")</f>
        <v>Latvia</v>
      </c>
      <c r="G1079" t="str">
        <f>IFERROR(INDEX(Region_Map[Region], MATCH(orders[[#This Row],[Customer_Country]], Region_Map[Country], 0)), "Unknown")</f>
        <v>Baltics</v>
      </c>
      <c r="H1079" t="s">
        <v>6949</v>
      </c>
    </row>
    <row r="1080" spans="1:8">
      <c r="A1080" t="s">
        <v>1991</v>
      </c>
      <c r="B1080" t="s">
        <v>389</v>
      </c>
      <c r="C1080" s="1">
        <v>45611</v>
      </c>
      <c r="D1080" s="1" t="str">
        <f>PROPER(orders[[#This Row],[order_priority]])</f>
        <v>Standard</v>
      </c>
      <c r="E1080" t="s">
        <v>13317</v>
      </c>
      <c r="F1080" t="str">
        <f>IFERROR(INDEX(customers[country], MATCH(orders[[#This Row],[customer_id]], customers[customer_id], 0)), "Unmapped")</f>
        <v>Poland</v>
      </c>
      <c r="G1080" t="str">
        <f>IFERROR(INDEX(Region_Map[Region], MATCH(orders[[#This Row],[Customer_Country]], Region_Map[Country], 0)), "Unknown")</f>
        <v>Central Europe</v>
      </c>
      <c r="H1080" t="s">
        <v>6949</v>
      </c>
    </row>
    <row r="1081" spans="1:8">
      <c r="A1081" t="s">
        <v>1992</v>
      </c>
      <c r="B1081" t="s">
        <v>431</v>
      </c>
      <c r="C1081" s="1">
        <v>45138</v>
      </c>
      <c r="D1081" s="1" t="str">
        <f>PROPER(orders[[#This Row],[order_priority]])</f>
        <v>Express</v>
      </c>
      <c r="E1081" t="s">
        <v>13318</v>
      </c>
      <c r="F1081" t="str">
        <f>IFERROR(INDEX(customers[country], MATCH(orders[[#This Row],[customer_id]], customers[customer_id], 0)), "Unmapped")</f>
        <v>Sweden</v>
      </c>
      <c r="G1081" t="str">
        <f>IFERROR(INDEX(Region_Map[Region], MATCH(orders[[#This Row],[Customer_Country]], Region_Map[Country], 0)), "Unknown")</f>
        <v>Nordics</v>
      </c>
      <c r="H1081" t="s">
        <v>6949</v>
      </c>
    </row>
    <row r="1082" spans="1:8">
      <c r="A1082" t="s">
        <v>1993</v>
      </c>
      <c r="B1082" t="s">
        <v>323</v>
      </c>
      <c r="C1082" s="1">
        <v>45154</v>
      </c>
      <c r="D1082" s="1" t="str">
        <f>PROPER(orders[[#This Row],[order_priority]])</f>
        <v>Economy</v>
      </c>
      <c r="E1082" t="s">
        <v>13325</v>
      </c>
      <c r="F1082" t="str">
        <f>IFERROR(INDEX(customers[country], MATCH(orders[[#This Row],[customer_id]], customers[customer_id], 0)), "Unmapped")</f>
        <v>Estonia</v>
      </c>
      <c r="G1082" t="str">
        <f>IFERROR(INDEX(Region_Map[Region], MATCH(orders[[#This Row],[Customer_Country]], Region_Map[Country], 0)), "Unknown")</f>
        <v>Baltics</v>
      </c>
      <c r="H1082" t="s">
        <v>6949</v>
      </c>
    </row>
    <row r="1083" spans="1:8">
      <c r="A1083" t="s">
        <v>1994</v>
      </c>
      <c r="B1083" t="s">
        <v>855</v>
      </c>
      <c r="C1083" s="1">
        <v>45108</v>
      </c>
      <c r="D1083" s="1" t="str">
        <f>PROPER(orders[[#This Row],[order_priority]])</f>
        <v>Same Day</v>
      </c>
      <c r="E1083" t="s">
        <v>13322</v>
      </c>
      <c r="F1083" t="str">
        <f>IFERROR(INDEX(customers[country], MATCH(orders[[#This Row],[customer_id]], customers[customer_id], 0)), "Unmapped")</f>
        <v>Latvia</v>
      </c>
      <c r="G1083" t="str">
        <f>IFERROR(INDEX(Region_Map[Region], MATCH(orders[[#This Row],[Customer_Country]], Region_Map[Country], 0)), "Unknown")</f>
        <v>Baltics</v>
      </c>
      <c r="H1083" t="s">
        <v>6949</v>
      </c>
    </row>
    <row r="1084" spans="1:8">
      <c r="A1084" t="s">
        <v>1995</v>
      </c>
      <c r="B1084" t="s">
        <v>470</v>
      </c>
      <c r="C1084" s="1">
        <v>45526</v>
      </c>
      <c r="D1084" s="1" t="str">
        <f>PROPER(orders[[#This Row],[order_priority]])</f>
        <v>Express</v>
      </c>
      <c r="E1084" t="s">
        <v>13318</v>
      </c>
      <c r="F1084" t="str">
        <f>IFERROR(INDEX(customers[country], MATCH(orders[[#This Row],[customer_id]], customers[customer_id], 0)), "Unmapped")</f>
        <v>Norway</v>
      </c>
      <c r="G1084" t="str">
        <f>IFERROR(INDEX(Region_Map[Region], MATCH(orders[[#This Row],[Customer_Country]], Region_Map[Country], 0)), "Unknown")</f>
        <v>Nordics</v>
      </c>
      <c r="H1084" t="s">
        <v>6949</v>
      </c>
    </row>
    <row r="1085" spans="1:8">
      <c r="A1085" t="s">
        <v>1996</v>
      </c>
      <c r="B1085" t="s">
        <v>282</v>
      </c>
      <c r="C1085" s="1">
        <v>45174</v>
      </c>
      <c r="D1085" s="1" t="str">
        <f>PROPER(orders[[#This Row],[order_priority]])</f>
        <v>Express</v>
      </c>
      <c r="E1085" t="s">
        <v>13326</v>
      </c>
      <c r="F1085" t="str">
        <f>IFERROR(INDEX(customers[country], MATCH(orders[[#This Row],[customer_id]], customers[customer_id], 0)), "Unmapped")</f>
        <v>Netherlands</v>
      </c>
      <c r="G1085" t="str">
        <f>IFERROR(INDEX(Region_Map[Region], MATCH(orders[[#This Row],[Customer_Country]], Region_Map[Country], 0)), "Unknown")</f>
        <v>Central Europe</v>
      </c>
      <c r="H1085" t="s">
        <v>6949</v>
      </c>
    </row>
    <row r="1086" spans="1:8">
      <c r="A1086" t="s">
        <v>1997</v>
      </c>
      <c r="B1086" t="s">
        <v>309</v>
      </c>
      <c r="C1086" s="1">
        <v>45494</v>
      </c>
      <c r="D1086" s="1" t="str">
        <f>PROPER(orders[[#This Row],[order_priority]])</f>
        <v>Economy</v>
      </c>
      <c r="E1086" t="s">
        <v>13316</v>
      </c>
      <c r="F1086" t="str">
        <f>IFERROR(INDEX(customers[country], MATCH(orders[[#This Row],[customer_id]], customers[customer_id], 0)), "Unmapped")</f>
        <v>Lithuania</v>
      </c>
      <c r="G1086" t="str">
        <f>IFERROR(INDEX(Region_Map[Region], MATCH(orders[[#This Row],[Customer_Country]], Region_Map[Country], 0)), "Unknown")</f>
        <v>Baltics</v>
      </c>
      <c r="H1086" t="s">
        <v>6949</v>
      </c>
    </row>
    <row r="1087" spans="1:8">
      <c r="A1087" t="s">
        <v>1998</v>
      </c>
      <c r="B1087" t="s">
        <v>249</v>
      </c>
      <c r="C1087" s="1">
        <v>45011</v>
      </c>
      <c r="D1087" s="1" t="str">
        <f>PROPER(orders[[#This Row],[order_priority]])</f>
        <v>Economy</v>
      </c>
      <c r="E1087" t="s">
        <v>13316</v>
      </c>
      <c r="F1087" t="str">
        <f>IFERROR(INDEX(customers[country], MATCH(orders[[#This Row],[customer_id]], customers[customer_id], 0)), "Unmapped")</f>
        <v>Estonia</v>
      </c>
      <c r="G1087" t="str">
        <f>IFERROR(INDEX(Region_Map[Region], MATCH(orders[[#This Row],[Customer_Country]], Region_Map[Country], 0)), "Unknown")</f>
        <v>Baltics</v>
      </c>
      <c r="H1087" t="s">
        <v>6949</v>
      </c>
    </row>
    <row r="1088" spans="1:8">
      <c r="A1088" t="s">
        <v>1999</v>
      </c>
      <c r="B1088" t="s">
        <v>825</v>
      </c>
      <c r="C1088" s="1">
        <v>44947</v>
      </c>
      <c r="D1088" s="1" t="str">
        <f>PROPER(orders[[#This Row],[order_priority]])</f>
        <v>Same Day</v>
      </c>
      <c r="E1088" t="s">
        <v>13324</v>
      </c>
      <c r="F1088" t="str">
        <f>IFERROR(INDEX(customers[country], MATCH(orders[[#This Row],[customer_id]], customers[customer_id], 0)), "Unmapped")</f>
        <v>Latvia</v>
      </c>
      <c r="G1088" t="str">
        <f>IFERROR(INDEX(Region_Map[Region], MATCH(orders[[#This Row],[Customer_Country]], Region_Map[Country], 0)), "Unknown")</f>
        <v>Baltics</v>
      </c>
      <c r="H1088" t="s">
        <v>6949</v>
      </c>
    </row>
    <row r="1089" spans="1:8">
      <c r="A1089" t="s">
        <v>2000</v>
      </c>
      <c r="B1089" t="s">
        <v>721</v>
      </c>
      <c r="C1089" s="1">
        <v>45020</v>
      </c>
      <c r="D1089" s="1" t="str">
        <f>PROPER(orders[[#This Row],[order_priority]])</f>
        <v>Standard</v>
      </c>
      <c r="E1089" t="s">
        <v>13317</v>
      </c>
      <c r="F1089" t="str">
        <f>IFERROR(INDEX(customers[country], MATCH(orders[[#This Row],[customer_id]], customers[customer_id], 0)), "Unmapped")</f>
        <v>Netherlands</v>
      </c>
      <c r="G1089" t="str">
        <f>IFERROR(INDEX(Region_Map[Region], MATCH(orders[[#This Row],[Customer_Country]], Region_Map[Country], 0)), "Unknown")</f>
        <v>Central Europe</v>
      </c>
      <c r="H1089" t="s">
        <v>6949</v>
      </c>
    </row>
    <row r="1090" spans="1:8">
      <c r="A1090" t="s">
        <v>2001</v>
      </c>
      <c r="B1090" t="s">
        <v>6</v>
      </c>
      <c r="C1090" s="1">
        <v>45516</v>
      </c>
      <c r="D1090" s="1" t="str">
        <f>PROPER(orders[[#This Row],[order_priority]])</f>
        <v>Standard</v>
      </c>
      <c r="E1090" t="s">
        <v>13317</v>
      </c>
      <c r="F1090" t="str">
        <f>IFERROR(INDEX(customers[country], MATCH(orders[[#This Row],[customer_id]], customers[customer_id], 0)), "Unmapped")</f>
        <v>Latvia</v>
      </c>
      <c r="G1090" t="str">
        <f>IFERROR(INDEX(Region_Map[Region], MATCH(orders[[#This Row],[Customer_Country]], Region_Map[Country], 0)), "Unknown")</f>
        <v>Baltics</v>
      </c>
      <c r="H1090" t="s">
        <v>6949</v>
      </c>
    </row>
    <row r="1091" spans="1:8">
      <c r="A1091" t="s">
        <v>2002</v>
      </c>
      <c r="B1091" t="s">
        <v>572</v>
      </c>
      <c r="C1091" s="1">
        <v>44944</v>
      </c>
      <c r="D1091" s="1" t="str">
        <f>PROPER(orders[[#This Row],[order_priority]])</f>
        <v>Express</v>
      </c>
      <c r="E1091" t="s">
        <v>13318</v>
      </c>
      <c r="F1091" t="str">
        <f>IFERROR(INDEX(customers[country], MATCH(orders[[#This Row],[customer_id]], customers[customer_id], 0)), "Unmapped")</f>
        <v>Germany</v>
      </c>
      <c r="G1091" t="str">
        <f>IFERROR(INDEX(Region_Map[Region], MATCH(orders[[#This Row],[Customer_Country]], Region_Map[Country], 0)), "Unknown")</f>
        <v>Central Europe</v>
      </c>
      <c r="H1091" t="s">
        <v>6949</v>
      </c>
    </row>
    <row r="1092" spans="1:8">
      <c r="A1092" t="s">
        <v>2003</v>
      </c>
      <c r="B1092" t="s">
        <v>383</v>
      </c>
      <c r="C1092" s="1">
        <v>45014</v>
      </c>
      <c r="D1092" s="1" t="str">
        <f>PROPER(orders[[#This Row],[order_priority]])</f>
        <v>Economy</v>
      </c>
      <c r="E1092" t="s">
        <v>13316</v>
      </c>
      <c r="F1092" t="str">
        <f>IFERROR(INDEX(customers[country], MATCH(orders[[#This Row],[customer_id]], customers[customer_id], 0)), "Unmapped")</f>
        <v>Germany</v>
      </c>
      <c r="G1092" t="str">
        <f>IFERROR(INDEX(Region_Map[Region], MATCH(orders[[#This Row],[Customer_Country]], Region_Map[Country], 0)), "Unknown")</f>
        <v>Central Europe</v>
      </c>
      <c r="H1092" t="s">
        <v>6949</v>
      </c>
    </row>
    <row r="1093" spans="1:8">
      <c r="A1093" t="s">
        <v>2004</v>
      </c>
      <c r="B1093" t="s">
        <v>353</v>
      </c>
      <c r="C1093" s="1">
        <v>45011</v>
      </c>
      <c r="D1093" s="1" t="str">
        <f>PROPER(orders[[#This Row],[order_priority]])</f>
        <v>Express</v>
      </c>
      <c r="E1093" t="s">
        <v>13318</v>
      </c>
      <c r="F1093" t="str">
        <f>IFERROR(INDEX(customers[country], MATCH(orders[[#This Row],[customer_id]], customers[customer_id], 0)), "Unmapped")</f>
        <v>Estonia</v>
      </c>
      <c r="G1093" t="str">
        <f>IFERROR(INDEX(Region_Map[Region], MATCH(orders[[#This Row],[Customer_Country]], Region_Map[Country], 0)), "Unknown")</f>
        <v>Baltics</v>
      </c>
      <c r="H1093" t="s">
        <v>6949</v>
      </c>
    </row>
    <row r="1094" spans="1:8">
      <c r="A1094" t="s">
        <v>2005</v>
      </c>
      <c r="B1094" t="s">
        <v>828</v>
      </c>
      <c r="C1094" s="1">
        <v>44967</v>
      </c>
      <c r="D1094" s="1" t="str">
        <f>PROPER(orders[[#This Row],[order_priority]])</f>
        <v>Standard</v>
      </c>
      <c r="E1094" t="s">
        <v>13323</v>
      </c>
      <c r="F1094" t="str">
        <f>IFERROR(INDEX(customers[country], MATCH(orders[[#This Row],[customer_id]], customers[customer_id], 0)), "Unmapped")</f>
        <v>Germany</v>
      </c>
      <c r="G1094" t="str">
        <f>IFERROR(INDEX(Region_Map[Region], MATCH(orders[[#This Row],[Customer_Country]], Region_Map[Country], 0)), "Unknown")</f>
        <v>Central Europe</v>
      </c>
      <c r="H1094" t="s">
        <v>6949</v>
      </c>
    </row>
    <row r="1095" spans="1:8">
      <c r="A1095" t="s">
        <v>2006</v>
      </c>
      <c r="B1095" t="s">
        <v>255</v>
      </c>
      <c r="C1095" s="1">
        <v>45450</v>
      </c>
      <c r="D1095" s="1" t="str">
        <f>PROPER(orders[[#This Row],[order_priority]])</f>
        <v>Standard</v>
      </c>
      <c r="E1095" t="s">
        <v>13323</v>
      </c>
      <c r="F1095" t="str">
        <f>IFERROR(INDEX(customers[country], MATCH(orders[[#This Row],[customer_id]], customers[customer_id], 0)), "Unmapped")</f>
        <v>Sweden</v>
      </c>
      <c r="G1095" t="str">
        <f>IFERROR(INDEX(Region_Map[Region], MATCH(orders[[#This Row],[Customer_Country]], Region_Map[Country], 0)), "Unknown")</f>
        <v>Nordics</v>
      </c>
      <c r="H1095" t="s">
        <v>6949</v>
      </c>
    </row>
    <row r="1096" spans="1:8">
      <c r="A1096" t="s">
        <v>2007</v>
      </c>
      <c r="B1096" t="s">
        <v>548</v>
      </c>
      <c r="C1096" s="1">
        <v>45523</v>
      </c>
      <c r="D1096" s="1" t="str">
        <f>PROPER(orders[[#This Row],[order_priority]])</f>
        <v>Standard</v>
      </c>
      <c r="E1096" t="s">
        <v>13317</v>
      </c>
      <c r="F1096" t="str">
        <f>IFERROR(INDEX(customers[country], MATCH(orders[[#This Row],[customer_id]], customers[customer_id], 0)), "Unmapped")</f>
        <v>Sweden</v>
      </c>
      <c r="G1096" t="str">
        <f>IFERROR(INDEX(Region_Map[Region], MATCH(orders[[#This Row],[Customer_Country]], Region_Map[Country], 0)), "Unknown")</f>
        <v>Nordics</v>
      </c>
      <c r="H1096" t="s">
        <v>6949</v>
      </c>
    </row>
    <row r="1097" spans="1:8">
      <c r="A1097" t="s">
        <v>2008</v>
      </c>
      <c r="B1097" t="s">
        <v>443</v>
      </c>
      <c r="C1097" s="1">
        <v>45092</v>
      </c>
      <c r="D1097" s="1" t="str">
        <f>PROPER(orders[[#This Row],[order_priority]])</f>
        <v>Standard</v>
      </c>
      <c r="E1097" t="s">
        <v>13317</v>
      </c>
      <c r="F1097" t="str">
        <f>IFERROR(INDEX(customers[country], MATCH(orders[[#This Row],[customer_id]], customers[customer_id], 0)), "Unmapped")</f>
        <v>Estonia</v>
      </c>
      <c r="G1097" t="str">
        <f>IFERROR(INDEX(Region_Map[Region], MATCH(orders[[#This Row],[Customer_Country]], Region_Map[Country], 0)), "Unknown")</f>
        <v>Baltics</v>
      </c>
      <c r="H1097" t="s">
        <v>6949</v>
      </c>
    </row>
    <row r="1098" spans="1:8">
      <c r="A1098" t="s">
        <v>2009</v>
      </c>
      <c r="B1098" t="s">
        <v>148</v>
      </c>
      <c r="C1098" s="1">
        <v>45187</v>
      </c>
      <c r="D1098" s="1" t="str">
        <f>PROPER(orders[[#This Row],[order_priority]])</f>
        <v>Standard</v>
      </c>
      <c r="E1098" t="s">
        <v>13323</v>
      </c>
      <c r="F1098" t="str">
        <f>IFERROR(INDEX(customers[country], MATCH(orders[[#This Row],[customer_id]], customers[customer_id], 0)), "Unmapped")</f>
        <v>Poland</v>
      </c>
      <c r="G1098" t="str">
        <f>IFERROR(INDEX(Region_Map[Region], MATCH(orders[[#This Row],[Customer_Country]], Region_Map[Country], 0)), "Unknown")</f>
        <v>Central Europe</v>
      </c>
      <c r="H1098" t="s">
        <v>6949</v>
      </c>
    </row>
    <row r="1099" spans="1:8">
      <c r="A1099" t="s">
        <v>2010</v>
      </c>
      <c r="B1099" t="s">
        <v>593</v>
      </c>
      <c r="C1099" s="1">
        <v>45277</v>
      </c>
      <c r="D1099" s="1" t="str">
        <f>PROPER(orders[[#This Row],[order_priority]])</f>
        <v>Same Day</v>
      </c>
      <c r="E1099" t="s">
        <v>13322</v>
      </c>
      <c r="F1099" t="str">
        <f>IFERROR(INDEX(customers[country], MATCH(orders[[#This Row],[customer_id]], customers[customer_id], 0)), "Unmapped")</f>
        <v>Estonia</v>
      </c>
      <c r="G1099" t="str">
        <f>IFERROR(INDEX(Region_Map[Region], MATCH(orders[[#This Row],[Customer_Country]], Region_Map[Country], 0)), "Unknown")</f>
        <v>Baltics</v>
      </c>
      <c r="H1099" t="s">
        <v>6949</v>
      </c>
    </row>
    <row r="1100" spans="1:8">
      <c r="A1100" t="s">
        <v>2011</v>
      </c>
      <c r="B1100" t="s">
        <v>350</v>
      </c>
      <c r="C1100" s="1">
        <v>45033</v>
      </c>
      <c r="D1100" s="1" t="str">
        <f>PROPER(orders[[#This Row],[order_priority]])</f>
        <v>Express</v>
      </c>
      <c r="E1100" t="s">
        <v>13318</v>
      </c>
      <c r="F1100" t="str">
        <f>IFERROR(INDEX(customers[country], MATCH(orders[[#This Row],[customer_id]], customers[customer_id], 0)), "Unmapped")</f>
        <v>Netherlands</v>
      </c>
      <c r="G1100" t="str">
        <f>IFERROR(INDEX(Region_Map[Region], MATCH(orders[[#This Row],[Customer_Country]], Region_Map[Country], 0)), "Unknown")</f>
        <v>Central Europe</v>
      </c>
      <c r="H1100" t="s">
        <v>6949</v>
      </c>
    </row>
    <row r="1101" spans="1:8">
      <c r="A1101" t="s">
        <v>2012</v>
      </c>
      <c r="B1101" t="s">
        <v>73</v>
      </c>
      <c r="C1101" s="1">
        <v>45086</v>
      </c>
      <c r="D1101" s="1" t="str">
        <f>PROPER(orders[[#This Row],[order_priority]])</f>
        <v>Standard</v>
      </c>
      <c r="E1101" t="s">
        <v>13317</v>
      </c>
      <c r="F1101" t="str">
        <f>IFERROR(INDEX(customers[country], MATCH(orders[[#This Row],[customer_id]], customers[customer_id], 0)), "Unmapped")</f>
        <v>Norway</v>
      </c>
      <c r="G1101" t="str">
        <f>IFERROR(INDEX(Region_Map[Region], MATCH(orders[[#This Row],[Customer_Country]], Region_Map[Country], 0)), "Unknown")</f>
        <v>Nordics</v>
      </c>
      <c r="H1101" t="s">
        <v>6949</v>
      </c>
    </row>
    <row r="1102" spans="1:8">
      <c r="A1102" t="s">
        <v>2013</v>
      </c>
      <c r="B1102" t="s">
        <v>548</v>
      </c>
      <c r="C1102" s="1">
        <v>45333</v>
      </c>
      <c r="D1102" s="1" t="str">
        <f>PROPER(orders[[#This Row],[order_priority]])</f>
        <v>Express</v>
      </c>
      <c r="E1102" t="s">
        <v>13318</v>
      </c>
      <c r="F1102" t="str">
        <f>IFERROR(INDEX(customers[country], MATCH(orders[[#This Row],[customer_id]], customers[customer_id], 0)), "Unmapped")</f>
        <v>Sweden</v>
      </c>
      <c r="G1102" t="str">
        <f>IFERROR(INDEX(Region_Map[Region], MATCH(orders[[#This Row],[Customer_Country]], Region_Map[Country], 0)), "Unknown")</f>
        <v>Nordics</v>
      </c>
      <c r="H1102" t="s">
        <v>6949</v>
      </c>
    </row>
    <row r="1103" spans="1:8">
      <c r="A1103" t="s">
        <v>2014</v>
      </c>
      <c r="B1103" t="s">
        <v>473</v>
      </c>
      <c r="C1103" s="1">
        <v>45418</v>
      </c>
      <c r="D1103" s="1" t="str">
        <f>PROPER(orders[[#This Row],[order_priority]])</f>
        <v>Express</v>
      </c>
      <c r="E1103" t="s">
        <v>13318</v>
      </c>
      <c r="F1103" t="str">
        <f>IFERROR(INDEX(customers[country], MATCH(orders[[#This Row],[customer_id]], customers[customer_id], 0)), "Unmapped")</f>
        <v>Netherlands</v>
      </c>
      <c r="G1103" t="str">
        <f>IFERROR(INDEX(Region_Map[Region], MATCH(orders[[#This Row],[Customer_Country]], Region_Map[Country], 0)), "Unknown")</f>
        <v>Central Europe</v>
      </c>
      <c r="H1103" t="s">
        <v>6949</v>
      </c>
    </row>
    <row r="1104" spans="1:8">
      <c r="A1104" t="s">
        <v>2015</v>
      </c>
      <c r="B1104" t="s">
        <v>118</v>
      </c>
      <c r="C1104" s="1">
        <v>45422</v>
      </c>
      <c r="D1104" s="1" t="str">
        <f>PROPER(orders[[#This Row],[order_priority]])</f>
        <v>Express</v>
      </c>
      <c r="E1104" t="s">
        <v>13318</v>
      </c>
      <c r="F1104" t="str">
        <f>IFERROR(INDEX(customers[country], MATCH(orders[[#This Row],[customer_id]], customers[customer_id], 0)), "Unmapped")</f>
        <v>Denmark</v>
      </c>
      <c r="G1104" t="str">
        <f>IFERROR(INDEX(Region_Map[Region], MATCH(orders[[#This Row],[Customer_Country]], Region_Map[Country], 0)), "Unknown")</f>
        <v>Nordics</v>
      </c>
      <c r="H1104" t="s">
        <v>6949</v>
      </c>
    </row>
    <row r="1105" spans="1:8">
      <c r="A1105" t="s">
        <v>2016</v>
      </c>
      <c r="B1105" t="s">
        <v>13339</v>
      </c>
      <c r="C1105" s="1">
        <v>45333</v>
      </c>
      <c r="D1105" s="1" t="str">
        <f>PROPER(orders[[#This Row],[order_priority]])</f>
        <v>Standard</v>
      </c>
      <c r="E1105" t="s">
        <v>13317</v>
      </c>
      <c r="F1105" t="str">
        <f>IFERROR(INDEX(customers[country], MATCH(orders[[#This Row],[customer_id]], customers[customer_id], 0)), "Unmapped")</f>
        <v>Unmapped</v>
      </c>
      <c r="G1105" t="str">
        <f>IFERROR(INDEX(Region_Map[Region], MATCH(orders[[#This Row],[Customer_Country]], Region_Map[Country], 0)), "Unknown")</f>
        <v>Unknown</v>
      </c>
      <c r="H1105" t="s">
        <v>6949</v>
      </c>
    </row>
    <row r="1106" spans="1:8">
      <c r="A1106" t="s">
        <v>2017</v>
      </c>
      <c r="B1106" t="s">
        <v>309</v>
      </c>
      <c r="C1106" s="1">
        <v>45590</v>
      </c>
      <c r="D1106" s="1" t="str">
        <f>PROPER(orders[[#This Row],[order_priority]])</f>
        <v>Economy</v>
      </c>
      <c r="E1106" t="s">
        <v>13316</v>
      </c>
      <c r="F1106" t="str">
        <f>IFERROR(INDEX(customers[country], MATCH(orders[[#This Row],[customer_id]], customers[customer_id], 0)), "Unmapped")</f>
        <v>Lithuania</v>
      </c>
      <c r="G1106" t="str">
        <f>IFERROR(INDEX(Region_Map[Region], MATCH(orders[[#This Row],[Customer_Country]], Region_Map[Country], 0)), "Unknown")</f>
        <v>Baltics</v>
      </c>
      <c r="H1106" t="s">
        <v>6949</v>
      </c>
    </row>
    <row r="1107" spans="1:8">
      <c r="A1107" t="s">
        <v>2018</v>
      </c>
      <c r="B1107" t="s">
        <v>362</v>
      </c>
      <c r="C1107" s="1">
        <v>45374</v>
      </c>
      <c r="D1107" s="1" t="str">
        <f>PROPER(orders[[#This Row],[order_priority]])</f>
        <v>Standard</v>
      </c>
      <c r="E1107" t="s">
        <v>13317</v>
      </c>
      <c r="F1107" t="str">
        <f>IFERROR(INDEX(customers[country], MATCH(orders[[#This Row],[customer_id]], customers[customer_id], 0)), "Unmapped")</f>
        <v>Denmark</v>
      </c>
      <c r="G1107" t="str">
        <f>IFERROR(INDEX(Region_Map[Region], MATCH(orders[[#This Row],[Customer_Country]], Region_Map[Country], 0)), "Unknown")</f>
        <v>Nordics</v>
      </c>
      <c r="H1107" t="s">
        <v>6949</v>
      </c>
    </row>
    <row r="1108" spans="1:8">
      <c r="A1108" t="s">
        <v>2019</v>
      </c>
      <c r="B1108" t="s">
        <v>784</v>
      </c>
      <c r="C1108" s="1">
        <v>44962</v>
      </c>
      <c r="D1108" s="1" t="str">
        <f>PROPER(orders[[#This Row],[order_priority]])</f>
        <v>Standard</v>
      </c>
      <c r="E1108" t="s">
        <v>13317</v>
      </c>
      <c r="F1108" t="str">
        <f>IFERROR(INDEX(customers[country], MATCH(orders[[#This Row],[customer_id]], customers[customer_id], 0)), "Unmapped")</f>
        <v>Estonia</v>
      </c>
      <c r="G1108" t="str">
        <f>IFERROR(INDEX(Region_Map[Region], MATCH(orders[[#This Row],[Customer_Country]], Region_Map[Country], 0)), "Unknown")</f>
        <v>Baltics</v>
      </c>
      <c r="H1108" t="s">
        <v>6949</v>
      </c>
    </row>
    <row r="1109" spans="1:8">
      <c r="A1109" t="s">
        <v>2020</v>
      </c>
      <c r="B1109" t="s">
        <v>664</v>
      </c>
      <c r="C1109" s="1">
        <v>45443</v>
      </c>
      <c r="D1109" s="1" t="str">
        <f>PROPER(orders[[#This Row],[order_priority]])</f>
        <v>Standard</v>
      </c>
      <c r="E1109" t="s">
        <v>13317</v>
      </c>
      <c r="F1109" t="str">
        <f>IFERROR(INDEX(customers[country], MATCH(orders[[#This Row],[customer_id]], customers[customer_id], 0)), "Unmapped")</f>
        <v>Latvia</v>
      </c>
      <c r="G1109" t="str">
        <f>IFERROR(INDEX(Region_Map[Region], MATCH(orders[[#This Row],[Customer_Country]], Region_Map[Country], 0)), "Unknown")</f>
        <v>Baltics</v>
      </c>
      <c r="H1109" t="s">
        <v>6949</v>
      </c>
    </row>
    <row r="1110" spans="1:8">
      <c r="A1110" t="s">
        <v>2021</v>
      </c>
      <c r="B1110" t="s">
        <v>404</v>
      </c>
      <c r="C1110" s="1">
        <v>45290</v>
      </c>
      <c r="D1110" s="1" t="str">
        <f>PROPER(orders[[#This Row],[order_priority]])</f>
        <v>Same Day</v>
      </c>
      <c r="E1110" t="s">
        <v>13324</v>
      </c>
      <c r="F1110" t="str">
        <f>IFERROR(INDEX(customers[country], MATCH(orders[[#This Row],[customer_id]], customers[customer_id], 0)), "Unmapped")</f>
        <v>Latvia</v>
      </c>
      <c r="G1110" t="str">
        <f>IFERROR(INDEX(Region_Map[Region], MATCH(orders[[#This Row],[Customer_Country]], Region_Map[Country], 0)), "Unknown")</f>
        <v>Baltics</v>
      </c>
      <c r="H1110" t="s">
        <v>6949</v>
      </c>
    </row>
    <row r="1111" spans="1:8">
      <c r="A1111" t="s">
        <v>2022</v>
      </c>
      <c r="B1111" t="s">
        <v>234</v>
      </c>
      <c r="C1111" s="1">
        <v>45258</v>
      </c>
      <c r="D1111" s="1" t="str">
        <f>PROPER(orders[[#This Row],[order_priority]])</f>
        <v>Standard</v>
      </c>
      <c r="E1111" t="s">
        <v>13317</v>
      </c>
      <c r="F1111" t="str">
        <f>IFERROR(INDEX(customers[country], MATCH(orders[[#This Row],[customer_id]], customers[customer_id], 0)), "Unmapped")</f>
        <v>Finland</v>
      </c>
      <c r="G1111" t="str">
        <f>IFERROR(INDEX(Region_Map[Region], MATCH(orders[[#This Row],[Customer_Country]], Region_Map[Country], 0)), "Unknown")</f>
        <v>Nordics</v>
      </c>
      <c r="H1111" t="s">
        <v>6949</v>
      </c>
    </row>
    <row r="1112" spans="1:8">
      <c r="A1112" t="s">
        <v>2023</v>
      </c>
      <c r="B1112" t="s">
        <v>163</v>
      </c>
      <c r="C1112" s="1">
        <v>45092</v>
      </c>
      <c r="D1112" s="1" t="str">
        <f>PROPER(orders[[#This Row],[order_priority]])</f>
        <v>Same Day</v>
      </c>
      <c r="E1112" t="s">
        <v>13321</v>
      </c>
      <c r="F1112" t="str">
        <f>IFERROR(INDEX(customers[country], MATCH(orders[[#This Row],[customer_id]], customers[customer_id], 0)), "Unmapped")</f>
        <v>Germany</v>
      </c>
      <c r="G1112" t="str">
        <f>IFERROR(INDEX(Region_Map[Region], MATCH(orders[[#This Row],[Customer_Country]], Region_Map[Country], 0)), "Unknown")</f>
        <v>Central Europe</v>
      </c>
      <c r="H1112" t="s">
        <v>6949</v>
      </c>
    </row>
    <row r="1113" spans="1:8">
      <c r="A1113" t="s">
        <v>2024</v>
      </c>
      <c r="B1113" t="s">
        <v>524</v>
      </c>
      <c r="C1113" s="1">
        <v>45102</v>
      </c>
      <c r="D1113" s="1" t="str">
        <f>PROPER(orders[[#This Row],[order_priority]])</f>
        <v>Standard</v>
      </c>
      <c r="E1113" t="s">
        <v>13317</v>
      </c>
      <c r="F1113" t="str">
        <f>IFERROR(INDEX(customers[country], MATCH(orders[[#This Row],[customer_id]], customers[customer_id], 0)), "Unmapped")</f>
        <v>Norway</v>
      </c>
      <c r="G1113" t="str">
        <f>IFERROR(INDEX(Region_Map[Region], MATCH(orders[[#This Row],[Customer_Country]], Region_Map[Country], 0)), "Unknown")</f>
        <v>Nordics</v>
      </c>
      <c r="H1113" t="s">
        <v>6949</v>
      </c>
    </row>
    <row r="1114" spans="1:8">
      <c r="A1114" t="s">
        <v>2025</v>
      </c>
      <c r="B1114" t="s">
        <v>578</v>
      </c>
      <c r="C1114" s="1">
        <v>45336</v>
      </c>
      <c r="D1114" s="1" t="str">
        <f>PROPER(orders[[#This Row],[order_priority]])</f>
        <v>Express</v>
      </c>
      <c r="E1114" t="s">
        <v>13320</v>
      </c>
      <c r="F1114" t="str">
        <f>IFERROR(INDEX(customers[country], MATCH(orders[[#This Row],[customer_id]], customers[customer_id], 0)), "Unmapped")</f>
        <v>Norway</v>
      </c>
      <c r="G1114" t="str">
        <f>IFERROR(INDEX(Region_Map[Region], MATCH(orders[[#This Row],[Customer_Country]], Region_Map[Country], 0)), "Unknown")</f>
        <v>Nordics</v>
      </c>
      <c r="H1114" t="s">
        <v>6949</v>
      </c>
    </row>
    <row r="1115" spans="1:8">
      <c r="A1115" t="s">
        <v>2026</v>
      </c>
      <c r="B1115" t="s">
        <v>371</v>
      </c>
      <c r="C1115" s="1">
        <v>45322</v>
      </c>
      <c r="D1115" s="1" t="str">
        <f>PROPER(orders[[#This Row],[order_priority]])</f>
        <v>Standard</v>
      </c>
      <c r="E1115" t="s">
        <v>13317</v>
      </c>
      <c r="F1115" t="str">
        <f>IFERROR(INDEX(customers[country], MATCH(orders[[#This Row],[customer_id]], customers[customer_id], 0)), "Unmapped")</f>
        <v>Germany</v>
      </c>
      <c r="G1115" t="str">
        <f>IFERROR(INDEX(Region_Map[Region], MATCH(orders[[#This Row],[Customer_Country]], Region_Map[Country], 0)), "Unknown")</f>
        <v>Central Europe</v>
      </c>
      <c r="H1115" t="s">
        <v>6949</v>
      </c>
    </row>
    <row r="1116" spans="1:8">
      <c r="A1116" t="s">
        <v>2027</v>
      </c>
      <c r="B1116" t="s">
        <v>428</v>
      </c>
      <c r="C1116" s="1">
        <v>45476</v>
      </c>
      <c r="D1116" s="1" t="str">
        <f>PROPER(orders[[#This Row],[order_priority]])</f>
        <v>Same Day</v>
      </c>
      <c r="E1116" t="s">
        <v>13321</v>
      </c>
      <c r="F1116" t="str">
        <f>IFERROR(INDEX(customers[country], MATCH(orders[[#This Row],[customer_id]], customers[customer_id], 0)), "Unmapped")</f>
        <v>Finland</v>
      </c>
      <c r="G1116" t="str">
        <f>IFERROR(INDEX(Region_Map[Region], MATCH(orders[[#This Row],[Customer_Country]], Region_Map[Country], 0)), "Unknown")</f>
        <v>Nordics</v>
      </c>
      <c r="H1116" t="s">
        <v>6949</v>
      </c>
    </row>
    <row r="1117" spans="1:8">
      <c r="A1117" t="s">
        <v>2028</v>
      </c>
      <c r="B1117" t="s">
        <v>458</v>
      </c>
      <c r="C1117" s="1">
        <v>45514</v>
      </c>
      <c r="D1117" s="1" t="str">
        <f>PROPER(orders[[#This Row],[order_priority]])</f>
        <v>Standard</v>
      </c>
      <c r="E1117" t="s">
        <v>13317</v>
      </c>
      <c r="F1117" t="str">
        <f>IFERROR(INDEX(customers[country], MATCH(orders[[#This Row],[customer_id]], customers[customer_id], 0)), "Unmapped")</f>
        <v>Poland</v>
      </c>
      <c r="G1117" t="str">
        <f>IFERROR(INDEX(Region_Map[Region], MATCH(orders[[#This Row],[Customer_Country]], Region_Map[Country], 0)), "Unknown")</f>
        <v>Central Europe</v>
      </c>
      <c r="H1117" t="s">
        <v>6949</v>
      </c>
    </row>
    <row r="1118" spans="1:8">
      <c r="A1118" t="s">
        <v>2029</v>
      </c>
      <c r="B1118" t="s">
        <v>145</v>
      </c>
      <c r="C1118" s="1">
        <v>45530</v>
      </c>
      <c r="D1118" s="1" t="str">
        <f>PROPER(orders[[#This Row],[order_priority]])</f>
        <v>Express</v>
      </c>
      <c r="E1118" t="s">
        <v>13318</v>
      </c>
      <c r="F1118" t="str">
        <f>IFERROR(INDEX(customers[country], MATCH(orders[[#This Row],[customer_id]], customers[customer_id], 0)), "Unmapped")</f>
        <v>Latvia</v>
      </c>
      <c r="G1118" t="str">
        <f>IFERROR(INDEX(Region_Map[Region], MATCH(orders[[#This Row],[Customer_Country]], Region_Map[Country], 0)), "Unknown")</f>
        <v>Baltics</v>
      </c>
      <c r="H1118" t="s">
        <v>6949</v>
      </c>
    </row>
    <row r="1119" spans="1:8">
      <c r="A1119" t="s">
        <v>2030</v>
      </c>
      <c r="B1119" t="s">
        <v>644</v>
      </c>
      <c r="C1119" s="1">
        <v>45550</v>
      </c>
      <c r="D1119" s="1" t="str">
        <f>PROPER(orders[[#This Row],[order_priority]])</f>
        <v>Same Day</v>
      </c>
      <c r="E1119" t="s">
        <v>13324</v>
      </c>
      <c r="F1119" t="str">
        <f>IFERROR(INDEX(customers[country], MATCH(orders[[#This Row],[customer_id]], customers[customer_id], 0)), "Unmapped")</f>
        <v>Germany</v>
      </c>
      <c r="G1119" t="str">
        <f>IFERROR(INDEX(Region_Map[Region], MATCH(orders[[#This Row],[Customer_Country]], Region_Map[Country], 0)), "Unknown")</f>
        <v>Central Europe</v>
      </c>
      <c r="H1119" t="s">
        <v>6949</v>
      </c>
    </row>
    <row r="1120" spans="1:8">
      <c r="A1120" t="s">
        <v>2031</v>
      </c>
      <c r="B1120" t="s">
        <v>377</v>
      </c>
      <c r="C1120" s="1">
        <v>45103</v>
      </c>
      <c r="D1120" s="1" t="str">
        <f>PROPER(orders[[#This Row],[order_priority]])</f>
        <v>Express</v>
      </c>
      <c r="E1120" t="s">
        <v>13318</v>
      </c>
      <c r="F1120" t="str">
        <f>IFERROR(INDEX(customers[country], MATCH(orders[[#This Row],[customer_id]], customers[customer_id], 0)), "Unmapped")</f>
        <v>Denmark</v>
      </c>
      <c r="G1120" t="str">
        <f>IFERROR(INDEX(Region_Map[Region], MATCH(orders[[#This Row],[Customer_Country]], Region_Map[Country], 0)), "Unknown")</f>
        <v>Nordics</v>
      </c>
      <c r="H1120" t="s">
        <v>6949</v>
      </c>
    </row>
    <row r="1121" spans="1:8">
      <c r="A1121" t="s">
        <v>2032</v>
      </c>
      <c r="B1121" t="s">
        <v>166</v>
      </c>
      <c r="C1121" s="1">
        <v>45449</v>
      </c>
      <c r="D1121" s="1" t="str">
        <f>PROPER(orders[[#This Row],[order_priority]])</f>
        <v>Same Day</v>
      </c>
      <c r="E1121" t="s">
        <v>13322</v>
      </c>
      <c r="F1121" t="str">
        <f>IFERROR(INDEX(customers[country], MATCH(orders[[#This Row],[customer_id]], customers[customer_id], 0)), "Unmapped")</f>
        <v>Denmark</v>
      </c>
      <c r="G1121" t="str">
        <f>IFERROR(INDEX(Region_Map[Region], MATCH(orders[[#This Row],[Customer_Country]], Region_Map[Country], 0)), "Unknown")</f>
        <v>Nordics</v>
      </c>
      <c r="H1121" t="s">
        <v>6949</v>
      </c>
    </row>
    <row r="1122" spans="1:8">
      <c r="A1122" t="s">
        <v>2033</v>
      </c>
      <c r="B1122" t="s">
        <v>30</v>
      </c>
      <c r="C1122" s="1">
        <v>45463</v>
      </c>
      <c r="D1122" s="1" t="str">
        <f>PROPER(orders[[#This Row],[order_priority]])</f>
        <v>Economy</v>
      </c>
      <c r="E1122" t="s">
        <v>13316</v>
      </c>
      <c r="F1122" t="str">
        <f>IFERROR(INDEX(customers[country], MATCH(orders[[#This Row],[customer_id]], customers[customer_id], 0)), "Unmapped")</f>
        <v>Netherlands</v>
      </c>
      <c r="G1122" t="str">
        <f>IFERROR(INDEX(Region_Map[Region], MATCH(orders[[#This Row],[Customer_Country]], Region_Map[Country], 0)), "Unknown")</f>
        <v>Central Europe</v>
      </c>
      <c r="H1122" t="s">
        <v>6949</v>
      </c>
    </row>
    <row r="1123" spans="1:8">
      <c r="A1123" t="s">
        <v>2034</v>
      </c>
      <c r="B1123" t="s">
        <v>279</v>
      </c>
      <c r="C1123" s="1">
        <v>45289</v>
      </c>
      <c r="D1123" s="1" t="str">
        <f>PROPER(orders[[#This Row],[order_priority]])</f>
        <v>Same Day</v>
      </c>
      <c r="E1123" t="s">
        <v>13322</v>
      </c>
      <c r="F1123" t="str">
        <f>IFERROR(INDEX(customers[country], MATCH(orders[[#This Row],[customer_id]], customers[customer_id], 0)), "Unmapped")</f>
        <v>Germany</v>
      </c>
      <c r="G1123" t="str">
        <f>IFERROR(INDEX(Region_Map[Region], MATCH(orders[[#This Row],[Customer_Country]], Region_Map[Country], 0)), "Unknown")</f>
        <v>Central Europe</v>
      </c>
      <c r="H1123" t="s">
        <v>6949</v>
      </c>
    </row>
    <row r="1124" spans="1:8">
      <c r="A1124" t="s">
        <v>2035</v>
      </c>
      <c r="B1124" t="s">
        <v>127</v>
      </c>
      <c r="C1124" s="1">
        <v>45356</v>
      </c>
      <c r="D1124" s="1" t="str">
        <f>PROPER(orders[[#This Row],[order_priority]])</f>
        <v>Economy</v>
      </c>
      <c r="E1124" t="s">
        <v>13316</v>
      </c>
      <c r="F1124" t="str">
        <f>IFERROR(INDEX(customers[country], MATCH(orders[[#This Row],[customer_id]], customers[customer_id], 0)), "Unmapped")</f>
        <v>Denmark</v>
      </c>
      <c r="G1124" t="str">
        <f>IFERROR(INDEX(Region_Map[Region], MATCH(orders[[#This Row],[Customer_Country]], Region_Map[Country], 0)), "Unknown")</f>
        <v>Nordics</v>
      </c>
      <c r="H1124" t="s">
        <v>6949</v>
      </c>
    </row>
    <row r="1125" spans="1:8">
      <c r="A1125" t="s">
        <v>2036</v>
      </c>
      <c r="B1125" t="s">
        <v>216</v>
      </c>
      <c r="C1125" s="1">
        <v>45557</v>
      </c>
      <c r="D1125" s="1" t="str">
        <f>PROPER(orders[[#This Row],[order_priority]])</f>
        <v>Express</v>
      </c>
      <c r="E1125" t="s">
        <v>13318</v>
      </c>
      <c r="F1125" t="str">
        <f>IFERROR(INDEX(customers[country], MATCH(orders[[#This Row],[customer_id]], customers[customer_id], 0)), "Unmapped")</f>
        <v>Norway</v>
      </c>
      <c r="G1125" t="str">
        <f>IFERROR(INDEX(Region_Map[Region], MATCH(orders[[#This Row],[Customer_Country]], Region_Map[Country], 0)), "Unknown")</f>
        <v>Nordics</v>
      </c>
      <c r="H1125" t="s">
        <v>6949</v>
      </c>
    </row>
    <row r="1126" spans="1:8">
      <c r="A1126" t="s">
        <v>2037</v>
      </c>
      <c r="B1126" t="s">
        <v>697</v>
      </c>
      <c r="C1126" s="1">
        <v>44971</v>
      </c>
      <c r="D1126" s="1" t="str">
        <f>PROPER(orders[[#This Row],[order_priority]])</f>
        <v>Same Day</v>
      </c>
      <c r="E1126" t="s">
        <v>13322</v>
      </c>
      <c r="F1126" t="str">
        <f>IFERROR(INDEX(customers[country], MATCH(orders[[#This Row],[customer_id]], customers[customer_id], 0)), "Unmapped")</f>
        <v>Estonia</v>
      </c>
      <c r="G1126" t="str">
        <f>IFERROR(INDEX(Region_Map[Region], MATCH(orders[[#This Row],[Customer_Country]], Region_Map[Country], 0)), "Unknown")</f>
        <v>Baltics</v>
      </c>
      <c r="H1126" t="s">
        <v>6949</v>
      </c>
    </row>
    <row r="1127" spans="1:8">
      <c r="A1127" t="s">
        <v>2038</v>
      </c>
      <c r="B1127" t="s">
        <v>843</v>
      </c>
      <c r="C1127" s="1">
        <v>45419</v>
      </c>
      <c r="D1127" s="1" t="str">
        <f>PROPER(orders[[#This Row],[order_priority]])</f>
        <v>Economy</v>
      </c>
      <c r="E1127" t="s">
        <v>13316</v>
      </c>
      <c r="F1127" t="str">
        <f>IFERROR(INDEX(customers[country], MATCH(orders[[#This Row],[customer_id]], customers[customer_id], 0)), "Unmapped")</f>
        <v>Netherlands</v>
      </c>
      <c r="G1127" t="str">
        <f>IFERROR(INDEX(Region_Map[Region], MATCH(orders[[#This Row],[Customer_Country]], Region_Map[Country], 0)), "Unknown")</f>
        <v>Central Europe</v>
      </c>
      <c r="H1127" t="s">
        <v>6949</v>
      </c>
    </row>
    <row r="1128" spans="1:8">
      <c r="A1128" t="s">
        <v>2039</v>
      </c>
      <c r="B1128" t="s">
        <v>246</v>
      </c>
      <c r="C1128" s="1">
        <v>45424</v>
      </c>
      <c r="D1128" s="1" t="str">
        <f>PROPER(orders[[#This Row],[order_priority]])</f>
        <v>Economy</v>
      </c>
      <c r="E1128" t="s">
        <v>13316</v>
      </c>
      <c r="F1128" t="str">
        <f>IFERROR(INDEX(customers[country], MATCH(orders[[#This Row],[customer_id]], customers[customer_id], 0)), "Unmapped")</f>
        <v>Netherlands</v>
      </c>
      <c r="G1128" t="str">
        <f>IFERROR(INDEX(Region_Map[Region], MATCH(orders[[#This Row],[Customer_Country]], Region_Map[Country], 0)), "Unknown")</f>
        <v>Central Europe</v>
      </c>
      <c r="H1128" t="s">
        <v>6949</v>
      </c>
    </row>
    <row r="1129" spans="1:8">
      <c r="A1129" t="s">
        <v>2040</v>
      </c>
      <c r="B1129" t="s">
        <v>843</v>
      </c>
      <c r="C1129" s="1">
        <v>45197</v>
      </c>
      <c r="D1129" s="1" t="str">
        <f>PROPER(orders[[#This Row],[order_priority]])</f>
        <v>Express</v>
      </c>
      <c r="E1129" t="s">
        <v>13318</v>
      </c>
      <c r="F1129" t="str">
        <f>IFERROR(INDEX(customers[country], MATCH(orders[[#This Row],[customer_id]], customers[customer_id], 0)), "Unmapped")</f>
        <v>Netherlands</v>
      </c>
      <c r="G1129" t="str">
        <f>IFERROR(INDEX(Region_Map[Region], MATCH(orders[[#This Row],[Customer_Country]], Region_Map[Country], 0)), "Unknown")</f>
        <v>Central Europe</v>
      </c>
      <c r="H1129" t="s">
        <v>6949</v>
      </c>
    </row>
    <row r="1130" spans="1:8">
      <c r="A1130" t="s">
        <v>2041</v>
      </c>
      <c r="B1130" t="s">
        <v>688</v>
      </c>
      <c r="C1130" s="1">
        <v>44940</v>
      </c>
      <c r="D1130" s="1" t="str">
        <f>PROPER(orders[[#This Row],[order_priority]])</f>
        <v>Same Day</v>
      </c>
      <c r="E1130" t="s">
        <v>13322</v>
      </c>
      <c r="F1130" t="str">
        <f>IFERROR(INDEX(customers[country], MATCH(orders[[#This Row],[customer_id]], customers[customer_id], 0)), "Unmapped")</f>
        <v>Norway</v>
      </c>
      <c r="G1130" t="str">
        <f>IFERROR(INDEX(Region_Map[Region], MATCH(orders[[#This Row],[Customer_Country]], Region_Map[Country], 0)), "Unknown")</f>
        <v>Nordics</v>
      </c>
      <c r="H1130" t="s">
        <v>6949</v>
      </c>
    </row>
    <row r="1131" spans="1:8">
      <c r="A1131" t="s">
        <v>2042</v>
      </c>
      <c r="B1131" t="s">
        <v>903</v>
      </c>
      <c r="C1131" s="1">
        <v>44934</v>
      </c>
      <c r="D1131" s="1" t="str">
        <f>PROPER(orders[[#This Row],[order_priority]])</f>
        <v>Standard</v>
      </c>
      <c r="E1131" t="s">
        <v>13323</v>
      </c>
      <c r="F1131" t="str">
        <f>IFERROR(INDEX(customers[country], MATCH(orders[[#This Row],[customer_id]], customers[customer_id], 0)), "Unmapped")</f>
        <v>Norway</v>
      </c>
      <c r="G1131" t="str">
        <f>IFERROR(INDEX(Region_Map[Region], MATCH(orders[[#This Row],[Customer_Country]], Region_Map[Country], 0)), "Unknown")</f>
        <v>Nordics</v>
      </c>
      <c r="H1131" t="s">
        <v>6949</v>
      </c>
    </row>
    <row r="1132" spans="1:8">
      <c r="A1132" t="s">
        <v>2043</v>
      </c>
      <c r="B1132" t="s">
        <v>80</v>
      </c>
      <c r="C1132" s="1">
        <v>44930</v>
      </c>
      <c r="D1132" s="1" t="str">
        <f>PROPER(orders[[#This Row],[order_priority]])</f>
        <v>Economy</v>
      </c>
      <c r="E1132" t="s">
        <v>13316</v>
      </c>
      <c r="F1132" t="str">
        <f>IFERROR(INDEX(customers[country], MATCH(orders[[#This Row],[customer_id]], customers[customer_id], 0)), "Unmapped")</f>
        <v>Finland</v>
      </c>
      <c r="G1132" t="str">
        <f>IFERROR(INDEX(Region_Map[Region], MATCH(orders[[#This Row],[Customer_Country]], Region_Map[Country], 0)), "Unknown")</f>
        <v>Nordics</v>
      </c>
      <c r="H1132" t="s">
        <v>6949</v>
      </c>
    </row>
    <row r="1133" spans="1:8">
      <c r="A1133" t="s">
        <v>2044</v>
      </c>
      <c r="B1133" t="s">
        <v>655</v>
      </c>
      <c r="C1133" s="1">
        <v>45493</v>
      </c>
      <c r="D1133" s="1" t="str">
        <f>PROPER(orders[[#This Row],[order_priority]])</f>
        <v>Same Day</v>
      </c>
      <c r="E1133" t="s">
        <v>13322</v>
      </c>
      <c r="F1133" t="str">
        <f>IFERROR(INDEX(customers[country], MATCH(orders[[#This Row],[customer_id]], customers[customer_id], 0)), "Unmapped")</f>
        <v>Sweden</v>
      </c>
      <c r="G1133" t="str">
        <f>IFERROR(INDEX(Region_Map[Region], MATCH(orders[[#This Row],[Customer_Country]], Region_Map[Country], 0)), "Unknown")</f>
        <v>Nordics</v>
      </c>
      <c r="H1133" t="s">
        <v>6949</v>
      </c>
    </row>
    <row r="1134" spans="1:8">
      <c r="A1134" t="s">
        <v>2045</v>
      </c>
      <c r="B1134" t="s">
        <v>58</v>
      </c>
      <c r="C1134" s="1">
        <v>45459</v>
      </c>
      <c r="D1134" s="1" t="str">
        <f>PROPER(orders[[#This Row],[order_priority]])</f>
        <v>Same Day</v>
      </c>
      <c r="E1134" t="s">
        <v>13324</v>
      </c>
      <c r="F1134" t="str">
        <f>IFERROR(INDEX(customers[country], MATCH(orders[[#This Row],[customer_id]], customers[customer_id], 0)), "Unmapped")</f>
        <v>Germany</v>
      </c>
      <c r="G1134" t="str">
        <f>IFERROR(INDEX(Region_Map[Region], MATCH(orders[[#This Row],[Customer_Country]], Region_Map[Country], 0)), "Unknown")</f>
        <v>Central Europe</v>
      </c>
      <c r="H1134" t="s">
        <v>6949</v>
      </c>
    </row>
    <row r="1135" spans="1:8">
      <c r="A1135" t="s">
        <v>2046</v>
      </c>
      <c r="B1135" t="s">
        <v>368</v>
      </c>
      <c r="C1135" s="1">
        <v>45159</v>
      </c>
      <c r="D1135" s="1" t="str">
        <f>PROPER(orders[[#This Row],[order_priority]])</f>
        <v>Same Day</v>
      </c>
      <c r="E1135" t="s">
        <v>13322</v>
      </c>
      <c r="F1135" t="str">
        <f>IFERROR(INDEX(customers[country], MATCH(orders[[#This Row],[customer_id]], customers[customer_id], 0)), "Unmapped")</f>
        <v>Poland</v>
      </c>
      <c r="G1135" t="str">
        <f>IFERROR(INDEX(Region_Map[Region], MATCH(orders[[#This Row],[Customer_Country]], Region_Map[Country], 0)), "Unknown")</f>
        <v>Central Europe</v>
      </c>
      <c r="H1135" t="s">
        <v>6949</v>
      </c>
    </row>
    <row r="1136" spans="1:8">
      <c r="A1136" t="s">
        <v>2047</v>
      </c>
      <c r="B1136" t="s">
        <v>181</v>
      </c>
      <c r="C1136" s="1">
        <v>44950</v>
      </c>
      <c r="D1136" s="1" t="str">
        <f>PROPER(orders[[#This Row],[order_priority]])</f>
        <v>Express</v>
      </c>
      <c r="E1136" t="s">
        <v>13320</v>
      </c>
      <c r="F1136" t="str">
        <f>IFERROR(INDEX(customers[country], MATCH(orders[[#This Row],[customer_id]], customers[customer_id], 0)), "Unmapped")</f>
        <v>Netherlands</v>
      </c>
      <c r="G1136" t="str">
        <f>IFERROR(INDEX(Region_Map[Region], MATCH(orders[[#This Row],[Customer_Country]], Region_Map[Country], 0)), "Unknown")</f>
        <v>Central Europe</v>
      </c>
      <c r="H1136" t="s">
        <v>6949</v>
      </c>
    </row>
    <row r="1137" spans="1:8">
      <c r="A1137" t="s">
        <v>2048</v>
      </c>
      <c r="B1137" t="s">
        <v>515</v>
      </c>
      <c r="C1137" s="1">
        <v>45600</v>
      </c>
      <c r="D1137" s="1" t="str">
        <f>PROPER(orders[[#This Row],[order_priority]])</f>
        <v>Economy</v>
      </c>
      <c r="E1137" t="s">
        <v>13316</v>
      </c>
      <c r="F1137" t="str">
        <f>IFERROR(INDEX(customers[country], MATCH(orders[[#This Row],[customer_id]], customers[customer_id], 0)), "Unmapped")</f>
        <v>Latvia</v>
      </c>
      <c r="G1137" t="str">
        <f>IFERROR(INDEX(Region_Map[Region], MATCH(orders[[#This Row],[Customer_Country]], Region_Map[Country], 0)), "Unknown")</f>
        <v>Baltics</v>
      </c>
      <c r="H1137" t="s">
        <v>6949</v>
      </c>
    </row>
    <row r="1138" spans="1:8">
      <c r="A1138" t="s">
        <v>2049</v>
      </c>
      <c r="B1138" t="s">
        <v>338</v>
      </c>
      <c r="C1138" s="1">
        <v>45168</v>
      </c>
      <c r="D1138" s="1" t="str">
        <f>PROPER(orders[[#This Row],[order_priority]])</f>
        <v>Standard</v>
      </c>
      <c r="E1138" t="s">
        <v>13317</v>
      </c>
      <c r="F1138" t="str">
        <f>IFERROR(INDEX(customers[country], MATCH(orders[[#This Row],[customer_id]], customers[customer_id], 0)), "Unmapped")</f>
        <v>Denmark</v>
      </c>
      <c r="G1138" t="str">
        <f>IFERROR(INDEX(Region_Map[Region], MATCH(orders[[#This Row],[Customer_Country]], Region_Map[Country], 0)), "Unknown")</f>
        <v>Nordics</v>
      </c>
      <c r="H1138" t="s">
        <v>6949</v>
      </c>
    </row>
    <row r="1139" spans="1:8">
      <c r="A1139" t="s">
        <v>2050</v>
      </c>
      <c r="B1139" t="s">
        <v>852</v>
      </c>
      <c r="C1139" s="1">
        <v>45467</v>
      </c>
      <c r="D1139" s="1" t="str">
        <f>PROPER(orders[[#This Row],[order_priority]])</f>
        <v>Economy</v>
      </c>
      <c r="E1139" t="s">
        <v>13316</v>
      </c>
      <c r="F1139" t="str">
        <f>IFERROR(INDEX(customers[country], MATCH(orders[[#This Row],[customer_id]], customers[customer_id], 0)), "Unmapped")</f>
        <v>Sweden</v>
      </c>
      <c r="G1139" t="str">
        <f>IFERROR(INDEX(Region_Map[Region], MATCH(orders[[#This Row],[Customer_Country]], Region_Map[Country], 0)), "Unknown")</f>
        <v>Nordics</v>
      </c>
      <c r="H1139" t="s">
        <v>6949</v>
      </c>
    </row>
    <row r="1140" spans="1:8">
      <c r="A1140" t="s">
        <v>2051</v>
      </c>
      <c r="B1140" t="s">
        <v>909</v>
      </c>
      <c r="C1140" s="1">
        <v>45101</v>
      </c>
      <c r="D1140" s="1" t="str">
        <f>PROPER(orders[[#This Row],[order_priority]])</f>
        <v>Economy</v>
      </c>
      <c r="E1140" t="s">
        <v>13316</v>
      </c>
      <c r="F1140" t="str">
        <f>IFERROR(INDEX(customers[country], MATCH(orders[[#This Row],[customer_id]], customers[customer_id], 0)), "Unmapped")</f>
        <v>Poland</v>
      </c>
      <c r="G1140" t="str">
        <f>IFERROR(INDEX(Region_Map[Region], MATCH(orders[[#This Row],[Customer_Country]], Region_Map[Country], 0)), "Unknown")</f>
        <v>Central Europe</v>
      </c>
      <c r="H1140" t="s">
        <v>6949</v>
      </c>
    </row>
    <row r="1141" spans="1:8">
      <c r="A1141" t="s">
        <v>2052</v>
      </c>
      <c r="B1141" t="s">
        <v>237</v>
      </c>
      <c r="C1141" s="1">
        <v>45408</v>
      </c>
      <c r="D1141" s="1" t="str">
        <f>PROPER(orders[[#This Row],[order_priority]])</f>
        <v>Same Day</v>
      </c>
      <c r="E1141" t="s">
        <v>13322</v>
      </c>
      <c r="F1141" t="str">
        <f>IFERROR(INDEX(customers[country], MATCH(orders[[#This Row],[customer_id]], customers[customer_id], 0)), "Unmapped")</f>
        <v>Sweden</v>
      </c>
      <c r="G1141" t="str">
        <f>IFERROR(INDEX(Region_Map[Region], MATCH(orders[[#This Row],[Customer_Country]], Region_Map[Country], 0)), "Unknown")</f>
        <v>Nordics</v>
      </c>
      <c r="H1141" t="s">
        <v>6949</v>
      </c>
    </row>
    <row r="1142" spans="1:8">
      <c r="A1142" t="s">
        <v>2053</v>
      </c>
      <c r="B1142" t="s">
        <v>240</v>
      </c>
      <c r="C1142" s="1">
        <v>45071</v>
      </c>
      <c r="D1142" s="1" t="str">
        <f>PROPER(orders[[#This Row],[order_priority]])</f>
        <v>Express</v>
      </c>
      <c r="E1142" t="s">
        <v>13320</v>
      </c>
      <c r="F1142" t="str">
        <f>IFERROR(INDEX(customers[country], MATCH(orders[[#This Row],[customer_id]], customers[customer_id], 0)), "Unmapped")</f>
        <v>Lithuania</v>
      </c>
      <c r="G1142" t="str">
        <f>IFERROR(INDEX(Region_Map[Region], MATCH(orders[[#This Row],[Customer_Country]], Region_Map[Country], 0)), "Unknown")</f>
        <v>Baltics</v>
      </c>
      <c r="H1142" t="s">
        <v>6949</v>
      </c>
    </row>
    <row r="1143" spans="1:8">
      <c r="A1143" t="s">
        <v>2054</v>
      </c>
      <c r="B1143" t="s">
        <v>661</v>
      </c>
      <c r="C1143" s="1">
        <v>45341</v>
      </c>
      <c r="D1143" s="1" t="str">
        <f>PROPER(orders[[#This Row],[order_priority]])</f>
        <v>Same Day</v>
      </c>
      <c r="E1143" t="s">
        <v>13324</v>
      </c>
      <c r="F1143" t="str">
        <f>IFERROR(INDEX(customers[country], MATCH(orders[[#This Row],[customer_id]], customers[customer_id], 0)), "Unmapped")</f>
        <v>Lithuania</v>
      </c>
      <c r="G1143" t="str">
        <f>IFERROR(INDEX(Region_Map[Region], MATCH(orders[[#This Row],[Customer_Country]], Region_Map[Country], 0)), "Unknown")</f>
        <v>Baltics</v>
      </c>
      <c r="H1143" t="s">
        <v>6949</v>
      </c>
    </row>
    <row r="1144" spans="1:8">
      <c r="A1144" t="s">
        <v>2055</v>
      </c>
      <c r="B1144" t="s">
        <v>306</v>
      </c>
      <c r="C1144" s="1">
        <v>45613</v>
      </c>
      <c r="D1144" s="1" t="str">
        <f>PROPER(orders[[#This Row],[order_priority]])</f>
        <v>Same Day</v>
      </c>
      <c r="E1144" t="s">
        <v>13322</v>
      </c>
      <c r="F1144" t="str">
        <f>IFERROR(INDEX(customers[country], MATCH(orders[[#This Row],[customer_id]], customers[customer_id], 0)), "Unmapped")</f>
        <v>Estonia</v>
      </c>
      <c r="G1144" t="str">
        <f>IFERROR(INDEX(Region_Map[Region], MATCH(orders[[#This Row],[Customer_Country]], Region_Map[Country], 0)), "Unknown")</f>
        <v>Baltics</v>
      </c>
      <c r="H1144" t="s">
        <v>6949</v>
      </c>
    </row>
    <row r="1145" spans="1:8">
      <c r="A1145" t="s">
        <v>2056</v>
      </c>
      <c r="B1145" t="s">
        <v>222</v>
      </c>
      <c r="C1145" s="1">
        <v>44944</v>
      </c>
      <c r="D1145" s="1" t="str">
        <f>PROPER(orders[[#This Row],[order_priority]])</f>
        <v>Standard</v>
      </c>
      <c r="E1145" t="s">
        <v>13323</v>
      </c>
      <c r="F1145" t="str">
        <f>IFERROR(INDEX(customers[country], MATCH(orders[[#This Row],[customer_id]], customers[customer_id], 0)), "Unmapped")</f>
        <v>Norway</v>
      </c>
      <c r="G1145" t="str">
        <f>IFERROR(INDEX(Region_Map[Region], MATCH(orders[[#This Row],[Customer_Country]], Region_Map[Country], 0)), "Unknown")</f>
        <v>Nordics</v>
      </c>
      <c r="H1145" t="s">
        <v>6949</v>
      </c>
    </row>
    <row r="1146" spans="1:8">
      <c r="A1146" t="s">
        <v>2057</v>
      </c>
      <c r="B1146" t="s">
        <v>243</v>
      </c>
      <c r="C1146" s="1">
        <v>45470</v>
      </c>
      <c r="D1146" s="1" t="str">
        <f>PROPER(orders[[#This Row],[order_priority]])</f>
        <v>Economy</v>
      </c>
      <c r="E1146" t="s">
        <v>13316</v>
      </c>
      <c r="F1146" t="str">
        <f>IFERROR(INDEX(customers[country], MATCH(orders[[#This Row],[customer_id]], customers[customer_id], 0)), "Unmapped")</f>
        <v>Netherlands</v>
      </c>
      <c r="G1146" t="str">
        <f>IFERROR(INDEX(Region_Map[Region], MATCH(orders[[#This Row],[Customer_Country]], Region_Map[Country], 0)), "Unknown")</f>
        <v>Central Europe</v>
      </c>
      <c r="H1146" t="s">
        <v>6949</v>
      </c>
    </row>
    <row r="1147" spans="1:8">
      <c r="A1147" t="s">
        <v>2058</v>
      </c>
      <c r="B1147" t="s">
        <v>371</v>
      </c>
      <c r="C1147" s="1">
        <v>45296</v>
      </c>
      <c r="D1147" s="1" t="str">
        <f>PROPER(orders[[#This Row],[order_priority]])</f>
        <v>Express</v>
      </c>
      <c r="E1147" t="s">
        <v>13318</v>
      </c>
      <c r="F1147" t="str">
        <f>IFERROR(INDEX(customers[country], MATCH(orders[[#This Row],[customer_id]], customers[customer_id], 0)), "Unmapped")</f>
        <v>Germany</v>
      </c>
      <c r="G1147" t="str">
        <f>IFERROR(INDEX(Region_Map[Region], MATCH(orders[[#This Row],[Customer_Country]], Region_Map[Country], 0)), "Unknown")</f>
        <v>Central Europe</v>
      </c>
      <c r="H1147" t="s">
        <v>6949</v>
      </c>
    </row>
    <row r="1148" spans="1:8">
      <c r="A1148" t="s">
        <v>2059</v>
      </c>
      <c r="B1148" t="s">
        <v>494</v>
      </c>
      <c r="C1148" s="1">
        <v>45200</v>
      </c>
      <c r="D1148" s="1" t="str">
        <f>PROPER(orders[[#This Row],[order_priority]])</f>
        <v>Economy</v>
      </c>
      <c r="E1148" t="s">
        <v>13325</v>
      </c>
      <c r="F1148" t="str">
        <f>IFERROR(INDEX(customers[country], MATCH(orders[[#This Row],[customer_id]], customers[customer_id], 0)), "Unmapped")</f>
        <v>Sweden</v>
      </c>
      <c r="G1148" t="str">
        <f>IFERROR(INDEX(Region_Map[Region], MATCH(orders[[#This Row],[Customer_Country]], Region_Map[Country], 0)), "Unknown")</f>
        <v>Nordics</v>
      </c>
      <c r="H1148" t="s">
        <v>6949</v>
      </c>
    </row>
    <row r="1149" spans="1:8">
      <c r="A1149" t="s">
        <v>2060</v>
      </c>
      <c r="B1149" t="s">
        <v>840</v>
      </c>
      <c r="C1149" s="1">
        <v>45260</v>
      </c>
      <c r="D1149" s="1" t="str">
        <f>PROPER(orders[[#This Row],[order_priority]])</f>
        <v>Economy</v>
      </c>
      <c r="E1149" t="s">
        <v>13316</v>
      </c>
      <c r="F1149" t="str">
        <f>IFERROR(INDEX(customers[country], MATCH(orders[[#This Row],[customer_id]], customers[customer_id], 0)), "Unmapped")</f>
        <v>Finland</v>
      </c>
      <c r="G1149" t="str">
        <f>IFERROR(INDEX(Region_Map[Region], MATCH(orders[[#This Row],[Customer_Country]], Region_Map[Country], 0)), "Unknown")</f>
        <v>Nordics</v>
      </c>
      <c r="H1149" t="s">
        <v>6949</v>
      </c>
    </row>
    <row r="1150" spans="1:8">
      <c r="A1150" t="s">
        <v>2061</v>
      </c>
      <c r="B1150" t="s">
        <v>673</v>
      </c>
      <c r="C1150" s="1">
        <v>45514</v>
      </c>
      <c r="D1150" s="1" t="str">
        <f>PROPER(orders[[#This Row],[order_priority]])</f>
        <v>Express</v>
      </c>
      <c r="E1150" t="s">
        <v>13318</v>
      </c>
      <c r="F1150" t="str">
        <f>IFERROR(INDEX(customers[country], MATCH(orders[[#This Row],[customer_id]], customers[customer_id], 0)), "Unmapped")</f>
        <v>Sweden</v>
      </c>
      <c r="G1150" t="str">
        <f>IFERROR(INDEX(Region_Map[Region], MATCH(orders[[#This Row],[Customer_Country]], Region_Map[Country], 0)), "Unknown")</f>
        <v>Nordics</v>
      </c>
      <c r="H1150" t="s">
        <v>6949</v>
      </c>
    </row>
    <row r="1151" spans="1:8">
      <c r="A1151" t="s">
        <v>2062</v>
      </c>
      <c r="B1151" t="s">
        <v>317</v>
      </c>
      <c r="C1151" s="1">
        <v>45391</v>
      </c>
      <c r="D1151" s="1" t="str">
        <f>PROPER(orders[[#This Row],[order_priority]])</f>
        <v>Same Day</v>
      </c>
      <c r="E1151" t="s">
        <v>13322</v>
      </c>
      <c r="F1151" t="str">
        <f>IFERROR(INDEX(customers[country], MATCH(orders[[#This Row],[customer_id]], customers[customer_id], 0)), "Unmapped")</f>
        <v>Sweden</v>
      </c>
      <c r="G1151" t="str">
        <f>IFERROR(INDEX(Region_Map[Region], MATCH(orders[[#This Row],[Customer_Country]], Region_Map[Country], 0)), "Unknown")</f>
        <v>Nordics</v>
      </c>
      <c r="H1151" t="s">
        <v>6949</v>
      </c>
    </row>
    <row r="1152" spans="1:8">
      <c r="A1152" t="s">
        <v>2063</v>
      </c>
      <c r="B1152" t="s">
        <v>383</v>
      </c>
      <c r="C1152" s="1">
        <v>45516</v>
      </c>
      <c r="D1152" s="1" t="str">
        <f>PROPER(orders[[#This Row],[order_priority]])</f>
        <v>Economy</v>
      </c>
      <c r="E1152" t="s">
        <v>13316</v>
      </c>
      <c r="F1152" t="str">
        <f>IFERROR(INDEX(customers[country], MATCH(orders[[#This Row],[customer_id]], customers[customer_id], 0)), "Unmapped")</f>
        <v>Germany</v>
      </c>
      <c r="G1152" t="str">
        <f>IFERROR(INDEX(Region_Map[Region], MATCH(orders[[#This Row],[Customer_Country]], Region_Map[Country], 0)), "Unknown")</f>
        <v>Central Europe</v>
      </c>
      <c r="H1152" t="s">
        <v>6949</v>
      </c>
    </row>
    <row r="1153" spans="1:8">
      <c r="A1153" t="s">
        <v>2064</v>
      </c>
      <c r="B1153" t="s">
        <v>491</v>
      </c>
      <c r="C1153" s="1">
        <v>45154</v>
      </c>
      <c r="D1153" s="1" t="str">
        <f>PROPER(orders[[#This Row],[order_priority]])</f>
        <v>Express</v>
      </c>
      <c r="E1153" t="s">
        <v>13318</v>
      </c>
      <c r="F1153" t="str">
        <f>IFERROR(INDEX(customers[country], MATCH(orders[[#This Row],[customer_id]], customers[customer_id], 0)), "Unmapped")</f>
        <v>Latvia</v>
      </c>
      <c r="G1153" t="str">
        <f>IFERROR(INDEX(Region_Map[Region], MATCH(orders[[#This Row],[Customer_Country]], Region_Map[Country], 0)), "Unknown")</f>
        <v>Baltics</v>
      </c>
      <c r="H1153" t="s">
        <v>6949</v>
      </c>
    </row>
    <row r="1154" spans="1:8">
      <c r="A1154" t="s">
        <v>2065</v>
      </c>
      <c r="B1154" t="s">
        <v>273</v>
      </c>
      <c r="C1154" s="1">
        <v>45503</v>
      </c>
      <c r="D1154" s="1" t="str">
        <f>PROPER(orders[[#This Row],[order_priority]])</f>
        <v>Express</v>
      </c>
      <c r="E1154" t="s">
        <v>13320</v>
      </c>
      <c r="F1154" t="str">
        <f>IFERROR(INDEX(customers[country], MATCH(orders[[#This Row],[customer_id]], customers[customer_id], 0)), "Unmapped")</f>
        <v>Norway</v>
      </c>
      <c r="G1154" t="str">
        <f>IFERROR(INDEX(Region_Map[Region], MATCH(orders[[#This Row],[Customer_Country]], Region_Map[Country], 0)), "Unknown")</f>
        <v>Nordics</v>
      </c>
      <c r="H1154" t="s">
        <v>6949</v>
      </c>
    </row>
    <row r="1155" spans="1:8">
      <c r="A1155" t="s">
        <v>2066</v>
      </c>
      <c r="B1155" t="s">
        <v>350</v>
      </c>
      <c r="C1155" s="1">
        <v>45217</v>
      </c>
      <c r="D1155" s="1" t="str">
        <f>PROPER(orders[[#This Row],[order_priority]])</f>
        <v>Same Day</v>
      </c>
      <c r="E1155" t="s">
        <v>13322</v>
      </c>
      <c r="F1155" t="str">
        <f>IFERROR(INDEX(customers[country], MATCH(orders[[#This Row],[customer_id]], customers[customer_id], 0)), "Unmapped")</f>
        <v>Netherlands</v>
      </c>
      <c r="G1155" t="str">
        <f>IFERROR(INDEX(Region_Map[Region], MATCH(orders[[#This Row],[Customer_Country]], Region_Map[Country], 0)), "Unknown")</f>
        <v>Central Europe</v>
      </c>
      <c r="H1155" t="s">
        <v>6949</v>
      </c>
    </row>
    <row r="1156" spans="1:8">
      <c r="A1156" t="s">
        <v>2067</v>
      </c>
      <c r="B1156" t="s">
        <v>524</v>
      </c>
      <c r="C1156" s="1">
        <v>45155</v>
      </c>
      <c r="D1156" s="1" t="str">
        <f>PROPER(orders[[#This Row],[order_priority]])</f>
        <v>Same Day</v>
      </c>
      <c r="E1156" t="s">
        <v>13322</v>
      </c>
      <c r="F1156" t="str">
        <f>IFERROR(INDEX(customers[country], MATCH(orders[[#This Row],[customer_id]], customers[customer_id], 0)), "Unmapped")</f>
        <v>Norway</v>
      </c>
      <c r="G1156" t="str">
        <f>IFERROR(INDEX(Region_Map[Region], MATCH(orders[[#This Row],[Customer_Country]], Region_Map[Country], 0)), "Unknown")</f>
        <v>Nordics</v>
      </c>
      <c r="H1156" t="s">
        <v>6949</v>
      </c>
    </row>
    <row r="1157" spans="1:8">
      <c r="A1157" t="s">
        <v>2068</v>
      </c>
      <c r="B1157" t="s">
        <v>575</v>
      </c>
      <c r="C1157" s="1">
        <v>45593</v>
      </c>
      <c r="D1157" s="1" t="str">
        <f>PROPER(orders[[#This Row],[order_priority]])</f>
        <v>Express</v>
      </c>
      <c r="E1157" t="s">
        <v>13326</v>
      </c>
      <c r="F1157" t="str">
        <f>IFERROR(INDEX(customers[country], MATCH(orders[[#This Row],[customer_id]], customers[customer_id], 0)), "Unmapped")</f>
        <v>Netherlands</v>
      </c>
      <c r="G1157" t="str">
        <f>IFERROR(INDEX(Region_Map[Region], MATCH(orders[[#This Row],[Customer_Country]], Region_Map[Country], 0)), "Unknown")</f>
        <v>Central Europe</v>
      </c>
      <c r="H1157" t="s">
        <v>6949</v>
      </c>
    </row>
    <row r="1158" spans="1:8">
      <c r="A1158" t="s">
        <v>2069</v>
      </c>
      <c r="B1158" t="s">
        <v>545</v>
      </c>
      <c r="C1158" s="1">
        <v>45194</v>
      </c>
      <c r="D1158" s="1" t="str">
        <f>PROPER(orders[[#This Row],[order_priority]])</f>
        <v>Express</v>
      </c>
      <c r="E1158" t="s">
        <v>13318</v>
      </c>
      <c r="F1158" t="str">
        <f>IFERROR(INDEX(customers[country], MATCH(orders[[#This Row],[customer_id]], customers[customer_id], 0)), "Unmapped")</f>
        <v>Netherlands</v>
      </c>
      <c r="G1158" t="str">
        <f>IFERROR(INDEX(Region_Map[Region], MATCH(orders[[#This Row],[Customer_Country]], Region_Map[Country], 0)), "Unknown")</f>
        <v>Central Europe</v>
      </c>
      <c r="H1158" t="s">
        <v>6949</v>
      </c>
    </row>
    <row r="1159" spans="1:8">
      <c r="A1159" t="s">
        <v>2070</v>
      </c>
      <c r="B1159" t="s">
        <v>136</v>
      </c>
      <c r="C1159" s="1">
        <v>45572</v>
      </c>
      <c r="D1159" s="1" t="str">
        <f>PROPER(orders[[#This Row],[order_priority]])</f>
        <v>Economy</v>
      </c>
      <c r="E1159" t="s">
        <v>13316</v>
      </c>
      <c r="F1159" t="str">
        <f>IFERROR(INDEX(customers[country], MATCH(orders[[#This Row],[customer_id]], customers[customer_id], 0)), "Unmapped")</f>
        <v>Sweden</v>
      </c>
      <c r="G1159" t="str">
        <f>IFERROR(INDEX(Region_Map[Region], MATCH(orders[[#This Row],[Customer_Country]], Region_Map[Country], 0)), "Unknown")</f>
        <v>Nordics</v>
      </c>
      <c r="H1159" t="s">
        <v>6949</v>
      </c>
    </row>
    <row r="1160" spans="1:8">
      <c r="A1160" t="s">
        <v>2071</v>
      </c>
      <c r="B1160" t="s">
        <v>255</v>
      </c>
      <c r="C1160" s="1">
        <v>44946</v>
      </c>
      <c r="D1160" s="1" t="str">
        <f>PROPER(orders[[#This Row],[order_priority]])</f>
        <v>Express</v>
      </c>
      <c r="E1160" t="s">
        <v>13318</v>
      </c>
      <c r="F1160" t="str">
        <f>IFERROR(INDEX(customers[country], MATCH(orders[[#This Row],[customer_id]], customers[customer_id], 0)), "Unmapped")</f>
        <v>Sweden</v>
      </c>
      <c r="G1160" t="str">
        <f>IFERROR(INDEX(Region_Map[Region], MATCH(orders[[#This Row],[Customer_Country]], Region_Map[Country], 0)), "Unknown")</f>
        <v>Nordics</v>
      </c>
      <c r="H1160" t="s">
        <v>6949</v>
      </c>
    </row>
    <row r="1161" spans="1:8">
      <c r="A1161" t="s">
        <v>2072</v>
      </c>
      <c r="B1161" t="s">
        <v>733</v>
      </c>
      <c r="C1161" s="1">
        <v>45002</v>
      </c>
      <c r="D1161" s="1" t="str">
        <f>PROPER(orders[[#This Row],[order_priority]])</f>
        <v>Same Day</v>
      </c>
      <c r="E1161" t="s">
        <v>13322</v>
      </c>
      <c r="F1161" t="str">
        <f>IFERROR(INDEX(customers[country], MATCH(orders[[#This Row],[customer_id]], customers[customer_id], 0)), "Unmapped")</f>
        <v>Lithuania</v>
      </c>
      <c r="G1161" t="str">
        <f>IFERROR(INDEX(Region_Map[Region], MATCH(orders[[#This Row],[Customer_Country]], Region_Map[Country], 0)), "Unknown")</f>
        <v>Baltics</v>
      </c>
      <c r="H1161" t="s">
        <v>6949</v>
      </c>
    </row>
    <row r="1162" spans="1:8">
      <c r="A1162" t="s">
        <v>2073</v>
      </c>
      <c r="B1162" t="s">
        <v>118</v>
      </c>
      <c r="C1162" s="1">
        <v>45269</v>
      </c>
      <c r="D1162" s="1" t="str">
        <f>PROPER(orders[[#This Row],[order_priority]])</f>
        <v>Same Day</v>
      </c>
      <c r="E1162" t="s">
        <v>13322</v>
      </c>
      <c r="F1162" t="str">
        <f>IFERROR(INDEX(customers[country], MATCH(orders[[#This Row],[customer_id]], customers[customer_id], 0)), "Unmapped")</f>
        <v>Denmark</v>
      </c>
      <c r="G1162" t="str">
        <f>IFERROR(INDEX(Region_Map[Region], MATCH(orders[[#This Row],[Customer_Country]], Region_Map[Country], 0)), "Unknown")</f>
        <v>Nordics</v>
      </c>
      <c r="H1162" t="s">
        <v>6949</v>
      </c>
    </row>
    <row r="1163" spans="1:8">
      <c r="A1163" t="s">
        <v>2074</v>
      </c>
      <c r="B1163" t="s">
        <v>870</v>
      </c>
      <c r="C1163" s="1">
        <v>44949</v>
      </c>
      <c r="D1163" s="1" t="str">
        <f>PROPER(orders[[#This Row],[order_priority]])</f>
        <v>Economy</v>
      </c>
      <c r="E1163" t="s">
        <v>13316</v>
      </c>
      <c r="F1163" t="str">
        <f>IFERROR(INDEX(customers[country], MATCH(orders[[#This Row],[customer_id]], customers[customer_id], 0)), "Unmapped")</f>
        <v>Estonia</v>
      </c>
      <c r="G1163" t="str">
        <f>IFERROR(INDEX(Region_Map[Region], MATCH(orders[[#This Row],[Customer_Country]], Region_Map[Country], 0)), "Unknown")</f>
        <v>Baltics</v>
      </c>
      <c r="H1163" t="s">
        <v>6949</v>
      </c>
    </row>
    <row r="1164" spans="1:8">
      <c r="A1164" t="s">
        <v>2075</v>
      </c>
      <c r="B1164" t="s">
        <v>252</v>
      </c>
      <c r="C1164" s="1">
        <v>45233</v>
      </c>
      <c r="D1164" s="1" t="str">
        <f>PROPER(orders[[#This Row],[order_priority]])</f>
        <v>Economy</v>
      </c>
      <c r="E1164" t="s">
        <v>13316</v>
      </c>
      <c r="F1164" t="str">
        <f>IFERROR(INDEX(customers[country], MATCH(orders[[#This Row],[customer_id]], customers[customer_id], 0)), "Unmapped")</f>
        <v>Lithuania</v>
      </c>
      <c r="G1164" t="str">
        <f>IFERROR(INDEX(Region_Map[Region], MATCH(orders[[#This Row],[Customer_Country]], Region_Map[Country], 0)), "Unknown")</f>
        <v>Baltics</v>
      </c>
      <c r="H1164" t="s">
        <v>6949</v>
      </c>
    </row>
    <row r="1165" spans="1:8">
      <c r="A1165" t="s">
        <v>2076</v>
      </c>
      <c r="B1165" t="s">
        <v>876</v>
      </c>
      <c r="C1165" s="1">
        <v>45222</v>
      </c>
      <c r="D1165" s="1" t="str">
        <f>PROPER(orders[[#This Row],[order_priority]])</f>
        <v>Economy</v>
      </c>
      <c r="E1165" t="s">
        <v>13316</v>
      </c>
      <c r="F1165" t="str">
        <f>IFERROR(INDEX(customers[country], MATCH(orders[[#This Row],[customer_id]], customers[customer_id], 0)), "Unmapped")</f>
        <v>Estonia</v>
      </c>
      <c r="G1165" t="str">
        <f>IFERROR(INDEX(Region_Map[Region], MATCH(orders[[#This Row],[Customer_Country]], Region_Map[Country], 0)), "Unknown")</f>
        <v>Baltics</v>
      </c>
      <c r="H1165" t="s">
        <v>6949</v>
      </c>
    </row>
    <row r="1166" spans="1:8">
      <c r="A1166" t="s">
        <v>2077</v>
      </c>
      <c r="B1166" t="s">
        <v>118</v>
      </c>
      <c r="C1166" s="1">
        <v>45389</v>
      </c>
      <c r="D1166" s="1" t="str">
        <f>PROPER(orders[[#This Row],[order_priority]])</f>
        <v>Express</v>
      </c>
      <c r="E1166" t="s">
        <v>13318</v>
      </c>
      <c r="F1166" t="str">
        <f>IFERROR(INDEX(customers[country], MATCH(orders[[#This Row],[customer_id]], customers[customer_id], 0)), "Unmapped")</f>
        <v>Denmark</v>
      </c>
      <c r="G1166" t="str">
        <f>IFERROR(INDEX(Region_Map[Region], MATCH(orders[[#This Row],[Customer_Country]], Region_Map[Country], 0)), "Unknown")</f>
        <v>Nordics</v>
      </c>
      <c r="H1166" t="s">
        <v>6949</v>
      </c>
    </row>
    <row r="1167" spans="1:8">
      <c r="A1167" t="s">
        <v>2078</v>
      </c>
      <c r="B1167" t="s">
        <v>374</v>
      </c>
      <c r="C1167" s="1">
        <v>45536</v>
      </c>
      <c r="D1167" s="1" t="str">
        <f>PROPER(orders[[#This Row],[order_priority]])</f>
        <v>Same Day</v>
      </c>
      <c r="E1167" t="s">
        <v>13322</v>
      </c>
      <c r="F1167" t="str">
        <f>IFERROR(INDEX(customers[country], MATCH(orders[[#This Row],[customer_id]], customers[customer_id], 0)), "Unmapped")</f>
        <v>Estonia</v>
      </c>
      <c r="G1167" t="str">
        <f>IFERROR(INDEX(Region_Map[Region], MATCH(orders[[#This Row],[Customer_Country]], Region_Map[Country], 0)), "Unknown")</f>
        <v>Baltics</v>
      </c>
      <c r="H1167" t="s">
        <v>6949</v>
      </c>
    </row>
    <row r="1168" spans="1:8">
      <c r="A1168" t="s">
        <v>2079</v>
      </c>
      <c r="B1168" t="s">
        <v>270</v>
      </c>
      <c r="C1168" s="1">
        <v>44994</v>
      </c>
      <c r="D1168" s="1" t="str">
        <f>PROPER(orders[[#This Row],[order_priority]])</f>
        <v>Same Day</v>
      </c>
      <c r="E1168" t="s">
        <v>13322</v>
      </c>
      <c r="F1168" t="str">
        <f>IFERROR(INDEX(customers[country], MATCH(orders[[#This Row],[customer_id]], customers[customer_id], 0)), "Unmapped")</f>
        <v>Poland</v>
      </c>
      <c r="G1168" t="str">
        <f>IFERROR(INDEX(Region_Map[Region], MATCH(orders[[#This Row],[Customer_Country]], Region_Map[Country], 0)), "Unknown")</f>
        <v>Central Europe</v>
      </c>
      <c r="H1168" t="s">
        <v>6949</v>
      </c>
    </row>
    <row r="1169" spans="1:8">
      <c r="A1169" t="s">
        <v>2080</v>
      </c>
      <c r="B1169" t="s">
        <v>419</v>
      </c>
      <c r="C1169" s="1">
        <v>45053</v>
      </c>
      <c r="D1169" s="1" t="str">
        <f>PROPER(orders[[#This Row],[order_priority]])</f>
        <v>Express</v>
      </c>
      <c r="E1169" t="s">
        <v>13318</v>
      </c>
      <c r="F1169" t="str">
        <f>IFERROR(INDEX(customers[country], MATCH(orders[[#This Row],[customer_id]], customers[customer_id], 0)), "Unmapped")</f>
        <v>Estonia</v>
      </c>
      <c r="G1169" t="str">
        <f>IFERROR(INDEX(Region_Map[Region], MATCH(orders[[#This Row],[Customer_Country]], Region_Map[Country], 0)), "Unknown")</f>
        <v>Baltics</v>
      </c>
      <c r="H1169" t="s">
        <v>6949</v>
      </c>
    </row>
    <row r="1170" spans="1:8">
      <c r="A1170" t="s">
        <v>2081</v>
      </c>
      <c r="B1170" t="s">
        <v>784</v>
      </c>
      <c r="C1170" s="1">
        <v>45423</v>
      </c>
      <c r="D1170" s="1" t="str">
        <f>PROPER(orders[[#This Row],[order_priority]])</f>
        <v>Standard</v>
      </c>
      <c r="E1170" t="s">
        <v>13317</v>
      </c>
      <c r="F1170" t="str">
        <f>IFERROR(INDEX(customers[country], MATCH(orders[[#This Row],[customer_id]], customers[customer_id], 0)), "Unmapped")</f>
        <v>Estonia</v>
      </c>
      <c r="G1170" t="str">
        <f>IFERROR(INDEX(Region_Map[Region], MATCH(orders[[#This Row],[Customer_Country]], Region_Map[Country], 0)), "Unknown")</f>
        <v>Baltics</v>
      </c>
      <c r="H1170" t="s">
        <v>6949</v>
      </c>
    </row>
    <row r="1171" spans="1:8">
      <c r="A1171" t="s">
        <v>2082</v>
      </c>
      <c r="B1171" t="s">
        <v>431</v>
      </c>
      <c r="C1171" s="1">
        <v>45240</v>
      </c>
      <c r="D1171" s="1" t="str">
        <f>PROPER(orders[[#This Row],[order_priority]])</f>
        <v>Express</v>
      </c>
      <c r="E1171" t="s">
        <v>13318</v>
      </c>
      <c r="F1171" t="str">
        <f>IFERROR(INDEX(customers[country], MATCH(orders[[#This Row],[customer_id]], customers[customer_id], 0)), "Unmapped")</f>
        <v>Sweden</v>
      </c>
      <c r="G1171" t="str">
        <f>IFERROR(INDEX(Region_Map[Region], MATCH(orders[[#This Row],[Customer_Country]], Region_Map[Country], 0)), "Unknown")</f>
        <v>Nordics</v>
      </c>
      <c r="H1171" t="s">
        <v>6949</v>
      </c>
    </row>
    <row r="1172" spans="1:8">
      <c r="A1172" t="s">
        <v>2083</v>
      </c>
      <c r="B1172" t="s">
        <v>11</v>
      </c>
      <c r="C1172" s="1">
        <v>45000</v>
      </c>
      <c r="D1172" s="1" t="str">
        <f>PROPER(orders[[#This Row],[order_priority]])</f>
        <v>Express</v>
      </c>
      <c r="E1172" t="s">
        <v>13318</v>
      </c>
      <c r="F1172" t="str">
        <f>IFERROR(INDEX(customers[country], MATCH(orders[[#This Row],[customer_id]], customers[customer_id], 0)), "Unmapped")</f>
        <v>Sweden</v>
      </c>
      <c r="G1172" t="str">
        <f>IFERROR(INDEX(Region_Map[Region], MATCH(orders[[#This Row],[Customer_Country]], Region_Map[Country], 0)), "Unknown")</f>
        <v>Nordics</v>
      </c>
      <c r="H1172" t="s">
        <v>6949</v>
      </c>
    </row>
    <row r="1173" spans="1:8">
      <c r="A1173" t="s">
        <v>2084</v>
      </c>
      <c r="B1173" t="s">
        <v>285</v>
      </c>
      <c r="C1173" s="1">
        <v>45105</v>
      </c>
      <c r="D1173" s="1" t="str">
        <f>PROPER(orders[[#This Row],[order_priority]])</f>
        <v>Economy</v>
      </c>
      <c r="E1173" t="s">
        <v>13316</v>
      </c>
      <c r="F1173" t="str">
        <f>IFERROR(INDEX(customers[country], MATCH(orders[[#This Row],[customer_id]], customers[customer_id], 0)), "Unmapped")</f>
        <v>Norway</v>
      </c>
      <c r="G1173" t="str">
        <f>IFERROR(INDEX(Region_Map[Region], MATCH(orders[[#This Row],[Customer_Country]], Region_Map[Country], 0)), "Unknown")</f>
        <v>Nordics</v>
      </c>
      <c r="H1173" t="s">
        <v>6949</v>
      </c>
    </row>
    <row r="1174" spans="1:8">
      <c r="A1174" t="s">
        <v>2085</v>
      </c>
      <c r="B1174" t="s">
        <v>407</v>
      </c>
      <c r="C1174" s="1">
        <v>45270</v>
      </c>
      <c r="D1174" s="1" t="str">
        <f>PROPER(orders[[#This Row],[order_priority]])</f>
        <v>Standard</v>
      </c>
      <c r="E1174" t="s">
        <v>13317</v>
      </c>
      <c r="F1174" t="str">
        <f>IFERROR(INDEX(customers[country], MATCH(orders[[#This Row],[customer_id]], customers[customer_id], 0)), "Unmapped")</f>
        <v>Poland</v>
      </c>
      <c r="G1174" t="str">
        <f>IFERROR(INDEX(Region_Map[Region], MATCH(orders[[#This Row],[Customer_Country]], Region_Map[Country], 0)), "Unknown")</f>
        <v>Central Europe</v>
      </c>
      <c r="H1174" t="s">
        <v>6949</v>
      </c>
    </row>
    <row r="1175" spans="1:8">
      <c r="A1175" t="s">
        <v>2086</v>
      </c>
      <c r="B1175" t="s">
        <v>231</v>
      </c>
      <c r="C1175" s="1">
        <v>45570</v>
      </c>
      <c r="D1175" s="1" t="str">
        <f>PROPER(orders[[#This Row],[order_priority]])</f>
        <v>Same Day</v>
      </c>
      <c r="E1175" t="s">
        <v>13322</v>
      </c>
      <c r="F1175" t="str">
        <f>IFERROR(INDEX(customers[country], MATCH(orders[[#This Row],[customer_id]], customers[customer_id], 0)), "Unmapped")</f>
        <v>Lithuania</v>
      </c>
      <c r="G1175" t="str">
        <f>IFERROR(INDEX(Region_Map[Region], MATCH(orders[[#This Row],[Customer_Country]], Region_Map[Country], 0)), "Unknown")</f>
        <v>Baltics</v>
      </c>
      <c r="H1175" t="s">
        <v>6949</v>
      </c>
    </row>
    <row r="1176" spans="1:8">
      <c r="A1176" t="s">
        <v>2087</v>
      </c>
      <c r="B1176" t="s">
        <v>593</v>
      </c>
      <c r="C1176" s="1">
        <v>45148</v>
      </c>
      <c r="D1176" s="1" t="str">
        <f>PROPER(orders[[#This Row],[order_priority]])</f>
        <v>Standard</v>
      </c>
      <c r="E1176" t="s">
        <v>13317</v>
      </c>
      <c r="F1176" t="str">
        <f>IFERROR(INDEX(customers[country], MATCH(orders[[#This Row],[customer_id]], customers[customer_id], 0)), "Unmapped")</f>
        <v>Estonia</v>
      </c>
      <c r="G1176" t="str">
        <f>IFERROR(INDEX(Region_Map[Region], MATCH(orders[[#This Row],[Customer_Country]], Region_Map[Country], 0)), "Unknown")</f>
        <v>Baltics</v>
      </c>
      <c r="H1176" t="s">
        <v>6949</v>
      </c>
    </row>
    <row r="1177" spans="1:8">
      <c r="A1177" t="s">
        <v>2088</v>
      </c>
      <c r="B1177" t="s">
        <v>255</v>
      </c>
      <c r="C1177" s="1">
        <v>44971</v>
      </c>
      <c r="D1177" s="1" t="str">
        <f>PROPER(orders[[#This Row],[order_priority]])</f>
        <v>Economy</v>
      </c>
      <c r="E1177" t="s">
        <v>13316</v>
      </c>
      <c r="F1177" t="str">
        <f>IFERROR(INDEX(customers[country], MATCH(orders[[#This Row],[customer_id]], customers[customer_id], 0)), "Unmapped")</f>
        <v>Sweden</v>
      </c>
      <c r="G1177" t="str">
        <f>IFERROR(INDEX(Region_Map[Region], MATCH(orders[[#This Row],[Customer_Country]], Region_Map[Country], 0)), "Unknown")</f>
        <v>Nordics</v>
      </c>
      <c r="H1177" t="s">
        <v>6949</v>
      </c>
    </row>
    <row r="1178" spans="1:8">
      <c r="A1178" t="s">
        <v>2089</v>
      </c>
      <c r="B1178" t="s">
        <v>650</v>
      </c>
      <c r="C1178" s="1">
        <v>45254</v>
      </c>
      <c r="D1178" s="1" t="str">
        <f>PROPER(orders[[#This Row],[order_priority]])</f>
        <v>Standard</v>
      </c>
      <c r="E1178" t="s">
        <v>13317</v>
      </c>
      <c r="F1178" t="str">
        <f>IFERROR(INDEX(customers[country], MATCH(orders[[#This Row],[customer_id]], customers[customer_id], 0)), "Unmapped")</f>
        <v>Poland</v>
      </c>
      <c r="G1178" t="str">
        <f>IFERROR(INDEX(Region_Map[Region], MATCH(orders[[#This Row],[Customer_Country]], Region_Map[Country], 0)), "Unknown")</f>
        <v>Central Europe</v>
      </c>
      <c r="H1178" t="s">
        <v>6949</v>
      </c>
    </row>
    <row r="1179" spans="1:8">
      <c r="A1179" t="s">
        <v>2090</v>
      </c>
      <c r="B1179" t="s">
        <v>464</v>
      </c>
      <c r="C1179" s="1">
        <v>45447</v>
      </c>
      <c r="D1179" s="1" t="str">
        <f>PROPER(orders[[#This Row],[order_priority]])</f>
        <v>Economy</v>
      </c>
      <c r="E1179" t="s">
        <v>13316</v>
      </c>
      <c r="F1179" t="str">
        <f>IFERROR(INDEX(customers[country], MATCH(orders[[#This Row],[customer_id]], customers[customer_id], 0)), "Unmapped")</f>
        <v>Finland</v>
      </c>
      <c r="G1179" t="str">
        <f>IFERROR(INDEX(Region_Map[Region], MATCH(orders[[#This Row],[Customer_Country]], Region_Map[Country], 0)), "Unknown")</f>
        <v>Nordics</v>
      </c>
      <c r="H1179" t="s">
        <v>6949</v>
      </c>
    </row>
    <row r="1180" spans="1:8">
      <c r="A1180" t="s">
        <v>2091</v>
      </c>
      <c r="B1180" t="s">
        <v>632</v>
      </c>
      <c r="C1180" s="1">
        <v>45079</v>
      </c>
      <c r="D1180" s="1" t="str">
        <f>PROPER(orders[[#This Row],[order_priority]])</f>
        <v>Same Day</v>
      </c>
      <c r="E1180" t="s">
        <v>13322</v>
      </c>
      <c r="F1180" t="str">
        <f>IFERROR(INDEX(customers[country], MATCH(orders[[#This Row],[customer_id]], customers[customer_id], 0)), "Unmapped")</f>
        <v>Norway</v>
      </c>
      <c r="G1180" t="str">
        <f>IFERROR(INDEX(Region_Map[Region], MATCH(orders[[#This Row],[Customer_Country]], Region_Map[Country], 0)), "Unknown")</f>
        <v>Nordics</v>
      </c>
      <c r="H1180" t="s">
        <v>6949</v>
      </c>
    </row>
    <row r="1181" spans="1:8">
      <c r="A1181" t="s">
        <v>2092</v>
      </c>
      <c r="B1181" t="s">
        <v>13340</v>
      </c>
      <c r="C1181" s="1">
        <v>45504</v>
      </c>
      <c r="D1181" s="1" t="str">
        <f>PROPER(orders[[#This Row],[order_priority]])</f>
        <v>Express</v>
      </c>
      <c r="E1181" t="s">
        <v>13318</v>
      </c>
      <c r="F1181" t="str">
        <f>IFERROR(INDEX(customers[country], MATCH(orders[[#This Row],[customer_id]], customers[customer_id], 0)), "Unmapped")</f>
        <v>Unmapped</v>
      </c>
      <c r="G1181" t="str">
        <f>IFERROR(INDEX(Region_Map[Region], MATCH(orders[[#This Row],[Customer_Country]], Region_Map[Country], 0)), "Unknown")</f>
        <v>Unknown</v>
      </c>
      <c r="H1181" t="s">
        <v>6949</v>
      </c>
    </row>
    <row r="1182" spans="1:8">
      <c r="A1182" t="s">
        <v>2093</v>
      </c>
      <c r="B1182" t="s">
        <v>569</v>
      </c>
      <c r="C1182" s="1">
        <v>45284</v>
      </c>
      <c r="D1182" s="1" t="str">
        <f>PROPER(orders[[#This Row],[order_priority]])</f>
        <v>Same Day</v>
      </c>
      <c r="E1182" t="s">
        <v>13322</v>
      </c>
      <c r="F1182" t="str">
        <f>IFERROR(INDEX(customers[country], MATCH(orders[[#This Row],[customer_id]], customers[customer_id], 0)), "Unmapped")</f>
        <v>Estonia</v>
      </c>
      <c r="G1182" t="str">
        <f>IFERROR(INDEX(Region_Map[Region], MATCH(orders[[#This Row],[Customer_Country]], Region_Map[Country], 0)), "Unknown")</f>
        <v>Baltics</v>
      </c>
      <c r="H1182" t="s">
        <v>6949</v>
      </c>
    </row>
    <row r="1183" spans="1:8">
      <c r="A1183" t="s">
        <v>2094</v>
      </c>
      <c r="B1183" t="s">
        <v>154</v>
      </c>
      <c r="C1183" s="1">
        <v>45131</v>
      </c>
      <c r="D1183" s="1" t="str">
        <f>PROPER(orders[[#This Row],[order_priority]])</f>
        <v>Express</v>
      </c>
      <c r="E1183" t="s">
        <v>13318</v>
      </c>
      <c r="F1183" t="str">
        <f>IFERROR(INDEX(customers[country], MATCH(orders[[#This Row],[customer_id]], customers[customer_id], 0)), "Unmapped")</f>
        <v>Lithuania</v>
      </c>
      <c r="G1183" t="str">
        <f>IFERROR(INDEX(Region_Map[Region], MATCH(orders[[#This Row],[Customer_Country]], Region_Map[Country], 0)), "Unknown")</f>
        <v>Baltics</v>
      </c>
      <c r="H1183" t="s">
        <v>6949</v>
      </c>
    </row>
    <row r="1184" spans="1:8">
      <c r="A1184" t="s">
        <v>2095</v>
      </c>
      <c r="B1184" t="s">
        <v>294</v>
      </c>
      <c r="C1184" s="1">
        <v>45587</v>
      </c>
      <c r="D1184" s="1" t="str">
        <f>PROPER(orders[[#This Row],[order_priority]])</f>
        <v>Economy</v>
      </c>
      <c r="E1184" t="s">
        <v>13316</v>
      </c>
      <c r="F1184" t="str">
        <f>IFERROR(INDEX(customers[country], MATCH(orders[[#This Row],[customer_id]], customers[customer_id], 0)), "Unmapped")</f>
        <v>Denmark</v>
      </c>
      <c r="G1184" t="str">
        <f>IFERROR(INDEX(Region_Map[Region], MATCH(orders[[#This Row],[Customer_Country]], Region_Map[Country], 0)), "Unknown")</f>
        <v>Nordics</v>
      </c>
      <c r="H1184" t="s">
        <v>6949</v>
      </c>
    </row>
    <row r="1185" spans="1:8">
      <c r="A1185" t="s">
        <v>2096</v>
      </c>
      <c r="B1185" t="s">
        <v>635</v>
      </c>
      <c r="C1185" s="1">
        <v>44952</v>
      </c>
      <c r="D1185" s="1" t="str">
        <f>PROPER(orders[[#This Row],[order_priority]])</f>
        <v>Standard</v>
      </c>
      <c r="E1185" t="s">
        <v>13317</v>
      </c>
      <c r="F1185" t="str">
        <f>IFERROR(INDEX(customers[country], MATCH(orders[[#This Row],[customer_id]], customers[customer_id], 0)), "Unmapped")</f>
        <v>Latvia</v>
      </c>
      <c r="G1185" t="str">
        <f>IFERROR(INDEX(Region_Map[Region], MATCH(orders[[#This Row],[Customer_Country]], Region_Map[Country], 0)), "Unknown")</f>
        <v>Baltics</v>
      </c>
      <c r="H1185" t="s">
        <v>6949</v>
      </c>
    </row>
    <row r="1186" spans="1:8">
      <c r="A1186" t="s">
        <v>2097</v>
      </c>
      <c r="B1186" t="s">
        <v>181</v>
      </c>
      <c r="C1186" s="1">
        <v>45169</v>
      </c>
      <c r="D1186" s="1" t="str">
        <f>PROPER(orders[[#This Row],[order_priority]])</f>
        <v>Economy</v>
      </c>
      <c r="E1186" t="s">
        <v>13316</v>
      </c>
      <c r="F1186" t="str">
        <f>IFERROR(INDEX(customers[country], MATCH(orders[[#This Row],[customer_id]], customers[customer_id], 0)), "Unmapped")</f>
        <v>Netherlands</v>
      </c>
      <c r="G1186" t="str">
        <f>IFERROR(INDEX(Region_Map[Region], MATCH(orders[[#This Row],[Customer_Country]], Region_Map[Country], 0)), "Unknown")</f>
        <v>Central Europe</v>
      </c>
      <c r="H1186" t="s">
        <v>6949</v>
      </c>
    </row>
    <row r="1187" spans="1:8">
      <c r="A1187" t="s">
        <v>2098</v>
      </c>
      <c r="B1187" t="s">
        <v>572</v>
      </c>
      <c r="C1187" s="1">
        <v>45332</v>
      </c>
      <c r="D1187" s="1" t="str">
        <f>PROPER(orders[[#This Row],[order_priority]])</f>
        <v>Economy</v>
      </c>
      <c r="E1187" t="s">
        <v>13316</v>
      </c>
      <c r="F1187" t="str">
        <f>IFERROR(INDEX(customers[country], MATCH(orders[[#This Row],[customer_id]], customers[customer_id], 0)), "Unmapped")</f>
        <v>Germany</v>
      </c>
      <c r="G1187" t="str">
        <f>IFERROR(INDEX(Region_Map[Region], MATCH(orders[[#This Row],[Customer_Country]], Region_Map[Country], 0)), "Unknown")</f>
        <v>Central Europe</v>
      </c>
      <c r="H1187" t="s">
        <v>6949</v>
      </c>
    </row>
    <row r="1188" spans="1:8">
      <c r="A1188" t="s">
        <v>2099</v>
      </c>
      <c r="B1188" t="s">
        <v>852</v>
      </c>
      <c r="C1188" s="1">
        <v>45393</v>
      </c>
      <c r="D1188" s="1" t="str">
        <f>PROPER(orders[[#This Row],[order_priority]])</f>
        <v>Economy</v>
      </c>
      <c r="E1188" t="s">
        <v>13316</v>
      </c>
      <c r="F1188" t="str">
        <f>IFERROR(INDEX(customers[country], MATCH(orders[[#This Row],[customer_id]], customers[customer_id], 0)), "Unmapped")</f>
        <v>Sweden</v>
      </c>
      <c r="G1188" t="str">
        <f>IFERROR(INDEX(Region_Map[Region], MATCH(orders[[#This Row],[Customer_Country]], Region_Map[Country], 0)), "Unknown")</f>
        <v>Nordics</v>
      </c>
      <c r="H1188" t="s">
        <v>6949</v>
      </c>
    </row>
    <row r="1189" spans="1:8">
      <c r="A1189" t="s">
        <v>2100</v>
      </c>
      <c r="B1189" t="s">
        <v>443</v>
      </c>
      <c r="C1189" s="1">
        <v>45430</v>
      </c>
      <c r="D1189" s="1" t="str">
        <f>PROPER(orders[[#This Row],[order_priority]])</f>
        <v>Standard</v>
      </c>
      <c r="E1189" t="s">
        <v>13317</v>
      </c>
      <c r="F1189" t="str">
        <f>IFERROR(INDEX(customers[country], MATCH(orders[[#This Row],[customer_id]], customers[customer_id], 0)), "Unmapped")</f>
        <v>Estonia</v>
      </c>
      <c r="G1189" t="str">
        <f>IFERROR(INDEX(Region_Map[Region], MATCH(orders[[#This Row],[Customer_Country]], Region_Map[Country], 0)), "Unknown")</f>
        <v>Baltics</v>
      </c>
      <c r="H1189" t="s">
        <v>6949</v>
      </c>
    </row>
    <row r="1190" spans="1:8">
      <c r="A1190" t="s">
        <v>2101</v>
      </c>
      <c r="B1190" t="s">
        <v>261</v>
      </c>
      <c r="C1190" s="1">
        <v>45199</v>
      </c>
      <c r="D1190" s="1" t="str">
        <f>PROPER(orders[[#This Row],[order_priority]])</f>
        <v>Express</v>
      </c>
      <c r="E1190" t="s">
        <v>13318</v>
      </c>
      <c r="F1190" t="str">
        <f>IFERROR(INDEX(customers[country], MATCH(orders[[#This Row],[customer_id]], customers[customer_id], 0)), "Unmapped")</f>
        <v>Germany</v>
      </c>
      <c r="G1190" t="str">
        <f>IFERROR(INDEX(Region_Map[Region], MATCH(orders[[#This Row],[Customer_Country]], Region_Map[Country], 0)), "Unknown")</f>
        <v>Central Europe</v>
      </c>
      <c r="H1190" t="s">
        <v>6949</v>
      </c>
    </row>
    <row r="1191" spans="1:8">
      <c r="A1191" t="s">
        <v>2102</v>
      </c>
      <c r="B1191" t="s">
        <v>172</v>
      </c>
      <c r="C1191" s="1">
        <v>45522</v>
      </c>
      <c r="D1191" s="1" t="str">
        <f>PROPER(orders[[#This Row],[order_priority]])</f>
        <v>Economy</v>
      </c>
      <c r="E1191" t="s">
        <v>13316</v>
      </c>
      <c r="F1191" t="str">
        <f>IFERROR(INDEX(customers[country], MATCH(orders[[#This Row],[customer_id]], customers[customer_id], 0)), "Unmapped")</f>
        <v>Denmark</v>
      </c>
      <c r="G1191" t="str">
        <f>IFERROR(INDEX(Region_Map[Region], MATCH(orders[[#This Row],[Customer_Country]], Region_Map[Country], 0)), "Unknown")</f>
        <v>Nordics</v>
      </c>
      <c r="H1191" t="s">
        <v>6949</v>
      </c>
    </row>
    <row r="1192" spans="1:8">
      <c r="A1192" t="s">
        <v>2103</v>
      </c>
      <c r="B1192" t="s">
        <v>521</v>
      </c>
      <c r="C1192" s="1">
        <v>45049</v>
      </c>
      <c r="D1192" s="1" t="str">
        <f>PROPER(orders[[#This Row],[order_priority]])</f>
        <v>Same Day</v>
      </c>
      <c r="E1192" t="s">
        <v>13324</v>
      </c>
      <c r="F1192" t="str">
        <f>IFERROR(INDEX(customers[country], MATCH(orders[[#This Row],[customer_id]], customers[customer_id], 0)), "Unmapped")</f>
        <v>Norway</v>
      </c>
      <c r="G1192" t="str">
        <f>IFERROR(INDEX(Region_Map[Region], MATCH(orders[[#This Row],[Customer_Country]], Region_Map[Country], 0)), "Unknown")</f>
        <v>Nordics</v>
      </c>
      <c r="H1192" t="s">
        <v>6949</v>
      </c>
    </row>
    <row r="1193" spans="1:8">
      <c r="A1193" t="s">
        <v>2104</v>
      </c>
      <c r="B1193" t="s">
        <v>380</v>
      </c>
      <c r="C1193" s="1">
        <v>44990</v>
      </c>
      <c r="D1193" s="1" t="str">
        <f>PROPER(orders[[#This Row],[order_priority]])</f>
        <v>Economy</v>
      </c>
      <c r="E1193" t="s">
        <v>13316</v>
      </c>
      <c r="F1193" t="str">
        <f>IFERROR(INDEX(customers[country], MATCH(orders[[#This Row],[customer_id]], customers[customer_id], 0)), "Unmapped")</f>
        <v>Sweden</v>
      </c>
      <c r="G1193" t="str">
        <f>IFERROR(INDEX(Region_Map[Region], MATCH(orders[[#This Row],[Customer_Country]], Region_Map[Country], 0)), "Unknown")</f>
        <v>Nordics</v>
      </c>
      <c r="H1193" t="s">
        <v>6949</v>
      </c>
    </row>
    <row r="1194" spans="1:8">
      <c r="A1194" t="s">
        <v>2105</v>
      </c>
      <c r="B1194" t="s">
        <v>679</v>
      </c>
      <c r="C1194" s="1">
        <v>45418</v>
      </c>
      <c r="D1194" s="1" t="str">
        <f>PROPER(orders[[#This Row],[order_priority]])</f>
        <v>Express</v>
      </c>
      <c r="E1194" t="s">
        <v>13318</v>
      </c>
      <c r="F1194" t="str">
        <f>IFERROR(INDEX(customers[country], MATCH(orders[[#This Row],[customer_id]], customers[customer_id], 0)), "Unmapped")</f>
        <v>Norway</v>
      </c>
      <c r="G1194" t="str">
        <f>IFERROR(INDEX(Region_Map[Region], MATCH(orders[[#This Row],[Customer_Country]], Region_Map[Country], 0)), "Unknown")</f>
        <v>Nordics</v>
      </c>
      <c r="H1194" t="s">
        <v>6949</v>
      </c>
    </row>
    <row r="1195" spans="1:8">
      <c r="A1195" t="s">
        <v>2106</v>
      </c>
      <c r="B1195" t="s">
        <v>172</v>
      </c>
      <c r="C1195" s="1">
        <v>45029</v>
      </c>
      <c r="D1195" s="1" t="str">
        <f>PROPER(orders[[#This Row],[order_priority]])</f>
        <v>Economy</v>
      </c>
      <c r="E1195" t="s">
        <v>13316</v>
      </c>
      <c r="F1195" t="str">
        <f>IFERROR(INDEX(customers[country], MATCH(orders[[#This Row],[customer_id]], customers[customer_id], 0)), "Unmapped")</f>
        <v>Denmark</v>
      </c>
      <c r="G1195" t="str">
        <f>IFERROR(INDEX(Region_Map[Region], MATCH(orders[[#This Row],[Customer_Country]], Region_Map[Country], 0)), "Unknown")</f>
        <v>Nordics</v>
      </c>
      <c r="H1195" t="s">
        <v>6949</v>
      </c>
    </row>
    <row r="1196" spans="1:8">
      <c r="A1196" t="s">
        <v>2107</v>
      </c>
      <c r="B1196" t="s">
        <v>93</v>
      </c>
      <c r="C1196" s="1">
        <v>45482</v>
      </c>
      <c r="D1196" s="1" t="str">
        <f>PROPER(orders[[#This Row],[order_priority]])</f>
        <v>Same Day</v>
      </c>
      <c r="E1196" t="s">
        <v>13322</v>
      </c>
      <c r="F1196" t="str">
        <f>IFERROR(INDEX(customers[country], MATCH(orders[[#This Row],[customer_id]], customers[customer_id], 0)), "Unmapped")</f>
        <v>Norway</v>
      </c>
      <c r="G1196" t="str">
        <f>IFERROR(INDEX(Region_Map[Region], MATCH(orders[[#This Row],[Customer_Country]], Region_Map[Country], 0)), "Unknown")</f>
        <v>Nordics</v>
      </c>
      <c r="H1196" t="s">
        <v>6949</v>
      </c>
    </row>
    <row r="1197" spans="1:8">
      <c r="A1197" t="s">
        <v>2108</v>
      </c>
      <c r="B1197" t="s">
        <v>647</v>
      </c>
      <c r="C1197" s="1">
        <v>45364</v>
      </c>
      <c r="D1197" s="1" t="str">
        <f>PROPER(orders[[#This Row],[order_priority]])</f>
        <v>Standard</v>
      </c>
      <c r="E1197" t="s">
        <v>13317</v>
      </c>
      <c r="F1197" t="str">
        <f>IFERROR(INDEX(customers[country], MATCH(orders[[#This Row],[customer_id]], customers[customer_id], 0)), "Unmapped")</f>
        <v>Netherlands</v>
      </c>
      <c r="G1197" t="str">
        <f>IFERROR(INDEX(Region_Map[Region], MATCH(orders[[#This Row],[Customer_Country]], Region_Map[Country], 0)), "Unknown")</f>
        <v>Central Europe</v>
      </c>
      <c r="H1197" t="s">
        <v>6949</v>
      </c>
    </row>
    <row r="1198" spans="1:8">
      <c r="A1198" t="s">
        <v>2109</v>
      </c>
      <c r="B1198" t="s">
        <v>909</v>
      </c>
      <c r="C1198" s="1">
        <v>45423</v>
      </c>
      <c r="D1198" s="1" t="str">
        <f>PROPER(orders[[#This Row],[order_priority]])</f>
        <v>Express</v>
      </c>
      <c r="E1198" t="s">
        <v>13318</v>
      </c>
      <c r="F1198" t="str">
        <f>IFERROR(INDEX(customers[country], MATCH(orders[[#This Row],[customer_id]], customers[customer_id], 0)), "Unmapped")</f>
        <v>Poland</v>
      </c>
      <c r="G1198" t="str">
        <f>IFERROR(INDEX(Region_Map[Region], MATCH(orders[[#This Row],[Customer_Country]], Region_Map[Country], 0)), "Unknown")</f>
        <v>Central Europe</v>
      </c>
      <c r="H1198" t="s">
        <v>6949</v>
      </c>
    </row>
    <row r="1199" spans="1:8">
      <c r="A1199" t="s">
        <v>2110</v>
      </c>
      <c r="B1199" t="s">
        <v>320</v>
      </c>
      <c r="C1199" s="1">
        <v>45594</v>
      </c>
      <c r="D1199" s="1" t="str">
        <f>PROPER(orders[[#This Row],[order_priority]])</f>
        <v>Express</v>
      </c>
      <c r="E1199" t="s">
        <v>13318</v>
      </c>
      <c r="F1199" t="str">
        <f>IFERROR(INDEX(customers[country], MATCH(orders[[#This Row],[customer_id]], customers[customer_id], 0)), "Unmapped")</f>
        <v>Sweden</v>
      </c>
      <c r="G1199" t="str">
        <f>IFERROR(INDEX(Region_Map[Region], MATCH(orders[[#This Row],[Customer_Country]], Region_Map[Country], 0)), "Unknown")</f>
        <v>Nordics</v>
      </c>
      <c r="H1199" t="s">
        <v>6949</v>
      </c>
    </row>
    <row r="1200" spans="1:8">
      <c r="A1200" t="s">
        <v>2111</v>
      </c>
      <c r="B1200" t="s">
        <v>831</v>
      </c>
      <c r="C1200" s="1">
        <v>44941</v>
      </c>
      <c r="D1200" s="1" t="str">
        <f>PROPER(orders[[#This Row],[order_priority]])</f>
        <v>Same Day</v>
      </c>
      <c r="E1200" t="s">
        <v>13322</v>
      </c>
      <c r="F1200" t="str">
        <f>IFERROR(INDEX(customers[country], MATCH(orders[[#This Row],[customer_id]], customers[customer_id], 0)), "Unmapped")</f>
        <v>Norway</v>
      </c>
      <c r="G1200" t="str">
        <f>IFERROR(INDEX(Region_Map[Region], MATCH(orders[[#This Row],[Customer_Country]], Region_Map[Country], 0)), "Unknown")</f>
        <v>Nordics</v>
      </c>
      <c r="H1200" t="s">
        <v>6949</v>
      </c>
    </row>
    <row r="1201" spans="1:8">
      <c r="A1201" t="s">
        <v>2112</v>
      </c>
      <c r="B1201" t="s">
        <v>6</v>
      </c>
      <c r="C1201" s="1">
        <v>45585</v>
      </c>
      <c r="D1201" s="1" t="str">
        <f>PROPER(orders[[#This Row],[order_priority]])</f>
        <v>Same Day</v>
      </c>
      <c r="E1201" t="s">
        <v>13322</v>
      </c>
      <c r="F1201" t="str">
        <f>IFERROR(INDEX(customers[country], MATCH(orders[[#This Row],[customer_id]], customers[customer_id], 0)), "Unmapped")</f>
        <v>Latvia</v>
      </c>
      <c r="G1201" t="str">
        <f>IFERROR(INDEX(Region_Map[Region], MATCH(orders[[#This Row],[Customer_Country]], Region_Map[Country], 0)), "Unknown")</f>
        <v>Baltics</v>
      </c>
      <c r="H1201" t="s">
        <v>6949</v>
      </c>
    </row>
    <row r="1202" spans="1:8">
      <c r="A1202" t="s">
        <v>2113</v>
      </c>
      <c r="B1202" t="s">
        <v>813</v>
      </c>
      <c r="C1202" s="1">
        <v>45186</v>
      </c>
      <c r="D1202" s="1" t="str">
        <f>PROPER(orders[[#This Row],[order_priority]])</f>
        <v>Express</v>
      </c>
      <c r="E1202" t="s">
        <v>13318</v>
      </c>
      <c r="F1202" t="str">
        <f>IFERROR(INDEX(customers[country], MATCH(orders[[#This Row],[customer_id]], customers[customer_id], 0)), "Unmapped")</f>
        <v>Norway</v>
      </c>
      <c r="G1202" t="str">
        <f>IFERROR(INDEX(Region_Map[Region], MATCH(orders[[#This Row],[Customer_Country]], Region_Map[Country], 0)), "Unknown")</f>
        <v>Nordics</v>
      </c>
      <c r="H1202" t="s">
        <v>6949</v>
      </c>
    </row>
    <row r="1203" spans="1:8">
      <c r="A1203" t="s">
        <v>2114</v>
      </c>
      <c r="B1203" t="s">
        <v>605</v>
      </c>
      <c r="C1203" s="1">
        <v>45598</v>
      </c>
      <c r="D1203" s="1" t="str">
        <f>PROPER(orders[[#This Row],[order_priority]])</f>
        <v>Same Day</v>
      </c>
      <c r="E1203" t="s">
        <v>13322</v>
      </c>
      <c r="F1203" t="str">
        <f>IFERROR(INDEX(customers[country], MATCH(orders[[#This Row],[customer_id]], customers[customer_id], 0)), "Unmapped")</f>
        <v>Lithuania</v>
      </c>
      <c r="G1203" t="str">
        <f>IFERROR(INDEX(Region_Map[Region], MATCH(orders[[#This Row],[Customer_Country]], Region_Map[Country], 0)), "Unknown")</f>
        <v>Baltics</v>
      </c>
      <c r="H1203" t="s">
        <v>6949</v>
      </c>
    </row>
    <row r="1204" spans="1:8">
      <c r="A1204" t="s">
        <v>2115</v>
      </c>
      <c r="B1204" t="s">
        <v>837</v>
      </c>
      <c r="C1204" s="1">
        <v>45511</v>
      </c>
      <c r="D1204" s="1" t="str">
        <f>PROPER(orders[[#This Row],[order_priority]])</f>
        <v>Express</v>
      </c>
      <c r="E1204" t="s">
        <v>13318</v>
      </c>
      <c r="F1204" t="str">
        <f>IFERROR(INDEX(customers[country], MATCH(orders[[#This Row],[customer_id]], customers[customer_id], 0)), "Unmapped")</f>
        <v>Poland</v>
      </c>
      <c r="G1204" t="str">
        <f>IFERROR(INDEX(Region_Map[Region], MATCH(orders[[#This Row],[Customer_Country]], Region_Map[Country], 0)), "Unknown")</f>
        <v>Central Europe</v>
      </c>
      <c r="H1204" t="s">
        <v>6949</v>
      </c>
    </row>
    <row r="1205" spans="1:8">
      <c r="A1205" t="s">
        <v>2116</v>
      </c>
      <c r="B1205" t="s">
        <v>819</v>
      </c>
      <c r="C1205" s="1">
        <v>45578</v>
      </c>
      <c r="D1205" s="1" t="str">
        <f>PROPER(orders[[#This Row],[order_priority]])</f>
        <v>Express</v>
      </c>
      <c r="E1205" t="s">
        <v>13318</v>
      </c>
      <c r="F1205" t="str">
        <f>IFERROR(INDEX(customers[country], MATCH(orders[[#This Row],[customer_id]], customers[customer_id], 0)), "Unmapped")</f>
        <v>Estonia</v>
      </c>
      <c r="G1205" t="str">
        <f>IFERROR(INDEX(Region_Map[Region], MATCH(orders[[#This Row],[Customer_Country]], Region_Map[Country], 0)), "Unknown")</f>
        <v>Baltics</v>
      </c>
      <c r="H1205" t="s">
        <v>6949</v>
      </c>
    </row>
    <row r="1206" spans="1:8">
      <c r="A1206" t="s">
        <v>2117</v>
      </c>
      <c r="B1206" t="s">
        <v>449</v>
      </c>
      <c r="C1206" s="1">
        <v>45518</v>
      </c>
      <c r="D1206" s="1" t="str">
        <f>PROPER(orders[[#This Row],[order_priority]])</f>
        <v>Standard</v>
      </c>
      <c r="E1206" t="s">
        <v>13317</v>
      </c>
      <c r="F1206" t="str">
        <f>IFERROR(INDEX(customers[country], MATCH(orders[[#This Row],[customer_id]], customers[customer_id], 0)), "Unmapped")</f>
        <v>Norway</v>
      </c>
      <c r="G1206" t="str">
        <f>IFERROR(INDEX(Region_Map[Region], MATCH(orders[[#This Row],[Customer_Country]], Region_Map[Country], 0)), "Unknown")</f>
        <v>Nordics</v>
      </c>
      <c r="H1206" t="s">
        <v>6949</v>
      </c>
    </row>
    <row r="1207" spans="1:8">
      <c r="A1207" t="s">
        <v>2118</v>
      </c>
      <c r="B1207" t="s">
        <v>802</v>
      </c>
      <c r="C1207" s="1">
        <v>45496</v>
      </c>
      <c r="D1207" s="1" t="str">
        <f>PROPER(orders[[#This Row],[order_priority]])</f>
        <v>Same Day</v>
      </c>
      <c r="E1207" t="s">
        <v>13322</v>
      </c>
      <c r="F1207" t="str">
        <f>IFERROR(INDEX(customers[country], MATCH(orders[[#This Row],[customer_id]], customers[customer_id], 0)), "Unmapped")</f>
        <v>Poland</v>
      </c>
      <c r="G1207" t="str">
        <f>IFERROR(INDEX(Region_Map[Region], MATCH(orders[[#This Row],[Customer_Country]], Region_Map[Country], 0)), "Unknown")</f>
        <v>Central Europe</v>
      </c>
      <c r="H1207" t="s">
        <v>6949</v>
      </c>
    </row>
    <row r="1208" spans="1:8">
      <c r="A1208" t="s">
        <v>2119</v>
      </c>
      <c r="B1208" t="s">
        <v>449</v>
      </c>
      <c r="C1208" s="1">
        <v>44929</v>
      </c>
      <c r="D1208" s="1" t="str">
        <f>PROPER(orders[[#This Row],[order_priority]])</f>
        <v>Standard</v>
      </c>
      <c r="E1208" t="s">
        <v>13323</v>
      </c>
      <c r="F1208" t="str">
        <f>IFERROR(INDEX(customers[country], MATCH(orders[[#This Row],[customer_id]], customers[customer_id], 0)), "Unmapped")</f>
        <v>Norway</v>
      </c>
      <c r="G1208" t="str">
        <f>IFERROR(INDEX(Region_Map[Region], MATCH(orders[[#This Row],[Customer_Country]], Region_Map[Country], 0)), "Unknown")</f>
        <v>Nordics</v>
      </c>
      <c r="H1208" t="s">
        <v>6949</v>
      </c>
    </row>
    <row r="1209" spans="1:8">
      <c r="A1209" t="s">
        <v>2120</v>
      </c>
      <c r="B1209" t="s">
        <v>249</v>
      </c>
      <c r="C1209" s="1">
        <v>44954</v>
      </c>
      <c r="D1209" s="1" t="str">
        <f>PROPER(orders[[#This Row],[order_priority]])</f>
        <v>Standard</v>
      </c>
      <c r="E1209" t="s">
        <v>13323</v>
      </c>
      <c r="F1209" t="str">
        <f>IFERROR(INDEX(customers[country], MATCH(orders[[#This Row],[customer_id]], customers[customer_id], 0)), "Unmapped")</f>
        <v>Estonia</v>
      </c>
      <c r="G1209" t="str">
        <f>IFERROR(INDEX(Region_Map[Region], MATCH(orders[[#This Row],[Customer_Country]], Region_Map[Country], 0)), "Unknown")</f>
        <v>Baltics</v>
      </c>
      <c r="H1209" t="s">
        <v>6949</v>
      </c>
    </row>
    <row r="1210" spans="1:8">
      <c r="A1210" t="s">
        <v>2121</v>
      </c>
      <c r="B1210" t="s">
        <v>154</v>
      </c>
      <c r="C1210" s="1">
        <v>45527</v>
      </c>
      <c r="D1210" s="1" t="str">
        <f>PROPER(orders[[#This Row],[order_priority]])</f>
        <v>Standard</v>
      </c>
      <c r="E1210" t="s">
        <v>13317</v>
      </c>
      <c r="F1210" t="str">
        <f>IFERROR(INDEX(customers[country], MATCH(orders[[#This Row],[customer_id]], customers[customer_id], 0)), "Unmapped")</f>
        <v>Lithuania</v>
      </c>
      <c r="G1210" t="str">
        <f>IFERROR(INDEX(Region_Map[Region], MATCH(orders[[#This Row],[Customer_Country]], Region_Map[Country], 0)), "Unknown")</f>
        <v>Baltics</v>
      </c>
      <c r="H1210" t="s">
        <v>6949</v>
      </c>
    </row>
    <row r="1211" spans="1:8">
      <c r="A1211" t="s">
        <v>2122</v>
      </c>
      <c r="B1211" t="s">
        <v>428</v>
      </c>
      <c r="C1211" s="1">
        <v>45415</v>
      </c>
      <c r="D1211" s="1" t="str">
        <f>PROPER(orders[[#This Row],[order_priority]])</f>
        <v>Standard</v>
      </c>
      <c r="E1211" t="s">
        <v>13317</v>
      </c>
      <c r="F1211" t="str">
        <f>IFERROR(INDEX(customers[country], MATCH(orders[[#This Row],[customer_id]], customers[customer_id], 0)), "Unmapped")</f>
        <v>Finland</v>
      </c>
      <c r="G1211" t="str">
        <f>IFERROR(INDEX(Region_Map[Region], MATCH(orders[[#This Row],[Customer_Country]], Region_Map[Country], 0)), "Unknown")</f>
        <v>Nordics</v>
      </c>
      <c r="H1211" t="s">
        <v>6949</v>
      </c>
    </row>
    <row r="1212" spans="1:8">
      <c r="A1212" t="s">
        <v>2123</v>
      </c>
      <c r="B1212" t="s">
        <v>482</v>
      </c>
      <c r="C1212" s="1">
        <v>45604</v>
      </c>
      <c r="D1212" s="1" t="str">
        <f>PROPER(orders[[#This Row],[order_priority]])</f>
        <v>Standard</v>
      </c>
      <c r="E1212" t="s">
        <v>13317</v>
      </c>
      <c r="F1212" t="str">
        <f>IFERROR(INDEX(customers[country], MATCH(orders[[#This Row],[customer_id]], customers[customer_id], 0)), "Unmapped")</f>
        <v>Finland</v>
      </c>
      <c r="G1212" t="str">
        <f>IFERROR(INDEX(Region_Map[Region], MATCH(orders[[#This Row],[Customer_Country]], Region_Map[Country], 0)), "Unknown")</f>
        <v>Nordics</v>
      </c>
      <c r="H1212" t="s">
        <v>6949</v>
      </c>
    </row>
    <row r="1213" spans="1:8">
      <c r="A1213" t="s">
        <v>2124</v>
      </c>
      <c r="B1213" t="s">
        <v>84</v>
      </c>
      <c r="C1213" s="1">
        <v>45228</v>
      </c>
      <c r="D1213" s="1" t="str">
        <f>PROPER(orders[[#This Row],[order_priority]])</f>
        <v>Economy</v>
      </c>
      <c r="E1213" t="s">
        <v>13316</v>
      </c>
      <c r="F1213" t="str">
        <f>IFERROR(INDEX(customers[country], MATCH(orders[[#This Row],[customer_id]], customers[customer_id], 0)), "Unmapped")</f>
        <v>Lithuania</v>
      </c>
      <c r="G1213" t="str">
        <f>IFERROR(INDEX(Region_Map[Region], MATCH(orders[[#This Row],[Customer_Country]], Region_Map[Country], 0)), "Unknown")</f>
        <v>Baltics</v>
      </c>
      <c r="H1213" t="s">
        <v>6949</v>
      </c>
    </row>
    <row r="1214" spans="1:8">
      <c r="A1214" t="s">
        <v>2125</v>
      </c>
      <c r="B1214" t="s">
        <v>90</v>
      </c>
      <c r="C1214" s="1">
        <v>45286</v>
      </c>
      <c r="D1214" s="1" t="str">
        <f>PROPER(orders[[#This Row],[order_priority]])</f>
        <v>Express</v>
      </c>
      <c r="E1214" t="s">
        <v>13320</v>
      </c>
      <c r="F1214" t="str">
        <f>IFERROR(INDEX(customers[country], MATCH(orders[[#This Row],[customer_id]], customers[customer_id], 0)), "Unmapped")</f>
        <v>Netherlands</v>
      </c>
      <c r="G1214" t="str">
        <f>IFERROR(INDEX(Region_Map[Region], MATCH(orders[[#This Row],[Customer_Country]], Region_Map[Country], 0)), "Unknown")</f>
        <v>Central Europe</v>
      </c>
      <c r="H1214" t="s">
        <v>6949</v>
      </c>
    </row>
    <row r="1215" spans="1:8">
      <c r="A1215" t="s">
        <v>2126</v>
      </c>
      <c r="B1215" t="s">
        <v>584</v>
      </c>
      <c r="C1215" s="1">
        <v>44973</v>
      </c>
      <c r="D1215" s="1" t="str">
        <f>PROPER(orders[[#This Row],[order_priority]])</f>
        <v>Express</v>
      </c>
      <c r="E1215" t="s">
        <v>13318</v>
      </c>
      <c r="F1215" t="str">
        <f>IFERROR(INDEX(customers[country], MATCH(orders[[#This Row],[customer_id]], customers[customer_id], 0)), "Unmapped")</f>
        <v>Netherlands</v>
      </c>
      <c r="G1215" t="str">
        <f>IFERROR(INDEX(Region_Map[Region], MATCH(orders[[#This Row],[Customer_Country]], Region_Map[Country], 0)), "Unknown")</f>
        <v>Central Europe</v>
      </c>
      <c r="H1215" t="s">
        <v>6949</v>
      </c>
    </row>
    <row r="1216" spans="1:8">
      <c r="A1216" t="s">
        <v>2127</v>
      </c>
      <c r="B1216" t="s">
        <v>682</v>
      </c>
      <c r="C1216" s="1">
        <v>45609</v>
      </c>
      <c r="D1216" s="1" t="str">
        <f>PROPER(orders[[#This Row],[order_priority]])</f>
        <v>Economy</v>
      </c>
      <c r="E1216" t="s">
        <v>13328</v>
      </c>
      <c r="F1216" t="str">
        <f>IFERROR(INDEX(customers[country], MATCH(orders[[#This Row],[customer_id]], customers[customer_id], 0)), "Unmapped")</f>
        <v>Germany</v>
      </c>
      <c r="G1216" t="str">
        <f>IFERROR(INDEX(Region_Map[Region], MATCH(orders[[#This Row],[Customer_Country]], Region_Map[Country], 0)), "Unknown")</f>
        <v>Central Europe</v>
      </c>
      <c r="H1216" t="s">
        <v>6949</v>
      </c>
    </row>
    <row r="1217" spans="1:8">
      <c r="A1217" t="s">
        <v>2128</v>
      </c>
      <c r="B1217" t="s">
        <v>139</v>
      </c>
      <c r="C1217" s="1">
        <v>45608</v>
      </c>
      <c r="D1217" s="1" t="str">
        <f>PROPER(orders[[#This Row],[order_priority]])</f>
        <v>Express</v>
      </c>
      <c r="E1217" t="s">
        <v>13318</v>
      </c>
      <c r="F1217" t="str">
        <f>IFERROR(INDEX(customers[country], MATCH(orders[[#This Row],[customer_id]], customers[customer_id], 0)), "Unmapped")</f>
        <v>Netherlands</v>
      </c>
      <c r="G1217" t="str">
        <f>IFERROR(INDEX(Region_Map[Region], MATCH(orders[[#This Row],[Customer_Country]], Region_Map[Country], 0)), "Unknown")</f>
        <v>Central Europe</v>
      </c>
      <c r="H1217" t="s">
        <v>6949</v>
      </c>
    </row>
    <row r="1218" spans="1:8">
      <c r="A1218" t="s">
        <v>2129</v>
      </c>
      <c r="B1218" t="s">
        <v>861</v>
      </c>
      <c r="C1218" s="1">
        <v>45555</v>
      </c>
      <c r="D1218" s="1" t="str">
        <f>PROPER(orders[[#This Row],[order_priority]])</f>
        <v>Standard</v>
      </c>
      <c r="E1218" t="s">
        <v>13317</v>
      </c>
      <c r="F1218" t="str">
        <f>IFERROR(INDEX(customers[country], MATCH(orders[[#This Row],[customer_id]], customers[customer_id], 0)), "Unmapped")</f>
        <v>Latvia</v>
      </c>
      <c r="G1218" t="str">
        <f>IFERROR(INDEX(Region_Map[Region], MATCH(orders[[#This Row],[Customer_Country]], Region_Map[Country], 0)), "Unknown")</f>
        <v>Baltics</v>
      </c>
      <c r="H1218" t="s">
        <v>6949</v>
      </c>
    </row>
    <row r="1219" spans="1:8">
      <c r="A1219" t="s">
        <v>2130</v>
      </c>
      <c r="B1219" t="s">
        <v>6</v>
      </c>
      <c r="C1219" s="1">
        <v>44987</v>
      </c>
      <c r="D1219" s="1" t="str">
        <f>PROPER(orders[[#This Row],[order_priority]])</f>
        <v>Express</v>
      </c>
      <c r="E1219" t="s">
        <v>13318</v>
      </c>
      <c r="F1219" t="str">
        <f>IFERROR(INDEX(customers[country], MATCH(orders[[#This Row],[customer_id]], customers[customer_id], 0)), "Unmapped")</f>
        <v>Latvia</v>
      </c>
      <c r="G1219" t="str">
        <f>IFERROR(INDEX(Region_Map[Region], MATCH(orders[[#This Row],[Customer_Country]], Region_Map[Country], 0)), "Unknown")</f>
        <v>Baltics</v>
      </c>
      <c r="H1219" t="s">
        <v>6949</v>
      </c>
    </row>
    <row r="1220" spans="1:8">
      <c r="A1220" t="s">
        <v>2131</v>
      </c>
      <c r="B1220" t="s">
        <v>353</v>
      </c>
      <c r="C1220" s="1">
        <v>45078</v>
      </c>
      <c r="D1220" s="1" t="str">
        <f>PROPER(orders[[#This Row],[order_priority]])</f>
        <v>Express</v>
      </c>
      <c r="E1220" t="s">
        <v>13318</v>
      </c>
      <c r="F1220" t="str">
        <f>IFERROR(INDEX(customers[country], MATCH(orders[[#This Row],[customer_id]], customers[customer_id], 0)), "Unmapped")</f>
        <v>Estonia</v>
      </c>
      <c r="G1220" t="str">
        <f>IFERROR(INDEX(Region_Map[Region], MATCH(orders[[#This Row],[Customer_Country]], Region_Map[Country], 0)), "Unknown")</f>
        <v>Baltics</v>
      </c>
      <c r="H1220" t="s">
        <v>6949</v>
      </c>
    </row>
    <row r="1221" spans="1:8">
      <c r="A1221" t="s">
        <v>2132</v>
      </c>
      <c r="B1221" t="s">
        <v>494</v>
      </c>
      <c r="C1221" s="1">
        <v>45015</v>
      </c>
      <c r="D1221" s="1" t="str">
        <f>PROPER(orders[[#This Row],[order_priority]])</f>
        <v>Express</v>
      </c>
      <c r="E1221" t="s">
        <v>13318</v>
      </c>
      <c r="F1221" t="str">
        <f>IFERROR(INDEX(customers[country], MATCH(orders[[#This Row],[customer_id]], customers[customer_id], 0)), "Unmapped")</f>
        <v>Sweden</v>
      </c>
      <c r="G1221" t="str">
        <f>IFERROR(INDEX(Region_Map[Region], MATCH(orders[[#This Row],[Customer_Country]], Region_Map[Country], 0)), "Unknown")</f>
        <v>Nordics</v>
      </c>
      <c r="H1221" t="s">
        <v>6949</v>
      </c>
    </row>
    <row r="1222" spans="1:8">
      <c r="A1222" t="s">
        <v>2133</v>
      </c>
      <c r="B1222" t="s">
        <v>99</v>
      </c>
      <c r="C1222" s="1">
        <v>45386</v>
      </c>
      <c r="D1222" s="1" t="str">
        <f>PROPER(orders[[#This Row],[order_priority]])</f>
        <v>Express</v>
      </c>
      <c r="E1222" t="s">
        <v>13318</v>
      </c>
      <c r="F1222" t="str">
        <f>IFERROR(INDEX(customers[country], MATCH(orders[[#This Row],[customer_id]], customers[customer_id], 0)), "Unmapped")</f>
        <v>Poland</v>
      </c>
      <c r="G1222" t="str">
        <f>IFERROR(INDEX(Region_Map[Region], MATCH(orders[[#This Row],[Customer_Country]], Region_Map[Country], 0)), "Unknown")</f>
        <v>Central Europe</v>
      </c>
      <c r="H1222" t="s">
        <v>6949</v>
      </c>
    </row>
    <row r="1223" spans="1:8">
      <c r="A1223" t="s">
        <v>2134</v>
      </c>
      <c r="B1223" t="s">
        <v>380</v>
      </c>
      <c r="C1223" s="1">
        <v>45607</v>
      </c>
      <c r="D1223" s="1" t="str">
        <f>PROPER(orders[[#This Row],[order_priority]])</f>
        <v>Economy</v>
      </c>
      <c r="E1223" t="s">
        <v>13316</v>
      </c>
      <c r="F1223" t="str">
        <f>IFERROR(INDEX(customers[country], MATCH(orders[[#This Row],[customer_id]], customers[customer_id], 0)), "Unmapped")</f>
        <v>Sweden</v>
      </c>
      <c r="G1223" t="str">
        <f>IFERROR(INDEX(Region_Map[Region], MATCH(orders[[#This Row],[Customer_Country]], Region_Map[Country], 0)), "Unknown")</f>
        <v>Nordics</v>
      </c>
      <c r="H1223" t="s">
        <v>6949</v>
      </c>
    </row>
    <row r="1224" spans="1:8">
      <c r="A1224" t="s">
        <v>2135</v>
      </c>
      <c r="B1224" t="s">
        <v>77</v>
      </c>
      <c r="C1224" s="1">
        <v>45399</v>
      </c>
      <c r="D1224" s="1" t="str">
        <f>PROPER(orders[[#This Row],[order_priority]])</f>
        <v>Same Day</v>
      </c>
      <c r="E1224" t="s">
        <v>13322</v>
      </c>
      <c r="F1224" t="str">
        <f>IFERROR(INDEX(customers[country], MATCH(orders[[#This Row],[customer_id]], customers[customer_id], 0)), "Unmapped")</f>
        <v>Lithuania</v>
      </c>
      <c r="G1224" t="str">
        <f>IFERROR(INDEX(Region_Map[Region], MATCH(orders[[#This Row],[Customer_Country]], Region_Map[Country], 0)), "Unknown")</f>
        <v>Baltics</v>
      </c>
      <c r="H1224" t="s">
        <v>6949</v>
      </c>
    </row>
    <row r="1225" spans="1:8">
      <c r="A1225" t="s">
        <v>2136</v>
      </c>
      <c r="B1225" t="s">
        <v>371</v>
      </c>
      <c r="C1225" s="1">
        <v>45120</v>
      </c>
      <c r="D1225" s="1" t="str">
        <f>PROPER(orders[[#This Row],[order_priority]])</f>
        <v>Economy</v>
      </c>
      <c r="E1225" t="s">
        <v>13316</v>
      </c>
      <c r="F1225" t="str">
        <f>IFERROR(INDEX(customers[country], MATCH(orders[[#This Row],[customer_id]], customers[customer_id], 0)), "Unmapped")</f>
        <v>Germany</v>
      </c>
      <c r="G1225" t="str">
        <f>IFERROR(INDEX(Region_Map[Region], MATCH(orders[[#This Row],[Customer_Country]], Region_Map[Country], 0)), "Unknown")</f>
        <v>Central Europe</v>
      </c>
      <c r="H1225" t="s">
        <v>6949</v>
      </c>
    </row>
    <row r="1226" spans="1:8">
      <c r="A1226" t="s">
        <v>2137</v>
      </c>
      <c r="B1226" t="s">
        <v>635</v>
      </c>
      <c r="C1226" s="1">
        <v>45294</v>
      </c>
      <c r="D1226" s="1" t="str">
        <f>PROPER(orders[[#This Row],[order_priority]])</f>
        <v>Economy</v>
      </c>
      <c r="E1226" t="s">
        <v>13316</v>
      </c>
      <c r="F1226" t="str">
        <f>IFERROR(INDEX(customers[country], MATCH(orders[[#This Row],[customer_id]], customers[customer_id], 0)), "Unmapped")</f>
        <v>Latvia</v>
      </c>
      <c r="G1226" t="str">
        <f>IFERROR(INDEX(Region_Map[Region], MATCH(orders[[#This Row],[Customer_Country]], Region_Map[Country], 0)), "Unknown")</f>
        <v>Baltics</v>
      </c>
      <c r="H1226" t="s">
        <v>6949</v>
      </c>
    </row>
    <row r="1227" spans="1:8">
      <c r="A1227" t="s">
        <v>2138</v>
      </c>
      <c r="B1227" t="s">
        <v>389</v>
      </c>
      <c r="C1227" s="1">
        <v>45342</v>
      </c>
      <c r="D1227" s="1" t="str">
        <f>PROPER(orders[[#This Row],[order_priority]])</f>
        <v>Express</v>
      </c>
      <c r="E1227" t="s">
        <v>13318</v>
      </c>
      <c r="F1227" t="str">
        <f>IFERROR(INDEX(customers[country], MATCH(orders[[#This Row],[customer_id]], customers[customer_id], 0)), "Unmapped")</f>
        <v>Poland</v>
      </c>
      <c r="G1227" t="str">
        <f>IFERROR(INDEX(Region_Map[Region], MATCH(orders[[#This Row],[Customer_Country]], Region_Map[Country], 0)), "Unknown")</f>
        <v>Central Europe</v>
      </c>
      <c r="H1227" t="s">
        <v>6949</v>
      </c>
    </row>
    <row r="1228" spans="1:8">
      <c r="A1228" t="s">
        <v>2139</v>
      </c>
      <c r="B1228" t="s">
        <v>198</v>
      </c>
      <c r="C1228" s="1">
        <v>45068</v>
      </c>
      <c r="D1228" s="1" t="str">
        <f>PROPER(orders[[#This Row],[order_priority]])</f>
        <v>Same Day</v>
      </c>
      <c r="E1228" t="s">
        <v>13322</v>
      </c>
      <c r="F1228" t="str">
        <f>IFERROR(INDEX(customers[country], MATCH(orders[[#This Row],[customer_id]], customers[customer_id], 0)), "Unmapped")</f>
        <v>Poland</v>
      </c>
      <c r="G1228" t="str">
        <f>IFERROR(INDEX(Region_Map[Region], MATCH(orders[[#This Row],[Customer_Country]], Region_Map[Country], 0)), "Unknown")</f>
        <v>Central Europe</v>
      </c>
      <c r="H1228" t="s">
        <v>6949</v>
      </c>
    </row>
    <row r="1229" spans="1:8">
      <c r="A1229" t="s">
        <v>2140</v>
      </c>
      <c r="B1229" t="s">
        <v>464</v>
      </c>
      <c r="C1229" s="1">
        <v>45186</v>
      </c>
      <c r="D1229" s="1" t="str">
        <f>PROPER(orders[[#This Row],[order_priority]])</f>
        <v>Same Day</v>
      </c>
      <c r="E1229" t="s">
        <v>13322</v>
      </c>
      <c r="F1229" t="str">
        <f>IFERROR(INDEX(customers[country], MATCH(orders[[#This Row],[customer_id]], customers[customer_id], 0)), "Unmapped")</f>
        <v>Finland</v>
      </c>
      <c r="G1229" t="str">
        <f>IFERROR(INDEX(Region_Map[Region], MATCH(orders[[#This Row],[Customer_Country]], Region_Map[Country], 0)), "Unknown")</f>
        <v>Nordics</v>
      </c>
      <c r="H1229" t="s">
        <v>6949</v>
      </c>
    </row>
    <row r="1230" spans="1:8">
      <c r="A1230" t="s">
        <v>2141</v>
      </c>
      <c r="B1230" t="s">
        <v>575</v>
      </c>
      <c r="C1230" s="1">
        <v>45294</v>
      </c>
      <c r="D1230" s="1" t="str">
        <f>PROPER(orders[[#This Row],[order_priority]])</f>
        <v>Standard</v>
      </c>
      <c r="E1230" t="s">
        <v>13317</v>
      </c>
      <c r="F1230" t="str">
        <f>IFERROR(INDEX(customers[country], MATCH(orders[[#This Row],[customer_id]], customers[customer_id], 0)), "Unmapped")</f>
        <v>Netherlands</v>
      </c>
      <c r="G1230" t="str">
        <f>IFERROR(INDEX(Region_Map[Region], MATCH(orders[[#This Row],[Customer_Country]], Region_Map[Country], 0)), "Unknown")</f>
        <v>Central Europe</v>
      </c>
      <c r="H1230" t="s">
        <v>6949</v>
      </c>
    </row>
    <row r="1231" spans="1:8">
      <c r="A1231" t="s">
        <v>2142</v>
      </c>
      <c r="B1231" t="s">
        <v>530</v>
      </c>
      <c r="C1231" s="1">
        <v>45388</v>
      </c>
      <c r="D1231" s="1" t="str">
        <f>PROPER(orders[[#This Row],[order_priority]])</f>
        <v>Economy</v>
      </c>
      <c r="E1231" t="s">
        <v>13316</v>
      </c>
      <c r="F1231" t="str">
        <f>IFERROR(INDEX(customers[country], MATCH(orders[[#This Row],[customer_id]], customers[customer_id], 0)), "Unmapped")</f>
        <v>Denmark</v>
      </c>
      <c r="G1231" t="str">
        <f>IFERROR(INDEX(Region_Map[Region], MATCH(orders[[#This Row],[Customer_Country]], Region_Map[Country], 0)), "Unknown")</f>
        <v>Nordics</v>
      </c>
      <c r="H1231" t="s">
        <v>6949</v>
      </c>
    </row>
    <row r="1232" spans="1:8">
      <c r="A1232" t="s">
        <v>2143</v>
      </c>
      <c r="B1232" t="s">
        <v>416</v>
      </c>
      <c r="C1232" s="1">
        <v>45089</v>
      </c>
      <c r="D1232" s="1" t="str">
        <f>PROPER(orders[[#This Row],[order_priority]])</f>
        <v>Express</v>
      </c>
      <c r="E1232" t="s">
        <v>13318</v>
      </c>
      <c r="F1232" t="str">
        <f>IFERROR(INDEX(customers[country], MATCH(orders[[#This Row],[customer_id]], customers[customer_id], 0)), "Unmapped")</f>
        <v>Denmark</v>
      </c>
      <c r="G1232" t="str">
        <f>IFERROR(INDEX(Region_Map[Region], MATCH(orders[[#This Row],[Customer_Country]], Region_Map[Country], 0)), "Unknown")</f>
        <v>Nordics</v>
      </c>
      <c r="H1232" t="s">
        <v>6949</v>
      </c>
    </row>
    <row r="1233" spans="1:8">
      <c r="A1233" t="s">
        <v>2144</v>
      </c>
      <c r="B1233" t="s">
        <v>335</v>
      </c>
      <c r="C1233" s="1">
        <v>44996</v>
      </c>
      <c r="D1233" s="1" t="str">
        <f>PROPER(orders[[#This Row],[order_priority]])</f>
        <v>Express</v>
      </c>
      <c r="E1233" t="s">
        <v>13326</v>
      </c>
      <c r="F1233" t="str">
        <f>IFERROR(INDEX(customers[country], MATCH(orders[[#This Row],[customer_id]], customers[customer_id], 0)), "Unmapped")</f>
        <v>Denmark</v>
      </c>
      <c r="G1233" t="str">
        <f>IFERROR(INDEX(Region_Map[Region], MATCH(orders[[#This Row],[Customer_Country]], Region_Map[Country], 0)), "Unknown")</f>
        <v>Nordics</v>
      </c>
      <c r="H1233" t="s">
        <v>6949</v>
      </c>
    </row>
    <row r="1234" spans="1:8">
      <c r="A1234" t="s">
        <v>2145</v>
      </c>
      <c r="B1234" t="s">
        <v>13341</v>
      </c>
      <c r="C1234" s="1">
        <v>45204</v>
      </c>
      <c r="D1234" s="1" t="str">
        <f>PROPER(orders[[#This Row],[order_priority]])</f>
        <v>Standard</v>
      </c>
      <c r="E1234" t="s">
        <v>13317</v>
      </c>
      <c r="F1234" t="str">
        <f>IFERROR(INDEX(customers[country], MATCH(orders[[#This Row],[customer_id]], customers[customer_id], 0)), "Unmapped")</f>
        <v>Unmapped</v>
      </c>
      <c r="G1234" t="str">
        <f>IFERROR(INDEX(Region_Map[Region], MATCH(orders[[#This Row],[Customer_Country]], Region_Map[Country], 0)), "Unknown")</f>
        <v>Unknown</v>
      </c>
      <c r="H1234" t="s">
        <v>6949</v>
      </c>
    </row>
    <row r="1235" spans="1:8">
      <c r="A1235" t="s">
        <v>2146</v>
      </c>
      <c r="B1235" t="s">
        <v>157</v>
      </c>
      <c r="C1235" s="1">
        <v>45383</v>
      </c>
      <c r="D1235" s="1" t="str">
        <f>PROPER(orders[[#This Row],[order_priority]])</f>
        <v>Express</v>
      </c>
      <c r="E1235" t="s">
        <v>13318</v>
      </c>
      <c r="F1235" t="str">
        <f>IFERROR(INDEX(customers[country], MATCH(orders[[#This Row],[customer_id]], customers[customer_id], 0)), "Unmapped")</f>
        <v>Lithuania</v>
      </c>
      <c r="G1235" t="str">
        <f>IFERROR(INDEX(Region_Map[Region], MATCH(orders[[#This Row],[Customer_Country]], Region_Map[Country], 0)), "Unknown")</f>
        <v>Baltics</v>
      </c>
      <c r="H1235" t="s">
        <v>6949</v>
      </c>
    </row>
    <row r="1236" spans="1:8">
      <c r="A1236" t="s">
        <v>2147</v>
      </c>
      <c r="B1236" t="s">
        <v>849</v>
      </c>
      <c r="C1236" s="1">
        <v>45527</v>
      </c>
      <c r="D1236" s="1" t="str">
        <f>PROPER(orders[[#This Row],[order_priority]])</f>
        <v>Same Day</v>
      </c>
      <c r="E1236" t="s">
        <v>13322</v>
      </c>
      <c r="F1236" t="str">
        <f>IFERROR(INDEX(customers[country], MATCH(orders[[#This Row],[customer_id]], customers[customer_id], 0)), "Unmapped")</f>
        <v>Lithuania</v>
      </c>
      <c r="G1236" t="str">
        <f>IFERROR(INDEX(Region_Map[Region], MATCH(orders[[#This Row],[Customer_Country]], Region_Map[Country], 0)), "Unknown")</f>
        <v>Baltics</v>
      </c>
      <c r="H1236" t="s">
        <v>6949</v>
      </c>
    </row>
    <row r="1237" spans="1:8">
      <c r="A1237" t="s">
        <v>2148</v>
      </c>
      <c r="B1237" t="s">
        <v>587</v>
      </c>
      <c r="C1237" s="1">
        <v>45188</v>
      </c>
      <c r="D1237" s="1" t="str">
        <f>PROPER(orders[[#This Row],[order_priority]])</f>
        <v>Same Day</v>
      </c>
      <c r="E1237" t="s">
        <v>13321</v>
      </c>
      <c r="F1237" t="str">
        <f>IFERROR(INDEX(customers[country], MATCH(orders[[#This Row],[customer_id]], customers[customer_id], 0)), "Unmapped")</f>
        <v>Finland</v>
      </c>
      <c r="G1237" t="str">
        <f>IFERROR(INDEX(Region_Map[Region], MATCH(orders[[#This Row],[Customer_Country]], Region_Map[Country], 0)), "Unknown")</f>
        <v>Nordics</v>
      </c>
      <c r="H1237" t="s">
        <v>6949</v>
      </c>
    </row>
    <row r="1238" spans="1:8">
      <c r="A1238" t="s">
        <v>2149</v>
      </c>
      <c r="B1238" t="s">
        <v>70</v>
      </c>
      <c r="C1238" s="1">
        <v>45380</v>
      </c>
      <c r="D1238" s="1" t="str">
        <f>PROPER(orders[[#This Row],[order_priority]])</f>
        <v>Express</v>
      </c>
      <c r="E1238" t="s">
        <v>13318</v>
      </c>
      <c r="F1238" t="str">
        <f>IFERROR(INDEX(customers[country], MATCH(orders[[#This Row],[customer_id]], customers[customer_id], 0)), "Unmapped")</f>
        <v>Estonia</v>
      </c>
      <c r="G1238" t="str">
        <f>IFERROR(INDEX(Region_Map[Region], MATCH(orders[[#This Row],[Customer_Country]], Region_Map[Country], 0)), "Unknown")</f>
        <v>Baltics</v>
      </c>
      <c r="H1238" t="s">
        <v>6949</v>
      </c>
    </row>
    <row r="1239" spans="1:8">
      <c r="A1239" t="s">
        <v>2150</v>
      </c>
      <c r="B1239" t="s">
        <v>813</v>
      </c>
      <c r="C1239" s="1">
        <v>45005</v>
      </c>
      <c r="D1239" s="1" t="str">
        <f>PROPER(orders[[#This Row],[order_priority]])</f>
        <v>Standard</v>
      </c>
      <c r="E1239" t="s">
        <v>13317</v>
      </c>
      <c r="F1239" t="str">
        <f>IFERROR(INDEX(customers[country], MATCH(orders[[#This Row],[customer_id]], customers[customer_id], 0)), "Unmapped")</f>
        <v>Norway</v>
      </c>
      <c r="G1239" t="str">
        <f>IFERROR(INDEX(Region_Map[Region], MATCH(orders[[#This Row],[Customer_Country]], Region_Map[Country], 0)), "Unknown")</f>
        <v>Nordics</v>
      </c>
      <c r="H1239" t="s">
        <v>6949</v>
      </c>
    </row>
    <row r="1240" spans="1:8">
      <c r="A1240" t="s">
        <v>2151</v>
      </c>
      <c r="B1240" t="s">
        <v>332</v>
      </c>
      <c r="C1240" s="1">
        <v>45087</v>
      </c>
      <c r="D1240" s="1" t="str">
        <f>PROPER(orders[[#This Row],[order_priority]])</f>
        <v>Express</v>
      </c>
      <c r="E1240" t="s">
        <v>13320</v>
      </c>
      <c r="F1240" t="str">
        <f>IFERROR(INDEX(customers[country], MATCH(orders[[#This Row],[customer_id]], customers[customer_id], 0)), "Unmapped")</f>
        <v>Lithuania</v>
      </c>
      <c r="G1240" t="str">
        <f>IFERROR(INDEX(Region_Map[Region], MATCH(orders[[#This Row],[Customer_Country]], Region_Map[Country], 0)), "Unknown")</f>
        <v>Baltics</v>
      </c>
      <c r="H1240" t="s">
        <v>6949</v>
      </c>
    </row>
    <row r="1241" spans="1:8">
      <c r="A1241" t="s">
        <v>2152</v>
      </c>
      <c r="B1241" t="s">
        <v>527</v>
      </c>
      <c r="C1241" s="1">
        <v>45185</v>
      </c>
      <c r="D1241" s="1" t="str">
        <f>PROPER(orders[[#This Row],[order_priority]])</f>
        <v>Standard</v>
      </c>
      <c r="E1241" t="s">
        <v>13317</v>
      </c>
      <c r="F1241" t="str">
        <f>IFERROR(INDEX(customers[country], MATCH(orders[[#This Row],[customer_id]], customers[customer_id], 0)), "Unmapped")</f>
        <v>Sweden</v>
      </c>
      <c r="G1241" t="str">
        <f>IFERROR(INDEX(Region_Map[Region], MATCH(orders[[#This Row],[Customer_Country]], Region_Map[Country], 0)), "Unknown")</f>
        <v>Nordics</v>
      </c>
      <c r="H1241" t="s">
        <v>6949</v>
      </c>
    </row>
    <row r="1242" spans="1:8">
      <c r="A1242" t="s">
        <v>2153</v>
      </c>
      <c r="B1242" t="s">
        <v>109</v>
      </c>
      <c r="C1242" s="1">
        <v>45143</v>
      </c>
      <c r="D1242" s="1" t="str">
        <f>PROPER(orders[[#This Row],[order_priority]])</f>
        <v>Standard</v>
      </c>
      <c r="E1242" t="s">
        <v>13317</v>
      </c>
      <c r="F1242" t="str">
        <f>IFERROR(INDEX(customers[country], MATCH(orders[[#This Row],[customer_id]], customers[customer_id], 0)), "Unmapped")</f>
        <v>Netherlands</v>
      </c>
      <c r="G1242" t="str">
        <f>IFERROR(INDEX(Region_Map[Region], MATCH(orders[[#This Row],[Customer_Country]], Region_Map[Country], 0)), "Unknown")</f>
        <v>Central Europe</v>
      </c>
      <c r="H1242" t="s">
        <v>6949</v>
      </c>
    </row>
    <row r="1243" spans="1:8">
      <c r="A1243" t="s">
        <v>2154</v>
      </c>
      <c r="B1243" t="s">
        <v>500</v>
      </c>
      <c r="C1243" s="1">
        <v>45371</v>
      </c>
      <c r="D1243" s="1" t="str">
        <f>PROPER(orders[[#This Row],[order_priority]])</f>
        <v>Same Day</v>
      </c>
      <c r="E1243" t="s">
        <v>13321</v>
      </c>
      <c r="F1243" t="str">
        <f>IFERROR(INDEX(customers[country], MATCH(orders[[#This Row],[customer_id]], customers[customer_id], 0)), "Unmapped")</f>
        <v>Estonia</v>
      </c>
      <c r="G1243" t="str">
        <f>IFERROR(INDEX(Region_Map[Region], MATCH(orders[[#This Row],[Customer_Country]], Region_Map[Country], 0)), "Unknown")</f>
        <v>Baltics</v>
      </c>
      <c r="H1243" t="s">
        <v>6949</v>
      </c>
    </row>
    <row r="1244" spans="1:8">
      <c r="A1244" t="s">
        <v>2155</v>
      </c>
      <c r="B1244" t="s">
        <v>793</v>
      </c>
      <c r="C1244" s="1">
        <v>45550</v>
      </c>
      <c r="D1244" s="1" t="str">
        <f>PROPER(orders[[#This Row],[order_priority]])</f>
        <v>Express</v>
      </c>
      <c r="E1244" t="s">
        <v>13318</v>
      </c>
      <c r="F1244" t="str">
        <f>IFERROR(INDEX(customers[country], MATCH(orders[[#This Row],[customer_id]], customers[customer_id], 0)), "Unmapped")</f>
        <v>Sweden</v>
      </c>
      <c r="G1244" t="str">
        <f>IFERROR(INDEX(Region_Map[Region], MATCH(orders[[#This Row],[Customer_Country]], Region_Map[Country], 0)), "Unknown")</f>
        <v>Nordics</v>
      </c>
      <c r="H1244" t="s">
        <v>6949</v>
      </c>
    </row>
    <row r="1245" spans="1:8">
      <c r="A1245" t="s">
        <v>2156</v>
      </c>
      <c r="B1245" t="s">
        <v>837</v>
      </c>
      <c r="C1245" s="1">
        <v>45178</v>
      </c>
      <c r="D1245" s="1" t="str">
        <f>PROPER(orders[[#This Row],[order_priority]])</f>
        <v>Standard</v>
      </c>
      <c r="E1245" t="s">
        <v>13317</v>
      </c>
      <c r="F1245" t="str">
        <f>IFERROR(INDEX(customers[country], MATCH(orders[[#This Row],[customer_id]], customers[customer_id], 0)), "Unmapped")</f>
        <v>Poland</v>
      </c>
      <c r="G1245" t="str">
        <f>IFERROR(INDEX(Region_Map[Region], MATCH(orders[[#This Row],[Customer_Country]], Region_Map[Country], 0)), "Unknown")</f>
        <v>Central Europe</v>
      </c>
      <c r="H1245" t="s">
        <v>6949</v>
      </c>
    </row>
    <row r="1246" spans="1:8">
      <c r="A1246" t="s">
        <v>2157</v>
      </c>
      <c r="B1246" t="s">
        <v>837</v>
      </c>
      <c r="C1246" s="1">
        <v>45003</v>
      </c>
      <c r="D1246" s="1" t="str">
        <f>PROPER(orders[[#This Row],[order_priority]])</f>
        <v>Same Day</v>
      </c>
      <c r="E1246" t="s">
        <v>13322</v>
      </c>
      <c r="F1246" t="str">
        <f>IFERROR(INDEX(customers[country], MATCH(orders[[#This Row],[customer_id]], customers[customer_id], 0)), "Unmapped")</f>
        <v>Poland</v>
      </c>
      <c r="G1246" t="str">
        <f>IFERROR(INDEX(Region_Map[Region], MATCH(orders[[#This Row],[Customer_Country]], Region_Map[Country], 0)), "Unknown")</f>
        <v>Central Europe</v>
      </c>
      <c r="H1246" t="s">
        <v>6949</v>
      </c>
    </row>
    <row r="1247" spans="1:8">
      <c r="A1247" t="s">
        <v>2158</v>
      </c>
      <c r="B1247" t="s">
        <v>743</v>
      </c>
      <c r="C1247" s="1">
        <v>44955</v>
      </c>
      <c r="D1247" s="1" t="str">
        <f>PROPER(orders[[#This Row],[order_priority]])</f>
        <v>Same Day</v>
      </c>
      <c r="E1247" t="s">
        <v>13322</v>
      </c>
      <c r="F1247" t="str">
        <f>IFERROR(INDEX(customers[country], MATCH(orders[[#This Row],[customer_id]], customers[customer_id], 0)), "Unmapped")</f>
        <v>Germany</v>
      </c>
      <c r="G1247" t="str">
        <f>IFERROR(INDEX(Region_Map[Region], MATCH(orders[[#This Row],[Customer_Country]], Region_Map[Country], 0)), "Unknown")</f>
        <v>Central Europe</v>
      </c>
      <c r="H1247" t="s">
        <v>6949</v>
      </c>
    </row>
    <row r="1248" spans="1:8">
      <c r="A1248" t="s">
        <v>2159</v>
      </c>
      <c r="B1248" t="s">
        <v>64</v>
      </c>
      <c r="C1248" s="1">
        <v>44996</v>
      </c>
      <c r="D1248" s="1" t="str">
        <f>PROPER(orders[[#This Row],[order_priority]])</f>
        <v>Economy</v>
      </c>
      <c r="E1248" t="s">
        <v>13316</v>
      </c>
      <c r="F1248" t="str">
        <f>IFERROR(INDEX(customers[country], MATCH(orders[[#This Row],[customer_id]], customers[customer_id], 0)), "Unmapped")</f>
        <v>Netherlands</v>
      </c>
      <c r="G1248" t="str">
        <f>IFERROR(INDEX(Region_Map[Region], MATCH(orders[[#This Row],[Customer_Country]], Region_Map[Country], 0)), "Unknown")</f>
        <v>Central Europe</v>
      </c>
      <c r="H1248" t="s">
        <v>6949</v>
      </c>
    </row>
    <row r="1249" spans="1:8">
      <c r="A1249" t="s">
        <v>2160</v>
      </c>
      <c r="B1249" t="s">
        <v>623</v>
      </c>
      <c r="C1249" s="1">
        <v>45344</v>
      </c>
      <c r="D1249" s="1" t="str">
        <f>PROPER(orders[[#This Row],[order_priority]])</f>
        <v>Express</v>
      </c>
      <c r="E1249" t="s">
        <v>13318</v>
      </c>
      <c r="F1249" t="str">
        <f>IFERROR(INDEX(customers[country], MATCH(orders[[#This Row],[customer_id]], customers[customer_id], 0)), "Unmapped")</f>
        <v>Denmark</v>
      </c>
      <c r="G1249" t="str">
        <f>IFERROR(INDEX(Region_Map[Region], MATCH(orders[[#This Row],[Customer_Country]], Region_Map[Country], 0)), "Unknown")</f>
        <v>Nordics</v>
      </c>
      <c r="H1249" t="s">
        <v>6949</v>
      </c>
    </row>
    <row r="1250" spans="1:8">
      <c r="A1250" t="s">
        <v>2161</v>
      </c>
      <c r="B1250" t="s">
        <v>184</v>
      </c>
      <c r="C1250" s="1">
        <v>45040</v>
      </c>
      <c r="D1250" s="1" t="str">
        <f>PROPER(orders[[#This Row],[order_priority]])</f>
        <v>Express</v>
      </c>
      <c r="E1250" t="s">
        <v>13318</v>
      </c>
      <c r="F1250" t="str">
        <f>IFERROR(INDEX(customers[country], MATCH(orders[[#This Row],[customer_id]], customers[customer_id], 0)), "Unmapped")</f>
        <v>Netherlands</v>
      </c>
      <c r="G1250" t="str">
        <f>IFERROR(INDEX(Region_Map[Region], MATCH(orders[[#This Row],[Customer_Country]], Region_Map[Country], 0)), "Unknown")</f>
        <v>Central Europe</v>
      </c>
      <c r="H1250" t="s">
        <v>6949</v>
      </c>
    </row>
    <row r="1251" spans="1:8">
      <c r="A1251" t="s">
        <v>2162</v>
      </c>
      <c r="B1251" t="s">
        <v>620</v>
      </c>
      <c r="C1251" s="1">
        <v>45215</v>
      </c>
      <c r="D1251" s="1" t="str">
        <f>PROPER(orders[[#This Row],[order_priority]])</f>
        <v>Same Day</v>
      </c>
      <c r="E1251" t="s">
        <v>13322</v>
      </c>
      <c r="F1251" t="str">
        <f>IFERROR(INDEX(customers[country], MATCH(orders[[#This Row],[customer_id]], customers[customer_id], 0)), "Unmapped")</f>
        <v>Latvia</v>
      </c>
      <c r="G1251" t="str">
        <f>IFERROR(INDEX(Region_Map[Region], MATCH(orders[[#This Row],[Customer_Country]], Region_Map[Country], 0)), "Unknown")</f>
        <v>Baltics</v>
      </c>
      <c r="H1251" t="s">
        <v>6949</v>
      </c>
    </row>
    <row r="1252" spans="1:8">
      <c r="A1252" t="s">
        <v>2163</v>
      </c>
      <c r="B1252" t="s">
        <v>383</v>
      </c>
      <c r="C1252" s="1">
        <v>44942</v>
      </c>
      <c r="D1252" s="1" t="str">
        <f>PROPER(orders[[#This Row],[order_priority]])</f>
        <v>Standard</v>
      </c>
      <c r="E1252" t="s">
        <v>13317</v>
      </c>
      <c r="F1252" t="str">
        <f>IFERROR(INDEX(customers[country], MATCH(orders[[#This Row],[customer_id]], customers[customer_id], 0)), "Unmapped")</f>
        <v>Germany</v>
      </c>
      <c r="G1252" t="str">
        <f>IFERROR(INDEX(Region_Map[Region], MATCH(orders[[#This Row],[Customer_Country]], Region_Map[Country], 0)), "Unknown")</f>
        <v>Central Europe</v>
      </c>
      <c r="H1252" t="s">
        <v>6949</v>
      </c>
    </row>
    <row r="1253" spans="1:8">
      <c r="A1253" t="s">
        <v>2164</v>
      </c>
      <c r="B1253" t="s">
        <v>775</v>
      </c>
      <c r="C1253" s="1">
        <v>45185</v>
      </c>
      <c r="D1253" s="1" t="str">
        <f>PROPER(orders[[#This Row],[order_priority]])</f>
        <v>Express</v>
      </c>
      <c r="E1253" t="s">
        <v>13318</v>
      </c>
      <c r="F1253" t="str">
        <f>IFERROR(INDEX(customers[country], MATCH(orders[[#This Row],[customer_id]], customers[customer_id], 0)), "Unmapped")</f>
        <v>Sweden</v>
      </c>
      <c r="G1253" t="str">
        <f>IFERROR(INDEX(Region_Map[Region], MATCH(orders[[#This Row],[Customer_Country]], Region_Map[Country], 0)), "Unknown")</f>
        <v>Nordics</v>
      </c>
      <c r="H1253" t="s">
        <v>6949</v>
      </c>
    </row>
    <row r="1254" spans="1:8">
      <c r="A1254" t="s">
        <v>2165</v>
      </c>
      <c r="B1254" t="s">
        <v>891</v>
      </c>
      <c r="C1254" s="1">
        <v>45531</v>
      </c>
      <c r="D1254" s="1" t="str">
        <f>PROPER(orders[[#This Row],[order_priority]])</f>
        <v>Express</v>
      </c>
      <c r="E1254" t="s">
        <v>13326</v>
      </c>
      <c r="F1254" t="str">
        <f>IFERROR(INDEX(customers[country], MATCH(orders[[#This Row],[customer_id]], customers[customer_id], 0)), "Unmapped")</f>
        <v>Netherlands</v>
      </c>
      <c r="G1254" t="str">
        <f>IFERROR(INDEX(Region_Map[Region], MATCH(orders[[#This Row],[Customer_Country]], Region_Map[Country], 0)), "Unknown")</f>
        <v>Central Europe</v>
      </c>
      <c r="H1254" t="s">
        <v>6949</v>
      </c>
    </row>
    <row r="1255" spans="1:8">
      <c r="A1255" t="s">
        <v>2166</v>
      </c>
      <c r="B1255" t="s">
        <v>787</v>
      </c>
      <c r="C1255" s="1">
        <v>45216</v>
      </c>
      <c r="D1255" s="1" t="str">
        <f>PROPER(orders[[#This Row],[order_priority]])</f>
        <v>Express</v>
      </c>
      <c r="E1255" t="s">
        <v>13318</v>
      </c>
      <c r="F1255" t="str">
        <f>IFERROR(INDEX(customers[country], MATCH(orders[[#This Row],[customer_id]], customers[customer_id], 0)), "Unmapped")</f>
        <v>Netherlands</v>
      </c>
      <c r="G1255" t="str">
        <f>IFERROR(INDEX(Region_Map[Region], MATCH(orders[[#This Row],[Customer_Country]], Region_Map[Country], 0)), "Unknown")</f>
        <v>Central Europe</v>
      </c>
      <c r="H1255" t="s">
        <v>6949</v>
      </c>
    </row>
    <row r="1256" spans="1:8">
      <c r="A1256" t="s">
        <v>2167</v>
      </c>
      <c r="B1256" t="s">
        <v>317</v>
      </c>
      <c r="C1256" s="1">
        <v>45358</v>
      </c>
      <c r="D1256" s="1" t="str">
        <f>PROPER(orders[[#This Row],[order_priority]])</f>
        <v>Same Day</v>
      </c>
      <c r="E1256" t="s">
        <v>13322</v>
      </c>
      <c r="F1256" t="str">
        <f>IFERROR(INDEX(customers[country], MATCH(orders[[#This Row],[customer_id]], customers[customer_id], 0)), "Unmapped")</f>
        <v>Sweden</v>
      </c>
      <c r="G1256" t="str">
        <f>IFERROR(INDEX(Region_Map[Region], MATCH(orders[[#This Row],[Customer_Country]], Region_Map[Country], 0)), "Unknown")</f>
        <v>Nordics</v>
      </c>
      <c r="H1256" t="s">
        <v>6949</v>
      </c>
    </row>
    <row r="1257" spans="1:8">
      <c r="A1257" t="s">
        <v>2168</v>
      </c>
      <c r="B1257" t="s">
        <v>279</v>
      </c>
      <c r="C1257" s="1">
        <v>45276</v>
      </c>
      <c r="D1257" s="1" t="str">
        <f>PROPER(orders[[#This Row],[order_priority]])</f>
        <v>Economy</v>
      </c>
      <c r="E1257" t="s">
        <v>13316</v>
      </c>
      <c r="F1257" t="str">
        <f>IFERROR(INDEX(customers[country], MATCH(orders[[#This Row],[customer_id]], customers[customer_id], 0)), "Unmapped")</f>
        <v>Germany</v>
      </c>
      <c r="G1257" t="str">
        <f>IFERROR(INDEX(Region_Map[Region], MATCH(orders[[#This Row],[Customer_Country]], Region_Map[Country], 0)), "Unknown")</f>
        <v>Central Europe</v>
      </c>
      <c r="H1257" t="s">
        <v>6949</v>
      </c>
    </row>
    <row r="1258" spans="1:8">
      <c r="A1258" t="s">
        <v>2169</v>
      </c>
      <c r="B1258" t="s">
        <v>306</v>
      </c>
      <c r="C1258" s="1">
        <v>45116</v>
      </c>
      <c r="D1258" s="1" t="str">
        <f>PROPER(orders[[#This Row],[order_priority]])</f>
        <v>Standard</v>
      </c>
      <c r="E1258" t="s">
        <v>13317</v>
      </c>
      <c r="F1258" t="str">
        <f>IFERROR(INDEX(customers[country], MATCH(orders[[#This Row],[customer_id]], customers[customer_id], 0)), "Unmapped")</f>
        <v>Estonia</v>
      </c>
      <c r="G1258" t="str">
        <f>IFERROR(INDEX(Region_Map[Region], MATCH(orders[[#This Row],[Customer_Country]], Region_Map[Country], 0)), "Unknown")</f>
        <v>Baltics</v>
      </c>
      <c r="H1258" t="s">
        <v>6949</v>
      </c>
    </row>
    <row r="1259" spans="1:8">
      <c r="A1259" t="s">
        <v>2170</v>
      </c>
      <c r="B1259" t="s">
        <v>42</v>
      </c>
      <c r="C1259" s="1">
        <v>45223</v>
      </c>
      <c r="D1259" s="1" t="str">
        <f>PROPER(orders[[#This Row],[order_priority]])</f>
        <v>Economy</v>
      </c>
      <c r="E1259" t="s">
        <v>13316</v>
      </c>
      <c r="F1259" t="str">
        <f>IFERROR(INDEX(customers[country], MATCH(orders[[#This Row],[customer_id]], customers[customer_id], 0)), "Unmapped")</f>
        <v>Estonia</v>
      </c>
      <c r="G1259" t="str">
        <f>IFERROR(INDEX(Region_Map[Region], MATCH(orders[[#This Row],[Customer_Country]], Region_Map[Country], 0)), "Unknown")</f>
        <v>Baltics</v>
      </c>
      <c r="H1259" t="s">
        <v>6949</v>
      </c>
    </row>
    <row r="1260" spans="1:8">
      <c r="A1260" t="s">
        <v>2171</v>
      </c>
      <c r="B1260" t="s">
        <v>811</v>
      </c>
      <c r="C1260" s="1">
        <v>45548</v>
      </c>
      <c r="D1260" s="1" t="str">
        <f>PROPER(orders[[#This Row],[order_priority]])</f>
        <v>Express</v>
      </c>
      <c r="E1260" t="s">
        <v>13320</v>
      </c>
      <c r="F1260" t="str">
        <f>IFERROR(INDEX(customers[country], MATCH(orders[[#This Row],[customer_id]], customers[customer_id], 0)), "Unmapped")</f>
        <v>Finland</v>
      </c>
      <c r="G1260" t="str">
        <f>IFERROR(INDEX(Region_Map[Region], MATCH(orders[[#This Row],[Customer_Country]], Region_Map[Country], 0)), "Unknown")</f>
        <v>Nordics</v>
      </c>
      <c r="H1260" t="s">
        <v>6949</v>
      </c>
    </row>
    <row r="1261" spans="1:8">
      <c r="A1261" t="s">
        <v>2172</v>
      </c>
      <c r="B1261" t="s">
        <v>518</v>
      </c>
      <c r="C1261" s="1">
        <v>45402</v>
      </c>
      <c r="D1261" s="1" t="str">
        <f>PROPER(orders[[#This Row],[order_priority]])</f>
        <v>Same Day</v>
      </c>
      <c r="E1261" t="s">
        <v>13322</v>
      </c>
      <c r="F1261" t="str">
        <f>IFERROR(INDEX(customers[country], MATCH(orders[[#This Row],[customer_id]], customers[customer_id], 0)), "Unmapped")</f>
        <v>Germany</v>
      </c>
      <c r="G1261" t="str">
        <f>IFERROR(INDEX(Region_Map[Region], MATCH(orders[[#This Row],[Customer_Country]], Region_Map[Country], 0)), "Unknown")</f>
        <v>Central Europe</v>
      </c>
      <c r="H1261" t="s">
        <v>6949</v>
      </c>
    </row>
    <row r="1262" spans="1:8">
      <c r="A1262" t="s">
        <v>2173</v>
      </c>
      <c r="B1262" t="s">
        <v>416</v>
      </c>
      <c r="C1262" s="1">
        <v>45497</v>
      </c>
      <c r="D1262" s="1" t="str">
        <f>PROPER(orders[[#This Row],[order_priority]])</f>
        <v>Economy</v>
      </c>
      <c r="E1262" t="s">
        <v>13316</v>
      </c>
      <c r="F1262" t="str">
        <f>IFERROR(INDEX(customers[country], MATCH(orders[[#This Row],[customer_id]], customers[customer_id], 0)), "Unmapped")</f>
        <v>Denmark</v>
      </c>
      <c r="G1262" t="str">
        <f>IFERROR(INDEX(Region_Map[Region], MATCH(orders[[#This Row],[Customer_Country]], Region_Map[Country], 0)), "Unknown")</f>
        <v>Nordics</v>
      </c>
      <c r="H1262" t="s">
        <v>6949</v>
      </c>
    </row>
    <row r="1263" spans="1:8">
      <c r="A1263" t="s">
        <v>2174</v>
      </c>
      <c r="B1263" t="s">
        <v>638</v>
      </c>
      <c r="C1263" s="1">
        <v>45109</v>
      </c>
      <c r="D1263" s="1" t="str">
        <f>PROPER(orders[[#This Row],[order_priority]])</f>
        <v>Economy</v>
      </c>
      <c r="E1263" t="s">
        <v>13316</v>
      </c>
      <c r="F1263" t="str">
        <f>IFERROR(INDEX(customers[country], MATCH(orders[[#This Row],[customer_id]], customers[customer_id], 0)), "Unmapped")</f>
        <v>Germany</v>
      </c>
      <c r="G1263" t="str">
        <f>IFERROR(INDEX(Region_Map[Region], MATCH(orders[[#This Row],[Customer_Country]], Region_Map[Country], 0)), "Unknown")</f>
        <v>Central Europe</v>
      </c>
      <c r="H1263" t="s">
        <v>6949</v>
      </c>
    </row>
    <row r="1264" spans="1:8">
      <c r="A1264" t="s">
        <v>2175</v>
      </c>
      <c r="B1264" t="s">
        <v>124</v>
      </c>
      <c r="C1264" s="1">
        <v>45153</v>
      </c>
      <c r="D1264" s="1" t="str">
        <f>PROPER(orders[[#This Row],[order_priority]])</f>
        <v>Express</v>
      </c>
      <c r="E1264" t="s">
        <v>13318</v>
      </c>
      <c r="F1264" t="str">
        <f>IFERROR(INDEX(customers[country], MATCH(orders[[#This Row],[customer_id]], customers[customer_id], 0)), "Unmapped")</f>
        <v>Lithuania</v>
      </c>
      <c r="G1264" t="str">
        <f>IFERROR(INDEX(Region_Map[Region], MATCH(orders[[#This Row],[Customer_Country]], Region_Map[Country], 0)), "Unknown")</f>
        <v>Baltics</v>
      </c>
      <c r="H1264" t="s">
        <v>6949</v>
      </c>
    </row>
    <row r="1265" spans="1:8">
      <c r="A1265" t="s">
        <v>2176</v>
      </c>
      <c r="B1265" t="s">
        <v>688</v>
      </c>
      <c r="C1265" s="1">
        <v>45368</v>
      </c>
      <c r="D1265" s="1" t="str">
        <f>PROPER(orders[[#This Row],[order_priority]])</f>
        <v>Express</v>
      </c>
      <c r="E1265" t="s">
        <v>13318</v>
      </c>
      <c r="F1265" t="str">
        <f>IFERROR(INDEX(customers[country], MATCH(orders[[#This Row],[customer_id]], customers[customer_id], 0)), "Unmapped")</f>
        <v>Norway</v>
      </c>
      <c r="G1265" t="str">
        <f>IFERROR(INDEX(Region_Map[Region], MATCH(orders[[#This Row],[Customer_Country]], Region_Map[Country], 0)), "Unknown")</f>
        <v>Nordics</v>
      </c>
      <c r="H1265" t="s">
        <v>6949</v>
      </c>
    </row>
    <row r="1266" spans="1:8">
      <c r="A1266" t="s">
        <v>2177</v>
      </c>
      <c r="B1266" t="s">
        <v>590</v>
      </c>
      <c r="C1266" s="1">
        <v>45124</v>
      </c>
      <c r="D1266" s="1" t="str">
        <f>PROPER(orders[[#This Row],[order_priority]])</f>
        <v>Same Day</v>
      </c>
      <c r="E1266" t="s">
        <v>13322</v>
      </c>
      <c r="F1266" t="str">
        <f>IFERROR(INDEX(customers[country], MATCH(orders[[#This Row],[customer_id]], customers[customer_id], 0)), "Unmapped")</f>
        <v>Finland</v>
      </c>
      <c r="G1266" t="str">
        <f>IFERROR(INDEX(Region_Map[Region], MATCH(orders[[#This Row],[Customer_Country]], Region_Map[Country], 0)), "Unknown")</f>
        <v>Nordics</v>
      </c>
      <c r="H1266" t="s">
        <v>6949</v>
      </c>
    </row>
    <row r="1267" spans="1:8">
      <c r="A1267" t="s">
        <v>2178</v>
      </c>
      <c r="B1267" t="s">
        <v>166</v>
      </c>
      <c r="C1267" s="1">
        <v>45059</v>
      </c>
      <c r="D1267" s="1" t="str">
        <f>PROPER(orders[[#This Row],[order_priority]])</f>
        <v>Standard</v>
      </c>
      <c r="E1267" t="s">
        <v>13317</v>
      </c>
      <c r="F1267" t="str">
        <f>IFERROR(INDEX(customers[country], MATCH(orders[[#This Row],[customer_id]], customers[customer_id], 0)), "Unmapped")</f>
        <v>Denmark</v>
      </c>
      <c r="G1267" t="str">
        <f>IFERROR(INDEX(Region_Map[Region], MATCH(orders[[#This Row],[Customer_Country]], Region_Map[Country], 0)), "Unknown")</f>
        <v>Nordics</v>
      </c>
      <c r="H1267" t="s">
        <v>6949</v>
      </c>
    </row>
    <row r="1268" spans="1:8">
      <c r="A1268" t="s">
        <v>2179</v>
      </c>
      <c r="B1268" t="s">
        <v>112</v>
      </c>
      <c r="C1268" s="1">
        <v>44981</v>
      </c>
      <c r="D1268" s="1" t="str">
        <f>PROPER(orders[[#This Row],[order_priority]])</f>
        <v>Express</v>
      </c>
      <c r="E1268" t="s">
        <v>13318</v>
      </c>
      <c r="F1268" t="str">
        <f>IFERROR(INDEX(customers[country], MATCH(orders[[#This Row],[customer_id]], customers[customer_id], 0)), "Unmapped")</f>
        <v>Finland</v>
      </c>
      <c r="G1268" t="str">
        <f>IFERROR(INDEX(Region_Map[Region], MATCH(orders[[#This Row],[Customer_Country]], Region_Map[Country], 0)), "Unknown")</f>
        <v>Nordics</v>
      </c>
      <c r="H1268" t="s">
        <v>6949</v>
      </c>
    </row>
    <row r="1269" spans="1:8">
      <c r="A1269" t="s">
        <v>2180</v>
      </c>
      <c r="B1269" t="s">
        <v>749</v>
      </c>
      <c r="C1269" s="1">
        <v>45033</v>
      </c>
      <c r="D1269" s="1" t="str">
        <f>PROPER(orders[[#This Row],[order_priority]])</f>
        <v>Standard</v>
      </c>
      <c r="E1269" t="s">
        <v>13317</v>
      </c>
      <c r="F1269" t="str">
        <f>IFERROR(INDEX(customers[country], MATCH(orders[[#This Row],[customer_id]], customers[customer_id], 0)), "Unmapped")</f>
        <v>Latvia</v>
      </c>
      <c r="G1269" t="str">
        <f>IFERROR(INDEX(Region_Map[Region], MATCH(orders[[#This Row],[Customer_Country]], Region_Map[Country], 0)), "Unknown")</f>
        <v>Baltics</v>
      </c>
      <c r="H1269" t="s">
        <v>6949</v>
      </c>
    </row>
    <row r="1270" spans="1:8">
      <c r="A1270" t="s">
        <v>2181</v>
      </c>
      <c r="B1270" t="s">
        <v>709</v>
      </c>
      <c r="C1270" s="1">
        <v>45396</v>
      </c>
      <c r="D1270" s="1" t="str">
        <f>PROPER(orders[[#This Row],[order_priority]])</f>
        <v>Standard</v>
      </c>
      <c r="E1270" t="s">
        <v>13317</v>
      </c>
      <c r="F1270" t="str">
        <f>IFERROR(INDEX(customers[country], MATCH(orders[[#This Row],[customer_id]], customers[customer_id], 0)), "Unmapped")</f>
        <v>Netherlands</v>
      </c>
      <c r="G1270" t="str">
        <f>IFERROR(INDEX(Region_Map[Region], MATCH(orders[[#This Row],[Customer_Country]], Region_Map[Country], 0)), "Unknown")</f>
        <v>Central Europe</v>
      </c>
      <c r="H1270" t="s">
        <v>6949</v>
      </c>
    </row>
    <row r="1271" spans="1:8">
      <c r="A1271" t="s">
        <v>2182</v>
      </c>
      <c r="B1271" t="s">
        <v>145</v>
      </c>
      <c r="C1271" s="1">
        <v>45234</v>
      </c>
      <c r="D1271" s="1" t="str">
        <f>PROPER(orders[[#This Row],[order_priority]])</f>
        <v>Same Day</v>
      </c>
      <c r="E1271" t="s">
        <v>13322</v>
      </c>
      <c r="F1271" t="str">
        <f>IFERROR(INDEX(customers[country], MATCH(orders[[#This Row],[customer_id]], customers[customer_id], 0)), "Unmapped")</f>
        <v>Latvia</v>
      </c>
      <c r="G1271" t="str">
        <f>IFERROR(INDEX(Region_Map[Region], MATCH(orders[[#This Row],[Customer_Country]], Region_Map[Country], 0)), "Unknown")</f>
        <v>Baltics</v>
      </c>
      <c r="H1271" t="s">
        <v>6949</v>
      </c>
    </row>
    <row r="1272" spans="1:8">
      <c r="A1272" t="s">
        <v>2183</v>
      </c>
      <c r="B1272" t="s">
        <v>187</v>
      </c>
      <c r="C1272" s="1">
        <v>45042</v>
      </c>
      <c r="D1272" s="1" t="str">
        <f>PROPER(orders[[#This Row],[order_priority]])</f>
        <v>Standard</v>
      </c>
      <c r="E1272" t="s">
        <v>13317</v>
      </c>
      <c r="F1272" t="str">
        <f>IFERROR(INDEX(customers[country], MATCH(orders[[#This Row],[customer_id]], customers[customer_id], 0)), "Unmapped")</f>
        <v>Latvia</v>
      </c>
      <c r="G1272" t="str">
        <f>IFERROR(INDEX(Region_Map[Region], MATCH(orders[[#This Row],[Customer_Country]], Region_Map[Country], 0)), "Unknown")</f>
        <v>Baltics</v>
      </c>
      <c r="H1272" t="s">
        <v>6949</v>
      </c>
    </row>
    <row r="1273" spans="1:8">
      <c r="A1273" t="s">
        <v>2184</v>
      </c>
      <c r="B1273" t="s">
        <v>488</v>
      </c>
      <c r="C1273" s="1">
        <v>45448</v>
      </c>
      <c r="D1273" s="1" t="str">
        <f>PROPER(orders[[#This Row],[order_priority]])</f>
        <v>Express</v>
      </c>
      <c r="E1273" t="s">
        <v>13318</v>
      </c>
      <c r="F1273" t="str">
        <f>IFERROR(INDEX(customers[country], MATCH(orders[[#This Row],[customer_id]], customers[customer_id], 0)), "Unmapped")</f>
        <v>Netherlands</v>
      </c>
      <c r="G1273" t="str">
        <f>IFERROR(INDEX(Region_Map[Region], MATCH(orders[[#This Row],[Customer_Country]], Region_Map[Country], 0)), "Unknown")</f>
        <v>Central Europe</v>
      </c>
      <c r="H1273" t="s">
        <v>6949</v>
      </c>
    </row>
    <row r="1274" spans="1:8">
      <c r="A1274" t="s">
        <v>2185</v>
      </c>
      <c r="B1274" t="s">
        <v>294</v>
      </c>
      <c r="C1274" s="1">
        <v>45362</v>
      </c>
      <c r="D1274" s="1" t="str">
        <f>PROPER(orders[[#This Row],[order_priority]])</f>
        <v>Standard</v>
      </c>
      <c r="E1274" t="s">
        <v>13317</v>
      </c>
      <c r="F1274" t="str">
        <f>IFERROR(INDEX(customers[country], MATCH(orders[[#This Row],[customer_id]], customers[customer_id], 0)), "Unmapped")</f>
        <v>Denmark</v>
      </c>
      <c r="G1274" t="str">
        <f>IFERROR(INDEX(Region_Map[Region], MATCH(orders[[#This Row],[Customer_Country]], Region_Map[Country], 0)), "Unknown")</f>
        <v>Nordics</v>
      </c>
      <c r="H1274" t="s">
        <v>6949</v>
      </c>
    </row>
    <row r="1275" spans="1:8">
      <c r="A1275" t="s">
        <v>2186</v>
      </c>
      <c r="B1275" t="s">
        <v>225</v>
      </c>
      <c r="C1275" s="1">
        <v>45195</v>
      </c>
      <c r="D1275" s="1" t="str">
        <f>PROPER(orders[[#This Row],[order_priority]])</f>
        <v>Same Day</v>
      </c>
      <c r="E1275" t="s">
        <v>13324</v>
      </c>
      <c r="F1275" t="str">
        <f>IFERROR(INDEX(customers[country], MATCH(orders[[#This Row],[customer_id]], customers[customer_id], 0)), "Unmapped")</f>
        <v>Poland</v>
      </c>
      <c r="G1275" t="str">
        <f>IFERROR(INDEX(Region_Map[Region], MATCH(orders[[#This Row],[Customer_Country]], Region_Map[Country], 0)), "Unknown")</f>
        <v>Central Europe</v>
      </c>
      <c r="H1275" t="s">
        <v>6949</v>
      </c>
    </row>
    <row r="1276" spans="1:8">
      <c r="A1276" t="s">
        <v>2187</v>
      </c>
      <c r="B1276" t="s">
        <v>102</v>
      </c>
      <c r="C1276" s="1">
        <v>45241</v>
      </c>
      <c r="D1276" s="1" t="str">
        <f>PROPER(orders[[#This Row],[order_priority]])</f>
        <v>Economy</v>
      </c>
      <c r="E1276" t="s">
        <v>13316</v>
      </c>
      <c r="F1276" t="str">
        <f>IFERROR(INDEX(customers[country], MATCH(orders[[#This Row],[customer_id]], customers[customer_id], 0)), "Unmapped")</f>
        <v>Denmark</v>
      </c>
      <c r="G1276" t="str">
        <f>IFERROR(INDEX(Region_Map[Region], MATCH(orders[[#This Row],[Customer_Country]], Region_Map[Country], 0)), "Unknown")</f>
        <v>Nordics</v>
      </c>
      <c r="H1276" t="s">
        <v>6949</v>
      </c>
    </row>
    <row r="1277" spans="1:8">
      <c r="A1277" t="s">
        <v>2188</v>
      </c>
      <c r="B1277" t="s">
        <v>228</v>
      </c>
      <c r="C1277" s="1">
        <v>45264</v>
      </c>
      <c r="D1277" s="1" t="str">
        <f>PROPER(orders[[#This Row],[order_priority]])</f>
        <v>Express</v>
      </c>
      <c r="E1277" t="s">
        <v>13318</v>
      </c>
      <c r="F1277" t="str">
        <f>IFERROR(INDEX(customers[country], MATCH(orders[[#This Row],[customer_id]], customers[customer_id], 0)), "Unmapped")</f>
        <v>Latvia</v>
      </c>
      <c r="G1277" t="str">
        <f>IFERROR(INDEX(Region_Map[Region], MATCH(orders[[#This Row],[Customer_Country]], Region_Map[Country], 0)), "Unknown")</f>
        <v>Baltics</v>
      </c>
      <c r="H1277" t="s">
        <v>6949</v>
      </c>
    </row>
    <row r="1278" spans="1:8">
      <c r="A1278" t="s">
        <v>2189</v>
      </c>
      <c r="B1278" t="s">
        <v>715</v>
      </c>
      <c r="C1278" s="1">
        <v>45313</v>
      </c>
      <c r="D1278" s="1" t="str">
        <f>PROPER(orders[[#This Row],[order_priority]])</f>
        <v>Express</v>
      </c>
      <c r="E1278" t="s">
        <v>13318</v>
      </c>
      <c r="F1278" t="str">
        <f>IFERROR(INDEX(customers[country], MATCH(orders[[#This Row],[customer_id]], customers[customer_id], 0)), "Unmapped")</f>
        <v>Netherlands</v>
      </c>
      <c r="G1278" t="str">
        <f>IFERROR(INDEX(Region_Map[Region], MATCH(orders[[#This Row],[Customer_Country]], Region_Map[Country], 0)), "Unknown")</f>
        <v>Central Europe</v>
      </c>
      <c r="H1278" t="s">
        <v>6949</v>
      </c>
    </row>
    <row r="1279" spans="1:8">
      <c r="A1279" t="s">
        <v>2190</v>
      </c>
      <c r="B1279" t="s">
        <v>749</v>
      </c>
      <c r="C1279" s="1">
        <v>45091</v>
      </c>
      <c r="D1279" s="1" t="str">
        <f>PROPER(orders[[#This Row],[order_priority]])</f>
        <v>Standard</v>
      </c>
      <c r="E1279" t="s">
        <v>13317</v>
      </c>
      <c r="F1279" t="str">
        <f>IFERROR(INDEX(customers[country], MATCH(orders[[#This Row],[customer_id]], customers[customer_id], 0)), "Unmapped")</f>
        <v>Latvia</v>
      </c>
      <c r="G1279" t="str">
        <f>IFERROR(INDEX(Region_Map[Region], MATCH(orders[[#This Row],[Customer_Country]], Region_Map[Country], 0)), "Unknown")</f>
        <v>Baltics</v>
      </c>
      <c r="H1279" t="s">
        <v>6949</v>
      </c>
    </row>
    <row r="1280" spans="1:8">
      <c r="A1280" t="s">
        <v>2191</v>
      </c>
      <c r="B1280" t="s">
        <v>102</v>
      </c>
      <c r="C1280" s="1">
        <v>44991</v>
      </c>
      <c r="D1280" s="1" t="str">
        <f>PROPER(orders[[#This Row],[order_priority]])</f>
        <v>Economy</v>
      </c>
      <c r="E1280" t="s">
        <v>13325</v>
      </c>
      <c r="F1280" t="str">
        <f>IFERROR(INDEX(customers[country], MATCH(orders[[#This Row],[customer_id]], customers[customer_id], 0)), "Unmapped")</f>
        <v>Denmark</v>
      </c>
      <c r="G1280" t="str">
        <f>IFERROR(INDEX(Region_Map[Region], MATCH(orders[[#This Row],[Customer_Country]], Region_Map[Country], 0)), "Unknown")</f>
        <v>Nordics</v>
      </c>
      <c r="H1280" t="s">
        <v>6949</v>
      </c>
    </row>
    <row r="1281" spans="1:8">
      <c r="A1281" t="s">
        <v>2192</v>
      </c>
      <c r="B1281" t="s">
        <v>840</v>
      </c>
      <c r="C1281" s="1">
        <v>45194</v>
      </c>
      <c r="D1281" s="1" t="str">
        <f>PROPER(orders[[#This Row],[order_priority]])</f>
        <v>Standard</v>
      </c>
      <c r="E1281" t="s">
        <v>13319</v>
      </c>
      <c r="F1281" t="str">
        <f>IFERROR(INDEX(customers[country], MATCH(orders[[#This Row],[customer_id]], customers[customer_id], 0)), "Unmapped")</f>
        <v>Finland</v>
      </c>
      <c r="G1281" t="str">
        <f>IFERROR(INDEX(Region_Map[Region], MATCH(orders[[#This Row],[Customer_Country]], Region_Map[Country], 0)), "Unknown")</f>
        <v>Nordics</v>
      </c>
      <c r="H1281" t="s">
        <v>6949</v>
      </c>
    </row>
    <row r="1282" spans="1:8">
      <c r="A1282" t="s">
        <v>2193</v>
      </c>
      <c r="B1282" t="s">
        <v>106</v>
      </c>
      <c r="C1282" s="1">
        <v>45043</v>
      </c>
      <c r="D1282" s="1" t="str">
        <f>PROPER(orders[[#This Row],[order_priority]])</f>
        <v>Express</v>
      </c>
      <c r="E1282" t="s">
        <v>13318</v>
      </c>
      <c r="F1282" t="str">
        <f>IFERROR(INDEX(customers[country], MATCH(orders[[#This Row],[customer_id]], customers[customer_id], 0)), "Unmapped")</f>
        <v>Lithuania</v>
      </c>
      <c r="G1282" t="str">
        <f>IFERROR(INDEX(Region_Map[Region], MATCH(orders[[#This Row],[Customer_Country]], Region_Map[Country], 0)), "Unknown")</f>
        <v>Baltics</v>
      </c>
      <c r="H1282" t="s">
        <v>6949</v>
      </c>
    </row>
    <row r="1283" spans="1:8">
      <c r="A1283" t="s">
        <v>2194</v>
      </c>
      <c r="B1283" t="s">
        <v>676</v>
      </c>
      <c r="C1283" s="1">
        <v>45420</v>
      </c>
      <c r="D1283" s="1" t="str">
        <f>PROPER(orders[[#This Row],[order_priority]])</f>
        <v>Same Day</v>
      </c>
      <c r="E1283" t="s">
        <v>13322</v>
      </c>
      <c r="F1283" t="str">
        <f>IFERROR(INDEX(customers[country], MATCH(orders[[#This Row],[customer_id]], customers[customer_id], 0)), "Unmapped")</f>
        <v>Latvia</v>
      </c>
      <c r="G1283" t="str">
        <f>IFERROR(INDEX(Region_Map[Region], MATCH(orders[[#This Row],[Customer_Country]], Region_Map[Country], 0)), "Unknown")</f>
        <v>Baltics</v>
      </c>
      <c r="H1283" t="s">
        <v>6949</v>
      </c>
    </row>
    <row r="1284" spans="1:8">
      <c r="A1284" t="s">
        <v>2195</v>
      </c>
      <c r="B1284" t="s">
        <v>157</v>
      </c>
      <c r="C1284" s="1">
        <v>44987</v>
      </c>
      <c r="D1284" s="1" t="str">
        <f>PROPER(orders[[#This Row],[order_priority]])</f>
        <v>Express</v>
      </c>
      <c r="E1284" t="s">
        <v>13318</v>
      </c>
      <c r="F1284" t="str">
        <f>IFERROR(INDEX(customers[country], MATCH(orders[[#This Row],[customer_id]], customers[customer_id], 0)), "Unmapped")</f>
        <v>Lithuania</v>
      </c>
      <c r="G1284" t="str">
        <f>IFERROR(INDEX(Region_Map[Region], MATCH(orders[[#This Row],[Customer_Country]], Region_Map[Country], 0)), "Unknown")</f>
        <v>Baltics</v>
      </c>
      <c r="H1284" t="s">
        <v>6949</v>
      </c>
    </row>
    <row r="1285" spans="1:8">
      <c r="A1285" t="s">
        <v>2196</v>
      </c>
      <c r="B1285" t="s">
        <v>635</v>
      </c>
      <c r="C1285" s="1">
        <v>44970</v>
      </c>
      <c r="D1285" s="1" t="str">
        <f>PROPER(orders[[#This Row],[order_priority]])</f>
        <v>Economy</v>
      </c>
      <c r="E1285" t="s">
        <v>13316</v>
      </c>
      <c r="F1285" t="str">
        <f>IFERROR(INDEX(customers[country], MATCH(orders[[#This Row],[customer_id]], customers[customer_id], 0)), "Unmapped")</f>
        <v>Latvia</v>
      </c>
      <c r="G1285" t="str">
        <f>IFERROR(INDEX(Region_Map[Region], MATCH(orders[[#This Row],[Customer_Country]], Region_Map[Country], 0)), "Unknown")</f>
        <v>Baltics</v>
      </c>
      <c r="H1285" t="s">
        <v>6949</v>
      </c>
    </row>
    <row r="1286" spans="1:8">
      <c r="A1286" t="s">
        <v>2197</v>
      </c>
      <c r="B1286" t="s">
        <v>102</v>
      </c>
      <c r="C1286" s="1">
        <v>45320</v>
      </c>
      <c r="D1286" s="1" t="str">
        <f>PROPER(orders[[#This Row],[order_priority]])</f>
        <v>Economy</v>
      </c>
      <c r="E1286" t="s">
        <v>13316</v>
      </c>
      <c r="F1286" t="str">
        <f>IFERROR(INDEX(customers[country], MATCH(orders[[#This Row],[customer_id]], customers[customer_id], 0)), "Unmapped")</f>
        <v>Denmark</v>
      </c>
      <c r="G1286" t="str">
        <f>IFERROR(INDEX(Region_Map[Region], MATCH(orders[[#This Row],[Customer_Country]], Region_Map[Country], 0)), "Unknown")</f>
        <v>Nordics</v>
      </c>
      <c r="H1286" t="s">
        <v>6949</v>
      </c>
    </row>
    <row r="1287" spans="1:8">
      <c r="A1287" t="s">
        <v>2198</v>
      </c>
      <c r="B1287" t="s">
        <v>828</v>
      </c>
      <c r="C1287" s="1">
        <v>45193</v>
      </c>
      <c r="D1287" s="1" t="str">
        <f>PROPER(orders[[#This Row],[order_priority]])</f>
        <v>Same Day</v>
      </c>
      <c r="E1287" t="s">
        <v>13322</v>
      </c>
      <c r="F1287" t="str">
        <f>IFERROR(INDEX(customers[country], MATCH(orders[[#This Row],[customer_id]], customers[customer_id], 0)), "Unmapped")</f>
        <v>Germany</v>
      </c>
      <c r="G1287" t="str">
        <f>IFERROR(INDEX(Region_Map[Region], MATCH(orders[[#This Row],[Customer_Country]], Region_Map[Country], 0)), "Unknown")</f>
        <v>Central Europe</v>
      </c>
      <c r="H1287" t="s">
        <v>6949</v>
      </c>
    </row>
    <row r="1288" spans="1:8">
      <c r="A1288" t="s">
        <v>2199</v>
      </c>
      <c r="B1288" t="s">
        <v>620</v>
      </c>
      <c r="C1288" s="1">
        <v>45524</v>
      </c>
      <c r="D1288" s="1" t="str">
        <f>PROPER(orders[[#This Row],[order_priority]])</f>
        <v>Economy</v>
      </c>
      <c r="E1288" t="s">
        <v>13316</v>
      </c>
      <c r="F1288" t="str">
        <f>IFERROR(INDEX(customers[country], MATCH(orders[[#This Row],[customer_id]], customers[customer_id], 0)), "Unmapped")</f>
        <v>Latvia</v>
      </c>
      <c r="G1288" t="str">
        <f>IFERROR(INDEX(Region_Map[Region], MATCH(orders[[#This Row],[Customer_Country]], Region_Map[Country], 0)), "Unknown")</f>
        <v>Baltics</v>
      </c>
      <c r="H1288" t="s">
        <v>6949</v>
      </c>
    </row>
    <row r="1289" spans="1:8">
      <c r="A1289" t="s">
        <v>2200</v>
      </c>
      <c r="B1289" t="s">
        <v>766</v>
      </c>
      <c r="C1289" s="1">
        <v>45443</v>
      </c>
      <c r="D1289" s="1" t="str">
        <f>PROPER(orders[[#This Row],[order_priority]])</f>
        <v>Standard</v>
      </c>
      <c r="E1289" t="s">
        <v>13317</v>
      </c>
      <c r="F1289" t="str">
        <f>IFERROR(INDEX(customers[country], MATCH(orders[[#This Row],[customer_id]], customers[customer_id], 0)), "Unmapped")</f>
        <v>Germany</v>
      </c>
      <c r="G1289" t="str">
        <f>IFERROR(INDEX(Region_Map[Region], MATCH(orders[[#This Row],[Customer_Country]], Region_Map[Country], 0)), "Unknown")</f>
        <v>Central Europe</v>
      </c>
      <c r="H1289" t="s">
        <v>6949</v>
      </c>
    </row>
    <row r="1290" spans="1:8">
      <c r="A1290" t="s">
        <v>2201</v>
      </c>
      <c r="B1290" t="s">
        <v>557</v>
      </c>
      <c r="C1290" s="1">
        <v>45378</v>
      </c>
      <c r="D1290" s="1" t="str">
        <f>PROPER(orders[[#This Row],[order_priority]])</f>
        <v>Standard</v>
      </c>
      <c r="E1290" t="s">
        <v>13319</v>
      </c>
      <c r="F1290" t="str">
        <f>IFERROR(INDEX(customers[country], MATCH(orders[[#This Row],[customer_id]], customers[customer_id], 0)), "Unmapped")</f>
        <v>Norway</v>
      </c>
      <c r="G1290" t="str">
        <f>IFERROR(INDEX(Region_Map[Region], MATCH(orders[[#This Row],[Customer_Country]], Region_Map[Country], 0)), "Unknown")</f>
        <v>Nordics</v>
      </c>
      <c r="H1290" t="s">
        <v>6949</v>
      </c>
    </row>
    <row r="1291" spans="1:8">
      <c r="A1291" t="s">
        <v>2202</v>
      </c>
      <c r="B1291" t="s">
        <v>30</v>
      </c>
      <c r="C1291" s="1">
        <v>45104</v>
      </c>
      <c r="D1291" s="1" t="str">
        <f>PROPER(orders[[#This Row],[order_priority]])</f>
        <v>Same Day</v>
      </c>
      <c r="E1291" t="s">
        <v>13322</v>
      </c>
      <c r="F1291" t="str">
        <f>IFERROR(INDEX(customers[country], MATCH(orders[[#This Row],[customer_id]], customers[customer_id], 0)), "Unmapped")</f>
        <v>Netherlands</v>
      </c>
      <c r="G1291" t="str">
        <f>IFERROR(INDEX(Region_Map[Region], MATCH(orders[[#This Row],[Customer_Country]], Region_Map[Country], 0)), "Unknown")</f>
        <v>Central Europe</v>
      </c>
      <c r="H1291" t="s">
        <v>6949</v>
      </c>
    </row>
    <row r="1292" spans="1:8">
      <c r="A1292" t="s">
        <v>2203</v>
      </c>
      <c r="B1292" t="s">
        <v>243</v>
      </c>
      <c r="C1292" s="1">
        <v>45501</v>
      </c>
      <c r="D1292" s="1" t="str">
        <f>PROPER(orders[[#This Row],[order_priority]])</f>
        <v>Standard</v>
      </c>
      <c r="E1292" t="s">
        <v>13317</v>
      </c>
      <c r="F1292" t="str">
        <f>IFERROR(INDEX(customers[country], MATCH(orders[[#This Row],[customer_id]], customers[customer_id], 0)), "Unmapped")</f>
        <v>Netherlands</v>
      </c>
      <c r="G1292" t="str">
        <f>IFERROR(INDEX(Region_Map[Region], MATCH(orders[[#This Row],[Customer_Country]], Region_Map[Country], 0)), "Unknown")</f>
        <v>Central Europe</v>
      </c>
      <c r="H1292" t="s">
        <v>6949</v>
      </c>
    </row>
    <row r="1293" spans="1:8">
      <c r="A1293" t="s">
        <v>2204</v>
      </c>
      <c r="B1293" t="s">
        <v>30</v>
      </c>
      <c r="C1293" s="1">
        <v>45109</v>
      </c>
      <c r="D1293" s="1" t="str">
        <f>PROPER(orders[[#This Row],[order_priority]])</f>
        <v>Standard</v>
      </c>
      <c r="E1293" t="s">
        <v>13317</v>
      </c>
      <c r="F1293" t="str">
        <f>IFERROR(INDEX(customers[country], MATCH(orders[[#This Row],[customer_id]], customers[customer_id], 0)), "Unmapped")</f>
        <v>Netherlands</v>
      </c>
      <c r="G1293" t="str">
        <f>IFERROR(INDEX(Region_Map[Region], MATCH(orders[[#This Row],[Customer_Country]], Region_Map[Country], 0)), "Unknown")</f>
        <v>Central Europe</v>
      </c>
      <c r="H1293" t="s">
        <v>6949</v>
      </c>
    </row>
    <row r="1294" spans="1:8">
      <c r="A1294" t="s">
        <v>2205</v>
      </c>
      <c r="B1294" t="s">
        <v>741</v>
      </c>
      <c r="C1294" s="1">
        <v>45232</v>
      </c>
      <c r="D1294" s="1" t="str">
        <f>PROPER(orders[[#This Row],[order_priority]])</f>
        <v>Express</v>
      </c>
      <c r="E1294" t="s">
        <v>13318</v>
      </c>
      <c r="F1294" t="str">
        <f>IFERROR(INDEX(customers[country], MATCH(orders[[#This Row],[customer_id]], customers[customer_id], 0)), "Unmapped")</f>
        <v>Germany</v>
      </c>
      <c r="G1294" t="str">
        <f>IFERROR(INDEX(Region_Map[Region], MATCH(orders[[#This Row],[Customer_Country]], Region_Map[Country], 0)), "Unknown")</f>
        <v>Central Europe</v>
      </c>
      <c r="H1294" t="s">
        <v>6949</v>
      </c>
    </row>
    <row r="1295" spans="1:8">
      <c r="A1295" t="s">
        <v>2206</v>
      </c>
      <c r="B1295" t="s">
        <v>374</v>
      </c>
      <c r="C1295" s="1">
        <v>45076</v>
      </c>
      <c r="D1295" s="1" t="str">
        <f>PROPER(orders[[#This Row],[order_priority]])</f>
        <v>Express</v>
      </c>
      <c r="E1295" t="s">
        <v>13318</v>
      </c>
      <c r="F1295" t="str">
        <f>IFERROR(INDEX(customers[country], MATCH(orders[[#This Row],[customer_id]], customers[customer_id], 0)), "Unmapped")</f>
        <v>Estonia</v>
      </c>
      <c r="G1295" t="str">
        <f>IFERROR(INDEX(Region_Map[Region], MATCH(orders[[#This Row],[Customer_Country]], Region_Map[Country], 0)), "Unknown")</f>
        <v>Baltics</v>
      </c>
      <c r="H1295" t="s">
        <v>6949</v>
      </c>
    </row>
    <row r="1296" spans="1:8">
      <c r="A1296" t="s">
        <v>2207</v>
      </c>
      <c r="B1296" t="s">
        <v>632</v>
      </c>
      <c r="C1296" s="1">
        <v>45299</v>
      </c>
      <c r="D1296" s="1" t="str">
        <f>PROPER(orders[[#This Row],[order_priority]])</f>
        <v>Economy</v>
      </c>
      <c r="E1296" t="s">
        <v>13316</v>
      </c>
      <c r="F1296" t="str">
        <f>IFERROR(INDEX(customers[country], MATCH(orders[[#This Row],[customer_id]], customers[customer_id], 0)), "Unmapped")</f>
        <v>Norway</v>
      </c>
      <c r="G1296" t="str">
        <f>IFERROR(INDEX(Region_Map[Region], MATCH(orders[[#This Row],[Customer_Country]], Region_Map[Country], 0)), "Unknown")</f>
        <v>Nordics</v>
      </c>
      <c r="H1296" t="s">
        <v>6949</v>
      </c>
    </row>
    <row r="1297" spans="1:8">
      <c r="A1297" t="s">
        <v>2208</v>
      </c>
      <c r="B1297" t="s">
        <v>551</v>
      </c>
      <c r="C1297" s="1">
        <v>45288</v>
      </c>
      <c r="D1297" s="1" t="str">
        <f>PROPER(orders[[#This Row],[order_priority]])</f>
        <v>Express</v>
      </c>
      <c r="E1297" t="s">
        <v>13318</v>
      </c>
      <c r="F1297" t="str">
        <f>IFERROR(INDEX(customers[country], MATCH(orders[[#This Row],[customer_id]], customers[customer_id], 0)), "Unmapped")</f>
        <v>Latvia</v>
      </c>
      <c r="G1297" t="str">
        <f>IFERROR(INDEX(Region_Map[Region], MATCH(orders[[#This Row],[Customer_Country]], Region_Map[Country], 0)), "Unknown")</f>
        <v>Baltics</v>
      </c>
      <c r="H1297" t="s">
        <v>6949</v>
      </c>
    </row>
    <row r="1298" spans="1:8">
      <c r="A1298" t="s">
        <v>2209</v>
      </c>
      <c r="B1298" t="s">
        <v>15</v>
      </c>
      <c r="C1298" s="1">
        <v>45403</v>
      </c>
      <c r="D1298" s="1" t="str">
        <f>PROPER(orders[[#This Row],[order_priority]])</f>
        <v>Economy</v>
      </c>
      <c r="E1298" t="s">
        <v>13316</v>
      </c>
      <c r="F1298" t="str">
        <f>IFERROR(INDEX(customers[country], MATCH(orders[[#This Row],[customer_id]], customers[customer_id], 0)), "Unmapped")</f>
        <v>Estonia</v>
      </c>
      <c r="G1298" t="str">
        <f>IFERROR(INDEX(Region_Map[Region], MATCH(orders[[#This Row],[Customer_Country]], Region_Map[Country], 0)), "Unknown")</f>
        <v>Baltics</v>
      </c>
      <c r="H1298" t="s">
        <v>6949</v>
      </c>
    </row>
    <row r="1299" spans="1:8">
      <c r="A1299" t="s">
        <v>2210</v>
      </c>
      <c r="B1299" t="s">
        <v>413</v>
      </c>
      <c r="C1299" s="1">
        <v>45327</v>
      </c>
      <c r="D1299" s="1" t="str">
        <f>PROPER(orders[[#This Row],[order_priority]])</f>
        <v>Express</v>
      </c>
      <c r="E1299" t="s">
        <v>13318</v>
      </c>
      <c r="F1299" t="str">
        <f>IFERROR(INDEX(customers[country], MATCH(orders[[#This Row],[customer_id]], customers[customer_id], 0)), "Unmapped")</f>
        <v>Poland</v>
      </c>
      <c r="G1299" t="str">
        <f>IFERROR(INDEX(Region_Map[Region], MATCH(orders[[#This Row],[Customer_Country]], Region_Map[Country], 0)), "Unknown")</f>
        <v>Central Europe</v>
      </c>
      <c r="H1299" t="s">
        <v>6949</v>
      </c>
    </row>
    <row r="1300" spans="1:8">
      <c r="A1300" t="s">
        <v>2211</v>
      </c>
      <c r="B1300" t="s">
        <v>67</v>
      </c>
      <c r="C1300" s="1">
        <v>45267</v>
      </c>
      <c r="D1300" s="1" t="str">
        <f>PROPER(orders[[#This Row],[order_priority]])</f>
        <v>Same Day</v>
      </c>
      <c r="E1300" t="s">
        <v>13322</v>
      </c>
      <c r="F1300" t="str">
        <f>IFERROR(INDEX(customers[country], MATCH(orders[[#This Row],[customer_id]], customers[customer_id], 0)), "Unmapped")</f>
        <v>Estonia</v>
      </c>
      <c r="G1300" t="str">
        <f>IFERROR(INDEX(Region_Map[Region], MATCH(orders[[#This Row],[Customer_Country]], Region_Map[Country], 0)), "Unknown")</f>
        <v>Baltics</v>
      </c>
      <c r="H1300" t="s">
        <v>6949</v>
      </c>
    </row>
    <row r="1301" spans="1:8">
      <c r="A1301" t="s">
        <v>2212</v>
      </c>
      <c r="B1301" t="s">
        <v>873</v>
      </c>
      <c r="C1301" s="1">
        <v>44987</v>
      </c>
      <c r="D1301" s="1" t="str">
        <f>PROPER(orders[[#This Row],[order_priority]])</f>
        <v>Same Day</v>
      </c>
      <c r="E1301" t="s">
        <v>13322</v>
      </c>
      <c r="F1301" t="str">
        <f>IFERROR(INDEX(customers[country], MATCH(orders[[#This Row],[customer_id]], customers[customer_id], 0)), "Unmapped")</f>
        <v>Estonia</v>
      </c>
      <c r="G1301" t="str">
        <f>IFERROR(INDEX(Region_Map[Region], MATCH(orders[[#This Row],[Customer_Country]], Region_Map[Country], 0)), "Unknown")</f>
        <v>Baltics</v>
      </c>
      <c r="H1301" t="s">
        <v>6949</v>
      </c>
    </row>
    <row r="1302" spans="1:8">
      <c r="A1302" t="s">
        <v>2213</v>
      </c>
      <c r="B1302" t="s">
        <v>849</v>
      </c>
      <c r="C1302" s="1">
        <v>45369</v>
      </c>
      <c r="D1302" s="1" t="str">
        <f>PROPER(orders[[#This Row],[order_priority]])</f>
        <v>Economy</v>
      </c>
      <c r="E1302" t="s">
        <v>13325</v>
      </c>
      <c r="F1302" t="str">
        <f>IFERROR(INDEX(customers[country], MATCH(orders[[#This Row],[customer_id]], customers[customer_id], 0)), "Unmapped")</f>
        <v>Lithuania</v>
      </c>
      <c r="G1302" t="str">
        <f>IFERROR(INDEX(Region_Map[Region], MATCH(orders[[#This Row],[Customer_Country]], Region_Map[Country], 0)), "Unknown")</f>
        <v>Baltics</v>
      </c>
      <c r="H1302" t="s">
        <v>6949</v>
      </c>
    </row>
    <row r="1303" spans="1:8">
      <c r="A1303" t="s">
        <v>2214</v>
      </c>
      <c r="B1303" t="s">
        <v>13342</v>
      </c>
      <c r="C1303" s="1">
        <v>45426</v>
      </c>
      <c r="D1303" s="1" t="str">
        <f>PROPER(orders[[#This Row],[order_priority]])</f>
        <v>Economy</v>
      </c>
      <c r="E1303" t="s">
        <v>13316</v>
      </c>
      <c r="F1303" t="str">
        <f>IFERROR(INDEX(customers[country], MATCH(orders[[#This Row],[customer_id]], customers[customer_id], 0)), "Unmapped")</f>
        <v>Unmapped</v>
      </c>
      <c r="G1303" t="str">
        <f>IFERROR(INDEX(Region_Map[Region], MATCH(orders[[#This Row],[Customer_Country]], Region_Map[Country], 0)), "Unknown")</f>
        <v>Unknown</v>
      </c>
      <c r="H1303" t="s">
        <v>6949</v>
      </c>
    </row>
    <row r="1304" spans="1:8">
      <c r="A1304" t="s">
        <v>2215</v>
      </c>
      <c r="B1304" t="s">
        <v>784</v>
      </c>
      <c r="C1304" s="1">
        <v>45106</v>
      </c>
      <c r="D1304" s="1" t="str">
        <f>PROPER(orders[[#This Row],[order_priority]])</f>
        <v>Standard</v>
      </c>
      <c r="E1304" t="s">
        <v>13317</v>
      </c>
      <c r="F1304" t="str">
        <f>IFERROR(INDEX(customers[country], MATCH(orders[[#This Row],[customer_id]], customers[customer_id], 0)), "Unmapped")</f>
        <v>Estonia</v>
      </c>
      <c r="G1304" t="str">
        <f>IFERROR(INDEX(Region_Map[Region], MATCH(orders[[#This Row],[Customer_Country]], Region_Map[Country], 0)), "Unknown")</f>
        <v>Baltics</v>
      </c>
      <c r="H1304" t="s">
        <v>6949</v>
      </c>
    </row>
    <row r="1305" spans="1:8">
      <c r="A1305" t="s">
        <v>2216</v>
      </c>
      <c r="B1305" t="s">
        <v>581</v>
      </c>
      <c r="C1305" s="1">
        <v>45466</v>
      </c>
      <c r="D1305" s="1" t="str">
        <f>PROPER(orders[[#This Row],[order_priority]])</f>
        <v>Same Day</v>
      </c>
      <c r="E1305" t="s">
        <v>13322</v>
      </c>
      <c r="F1305" t="str">
        <f>IFERROR(INDEX(customers[country], MATCH(orders[[#This Row],[customer_id]], customers[customer_id], 0)), "Unmapped")</f>
        <v>Norway</v>
      </c>
      <c r="G1305" t="str">
        <f>IFERROR(INDEX(Region_Map[Region], MATCH(orders[[#This Row],[Customer_Country]], Region_Map[Country], 0)), "Unknown")</f>
        <v>Nordics</v>
      </c>
      <c r="H1305" t="s">
        <v>6949</v>
      </c>
    </row>
    <row r="1306" spans="1:8">
      <c r="A1306" t="s">
        <v>2217</v>
      </c>
      <c r="B1306" t="s">
        <v>467</v>
      </c>
      <c r="C1306" s="1">
        <v>45557</v>
      </c>
      <c r="D1306" s="1" t="str">
        <f>PROPER(orders[[#This Row],[order_priority]])</f>
        <v>Express</v>
      </c>
      <c r="E1306" t="s">
        <v>13326</v>
      </c>
      <c r="F1306" t="str">
        <f>IFERROR(INDEX(customers[country], MATCH(orders[[#This Row],[customer_id]], customers[customer_id], 0)), "Unmapped")</f>
        <v>Latvia</v>
      </c>
      <c r="G1306" t="str">
        <f>IFERROR(INDEX(Region_Map[Region], MATCH(orders[[#This Row],[Customer_Country]], Region_Map[Country], 0)), "Unknown")</f>
        <v>Baltics</v>
      </c>
      <c r="H1306" t="s">
        <v>6949</v>
      </c>
    </row>
    <row r="1307" spans="1:8">
      <c r="A1307" t="s">
        <v>2218</v>
      </c>
      <c r="B1307" t="s">
        <v>273</v>
      </c>
      <c r="C1307" s="1">
        <v>45079</v>
      </c>
      <c r="D1307" s="1" t="str">
        <f>PROPER(orders[[#This Row],[order_priority]])</f>
        <v>Standard</v>
      </c>
      <c r="E1307" t="s">
        <v>13323</v>
      </c>
      <c r="F1307" t="str">
        <f>IFERROR(INDEX(customers[country], MATCH(orders[[#This Row],[customer_id]], customers[customer_id], 0)), "Unmapped")</f>
        <v>Norway</v>
      </c>
      <c r="G1307" t="str">
        <f>IFERROR(INDEX(Region_Map[Region], MATCH(orders[[#This Row],[Customer_Country]], Region_Map[Country], 0)), "Unknown")</f>
        <v>Nordics</v>
      </c>
      <c r="H1307" t="s">
        <v>6949</v>
      </c>
    </row>
    <row r="1308" spans="1:8">
      <c r="A1308" t="s">
        <v>2219</v>
      </c>
      <c r="B1308" t="s">
        <v>909</v>
      </c>
      <c r="C1308" s="1">
        <v>45290</v>
      </c>
      <c r="D1308" s="1" t="str">
        <f>PROPER(orders[[#This Row],[order_priority]])</f>
        <v>Economy</v>
      </c>
      <c r="E1308" t="s">
        <v>13316</v>
      </c>
      <c r="F1308" t="str">
        <f>IFERROR(INDEX(customers[country], MATCH(orders[[#This Row],[customer_id]], customers[customer_id], 0)), "Unmapped")</f>
        <v>Poland</v>
      </c>
      <c r="G1308" t="str">
        <f>IFERROR(INDEX(Region_Map[Region], MATCH(orders[[#This Row],[Customer_Country]], Region_Map[Country], 0)), "Unknown")</f>
        <v>Central Europe</v>
      </c>
      <c r="H1308" t="s">
        <v>6949</v>
      </c>
    </row>
    <row r="1309" spans="1:8">
      <c r="A1309" t="s">
        <v>2220</v>
      </c>
      <c r="B1309" t="s">
        <v>395</v>
      </c>
      <c r="C1309" s="1">
        <v>45221</v>
      </c>
      <c r="D1309" s="1" t="str">
        <f>PROPER(orders[[#This Row],[order_priority]])</f>
        <v>Same Day</v>
      </c>
      <c r="E1309" t="s">
        <v>13322</v>
      </c>
      <c r="F1309" t="str">
        <f>IFERROR(INDEX(customers[country], MATCH(orders[[#This Row],[customer_id]], customers[customer_id], 0)), "Unmapped")</f>
        <v>Sweden</v>
      </c>
      <c r="G1309" t="str">
        <f>IFERROR(INDEX(Region_Map[Region], MATCH(orders[[#This Row],[Customer_Country]], Region_Map[Country], 0)), "Unknown")</f>
        <v>Nordics</v>
      </c>
      <c r="H1309" t="s">
        <v>6949</v>
      </c>
    </row>
    <row r="1310" spans="1:8">
      <c r="A1310" t="s">
        <v>2221</v>
      </c>
      <c r="B1310" t="s">
        <v>479</v>
      </c>
      <c r="C1310" s="1">
        <v>45556</v>
      </c>
      <c r="D1310" s="1" t="str">
        <f>PROPER(orders[[#This Row],[order_priority]])</f>
        <v>Economy</v>
      </c>
      <c r="E1310" t="s">
        <v>13316</v>
      </c>
      <c r="F1310" t="str">
        <f>IFERROR(INDEX(customers[country], MATCH(orders[[#This Row],[customer_id]], customers[customer_id], 0)), "Unmapped")</f>
        <v>Latvia</v>
      </c>
      <c r="G1310" t="str">
        <f>IFERROR(INDEX(Region_Map[Region], MATCH(orders[[#This Row],[Customer_Country]], Region_Map[Country], 0)), "Unknown")</f>
        <v>Baltics</v>
      </c>
      <c r="H1310" t="s">
        <v>6949</v>
      </c>
    </row>
    <row r="1311" spans="1:8">
      <c r="A1311" t="s">
        <v>2222</v>
      </c>
      <c r="B1311" t="s">
        <v>906</v>
      </c>
      <c r="C1311" s="1">
        <v>45524</v>
      </c>
      <c r="D1311" s="1" t="str">
        <f>PROPER(orders[[#This Row],[order_priority]])</f>
        <v>Express</v>
      </c>
      <c r="E1311" t="s">
        <v>13318</v>
      </c>
      <c r="F1311" t="str">
        <f>IFERROR(INDEX(customers[country], MATCH(orders[[#This Row],[customer_id]], customers[customer_id], 0)), "Unmapped")</f>
        <v>Sweden</v>
      </c>
      <c r="G1311" t="str">
        <f>IFERROR(INDEX(Region_Map[Region], MATCH(orders[[#This Row],[Customer_Country]], Region_Map[Country], 0)), "Unknown")</f>
        <v>Nordics</v>
      </c>
      <c r="H1311" t="s">
        <v>6949</v>
      </c>
    </row>
    <row r="1312" spans="1:8">
      <c r="A1312" t="s">
        <v>2223</v>
      </c>
      <c r="B1312" t="s">
        <v>102</v>
      </c>
      <c r="C1312" s="1">
        <v>44989</v>
      </c>
      <c r="D1312" s="1" t="str">
        <f>PROPER(orders[[#This Row],[order_priority]])</f>
        <v>Economy</v>
      </c>
      <c r="E1312" t="s">
        <v>13325</v>
      </c>
      <c r="F1312" t="str">
        <f>IFERROR(INDEX(customers[country], MATCH(orders[[#This Row],[customer_id]], customers[customer_id], 0)), "Unmapped")</f>
        <v>Denmark</v>
      </c>
      <c r="G1312" t="str">
        <f>IFERROR(INDEX(Region_Map[Region], MATCH(orders[[#This Row],[Customer_Country]], Region_Map[Country], 0)), "Unknown")</f>
        <v>Nordics</v>
      </c>
      <c r="H1312" t="s">
        <v>6949</v>
      </c>
    </row>
    <row r="1313" spans="1:8">
      <c r="A1313" t="s">
        <v>2224</v>
      </c>
      <c r="B1313" t="s">
        <v>172</v>
      </c>
      <c r="C1313" s="1">
        <v>45148</v>
      </c>
      <c r="D1313" s="1" t="str">
        <f>PROPER(orders[[#This Row],[order_priority]])</f>
        <v>Standard</v>
      </c>
      <c r="E1313" t="s">
        <v>13317</v>
      </c>
      <c r="F1313" t="str">
        <f>IFERROR(INDEX(customers[country], MATCH(orders[[#This Row],[customer_id]], customers[customer_id], 0)), "Unmapped")</f>
        <v>Denmark</v>
      </c>
      <c r="G1313" t="str">
        <f>IFERROR(INDEX(Region_Map[Region], MATCH(orders[[#This Row],[Customer_Country]], Region_Map[Country], 0)), "Unknown")</f>
        <v>Nordics</v>
      </c>
      <c r="H1313" t="s">
        <v>6949</v>
      </c>
    </row>
    <row r="1314" spans="1:8">
      <c r="A1314" t="s">
        <v>2225</v>
      </c>
      <c r="B1314" t="s">
        <v>715</v>
      </c>
      <c r="C1314" s="1">
        <v>45541</v>
      </c>
      <c r="D1314" s="1" t="str">
        <f>PROPER(orders[[#This Row],[order_priority]])</f>
        <v>Standard</v>
      </c>
      <c r="E1314" t="s">
        <v>13317</v>
      </c>
      <c r="F1314" t="str">
        <f>IFERROR(INDEX(customers[country], MATCH(orders[[#This Row],[customer_id]], customers[customer_id], 0)), "Unmapped")</f>
        <v>Netherlands</v>
      </c>
      <c r="G1314" t="str">
        <f>IFERROR(INDEX(Region_Map[Region], MATCH(orders[[#This Row],[Customer_Country]], Region_Map[Country], 0)), "Unknown")</f>
        <v>Central Europe</v>
      </c>
      <c r="H1314" t="s">
        <v>6949</v>
      </c>
    </row>
    <row r="1315" spans="1:8">
      <c r="A1315" t="s">
        <v>2226</v>
      </c>
      <c r="B1315" t="s">
        <v>491</v>
      </c>
      <c r="C1315" s="1">
        <v>45116</v>
      </c>
      <c r="D1315" s="1" t="str">
        <f>PROPER(orders[[#This Row],[order_priority]])</f>
        <v>Standard</v>
      </c>
      <c r="E1315" t="s">
        <v>13317</v>
      </c>
      <c r="F1315" t="str">
        <f>IFERROR(INDEX(customers[country], MATCH(orders[[#This Row],[customer_id]], customers[customer_id], 0)), "Unmapped")</f>
        <v>Latvia</v>
      </c>
      <c r="G1315" t="str">
        <f>IFERROR(INDEX(Region_Map[Region], MATCH(orders[[#This Row],[Customer_Country]], Region_Map[Country], 0)), "Unknown")</f>
        <v>Baltics</v>
      </c>
      <c r="H1315" t="s">
        <v>6949</v>
      </c>
    </row>
    <row r="1316" spans="1:8">
      <c r="A1316" t="s">
        <v>2227</v>
      </c>
      <c r="B1316" t="s">
        <v>879</v>
      </c>
      <c r="C1316" s="1">
        <v>45477</v>
      </c>
      <c r="D1316" s="1" t="str">
        <f>PROPER(orders[[#This Row],[order_priority]])</f>
        <v>Standard</v>
      </c>
      <c r="E1316" t="s">
        <v>13317</v>
      </c>
      <c r="F1316" t="str">
        <f>IFERROR(INDEX(customers[country], MATCH(orders[[#This Row],[customer_id]], customers[customer_id], 0)), "Unmapped")</f>
        <v>Norway</v>
      </c>
      <c r="G1316" t="str">
        <f>IFERROR(INDEX(Region_Map[Region], MATCH(orders[[#This Row],[Customer_Country]], Region_Map[Country], 0)), "Unknown")</f>
        <v>Nordics</v>
      </c>
      <c r="H1316" t="s">
        <v>6949</v>
      </c>
    </row>
    <row r="1317" spans="1:8">
      <c r="A1317" t="s">
        <v>2228</v>
      </c>
      <c r="B1317" t="s">
        <v>437</v>
      </c>
      <c r="C1317" s="1">
        <v>45264</v>
      </c>
      <c r="D1317" s="1" t="str">
        <f>PROPER(orders[[#This Row],[order_priority]])</f>
        <v>Express</v>
      </c>
      <c r="E1317" t="s">
        <v>13318</v>
      </c>
      <c r="F1317" t="str">
        <f>IFERROR(INDEX(customers[country], MATCH(orders[[#This Row],[customer_id]], customers[customer_id], 0)), "Unmapped")</f>
        <v>Lithuania</v>
      </c>
      <c r="G1317" t="str">
        <f>IFERROR(INDEX(Region_Map[Region], MATCH(orders[[#This Row],[Customer_Country]], Region_Map[Country], 0)), "Unknown")</f>
        <v>Baltics</v>
      </c>
      <c r="H1317" t="s">
        <v>6949</v>
      </c>
    </row>
    <row r="1318" spans="1:8">
      <c r="A1318" t="s">
        <v>2229</v>
      </c>
      <c r="B1318" t="s">
        <v>545</v>
      </c>
      <c r="C1318" s="1">
        <v>45470</v>
      </c>
      <c r="D1318" s="1" t="str">
        <f>PROPER(orders[[#This Row],[order_priority]])</f>
        <v>Standard</v>
      </c>
      <c r="E1318" t="s">
        <v>13317</v>
      </c>
      <c r="F1318" t="str">
        <f>IFERROR(INDEX(customers[country], MATCH(orders[[#This Row],[customer_id]], customers[customer_id], 0)), "Unmapped")</f>
        <v>Netherlands</v>
      </c>
      <c r="G1318" t="str">
        <f>IFERROR(INDEX(Region_Map[Region], MATCH(orders[[#This Row],[Customer_Country]], Region_Map[Country], 0)), "Unknown")</f>
        <v>Central Europe</v>
      </c>
      <c r="H1318" t="s">
        <v>6949</v>
      </c>
    </row>
    <row r="1319" spans="1:8">
      <c r="A1319" t="s">
        <v>2230</v>
      </c>
      <c r="B1319" t="s">
        <v>825</v>
      </c>
      <c r="C1319" s="1">
        <v>45513</v>
      </c>
      <c r="D1319" s="1" t="str">
        <f>PROPER(orders[[#This Row],[order_priority]])</f>
        <v>Economy</v>
      </c>
      <c r="E1319" t="s">
        <v>13316</v>
      </c>
      <c r="F1319" t="str">
        <f>IFERROR(INDEX(customers[country], MATCH(orders[[#This Row],[customer_id]], customers[customer_id], 0)), "Unmapped")</f>
        <v>Latvia</v>
      </c>
      <c r="G1319" t="str">
        <f>IFERROR(INDEX(Region_Map[Region], MATCH(orders[[#This Row],[Customer_Country]], Region_Map[Country], 0)), "Unknown")</f>
        <v>Baltics</v>
      </c>
      <c r="H1319" t="s">
        <v>6949</v>
      </c>
    </row>
    <row r="1320" spans="1:8">
      <c r="A1320" t="s">
        <v>2231</v>
      </c>
      <c r="B1320" t="s">
        <v>760</v>
      </c>
      <c r="C1320" s="1">
        <v>45341</v>
      </c>
      <c r="D1320" s="1" t="str">
        <f>PROPER(orders[[#This Row],[order_priority]])</f>
        <v>Economy</v>
      </c>
      <c r="E1320" t="s">
        <v>13316</v>
      </c>
      <c r="F1320" t="str">
        <f>IFERROR(INDEX(customers[country], MATCH(orders[[#This Row],[customer_id]], customers[customer_id], 0)), "Unmapped")</f>
        <v>Poland</v>
      </c>
      <c r="G1320" t="str">
        <f>IFERROR(INDEX(Region_Map[Region], MATCH(orders[[#This Row],[Customer_Country]], Region_Map[Country], 0)), "Unknown")</f>
        <v>Central Europe</v>
      </c>
      <c r="H1320" t="s">
        <v>6949</v>
      </c>
    </row>
    <row r="1321" spans="1:8">
      <c r="A1321" t="s">
        <v>2232</v>
      </c>
      <c r="B1321" t="s">
        <v>428</v>
      </c>
      <c r="C1321" s="1">
        <v>45403</v>
      </c>
      <c r="D1321" s="1" t="str">
        <f>PROPER(orders[[#This Row],[order_priority]])</f>
        <v>Economy</v>
      </c>
      <c r="E1321" t="s">
        <v>13316</v>
      </c>
      <c r="F1321" t="str">
        <f>IFERROR(INDEX(customers[country], MATCH(orders[[#This Row],[customer_id]], customers[customer_id], 0)), "Unmapped")</f>
        <v>Finland</v>
      </c>
      <c r="G1321" t="str">
        <f>IFERROR(INDEX(Region_Map[Region], MATCH(orders[[#This Row],[Customer_Country]], Region_Map[Country], 0)), "Unknown")</f>
        <v>Nordics</v>
      </c>
      <c r="H1321" t="s">
        <v>6949</v>
      </c>
    </row>
    <row r="1322" spans="1:8">
      <c r="A1322" t="s">
        <v>2233</v>
      </c>
      <c r="B1322" t="s">
        <v>864</v>
      </c>
      <c r="C1322" s="1">
        <v>45574</v>
      </c>
      <c r="D1322" s="1" t="str">
        <f>PROPER(orders[[#This Row],[order_priority]])</f>
        <v>Economy</v>
      </c>
      <c r="E1322" t="s">
        <v>13316</v>
      </c>
      <c r="F1322" t="str">
        <f>IFERROR(INDEX(customers[country], MATCH(orders[[#This Row],[customer_id]], customers[customer_id], 0)), "Unmapped")</f>
        <v>Finland</v>
      </c>
      <c r="G1322" t="str">
        <f>IFERROR(INDEX(Region_Map[Region], MATCH(orders[[#This Row],[Customer_Country]], Region_Map[Country], 0)), "Unknown")</f>
        <v>Nordics</v>
      </c>
      <c r="H1322" t="s">
        <v>6949</v>
      </c>
    </row>
    <row r="1323" spans="1:8">
      <c r="A1323" t="s">
        <v>2234</v>
      </c>
      <c r="B1323" t="s">
        <v>834</v>
      </c>
      <c r="C1323" s="1">
        <v>45347</v>
      </c>
      <c r="D1323" s="1" t="str">
        <f>PROPER(orders[[#This Row],[order_priority]])</f>
        <v>Economy</v>
      </c>
      <c r="E1323" t="s">
        <v>13316</v>
      </c>
      <c r="F1323" t="str">
        <f>IFERROR(INDEX(customers[country], MATCH(orders[[#This Row],[customer_id]], customers[customer_id], 0)), "Unmapped")</f>
        <v>Denmark</v>
      </c>
      <c r="G1323" t="str">
        <f>IFERROR(INDEX(Region_Map[Region], MATCH(orders[[#This Row],[Customer_Country]], Region_Map[Country], 0)), "Unknown")</f>
        <v>Nordics</v>
      </c>
      <c r="H1323" t="s">
        <v>6949</v>
      </c>
    </row>
    <row r="1324" spans="1:8">
      <c r="A1324" t="s">
        <v>2235</v>
      </c>
      <c r="B1324" t="s">
        <v>178</v>
      </c>
      <c r="C1324" s="1">
        <v>45025</v>
      </c>
      <c r="D1324" s="1" t="str">
        <f>PROPER(orders[[#This Row],[order_priority]])</f>
        <v>Express</v>
      </c>
      <c r="E1324" t="s">
        <v>13318</v>
      </c>
      <c r="F1324" t="str">
        <f>IFERROR(INDEX(customers[country], MATCH(orders[[#This Row],[customer_id]], customers[customer_id], 0)), "Unmapped")</f>
        <v>Poland</v>
      </c>
      <c r="G1324" t="str">
        <f>IFERROR(INDEX(Region_Map[Region], MATCH(orders[[#This Row],[Customer_Country]], Region_Map[Country], 0)), "Unknown")</f>
        <v>Central Europe</v>
      </c>
      <c r="H1324" t="s">
        <v>6949</v>
      </c>
    </row>
    <row r="1325" spans="1:8">
      <c r="A1325" t="s">
        <v>2236</v>
      </c>
      <c r="B1325" t="s">
        <v>587</v>
      </c>
      <c r="C1325" s="1">
        <v>45619</v>
      </c>
      <c r="D1325" s="1" t="str">
        <f>PROPER(orders[[#This Row],[order_priority]])</f>
        <v>Express</v>
      </c>
      <c r="E1325" t="s">
        <v>13318</v>
      </c>
      <c r="F1325" t="str">
        <f>IFERROR(INDEX(customers[country], MATCH(orders[[#This Row],[customer_id]], customers[customer_id], 0)), "Unmapped")</f>
        <v>Finland</v>
      </c>
      <c r="G1325" t="str">
        <f>IFERROR(INDEX(Region_Map[Region], MATCH(orders[[#This Row],[Customer_Country]], Region_Map[Country], 0)), "Unknown")</f>
        <v>Nordics</v>
      </c>
      <c r="H1325" t="s">
        <v>6949</v>
      </c>
    </row>
    <row r="1326" spans="1:8">
      <c r="A1326" t="s">
        <v>2237</v>
      </c>
      <c r="B1326" t="s">
        <v>6949</v>
      </c>
      <c r="C1326" s="1">
        <v>45049</v>
      </c>
      <c r="D1326" s="1" t="str">
        <f>PROPER(orders[[#This Row],[order_priority]])</f>
        <v>Express</v>
      </c>
      <c r="E1326" t="s">
        <v>13326</v>
      </c>
      <c r="F1326" t="str">
        <f>IFERROR(INDEX(customers[country], MATCH(orders[[#This Row],[customer_id]], customers[customer_id], 0)), "Unmapped")</f>
        <v>Unmapped</v>
      </c>
      <c r="G1326" t="str">
        <f>IFERROR(INDEX(Region_Map[Region], MATCH(orders[[#This Row],[Customer_Country]], Region_Map[Country], 0)), "Unknown")</f>
        <v>Unknown</v>
      </c>
      <c r="H1326" t="s">
        <v>6949</v>
      </c>
    </row>
    <row r="1327" spans="1:8">
      <c r="A1327" t="s">
        <v>2238</v>
      </c>
      <c r="B1327" t="s">
        <v>497</v>
      </c>
      <c r="C1327" s="1">
        <v>45222</v>
      </c>
      <c r="D1327" s="1" t="str">
        <f>PROPER(orders[[#This Row],[order_priority]])</f>
        <v>Same Day</v>
      </c>
      <c r="E1327" t="s">
        <v>13322</v>
      </c>
      <c r="F1327" t="str">
        <f>IFERROR(INDEX(customers[country], MATCH(orders[[#This Row],[customer_id]], customers[customer_id], 0)), "Unmapped")</f>
        <v>Germany</v>
      </c>
      <c r="G1327" t="str">
        <f>IFERROR(INDEX(Region_Map[Region], MATCH(orders[[#This Row],[Customer_Country]], Region_Map[Country], 0)), "Unknown")</f>
        <v>Central Europe</v>
      </c>
      <c r="H1327" t="s">
        <v>6949</v>
      </c>
    </row>
    <row r="1328" spans="1:8">
      <c r="A1328" t="s">
        <v>2239</v>
      </c>
      <c r="B1328" t="s">
        <v>685</v>
      </c>
      <c r="C1328" s="1">
        <v>45369</v>
      </c>
      <c r="D1328" s="1" t="str">
        <f>PROPER(orders[[#This Row],[order_priority]])</f>
        <v>Express</v>
      </c>
      <c r="E1328" t="s">
        <v>13318</v>
      </c>
      <c r="F1328" t="str">
        <f>IFERROR(INDEX(customers[country], MATCH(orders[[#This Row],[customer_id]], customers[customer_id], 0)), "Unmapped")</f>
        <v>Latvia</v>
      </c>
      <c r="G1328" t="str">
        <f>IFERROR(INDEX(Region_Map[Region], MATCH(orders[[#This Row],[Customer_Country]], Region_Map[Country], 0)), "Unknown")</f>
        <v>Baltics</v>
      </c>
      <c r="H1328" t="s">
        <v>6949</v>
      </c>
    </row>
    <row r="1329" spans="1:8">
      <c r="A1329" t="s">
        <v>2240</v>
      </c>
      <c r="B1329" t="s">
        <v>201</v>
      </c>
      <c r="C1329" s="1">
        <v>45048</v>
      </c>
      <c r="D1329" s="1" t="str">
        <f>PROPER(orders[[#This Row],[order_priority]])</f>
        <v>Economy</v>
      </c>
      <c r="E1329" t="s">
        <v>13325</v>
      </c>
      <c r="F1329" t="str">
        <f>IFERROR(INDEX(customers[country], MATCH(orders[[#This Row],[customer_id]], customers[customer_id], 0)), "Unmapped")</f>
        <v>Estonia</v>
      </c>
      <c r="G1329" t="str">
        <f>IFERROR(INDEX(Region_Map[Region], MATCH(orders[[#This Row],[Customer_Country]], Region_Map[Country], 0)), "Unknown")</f>
        <v>Baltics</v>
      </c>
      <c r="H1329" t="s">
        <v>6949</v>
      </c>
    </row>
    <row r="1330" spans="1:8">
      <c r="A1330" t="s">
        <v>2241</v>
      </c>
      <c r="B1330" t="s">
        <v>374</v>
      </c>
      <c r="C1330" s="1">
        <v>45421</v>
      </c>
      <c r="D1330" s="1" t="str">
        <f>PROPER(orders[[#This Row],[order_priority]])</f>
        <v>Standard</v>
      </c>
      <c r="E1330" t="s">
        <v>13317</v>
      </c>
      <c r="F1330" t="str">
        <f>IFERROR(INDEX(customers[country], MATCH(orders[[#This Row],[customer_id]], customers[customer_id], 0)), "Unmapped")</f>
        <v>Estonia</v>
      </c>
      <c r="G1330" t="str">
        <f>IFERROR(INDEX(Region_Map[Region], MATCH(orders[[#This Row],[Customer_Country]], Region_Map[Country], 0)), "Unknown")</f>
        <v>Baltics</v>
      </c>
      <c r="H1330" t="s">
        <v>6949</v>
      </c>
    </row>
    <row r="1331" spans="1:8">
      <c r="A1331" t="s">
        <v>2242</v>
      </c>
      <c r="B1331" t="s">
        <v>234</v>
      </c>
      <c r="C1331" s="1">
        <v>45031</v>
      </c>
      <c r="D1331" s="1" t="str">
        <f>PROPER(orders[[#This Row],[order_priority]])</f>
        <v>Same Day</v>
      </c>
      <c r="E1331" t="s">
        <v>13322</v>
      </c>
      <c r="F1331" t="str">
        <f>IFERROR(INDEX(customers[country], MATCH(orders[[#This Row],[customer_id]], customers[customer_id], 0)), "Unmapped")</f>
        <v>Finland</v>
      </c>
      <c r="G1331" t="str">
        <f>IFERROR(INDEX(Region_Map[Region], MATCH(orders[[#This Row],[Customer_Country]], Region_Map[Country], 0)), "Unknown")</f>
        <v>Nordics</v>
      </c>
      <c r="H1331" t="s">
        <v>6949</v>
      </c>
    </row>
    <row r="1332" spans="1:8">
      <c r="A1332" t="s">
        <v>2243</v>
      </c>
      <c r="B1332" t="s">
        <v>231</v>
      </c>
      <c r="C1332" s="1">
        <v>45318</v>
      </c>
      <c r="D1332" s="1" t="str">
        <f>PROPER(orders[[#This Row],[order_priority]])</f>
        <v>Same Day</v>
      </c>
      <c r="E1332" t="s">
        <v>13322</v>
      </c>
      <c r="F1332" t="str">
        <f>IFERROR(INDEX(customers[country], MATCH(orders[[#This Row],[customer_id]], customers[customer_id], 0)), "Unmapped")</f>
        <v>Lithuania</v>
      </c>
      <c r="G1332" t="str">
        <f>IFERROR(INDEX(Region_Map[Region], MATCH(orders[[#This Row],[Customer_Country]], Region_Map[Country], 0)), "Unknown")</f>
        <v>Baltics</v>
      </c>
      <c r="H1332" t="s">
        <v>6949</v>
      </c>
    </row>
    <row r="1333" spans="1:8">
      <c r="A1333" t="s">
        <v>2244</v>
      </c>
      <c r="B1333" t="s">
        <v>184</v>
      </c>
      <c r="C1333" s="1">
        <v>45562</v>
      </c>
      <c r="D1333" s="1" t="str">
        <f>PROPER(orders[[#This Row],[order_priority]])</f>
        <v>Economy</v>
      </c>
      <c r="E1333" t="s">
        <v>13316</v>
      </c>
      <c r="F1333" t="str">
        <f>IFERROR(INDEX(customers[country], MATCH(orders[[#This Row],[customer_id]], customers[customer_id], 0)), "Unmapped")</f>
        <v>Netherlands</v>
      </c>
      <c r="G1333" t="str">
        <f>IFERROR(INDEX(Region_Map[Region], MATCH(orders[[#This Row],[Customer_Country]], Region_Map[Country], 0)), "Unknown")</f>
        <v>Central Europe</v>
      </c>
      <c r="H1333" t="s">
        <v>6949</v>
      </c>
    </row>
    <row r="1334" spans="1:8">
      <c r="A1334" t="s">
        <v>2245</v>
      </c>
      <c r="B1334" t="s">
        <v>539</v>
      </c>
      <c r="C1334" s="1">
        <v>45344</v>
      </c>
      <c r="D1334" s="1" t="str">
        <f>PROPER(orders[[#This Row],[order_priority]])</f>
        <v>Express</v>
      </c>
      <c r="E1334" t="s">
        <v>13318</v>
      </c>
      <c r="F1334" t="str">
        <f>IFERROR(INDEX(customers[country], MATCH(orders[[#This Row],[customer_id]], customers[customer_id], 0)), "Unmapped")</f>
        <v>Sweden</v>
      </c>
      <c r="G1334" t="str">
        <f>IFERROR(INDEX(Region_Map[Region], MATCH(orders[[#This Row],[Customer_Country]], Region_Map[Country], 0)), "Unknown")</f>
        <v>Nordics</v>
      </c>
      <c r="H1334" t="s">
        <v>6949</v>
      </c>
    </row>
    <row r="1335" spans="1:8">
      <c r="A1335" t="s">
        <v>2246</v>
      </c>
      <c r="B1335" t="s">
        <v>497</v>
      </c>
      <c r="C1335" s="1">
        <v>45142</v>
      </c>
      <c r="D1335" s="1" t="str">
        <f>PROPER(orders[[#This Row],[order_priority]])</f>
        <v>Same Day</v>
      </c>
      <c r="E1335" t="s">
        <v>13322</v>
      </c>
      <c r="F1335" t="str">
        <f>IFERROR(INDEX(customers[country], MATCH(orders[[#This Row],[customer_id]], customers[customer_id], 0)), "Unmapped")</f>
        <v>Germany</v>
      </c>
      <c r="G1335" t="str">
        <f>IFERROR(INDEX(Region_Map[Region], MATCH(orders[[#This Row],[Customer_Country]], Region_Map[Country], 0)), "Unknown")</f>
        <v>Central Europe</v>
      </c>
      <c r="H1335" t="s">
        <v>6949</v>
      </c>
    </row>
    <row r="1336" spans="1:8">
      <c r="A1336" t="s">
        <v>2247</v>
      </c>
      <c r="B1336" t="s">
        <v>718</v>
      </c>
      <c r="C1336" s="1">
        <v>45617</v>
      </c>
      <c r="D1336" s="1" t="str">
        <f>PROPER(orders[[#This Row],[order_priority]])</f>
        <v>Standard</v>
      </c>
      <c r="E1336" t="s">
        <v>13323</v>
      </c>
      <c r="F1336" t="str">
        <f>IFERROR(INDEX(customers[country], MATCH(orders[[#This Row],[customer_id]], customers[customer_id], 0)), "Unmapped")</f>
        <v>Netherlands</v>
      </c>
      <c r="G1336" t="str">
        <f>IFERROR(INDEX(Region_Map[Region], MATCH(orders[[#This Row],[Customer_Country]], Region_Map[Country], 0)), "Unknown")</f>
        <v>Central Europe</v>
      </c>
      <c r="H1336" t="s">
        <v>6949</v>
      </c>
    </row>
    <row r="1337" spans="1:8">
      <c r="A1337" t="s">
        <v>2248</v>
      </c>
      <c r="B1337" t="s">
        <v>181</v>
      </c>
      <c r="C1337" s="1">
        <v>45111</v>
      </c>
      <c r="D1337" s="1" t="str">
        <f>PROPER(orders[[#This Row],[order_priority]])</f>
        <v>Economy</v>
      </c>
      <c r="E1337" t="s">
        <v>13316</v>
      </c>
      <c r="F1337" t="str">
        <f>IFERROR(INDEX(customers[country], MATCH(orders[[#This Row],[customer_id]], customers[customer_id], 0)), "Unmapped")</f>
        <v>Netherlands</v>
      </c>
      <c r="G1337" t="str">
        <f>IFERROR(INDEX(Region_Map[Region], MATCH(orders[[#This Row],[Customer_Country]], Region_Map[Country], 0)), "Unknown")</f>
        <v>Central Europe</v>
      </c>
      <c r="H1337" t="s">
        <v>6949</v>
      </c>
    </row>
    <row r="1338" spans="1:8">
      <c r="A1338" t="s">
        <v>2249</v>
      </c>
      <c r="B1338" t="s">
        <v>816</v>
      </c>
      <c r="C1338" s="1">
        <v>45116</v>
      </c>
      <c r="D1338" s="1" t="str">
        <f>PROPER(orders[[#This Row],[order_priority]])</f>
        <v>Standard</v>
      </c>
      <c r="E1338" t="s">
        <v>13317</v>
      </c>
      <c r="F1338" t="str">
        <f>IFERROR(INDEX(customers[country], MATCH(orders[[#This Row],[customer_id]], customers[customer_id], 0)), "Unmapped")</f>
        <v>Lithuania</v>
      </c>
      <c r="G1338" t="str">
        <f>IFERROR(INDEX(Region_Map[Region], MATCH(orders[[#This Row],[Customer_Country]], Region_Map[Country], 0)), "Unknown")</f>
        <v>Baltics</v>
      </c>
      <c r="H1338" t="s">
        <v>6949</v>
      </c>
    </row>
    <row r="1339" spans="1:8">
      <c r="A1339" t="s">
        <v>2250</v>
      </c>
      <c r="B1339" t="s">
        <v>419</v>
      </c>
      <c r="C1339" s="1">
        <v>45463</v>
      </c>
      <c r="D1339" s="1" t="str">
        <f>PROPER(orders[[#This Row],[order_priority]])</f>
        <v>Express</v>
      </c>
      <c r="E1339" t="s">
        <v>13318</v>
      </c>
      <c r="F1339" t="str">
        <f>IFERROR(INDEX(customers[country], MATCH(orders[[#This Row],[customer_id]], customers[customer_id], 0)), "Unmapped")</f>
        <v>Estonia</v>
      </c>
      <c r="G1339" t="str">
        <f>IFERROR(INDEX(Region_Map[Region], MATCH(orders[[#This Row],[Customer_Country]], Region_Map[Country], 0)), "Unknown")</f>
        <v>Baltics</v>
      </c>
      <c r="H1339" t="s">
        <v>6949</v>
      </c>
    </row>
    <row r="1340" spans="1:8">
      <c r="A1340" t="s">
        <v>2251</v>
      </c>
      <c r="B1340" t="s">
        <v>864</v>
      </c>
      <c r="C1340" s="1">
        <v>45235</v>
      </c>
      <c r="D1340" s="1" t="str">
        <f>PROPER(orders[[#This Row],[order_priority]])</f>
        <v>Same Day</v>
      </c>
      <c r="E1340" t="s">
        <v>13324</v>
      </c>
      <c r="F1340" t="str">
        <f>IFERROR(INDEX(customers[country], MATCH(orders[[#This Row],[customer_id]], customers[customer_id], 0)), "Unmapped")</f>
        <v>Finland</v>
      </c>
      <c r="G1340" t="str">
        <f>IFERROR(INDEX(Region_Map[Region], MATCH(orders[[#This Row],[Customer_Country]], Region_Map[Country], 0)), "Unknown")</f>
        <v>Nordics</v>
      </c>
      <c r="H1340" t="s">
        <v>6949</v>
      </c>
    </row>
    <row r="1341" spans="1:8">
      <c r="A1341" t="s">
        <v>2252</v>
      </c>
      <c r="B1341" t="s">
        <v>51</v>
      </c>
      <c r="C1341" s="1">
        <v>45337</v>
      </c>
      <c r="D1341" s="1" t="str">
        <f>PROPER(orders[[#This Row],[order_priority]])</f>
        <v>Standard</v>
      </c>
      <c r="E1341" t="s">
        <v>13317</v>
      </c>
      <c r="F1341" t="str">
        <f>IFERROR(INDEX(customers[country], MATCH(orders[[#This Row],[customer_id]], customers[customer_id], 0)), "Unmapped")</f>
        <v>Germany</v>
      </c>
      <c r="G1341" t="str">
        <f>IFERROR(INDEX(Region_Map[Region], MATCH(orders[[#This Row],[Customer_Country]], Region_Map[Country], 0)), "Unknown")</f>
        <v>Central Europe</v>
      </c>
      <c r="H1341" t="s">
        <v>6949</v>
      </c>
    </row>
    <row r="1342" spans="1:8">
      <c r="A1342" t="s">
        <v>2253</v>
      </c>
      <c r="B1342" t="s">
        <v>306</v>
      </c>
      <c r="C1342" s="1">
        <v>45035</v>
      </c>
      <c r="D1342" s="1" t="str">
        <f>PROPER(orders[[#This Row],[order_priority]])</f>
        <v>Same Day</v>
      </c>
      <c r="E1342" t="s">
        <v>13322</v>
      </c>
      <c r="F1342" t="str">
        <f>IFERROR(INDEX(customers[country], MATCH(orders[[#This Row],[customer_id]], customers[customer_id], 0)), "Unmapped")</f>
        <v>Estonia</v>
      </c>
      <c r="G1342" t="str">
        <f>IFERROR(INDEX(Region_Map[Region], MATCH(orders[[#This Row],[Customer_Country]], Region_Map[Country], 0)), "Unknown")</f>
        <v>Baltics</v>
      </c>
      <c r="H1342" t="s">
        <v>6949</v>
      </c>
    </row>
    <row r="1343" spans="1:8">
      <c r="A1343" t="s">
        <v>2254</v>
      </c>
      <c r="B1343" t="s">
        <v>894</v>
      </c>
      <c r="C1343" s="1">
        <v>45503</v>
      </c>
      <c r="D1343" s="1" t="str">
        <f>PROPER(orders[[#This Row],[order_priority]])</f>
        <v>Express</v>
      </c>
      <c r="E1343" t="s">
        <v>13318</v>
      </c>
      <c r="F1343" t="str">
        <f>IFERROR(INDEX(customers[country], MATCH(orders[[#This Row],[customer_id]], customers[customer_id], 0)), "Unmapped")</f>
        <v>Poland</v>
      </c>
      <c r="G1343" t="str">
        <f>IFERROR(INDEX(Region_Map[Region], MATCH(orders[[#This Row],[Customer_Country]], Region_Map[Country], 0)), "Unknown")</f>
        <v>Central Europe</v>
      </c>
      <c r="H1343" t="s">
        <v>6949</v>
      </c>
    </row>
    <row r="1344" spans="1:8">
      <c r="A1344" t="s">
        <v>2255</v>
      </c>
      <c r="B1344" t="s">
        <v>311</v>
      </c>
      <c r="C1344" s="1">
        <v>45178</v>
      </c>
      <c r="D1344" s="1" t="str">
        <f>PROPER(orders[[#This Row],[order_priority]])</f>
        <v>Same Day</v>
      </c>
      <c r="E1344" t="s">
        <v>13322</v>
      </c>
      <c r="F1344" t="str">
        <f>IFERROR(INDEX(customers[country], MATCH(orders[[#This Row],[customer_id]], customers[customer_id], 0)), "Unmapped")</f>
        <v>Netherlands</v>
      </c>
      <c r="G1344" t="str">
        <f>IFERROR(INDEX(Region_Map[Region], MATCH(orders[[#This Row],[Customer_Country]], Region_Map[Country], 0)), "Unknown")</f>
        <v>Central Europe</v>
      </c>
      <c r="H1344" t="s">
        <v>6949</v>
      </c>
    </row>
    <row r="1345" spans="1:8">
      <c r="A1345" t="s">
        <v>2256</v>
      </c>
      <c r="B1345" t="s">
        <v>793</v>
      </c>
      <c r="C1345" s="1">
        <v>44992</v>
      </c>
      <c r="D1345" s="1" t="str">
        <f>PROPER(orders[[#This Row],[order_priority]])</f>
        <v>Economy</v>
      </c>
      <c r="E1345" t="s">
        <v>13328</v>
      </c>
      <c r="F1345" t="str">
        <f>IFERROR(INDEX(customers[country], MATCH(orders[[#This Row],[customer_id]], customers[customer_id], 0)), "Unmapped")</f>
        <v>Sweden</v>
      </c>
      <c r="G1345" t="str">
        <f>IFERROR(INDEX(Region_Map[Region], MATCH(orders[[#This Row],[Customer_Country]], Region_Map[Country], 0)), "Unknown")</f>
        <v>Nordics</v>
      </c>
      <c r="H1345" t="s">
        <v>6949</v>
      </c>
    </row>
    <row r="1346" spans="1:8">
      <c r="A1346" t="s">
        <v>2257</v>
      </c>
      <c r="B1346" t="s">
        <v>584</v>
      </c>
      <c r="C1346" s="1">
        <v>44963</v>
      </c>
      <c r="D1346" s="1" t="str">
        <f>PROPER(orders[[#This Row],[order_priority]])</f>
        <v>Same Day</v>
      </c>
      <c r="E1346" t="s">
        <v>13322</v>
      </c>
      <c r="F1346" t="str">
        <f>IFERROR(INDEX(customers[country], MATCH(orders[[#This Row],[customer_id]], customers[customer_id], 0)), "Unmapped")</f>
        <v>Netherlands</v>
      </c>
      <c r="G1346" t="str">
        <f>IFERROR(INDEX(Region_Map[Region], MATCH(orders[[#This Row],[Customer_Country]], Region_Map[Country], 0)), "Unknown")</f>
        <v>Central Europe</v>
      </c>
      <c r="H1346" t="s">
        <v>6949</v>
      </c>
    </row>
    <row r="1347" spans="1:8">
      <c r="A1347" t="s">
        <v>2258</v>
      </c>
      <c r="B1347" t="s">
        <v>694</v>
      </c>
      <c r="C1347" s="1">
        <v>45511</v>
      </c>
      <c r="D1347" s="1" t="str">
        <f>PROPER(orders[[#This Row],[order_priority]])</f>
        <v>Express</v>
      </c>
      <c r="E1347" t="s">
        <v>13326</v>
      </c>
      <c r="F1347" t="str">
        <f>IFERROR(INDEX(customers[country], MATCH(orders[[#This Row],[customer_id]], customers[customer_id], 0)), "Unmapped")</f>
        <v>Lithuania</v>
      </c>
      <c r="G1347" t="str">
        <f>IFERROR(INDEX(Region_Map[Region], MATCH(orders[[#This Row],[Customer_Country]], Region_Map[Country], 0)), "Unknown")</f>
        <v>Baltics</v>
      </c>
      <c r="H1347" t="s">
        <v>6949</v>
      </c>
    </row>
    <row r="1348" spans="1:8">
      <c r="A1348" t="s">
        <v>2259</v>
      </c>
      <c r="B1348" t="s">
        <v>743</v>
      </c>
      <c r="C1348" s="1">
        <v>45561</v>
      </c>
      <c r="D1348" s="1" t="str">
        <f>PROPER(orders[[#This Row],[order_priority]])</f>
        <v>Standard</v>
      </c>
      <c r="E1348" t="s">
        <v>13317</v>
      </c>
      <c r="F1348" t="str">
        <f>IFERROR(INDEX(customers[country], MATCH(orders[[#This Row],[customer_id]], customers[customer_id], 0)), "Unmapped")</f>
        <v>Germany</v>
      </c>
      <c r="G1348" t="str">
        <f>IFERROR(INDEX(Region_Map[Region], MATCH(orders[[#This Row],[Customer_Country]], Region_Map[Country], 0)), "Unknown")</f>
        <v>Central Europe</v>
      </c>
      <c r="H1348" t="s">
        <v>6949</v>
      </c>
    </row>
    <row r="1349" spans="1:8">
      <c r="A1349" t="s">
        <v>2260</v>
      </c>
      <c r="B1349" t="s">
        <v>787</v>
      </c>
      <c r="C1349" s="1">
        <v>45313</v>
      </c>
      <c r="D1349" s="1" t="str">
        <f>PROPER(orders[[#This Row],[order_priority]])</f>
        <v>Same Day</v>
      </c>
      <c r="E1349" t="s">
        <v>13322</v>
      </c>
      <c r="F1349" t="str">
        <f>IFERROR(INDEX(customers[country], MATCH(orders[[#This Row],[customer_id]], customers[customer_id], 0)), "Unmapped")</f>
        <v>Netherlands</v>
      </c>
      <c r="G1349" t="str">
        <f>IFERROR(INDEX(Region_Map[Region], MATCH(orders[[#This Row],[Customer_Country]], Region_Map[Country], 0)), "Unknown")</f>
        <v>Central Europe</v>
      </c>
      <c r="H1349" t="s">
        <v>6949</v>
      </c>
    </row>
    <row r="1350" spans="1:8">
      <c r="A1350" t="s">
        <v>2261</v>
      </c>
      <c r="B1350" t="s">
        <v>506</v>
      </c>
      <c r="C1350" s="1">
        <v>45368</v>
      </c>
      <c r="D1350" s="1" t="str">
        <f>PROPER(orders[[#This Row],[order_priority]])</f>
        <v>Express</v>
      </c>
      <c r="E1350" t="s">
        <v>13318</v>
      </c>
      <c r="F1350" t="str">
        <f>IFERROR(INDEX(customers[country], MATCH(orders[[#This Row],[customer_id]], customers[customer_id], 0)), "Unmapped")</f>
        <v>Poland</v>
      </c>
      <c r="G1350" t="str">
        <f>IFERROR(INDEX(Region_Map[Region], MATCH(orders[[#This Row],[Customer_Country]], Region_Map[Country], 0)), "Unknown")</f>
        <v>Central Europe</v>
      </c>
      <c r="H1350" t="s">
        <v>6949</v>
      </c>
    </row>
    <row r="1351" spans="1:8">
      <c r="A1351" t="s">
        <v>2262</v>
      </c>
      <c r="B1351" t="s">
        <v>891</v>
      </c>
      <c r="C1351" s="1">
        <v>44996</v>
      </c>
      <c r="D1351" s="1" t="str">
        <f>PROPER(orders[[#This Row],[order_priority]])</f>
        <v>Express</v>
      </c>
      <c r="E1351" t="s">
        <v>13318</v>
      </c>
      <c r="F1351" t="str">
        <f>IFERROR(INDEX(customers[country], MATCH(orders[[#This Row],[customer_id]], customers[customer_id], 0)), "Unmapped")</f>
        <v>Netherlands</v>
      </c>
      <c r="G1351" t="str">
        <f>IFERROR(INDEX(Region_Map[Region], MATCH(orders[[#This Row],[Customer_Country]], Region_Map[Country], 0)), "Unknown")</f>
        <v>Central Europe</v>
      </c>
      <c r="H1351" t="s">
        <v>6949</v>
      </c>
    </row>
    <row r="1352" spans="1:8">
      <c r="A1352" t="s">
        <v>2263</v>
      </c>
      <c r="B1352" t="s">
        <v>392</v>
      </c>
      <c r="C1352" s="1">
        <v>45544</v>
      </c>
      <c r="D1352" s="1" t="str">
        <f>PROPER(orders[[#This Row],[order_priority]])</f>
        <v>Express</v>
      </c>
      <c r="E1352" t="s">
        <v>13318</v>
      </c>
      <c r="F1352" t="str">
        <f>IFERROR(INDEX(customers[country], MATCH(orders[[#This Row],[customer_id]], customers[customer_id], 0)), "Unmapped")</f>
        <v>Latvia</v>
      </c>
      <c r="G1352" t="str">
        <f>IFERROR(INDEX(Region_Map[Region], MATCH(orders[[#This Row],[Customer_Country]], Region_Map[Country], 0)), "Unknown")</f>
        <v>Baltics</v>
      </c>
      <c r="H1352" t="s">
        <v>6949</v>
      </c>
    </row>
    <row r="1353" spans="1:8">
      <c r="A1353" t="s">
        <v>2264</v>
      </c>
      <c r="B1353" t="s">
        <v>163</v>
      </c>
      <c r="C1353" s="1">
        <v>45228</v>
      </c>
      <c r="D1353" s="1" t="str">
        <f>PROPER(orders[[#This Row],[order_priority]])</f>
        <v>Standard</v>
      </c>
      <c r="E1353" t="s">
        <v>13317</v>
      </c>
      <c r="F1353" t="str">
        <f>IFERROR(INDEX(customers[country], MATCH(orders[[#This Row],[customer_id]], customers[customer_id], 0)), "Unmapped")</f>
        <v>Germany</v>
      </c>
      <c r="G1353" t="str">
        <f>IFERROR(INDEX(Region_Map[Region], MATCH(orders[[#This Row],[Customer_Country]], Region_Map[Country], 0)), "Unknown")</f>
        <v>Central Europe</v>
      </c>
      <c r="H1353" t="s">
        <v>6949</v>
      </c>
    </row>
    <row r="1354" spans="1:8">
      <c r="A1354" t="s">
        <v>2265</v>
      </c>
      <c r="B1354" t="s">
        <v>204</v>
      </c>
      <c r="C1354" s="1">
        <v>45212</v>
      </c>
      <c r="D1354" s="1" t="str">
        <f>PROPER(orders[[#This Row],[order_priority]])</f>
        <v>Economy</v>
      </c>
      <c r="E1354" t="s">
        <v>13316</v>
      </c>
      <c r="F1354" t="str">
        <f>IFERROR(INDEX(customers[country], MATCH(orders[[#This Row],[customer_id]], customers[customer_id], 0)), "Unmapped")</f>
        <v>Sweden</v>
      </c>
      <c r="G1354" t="str">
        <f>IFERROR(INDEX(Region_Map[Region], MATCH(orders[[#This Row],[Customer_Country]], Region_Map[Country], 0)), "Unknown")</f>
        <v>Nordics</v>
      </c>
      <c r="H1354" t="s">
        <v>6949</v>
      </c>
    </row>
    <row r="1355" spans="1:8">
      <c r="A1355" t="s">
        <v>2266</v>
      </c>
      <c r="B1355" t="s">
        <v>730</v>
      </c>
      <c r="C1355" s="1">
        <v>45395</v>
      </c>
      <c r="D1355" s="1" t="str">
        <f>PROPER(orders[[#This Row],[order_priority]])</f>
        <v>Standard</v>
      </c>
      <c r="E1355" t="s">
        <v>13317</v>
      </c>
      <c r="F1355" t="str">
        <f>IFERROR(INDEX(customers[country], MATCH(orders[[#This Row],[customer_id]], customers[customer_id], 0)), "Unmapped")</f>
        <v>Lithuania</v>
      </c>
      <c r="G1355" t="str">
        <f>IFERROR(INDEX(Region_Map[Region], MATCH(orders[[#This Row],[Customer_Country]], Region_Map[Country], 0)), "Unknown")</f>
        <v>Baltics</v>
      </c>
      <c r="H1355" t="s">
        <v>6949</v>
      </c>
    </row>
    <row r="1356" spans="1:8">
      <c r="A1356" t="s">
        <v>2267</v>
      </c>
      <c r="B1356" t="s">
        <v>885</v>
      </c>
      <c r="C1356" s="1">
        <v>45450</v>
      </c>
      <c r="D1356" s="1" t="str">
        <f>PROPER(orders[[#This Row],[order_priority]])</f>
        <v>Express</v>
      </c>
      <c r="E1356" t="s">
        <v>13318</v>
      </c>
      <c r="F1356" t="str">
        <f>IFERROR(INDEX(customers[country], MATCH(orders[[#This Row],[customer_id]], customers[customer_id], 0)), "Unmapped")</f>
        <v>Poland</v>
      </c>
      <c r="G1356" t="str">
        <f>IFERROR(INDEX(Region_Map[Region], MATCH(orders[[#This Row],[Customer_Country]], Region_Map[Country], 0)), "Unknown")</f>
        <v>Central Europe</v>
      </c>
      <c r="H1356" t="s">
        <v>6949</v>
      </c>
    </row>
    <row r="1357" spans="1:8">
      <c r="A1357" t="s">
        <v>2268</v>
      </c>
      <c r="B1357" t="s">
        <v>172</v>
      </c>
      <c r="C1357" s="1">
        <v>45053</v>
      </c>
      <c r="D1357" s="1" t="str">
        <f>PROPER(orders[[#This Row],[order_priority]])</f>
        <v>Standard</v>
      </c>
      <c r="E1357" t="s">
        <v>13317</v>
      </c>
      <c r="F1357" t="str">
        <f>IFERROR(INDEX(customers[country], MATCH(orders[[#This Row],[customer_id]], customers[customer_id], 0)), "Unmapped")</f>
        <v>Denmark</v>
      </c>
      <c r="G1357" t="str">
        <f>IFERROR(INDEX(Region_Map[Region], MATCH(orders[[#This Row],[Customer_Country]], Region_Map[Country], 0)), "Unknown")</f>
        <v>Nordics</v>
      </c>
      <c r="H1357" t="s">
        <v>6949</v>
      </c>
    </row>
    <row r="1358" spans="1:8">
      <c r="A1358" t="s">
        <v>2269</v>
      </c>
      <c r="B1358" t="s">
        <v>491</v>
      </c>
      <c r="C1358" s="1">
        <v>45256</v>
      </c>
      <c r="D1358" s="1" t="str">
        <f>PROPER(orders[[#This Row],[order_priority]])</f>
        <v>Express</v>
      </c>
      <c r="E1358" t="s">
        <v>13318</v>
      </c>
      <c r="F1358" t="str">
        <f>IFERROR(INDEX(customers[country], MATCH(orders[[#This Row],[customer_id]], customers[customer_id], 0)), "Unmapped")</f>
        <v>Latvia</v>
      </c>
      <c r="G1358" t="str">
        <f>IFERROR(INDEX(Region_Map[Region], MATCH(orders[[#This Row],[Customer_Country]], Region_Map[Country], 0)), "Unknown")</f>
        <v>Baltics</v>
      </c>
      <c r="H1358" t="s">
        <v>6949</v>
      </c>
    </row>
    <row r="1359" spans="1:8">
      <c r="A1359" t="s">
        <v>2270</v>
      </c>
      <c r="B1359" t="s">
        <v>650</v>
      </c>
      <c r="C1359" s="1">
        <v>45581</v>
      </c>
      <c r="D1359" s="1" t="str">
        <f>PROPER(orders[[#This Row],[order_priority]])</f>
        <v>Standard</v>
      </c>
      <c r="E1359" t="s">
        <v>13317</v>
      </c>
      <c r="F1359" t="str">
        <f>IFERROR(INDEX(customers[country], MATCH(orders[[#This Row],[customer_id]], customers[customer_id], 0)), "Unmapped")</f>
        <v>Poland</v>
      </c>
      <c r="G1359" t="str">
        <f>IFERROR(INDEX(Region_Map[Region], MATCH(orders[[#This Row],[Customer_Country]], Region_Map[Country], 0)), "Unknown")</f>
        <v>Central Europe</v>
      </c>
      <c r="H1359" t="s">
        <v>6949</v>
      </c>
    </row>
    <row r="1360" spans="1:8">
      <c r="A1360" t="s">
        <v>2271</v>
      </c>
      <c r="B1360" t="s">
        <v>297</v>
      </c>
      <c r="C1360" s="1">
        <v>44971</v>
      </c>
      <c r="D1360" s="1" t="str">
        <f>PROPER(orders[[#This Row],[order_priority]])</f>
        <v>Economy</v>
      </c>
      <c r="E1360" t="s">
        <v>13328</v>
      </c>
      <c r="F1360" t="str">
        <f>IFERROR(INDEX(customers[country], MATCH(orders[[#This Row],[customer_id]], customers[customer_id], 0)), "Unmapped")</f>
        <v>Poland</v>
      </c>
      <c r="G1360" t="str">
        <f>IFERROR(INDEX(Region_Map[Region], MATCH(orders[[#This Row],[Customer_Country]], Region_Map[Country], 0)), "Unknown")</f>
        <v>Central Europe</v>
      </c>
      <c r="H1360" t="s">
        <v>6949</v>
      </c>
    </row>
    <row r="1361" spans="1:8">
      <c r="A1361" t="s">
        <v>2272</v>
      </c>
      <c r="B1361" t="s">
        <v>443</v>
      </c>
      <c r="C1361" s="1">
        <v>45278</v>
      </c>
      <c r="D1361" s="1" t="str">
        <f>PROPER(orders[[#This Row],[order_priority]])</f>
        <v>Economy</v>
      </c>
      <c r="E1361" t="s">
        <v>13316</v>
      </c>
      <c r="F1361" t="str">
        <f>IFERROR(INDEX(customers[country], MATCH(orders[[#This Row],[customer_id]], customers[customer_id], 0)), "Unmapped")</f>
        <v>Estonia</v>
      </c>
      <c r="G1361" t="str">
        <f>IFERROR(INDEX(Region_Map[Region], MATCH(orders[[#This Row],[Customer_Country]], Region_Map[Country], 0)), "Unknown")</f>
        <v>Baltics</v>
      </c>
      <c r="H1361" t="s">
        <v>6949</v>
      </c>
    </row>
    <row r="1362" spans="1:8">
      <c r="A1362" t="s">
        <v>2273</v>
      </c>
      <c r="B1362" t="s">
        <v>515</v>
      </c>
      <c r="C1362" s="1">
        <v>45371</v>
      </c>
      <c r="D1362" s="1" t="str">
        <f>PROPER(orders[[#This Row],[order_priority]])</f>
        <v>Standard</v>
      </c>
      <c r="E1362" t="s">
        <v>13317</v>
      </c>
      <c r="F1362" t="str">
        <f>IFERROR(INDEX(customers[country], MATCH(orders[[#This Row],[customer_id]], customers[customer_id], 0)), "Unmapped")</f>
        <v>Latvia</v>
      </c>
      <c r="G1362" t="str">
        <f>IFERROR(INDEX(Region_Map[Region], MATCH(orders[[#This Row],[Customer_Country]], Region_Map[Country], 0)), "Unknown")</f>
        <v>Baltics</v>
      </c>
      <c r="H1362" t="s">
        <v>6949</v>
      </c>
    </row>
    <row r="1363" spans="1:8">
      <c r="A1363" t="s">
        <v>2274</v>
      </c>
      <c r="B1363" t="s">
        <v>48</v>
      </c>
      <c r="C1363" s="1">
        <v>45287</v>
      </c>
      <c r="D1363" s="1" t="str">
        <f>PROPER(orders[[#This Row],[order_priority]])</f>
        <v>Economy</v>
      </c>
      <c r="E1363" t="s">
        <v>13316</v>
      </c>
      <c r="F1363" t="str">
        <f>IFERROR(INDEX(customers[country], MATCH(orders[[#This Row],[customer_id]], customers[customer_id], 0)), "Unmapped")</f>
        <v>Poland</v>
      </c>
      <c r="G1363" t="str">
        <f>IFERROR(INDEX(Region_Map[Region], MATCH(orders[[#This Row],[Customer_Country]], Region_Map[Country], 0)), "Unknown")</f>
        <v>Central Europe</v>
      </c>
      <c r="H1363" t="s">
        <v>6949</v>
      </c>
    </row>
    <row r="1364" spans="1:8">
      <c r="A1364" t="s">
        <v>2275</v>
      </c>
      <c r="B1364" t="s">
        <v>760</v>
      </c>
      <c r="C1364" s="1">
        <v>45386</v>
      </c>
      <c r="D1364" s="1" t="str">
        <f>PROPER(orders[[#This Row],[order_priority]])</f>
        <v>Standard</v>
      </c>
      <c r="E1364" t="s">
        <v>13323</v>
      </c>
      <c r="F1364" t="str">
        <f>IFERROR(INDEX(customers[country], MATCH(orders[[#This Row],[customer_id]], customers[customer_id], 0)), "Unmapped")</f>
        <v>Poland</v>
      </c>
      <c r="G1364" t="str">
        <f>IFERROR(INDEX(Region_Map[Region], MATCH(orders[[#This Row],[Customer_Country]], Region_Map[Country], 0)), "Unknown")</f>
        <v>Central Europe</v>
      </c>
      <c r="H1364" t="s">
        <v>6949</v>
      </c>
    </row>
    <row r="1365" spans="1:8">
      <c r="A1365" t="s">
        <v>2276</v>
      </c>
      <c r="B1365" t="s">
        <v>488</v>
      </c>
      <c r="C1365" s="1">
        <v>44994</v>
      </c>
      <c r="D1365" s="1" t="str">
        <f>PROPER(orders[[#This Row],[order_priority]])</f>
        <v>Express</v>
      </c>
      <c r="E1365" t="s">
        <v>13318</v>
      </c>
      <c r="F1365" t="str">
        <f>IFERROR(INDEX(customers[country], MATCH(orders[[#This Row],[customer_id]], customers[customer_id], 0)), "Unmapped")</f>
        <v>Netherlands</v>
      </c>
      <c r="G1365" t="str">
        <f>IFERROR(INDEX(Region_Map[Region], MATCH(orders[[#This Row],[Customer_Country]], Region_Map[Country], 0)), "Unknown")</f>
        <v>Central Europe</v>
      </c>
      <c r="H1365" t="s">
        <v>6949</v>
      </c>
    </row>
    <row r="1366" spans="1:8">
      <c r="A1366" t="s">
        <v>2277</v>
      </c>
      <c r="B1366" t="s">
        <v>626</v>
      </c>
      <c r="C1366" s="1">
        <v>45265</v>
      </c>
      <c r="D1366" s="1" t="str">
        <f>PROPER(orders[[#This Row],[order_priority]])</f>
        <v>Standard</v>
      </c>
      <c r="E1366" t="s">
        <v>13317</v>
      </c>
      <c r="F1366" t="str">
        <f>IFERROR(INDEX(customers[country], MATCH(orders[[#This Row],[customer_id]], customers[customer_id], 0)), "Unmapped")</f>
        <v>Denmark</v>
      </c>
      <c r="G1366" t="str">
        <f>IFERROR(INDEX(Region_Map[Region], MATCH(orders[[#This Row],[Customer_Country]], Region_Map[Country], 0)), "Unknown")</f>
        <v>Nordics</v>
      </c>
      <c r="H1366" t="s">
        <v>6949</v>
      </c>
    </row>
    <row r="1367" spans="1:8">
      <c r="A1367" t="s">
        <v>2278</v>
      </c>
      <c r="B1367" t="s">
        <v>518</v>
      </c>
      <c r="C1367" s="1">
        <v>45231</v>
      </c>
      <c r="D1367" s="1" t="str">
        <f>PROPER(orders[[#This Row],[order_priority]])</f>
        <v>Express</v>
      </c>
      <c r="E1367" t="s">
        <v>13318</v>
      </c>
      <c r="F1367" t="str">
        <f>IFERROR(INDEX(customers[country], MATCH(orders[[#This Row],[customer_id]], customers[customer_id], 0)), "Unmapped")</f>
        <v>Germany</v>
      </c>
      <c r="G1367" t="str">
        <f>IFERROR(INDEX(Region_Map[Region], MATCH(orders[[#This Row],[Customer_Country]], Region_Map[Country], 0)), "Unknown")</f>
        <v>Central Europe</v>
      </c>
      <c r="H1367" t="s">
        <v>6949</v>
      </c>
    </row>
    <row r="1368" spans="1:8">
      <c r="A1368" t="s">
        <v>2279</v>
      </c>
      <c r="B1368" t="s">
        <v>15</v>
      </c>
      <c r="C1368" s="1">
        <v>45228</v>
      </c>
      <c r="D1368" s="1" t="str">
        <f>PROPER(orders[[#This Row],[order_priority]])</f>
        <v>Same Day</v>
      </c>
      <c r="E1368" t="s">
        <v>13322</v>
      </c>
      <c r="F1368" t="str">
        <f>IFERROR(INDEX(customers[country], MATCH(orders[[#This Row],[customer_id]], customers[customer_id], 0)), "Unmapped")</f>
        <v>Estonia</v>
      </c>
      <c r="G1368" t="str">
        <f>IFERROR(INDEX(Region_Map[Region], MATCH(orders[[#This Row],[Customer_Country]], Region_Map[Country], 0)), "Unknown")</f>
        <v>Baltics</v>
      </c>
      <c r="H1368" t="s">
        <v>6949</v>
      </c>
    </row>
    <row r="1369" spans="1:8">
      <c r="A1369" t="s">
        <v>2280</v>
      </c>
      <c r="B1369" t="s">
        <v>575</v>
      </c>
      <c r="C1369" s="1">
        <v>44957</v>
      </c>
      <c r="D1369" s="1" t="str">
        <f>PROPER(orders[[#This Row],[order_priority]])</f>
        <v>Express</v>
      </c>
      <c r="E1369" t="s">
        <v>13318</v>
      </c>
      <c r="F1369" t="str">
        <f>IFERROR(INDEX(customers[country], MATCH(orders[[#This Row],[customer_id]], customers[customer_id], 0)), "Unmapped")</f>
        <v>Netherlands</v>
      </c>
      <c r="G1369" t="str">
        <f>IFERROR(INDEX(Region_Map[Region], MATCH(orders[[#This Row],[Customer_Country]], Region_Map[Country], 0)), "Unknown")</f>
        <v>Central Europe</v>
      </c>
      <c r="H1369" t="s">
        <v>6949</v>
      </c>
    </row>
    <row r="1370" spans="1:8">
      <c r="A1370" t="s">
        <v>2281</v>
      </c>
      <c r="B1370" t="s">
        <v>694</v>
      </c>
      <c r="C1370" s="1">
        <v>45579</v>
      </c>
      <c r="D1370" s="1" t="str">
        <f>PROPER(orders[[#This Row],[order_priority]])</f>
        <v>Same Day</v>
      </c>
      <c r="E1370" t="s">
        <v>13321</v>
      </c>
      <c r="F1370" t="str">
        <f>IFERROR(INDEX(customers[country], MATCH(orders[[#This Row],[customer_id]], customers[customer_id], 0)), "Unmapped")</f>
        <v>Lithuania</v>
      </c>
      <c r="G1370" t="str">
        <f>IFERROR(INDEX(Region_Map[Region], MATCH(orders[[#This Row],[Customer_Country]], Region_Map[Country], 0)), "Unknown")</f>
        <v>Baltics</v>
      </c>
      <c r="H1370" t="s">
        <v>6949</v>
      </c>
    </row>
    <row r="1371" spans="1:8">
      <c r="A1371" t="s">
        <v>2282</v>
      </c>
      <c r="B1371" t="s">
        <v>61</v>
      </c>
      <c r="C1371" s="1">
        <v>44927</v>
      </c>
      <c r="D1371" s="1" t="str">
        <f>PROPER(orders[[#This Row],[order_priority]])</f>
        <v>Standard</v>
      </c>
      <c r="E1371" t="s">
        <v>13317</v>
      </c>
      <c r="F1371" t="str">
        <f>IFERROR(INDEX(customers[country], MATCH(orders[[#This Row],[customer_id]], customers[customer_id], 0)), "Unmapped")</f>
        <v>Netherlands</v>
      </c>
      <c r="G1371" t="str">
        <f>IFERROR(INDEX(Region_Map[Region], MATCH(orders[[#This Row],[Customer_Country]], Region_Map[Country], 0)), "Unknown")</f>
        <v>Central Europe</v>
      </c>
      <c r="H1371" t="s">
        <v>6949</v>
      </c>
    </row>
    <row r="1372" spans="1:8">
      <c r="A1372" t="s">
        <v>2283</v>
      </c>
      <c r="B1372" t="s">
        <v>329</v>
      </c>
      <c r="C1372" s="1">
        <v>45245</v>
      </c>
      <c r="D1372" s="1" t="str">
        <f>PROPER(orders[[#This Row],[order_priority]])</f>
        <v>Economy</v>
      </c>
      <c r="E1372" t="s">
        <v>13316</v>
      </c>
      <c r="F1372" t="str">
        <f>IFERROR(INDEX(customers[country], MATCH(orders[[#This Row],[customer_id]], customers[customer_id], 0)), "Unmapped")</f>
        <v>Poland</v>
      </c>
      <c r="G1372" t="str">
        <f>IFERROR(INDEX(Region_Map[Region], MATCH(orders[[#This Row],[Customer_Country]], Region_Map[Country], 0)), "Unknown")</f>
        <v>Central Europe</v>
      </c>
      <c r="H1372" t="s">
        <v>6949</v>
      </c>
    </row>
    <row r="1373" spans="1:8">
      <c r="A1373" t="s">
        <v>2284</v>
      </c>
      <c r="B1373" t="s">
        <v>154</v>
      </c>
      <c r="C1373" s="1">
        <v>45586</v>
      </c>
      <c r="D1373" s="1" t="str">
        <f>PROPER(orders[[#This Row],[order_priority]])</f>
        <v>Economy</v>
      </c>
      <c r="E1373" t="s">
        <v>13316</v>
      </c>
      <c r="F1373" t="str">
        <f>IFERROR(INDEX(customers[country], MATCH(orders[[#This Row],[customer_id]], customers[customer_id], 0)), "Unmapped")</f>
        <v>Lithuania</v>
      </c>
      <c r="G1373" t="str">
        <f>IFERROR(INDEX(Region_Map[Region], MATCH(orders[[#This Row],[Customer_Country]], Region_Map[Country], 0)), "Unknown")</f>
        <v>Baltics</v>
      </c>
      <c r="H1373" t="s">
        <v>6949</v>
      </c>
    </row>
    <row r="1374" spans="1:8">
      <c r="A1374" t="s">
        <v>2285</v>
      </c>
      <c r="B1374" t="s">
        <v>572</v>
      </c>
      <c r="C1374" s="1">
        <v>45285</v>
      </c>
      <c r="D1374" s="1" t="str">
        <f>PROPER(orders[[#This Row],[order_priority]])</f>
        <v>Economy</v>
      </c>
      <c r="E1374" t="s">
        <v>13316</v>
      </c>
      <c r="F1374" t="str">
        <f>IFERROR(INDEX(customers[country], MATCH(orders[[#This Row],[customer_id]], customers[customer_id], 0)), "Unmapped")</f>
        <v>Germany</v>
      </c>
      <c r="G1374" t="str">
        <f>IFERROR(INDEX(Region_Map[Region], MATCH(orders[[#This Row],[Customer_Country]], Region_Map[Country], 0)), "Unknown")</f>
        <v>Central Europe</v>
      </c>
      <c r="H1374" t="s">
        <v>6949</v>
      </c>
    </row>
    <row r="1375" spans="1:8">
      <c r="A1375" t="s">
        <v>2286</v>
      </c>
      <c r="B1375" t="s">
        <v>467</v>
      </c>
      <c r="C1375" s="1">
        <v>45363</v>
      </c>
      <c r="D1375" s="1" t="str">
        <f>PROPER(orders[[#This Row],[order_priority]])</f>
        <v>Express</v>
      </c>
      <c r="E1375" t="s">
        <v>13320</v>
      </c>
      <c r="F1375" t="str">
        <f>IFERROR(INDEX(customers[country], MATCH(orders[[#This Row],[customer_id]], customers[customer_id], 0)), "Unmapped")</f>
        <v>Latvia</v>
      </c>
      <c r="G1375" t="str">
        <f>IFERROR(INDEX(Region_Map[Region], MATCH(orders[[#This Row],[Customer_Country]], Region_Map[Country], 0)), "Unknown")</f>
        <v>Baltics</v>
      </c>
      <c r="H1375" t="s">
        <v>6949</v>
      </c>
    </row>
    <row r="1376" spans="1:8">
      <c r="A1376" t="s">
        <v>2287</v>
      </c>
      <c r="B1376" t="s">
        <v>13343</v>
      </c>
      <c r="C1376" s="1">
        <v>45406</v>
      </c>
      <c r="D1376" s="1" t="str">
        <f>PROPER(orders[[#This Row],[order_priority]])</f>
        <v>Standard</v>
      </c>
      <c r="E1376" t="s">
        <v>13319</v>
      </c>
      <c r="F1376" t="str">
        <f>IFERROR(INDEX(customers[country], MATCH(orders[[#This Row],[customer_id]], customers[customer_id], 0)), "Unmapped")</f>
        <v>Unmapped</v>
      </c>
      <c r="G1376" t="str">
        <f>IFERROR(INDEX(Region_Map[Region], MATCH(orders[[#This Row],[Customer_Country]], Region_Map[Country], 0)), "Unknown")</f>
        <v>Unknown</v>
      </c>
      <c r="H1376" t="s">
        <v>6949</v>
      </c>
    </row>
    <row r="1377" spans="1:8">
      <c r="A1377" t="s">
        <v>2288</v>
      </c>
      <c r="B1377" t="s">
        <v>294</v>
      </c>
      <c r="C1377" s="1">
        <v>45281</v>
      </c>
      <c r="D1377" s="1" t="str">
        <f>PROPER(orders[[#This Row],[order_priority]])</f>
        <v>Economy</v>
      </c>
      <c r="E1377" t="s">
        <v>13328</v>
      </c>
      <c r="F1377" t="str">
        <f>IFERROR(INDEX(customers[country], MATCH(orders[[#This Row],[customer_id]], customers[customer_id], 0)), "Unmapped")</f>
        <v>Denmark</v>
      </c>
      <c r="G1377" t="str">
        <f>IFERROR(INDEX(Region_Map[Region], MATCH(orders[[#This Row],[Customer_Country]], Region_Map[Country], 0)), "Unknown")</f>
        <v>Nordics</v>
      </c>
      <c r="H1377" t="s">
        <v>6949</v>
      </c>
    </row>
    <row r="1378" spans="1:8">
      <c r="A1378" t="s">
        <v>2289</v>
      </c>
      <c r="B1378" t="s">
        <v>374</v>
      </c>
      <c r="C1378" s="1">
        <v>45354</v>
      </c>
      <c r="D1378" s="1" t="str">
        <f>PROPER(orders[[#This Row],[order_priority]])</f>
        <v>Economy</v>
      </c>
      <c r="E1378" t="s">
        <v>13316</v>
      </c>
      <c r="F1378" t="str">
        <f>IFERROR(INDEX(customers[country], MATCH(orders[[#This Row],[customer_id]], customers[customer_id], 0)), "Unmapped")</f>
        <v>Estonia</v>
      </c>
      <c r="G1378" t="str">
        <f>IFERROR(INDEX(Region_Map[Region], MATCH(orders[[#This Row],[Customer_Country]], Region_Map[Country], 0)), "Unknown")</f>
        <v>Baltics</v>
      </c>
      <c r="H1378" t="s">
        <v>6949</v>
      </c>
    </row>
    <row r="1379" spans="1:8">
      <c r="A1379" t="s">
        <v>2290</v>
      </c>
      <c r="B1379" t="s">
        <v>470</v>
      </c>
      <c r="C1379" s="1">
        <v>45312</v>
      </c>
      <c r="D1379" s="1" t="str">
        <f>PROPER(orders[[#This Row],[order_priority]])</f>
        <v>Same Day</v>
      </c>
      <c r="E1379" t="s">
        <v>13322</v>
      </c>
      <c r="F1379" t="str">
        <f>IFERROR(INDEX(customers[country], MATCH(orders[[#This Row],[customer_id]], customers[customer_id], 0)), "Unmapped")</f>
        <v>Norway</v>
      </c>
      <c r="G1379" t="str">
        <f>IFERROR(INDEX(Region_Map[Region], MATCH(orders[[#This Row],[Customer_Country]], Region_Map[Country], 0)), "Unknown")</f>
        <v>Nordics</v>
      </c>
      <c r="H1379" t="s">
        <v>6949</v>
      </c>
    </row>
    <row r="1380" spans="1:8">
      <c r="A1380" t="s">
        <v>2291</v>
      </c>
      <c r="B1380" t="s">
        <v>127</v>
      </c>
      <c r="C1380" s="1">
        <v>45504</v>
      </c>
      <c r="D1380" s="1" t="str">
        <f>PROPER(orders[[#This Row],[order_priority]])</f>
        <v>Standard</v>
      </c>
      <c r="E1380" t="s">
        <v>13317</v>
      </c>
      <c r="F1380" t="str">
        <f>IFERROR(INDEX(customers[country], MATCH(orders[[#This Row],[customer_id]], customers[customer_id], 0)), "Unmapped")</f>
        <v>Denmark</v>
      </c>
      <c r="G1380" t="str">
        <f>IFERROR(INDEX(Region_Map[Region], MATCH(orders[[#This Row],[Customer_Country]], Region_Map[Country], 0)), "Unknown")</f>
        <v>Nordics</v>
      </c>
      <c r="H1380" t="s">
        <v>6949</v>
      </c>
    </row>
    <row r="1381" spans="1:8">
      <c r="A1381" t="s">
        <v>2292</v>
      </c>
      <c r="B1381" t="s">
        <v>608</v>
      </c>
      <c r="C1381" s="1">
        <v>45392</v>
      </c>
      <c r="D1381" s="1" t="str">
        <f>PROPER(orders[[#This Row],[order_priority]])</f>
        <v>Standard</v>
      </c>
      <c r="E1381" t="s">
        <v>13317</v>
      </c>
      <c r="F1381" t="str">
        <f>IFERROR(INDEX(customers[country], MATCH(orders[[#This Row],[customer_id]], customers[customer_id], 0)), "Unmapped")</f>
        <v>Finland</v>
      </c>
      <c r="G1381" t="str">
        <f>IFERROR(INDEX(Region_Map[Region], MATCH(orders[[#This Row],[Customer_Country]], Region_Map[Country], 0)), "Unknown")</f>
        <v>Nordics</v>
      </c>
      <c r="H1381" t="s">
        <v>6949</v>
      </c>
    </row>
    <row r="1382" spans="1:8">
      <c r="A1382" t="s">
        <v>2293</v>
      </c>
      <c r="B1382" t="s">
        <v>909</v>
      </c>
      <c r="C1382" s="1">
        <v>45122</v>
      </c>
      <c r="D1382" s="1" t="str">
        <f>PROPER(orders[[#This Row],[order_priority]])</f>
        <v>Economy</v>
      </c>
      <c r="E1382" t="s">
        <v>13328</v>
      </c>
      <c r="F1382" t="str">
        <f>IFERROR(INDEX(customers[country], MATCH(orders[[#This Row],[customer_id]], customers[customer_id], 0)), "Unmapped")</f>
        <v>Poland</v>
      </c>
      <c r="G1382" t="str">
        <f>IFERROR(INDEX(Region_Map[Region], MATCH(orders[[#This Row],[Customer_Country]], Region_Map[Country], 0)), "Unknown")</f>
        <v>Central Europe</v>
      </c>
      <c r="H1382" t="s">
        <v>6949</v>
      </c>
    </row>
    <row r="1383" spans="1:8">
      <c r="A1383" t="s">
        <v>2294</v>
      </c>
      <c r="B1383" t="s">
        <v>419</v>
      </c>
      <c r="C1383" s="1">
        <v>45219</v>
      </c>
      <c r="D1383" s="1" t="str">
        <f>PROPER(orders[[#This Row],[order_priority]])</f>
        <v>Same Day</v>
      </c>
      <c r="E1383" t="s">
        <v>13322</v>
      </c>
      <c r="F1383" t="str">
        <f>IFERROR(INDEX(customers[country], MATCH(orders[[#This Row],[customer_id]], customers[customer_id], 0)), "Unmapped")</f>
        <v>Estonia</v>
      </c>
      <c r="G1383" t="str">
        <f>IFERROR(INDEX(Region_Map[Region], MATCH(orders[[#This Row],[Customer_Country]], Region_Map[Country], 0)), "Unknown")</f>
        <v>Baltics</v>
      </c>
      <c r="H1383" t="s">
        <v>6949</v>
      </c>
    </row>
    <row r="1384" spans="1:8">
      <c r="A1384" t="s">
        <v>2295</v>
      </c>
      <c r="B1384" t="s">
        <v>664</v>
      </c>
      <c r="C1384" s="1">
        <v>45370</v>
      </c>
      <c r="D1384" s="1" t="str">
        <f>PROPER(orders[[#This Row],[order_priority]])</f>
        <v>Economy</v>
      </c>
      <c r="E1384" t="s">
        <v>13325</v>
      </c>
      <c r="F1384" t="str">
        <f>IFERROR(INDEX(customers[country], MATCH(orders[[#This Row],[customer_id]], customers[customer_id], 0)), "Unmapped")</f>
        <v>Latvia</v>
      </c>
      <c r="G1384" t="str">
        <f>IFERROR(INDEX(Region_Map[Region], MATCH(orders[[#This Row],[Customer_Country]], Region_Map[Country], 0)), "Unknown")</f>
        <v>Baltics</v>
      </c>
      <c r="H1384" t="s">
        <v>6949</v>
      </c>
    </row>
    <row r="1385" spans="1:8">
      <c r="A1385" t="s">
        <v>2296</v>
      </c>
      <c r="B1385" t="s">
        <v>482</v>
      </c>
      <c r="C1385" s="1">
        <v>45050</v>
      </c>
      <c r="D1385" s="1" t="str">
        <f>PROPER(orders[[#This Row],[order_priority]])</f>
        <v>Standard</v>
      </c>
      <c r="E1385" t="s">
        <v>13317</v>
      </c>
      <c r="F1385" t="str">
        <f>IFERROR(INDEX(customers[country], MATCH(orders[[#This Row],[customer_id]], customers[customer_id], 0)), "Unmapped")</f>
        <v>Finland</v>
      </c>
      <c r="G1385" t="str">
        <f>IFERROR(INDEX(Region_Map[Region], MATCH(orders[[#This Row],[Customer_Country]], Region_Map[Country], 0)), "Unknown")</f>
        <v>Nordics</v>
      </c>
      <c r="H1385" t="s">
        <v>6949</v>
      </c>
    </row>
    <row r="1386" spans="1:8">
      <c r="A1386" t="s">
        <v>2297</v>
      </c>
      <c r="B1386" t="s">
        <v>852</v>
      </c>
      <c r="C1386" s="1">
        <v>45233</v>
      </c>
      <c r="D1386" s="1" t="str">
        <f>PROPER(orders[[#This Row],[order_priority]])</f>
        <v>Economy</v>
      </c>
      <c r="E1386" t="s">
        <v>13316</v>
      </c>
      <c r="F1386" t="str">
        <f>IFERROR(INDEX(customers[country], MATCH(orders[[#This Row],[customer_id]], customers[customer_id], 0)), "Unmapped")</f>
        <v>Sweden</v>
      </c>
      <c r="G1386" t="str">
        <f>IFERROR(INDEX(Region_Map[Region], MATCH(orders[[#This Row],[Customer_Country]], Region_Map[Country], 0)), "Unknown")</f>
        <v>Nordics</v>
      </c>
      <c r="H1386" t="s">
        <v>6949</v>
      </c>
    </row>
    <row r="1387" spans="1:8">
      <c r="A1387" t="s">
        <v>2298</v>
      </c>
      <c r="B1387" t="s">
        <v>891</v>
      </c>
      <c r="C1387" s="1">
        <v>45228</v>
      </c>
      <c r="D1387" s="1" t="str">
        <f>PROPER(orders[[#This Row],[order_priority]])</f>
        <v>Same Day</v>
      </c>
      <c r="E1387" t="s">
        <v>13322</v>
      </c>
      <c r="F1387" t="str">
        <f>IFERROR(INDEX(customers[country], MATCH(orders[[#This Row],[customer_id]], customers[customer_id], 0)), "Unmapped")</f>
        <v>Netherlands</v>
      </c>
      <c r="G1387" t="str">
        <f>IFERROR(INDEX(Region_Map[Region], MATCH(orders[[#This Row],[Customer_Country]], Region_Map[Country], 0)), "Unknown")</f>
        <v>Central Europe</v>
      </c>
      <c r="H1387" t="s">
        <v>6949</v>
      </c>
    </row>
    <row r="1388" spans="1:8">
      <c r="A1388" t="s">
        <v>2299</v>
      </c>
      <c r="B1388" t="s">
        <v>661</v>
      </c>
      <c r="C1388" s="1">
        <v>45439</v>
      </c>
      <c r="D1388" s="1" t="str">
        <f>PROPER(orders[[#This Row],[order_priority]])</f>
        <v>Same Day</v>
      </c>
      <c r="E1388" t="s">
        <v>13321</v>
      </c>
      <c r="F1388" t="str">
        <f>IFERROR(INDEX(customers[country], MATCH(orders[[#This Row],[customer_id]], customers[customer_id], 0)), "Unmapped")</f>
        <v>Lithuania</v>
      </c>
      <c r="G1388" t="str">
        <f>IFERROR(INDEX(Region_Map[Region], MATCH(orders[[#This Row],[Customer_Country]], Region_Map[Country], 0)), "Unknown")</f>
        <v>Baltics</v>
      </c>
      <c r="H1388" t="s">
        <v>6949</v>
      </c>
    </row>
    <row r="1389" spans="1:8">
      <c r="A1389" t="s">
        <v>2300</v>
      </c>
      <c r="B1389" t="s">
        <v>109</v>
      </c>
      <c r="C1389" s="1">
        <v>45473</v>
      </c>
      <c r="D1389" s="1" t="str">
        <f>PROPER(orders[[#This Row],[order_priority]])</f>
        <v>Standard</v>
      </c>
      <c r="E1389" t="s">
        <v>13317</v>
      </c>
      <c r="F1389" t="str">
        <f>IFERROR(INDEX(customers[country], MATCH(orders[[#This Row],[customer_id]], customers[customer_id], 0)), "Unmapped")</f>
        <v>Netherlands</v>
      </c>
      <c r="G1389" t="str">
        <f>IFERROR(INDEX(Region_Map[Region], MATCH(orders[[#This Row],[Customer_Country]], Region_Map[Country], 0)), "Unknown")</f>
        <v>Central Europe</v>
      </c>
      <c r="H1389" t="s">
        <v>6949</v>
      </c>
    </row>
    <row r="1390" spans="1:8">
      <c r="A1390" t="s">
        <v>2301</v>
      </c>
      <c r="B1390" t="s">
        <v>160</v>
      </c>
      <c r="C1390" s="1">
        <v>45370</v>
      </c>
      <c r="D1390" s="1" t="str">
        <f>PROPER(orders[[#This Row],[order_priority]])</f>
        <v>Express</v>
      </c>
      <c r="E1390" t="s">
        <v>13318</v>
      </c>
      <c r="F1390" t="str">
        <f>IFERROR(INDEX(customers[country], MATCH(orders[[#This Row],[customer_id]], customers[customer_id], 0)), "Unmapped")</f>
        <v>Denmark</v>
      </c>
      <c r="G1390" t="str">
        <f>IFERROR(INDEX(Region_Map[Region], MATCH(orders[[#This Row],[Customer_Country]], Region_Map[Country], 0)), "Unknown")</f>
        <v>Nordics</v>
      </c>
      <c r="H1390" t="s">
        <v>6949</v>
      </c>
    </row>
    <row r="1391" spans="1:8">
      <c r="A1391" t="s">
        <v>2302</v>
      </c>
      <c r="B1391" t="s">
        <v>198</v>
      </c>
      <c r="C1391" s="1">
        <v>45470</v>
      </c>
      <c r="D1391" s="1" t="str">
        <f>PROPER(orders[[#This Row],[order_priority]])</f>
        <v>Express</v>
      </c>
      <c r="E1391" t="s">
        <v>13318</v>
      </c>
      <c r="F1391" t="str">
        <f>IFERROR(INDEX(customers[country], MATCH(orders[[#This Row],[customer_id]], customers[customer_id], 0)), "Unmapped")</f>
        <v>Poland</v>
      </c>
      <c r="G1391" t="str">
        <f>IFERROR(INDEX(Region_Map[Region], MATCH(orders[[#This Row],[Customer_Country]], Region_Map[Country], 0)), "Unknown")</f>
        <v>Central Europe</v>
      </c>
      <c r="H1391" t="s">
        <v>6949</v>
      </c>
    </row>
    <row r="1392" spans="1:8">
      <c r="A1392" t="s">
        <v>2303</v>
      </c>
      <c r="B1392" t="s">
        <v>888</v>
      </c>
      <c r="C1392" s="1">
        <v>45059</v>
      </c>
      <c r="D1392" s="1" t="str">
        <f>PROPER(orders[[#This Row],[order_priority]])</f>
        <v>Same Day</v>
      </c>
      <c r="E1392" t="s">
        <v>13324</v>
      </c>
      <c r="F1392" t="str">
        <f>IFERROR(INDEX(customers[country], MATCH(orders[[#This Row],[customer_id]], customers[customer_id], 0)), "Unmapped")</f>
        <v>Denmark</v>
      </c>
      <c r="G1392" t="str">
        <f>IFERROR(INDEX(Region_Map[Region], MATCH(orders[[#This Row],[Customer_Country]], Region_Map[Country], 0)), "Unknown")</f>
        <v>Nordics</v>
      </c>
      <c r="H1392" t="s">
        <v>6949</v>
      </c>
    </row>
    <row r="1393" spans="1:8">
      <c r="A1393" t="s">
        <v>2304</v>
      </c>
      <c r="B1393" t="s">
        <v>341</v>
      </c>
      <c r="C1393" s="1">
        <v>45501</v>
      </c>
      <c r="D1393" s="1" t="str">
        <f>PROPER(orders[[#This Row],[order_priority]])</f>
        <v>Standard</v>
      </c>
      <c r="E1393" t="s">
        <v>13317</v>
      </c>
      <c r="F1393" t="str">
        <f>IFERROR(INDEX(customers[country], MATCH(orders[[#This Row],[customer_id]], customers[customer_id], 0)), "Unmapped")</f>
        <v>Latvia</v>
      </c>
      <c r="G1393" t="str">
        <f>IFERROR(INDEX(Region_Map[Region], MATCH(orders[[#This Row],[Customer_Country]], Region_Map[Country], 0)), "Unknown")</f>
        <v>Baltics</v>
      </c>
      <c r="H1393" t="s">
        <v>6949</v>
      </c>
    </row>
    <row r="1394" spans="1:8">
      <c r="A1394" t="s">
        <v>2305</v>
      </c>
      <c r="B1394" t="s">
        <v>888</v>
      </c>
      <c r="C1394" s="1">
        <v>45450</v>
      </c>
      <c r="D1394" s="1" t="str">
        <f>PROPER(orders[[#This Row],[order_priority]])</f>
        <v>Economy</v>
      </c>
      <c r="E1394" t="s">
        <v>13316</v>
      </c>
      <c r="F1394" t="str">
        <f>IFERROR(INDEX(customers[country], MATCH(orders[[#This Row],[customer_id]], customers[customer_id], 0)), "Unmapped")</f>
        <v>Denmark</v>
      </c>
      <c r="G1394" t="str">
        <f>IFERROR(INDEX(Region_Map[Region], MATCH(orders[[#This Row],[Customer_Country]], Region_Map[Country], 0)), "Unknown")</f>
        <v>Nordics</v>
      </c>
      <c r="H1394" t="s">
        <v>6949</v>
      </c>
    </row>
    <row r="1395" spans="1:8">
      <c r="A1395" t="s">
        <v>2306</v>
      </c>
      <c r="B1395" t="s">
        <v>80</v>
      </c>
      <c r="C1395" s="1">
        <v>45359</v>
      </c>
      <c r="D1395" s="1" t="str">
        <f>PROPER(orders[[#This Row],[order_priority]])</f>
        <v>Express</v>
      </c>
      <c r="E1395" t="s">
        <v>13318</v>
      </c>
      <c r="F1395" t="str">
        <f>IFERROR(INDEX(customers[country], MATCH(orders[[#This Row],[customer_id]], customers[customer_id], 0)), "Unmapped")</f>
        <v>Finland</v>
      </c>
      <c r="G1395" t="str">
        <f>IFERROR(INDEX(Region_Map[Region], MATCH(orders[[#This Row],[Customer_Country]], Region_Map[Country], 0)), "Unknown")</f>
        <v>Nordics</v>
      </c>
      <c r="H1395" t="s">
        <v>6949</v>
      </c>
    </row>
    <row r="1396" spans="1:8">
      <c r="A1396" t="s">
        <v>2307</v>
      </c>
      <c r="B1396" t="s">
        <v>443</v>
      </c>
      <c r="C1396" s="1">
        <v>44930</v>
      </c>
      <c r="D1396" s="1" t="str">
        <f>PROPER(orders[[#This Row],[order_priority]])</f>
        <v>Standard</v>
      </c>
      <c r="E1396" t="s">
        <v>13319</v>
      </c>
      <c r="F1396" t="str">
        <f>IFERROR(INDEX(customers[country], MATCH(orders[[#This Row],[customer_id]], customers[customer_id], 0)), "Unmapped")</f>
        <v>Estonia</v>
      </c>
      <c r="G1396" t="str">
        <f>IFERROR(INDEX(Region_Map[Region], MATCH(orders[[#This Row],[Customer_Country]], Region_Map[Country], 0)), "Unknown")</f>
        <v>Baltics</v>
      </c>
      <c r="H1396" t="s">
        <v>6949</v>
      </c>
    </row>
    <row r="1397" spans="1:8">
      <c r="A1397" t="s">
        <v>2308</v>
      </c>
      <c r="B1397" t="s">
        <v>317</v>
      </c>
      <c r="C1397" s="1">
        <v>45292</v>
      </c>
      <c r="D1397" s="1" t="str">
        <f>PROPER(orders[[#This Row],[order_priority]])</f>
        <v>Express</v>
      </c>
      <c r="E1397" t="s">
        <v>13318</v>
      </c>
      <c r="F1397" t="str">
        <f>IFERROR(INDEX(customers[country], MATCH(orders[[#This Row],[customer_id]], customers[customer_id], 0)), "Unmapped")</f>
        <v>Sweden</v>
      </c>
      <c r="G1397" t="str">
        <f>IFERROR(INDEX(Region_Map[Region], MATCH(orders[[#This Row],[Customer_Country]], Region_Map[Country], 0)), "Unknown")</f>
        <v>Nordics</v>
      </c>
      <c r="H1397" t="s">
        <v>6949</v>
      </c>
    </row>
    <row r="1398" spans="1:8">
      <c r="A1398" t="s">
        <v>2309</v>
      </c>
      <c r="B1398" t="s">
        <v>401</v>
      </c>
      <c r="C1398" s="1">
        <v>45320</v>
      </c>
      <c r="D1398" s="1" t="str">
        <f>PROPER(orders[[#This Row],[order_priority]])</f>
        <v>Same Day</v>
      </c>
      <c r="E1398" t="s">
        <v>13321</v>
      </c>
      <c r="F1398" t="str">
        <f>IFERROR(INDEX(customers[country], MATCH(orders[[#This Row],[customer_id]], customers[customer_id], 0)), "Unmapped")</f>
        <v>Latvia</v>
      </c>
      <c r="G1398" t="str">
        <f>IFERROR(INDEX(Region_Map[Region], MATCH(orders[[#This Row],[Customer_Country]], Region_Map[Country], 0)), "Unknown")</f>
        <v>Baltics</v>
      </c>
      <c r="H1398" t="s">
        <v>6949</v>
      </c>
    </row>
    <row r="1399" spans="1:8">
      <c r="A1399" t="s">
        <v>2310</v>
      </c>
      <c r="B1399" t="s">
        <v>127</v>
      </c>
      <c r="C1399" s="1">
        <v>45228</v>
      </c>
      <c r="D1399" s="1" t="str">
        <f>PROPER(orders[[#This Row],[order_priority]])</f>
        <v>Express</v>
      </c>
      <c r="E1399" t="s">
        <v>13318</v>
      </c>
      <c r="F1399" t="str">
        <f>IFERROR(INDEX(customers[country], MATCH(orders[[#This Row],[customer_id]], customers[customer_id], 0)), "Unmapped")</f>
        <v>Denmark</v>
      </c>
      <c r="G1399" t="str">
        <f>IFERROR(INDEX(Region_Map[Region], MATCH(orders[[#This Row],[Customer_Country]], Region_Map[Country], 0)), "Unknown")</f>
        <v>Nordics</v>
      </c>
      <c r="H1399" t="s">
        <v>6949</v>
      </c>
    </row>
    <row r="1400" spans="1:8">
      <c r="A1400" t="s">
        <v>2311</v>
      </c>
      <c r="B1400" t="s">
        <v>437</v>
      </c>
      <c r="C1400" s="1">
        <v>45238</v>
      </c>
      <c r="D1400" s="1" t="str">
        <f>PROPER(orders[[#This Row],[order_priority]])</f>
        <v>Economy</v>
      </c>
      <c r="E1400" t="s">
        <v>13328</v>
      </c>
      <c r="F1400" t="str">
        <f>IFERROR(INDEX(customers[country], MATCH(orders[[#This Row],[customer_id]], customers[customer_id], 0)), "Unmapped")</f>
        <v>Lithuania</v>
      </c>
      <c r="G1400" t="str">
        <f>IFERROR(INDEX(Region_Map[Region], MATCH(orders[[#This Row],[Customer_Country]], Region_Map[Country], 0)), "Unknown")</f>
        <v>Baltics</v>
      </c>
      <c r="H1400" t="s">
        <v>6949</v>
      </c>
    </row>
    <row r="1401" spans="1:8">
      <c r="A1401" t="s">
        <v>2312</v>
      </c>
      <c r="B1401" t="s">
        <v>730</v>
      </c>
      <c r="C1401" s="1">
        <v>45297</v>
      </c>
      <c r="D1401" s="1" t="str">
        <f>PROPER(orders[[#This Row],[order_priority]])</f>
        <v>Express</v>
      </c>
      <c r="E1401" t="s">
        <v>13326</v>
      </c>
      <c r="F1401" t="str">
        <f>IFERROR(INDEX(customers[country], MATCH(orders[[#This Row],[customer_id]], customers[customer_id], 0)), "Unmapped")</f>
        <v>Lithuania</v>
      </c>
      <c r="G1401" t="str">
        <f>IFERROR(INDEX(Region_Map[Region], MATCH(orders[[#This Row],[Customer_Country]], Region_Map[Country], 0)), "Unknown")</f>
        <v>Baltics</v>
      </c>
      <c r="H1401" t="s">
        <v>6949</v>
      </c>
    </row>
    <row r="1402" spans="1:8">
      <c r="A1402" t="s">
        <v>2313</v>
      </c>
      <c r="B1402" t="s">
        <v>509</v>
      </c>
      <c r="C1402" s="1">
        <v>45422</v>
      </c>
      <c r="D1402" s="1" t="str">
        <f>PROPER(orders[[#This Row],[order_priority]])</f>
        <v>Standard</v>
      </c>
      <c r="E1402" t="s">
        <v>13317</v>
      </c>
      <c r="F1402" t="str">
        <f>IFERROR(INDEX(customers[country], MATCH(orders[[#This Row],[customer_id]], customers[customer_id], 0)), "Unmapped")</f>
        <v>Sweden</v>
      </c>
      <c r="G1402" t="str">
        <f>IFERROR(INDEX(Region_Map[Region], MATCH(orders[[#This Row],[Customer_Country]], Region_Map[Country], 0)), "Unknown")</f>
        <v>Nordics</v>
      </c>
      <c r="H1402" t="s">
        <v>6949</v>
      </c>
    </row>
    <row r="1403" spans="1:8">
      <c r="A1403" t="s">
        <v>2314</v>
      </c>
      <c r="B1403" t="s">
        <v>139</v>
      </c>
      <c r="C1403" s="1">
        <v>45583</v>
      </c>
      <c r="D1403" s="1" t="str">
        <f>PROPER(orders[[#This Row],[order_priority]])</f>
        <v>Standard</v>
      </c>
      <c r="E1403" t="s">
        <v>13317</v>
      </c>
      <c r="F1403" t="str">
        <f>IFERROR(INDEX(customers[country], MATCH(orders[[#This Row],[customer_id]], customers[customer_id], 0)), "Unmapped")</f>
        <v>Netherlands</v>
      </c>
      <c r="G1403" t="str">
        <f>IFERROR(INDEX(Region_Map[Region], MATCH(orders[[#This Row],[Customer_Country]], Region_Map[Country], 0)), "Unknown")</f>
        <v>Central Europe</v>
      </c>
      <c r="H1403" t="s">
        <v>6949</v>
      </c>
    </row>
    <row r="1404" spans="1:8">
      <c r="A1404" t="s">
        <v>2315</v>
      </c>
      <c r="B1404" t="s">
        <v>605</v>
      </c>
      <c r="C1404" s="1">
        <v>45224</v>
      </c>
      <c r="D1404" s="1" t="str">
        <f>PROPER(orders[[#This Row],[order_priority]])</f>
        <v>Standard</v>
      </c>
      <c r="E1404" t="s">
        <v>13317</v>
      </c>
      <c r="F1404" t="str">
        <f>IFERROR(INDEX(customers[country], MATCH(orders[[#This Row],[customer_id]], customers[customer_id], 0)), "Unmapped")</f>
        <v>Lithuania</v>
      </c>
      <c r="G1404" t="str">
        <f>IFERROR(INDEX(Region_Map[Region], MATCH(orders[[#This Row],[Customer_Country]], Region_Map[Country], 0)), "Unknown")</f>
        <v>Baltics</v>
      </c>
      <c r="H1404" t="s">
        <v>6949</v>
      </c>
    </row>
    <row r="1405" spans="1:8">
      <c r="A1405" t="s">
        <v>2316</v>
      </c>
      <c r="B1405" t="s">
        <v>207</v>
      </c>
      <c r="C1405" s="1">
        <v>45198</v>
      </c>
      <c r="D1405" s="1" t="str">
        <f>PROPER(orders[[#This Row],[order_priority]])</f>
        <v>Standard</v>
      </c>
      <c r="E1405" t="s">
        <v>13317</v>
      </c>
      <c r="F1405" t="str">
        <f>IFERROR(INDEX(customers[country], MATCH(orders[[#This Row],[customer_id]], customers[customer_id], 0)), "Unmapped")</f>
        <v>Poland</v>
      </c>
      <c r="G1405" t="str">
        <f>IFERROR(INDEX(Region_Map[Region], MATCH(orders[[#This Row],[Customer_Country]], Region_Map[Country], 0)), "Unknown")</f>
        <v>Central Europe</v>
      </c>
      <c r="H1405" t="s">
        <v>6949</v>
      </c>
    </row>
    <row r="1406" spans="1:8">
      <c r="A1406" t="s">
        <v>2317</v>
      </c>
      <c r="B1406" t="s">
        <v>650</v>
      </c>
      <c r="C1406" s="1">
        <v>45314</v>
      </c>
      <c r="D1406" s="1" t="str">
        <f>PROPER(orders[[#This Row],[order_priority]])</f>
        <v>Express</v>
      </c>
      <c r="E1406" t="s">
        <v>13318</v>
      </c>
      <c r="F1406" t="str">
        <f>IFERROR(INDEX(customers[country], MATCH(orders[[#This Row],[customer_id]], customers[customer_id], 0)), "Unmapped")</f>
        <v>Poland</v>
      </c>
      <c r="G1406" t="str">
        <f>IFERROR(INDEX(Region_Map[Region], MATCH(orders[[#This Row],[Customer_Country]], Region_Map[Country], 0)), "Unknown")</f>
        <v>Central Europe</v>
      </c>
      <c r="H1406" t="s">
        <v>6949</v>
      </c>
    </row>
    <row r="1407" spans="1:8">
      <c r="A1407" t="s">
        <v>2318</v>
      </c>
      <c r="B1407" t="s">
        <v>861</v>
      </c>
      <c r="C1407" s="1">
        <v>45229</v>
      </c>
      <c r="D1407" s="1" t="str">
        <f>PROPER(orders[[#This Row],[order_priority]])</f>
        <v>Economy</v>
      </c>
      <c r="E1407" t="s">
        <v>13316</v>
      </c>
      <c r="F1407" t="str">
        <f>IFERROR(INDEX(customers[country], MATCH(orders[[#This Row],[customer_id]], customers[customer_id], 0)), "Unmapped")</f>
        <v>Latvia</v>
      </c>
      <c r="G1407" t="str">
        <f>IFERROR(INDEX(Region_Map[Region], MATCH(orders[[#This Row],[Customer_Country]], Region_Map[Country], 0)), "Unknown")</f>
        <v>Baltics</v>
      </c>
      <c r="H1407" t="s">
        <v>6949</v>
      </c>
    </row>
    <row r="1408" spans="1:8">
      <c r="A1408" t="s">
        <v>2319</v>
      </c>
      <c r="B1408" t="s">
        <v>608</v>
      </c>
      <c r="C1408" s="1">
        <v>45333</v>
      </c>
      <c r="D1408" s="1" t="str">
        <f>PROPER(orders[[#This Row],[order_priority]])</f>
        <v>Standard</v>
      </c>
      <c r="E1408" t="s">
        <v>13317</v>
      </c>
      <c r="F1408" t="str">
        <f>IFERROR(INDEX(customers[country], MATCH(orders[[#This Row],[customer_id]], customers[customer_id], 0)), "Unmapped")</f>
        <v>Finland</v>
      </c>
      <c r="G1408" t="str">
        <f>IFERROR(INDEX(Region_Map[Region], MATCH(orders[[#This Row],[Customer_Country]], Region_Map[Country], 0)), "Unknown")</f>
        <v>Nordics</v>
      </c>
      <c r="H1408" t="s">
        <v>6949</v>
      </c>
    </row>
    <row r="1409" spans="1:8">
      <c r="A1409" t="s">
        <v>2320</v>
      </c>
      <c r="B1409" t="s">
        <v>661</v>
      </c>
      <c r="C1409" s="1">
        <v>45289</v>
      </c>
      <c r="D1409" s="1" t="str">
        <f>PROPER(orders[[#This Row],[order_priority]])</f>
        <v>Economy</v>
      </c>
      <c r="E1409" t="s">
        <v>13316</v>
      </c>
      <c r="F1409" t="str">
        <f>IFERROR(INDEX(customers[country], MATCH(orders[[#This Row],[customer_id]], customers[customer_id], 0)), "Unmapped")</f>
        <v>Lithuania</v>
      </c>
      <c r="G1409" t="str">
        <f>IFERROR(INDEX(Region_Map[Region], MATCH(orders[[#This Row],[Customer_Country]], Region_Map[Country], 0)), "Unknown")</f>
        <v>Baltics</v>
      </c>
      <c r="H1409" t="s">
        <v>6949</v>
      </c>
    </row>
    <row r="1410" spans="1:8">
      <c r="A1410" t="s">
        <v>2321</v>
      </c>
      <c r="B1410" t="s">
        <v>362</v>
      </c>
      <c r="C1410" s="1">
        <v>45521</v>
      </c>
      <c r="D1410" s="1" t="str">
        <f>PROPER(orders[[#This Row],[order_priority]])</f>
        <v>Economy</v>
      </c>
      <c r="E1410" t="s">
        <v>13316</v>
      </c>
      <c r="F1410" t="str">
        <f>IFERROR(INDEX(customers[country], MATCH(orders[[#This Row],[customer_id]], customers[customer_id], 0)), "Unmapped")</f>
        <v>Denmark</v>
      </c>
      <c r="G1410" t="str">
        <f>IFERROR(INDEX(Region_Map[Region], MATCH(orders[[#This Row],[Customer_Country]], Region_Map[Country], 0)), "Unknown")</f>
        <v>Nordics</v>
      </c>
      <c r="H1410" t="s">
        <v>6949</v>
      </c>
    </row>
    <row r="1411" spans="1:8">
      <c r="A1411" t="s">
        <v>2322</v>
      </c>
      <c r="B1411" t="s">
        <v>326</v>
      </c>
      <c r="C1411" s="1">
        <v>45381</v>
      </c>
      <c r="D1411" s="1" t="str">
        <f>PROPER(orders[[#This Row],[order_priority]])</f>
        <v>Express</v>
      </c>
      <c r="E1411" t="s">
        <v>13318</v>
      </c>
      <c r="F1411" t="str">
        <f>IFERROR(INDEX(customers[country], MATCH(orders[[#This Row],[customer_id]], customers[customer_id], 0)), "Unmapped")</f>
        <v>Lithuania</v>
      </c>
      <c r="G1411" t="str">
        <f>IFERROR(INDEX(Region_Map[Region], MATCH(orders[[#This Row],[Customer_Country]], Region_Map[Country], 0)), "Unknown")</f>
        <v>Baltics</v>
      </c>
      <c r="H1411" t="s">
        <v>6949</v>
      </c>
    </row>
    <row r="1412" spans="1:8">
      <c r="A1412" t="s">
        <v>2323</v>
      </c>
      <c r="B1412" t="s">
        <v>539</v>
      </c>
      <c r="C1412" s="1">
        <v>45550</v>
      </c>
      <c r="D1412" s="1" t="str">
        <f>PROPER(orders[[#This Row],[order_priority]])</f>
        <v>Same Day</v>
      </c>
      <c r="E1412" t="s">
        <v>13322</v>
      </c>
      <c r="F1412" t="str">
        <f>IFERROR(INDEX(customers[country], MATCH(orders[[#This Row],[customer_id]], customers[customer_id], 0)), "Unmapped")</f>
        <v>Sweden</v>
      </c>
      <c r="G1412" t="str">
        <f>IFERROR(INDEX(Region_Map[Region], MATCH(orders[[#This Row],[Customer_Country]], Region_Map[Country], 0)), "Unknown")</f>
        <v>Nordics</v>
      </c>
      <c r="H1412" t="s">
        <v>6949</v>
      </c>
    </row>
    <row r="1413" spans="1:8">
      <c r="A1413" t="s">
        <v>2324</v>
      </c>
      <c r="B1413" t="s">
        <v>6</v>
      </c>
      <c r="C1413" s="1">
        <v>45562</v>
      </c>
      <c r="D1413" s="1" t="str">
        <f>PROPER(orders[[#This Row],[order_priority]])</f>
        <v>Standard</v>
      </c>
      <c r="E1413" t="s">
        <v>13317</v>
      </c>
      <c r="F1413" t="str">
        <f>IFERROR(INDEX(customers[country], MATCH(orders[[#This Row],[customer_id]], customers[customer_id], 0)), "Unmapped")</f>
        <v>Latvia</v>
      </c>
      <c r="G1413" t="str">
        <f>IFERROR(INDEX(Region_Map[Region], MATCH(orders[[#This Row],[Customer_Country]], Region_Map[Country], 0)), "Unknown")</f>
        <v>Baltics</v>
      </c>
      <c r="H1413" t="s">
        <v>6949</v>
      </c>
    </row>
    <row r="1414" spans="1:8">
      <c r="A1414" t="s">
        <v>2325</v>
      </c>
      <c r="B1414" t="s">
        <v>109</v>
      </c>
      <c r="C1414" s="1">
        <v>45351</v>
      </c>
      <c r="D1414" s="1" t="str">
        <f>PROPER(orders[[#This Row],[order_priority]])</f>
        <v>Express</v>
      </c>
      <c r="E1414" t="s">
        <v>13318</v>
      </c>
      <c r="F1414" t="str">
        <f>IFERROR(INDEX(customers[country], MATCH(orders[[#This Row],[customer_id]], customers[customer_id], 0)), "Unmapped")</f>
        <v>Netherlands</v>
      </c>
      <c r="G1414" t="str">
        <f>IFERROR(INDEX(Region_Map[Region], MATCH(orders[[#This Row],[Customer_Country]], Region_Map[Country], 0)), "Unknown")</f>
        <v>Central Europe</v>
      </c>
      <c r="H1414" t="s">
        <v>6949</v>
      </c>
    </row>
    <row r="1415" spans="1:8">
      <c r="A1415" t="s">
        <v>2326</v>
      </c>
      <c r="B1415" t="s">
        <v>557</v>
      </c>
      <c r="C1415" s="1">
        <v>45279</v>
      </c>
      <c r="D1415" s="1" t="str">
        <f>PROPER(orders[[#This Row],[order_priority]])</f>
        <v>Economy</v>
      </c>
      <c r="E1415" t="s">
        <v>13316</v>
      </c>
      <c r="F1415" t="str">
        <f>IFERROR(INDEX(customers[country], MATCH(orders[[#This Row],[customer_id]], customers[customer_id], 0)), "Unmapped")</f>
        <v>Norway</v>
      </c>
      <c r="G1415" t="str">
        <f>IFERROR(INDEX(Region_Map[Region], MATCH(orders[[#This Row],[Customer_Country]], Region_Map[Country], 0)), "Unknown")</f>
        <v>Nordics</v>
      </c>
      <c r="H1415" t="s">
        <v>6949</v>
      </c>
    </row>
    <row r="1416" spans="1:8">
      <c r="A1416" t="s">
        <v>2327</v>
      </c>
      <c r="B1416" t="s">
        <v>24</v>
      </c>
      <c r="C1416" s="1">
        <v>44979</v>
      </c>
      <c r="D1416" s="1" t="str">
        <f>PROPER(orders[[#This Row],[order_priority]])</f>
        <v>Standard</v>
      </c>
      <c r="E1416" t="s">
        <v>13317</v>
      </c>
      <c r="F1416" t="str">
        <f>IFERROR(INDEX(customers[country], MATCH(orders[[#This Row],[customer_id]], customers[customer_id], 0)), "Unmapped")</f>
        <v>Sweden</v>
      </c>
      <c r="G1416" t="str">
        <f>IFERROR(INDEX(Region_Map[Region], MATCH(orders[[#This Row],[Customer_Country]], Region_Map[Country], 0)), "Unknown")</f>
        <v>Nordics</v>
      </c>
      <c r="H1416" t="s">
        <v>6949</v>
      </c>
    </row>
    <row r="1417" spans="1:8">
      <c r="A1417" t="s">
        <v>2328</v>
      </c>
      <c r="B1417" t="s">
        <v>843</v>
      </c>
      <c r="C1417" s="1">
        <v>44993</v>
      </c>
      <c r="D1417" s="1" t="str">
        <f>PROPER(orders[[#This Row],[order_priority]])</f>
        <v>Economy</v>
      </c>
      <c r="E1417" t="s">
        <v>13316</v>
      </c>
      <c r="F1417" t="str">
        <f>IFERROR(INDEX(customers[country], MATCH(orders[[#This Row],[customer_id]], customers[customer_id], 0)), "Unmapped")</f>
        <v>Netherlands</v>
      </c>
      <c r="G1417" t="str">
        <f>IFERROR(INDEX(Region_Map[Region], MATCH(orders[[#This Row],[Customer_Country]], Region_Map[Country], 0)), "Unknown")</f>
        <v>Central Europe</v>
      </c>
      <c r="H1417" t="s">
        <v>6949</v>
      </c>
    </row>
    <row r="1418" spans="1:8">
      <c r="A1418" t="s">
        <v>2329</v>
      </c>
      <c r="B1418" t="s">
        <v>169</v>
      </c>
      <c r="C1418" s="1">
        <v>45244</v>
      </c>
      <c r="D1418" s="1" t="str">
        <f>PROPER(orders[[#This Row],[order_priority]])</f>
        <v>Economy</v>
      </c>
      <c r="E1418" t="s">
        <v>13316</v>
      </c>
      <c r="F1418" t="str">
        <f>IFERROR(INDEX(customers[country], MATCH(orders[[#This Row],[customer_id]], customers[customer_id], 0)), "Unmapped")</f>
        <v>Norway</v>
      </c>
      <c r="G1418" t="str">
        <f>IFERROR(INDEX(Region_Map[Region], MATCH(orders[[#This Row],[Customer_Country]], Region_Map[Country], 0)), "Unknown")</f>
        <v>Nordics</v>
      </c>
      <c r="H1418" t="s">
        <v>6949</v>
      </c>
    </row>
    <row r="1419" spans="1:8">
      <c r="A1419" t="s">
        <v>2330</v>
      </c>
      <c r="B1419" t="s">
        <v>632</v>
      </c>
      <c r="C1419" s="1">
        <v>45134</v>
      </c>
      <c r="D1419" s="1" t="str">
        <f>PROPER(orders[[#This Row],[order_priority]])</f>
        <v>Economy</v>
      </c>
      <c r="E1419" t="s">
        <v>13316</v>
      </c>
      <c r="F1419" t="str">
        <f>IFERROR(INDEX(customers[country], MATCH(orders[[#This Row],[customer_id]], customers[customer_id], 0)), "Unmapped")</f>
        <v>Norway</v>
      </c>
      <c r="G1419" t="str">
        <f>IFERROR(INDEX(Region_Map[Region], MATCH(orders[[#This Row],[Customer_Country]], Region_Map[Country], 0)), "Unknown")</f>
        <v>Nordics</v>
      </c>
      <c r="H1419" t="s">
        <v>6949</v>
      </c>
    </row>
    <row r="1420" spans="1:8">
      <c r="A1420" t="s">
        <v>2331</v>
      </c>
      <c r="B1420" t="s">
        <v>449</v>
      </c>
      <c r="C1420" s="1">
        <v>45509</v>
      </c>
      <c r="D1420" s="1" t="str">
        <f>PROPER(orders[[#This Row],[order_priority]])</f>
        <v>Economy</v>
      </c>
      <c r="E1420" t="s">
        <v>13316</v>
      </c>
      <c r="F1420" t="str">
        <f>IFERROR(INDEX(customers[country], MATCH(orders[[#This Row],[customer_id]], customers[customer_id], 0)), "Unmapped")</f>
        <v>Norway</v>
      </c>
      <c r="G1420" t="str">
        <f>IFERROR(INDEX(Region_Map[Region], MATCH(orders[[#This Row],[Customer_Country]], Region_Map[Country], 0)), "Unknown")</f>
        <v>Nordics</v>
      </c>
      <c r="H1420" t="s">
        <v>6949</v>
      </c>
    </row>
    <row r="1421" spans="1:8">
      <c r="A1421" t="s">
        <v>2332</v>
      </c>
      <c r="B1421" t="s">
        <v>572</v>
      </c>
      <c r="C1421" s="1">
        <v>45188</v>
      </c>
      <c r="D1421" s="1" t="str">
        <f>PROPER(orders[[#This Row],[order_priority]])</f>
        <v>Economy</v>
      </c>
      <c r="E1421" t="s">
        <v>13325</v>
      </c>
      <c r="F1421" t="str">
        <f>IFERROR(INDEX(customers[country], MATCH(orders[[#This Row],[customer_id]], customers[customer_id], 0)), "Unmapped")</f>
        <v>Germany</v>
      </c>
      <c r="G1421" t="str">
        <f>IFERROR(INDEX(Region_Map[Region], MATCH(orders[[#This Row],[Customer_Country]], Region_Map[Country], 0)), "Unknown")</f>
        <v>Central Europe</v>
      </c>
      <c r="H1421" t="s">
        <v>6949</v>
      </c>
    </row>
    <row r="1422" spans="1:8">
      <c r="A1422" t="s">
        <v>2333</v>
      </c>
      <c r="B1422" t="s">
        <v>90</v>
      </c>
      <c r="C1422" s="1">
        <v>45189</v>
      </c>
      <c r="D1422" s="1" t="str">
        <f>PROPER(orders[[#This Row],[order_priority]])</f>
        <v>Same Day</v>
      </c>
      <c r="E1422" t="s">
        <v>13322</v>
      </c>
      <c r="F1422" t="str">
        <f>IFERROR(INDEX(customers[country], MATCH(orders[[#This Row],[customer_id]], customers[customer_id], 0)), "Unmapped")</f>
        <v>Netherlands</v>
      </c>
      <c r="G1422" t="str">
        <f>IFERROR(INDEX(Region_Map[Region], MATCH(orders[[#This Row],[Customer_Country]], Region_Map[Country], 0)), "Unknown")</f>
        <v>Central Europe</v>
      </c>
      <c r="H1422" t="s">
        <v>6949</v>
      </c>
    </row>
    <row r="1423" spans="1:8">
      <c r="A1423" t="s">
        <v>2334</v>
      </c>
      <c r="B1423" t="s">
        <v>596</v>
      </c>
      <c r="C1423" s="1">
        <v>44992</v>
      </c>
      <c r="D1423" s="1" t="str">
        <f>PROPER(orders[[#This Row],[order_priority]])</f>
        <v>Express</v>
      </c>
      <c r="E1423" t="s">
        <v>13318</v>
      </c>
      <c r="F1423" t="str">
        <f>IFERROR(INDEX(customers[country], MATCH(orders[[#This Row],[customer_id]], customers[customer_id], 0)), "Unmapped")</f>
        <v>Lithuania</v>
      </c>
      <c r="G1423" t="str">
        <f>IFERROR(INDEX(Region_Map[Region], MATCH(orders[[#This Row],[Customer_Country]], Region_Map[Country], 0)), "Unknown")</f>
        <v>Baltics</v>
      </c>
      <c r="H1423" t="s">
        <v>6949</v>
      </c>
    </row>
    <row r="1424" spans="1:8">
      <c r="A1424" t="s">
        <v>2335</v>
      </c>
      <c r="B1424" t="s">
        <v>825</v>
      </c>
      <c r="C1424" s="1">
        <v>44992</v>
      </c>
      <c r="D1424" s="1" t="str">
        <f>PROPER(orders[[#This Row],[order_priority]])</f>
        <v>Economy</v>
      </c>
      <c r="E1424" t="s">
        <v>13316</v>
      </c>
      <c r="F1424" t="str">
        <f>IFERROR(INDEX(customers[country], MATCH(orders[[#This Row],[customer_id]], customers[customer_id], 0)), "Unmapped")</f>
        <v>Latvia</v>
      </c>
      <c r="G1424" t="str">
        <f>IFERROR(INDEX(Region_Map[Region], MATCH(orders[[#This Row],[Customer_Country]], Region_Map[Country], 0)), "Unknown")</f>
        <v>Baltics</v>
      </c>
      <c r="H1424" t="s">
        <v>6949</v>
      </c>
    </row>
    <row r="1425" spans="1:8">
      <c r="A1425" t="s">
        <v>2336</v>
      </c>
      <c r="B1425" t="s">
        <v>51</v>
      </c>
      <c r="C1425" s="1">
        <v>45312</v>
      </c>
      <c r="D1425" s="1" t="str">
        <f>PROPER(orders[[#This Row],[order_priority]])</f>
        <v>Same Day</v>
      </c>
      <c r="E1425" t="s">
        <v>13321</v>
      </c>
      <c r="F1425" t="str">
        <f>IFERROR(INDEX(customers[country], MATCH(orders[[#This Row],[customer_id]], customers[customer_id], 0)), "Unmapped")</f>
        <v>Germany</v>
      </c>
      <c r="G1425" t="str">
        <f>IFERROR(INDEX(Region_Map[Region], MATCH(orders[[#This Row],[Customer_Country]], Region_Map[Country], 0)), "Unknown")</f>
        <v>Central Europe</v>
      </c>
      <c r="H1425" t="s">
        <v>6949</v>
      </c>
    </row>
    <row r="1426" spans="1:8">
      <c r="A1426" t="s">
        <v>2337</v>
      </c>
      <c r="B1426" t="s">
        <v>790</v>
      </c>
      <c r="C1426" s="1">
        <v>45163</v>
      </c>
      <c r="D1426" s="1" t="str">
        <f>PROPER(orders[[#This Row],[order_priority]])</f>
        <v>Same Day</v>
      </c>
      <c r="E1426" t="s">
        <v>13322</v>
      </c>
      <c r="F1426" t="str">
        <f>IFERROR(INDEX(customers[country], MATCH(orders[[#This Row],[customer_id]], customers[customer_id], 0)), "Unmapped")</f>
        <v>Germany</v>
      </c>
      <c r="G1426" t="str">
        <f>IFERROR(INDEX(Region_Map[Region], MATCH(orders[[#This Row],[Customer_Country]], Region_Map[Country], 0)), "Unknown")</f>
        <v>Central Europe</v>
      </c>
      <c r="H1426" t="s">
        <v>6949</v>
      </c>
    </row>
    <row r="1427" spans="1:8">
      <c r="A1427" t="s">
        <v>2338</v>
      </c>
      <c r="B1427" t="s">
        <v>335</v>
      </c>
      <c r="C1427" s="1">
        <v>45395</v>
      </c>
      <c r="D1427" s="1" t="str">
        <f>PROPER(orders[[#This Row],[order_priority]])</f>
        <v>Same Day</v>
      </c>
      <c r="E1427" t="s">
        <v>13322</v>
      </c>
      <c r="F1427" t="str">
        <f>IFERROR(INDEX(customers[country], MATCH(orders[[#This Row],[customer_id]], customers[customer_id], 0)), "Unmapped")</f>
        <v>Denmark</v>
      </c>
      <c r="G1427" t="str">
        <f>IFERROR(INDEX(Region_Map[Region], MATCH(orders[[#This Row],[Customer_Country]], Region_Map[Country], 0)), "Unknown")</f>
        <v>Nordics</v>
      </c>
      <c r="H1427" t="s">
        <v>6949</v>
      </c>
    </row>
    <row r="1428" spans="1:8">
      <c r="A1428" t="s">
        <v>2339</v>
      </c>
      <c r="B1428" t="s">
        <v>593</v>
      </c>
      <c r="C1428" s="1">
        <v>45537</v>
      </c>
      <c r="D1428" s="1" t="str">
        <f>PROPER(orders[[#This Row],[order_priority]])</f>
        <v>Standard</v>
      </c>
      <c r="E1428" t="s">
        <v>13317</v>
      </c>
      <c r="F1428" t="str">
        <f>IFERROR(INDEX(customers[country], MATCH(orders[[#This Row],[customer_id]], customers[customer_id], 0)), "Unmapped")</f>
        <v>Estonia</v>
      </c>
      <c r="G1428" t="str">
        <f>IFERROR(INDEX(Region_Map[Region], MATCH(orders[[#This Row],[Customer_Country]], Region_Map[Country], 0)), "Unknown")</f>
        <v>Baltics</v>
      </c>
      <c r="H1428" t="s">
        <v>6949</v>
      </c>
    </row>
    <row r="1429" spans="1:8">
      <c r="A1429" t="s">
        <v>2340</v>
      </c>
      <c r="B1429" t="s">
        <v>521</v>
      </c>
      <c r="C1429" s="1">
        <v>45209</v>
      </c>
      <c r="D1429" s="1" t="str">
        <f>PROPER(orders[[#This Row],[order_priority]])</f>
        <v>Same Day</v>
      </c>
      <c r="E1429" t="s">
        <v>13322</v>
      </c>
      <c r="F1429" t="str">
        <f>IFERROR(INDEX(customers[country], MATCH(orders[[#This Row],[customer_id]], customers[customer_id], 0)), "Unmapped")</f>
        <v>Norway</v>
      </c>
      <c r="G1429" t="str">
        <f>IFERROR(INDEX(Region_Map[Region], MATCH(orders[[#This Row],[Customer_Country]], Region_Map[Country], 0)), "Unknown")</f>
        <v>Nordics</v>
      </c>
      <c r="H1429" t="s">
        <v>6949</v>
      </c>
    </row>
    <row r="1430" spans="1:8">
      <c r="A1430" t="s">
        <v>2341</v>
      </c>
      <c r="B1430" t="s">
        <v>769</v>
      </c>
      <c r="C1430" s="1">
        <v>45434</v>
      </c>
      <c r="D1430" s="1" t="str">
        <f>PROPER(orders[[#This Row],[order_priority]])</f>
        <v>Economy</v>
      </c>
      <c r="E1430" t="s">
        <v>13316</v>
      </c>
      <c r="F1430" t="str">
        <f>IFERROR(INDEX(customers[country], MATCH(orders[[#This Row],[customer_id]], customers[customer_id], 0)), "Unmapped")</f>
        <v>Latvia</v>
      </c>
      <c r="G1430" t="str">
        <f>IFERROR(INDEX(Region_Map[Region], MATCH(orders[[#This Row],[Customer_Country]], Region_Map[Country], 0)), "Unknown")</f>
        <v>Baltics</v>
      </c>
      <c r="H1430" t="s">
        <v>6949</v>
      </c>
    </row>
    <row r="1431" spans="1:8">
      <c r="A1431" t="s">
        <v>2342</v>
      </c>
      <c r="B1431" t="s">
        <v>303</v>
      </c>
      <c r="C1431" s="1">
        <v>45395</v>
      </c>
      <c r="D1431" s="1" t="str">
        <f>PROPER(orders[[#This Row],[order_priority]])</f>
        <v>Economy</v>
      </c>
      <c r="E1431" t="s">
        <v>13316</v>
      </c>
      <c r="F1431" t="str">
        <f>IFERROR(INDEX(customers[country], MATCH(orders[[#This Row],[customer_id]], customers[customer_id], 0)), "Unmapped")</f>
        <v>Netherlands</v>
      </c>
      <c r="G1431" t="str">
        <f>IFERROR(INDEX(Region_Map[Region], MATCH(orders[[#This Row],[Customer_Country]], Region_Map[Country], 0)), "Unknown")</f>
        <v>Central Europe</v>
      </c>
      <c r="H1431" t="s">
        <v>6949</v>
      </c>
    </row>
    <row r="1432" spans="1:8">
      <c r="A1432" t="s">
        <v>2343</v>
      </c>
      <c r="B1432" t="s">
        <v>506</v>
      </c>
      <c r="C1432" s="1">
        <v>45118</v>
      </c>
      <c r="D1432" s="1" t="str">
        <f>PROPER(orders[[#This Row],[order_priority]])</f>
        <v>Express</v>
      </c>
      <c r="E1432" t="s">
        <v>13318</v>
      </c>
      <c r="F1432" t="str">
        <f>IFERROR(INDEX(customers[country], MATCH(orders[[#This Row],[customer_id]], customers[customer_id], 0)), "Unmapped")</f>
        <v>Poland</v>
      </c>
      <c r="G1432" t="str">
        <f>IFERROR(INDEX(Region_Map[Region], MATCH(orders[[#This Row],[Customer_Country]], Region_Map[Country], 0)), "Unknown")</f>
        <v>Central Europe</v>
      </c>
      <c r="H1432" t="s">
        <v>6949</v>
      </c>
    </row>
    <row r="1433" spans="1:8">
      <c r="A1433" t="s">
        <v>2344</v>
      </c>
      <c r="B1433" t="s">
        <v>494</v>
      </c>
      <c r="C1433" s="1">
        <v>44979</v>
      </c>
      <c r="D1433" s="1" t="str">
        <f>PROPER(orders[[#This Row],[order_priority]])</f>
        <v>Standard</v>
      </c>
      <c r="E1433" t="s">
        <v>13317</v>
      </c>
      <c r="F1433" t="str">
        <f>IFERROR(INDEX(customers[country], MATCH(orders[[#This Row],[customer_id]], customers[customer_id], 0)), "Unmapped")</f>
        <v>Sweden</v>
      </c>
      <c r="G1433" t="str">
        <f>IFERROR(INDEX(Region_Map[Region], MATCH(orders[[#This Row],[Customer_Country]], Region_Map[Country], 0)), "Unknown")</f>
        <v>Nordics</v>
      </c>
      <c r="H1433" t="s">
        <v>6949</v>
      </c>
    </row>
    <row r="1434" spans="1:8">
      <c r="A1434" t="s">
        <v>2345</v>
      </c>
      <c r="B1434" t="s">
        <v>888</v>
      </c>
      <c r="C1434" s="1">
        <v>45392</v>
      </c>
      <c r="D1434" s="1" t="str">
        <f>PROPER(orders[[#This Row],[order_priority]])</f>
        <v>Economy</v>
      </c>
      <c r="E1434" t="s">
        <v>13316</v>
      </c>
      <c r="F1434" t="str">
        <f>IFERROR(INDEX(customers[country], MATCH(orders[[#This Row],[customer_id]], customers[customer_id], 0)), "Unmapped")</f>
        <v>Denmark</v>
      </c>
      <c r="G1434" t="str">
        <f>IFERROR(INDEX(Region_Map[Region], MATCH(orders[[#This Row],[Customer_Country]], Region_Map[Country], 0)), "Unknown")</f>
        <v>Nordics</v>
      </c>
      <c r="H1434" t="s">
        <v>6949</v>
      </c>
    </row>
    <row r="1435" spans="1:8">
      <c r="A1435" t="s">
        <v>2346</v>
      </c>
      <c r="B1435" t="s">
        <v>240</v>
      </c>
      <c r="C1435" s="1">
        <v>45088</v>
      </c>
      <c r="D1435" s="1" t="str">
        <f>PROPER(orders[[#This Row],[order_priority]])</f>
        <v>Economy</v>
      </c>
      <c r="E1435" t="s">
        <v>13316</v>
      </c>
      <c r="F1435" t="str">
        <f>IFERROR(INDEX(customers[country], MATCH(orders[[#This Row],[customer_id]], customers[customer_id], 0)), "Unmapped")</f>
        <v>Lithuania</v>
      </c>
      <c r="G1435" t="str">
        <f>IFERROR(INDEX(Region_Map[Region], MATCH(orders[[#This Row],[Customer_Country]], Region_Map[Country], 0)), "Unknown")</f>
        <v>Baltics</v>
      </c>
      <c r="H1435" t="s">
        <v>6949</v>
      </c>
    </row>
    <row r="1436" spans="1:8">
      <c r="A1436" t="s">
        <v>2347</v>
      </c>
      <c r="B1436" t="s">
        <v>888</v>
      </c>
      <c r="C1436" s="1">
        <v>45328</v>
      </c>
      <c r="D1436" s="1" t="str">
        <f>PROPER(orders[[#This Row],[order_priority]])</f>
        <v>Economy</v>
      </c>
      <c r="E1436" t="s">
        <v>13325</v>
      </c>
      <c r="F1436" t="str">
        <f>IFERROR(INDEX(customers[country], MATCH(orders[[#This Row],[customer_id]], customers[customer_id], 0)), "Unmapped")</f>
        <v>Denmark</v>
      </c>
      <c r="G1436" t="str">
        <f>IFERROR(INDEX(Region_Map[Region], MATCH(orders[[#This Row],[Customer_Country]], Region_Map[Country], 0)), "Unknown")</f>
        <v>Nordics</v>
      </c>
      <c r="H1436" t="s">
        <v>6949</v>
      </c>
    </row>
    <row r="1437" spans="1:8">
      <c r="A1437" t="s">
        <v>2348</v>
      </c>
      <c r="B1437" t="s">
        <v>703</v>
      </c>
      <c r="C1437" s="1">
        <v>45375</v>
      </c>
      <c r="D1437" s="1" t="str">
        <f>PROPER(orders[[#This Row],[order_priority]])</f>
        <v>Express</v>
      </c>
      <c r="E1437" t="s">
        <v>13320</v>
      </c>
      <c r="F1437" t="str">
        <f>IFERROR(INDEX(customers[country], MATCH(orders[[#This Row],[customer_id]], customers[customer_id], 0)), "Unmapped")</f>
        <v>Estonia</v>
      </c>
      <c r="G1437" t="str">
        <f>IFERROR(INDEX(Region_Map[Region], MATCH(orders[[#This Row],[Customer_Country]], Region_Map[Country], 0)), "Unknown")</f>
        <v>Baltics</v>
      </c>
      <c r="H1437" t="s">
        <v>6949</v>
      </c>
    </row>
    <row r="1438" spans="1:8">
      <c r="A1438" t="s">
        <v>2349</v>
      </c>
      <c r="B1438" t="s">
        <v>458</v>
      </c>
      <c r="C1438" s="1">
        <v>45149</v>
      </c>
      <c r="D1438" s="1" t="str">
        <f>PROPER(orders[[#This Row],[order_priority]])</f>
        <v>Same Day</v>
      </c>
      <c r="E1438" t="s">
        <v>13322</v>
      </c>
      <c r="F1438" t="str">
        <f>IFERROR(INDEX(customers[country], MATCH(orders[[#This Row],[customer_id]], customers[customer_id], 0)), "Unmapped")</f>
        <v>Poland</v>
      </c>
      <c r="G1438" t="str">
        <f>IFERROR(INDEX(Region_Map[Region], MATCH(orders[[#This Row],[Customer_Country]], Region_Map[Country], 0)), "Unknown")</f>
        <v>Central Europe</v>
      </c>
      <c r="H1438" t="s">
        <v>6949</v>
      </c>
    </row>
    <row r="1439" spans="1:8">
      <c r="A1439" t="s">
        <v>2350</v>
      </c>
      <c r="B1439" t="s">
        <v>503</v>
      </c>
      <c r="C1439" s="1">
        <v>45074</v>
      </c>
      <c r="D1439" s="1" t="str">
        <f>PROPER(orders[[#This Row],[order_priority]])</f>
        <v>Economy</v>
      </c>
      <c r="E1439" t="s">
        <v>13328</v>
      </c>
      <c r="F1439" t="str">
        <f>IFERROR(INDEX(customers[country], MATCH(orders[[#This Row],[customer_id]], customers[customer_id], 0)), "Unmapped")</f>
        <v>Denmark</v>
      </c>
      <c r="G1439" t="str">
        <f>IFERROR(INDEX(Region_Map[Region], MATCH(orders[[#This Row],[Customer_Country]], Region_Map[Country], 0)), "Unknown")</f>
        <v>Nordics</v>
      </c>
      <c r="H1439" t="s">
        <v>6949</v>
      </c>
    </row>
    <row r="1440" spans="1:8">
      <c r="A1440" t="s">
        <v>2351</v>
      </c>
      <c r="B1440" t="s">
        <v>509</v>
      </c>
      <c r="C1440" s="1">
        <v>45142</v>
      </c>
      <c r="D1440" s="1" t="str">
        <f>PROPER(orders[[#This Row],[order_priority]])</f>
        <v>Express</v>
      </c>
      <c r="E1440" t="s">
        <v>13318</v>
      </c>
      <c r="F1440" t="str">
        <f>IFERROR(INDEX(customers[country], MATCH(orders[[#This Row],[customer_id]], customers[customer_id], 0)), "Unmapped")</f>
        <v>Sweden</v>
      </c>
      <c r="G1440" t="str">
        <f>IFERROR(INDEX(Region_Map[Region], MATCH(orders[[#This Row],[Customer_Country]], Region_Map[Country], 0)), "Unknown")</f>
        <v>Nordics</v>
      </c>
      <c r="H1440" t="s">
        <v>6949</v>
      </c>
    </row>
    <row r="1441" spans="1:8">
      <c r="A1441" t="s">
        <v>2352</v>
      </c>
      <c r="B1441" t="s">
        <v>752</v>
      </c>
      <c r="C1441" s="1">
        <v>45150</v>
      </c>
      <c r="D1441" s="1" t="str">
        <f>PROPER(orders[[#This Row],[order_priority]])</f>
        <v>Standard</v>
      </c>
      <c r="E1441" t="s">
        <v>13319</v>
      </c>
      <c r="F1441" t="str">
        <f>IFERROR(INDEX(customers[country], MATCH(orders[[#This Row],[customer_id]], customers[customer_id], 0)), "Unmapped")</f>
        <v>Estonia</v>
      </c>
      <c r="G1441" t="str">
        <f>IFERROR(INDEX(Region_Map[Region], MATCH(orders[[#This Row],[Customer_Country]], Region_Map[Country], 0)), "Unknown")</f>
        <v>Baltics</v>
      </c>
      <c r="H1441" t="s">
        <v>6949</v>
      </c>
    </row>
    <row r="1442" spans="1:8">
      <c r="A1442" t="s">
        <v>2353</v>
      </c>
      <c r="B1442" t="s">
        <v>58</v>
      </c>
      <c r="C1442" s="1">
        <v>45195</v>
      </c>
      <c r="D1442" s="1" t="str">
        <f>PROPER(orders[[#This Row],[order_priority]])</f>
        <v>Economy</v>
      </c>
      <c r="E1442" t="s">
        <v>13316</v>
      </c>
      <c r="F1442" t="str">
        <f>IFERROR(INDEX(customers[country], MATCH(orders[[#This Row],[customer_id]], customers[customer_id], 0)), "Unmapped")</f>
        <v>Germany</v>
      </c>
      <c r="G1442" t="str">
        <f>IFERROR(INDEX(Region_Map[Region], MATCH(orders[[#This Row],[Customer_Country]], Region_Map[Country], 0)), "Unknown")</f>
        <v>Central Europe</v>
      </c>
      <c r="H1442" t="s">
        <v>6949</v>
      </c>
    </row>
    <row r="1443" spans="1:8">
      <c r="A1443" t="s">
        <v>2354</v>
      </c>
      <c r="B1443" t="s">
        <v>870</v>
      </c>
      <c r="C1443" s="1">
        <v>45351</v>
      </c>
      <c r="D1443" s="1" t="str">
        <f>PROPER(orders[[#This Row],[order_priority]])</f>
        <v>Express</v>
      </c>
      <c r="E1443" t="s">
        <v>13320</v>
      </c>
      <c r="F1443" t="str">
        <f>IFERROR(INDEX(customers[country], MATCH(orders[[#This Row],[customer_id]], customers[customer_id], 0)), "Unmapped")</f>
        <v>Estonia</v>
      </c>
      <c r="G1443" t="str">
        <f>IFERROR(INDEX(Region_Map[Region], MATCH(orders[[#This Row],[Customer_Country]], Region_Map[Country], 0)), "Unknown")</f>
        <v>Baltics</v>
      </c>
      <c r="H1443" t="s">
        <v>6949</v>
      </c>
    </row>
    <row r="1444" spans="1:8">
      <c r="A1444" t="s">
        <v>2355</v>
      </c>
      <c r="B1444" t="s">
        <v>431</v>
      </c>
      <c r="C1444" s="1">
        <v>45093</v>
      </c>
      <c r="D1444" s="1" t="str">
        <f>PROPER(orders[[#This Row],[order_priority]])</f>
        <v>Standard</v>
      </c>
      <c r="E1444" t="s">
        <v>13317</v>
      </c>
      <c r="F1444" t="str">
        <f>IFERROR(INDEX(customers[country], MATCH(orders[[#This Row],[customer_id]], customers[customer_id], 0)), "Unmapped")</f>
        <v>Sweden</v>
      </c>
      <c r="G1444" t="str">
        <f>IFERROR(INDEX(Region_Map[Region], MATCH(orders[[#This Row],[Customer_Country]], Region_Map[Country], 0)), "Unknown")</f>
        <v>Nordics</v>
      </c>
      <c r="H1444" t="s">
        <v>6949</v>
      </c>
    </row>
    <row r="1445" spans="1:8">
      <c r="A1445" t="s">
        <v>2356</v>
      </c>
      <c r="B1445" t="s">
        <v>527</v>
      </c>
      <c r="C1445" s="1">
        <v>45350</v>
      </c>
      <c r="D1445" s="1" t="str">
        <f>PROPER(orders[[#This Row],[order_priority]])</f>
        <v>Standard</v>
      </c>
      <c r="E1445" t="s">
        <v>13323</v>
      </c>
      <c r="F1445" t="str">
        <f>IFERROR(INDEX(customers[country], MATCH(orders[[#This Row],[customer_id]], customers[customer_id], 0)), "Unmapped")</f>
        <v>Sweden</v>
      </c>
      <c r="G1445" t="str">
        <f>IFERROR(INDEX(Region_Map[Region], MATCH(orders[[#This Row],[Customer_Country]], Region_Map[Country], 0)), "Unknown")</f>
        <v>Nordics</v>
      </c>
      <c r="H1445" t="s">
        <v>6949</v>
      </c>
    </row>
    <row r="1446" spans="1:8">
      <c r="A1446" t="s">
        <v>2357</v>
      </c>
      <c r="B1446" t="s">
        <v>90</v>
      </c>
      <c r="C1446" s="1">
        <v>45567</v>
      </c>
      <c r="D1446" s="1" t="str">
        <f>PROPER(orders[[#This Row],[order_priority]])</f>
        <v>Express</v>
      </c>
      <c r="E1446" t="s">
        <v>13318</v>
      </c>
      <c r="F1446" t="str">
        <f>IFERROR(INDEX(customers[country], MATCH(orders[[#This Row],[customer_id]], customers[customer_id], 0)), "Unmapped")</f>
        <v>Netherlands</v>
      </c>
      <c r="G1446" t="str">
        <f>IFERROR(INDEX(Region_Map[Region], MATCH(orders[[#This Row],[Customer_Country]], Region_Map[Country], 0)), "Unknown")</f>
        <v>Central Europe</v>
      </c>
      <c r="H1446" t="s">
        <v>6949</v>
      </c>
    </row>
    <row r="1447" spans="1:8">
      <c r="A1447" t="s">
        <v>2358</v>
      </c>
      <c r="B1447" t="s">
        <v>497</v>
      </c>
      <c r="C1447" s="1">
        <v>45549</v>
      </c>
      <c r="D1447" s="1" t="str">
        <f>PROPER(orders[[#This Row],[order_priority]])</f>
        <v>Same Day</v>
      </c>
      <c r="E1447" t="s">
        <v>13322</v>
      </c>
      <c r="F1447" t="str">
        <f>IFERROR(INDEX(customers[country], MATCH(orders[[#This Row],[customer_id]], customers[customer_id], 0)), "Unmapped")</f>
        <v>Germany</v>
      </c>
      <c r="G1447" t="str">
        <f>IFERROR(INDEX(Region_Map[Region], MATCH(orders[[#This Row],[Customer_Country]], Region_Map[Country], 0)), "Unknown")</f>
        <v>Central Europe</v>
      </c>
      <c r="H1447" t="s">
        <v>6949</v>
      </c>
    </row>
    <row r="1448" spans="1:8">
      <c r="A1448" t="s">
        <v>2359</v>
      </c>
      <c r="B1448" t="s">
        <v>282</v>
      </c>
      <c r="C1448" s="1">
        <v>45543</v>
      </c>
      <c r="D1448" s="1" t="str">
        <f>PROPER(orders[[#This Row],[order_priority]])</f>
        <v>Standard</v>
      </c>
      <c r="E1448" t="s">
        <v>13317</v>
      </c>
      <c r="F1448" t="str">
        <f>IFERROR(INDEX(customers[country], MATCH(orders[[#This Row],[customer_id]], customers[customer_id], 0)), "Unmapped")</f>
        <v>Netherlands</v>
      </c>
      <c r="G1448" t="str">
        <f>IFERROR(INDEX(Region_Map[Region], MATCH(orders[[#This Row],[Customer_Country]], Region_Map[Country], 0)), "Unknown")</f>
        <v>Central Europe</v>
      </c>
      <c r="H1448" t="s">
        <v>6949</v>
      </c>
    </row>
    <row r="1449" spans="1:8">
      <c r="A1449" t="s">
        <v>2360</v>
      </c>
      <c r="B1449" t="s">
        <v>118</v>
      </c>
      <c r="C1449" s="1">
        <v>45510</v>
      </c>
      <c r="D1449" s="1" t="str">
        <f>PROPER(orders[[#This Row],[order_priority]])</f>
        <v>Same Day</v>
      </c>
      <c r="E1449" t="s">
        <v>13322</v>
      </c>
      <c r="F1449" t="str">
        <f>IFERROR(INDEX(customers[country], MATCH(orders[[#This Row],[customer_id]], customers[customer_id], 0)), "Unmapped")</f>
        <v>Denmark</v>
      </c>
      <c r="G1449" t="str">
        <f>IFERROR(INDEX(Region_Map[Region], MATCH(orders[[#This Row],[Customer_Country]], Region_Map[Country], 0)), "Unknown")</f>
        <v>Nordics</v>
      </c>
      <c r="H1449" t="s">
        <v>6949</v>
      </c>
    </row>
    <row r="1450" spans="1:8">
      <c r="A1450" t="s">
        <v>2361</v>
      </c>
      <c r="B1450" t="s">
        <v>479</v>
      </c>
      <c r="C1450" s="1">
        <v>45377</v>
      </c>
      <c r="D1450" s="1" t="str">
        <f>PROPER(orders[[#This Row],[order_priority]])</f>
        <v>Standard</v>
      </c>
      <c r="E1450" t="s">
        <v>13317</v>
      </c>
      <c r="F1450" t="str">
        <f>IFERROR(INDEX(customers[country], MATCH(orders[[#This Row],[customer_id]], customers[customer_id], 0)), "Unmapped")</f>
        <v>Latvia</v>
      </c>
      <c r="G1450" t="str">
        <f>IFERROR(INDEX(Region_Map[Region], MATCH(orders[[#This Row],[Customer_Country]], Region_Map[Country], 0)), "Unknown")</f>
        <v>Baltics</v>
      </c>
      <c r="H1450" t="s">
        <v>6949</v>
      </c>
    </row>
    <row r="1451" spans="1:8">
      <c r="A1451" t="s">
        <v>2362</v>
      </c>
      <c r="B1451" t="s">
        <v>864</v>
      </c>
      <c r="C1451" s="1">
        <v>45328</v>
      </c>
      <c r="D1451" s="1" t="str">
        <f>PROPER(orders[[#This Row],[order_priority]])</f>
        <v>Standard</v>
      </c>
      <c r="E1451" t="s">
        <v>13317</v>
      </c>
      <c r="F1451" t="str">
        <f>IFERROR(INDEX(customers[country], MATCH(orders[[#This Row],[customer_id]], customers[customer_id], 0)), "Unmapped")</f>
        <v>Finland</v>
      </c>
      <c r="G1451" t="str">
        <f>IFERROR(INDEX(Region_Map[Region], MATCH(orders[[#This Row],[Customer_Country]], Region_Map[Country], 0)), "Unknown")</f>
        <v>Nordics</v>
      </c>
      <c r="H1451" t="s">
        <v>6949</v>
      </c>
    </row>
    <row r="1452" spans="1:8">
      <c r="A1452" t="s">
        <v>2363</v>
      </c>
      <c r="B1452" t="s">
        <v>118</v>
      </c>
      <c r="C1452" s="1">
        <v>44986</v>
      </c>
      <c r="D1452" s="1" t="str">
        <f>PROPER(orders[[#This Row],[order_priority]])</f>
        <v>Express</v>
      </c>
      <c r="E1452" t="s">
        <v>13318</v>
      </c>
      <c r="F1452" t="str">
        <f>IFERROR(INDEX(customers[country], MATCH(orders[[#This Row],[customer_id]], customers[customer_id], 0)), "Unmapped")</f>
        <v>Denmark</v>
      </c>
      <c r="G1452" t="str">
        <f>IFERROR(INDEX(Region_Map[Region], MATCH(orders[[#This Row],[Customer_Country]], Region_Map[Country], 0)), "Unknown")</f>
        <v>Nordics</v>
      </c>
      <c r="H1452" t="s">
        <v>6949</v>
      </c>
    </row>
    <row r="1453" spans="1:8">
      <c r="A1453" t="s">
        <v>2364</v>
      </c>
      <c r="B1453" t="s">
        <v>455</v>
      </c>
      <c r="C1453" s="1">
        <v>45524</v>
      </c>
      <c r="D1453" s="1" t="str">
        <f>PROPER(orders[[#This Row],[order_priority]])</f>
        <v>Same Day</v>
      </c>
      <c r="E1453" t="s">
        <v>13322</v>
      </c>
      <c r="F1453" t="str">
        <f>IFERROR(INDEX(customers[country], MATCH(orders[[#This Row],[customer_id]], customers[customer_id], 0)), "Unmapped")</f>
        <v>Poland</v>
      </c>
      <c r="G1453" t="str">
        <f>IFERROR(INDEX(Region_Map[Region], MATCH(orders[[#This Row],[Customer_Country]], Region_Map[Country], 0)), "Unknown")</f>
        <v>Central Europe</v>
      </c>
      <c r="H1453" t="s">
        <v>6949</v>
      </c>
    </row>
    <row r="1454" spans="1:8">
      <c r="A1454" t="s">
        <v>2365</v>
      </c>
      <c r="B1454" t="s">
        <v>428</v>
      </c>
      <c r="C1454" s="1">
        <v>45171</v>
      </c>
      <c r="D1454" s="1" t="str">
        <f>PROPER(orders[[#This Row],[order_priority]])</f>
        <v>Economy</v>
      </c>
      <c r="E1454" t="s">
        <v>13316</v>
      </c>
      <c r="F1454" t="str">
        <f>IFERROR(INDEX(customers[country], MATCH(orders[[#This Row],[customer_id]], customers[customer_id], 0)), "Unmapped")</f>
        <v>Finland</v>
      </c>
      <c r="G1454" t="str">
        <f>IFERROR(INDEX(Region_Map[Region], MATCH(orders[[#This Row],[Customer_Country]], Region_Map[Country], 0)), "Unknown")</f>
        <v>Nordics</v>
      </c>
      <c r="H1454" t="s">
        <v>6949</v>
      </c>
    </row>
    <row r="1455" spans="1:8">
      <c r="A1455" t="s">
        <v>2366</v>
      </c>
      <c r="B1455" t="s">
        <v>201</v>
      </c>
      <c r="C1455" s="1">
        <v>45590</v>
      </c>
      <c r="D1455" s="1" t="str">
        <f>PROPER(orders[[#This Row],[order_priority]])</f>
        <v>Same Day</v>
      </c>
      <c r="E1455" t="s">
        <v>13322</v>
      </c>
      <c r="F1455" t="str">
        <f>IFERROR(INDEX(customers[country], MATCH(orders[[#This Row],[customer_id]], customers[customer_id], 0)), "Unmapped")</f>
        <v>Estonia</v>
      </c>
      <c r="G1455" t="str">
        <f>IFERROR(INDEX(Region_Map[Region], MATCH(orders[[#This Row],[Customer_Country]], Region_Map[Country], 0)), "Unknown")</f>
        <v>Baltics</v>
      </c>
      <c r="H1455" t="s">
        <v>6949</v>
      </c>
    </row>
    <row r="1456" spans="1:8">
      <c r="A1456" t="s">
        <v>2367</v>
      </c>
      <c r="B1456" t="s">
        <v>317</v>
      </c>
      <c r="C1456" s="1">
        <v>45311</v>
      </c>
      <c r="D1456" s="1" t="str">
        <f>PROPER(orders[[#This Row],[order_priority]])</f>
        <v>Economy</v>
      </c>
      <c r="E1456" t="s">
        <v>13316</v>
      </c>
      <c r="F1456" t="str">
        <f>IFERROR(INDEX(customers[country], MATCH(orders[[#This Row],[customer_id]], customers[customer_id], 0)), "Unmapped")</f>
        <v>Sweden</v>
      </c>
      <c r="G1456" t="str">
        <f>IFERROR(INDEX(Region_Map[Region], MATCH(orders[[#This Row],[Customer_Country]], Region_Map[Country], 0)), "Unknown")</f>
        <v>Nordics</v>
      </c>
      <c r="H1456" t="s">
        <v>6949</v>
      </c>
    </row>
    <row r="1457" spans="1:8">
      <c r="A1457" t="s">
        <v>2368</v>
      </c>
      <c r="B1457" t="s">
        <v>314</v>
      </c>
      <c r="C1457" s="1">
        <v>45275</v>
      </c>
      <c r="D1457" s="1" t="str">
        <f>PROPER(orders[[#This Row],[order_priority]])</f>
        <v>Express</v>
      </c>
      <c r="E1457" t="s">
        <v>13318</v>
      </c>
      <c r="F1457" t="str">
        <f>IFERROR(INDEX(customers[country], MATCH(orders[[#This Row],[customer_id]], customers[customer_id], 0)), "Unmapped")</f>
        <v>Poland</v>
      </c>
      <c r="G1457" t="str">
        <f>IFERROR(INDEX(Region_Map[Region], MATCH(orders[[#This Row],[Customer_Country]], Region_Map[Country], 0)), "Unknown")</f>
        <v>Central Europe</v>
      </c>
      <c r="H1457" t="s">
        <v>6949</v>
      </c>
    </row>
    <row r="1458" spans="1:8">
      <c r="A1458" t="s">
        <v>2369</v>
      </c>
      <c r="B1458" t="s">
        <v>350</v>
      </c>
      <c r="C1458" s="1">
        <v>44947</v>
      </c>
      <c r="D1458" s="1" t="str">
        <f>PROPER(orders[[#This Row],[order_priority]])</f>
        <v>Economy</v>
      </c>
      <c r="E1458" t="s">
        <v>13316</v>
      </c>
      <c r="F1458" t="str">
        <f>IFERROR(INDEX(customers[country], MATCH(orders[[#This Row],[customer_id]], customers[customer_id], 0)), "Unmapped")</f>
        <v>Netherlands</v>
      </c>
      <c r="G1458" t="str">
        <f>IFERROR(INDEX(Region_Map[Region], MATCH(orders[[#This Row],[Customer_Country]], Region_Map[Country], 0)), "Unknown")</f>
        <v>Central Europe</v>
      </c>
      <c r="H1458" t="s">
        <v>6949</v>
      </c>
    </row>
    <row r="1459" spans="1:8">
      <c r="A1459" t="s">
        <v>2370</v>
      </c>
      <c r="B1459" t="s">
        <v>246</v>
      </c>
      <c r="C1459" s="1">
        <v>44978</v>
      </c>
      <c r="D1459" s="1" t="str">
        <f>PROPER(orders[[#This Row],[order_priority]])</f>
        <v>Express</v>
      </c>
      <c r="E1459" t="s">
        <v>13318</v>
      </c>
      <c r="F1459" t="str">
        <f>IFERROR(INDEX(customers[country], MATCH(orders[[#This Row],[customer_id]], customers[customer_id], 0)), "Unmapped")</f>
        <v>Netherlands</v>
      </c>
      <c r="G1459" t="str">
        <f>IFERROR(INDEX(Region_Map[Region], MATCH(orders[[#This Row],[Customer_Country]], Region_Map[Country], 0)), "Unknown")</f>
        <v>Central Europe</v>
      </c>
      <c r="H1459" t="s">
        <v>6949</v>
      </c>
    </row>
    <row r="1460" spans="1:8">
      <c r="A1460" t="s">
        <v>2371</v>
      </c>
      <c r="B1460" t="s">
        <v>467</v>
      </c>
      <c r="C1460" s="1">
        <v>45538</v>
      </c>
      <c r="D1460" s="1" t="str">
        <f>PROPER(orders[[#This Row],[order_priority]])</f>
        <v>Same Day</v>
      </c>
      <c r="E1460" t="s">
        <v>13321</v>
      </c>
      <c r="F1460" t="str">
        <f>IFERROR(INDEX(customers[country], MATCH(orders[[#This Row],[customer_id]], customers[customer_id], 0)), "Unmapped")</f>
        <v>Latvia</v>
      </c>
      <c r="G1460" t="str">
        <f>IFERROR(INDEX(Region_Map[Region], MATCH(orders[[#This Row],[Customer_Country]], Region_Map[Country], 0)), "Unknown")</f>
        <v>Baltics</v>
      </c>
      <c r="H1460" t="s">
        <v>6949</v>
      </c>
    </row>
    <row r="1461" spans="1:8">
      <c r="A1461" t="s">
        <v>2372</v>
      </c>
      <c r="B1461" t="s">
        <v>234</v>
      </c>
      <c r="C1461" s="1">
        <v>45493</v>
      </c>
      <c r="D1461" s="1" t="str">
        <f>PROPER(orders[[#This Row],[order_priority]])</f>
        <v>Standard</v>
      </c>
      <c r="E1461" t="s">
        <v>13317</v>
      </c>
      <c r="F1461" t="str">
        <f>IFERROR(INDEX(customers[country], MATCH(orders[[#This Row],[customer_id]], customers[customer_id], 0)), "Unmapped")</f>
        <v>Finland</v>
      </c>
      <c r="G1461" t="str">
        <f>IFERROR(INDEX(Region_Map[Region], MATCH(orders[[#This Row],[Customer_Country]], Region_Map[Country], 0)), "Unknown")</f>
        <v>Nordics</v>
      </c>
      <c r="H1461" t="s">
        <v>6949</v>
      </c>
    </row>
    <row r="1462" spans="1:8">
      <c r="A1462" t="s">
        <v>2373</v>
      </c>
      <c r="B1462" t="s">
        <v>246</v>
      </c>
      <c r="C1462" s="1">
        <v>45025</v>
      </c>
      <c r="D1462" s="1" t="str">
        <f>PROPER(orders[[#This Row],[order_priority]])</f>
        <v>Same Day</v>
      </c>
      <c r="E1462" t="s">
        <v>13322</v>
      </c>
      <c r="F1462" t="str">
        <f>IFERROR(INDEX(customers[country], MATCH(orders[[#This Row],[customer_id]], customers[customer_id], 0)), "Unmapped")</f>
        <v>Netherlands</v>
      </c>
      <c r="G1462" t="str">
        <f>IFERROR(INDEX(Region_Map[Region], MATCH(orders[[#This Row],[Customer_Country]], Region_Map[Country], 0)), "Unknown")</f>
        <v>Central Europe</v>
      </c>
      <c r="H1462" t="s">
        <v>6949</v>
      </c>
    </row>
    <row r="1463" spans="1:8">
      <c r="A1463" t="s">
        <v>2374</v>
      </c>
      <c r="B1463" t="s">
        <v>73</v>
      </c>
      <c r="C1463" s="1">
        <v>45089</v>
      </c>
      <c r="D1463" s="1" t="str">
        <f>PROPER(orders[[#This Row],[order_priority]])</f>
        <v>Express</v>
      </c>
      <c r="E1463" t="s">
        <v>13318</v>
      </c>
      <c r="F1463" t="str">
        <f>IFERROR(INDEX(customers[country], MATCH(orders[[#This Row],[customer_id]], customers[customer_id], 0)), "Unmapped")</f>
        <v>Norway</v>
      </c>
      <c r="G1463" t="str">
        <f>IFERROR(INDEX(Region_Map[Region], MATCH(orders[[#This Row],[Customer_Country]], Region_Map[Country], 0)), "Unknown")</f>
        <v>Nordics</v>
      </c>
      <c r="H1463" t="s">
        <v>6949</v>
      </c>
    </row>
    <row r="1464" spans="1:8">
      <c r="A1464" t="s">
        <v>2375</v>
      </c>
      <c r="B1464" t="s">
        <v>837</v>
      </c>
      <c r="C1464" s="1">
        <v>45387</v>
      </c>
      <c r="D1464" s="1" t="str">
        <f>PROPER(orders[[#This Row],[order_priority]])</f>
        <v>Express</v>
      </c>
      <c r="E1464" t="s">
        <v>13318</v>
      </c>
      <c r="F1464" t="str">
        <f>IFERROR(INDEX(customers[country], MATCH(orders[[#This Row],[customer_id]], customers[customer_id], 0)), "Unmapped")</f>
        <v>Poland</v>
      </c>
      <c r="G1464" t="str">
        <f>IFERROR(INDEX(Region_Map[Region], MATCH(orders[[#This Row],[Customer_Country]], Region_Map[Country], 0)), "Unknown")</f>
        <v>Central Europe</v>
      </c>
      <c r="H1464" t="s">
        <v>6949</v>
      </c>
    </row>
    <row r="1465" spans="1:8">
      <c r="A1465" t="s">
        <v>2376</v>
      </c>
      <c r="B1465" t="s">
        <v>175</v>
      </c>
      <c r="C1465" s="1">
        <v>45052</v>
      </c>
      <c r="D1465" s="1" t="str">
        <f>PROPER(orders[[#This Row],[order_priority]])</f>
        <v>Standard</v>
      </c>
      <c r="E1465" t="s">
        <v>13317</v>
      </c>
      <c r="F1465" t="str">
        <f>IFERROR(INDEX(customers[country], MATCH(orders[[#This Row],[customer_id]], customers[customer_id], 0)), "Unmapped")</f>
        <v>Sweden</v>
      </c>
      <c r="G1465" t="str">
        <f>IFERROR(INDEX(Region_Map[Region], MATCH(orders[[#This Row],[Customer_Country]], Region_Map[Country], 0)), "Unknown")</f>
        <v>Nordics</v>
      </c>
      <c r="H1465" t="s">
        <v>6949</v>
      </c>
    </row>
    <row r="1466" spans="1:8">
      <c r="A1466" t="s">
        <v>1400</v>
      </c>
      <c r="B1466" t="s">
        <v>458</v>
      </c>
      <c r="C1466" s="1">
        <v>45325</v>
      </c>
      <c r="D1466" s="1" t="str">
        <f>PROPER(orders[[#This Row],[order_priority]])</f>
        <v>Standard</v>
      </c>
      <c r="E1466" t="s">
        <v>13317</v>
      </c>
      <c r="F1466" t="str">
        <f>IFERROR(INDEX(customers[country], MATCH(orders[[#This Row],[customer_id]], customers[customer_id], 0)), "Unmapped")</f>
        <v>Poland</v>
      </c>
      <c r="G1466" t="str">
        <f>IFERROR(INDEX(Region_Map[Region], MATCH(orders[[#This Row],[Customer_Country]], Region_Map[Country], 0)), "Unknown")</f>
        <v>Central Europe</v>
      </c>
      <c r="H1466" t="s">
        <v>6949</v>
      </c>
    </row>
    <row r="1467" spans="1:8">
      <c r="A1467" t="s">
        <v>2377</v>
      </c>
      <c r="B1467" t="s">
        <v>258</v>
      </c>
      <c r="C1467" s="1">
        <v>45276</v>
      </c>
      <c r="D1467" s="1" t="str">
        <f>PROPER(orders[[#This Row],[order_priority]])</f>
        <v>Economy</v>
      </c>
      <c r="E1467" t="s">
        <v>13316</v>
      </c>
      <c r="F1467" t="str">
        <f>IFERROR(INDEX(customers[country], MATCH(orders[[#This Row],[customer_id]], customers[customer_id], 0)), "Unmapped")</f>
        <v>Latvia</v>
      </c>
      <c r="G1467" t="str">
        <f>IFERROR(INDEX(Region_Map[Region], MATCH(orders[[#This Row],[Customer_Country]], Region_Map[Country], 0)), "Unknown")</f>
        <v>Baltics</v>
      </c>
      <c r="H1467" t="s">
        <v>6949</v>
      </c>
    </row>
    <row r="1468" spans="1:8">
      <c r="A1468" t="s">
        <v>2378</v>
      </c>
      <c r="B1468" t="s">
        <v>864</v>
      </c>
      <c r="C1468" s="1">
        <v>45251</v>
      </c>
      <c r="D1468" s="1" t="str">
        <f>PROPER(orders[[#This Row],[order_priority]])</f>
        <v>Economy</v>
      </c>
      <c r="E1468" t="s">
        <v>13325</v>
      </c>
      <c r="F1468" t="str">
        <f>IFERROR(INDEX(customers[country], MATCH(orders[[#This Row],[customer_id]], customers[customer_id], 0)), "Unmapped")</f>
        <v>Finland</v>
      </c>
      <c r="G1468" t="str">
        <f>IFERROR(INDEX(Region_Map[Region], MATCH(orders[[#This Row],[Customer_Country]], Region_Map[Country], 0)), "Unknown")</f>
        <v>Nordics</v>
      </c>
      <c r="H1468" t="s">
        <v>6949</v>
      </c>
    </row>
    <row r="1469" spans="1:8">
      <c r="A1469" t="s">
        <v>2379</v>
      </c>
      <c r="B1469" t="s">
        <v>311</v>
      </c>
      <c r="C1469" s="1">
        <v>45373</v>
      </c>
      <c r="D1469" s="1" t="str">
        <f>PROPER(orders[[#This Row],[order_priority]])</f>
        <v>Economy</v>
      </c>
      <c r="E1469" t="s">
        <v>13316</v>
      </c>
      <c r="F1469" t="str">
        <f>IFERROR(INDEX(customers[country], MATCH(orders[[#This Row],[customer_id]], customers[customer_id], 0)), "Unmapped")</f>
        <v>Netherlands</v>
      </c>
      <c r="G1469" t="str">
        <f>IFERROR(INDEX(Region_Map[Region], MATCH(orders[[#This Row],[Customer_Country]], Region_Map[Country], 0)), "Unknown")</f>
        <v>Central Europe</v>
      </c>
      <c r="H1469" t="s">
        <v>6949</v>
      </c>
    </row>
    <row r="1470" spans="1:8">
      <c r="A1470" t="s">
        <v>2380</v>
      </c>
      <c r="B1470" t="s">
        <v>228</v>
      </c>
      <c r="C1470" s="1">
        <v>45334</v>
      </c>
      <c r="D1470" s="1" t="str">
        <f>PROPER(orders[[#This Row],[order_priority]])</f>
        <v>Same Day</v>
      </c>
      <c r="E1470" t="s">
        <v>13322</v>
      </c>
      <c r="F1470" t="str">
        <f>IFERROR(INDEX(customers[country], MATCH(orders[[#This Row],[customer_id]], customers[customer_id], 0)), "Unmapped")</f>
        <v>Latvia</v>
      </c>
      <c r="G1470" t="str">
        <f>IFERROR(INDEX(Region_Map[Region], MATCH(orders[[#This Row],[Customer_Country]], Region_Map[Country], 0)), "Unknown")</f>
        <v>Baltics</v>
      </c>
      <c r="H1470" t="s">
        <v>6949</v>
      </c>
    </row>
    <row r="1471" spans="1:8">
      <c r="A1471" t="s">
        <v>2381</v>
      </c>
      <c r="B1471" t="s">
        <v>805</v>
      </c>
      <c r="C1471" s="1">
        <v>45346</v>
      </c>
      <c r="D1471" s="1" t="str">
        <f>PROPER(orders[[#This Row],[order_priority]])</f>
        <v>Same Day</v>
      </c>
      <c r="E1471" t="s">
        <v>13322</v>
      </c>
      <c r="F1471" t="str">
        <f>IFERROR(INDEX(customers[country], MATCH(orders[[#This Row],[customer_id]], customers[customer_id], 0)), "Unmapped")</f>
        <v>Estonia</v>
      </c>
      <c r="G1471" t="str">
        <f>IFERROR(INDEX(Region_Map[Region], MATCH(orders[[#This Row],[Customer_Country]], Region_Map[Country], 0)), "Unknown")</f>
        <v>Baltics</v>
      </c>
      <c r="H1471" t="s">
        <v>6949</v>
      </c>
    </row>
    <row r="1472" spans="1:8">
      <c r="A1472" t="s">
        <v>2382</v>
      </c>
      <c r="B1472" t="s">
        <v>350</v>
      </c>
      <c r="C1472" s="1">
        <v>45606</v>
      </c>
      <c r="D1472" s="1" t="str">
        <f>PROPER(orders[[#This Row],[order_priority]])</f>
        <v>Same Day</v>
      </c>
      <c r="E1472" t="s">
        <v>13322</v>
      </c>
      <c r="F1472" t="str">
        <f>IFERROR(INDEX(customers[country], MATCH(orders[[#This Row],[customer_id]], customers[customer_id], 0)), "Unmapped")</f>
        <v>Netherlands</v>
      </c>
      <c r="G1472" t="str">
        <f>IFERROR(INDEX(Region_Map[Region], MATCH(orders[[#This Row],[Customer_Country]], Region_Map[Country], 0)), "Unknown")</f>
        <v>Central Europe</v>
      </c>
      <c r="H1472" t="s">
        <v>6949</v>
      </c>
    </row>
    <row r="1473" spans="1:8">
      <c r="A1473" t="s">
        <v>2383</v>
      </c>
      <c r="B1473" t="s">
        <v>45</v>
      </c>
      <c r="C1473" s="1">
        <v>45247</v>
      </c>
      <c r="D1473" s="1" t="str">
        <f>PROPER(orders[[#This Row],[order_priority]])</f>
        <v>Same Day</v>
      </c>
      <c r="E1473" t="s">
        <v>13321</v>
      </c>
      <c r="F1473" t="str">
        <f>IFERROR(INDEX(customers[country], MATCH(orders[[#This Row],[customer_id]], customers[customer_id], 0)), "Unmapped")</f>
        <v>Netherlands</v>
      </c>
      <c r="G1473" t="str">
        <f>IFERROR(INDEX(Region_Map[Region], MATCH(orders[[#This Row],[Customer_Country]], Region_Map[Country], 0)), "Unknown")</f>
        <v>Central Europe</v>
      </c>
      <c r="H1473" t="s">
        <v>6949</v>
      </c>
    </row>
    <row r="1474" spans="1:8">
      <c r="A1474" t="s">
        <v>2384</v>
      </c>
      <c r="B1474" t="s">
        <v>368</v>
      </c>
      <c r="C1474" s="1">
        <v>45049</v>
      </c>
      <c r="D1474" s="1" t="str">
        <f>PROPER(orders[[#This Row],[order_priority]])</f>
        <v>Economy</v>
      </c>
      <c r="E1474" t="s">
        <v>13316</v>
      </c>
      <c r="F1474" t="str">
        <f>IFERROR(INDEX(customers[country], MATCH(orders[[#This Row],[customer_id]], customers[customer_id], 0)), "Unmapped")</f>
        <v>Poland</v>
      </c>
      <c r="G1474" t="str">
        <f>IFERROR(INDEX(Region_Map[Region], MATCH(orders[[#This Row],[Customer_Country]], Region_Map[Country], 0)), "Unknown")</f>
        <v>Central Europe</v>
      </c>
      <c r="H1474" t="s">
        <v>6949</v>
      </c>
    </row>
    <row r="1475" spans="1:8">
      <c r="A1475" t="s">
        <v>2385</v>
      </c>
      <c r="B1475" t="s">
        <v>350</v>
      </c>
      <c r="C1475" s="1">
        <v>45502</v>
      </c>
      <c r="D1475" s="1" t="str">
        <f>PROPER(orders[[#This Row],[order_priority]])</f>
        <v>Economy</v>
      </c>
      <c r="E1475" t="s">
        <v>13328</v>
      </c>
      <c r="F1475" t="str">
        <f>IFERROR(INDEX(customers[country], MATCH(orders[[#This Row],[customer_id]], customers[customer_id], 0)), "Unmapped")</f>
        <v>Netherlands</v>
      </c>
      <c r="G1475" t="str">
        <f>IFERROR(INDEX(Region_Map[Region], MATCH(orders[[#This Row],[Customer_Country]], Region_Map[Country], 0)), "Unknown")</f>
        <v>Central Europe</v>
      </c>
      <c r="H1475" t="s">
        <v>6949</v>
      </c>
    </row>
    <row r="1476" spans="1:8">
      <c r="A1476" t="s">
        <v>2386</v>
      </c>
      <c r="B1476" t="s">
        <v>314</v>
      </c>
      <c r="C1476" s="1">
        <v>45148</v>
      </c>
      <c r="D1476" s="1" t="str">
        <f>PROPER(orders[[#This Row],[order_priority]])</f>
        <v>Same Day</v>
      </c>
      <c r="E1476" t="s">
        <v>13321</v>
      </c>
      <c r="F1476" t="str">
        <f>IFERROR(INDEX(customers[country], MATCH(orders[[#This Row],[customer_id]], customers[customer_id], 0)), "Unmapped")</f>
        <v>Poland</v>
      </c>
      <c r="G1476" t="str">
        <f>IFERROR(INDEX(Region_Map[Region], MATCH(orders[[#This Row],[Customer_Country]], Region_Map[Country], 0)), "Unknown")</f>
        <v>Central Europe</v>
      </c>
      <c r="H1476" t="s">
        <v>6949</v>
      </c>
    </row>
    <row r="1477" spans="1:8">
      <c r="A1477" t="s">
        <v>2387</v>
      </c>
      <c r="B1477" t="s">
        <v>6949</v>
      </c>
      <c r="C1477" s="1">
        <v>45014</v>
      </c>
      <c r="D1477" s="1" t="str">
        <f>PROPER(orders[[#This Row],[order_priority]])</f>
        <v>Express</v>
      </c>
      <c r="E1477" t="s">
        <v>13318</v>
      </c>
      <c r="F1477" t="str">
        <f>IFERROR(INDEX(customers[country], MATCH(orders[[#This Row],[customer_id]], customers[customer_id], 0)), "Unmapped")</f>
        <v>Unmapped</v>
      </c>
      <c r="G1477" t="str">
        <f>IFERROR(INDEX(Region_Map[Region], MATCH(orders[[#This Row],[Customer_Country]], Region_Map[Country], 0)), "Unknown")</f>
        <v>Unknown</v>
      </c>
      <c r="H1477" t="s">
        <v>6949</v>
      </c>
    </row>
    <row r="1478" spans="1:8">
      <c r="A1478" t="s">
        <v>2388</v>
      </c>
      <c r="B1478" t="s">
        <v>374</v>
      </c>
      <c r="C1478" s="1">
        <v>45021</v>
      </c>
      <c r="D1478" s="1" t="str">
        <f>PROPER(orders[[#This Row],[order_priority]])</f>
        <v>Standard</v>
      </c>
      <c r="E1478" t="s">
        <v>13317</v>
      </c>
      <c r="F1478" t="str">
        <f>IFERROR(INDEX(customers[country], MATCH(orders[[#This Row],[customer_id]], customers[customer_id], 0)), "Unmapped")</f>
        <v>Estonia</v>
      </c>
      <c r="G1478" t="str">
        <f>IFERROR(INDEX(Region_Map[Region], MATCH(orders[[#This Row],[Customer_Country]], Region_Map[Country], 0)), "Unknown")</f>
        <v>Baltics</v>
      </c>
      <c r="H1478" t="s">
        <v>6949</v>
      </c>
    </row>
    <row r="1479" spans="1:8">
      <c r="A1479" t="s">
        <v>2389</v>
      </c>
      <c r="B1479" t="s">
        <v>184</v>
      </c>
      <c r="C1479" s="1">
        <v>44950</v>
      </c>
      <c r="D1479" s="1" t="str">
        <f>PROPER(orders[[#This Row],[order_priority]])</f>
        <v>Standard</v>
      </c>
      <c r="E1479" t="s">
        <v>13317</v>
      </c>
      <c r="F1479" t="str">
        <f>IFERROR(INDEX(customers[country], MATCH(orders[[#This Row],[customer_id]], customers[customer_id], 0)), "Unmapped")</f>
        <v>Netherlands</v>
      </c>
      <c r="G1479" t="str">
        <f>IFERROR(INDEX(Region_Map[Region], MATCH(orders[[#This Row],[Customer_Country]], Region_Map[Country], 0)), "Unknown")</f>
        <v>Central Europe</v>
      </c>
      <c r="H1479" t="s">
        <v>6949</v>
      </c>
    </row>
    <row r="1480" spans="1:8">
      <c r="A1480" t="s">
        <v>2390</v>
      </c>
      <c r="B1480" t="s">
        <v>658</v>
      </c>
      <c r="C1480" s="1">
        <v>45072</v>
      </c>
      <c r="D1480" s="1" t="str">
        <f>PROPER(orders[[#This Row],[order_priority]])</f>
        <v>Same Day</v>
      </c>
      <c r="E1480" t="s">
        <v>13322</v>
      </c>
      <c r="F1480" t="str">
        <f>IFERROR(INDEX(customers[country], MATCH(orders[[#This Row],[customer_id]], customers[customer_id], 0)), "Unmapped")</f>
        <v>Latvia</v>
      </c>
      <c r="G1480" t="str">
        <f>IFERROR(INDEX(Region_Map[Region], MATCH(orders[[#This Row],[Customer_Country]], Region_Map[Country], 0)), "Unknown")</f>
        <v>Baltics</v>
      </c>
      <c r="H1480" t="s">
        <v>6949</v>
      </c>
    </row>
    <row r="1481" spans="1:8">
      <c r="A1481" t="s">
        <v>2391</v>
      </c>
      <c r="B1481" t="s">
        <v>252</v>
      </c>
      <c r="C1481" s="1">
        <v>45178</v>
      </c>
      <c r="D1481" s="1" t="str">
        <f>PROPER(orders[[#This Row],[order_priority]])</f>
        <v>Express</v>
      </c>
      <c r="E1481" t="s">
        <v>13318</v>
      </c>
      <c r="F1481" t="str">
        <f>IFERROR(INDEX(customers[country], MATCH(orders[[#This Row],[customer_id]], customers[customer_id], 0)), "Unmapped")</f>
        <v>Lithuania</v>
      </c>
      <c r="G1481" t="str">
        <f>IFERROR(INDEX(Region_Map[Region], MATCH(orders[[#This Row],[Customer_Country]], Region_Map[Country], 0)), "Unknown")</f>
        <v>Baltics</v>
      </c>
      <c r="H1481" t="s">
        <v>6949</v>
      </c>
    </row>
    <row r="1482" spans="1:8">
      <c r="A1482" t="s">
        <v>2392</v>
      </c>
      <c r="B1482" t="s">
        <v>139</v>
      </c>
      <c r="C1482" s="1">
        <v>45175</v>
      </c>
      <c r="D1482" s="1" t="str">
        <f>PROPER(orders[[#This Row],[order_priority]])</f>
        <v>Same Day</v>
      </c>
      <c r="E1482" t="s">
        <v>13322</v>
      </c>
      <c r="F1482" t="str">
        <f>IFERROR(INDEX(customers[country], MATCH(orders[[#This Row],[customer_id]], customers[customer_id], 0)), "Unmapped")</f>
        <v>Netherlands</v>
      </c>
      <c r="G1482" t="str">
        <f>IFERROR(INDEX(Region_Map[Region], MATCH(orders[[#This Row],[Customer_Country]], Region_Map[Country], 0)), "Unknown")</f>
        <v>Central Europe</v>
      </c>
      <c r="H1482" t="s">
        <v>6949</v>
      </c>
    </row>
    <row r="1483" spans="1:8">
      <c r="A1483" t="s">
        <v>2393</v>
      </c>
      <c r="B1483" t="s">
        <v>118</v>
      </c>
      <c r="C1483" s="1">
        <v>45527</v>
      </c>
      <c r="D1483" s="1" t="str">
        <f>PROPER(orders[[#This Row],[order_priority]])</f>
        <v>Express</v>
      </c>
      <c r="E1483" t="s">
        <v>13318</v>
      </c>
      <c r="F1483" t="str">
        <f>IFERROR(INDEX(customers[country], MATCH(orders[[#This Row],[customer_id]], customers[customer_id], 0)), "Unmapped")</f>
        <v>Denmark</v>
      </c>
      <c r="G1483" t="str">
        <f>IFERROR(INDEX(Region_Map[Region], MATCH(orders[[#This Row],[Customer_Country]], Region_Map[Country], 0)), "Unknown")</f>
        <v>Nordics</v>
      </c>
      <c r="H1483" t="s">
        <v>6949</v>
      </c>
    </row>
    <row r="1484" spans="1:8">
      <c r="A1484" t="s">
        <v>2394</v>
      </c>
      <c r="B1484" t="s">
        <v>306</v>
      </c>
      <c r="C1484" s="1">
        <v>45487</v>
      </c>
      <c r="D1484" s="1" t="str">
        <f>PROPER(orders[[#This Row],[order_priority]])</f>
        <v>Economy</v>
      </c>
      <c r="E1484" t="s">
        <v>13316</v>
      </c>
      <c r="F1484" t="str">
        <f>IFERROR(INDEX(customers[country], MATCH(orders[[#This Row],[customer_id]], customers[customer_id], 0)), "Unmapped")</f>
        <v>Estonia</v>
      </c>
      <c r="G1484" t="str">
        <f>IFERROR(INDEX(Region_Map[Region], MATCH(orders[[#This Row],[Customer_Country]], Region_Map[Country], 0)), "Unknown")</f>
        <v>Baltics</v>
      </c>
      <c r="H1484" t="s">
        <v>6949</v>
      </c>
    </row>
    <row r="1485" spans="1:8">
      <c r="A1485" t="s">
        <v>2395</v>
      </c>
      <c r="B1485" t="s">
        <v>30</v>
      </c>
      <c r="C1485" s="1">
        <v>45174</v>
      </c>
      <c r="D1485" s="1" t="str">
        <f>PROPER(orders[[#This Row],[order_priority]])</f>
        <v>Same Day</v>
      </c>
      <c r="E1485" t="s">
        <v>13322</v>
      </c>
      <c r="F1485" t="str">
        <f>IFERROR(INDEX(customers[country], MATCH(orders[[#This Row],[customer_id]], customers[customer_id], 0)), "Unmapped")</f>
        <v>Netherlands</v>
      </c>
      <c r="G1485" t="str">
        <f>IFERROR(INDEX(Region_Map[Region], MATCH(orders[[#This Row],[Customer_Country]], Region_Map[Country], 0)), "Unknown")</f>
        <v>Central Europe</v>
      </c>
      <c r="H1485" t="s">
        <v>6949</v>
      </c>
    </row>
    <row r="1486" spans="1:8">
      <c r="A1486" t="s">
        <v>2396</v>
      </c>
      <c r="B1486" t="s">
        <v>431</v>
      </c>
      <c r="C1486" s="1">
        <v>45267</v>
      </c>
      <c r="D1486" s="1" t="str">
        <f>PROPER(orders[[#This Row],[order_priority]])</f>
        <v>Same Day</v>
      </c>
      <c r="E1486" t="s">
        <v>13322</v>
      </c>
      <c r="F1486" t="str">
        <f>IFERROR(INDEX(customers[country], MATCH(orders[[#This Row],[customer_id]], customers[customer_id], 0)), "Unmapped")</f>
        <v>Sweden</v>
      </c>
      <c r="G1486" t="str">
        <f>IFERROR(INDEX(Region_Map[Region], MATCH(orders[[#This Row],[Customer_Country]], Region_Map[Country], 0)), "Unknown")</f>
        <v>Nordics</v>
      </c>
      <c r="H1486" t="s">
        <v>6949</v>
      </c>
    </row>
    <row r="1487" spans="1:8">
      <c r="A1487" t="s">
        <v>2397</v>
      </c>
      <c r="B1487" t="s">
        <v>755</v>
      </c>
      <c r="C1487" s="1">
        <v>45021</v>
      </c>
      <c r="D1487" s="1" t="str">
        <f>PROPER(orders[[#This Row],[order_priority]])</f>
        <v>Express</v>
      </c>
      <c r="E1487" t="s">
        <v>13318</v>
      </c>
      <c r="F1487" t="str">
        <f>IFERROR(INDEX(customers[country], MATCH(orders[[#This Row],[customer_id]], customers[customer_id], 0)), "Unmapped")</f>
        <v>Denmark</v>
      </c>
      <c r="G1487" t="str">
        <f>IFERROR(INDEX(Region_Map[Region], MATCH(orders[[#This Row],[Customer_Country]], Region_Map[Country], 0)), "Unknown")</f>
        <v>Nordics</v>
      </c>
      <c r="H1487" t="s">
        <v>6949</v>
      </c>
    </row>
    <row r="1488" spans="1:8">
      <c r="A1488" t="s">
        <v>2398</v>
      </c>
      <c r="B1488" t="s">
        <v>858</v>
      </c>
      <c r="C1488" s="1">
        <v>44990</v>
      </c>
      <c r="D1488" s="1" t="str">
        <f>PROPER(orders[[#This Row],[order_priority]])</f>
        <v>Standard</v>
      </c>
      <c r="E1488" t="s">
        <v>13317</v>
      </c>
      <c r="F1488" t="str">
        <f>IFERROR(INDEX(customers[country], MATCH(orders[[#This Row],[customer_id]], customers[customer_id], 0)), "Unmapped")</f>
        <v>Lithuania</v>
      </c>
      <c r="G1488" t="str">
        <f>IFERROR(INDEX(Region_Map[Region], MATCH(orders[[#This Row],[Customer_Country]], Region_Map[Country], 0)), "Unknown")</f>
        <v>Baltics</v>
      </c>
      <c r="H1488" t="s">
        <v>6949</v>
      </c>
    </row>
    <row r="1489" spans="1:8">
      <c r="A1489" t="s">
        <v>2399</v>
      </c>
      <c r="B1489" t="s">
        <v>605</v>
      </c>
      <c r="C1489" s="1">
        <v>45554</v>
      </c>
      <c r="D1489" s="1" t="str">
        <f>PROPER(orders[[#This Row],[order_priority]])</f>
        <v>Economy</v>
      </c>
      <c r="E1489" t="s">
        <v>13316</v>
      </c>
      <c r="F1489" t="str">
        <f>IFERROR(INDEX(customers[country], MATCH(orders[[#This Row],[customer_id]], customers[customer_id], 0)), "Unmapped")</f>
        <v>Lithuania</v>
      </c>
      <c r="G1489" t="str">
        <f>IFERROR(INDEX(Region_Map[Region], MATCH(orders[[#This Row],[Customer_Country]], Region_Map[Country], 0)), "Unknown")</f>
        <v>Baltics</v>
      </c>
      <c r="H1489" t="s">
        <v>6949</v>
      </c>
    </row>
    <row r="1490" spans="1:8">
      <c r="A1490" t="s">
        <v>2400</v>
      </c>
      <c r="B1490" t="s">
        <v>84</v>
      </c>
      <c r="C1490" s="1">
        <v>45488</v>
      </c>
      <c r="D1490" s="1" t="str">
        <f>PROPER(orders[[#This Row],[order_priority]])</f>
        <v>Economy</v>
      </c>
      <c r="E1490" t="s">
        <v>13316</v>
      </c>
      <c r="F1490" t="str">
        <f>IFERROR(INDEX(customers[country], MATCH(orders[[#This Row],[customer_id]], customers[customer_id], 0)), "Unmapped")</f>
        <v>Lithuania</v>
      </c>
      <c r="G1490" t="str">
        <f>IFERROR(INDEX(Region_Map[Region], MATCH(orders[[#This Row],[Customer_Country]], Region_Map[Country], 0)), "Unknown")</f>
        <v>Baltics</v>
      </c>
      <c r="H1490" t="s">
        <v>6949</v>
      </c>
    </row>
    <row r="1491" spans="1:8">
      <c r="A1491" t="s">
        <v>2401</v>
      </c>
      <c r="B1491" t="s">
        <v>749</v>
      </c>
      <c r="C1491" s="1">
        <v>45417</v>
      </c>
      <c r="D1491" s="1" t="str">
        <f>PROPER(orders[[#This Row],[order_priority]])</f>
        <v>Express</v>
      </c>
      <c r="E1491" t="s">
        <v>13318</v>
      </c>
      <c r="F1491" t="str">
        <f>IFERROR(INDEX(customers[country], MATCH(orders[[#This Row],[customer_id]], customers[customer_id], 0)), "Unmapped")</f>
        <v>Latvia</v>
      </c>
      <c r="G1491" t="str">
        <f>IFERROR(INDEX(Region_Map[Region], MATCH(orders[[#This Row],[Customer_Country]], Region_Map[Country], 0)), "Unknown")</f>
        <v>Baltics</v>
      </c>
      <c r="H1491" t="s">
        <v>6949</v>
      </c>
    </row>
    <row r="1492" spans="1:8">
      <c r="A1492" t="s">
        <v>2402</v>
      </c>
      <c r="B1492" t="s">
        <v>864</v>
      </c>
      <c r="C1492" s="1">
        <v>45033</v>
      </c>
      <c r="D1492" s="1" t="str">
        <f>PROPER(orders[[#This Row],[order_priority]])</f>
        <v>Economy</v>
      </c>
      <c r="E1492" t="s">
        <v>13316</v>
      </c>
      <c r="F1492" t="str">
        <f>IFERROR(INDEX(customers[country], MATCH(orders[[#This Row],[customer_id]], customers[customer_id], 0)), "Unmapped")</f>
        <v>Finland</v>
      </c>
      <c r="G1492" t="str">
        <f>IFERROR(INDEX(Region_Map[Region], MATCH(orders[[#This Row],[Customer_Country]], Region_Map[Country], 0)), "Unknown")</f>
        <v>Nordics</v>
      </c>
      <c r="H1492" t="s">
        <v>6949</v>
      </c>
    </row>
    <row r="1493" spans="1:8">
      <c r="A1493" t="s">
        <v>2403</v>
      </c>
      <c r="B1493" t="s">
        <v>96</v>
      </c>
      <c r="C1493" s="1">
        <v>45327</v>
      </c>
      <c r="D1493" s="1" t="str">
        <f>PROPER(orders[[#This Row],[order_priority]])</f>
        <v>Same Day</v>
      </c>
      <c r="E1493" t="s">
        <v>13322</v>
      </c>
      <c r="F1493" t="str">
        <f>IFERROR(INDEX(customers[country], MATCH(orders[[#This Row],[customer_id]], customers[customer_id], 0)), "Unmapped")</f>
        <v>Sweden</v>
      </c>
      <c r="G1493" t="str">
        <f>IFERROR(INDEX(Region_Map[Region], MATCH(orders[[#This Row],[Customer_Country]], Region_Map[Country], 0)), "Unknown")</f>
        <v>Nordics</v>
      </c>
      <c r="H1493" t="s">
        <v>6949</v>
      </c>
    </row>
    <row r="1494" spans="1:8">
      <c r="A1494" t="s">
        <v>2404</v>
      </c>
      <c r="B1494" t="s">
        <v>419</v>
      </c>
      <c r="C1494" s="1">
        <v>45043</v>
      </c>
      <c r="D1494" s="1" t="str">
        <f>PROPER(orders[[#This Row],[order_priority]])</f>
        <v>Standard</v>
      </c>
      <c r="E1494" t="s">
        <v>13317</v>
      </c>
      <c r="F1494" t="str">
        <f>IFERROR(INDEX(customers[country], MATCH(orders[[#This Row],[customer_id]], customers[customer_id], 0)), "Unmapped")</f>
        <v>Estonia</v>
      </c>
      <c r="G1494" t="str">
        <f>IFERROR(INDEX(Region_Map[Region], MATCH(orders[[#This Row],[Customer_Country]], Region_Map[Country], 0)), "Unknown")</f>
        <v>Baltics</v>
      </c>
      <c r="H1494" t="s">
        <v>6949</v>
      </c>
    </row>
    <row r="1495" spans="1:8">
      <c r="A1495" t="s">
        <v>2405</v>
      </c>
      <c r="B1495" t="s">
        <v>673</v>
      </c>
      <c r="C1495" s="1">
        <v>45108</v>
      </c>
      <c r="D1495" s="1" t="str">
        <f>PROPER(orders[[#This Row],[order_priority]])</f>
        <v>Standard</v>
      </c>
      <c r="E1495" t="s">
        <v>13317</v>
      </c>
      <c r="F1495" t="str">
        <f>IFERROR(INDEX(customers[country], MATCH(orders[[#This Row],[customer_id]], customers[customer_id], 0)), "Unmapped")</f>
        <v>Sweden</v>
      </c>
      <c r="G1495" t="str">
        <f>IFERROR(INDEX(Region_Map[Region], MATCH(orders[[#This Row],[Customer_Country]], Region_Map[Country], 0)), "Unknown")</f>
        <v>Nordics</v>
      </c>
      <c r="H1495" t="s">
        <v>6949</v>
      </c>
    </row>
    <row r="1496" spans="1:8">
      <c r="A1496" t="s">
        <v>2406</v>
      </c>
      <c r="B1496" t="s">
        <v>506</v>
      </c>
      <c r="C1496" s="1">
        <v>45596</v>
      </c>
      <c r="D1496" s="1" t="str">
        <f>PROPER(orders[[#This Row],[order_priority]])</f>
        <v>Standard</v>
      </c>
      <c r="E1496" t="s">
        <v>13317</v>
      </c>
      <c r="F1496" t="str">
        <f>IFERROR(INDEX(customers[country], MATCH(orders[[#This Row],[customer_id]], customers[customer_id], 0)), "Unmapped")</f>
        <v>Poland</v>
      </c>
      <c r="G1496" t="str">
        <f>IFERROR(INDEX(Region_Map[Region], MATCH(orders[[#This Row],[Customer_Country]], Region_Map[Country], 0)), "Unknown")</f>
        <v>Central Europe</v>
      </c>
      <c r="H1496" t="s">
        <v>6949</v>
      </c>
    </row>
    <row r="1497" spans="1:8">
      <c r="A1497" t="s">
        <v>2407</v>
      </c>
      <c r="B1497" t="s">
        <v>127</v>
      </c>
      <c r="C1497" s="1">
        <v>45099</v>
      </c>
      <c r="D1497" s="1" t="str">
        <f>PROPER(orders[[#This Row],[order_priority]])</f>
        <v>Economy</v>
      </c>
      <c r="E1497" t="s">
        <v>13325</v>
      </c>
      <c r="F1497" t="str">
        <f>IFERROR(INDEX(customers[country], MATCH(orders[[#This Row],[customer_id]], customers[customer_id], 0)), "Unmapped")</f>
        <v>Denmark</v>
      </c>
      <c r="G1497" t="str">
        <f>IFERROR(INDEX(Region_Map[Region], MATCH(orders[[#This Row],[Customer_Country]], Region_Map[Country], 0)), "Unknown")</f>
        <v>Nordics</v>
      </c>
      <c r="H1497" t="s">
        <v>6949</v>
      </c>
    </row>
    <row r="1498" spans="1:8">
      <c r="A1498" t="s">
        <v>2408</v>
      </c>
      <c r="B1498" t="s">
        <v>347</v>
      </c>
      <c r="C1498" s="1">
        <v>45022</v>
      </c>
      <c r="D1498" s="1" t="str">
        <f>PROPER(orders[[#This Row],[order_priority]])</f>
        <v>Standard</v>
      </c>
      <c r="E1498" t="s">
        <v>13317</v>
      </c>
      <c r="F1498" t="str">
        <f>IFERROR(INDEX(customers[country], MATCH(orders[[#This Row],[customer_id]], customers[customer_id], 0)), "Unmapped")</f>
        <v>Norway</v>
      </c>
      <c r="G1498" t="str">
        <f>IFERROR(INDEX(Region_Map[Region], MATCH(orders[[#This Row],[Customer_Country]], Region_Map[Country], 0)), "Unknown")</f>
        <v>Nordics</v>
      </c>
      <c r="H1498" t="s">
        <v>6949</v>
      </c>
    </row>
    <row r="1499" spans="1:8">
      <c r="A1499" t="s">
        <v>2409</v>
      </c>
      <c r="B1499" t="s">
        <v>530</v>
      </c>
      <c r="C1499" s="1">
        <v>45007</v>
      </c>
      <c r="D1499" s="1" t="str">
        <f>PROPER(orders[[#This Row],[order_priority]])</f>
        <v>Economy</v>
      </c>
      <c r="E1499" t="s">
        <v>13316</v>
      </c>
      <c r="F1499" t="str">
        <f>IFERROR(INDEX(customers[country], MATCH(orders[[#This Row],[customer_id]], customers[customer_id], 0)), "Unmapped")</f>
        <v>Denmark</v>
      </c>
      <c r="G1499" t="str">
        <f>IFERROR(INDEX(Region_Map[Region], MATCH(orders[[#This Row],[Customer_Country]], Region_Map[Country], 0)), "Unknown")</f>
        <v>Nordics</v>
      </c>
      <c r="H1499" t="s">
        <v>6949</v>
      </c>
    </row>
    <row r="1500" spans="1:8">
      <c r="A1500" t="s">
        <v>2410</v>
      </c>
      <c r="B1500" t="s">
        <v>58</v>
      </c>
      <c r="C1500" s="1">
        <v>45465</v>
      </c>
      <c r="D1500" s="1" t="str">
        <f>PROPER(orders[[#This Row],[order_priority]])</f>
        <v>Standard</v>
      </c>
      <c r="E1500" t="s">
        <v>13317</v>
      </c>
      <c r="F1500" t="str">
        <f>IFERROR(INDEX(customers[country], MATCH(orders[[#This Row],[customer_id]], customers[customer_id], 0)), "Unmapped")</f>
        <v>Germany</v>
      </c>
      <c r="G1500" t="str">
        <f>IFERROR(INDEX(Region_Map[Region], MATCH(orders[[#This Row],[Customer_Country]], Region_Map[Country], 0)), "Unknown")</f>
        <v>Central Europe</v>
      </c>
      <c r="H1500" t="s">
        <v>6949</v>
      </c>
    </row>
    <row r="1501" spans="1:8">
      <c r="A1501" t="s">
        <v>2411</v>
      </c>
      <c r="B1501" t="s">
        <v>374</v>
      </c>
      <c r="C1501" s="1">
        <v>45271</v>
      </c>
      <c r="D1501" s="1" t="str">
        <f>PROPER(orders[[#This Row],[order_priority]])</f>
        <v>Same Day</v>
      </c>
      <c r="E1501" t="s">
        <v>13322</v>
      </c>
      <c r="F1501" t="str">
        <f>IFERROR(INDEX(customers[country], MATCH(orders[[#This Row],[customer_id]], customers[customer_id], 0)), "Unmapped")</f>
        <v>Estonia</v>
      </c>
      <c r="G1501" t="str">
        <f>IFERROR(INDEX(Region_Map[Region], MATCH(orders[[#This Row],[Customer_Country]], Region_Map[Country], 0)), "Unknown")</f>
        <v>Baltics</v>
      </c>
      <c r="H1501" t="s">
        <v>6949</v>
      </c>
    </row>
    <row r="1502" spans="1:8">
      <c r="A1502" t="s">
        <v>2412</v>
      </c>
      <c r="B1502" t="s">
        <v>222</v>
      </c>
      <c r="C1502" s="1">
        <v>45497</v>
      </c>
      <c r="D1502" s="1" t="str">
        <f>PROPER(orders[[#This Row],[order_priority]])</f>
        <v>Economy</v>
      </c>
      <c r="E1502" t="s">
        <v>13316</v>
      </c>
      <c r="F1502" t="str">
        <f>IFERROR(INDEX(customers[country], MATCH(orders[[#This Row],[customer_id]], customers[customer_id], 0)), "Unmapped")</f>
        <v>Norway</v>
      </c>
      <c r="G1502" t="str">
        <f>IFERROR(INDEX(Region_Map[Region], MATCH(orders[[#This Row],[Customer_Country]], Region_Map[Country], 0)), "Unknown")</f>
        <v>Nordics</v>
      </c>
      <c r="H1502" t="s">
        <v>6949</v>
      </c>
    </row>
    <row r="1503" spans="1:8">
      <c r="A1503" t="s">
        <v>2413</v>
      </c>
      <c r="B1503" t="s">
        <v>392</v>
      </c>
      <c r="C1503" s="1">
        <v>45450</v>
      </c>
      <c r="D1503" s="1" t="str">
        <f>PROPER(orders[[#This Row],[order_priority]])</f>
        <v>Express</v>
      </c>
      <c r="E1503" t="s">
        <v>13318</v>
      </c>
      <c r="F1503" t="str">
        <f>IFERROR(INDEX(customers[country], MATCH(orders[[#This Row],[customer_id]], customers[customer_id], 0)), "Unmapped")</f>
        <v>Latvia</v>
      </c>
      <c r="G1503" t="str">
        <f>IFERROR(INDEX(Region_Map[Region], MATCH(orders[[#This Row],[Customer_Country]], Region_Map[Country], 0)), "Unknown")</f>
        <v>Baltics</v>
      </c>
      <c r="H1503" t="s">
        <v>6949</v>
      </c>
    </row>
    <row r="1504" spans="1:8">
      <c r="A1504" t="s">
        <v>2414</v>
      </c>
      <c r="B1504" t="s">
        <v>718</v>
      </c>
      <c r="C1504" s="1">
        <v>45497</v>
      </c>
      <c r="D1504" s="1" t="str">
        <f>PROPER(orders[[#This Row],[order_priority]])</f>
        <v>Same Day</v>
      </c>
      <c r="E1504" t="s">
        <v>13322</v>
      </c>
      <c r="F1504" t="str">
        <f>IFERROR(INDEX(customers[country], MATCH(orders[[#This Row],[customer_id]], customers[customer_id], 0)), "Unmapped")</f>
        <v>Netherlands</v>
      </c>
      <c r="G1504" t="str">
        <f>IFERROR(INDEX(Region_Map[Region], MATCH(orders[[#This Row],[Customer_Country]], Region_Map[Country], 0)), "Unknown")</f>
        <v>Central Europe</v>
      </c>
      <c r="H1504" t="s">
        <v>6949</v>
      </c>
    </row>
    <row r="1505" spans="1:8">
      <c r="A1505" t="s">
        <v>2415</v>
      </c>
      <c r="B1505" t="s">
        <v>181</v>
      </c>
      <c r="C1505" s="1">
        <v>45536</v>
      </c>
      <c r="D1505" s="1" t="str">
        <f>PROPER(orders[[#This Row],[order_priority]])</f>
        <v>Economy</v>
      </c>
      <c r="E1505" t="s">
        <v>13316</v>
      </c>
      <c r="F1505" t="str">
        <f>IFERROR(INDEX(customers[country], MATCH(orders[[#This Row],[customer_id]], customers[customer_id], 0)), "Unmapped")</f>
        <v>Netherlands</v>
      </c>
      <c r="G1505" t="str">
        <f>IFERROR(INDEX(Region_Map[Region], MATCH(orders[[#This Row],[Customer_Country]], Region_Map[Country], 0)), "Unknown")</f>
        <v>Central Europe</v>
      </c>
      <c r="H1505" t="s">
        <v>6949</v>
      </c>
    </row>
    <row r="1506" spans="1:8">
      <c r="A1506" t="s">
        <v>2416</v>
      </c>
      <c r="B1506" t="s">
        <v>154</v>
      </c>
      <c r="C1506" s="1">
        <v>45116</v>
      </c>
      <c r="D1506" s="1" t="str">
        <f>PROPER(orders[[#This Row],[order_priority]])</f>
        <v>Express</v>
      </c>
      <c r="E1506" t="s">
        <v>13318</v>
      </c>
      <c r="F1506" t="str">
        <f>IFERROR(INDEX(customers[country], MATCH(orders[[#This Row],[customer_id]], customers[customer_id], 0)), "Unmapped")</f>
        <v>Lithuania</v>
      </c>
      <c r="G1506" t="str">
        <f>IFERROR(INDEX(Region_Map[Region], MATCH(orders[[#This Row],[Customer_Country]], Region_Map[Country], 0)), "Unknown")</f>
        <v>Baltics</v>
      </c>
      <c r="H1506" t="s">
        <v>6949</v>
      </c>
    </row>
    <row r="1507" spans="1:8">
      <c r="A1507" t="s">
        <v>2417</v>
      </c>
      <c r="B1507" t="s">
        <v>485</v>
      </c>
      <c r="C1507" s="1">
        <v>45070</v>
      </c>
      <c r="D1507" s="1" t="str">
        <f>PROPER(orders[[#This Row],[order_priority]])</f>
        <v>Express</v>
      </c>
      <c r="E1507" t="s">
        <v>13318</v>
      </c>
      <c r="F1507" t="str">
        <f>IFERROR(INDEX(customers[country], MATCH(orders[[#This Row],[customer_id]], customers[customer_id], 0)), "Unmapped")</f>
        <v>Latvia</v>
      </c>
      <c r="G1507" t="str">
        <f>IFERROR(INDEX(Region_Map[Region], MATCH(orders[[#This Row],[Customer_Country]], Region_Map[Country], 0)), "Unknown")</f>
        <v>Baltics</v>
      </c>
      <c r="H1507" t="s">
        <v>6949</v>
      </c>
    </row>
    <row r="1508" spans="1:8">
      <c r="A1508" t="s">
        <v>2418</v>
      </c>
      <c r="B1508" t="s">
        <v>311</v>
      </c>
      <c r="C1508" s="1">
        <v>45532</v>
      </c>
      <c r="D1508" s="1" t="str">
        <f>PROPER(orders[[#This Row],[order_priority]])</f>
        <v>Express</v>
      </c>
      <c r="E1508" t="s">
        <v>13326</v>
      </c>
      <c r="F1508" t="str">
        <f>IFERROR(INDEX(customers[country], MATCH(orders[[#This Row],[customer_id]], customers[customer_id], 0)), "Unmapped")</f>
        <v>Netherlands</v>
      </c>
      <c r="G1508" t="str">
        <f>IFERROR(INDEX(Region_Map[Region], MATCH(orders[[#This Row],[Customer_Country]], Region_Map[Country], 0)), "Unknown")</f>
        <v>Central Europe</v>
      </c>
      <c r="H1508" t="s">
        <v>6949</v>
      </c>
    </row>
    <row r="1509" spans="1:8">
      <c r="A1509" t="s">
        <v>2419</v>
      </c>
      <c r="B1509" t="s">
        <v>813</v>
      </c>
      <c r="C1509" s="1">
        <v>45305</v>
      </c>
      <c r="D1509" s="1" t="str">
        <f>PROPER(orders[[#This Row],[order_priority]])</f>
        <v>Express</v>
      </c>
      <c r="E1509" t="s">
        <v>13318</v>
      </c>
      <c r="F1509" t="str">
        <f>IFERROR(INDEX(customers[country], MATCH(orders[[#This Row],[customer_id]], customers[customer_id], 0)), "Unmapped")</f>
        <v>Norway</v>
      </c>
      <c r="G1509" t="str">
        <f>IFERROR(INDEX(Region_Map[Region], MATCH(orders[[#This Row],[Customer_Country]], Region_Map[Country], 0)), "Unknown")</f>
        <v>Nordics</v>
      </c>
      <c r="H1509" t="s">
        <v>6949</v>
      </c>
    </row>
    <row r="1510" spans="1:8">
      <c r="A1510" t="s">
        <v>2420</v>
      </c>
      <c r="B1510" t="s">
        <v>356</v>
      </c>
      <c r="C1510" s="1">
        <v>45509</v>
      </c>
      <c r="D1510" s="1" t="str">
        <f>PROPER(orders[[#This Row],[order_priority]])</f>
        <v>Economy</v>
      </c>
      <c r="E1510" t="s">
        <v>13316</v>
      </c>
      <c r="F1510" t="str">
        <f>IFERROR(INDEX(customers[country], MATCH(orders[[#This Row],[customer_id]], customers[customer_id], 0)), "Unmapped")</f>
        <v>Netherlands</v>
      </c>
      <c r="G1510" t="str">
        <f>IFERROR(INDEX(Region_Map[Region], MATCH(orders[[#This Row],[Customer_Country]], Region_Map[Country], 0)), "Unknown")</f>
        <v>Central Europe</v>
      </c>
      <c r="H1510" t="s">
        <v>6949</v>
      </c>
    </row>
    <row r="1511" spans="1:8">
      <c r="A1511" t="s">
        <v>2421</v>
      </c>
      <c r="B1511" t="s">
        <v>121</v>
      </c>
      <c r="C1511" s="1">
        <v>45207</v>
      </c>
      <c r="D1511" s="1" t="str">
        <f>PROPER(orders[[#This Row],[order_priority]])</f>
        <v>Express</v>
      </c>
      <c r="E1511" t="s">
        <v>13318</v>
      </c>
      <c r="F1511" t="str">
        <f>IFERROR(INDEX(customers[country], MATCH(orders[[#This Row],[customer_id]], customers[customer_id], 0)), "Unmapped")</f>
        <v>Estonia</v>
      </c>
      <c r="G1511" t="str">
        <f>IFERROR(INDEX(Region_Map[Region], MATCH(orders[[#This Row],[Customer_Country]], Region_Map[Country], 0)), "Unknown")</f>
        <v>Baltics</v>
      </c>
      <c r="H1511" t="s">
        <v>6949</v>
      </c>
    </row>
    <row r="1512" spans="1:8">
      <c r="A1512" t="s">
        <v>2422</v>
      </c>
      <c r="B1512" t="s">
        <v>458</v>
      </c>
      <c r="C1512" s="1">
        <v>45193</v>
      </c>
      <c r="D1512" s="1" t="str">
        <f>PROPER(orders[[#This Row],[order_priority]])</f>
        <v>Standard</v>
      </c>
      <c r="E1512" t="s">
        <v>13317</v>
      </c>
      <c r="F1512" t="str">
        <f>IFERROR(INDEX(customers[country], MATCH(orders[[#This Row],[customer_id]], customers[customer_id], 0)), "Unmapped")</f>
        <v>Poland</v>
      </c>
      <c r="G1512" t="str">
        <f>IFERROR(INDEX(Region_Map[Region], MATCH(orders[[#This Row],[Customer_Country]], Region_Map[Country], 0)), "Unknown")</f>
        <v>Central Europe</v>
      </c>
      <c r="H1512" t="s">
        <v>6949</v>
      </c>
    </row>
    <row r="1513" spans="1:8">
      <c r="A1513" t="s">
        <v>2423</v>
      </c>
      <c r="B1513" t="s">
        <v>697</v>
      </c>
      <c r="C1513" s="1">
        <v>45099</v>
      </c>
      <c r="D1513" s="1" t="str">
        <f>PROPER(orders[[#This Row],[order_priority]])</f>
        <v>Express</v>
      </c>
      <c r="E1513" t="s">
        <v>13326</v>
      </c>
      <c r="F1513" t="str">
        <f>IFERROR(INDEX(customers[country], MATCH(orders[[#This Row],[customer_id]], customers[customer_id], 0)), "Unmapped")</f>
        <v>Estonia</v>
      </c>
      <c r="G1513" t="str">
        <f>IFERROR(INDEX(Region_Map[Region], MATCH(orders[[#This Row],[Customer_Country]], Region_Map[Country], 0)), "Unknown")</f>
        <v>Baltics</v>
      </c>
      <c r="H1513" t="s">
        <v>6949</v>
      </c>
    </row>
    <row r="1514" spans="1:8">
      <c r="A1514" t="s">
        <v>2424</v>
      </c>
      <c r="B1514" t="s">
        <v>494</v>
      </c>
      <c r="C1514" s="1">
        <v>45315</v>
      </c>
      <c r="D1514" s="1" t="str">
        <f>PROPER(orders[[#This Row],[order_priority]])</f>
        <v>Economy</v>
      </c>
      <c r="E1514" t="s">
        <v>13328</v>
      </c>
      <c r="F1514" t="str">
        <f>IFERROR(INDEX(customers[country], MATCH(orders[[#This Row],[customer_id]], customers[customer_id], 0)), "Unmapped")</f>
        <v>Sweden</v>
      </c>
      <c r="G1514" t="str">
        <f>IFERROR(INDEX(Region_Map[Region], MATCH(orders[[#This Row],[Customer_Country]], Region_Map[Country], 0)), "Unknown")</f>
        <v>Nordics</v>
      </c>
      <c r="H1514" t="s">
        <v>6949</v>
      </c>
    </row>
    <row r="1515" spans="1:8">
      <c r="A1515" t="s">
        <v>2425</v>
      </c>
      <c r="B1515" t="s">
        <v>641</v>
      </c>
      <c r="C1515" s="1">
        <v>45599</v>
      </c>
      <c r="D1515" s="1" t="str">
        <f>PROPER(orders[[#This Row],[order_priority]])</f>
        <v>Economy</v>
      </c>
      <c r="E1515" t="s">
        <v>13316</v>
      </c>
      <c r="F1515" t="str">
        <f>IFERROR(INDEX(customers[country], MATCH(orders[[#This Row],[customer_id]], customers[customer_id], 0)), "Unmapped")</f>
        <v>Poland</v>
      </c>
      <c r="G1515" t="str">
        <f>IFERROR(INDEX(Region_Map[Region], MATCH(orders[[#This Row],[Customer_Country]], Region_Map[Country], 0)), "Unknown")</f>
        <v>Central Europe</v>
      </c>
      <c r="H1515" t="s">
        <v>6949</v>
      </c>
    </row>
    <row r="1516" spans="1:8">
      <c r="A1516" t="s">
        <v>2426</v>
      </c>
      <c r="B1516" t="s">
        <v>234</v>
      </c>
      <c r="C1516" s="1">
        <v>45268</v>
      </c>
      <c r="D1516" s="1" t="str">
        <f>PROPER(orders[[#This Row],[order_priority]])</f>
        <v>Express</v>
      </c>
      <c r="E1516" t="s">
        <v>13320</v>
      </c>
      <c r="F1516" t="str">
        <f>IFERROR(INDEX(customers[country], MATCH(orders[[#This Row],[customer_id]], customers[customer_id], 0)), "Unmapped")</f>
        <v>Finland</v>
      </c>
      <c r="G1516" t="str">
        <f>IFERROR(INDEX(Region_Map[Region], MATCH(orders[[#This Row],[Customer_Country]], Region_Map[Country], 0)), "Unknown")</f>
        <v>Nordics</v>
      </c>
      <c r="H1516" t="s">
        <v>6949</v>
      </c>
    </row>
    <row r="1517" spans="1:8">
      <c r="A1517" t="s">
        <v>2427</v>
      </c>
      <c r="B1517" t="s">
        <v>605</v>
      </c>
      <c r="C1517" s="1">
        <v>45104</v>
      </c>
      <c r="D1517" s="1" t="str">
        <f>PROPER(orders[[#This Row],[order_priority]])</f>
        <v>Economy</v>
      </c>
      <c r="E1517" t="s">
        <v>13316</v>
      </c>
      <c r="F1517" t="str">
        <f>IFERROR(INDEX(customers[country], MATCH(orders[[#This Row],[customer_id]], customers[customer_id], 0)), "Unmapped")</f>
        <v>Lithuania</v>
      </c>
      <c r="G1517" t="str">
        <f>IFERROR(INDEX(Region_Map[Region], MATCH(orders[[#This Row],[Customer_Country]], Region_Map[Country], 0)), "Unknown")</f>
        <v>Baltics</v>
      </c>
      <c r="H1517" t="s">
        <v>6949</v>
      </c>
    </row>
    <row r="1518" spans="1:8">
      <c r="A1518" t="s">
        <v>2428</v>
      </c>
      <c r="B1518" t="s">
        <v>709</v>
      </c>
      <c r="C1518" s="1">
        <v>45078</v>
      </c>
      <c r="D1518" s="1" t="str">
        <f>PROPER(orders[[#This Row],[order_priority]])</f>
        <v>Express</v>
      </c>
      <c r="E1518" t="s">
        <v>13318</v>
      </c>
      <c r="F1518" t="str">
        <f>IFERROR(INDEX(customers[country], MATCH(orders[[#This Row],[customer_id]], customers[customer_id], 0)), "Unmapped")</f>
        <v>Netherlands</v>
      </c>
      <c r="G1518" t="str">
        <f>IFERROR(INDEX(Region_Map[Region], MATCH(orders[[#This Row],[Customer_Country]], Region_Map[Country], 0)), "Unknown")</f>
        <v>Central Europe</v>
      </c>
      <c r="H1518" t="s">
        <v>6949</v>
      </c>
    </row>
    <row r="1519" spans="1:8">
      <c r="A1519" t="s">
        <v>2429</v>
      </c>
      <c r="B1519" t="s">
        <v>172</v>
      </c>
      <c r="C1519" s="1">
        <v>45359</v>
      </c>
      <c r="D1519" s="1" t="str">
        <f>PROPER(orders[[#This Row],[order_priority]])</f>
        <v>Economy</v>
      </c>
      <c r="E1519" t="s">
        <v>13316</v>
      </c>
      <c r="F1519" t="str">
        <f>IFERROR(INDEX(customers[country], MATCH(orders[[#This Row],[customer_id]], customers[customer_id], 0)), "Unmapped")</f>
        <v>Denmark</v>
      </c>
      <c r="G1519" t="str">
        <f>IFERROR(INDEX(Region_Map[Region], MATCH(orders[[#This Row],[Customer_Country]], Region_Map[Country], 0)), "Unknown")</f>
        <v>Nordics</v>
      </c>
      <c r="H1519" t="s">
        <v>6949</v>
      </c>
    </row>
    <row r="1520" spans="1:8">
      <c r="A1520" t="s">
        <v>2430</v>
      </c>
      <c r="B1520" t="s">
        <v>166</v>
      </c>
      <c r="C1520" s="1">
        <v>45627</v>
      </c>
      <c r="D1520" s="1" t="str">
        <f>PROPER(orders[[#This Row],[order_priority]])</f>
        <v>Express</v>
      </c>
      <c r="E1520" t="s">
        <v>13318</v>
      </c>
      <c r="F1520" t="str">
        <f>IFERROR(INDEX(customers[country], MATCH(orders[[#This Row],[customer_id]], customers[customer_id], 0)), "Unmapped")</f>
        <v>Denmark</v>
      </c>
      <c r="G1520" t="str">
        <f>IFERROR(INDEX(Region_Map[Region], MATCH(orders[[#This Row],[Customer_Country]], Region_Map[Country], 0)), "Unknown")</f>
        <v>Nordics</v>
      </c>
      <c r="H1520" t="s">
        <v>6949</v>
      </c>
    </row>
    <row r="1521" spans="1:8">
      <c r="A1521" t="s">
        <v>2431</v>
      </c>
      <c r="B1521" t="s">
        <v>602</v>
      </c>
      <c r="C1521" s="1">
        <v>44965</v>
      </c>
      <c r="D1521" s="1" t="str">
        <f>PROPER(orders[[#This Row],[order_priority]])</f>
        <v>Economy</v>
      </c>
      <c r="E1521" t="s">
        <v>13316</v>
      </c>
      <c r="F1521" t="str">
        <f>IFERROR(INDEX(customers[country], MATCH(orders[[#This Row],[customer_id]], customers[customer_id], 0)), "Unmapped")</f>
        <v>Poland</v>
      </c>
      <c r="G1521" t="str">
        <f>IFERROR(INDEX(Region_Map[Region], MATCH(orders[[#This Row],[Customer_Country]], Region_Map[Country], 0)), "Unknown")</f>
        <v>Central Europe</v>
      </c>
      <c r="H1521" t="s">
        <v>6949</v>
      </c>
    </row>
    <row r="1522" spans="1:8">
      <c r="A1522" t="s">
        <v>2432</v>
      </c>
      <c r="B1522" t="s">
        <v>894</v>
      </c>
      <c r="C1522" s="1">
        <v>45169</v>
      </c>
      <c r="D1522" s="1" t="str">
        <f>PROPER(orders[[#This Row],[order_priority]])</f>
        <v>Standard</v>
      </c>
      <c r="E1522" t="s">
        <v>13317</v>
      </c>
      <c r="F1522" t="str">
        <f>IFERROR(INDEX(customers[country], MATCH(orders[[#This Row],[customer_id]], customers[customer_id], 0)), "Unmapped")</f>
        <v>Poland</v>
      </c>
      <c r="G1522" t="str">
        <f>IFERROR(INDEX(Region_Map[Region], MATCH(orders[[#This Row],[Customer_Country]], Region_Map[Country], 0)), "Unknown")</f>
        <v>Central Europe</v>
      </c>
      <c r="H1522" t="s">
        <v>6949</v>
      </c>
    </row>
    <row r="1523" spans="1:8">
      <c r="A1523" t="s">
        <v>2433</v>
      </c>
      <c r="B1523" t="s">
        <v>341</v>
      </c>
      <c r="C1523" s="1">
        <v>45461</v>
      </c>
      <c r="D1523" s="1" t="str">
        <f>PROPER(orders[[#This Row],[order_priority]])</f>
        <v>Same Day</v>
      </c>
      <c r="E1523" t="s">
        <v>13322</v>
      </c>
      <c r="F1523" t="str">
        <f>IFERROR(INDEX(customers[country], MATCH(orders[[#This Row],[customer_id]], customers[customer_id], 0)), "Unmapped")</f>
        <v>Latvia</v>
      </c>
      <c r="G1523" t="str">
        <f>IFERROR(INDEX(Region_Map[Region], MATCH(orders[[#This Row],[Customer_Country]], Region_Map[Country], 0)), "Unknown")</f>
        <v>Baltics</v>
      </c>
      <c r="H1523" t="s">
        <v>6949</v>
      </c>
    </row>
    <row r="1524" spans="1:8">
      <c r="A1524" t="s">
        <v>2434</v>
      </c>
      <c r="B1524" t="s">
        <v>425</v>
      </c>
      <c r="C1524" s="1">
        <v>45330</v>
      </c>
      <c r="D1524" s="1" t="str">
        <f>PROPER(orders[[#This Row],[order_priority]])</f>
        <v>Economy</v>
      </c>
      <c r="E1524" t="s">
        <v>13316</v>
      </c>
      <c r="F1524" t="str">
        <f>IFERROR(INDEX(customers[country], MATCH(orders[[#This Row],[customer_id]], customers[customer_id], 0)), "Unmapped")</f>
        <v>Denmark</v>
      </c>
      <c r="G1524" t="str">
        <f>IFERROR(INDEX(Region_Map[Region], MATCH(orders[[#This Row],[Customer_Country]], Region_Map[Country], 0)), "Unknown")</f>
        <v>Nordics</v>
      </c>
      <c r="H1524" t="s">
        <v>6949</v>
      </c>
    </row>
    <row r="1525" spans="1:8">
      <c r="A1525" t="s">
        <v>2435</v>
      </c>
      <c r="B1525" t="s">
        <v>77</v>
      </c>
      <c r="C1525" s="1">
        <v>45447</v>
      </c>
      <c r="D1525" s="1" t="str">
        <f>PROPER(orders[[#This Row],[order_priority]])</f>
        <v>Express</v>
      </c>
      <c r="E1525" t="s">
        <v>13320</v>
      </c>
      <c r="F1525" t="str">
        <f>IFERROR(INDEX(customers[country], MATCH(orders[[#This Row],[customer_id]], customers[customer_id], 0)), "Unmapped")</f>
        <v>Lithuania</v>
      </c>
      <c r="G1525" t="str">
        <f>IFERROR(INDEX(Region_Map[Region], MATCH(orders[[#This Row],[Customer_Country]], Region_Map[Country], 0)), "Unknown")</f>
        <v>Baltics</v>
      </c>
      <c r="H1525" t="s">
        <v>6949</v>
      </c>
    </row>
    <row r="1526" spans="1:8">
      <c r="A1526" t="s">
        <v>2436</v>
      </c>
      <c r="B1526" t="s">
        <v>632</v>
      </c>
      <c r="C1526" s="1">
        <v>45273</v>
      </c>
      <c r="D1526" s="1" t="str">
        <f>PROPER(orders[[#This Row],[order_priority]])</f>
        <v>Same Day</v>
      </c>
      <c r="E1526" t="s">
        <v>13322</v>
      </c>
      <c r="F1526" t="str">
        <f>IFERROR(INDEX(customers[country], MATCH(orders[[#This Row],[customer_id]], customers[customer_id], 0)), "Unmapped")</f>
        <v>Norway</v>
      </c>
      <c r="G1526" t="str">
        <f>IFERROR(INDEX(Region_Map[Region], MATCH(orders[[#This Row],[Customer_Country]], Region_Map[Country], 0)), "Unknown")</f>
        <v>Nordics</v>
      </c>
      <c r="H1526" t="s">
        <v>6949</v>
      </c>
    </row>
    <row r="1527" spans="1:8">
      <c r="A1527" t="s">
        <v>2437</v>
      </c>
      <c r="B1527" t="s">
        <v>38</v>
      </c>
      <c r="C1527" s="1">
        <v>45409</v>
      </c>
      <c r="D1527" s="1" t="str">
        <f>PROPER(orders[[#This Row],[order_priority]])</f>
        <v>Standard</v>
      </c>
      <c r="E1527" t="s">
        <v>13323</v>
      </c>
      <c r="F1527" t="str">
        <f>IFERROR(INDEX(customers[country], MATCH(orders[[#This Row],[customer_id]], customers[customer_id], 0)), "Unmapped")</f>
        <v>Lithuania</v>
      </c>
      <c r="G1527" t="str">
        <f>IFERROR(INDEX(Region_Map[Region], MATCH(orders[[#This Row],[Customer_Country]], Region_Map[Country], 0)), "Unknown")</f>
        <v>Baltics</v>
      </c>
      <c r="H1527" t="s">
        <v>6949</v>
      </c>
    </row>
    <row r="1528" spans="1:8">
      <c r="A1528" t="s">
        <v>2438</v>
      </c>
      <c r="B1528" t="s">
        <v>172</v>
      </c>
      <c r="C1528" s="1">
        <v>45292</v>
      </c>
      <c r="D1528" s="1" t="str">
        <f>PROPER(orders[[#This Row],[order_priority]])</f>
        <v>Economy</v>
      </c>
      <c r="E1528" t="s">
        <v>13316</v>
      </c>
      <c r="F1528" t="str">
        <f>IFERROR(INDEX(customers[country], MATCH(orders[[#This Row],[customer_id]], customers[customer_id], 0)), "Unmapped")</f>
        <v>Denmark</v>
      </c>
      <c r="G1528" t="str">
        <f>IFERROR(INDEX(Region_Map[Region], MATCH(orders[[#This Row],[Customer_Country]], Region_Map[Country], 0)), "Unknown")</f>
        <v>Nordics</v>
      </c>
      <c r="H1528" t="s">
        <v>6949</v>
      </c>
    </row>
    <row r="1529" spans="1:8">
      <c r="A1529" t="s">
        <v>2439</v>
      </c>
      <c r="B1529" t="s">
        <v>755</v>
      </c>
      <c r="C1529" s="1">
        <v>45118</v>
      </c>
      <c r="D1529" s="1" t="str">
        <f>PROPER(orders[[#This Row],[order_priority]])</f>
        <v>Express</v>
      </c>
      <c r="E1529" t="s">
        <v>13318</v>
      </c>
      <c r="F1529" t="str">
        <f>IFERROR(INDEX(customers[country], MATCH(orders[[#This Row],[customer_id]], customers[customer_id], 0)), "Unmapped")</f>
        <v>Denmark</v>
      </c>
      <c r="G1529" t="str">
        <f>IFERROR(INDEX(Region_Map[Region], MATCH(orders[[#This Row],[Customer_Country]], Region_Map[Country], 0)), "Unknown")</f>
        <v>Nordics</v>
      </c>
      <c r="H1529" t="s">
        <v>6949</v>
      </c>
    </row>
    <row r="1530" spans="1:8">
      <c r="A1530" t="s">
        <v>2440</v>
      </c>
      <c r="B1530" t="s">
        <v>428</v>
      </c>
      <c r="C1530" s="1">
        <v>45335</v>
      </c>
      <c r="D1530" s="1" t="str">
        <f>PROPER(orders[[#This Row],[order_priority]])</f>
        <v>Same Day</v>
      </c>
      <c r="E1530" t="s">
        <v>13324</v>
      </c>
      <c r="F1530" t="str">
        <f>IFERROR(INDEX(customers[country], MATCH(orders[[#This Row],[customer_id]], customers[customer_id], 0)), "Unmapped")</f>
        <v>Finland</v>
      </c>
      <c r="G1530" t="str">
        <f>IFERROR(INDEX(Region_Map[Region], MATCH(orders[[#This Row],[Customer_Country]], Region_Map[Country], 0)), "Unknown")</f>
        <v>Nordics</v>
      </c>
      <c r="H1530" t="s">
        <v>6949</v>
      </c>
    </row>
    <row r="1531" spans="1:8">
      <c r="A1531" t="s">
        <v>2441</v>
      </c>
      <c r="B1531" t="s">
        <v>109</v>
      </c>
      <c r="C1531" s="1">
        <v>44983</v>
      </c>
      <c r="D1531" s="1" t="str">
        <f>PROPER(orders[[#This Row],[order_priority]])</f>
        <v>Express</v>
      </c>
      <c r="E1531" t="s">
        <v>13326</v>
      </c>
      <c r="F1531" t="str">
        <f>IFERROR(INDEX(customers[country], MATCH(orders[[#This Row],[customer_id]], customers[customer_id], 0)), "Unmapped")</f>
        <v>Netherlands</v>
      </c>
      <c r="G1531" t="str">
        <f>IFERROR(INDEX(Region_Map[Region], MATCH(orders[[#This Row],[Customer_Country]], Region_Map[Country], 0)), "Unknown")</f>
        <v>Central Europe</v>
      </c>
      <c r="H1531" t="s">
        <v>6949</v>
      </c>
    </row>
    <row r="1532" spans="1:8">
      <c r="A1532" t="s">
        <v>2442</v>
      </c>
      <c r="B1532" t="s">
        <v>894</v>
      </c>
      <c r="C1532" s="1">
        <v>45395</v>
      </c>
      <c r="D1532" s="1" t="str">
        <f>PROPER(orders[[#This Row],[order_priority]])</f>
        <v>Same Day</v>
      </c>
      <c r="E1532" t="s">
        <v>13321</v>
      </c>
      <c r="F1532" t="str">
        <f>IFERROR(INDEX(customers[country], MATCH(orders[[#This Row],[customer_id]], customers[customer_id], 0)), "Unmapped")</f>
        <v>Poland</v>
      </c>
      <c r="G1532" t="str">
        <f>IFERROR(INDEX(Region_Map[Region], MATCH(orders[[#This Row],[Customer_Country]], Region_Map[Country], 0)), "Unknown")</f>
        <v>Central Europe</v>
      </c>
      <c r="H1532" t="s">
        <v>6949</v>
      </c>
    </row>
    <row r="1533" spans="1:8">
      <c r="A1533" t="s">
        <v>2443</v>
      </c>
      <c r="B1533" t="s">
        <v>721</v>
      </c>
      <c r="C1533" s="1">
        <v>45107</v>
      </c>
      <c r="D1533" s="1" t="str">
        <f>PROPER(orders[[#This Row],[order_priority]])</f>
        <v>Economy</v>
      </c>
      <c r="E1533" t="s">
        <v>13316</v>
      </c>
      <c r="F1533" t="str">
        <f>IFERROR(INDEX(customers[country], MATCH(orders[[#This Row],[customer_id]], customers[customer_id], 0)), "Unmapped")</f>
        <v>Netherlands</v>
      </c>
      <c r="G1533" t="str">
        <f>IFERROR(INDEX(Region_Map[Region], MATCH(orders[[#This Row],[Customer_Country]], Region_Map[Country], 0)), "Unknown")</f>
        <v>Central Europe</v>
      </c>
      <c r="H1533" t="s">
        <v>6949</v>
      </c>
    </row>
    <row r="1534" spans="1:8">
      <c r="A1534" t="s">
        <v>2444</v>
      </c>
      <c r="B1534" t="s">
        <v>443</v>
      </c>
      <c r="C1534" s="1">
        <v>45466</v>
      </c>
      <c r="D1534" s="1" t="str">
        <f>PROPER(orders[[#This Row],[order_priority]])</f>
        <v>Express</v>
      </c>
      <c r="E1534" t="s">
        <v>13320</v>
      </c>
      <c r="F1534" t="str">
        <f>IFERROR(INDEX(customers[country], MATCH(orders[[#This Row],[customer_id]], customers[customer_id], 0)), "Unmapped")</f>
        <v>Estonia</v>
      </c>
      <c r="G1534" t="str">
        <f>IFERROR(INDEX(Region_Map[Region], MATCH(orders[[#This Row],[Customer_Country]], Region_Map[Country], 0)), "Unknown")</f>
        <v>Baltics</v>
      </c>
      <c r="H1534" t="s">
        <v>6949</v>
      </c>
    </row>
    <row r="1535" spans="1:8">
      <c r="A1535" t="s">
        <v>2445</v>
      </c>
      <c r="B1535" t="s">
        <v>599</v>
      </c>
      <c r="C1535" s="1">
        <v>45287</v>
      </c>
      <c r="D1535" s="1" t="str">
        <f>PROPER(orders[[#This Row],[order_priority]])</f>
        <v>Standard</v>
      </c>
      <c r="E1535" t="s">
        <v>13317</v>
      </c>
      <c r="F1535" t="str">
        <f>IFERROR(INDEX(customers[country], MATCH(orders[[#This Row],[customer_id]], customers[customer_id], 0)), "Unmapped")</f>
        <v>Germany</v>
      </c>
      <c r="G1535" t="str">
        <f>IFERROR(INDEX(Region_Map[Region], MATCH(orders[[#This Row],[Customer_Country]], Region_Map[Country], 0)), "Unknown")</f>
        <v>Central Europe</v>
      </c>
      <c r="H1535" t="s">
        <v>6949</v>
      </c>
    </row>
    <row r="1536" spans="1:8">
      <c r="A1536" t="s">
        <v>2446</v>
      </c>
      <c r="B1536" t="s">
        <v>885</v>
      </c>
      <c r="C1536" s="1">
        <v>45203</v>
      </c>
      <c r="D1536" s="1" t="str">
        <f>PROPER(orders[[#This Row],[order_priority]])</f>
        <v>Standard</v>
      </c>
      <c r="E1536" t="s">
        <v>13317</v>
      </c>
      <c r="F1536" t="str">
        <f>IFERROR(INDEX(customers[country], MATCH(orders[[#This Row],[customer_id]], customers[customer_id], 0)), "Unmapped")</f>
        <v>Poland</v>
      </c>
      <c r="G1536" t="str">
        <f>IFERROR(INDEX(Region_Map[Region], MATCH(orders[[#This Row],[Customer_Country]], Region_Map[Country], 0)), "Unknown")</f>
        <v>Central Europe</v>
      </c>
      <c r="H1536" t="s">
        <v>6949</v>
      </c>
    </row>
    <row r="1537" spans="1:8">
      <c r="A1537" t="s">
        <v>2447</v>
      </c>
      <c r="B1537" t="s">
        <v>175</v>
      </c>
      <c r="C1537" s="1">
        <v>45525</v>
      </c>
      <c r="D1537" s="1" t="str">
        <f>PROPER(orders[[#This Row],[order_priority]])</f>
        <v>Economy</v>
      </c>
      <c r="E1537" t="s">
        <v>13316</v>
      </c>
      <c r="F1537" t="str">
        <f>IFERROR(INDEX(customers[country], MATCH(orders[[#This Row],[customer_id]], customers[customer_id], 0)), "Unmapped")</f>
        <v>Sweden</v>
      </c>
      <c r="G1537" t="str">
        <f>IFERROR(INDEX(Region_Map[Region], MATCH(orders[[#This Row],[Customer_Country]], Region_Map[Country], 0)), "Unknown")</f>
        <v>Nordics</v>
      </c>
      <c r="H1537" t="s">
        <v>6949</v>
      </c>
    </row>
    <row r="1538" spans="1:8">
      <c r="A1538" t="s">
        <v>2448</v>
      </c>
      <c r="B1538" t="s">
        <v>638</v>
      </c>
      <c r="C1538" s="1">
        <v>45321</v>
      </c>
      <c r="D1538" s="1" t="str">
        <f>PROPER(orders[[#This Row],[order_priority]])</f>
        <v>Economy</v>
      </c>
      <c r="E1538" t="s">
        <v>13316</v>
      </c>
      <c r="F1538" t="str">
        <f>IFERROR(INDEX(customers[country], MATCH(orders[[#This Row],[customer_id]], customers[customer_id], 0)), "Unmapped")</f>
        <v>Germany</v>
      </c>
      <c r="G1538" t="str">
        <f>IFERROR(INDEX(Region_Map[Region], MATCH(orders[[#This Row],[Customer_Country]], Region_Map[Country], 0)), "Unknown")</f>
        <v>Central Europe</v>
      </c>
      <c r="H1538" t="s">
        <v>6949</v>
      </c>
    </row>
    <row r="1539" spans="1:8">
      <c r="A1539" t="s">
        <v>2449</v>
      </c>
      <c r="B1539" t="s">
        <v>148</v>
      </c>
      <c r="C1539" s="1">
        <v>45035</v>
      </c>
      <c r="D1539" s="1" t="str">
        <f>PROPER(orders[[#This Row],[order_priority]])</f>
        <v>Express</v>
      </c>
      <c r="E1539" t="s">
        <v>13318</v>
      </c>
      <c r="F1539" t="str">
        <f>IFERROR(INDEX(customers[country], MATCH(orders[[#This Row],[customer_id]], customers[customer_id], 0)), "Unmapped")</f>
        <v>Poland</v>
      </c>
      <c r="G1539" t="str">
        <f>IFERROR(INDEX(Region_Map[Region], MATCH(orders[[#This Row],[Customer_Country]], Region_Map[Country], 0)), "Unknown")</f>
        <v>Central Europe</v>
      </c>
      <c r="H1539" t="s">
        <v>6949</v>
      </c>
    </row>
    <row r="1540" spans="1:8">
      <c r="A1540" t="s">
        <v>2450</v>
      </c>
      <c r="B1540" t="s">
        <v>560</v>
      </c>
      <c r="C1540" s="1">
        <v>45406</v>
      </c>
      <c r="D1540" s="1" t="str">
        <f>PROPER(orders[[#This Row],[order_priority]])</f>
        <v>Express</v>
      </c>
      <c r="E1540" t="s">
        <v>13318</v>
      </c>
      <c r="F1540" t="str">
        <f>IFERROR(INDEX(customers[country], MATCH(orders[[#This Row],[customer_id]], customers[customer_id], 0)), "Unmapped")</f>
        <v>Finland</v>
      </c>
      <c r="G1540" t="str">
        <f>IFERROR(INDEX(Region_Map[Region], MATCH(orders[[#This Row],[Customer_Country]], Region_Map[Country], 0)), "Unknown")</f>
        <v>Nordics</v>
      </c>
      <c r="H1540" t="s">
        <v>6949</v>
      </c>
    </row>
    <row r="1541" spans="1:8">
      <c r="A1541" t="s">
        <v>2451</v>
      </c>
      <c r="B1541" t="s">
        <v>115</v>
      </c>
      <c r="C1541" s="1">
        <v>45325</v>
      </c>
      <c r="D1541" s="1" t="str">
        <f>PROPER(orders[[#This Row],[order_priority]])</f>
        <v>Standard</v>
      </c>
      <c r="E1541" t="s">
        <v>13319</v>
      </c>
      <c r="F1541" t="str">
        <f>IFERROR(INDEX(customers[country], MATCH(orders[[#This Row],[customer_id]], customers[customer_id], 0)), "Unmapped")</f>
        <v>Finland</v>
      </c>
      <c r="G1541" t="str">
        <f>IFERROR(INDEX(Region_Map[Region], MATCH(orders[[#This Row],[Customer_Country]], Region_Map[Country], 0)), "Unknown")</f>
        <v>Nordics</v>
      </c>
      <c r="H1541" t="s">
        <v>6949</v>
      </c>
    </row>
    <row r="1542" spans="1:8">
      <c r="A1542" t="s">
        <v>2452</v>
      </c>
      <c r="B1542" t="s">
        <v>425</v>
      </c>
      <c r="C1542" s="1">
        <v>44927</v>
      </c>
      <c r="D1542" s="1" t="str">
        <f>PROPER(orders[[#This Row],[order_priority]])</f>
        <v>Express</v>
      </c>
      <c r="E1542" t="s">
        <v>13318</v>
      </c>
      <c r="F1542" t="str">
        <f>IFERROR(INDEX(customers[country], MATCH(orders[[#This Row],[customer_id]], customers[customer_id], 0)), "Unmapped")</f>
        <v>Denmark</v>
      </c>
      <c r="G1542" t="str">
        <f>IFERROR(INDEX(Region_Map[Region], MATCH(orders[[#This Row],[Customer_Country]], Region_Map[Country], 0)), "Unknown")</f>
        <v>Nordics</v>
      </c>
      <c r="H1542" t="s">
        <v>6949</v>
      </c>
    </row>
    <row r="1543" spans="1:8">
      <c r="A1543" t="s">
        <v>2453</v>
      </c>
      <c r="B1543" t="s">
        <v>852</v>
      </c>
      <c r="C1543" s="1">
        <v>45534</v>
      </c>
      <c r="D1543" s="1" t="str">
        <f>PROPER(orders[[#This Row],[order_priority]])</f>
        <v>Same Day</v>
      </c>
      <c r="E1543" t="s">
        <v>13322</v>
      </c>
      <c r="F1543" t="str">
        <f>IFERROR(INDEX(customers[country], MATCH(orders[[#This Row],[customer_id]], customers[customer_id], 0)), "Unmapped")</f>
        <v>Sweden</v>
      </c>
      <c r="G1543" t="str">
        <f>IFERROR(INDEX(Region_Map[Region], MATCH(orders[[#This Row],[Customer_Country]], Region_Map[Country], 0)), "Unknown")</f>
        <v>Nordics</v>
      </c>
      <c r="H1543" t="s">
        <v>6949</v>
      </c>
    </row>
    <row r="1544" spans="1:8">
      <c r="A1544" t="s">
        <v>2454</v>
      </c>
      <c r="B1544" t="s">
        <v>365</v>
      </c>
      <c r="C1544" s="1">
        <v>44992</v>
      </c>
      <c r="D1544" s="1" t="str">
        <f>PROPER(orders[[#This Row],[order_priority]])</f>
        <v>Standard</v>
      </c>
      <c r="E1544" t="s">
        <v>13317</v>
      </c>
      <c r="F1544" t="str">
        <f>IFERROR(INDEX(customers[country], MATCH(orders[[#This Row],[customer_id]], customers[customer_id], 0)), "Unmapped")</f>
        <v>Poland</v>
      </c>
      <c r="G1544" t="str">
        <f>IFERROR(INDEX(Region_Map[Region], MATCH(orders[[#This Row],[Customer_Country]], Region_Map[Country], 0)), "Unknown")</f>
        <v>Central Europe</v>
      </c>
      <c r="H1544" t="s">
        <v>6949</v>
      </c>
    </row>
    <row r="1545" spans="1:8">
      <c r="A1545" t="s">
        <v>2455</v>
      </c>
      <c r="B1545" t="s">
        <v>99</v>
      </c>
      <c r="C1545" s="1">
        <v>45269</v>
      </c>
      <c r="D1545" s="1" t="str">
        <f>PROPER(orders[[#This Row],[order_priority]])</f>
        <v>Economy</v>
      </c>
      <c r="E1545" t="s">
        <v>13316</v>
      </c>
      <c r="F1545" t="str">
        <f>IFERROR(INDEX(customers[country], MATCH(orders[[#This Row],[customer_id]], customers[customer_id], 0)), "Unmapped")</f>
        <v>Poland</v>
      </c>
      <c r="G1545" t="str">
        <f>IFERROR(INDEX(Region_Map[Region], MATCH(orders[[#This Row],[Customer_Country]], Region_Map[Country], 0)), "Unknown")</f>
        <v>Central Europe</v>
      </c>
      <c r="H1545" t="s">
        <v>6949</v>
      </c>
    </row>
    <row r="1546" spans="1:8">
      <c r="A1546" t="s">
        <v>2456</v>
      </c>
      <c r="B1546" t="s">
        <v>849</v>
      </c>
      <c r="C1546" s="1">
        <v>45600</v>
      </c>
      <c r="D1546" s="1" t="str">
        <f>PROPER(orders[[#This Row],[order_priority]])</f>
        <v>Express</v>
      </c>
      <c r="E1546" t="s">
        <v>13318</v>
      </c>
      <c r="F1546" t="str">
        <f>IFERROR(INDEX(customers[country], MATCH(orders[[#This Row],[customer_id]], customers[customer_id], 0)), "Unmapped")</f>
        <v>Lithuania</v>
      </c>
      <c r="G1546" t="str">
        <f>IFERROR(INDEX(Region_Map[Region], MATCH(orders[[#This Row],[Customer_Country]], Region_Map[Country], 0)), "Unknown")</f>
        <v>Baltics</v>
      </c>
      <c r="H1546" t="s">
        <v>6949</v>
      </c>
    </row>
    <row r="1547" spans="1:8">
      <c r="A1547" t="s">
        <v>2457</v>
      </c>
      <c r="B1547" t="s">
        <v>909</v>
      </c>
      <c r="C1547" s="1">
        <v>44988</v>
      </c>
      <c r="D1547" s="1" t="str">
        <f>PROPER(orders[[#This Row],[order_priority]])</f>
        <v>Economy</v>
      </c>
      <c r="E1547" t="s">
        <v>13325</v>
      </c>
      <c r="F1547" t="str">
        <f>IFERROR(INDEX(customers[country], MATCH(orders[[#This Row],[customer_id]], customers[customer_id], 0)), "Unmapped")</f>
        <v>Poland</v>
      </c>
      <c r="G1547" t="str">
        <f>IFERROR(INDEX(Region_Map[Region], MATCH(orders[[#This Row],[Customer_Country]], Region_Map[Country], 0)), "Unknown")</f>
        <v>Central Europe</v>
      </c>
      <c r="H1547" t="s">
        <v>6949</v>
      </c>
    </row>
    <row r="1548" spans="1:8">
      <c r="A1548" t="s">
        <v>2458</v>
      </c>
      <c r="B1548" t="s">
        <v>34</v>
      </c>
      <c r="C1548" s="1">
        <v>44970</v>
      </c>
      <c r="D1548" s="1" t="str">
        <f>PROPER(orders[[#This Row],[order_priority]])</f>
        <v>Same Day</v>
      </c>
      <c r="E1548" t="s">
        <v>13322</v>
      </c>
      <c r="F1548" t="str">
        <f>IFERROR(INDEX(customers[country], MATCH(orders[[#This Row],[customer_id]], customers[customer_id], 0)), "Unmapped")</f>
        <v>Sweden</v>
      </c>
      <c r="G1548" t="str">
        <f>IFERROR(INDEX(Region_Map[Region], MATCH(orders[[#This Row],[Customer_Country]], Region_Map[Country], 0)), "Unknown")</f>
        <v>Nordics</v>
      </c>
      <c r="H1548" t="s">
        <v>6949</v>
      </c>
    </row>
    <row r="1549" spans="1:8">
      <c r="A1549" t="s">
        <v>2459</v>
      </c>
      <c r="B1549" t="s">
        <v>712</v>
      </c>
      <c r="C1549" s="1">
        <v>45576</v>
      </c>
      <c r="D1549" s="1" t="str">
        <f>PROPER(orders[[#This Row],[order_priority]])</f>
        <v>Express</v>
      </c>
      <c r="E1549" t="s">
        <v>13318</v>
      </c>
      <c r="F1549" t="str">
        <f>IFERROR(INDEX(customers[country], MATCH(orders[[#This Row],[customer_id]], customers[customer_id], 0)), "Unmapped")</f>
        <v>Finland</v>
      </c>
      <c r="G1549" t="str">
        <f>IFERROR(INDEX(Region_Map[Region], MATCH(orders[[#This Row],[Customer_Country]], Region_Map[Country], 0)), "Unknown")</f>
        <v>Nordics</v>
      </c>
      <c r="H1549" t="s">
        <v>6949</v>
      </c>
    </row>
    <row r="1550" spans="1:8">
      <c r="A1550" t="s">
        <v>2460</v>
      </c>
      <c r="B1550" t="s">
        <v>73</v>
      </c>
      <c r="C1550" s="1">
        <v>45100</v>
      </c>
      <c r="D1550" s="1" t="str">
        <f>PROPER(orders[[#This Row],[order_priority]])</f>
        <v>Express</v>
      </c>
      <c r="E1550" t="s">
        <v>13318</v>
      </c>
      <c r="F1550" t="str">
        <f>IFERROR(INDEX(customers[country], MATCH(orders[[#This Row],[customer_id]], customers[customer_id], 0)), "Unmapped")</f>
        <v>Norway</v>
      </c>
      <c r="G1550" t="str">
        <f>IFERROR(INDEX(Region_Map[Region], MATCH(orders[[#This Row],[Customer_Country]], Region_Map[Country], 0)), "Unknown")</f>
        <v>Nordics</v>
      </c>
      <c r="H1550" t="s">
        <v>6949</v>
      </c>
    </row>
    <row r="1551" spans="1:8">
      <c r="A1551" t="s">
        <v>2461</v>
      </c>
      <c r="B1551" t="s">
        <v>175</v>
      </c>
      <c r="C1551" s="1">
        <v>45241</v>
      </c>
      <c r="D1551" s="1" t="str">
        <f>PROPER(orders[[#This Row],[order_priority]])</f>
        <v>Express</v>
      </c>
      <c r="E1551" t="s">
        <v>13318</v>
      </c>
      <c r="F1551" t="str">
        <f>IFERROR(INDEX(customers[country], MATCH(orders[[#This Row],[customer_id]], customers[customer_id], 0)), "Unmapped")</f>
        <v>Sweden</v>
      </c>
      <c r="G1551" t="str">
        <f>IFERROR(INDEX(Region_Map[Region], MATCH(orders[[#This Row],[Customer_Country]], Region_Map[Country], 0)), "Unknown")</f>
        <v>Nordics</v>
      </c>
      <c r="H1551" t="s">
        <v>6949</v>
      </c>
    </row>
    <row r="1552" spans="1:8">
      <c r="A1552" t="s">
        <v>2462</v>
      </c>
      <c r="B1552" t="s">
        <v>258</v>
      </c>
      <c r="C1552" s="1">
        <v>45355</v>
      </c>
      <c r="D1552" s="1" t="str">
        <f>PROPER(orders[[#This Row],[order_priority]])</f>
        <v>Standard</v>
      </c>
      <c r="E1552" t="s">
        <v>13317</v>
      </c>
      <c r="F1552" t="str">
        <f>IFERROR(INDEX(customers[country], MATCH(orders[[#This Row],[customer_id]], customers[customer_id], 0)), "Unmapped")</f>
        <v>Latvia</v>
      </c>
      <c r="G1552" t="str">
        <f>IFERROR(INDEX(Region_Map[Region], MATCH(orders[[#This Row],[Customer_Country]], Region_Map[Country], 0)), "Unknown")</f>
        <v>Baltics</v>
      </c>
      <c r="H1552" t="s">
        <v>6949</v>
      </c>
    </row>
    <row r="1553" spans="1:8">
      <c r="A1553" t="s">
        <v>2463</v>
      </c>
      <c r="B1553" t="s">
        <v>398</v>
      </c>
      <c r="C1553" s="1">
        <v>45051</v>
      </c>
      <c r="D1553" s="1" t="str">
        <f>PROPER(orders[[#This Row],[order_priority]])</f>
        <v>Same Day</v>
      </c>
      <c r="E1553" t="s">
        <v>13324</v>
      </c>
      <c r="F1553" t="str">
        <f>IFERROR(INDEX(customers[country], MATCH(orders[[#This Row],[customer_id]], customers[customer_id], 0)), "Unmapped")</f>
        <v>Sweden</v>
      </c>
      <c r="G1553" t="str">
        <f>IFERROR(INDEX(Region_Map[Region], MATCH(orders[[#This Row],[Customer_Country]], Region_Map[Country], 0)), "Unknown")</f>
        <v>Nordics</v>
      </c>
      <c r="H1553" t="s">
        <v>6949</v>
      </c>
    </row>
    <row r="1554" spans="1:8">
      <c r="A1554" t="s">
        <v>2464</v>
      </c>
      <c r="B1554" t="s">
        <v>106</v>
      </c>
      <c r="C1554" s="1">
        <v>45458</v>
      </c>
      <c r="D1554" s="1" t="str">
        <f>PROPER(orders[[#This Row],[order_priority]])</f>
        <v>Same Day</v>
      </c>
      <c r="E1554" t="s">
        <v>13322</v>
      </c>
      <c r="F1554" t="str">
        <f>IFERROR(INDEX(customers[country], MATCH(orders[[#This Row],[customer_id]], customers[customer_id], 0)), "Unmapped")</f>
        <v>Lithuania</v>
      </c>
      <c r="G1554" t="str">
        <f>IFERROR(INDEX(Region_Map[Region], MATCH(orders[[#This Row],[Customer_Country]], Region_Map[Country], 0)), "Unknown")</f>
        <v>Baltics</v>
      </c>
      <c r="H1554" t="s">
        <v>6949</v>
      </c>
    </row>
    <row r="1555" spans="1:8">
      <c r="A1555" t="s">
        <v>2465</v>
      </c>
      <c r="B1555" t="s">
        <v>775</v>
      </c>
      <c r="C1555" s="1">
        <v>45080</v>
      </c>
      <c r="D1555" s="1" t="str">
        <f>PROPER(orders[[#This Row],[order_priority]])</f>
        <v>Same Day</v>
      </c>
      <c r="E1555" t="s">
        <v>13322</v>
      </c>
      <c r="F1555" t="str">
        <f>IFERROR(INDEX(customers[country], MATCH(orders[[#This Row],[customer_id]], customers[customer_id], 0)), "Unmapped")</f>
        <v>Sweden</v>
      </c>
      <c r="G1555" t="str">
        <f>IFERROR(INDEX(Region_Map[Region], MATCH(orders[[#This Row],[Customer_Country]], Region_Map[Country], 0)), "Unknown")</f>
        <v>Nordics</v>
      </c>
      <c r="H1555" t="s">
        <v>6949</v>
      </c>
    </row>
    <row r="1556" spans="1:8">
      <c r="A1556" t="s">
        <v>2466</v>
      </c>
      <c r="B1556" t="s">
        <v>822</v>
      </c>
      <c r="C1556" s="1">
        <v>45343</v>
      </c>
      <c r="D1556" s="1" t="str">
        <f>PROPER(orders[[#This Row],[order_priority]])</f>
        <v>Standard</v>
      </c>
      <c r="E1556" t="s">
        <v>13317</v>
      </c>
      <c r="F1556" t="str">
        <f>IFERROR(INDEX(customers[country], MATCH(orders[[#This Row],[customer_id]], customers[customer_id], 0)), "Unmapped")</f>
        <v>Netherlands</v>
      </c>
      <c r="G1556" t="str">
        <f>IFERROR(INDEX(Region_Map[Region], MATCH(orders[[#This Row],[Customer_Country]], Region_Map[Country], 0)), "Unknown")</f>
        <v>Central Europe</v>
      </c>
      <c r="H1556" t="s">
        <v>6949</v>
      </c>
    </row>
    <row r="1557" spans="1:8">
      <c r="A1557" t="s">
        <v>2467</v>
      </c>
      <c r="B1557" t="s">
        <v>240</v>
      </c>
      <c r="C1557" s="1">
        <v>45605</v>
      </c>
      <c r="D1557" s="1" t="str">
        <f>PROPER(orders[[#This Row],[order_priority]])</f>
        <v>Economy</v>
      </c>
      <c r="E1557" t="s">
        <v>13316</v>
      </c>
      <c r="F1557" t="str">
        <f>IFERROR(INDEX(customers[country], MATCH(orders[[#This Row],[customer_id]], customers[customer_id], 0)), "Unmapped")</f>
        <v>Lithuania</v>
      </c>
      <c r="G1557" t="str">
        <f>IFERROR(INDEX(Region_Map[Region], MATCH(orders[[#This Row],[Customer_Country]], Region_Map[Country], 0)), "Unknown")</f>
        <v>Baltics</v>
      </c>
      <c r="H1557" t="s">
        <v>6949</v>
      </c>
    </row>
    <row r="1558" spans="1:8">
      <c r="A1558" t="s">
        <v>2468</v>
      </c>
      <c r="B1558" t="s">
        <v>533</v>
      </c>
      <c r="C1558" s="1">
        <v>44984</v>
      </c>
      <c r="D1558" s="1" t="str">
        <f>PROPER(orders[[#This Row],[order_priority]])</f>
        <v>Express</v>
      </c>
      <c r="E1558" t="s">
        <v>13318</v>
      </c>
      <c r="F1558" t="str">
        <f>IFERROR(INDEX(customers[country], MATCH(orders[[#This Row],[customer_id]], customers[customer_id], 0)), "Unmapped")</f>
        <v>Germany</v>
      </c>
      <c r="G1558" t="str">
        <f>IFERROR(INDEX(Region_Map[Region], MATCH(orders[[#This Row],[Customer_Country]], Region_Map[Country], 0)), "Unknown")</f>
        <v>Central Europe</v>
      </c>
      <c r="H1558" t="s">
        <v>6949</v>
      </c>
    </row>
    <row r="1559" spans="1:8">
      <c r="A1559" t="s">
        <v>2469</v>
      </c>
      <c r="B1559" t="s">
        <v>572</v>
      </c>
      <c r="C1559" s="1">
        <v>45210</v>
      </c>
      <c r="D1559" s="1" t="str">
        <f>PROPER(orders[[#This Row],[order_priority]])</f>
        <v>Same Day</v>
      </c>
      <c r="E1559" t="s">
        <v>13322</v>
      </c>
      <c r="F1559" t="str">
        <f>IFERROR(INDEX(customers[country], MATCH(orders[[#This Row],[customer_id]], customers[customer_id], 0)), "Unmapped")</f>
        <v>Germany</v>
      </c>
      <c r="G1559" t="str">
        <f>IFERROR(INDEX(Region_Map[Region], MATCH(orders[[#This Row],[Customer_Country]], Region_Map[Country], 0)), "Unknown")</f>
        <v>Central Europe</v>
      </c>
      <c r="H1559" t="s">
        <v>6949</v>
      </c>
    </row>
    <row r="1560" spans="1:8">
      <c r="A1560" t="s">
        <v>2470</v>
      </c>
      <c r="B1560" t="s">
        <v>276</v>
      </c>
      <c r="C1560" s="1">
        <v>45099</v>
      </c>
      <c r="D1560" s="1" t="str">
        <f>PROPER(orders[[#This Row],[order_priority]])</f>
        <v>Same Day</v>
      </c>
      <c r="E1560" t="s">
        <v>13322</v>
      </c>
      <c r="F1560" t="str">
        <f>IFERROR(INDEX(customers[country], MATCH(orders[[#This Row],[customer_id]], customers[customer_id], 0)), "Unmapped")</f>
        <v>Sweden</v>
      </c>
      <c r="G1560" t="str">
        <f>IFERROR(INDEX(Region_Map[Region], MATCH(orders[[#This Row],[Customer_Country]], Region_Map[Country], 0)), "Unknown")</f>
        <v>Nordics</v>
      </c>
      <c r="H1560" t="s">
        <v>6949</v>
      </c>
    </row>
    <row r="1561" spans="1:8">
      <c r="A1561" t="s">
        <v>2471</v>
      </c>
      <c r="B1561" t="s">
        <v>500</v>
      </c>
      <c r="C1561" s="1">
        <v>45379</v>
      </c>
      <c r="D1561" s="1" t="str">
        <f>PROPER(orders[[#This Row],[order_priority]])</f>
        <v>Standard</v>
      </c>
      <c r="E1561" t="s">
        <v>13317</v>
      </c>
      <c r="F1561" t="str">
        <f>IFERROR(INDEX(customers[country], MATCH(orders[[#This Row],[customer_id]], customers[customer_id], 0)), "Unmapped")</f>
        <v>Estonia</v>
      </c>
      <c r="G1561" t="str">
        <f>IFERROR(INDEX(Region_Map[Region], MATCH(orders[[#This Row],[Customer_Country]], Region_Map[Country], 0)), "Unknown")</f>
        <v>Baltics</v>
      </c>
      <c r="H1561" t="s">
        <v>6949</v>
      </c>
    </row>
    <row r="1562" spans="1:8">
      <c r="A1562" t="s">
        <v>2472</v>
      </c>
      <c r="B1562" t="s">
        <v>632</v>
      </c>
      <c r="C1562" s="1">
        <v>45470</v>
      </c>
      <c r="D1562" s="1" t="str">
        <f>PROPER(orders[[#This Row],[order_priority]])</f>
        <v>Express</v>
      </c>
      <c r="E1562" t="s">
        <v>13326</v>
      </c>
      <c r="F1562" t="str">
        <f>IFERROR(INDEX(customers[country], MATCH(orders[[#This Row],[customer_id]], customers[customer_id], 0)), "Unmapped")</f>
        <v>Norway</v>
      </c>
      <c r="G1562" t="str">
        <f>IFERROR(INDEX(Region_Map[Region], MATCH(orders[[#This Row],[Customer_Country]], Region_Map[Country], 0)), "Unknown")</f>
        <v>Nordics</v>
      </c>
      <c r="H1562" t="s">
        <v>6949</v>
      </c>
    </row>
    <row r="1563" spans="1:8">
      <c r="A1563" t="s">
        <v>2473</v>
      </c>
      <c r="B1563" t="s">
        <v>545</v>
      </c>
      <c r="C1563" s="1">
        <v>45509</v>
      </c>
      <c r="D1563" s="1" t="str">
        <f>PROPER(orders[[#This Row],[order_priority]])</f>
        <v>Same Day</v>
      </c>
      <c r="E1563" t="s">
        <v>13322</v>
      </c>
      <c r="F1563" t="str">
        <f>IFERROR(INDEX(customers[country], MATCH(orders[[#This Row],[customer_id]], customers[customer_id], 0)), "Unmapped")</f>
        <v>Netherlands</v>
      </c>
      <c r="G1563" t="str">
        <f>IFERROR(INDEX(Region_Map[Region], MATCH(orders[[#This Row],[Customer_Country]], Region_Map[Country], 0)), "Unknown")</f>
        <v>Central Europe</v>
      </c>
      <c r="H1563" t="s">
        <v>6949</v>
      </c>
    </row>
    <row r="1564" spans="1:8">
      <c r="A1564" t="s">
        <v>2474</v>
      </c>
      <c r="B1564" t="s">
        <v>811</v>
      </c>
      <c r="C1564" s="1">
        <v>45297</v>
      </c>
      <c r="D1564" s="1" t="str">
        <f>PROPER(orders[[#This Row],[order_priority]])</f>
        <v>Express</v>
      </c>
      <c r="E1564" t="s">
        <v>13318</v>
      </c>
      <c r="F1564" t="str">
        <f>IFERROR(INDEX(customers[country], MATCH(orders[[#This Row],[customer_id]], customers[customer_id], 0)), "Unmapped")</f>
        <v>Finland</v>
      </c>
      <c r="G1564" t="str">
        <f>IFERROR(INDEX(Region_Map[Region], MATCH(orders[[#This Row],[Customer_Country]], Region_Map[Country], 0)), "Unknown")</f>
        <v>Nordics</v>
      </c>
      <c r="H1564" t="s">
        <v>6949</v>
      </c>
    </row>
    <row r="1565" spans="1:8">
      <c r="A1565" t="s">
        <v>2475</v>
      </c>
      <c r="B1565" t="s">
        <v>611</v>
      </c>
      <c r="C1565" s="1">
        <v>45034</v>
      </c>
      <c r="D1565" s="1" t="str">
        <f>PROPER(orders[[#This Row],[order_priority]])</f>
        <v>Standard</v>
      </c>
      <c r="E1565" t="s">
        <v>13317</v>
      </c>
      <c r="F1565" t="str">
        <f>IFERROR(INDEX(customers[country], MATCH(orders[[#This Row],[customer_id]], customers[customer_id], 0)), "Unmapped")</f>
        <v>Poland</v>
      </c>
      <c r="G1565" t="str">
        <f>IFERROR(INDEX(Region_Map[Region], MATCH(orders[[#This Row],[Customer_Country]], Region_Map[Country], 0)), "Unknown")</f>
        <v>Central Europe</v>
      </c>
      <c r="H1565" t="s">
        <v>6949</v>
      </c>
    </row>
    <row r="1566" spans="1:8">
      <c r="A1566" t="s">
        <v>2476</v>
      </c>
      <c r="B1566" t="s">
        <v>276</v>
      </c>
      <c r="C1566" s="1">
        <v>45435</v>
      </c>
      <c r="D1566" s="1" t="str">
        <f>PROPER(orders[[#This Row],[order_priority]])</f>
        <v>Standard</v>
      </c>
      <c r="E1566" t="s">
        <v>13317</v>
      </c>
      <c r="F1566" t="str">
        <f>IFERROR(INDEX(customers[country], MATCH(orders[[#This Row],[customer_id]], customers[customer_id], 0)), "Unmapped")</f>
        <v>Sweden</v>
      </c>
      <c r="G1566" t="str">
        <f>IFERROR(INDEX(Region_Map[Region], MATCH(orders[[#This Row],[Customer_Country]], Region_Map[Country], 0)), "Unknown")</f>
        <v>Nordics</v>
      </c>
      <c r="H1566" t="s">
        <v>6949</v>
      </c>
    </row>
    <row r="1567" spans="1:8">
      <c r="A1567" t="s">
        <v>2477</v>
      </c>
      <c r="B1567" t="s">
        <v>133</v>
      </c>
      <c r="C1567" s="1">
        <v>45406</v>
      </c>
      <c r="D1567" s="1" t="str">
        <f>PROPER(orders[[#This Row],[order_priority]])</f>
        <v>Economy</v>
      </c>
      <c r="E1567" t="s">
        <v>13316</v>
      </c>
      <c r="F1567" t="str">
        <f>IFERROR(INDEX(customers[country], MATCH(orders[[#This Row],[customer_id]], customers[customer_id], 0)), "Unmapped")</f>
        <v>Finland</v>
      </c>
      <c r="G1567" t="str">
        <f>IFERROR(INDEX(Region_Map[Region], MATCH(orders[[#This Row],[Customer_Country]], Region_Map[Country], 0)), "Unknown")</f>
        <v>Nordics</v>
      </c>
      <c r="H1567" t="s">
        <v>6949</v>
      </c>
    </row>
    <row r="1568" spans="1:8">
      <c r="A1568" t="s">
        <v>2478</v>
      </c>
      <c r="B1568" t="s">
        <v>6949</v>
      </c>
      <c r="C1568" s="1">
        <v>45380</v>
      </c>
      <c r="D1568" s="1" t="str">
        <f>PROPER(orders[[#This Row],[order_priority]])</f>
        <v>Economy</v>
      </c>
      <c r="E1568" t="s">
        <v>13316</v>
      </c>
      <c r="F1568" t="str">
        <f>IFERROR(INDEX(customers[country], MATCH(orders[[#This Row],[customer_id]], customers[customer_id], 0)), "Unmapped")</f>
        <v>Unmapped</v>
      </c>
      <c r="G1568" t="str">
        <f>IFERROR(INDEX(Region_Map[Region], MATCH(orders[[#This Row],[Customer_Country]], Region_Map[Country], 0)), "Unknown")</f>
        <v>Unknown</v>
      </c>
      <c r="H1568" t="s">
        <v>6949</v>
      </c>
    </row>
    <row r="1569" spans="1:8">
      <c r="A1569" t="s">
        <v>2479</v>
      </c>
      <c r="B1569" t="s">
        <v>491</v>
      </c>
      <c r="C1569" s="1">
        <v>45096</v>
      </c>
      <c r="D1569" s="1" t="str">
        <f>PROPER(orders[[#This Row],[order_priority]])</f>
        <v>Standard</v>
      </c>
      <c r="E1569" t="s">
        <v>13317</v>
      </c>
      <c r="F1569" t="str">
        <f>IFERROR(INDEX(customers[country], MATCH(orders[[#This Row],[customer_id]], customers[customer_id], 0)), "Unmapped")</f>
        <v>Latvia</v>
      </c>
      <c r="G1569" t="str">
        <f>IFERROR(INDEX(Region_Map[Region], MATCH(orders[[#This Row],[Customer_Country]], Region_Map[Country], 0)), "Unknown")</f>
        <v>Baltics</v>
      </c>
      <c r="H1569" t="s">
        <v>6949</v>
      </c>
    </row>
    <row r="1570" spans="1:8">
      <c r="A1570" t="s">
        <v>2480</v>
      </c>
      <c r="B1570" t="s">
        <v>518</v>
      </c>
      <c r="C1570" s="1">
        <v>45514</v>
      </c>
      <c r="D1570" s="1" t="str">
        <f>PROPER(orders[[#This Row],[order_priority]])</f>
        <v>Express</v>
      </c>
      <c r="E1570" t="s">
        <v>13326</v>
      </c>
      <c r="F1570" t="str">
        <f>IFERROR(INDEX(customers[country], MATCH(orders[[#This Row],[customer_id]], customers[customer_id], 0)), "Unmapped")</f>
        <v>Germany</v>
      </c>
      <c r="G1570" t="str">
        <f>IFERROR(INDEX(Region_Map[Region], MATCH(orders[[#This Row],[Customer_Country]], Region_Map[Country], 0)), "Unknown")</f>
        <v>Central Europe</v>
      </c>
      <c r="H1570" t="s">
        <v>6949</v>
      </c>
    </row>
    <row r="1571" spans="1:8">
      <c r="A1571" t="s">
        <v>2481</v>
      </c>
      <c r="B1571" t="s">
        <v>843</v>
      </c>
      <c r="C1571" s="1">
        <v>45486</v>
      </c>
      <c r="D1571" s="1" t="str">
        <f>PROPER(orders[[#This Row],[order_priority]])</f>
        <v>Standard</v>
      </c>
      <c r="E1571" t="s">
        <v>13317</v>
      </c>
      <c r="F1571" t="str">
        <f>IFERROR(INDEX(customers[country], MATCH(orders[[#This Row],[customer_id]], customers[customer_id], 0)), "Unmapped")</f>
        <v>Netherlands</v>
      </c>
      <c r="G1571" t="str">
        <f>IFERROR(INDEX(Region_Map[Region], MATCH(orders[[#This Row],[Customer_Country]], Region_Map[Country], 0)), "Unknown")</f>
        <v>Central Europe</v>
      </c>
      <c r="H1571" t="s">
        <v>6949</v>
      </c>
    </row>
    <row r="1572" spans="1:8">
      <c r="A1572" t="s">
        <v>2482</v>
      </c>
      <c r="B1572" t="s">
        <v>796</v>
      </c>
      <c r="C1572" s="1">
        <v>45098</v>
      </c>
      <c r="D1572" s="1" t="str">
        <f>PROPER(orders[[#This Row],[order_priority]])</f>
        <v>Economy</v>
      </c>
      <c r="E1572" t="s">
        <v>13316</v>
      </c>
      <c r="F1572" t="str">
        <f>IFERROR(INDEX(customers[country], MATCH(orders[[#This Row],[customer_id]], customers[customer_id], 0)), "Unmapped")</f>
        <v>Sweden</v>
      </c>
      <c r="G1572" t="str">
        <f>IFERROR(INDEX(Region_Map[Region], MATCH(orders[[#This Row],[Customer_Country]], Region_Map[Country], 0)), "Unknown")</f>
        <v>Nordics</v>
      </c>
      <c r="H1572" t="s">
        <v>6949</v>
      </c>
    </row>
    <row r="1573" spans="1:8">
      <c r="A1573" t="s">
        <v>2483</v>
      </c>
      <c r="B1573" t="s">
        <v>323</v>
      </c>
      <c r="C1573" s="1">
        <v>45064</v>
      </c>
      <c r="D1573" s="1" t="str">
        <f>PROPER(orders[[#This Row],[order_priority]])</f>
        <v>Same Day</v>
      </c>
      <c r="E1573" t="s">
        <v>13322</v>
      </c>
      <c r="F1573" t="str">
        <f>IFERROR(INDEX(customers[country], MATCH(orders[[#This Row],[customer_id]], customers[customer_id], 0)), "Unmapped")</f>
        <v>Estonia</v>
      </c>
      <c r="G1573" t="str">
        <f>IFERROR(INDEX(Region_Map[Region], MATCH(orders[[#This Row],[Customer_Country]], Region_Map[Country], 0)), "Unknown")</f>
        <v>Baltics</v>
      </c>
      <c r="H1573" t="s">
        <v>6949</v>
      </c>
    </row>
    <row r="1574" spans="1:8">
      <c r="A1574" t="s">
        <v>2484</v>
      </c>
      <c r="B1574" t="s">
        <v>404</v>
      </c>
      <c r="C1574" s="1">
        <v>45388</v>
      </c>
      <c r="D1574" s="1" t="str">
        <f>PROPER(orders[[#This Row],[order_priority]])</f>
        <v>Economy</v>
      </c>
      <c r="E1574" t="s">
        <v>13316</v>
      </c>
      <c r="F1574" t="str">
        <f>IFERROR(INDEX(customers[country], MATCH(orders[[#This Row],[customer_id]], customers[customer_id], 0)), "Unmapped")</f>
        <v>Latvia</v>
      </c>
      <c r="G1574" t="str">
        <f>IFERROR(INDEX(Region_Map[Region], MATCH(orders[[#This Row],[Customer_Country]], Region_Map[Country], 0)), "Unknown")</f>
        <v>Baltics</v>
      </c>
      <c r="H1574" t="s">
        <v>6949</v>
      </c>
    </row>
    <row r="1575" spans="1:8">
      <c r="A1575" t="s">
        <v>2485</v>
      </c>
      <c r="B1575" t="s">
        <v>816</v>
      </c>
      <c r="C1575" s="1">
        <v>45603</v>
      </c>
      <c r="D1575" s="1" t="str">
        <f>PROPER(orders[[#This Row],[order_priority]])</f>
        <v>Standard</v>
      </c>
      <c r="E1575" t="s">
        <v>13317</v>
      </c>
      <c r="F1575" t="str">
        <f>IFERROR(INDEX(customers[country], MATCH(orders[[#This Row],[customer_id]], customers[customer_id], 0)), "Unmapped")</f>
        <v>Lithuania</v>
      </c>
      <c r="G1575" t="str">
        <f>IFERROR(INDEX(Region_Map[Region], MATCH(orders[[#This Row],[Customer_Country]], Region_Map[Country], 0)), "Unknown")</f>
        <v>Baltics</v>
      </c>
      <c r="H1575" t="s">
        <v>6949</v>
      </c>
    </row>
    <row r="1576" spans="1:8">
      <c r="A1576" t="s">
        <v>2486</v>
      </c>
      <c r="B1576" t="s">
        <v>380</v>
      </c>
      <c r="C1576" s="1">
        <v>44966</v>
      </c>
      <c r="D1576" s="1" t="str">
        <f>PROPER(orders[[#This Row],[order_priority]])</f>
        <v>Standard</v>
      </c>
      <c r="E1576" t="s">
        <v>13317</v>
      </c>
      <c r="F1576" t="str">
        <f>IFERROR(INDEX(customers[country], MATCH(orders[[#This Row],[customer_id]], customers[customer_id], 0)), "Unmapped")</f>
        <v>Sweden</v>
      </c>
      <c r="G1576" t="str">
        <f>IFERROR(INDEX(Region_Map[Region], MATCH(orders[[#This Row],[Customer_Country]], Region_Map[Country], 0)), "Unknown")</f>
        <v>Nordics</v>
      </c>
      <c r="H1576" t="s">
        <v>6949</v>
      </c>
    </row>
    <row r="1577" spans="1:8">
      <c r="A1577" t="s">
        <v>2487</v>
      </c>
      <c r="B1577" t="s">
        <v>551</v>
      </c>
      <c r="C1577" s="1">
        <v>45604</v>
      </c>
      <c r="D1577" s="1" t="str">
        <f>PROPER(orders[[#This Row],[order_priority]])</f>
        <v>Standard</v>
      </c>
      <c r="E1577" t="s">
        <v>13317</v>
      </c>
      <c r="F1577" t="str">
        <f>IFERROR(INDEX(customers[country], MATCH(orders[[#This Row],[customer_id]], customers[customer_id], 0)), "Unmapped")</f>
        <v>Latvia</v>
      </c>
      <c r="G1577" t="str">
        <f>IFERROR(INDEX(Region_Map[Region], MATCH(orders[[#This Row],[Customer_Country]], Region_Map[Country], 0)), "Unknown")</f>
        <v>Baltics</v>
      </c>
      <c r="H1577" t="s">
        <v>6949</v>
      </c>
    </row>
    <row r="1578" spans="1:8">
      <c r="A1578" t="s">
        <v>2488</v>
      </c>
      <c r="B1578" t="s">
        <v>458</v>
      </c>
      <c r="C1578" s="1">
        <v>45093</v>
      </c>
      <c r="D1578" s="1" t="str">
        <f>PROPER(orders[[#This Row],[order_priority]])</f>
        <v>Express</v>
      </c>
      <c r="E1578" t="s">
        <v>13318</v>
      </c>
      <c r="F1578" t="str">
        <f>IFERROR(INDEX(customers[country], MATCH(orders[[#This Row],[customer_id]], customers[customer_id], 0)), "Unmapped")</f>
        <v>Poland</v>
      </c>
      <c r="G1578" t="str">
        <f>IFERROR(INDEX(Region_Map[Region], MATCH(orders[[#This Row],[Customer_Country]], Region_Map[Country], 0)), "Unknown")</f>
        <v>Central Europe</v>
      </c>
      <c r="H1578" t="s">
        <v>6949</v>
      </c>
    </row>
    <row r="1579" spans="1:8">
      <c r="A1579" t="s">
        <v>2489</v>
      </c>
      <c r="B1579" t="s">
        <v>201</v>
      </c>
      <c r="C1579" s="1">
        <v>45254</v>
      </c>
      <c r="D1579" s="1" t="str">
        <f>PROPER(orders[[#This Row],[order_priority]])</f>
        <v>Standard</v>
      </c>
      <c r="E1579" t="s">
        <v>13317</v>
      </c>
      <c r="F1579" t="str">
        <f>IFERROR(INDEX(customers[country], MATCH(orders[[#This Row],[customer_id]], customers[customer_id], 0)), "Unmapped")</f>
        <v>Estonia</v>
      </c>
      <c r="G1579" t="str">
        <f>IFERROR(INDEX(Region_Map[Region], MATCH(orders[[#This Row],[Customer_Country]], Region_Map[Country], 0)), "Unknown")</f>
        <v>Baltics</v>
      </c>
      <c r="H1579" t="s">
        <v>6949</v>
      </c>
    </row>
    <row r="1580" spans="1:8">
      <c r="A1580" t="s">
        <v>2490</v>
      </c>
      <c r="B1580" t="s">
        <v>655</v>
      </c>
      <c r="C1580" s="1">
        <v>45433</v>
      </c>
      <c r="D1580" s="1" t="str">
        <f>PROPER(orders[[#This Row],[order_priority]])</f>
        <v>Standard</v>
      </c>
      <c r="E1580" t="s">
        <v>13317</v>
      </c>
      <c r="F1580" t="str">
        <f>IFERROR(INDEX(customers[country], MATCH(orders[[#This Row],[customer_id]], customers[customer_id], 0)), "Unmapped")</f>
        <v>Sweden</v>
      </c>
      <c r="G1580" t="str">
        <f>IFERROR(INDEX(Region_Map[Region], MATCH(orders[[#This Row],[Customer_Country]], Region_Map[Country], 0)), "Unknown")</f>
        <v>Nordics</v>
      </c>
      <c r="H1580" t="s">
        <v>6949</v>
      </c>
    </row>
    <row r="1581" spans="1:8">
      <c r="A1581" t="s">
        <v>2491</v>
      </c>
      <c r="B1581" t="s">
        <v>350</v>
      </c>
      <c r="C1581" s="1">
        <v>45592</v>
      </c>
      <c r="D1581" s="1" t="str">
        <f>PROPER(orders[[#This Row],[order_priority]])</f>
        <v>Express</v>
      </c>
      <c r="E1581" t="s">
        <v>13318</v>
      </c>
      <c r="F1581" t="str">
        <f>IFERROR(INDEX(customers[country], MATCH(orders[[#This Row],[customer_id]], customers[customer_id], 0)), "Unmapped")</f>
        <v>Netherlands</v>
      </c>
      <c r="G1581" t="str">
        <f>IFERROR(INDEX(Region_Map[Region], MATCH(orders[[#This Row],[Customer_Country]], Region_Map[Country], 0)), "Unknown")</f>
        <v>Central Europe</v>
      </c>
      <c r="H1581" t="s">
        <v>6949</v>
      </c>
    </row>
    <row r="1582" spans="1:8">
      <c r="A1582" t="s">
        <v>2492</v>
      </c>
      <c r="B1582" t="s">
        <v>58</v>
      </c>
      <c r="C1582" s="1">
        <v>45487</v>
      </c>
      <c r="D1582" s="1" t="str">
        <f>PROPER(orders[[#This Row],[order_priority]])</f>
        <v>Express</v>
      </c>
      <c r="E1582" t="s">
        <v>13318</v>
      </c>
      <c r="F1582" t="str">
        <f>IFERROR(INDEX(customers[country], MATCH(orders[[#This Row],[customer_id]], customers[customer_id], 0)), "Unmapped")</f>
        <v>Germany</v>
      </c>
      <c r="G1582" t="str">
        <f>IFERROR(INDEX(Region_Map[Region], MATCH(orders[[#This Row],[Customer_Country]], Region_Map[Country], 0)), "Unknown")</f>
        <v>Central Europe</v>
      </c>
      <c r="H1582" t="s">
        <v>6949</v>
      </c>
    </row>
    <row r="1583" spans="1:8">
      <c r="A1583" t="s">
        <v>2493</v>
      </c>
      <c r="B1583" t="s">
        <v>154</v>
      </c>
      <c r="C1583" s="1">
        <v>45343</v>
      </c>
      <c r="D1583" s="1" t="str">
        <f>PROPER(orders[[#This Row],[order_priority]])</f>
        <v>Standard</v>
      </c>
      <c r="E1583" t="s">
        <v>13317</v>
      </c>
      <c r="F1583" t="str">
        <f>IFERROR(INDEX(customers[country], MATCH(orders[[#This Row],[customer_id]], customers[customer_id], 0)), "Unmapped")</f>
        <v>Lithuania</v>
      </c>
      <c r="G1583" t="str">
        <f>IFERROR(INDEX(Region_Map[Region], MATCH(orders[[#This Row],[Customer_Country]], Region_Map[Country], 0)), "Unknown")</f>
        <v>Baltics</v>
      </c>
      <c r="H1583" t="s">
        <v>6949</v>
      </c>
    </row>
    <row r="1584" spans="1:8">
      <c r="A1584" t="s">
        <v>2494</v>
      </c>
      <c r="B1584" t="s">
        <v>201</v>
      </c>
      <c r="C1584" s="1">
        <v>45326</v>
      </c>
      <c r="D1584" s="1" t="str">
        <f>PROPER(orders[[#This Row],[order_priority]])</f>
        <v>Economy</v>
      </c>
      <c r="E1584" t="s">
        <v>13316</v>
      </c>
      <c r="F1584" t="str">
        <f>IFERROR(INDEX(customers[country], MATCH(orders[[#This Row],[customer_id]], customers[customer_id], 0)), "Unmapped")</f>
        <v>Estonia</v>
      </c>
      <c r="G1584" t="str">
        <f>IFERROR(INDEX(Region_Map[Region], MATCH(orders[[#This Row],[Customer_Country]], Region_Map[Country], 0)), "Unknown")</f>
        <v>Baltics</v>
      </c>
      <c r="H1584" t="s">
        <v>6949</v>
      </c>
    </row>
    <row r="1585" spans="1:8">
      <c r="A1585" t="s">
        <v>2495</v>
      </c>
      <c r="B1585" t="s">
        <v>99</v>
      </c>
      <c r="C1585" s="1">
        <v>45437</v>
      </c>
      <c r="D1585" s="1" t="str">
        <f>PROPER(orders[[#This Row],[order_priority]])</f>
        <v>Economy</v>
      </c>
      <c r="E1585" t="s">
        <v>13316</v>
      </c>
      <c r="F1585" t="str">
        <f>IFERROR(INDEX(customers[country], MATCH(orders[[#This Row],[customer_id]], customers[customer_id], 0)), "Unmapped")</f>
        <v>Poland</v>
      </c>
      <c r="G1585" t="str">
        <f>IFERROR(INDEX(Region_Map[Region], MATCH(orders[[#This Row],[Customer_Country]], Region_Map[Country], 0)), "Unknown")</f>
        <v>Central Europe</v>
      </c>
      <c r="H1585" t="s">
        <v>6949</v>
      </c>
    </row>
    <row r="1586" spans="1:8">
      <c r="A1586" t="s">
        <v>2496</v>
      </c>
      <c r="B1586" t="s">
        <v>620</v>
      </c>
      <c r="C1586" s="1">
        <v>45045</v>
      </c>
      <c r="D1586" s="1" t="str">
        <f>PROPER(orders[[#This Row],[order_priority]])</f>
        <v>Standard</v>
      </c>
      <c r="E1586" t="s">
        <v>13317</v>
      </c>
      <c r="F1586" t="str">
        <f>IFERROR(INDEX(customers[country], MATCH(orders[[#This Row],[customer_id]], customers[customer_id], 0)), "Unmapped")</f>
        <v>Latvia</v>
      </c>
      <c r="G1586" t="str">
        <f>IFERROR(INDEX(Region_Map[Region], MATCH(orders[[#This Row],[Customer_Country]], Region_Map[Country], 0)), "Unknown")</f>
        <v>Baltics</v>
      </c>
      <c r="H1586" t="s">
        <v>6949</v>
      </c>
    </row>
    <row r="1587" spans="1:8">
      <c r="A1587" t="s">
        <v>2497</v>
      </c>
      <c r="B1587" t="s">
        <v>679</v>
      </c>
      <c r="C1587" s="1">
        <v>45399</v>
      </c>
      <c r="D1587" s="1" t="str">
        <f>PROPER(orders[[#This Row],[order_priority]])</f>
        <v>Same Day</v>
      </c>
      <c r="E1587" t="s">
        <v>13322</v>
      </c>
      <c r="F1587" t="str">
        <f>IFERROR(INDEX(customers[country], MATCH(orders[[#This Row],[customer_id]], customers[customer_id], 0)), "Unmapped")</f>
        <v>Norway</v>
      </c>
      <c r="G1587" t="str">
        <f>IFERROR(INDEX(Region_Map[Region], MATCH(orders[[#This Row],[Customer_Country]], Region_Map[Country], 0)), "Unknown")</f>
        <v>Nordics</v>
      </c>
      <c r="H1587" t="s">
        <v>6949</v>
      </c>
    </row>
    <row r="1588" spans="1:8">
      <c r="A1588" t="s">
        <v>2498</v>
      </c>
      <c r="B1588" t="s">
        <v>581</v>
      </c>
      <c r="C1588" s="1">
        <v>45398</v>
      </c>
      <c r="D1588" s="1" t="str">
        <f>PROPER(orders[[#This Row],[order_priority]])</f>
        <v>Standard</v>
      </c>
      <c r="E1588" t="s">
        <v>13317</v>
      </c>
      <c r="F1588" t="str">
        <f>IFERROR(INDEX(customers[country], MATCH(orders[[#This Row],[customer_id]], customers[customer_id], 0)), "Unmapped")</f>
        <v>Norway</v>
      </c>
      <c r="G1588" t="str">
        <f>IFERROR(INDEX(Region_Map[Region], MATCH(orders[[#This Row],[Customer_Country]], Region_Map[Country], 0)), "Unknown")</f>
        <v>Nordics</v>
      </c>
      <c r="H1588" t="s">
        <v>6949</v>
      </c>
    </row>
    <row r="1589" spans="1:8">
      <c r="A1589" t="s">
        <v>2499</v>
      </c>
      <c r="B1589" t="s">
        <v>398</v>
      </c>
      <c r="C1589" s="1">
        <v>45531</v>
      </c>
      <c r="D1589" s="1" t="str">
        <f>PROPER(orders[[#This Row],[order_priority]])</f>
        <v>Standard</v>
      </c>
      <c r="E1589" t="s">
        <v>13319</v>
      </c>
      <c r="F1589" t="str">
        <f>IFERROR(INDEX(customers[country], MATCH(orders[[#This Row],[customer_id]], customers[customer_id], 0)), "Unmapped")</f>
        <v>Sweden</v>
      </c>
      <c r="G1589" t="str">
        <f>IFERROR(INDEX(Region_Map[Region], MATCH(orders[[#This Row],[Customer_Country]], Region_Map[Country], 0)), "Unknown")</f>
        <v>Nordics</v>
      </c>
      <c r="H1589" t="s">
        <v>6949</v>
      </c>
    </row>
    <row r="1590" spans="1:8">
      <c r="A1590" t="s">
        <v>2500</v>
      </c>
      <c r="B1590" t="s">
        <v>626</v>
      </c>
      <c r="C1590" s="1">
        <v>44980</v>
      </c>
      <c r="D1590" s="1" t="str">
        <f>PROPER(orders[[#This Row],[order_priority]])</f>
        <v>Same Day</v>
      </c>
      <c r="E1590" t="s">
        <v>13322</v>
      </c>
      <c r="F1590" t="str">
        <f>IFERROR(INDEX(customers[country], MATCH(orders[[#This Row],[customer_id]], customers[customer_id], 0)), "Unmapped")</f>
        <v>Denmark</v>
      </c>
      <c r="G1590" t="str">
        <f>IFERROR(INDEX(Region_Map[Region], MATCH(orders[[#This Row],[Customer_Country]], Region_Map[Country], 0)), "Unknown")</f>
        <v>Nordics</v>
      </c>
      <c r="H1590" t="s">
        <v>6949</v>
      </c>
    </row>
    <row r="1591" spans="1:8">
      <c r="A1591" t="s">
        <v>2501</v>
      </c>
      <c r="B1591" t="s">
        <v>99</v>
      </c>
      <c r="C1591" s="1">
        <v>45218</v>
      </c>
      <c r="D1591" s="1" t="str">
        <f>PROPER(orders[[#This Row],[order_priority]])</f>
        <v>Express</v>
      </c>
      <c r="E1591" t="s">
        <v>13318</v>
      </c>
      <c r="F1591" t="str">
        <f>IFERROR(INDEX(customers[country], MATCH(orders[[#This Row],[customer_id]], customers[customer_id], 0)), "Unmapped")</f>
        <v>Poland</v>
      </c>
      <c r="G1591" t="str">
        <f>IFERROR(INDEX(Region_Map[Region], MATCH(orders[[#This Row],[Customer_Country]], Region_Map[Country], 0)), "Unknown")</f>
        <v>Central Europe</v>
      </c>
      <c r="H1591" t="s">
        <v>6949</v>
      </c>
    </row>
    <row r="1592" spans="1:8">
      <c r="A1592" t="s">
        <v>2502</v>
      </c>
      <c r="B1592" t="s">
        <v>873</v>
      </c>
      <c r="C1592" s="1">
        <v>45201</v>
      </c>
      <c r="D1592" s="1" t="str">
        <f>PROPER(orders[[#This Row],[order_priority]])</f>
        <v>Express</v>
      </c>
      <c r="E1592" t="s">
        <v>13318</v>
      </c>
      <c r="F1592" t="str">
        <f>IFERROR(INDEX(customers[country], MATCH(orders[[#This Row],[customer_id]], customers[customer_id], 0)), "Unmapped")</f>
        <v>Estonia</v>
      </c>
      <c r="G1592" t="str">
        <f>IFERROR(INDEX(Region_Map[Region], MATCH(orders[[#This Row],[Customer_Country]], Region_Map[Country], 0)), "Unknown")</f>
        <v>Baltics</v>
      </c>
      <c r="H1592" t="s">
        <v>6949</v>
      </c>
    </row>
    <row r="1593" spans="1:8">
      <c r="A1593" t="s">
        <v>2503</v>
      </c>
      <c r="B1593" t="s">
        <v>787</v>
      </c>
      <c r="C1593" s="1">
        <v>45209</v>
      </c>
      <c r="D1593" s="1" t="str">
        <f>PROPER(orders[[#This Row],[order_priority]])</f>
        <v>Economy</v>
      </c>
      <c r="E1593" t="s">
        <v>13316</v>
      </c>
      <c r="F1593" t="str">
        <f>IFERROR(INDEX(customers[country], MATCH(orders[[#This Row],[customer_id]], customers[customer_id], 0)), "Unmapped")</f>
        <v>Netherlands</v>
      </c>
      <c r="G1593" t="str">
        <f>IFERROR(INDEX(Region_Map[Region], MATCH(orders[[#This Row],[Customer_Country]], Region_Map[Country], 0)), "Unknown")</f>
        <v>Central Europe</v>
      </c>
      <c r="H1593" t="s">
        <v>6949</v>
      </c>
    </row>
    <row r="1594" spans="1:8">
      <c r="A1594" t="s">
        <v>2504</v>
      </c>
      <c r="B1594" t="s">
        <v>243</v>
      </c>
      <c r="C1594" s="1">
        <v>45097</v>
      </c>
      <c r="D1594" s="1" t="str">
        <f>PROPER(orders[[#This Row],[order_priority]])</f>
        <v>Standard</v>
      </c>
      <c r="E1594" t="s">
        <v>13317</v>
      </c>
      <c r="F1594" t="str">
        <f>IFERROR(INDEX(customers[country], MATCH(orders[[#This Row],[customer_id]], customers[customer_id], 0)), "Unmapped")</f>
        <v>Netherlands</v>
      </c>
      <c r="G1594" t="str">
        <f>IFERROR(INDEX(Region_Map[Region], MATCH(orders[[#This Row],[Customer_Country]], Region_Map[Country], 0)), "Unknown")</f>
        <v>Central Europe</v>
      </c>
      <c r="H1594" t="s">
        <v>6949</v>
      </c>
    </row>
    <row r="1595" spans="1:8">
      <c r="A1595" t="s">
        <v>2505</v>
      </c>
      <c r="B1595" t="s">
        <v>661</v>
      </c>
      <c r="C1595" s="1">
        <v>45182</v>
      </c>
      <c r="D1595" s="1" t="str">
        <f>PROPER(orders[[#This Row],[order_priority]])</f>
        <v>Express</v>
      </c>
      <c r="E1595" t="s">
        <v>13318</v>
      </c>
      <c r="F1595" t="str">
        <f>IFERROR(INDEX(customers[country], MATCH(orders[[#This Row],[customer_id]], customers[customer_id], 0)), "Unmapped")</f>
        <v>Lithuania</v>
      </c>
      <c r="G1595" t="str">
        <f>IFERROR(INDEX(Region_Map[Region], MATCH(orders[[#This Row],[Customer_Country]], Region_Map[Country], 0)), "Unknown")</f>
        <v>Baltics</v>
      </c>
      <c r="H1595" t="s">
        <v>6949</v>
      </c>
    </row>
    <row r="1596" spans="1:8">
      <c r="A1596" t="s">
        <v>2506</v>
      </c>
      <c r="B1596" t="s">
        <v>237</v>
      </c>
      <c r="C1596" s="1">
        <v>45526</v>
      </c>
      <c r="D1596" s="1" t="str">
        <f>PROPER(orders[[#This Row],[order_priority]])</f>
        <v>Economy</v>
      </c>
      <c r="E1596" t="s">
        <v>13316</v>
      </c>
      <c r="F1596" t="str">
        <f>IFERROR(INDEX(customers[country], MATCH(orders[[#This Row],[customer_id]], customers[customer_id], 0)), "Unmapped")</f>
        <v>Sweden</v>
      </c>
      <c r="G1596" t="str">
        <f>IFERROR(INDEX(Region_Map[Region], MATCH(orders[[#This Row],[Customer_Country]], Region_Map[Country], 0)), "Unknown")</f>
        <v>Nordics</v>
      </c>
      <c r="H1596" t="s">
        <v>6949</v>
      </c>
    </row>
    <row r="1597" spans="1:8">
      <c r="A1597" t="s">
        <v>2507</v>
      </c>
      <c r="B1597" t="s">
        <v>335</v>
      </c>
      <c r="C1597" s="1">
        <v>45469</v>
      </c>
      <c r="D1597" s="1" t="str">
        <f>PROPER(orders[[#This Row],[order_priority]])</f>
        <v>Express</v>
      </c>
      <c r="E1597" t="s">
        <v>13320</v>
      </c>
      <c r="F1597" t="str">
        <f>IFERROR(INDEX(customers[country], MATCH(orders[[#This Row],[customer_id]], customers[customer_id], 0)), "Unmapped")</f>
        <v>Denmark</v>
      </c>
      <c r="G1597" t="str">
        <f>IFERROR(INDEX(Region_Map[Region], MATCH(orders[[#This Row],[Customer_Country]], Region_Map[Country], 0)), "Unknown")</f>
        <v>Nordics</v>
      </c>
      <c r="H1597" t="s">
        <v>6949</v>
      </c>
    </row>
    <row r="1598" spans="1:8">
      <c r="A1598" t="s">
        <v>2508</v>
      </c>
      <c r="B1598" t="s">
        <v>279</v>
      </c>
      <c r="C1598" s="1">
        <v>45487</v>
      </c>
      <c r="D1598" s="1" t="str">
        <f>PROPER(orders[[#This Row],[order_priority]])</f>
        <v>Economy</v>
      </c>
      <c r="E1598" t="s">
        <v>13316</v>
      </c>
      <c r="F1598" t="str">
        <f>IFERROR(INDEX(customers[country], MATCH(orders[[#This Row],[customer_id]], customers[customer_id], 0)), "Unmapped")</f>
        <v>Germany</v>
      </c>
      <c r="G1598" t="str">
        <f>IFERROR(INDEX(Region_Map[Region], MATCH(orders[[#This Row],[Customer_Country]], Region_Map[Country], 0)), "Unknown")</f>
        <v>Central Europe</v>
      </c>
      <c r="H1598" t="s">
        <v>6949</v>
      </c>
    </row>
    <row r="1599" spans="1:8">
      <c r="A1599" t="s">
        <v>2509</v>
      </c>
      <c r="B1599" t="s">
        <v>13340</v>
      </c>
      <c r="C1599" s="1">
        <v>45469</v>
      </c>
      <c r="D1599" s="1" t="str">
        <f>PROPER(orders[[#This Row],[order_priority]])</f>
        <v>Same Day</v>
      </c>
      <c r="E1599" t="s">
        <v>13322</v>
      </c>
      <c r="F1599" t="str">
        <f>IFERROR(INDEX(customers[country], MATCH(orders[[#This Row],[customer_id]], customers[customer_id], 0)), "Unmapped")</f>
        <v>Unmapped</v>
      </c>
      <c r="G1599" t="str">
        <f>IFERROR(INDEX(Region_Map[Region], MATCH(orders[[#This Row],[Customer_Country]], Region_Map[Country], 0)), "Unknown")</f>
        <v>Unknown</v>
      </c>
      <c r="H1599" t="s">
        <v>6949</v>
      </c>
    </row>
    <row r="1600" spans="1:8">
      <c r="A1600" t="s">
        <v>2510</v>
      </c>
      <c r="B1600" t="s">
        <v>6949</v>
      </c>
      <c r="C1600" s="1">
        <v>45469</v>
      </c>
      <c r="D1600" s="1" t="str">
        <f>PROPER(orders[[#This Row],[order_priority]])</f>
        <v>Same Day</v>
      </c>
      <c r="E1600" t="s">
        <v>13322</v>
      </c>
      <c r="F1600" t="str">
        <f>IFERROR(INDEX(customers[country], MATCH(orders[[#This Row],[customer_id]], customers[customer_id], 0)), "Unmapped")</f>
        <v>Unmapped</v>
      </c>
      <c r="G1600" t="str">
        <f>IFERROR(INDEX(Region_Map[Region], MATCH(orders[[#This Row],[Customer_Country]], Region_Map[Country], 0)), "Unknown")</f>
        <v>Unknown</v>
      </c>
      <c r="H1600" t="s">
        <v>6949</v>
      </c>
    </row>
    <row r="1601" spans="1:8">
      <c r="A1601" t="s">
        <v>2511</v>
      </c>
      <c r="B1601" t="s">
        <v>380</v>
      </c>
      <c r="C1601" s="1">
        <v>45317</v>
      </c>
      <c r="D1601" s="1" t="str">
        <f>PROPER(orders[[#This Row],[order_priority]])</f>
        <v>Express</v>
      </c>
      <c r="E1601" t="s">
        <v>13318</v>
      </c>
      <c r="F1601" t="str">
        <f>IFERROR(INDEX(customers[country], MATCH(orders[[#This Row],[customer_id]], customers[customer_id], 0)), "Unmapped")</f>
        <v>Sweden</v>
      </c>
      <c r="G1601" t="str">
        <f>IFERROR(INDEX(Region_Map[Region], MATCH(orders[[#This Row],[Customer_Country]], Region_Map[Country], 0)), "Unknown")</f>
        <v>Nordics</v>
      </c>
      <c r="H1601" t="s">
        <v>6949</v>
      </c>
    </row>
    <row r="1602" spans="1:8">
      <c r="A1602" t="s">
        <v>2512</v>
      </c>
      <c r="B1602" t="s">
        <v>249</v>
      </c>
      <c r="C1602" s="1">
        <v>45548</v>
      </c>
      <c r="D1602" s="1" t="str">
        <f>PROPER(orders[[#This Row],[order_priority]])</f>
        <v>Economy</v>
      </c>
      <c r="E1602" t="s">
        <v>13316</v>
      </c>
      <c r="F1602" t="str">
        <f>IFERROR(INDEX(customers[country], MATCH(orders[[#This Row],[customer_id]], customers[customer_id], 0)), "Unmapped")</f>
        <v>Estonia</v>
      </c>
      <c r="G1602" t="str">
        <f>IFERROR(INDEX(Region_Map[Region], MATCH(orders[[#This Row],[Customer_Country]], Region_Map[Country], 0)), "Unknown")</f>
        <v>Baltics</v>
      </c>
      <c r="H1602" t="s">
        <v>6949</v>
      </c>
    </row>
    <row r="1603" spans="1:8">
      <c r="A1603" t="s">
        <v>2513</v>
      </c>
      <c r="B1603" t="s">
        <v>635</v>
      </c>
      <c r="C1603" s="1">
        <v>45053</v>
      </c>
      <c r="D1603" s="1" t="str">
        <f>PROPER(orders[[#This Row],[order_priority]])</f>
        <v>Same Day</v>
      </c>
      <c r="E1603" t="s">
        <v>13324</v>
      </c>
      <c r="F1603" t="str">
        <f>IFERROR(INDEX(customers[country], MATCH(orders[[#This Row],[customer_id]], customers[customer_id], 0)), "Unmapped")</f>
        <v>Latvia</v>
      </c>
      <c r="G1603" t="str">
        <f>IFERROR(INDEX(Region_Map[Region], MATCH(orders[[#This Row],[Customer_Country]], Region_Map[Country], 0)), "Unknown")</f>
        <v>Baltics</v>
      </c>
      <c r="H1603" t="s">
        <v>6949</v>
      </c>
    </row>
    <row r="1604" spans="1:8">
      <c r="A1604" t="s">
        <v>2514</v>
      </c>
      <c r="B1604" t="s">
        <v>309</v>
      </c>
      <c r="C1604" s="1">
        <v>45548</v>
      </c>
      <c r="D1604" s="1" t="str">
        <f>PROPER(orders[[#This Row],[order_priority]])</f>
        <v>Economy</v>
      </c>
      <c r="E1604" t="s">
        <v>13316</v>
      </c>
      <c r="F1604" t="str">
        <f>IFERROR(INDEX(customers[country], MATCH(orders[[#This Row],[customer_id]], customers[customer_id], 0)), "Unmapped")</f>
        <v>Lithuania</v>
      </c>
      <c r="G1604" t="str">
        <f>IFERROR(INDEX(Region_Map[Region], MATCH(orders[[#This Row],[Customer_Country]], Region_Map[Country], 0)), "Unknown")</f>
        <v>Baltics</v>
      </c>
      <c r="H1604" t="s">
        <v>6949</v>
      </c>
    </row>
    <row r="1605" spans="1:8">
      <c r="A1605" t="s">
        <v>2515</v>
      </c>
      <c r="B1605" t="s">
        <v>667</v>
      </c>
      <c r="C1605" s="1">
        <v>45457</v>
      </c>
      <c r="D1605" s="1" t="str">
        <f>PROPER(orders[[#This Row],[order_priority]])</f>
        <v>Same Day</v>
      </c>
      <c r="E1605" t="s">
        <v>13322</v>
      </c>
      <c r="F1605" t="str">
        <f>IFERROR(INDEX(customers[country], MATCH(orders[[#This Row],[customer_id]], customers[customer_id], 0)), "Unmapped")</f>
        <v>Germany</v>
      </c>
      <c r="G1605" t="str">
        <f>IFERROR(INDEX(Region_Map[Region], MATCH(orders[[#This Row],[Customer_Country]], Region_Map[Country], 0)), "Unknown")</f>
        <v>Central Europe</v>
      </c>
      <c r="H1605" t="s">
        <v>6949</v>
      </c>
    </row>
    <row r="1606" spans="1:8">
      <c r="A1606" t="s">
        <v>2516</v>
      </c>
      <c r="B1606" t="s">
        <v>407</v>
      </c>
      <c r="C1606" s="1">
        <v>45577</v>
      </c>
      <c r="D1606" s="1" t="str">
        <f>PROPER(orders[[#This Row],[order_priority]])</f>
        <v>Same Day</v>
      </c>
      <c r="E1606" t="s">
        <v>13322</v>
      </c>
      <c r="F1606" t="str">
        <f>IFERROR(INDEX(customers[country], MATCH(orders[[#This Row],[customer_id]], customers[customer_id], 0)), "Unmapped")</f>
        <v>Poland</v>
      </c>
      <c r="G1606" t="str">
        <f>IFERROR(INDEX(Region_Map[Region], MATCH(orders[[#This Row],[Customer_Country]], Region_Map[Country], 0)), "Unknown")</f>
        <v>Central Europe</v>
      </c>
      <c r="H1606" t="s">
        <v>6949</v>
      </c>
    </row>
    <row r="1607" spans="1:8">
      <c r="A1607" t="s">
        <v>2517</v>
      </c>
      <c r="B1607" t="s">
        <v>6</v>
      </c>
      <c r="C1607" s="1">
        <v>45626</v>
      </c>
      <c r="D1607" s="1" t="str">
        <f>PROPER(orders[[#This Row],[order_priority]])</f>
        <v>Economy</v>
      </c>
      <c r="E1607" t="s">
        <v>13316</v>
      </c>
      <c r="F1607" t="str">
        <f>IFERROR(INDEX(customers[country], MATCH(orders[[#This Row],[customer_id]], customers[customer_id], 0)), "Unmapped")</f>
        <v>Latvia</v>
      </c>
      <c r="G1607" t="str">
        <f>IFERROR(INDEX(Region_Map[Region], MATCH(orders[[#This Row],[Customer_Country]], Region_Map[Country], 0)), "Unknown")</f>
        <v>Baltics</v>
      </c>
      <c r="H1607" t="s">
        <v>6949</v>
      </c>
    </row>
    <row r="1608" spans="1:8">
      <c r="A1608" t="s">
        <v>2518</v>
      </c>
      <c r="B1608" t="s">
        <v>416</v>
      </c>
      <c r="C1608" s="1">
        <v>45155</v>
      </c>
      <c r="D1608" s="1" t="str">
        <f>PROPER(orders[[#This Row],[order_priority]])</f>
        <v>Economy</v>
      </c>
      <c r="E1608" t="s">
        <v>13316</v>
      </c>
      <c r="F1608" t="str">
        <f>IFERROR(INDEX(customers[country], MATCH(orders[[#This Row],[customer_id]], customers[customer_id], 0)), "Unmapped")</f>
        <v>Denmark</v>
      </c>
      <c r="G1608" t="str">
        <f>IFERROR(INDEX(Region_Map[Region], MATCH(orders[[#This Row],[Customer_Country]], Region_Map[Country], 0)), "Unknown")</f>
        <v>Nordics</v>
      </c>
      <c r="H1608" t="s">
        <v>6949</v>
      </c>
    </row>
    <row r="1609" spans="1:8">
      <c r="A1609" t="s">
        <v>2519</v>
      </c>
      <c r="B1609" t="s">
        <v>488</v>
      </c>
      <c r="C1609" s="1">
        <v>44950</v>
      </c>
      <c r="D1609" s="1" t="str">
        <f>PROPER(orders[[#This Row],[order_priority]])</f>
        <v>Same Day</v>
      </c>
      <c r="E1609" t="s">
        <v>13322</v>
      </c>
      <c r="F1609" t="str">
        <f>IFERROR(INDEX(customers[country], MATCH(orders[[#This Row],[customer_id]], customers[customer_id], 0)), "Unmapped")</f>
        <v>Netherlands</v>
      </c>
      <c r="G1609" t="str">
        <f>IFERROR(INDEX(Region_Map[Region], MATCH(orders[[#This Row],[Customer_Country]], Region_Map[Country], 0)), "Unknown")</f>
        <v>Central Europe</v>
      </c>
      <c r="H1609" t="s">
        <v>6949</v>
      </c>
    </row>
    <row r="1610" spans="1:8">
      <c r="A1610" t="s">
        <v>2520</v>
      </c>
      <c r="B1610" t="s">
        <v>169</v>
      </c>
      <c r="C1610" s="1">
        <v>45419</v>
      </c>
      <c r="D1610" s="1" t="str">
        <f>PROPER(orders[[#This Row],[order_priority]])</f>
        <v>Same Day</v>
      </c>
      <c r="E1610" t="s">
        <v>13321</v>
      </c>
      <c r="F1610" t="str">
        <f>IFERROR(INDEX(customers[country], MATCH(orders[[#This Row],[customer_id]], customers[customer_id], 0)), "Unmapped")</f>
        <v>Norway</v>
      </c>
      <c r="G1610" t="str">
        <f>IFERROR(INDEX(Region_Map[Region], MATCH(orders[[#This Row],[Customer_Country]], Region_Map[Country], 0)), "Unknown")</f>
        <v>Nordics</v>
      </c>
      <c r="H1610" t="s">
        <v>6949</v>
      </c>
    </row>
    <row r="1611" spans="1:8">
      <c r="A1611" t="s">
        <v>2521</v>
      </c>
      <c r="B1611" t="s">
        <v>852</v>
      </c>
      <c r="C1611" s="1">
        <v>44946</v>
      </c>
      <c r="D1611" s="1" t="str">
        <f>PROPER(orders[[#This Row],[order_priority]])</f>
        <v>Standard</v>
      </c>
      <c r="E1611" t="s">
        <v>13317</v>
      </c>
      <c r="F1611" t="str">
        <f>IFERROR(INDEX(customers[country], MATCH(orders[[#This Row],[customer_id]], customers[customer_id], 0)), "Unmapped")</f>
        <v>Sweden</v>
      </c>
      <c r="G1611" t="str">
        <f>IFERROR(INDEX(Region_Map[Region], MATCH(orders[[#This Row],[Customer_Country]], Region_Map[Country], 0)), "Unknown")</f>
        <v>Nordics</v>
      </c>
      <c r="H1611" t="s">
        <v>6949</v>
      </c>
    </row>
    <row r="1612" spans="1:8">
      <c r="A1612" t="s">
        <v>2522</v>
      </c>
      <c r="B1612" t="s">
        <v>805</v>
      </c>
      <c r="C1612" s="1">
        <v>45458</v>
      </c>
      <c r="D1612" s="1" t="str">
        <f>PROPER(orders[[#This Row],[order_priority]])</f>
        <v>Standard</v>
      </c>
      <c r="E1612" t="s">
        <v>13317</v>
      </c>
      <c r="F1612" t="str">
        <f>IFERROR(INDEX(customers[country], MATCH(orders[[#This Row],[customer_id]], customers[customer_id], 0)), "Unmapped")</f>
        <v>Estonia</v>
      </c>
      <c r="G1612" t="str">
        <f>IFERROR(INDEX(Region_Map[Region], MATCH(orders[[#This Row],[Customer_Country]], Region_Map[Country], 0)), "Unknown")</f>
        <v>Baltics</v>
      </c>
      <c r="H1612" t="s">
        <v>6949</v>
      </c>
    </row>
    <row r="1613" spans="1:8">
      <c r="A1613" t="s">
        <v>2523</v>
      </c>
      <c r="B1613" t="s">
        <v>617</v>
      </c>
      <c r="C1613" s="1">
        <v>45519</v>
      </c>
      <c r="D1613" s="1" t="str">
        <f>PROPER(orders[[#This Row],[order_priority]])</f>
        <v>Same Day</v>
      </c>
      <c r="E1613" t="s">
        <v>13322</v>
      </c>
      <c r="F1613" t="str">
        <f>IFERROR(INDEX(customers[country], MATCH(orders[[#This Row],[customer_id]], customers[customer_id], 0)), "Unmapped")</f>
        <v>Latvia</v>
      </c>
      <c r="G1613" t="str">
        <f>IFERROR(INDEX(Region_Map[Region], MATCH(orders[[#This Row],[Customer_Country]], Region_Map[Country], 0)), "Unknown")</f>
        <v>Baltics</v>
      </c>
      <c r="H1613" t="s">
        <v>6949</v>
      </c>
    </row>
    <row r="1614" spans="1:8">
      <c r="A1614" t="s">
        <v>2524</v>
      </c>
      <c r="B1614" t="s">
        <v>569</v>
      </c>
      <c r="C1614" s="1">
        <v>44930</v>
      </c>
      <c r="D1614" s="1" t="str">
        <f>PROPER(orders[[#This Row],[order_priority]])</f>
        <v>Economy</v>
      </c>
      <c r="E1614" t="s">
        <v>13316</v>
      </c>
      <c r="F1614" t="str">
        <f>IFERROR(INDEX(customers[country], MATCH(orders[[#This Row],[customer_id]], customers[customer_id], 0)), "Unmapped")</f>
        <v>Estonia</v>
      </c>
      <c r="G1614" t="str">
        <f>IFERROR(INDEX(Region_Map[Region], MATCH(orders[[#This Row],[Customer_Country]], Region_Map[Country], 0)), "Unknown")</f>
        <v>Baltics</v>
      </c>
      <c r="H1614" t="s">
        <v>6949</v>
      </c>
    </row>
    <row r="1615" spans="1:8">
      <c r="A1615" t="s">
        <v>2525</v>
      </c>
      <c r="B1615" t="s">
        <v>755</v>
      </c>
      <c r="C1615" s="1">
        <v>45567</v>
      </c>
      <c r="D1615" s="1" t="str">
        <f>PROPER(orders[[#This Row],[order_priority]])</f>
        <v>Express</v>
      </c>
      <c r="E1615" t="s">
        <v>13318</v>
      </c>
      <c r="F1615" t="str">
        <f>IFERROR(INDEX(customers[country], MATCH(orders[[#This Row],[customer_id]], customers[customer_id], 0)), "Unmapped")</f>
        <v>Denmark</v>
      </c>
      <c r="G1615" t="str">
        <f>IFERROR(INDEX(Region_Map[Region], MATCH(orders[[#This Row],[Customer_Country]], Region_Map[Country], 0)), "Unknown")</f>
        <v>Nordics</v>
      </c>
      <c r="H1615" t="s">
        <v>6949</v>
      </c>
    </row>
    <row r="1616" spans="1:8">
      <c r="A1616" t="s">
        <v>2526</v>
      </c>
      <c r="B1616" t="s">
        <v>178</v>
      </c>
      <c r="C1616" s="1">
        <v>44944</v>
      </c>
      <c r="D1616" s="1" t="str">
        <f>PROPER(orders[[#This Row],[order_priority]])</f>
        <v>Standard</v>
      </c>
      <c r="E1616" t="s">
        <v>13317</v>
      </c>
      <c r="F1616" t="str">
        <f>IFERROR(INDEX(customers[country], MATCH(orders[[#This Row],[customer_id]], customers[customer_id], 0)), "Unmapped")</f>
        <v>Poland</v>
      </c>
      <c r="G1616" t="str">
        <f>IFERROR(INDEX(Region_Map[Region], MATCH(orders[[#This Row],[Customer_Country]], Region_Map[Country], 0)), "Unknown")</f>
        <v>Central Europe</v>
      </c>
      <c r="H1616" t="s">
        <v>6949</v>
      </c>
    </row>
    <row r="1617" spans="1:8">
      <c r="A1617" t="s">
        <v>2527</v>
      </c>
      <c r="B1617" t="s">
        <v>578</v>
      </c>
      <c r="C1617" s="1">
        <v>45001</v>
      </c>
      <c r="D1617" s="1" t="str">
        <f>PROPER(orders[[#This Row],[order_priority]])</f>
        <v>Same Day</v>
      </c>
      <c r="E1617" t="s">
        <v>13321</v>
      </c>
      <c r="F1617" t="str">
        <f>IFERROR(INDEX(customers[country], MATCH(orders[[#This Row],[customer_id]], customers[customer_id], 0)), "Unmapped")</f>
        <v>Norway</v>
      </c>
      <c r="G1617" t="str">
        <f>IFERROR(INDEX(Region_Map[Region], MATCH(orders[[#This Row],[Customer_Country]], Region_Map[Country], 0)), "Unknown")</f>
        <v>Nordics</v>
      </c>
      <c r="H1617" t="s">
        <v>6949</v>
      </c>
    </row>
    <row r="1618" spans="1:8">
      <c r="A1618" t="s">
        <v>2528</v>
      </c>
      <c r="B1618" t="s">
        <v>554</v>
      </c>
      <c r="C1618" s="1">
        <v>45418</v>
      </c>
      <c r="D1618" s="1" t="str">
        <f>PROPER(orders[[#This Row],[order_priority]])</f>
        <v>Standard</v>
      </c>
      <c r="E1618" t="s">
        <v>13317</v>
      </c>
      <c r="F1618" t="str">
        <f>IFERROR(INDEX(customers[country], MATCH(orders[[#This Row],[customer_id]], customers[customer_id], 0)), "Unmapped")</f>
        <v>Germany</v>
      </c>
      <c r="G1618" t="str">
        <f>IFERROR(INDEX(Region_Map[Region], MATCH(orders[[#This Row],[Customer_Country]], Region_Map[Country], 0)), "Unknown")</f>
        <v>Central Europe</v>
      </c>
      <c r="H1618" t="s">
        <v>6949</v>
      </c>
    </row>
    <row r="1619" spans="1:8">
      <c r="A1619" t="s">
        <v>2529</v>
      </c>
      <c r="B1619" t="s">
        <v>416</v>
      </c>
      <c r="C1619" s="1">
        <v>45601</v>
      </c>
      <c r="D1619" s="1" t="str">
        <f>PROPER(orders[[#This Row],[order_priority]])</f>
        <v>Express</v>
      </c>
      <c r="E1619" t="s">
        <v>13318</v>
      </c>
      <c r="F1619" t="str">
        <f>IFERROR(INDEX(customers[country], MATCH(orders[[#This Row],[customer_id]], customers[customer_id], 0)), "Unmapped")</f>
        <v>Denmark</v>
      </c>
      <c r="G1619" t="str">
        <f>IFERROR(INDEX(Region_Map[Region], MATCH(orders[[#This Row],[Customer_Country]], Region_Map[Country], 0)), "Unknown")</f>
        <v>Nordics</v>
      </c>
      <c r="H1619" t="s">
        <v>6949</v>
      </c>
    </row>
    <row r="1620" spans="1:8">
      <c r="A1620" t="s">
        <v>2530</v>
      </c>
      <c r="B1620" t="s">
        <v>34</v>
      </c>
      <c r="C1620" s="1">
        <v>45232</v>
      </c>
      <c r="D1620" s="1" t="str">
        <f>PROPER(orders[[#This Row],[order_priority]])</f>
        <v>Economy</v>
      </c>
      <c r="E1620" t="s">
        <v>13316</v>
      </c>
      <c r="F1620" t="str">
        <f>IFERROR(INDEX(customers[country], MATCH(orders[[#This Row],[customer_id]], customers[customer_id], 0)), "Unmapped")</f>
        <v>Sweden</v>
      </c>
      <c r="G1620" t="str">
        <f>IFERROR(INDEX(Region_Map[Region], MATCH(orders[[#This Row],[Customer_Country]], Region_Map[Country], 0)), "Unknown")</f>
        <v>Nordics</v>
      </c>
      <c r="H1620" t="s">
        <v>6949</v>
      </c>
    </row>
    <row r="1621" spans="1:8">
      <c r="A1621" t="s">
        <v>2531</v>
      </c>
      <c r="B1621" t="s">
        <v>635</v>
      </c>
      <c r="C1621" s="1">
        <v>45600</v>
      </c>
      <c r="D1621" s="1" t="str">
        <f>PROPER(orders[[#This Row],[order_priority]])</f>
        <v>Express</v>
      </c>
      <c r="E1621" t="s">
        <v>13318</v>
      </c>
      <c r="F1621" t="str">
        <f>IFERROR(INDEX(customers[country], MATCH(orders[[#This Row],[customer_id]], customers[customer_id], 0)), "Unmapped")</f>
        <v>Latvia</v>
      </c>
      <c r="G1621" t="str">
        <f>IFERROR(INDEX(Region_Map[Region], MATCH(orders[[#This Row],[Customer_Country]], Region_Map[Country], 0)), "Unknown")</f>
        <v>Baltics</v>
      </c>
      <c r="H1621" t="s">
        <v>6949</v>
      </c>
    </row>
    <row r="1622" spans="1:8">
      <c r="A1622" t="s">
        <v>2532</v>
      </c>
      <c r="B1622" t="s">
        <v>664</v>
      </c>
      <c r="C1622" s="1">
        <v>45277</v>
      </c>
      <c r="D1622" s="1" t="str">
        <f>PROPER(orders[[#This Row],[order_priority]])</f>
        <v>Economy</v>
      </c>
      <c r="E1622" t="s">
        <v>13328</v>
      </c>
      <c r="F1622" t="str">
        <f>IFERROR(INDEX(customers[country], MATCH(orders[[#This Row],[customer_id]], customers[customer_id], 0)), "Unmapped")</f>
        <v>Latvia</v>
      </c>
      <c r="G1622" t="str">
        <f>IFERROR(INDEX(Region_Map[Region], MATCH(orders[[#This Row],[Customer_Country]], Region_Map[Country], 0)), "Unknown")</f>
        <v>Baltics</v>
      </c>
      <c r="H1622" t="s">
        <v>6949</v>
      </c>
    </row>
    <row r="1623" spans="1:8">
      <c r="A1623" t="s">
        <v>2533</v>
      </c>
      <c r="B1623" t="s">
        <v>133</v>
      </c>
      <c r="C1623" s="1">
        <v>45361</v>
      </c>
      <c r="D1623" s="1" t="str">
        <f>PROPER(orders[[#This Row],[order_priority]])</f>
        <v>Express</v>
      </c>
      <c r="E1623" t="s">
        <v>13318</v>
      </c>
      <c r="F1623" t="str">
        <f>IFERROR(INDEX(customers[country], MATCH(orders[[#This Row],[customer_id]], customers[customer_id], 0)), "Unmapped")</f>
        <v>Finland</v>
      </c>
      <c r="G1623" t="str">
        <f>IFERROR(INDEX(Region_Map[Region], MATCH(orders[[#This Row],[Customer_Country]], Region_Map[Country], 0)), "Unknown")</f>
        <v>Nordics</v>
      </c>
      <c r="H1623" t="s">
        <v>6949</v>
      </c>
    </row>
    <row r="1624" spans="1:8">
      <c r="A1624" t="s">
        <v>2534</v>
      </c>
      <c r="B1624" t="s">
        <v>735</v>
      </c>
      <c r="C1624" s="1">
        <v>45212</v>
      </c>
      <c r="D1624" s="1" t="str">
        <f>PROPER(orders[[#This Row],[order_priority]])</f>
        <v>Express</v>
      </c>
      <c r="E1624" t="s">
        <v>13318</v>
      </c>
      <c r="F1624" t="str">
        <f>IFERROR(INDEX(customers[country], MATCH(orders[[#This Row],[customer_id]], customers[customer_id], 0)), "Unmapped")</f>
        <v>Poland</v>
      </c>
      <c r="G1624" t="str">
        <f>IFERROR(INDEX(Region_Map[Region], MATCH(orders[[#This Row],[Customer_Country]], Region_Map[Country], 0)), "Unknown")</f>
        <v>Central Europe</v>
      </c>
      <c r="H1624" t="s">
        <v>6949</v>
      </c>
    </row>
    <row r="1625" spans="1:8">
      <c r="A1625" t="s">
        <v>2535</v>
      </c>
      <c r="B1625" t="s">
        <v>371</v>
      </c>
      <c r="C1625" s="1">
        <v>45320</v>
      </c>
      <c r="D1625" s="1" t="str">
        <f>PROPER(orders[[#This Row],[order_priority]])</f>
        <v>Standard</v>
      </c>
      <c r="E1625" t="s">
        <v>13317</v>
      </c>
      <c r="F1625" t="str">
        <f>IFERROR(INDEX(customers[country], MATCH(orders[[#This Row],[customer_id]], customers[customer_id], 0)), "Unmapped")</f>
        <v>Germany</v>
      </c>
      <c r="G1625" t="str">
        <f>IFERROR(INDEX(Region_Map[Region], MATCH(orders[[#This Row],[Customer_Country]], Region_Map[Country], 0)), "Unknown")</f>
        <v>Central Europe</v>
      </c>
      <c r="H1625" t="s">
        <v>6949</v>
      </c>
    </row>
    <row r="1626" spans="1:8">
      <c r="A1626" t="s">
        <v>2536</v>
      </c>
      <c r="B1626" t="s">
        <v>749</v>
      </c>
      <c r="C1626" s="1">
        <v>45280</v>
      </c>
      <c r="D1626" s="1" t="str">
        <f>PROPER(orders[[#This Row],[order_priority]])</f>
        <v>Express</v>
      </c>
      <c r="E1626" t="s">
        <v>13318</v>
      </c>
      <c r="F1626" t="str">
        <f>IFERROR(INDEX(customers[country], MATCH(orders[[#This Row],[customer_id]], customers[customer_id], 0)), "Unmapped")</f>
        <v>Latvia</v>
      </c>
      <c r="G1626" t="str">
        <f>IFERROR(INDEX(Region_Map[Region], MATCH(orders[[#This Row],[Customer_Country]], Region_Map[Country], 0)), "Unknown")</f>
        <v>Baltics</v>
      </c>
      <c r="H1626" t="s">
        <v>6949</v>
      </c>
    </row>
    <row r="1627" spans="1:8">
      <c r="A1627" t="s">
        <v>2537</v>
      </c>
      <c r="B1627" t="s">
        <v>903</v>
      </c>
      <c r="C1627" s="1">
        <v>45321</v>
      </c>
      <c r="D1627" s="1" t="str">
        <f>PROPER(orders[[#This Row],[order_priority]])</f>
        <v>Economy</v>
      </c>
      <c r="E1627" t="s">
        <v>13316</v>
      </c>
      <c r="F1627" t="str">
        <f>IFERROR(INDEX(customers[country], MATCH(orders[[#This Row],[customer_id]], customers[customer_id], 0)), "Unmapped")</f>
        <v>Norway</v>
      </c>
      <c r="G1627" t="str">
        <f>IFERROR(INDEX(Region_Map[Region], MATCH(orders[[#This Row],[Customer_Country]], Region_Map[Country], 0)), "Unknown")</f>
        <v>Nordics</v>
      </c>
      <c r="H1627" t="s">
        <v>6949</v>
      </c>
    </row>
    <row r="1628" spans="1:8">
      <c r="A1628" t="s">
        <v>2538</v>
      </c>
      <c r="B1628" t="s">
        <v>243</v>
      </c>
      <c r="C1628" s="1">
        <v>45376</v>
      </c>
      <c r="D1628" s="1" t="str">
        <f>PROPER(orders[[#This Row],[order_priority]])</f>
        <v>Standard</v>
      </c>
      <c r="E1628" t="s">
        <v>13317</v>
      </c>
      <c r="F1628" t="str">
        <f>IFERROR(INDEX(customers[country], MATCH(orders[[#This Row],[customer_id]], customers[customer_id], 0)), "Unmapped")</f>
        <v>Netherlands</v>
      </c>
      <c r="G1628" t="str">
        <f>IFERROR(INDEX(Region_Map[Region], MATCH(orders[[#This Row],[Customer_Country]], Region_Map[Country], 0)), "Unknown")</f>
        <v>Central Europe</v>
      </c>
      <c r="H1628" t="s">
        <v>6949</v>
      </c>
    </row>
    <row r="1629" spans="1:8">
      <c r="A1629" t="s">
        <v>2539</v>
      </c>
      <c r="B1629" t="s">
        <v>401</v>
      </c>
      <c r="C1629" s="1">
        <v>45467</v>
      </c>
      <c r="D1629" s="1" t="str">
        <f>PROPER(orders[[#This Row],[order_priority]])</f>
        <v>Economy</v>
      </c>
      <c r="E1629" t="s">
        <v>13316</v>
      </c>
      <c r="F1629" t="str">
        <f>IFERROR(INDEX(customers[country], MATCH(orders[[#This Row],[customer_id]], customers[customer_id], 0)), "Unmapped")</f>
        <v>Latvia</v>
      </c>
      <c r="G1629" t="str">
        <f>IFERROR(INDEX(Region_Map[Region], MATCH(orders[[#This Row],[Customer_Country]], Region_Map[Country], 0)), "Unknown")</f>
        <v>Baltics</v>
      </c>
      <c r="H1629" t="s">
        <v>6949</v>
      </c>
    </row>
    <row r="1630" spans="1:8">
      <c r="A1630" t="s">
        <v>2540</v>
      </c>
      <c r="B1630" t="s">
        <v>644</v>
      </c>
      <c r="C1630" s="1">
        <v>45210</v>
      </c>
      <c r="D1630" s="1" t="str">
        <f>PROPER(orders[[#This Row],[order_priority]])</f>
        <v>Express</v>
      </c>
      <c r="E1630" t="s">
        <v>13318</v>
      </c>
      <c r="F1630" t="str">
        <f>IFERROR(INDEX(customers[country], MATCH(orders[[#This Row],[customer_id]], customers[customer_id], 0)), "Unmapped")</f>
        <v>Germany</v>
      </c>
      <c r="G1630" t="str">
        <f>IFERROR(INDEX(Region_Map[Region], MATCH(orders[[#This Row],[Customer_Country]], Region_Map[Country], 0)), "Unknown")</f>
        <v>Central Europe</v>
      </c>
      <c r="H1630" t="s">
        <v>6949</v>
      </c>
    </row>
    <row r="1631" spans="1:8">
      <c r="A1631" t="s">
        <v>2541</v>
      </c>
      <c r="B1631" t="s">
        <v>891</v>
      </c>
      <c r="C1631" s="1">
        <v>45225</v>
      </c>
      <c r="D1631" s="1" t="str">
        <f>PROPER(orders[[#This Row],[order_priority]])</f>
        <v>Standard</v>
      </c>
      <c r="E1631" t="s">
        <v>13317</v>
      </c>
      <c r="F1631" t="str">
        <f>IFERROR(INDEX(customers[country], MATCH(orders[[#This Row],[customer_id]], customers[customer_id], 0)), "Unmapped")</f>
        <v>Netherlands</v>
      </c>
      <c r="G1631" t="str">
        <f>IFERROR(INDEX(Region_Map[Region], MATCH(orders[[#This Row],[Customer_Country]], Region_Map[Country], 0)), "Unknown")</f>
        <v>Central Europe</v>
      </c>
      <c r="H1631" t="s">
        <v>6949</v>
      </c>
    </row>
    <row r="1632" spans="1:8">
      <c r="A1632" t="s">
        <v>2542</v>
      </c>
      <c r="B1632" t="s">
        <v>545</v>
      </c>
      <c r="C1632" s="1">
        <v>45146</v>
      </c>
      <c r="D1632" s="1" t="str">
        <f>PROPER(orders[[#This Row],[order_priority]])</f>
        <v>Same Day</v>
      </c>
      <c r="E1632" t="s">
        <v>13322</v>
      </c>
      <c r="F1632" t="str">
        <f>IFERROR(INDEX(customers[country], MATCH(orders[[#This Row],[customer_id]], customers[customer_id], 0)), "Unmapped")</f>
        <v>Netherlands</v>
      </c>
      <c r="G1632" t="str">
        <f>IFERROR(INDEX(Region_Map[Region], MATCH(orders[[#This Row],[Customer_Country]], Region_Map[Country], 0)), "Unknown")</f>
        <v>Central Europe</v>
      </c>
      <c r="H1632" t="s">
        <v>6949</v>
      </c>
    </row>
    <row r="1633" spans="1:8">
      <c r="A1633" t="s">
        <v>2543</v>
      </c>
      <c r="B1633" t="s">
        <v>518</v>
      </c>
      <c r="C1633" s="1">
        <v>45317</v>
      </c>
      <c r="D1633" s="1" t="str">
        <f>PROPER(orders[[#This Row],[order_priority]])</f>
        <v>Express</v>
      </c>
      <c r="E1633" t="s">
        <v>13318</v>
      </c>
      <c r="F1633" t="str">
        <f>IFERROR(INDEX(customers[country], MATCH(orders[[#This Row],[customer_id]], customers[customer_id], 0)), "Unmapped")</f>
        <v>Germany</v>
      </c>
      <c r="G1633" t="str">
        <f>IFERROR(INDEX(Region_Map[Region], MATCH(orders[[#This Row],[Customer_Country]], Region_Map[Country], 0)), "Unknown")</f>
        <v>Central Europe</v>
      </c>
      <c r="H1633" t="s">
        <v>6949</v>
      </c>
    </row>
    <row r="1634" spans="1:8">
      <c r="A1634" t="s">
        <v>2544</v>
      </c>
      <c r="B1634" t="s">
        <v>727</v>
      </c>
      <c r="C1634" s="1">
        <v>45378</v>
      </c>
      <c r="D1634" s="1" t="str">
        <f>PROPER(orders[[#This Row],[order_priority]])</f>
        <v>Economy</v>
      </c>
      <c r="E1634" t="s">
        <v>13316</v>
      </c>
      <c r="F1634" t="str">
        <f>IFERROR(INDEX(customers[country], MATCH(orders[[#This Row],[customer_id]], customers[customer_id], 0)), "Unmapped")</f>
        <v>Sweden</v>
      </c>
      <c r="G1634" t="str">
        <f>IFERROR(INDEX(Region_Map[Region], MATCH(orders[[#This Row],[Customer_Country]], Region_Map[Country], 0)), "Unknown")</f>
        <v>Nordics</v>
      </c>
      <c r="H1634" t="s">
        <v>6949</v>
      </c>
    </row>
    <row r="1635" spans="1:8">
      <c r="A1635" t="s">
        <v>2545</v>
      </c>
      <c r="B1635" t="s">
        <v>840</v>
      </c>
      <c r="C1635" s="1">
        <v>45302</v>
      </c>
      <c r="D1635" s="1" t="str">
        <f>PROPER(orders[[#This Row],[order_priority]])</f>
        <v>Same Day</v>
      </c>
      <c r="E1635" t="s">
        <v>13322</v>
      </c>
      <c r="F1635" t="str">
        <f>IFERROR(INDEX(customers[country], MATCH(orders[[#This Row],[customer_id]], customers[customer_id], 0)), "Unmapped")</f>
        <v>Finland</v>
      </c>
      <c r="G1635" t="str">
        <f>IFERROR(INDEX(Region_Map[Region], MATCH(orders[[#This Row],[Customer_Country]], Region_Map[Country], 0)), "Unknown")</f>
        <v>Nordics</v>
      </c>
      <c r="H1635" t="s">
        <v>6949</v>
      </c>
    </row>
    <row r="1636" spans="1:8">
      <c r="A1636" t="s">
        <v>2546</v>
      </c>
      <c r="B1636" t="s">
        <v>727</v>
      </c>
      <c r="C1636" s="1">
        <v>45568</v>
      </c>
      <c r="D1636" s="1" t="str">
        <f>PROPER(orders[[#This Row],[order_priority]])</f>
        <v>Express</v>
      </c>
      <c r="E1636" t="s">
        <v>13326</v>
      </c>
      <c r="F1636" t="str">
        <f>IFERROR(INDEX(customers[country], MATCH(orders[[#This Row],[customer_id]], customers[customer_id], 0)), "Unmapped")</f>
        <v>Sweden</v>
      </c>
      <c r="G1636" t="str">
        <f>IFERROR(INDEX(Region_Map[Region], MATCH(orders[[#This Row],[Customer_Country]], Region_Map[Country], 0)), "Unknown")</f>
        <v>Nordics</v>
      </c>
      <c r="H1636" t="s">
        <v>6949</v>
      </c>
    </row>
    <row r="1637" spans="1:8">
      <c r="A1637" t="s">
        <v>2547</v>
      </c>
      <c r="B1637" t="s">
        <v>341</v>
      </c>
      <c r="C1637" s="1">
        <v>45452</v>
      </c>
      <c r="D1637" s="1" t="str">
        <f>PROPER(orders[[#This Row],[order_priority]])</f>
        <v>Same Day</v>
      </c>
      <c r="E1637" t="s">
        <v>13322</v>
      </c>
      <c r="F1637" t="str">
        <f>IFERROR(INDEX(customers[country], MATCH(orders[[#This Row],[customer_id]], customers[customer_id], 0)), "Unmapped")</f>
        <v>Latvia</v>
      </c>
      <c r="G1637" t="str">
        <f>IFERROR(INDEX(Region_Map[Region], MATCH(orders[[#This Row],[Customer_Country]], Region_Map[Country], 0)), "Unknown")</f>
        <v>Baltics</v>
      </c>
      <c r="H1637" t="s">
        <v>6949</v>
      </c>
    </row>
    <row r="1638" spans="1:8">
      <c r="A1638" t="s">
        <v>2548</v>
      </c>
      <c r="B1638" t="s">
        <v>133</v>
      </c>
      <c r="C1638" s="1">
        <v>45295</v>
      </c>
      <c r="D1638" s="1" t="str">
        <f>PROPER(orders[[#This Row],[order_priority]])</f>
        <v>Standard</v>
      </c>
      <c r="E1638" t="s">
        <v>13323</v>
      </c>
      <c r="F1638" t="str">
        <f>IFERROR(INDEX(customers[country], MATCH(orders[[#This Row],[customer_id]], customers[customer_id], 0)), "Unmapped")</f>
        <v>Finland</v>
      </c>
      <c r="G1638" t="str">
        <f>IFERROR(INDEX(Region_Map[Region], MATCH(orders[[#This Row],[Customer_Country]], Region_Map[Country], 0)), "Unknown")</f>
        <v>Nordics</v>
      </c>
      <c r="H1638" t="s">
        <v>6949</v>
      </c>
    </row>
    <row r="1639" spans="1:8">
      <c r="A1639" t="s">
        <v>2549</v>
      </c>
      <c r="B1639" t="s">
        <v>641</v>
      </c>
      <c r="C1639" s="1">
        <v>45116</v>
      </c>
      <c r="D1639" s="1" t="str">
        <f>PROPER(orders[[#This Row],[order_priority]])</f>
        <v>Standard</v>
      </c>
      <c r="E1639" t="s">
        <v>13317</v>
      </c>
      <c r="F1639" t="str">
        <f>IFERROR(INDEX(customers[country], MATCH(orders[[#This Row],[customer_id]], customers[customer_id], 0)), "Unmapped")</f>
        <v>Poland</v>
      </c>
      <c r="G1639" t="str">
        <f>IFERROR(INDEX(Region_Map[Region], MATCH(orders[[#This Row],[Customer_Country]], Region_Map[Country], 0)), "Unknown")</f>
        <v>Central Europe</v>
      </c>
      <c r="H1639" t="s">
        <v>6949</v>
      </c>
    </row>
    <row r="1640" spans="1:8">
      <c r="A1640" t="s">
        <v>2550</v>
      </c>
      <c r="B1640" t="s">
        <v>746</v>
      </c>
      <c r="C1640" s="1">
        <v>45516</v>
      </c>
      <c r="D1640" s="1" t="str">
        <f>PROPER(orders[[#This Row],[order_priority]])</f>
        <v>Express</v>
      </c>
      <c r="E1640" t="s">
        <v>13318</v>
      </c>
      <c r="F1640" t="str">
        <f>IFERROR(INDEX(customers[country], MATCH(orders[[#This Row],[customer_id]], customers[customer_id], 0)), "Unmapped")</f>
        <v>Poland</v>
      </c>
      <c r="G1640" t="str">
        <f>IFERROR(INDEX(Region_Map[Region], MATCH(orders[[#This Row],[Customer_Country]], Region_Map[Country], 0)), "Unknown")</f>
        <v>Central Europe</v>
      </c>
      <c r="H1640" t="s">
        <v>6949</v>
      </c>
    </row>
    <row r="1641" spans="1:8">
      <c r="A1641" t="s">
        <v>2551</v>
      </c>
      <c r="B1641" t="s">
        <v>738</v>
      </c>
      <c r="C1641" s="1">
        <v>45268</v>
      </c>
      <c r="D1641" s="1" t="str">
        <f>PROPER(orders[[#This Row],[order_priority]])</f>
        <v>Express</v>
      </c>
      <c r="E1641" t="s">
        <v>13318</v>
      </c>
      <c r="F1641" t="str">
        <f>IFERROR(INDEX(customers[country], MATCH(orders[[#This Row],[customer_id]], customers[customer_id], 0)), "Unmapped")</f>
        <v>Finland</v>
      </c>
      <c r="G1641" t="str">
        <f>IFERROR(INDEX(Region_Map[Region], MATCH(orders[[#This Row],[Customer_Country]], Region_Map[Country], 0)), "Unknown")</f>
        <v>Nordics</v>
      </c>
      <c r="H1641" t="s">
        <v>6949</v>
      </c>
    </row>
    <row r="1642" spans="1:8">
      <c r="A1642" t="s">
        <v>2552</v>
      </c>
      <c r="B1642" t="s">
        <v>30</v>
      </c>
      <c r="C1642" s="1">
        <v>45617</v>
      </c>
      <c r="D1642" s="1" t="str">
        <f>PROPER(orders[[#This Row],[order_priority]])</f>
        <v>Economy</v>
      </c>
      <c r="E1642" t="s">
        <v>13316</v>
      </c>
      <c r="F1642" t="str">
        <f>IFERROR(INDEX(customers[country], MATCH(orders[[#This Row],[customer_id]], customers[customer_id], 0)), "Unmapped")</f>
        <v>Netherlands</v>
      </c>
      <c r="G1642" t="str">
        <f>IFERROR(INDEX(Region_Map[Region], MATCH(orders[[#This Row],[Customer_Country]], Region_Map[Country], 0)), "Unknown")</f>
        <v>Central Europe</v>
      </c>
      <c r="H1642" t="s">
        <v>6949</v>
      </c>
    </row>
    <row r="1643" spans="1:8">
      <c r="A1643" t="s">
        <v>2553</v>
      </c>
      <c r="B1643" t="s">
        <v>796</v>
      </c>
      <c r="C1643" s="1">
        <v>44989</v>
      </c>
      <c r="D1643" s="1" t="str">
        <f>PROPER(orders[[#This Row],[order_priority]])</f>
        <v>Standard</v>
      </c>
      <c r="E1643" t="s">
        <v>13317</v>
      </c>
      <c r="F1643" t="str">
        <f>IFERROR(INDEX(customers[country], MATCH(orders[[#This Row],[customer_id]], customers[customer_id], 0)), "Unmapped")</f>
        <v>Sweden</v>
      </c>
      <c r="G1643" t="str">
        <f>IFERROR(INDEX(Region_Map[Region], MATCH(orders[[#This Row],[Customer_Country]], Region_Map[Country], 0)), "Unknown")</f>
        <v>Nordics</v>
      </c>
      <c r="H1643" t="s">
        <v>6949</v>
      </c>
    </row>
    <row r="1644" spans="1:8">
      <c r="A1644" t="s">
        <v>2554</v>
      </c>
      <c r="B1644" t="s">
        <v>775</v>
      </c>
      <c r="C1644" s="1">
        <v>45289</v>
      </c>
      <c r="D1644" s="1" t="str">
        <f>PROPER(orders[[#This Row],[order_priority]])</f>
        <v>Same Day</v>
      </c>
      <c r="E1644" t="s">
        <v>13322</v>
      </c>
      <c r="F1644" t="str">
        <f>IFERROR(INDEX(customers[country], MATCH(orders[[#This Row],[customer_id]], customers[customer_id], 0)), "Unmapped")</f>
        <v>Sweden</v>
      </c>
      <c r="G1644" t="str">
        <f>IFERROR(INDEX(Region_Map[Region], MATCH(orders[[#This Row],[Customer_Country]], Region_Map[Country], 0)), "Unknown")</f>
        <v>Nordics</v>
      </c>
      <c r="H1644" t="s">
        <v>6949</v>
      </c>
    </row>
    <row r="1645" spans="1:8">
      <c r="A1645" t="s">
        <v>2555</v>
      </c>
      <c r="B1645" t="s">
        <v>51</v>
      </c>
      <c r="C1645" s="1">
        <v>45187</v>
      </c>
      <c r="D1645" s="1" t="str">
        <f>PROPER(orders[[#This Row],[order_priority]])</f>
        <v>Economy</v>
      </c>
      <c r="E1645" t="s">
        <v>13316</v>
      </c>
      <c r="F1645" t="str">
        <f>IFERROR(INDEX(customers[country], MATCH(orders[[#This Row],[customer_id]], customers[customer_id], 0)), "Unmapped")</f>
        <v>Germany</v>
      </c>
      <c r="G1645" t="str">
        <f>IFERROR(INDEX(Region_Map[Region], MATCH(orders[[#This Row],[Customer_Country]], Region_Map[Country], 0)), "Unknown")</f>
        <v>Central Europe</v>
      </c>
      <c r="H1645" t="s">
        <v>6949</v>
      </c>
    </row>
    <row r="1646" spans="1:8">
      <c r="A1646" t="s">
        <v>2556</v>
      </c>
      <c r="B1646" t="s">
        <v>145</v>
      </c>
      <c r="C1646" s="1">
        <v>45047</v>
      </c>
      <c r="D1646" s="1" t="str">
        <f>PROPER(orders[[#This Row],[order_priority]])</f>
        <v>Standard</v>
      </c>
      <c r="E1646" t="s">
        <v>13323</v>
      </c>
      <c r="F1646" t="str">
        <f>IFERROR(INDEX(customers[country], MATCH(orders[[#This Row],[customer_id]], customers[customer_id], 0)), "Unmapped")</f>
        <v>Latvia</v>
      </c>
      <c r="G1646" t="str">
        <f>IFERROR(INDEX(Region_Map[Region], MATCH(orders[[#This Row],[Customer_Country]], Region_Map[Country], 0)), "Unknown")</f>
        <v>Baltics</v>
      </c>
      <c r="H1646" t="s">
        <v>6949</v>
      </c>
    </row>
    <row r="1647" spans="1:8">
      <c r="A1647" t="s">
        <v>2557</v>
      </c>
      <c r="B1647" t="s">
        <v>521</v>
      </c>
      <c r="C1647" s="1">
        <v>45335</v>
      </c>
      <c r="D1647" s="1" t="str">
        <f>PROPER(orders[[#This Row],[order_priority]])</f>
        <v>Same Day</v>
      </c>
      <c r="E1647" t="s">
        <v>13322</v>
      </c>
      <c r="F1647" t="str">
        <f>IFERROR(INDEX(customers[country], MATCH(orders[[#This Row],[customer_id]], customers[customer_id], 0)), "Unmapped")</f>
        <v>Norway</v>
      </c>
      <c r="G1647" t="str">
        <f>IFERROR(INDEX(Region_Map[Region], MATCH(orders[[#This Row],[Customer_Country]], Region_Map[Country], 0)), "Unknown")</f>
        <v>Nordics</v>
      </c>
      <c r="H1647" t="s">
        <v>6949</v>
      </c>
    </row>
    <row r="1648" spans="1:8">
      <c r="A1648" t="s">
        <v>2558</v>
      </c>
      <c r="B1648" t="s">
        <v>581</v>
      </c>
      <c r="C1648" s="1">
        <v>45112</v>
      </c>
      <c r="D1648" s="1" t="str">
        <f>PROPER(orders[[#This Row],[order_priority]])</f>
        <v>Same Day</v>
      </c>
      <c r="E1648" t="s">
        <v>13322</v>
      </c>
      <c r="F1648" t="str">
        <f>IFERROR(INDEX(customers[country], MATCH(orders[[#This Row],[customer_id]], customers[customer_id], 0)), "Unmapped")</f>
        <v>Norway</v>
      </c>
      <c r="G1648" t="str">
        <f>IFERROR(INDEX(Region_Map[Region], MATCH(orders[[#This Row],[Customer_Country]], Region_Map[Country], 0)), "Unknown")</f>
        <v>Nordics</v>
      </c>
      <c r="H1648" t="s">
        <v>6949</v>
      </c>
    </row>
    <row r="1649" spans="1:8">
      <c r="A1649" t="s">
        <v>2559</v>
      </c>
      <c r="B1649" t="s">
        <v>181</v>
      </c>
      <c r="C1649" s="1">
        <v>45110</v>
      </c>
      <c r="D1649" s="1" t="str">
        <f>PROPER(orders[[#This Row],[order_priority]])</f>
        <v>Same Day</v>
      </c>
      <c r="E1649" t="s">
        <v>13322</v>
      </c>
      <c r="F1649" t="str">
        <f>IFERROR(INDEX(customers[country], MATCH(orders[[#This Row],[customer_id]], customers[customer_id], 0)), "Unmapped")</f>
        <v>Netherlands</v>
      </c>
      <c r="G1649" t="str">
        <f>IFERROR(INDEX(Region_Map[Region], MATCH(orders[[#This Row],[Customer_Country]], Region_Map[Country], 0)), "Unknown")</f>
        <v>Central Europe</v>
      </c>
      <c r="H1649" t="s">
        <v>6949</v>
      </c>
    </row>
    <row r="1650" spans="1:8">
      <c r="A1650" t="s">
        <v>2560</v>
      </c>
      <c r="B1650" t="s">
        <v>73</v>
      </c>
      <c r="C1650" s="1">
        <v>45486</v>
      </c>
      <c r="D1650" s="1" t="str">
        <f>PROPER(orders[[#This Row],[order_priority]])</f>
        <v>Same Day</v>
      </c>
      <c r="E1650" t="s">
        <v>13322</v>
      </c>
      <c r="F1650" t="str">
        <f>IFERROR(INDEX(customers[country], MATCH(orders[[#This Row],[customer_id]], customers[customer_id], 0)), "Unmapped")</f>
        <v>Norway</v>
      </c>
      <c r="G1650" t="str">
        <f>IFERROR(INDEX(Region_Map[Region], MATCH(orders[[#This Row],[Customer_Country]], Region_Map[Country], 0)), "Unknown")</f>
        <v>Nordics</v>
      </c>
      <c r="H1650" t="s">
        <v>6949</v>
      </c>
    </row>
    <row r="1651" spans="1:8">
      <c r="A1651" t="s">
        <v>2561</v>
      </c>
      <c r="B1651" t="s">
        <v>192</v>
      </c>
      <c r="C1651" s="1">
        <v>45521</v>
      </c>
      <c r="D1651" s="1" t="str">
        <f>PROPER(orders[[#This Row],[order_priority]])</f>
        <v>Standard</v>
      </c>
      <c r="E1651" t="s">
        <v>13317</v>
      </c>
      <c r="F1651" t="str">
        <f>IFERROR(INDEX(customers[country], MATCH(orders[[#This Row],[customer_id]], customers[customer_id], 0)), "Unmapped")</f>
        <v>Estonia</v>
      </c>
      <c r="G1651" t="str">
        <f>IFERROR(INDEX(Region_Map[Region], MATCH(orders[[#This Row],[Customer_Country]], Region_Map[Country], 0)), "Unknown")</f>
        <v>Baltics</v>
      </c>
      <c r="H1651" t="s">
        <v>6949</v>
      </c>
    </row>
    <row r="1652" spans="1:8">
      <c r="A1652" t="s">
        <v>2562</v>
      </c>
      <c r="B1652" t="s">
        <v>231</v>
      </c>
      <c r="C1652" s="1">
        <v>45580</v>
      </c>
      <c r="D1652" s="1" t="str">
        <f>PROPER(orders[[#This Row],[order_priority]])</f>
        <v>Economy</v>
      </c>
      <c r="E1652" t="s">
        <v>13316</v>
      </c>
      <c r="F1652" t="str">
        <f>IFERROR(INDEX(customers[country], MATCH(orders[[#This Row],[customer_id]], customers[customer_id], 0)), "Unmapped")</f>
        <v>Lithuania</v>
      </c>
      <c r="G1652" t="str">
        <f>IFERROR(INDEX(Region_Map[Region], MATCH(orders[[#This Row],[Customer_Country]], Region_Map[Country], 0)), "Unknown")</f>
        <v>Baltics</v>
      </c>
      <c r="H1652" t="s">
        <v>6949</v>
      </c>
    </row>
    <row r="1653" spans="1:8">
      <c r="A1653" t="s">
        <v>2563</v>
      </c>
      <c r="B1653" t="s">
        <v>317</v>
      </c>
      <c r="C1653" s="1">
        <v>45463</v>
      </c>
      <c r="D1653" s="1" t="str">
        <f>PROPER(orders[[#This Row],[order_priority]])</f>
        <v>Express</v>
      </c>
      <c r="E1653" t="s">
        <v>13318</v>
      </c>
      <c r="F1653" t="str">
        <f>IFERROR(INDEX(customers[country], MATCH(orders[[#This Row],[customer_id]], customers[customer_id], 0)), "Unmapped")</f>
        <v>Sweden</v>
      </c>
      <c r="G1653" t="str">
        <f>IFERROR(INDEX(Region_Map[Region], MATCH(orders[[#This Row],[Customer_Country]], Region_Map[Country], 0)), "Unknown")</f>
        <v>Nordics</v>
      </c>
      <c r="H1653" t="s">
        <v>6949</v>
      </c>
    </row>
    <row r="1654" spans="1:8">
      <c r="A1654" t="s">
        <v>2564</v>
      </c>
      <c r="B1654" t="s">
        <v>181</v>
      </c>
      <c r="C1654" s="1">
        <v>44955</v>
      </c>
      <c r="D1654" s="1" t="str">
        <f>PROPER(orders[[#This Row],[order_priority]])</f>
        <v>Standard</v>
      </c>
      <c r="E1654" t="s">
        <v>13319</v>
      </c>
      <c r="F1654" t="str">
        <f>IFERROR(INDEX(customers[country], MATCH(orders[[#This Row],[customer_id]], customers[customer_id], 0)), "Unmapped")</f>
        <v>Netherlands</v>
      </c>
      <c r="G1654" t="str">
        <f>IFERROR(INDEX(Region_Map[Region], MATCH(orders[[#This Row],[Customer_Country]], Region_Map[Country], 0)), "Unknown")</f>
        <v>Central Europe</v>
      </c>
      <c r="H1654" t="s">
        <v>6949</v>
      </c>
    </row>
    <row r="1655" spans="1:8">
      <c r="A1655" t="s">
        <v>2565</v>
      </c>
      <c r="B1655" t="s">
        <v>590</v>
      </c>
      <c r="C1655" s="1">
        <v>44940</v>
      </c>
      <c r="D1655" s="1" t="str">
        <f>PROPER(orders[[#This Row],[order_priority]])</f>
        <v>Same Day</v>
      </c>
      <c r="E1655" t="s">
        <v>13322</v>
      </c>
      <c r="F1655" t="str">
        <f>IFERROR(INDEX(customers[country], MATCH(orders[[#This Row],[customer_id]], customers[customer_id], 0)), "Unmapped")</f>
        <v>Finland</v>
      </c>
      <c r="G1655" t="str">
        <f>IFERROR(INDEX(Region_Map[Region], MATCH(orders[[#This Row],[Customer_Country]], Region_Map[Country], 0)), "Unknown")</f>
        <v>Nordics</v>
      </c>
      <c r="H1655" t="s">
        <v>6949</v>
      </c>
    </row>
    <row r="1656" spans="1:8">
      <c r="A1656" t="s">
        <v>2566</v>
      </c>
      <c r="B1656" t="s">
        <v>569</v>
      </c>
      <c r="C1656" s="1">
        <v>44970</v>
      </c>
      <c r="D1656" s="1" t="str">
        <f>PROPER(orders[[#This Row],[order_priority]])</f>
        <v>Same Day</v>
      </c>
      <c r="E1656" t="s">
        <v>13322</v>
      </c>
      <c r="F1656" t="str">
        <f>IFERROR(INDEX(customers[country], MATCH(orders[[#This Row],[customer_id]], customers[customer_id], 0)), "Unmapped")</f>
        <v>Estonia</v>
      </c>
      <c r="G1656" t="str">
        <f>IFERROR(INDEX(Region_Map[Region], MATCH(orders[[#This Row],[Customer_Country]], Region_Map[Country], 0)), "Unknown")</f>
        <v>Baltics</v>
      </c>
      <c r="H1656" t="s">
        <v>6949</v>
      </c>
    </row>
    <row r="1657" spans="1:8">
      <c r="A1657" t="s">
        <v>2567</v>
      </c>
      <c r="B1657" t="s">
        <v>13341</v>
      </c>
      <c r="C1657" s="1">
        <v>45355</v>
      </c>
      <c r="D1657" s="1" t="str">
        <f>PROPER(orders[[#This Row],[order_priority]])</f>
        <v>Express</v>
      </c>
      <c r="E1657" t="s">
        <v>13318</v>
      </c>
      <c r="F1657" t="str">
        <f>IFERROR(INDEX(customers[country], MATCH(orders[[#This Row],[customer_id]], customers[customer_id], 0)), "Unmapped")</f>
        <v>Unmapped</v>
      </c>
      <c r="G1657" t="str">
        <f>IFERROR(INDEX(Region_Map[Region], MATCH(orders[[#This Row],[Customer_Country]], Region_Map[Country], 0)), "Unknown")</f>
        <v>Unknown</v>
      </c>
      <c r="H1657" t="s">
        <v>6949</v>
      </c>
    </row>
    <row r="1658" spans="1:8">
      <c r="A1658" t="s">
        <v>2568</v>
      </c>
      <c r="B1658" t="s">
        <v>506</v>
      </c>
      <c r="C1658" s="1">
        <v>45518</v>
      </c>
      <c r="D1658" s="1" t="str">
        <f>PROPER(orders[[#This Row],[order_priority]])</f>
        <v>Economy</v>
      </c>
      <c r="E1658" t="s">
        <v>13316</v>
      </c>
      <c r="F1658" t="str">
        <f>IFERROR(INDEX(customers[country], MATCH(orders[[#This Row],[customer_id]], customers[customer_id], 0)), "Unmapped")</f>
        <v>Poland</v>
      </c>
      <c r="G1658" t="str">
        <f>IFERROR(INDEX(Region_Map[Region], MATCH(orders[[#This Row],[Customer_Country]], Region_Map[Country], 0)), "Unknown")</f>
        <v>Central Europe</v>
      </c>
      <c r="H1658" t="s">
        <v>6949</v>
      </c>
    </row>
    <row r="1659" spans="1:8">
      <c r="A1659" t="s">
        <v>2569</v>
      </c>
      <c r="B1659" t="s">
        <v>6949</v>
      </c>
      <c r="C1659" s="1">
        <v>45032</v>
      </c>
      <c r="D1659" s="1" t="str">
        <f>PROPER(orders[[#This Row],[order_priority]])</f>
        <v>Same Day</v>
      </c>
      <c r="E1659" t="s">
        <v>13322</v>
      </c>
      <c r="F1659" t="str">
        <f>IFERROR(INDEX(customers[country], MATCH(orders[[#This Row],[customer_id]], customers[customer_id], 0)), "Unmapped")</f>
        <v>Unmapped</v>
      </c>
      <c r="G1659" t="str">
        <f>IFERROR(INDEX(Region_Map[Region], MATCH(orders[[#This Row],[Customer_Country]], Region_Map[Country], 0)), "Unknown")</f>
        <v>Unknown</v>
      </c>
      <c r="H1659" t="s">
        <v>6949</v>
      </c>
    </row>
    <row r="1660" spans="1:8">
      <c r="A1660" t="s">
        <v>2570</v>
      </c>
      <c r="B1660" t="s">
        <v>377</v>
      </c>
      <c r="C1660" s="1">
        <v>45071</v>
      </c>
      <c r="D1660" s="1" t="str">
        <f>PROPER(orders[[#This Row],[order_priority]])</f>
        <v>Economy</v>
      </c>
      <c r="E1660" t="s">
        <v>13316</v>
      </c>
      <c r="F1660" t="str">
        <f>IFERROR(INDEX(customers[country], MATCH(orders[[#This Row],[customer_id]], customers[customer_id], 0)), "Unmapped")</f>
        <v>Denmark</v>
      </c>
      <c r="G1660" t="str">
        <f>IFERROR(INDEX(Region_Map[Region], MATCH(orders[[#This Row],[Customer_Country]], Region_Map[Country], 0)), "Unknown")</f>
        <v>Nordics</v>
      </c>
      <c r="H1660" t="s">
        <v>6949</v>
      </c>
    </row>
    <row r="1661" spans="1:8">
      <c r="A1661" t="s">
        <v>2571</v>
      </c>
      <c r="B1661" t="s">
        <v>67</v>
      </c>
      <c r="C1661" s="1">
        <v>44943</v>
      </c>
      <c r="D1661" s="1" t="str">
        <f>PROPER(orders[[#This Row],[order_priority]])</f>
        <v>Same Day</v>
      </c>
      <c r="E1661" t="s">
        <v>13322</v>
      </c>
      <c r="F1661" t="str">
        <f>IFERROR(INDEX(customers[country], MATCH(orders[[#This Row],[customer_id]], customers[customer_id], 0)), "Unmapped")</f>
        <v>Estonia</v>
      </c>
      <c r="G1661" t="str">
        <f>IFERROR(INDEX(Region_Map[Region], MATCH(orders[[#This Row],[Customer_Country]], Region_Map[Country], 0)), "Unknown")</f>
        <v>Baltics</v>
      </c>
      <c r="H1661" t="s">
        <v>6949</v>
      </c>
    </row>
    <row r="1662" spans="1:8">
      <c r="A1662" t="s">
        <v>2572</v>
      </c>
      <c r="B1662" t="s">
        <v>87</v>
      </c>
      <c r="C1662" s="1">
        <v>45516</v>
      </c>
      <c r="D1662" s="1" t="str">
        <f>PROPER(orders[[#This Row],[order_priority]])</f>
        <v>Express</v>
      </c>
      <c r="E1662" t="s">
        <v>13318</v>
      </c>
      <c r="F1662" t="str">
        <f>IFERROR(INDEX(customers[country], MATCH(orders[[#This Row],[customer_id]], customers[customer_id], 0)), "Unmapped")</f>
        <v>Latvia</v>
      </c>
      <c r="G1662" t="str">
        <f>IFERROR(INDEX(Region_Map[Region], MATCH(orders[[#This Row],[Customer_Country]], Region_Map[Country], 0)), "Unknown")</f>
        <v>Baltics</v>
      </c>
      <c r="H1662" t="s">
        <v>6949</v>
      </c>
    </row>
    <row r="1663" spans="1:8">
      <c r="A1663" t="s">
        <v>2573</v>
      </c>
      <c r="B1663" t="s">
        <v>512</v>
      </c>
      <c r="C1663" s="1">
        <v>45072</v>
      </c>
      <c r="D1663" s="1" t="str">
        <f>PROPER(orders[[#This Row],[order_priority]])</f>
        <v>Economy</v>
      </c>
      <c r="E1663" t="s">
        <v>13316</v>
      </c>
      <c r="F1663" t="str">
        <f>IFERROR(INDEX(customers[country], MATCH(orders[[#This Row],[customer_id]], customers[customer_id], 0)), "Unmapped")</f>
        <v>Poland</v>
      </c>
      <c r="G1663" t="str">
        <f>IFERROR(INDEX(Region_Map[Region], MATCH(orders[[#This Row],[Customer_Country]], Region_Map[Country], 0)), "Unknown")</f>
        <v>Central Europe</v>
      </c>
      <c r="H1663" t="s">
        <v>6949</v>
      </c>
    </row>
    <row r="1664" spans="1:8">
      <c r="A1664" t="s">
        <v>2574</v>
      </c>
      <c r="B1664" t="s">
        <v>121</v>
      </c>
      <c r="C1664" s="1">
        <v>45022</v>
      </c>
      <c r="D1664" s="1" t="str">
        <f>PROPER(orders[[#This Row],[order_priority]])</f>
        <v>Express</v>
      </c>
      <c r="E1664" t="s">
        <v>13318</v>
      </c>
      <c r="F1664" t="str">
        <f>IFERROR(INDEX(customers[country], MATCH(orders[[#This Row],[customer_id]], customers[customer_id], 0)), "Unmapped")</f>
        <v>Estonia</v>
      </c>
      <c r="G1664" t="str">
        <f>IFERROR(INDEX(Region_Map[Region], MATCH(orders[[#This Row],[Customer_Country]], Region_Map[Country], 0)), "Unknown")</f>
        <v>Baltics</v>
      </c>
      <c r="H1664" t="s">
        <v>6949</v>
      </c>
    </row>
    <row r="1665" spans="1:8">
      <c r="A1665" t="s">
        <v>2575</v>
      </c>
      <c r="B1665" t="s">
        <v>231</v>
      </c>
      <c r="C1665" s="1">
        <v>45503</v>
      </c>
      <c r="D1665" s="1" t="str">
        <f>PROPER(orders[[#This Row],[order_priority]])</f>
        <v>Economy</v>
      </c>
      <c r="E1665" t="s">
        <v>13316</v>
      </c>
      <c r="F1665" t="str">
        <f>IFERROR(INDEX(customers[country], MATCH(orders[[#This Row],[customer_id]], customers[customer_id], 0)), "Unmapped")</f>
        <v>Lithuania</v>
      </c>
      <c r="G1665" t="str">
        <f>IFERROR(INDEX(Region_Map[Region], MATCH(orders[[#This Row],[Customer_Country]], Region_Map[Country], 0)), "Unknown")</f>
        <v>Baltics</v>
      </c>
      <c r="H1665" t="s">
        <v>6949</v>
      </c>
    </row>
    <row r="1666" spans="1:8">
      <c r="A1666" t="s">
        <v>2576</v>
      </c>
      <c r="B1666" t="s">
        <v>805</v>
      </c>
      <c r="C1666" s="1">
        <v>45262</v>
      </c>
      <c r="D1666" s="1" t="str">
        <f>PROPER(orders[[#This Row],[order_priority]])</f>
        <v>Express</v>
      </c>
      <c r="E1666" t="s">
        <v>13326</v>
      </c>
      <c r="F1666" t="str">
        <f>IFERROR(INDEX(customers[country], MATCH(orders[[#This Row],[customer_id]], customers[customer_id], 0)), "Unmapped")</f>
        <v>Estonia</v>
      </c>
      <c r="G1666" t="str">
        <f>IFERROR(INDEX(Region_Map[Region], MATCH(orders[[#This Row],[Customer_Country]], Region_Map[Country], 0)), "Unknown")</f>
        <v>Baltics</v>
      </c>
      <c r="H1666" t="s">
        <v>6949</v>
      </c>
    </row>
    <row r="1667" spans="1:8">
      <c r="A1667" t="s">
        <v>2577</v>
      </c>
      <c r="B1667" t="s">
        <v>635</v>
      </c>
      <c r="C1667" s="1">
        <v>45281</v>
      </c>
      <c r="D1667" s="1" t="str">
        <f>PROPER(orders[[#This Row],[order_priority]])</f>
        <v>Same Day</v>
      </c>
      <c r="E1667" t="s">
        <v>13322</v>
      </c>
      <c r="F1667" t="str">
        <f>IFERROR(INDEX(customers[country], MATCH(orders[[#This Row],[customer_id]], customers[customer_id], 0)), "Unmapped")</f>
        <v>Latvia</v>
      </c>
      <c r="G1667" t="str">
        <f>IFERROR(INDEX(Region_Map[Region], MATCH(orders[[#This Row],[Customer_Country]], Region_Map[Country], 0)), "Unknown")</f>
        <v>Baltics</v>
      </c>
      <c r="H1667" t="s">
        <v>6949</v>
      </c>
    </row>
    <row r="1668" spans="1:8">
      <c r="A1668" t="s">
        <v>2578</v>
      </c>
      <c r="B1668" t="s">
        <v>512</v>
      </c>
      <c r="C1668" s="1">
        <v>45600</v>
      </c>
      <c r="D1668" s="1" t="str">
        <f>PROPER(orders[[#This Row],[order_priority]])</f>
        <v>Economy</v>
      </c>
      <c r="E1668" t="s">
        <v>13325</v>
      </c>
      <c r="F1668" t="str">
        <f>IFERROR(INDEX(customers[country], MATCH(orders[[#This Row],[customer_id]], customers[customer_id], 0)), "Unmapped")</f>
        <v>Poland</v>
      </c>
      <c r="G1668" t="str">
        <f>IFERROR(INDEX(Region_Map[Region], MATCH(orders[[#This Row],[Customer_Country]], Region_Map[Country], 0)), "Unknown")</f>
        <v>Central Europe</v>
      </c>
      <c r="H1668" t="s">
        <v>6949</v>
      </c>
    </row>
    <row r="1669" spans="1:8">
      <c r="A1669" t="s">
        <v>2579</v>
      </c>
      <c r="B1669" t="s">
        <v>398</v>
      </c>
      <c r="C1669" s="1">
        <v>45458</v>
      </c>
      <c r="D1669" s="1" t="str">
        <f>PROPER(orders[[#This Row],[order_priority]])</f>
        <v>Standard</v>
      </c>
      <c r="E1669" t="s">
        <v>13319</v>
      </c>
      <c r="F1669" t="str">
        <f>IFERROR(INDEX(customers[country], MATCH(orders[[#This Row],[customer_id]], customers[customer_id], 0)), "Unmapped")</f>
        <v>Sweden</v>
      </c>
      <c r="G1669" t="str">
        <f>IFERROR(INDEX(Region_Map[Region], MATCH(orders[[#This Row],[Customer_Country]], Region_Map[Country], 0)), "Unknown")</f>
        <v>Nordics</v>
      </c>
      <c r="H1669" t="s">
        <v>6949</v>
      </c>
    </row>
    <row r="1670" spans="1:8">
      <c r="A1670" t="s">
        <v>2580</v>
      </c>
      <c r="B1670" t="s">
        <v>55</v>
      </c>
      <c r="C1670" s="1">
        <v>44988</v>
      </c>
      <c r="D1670" s="1" t="str">
        <f>PROPER(orders[[#This Row],[order_priority]])</f>
        <v>Economy</v>
      </c>
      <c r="E1670" t="s">
        <v>13316</v>
      </c>
      <c r="F1670" t="str">
        <f>IFERROR(INDEX(customers[country], MATCH(orders[[#This Row],[customer_id]], customers[customer_id], 0)), "Unmapped")</f>
        <v>Netherlands</v>
      </c>
      <c r="G1670" t="str">
        <f>IFERROR(INDEX(Region_Map[Region], MATCH(orders[[#This Row],[Customer_Country]], Region_Map[Country], 0)), "Unknown")</f>
        <v>Central Europe</v>
      </c>
      <c r="H1670" t="s">
        <v>6949</v>
      </c>
    </row>
    <row r="1671" spans="1:8">
      <c r="A1671" t="s">
        <v>2581</v>
      </c>
      <c r="B1671" t="s">
        <v>724</v>
      </c>
      <c r="C1671" s="1">
        <v>45408</v>
      </c>
      <c r="D1671" s="1" t="str">
        <f>PROPER(orders[[#This Row],[order_priority]])</f>
        <v>Express</v>
      </c>
      <c r="E1671" t="s">
        <v>13318</v>
      </c>
      <c r="F1671" t="str">
        <f>IFERROR(INDEX(customers[country], MATCH(orders[[#This Row],[customer_id]], customers[customer_id], 0)), "Unmapped")</f>
        <v>Denmark</v>
      </c>
      <c r="G1671" t="str">
        <f>IFERROR(INDEX(Region_Map[Region], MATCH(orders[[#This Row],[Customer_Country]], Region_Map[Country], 0)), "Unknown")</f>
        <v>Nordics</v>
      </c>
      <c r="H1671" t="s">
        <v>6949</v>
      </c>
    </row>
    <row r="1672" spans="1:8">
      <c r="A1672" t="s">
        <v>2582</v>
      </c>
      <c r="B1672" t="s">
        <v>843</v>
      </c>
      <c r="C1672" s="1">
        <v>45342</v>
      </c>
      <c r="D1672" s="1" t="str">
        <f>PROPER(orders[[#This Row],[order_priority]])</f>
        <v>Same Day</v>
      </c>
      <c r="E1672" t="s">
        <v>13322</v>
      </c>
      <c r="F1672" t="str">
        <f>IFERROR(INDEX(customers[country], MATCH(orders[[#This Row],[customer_id]], customers[customer_id], 0)), "Unmapped")</f>
        <v>Netherlands</v>
      </c>
      <c r="G1672" t="str">
        <f>IFERROR(INDEX(Region_Map[Region], MATCH(orders[[#This Row],[Customer_Country]], Region_Map[Country], 0)), "Unknown")</f>
        <v>Central Europe</v>
      </c>
      <c r="H1672" t="s">
        <v>6949</v>
      </c>
    </row>
    <row r="1673" spans="1:8">
      <c r="A1673" t="s">
        <v>2583</v>
      </c>
      <c r="B1673" t="s">
        <v>273</v>
      </c>
      <c r="C1673" s="1">
        <v>45416</v>
      </c>
      <c r="D1673" s="1" t="str">
        <f>PROPER(orders[[#This Row],[order_priority]])</f>
        <v>Standard</v>
      </c>
      <c r="E1673" t="s">
        <v>13317</v>
      </c>
      <c r="F1673" t="str">
        <f>IFERROR(INDEX(customers[country], MATCH(orders[[#This Row],[customer_id]], customers[customer_id], 0)), "Unmapped")</f>
        <v>Norway</v>
      </c>
      <c r="G1673" t="str">
        <f>IFERROR(INDEX(Region_Map[Region], MATCH(orders[[#This Row],[Customer_Country]], Region_Map[Country], 0)), "Unknown")</f>
        <v>Nordics</v>
      </c>
      <c r="H1673" t="s">
        <v>6949</v>
      </c>
    </row>
    <row r="1674" spans="1:8">
      <c r="A1674" t="s">
        <v>2584</v>
      </c>
      <c r="B1674" t="s">
        <v>482</v>
      </c>
      <c r="C1674" s="1">
        <v>45621</v>
      </c>
      <c r="D1674" s="1" t="str">
        <f>PROPER(orders[[#This Row],[order_priority]])</f>
        <v>Standard</v>
      </c>
      <c r="E1674" t="s">
        <v>13317</v>
      </c>
      <c r="F1674" t="str">
        <f>IFERROR(INDEX(customers[country], MATCH(orders[[#This Row],[customer_id]], customers[customer_id], 0)), "Unmapped")</f>
        <v>Finland</v>
      </c>
      <c r="G1674" t="str">
        <f>IFERROR(INDEX(Region_Map[Region], MATCH(orders[[#This Row],[Customer_Country]], Region_Map[Country], 0)), "Unknown")</f>
        <v>Nordics</v>
      </c>
      <c r="H1674" t="s">
        <v>6949</v>
      </c>
    </row>
    <row r="1675" spans="1:8">
      <c r="A1675" t="s">
        <v>2585</v>
      </c>
      <c r="B1675" t="s">
        <v>136</v>
      </c>
      <c r="C1675" s="1">
        <v>45254</v>
      </c>
      <c r="D1675" s="1" t="str">
        <f>PROPER(orders[[#This Row],[order_priority]])</f>
        <v>Standard</v>
      </c>
      <c r="E1675" t="s">
        <v>13317</v>
      </c>
      <c r="F1675" t="str">
        <f>IFERROR(INDEX(customers[country], MATCH(orders[[#This Row],[customer_id]], customers[customer_id], 0)), "Unmapped")</f>
        <v>Sweden</v>
      </c>
      <c r="G1675" t="str">
        <f>IFERROR(INDEX(Region_Map[Region], MATCH(orders[[#This Row],[Customer_Country]], Region_Map[Country], 0)), "Unknown")</f>
        <v>Nordics</v>
      </c>
      <c r="H1675" t="s">
        <v>6949</v>
      </c>
    </row>
    <row r="1676" spans="1:8">
      <c r="A1676" t="s">
        <v>2586</v>
      </c>
      <c r="B1676" t="s">
        <v>679</v>
      </c>
      <c r="C1676" s="1">
        <v>44931</v>
      </c>
      <c r="D1676" s="1" t="str">
        <f>PROPER(orders[[#This Row],[order_priority]])</f>
        <v>Same Day</v>
      </c>
      <c r="E1676" t="s">
        <v>13322</v>
      </c>
      <c r="F1676" t="str">
        <f>IFERROR(INDEX(customers[country], MATCH(orders[[#This Row],[customer_id]], customers[customer_id], 0)), "Unmapped")</f>
        <v>Norway</v>
      </c>
      <c r="G1676" t="str">
        <f>IFERROR(INDEX(Region_Map[Region], MATCH(orders[[#This Row],[Customer_Country]], Region_Map[Country], 0)), "Unknown")</f>
        <v>Nordics</v>
      </c>
      <c r="H1676" t="s">
        <v>6949</v>
      </c>
    </row>
    <row r="1677" spans="1:8">
      <c r="A1677" t="s">
        <v>2587</v>
      </c>
      <c r="B1677" t="s">
        <v>482</v>
      </c>
      <c r="C1677" s="1">
        <v>45196</v>
      </c>
      <c r="D1677" s="1" t="str">
        <f>PROPER(orders[[#This Row],[order_priority]])</f>
        <v>Economy</v>
      </c>
      <c r="E1677" t="s">
        <v>13316</v>
      </c>
      <c r="F1677" t="str">
        <f>IFERROR(INDEX(customers[country], MATCH(orders[[#This Row],[customer_id]], customers[customer_id], 0)), "Unmapped")</f>
        <v>Finland</v>
      </c>
      <c r="G1677" t="str">
        <f>IFERROR(INDEX(Region_Map[Region], MATCH(orders[[#This Row],[Customer_Country]], Region_Map[Country], 0)), "Unknown")</f>
        <v>Nordics</v>
      </c>
      <c r="H1677" t="s">
        <v>6949</v>
      </c>
    </row>
    <row r="1678" spans="1:8">
      <c r="A1678" t="s">
        <v>2588</v>
      </c>
      <c r="B1678" t="s">
        <v>479</v>
      </c>
      <c r="C1678" s="1">
        <v>45605</v>
      </c>
      <c r="D1678" s="1" t="str">
        <f>PROPER(orders[[#This Row],[order_priority]])</f>
        <v>Economy</v>
      </c>
      <c r="E1678" t="s">
        <v>13316</v>
      </c>
      <c r="F1678" t="str">
        <f>IFERROR(INDEX(customers[country], MATCH(orders[[#This Row],[customer_id]], customers[customer_id], 0)), "Unmapped")</f>
        <v>Latvia</v>
      </c>
      <c r="G1678" t="str">
        <f>IFERROR(INDEX(Region_Map[Region], MATCH(orders[[#This Row],[Customer_Country]], Region_Map[Country], 0)), "Unknown")</f>
        <v>Baltics</v>
      </c>
      <c r="H1678" t="s">
        <v>6949</v>
      </c>
    </row>
    <row r="1679" spans="1:8">
      <c r="A1679" t="s">
        <v>2589</v>
      </c>
      <c r="B1679" t="s">
        <v>198</v>
      </c>
      <c r="C1679" s="1">
        <v>45401</v>
      </c>
      <c r="D1679" s="1" t="str">
        <f>PROPER(orders[[#This Row],[order_priority]])</f>
        <v>Express</v>
      </c>
      <c r="E1679" t="s">
        <v>13318</v>
      </c>
      <c r="F1679" t="str">
        <f>IFERROR(INDEX(customers[country], MATCH(orders[[#This Row],[customer_id]], customers[customer_id], 0)), "Unmapped")</f>
        <v>Poland</v>
      </c>
      <c r="G1679" t="str">
        <f>IFERROR(INDEX(Region_Map[Region], MATCH(orders[[#This Row],[Customer_Country]], Region_Map[Country], 0)), "Unknown")</f>
        <v>Central Europe</v>
      </c>
      <c r="H1679" t="s">
        <v>6949</v>
      </c>
    </row>
    <row r="1680" spans="1:8">
      <c r="A1680" t="s">
        <v>2590</v>
      </c>
      <c r="B1680" t="s">
        <v>404</v>
      </c>
      <c r="C1680" s="1">
        <v>45388</v>
      </c>
      <c r="D1680" s="1" t="str">
        <f>PROPER(orders[[#This Row],[order_priority]])</f>
        <v>Standard</v>
      </c>
      <c r="E1680" t="s">
        <v>13319</v>
      </c>
      <c r="F1680" t="str">
        <f>IFERROR(INDEX(customers[country], MATCH(orders[[#This Row],[customer_id]], customers[customer_id], 0)), "Unmapped")</f>
        <v>Latvia</v>
      </c>
      <c r="G1680" t="str">
        <f>IFERROR(INDEX(Region_Map[Region], MATCH(orders[[#This Row],[Customer_Country]], Region_Map[Country], 0)), "Unknown")</f>
        <v>Baltics</v>
      </c>
      <c r="H1680" t="s">
        <v>6949</v>
      </c>
    </row>
    <row r="1681" spans="1:8">
      <c r="A1681" t="s">
        <v>2591</v>
      </c>
      <c r="B1681" t="s">
        <v>446</v>
      </c>
      <c r="C1681" s="1">
        <v>45619</v>
      </c>
      <c r="D1681" s="1" t="str">
        <f>PROPER(orders[[#This Row],[order_priority]])</f>
        <v>Economy</v>
      </c>
      <c r="E1681" t="s">
        <v>13316</v>
      </c>
      <c r="F1681" t="str">
        <f>IFERROR(INDEX(customers[country], MATCH(orders[[#This Row],[customer_id]], customers[customer_id], 0)), "Unmapped")</f>
        <v>Sweden</v>
      </c>
      <c r="G1681" t="str">
        <f>IFERROR(INDEX(Region_Map[Region], MATCH(orders[[#This Row],[Customer_Country]], Region_Map[Country], 0)), "Unknown")</f>
        <v>Nordics</v>
      </c>
      <c r="H1681" t="s">
        <v>6949</v>
      </c>
    </row>
    <row r="1682" spans="1:8">
      <c r="A1682" t="s">
        <v>2592</v>
      </c>
      <c r="B1682" t="s">
        <v>145</v>
      </c>
      <c r="C1682" s="1">
        <v>45380</v>
      </c>
      <c r="D1682" s="1" t="str">
        <f>PROPER(orders[[#This Row],[order_priority]])</f>
        <v>Standard</v>
      </c>
      <c r="E1682" t="s">
        <v>13317</v>
      </c>
      <c r="F1682" t="str">
        <f>IFERROR(INDEX(customers[country], MATCH(orders[[#This Row],[customer_id]], customers[customer_id], 0)), "Unmapped")</f>
        <v>Latvia</v>
      </c>
      <c r="G1682" t="str">
        <f>IFERROR(INDEX(Region_Map[Region], MATCH(orders[[#This Row],[Customer_Country]], Region_Map[Country], 0)), "Unknown")</f>
        <v>Baltics</v>
      </c>
      <c r="H1682" t="s">
        <v>6949</v>
      </c>
    </row>
    <row r="1683" spans="1:8">
      <c r="A1683" t="s">
        <v>2593</v>
      </c>
      <c r="B1683" t="s">
        <v>629</v>
      </c>
      <c r="C1683" s="1">
        <v>45181</v>
      </c>
      <c r="D1683" s="1" t="str">
        <f>PROPER(orders[[#This Row],[order_priority]])</f>
        <v>Same Day</v>
      </c>
      <c r="E1683" t="s">
        <v>13322</v>
      </c>
      <c r="F1683" t="str">
        <f>IFERROR(INDEX(customers[country], MATCH(orders[[#This Row],[customer_id]], customers[customer_id], 0)), "Unmapped")</f>
        <v>Lithuania</v>
      </c>
      <c r="G1683" t="str">
        <f>IFERROR(INDEX(Region_Map[Region], MATCH(orders[[#This Row],[Customer_Country]], Region_Map[Country], 0)), "Unknown")</f>
        <v>Baltics</v>
      </c>
      <c r="H1683" t="s">
        <v>6949</v>
      </c>
    </row>
    <row r="1684" spans="1:8">
      <c r="A1684" t="s">
        <v>2594</v>
      </c>
      <c r="B1684" t="s">
        <v>602</v>
      </c>
      <c r="C1684" s="1">
        <v>45303</v>
      </c>
      <c r="D1684" s="1" t="str">
        <f>PROPER(orders[[#This Row],[order_priority]])</f>
        <v>Express</v>
      </c>
      <c r="E1684" t="s">
        <v>13318</v>
      </c>
      <c r="F1684" t="str">
        <f>IFERROR(INDEX(customers[country], MATCH(orders[[#This Row],[customer_id]], customers[customer_id], 0)), "Unmapped")</f>
        <v>Poland</v>
      </c>
      <c r="G1684" t="str">
        <f>IFERROR(INDEX(Region_Map[Region], MATCH(orders[[#This Row],[Customer_Country]], Region_Map[Country], 0)), "Unknown")</f>
        <v>Central Europe</v>
      </c>
      <c r="H1684" t="s">
        <v>6949</v>
      </c>
    </row>
    <row r="1685" spans="1:8">
      <c r="A1685" t="s">
        <v>2595</v>
      </c>
      <c r="B1685" t="s">
        <v>467</v>
      </c>
      <c r="C1685" s="1">
        <v>45461</v>
      </c>
      <c r="D1685" s="1" t="str">
        <f>PROPER(orders[[#This Row],[order_priority]])</f>
        <v>Same Day</v>
      </c>
      <c r="E1685" t="s">
        <v>13322</v>
      </c>
      <c r="F1685" t="str">
        <f>IFERROR(INDEX(customers[country], MATCH(orders[[#This Row],[customer_id]], customers[customer_id], 0)), "Unmapped")</f>
        <v>Latvia</v>
      </c>
      <c r="G1685" t="str">
        <f>IFERROR(INDEX(Region_Map[Region], MATCH(orders[[#This Row],[Customer_Country]], Region_Map[Country], 0)), "Unknown")</f>
        <v>Baltics</v>
      </c>
      <c r="H1685" t="s">
        <v>6949</v>
      </c>
    </row>
    <row r="1686" spans="1:8">
      <c r="A1686" t="s">
        <v>2596</v>
      </c>
      <c r="B1686" t="s">
        <v>691</v>
      </c>
      <c r="C1686" s="1">
        <v>45372</v>
      </c>
      <c r="D1686" s="1" t="str">
        <f>PROPER(orders[[#This Row],[order_priority]])</f>
        <v>Same Day</v>
      </c>
      <c r="E1686" t="s">
        <v>13322</v>
      </c>
      <c r="F1686" t="str">
        <f>IFERROR(INDEX(customers[country], MATCH(orders[[#This Row],[customer_id]], customers[customer_id], 0)), "Unmapped")</f>
        <v>Latvia</v>
      </c>
      <c r="G1686" t="str">
        <f>IFERROR(INDEX(Region_Map[Region], MATCH(orders[[#This Row],[Customer_Country]], Region_Map[Country], 0)), "Unknown")</f>
        <v>Baltics</v>
      </c>
      <c r="H1686" t="s">
        <v>6949</v>
      </c>
    </row>
    <row r="1687" spans="1:8">
      <c r="A1687" t="s">
        <v>2597</v>
      </c>
      <c r="B1687" t="s">
        <v>24</v>
      </c>
      <c r="C1687" s="1">
        <v>45330</v>
      </c>
      <c r="D1687" s="1" t="str">
        <f>PROPER(orders[[#This Row],[order_priority]])</f>
        <v>Economy</v>
      </c>
      <c r="E1687" t="s">
        <v>13316</v>
      </c>
      <c r="F1687" t="str">
        <f>IFERROR(INDEX(customers[country], MATCH(orders[[#This Row],[customer_id]], customers[customer_id], 0)), "Unmapped")</f>
        <v>Sweden</v>
      </c>
      <c r="G1687" t="str">
        <f>IFERROR(INDEX(Region_Map[Region], MATCH(orders[[#This Row],[Customer_Country]], Region_Map[Country], 0)), "Unknown")</f>
        <v>Nordics</v>
      </c>
      <c r="H1687" t="s">
        <v>6949</v>
      </c>
    </row>
    <row r="1688" spans="1:8">
      <c r="A1688" t="s">
        <v>2598</v>
      </c>
      <c r="B1688" t="s">
        <v>503</v>
      </c>
      <c r="C1688" s="1">
        <v>45549</v>
      </c>
      <c r="D1688" s="1" t="str">
        <f>PROPER(orders[[#This Row],[order_priority]])</f>
        <v>Standard</v>
      </c>
      <c r="E1688" t="s">
        <v>13317</v>
      </c>
      <c r="F1688" t="str">
        <f>IFERROR(INDEX(customers[country], MATCH(orders[[#This Row],[customer_id]], customers[customer_id], 0)), "Unmapped")</f>
        <v>Denmark</v>
      </c>
      <c r="G1688" t="str">
        <f>IFERROR(INDEX(Region_Map[Region], MATCH(orders[[#This Row],[Customer_Country]], Region_Map[Country], 0)), "Unknown")</f>
        <v>Nordics</v>
      </c>
      <c r="H1688" t="s">
        <v>6949</v>
      </c>
    </row>
    <row r="1689" spans="1:8">
      <c r="A1689" t="s">
        <v>2599</v>
      </c>
      <c r="B1689" t="s">
        <v>846</v>
      </c>
      <c r="C1689" s="1">
        <v>45054</v>
      </c>
      <c r="D1689" s="1" t="str">
        <f>PROPER(orders[[#This Row],[order_priority]])</f>
        <v>Express</v>
      </c>
      <c r="E1689" t="s">
        <v>13318</v>
      </c>
      <c r="F1689" t="str">
        <f>IFERROR(INDEX(customers[country], MATCH(orders[[#This Row],[customer_id]], customers[customer_id], 0)), "Unmapped")</f>
        <v>Netherlands</v>
      </c>
      <c r="G1689" t="str">
        <f>IFERROR(INDEX(Region_Map[Region], MATCH(orders[[#This Row],[Customer_Country]], Region_Map[Country], 0)), "Unknown")</f>
        <v>Central Europe</v>
      </c>
      <c r="H1689" t="s">
        <v>6949</v>
      </c>
    </row>
    <row r="1690" spans="1:8">
      <c r="A1690" t="s">
        <v>2600</v>
      </c>
      <c r="B1690" t="s">
        <v>676</v>
      </c>
      <c r="C1690" s="1">
        <v>44951</v>
      </c>
      <c r="D1690" s="1" t="str">
        <f>PROPER(orders[[#This Row],[order_priority]])</f>
        <v>Standard</v>
      </c>
      <c r="E1690" t="s">
        <v>13317</v>
      </c>
      <c r="F1690" t="str">
        <f>IFERROR(INDEX(customers[country], MATCH(orders[[#This Row],[customer_id]], customers[customer_id], 0)), "Unmapped")</f>
        <v>Latvia</v>
      </c>
      <c r="G1690" t="str">
        <f>IFERROR(INDEX(Region_Map[Region], MATCH(orders[[#This Row],[Customer_Country]], Region_Map[Country], 0)), "Unknown")</f>
        <v>Baltics</v>
      </c>
      <c r="H1690" t="s">
        <v>6949</v>
      </c>
    </row>
    <row r="1691" spans="1:8">
      <c r="A1691" t="s">
        <v>2601</v>
      </c>
      <c r="B1691" t="s">
        <v>338</v>
      </c>
      <c r="C1691" s="1">
        <v>45352</v>
      </c>
      <c r="D1691" s="1" t="str">
        <f>PROPER(orders[[#This Row],[order_priority]])</f>
        <v>Standard</v>
      </c>
      <c r="E1691" t="s">
        <v>13317</v>
      </c>
      <c r="F1691" t="str">
        <f>IFERROR(INDEX(customers[country], MATCH(orders[[#This Row],[customer_id]], customers[customer_id], 0)), "Unmapped")</f>
        <v>Denmark</v>
      </c>
      <c r="G1691" t="str">
        <f>IFERROR(INDEX(Region_Map[Region], MATCH(orders[[#This Row],[Customer_Country]], Region_Map[Country], 0)), "Unknown")</f>
        <v>Nordics</v>
      </c>
      <c r="H1691" t="s">
        <v>6949</v>
      </c>
    </row>
    <row r="1692" spans="1:8">
      <c r="A1692" t="s">
        <v>2602</v>
      </c>
      <c r="B1692" t="s">
        <v>231</v>
      </c>
      <c r="C1692" s="1">
        <v>45234</v>
      </c>
      <c r="D1692" s="1" t="str">
        <f>PROPER(orders[[#This Row],[order_priority]])</f>
        <v>Economy</v>
      </c>
      <c r="E1692" t="s">
        <v>13316</v>
      </c>
      <c r="F1692" t="str">
        <f>IFERROR(INDEX(customers[country], MATCH(orders[[#This Row],[customer_id]], customers[customer_id], 0)), "Unmapped")</f>
        <v>Lithuania</v>
      </c>
      <c r="G1692" t="str">
        <f>IFERROR(INDEX(Region_Map[Region], MATCH(orders[[#This Row],[Customer_Country]], Region_Map[Country], 0)), "Unknown")</f>
        <v>Baltics</v>
      </c>
      <c r="H1692" t="s">
        <v>6949</v>
      </c>
    </row>
    <row r="1693" spans="1:8">
      <c r="A1693" t="s">
        <v>2603</v>
      </c>
      <c r="B1693" t="s">
        <v>240</v>
      </c>
      <c r="C1693" s="1">
        <v>45162</v>
      </c>
      <c r="D1693" s="1" t="str">
        <f>PROPER(orders[[#This Row],[order_priority]])</f>
        <v>Economy</v>
      </c>
      <c r="E1693" t="s">
        <v>13316</v>
      </c>
      <c r="F1693" t="str">
        <f>IFERROR(INDEX(customers[country], MATCH(orders[[#This Row],[customer_id]], customers[customer_id], 0)), "Unmapped")</f>
        <v>Lithuania</v>
      </c>
      <c r="G1693" t="str">
        <f>IFERROR(INDEX(Region_Map[Region], MATCH(orders[[#This Row],[Customer_Country]], Region_Map[Country], 0)), "Unknown")</f>
        <v>Baltics</v>
      </c>
      <c r="H1693" t="s">
        <v>6949</v>
      </c>
    </row>
    <row r="1694" spans="1:8">
      <c r="A1694" t="s">
        <v>2604</v>
      </c>
      <c r="B1694" t="s">
        <v>181</v>
      </c>
      <c r="C1694" s="1">
        <v>45168</v>
      </c>
      <c r="D1694" s="1" t="str">
        <f>PROPER(orders[[#This Row],[order_priority]])</f>
        <v>Express</v>
      </c>
      <c r="E1694" t="s">
        <v>13318</v>
      </c>
      <c r="F1694" t="str">
        <f>IFERROR(INDEX(customers[country], MATCH(orders[[#This Row],[customer_id]], customers[customer_id], 0)), "Unmapped")</f>
        <v>Netherlands</v>
      </c>
      <c r="G1694" t="str">
        <f>IFERROR(INDEX(Region_Map[Region], MATCH(orders[[#This Row],[Customer_Country]], Region_Map[Country], 0)), "Unknown")</f>
        <v>Central Europe</v>
      </c>
      <c r="H1694" t="s">
        <v>6949</v>
      </c>
    </row>
    <row r="1695" spans="1:8">
      <c r="A1695" t="s">
        <v>2605</v>
      </c>
      <c r="B1695" t="s">
        <v>706</v>
      </c>
      <c r="C1695" s="1">
        <v>45071</v>
      </c>
      <c r="D1695" s="1" t="str">
        <f>PROPER(orders[[#This Row],[order_priority]])</f>
        <v>Same Day</v>
      </c>
      <c r="E1695" t="s">
        <v>13324</v>
      </c>
      <c r="F1695" t="str">
        <f>IFERROR(INDEX(customers[country], MATCH(orders[[#This Row],[customer_id]], customers[customer_id], 0)), "Unmapped")</f>
        <v>Latvia</v>
      </c>
      <c r="G1695" t="str">
        <f>IFERROR(INDEX(Region_Map[Region], MATCH(orders[[#This Row],[Customer_Country]], Region_Map[Country], 0)), "Unknown")</f>
        <v>Baltics</v>
      </c>
      <c r="H1695" t="s">
        <v>6949</v>
      </c>
    </row>
    <row r="1696" spans="1:8">
      <c r="A1696" t="s">
        <v>2606</v>
      </c>
      <c r="B1696" t="s">
        <v>61</v>
      </c>
      <c r="C1696" s="1">
        <v>45517</v>
      </c>
      <c r="D1696" s="1" t="str">
        <f>PROPER(orders[[#This Row],[order_priority]])</f>
        <v>Express</v>
      </c>
      <c r="E1696" t="s">
        <v>13318</v>
      </c>
      <c r="F1696" t="str">
        <f>IFERROR(INDEX(customers[country], MATCH(orders[[#This Row],[customer_id]], customers[customer_id], 0)), "Unmapped")</f>
        <v>Netherlands</v>
      </c>
      <c r="G1696" t="str">
        <f>IFERROR(INDEX(Region_Map[Region], MATCH(orders[[#This Row],[Customer_Country]], Region_Map[Country], 0)), "Unknown")</f>
        <v>Central Europe</v>
      </c>
      <c r="H1696" t="s">
        <v>6949</v>
      </c>
    </row>
    <row r="1697" spans="1:8">
      <c r="A1697" t="s">
        <v>2607</v>
      </c>
      <c r="B1697" t="s">
        <v>623</v>
      </c>
      <c r="C1697" s="1">
        <v>45153</v>
      </c>
      <c r="D1697" s="1" t="str">
        <f>PROPER(orders[[#This Row],[order_priority]])</f>
        <v>Same Day</v>
      </c>
      <c r="E1697" t="s">
        <v>13322</v>
      </c>
      <c r="F1697" t="str">
        <f>IFERROR(INDEX(customers[country], MATCH(orders[[#This Row],[customer_id]], customers[customer_id], 0)), "Unmapped")</f>
        <v>Denmark</v>
      </c>
      <c r="G1697" t="str">
        <f>IFERROR(INDEX(Region_Map[Region], MATCH(orders[[#This Row],[Customer_Country]], Region_Map[Country], 0)), "Unknown")</f>
        <v>Nordics</v>
      </c>
      <c r="H1697" t="s">
        <v>6949</v>
      </c>
    </row>
    <row r="1698" spans="1:8">
      <c r="A1698" t="s">
        <v>2608</v>
      </c>
      <c r="B1698" t="s">
        <v>518</v>
      </c>
      <c r="C1698" s="1">
        <v>45536</v>
      </c>
      <c r="D1698" s="1" t="str">
        <f>PROPER(orders[[#This Row],[order_priority]])</f>
        <v>Economy</v>
      </c>
      <c r="E1698" t="s">
        <v>13316</v>
      </c>
      <c r="F1698" t="str">
        <f>IFERROR(INDEX(customers[country], MATCH(orders[[#This Row],[customer_id]], customers[customer_id], 0)), "Unmapped")</f>
        <v>Germany</v>
      </c>
      <c r="G1698" t="str">
        <f>IFERROR(INDEX(Region_Map[Region], MATCH(orders[[#This Row],[Customer_Country]], Region_Map[Country], 0)), "Unknown")</f>
        <v>Central Europe</v>
      </c>
      <c r="H1698" t="s">
        <v>6949</v>
      </c>
    </row>
    <row r="1699" spans="1:8">
      <c r="A1699" t="s">
        <v>2609</v>
      </c>
      <c r="B1699" t="s">
        <v>169</v>
      </c>
      <c r="C1699" s="1">
        <v>44959</v>
      </c>
      <c r="D1699" s="1" t="str">
        <f>PROPER(orders[[#This Row],[order_priority]])</f>
        <v>Standard</v>
      </c>
      <c r="E1699" t="s">
        <v>13317</v>
      </c>
      <c r="F1699" t="str">
        <f>IFERROR(INDEX(customers[country], MATCH(orders[[#This Row],[customer_id]], customers[customer_id], 0)), "Unmapped")</f>
        <v>Norway</v>
      </c>
      <c r="G1699" t="str">
        <f>IFERROR(INDEX(Region_Map[Region], MATCH(orders[[#This Row],[Customer_Country]], Region_Map[Country], 0)), "Unknown")</f>
        <v>Nordics</v>
      </c>
      <c r="H1699" t="s">
        <v>6949</v>
      </c>
    </row>
    <row r="1700" spans="1:8">
      <c r="A1700" t="s">
        <v>2610</v>
      </c>
      <c r="B1700" t="s">
        <v>207</v>
      </c>
      <c r="C1700" s="1">
        <v>45315</v>
      </c>
      <c r="D1700" s="1" t="str">
        <f>PROPER(orders[[#This Row],[order_priority]])</f>
        <v>Express</v>
      </c>
      <c r="E1700" t="s">
        <v>13318</v>
      </c>
      <c r="F1700" t="str">
        <f>IFERROR(INDEX(customers[country], MATCH(orders[[#This Row],[customer_id]], customers[customer_id], 0)), "Unmapped")</f>
        <v>Poland</v>
      </c>
      <c r="G1700" t="str">
        <f>IFERROR(INDEX(Region_Map[Region], MATCH(orders[[#This Row],[Customer_Country]], Region_Map[Country], 0)), "Unknown")</f>
        <v>Central Europe</v>
      </c>
      <c r="H1700" t="s">
        <v>6949</v>
      </c>
    </row>
    <row r="1701" spans="1:8">
      <c r="A1701" t="s">
        <v>2611</v>
      </c>
      <c r="B1701" t="s">
        <v>264</v>
      </c>
      <c r="C1701" s="1">
        <v>45211</v>
      </c>
      <c r="D1701" s="1" t="str">
        <f>PROPER(orders[[#This Row],[order_priority]])</f>
        <v>Express</v>
      </c>
      <c r="E1701" t="s">
        <v>13326</v>
      </c>
      <c r="F1701" t="str">
        <f>IFERROR(INDEX(customers[country], MATCH(orders[[#This Row],[customer_id]], customers[customer_id], 0)), "Unmapped")</f>
        <v>Germany</v>
      </c>
      <c r="G1701" t="str">
        <f>IFERROR(INDEX(Region_Map[Region], MATCH(orders[[#This Row],[Customer_Country]], Region_Map[Country], 0)), "Unknown")</f>
        <v>Central Europe</v>
      </c>
      <c r="H1701" t="s">
        <v>6949</v>
      </c>
    </row>
    <row r="1702" spans="1:8">
      <c r="A1702" t="s">
        <v>2612</v>
      </c>
      <c r="B1702" t="s">
        <v>323</v>
      </c>
      <c r="C1702" s="1">
        <v>45068</v>
      </c>
      <c r="D1702" s="1" t="str">
        <f>PROPER(orders[[#This Row],[order_priority]])</f>
        <v>Same Day</v>
      </c>
      <c r="E1702" t="s">
        <v>13322</v>
      </c>
      <c r="F1702" t="str">
        <f>IFERROR(INDEX(customers[country], MATCH(orders[[#This Row],[customer_id]], customers[customer_id], 0)), "Unmapped")</f>
        <v>Estonia</v>
      </c>
      <c r="G1702" t="str">
        <f>IFERROR(INDEX(Region_Map[Region], MATCH(orders[[#This Row],[Customer_Country]], Region_Map[Country], 0)), "Unknown")</f>
        <v>Baltics</v>
      </c>
      <c r="H1702" t="s">
        <v>6949</v>
      </c>
    </row>
    <row r="1703" spans="1:8">
      <c r="A1703" t="s">
        <v>2613</v>
      </c>
      <c r="B1703" t="s">
        <v>611</v>
      </c>
      <c r="C1703" s="1">
        <v>45507</v>
      </c>
      <c r="D1703" s="1" t="str">
        <f>PROPER(orders[[#This Row],[order_priority]])</f>
        <v>Standard</v>
      </c>
      <c r="E1703" t="s">
        <v>13317</v>
      </c>
      <c r="F1703" t="str">
        <f>IFERROR(INDEX(customers[country], MATCH(orders[[#This Row],[customer_id]], customers[customer_id], 0)), "Unmapped")</f>
        <v>Poland</v>
      </c>
      <c r="G1703" t="str">
        <f>IFERROR(INDEX(Region_Map[Region], MATCH(orders[[#This Row],[Customer_Country]], Region_Map[Country], 0)), "Unknown")</f>
        <v>Central Europe</v>
      </c>
      <c r="H1703" t="s">
        <v>6949</v>
      </c>
    </row>
    <row r="1704" spans="1:8">
      <c r="A1704" t="s">
        <v>2614</v>
      </c>
      <c r="B1704" t="s">
        <v>894</v>
      </c>
      <c r="C1704" s="1">
        <v>45355</v>
      </c>
      <c r="D1704" s="1" t="str">
        <f>PROPER(orders[[#This Row],[order_priority]])</f>
        <v>Express</v>
      </c>
      <c r="E1704" t="s">
        <v>13318</v>
      </c>
      <c r="F1704" t="str">
        <f>IFERROR(INDEX(customers[country], MATCH(orders[[#This Row],[customer_id]], customers[customer_id], 0)), "Unmapped")</f>
        <v>Poland</v>
      </c>
      <c r="G1704" t="str">
        <f>IFERROR(INDEX(Region_Map[Region], MATCH(orders[[#This Row],[Customer_Country]], Region_Map[Country], 0)), "Unknown")</f>
        <v>Central Europe</v>
      </c>
      <c r="H1704" t="s">
        <v>6949</v>
      </c>
    </row>
    <row r="1705" spans="1:8">
      <c r="A1705" t="s">
        <v>2615</v>
      </c>
      <c r="B1705" t="s">
        <v>154</v>
      </c>
      <c r="C1705" s="1">
        <v>45530</v>
      </c>
      <c r="D1705" s="1" t="str">
        <f>PROPER(orders[[#This Row],[order_priority]])</f>
        <v>Same Day</v>
      </c>
      <c r="E1705" t="s">
        <v>13322</v>
      </c>
      <c r="F1705" t="str">
        <f>IFERROR(INDEX(customers[country], MATCH(orders[[#This Row],[customer_id]], customers[customer_id], 0)), "Unmapped")</f>
        <v>Lithuania</v>
      </c>
      <c r="G1705" t="str">
        <f>IFERROR(INDEX(Region_Map[Region], MATCH(orders[[#This Row],[Customer_Country]], Region_Map[Country], 0)), "Unknown")</f>
        <v>Baltics</v>
      </c>
      <c r="H1705" t="s">
        <v>6949</v>
      </c>
    </row>
    <row r="1706" spans="1:8">
      <c r="A1706" t="s">
        <v>2616</v>
      </c>
      <c r="B1706" t="s">
        <v>70</v>
      </c>
      <c r="C1706" s="1">
        <v>45555</v>
      </c>
      <c r="D1706" s="1" t="str">
        <f>PROPER(orders[[#This Row],[order_priority]])</f>
        <v>Standard</v>
      </c>
      <c r="E1706" t="s">
        <v>13317</v>
      </c>
      <c r="F1706" t="str">
        <f>IFERROR(INDEX(customers[country], MATCH(orders[[#This Row],[customer_id]], customers[customer_id], 0)), "Unmapped")</f>
        <v>Estonia</v>
      </c>
      <c r="G1706" t="str">
        <f>IFERROR(INDEX(Region_Map[Region], MATCH(orders[[#This Row],[Customer_Country]], Region_Map[Country], 0)), "Unknown")</f>
        <v>Baltics</v>
      </c>
      <c r="H1706" t="s">
        <v>6949</v>
      </c>
    </row>
    <row r="1707" spans="1:8">
      <c r="A1707" t="s">
        <v>2617</v>
      </c>
      <c r="B1707" t="s">
        <v>130</v>
      </c>
      <c r="C1707" s="1">
        <v>45218</v>
      </c>
      <c r="D1707" s="1" t="str">
        <f>PROPER(orders[[#This Row],[order_priority]])</f>
        <v>Economy</v>
      </c>
      <c r="E1707" t="s">
        <v>13316</v>
      </c>
      <c r="F1707" t="str">
        <f>IFERROR(INDEX(customers[country], MATCH(orders[[#This Row],[customer_id]], customers[customer_id], 0)), "Unmapped")</f>
        <v>Latvia</v>
      </c>
      <c r="G1707" t="str">
        <f>IFERROR(INDEX(Region_Map[Region], MATCH(orders[[#This Row],[Customer_Country]], Region_Map[Country], 0)), "Unknown")</f>
        <v>Baltics</v>
      </c>
      <c r="H1707" t="s">
        <v>6949</v>
      </c>
    </row>
    <row r="1708" spans="1:8">
      <c r="A1708" t="s">
        <v>2618</v>
      </c>
      <c r="B1708" t="s">
        <v>24</v>
      </c>
      <c r="C1708" s="1">
        <v>45412</v>
      </c>
      <c r="D1708" s="1" t="str">
        <f>PROPER(orders[[#This Row],[order_priority]])</f>
        <v>Economy</v>
      </c>
      <c r="E1708" t="s">
        <v>13316</v>
      </c>
      <c r="F1708" t="str">
        <f>IFERROR(INDEX(customers[country], MATCH(orders[[#This Row],[customer_id]], customers[customer_id], 0)), "Unmapped")</f>
        <v>Sweden</v>
      </c>
      <c r="G1708" t="str">
        <f>IFERROR(INDEX(Region_Map[Region], MATCH(orders[[#This Row],[Customer_Country]], Region_Map[Country], 0)), "Unknown")</f>
        <v>Nordics</v>
      </c>
      <c r="H1708" t="s">
        <v>6949</v>
      </c>
    </row>
    <row r="1709" spans="1:8">
      <c r="A1709" t="s">
        <v>2619</v>
      </c>
      <c r="B1709" t="s">
        <v>891</v>
      </c>
      <c r="C1709" s="1">
        <v>45192</v>
      </c>
      <c r="D1709" s="1" t="str">
        <f>PROPER(orders[[#This Row],[order_priority]])</f>
        <v>Economy</v>
      </c>
      <c r="E1709" t="s">
        <v>13325</v>
      </c>
      <c r="F1709" t="str">
        <f>IFERROR(INDEX(customers[country], MATCH(orders[[#This Row],[customer_id]], customers[customer_id], 0)), "Unmapped")</f>
        <v>Netherlands</v>
      </c>
      <c r="G1709" t="str">
        <f>IFERROR(INDEX(Region_Map[Region], MATCH(orders[[#This Row],[Customer_Country]], Region_Map[Country], 0)), "Unknown")</f>
        <v>Central Europe</v>
      </c>
      <c r="H1709" t="s">
        <v>6949</v>
      </c>
    </row>
    <row r="1710" spans="1:8">
      <c r="A1710" t="s">
        <v>2620</v>
      </c>
      <c r="B1710" t="s">
        <v>291</v>
      </c>
      <c r="C1710" s="1">
        <v>45615</v>
      </c>
      <c r="D1710" s="1" t="str">
        <f>PROPER(orders[[#This Row],[order_priority]])</f>
        <v>Economy</v>
      </c>
      <c r="E1710" t="s">
        <v>13316</v>
      </c>
      <c r="F1710" t="str">
        <f>IFERROR(INDEX(customers[country], MATCH(orders[[#This Row],[customer_id]], customers[customer_id], 0)), "Unmapped")</f>
        <v>Poland</v>
      </c>
      <c r="G1710" t="str">
        <f>IFERROR(INDEX(Region_Map[Region], MATCH(orders[[#This Row],[Customer_Country]], Region_Map[Country], 0)), "Unknown")</f>
        <v>Central Europe</v>
      </c>
      <c r="H1710" t="s">
        <v>6949</v>
      </c>
    </row>
    <row r="1711" spans="1:8">
      <c r="A1711" t="s">
        <v>2621</v>
      </c>
      <c r="B1711" t="s">
        <v>691</v>
      </c>
      <c r="C1711" s="1">
        <v>45032</v>
      </c>
      <c r="D1711" s="1" t="str">
        <f>PROPER(orders[[#This Row],[order_priority]])</f>
        <v>Express</v>
      </c>
      <c r="E1711" t="s">
        <v>13320</v>
      </c>
      <c r="F1711" t="str">
        <f>IFERROR(INDEX(customers[country], MATCH(orders[[#This Row],[customer_id]], customers[customer_id], 0)), "Unmapped")</f>
        <v>Latvia</v>
      </c>
      <c r="G1711" t="str">
        <f>IFERROR(INDEX(Region_Map[Region], MATCH(orders[[#This Row],[Customer_Country]], Region_Map[Country], 0)), "Unknown")</f>
        <v>Baltics</v>
      </c>
      <c r="H1711" t="s">
        <v>6949</v>
      </c>
    </row>
    <row r="1712" spans="1:8">
      <c r="A1712" t="s">
        <v>2622</v>
      </c>
      <c r="B1712" t="s">
        <v>752</v>
      </c>
      <c r="C1712" s="1">
        <v>45343</v>
      </c>
      <c r="D1712" s="1" t="str">
        <f>PROPER(orders[[#This Row],[order_priority]])</f>
        <v>Same Day</v>
      </c>
      <c r="E1712" t="s">
        <v>13322</v>
      </c>
      <c r="F1712" t="str">
        <f>IFERROR(INDEX(customers[country], MATCH(orders[[#This Row],[customer_id]], customers[customer_id], 0)), "Unmapped")</f>
        <v>Estonia</v>
      </c>
      <c r="G1712" t="str">
        <f>IFERROR(INDEX(Region_Map[Region], MATCH(orders[[#This Row],[Customer_Country]], Region_Map[Country], 0)), "Unknown")</f>
        <v>Baltics</v>
      </c>
      <c r="H1712" t="s">
        <v>6949</v>
      </c>
    </row>
    <row r="1713" spans="1:8">
      <c r="A1713" t="s">
        <v>2623</v>
      </c>
      <c r="B1713" t="s">
        <v>467</v>
      </c>
      <c r="C1713" s="1">
        <v>45579</v>
      </c>
      <c r="D1713" s="1" t="str">
        <f>PROPER(orders[[#This Row],[order_priority]])</f>
        <v>Standard</v>
      </c>
      <c r="E1713" t="s">
        <v>13317</v>
      </c>
      <c r="F1713" t="str">
        <f>IFERROR(INDEX(customers[country], MATCH(orders[[#This Row],[customer_id]], customers[customer_id], 0)), "Unmapped")</f>
        <v>Latvia</v>
      </c>
      <c r="G1713" t="str">
        <f>IFERROR(INDEX(Region_Map[Region], MATCH(orders[[#This Row],[Customer_Country]], Region_Map[Country], 0)), "Unknown")</f>
        <v>Baltics</v>
      </c>
      <c r="H1713" t="s">
        <v>6949</v>
      </c>
    </row>
    <row r="1714" spans="1:8">
      <c r="A1714" t="s">
        <v>2624</v>
      </c>
      <c r="B1714" t="s">
        <v>676</v>
      </c>
      <c r="C1714" s="1">
        <v>45237</v>
      </c>
      <c r="D1714" s="1" t="str">
        <f>PROPER(orders[[#This Row],[order_priority]])</f>
        <v>Express</v>
      </c>
      <c r="E1714" t="s">
        <v>13318</v>
      </c>
      <c r="F1714" t="str">
        <f>IFERROR(INDEX(customers[country], MATCH(orders[[#This Row],[customer_id]], customers[customer_id], 0)), "Unmapped")</f>
        <v>Latvia</v>
      </c>
      <c r="G1714" t="str">
        <f>IFERROR(INDEX(Region_Map[Region], MATCH(orders[[#This Row],[Customer_Country]], Region_Map[Country], 0)), "Unknown")</f>
        <v>Baltics</v>
      </c>
      <c r="H1714" t="s">
        <v>6949</v>
      </c>
    </row>
    <row r="1715" spans="1:8">
      <c r="A1715" t="s">
        <v>2625</v>
      </c>
      <c r="B1715" t="s">
        <v>876</v>
      </c>
      <c r="C1715" s="1">
        <v>45437</v>
      </c>
      <c r="D1715" s="1" t="str">
        <f>PROPER(orders[[#This Row],[order_priority]])</f>
        <v>Economy</v>
      </c>
      <c r="E1715" t="s">
        <v>13316</v>
      </c>
      <c r="F1715" t="str">
        <f>IFERROR(INDEX(customers[country], MATCH(orders[[#This Row],[customer_id]], customers[customer_id], 0)), "Unmapped")</f>
        <v>Estonia</v>
      </c>
      <c r="G1715" t="str">
        <f>IFERROR(INDEX(Region_Map[Region], MATCH(orders[[#This Row],[Customer_Country]], Region_Map[Country], 0)), "Unknown")</f>
        <v>Baltics</v>
      </c>
      <c r="H1715" t="s">
        <v>6949</v>
      </c>
    </row>
    <row r="1716" spans="1:8">
      <c r="A1716" t="s">
        <v>2626</v>
      </c>
      <c r="B1716" t="s">
        <v>461</v>
      </c>
      <c r="C1716" s="1">
        <v>45489</v>
      </c>
      <c r="D1716" s="1" t="str">
        <f>PROPER(orders[[#This Row],[order_priority]])</f>
        <v>Standard</v>
      </c>
      <c r="E1716" t="s">
        <v>13317</v>
      </c>
      <c r="F1716" t="str">
        <f>IFERROR(INDEX(customers[country], MATCH(orders[[#This Row],[customer_id]], customers[customer_id], 0)), "Unmapped")</f>
        <v>Latvia</v>
      </c>
      <c r="G1716" t="str">
        <f>IFERROR(INDEX(Region_Map[Region], MATCH(orders[[#This Row],[Customer_Country]], Region_Map[Country], 0)), "Unknown")</f>
        <v>Baltics</v>
      </c>
      <c r="H1716" t="s">
        <v>6949</v>
      </c>
    </row>
    <row r="1717" spans="1:8">
      <c r="A1717" t="s">
        <v>2627</v>
      </c>
      <c r="B1717" t="s">
        <v>796</v>
      </c>
      <c r="C1717" s="1">
        <v>44967</v>
      </c>
      <c r="D1717" s="1" t="str">
        <f>PROPER(orders[[#This Row],[order_priority]])</f>
        <v>Same Day</v>
      </c>
      <c r="E1717" t="s">
        <v>13322</v>
      </c>
      <c r="F1717" t="str">
        <f>IFERROR(INDEX(customers[country], MATCH(orders[[#This Row],[customer_id]], customers[customer_id], 0)), "Unmapped")</f>
        <v>Sweden</v>
      </c>
      <c r="G1717" t="str">
        <f>IFERROR(INDEX(Region_Map[Region], MATCH(orders[[#This Row],[Customer_Country]], Region_Map[Country], 0)), "Unknown")</f>
        <v>Nordics</v>
      </c>
      <c r="H1717" t="s">
        <v>6949</v>
      </c>
    </row>
    <row r="1718" spans="1:8">
      <c r="A1718" t="s">
        <v>2628</v>
      </c>
      <c r="B1718" t="s">
        <v>294</v>
      </c>
      <c r="C1718" s="1">
        <v>45286</v>
      </c>
      <c r="D1718" s="1" t="str">
        <f>PROPER(orders[[#This Row],[order_priority]])</f>
        <v>Standard</v>
      </c>
      <c r="E1718" t="s">
        <v>13317</v>
      </c>
      <c r="F1718" t="str">
        <f>IFERROR(INDEX(customers[country], MATCH(orders[[#This Row],[customer_id]], customers[customer_id], 0)), "Unmapped")</f>
        <v>Denmark</v>
      </c>
      <c r="G1718" t="str">
        <f>IFERROR(INDEX(Region_Map[Region], MATCH(orders[[#This Row],[Customer_Country]], Region_Map[Country], 0)), "Unknown")</f>
        <v>Nordics</v>
      </c>
      <c r="H1718" t="s">
        <v>6949</v>
      </c>
    </row>
    <row r="1719" spans="1:8">
      <c r="A1719" t="s">
        <v>2629</v>
      </c>
      <c r="B1719" t="s">
        <v>195</v>
      </c>
      <c r="C1719" s="1">
        <v>45191</v>
      </c>
      <c r="D1719" s="1" t="str">
        <f>PROPER(orders[[#This Row],[order_priority]])</f>
        <v>Express</v>
      </c>
      <c r="E1719" t="s">
        <v>13318</v>
      </c>
      <c r="F1719" t="str">
        <f>IFERROR(INDEX(customers[country], MATCH(orders[[#This Row],[customer_id]], customers[customer_id], 0)), "Unmapped")</f>
        <v>Latvia</v>
      </c>
      <c r="G1719" t="str">
        <f>IFERROR(INDEX(Region_Map[Region], MATCH(orders[[#This Row],[Customer_Country]], Region_Map[Country], 0)), "Unknown")</f>
        <v>Baltics</v>
      </c>
      <c r="H1719" t="s">
        <v>6949</v>
      </c>
    </row>
    <row r="1720" spans="1:8">
      <c r="A1720" t="s">
        <v>2630</v>
      </c>
      <c r="B1720" t="s">
        <v>374</v>
      </c>
      <c r="C1720" s="1">
        <v>45277</v>
      </c>
      <c r="D1720" s="1" t="str">
        <f>PROPER(orders[[#This Row],[order_priority]])</f>
        <v>Express</v>
      </c>
      <c r="E1720" t="s">
        <v>13318</v>
      </c>
      <c r="F1720" t="str">
        <f>IFERROR(INDEX(customers[country], MATCH(orders[[#This Row],[customer_id]], customers[customer_id], 0)), "Unmapped")</f>
        <v>Estonia</v>
      </c>
      <c r="G1720" t="str">
        <f>IFERROR(INDEX(Region_Map[Region], MATCH(orders[[#This Row],[Customer_Country]], Region_Map[Country], 0)), "Unknown")</f>
        <v>Baltics</v>
      </c>
      <c r="H1720" t="s">
        <v>6949</v>
      </c>
    </row>
    <row r="1721" spans="1:8">
      <c r="A1721" t="s">
        <v>2631</v>
      </c>
      <c r="B1721" t="s">
        <v>383</v>
      </c>
      <c r="C1721" s="1">
        <v>45150</v>
      </c>
      <c r="D1721" s="1" t="str">
        <f>PROPER(orders[[#This Row],[order_priority]])</f>
        <v>Standard</v>
      </c>
      <c r="E1721" t="s">
        <v>13317</v>
      </c>
      <c r="F1721" t="str">
        <f>IFERROR(INDEX(customers[country], MATCH(orders[[#This Row],[customer_id]], customers[customer_id], 0)), "Unmapped")</f>
        <v>Germany</v>
      </c>
      <c r="G1721" t="str">
        <f>IFERROR(INDEX(Region_Map[Region], MATCH(orders[[#This Row],[Customer_Country]], Region_Map[Country], 0)), "Unknown")</f>
        <v>Central Europe</v>
      </c>
      <c r="H1721" t="s">
        <v>6949</v>
      </c>
    </row>
    <row r="1722" spans="1:8">
      <c r="A1722" t="s">
        <v>2632</v>
      </c>
      <c r="B1722" t="s">
        <v>623</v>
      </c>
      <c r="C1722" s="1">
        <v>45450</v>
      </c>
      <c r="D1722" s="1" t="str">
        <f>PROPER(orders[[#This Row],[order_priority]])</f>
        <v>Same Day</v>
      </c>
      <c r="E1722" t="s">
        <v>13322</v>
      </c>
      <c r="F1722" t="str">
        <f>IFERROR(INDEX(customers[country], MATCH(orders[[#This Row],[customer_id]], customers[customer_id], 0)), "Unmapped")</f>
        <v>Denmark</v>
      </c>
      <c r="G1722" t="str">
        <f>IFERROR(INDEX(Region_Map[Region], MATCH(orders[[#This Row],[Customer_Country]], Region_Map[Country], 0)), "Unknown")</f>
        <v>Nordics</v>
      </c>
      <c r="H1722" t="s">
        <v>6949</v>
      </c>
    </row>
    <row r="1723" spans="1:8">
      <c r="A1723" t="s">
        <v>2633</v>
      </c>
      <c r="B1723" t="s">
        <v>189</v>
      </c>
      <c r="C1723" s="1">
        <v>44952</v>
      </c>
      <c r="D1723" s="1" t="str">
        <f>PROPER(orders[[#This Row],[order_priority]])</f>
        <v>Standard</v>
      </c>
      <c r="E1723" t="s">
        <v>13317</v>
      </c>
      <c r="F1723" t="str">
        <f>IFERROR(INDEX(customers[country], MATCH(orders[[#This Row],[customer_id]], customers[customer_id], 0)), "Unmapped")</f>
        <v>Norway</v>
      </c>
      <c r="G1723" t="str">
        <f>IFERROR(INDEX(Region_Map[Region], MATCH(orders[[#This Row],[Customer_Country]], Region_Map[Country], 0)), "Unknown")</f>
        <v>Nordics</v>
      </c>
      <c r="H1723" t="s">
        <v>6949</v>
      </c>
    </row>
    <row r="1724" spans="1:8">
      <c r="A1724" t="s">
        <v>2634</v>
      </c>
      <c r="B1724" t="s">
        <v>494</v>
      </c>
      <c r="C1724" s="1">
        <v>45005</v>
      </c>
      <c r="D1724" s="1" t="str">
        <f>PROPER(orders[[#This Row],[order_priority]])</f>
        <v>Express</v>
      </c>
      <c r="E1724" t="s">
        <v>13318</v>
      </c>
      <c r="F1724" t="str">
        <f>IFERROR(INDEX(customers[country], MATCH(orders[[#This Row],[customer_id]], customers[customer_id], 0)), "Unmapped")</f>
        <v>Sweden</v>
      </c>
      <c r="G1724" t="str">
        <f>IFERROR(INDEX(Region_Map[Region], MATCH(orders[[#This Row],[Customer_Country]], Region_Map[Country], 0)), "Unknown")</f>
        <v>Nordics</v>
      </c>
      <c r="H1724" t="s">
        <v>6949</v>
      </c>
    </row>
    <row r="1725" spans="1:8">
      <c r="A1725" t="s">
        <v>2635</v>
      </c>
      <c r="B1725" t="s">
        <v>752</v>
      </c>
      <c r="C1725" s="1">
        <v>45624</v>
      </c>
      <c r="D1725" s="1" t="str">
        <f>PROPER(orders[[#This Row],[order_priority]])</f>
        <v>Express</v>
      </c>
      <c r="E1725" t="s">
        <v>13318</v>
      </c>
      <c r="F1725" t="str">
        <f>IFERROR(INDEX(customers[country], MATCH(orders[[#This Row],[customer_id]], customers[customer_id], 0)), "Unmapped")</f>
        <v>Estonia</v>
      </c>
      <c r="G1725" t="str">
        <f>IFERROR(INDEX(Region_Map[Region], MATCH(orders[[#This Row],[Customer_Country]], Region_Map[Country], 0)), "Unknown")</f>
        <v>Baltics</v>
      </c>
      <c r="H1725" t="s">
        <v>6949</v>
      </c>
    </row>
    <row r="1726" spans="1:8">
      <c r="A1726" t="s">
        <v>2636</v>
      </c>
      <c r="B1726" t="s">
        <v>48</v>
      </c>
      <c r="C1726" s="1">
        <v>45467</v>
      </c>
      <c r="D1726" s="1" t="str">
        <f>PROPER(orders[[#This Row],[order_priority]])</f>
        <v>Economy</v>
      </c>
      <c r="E1726" t="s">
        <v>13316</v>
      </c>
      <c r="F1726" t="str">
        <f>IFERROR(INDEX(customers[country], MATCH(orders[[#This Row],[customer_id]], customers[customer_id], 0)), "Unmapped")</f>
        <v>Poland</v>
      </c>
      <c r="G1726" t="str">
        <f>IFERROR(INDEX(Region_Map[Region], MATCH(orders[[#This Row],[Customer_Country]], Region_Map[Country], 0)), "Unknown")</f>
        <v>Central Europe</v>
      </c>
      <c r="H1726" t="s">
        <v>6949</v>
      </c>
    </row>
    <row r="1727" spans="1:8">
      <c r="A1727" t="s">
        <v>2637</v>
      </c>
      <c r="B1727" t="s">
        <v>294</v>
      </c>
      <c r="C1727" s="1">
        <v>45158</v>
      </c>
      <c r="D1727" s="1" t="str">
        <f>PROPER(orders[[#This Row],[order_priority]])</f>
        <v>Express</v>
      </c>
      <c r="E1727" t="s">
        <v>13318</v>
      </c>
      <c r="F1727" t="str">
        <f>IFERROR(INDEX(customers[country], MATCH(orders[[#This Row],[customer_id]], customers[customer_id], 0)), "Unmapped")</f>
        <v>Denmark</v>
      </c>
      <c r="G1727" t="str">
        <f>IFERROR(INDEX(Region_Map[Region], MATCH(orders[[#This Row],[Customer_Country]], Region_Map[Country], 0)), "Unknown")</f>
        <v>Nordics</v>
      </c>
      <c r="H1727" t="s">
        <v>6949</v>
      </c>
    </row>
    <row r="1728" spans="1:8">
      <c r="A1728" t="s">
        <v>2638</v>
      </c>
      <c r="B1728" t="s">
        <v>882</v>
      </c>
      <c r="C1728" s="1">
        <v>45538</v>
      </c>
      <c r="D1728" s="1" t="str">
        <f>PROPER(orders[[#This Row],[order_priority]])</f>
        <v>Express</v>
      </c>
      <c r="E1728" t="s">
        <v>13318</v>
      </c>
      <c r="F1728" t="str">
        <f>IFERROR(INDEX(customers[country], MATCH(orders[[#This Row],[customer_id]], customers[customer_id], 0)), "Unmapped")</f>
        <v>Netherlands</v>
      </c>
      <c r="G1728" t="str">
        <f>IFERROR(INDEX(Region_Map[Region], MATCH(orders[[#This Row],[Customer_Country]], Region_Map[Country], 0)), "Unknown")</f>
        <v>Central Europe</v>
      </c>
      <c r="H1728" t="s">
        <v>6949</v>
      </c>
    </row>
    <row r="1729" spans="1:8">
      <c r="A1729" t="s">
        <v>2639</v>
      </c>
      <c r="B1729" t="s">
        <v>13337</v>
      </c>
      <c r="C1729" s="1">
        <v>45496</v>
      </c>
      <c r="D1729" s="1" t="str">
        <f>PROPER(orders[[#This Row],[order_priority]])</f>
        <v>Express</v>
      </c>
      <c r="E1729" t="s">
        <v>13318</v>
      </c>
      <c r="F1729" t="str">
        <f>IFERROR(INDEX(customers[country], MATCH(orders[[#This Row],[customer_id]], customers[customer_id], 0)), "Unmapped")</f>
        <v>Unmapped</v>
      </c>
      <c r="G1729" t="str">
        <f>IFERROR(INDEX(Region_Map[Region], MATCH(orders[[#This Row],[Customer_Country]], Region_Map[Country], 0)), "Unknown")</f>
        <v>Unknown</v>
      </c>
      <c r="H1729" t="s">
        <v>6949</v>
      </c>
    </row>
    <row r="1730" spans="1:8">
      <c r="A1730" t="s">
        <v>2640</v>
      </c>
      <c r="B1730" t="s">
        <v>255</v>
      </c>
      <c r="C1730" s="1">
        <v>45583</v>
      </c>
      <c r="D1730" s="1" t="str">
        <f>PROPER(orders[[#This Row],[order_priority]])</f>
        <v>Economy</v>
      </c>
      <c r="E1730" t="s">
        <v>13316</v>
      </c>
      <c r="F1730" t="str">
        <f>IFERROR(INDEX(customers[country], MATCH(orders[[#This Row],[customer_id]], customers[customer_id], 0)), "Unmapped")</f>
        <v>Sweden</v>
      </c>
      <c r="G1730" t="str">
        <f>IFERROR(INDEX(Region_Map[Region], MATCH(orders[[#This Row],[Customer_Country]], Region_Map[Country], 0)), "Unknown")</f>
        <v>Nordics</v>
      </c>
      <c r="H1730" t="s">
        <v>6949</v>
      </c>
    </row>
    <row r="1731" spans="1:8">
      <c r="A1731" t="s">
        <v>2641</v>
      </c>
      <c r="B1731" t="s">
        <v>629</v>
      </c>
      <c r="C1731" s="1">
        <v>45609</v>
      </c>
      <c r="D1731" s="1" t="str">
        <f>PROPER(orders[[#This Row],[order_priority]])</f>
        <v>Same Day</v>
      </c>
      <c r="E1731" t="s">
        <v>13322</v>
      </c>
      <c r="F1731" t="str">
        <f>IFERROR(INDEX(customers[country], MATCH(orders[[#This Row],[customer_id]], customers[customer_id], 0)), "Unmapped")</f>
        <v>Lithuania</v>
      </c>
      <c r="G1731" t="str">
        <f>IFERROR(INDEX(Region_Map[Region], MATCH(orders[[#This Row],[Customer_Country]], Region_Map[Country], 0)), "Unknown")</f>
        <v>Baltics</v>
      </c>
      <c r="H1731" t="s">
        <v>6949</v>
      </c>
    </row>
    <row r="1732" spans="1:8">
      <c r="A1732" t="s">
        <v>2642</v>
      </c>
      <c r="B1732" t="s">
        <v>51</v>
      </c>
      <c r="C1732" s="1">
        <v>45272</v>
      </c>
      <c r="D1732" s="1" t="str">
        <f>PROPER(orders[[#This Row],[order_priority]])</f>
        <v>Express</v>
      </c>
      <c r="E1732" t="s">
        <v>13318</v>
      </c>
      <c r="F1732" t="str">
        <f>IFERROR(INDEX(customers[country], MATCH(orders[[#This Row],[customer_id]], customers[customer_id], 0)), "Unmapped")</f>
        <v>Germany</v>
      </c>
      <c r="G1732" t="str">
        <f>IFERROR(INDEX(Region_Map[Region], MATCH(orders[[#This Row],[Customer_Country]], Region_Map[Country], 0)), "Unknown")</f>
        <v>Central Europe</v>
      </c>
      <c r="H1732" t="s">
        <v>6949</v>
      </c>
    </row>
    <row r="1733" spans="1:8">
      <c r="A1733" t="s">
        <v>2643</v>
      </c>
      <c r="B1733" t="s">
        <v>509</v>
      </c>
      <c r="C1733" s="1">
        <v>45365</v>
      </c>
      <c r="D1733" s="1" t="str">
        <f>PROPER(orders[[#This Row],[order_priority]])</f>
        <v>Same Day</v>
      </c>
      <c r="E1733" t="s">
        <v>13321</v>
      </c>
      <c r="F1733" t="str">
        <f>IFERROR(INDEX(customers[country], MATCH(orders[[#This Row],[customer_id]], customers[customer_id], 0)), "Unmapped")</f>
        <v>Sweden</v>
      </c>
      <c r="G1733" t="str">
        <f>IFERROR(INDEX(Region_Map[Region], MATCH(orders[[#This Row],[Customer_Country]], Region_Map[Country], 0)), "Unknown")</f>
        <v>Nordics</v>
      </c>
      <c r="H1733" t="s">
        <v>6949</v>
      </c>
    </row>
    <row r="1734" spans="1:8">
      <c r="A1734" t="s">
        <v>2644</v>
      </c>
      <c r="B1734" t="s">
        <v>118</v>
      </c>
      <c r="C1734" s="1">
        <v>44997</v>
      </c>
      <c r="D1734" s="1" t="str">
        <f>PROPER(orders[[#This Row],[order_priority]])</f>
        <v>Economy</v>
      </c>
      <c r="E1734" t="s">
        <v>13316</v>
      </c>
      <c r="F1734" t="str">
        <f>IFERROR(INDEX(customers[country], MATCH(orders[[#This Row],[customer_id]], customers[customer_id], 0)), "Unmapped")</f>
        <v>Denmark</v>
      </c>
      <c r="G1734" t="str">
        <f>IFERROR(INDEX(Region_Map[Region], MATCH(orders[[#This Row],[Customer_Country]], Region_Map[Country], 0)), "Unknown")</f>
        <v>Nordics</v>
      </c>
      <c r="H1734" t="s">
        <v>6949</v>
      </c>
    </row>
    <row r="1735" spans="1:8">
      <c r="A1735" t="s">
        <v>2645</v>
      </c>
      <c r="B1735" t="s">
        <v>500</v>
      </c>
      <c r="C1735" s="1">
        <v>45416</v>
      </c>
      <c r="D1735" s="1" t="str">
        <f>PROPER(orders[[#This Row],[order_priority]])</f>
        <v>Express</v>
      </c>
      <c r="E1735" t="s">
        <v>13326</v>
      </c>
      <c r="F1735" t="str">
        <f>IFERROR(INDEX(customers[country], MATCH(orders[[#This Row],[customer_id]], customers[customer_id], 0)), "Unmapped")</f>
        <v>Estonia</v>
      </c>
      <c r="G1735" t="str">
        <f>IFERROR(INDEX(Region_Map[Region], MATCH(orders[[#This Row],[Customer_Country]], Region_Map[Country], 0)), "Unknown")</f>
        <v>Baltics</v>
      </c>
      <c r="H1735" t="s">
        <v>6949</v>
      </c>
    </row>
    <row r="1736" spans="1:8">
      <c r="A1736" t="s">
        <v>2646</v>
      </c>
      <c r="B1736" t="s">
        <v>13344</v>
      </c>
      <c r="C1736" s="1">
        <v>45247</v>
      </c>
      <c r="D1736" s="1" t="str">
        <f>PROPER(orders[[#This Row],[order_priority]])</f>
        <v>Express</v>
      </c>
      <c r="E1736" t="s">
        <v>13318</v>
      </c>
      <c r="F1736" t="str">
        <f>IFERROR(INDEX(customers[country], MATCH(orders[[#This Row],[customer_id]], customers[customer_id], 0)), "Unmapped")</f>
        <v>Unmapped</v>
      </c>
      <c r="G1736" t="str">
        <f>IFERROR(INDEX(Region_Map[Region], MATCH(orders[[#This Row],[Customer_Country]], Region_Map[Country], 0)), "Unknown")</f>
        <v>Unknown</v>
      </c>
      <c r="H1736" t="s">
        <v>6949</v>
      </c>
    </row>
    <row r="1737" spans="1:8">
      <c r="A1737" t="s">
        <v>2647</v>
      </c>
      <c r="B1737" t="s">
        <v>77</v>
      </c>
      <c r="C1737" s="1">
        <v>45330</v>
      </c>
      <c r="D1737" s="1" t="str">
        <f>PROPER(orders[[#This Row],[order_priority]])</f>
        <v>Express</v>
      </c>
      <c r="E1737" t="s">
        <v>13326</v>
      </c>
      <c r="F1737" t="str">
        <f>IFERROR(INDEX(customers[country], MATCH(orders[[#This Row],[customer_id]], customers[customer_id], 0)), "Unmapped")</f>
        <v>Lithuania</v>
      </c>
      <c r="G1737" t="str">
        <f>IFERROR(INDEX(Region_Map[Region], MATCH(orders[[#This Row],[Customer_Country]], Region_Map[Country], 0)), "Unknown")</f>
        <v>Baltics</v>
      </c>
      <c r="H1737" t="s">
        <v>6949</v>
      </c>
    </row>
    <row r="1738" spans="1:8">
      <c r="A1738" t="s">
        <v>2648</v>
      </c>
      <c r="B1738" t="s">
        <v>407</v>
      </c>
      <c r="C1738" s="1">
        <v>44977</v>
      </c>
      <c r="D1738" s="1" t="str">
        <f>PROPER(orders[[#This Row],[order_priority]])</f>
        <v>Economy</v>
      </c>
      <c r="E1738" t="s">
        <v>13325</v>
      </c>
      <c r="F1738" t="str">
        <f>IFERROR(INDEX(customers[country], MATCH(orders[[#This Row],[customer_id]], customers[customer_id], 0)), "Unmapped")</f>
        <v>Poland</v>
      </c>
      <c r="G1738" t="str">
        <f>IFERROR(INDEX(Region_Map[Region], MATCH(orders[[#This Row],[Customer_Country]], Region_Map[Country], 0)), "Unknown")</f>
        <v>Central Europe</v>
      </c>
      <c r="H1738" t="s">
        <v>6949</v>
      </c>
    </row>
    <row r="1739" spans="1:8">
      <c r="A1739" t="s">
        <v>2649</v>
      </c>
      <c r="B1739" t="s">
        <v>184</v>
      </c>
      <c r="C1739" s="1">
        <v>45584</v>
      </c>
      <c r="D1739" s="1" t="str">
        <f>PROPER(orders[[#This Row],[order_priority]])</f>
        <v>Standard</v>
      </c>
      <c r="E1739" t="s">
        <v>13317</v>
      </c>
      <c r="F1739" t="str">
        <f>IFERROR(INDEX(customers[country], MATCH(orders[[#This Row],[customer_id]], customers[customer_id], 0)), "Unmapped")</f>
        <v>Netherlands</v>
      </c>
      <c r="G1739" t="str">
        <f>IFERROR(INDEX(Region_Map[Region], MATCH(orders[[#This Row],[Customer_Country]], Region_Map[Country], 0)), "Unknown")</f>
        <v>Central Europe</v>
      </c>
      <c r="H1739" t="s">
        <v>6949</v>
      </c>
    </row>
    <row r="1740" spans="1:8">
      <c r="A1740" t="s">
        <v>2650</v>
      </c>
      <c r="B1740" t="s">
        <v>590</v>
      </c>
      <c r="C1740" s="1">
        <v>45340</v>
      </c>
      <c r="D1740" s="1" t="str">
        <f>PROPER(orders[[#This Row],[order_priority]])</f>
        <v>Standard</v>
      </c>
      <c r="E1740" t="s">
        <v>13317</v>
      </c>
      <c r="F1740" t="str">
        <f>IFERROR(INDEX(customers[country], MATCH(orders[[#This Row],[customer_id]], customers[customer_id], 0)), "Unmapped")</f>
        <v>Finland</v>
      </c>
      <c r="G1740" t="str">
        <f>IFERROR(INDEX(Region_Map[Region], MATCH(orders[[#This Row],[Customer_Country]], Region_Map[Country], 0)), "Unknown")</f>
        <v>Nordics</v>
      </c>
      <c r="H1740" t="s">
        <v>6949</v>
      </c>
    </row>
    <row r="1741" spans="1:8">
      <c r="A1741" t="s">
        <v>2651</v>
      </c>
      <c r="B1741" t="s">
        <v>509</v>
      </c>
      <c r="C1741" s="1">
        <v>45278</v>
      </c>
      <c r="D1741" s="1" t="str">
        <f>PROPER(orders[[#This Row],[order_priority]])</f>
        <v>Economy</v>
      </c>
      <c r="E1741" t="s">
        <v>13316</v>
      </c>
      <c r="F1741" t="str">
        <f>IFERROR(INDEX(customers[country], MATCH(orders[[#This Row],[customer_id]], customers[customer_id], 0)), "Unmapped")</f>
        <v>Sweden</v>
      </c>
      <c r="G1741" t="str">
        <f>IFERROR(INDEX(Region_Map[Region], MATCH(orders[[#This Row],[Customer_Country]], Region_Map[Country], 0)), "Unknown")</f>
        <v>Nordics</v>
      </c>
      <c r="H1741" t="s">
        <v>6949</v>
      </c>
    </row>
    <row r="1742" spans="1:8">
      <c r="A1742" t="s">
        <v>2652</v>
      </c>
      <c r="B1742" t="s">
        <v>837</v>
      </c>
      <c r="C1742" s="1">
        <v>45366</v>
      </c>
      <c r="D1742" s="1" t="str">
        <f>PROPER(orders[[#This Row],[order_priority]])</f>
        <v>Express</v>
      </c>
      <c r="E1742" t="s">
        <v>13320</v>
      </c>
      <c r="F1742" t="str">
        <f>IFERROR(INDEX(customers[country], MATCH(orders[[#This Row],[customer_id]], customers[customer_id], 0)), "Unmapped")</f>
        <v>Poland</v>
      </c>
      <c r="G1742" t="str">
        <f>IFERROR(INDEX(Region_Map[Region], MATCH(orders[[#This Row],[Customer_Country]], Region_Map[Country], 0)), "Unknown")</f>
        <v>Central Europe</v>
      </c>
      <c r="H1742" t="s">
        <v>6949</v>
      </c>
    </row>
    <row r="1743" spans="1:8">
      <c r="A1743" t="s">
        <v>2653</v>
      </c>
      <c r="B1743" t="s">
        <v>816</v>
      </c>
      <c r="C1743" s="1">
        <v>45173</v>
      </c>
      <c r="D1743" s="1" t="str">
        <f>PROPER(orders[[#This Row],[order_priority]])</f>
        <v>Express</v>
      </c>
      <c r="E1743" t="s">
        <v>13318</v>
      </c>
      <c r="F1743" t="str">
        <f>IFERROR(INDEX(customers[country], MATCH(orders[[#This Row],[customer_id]], customers[customer_id], 0)), "Unmapped")</f>
        <v>Lithuania</v>
      </c>
      <c r="G1743" t="str">
        <f>IFERROR(INDEX(Region_Map[Region], MATCH(orders[[#This Row],[Customer_Country]], Region_Map[Country], 0)), "Unknown")</f>
        <v>Baltics</v>
      </c>
      <c r="H1743" t="s">
        <v>6949</v>
      </c>
    </row>
    <row r="1744" spans="1:8">
      <c r="A1744" t="s">
        <v>2654</v>
      </c>
      <c r="B1744" t="s">
        <v>781</v>
      </c>
      <c r="C1744" s="1">
        <v>44955</v>
      </c>
      <c r="D1744" s="1" t="str">
        <f>PROPER(orders[[#This Row],[order_priority]])</f>
        <v>Economy</v>
      </c>
      <c r="E1744" t="s">
        <v>13325</v>
      </c>
      <c r="F1744" t="str">
        <f>IFERROR(INDEX(customers[country], MATCH(orders[[#This Row],[customer_id]], customers[customer_id], 0)), "Unmapped")</f>
        <v>Germany</v>
      </c>
      <c r="G1744" t="str">
        <f>IFERROR(INDEX(Region_Map[Region], MATCH(orders[[#This Row],[Customer_Country]], Region_Map[Country], 0)), "Unknown")</f>
        <v>Central Europe</v>
      </c>
      <c r="H1744" t="s">
        <v>6949</v>
      </c>
    </row>
    <row r="1745" spans="1:8">
      <c r="A1745" t="s">
        <v>2655</v>
      </c>
      <c r="B1745" t="s">
        <v>309</v>
      </c>
      <c r="C1745" s="1">
        <v>45372</v>
      </c>
      <c r="D1745" s="1" t="str">
        <f>PROPER(orders[[#This Row],[order_priority]])</f>
        <v>Economy</v>
      </c>
      <c r="E1745" t="s">
        <v>13316</v>
      </c>
      <c r="F1745" t="str">
        <f>IFERROR(INDEX(customers[country], MATCH(orders[[#This Row],[customer_id]], customers[customer_id], 0)), "Unmapped")</f>
        <v>Lithuania</v>
      </c>
      <c r="G1745" t="str">
        <f>IFERROR(INDEX(Region_Map[Region], MATCH(orders[[#This Row],[Customer_Country]], Region_Map[Country], 0)), "Unknown")</f>
        <v>Baltics</v>
      </c>
      <c r="H1745" t="s">
        <v>6949</v>
      </c>
    </row>
    <row r="1746" spans="1:8">
      <c r="A1746" t="s">
        <v>2656</v>
      </c>
      <c r="B1746" t="s">
        <v>11</v>
      </c>
      <c r="C1746" s="1">
        <v>45513</v>
      </c>
      <c r="D1746" s="1" t="str">
        <f>PROPER(orders[[#This Row],[order_priority]])</f>
        <v>Standard</v>
      </c>
      <c r="E1746" t="s">
        <v>13317</v>
      </c>
      <c r="F1746" t="str">
        <f>IFERROR(INDEX(customers[country], MATCH(orders[[#This Row],[customer_id]], customers[customer_id], 0)), "Unmapped")</f>
        <v>Sweden</v>
      </c>
      <c r="G1746" t="str">
        <f>IFERROR(INDEX(Region_Map[Region], MATCH(orders[[#This Row],[Customer_Country]], Region_Map[Country], 0)), "Unknown")</f>
        <v>Nordics</v>
      </c>
      <c r="H1746" t="s">
        <v>6949</v>
      </c>
    </row>
    <row r="1747" spans="1:8">
      <c r="A1747" t="s">
        <v>2657</v>
      </c>
      <c r="B1747" t="s">
        <v>772</v>
      </c>
      <c r="C1747" s="1">
        <v>45336</v>
      </c>
      <c r="D1747" s="1" t="str">
        <f>PROPER(orders[[#This Row],[order_priority]])</f>
        <v>Same Day</v>
      </c>
      <c r="E1747" t="s">
        <v>13322</v>
      </c>
      <c r="F1747" t="str">
        <f>IFERROR(INDEX(customers[country], MATCH(orders[[#This Row],[customer_id]], customers[customer_id], 0)), "Unmapped")</f>
        <v>Estonia</v>
      </c>
      <c r="G1747" t="str">
        <f>IFERROR(INDEX(Region_Map[Region], MATCH(orders[[#This Row],[Customer_Country]], Region_Map[Country], 0)), "Unknown")</f>
        <v>Baltics</v>
      </c>
      <c r="H1747" t="s">
        <v>6949</v>
      </c>
    </row>
    <row r="1748" spans="1:8">
      <c r="A1748" t="s">
        <v>2658</v>
      </c>
      <c r="B1748" t="s">
        <v>799</v>
      </c>
      <c r="C1748" s="1">
        <v>44976</v>
      </c>
      <c r="D1748" s="1" t="str">
        <f>PROPER(orders[[#This Row],[order_priority]])</f>
        <v>Economy</v>
      </c>
      <c r="E1748" t="s">
        <v>13328</v>
      </c>
      <c r="F1748" t="str">
        <f>IFERROR(INDEX(customers[country], MATCH(orders[[#This Row],[customer_id]], customers[customer_id], 0)), "Unmapped")</f>
        <v>Germany</v>
      </c>
      <c r="G1748" t="str">
        <f>IFERROR(INDEX(Region_Map[Region], MATCH(orders[[#This Row],[Customer_Country]], Region_Map[Country], 0)), "Unknown")</f>
        <v>Central Europe</v>
      </c>
      <c r="H1748" t="s">
        <v>6949</v>
      </c>
    </row>
    <row r="1749" spans="1:8">
      <c r="A1749" t="s">
        <v>2659</v>
      </c>
      <c r="B1749" t="s">
        <v>267</v>
      </c>
      <c r="C1749" s="1">
        <v>45109</v>
      </c>
      <c r="D1749" s="1" t="str">
        <f>PROPER(orders[[#This Row],[order_priority]])</f>
        <v>Economy</v>
      </c>
      <c r="E1749" t="s">
        <v>13316</v>
      </c>
      <c r="F1749" t="str">
        <f>IFERROR(INDEX(customers[country], MATCH(orders[[#This Row],[customer_id]], customers[customer_id], 0)), "Unmapped")</f>
        <v>Norway</v>
      </c>
      <c r="G1749" t="str">
        <f>IFERROR(INDEX(Region_Map[Region], MATCH(orders[[#This Row],[Customer_Country]], Region_Map[Country], 0)), "Unknown")</f>
        <v>Nordics</v>
      </c>
      <c r="H1749" t="s">
        <v>6949</v>
      </c>
    </row>
    <row r="1750" spans="1:8">
      <c r="A1750" t="s">
        <v>2660</v>
      </c>
      <c r="B1750" t="s">
        <v>169</v>
      </c>
      <c r="C1750" s="1">
        <v>45254</v>
      </c>
      <c r="D1750" s="1" t="str">
        <f>PROPER(orders[[#This Row],[order_priority]])</f>
        <v>Express</v>
      </c>
      <c r="E1750" t="s">
        <v>13318</v>
      </c>
      <c r="F1750" t="str">
        <f>IFERROR(INDEX(customers[country], MATCH(orders[[#This Row],[customer_id]], customers[customer_id], 0)), "Unmapped")</f>
        <v>Norway</v>
      </c>
      <c r="G1750" t="str">
        <f>IFERROR(INDEX(Region_Map[Region], MATCH(orders[[#This Row],[Customer_Country]], Region_Map[Country], 0)), "Unknown")</f>
        <v>Nordics</v>
      </c>
      <c r="H1750" t="s">
        <v>6949</v>
      </c>
    </row>
    <row r="1751" spans="1:8">
      <c r="A1751" t="s">
        <v>2661</v>
      </c>
      <c r="B1751" t="s">
        <v>536</v>
      </c>
      <c r="C1751" s="1">
        <v>45056</v>
      </c>
      <c r="D1751" s="1" t="str">
        <f>PROPER(orders[[#This Row],[order_priority]])</f>
        <v>Same Day</v>
      </c>
      <c r="E1751" t="s">
        <v>13321</v>
      </c>
      <c r="F1751" t="str">
        <f>IFERROR(INDEX(customers[country], MATCH(orders[[#This Row],[customer_id]], customers[customer_id], 0)), "Unmapped")</f>
        <v>Germany</v>
      </c>
      <c r="G1751" t="str">
        <f>IFERROR(INDEX(Region_Map[Region], MATCH(orders[[#This Row],[Customer_Country]], Region_Map[Country], 0)), "Unknown")</f>
        <v>Central Europe</v>
      </c>
      <c r="H1751" t="s">
        <v>6949</v>
      </c>
    </row>
    <row r="1752" spans="1:8">
      <c r="A1752" t="s">
        <v>2662</v>
      </c>
      <c r="B1752" t="s">
        <v>790</v>
      </c>
      <c r="C1752" s="1">
        <v>44989</v>
      </c>
      <c r="D1752" s="1" t="str">
        <f>PROPER(orders[[#This Row],[order_priority]])</f>
        <v>Standard</v>
      </c>
      <c r="E1752" t="s">
        <v>13317</v>
      </c>
      <c r="F1752" t="str">
        <f>IFERROR(INDEX(customers[country], MATCH(orders[[#This Row],[customer_id]], customers[customer_id], 0)), "Unmapped")</f>
        <v>Germany</v>
      </c>
      <c r="G1752" t="str">
        <f>IFERROR(INDEX(Region_Map[Region], MATCH(orders[[#This Row],[Customer_Country]], Region_Map[Country], 0)), "Unknown")</f>
        <v>Central Europe</v>
      </c>
      <c r="H1752" t="s">
        <v>6949</v>
      </c>
    </row>
    <row r="1753" spans="1:8">
      <c r="A1753" t="s">
        <v>2663</v>
      </c>
      <c r="B1753" t="s">
        <v>733</v>
      </c>
      <c r="C1753" s="1">
        <v>45020</v>
      </c>
      <c r="D1753" s="1" t="str">
        <f>PROPER(orders[[#This Row],[order_priority]])</f>
        <v>Express</v>
      </c>
      <c r="E1753" t="s">
        <v>13318</v>
      </c>
      <c r="F1753" t="str">
        <f>IFERROR(INDEX(customers[country], MATCH(orders[[#This Row],[customer_id]], customers[customer_id], 0)), "Unmapped")</f>
        <v>Lithuania</v>
      </c>
      <c r="G1753" t="str">
        <f>IFERROR(INDEX(Region_Map[Region], MATCH(orders[[#This Row],[Customer_Country]], Region_Map[Country], 0)), "Unknown")</f>
        <v>Baltics</v>
      </c>
      <c r="H1753" t="s">
        <v>6949</v>
      </c>
    </row>
    <row r="1754" spans="1:8">
      <c r="A1754" t="s">
        <v>2664</v>
      </c>
      <c r="B1754" t="s">
        <v>67</v>
      </c>
      <c r="C1754" s="1">
        <v>45272</v>
      </c>
      <c r="D1754" s="1" t="str">
        <f>PROPER(orders[[#This Row],[order_priority]])</f>
        <v>Express</v>
      </c>
      <c r="E1754" t="s">
        <v>13318</v>
      </c>
      <c r="F1754" t="str">
        <f>IFERROR(INDEX(customers[country], MATCH(orders[[#This Row],[customer_id]], customers[customer_id], 0)), "Unmapped")</f>
        <v>Estonia</v>
      </c>
      <c r="G1754" t="str">
        <f>IFERROR(INDEX(Region_Map[Region], MATCH(orders[[#This Row],[Customer_Country]], Region_Map[Country], 0)), "Unknown")</f>
        <v>Baltics</v>
      </c>
      <c r="H1754" t="s">
        <v>6949</v>
      </c>
    </row>
    <row r="1755" spans="1:8">
      <c r="A1755" t="s">
        <v>2665</v>
      </c>
      <c r="B1755" t="s">
        <v>473</v>
      </c>
      <c r="C1755" s="1">
        <v>45608</v>
      </c>
      <c r="D1755" s="1" t="str">
        <f>PROPER(orders[[#This Row],[order_priority]])</f>
        <v>Same Day</v>
      </c>
      <c r="E1755" t="s">
        <v>13322</v>
      </c>
      <c r="F1755" t="str">
        <f>IFERROR(INDEX(customers[country], MATCH(orders[[#This Row],[customer_id]], customers[customer_id], 0)), "Unmapped")</f>
        <v>Netherlands</v>
      </c>
      <c r="G1755" t="str">
        <f>IFERROR(INDEX(Region_Map[Region], MATCH(orders[[#This Row],[Customer_Country]], Region_Map[Country], 0)), "Unknown")</f>
        <v>Central Europe</v>
      </c>
      <c r="H1755" t="s">
        <v>6949</v>
      </c>
    </row>
    <row r="1756" spans="1:8">
      <c r="A1756" t="s">
        <v>2666</v>
      </c>
      <c r="B1756" t="s">
        <v>6</v>
      </c>
      <c r="C1756" s="1">
        <v>45306</v>
      </c>
      <c r="D1756" s="1" t="str">
        <f>PROPER(orders[[#This Row],[order_priority]])</f>
        <v>Standard</v>
      </c>
      <c r="E1756" t="s">
        <v>13317</v>
      </c>
      <c r="F1756" t="str">
        <f>IFERROR(INDEX(customers[country], MATCH(orders[[#This Row],[customer_id]], customers[customer_id], 0)), "Unmapped")</f>
        <v>Latvia</v>
      </c>
      <c r="G1756" t="str">
        <f>IFERROR(INDEX(Region_Map[Region], MATCH(orders[[#This Row],[Customer_Country]], Region_Map[Country], 0)), "Unknown")</f>
        <v>Baltics</v>
      </c>
      <c r="H1756" t="s">
        <v>6949</v>
      </c>
    </row>
    <row r="1757" spans="1:8">
      <c r="A1757" t="s">
        <v>2667</v>
      </c>
      <c r="B1757" t="s">
        <v>703</v>
      </c>
      <c r="C1757" s="1">
        <v>45146</v>
      </c>
      <c r="D1757" s="1" t="str">
        <f>PROPER(orders[[#This Row],[order_priority]])</f>
        <v>Same Day</v>
      </c>
      <c r="E1757" t="s">
        <v>13322</v>
      </c>
      <c r="F1757" t="str">
        <f>IFERROR(INDEX(customers[country], MATCH(orders[[#This Row],[customer_id]], customers[customer_id], 0)), "Unmapped")</f>
        <v>Estonia</v>
      </c>
      <c r="G1757" t="str">
        <f>IFERROR(INDEX(Region_Map[Region], MATCH(orders[[#This Row],[Customer_Country]], Region_Map[Country], 0)), "Unknown")</f>
        <v>Baltics</v>
      </c>
      <c r="H1757" t="s">
        <v>6949</v>
      </c>
    </row>
    <row r="1758" spans="1:8">
      <c r="A1758" t="s">
        <v>2668</v>
      </c>
      <c r="B1758" t="s">
        <v>679</v>
      </c>
      <c r="C1758" s="1">
        <v>45040</v>
      </c>
      <c r="D1758" s="1" t="str">
        <f>PROPER(orders[[#This Row],[order_priority]])</f>
        <v>Express</v>
      </c>
      <c r="E1758" t="s">
        <v>13318</v>
      </c>
      <c r="F1758" t="str">
        <f>IFERROR(INDEX(customers[country], MATCH(orders[[#This Row],[customer_id]], customers[customer_id], 0)), "Unmapped")</f>
        <v>Norway</v>
      </c>
      <c r="G1758" t="str">
        <f>IFERROR(INDEX(Region_Map[Region], MATCH(orders[[#This Row],[Customer_Country]], Region_Map[Country], 0)), "Unknown")</f>
        <v>Nordics</v>
      </c>
      <c r="H1758" t="s">
        <v>6949</v>
      </c>
    </row>
    <row r="1759" spans="1:8">
      <c r="A1759" t="s">
        <v>2669</v>
      </c>
      <c r="B1759" t="s">
        <v>112</v>
      </c>
      <c r="C1759" s="1">
        <v>45623</v>
      </c>
      <c r="D1759" s="1" t="str">
        <f>PROPER(orders[[#This Row],[order_priority]])</f>
        <v>Standard</v>
      </c>
      <c r="E1759" t="s">
        <v>13317</v>
      </c>
      <c r="F1759" t="str">
        <f>IFERROR(INDEX(customers[country], MATCH(orders[[#This Row],[customer_id]], customers[customer_id], 0)), "Unmapped")</f>
        <v>Finland</v>
      </c>
      <c r="G1759" t="str">
        <f>IFERROR(INDEX(Region_Map[Region], MATCH(orders[[#This Row],[Customer_Country]], Region_Map[Country], 0)), "Unknown")</f>
        <v>Nordics</v>
      </c>
      <c r="H1759" t="s">
        <v>6949</v>
      </c>
    </row>
    <row r="1760" spans="1:8">
      <c r="A1760" t="s">
        <v>2670</v>
      </c>
      <c r="B1760" t="s">
        <v>870</v>
      </c>
      <c r="C1760" s="1">
        <v>45460</v>
      </c>
      <c r="D1760" s="1" t="str">
        <f>PROPER(orders[[#This Row],[order_priority]])</f>
        <v>Standard</v>
      </c>
      <c r="E1760" t="s">
        <v>13317</v>
      </c>
      <c r="F1760" t="str">
        <f>IFERROR(INDEX(customers[country], MATCH(orders[[#This Row],[customer_id]], customers[customer_id], 0)), "Unmapped")</f>
        <v>Estonia</v>
      </c>
      <c r="G1760" t="str">
        <f>IFERROR(INDEX(Region_Map[Region], MATCH(orders[[#This Row],[Customer_Country]], Region_Map[Country], 0)), "Unknown")</f>
        <v>Baltics</v>
      </c>
      <c r="H1760" t="s">
        <v>6949</v>
      </c>
    </row>
    <row r="1761" spans="1:8">
      <c r="A1761" t="s">
        <v>2671</v>
      </c>
      <c r="B1761" t="s">
        <v>458</v>
      </c>
      <c r="C1761" s="1">
        <v>45150</v>
      </c>
      <c r="D1761" s="1" t="str">
        <f>PROPER(orders[[#This Row],[order_priority]])</f>
        <v>Economy</v>
      </c>
      <c r="E1761" t="s">
        <v>13316</v>
      </c>
      <c r="F1761" t="str">
        <f>IFERROR(INDEX(customers[country], MATCH(orders[[#This Row],[customer_id]], customers[customer_id], 0)), "Unmapped")</f>
        <v>Poland</v>
      </c>
      <c r="G1761" t="str">
        <f>IFERROR(INDEX(Region_Map[Region], MATCH(orders[[#This Row],[Customer_Country]], Region_Map[Country], 0)), "Unknown")</f>
        <v>Central Europe</v>
      </c>
      <c r="H1761" t="s">
        <v>6949</v>
      </c>
    </row>
    <row r="1762" spans="1:8">
      <c r="A1762" t="s">
        <v>2672</v>
      </c>
      <c r="B1762" t="s">
        <v>228</v>
      </c>
      <c r="C1762" s="1">
        <v>45071</v>
      </c>
      <c r="D1762" s="1" t="str">
        <f>PROPER(orders[[#This Row],[order_priority]])</f>
        <v>Same Day</v>
      </c>
      <c r="E1762" t="s">
        <v>13322</v>
      </c>
      <c r="F1762" t="str">
        <f>IFERROR(INDEX(customers[country], MATCH(orders[[#This Row],[customer_id]], customers[customer_id], 0)), "Unmapped")</f>
        <v>Latvia</v>
      </c>
      <c r="G1762" t="str">
        <f>IFERROR(INDEX(Region_Map[Region], MATCH(orders[[#This Row],[Customer_Country]], Region_Map[Country], 0)), "Unknown")</f>
        <v>Baltics</v>
      </c>
      <c r="H1762" t="s">
        <v>6949</v>
      </c>
    </row>
    <row r="1763" spans="1:8">
      <c r="A1763" t="s">
        <v>2673</v>
      </c>
      <c r="B1763" t="s">
        <v>769</v>
      </c>
      <c r="C1763" s="1">
        <v>45482</v>
      </c>
      <c r="D1763" s="1" t="str">
        <f>PROPER(orders[[#This Row],[order_priority]])</f>
        <v>Same Day</v>
      </c>
      <c r="E1763" t="s">
        <v>13322</v>
      </c>
      <c r="F1763" t="str">
        <f>IFERROR(INDEX(customers[country], MATCH(orders[[#This Row],[customer_id]], customers[customer_id], 0)), "Unmapped")</f>
        <v>Latvia</v>
      </c>
      <c r="G1763" t="str">
        <f>IFERROR(INDEX(Region_Map[Region], MATCH(orders[[#This Row],[Customer_Country]], Region_Map[Country], 0)), "Unknown")</f>
        <v>Baltics</v>
      </c>
      <c r="H1763" t="s">
        <v>6949</v>
      </c>
    </row>
    <row r="1764" spans="1:8">
      <c r="A1764" t="s">
        <v>2674</v>
      </c>
      <c r="B1764" t="s">
        <v>201</v>
      </c>
      <c r="C1764" s="1">
        <v>45489</v>
      </c>
      <c r="D1764" s="1" t="str">
        <f>PROPER(orders[[#This Row],[order_priority]])</f>
        <v>Same Day</v>
      </c>
      <c r="E1764" t="s">
        <v>13322</v>
      </c>
      <c r="F1764" t="str">
        <f>IFERROR(INDEX(customers[country], MATCH(orders[[#This Row],[customer_id]], customers[customer_id], 0)), "Unmapped")</f>
        <v>Estonia</v>
      </c>
      <c r="G1764" t="str">
        <f>IFERROR(INDEX(Region_Map[Region], MATCH(orders[[#This Row],[Customer_Country]], Region_Map[Country], 0)), "Unknown")</f>
        <v>Baltics</v>
      </c>
      <c r="H1764" t="s">
        <v>6949</v>
      </c>
    </row>
    <row r="1765" spans="1:8">
      <c r="A1765" t="s">
        <v>2675</v>
      </c>
      <c r="B1765" t="s">
        <v>314</v>
      </c>
      <c r="C1765" s="1">
        <v>44951</v>
      </c>
      <c r="D1765" s="1" t="str">
        <f>PROPER(orders[[#This Row],[order_priority]])</f>
        <v>Standard</v>
      </c>
      <c r="E1765" t="s">
        <v>13317</v>
      </c>
      <c r="F1765" t="str">
        <f>IFERROR(INDEX(customers[country], MATCH(orders[[#This Row],[customer_id]], customers[customer_id], 0)), "Unmapped")</f>
        <v>Poland</v>
      </c>
      <c r="G1765" t="str">
        <f>IFERROR(INDEX(Region_Map[Region], MATCH(orders[[#This Row],[Customer_Country]], Region_Map[Country], 0)), "Unknown")</f>
        <v>Central Europe</v>
      </c>
      <c r="H1765" t="s">
        <v>6949</v>
      </c>
    </row>
    <row r="1766" spans="1:8">
      <c r="A1766" t="s">
        <v>2676</v>
      </c>
      <c r="B1766" t="s">
        <v>746</v>
      </c>
      <c r="C1766" s="1">
        <v>45463</v>
      </c>
      <c r="D1766" s="1" t="str">
        <f>PROPER(orders[[#This Row],[order_priority]])</f>
        <v>Same Day</v>
      </c>
      <c r="E1766" t="s">
        <v>13322</v>
      </c>
      <c r="F1766" t="str">
        <f>IFERROR(INDEX(customers[country], MATCH(orders[[#This Row],[customer_id]], customers[customer_id], 0)), "Unmapped")</f>
        <v>Poland</v>
      </c>
      <c r="G1766" t="str">
        <f>IFERROR(INDEX(Region_Map[Region], MATCH(orders[[#This Row],[Customer_Country]], Region_Map[Country], 0)), "Unknown")</f>
        <v>Central Europe</v>
      </c>
      <c r="H1766" t="s">
        <v>6949</v>
      </c>
    </row>
    <row r="1767" spans="1:8">
      <c r="A1767" t="s">
        <v>2677</v>
      </c>
      <c r="B1767" t="s">
        <v>521</v>
      </c>
      <c r="C1767" s="1">
        <v>45446</v>
      </c>
      <c r="D1767" s="1" t="str">
        <f>PROPER(orders[[#This Row],[order_priority]])</f>
        <v>Standard</v>
      </c>
      <c r="E1767" t="s">
        <v>13317</v>
      </c>
      <c r="F1767" t="str">
        <f>IFERROR(INDEX(customers[country], MATCH(orders[[#This Row],[customer_id]], customers[customer_id], 0)), "Unmapped")</f>
        <v>Norway</v>
      </c>
      <c r="G1767" t="str">
        <f>IFERROR(INDEX(Region_Map[Region], MATCH(orders[[#This Row],[Customer_Country]], Region_Map[Country], 0)), "Unknown")</f>
        <v>Nordics</v>
      </c>
      <c r="H1767" t="s">
        <v>6949</v>
      </c>
    </row>
    <row r="1768" spans="1:8">
      <c r="A1768" t="s">
        <v>2678</v>
      </c>
      <c r="B1768" t="s">
        <v>787</v>
      </c>
      <c r="C1768" s="1">
        <v>45092</v>
      </c>
      <c r="D1768" s="1" t="str">
        <f>PROPER(orders[[#This Row],[order_priority]])</f>
        <v>Same Day</v>
      </c>
      <c r="E1768" t="s">
        <v>13324</v>
      </c>
      <c r="F1768" t="str">
        <f>IFERROR(INDEX(customers[country], MATCH(orders[[#This Row],[customer_id]], customers[customer_id], 0)), "Unmapped")</f>
        <v>Netherlands</v>
      </c>
      <c r="G1768" t="str">
        <f>IFERROR(INDEX(Region_Map[Region], MATCH(orders[[#This Row],[Customer_Country]], Region_Map[Country], 0)), "Unknown")</f>
        <v>Central Europe</v>
      </c>
      <c r="H1768" t="s">
        <v>6949</v>
      </c>
    </row>
    <row r="1769" spans="1:8">
      <c r="A1769" t="s">
        <v>2679</v>
      </c>
      <c r="B1769" t="s">
        <v>796</v>
      </c>
      <c r="C1769" s="1">
        <v>45515</v>
      </c>
      <c r="D1769" s="1" t="str">
        <f>PROPER(orders[[#This Row],[order_priority]])</f>
        <v>Economy</v>
      </c>
      <c r="E1769" t="s">
        <v>13316</v>
      </c>
      <c r="F1769" t="str">
        <f>IFERROR(INDEX(customers[country], MATCH(orders[[#This Row],[customer_id]], customers[customer_id], 0)), "Unmapped")</f>
        <v>Sweden</v>
      </c>
      <c r="G1769" t="str">
        <f>IFERROR(INDEX(Region_Map[Region], MATCH(orders[[#This Row],[Customer_Country]], Region_Map[Country], 0)), "Unknown")</f>
        <v>Nordics</v>
      </c>
      <c r="H1769" t="s">
        <v>6949</v>
      </c>
    </row>
    <row r="1770" spans="1:8">
      <c r="A1770" t="s">
        <v>2680</v>
      </c>
      <c r="B1770" t="s">
        <v>449</v>
      </c>
      <c r="C1770" s="1">
        <v>45585</v>
      </c>
      <c r="D1770" s="1" t="str">
        <f>PROPER(orders[[#This Row],[order_priority]])</f>
        <v>Standard</v>
      </c>
      <c r="E1770" t="s">
        <v>13317</v>
      </c>
      <c r="F1770" t="str">
        <f>IFERROR(INDEX(customers[country], MATCH(orders[[#This Row],[customer_id]], customers[customer_id], 0)), "Unmapped")</f>
        <v>Norway</v>
      </c>
      <c r="G1770" t="str">
        <f>IFERROR(INDEX(Region_Map[Region], MATCH(orders[[#This Row],[Customer_Country]], Region_Map[Country], 0)), "Unknown")</f>
        <v>Nordics</v>
      </c>
      <c r="H1770" t="s">
        <v>6949</v>
      </c>
    </row>
    <row r="1771" spans="1:8">
      <c r="A1771" t="s">
        <v>2681</v>
      </c>
      <c r="B1771" t="s">
        <v>383</v>
      </c>
      <c r="C1771" s="1">
        <v>44982</v>
      </c>
      <c r="D1771" s="1" t="str">
        <f>PROPER(orders[[#This Row],[order_priority]])</f>
        <v>Economy</v>
      </c>
      <c r="E1771" t="s">
        <v>13316</v>
      </c>
      <c r="F1771" t="str">
        <f>IFERROR(INDEX(customers[country], MATCH(orders[[#This Row],[customer_id]], customers[customer_id], 0)), "Unmapped")</f>
        <v>Germany</v>
      </c>
      <c r="G1771" t="str">
        <f>IFERROR(INDEX(Region_Map[Region], MATCH(orders[[#This Row],[Customer_Country]], Region_Map[Country], 0)), "Unknown")</f>
        <v>Central Europe</v>
      </c>
      <c r="H1771" t="s">
        <v>6949</v>
      </c>
    </row>
    <row r="1772" spans="1:8">
      <c r="A1772" t="s">
        <v>2682</v>
      </c>
      <c r="B1772" t="s">
        <v>198</v>
      </c>
      <c r="C1772" s="1">
        <v>45578</v>
      </c>
      <c r="D1772" s="1" t="str">
        <f>PROPER(orders[[#This Row],[order_priority]])</f>
        <v>Same Day</v>
      </c>
      <c r="E1772" t="s">
        <v>13321</v>
      </c>
      <c r="F1772" t="str">
        <f>IFERROR(INDEX(customers[country], MATCH(orders[[#This Row],[customer_id]], customers[customer_id], 0)), "Unmapped")</f>
        <v>Poland</v>
      </c>
      <c r="G1772" t="str">
        <f>IFERROR(INDEX(Region_Map[Region], MATCH(orders[[#This Row],[Customer_Country]], Region_Map[Country], 0)), "Unknown")</f>
        <v>Central Europe</v>
      </c>
      <c r="H1772" t="s">
        <v>6949</v>
      </c>
    </row>
    <row r="1773" spans="1:8">
      <c r="A1773" t="s">
        <v>2683</v>
      </c>
      <c r="B1773" t="s">
        <v>395</v>
      </c>
      <c r="C1773" s="1">
        <v>45326</v>
      </c>
      <c r="D1773" s="1" t="str">
        <f>PROPER(orders[[#This Row],[order_priority]])</f>
        <v>Standard</v>
      </c>
      <c r="E1773" t="s">
        <v>13317</v>
      </c>
      <c r="F1773" t="str">
        <f>IFERROR(INDEX(customers[country], MATCH(orders[[#This Row],[customer_id]], customers[customer_id], 0)), "Unmapped")</f>
        <v>Sweden</v>
      </c>
      <c r="G1773" t="str">
        <f>IFERROR(INDEX(Region_Map[Region], MATCH(orders[[#This Row],[Customer_Country]], Region_Map[Country], 0)), "Unknown")</f>
        <v>Nordics</v>
      </c>
      <c r="H1773" t="s">
        <v>6949</v>
      </c>
    </row>
    <row r="1774" spans="1:8">
      <c r="A1774" t="s">
        <v>2684</v>
      </c>
      <c r="B1774" t="s">
        <v>237</v>
      </c>
      <c r="C1774" s="1">
        <v>45483</v>
      </c>
      <c r="D1774" s="1" t="str">
        <f>PROPER(orders[[#This Row],[order_priority]])</f>
        <v>Economy</v>
      </c>
      <c r="E1774" t="s">
        <v>13328</v>
      </c>
      <c r="F1774" t="str">
        <f>IFERROR(INDEX(customers[country], MATCH(orders[[#This Row],[customer_id]], customers[customer_id], 0)), "Unmapped")</f>
        <v>Sweden</v>
      </c>
      <c r="G1774" t="str">
        <f>IFERROR(INDEX(Region_Map[Region], MATCH(orders[[#This Row],[Customer_Country]], Region_Map[Country], 0)), "Unknown")</f>
        <v>Nordics</v>
      </c>
      <c r="H1774" t="s">
        <v>6949</v>
      </c>
    </row>
    <row r="1775" spans="1:8">
      <c r="A1775" t="s">
        <v>2685</v>
      </c>
      <c r="B1775" t="s">
        <v>694</v>
      </c>
      <c r="C1775" s="1">
        <v>44934</v>
      </c>
      <c r="D1775" s="1" t="str">
        <f>PROPER(orders[[#This Row],[order_priority]])</f>
        <v>Express</v>
      </c>
      <c r="E1775" t="s">
        <v>13318</v>
      </c>
      <c r="F1775" t="str">
        <f>IFERROR(INDEX(customers[country], MATCH(orders[[#This Row],[customer_id]], customers[customer_id], 0)), "Unmapped")</f>
        <v>Lithuania</v>
      </c>
      <c r="G1775" t="str">
        <f>IFERROR(INDEX(Region_Map[Region], MATCH(orders[[#This Row],[Customer_Country]], Region_Map[Country], 0)), "Unknown")</f>
        <v>Baltics</v>
      </c>
      <c r="H1775" t="s">
        <v>6949</v>
      </c>
    </row>
    <row r="1776" spans="1:8">
      <c r="A1776" t="s">
        <v>2686</v>
      </c>
      <c r="B1776" t="s">
        <v>667</v>
      </c>
      <c r="C1776" s="1">
        <v>45107</v>
      </c>
      <c r="D1776" s="1" t="str">
        <f>PROPER(orders[[#This Row],[order_priority]])</f>
        <v>Same Day</v>
      </c>
      <c r="E1776" t="s">
        <v>13322</v>
      </c>
      <c r="F1776" t="str">
        <f>IFERROR(INDEX(customers[country], MATCH(orders[[#This Row],[customer_id]], customers[customer_id], 0)), "Unmapped")</f>
        <v>Germany</v>
      </c>
      <c r="G1776" t="str">
        <f>IFERROR(INDEX(Region_Map[Region], MATCH(orders[[#This Row],[Customer_Country]], Region_Map[Country], 0)), "Unknown")</f>
        <v>Central Europe</v>
      </c>
      <c r="H1776" t="s">
        <v>6949</v>
      </c>
    </row>
    <row r="1777" spans="1:8">
      <c r="A1777" t="s">
        <v>2687</v>
      </c>
      <c r="B1777" t="s">
        <v>6949</v>
      </c>
      <c r="C1777" s="1">
        <v>45551</v>
      </c>
      <c r="D1777" s="1" t="str">
        <f>PROPER(orders[[#This Row],[order_priority]])</f>
        <v>Economy</v>
      </c>
      <c r="E1777" t="s">
        <v>13316</v>
      </c>
      <c r="F1777" t="str">
        <f>IFERROR(INDEX(customers[country], MATCH(orders[[#This Row],[customer_id]], customers[customer_id], 0)), "Unmapped")</f>
        <v>Unmapped</v>
      </c>
      <c r="G1777" t="str">
        <f>IFERROR(INDEX(Region_Map[Region], MATCH(orders[[#This Row],[Customer_Country]], Region_Map[Country], 0)), "Unknown")</f>
        <v>Unknown</v>
      </c>
      <c r="H1777" t="s">
        <v>6949</v>
      </c>
    </row>
    <row r="1778" spans="1:8">
      <c r="A1778" t="s">
        <v>2688</v>
      </c>
      <c r="B1778" t="s">
        <v>891</v>
      </c>
      <c r="C1778" s="1">
        <v>45476</v>
      </c>
      <c r="D1778" s="1" t="str">
        <f>PROPER(orders[[#This Row],[order_priority]])</f>
        <v>Economy</v>
      </c>
      <c r="E1778" t="s">
        <v>13316</v>
      </c>
      <c r="F1778" t="str">
        <f>IFERROR(INDEX(customers[country], MATCH(orders[[#This Row],[customer_id]], customers[customer_id], 0)), "Unmapped")</f>
        <v>Netherlands</v>
      </c>
      <c r="G1778" t="str">
        <f>IFERROR(INDEX(Region_Map[Region], MATCH(orders[[#This Row],[Customer_Country]], Region_Map[Country], 0)), "Unknown")</f>
        <v>Central Europe</v>
      </c>
      <c r="H1778" t="s">
        <v>6949</v>
      </c>
    </row>
    <row r="1779" spans="1:8">
      <c r="A1779" t="s">
        <v>2689</v>
      </c>
      <c r="B1779" t="s">
        <v>181</v>
      </c>
      <c r="C1779" s="1">
        <v>44980</v>
      </c>
      <c r="D1779" s="1" t="str">
        <f>PROPER(orders[[#This Row],[order_priority]])</f>
        <v>Standard</v>
      </c>
      <c r="E1779" t="s">
        <v>13317</v>
      </c>
      <c r="F1779" t="str">
        <f>IFERROR(INDEX(customers[country], MATCH(orders[[#This Row],[customer_id]], customers[customer_id], 0)), "Unmapped")</f>
        <v>Netherlands</v>
      </c>
      <c r="G1779" t="str">
        <f>IFERROR(INDEX(Region_Map[Region], MATCH(orders[[#This Row],[Customer_Country]], Region_Map[Country], 0)), "Unknown")</f>
        <v>Central Europe</v>
      </c>
      <c r="H1779" t="s">
        <v>6949</v>
      </c>
    </row>
    <row r="1780" spans="1:8">
      <c r="A1780" t="s">
        <v>2690</v>
      </c>
      <c r="B1780" t="s">
        <v>189</v>
      </c>
      <c r="C1780" s="1">
        <v>45293</v>
      </c>
      <c r="D1780" s="1" t="str">
        <f>PROPER(orders[[#This Row],[order_priority]])</f>
        <v>Same Day</v>
      </c>
      <c r="E1780" t="s">
        <v>13322</v>
      </c>
      <c r="F1780" t="str">
        <f>IFERROR(INDEX(customers[country], MATCH(orders[[#This Row],[customer_id]], customers[customer_id], 0)), "Unmapped")</f>
        <v>Norway</v>
      </c>
      <c r="G1780" t="str">
        <f>IFERROR(INDEX(Region_Map[Region], MATCH(orders[[#This Row],[Customer_Country]], Region_Map[Country], 0)), "Unknown")</f>
        <v>Nordics</v>
      </c>
      <c r="H1780" t="s">
        <v>6949</v>
      </c>
    </row>
    <row r="1781" spans="1:8">
      <c r="A1781" t="s">
        <v>2691</v>
      </c>
      <c r="B1781" t="s">
        <v>96</v>
      </c>
      <c r="C1781" s="1">
        <v>45148</v>
      </c>
      <c r="D1781" s="1" t="str">
        <f>PROPER(orders[[#This Row],[order_priority]])</f>
        <v>Express</v>
      </c>
      <c r="E1781" t="s">
        <v>13318</v>
      </c>
      <c r="F1781" t="str">
        <f>IFERROR(INDEX(customers[country], MATCH(orders[[#This Row],[customer_id]], customers[customer_id], 0)), "Unmapped")</f>
        <v>Sweden</v>
      </c>
      <c r="G1781" t="str">
        <f>IFERROR(INDEX(Region_Map[Region], MATCH(orders[[#This Row],[Customer_Country]], Region_Map[Country], 0)), "Unknown")</f>
        <v>Nordics</v>
      </c>
      <c r="H1781" t="s">
        <v>6949</v>
      </c>
    </row>
    <row r="1782" spans="1:8">
      <c r="A1782" t="s">
        <v>2692</v>
      </c>
      <c r="B1782" t="s">
        <v>145</v>
      </c>
      <c r="C1782" s="1">
        <v>45142</v>
      </c>
      <c r="D1782" s="1" t="str">
        <f>PROPER(orders[[#This Row],[order_priority]])</f>
        <v>Express</v>
      </c>
      <c r="E1782" t="s">
        <v>13318</v>
      </c>
      <c r="F1782" t="str">
        <f>IFERROR(INDEX(customers[country], MATCH(orders[[#This Row],[customer_id]], customers[customer_id], 0)), "Unmapped")</f>
        <v>Latvia</v>
      </c>
      <c r="G1782" t="str">
        <f>IFERROR(INDEX(Region_Map[Region], MATCH(orders[[#This Row],[Customer_Country]], Region_Map[Country], 0)), "Unknown")</f>
        <v>Baltics</v>
      </c>
      <c r="H1782" t="s">
        <v>6949</v>
      </c>
    </row>
    <row r="1783" spans="1:8">
      <c r="A1783" t="s">
        <v>2693</v>
      </c>
      <c r="B1783" t="s">
        <v>398</v>
      </c>
      <c r="C1783" s="1">
        <v>45038</v>
      </c>
      <c r="D1783" s="1" t="str">
        <f>PROPER(orders[[#This Row],[order_priority]])</f>
        <v>Standard</v>
      </c>
      <c r="E1783" t="s">
        <v>13317</v>
      </c>
      <c r="F1783" t="str">
        <f>IFERROR(INDEX(customers[country], MATCH(orders[[#This Row],[customer_id]], customers[customer_id], 0)), "Unmapped")</f>
        <v>Sweden</v>
      </c>
      <c r="G1783" t="str">
        <f>IFERROR(INDEX(Region_Map[Region], MATCH(orders[[#This Row],[Customer_Country]], Region_Map[Country], 0)), "Unknown")</f>
        <v>Nordics</v>
      </c>
      <c r="H1783" t="s">
        <v>6949</v>
      </c>
    </row>
    <row r="1784" spans="1:8">
      <c r="A1784" t="s">
        <v>2694</v>
      </c>
      <c r="B1784" t="s">
        <v>160</v>
      </c>
      <c r="C1784" s="1">
        <v>45369</v>
      </c>
      <c r="D1784" s="1" t="str">
        <f>PROPER(orders[[#This Row],[order_priority]])</f>
        <v>Standard</v>
      </c>
      <c r="E1784" t="s">
        <v>13317</v>
      </c>
      <c r="F1784" t="str">
        <f>IFERROR(INDEX(customers[country], MATCH(orders[[#This Row],[customer_id]], customers[customer_id], 0)), "Unmapped")</f>
        <v>Denmark</v>
      </c>
      <c r="G1784" t="str">
        <f>IFERROR(INDEX(Region_Map[Region], MATCH(orders[[#This Row],[Customer_Country]], Region_Map[Country], 0)), "Unknown")</f>
        <v>Nordics</v>
      </c>
      <c r="H1784" t="s">
        <v>6949</v>
      </c>
    </row>
    <row r="1785" spans="1:8">
      <c r="A1785" t="s">
        <v>2695</v>
      </c>
      <c r="B1785" t="s">
        <v>482</v>
      </c>
      <c r="C1785" s="1">
        <v>45405</v>
      </c>
      <c r="D1785" s="1" t="str">
        <f>PROPER(orders[[#This Row],[order_priority]])</f>
        <v>Economy</v>
      </c>
      <c r="E1785" t="s">
        <v>13316</v>
      </c>
      <c r="F1785" t="str">
        <f>IFERROR(INDEX(customers[country], MATCH(orders[[#This Row],[customer_id]], customers[customer_id], 0)), "Unmapped")</f>
        <v>Finland</v>
      </c>
      <c r="G1785" t="str">
        <f>IFERROR(INDEX(Region_Map[Region], MATCH(orders[[#This Row],[Customer_Country]], Region_Map[Country], 0)), "Unknown")</f>
        <v>Nordics</v>
      </c>
      <c r="H1785" t="s">
        <v>6949</v>
      </c>
    </row>
    <row r="1786" spans="1:8">
      <c r="A1786" t="s">
        <v>2696</v>
      </c>
      <c r="B1786" t="s">
        <v>849</v>
      </c>
      <c r="C1786" s="1">
        <v>45029</v>
      </c>
      <c r="D1786" s="1" t="str">
        <f>PROPER(orders[[#This Row],[order_priority]])</f>
        <v>Economy</v>
      </c>
      <c r="E1786" t="s">
        <v>13325</v>
      </c>
      <c r="F1786" t="str">
        <f>IFERROR(INDEX(customers[country], MATCH(orders[[#This Row],[customer_id]], customers[customer_id], 0)), "Unmapped")</f>
        <v>Lithuania</v>
      </c>
      <c r="G1786" t="str">
        <f>IFERROR(INDEX(Region_Map[Region], MATCH(orders[[#This Row],[Customer_Country]], Region_Map[Country], 0)), "Unknown")</f>
        <v>Baltics</v>
      </c>
      <c r="H1786" t="s">
        <v>6949</v>
      </c>
    </row>
    <row r="1787" spans="1:8">
      <c r="A1787" t="s">
        <v>2697</v>
      </c>
      <c r="B1787" t="s">
        <v>258</v>
      </c>
      <c r="C1787" s="1">
        <v>45415</v>
      </c>
      <c r="D1787" s="1" t="str">
        <f>PROPER(orders[[#This Row],[order_priority]])</f>
        <v>Standard</v>
      </c>
      <c r="E1787" t="s">
        <v>13317</v>
      </c>
      <c r="F1787" t="str">
        <f>IFERROR(INDEX(customers[country], MATCH(orders[[#This Row],[customer_id]], customers[customer_id], 0)), "Unmapped")</f>
        <v>Latvia</v>
      </c>
      <c r="G1787" t="str">
        <f>IFERROR(INDEX(Region_Map[Region], MATCH(orders[[#This Row],[Customer_Country]], Region_Map[Country], 0)), "Unknown")</f>
        <v>Baltics</v>
      </c>
      <c r="H1787" t="s">
        <v>6949</v>
      </c>
    </row>
    <row r="1788" spans="1:8">
      <c r="A1788" t="s">
        <v>2698</v>
      </c>
      <c r="B1788" t="s">
        <v>822</v>
      </c>
      <c r="C1788" s="1">
        <v>45083</v>
      </c>
      <c r="D1788" s="1" t="str">
        <f>PROPER(orders[[#This Row],[order_priority]])</f>
        <v>Economy</v>
      </c>
      <c r="E1788" t="s">
        <v>13316</v>
      </c>
      <c r="F1788" t="str">
        <f>IFERROR(INDEX(customers[country], MATCH(orders[[#This Row],[customer_id]], customers[customer_id], 0)), "Unmapped")</f>
        <v>Netherlands</v>
      </c>
      <c r="G1788" t="str">
        <f>IFERROR(INDEX(Region_Map[Region], MATCH(orders[[#This Row],[Customer_Country]], Region_Map[Country], 0)), "Unknown")</f>
        <v>Central Europe</v>
      </c>
      <c r="H1788" t="s">
        <v>6949</v>
      </c>
    </row>
    <row r="1789" spans="1:8">
      <c r="A1789" t="s">
        <v>2699</v>
      </c>
      <c r="B1789" t="s">
        <v>703</v>
      </c>
      <c r="C1789" s="1">
        <v>45581</v>
      </c>
      <c r="D1789" s="1" t="str">
        <f>PROPER(orders[[#This Row],[order_priority]])</f>
        <v>Express</v>
      </c>
      <c r="E1789" t="s">
        <v>13318</v>
      </c>
      <c r="F1789" t="str">
        <f>IFERROR(INDEX(customers[country], MATCH(orders[[#This Row],[customer_id]], customers[customer_id], 0)), "Unmapped")</f>
        <v>Estonia</v>
      </c>
      <c r="G1789" t="str">
        <f>IFERROR(INDEX(Region_Map[Region], MATCH(orders[[#This Row],[Customer_Country]], Region_Map[Country], 0)), "Unknown")</f>
        <v>Baltics</v>
      </c>
      <c r="H1789" t="s">
        <v>6949</v>
      </c>
    </row>
    <row r="1790" spans="1:8">
      <c r="A1790" t="s">
        <v>2700</v>
      </c>
      <c r="B1790" t="s">
        <v>575</v>
      </c>
      <c r="C1790" s="1">
        <v>45129</v>
      </c>
      <c r="D1790" s="1" t="str">
        <f>PROPER(orders[[#This Row],[order_priority]])</f>
        <v>Economy</v>
      </c>
      <c r="E1790" t="s">
        <v>13316</v>
      </c>
      <c r="F1790" t="str">
        <f>IFERROR(INDEX(customers[country], MATCH(orders[[#This Row],[customer_id]], customers[customer_id], 0)), "Unmapped")</f>
        <v>Netherlands</v>
      </c>
      <c r="G1790" t="str">
        <f>IFERROR(INDEX(Region_Map[Region], MATCH(orders[[#This Row],[Customer_Country]], Region_Map[Country], 0)), "Unknown")</f>
        <v>Central Europe</v>
      </c>
      <c r="H1790" t="s">
        <v>6949</v>
      </c>
    </row>
    <row r="1791" spans="1:8">
      <c r="A1791" t="s">
        <v>2701</v>
      </c>
      <c r="B1791" t="s">
        <v>647</v>
      </c>
      <c r="C1791" s="1">
        <v>45212</v>
      </c>
      <c r="D1791" s="1" t="str">
        <f>PROPER(orders[[#This Row],[order_priority]])</f>
        <v>Same Day</v>
      </c>
      <c r="E1791" t="s">
        <v>13322</v>
      </c>
      <c r="F1791" t="str">
        <f>IFERROR(INDEX(customers[country], MATCH(orders[[#This Row],[customer_id]], customers[customer_id], 0)), "Unmapped")</f>
        <v>Netherlands</v>
      </c>
      <c r="G1791" t="str">
        <f>IFERROR(INDEX(Region_Map[Region], MATCH(orders[[#This Row],[Customer_Country]], Region_Map[Country], 0)), "Unknown")</f>
        <v>Central Europe</v>
      </c>
      <c r="H1791" t="s">
        <v>6949</v>
      </c>
    </row>
    <row r="1792" spans="1:8">
      <c r="A1792" t="s">
        <v>2702</v>
      </c>
      <c r="B1792" t="s">
        <v>213</v>
      </c>
      <c r="C1792" s="1">
        <v>45198</v>
      </c>
      <c r="D1792" s="1" t="str">
        <f>PROPER(orders[[#This Row],[order_priority]])</f>
        <v>Standard</v>
      </c>
      <c r="E1792" t="s">
        <v>13317</v>
      </c>
      <c r="F1792" t="str">
        <f>IFERROR(INDEX(customers[country], MATCH(orders[[#This Row],[customer_id]], customers[customer_id], 0)), "Unmapped")</f>
        <v>Denmark</v>
      </c>
      <c r="G1792" t="str">
        <f>IFERROR(INDEX(Region_Map[Region], MATCH(orders[[#This Row],[Customer_Country]], Region_Map[Country], 0)), "Unknown")</f>
        <v>Nordics</v>
      </c>
      <c r="H1792" t="s">
        <v>6949</v>
      </c>
    </row>
    <row r="1793" spans="1:8">
      <c r="A1793" t="s">
        <v>2703</v>
      </c>
      <c r="B1793" t="s">
        <v>500</v>
      </c>
      <c r="C1793" s="1">
        <v>45445</v>
      </c>
      <c r="D1793" s="1" t="str">
        <f>PROPER(orders[[#This Row],[order_priority]])</f>
        <v>Economy</v>
      </c>
      <c r="E1793" t="s">
        <v>13328</v>
      </c>
      <c r="F1793" t="str">
        <f>IFERROR(INDEX(customers[country], MATCH(orders[[#This Row],[customer_id]], customers[customer_id], 0)), "Unmapped")</f>
        <v>Estonia</v>
      </c>
      <c r="G1793" t="str">
        <f>IFERROR(INDEX(Region_Map[Region], MATCH(orders[[#This Row],[Customer_Country]], Region_Map[Country], 0)), "Unknown")</f>
        <v>Baltics</v>
      </c>
      <c r="H1793" t="s">
        <v>6949</v>
      </c>
    </row>
    <row r="1794" spans="1:8">
      <c r="A1794" t="s">
        <v>2704</v>
      </c>
      <c r="B1794" t="s">
        <v>813</v>
      </c>
      <c r="C1794" s="1">
        <v>45272</v>
      </c>
      <c r="D1794" s="1" t="str">
        <f>PROPER(orders[[#This Row],[order_priority]])</f>
        <v>Economy</v>
      </c>
      <c r="E1794" t="s">
        <v>13316</v>
      </c>
      <c r="F1794" t="str">
        <f>IFERROR(INDEX(customers[country], MATCH(orders[[#This Row],[customer_id]], customers[customer_id], 0)), "Unmapped")</f>
        <v>Norway</v>
      </c>
      <c r="G1794" t="str">
        <f>IFERROR(INDEX(Region_Map[Region], MATCH(orders[[#This Row],[Customer_Country]], Region_Map[Country], 0)), "Unknown")</f>
        <v>Nordics</v>
      </c>
      <c r="H1794" t="s">
        <v>6949</v>
      </c>
    </row>
    <row r="1795" spans="1:8">
      <c r="A1795" t="s">
        <v>2705</v>
      </c>
      <c r="B1795" t="s">
        <v>724</v>
      </c>
      <c r="C1795" s="1">
        <v>45465</v>
      </c>
      <c r="D1795" s="1" t="str">
        <f>PROPER(orders[[#This Row],[order_priority]])</f>
        <v>Express</v>
      </c>
      <c r="E1795" t="s">
        <v>13318</v>
      </c>
      <c r="F1795" t="str">
        <f>IFERROR(INDEX(customers[country], MATCH(orders[[#This Row],[customer_id]], customers[customer_id], 0)), "Unmapped")</f>
        <v>Denmark</v>
      </c>
      <c r="G1795" t="str">
        <f>IFERROR(INDEX(Region_Map[Region], MATCH(orders[[#This Row],[Customer_Country]], Region_Map[Country], 0)), "Unknown")</f>
        <v>Nordics</v>
      </c>
      <c r="H1795" t="s">
        <v>6949</v>
      </c>
    </row>
    <row r="1796" spans="1:8">
      <c r="A1796" t="s">
        <v>2706</v>
      </c>
      <c r="B1796" t="s">
        <v>252</v>
      </c>
      <c r="C1796" s="1">
        <v>45112</v>
      </c>
      <c r="D1796" s="1" t="str">
        <f>PROPER(orders[[#This Row],[order_priority]])</f>
        <v>Economy</v>
      </c>
      <c r="E1796" t="s">
        <v>13316</v>
      </c>
      <c r="F1796" t="str">
        <f>IFERROR(INDEX(customers[country], MATCH(orders[[#This Row],[customer_id]], customers[customer_id], 0)), "Unmapped")</f>
        <v>Lithuania</v>
      </c>
      <c r="G1796" t="str">
        <f>IFERROR(INDEX(Region_Map[Region], MATCH(orders[[#This Row],[Customer_Country]], Region_Map[Country], 0)), "Unknown")</f>
        <v>Baltics</v>
      </c>
      <c r="H1796" t="s">
        <v>6949</v>
      </c>
    </row>
    <row r="1797" spans="1:8">
      <c r="A1797" t="s">
        <v>2707</v>
      </c>
      <c r="B1797" t="s">
        <v>90</v>
      </c>
      <c r="C1797" s="1">
        <v>45012</v>
      </c>
      <c r="D1797" s="1" t="str">
        <f>PROPER(orders[[#This Row],[order_priority]])</f>
        <v>Express</v>
      </c>
      <c r="E1797" t="s">
        <v>13318</v>
      </c>
      <c r="F1797" t="str">
        <f>IFERROR(INDEX(customers[country], MATCH(orders[[#This Row],[customer_id]], customers[customer_id], 0)), "Unmapped")</f>
        <v>Netherlands</v>
      </c>
      <c r="G1797" t="str">
        <f>IFERROR(INDEX(Region_Map[Region], MATCH(orders[[#This Row],[Customer_Country]], Region_Map[Country], 0)), "Unknown")</f>
        <v>Central Europe</v>
      </c>
      <c r="H1797" t="s">
        <v>6949</v>
      </c>
    </row>
    <row r="1798" spans="1:8">
      <c r="A1798" t="s">
        <v>2708</v>
      </c>
      <c r="B1798" t="s">
        <v>61</v>
      </c>
      <c r="C1798" s="1">
        <v>45252</v>
      </c>
      <c r="D1798" s="1" t="str">
        <f>PROPER(orders[[#This Row],[order_priority]])</f>
        <v>Economy</v>
      </c>
      <c r="E1798" t="s">
        <v>13316</v>
      </c>
      <c r="F1798" t="str">
        <f>IFERROR(INDEX(customers[country], MATCH(orders[[#This Row],[customer_id]], customers[customer_id], 0)), "Unmapped")</f>
        <v>Netherlands</v>
      </c>
      <c r="G1798" t="str">
        <f>IFERROR(INDEX(Region_Map[Region], MATCH(orders[[#This Row],[Customer_Country]], Region_Map[Country], 0)), "Unknown")</f>
        <v>Central Europe</v>
      </c>
      <c r="H1798" t="s">
        <v>6949</v>
      </c>
    </row>
    <row r="1799" spans="1:8">
      <c r="A1799" t="s">
        <v>2709</v>
      </c>
      <c r="B1799" t="s">
        <v>638</v>
      </c>
      <c r="C1799" s="1">
        <v>45426</v>
      </c>
      <c r="D1799" s="1" t="str">
        <f>PROPER(orders[[#This Row],[order_priority]])</f>
        <v>Express</v>
      </c>
      <c r="E1799" t="s">
        <v>13318</v>
      </c>
      <c r="F1799" t="str">
        <f>IFERROR(INDEX(customers[country], MATCH(orders[[#This Row],[customer_id]], customers[customer_id], 0)), "Unmapped")</f>
        <v>Germany</v>
      </c>
      <c r="G1799" t="str">
        <f>IFERROR(INDEX(Region_Map[Region], MATCH(orders[[#This Row],[Customer_Country]], Region_Map[Country], 0)), "Unknown")</f>
        <v>Central Europe</v>
      </c>
      <c r="H1799" t="s">
        <v>6949</v>
      </c>
    </row>
    <row r="1800" spans="1:8">
      <c r="A1800" t="s">
        <v>2710</v>
      </c>
      <c r="B1800" t="s">
        <v>700</v>
      </c>
      <c r="C1800" s="1">
        <v>45528</v>
      </c>
      <c r="D1800" s="1" t="str">
        <f>PROPER(orders[[#This Row],[order_priority]])</f>
        <v>Standard</v>
      </c>
      <c r="E1800" t="s">
        <v>13319</v>
      </c>
      <c r="F1800" t="str">
        <f>IFERROR(INDEX(customers[country], MATCH(orders[[#This Row],[customer_id]], customers[customer_id], 0)), "Unmapped")</f>
        <v>Germany</v>
      </c>
      <c r="G1800" t="str">
        <f>IFERROR(INDEX(Region_Map[Region], MATCH(orders[[#This Row],[Customer_Country]], Region_Map[Country], 0)), "Unknown")</f>
        <v>Central Europe</v>
      </c>
      <c r="H1800" t="s">
        <v>6949</v>
      </c>
    </row>
    <row r="1801" spans="1:8">
      <c r="A1801" t="s">
        <v>2711</v>
      </c>
      <c r="B1801" t="s">
        <v>347</v>
      </c>
      <c r="C1801" s="1">
        <v>45516</v>
      </c>
      <c r="D1801" s="1" t="str">
        <f>PROPER(orders[[#This Row],[order_priority]])</f>
        <v>Standard</v>
      </c>
      <c r="E1801" t="s">
        <v>13317</v>
      </c>
      <c r="F1801" t="str">
        <f>IFERROR(INDEX(customers[country], MATCH(orders[[#This Row],[customer_id]], customers[customer_id], 0)), "Unmapped")</f>
        <v>Norway</v>
      </c>
      <c r="G1801" t="str">
        <f>IFERROR(INDEX(Region_Map[Region], MATCH(orders[[#This Row],[Customer_Country]], Region_Map[Country], 0)), "Unknown")</f>
        <v>Nordics</v>
      </c>
      <c r="H1801" t="s">
        <v>6949</v>
      </c>
    </row>
    <row r="1802" spans="1:8">
      <c r="A1802" t="s">
        <v>2712</v>
      </c>
      <c r="B1802" t="s">
        <v>449</v>
      </c>
      <c r="C1802" s="1">
        <v>45156</v>
      </c>
      <c r="D1802" s="1" t="str">
        <f>PROPER(orders[[#This Row],[order_priority]])</f>
        <v>Standard</v>
      </c>
      <c r="E1802" t="s">
        <v>13317</v>
      </c>
      <c r="F1802" t="str">
        <f>IFERROR(INDEX(customers[country], MATCH(orders[[#This Row],[customer_id]], customers[customer_id], 0)), "Unmapped")</f>
        <v>Norway</v>
      </c>
      <c r="G1802" t="str">
        <f>IFERROR(INDEX(Region_Map[Region], MATCH(orders[[#This Row],[Customer_Country]], Region_Map[Country], 0)), "Unknown")</f>
        <v>Nordics</v>
      </c>
      <c r="H1802" t="s">
        <v>6949</v>
      </c>
    </row>
    <row r="1803" spans="1:8">
      <c r="A1803" t="s">
        <v>2713</v>
      </c>
      <c r="B1803" t="s">
        <v>888</v>
      </c>
      <c r="C1803" s="1">
        <v>45429</v>
      </c>
      <c r="D1803" s="1" t="str">
        <f>PROPER(orders[[#This Row],[order_priority]])</f>
        <v>Same Day</v>
      </c>
      <c r="E1803" t="s">
        <v>13322</v>
      </c>
      <c r="F1803" t="str">
        <f>IFERROR(INDEX(customers[country], MATCH(orders[[#This Row],[customer_id]], customers[customer_id], 0)), "Unmapped")</f>
        <v>Denmark</v>
      </c>
      <c r="G1803" t="str">
        <f>IFERROR(INDEX(Region_Map[Region], MATCH(orders[[#This Row],[Customer_Country]], Region_Map[Country], 0)), "Unknown")</f>
        <v>Nordics</v>
      </c>
      <c r="H1803" t="s">
        <v>6949</v>
      </c>
    </row>
    <row r="1804" spans="1:8">
      <c r="A1804" t="s">
        <v>2714</v>
      </c>
      <c r="B1804" t="s">
        <v>169</v>
      </c>
      <c r="C1804" s="1">
        <v>45598</v>
      </c>
      <c r="D1804" s="1" t="str">
        <f>PROPER(orders[[#This Row],[order_priority]])</f>
        <v>Economy</v>
      </c>
      <c r="E1804" t="s">
        <v>13328</v>
      </c>
      <c r="F1804" t="str">
        <f>IFERROR(INDEX(customers[country], MATCH(orders[[#This Row],[customer_id]], customers[customer_id], 0)), "Unmapped")</f>
        <v>Norway</v>
      </c>
      <c r="G1804" t="str">
        <f>IFERROR(INDEX(Region_Map[Region], MATCH(orders[[#This Row],[Customer_Country]], Region_Map[Country], 0)), "Unknown")</f>
        <v>Nordics</v>
      </c>
      <c r="H1804" t="s">
        <v>6949</v>
      </c>
    </row>
    <row r="1805" spans="1:8">
      <c r="A1805" t="s">
        <v>2715</v>
      </c>
      <c r="B1805" t="s">
        <v>127</v>
      </c>
      <c r="C1805" s="1">
        <v>45145</v>
      </c>
      <c r="D1805" s="1" t="str">
        <f>PROPER(orders[[#This Row],[order_priority]])</f>
        <v>Standard</v>
      </c>
      <c r="E1805" t="s">
        <v>13319</v>
      </c>
      <c r="F1805" t="str">
        <f>IFERROR(INDEX(customers[country], MATCH(orders[[#This Row],[customer_id]], customers[customer_id], 0)), "Unmapped")</f>
        <v>Denmark</v>
      </c>
      <c r="G1805" t="str">
        <f>IFERROR(INDEX(Region_Map[Region], MATCH(orders[[#This Row],[Customer_Country]], Region_Map[Country], 0)), "Unknown")</f>
        <v>Nordics</v>
      </c>
      <c r="H1805" t="s">
        <v>6949</v>
      </c>
    </row>
    <row r="1806" spans="1:8">
      <c r="A1806" t="s">
        <v>2716</v>
      </c>
      <c r="B1806" t="s">
        <v>743</v>
      </c>
      <c r="C1806" s="1">
        <v>45468</v>
      </c>
      <c r="D1806" s="1" t="str">
        <f>PROPER(orders[[#This Row],[order_priority]])</f>
        <v>Standard</v>
      </c>
      <c r="E1806" t="s">
        <v>13317</v>
      </c>
      <c r="F1806" t="str">
        <f>IFERROR(INDEX(customers[country], MATCH(orders[[#This Row],[customer_id]], customers[customer_id], 0)), "Unmapped")</f>
        <v>Germany</v>
      </c>
      <c r="G1806" t="str">
        <f>IFERROR(INDEX(Region_Map[Region], MATCH(orders[[#This Row],[Customer_Country]], Region_Map[Country], 0)), "Unknown")</f>
        <v>Central Europe</v>
      </c>
      <c r="H1806" t="s">
        <v>6949</v>
      </c>
    </row>
    <row r="1807" spans="1:8">
      <c r="A1807" t="s">
        <v>2717</v>
      </c>
      <c r="B1807" t="s">
        <v>733</v>
      </c>
      <c r="C1807" s="1">
        <v>45343</v>
      </c>
      <c r="D1807" s="1" t="str">
        <f>PROPER(orders[[#This Row],[order_priority]])</f>
        <v>Express</v>
      </c>
      <c r="E1807" t="s">
        <v>13318</v>
      </c>
      <c r="F1807" t="str">
        <f>IFERROR(INDEX(customers[country], MATCH(orders[[#This Row],[customer_id]], customers[customer_id], 0)), "Unmapped")</f>
        <v>Lithuania</v>
      </c>
      <c r="G1807" t="str">
        <f>IFERROR(INDEX(Region_Map[Region], MATCH(orders[[#This Row],[Customer_Country]], Region_Map[Country], 0)), "Unknown")</f>
        <v>Baltics</v>
      </c>
      <c r="H1807" t="s">
        <v>6949</v>
      </c>
    </row>
    <row r="1808" spans="1:8">
      <c r="A1808" t="s">
        <v>2718</v>
      </c>
      <c r="B1808" t="s">
        <v>849</v>
      </c>
      <c r="C1808" s="1">
        <v>45591</v>
      </c>
      <c r="D1808" s="1" t="str">
        <f>PROPER(orders[[#This Row],[order_priority]])</f>
        <v>Same Day</v>
      </c>
      <c r="E1808" t="s">
        <v>13322</v>
      </c>
      <c r="F1808" t="str">
        <f>IFERROR(INDEX(customers[country], MATCH(orders[[#This Row],[customer_id]], customers[customer_id], 0)), "Unmapped")</f>
        <v>Lithuania</v>
      </c>
      <c r="G1808" t="str">
        <f>IFERROR(INDEX(Region_Map[Region], MATCH(orders[[#This Row],[Customer_Country]], Region_Map[Country], 0)), "Unknown")</f>
        <v>Baltics</v>
      </c>
      <c r="H1808" t="s">
        <v>6949</v>
      </c>
    </row>
    <row r="1809" spans="1:8">
      <c r="A1809" t="s">
        <v>2719</v>
      </c>
      <c r="B1809" t="s">
        <v>181</v>
      </c>
      <c r="C1809" s="1">
        <v>44999</v>
      </c>
      <c r="D1809" s="1" t="str">
        <f>PROPER(orders[[#This Row],[order_priority]])</f>
        <v>Same Day</v>
      </c>
      <c r="E1809" t="s">
        <v>13322</v>
      </c>
      <c r="F1809" t="str">
        <f>IFERROR(INDEX(customers[country], MATCH(orders[[#This Row],[customer_id]], customers[customer_id], 0)), "Unmapped")</f>
        <v>Netherlands</v>
      </c>
      <c r="G1809" t="str">
        <f>IFERROR(INDEX(Region_Map[Region], MATCH(orders[[#This Row],[Customer_Country]], Region_Map[Country], 0)), "Unknown")</f>
        <v>Central Europe</v>
      </c>
      <c r="H1809" t="s">
        <v>6949</v>
      </c>
    </row>
    <row r="1810" spans="1:8">
      <c r="A1810" t="s">
        <v>2720</v>
      </c>
      <c r="B1810" t="s">
        <v>688</v>
      </c>
      <c r="C1810" s="1">
        <v>45167</v>
      </c>
      <c r="D1810" s="1" t="str">
        <f>PROPER(orders[[#This Row],[order_priority]])</f>
        <v>Standard</v>
      </c>
      <c r="E1810" t="s">
        <v>13317</v>
      </c>
      <c r="F1810" t="str">
        <f>IFERROR(INDEX(customers[country], MATCH(orders[[#This Row],[customer_id]], customers[customer_id], 0)), "Unmapped")</f>
        <v>Norway</v>
      </c>
      <c r="G1810" t="str">
        <f>IFERROR(INDEX(Region_Map[Region], MATCH(orders[[#This Row],[Customer_Country]], Region_Map[Country], 0)), "Unknown")</f>
        <v>Nordics</v>
      </c>
      <c r="H1810" t="s">
        <v>6949</v>
      </c>
    </row>
    <row r="1811" spans="1:8">
      <c r="A1811" t="s">
        <v>2721</v>
      </c>
      <c r="B1811" t="s">
        <v>189</v>
      </c>
      <c r="C1811" s="1">
        <v>44984</v>
      </c>
      <c r="D1811" s="1" t="str">
        <f>PROPER(orders[[#This Row],[order_priority]])</f>
        <v>Economy</v>
      </c>
      <c r="E1811" t="s">
        <v>13316</v>
      </c>
      <c r="F1811" t="str">
        <f>IFERROR(INDEX(customers[country], MATCH(orders[[#This Row],[customer_id]], customers[customer_id], 0)), "Unmapped")</f>
        <v>Norway</v>
      </c>
      <c r="G1811" t="str">
        <f>IFERROR(INDEX(Region_Map[Region], MATCH(orders[[#This Row],[Customer_Country]], Region_Map[Country], 0)), "Unknown")</f>
        <v>Nordics</v>
      </c>
      <c r="H1811" t="s">
        <v>6949</v>
      </c>
    </row>
    <row r="1812" spans="1:8">
      <c r="A1812" t="s">
        <v>2722</v>
      </c>
      <c r="B1812" t="s">
        <v>288</v>
      </c>
      <c r="C1812" s="1">
        <v>45506</v>
      </c>
      <c r="D1812" s="1" t="str">
        <f>PROPER(orders[[#This Row],[order_priority]])</f>
        <v>Express</v>
      </c>
      <c r="E1812" t="s">
        <v>13318</v>
      </c>
      <c r="F1812" t="str">
        <f>IFERROR(INDEX(customers[country], MATCH(orders[[#This Row],[customer_id]], customers[customer_id], 0)), "Unmapped")</f>
        <v>Netherlands</v>
      </c>
      <c r="G1812" t="str">
        <f>IFERROR(INDEX(Region_Map[Region], MATCH(orders[[#This Row],[Customer_Country]], Region_Map[Country], 0)), "Unknown")</f>
        <v>Central Europe</v>
      </c>
      <c r="H1812" t="s">
        <v>6949</v>
      </c>
    </row>
    <row r="1813" spans="1:8">
      <c r="A1813" t="s">
        <v>2723</v>
      </c>
      <c r="B1813" t="s">
        <v>805</v>
      </c>
      <c r="C1813" s="1">
        <v>45110</v>
      </c>
      <c r="D1813" s="1" t="str">
        <f>PROPER(orders[[#This Row],[order_priority]])</f>
        <v>Economy</v>
      </c>
      <c r="E1813" t="s">
        <v>13328</v>
      </c>
      <c r="F1813" t="str">
        <f>IFERROR(INDEX(customers[country], MATCH(orders[[#This Row],[customer_id]], customers[customer_id], 0)), "Unmapped")</f>
        <v>Estonia</v>
      </c>
      <c r="G1813" t="str">
        <f>IFERROR(INDEX(Region_Map[Region], MATCH(orders[[#This Row],[Customer_Country]], Region_Map[Country], 0)), "Unknown")</f>
        <v>Baltics</v>
      </c>
      <c r="H1813" t="s">
        <v>6949</v>
      </c>
    </row>
    <row r="1814" spans="1:8">
      <c r="A1814" t="s">
        <v>2724</v>
      </c>
      <c r="B1814" t="s">
        <v>584</v>
      </c>
      <c r="C1814" s="1">
        <v>45168</v>
      </c>
      <c r="D1814" s="1" t="str">
        <f>PROPER(orders[[#This Row],[order_priority]])</f>
        <v>Same Day</v>
      </c>
      <c r="E1814" t="s">
        <v>13322</v>
      </c>
      <c r="F1814" t="str">
        <f>IFERROR(INDEX(customers[country], MATCH(orders[[#This Row],[customer_id]], customers[customer_id], 0)), "Unmapped")</f>
        <v>Netherlands</v>
      </c>
      <c r="G1814" t="str">
        <f>IFERROR(INDEX(Region_Map[Region], MATCH(orders[[#This Row],[Customer_Country]], Region_Map[Country], 0)), "Unknown")</f>
        <v>Central Europe</v>
      </c>
      <c r="H1814" t="s">
        <v>6949</v>
      </c>
    </row>
    <row r="1815" spans="1:8">
      <c r="A1815" t="s">
        <v>2725</v>
      </c>
      <c r="B1815" t="s">
        <v>629</v>
      </c>
      <c r="C1815" s="1">
        <v>45088</v>
      </c>
      <c r="D1815" s="1" t="str">
        <f>PROPER(orders[[#This Row],[order_priority]])</f>
        <v>Economy</v>
      </c>
      <c r="E1815" t="s">
        <v>13316</v>
      </c>
      <c r="F1815" t="str">
        <f>IFERROR(INDEX(customers[country], MATCH(orders[[#This Row],[customer_id]], customers[customer_id], 0)), "Unmapped")</f>
        <v>Lithuania</v>
      </c>
      <c r="G1815" t="str">
        <f>IFERROR(INDEX(Region_Map[Region], MATCH(orders[[#This Row],[Customer_Country]], Region_Map[Country], 0)), "Unknown")</f>
        <v>Baltics</v>
      </c>
      <c r="H1815" t="s">
        <v>6949</v>
      </c>
    </row>
    <row r="1816" spans="1:8">
      <c r="A1816" t="s">
        <v>2726</v>
      </c>
      <c r="B1816" t="s">
        <v>787</v>
      </c>
      <c r="C1816" s="1">
        <v>45267</v>
      </c>
      <c r="D1816" s="1" t="str">
        <f>PROPER(orders[[#This Row],[order_priority]])</f>
        <v>Economy</v>
      </c>
      <c r="E1816" t="s">
        <v>13316</v>
      </c>
      <c r="F1816" t="str">
        <f>IFERROR(INDEX(customers[country], MATCH(orders[[#This Row],[customer_id]], customers[customer_id], 0)), "Unmapped")</f>
        <v>Netherlands</v>
      </c>
      <c r="G1816" t="str">
        <f>IFERROR(INDEX(Region_Map[Region], MATCH(orders[[#This Row],[Customer_Country]], Region_Map[Country], 0)), "Unknown")</f>
        <v>Central Europe</v>
      </c>
      <c r="H1816" t="s">
        <v>6949</v>
      </c>
    </row>
    <row r="1817" spans="1:8">
      <c r="A1817" t="s">
        <v>2727</v>
      </c>
      <c r="B1817" t="s">
        <v>6949</v>
      </c>
      <c r="C1817" s="1">
        <v>45173</v>
      </c>
      <c r="D1817" s="1" t="str">
        <f>PROPER(orders[[#This Row],[order_priority]])</f>
        <v>Standard</v>
      </c>
      <c r="E1817" t="s">
        <v>13317</v>
      </c>
      <c r="F1817" t="str">
        <f>IFERROR(INDEX(customers[country], MATCH(orders[[#This Row],[customer_id]], customers[customer_id], 0)), "Unmapped")</f>
        <v>Unmapped</v>
      </c>
      <c r="G1817" t="str">
        <f>IFERROR(INDEX(Region_Map[Region], MATCH(orders[[#This Row],[Customer_Country]], Region_Map[Country], 0)), "Unknown")</f>
        <v>Unknown</v>
      </c>
      <c r="H1817" t="s">
        <v>6949</v>
      </c>
    </row>
    <row r="1818" spans="1:8">
      <c r="A1818" t="s">
        <v>2728</v>
      </c>
      <c r="B1818" t="s">
        <v>840</v>
      </c>
      <c r="C1818" s="1">
        <v>45171</v>
      </c>
      <c r="D1818" s="1" t="str">
        <f>PROPER(orders[[#This Row],[order_priority]])</f>
        <v>Economy</v>
      </c>
      <c r="E1818" t="s">
        <v>13316</v>
      </c>
      <c r="F1818" t="str">
        <f>IFERROR(INDEX(customers[country], MATCH(orders[[#This Row],[customer_id]], customers[customer_id], 0)), "Unmapped")</f>
        <v>Finland</v>
      </c>
      <c r="G1818" t="str">
        <f>IFERROR(INDEX(Region_Map[Region], MATCH(orders[[#This Row],[Customer_Country]], Region_Map[Country], 0)), "Unknown")</f>
        <v>Nordics</v>
      </c>
      <c r="H1818" t="s">
        <v>6949</v>
      </c>
    </row>
    <row r="1819" spans="1:8">
      <c r="A1819" t="s">
        <v>2729</v>
      </c>
      <c r="B1819" t="s">
        <v>139</v>
      </c>
      <c r="C1819" s="1">
        <v>45053</v>
      </c>
      <c r="D1819" s="1" t="str">
        <f>PROPER(orders[[#This Row],[order_priority]])</f>
        <v>Express</v>
      </c>
      <c r="E1819" t="s">
        <v>13320</v>
      </c>
      <c r="F1819" t="str">
        <f>IFERROR(INDEX(customers[country], MATCH(orders[[#This Row],[customer_id]], customers[customer_id], 0)), "Unmapped")</f>
        <v>Netherlands</v>
      </c>
      <c r="G1819" t="str">
        <f>IFERROR(INDEX(Region_Map[Region], MATCH(orders[[#This Row],[Customer_Country]], Region_Map[Country], 0)), "Unknown")</f>
        <v>Central Europe</v>
      </c>
      <c r="H1819" t="s">
        <v>6949</v>
      </c>
    </row>
    <row r="1820" spans="1:8">
      <c r="A1820" t="s">
        <v>2730</v>
      </c>
      <c r="B1820" t="s">
        <v>667</v>
      </c>
      <c r="C1820" s="1">
        <v>45352</v>
      </c>
      <c r="D1820" s="1" t="str">
        <f>PROPER(orders[[#This Row],[order_priority]])</f>
        <v>Express</v>
      </c>
      <c r="E1820" t="s">
        <v>13318</v>
      </c>
      <c r="F1820" t="str">
        <f>IFERROR(INDEX(customers[country], MATCH(orders[[#This Row],[customer_id]], customers[customer_id], 0)), "Unmapped")</f>
        <v>Germany</v>
      </c>
      <c r="G1820" t="str">
        <f>IFERROR(INDEX(Region_Map[Region], MATCH(orders[[#This Row],[Customer_Country]], Region_Map[Country], 0)), "Unknown")</f>
        <v>Central Europe</v>
      </c>
      <c r="H1820" t="s">
        <v>6949</v>
      </c>
    </row>
    <row r="1821" spans="1:8">
      <c r="A1821" t="s">
        <v>2731</v>
      </c>
      <c r="B1821" t="s">
        <v>738</v>
      </c>
      <c r="C1821" s="1">
        <v>44988</v>
      </c>
      <c r="D1821" s="1" t="str">
        <f>PROPER(orders[[#This Row],[order_priority]])</f>
        <v>Standard</v>
      </c>
      <c r="E1821" t="s">
        <v>13317</v>
      </c>
      <c r="F1821" t="str">
        <f>IFERROR(INDEX(customers[country], MATCH(orders[[#This Row],[customer_id]], customers[customer_id], 0)), "Unmapped")</f>
        <v>Finland</v>
      </c>
      <c r="G1821" t="str">
        <f>IFERROR(INDEX(Region_Map[Region], MATCH(orders[[#This Row],[Customer_Country]], Region_Map[Country], 0)), "Unknown")</f>
        <v>Nordics</v>
      </c>
      <c r="H1821" t="s">
        <v>6949</v>
      </c>
    </row>
    <row r="1822" spans="1:8">
      <c r="A1822" t="s">
        <v>2732</v>
      </c>
      <c r="B1822" t="s">
        <v>611</v>
      </c>
      <c r="C1822" s="1">
        <v>45381</v>
      </c>
      <c r="D1822" s="1" t="str">
        <f>PROPER(orders[[#This Row],[order_priority]])</f>
        <v>Express</v>
      </c>
      <c r="E1822" t="s">
        <v>13318</v>
      </c>
      <c r="F1822" t="str">
        <f>IFERROR(INDEX(customers[country], MATCH(orders[[#This Row],[customer_id]], customers[customer_id], 0)), "Unmapped")</f>
        <v>Poland</v>
      </c>
      <c r="G1822" t="str">
        <f>IFERROR(INDEX(Region_Map[Region], MATCH(orders[[#This Row],[Customer_Country]], Region_Map[Country], 0)), "Unknown")</f>
        <v>Central Europe</v>
      </c>
      <c r="H1822" t="s">
        <v>6949</v>
      </c>
    </row>
    <row r="1823" spans="1:8">
      <c r="A1823" t="s">
        <v>2733</v>
      </c>
      <c r="B1823" t="s">
        <v>102</v>
      </c>
      <c r="C1823" s="1">
        <v>45022</v>
      </c>
      <c r="D1823" s="1" t="str">
        <f>PROPER(orders[[#This Row],[order_priority]])</f>
        <v>Same Day</v>
      </c>
      <c r="E1823" t="s">
        <v>13324</v>
      </c>
      <c r="F1823" t="str">
        <f>IFERROR(INDEX(customers[country], MATCH(orders[[#This Row],[customer_id]], customers[customer_id], 0)), "Unmapped")</f>
        <v>Denmark</v>
      </c>
      <c r="G1823" t="str">
        <f>IFERROR(INDEX(Region_Map[Region], MATCH(orders[[#This Row],[Customer_Country]], Region_Map[Country], 0)), "Unknown")</f>
        <v>Nordics</v>
      </c>
      <c r="H1823" t="s">
        <v>6949</v>
      </c>
    </row>
    <row r="1824" spans="1:8">
      <c r="A1824" t="s">
        <v>2734</v>
      </c>
      <c r="B1824" t="s">
        <v>118</v>
      </c>
      <c r="C1824" s="1">
        <v>45557</v>
      </c>
      <c r="D1824" s="1" t="str">
        <f>PROPER(orders[[#This Row],[order_priority]])</f>
        <v>Standard</v>
      </c>
      <c r="E1824" t="s">
        <v>13317</v>
      </c>
      <c r="F1824" t="str">
        <f>IFERROR(INDEX(customers[country], MATCH(orders[[#This Row],[customer_id]], customers[customer_id], 0)), "Unmapped")</f>
        <v>Denmark</v>
      </c>
      <c r="G1824" t="str">
        <f>IFERROR(INDEX(Region_Map[Region], MATCH(orders[[#This Row],[Customer_Country]], Region_Map[Country], 0)), "Unknown")</f>
        <v>Nordics</v>
      </c>
      <c r="H1824" t="s">
        <v>6949</v>
      </c>
    </row>
    <row r="1825" spans="1:8">
      <c r="A1825" t="s">
        <v>2735</v>
      </c>
      <c r="B1825" t="s">
        <v>446</v>
      </c>
      <c r="C1825" s="1">
        <v>45452</v>
      </c>
      <c r="D1825" s="1" t="str">
        <f>PROPER(orders[[#This Row],[order_priority]])</f>
        <v>Same Day</v>
      </c>
      <c r="E1825" t="s">
        <v>13322</v>
      </c>
      <c r="F1825" t="str">
        <f>IFERROR(INDEX(customers[country], MATCH(orders[[#This Row],[customer_id]], customers[customer_id], 0)), "Unmapped")</f>
        <v>Sweden</v>
      </c>
      <c r="G1825" t="str">
        <f>IFERROR(INDEX(Region_Map[Region], MATCH(orders[[#This Row],[Customer_Country]], Region_Map[Country], 0)), "Unknown")</f>
        <v>Nordics</v>
      </c>
      <c r="H1825" t="s">
        <v>6949</v>
      </c>
    </row>
    <row r="1826" spans="1:8">
      <c r="A1826" t="s">
        <v>2736</v>
      </c>
      <c r="B1826" t="s">
        <v>51</v>
      </c>
      <c r="C1826" s="1">
        <v>44938</v>
      </c>
      <c r="D1826" s="1" t="str">
        <f>PROPER(orders[[#This Row],[order_priority]])</f>
        <v>Standard</v>
      </c>
      <c r="E1826" t="s">
        <v>13317</v>
      </c>
      <c r="F1826" t="str">
        <f>IFERROR(INDEX(customers[country], MATCH(orders[[#This Row],[customer_id]], customers[customer_id], 0)), "Unmapped")</f>
        <v>Germany</v>
      </c>
      <c r="G1826" t="str">
        <f>IFERROR(INDEX(Region_Map[Region], MATCH(orders[[#This Row],[Customer_Country]], Region_Map[Country], 0)), "Unknown")</f>
        <v>Central Europe</v>
      </c>
      <c r="H1826" t="s">
        <v>6949</v>
      </c>
    </row>
    <row r="1827" spans="1:8">
      <c r="A1827" t="s">
        <v>2737</v>
      </c>
      <c r="B1827" t="s">
        <v>858</v>
      </c>
      <c r="C1827" s="1">
        <v>45069</v>
      </c>
      <c r="D1827" s="1" t="str">
        <f>PROPER(orders[[#This Row],[order_priority]])</f>
        <v>Same Day</v>
      </c>
      <c r="E1827" t="s">
        <v>13322</v>
      </c>
      <c r="F1827" t="str">
        <f>IFERROR(INDEX(customers[country], MATCH(orders[[#This Row],[customer_id]], customers[customer_id], 0)), "Unmapped")</f>
        <v>Lithuania</v>
      </c>
      <c r="G1827" t="str">
        <f>IFERROR(INDEX(Region_Map[Region], MATCH(orders[[#This Row],[Customer_Country]], Region_Map[Country], 0)), "Unknown")</f>
        <v>Baltics</v>
      </c>
      <c r="H1827" t="s">
        <v>6949</v>
      </c>
    </row>
    <row r="1828" spans="1:8">
      <c r="A1828" t="s">
        <v>2738</v>
      </c>
      <c r="B1828" t="s">
        <v>425</v>
      </c>
      <c r="C1828" s="1">
        <v>45339</v>
      </c>
      <c r="D1828" s="1" t="str">
        <f>PROPER(orders[[#This Row],[order_priority]])</f>
        <v>Express</v>
      </c>
      <c r="E1828" t="s">
        <v>13318</v>
      </c>
      <c r="F1828" t="str">
        <f>IFERROR(INDEX(customers[country], MATCH(orders[[#This Row],[customer_id]], customers[customer_id], 0)), "Unmapped")</f>
        <v>Denmark</v>
      </c>
      <c r="G1828" t="str">
        <f>IFERROR(INDEX(Region_Map[Region], MATCH(orders[[#This Row],[Customer_Country]], Region_Map[Country], 0)), "Unknown")</f>
        <v>Nordics</v>
      </c>
      <c r="H1828" t="s">
        <v>6949</v>
      </c>
    </row>
    <row r="1829" spans="1:8">
      <c r="A1829" t="s">
        <v>2739</v>
      </c>
      <c r="B1829" t="s">
        <v>503</v>
      </c>
      <c r="C1829" s="1">
        <v>45541</v>
      </c>
      <c r="D1829" s="1" t="str">
        <f>PROPER(orders[[#This Row],[order_priority]])</f>
        <v>Same Day</v>
      </c>
      <c r="E1829" t="s">
        <v>13322</v>
      </c>
      <c r="F1829" t="str">
        <f>IFERROR(INDEX(customers[country], MATCH(orders[[#This Row],[customer_id]], customers[customer_id], 0)), "Unmapped")</f>
        <v>Denmark</v>
      </c>
      <c r="G1829" t="str">
        <f>IFERROR(INDEX(Region_Map[Region], MATCH(orders[[#This Row],[Customer_Country]], Region_Map[Country], 0)), "Unknown")</f>
        <v>Nordics</v>
      </c>
      <c r="H1829" t="s">
        <v>6949</v>
      </c>
    </row>
    <row r="1830" spans="1:8">
      <c r="A1830" t="s">
        <v>2740</v>
      </c>
      <c r="B1830" t="s">
        <v>644</v>
      </c>
      <c r="C1830" s="1">
        <v>45470</v>
      </c>
      <c r="D1830" s="1" t="str">
        <f>PROPER(orders[[#This Row],[order_priority]])</f>
        <v>Express</v>
      </c>
      <c r="E1830" t="s">
        <v>13318</v>
      </c>
      <c r="F1830" t="str">
        <f>IFERROR(INDEX(customers[country], MATCH(orders[[#This Row],[customer_id]], customers[customer_id], 0)), "Unmapped")</f>
        <v>Germany</v>
      </c>
      <c r="G1830" t="str">
        <f>IFERROR(INDEX(Region_Map[Region], MATCH(orders[[#This Row],[Customer_Country]], Region_Map[Country], 0)), "Unknown")</f>
        <v>Central Europe</v>
      </c>
      <c r="H1830" t="s">
        <v>6949</v>
      </c>
    </row>
    <row r="1831" spans="1:8">
      <c r="A1831" t="s">
        <v>2741</v>
      </c>
      <c r="B1831" t="s">
        <v>752</v>
      </c>
      <c r="C1831" s="1">
        <v>45052</v>
      </c>
      <c r="D1831" s="1" t="str">
        <f>PROPER(orders[[#This Row],[order_priority]])</f>
        <v>Express</v>
      </c>
      <c r="E1831" t="s">
        <v>13318</v>
      </c>
      <c r="F1831" t="str">
        <f>IFERROR(INDEX(customers[country], MATCH(orders[[#This Row],[customer_id]], customers[customer_id], 0)), "Unmapped")</f>
        <v>Estonia</v>
      </c>
      <c r="G1831" t="str">
        <f>IFERROR(INDEX(Region_Map[Region], MATCH(orders[[#This Row],[Customer_Country]], Region_Map[Country], 0)), "Unknown")</f>
        <v>Baltics</v>
      </c>
      <c r="H1831" t="s">
        <v>6949</v>
      </c>
    </row>
    <row r="1832" spans="1:8">
      <c r="A1832" t="s">
        <v>933</v>
      </c>
      <c r="B1832" t="s">
        <v>419</v>
      </c>
      <c r="C1832" s="1">
        <v>45244</v>
      </c>
      <c r="D1832" s="1" t="str">
        <f>PROPER(orders[[#This Row],[order_priority]])</f>
        <v>Express</v>
      </c>
      <c r="E1832" t="s">
        <v>13318</v>
      </c>
      <c r="F1832" t="str">
        <f>IFERROR(INDEX(customers[country], MATCH(orders[[#This Row],[customer_id]], customers[customer_id], 0)), "Unmapped")</f>
        <v>Estonia</v>
      </c>
      <c r="G1832" t="str">
        <f>IFERROR(INDEX(Region_Map[Region], MATCH(orders[[#This Row],[Customer_Country]], Region_Map[Country], 0)), "Unknown")</f>
        <v>Baltics</v>
      </c>
      <c r="H1832" t="s">
        <v>6949</v>
      </c>
    </row>
    <row r="1833" spans="1:8">
      <c r="A1833" t="s">
        <v>2742</v>
      </c>
      <c r="B1833" t="s">
        <v>11</v>
      </c>
      <c r="C1833" s="1">
        <v>44949</v>
      </c>
      <c r="D1833" s="1" t="str">
        <f>PROPER(orders[[#This Row],[order_priority]])</f>
        <v>Economy</v>
      </c>
      <c r="E1833" t="s">
        <v>13316</v>
      </c>
      <c r="F1833" t="str">
        <f>IFERROR(INDEX(customers[country], MATCH(orders[[#This Row],[customer_id]], customers[customer_id], 0)), "Unmapped")</f>
        <v>Sweden</v>
      </c>
      <c r="G1833" t="str">
        <f>IFERROR(INDEX(Region_Map[Region], MATCH(orders[[#This Row],[Customer_Country]], Region_Map[Country], 0)), "Unknown")</f>
        <v>Nordics</v>
      </c>
      <c r="H1833" t="s">
        <v>6949</v>
      </c>
    </row>
    <row r="1834" spans="1:8">
      <c r="A1834" t="s">
        <v>2743</v>
      </c>
      <c r="B1834" t="s">
        <v>494</v>
      </c>
      <c r="C1834" s="1">
        <v>45202</v>
      </c>
      <c r="D1834" s="1" t="str">
        <f>PROPER(orders[[#This Row],[order_priority]])</f>
        <v>Express</v>
      </c>
      <c r="E1834" t="s">
        <v>13318</v>
      </c>
      <c r="F1834" t="str">
        <f>IFERROR(INDEX(customers[country], MATCH(orders[[#This Row],[customer_id]], customers[customer_id], 0)), "Unmapped")</f>
        <v>Sweden</v>
      </c>
      <c r="G1834" t="str">
        <f>IFERROR(INDEX(Region_Map[Region], MATCH(orders[[#This Row],[Customer_Country]], Region_Map[Country], 0)), "Unknown")</f>
        <v>Nordics</v>
      </c>
      <c r="H1834" t="s">
        <v>6949</v>
      </c>
    </row>
    <row r="1835" spans="1:8">
      <c r="A1835" t="s">
        <v>2744</v>
      </c>
      <c r="B1835" t="s">
        <v>712</v>
      </c>
      <c r="C1835" s="1">
        <v>45260</v>
      </c>
      <c r="D1835" s="1" t="str">
        <f>PROPER(orders[[#This Row],[order_priority]])</f>
        <v>Same Day</v>
      </c>
      <c r="E1835" t="s">
        <v>13322</v>
      </c>
      <c r="F1835" t="str">
        <f>IFERROR(INDEX(customers[country], MATCH(orders[[#This Row],[customer_id]], customers[customer_id], 0)), "Unmapped")</f>
        <v>Finland</v>
      </c>
      <c r="G1835" t="str">
        <f>IFERROR(INDEX(Region_Map[Region], MATCH(orders[[#This Row],[Customer_Country]], Region_Map[Country], 0)), "Unknown")</f>
        <v>Nordics</v>
      </c>
      <c r="H1835" t="s">
        <v>6949</v>
      </c>
    </row>
    <row r="1836" spans="1:8">
      <c r="A1836" t="s">
        <v>2745</v>
      </c>
      <c r="B1836" t="s">
        <v>365</v>
      </c>
      <c r="C1836" s="1">
        <v>45486</v>
      </c>
      <c r="D1836" s="1" t="str">
        <f>PROPER(orders[[#This Row],[order_priority]])</f>
        <v>Economy</v>
      </c>
      <c r="E1836" t="s">
        <v>13316</v>
      </c>
      <c r="F1836" t="str">
        <f>IFERROR(INDEX(customers[country], MATCH(orders[[#This Row],[customer_id]], customers[customer_id], 0)), "Unmapped")</f>
        <v>Poland</v>
      </c>
      <c r="G1836" t="str">
        <f>IFERROR(INDEX(Region_Map[Region], MATCH(orders[[#This Row],[Customer_Country]], Region_Map[Country], 0)), "Unknown")</f>
        <v>Central Europe</v>
      </c>
      <c r="H1836" t="s">
        <v>6949</v>
      </c>
    </row>
    <row r="1837" spans="1:8">
      <c r="A1837" t="s">
        <v>2746</v>
      </c>
      <c r="B1837" t="s">
        <v>38</v>
      </c>
      <c r="C1837" s="1">
        <v>45049</v>
      </c>
      <c r="D1837" s="1" t="str">
        <f>PROPER(orders[[#This Row],[order_priority]])</f>
        <v>Economy</v>
      </c>
      <c r="E1837" t="s">
        <v>13325</v>
      </c>
      <c r="F1837" t="str">
        <f>IFERROR(INDEX(customers[country], MATCH(orders[[#This Row],[customer_id]], customers[customer_id], 0)), "Unmapped")</f>
        <v>Lithuania</v>
      </c>
      <c r="G1837" t="str">
        <f>IFERROR(INDEX(Region_Map[Region], MATCH(orders[[#This Row],[Customer_Country]], Region_Map[Country], 0)), "Unknown")</f>
        <v>Baltics</v>
      </c>
      <c r="H1837" t="s">
        <v>6949</v>
      </c>
    </row>
    <row r="1838" spans="1:8">
      <c r="A1838" t="s">
        <v>2747</v>
      </c>
      <c r="B1838" t="s">
        <v>667</v>
      </c>
      <c r="C1838" s="1">
        <v>44999</v>
      </c>
      <c r="D1838" s="1" t="str">
        <f>PROPER(orders[[#This Row],[order_priority]])</f>
        <v>Economy</v>
      </c>
      <c r="E1838" t="s">
        <v>13316</v>
      </c>
      <c r="F1838" t="str">
        <f>IFERROR(INDEX(customers[country], MATCH(orders[[#This Row],[customer_id]], customers[customer_id], 0)), "Unmapped")</f>
        <v>Germany</v>
      </c>
      <c r="G1838" t="str">
        <f>IFERROR(INDEX(Region_Map[Region], MATCH(orders[[#This Row],[Customer_Country]], Region_Map[Country], 0)), "Unknown")</f>
        <v>Central Europe</v>
      </c>
      <c r="H1838" t="s">
        <v>6949</v>
      </c>
    </row>
    <row r="1839" spans="1:8">
      <c r="A1839" t="s">
        <v>2748</v>
      </c>
      <c r="B1839" t="s">
        <v>763</v>
      </c>
      <c r="C1839" s="1">
        <v>45217</v>
      </c>
      <c r="D1839" s="1" t="str">
        <f>PROPER(orders[[#This Row],[order_priority]])</f>
        <v>Standard</v>
      </c>
      <c r="E1839" t="s">
        <v>13317</v>
      </c>
      <c r="F1839" t="str">
        <f>IFERROR(INDEX(customers[country], MATCH(orders[[#This Row],[customer_id]], customers[customer_id], 0)), "Unmapped")</f>
        <v>Estonia</v>
      </c>
      <c r="G1839" t="str">
        <f>IFERROR(INDEX(Region_Map[Region], MATCH(orders[[#This Row],[Customer_Country]], Region_Map[Country], 0)), "Unknown")</f>
        <v>Baltics</v>
      </c>
      <c r="H1839" t="s">
        <v>6949</v>
      </c>
    </row>
    <row r="1840" spans="1:8">
      <c r="A1840" t="s">
        <v>2749</v>
      </c>
      <c r="B1840" t="s">
        <v>261</v>
      </c>
      <c r="C1840" s="1">
        <v>45112</v>
      </c>
      <c r="D1840" s="1" t="str">
        <f>PROPER(orders[[#This Row],[order_priority]])</f>
        <v>Same Day</v>
      </c>
      <c r="E1840" t="s">
        <v>13322</v>
      </c>
      <c r="F1840" t="str">
        <f>IFERROR(INDEX(customers[country], MATCH(orders[[#This Row],[customer_id]], customers[customer_id], 0)), "Unmapped")</f>
        <v>Germany</v>
      </c>
      <c r="G1840" t="str">
        <f>IFERROR(INDEX(Region_Map[Region], MATCH(orders[[#This Row],[Customer_Country]], Region_Map[Country], 0)), "Unknown")</f>
        <v>Central Europe</v>
      </c>
      <c r="H1840" t="s">
        <v>6949</v>
      </c>
    </row>
    <row r="1841" spans="1:8">
      <c r="A1841" t="s">
        <v>2750</v>
      </c>
      <c r="B1841" t="s">
        <v>849</v>
      </c>
      <c r="C1841" s="1">
        <v>45359</v>
      </c>
      <c r="D1841" s="1" t="str">
        <f>PROPER(orders[[#This Row],[order_priority]])</f>
        <v>Economy</v>
      </c>
      <c r="E1841" t="s">
        <v>13316</v>
      </c>
      <c r="F1841" t="str">
        <f>IFERROR(INDEX(customers[country], MATCH(orders[[#This Row],[customer_id]], customers[customer_id], 0)), "Unmapped")</f>
        <v>Lithuania</v>
      </c>
      <c r="G1841" t="str">
        <f>IFERROR(INDEX(Region_Map[Region], MATCH(orders[[#This Row],[Customer_Country]], Region_Map[Country], 0)), "Unknown")</f>
        <v>Baltics</v>
      </c>
      <c r="H1841" t="s">
        <v>6949</v>
      </c>
    </row>
    <row r="1842" spans="1:8">
      <c r="A1842" t="s">
        <v>2751</v>
      </c>
      <c r="B1842" t="s">
        <v>252</v>
      </c>
      <c r="C1842" s="1">
        <v>45515</v>
      </c>
      <c r="D1842" s="1" t="str">
        <f>PROPER(orders[[#This Row],[order_priority]])</f>
        <v>Express</v>
      </c>
      <c r="E1842" t="s">
        <v>13318</v>
      </c>
      <c r="F1842" t="str">
        <f>IFERROR(INDEX(customers[country], MATCH(orders[[#This Row],[customer_id]], customers[customer_id], 0)), "Unmapped")</f>
        <v>Lithuania</v>
      </c>
      <c r="G1842" t="str">
        <f>IFERROR(INDEX(Region_Map[Region], MATCH(orders[[#This Row],[Customer_Country]], Region_Map[Country], 0)), "Unknown")</f>
        <v>Baltics</v>
      </c>
      <c r="H1842" t="s">
        <v>6949</v>
      </c>
    </row>
    <row r="1843" spans="1:8">
      <c r="A1843" t="s">
        <v>2752</v>
      </c>
      <c r="B1843" t="s">
        <v>763</v>
      </c>
      <c r="C1843" s="1">
        <v>45045</v>
      </c>
      <c r="D1843" s="1" t="str">
        <f>PROPER(orders[[#This Row],[order_priority]])</f>
        <v>Economy</v>
      </c>
      <c r="E1843" t="s">
        <v>13316</v>
      </c>
      <c r="F1843" t="str">
        <f>IFERROR(INDEX(customers[country], MATCH(orders[[#This Row],[customer_id]], customers[customer_id], 0)), "Unmapped")</f>
        <v>Estonia</v>
      </c>
      <c r="G1843" t="str">
        <f>IFERROR(INDEX(Region_Map[Region], MATCH(orders[[#This Row],[Customer_Country]], Region_Map[Country], 0)), "Unknown")</f>
        <v>Baltics</v>
      </c>
      <c r="H1843" t="s">
        <v>6949</v>
      </c>
    </row>
    <row r="1844" spans="1:8">
      <c r="A1844" t="s">
        <v>2753</v>
      </c>
      <c r="B1844" t="s">
        <v>282</v>
      </c>
      <c r="C1844" s="1">
        <v>45559</v>
      </c>
      <c r="D1844" s="1" t="str">
        <f>PROPER(orders[[#This Row],[order_priority]])</f>
        <v>Express</v>
      </c>
      <c r="E1844" t="s">
        <v>13318</v>
      </c>
      <c r="F1844" t="str">
        <f>IFERROR(INDEX(customers[country], MATCH(orders[[#This Row],[customer_id]], customers[customer_id], 0)), "Unmapped")</f>
        <v>Netherlands</v>
      </c>
      <c r="G1844" t="str">
        <f>IFERROR(INDEX(Region_Map[Region], MATCH(orders[[#This Row],[Customer_Country]], Region_Map[Country], 0)), "Unknown")</f>
        <v>Central Europe</v>
      </c>
      <c r="H1844" t="s">
        <v>6949</v>
      </c>
    </row>
    <row r="1845" spans="1:8">
      <c r="A1845" t="s">
        <v>2754</v>
      </c>
      <c r="B1845" t="s">
        <v>787</v>
      </c>
      <c r="C1845" s="1">
        <v>45489</v>
      </c>
      <c r="D1845" s="1" t="str">
        <f>PROPER(orders[[#This Row],[order_priority]])</f>
        <v>Standard</v>
      </c>
      <c r="E1845" t="s">
        <v>13317</v>
      </c>
      <c r="F1845" t="str">
        <f>IFERROR(INDEX(customers[country], MATCH(orders[[#This Row],[customer_id]], customers[customer_id], 0)), "Unmapped")</f>
        <v>Netherlands</v>
      </c>
      <c r="G1845" t="str">
        <f>IFERROR(INDEX(Region_Map[Region], MATCH(orders[[#This Row],[Customer_Country]], Region_Map[Country], 0)), "Unknown")</f>
        <v>Central Europe</v>
      </c>
      <c r="H1845" t="s">
        <v>6949</v>
      </c>
    </row>
    <row r="1846" spans="1:8">
      <c r="A1846" t="s">
        <v>2755</v>
      </c>
      <c r="B1846" t="s">
        <v>611</v>
      </c>
      <c r="C1846" s="1">
        <v>45323</v>
      </c>
      <c r="D1846" s="1" t="str">
        <f>PROPER(orders[[#This Row],[order_priority]])</f>
        <v>Standard</v>
      </c>
      <c r="E1846" t="s">
        <v>13317</v>
      </c>
      <c r="F1846" t="str">
        <f>IFERROR(INDEX(customers[country], MATCH(orders[[#This Row],[customer_id]], customers[customer_id], 0)), "Unmapped")</f>
        <v>Poland</v>
      </c>
      <c r="G1846" t="str">
        <f>IFERROR(INDEX(Region_Map[Region], MATCH(orders[[#This Row],[Customer_Country]], Region_Map[Country], 0)), "Unknown")</f>
        <v>Central Europe</v>
      </c>
      <c r="H1846" t="s">
        <v>6949</v>
      </c>
    </row>
    <row r="1847" spans="1:8">
      <c r="A1847" t="s">
        <v>2756</v>
      </c>
      <c r="B1847" t="s">
        <v>13342</v>
      </c>
      <c r="C1847" s="1">
        <v>45108</v>
      </c>
      <c r="D1847" s="1" t="str">
        <f>PROPER(orders[[#This Row],[order_priority]])</f>
        <v>Same Day</v>
      </c>
      <c r="E1847" t="s">
        <v>13322</v>
      </c>
      <c r="F1847" t="str">
        <f>IFERROR(INDEX(customers[country], MATCH(orders[[#This Row],[customer_id]], customers[customer_id], 0)), "Unmapped")</f>
        <v>Unmapped</v>
      </c>
      <c r="G1847" t="str">
        <f>IFERROR(INDEX(Region_Map[Region], MATCH(orders[[#This Row],[Customer_Country]], Region_Map[Country], 0)), "Unknown")</f>
        <v>Unknown</v>
      </c>
      <c r="H1847" t="s">
        <v>6949</v>
      </c>
    </row>
    <row r="1848" spans="1:8">
      <c r="A1848" t="s">
        <v>2757</v>
      </c>
      <c r="B1848" t="s">
        <v>670</v>
      </c>
      <c r="C1848" s="1">
        <v>45475</v>
      </c>
      <c r="D1848" s="1" t="str">
        <f>PROPER(orders[[#This Row],[order_priority]])</f>
        <v>Same Day</v>
      </c>
      <c r="E1848" t="s">
        <v>13322</v>
      </c>
      <c r="F1848" t="str">
        <f>IFERROR(INDEX(customers[country], MATCH(orders[[#This Row],[customer_id]], customers[customer_id], 0)), "Unmapped")</f>
        <v>Netherlands</v>
      </c>
      <c r="G1848" t="str">
        <f>IFERROR(INDEX(Region_Map[Region], MATCH(orders[[#This Row],[Customer_Country]], Region_Map[Country], 0)), "Unknown")</f>
        <v>Central Europe</v>
      </c>
      <c r="H1848" t="s">
        <v>6949</v>
      </c>
    </row>
    <row r="1849" spans="1:8">
      <c r="A1849" t="s">
        <v>2758</v>
      </c>
      <c r="B1849" t="s">
        <v>303</v>
      </c>
      <c r="C1849" s="1">
        <v>45206</v>
      </c>
      <c r="D1849" s="1" t="str">
        <f>PROPER(orders[[#This Row],[order_priority]])</f>
        <v>Economy</v>
      </c>
      <c r="E1849" t="s">
        <v>13316</v>
      </c>
      <c r="F1849" t="str">
        <f>IFERROR(INDEX(customers[country], MATCH(orders[[#This Row],[customer_id]], customers[customer_id], 0)), "Unmapped")</f>
        <v>Netherlands</v>
      </c>
      <c r="G1849" t="str">
        <f>IFERROR(INDEX(Region_Map[Region], MATCH(orders[[#This Row],[Customer_Country]], Region_Map[Country], 0)), "Unknown")</f>
        <v>Central Europe</v>
      </c>
      <c r="H1849" t="s">
        <v>6949</v>
      </c>
    </row>
    <row r="1850" spans="1:8">
      <c r="A1850" t="s">
        <v>2759</v>
      </c>
      <c r="B1850" t="s">
        <v>727</v>
      </c>
      <c r="C1850" s="1">
        <v>45061</v>
      </c>
      <c r="D1850" s="1" t="str">
        <f>PROPER(orders[[#This Row],[order_priority]])</f>
        <v>Express</v>
      </c>
      <c r="E1850" t="s">
        <v>13318</v>
      </c>
      <c r="F1850" t="str">
        <f>IFERROR(INDEX(customers[country], MATCH(orders[[#This Row],[customer_id]], customers[customer_id], 0)), "Unmapped")</f>
        <v>Sweden</v>
      </c>
      <c r="G1850" t="str">
        <f>IFERROR(INDEX(Region_Map[Region], MATCH(orders[[#This Row],[Customer_Country]], Region_Map[Country], 0)), "Unknown")</f>
        <v>Nordics</v>
      </c>
      <c r="H1850" t="s">
        <v>6949</v>
      </c>
    </row>
    <row r="1851" spans="1:8">
      <c r="A1851" t="s">
        <v>2760</v>
      </c>
      <c r="B1851" t="s">
        <v>766</v>
      </c>
      <c r="C1851" s="1">
        <v>45184</v>
      </c>
      <c r="D1851" s="1" t="str">
        <f>PROPER(orders[[#This Row],[order_priority]])</f>
        <v>Express</v>
      </c>
      <c r="E1851" t="s">
        <v>13318</v>
      </c>
      <c r="F1851" t="str">
        <f>IFERROR(INDEX(customers[country], MATCH(orders[[#This Row],[customer_id]], customers[customer_id], 0)), "Unmapped")</f>
        <v>Germany</v>
      </c>
      <c r="G1851" t="str">
        <f>IFERROR(INDEX(Region_Map[Region], MATCH(orders[[#This Row],[Customer_Country]], Region_Map[Country], 0)), "Unknown")</f>
        <v>Central Europe</v>
      </c>
      <c r="H1851" t="s">
        <v>6949</v>
      </c>
    </row>
    <row r="1852" spans="1:8">
      <c r="A1852" t="s">
        <v>2761</v>
      </c>
      <c r="B1852" t="s">
        <v>752</v>
      </c>
      <c r="C1852" s="1">
        <v>45496</v>
      </c>
      <c r="D1852" s="1" t="str">
        <f>PROPER(orders[[#This Row],[order_priority]])</f>
        <v>Economy</v>
      </c>
      <c r="E1852" t="s">
        <v>13316</v>
      </c>
      <c r="F1852" t="str">
        <f>IFERROR(INDEX(customers[country], MATCH(orders[[#This Row],[customer_id]], customers[customer_id], 0)), "Unmapped")</f>
        <v>Estonia</v>
      </c>
      <c r="G1852" t="str">
        <f>IFERROR(INDEX(Region_Map[Region], MATCH(orders[[#This Row],[Customer_Country]], Region_Map[Country], 0)), "Unknown")</f>
        <v>Baltics</v>
      </c>
      <c r="H1852" t="s">
        <v>6949</v>
      </c>
    </row>
    <row r="1853" spans="1:8">
      <c r="A1853" t="s">
        <v>2762</v>
      </c>
      <c r="B1853" t="s">
        <v>198</v>
      </c>
      <c r="C1853" s="1">
        <v>45147</v>
      </c>
      <c r="D1853" s="1" t="str">
        <f>PROPER(orders[[#This Row],[order_priority]])</f>
        <v>Same Day</v>
      </c>
      <c r="E1853" t="s">
        <v>13322</v>
      </c>
      <c r="F1853" t="str">
        <f>IFERROR(INDEX(customers[country], MATCH(orders[[#This Row],[customer_id]], customers[customer_id], 0)), "Unmapped")</f>
        <v>Poland</v>
      </c>
      <c r="G1853" t="str">
        <f>IFERROR(INDEX(Region_Map[Region], MATCH(orders[[#This Row],[Customer_Country]], Region_Map[Country], 0)), "Unknown")</f>
        <v>Central Europe</v>
      </c>
      <c r="H1853" t="s">
        <v>6949</v>
      </c>
    </row>
    <row r="1854" spans="1:8">
      <c r="A1854" t="s">
        <v>2763</v>
      </c>
      <c r="B1854" t="s">
        <v>879</v>
      </c>
      <c r="C1854" s="1">
        <v>45381</v>
      </c>
      <c r="D1854" s="1" t="str">
        <f>PROPER(orders[[#This Row],[order_priority]])</f>
        <v>Same Day</v>
      </c>
      <c r="E1854" t="s">
        <v>13322</v>
      </c>
      <c r="F1854" t="str">
        <f>IFERROR(INDEX(customers[country], MATCH(orders[[#This Row],[customer_id]], customers[customer_id], 0)), "Unmapped")</f>
        <v>Norway</v>
      </c>
      <c r="G1854" t="str">
        <f>IFERROR(INDEX(Region_Map[Region], MATCH(orders[[#This Row],[Customer_Country]], Region_Map[Country], 0)), "Unknown")</f>
        <v>Nordics</v>
      </c>
      <c r="H1854" t="s">
        <v>6949</v>
      </c>
    </row>
    <row r="1855" spans="1:8">
      <c r="A1855" t="s">
        <v>2764</v>
      </c>
      <c r="B1855" t="s">
        <v>629</v>
      </c>
      <c r="C1855" s="1">
        <v>45390</v>
      </c>
      <c r="D1855" s="1" t="str">
        <f>PROPER(orders[[#This Row],[order_priority]])</f>
        <v>Express</v>
      </c>
      <c r="E1855" t="s">
        <v>13318</v>
      </c>
      <c r="F1855" t="str">
        <f>IFERROR(INDEX(customers[country], MATCH(orders[[#This Row],[customer_id]], customers[customer_id], 0)), "Unmapped")</f>
        <v>Lithuania</v>
      </c>
      <c r="G1855" t="str">
        <f>IFERROR(INDEX(Region_Map[Region], MATCH(orders[[#This Row],[Customer_Country]], Region_Map[Country], 0)), "Unknown")</f>
        <v>Baltics</v>
      </c>
      <c r="H1855" t="s">
        <v>6949</v>
      </c>
    </row>
    <row r="1856" spans="1:8">
      <c r="A1856" t="s">
        <v>2765</v>
      </c>
      <c r="B1856" t="s">
        <v>151</v>
      </c>
      <c r="C1856" s="1">
        <v>45236</v>
      </c>
      <c r="D1856" s="1" t="str">
        <f>PROPER(orders[[#This Row],[order_priority]])</f>
        <v>Standard</v>
      </c>
      <c r="E1856" t="s">
        <v>13317</v>
      </c>
      <c r="F1856" t="str">
        <f>IFERROR(INDEX(customers[country], MATCH(orders[[#This Row],[customer_id]], customers[customer_id], 0)), "Unmapped")</f>
        <v>Sweden</v>
      </c>
      <c r="G1856" t="str">
        <f>IFERROR(INDEX(Region_Map[Region], MATCH(orders[[#This Row],[Customer_Country]], Region_Map[Country], 0)), "Unknown")</f>
        <v>Nordics</v>
      </c>
      <c r="H1856" t="s">
        <v>6949</v>
      </c>
    </row>
    <row r="1857" spans="1:8">
      <c r="A1857" t="s">
        <v>2766</v>
      </c>
      <c r="B1857" t="s">
        <v>326</v>
      </c>
      <c r="C1857" s="1">
        <v>45503</v>
      </c>
      <c r="D1857" s="1" t="str">
        <f>PROPER(orders[[#This Row],[order_priority]])</f>
        <v>Express</v>
      </c>
      <c r="E1857" t="s">
        <v>13318</v>
      </c>
      <c r="F1857" t="str">
        <f>IFERROR(INDEX(customers[country], MATCH(orders[[#This Row],[customer_id]], customers[customer_id], 0)), "Unmapped")</f>
        <v>Lithuania</v>
      </c>
      <c r="G1857" t="str">
        <f>IFERROR(INDEX(Region_Map[Region], MATCH(orders[[#This Row],[Customer_Country]], Region_Map[Country], 0)), "Unknown")</f>
        <v>Baltics</v>
      </c>
      <c r="H1857" t="s">
        <v>6949</v>
      </c>
    </row>
    <row r="1858" spans="1:8">
      <c r="A1858" t="s">
        <v>2767</v>
      </c>
      <c r="B1858" t="s">
        <v>362</v>
      </c>
      <c r="C1858" s="1">
        <v>45072</v>
      </c>
      <c r="D1858" s="1" t="str">
        <f>PROPER(orders[[#This Row],[order_priority]])</f>
        <v>Express</v>
      </c>
      <c r="E1858" t="s">
        <v>13318</v>
      </c>
      <c r="F1858" t="str">
        <f>IFERROR(INDEX(customers[country], MATCH(orders[[#This Row],[customer_id]], customers[customer_id], 0)), "Unmapped")</f>
        <v>Denmark</v>
      </c>
      <c r="G1858" t="str">
        <f>IFERROR(INDEX(Region_Map[Region], MATCH(orders[[#This Row],[Customer_Country]], Region_Map[Country], 0)), "Unknown")</f>
        <v>Nordics</v>
      </c>
      <c r="H1858" t="s">
        <v>6949</v>
      </c>
    </row>
    <row r="1859" spans="1:8">
      <c r="A1859" t="s">
        <v>2768</v>
      </c>
      <c r="B1859" t="s">
        <v>542</v>
      </c>
      <c r="C1859" s="1">
        <v>45502</v>
      </c>
      <c r="D1859" s="1" t="str">
        <f>PROPER(orders[[#This Row],[order_priority]])</f>
        <v>Standard</v>
      </c>
      <c r="E1859" t="s">
        <v>13317</v>
      </c>
      <c r="F1859" t="str">
        <f>IFERROR(INDEX(customers[country], MATCH(orders[[#This Row],[customer_id]], customers[customer_id], 0)), "Unmapped")</f>
        <v>Poland</v>
      </c>
      <c r="G1859" t="str">
        <f>IFERROR(INDEX(Region_Map[Region], MATCH(orders[[#This Row],[Customer_Country]], Region_Map[Country], 0)), "Unknown")</f>
        <v>Central Europe</v>
      </c>
      <c r="H1859" t="s">
        <v>6949</v>
      </c>
    </row>
    <row r="1860" spans="1:8">
      <c r="A1860" t="s">
        <v>2769</v>
      </c>
      <c r="B1860" t="s">
        <v>828</v>
      </c>
      <c r="C1860" s="1">
        <v>45039</v>
      </c>
      <c r="D1860" s="1" t="str">
        <f>PROPER(orders[[#This Row],[order_priority]])</f>
        <v>Economy</v>
      </c>
      <c r="E1860" t="s">
        <v>13316</v>
      </c>
      <c r="F1860" t="str">
        <f>IFERROR(INDEX(customers[country], MATCH(orders[[#This Row],[customer_id]], customers[customer_id], 0)), "Unmapped")</f>
        <v>Germany</v>
      </c>
      <c r="G1860" t="str">
        <f>IFERROR(INDEX(Region_Map[Region], MATCH(orders[[#This Row],[Customer_Country]], Region_Map[Country], 0)), "Unknown")</f>
        <v>Central Europe</v>
      </c>
      <c r="H1860" t="s">
        <v>6949</v>
      </c>
    </row>
    <row r="1861" spans="1:8">
      <c r="A1861" t="s">
        <v>2770</v>
      </c>
      <c r="B1861" t="s">
        <v>894</v>
      </c>
      <c r="C1861" s="1">
        <v>45576</v>
      </c>
      <c r="D1861" s="1" t="str">
        <f>PROPER(orders[[#This Row],[order_priority]])</f>
        <v>Economy</v>
      </c>
      <c r="E1861" t="s">
        <v>13316</v>
      </c>
      <c r="F1861" t="str">
        <f>IFERROR(INDEX(customers[country], MATCH(orders[[#This Row],[customer_id]], customers[customer_id], 0)), "Unmapped")</f>
        <v>Poland</v>
      </c>
      <c r="G1861" t="str">
        <f>IFERROR(INDEX(Region_Map[Region], MATCH(orders[[#This Row],[Customer_Country]], Region_Map[Country], 0)), "Unknown")</f>
        <v>Central Europe</v>
      </c>
      <c r="H1861" t="s">
        <v>6949</v>
      </c>
    </row>
    <row r="1862" spans="1:8">
      <c r="A1862" t="s">
        <v>2771</v>
      </c>
      <c r="B1862" t="s">
        <v>148</v>
      </c>
      <c r="C1862" s="1">
        <v>45224</v>
      </c>
      <c r="D1862" s="1" t="str">
        <f>PROPER(orders[[#This Row],[order_priority]])</f>
        <v>Economy</v>
      </c>
      <c r="E1862" t="s">
        <v>13316</v>
      </c>
      <c r="F1862" t="str">
        <f>IFERROR(INDEX(customers[country], MATCH(orders[[#This Row],[customer_id]], customers[customer_id], 0)), "Unmapped")</f>
        <v>Poland</v>
      </c>
      <c r="G1862" t="str">
        <f>IFERROR(INDEX(Region_Map[Region], MATCH(orders[[#This Row],[Customer_Country]], Region_Map[Country], 0)), "Unknown")</f>
        <v>Central Europe</v>
      </c>
      <c r="H1862" t="s">
        <v>6949</v>
      </c>
    </row>
    <row r="1863" spans="1:8">
      <c r="A1863" t="s">
        <v>2772</v>
      </c>
      <c r="B1863" t="s">
        <v>509</v>
      </c>
      <c r="C1863" s="1">
        <v>45179</v>
      </c>
      <c r="D1863" s="1" t="str">
        <f>PROPER(orders[[#This Row],[order_priority]])</f>
        <v>Same Day</v>
      </c>
      <c r="E1863" t="s">
        <v>13322</v>
      </c>
      <c r="F1863" t="str">
        <f>IFERROR(INDEX(customers[country], MATCH(orders[[#This Row],[customer_id]], customers[customer_id], 0)), "Unmapped")</f>
        <v>Sweden</v>
      </c>
      <c r="G1863" t="str">
        <f>IFERROR(INDEX(Region_Map[Region], MATCH(orders[[#This Row],[Customer_Country]], Region_Map[Country], 0)), "Unknown")</f>
        <v>Nordics</v>
      </c>
      <c r="H1863" t="s">
        <v>6949</v>
      </c>
    </row>
    <row r="1864" spans="1:8">
      <c r="A1864" t="s">
        <v>2773</v>
      </c>
      <c r="B1864" t="s">
        <v>291</v>
      </c>
      <c r="C1864" s="1">
        <v>45388</v>
      </c>
      <c r="D1864" s="1" t="str">
        <f>PROPER(orders[[#This Row],[order_priority]])</f>
        <v>Economy</v>
      </c>
      <c r="E1864" t="s">
        <v>13325</v>
      </c>
      <c r="F1864" t="str">
        <f>IFERROR(INDEX(customers[country], MATCH(orders[[#This Row],[customer_id]], customers[customer_id], 0)), "Unmapped")</f>
        <v>Poland</v>
      </c>
      <c r="G1864" t="str">
        <f>IFERROR(INDEX(Region_Map[Region], MATCH(orders[[#This Row],[Customer_Country]], Region_Map[Country], 0)), "Unknown")</f>
        <v>Central Europe</v>
      </c>
      <c r="H1864" t="s">
        <v>6949</v>
      </c>
    </row>
    <row r="1865" spans="1:8">
      <c r="A1865" t="s">
        <v>2774</v>
      </c>
      <c r="B1865" t="s">
        <v>530</v>
      </c>
      <c r="C1865" s="1">
        <v>45211</v>
      </c>
      <c r="D1865" s="1" t="str">
        <f>PROPER(orders[[#This Row],[order_priority]])</f>
        <v>Same Day</v>
      </c>
      <c r="E1865" t="s">
        <v>13322</v>
      </c>
      <c r="F1865" t="str">
        <f>IFERROR(INDEX(customers[country], MATCH(orders[[#This Row],[customer_id]], customers[customer_id], 0)), "Unmapped")</f>
        <v>Denmark</v>
      </c>
      <c r="G1865" t="str">
        <f>IFERROR(INDEX(Region_Map[Region], MATCH(orders[[#This Row],[Customer_Country]], Region_Map[Country], 0)), "Unknown")</f>
        <v>Nordics</v>
      </c>
      <c r="H1865" t="s">
        <v>6949</v>
      </c>
    </row>
    <row r="1866" spans="1:8">
      <c r="A1866" t="s">
        <v>2775</v>
      </c>
      <c r="B1866" t="s">
        <v>497</v>
      </c>
      <c r="C1866" s="1">
        <v>45210</v>
      </c>
      <c r="D1866" s="1" t="str">
        <f>PROPER(orders[[#This Row],[order_priority]])</f>
        <v>Express</v>
      </c>
      <c r="E1866" t="s">
        <v>13318</v>
      </c>
      <c r="F1866" t="str">
        <f>IFERROR(INDEX(customers[country], MATCH(orders[[#This Row],[customer_id]], customers[customer_id], 0)), "Unmapped")</f>
        <v>Germany</v>
      </c>
      <c r="G1866" t="str">
        <f>IFERROR(INDEX(Region_Map[Region], MATCH(orders[[#This Row],[Customer_Country]], Region_Map[Country], 0)), "Unknown")</f>
        <v>Central Europe</v>
      </c>
      <c r="H1866" t="s">
        <v>6949</v>
      </c>
    </row>
    <row r="1867" spans="1:8">
      <c r="A1867" t="s">
        <v>2776</v>
      </c>
      <c r="B1867" t="s">
        <v>422</v>
      </c>
      <c r="C1867" s="1">
        <v>45143</v>
      </c>
      <c r="D1867" s="1" t="str">
        <f>PROPER(orders[[#This Row],[order_priority]])</f>
        <v>Economy</v>
      </c>
      <c r="E1867" t="s">
        <v>13316</v>
      </c>
      <c r="F1867" t="str">
        <f>IFERROR(INDEX(customers[country], MATCH(orders[[#This Row],[customer_id]], customers[customer_id], 0)), "Unmapped")</f>
        <v>Germany</v>
      </c>
      <c r="G1867" t="str">
        <f>IFERROR(INDEX(Region_Map[Region], MATCH(orders[[#This Row],[Customer_Country]], Region_Map[Country], 0)), "Unknown")</f>
        <v>Central Europe</v>
      </c>
      <c r="H1867" t="s">
        <v>6949</v>
      </c>
    </row>
    <row r="1868" spans="1:8">
      <c r="A1868" t="s">
        <v>2777</v>
      </c>
      <c r="B1868" t="s">
        <v>306</v>
      </c>
      <c r="C1868" s="1">
        <v>45071</v>
      </c>
      <c r="D1868" s="1" t="str">
        <f>PROPER(orders[[#This Row],[order_priority]])</f>
        <v>Same Day</v>
      </c>
      <c r="E1868" t="s">
        <v>13324</v>
      </c>
      <c r="F1868" t="str">
        <f>IFERROR(INDEX(customers[country], MATCH(orders[[#This Row],[customer_id]], customers[customer_id], 0)), "Unmapped")</f>
        <v>Estonia</v>
      </c>
      <c r="G1868" t="str">
        <f>IFERROR(INDEX(Region_Map[Region], MATCH(orders[[#This Row],[Customer_Country]], Region_Map[Country], 0)), "Unknown")</f>
        <v>Baltics</v>
      </c>
      <c r="H1868" t="s">
        <v>6949</v>
      </c>
    </row>
    <row r="1869" spans="1:8">
      <c r="A1869" t="s">
        <v>2778</v>
      </c>
      <c r="B1869" t="s">
        <v>90</v>
      </c>
      <c r="C1869" s="1">
        <v>45618</v>
      </c>
      <c r="D1869" s="1" t="str">
        <f>PROPER(orders[[#This Row],[order_priority]])</f>
        <v>Standard</v>
      </c>
      <c r="E1869" t="s">
        <v>13317</v>
      </c>
      <c r="F1869" t="str">
        <f>IFERROR(INDEX(customers[country], MATCH(orders[[#This Row],[customer_id]], customers[customer_id], 0)), "Unmapped")</f>
        <v>Netherlands</v>
      </c>
      <c r="G1869" t="str">
        <f>IFERROR(INDEX(Region_Map[Region], MATCH(orders[[#This Row],[Customer_Country]], Region_Map[Country], 0)), "Unknown")</f>
        <v>Central Europe</v>
      </c>
      <c r="H1869" t="s">
        <v>6949</v>
      </c>
    </row>
    <row r="1870" spans="1:8">
      <c r="A1870" t="s">
        <v>2779</v>
      </c>
      <c r="B1870" t="s">
        <v>506</v>
      </c>
      <c r="C1870" s="1">
        <v>45379</v>
      </c>
      <c r="D1870" s="1" t="str">
        <f>PROPER(orders[[#This Row],[order_priority]])</f>
        <v>Express</v>
      </c>
      <c r="E1870" t="s">
        <v>13326</v>
      </c>
      <c r="F1870" t="str">
        <f>IFERROR(INDEX(customers[country], MATCH(orders[[#This Row],[customer_id]], customers[customer_id], 0)), "Unmapped")</f>
        <v>Poland</v>
      </c>
      <c r="G1870" t="str">
        <f>IFERROR(INDEX(Region_Map[Region], MATCH(orders[[#This Row],[Customer_Country]], Region_Map[Country], 0)), "Unknown")</f>
        <v>Central Europe</v>
      </c>
      <c r="H1870" t="s">
        <v>6949</v>
      </c>
    </row>
    <row r="1871" spans="1:8">
      <c r="A1871" t="s">
        <v>2780</v>
      </c>
      <c r="B1871" t="s">
        <v>285</v>
      </c>
      <c r="C1871" s="1">
        <v>45418</v>
      </c>
      <c r="D1871" s="1" t="str">
        <f>PROPER(orders[[#This Row],[order_priority]])</f>
        <v>Economy</v>
      </c>
      <c r="E1871" t="s">
        <v>13316</v>
      </c>
      <c r="F1871" t="str">
        <f>IFERROR(INDEX(customers[country], MATCH(orders[[#This Row],[customer_id]], customers[customer_id], 0)), "Unmapped")</f>
        <v>Norway</v>
      </c>
      <c r="G1871" t="str">
        <f>IFERROR(INDEX(Region_Map[Region], MATCH(orders[[#This Row],[Customer_Country]], Region_Map[Country], 0)), "Unknown")</f>
        <v>Nordics</v>
      </c>
      <c r="H1871" t="s">
        <v>6949</v>
      </c>
    </row>
    <row r="1872" spans="1:8">
      <c r="A1872" t="s">
        <v>2781</v>
      </c>
      <c r="B1872" t="s">
        <v>261</v>
      </c>
      <c r="C1872" s="1">
        <v>45036</v>
      </c>
      <c r="D1872" s="1" t="str">
        <f>PROPER(orders[[#This Row],[order_priority]])</f>
        <v>Standard</v>
      </c>
      <c r="E1872" t="s">
        <v>13317</v>
      </c>
      <c r="F1872" t="str">
        <f>IFERROR(INDEX(customers[country], MATCH(orders[[#This Row],[customer_id]], customers[customer_id], 0)), "Unmapped")</f>
        <v>Germany</v>
      </c>
      <c r="G1872" t="str">
        <f>IFERROR(INDEX(Region_Map[Region], MATCH(orders[[#This Row],[Customer_Country]], Region_Map[Country], 0)), "Unknown")</f>
        <v>Central Europe</v>
      </c>
      <c r="H1872" t="s">
        <v>6949</v>
      </c>
    </row>
    <row r="1873" spans="1:8">
      <c r="A1873" t="s">
        <v>2782</v>
      </c>
      <c r="B1873" t="s">
        <v>80</v>
      </c>
      <c r="C1873" s="1">
        <v>45120</v>
      </c>
      <c r="D1873" s="1" t="str">
        <f>PROPER(orders[[#This Row],[order_priority]])</f>
        <v>Economy</v>
      </c>
      <c r="E1873" t="s">
        <v>13316</v>
      </c>
      <c r="F1873" t="str">
        <f>IFERROR(INDEX(customers[country], MATCH(orders[[#This Row],[customer_id]], customers[customer_id], 0)), "Unmapped")</f>
        <v>Finland</v>
      </c>
      <c r="G1873" t="str">
        <f>IFERROR(INDEX(Region_Map[Region], MATCH(orders[[#This Row],[Customer_Country]], Region_Map[Country], 0)), "Unknown")</f>
        <v>Nordics</v>
      </c>
      <c r="H1873" t="s">
        <v>6949</v>
      </c>
    </row>
    <row r="1874" spans="1:8">
      <c r="A1874" t="s">
        <v>2783</v>
      </c>
      <c r="B1874" t="s">
        <v>317</v>
      </c>
      <c r="C1874" s="1">
        <v>45128</v>
      </c>
      <c r="D1874" s="1" t="str">
        <f>PROPER(orders[[#This Row],[order_priority]])</f>
        <v>Economy</v>
      </c>
      <c r="E1874" t="s">
        <v>13316</v>
      </c>
      <c r="F1874" t="str">
        <f>IFERROR(INDEX(customers[country], MATCH(orders[[#This Row],[customer_id]], customers[customer_id], 0)), "Unmapped")</f>
        <v>Sweden</v>
      </c>
      <c r="G1874" t="str">
        <f>IFERROR(INDEX(Region_Map[Region], MATCH(orders[[#This Row],[Customer_Country]], Region_Map[Country], 0)), "Unknown")</f>
        <v>Nordics</v>
      </c>
      <c r="H1874" t="s">
        <v>6949</v>
      </c>
    </row>
    <row r="1875" spans="1:8">
      <c r="A1875" t="s">
        <v>2784</v>
      </c>
      <c r="B1875" t="s">
        <v>213</v>
      </c>
      <c r="C1875" s="1">
        <v>45524</v>
      </c>
      <c r="D1875" s="1" t="str">
        <f>PROPER(orders[[#This Row],[order_priority]])</f>
        <v>Express</v>
      </c>
      <c r="E1875" t="s">
        <v>13318</v>
      </c>
      <c r="F1875" t="str">
        <f>IFERROR(INDEX(customers[country], MATCH(orders[[#This Row],[customer_id]], customers[customer_id], 0)), "Unmapped")</f>
        <v>Denmark</v>
      </c>
      <c r="G1875" t="str">
        <f>IFERROR(INDEX(Region_Map[Region], MATCH(orders[[#This Row],[Customer_Country]], Region_Map[Country], 0)), "Unknown")</f>
        <v>Nordics</v>
      </c>
      <c r="H1875" t="s">
        <v>6949</v>
      </c>
    </row>
    <row r="1876" spans="1:8">
      <c r="A1876" t="s">
        <v>2785</v>
      </c>
      <c r="B1876" t="s">
        <v>84</v>
      </c>
      <c r="C1876" s="1">
        <v>45063</v>
      </c>
      <c r="D1876" s="1" t="str">
        <f>PROPER(orders[[#This Row],[order_priority]])</f>
        <v>Standard</v>
      </c>
      <c r="E1876" t="s">
        <v>13317</v>
      </c>
      <c r="F1876" t="str">
        <f>IFERROR(INDEX(customers[country], MATCH(orders[[#This Row],[customer_id]], customers[customer_id], 0)), "Unmapped")</f>
        <v>Lithuania</v>
      </c>
      <c r="G1876" t="str">
        <f>IFERROR(INDEX(Region_Map[Region], MATCH(orders[[#This Row],[Customer_Country]], Region_Map[Country], 0)), "Unknown")</f>
        <v>Baltics</v>
      </c>
      <c r="H1876" t="s">
        <v>6949</v>
      </c>
    </row>
    <row r="1877" spans="1:8">
      <c r="A1877" t="s">
        <v>2786</v>
      </c>
      <c r="B1877" t="s">
        <v>688</v>
      </c>
      <c r="C1877" s="1">
        <v>44996</v>
      </c>
      <c r="D1877" s="1" t="str">
        <f>PROPER(orders[[#This Row],[order_priority]])</f>
        <v>Standard</v>
      </c>
      <c r="E1877" t="s">
        <v>13317</v>
      </c>
      <c r="F1877" t="str">
        <f>IFERROR(INDEX(customers[country], MATCH(orders[[#This Row],[customer_id]], customers[customer_id], 0)), "Unmapped")</f>
        <v>Norway</v>
      </c>
      <c r="G1877" t="str">
        <f>IFERROR(INDEX(Region_Map[Region], MATCH(orders[[#This Row],[Customer_Country]], Region_Map[Country], 0)), "Unknown")</f>
        <v>Nordics</v>
      </c>
      <c r="H1877" t="s">
        <v>6949</v>
      </c>
    </row>
    <row r="1878" spans="1:8">
      <c r="A1878" t="s">
        <v>2787</v>
      </c>
      <c r="B1878" t="s">
        <v>730</v>
      </c>
      <c r="C1878" s="1">
        <v>45270</v>
      </c>
      <c r="D1878" s="1" t="str">
        <f>PROPER(orders[[#This Row],[order_priority]])</f>
        <v>Same Day</v>
      </c>
      <c r="E1878" t="s">
        <v>13322</v>
      </c>
      <c r="F1878" t="str">
        <f>IFERROR(INDEX(customers[country], MATCH(orders[[#This Row],[customer_id]], customers[customer_id], 0)), "Unmapped")</f>
        <v>Lithuania</v>
      </c>
      <c r="G1878" t="str">
        <f>IFERROR(INDEX(Region_Map[Region], MATCH(orders[[#This Row],[Customer_Country]], Region_Map[Country], 0)), "Unknown")</f>
        <v>Baltics</v>
      </c>
      <c r="H1878" t="s">
        <v>6949</v>
      </c>
    </row>
    <row r="1879" spans="1:8">
      <c r="A1879" t="s">
        <v>2788</v>
      </c>
      <c r="B1879" t="s">
        <v>718</v>
      </c>
      <c r="C1879" s="1">
        <v>44984</v>
      </c>
      <c r="D1879" s="1" t="str">
        <f>PROPER(orders[[#This Row],[order_priority]])</f>
        <v>Express</v>
      </c>
      <c r="E1879" t="s">
        <v>13318</v>
      </c>
      <c r="F1879" t="str">
        <f>IFERROR(INDEX(customers[country], MATCH(orders[[#This Row],[customer_id]], customers[customer_id], 0)), "Unmapped")</f>
        <v>Netherlands</v>
      </c>
      <c r="G1879" t="str">
        <f>IFERROR(INDEX(Region_Map[Region], MATCH(orders[[#This Row],[Customer_Country]], Region_Map[Country], 0)), "Unknown")</f>
        <v>Central Europe</v>
      </c>
      <c r="H1879" t="s">
        <v>6949</v>
      </c>
    </row>
    <row r="1880" spans="1:8">
      <c r="A1880" t="s">
        <v>2789</v>
      </c>
      <c r="B1880" t="s">
        <v>102</v>
      </c>
      <c r="C1880" s="1">
        <v>45041</v>
      </c>
      <c r="D1880" s="1" t="str">
        <f>PROPER(orders[[#This Row],[order_priority]])</f>
        <v>Standard</v>
      </c>
      <c r="E1880" t="s">
        <v>13317</v>
      </c>
      <c r="F1880" t="str">
        <f>IFERROR(INDEX(customers[country], MATCH(orders[[#This Row],[customer_id]], customers[customer_id], 0)), "Unmapped")</f>
        <v>Denmark</v>
      </c>
      <c r="G1880" t="str">
        <f>IFERROR(INDEX(Region_Map[Region], MATCH(orders[[#This Row],[Customer_Country]], Region_Map[Country], 0)), "Unknown")</f>
        <v>Nordics</v>
      </c>
      <c r="H1880" t="s">
        <v>6949</v>
      </c>
    </row>
    <row r="1881" spans="1:8">
      <c r="A1881" t="s">
        <v>2790</v>
      </c>
      <c r="B1881" t="s">
        <v>440</v>
      </c>
      <c r="C1881" s="1">
        <v>44951</v>
      </c>
      <c r="D1881" s="1" t="str">
        <f>PROPER(orders[[#This Row],[order_priority]])</f>
        <v>Express</v>
      </c>
      <c r="E1881" t="s">
        <v>13320</v>
      </c>
      <c r="F1881" t="str">
        <f>IFERROR(INDEX(customers[country], MATCH(orders[[#This Row],[customer_id]], customers[customer_id], 0)), "Unmapped")</f>
        <v>Poland</v>
      </c>
      <c r="G1881" t="str">
        <f>IFERROR(INDEX(Region_Map[Region], MATCH(orders[[#This Row],[Customer_Country]], Region_Map[Country], 0)), "Unknown")</f>
        <v>Central Europe</v>
      </c>
      <c r="H1881" t="s">
        <v>6949</v>
      </c>
    </row>
    <row r="1882" spans="1:8">
      <c r="A1882" t="s">
        <v>2791</v>
      </c>
      <c r="B1882" t="s">
        <v>479</v>
      </c>
      <c r="C1882" s="1">
        <v>45375</v>
      </c>
      <c r="D1882" s="1" t="str">
        <f>PROPER(orders[[#This Row],[order_priority]])</f>
        <v>Economy</v>
      </c>
      <c r="E1882" t="s">
        <v>13316</v>
      </c>
      <c r="F1882" t="str">
        <f>IFERROR(INDEX(customers[country], MATCH(orders[[#This Row],[customer_id]], customers[customer_id], 0)), "Unmapped")</f>
        <v>Latvia</v>
      </c>
      <c r="G1882" t="str">
        <f>IFERROR(INDEX(Region_Map[Region], MATCH(orders[[#This Row],[Customer_Country]], Region_Map[Country], 0)), "Unknown")</f>
        <v>Baltics</v>
      </c>
      <c r="H1882" t="s">
        <v>6949</v>
      </c>
    </row>
    <row r="1883" spans="1:8">
      <c r="A1883" t="s">
        <v>2792</v>
      </c>
      <c r="B1883" t="s">
        <v>709</v>
      </c>
      <c r="C1883" s="1">
        <v>45018</v>
      </c>
      <c r="D1883" s="1" t="str">
        <f>PROPER(orders[[#This Row],[order_priority]])</f>
        <v>Express</v>
      </c>
      <c r="E1883" t="s">
        <v>13318</v>
      </c>
      <c r="F1883" t="str">
        <f>IFERROR(INDEX(customers[country], MATCH(orders[[#This Row],[customer_id]], customers[customer_id], 0)), "Unmapped")</f>
        <v>Netherlands</v>
      </c>
      <c r="G1883" t="str">
        <f>IFERROR(INDEX(Region_Map[Region], MATCH(orders[[#This Row],[Customer_Country]], Region_Map[Country], 0)), "Unknown")</f>
        <v>Central Europe</v>
      </c>
      <c r="H1883" t="s">
        <v>6949</v>
      </c>
    </row>
    <row r="1884" spans="1:8">
      <c r="A1884" t="s">
        <v>2793</v>
      </c>
      <c r="B1884" t="s">
        <v>431</v>
      </c>
      <c r="C1884" s="1">
        <v>45511</v>
      </c>
      <c r="D1884" s="1" t="str">
        <f>PROPER(orders[[#This Row],[order_priority]])</f>
        <v>Standard</v>
      </c>
      <c r="E1884" t="s">
        <v>13317</v>
      </c>
      <c r="F1884" t="str">
        <f>IFERROR(INDEX(customers[country], MATCH(orders[[#This Row],[customer_id]], customers[customer_id], 0)), "Unmapped")</f>
        <v>Sweden</v>
      </c>
      <c r="G1884" t="str">
        <f>IFERROR(INDEX(Region_Map[Region], MATCH(orders[[#This Row],[Customer_Country]], Region_Map[Country], 0)), "Unknown")</f>
        <v>Nordics</v>
      </c>
      <c r="H1884" t="s">
        <v>6949</v>
      </c>
    </row>
    <row r="1885" spans="1:8">
      <c r="A1885" t="s">
        <v>2794</v>
      </c>
      <c r="B1885" t="s">
        <v>374</v>
      </c>
      <c r="C1885" s="1">
        <v>44927</v>
      </c>
      <c r="D1885" s="1" t="str">
        <f>PROPER(orders[[#This Row],[order_priority]])</f>
        <v>Standard</v>
      </c>
      <c r="E1885" t="s">
        <v>13317</v>
      </c>
      <c r="F1885" t="str">
        <f>IFERROR(INDEX(customers[country], MATCH(orders[[#This Row],[customer_id]], customers[customer_id], 0)), "Unmapped")</f>
        <v>Estonia</v>
      </c>
      <c r="G1885" t="str">
        <f>IFERROR(INDEX(Region_Map[Region], MATCH(orders[[#This Row],[Customer_Country]], Region_Map[Country], 0)), "Unknown")</f>
        <v>Baltics</v>
      </c>
      <c r="H1885" t="s">
        <v>6949</v>
      </c>
    </row>
    <row r="1886" spans="1:8">
      <c r="A1886" t="s">
        <v>2795</v>
      </c>
      <c r="B1886" t="s">
        <v>341</v>
      </c>
      <c r="C1886" s="1">
        <v>45108</v>
      </c>
      <c r="D1886" s="1" t="str">
        <f>PROPER(orders[[#This Row],[order_priority]])</f>
        <v>Express</v>
      </c>
      <c r="E1886" t="s">
        <v>13318</v>
      </c>
      <c r="F1886" t="str">
        <f>IFERROR(INDEX(customers[country], MATCH(orders[[#This Row],[customer_id]], customers[customer_id], 0)), "Unmapped")</f>
        <v>Latvia</v>
      </c>
      <c r="G1886" t="str">
        <f>IFERROR(INDEX(Region_Map[Region], MATCH(orders[[#This Row],[Customer_Country]], Region_Map[Country], 0)), "Unknown")</f>
        <v>Baltics</v>
      </c>
      <c r="H1886" t="s">
        <v>6949</v>
      </c>
    </row>
    <row r="1887" spans="1:8">
      <c r="A1887" t="s">
        <v>2796</v>
      </c>
      <c r="B1887" t="s">
        <v>879</v>
      </c>
      <c r="C1887" s="1">
        <v>45112</v>
      </c>
      <c r="D1887" s="1" t="str">
        <f>PROPER(orders[[#This Row],[order_priority]])</f>
        <v>Economy</v>
      </c>
      <c r="E1887" t="s">
        <v>13316</v>
      </c>
      <c r="F1887" t="str">
        <f>IFERROR(INDEX(customers[country], MATCH(orders[[#This Row],[customer_id]], customers[customer_id], 0)), "Unmapped")</f>
        <v>Norway</v>
      </c>
      <c r="G1887" t="str">
        <f>IFERROR(INDEX(Region_Map[Region], MATCH(orders[[#This Row],[Customer_Country]], Region_Map[Country], 0)), "Unknown")</f>
        <v>Nordics</v>
      </c>
      <c r="H1887" t="s">
        <v>6949</v>
      </c>
    </row>
    <row r="1888" spans="1:8">
      <c r="A1888" t="s">
        <v>2797</v>
      </c>
      <c r="B1888" t="s">
        <v>590</v>
      </c>
      <c r="C1888" s="1">
        <v>45358</v>
      </c>
      <c r="D1888" s="1" t="str">
        <f>PROPER(orders[[#This Row],[order_priority]])</f>
        <v>Standard</v>
      </c>
      <c r="E1888" t="s">
        <v>13317</v>
      </c>
      <c r="F1888" t="str">
        <f>IFERROR(INDEX(customers[country], MATCH(orders[[#This Row],[customer_id]], customers[customer_id], 0)), "Unmapped")</f>
        <v>Finland</v>
      </c>
      <c r="G1888" t="str">
        <f>IFERROR(INDEX(Region_Map[Region], MATCH(orders[[#This Row],[Customer_Country]], Region_Map[Country], 0)), "Unknown")</f>
        <v>Nordics</v>
      </c>
      <c r="H1888" t="s">
        <v>6949</v>
      </c>
    </row>
    <row r="1889" spans="1:8">
      <c r="A1889" t="s">
        <v>2798</v>
      </c>
      <c r="B1889" t="s">
        <v>45</v>
      </c>
      <c r="C1889" s="1">
        <v>44991</v>
      </c>
      <c r="D1889" s="1" t="str">
        <f>PROPER(orders[[#This Row],[order_priority]])</f>
        <v>Same Day</v>
      </c>
      <c r="E1889" t="s">
        <v>13322</v>
      </c>
      <c r="F1889" t="str">
        <f>IFERROR(INDEX(customers[country], MATCH(orders[[#This Row],[customer_id]], customers[customer_id], 0)), "Unmapped")</f>
        <v>Netherlands</v>
      </c>
      <c r="G1889" t="str">
        <f>IFERROR(INDEX(Region_Map[Region], MATCH(orders[[#This Row],[Customer_Country]], Region_Map[Country], 0)), "Unknown")</f>
        <v>Central Europe</v>
      </c>
      <c r="H1889" t="s">
        <v>6949</v>
      </c>
    </row>
    <row r="1890" spans="1:8">
      <c r="A1890" t="s">
        <v>2799</v>
      </c>
      <c r="B1890" t="s">
        <v>335</v>
      </c>
      <c r="C1890" s="1">
        <v>45398</v>
      </c>
      <c r="D1890" s="1" t="str">
        <f>PROPER(orders[[#This Row],[order_priority]])</f>
        <v>Same Day</v>
      </c>
      <c r="E1890" t="s">
        <v>13322</v>
      </c>
      <c r="F1890" t="str">
        <f>IFERROR(INDEX(customers[country], MATCH(orders[[#This Row],[customer_id]], customers[customer_id], 0)), "Unmapped")</f>
        <v>Denmark</v>
      </c>
      <c r="G1890" t="str">
        <f>IFERROR(INDEX(Region_Map[Region], MATCH(orders[[#This Row],[Customer_Country]], Region_Map[Country], 0)), "Unknown")</f>
        <v>Nordics</v>
      </c>
      <c r="H1890" t="s">
        <v>6949</v>
      </c>
    </row>
    <row r="1891" spans="1:8">
      <c r="A1891" t="s">
        <v>2800</v>
      </c>
      <c r="B1891" t="s">
        <v>383</v>
      </c>
      <c r="C1891" s="1">
        <v>45311</v>
      </c>
      <c r="D1891" s="1" t="str">
        <f>PROPER(orders[[#This Row],[order_priority]])</f>
        <v>Express</v>
      </c>
      <c r="E1891" t="s">
        <v>13320</v>
      </c>
      <c r="F1891" t="str">
        <f>IFERROR(INDEX(customers[country], MATCH(orders[[#This Row],[customer_id]], customers[customer_id], 0)), "Unmapped")</f>
        <v>Germany</v>
      </c>
      <c r="G1891" t="str">
        <f>IFERROR(INDEX(Region_Map[Region], MATCH(orders[[#This Row],[Customer_Country]], Region_Map[Country], 0)), "Unknown")</f>
        <v>Central Europe</v>
      </c>
      <c r="H1891" t="s">
        <v>6949</v>
      </c>
    </row>
    <row r="1892" spans="1:8">
      <c r="A1892" t="s">
        <v>2801</v>
      </c>
      <c r="B1892" t="s">
        <v>407</v>
      </c>
      <c r="C1892" s="1">
        <v>45569</v>
      </c>
      <c r="D1892" s="1" t="str">
        <f>PROPER(orders[[#This Row],[order_priority]])</f>
        <v>Standard</v>
      </c>
      <c r="E1892" t="s">
        <v>13317</v>
      </c>
      <c r="F1892" t="str">
        <f>IFERROR(INDEX(customers[country], MATCH(orders[[#This Row],[customer_id]], customers[customer_id], 0)), "Unmapped")</f>
        <v>Poland</v>
      </c>
      <c r="G1892" t="str">
        <f>IFERROR(INDEX(Region_Map[Region], MATCH(orders[[#This Row],[Customer_Country]], Region_Map[Country], 0)), "Unknown")</f>
        <v>Central Europe</v>
      </c>
      <c r="H1892" t="s">
        <v>6949</v>
      </c>
    </row>
    <row r="1893" spans="1:8">
      <c r="A1893" t="s">
        <v>2802</v>
      </c>
      <c r="B1893" t="s">
        <v>852</v>
      </c>
      <c r="C1893" s="1">
        <v>45008</v>
      </c>
      <c r="D1893" s="1" t="str">
        <f>PROPER(orders[[#This Row],[order_priority]])</f>
        <v>Economy</v>
      </c>
      <c r="E1893" t="s">
        <v>13316</v>
      </c>
      <c r="F1893" t="str">
        <f>IFERROR(INDEX(customers[country], MATCH(orders[[#This Row],[customer_id]], customers[customer_id], 0)), "Unmapped")</f>
        <v>Sweden</v>
      </c>
      <c r="G1893" t="str">
        <f>IFERROR(INDEX(Region_Map[Region], MATCH(orders[[#This Row],[Customer_Country]], Region_Map[Country], 0)), "Unknown")</f>
        <v>Nordics</v>
      </c>
      <c r="H1893" t="s">
        <v>6949</v>
      </c>
    </row>
    <row r="1894" spans="1:8">
      <c r="A1894" t="s">
        <v>2803</v>
      </c>
      <c r="B1894" t="s">
        <v>650</v>
      </c>
      <c r="C1894" s="1">
        <v>45153</v>
      </c>
      <c r="D1894" s="1" t="str">
        <f>PROPER(orders[[#This Row],[order_priority]])</f>
        <v>Economy</v>
      </c>
      <c r="E1894" t="s">
        <v>13325</v>
      </c>
      <c r="F1894" t="str">
        <f>IFERROR(INDEX(customers[country], MATCH(orders[[#This Row],[customer_id]], customers[customer_id], 0)), "Unmapped")</f>
        <v>Poland</v>
      </c>
      <c r="G1894" t="str">
        <f>IFERROR(INDEX(Region_Map[Region], MATCH(orders[[#This Row],[Customer_Country]], Region_Map[Country], 0)), "Unknown")</f>
        <v>Central Europe</v>
      </c>
      <c r="H1894" t="s">
        <v>6949</v>
      </c>
    </row>
    <row r="1895" spans="1:8">
      <c r="A1895" t="s">
        <v>2804</v>
      </c>
      <c r="B1895" t="s">
        <v>279</v>
      </c>
      <c r="C1895" s="1">
        <v>45436</v>
      </c>
      <c r="D1895" s="1" t="str">
        <f>PROPER(orders[[#This Row],[order_priority]])</f>
        <v>Standard</v>
      </c>
      <c r="E1895" t="s">
        <v>13317</v>
      </c>
      <c r="F1895" t="str">
        <f>IFERROR(INDEX(customers[country], MATCH(orders[[#This Row],[customer_id]], customers[customer_id], 0)), "Unmapped")</f>
        <v>Germany</v>
      </c>
      <c r="G1895" t="str">
        <f>IFERROR(INDEX(Region_Map[Region], MATCH(orders[[#This Row],[Customer_Country]], Region_Map[Country], 0)), "Unknown")</f>
        <v>Central Europe</v>
      </c>
      <c r="H1895" t="s">
        <v>6949</v>
      </c>
    </row>
    <row r="1896" spans="1:8">
      <c r="A1896" t="s">
        <v>2805</v>
      </c>
      <c r="B1896" t="s">
        <v>730</v>
      </c>
      <c r="C1896" s="1">
        <v>45244</v>
      </c>
      <c r="D1896" s="1" t="str">
        <f>PROPER(orders[[#This Row],[order_priority]])</f>
        <v>Same Day</v>
      </c>
      <c r="E1896" t="s">
        <v>13322</v>
      </c>
      <c r="F1896" t="str">
        <f>IFERROR(INDEX(customers[country], MATCH(orders[[#This Row],[customer_id]], customers[customer_id], 0)), "Unmapped")</f>
        <v>Lithuania</v>
      </c>
      <c r="G1896" t="str">
        <f>IFERROR(INDEX(Region_Map[Region], MATCH(orders[[#This Row],[Customer_Country]], Region_Map[Country], 0)), "Unknown")</f>
        <v>Baltics</v>
      </c>
      <c r="H1896" t="s">
        <v>6949</v>
      </c>
    </row>
    <row r="1897" spans="1:8">
      <c r="A1897" t="s">
        <v>2806</v>
      </c>
      <c r="B1897" t="s">
        <v>787</v>
      </c>
      <c r="C1897" s="1">
        <v>45202</v>
      </c>
      <c r="D1897" s="1" t="str">
        <f>PROPER(orders[[#This Row],[order_priority]])</f>
        <v>Standard</v>
      </c>
      <c r="E1897" t="s">
        <v>13317</v>
      </c>
      <c r="F1897" t="str">
        <f>IFERROR(INDEX(customers[country], MATCH(orders[[#This Row],[customer_id]], customers[customer_id], 0)), "Unmapped")</f>
        <v>Netherlands</v>
      </c>
      <c r="G1897" t="str">
        <f>IFERROR(INDEX(Region_Map[Region], MATCH(orders[[#This Row],[Customer_Country]], Region_Map[Country], 0)), "Unknown")</f>
        <v>Central Europe</v>
      </c>
      <c r="H1897" t="s">
        <v>6949</v>
      </c>
    </row>
    <row r="1898" spans="1:8">
      <c r="A1898" t="s">
        <v>2807</v>
      </c>
      <c r="B1898" t="s">
        <v>48</v>
      </c>
      <c r="C1898" s="1">
        <v>45555</v>
      </c>
      <c r="D1898" s="1" t="str">
        <f>PROPER(orders[[#This Row],[order_priority]])</f>
        <v>Economy</v>
      </c>
      <c r="E1898" t="s">
        <v>13316</v>
      </c>
      <c r="F1898" t="str">
        <f>IFERROR(INDEX(customers[country], MATCH(orders[[#This Row],[customer_id]], customers[customer_id], 0)), "Unmapped")</f>
        <v>Poland</v>
      </c>
      <c r="G1898" t="str">
        <f>IFERROR(INDEX(Region_Map[Region], MATCH(orders[[#This Row],[Customer_Country]], Region_Map[Country], 0)), "Unknown")</f>
        <v>Central Europe</v>
      </c>
      <c r="H1898" t="s">
        <v>6949</v>
      </c>
    </row>
    <row r="1899" spans="1:8">
      <c r="A1899" t="s">
        <v>2808</v>
      </c>
      <c r="B1899" t="s">
        <v>473</v>
      </c>
      <c r="C1899" s="1">
        <v>45553</v>
      </c>
      <c r="D1899" s="1" t="str">
        <f>PROPER(orders[[#This Row],[order_priority]])</f>
        <v>Economy</v>
      </c>
      <c r="E1899" t="s">
        <v>13316</v>
      </c>
      <c r="F1899" t="str">
        <f>IFERROR(INDEX(customers[country], MATCH(orders[[#This Row],[customer_id]], customers[customer_id], 0)), "Unmapped")</f>
        <v>Netherlands</v>
      </c>
      <c r="G1899" t="str">
        <f>IFERROR(INDEX(Region_Map[Region], MATCH(orders[[#This Row],[Customer_Country]], Region_Map[Country], 0)), "Unknown")</f>
        <v>Central Europe</v>
      </c>
      <c r="H1899" t="s">
        <v>6949</v>
      </c>
    </row>
    <row r="1900" spans="1:8">
      <c r="A1900" t="s">
        <v>2809</v>
      </c>
      <c r="B1900" t="s">
        <v>617</v>
      </c>
      <c r="C1900" s="1">
        <v>44948</v>
      </c>
      <c r="D1900" s="1" t="str">
        <f>PROPER(orders[[#This Row],[order_priority]])</f>
        <v>Express</v>
      </c>
      <c r="E1900" t="s">
        <v>13318</v>
      </c>
      <c r="F1900" t="str">
        <f>IFERROR(INDEX(customers[country], MATCH(orders[[#This Row],[customer_id]], customers[customer_id], 0)), "Unmapped")</f>
        <v>Latvia</v>
      </c>
      <c r="G1900" t="str">
        <f>IFERROR(INDEX(Region_Map[Region], MATCH(orders[[#This Row],[Customer_Country]], Region_Map[Country], 0)), "Unknown")</f>
        <v>Baltics</v>
      </c>
      <c r="H1900" t="s">
        <v>6949</v>
      </c>
    </row>
    <row r="1901" spans="1:8">
      <c r="A1901" t="s">
        <v>2810</v>
      </c>
      <c r="B1901" t="s">
        <v>139</v>
      </c>
      <c r="C1901" s="1">
        <v>45215</v>
      </c>
      <c r="D1901" s="1" t="str">
        <f>PROPER(orders[[#This Row],[order_priority]])</f>
        <v>Same Day</v>
      </c>
      <c r="E1901" t="s">
        <v>13322</v>
      </c>
      <c r="F1901" t="str">
        <f>IFERROR(INDEX(customers[country], MATCH(orders[[#This Row],[customer_id]], customers[customer_id], 0)), "Unmapped")</f>
        <v>Netherlands</v>
      </c>
      <c r="G1901" t="str">
        <f>IFERROR(INDEX(Region_Map[Region], MATCH(orders[[#This Row],[Customer_Country]], Region_Map[Country], 0)), "Unknown")</f>
        <v>Central Europe</v>
      </c>
      <c r="H1901" t="s">
        <v>6949</v>
      </c>
    </row>
    <row r="1902" spans="1:8">
      <c r="A1902" t="s">
        <v>2811</v>
      </c>
      <c r="B1902" t="s">
        <v>743</v>
      </c>
      <c r="C1902" s="1">
        <v>45353</v>
      </c>
      <c r="D1902" s="1" t="str">
        <f>PROPER(orders[[#This Row],[order_priority]])</f>
        <v>Express</v>
      </c>
      <c r="E1902" t="s">
        <v>13318</v>
      </c>
      <c r="F1902" t="str">
        <f>IFERROR(INDEX(customers[country], MATCH(orders[[#This Row],[customer_id]], customers[customer_id], 0)), "Unmapped")</f>
        <v>Germany</v>
      </c>
      <c r="G1902" t="str">
        <f>IFERROR(INDEX(Region_Map[Region], MATCH(orders[[#This Row],[Customer_Country]], Region_Map[Country], 0)), "Unknown")</f>
        <v>Central Europe</v>
      </c>
      <c r="H1902" t="s">
        <v>6949</v>
      </c>
    </row>
    <row r="1903" spans="1:8">
      <c r="A1903" t="s">
        <v>2812</v>
      </c>
      <c r="B1903" t="s">
        <v>879</v>
      </c>
      <c r="C1903" s="1">
        <v>45415</v>
      </c>
      <c r="D1903" s="1" t="str">
        <f>PROPER(orders[[#This Row],[order_priority]])</f>
        <v>Express</v>
      </c>
      <c r="E1903" t="s">
        <v>13318</v>
      </c>
      <c r="F1903" t="str">
        <f>IFERROR(INDEX(customers[country], MATCH(orders[[#This Row],[customer_id]], customers[customer_id], 0)), "Unmapped")</f>
        <v>Norway</v>
      </c>
      <c r="G1903" t="str">
        <f>IFERROR(INDEX(Region_Map[Region], MATCH(orders[[#This Row],[Customer_Country]], Region_Map[Country], 0)), "Unknown")</f>
        <v>Nordics</v>
      </c>
      <c r="H1903" t="s">
        <v>6949</v>
      </c>
    </row>
    <row r="1904" spans="1:8">
      <c r="A1904" t="s">
        <v>2813</v>
      </c>
      <c r="B1904" t="s">
        <v>617</v>
      </c>
      <c r="C1904" s="1">
        <v>45427</v>
      </c>
      <c r="D1904" s="1" t="str">
        <f>PROPER(orders[[#This Row],[order_priority]])</f>
        <v>Same Day</v>
      </c>
      <c r="E1904" t="s">
        <v>13322</v>
      </c>
      <c r="F1904" t="str">
        <f>IFERROR(INDEX(customers[country], MATCH(orders[[#This Row],[customer_id]], customers[customer_id], 0)), "Unmapped")</f>
        <v>Latvia</v>
      </c>
      <c r="G1904" t="str">
        <f>IFERROR(INDEX(Region_Map[Region], MATCH(orders[[#This Row],[Customer_Country]], Region_Map[Country], 0)), "Unknown")</f>
        <v>Baltics</v>
      </c>
      <c r="H1904" t="s">
        <v>6949</v>
      </c>
    </row>
    <row r="1905" spans="1:8">
      <c r="A1905" t="s">
        <v>2814</v>
      </c>
      <c r="B1905" t="s">
        <v>338</v>
      </c>
      <c r="C1905" s="1">
        <v>45447</v>
      </c>
      <c r="D1905" s="1" t="str">
        <f>PROPER(orders[[#This Row],[order_priority]])</f>
        <v>Standard</v>
      </c>
      <c r="E1905" t="s">
        <v>13317</v>
      </c>
      <c r="F1905" t="str">
        <f>IFERROR(INDEX(customers[country], MATCH(orders[[#This Row],[customer_id]], customers[customer_id], 0)), "Unmapped")</f>
        <v>Denmark</v>
      </c>
      <c r="G1905" t="str">
        <f>IFERROR(INDEX(Region_Map[Region], MATCH(orders[[#This Row],[Customer_Country]], Region_Map[Country], 0)), "Unknown")</f>
        <v>Nordics</v>
      </c>
      <c r="H1905" t="s">
        <v>6949</v>
      </c>
    </row>
    <row r="1906" spans="1:8">
      <c r="A1906" t="s">
        <v>2815</v>
      </c>
      <c r="B1906" t="s">
        <v>879</v>
      </c>
      <c r="C1906" s="1">
        <v>45204</v>
      </c>
      <c r="D1906" s="1" t="str">
        <f>PROPER(orders[[#This Row],[order_priority]])</f>
        <v>Economy</v>
      </c>
      <c r="E1906" t="s">
        <v>13316</v>
      </c>
      <c r="F1906" t="str">
        <f>IFERROR(INDEX(customers[country], MATCH(orders[[#This Row],[customer_id]], customers[customer_id], 0)), "Unmapped")</f>
        <v>Norway</v>
      </c>
      <c r="G1906" t="str">
        <f>IFERROR(INDEX(Region_Map[Region], MATCH(orders[[#This Row],[Customer_Country]], Region_Map[Country], 0)), "Unknown")</f>
        <v>Nordics</v>
      </c>
      <c r="H1906" t="s">
        <v>6949</v>
      </c>
    </row>
    <row r="1907" spans="1:8">
      <c r="A1907" t="s">
        <v>2816</v>
      </c>
      <c r="B1907" t="s">
        <v>130</v>
      </c>
      <c r="C1907" s="1">
        <v>44971</v>
      </c>
      <c r="D1907" s="1" t="str">
        <f>PROPER(orders[[#This Row],[order_priority]])</f>
        <v>Standard</v>
      </c>
      <c r="E1907" t="s">
        <v>13317</v>
      </c>
      <c r="F1907" t="str">
        <f>IFERROR(INDEX(customers[country], MATCH(orders[[#This Row],[customer_id]], customers[customer_id], 0)), "Unmapped")</f>
        <v>Latvia</v>
      </c>
      <c r="G1907" t="str">
        <f>IFERROR(INDEX(Region_Map[Region], MATCH(orders[[#This Row],[Customer_Country]], Region_Map[Country], 0)), "Unknown")</f>
        <v>Baltics</v>
      </c>
      <c r="H1907" t="s">
        <v>6949</v>
      </c>
    </row>
    <row r="1908" spans="1:8">
      <c r="A1908" t="s">
        <v>2817</v>
      </c>
      <c r="B1908" t="s">
        <v>524</v>
      </c>
      <c r="C1908" s="1">
        <v>45313</v>
      </c>
      <c r="D1908" s="1" t="str">
        <f>PROPER(orders[[#This Row],[order_priority]])</f>
        <v>Same Day</v>
      </c>
      <c r="E1908" t="s">
        <v>13322</v>
      </c>
      <c r="F1908" t="str">
        <f>IFERROR(INDEX(customers[country], MATCH(orders[[#This Row],[customer_id]], customers[customer_id], 0)), "Unmapped")</f>
        <v>Norway</v>
      </c>
      <c r="G1908" t="str">
        <f>IFERROR(INDEX(Region_Map[Region], MATCH(orders[[#This Row],[Customer_Country]], Region_Map[Country], 0)), "Unknown")</f>
        <v>Nordics</v>
      </c>
      <c r="H1908" t="s">
        <v>6949</v>
      </c>
    </row>
    <row r="1909" spans="1:8">
      <c r="A1909" t="s">
        <v>2818</v>
      </c>
      <c r="B1909" t="s">
        <v>419</v>
      </c>
      <c r="C1909" s="1">
        <v>45079</v>
      </c>
      <c r="D1909" s="1" t="str">
        <f>PROPER(orders[[#This Row],[order_priority]])</f>
        <v>Same Day</v>
      </c>
      <c r="E1909" t="s">
        <v>13322</v>
      </c>
      <c r="F1909" t="str">
        <f>IFERROR(INDEX(customers[country], MATCH(orders[[#This Row],[customer_id]], customers[customer_id], 0)), "Unmapped")</f>
        <v>Estonia</v>
      </c>
      <c r="G1909" t="str">
        <f>IFERROR(INDEX(Region_Map[Region], MATCH(orders[[#This Row],[Customer_Country]], Region_Map[Country], 0)), "Unknown")</f>
        <v>Baltics</v>
      </c>
      <c r="H1909" t="s">
        <v>6949</v>
      </c>
    </row>
    <row r="1910" spans="1:8">
      <c r="A1910" t="s">
        <v>2819</v>
      </c>
      <c r="B1910" t="s">
        <v>246</v>
      </c>
      <c r="C1910" s="1">
        <v>45552</v>
      </c>
      <c r="D1910" s="1" t="str">
        <f>PROPER(orders[[#This Row],[order_priority]])</f>
        <v>Express</v>
      </c>
      <c r="E1910" t="s">
        <v>13318</v>
      </c>
      <c r="F1910" t="str">
        <f>IFERROR(INDEX(customers[country], MATCH(orders[[#This Row],[customer_id]], customers[customer_id], 0)), "Unmapped")</f>
        <v>Netherlands</v>
      </c>
      <c r="G1910" t="str">
        <f>IFERROR(INDEX(Region_Map[Region], MATCH(orders[[#This Row],[Customer_Country]], Region_Map[Country], 0)), "Unknown")</f>
        <v>Central Europe</v>
      </c>
      <c r="H1910" t="s">
        <v>6949</v>
      </c>
    </row>
    <row r="1911" spans="1:8">
      <c r="A1911" t="s">
        <v>2820</v>
      </c>
      <c r="B1911" t="s">
        <v>864</v>
      </c>
      <c r="C1911" s="1">
        <v>45377</v>
      </c>
      <c r="D1911" s="1" t="str">
        <f>PROPER(orders[[#This Row],[order_priority]])</f>
        <v>Same Day</v>
      </c>
      <c r="E1911" t="s">
        <v>13322</v>
      </c>
      <c r="F1911" t="str">
        <f>IFERROR(INDEX(customers[country], MATCH(orders[[#This Row],[customer_id]], customers[customer_id], 0)), "Unmapped")</f>
        <v>Finland</v>
      </c>
      <c r="G1911" t="str">
        <f>IFERROR(INDEX(Region_Map[Region], MATCH(orders[[#This Row],[Customer_Country]], Region_Map[Country], 0)), "Unknown")</f>
        <v>Nordics</v>
      </c>
      <c r="H1911" t="s">
        <v>6949</v>
      </c>
    </row>
    <row r="1912" spans="1:8">
      <c r="A1912" t="s">
        <v>2821</v>
      </c>
      <c r="B1912" t="s">
        <v>6949</v>
      </c>
      <c r="C1912" s="1">
        <v>45326</v>
      </c>
      <c r="D1912" s="1" t="str">
        <f>PROPER(orders[[#This Row],[order_priority]])</f>
        <v>Economy</v>
      </c>
      <c r="E1912" t="s">
        <v>13316</v>
      </c>
      <c r="F1912" t="str">
        <f>IFERROR(INDEX(customers[country], MATCH(orders[[#This Row],[customer_id]], customers[customer_id], 0)), "Unmapped")</f>
        <v>Unmapped</v>
      </c>
      <c r="G1912" t="str">
        <f>IFERROR(INDEX(Region_Map[Region], MATCH(orders[[#This Row],[Customer_Country]], Region_Map[Country], 0)), "Unknown")</f>
        <v>Unknown</v>
      </c>
      <c r="H1912" t="s">
        <v>6949</v>
      </c>
    </row>
    <row r="1913" spans="1:8">
      <c r="A1913" t="s">
        <v>2822</v>
      </c>
      <c r="B1913" t="s">
        <v>166</v>
      </c>
      <c r="C1913" s="1">
        <v>45604</v>
      </c>
      <c r="D1913" s="1" t="str">
        <f>PROPER(orders[[#This Row],[order_priority]])</f>
        <v>Standard</v>
      </c>
      <c r="E1913" t="s">
        <v>13317</v>
      </c>
      <c r="F1913" t="str">
        <f>IFERROR(INDEX(customers[country], MATCH(orders[[#This Row],[customer_id]], customers[customer_id], 0)), "Unmapped")</f>
        <v>Denmark</v>
      </c>
      <c r="G1913" t="str">
        <f>IFERROR(INDEX(Region_Map[Region], MATCH(orders[[#This Row],[Customer_Country]], Region_Map[Country], 0)), "Unknown")</f>
        <v>Nordics</v>
      </c>
      <c r="H1913" t="s">
        <v>6949</v>
      </c>
    </row>
    <row r="1914" spans="1:8">
      <c r="A1914" t="s">
        <v>2823</v>
      </c>
      <c r="B1914" t="s">
        <v>395</v>
      </c>
      <c r="C1914" s="1">
        <v>45088</v>
      </c>
      <c r="D1914" s="1" t="str">
        <f>PROPER(orders[[#This Row],[order_priority]])</f>
        <v>Economy</v>
      </c>
      <c r="E1914" t="s">
        <v>13316</v>
      </c>
      <c r="F1914" t="str">
        <f>IFERROR(INDEX(customers[country], MATCH(orders[[#This Row],[customer_id]], customers[customer_id], 0)), "Unmapped")</f>
        <v>Sweden</v>
      </c>
      <c r="G1914" t="str">
        <f>IFERROR(INDEX(Region_Map[Region], MATCH(orders[[#This Row],[Customer_Country]], Region_Map[Country], 0)), "Unknown")</f>
        <v>Nordics</v>
      </c>
      <c r="H1914" t="s">
        <v>6949</v>
      </c>
    </row>
    <row r="1915" spans="1:8">
      <c r="A1915" t="s">
        <v>2824</v>
      </c>
      <c r="B1915" t="s">
        <v>755</v>
      </c>
      <c r="C1915" s="1">
        <v>45573</v>
      </c>
      <c r="D1915" s="1" t="str">
        <f>PROPER(orders[[#This Row],[order_priority]])</f>
        <v>Standard</v>
      </c>
      <c r="E1915" t="s">
        <v>13317</v>
      </c>
      <c r="F1915" t="str">
        <f>IFERROR(INDEX(customers[country], MATCH(orders[[#This Row],[customer_id]], customers[customer_id], 0)), "Unmapped")</f>
        <v>Denmark</v>
      </c>
      <c r="G1915" t="str">
        <f>IFERROR(INDEX(Region_Map[Region], MATCH(orders[[#This Row],[Customer_Country]], Region_Map[Country], 0)), "Unknown")</f>
        <v>Nordics</v>
      </c>
      <c r="H1915" t="s">
        <v>6949</v>
      </c>
    </row>
    <row r="1916" spans="1:8">
      <c r="A1916" t="s">
        <v>2825</v>
      </c>
      <c r="B1916" t="s">
        <v>67</v>
      </c>
      <c r="C1916" s="1">
        <v>45226</v>
      </c>
      <c r="D1916" s="1" t="str">
        <f>PROPER(orders[[#This Row],[order_priority]])</f>
        <v>Express</v>
      </c>
      <c r="E1916" t="s">
        <v>13318</v>
      </c>
      <c r="F1916" t="str">
        <f>IFERROR(INDEX(customers[country], MATCH(orders[[#This Row],[customer_id]], customers[customer_id], 0)), "Unmapped")</f>
        <v>Estonia</v>
      </c>
      <c r="G1916" t="str">
        <f>IFERROR(INDEX(Region_Map[Region], MATCH(orders[[#This Row],[Customer_Country]], Region_Map[Country], 0)), "Unknown")</f>
        <v>Baltics</v>
      </c>
      <c r="H1916" t="s">
        <v>6949</v>
      </c>
    </row>
    <row r="1917" spans="1:8">
      <c r="A1917" t="s">
        <v>2826</v>
      </c>
      <c r="B1917" t="s">
        <v>297</v>
      </c>
      <c r="C1917" s="1">
        <v>45488</v>
      </c>
      <c r="D1917" s="1" t="str">
        <f>PROPER(orders[[#This Row],[order_priority]])</f>
        <v>Same Day</v>
      </c>
      <c r="E1917" t="s">
        <v>13322</v>
      </c>
      <c r="F1917" t="str">
        <f>IFERROR(INDEX(customers[country], MATCH(orders[[#This Row],[customer_id]], customers[customer_id], 0)), "Unmapped")</f>
        <v>Poland</v>
      </c>
      <c r="G1917" t="str">
        <f>IFERROR(INDEX(Region_Map[Region], MATCH(orders[[#This Row],[Customer_Country]], Region_Map[Country], 0)), "Unknown")</f>
        <v>Central Europe</v>
      </c>
      <c r="H1917" t="s">
        <v>6949</v>
      </c>
    </row>
    <row r="1918" spans="1:8">
      <c r="A1918" t="s">
        <v>2827</v>
      </c>
      <c r="B1918" t="s">
        <v>48</v>
      </c>
      <c r="C1918" s="1">
        <v>45351</v>
      </c>
      <c r="D1918" s="1" t="str">
        <f>PROPER(orders[[#This Row],[order_priority]])</f>
        <v>Same Day</v>
      </c>
      <c r="E1918" t="s">
        <v>13322</v>
      </c>
      <c r="F1918" t="str">
        <f>IFERROR(INDEX(customers[country], MATCH(orders[[#This Row],[customer_id]], customers[customer_id], 0)), "Unmapped")</f>
        <v>Poland</v>
      </c>
      <c r="G1918" t="str">
        <f>IFERROR(INDEX(Region_Map[Region], MATCH(orders[[#This Row],[Customer_Country]], Region_Map[Country], 0)), "Unknown")</f>
        <v>Central Europe</v>
      </c>
      <c r="H1918" t="s">
        <v>6949</v>
      </c>
    </row>
    <row r="1919" spans="1:8">
      <c r="A1919" t="s">
        <v>2828</v>
      </c>
      <c r="B1919" t="s">
        <v>13330</v>
      </c>
      <c r="C1919" s="1">
        <v>45182</v>
      </c>
      <c r="D1919" s="1" t="str">
        <f>PROPER(orders[[#This Row],[order_priority]])</f>
        <v>Standard</v>
      </c>
      <c r="E1919" t="s">
        <v>13317</v>
      </c>
      <c r="F1919" t="str">
        <f>IFERROR(INDEX(customers[country], MATCH(orders[[#This Row],[customer_id]], customers[customer_id], 0)), "Unmapped")</f>
        <v>Unmapped</v>
      </c>
      <c r="G1919" t="str">
        <f>IFERROR(INDEX(Region_Map[Region], MATCH(orders[[#This Row],[Customer_Country]], Region_Map[Country], 0)), "Unknown")</f>
        <v>Unknown</v>
      </c>
      <c r="H1919" t="s">
        <v>6949</v>
      </c>
    </row>
    <row r="1920" spans="1:8">
      <c r="A1920" t="s">
        <v>2829</v>
      </c>
      <c r="B1920" t="s">
        <v>479</v>
      </c>
      <c r="C1920" s="1">
        <v>45126</v>
      </c>
      <c r="D1920" s="1" t="str">
        <f>PROPER(orders[[#This Row],[order_priority]])</f>
        <v>Express</v>
      </c>
      <c r="E1920" t="s">
        <v>13318</v>
      </c>
      <c r="F1920" t="str">
        <f>IFERROR(INDEX(customers[country], MATCH(orders[[#This Row],[customer_id]], customers[customer_id], 0)), "Unmapped")</f>
        <v>Latvia</v>
      </c>
      <c r="G1920" t="str">
        <f>IFERROR(INDEX(Region_Map[Region], MATCH(orders[[#This Row],[Customer_Country]], Region_Map[Country], 0)), "Unknown")</f>
        <v>Baltics</v>
      </c>
      <c r="H1920" t="s">
        <v>6949</v>
      </c>
    </row>
    <row r="1921" spans="1:8">
      <c r="A1921" t="s">
        <v>2830</v>
      </c>
      <c r="B1921" t="s">
        <v>482</v>
      </c>
      <c r="C1921" s="1">
        <v>45089</v>
      </c>
      <c r="D1921" s="1" t="str">
        <f>PROPER(orders[[#This Row],[order_priority]])</f>
        <v>Same Day</v>
      </c>
      <c r="E1921" t="s">
        <v>13322</v>
      </c>
      <c r="F1921" t="str">
        <f>IFERROR(INDEX(customers[country], MATCH(orders[[#This Row],[customer_id]], customers[customer_id], 0)), "Unmapped")</f>
        <v>Finland</v>
      </c>
      <c r="G1921" t="str">
        <f>IFERROR(INDEX(Region_Map[Region], MATCH(orders[[#This Row],[Customer_Country]], Region_Map[Country], 0)), "Unknown")</f>
        <v>Nordics</v>
      </c>
      <c r="H1921" t="s">
        <v>6949</v>
      </c>
    </row>
    <row r="1922" spans="1:8">
      <c r="A1922" t="s">
        <v>2831</v>
      </c>
      <c r="B1922" t="s">
        <v>216</v>
      </c>
      <c r="C1922" s="1">
        <v>45627</v>
      </c>
      <c r="D1922" s="1" t="str">
        <f>PROPER(orders[[#This Row],[order_priority]])</f>
        <v>Economy</v>
      </c>
      <c r="E1922" t="s">
        <v>13316</v>
      </c>
      <c r="F1922" t="str">
        <f>IFERROR(INDEX(customers[country], MATCH(orders[[#This Row],[customer_id]], customers[customer_id], 0)), "Unmapped")</f>
        <v>Norway</v>
      </c>
      <c r="G1922" t="str">
        <f>IFERROR(INDEX(Region_Map[Region], MATCH(orders[[#This Row],[Customer_Country]], Region_Map[Country], 0)), "Unknown")</f>
        <v>Nordics</v>
      </c>
      <c r="H1922" t="s">
        <v>6949</v>
      </c>
    </row>
    <row r="1923" spans="1:8">
      <c r="A1923" t="s">
        <v>2832</v>
      </c>
      <c r="B1923" t="s">
        <v>398</v>
      </c>
      <c r="C1923" s="1">
        <v>45213</v>
      </c>
      <c r="D1923" s="1" t="str">
        <f>PROPER(orders[[#This Row],[order_priority]])</f>
        <v>Same Day</v>
      </c>
      <c r="E1923" t="s">
        <v>13322</v>
      </c>
      <c r="F1923" t="str">
        <f>IFERROR(INDEX(customers[country], MATCH(orders[[#This Row],[customer_id]], customers[customer_id], 0)), "Unmapped")</f>
        <v>Sweden</v>
      </c>
      <c r="G1923" t="str">
        <f>IFERROR(INDEX(Region_Map[Region], MATCH(orders[[#This Row],[Customer_Country]], Region_Map[Country], 0)), "Unknown")</f>
        <v>Nordics</v>
      </c>
      <c r="H1923" t="s">
        <v>6949</v>
      </c>
    </row>
    <row r="1924" spans="1:8">
      <c r="A1924" t="s">
        <v>2833</v>
      </c>
      <c r="B1924" t="s">
        <v>605</v>
      </c>
      <c r="C1924" s="1">
        <v>45188</v>
      </c>
      <c r="D1924" s="1" t="str">
        <f>PROPER(orders[[#This Row],[order_priority]])</f>
        <v>Standard</v>
      </c>
      <c r="E1924" t="s">
        <v>13317</v>
      </c>
      <c r="F1924" t="str">
        <f>IFERROR(INDEX(customers[country], MATCH(orders[[#This Row],[customer_id]], customers[customer_id], 0)), "Unmapped")</f>
        <v>Lithuania</v>
      </c>
      <c r="G1924" t="str">
        <f>IFERROR(INDEX(Region_Map[Region], MATCH(orders[[#This Row],[Customer_Country]], Region_Map[Country], 0)), "Unknown")</f>
        <v>Baltics</v>
      </c>
      <c r="H1924" t="s">
        <v>6949</v>
      </c>
    </row>
    <row r="1925" spans="1:8">
      <c r="A1925" t="s">
        <v>2834</v>
      </c>
      <c r="B1925" t="s">
        <v>58</v>
      </c>
      <c r="C1925" s="1">
        <v>45056</v>
      </c>
      <c r="D1925" s="1" t="str">
        <f>PROPER(orders[[#This Row],[order_priority]])</f>
        <v>Economy</v>
      </c>
      <c r="E1925" t="s">
        <v>13316</v>
      </c>
      <c r="F1925" t="str">
        <f>IFERROR(INDEX(customers[country], MATCH(orders[[#This Row],[customer_id]], customers[customer_id], 0)), "Unmapped")</f>
        <v>Germany</v>
      </c>
      <c r="G1925" t="str">
        <f>IFERROR(INDEX(Region_Map[Region], MATCH(orders[[#This Row],[Customer_Country]], Region_Map[Country], 0)), "Unknown")</f>
        <v>Central Europe</v>
      </c>
      <c r="H1925" t="s">
        <v>6949</v>
      </c>
    </row>
    <row r="1926" spans="1:8">
      <c r="A1926" t="s">
        <v>2835</v>
      </c>
      <c r="B1926" t="s">
        <v>840</v>
      </c>
      <c r="C1926" s="1">
        <v>45215</v>
      </c>
      <c r="D1926" s="1" t="str">
        <f>PROPER(orders[[#This Row],[order_priority]])</f>
        <v>Economy</v>
      </c>
      <c r="E1926" t="s">
        <v>13316</v>
      </c>
      <c r="F1926" t="str">
        <f>IFERROR(INDEX(customers[country], MATCH(orders[[#This Row],[customer_id]], customers[customer_id], 0)), "Unmapped")</f>
        <v>Finland</v>
      </c>
      <c r="G1926" t="str">
        <f>IFERROR(INDEX(Region_Map[Region], MATCH(orders[[#This Row],[Customer_Country]], Region_Map[Country], 0)), "Unknown")</f>
        <v>Nordics</v>
      </c>
      <c r="H1926" t="s">
        <v>6949</v>
      </c>
    </row>
    <row r="1927" spans="1:8">
      <c r="A1927" t="s">
        <v>2836</v>
      </c>
      <c r="B1927" t="s">
        <v>584</v>
      </c>
      <c r="C1927" s="1">
        <v>45613</v>
      </c>
      <c r="D1927" s="1" t="str">
        <f>PROPER(orders[[#This Row],[order_priority]])</f>
        <v>Same Day</v>
      </c>
      <c r="E1927" t="s">
        <v>13322</v>
      </c>
      <c r="F1927" t="str">
        <f>IFERROR(INDEX(customers[country], MATCH(orders[[#This Row],[customer_id]], customers[customer_id], 0)), "Unmapped")</f>
        <v>Netherlands</v>
      </c>
      <c r="G1927" t="str">
        <f>IFERROR(INDEX(Region_Map[Region], MATCH(orders[[#This Row],[Customer_Country]], Region_Map[Country], 0)), "Unknown")</f>
        <v>Central Europe</v>
      </c>
      <c r="H1927" t="s">
        <v>6949</v>
      </c>
    </row>
    <row r="1928" spans="1:8">
      <c r="A1928" t="s">
        <v>2837</v>
      </c>
      <c r="B1928" t="s">
        <v>42</v>
      </c>
      <c r="C1928" s="1">
        <v>45406</v>
      </c>
      <c r="D1928" s="1" t="str">
        <f>PROPER(orders[[#This Row],[order_priority]])</f>
        <v>Same Day</v>
      </c>
      <c r="E1928" t="s">
        <v>13322</v>
      </c>
      <c r="F1928" t="str">
        <f>IFERROR(INDEX(customers[country], MATCH(orders[[#This Row],[customer_id]], customers[customer_id], 0)), "Unmapped")</f>
        <v>Estonia</v>
      </c>
      <c r="G1928" t="str">
        <f>IFERROR(INDEX(Region_Map[Region], MATCH(orders[[#This Row],[Customer_Country]], Region_Map[Country], 0)), "Unknown")</f>
        <v>Baltics</v>
      </c>
      <c r="H1928" t="s">
        <v>6949</v>
      </c>
    </row>
    <row r="1929" spans="1:8">
      <c r="A1929" t="s">
        <v>2838</v>
      </c>
      <c r="B1929" t="s">
        <v>581</v>
      </c>
      <c r="C1929" s="1">
        <v>44933</v>
      </c>
      <c r="D1929" s="1" t="str">
        <f>PROPER(orders[[#This Row],[order_priority]])</f>
        <v>Economy</v>
      </c>
      <c r="E1929" t="s">
        <v>13316</v>
      </c>
      <c r="F1929" t="str">
        <f>IFERROR(INDEX(customers[country], MATCH(orders[[#This Row],[customer_id]], customers[customer_id], 0)), "Unmapped")</f>
        <v>Norway</v>
      </c>
      <c r="G1929" t="str">
        <f>IFERROR(INDEX(Region_Map[Region], MATCH(orders[[#This Row],[Customer_Country]], Region_Map[Country], 0)), "Unknown")</f>
        <v>Nordics</v>
      </c>
      <c r="H1929" t="s">
        <v>6949</v>
      </c>
    </row>
    <row r="1930" spans="1:8">
      <c r="A1930" t="s">
        <v>2839</v>
      </c>
      <c r="B1930" t="s">
        <v>455</v>
      </c>
      <c r="C1930" s="1">
        <v>45240</v>
      </c>
      <c r="D1930" s="1" t="str">
        <f>PROPER(orders[[#This Row],[order_priority]])</f>
        <v>Express</v>
      </c>
      <c r="E1930" t="s">
        <v>13326</v>
      </c>
      <c r="F1930" t="str">
        <f>IFERROR(INDEX(customers[country], MATCH(orders[[#This Row],[customer_id]], customers[customer_id], 0)), "Unmapped")</f>
        <v>Poland</v>
      </c>
      <c r="G1930" t="str">
        <f>IFERROR(INDEX(Region_Map[Region], MATCH(orders[[#This Row],[Customer_Country]], Region_Map[Country], 0)), "Unknown")</f>
        <v>Central Europe</v>
      </c>
      <c r="H1930" t="s">
        <v>6949</v>
      </c>
    </row>
    <row r="1931" spans="1:8">
      <c r="A1931" t="s">
        <v>2840</v>
      </c>
      <c r="B1931" t="s">
        <v>151</v>
      </c>
      <c r="C1931" s="1">
        <v>45194</v>
      </c>
      <c r="D1931" s="1" t="str">
        <f>PROPER(orders[[#This Row],[order_priority]])</f>
        <v>Standard</v>
      </c>
      <c r="E1931" t="s">
        <v>13317</v>
      </c>
      <c r="F1931" t="str">
        <f>IFERROR(INDEX(customers[country], MATCH(orders[[#This Row],[customer_id]], customers[customer_id], 0)), "Unmapped")</f>
        <v>Sweden</v>
      </c>
      <c r="G1931" t="str">
        <f>IFERROR(INDEX(Region_Map[Region], MATCH(orders[[#This Row],[Customer_Country]], Region_Map[Country], 0)), "Unknown")</f>
        <v>Nordics</v>
      </c>
      <c r="H1931" t="s">
        <v>6949</v>
      </c>
    </row>
    <row r="1932" spans="1:8">
      <c r="A1932" t="s">
        <v>2841</v>
      </c>
      <c r="B1932" t="s">
        <v>291</v>
      </c>
      <c r="C1932" s="1">
        <v>45372</v>
      </c>
      <c r="D1932" s="1" t="str">
        <f>PROPER(orders[[#This Row],[order_priority]])</f>
        <v>Same Day</v>
      </c>
      <c r="E1932" t="s">
        <v>13321</v>
      </c>
      <c r="F1932" t="str">
        <f>IFERROR(INDEX(customers[country], MATCH(orders[[#This Row],[customer_id]], customers[customer_id], 0)), "Unmapped")</f>
        <v>Poland</v>
      </c>
      <c r="G1932" t="str">
        <f>IFERROR(INDEX(Region_Map[Region], MATCH(orders[[#This Row],[Customer_Country]], Region_Map[Country], 0)), "Unknown")</f>
        <v>Central Europe</v>
      </c>
      <c r="H1932" t="s">
        <v>6949</v>
      </c>
    </row>
    <row r="1933" spans="1:8">
      <c r="A1933" t="s">
        <v>2842</v>
      </c>
      <c r="B1933" t="s">
        <v>64</v>
      </c>
      <c r="C1933" s="1">
        <v>45017</v>
      </c>
      <c r="D1933" s="1" t="str">
        <f>PROPER(orders[[#This Row],[order_priority]])</f>
        <v>Same Day</v>
      </c>
      <c r="E1933" t="s">
        <v>13322</v>
      </c>
      <c r="F1933" t="str">
        <f>IFERROR(INDEX(customers[country], MATCH(orders[[#This Row],[customer_id]], customers[customer_id], 0)), "Unmapped")</f>
        <v>Netherlands</v>
      </c>
      <c r="G1933" t="str">
        <f>IFERROR(INDEX(Region_Map[Region], MATCH(orders[[#This Row],[Customer_Country]], Region_Map[Country], 0)), "Unknown")</f>
        <v>Central Europe</v>
      </c>
      <c r="H1933" t="s">
        <v>6949</v>
      </c>
    </row>
    <row r="1934" spans="1:8">
      <c r="A1934" t="s">
        <v>2843</v>
      </c>
      <c r="B1934" t="s">
        <v>906</v>
      </c>
      <c r="C1934" s="1">
        <v>45151</v>
      </c>
      <c r="D1934" s="1" t="str">
        <f>PROPER(orders[[#This Row],[order_priority]])</f>
        <v>Express</v>
      </c>
      <c r="E1934" t="s">
        <v>13318</v>
      </c>
      <c r="F1934" t="str">
        <f>IFERROR(INDEX(customers[country], MATCH(orders[[#This Row],[customer_id]], customers[customer_id], 0)), "Unmapped")</f>
        <v>Sweden</v>
      </c>
      <c r="G1934" t="str">
        <f>IFERROR(INDEX(Region_Map[Region], MATCH(orders[[#This Row],[Customer_Country]], Region_Map[Country], 0)), "Unknown")</f>
        <v>Nordics</v>
      </c>
      <c r="H1934" t="s">
        <v>6949</v>
      </c>
    </row>
    <row r="1935" spans="1:8">
      <c r="A1935" t="s">
        <v>2844</v>
      </c>
      <c r="B1935" t="s">
        <v>306</v>
      </c>
      <c r="C1935" s="1">
        <v>45577</v>
      </c>
      <c r="D1935" s="1" t="str">
        <f>PROPER(orders[[#This Row],[order_priority]])</f>
        <v>Express</v>
      </c>
      <c r="E1935" t="s">
        <v>13318</v>
      </c>
      <c r="F1935" t="str">
        <f>IFERROR(INDEX(customers[country], MATCH(orders[[#This Row],[customer_id]], customers[customer_id], 0)), "Unmapped")</f>
        <v>Estonia</v>
      </c>
      <c r="G1935" t="str">
        <f>IFERROR(INDEX(Region_Map[Region], MATCH(orders[[#This Row],[Customer_Country]], Region_Map[Country], 0)), "Unknown")</f>
        <v>Baltics</v>
      </c>
      <c r="H1935" t="s">
        <v>6949</v>
      </c>
    </row>
    <row r="1936" spans="1:8">
      <c r="A1936" t="s">
        <v>2845</v>
      </c>
      <c r="B1936" t="s">
        <v>416</v>
      </c>
      <c r="C1936" s="1">
        <v>45136</v>
      </c>
      <c r="D1936" s="1" t="str">
        <f>PROPER(orders[[#This Row],[order_priority]])</f>
        <v>Same Day</v>
      </c>
      <c r="E1936" t="s">
        <v>13322</v>
      </c>
      <c r="F1936" t="str">
        <f>IFERROR(INDEX(customers[country], MATCH(orders[[#This Row],[customer_id]], customers[customer_id], 0)), "Unmapped")</f>
        <v>Denmark</v>
      </c>
      <c r="G1936" t="str">
        <f>IFERROR(INDEX(Region_Map[Region], MATCH(orders[[#This Row],[Customer_Country]], Region_Map[Country], 0)), "Unknown")</f>
        <v>Nordics</v>
      </c>
      <c r="H1936" t="s">
        <v>6949</v>
      </c>
    </row>
    <row r="1937" spans="1:8">
      <c r="A1937" t="s">
        <v>2846</v>
      </c>
      <c r="B1937" t="s">
        <v>195</v>
      </c>
      <c r="C1937" s="1">
        <v>45378</v>
      </c>
      <c r="D1937" s="1" t="str">
        <f>PROPER(orders[[#This Row],[order_priority]])</f>
        <v>Standard</v>
      </c>
      <c r="E1937" t="s">
        <v>13319</v>
      </c>
      <c r="F1937" t="str">
        <f>IFERROR(INDEX(customers[country], MATCH(orders[[#This Row],[customer_id]], customers[customer_id], 0)), "Unmapped")</f>
        <v>Latvia</v>
      </c>
      <c r="G1937" t="str">
        <f>IFERROR(INDEX(Region_Map[Region], MATCH(orders[[#This Row],[Customer_Country]], Region_Map[Country], 0)), "Unknown")</f>
        <v>Baltics</v>
      </c>
      <c r="H1937" t="s">
        <v>6949</v>
      </c>
    </row>
    <row r="1938" spans="1:8">
      <c r="A1938" t="s">
        <v>2847</v>
      </c>
      <c r="B1938" t="s">
        <v>813</v>
      </c>
      <c r="C1938" s="1">
        <v>44936</v>
      </c>
      <c r="D1938" s="1" t="str">
        <f>PROPER(orders[[#This Row],[order_priority]])</f>
        <v>Economy</v>
      </c>
      <c r="E1938" t="s">
        <v>13316</v>
      </c>
      <c r="F1938" t="str">
        <f>IFERROR(INDEX(customers[country], MATCH(orders[[#This Row],[customer_id]], customers[customer_id], 0)), "Unmapped")</f>
        <v>Norway</v>
      </c>
      <c r="G1938" t="str">
        <f>IFERROR(INDEX(Region_Map[Region], MATCH(orders[[#This Row],[Customer_Country]], Region_Map[Country], 0)), "Unknown")</f>
        <v>Nordics</v>
      </c>
      <c r="H1938" t="s">
        <v>6949</v>
      </c>
    </row>
    <row r="1939" spans="1:8">
      <c r="A1939" t="s">
        <v>2848</v>
      </c>
      <c r="B1939" t="s">
        <v>15</v>
      </c>
      <c r="C1939" s="1">
        <v>45560</v>
      </c>
      <c r="D1939" s="1" t="str">
        <f>PROPER(orders[[#This Row],[order_priority]])</f>
        <v>Standard</v>
      </c>
      <c r="E1939" t="s">
        <v>13317</v>
      </c>
      <c r="F1939" t="str">
        <f>IFERROR(INDEX(customers[country], MATCH(orders[[#This Row],[customer_id]], customers[customer_id], 0)), "Unmapped")</f>
        <v>Estonia</v>
      </c>
      <c r="G1939" t="str">
        <f>IFERROR(INDEX(Region_Map[Region], MATCH(orders[[#This Row],[Customer_Country]], Region_Map[Country], 0)), "Unknown")</f>
        <v>Baltics</v>
      </c>
      <c r="H1939" t="s">
        <v>6949</v>
      </c>
    </row>
    <row r="1940" spans="1:8">
      <c r="A1940" t="s">
        <v>2849</v>
      </c>
      <c r="B1940" t="s">
        <v>497</v>
      </c>
      <c r="C1940" s="1">
        <v>45099</v>
      </c>
      <c r="D1940" s="1" t="str">
        <f>PROPER(orders[[#This Row],[order_priority]])</f>
        <v>Express</v>
      </c>
      <c r="E1940" t="s">
        <v>13318</v>
      </c>
      <c r="F1940" t="str">
        <f>IFERROR(INDEX(customers[country], MATCH(orders[[#This Row],[customer_id]], customers[customer_id], 0)), "Unmapped")</f>
        <v>Germany</v>
      </c>
      <c r="G1940" t="str">
        <f>IFERROR(INDEX(Region_Map[Region], MATCH(orders[[#This Row],[Customer_Country]], Region_Map[Country], 0)), "Unknown")</f>
        <v>Central Europe</v>
      </c>
      <c r="H1940" t="s">
        <v>6949</v>
      </c>
    </row>
    <row r="1941" spans="1:8">
      <c r="A1941" t="s">
        <v>2850</v>
      </c>
      <c r="B1941" t="s">
        <v>443</v>
      </c>
      <c r="C1941" s="1">
        <v>45111</v>
      </c>
      <c r="D1941" s="1" t="str">
        <f>PROPER(orders[[#This Row],[order_priority]])</f>
        <v>Same Day</v>
      </c>
      <c r="E1941" t="s">
        <v>13322</v>
      </c>
      <c r="F1941" t="str">
        <f>IFERROR(INDEX(customers[country], MATCH(orders[[#This Row],[customer_id]], customers[customer_id], 0)), "Unmapped")</f>
        <v>Estonia</v>
      </c>
      <c r="G1941" t="str">
        <f>IFERROR(INDEX(Region_Map[Region], MATCH(orders[[#This Row],[Customer_Country]], Region_Map[Country], 0)), "Unknown")</f>
        <v>Baltics</v>
      </c>
      <c r="H1941" t="s">
        <v>6949</v>
      </c>
    </row>
    <row r="1942" spans="1:8">
      <c r="A1942" t="s">
        <v>2851</v>
      </c>
      <c r="B1942" t="s">
        <v>852</v>
      </c>
      <c r="C1942" s="1">
        <v>45488</v>
      </c>
      <c r="D1942" s="1" t="str">
        <f>PROPER(orders[[#This Row],[order_priority]])</f>
        <v>Economy</v>
      </c>
      <c r="E1942" t="s">
        <v>13316</v>
      </c>
      <c r="F1942" t="str">
        <f>IFERROR(INDEX(customers[country], MATCH(orders[[#This Row],[customer_id]], customers[customer_id], 0)), "Unmapped")</f>
        <v>Sweden</v>
      </c>
      <c r="G1942" t="str">
        <f>IFERROR(INDEX(Region_Map[Region], MATCH(orders[[#This Row],[Customer_Country]], Region_Map[Country], 0)), "Unknown")</f>
        <v>Nordics</v>
      </c>
      <c r="H1942" t="s">
        <v>6949</v>
      </c>
    </row>
    <row r="1943" spans="1:8">
      <c r="A1943" t="s">
        <v>2852</v>
      </c>
      <c r="B1943" t="s">
        <v>682</v>
      </c>
      <c r="C1943" s="1">
        <v>45178</v>
      </c>
      <c r="D1943" s="1" t="str">
        <f>PROPER(orders[[#This Row],[order_priority]])</f>
        <v>Same Day</v>
      </c>
      <c r="E1943" t="s">
        <v>13322</v>
      </c>
      <c r="F1943" t="str">
        <f>IFERROR(INDEX(customers[country], MATCH(orders[[#This Row],[customer_id]], customers[customer_id], 0)), "Unmapped")</f>
        <v>Germany</v>
      </c>
      <c r="G1943" t="str">
        <f>IFERROR(INDEX(Region_Map[Region], MATCH(orders[[#This Row],[Customer_Country]], Region_Map[Country], 0)), "Unknown")</f>
        <v>Central Europe</v>
      </c>
      <c r="H1943" t="s">
        <v>6949</v>
      </c>
    </row>
    <row r="1944" spans="1:8">
      <c r="A1944" t="s">
        <v>2853</v>
      </c>
      <c r="B1944" t="s">
        <v>664</v>
      </c>
      <c r="C1944" s="1">
        <v>45352</v>
      </c>
      <c r="D1944" s="1" t="str">
        <f>PROPER(orders[[#This Row],[order_priority]])</f>
        <v>Same Day</v>
      </c>
      <c r="E1944" t="s">
        <v>13322</v>
      </c>
      <c r="F1944" t="str">
        <f>IFERROR(INDEX(customers[country], MATCH(orders[[#This Row],[customer_id]], customers[customer_id], 0)), "Unmapped")</f>
        <v>Latvia</v>
      </c>
      <c r="G1944" t="str">
        <f>IFERROR(INDEX(Region_Map[Region], MATCH(orders[[#This Row],[Customer_Country]], Region_Map[Country], 0)), "Unknown")</f>
        <v>Baltics</v>
      </c>
      <c r="H1944" t="s">
        <v>6949</v>
      </c>
    </row>
    <row r="1945" spans="1:8">
      <c r="A1945" t="s">
        <v>2854</v>
      </c>
      <c r="B1945" t="s">
        <v>338</v>
      </c>
      <c r="C1945" s="1">
        <v>45357</v>
      </c>
      <c r="D1945" s="1" t="str">
        <f>PROPER(orders[[#This Row],[order_priority]])</f>
        <v>Economy</v>
      </c>
      <c r="E1945" t="s">
        <v>13325</v>
      </c>
      <c r="F1945" t="str">
        <f>IFERROR(INDEX(customers[country], MATCH(orders[[#This Row],[customer_id]], customers[customer_id], 0)), "Unmapped")</f>
        <v>Denmark</v>
      </c>
      <c r="G1945" t="str">
        <f>IFERROR(INDEX(Region_Map[Region], MATCH(orders[[#This Row],[Customer_Country]], Region_Map[Country], 0)), "Unknown")</f>
        <v>Nordics</v>
      </c>
      <c r="H1945" t="s">
        <v>6949</v>
      </c>
    </row>
    <row r="1946" spans="1:8">
      <c r="A1946" t="s">
        <v>2855</v>
      </c>
      <c r="B1946" t="s">
        <v>688</v>
      </c>
      <c r="C1946" s="1">
        <v>45470</v>
      </c>
      <c r="D1946" s="1" t="str">
        <f>PROPER(orders[[#This Row],[order_priority]])</f>
        <v>Express</v>
      </c>
      <c r="E1946" t="s">
        <v>13320</v>
      </c>
      <c r="F1946" t="str">
        <f>IFERROR(INDEX(customers[country], MATCH(orders[[#This Row],[customer_id]], customers[customer_id], 0)), "Unmapped")</f>
        <v>Norway</v>
      </c>
      <c r="G1946" t="str">
        <f>IFERROR(INDEX(Region_Map[Region], MATCH(orders[[#This Row],[Customer_Country]], Region_Map[Country], 0)), "Unknown")</f>
        <v>Nordics</v>
      </c>
      <c r="H1946" t="s">
        <v>6949</v>
      </c>
    </row>
    <row r="1947" spans="1:8">
      <c r="A1947" t="s">
        <v>2856</v>
      </c>
      <c r="B1947" t="s">
        <v>222</v>
      </c>
      <c r="C1947" s="1">
        <v>45565</v>
      </c>
      <c r="D1947" s="1" t="str">
        <f>PROPER(orders[[#This Row],[order_priority]])</f>
        <v>Same Day</v>
      </c>
      <c r="E1947" t="s">
        <v>13322</v>
      </c>
      <c r="F1947" t="str">
        <f>IFERROR(INDEX(customers[country], MATCH(orders[[#This Row],[customer_id]], customers[customer_id], 0)), "Unmapped")</f>
        <v>Norway</v>
      </c>
      <c r="G1947" t="str">
        <f>IFERROR(INDEX(Region_Map[Region], MATCH(orders[[#This Row],[Customer_Country]], Region_Map[Country], 0)), "Unknown")</f>
        <v>Nordics</v>
      </c>
      <c r="H1947" t="s">
        <v>6949</v>
      </c>
    </row>
    <row r="1948" spans="1:8">
      <c r="A1948" t="s">
        <v>2857</v>
      </c>
      <c r="B1948" t="s">
        <v>11</v>
      </c>
      <c r="C1948" s="1">
        <v>45172</v>
      </c>
      <c r="D1948" s="1" t="str">
        <f>PROPER(orders[[#This Row],[order_priority]])</f>
        <v>Standard</v>
      </c>
      <c r="E1948" t="s">
        <v>13317</v>
      </c>
      <c r="F1948" t="str">
        <f>IFERROR(INDEX(customers[country], MATCH(orders[[#This Row],[customer_id]], customers[customer_id], 0)), "Unmapped")</f>
        <v>Sweden</v>
      </c>
      <c r="G1948" t="str">
        <f>IFERROR(INDEX(Region_Map[Region], MATCH(orders[[#This Row],[Customer_Country]], Region_Map[Country], 0)), "Unknown")</f>
        <v>Nordics</v>
      </c>
      <c r="H1948" t="s">
        <v>6949</v>
      </c>
    </row>
    <row r="1949" spans="1:8">
      <c r="A1949" t="s">
        <v>2858</v>
      </c>
      <c r="B1949" t="s">
        <v>314</v>
      </c>
      <c r="C1949" s="1">
        <v>45495</v>
      </c>
      <c r="D1949" s="1" t="str">
        <f>PROPER(orders[[#This Row],[order_priority]])</f>
        <v>Economy</v>
      </c>
      <c r="E1949" t="s">
        <v>13328</v>
      </c>
      <c r="F1949" t="str">
        <f>IFERROR(INDEX(customers[country], MATCH(orders[[#This Row],[customer_id]], customers[customer_id], 0)), "Unmapped")</f>
        <v>Poland</v>
      </c>
      <c r="G1949" t="str">
        <f>IFERROR(INDEX(Region_Map[Region], MATCH(orders[[#This Row],[Customer_Country]], Region_Map[Country], 0)), "Unknown")</f>
        <v>Central Europe</v>
      </c>
      <c r="H1949" t="s">
        <v>6949</v>
      </c>
    </row>
    <row r="1950" spans="1:8">
      <c r="A1950" t="s">
        <v>2859</v>
      </c>
      <c r="B1950" t="s">
        <v>261</v>
      </c>
      <c r="C1950" s="1">
        <v>45191</v>
      </c>
      <c r="D1950" s="1" t="str">
        <f>PROPER(orders[[#This Row],[order_priority]])</f>
        <v>Same Day</v>
      </c>
      <c r="E1950" t="s">
        <v>13322</v>
      </c>
      <c r="F1950" t="str">
        <f>IFERROR(INDEX(customers[country], MATCH(orders[[#This Row],[customer_id]], customers[customer_id], 0)), "Unmapped")</f>
        <v>Germany</v>
      </c>
      <c r="G1950" t="str">
        <f>IFERROR(INDEX(Region_Map[Region], MATCH(orders[[#This Row],[Customer_Country]], Region_Map[Country], 0)), "Unknown")</f>
        <v>Central Europe</v>
      </c>
      <c r="H1950" t="s">
        <v>6949</v>
      </c>
    </row>
    <row r="1951" spans="1:8">
      <c r="A1951" t="s">
        <v>2860</v>
      </c>
      <c r="B1951" t="s">
        <v>655</v>
      </c>
      <c r="C1951" s="1">
        <v>45574</v>
      </c>
      <c r="D1951" s="1" t="str">
        <f>PROPER(orders[[#This Row],[order_priority]])</f>
        <v>Express</v>
      </c>
      <c r="E1951" t="s">
        <v>13318</v>
      </c>
      <c r="F1951" t="str">
        <f>IFERROR(INDEX(customers[country], MATCH(orders[[#This Row],[customer_id]], customers[customer_id], 0)), "Unmapped")</f>
        <v>Sweden</v>
      </c>
      <c r="G1951" t="str">
        <f>IFERROR(INDEX(Region_Map[Region], MATCH(orders[[#This Row],[Customer_Country]], Region_Map[Country], 0)), "Unknown")</f>
        <v>Nordics</v>
      </c>
      <c r="H1951" t="s">
        <v>6949</v>
      </c>
    </row>
    <row r="1952" spans="1:8">
      <c r="A1952" t="s">
        <v>2861</v>
      </c>
      <c r="B1952" t="s">
        <v>204</v>
      </c>
      <c r="C1952" s="1">
        <v>45476</v>
      </c>
      <c r="D1952" s="1" t="str">
        <f>PROPER(orders[[#This Row],[order_priority]])</f>
        <v>Same Day</v>
      </c>
      <c r="E1952" t="s">
        <v>13322</v>
      </c>
      <c r="F1952" t="str">
        <f>IFERROR(INDEX(customers[country], MATCH(orders[[#This Row],[customer_id]], customers[customer_id], 0)), "Unmapped")</f>
        <v>Sweden</v>
      </c>
      <c r="G1952" t="str">
        <f>IFERROR(INDEX(Region_Map[Region], MATCH(orders[[#This Row],[Customer_Country]], Region_Map[Country], 0)), "Unknown")</f>
        <v>Nordics</v>
      </c>
      <c r="H1952" t="s">
        <v>6949</v>
      </c>
    </row>
    <row r="1953" spans="1:8">
      <c r="A1953" t="s">
        <v>2862</v>
      </c>
      <c r="B1953" t="s">
        <v>867</v>
      </c>
      <c r="C1953" s="1">
        <v>45092</v>
      </c>
      <c r="D1953" s="1" t="str">
        <f>PROPER(orders[[#This Row],[order_priority]])</f>
        <v>Standard</v>
      </c>
      <c r="E1953" t="s">
        <v>13317</v>
      </c>
      <c r="F1953" t="str">
        <f>IFERROR(INDEX(customers[country], MATCH(orders[[#This Row],[customer_id]], customers[customer_id], 0)), "Unmapped")</f>
        <v>Denmark</v>
      </c>
      <c r="G1953" t="str">
        <f>IFERROR(INDEX(Region_Map[Region], MATCH(orders[[#This Row],[Customer_Country]], Region_Map[Country], 0)), "Unknown")</f>
        <v>Nordics</v>
      </c>
      <c r="H1953" t="s">
        <v>6949</v>
      </c>
    </row>
    <row r="1954" spans="1:8">
      <c r="A1954" t="s">
        <v>2863</v>
      </c>
      <c r="B1954" t="s">
        <v>187</v>
      </c>
      <c r="C1954" s="1">
        <v>45362</v>
      </c>
      <c r="D1954" s="1" t="str">
        <f>PROPER(orders[[#This Row],[order_priority]])</f>
        <v>Express</v>
      </c>
      <c r="E1954" t="s">
        <v>13318</v>
      </c>
      <c r="F1954" t="str">
        <f>IFERROR(INDEX(customers[country], MATCH(orders[[#This Row],[customer_id]], customers[customer_id], 0)), "Unmapped")</f>
        <v>Latvia</v>
      </c>
      <c r="G1954" t="str">
        <f>IFERROR(INDEX(Region_Map[Region], MATCH(orders[[#This Row],[Customer_Country]], Region_Map[Country], 0)), "Unknown")</f>
        <v>Baltics</v>
      </c>
      <c r="H1954" t="s">
        <v>6949</v>
      </c>
    </row>
    <row r="1955" spans="1:8">
      <c r="A1955" t="s">
        <v>2864</v>
      </c>
      <c r="B1955" t="s">
        <v>473</v>
      </c>
      <c r="C1955" s="1">
        <v>45155</v>
      </c>
      <c r="D1955" s="1" t="str">
        <f>PROPER(orders[[#This Row],[order_priority]])</f>
        <v>Same Day</v>
      </c>
      <c r="E1955" t="s">
        <v>13322</v>
      </c>
      <c r="F1955" t="str">
        <f>IFERROR(INDEX(customers[country], MATCH(orders[[#This Row],[customer_id]], customers[customer_id], 0)), "Unmapped")</f>
        <v>Netherlands</v>
      </c>
      <c r="G1955" t="str">
        <f>IFERROR(INDEX(Region_Map[Region], MATCH(orders[[#This Row],[Customer_Country]], Region_Map[Country], 0)), "Unknown")</f>
        <v>Central Europe</v>
      </c>
      <c r="H1955" t="s">
        <v>6949</v>
      </c>
    </row>
    <row r="1956" spans="1:8">
      <c r="A1956" t="s">
        <v>2865</v>
      </c>
      <c r="B1956" t="s">
        <v>769</v>
      </c>
      <c r="C1956" s="1">
        <v>45119</v>
      </c>
      <c r="D1956" s="1" t="str">
        <f>PROPER(orders[[#This Row],[order_priority]])</f>
        <v>Economy</v>
      </c>
      <c r="E1956" t="s">
        <v>13325</v>
      </c>
      <c r="F1956" t="str">
        <f>IFERROR(INDEX(customers[country], MATCH(orders[[#This Row],[customer_id]], customers[customer_id], 0)), "Unmapped")</f>
        <v>Latvia</v>
      </c>
      <c r="G1956" t="str">
        <f>IFERROR(INDEX(Region_Map[Region], MATCH(orders[[#This Row],[Customer_Country]], Region_Map[Country], 0)), "Unknown")</f>
        <v>Baltics</v>
      </c>
      <c r="H1956" t="s">
        <v>6949</v>
      </c>
    </row>
    <row r="1957" spans="1:8">
      <c r="A1957" t="s">
        <v>2866</v>
      </c>
      <c r="B1957" t="s">
        <v>148</v>
      </c>
      <c r="C1957" s="1">
        <v>45224</v>
      </c>
      <c r="D1957" s="1" t="str">
        <f>PROPER(orders[[#This Row],[order_priority]])</f>
        <v>Express</v>
      </c>
      <c r="E1957" t="s">
        <v>13318</v>
      </c>
      <c r="F1957" t="str">
        <f>IFERROR(INDEX(customers[country], MATCH(orders[[#This Row],[customer_id]], customers[customer_id], 0)), "Unmapped")</f>
        <v>Poland</v>
      </c>
      <c r="G1957" t="str">
        <f>IFERROR(INDEX(Region_Map[Region], MATCH(orders[[#This Row],[Customer_Country]], Region_Map[Country], 0)), "Unknown")</f>
        <v>Central Europe</v>
      </c>
      <c r="H1957" t="s">
        <v>6949</v>
      </c>
    </row>
    <row r="1958" spans="1:8">
      <c r="A1958" t="s">
        <v>2867</v>
      </c>
      <c r="B1958" t="s">
        <v>867</v>
      </c>
      <c r="C1958" s="1">
        <v>45118</v>
      </c>
      <c r="D1958" s="1" t="str">
        <f>PROPER(orders[[#This Row],[order_priority]])</f>
        <v>Same Day</v>
      </c>
      <c r="E1958" t="s">
        <v>13322</v>
      </c>
      <c r="F1958" t="str">
        <f>IFERROR(INDEX(customers[country], MATCH(orders[[#This Row],[customer_id]], customers[customer_id], 0)), "Unmapped")</f>
        <v>Denmark</v>
      </c>
      <c r="G1958" t="str">
        <f>IFERROR(INDEX(Region_Map[Region], MATCH(orders[[#This Row],[Customer_Country]], Region_Map[Country], 0)), "Unknown")</f>
        <v>Nordics</v>
      </c>
      <c r="H1958" t="s">
        <v>6949</v>
      </c>
    </row>
    <row r="1959" spans="1:8">
      <c r="A1959" t="s">
        <v>2868</v>
      </c>
      <c r="B1959" t="s">
        <v>365</v>
      </c>
      <c r="C1959" s="1">
        <v>45460</v>
      </c>
      <c r="D1959" s="1" t="str">
        <f>PROPER(orders[[#This Row],[order_priority]])</f>
        <v>Same Day</v>
      </c>
      <c r="E1959" t="s">
        <v>13322</v>
      </c>
      <c r="F1959" t="str">
        <f>IFERROR(INDEX(customers[country], MATCH(orders[[#This Row],[customer_id]], customers[customer_id], 0)), "Unmapped")</f>
        <v>Poland</v>
      </c>
      <c r="G1959" t="str">
        <f>IFERROR(INDEX(Region_Map[Region], MATCH(orders[[#This Row],[Customer_Country]], Region_Map[Country], 0)), "Unknown")</f>
        <v>Central Europe</v>
      </c>
      <c r="H1959" t="s">
        <v>6949</v>
      </c>
    </row>
    <row r="1960" spans="1:8">
      <c r="A1960" t="s">
        <v>2869</v>
      </c>
      <c r="B1960" t="s">
        <v>332</v>
      </c>
      <c r="C1960" s="1">
        <v>45174</v>
      </c>
      <c r="D1960" s="1" t="str">
        <f>PROPER(orders[[#This Row],[order_priority]])</f>
        <v>Same Day</v>
      </c>
      <c r="E1960" t="s">
        <v>13322</v>
      </c>
      <c r="F1960" t="str">
        <f>IFERROR(INDEX(customers[country], MATCH(orders[[#This Row],[customer_id]], customers[customer_id], 0)), "Unmapped")</f>
        <v>Lithuania</v>
      </c>
      <c r="G1960" t="str">
        <f>IFERROR(INDEX(Region_Map[Region], MATCH(orders[[#This Row],[Customer_Country]], Region_Map[Country], 0)), "Unknown")</f>
        <v>Baltics</v>
      </c>
      <c r="H1960" t="s">
        <v>6949</v>
      </c>
    </row>
    <row r="1961" spans="1:8">
      <c r="A1961" t="s">
        <v>2870</v>
      </c>
      <c r="B1961" t="s">
        <v>599</v>
      </c>
      <c r="C1961" s="1">
        <v>45109</v>
      </c>
      <c r="D1961" s="1" t="str">
        <f>PROPER(orders[[#This Row],[order_priority]])</f>
        <v>Express</v>
      </c>
      <c r="E1961" t="s">
        <v>13318</v>
      </c>
      <c r="F1961" t="str">
        <f>IFERROR(INDEX(customers[country], MATCH(orders[[#This Row],[customer_id]], customers[customer_id], 0)), "Unmapped")</f>
        <v>Germany</v>
      </c>
      <c r="G1961" t="str">
        <f>IFERROR(INDEX(Region_Map[Region], MATCH(orders[[#This Row],[Customer_Country]], Region_Map[Country], 0)), "Unknown")</f>
        <v>Central Europe</v>
      </c>
      <c r="H1961" t="s">
        <v>6949</v>
      </c>
    </row>
    <row r="1962" spans="1:8">
      <c r="A1962" t="s">
        <v>2871</v>
      </c>
      <c r="B1962" t="s">
        <v>139</v>
      </c>
      <c r="C1962" s="1">
        <v>45190</v>
      </c>
      <c r="D1962" s="1" t="str">
        <f>PROPER(orders[[#This Row],[order_priority]])</f>
        <v>Same Day</v>
      </c>
      <c r="E1962" t="s">
        <v>13322</v>
      </c>
      <c r="F1962" t="str">
        <f>IFERROR(INDEX(customers[country], MATCH(orders[[#This Row],[customer_id]], customers[customer_id], 0)), "Unmapped")</f>
        <v>Netherlands</v>
      </c>
      <c r="G1962" t="str">
        <f>IFERROR(INDEX(Region_Map[Region], MATCH(orders[[#This Row],[Customer_Country]], Region_Map[Country], 0)), "Unknown")</f>
        <v>Central Europe</v>
      </c>
      <c r="H1962" t="s">
        <v>6949</v>
      </c>
    </row>
    <row r="1963" spans="1:8">
      <c r="A1963" t="s">
        <v>2872</v>
      </c>
      <c r="B1963" t="s">
        <v>243</v>
      </c>
      <c r="C1963" s="1">
        <v>44943</v>
      </c>
      <c r="D1963" s="1" t="str">
        <f>PROPER(orders[[#This Row],[order_priority]])</f>
        <v>Same Day</v>
      </c>
      <c r="E1963" t="s">
        <v>13322</v>
      </c>
      <c r="F1963" t="str">
        <f>IFERROR(INDEX(customers[country], MATCH(orders[[#This Row],[customer_id]], customers[customer_id], 0)), "Unmapped")</f>
        <v>Netherlands</v>
      </c>
      <c r="G1963" t="str">
        <f>IFERROR(INDEX(Region_Map[Region], MATCH(orders[[#This Row],[Customer_Country]], Region_Map[Country], 0)), "Unknown")</f>
        <v>Central Europe</v>
      </c>
      <c r="H1963" t="s">
        <v>6949</v>
      </c>
    </row>
    <row r="1964" spans="1:8">
      <c r="A1964" t="s">
        <v>2873</v>
      </c>
      <c r="B1964" t="s">
        <v>175</v>
      </c>
      <c r="C1964" s="1">
        <v>45049</v>
      </c>
      <c r="D1964" s="1" t="str">
        <f>PROPER(orders[[#This Row],[order_priority]])</f>
        <v>Express</v>
      </c>
      <c r="E1964" t="s">
        <v>13320</v>
      </c>
      <c r="F1964" t="str">
        <f>IFERROR(INDEX(customers[country], MATCH(orders[[#This Row],[customer_id]], customers[customer_id], 0)), "Unmapped")</f>
        <v>Sweden</v>
      </c>
      <c r="G1964" t="str">
        <f>IFERROR(INDEX(Region_Map[Region], MATCH(orders[[#This Row],[Customer_Country]], Region_Map[Country], 0)), "Unknown")</f>
        <v>Nordics</v>
      </c>
      <c r="H1964" t="s">
        <v>6949</v>
      </c>
    </row>
    <row r="1965" spans="1:8">
      <c r="A1965" t="s">
        <v>2874</v>
      </c>
      <c r="B1965" t="s">
        <v>237</v>
      </c>
      <c r="C1965" s="1">
        <v>45333</v>
      </c>
      <c r="D1965" s="1" t="str">
        <f>PROPER(orders[[#This Row],[order_priority]])</f>
        <v>Express</v>
      </c>
      <c r="E1965" t="s">
        <v>13318</v>
      </c>
      <c r="F1965" t="str">
        <f>IFERROR(INDEX(customers[country], MATCH(orders[[#This Row],[customer_id]], customers[customer_id], 0)), "Unmapped")</f>
        <v>Sweden</v>
      </c>
      <c r="G1965" t="str">
        <f>IFERROR(INDEX(Region_Map[Region], MATCH(orders[[#This Row],[Customer_Country]], Region_Map[Country], 0)), "Unknown")</f>
        <v>Nordics</v>
      </c>
      <c r="H1965" t="s">
        <v>6949</v>
      </c>
    </row>
    <row r="1966" spans="1:8">
      <c r="A1966" t="s">
        <v>2875</v>
      </c>
      <c r="B1966" t="s">
        <v>584</v>
      </c>
      <c r="C1966" s="1">
        <v>45443</v>
      </c>
      <c r="D1966" s="1" t="str">
        <f>PROPER(orders[[#This Row],[order_priority]])</f>
        <v>Economy</v>
      </c>
      <c r="E1966" t="s">
        <v>13328</v>
      </c>
      <c r="F1966" t="str">
        <f>IFERROR(INDEX(customers[country], MATCH(orders[[#This Row],[customer_id]], customers[customer_id], 0)), "Unmapped")</f>
        <v>Netherlands</v>
      </c>
      <c r="G1966" t="str">
        <f>IFERROR(INDEX(Region_Map[Region], MATCH(orders[[#This Row],[Customer_Country]], Region_Map[Country], 0)), "Unknown")</f>
        <v>Central Europe</v>
      </c>
      <c r="H1966" t="s">
        <v>6949</v>
      </c>
    </row>
    <row r="1967" spans="1:8">
      <c r="A1967" t="s">
        <v>1716</v>
      </c>
      <c r="B1967" t="s">
        <v>837</v>
      </c>
      <c r="C1967" s="1">
        <v>45098</v>
      </c>
      <c r="D1967" s="1" t="str">
        <f>PROPER(orders[[#This Row],[order_priority]])</f>
        <v>Same Day</v>
      </c>
      <c r="E1967" t="s">
        <v>13322</v>
      </c>
      <c r="F1967" t="str">
        <f>IFERROR(INDEX(customers[country], MATCH(orders[[#This Row],[customer_id]], customers[customer_id], 0)), "Unmapped")</f>
        <v>Poland</v>
      </c>
      <c r="G1967" t="str">
        <f>IFERROR(INDEX(Region_Map[Region], MATCH(orders[[#This Row],[Customer_Country]], Region_Map[Country], 0)), "Unknown")</f>
        <v>Central Europe</v>
      </c>
      <c r="H1967" t="s">
        <v>6949</v>
      </c>
    </row>
    <row r="1968" spans="1:8">
      <c r="A1968" t="s">
        <v>2876</v>
      </c>
      <c r="B1968" t="s">
        <v>112</v>
      </c>
      <c r="C1968" s="1">
        <v>45426</v>
      </c>
      <c r="D1968" s="1" t="str">
        <f>PROPER(orders[[#This Row],[order_priority]])</f>
        <v>Express</v>
      </c>
      <c r="E1968" t="s">
        <v>13318</v>
      </c>
      <c r="F1968" t="str">
        <f>IFERROR(INDEX(customers[country], MATCH(orders[[#This Row],[customer_id]], customers[customer_id], 0)), "Unmapped")</f>
        <v>Finland</v>
      </c>
      <c r="G1968" t="str">
        <f>IFERROR(INDEX(Region_Map[Region], MATCH(orders[[#This Row],[Customer_Country]], Region_Map[Country], 0)), "Unknown")</f>
        <v>Nordics</v>
      </c>
      <c r="H1968" t="s">
        <v>6949</v>
      </c>
    </row>
    <row r="1969" spans="1:8">
      <c r="A1969" t="s">
        <v>2877</v>
      </c>
      <c r="B1969" t="s">
        <v>808</v>
      </c>
      <c r="C1969" s="1">
        <v>45168</v>
      </c>
      <c r="D1969" s="1" t="str">
        <f>PROPER(orders[[#This Row],[order_priority]])</f>
        <v>Economy</v>
      </c>
      <c r="E1969" t="s">
        <v>13316</v>
      </c>
      <c r="F1969" t="str">
        <f>IFERROR(INDEX(customers[country], MATCH(orders[[#This Row],[customer_id]], customers[customer_id], 0)), "Unmapped")</f>
        <v>Sweden</v>
      </c>
      <c r="G1969" t="str">
        <f>IFERROR(INDEX(Region_Map[Region], MATCH(orders[[#This Row],[Customer_Country]], Region_Map[Country], 0)), "Unknown")</f>
        <v>Nordics</v>
      </c>
      <c r="H1969" t="s">
        <v>6949</v>
      </c>
    </row>
    <row r="1970" spans="1:8">
      <c r="A1970" t="s">
        <v>2878</v>
      </c>
      <c r="B1970" t="s">
        <v>784</v>
      </c>
      <c r="C1970" s="1">
        <v>45596</v>
      </c>
      <c r="D1970" s="1" t="str">
        <f>PROPER(orders[[#This Row],[order_priority]])</f>
        <v>Standard</v>
      </c>
      <c r="E1970" t="s">
        <v>13317</v>
      </c>
      <c r="F1970" t="str">
        <f>IFERROR(INDEX(customers[country], MATCH(orders[[#This Row],[customer_id]], customers[customer_id], 0)), "Unmapped")</f>
        <v>Estonia</v>
      </c>
      <c r="G1970" t="str">
        <f>IFERROR(INDEX(Region_Map[Region], MATCH(orders[[#This Row],[Customer_Country]], Region_Map[Country], 0)), "Unknown")</f>
        <v>Baltics</v>
      </c>
      <c r="H1970" t="s">
        <v>6949</v>
      </c>
    </row>
    <row r="1971" spans="1:8">
      <c r="A1971" t="s">
        <v>2879</v>
      </c>
      <c r="B1971" t="s">
        <v>61</v>
      </c>
      <c r="C1971" s="1">
        <v>45221</v>
      </c>
      <c r="D1971" s="1" t="str">
        <f>PROPER(orders[[#This Row],[order_priority]])</f>
        <v>Same Day</v>
      </c>
      <c r="E1971" t="s">
        <v>13324</v>
      </c>
      <c r="F1971" t="str">
        <f>IFERROR(INDEX(customers[country], MATCH(orders[[#This Row],[customer_id]], customers[customer_id], 0)), "Unmapped")</f>
        <v>Netherlands</v>
      </c>
      <c r="G1971" t="str">
        <f>IFERROR(INDEX(Region_Map[Region], MATCH(orders[[#This Row],[Customer_Country]], Region_Map[Country], 0)), "Unknown")</f>
        <v>Central Europe</v>
      </c>
      <c r="H1971" t="s">
        <v>6949</v>
      </c>
    </row>
    <row r="1972" spans="1:8">
      <c r="A1972" t="s">
        <v>2880</v>
      </c>
      <c r="B1972" t="s">
        <v>828</v>
      </c>
      <c r="C1972" s="1">
        <v>45424</v>
      </c>
      <c r="D1972" s="1" t="str">
        <f>PROPER(orders[[#This Row],[order_priority]])</f>
        <v>Economy</v>
      </c>
      <c r="E1972" t="s">
        <v>13316</v>
      </c>
      <c r="F1972" t="str">
        <f>IFERROR(INDEX(customers[country], MATCH(orders[[#This Row],[customer_id]], customers[customer_id], 0)), "Unmapped")</f>
        <v>Germany</v>
      </c>
      <c r="G1972" t="str">
        <f>IFERROR(INDEX(Region_Map[Region], MATCH(orders[[#This Row],[Customer_Country]], Region_Map[Country], 0)), "Unknown")</f>
        <v>Central Europe</v>
      </c>
      <c r="H1972" t="s">
        <v>6949</v>
      </c>
    </row>
    <row r="1973" spans="1:8">
      <c r="A1973" t="s">
        <v>2881</v>
      </c>
      <c r="B1973" t="s">
        <v>398</v>
      </c>
      <c r="C1973" s="1">
        <v>45348</v>
      </c>
      <c r="D1973" s="1" t="str">
        <f>PROPER(orders[[#This Row],[order_priority]])</f>
        <v>Standard</v>
      </c>
      <c r="E1973" t="s">
        <v>13317</v>
      </c>
      <c r="F1973" t="str">
        <f>IFERROR(INDEX(customers[country], MATCH(orders[[#This Row],[customer_id]], customers[customer_id], 0)), "Unmapped")</f>
        <v>Sweden</v>
      </c>
      <c r="G1973" t="str">
        <f>IFERROR(INDEX(Region_Map[Region], MATCH(orders[[#This Row],[Customer_Country]], Region_Map[Country], 0)), "Unknown")</f>
        <v>Nordics</v>
      </c>
      <c r="H1973" t="s">
        <v>6949</v>
      </c>
    </row>
    <row r="1974" spans="1:8">
      <c r="A1974" t="s">
        <v>2882</v>
      </c>
      <c r="B1974" t="s">
        <v>488</v>
      </c>
      <c r="C1974" s="1">
        <v>45205</v>
      </c>
      <c r="D1974" s="1" t="str">
        <f>PROPER(orders[[#This Row],[order_priority]])</f>
        <v>Express</v>
      </c>
      <c r="E1974" t="s">
        <v>13318</v>
      </c>
      <c r="F1974" t="str">
        <f>IFERROR(INDEX(customers[country], MATCH(orders[[#This Row],[customer_id]], customers[customer_id], 0)), "Unmapped")</f>
        <v>Netherlands</v>
      </c>
      <c r="G1974" t="str">
        <f>IFERROR(INDEX(Region_Map[Region], MATCH(orders[[#This Row],[Customer_Country]], Region_Map[Country], 0)), "Unknown")</f>
        <v>Central Europe</v>
      </c>
      <c r="H1974" t="s">
        <v>6949</v>
      </c>
    </row>
    <row r="1975" spans="1:8">
      <c r="A1975" t="s">
        <v>2883</v>
      </c>
      <c r="B1975" t="s">
        <v>416</v>
      </c>
      <c r="C1975" s="1">
        <v>45470</v>
      </c>
      <c r="D1975" s="1" t="str">
        <f>PROPER(orders[[#This Row],[order_priority]])</f>
        <v>Express</v>
      </c>
      <c r="E1975" t="s">
        <v>13318</v>
      </c>
      <c r="F1975" t="str">
        <f>IFERROR(INDEX(customers[country], MATCH(orders[[#This Row],[customer_id]], customers[customer_id], 0)), "Unmapped")</f>
        <v>Denmark</v>
      </c>
      <c r="G1975" t="str">
        <f>IFERROR(INDEX(Region_Map[Region], MATCH(orders[[#This Row],[Customer_Country]], Region_Map[Country], 0)), "Unknown")</f>
        <v>Nordics</v>
      </c>
      <c r="H1975" t="s">
        <v>6949</v>
      </c>
    </row>
    <row r="1976" spans="1:8">
      <c r="A1976" t="s">
        <v>2884</v>
      </c>
      <c r="B1976" t="s">
        <v>258</v>
      </c>
      <c r="C1976" s="1">
        <v>45389</v>
      </c>
      <c r="D1976" s="1" t="str">
        <f>PROPER(orders[[#This Row],[order_priority]])</f>
        <v>Economy</v>
      </c>
      <c r="E1976" t="s">
        <v>13316</v>
      </c>
      <c r="F1976" t="str">
        <f>IFERROR(INDEX(customers[country], MATCH(orders[[#This Row],[customer_id]], customers[customer_id], 0)), "Unmapped")</f>
        <v>Latvia</v>
      </c>
      <c r="G1976" t="str">
        <f>IFERROR(INDEX(Region_Map[Region], MATCH(orders[[#This Row],[Customer_Country]], Region_Map[Country], 0)), "Unknown")</f>
        <v>Baltics</v>
      </c>
      <c r="H1976" t="s">
        <v>6949</v>
      </c>
    </row>
    <row r="1977" spans="1:8">
      <c r="A1977" t="s">
        <v>2885</v>
      </c>
      <c r="B1977" t="s">
        <v>575</v>
      </c>
      <c r="C1977" s="1">
        <v>45540</v>
      </c>
      <c r="D1977" s="1" t="str">
        <f>PROPER(orders[[#This Row],[order_priority]])</f>
        <v>Same Day</v>
      </c>
      <c r="E1977" t="s">
        <v>13322</v>
      </c>
      <c r="F1977" t="str">
        <f>IFERROR(INDEX(customers[country], MATCH(orders[[#This Row],[customer_id]], customers[customer_id], 0)), "Unmapped")</f>
        <v>Netherlands</v>
      </c>
      <c r="G1977" t="str">
        <f>IFERROR(INDEX(Region_Map[Region], MATCH(orders[[#This Row],[Customer_Country]], Region_Map[Country], 0)), "Unknown")</f>
        <v>Central Europe</v>
      </c>
      <c r="H1977" t="s">
        <v>6949</v>
      </c>
    </row>
    <row r="1978" spans="1:8">
      <c r="A1978" t="s">
        <v>2886</v>
      </c>
      <c r="B1978" t="s">
        <v>464</v>
      </c>
      <c r="C1978" s="1">
        <v>45452</v>
      </c>
      <c r="D1978" s="1" t="str">
        <f>PROPER(orders[[#This Row],[order_priority]])</f>
        <v>Economy</v>
      </c>
      <c r="E1978" t="s">
        <v>13316</v>
      </c>
      <c r="F1978" t="str">
        <f>IFERROR(INDEX(customers[country], MATCH(orders[[#This Row],[customer_id]], customers[customer_id], 0)), "Unmapped")</f>
        <v>Finland</v>
      </c>
      <c r="G1978" t="str">
        <f>IFERROR(INDEX(Region_Map[Region], MATCH(orders[[#This Row],[Customer_Country]], Region_Map[Country], 0)), "Unknown")</f>
        <v>Nordics</v>
      </c>
      <c r="H1978" t="s">
        <v>6949</v>
      </c>
    </row>
    <row r="1979" spans="1:8">
      <c r="A1979" t="s">
        <v>2887</v>
      </c>
      <c r="B1979" t="s">
        <v>837</v>
      </c>
      <c r="C1979" s="1">
        <v>45597</v>
      </c>
      <c r="D1979" s="1" t="str">
        <f>PROPER(orders[[#This Row],[order_priority]])</f>
        <v>Same Day</v>
      </c>
      <c r="E1979" t="s">
        <v>13322</v>
      </c>
      <c r="F1979" t="str">
        <f>IFERROR(INDEX(customers[country], MATCH(orders[[#This Row],[customer_id]], customers[customer_id], 0)), "Unmapped")</f>
        <v>Poland</v>
      </c>
      <c r="G1979" t="str">
        <f>IFERROR(INDEX(Region_Map[Region], MATCH(orders[[#This Row],[Customer_Country]], Region_Map[Country], 0)), "Unknown")</f>
        <v>Central Europe</v>
      </c>
      <c r="H1979" t="s">
        <v>6949</v>
      </c>
    </row>
    <row r="1980" spans="1:8">
      <c r="A1980" t="s">
        <v>2888</v>
      </c>
      <c r="B1980" t="s">
        <v>90</v>
      </c>
      <c r="C1980" s="1">
        <v>45380</v>
      </c>
      <c r="D1980" s="1" t="str">
        <f>PROPER(orders[[#This Row],[order_priority]])</f>
        <v>Same Day</v>
      </c>
      <c r="E1980" t="s">
        <v>13322</v>
      </c>
      <c r="F1980" t="str">
        <f>IFERROR(INDEX(customers[country], MATCH(orders[[#This Row],[customer_id]], customers[customer_id], 0)), "Unmapped")</f>
        <v>Netherlands</v>
      </c>
      <c r="G1980" t="str">
        <f>IFERROR(INDEX(Region_Map[Region], MATCH(orders[[#This Row],[Customer_Country]], Region_Map[Country], 0)), "Unknown")</f>
        <v>Central Europe</v>
      </c>
      <c r="H1980" t="s">
        <v>6949</v>
      </c>
    </row>
    <row r="1981" spans="1:8">
      <c r="A1981" t="s">
        <v>2889</v>
      </c>
      <c r="B1981" t="s">
        <v>509</v>
      </c>
      <c r="C1981" s="1">
        <v>45179</v>
      </c>
      <c r="D1981" s="1" t="str">
        <f>PROPER(orders[[#This Row],[order_priority]])</f>
        <v>Economy</v>
      </c>
      <c r="E1981" t="s">
        <v>13316</v>
      </c>
      <c r="F1981" t="str">
        <f>IFERROR(INDEX(customers[country], MATCH(orders[[#This Row],[customer_id]], customers[customer_id], 0)), "Unmapped")</f>
        <v>Sweden</v>
      </c>
      <c r="G1981" t="str">
        <f>IFERROR(INDEX(Region_Map[Region], MATCH(orders[[#This Row],[Customer_Country]], Region_Map[Country], 0)), "Unknown")</f>
        <v>Nordics</v>
      </c>
      <c r="H1981" t="s">
        <v>6949</v>
      </c>
    </row>
    <row r="1982" spans="1:8">
      <c r="A1982" t="s">
        <v>2890</v>
      </c>
      <c r="B1982" t="s">
        <v>461</v>
      </c>
      <c r="C1982" s="1">
        <v>45212</v>
      </c>
      <c r="D1982" s="1" t="str">
        <f>PROPER(orders[[#This Row],[order_priority]])</f>
        <v>Same Day</v>
      </c>
      <c r="E1982" t="s">
        <v>13322</v>
      </c>
      <c r="F1982" t="str">
        <f>IFERROR(INDEX(customers[country], MATCH(orders[[#This Row],[customer_id]], customers[customer_id], 0)), "Unmapped")</f>
        <v>Latvia</v>
      </c>
      <c r="G1982" t="str">
        <f>IFERROR(INDEX(Region_Map[Region], MATCH(orders[[#This Row],[Customer_Country]], Region_Map[Country], 0)), "Unknown")</f>
        <v>Baltics</v>
      </c>
      <c r="H1982" t="s">
        <v>6949</v>
      </c>
    </row>
    <row r="1983" spans="1:8">
      <c r="A1983" t="s">
        <v>2891</v>
      </c>
      <c r="B1983" t="s">
        <v>404</v>
      </c>
      <c r="C1983" s="1">
        <v>45368</v>
      </c>
      <c r="D1983" s="1" t="str">
        <f>PROPER(orders[[#This Row],[order_priority]])</f>
        <v>Express</v>
      </c>
      <c r="E1983" t="s">
        <v>13318</v>
      </c>
      <c r="F1983" t="str">
        <f>IFERROR(INDEX(customers[country], MATCH(orders[[#This Row],[customer_id]], customers[customer_id], 0)), "Unmapped")</f>
        <v>Latvia</v>
      </c>
      <c r="G1983" t="str">
        <f>IFERROR(INDEX(Region_Map[Region], MATCH(orders[[#This Row],[Customer_Country]], Region_Map[Country], 0)), "Unknown")</f>
        <v>Baltics</v>
      </c>
      <c r="H1983" t="s">
        <v>6949</v>
      </c>
    </row>
    <row r="1984" spans="1:8">
      <c r="A1984" t="s">
        <v>2892</v>
      </c>
      <c r="B1984" t="s">
        <v>500</v>
      </c>
      <c r="C1984" s="1">
        <v>45234</v>
      </c>
      <c r="D1984" s="1" t="str">
        <f>PROPER(orders[[#This Row],[order_priority]])</f>
        <v>Standard</v>
      </c>
      <c r="E1984" t="s">
        <v>13317</v>
      </c>
      <c r="F1984" t="str">
        <f>IFERROR(INDEX(customers[country], MATCH(orders[[#This Row],[customer_id]], customers[customer_id], 0)), "Unmapped")</f>
        <v>Estonia</v>
      </c>
      <c r="G1984" t="str">
        <f>IFERROR(INDEX(Region_Map[Region], MATCH(orders[[#This Row],[Customer_Country]], Region_Map[Country], 0)), "Unknown")</f>
        <v>Baltics</v>
      </c>
      <c r="H1984" t="s">
        <v>6949</v>
      </c>
    </row>
    <row r="1985" spans="1:8">
      <c r="A1985" t="s">
        <v>2893</v>
      </c>
      <c r="B1985" t="s">
        <v>596</v>
      </c>
      <c r="C1985" s="1">
        <v>45391</v>
      </c>
      <c r="D1985" s="1" t="str">
        <f>PROPER(orders[[#This Row],[order_priority]])</f>
        <v>Same Day</v>
      </c>
      <c r="E1985" t="s">
        <v>13321</v>
      </c>
      <c r="F1985" t="str">
        <f>IFERROR(INDEX(customers[country], MATCH(orders[[#This Row],[customer_id]], customers[customer_id], 0)), "Unmapped")</f>
        <v>Lithuania</v>
      </c>
      <c r="G1985" t="str">
        <f>IFERROR(INDEX(Region_Map[Region], MATCH(orders[[#This Row],[Customer_Country]], Region_Map[Country], 0)), "Unknown")</f>
        <v>Baltics</v>
      </c>
      <c r="H1985" t="s">
        <v>6949</v>
      </c>
    </row>
    <row r="1986" spans="1:8">
      <c r="A1986" t="s">
        <v>2894</v>
      </c>
      <c r="B1986" t="s">
        <v>673</v>
      </c>
      <c r="C1986" s="1">
        <v>45514</v>
      </c>
      <c r="D1986" s="1" t="str">
        <f>PROPER(orders[[#This Row],[order_priority]])</f>
        <v>Same Day</v>
      </c>
      <c r="E1986" t="s">
        <v>13322</v>
      </c>
      <c r="F1986" t="str">
        <f>IFERROR(INDEX(customers[country], MATCH(orders[[#This Row],[customer_id]], customers[customer_id], 0)), "Unmapped")</f>
        <v>Sweden</v>
      </c>
      <c r="G1986" t="str">
        <f>IFERROR(INDEX(Region_Map[Region], MATCH(orders[[#This Row],[Customer_Country]], Region_Map[Country], 0)), "Unknown")</f>
        <v>Nordics</v>
      </c>
      <c r="H1986" t="s">
        <v>6949</v>
      </c>
    </row>
    <row r="1987" spans="1:8">
      <c r="A1987" t="s">
        <v>2895</v>
      </c>
      <c r="B1987" t="s">
        <v>691</v>
      </c>
      <c r="C1987" s="1">
        <v>45482</v>
      </c>
      <c r="D1987" s="1" t="str">
        <f>PROPER(orders[[#This Row],[order_priority]])</f>
        <v>Express</v>
      </c>
      <c r="E1987" t="s">
        <v>13318</v>
      </c>
      <c r="F1987" t="str">
        <f>IFERROR(INDEX(customers[country], MATCH(orders[[#This Row],[customer_id]], customers[customer_id], 0)), "Unmapped")</f>
        <v>Latvia</v>
      </c>
      <c r="G1987" t="str">
        <f>IFERROR(INDEX(Region_Map[Region], MATCH(orders[[#This Row],[Customer_Country]], Region_Map[Country], 0)), "Unknown")</f>
        <v>Baltics</v>
      </c>
      <c r="H1987" t="s">
        <v>6949</v>
      </c>
    </row>
    <row r="1988" spans="1:8">
      <c r="A1988" t="s">
        <v>2896</v>
      </c>
      <c r="B1988" t="s">
        <v>894</v>
      </c>
      <c r="C1988" s="1">
        <v>45418</v>
      </c>
      <c r="D1988" s="1" t="str">
        <f>PROPER(orders[[#This Row],[order_priority]])</f>
        <v>Economy</v>
      </c>
      <c r="E1988" t="s">
        <v>13316</v>
      </c>
      <c r="F1988" t="str">
        <f>IFERROR(INDEX(customers[country], MATCH(orders[[#This Row],[customer_id]], customers[customer_id], 0)), "Unmapped")</f>
        <v>Poland</v>
      </c>
      <c r="G1988" t="str">
        <f>IFERROR(INDEX(Region_Map[Region], MATCH(orders[[#This Row],[Customer_Country]], Region_Map[Country], 0)), "Unknown")</f>
        <v>Central Europe</v>
      </c>
      <c r="H1988" t="s">
        <v>6949</v>
      </c>
    </row>
    <row r="1989" spans="1:8">
      <c r="A1989" t="s">
        <v>2897</v>
      </c>
      <c r="B1989" t="s">
        <v>213</v>
      </c>
      <c r="C1989" s="1">
        <v>45504</v>
      </c>
      <c r="D1989" s="1" t="str">
        <f>PROPER(orders[[#This Row],[order_priority]])</f>
        <v>Economy</v>
      </c>
      <c r="E1989" t="s">
        <v>13316</v>
      </c>
      <c r="F1989" t="str">
        <f>IFERROR(INDEX(customers[country], MATCH(orders[[#This Row],[customer_id]], customers[customer_id], 0)), "Unmapped")</f>
        <v>Denmark</v>
      </c>
      <c r="G1989" t="str">
        <f>IFERROR(INDEX(Region_Map[Region], MATCH(orders[[#This Row],[Customer_Country]], Region_Map[Country], 0)), "Unknown")</f>
        <v>Nordics</v>
      </c>
      <c r="H1989" t="s">
        <v>6949</v>
      </c>
    </row>
    <row r="1990" spans="1:8">
      <c r="A1990" t="s">
        <v>2898</v>
      </c>
      <c r="B1990" t="s">
        <v>124</v>
      </c>
      <c r="C1990" s="1">
        <v>44965</v>
      </c>
      <c r="D1990" s="1" t="str">
        <f>PROPER(orders[[#This Row],[order_priority]])</f>
        <v>Same Day</v>
      </c>
      <c r="E1990" t="s">
        <v>13322</v>
      </c>
      <c r="F1990" t="str">
        <f>IFERROR(INDEX(customers[country], MATCH(orders[[#This Row],[customer_id]], customers[customer_id], 0)), "Unmapped")</f>
        <v>Lithuania</v>
      </c>
      <c r="G1990" t="str">
        <f>IFERROR(INDEX(Region_Map[Region], MATCH(orders[[#This Row],[Customer_Country]], Region_Map[Country], 0)), "Unknown")</f>
        <v>Baltics</v>
      </c>
      <c r="H1990" t="s">
        <v>6949</v>
      </c>
    </row>
    <row r="1991" spans="1:8">
      <c r="A1991" t="s">
        <v>2899</v>
      </c>
      <c r="B1991" t="s">
        <v>596</v>
      </c>
      <c r="C1991" s="1">
        <v>44955</v>
      </c>
      <c r="D1991" s="1" t="str">
        <f>PROPER(orders[[#This Row],[order_priority]])</f>
        <v>Economy</v>
      </c>
      <c r="E1991" t="s">
        <v>13316</v>
      </c>
      <c r="F1991" t="str">
        <f>IFERROR(INDEX(customers[country], MATCH(orders[[#This Row],[customer_id]], customers[customer_id], 0)), "Unmapped")</f>
        <v>Lithuania</v>
      </c>
      <c r="G1991" t="str">
        <f>IFERROR(INDEX(Region_Map[Region], MATCH(orders[[#This Row],[Customer_Country]], Region_Map[Country], 0)), "Unknown")</f>
        <v>Baltics</v>
      </c>
      <c r="H1991" t="s">
        <v>6949</v>
      </c>
    </row>
    <row r="1992" spans="1:8">
      <c r="A1992" t="s">
        <v>2900</v>
      </c>
      <c r="B1992" t="s">
        <v>718</v>
      </c>
      <c r="C1992" s="1">
        <v>44982</v>
      </c>
      <c r="D1992" s="1" t="str">
        <f>PROPER(orders[[#This Row],[order_priority]])</f>
        <v>Express</v>
      </c>
      <c r="E1992" t="s">
        <v>13318</v>
      </c>
      <c r="F1992" t="str">
        <f>IFERROR(INDEX(customers[country], MATCH(orders[[#This Row],[customer_id]], customers[customer_id], 0)), "Unmapped")</f>
        <v>Netherlands</v>
      </c>
      <c r="G1992" t="str">
        <f>IFERROR(INDEX(Region_Map[Region], MATCH(orders[[#This Row],[Customer_Country]], Region_Map[Country], 0)), "Unknown")</f>
        <v>Central Europe</v>
      </c>
      <c r="H1992" t="s">
        <v>6949</v>
      </c>
    </row>
    <row r="1993" spans="1:8">
      <c r="A1993" t="s">
        <v>2901</v>
      </c>
      <c r="B1993" t="s">
        <v>494</v>
      </c>
      <c r="C1993" s="1">
        <v>45111</v>
      </c>
      <c r="D1993" s="1" t="str">
        <f>PROPER(orders[[#This Row],[order_priority]])</f>
        <v>Express</v>
      </c>
      <c r="E1993" t="s">
        <v>13320</v>
      </c>
      <c r="F1993" t="str">
        <f>IFERROR(INDEX(customers[country], MATCH(orders[[#This Row],[customer_id]], customers[customer_id], 0)), "Unmapped")</f>
        <v>Sweden</v>
      </c>
      <c r="G1993" t="str">
        <f>IFERROR(INDEX(Region_Map[Region], MATCH(orders[[#This Row],[Customer_Country]], Region_Map[Country], 0)), "Unknown")</f>
        <v>Nordics</v>
      </c>
      <c r="H1993" t="s">
        <v>6949</v>
      </c>
    </row>
    <row r="1994" spans="1:8">
      <c r="A1994" t="s">
        <v>2902</v>
      </c>
      <c r="B1994" t="s">
        <v>77</v>
      </c>
      <c r="C1994" s="1">
        <v>45416</v>
      </c>
      <c r="D1994" s="1" t="str">
        <f>PROPER(orders[[#This Row],[order_priority]])</f>
        <v>Economy</v>
      </c>
      <c r="E1994" t="s">
        <v>13316</v>
      </c>
      <c r="F1994" t="str">
        <f>IFERROR(INDEX(customers[country], MATCH(orders[[#This Row],[customer_id]], customers[customer_id], 0)), "Unmapped")</f>
        <v>Lithuania</v>
      </c>
      <c r="G1994" t="str">
        <f>IFERROR(INDEX(Region_Map[Region], MATCH(orders[[#This Row],[Customer_Country]], Region_Map[Country], 0)), "Unknown")</f>
        <v>Baltics</v>
      </c>
      <c r="H1994" t="s">
        <v>6949</v>
      </c>
    </row>
    <row r="1995" spans="1:8">
      <c r="A1995" t="s">
        <v>2903</v>
      </c>
      <c r="B1995" t="s">
        <v>741</v>
      </c>
      <c r="C1995" s="1">
        <v>45049</v>
      </c>
      <c r="D1995" s="1" t="str">
        <f>PROPER(orders[[#This Row],[order_priority]])</f>
        <v>Economy</v>
      </c>
      <c r="E1995" t="s">
        <v>13316</v>
      </c>
      <c r="F1995" t="str">
        <f>IFERROR(INDEX(customers[country], MATCH(orders[[#This Row],[customer_id]], customers[customer_id], 0)), "Unmapped")</f>
        <v>Germany</v>
      </c>
      <c r="G1995" t="str">
        <f>IFERROR(INDEX(Region_Map[Region], MATCH(orders[[#This Row],[Customer_Country]], Region_Map[Country], 0)), "Unknown")</f>
        <v>Central Europe</v>
      </c>
      <c r="H1995" t="s">
        <v>6949</v>
      </c>
    </row>
    <row r="1996" spans="1:8">
      <c r="A1996" t="s">
        <v>2904</v>
      </c>
      <c r="B1996" t="s">
        <v>724</v>
      </c>
      <c r="C1996" s="1">
        <v>45307</v>
      </c>
      <c r="D1996" s="1" t="str">
        <f>PROPER(orders[[#This Row],[order_priority]])</f>
        <v>Express</v>
      </c>
      <c r="E1996" t="s">
        <v>13318</v>
      </c>
      <c r="F1996" t="str">
        <f>IFERROR(INDEX(customers[country], MATCH(orders[[#This Row],[customer_id]], customers[customer_id], 0)), "Unmapped")</f>
        <v>Denmark</v>
      </c>
      <c r="G1996" t="str">
        <f>IFERROR(INDEX(Region_Map[Region], MATCH(orders[[#This Row],[Customer_Country]], Region_Map[Country], 0)), "Unknown")</f>
        <v>Nordics</v>
      </c>
      <c r="H1996" t="s">
        <v>6949</v>
      </c>
    </row>
    <row r="1997" spans="1:8">
      <c r="A1997" t="s">
        <v>2905</v>
      </c>
      <c r="B1997" t="s">
        <v>509</v>
      </c>
      <c r="C1997" s="1">
        <v>45495</v>
      </c>
      <c r="D1997" s="1" t="str">
        <f>PROPER(orders[[#This Row],[order_priority]])</f>
        <v>Same Day</v>
      </c>
      <c r="E1997" t="s">
        <v>13322</v>
      </c>
      <c r="F1997" t="str">
        <f>IFERROR(INDEX(customers[country], MATCH(orders[[#This Row],[customer_id]], customers[customer_id], 0)), "Unmapped")</f>
        <v>Sweden</v>
      </c>
      <c r="G1997" t="str">
        <f>IFERROR(INDEX(Region_Map[Region], MATCH(orders[[#This Row],[Customer_Country]], Region_Map[Country], 0)), "Unknown")</f>
        <v>Nordics</v>
      </c>
      <c r="H1997" t="s">
        <v>6949</v>
      </c>
    </row>
    <row r="1998" spans="1:8">
      <c r="A1998" t="s">
        <v>2906</v>
      </c>
      <c r="B1998" t="s">
        <v>861</v>
      </c>
      <c r="C1998" s="1">
        <v>45332</v>
      </c>
      <c r="D1998" s="1" t="str">
        <f>PROPER(orders[[#This Row],[order_priority]])</f>
        <v>Express</v>
      </c>
      <c r="E1998" t="s">
        <v>13318</v>
      </c>
      <c r="F1998" t="str">
        <f>IFERROR(INDEX(customers[country], MATCH(orders[[#This Row],[customer_id]], customers[customer_id], 0)), "Unmapped")</f>
        <v>Latvia</v>
      </c>
      <c r="G1998" t="str">
        <f>IFERROR(INDEX(Region_Map[Region], MATCH(orders[[#This Row],[Customer_Country]], Region_Map[Country], 0)), "Unknown")</f>
        <v>Baltics</v>
      </c>
      <c r="H1998" t="s">
        <v>6949</v>
      </c>
    </row>
    <row r="1999" spans="1:8">
      <c r="A1999" t="s">
        <v>2907</v>
      </c>
      <c r="B1999" t="s">
        <v>691</v>
      </c>
      <c r="C1999" s="1">
        <v>45156</v>
      </c>
      <c r="D1999" s="1" t="str">
        <f>PROPER(orders[[#This Row],[order_priority]])</f>
        <v>Express</v>
      </c>
      <c r="E1999" t="s">
        <v>13318</v>
      </c>
      <c r="F1999" t="str">
        <f>IFERROR(INDEX(customers[country], MATCH(orders[[#This Row],[customer_id]], customers[customer_id], 0)), "Unmapped")</f>
        <v>Latvia</v>
      </c>
      <c r="G1999" t="str">
        <f>IFERROR(INDEX(Region_Map[Region], MATCH(orders[[#This Row],[Customer_Country]], Region_Map[Country], 0)), "Unknown")</f>
        <v>Baltics</v>
      </c>
      <c r="H1999" t="s">
        <v>6949</v>
      </c>
    </row>
    <row r="2000" spans="1:8">
      <c r="A2000" t="s">
        <v>2908</v>
      </c>
      <c r="B2000" t="s">
        <v>145</v>
      </c>
      <c r="C2000" s="1">
        <v>45292</v>
      </c>
      <c r="D2000" s="1" t="str">
        <f>PROPER(orders[[#This Row],[order_priority]])</f>
        <v>Express</v>
      </c>
      <c r="E2000" t="s">
        <v>13320</v>
      </c>
      <c r="F2000" t="str">
        <f>IFERROR(INDEX(customers[country], MATCH(orders[[#This Row],[customer_id]], customers[customer_id], 0)), "Unmapped")</f>
        <v>Latvia</v>
      </c>
      <c r="G2000" t="str">
        <f>IFERROR(INDEX(Region_Map[Region], MATCH(orders[[#This Row],[Customer_Country]], Region_Map[Country], 0)), "Unknown")</f>
        <v>Baltics</v>
      </c>
      <c r="H2000" t="s">
        <v>6949</v>
      </c>
    </row>
    <row r="2001" spans="1:8">
      <c r="A2001" t="s">
        <v>2909</v>
      </c>
      <c r="B2001" t="s">
        <v>124</v>
      </c>
      <c r="C2001" s="1">
        <v>45298</v>
      </c>
      <c r="D2001" s="1" t="str">
        <f>PROPER(orders[[#This Row],[order_priority]])</f>
        <v>Express</v>
      </c>
      <c r="E2001" t="s">
        <v>13326</v>
      </c>
      <c r="F2001" t="str">
        <f>IFERROR(INDEX(customers[country], MATCH(orders[[#This Row],[customer_id]], customers[customer_id], 0)), "Unmapped")</f>
        <v>Lithuania</v>
      </c>
      <c r="G2001" t="str">
        <f>IFERROR(INDEX(Region_Map[Region], MATCH(orders[[#This Row],[Customer_Country]], Region_Map[Country], 0)), "Unknown")</f>
        <v>Baltics</v>
      </c>
      <c r="H2001" t="s">
        <v>6949</v>
      </c>
    </row>
    <row r="2002" spans="1:8">
      <c r="A2002" t="s">
        <v>2910</v>
      </c>
      <c r="B2002" t="s">
        <v>503</v>
      </c>
      <c r="C2002" s="1">
        <v>45523</v>
      </c>
      <c r="D2002" s="1" t="str">
        <f>PROPER(orders[[#This Row],[order_priority]])</f>
        <v>Economy</v>
      </c>
      <c r="E2002" t="s">
        <v>13316</v>
      </c>
      <c r="F2002" t="str">
        <f>IFERROR(INDEX(customers[country], MATCH(orders[[#This Row],[customer_id]], customers[customer_id], 0)), "Unmapped")</f>
        <v>Denmark</v>
      </c>
      <c r="G2002" t="str">
        <f>IFERROR(INDEX(Region_Map[Region], MATCH(orders[[#This Row],[Customer_Country]], Region_Map[Country], 0)), "Unknown")</f>
        <v>Nordics</v>
      </c>
      <c r="H2002" t="s">
        <v>6949</v>
      </c>
    </row>
    <row r="2003" spans="1:8">
      <c r="A2003" t="s">
        <v>2911</v>
      </c>
      <c r="B2003" t="s">
        <v>440</v>
      </c>
      <c r="C2003" s="1">
        <v>45516</v>
      </c>
      <c r="D2003" s="1" t="str">
        <f>PROPER(orders[[#This Row],[order_priority]])</f>
        <v>Same Day</v>
      </c>
      <c r="E2003" t="s">
        <v>13321</v>
      </c>
      <c r="F2003" t="str">
        <f>IFERROR(INDEX(customers[country], MATCH(orders[[#This Row],[customer_id]], customers[customer_id], 0)), "Unmapped")</f>
        <v>Poland</v>
      </c>
      <c r="G2003" t="str">
        <f>IFERROR(INDEX(Region_Map[Region], MATCH(orders[[#This Row],[Customer_Country]], Region_Map[Country], 0)), "Unknown")</f>
        <v>Central Europe</v>
      </c>
      <c r="H2003" t="s">
        <v>6949</v>
      </c>
    </row>
    <row r="2004" spans="1:8">
      <c r="A2004" t="s">
        <v>2912</v>
      </c>
      <c r="B2004" t="s">
        <v>383</v>
      </c>
      <c r="C2004" s="1">
        <v>44982</v>
      </c>
      <c r="D2004" s="1" t="str">
        <f>PROPER(orders[[#This Row],[order_priority]])</f>
        <v>Economy</v>
      </c>
      <c r="E2004" t="s">
        <v>13316</v>
      </c>
      <c r="F2004" t="str">
        <f>IFERROR(INDEX(customers[country], MATCH(orders[[#This Row],[customer_id]], customers[customer_id], 0)), "Unmapped")</f>
        <v>Germany</v>
      </c>
      <c r="G2004" t="str">
        <f>IFERROR(INDEX(Region_Map[Region], MATCH(orders[[#This Row],[Customer_Country]], Region_Map[Country], 0)), "Unknown")</f>
        <v>Central Europe</v>
      </c>
      <c r="H2004" t="s">
        <v>6949</v>
      </c>
    </row>
    <row r="2005" spans="1:8">
      <c r="A2005" t="s">
        <v>2913</v>
      </c>
      <c r="B2005" t="s">
        <v>870</v>
      </c>
      <c r="C2005" s="1">
        <v>45534</v>
      </c>
      <c r="D2005" s="1" t="str">
        <f>PROPER(orders[[#This Row],[order_priority]])</f>
        <v>Express</v>
      </c>
      <c r="E2005" t="s">
        <v>13318</v>
      </c>
      <c r="F2005" t="str">
        <f>IFERROR(INDEX(customers[country], MATCH(orders[[#This Row],[customer_id]], customers[customer_id], 0)), "Unmapped")</f>
        <v>Estonia</v>
      </c>
      <c r="G2005" t="str">
        <f>IFERROR(INDEX(Region_Map[Region], MATCH(orders[[#This Row],[Customer_Country]], Region_Map[Country], 0)), "Unknown")</f>
        <v>Baltics</v>
      </c>
      <c r="H2005" t="s">
        <v>6949</v>
      </c>
    </row>
    <row r="2006" spans="1:8">
      <c r="A2006" t="s">
        <v>2914</v>
      </c>
      <c r="B2006" t="s">
        <v>581</v>
      </c>
      <c r="C2006" s="1">
        <v>45593</v>
      </c>
      <c r="D2006" s="1" t="str">
        <f>PROPER(orders[[#This Row],[order_priority]])</f>
        <v>Express</v>
      </c>
      <c r="E2006" t="s">
        <v>13320</v>
      </c>
      <c r="F2006" t="str">
        <f>IFERROR(INDEX(customers[country], MATCH(orders[[#This Row],[customer_id]], customers[customer_id], 0)), "Unmapped")</f>
        <v>Norway</v>
      </c>
      <c r="G2006" t="str">
        <f>IFERROR(INDEX(Region_Map[Region], MATCH(orders[[#This Row],[Customer_Country]], Region_Map[Country], 0)), "Unknown")</f>
        <v>Nordics</v>
      </c>
      <c r="H2006" t="s">
        <v>6949</v>
      </c>
    </row>
    <row r="2007" spans="1:8">
      <c r="A2007" t="s">
        <v>2915</v>
      </c>
      <c r="B2007" t="s">
        <v>335</v>
      </c>
      <c r="C2007" s="1">
        <v>45225</v>
      </c>
      <c r="D2007" s="1" t="str">
        <f>PROPER(orders[[#This Row],[order_priority]])</f>
        <v>Economy</v>
      </c>
      <c r="E2007" t="s">
        <v>13316</v>
      </c>
      <c r="F2007" t="str">
        <f>IFERROR(INDEX(customers[country], MATCH(orders[[#This Row],[customer_id]], customers[customer_id], 0)), "Unmapped")</f>
        <v>Denmark</v>
      </c>
      <c r="G2007" t="str">
        <f>IFERROR(INDEX(Region_Map[Region], MATCH(orders[[#This Row],[Customer_Country]], Region_Map[Country], 0)), "Unknown")</f>
        <v>Nordics</v>
      </c>
      <c r="H2007" t="s">
        <v>6949</v>
      </c>
    </row>
    <row r="2008" spans="1:8">
      <c r="A2008" t="s">
        <v>2916</v>
      </c>
      <c r="B2008" t="s">
        <v>521</v>
      </c>
      <c r="C2008" s="1">
        <v>45249</v>
      </c>
      <c r="D2008" s="1" t="str">
        <f>PROPER(orders[[#This Row],[order_priority]])</f>
        <v>Economy</v>
      </c>
      <c r="E2008" t="s">
        <v>13316</v>
      </c>
      <c r="F2008" t="str">
        <f>IFERROR(INDEX(customers[country], MATCH(orders[[#This Row],[customer_id]], customers[customer_id], 0)), "Unmapped")</f>
        <v>Norway</v>
      </c>
      <c r="G2008" t="str">
        <f>IFERROR(INDEX(Region_Map[Region], MATCH(orders[[#This Row],[Customer_Country]], Region_Map[Country], 0)), "Unknown")</f>
        <v>Nordics</v>
      </c>
      <c r="H2008" t="s">
        <v>6949</v>
      </c>
    </row>
    <row r="2009" spans="1:8">
      <c r="A2009" t="s">
        <v>2917</v>
      </c>
      <c r="B2009" t="s">
        <v>443</v>
      </c>
      <c r="C2009" s="1">
        <v>45065</v>
      </c>
      <c r="D2009" s="1" t="str">
        <f>PROPER(orders[[#This Row],[order_priority]])</f>
        <v>Same Day</v>
      </c>
      <c r="E2009" t="s">
        <v>13322</v>
      </c>
      <c r="F2009" t="str">
        <f>IFERROR(INDEX(customers[country], MATCH(orders[[#This Row],[customer_id]], customers[customer_id], 0)), "Unmapped")</f>
        <v>Estonia</v>
      </c>
      <c r="G2009" t="str">
        <f>IFERROR(INDEX(Region_Map[Region], MATCH(orders[[#This Row],[Customer_Country]], Region_Map[Country], 0)), "Unknown")</f>
        <v>Baltics</v>
      </c>
      <c r="H2009" t="s">
        <v>6949</v>
      </c>
    </row>
    <row r="2010" spans="1:8">
      <c r="A2010" t="s">
        <v>2918</v>
      </c>
      <c r="B2010" t="s">
        <v>509</v>
      </c>
      <c r="C2010" s="1">
        <v>44939</v>
      </c>
      <c r="D2010" s="1" t="str">
        <f>PROPER(orders[[#This Row],[order_priority]])</f>
        <v>Same Day</v>
      </c>
      <c r="E2010" t="s">
        <v>13322</v>
      </c>
      <c r="F2010" t="str">
        <f>IFERROR(INDEX(customers[country], MATCH(orders[[#This Row],[customer_id]], customers[customer_id], 0)), "Unmapped")</f>
        <v>Sweden</v>
      </c>
      <c r="G2010" t="str">
        <f>IFERROR(INDEX(Region_Map[Region], MATCH(orders[[#This Row],[Customer_Country]], Region_Map[Country], 0)), "Unknown")</f>
        <v>Nordics</v>
      </c>
      <c r="H2010" t="s">
        <v>6949</v>
      </c>
    </row>
    <row r="2011" spans="1:8">
      <c r="A2011" t="s">
        <v>2919</v>
      </c>
      <c r="B2011" t="s">
        <v>584</v>
      </c>
      <c r="C2011" s="1">
        <v>45167</v>
      </c>
      <c r="D2011" s="1" t="str">
        <f>PROPER(orders[[#This Row],[order_priority]])</f>
        <v>Economy</v>
      </c>
      <c r="E2011" t="s">
        <v>13316</v>
      </c>
      <c r="F2011" t="str">
        <f>IFERROR(INDEX(customers[country], MATCH(orders[[#This Row],[customer_id]], customers[customer_id], 0)), "Unmapped")</f>
        <v>Netherlands</v>
      </c>
      <c r="G2011" t="str">
        <f>IFERROR(INDEX(Region_Map[Region], MATCH(orders[[#This Row],[Customer_Country]], Region_Map[Country], 0)), "Unknown")</f>
        <v>Central Europe</v>
      </c>
      <c r="H2011" t="s">
        <v>6949</v>
      </c>
    </row>
    <row r="2012" spans="1:8">
      <c r="A2012" t="s">
        <v>2920</v>
      </c>
      <c r="B2012" t="s">
        <v>6949</v>
      </c>
      <c r="C2012" s="1">
        <v>44980</v>
      </c>
      <c r="D2012" s="1" t="str">
        <f>PROPER(orders[[#This Row],[order_priority]])</f>
        <v>Express</v>
      </c>
      <c r="E2012" t="s">
        <v>13320</v>
      </c>
      <c r="F2012" t="str">
        <f>IFERROR(INDEX(customers[country], MATCH(orders[[#This Row],[customer_id]], customers[customer_id], 0)), "Unmapped")</f>
        <v>Unmapped</v>
      </c>
      <c r="G2012" t="str">
        <f>IFERROR(INDEX(Region_Map[Region], MATCH(orders[[#This Row],[Customer_Country]], Region_Map[Country], 0)), "Unknown")</f>
        <v>Unknown</v>
      </c>
      <c r="H2012" t="s">
        <v>6949</v>
      </c>
    </row>
    <row r="2013" spans="1:8">
      <c r="A2013" t="s">
        <v>2921</v>
      </c>
      <c r="B2013" t="s">
        <v>644</v>
      </c>
      <c r="C2013" s="1">
        <v>45254</v>
      </c>
      <c r="D2013" s="1" t="str">
        <f>PROPER(orders[[#This Row],[order_priority]])</f>
        <v>Same Day</v>
      </c>
      <c r="E2013" t="s">
        <v>13324</v>
      </c>
      <c r="F2013" t="str">
        <f>IFERROR(INDEX(customers[country], MATCH(orders[[#This Row],[customer_id]], customers[customer_id], 0)), "Unmapped")</f>
        <v>Germany</v>
      </c>
      <c r="G2013" t="str">
        <f>IFERROR(INDEX(Region_Map[Region], MATCH(orders[[#This Row],[Customer_Country]], Region_Map[Country], 0)), "Unknown")</f>
        <v>Central Europe</v>
      </c>
      <c r="H2013" t="s">
        <v>6949</v>
      </c>
    </row>
    <row r="2014" spans="1:8">
      <c r="A2014" t="s">
        <v>2922</v>
      </c>
      <c r="B2014" t="s">
        <v>697</v>
      </c>
      <c r="C2014" s="1">
        <v>45054</v>
      </c>
      <c r="D2014" s="1" t="str">
        <f>PROPER(orders[[#This Row],[order_priority]])</f>
        <v>Standard</v>
      </c>
      <c r="E2014" t="s">
        <v>13319</v>
      </c>
      <c r="F2014" t="str">
        <f>IFERROR(INDEX(customers[country], MATCH(orders[[#This Row],[customer_id]], customers[customer_id], 0)), "Unmapped")</f>
        <v>Estonia</v>
      </c>
      <c r="G2014" t="str">
        <f>IFERROR(INDEX(Region_Map[Region], MATCH(orders[[#This Row],[Customer_Country]], Region_Map[Country], 0)), "Unknown")</f>
        <v>Baltics</v>
      </c>
      <c r="H2014" t="s">
        <v>6949</v>
      </c>
    </row>
    <row r="2015" spans="1:8">
      <c r="A2015" t="s">
        <v>2923</v>
      </c>
      <c r="B2015" t="s">
        <v>614</v>
      </c>
      <c r="C2015" s="1">
        <v>45380</v>
      </c>
      <c r="D2015" s="1" t="str">
        <f>PROPER(orders[[#This Row],[order_priority]])</f>
        <v>Standard</v>
      </c>
      <c r="E2015" t="s">
        <v>13317</v>
      </c>
      <c r="F2015" t="str">
        <f>IFERROR(INDEX(customers[country], MATCH(orders[[#This Row],[customer_id]], customers[customer_id], 0)), "Unmapped")</f>
        <v>Latvia</v>
      </c>
      <c r="G2015" t="str">
        <f>IFERROR(INDEX(Region_Map[Region], MATCH(orders[[#This Row],[Customer_Country]], Region_Map[Country], 0)), "Unknown")</f>
        <v>Baltics</v>
      </c>
      <c r="H2015" t="s">
        <v>6949</v>
      </c>
    </row>
    <row r="2016" spans="1:8">
      <c r="A2016" t="s">
        <v>2924</v>
      </c>
      <c r="B2016" t="s">
        <v>136</v>
      </c>
      <c r="C2016" s="1">
        <v>45206</v>
      </c>
      <c r="D2016" s="1" t="str">
        <f>PROPER(orders[[#This Row],[order_priority]])</f>
        <v>Standard</v>
      </c>
      <c r="E2016" t="s">
        <v>13317</v>
      </c>
      <c r="F2016" t="str">
        <f>IFERROR(INDEX(customers[country], MATCH(orders[[#This Row],[customer_id]], customers[customer_id], 0)), "Unmapped")</f>
        <v>Sweden</v>
      </c>
      <c r="G2016" t="str">
        <f>IFERROR(INDEX(Region_Map[Region], MATCH(orders[[#This Row],[Customer_Country]], Region_Map[Country], 0)), "Unknown")</f>
        <v>Nordics</v>
      </c>
      <c r="H2016" t="s">
        <v>6949</v>
      </c>
    </row>
    <row r="2017" spans="1:8">
      <c r="A2017" t="s">
        <v>2925</v>
      </c>
      <c r="B2017" t="s">
        <v>187</v>
      </c>
      <c r="C2017" s="1">
        <v>45444</v>
      </c>
      <c r="D2017" s="1" t="str">
        <f>PROPER(orders[[#This Row],[order_priority]])</f>
        <v>Express</v>
      </c>
      <c r="E2017" t="s">
        <v>13318</v>
      </c>
      <c r="F2017" t="str">
        <f>IFERROR(INDEX(customers[country], MATCH(orders[[#This Row],[customer_id]], customers[customer_id], 0)), "Unmapped")</f>
        <v>Latvia</v>
      </c>
      <c r="G2017" t="str">
        <f>IFERROR(INDEX(Region_Map[Region], MATCH(orders[[#This Row],[Customer_Country]], Region_Map[Country], 0)), "Unknown")</f>
        <v>Baltics</v>
      </c>
      <c r="H2017" t="s">
        <v>6949</v>
      </c>
    </row>
    <row r="2018" spans="1:8">
      <c r="A2018" t="s">
        <v>2926</v>
      </c>
      <c r="B2018" t="s">
        <v>61</v>
      </c>
      <c r="C2018" s="1">
        <v>45045</v>
      </c>
      <c r="D2018" s="1" t="str">
        <f>PROPER(orders[[#This Row],[order_priority]])</f>
        <v>Economy</v>
      </c>
      <c r="E2018" t="s">
        <v>13316</v>
      </c>
      <c r="F2018" t="str">
        <f>IFERROR(INDEX(customers[country], MATCH(orders[[#This Row],[customer_id]], customers[customer_id], 0)), "Unmapped")</f>
        <v>Netherlands</v>
      </c>
      <c r="G2018" t="str">
        <f>IFERROR(INDEX(Region_Map[Region], MATCH(orders[[#This Row],[Customer_Country]], Region_Map[Country], 0)), "Unknown")</f>
        <v>Central Europe</v>
      </c>
      <c r="H2018" t="s">
        <v>6949</v>
      </c>
    </row>
    <row r="2019" spans="1:8">
      <c r="A2019" t="s">
        <v>2927</v>
      </c>
      <c r="B2019" t="s">
        <v>347</v>
      </c>
      <c r="C2019" s="1">
        <v>44997</v>
      </c>
      <c r="D2019" s="1" t="str">
        <f>PROPER(orders[[#This Row],[order_priority]])</f>
        <v>Economy</v>
      </c>
      <c r="E2019" t="s">
        <v>13316</v>
      </c>
      <c r="F2019" t="str">
        <f>IFERROR(INDEX(customers[country], MATCH(orders[[#This Row],[customer_id]], customers[customer_id], 0)), "Unmapped")</f>
        <v>Norway</v>
      </c>
      <c r="G2019" t="str">
        <f>IFERROR(INDEX(Region_Map[Region], MATCH(orders[[#This Row],[Customer_Country]], Region_Map[Country], 0)), "Unknown")</f>
        <v>Nordics</v>
      </c>
      <c r="H2019" t="s">
        <v>6949</v>
      </c>
    </row>
    <row r="2020" spans="1:8">
      <c r="A2020" t="s">
        <v>2928</v>
      </c>
      <c r="B2020" t="s">
        <v>843</v>
      </c>
      <c r="C2020" s="1">
        <v>45012</v>
      </c>
      <c r="D2020" s="1" t="str">
        <f>PROPER(orders[[#This Row],[order_priority]])</f>
        <v>Economy</v>
      </c>
      <c r="E2020" t="s">
        <v>13325</v>
      </c>
      <c r="F2020" t="str">
        <f>IFERROR(INDEX(customers[country], MATCH(orders[[#This Row],[customer_id]], customers[customer_id], 0)), "Unmapped")</f>
        <v>Netherlands</v>
      </c>
      <c r="G2020" t="str">
        <f>IFERROR(INDEX(Region_Map[Region], MATCH(orders[[#This Row],[Customer_Country]], Region_Map[Country], 0)), "Unknown")</f>
        <v>Central Europe</v>
      </c>
      <c r="H2020" t="s">
        <v>6949</v>
      </c>
    </row>
    <row r="2021" spans="1:8">
      <c r="A2021" t="s">
        <v>2929</v>
      </c>
      <c r="B2021" t="s">
        <v>127</v>
      </c>
      <c r="C2021" s="1">
        <v>45531</v>
      </c>
      <c r="D2021" s="1" t="str">
        <f>PROPER(orders[[#This Row],[order_priority]])</f>
        <v>Standard</v>
      </c>
      <c r="E2021" t="s">
        <v>13317</v>
      </c>
      <c r="F2021" t="str">
        <f>IFERROR(INDEX(customers[country], MATCH(orders[[#This Row],[customer_id]], customers[customer_id], 0)), "Unmapped")</f>
        <v>Denmark</v>
      </c>
      <c r="G2021" t="str">
        <f>IFERROR(INDEX(Region_Map[Region], MATCH(orders[[#This Row],[Customer_Country]], Region_Map[Country], 0)), "Unknown")</f>
        <v>Nordics</v>
      </c>
      <c r="H2021" t="s">
        <v>6949</v>
      </c>
    </row>
    <row r="2022" spans="1:8">
      <c r="A2022" t="s">
        <v>2930</v>
      </c>
      <c r="B2022" t="s">
        <v>682</v>
      </c>
      <c r="C2022" s="1">
        <v>45405</v>
      </c>
      <c r="D2022" s="1" t="str">
        <f>PROPER(orders[[#This Row],[order_priority]])</f>
        <v>Standard</v>
      </c>
      <c r="E2022" t="s">
        <v>13317</v>
      </c>
      <c r="F2022" t="str">
        <f>IFERROR(INDEX(customers[country], MATCH(orders[[#This Row],[customer_id]], customers[customer_id], 0)), "Unmapped")</f>
        <v>Germany</v>
      </c>
      <c r="G2022" t="str">
        <f>IFERROR(INDEX(Region_Map[Region], MATCH(orders[[#This Row],[Customer_Country]], Region_Map[Country], 0)), "Unknown")</f>
        <v>Central Europe</v>
      </c>
      <c r="H2022" t="s">
        <v>6949</v>
      </c>
    </row>
    <row r="2023" spans="1:8">
      <c r="A2023" t="s">
        <v>2931</v>
      </c>
      <c r="B2023" t="s">
        <v>27</v>
      </c>
      <c r="C2023" s="1">
        <v>44979</v>
      </c>
      <c r="D2023" s="1" t="str">
        <f>PROPER(orders[[#This Row],[order_priority]])</f>
        <v>Same Day</v>
      </c>
      <c r="E2023" t="s">
        <v>13324</v>
      </c>
      <c r="F2023" t="str">
        <f>IFERROR(INDEX(customers[country], MATCH(orders[[#This Row],[customer_id]], customers[customer_id], 0)), "Unmapped")</f>
        <v>Latvia</v>
      </c>
      <c r="G2023" t="str">
        <f>IFERROR(INDEX(Region_Map[Region], MATCH(orders[[#This Row],[Customer_Country]], Region_Map[Country], 0)), "Unknown")</f>
        <v>Baltics</v>
      </c>
      <c r="H2023" t="s">
        <v>6949</v>
      </c>
    </row>
    <row r="2024" spans="1:8">
      <c r="A2024" t="s">
        <v>2932</v>
      </c>
      <c r="B2024" t="s">
        <v>536</v>
      </c>
      <c r="C2024" s="1">
        <v>44956</v>
      </c>
      <c r="D2024" s="1" t="str">
        <f>PROPER(orders[[#This Row],[order_priority]])</f>
        <v>Same Day</v>
      </c>
      <c r="E2024" t="s">
        <v>13322</v>
      </c>
      <c r="F2024" t="str">
        <f>IFERROR(INDEX(customers[country], MATCH(orders[[#This Row],[customer_id]], customers[customer_id], 0)), "Unmapped")</f>
        <v>Germany</v>
      </c>
      <c r="G2024" t="str">
        <f>IFERROR(INDEX(Region_Map[Region], MATCH(orders[[#This Row],[Customer_Country]], Region_Map[Country], 0)), "Unknown")</f>
        <v>Central Europe</v>
      </c>
      <c r="H2024" t="s">
        <v>6949</v>
      </c>
    </row>
    <row r="2025" spans="1:8">
      <c r="A2025" t="s">
        <v>2933</v>
      </c>
      <c r="B2025" t="s">
        <v>356</v>
      </c>
      <c r="C2025" s="1">
        <v>45236</v>
      </c>
      <c r="D2025" s="1" t="str">
        <f>PROPER(orders[[#This Row],[order_priority]])</f>
        <v>Express</v>
      </c>
      <c r="E2025" t="s">
        <v>13318</v>
      </c>
      <c r="F2025" t="str">
        <f>IFERROR(INDEX(customers[country], MATCH(orders[[#This Row],[customer_id]], customers[customer_id], 0)), "Unmapped")</f>
        <v>Netherlands</v>
      </c>
      <c r="G2025" t="str">
        <f>IFERROR(INDEX(Region_Map[Region], MATCH(orders[[#This Row],[Customer_Country]], Region_Map[Country], 0)), "Unknown")</f>
        <v>Central Europe</v>
      </c>
      <c r="H2025" t="s">
        <v>6949</v>
      </c>
    </row>
    <row r="2026" spans="1:8">
      <c r="A2026" t="s">
        <v>2934</v>
      </c>
      <c r="B2026" t="s">
        <v>157</v>
      </c>
      <c r="C2026" s="1">
        <v>45610</v>
      </c>
      <c r="D2026" s="1" t="str">
        <f>PROPER(orders[[#This Row],[order_priority]])</f>
        <v>Same Day</v>
      </c>
      <c r="E2026" t="s">
        <v>13322</v>
      </c>
      <c r="F2026" t="str">
        <f>IFERROR(INDEX(customers[country], MATCH(orders[[#This Row],[customer_id]], customers[customer_id], 0)), "Unmapped")</f>
        <v>Lithuania</v>
      </c>
      <c r="G2026" t="str">
        <f>IFERROR(INDEX(Region_Map[Region], MATCH(orders[[#This Row],[Customer_Country]], Region_Map[Country], 0)), "Unknown")</f>
        <v>Baltics</v>
      </c>
      <c r="H2026" t="s">
        <v>6949</v>
      </c>
    </row>
    <row r="2027" spans="1:8">
      <c r="A2027" t="s">
        <v>2935</v>
      </c>
      <c r="B2027" t="s">
        <v>276</v>
      </c>
      <c r="C2027" s="1">
        <v>45584</v>
      </c>
      <c r="D2027" s="1" t="str">
        <f>PROPER(orders[[#This Row],[order_priority]])</f>
        <v>Express</v>
      </c>
      <c r="E2027" t="s">
        <v>13318</v>
      </c>
      <c r="F2027" t="str">
        <f>IFERROR(INDEX(customers[country], MATCH(orders[[#This Row],[customer_id]], customers[customer_id], 0)), "Unmapped")</f>
        <v>Sweden</v>
      </c>
      <c r="G2027" t="str">
        <f>IFERROR(INDEX(Region_Map[Region], MATCH(orders[[#This Row],[Customer_Country]], Region_Map[Country], 0)), "Unknown")</f>
        <v>Nordics</v>
      </c>
      <c r="H2027" t="s">
        <v>6949</v>
      </c>
    </row>
    <row r="2028" spans="1:8">
      <c r="A2028" t="s">
        <v>2936</v>
      </c>
      <c r="B2028" t="s">
        <v>55</v>
      </c>
      <c r="C2028" s="1">
        <v>45073</v>
      </c>
      <c r="D2028" s="1" t="str">
        <f>PROPER(orders[[#This Row],[order_priority]])</f>
        <v>Express</v>
      </c>
      <c r="E2028" t="s">
        <v>13320</v>
      </c>
      <c r="F2028" t="str">
        <f>IFERROR(INDEX(customers[country], MATCH(orders[[#This Row],[customer_id]], customers[customer_id], 0)), "Unmapped")</f>
        <v>Netherlands</v>
      </c>
      <c r="G2028" t="str">
        <f>IFERROR(INDEX(Region_Map[Region], MATCH(orders[[#This Row],[Customer_Country]], Region_Map[Country], 0)), "Unknown")</f>
        <v>Central Europe</v>
      </c>
      <c r="H2028" t="s">
        <v>6949</v>
      </c>
    </row>
    <row r="2029" spans="1:8">
      <c r="A2029" t="s">
        <v>2937</v>
      </c>
      <c r="B2029" t="s">
        <v>781</v>
      </c>
      <c r="C2029" s="1">
        <v>45154</v>
      </c>
      <c r="D2029" s="1" t="str">
        <f>PROPER(orders[[#This Row],[order_priority]])</f>
        <v>Express</v>
      </c>
      <c r="E2029" t="s">
        <v>13318</v>
      </c>
      <c r="F2029" t="str">
        <f>IFERROR(INDEX(customers[country], MATCH(orders[[#This Row],[customer_id]], customers[customer_id], 0)), "Unmapped")</f>
        <v>Germany</v>
      </c>
      <c r="G2029" t="str">
        <f>IFERROR(INDEX(Region_Map[Region], MATCH(orders[[#This Row],[Customer_Country]], Region_Map[Country], 0)), "Unknown")</f>
        <v>Central Europe</v>
      </c>
      <c r="H2029" t="s">
        <v>6949</v>
      </c>
    </row>
    <row r="2030" spans="1:8">
      <c r="A2030" t="s">
        <v>2938</v>
      </c>
      <c r="B2030" t="s">
        <v>497</v>
      </c>
      <c r="C2030" s="1">
        <v>45440</v>
      </c>
      <c r="D2030" s="1" t="str">
        <f>PROPER(orders[[#This Row],[order_priority]])</f>
        <v>Standard</v>
      </c>
      <c r="E2030" t="s">
        <v>13317</v>
      </c>
      <c r="F2030" t="str">
        <f>IFERROR(INDEX(customers[country], MATCH(orders[[#This Row],[customer_id]], customers[customer_id], 0)), "Unmapped")</f>
        <v>Germany</v>
      </c>
      <c r="G2030" t="str">
        <f>IFERROR(INDEX(Region_Map[Region], MATCH(orders[[#This Row],[Customer_Country]], Region_Map[Country], 0)), "Unknown")</f>
        <v>Central Europe</v>
      </c>
      <c r="H2030" t="s">
        <v>6949</v>
      </c>
    </row>
    <row r="2031" spans="1:8">
      <c r="A2031" t="s">
        <v>2939</v>
      </c>
      <c r="B2031" t="s">
        <v>285</v>
      </c>
      <c r="C2031" s="1">
        <v>45091</v>
      </c>
      <c r="D2031" s="1" t="str">
        <f>PROPER(orders[[#This Row],[order_priority]])</f>
        <v>Express</v>
      </c>
      <c r="E2031" t="s">
        <v>13318</v>
      </c>
      <c r="F2031" t="str">
        <f>IFERROR(INDEX(customers[country], MATCH(orders[[#This Row],[customer_id]], customers[customer_id], 0)), "Unmapped")</f>
        <v>Norway</v>
      </c>
      <c r="G2031" t="str">
        <f>IFERROR(INDEX(Region_Map[Region], MATCH(orders[[#This Row],[Customer_Country]], Region_Map[Country], 0)), "Unknown")</f>
        <v>Nordics</v>
      </c>
      <c r="H2031" t="s">
        <v>6949</v>
      </c>
    </row>
    <row r="2032" spans="1:8">
      <c r="A2032" t="s">
        <v>2940</v>
      </c>
      <c r="B2032" t="s">
        <v>90</v>
      </c>
      <c r="C2032" s="1">
        <v>45093</v>
      </c>
      <c r="D2032" s="1" t="str">
        <f>PROPER(orders[[#This Row],[order_priority]])</f>
        <v>Standard</v>
      </c>
      <c r="E2032" t="s">
        <v>13317</v>
      </c>
      <c r="F2032" t="str">
        <f>IFERROR(INDEX(customers[country], MATCH(orders[[#This Row],[customer_id]], customers[customer_id], 0)), "Unmapped")</f>
        <v>Netherlands</v>
      </c>
      <c r="G2032" t="str">
        <f>IFERROR(INDEX(Region_Map[Region], MATCH(orders[[#This Row],[Customer_Country]], Region_Map[Country], 0)), "Unknown")</f>
        <v>Central Europe</v>
      </c>
      <c r="H2032" t="s">
        <v>6949</v>
      </c>
    </row>
    <row r="2033" spans="1:8">
      <c r="A2033" t="s">
        <v>2941</v>
      </c>
      <c r="B2033" t="s">
        <v>870</v>
      </c>
      <c r="C2033" s="1">
        <v>45211</v>
      </c>
      <c r="D2033" s="1" t="str">
        <f>PROPER(orders[[#This Row],[order_priority]])</f>
        <v>Same Day</v>
      </c>
      <c r="E2033" t="s">
        <v>13322</v>
      </c>
      <c r="F2033" t="str">
        <f>IFERROR(INDEX(customers[country], MATCH(orders[[#This Row],[customer_id]], customers[customer_id], 0)), "Unmapped")</f>
        <v>Estonia</v>
      </c>
      <c r="G2033" t="str">
        <f>IFERROR(INDEX(Region_Map[Region], MATCH(orders[[#This Row],[Customer_Country]], Region_Map[Country], 0)), "Unknown")</f>
        <v>Baltics</v>
      </c>
      <c r="H2033" t="s">
        <v>6949</v>
      </c>
    </row>
    <row r="2034" spans="1:8">
      <c r="A2034" t="s">
        <v>2942</v>
      </c>
      <c r="B2034" t="s">
        <v>127</v>
      </c>
      <c r="C2034" s="1">
        <v>45383</v>
      </c>
      <c r="D2034" s="1" t="str">
        <f>PROPER(orders[[#This Row],[order_priority]])</f>
        <v>Same Day</v>
      </c>
      <c r="E2034" t="s">
        <v>13322</v>
      </c>
      <c r="F2034" t="str">
        <f>IFERROR(INDEX(customers[country], MATCH(orders[[#This Row],[customer_id]], customers[customer_id], 0)), "Unmapped")</f>
        <v>Denmark</v>
      </c>
      <c r="G2034" t="str">
        <f>IFERROR(INDEX(Region_Map[Region], MATCH(orders[[#This Row],[Customer_Country]], Region_Map[Country], 0)), "Unknown")</f>
        <v>Nordics</v>
      </c>
      <c r="H2034" t="s">
        <v>6949</v>
      </c>
    </row>
    <row r="2035" spans="1:8">
      <c r="A2035" t="s">
        <v>2943</v>
      </c>
      <c r="B2035" t="s">
        <v>545</v>
      </c>
      <c r="C2035" s="1">
        <v>45073</v>
      </c>
      <c r="D2035" s="1" t="str">
        <f>PROPER(orders[[#This Row],[order_priority]])</f>
        <v>Express</v>
      </c>
      <c r="E2035" t="s">
        <v>13318</v>
      </c>
      <c r="F2035" t="str">
        <f>IFERROR(INDEX(customers[country], MATCH(orders[[#This Row],[customer_id]], customers[customer_id], 0)), "Unmapped")</f>
        <v>Netherlands</v>
      </c>
      <c r="G2035" t="str">
        <f>IFERROR(INDEX(Region_Map[Region], MATCH(orders[[#This Row],[Customer_Country]], Region_Map[Country], 0)), "Unknown")</f>
        <v>Central Europe</v>
      </c>
      <c r="H2035" t="s">
        <v>6949</v>
      </c>
    </row>
    <row r="2036" spans="1:8">
      <c r="A2036" t="s">
        <v>2944</v>
      </c>
      <c r="B2036" t="s">
        <v>623</v>
      </c>
      <c r="C2036" s="1">
        <v>45402</v>
      </c>
      <c r="D2036" s="1" t="str">
        <f>PROPER(orders[[#This Row],[order_priority]])</f>
        <v>Standard</v>
      </c>
      <c r="E2036" t="s">
        <v>13317</v>
      </c>
      <c r="F2036" t="str">
        <f>IFERROR(INDEX(customers[country], MATCH(orders[[#This Row],[customer_id]], customers[customer_id], 0)), "Unmapped")</f>
        <v>Denmark</v>
      </c>
      <c r="G2036" t="str">
        <f>IFERROR(INDEX(Region_Map[Region], MATCH(orders[[#This Row],[Customer_Country]], Region_Map[Country], 0)), "Unknown")</f>
        <v>Nordics</v>
      </c>
      <c r="H2036" t="s">
        <v>6949</v>
      </c>
    </row>
    <row r="2037" spans="1:8">
      <c r="A2037" t="s">
        <v>2945</v>
      </c>
      <c r="B2037" t="s">
        <v>688</v>
      </c>
      <c r="C2037" s="1">
        <v>45423</v>
      </c>
      <c r="D2037" s="1" t="str">
        <f>PROPER(orders[[#This Row],[order_priority]])</f>
        <v>Same Day</v>
      </c>
      <c r="E2037" t="s">
        <v>13324</v>
      </c>
      <c r="F2037" t="str">
        <f>IFERROR(INDEX(customers[country], MATCH(orders[[#This Row],[customer_id]], customers[customer_id], 0)), "Unmapped")</f>
        <v>Norway</v>
      </c>
      <c r="G2037" t="str">
        <f>IFERROR(INDEX(Region_Map[Region], MATCH(orders[[#This Row],[Customer_Country]], Region_Map[Country], 0)), "Unknown")</f>
        <v>Nordics</v>
      </c>
      <c r="H2037" t="s">
        <v>6949</v>
      </c>
    </row>
    <row r="2038" spans="1:8">
      <c r="A2038" t="s">
        <v>2946</v>
      </c>
      <c r="B2038" t="s">
        <v>392</v>
      </c>
      <c r="C2038" s="1">
        <v>45072</v>
      </c>
      <c r="D2038" s="1" t="str">
        <f>PROPER(orders[[#This Row],[order_priority]])</f>
        <v>Same Day</v>
      </c>
      <c r="E2038" t="s">
        <v>13322</v>
      </c>
      <c r="F2038" t="str">
        <f>IFERROR(INDEX(customers[country], MATCH(orders[[#This Row],[customer_id]], customers[customer_id], 0)), "Unmapped")</f>
        <v>Latvia</v>
      </c>
      <c r="G2038" t="str">
        <f>IFERROR(INDEX(Region_Map[Region], MATCH(orders[[#This Row],[Customer_Country]], Region_Map[Country], 0)), "Unknown")</f>
        <v>Baltics</v>
      </c>
      <c r="H2038" t="s">
        <v>6949</v>
      </c>
    </row>
    <row r="2039" spans="1:8">
      <c r="A2039" t="s">
        <v>2947</v>
      </c>
      <c r="B2039" t="s">
        <v>347</v>
      </c>
      <c r="C2039" s="1">
        <v>45126</v>
      </c>
      <c r="D2039" s="1" t="str">
        <f>PROPER(orders[[#This Row],[order_priority]])</f>
        <v>Same Day</v>
      </c>
      <c r="E2039" t="s">
        <v>13322</v>
      </c>
      <c r="F2039" t="str">
        <f>IFERROR(INDEX(customers[country], MATCH(orders[[#This Row],[customer_id]], customers[customer_id], 0)), "Unmapped")</f>
        <v>Norway</v>
      </c>
      <c r="G2039" t="str">
        <f>IFERROR(INDEX(Region_Map[Region], MATCH(orders[[#This Row],[Customer_Country]], Region_Map[Country], 0)), "Unknown")</f>
        <v>Nordics</v>
      </c>
      <c r="H2039" t="s">
        <v>6949</v>
      </c>
    </row>
    <row r="2040" spans="1:8">
      <c r="A2040" t="s">
        <v>2948</v>
      </c>
      <c r="B2040" t="s">
        <v>518</v>
      </c>
      <c r="C2040" s="1">
        <v>45568</v>
      </c>
      <c r="D2040" s="1" t="str">
        <f>PROPER(orders[[#This Row],[order_priority]])</f>
        <v>Same Day</v>
      </c>
      <c r="E2040" t="s">
        <v>13322</v>
      </c>
      <c r="F2040" t="str">
        <f>IFERROR(INDEX(customers[country], MATCH(orders[[#This Row],[customer_id]], customers[customer_id], 0)), "Unmapped")</f>
        <v>Germany</v>
      </c>
      <c r="G2040" t="str">
        <f>IFERROR(INDEX(Region_Map[Region], MATCH(orders[[#This Row],[Customer_Country]], Region_Map[Country], 0)), "Unknown")</f>
        <v>Central Europe</v>
      </c>
      <c r="H2040" t="s">
        <v>6949</v>
      </c>
    </row>
    <row r="2041" spans="1:8">
      <c r="A2041" t="s">
        <v>2949</v>
      </c>
      <c r="B2041" t="s">
        <v>204</v>
      </c>
      <c r="C2041" s="1">
        <v>45530</v>
      </c>
      <c r="D2041" s="1" t="str">
        <f>PROPER(orders[[#This Row],[order_priority]])</f>
        <v>Same Day</v>
      </c>
      <c r="E2041" t="s">
        <v>13322</v>
      </c>
      <c r="F2041" t="str">
        <f>IFERROR(INDEX(customers[country], MATCH(orders[[#This Row],[customer_id]], customers[customer_id], 0)), "Unmapped")</f>
        <v>Sweden</v>
      </c>
      <c r="G2041" t="str">
        <f>IFERROR(INDEX(Region_Map[Region], MATCH(orders[[#This Row],[Customer_Country]], Region_Map[Country], 0)), "Unknown")</f>
        <v>Nordics</v>
      </c>
      <c r="H2041" t="s">
        <v>6949</v>
      </c>
    </row>
    <row r="2042" spans="1:8">
      <c r="A2042" t="s">
        <v>2950</v>
      </c>
      <c r="B2042" t="s">
        <v>425</v>
      </c>
      <c r="C2042" s="1">
        <v>45585</v>
      </c>
      <c r="D2042" s="1" t="str">
        <f>PROPER(orders[[#This Row],[order_priority]])</f>
        <v>Express</v>
      </c>
      <c r="E2042" t="s">
        <v>13318</v>
      </c>
      <c r="F2042" t="str">
        <f>IFERROR(INDEX(customers[country], MATCH(orders[[#This Row],[customer_id]], customers[customer_id], 0)), "Unmapped")</f>
        <v>Denmark</v>
      </c>
      <c r="G2042" t="str">
        <f>IFERROR(INDEX(Region_Map[Region], MATCH(orders[[#This Row],[Customer_Country]], Region_Map[Country], 0)), "Unknown")</f>
        <v>Nordics</v>
      </c>
      <c r="H2042" t="s">
        <v>6949</v>
      </c>
    </row>
    <row r="2043" spans="1:8">
      <c r="A2043" t="s">
        <v>2951</v>
      </c>
      <c r="B2043" t="s">
        <v>590</v>
      </c>
      <c r="C2043" s="1">
        <v>45090</v>
      </c>
      <c r="D2043" s="1" t="str">
        <f>PROPER(orders[[#This Row],[order_priority]])</f>
        <v>Standard</v>
      </c>
      <c r="E2043" t="s">
        <v>13317</v>
      </c>
      <c r="F2043" t="str">
        <f>IFERROR(INDEX(customers[country], MATCH(orders[[#This Row],[customer_id]], customers[customer_id], 0)), "Unmapped")</f>
        <v>Finland</v>
      </c>
      <c r="G2043" t="str">
        <f>IFERROR(INDEX(Region_Map[Region], MATCH(orders[[#This Row],[Customer_Country]], Region_Map[Country], 0)), "Unknown")</f>
        <v>Nordics</v>
      </c>
      <c r="H2043" t="s">
        <v>6949</v>
      </c>
    </row>
    <row r="2044" spans="1:8">
      <c r="A2044" t="s">
        <v>2952</v>
      </c>
      <c r="B2044" t="s">
        <v>852</v>
      </c>
      <c r="C2044" s="1">
        <v>45030</v>
      </c>
      <c r="D2044" s="1" t="str">
        <f>PROPER(orders[[#This Row],[order_priority]])</f>
        <v>Same Day</v>
      </c>
      <c r="E2044" t="s">
        <v>13324</v>
      </c>
      <c r="F2044" t="str">
        <f>IFERROR(INDEX(customers[country], MATCH(orders[[#This Row],[customer_id]], customers[customer_id], 0)), "Unmapped")</f>
        <v>Sweden</v>
      </c>
      <c r="G2044" t="str">
        <f>IFERROR(INDEX(Region_Map[Region], MATCH(orders[[#This Row],[Customer_Country]], Region_Map[Country], 0)), "Unknown")</f>
        <v>Nordics</v>
      </c>
      <c r="H2044" t="s">
        <v>6949</v>
      </c>
    </row>
    <row r="2045" spans="1:8">
      <c r="A2045" t="s">
        <v>2953</v>
      </c>
      <c r="B2045" t="s">
        <v>422</v>
      </c>
      <c r="C2045" s="1">
        <v>45538</v>
      </c>
      <c r="D2045" s="1" t="str">
        <f>PROPER(orders[[#This Row],[order_priority]])</f>
        <v>Express</v>
      </c>
      <c r="E2045" t="s">
        <v>13318</v>
      </c>
      <c r="F2045" t="str">
        <f>IFERROR(INDEX(customers[country], MATCH(orders[[#This Row],[customer_id]], customers[customer_id], 0)), "Unmapped")</f>
        <v>Germany</v>
      </c>
      <c r="G2045" t="str">
        <f>IFERROR(INDEX(Region_Map[Region], MATCH(orders[[#This Row],[Customer_Country]], Region_Map[Country], 0)), "Unknown")</f>
        <v>Central Europe</v>
      </c>
      <c r="H2045" t="s">
        <v>6949</v>
      </c>
    </row>
    <row r="2046" spans="1:8">
      <c r="A2046" t="s">
        <v>2954</v>
      </c>
      <c r="B2046" t="s">
        <v>422</v>
      </c>
      <c r="C2046" s="1">
        <v>45567</v>
      </c>
      <c r="D2046" s="1" t="str">
        <f>PROPER(orders[[#This Row],[order_priority]])</f>
        <v>Standard</v>
      </c>
      <c r="E2046" t="s">
        <v>13317</v>
      </c>
      <c r="F2046" t="str">
        <f>IFERROR(INDEX(customers[country], MATCH(orders[[#This Row],[customer_id]], customers[customer_id], 0)), "Unmapped")</f>
        <v>Germany</v>
      </c>
      <c r="G2046" t="str">
        <f>IFERROR(INDEX(Region_Map[Region], MATCH(orders[[#This Row],[Customer_Country]], Region_Map[Country], 0)), "Unknown")</f>
        <v>Central Europe</v>
      </c>
      <c r="H2046" t="s">
        <v>6949</v>
      </c>
    </row>
    <row r="2047" spans="1:8">
      <c r="A2047" t="s">
        <v>2955</v>
      </c>
      <c r="B2047" t="s">
        <v>557</v>
      </c>
      <c r="C2047" s="1">
        <v>45101</v>
      </c>
      <c r="D2047" s="1" t="str">
        <f>PROPER(orders[[#This Row],[order_priority]])</f>
        <v>Same Day</v>
      </c>
      <c r="E2047" t="s">
        <v>13322</v>
      </c>
      <c r="F2047" t="str">
        <f>IFERROR(INDEX(customers[country], MATCH(orders[[#This Row],[customer_id]], customers[customer_id], 0)), "Unmapped")</f>
        <v>Norway</v>
      </c>
      <c r="G2047" t="str">
        <f>IFERROR(INDEX(Region_Map[Region], MATCH(orders[[#This Row],[Customer_Country]], Region_Map[Country], 0)), "Unknown")</f>
        <v>Nordics</v>
      </c>
      <c r="H2047" t="s">
        <v>6949</v>
      </c>
    </row>
    <row r="2048" spans="1:8">
      <c r="A2048" t="s">
        <v>2956</v>
      </c>
      <c r="B2048" t="s">
        <v>661</v>
      </c>
      <c r="C2048" s="1">
        <v>45293</v>
      </c>
      <c r="D2048" s="1" t="str">
        <f>PROPER(orders[[#This Row],[order_priority]])</f>
        <v>Same Day</v>
      </c>
      <c r="E2048" t="s">
        <v>13322</v>
      </c>
      <c r="F2048" t="str">
        <f>IFERROR(INDEX(customers[country], MATCH(orders[[#This Row],[customer_id]], customers[customer_id], 0)), "Unmapped")</f>
        <v>Lithuania</v>
      </c>
      <c r="G2048" t="str">
        <f>IFERROR(INDEX(Region_Map[Region], MATCH(orders[[#This Row],[Customer_Country]], Region_Map[Country], 0)), "Unknown")</f>
        <v>Baltics</v>
      </c>
      <c r="H2048" t="s">
        <v>6949</v>
      </c>
    </row>
    <row r="2049" spans="1:8">
      <c r="A2049" t="s">
        <v>2957</v>
      </c>
      <c r="B2049" t="s">
        <v>524</v>
      </c>
      <c r="C2049" s="1">
        <v>45177</v>
      </c>
      <c r="D2049" s="1" t="str">
        <f>PROPER(orders[[#This Row],[order_priority]])</f>
        <v>Standard</v>
      </c>
      <c r="E2049" t="s">
        <v>13317</v>
      </c>
      <c r="F2049" t="str">
        <f>IFERROR(INDEX(customers[country], MATCH(orders[[#This Row],[customer_id]], customers[customer_id], 0)), "Unmapped")</f>
        <v>Norway</v>
      </c>
      <c r="G2049" t="str">
        <f>IFERROR(INDEX(Region_Map[Region], MATCH(orders[[#This Row],[Customer_Country]], Region_Map[Country], 0)), "Unknown")</f>
        <v>Nordics</v>
      </c>
      <c r="H2049" t="s">
        <v>6949</v>
      </c>
    </row>
    <row r="2050" spans="1:8">
      <c r="A2050" t="s">
        <v>2958</v>
      </c>
      <c r="B2050" t="s">
        <v>314</v>
      </c>
      <c r="C2050" s="1">
        <v>45530</v>
      </c>
      <c r="D2050" s="1" t="str">
        <f>PROPER(orders[[#This Row],[order_priority]])</f>
        <v>Same Day</v>
      </c>
      <c r="E2050" t="s">
        <v>13322</v>
      </c>
      <c r="F2050" t="str">
        <f>IFERROR(INDEX(customers[country], MATCH(orders[[#This Row],[customer_id]], customers[customer_id], 0)), "Unmapped")</f>
        <v>Poland</v>
      </c>
      <c r="G2050" t="str">
        <f>IFERROR(INDEX(Region_Map[Region], MATCH(orders[[#This Row],[Customer_Country]], Region_Map[Country], 0)), "Unknown")</f>
        <v>Central Europe</v>
      </c>
      <c r="H2050" t="s">
        <v>6949</v>
      </c>
    </row>
    <row r="2051" spans="1:8">
      <c r="A2051" t="s">
        <v>2959</v>
      </c>
      <c r="B2051" t="s">
        <v>512</v>
      </c>
      <c r="C2051" s="1">
        <v>45607</v>
      </c>
      <c r="D2051" s="1" t="str">
        <f>PROPER(orders[[#This Row],[order_priority]])</f>
        <v>Express</v>
      </c>
      <c r="E2051" t="s">
        <v>13318</v>
      </c>
      <c r="F2051" t="str">
        <f>IFERROR(INDEX(customers[country], MATCH(orders[[#This Row],[customer_id]], customers[customer_id], 0)), "Unmapped")</f>
        <v>Poland</v>
      </c>
      <c r="G2051" t="str">
        <f>IFERROR(INDEX(Region_Map[Region], MATCH(orders[[#This Row],[Customer_Country]], Region_Map[Country], 0)), "Unknown")</f>
        <v>Central Europe</v>
      </c>
      <c r="H2051" t="s">
        <v>6949</v>
      </c>
    </row>
    <row r="2052" spans="1:8">
      <c r="A2052" t="s">
        <v>2960</v>
      </c>
      <c r="B2052" t="s">
        <v>443</v>
      </c>
      <c r="C2052" s="1">
        <v>45205</v>
      </c>
      <c r="D2052" s="1" t="str">
        <f>PROPER(orders[[#This Row],[order_priority]])</f>
        <v>Express</v>
      </c>
      <c r="E2052" t="s">
        <v>13318</v>
      </c>
      <c r="F2052" t="str">
        <f>IFERROR(INDEX(customers[country], MATCH(orders[[#This Row],[customer_id]], customers[customer_id], 0)), "Unmapped")</f>
        <v>Estonia</v>
      </c>
      <c r="G2052" t="str">
        <f>IFERROR(INDEX(Region_Map[Region], MATCH(orders[[#This Row],[Customer_Country]], Region_Map[Country], 0)), "Unknown")</f>
        <v>Baltics</v>
      </c>
      <c r="H2052" t="s">
        <v>6949</v>
      </c>
    </row>
    <row r="2053" spans="1:8">
      <c r="A2053" t="s">
        <v>2961</v>
      </c>
      <c r="B2053" t="s">
        <v>6949</v>
      </c>
      <c r="C2053" s="1">
        <v>45580</v>
      </c>
      <c r="D2053" s="1" t="str">
        <f>PROPER(orders[[#This Row],[order_priority]])</f>
        <v>Standard</v>
      </c>
      <c r="E2053" t="s">
        <v>13317</v>
      </c>
      <c r="F2053" t="str">
        <f>IFERROR(INDEX(customers[country], MATCH(orders[[#This Row],[customer_id]], customers[customer_id], 0)), "Unmapped")</f>
        <v>Unmapped</v>
      </c>
      <c r="G2053" t="str">
        <f>IFERROR(INDEX(Region_Map[Region], MATCH(orders[[#This Row],[Customer_Country]], Region_Map[Country], 0)), "Unknown")</f>
        <v>Unknown</v>
      </c>
      <c r="H2053" t="s">
        <v>6949</v>
      </c>
    </row>
    <row r="2054" spans="1:8">
      <c r="A2054" t="s">
        <v>2962</v>
      </c>
      <c r="B2054" t="s">
        <v>461</v>
      </c>
      <c r="C2054" s="1">
        <v>45296</v>
      </c>
      <c r="D2054" s="1" t="str">
        <f>PROPER(orders[[#This Row],[order_priority]])</f>
        <v>Same Day</v>
      </c>
      <c r="E2054" t="s">
        <v>13322</v>
      </c>
      <c r="F2054" t="str">
        <f>IFERROR(INDEX(customers[country], MATCH(orders[[#This Row],[customer_id]], customers[customer_id], 0)), "Unmapped")</f>
        <v>Latvia</v>
      </c>
      <c r="G2054" t="str">
        <f>IFERROR(INDEX(Region_Map[Region], MATCH(orders[[#This Row],[Customer_Country]], Region_Map[Country], 0)), "Unknown")</f>
        <v>Baltics</v>
      </c>
      <c r="H2054" t="s">
        <v>6949</v>
      </c>
    </row>
    <row r="2055" spans="1:8">
      <c r="A2055" t="s">
        <v>2963</v>
      </c>
      <c r="B2055" t="s">
        <v>461</v>
      </c>
      <c r="C2055" s="1">
        <v>45536</v>
      </c>
      <c r="D2055" s="1" t="str">
        <f>PROPER(orders[[#This Row],[order_priority]])</f>
        <v>Economy</v>
      </c>
      <c r="E2055" t="s">
        <v>13316</v>
      </c>
      <c r="F2055" t="str">
        <f>IFERROR(INDEX(customers[country], MATCH(orders[[#This Row],[customer_id]], customers[customer_id], 0)), "Unmapped")</f>
        <v>Latvia</v>
      </c>
      <c r="G2055" t="str">
        <f>IFERROR(INDEX(Region_Map[Region], MATCH(orders[[#This Row],[Customer_Country]], Region_Map[Country], 0)), "Unknown")</f>
        <v>Baltics</v>
      </c>
      <c r="H2055" t="s">
        <v>6949</v>
      </c>
    </row>
    <row r="2056" spans="1:8">
      <c r="A2056" t="s">
        <v>2964</v>
      </c>
      <c r="B2056" t="s">
        <v>84</v>
      </c>
      <c r="C2056" s="1">
        <v>45299</v>
      </c>
      <c r="D2056" s="1" t="str">
        <f>PROPER(orders[[#This Row],[order_priority]])</f>
        <v>Express</v>
      </c>
      <c r="E2056" t="s">
        <v>13320</v>
      </c>
      <c r="F2056" t="str">
        <f>IFERROR(INDEX(customers[country], MATCH(orders[[#This Row],[customer_id]], customers[customer_id], 0)), "Unmapped")</f>
        <v>Lithuania</v>
      </c>
      <c r="G2056" t="str">
        <f>IFERROR(INDEX(Region_Map[Region], MATCH(orders[[#This Row],[Customer_Country]], Region_Map[Country], 0)), "Unknown")</f>
        <v>Baltics</v>
      </c>
      <c r="H2056" t="s">
        <v>6949</v>
      </c>
    </row>
    <row r="2057" spans="1:8">
      <c r="A2057" t="s">
        <v>2965</v>
      </c>
      <c r="B2057" t="s">
        <v>894</v>
      </c>
      <c r="C2057" s="1">
        <v>44968</v>
      </c>
      <c r="D2057" s="1" t="str">
        <f>PROPER(orders[[#This Row],[order_priority]])</f>
        <v>Express</v>
      </c>
      <c r="E2057" t="s">
        <v>13318</v>
      </c>
      <c r="F2057" t="str">
        <f>IFERROR(INDEX(customers[country], MATCH(orders[[#This Row],[customer_id]], customers[customer_id], 0)), "Unmapped")</f>
        <v>Poland</v>
      </c>
      <c r="G2057" t="str">
        <f>IFERROR(INDEX(Region_Map[Region], MATCH(orders[[#This Row],[Customer_Country]], Region_Map[Country], 0)), "Unknown")</f>
        <v>Central Europe</v>
      </c>
      <c r="H2057" t="s">
        <v>6949</v>
      </c>
    </row>
    <row r="2058" spans="1:8">
      <c r="A2058" t="s">
        <v>2966</v>
      </c>
      <c r="B2058" t="s">
        <v>837</v>
      </c>
      <c r="C2058" s="1">
        <v>45562</v>
      </c>
      <c r="D2058" s="1" t="str">
        <f>PROPER(orders[[#This Row],[order_priority]])</f>
        <v>Same Day</v>
      </c>
      <c r="E2058" t="s">
        <v>13322</v>
      </c>
      <c r="F2058" t="str">
        <f>IFERROR(INDEX(customers[country], MATCH(orders[[#This Row],[customer_id]], customers[customer_id], 0)), "Unmapped")</f>
        <v>Poland</v>
      </c>
      <c r="G2058" t="str">
        <f>IFERROR(INDEX(Region_Map[Region], MATCH(orders[[#This Row],[Customer_Country]], Region_Map[Country], 0)), "Unknown")</f>
        <v>Central Europe</v>
      </c>
      <c r="H2058" t="s">
        <v>6949</v>
      </c>
    </row>
    <row r="2059" spans="1:8">
      <c r="A2059" t="s">
        <v>2967</v>
      </c>
      <c r="B2059" t="s">
        <v>404</v>
      </c>
      <c r="C2059" s="1">
        <v>45354</v>
      </c>
      <c r="D2059" s="1" t="str">
        <f>PROPER(orders[[#This Row],[order_priority]])</f>
        <v>Express</v>
      </c>
      <c r="E2059" t="s">
        <v>13318</v>
      </c>
      <c r="F2059" t="str">
        <f>IFERROR(INDEX(customers[country], MATCH(orders[[#This Row],[customer_id]], customers[customer_id], 0)), "Unmapped")</f>
        <v>Latvia</v>
      </c>
      <c r="G2059" t="str">
        <f>IFERROR(INDEX(Region_Map[Region], MATCH(orders[[#This Row],[Customer_Country]], Region_Map[Country], 0)), "Unknown")</f>
        <v>Baltics</v>
      </c>
      <c r="H2059" t="s">
        <v>6949</v>
      </c>
    </row>
    <row r="2060" spans="1:8">
      <c r="A2060" t="s">
        <v>2968</v>
      </c>
      <c r="B2060" t="s">
        <v>356</v>
      </c>
      <c r="C2060" s="1">
        <v>45435</v>
      </c>
      <c r="D2060" s="1" t="str">
        <f>PROPER(orders[[#This Row],[order_priority]])</f>
        <v>Same Day</v>
      </c>
      <c r="E2060" t="s">
        <v>13322</v>
      </c>
      <c r="F2060" t="str">
        <f>IFERROR(INDEX(customers[country], MATCH(orders[[#This Row],[customer_id]], customers[customer_id], 0)), "Unmapped")</f>
        <v>Netherlands</v>
      </c>
      <c r="G2060" t="str">
        <f>IFERROR(INDEX(Region_Map[Region], MATCH(orders[[#This Row],[Customer_Country]], Region_Map[Country], 0)), "Unknown")</f>
        <v>Central Europe</v>
      </c>
      <c r="H2060" t="s">
        <v>6949</v>
      </c>
    </row>
    <row r="2061" spans="1:8">
      <c r="A2061" t="s">
        <v>2969</v>
      </c>
      <c r="B2061" t="s">
        <v>249</v>
      </c>
      <c r="C2061" s="1">
        <v>45314</v>
      </c>
      <c r="D2061" s="1" t="str">
        <f>PROPER(orders[[#This Row],[order_priority]])</f>
        <v>Standard</v>
      </c>
      <c r="E2061" t="s">
        <v>13317</v>
      </c>
      <c r="F2061" t="str">
        <f>IFERROR(INDEX(customers[country], MATCH(orders[[#This Row],[customer_id]], customers[customer_id], 0)), "Unmapped")</f>
        <v>Estonia</v>
      </c>
      <c r="G2061" t="str">
        <f>IFERROR(INDEX(Region_Map[Region], MATCH(orders[[#This Row],[Customer_Country]], Region_Map[Country], 0)), "Unknown")</f>
        <v>Baltics</v>
      </c>
      <c r="H2061" t="s">
        <v>6949</v>
      </c>
    </row>
    <row r="2062" spans="1:8">
      <c r="A2062" t="s">
        <v>2970</v>
      </c>
      <c r="B2062" t="s">
        <v>13329</v>
      </c>
      <c r="C2062" s="1">
        <v>45495</v>
      </c>
      <c r="D2062" s="1" t="str">
        <f>PROPER(orders[[#This Row],[order_priority]])</f>
        <v>Standard</v>
      </c>
      <c r="E2062" t="s">
        <v>13317</v>
      </c>
      <c r="F2062" t="str">
        <f>IFERROR(INDEX(customers[country], MATCH(orders[[#This Row],[customer_id]], customers[customer_id], 0)), "Unmapped")</f>
        <v>Unmapped</v>
      </c>
      <c r="G2062" t="str">
        <f>IFERROR(INDEX(Region_Map[Region], MATCH(orders[[#This Row],[Customer_Country]], Region_Map[Country], 0)), "Unknown")</f>
        <v>Unknown</v>
      </c>
      <c r="H2062" t="s">
        <v>6949</v>
      </c>
    </row>
    <row r="2063" spans="1:8">
      <c r="A2063" t="s">
        <v>2971</v>
      </c>
      <c r="B2063" t="s">
        <v>593</v>
      </c>
      <c r="C2063" s="1">
        <v>45473</v>
      </c>
      <c r="D2063" s="1" t="str">
        <f>PROPER(orders[[#This Row],[order_priority]])</f>
        <v>Standard</v>
      </c>
      <c r="E2063" t="s">
        <v>13317</v>
      </c>
      <c r="F2063" t="str">
        <f>IFERROR(INDEX(customers[country], MATCH(orders[[#This Row],[customer_id]], customers[customer_id], 0)), "Unmapped")</f>
        <v>Estonia</v>
      </c>
      <c r="G2063" t="str">
        <f>IFERROR(INDEX(Region_Map[Region], MATCH(orders[[#This Row],[Customer_Country]], Region_Map[Country], 0)), "Unknown")</f>
        <v>Baltics</v>
      </c>
      <c r="H2063" t="s">
        <v>6949</v>
      </c>
    </row>
    <row r="2064" spans="1:8">
      <c r="A2064" t="s">
        <v>2972</v>
      </c>
      <c r="B2064" t="s">
        <v>273</v>
      </c>
      <c r="C2064" s="1">
        <v>44940</v>
      </c>
      <c r="D2064" s="1" t="str">
        <f>PROPER(orders[[#This Row],[order_priority]])</f>
        <v>Express</v>
      </c>
      <c r="E2064" t="s">
        <v>13318</v>
      </c>
      <c r="F2064" t="str">
        <f>IFERROR(INDEX(customers[country], MATCH(orders[[#This Row],[customer_id]], customers[customer_id], 0)), "Unmapped")</f>
        <v>Norway</v>
      </c>
      <c r="G2064" t="str">
        <f>IFERROR(INDEX(Region_Map[Region], MATCH(orders[[#This Row],[Customer_Country]], Region_Map[Country], 0)), "Unknown")</f>
        <v>Nordics</v>
      </c>
      <c r="H2064" t="s">
        <v>6949</v>
      </c>
    </row>
    <row r="2065" spans="1:8">
      <c r="A2065" t="s">
        <v>2973</v>
      </c>
      <c r="B2065" t="s">
        <v>796</v>
      </c>
      <c r="C2065" s="1">
        <v>45592</v>
      </c>
      <c r="D2065" s="1" t="str">
        <f>PROPER(orders[[#This Row],[order_priority]])</f>
        <v>Standard</v>
      </c>
      <c r="E2065" t="s">
        <v>13317</v>
      </c>
      <c r="F2065" t="str">
        <f>IFERROR(INDEX(customers[country], MATCH(orders[[#This Row],[customer_id]], customers[customer_id], 0)), "Unmapped")</f>
        <v>Sweden</v>
      </c>
      <c r="G2065" t="str">
        <f>IFERROR(INDEX(Region_Map[Region], MATCH(orders[[#This Row],[Customer_Country]], Region_Map[Country], 0)), "Unknown")</f>
        <v>Nordics</v>
      </c>
      <c r="H2065" t="s">
        <v>6949</v>
      </c>
    </row>
    <row r="2066" spans="1:8">
      <c r="A2066" t="s">
        <v>2974</v>
      </c>
      <c r="B2066" t="s">
        <v>706</v>
      </c>
      <c r="C2066" s="1">
        <v>45062</v>
      </c>
      <c r="D2066" s="1" t="str">
        <f>PROPER(orders[[#This Row],[order_priority]])</f>
        <v>Express</v>
      </c>
      <c r="E2066" t="s">
        <v>13326</v>
      </c>
      <c r="F2066" t="str">
        <f>IFERROR(INDEX(customers[country], MATCH(orders[[#This Row],[customer_id]], customers[customer_id], 0)), "Unmapped")</f>
        <v>Latvia</v>
      </c>
      <c r="G2066" t="str">
        <f>IFERROR(INDEX(Region_Map[Region], MATCH(orders[[#This Row],[Customer_Country]], Region_Map[Country], 0)), "Unknown")</f>
        <v>Baltics</v>
      </c>
      <c r="H2066" t="s">
        <v>6949</v>
      </c>
    </row>
    <row r="2067" spans="1:8">
      <c r="A2067" t="s">
        <v>2975</v>
      </c>
      <c r="B2067" t="s">
        <v>192</v>
      </c>
      <c r="C2067" s="1">
        <v>45583</v>
      </c>
      <c r="D2067" s="1" t="str">
        <f>PROPER(orders[[#This Row],[order_priority]])</f>
        <v>Economy</v>
      </c>
      <c r="E2067" t="s">
        <v>13316</v>
      </c>
      <c r="F2067" t="str">
        <f>IFERROR(INDEX(customers[country], MATCH(orders[[#This Row],[customer_id]], customers[customer_id], 0)), "Unmapped")</f>
        <v>Estonia</v>
      </c>
      <c r="G2067" t="str">
        <f>IFERROR(INDEX(Region_Map[Region], MATCH(orders[[#This Row],[Customer_Country]], Region_Map[Country], 0)), "Unknown")</f>
        <v>Baltics</v>
      </c>
      <c r="H2067" t="s">
        <v>6949</v>
      </c>
    </row>
    <row r="2068" spans="1:8">
      <c r="A2068" t="s">
        <v>2976</v>
      </c>
      <c r="B2068" t="s">
        <v>392</v>
      </c>
      <c r="C2068" s="1">
        <v>44971</v>
      </c>
      <c r="D2068" s="1" t="str">
        <f>PROPER(orders[[#This Row],[order_priority]])</f>
        <v>Economy</v>
      </c>
      <c r="E2068" t="s">
        <v>13316</v>
      </c>
      <c r="F2068" t="str">
        <f>IFERROR(INDEX(customers[country], MATCH(orders[[#This Row],[customer_id]], customers[customer_id], 0)), "Unmapped")</f>
        <v>Latvia</v>
      </c>
      <c r="G2068" t="str">
        <f>IFERROR(INDEX(Region_Map[Region], MATCH(orders[[#This Row],[Customer_Country]], Region_Map[Country], 0)), "Unknown")</f>
        <v>Baltics</v>
      </c>
      <c r="H2068" t="s">
        <v>6949</v>
      </c>
    </row>
    <row r="2069" spans="1:8">
      <c r="A2069" t="s">
        <v>2977</v>
      </c>
      <c r="B2069" t="s">
        <v>181</v>
      </c>
      <c r="C2069" s="1">
        <v>45114</v>
      </c>
      <c r="D2069" s="1" t="str">
        <f>PROPER(orders[[#This Row],[order_priority]])</f>
        <v>Express</v>
      </c>
      <c r="E2069" t="s">
        <v>13318</v>
      </c>
      <c r="F2069" t="str">
        <f>IFERROR(INDEX(customers[country], MATCH(orders[[#This Row],[customer_id]], customers[customer_id], 0)), "Unmapped")</f>
        <v>Netherlands</v>
      </c>
      <c r="G2069" t="str">
        <f>IFERROR(INDEX(Region_Map[Region], MATCH(orders[[#This Row],[Customer_Country]], Region_Map[Country], 0)), "Unknown")</f>
        <v>Central Europe</v>
      </c>
      <c r="H2069" t="s">
        <v>6949</v>
      </c>
    </row>
    <row r="2070" spans="1:8">
      <c r="A2070" t="s">
        <v>2978</v>
      </c>
      <c r="B2070" t="s">
        <v>700</v>
      </c>
      <c r="C2070" s="1">
        <v>45281</v>
      </c>
      <c r="D2070" s="1" t="str">
        <f>PROPER(orders[[#This Row],[order_priority]])</f>
        <v>Economy</v>
      </c>
      <c r="E2070" t="s">
        <v>13328</v>
      </c>
      <c r="F2070" t="str">
        <f>IFERROR(INDEX(customers[country], MATCH(orders[[#This Row],[customer_id]], customers[customer_id], 0)), "Unmapped")</f>
        <v>Germany</v>
      </c>
      <c r="G2070" t="str">
        <f>IFERROR(INDEX(Region_Map[Region], MATCH(orders[[#This Row],[Customer_Country]], Region_Map[Country], 0)), "Unknown")</f>
        <v>Central Europe</v>
      </c>
      <c r="H2070" t="s">
        <v>6949</v>
      </c>
    </row>
    <row r="2071" spans="1:8">
      <c r="A2071" t="s">
        <v>2979</v>
      </c>
      <c r="B2071" t="s">
        <v>437</v>
      </c>
      <c r="C2071" s="1">
        <v>45527</v>
      </c>
      <c r="D2071" s="1" t="str">
        <f>PROPER(orders[[#This Row],[order_priority]])</f>
        <v>Standard</v>
      </c>
      <c r="E2071" t="s">
        <v>13317</v>
      </c>
      <c r="F2071" t="str">
        <f>IFERROR(INDEX(customers[country], MATCH(orders[[#This Row],[customer_id]], customers[customer_id], 0)), "Unmapped")</f>
        <v>Lithuania</v>
      </c>
      <c r="G2071" t="str">
        <f>IFERROR(INDEX(Region_Map[Region], MATCH(orders[[#This Row],[Customer_Country]], Region_Map[Country], 0)), "Unknown")</f>
        <v>Baltics</v>
      </c>
      <c r="H2071" t="s">
        <v>6949</v>
      </c>
    </row>
    <row r="2072" spans="1:8">
      <c r="A2072" t="s">
        <v>2980</v>
      </c>
      <c r="B2072" t="s">
        <v>703</v>
      </c>
      <c r="C2072" s="1">
        <v>45491</v>
      </c>
      <c r="D2072" s="1" t="str">
        <f>PROPER(orders[[#This Row],[order_priority]])</f>
        <v>Same Day</v>
      </c>
      <c r="E2072" t="s">
        <v>13322</v>
      </c>
      <c r="F2072" t="str">
        <f>IFERROR(INDEX(customers[country], MATCH(orders[[#This Row],[customer_id]], customers[customer_id], 0)), "Unmapped")</f>
        <v>Estonia</v>
      </c>
      <c r="G2072" t="str">
        <f>IFERROR(INDEX(Region_Map[Region], MATCH(orders[[#This Row],[Customer_Country]], Region_Map[Country], 0)), "Unknown")</f>
        <v>Baltics</v>
      </c>
      <c r="H2072" t="s">
        <v>6949</v>
      </c>
    </row>
    <row r="2073" spans="1:8">
      <c r="A2073" t="s">
        <v>2981</v>
      </c>
      <c r="B2073" t="s">
        <v>688</v>
      </c>
      <c r="C2073" s="1">
        <v>45113</v>
      </c>
      <c r="D2073" s="1" t="str">
        <f>PROPER(orders[[#This Row],[order_priority]])</f>
        <v>Same Day</v>
      </c>
      <c r="E2073" t="s">
        <v>13322</v>
      </c>
      <c r="F2073" t="str">
        <f>IFERROR(INDEX(customers[country], MATCH(orders[[#This Row],[customer_id]], customers[customer_id], 0)), "Unmapped")</f>
        <v>Norway</v>
      </c>
      <c r="G2073" t="str">
        <f>IFERROR(INDEX(Region_Map[Region], MATCH(orders[[#This Row],[Customer_Country]], Region_Map[Country], 0)), "Unknown")</f>
        <v>Nordics</v>
      </c>
      <c r="H2073" t="s">
        <v>6949</v>
      </c>
    </row>
    <row r="2074" spans="1:8">
      <c r="A2074" t="s">
        <v>2982</v>
      </c>
      <c r="B2074" t="s">
        <v>828</v>
      </c>
      <c r="C2074" s="1">
        <v>45371</v>
      </c>
      <c r="D2074" s="1" t="str">
        <f>PROPER(orders[[#This Row],[order_priority]])</f>
        <v>Economy</v>
      </c>
      <c r="E2074" t="s">
        <v>13316</v>
      </c>
      <c r="F2074" t="str">
        <f>IFERROR(INDEX(customers[country], MATCH(orders[[#This Row],[customer_id]], customers[customer_id], 0)), "Unmapped")</f>
        <v>Germany</v>
      </c>
      <c r="G2074" t="str">
        <f>IFERROR(INDEX(Region_Map[Region], MATCH(orders[[#This Row],[Customer_Country]], Region_Map[Country], 0)), "Unknown")</f>
        <v>Central Europe</v>
      </c>
      <c r="H2074" t="s">
        <v>6949</v>
      </c>
    </row>
    <row r="2075" spans="1:8">
      <c r="A2075" t="s">
        <v>2983</v>
      </c>
      <c r="B2075" t="s">
        <v>819</v>
      </c>
      <c r="C2075" s="1">
        <v>44944</v>
      </c>
      <c r="D2075" s="1" t="str">
        <f>PROPER(orders[[#This Row],[order_priority]])</f>
        <v>Express</v>
      </c>
      <c r="E2075" t="s">
        <v>13326</v>
      </c>
      <c r="F2075" t="str">
        <f>IFERROR(INDEX(customers[country], MATCH(orders[[#This Row],[customer_id]], customers[customer_id], 0)), "Unmapped")</f>
        <v>Estonia</v>
      </c>
      <c r="G2075" t="str">
        <f>IFERROR(INDEX(Region_Map[Region], MATCH(orders[[#This Row],[Customer_Country]], Region_Map[Country], 0)), "Unknown")</f>
        <v>Baltics</v>
      </c>
      <c r="H2075" t="s">
        <v>6949</v>
      </c>
    </row>
    <row r="2076" spans="1:8">
      <c r="A2076" t="s">
        <v>2984</v>
      </c>
      <c r="B2076" t="s">
        <v>766</v>
      </c>
      <c r="C2076" s="1">
        <v>45500</v>
      </c>
      <c r="D2076" s="1" t="str">
        <f>PROPER(orders[[#This Row],[order_priority]])</f>
        <v>Economy</v>
      </c>
      <c r="E2076" t="s">
        <v>13316</v>
      </c>
      <c r="F2076" t="str">
        <f>IFERROR(INDEX(customers[country], MATCH(orders[[#This Row],[customer_id]], customers[customer_id], 0)), "Unmapped")</f>
        <v>Germany</v>
      </c>
      <c r="G2076" t="str">
        <f>IFERROR(INDEX(Region_Map[Region], MATCH(orders[[#This Row],[Customer_Country]], Region_Map[Country], 0)), "Unknown")</f>
        <v>Central Europe</v>
      </c>
      <c r="H2076" t="s">
        <v>6949</v>
      </c>
    </row>
    <row r="2077" spans="1:8">
      <c r="A2077" t="s">
        <v>2985</v>
      </c>
      <c r="B2077" t="s">
        <v>470</v>
      </c>
      <c r="C2077" s="1">
        <v>45592</v>
      </c>
      <c r="D2077" s="1" t="str">
        <f>PROPER(orders[[#This Row],[order_priority]])</f>
        <v>Economy</v>
      </c>
      <c r="E2077" t="s">
        <v>13316</v>
      </c>
      <c r="F2077" t="str">
        <f>IFERROR(INDEX(customers[country], MATCH(orders[[#This Row],[customer_id]], customers[customer_id], 0)), "Unmapped")</f>
        <v>Norway</v>
      </c>
      <c r="G2077" t="str">
        <f>IFERROR(INDEX(Region_Map[Region], MATCH(orders[[#This Row],[Customer_Country]], Region_Map[Country], 0)), "Unknown")</f>
        <v>Nordics</v>
      </c>
      <c r="H2077" t="s">
        <v>6949</v>
      </c>
    </row>
    <row r="2078" spans="1:8">
      <c r="A2078" t="s">
        <v>2986</v>
      </c>
      <c r="B2078" t="s">
        <v>521</v>
      </c>
      <c r="C2078" s="1">
        <v>45452</v>
      </c>
      <c r="D2078" s="1" t="str">
        <f>PROPER(orders[[#This Row],[order_priority]])</f>
        <v>Economy</v>
      </c>
      <c r="E2078" t="s">
        <v>13316</v>
      </c>
      <c r="F2078" t="str">
        <f>IFERROR(INDEX(customers[country], MATCH(orders[[#This Row],[customer_id]], customers[customer_id], 0)), "Unmapped")</f>
        <v>Norway</v>
      </c>
      <c r="G2078" t="str">
        <f>IFERROR(INDEX(Region_Map[Region], MATCH(orders[[#This Row],[Customer_Country]], Region_Map[Country], 0)), "Unknown")</f>
        <v>Nordics</v>
      </c>
      <c r="H2078" t="s">
        <v>6949</v>
      </c>
    </row>
    <row r="2079" spans="1:8">
      <c r="A2079" t="s">
        <v>2987</v>
      </c>
      <c r="B2079" t="s">
        <v>470</v>
      </c>
      <c r="C2079" s="1">
        <v>45486</v>
      </c>
      <c r="D2079" s="1" t="str">
        <f>PROPER(orders[[#This Row],[order_priority]])</f>
        <v>Economy</v>
      </c>
      <c r="E2079" t="s">
        <v>13316</v>
      </c>
      <c r="F2079" t="str">
        <f>IFERROR(INDEX(customers[country], MATCH(orders[[#This Row],[customer_id]], customers[customer_id], 0)), "Unmapped")</f>
        <v>Norway</v>
      </c>
      <c r="G2079" t="str">
        <f>IFERROR(INDEX(Region_Map[Region], MATCH(orders[[#This Row],[Customer_Country]], Region_Map[Country], 0)), "Unknown")</f>
        <v>Nordics</v>
      </c>
      <c r="H2079" t="s">
        <v>6949</v>
      </c>
    </row>
    <row r="2080" spans="1:8">
      <c r="A2080" t="s">
        <v>2988</v>
      </c>
      <c r="B2080" t="s">
        <v>831</v>
      </c>
      <c r="C2080" s="1">
        <v>45364</v>
      </c>
      <c r="D2080" s="1" t="str">
        <f>PROPER(orders[[#This Row],[order_priority]])</f>
        <v>Economy</v>
      </c>
      <c r="E2080" t="s">
        <v>13316</v>
      </c>
      <c r="F2080" t="str">
        <f>IFERROR(INDEX(customers[country], MATCH(orders[[#This Row],[customer_id]], customers[customer_id], 0)), "Unmapped")</f>
        <v>Norway</v>
      </c>
      <c r="G2080" t="str">
        <f>IFERROR(INDEX(Region_Map[Region], MATCH(orders[[#This Row],[Customer_Country]], Region_Map[Country], 0)), "Unknown")</f>
        <v>Nordics</v>
      </c>
      <c r="H2080" t="s">
        <v>6949</v>
      </c>
    </row>
    <row r="2081" spans="1:8">
      <c r="A2081" t="s">
        <v>2989</v>
      </c>
      <c r="B2081" t="s">
        <v>38</v>
      </c>
      <c r="C2081" s="1">
        <v>45070</v>
      </c>
      <c r="D2081" s="1" t="str">
        <f>PROPER(orders[[#This Row],[order_priority]])</f>
        <v>Same Day</v>
      </c>
      <c r="E2081" t="s">
        <v>13322</v>
      </c>
      <c r="F2081" t="str">
        <f>IFERROR(INDEX(customers[country], MATCH(orders[[#This Row],[customer_id]], customers[customer_id], 0)), "Unmapped")</f>
        <v>Lithuania</v>
      </c>
      <c r="G2081" t="str">
        <f>IFERROR(INDEX(Region_Map[Region], MATCH(orders[[#This Row],[Customer_Country]], Region_Map[Country], 0)), "Unknown")</f>
        <v>Baltics</v>
      </c>
      <c r="H2081" t="s">
        <v>6949</v>
      </c>
    </row>
    <row r="2082" spans="1:8">
      <c r="A2082" t="s">
        <v>2990</v>
      </c>
      <c r="B2082" t="s">
        <v>861</v>
      </c>
      <c r="C2082" s="1">
        <v>45283</v>
      </c>
      <c r="D2082" s="1" t="str">
        <f>PROPER(orders[[#This Row],[order_priority]])</f>
        <v>Express</v>
      </c>
      <c r="E2082" t="s">
        <v>13318</v>
      </c>
      <c r="F2082" t="str">
        <f>IFERROR(INDEX(customers[country], MATCH(orders[[#This Row],[customer_id]], customers[customer_id], 0)), "Unmapped")</f>
        <v>Latvia</v>
      </c>
      <c r="G2082" t="str">
        <f>IFERROR(INDEX(Region_Map[Region], MATCH(orders[[#This Row],[Customer_Country]], Region_Map[Country], 0)), "Unknown")</f>
        <v>Baltics</v>
      </c>
      <c r="H2082" t="s">
        <v>6949</v>
      </c>
    </row>
    <row r="2083" spans="1:8">
      <c r="A2083" t="s">
        <v>2991</v>
      </c>
      <c r="B2083" t="s">
        <v>106</v>
      </c>
      <c r="C2083" s="1">
        <v>45457</v>
      </c>
      <c r="D2083" s="1" t="str">
        <f>PROPER(orders[[#This Row],[order_priority]])</f>
        <v>Express</v>
      </c>
      <c r="E2083" t="s">
        <v>13318</v>
      </c>
      <c r="F2083" t="str">
        <f>IFERROR(INDEX(customers[country], MATCH(orders[[#This Row],[customer_id]], customers[customer_id], 0)), "Unmapped")</f>
        <v>Lithuania</v>
      </c>
      <c r="G2083" t="str">
        <f>IFERROR(INDEX(Region_Map[Region], MATCH(orders[[#This Row],[Customer_Country]], Region_Map[Country], 0)), "Unknown")</f>
        <v>Baltics</v>
      </c>
      <c r="H2083" t="s">
        <v>6949</v>
      </c>
    </row>
    <row r="2084" spans="1:8">
      <c r="A2084" t="s">
        <v>2992</v>
      </c>
      <c r="B2084" t="s">
        <v>467</v>
      </c>
      <c r="C2084" s="1">
        <v>44998</v>
      </c>
      <c r="D2084" s="1" t="str">
        <f>PROPER(orders[[#This Row],[order_priority]])</f>
        <v>Standard</v>
      </c>
      <c r="E2084" t="s">
        <v>13317</v>
      </c>
      <c r="F2084" t="str">
        <f>IFERROR(INDEX(customers[country], MATCH(orders[[#This Row],[customer_id]], customers[customer_id], 0)), "Unmapped")</f>
        <v>Latvia</v>
      </c>
      <c r="G2084" t="str">
        <f>IFERROR(INDEX(Region_Map[Region], MATCH(orders[[#This Row],[Customer_Country]], Region_Map[Country], 0)), "Unknown")</f>
        <v>Baltics</v>
      </c>
      <c r="H2084" t="s">
        <v>6949</v>
      </c>
    </row>
    <row r="2085" spans="1:8">
      <c r="A2085" t="s">
        <v>2993</v>
      </c>
      <c r="B2085" t="s">
        <v>891</v>
      </c>
      <c r="C2085" s="1">
        <v>45183</v>
      </c>
      <c r="D2085" s="1" t="str">
        <f>PROPER(orders[[#This Row],[order_priority]])</f>
        <v>Economy</v>
      </c>
      <c r="E2085" t="s">
        <v>13328</v>
      </c>
      <c r="F2085" t="str">
        <f>IFERROR(INDEX(customers[country], MATCH(orders[[#This Row],[customer_id]], customers[customer_id], 0)), "Unmapped")</f>
        <v>Netherlands</v>
      </c>
      <c r="G2085" t="str">
        <f>IFERROR(INDEX(Region_Map[Region], MATCH(orders[[#This Row],[Customer_Country]], Region_Map[Country], 0)), "Unknown")</f>
        <v>Central Europe</v>
      </c>
      <c r="H2085" t="s">
        <v>6949</v>
      </c>
    </row>
    <row r="2086" spans="1:8">
      <c r="A2086" t="s">
        <v>2994</v>
      </c>
      <c r="B2086" t="s">
        <v>825</v>
      </c>
      <c r="C2086" s="1">
        <v>44941</v>
      </c>
      <c r="D2086" s="1" t="str">
        <f>PROPER(orders[[#This Row],[order_priority]])</f>
        <v>Express</v>
      </c>
      <c r="E2086" t="s">
        <v>13320</v>
      </c>
      <c r="F2086" t="str">
        <f>IFERROR(INDEX(customers[country], MATCH(orders[[#This Row],[customer_id]], customers[customer_id], 0)), "Unmapped")</f>
        <v>Latvia</v>
      </c>
      <c r="G2086" t="str">
        <f>IFERROR(INDEX(Region_Map[Region], MATCH(orders[[#This Row],[Customer_Country]], Region_Map[Country], 0)), "Unknown")</f>
        <v>Baltics</v>
      </c>
      <c r="H2086" t="s">
        <v>6949</v>
      </c>
    </row>
    <row r="2087" spans="1:8">
      <c r="A2087" t="s">
        <v>2995</v>
      </c>
      <c r="B2087" t="s">
        <v>338</v>
      </c>
      <c r="C2087" s="1">
        <v>44937</v>
      </c>
      <c r="D2087" s="1" t="str">
        <f>PROPER(orders[[#This Row],[order_priority]])</f>
        <v>Same Day</v>
      </c>
      <c r="E2087" t="s">
        <v>13322</v>
      </c>
      <c r="F2087" t="str">
        <f>IFERROR(INDEX(customers[country], MATCH(orders[[#This Row],[customer_id]], customers[customer_id], 0)), "Unmapped")</f>
        <v>Denmark</v>
      </c>
      <c r="G2087" t="str">
        <f>IFERROR(INDEX(Region_Map[Region], MATCH(orders[[#This Row],[Customer_Country]], Region_Map[Country], 0)), "Unknown")</f>
        <v>Nordics</v>
      </c>
      <c r="H2087" t="s">
        <v>6949</v>
      </c>
    </row>
    <row r="2088" spans="1:8">
      <c r="A2088" t="s">
        <v>2996</v>
      </c>
      <c r="B2088" t="s">
        <v>647</v>
      </c>
      <c r="C2088" s="1">
        <v>45415</v>
      </c>
      <c r="D2088" s="1" t="str">
        <f>PROPER(orders[[#This Row],[order_priority]])</f>
        <v>Standard</v>
      </c>
      <c r="E2088" t="s">
        <v>13317</v>
      </c>
      <c r="F2088" t="str">
        <f>IFERROR(INDEX(customers[country], MATCH(orders[[#This Row],[customer_id]], customers[customer_id], 0)), "Unmapped")</f>
        <v>Netherlands</v>
      </c>
      <c r="G2088" t="str">
        <f>IFERROR(INDEX(Region_Map[Region], MATCH(orders[[#This Row],[Customer_Country]], Region_Map[Country], 0)), "Unknown")</f>
        <v>Central Europe</v>
      </c>
      <c r="H2088" t="s">
        <v>6949</v>
      </c>
    </row>
    <row r="2089" spans="1:8">
      <c r="A2089" t="s">
        <v>2997</v>
      </c>
      <c r="B2089" t="s">
        <v>45</v>
      </c>
      <c r="C2089" s="1">
        <v>45400</v>
      </c>
      <c r="D2089" s="1" t="str">
        <f>PROPER(orders[[#This Row],[order_priority]])</f>
        <v>Same Day</v>
      </c>
      <c r="E2089" t="s">
        <v>13322</v>
      </c>
      <c r="F2089" t="str">
        <f>IFERROR(INDEX(customers[country], MATCH(orders[[#This Row],[customer_id]], customers[customer_id], 0)), "Unmapped")</f>
        <v>Netherlands</v>
      </c>
      <c r="G2089" t="str">
        <f>IFERROR(INDEX(Region_Map[Region], MATCH(orders[[#This Row],[Customer_Country]], Region_Map[Country], 0)), "Unknown")</f>
        <v>Central Europe</v>
      </c>
      <c r="H2089" t="s">
        <v>6949</v>
      </c>
    </row>
    <row r="2090" spans="1:8">
      <c r="A2090" t="s">
        <v>2998</v>
      </c>
      <c r="B2090" t="s">
        <v>885</v>
      </c>
      <c r="C2090" s="1">
        <v>45111</v>
      </c>
      <c r="D2090" s="1" t="str">
        <f>PROPER(orders[[#This Row],[order_priority]])</f>
        <v>Standard</v>
      </c>
      <c r="E2090" t="s">
        <v>13317</v>
      </c>
      <c r="F2090" t="str">
        <f>IFERROR(INDEX(customers[country], MATCH(orders[[#This Row],[customer_id]], customers[customer_id], 0)), "Unmapped")</f>
        <v>Poland</v>
      </c>
      <c r="G2090" t="str">
        <f>IFERROR(INDEX(Region_Map[Region], MATCH(orders[[#This Row],[Customer_Country]], Region_Map[Country], 0)), "Unknown")</f>
        <v>Central Europe</v>
      </c>
      <c r="H2090" t="s">
        <v>6949</v>
      </c>
    </row>
    <row r="2091" spans="1:8">
      <c r="A2091" t="s">
        <v>2999</v>
      </c>
      <c r="B2091" t="s">
        <v>80</v>
      </c>
      <c r="C2091" s="1">
        <v>44958</v>
      </c>
      <c r="D2091" s="1" t="str">
        <f>PROPER(orders[[#This Row],[order_priority]])</f>
        <v>Express</v>
      </c>
      <c r="E2091" t="s">
        <v>13320</v>
      </c>
      <c r="F2091" t="str">
        <f>IFERROR(INDEX(customers[country], MATCH(orders[[#This Row],[customer_id]], customers[customer_id], 0)), "Unmapped")</f>
        <v>Finland</v>
      </c>
      <c r="G2091" t="str">
        <f>IFERROR(INDEX(Region_Map[Region], MATCH(orders[[#This Row],[Customer_Country]], Region_Map[Country], 0)), "Unknown")</f>
        <v>Nordics</v>
      </c>
      <c r="H2091" t="s">
        <v>6949</v>
      </c>
    </row>
    <row r="2092" spans="1:8">
      <c r="A2092" t="s">
        <v>3000</v>
      </c>
      <c r="B2092" t="s">
        <v>503</v>
      </c>
      <c r="C2092" s="1">
        <v>45258</v>
      </c>
      <c r="D2092" s="1" t="str">
        <f>PROPER(orders[[#This Row],[order_priority]])</f>
        <v>Standard</v>
      </c>
      <c r="E2092" t="s">
        <v>13317</v>
      </c>
      <c r="F2092" t="str">
        <f>IFERROR(INDEX(customers[country], MATCH(orders[[#This Row],[customer_id]], customers[customer_id], 0)), "Unmapped")</f>
        <v>Denmark</v>
      </c>
      <c r="G2092" t="str">
        <f>IFERROR(INDEX(Region_Map[Region], MATCH(orders[[#This Row],[Customer_Country]], Region_Map[Country], 0)), "Unknown")</f>
        <v>Nordics</v>
      </c>
      <c r="H2092" t="s">
        <v>6949</v>
      </c>
    </row>
    <row r="2093" spans="1:8">
      <c r="A2093" t="s">
        <v>3001</v>
      </c>
      <c r="B2093" t="s">
        <v>428</v>
      </c>
      <c r="C2093" s="1">
        <v>45205</v>
      </c>
      <c r="D2093" s="1" t="str">
        <f>PROPER(orders[[#This Row],[order_priority]])</f>
        <v>Same Day</v>
      </c>
      <c r="E2093" t="s">
        <v>13321</v>
      </c>
      <c r="F2093" t="str">
        <f>IFERROR(INDEX(customers[country], MATCH(orders[[#This Row],[customer_id]], customers[customer_id], 0)), "Unmapped")</f>
        <v>Finland</v>
      </c>
      <c r="G2093" t="str">
        <f>IFERROR(INDEX(Region_Map[Region], MATCH(orders[[#This Row],[Customer_Country]], Region_Map[Country], 0)), "Unknown")</f>
        <v>Nordics</v>
      </c>
      <c r="H2093" t="s">
        <v>6949</v>
      </c>
    </row>
    <row r="2094" spans="1:8">
      <c r="A2094" t="s">
        <v>3002</v>
      </c>
      <c r="B2094" t="s">
        <v>115</v>
      </c>
      <c r="C2094" s="1">
        <v>45414</v>
      </c>
      <c r="D2094" s="1" t="str">
        <f>PROPER(orders[[#This Row],[order_priority]])</f>
        <v>Express</v>
      </c>
      <c r="E2094" t="s">
        <v>13318</v>
      </c>
      <c r="F2094" t="str">
        <f>IFERROR(INDEX(customers[country], MATCH(orders[[#This Row],[customer_id]], customers[customer_id], 0)), "Unmapped")</f>
        <v>Finland</v>
      </c>
      <c r="G2094" t="str">
        <f>IFERROR(INDEX(Region_Map[Region], MATCH(orders[[#This Row],[Customer_Country]], Region_Map[Country], 0)), "Unknown")</f>
        <v>Nordics</v>
      </c>
      <c r="H2094" t="s">
        <v>6949</v>
      </c>
    </row>
    <row r="2095" spans="1:8">
      <c r="A2095" t="s">
        <v>3003</v>
      </c>
      <c r="B2095" t="s">
        <v>793</v>
      </c>
      <c r="C2095" s="1">
        <v>44989</v>
      </c>
      <c r="D2095" s="1" t="str">
        <f>PROPER(orders[[#This Row],[order_priority]])</f>
        <v>Economy</v>
      </c>
      <c r="E2095" t="s">
        <v>13316</v>
      </c>
      <c r="F2095" t="str">
        <f>IFERROR(INDEX(customers[country], MATCH(orders[[#This Row],[customer_id]], customers[customer_id], 0)), "Unmapped")</f>
        <v>Sweden</v>
      </c>
      <c r="G2095" t="str">
        <f>IFERROR(INDEX(Region_Map[Region], MATCH(orders[[#This Row],[Customer_Country]], Region_Map[Country], 0)), "Unknown")</f>
        <v>Nordics</v>
      </c>
      <c r="H2095" t="s">
        <v>6949</v>
      </c>
    </row>
    <row r="2096" spans="1:8">
      <c r="A2096" t="s">
        <v>3004</v>
      </c>
      <c r="B2096" t="s">
        <v>741</v>
      </c>
      <c r="C2096" s="1">
        <v>45144</v>
      </c>
      <c r="D2096" s="1" t="str">
        <f>PROPER(orders[[#This Row],[order_priority]])</f>
        <v>Same Day</v>
      </c>
      <c r="E2096" t="s">
        <v>13322</v>
      </c>
      <c r="F2096" t="str">
        <f>IFERROR(INDEX(customers[country], MATCH(orders[[#This Row],[customer_id]], customers[customer_id], 0)), "Unmapped")</f>
        <v>Germany</v>
      </c>
      <c r="G2096" t="str">
        <f>IFERROR(INDEX(Region_Map[Region], MATCH(orders[[#This Row],[Customer_Country]], Region_Map[Country], 0)), "Unknown")</f>
        <v>Central Europe</v>
      </c>
      <c r="H2096" t="s">
        <v>6949</v>
      </c>
    </row>
    <row r="2097" spans="1:8">
      <c r="A2097" t="s">
        <v>3005</v>
      </c>
      <c r="B2097" t="s">
        <v>629</v>
      </c>
      <c r="C2097" s="1">
        <v>45511</v>
      </c>
      <c r="D2097" s="1" t="str">
        <f>PROPER(orders[[#This Row],[order_priority]])</f>
        <v>Economy</v>
      </c>
      <c r="E2097" t="s">
        <v>13316</v>
      </c>
      <c r="F2097" t="str">
        <f>IFERROR(INDEX(customers[country], MATCH(orders[[#This Row],[customer_id]], customers[customer_id], 0)), "Unmapped")</f>
        <v>Lithuania</v>
      </c>
      <c r="G2097" t="str">
        <f>IFERROR(INDEX(Region_Map[Region], MATCH(orders[[#This Row],[Customer_Country]], Region_Map[Country], 0)), "Unknown")</f>
        <v>Baltics</v>
      </c>
      <c r="H2097" t="s">
        <v>6949</v>
      </c>
    </row>
    <row r="2098" spans="1:8">
      <c r="A2098" t="s">
        <v>3006</v>
      </c>
      <c r="B2098" t="s">
        <v>172</v>
      </c>
      <c r="C2098" s="1">
        <v>45033</v>
      </c>
      <c r="D2098" s="1" t="str">
        <f>PROPER(orders[[#This Row],[order_priority]])</f>
        <v>Standard</v>
      </c>
      <c r="E2098" t="s">
        <v>13317</v>
      </c>
      <c r="F2098" t="str">
        <f>IFERROR(INDEX(customers[country], MATCH(orders[[#This Row],[customer_id]], customers[customer_id], 0)), "Unmapped")</f>
        <v>Denmark</v>
      </c>
      <c r="G2098" t="str">
        <f>IFERROR(INDEX(Region_Map[Region], MATCH(orders[[#This Row],[Customer_Country]], Region_Map[Country], 0)), "Unknown")</f>
        <v>Nordics</v>
      </c>
      <c r="H2098" t="s">
        <v>6949</v>
      </c>
    </row>
    <row r="2099" spans="1:8">
      <c r="A2099" t="s">
        <v>3007</v>
      </c>
      <c r="B2099" t="s">
        <v>873</v>
      </c>
      <c r="C2099" s="1">
        <v>45472</v>
      </c>
      <c r="D2099" s="1" t="str">
        <f>PROPER(orders[[#This Row],[order_priority]])</f>
        <v>Standard</v>
      </c>
      <c r="E2099" t="s">
        <v>13317</v>
      </c>
      <c r="F2099" t="str">
        <f>IFERROR(INDEX(customers[country], MATCH(orders[[#This Row],[customer_id]], customers[customer_id], 0)), "Unmapped")</f>
        <v>Estonia</v>
      </c>
      <c r="G2099" t="str">
        <f>IFERROR(INDEX(Region_Map[Region], MATCH(orders[[#This Row],[Customer_Country]], Region_Map[Country], 0)), "Unknown")</f>
        <v>Baltics</v>
      </c>
      <c r="H2099" t="s">
        <v>6949</v>
      </c>
    </row>
    <row r="2100" spans="1:8">
      <c r="A2100" t="s">
        <v>3008</v>
      </c>
      <c r="B2100" t="s">
        <v>27</v>
      </c>
      <c r="C2100" s="1">
        <v>45506</v>
      </c>
      <c r="D2100" s="1" t="str">
        <f>PROPER(orders[[#This Row],[order_priority]])</f>
        <v>Express</v>
      </c>
      <c r="E2100" t="s">
        <v>13318</v>
      </c>
      <c r="F2100" t="str">
        <f>IFERROR(INDEX(customers[country], MATCH(orders[[#This Row],[customer_id]], customers[customer_id], 0)), "Unmapped")</f>
        <v>Latvia</v>
      </c>
      <c r="G2100" t="str">
        <f>IFERROR(INDEX(Region_Map[Region], MATCH(orders[[#This Row],[Customer_Country]], Region_Map[Country], 0)), "Unknown")</f>
        <v>Baltics</v>
      </c>
      <c r="H2100" t="s">
        <v>6949</v>
      </c>
    </row>
    <row r="2101" spans="1:8">
      <c r="A2101" t="s">
        <v>3009</v>
      </c>
      <c r="B2101" t="s">
        <v>213</v>
      </c>
      <c r="C2101" s="1">
        <v>45356</v>
      </c>
      <c r="D2101" s="1" t="str">
        <f>PROPER(orders[[#This Row],[order_priority]])</f>
        <v>Same Day</v>
      </c>
      <c r="E2101" t="s">
        <v>13322</v>
      </c>
      <c r="F2101" t="str">
        <f>IFERROR(INDEX(customers[country], MATCH(orders[[#This Row],[customer_id]], customers[customer_id], 0)), "Unmapped")</f>
        <v>Denmark</v>
      </c>
      <c r="G2101" t="str">
        <f>IFERROR(INDEX(Region_Map[Region], MATCH(orders[[#This Row],[Customer_Country]], Region_Map[Country], 0)), "Unknown")</f>
        <v>Nordics</v>
      </c>
      <c r="H2101" t="s">
        <v>6949</v>
      </c>
    </row>
    <row r="2102" spans="1:8">
      <c r="A2102" t="s">
        <v>3010</v>
      </c>
      <c r="B2102" t="s">
        <v>243</v>
      </c>
      <c r="C2102" s="1">
        <v>45320</v>
      </c>
      <c r="D2102" s="1" t="str">
        <f>PROPER(orders[[#This Row],[order_priority]])</f>
        <v>Economy</v>
      </c>
      <c r="E2102" t="s">
        <v>13316</v>
      </c>
      <c r="F2102" t="str">
        <f>IFERROR(INDEX(customers[country], MATCH(orders[[#This Row],[customer_id]], customers[customer_id], 0)), "Unmapped")</f>
        <v>Netherlands</v>
      </c>
      <c r="G2102" t="str">
        <f>IFERROR(INDEX(Region_Map[Region], MATCH(orders[[#This Row],[Customer_Country]], Region_Map[Country], 0)), "Unknown")</f>
        <v>Central Europe</v>
      </c>
      <c r="H2102" t="s">
        <v>6949</v>
      </c>
    </row>
    <row r="2103" spans="1:8">
      <c r="A2103" t="s">
        <v>3011</v>
      </c>
      <c r="B2103" t="s">
        <v>758</v>
      </c>
      <c r="C2103" s="1">
        <v>45002</v>
      </c>
      <c r="D2103" s="1" t="str">
        <f>PROPER(orders[[#This Row],[order_priority]])</f>
        <v>Economy</v>
      </c>
      <c r="E2103" t="s">
        <v>13316</v>
      </c>
      <c r="F2103" t="str">
        <f>IFERROR(INDEX(customers[country], MATCH(orders[[#This Row],[customer_id]], customers[customer_id], 0)), "Unmapped")</f>
        <v>Estonia</v>
      </c>
      <c r="G2103" t="str">
        <f>IFERROR(INDEX(Region_Map[Region], MATCH(orders[[#This Row],[Customer_Country]], Region_Map[Country], 0)), "Unknown")</f>
        <v>Baltics</v>
      </c>
      <c r="H2103" t="s">
        <v>6949</v>
      </c>
    </row>
    <row r="2104" spans="1:8">
      <c r="A2104" t="s">
        <v>3012</v>
      </c>
      <c r="B2104" t="s">
        <v>590</v>
      </c>
      <c r="C2104" s="1">
        <v>45063</v>
      </c>
      <c r="D2104" s="1" t="str">
        <f>PROPER(orders[[#This Row],[order_priority]])</f>
        <v>Economy</v>
      </c>
      <c r="E2104" t="s">
        <v>13316</v>
      </c>
      <c r="F2104" t="str">
        <f>IFERROR(INDEX(customers[country], MATCH(orders[[#This Row],[customer_id]], customers[customer_id], 0)), "Unmapped")</f>
        <v>Finland</v>
      </c>
      <c r="G2104" t="str">
        <f>IFERROR(INDEX(Region_Map[Region], MATCH(orders[[#This Row],[Customer_Country]], Region_Map[Country], 0)), "Unknown")</f>
        <v>Nordics</v>
      </c>
      <c r="H2104" t="s">
        <v>6949</v>
      </c>
    </row>
    <row r="2105" spans="1:8">
      <c r="A2105" t="s">
        <v>3013</v>
      </c>
      <c r="B2105" t="s">
        <v>569</v>
      </c>
      <c r="C2105" s="1">
        <v>45088</v>
      </c>
      <c r="D2105" s="1" t="str">
        <f>PROPER(orders[[#This Row],[order_priority]])</f>
        <v>Express</v>
      </c>
      <c r="E2105" t="s">
        <v>13318</v>
      </c>
      <c r="F2105" t="str">
        <f>IFERROR(INDEX(customers[country], MATCH(orders[[#This Row],[customer_id]], customers[customer_id], 0)), "Unmapped")</f>
        <v>Estonia</v>
      </c>
      <c r="G2105" t="str">
        <f>IFERROR(INDEX(Region_Map[Region], MATCH(orders[[#This Row],[Customer_Country]], Region_Map[Country], 0)), "Unknown")</f>
        <v>Baltics</v>
      </c>
      <c r="H2105" t="s">
        <v>6949</v>
      </c>
    </row>
    <row r="2106" spans="1:8">
      <c r="A2106" t="s">
        <v>3014</v>
      </c>
      <c r="B2106" t="s">
        <v>518</v>
      </c>
      <c r="C2106" s="1">
        <v>45463</v>
      </c>
      <c r="D2106" s="1" t="str">
        <f>PROPER(orders[[#This Row],[order_priority]])</f>
        <v>Economy</v>
      </c>
      <c r="E2106" t="s">
        <v>13328</v>
      </c>
      <c r="F2106" t="str">
        <f>IFERROR(INDEX(customers[country], MATCH(orders[[#This Row],[customer_id]], customers[customer_id], 0)), "Unmapped")</f>
        <v>Germany</v>
      </c>
      <c r="G2106" t="str">
        <f>IFERROR(INDEX(Region_Map[Region], MATCH(orders[[#This Row],[Customer_Country]], Region_Map[Country], 0)), "Unknown")</f>
        <v>Central Europe</v>
      </c>
      <c r="H2106" t="s">
        <v>6949</v>
      </c>
    </row>
    <row r="2107" spans="1:8">
      <c r="A2107" t="s">
        <v>3015</v>
      </c>
      <c r="B2107" t="s">
        <v>294</v>
      </c>
      <c r="C2107" s="1">
        <v>45437</v>
      </c>
      <c r="D2107" s="1" t="str">
        <f>PROPER(orders[[#This Row],[order_priority]])</f>
        <v>Same Day</v>
      </c>
      <c r="E2107" t="s">
        <v>13322</v>
      </c>
      <c r="F2107" t="str">
        <f>IFERROR(INDEX(customers[country], MATCH(orders[[#This Row],[customer_id]], customers[customer_id], 0)), "Unmapped")</f>
        <v>Denmark</v>
      </c>
      <c r="G2107" t="str">
        <f>IFERROR(INDEX(Region_Map[Region], MATCH(orders[[#This Row],[Customer_Country]], Region_Map[Country], 0)), "Unknown")</f>
        <v>Nordics</v>
      </c>
      <c r="H2107" t="s">
        <v>6949</v>
      </c>
    </row>
    <row r="2108" spans="1:8">
      <c r="A2108" t="s">
        <v>3016</v>
      </c>
      <c r="B2108" t="s">
        <v>724</v>
      </c>
      <c r="C2108" s="1">
        <v>45001</v>
      </c>
      <c r="D2108" s="1" t="str">
        <f>PROPER(orders[[#This Row],[order_priority]])</f>
        <v>Same Day</v>
      </c>
      <c r="E2108" t="s">
        <v>13322</v>
      </c>
      <c r="F2108" t="str">
        <f>IFERROR(INDEX(customers[country], MATCH(orders[[#This Row],[customer_id]], customers[customer_id], 0)), "Unmapped")</f>
        <v>Denmark</v>
      </c>
      <c r="G2108" t="str">
        <f>IFERROR(INDEX(Region_Map[Region], MATCH(orders[[#This Row],[Customer_Country]], Region_Map[Country], 0)), "Unknown")</f>
        <v>Nordics</v>
      </c>
      <c r="H2108" t="s">
        <v>6949</v>
      </c>
    </row>
    <row r="2109" spans="1:8">
      <c r="A2109" t="s">
        <v>3017</v>
      </c>
      <c r="B2109" t="s">
        <v>326</v>
      </c>
      <c r="C2109" s="1">
        <v>45389</v>
      </c>
      <c r="D2109" s="1" t="str">
        <f>PROPER(orders[[#This Row],[order_priority]])</f>
        <v>Standard</v>
      </c>
      <c r="E2109" t="s">
        <v>13319</v>
      </c>
      <c r="F2109" t="str">
        <f>IFERROR(INDEX(customers[country], MATCH(orders[[#This Row],[customer_id]], customers[customer_id], 0)), "Unmapped")</f>
        <v>Lithuania</v>
      </c>
      <c r="G2109" t="str">
        <f>IFERROR(INDEX(Region_Map[Region], MATCH(orders[[#This Row],[Customer_Country]], Region_Map[Country], 0)), "Unknown")</f>
        <v>Baltics</v>
      </c>
      <c r="H2109" t="s">
        <v>6949</v>
      </c>
    </row>
    <row r="2110" spans="1:8">
      <c r="A2110" t="s">
        <v>3018</v>
      </c>
      <c r="B2110" t="s">
        <v>386</v>
      </c>
      <c r="C2110" s="1">
        <v>45134</v>
      </c>
      <c r="D2110" s="1" t="str">
        <f>PROPER(orders[[#This Row],[order_priority]])</f>
        <v>Standard</v>
      </c>
      <c r="E2110" t="s">
        <v>13323</v>
      </c>
      <c r="F2110" t="str">
        <f>IFERROR(INDEX(customers[country], MATCH(orders[[#This Row],[customer_id]], customers[customer_id], 0)), "Unmapped")</f>
        <v>Germany</v>
      </c>
      <c r="G2110" t="str">
        <f>IFERROR(INDEX(Region_Map[Region], MATCH(orders[[#This Row],[Customer_Country]], Region_Map[Country], 0)), "Unknown")</f>
        <v>Central Europe</v>
      </c>
      <c r="H2110" t="s">
        <v>6949</v>
      </c>
    </row>
    <row r="2111" spans="1:8">
      <c r="A2111" t="s">
        <v>3019</v>
      </c>
      <c r="B2111" t="s">
        <v>903</v>
      </c>
      <c r="C2111" s="1">
        <v>45357</v>
      </c>
      <c r="D2111" s="1" t="str">
        <f>PROPER(orders[[#This Row],[order_priority]])</f>
        <v>Standard</v>
      </c>
      <c r="E2111" t="s">
        <v>13317</v>
      </c>
      <c r="F2111" t="str">
        <f>IFERROR(INDEX(customers[country], MATCH(orders[[#This Row],[customer_id]], customers[customer_id], 0)), "Unmapped")</f>
        <v>Norway</v>
      </c>
      <c r="G2111" t="str">
        <f>IFERROR(INDEX(Region_Map[Region], MATCH(orders[[#This Row],[Customer_Country]], Region_Map[Country], 0)), "Unknown")</f>
        <v>Nordics</v>
      </c>
      <c r="H2111" t="s">
        <v>6949</v>
      </c>
    </row>
    <row r="2112" spans="1:8">
      <c r="A2112" t="s">
        <v>3020</v>
      </c>
      <c r="B2112" t="s">
        <v>900</v>
      </c>
      <c r="C2112" s="1">
        <v>44946</v>
      </c>
      <c r="D2112" s="1" t="str">
        <f>PROPER(orders[[#This Row],[order_priority]])</f>
        <v>Economy</v>
      </c>
      <c r="E2112" t="s">
        <v>13316</v>
      </c>
      <c r="F2112" t="str">
        <f>IFERROR(INDEX(customers[country], MATCH(orders[[#This Row],[customer_id]], customers[customer_id], 0)), "Unmapped")</f>
        <v>Germany</v>
      </c>
      <c r="G2112" t="str">
        <f>IFERROR(INDEX(Region_Map[Region], MATCH(orders[[#This Row],[Customer_Country]], Region_Map[Country], 0)), "Unknown")</f>
        <v>Central Europe</v>
      </c>
      <c r="H2112" t="s">
        <v>6949</v>
      </c>
    </row>
    <row r="2113" spans="1:8">
      <c r="A2113" t="s">
        <v>3021</v>
      </c>
      <c r="B2113" t="s">
        <v>769</v>
      </c>
      <c r="C2113" s="1">
        <v>45191</v>
      </c>
      <c r="D2113" s="1" t="str">
        <f>PROPER(orders[[#This Row],[order_priority]])</f>
        <v>Economy</v>
      </c>
      <c r="E2113" t="s">
        <v>13316</v>
      </c>
      <c r="F2113" t="str">
        <f>IFERROR(INDEX(customers[country], MATCH(orders[[#This Row],[customer_id]], customers[customer_id], 0)), "Unmapped")</f>
        <v>Latvia</v>
      </c>
      <c r="G2113" t="str">
        <f>IFERROR(INDEX(Region_Map[Region], MATCH(orders[[#This Row],[Customer_Country]], Region_Map[Country], 0)), "Unknown")</f>
        <v>Baltics</v>
      </c>
      <c r="H2113" t="s">
        <v>6949</v>
      </c>
    </row>
    <row r="2114" spans="1:8">
      <c r="A2114" t="s">
        <v>3022</v>
      </c>
      <c r="B2114" t="s">
        <v>264</v>
      </c>
      <c r="C2114" s="1">
        <v>44977</v>
      </c>
      <c r="D2114" s="1" t="str">
        <f>PROPER(orders[[#This Row],[order_priority]])</f>
        <v>Economy</v>
      </c>
      <c r="E2114" t="s">
        <v>13316</v>
      </c>
      <c r="F2114" t="str">
        <f>IFERROR(INDEX(customers[country], MATCH(orders[[#This Row],[customer_id]], customers[customer_id], 0)), "Unmapped")</f>
        <v>Germany</v>
      </c>
      <c r="G2114" t="str">
        <f>IFERROR(INDEX(Region_Map[Region], MATCH(orders[[#This Row],[Customer_Country]], Region_Map[Country], 0)), "Unknown")</f>
        <v>Central Europe</v>
      </c>
      <c r="H2114" t="s">
        <v>6949</v>
      </c>
    </row>
    <row r="2115" spans="1:8">
      <c r="A2115" t="s">
        <v>3023</v>
      </c>
      <c r="B2115" t="s">
        <v>738</v>
      </c>
      <c r="C2115" s="1">
        <v>45616</v>
      </c>
      <c r="D2115" s="1" t="str">
        <f>PROPER(orders[[#This Row],[order_priority]])</f>
        <v>Express</v>
      </c>
      <c r="E2115" t="s">
        <v>13318</v>
      </c>
      <c r="F2115" t="str">
        <f>IFERROR(INDEX(customers[country], MATCH(orders[[#This Row],[customer_id]], customers[customer_id], 0)), "Unmapped")</f>
        <v>Finland</v>
      </c>
      <c r="G2115" t="str">
        <f>IFERROR(INDEX(Region_Map[Region], MATCH(orders[[#This Row],[Customer_Country]], Region_Map[Country], 0)), "Unknown")</f>
        <v>Nordics</v>
      </c>
      <c r="H2115" t="s">
        <v>6949</v>
      </c>
    </row>
    <row r="2116" spans="1:8">
      <c r="A2116" t="s">
        <v>3024</v>
      </c>
      <c r="B2116" t="s">
        <v>503</v>
      </c>
      <c r="C2116" s="1">
        <v>45200</v>
      </c>
      <c r="D2116" s="1" t="str">
        <f>PROPER(orders[[#This Row],[order_priority]])</f>
        <v>Standard</v>
      </c>
      <c r="E2116" t="s">
        <v>13317</v>
      </c>
      <c r="F2116" t="str">
        <f>IFERROR(INDEX(customers[country], MATCH(orders[[#This Row],[customer_id]], customers[customer_id], 0)), "Unmapped")</f>
        <v>Denmark</v>
      </c>
      <c r="G2116" t="str">
        <f>IFERROR(INDEX(Region_Map[Region], MATCH(orders[[#This Row],[Customer_Country]], Region_Map[Country], 0)), "Unknown")</f>
        <v>Nordics</v>
      </c>
      <c r="H2116" t="s">
        <v>6949</v>
      </c>
    </row>
    <row r="2117" spans="1:8">
      <c r="A2117" t="s">
        <v>3025</v>
      </c>
      <c r="B2117" t="s">
        <v>825</v>
      </c>
      <c r="C2117" s="1">
        <v>45425</v>
      </c>
      <c r="D2117" s="1" t="str">
        <f>PROPER(orders[[#This Row],[order_priority]])</f>
        <v>Standard</v>
      </c>
      <c r="E2117" t="s">
        <v>13317</v>
      </c>
      <c r="F2117" t="str">
        <f>IFERROR(INDEX(customers[country], MATCH(orders[[#This Row],[customer_id]], customers[customer_id], 0)), "Unmapped")</f>
        <v>Latvia</v>
      </c>
      <c r="G2117" t="str">
        <f>IFERROR(INDEX(Region_Map[Region], MATCH(orders[[#This Row],[Customer_Country]], Region_Map[Country], 0)), "Unknown")</f>
        <v>Baltics</v>
      </c>
      <c r="H2117" t="s">
        <v>6949</v>
      </c>
    </row>
    <row r="2118" spans="1:8">
      <c r="A2118" t="s">
        <v>3026</v>
      </c>
      <c r="B2118" t="s">
        <v>231</v>
      </c>
      <c r="C2118" s="1">
        <v>45072</v>
      </c>
      <c r="D2118" s="1" t="str">
        <f>PROPER(orders[[#This Row],[order_priority]])</f>
        <v>Standard</v>
      </c>
      <c r="E2118" t="s">
        <v>13317</v>
      </c>
      <c r="F2118" t="str">
        <f>IFERROR(INDEX(customers[country], MATCH(orders[[#This Row],[customer_id]], customers[customer_id], 0)), "Unmapped")</f>
        <v>Lithuania</v>
      </c>
      <c r="G2118" t="str">
        <f>IFERROR(INDEX(Region_Map[Region], MATCH(orders[[#This Row],[Customer_Country]], Region_Map[Country], 0)), "Unknown")</f>
        <v>Baltics</v>
      </c>
      <c r="H2118" t="s">
        <v>6949</v>
      </c>
    </row>
    <row r="2119" spans="1:8">
      <c r="A2119" t="s">
        <v>3027</v>
      </c>
      <c r="B2119" t="s">
        <v>482</v>
      </c>
      <c r="C2119" s="1">
        <v>45617</v>
      </c>
      <c r="D2119" s="1" t="str">
        <f>PROPER(orders[[#This Row],[order_priority]])</f>
        <v>Economy</v>
      </c>
      <c r="E2119" t="s">
        <v>13316</v>
      </c>
      <c r="F2119" t="str">
        <f>IFERROR(INDEX(customers[country], MATCH(orders[[#This Row],[customer_id]], customers[customer_id], 0)), "Unmapped")</f>
        <v>Finland</v>
      </c>
      <c r="G2119" t="str">
        <f>IFERROR(INDEX(Region_Map[Region], MATCH(orders[[#This Row],[Customer_Country]], Region_Map[Country], 0)), "Unknown")</f>
        <v>Nordics</v>
      </c>
      <c r="H2119" t="s">
        <v>6949</v>
      </c>
    </row>
    <row r="2120" spans="1:8">
      <c r="A2120" t="s">
        <v>3028</v>
      </c>
      <c r="B2120" t="s">
        <v>70</v>
      </c>
      <c r="C2120" s="1">
        <v>45081</v>
      </c>
      <c r="D2120" s="1" t="str">
        <f>PROPER(orders[[#This Row],[order_priority]])</f>
        <v>Express</v>
      </c>
      <c r="E2120" t="s">
        <v>13318</v>
      </c>
      <c r="F2120" t="str">
        <f>IFERROR(INDEX(customers[country], MATCH(orders[[#This Row],[customer_id]], customers[customer_id], 0)), "Unmapped")</f>
        <v>Estonia</v>
      </c>
      <c r="G2120" t="str">
        <f>IFERROR(INDEX(Region_Map[Region], MATCH(orders[[#This Row],[Customer_Country]], Region_Map[Country], 0)), "Unknown")</f>
        <v>Baltics</v>
      </c>
      <c r="H2120" t="s">
        <v>6949</v>
      </c>
    </row>
    <row r="2121" spans="1:8">
      <c r="A2121" t="s">
        <v>3029</v>
      </c>
      <c r="B2121" t="s">
        <v>575</v>
      </c>
      <c r="C2121" s="1">
        <v>45231</v>
      </c>
      <c r="D2121" s="1" t="str">
        <f>PROPER(orders[[#This Row],[order_priority]])</f>
        <v>Express</v>
      </c>
      <c r="E2121" t="s">
        <v>13318</v>
      </c>
      <c r="F2121" t="str">
        <f>IFERROR(INDEX(customers[country], MATCH(orders[[#This Row],[customer_id]], customers[customer_id], 0)), "Unmapped")</f>
        <v>Netherlands</v>
      </c>
      <c r="G2121" t="str">
        <f>IFERROR(INDEX(Region_Map[Region], MATCH(orders[[#This Row],[Customer_Country]], Region_Map[Country], 0)), "Unknown")</f>
        <v>Central Europe</v>
      </c>
      <c r="H2121" t="s">
        <v>6949</v>
      </c>
    </row>
    <row r="2122" spans="1:8">
      <c r="A2122" t="s">
        <v>3030</v>
      </c>
      <c r="B2122" t="s">
        <v>67</v>
      </c>
      <c r="C2122" s="1">
        <v>45498</v>
      </c>
      <c r="D2122" s="1" t="str">
        <f>PROPER(orders[[#This Row],[order_priority]])</f>
        <v>Economy</v>
      </c>
      <c r="E2122" t="s">
        <v>13316</v>
      </c>
      <c r="F2122" t="str">
        <f>IFERROR(INDEX(customers[country], MATCH(orders[[#This Row],[customer_id]], customers[customer_id], 0)), "Unmapped")</f>
        <v>Estonia</v>
      </c>
      <c r="G2122" t="str">
        <f>IFERROR(INDEX(Region_Map[Region], MATCH(orders[[#This Row],[Customer_Country]], Region_Map[Country], 0)), "Unknown")</f>
        <v>Baltics</v>
      </c>
      <c r="H2122" t="s">
        <v>6949</v>
      </c>
    </row>
    <row r="2123" spans="1:8">
      <c r="A2123" t="s">
        <v>3031</v>
      </c>
      <c r="B2123" t="s">
        <v>181</v>
      </c>
      <c r="C2123" s="1">
        <v>45116</v>
      </c>
      <c r="D2123" s="1" t="str">
        <f>PROPER(orders[[#This Row],[order_priority]])</f>
        <v>Express</v>
      </c>
      <c r="E2123" t="s">
        <v>13318</v>
      </c>
      <c r="F2123" t="str">
        <f>IFERROR(INDEX(customers[country], MATCH(orders[[#This Row],[customer_id]], customers[customer_id], 0)), "Unmapped")</f>
        <v>Netherlands</v>
      </c>
      <c r="G2123" t="str">
        <f>IFERROR(INDEX(Region_Map[Region], MATCH(orders[[#This Row],[Customer_Country]], Region_Map[Country], 0)), "Unknown")</f>
        <v>Central Europe</v>
      </c>
      <c r="H2123" t="s">
        <v>6949</v>
      </c>
    </row>
    <row r="2124" spans="1:8">
      <c r="A2124" t="s">
        <v>3032</v>
      </c>
      <c r="B2124" t="s">
        <v>611</v>
      </c>
      <c r="C2124" s="1">
        <v>45368</v>
      </c>
      <c r="D2124" s="1" t="str">
        <f>PROPER(orders[[#This Row],[order_priority]])</f>
        <v>Express</v>
      </c>
      <c r="E2124" t="s">
        <v>13318</v>
      </c>
      <c r="F2124" t="str">
        <f>IFERROR(INDEX(customers[country], MATCH(orders[[#This Row],[customer_id]], customers[customer_id], 0)), "Unmapped")</f>
        <v>Poland</v>
      </c>
      <c r="G2124" t="str">
        <f>IFERROR(INDEX(Region_Map[Region], MATCH(orders[[#This Row],[Customer_Country]], Region_Map[Country], 0)), "Unknown")</f>
        <v>Central Europe</v>
      </c>
      <c r="H2124" t="s">
        <v>6949</v>
      </c>
    </row>
    <row r="2125" spans="1:8">
      <c r="A2125" t="s">
        <v>3033</v>
      </c>
      <c r="B2125" t="s">
        <v>581</v>
      </c>
      <c r="C2125" s="1">
        <v>45077</v>
      </c>
      <c r="D2125" s="1" t="str">
        <f>PROPER(orders[[#This Row],[order_priority]])</f>
        <v>Same Day</v>
      </c>
      <c r="E2125" t="s">
        <v>13321</v>
      </c>
      <c r="F2125" t="str">
        <f>IFERROR(INDEX(customers[country], MATCH(orders[[#This Row],[customer_id]], customers[customer_id], 0)), "Unmapped")</f>
        <v>Norway</v>
      </c>
      <c r="G2125" t="str">
        <f>IFERROR(INDEX(Region_Map[Region], MATCH(orders[[#This Row],[Customer_Country]], Region_Map[Country], 0)), "Unknown")</f>
        <v>Nordics</v>
      </c>
      <c r="H2125" t="s">
        <v>6949</v>
      </c>
    </row>
    <row r="2126" spans="1:8">
      <c r="A2126" t="s">
        <v>3034</v>
      </c>
      <c r="B2126" t="s">
        <v>664</v>
      </c>
      <c r="C2126" s="1">
        <v>45334</v>
      </c>
      <c r="D2126" s="1" t="str">
        <f>PROPER(orders[[#This Row],[order_priority]])</f>
        <v>Economy</v>
      </c>
      <c r="E2126" t="s">
        <v>13328</v>
      </c>
      <c r="F2126" t="str">
        <f>IFERROR(INDEX(customers[country], MATCH(orders[[#This Row],[customer_id]], customers[customer_id], 0)), "Unmapped")</f>
        <v>Latvia</v>
      </c>
      <c r="G2126" t="str">
        <f>IFERROR(INDEX(Region_Map[Region], MATCH(orders[[#This Row],[Customer_Country]], Region_Map[Country], 0)), "Unknown")</f>
        <v>Baltics</v>
      </c>
      <c r="H2126" t="s">
        <v>6949</v>
      </c>
    </row>
    <row r="2127" spans="1:8">
      <c r="A2127" t="s">
        <v>3035</v>
      </c>
      <c r="B2127" t="s">
        <v>590</v>
      </c>
      <c r="C2127" s="1">
        <v>45026</v>
      </c>
      <c r="D2127" s="1" t="str">
        <f>PROPER(orders[[#This Row],[order_priority]])</f>
        <v>Express</v>
      </c>
      <c r="E2127" t="s">
        <v>13318</v>
      </c>
      <c r="F2127" t="str">
        <f>IFERROR(INDEX(customers[country], MATCH(orders[[#This Row],[customer_id]], customers[customer_id], 0)), "Unmapped")</f>
        <v>Finland</v>
      </c>
      <c r="G2127" t="str">
        <f>IFERROR(INDEX(Region_Map[Region], MATCH(orders[[#This Row],[Customer_Country]], Region_Map[Country], 0)), "Unknown")</f>
        <v>Nordics</v>
      </c>
      <c r="H2127" t="s">
        <v>6949</v>
      </c>
    </row>
    <row r="2128" spans="1:8">
      <c r="A2128" t="s">
        <v>3036</v>
      </c>
      <c r="B2128" t="s">
        <v>805</v>
      </c>
      <c r="C2128" s="1">
        <v>45615</v>
      </c>
      <c r="D2128" s="1" t="str">
        <f>PROPER(orders[[#This Row],[order_priority]])</f>
        <v>Express</v>
      </c>
      <c r="E2128" t="s">
        <v>13318</v>
      </c>
      <c r="F2128" t="str">
        <f>IFERROR(INDEX(customers[country], MATCH(orders[[#This Row],[customer_id]], customers[customer_id], 0)), "Unmapped")</f>
        <v>Estonia</v>
      </c>
      <c r="G2128" t="str">
        <f>IFERROR(INDEX(Region_Map[Region], MATCH(orders[[#This Row],[Customer_Country]], Region_Map[Country], 0)), "Unknown")</f>
        <v>Baltics</v>
      </c>
      <c r="H2128" t="s">
        <v>6949</v>
      </c>
    </row>
    <row r="2129" spans="1:8">
      <c r="A2129" t="s">
        <v>3037</v>
      </c>
      <c r="B2129" t="s">
        <v>787</v>
      </c>
      <c r="C2129" s="1">
        <v>45359</v>
      </c>
      <c r="D2129" s="1" t="str">
        <f>PROPER(orders[[#This Row],[order_priority]])</f>
        <v>Same Day</v>
      </c>
      <c r="E2129" t="s">
        <v>13322</v>
      </c>
      <c r="F2129" t="str">
        <f>IFERROR(INDEX(customers[country], MATCH(orders[[#This Row],[customer_id]], customers[customer_id], 0)), "Unmapped")</f>
        <v>Netherlands</v>
      </c>
      <c r="G2129" t="str">
        <f>IFERROR(INDEX(Region_Map[Region], MATCH(orders[[#This Row],[Customer_Country]], Region_Map[Country], 0)), "Unknown")</f>
        <v>Central Europe</v>
      </c>
      <c r="H2129" t="s">
        <v>6949</v>
      </c>
    </row>
    <row r="2130" spans="1:8">
      <c r="A2130" t="s">
        <v>3038</v>
      </c>
      <c r="B2130" t="s">
        <v>64</v>
      </c>
      <c r="C2130" s="1">
        <v>45065</v>
      </c>
      <c r="D2130" s="1" t="str">
        <f>PROPER(orders[[#This Row],[order_priority]])</f>
        <v>Economy</v>
      </c>
      <c r="E2130" t="s">
        <v>13316</v>
      </c>
      <c r="F2130" t="str">
        <f>IFERROR(INDEX(customers[country], MATCH(orders[[#This Row],[customer_id]], customers[customer_id], 0)), "Unmapped")</f>
        <v>Netherlands</v>
      </c>
      <c r="G2130" t="str">
        <f>IFERROR(INDEX(Region_Map[Region], MATCH(orders[[#This Row],[Customer_Country]], Region_Map[Country], 0)), "Unknown")</f>
        <v>Central Europe</v>
      </c>
      <c r="H2130" t="s">
        <v>6949</v>
      </c>
    </row>
    <row r="2131" spans="1:8">
      <c r="A2131" t="s">
        <v>3039</v>
      </c>
      <c r="B2131" t="s">
        <v>758</v>
      </c>
      <c r="C2131" s="1">
        <v>45216</v>
      </c>
      <c r="D2131" s="1" t="str">
        <f>PROPER(orders[[#This Row],[order_priority]])</f>
        <v>Express</v>
      </c>
      <c r="E2131" t="s">
        <v>13318</v>
      </c>
      <c r="F2131" t="str">
        <f>IFERROR(INDEX(customers[country], MATCH(orders[[#This Row],[customer_id]], customers[customer_id], 0)), "Unmapped")</f>
        <v>Estonia</v>
      </c>
      <c r="G2131" t="str">
        <f>IFERROR(INDEX(Region_Map[Region], MATCH(orders[[#This Row],[Customer_Country]], Region_Map[Country], 0)), "Unknown")</f>
        <v>Baltics</v>
      </c>
      <c r="H2131" t="s">
        <v>6949</v>
      </c>
    </row>
    <row r="2132" spans="1:8">
      <c r="A2132" t="s">
        <v>3040</v>
      </c>
      <c r="B2132" t="s">
        <v>303</v>
      </c>
      <c r="C2132" s="1">
        <v>44959</v>
      </c>
      <c r="D2132" s="1" t="str">
        <f>PROPER(orders[[#This Row],[order_priority]])</f>
        <v>Same Day</v>
      </c>
      <c r="E2132" t="s">
        <v>13322</v>
      </c>
      <c r="F2132" t="str">
        <f>IFERROR(INDEX(customers[country], MATCH(orders[[#This Row],[customer_id]], customers[customer_id], 0)), "Unmapped")</f>
        <v>Netherlands</v>
      </c>
      <c r="G2132" t="str">
        <f>IFERROR(INDEX(Region_Map[Region], MATCH(orders[[#This Row],[Customer_Country]], Region_Map[Country], 0)), "Unknown")</f>
        <v>Central Europe</v>
      </c>
      <c r="H2132" t="s">
        <v>6949</v>
      </c>
    </row>
    <row r="2133" spans="1:8">
      <c r="A2133" t="s">
        <v>3041</v>
      </c>
      <c r="B2133" t="s">
        <v>285</v>
      </c>
      <c r="C2133" s="1">
        <v>44988</v>
      </c>
      <c r="D2133" s="1" t="str">
        <f>PROPER(orders[[#This Row],[order_priority]])</f>
        <v>Economy</v>
      </c>
      <c r="E2133" t="s">
        <v>13316</v>
      </c>
      <c r="F2133" t="str">
        <f>IFERROR(INDEX(customers[country], MATCH(orders[[#This Row],[customer_id]], customers[customer_id], 0)), "Unmapped")</f>
        <v>Norway</v>
      </c>
      <c r="G2133" t="str">
        <f>IFERROR(INDEX(Region_Map[Region], MATCH(orders[[#This Row],[Customer_Country]], Region_Map[Country], 0)), "Unknown")</f>
        <v>Nordics</v>
      </c>
      <c r="H2133" t="s">
        <v>6949</v>
      </c>
    </row>
    <row r="2134" spans="1:8">
      <c r="A2134" t="s">
        <v>3042</v>
      </c>
      <c r="B2134" t="s">
        <v>661</v>
      </c>
      <c r="C2134" s="1">
        <v>45156</v>
      </c>
      <c r="D2134" s="1" t="str">
        <f>PROPER(orders[[#This Row],[order_priority]])</f>
        <v>Standard</v>
      </c>
      <c r="E2134" t="s">
        <v>13317</v>
      </c>
      <c r="F2134" t="str">
        <f>IFERROR(INDEX(customers[country], MATCH(orders[[#This Row],[customer_id]], customers[customer_id], 0)), "Unmapped")</f>
        <v>Lithuania</v>
      </c>
      <c r="G2134" t="str">
        <f>IFERROR(INDEX(Region_Map[Region], MATCH(orders[[#This Row],[Customer_Country]], Region_Map[Country], 0)), "Unknown")</f>
        <v>Baltics</v>
      </c>
      <c r="H2134" t="s">
        <v>6949</v>
      </c>
    </row>
    <row r="2135" spans="1:8">
      <c r="A2135" t="s">
        <v>3043</v>
      </c>
      <c r="B2135" t="s">
        <v>566</v>
      </c>
      <c r="C2135" s="1">
        <v>45590</v>
      </c>
      <c r="D2135" s="1" t="str">
        <f>PROPER(orders[[#This Row],[order_priority]])</f>
        <v>Economy</v>
      </c>
      <c r="E2135" t="s">
        <v>13316</v>
      </c>
      <c r="F2135" t="str">
        <f>IFERROR(INDEX(customers[country], MATCH(orders[[#This Row],[customer_id]], customers[customer_id], 0)), "Unmapped")</f>
        <v>Denmark</v>
      </c>
      <c r="G2135" t="str">
        <f>IFERROR(INDEX(Region_Map[Region], MATCH(orders[[#This Row],[Customer_Country]], Region_Map[Country], 0)), "Unknown")</f>
        <v>Nordics</v>
      </c>
      <c r="H2135" t="s">
        <v>6949</v>
      </c>
    </row>
    <row r="2136" spans="1:8">
      <c r="A2136" t="s">
        <v>3044</v>
      </c>
      <c r="B2136" t="s">
        <v>416</v>
      </c>
      <c r="C2136" s="1">
        <v>45407</v>
      </c>
      <c r="D2136" s="1" t="str">
        <f>PROPER(orders[[#This Row],[order_priority]])</f>
        <v>Express</v>
      </c>
      <c r="E2136" t="s">
        <v>13318</v>
      </c>
      <c r="F2136" t="str">
        <f>IFERROR(INDEX(customers[country], MATCH(orders[[#This Row],[customer_id]], customers[customer_id], 0)), "Unmapped")</f>
        <v>Denmark</v>
      </c>
      <c r="G2136" t="str">
        <f>IFERROR(INDEX(Region_Map[Region], MATCH(orders[[#This Row],[Customer_Country]], Region_Map[Country], 0)), "Unknown")</f>
        <v>Nordics</v>
      </c>
      <c r="H2136" t="s">
        <v>6949</v>
      </c>
    </row>
    <row r="2137" spans="1:8">
      <c r="A2137" t="s">
        <v>3045</v>
      </c>
      <c r="B2137" t="s">
        <v>658</v>
      </c>
      <c r="C2137" s="1">
        <v>45271</v>
      </c>
      <c r="D2137" s="1" t="str">
        <f>PROPER(orders[[#This Row],[order_priority]])</f>
        <v>Same Day</v>
      </c>
      <c r="E2137" t="s">
        <v>13321</v>
      </c>
      <c r="F2137" t="str">
        <f>IFERROR(INDEX(customers[country], MATCH(orders[[#This Row],[customer_id]], customers[customer_id], 0)), "Unmapped")</f>
        <v>Latvia</v>
      </c>
      <c r="G2137" t="str">
        <f>IFERROR(INDEX(Region_Map[Region], MATCH(orders[[#This Row],[Customer_Country]], Region_Map[Country], 0)), "Unknown")</f>
        <v>Baltics</v>
      </c>
      <c r="H2137" t="s">
        <v>6949</v>
      </c>
    </row>
    <row r="2138" spans="1:8">
      <c r="A2138" t="s">
        <v>3046</v>
      </c>
      <c r="B2138" t="s">
        <v>658</v>
      </c>
      <c r="C2138" s="1">
        <v>45208</v>
      </c>
      <c r="D2138" s="1" t="str">
        <f>PROPER(orders[[#This Row],[order_priority]])</f>
        <v>Economy</v>
      </c>
      <c r="E2138" t="s">
        <v>13316</v>
      </c>
      <c r="F2138" t="str">
        <f>IFERROR(INDEX(customers[country], MATCH(orders[[#This Row],[customer_id]], customers[customer_id], 0)), "Unmapped")</f>
        <v>Latvia</v>
      </c>
      <c r="G2138" t="str">
        <f>IFERROR(INDEX(Region_Map[Region], MATCH(orders[[#This Row],[Customer_Country]], Region_Map[Country], 0)), "Unknown")</f>
        <v>Baltics</v>
      </c>
      <c r="H2138" t="s">
        <v>6949</v>
      </c>
    </row>
    <row r="2139" spans="1:8">
      <c r="A2139" t="s">
        <v>3047</v>
      </c>
      <c r="B2139" t="s">
        <v>359</v>
      </c>
      <c r="C2139" s="1">
        <v>44979</v>
      </c>
      <c r="D2139" s="1" t="str">
        <f>PROPER(orders[[#This Row],[order_priority]])</f>
        <v>Economy</v>
      </c>
      <c r="E2139" t="s">
        <v>13316</v>
      </c>
      <c r="F2139" t="str">
        <f>IFERROR(INDEX(customers[country], MATCH(orders[[#This Row],[customer_id]], customers[customer_id], 0)), "Unmapped")</f>
        <v>Estonia</v>
      </c>
      <c r="G2139" t="str">
        <f>IFERROR(INDEX(Region_Map[Region], MATCH(orders[[#This Row],[Customer_Country]], Region_Map[Country], 0)), "Unknown")</f>
        <v>Baltics</v>
      </c>
      <c r="H2139" t="s">
        <v>6949</v>
      </c>
    </row>
    <row r="2140" spans="1:8">
      <c r="A2140" t="s">
        <v>3048</v>
      </c>
      <c r="B2140" t="s">
        <v>799</v>
      </c>
      <c r="C2140" s="1">
        <v>45330</v>
      </c>
      <c r="D2140" s="1" t="str">
        <f>PROPER(orders[[#This Row],[order_priority]])</f>
        <v>Same Day</v>
      </c>
      <c r="E2140" t="s">
        <v>13321</v>
      </c>
      <c r="F2140" t="str">
        <f>IFERROR(INDEX(customers[country], MATCH(orders[[#This Row],[customer_id]], customers[customer_id], 0)), "Unmapped")</f>
        <v>Germany</v>
      </c>
      <c r="G2140" t="str">
        <f>IFERROR(INDEX(Region_Map[Region], MATCH(orders[[#This Row],[Customer_Country]], Region_Map[Country], 0)), "Unknown")</f>
        <v>Central Europe</v>
      </c>
      <c r="H2140" t="s">
        <v>6949</v>
      </c>
    </row>
    <row r="2141" spans="1:8">
      <c r="A2141" t="s">
        <v>3049</v>
      </c>
      <c r="B2141" t="s">
        <v>189</v>
      </c>
      <c r="C2141" s="1">
        <v>44963</v>
      </c>
      <c r="D2141" s="1" t="str">
        <f>PROPER(orders[[#This Row],[order_priority]])</f>
        <v>Express</v>
      </c>
      <c r="E2141" t="s">
        <v>13318</v>
      </c>
      <c r="F2141" t="str">
        <f>IFERROR(INDEX(customers[country], MATCH(orders[[#This Row],[customer_id]], customers[customer_id], 0)), "Unmapped")</f>
        <v>Norway</v>
      </c>
      <c r="G2141" t="str">
        <f>IFERROR(INDEX(Region_Map[Region], MATCH(orders[[#This Row],[Customer_Country]], Region_Map[Country], 0)), "Unknown")</f>
        <v>Nordics</v>
      </c>
      <c r="H2141" t="s">
        <v>6949</v>
      </c>
    </row>
    <row r="2142" spans="1:8">
      <c r="A2142" t="s">
        <v>3050</v>
      </c>
      <c r="B2142" t="s">
        <v>828</v>
      </c>
      <c r="C2142" s="1">
        <v>45428</v>
      </c>
      <c r="D2142" s="1" t="str">
        <f>PROPER(orders[[#This Row],[order_priority]])</f>
        <v>Economy</v>
      </c>
      <c r="E2142" t="s">
        <v>13316</v>
      </c>
      <c r="F2142" t="str">
        <f>IFERROR(INDEX(customers[country], MATCH(orders[[#This Row],[customer_id]], customers[customer_id], 0)), "Unmapped")</f>
        <v>Germany</v>
      </c>
      <c r="G2142" t="str">
        <f>IFERROR(INDEX(Region_Map[Region], MATCH(orders[[#This Row],[Customer_Country]], Region_Map[Country], 0)), "Unknown")</f>
        <v>Central Europe</v>
      </c>
      <c r="H2142" t="s">
        <v>6949</v>
      </c>
    </row>
    <row r="2143" spans="1:8">
      <c r="A2143" t="s">
        <v>3051</v>
      </c>
      <c r="B2143" t="s">
        <v>288</v>
      </c>
      <c r="C2143" s="1">
        <v>45586</v>
      </c>
      <c r="D2143" s="1" t="str">
        <f>PROPER(orders[[#This Row],[order_priority]])</f>
        <v>Economy</v>
      </c>
      <c r="E2143" t="s">
        <v>13316</v>
      </c>
      <c r="F2143" t="str">
        <f>IFERROR(INDEX(customers[country], MATCH(orders[[#This Row],[customer_id]], customers[customer_id], 0)), "Unmapped")</f>
        <v>Netherlands</v>
      </c>
      <c r="G2143" t="str">
        <f>IFERROR(INDEX(Region_Map[Region], MATCH(orders[[#This Row],[Customer_Country]], Region_Map[Country], 0)), "Unknown")</f>
        <v>Central Europe</v>
      </c>
      <c r="H2143" t="s">
        <v>6949</v>
      </c>
    </row>
    <row r="2144" spans="1:8">
      <c r="A2144" t="s">
        <v>3052</v>
      </c>
      <c r="B2144" t="s">
        <v>548</v>
      </c>
      <c r="C2144" s="1">
        <v>45426</v>
      </c>
      <c r="D2144" s="1" t="str">
        <f>PROPER(orders[[#This Row],[order_priority]])</f>
        <v>Same Day</v>
      </c>
      <c r="E2144" t="s">
        <v>13321</v>
      </c>
      <c r="F2144" t="str">
        <f>IFERROR(INDEX(customers[country], MATCH(orders[[#This Row],[customer_id]], customers[customer_id], 0)), "Unmapped")</f>
        <v>Sweden</v>
      </c>
      <c r="G2144" t="str">
        <f>IFERROR(INDEX(Region_Map[Region], MATCH(orders[[#This Row],[Customer_Country]], Region_Map[Country], 0)), "Unknown")</f>
        <v>Nordics</v>
      </c>
      <c r="H2144" t="s">
        <v>6949</v>
      </c>
    </row>
    <row r="2145" spans="1:8">
      <c r="A2145" t="s">
        <v>3053</v>
      </c>
      <c r="B2145" t="s">
        <v>48</v>
      </c>
      <c r="C2145" s="1">
        <v>45345</v>
      </c>
      <c r="D2145" s="1" t="str">
        <f>PROPER(orders[[#This Row],[order_priority]])</f>
        <v>Same Day</v>
      </c>
      <c r="E2145" t="s">
        <v>13322</v>
      </c>
      <c r="F2145" t="str">
        <f>IFERROR(INDEX(customers[country], MATCH(orders[[#This Row],[customer_id]], customers[customer_id], 0)), "Unmapped")</f>
        <v>Poland</v>
      </c>
      <c r="G2145" t="str">
        <f>IFERROR(INDEX(Region_Map[Region], MATCH(orders[[#This Row],[Customer_Country]], Region_Map[Country], 0)), "Unknown")</f>
        <v>Central Europe</v>
      </c>
      <c r="H2145" t="s">
        <v>6949</v>
      </c>
    </row>
    <row r="2146" spans="1:8">
      <c r="A2146" t="s">
        <v>3054</v>
      </c>
      <c r="B2146" t="s">
        <v>240</v>
      </c>
      <c r="C2146" s="1">
        <v>45215</v>
      </c>
      <c r="D2146" s="1" t="str">
        <f>PROPER(orders[[#This Row],[order_priority]])</f>
        <v>Express</v>
      </c>
      <c r="E2146" t="s">
        <v>13318</v>
      </c>
      <c r="F2146" t="str">
        <f>IFERROR(INDEX(customers[country], MATCH(orders[[#This Row],[customer_id]], customers[customer_id], 0)), "Unmapped")</f>
        <v>Lithuania</v>
      </c>
      <c r="G2146" t="str">
        <f>IFERROR(INDEX(Region_Map[Region], MATCH(orders[[#This Row],[Customer_Country]], Region_Map[Country], 0)), "Unknown")</f>
        <v>Baltics</v>
      </c>
      <c r="H2146" t="s">
        <v>6949</v>
      </c>
    </row>
    <row r="2147" spans="1:8">
      <c r="A2147" t="s">
        <v>3055</v>
      </c>
      <c r="B2147" t="s">
        <v>533</v>
      </c>
      <c r="C2147" s="1">
        <v>45225</v>
      </c>
      <c r="D2147" s="1" t="str">
        <f>PROPER(orders[[#This Row],[order_priority]])</f>
        <v>Standard</v>
      </c>
      <c r="E2147" t="s">
        <v>13317</v>
      </c>
      <c r="F2147" t="str">
        <f>IFERROR(INDEX(customers[country], MATCH(orders[[#This Row],[customer_id]], customers[customer_id], 0)), "Unmapped")</f>
        <v>Germany</v>
      </c>
      <c r="G2147" t="str">
        <f>IFERROR(INDEX(Region_Map[Region], MATCH(orders[[#This Row],[Customer_Country]], Region_Map[Country], 0)), "Unknown")</f>
        <v>Central Europe</v>
      </c>
      <c r="H2147" t="s">
        <v>6949</v>
      </c>
    </row>
    <row r="2148" spans="1:8">
      <c r="A2148" t="s">
        <v>3056</v>
      </c>
      <c r="B2148" t="s">
        <v>99</v>
      </c>
      <c r="C2148" s="1">
        <v>45097</v>
      </c>
      <c r="D2148" s="1" t="str">
        <f>PROPER(orders[[#This Row],[order_priority]])</f>
        <v>Express</v>
      </c>
      <c r="E2148" t="s">
        <v>13318</v>
      </c>
      <c r="F2148" t="str">
        <f>IFERROR(INDEX(customers[country], MATCH(orders[[#This Row],[customer_id]], customers[customer_id], 0)), "Unmapped")</f>
        <v>Poland</v>
      </c>
      <c r="G2148" t="str">
        <f>IFERROR(INDEX(Region_Map[Region], MATCH(orders[[#This Row],[Customer_Country]], Region_Map[Country], 0)), "Unknown")</f>
        <v>Central Europe</v>
      </c>
      <c r="H2148" t="s">
        <v>6949</v>
      </c>
    </row>
    <row r="2149" spans="1:8">
      <c r="A2149" t="s">
        <v>3057</v>
      </c>
      <c r="B2149" t="s">
        <v>758</v>
      </c>
      <c r="C2149" s="1">
        <v>45493</v>
      </c>
      <c r="D2149" s="1" t="str">
        <f>PROPER(orders[[#This Row],[order_priority]])</f>
        <v>Standard</v>
      </c>
      <c r="E2149" t="s">
        <v>13317</v>
      </c>
      <c r="F2149" t="str">
        <f>IFERROR(INDEX(customers[country], MATCH(orders[[#This Row],[customer_id]], customers[customer_id], 0)), "Unmapped")</f>
        <v>Estonia</v>
      </c>
      <c r="G2149" t="str">
        <f>IFERROR(INDEX(Region_Map[Region], MATCH(orders[[#This Row],[Customer_Country]], Region_Map[Country], 0)), "Unknown")</f>
        <v>Baltics</v>
      </c>
      <c r="H2149" t="s">
        <v>6949</v>
      </c>
    </row>
    <row r="2150" spans="1:8">
      <c r="A2150" t="s">
        <v>3058</v>
      </c>
      <c r="B2150" t="s">
        <v>575</v>
      </c>
      <c r="C2150" s="1">
        <v>45106</v>
      </c>
      <c r="D2150" s="1" t="str">
        <f>PROPER(orders[[#This Row],[order_priority]])</f>
        <v>Standard</v>
      </c>
      <c r="E2150" t="s">
        <v>13317</v>
      </c>
      <c r="F2150" t="str">
        <f>IFERROR(INDEX(customers[country], MATCH(orders[[#This Row],[customer_id]], customers[customer_id], 0)), "Unmapped")</f>
        <v>Netherlands</v>
      </c>
      <c r="G2150" t="str">
        <f>IFERROR(INDEX(Region_Map[Region], MATCH(orders[[#This Row],[Customer_Country]], Region_Map[Country], 0)), "Unknown")</f>
        <v>Central Europe</v>
      </c>
      <c r="H2150" t="s">
        <v>6949</v>
      </c>
    </row>
    <row r="2151" spans="1:8">
      <c r="A2151" t="s">
        <v>3059</v>
      </c>
      <c r="B2151" t="s">
        <v>784</v>
      </c>
      <c r="C2151" s="1">
        <v>45228</v>
      </c>
      <c r="D2151" s="1" t="str">
        <f>PROPER(orders[[#This Row],[order_priority]])</f>
        <v>Same Day</v>
      </c>
      <c r="E2151" t="s">
        <v>13322</v>
      </c>
      <c r="F2151" t="str">
        <f>IFERROR(INDEX(customers[country], MATCH(orders[[#This Row],[customer_id]], customers[customer_id], 0)), "Unmapped")</f>
        <v>Estonia</v>
      </c>
      <c r="G2151" t="str">
        <f>IFERROR(INDEX(Region_Map[Region], MATCH(orders[[#This Row],[Customer_Country]], Region_Map[Country], 0)), "Unknown")</f>
        <v>Baltics</v>
      </c>
      <c r="H2151" t="s">
        <v>6949</v>
      </c>
    </row>
    <row r="2152" spans="1:8">
      <c r="A2152" t="s">
        <v>3060</v>
      </c>
      <c r="B2152" t="s">
        <v>741</v>
      </c>
      <c r="C2152" s="1">
        <v>45387</v>
      </c>
      <c r="D2152" s="1" t="str">
        <f>PROPER(orders[[#This Row],[order_priority]])</f>
        <v>Express</v>
      </c>
      <c r="E2152" t="s">
        <v>13320</v>
      </c>
      <c r="F2152" t="str">
        <f>IFERROR(INDEX(customers[country], MATCH(orders[[#This Row],[customer_id]], customers[customer_id], 0)), "Unmapped")</f>
        <v>Germany</v>
      </c>
      <c r="G2152" t="str">
        <f>IFERROR(INDEX(Region_Map[Region], MATCH(orders[[#This Row],[Customer_Country]], Region_Map[Country], 0)), "Unknown")</f>
        <v>Central Europe</v>
      </c>
      <c r="H2152" t="s">
        <v>6949</v>
      </c>
    </row>
    <row r="2153" spans="1:8">
      <c r="A2153" t="s">
        <v>3061</v>
      </c>
      <c r="B2153" t="s">
        <v>219</v>
      </c>
      <c r="C2153" s="1">
        <v>45050</v>
      </c>
      <c r="D2153" s="1" t="str">
        <f>PROPER(orders[[#This Row],[order_priority]])</f>
        <v>Economy</v>
      </c>
      <c r="E2153" t="s">
        <v>13316</v>
      </c>
      <c r="F2153" t="str">
        <f>IFERROR(INDEX(customers[country], MATCH(orders[[#This Row],[customer_id]], customers[customer_id], 0)), "Unmapped")</f>
        <v>Latvia</v>
      </c>
      <c r="G2153" t="str">
        <f>IFERROR(INDEX(Region_Map[Region], MATCH(orders[[#This Row],[Customer_Country]], Region_Map[Country], 0)), "Unknown")</f>
        <v>Baltics</v>
      </c>
      <c r="H2153" t="s">
        <v>6949</v>
      </c>
    </row>
    <row r="2154" spans="1:8">
      <c r="A2154" t="s">
        <v>3062</v>
      </c>
      <c r="B2154" t="s">
        <v>894</v>
      </c>
      <c r="C2154" s="1">
        <v>45234</v>
      </c>
      <c r="D2154" s="1" t="str">
        <f>PROPER(orders[[#This Row],[order_priority]])</f>
        <v>Express</v>
      </c>
      <c r="E2154" t="s">
        <v>13318</v>
      </c>
      <c r="F2154" t="str">
        <f>IFERROR(INDEX(customers[country], MATCH(orders[[#This Row],[customer_id]], customers[customer_id], 0)), "Unmapped")</f>
        <v>Poland</v>
      </c>
      <c r="G2154" t="str">
        <f>IFERROR(INDEX(Region_Map[Region], MATCH(orders[[#This Row],[Customer_Country]], Region_Map[Country], 0)), "Unknown")</f>
        <v>Central Europe</v>
      </c>
      <c r="H2154" t="s">
        <v>6949</v>
      </c>
    </row>
    <row r="2155" spans="1:8">
      <c r="A2155" t="s">
        <v>3063</v>
      </c>
      <c r="B2155" t="s">
        <v>34</v>
      </c>
      <c r="C2155" s="1">
        <v>45341</v>
      </c>
      <c r="D2155" s="1" t="str">
        <f>PROPER(orders[[#This Row],[order_priority]])</f>
        <v>Economy</v>
      </c>
      <c r="E2155" t="s">
        <v>13316</v>
      </c>
      <c r="F2155" t="str">
        <f>IFERROR(INDEX(customers[country], MATCH(orders[[#This Row],[customer_id]], customers[customer_id], 0)), "Unmapped")</f>
        <v>Sweden</v>
      </c>
      <c r="G2155" t="str">
        <f>IFERROR(INDEX(Region_Map[Region], MATCH(orders[[#This Row],[Customer_Country]], Region_Map[Country], 0)), "Unknown")</f>
        <v>Nordics</v>
      </c>
      <c r="H2155" t="s">
        <v>6949</v>
      </c>
    </row>
    <row r="2156" spans="1:8">
      <c r="A2156" t="s">
        <v>3064</v>
      </c>
      <c r="B2156" t="s">
        <v>317</v>
      </c>
      <c r="C2156" s="1">
        <v>45128</v>
      </c>
      <c r="D2156" s="1" t="str">
        <f>PROPER(orders[[#This Row],[order_priority]])</f>
        <v>Standard</v>
      </c>
      <c r="E2156" t="s">
        <v>13317</v>
      </c>
      <c r="F2156" t="str">
        <f>IFERROR(INDEX(customers[country], MATCH(orders[[#This Row],[customer_id]], customers[customer_id], 0)), "Unmapped")</f>
        <v>Sweden</v>
      </c>
      <c r="G2156" t="str">
        <f>IFERROR(INDEX(Region_Map[Region], MATCH(orders[[#This Row],[Customer_Country]], Region_Map[Country], 0)), "Unknown")</f>
        <v>Nordics</v>
      </c>
      <c r="H2156" t="s">
        <v>6949</v>
      </c>
    </row>
    <row r="2157" spans="1:8">
      <c r="A2157" t="s">
        <v>3065</v>
      </c>
      <c r="B2157" t="s">
        <v>332</v>
      </c>
      <c r="C2157" s="1">
        <v>45312</v>
      </c>
      <c r="D2157" s="1" t="str">
        <f>PROPER(orders[[#This Row],[order_priority]])</f>
        <v>Express</v>
      </c>
      <c r="E2157" t="s">
        <v>13318</v>
      </c>
      <c r="F2157" t="str">
        <f>IFERROR(INDEX(customers[country], MATCH(orders[[#This Row],[customer_id]], customers[customer_id], 0)), "Unmapped")</f>
        <v>Lithuania</v>
      </c>
      <c r="G2157" t="str">
        <f>IFERROR(INDEX(Region_Map[Region], MATCH(orders[[#This Row],[Customer_Country]], Region_Map[Country], 0)), "Unknown")</f>
        <v>Baltics</v>
      </c>
      <c r="H2157" t="s">
        <v>6949</v>
      </c>
    </row>
    <row r="2158" spans="1:8">
      <c r="A2158" t="s">
        <v>3066</v>
      </c>
      <c r="B2158" t="s">
        <v>413</v>
      </c>
      <c r="C2158" s="1">
        <v>45156</v>
      </c>
      <c r="D2158" s="1" t="str">
        <f>PROPER(orders[[#This Row],[order_priority]])</f>
        <v>Standard</v>
      </c>
      <c r="E2158" t="s">
        <v>13317</v>
      </c>
      <c r="F2158" t="str">
        <f>IFERROR(INDEX(customers[country], MATCH(orders[[#This Row],[customer_id]], customers[customer_id], 0)), "Unmapped")</f>
        <v>Poland</v>
      </c>
      <c r="G2158" t="str">
        <f>IFERROR(INDEX(Region_Map[Region], MATCH(orders[[#This Row],[Customer_Country]], Region_Map[Country], 0)), "Unknown")</f>
        <v>Central Europe</v>
      </c>
      <c r="H2158" t="s">
        <v>6949</v>
      </c>
    </row>
    <row r="2159" spans="1:8">
      <c r="A2159" t="s">
        <v>3067</v>
      </c>
      <c r="B2159" t="s">
        <v>398</v>
      </c>
      <c r="C2159" s="1">
        <v>45487</v>
      </c>
      <c r="D2159" s="1" t="str">
        <f>PROPER(orders[[#This Row],[order_priority]])</f>
        <v>Express</v>
      </c>
      <c r="E2159" t="s">
        <v>13318</v>
      </c>
      <c r="F2159" t="str">
        <f>IFERROR(INDEX(customers[country], MATCH(orders[[#This Row],[customer_id]], customers[customer_id], 0)), "Unmapped")</f>
        <v>Sweden</v>
      </c>
      <c r="G2159" t="str">
        <f>IFERROR(INDEX(Region_Map[Region], MATCH(orders[[#This Row],[Customer_Country]], Region_Map[Country], 0)), "Unknown")</f>
        <v>Nordics</v>
      </c>
      <c r="H2159" t="s">
        <v>6949</v>
      </c>
    </row>
    <row r="2160" spans="1:8">
      <c r="A2160" t="s">
        <v>3068</v>
      </c>
      <c r="B2160" t="s">
        <v>873</v>
      </c>
      <c r="C2160" s="1">
        <v>45106</v>
      </c>
      <c r="D2160" s="1" t="str">
        <f>PROPER(orders[[#This Row],[order_priority]])</f>
        <v>Express</v>
      </c>
      <c r="E2160" t="s">
        <v>13318</v>
      </c>
      <c r="F2160" t="str">
        <f>IFERROR(INDEX(customers[country], MATCH(orders[[#This Row],[customer_id]], customers[customer_id], 0)), "Unmapped")</f>
        <v>Estonia</v>
      </c>
      <c r="G2160" t="str">
        <f>IFERROR(INDEX(Region_Map[Region], MATCH(orders[[#This Row],[Customer_Country]], Region_Map[Country], 0)), "Unknown")</f>
        <v>Baltics</v>
      </c>
      <c r="H2160" t="s">
        <v>6949</v>
      </c>
    </row>
    <row r="2161" spans="1:8">
      <c r="A2161" t="s">
        <v>3069</v>
      </c>
      <c r="B2161" t="s">
        <v>494</v>
      </c>
      <c r="C2161" s="1">
        <v>45167</v>
      </c>
      <c r="D2161" s="1" t="str">
        <f>PROPER(orders[[#This Row],[order_priority]])</f>
        <v>Same Day</v>
      </c>
      <c r="E2161" t="s">
        <v>13322</v>
      </c>
      <c r="F2161" t="str">
        <f>IFERROR(INDEX(customers[country], MATCH(orders[[#This Row],[customer_id]], customers[customer_id], 0)), "Unmapped")</f>
        <v>Sweden</v>
      </c>
      <c r="G2161" t="str">
        <f>IFERROR(INDEX(Region_Map[Region], MATCH(orders[[#This Row],[Customer_Country]], Region_Map[Country], 0)), "Unknown")</f>
        <v>Nordics</v>
      </c>
      <c r="H2161" t="s">
        <v>6949</v>
      </c>
    </row>
    <row r="2162" spans="1:8">
      <c r="A2162" t="s">
        <v>3070</v>
      </c>
      <c r="B2162" t="s">
        <v>237</v>
      </c>
      <c r="C2162" s="1">
        <v>44948</v>
      </c>
      <c r="D2162" s="1" t="str">
        <f>PROPER(orders[[#This Row],[order_priority]])</f>
        <v>Standard</v>
      </c>
      <c r="E2162" t="s">
        <v>13317</v>
      </c>
      <c r="F2162" t="str">
        <f>IFERROR(INDEX(customers[country], MATCH(orders[[#This Row],[customer_id]], customers[customer_id], 0)), "Unmapped")</f>
        <v>Sweden</v>
      </c>
      <c r="G2162" t="str">
        <f>IFERROR(INDEX(Region_Map[Region], MATCH(orders[[#This Row],[Customer_Country]], Region_Map[Country], 0)), "Unknown")</f>
        <v>Nordics</v>
      </c>
      <c r="H2162" t="s">
        <v>6949</v>
      </c>
    </row>
    <row r="2163" spans="1:8">
      <c r="A2163" t="s">
        <v>3071</v>
      </c>
      <c r="B2163" t="s">
        <v>700</v>
      </c>
      <c r="C2163" s="1">
        <v>45132</v>
      </c>
      <c r="D2163" s="1" t="str">
        <f>PROPER(orders[[#This Row],[order_priority]])</f>
        <v>Express</v>
      </c>
      <c r="E2163" t="s">
        <v>13318</v>
      </c>
      <c r="F2163" t="str">
        <f>IFERROR(INDEX(customers[country], MATCH(orders[[#This Row],[customer_id]], customers[customer_id], 0)), "Unmapped")</f>
        <v>Germany</v>
      </c>
      <c r="G2163" t="str">
        <f>IFERROR(INDEX(Region_Map[Region], MATCH(orders[[#This Row],[Customer_Country]], Region_Map[Country], 0)), "Unknown")</f>
        <v>Central Europe</v>
      </c>
      <c r="H2163" t="s">
        <v>6949</v>
      </c>
    </row>
    <row r="2164" spans="1:8">
      <c r="A2164" t="s">
        <v>3072</v>
      </c>
      <c r="B2164" t="s">
        <v>172</v>
      </c>
      <c r="C2164" s="1">
        <v>45295</v>
      </c>
      <c r="D2164" s="1" t="str">
        <f>PROPER(orders[[#This Row],[order_priority]])</f>
        <v>Standard</v>
      </c>
      <c r="E2164" t="s">
        <v>13317</v>
      </c>
      <c r="F2164" t="str">
        <f>IFERROR(INDEX(customers[country], MATCH(orders[[#This Row],[customer_id]], customers[customer_id], 0)), "Unmapped")</f>
        <v>Denmark</v>
      </c>
      <c r="G2164" t="str">
        <f>IFERROR(INDEX(Region_Map[Region], MATCH(orders[[#This Row],[Customer_Country]], Region_Map[Country], 0)), "Unknown")</f>
        <v>Nordics</v>
      </c>
      <c r="H2164" t="s">
        <v>6949</v>
      </c>
    </row>
    <row r="2165" spans="1:8">
      <c r="A2165" t="s">
        <v>3073</v>
      </c>
      <c r="B2165" t="s">
        <v>434</v>
      </c>
      <c r="C2165" s="1">
        <v>45516</v>
      </c>
      <c r="D2165" s="1" t="str">
        <f>PROPER(orders[[#This Row],[order_priority]])</f>
        <v>Economy</v>
      </c>
      <c r="E2165" t="s">
        <v>13316</v>
      </c>
      <c r="F2165" t="str">
        <f>IFERROR(INDEX(customers[country], MATCH(orders[[#This Row],[customer_id]], customers[customer_id], 0)), "Unmapped")</f>
        <v>Lithuania</v>
      </c>
      <c r="G2165" t="str">
        <f>IFERROR(INDEX(Region_Map[Region], MATCH(orders[[#This Row],[Customer_Country]], Region_Map[Country], 0)), "Unknown")</f>
        <v>Baltics</v>
      </c>
      <c r="H2165" t="s">
        <v>6949</v>
      </c>
    </row>
    <row r="2166" spans="1:8">
      <c r="A2166" t="s">
        <v>3074</v>
      </c>
      <c r="B2166" t="s">
        <v>539</v>
      </c>
      <c r="C2166" s="1">
        <v>45215</v>
      </c>
      <c r="D2166" s="1" t="str">
        <f>PROPER(orders[[#This Row],[order_priority]])</f>
        <v>Express</v>
      </c>
      <c r="E2166" t="s">
        <v>13318</v>
      </c>
      <c r="F2166" t="str">
        <f>IFERROR(INDEX(customers[country], MATCH(orders[[#This Row],[customer_id]], customers[customer_id], 0)), "Unmapped")</f>
        <v>Sweden</v>
      </c>
      <c r="G2166" t="str">
        <f>IFERROR(INDEX(Region_Map[Region], MATCH(orders[[#This Row],[Customer_Country]], Region_Map[Country], 0)), "Unknown")</f>
        <v>Nordics</v>
      </c>
      <c r="H2166" t="s">
        <v>6949</v>
      </c>
    </row>
    <row r="2167" spans="1:8">
      <c r="A2167" t="s">
        <v>3075</v>
      </c>
      <c r="B2167" t="s">
        <v>416</v>
      </c>
      <c r="C2167" s="1">
        <v>45181</v>
      </c>
      <c r="D2167" s="1" t="str">
        <f>PROPER(orders[[#This Row],[order_priority]])</f>
        <v>Same Day</v>
      </c>
      <c r="E2167" t="s">
        <v>13324</v>
      </c>
      <c r="F2167" t="str">
        <f>IFERROR(INDEX(customers[country], MATCH(orders[[#This Row],[customer_id]], customers[customer_id], 0)), "Unmapped")</f>
        <v>Denmark</v>
      </c>
      <c r="G2167" t="str">
        <f>IFERROR(INDEX(Region_Map[Region], MATCH(orders[[#This Row],[Customer_Country]], Region_Map[Country], 0)), "Unknown")</f>
        <v>Nordics</v>
      </c>
      <c r="H2167" t="s">
        <v>6949</v>
      </c>
    </row>
    <row r="2168" spans="1:8">
      <c r="A2168" t="s">
        <v>3076</v>
      </c>
      <c r="B2168" t="s">
        <v>763</v>
      </c>
      <c r="C2168" s="1">
        <v>45455</v>
      </c>
      <c r="D2168" s="1" t="str">
        <f>PROPER(orders[[#This Row],[order_priority]])</f>
        <v>Express</v>
      </c>
      <c r="E2168" t="s">
        <v>13318</v>
      </c>
      <c r="F2168" t="str">
        <f>IFERROR(INDEX(customers[country], MATCH(orders[[#This Row],[customer_id]], customers[customer_id], 0)), "Unmapped")</f>
        <v>Estonia</v>
      </c>
      <c r="G2168" t="str">
        <f>IFERROR(INDEX(Region_Map[Region], MATCH(orders[[#This Row],[Customer_Country]], Region_Map[Country], 0)), "Unknown")</f>
        <v>Baltics</v>
      </c>
      <c r="H2168" t="s">
        <v>6949</v>
      </c>
    </row>
    <row r="2169" spans="1:8">
      <c r="A2169" t="s">
        <v>3077</v>
      </c>
      <c r="B2169" t="s">
        <v>697</v>
      </c>
      <c r="C2169" s="1">
        <v>45488</v>
      </c>
      <c r="D2169" s="1" t="str">
        <f>PROPER(orders[[#This Row],[order_priority]])</f>
        <v>Economy</v>
      </c>
      <c r="E2169" t="s">
        <v>13316</v>
      </c>
      <c r="F2169" t="str">
        <f>IFERROR(INDEX(customers[country], MATCH(orders[[#This Row],[customer_id]], customers[customer_id], 0)), "Unmapped")</f>
        <v>Estonia</v>
      </c>
      <c r="G2169" t="str">
        <f>IFERROR(INDEX(Region_Map[Region], MATCH(orders[[#This Row],[Customer_Country]], Region_Map[Country], 0)), "Unknown")</f>
        <v>Baltics</v>
      </c>
      <c r="H2169" t="s">
        <v>6949</v>
      </c>
    </row>
    <row r="2170" spans="1:8">
      <c r="A2170" t="s">
        <v>3078</v>
      </c>
      <c r="B2170" t="s">
        <v>335</v>
      </c>
      <c r="C2170" s="1">
        <v>44955</v>
      </c>
      <c r="D2170" s="1" t="str">
        <f>PROPER(orders[[#This Row],[order_priority]])</f>
        <v>Economy</v>
      </c>
      <c r="E2170" t="s">
        <v>13316</v>
      </c>
      <c r="F2170" t="str">
        <f>IFERROR(INDEX(customers[country], MATCH(orders[[#This Row],[customer_id]], customers[customer_id], 0)), "Unmapped")</f>
        <v>Denmark</v>
      </c>
      <c r="G2170" t="str">
        <f>IFERROR(INDEX(Region_Map[Region], MATCH(orders[[#This Row],[Customer_Country]], Region_Map[Country], 0)), "Unknown")</f>
        <v>Nordics</v>
      </c>
      <c r="H2170" t="s">
        <v>6949</v>
      </c>
    </row>
    <row r="2171" spans="1:8">
      <c r="A2171" t="s">
        <v>3079</v>
      </c>
      <c r="B2171" t="s">
        <v>870</v>
      </c>
      <c r="C2171" s="1">
        <v>45236</v>
      </c>
      <c r="D2171" s="1" t="str">
        <f>PROPER(orders[[#This Row],[order_priority]])</f>
        <v>Same Day</v>
      </c>
      <c r="E2171" t="s">
        <v>13322</v>
      </c>
      <c r="F2171" t="str">
        <f>IFERROR(INDEX(customers[country], MATCH(orders[[#This Row],[customer_id]], customers[customer_id], 0)), "Unmapped")</f>
        <v>Estonia</v>
      </c>
      <c r="G2171" t="str">
        <f>IFERROR(INDEX(Region_Map[Region], MATCH(orders[[#This Row],[Customer_Country]], Region_Map[Country], 0)), "Unknown")</f>
        <v>Baltics</v>
      </c>
      <c r="H2171" t="s">
        <v>6949</v>
      </c>
    </row>
    <row r="2172" spans="1:8">
      <c r="A2172" t="s">
        <v>3080</v>
      </c>
      <c r="B2172" t="s">
        <v>139</v>
      </c>
      <c r="C2172" s="1">
        <v>45524</v>
      </c>
      <c r="D2172" s="1" t="str">
        <f>PROPER(orders[[#This Row],[order_priority]])</f>
        <v>Economy</v>
      </c>
      <c r="E2172" t="s">
        <v>13316</v>
      </c>
      <c r="F2172" t="str">
        <f>IFERROR(INDEX(customers[country], MATCH(orders[[#This Row],[customer_id]], customers[customer_id], 0)), "Unmapped")</f>
        <v>Netherlands</v>
      </c>
      <c r="G2172" t="str">
        <f>IFERROR(INDEX(Region_Map[Region], MATCH(orders[[#This Row],[Customer_Country]], Region_Map[Country], 0)), "Unknown")</f>
        <v>Central Europe</v>
      </c>
      <c r="H2172" t="s">
        <v>6949</v>
      </c>
    </row>
    <row r="2173" spans="1:8">
      <c r="A2173" t="s">
        <v>3081</v>
      </c>
      <c r="B2173" t="s">
        <v>560</v>
      </c>
      <c r="C2173" s="1">
        <v>45473</v>
      </c>
      <c r="D2173" s="1" t="str">
        <f>PROPER(orders[[#This Row],[order_priority]])</f>
        <v>Standard</v>
      </c>
      <c r="E2173" t="s">
        <v>13317</v>
      </c>
      <c r="F2173" t="str">
        <f>IFERROR(INDEX(customers[country], MATCH(orders[[#This Row],[customer_id]], customers[customer_id], 0)), "Unmapped")</f>
        <v>Finland</v>
      </c>
      <c r="G2173" t="str">
        <f>IFERROR(INDEX(Region_Map[Region], MATCH(orders[[#This Row],[Customer_Country]], Region_Map[Country], 0)), "Unknown")</f>
        <v>Nordics</v>
      </c>
      <c r="H2173" t="s">
        <v>6949</v>
      </c>
    </row>
    <row r="2174" spans="1:8">
      <c r="A2174" t="s">
        <v>3082</v>
      </c>
      <c r="B2174" t="s">
        <v>133</v>
      </c>
      <c r="C2174" s="1">
        <v>44958</v>
      </c>
      <c r="D2174" s="1" t="str">
        <f>PROPER(orders[[#This Row],[order_priority]])</f>
        <v>Standard</v>
      </c>
      <c r="E2174" t="s">
        <v>13317</v>
      </c>
      <c r="F2174" t="str">
        <f>IFERROR(INDEX(customers[country], MATCH(orders[[#This Row],[customer_id]], customers[customer_id], 0)), "Unmapped")</f>
        <v>Finland</v>
      </c>
      <c r="G2174" t="str">
        <f>IFERROR(INDEX(Region_Map[Region], MATCH(orders[[#This Row],[Customer_Country]], Region_Map[Country], 0)), "Unknown")</f>
        <v>Nordics</v>
      </c>
      <c r="H2174" t="s">
        <v>6949</v>
      </c>
    </row>
    <row r="2175" spans="1:8">
      <c r="A2175" t="s">
        <v>3083</v>
      </c>
      <c r="B2175" t="s">
        <v>204</v>
      </c>
      <c r="C2175" s="1">
        <v>44946</v>
      </c>
      <c r="D2175" s="1" t="str">
        <f>PROPER(orders[[#This Row],[order_priority]])</f>
        <v>Same Day</v>
      </c>
      <c r="E2175" t="s">
        <v>13322</v>
      </c>
      <c r="F2175" t="str">
        <f>IFERROR(INDEX(customers[country], MATCH(orders[[#This Row],[customer_id]], customers[customer_id], 0)), "Unmapped")</f>
        <v>Sweden</v>
      </c>
      <c r="G2175" t="str">
        <f>IFERROR(INDEX(Region_Map[Region], MATCH(orders[[#This Row],[Customer_Country]], Region_Map[Country], 0)), "Unknown")</f>
        <v>Nordics</v>
      </c>
      <c r="H2175" t="s">
        <v>6949</v>
      </c>
    </row>
    <row r="2176" spans="1:8">
      <c r="A2176" t="s">
        <v>3084</v>
      </c>
      <c r="B2176" t="s">
        <v>404</v>
      </c>
      <c r="C2176" s="1">
        <v>44980</v>
      </c>
      <c r="D2176" s="1" t="str">
        <f>PROPER(orders[[#This Row],[order_priority]])</f>
        <v>Express</v>
      </c>
      <c r="E2176" t="s">
        <v>13318</v>
      </c>
      <c r="F2176" t="str">
        <f>IFERROR(INDEX(customers[country], MATCH(orders[[#This Row],[customer_id]], customers[customer_id], 0)), "Unmapped")</f>
        <v>Latvia</v>
      </c>
      <c r="G2176" t="str">
        <f>IFERROR(INDEX(Region_Map[Region], MATCH(orders[[#This Row],[Customer_Country]], Region_Map[Country], 0)), "Unknown")</f>
        <v>Baltics</v>
      </c>
      <c r="H2176" t="s">
        <v>6949</v>
      </c>
    </row>
    <row r="2177" spans="1:8">
      <c r="A2177" t="s">
        <v>3085</v>
      </c>
      <c r="B2177" t="s">
        <v>311</v>
      </c>
      <c r="C2177" s="1">
        <v>45035</v>
      </c>
      <c r="D2177" s="1" t="str">
        <f>PROPER(orders[[#This Row],[order_priority]])</f>
        <v>Standard</v>
      </c>
      <c r="E2177" t="s">
        <v>13319</v>
      </c>
      <c r="F2177" t="str">
        <f>IFERROR(INDEX(customers[country], MATCH(orders[[#This Row],[customer_id]], customers[customer_id], 0)), "Unmapped")</f>
        <v>Netherlands</v>
      </c>
      <c r="G2177" t="str">
        <f>IFERROR(INDEX(Region_Map[Region], MATCH(orders[[#This Row],[Customer_Country]], Region_Map[Country], 0)), "Unknown")</f>
        <v>Central Europe</v>
      </c>
      <c r="H2177" t="s">
        <v>6949</v>
      </c>
    </row>
    <row r="2178" spans="1:8">
      <c r="A2178" t="s">
        <v>3086</v>
      </c>
      <c r="B2178" t="s">
        <v>329</v>
      </c>
      <c r="C2178" s="1">
        <v>45369</v>
      </c>
      <c r="D2178" s="1" t="str">
        <f>PROPER(orders[[#This Row],[order_priority]])</f>
        <v>Economy</v>
      </c>
      <c r="E2178" t="s">
        <v>13316</v>
      </c>
      <c r="F2178" t="str">
        <f>IFERROR(INDEX(customers[country], MATCH(orders[[#This Row],[customer_id]], customers[customer_id], 0)), "Unmapped")</f>
        <v>Poland</v>
      </c>
      <c r="G2178" t="str">
        <f>IFERROR(INDEX(Region_Map[Region], MATCH(orders[[#This Row],[Customer_Country]], Region_Map[Country], 0)), "Unknown")</f>
        <v>Central Europe</v>
      </c>
      <c r="H2178" t="s">
        <v>6949</v>
      </c>
    </row>
    <row r="2179" spans="1:8">
      <c r="A2179" t="s">
        <v>3087</v>
      </c>
      <c r="B2179" t="s">
        <v>118</v>
      </c>
      <c r="C2179" s="1">
        <v>45267</v>
      </c>
      <c r="D2179" s="1" t="str">
        <f>PROPER(orders[[#This Row],[order_priority]])</f>
        <v>Economy</v>
      </c>
      <c r="E2179" t="s">
        <v>13316</v>
      </c>
      <c r="F2179" t="str">
        <f>IFERROR(INDEX(customers[country], MATCH(orders[[#This Row],[customer_id]], customers[customer_id], 0)), "Unmapped")</f>
        <v>Denmark</v>
      </c>
      <c r="G2179" t="str">
        <f>IFERROR(INDEX(Region_Map[Region], MATCH(orders[[#This Row],[Customer_Country]], Region_Map[Country], 0)), "Unknown")</f>
        <v>Nordics</v>
      </c>
      <c r="H2179" t="s">
        <v>6949</v>
      </c>
    </row>
    <row r="2180" spans="1:8">
      <c r="A2180" t="s">
        <v>3088</v>
      </c>
      <c r="B2180" t="s">
        <v>267</v>
      </c>
      <c r="C2180" s="1">
        <v>45506</v>
      </c>
      <c r="D2180" s="1" t="str">
        <f>PROPER(orders[[#This Row],[order_priority]])</f>
        <v>Express</v>
      </c>
      <c r="E2180" t="s">
        <v>13318</v>
      </c>
      <c r="F2180" t="str">
        <f>IFERROR(INDEX(customers[country], MATCH(orders[[#This Row],[customer_id]], customers[customer_id], 0)), "Unmapped")</f>
        <v>Norway</v>
      </c>
      <c r="G2180" t="str">
        <f>IFERROR(INDEX(Region_Map[Region], MATCH(orders[[#This Row],[Customer_Country]], Region_Map[Country], 0)), "Unknown")</f>
        <v>Nordics</v>
      </c>
      <c r="H2180" t="s">
        <v>6949</v>
      </c>
    </row>
    <row r="2181" spans="1:8">
      <c r="A2181" t="s">
        <v>3089</v>
      </c>
      <c r="B2181" t="s">
        <v>557</v>
      </c>
      <c r="C2181" s="1">
        <v>45003</v>
      </c>
      <c r="D2181" s="1" t="str">
        <f>PROPER(orders[[#This Row],[order_priority]])</f>
        <v>Standard</v>
      </c>
      <c r="E2181" t="s">
        <v>13317</v>
      </c>
      <c r="F2181" t="str">
        <f>IFERROR(INDEX(customers[country], MATCH(orders[[#This Row],[customer_id]], customers[customer_id], 0)), "Unmapped")</f>
        <v>Norway</v>
      </c>
      <c r="G2181" t="str">
        <f>IFERROR(INDEX(Region_Map[Region], MATCH(orders[[#This Row],[Customer_Country]], Region_Map[Country], 0)), "Unknown")</f>
        <v>Nordics</v>
      </c>
      <c r="H2181" t="s">
        <v>6949</v>
      </c>
    </row>
    <row r="2182" spans="1:8">
      <c r="A2182" t="s">
        <v>3090</v>
      </c>
      <c r="B2182" t="s">
        <v>151</v>
      </c>
      <c r="C2182" s="1">
        <v>45368</v>
      </c>
      <c r="D2182" s="1" t="str">
        <f>PROPER(orders[[#This Row],[order_priority]])</f>
        <v>Standard</v>
      </c>
      <c r="E2182" t="s">
        <v>13319</v>
      </c>
      <c r="F2182" t="str">
        <f>IFERROR(INDEX(customers[country], MATCH(orders[[#This Row],[customer_id]], customers[customer_id], 0)), "Unmapped")</f>
        <v>Sweden</v>
      </c>
      <c r="G2182" t="str">
        <f>IFERROR(INDEX(Region_Map[Region], MATCH(orders[[#This Row],[Customer_Country]], Region_Map[Country], 0)), "Unknown")</f>
        <v>Nordics</v>
      </c>
      <c r="H2182" t="s">
        <v>6949</v>
      </c>
    </row>
    <row r="2183" spans="1:8">
      <c r="A2183" t="s">
        <v>3091</v>
      </c>
      <c r="B2183" t="s">
        <v>715</v>
      </c>
      <c r="C2183" s="1">
        <v>45447</v>
      </c>
      <c r="D2183" s="1" t="str">
        <f>PROPER(orders[[#This Row],[order_priority]])</f>
        <v>Economy</v>
      </c>
      <c r="E2183" t="s">
        <v>13325</v>
      </c>
      <c r="F2183" t="str">
        <f>IFERROR(INDEX(customers[country], MATCH(orders[[#This Row],[customer_id]], customers[customer_id], 0)), "Unmapped")</f>
        <v>Netherlands</v>
      </c>
      <c r="G2183" t="str">
        <f>IFERROR(INDEX(Region_Map[Region], MATCH(orders[[#This Row],[Customer_Country]], Region_Map[Country], 0)), "Unknown")</f>
        <v>Central Europe</v>
      </c>
      <c r="H2183" t="s">
        <v>6949</v>
      </c>
    </row>
    <row r="2184" spans="1:8">
      <c r="A2184" t="s">
        <v>3092</v>
      </c>
      <c r="B2184" t="s">
        <v>443</v>
      </c>
      <c r="C2184" s="1">
        <v>45497</v>
      </c>
      <c r="D2184" s="1" t="str">
        <f>PROPER(orders[[#This Row],[order_priority]])</f>
        <v>Economy</v>
      </c>
      <c r="E2184" t="s">
        <v>13316</v>
      </c>
      <c r="F2184" t="str">
        <f>IFERROR(INDEX(customers[country], MATCH(orders[[#This Row],[customer_id]], customers[customer_id], 0)), "Unmapped")</f>
        <v>Estonia</v>
      </c>
      <c r="G2184" t="str">
        <f>IFERROR(INDEX(Region_Map[Region], MATCH(orders[[#This Row],[Customer_Country]], Region_Map[Country], 0)), "Unknown")</f>
        <v>Baltics</v>
      </c>
      <c r="H2184" t="s">
        <v>6949</v>
      </c>
    </row>
    <row r="2185" spans="1:8">
      <c r="A2185" t="s">
        <v>3093</v>
      </c>
      <c r="B2185" t="s">
        <v>769</v>
      </c>
      <c r="C2185" s="1">
        <v>45393</v>
      </c>
      <c r="D2185" s="1" t="str">
        <f>PROPER(orders[[#This Row],[order_priority]])</f>
        <v>Standard</v>
      </c>
      <c r="E2185" t="s">
        <v>13317</v>
      </c>
      <c r="F2185" t="str">
        <f>IFERROR(INDEX(customers[country], MATCH(orders[[#This Row],[customer_id]], customers[customer_id], 0)), "Unmapped")</f>
        <v>Latvia</v>
      </c>
      <c r="G2185" t="str">
        <f>IFERROR(INDEX(Region_Map[Region], MATCH(orders[[#This Row],[Customer_Country]], Region_Map[Country], 0)), "Unknown")</f>
        <v>Baltics</v>
      </c>
      <c r="H2185" t="s">
        <v>6949</v>
      </c>
    </row>
    <row r="2186" spans="1:8">
      <c r="A2186" t="s">
        <v>3094</v>
      </c>
      <c r="B2186" t="s">
        <v>127</v>
      </c>
      <c r="C2186" s="1">
        <v>45165</v>
      </c>
      <c r="D2186" s="1" t="str">
        <f>PROPER(orders[[#This Row],[order_priority]])</f>
        <v>Express</v>
      </c>
      <c r="E2186" t="s">
        <v>13318</v>
      </c>
      <c r="F2186" t="str">
        <f>IFERROR(INDEX(customers[country], MATCH(orders[[#This Row],[customer_id]], customers[customer_id], 0)), "Unmapped")</f>
        <v>Denmark</v>
      </c>
      <c r="G2186" t="str">
        <f>IFERROR(INDEX(Region_Map[Region], MATCH(orders[[#This Row],[Customer_Country]], Region_Map[Country], 0)), "Unknown")</f>
        <v>Nordics</v>
      </c>
      <c r="H2186" t="s">
        <v>6949</v>
      </c>
    </row>
    <row r="2187" spans="1:8">
      <c r="A2187" t="s">
        <v>3095</v>
      </c>
      <c r="B2187" t="s">
        <v>410</v>
      </c>
      <c r="C2187" s="1">
        <v>45466</v>
      </c>
      <c r="D2187" s="1" t="str">
        <f>PROPER(orders[[#This Row],[order_priority]])</f>
        <v>Economy</v>
      </c>
      <c r="E2187" t="s">
        <v>13316</v>
      </c>
      <c r="F2187" t="str">
        <f>IFERROR(INDEX(customers[country], MATCH(orders[[#This Row],[customer_id]], customers[customer_id], 0)), "Unmapped")</f>
        <v>Norway</v>
      </c>
      <c r="G2187" t="str">
        <f>IFERROR(INDEX(Region_Map[Region], MATCH(orders[[#This Row],[Customer_Country]], Region_Map[Country], 0)), "Unknown")</f>
        <v>Nordics</v>
      </c>
      <c r="H2187" t="s">
        <v>6949</v>
      </c>
    </row>
    <row r="2188" spans="1:8">
      <c r="A2188" t="s">
        <v>3096</v>
      </c>
      <c r="B2188" t="s">
        <v>497</v>
      </c>
      <c r="C2188" s="1">
        <v>45364</v>
      </c>
      <c r="D2188" s="1" t="str">
        <f>PROPER(orders[[#This Row],[order_priority]])</f>
        <v>Same Day</v>
      </c>
      <c r="E2188" t="s">
        <v>13322</v>
      </c>
      <c r="F2188" t="str">
        <f>IFERROR(INDEX(customers[country], MATCH(orders[[#This Row],[customer_id]], customers[customer_id], 0)), "Unmapped")</f>
        <v>Germany</v>
      </c>
      <c r="G2188" t="str">
        <f>IFERROR(INDEX(Region_Map[Region], MATCH(orders[[#This Row],[Customer_Country]], Region_Map[Country], 0)), "Unknown")</f>
        <v>Central Europe</v>
      </c>
      <c r="H2188" t="s">
        <v>6949</v>
      </c>
    </row>
    <row r="2189" spans="1:8">
      <c r="A2189" t="s">
        <v>3097</v>
      </c>
      <c r="B2189" t="s">
        <v>799</v>
      </c>
      <c r="C2189" s="1">
        <v>45520</v>
      </c>
      <c r="D2189" s="1" t="str">
        <f>PROPER(orders[[#This Row],[order_priority]])</f>
        <v>Express</v>
      </c>
      <c r="E2189" t="s">
        <v>13318</v>
      </c>
      <c r="F2189" t="str">
        <f>IFERROR(INDEX(customers[country], MATCH(orders[[#This Row],[customer_id]], customers[customer_id], 0)), "Unmapped")</f>
        <v>Germany</v>
      </c>
      <c r="G2189" t="str">
        <f>IFERROR(INDEX(Region_Map[Region], MATCH(orders[[#This Row],[Customer_Country]], Region_Map[Country], 0)), "Unknown")</f>
        <v>Central Europe</v>
      </c>
      <c r="H2189" t="s">
        <v>6949</v>
      </c>
    </row>
    <row r="2190" spans="1:8">
      <c r="A2190" t="s">
        <v>3098</v>
      </c>
      <c r="B2190" t="s">
        <v>787</v>
      </c>
      <c r="C2190" s="1">
        <v>45010</v>
      </c>
      <c r="D2190" s="1" t="str">
        <f>PROPER(orders[[#This Row],[order_priority]])</f>
        <v>Express</v>
      </c>
      <c r="E2190" t="s">
        <v>13320</v>
      </c>
      <c r="F2190" t="str">
        <f>IFERROR(INDEX(customers[country], MATCH(orders[[#This Row],[customer_id]], customers[customer_id], 0)), "Unmapped")</f>
        <v>Netherlands</v>
      </c>
      <c r="G2190" t="str">
        <f>IFERROR(INDEX(Region_Map[Region], MATCH(orders[[#This Row],[Customer_Country]], Region_Map[Country], 0)), "Unknown")</f>
        <v>Central Europe</v>
      </c>
      <c r="H2190" t="s">
        <v>6949</v>
      </c>
    </row>
    <row r="2191" spans="1:8">
      <c r="A2191" t="s">
        <v>3099</v>
      </c>
      <c r="B2191" t="s">
        <v>249</v>
      </c>
      <c r="C2191" s="1">
        <v>44938</v>
      </c>
      <c r="D2191" s="1" t="str">
        <f>PROPER(orders[[#This Row],[order_priority]])</f>
        <v>Standard</v>
      </c>
      <c r="E2191" t="s">
        <v>13317</v>
      </c>
      <c r="F2191" t="str">
        <f>IFERROR(INDEX(customers[country], MATCH(orders[[#This Row],[customer_id]], customers[customer_id], 0)), "Unmapped")</f>
        <v>Estonia</v>
      </c>
      <c r="G2191" t="str">
        <f>IFERROR(INDEX(Region_Map[Region], MATCH(orders[[#This Row],[Customer_Country]], Region_Map[Country], 0)), "Unknown")</f>
        <v>Baltics</v>
      </c>
      <c r="H2191" t="s">
        <v>6949</v>
      </c>
    </row>
    <row r="2192" spans="1:8">
      <c r="A2192" t="s">
        <v>3100</v>
      </c>
      <c r="B2192" t="s">
        <v>145</v>
      </c>
      <c r="C2192" s="1">
        <v>45257</v>
      </c>
      <c r="D2192" s="1" t="str">
        <f>PROPER(orders[[#This Row],[order_priority]])</f>
        <v>Standard</v>
      </c>
      <c r="E2192" t="s">
        <v>13317</v>
      </c>
      <c r="F2192" t="str">
        <f>IFERROR(INDEX(customers[country], MATCH(orders[[#This Row],[customer_id]], customers[customer_id], 0)), "Unmapped")</f>
        <v>Latvia</v>
      </c>
      <c r="G2192" t="str">
        <f>IFERROR(INDEX(Region_Map[Region], MATCH(orders[[#This Row],[Customer_Country]], Region_Map[Country], 0)), "Unknown")</f>
        <v>Baltics</v>
      </c>
      <c r="H2192" t="s">
        <v>6949</v>
      </c>
    </row>
    <row r="2193" spans="1:8">
      <c r="A2193" t="s">
        <v>3101</v>
      </c>
      <c r="B2193" t="s">
        <v>192</v>
      </c>
      <c r="C2193" s="1">
        <v>45417</v>
      </c>
      <c r="D2193" s="1" t="str">
        <f>PROPER(orders[[#This Row],[order_priority]])</f>
        <v>Standard</v>
      </c>
      <c r="E2193" t="s">
        <v>13317</v>
      </c>
      <c r="F2193" t="str">
        <f>IFERROR(INDEX(customers[country], MATCH(orders[[#This Row],[customer_id]], customers[customer_id], 0)), "Unmapped")</f>
        <v>Estonia</v>
      </c>
      <c r="G2193" t="str">
        <f>IFERROR(INDEX(Region_Map[Region], MATCH(orders[[#This Row],[Customer_Country]], Region_Map[Country], 0)), "Unknown")</f>
        <v>Baltics</v>
      </c>
      <c r="H2193" t="s">
        <v>6949</v>
      </c>
    </row>
    <row r="2194" spans="1:8">
      <c r="A2194" t="s">
        <v>3102</v>
      </c>
      <c r="B2194" t="s">
        <v>755</v>
      </c>
      <c r="C2194" s="1">
        <v>45467</v>
      </c>
      <c r="D2194" s="1" t="str">
        <f>PROPER(orders[[#This Row],[order_priority]])</f>
        <v>Standard</v>
      </c>
      <c r="E2194" t="s">
        <v>13317</v>
      </c>
      <c r="F2194" t="str">
        <f>IFERROR(INDEX(customers[country], MATCH(orders[[#This Row],[customer_id]], customers[customer_id], 0)), "Unmapped")</f>
        <v>Denmark</v>
      </c>
      <c r="G2194" t="str">
        <f>IFERROR(INDEX(Region_Map[Region], MATCH(orders[[#This Row],[Customer_Country]], Region_Map[Country], 0)), "Unknown")</f>
        <v>Nordics</v>
      </c>
      <c r="H2194" t="s">
        <v>6949</v>
      </c>
    </row>
    <row r="2195" spans="1:8">
      <c r="A2195" t="s">
        <v>3103</v>
      </c>
      <c r="B2195" t="s">
        <v>715</v>
      </c>
      <c r="C2195" s="1">
        <v>45051</v>
      </c>
      <c r="D2195" s="1" t="str">
        <f>PROPER(orders[[#This Row],[order_priority]])</f>
        <v>Economy</v>
      </c>
      <c r="E2195" t="s">
        <v>13316</v>
      </c>
      <c r="F2195" t="str">
        <f>IFERROR(INDEX(customers[country], MATCH(orders[[#This Row],[customer_id]], customers[customer_id], 0)), "Unmapped")</f>
        <v>Netherlands</v>
      </c>
      <c r="G2195" t="str">
        <f>IFERROR(INDEX(Region_Map[Region], MATCH(orders[[#This Row],[Customer_Country]], Region_Map[Country], 0)), "Unknown")</f>
        <v>Central Europe</v>
      </c>
      <c r="H2195" t="s">
        <v>6949</v>
      </c>
    </row>
    <row r="2196" spans="1:8">
      <c r="A2196" t="s">
        <v>3104</v>
      </c>
      <c r="B2196" t="s">
        <v>204</v>
      </c>
      <c r="C2196" s="1">
        <v>45394</v>
      </c>
      <c r="D2196" s="1" t="str">
        <f>PROPER(orders[[#This Row],[order_priority]])</f>
        <v>Same Day</v>
      </c>
      <c r="E2196" t="s">
        <v>13322</v>
      </c>
      <c r="F2196" t="str">
        <f>IFERROR(INDEX(customers[country], MATCH(orders[[#This Row],[customer_id]], customers[customer_id], 0)), "Unmapped")</f>
        <v>Sweden</v>
      </c>
      <c r="G2196" t="str">
        <f>IFERROR(INDEX(Region_Map[Region], MATCH(orders[[#This Row],[Customer_Country]], Region_Map[Country], 0)), "Unknown")</f>
        <v>Nordics</v>
      </c>
      <c r="H2196" t="s">
        <v>6949</v>
      </c>
    </row>
    <row r="2197" spans="1:8">
      <c r="A2197" t="s">
        <v>3105</v>
      </c>
      <c r="B2197" t="s">
        <v>840</v>
      </c>
      <c r="C2197" s="1">
        <v>45019</v>
      </c>
      <c r="D2197" s="1" t="str">
        <f>PROPER(orders[[#This Row],[order_priority]])</f>
        <v>Express</v>
      </c>
      <c r="E2197" t="s">
        <v>13318</v>
      </c>
      <c r="F2197" t="str">
        <f>IFERROR(INDEX(customers[country], MATCH(orders[[#This Row],[customer_id]], customers[customer_id], 0)), "Unmapped")</f>
        <v>Finland</v>
      </c>
      <c r="G2197" t="str">
        <f>IFERROR(INDEX(Region_Map[Region], MATCH(orders[[#This Row],[Customer_Country]], Region_Map[Country], 0)), "Unknown")</f>
        <v>Nordics</v>
      </c>
      <c r="H2197" t="s">
        <v>6949</v>
      </c>
    </row>
    <row r="2198" spans="1:8">
      <c r="A2198" t="s">
        <v>3106</v>
      </c>
      <c r="B2198" t="s">
        <v>61</v>
      </c>
      <c r="C2198" s="1">
        <v>44929</v>
      </c>
      <c r="D2198" s="1" t="str">
        <f>PROPER(orders[[#This Row],[order_priority]])</f>
        <v>Economy</v>
      </c>
      <c r="E2198" t="s">
        <v>13316</v>
      </c>
      <c r="F2198" t="str">
        <f>IFERROR(INDEX(customers[country], MATCH(orders[[#This Row],[customer_id]], customers[customer_id], 0)), "Unmapped")</f>
        <v>Netherlands</v>
      </c>
      <c r="G2198" t="str">
        <f>IFERROR(INDEX(Region_Map[Region], MATCH(orders[[#This Row],[Customer_Country]], Region_Map[Country], 0)), "Unknown")</f>
        <v>Central Europe</v>
      </c>
      <c r="H2198" t="s">
        <v>6949</v>
      </c>
    </row>
    <row r="2199" spans="1:8">
      <c r="A2199" t="s">
        <v>3107</v>
      </c>
      <c r="B2199" t="s">
        <v>885</v>
      </c>
      <c r="C2199" s="1">
        <v>45403</v>
      </c>
      <c r="D2199" s="1" t="str">
        <f>PROPER(orders[[#This Row],[order_priority]])</f>
        <v>Same Day</v>
      </c>
      <c r="E2199" t="s">
        <v>13322</v>
      </c>
      <c r="F2199" t="str">
        <f>IFERROR(INDEX(customers[country], MATCH(orders[[#This Row],[customer_id]], customers[customer_id], 0)), "Unmapped")</f>
        <v>Poland</v>
      </c>
      <c r="G2199" t="str">
        <f>IFERROR(INDEX(Region_Map[Region], MATCH(orders[[#This Row],[Customer_Country]], Region_Map[Country], 0)), "Unknown")</f>
        <v>Central Europe</v>
      </c>
      <c r="H2199" t="s">
        <v>6949</v>
      </c>
    </row>
    <row r="2200" spans="1:8">
      <c r="A2200" t="s">
        <v>3108</v>
      </c>
      <c r="B2200" t="s">
        <v>425</v>
      </c>
      <c r="C2200" s="1">
        <v>44974</v>
      </c>
      <c r="D2200" s="1" t="str">
        <f>PROPER(orders[[#This Row],[order_priority]])</f>
        <v>Economy</v>
      </c>
      <c r="E2200" t="s">
        <v>13316</v>
      </c>
      <c r="F2200" t="str">
        <f>IFERROR(INDEX(customers[country], MATCH(orders[[#This Row],[customer_id]], customers[customer_id], 0)), "Unmapped")</f>
        <v>Denmark</v>
      </c>
      <c r="G2200" t="str">
        <f>IFERROR(INDEX(Region_Map[Region], MATCH(orders[[#This Row],[Customer_Country]], Region_Map[Country], 0)), "Unknown")</f>
        <v>Nordics</v>
      </c>
      <c r="H2200" t="s">
        <v>6949</v>
      </c>
    </row>
    <row r="2201" spans="1:8">
      <c r="A2201" t="s">
        <v>3109</v>
      </c>
      <c r="B2201" t="s">
        <v>395</v>
      </c>
      <c r="C2201" s="1">
        <v>45546</v>
      </c>
      <c r="D2201" s="1" t="str">
        <f>PROPER(orders[[#This Row],[order_priority]])</f>
        <v>Express</v>
      </c>
      <c r="E2201" t="s">
        <v>13326</v>
      </c>
      <c r="F2201" t="str">
        <f>IFERROR(INDEX(customers[country], MATCH(orders[[#This Row],[customer_id]], customers[customer_id], 0)), "Unmapped")</f>
        <v>Sweden</v>
      </c>
      <c r="G2201" t="str">
        <f>IFERROR(INDEX(Region_Map[Region], MATCH(orders[[#This Row],[Customer_Country]], Region_Map[Country], 0)), "Unknown")</f>
        <v>Nordics</v>
      </c>
      <c r="H2201" t="s">
        <v>6949</v>
      </c>
    </row>
    <row r="2202" spans="1:8">
      <c r="A2202" t="s">
        <v>3110</v>
      </c>
      <c r="B2202" t="s">
        <v>473</v>
      </c>
      <c r="C2202" s="1">
        <v>44961</v>
      </c>
      <c r="D2202" s="1" t="str">
        <f>PROPER(orders[[#This Row],[order_priority]])</f>
        <v>Same Day</v>
      </c>
      <c r="E2202" t="s">
        <v>13324</v>
      </c>
      <c r="F2202" t="str">
        <f>IFERROR(INDEX(customers[country], MATCH(orders[[#This Row],[customer_id]], customers[customer_id], 0)), "Unmapped")</f>
        <v>Netherlands</v>
      </c>
      <c r="G2202" t="str">
        <f>IFERROR(INDEX(Region_Map[Region], MATCH(orders[[#This Row],[Customer_Country]], Region_Map[Country], 0)), "Unknown")</f>
        <v>Central Europe</v>
      </c>
      <c r="H2202" t="s">
        <v>6949</v>
      </c>
    </row>
    <row r="2203" spans="1:8">
      <c r="A2203" t="s">
        <v>3111</v>
      </c>
      <c r="B2203" t="s">
        <v>894</v>
      </c>
      <c r="C2203" s="1">
        <v>45345</v>
      </c>
      <c r="D2203" s="1" t="str">
        <f>PROPER(orders[[#This Row],[order_priority]])</f>
        <v>Same Day</v>
      </c>
      <c r="E2203" t="s">
        <v>13322</v>
      </c>
      <c r="F2203" t="str">
        <f>IFERROR(INDEX(customers[country], MATCH(orders[[#This Row],[customer_id]], customers[customer_id], 0)), "Unmapped")</f>
        <v>Poland</v>
      </c>
      <c r="G2203" t="str">
        <f>IFERROR(INDEX(Region_Map[Region], MATCH(orders[[#This Row],[Customer_Country]], Region_Map[Country], 0)), "Unknown")</f>
        <v>Central Europe</v>
      </c>
      <c r="H2203" t="s">
        <v>6949</v>
      </c>
    </row>
    <row r="2204" spans="1:8">
      <c r="A2204" t="s">
        <v>3112</v>
      </c>
      <c r="B2204" t="s">
        <v>189</v>
      </c>
      <c r="C2204" s="1">
        <v>45141</v>
      </c>
      <c r="D2204" s="1" t="str">
        <f>PROPER(orders[[#This Row],[order_priority]])</f>
        <v>Standard</v>
      </c>
      <c r="E2204" t="s">
        <v>13323</v>
      </c>
      <c r="F2204" t="str">
        <f>IFERROR(INDEX(customers[country], MATCH(orders[[#This Row],[customer_id]], customers[customer_id], 0)), "Unmapped")</f>
        <v>Norway</v>
      </c>
      <c r="G2204" t="str">
        <f>IFERROR(INDEX(Region_Map[Region], MATCH(orders[[#This Row],[Customer_Country]], Region_Map[Country], 0)), "Unknown")</f>
        <v>Nordics</v>
      </c>
      <c r="H2204" t="s">
        <v>6949</v>
      </c>
    </row>
    <row r="2205" spans="1:8">
      <c r="A2205" t="s">
        <v>3113</v>
      </c>
      <c r="B2205" t="s">
        <v>464</v>
      </c>
      <c r="C2205" s="1">
        <v>45386</v>
      </c>
      <c r="D2205" s="1" t="str">
        <f>PROPER(orders[[#This Row],[order_priority]])</f>
        <v>Same Day</v>
      </c>
      <c r="E2205" t="s">
        <v>13321</v>
      </c>
      <c r="F2205" t="str">
        <f>IFERROR(INDEX(customers[country], MATCH(orders[[#This Row],[customer_id]], customers[customer_id], 0)), "Unmapped")</f>
        <v>Finland</v>
      </c>
      <c r="G2205" t="str">
        <f>IFERROR(INDEX(Region_Map[Region], MATCH(orders[[#This Row],[Customer_Country]], Region_Map[Country], 0)), "Unknown")</f>
        <v>Nordics</v>
      </c>
      <c r="H2205" t="s">
        <v>6949</v>
      </c>
    </row>
    <row r="2206" spans="1:8">
      <c r="A2206" t="s">
        <v>3114</v>
      </c>
      <c r="B2206" t="s">
        <v>207</v>
      </c>
      <c r="C2206" s="1">
        <v>45219</v>
      </c>
      <c r="D2206" s="1" t="str">
        <f>PROPER(orders[[#This Row],[order_priority]])</f>
        <v>Standard</v>
      </c>
      <c r="E2206" t="s">
        <v>13317</v>
      </c>
      <c r="F2206" t="str">
        <f>IFERROR(INDEX(customers[country], MATCH(orders[[#This Row],[customer_id]], customers[customer_id], 0)), "Unmapped")</f>
        <v>Poland</v>
      </c>
      <c r="G2206" t="str">
        <f>IFERROR(INDEX(Region_Map[Region], MATCH(orders[[#This Row],[Customer_Country]], Region_Map[Country], 0)), "Unknown")</f>
        <v>Central Europe</v>
      </c>
      <c r="H2206" t="s">
        <v>6949</v>
      </c>
    </row>
    <row r="2207" spans="1:8">
      <c r="A2207" t="s">
        <v>3115</v>
      </c>
      <c r="B2207" t="s">
        <v>228</v>
      </c>
      <c r="C2207" s="1">
        <v>45495</v>
      </c>
      <c r="D2207" s="1" t="str">
        <f>PROPER(orders[[#This Row],[order_priority]])</f>
        <v>Same Day</v>
      </c>
      <c r="E2207" t="s">
        <v>13322</v>
      </c>
      <c r="F2207" t="str">
        <f>IFERROR(INDEX(customers[country], MATCH(orders[[#This Row],[customer_id]], customers[customer_id], 0)), "Unmapped")</f>
        <v>Latvia</v>
      </c>
      <c r="G2207" t="str">
        <f>IFERROR(INDEX(Region_Map[Region], MATCH(orders[[#This Row],[Customer_Country]], Region_Map[Country], 0)), "Unknown")</f>
        <v>Baltics</v>
      </c>
      <c r="H2207" t="s">
        <v>6949</v>
      </c>
    </row>
    <row r="2208" spans="1:8">
      <c r="A2208" t="s">
        <v>3116</v>
      </c>
      <c r="B2208" t="s">
        <v>617</v>
      </c>
      <c r="C2208" s="1">
        <v>45537</v>
      </c>
      <c r="D2208" s="1" t="str">
        <f>PROPER(orders[[#This Row],[order_priority]])</f>
        <v>Same Day</v>
      </c>
      <c r="E2208" t="s">
        <v>13322</v>
      </c>
      <c r="F2208" t="str">
        <f>IFERROR(INDEX(customers[country], MATCH(orders[[#This Row],[customer_id]], customers[customer_id], 0)), "Unmapped")</f>
        <v>Latvia</v>
      </c>
      <c r="G2208" t="str">
        <f>IFERROR(INDEX(Region_Map[Region], MATCH(orders[[#This Row],[Customer_Country]], Region_Map[Country], 0)), "Unknown")</f>
        <v>Baltics</v>
      </c>
      <c r="H2208" t="s">
        <v>6949</v>
      </c>
    </row>
    <row r="2209" spans="1:8">
      <c r="A2209" t="s">
        <v>3117</v>
      </c>
      <c r="B2209" t="s">
        <v>267</v>
      </c>
      <c r="C2209" s="1">
        <v>45042</v>
      </c>
      <c r="D2209" s="1" t="str">
        <f>PROPER(orders[[#This Row],[order_priority]])</f>
        <v>Standard</v>
      </c>
      <c r="E2209" t="s">
        <v>13317</v>
      </c>
      <c r="F2209" t="str">
        <f>IFERROR(INDEX(customers[country], MATCH(orders[[#This Row],[customer_id]], customers[customer_id], 0)), "Unmapped")</f>
        <v>Norway</v>
      </c>
      <c r="G2209" t="str">
        <f>IFERROR(INDEX(Region_Map[Region], MATCH(orders[[#This Row],[Customer_Country]], Region_Map[Country], 0)), "Unknown")</f>
        <v>Nordics</v>
      </c>
      <c r="H2209" t="s">
        <v>6949</v>
      </c>
    </row>
    <row r="2210" spans="1:8">
      <c r="A2210" t="s">
        <v>3118</v>
      </c>
      <c r="B2210" t="s">
        <v>48</v>
      </c>
      <c r="C2210" s="1">
        <v>44962</v>
      </c>
      <c r="D2210" s="1" t="str">
        <f>PROPER(orders[[#This Row],[order_priority]])</f>
        <v>Express</v>
      </c>
      <c r="E2210" t="s">
        <v>13318</v>
      </c>
      <c r="F2210" t="str">
        <f>IFERROR(INDEX(customers[country], MATCH(orders[[#This Row],[customer_id]], customers[customer_id], 0)), "Unmapped")</f>
        <v>Poland</v>
      </c>
      <c r="G2210" t="str">
        <f>IFERROR(INDEX(Region_Map[Region], MATCH(orders[[#This Row],[Customer_Country]], Region_Map[Country], 0)), "Unknown")</f>
        <v>Central Europe</v>
      </c>
      <c r="H2210" t="s">
        <v>6949</v>
      </c>
    </row>
    <row r="2211" spans="1:8">
      <c r="A2211" t="s">
        <v>3119</v>
      </c>
      <c r="B2211" t="s">
        <v>80</v>
      </c>
      <c r="C2211" s="1">
        <v>44943</v>
      </c>
      <c r="D2211" s="1" t="str">
        <f>PROPER(orders[[#This Row],[order_priority]])</f>
        <v>Same Day</v>
      </c>
      <c r="E2211" t="s">
        <v>13322</v>
      </c>
      <c r="F2211" t="str">
        <f>IFERROR(INDEX(customers[country], MATCH(orders[[#This Row],[customer_id]], customers[customer_id], 0)), "Unmapped")</f>
        <v>Finland</v>
      </c>
      <c r="G2211" t="str">
        <f>IFERROR(INDEX(Region_Map[Region], MATCH(orders[[#This Row],[Customer_Country]], Region_Map[Country], 0)), "Unknown")</f>
        <v>Nordics</v>
      </c>
      <c r="H2211" t="s">
        <v>6949</v>
      </c>
    </row>
    <row r="2212" spans="1:8">
      <c r="A2212" t="s">
        <v>3120</v>
      </c>
      <c r="B2212" t="s">
        <v>906</v>
      </c>
      <c r="C2212" s="1">
        <v>45217</v>
      </c>
      <c r="D2212" s="1" t="str">
        <f>PROPER(orders[[#This Row],[order_priority]])</f>
        <v>Same Day</v>
      </c>
      <c r="E2212" t="s">
        <v>13324</v>
      </c>
      <c r="F2212" t="str">
        <f>IFERROR(INDEX(customers[country], MATCH(orders[[#This Row],[customer_id]], customers[customer_id], 0)), "Unmapped")</f>
        <v>Sweden</v>
      </c>
      <c r="G2212" t="str">
        <f>IFERROR(INDEX(Region_Map[Region], MATCH(orders[[#This Row],[Customer_Country]], Region_Map[Country], 0)), "Unknown")</f>
        <v>Nordics</v>
      </c>
      <c r="H2212" t="s">
        <v>6949</v>
      </c>
    </row>
    <row r="2213" spans="1:8">
      <c r="A2213" t="s">
        <v>3121</v>
      </c>
      <c r="B2213" t="s">
        <v>288</v>
      </c>
      <c r="C2213" s="1">
        <v>45079</v>
      </c>
      <c r="D2213" s="1" t="str">
        <f>PROPER(orders[[#This Row],[order_priority]])</f>
        <v>Express</v>
      </c>
      <c r="E2213" t="s">
        <v>13318</v>
      </c>
      <c r="F2213" t="str">
        <f>IFERROR(INDEX(customers[country], MATCH(orders[[#This Row],[customer_id]], customers[customer_id], 0)), "Unmapped")</f>
        <v>Netherlands</v>
      </c>
      <c r="G2213" t="str">
        <f>IFERROR(INDEX(Region_Map[Region], MATCH(orders[[#This Row],[Customer_Country]], Region_Map[Country], 0)), "Unknown")</f>
        <v>Central Europe</v>
      </c>
      <c r="H2213" t="s">
        <v>6949</v>
      </c>
    </row>
    <row r="2214" spans="1:8">
      <c r="A2214" t="s">
        <v>3122</v>
      </c>
      <c r="B2214" t="s">
        <v>323</v>
      </c>
      <c r="C2214" s="1">
        <v>45063</v>
      </c>
      <c r="D2214" s="1" t="str">
        <f>PROPER(orders[[#This Row],[order_priority]])</f>
        <v>Express</v>
      </c>
      <c r="E2214" t="s">
        <v>13318</v>
      </c>
      <c r="F2214" t="str">
        <f>IFERROR(INDEX(customers[country], MATCH(orders[[#This Row],[customer_id]], customers[customer_id], 0)), "Unmapped")</f>
        <v>Estonia</v>
      </c>
      <c r="G2214" t="str">
        <f>IFERROR(INDEX(Region_Map[Region], MATCH(orders[[#This Row],[Customer_Country]], Region_Map[Country], 0)), "Unknown")</f>
        <v>Baltics</v>
      </c>
      <c r="H2214" t="s">
        <v>6949</v>
      </c>
    </row>
    <row r="2215" spans="1:8">
      <c r="A2215" t="s">
        <v>3123</v>
      </c>
      <c r="B2215" t="s">
        <v>816</v>
      </c>
      <c r="C2215" s="1">
        <v>44950</v>
      </c>
      <c r="D2215" s="1" t="str">
        <f>PROPER(orders[[#This Row],[order_priority]])</f>
        <v>Express</v>
      </c>
      <c r="E2215" t="s">
        <v>13318</v>
      </c>
      <c r="F2215" t="str">
        <f>IFERROR(INDEX(customers[country], MATCH(orders[[#This Row],[customer_id]], customers[customer_id], 0)), "Unmapped")</f>
        <v>Lithuania</v>
      </c>
      <c r="G2215" t="str">
        <f>IFERROR(INDEX(Region_Map[Region], MATCH(orders[[#This Row],[Customer_Country]], Region_Map[Country], 0)), "Unknown")</f>
        <v>Baltics</v>
      </c>
      <c r="H2215" t="s">
        <v>6949</v>
      </c>
    </row>
    <row r="2216" spans="1:8">
      <c r="A2216" t="s">
        <v>3124</v>
      </c>
      <c r="B2216" t="s">
        <v>626</v>
      </c>
      <c r="C2216" s="1">
        <v>45452</v>
      </c>
      <c r="D2216" s="1" t="str">
        <f>PROPER(orders[[#This Row],[order_priority]])</f>
        <v>Same Day</v>
      </c>
      <c r="E2216" t="s">
        <v>13321</v>
      </c>
      <c r="F2216" t="str">
        <f>IFERROR(INDEX(customers[country], MATCH(orders[[#This Row],[customer_id]], customers[customer_id], 0)), "Unmapped")</f>
        <v>Denmark</v>
      </c>
      <c r="G2216" t="str">
        <f>IFERROR(INDEX(Region_Map[Region], MATCH(orders[[#This Row],[Customer_Country]], Region_Map[Country], 0)), "Unknown")</f>
        <v>Nordics</v>
      </c>
      <c r="H2216" t="s">
        <v>6949</v>
      </c>
    </row>
    <row r="2217" spans="1:8">
      <c r="A2217" t="s">
        <v>3125</v>
      </c>
      <c r="B2217" t="s">
        <v>99</v>
      </c>
      <c r="C2217" s="1">
        <v>45364</v>
      </c>
      <c r="D2217" s="1" t="str">
        <f>PROPER(orders[[#This Row],[order_priority]])</f>
        <v>Same Day</v>
      </c>
      <c r="E2217" t="s">
        <v>13322</v>
      </c>
      <c r="F2217" t="str">
        <f>IFERROR(INDEX(customers[country], MATCH(orders[[#This Row],[customer_id]], customers[customer_id], 0)), "Unmapped")</f>
        <v>Poland</v>
      </c>
      <c r="G2217" t="str">
        <f>IFERROR(INDEX(Region_Map[Region], MATCH(orders[[#This Row],[Customer_Country]], Region_Map[Country], 0)), "Unknown")</f>
        <v>Central Europe</v>
      </c>
      <c r="H2217" t="s">
        <v>6949</v>
      </c>
    </row>
    <row r="2218" spans="1:8">
      <c r="A2218" t="s">
        <v>3126</v>
      </c>
      <c r="B2218" t="s">
        <v>455</v>
      </c>
      <c r="C2218" s="1">
        <v>45231</v>
      </c>
      <c r="D2218" s="1" t="str">
        <f>PROPER(orders[[#This Row],[order_priority]])</f>
        <v>Same Day</v>
      </c>
      <c r="E2218" t="s">
        <v>13322</v>
      </c>
      <c r="F2218" t="str">
        <f>IFERROR(INDEX(customers[country], MATCH(orders[[#This Row],[customer_id]], customers[customer_id], 0)), "Unmapped")</f>
        <v>Poland</v>
      </c>
      <c r="G2218" t="str">
        <f>IFERROR(INDEX(Region_Map[Region], MATCH(orders[[#This Row],[Customer_Country]], Region_Map[Country], 0)), "Unknown")</f>
        <v>Central Europe</v>
      </c>
      <c r="H2218" t="s">
        <v>6949</v>
      </c>
    </row>
    <row r="2219" spans="1:8">
      <c r="A2219" t="s">
        <v>3127</v>
      </c>
      <c r="B2219" t="s">
        <v>781</v>
      </c>
      <c r="C2219" s="1">
        <v>45334</v>
      </c>
      <c r="D2219" s="1" t="str">
        <f>PROPER(orders[[#This Row],[order_priority]])</f>
        <v>Same Day</v>
      </c>
      <c r="E2219" t="s">
        <v>13322</v>
      </c>
      <c r="F2219" t="str">
        <f>IFERROR(INDEX(customers[country], MATCH(orders[[#This Row],[customer_id]], customers[customer_id], 0)), "Unmapped")</f>
        <v>Germany</v>
      </c>
      <c r="G2219" t="str">
        <f>IFERROR(INDEX(Region_Map[Region], MATCH(orders[[#This Row],[Customer_Country]], Region_Map[Country], 0)), "Unknown")</f>
        <v>Central Europe</v>
      </c>
      <c r="H2219" t="s">
        <v>6949</v>
      </c>
    </row>
    <row r="2220" spans="1:8">
      <c r="A2220" t="s">
        <v>3128</v>
      </c>
      <c r="B2220" t="s">
        <v>557</v>
      </c>
      <c r="C2220" s="1">
        <v>45069</v>
      </c>
      <c r="D2220" s="1" t="str">
        <f>PROPER(orders[[#This Row],[order_priority]])</f>
        <v>Same Day</v>
      </c>
      <c r="E2220" t="s">
        <v>13322</v>
      </c>
      <c r="F2220" t="str">
        <f>IFERROR(INDEX(customers[country], MATCH(orders[[#This Row],[customer_id]], customers[customer_id], 0)), "Unmapped")</f>
        <v>Norway</v>
      </c>
      <c r="G2220" t="str">
        <f>IFERROR(INDEX(Region_Map[Region], MATCH(orders[[#This Row],[Customer_Country]], Region_Map[Country], 0)), "Unknown")</f>
        <v>Nordics</v>
      </c>
      <c r="H2220" t="s">
        <v>6949</v>
      </c>
    </row>
    <row r="2221" spans="1:8">
      <c r="A2221" t="s">
        <v>3129</v>
      </c>
      <c r="B2221" t="s">
        <v>184</v>
      </c>
      <c r="C2221" s="1">
        <v>44989</v>
      </c>
      <c r="D2221" s="1" t="str">
        <f>PROPER(orders[[#This Row],[order_priority]])</f>
        <v>Economy</v>
      </c>
      <c r="E2221" t="s">
        <v>13316</v>
      </c>
      <c r="F2221" t="str">
        <f>IFERROR(INDEX(customers[country], MATCH(orders[[#This Row],[customer_id]], customers[customer_id], 0)), "Unmapped")</f>
        <v>Netherlands</v>
      </c>
      <c r="G2221" t="str">
        <f>IFERROR(INDEX(Region_Map[Region], MATCH(orders[[#This Row],[Customer_Country]], Region_Map[Country], 0)), "Unknown")</f>
        <v>Central Europe</v>
      </c>
      <c r="H2221" t="s">
        <v>6949</v>
      </c>
    </row>
    <row r="2222" spans="1:8">
      <c r="A2222" t="s">
        <v>3130</v>
      </c>
      <c r="B2222" t="s">
        <v>306</v>
      </c>
      <c r="C2222" s="1">
        <v>45051</v>
      </c>
      <c r="D2222" s="1" t="str">
        <f>PROPER(orders[[#This Row],[order_priority]])</f>
        <v>Express</v>
      </c>
      <c r="E2222" t="s">
        <v>13326</v>
      </c>
      <c r="F2222" t="str">
        <f>IFERROR(INDEX(customers[country], MATCH(orders[[#This Row],[customer_id]], customers[customer_id], 0)), "Unmapped")</f>
        <v>Estonia</v>
      </c>
      <c r="G2222" t="str">
        <f>IFERROR(INDEX(Region_Map[Region], MATCH(orders[[#This Row],[Customer_Country]], Region_Map[Country], 0)), "Unknown")</f>
        <v>Baltics</v>
      </c>
      <c r="H2222" t="s">
        <v>6949</v>
      </c>
    </row>
    <row r="2223" spans="1:8">
      <c r="A2223" t="s">
        <v>3131</v>
      </c>
      <c r="B2223" t="s">
        <v>518</v>
      </c>
      <c r="C2223" s="1">
        <v>45436</v>
      </c>
      <c r="D2223" s="1" t="str">
        <f>PROPER(orders[[#This Row],[order_priority]])</f>
        <v>Express</v>
      </c>
      <c r="E2223" t="s">
        <v>13318</v>
      </c>
      <c r="F2223" t="str">
        <f>IFERROR(INDEX(customers[country], MATCH(orders[[#This Row],[customer_id]], customers[customer_id], 0)), "Unmapped")</f>
        <v>Germany</v>
      </c>
      <c r="G2223" t="str">
        <f>IFERROR(INDEX(Region_Map[Region], MATCH(orders[[#This Row],[Customer_Country]], Region_Map[Country], 0)), "Unknown")</f>
        <v>Central Europe</v>
      </c>
      <c r="H2223" t="s">
        <v>6949</v>
      </c>
    </row>
    <row r="2224" spans="1:8">
      <c r="A2224" t="s">
        <v>3132</v>
      </c>
      <c r="B2224" t="s">
        <v>787</v>
      </c>
      <c r="C2224" s="1">
        <v>44956</v>
      </c>
      <c r="D2224" s="1" t="str">
        <f>PROPER(orders[[#This Row],[order_priority]])</f>
        <v>Same Day</v>
      </c>
      <c r="E2224" t="s">
        <v>13322</v>
      </c>
      <c r="F2224" t="str">
        <f>IFERROR(INDEX(customers[country], MATCH(orders[[#This Row],[customer_id]], customers[customer_id], 0)), "Unmapped")</f>
        <v>Netherlands</v>
      </c>
      <c r="G2224" t="str">
        <f>IFERROR(INDEX(Region_Map[Region], MATCH(orders[[#This Row],[Customer_Country]], Region_Map[Country], 0)), "Unknown")</f>
        <v>Central Europe</v>
      </c>
      <c r="H2224" t="s">
        <v>6949</v>
      </c>
    </row>
    <row r="2225" spans="1:8">
      <c r="A2225" t="s">
        <v>3133</v>
      </c>
      <c r="B2225" t="s">
        <v>626</v>
      </c>
      <c r="C2225" s="1">
        <v>44964</v>
      </c>
      <c r="D2225" s="1" t="str">
        <f>PROPER(orders[[#This Row],[order_priority]])</f>
        <v>Standard</v>
      </c>
      <c r="E2225" t="s">
        <v>13317</v>
      </c>
      <c r="F2225" t="str">
        <f>IFERROR(INDEX(customers[country], MATCH(orders[[#This Row],[customer_id]], customers[customer_id], 0)), "Unmapped")</f>
        <v>Denmark</v>
      </c>
      <c r="G2225" t="str">
        <f>IFERROR(INDEX(Region_Map[Region], MATCH(orders[[#This Row],[Customer_Country]], Region_Map[Country], 0)), "Unknown")</f>
        <v>Nordics</v>
      </c>
      <c r="H2225" t="s">
        <v>6949</v>
      </c>
    </row>
    <row r="2226" spans="1:8">
      <c r="A2226" t="s">
        <v>3134</v>
      </c>
      <c r="B2226" t="s">
        <v>219</v>
      </c>
      <c r="C2226" s="1">
        <v>44939</v>
      </c>
      <c r="D2226" s="1" t="str">
        <f>PROPER(orders[[#This Row],[order_priority]])</f>
        <v>Same Day</v>
      </c>
      <c r="E2226" t="s">
        <v>13322</v>
      </c>
      <c r="F2226" t="str">
        <f>IFERROR(INDEX(customers[country], MATCH(orders[[#This Row],[customer_id]], customers[customer_id], 0)), "Unmapped")</f>
        <v>Latvia</v>
      </c>
      <c r="G2226" t="str">
        <f>IFERROR(INDEX(Region_Map[Region], MATCH(orders[[#This Row],[Customer_Country]], Region_Map[Country], 0)), "Unknown")</f>
        <v>Baltics</v>
      </c>
      <c r="H2226" t="s">
        <v>6949</v>
      </c>
    </row>
    <row r="2227" spans="1:8">
      <c r="A2227" t="s">
        <v>3135</v>
      </c>
      <c r="B2227" t="s">
        <v>371</v>
      </c>
      <c r="C2227" s="1">
        <v>45520</v>
      </c>
      <c r="D2227" s="1" t="str">
        <f>PROPER(orders[[#This Row],[order_priority]])</f>
        <v>Economy</v>
      </c>
      <c r="E2227" t="s">
        <v>13328</v>
      </c>
      <c r="F2227" t="str">
        <f>IFERROR(INDEX(customers[country], MATCH(orders[[#This Row],[customer_id]], customers[customer_id], 0)), "Unmapped")</f>
        <v>Germany</v>
      </c>
      <c r="G2227" t="str">
        <f>IFERROR(INDEX(Region_Map[Region], MATCH(orders[[#This Row],[Customer_Country]], Region_Map[Country], 0)), "Unknown")</f>
        <v>Central Europe</v>
      </c>
      <c r="H2227" t="s">
        <v>6949</v>
      </c>
    </row>
    <row r="2228" spans="1:8">
      <c r="A2228" t="s">
        <v>3136</v>
      </c>
      <c r="B2228" t="s">
        <v>813</v>
      </c>
      <c r="C2228" s="1">
        <v>45600</v>
      </c>
      <c r="D2228" s="1" t="str">
        <f>PROPER(orders[[#This Row],[order_priority]])</f>
        <v>Express</v>
      </c>
      <c r="E2228" t="s">
        <v>13318</v>
      </c>
      <c r="F2228" t="str">
        <f>IFERROR(INDEX(customers[country], MATCH(orders[[#This Row],[customer_id]], customers[customer_id], 0)), "Unmapped")</f>
        <v>Norway</v>
      </c>
      <c r="G2228" t="str">
        <f>IFERROR(INDEX(Region_Map[Region], MATCH(orders[[#This Row],[Customer_Country]], Region_Map[Country], 0)), "Unknown")</f>
        <v>Nordics</v>
      </c>
      <c r="H2228" t="s">
        <v>6949</v>
      </c>
    </row>
    <row r="2229" spans="1:8">
      <c r="A2229" t="s">
        <v>3137</v>
      </c>
      <c r="B2229" t="s">
        <v>741</v>
      </c>
      <c r="C2229" s="1">
        <v>45288</v>
      </c>
      <c r="D2229" s="1" t="str">
        <f>PROPER(orders[[#This Row],[order_priority]])</f>
        <v>Same Day</v>
      </c>
      <c r="E2229" t="s">
        <v>13322</v>
      </c>
      <c r="F2229" t="str">
        <f>IFERROR(INDEX(customers[country], MATCH(orders[[#This Row],[customer_id]], customers[customer_id], 0)), "Unmapped")</f>
        <v>Germany</v>
      </c>
      <c r="G2229" t="str">
        <f>IFERROR(INDEX(Region_Map[Region], MATCH(orders[[#This Row],[Customer_Country]], Region_Map[Country], 0)), "Unknown")</f>
        <v>Central Europe</v>
      </c>
      <c r="H2229" t="s">
        <v>6949</v>
      </c>
    </row>
    <row r="2230" spans="1:8">
      <c r="A2230" t="s">
        <v>3138</v>
      </c>
      <c r="B2230" t="s">
        <v>45</v>
      </c>
      <c r="C2230" s="1">
        <v>44972</v>
      </c>
      <c r="D2230" s="1" t="str">
        <f>PROPER(orders[[#This Row],[order_priority]])</f>
        <v>Same Day</v>
      </c>
      <c r="E2230" t="s">
        <v>13322</v>
      </c>
      <c r="F2230" t="str">
        <f>IFERROR(INDEX(customers[country], MATCH(orders[[#This Row],[customer_id]], customers[customer_id], 0)), "Unmapped")</f>
        <v>Netherlands</v>
      </c>
      <c r="G2230" t="str">
        <f>IFERROR(INDEX(Region_Map[Region], MATCH(orders[[#This Row],[Customer_Country]], Region_Map[Country], 0)), "Unknown")</f>
        <v>Central Europe</v>
      </c>
      <c r="H2230" t="s">
        <v>6949</v>
      </c>
    </row>
    <row r="2231" spans="1:8">
      <c r="A2231" t="s">
        <v>3139</v>
      </c>
      <c r="B2231" t="s">
        <v>371</v>
      </c>
      <c r="C2231" s="1">
        <v>45541</v>
      </c>
      <c r="D2231" s="1" t="str">
        <f>PROPER(orders[[#This Row],[order_priority]])</f>
        <v>Standard</v>
      </c>
      <c r="E2231" t="s">
        <v>13317</v>
      </c>
      <c r="F2231" t="str">
        <f>IFERROR(INDEX(customers[country], MATCH(orders[[#This Row],[customer_id]], customers[customer_id], 0)), "Unmapped")</f>
        <v>Germany</v>
      </c>
      <c r="G2231" t="str">
        <f>IFERROR(INDEX(Region_Map[Region], MATCH(orders[[#This Row],[Customer_Country]], Region_Map[Country], 0)), "Unknown")</f>
        <v>Central Europe</v>
      </c>
      <c r="H2231" t="s">
        <v>6949</v>
      </c>
    </row>
    <row r="2232" spans="1:8">
      <c r="A2232" t="s">
        <v>3140</v>
      </c>
      <c r="B2232" t="s">
        <v>772</v>
      </c>
      <c r="C2232" s="1">
        <v>45490</v>
      </c>
      <c r="D2232" s="1" t="str">
        <f>PROPER(orders[[#This Row],[order_priority]])</f>
        <v>Express</v>
      </c>
      <c r="E2232" t="s">
        <v>13318</v>
      </c>
      <c r="F2232" t="str">
        <f>IFERROR(INDEX(customers[country], MATCH(orders[[#This Row],[customer_id]], customers[customer_id], 0)), "Unmapped")</f>
        <v>Estonia</v>
      </c>
      <c r="G2232" t="str">
        <f>IFERROR(INDEX(Region_Map[Region], MATCH(orders[[#This Row],[Customer_Country]], Region_Map[Country], 0)), "Unknown")</f>
        <v>Baltics</v>
      </c>
      <c r="H2232" t="s">
        <v>6949</v>
      </c>
    </row>
    <row r="2233" spans="1:8">
      <c r="A2233" t="s">
        <v>3141</v>
      </c>
      <c r="B2233" t="s">
        <v>96</v>
      </c>
      <c r="C2233" s="1">
        <v>45224</v>
      </c>
      <c r="D2233" s="1" t="str">
        <f>PROPER(orders[[#This Row],[order_priority]])</f>
        <v>Standard</v>
      </c>
      <c r="E2233" t="s">
        <v>13317</v>
      </c>
      <c r="F2233" t="str">
        <f>IFERROR(INDEX(customers[country], MATCH(orders[[#This Row],[customer_id]], customers[customer_id], 0)), "Unmapped")</f>
        <v>Sweden</v>
      </c>
      <c r="G2233" t="str">
        <f>IFERROR(INDEX(Region_Map[Region], MATCH(orders[[#This Row],[Customer_Country]], Region_Map[Country], 0)), "Unknown")</f>
        <v>Nordics</v>
      </c>
      <c r="H2233" t="s">
        <v>6949</v>
      </c>
    </row>
    <row r="2234" spans="1:8">
      <c r="A2234" t="s">
        <v>3142</v>
      </c>
      <c r="B2234" t="s">
        <v>431</v>
      </c>
      <c r="C2234" s="1">
        <v>45400</v>
      </c>
      <c r="D2234" s="1" t="str">
        <f>PROPER(orders[[#This Row],[order_priority]])</f>
        <v>Same Day</v>
      </c>
      <c r="E2234" t="s">
        <v>13324</v>
      </c>
      <c r="F2234" t="str">
        <f>IFERROR(INDEX(customers[country], MATCH(orders[[#This Row],[customer_id]], customers[customer_id], 0)), "Unmapped")</f>
        <v>Sweden</v>
      </c>
      <c r="G2234" t="str">
        <f>IFERROR(INDEX(Region_Map[Region], MATCH(orders[[#This Row],[Customer_Country]], Region_Map[Country], 0)), "Unknown")</f>
        <v>Nordics</v>
      </c>
      <c r="H2234" t="s">
        <v>6949</v>
      </c>
    </row>
    <row r="2235" spans="1:8">
      <c r="A2235" t="s">
        <v>3143</v>
      </c>
      <c r="B2235" t="s">
        <v>413</v>
      </c>
      <c r="C2235" s="1">
        <v>45435</v>
      </c>
      <c r="D2235" s="1" t="str">
        <f>PROPER(orders[[#This Row],[order_priority]])</f>
        <v>Express</v>
      </c>
      <c r="E2235" t="s">
        <v>13318</v>
      </c>
      <c r="F2235" t="str">
        <f>IFERROR(INDEX(customers[country], MATCH(orders[[#This Row],[customer_id]], customers[customer_id], 0)), "Unmapped")</f>
        <v>Poland</v>
      </c>
      <c r="G2235" t="str">
        <f>IFERROR(INDEX(Region_Map[Region], MATCH(orders[[#This Row],[Customer_Country]], Region_Map[Country], 0)), "Unknown")</f>
        <v>Central Europe</v>
      </c>
      <c r="H2235" t="s">
        <v>6949</v>
      </c>
    </row>
    <row r="2236" spans="1:8">
      <c r="A2236" t="s">
        <v>3144</v>
      </c>
      <c r="B2236" t="s">
        <v>383</v>
      </c>
      <c r="C2236" s="1">
        <v>45588</v>
      </c>
      <c r="D2236" s="1" t="str">
        <f>PROPER(orders[[#This Row],[order_priority]])</f>
        <v>Same Day</v>
      </c>
      <c r="E2236" t="s">
        <v>13322</v>
      </c>
      <c r="F2236" t="str">
        <f>IFERROR(INDEX(customers[country], MATCH(orders[[#This Row],[customer_id]], customers[customer_id], 0)), "Unmapped")</f>
        <v>Germany</v>
      </c>
      <c r="G2236" t="str">
        <f>IFERROR(INDEX(Region_Map[Region], MATCH(orders[[#This Row],[Customer_Country]], Region_Map[Country], 0)), "Unknown")</f>
        <v>Central Europe</v>
      </c>
      <c r="H2236" t="s">
        <v>6949</v>
      </c>
    </row>
    <row r="2237" spans="1:8">
      <c r="A2237" t="s">
        <v>3145</v>
      </c>
      <c r="B2237" t="s">
        <v>285</v>
      </c>
      <c r="C2237" s="1">
        <v>45142</v>
      </c>
      <c r="D2237" s="1" t="str">
        <f>PROPER(orders[[#This Row],[order_priority]])</f>
        <v>Express</v>
      </c>
      <c r="E2237" t="s">
        <v>13318</v>
      </c>
      <c r="F2237" t="str">
        <f>IFERROR(INDEX(customers[country], MATCH(orders[[#This Row],[customer_id]], customers[customer_id], 0)), "Unmapped")</f>
        <v>Norway</v>
      </c>
      <c r="G2237" t="str">
        <f>IFERROR(INDEX(Region_Map[Region], MATCH(orders[[#This Row],[Customer_Country]], Region_Map[Country], 0)), "Unknown")</f>
        <v>Nordics</v>
      </c>
      <c r="H2237" t="s">
        <v>6949</v>
      </c>
    </row>
    <row r="2238" spans="1:8">
      <c r="A2238" t="s">
        <v>3146</v>
      </c>
      <c r="B2238" t="s">
        <v>524</v>
      </c>
      <c r="C2238" s="1">
        <v>45206</v>
      </c>
      <c r="D2238" s="1" t="str">
        <f>PROPER(orders[[#This Row],[order_priority]])</f>
        <v>Express</v>
      </c>
      <c r="E2238" t="s">
        <v>13318</v>
      </c>
      <c r="F2238" t="str">
        <f>IFERROR(INDEX(customers[country], MATCH(orders[[#This Row],[customer_id]], customers[customer_id], 0)), "Unmapped")</f>
        <v>Norway</v>
      </c>
      <c r="G2238" t="str">
        <f>IFERROR(INDEX(Region_Map[Region], MATCH(orders[[#This Row],[Customer_Country]], Region_Map[Country], 0)), "Unknown")</f>
        <v>Nordics</v>
      </c>
      <c r="H2238" t="s">
        <v>6949</v>
      </c>
    </row>
    <row r="2239" spans="1:8">
      <c r="A2239" t="s">
        <v>3147</v>
      </c>
      <c r="B2239" t="s">
        <v>27</v>
      </c>
      <c r="C2239" s="1">
        <v>45484</v>
      </c>
      <c r="D2239" s="1" t="str">
        <f>PROPER(orders[[#This Row],[order_priority]])</f>
        <v>Same Day</v>
      </c>
      <c r="E2239" t="s">
        <v>13322</v>
      </c>
      <c r="F2239" t="str">
        <f>IFERROR(INDEX(customers[country], MATCH(orders[[#This Row],[customer_id]], customers[customer_id], 0)), "Unmapped")</f>
        <v>Latvia</v>
      </c>
      <c r="G2239" t="str">
        <f>IFERROR(INDEX(Region_Map[Region], MATCH(orders[[#This Row],[Customer_Country]], Region_Map[Country], 0)), "Unknown")</f>
        <v>Baltics</v>
      </c>
      <c r="H2239" t="s">
        <v>6949</v>
      </c>
    </row>
    <row r="2240" spans="1:8">
      <c r="A2240" t="s">
        <v>3148</v>
      </c>
      <c r="B2240" t="s">
        <v>109</v>
      </c>
      <c r="C2240" s="1">
        <v>45060</v>
      </c>
      <c r="D2240" s="1" t="str">
        <f>PROPER(orders[[#This Row],[order_priority]])</f>
        <v>Express</v>
      </c>
      <c r="E2240" t="s">
        <v>13318</v>
      </c>
      <c r="F2240" t="str">
        <f>IFERROR(INDEX(customers[country], MATCH(orders[[#This Row],[customer_id]], customers[customer_id], 0)), "Unmapped")</f>
        <v>Netherlands</v>
      </c>
      <c r="G2240" t="str">
        <f>IFERROR(INDEX(Region_Map[Region], MATCH(orders[[#This Row],[Customer_Country]], Region_Map[Country], 0)), "Unknown")</f>
        <v>Central Europe</v>
      </c>
      <c r="H2240" t="s">
        <v>6949</v>
      </c>
    </row>
    <row r="2241" spans="1:8">
      <c r="A2241" t="s">
        <v>3149</v>
      </c>
      <c r="B2241" t="s">
        <v>497</v>
      </c>
      <c r="C2241" s="1">
        <v>45341</v>
      </c>
      <c r="D2241" s="1" t="str">
        <f>PROPER(orders[[#This Row],[order_priority]])</f>
        <v>Same Day</v>
      </c>
      <c r="E2241" t="s">
        <v>13322</v>
      </c>
      <c r="F2241" t="str">
        <f>IFERROR(INDEX(customers[country], MATCH(orders[[#This Row],[customer_id]], customers[customer_id], 0)), "Unmapped")</f>
        <v>Germany</v>
      </c>
      <c r="G2241" t="str">
        <f>IFERROR(INDEX(Region_Map[Region], MATCH(orders[[#This Row],[Customer_Country]], Region_Map[Country], 0)), "Unknown")</f>
        <v>Central Europe</v>
      </c>
      <c r="H2241" t="s">
        <v>6949</v>
      </c>
    </row>
    <row r="2242" spans="1:8">
      <c r="A2242" t="s">
        <v>3150</v>
      </c>
      <c r="B2242" t="s">
        <v>772</v>
      </c>
      <c r="C2242" s="1">
        <v>45395</v>
      </c>
      <c r="D2242" s="1" t="str">
        <f>PROPER(orders[[#This Row],[order_priority]])</f>
        <v>Standard</v>
      </c>
      <c r="E2242" t="s">
        <v>13317</v>
      </c>
      <c r="F2242" t="str">
        <f>IFERROR(INDEX(customers[country], MATCH(orders[[#This Row],[customer_id]], customers[customer_id], 0)), "Unmapped")</f>
        <v>Estonia</v>
      </c>
      <c r="G2242" t="str">
        <f>IFERROR(INDEX(Region_Map[Region], MATCH(orders[[#This Row],[Customer_Country]], Region_Map[Country], 0)), "Unknown")</f>
        <v>Baltics</v>
      </c>
      <c r="H2242" t="s">
        <v>6949</v>
      </c>
    </row>
    <row r="2243" spans="1:8">
      <c r="A2243" t="s">
        <v>3151</v>
      </c>
      <c r="B2243" t="s">
        <v>811</v>
      </c>
      <c r="C2243" s="1">
        <v>45343</v>
      </c>
      <c r="D2243" s="1" t="str">
        <f>PROPER(orders[[#This Row],[order_priority]])</f>
        <v>Same Day</v>
      </c>
      <c r="E2243" t="s">
        <v>13322</v>
      </c>
      <c r="F2243" t="str">
        <f>IFERROR(INDEX(customers[country], MATCH(orders[[#This Row],[customer_id]], customers[customer_id], 0)), "Unmapped")</f>
        <v>Finland</v>
      </c>
      <c r="G2243" t="str">
        <f>IFERROR(INDEX(Region_Map[Region], MATCH(orders[[#This Row],[Customer_Country]], Region_Map[Country], 0)), "Unknown")</f>
        <v>Nordics</v>
      </c>
      <c r="H2243" t="s">
        <v>6949</v>
      </c>
    </row>
    <row r="2244" spans="1:8">
      <c r="A2244" t="s">
        <v>3152</v>
      </c>
      <c r="B2244" t="s">
        <v>755</v>
      </c>
      <c r="C2244" s="1">
        <v>45235</v>
      </c>
      <c r="D2244" s="1" t="str">
        <f>PROPER(orders[[#This Row],[order_priority]])</f>
        <v>Standard</v>
      </c>
      <c r="E2244" t="s">
        <v>13317</v>
      </c>
      <c r="F2244" t="str">
        <f>IFERROR(INDEX(customers[country], MATCH(orders[[#This Row],[customer_id]], customers[customer_id], 0)), "Unmapped")</f>
        <v>Denmark</v>
      </c>
      <c r="G2244" t="str">
        <f>IFERROR(INDEX(Region_Map[Region], MATCH(orders[[#This Row],[Customer_Country]], Region_Map[Country], 0)), "Unknown")</f>
        <v>Nordics</v>
      </c>
      <c r="H2244" t="s">
        <v>6949</v>
      </c>
    </row>
    <row r="2245" spans="1:8">
      <c r="A2245" t="s">
        <v>3153</v>
      </c>
      <c r="B2245" t="s">
        <v>506</v>
      </c>
      <c r="C2245" s="1">
        <v>45156</v>
      </c>
      <c r="D2245" s="1" t="str">
        <f>PROPER(orders[[#This Row],[order_priority]])</f>
        <v>Economy</v>
      </c>
      <c r="E2245" t="s">
        <v>13316</v>
      </c>
      <c r="F2245" t="str">
        <f>IFERROR(INDEX(customers[country], MATCH(orders[[#This Row],[customer_id]], customers[customer_id], 0)), "Unmapped")</f>
        <v>Poland</v>
      </c>
      <c r="G2245" t="str">
        <f>IFERROR(INDEX(Region_Map[Region], MATCH(orders[[#This Row],[Customer_Country]], Region_Map[Country], 0)), "Unknown")</f>
        <v>Central Europe</v>
      </c>
      <c r="H2245" t="s">
        <v>6949</v>
      </c>
    </row>
    <row r="2246" spans="1:8">
      <c r="A2246" t="s">
        <v>3154</v>
      </c>
      <c r="B2246" t="s">
        <v>724</v>
      </c>
      <c r="C2246" s="1">
        <v>45367</v>
      </c>
      <c r="D2246" s="1" t="str">
        <f>PROPER(orders[[#This Row],[order_priority]])</f>
        <v>Same Day</v>
      </c>
      <c r="E2246" t="s">
        <v>13322</v>
      </c>
      <c r="F2246" t="str">
        <f>IFERROR(INDEX(customers[country], MATCH(orders[[#This Row],[customer_id]], customers[customer_id], 0)), "Unmapped")</f>
        <v>Denmark</v>
      </c>
      <c r="G2246" t="str">
        <f>IFERROR(INDEX(Region_Map[Region], MATCH(orders[[#This Row],[Customer_Country]], Region_Map[Country], 0)), "Unknown")</f>
        <v>Nordics</v>
      </c>
      <c r="H2246" t="s">
        <v>6949</v>
      </c>
    </row>
    <row r="2247" spans="1:8">
      <c r="A2247" t="s">
        <v>3155</v>
      </c>
      <c r="B2247" t="s">
        <v>249</v>
      </c>
      <c r="C2247" s="1">
        <v>45297</v>
      </c>
      <c r="D2247" s="1" t="str">
        <f>PROPER(orders[[#This Row],[order_priority]])</f>
        <v>Same Day</v>
      </c>
      <c r="E2247" t="s">
        <v>13321</v>
      </c>
      <c r="F2247" t="str">
        <f>IFERROR(INDEX(customers[country], MATCH(orders[[#This Row],[customer_id]], customers[customer_id], 0)), "Unmapped")</f>
        <v>Estonia</v>
      </c>
      <c r="G2247" t="str">
        <f>IFERROR(INDEX(Region_Map[Region], MATCH(orders[[#This Row],[Customer_Country]], Region_Map[Country], 0)), "Unknown")</f>
        <v>Baltics</v>
      </c>
      <c r="H2247" t="s">
        <v>6949</v>
      </c>
    </row>
    <row r="2248" spans="1:8">
      <c r="A2248" t="s">
        <v>3156</v>
      </c>
      <c r="B2248" t="s">
        <v>106</v>
      </c>
      <c r="C2248" s="1">
        <v>45551</v>
      </c>
      <c r="D2248" s="1" t="str">
        <f>PROPER(orders[[#This Row],[order_priority]])</f>
        <v>Standard</v>
      </c>
      <c r="E2248" t="s">
        <v>13319</v>
      </c>
      <c r="F2248" t="str">
        <f>IFERROR(INDEX(customers[country], MATCH(orders[[#This Row],[customer_id]], customers[customer_id], 0)), "Unmapped")</f>
        <v>Lithuania</v>
      </c>
      <c r="G2248" t="str">
        <f>IFERROR(INDEX(Region_Map[Region], MATCH(orders[[#This Row],[Customer_Country]], Region_Map[Country], 0)), "Unknown")</f>
        <v>Baltics</v>
      </c>
      <c r="H2248" t="s">
        <v>6949</v>
      </c>
    </row>
    <row r="2249" spans="1:8">
      <c r="A2249" t="s">
        <v>3157</v>
      </c>
      <c r="B2249" t="s">
        <v>724</v>
      </c>
      <c r="C2249" s="1">
        <v>44947</v>
      </c>
      <c r="D2249" s="1" t="str">
        <f>PROPER(orders[[#This Row],[order_priority]])</f>
        <v>Same Day</v>
      </c>
      <c r="E2249" t="s">
        <v>13322</v>
      </c>
      <c r="F2249" t="str">
        <f>IFERROR(INDEX(customers[country], MATCH(orders[[#This Row],[customer_id]], customers[customer_id], 0)), "Unmapped")</f>
        <v>Denmark</v>
      </c>
      <c r="G2249" t="str">
        <f>IFERROR(INDEX(Region_Map[Region], MATCH(orders[[#This Row],[Customer_Country]], Region_Map[Country], 0)), "Unknown")</f>
        <v>Nordics</v>
      </c>
      <c r="H2249" t="s">
        <v>6949</v>
      </c>
    </row>
    <row r="2250" spans="1:8">
      <c r="A2250" t="s">
        <v>3158</v>
      </c>
      <c r="B2250" t="s">
        <v>548</v>
      </c>
      <c r="C2250" s="1">
        <v>45434</v>
      </c>
      <c r="D2250" s="1" t="str">
        <f>PROPER(orders[[#This Row],[order_priority]])</f>
        <v>Economy</v>
      </c>
      <c r="E2250" t="s">
        <v>13316</v>
      </c>
      <c r="F2250" t="str">
        <f>IFERROR(INDEX(customers[country], MATCH(orders[[#This Row],[customer_id]], customers[customer_id], 0)), "Unmapped")</f>
        <v>Sweden</v>
      </c>
      <c r="G2250" t="str">
        <f>IFERROR(INDEX(Region_Map[Region], MATCH(orders[[#This Row],[Customer_Country]], Region_Map[Country], 0)), "Unknown")</f>
        <v>Nordics</v>
      </c>
      <c r="H2250" t="s">
        <v>6949</v>
      </c>
    </row>
    <row r="2251" spans="1:8">
      <c r="A2251" t="s">
        <v>3159</v>
      </c>
      <c r="B2251" t="s">
        <v>650</v>
      </c>
      <c r="C2251" s="1">
        <v>45506</v>
      </c>
      <c r="D2251" s="1" t="str">
        <f>PROPER(orders[[#This Row],[order_priority]])</f>
        <v>Economy</v>
      </c>
      <c r="E2251" t="s">
        <v>13316</v>
      </c>
      <c r="F2251" t="str">
        <f>IFERROR(INDEX(customers[country], MATCH(orders[[#This Row],[customer_id]], customers[customer_id], 0)), "Unmapped")</f>
        <v>Poland</v>
      </c>
      <c r="G2251" t="str">
        <f>IFERROR(INDEX(Region_Map[Region], MATCH(orders[[#This Row],[Customer_Country]], Region_Map[Country], 0)), "Unknown")</f>
        <v>Central Europe</v>
      </c>
      <c r="H2251" t="s">
        <v>6949</v>
      </c>
    </row>
    <row r="2252" spans="1:8">
      <c r="A2252" t="s">
        <v>3160</v>
      </c>
      <c r="B2252" t="s">
        <v>255</v>
      </c>
      <c r="C2252" s="1">
        <v>45264</v>
      </c>
      <c r="D2252" s="1" t="str">
        <f>PROPER(orders[[#This Row],[order_priority]])</f>
        <v>Standard</v>
      </c>
      <c r="E2252" t="s">
        <v>13317</v>
      </c>
      <c r="F2252" t="str">
        <f>IFERROR(INDEX(customers[country], MATCH(orders[[#This Row],[customer_id]], customers[customer_id], 0)), "Unmapped")</f>
        <v>Sweden</v>
      </c>
      <c r="G2252" t="str">
        <f>IFERROR(INDEX(Region_Map[Region], MATCH(orders[[#This Row],[Customer_Country]], Region_Map[Country], 0)), "Unknown")</f>
        <v>Nordics</v>
      </c>
      <c r="H2252" t="s">
        <v>6949</v>
      </c>
    </row>
    <row r="2253" spans="1:8">
      <c r="A2253" t="s">
        <v>3161</v>
      </c>
      <c r="B2253" t="s">
        <v>350</v>
      </c>
      <c r="C2253" s="1">
        <v>44977</v>
      </c>
      <c r="D2253" s="1" t="str">
        <f>PROPER(orders[[#This Row],[order_priority]])</f>
        <v>Standard</v>
      </c>
      <c r="E2253" t="s">
        <v>13317</v>
      </c>
      <c r="F2253" t="str">
        <f>IFERROR(INDEX(customers[country], MATCH(orders[[#This Row],[customer_id]], customers[customer_id], 0)), "Unmapped")</f>
        <v>Netherlands</v>
      </c>
      <c r="G2253" t="str">
        <f>IFERROR(INDEX(Region_Map[Region], MATCH(orders[[#This Row],[Customer_Country]], Region_Map[Country], 0)), "Unknown")</f>
        <v>Central Europe</v>
      </c>
      <c r="H2253" t="s">
        <v>6949</v>
      </c>
    </row>
    <row r="2254" spans="1:8">
      <c r="A2254" t="s">
        <v>3162</v>
      </c>
      <c r="B2254" t="s">
        <v>335</v>
      </c>
      <c r="C2254" s="1">
        <v>45260</v>
      </c>
      <c r="D2254" s="1" t="str">
        <f>PROPER(orders[[#This Row],[order_priority]])</f>
        <v>Express</v>
      </c>
      <c r="E2254" t="s">
        <v>13318</v>
      </c>
      <c r="F2254" t="str">
        <f>IFERROR(INDEX(customers[country], MATCH(orders[[#This Row],[customer_id]], customers[customer_id], 0)), "Unmapped")</f>
        <v>Denmark</v>
      </c>
      <c r="G2254" t="str">
        <f>IFERROR(INDEX(Region_Map[Region], MATCH(orders[[#This Row],[Customer_Country]], Region_Map[Country], 0)), "Unknown")</f>
        <v>Nordics</v>
      </c>
      <c r="H2254" t="s">
        <v>6949</v>
      </c>
    </row>
    <row r="2255" spans="1:8">
      <c r="A2255" t="s">
        <v>3163</v>
      </c>
      <c r="B2255" t="s">
        <v>500</v>
      </c>
      <c r="C2255" s="1">
        <v>44957</v>
      </c>
      <c r="D2255" s="1" t="str">
        <f>PROPER(orders[[#This Row],[order_priority]])</f>
        <v>Standard</v>
      </c>
      <c r="E2255" t="s">
        <v>13323</v>
      </c>
      <c r="F2255" t="str">
        <f>IFERROR(INDEX(customers[country], MATCH(orders[[#This Row],[customer_id]], customers[customer_id], 0)), "Unmapped")</f>
        <v>Estonia</v>
      </c>
      <c r="G2255" t="str">
        <f>IFERROR(INDEX(Region_Map[Region], MATCH(orders[[#This Row],[Customer_Country]], Region_Map[Country], 0)), "Unknown")</f>
        <v>Baltics</v>
      </c>
      <c r="H2255" t="s">
        <v>6949</v>
      </c>
    </row>
    <row r="2256" spans="1:8">
      <c r="A2256" t="s">
        <v>3164</v>
      </c>
      <c r="B2256" t="s">
        <v>213</v>
      </c>
      <c r="C2256" s="1">
        <v>44993</v>
      </c>
      <c r="D2256" s="1" t="str">
        <f>PROPER(orders[[#This Row],[order_priority]])</f>
        <v>Standard</v>
      </c>
      <c r="E2256" t="s">
        <v>13317</v>
      </c>
      <c r="F2256" t="str">
        <f>IFERROR(INDEX(customers[country], MATCH(orders[[#This Row],[customer_id]], customers[customer_id], 0)), "Unmapped")</f>
        <v>Denmark</v>
      </c>
      <c r="G2256" t="str">
        <f>IFERROR(INDEX(Region_Map[Region], MATCH(orders[[#This Row],[Customer_Country]], Region_Map[Country], 0)), "Unknown")</f>
        <v>Nordics</v>
      </c>
      <c r="H2256" t="s">
        <v>6949</v>
      </c>
    </row>
    <row r="2257" spans="1:8">
      <c r="A2257" t="s">
        <v>3165</v>
      </c>
      <c r="B2257" t="s">
        <v>359</v>
      </c>
      <c r="C2257" s="1">
        <v>44929</v>
      </c>
      <c r="D2257" s="1" t="str">
        <f>PROPER(orders[[#This Row],[order_priority]])</f>
        <v>Express</v>
      </c>
      <c r="E2257" t="s">
        <v>13320</v>
      </c>
      <c r="F2257" t="str">
        <f>IFERROR(INDEX(customers[country], MATCH(orders[[#This Row],[customer_id]], customers[customer_id], 0)), "Unmapped")</f>
        <v>Estonia</v>
      </c>
      <c r="G2257" t="str">
        <f>IFERROR(INDEX(Region_Map[Region], MATCH(orders[[#This Row],[Customer_Country]], Region_Map[Country], 0)), "Unknown")</f>
        <v>Baltics</v>
      </c>
      <c r="H2257" t="s">
        <v>6949</v>
      </c>
    </row>
    <row r="2258" spans="1:8">
      <c r="A2258" t="s">
        <v>3166</v>
      </c>
      <c r="B2258" t="s">
        <v>273</v>
      </c>
      <c r="C2258" s="1">
        <v>45441</v>
      </c>
      <c r="D2258" s="1" t="str">
        <f>PROPER(orders[[#This Row],[order_priority]])</f>
        <v>Express</v>
      </c>
      <c r="E2258" t="s">
        <v>13318</v>
      </c>
      <c r="F2258" t="str">
        <f>IFERROR(INDEX(customers[country], MATCH(orders[[#This Row],[customer_id]], customers[customer_id], 0)), "Unmapped")</f>
        <v>Norway</v>
      </c>
      <c r="G2258" t="str">
        <f>IFERROR(INDEX(Region_Map[Region], MATCH(orders[[#This Row],[Customer_Country]], Region_Map[Country], 0)), "Unknown")</f>
        <v>Nordics</v>
      </c>
      <c r="H2258" t="s">
        <v>6949</v>
      </c>
    </row>
    <row r="2259" spans="1:8">
      <c r="A2259" t="s">
        <v>3167</v>
      </c>
      <c r="B2259" t="s">
        <v>207</v>
      </c>
      <c r="C2259" s="1">
        <v>45037</v>
      </c>
      <c r="D2259" s="1" t="str">
        <f>PROPER(orders[[#This Row],[order_priority]])</f>
        <v>Economy</v>
      </c>
      <c r="E2259" t="s">
        <v>13316</v>
      </c>
      <c r="F2259" t="str">
        <f>IFERROR(INDEX(customers[country], MATCH(orders[[#This Row],[customer_id]], customers[customer_id], 0)), "Unmapped")</f>
        <v>Poland</v>
      </c>
      <c r="G2259" t="str">
        <f>IFERROR(INDEX(Region_Map[Region], MATCH(orders[[#This Row],[Customer_Country]], Region_Map[Country], 0)), "Unknown")</f>
        <v>Central Europe</v>
      </c>
      <c r="H2259" t="s">
        <v>6949</v>
      </c>
    </row>
    <row r="2260" spans="1:8">
      <c r="A2260" t="s">
        <v>3168</v>
      </c>
      <c r="B2260" t="s">
        <v>419</v>
      </c>
      <c r="C2260" s="1">
        <v>45449</v>
      </c>
      <c r="D2260" s="1" t="str">
        <f>PROPER(orders[[#This Row],[order_priority]])</f>
        <v>Economy</v>
      </c>
      <c r="E2260" t="s">
        <v>13316</v>
      </c>
      <c r="F2260" t="str">
        <f>IFERROR(INDEX(customers[country], MATCH(orders[[#This Row],[customer_id]], customers[customer_id], 0)), "Unmapped")</f>
        <v>Estonia</v>
      </c>
      <c r="G2260" t="str">
        <f>IFERROR(INDEX(Region_Map[Region], MATCH(orders[[#This Row],[Customer_Country]], Region_Map[Country], 0)), "Unknown")</f>
        <v>Baltics</v>
      </c>
      <c r="H2260" t="s">
        <v>6949</v>
      </c>
    </row>
    <row r="2261" spans="1:8">
      <c r="A2261" t="s">
        <v>3169</v>
      </c>
      <c r="B2261" t="s">
        <v>664</v>
      </c>
      <c r="C2261" s="1">
        <v>45027</v>
      </c>
      <c r="D2261" s="1" t="str">
        <f>PROPER(orders[[#This Row],[order_priority]])</f>
        <v>Standard</v>
      </c>
      <c r="E2261" t="s">
        <v>13317</v>
      </c>
      <c r="F2261" t="str">
        <f>IFERROR(INDEX(customers[country], MATCH(orders[[#This Row],[customer_id]], customers[customer_id], 0)), "Unmapped")</f>
        <v>Latvia</v>
      </c>
      <c r="G2261" t="str">
        <f>IFERROR(INDEX(Region_Map[Region], MATCH(orders[[#This Row],[Customer_Country]], Region_Map[Country], 0)), "Unknown")</f>
        <v>Baltics</v>
      </c>
      <c r="H2261" t="s">
        <v>6949</v>
      </c>
    </row>
    <row r="2262" spans="1:8">
      <c r="A2262" t="s">
        <v>3170</v>
      </c>
      <c r="B2262" t="s">
        <v>679</v>
      </c>
      <c r="C2262" s="1">
        <v>45112</v>
      </c>
      <c r="D2262" s="1" t="str">
        <f>PROPER(orders[[#This Row],[order_priority]])</f>
        <v>Economy</v>
      </c>
      <c r="E2262" t="s">
        <v>13316</v>
      </c>
      <c r="F2262" t="str">
        <f>IFERROR(INDEX(customers[country], MATCH(orders[[#This Row],[customer_id]], customers[customer_id], 0)), "Unmapped")</f>
        <v>Norway</v>
      </c>
      <c r="G2262" t="str">
        <f>IFERROR(INDEX(Region_Map[Region], MATCH(orders[[#This Row],[Customer_Country]], Region_Map[Country], 0)), "Unknown")</f>
        <v>Nordics</v>
      </c>
      <c r="H2262" t="s">
        <v>6949</v>
      </c>
    </row>
    <row r="2263" spans="1:8">
      <c r="A2263" t="s">
        <v>3171</v>
      </c>
      <c r="B2263" t="s">
        <v>476</v>
      </c>
      <c r="C2263" s="1">
        <v>45302</v>
      </c>
      <c r="D2263" s="1" t="str">
        <f>PROPER(orders[[#This Row],[order_priority]])</f>
        <v>Same Day</v>
      </c>
      <c r="E2263" t="s">
        <v>13321</v>
      </c>
      <c r="F2263" t="str">
        <f>IFERROR(INDEX(customers[country], MATCH(orders[[#This Row],[customer_id]], customers[customer_id], 0)), "Unmapped")</f>
        <v>Norway</v>
      </c>
      <c r="G2263" t="str">
        <f>IFERROR(INDEX(Region_Map[Region], MATCH(orders[[#This Row],[Customer_Country]], Region_Map[Country], 0)), "Unknown")</f>
        <v>Nordics</v>
      </c>
      <c r="H2263" t="s">
        <v>6949</v>
      </c>
    </row>
    <row r="2264" spans="1:8">
      <c r="A2264" t="s">
        <v>3172</v>
      </c>
      <c r="B2264" t="s">
        <v>667</v>
      </c>
      <c r="C2264" s="1">
        <v>45380</v>
      </c>
      <c r="D2264" s="1" t="str">
        <f>PROPER(orders[[#This Row],[order_priority]])</f>
        <v>Express</v>
      </c>
      <c r="E2264" t="s">
        <v>13320</v>
      </c>
      <c r="F2264" t="str">
        <f>IFERROR(INDEX(customers[country], MATCH(orders[[#This Row],[customer_id]], customers[customer_id], 0)), "Unmapped")</f>
        <v>Germany</v>
      </c>
      <c r="G2264" t="str">
        <f>IFERROR(INDEX(Region_Map[Region], MATCH(orders[[#This Row],[Customer_Country]], Region_Map[Country], 0)), "Unknown")</f>
        <v>Central Europe</v>
      </c>
      <c r="H2264" t="s">
        <v>6949</v>
      </c>
    </row>
    <row r="2265" spans="1:8">
      <c r="A2265" t="s">
        <v>3173</v>
      </c>
      <c r="B2265" t="s">
        <v>906</v>
      </c>
      <c r="C2265" s="1">
        <v>44993</v>
      </c>
      <c r="D2265" s="1" t="str">
        <f>PROPER(orders[[#This Row],[order_priority]])</f>
        <v>Express</v>
      </c>
      <c r="E2265" t="s">
        <v>13320</v>
      </c>
      <c r="F2265" t="str">
        <f>IFERROR(INDEX(customers[country], MATCH(orders[[#This Row],[customer_id]], customers[customer_id], 0)), "Unmapped")</f>
        <v>Sweden</v>
      </c>
      <c r="G2265" t="str">
        <f>IFERROR(INDEX(Region_Map[Region], MATCH(orders[[#This Row],[Customer_Country]], Region_Map[Country], 0)), "Unknown")</f>
        <v>Nordics</v>
      </c>
      <c r="H2265" t="s">
        <v>6949</v>
      </c>
    </row>
    <row r="2266" spans="1:8">
      <c r="A2266" t="s">
        <v>3174</v>
      </c>
      <c r="B2266" t="s">
        <v>614</v>
      </c>
      <c r="C2266" s="1">
        <v>45521</v>
      </c>
      <c r="D2266" s="1" t="str">
        <f>PROPER(orders[[#This Row],[order_priority]])</f>
        <v>Express</v>
      </c>
      <c r="E2266" t="s">
        <v>13318</v>
      </c>
      <c r="F2266" t="str">
        <f>IFERROR(INDEX(customers[country], MATCH(orders[[#This Row],[customer_id]], customers[customer_id], 0)), "Unmapped")</f>
        <v>Latvia</v>
      </c>
      <c r="G2266" t="str">
        <f>IFERROR(INDEX(Region_Map[Region], MATCH(orders[[#This Row],[Customer_Country]], Region_Map[Country], 0)), "Unknown")</f>
        <v>Baltics</v>
      </c>
      <c r="H2266" t="s">
        <v>6949</v>
      </c>
    </row>
    <row r="2267" spans="1:8">
      <c r="A2267" t="s">
        <v>3175</v>
      </c>
      <c r="B2267" t="s">
        <v>285</v>
      </c>
      <c r="C2267" s="1">
        <v>45476</v>
      </c>
      <c r="D2267" s="1" t="str">
        <f>PROPER(orders[[#This Row],[order_priority]])</f>
        <v>Express</v>
      </c>
      <c r="E2267" t="s">
        <v>13318</v>
      </c>
      <c r="F2267" t="str">
        <f>IFERROR(INDEX(customers[country], MATCH(orders[[#This Row],[customer_id]], customers[customer_id], 0)), "Unmapped")</f>
        <v>Norway</v>
      </c>
      <c r="G2267" t="str">
        <f>IFERROR(INDEX(Region_Map[Region], MATCH(orders[[#This Row],[Customer_Country]], Region_Map[Country], 0)), "Unknown")</f>
        <v>Nordics</v>
      </c>
      <c r="H2267" t="s">
        <v>6949</v>
      </c>
    </row>
    <row r="2268" spans="1:8">
      <c r="A2268" t="s">
        <v>3176</v>
      </c>
      <c r="B2268" t="s">
        <v>909</v>
      </c>
      <c r="C2268" s="1">
        <v>45351</v>
      </c>
      <c r="D2268" s="1" t="str">
        <f>PROPER(orders[[#This Row],[order_priority]])</f>
        <v>Standard</v>
      </c>
      <c r="E2268" t="s">
        <v>13317</v>
      </c>
      <c r="F2268" t="str">
        <f>IFERROR(INDEX(customers[country], MATCH(orders[[#This Row],[customer_id]], customers[customer_id], 0)), "Unmapped")</f>
        <v>Poland</v>
      </c>
      <c r="G2268" t="str">
        <f>IFERROR(INDEX(Region_Map[Region], MATCH(orders[[#This Row],[Customer_Country]], Region_Map[Country], 0)), "Unknown")</f>
        <v>Central Europe</v>
      </c>
      <c r="H2268" t="s">
        <v>6949</v>
      </c>
    </row>
    <row r="2269" spans="1:8">
      <c r="A2269" t="s">
        <v>3177</v>
      </c>
      <c r="B2269" t="s">
        <v>377</v>
      </c>
      <c r="C2269" s="1">
        <v>45188</v>
      </c>
      <c r="D2269" s="1" t="str">
        <f>PROPER(orders[[#This Row],[order_priority]])</f>
        <v>Economy</v>
      </c>
      <c r="E2269" t="s">
        <v>13316</v>
      </c>
      <c r="F2269" t="str">
        <f>IFERROR(INDEX(customers[country], MATCH(orders[[#This Row],[customer_id]], customers[customer_id], 0)), "Unmapped")</f>
        <v>Denmark</v>
      </c>
      <c r="G2269" t="str">
        <f>IFERROR(INDEX(Region_Map[Region], MATCH(orders[[#This Row],[Customer_Country]], Region_Map[Country], 0)), "Unknown")</f>
        <v>Nordics</v>
      </c>
      <c r="H2269" t="s">
        <v>6949</v>
      </c>
    </row>
    <row r="2270" spans="1:8">
      <c r="A2270" t="s">
        <v>3178</v>
      </c>
      <c r="B2270" t="s">
        <v>213</v>
      </c>
      <c r="C2270" s="1">
        <v>45256</v>
      </c>
      <c r="D2270" s="1" t="str">
        <f>PROPER(orders[[#This Row],[order_priority]])</f>
        <v>Economy</v>
      </c>
      <c r="E2270" t="s">
        <v>13316</v>
      </c>
      <c r="F2270" t="str">
        <f>IFERROR(INDEX(customers[country], MATCH(orders[[#This Row],[customer_id]], customers[customer_id], 0)), "Unmapped")</f>
        <v>Denmark</v>
      </c>
      <c r="G2270" t="str">
        <f>IFERROR(INDEX(Region_Map[Region], MATCH(orders[[#This Row],[Customer_Country]], Region_Map[Country], 0)), "Unknown")</f>
        <v>Nordics</v>
      </c>
      <c r="H2270" t="s">
        <v>6949</v>
      </c>
    </row>
    <row r="2271" spans="1:8">
      <c r="A2271" t="s">
        <v>3179</v>
      </c>
      <c r="B2271" t="s">
        <v>55</v>
      </c>
      <c r="C2271" s="1">
        <v>45360</v>
      </c>
      <c r="D2271" s="1" t="str">
        <f>PROPER(orders[[#This Row],[order_priority]])</f>
        <v>Standard</v>
      </c>
      <c r="E2271" t="s">
        <v>13319</v>
      </c>
      <c r="F2271" t="str">
        <f>IFERROR(INDEX(customers[country], MATCH(orders[[#This Row],[customer_id]], customers[customer_id], 0)), "Unmapped")</f>
        <v>Netherlands</v>
      </c>
      <c r="G2271" t="str">
        <f>IFERROR(INDEX(Region_Map[Region], MATCH(orders[[#This Row],[Customer_Country]], Region_Map[Country], 0)), "Unknown")</f>
        <v>Central Europe</v>
      </c>
      <c r="H2271" t="s">
        <v>6949</v>
      </c>
    </row>
    <row r="2272" spans="1:8">
      <c r="A2272" t="s">
        <v>3180</v>
      </c>
      <c r="B2272" t="s">
        <v>225</v>
      </c>
      <c r="C2272" s="1">
        <v>45121</v>
      </c>
      <c r="D2272" s="1" t="str">
        <f>PROPER(orders[[#This Row],[order_priority]])</f>
        <v>Same Day</v>
      </c>
      <c r="E2272" t="s">
        <v>13322</v>
      </c>
      <c r="F2272" t="str">
        <f>IFERROR(INDEX(customers[country], MATCH(orders[[#This Row],[customer_id]], customers[customer_id], 0)), "Unmapped")</f>
        <v>Poland</v>
      </c>
      <c r="G2272" t="str">
        <f>IFERROR(INDEX(Region_Map[Region], MATCH(orders[[#This Row],[Customer_Country]], Region_Map[Country], 0)), "Unknown")</f>
        <v>Central Europe</v>
      </c>
      <c r="H2272" t="s">
        <v>6949</v>
      </c>
    </row>
    <row r="2273" spans="1:8">
      <c r="A2273" t="s">
        <v>3181</v>
      </c>
      <c r="B2273" t="s">
        <v>467</v>
      </c>
      <c r="C2273" s="1">
        <v>45321</v>
      </c>
      <c r="D2273" s="1" t="str">
        <f>PROPER(orders[[#This Row],[order_priority]])</f>
        <v>Standard</v>
      </c>
      <c r="E2273" t="s">
        <v>13317</v>
      </c>
      <c r="F2273" t="str">
        <f>IFERROR(INDEX(customers[country], MATCH(orders[[#This Row],[customer_id]], customers[customer_id], 0)), "Unmapped")</f>
        <v>Latvia</v>
      </c>
      <c r="G2273" t="str">
        <f>IFERROR(INDEX(Region_Map[Region], MATCH(orders[[#This Row],[Customer_Country]], Region_Map[Country], 0)), "Unknown")</f>
        <v>Baltics</v>
      </c>
      <c r="H2273" t="s">
        <v>6949</v>
      </c>
    </row>
    <row r="2274" spans="1:8">
      <c r="A2274" t="s">
        <v>3182</v>
      </c>
      <c r="B2274" t="s">
        <v>876</v>
      </c>
      <c r="C2274" s="1">
        <v>45208</v>
      </c>
      <c r="D2274" s="1" t="str">
        <f>PROPER(orders[[#This Row],[order_priority]])</f>
        <v>Standard</v>
      </c>
      <c r="E2274" t="s">
        <v>13317</v>
      </c>
      <c r="F2274" t="str">
        <f>IFERROR(INDEX(customers[country], MATCH(orders[[#This Row],[customer_id]], customers[customer_id], 0)), "Unmapped")</f>
        <v>Estonia</v>
      </c>
      <c r="G2274" t="str">
        <f>IFERROR(INDEX(Region_Map[Region], MATCH(orders[[#This Row],[Customer_Country]], Region_Map[Country], 0)), "Unknown")</f>
        <v>Baltics</v>
      </c>
      <c r="H2274" t="s">
        <v>6949</v>
      </c>
    </row>
    <row r="2275" spans="1:8">
      <c r="A2275" t="s">
        <v>3183</v>
      </c>
      <c r="B2275" t="s">
        <v>652</v>
      </c>
      <c r="C2275" s="1">
        <v>45014</v>
      </c>
      <c r="D2275" s="1" t="str">
        <f>PROPER(orders[[#This Row],[order_priority]])</f>
        <v>Economy</v>
      </c>
      <c r="E2275" t="s">
        <v>13316</v>
      </c>
      <c r="F2275" t="str">
        <f>IFERROR(INDEX(customers[country], MATCH(orders[[#This Row],[customer_id]], customers[customer_id], 0)), "Unmapped")</f>
        <v>Poland</v>
      </c>
      <c r="G2275" t="str">
        <f>IFERROR(INDEX(Region_Map[Region], MATCH(orders[[#This Row],[Customer_Country]], Region_Map[Country], 0)), "Unknown")</f>
        <v>Central Europe</v>
      </c>
      <c r="H2275" t="s">
        <v>6949</v>
      </c>
    </row>
    <row r="2276" spans="1:8">
      <c r="A2276" t="s">
        <v>3184</v>
      </c>
      <c r="B2276" t="s">
        <v>303</v>
      </c>
      <c r="C2276" s="1">
        <v>45417</v>
      </c>
      <c r="D2276" s="1" t="str">
        <f>PROPER(orders[[#This Row],[order_priority]])</f>
        <v>Same Day</v>
      </c>
      <c r="E2276" t="s">
        <v>13322</v>
      </c>
      <c r="F2276" t="str">
        <f>IFERROR(INDEX(customers[country], MATCH(orders[[#This Row],[customer_id]], customers[customer_id], 0)), "Unmapped")</f>
        <v>Netherlands</v>
      </c>
      <c r="G2276" t="str">
        <f>IFERROR(INDEX(Region_Map[Region], MATCH(orders[[#This Row],[Customer_Country]], Region_Map[Country], 0)), "Unknown")</f>
        <v>Central Europe</v>
      </c>
      <c r="H2276" t="s">
        <v>6949</v>
      </c>
    </row>
    <row r="2277" spans="1:8">
      <c r="A2277" t="s">
        <v>3185</v>
      </c>
      <c r="B2277" t="s">
        <v>338</v>
      </c>
      <c r="C2277" s="1">
        <v>44960</v>
      </c>
      <c r="D2277" s="1" t="str">
        <f>PROPER(orders[[#This Row],[order_priority]])</f>
        <v>Standard</v>
      </c>
      <c r="E2277" t="s">
        <v>13317</v>
      </c>
      <c r="F2277" t="str">
        <f>IFERROR(INDEX(customers[country], MATCH(orders[[#This Row],[customer_id]], customers[customer_id], 0)), "Unmapped")</f>
        <v>Denmark</v>
      </c>
      <c r="G2277" t="str">
        <f>IFERROR(INDEX(Region_Map[Region], MATCH(orders[[#This Row],[Customer_Country]], Region_Map[Country], 0)), "Unknown")</f>
        <v>Nordics</v>
      </c>
      <c r="H2277" t="s">
        <v>6949</v>
      </c>
    </row>
    <row r="2278" spans="1:8">
      <c r="A2278" t="s">
        <v>3186</v>
      </c>
      <c r="B2278" t="s">
        <v>679</v>
      </c>
      <c r="C2278" s="1">
        <v>45563</v>
      </c>
      <c r="D2278" s="1" t="str">
        <f>PROPER(orders[[#This Row],[order_priority]])</f>
        <v>Same Day</v>
      </c>
      <c r="E2278" t="s">
        <v>13322</v>
      </c>
      <c r="F2278" t="str">
        <f>IFERROR(INDEX(customers[country], MATCH(orders[[#This Row],[customer_id]], customers[customer_id], 0)), "Unmapped")</f>
        <v>Norway</v>
      </c>
      <c r="G2278" t="str">
        <f>IFERROR(INDEX(Region_Map[Region], MATCH(orders[[#This Row],[Customer_Country]], Region_Map[Country], 0)), "Unknown")</f>
        <v>Nordics</v>
      </c>
      <c r="H2278" t="s">
        <v>6949</v>
      </c>
    </row>
    <row r="2279" spans="1:8">
      <c r="A2279" t="s">
        <v>3187</v>
      </c>
      <c r="B2279" t="s">
        <v>172</v>
      </c>
      <c r="C2279" s="1">
        <v>45519</v>
      </c>
      <c r="D2279" s="1" t="str">
        <f>PROPER(orders[[#This Row],[order_priority]])</f>
        <v>Economy</v>
      </c>
      <c r="E2279" t="s">
        <v>13316</v>
      </c>
      <c r="F2279" t="str">
        <f>IFERROR(INDEX(customers[country], MATCH(orders[[#This Row],[customer_id]], customers[customer_id], 0)), "Unmapped")</f>
        <v>Denmark</v>
      </c>
      <c r="G2279" t="str">
        <f>IFERROR(INDEX(Region_Map[Region], MATCH(orders[[#This Row],[Customer_Country]], Region_Map[Country], 0)), "Unknown")</f>
        <v>Nordics</v>
      </c>
      <c r="H2279" t="s">
        <v>6949</v>
      </c>
    </row>
    <row r="2280" spans="1:8">
      <c r="A2280" t="s">
        <v>3188</v>
      </c>
      <c r="B2280" t="s">
        <v>500</v>
      </c>
      <c r="C2280" s="1">
        <v>45452</v>
      </c>
      <c r="D2280" s="1" t="str">
        <f>PROPER(orders[[#This Row],[order_priority]])</f>
        <v>Standard</v>
      </c>
      <c r="E2280" t="s">
        <v>13317</v>
      </c>
      <c r="F2280" t="str">
        <f>IFERROR(INDEX(customers[country], MATCH(orders[[#This Row],[customer_id]], customers[customer_id], 0)), "Unmapped")</f>
        <v>Estonia</v>
      </c>
      <c r="G2280" t="str">
        <f>IFERROR(INDEX(Region_Map[Region], MATCH(orders[[#This Row],[Customer_Country]], Region_Map[Country], 0)), "Unknown")</f>
        <v>Baltics</v>
      </c>
      <c r="H2280" t="s">
        <v>6949</v>
      </c>
    </row>
    <row r="2281" spans="1:8">
      <c r="A2281" t="s">
        <v>3189</v>
      </c>
      <c r="B2281" t="s">
        <v>760</v>
      </c>
      <c r="C2281" s="1">
        <v>45241</v>
      </c>
      <c r="D2281" s="1" t="str">
        <f>PROPER(orders[[#This Row],[order_priority]])</f>
        <v>Express</v>
      </c>
      <c r="E2281" t="s">
        <v>13318</v>
      </c>
      <c r="F2281" t="str">
        <f>IFERROR(INDEX(customers[country], MATCH(orders[[#This Row],[customer_id]], customers[customer_id], 0)), "Unmapped")</f>
        <v>Poland</v>
      </c>
      <c r="G2281" t="str">
        <f>IFERROR(INDEX(Region_Map[Region], MATCH(orders[[#This Row],[Customer_Country]], Region_Map[Country], 0)), "Unknown")</f>
        <v>Central Europe</v>
      </c>
      <c r="H2281" t="s">
        <v>6949</v>
      </c>
    </row>
    <row r="2282" spans="1:8">
      <c r="A2282" t="s">
        <v>3190</v>
      </c>
      <c r="B2282" t="s">
        <v>578</v>
      </c>
      <c r="C2282" s="1">
        <v>45311</v>
      </c>
      <c r="D2282" s="1" t="str">
        <f>PROPER(orders[[#This Row],[order_priority]])</f>
        <v>Same Day</v>
      </c>
      <c r="E2282" t="s">
        <v>13322</v>
      </c>
      <c r="F2282" t="str">
        <f>IFERROR(INDEX(customers[country], MATCH(orders[[#This Row],[customer_id]], customers[customer_id], 0)), "Unmapped")</f>
        <v>Norway</v>
      </c>
      <c r="G2282" t="str">
        <f>IFERROR(INDEX(Region_Map[Region], MATCH(orders[[#This Row],[Customer_Country]], Region_Map[Country], 0)), "Unknown")</f>
        <v>Nordics</v>
      </c>
      <c r="H2282" t="s">
        <v>6949</v>
      </c>
    </row>
    <row r="2283" spans="1:8">
      <c r="A2283" t="s">
        <v>3191</v>
      </c>
      <c r="B2283" t="s">
        <v>443</v>
      </c>
      <c r="C2283" s="1">
        <v>45550</v>
      </c>
      <c r="D2283" s="1" t="str">
        <f>PROPER(orders[[#This Row],[order_priority]])</f>
        <v>Same Day</v>
      </c>
      <c r="E2283" t="s">
        <v>13322</v>
      </c>
      <c r="F2283" t="str">
        <f>IFERROR(INDEX(customers[country], MATCH(orders[[#This Row],[customer_id]], customers[customer_id], 0)), "Unmapped")</f>
        <v>Estonia</v>
      </c>
      <c r="G2283" t="str">
        <f>IFERROR(INDEX(Region_Map[Region], MATCH(orders[[#This Row],[Customer_Country]], Region_Map[Country], 0)), "Unknown")</f>
        <v>Baltics</v>
      </c>
      <c r="H2283" t="s">
        <v>6949</v>
      </c>
    </row>
    <row r="2284" spans="1:8">
      <c r="A2284" t="s">
        <v>3192</v>
      </c>
      <c r="B2284" t="s">
        <v>545</v>
      </c>
      <c r="C2284" s="1">
        <v>45573</v>
      </c>
      <c r="D2284" s="1" t="str">
        <f>PROPER(orders[[#This Row],[order_priority]])</f>
        <v>Express</v>
      </c>
      <c r="E2284" t="s">
        <v>13318</v>
      </c>
      <c r="F2284" t="str">
        <f>IFERROR(INDEX(customers[country], MATCH(orders[[#This Row],[customer_id]], customers[customer_id], 0)), "Unmapped")</f>
        <v>Netherlands</v>
      </c>
      <c r="G2284" t="str">
        <f>IFERROR(INDEX(Region_Map[Region], MATCH(orders[[#This Row],[Customer_Country]], Region_Map[Country], 0)), "Unknown")</f>
        <v>Central Europe</v>
      </c>
      <c r="H2284" t="s">
        <v>6949</v>
      </c>
    </row>
    <row r="2285" spans="1:8">
      <c r="A2285" t="s">
        <v>3193</v>
      </c>
      <c r="B2285" t="s">
        <v>124</v>
      </c>
      <c r="C2285" s="1">
        <v>45454</v>
      </c>
      <c r="D2285" s="1" t="str">
        <f>PROPER(orders[[#This Row],[order_priority]])</f>
        <v>Economy</v>
      </c>
      <c r="E2285" t="s">
        <v>13316</v>
      </c>
      <c r="F2285" t="str">
        <f>IFERROR(INDEX(customers[country], MATCH(orders[[#This Row],[customer_id]], customers[customer_id], 0)), "Unmapped")</f>
        <v>Lithuania</v>
      </c>
      <c r="G2285" t="str">
        <f>IFERROR(INDEX(Region_Map[Region], MATCH(orders[[#This Row],[Customer_Country]], Region_Map[Country], 0)), "Unknown")</f>
        <v>Baltics</v>
      </c>
      <c r="H2285" t="s">
        <v>6949</v>
      </c>
    </row>
    <row r="2286" spans="1:8">
      <c r="A2286" t="s">
        <v>3194</v>
      </c>
      <c r="B2286" t="s">
        <v>461</v>
      </c>
      <c r="C2286" s="1">
        <v>45524</v>
      </c>
      <c r="D2286" s="1" t="str">
        <f>PROPER(orders[[#This Row],[order_priority]])</f>
        <v>Economy</v>
      </c>
      <c r="E2286" t="s">
        <v>13316</v>
      </c>
      <c r="F2286" t="str">
        <f>IFERROR(INDEX(customers[country], MATCH(orders[[#This Row],[customer_id]], customers[customer_id], 0)), "Unmapped")</f>
        <v>Latvia</v>
      </c>
      <c r="G2286" t="str">
        <f>IFERROR(INDEX(Region_Map[Region], MATCH(orders[[#This Row],[Customer_Country]], Region_Map[Country], 0)), "Unknown")</f>
        <v>Baltics</v>
      </c>
      <c r="H2286" t="s">
        <v>6949</v>
      </c>
    </row>
    <row r="2287" spans="1:8">
      <c r="A2287" t="s">
        <v>3195</v>
      </c>
      <c r="B2287" t="s">
        <v>766</v>
      </c>
      <c r="C2287" s="1">
        <v>45363</v>
      </c>
      <c r="D2287" s="1" t="str">
        <f>PROPER(orders[[#This Row],[order_priority]])</f>
        <v>Standard</v>
      </c>
      <c r="E2287" t="s">
        <v>13317</v>
      </c>
      <c r="F2287" t="str">
        <f>IFERROR(INDEX(customers[country], MATCH(orders[[#This Row],[customer_id]], customers[customer_id], 0)), "Unmapped")</f>
        <v>Germany</v>
      </c>
      <c r="G2287" t="str">
        <f>IFERROR(INDEX(Region_Map[Region], MATCH(orders[[#This Row],[Customer_Country]], Region_Map[Country], 0)), "Unknown")</f>
        <v>Central Europe</v>
      </c>
      <c r="H2287" t="s">
        <v>6949</v>
      </c>
    </row>
    <row r="2288" spans="1:8">
      <c r="A2288" t="s">
        <v>3196</v>
      </c>
      <c r="B2288" t="s">
        <v>590</v>
      </c>
      <c r="C2288" s="1">
        <v>45121</v>
      </c>
      <c r="D2288" s="1" t="str">
        <f>PROPER(orders[[#This Row],[order_priority]])</f>
        <v>Economy</v>
      </c>
      <c r="E2288" t="s">
        <v>13316</v>
      </c>
      <c r="F2288" t="str">
        <f>IFERROR(INDEX(customers[country], MATCH(orders[[#This Row],[customer_id]], customers[customer_id], 0)), "Unmapped")</f>
        <v>Finland</v>
      </c>
      <c r="G2288" t="str">
        <f>IFERROR(INDEX(Region_Map[Region], MATCH(orders[[#This Row],[Customer_Country]], Region_Map[Country], 0)), "Unknown")</f>
        <v>Nordics</v>
      </c>
      <c r="H2288" t="s">
        <v>6949</v>
      </c>
    </row>
    <row r="2289" spans="1:8">
      <c r="A2289" t="s">
        <v>3197</v>
      </c>
      <c r="B2289" t="s">
        <v>575</v>
      </c>
      <c r="C2289" s="1">
        <v>45479</v>
      </c>
      <c r="D2289" s="1" t="str">
        <f>PROPER(orders[[#This Row],[order_priority]])</f>
        <v>Same Day</v>
      </c>
      <c r="E2289" t="s">
        <v>13322</v>
      </c>
      <c r="F2289" t="str">
        <f>IFERROR(INDEX(customers[country], MATCH(orders[[#This Row],[customer_id]], customers[customer_id], 0)), "Unmapped")</f>
        <v>Netherlands</v>
      </c>
      <c r="G2289" t="str">
        <f>IFERROR(INDEX(Region_Map[Region], MATCH(orders[[#This Row],[Customer_Country]], Region_Map[Country], 0)), "Unknown")</f>
        <v>Central Europe</v>
      </c>
      <c r="H2289" t="s">
        <v>6949</v>
      </c>
    </row>
    <row r="2290" spans="1:8">
      <c r="A2290" t="s">
        <v>3198</v>
      </c>
      <c r="B2290" t="s">
        <v>470</v>
      </c>
      <c r="C2290" s="1">
        <v>45371</v>
      </c>
      <c r="D2290" s="1" t="str">
        <f>PROPER(orders[[#This Row],[order_priority]])</f>
        <v>Express</v>
      </c>
      <c r="E2290" t="s">
        <v>13318</v>
      </c>
      <c r="F2290" t="str">
        <f>IFERROR(INDEX(customers[country], MATCH(orders[[#This Row],[customer_id]], customers[customer_id], 0)), "Unmapped")</f>
        <v>Norway</v>
      </c>
      <c r="G2290" t="str">
        <f>IFERROR(INDEX(Region_Map[Region], MATCH(orders[[#This Row],[Customer_Country]], Region_Map[Country], 0)), "Unknown")</f>
        <v>Nordics</v>
      </c>
      <c r="H2290" t="s">
        <v>6949</v>
      </c>
    </row>
    <row r="2291" spans="1:8">
      <c r="A2291" t="s">
        <v>3199</v>
      </c>
      <c r="B2291" t="s">
        <v>673</v>
      </c>
      <c r="C2291" s="1">
        <v>45146</v>
      </c>
      <c r="D2291" s="1" t="str">
        <f>PROPER(orders[[#This Row],[order_priority]])</f>
        <v>Standard</v>
      </c>
      <c r="E2291" t="s">
        <v>13317</v>
      </c>
      <c r="F2291" t="str">
        <f>IFERROR(INDEX(customers[country], MATCH(orders[[#This Row],[customer_id]], customers[customer_id], 0)), "Unmapped")</f>
        <v>Sweden</v>
      </c>
      <c r="G2291" t="str">
        <f>IFERROR(INDEX(Region_Map[Region], MATCH(orders[[#This Row],[Customer_Country]], Region_Map[Country], 0)), "Unknown")</f>
        <v>Nordics</v>
      </c>
      <c r="H2291" t="s">
        <v>6949</v>
      </c>
    </row>
    <row r="2292" spans="1:8">
      <c r="A2292" t="s">
        <v>3200</v>
      </c>
      <c r="B2292" t="s">
        <v>652</v>
      </c>
      <c r="C2292" s="1">
        <v>45090</v>
      </c>
      <c r="D2292" s="1" t="str">
        <f>PROPER(orders[[#This Row],[order_priority]])</f>
        <v>Standard</v>
      </c>
      <c r="E2292" t="s">
        <v>13317</v>
      </c>
      <c r="F2292" t="str">
        <f>IFERROR(INDEX(customers[country], MATCH(orders[[#This Row],[customer_id]], customers[customer_id], 0)), "Unmapped")</f>
        <v>Poland</v>
      </c>
      <c r="G2292" t="str">
        <f>IFERROR(INDEX(Region_Map[Region], MATCH(orders[[#This Row],[Customer_Country]], Region_Map[Country], 0)), "Unknown")</f>
        <v>Central Europe</v>
      </c>
      <c r="H2292" t="s">
        <v>6949</v>
      </c>
    </row>
    <row r="2293" spans="1:8">
      <c r="A2293" t="s">
        <v>3201</v>
      </c>
      <c r="B2293" t="s">
        <v>709</v>
      </c>
      <c r="C2293" s="1">
        <v>45273</v>
      </c>
      <c r="D2293" s="1" t="str">
        <f>PROPER(orders[[#This Row],[order_priority]])</f>
        <v>Economy</v>
      </c>
      <c r="E2293" t="s">
        <v>13316</v>
      </c>
      <c r="F2293" t="str">
        <f>IFERROR(INDEX(customers[country], MATCH(orders[[#This Row],[customer_id]], customers[customer_id], 0)), "Unmapped")</f>
        <v>Netherlands</v>
      </c>
      <c r="G2293" t="str">
        <f>IFERROR(INDEX(Region_Map[Region], MATCH(orders[[#This Row],[Customer_Country]], Region_Map[Country], 0)), "Unknown")</f>
        <v>Central Europe</v>
      </c>
      <c r="H2293" t="s">
        <v>6949</v>
      </c>
    </row>
    <row r="2294" spans="1:8">
      <c r="A2294" t="s">
        <v>3202</v>
      </c>
      <c r="B2294" t="s">
        <v>581</v>
      </c>
      <c r="C2294" s="1">
        <v>45544</v>
      </c>
      <c r="D2294" s="1" t="str">
        <f>PROPER(orders[[#This Row],[order_priority]])</f>
        <v>Express</v>
      </c>
      <c r="E2294" t="s">
        <v>13318</v>
      </c>
      <c r="F2294" t="str">
        <f>IFERROR(INDEX(customers[country], MATCH(orders[[#This Row],[customer_id]], customers[customer_id], 0)), "Unmapped")</f>
        <v>Norway</v>
      </c>
      <c r="G2294" t="str">
        <f>IFERROR(INDEX(Region_Map[Region], MATCH(orders[[#This Row],[Customer_Country]], Region_Map[Country], 0)), "Unknown")</f>
        <v>Nordics</v>
      </c>
      <c r="H2294" t="s">
        <v>6949</v>
      </c>
    </row>
    <row r="2295" spans="1:8">
      <c r="A2295" t="s">
        <v>3203</v>
      </c>
      <c r="B2295" t="s">
        <v>652</v>
      </c>
      <c r="C2295" s="1">
        <v>45144</v>
      </c>
      <c r="D2295" s="1" t="str">
        <f>PROPER(orders[[#This Row],[order_priority]])</f>
        <v>Same Day</v>
      </c>
      <c r="E2295" t="s">
        <v>13324</v>
      </c>
      <c r="F2295" t="str">
        <f>IFERROR(INDEX(customers[country], MATCH(orders[[#This Row],[customer_id]], customers[customer_id], 0)), "Unmapped")</f>
        <v>Poland</v>
      </c>
      <c r="G2295" t="str">
        <f>IFERROR(INDEX(Region_Map[Region], MATCH(orders[[#This Row],[Customer_Country]], Region_Map[Country], 0)), "Unknown")</f>
        <v>Central Europe</v>
      </c>
      <c r="H2295" t="s">
        <v>6949</v>
      </c>
    </row>
    <row r="2296" spans="1:8">
      <c r="A2296" t="s">
        <v>3204</v>
      </c>
      <c r="B2296" t="s">
        <v>27</v>
      </c>
      <c r="C2296" s="1">
        <v>45028</v>
      </c>
      <c r="D2296" s="1" t="str">
        <f>PROPER(orders[[#This Row],[order_priority]])</f>
        <v>Express</v>
      </c>
      <c r="E2296" t="s">
        <v>13318</v>
      </c>
      <c r="F2296" t="str">
        <f>IFERROR(INDEX(customers[country], MATCH(orders[[#This Row],[customer_id]], customers[customer_id], 0)), "Unmapped")</f>
        <v>Latvia</v>
      </c>
      <c r="G2296" t="str">
        <f>IFERROR(INDEX(Region_Map[Region], MATCH(orders[[#This Row],[Customer_Country]], Region_Map[Country], 0)), "Unknown")</f>
        <v>Baltics</v>
      </c>
      <c r="H2296" t="s">
        <v>6949</v>
      </c>
    </row>
    <row r="2297" spans="1:8">
      <c r="A2297" t="s">
        <v>3205</v>
      </c>
      <c r="B2297" t="s">
        <v>575</v>
      </c>
      <c r="C2297" s="1">
        <v>45070</v>
      </c>
      <c r="D2297" s="1" t="str">
        <f>PROPER(orders[[#This Row],[order_priority]])</f>
        <v>Standard</v>
      </c>
      <c r="E2297" t="s">
        <v>13317</v>
      </c>
      <c r="F2297" t="str">
        <f>IFERROR(INDEX(customers[country], MATCH(orders[[#This Row],[customer_id]], customers[customer_id], 0)), "Unmapped")</f>
        <v>Netherlands</v>
      </c>
      <c r="G2297" t="str">
        <f>IFERROR(INDEX(Region_Map[Region], MATCH(orders[[#This Row],[Customer_Country]], Region_Map[Country], 0)), "Unknown")</f>
        <v>Central Europe</v>
      </c>
      <c r="H2297" t="s">
        <v>6949</v>
      </c>
    </row>
    <row r="2298" spans="1:8">
      <c r="A2298" t="s">
        <v>3206</v>
      </c>
      <c r="B2298" t="s">
        <v>805</v>
      </c>
      <c r="C2298" s="1">
        <v>45213</v>
      </c>
      <c r="D2298" s="1" t="str">
        <f>PROPER(orders[[#This Row],[order_priority]])</f>
        <v>Economy</v>
      </c>
      <c r="E2298" t="s">
        <v>13316</v>
      </c>
      <c r="F2298" t="str">
        <f>IFERROR(INDEX(customers[country], MATCH(orders[[#This Row],[customer_id]], customers[customer_id], 0)), "Unmapped")</f>
        <v>Estonia</v>
      </c>
      <c r="G2298" t="str">
        <f>IFERROR(INDEX(Region_Map[Region], MATCH(orders[[#This Row],[Customer_Country]], Region_Map[Country], 0)), "Unknown")</f>
        <v>Baltics</v>
      </c>
      <c r="H2298" t="s">
        <v>6949</v>
      </c>
    </row>
    <row r="2299" spans="1:8">
      <c r="A2299" t="s">
        <v>3207</v>
      </c>
      <c r="B2299" t="s">
        <v>243</v>
      </c>
      <c r="C2299" s="1">
        <v>45509</v>
      </c>
      <c r="D2299" s="1" t="str">
        <f>PROPER(orders[[#This Row],[order_priority]])</f>
        <v>Standard</v>
      </c>
      <c r="E2299" t="s">
        <v>13317</v>
      </c>
      <c r="F2299" t="str">
        <f>IFERROR(INDEX(customers[country], MATCH(orders[[#This Row],[customer_id]], customers[customer_id], 0)), "Unmapped")</f>
        <v>Netherlands</v>
      </c>
      <c r="G2299" t="str">
        <f>IFERROR(INDEX(Region_Map[Region], MATCH(orders[[#This Row],[Customer_Country]], Region_Map[Country], 0)), "Unknown")</f>
        <v>Central Europe</v>
      </c>
      <c r="H2299" t="s">
        <v>6949</v>
      </c>
    </row>
    <row r="2300" spans="1:8">
      <c r="A2300" t="s">
        <v>3208</v>
      </c>
      <c r="B2300" t="s">
        <v>335</v>
      </c>
      <c r="C2300" s="1">
        <v>45311</v>
      </c>
      <c r="D2300" s="1" t="str">
        <f>PROPER(orders[[#This Row],[order_priority]])</f>
        <v>Same Day</v>
      </c>
      <c r="E2300" t="s">
        <v>13324</v>
      </c>
      <c r="F2300" t="str">
        <f>IFERROR(INDEX(customers[country], MATCH(orders[[#This Row],[customer_id]], customers[customer_id], 0)), "Unmapped")</f>
        <v>Denmark</v>
      </c>
      <c r="G2300" t="str">
        <f>IFERROR(INDEX(Region_Map[Region], MATCH(orders[[#This Row],[Customer_Country]], Region_Map[Country], 0)), "Unknown")</f>
        <v>Nordics</v>
      </c>
      <c r="H2300" t="s">
        <v>6949</v>
      </c>
    </row>
    <row r="2301" spans="1:8">
      <c r="A2301" t="s">
        <v>3209</v>
      </c>
      <c r="B2301" t="s">
        <v>34</v>
      </c>
      <c r="C2301" s="1">
        <v>45430</v>
      </c>
      <c r="D2301" s="1" t="str">
        <f>PROPER(orders[[#This Row],[order_priority]])</f>
        <v>Economy</v>
      </c>
      <c r="E2301" t="s">
        <v>13316</v>
      </c>
      <c r="F2301" t="str">
        <f>IFERROR(INDEX(customers[country], MATCH(orders[[#This Row],[customer_id]], customers[customer_id], 0)), "Unmapped")</f>
        <v>Sweden</v>
      </c>
      <c r="G2301" t="str">
        <f>IFERROR(INDEX(Region_Map[Region], MATCH(orders[[#This Row],[Customer_Country]], Region_Map[Country], 0)), "Unknown")</f>
        <v>Nordics</v>
      </c>
      <c r="H2301" t="s">
        <v>6949</v>
      </c>
    </row>
    <row r="2302" spans="1:8">
      <c r="A2302" t="s">
        <v>3210</v>
      </c>
      <c r="B2302" t="s">
        <v>497</v>
      </c>
      <c r="C2302" s="1">
        <v>45164</v>
      </c>
      <c r="D2302" s="1" t="str">
        <f>PROPER(orders[[#This Row],[order_priority]])</f>
        <v>Economy</v>
      </c>
      <c r="E2302" t="s">
        <v>13316</v>
      </c>
      <c r="F2302" t="str">
        <f>IFERROR(INDEX(customers[country], MATCH(orders[[#This Row],[customer_id]], customers[customer_id], 0)), "Unmapped")</f>
        <v>Germany</v>
      </c>
      <c r="G2302" t="str">
        <f>IFERROR(INDEX(Region_Map[Region], MATCH(orders[[#This Row],[Customer_Country]], Region_Map[Country], 0)), "Unknown")</f>
        <v>Central Europe</v>
      </c>
      <c r="H2302" t="s">
        <v>6949</v>
      </c>
    </row>
    <row r="2303" spans="1:8">
      <c r="A2303" t="s">
        <v>3211</v>
      </c>
      <c r="B2303" t="s">
        <v>697</v>
      </c>
      <c r="C2303" s="1">
        <v>45054</v>
      </c>
      <c r="D2303" s="1" t="str">
        <f>PROPER(orders[[#This Row],[order_priority]])</f>
        <v>Standard</v>
      </c>
      <c r="E2303" t="s">
        <v>13317</v>
      </c>
      <c r="F2303" t="str">
        <f>IFERROR(INDEX(customers[country], MATCH(orders[[#This Row],[customer_id]], customers[customer_id], 0)), "Unmapped")</f>
        <v>Estonia</v>
      </c>
      <c r="G2303" t="str">
        <f>IFERROR(INDEX(Region_Map[Region], MATCH(orders[[#This Row],[Customer_Country]], Region_Map[Country], 0)), "Unknown")</f>
        <v>Baltics</v>
      </c>
      <c r="H2303" t="s">
        <v>6949</v>
      </c>
    </row>
    <row r="2304" spans="1:8">
      <c r="A2304" t="s">
        <v>3212</v>
      </c>
      <c r="B2304" t="s">
        <v>201</v>
      </c>
      <c r="C2304" s="1">
        <v>44993</v>
      </c>
      <c r="D2304" s="1" t="str">
        <f>PROPER(orders[[#This Row],[order_priority]])</f>
        <v>Same Day</v>
      </c>
      <c r="E2304" t="s">
        <v>13322</v>
      </c>
      <c r="F2304" t="str">
        <f>IFERROR(INDEX(customers[country], MATCH(orders[[#This Row],[customer_id]], customers[customer_id], 0)), "Unmapped")</f>
        <v>Estonia</v>
      </c>
      <c r="G2304" t="str">
        <f>IFERROR(INDEX(Region_Map[Region], MATCH(orders[[#This Row],[Customer_Country]], Region_Map[Country], 0)), "Unknown")</f>
        <v>Baltics</v>
      </c>
      <c r="H2304" t="s">
        <v>6949</v>
      </c>
    </row>
    <row r="2305" spans="1:8">
      <c r="A2305" t="s">
        <v>3213</v>
      </c>
      <c r="B2305" t="s">
        <v>270</v>
      </c>
      <c r="C2305" s="1">
        <v>45210</v>
      </c>
      <c r="D2305" s="1" t="str">
        <f>PROPER(orders[[#This Row],[order_priority]])</f>
        <v>Economy</v>
      </c>
      <c r="E2305" t="s">
        <v>13316</v>
      </c>
      <c r="F2305" t="str">
        <f>IFERROR(INDEX(customers[country], MATCH(orders[[#This Row],[customer_id]], customers[customer_id], 0)), "Unmapped")</f>
        <v>Poland</v>
      </c>
      <c r="G2305" t="str">
        <f>IFERROR(INDEX(Region_Map[Region], MATCH(orders[[#This Row],[Customer_Country]], Region_Map[Country], 0)), "Unknown")</f>
        <v>Central Europe</v>
      </c>
      <c r="H2305" t="s">
        <v>6949</v>
      </c>
    </row>
    <row r="2306" spans="1:8">
      <c r="A2306" t="s">
        <v>3214</v>
      </c>
      <c r="B2306" t="s">
        <v>479</v>
      </c>
      <c r="C2306" s="1">
        <v>45135</v>
      </c>
      <c r="D2306" s="1" t="str">
        <f>PROPER(orders[[#This Row],[order_priority]])</f>
        <v>Economy</v>
      </c>
      <c r="E2306" t="s">
        <v>13316</v>
      </c>
      <c r="F2306" t="str">
        <f>IFERROR(INDEX(customers[country], MATCH(orders[[#This Row],[customer_id]], customers[customer_id], 0)), "Unmapped")</f>
        <v>Latvia</v>
      </c>
      <c r="G2306" t="str">
        <f>IFERROR(INDEX(Region_Map[Region], MATCH(orders[[#This Row],[Customer_Country]], Region_Map[Country], 0)), "Unknown")</f>
        <v>Baltics</v>
      </c>
      <c r="H2306" t="s">
        <v>6949</v>
      </c>
    </row>
    <row r="2307" spans="1:8">
      <c r="A2307" t="s">
        <v>3215</v>
      </c>
      <c r="B2307" t="s">
        <v>593</v>
      </c>
      <c r="C2307" s="1">
        <v>45071</v>
      </c>
      <c r="D2307" s="1" t="str">
        <f>PROPER(orders[[#This Row],[order_priority]])</f>
        <v>Standard</v>
      </c>
      <c r="E2307" t="s">
        <v>13319</v>
      </c>
      <c r="F2307" t="str">
        <f>IFERROR(INDEX(customers[country], MATCH(orders[[#This Row],[customer_id]], customers[customer_id], 0)), "Unmapped")</f>
        <v>Estonia</v>
      </c>
      <c r="G2307" t="str">
        <f>IFERROR(INDEX(Region_Map[Region], MATCH(orders[[#This Row],[Customer_Country]], Region_Map[Country], 0)), "Unknown")</f>
        <v>Baltics</v>
      </c>
      <c r="H2307" t="s">
        <v>6949</v>
      </c>
    </row>
    <row r="2308" spans="1:8">
      <c r="A2308" t="s">
        <v>3216</v>
      </c>
      <c r="B2308" t="s">
        <v>255</v>
      </c>
      <c r="C2308" s="1">
        <v>45572</v>
      </c>
      <c r="D2308" s="1" t="str">
        <f>PROPER(orders[[#This Row],[order_priority]])</f>
        <v>Economy</v>
      </c>
      <c r="E2308" t="s">
        <v>13316</v>
      </c>
      <c r="F2308" t="str">
        <f>IFERROR(INDEX(customers[country], MATCH(orders[[#This Row],[customer_id]], customers[customer_id], 0)), "Unmapped")</f>
        <v>Sweden</v>
      </c>
      <c r="G2308" t="str">
        <f>IFERROR(INDEX(Region_Map[Region], MATCH(orders[[#This Row],[Customer_Country]], Region_Map[Country], 0)), "Unknown")</f>
        <v>Nordics</v>
      </c>
      <c r="H2308" t="s">
        <v>6949</v>
      </c>
    </row>
    <row r="2309" spans="1:8">
      <c r="A2309" t="s">
        <v>3217</v>
      </c>
      <c r="B2309" t="s">
        <v>811</v>
      </c>
      <c r="C2309" s="1">
        <v>45209</v>
      </c>
      <c r="D2309" s="1" t="str">
        <f>PROPER(orders[[#This Row],[order_priority]])</f>
        <v>Economy</v>
      </c>
      <c r="E2309" t="s">
        <v>13316</v>
      </c>
      <c r="F2309" t="str">
        <f>IFERROR(INDEX(customers[country], MATCH(orders[[#This Row],[customer_id]], customers[customer_id], 0)), "Unmapped")</f>
        <v>Finland</v>
      </c>
      <c r="G2309" t="str">
        <f>IFERROR(INDEX(Region_Map[Region], MATCH(orders[[#This Row],[Customer_Country]], Region_Map[Country], 0)), "Unknown")</f>
        <v>Nordics</v>
      </c>
      <c r="H2309" t="s">
        <v>6949</v>
      </c>
    </row>
    <row r="2310" spans="1:8">
      <c r="A2310" t="s">
        <v>3218</v>
      </c>
      <c r="B2310" t="s">
        <v>542</v>
      </c>
      <c r="C2310" s="1">
        <v>45253</v>
      </c>
      <c r="D2310" s="1" t="str">
        <f>PROPER(orders[[#This Row],[order_priority]])</f>
        <v>Express</v>
      </c>
      <c r="E2310" t="s">
        <v>13318</v>
      </c>
      <c r="F2310" t="str">
        <f>IFERROR(INDEX(customers[country], MATCH(orders[[#This Row],[customer_id]], customers[customer_id], 0)), "Unmapped")</f>
        <v>Poland</v>
      </c>
      <c r="G2310" t="str">
        <f>IFERROR(INDEX(Region_Map[Region], MATCH(orders[[#This Row],[Customer_Country]], Region_Map[Country], 0)), "Unknown")</f>
        <v>Central Europe</v>
      </c>
      <c r="H2310" t="s">
        <v>6949</v>
      </c>
    </row>
    <row r="2311" spans="1:8">
      <c r="A2311" t="s">
        <v>3219</v>
      </c>
      <c r="B2311" t="s">
        <v>294</v>
      </c>
      <c r="C2311" s="1">
        <v>45504</v>
      </c>
      <c r="D2311" s="1" t="str">
        <f>PROPER(orders[[#This Row],[order_priority]])</f>
        <v>Standard</v>
      </c>
      <c r="E2311" t="s">
        <v>13317</v>
      </c>
      <c r="F2311" t="str">
        <f>IFERROR(INDEX(customers[country], MATCH(orders[[#This Row],[customer_id]], customers[customer_id], 0)), "Unmapped")</f>
        <v>Denmark</v>
      </c>
      <c r="G2311" t="str">
        <f>IFERROR(INDEX(Region_Map[Region], MATCH(orders[[#This Row],[Customer_Country]], Region_Map[Country], 0)), "Unknown")</f>
        <v>Nordics</v>
      </c>
      <c r="H2311" t="s">
        <v>6949</v>
      </c>
    </row>
    <row r="2312" spans="1:8">
      <c r="A2312" t="s">
        <v>3220</v>
      </c>
      <c r="B2312" t="s">
        <v>276</v>
      </c>
      <c r="C2312" s="1">
        <v>45365</v>
      </c>
      <c r="D2312" s="1" t="str">
        <f>PROPER(orders[[#This Row],[order_priority]])</f>
        <v>Economy</v>
      </c>
      <c r="E2312" t="s">
        <v>13316</v>
      </c>
      <c r="F2312" t="str">
        <f>IFERROR(INDEX(customers[country], MATCH(orders[[#This Row],[customer_id]], customers[customer_id], 0)), "Unmapped")</f>
        <v>Sweden</v>
      </c>
      <c r="G2312" t="str">
        <f>IFERROR(INDEX(Region_Map[Region], MATCH(orders[[#This Row],[Customer_Country]], Region_Map[Country], 0)), "Unknown")</f>
        <v>Nordics</v>
      </c>
      <c r="H2312" t="s">
        <v>6949</v>
      </c>
    </row>
    <row r="2313" spans="1:8">
      <c r="A2313" t="s">
        <v>3221</v>
      </c>
      <c r="B2313" t="s">
        <v>300</v>
      </c>
      <c r="C2313" s="1">
        <v>45246</v>
      </c>
      <c r="D2313" s="1" t="str">
        <f>PROPER(orders[[#This Row],[order_priority]])</f>
        <v>Economy</v>
      </c>
      <c r="E2313" t="s">
        <v>13316</v>
      </c>
      <c r="F2313" t="str">
        <f>IFERROR(INDEX(customers[country], MATCH(orders[[#This Row],[customer_id]], customers[customer_id], 0)), "Unmapped")</f>
        <v>Poland</v>
      </c>
      <c r="G2313" t="str">
        <f>IFERROR(INDEX(Region_Map[Region], MATCH(orders[[#This Row],[Customer_Country]], Region_Map[Country], 0)), "Unknown")</f>
        <v>Central Europe</v>
      </c>
      <c r="H2313" t="s">
        <v>6949</v>
      </c>
    </row>
    <row r="2314" spans="1:8">
      <c r="A2314" t="s">
        <v>3222</v>
      </c>
      <c r="B2314" t="s">
        <v>338</v>
      </c>
      <c r="C2314" s="1">
        <v>45059</v>
      </c>
      <c r="D2314" s="1" t="str">
        <f>PROPER(orders[[#This Row],[order_priority]])</f>
        <v>Express</v>
      </c>
      <c r="E2314" t="s">
        <v>13318</v>
      </c>
      <c r="F2314" t="str">
        <f>IFERROR(INDEX(customers[country], MATCH(orders[[#This Row],[customer_id]], customers[customer_id], 0)), "Unmapped")</f>
        <v>Denmark</v>
      </c>
      <c r="G2314" t="str">
        <f>IFERROR(INDEX(Region_Map[Region], MATCH(orders[[#This Row],[Customer_Country]], Region_Map[Country], 0)), "Unknown")</f>
        <v>Nordics</v>
      </c>
      <c r="H2314" t="s">
        <v>6949</v>
      </c>
    </row>
    <row r="2315" spans="1:8">
      <c r="A2315" t="s">
        <v>3223</v>
      </c>
      <c r="B2315" t="s">
        <v>258</v>
      </c>
      <c r="C2315" s="1">
        <v>45005</v>
      </c>
      <c r="D2315" s="1" t="str">
        <f>PROPER(orders[[#This Row],[order_priority]])</f>
        <v>Express</v>
      </c>
      <c r="E2315" t="s">
        <v>13318</v>
      </c>
      <c r="F2315" t="str">
        <f>IFERROR(INDEX(customers[country], MATCH(orders[[#This Row],[customer_id]], customers[customer_id], 0)), "Unmapped")</f>
        <v>Latvia</v>
      </c>
      <c r="G2315" t="str">
        <f>IFERROR(INDEX(Region_Map[Region], MATCH(orders[[#This Row],[Customer_Country]], Region_Map[Country], 0)), "Unknown")</f>
        <v>Baltics</v>
      </c>
      <c r="H2315" t="s">
        <v>6949</v>
      </c>
    </row>
    <row r="2316" spans="1:8">
      <c r="A2316" t="s">
        <v>3224</v>
      </c>
      <c r="B2316" t="s">
        <v>314</v>
      </c>
      <c r="C2316" s="1">
        <v>45354</v>
      </c>
      <c r="D2316" s="1" t="str">
        <f>PROPER(orders[[#This Row],[order_priority]])</f>
        <v>Standard</v>
      </c>
      <c r="E2316" t="s">
        <v>13317</v>
      </c>
      <c r="F2316" t="str">
        <f>IFERROR(INDEX(customers[country], MATCH(orders[[#This Row],[customer_id]], customers[customer_id], 0)), "Unmapped")</f>
        <v>Poland</v>
      </c>
      <c r="G2316" t="str">
        <f>IFERROR(INDEX(Region_Map[Region], MATCH(orders[[#This Row],[Customer_Country]], Region_Map[Country], 0)), "Unknown")</f>
        <v>Central Europe</v>
      </c>
      <c r="H2316" t="s">
        <v>6949</v>
      </c>
    </row>
    <row r="2317" spans="1:8">
      <c r="A2317" t="s">
        <v>3225</v>
      </c>
      <c r="B2317" t="s">
        <v>80</v>
      </c>
      <c r="C2317" s="1">
        <v>45606</v>
      </c>
      <c r="D2317" s="1" t="str">
        <f>PROPER(orders[[#This Row],[order_priority]])</f>
        <v>Economy</v>
      </c>
      <c r="E2317" t="s">
        <v>13316</v>
      </c>
      <c r="F2317" t="str">
        <f>IFERROR(INDEX(customers[country], MATCH(orders[[#This Row],[customer_id]], customers[customer_id], 0)), "Unmapped")</f>
        <v>Finland</v>
      </c>
      <c r="G2317" t="str">
        <f>IFERROR(INDEX(Region_Map[Region], MATCH(orders[[#This Row],[Customer_Country]], Region_Map[Country], 0)), "Unknown")</f>
        <v>Nordics</v>
      </c>
      <c r="H2317" t="s">
        <v>6949</v>
      </c>
    </row>
    <row r="2318" spans="1:8">
      <c r="A2318" t="s">
        <v>3226</v>
      </c>
      <c r="B2318" t="s">
        <v>808</v>
      </c>
      <c r="C2318" s="1">
        <v>44951</v>
      </c>
      <c r="D2318" s="1" t="str">
        <f>PROPER(orders[[#This Row],[order_priority]])</f>
        <v>Express</v>
      </c>
      <c r="E2318" t="s">
        <v>13318</v>
      </c>
      <c r="F2318" t="str">
        <f>IFERROR(INDEX(customers[country], MATCH(orders[[#This Row],[customer_id]], customers[customer_id], 0)), "Unmapped")</f>
        <v>Sweden</v>
      </c>
      <c r="G2318" t="str">
        <f>IFERROR(INDEX(Region_Map[Region], MATCH(orders[[#This Row],[Customer_Country]], Region_Map[Country], 0)), "Unknown")</f>
        <v>Nordics</v>
      </c>
      <c r="H2318" t="s">
        <v>6949</v>
      </c>
    </row>
    <row r="2319" spans="1:8">
      <c r="A2319" t="s">
        <v>3227</v>
      </c>
      <c r="B2319" t="s">
        <v>127</v>
      </c>
      <c r="C2319" s="1">
        <v>45076</v>
      </c>
      <c r="D2319" s="1" t="str">
        <f>PROPER(orders[[#This Row],[order_priority]])</f>
        <v>Same Day</v>
      </c>
      <c r="E2319" t="s">
        <v>13322</v>
      </c>
      <c r="F2319" t="str">
        <f>IFERROR(INDEX(customers[country], MATCH(orders[[#This Row],[customer_id]], customers[customer_id], 0)), "Unmapped")</f>
        <v>Denmark</v>
      </c>
      <c r="G2319" t="str">
        <f>IFERROR(INDEX(Region_Map[Region], MATCH(orders[[#This Row],[Customer_Country]], Region_Map[Country], 0)), "Unknown")</f>
        <v>Nordics</v>
      </c>
      <c r="H2319" t="s">
        <v>6949</v>
      </c>
    </row>
    <row r="2320" spans="1:8">
      <c r="A2320" t="s">
        <v>3228</v>
      </c>
      <c r="B2320" t="s">
        <v>151</v>
      </c>
      <c r="C2320" s="1">
        <v>45361</v>
      </c>
      <c r="D2320" s="1" t="str">
        <f>PROPER(orders[[#This Row],[order_priority]])</f>
        <v>Express</v>
      </c>
      <c r="E2320" t="s">
        <v>13318</v>
      </c>
      <c r="F2320" t="str">
        <f>IFERROR(INDEX(customers[country], MATCH(orders[[#This Row],[customer_id]], customers[customer_id], 0)), "Unmapped")</f>
        <v>Sweden</v>
      </c>
      <c r="G2320" t="str">
        <f>IFERROR(INDEX(Region_Map[Region], MATCH(orders[[#This Row],[Customer_Country]], Region_Map[Country], 0)), "Unknown")</f>
        <v>Nordics</v>
      </c>
      <c r="H2320" t="s">
        <v>6949</v>
      </c>
    </row>
    <row r="2321" spans="1:8">
      <c r="A2321" t="s">
        <v>3229</v>
      </c>
      <c r="B2321" t="s">
        <v>509</v>
      </c>
      <c r="C2321" s="1">
        <v>45009</v>
      </c>
      <c r="D2321" s="1" t="str">
        <f>PROPER(orders[[#This Row],[order_priority]])</f>
        <v>Standard</v>
      </c>
      <c r="E2321" t="s">
        <v>13317</v>
      </c>
      <c r="F2321" t="str">
        <f>IFERROR(INDEX(customers[country], MATCH(orders[[#This Row],[customer_id]], customers[customer_id], 0)), "Unmapped")</f>
        <v>Sweden</v>
      </c>
      <c r="G2321" t="str">
        <f>IFERROR(INDEX(Region_Map[Region], MATCH(orders[[#This Row],[Customer_Country]], Region_Map[Country], 0)), "Unknown")</f>
        <v>Nordics</v>
      </c>
      <c r="H2321" t="s">
        <v>6949</v>
      </c>
    </row>
    <row r="2322" spans="1:8">
      <c r="A2322" t="s">
        <v>3230</v>
      </c>
      <c r="B2322" t="s">
        <v>258</v>
      </c>
      <c r="C2322" s="1">
        <v>45225</v>
      </c>
      <c r="D2322" s="1" t="str">
        <f>PROPER(orders[[#This Row],[order_priority]])</f>
        <v>Same Day</v>
      </c>
      <c r="E2322" t="s">
        <v>13322</v>
      </c>
      <c r="F2322" t="str">
        <f>IFERROR(INDEX(customers[country], MATCH(orders[[#This Row],[customer_id]], customers[customer_id], 0)), "Unmapped")</f>
        <v>Latvia</v>
      </c>
      <c r="G2322" t="str">
        <f>IFERROR(INDEX(Region_Map[Region], MATCH(orders[[#This Row],[Customer_Country]], Region_Map[Country], 0)), "Unknown")</f>
        <v>Baltics</v>
      </c>
      <c r="H2322" t="s">
        <v>6949</v>
      </c>
    </row>
    <row r="2323" spans="1:8">
      <c r="A2323" t="s">
        <v>3231</v>
      </c>
      <c r="B2323" t="s">
        <v>189</v>
      </c>
      <c r="C2323" s="1">
        <v>44985</v>
      </c>
      <c r="D2323" s="1" t="str">
        <f>PROPER(orders[[#This Row],[order_priority]])</f>
        <v>Standard</v>
      </c>
      <c r="E2323" t="s">
        <v>13323</v>
      </c>
      <c r="F2323" t="str">
        <f>IFERROR(INDEX(customers[country], MATCH(orders[[#This Row],[customer_id]], customers[customer_id], 0)), "Unmapped")</f>
        <v>Norway</v>
      </c>
      <c r="G2323" t="str">
        <f>IFERROR(INDEX(Region_Map[Region], MATCH(orders[[#This Row],[Customer_Country]], Region_Map[Country], 0)), "Unknown")</f>
        <v>Nordics</v>
      </c>
      <c r="H2323" t="s">
        <v>6949</v>
      </c>
    </row>
    <row r="2324" spans="1:8">
      <c r="A2324" t="s">
        <v>3232</v>
      </c>
      <c r="B2324" t="s">
        <v>195</v>
      </c>
      <c r="C2324" s="1">
        <v>45482</v>
      </c>
      <c r="D2324" s="1" t="str">
        <f>PROPER(orders[[#This Row],[order_priority]])</f>
        <v>Standard</v>
      </c>
      <c r="E2324" t="s">
        <v>13317</v>
      </c>
      <c r="F2324" t="str">
        <f>IFERROR(INDEX(customers[country], MATCH(orders[[#This Row],[customer_id]], customers[customer_id], 0)), "Unmapped")</f>
        <v>Latvia</v>
      </c>
      <c r="G2324" t="str">
        <f>IFERROR(INDEX(Region_Map[Region], MATCH(orders[[#This Row],[Customer_Country]], Region_Map[Country], 0)), "Unknown")</f>
        <v>Baltics</v>
      </c>
      <c r="H2324" t="s">
        <v>6949</v>
      </c>
    </row>
    <row r="2325" spans="1:8">
      <c r="A2325" t="s">
        <v>3233</v>
      </c>
      <c r="B2325" t="s">
        <v>566</v>
      </c>
      <c r="C2325" s="1">
        <v>45368</v>
      </c>
      <c r="D2325" s="1" t="str">
        <f>PROPER(orders[[#This Row],[order_priority]])</f>
        <v>Same Day</v>
      </c>
      <c r="E2325" t="s">
        <v>13322</v>
      </c>
      <c r="F2325" t="str">
        <f>IFERROR(INDEX(customers[country], MATCH(orders[[#This Row],[customer_id]], customers[customer_id], 0)), "Unmapped")</f>
        <v>Denmark</v>
      </c>
      <c r="G2325" t="str">
        <f>IFERROR(INDEX(Region_Map[Region], MATCH(orders[[#This Row],[Customer_Country]], Region_Map[Country], 0)), "Unknown")</f>
        <v>Nordics</v>
      </c>
      <c r="H2325" t="s">
        <v>6949</v>
      </c>
    </row>
    <row r="2326" spans="1:8">
      <c r="A2326" t="s">
        <v>3234</v>
      </c>
      <c r="B2326" t="s">
        <v>816</v>
      </c>
      <c r="C2326" s="1">
        <v>45200</v>
      </c>
      <c r="D2326" s="1" t="str">
        <f>PROPER(orders[[#This Row],[order_priority]])</f>
        <v>Express</v>
      </c>
      <c r="E2326" t="s">
        <v>13318</v>
      </c>
      <c r="F2326" t="str">
        <f>IFERROR(INDEX(customers[country], MATCH(orders[[#This Row],[customer_id]], customers[customer_id], 0)), "Unmapped")</f>
        <v>Lithuania</v>
      </c>
      <c r="G2326" t="str">
        <f>IFERROR(INDEX(Region_Map[Region], MATCH(orders[[#This Row],[Customer_Country]], Region_Map[Country], 0)), "Unknown")</f>
        <v>Baltics</v>
      </c>
      <c r="H2326" t="s">
        <v>6949</v>
      </c>
    </row>
    <row r="2327" spans="1:8">
      <c r="A2327" t="s">
        <v>3235</v>
      </c>
      <c r="B2327" t="s">
        <v>679</v>
      </c>
      <c r="C2327" s="1">
        <v>45583</v>
      </c>
      <c r="D2327" s="1" t="str">
        <f>PROPER(orders[[#This Row],[order_priority]])</f>
        <v>Standard</v>
      </c>
      <c r="E2327" t="s">
        <v>13317</v>
      </c>
      <c r="F2327" t="str">
        <f>IFERROR(INDEX(customers[country], MATCH(orders[[#This Row],[customer_id]], customers[customer_id], 0)), "Unmapped")</f>
        <v>Norway</v>
      </c>
      <c r="G2327" t="str">
        <f>IFERROR(INDEX(Region_Map[Region], MATCH(orders[[#This Row],[Customer_Country]], Region_Map[Country], 0)), "Unknown")</f>
        <v>Nordics</v>
      </c>
      <c r="H2327" t="s">
        <v>6949</v>
      </c>
    </row>
    <row r="2328" spans="1:8">
      <c r="A2328" t="s">
        <v>3236</v>
      </c>
      <c r="B2328" t="s">
        <v>374</v>
      </c>
      <c r="C2328" s="1">
        <v>45195</v>
      </c>
      <c r="D2328" s="1" t="str">
        <f>PROPER(orders[[#This Row],[order_priority]])</f>
        <v>Standard</v>
      </c>
      <c r="E2328" t="s">
        <v>13317</v>
      </c>
      <c r="F2328" t="str">
        <f>IFERROR(INDEX(customers[country], MATCH(orders[[#This Row],[customer_id]], customers[customer_id], 0)), "Unmapped")</f>
        <v>Estonia</v>
      </c>
      <c r="G2328" t="str">
        <f>IFERROR(INDEX(Region_Map[Region], MATCH(orders[[#This Row],[Customer_Country]], Region_Map[Country], 0)), "Unknown")</f>
        <v>Baltics</v>
      </c>
      <c r="H2328" t="s">
        <v>6949</v>
      </c>
    </row>
    <row r="2329" spans="1:8">
      <c r="A2329" t="s">
        <v>3237</v>
      </c>
      <c r="B2329" t="s">
        <v>440</v>
      </c>
      <c r="C2329" s="1">
        <v>45492</v>
      </c>
      <c r="D2329" s="1" t="str">
        <f>PROPER(orders[[#This Row],[order_priority]])</f>
        <v>Economy</v>
      </c>
      <c r="E2329" t="s">
        <v>13316</v>
      </c>
      <c r="F2329" t="str">
        <f>IFERROR(INDEX(customers[country], MATCH(orders[[#This Row],[customer_id]], customers[customer_id], 0)), "Unmapped")</f>
        <v>Poland</v>
      </c>
      <c r="G2329" t="str">
        <f>IFERROR(INDEX(Region_Map[Region], MATCH(orders[[#This Row],[Customer_Country]], Region_Map[Country], 0)), "Unknown")</f>
        <v>Central Europe</v>
      </c>
      <c r="H2329" t="s">
        <v>6949</v>
      </c>
    </row>
    <row r="2330" spans="1:8">
      <c r="A2330" t="s">
        <v>3238</v>
      </c>
      <c r="B2330" t="s">
        <v>673</v>
      </c>
      <c r="C2330" s="1">
        <v>45270</v>
      </c>
      <c r="D2330" s="1" t="str">
        <f>PROPER(orders[[#This Row],[order_priority]])</f>
        <v>Economy</v>
      </c>
      <c r="E2330" t="s">
        <v>13316</v>
      </c>
      <c r="F2330" t="str">
        <f>IFERROR(INDEX(customers[country], MATCH(orders[[#This Row],[customer_id]], customers[customer_id], 0)), "Unmapped")</f>
        <v>Sweden</v>
      </c>
      <c r="G2330" t="str">
        <f>IFERROR(INDEX(Region_Map[Region], MATCH(orders[[#This Row],[Customer_Country]], Region_Map[Country], 0)), "Unknown")</f>
        <v>Nordics</v>
      </c>
      <c r="H2330" t="s">
        <v>6949</v>
      </c>
    </row>
    <row r="2331" spans="1:8">
      <c r="A2331" t="s">
        <v>3239</v>
      </c>
      <c r="B2331" t="s">
        <v>279</v>
      </c>
      <c r="C2331" s="1">
        <v>45294</v>
      </c>
      <c r="D2331" s="1" t="str">
        <f>PROPER(orders[[#This Row],[order_priority]])</f>
        <v>Express</v>
      </c>
      <c r="E2331" t="s">
        <v>13318</v>
      </c>
      <c r="F2331" t="str">
        <f>IFERROR(INDEX(customers[country], MATCH(orders[[#This Row],[customer_id]], customers[customer_id], 0)), "Unmapped")</f>
        <v>Germany</v>
      </c>
      <c r="G2331" t="str">
        <f>IFERROR(INDEX(Region_Map[Region], MATCH(orders[[#This Row],[Customer_Country]], Region_Map[Country], 0)), "Unknown")</f>
        <v>Central Europe</v>
      </c>
      <c r="H2331" t="s">
        <v>6949</v>
      </c>
    </row>
    <row r="2332" spans="1:8">
      <c r="A2332" t="s">
        <v>3240</v>
      </c>
      <c r="B2332" t="s">
        <v>867</v>
      </c>
      <c r="C2332" s="1">
        <v>44957</v>
      </c>
      <c r="D2332" s="1" t="str">
        <f>PROPER(orders[[#This Row],[order_priority]])</f>
        <v>Economy</v>
      </c>
      <c r="E2332" t="s">
        <v>13316</v>
      </c>
      <c r="F2332" t="str">
        <f>IFERROR(INDEX(customers[country], MATCH(orders[[#This Row],[customer_id]], customers[customer_id], 0)), "Unmapped")</f>
        <v>Denmark</v>
      </c>
      <c r="G2332" t="str">
        <f>IFERROR(INDEX(Region_Map[Region], MATCH(orders[[#This Row],[Customer_Country]], Region_Map[Country], 0)), "Unknown")</f>
        <v>Nordics</v>
      </c>
      <c r="H2332" t="s">
        <v>6949</v>
      </c>
    </row>
    <row r="2333" spans="1:8">
      <c r="A2333" t="s">
        <v>3241</v>
      </c>
      <c r="B2333" t="s">
        <v>437</v>
      </c>
      <c r="C2333" s="1">
        <v>45556</v>
      </c>
      <c r="D2333" s="1" t="str">
        <f>PROPER(orders[[#This Row],[order_priority]])</f>
        <v>Economy</v>
      </c>
      <c r="E2333" t="s">
        <v>13316</v>
      </c>
      <c r="F2333" t="str">
        <f>IFERROR(INDEX(customers[country], MATCH(orders[[#This Row],[customer_id]], customers[customer_id], 0)), "Unmapped")</f>
        <v>Lithuania</v>
      </c>
      <c r="G2333" t="str">
        <f>IFERROR(INDEX(Region_Map[Region], MATCH(orders[[#This Row],[Customer_Country]], Region_Map[Country], 0)), "Unknown")</f>
        <v>Baltics</v>
      </c>
      <c r="H2333" t="s">
        <v>6949</v>
      </c>
    </row>
    <row r="2334" spans="1:8">
      <c r="A2334" t="s">
        <v>3242</v>
      </c>
      <c r="B2334" t="s">
        <v>897</v>
      </c>
      <c r="C2334" s="1">
        <v>45042</v>
      </c>
      <c r="D2334" s="1" t="str">
        <f>PROPER(orders[[#This Row],[order_priority]])</f>
        <v>Express</v>
      </c>
      <c r="E2334" t="s">
        <v>13318</v>
      </c>
      <c r="F2334" t="str">
        <f>IFERROR(INDEX(customers[country], MATCH(orders[[#This Row],[customer_id]], customers[customer_id], 0)), "Unmapped")</f>
        <v>Netherlands</v>
      </c>
      <c r="G2334" t="str">
        <f>IFERROR(INDEX(Region_Map[Region], MATCH(orders[[#This Row],[Customer_Country]], Region_Map[Country], 0)), "Unknown")</f>
        <v>Central Europe</v>
      </c>
      <c r="H2334" t="s">
        <v>6949</v>
      </c>
    </row>
    <row r="2335" spans="1:8">
      <c r="A2335" t="s">
        <v>3243</v>
      </c>
      <c r="B2335" t="s">
        <v>796</v>
      </c>
      <c r="C2335" s="1">
        <v>45529</v>
      </c>
      <c r="D2335" s="1" t="str">
        <f>PROPER(orders[[#This Row],[order_priority]])</f>
        <v>Express</v>
      </c>
      <c r="E2335" t="s">
        <v>13318</v>
      </c>
      <c r="F2335" t="str">
        <f>IFERROR(INDEX(customers[country], MATCH(orders[[#This Row],[customer_id]], customers[customer_id], 0)), "Unmapped")</f>
        <v>Sweden</v>
      </c>
      <c r="G2335" t="str">
        <f>IFERROR(INDEX(Region_Map[Region], MATCH(orders[[#This Row],[Customer_Country]], Region_Map[Country], 0)), "Unknown")</f>
        <v>Nordics</v>
      </c>
      <c r="H2335" t="s">
        <v>6949</v>
      </c>
    </row>
    <row r="2336" spans="1:8">
      <c r="A2336" t="s">
        <v>3244</v>
      </c>
      <c r="B2336" t="s">
        <v>846</v>
      </c>
      <c r="C2336" s="1">
        <v>45180</v>
      </c>
      <c r="D2336" s="1" t="str">
        <f>PROPER(orders[[#This Row],[order_priority]])</f>
        <v>Same Day</v>
      </c>
      <c r="E2336" t="s">
        <v>13322</v>
      </c>
      <c r="F2336" t="str">
        <f>IFERROR(INDEX(customers[country], MATCH(orders[[#This Row],[customer_id]], customers[customer_id], 0)), "Unmapped")</f>
        <v>Netherlands</v>
      </c>
      <c r="G2336" t="str">
        <f>IFERROR(INDEX(Region_Map[Region], MATCH(orders[[#This Row],[Customer_Country]], Region_Map[Country], 0)), "Unknown")</f>
        <v>Central Europe</v>
      </c>
      <c r="H2336" t="s">
        <v>6949</v>
      </c>
    </row>
    <row r="2337" spans="1:8">
      <c r="A2337" t="s">
        <v>3245</v>
      </c>
      <c r="B2337" t="s">
        <v>219</v>
      </c>
      <c r="C2337" s="1">
        <v>45018</v>
      </c>
      <c r="D2337" s="1" t="str">
        <f>PROPER(orders[[#This Row],[order_priority]])</f>
        <v>Same Day</v>
      </c>
      <c r="E2337" t="s">
        <v>13322</v>
      </c>
      <c r="F2337" t="str">
        <f>IFERROR(INDEX(customers[country], MATCH(orders[[#This Row],[customer_id]], customers[customer_id], 0)), "Unmapped")</f>
        <v>Latvia</v>
      </c>
      <c r="G2337" t="str">
        <f>IFERROR(INDEX(Region_Map[Region], MATCH(orders[[#This Row],[Customer_Country]], Region_Map[Country], 0)), "Unknown")</f>
        <v>Baltics</v>
      </c>
      <c r="H2337" t="s">
        <v>6949</v>
      </c>
    </row>
    <row r="2338" spans="1:8">
      <c r="A2338" t="s">
        <v>3246</v>
      </c>
      <c r="B2338" t="s">
        <v>870</v>
      </c>
      <c r="C2338" s="1">
        <v>45006</v>
      </c>
      <c r="D2338" s="1" t="str">
        <f>PROPER(orders[[#This Row],[order_priority]])</f>
        <v>Same Day</v>
      </c>
      <c r="E2338" t="s">
        <v>13322</v>
      </c>
      <c r="F2338" t="str">
        <f>IFERROR(INDEX(customers[country], MATCH(orders[[#This Row],[customer_id]], customers[customer_id], 0)), "Unmapped")</f>
        <v>Estonia</v>
      </c>
      <c r="G2338" t="str">
        <f>IFERROR(INDEX(Region_Map[Region], MATCH(orders[[#This Row],[Customer_Country]], Region_Map[Country], 0)), "Unknown")</f>
        <v>Baltics</v>
      </c>
      <c r="H2338" t="s">
        <v>6949</v>
      </c>
    </row>
    <row r="2339" spans="1:8">
      <c r="A2339" t="s">
        <v>3247</v>
      </c>
      <c r="B2339" t="s">
        <v>506</v>
      </c>
      <c r="C2339" s="1">
        <v>45360</v>
      </c>
      <c r="D2339" s="1" t="str">
        <f>PROPER(orders[[#This Row],[order_priority]])</f>
        <v>Standard</v>
      </c>
      <c r="E2339" t="s">
        <v>13317</v>
      </c>
      <c r="F2339" t="str">
        <f>IFERROR(INDEX(customers[country], MATCH(orders[[#This Row],[customer_id]], customers[customer_id], 0)), "Unmapped")</f>
        <v>Poland</v>
      </c>
      <c r="G2339" t="str">
        <f>IFERROR(INDEX(Region_Map[Region], MATCH(orders[[#This Row],[Customer_Country]], Region_Map[Country], 0)), "Unknown")</f>
        <v>Central Europe</v>
      </c>
      <c r="H2339" t="s">
        <v>6949</v>
      </c>
    </row>
    <row r="2340" spans="1:8">
      <c r="A2340" t="s">
        <v>3248</v>
      </c>
      <c r="B2340" t="s">
        <v>332</v>
      </c>
      <c r="C2340" s="1">
        <v>45455</v>
      </c>
      <c r="D2340" s="1" t="str">
        <f>PROPER(orders[[#This Row],[order_priority]])</f>
        <v>Standard</v>
      </c>
      <c r="E2340" t="s">
        <v>13317</v>
      </c>
      <c r="F2340" t="str">
        <f>IFERROR(INDEX(customers[country], MATCH(orders[[#This Row],[customer_id]], customers[customer_id], 0)), "Unmapped")</f>
        <v>Lithuania</v>
      </c>
      <c r="G2340" t="str">
        <f>IFERROR(INDEX(Region_Map[Region], MATCH(orders[[#This Row],[Customer_Country]], Region_Map[Country], 0)), "Unknown")</f>
        <v>Baltics</v>
      </c>
      <c r="H2340" t="s">
        <v>6949</v>
      </c>
    </row>
    <row r="2341" spans="1:8">
      <c r="A2341" t="s">
        <v>3249</v>
      </c>
      <c r="B2341" t="s">
        <v>285</v>
      </c>
      <c r="C2341" s="1">
        <v>45194</v>
      </c>
      <c r="D2341" s="1" t="str">
        <f>PROPER(orders[[#This Row],[order_priority]])</f>
        <v>Same Day</v>
      </c>
      <c r="E2341" t="s">
        <v>13322</v>
      </c>
      <c r="F2341" t="str">
        <f>IFERROR(INDEX(customers[country], MATCH(orders[[#This Row],[customer_id]], customers[customer_id], 0)), "Unmapped")</f>
        <v>Norway</v>
      </c>
      <c r="G2341" t="str">
        <f>IFERROR(INDEX(Region_Map[Region], MATCH(orders[[#This Row],[Customer_Country]], Region_Map[Country], 0)), "Unknown")</f>
        <v>Nordics</v>
      </c>
      <c r="H2341" t="s">
        <v>6949</v>
      </c>
    </row>
    <row r="2342" spans="1:8">
      <c r="A2342" t="s">
        <v>3250</v>
      </c>
      <c r="B2342" t="s">
        <v>816</v>
      </c>
      <c r="C2342" s="1">
        <v>45180</v>
      </c>
      <c r="D2342" s="1" t="str">
        <f>PROPER(orders[[#This Row],[order_priority]])</f>
        <v>Standard</v>
      </c>
      <c r="E2342" t="s">
        <v>13317</v>
      </c>
      <c r="F2342" t="str">
        <f>IFERROR(INDEX(customers[country], MATCH(orders[[#This Row],[customer_id]], customers[customer_id], 0)), "Unmapped")</f>
        <v>Lithuania</v>
      </c>
      <c r="G2342" t="str">
        <f>IFERROR(INDEX(Region_Map[Region], MATCH(orders[[#This Row],[Customer_Country]], Region_Map[Country], 0)), "Unknown")</f>
        <v>Baltics</v>
      </c>
      <c r="H2342" t="s">
        <v>6949</v>
      </c>
    </row>
    <row r="2343" spans="1:8">
      <c r="A2343" t="s">
        <v>3251</v>
      </c>
      <c r="B2343" t="s">
        <v>741</v>
      </c>
      <c r="C2343" s="1">
        <v>44968</v>
      </c>
      <c r="D2343" s="1" t="str">
        <f>PROPER(orders[[#This Row],[order_priority]])</f>
        <v>Same Day</v>
      </c>
      <c r="E2343" t="s">
        <v>13322</v>
      </c>
      <c r="F2343" t="str">
        <f>IFERROR(INDEX(customers[country], MATCH(orders[[#This Row],[customer_id]], customers[customer_id], 0)), "Unmapped")</f>
        <v>Germany</v>
      </c>
      <c r="G2343" t="str">
        <f>IFERROR(INDEX(Region_Map[Region], MATCH(orders[[#This Row],[Customer_Country]], Region_Map[Country], 0)), "Unknown")</f>
        <v>Central Europe</v>
      </c>
      <c r="H2343" t="s">
        <v>6949</v>
      </c>
    </row>
    <row r="2344" spans="1:8">
      <c r="A2344" t="s">
        <v>3252</v>
      </c>
      <c r="B2344" t="s">
        <v>825</v>
      </c>
      <c r="C2344" s="1">
        <v>45002</v>
      </c>
      <c r="D2344" s="1" t="str">
        <f>PROPER(orders[[#This Row],[order_priority]])</f>
        <v>Standard</v>
      </c>
      <c r="E2344" t="s">
        <v>13317</v>
      </c>
      <c r="F2344" t="str">
        <f>IFERROR(INDEX(customers[country], MATCH(orders[[#This Row],[customer_id]], customers[customer_id], 0)), "Unmapped")</f>
        <v>Latvia</v>
      </c>
      <c r="G2344" t="str">
        <f>IFERROR(INDEX(Region_Map[Region], MATCH(orders[[#This Row],[Customer_Country]], Region_Map[Country], 0)), "Unknown")</f>
        <v>Baltics</v>
      </c>
      <c r="H2344" t="s">
        <v>6949</v>
      </c>
    </row>
    <row r="2345" spans="1:8">
      <c r="A2345" t="s">
        <v>3253</v>
      </c>
      <c r="B2345" t="s">
        <v>285</v>
      </c>
      <c r="C2345" s="1">
        <v>45398</v>
      </c>
      <c r="D2345" s="1" t="str">
        <f>PROPER(orders[[#This Row],[order_priority]])</f>
        <v>Express</v>
      </c>
      <c r="E2345" t="s">
        <v>13326</v>
      </c>
      <c r="F2345" t="str">
        <f>IFERROR(INDEX(customers[country], MATCH(orders[[#This Row],[customer_id]], customers[customer_id], 0)), "Unmapped")</f>
        <v>Norway</v>
      </c>
      <c r="G2345" t="str">
        <f>IFERROR(INDEX(Region_Map[Region], MATCH(orders[[#This Row],[Customer_Country]], Region_Map[Country], 0)), "Unknown")</f>
        <v>Nordics</v>
      </c>
      <c r="H2345" t="s">
        <v>6949</v>
      </c>
    </row>
    <row r="2346" spans="1:8">
      <c r="A2346" t="s">
        <v>3254</v>
      </c>
      <c r="B2346" t="s">
        <v>560</v>
      </c>
      <c r="C2346" s="1">
        <v>45262</v>
      </c>
      <c r="D2346" s="1" t="str">
        <f>PROPER(orders[[#This Row],[order_priority]])</f>
        <v>Standard</v>
      </c>
      <c r="E2346" t="s">
        <v>13317</v>
      </c>
      <c r="F2346" t="str">
        <f>IFERROR(INDEX(customers[country], MATCH(orders[[#This Row],[customer_id]], customers[customer_id], 0)), "Unmapped")</f>
        <v>Finland</v>
      </c>
      <c r="G2346" t="str">
        <f>IFERROR(INDEX(Region_Map[Region], MATCH(orders[[#This Row],[Customer_Country]], Region_Map[Country], 0)), "Unknown")</f>
        <v>Nordics</v>
      </c>
      <c r="H2346" t="s">
        <v>6949</v>
      </c>
    </row>
    <row r="2347" spans="1:8">
      <c r="A2347" t="s">
        <v>3255</v>
      </c>
      <c r="B2347" t="s">
        <v>449</v>
      </c>
      <c r="C2347" s="1">
        <v>45422</v>
      </c>
      <c r="D2347" s="1" t="str">
        <f>PROPER(orders[[#This Row],[order_priority]])</f>
        <v>Express</v>
      </c>
      <c r="E2347" t="s">
        <v>13318</v>
      </c>
      <c r="F2347" t="str">
        <f>IFERROR(INDEX(customers[country], MATCH(orders[[#This Row],[customer_id]], customers[customer_id], 0)), "Unmapped")</f>
        <v>Norway</v>
      </c>
      <c r="G2347" t="str">
        <f>IFERROR(INDEX(Region_Map[Region], MATCH(orders[[#This Row],[Customer_Country]], Region_Map[Country], 0)), "Unknown")</f>
        <v>Nordics</v>
      </c>
      <c r="H2347" t="s">
        <v>6949</v>
      </c>
    </row>
    <row r="2348" spans="1:8">
      <c r="A2348" t="s">
        <v>3256</v>
      </c>
      <c r="B2348" t="s">
        <v>106</v>
      </c>
      <c r="C2348" s="1">
        <v>45372</v>
      </c>
      <c r="D2348" s="1" t="str">
        <f>PROPER(orders[[#This Row],[order_priority]])</f>
        <v>Same Day</v>
      </c>
      <c r="E2348" t="s">
        <v>13324</v>
      </c>
      <c r="F2348" t="str">
        <f>IFERROR(INDEX(customers[country], MATCH(orders[[#This Row],[customer_id]], customers[customer_id], 0)), "Unmapped")</f>
        <v>Lithuania</v>
      </c>
      <c r="G2348" t="str">
        <f>IFERROR(INDEX(Region_Map[Region], MATCH(orders[[#This Row],[Customer_Country]], Region_Map[Country], 0)), "Unknown")</f>
        <v>Baltics</v>
      </c>
      <c r="H2348" t="s">
        <v>6949</v>
      </c>
    </row>
    <row r="2349" spans="1:8">
      <c r="A2349" t="s">
        <v>3257</v>
      </c>
      <c r="B2349" t="s">
        <v>906</v>
      </c>
      <c r="C2349" s="1">
        <v>45487</v>
      </c>
      <c r="D2349" s="1" t="str">
        <f>PROPER(orders[[#This Row],[order_priority]])</f>
        <v>Standard</v>
      </c>
      <c r="E2349" t="s">
        <v>13317</v>
      </c>
      <c r="F2349" t="str">
        <f>IFERROR(INDEX(customers[country], MATCH(orders[[#This Row],[customer_id]], customers[customer_id], 0)), "Unmapped")</f>
        <v>Sweden</v>
      </c>
      <c r="G2349" t="str">
        <f>IFERROR(INDEX(Region_Map[Region], MATCH(orders[[#This Row],[Customer_Country]], Region_Map[Country], 0)), "Unknown")</f>
        <v>Nordics</v>
      </c>
      <c r="H2349" t="s">
        <v>6949</v>
      </c>
    </row>
    <row r="2350" spans="1:8">
      <c r="A2350" t="s">
        <v>3258</v>
      </c>
      <c r="B2350" t="s">
        <v>434</v>
      </c>
      <c r="C2350" s="1">
        <v>45280</v>
      </c>
      <c r="D2350" s="1" t="str">
        <f>PROPER(orders[[#This Row],[order_priority]])</f>
        <v>Express</v>
      </c>
      <c r="E2350" t="s">
        <v>13318</v>
      </c>
      <c r="F2350" t="str">
        <f>IFERROR(INDEX(customers[country], MATCH(orders[[#This Row],[customer_id]], customers[customer_id], 0)), "Unmapped")</f>
        <v>Lithuania</v>
      </c>
      <c r="G2350" t="str">
        <f>IFERROR(INDEX(Region_Map[Region], MATCH(orders[[#This Row],[Customer_Country]], Region_Map[Country], 0)), "Unknown")</f>
        <v>Baltics</v>
      </c>
      <c r="H2350" t="s">
        <v>6949</v>
      </c>
    </row>
    <row r="2351" spans="1:8">
      <c r="A2351" t="s">
        <v>3259</v>
      </c>
      <c r="B2351" t="s">
        <v>38</v>
      </c>
      <c r="C2351" s="1">
        <v>45035</v>
      </c>
      <c r="D2351" s="1" t="str">
        <f>PROPER(orders[[#This Row],[order_priority]])</f>
        <v>Economy</v>
      </c>
      <c r="E2351" t="s">
        <v>13316</v>
      </c>
      <c r="F2351" t="str">
        <f>IFERROR(INDEX(customers[country], MATCH(orders[[#This Row],[customer_id]], customers[customer_id], 0)), "Unmapped")</f>
        <v>Lithuania</v>
      </c>
      <c r="G2351" t="str">
        <f>IFERROR(INDEX(Region_Map[Region], MATCH(orders[[#This Row],[Customer_Country]], Region_Map[Country], 0)), "Unknown")</f>
        <v>Baltics</v>
      </c>
      <c r="H2351" t="s">
        <v>6949</v>
      </c>
    </row>
    <row r="2352" spans="1:8">
      <c r="A2352" t="s">
        <v>3260</v>
      </c>
      <c r="B2352" t="s">
        <v>805</v>
      </c>
      <c r="C2352" s="1">
        <v>45117</v>
      </c>
      <c r="D2352" s="1" t="str">
        <f>PROPER(orders[[#This Row],[order_priority]])</f>
        <v>Standard</v>
      </c>
      <c r="E2352" t="s">
        <v>13317</v>
      </c>
      <c r="F2352" t="str">
        <f>IFERROR(INDEX(customers[country], MATCH(orders[[#This Row],[customer_id]], customers[customer_id], 0)), "Unmapped")</f>
        <v>Estonia</v>
      </c>
      <c r="G2352" t="str">
        <f>IFERROR(INDEX(Region_Map[Region], MATCH(orders[[#This Row],[Customer_Country]], Region_Map[Country], 0)), "Unknown")</f>
        <v>Baltics</v>
      </c>
      <c r="H2352" t="s">
        <v>6949</v>
      </c>
    </row>
    <row r="2353" spans="1:8">
      <c r="A2353" t="s">
        <v>3261</v>
      </c>
      <c r="B2353" t="s">
        <v>569</v>
      </c>
      <c r="C2353" s="1">
        <v>45065</v>
      </c>
      <c r="D2353" s="1" t="str">
        <f>PROPER(orders[[#This Row],[order_priority]])</f>
        <v>Same Day</v>
      </c>
      <c r="E2353" t="s">
        <v>13322</v>
      </c>
      <c r="F2353" t="str">
        <f>IFERROR(INDEX(customers[country], MATCH(orders[[#This Row],[customer_id]], customers[customer_id], 0)), "Unmapped")</f>
        <v>Estonia</v>
      </c>
      <c r="G2353" t="str">
        <f>IFERROR(INDEX(Region_Map[Region], MATCH(orders[[#This Row],[Customer_Country]], Region_Map[Country], 0)), "Unknown")</f>
        <v>Baltics</v>
      </c>
      <c r="H2353" t="s">
        <v>6949</v>
      </c>
    </row>
    <row r="2354" spans="1:8">
      <c r="A2354" t="s">
        <v>3262</v>
      </c>
      <c r="B2354" t="s">
        <v>24</v>
      </c>
      <c r="C2354" s="1">
        <v>45169</v>
      </c>
      <c r="D2354" s="1" t="str">
        <f>PROPER(orders[[#This Row],[order_priority]])</f>
        <v>Standard</v>
      </c>
      <c r="E2354" t="s">
        <v>13317</v>
      </c>
      <c r="F2354" t="str">
        <f>IFERROR(INDEX(customers[country], MATCH(orders[[#This Row],[customer_id]], customers[customer_id], 0)), "Unmapped")</f>
        <v>Sweden</v>
      </c>
      <c r="G2354" t="str">
        <f>IFERROR(INDEX(Region_Map[Region], MATCH(orders[[#This Row],[Customer_Country]], Region_Map[Country], 0)), "Unknown")</f>
        <v>Nordics</v>
      </c>
      <c r="H2354" t="s">
        <v>6949</v>
      </c>
    </row>
    <row r="2355" spans="1:8">
      <c r="A2355" t="s">
        <v>3263</v>
      </c>
      <c r="B2355" t="s">
        <v>222</v>
      </c>
      <c r="C2355" s="1">
        <v>45622</v>
      </c>
      <c r="D2355" s="1" t="str">
        <f>PROPER(orders[[#This Row],[order_priority]])</f>
        <v>Express</v>
      </c>
      <c r="E2355" t="s">
        <v>13318</v>
      </c>
      <c r="F2355" t="str">
        <f>IFERROR(INDEX(customers[country], MATCH(orders[[#This Row],[customer_id]], customers[customer_id], 0)), "Unmapped")</f>
        <v>Norway</v>
      </c>
      <c r="G2355" t="str">
        <f>IFERROR(INDEX(Region_Map[Region], MATCH(orders[[#This Row],[Customer_Country]], Region_Map[Country], 0)), "Unknown")</f>
        <v>Nordics</v>
      </c>
      <c r="H2355" t="s">
        <v>6949</v>
      </c>
    </row>
    <row r="2356" spans="1:8">
      <c r="A2356" t="s">
        <v>3264</v>
      </c>
      <c r="B2356" t="s">
        <v>816</v>
      </c>
      <c r="C2356" s="1">
        <v>45047</v>
      </c>
      <c r="D2356" s="1" t="str">
        <f>PROPER(orders[[#This Row],[order_priority]])</f>
        <v>Express</v>
      </c>
      <c r="E2356" t="s">
        <v>13318</v>
      </c>
      <c r="F2356" t="str">
        <f>IFERROR(INDEX(customers[country], MATCH(orders[[#This Row],[customer_id]], customers[customer_id], 0)), "Unmapped")</f>
        <v>Lithuania</v>
      </c>
      <c r="G2356" t="str">
        <f>IFERROR(INDEX(Region_Map[Region], MATCH(orders[[#This Row],[Customer_Country]], Region_Map[Country], 0)), "Unknown")</f>
        <v>Baltics</v>
      </c>
      <c r="H2356" t="s">
        <v>6949</v>
      </c>
    </row>
    <row r="2357" spans="1:8">
      <c r="A2357" t="s">
        <v>3265</v>
      </c>
      <c r="B2357" t="s">
        <v>614</v>
      </c>
      <c r="C2357" s="1">
        <v>44960</v>
      </c>
      <c r="D2357" s="1" t="str">
        <f>PROPER(orders[[#This Row],[order_priority]])</f>
        <v>Express</v>
      </c>
      <c r="E2357" t="s">
        <v>13318</v>
      </c>
      <c r="F2357" t="str">
        <f>IFERROR(INDEX(customers[country], MATCH(orders[[#This Row],[customer_id]], customers[customer_id], 0)), "Unmapped")</f>
        <v>Latvia</v>
      </c>
      <c r="G2357" t="str">
        <f>IFERROR(INDEX(Region_Map[Region], MATCH(orders[[#This Row],[Customer_Country]], Region_Map[Country], 0)), "Unknown")</f>
        <v>Baltics</v>
      </c>
      <c r="H2357" t="s">
        <v>6949</v>
      </c>
    </row>
    <row r="2358" spans="1:8">
      <c r="A2358" t="s">
        <v>3266</v>
      </c>
      <c r="B2358" t="s">
        <v>879</v>
      </c>
      <c r="C2358" s="1">
        <v>45379</v>
      </c>
      <c r="D2358" s="1" t="str">
        <f>PROPER(orders[[#This Row],[order_priority]])</f>
        <v>Standard</v>
      </c>
      <c r="E2358" t="s">
        <v>13317</v>
      </c>
      <c r="F2358" t="str">
        <f>IFERROR(INDEX(customers[country], MATCH(orders[[#This Row],[customer_id]], customers[customer_id], 0)), "Unmapped")</f>
        <v>Norway</v>
      </c>
      <c r="G2358" t="str">
        <f>IFERROR(INDEX(Region_Map[Region], MATCH(orders[[#This Row],[Customer_Country]], Region_Map[Country], 0)), "Unknown")</f>
        <v>Nordics</v>
      </c>
      <c r="H2358" t="s">
        <v>6949</v>
      </c>
    </row>
    <row r="2359" spans="1:8">
      <c r="A2359" t="s">
        <v>3267</v>
      </c>
      <c r="B2359" t="s">
        <v>524</v>
      </c>
      <c r="C2359" s="1">
        <v>45465</v>
      </c>
      <c r="D2359" s="1" t="str">
        <f>PROPER(orders[[#This Row],[order_priority]])</f>
        <v>Economy</v>
      </c>
      <c r="E2359" t="s">
        <v>13325</v>
      </c>
      <c r="F2359" t="str">
        <f>IFERROR(INDEX(customers[country], MATCH(orders[[#This Row],[customer_id]], customers[customer_id], 0)), "Unmapped")</f>
        <v>Norway</v>
      </c>
      <c r="G2359" t="str">
        <f>IFERROR(INDEX(Region_Map[Region], MATCH(orders[[#This Row],[Customer_Country]], Region_Map[Country], 0)), "Unknown")</f>
        <v>Nordics</v>
      </c>
      <c r="H2359" t="s">
        <v>6949</v>
      </c>
    </row>
    <row r="2360" spans="1:8">
      <c r="A2360" t="s">
        <v>3268</v>
      </c>
      <c r="B2360" t="s">
        <v>362</v>
      </c>
      <c r="C2360" s="1">
        <v>45227</v>
      </c>
      <c r="D2360" s="1" t="str">
        <f>PROPER(orders[[#This Row],[order_priority]])</f>
        <v>Same Day</v>
      </c>
      <c r="E2360" t="s">
        <v>13322</v>
      </c>
      <c r="F2360" t="str">
        <f>IFERROR(INDEX(customers[country], MATCH(orders[[#This Row],[customer_id]], customers[customer_id], 0)), "Unmapped")</f>
        <v>Denmark</v>
      </c>
      <c r="G2360" t="str">
        <f>IFERROR(INDEX(Region_Map[Region], MATCH(orders[[#This Row],[Customer_Country]], Region_Map[Country], 0)), "Unknown")</f>
        <v>Nordics</v>
      </c>
      <c r="H2360" t="s">
        <v>6949</v>
      </c>
    </row>
    <row r="2361" spans="1:8">
      <c r="A2361" t="s">
        <v>3269</v>
      </c>
      <c r="B2361" t="s">
        <v>237</v>
      </c>
      <c r="C2361" s="1">
        <v>45582</v>
      </c>
      <c r="D2361" s="1" t="str">
        <f>PROPER(orders[[#This Row],[order_priority]])</f>
        <v>Express</v>
      </c>
      <c r="E2361" t="s">
        <v>13318</v>
      </c>
      <c r="F2361" t="str">
        <f>IFERROR(INDEX(customers[country], MATCH(orders[[#This Row],[customer_id]], customers[customer_id], 0)), "Unmapped")</f>
        <v>Sweden</v>
      </c>
      <c r="G2361" t="str">
        <f>IFERROR(INDEX(Region_Map[Region], MATCH(orders[[#This Row],[Customer_Country]], Region_Map[Country], 0)), "Unknown")</f>
        <v>Nordics</v>
      </c>
      <c r="H2361" t="s">
        <v>6949</v>
      </c>
    </row>
    <row r="2362" spans="1:8">
      <c r="A2362" t="s">
        <v>3270</v>
      </c>
      <c r="B2362" t="s">
        <v>109</v>
      </c>
      <c r="C2362" s="1">
        <v>45433</v>
      </c>
      <c r="D2362" s="1" t="str">
        <f>PROPER(orders[[#This Row],[order_priority]])</f>
        <v>Economy</v>
      </c>
      <c r="E2362" t="s">
        <v>13316</v>
      </c>
      <c r="F2362" t="str">
        <f>IFERROR(INDEX(customers[country], MATCH(orders[[#This Row],[customer_id]], customers[customer_id], 0)), "Unmapped")</f>
        <v>Netherlands</v>
      </c>
      <c r="G2362" t="str">
        <f>IFERROR(INDEX(Region_Map[Region], MATCH(orders[[#This Row],[Customer_Country]], Region_Map[Country], 0)), "Unknown")</f>
        <v>Central Europe</v>
      </c>
      <c r="H2362" t="s">
        <v>6949</v>
      </c>
    </row>
    <row r="2363" spans="1:8">
      <c r="A2363" t="s">
        <v>3271</v>
      </c>
      <c r="B2363" t="s">
        <v>629</v>
      </c>
      <c r="C2363" s="1">
        <v>45266</v>
      </c>
      <c r="D2363" s="1" t="str">
        <f>PROPER(orders[[#This Row],[order_priority]])</f>
        <v>Express</v>
      </c>
      <c r="E2363" t="s">
        <v>13326</v>
      </c>
      <c r="F2363" t="str">
        <f>IFERROR(INDEX(customers[country], MATCH(orders[[#This Row],[customer_id]], customers[customer_id], 0)), "Unmapped")</f>
        <v>Lithuania</v>
      </c>
      <c r="G2363" t="str">
        <f>IFERROR(INDEX(Region_Map[Region], MATCH(orders[[#This Row],[Customer_Country]], Region_Map[Country], 0)), "Unknown")</f>
        <v>Baltics</v>
      </c>
      <c r="H2363" t="s">
        <v>6949</v>
      </c>
    </row>
    <row r="2364" spans="1:8">
      <c r="A2364" t="s">
        <v>3272</v>
      </c>
      <c r="B2364" t="s">
        <v>175</v>
      </c>
      <c r="C2364" s="1">
        <v>45423</v>
      </c>
      <c r="D2364" s="1" t="str">
        <f>PROPER(orders[[#This Row],[order_priority]])</f>
        <v>Economy</v>
      </c>
      <c r="E2364" t="s">
        <v>13316</v>
      </c>
      <c r="F2364" t="str">
        <f>IFERROR(INDEX(customers[country], MATCH(orders[[#This Row],[customer_id]], customers[customer_id], 0)), "Unmapped")</f>
        <v>Sweden</v>
      </c>
      <c r="G2364" t="str">
        <f>IFERROR(INDEX(Region_Map[Region], MATCH(orders[[#This Row],[Customer_Country]], Region_Map[Country], 0)), "Unknown")</f>
        <v>Nordics</v>
      </c>
      <c r="H2364" t="s">
        <v>6949</v>
      </c>
    </row>
    <row r="2365" spans="1:8">
      <c r="A2365" t="s">
        <v>1501</v>
      </c>
      <c r="B2365" t="s">
        <v>154</v>
      </c>
      <c r="C2365" s="1">
        <v>45075</v>
      </c>
      <c r="D2365" s="1" t="str">
        <f>PROPER(orders[[#This Row],[order_priority]])</f>
        <v>Standard</v>
      </c>
      <c r="E2365" t="s">
        <v>13317</v>
      </c>
      <c r="F2365" t="str">
        <f>IFERROR(INDEX(customers[country], MATCH(orders[[#This Row],[customer_id]], customers[customer_id], 0)), "Unmapped")</f>
        <v>Lithuania</v>
      </c>
      <c r="G2365" t="str">
        <f>IFERROR(INDEX(Region_Map[Region], MATCH(orders[[#This Row],[Customer_Country]], Region_Map[Country], 0)), "Unknown")</f>
        <v>Baltics</v>
      </c>
      <c r="H2365" t="s">
        <v>6949</v>
      </c>
    </row>
    <row r="2366" spans="1:8">
      <c r="A2366" t="s">
        <v>3273</v>
      </c>
      <c r="B2366" t="s">
        <v>467</v>
      </c>
      <c r="C2366" s="1">
        <v>45593</v>
      </c>
      <c r="D2366" s="1" t="str">
        <f>PROPER(orders[[#This Row],[order_priority]])</f>
        <v>Standard</v>
      </c>
      <c r="E2366" t="s">
        <v>13317</v>
      </c>
      <c r="F2366" t="str">
        <f>IFERROR(INDEX(customers[country], MATCH(orders[[#This Row],[customer_id]], customers[customer_id], 0)), "Unmapped")</f>
        <v>Latvia</v>
      </c>
      <c r="G2366" t="str">
        <f>IFERROR(INDEX(Region_Map[Region], MATCH(orders[[#This Row],[Customer_Country]], Region_Map[Country], 0)), "Unknown")</f>
        <v>Baltics</v>
      </c>
      <c r="H2366" t="s">
        <v>6949</v>
      </c>
    </row>
    <row r="2367" spans="1:8">
      <c r="A2367" t="s">
        <v>3274</v>
      </c>
      <c r="B2367" t="s">
        <v>578</v>
      </c>
      <c r="C2367" s="1">
        <v>45344</v>
      </c>
      <c r="D2367" s="1" t="str">
        <f>PROPER(orders[[#This Row],[order_priority]])</f>
        <v>Standard</v>
      </c>
      <c r="E2367" t="s">
        <v>13317</v>
      </c>
      <c r="F2367" t="str">
        <f>IFERROR(INDEX(customers[country], MATCH(orders[[#This Row],[customer_id]], customers[customer_id], 0)), "Unmapped")</f>
        <v>Norway</v>
      </c>
      <c r="G2367" t="str">
        <f>IFERROR(INDEX(Region_Map[Region], MATCH(orders[[#This Row],[Customer_Country]], Region_Map[Country], 0)), "Unknown")</f>
        <v>Nordics</v>
      </c>
      <c r="H2367" t="s">
        <v>6949</v>
      </c>
    </row>
    <row r="2368" spans="1:8">
      <c r="A2368" t="s">
        <v>3275</v>
      </c>
      <c r="B2368" t="s">
        <v>374</v>
      </c>
      <c r="C2368" s="1">
        <v>44994</v>
      </c>
      <c r="D2368" s="1" t="str">
        <f>PROPER(orders[[#This Row],[order_priority]])</f>
        <v>Standard</v>
      </c>
      <c r="E2368" t="s">
        <v>13317</v>
      </c>
      <c r="F2368" t="str">
        <f>IFERROR(INDEX(customers[country], MATCH(orders[[#This Row],[customer_id]], customers[customer_id], 0)), "Unmapped")</f>
        <v>Estonia</v>
      </c>
      <c r="G2368" t="str">
        <f>IFERROR(INDEX(Region_Map[Region], MATCH(orders[[#This Row],[Customer_Country]], Region_Map[Country], 0)), "Unknown")</f>
        <v>Baltics</v>
      </c>
      <c r="H2368" t="s">
        <v>6949</v>
      </c>
    </row>
    <row r="2369" spans="1:8">
      <c r="A2369" t="s">
        <v>3276</v>
      </c>
      <c r="B2369" t="s">
        <v>524</v>
      </c>
      <c r="C2369" s="1">
        <v>45155</v>
      </c>
      <c r="D2369" s="1" t="str">
        <f>PROPER(orders[[#This Row],[order_priority]])</f>
        <v>Economy</v>
      </c>
      <c r="E2369" t="s">
        <v>13316</v>
      </c>
      <c r="F2369" t="str">
        <f>IFERROR(INDEX(customers[country], MATCH(orders[[#This Row],[customer_id]], customers[customer_id], 0)), "Unmapped")</f>
        <v>Norway</v>
      </c>
      <c r="G2369" t="str">
        <f>IFERROR(INDEX(Region_Map[Region], MATCH(orders[[#This Row],[Customer_Country]], Region_Map[Country], 0)), "Unknown")</f>
        <v>Nordics</v>
      </c>
      <c r="H2369" t="s">
        <v>6949</v>
      </c>
    </row>
    <row r="2370" spans="1:8">
      <c r="A2370" t="s">
        <v>3277</v>
      </c>
      <c r="B2370" t="s">
        <v>6</v>
      </c>
      <c r="C2370" s="1">
        <v>45565</v>
      </c>
      <c r="D2370" s="1" t="str">
        <f>PROPER(orders[[#This Row],[order_priority]])</f>
        <v>Express</v>
      </c>
      <c r="E2370" t="s">
        <v>13318</v>
      </c>
      <c r="F2370" t="str">
        <f>IFERROR(INDEX(customers[country], MATCH(orders[[#This Row],[customer_id]], customers[customer_id], 0)), "Unmapped")</f>
        <v>Latvia</v>
      </c>
      <c r="G2370" t="str">
        <f>IFERROR(INDEX(Region_Map[Region], MATCH(orders[[#This Row],[Customer_Country]], Region_Map[Country], 0)), "Unknown")</f>
        <v>Baltics</v>
      </c>
      <c r="H2370" t="s">
        <v>6949</v>
      </c>
    </row>
    <row r="2371" spans="1:8">
      <c r="A2371" t="s">
        <v>3278</v>
      </c>
      <c r="B2371" t="s">
        <v>652</v>
      </c>
      <c r="C2371" s="1">
        <v>45230</v>
      </c>
      <c r="D2371" s="1" t="str">
        <f>PROPER(orders[[#This Row],[order_priority]])</f>
        <v>Express</v>
      </c>
      <c r="E2371" t="s">
        <v>13320</v>
      </c>
      <c r="F2371" t="str">
        <f>IFERROR(INDEX(customers[country], MATCH(orders[[#This Row],[customer_id]], customers[customer_id], 0)), "Unmapped")</f>
        <v>Poland</v>
      </c>
      <c r="G2371" t="str">
        <f>IFERROR(INDEX(Region_Map[Region], MATCH(orders[[#This Row],[Customer_Country]], Region_Map[Country], 0)), "Unknown")</f>
        <v>Central Europe</v>
      </c>
      <c r="H2371" t="s">
        <v>6949</v>
      </c>
    </row>
    <row r="2372" spans="1:8">
      <c r="A2372" t="s">
        <v>3279</v>
      </c>
      <c r="B2372" t="s">
        <v>676</v>
      </c>
      <c r="C2372" s="1">
        <v>45538</v>
      </c>
      <c r="D2372" s="1" t="str">
        <f>PROPER(orders[[#This Row],[order_priority]])</f>
        <v>Economy</v>
      </c>
      <c r="E2372" t="s">
        <v>13316</v>
      </c>
      <c r="F2372" t="str">
        <f>IFERROR(INDEX(customers[country], MATCH(orders[[#This Row],[customer_id]], customers[customer_id], 0)), "Unmapped")</f>
        <v>Latvia</v>
      </c>
      <c r="G2372" t="str">
        <f>IFERROR(INDEX(Region_Map[Region], MATCH(orders[[#This Row],[Customer_Country]], Region_Map[Country], 0)), "Unknown")</f>
        <v>Baltics</v>
      </c>
      <c r="H2372" t="s">
        <v>6949</v>
      </c>
    </row>
    <row r="2373" spans="1:8">
      <c r="A2373" t="s">
        <v>3280</v>
      </c>
      <c r="B2373" t="s">
        <v>641</v>
      </c>
      <c r="C2373" s="1">
        <v>45193</v>
      </c>
      <c r="D2373" s="1" t="str">
        <f>PROPER(orders[[#This Row],[order_priority]])</f>
        <v>Same Day</v>
      </c>
      <c r="E2373" t="s">
        <v>13322</v>
      </c>
      <c r="F2373" t="str">
        <f>IFERROR(INDEX(customers[country], MATCH(orders[[#This Row],[customer_id]], customers[customer_id], 0)), "Unmapped")</f>
        <v>Poland</v>
      </c>
      <c r="G2373" t="str">
        <f>IFERROR(INDEX(Region_Map[Region], MATCH(orders[[#This Row],[Customer_Country]], Region_Map[Country], 0)), "Unknown")</f>
        <v>Central Europe</v>
      </c>
      <c r="H2373" t="s">
        <v>6949</v>
      </c>
    </row>
    <row r="2374" spans="1:8">
      <c r="A2374" t="s">
        <v>3281</v>
      </c>
      <c r="B2374" t="s">
        <v>715</v>
      </c>
      <c r="C2374" s="1">
        <v>44952</v>
      </c>
      <c r="D2374" s="1" t="str">
        <f>PROPER(orders[[#This Row],[order_priority]])</f>
        <v>Same Day</v>
      </c>
      <c r="E2374" t="s">
        <v>13324</v>
      </c>
      <c r="F2374" t="str">
        <f>IFERROR(INDEX(customers[country], MATCH(orders[[#This Row],[customer_id]], customers[customer_id], 0)), "Unmapped")</f>
        <v>Netherlands</v>
      </c>
      <c r="G2374" t="str">
        <f>IFERROR(INDEX(Region_Map[Region], MATCH(orders[[#This Row],[Customer_Country]], Region_Map[Country], 0)), "Unknown")</f>
        <v>Central Europe</v>
      </c>
      <c r="H2374" t="s">
        <v>6949</v>
      </c>
    </row>
    <row r="2375" spans="1:8">
      <c r="A2375" t="s">
        <v>3282</v>
      </c>
      <c r="B2375" t="s">
        <v>509</v>
      </c>
      <c r="C2375" s="1">
        <v>45012</v>
      </c>
      <c r="D2375" s="1" t="str">
        <f>PROPER(orders[[#This Row],[order_priority]])</f>
        <v>Standard</v>
      </c>
      <c r="E2375" t="s">
        <v>13317</v>
      </c>
      <c r="F2375" t="str">
        <f>IFERROR(INDEX(customers[country], MATCH(orders[[#This Row],[customer_id]], customers[customer_id], 0)), "Unmapped")</f>
        <v>Sweden</v>
      </c>
      <c r="G2375" t="str">
        <f>IFERROR(INDEX(Region_Map[Region], MATCH(orders[[#This Row],[Customer_Country]], Region_Map[Country], 0)), "Unknown")</f>
        <v>Nordics</v>
      </c>
      <c r="H2375" t="s">
        <v>6949</v>
      </c>
    </row>
    <row r="2376" spans="1:8">
      <c r="A2376" t="s">
        <v>3283</v>
      </c>
      <c r="B2376" t="s">
        <v>703</v>
      </c>
      <c r="C2376" s="1">
        <v>45467</v>
      </c>
      <c r="D2376" s="1" t="str">
        <f>PROPER(orders[[#This Row],[order_priority]])</f>
        <v>Express</v>
      </c>
      <c r="E2376" t="s">
        <v>13318</v>
      </c>
      <c r="F2376" t="str">
        <f>IFERROR(INDEX(customers[country], MATCH(orders[[#This Row],[customer_id]], customers[customer_id], 0)), "Unmapped")</f>
        <v>Estonia</v>
      </c>
      <c r="G2376" t="str">
        <f>IFERROR(INDEX(Region_Map[Region], MATCH(orders[[#This Row],[Customer_Country]], Region_Map[Country], 0)), "Unknown")</f>
        <v>Baltics</v>
      </c>
      <c r="H2376" t="s">
        <v>6949</v>
      </c>
    </row>
    <row r="2377" spans="1:8">
      <c r="A2377" t="s">
        <v>3284</v>
      </c>
      <c r="B2377" t="s">
        <v>834</v>
      </c>
      <c r="C2377" s="1">
        <v>45089</v>
      </c>
      <c r="D2377" s="1" t="str">
        <f>PROPER(orders[[#This Row],[order_priority]])</f>
        <v>Standard</v>
      </c>
      <c r="E2377" t="s">
        <v>13317</v>
      </c>
      <c r="F2377" t="str">
        <f>IFERROR(INDEX(customers[country], MATCH(orders[[#This Row],[customer_id]], customers[customer_id], 0)), "Unmapped")</f>
        <v>Denmark</v>
      </c>
      <c r="G2377" t="str">
        <f>IFERROR(INDEX(Region_Map[Region], MATCH(orders[[#This Row],[Customer_Country]], Region_Map[Country], 0)), "Unknown")</f>
        <v>Nordics</v>
      </c>
      <c r="H2377" t="s">
        <v>6949</v>
      </c>
    </row>
    <row r="2378" spans="1:8">
      <c r="A2378" t="s">
        <v>3285</v>
      </c>
      <c r="B2378" t="s">
        <v>392</v>
      </c>
      <c r="C2378" s="1">
        <v>45527</v>
      </c>
      <c r="D2378" s="1" t="str">
        <f>PROPER(orders[[#This Row],[order_priority]])</f>
        <v>Express</v>
      </c>
      <c r="E2378" t="s">
        <v>13318</v>
      </c>
      <c r="F2378" t="str">
        <f>IFERROR(INDEX(customers[country], MATCH(orders[[#This Row],[customer_id]], customers[customer_id], 0)), "Unmapped")</f>
        <v>Latvia</v>
      </c>
      <c r="G2378" t="str">
        <f>IFERROR(INDEX(Region_Map[Region], MATCH(orders[[#This Row],[Customer_Country]], Region_Map[Country], 0)), "Unknown")</f>
        <v>Baltics</v>
      </c>
      <c r="H2378" t="s">
        <v>6949</v>
      </c>
    </row>
    <row r="2379" spans="1:8">
      <c r="A2379" t="s">
        <v>3286</v>
      </c>
      <c r="B2379" t="s">
        <v>533</v>
      </c>
      <c r="C2379" s="1">
        <v>44990</v>
      </c>
      <c r="D2379" s="1" t="str">
        <f>PROPER(orders[[#This Row],[order_priority]])</f>
        <v>Economy</v>
      </c>
      <c r="E2379" t="s">
        <v>13316</v>
      </c>
      <c r="F2379" t="str">
        <f>IFERROR(INDEX(customers[country], MATCH(orders[[#This Row],[customer_id]], customers[customer_id], 0)), "Unmapped")</f>
        <v>Germany</v>
      </c>
      <c r="G2379" t="str">
        <f>IFERROR(INDEX(Region_Map[Region], MATCH(orders[[#This Row],[Customer_Country]], Region_Map[Country], 0)), "Unknown")</f>
        <v>Central Europe</v>
      </c>
      <c r="H2379" t="s">
        <v>6949</v>
      </c>
    </row>
    <row r="2380" spans="1:8">
      <c r="A2380" t="s">
        <v>3287</v>
      </c>
      <c r="B2380" t="s">
        <v>407</v>
      </c>
      <c r="C2380" s="1">
        <v>45498</v>
      </c>
      <c r="D2380" s="1" t="str">
        <f>PROPER(orders[[#This Row],[order_priority]])</f>
        <v>Same Day</v>
      </c>
      <c r="E2380" t="s">
        <v>13322</v>
      </c>
      <c r="F2380" t="str">
        <f>IFERROR(INDEX(customers[country], MATCH(orders[[#This Row],[customer_id]], customers[customer_id], 0)), "Unmapped")</f>
        <v>Poland</v>
      </c>
      <c r="G2380" t="str">
        <f>IFERROR(INDEX(Region_Map[Region], MATCH(orders[[#This Row],[Customer_Country]], Region_Map[Country], 0)), "Unknown")</f>
        <v>Central Europe</v>
      </c>
      <c r="H2380" t="s">
        <v>6949</v>
      </c>
    </row>
    <row r="2381" spans="1:8">
      <c r="A2381" t="s">
        <v>3288</v>
      </c>
      <c r="B2381" t="s">
        <v>652</v>
      </c>
      <c r="C2381" s="1">
        <v>45471</v>
      </c>
      <c r="D2381" s="1" t="str">
        <f>PROPER(orders[[#This Row],[order_priority]])</f>
        <v>Economy</v>
      </c>
      <c r="E2381" t="s">
        <v>13316</v>
      </c>
      <c r="F2381" t="str">
        <f>IFERROR(INDEX(customers[country], MATCH(orders[[#This Row],[customer_id]], customers[customer_id], 0)), "Unmapped")</f>
        <v>Poland</v>
      </c>
      <c r="G2381" t="str">
        <f>IFERROR(INDEX(Region_Map[Region], MATCH(orders[[#This Row],[Customer_Country]], Region_Map[Country], 0)), "Unknown")</f>
        <v>Central Europe</v>
      </c>
      <c r="H2381" t="s">
        <v>6949</v>
      </c>
    </row>
    <row r="2382" spans="1:8">
      <c r="A2382" t="s">
        <v>3289</v>
      </c>
      <c r="B2382" t="s">
        <v>688</v>
      </c>
      <c r="C2382" s="1">
        <v>44939</v>
      </c>
      <c r="D2382" s="1" t="str">
        <f>PROPER(orders[[#This Row],[order_priority]])</f>
        <v>Express</v>
      </c>
      <c r="E2382" t="s">
        <v>13318</v>
      </c>
      <c r="F2382" t="str">
        <f>IFERROR(INDEX(customers[country], MATCH(orders[[#This Row],[customer_id]], customers[customer_id], 0)), "Unmapped")</f>
        <v>Norway</v>
      </c>
      <c r="G2382" t="str">
        <f>IFERROR(INDEX(Region_Map[Region], MATCH(orders[[#This Row],[Customer_Country]], Region_Map[Country], 0)), "Unknown")</f>
        <v>Nordics</v>
      </c>
      <c r="H2382" t="s">
        <v>6949</v>
      </c>
    </row>
    <row r="2383" spans="1:8">
      <c r="A2383" t="s">
        <v>3290</v>
      </c>
      <c r="B2383" t="s">
        <v>524</v>
      </c>
      <c r="C2383" s="1">
        <v>45176</v>
      </c>
      <c r="D2383" s="1" t="str">
        <f>PROPER(orders[[#This Row],[order_priority]])</f>
        <v>Same Day</v>
      </c>
      <c r="E2383" t="s">
        <v>13322</v>
      </c>
      <c r="F2383" t="str">
        <f>IFERROR(INDEX(customers[country], MATCH(orders[[#This Row],[customer_id]], customers[customer_id], 0)), "Unmapped")</f>
        <v>Norway</v>
      </c>
      <c r="G2383" t="str">
        <f>IFERROR(INDEX(Region_Map[Region], MATCH(orders[[#This Row],[Customer_Country]], Region_Map[Country], 0)), "Unknown")</f>
        <v>Nordics</v>
      </c>
      <c r="H2383" t="s">
        <v>6949</v>
      </c>
    </row>
    <row r="2384" spans="1:8">
      <c r="A2384" t="s">
        <v>3291</v>
      </c>
      <c r="B2384" t="s">
        <v>45</v>
      </c>
      <c r="C2384" s="1">
        <v>45378</v>
      </c>
      <c r="D2384" s="1" t="str">
        <f>PROPER(orders[[#This Row],[order_priority]])</f>
        <v>Same Day</v>
      </c>
      <c r="E2384" t="s">
        <v>13322</v>
      </c>
      <c r="F2384" t="str">
        <f>IFERROR(INDEX(customers[country], MATCH(orders[[#This Row],[customer_id]], customers[customer_id], 0)), "Unmapped")</f>
        <v>Netherlands</v>
      </c>
      <c r="G2384" t="str">
        <f>IFERROR(INDEX(Region_Map[Region], MATCH(orders[[#This Row],[Customer_Country]], Region_Map[Country], 0)), "Unknown")</f>
        <v>Central Europe</v>
      </c>
      <c r="H2384" t="s">
        <v>6949</v>
      </c>
    </row>
    <row r="2385" spans="1:8">
      <c r="A2385" t="s">
        <v>3292</v>
      </c>
      <c r="B2385" t="s">
        <v>778</v>
      </c>
      <c r="C2385" s="1">
        <v>45260</v>
      </c>
      <c r="D2385" s="1" t="str">
        <f>PROPER(orders[[#This Row],[order_priority]])</f>
        <v>Express</v>
      </c>
      <c r="E2385" t="s">
        <v>13318</v>
      </c>
      <c r="F2385" t="str">
        <f>IFERROR(INDEX(customers[country], MATCH(orders[[#This Row],[customer_id]], customers[customer_id], 0)), "Unmapped")</f>
        <v>Estonia</v>
      </c>
      <c r="G2385" t="str">
        <f>IFERROR(INDEX(Region_Map[Region], MATCH(orders[[#This Row],[Customer_Country]], Region_Map[Country], 0)), "Unknown")</f>
        <v>Baltics</v>
      </c>
      <c r="H2385" t="s">
        <v>6949</v>
      </c>
    </row>
    <row r="2386" spans="1:8">
      <c r="A2386" t="s">
        <v>3293</v>
      </c>
      <c r="B2386" t="s">
        <v>309</v>
      </c>
      <c r="C2386" s="1">
        <v>45558</v>
      </c>
      <c r="D2386" s="1" t="str">
        <f>PROPER(orders[[#This Row],[order_priority]])</f>
        <v>Standard</v>
      </c>
      <c r="E2386" t="s">
        <v>13317</v>
      </c>
      <c r="F2386" t="str">
        <f>IFERROR(INDEX(customers[country], MATCH(orders[[#This Row],[customer_id]], customers[customer_id], 0)), "Unmapped")</f>
        <v>Lithuania</v>
      </c>
      <c r="G2386" t="str">
        <f>IFERROR(INDEX(Region_Map[Region], MATCH(orders[[#This Row],[Customer_Country]], Region_Map[Country], 0)), "Unknown")</f>
        <v>Baltics</v>
      </c>
      <c r="H2386" t="s">
        <v>6949</v>
      </c>
    </row>
    <row r="2387" spans="1:8">
      <c r="A2387" t="s">
        <v>3294</v>
      </c>
      <c r="B2387" t="s">
        <v>163</v>
      </c>
      <c r="C2387" s="1">
        <v>45240</v>
      </c>
      <c r="D2387" s="1" t="str">
        <f>PROPER(orders[[#This Row],[order_priority]])</f>
        <v>Economy</v>
      </c>
      <c r="E2387" t="s">
        <v>13316</v>
      </c>
      <c r="F2387" t="str">
        <f>IFERROR(INDEX(customers[country], MATCH(orders[[#This Row],[customer_id]], customers[customer_id], 0)), "Unmapped")</f>
        <v>Germany</v>
      </c>
      <c r="G2387" t="str">
        <f>IFERROR(INDEX(Region_Map[Region], MATCH(orders[[#This Row],[Customer_Country]], Region_Map[Country], 0)), "Unknown")</f>
        <v>Central Europe</v>
      </c>
      <c r="H2387" t="s">
        <v>6949</v>
      </c>
    </row>
    <row r="2388" spans="1:8">
      <c r="A2388" t="s">
        <v>3295</v>
      </c>
      <c r="B2388" t="s">
        <v>258</v>
      </c>
      <c r="C2388" s="1">
        <v>44948</v>
      </c>
      <c r="D2388" s="1" t="str">
        <f>PROPER(orders[[#This Row],[order_priority]])</f>
        <v>Express</v>
      </c>
      <c r="E2388" t="s">
        <v>13318</v>
      </c>
      <c r="F2388" t="str">
        <f>IFERROR(INDEX(customers[country], MATCH(orders[[#This Row],[customer_id]], customers[customer_id], 0)), "Unmapped")</f>
        <v>Latvia</v>
      </c>
      <c r="G2388" t="str">
        <f>IFERROR(INDEX(Region_Map[Region], MATCH(orders[[#This Row],[Customer_Country]], Region_Map[Country], 0)), "Unknown")</f>
        <v>Baltics</v>
      </c>
      <c r="H2388" t="s">
        <v>6949</v>
      </c>
    </row>
    <row r="2389" spans="1:8">
      <c r="A2389" t="s">
        <v>3296</v>
      </c>
      <c r="B2389" t="s">
        <v>781</v>
      </c>
      <c r="C2389" s="1">
        <v>45070</v>
      </c>
      <c r="D2389" s="1" t="str">
        <f>PROPER(orders[[#This Row],[order_priority]])</f>
        <v>Standard</v>
      </c>
      <c r="E2389" t="s">
        <v>13317</v>
      </c>
      <c r="F2389" t="str">
        <f>IFERROR(INDEX(customers[country], MATCH(orders[[#This Row],[customer_id]], customers[customer_id], 0)), "Unmapped")</f>
        <v>Germany</v>
      </c>
      <c r="G2389" t="str">
        <f>IFERROR(INDEX(Region_Map[Region], MATCH(orders[[#This Row],[Customer_Country]], Region_Map[Country], 0)), "Unknown")</f>
        <v>Central Europe</v>
      </c>
      <c r="H2389" t="s">
        <v>6949</v>
      </c>
    </row>
    <row r="2390" spans="1:8">
      <c r="A2390" t="s">
        <v>3297</v>
      </c>
      <c r="B2390" t="s">
        <v>267</v>
      </c>
      <c r="C2390" s="1">
        <v>45573</v>
      </c>
      <c r="D2390" s="1" t="str">
        <f>PROPER(orders[[#This Row],[order_priority]])</f>
        <v>Standard</v>
      </c>
      <c r="E2390" t="s">
        <v>13317</v>
      </c>
      <c r="F2390" t="str">
        <f>IFERROR(INDEX(customers[country], MATCH(orders[[#This Row],[customer_id]], customers[customer_id], 0)), "Unmapped")</f>
        <v>Norway</v>
      </c>
      <c r="G2390" t="str">
        <f>IFERROR(INDEX(Region_Map[Region], MATCH(orders[[#This Row],[Customer_Country]], Region_Map[Country], 0)), "Unknown")</f>
        <v>Nordics</v>
      </c>
      <c r="H2390" t="s">
        <v>6949</v>
      </c>
    </row>
    <row r="2391" spans="1:8">
      <c r="A2391" t="s">
        <v>3298</v>
      </c>
      <c r="B2391" t="s">
        <v>614</v>
      </c>
      <c r="C2391" s="1">
        <v>45270</v>
      </c>
      <c r="D2391" s="1" t="str">
        <f>PROPER(orders[[#This Row],[order_priority]])</f>
        <v>Economy</v>
      </c>
      <c r="E2391" t="s">
        <v>13316</v>
      </c>
      <c r="F2391" t="str">
        <f>IFERROR(INDEX(customers[country], MATCH(orders[[#This Row],[customer_id]], customers[customer_id], 0)), "Unmapped")</f>
        <v>Latvia</v>
      </c>
      <c r="G2391" t="str">
        <f>IFERROR(INDEX(Region_Map[Region], MATCH(orders[[#This Row],[Customer_Country]], Region_Map[Country], 0)), "Unknown")</f>
        <v>Baltics</v>
      </c>
      <c r="H2391" t="s">
        <v>6949</v>
      </c>
    </row>
    <row r="2392" spans="1:8">
      <c r="A2392" t="s">
        <v>3299</v>
      </c>
      <c r="B2392" t="s">
        <v>231</v>
      </c>
      <c r="C2392" s="1">
        <v>45541</v>
      </c>
      <c r="D2392" s="1" t="str">
        <f>PROPER(orders[[#This Row],[order_priority]])</f>
        <v>Standard</v>
      </c>
      <c r="E2392" t="s">
        <v>13317</v>
      </c>
      <c r="F2392" t="str">
        <f>IFERROR(INDEX(customers[country], MATCH(orders[[#This Row],[customer_id]], customers[customer_id], 0)), "Unmapped")</f>
        <v>Lithuania</v>
      </c>
      <c r="G2392" t="str">
        <f>IFERROR(INDEX(Region_Map[Region], MATCH(orders[[#This Row],[Customer_Country]], Region_Map[Country], 0)), "Unknown")</f>
        <v>Baltics</v>
      </c>
      <c r="H2392" t="s">
        <v>6949</v>
      </c>
    </row>
    <row r="2393" spans="1:8">
      <c r="A2393" t="s">
        <v>3300</v>
      </c>
      <c r="B2393" t="s">
        <v>38</v>
      </c>
      <c r="C2393" s="1">
        <v>45596</v>
      </c>
      <c r="D2393" s="1" t="str">
        <f>PROPER(orders[[#This Row],[order_priority]])</f>
        <v>Standard</v>
      </c>
      <c r="E2393" t="s">
        <v>13317</v>
      </c>
      <c r="F2393" t="str">
        <f>IFERROR(INDEX(customers[country], MATCH(orders[[#This Row],[customer_id]], customers[customer_id], 0)), "Unmapped")</f>
        <v>Lithuania</v>
      </c>
      <c r="G2393" t="str">
        <f>IFERROR(INDEX(Region_Map[Region], MATCH(orders[[#This Row],[Customer_Country]], Region_Map[Country], 0)), "Unknown")</f>
        <v>Baltics</v>
      </c>
      <c r="H2393" t="s">
        <v>6949</v>
      </c>
    </row>
    <row r="2394" spans="1:8">
      <c r="A2394" t="s">
        <v>3301</v>
      </c>
      <c r="B2394" t="s">
        <v>449</v>
      </c>
      <c r="C2394" s="1">
        <v>45468</v>
      </c>
      <c r="D2394" s="1" t="str">
        <f>PROPER(orders[[#This Row],[order_priority]])</f>
        <v>Express</v>
      </c>
      <c r="E2394" t="s">
        <v>13318</v>
      </c>
      <c r="F2394" t="str">
        <f>IFERROR(INDEX(customers[country], MATCH(orders[[#This Row],[customer_id]], customers[customer_id], 0)), "Unmapped")</f>
        <v>Norway</v>
      </c>
      <c r="G2394" t="str">
        <f>IFERROR(INDEX(Region_Map[Region], MATCH(orders[[#This Row],[Customer_Country]], Region_Map[Country], 0)), "Unknown")</f>
        <v>Nordics</v>
      </c>
      <c r="H2394" t="s">
        <v>6949</v>
      </c>
    </row>
    <row r="2395" spans="1:8">
      <c r="A2395" t="s">
        <v>3302</v>
      </c>
      <c r="B2395" t="s">
        <v>398</v>
      </c>
      <c r="C2395" s="1">
        <v>45560</v>
      </c>
      <c r="D2395" s="1" t="str">
        <f>PROPER(orders[[#This Row],[order_priority]])</f>
        <v>Same Day</v>
      </c>
      <c r="E2395" t="s">
        <v>13322</v>
      </c>
      <c r="F2395" t="str">
        <f>IFERROR(INDEX(customers[country], MATCH(orders[[#This Row],[customer_id]], customers[customer_id], 0)), "Unmapped")</f>
        <v>Sweden</v>
      </c>
      <c r="G2395" t="str">
        <f>IFERROR(INDEX(Region_Map[Region], MATCH(orders[[#This Row],[Customer_Country]], Region_Map[Country], 0)), "Unknown")</f>
        <v>Nordics</v>
      </c>
      <c r="H2395" t="s">
        <v>6949</v>
      </c>
    </row>
    <row r="2396" spans="1:8">
      <c r="A2396" t="s">
        <v>3303</v>
      </c>
      <c r="B2396" t="s">
        <v>413</v>
      </c>
      <c r="C2396" s="1">
        <v>45005</v>
      </c>
      <c r="D2396" s="1" t="str">
        <f>PROPER(orders[[#This Row],[order_priority]])</f>
        <v>Economy</v>
      </c>
      <c r="E2396" t="s">
        <v>13316</v>
      </c>
      <c r="F2396" t="str">
        <f>IFERROR(INDEX(customers[country], MATCH(orders[[#This Row],[customer_id]], customers[customer_id], 0)), "Unmapped")</f>
        <v>Poland</v>
      </c>
      <c r="G2396" t="str">
        <f>IFERROR(INDEX(Region_Map[Region], MATCH(orders[[#This Row],[Customer_Country]], Region_Map[Country], 0)), "Unknown")</f>
        <v>Central Europe</v>
      </c>
      <c r="H2396" t="s">
        <v>6949</v>
      </c>
    </row>
    <row r="2397" spans="1:8">
      <c r="A2397" t="s">
        <v>3304</v>
      </c>
      <c r="B2397" t="s">
        <v>184</v>
      </c>
      <c r="C2397" s="1">
        <v>45010</v>
      </c>
      <c r="D2397" s="1" t="str">
        <f>PROPER(orders[[#This Row],[order_priority]])</f>
        <v>Same Day</v>
      </c>
      <c r="E2397" t="s">
        <v>13322</v>
      </c>
      <c r="F2397" t="str">
        <f>IFERROR(INDEX(customers[country], MATCH(orders[[#This Row],[customer_id]], customers[customer_id], 0)), "Unmapped")</f>
        <v>Netherlands</v>
      </c>
      <c r="G2397" t="str">
        <f>IFERROR(INDEX(Region_Map[Region], MATCH(orders[[#This Row],[Customer_Country]], Region_Map[Country], 0)), "Unknown")</f>
        <v>Central Europe</v>
      </c>
      <c r="H2397" t="s">
        <v>6949</v>
      </c>
    </row>
    <row r="2398" spans="1:8">
      <c r="A2398" t="s">
        <v>3305</v>
      </c>
      <c r="B2398" t="s">
        <v>228</v>
      </c>
      <c r="C2398" s="1">
        <v>45308</v>
      </c>
      <c r="D2398" s="1" t="str">
        <f>PROPER(orders[[#This Row],[order_priority]])</f>
        <v>Economy</v>
      </c>
      <c r="E2398" t="s">
        <v>13316</v>
      </c>
      <c r="F2398" t="str">
        <f>IFERROR(INDEX(customers[country], MATCH(orders[[#This Row],[customer_id]], customers[customer_id], 0)), "Unmapped")</f>
        <v>Latvia</v>
      </c>
      <c r="G2398" t="str">
        <f>IFERROR(INDEX(Region_Map[Region], MATCH(orders[[#This Row],[Customer_Country]], Region_Map[Country], 0)), "Unknown")</f>
        <v>Baltics</v>
      </c>
      <c r="H2398" t="s">
        <v>6949</v>
      </c>
    </row>
    <row r="2399" spans="1:8">
      <c r="A2399" t="s">
        <v>3306</v>
      </c>
      <c r="B2399" t="s">
        <v>566</v>
      </c>
      <c r="C2399" s="1">
        <v>45379</v>
      </c>
      <c r="D2399" s="1" t="str">
        <f>PROPER(orders[[#This Row],[order_priority]])</f>
        <v>Standard</v>
      </c>
      <c r="E2399" t="s">
        <v>13317</v>
      </c>
      <c r="F2399" t="str">
        <f>IFERROR(INDEX(customers[country], MATCH(orders[[#This Row],[customer_id]], customers[customer_id], 0)), "Unmapped")</f>
        <v>Denmark</v>
      </c>
      <c r="G2399" t="str">
        <f>IFERROR(INDEX(Region_Map[Region], MATCH(orders[[#This Row],[Customer_Country]], Region_Map[Country], 0)), "Unknown")</f>
        <v>Nordics</v>
      </c>
      <c r="H2399" t="s">
        <v>6949</v>
      </c>
    </row>
    <row r="2400" spans="1:8">
      <c r="A2400" t="s">
        <v>3307</v>
      </c>
      <c r="B2400" t="s">
        <v>446</v>
      </c>
      <c r="C2400" s="1">
        <v>45250</v>
      </c>
      <c r="D2400" s="1" t="str">
        <f>PROPER(orders[[#This Row],[order_priority]])</f>
        <v>Same Day</v>
      </c>
      <c r="E2400" t="s">
        <v>13322</v>
      </c>
      <c r="F2400" t="str">
        <f>IFERROR(INDEX(customers[country], MATCH(orders[[#This Row],[customer_id]], customers[customer_id], 0)), "Unmapped")</f>
        <v>Sweden</v>
      </c>
      <c r="G2400" t="str">
        <f>IFERROR(INDEX(Region_Map[Region], MATCH(orders[[#This Row],[Customer_Country]], Region_Map[Country], 0)), "Unknown")</f>
        <v>Nordics</v>
      </c>
      <c r="H2400" t="s">
        <v>6949</v>
      </c>
    </row>
    <row r="2401" spans="1:8">
      <c r="A2401" t="s">
        <v>3308</v>
      </c>
      <c r="B2401" t="s">
        <v>27</v>
      </c>
      <c r="C2401" s="1">
        <v>45327</v>
      </c>
      <c r="D2401" s="1" t="str">
        <f>PROPER(orders[[#This Row],[order_priority]])</f>
        <v>Economy</v>
      </c>
      <c r="E2401" t="s">
        <v>13316</v>
      </c>
      <c r="F2401" t="str">
        <f>IFERROR(INDEX(customers[country], MATCH(orders[[#This Row],[customer_id]], customers[customer_id], 0)), "Unmapped")</f>
        <v>Latvia</v>
      </c>
      <c r="G2401" t="str">
        <f>IFERROR(INDEX(Region_Map[Region], MATCH(orders[[#This Row],[Customer_Country]], Region_Map[Country], 0)), "Unknown")</f>
        <v>Baltics</v>
      </c>
      <c r="H2401" t="s">
        <v>6949</v>
      </c>
    </row>
    <row r="2402" spans="1:8">
      <c r="A2402" t="s">
        <v>3309</v>
      </c>
      <c r="B2402" t="s">
        <v>805</v>
      </c>
      <c r="C2402" s="1">
        <v>45107</v>
      </c>
      <c r="D2402" s="1" t="str">
        <f>PROPER(orders[[#This Row],[order_priority]])</f>
        <v>Economy</v>
      </c>
      <c r="E2402" t="s">
        <v>13316</v>
      </c>
      <c r="F2402" t="str">
        <f>IFERROR(INDEX(customers[country], MATCH(orders[[#This Row],[customer_id]], customers[customer_id], 0)), "Unmapped")</f>
        <v>Estonia</v>
      </c>
      <c r="G2402" t="str">
        <f>IFERROR(INDEX(Region_Map[Region], MATCH(orders[[#This Row],[Customer_Country]], Region_Map[Country], 0)), "Unknown")</f>
        <v>Baltics</v>
      </c>
      <c r="H2402" t="s">
        <v>6949</v>
      </c>
    </row>
    <row r="2403" spans="1:8">
      <c r="A2403" t="s">
        <v>3310</v>
      </c>
      <c r="B2403" t="s">
        <v>291</v>
      </c>
      <c r="C2403" s="1">
        <v>45013</v>
      </c>
      <c r="D2403" s="1" t="str">
        <f>PROPER(orders[[#This Row],[order_priority]])</f>
        <v>Same Day</v>
      </c>
      <c r="E2403" t="s">
        <v>13322</v>
      </c>
      <c r="F2403" t="str">
        <f>IFERROR(INDEX(customers[country], MATCH(orders[[#This Row],[customer_id]], customers[customer_id], 0)), "Unmapped")</f>
        <v>Poland</v>
      </c>
      <c r="G2403" t="str">
        <f>IFERROR(INDEX(Region_Map[Region], MATCH(orders[[#This Row],[Customer_Country]], Region_Map[Country], 0)), "Unknown")</f>
        <v>Central Europe</v>
      </c>
      <c r="H2403" t="s">
        <v>6949</v>
      </c>
    </row>
    <row r="2404" spans="1:8">
      <c r="A2404" t="s">
        <v>3311</v>
      </c>
      <c r="B2404" t="s">
        <v>891</v>
      </c>
      <c r="C2404" s="1">
        <v>45612</v>
      </c>
      <c r="D2404" s="1" t="str">
        <f>PROPER(orders[[#This Row],[order_priority]])</f>
        <v>Same Day</v>
      </c>
      <c r="E2404" t="s">
        <v>13322</v>
      </c>
      <c r="F2404" t="str">
        <f>IFERROR(INDEX(customers[country], MATCH(orders[[#This Row],[customer_id]], customers[customer_id], 0)), "Unmapped")</f>
        <v>Netherlands</v>
      </c>
      <c r="G2404" t="str">
        <f>IFERROR(INDEX(Region_Map[Region], MATCH(orders[[#This Row],[Customer_Country]], Region_Map[Country], 0)), "Unknown")</f>
        <v>Central Europe</v>
      </c>
      <c r="H2404" t="s">
        <v>6949</v>
      </c>
    </row>
    <row r="2405" spans="1:8">
      <c r="A2405" t="s">
        <v>3312</v>
      </c>
      <c r="B2405" t="s">
        <v>784</v>
      </c>
      <c r="C2405" s="1">
        <v>45092</v>
      </c>
      <c r="D2405" s="1" t="str">
        <f>PROPER(orders[[#This Row],[order_priority]])</f>
        <v>Same Day</v>
      </c>
      <c r="E2405" t="s">
        <v>13322</v>
      </c>
      <c r="F2405" t="str">
        <f>IFERROR(INDEX(customers[country], MATCH(orders[[#This Row],[customer_id]], customers[customer_id], 0)), "Unmapped")</f>
        <v>Estonia</v>
      </c>
      <c r="G2405" t="str">
        <f>IFERROR(INDEX(Region_Map[Region], MATCH(orders[[#This Row],[Customer_Country]], Region_Map[Country], 0)), "Unknown")</f>
        <v>Baltics</v>
      </c>
      <c r="H2405" t="s">
        <v>6949</v>
      </c>
    </row>
    <row r="2406" spans="1:8">
      <c r="A2406" t="s">
        <v>3313</v>
      </c>
      <c r="B2406" t="s">
        <v>790</v>
      </c>
      <c r="C2406" s="1">
        <v>45029</v>
      </c>
      <c r="D2406" s="1" t="str">
        <f>PROPER(orders[[#This Row],[order_priority]])</f>
        <v>Standard</v>
      </c>
      <c r="E2406" t="s">
        <v>13317</v>
      </c>
      <c r="F2406" t="str">
        <f>IFERROR(INDEX(customers[country], MATCH(orders[[#This Row],[customer_id]], customers[customer_id], 0)), "Unmapped")</f>
        <v>Germany</v>
      </c>
      <c r="G2406" t="str">
        <f>IFERROR(INDEX(Region_Map[Region], MATCH(orders[[#This Row],[Customer_Country]], Region_Map[Country], 0)), "Unknown")</f>
        <v>Central Europe</v>
      </c>
      <c r="H2406" t="s">
        <v>6949</v>
      </c>
    </row>
    <row r="2407" spans="1:8">
      <c r="A2407" t="s">
        <v>3314</v>
      </c>
      <c r="B2407" t="s">
        <v>48</v>
      </c>
      <c r="C2407" s="1">
        <v>45242</v>
      </c>
      <c r="D2407" s="1" t="str">
        <f>PROPER(orders[[#This Row],[order_priority]])</f>
        <v>Same Day</v>
      </c>
      <c r="E2407" t="s">
        <v>13322</v>
      </c>
      <c r="F2407" t="str">
        <f>IFERROR(INDEX(customers[country], MATCH(orders[[#This Row],[customer_id]], customers[customer_id], 0)), "Unmapped")</f>
        <v>Poland</v>
      </c>
      <c r="G2407" t="str">
        <f>IFERROR(INDEX(Region_Map[Region], MATCH(orders[[#This Row],[Customer_Country]], Region_Map[Country], 0)), "Unknown")</f>
        <v>Central Europe</v>
      </c>
      <c r="H2407" t="s">
        <v>6949</v>
      </c>
    </row>
    <row r="2408" spans="1:8">
      <c r="A2408" t="s">
        <v>3315</v>
      </c>
      <c r="B2408" t="s">
        <v>596</v>
      </c>
      <c r="C2408" s="1">
        <v>45266</v>
      </c>
      <c r="D2408" s="1" t="str">
        <f>PROPER(orders[[#This Row],[order_priority]])</f>
        <v>Express</v>
      </c>
      <c r="E2408" t="s">
        <v>13318</v>
      </c>
      <c r="F2408" t="str">
        <f>IFERROR(INDEX(customers[country], MATCH(orders[[#This Row],[customer_id]], customers[customer_id], 0)), "Unmapped")</f>
        <v>Lithuania</v>
      </c>
      <c r="G2408" t="str">
        <f>IFERROR(INDEX(Region_Map[Region], MATCH(orders[[#This Row],[Customer_Country]], Region_Map[Country], 0)), "Unknown")</f>
        <v>Baltics</v>
      </c>
      <c r="H2408" t="s">
        <v>6949</v>
      </c>
    </row>
    <row r="2409" spans="1:8">
      <c r="A2409" t="s">
        <v>3316</v>
      </c>
      <c r="B2409" t="s">
        <v>249</v>
      </c>
      <c r="C2409" s="1">
        <v>45168</v>
      </c>
      <c r="D2409" s="1" t="str">
        <f>PROPER(orders[[#This Row],[order_priority]])</f>
        <v>Standard</v>
      </c>
      <c r="E2409" t="s">
        <v>13317</v>
      </c>
      <c r="F2409" t="str">
        <f>IFERROR(INDEX(customers[country], MATCH(orders[[#This Row],[customer_id]], customers[customer_id], 0)), "Unmapped")</f>
        <v>Estonia</v>
      </c>
      <c r="G2409" t="str">
        <f>IFERROR(INDEX(Region_Map[Region], MATCH(orders[[#This Row],[Customer_Country]], Region_Map[Country], 0)), "Unknown")</f>
        <v>Baltics</v>
      </c>
      <c r="H2409" t="s">
        <v>6949</v>
      </c>
    </row>
    <row r="2410" spans="1:8">
      <c r="A2410" t="s">
        <v>3317</v>
      </c>
      <c r="B2410" t="s">
        <v>647</v>
      </c>
      <c r="C2410" s="1">
        <v>45152</v>
      </c>
      <c r="D2410" s="1" t="str">
        <f>PROPER(orders[[#This Row],[order_priority]])</f>
        <v>Same Day</v>
      </c>
      <c r="E2410" t="s">
        <v>13322</v>
      </c>
      <c r="F2410" t="str">
        <f>IFERROR(INDEX(customers[country], MATCH(orders[[#This Row],[customer_id]], customers[customer_id], 0)), "Unmapped")</f>
        <v>Netherlands</v>
      </c>
      <c r="G2410" t="str">
        <f>IFERROR(INDEX(Region_Map[Region], MATCH(orders[[#This Row],[Customer_Country]], Region_Map[Country], 0)), "Unknown")</f>
        <v>Central Europe</v>
      </c>
      <c r="H2410" t="s">
        <v>6949</v>
      </c>
    </row>
    <row r="2411" spans="1:8">
      <c r="A2411" t="s">
        <v>3318</v>
      </c>
      <c r="B2411" t="s">
        <v>470</v>
      </c>
      <c r="C2411" s="1">
        <v>45381</v>
      </c>
      <c r="D2411" s="1" t="str">
        <f>PROPER(orders[[#This Row],[order_priority]])</f>
        <v>Economy</v>
      </c>
      <c r="E2411" t="s">
        <v>13316</v>
      </c>
      <c r="F2411" t="str">
        <f>IFERROR(INDEX(customers[country], MATCH(orders[[#This Row],[customer_id]], customers[customer_id], 0)), "Unmapped")</f>
        <v>Norway</v>
      </c>
      <c r="G2411" t="str">
        <f>IFERROR(INDEX(Region_Map[Region], MATCH(orders[[#This Row],[Customer_Country]], Region_Map[Country], 0)), "Unknown")</f>
        <v>Nordics</v>
      </c>
      <c r="H2411" t="s">
        <v>6949</v>
      </c>
    </row>
    <row r="2412" spans="1:8">
      <c r="A2412" t="s">
        <v>3319</v>
      </c>
      <c r="B2412" t="s">
        <v>255</v>
      </c>
      <c r="C2412" s="1">
        <v>45487</v>
      </c>
      <c r="D2412" s="1" t="str">
        <f>PROPER(orders[[#This Row],[order_priority]])</f>
        <v>Same Day</v>
      </c>
      <c r="E2412" t="s">
        <v>13322</v>
      </c>
      <c r="F2412" t="str">
        <f>IFERROR(INDEX(customers[country], MATCH(orders[[#This Row],[customer_id]], customers[customer_id], 0)), "Unmapped")</f>
        <v>Sweden</v>
      </c>
      <c r="G2412" t="str">
        <f>IFERROR(INDEX(Region_Map[Region], MATCH(orders[[#This Row],[Customer_Country]], Region_Map[Country], 0)), "Unknown")</f>
        <v>Nordics</v>
      </c>
      <c r="H2412" t="s">
        <v>6949</v>
      </c>
    </row>
    <row r="2413" spans="1:8">
      <c r="A2413" t="s">
        <v>3320</v>
      </c>
      <c r="B2413" t="s">
        <v>237</v>
      </c>
      <c r="C2413" s="1">
        <v>45064</v>
      </c>
      <c r="D2413" s="1" t="str">
        <f>PROPER(orders[[#This Row],[order_priority]])</f>
        <v>Same Day</v>
      </c>
      <c r="E2413" t="s">
        <v>13322</v>
      </c>
      <c r="F2413" t="str">
        <f>IFERROR(INDEX(customers[country], MATCH(orders[[#This Row],[customer_id]], customers[customer_id], 0)), "Unmapped")</f>
        <v>Sweden</v>
      </c>
      <c r="G2413" t="str">
        <f>IFERROR(INDEX(Region_Map[Region], MATCH(orders[[#This Row],[Customer_Country]], Region_Map[Country], 0)), "Unknown")</f>
        <v>Nordics</v>
      </c>
      <c r="H2413" t="s">
        <v>6949</v>
      </c>
    </row>
    <row r="2414" spans="1:8">
      <c r="A2414" t="s">
        <v>3321</v>
      </c>
      <c r="B2414" t="s">
        <v>749</v>
      </c>
      <c r="C2414" s="1">
        <v>45435</v>
      </c>
      <c r="D2414" s="1" t="str">
        <f>PROPER(orders[[#This Row],[order_priority]])</f>
        <v>Express</v>
      </c>
      <c r="E2414" t="s">
        <v>13318</v>
      </c>
      <c r="F2414" t="str">
        <f>IFERROR(INDEX(customers[country], MATCH(orders[[#This Row],[customer_id]], customers[customer_id], 0)), "Unmapped")</f>
        <v>Latvia</v>
      </c>
      <c r="G2414" t="str">
        <f>IFERROR(INDEX(Region_Map[Region], MATCH(orders[[#This Row],[Customer_Country]], Region_Map[Country], 0)), "Unknown")</f>
        <v>Baltics</v>
      </c>
      <c r="H2414" t="s">
        <v>6949</v>
      </c>
    </row>
    <row r="2415" spans="1:8">
      <c r="A2415" t="s">
        <v>3322</v>
      </c>
      <c r="B2415" t="s">
        <v>703</v>
      </c>
      <c r="C2415" s="1">
        <v>45125</v>
      </c>
      <c r="D2415" s="1" t="str">
        <f>PROPER(orders[[#This Row],[order_priority]])</f>
        <v>Economy</v>
      </c>
      <c r="E2415" t="s">
        <v>13316</v>
      </c>
      <c r="F2415" t="str">
        <f>IFERROR(INDEX(customers[country], MATCH(orders[[#This Row],[customer_id]], customers[customer_id], 0)), "Unmapped")</f>
        <v>Estonia</v>
      </c>
      <c r="G2415" t="str">
        <f>IFERROR(INDEX(Region_Map[Region], MATCH(orders[[#This Row],[Customer_Country]], Region_Map[Country], 0)), "Unknown")</f>
        <v>Baltics</v>
      </c>
      <c r="H2415" t="s">
        <v>6949</v>
      </c>
    </row>
    <row r="2416" spans="1:8">
      <c r="A2416" t="s">
        <v>3323</v>
      </c>
      <c r="B2416" t="s">
        <v>503</v>
      </c>
      <c r="C2416" s="1">
        <v>44995</v>
      </c>
      <c r="D2416" s="1" t="str">
        <f>PROPER(orders[[#This Row],[order_priority]])</f>
        <v>Express</v>
      </c>
      <c r="E2416" t="s">
        <v>13318</v>
      </c>
      <c r="F2416" t="str">
        <f>IFERROR(INDEX(customers[country], MATCH(orders[[#This Row],[customer_id]], customers[customer_id], 0)), "Unmapped")</f>
        <v>Denmark</v>
      </c>
      <c r="G2416" t="str">
        <f>IFERROR(INDEX(Region_Map[Region], MATCH(orders[[#This Row],[Customer_Country]], Region_Map[Country], 0)), "Unknown")</f>
        <v>Nordics</v>
      </c>
      <c r="H2416" t="s">
        <v>6949</v>
      </c>
    </row>
    <row r="2417" spans="1:8">
      <c r="A2417" t="s">
        <v>3324</v>
      </c>
      <c r="B2417" t="s">
        <v>793</v>
      </c>
      <c r="C2417" s="1">
        <v>45174</v>
      </c>
      <c r="D2417" s="1" t="str">
        <f>PROPER(orders[[#This Row],[order_priority]])</f>
        <v>Economy</v>
      </c>
      <c r="E2417" t="s">
        <v>13316</v>
      </c>
      <c r="F2417" t="str">
        <f>IFERROR(INDEX(customers[country], MATCH(orders[[#This Row],[customer_id]], customers[customer_id], 0)), "Unmapped")</f>
        <v>Sweden</v>
      </c>
      <c r="G2417" t="str">
        <f>IFERROR(INDEX(Region_Map[Region], MATCH(orders[[#This Row],[Customer_Country]], Region_Map[Country], 0)), "Unknown")</f>
        <v>Nordics</v>
      </c>
      <c r="H2417" t="s">
        <v>6949</v>
      </c>
    </row>
    <row r="2418" spans="1:8">
      <c r="A2418" t="s">
        <v>3325</v>
      </c>
      <c r="B2418" t="s">
        <v>470</v>
      </c>
      <c r="C2418" s="1">
        <v>45289</v>
      </c>
      <c r="D2418" s="1" t="str">
        <f>PROPER(orders[[#This Row],[order_priority]])</f>
        <v>Standard</v>
      </c>
      <c r="E2418" t="s">
        <v>13319</v>
      </c>
      <c r="F2418" t="str">
        <f>IFERROR(INDEX(customers[country], MATCH(orders[[#This Row],[customer_id]], customers[customer_id], 0)), "Unmapped")</f>
        <v>Norway</v>
      </c>
      <c r="G2418" t="str">
        <f>IFERROR(INDEX(Region_Map[Region], MATCH(orders[[#This Row],[Customer_Country]], Region_Map[Country], 0)), "Unknown")</f>
        <v>Nordics</v>
      </c>
      <c r="H2418" t="s">
        <v>6949</v>
      </c>
    </row>
    <row r="2419" spans="1:8">
      <c r="A2419" t="s">
        <v>3326</v>
      </c>
      <c r="B2419" t="s">
        <v>169</v>
      </c>
      <c r="C2419" s="1">
        <v>45039</v>
      </c>
      <c r="D2419" s="1" t="str">
        <f>PROPER(orders[[#This Row],[order_priority]])</f>
        <v>Standard</v>
      </c>
      <c r="E2419" t="s">
        <v>13317</v>
      </c>
      <c r="F2419" t="str">
        <f>IFERROR(INDEX(customers[country], MATCH(orders[[#This Row],[customer_id]], customers[customer_id], 0)), "Unmapped")</f>
        <v>Norway</v>
      </c>
      <c r="G2419" t="str">
        <f>IFERROR(INDEX(Region_Map[Region], MATCH(orders[[#This Row],[Customer_Country]], Region_Map[Country], 0)), "Unknown")</f>
        <v>Nordics</v>
      </c>
      <c r="H2419" t="s">
        <v>6949</v>
      </c>
    </row>
    <row r="2420" spans="1:8">
      <c r="A2420" t="s">
        <v>3327</v>
      </c>
      <c r="B2420" t="s">
        <v>846</v>
      </c>
      <c r="C2420" s="1">
        <v>44929</v>
      </c>
      <c r="D2420" s="1" t="str">
        <f>PROPER(orders[[#This Row],[order_priority]])</f>
        <v>Same Day</v>
      </c>
      <c r="E2420" t="s">
        <v>13322</v>
      </c>
      <c r="F2420" t="str">
        <f>IFERROR(INDEX(customers[country], MATCH(orders[[#This Row],[customer_id]], customers[customer_id], 0)), "Unmapped")</f>
        <v>Netherlands</v>
      </c>
      <c r="G2420" t="str">
        <f>IFERROR(INDEX(Region_Map[Region], MATCH(orders[[#This Row],[Customer_Country]], Region_Map[Country], 0)), "Unknown")</f>
        <v>Central Europe</v>
      </c>
      <c r="H2420" t="s">
        <v>6949</v>
      </c>
    </row>
    <row r="2421" spans="1:8">
      <c r="A2421" t="s">
        <v>3328</v>
      </c>
      <c r="B2421" t="s">
        <v>775</v>
      </c>
      <c r="C2421" s="1">
        <v>45536</v>
      </c>
      <c r="D2421" s="1" t="str">
        <f>PROPER(orders[[#This Row],[order_priority]])</f>
        <v>Economy</v>
      </c>
      <c r="E2421" t="s">
        <v>13316</v>
      </c>
      <c r="F2421" t="str">
        <f>IFERROR(INDEX(customers[country], MATCH(orders[[#This Row],[customer_id]], customers[customer_id], 0)), "Unmapped")</f>
        <v>Sweden</v>
      </c>
      <c r="G2421" t="str">
        <f>IFERROR(INDEX(Region_Map[Region], MATCH(orders[[#This Row],[Customer_Country]], Region_Map[Country], 0)), "Unknown")</f>
        <v>Nordics</v>
      </c>
      <c r="H2421" t="s">
        <v>6949</v>
      </c>
    </row>
    <row r="2422" spans="1:8">
      <c r="A2422" t="s">
        <v>3329</v>
      </c>
      <c r="B2422" t="s">
        <v>608</v>
      </c>
      <c r="C2422" s="1">
        <v>44987</v>
      </c>
      <c r="D2422" s="1" t="str">
        <f>PROPER(orders[[#This Row],[order_priority]])</f>
        <v>Same Day</v>
      </c>
      <c r="E2422" t="s">
        <v>13322</v>
      </c>
      <c r="F2422" t="str">
        <f>IFERROR(INDEX(customers[country], MATCH(orders[[#This Row],[customer_id]], customers[customer_id], 0)), "Unmapped")</f>
        <v>Finland</v>
      </c>
      <c r="G2422" t="str">
        <f>IFERROR(INDEX(Region_Map[Region], MATCH(orders[[#This Row],[Customer_Country]], Region_Map[Country], 0)), "Unknown")</f>
        <v>Nordics</v>
      </c>
      <c r="H2422" t="s">
        <v>6949</v>
      </c>
    </row>
    <row r="2423" spans="1:8">
      <c r="A2423" t="s">
        <v>3330</v>
      </c>
      <c r="B2423" t="s">
        <v>685</v>
      </c>
      <c r="C2423" s="1">
        <v>45365</v>
      </c>
      <c r="D2423" s="1" t="str">
        <f>PROPER(orders[[#This Row],[order_priority]])</f>
        <v>Same Day</v>
      </c>
      <c r="E2423" t="s">
        <v>13322</v>
      </c>
      <c r="F2423" t="str">
        <f>IFERROR(INDEX(customers[country], MATCH(orders[[#This Row],[customer_id]], customers[customer_id], 0)), "Unmapped")</f>
        <v>Latvia</v>
      </c>
      <c r="G2423" t="str">
        <f>IFERROR(INDEX(Region_Map[Region], MATCH(orders[[#This Row],[Customer_Country]], Region_Map[Country], 0)), "Unknown")</f>
        <v>Baltics</v>
      </c>
      <c r="H2423" t="s">
        <v>6949</v>
      </c>
    </row>
    <row r="2424" spans="1:8">
      <c r="A2424" t="s">
        <v>3331</v>
      </c>
      <c r="B2424" t="s">
        <v>858</v>
      </c>
      <c r="C2424" s="1">
        <v>44944</v>
      </c>
      <c r="D2424" s="1" t="str">
        <f>PROPER(orders[[#This Row],[order_priority]])</f>
        <v>Same Day</v>
      </c>
      <c r="E2424" t="s">
        <v>13322</v>
      </c>
      <c r="F2424" t="str">
        <f>IFERROR(INDEX(customers[country], MATCH(orders[[#This Row],[customer_id]], customers[customer_id], 0)), "Unmapped")</f>
        <v>Lithuania</v>
      </c>
      <c r="G2424" t="str">
        <f>IFERROR(INDEX(Region_Map[Region], MATCH(orders[[#This Row],[Customer_Country]], Region_Map[Country], 0)), "Unknown")</f>
        <v>Baltics</v>
      </c>
      <c r="H2424" t="s">
        <v>6949</v>
      </c>
    </row>
    <row r="2425" spans="1:8">
      <c r="A2425" t="s">
        <v>3332</v>
      </c>
      <c r="B2425" t="s">
        <v>721</v>
      </c>
      <c r="C2425" s="1">
        <v>44958</v>
      </c>
      <c r="D2425" s="1" t="str">
        <f>PROPER(orders[[#This Row],[order_priority]])</f>
        <v>Same Day</v>
      </c>
      <c r="E2425" t="s">
        <v>13322</v>
      </c>
      <c r="F2425" t="str">
        <f>IFERROR(INDEX(customers[country], MATCH(orders[[#This Row],[customer_id]], customers[customer_id], 0)), "Unmapped")</f>
        <v>Netherlands</v>
      </c>
      <c r="G2425" t="str">
        <f>IFERROR(INDEX(Region_Map[Region], MATCH(orders[[#This Row],[Customer_Country]], Region_Map[Country], 0)), "Unknown")</f>
        <v>Central Europe</v>
      </c>
      <c r="H2425" t="s">
        <v>6949</v>
      </c>
    </row>
    <row r="2426" spans="1:8">
      <c r="A2426" t="s">
        <v>3333</v>
      </c>
      <c r="B2426" t="s">
        <v>784</v>
      </c>
      <c r="C2426" s="1">
        <v>44996</v>
      </c>
      <c r="D2426" s="1" t="str">
        <f>PROPER(orders[[#This Row],[order_priority]])</f>
        <v>Standard</v>
      </c>
      <c r="E2426" t="s">
        <v>13317</v>
      </c>
      <c r="F2426" t="str">
        <f>IFERROR(INDEX(customers[country], MATCH(orders[[#This Row],[customer_id]], customers[customer_id], 0)), "Unmapped")</f>
        <v>Estonia</v>
      </c>
      <c r="G2426" t="str">
        <f>IFERROR(INDEX(Region_Map[Region], MATCH(orders[[#This Row],[Customer_Country]], Region_Map[Country], 0)), "Unknown")</f>
        <v>Baltics</v>
      </c>
      <c r="H2426" t="s">
        <v>6949</v>
      </c>
    </row>
    <row r="2427" spans="1:8">
      <c r="A2427" t="s">
        <v>3334</v>
      </c>
      <c r="B2427" t="s">
        <v>670</v>
      </c>
      <c r="C2427" s="1">
        <v>45135</v>
      </c>
      <c r="D2427" s="1" t="str">
        <f>PROPER(orders[[#This Row],[order_priority]])</f>
        <v>Same Day</v>
      </c>
      <c r="E2427" t="s">
        <v>13322</v>
      </c>
      <c r="F2427" t="str">
        <f>IFERROR(INDEX(customers[country], MATCH(orders[[#This Row],[customer_id]], customers[customer_id], 0)), "Unmapped")</f>
        <v>Netherlands</v>
      </c>
      <c r="G2427" t="str">
        <f>IFERROR(INDEX(Region_Map[Region], MATCH(orders[[#This Row],[Customer_Country]], Region_Map[Country], 0)), "Unknown")</f>
        <v>Central Europe</v>
      </c>
      <c r="H2427" t="s">
        <v>6949</v>
      </c>
    </row>
    <row r="2428" spans="1:8">
      <c r="A2428" t="s">
        <v>3335</v>
      </c>
      <c r="B2428" t="s">
        <v>743</v>
      </c>
      <c r="C2428" s="1">
        <v>45463</v>
      </c>
      <c r="D2428" s="1" t="str">
        <f>PROPER(orders[[#This Row],[order_priority]])</f>
        <v>Same Day</v>
      </c>
      <c r="E2428" t="s">
        <v>13324</v>
      </c>
      <c r="F2428" t="str">
        <f>IFERROR(INDEX(customers[country], MATCH(orders[[#This Row],[customer_id]], customers[customer_id], 0)), "Unmapped")</f>
        <v>Germany</v>
      </c>
      <c r="G2428" t="str">
        <f>IFERROR(INDEX(Region_Map[Region], MATCH(orders[[#This Row],[Customer_Country]], Region_Map[Country], 0)), "Unknown")</f>
        <v>Central Europe</v>
      </c>
      <c r="H2428" t="s">
        <v>6949</v>
      </c>
    </row>
    <row r="2429" spans="1:8">
      <c r="A2429" t="s">
        <v>3336</v>
      </c>
      <c r="B2429" t="s">
        <v>741</v>
      </c>
      <c r="C2429" s="1">
        <v>45110</v>
      </c>
      <c r="D2429" s="1" t="str">
        <f>PROPER(orders[[#This Row],[order_priority]])</f>
        <v>Economy</v>
      </c>
      <c r="E2429" t="s">
        <v>13316</v>
      </c>
      <c r="F2429" t="str">
        <f>IFERROR(INDEX(customers[country], MATCH(orders[[#This Row],[customer_id]], customers[customer_id], 0)), "Unmapped")</f>
        <v>Germany</v>
      </c>
      <c r="G2429" t="str">
        <f>IFERROR(INDEX(Region_Map[Region], MATCH(orders[[#This Row],[Customer_Country]], Region_Map[Country], 0)), "Unknown")</f>
        <v>Central Europe</v>
      </c>
      <c r="H2429" t="s">
        <v>6949</v>
      </c>
    </row>
    <row r="2430" spans="1:8">
      <c r="A2430" t="s">
        <v>3337</v>
      </c>
      <c r="B2430" t="s">
        <v>746</v>
      </c>
      <c r="C2430" s="1">
        <v>45460</v>
      </c>
      <c r="D2430" s="1" t="str">
        <f>PROPER(orders[[#This Row],[order_priority]])</f>
        <v>Economy</v>
      </c>
      <c r="E2430" t="s">
        <v>13316</v>
      </c>
      <c r="F2430" t="str">
        <f>IFERROR(INDEX(customers[country], MATCH(orders[[#This Row],[customer_id]], customers[customer_id], 0)), "Unmapped")</f>
        <v>Poland</v>
      </c>
      <c r="G2430" t="str">
        <f>IFERROR(INDEX(Region_Map[Region], MATCH(orders[[#This Row],[Customer_Country]], Region_Map[Country], 0)), "Unknown")</f>
        <v>Central Europe</v>
      </c>
      <c r="H2430" t="s">
        <v>6949</v>
      </c>
    </row>
    <row r="2431" spans="1:8">
      <c r="A2431" t="s">
        <v>3338</v>
      </c>
      <c r="B2431" t="s">
        <v>772</v>
      </c>
      <c r="C2431" s="1">
        <v>45159</v>
      </c>
      <c r="D2431" s="1" t="str">
        <f>PROPER(orders[[#This Row],[order_priority]])</f>
        <v>Same Day</v>
      </c>
      <c r="E2431" t="s">
        <v>13322</v>
      </c>
      <c r="F2431" t="str">
        <f>IFERROR(INDEX(customers[country], MATCH(orders[[#This Row],[customer_id]], customers[customer_id], 0)), "Unmapped")</f>
        <v>Estonia</v>
      </c>
      <c r="G2431" t="str">
        <f>IFERROR(INDEX(Region_Map[Region], MATCH(orders[[#This Row],[Customer_Country]], Region_Map[Country], 0)), "Unknown")</f>
        <v>Baltics</v>
      </c>
      <c r="H2431" t="s">
        <v>6949</v>
      </c>
    </row>
    <row r="2432" spans="1:8">
      <c r="A2432" t="s">
        <v>3339</v>
      </c>
      <c r="B2432" t="s">
        <v>446</v>
      </c>
      <c r="C2432" s="1">
        <v>44972</v>
      </c>
      <c r="D2432" s="1" t="str">
        <f>PROPER(orders[[#This Row],[order_priority]])</f>
        <v>Economy</v>
      </c>
      <c r="E2432" t="s">
        <v>13316</v>
      </c>
      <c r="F2432" t="str">
        <f>IFERROR(INDEX(customers[country], MATCH(orders[[#This Row],[customer_id]], customers[customer_id], 0)), "Unmapped")</f>
        <v>Sweden</v>
      </c>
      <c r="G2432" t="str">
        <f>IFERROR(INDEX(Region_Map[Region], MATCH(orders[[#This Row],[Customer_Country]], Region_Map[Country], 0)), "Unknown")</f>
        <v>Nordics</v>
      </c>
      <c r="H2432" t="s">
        <v>6949</v>
      </c>
    </row>
    <row r="2433" spans="1:8">
      <c r="A2433" t="s">
        <v>3340</v>
      </c>
      <c r="B2433" t="s">
        <v>843</v>
      </c>
      <c r="C2433" s="1">
        <v>45419</v>
      </c>
      <c r="D2433" s="1" t="str">
        <f>PROPER(orders[[#This Row],[order_priority]])</f>
        <v>Standard</v>
      </c>
      <c r="E2433" t="s">
        <v>13317</v>
      </c>
      <c r="F2433" t="str">
        <f>IFERROR(INDEX(customers[country], MATCH(orders[[#This Row],[customer_id]], customers[customer_id], 0)), "Unmapped")</f>
        <v>Netherlands</v>
      </c>
      <c r="G2433" t="str">
        <f>IFERROR(INDEX(Region_Map[Region], MATCH(orders[[#This Row],[Customer_Country]], Region_Map[Country], 0)), "Unknown")</f>
        <v>Central Europe</v>
      </c>
      <c r="H2433" t="s">
        <v>6949</v>
      </c>
    </row>
    <row r="2434" spans="1:8">
      <c r="A2434" t="s">
        <v>3341</v>
      </c>
      <c r="B2434" t="s">
        <v>160</v>
      </c>
      <c r="C2434" s="1">
        <v>45462</v>
      </c>
      <c r="D2434" s="1" t="str">
        <f>PROPER(orders[[#This Row],[order_priority]])</f>
        <v>Economy</v>
      </c>
      <c r="E2434" t="s">
        <v>13316</v>
      </c>
      <c r="F2434" t="str">
        <f>IFERROR(INDEX(customers[country], MATCH(orders[[#This Row],[customer_id]], customers[customer_id], 0)), "Unmapped")</f>
        <v>Denmark</v>
      </c>
      <c r="G2434" t="str">
        <f>IFERROR(INDEX(Region_Map[Region], MATCH(orders[[#This Row],[Customer_Country]], Region_Map[Country], 0)), "Unknown")</f>
        <v>Nordics</v>
      </c>
      <c r="H2434" t="s">
        <v>6949</v>
      </c>
    </row>
    <row r="2435" spans="1:8">
      <c r="A2435" t="s">
        <v>3342</v>
      </c>
      <c r="B2435" t="s">
        <v>533</v>
      </c>
      <c r="C2435" s="1">
        <v>45319</v>
      </c>
      <c r="D2435" s="1" t="str">
        <f>PROPER(orders[[#This Row],[order_priority]])</f>
        <v>Same Day</v>
      </c>
      <c r="E2435" t="s">
        <v>13322</v>
      </c>
      <c r="F2435" t="str">
        <f>IFERROR(INDEX(customers[country], MATCH(orders[[#This Row],[customer_id]], customers[customer_id], 0)), "Unmapped")</f>
        <v>Germany</v>
      </c>
      <c r="G2435" t="str">
        <f>IFERROR(INDEX(Region_Map[Region], MATCH(orders[[#This Row],[Customer_Country]], Region_Map[Country], 0)), "Unknown")</f>
        <v>Central Europe</v>
      </c>
      <c r="H2435" t="s">
        <v>6949</v>
      </c>
    </row>
    <row r="2436" spans="1:8">
      <c r="A2436" t="s">
        <v>3343</v>
      </c>
      <c r="B2436" t="s">
        <v>852</v>
      </c>
      <c r="C2436" s="1">
        <v>44962</v>
      </c>
      <c r="D2436" s="1" t="str">
        <f>PROPER(orders[[#This Row],[order_priority]])</f>
        <v>Standard</v>
      </c>
      <c r="E2436" t="s">
        <v>13317</v>
      </c>
      <c r="F2436" t="str">
        <f>IFERROR(INDEX(customers[country], MATCH(orders[[#This Row],[customer_id]], customers[customer_id], 0)), "Unmapped")</f>
        <v>Sweden</v>
      </c>
      <c r="G2436" t="str">
        <f>IFERROR(INDEX(Region_Map[Region], MATCH(orders[[#This Row],[Customer_Country]], Region_Map[Country], 0)), "Unknown")</f>
        <v>Nordics</v>
      </c>
      <c r="H2436" t="s">
        <v>6949</v>
      </c>
    </row>
    <row r="2437" spans="1:8">
      <c r="A2437" t="s">
        <v>3344</v>
      </c>
      <c r="B2437" t="s">
        <v>542</v>
      </c>
      <c r="C2437" s="1">
        <v>45156</v>
      </c>
      <c r="D2437" s="1" t="str">
        <f>PROPER(orders[[#This Row],[order_priority]])</f>
        <v>Economy</v>
      </c>
      <c r="E2437" t="s">
        <v>13316</v>
      </c>
      <c r="F2437" t="str">
        <f>IFERROR(INDEX(customers[country], MATCH(orders[[#This Row],[customer_id]], customers[customer_id], 0)), "Unmapped")</f>
        <v>Poland</v>
      </c>
      <c r="G2437" t="str">
        <f>IFERROR(INDEX(Region_Map[Region], MATCH(orders[[#This Row],[Customer_Country]], Region_Map[Country], 0)), "Unknown")</f>
        <v>Central Europe</v>
      </c>
      <c r="H2437" t="s">
        <v>6949</v>
      </c>
    </row>
    <row r="2438" spans="1:8">
      <c r="A2438" t="s">
        <v>3345</v>
      </c>
      <c r="B2438" t="s">
        <v>724</v>
      </c>
      <c r="C2438" s="1">
        <v>45563</v>
      </c>
      <c r="D2438" s="1" t="str">
        <f>PROPER(orders[[#This Row],[order_priority]])</f>
        <v>Economy</v>
      </c>
      <c r="E2438" t="s">
        <v>13316</v>
      </c>
      <c r="F2438" t="str">
        <f>IFERROR(INDEX(customers[country], MATCH(orders[[#This Row],[customer_id]], customers[customer_id], 0)), "Unmapped")</f>
        <v>Denmark</v>
      </c>
      <c r="G2438" t="str">
        <f>IFERROR(INDEX(Region_Map[Region], MATCH(orders[[#This Row],[Customer_Country]], Region_Map[Country], 0)), "Unknown")</f>
        <v>Nordics</v>
      </c>
      <c r="H2438" t="s">
        <v>6949</v>
      </c>
    </row>
    <row r="2439" spans="1:8">
      <c r="A2439" t="s">
        <v>3346</v>
      </c>
      <c r="B2439" t="s">
        <v>749</v>
      </c>
      <c r="C2439" s="1">
        <v>45003</v>
      </c>
      <c r="D2439" s="1" t="str">
        <f>PROPER(orders[[#This Row],[order_priority]])</f>
        <v>Same Day</v>
      </c>
      <c r="E2439" t="s">
        <v>13322</v>
      </c>
      <c r="F2439" t="str">
        <f>IFERROR(INDEX(customers[country], MATCH(orders[[#This Row],[customer_id]], customers[customer_id], 0)), "Unmapped")</f>
        <v>Latvia</v>
      </c>
      <c r="G2439" t="str">
        <f>IFERROR(INDEX(Region_Map[Region], MATCH(orders[[#This Row],[Customer_Country]], Region_Map[Country], 0)), "Unknown")</f>
        <v>Baltics</v>
      </c>
      <c r="H2439" t="s">
        <v>6949</v>
      </c>
    </row>
    <row r="2440" spans="1:8">
      <c r="A2440" t="s">
        <v>3347</v>
      </c>
      <c r="B2440" t="s">
        <v>219</v>
      </c>
      <c r="C2440" s="1">
        <v>45383</v>
      </c>
      <c r="D2440" s="1" t="str">
        <f>PROPER(orders[[#This Row],[order_priority]])</f>
        <v>Express</v>
      </c>
      <c r="E2440" t="s">
        <v>13320</v>
      </c>
      <c r="F2440" t="str">
        <f>IFERROR(INDEX(customers[country], MATCH(orders[[#This Row],[customer_id]], customers[customer_id], 0)), "Unmapped")</f>
        <v>Latvia</v>
      </c>
      <c r="G2440" t="str">
        <f>IFERROR(INDEX(Region_Map[Region], MATCH(orders[[#This Row],[Customer_Country]], Region_Map[Country], 0)), "Unknown")</f>
        <v>Baltics</v>
      </c>
      <c r="H2440" t="s">
        <v>6949</v>
      </c>
    </row>
    <row r="2441" spans="1:8">
      <c r="A2441" t="s">
        <v>3348</v>
      </c>
      <c r="B2441" t="s">
        <v>488</v>
      </c>
      <c r="C2441" s="1">
        <v>45479</v>
      </c>
      <c r="D2441" s="1" t="str">
        <f>PROPER(orders[[#This Row],[order_priority]])</f>
        <v>Economy</v>
      </c>
      <c r="E2441" t="s">
        <v>13316</v>
      </c>
      <c r="F2441" t="str">
        <f>IFERROR(INDEX(customers[country], MATCH(orders[[#This Row],[customer_id]], customers[customer_id], 0)), "Unmapped")</f>
        <v>Netherlands</v>
      </c>
      <c r="G2441" t="str">
        <f>IFERROR(INDEX(Region_Map[Region], MATCH(orders[[#This Row],[Customer_Country]], Region_Map[Country], 0)), "Unknown")</f>
        <v>Central Europe</v>
      </c>
      <c r="H2441" t="s">
        <v>6949</v>
      </c>
    </row>
    <row r="2442" spans="1:8">
      <c r="A2442" t="s">
        <v>3349</v>
      </c>
      <c r="B2442" t="s">
        <v>234</v>
      </c>
      <c r="C2442" s="1">
        <v>44988</v>
      </c>
      <c r="D2442" s="1" t="str">
        <f>PROPER(orders[[#This Row],[order_priority]])</f>
        <v>Same Day</v>
      </c>
      <c r="E2442" t="s">
        <v>13322</v>
      </c>
      <c r="F2442" t="str">
        <f>IFERROR(INDEX(customers[country], MATCH(orders[[#This Row],[customer_id]], customers[customer_id], 0)), "Unmapped")</f>
        <v>Finland</v>
      </c>
      <c r="G2442" t="str">
        <f>IFERROR(INDEX(Region_Map[Region], MATCH(orders[[#This Row],[Customer_Country]], Region_Map[Country], 0)), "Unknown")</f>
        <v>Nordics</v>
      </c>
      <c r="H2442" t="s">
        <v>6949</v>
      </c>
    </row>
    <row r="2443" spans="1:8">
      <c r="A2443" t="s">
        <v>3350</v>
      </c>
      <c r="B2443" t="s">
        <v>294</v>
      </c>
      <c r="C2443" s="1">
        <v>45408</v>
      </c>
      <c r="D2443" s="1" t="str">
        <f>PROPER(orders[[#This Row],[order_priority]])</f>
        <v>Economy</v>
      </c>
      <c r="E2443" t="s">
        <v>13325</v>
      </c>
      <c r="F2443" t="str">
        <f>IFERROR(INDEX(customers[country], MATCH(orders[[#This Row],[customer_id]], customers[customer_id], 0)), "Unmapped")</f>
        <v>Denmark</v>
      </c>
      <c r="G2443" t="str">
        <f>IFERROR(INDEX(Region_Map[Region], MATCH(orders[[#This Row],[Customer_Country]], Region_Map[Country], 0)), "Unknown")</f>
        <v>Nordics</v>
      </c>
      <c r="H2443" t="s">
        <v>6949</v>
      </c>
    </row>
    <row r="2444" spans="1:8">
      <c r="A2444" t="s">
        <v>3351</v>
      </c>
      <c r="B2444" t="s">
        <v>127</v>
      </c>
      <c r="C2444" s="1">
        <v>45347</v>
      </c>
      <c r="D2444" s="1" t="str">
        <f>PROPER(orders[[#This Row],[order_priority]])</f>
        <v>Express</v>
      </c>
      <c r="E2444" t="s">
        <v>13318</v>
      </c>
      <c r="F2444" t="str">
        <f>IFERROR(INDEX(customers[country], MATCH(orders[[#This Row],[customer_id]], customers[customer_id], 0)), "Unmapped")</f>
        <v>Denmark</v>
      </c>
      <c r="G2444" t="str">
        <f>IFERROR(INDEX(Region_Map[Region], MATCH(orders[[#This Row],[Customer_Country]], Region_Map[Country], 0)), "Unknown")</f>
        <v>Nordics</v>
      </c>
      <c r="H2444" t="s">
        <v>6949</v>
      </c>
    </row>
    <row r="2445" spans="1:8">
      <c r="A2445" t="s">
        <v>3352</v>
      </c>
      <c r="B2445" t="s">
        <v>38</v>
      </c>
      <c r="C2445" s="1">
        <v>45058</v>
      </c>
      <c r="D2445" s="1" t="str">
        <f>PROPER(orders[[#This Row],[order_priority]])</f>
        <v>Standard</v>
      </c>
      <c r="E2445" t="s">
        <v>13317</v>
      </c>
      <c r="F2445" t="str">
        <f>IFERROR(INDEX(customers[country], MATCH(orders[[#This Row],[customer_id]], customers[customer_id], 0)), "Unmapped")</f>
        <v>Lithuania</v>
      </c>
      <c r="G2445" t="str">
        <f>IFERROR(INDEX(Region_Map[Region], MATCH(orders[[#This Row],[Customer_Country]], Region_Map[Country], 0)), "Unknown")</f>
        <v>Baltics</v>
      </c>
      <c r="H2445" t="s">
        <v>6949</v>
      </c>
    </row>
    <row r="2446" spans="1:8">
      <c r="A2446" t="s">
        <v>3353</v>
      </c>
      <c r="B2446" t="s">
        <v>703</v>
      </c>
      <c r="C2446" s="1">
        <v>45300</v>
      </c>
      <c r="D2446" s="1" t="str">
        <f>PROPER(orders[[#This Row],[order_priority]])</f>
        <v>Same Day</v>
      </c>
      <c r="E2446" t="s">
        <v>13322</v>
      </c>
      <c r="F2446" t="str">
        <f>IFERROR(INDEX(customers[country], MATCH(orders[[#This Row],[customer_id]], customers[customer_id], 0)), "Unmapped")</f>
        <v>Estonia</v>
      </c>
      <c r="G2446" t="str">
        <f>IFERROR(INDEX(Region_Map[Region], MATCH(orders[[#This Row],[Customer_Country]], Region_Map[Country], 0)), "Unknown")</f>
        <v>Baltics</v>
      </c>
      <c r="H2446" t="s">
        <v>6949</v>
      </c>
    </row>
    <row r="2447" spans="1:8">
      <c r="A2447" t="s">
        <v>3354</v>
      </c>
      <c r="B2447" t="s">
        <v>317</v>
      </c>
      <c r="C2447" s="1">
        <v>45337</v>
      </c>
      <c r="D2447" s="1" t="str">
        <f>PROPER(orders[[#This Row],[order_priority]])</f>
        <v>Economy</v>
      </c>
      <c r="E2447" t="s">
        <v>13316</v>
      </c>
      <c r="F2447" t="str">
        <f>IFERROR(INDEX(customers[country], MATCH(orders[[#This Row],[customer_id]], customers[customer_id], 0)), "Unmapped")</f>
        <v>Sweden</v>
      </c>
      <c r="G2447" t="str">
        <f>IFERROR(INDEX(Region_Map[Region], MATCH(orders[[#This Row],[Customer_Country]], Region_Map[Country], 0)), "Unknown")</f>
        <v>Nordics</v>
      </c>
      <c r="H2447" t="s">
        <v>6949</v>
      </c>
    </row>
    <row r="2448" spans="1:8">
      <c r="A2448" t="s">
        <v>3355</v>
      </c>
      <c r="B2448" t="s">
        <v>163</v>
      </c>
      <c r="C2448" s="1">
        <v>44932</v>
      </c>
      <c r="D2448" s="1" t="str">
        <f>PROPER(orders[[#This Row],[order_priority]])</f>
        <v>Same Day</v>
      </c>
      <c r="E2448" t="s">
        <v>13321</v>
      </c>
      <c r="F2448" t="str">
        <f>IFERROR(INDEX(customers[country], MATCH(orders[[#This Row],[customer_id]], customers[customer_id], 0)), "Unmapped")</f>
        <v>Germany</v>
      </c>
      <c r="G2448" t="str">
        <f>IFERROR(INDEX(Region_Map[Region], MATCH(orders[[#This Row],[Customer_Country]], Region_Map[Country], 0)), "Unknown")</f>
        <v>Central Europe</v>
      </c>
      <c r="H2448" t="s">
        <v>6949</v>
      </c>
    </row>
    <row r="2449" spans="1:8">
      <c r="A2449" t="s">
        <v>3356</v>
      </c>
      <c r="B2449" t="s">
        <v>276</v>
      </c>
      <c r="C2449" s="1">
        <v>45346</v>
      </c>
      <c r="D2449" s="1" t="str">
        <f>PROPER(orders[[#This Row],[order_priority]])</f>
        <v>Same Day</v>
      </c>
      <c r="E2449" t="s">
        <v>13322</v>
      </c>
      <c r="F2449" t="str">
        <f>IFERROR(INDEX(customers[country], MATCH(orders[[#This Row],[customer_id]], customers[customer_id], 0)), "Unmapped")</f>
        <v>Sweden</v>
      </c>
      <c r="G2449" t="str">
        <f>IFERROR(INDEX(Region_Map[Region], MATCH(orders[[#This Row],[Customer_Country]], Region_Map[Country], 0)), "Unknown")</f>
        <v>Nordics</v>
      </c>
      <c r="H2449" t="s">
        <v>6949</v>
      </c>
    </row>
    <row r="2450" spans="1:8">
      <c r="A2450" t="s">
        <v>3357</v>
      </c>
      <c r="B2450" t="s">
        <v>48</v>
      </c>
      <c r="C2450" s="1">
        <v>45192</v>
      </c>
      <c r="D2450" s="1" t="str">
        <f>PROPER(orders[[#This Row],[order_priority]])</f>
        <v>Express</v>
      </c>
      <c r="E2450" t="s">
        <v>13318</v>
      </c>
      <c r="F2450" t="str">
        <f>IFERROR(INDEX(customers[country], MATCH(orders[[#This Row],[customer_id]], customers[customer_id], 0)), "Unmapped")</f>
        <v>Poland</v>
      </c>
      <c r="G2450" t="str">
        <f>IFERROR(INDEX(Region_Map[Region], MATCH(orders[[#This Row],[Customer_Country]], Region_Map[Country], 0)), "Unknown")</f>
        <v>Central Europe</v>
      </c>
      <c r="H2450" t="s">
        <v>6949</v>
      </c>
    </row>
    <row r="2451" spans="1:8">
      <c r="A2451" t="s">
        <v>3358</v>
      </c>
      <c r="B2451" t="s">
        <v>542</v>
      </c>
      <c r="C2451" s="1">
        <v>45326</v>
      </c>
      <c r="D2451" s="1" t="str">
        <f>PROPER(orders[[#This Row],[order_priority]])</f>
        <v>Express</v>
      </c>
      <c r="E2451" t="s">
        <v>13318</v>
      </c>
      <c r="F2451" t="str">
        <f>IFERROR(INDEX(customers[country], MATCH(orders[[#This Row],[customer_id]], customers[customer_id], 0)), "Unmapped")</f>
        <v>Poland</v>
      </c>
      <c r="G2451" t="str">
        <f>IFERROR(INDEX(Region_Map[Region], MATCH(orders[[#This Row],[Customer_Country]], Region_Map[Country], 0)), "Unknown")</f>
        <v>Central Europe</v>
      </c>
      <c r="H2451" t="s">
        <v>6949</v>
      </c>
    </row>
    <row r="2452" spans="1:8">
      <c r="A2452" t="s">
        <v>3359</v>
      </c>
      <c r="B2452" t="s">
        <v>371</v>
      </c>
      <c r="C2452" s="1">
        <v>44976</v>
      </c>
      <c r="D2452" s="1" t="str">
        <f>PROPER(orders[[#This Row],[order_priority]])</f>
        <v>Standard</v>
      </c>
      <c r="E2452" t="s">
        <v>13319</v>
      </c>
      <c r="F2452" t="str">
        <f>IFERROR(INDEX(customers[country], MATCH(orders[[#This Row],[customer_id]], customers[customer_id], 0)), "Unmapped")</f>
        <v>Germany</v>
      </c>
      <c r="G2452" t="str">
        <f>IFERROR(INDEX(Region_Map[Region], MATCH(orders[[#This Row],[Customer_Country]], Region_Map[Country], 0)), "Unknown")</f>
        <v>Central Europe</v>
      </c>
      <c r="H2452" t="s">
        <v>6949</v>
      </c>
    </row>
    <row r="2453" spans="1:8">
      <c r="A2453" t="s">
        <v>3360</v>
      </c>
      <c r="B2453" t="s">
        <v>368</v>
      </c>
      <c r="C2453" s="1">
        <v>45562</v>
      </c>
      <c r="D2453" s="1" t="str">
        <f>PROPER(orders[[#This Row],[order_priority]])</f>
        <v>Standard</v>
      </c>
      <c r="E2453" t="s">
        <v>13323</v>
      </c>
      <c r="F2453" t="str">
        <f>IFERROR(INDEX(customers[country], MATCH(orders[[#This Row],[customer_id]], customers[customer_id], 0)), "Unmapped")</f>
        <v>Poland</v>
      </c>
      <c r="G2453" t="str">
        <f>IFERROR(INDEX(Region_Map[Region], MATCH(orders[[#This Row],[Customer_Country]], Region_Map[Country], 0)), "Unknown")</f>
        <v>Central Europe</v>
      </c>
      <c r="H2453" t="s">
        <v>6949</v>
      </c>
    </row>
    <row r="2454" spans="1:8">
      <c r="A2454" t="s">
        <v>3361</v>
      </c>
      <c r="B2454" t="s">
        <v>605</v>
      </c>
      <c r="C2454" s="1">
        <v>45490</v>
      </c>
      <c r="D2454" s="1" t="str">
        <f>PROPER(orders[[#This Row],[order_priority]])</f>
        <v>Express</v>
      </c>
      <c r="E2454" t="s">
        <v>13318</v>
      </c>
      <c r="F2454" t="str">
        <f>IFERROR(INDEX(customers[country], MATCH(orders[[#This Row],[customer_id]], customers[customer_id], 0)), "Unmapped")</f>
        <v>Lithuania</v>
      </c>
      <c r="G2454" t="str">
        <f>IFERROR(INDEX(Region_Map[Region], MATCH(orders[[#This Row],[Customer_Country]], Region_Map[Country], 0)), "Unknown")</f>
        <v>Baltics</v>
      </c>
      <c r="H2454" t="s">
        <v>6949</v>
      </c>
    </row>
    <row r="2455" spans="1:8">
      <c r="A2455" t="s">
        <v>3362</v>
      </c>
      <c r="B2455" t="s">
        <v>270</v>
      </c>
      <c r="C2455" s="1">
        <v>45222</v>
      </c>
      <c r="D2455" s="1" t="str">
        <f>PROPER(orders[[#This Row],[order_priority]])</f>
        <v>Economy</v>
      </c>
      <c r="E2455" t="s">
        <v>13316</v>
      </c>
      <c r="F2455" t="str">
        <f>IFERROR(INDEX(customers[country], MATCH(orders[[#This Row],[customer_id]], customers[customer_id], 0)), "Unmapped")</f>
        <v>Poland</v>
      </c>
      <c r="G2455" t="str">
        <f>IFERROR(INDEX(Region_Map[Region], MATCH(orders[[#This Row],[Customer_Country]], Region_Map[Country], 0)), "Unknown")</f>
        <v>Central Europe</v>
      </c>
      <c r="H2455" t="s">
        <v>6949</v>
      </c>
    </row>
    <row r="2456" spans="1:8">
      <c r="A2456" t="s">
        <v>3363</v>
      </c>
      <c r="B2456" t="s">
        <v>127</v>
      </c>
      <c r="C2456" s="1">
        <v>45576</v>
      </c>
      <c r="D2456" s="1" t="str">
        <f>PROPER(orders[[#This Row],[order_priority]])</f>
        <v>Same Day</v>
      </c>
      <c r="E2456" t="s">
        <v>13322</v>
      </c>
      <c r="F2456" t="str">
        <f>IFERROR(INDEX(customers[country], MATCH(orders[[#This Row],[customer_id]], customers[customer_id], 0)), "Unmapped")</f>
        <v>Denmark</v>
      </c>
      <c r="G2456" t="str">
        <f>IFERROR(INDEX(Region_Map[Region], MATCH(orders[[#This Row],[Customer_Country]], Region_Map[Country], 0)), "Unknown")</f>
        <v>Nordics</v>
      </c>
      <c r="H2456" t="s">
        <v>6949</v>
      </c>
    </row>
    <row r="2457" spans="1:8">
      <c r="A2457" t="s">
        <v>3364</v>
      </c>
      <c r="B2457" t="s">
        <v>599</v>
      </c>
      <c r="C2457" s="1">
        <v>45212</v>
      </c>
      <c r="D2457" s="1" t="str">
        <f>PROPER(orders[[#This Row],[order_priority]])</f>
        <v>Same Day</v>
      </c>
      <c r="E2457" t="s">
        <v>13322</v>
      </c>
      <c r="F2457" t="str">
        <f>IFERROR(INDEX(customers[country], MATCH(orders[[#This Row],[customer_id]], customers[customer_id], 0)), "Unmapped")</f>
        <v>Germany</v>
      </c>
      <c r="G2457" t="str">
        <f>IFERROR(INDEX(Region_Map[Region], MATCH(orders[[#This Row],[Customer_Country]], Region_Map[Country], 0)), "Unknown")</f>
        <v>Central Europe</v>
      </c>
      <c r="H2457" t="s">
        <v>6949</v>
      </c>
    </row>
    <row r="2458" spans="1:8">
      <c r="A2458" t="s">
        <v>3365</v>
      </c>
      <c r="B2458" t="s">
        <v>670</v>
      </c>
      <c r="C2458" s="1">
        <v>45013</v>
      </c>
      <c r="D2458" s="1" t="str">
        <f>PROPER(orders[[#This Row],[order_priority]])</f>
        <v>Standard</v>
      </c>
      <c r="E2458" t="s">
        <v>13317</v>
      </c>
      <c r="F2458" t="str">
        <f>IFERROR(INDEX(customers[country], MATCH(orders[[#This Row],[customer_id]], customers[customer_id], 0)), "Unmapped")</f>
        <v>Netherlands</v>
      </c>
      <c r="G2458" t="str">
        <f>IFERROR(INDEX(Region_Map[Region], MATCH(orders[[#This Row],[Customer_Country]], Region_Map[Country], 0)), "Unknown")</f>
        <v>Central Europe</v>
      </c>
      <c r="H2458" t="s">
        <v>6949</v>
      </c>
    </row>
    <row r="2459" spans="1:8">
      <c r="A2459" t="s">
        <v>3366</v>
      </c>
      <c r="B2459" t="s">
        <v>647</v>
      </c>
      <c r="C2459" s="1">
        <v>45417</v>
      </c>
      <c r="D2459" s="1" t="str">
        <f>PROPER(orders[[#This Row],[order_priority]])</f>
        <v>Standard</v>
      </c>
      <c r="E2459" t="s">
        <v>13317</v>
      </c>
      <c r="F2459" t="str">
        <f>IFERROR(INDEX(customers[country], MATCH(orders[[#This Row],[customer_id]], customers[customer_id], 0)), "Unmapped")</f>
        <v>Netherlands</v>
      </c>
      <c r="G2459" t="str">
        <f>IFERROR(INDEX(Region_Map[Region], MATCH(orders[[#This Row],[Customer_Country]], Region_Map[Country], 0)), "Unknown")</f>
        <v>Central Europe</v>
      </c>
      <c r="H2459" t="s">
        <v>6949</v>
      </c>
    </row>
    <row r="2460" spans="1:8">
      <c r="A2460" t="s">
        <v>3367</v>
      </c>
      <c r="B2460" t="s">
        <v>64</v>
      </c>
      <c r="C2460" s="1">
        <v>44940</v>
      </c>
      <c r="D2460" s="1" t="str">
        <f>PROPER(orders[[#This Row],[order_priority]])</f>
        <v>Express</v>
      </c>
      <c r="E2460" t="s">
        <v>13326</v>
      </c>
      <c r="F2460" t="str">
        <f>IFERROR(INDEX(customers[country], MATCH(orders[[#This Row],[customer_id]], customers[customer_id], 0)), "Unmapped")</f>
        <v>Netherlands</v>
      </c>
      <c r="G2460" t="str">
        <f>IFERROR(INDEX(Region_Map[Region], MATCH(orders[[#This Row],[Customer_Country]], Region_Map[Country], 0)), "Unknown")</f>
        <v>Central Europe</v>
      </c>
      <c r="H2460" t="s">
        <v>6949</v>
      </c>
    </row>
    <row r="2461" spans="1:8">
      <c r="A2461" t="s">
        <v>3368</v>
      </c>
      <c r="B2461" t="s">
        <v>741</v>
      </c>
      <c r="C2461" s="1">
        <v>45389</v>
      </c>
      <c r="D2461" s="1" t="str">
        <f>PROPER(orders[[#This Row],[order_priority]])</f>
        <v>Economy</v>
      </c>
      <c r="E2461" t="s">
        <v>13316</v>
      </c>
      <c r="F2461" t="str">
        <f>IFERROR(INDEX(customers[country], MATCH(orders[[#This Row],[customer_id]], customers[customer_id], 0)), "Unmapped")</f>
        <v>Germany</v>
      </c>
      <c r="G2461" t="str">
        <f>IFERROR(INDEX(Region_Map[Region], MATCH(orders[[#This Row],[Customer_Country]], Region_Map[Country], 0)), "Unknown")</f>
        <v>Central Europe</v>
      </c>
      <c r="H2461" t="s">
        <v>6949</v>
      </c>
    </row>
    <row r="2462" spans="1:8">
      <c r="A2462" t="s">
        <v>3369</v>
      </c>
      <c r="B2462" t="s">
        <v>897</v>
      </c>
      <c r="C2462" s="1">
        <v>45314</v>
      </c>
      <c r="D2462" s="1" t="str">
        <f>PROPER(orders[[#This Row],[order_priority]])</f>
        <v>Economy</v>
      </c>
      <c r="E2462" t="s">
        <v>13316</v>
      </c>
      <c r="F2462" t="str">
        <f>IFERROR(INDEX(customers[country], MATCH(orders[[#This Row],[customer_id]], customers[customer_id], 0)), "Unmapped")</f>
        <v>Netherlands</v>
      </c>
      <c r="G2462" t="str">
        <f>IFERROR(INDEX(Region_Map[Region], MATCH(orders[[#This Row],[Customer_Country]], Region_Map[Country], 0)), "Unknown")</f>
        <v>Central Europe</v>
      </c>
      <c r="H2462" t="s">
        <v>6949</v>
      </c>
    </row>
    <row r="2463" spans="1:8">
      <c r="A2463" t="s">
        <v>3370</v>
      </c>
      <c r="B2463" t="s">
        <v>515</v>
      </c>
      <c r="C2463" s="1">
        <v>45406</v>
      </c>
      <c r="D2463" s="1" t="str">
        <f>PROPER(orders[[#This Row],[order_priority]])</f>
        <v>Standard</v>
      </c>
      <c r="E2463" t="s">
        <v>13317</v>
      </c>
      <c r="F2463" t="str">
        <f>IFERROR(INDEX(customers[country], MATCH(orders[[#This Row],[customer_id]], customers[customer_id], 0)), "Unmapped")</f>
        <v>Latvia</v>
      </c>
      <c r="G2463" t="str">
        <f>IFERROR(INDEX(Region_Map[Region], MATCH(orders[[#This Row],[Customer_Country]], Region_Map[Country], 0)), "Unknown")</f>
        <v>Baltics</v>
      </c>
      <c r="H2463" t="s">
        <v>6949</v>
      </c>
    </row>
    <row r="2464" spans="1:8">
      <c r="A2464" t="s">
        <v>3371</v>
      </c>
      <c r="B2464" t="s">
        <v>715</v>
      </c>
      <c r="C2464" s="1">
        <v>45449</v>
      </c>
      <c r="D2464" s="1" t="str">
        <f>PROPER(orders[[#This Row],[order_priority]])</f>
        <v>Express</v>
      </c>
      <c r="E2464" t="s">
        <v>13318</v>
      </c>
      <c r="F2464" t="str">
        <f>IFERROR(INDEX(customers[country], MATCH(orders[[#This Row],[customer_id]], customers[customer_id], 0)), "Unmapped")</f>
        <v>Netherlands</v>
      </c>
      <c r="G2464" t="str">
        <f>IFERROR(INDEX(Region_Map[Region], MATCH(orders[[#This Row],[Customer_Country]], Region_Map[Country], 0)), "Unknown")</f>
        <v>Central Europe</v>
      </c>
      <c r="H2464" t="s">
        <v>6949</v>
      </c>
    </row>
    <row r="2465" spans="1:8">
      <c r="A2465" t="s">
        <v>3372</v>
      </c>
      <c r="B2465" t="s">
        <v>611</v>
      </c>
      <c r="C2465" s="1">
        <v>45277</v>
      </c>
      <c r="D2465" s="1" t="str">
        <f>PROPER(orders[[#This Row],[order_priority]])</f>
        <v>Express</v>
      </c>
      <c r="E2465" t="s">
        <v>13318</v>
      </c>
      <c r="F2465" t="str">
        <f>IFERROR(INDEX(customers[country], MATCH(orders[[#This Row],[customer_id]], customers[customer_id], 0)), "Unmapped")</f>
        <v>Poland</v>
      </c>
      <c r="G2465" t="str">
        <f>IFERROR(INDEX(Region_Map[Region], MATCH(orders[[#This Row],[Customer_Country]], Region_Map[Country], 0)), "Unknown")</f>
        <v>Central Europe</v>
      </c>
      <c r="H2465" t="s">
        <v>6949</v>
      </c>
    </row>
    <row r="2466" spans="1:8">
      <c r="A2466" t="s">
        <v>3373</v>
      </c>
      <c r="B2466" t="s">
        <v>760</v>
      </c>
      <c r="C2466" s="1">
        <v>45247</v>
      </c>
      <c r="D2466" s="1" t="str">
        <f>PROPER(orders[[#This Row],[order_priority]])</f>
        <v>Same Day</v>
      </c>
      <c r="E2466" t="s">
        <v>13322</v>
      </c>
      <c r="F2466" t="str">
        <f>IFERROR(INDEX(customers[country], MATCH(orders[[#This Row],[customer_id]], customers[customer_id], 0)), "Unmapped")</f>
        <v>Poland</v>
      </c>
      <c r="G2466" t="str">
        <f>IFERROR(INDEX(Region_Map[Region], MATCH(orders[[#This Row],[Customer_Country]], Region_Map[Country], 0)), "Unknown")</f>
        <v>Central Europe</v>
      </c>
      <c r="H2466" t="s">
        <v>6949</v>
      </c>
    </row>
    <row r="2467" spans="1:8">
      <c r="A2467" t="s">
        <v>3374</v>
      </c>
      <c r="B2467" t="s">
        <v>121</v>
      </c>
      <c r="C2467" s="1">
        <v>45162</v>
      </c>
      <c r="D2467" s="1" t="str">
        <f>PROPER(orders[[#This Row],[order_priority]])</f>
        <v>Standard</v>
      </c>
      <c r="E2467" t="s">
        <v>13317</v>
      </c>
      <c r="F2467" t="str">
        <f>IFERROR(INDEX(customers[country], MATCH(orders[[#This Row],[customer_id]], customers[customer_id], 0)), "Unmapped")</f>
        <v>Estonia</v>
      </c>
      <c r="G2467" t="str">
        <f>IFERROR(INDEX(Region_Map[Region], MATCH(orders[[#This Row],[Customer_Country]], Region_Map[Country], 0)), "Unknown")</f>
        <v>Baltics</v>
      </c>
      <c r="H2467" t="s">
        <v>6949</v>
      </c>
    </row>
    <row r="2468" spans="1:8">
      <c r="A2468" t="s">
        <v>3375</v>
      </c>
      <c r="B2468" t="s">
        <v>766</v>
      </c>
      <c r="C2468" s="1">
        <v>45322</v>
      </c>
      <c r="D2468" s="1" t="str">
        <f>PROPER(orders[[#This Row],[order_priority]])</f>
        <v>Express</v>
      </c>
      <c r="E2468" t="s">
        <v>13318</v>
      </c>
      <c r="F2468" t="str">
        <f>IFERROR(INDEX(customers[country], MATCH(orders[[#This Row],[customer_id]], customers[customer_id], 0)), "Unmapped")</f>
        <v>Germany</v>
      </c>
      <c r="G2468" t="str">
        <f>IFERROR(INDEX(Region_Map[Region], MATCH(orders[[#This Row],[Customer_Country]], Region_Map[Country], 0)), "Unknown")</f>
        <v>Central Europe</v>
      </c>
      <c r="H2468" t="s">
        <v>6949</v>
      </c>
    </row>
    <row r="2469" spans="1:8">
      <c r="A2469" t="s">
        <v>3376</v>
      </c>
      <c r="B2469" t="s">
        <v>419</v>
      </c>
      <c r="C2469" s="1">
        <v>45448</v>
      </c>
      <c r="D2469" s="1" t="str">
        <f>PROPER(orders[[#This Row],[order_priority]])</f>
        <v>Economy</v>
      </c>
      <c r="E2469" t="s">
        <v>13316</v>
      </c>
      <c r="F2469" t="str">
        <f>IFERROR(INDEX(customers[country], MATCH(orders[[#This Row],[customer_id]], customers[customer_id], 0)), "Unmapped")</f>
        <v>Estonia</v>
      </c>
      <c r="G2469" t="str">
        <f>IFERROR(INDEX(Region_Map[Region], MATCH(orders[[#This Row],[Customer_Country]], Region_Map[Country], 0)), "Unknown")</f>
        <v>Baltics</v>
      </c>
      <c r="H2469" t="s">
        <v>6949</v>
      </c>
    </row>
    <row r="2470" spans="1:8">
      <c r="A2470" t="s">
        <v>3377</v>
      </c>
      <c r="B2470" t="s">
        <v>758</v>
      </c>
      <c r="C2470" s="1">
        <v>45063</v>
      </c>
      <c r="D2470" s="1" t="str">
        <f>PROPER(orders[[#This Row],[order_priority]])</f>
        <v>Same Day</v>
      </c>
      <c r="E2470" t="s">
        <v>13322</v>
      </c>
      <c r="F2470" t="str">
        <f>IFERROR(INDEX(customers[country], MATCH(orders[[#This Row],[customer_id]], customers[customer_id], 0)), "Unmapped")</f>
        <v>Estonia</v>
      </c>
      <c r="G2470" t="str">
        <f>IFERROR(INDEX(Region_Map[Region], MATCH(orders[[#This Row],[Customer_Country]], Region_Map[Country], 0)), "Unknown")</f>
        <v>Baltics</v>
      </c>
      <c r="H2470" t="s">
        <v>6949</v>
      </c>
    </row>
    <row r="2471" spans="1:8">
      <c r="A2471" t="s">
        <v>3378</v>
      </c>
      <c r="B2471" t="s">
        <v>395</v>
      </c>
      <c r="C2471" s="1">
        <v>44951</v>
      </c>
      <c r="D2471" s="1" t="str">
        <f>PROPER(orders[[#This Row],[order_priority]])</f>
        <v>Standard</v>
      </c>
      <c r="E2471" t="s">
        <v>13317</v>
      </c>
      <c r="F2471" t="str">
        <f>IFERROR(INDEX(customers[country], MATCH(orders[[#This Row],[customer_id]], customers[customer_id], 0)), "Unmapped")</f>
        <v>Sweden</v>
      </c>
      <c r="G2471" t="str">
        <f>IFERROR(INDEX(Region_Map[Region], MATCH(orders[[#This Row],[Customer_Country]], Region_Map[Country], 0)), "Unknown")</f>
        <v>Nordics</v>
      </c>
      <c r="H2471" t="s">
        <v>6949</v>
      </c>
    </row>
    <row r="2472" spans="1:8">
      <c r="A2472" t="s">
        <v>3379</v>
      </c>
      <c r="B2472" t="s">
        <v>401</v>
      </c>
      <c r="C2472" s="1">
        <v>44971</v>
      </c>
      <c r="D2472" s="1" t="str">
        <f>PROPER(orders[[#This Row],[order_priority]])</f>
        <v>Express</v>
      </c>
      <c r="E2472" t="s">
        <v>13318</v>
      </c>
      <c r="F2472" t="str">
        <f>IFERROR(INDEX(customers[country], MATCH(orders[[#This Row],[customer_id]], customers[customer_id], 0)), "Unmapped")</f>
        <v>Latvia</v>
      </c>
      <c r="G2472" t="str">
        <f>IFERROR(INDEX(Region_Map[Region], MATCH(orders[[#This Row],[Customer_Country]], Region_Map[Country], 0)), "Unknown")</f>
        <v>Baltics</v>
      </c>
      <c r="H2472" t="s">
        <v>6949</v>
      </c>
    </row>
    <row r="2473" spans="1:8">
      <c r="A2473" t="s">
        <v>3380</v>
      </c>
      <c r="B2473" t="s">
        <v>362</v>
      </c>
      <c r="C2473" s="1">
        <v>45515</v>
      </c>
      <c r="D2473" s="1" t="str">
        <f>PROPER(orders[[#This Row],[order_priority]])</f>
        <v>Express</v>
      </c>
      <c r="E2473" t="s">
        <v>13318</v>
      </c>
      <c r="F2473" t="str">
        <f>IFERROR(INDEX(customers[country], MATCH(orders[[#This Row],[customer_id]], customers[customer_id], 0)), "Unmapped")</f>
        <v>Denmark</v>
      </c>
      <c r="G2473" t="str">
        <f>IFERROR(INDEX(Region_Map[Region], MATCH(orders[[#This Row],[Customer_Country]], Region_Map[Country], 0)), "Unknown")</f>
        <v>Nordics</v>
      </c>
      <c r="H2473" t="s">
        <v>6949</v>
      </c>
    </row>
    <row r="2474" spans="1:8">
      <c r="A2474" t="s">
        <v>3381</v>
      </c>
      <c r="B2474" t="s">
        <v>317</v>
      </c>
      <c r="C2474" s="1">
        <v>45617</v>
      </c>
      <c r="D2474" s="1" t="str">
        <f>PROPER(orders[[#This Row],[order_priority]])</f>
        <v>Same Day</v>
      </c>
      <c r="E2474" t="s">
        <v>13322</v>
      </c>
      <c r="F2474" t="str">
        <f>IFERROR(INDEX(customers[country], MATCH(orders[[#This Row],[customer_id]], customers[customer_id], 0)), "Unmapped")</f>
        <v>Sweden</v>
      </c>
      <c r="G2474" t="str">
        <f>IFERROR(INDEX(Region_Map[Region], MATCH(orders[[#This Row],[Customer_Country]], Region_Map[Country], 0)), "Unknown")</f>
        <v>Nordics</v>
      </c>
      <c r="H2474" t="s">
        <v>6949</v>
      </c>
    </row>
    <row r="2475" spans="1:8">
      <c r="A2475" t="s">
        <v>3382</v>
      </c>
      <c r="B2475" t="s">
        <v>837</v>
      </c>
      <c r="C2475" s="1">
        <v>45547</v>
      </c>
      <c r="D2475" s="1" t="str">
        <f>PROPER(orders[[#This Row],[order_priority]])</f>
        <v>Express</v>
      </c>
      <c r="E2475" t="s">
        <v>13318</v>
      </c>
      <c r="F2475" t="str">
        <f>IFERROR(INDEX(customers[country], MATCH(orders[[#This Row],[customer_id]], customers[customer_id], 0)), "Unmapped")</f>
        <v>Poland</v>
      </c>
      <c r="G2475" t="str">
        <f>IFERROR(INDEX(Region_Map[Region], MATCH(orders[[#This Row],[Customer_Country]], Region_Map[Country], 0)), "Unknown")</f>
        <v>Central Europe</v>
      </c>
      <c r="H2475" t="s">
        <v>6949</v>
      </c>
    </row>
    <row r="2476" spans="1:8">
      <c r="A2476" t="s">
        <v>3383</v>
      </c>
      <c r="B2476" t="s">
        <v>30</v>
      </c>
      <c r="C2476" s="1">
        <v>45414</v>
      </c>
      <c r="D2476" s="1" t="str">
        <f>PROPER(orders[[#This Row],[order_priority]])</f>
        <v>Same Day</v>
      </c>
      <c r="E2476" t="s">
        <v>13322</v>
      </c>
      <c r="F2476" t="str">
        <f>IFERROR(INDEX(customers[country], MATCH(orders[[#This Row],[customer_id]], customers[customer_id], 0)), "Unmapped")</f>
        <v>Netherlands</v>
      </c>
      <c r="G2476" t="str">
        <f>IFERROR(INDEX(Region_Map[Region], MATCH(orders[[#This Row],[Customer_Country]], Region_Map[Country], 0)), "Unknown")</f>
        <v>Central Europe</v>
      </c>
      <c r="H2476" t="s">
        <v>6949</v>
      </c>
    </row>
    <row r="2477" spans="1:8">
      <c r="A2477" t="s">
        <v>3384</v>
      </c>
      <c r="B2477" t="s">
        <v>652</v>
      </c>
      <c r="C2477" s="1">
        <v>44994</v>
      </c>
      <c r="D2477" s="1" t="str">
        <f>PROPER(orders[[#This Row],[order_priority]])</f>
        <v>Same Day</v>
      </c>
      <c r="E2477" t="s">
        <v>13322</v>
      </c>
      <c r="F2477" t="str">
        <f>IFERROR(INDEX(customers[country], MATCH(orders[[#This Row],[customer_id]], customers[customer_id], 0)), "Unmapped")</f>
        <v>Poland</v>
      </c>
      <c r="G2477" t="str">
        <f>IFERROR(INDEX(Region_Map[Region], MATCH(orders[[#This Row],[Customer_Country]], Region_Map[Country], 0)), "Unknown")</f>
        <v>Central Europe</v>
      </c>
      <c r="H2477" t="s">
        <v>6949</v>
      </c>
    </row>
    <row r="2478" spans="1:8">
      <c r="A2478" t="s">
        <v>3385</v>
      </c>
      <c r="B2478" t="s">
        <v>341</v>
      </c>
      <c r="C2478" s="1">
        <v>45166</v>
      </c>
      <c r="D2478" s="1" t="str">
        <f>PROPER(orders[[#This Row],[order_priority]])</f>
        <v>Economy</v>
      </c>
      <c r="E2478" t="s">
        <v>13316</v>
      </c>
      <c r="F2478" t="str">
        <f>IFERROR(INDEX(customers[country], MATCH(orders[[#This Row],[customer_id]], customers[customer_id], 0)), "Unmapped")</f>
        <v>Latvia</v>
      </c>
      <c r="G2478" t="str">
        <f>IFERROR(INDEX(Region_Map[Region], MATCH(orders[[#This Row],[Customer_Country]], Region_Map[Country], 0)), "Unknown")</f>
        <v>Baltics</v>
      </c>
      <c r="H2478" t="s">
        <v>6949</v>
      </c>
    </row>
    <row r="2479" spans="1:8">
      <c r="A2479" t="s">
        <v>3386</v>
      </c>
      <c r="B2479" t="s">
        <v>533</v>
      </c>
      <c r="C2479" s="1">
        <v>45433</v>
      </c>
      <c r="D2479" s="1" t="str">
        <f>PROPER(orders[[#This Row],[order_priority]])</f>
        <v>Express</v>
      </c>
      <c r="E2479" t="s">
        <v>13318</v>
      </c>
      <c r="F2479" t="str">
        <f>IFERROR(INDEX(customers[country], MATCH(orders[[#This Row],[customer_id]], customers[customer_id], 0)), "Unmapped")</f>
        <v>Germany</v>
      </c>
      <c r="G2479" t="str">
        <f>IFERROR(INDEX(Region_Map[Region], MATCH(orders[[#This Row],[Customer_Country]], Region_Map[Country], 0)), "Unknown")</f>
        <v>Central Europe</v>
      </c>
      <c r="H2479" t="s">
        <v>6949</v>
      </c>
    </row>
    <row r="2480" spans="1:8">
      <c r="A2480" t="s">
        <v>3387</v>
      </c>
      <c r="B2480" t="s">
        <v>738</v>
      </c>
      <c r="C2480" s="1">
        <v>45140</v>
      </c>
      <c r="D2480" s="1" t="str">
        <f>PROPER(orders[[#This Row],[order_priority]])</f>
        <v>Express</v>
      </c>
      <c r="E2480" t="s">
        <v>13318</v>
      </c>
      <c r="F2480" t="str">
        <f>IFERROR(INDEX(customers[country], MATCH(orders[[#This Row],[customer_id]], customers[customer_id], 0)), "Unmapped")</f>
        <v>Finland</v>
      </c>
      <c r="G2480" t="str">
        <f>IFERROR(INDEX(Region_Map[Region], MATCH(orders[[#This Row],[Customer_Country]], Region_Map[Country], 0)), "Unknown")</f>
        <v>Nordics</v>
      </c>
      <c r="H2480" t="s">
        <v>6949</v>
      </c>
    </row>
    <row r="2481" spans="1:8">
      <c r="A2481" t="s">
        <v>3388</v>
      </c>
      <c r="B2481" t="s">
        <v>267</v>
      </c>
      <c r="C2481" s="1">
        <v>45019</v>
      </c>
      <c r="D2481" s="1" t="str">
        <f>PROPER(orders[[#This Row],[order_priority]])</f>
        <v>Express</v>
      </c>
      <c r="E2481" t="s">
        <v>13318</v>
      </c>
      <c r="F2481" t="str">
        <f>IFERROR(INDEX(customers[country], MATCH(orders[[#This Row],[customer_id]], customers[customer_id], 0)), "Unmapped")</f>
        <v>Norway</v>
      </c>
      <c r="G2481" t="str">
        <f>IFERROR(INDEX(Region_Map[Region], MATCH(orders[[#This Row],[Customer_Country]], Region_Map[Country], 0)), "Unknown")</f>
        <v>Nordics</v>
      </c>
      <c r="H2481" t="s">
        <v>6949</v>
      </c>
    </row>
    <row r="2482" spans="1:8">
      <c r="A2482" t="s">
        <v>3389</v>
      </c>
      <c r="B2482" t="s">
        <v>781</v>
      </c>
      <c r="C2482" s="1">
        <v>45314</v>
      </c>
      <c r="D2482" s="1" t="str">
        <f>PROPER(orders[[#This Row],[order_priority]])</f>
        <v>Same Day</v>
      </c>
      <c r="E2482" t="s">
        <v>13324</v>
      </c>
      <c r="F2482" t="str">
        <f>IFERROR(INDEX(customers[country], MATCH(orders[[#This Row],[customer_id]], customers[customer_id], 0)), "Unmapped")</f>
        <v>Germany</v>
      </c>
      <c r="G2482" t="str">
        <f>IFERROR(INDEX(Region_Map[Region], MATCH(orders[[#This Row],[Customer_Country]], Region_Map[Country], 0)), "Unknown")</f>
        <v>Central Europe</v>
      </c>
      <c r="H2482" t="s">
        <v>6949</v>
      </c>
    </row>
    <row r="2483" spans="1:8">
      <c r="A2483" t="s">
        <v>3390</v>
      </c>
      <c r="B2483" t="s">
        <v>644</v>
      </c>
      <c r="C2483" s="1">
        <v>45225</v>
      </c>
      <c r="D2483" s="1" t="str">
        <f>PROPER(orders[[#This Row],[order_priority]])</f>
        <v>Same Day</v>
      </c>
      <c r="E2483" t="s">
        <v>13322</v>
      </c>
      <c r="F2483" t="str">
        <f>IFERROR(INDEX(customers[country], MATCH(orders[[#This Row],[customer_id]], customers[customer_id], 0)), "Unmapped")</f>
        <v>Germany</v>
      </c>
      <c r="G2483" t="str">
        <f>IFERROR(INDEX(Region_Map[Region], MATCH(orders[[#This Row],[Customer_Country]], Region_Map[Country], 0)), "Unknown")</f>
        <v>Central Europe</v>
      </c>
      <c r="H2483" t="s">
        <v>6949</v>
      </c>
    </row>
    <row r="2484" spans="1:8">
      <c r="A2484" t="s">
        <v>3391</v>
      </c>
      <c r="B2484" t="s">
        <v>133</v>
      </c>
      <c r="C2484" s="1">
        <v>45261</v>
      </c>
      <c r="D2484" s="1" t="str">
        <f>PROPER(orders[[#This Row],[order_priority]])</f>
        <v>Express</v>
      </c>
      <c r="E2484" t="s">
        <v>13318</v>
      </c>
      <c r="F2484" t="str">
        <f>IFERROR(INDEX(customers[country], MATCH(orders[[#This Row],[customer_id]], customers[customer_id], 0)), "Unmapped")</f>
        <v>Finland</v>
      </c>
      <c r="G2484" t="str">
        <f>IFERROR(INDEX(Region_Map[Region], MATCH(orders[[#This Row],[Customer_Country]], Region_Map[Country], 0)), "Unknown")</f>
        <v>Nordics</v>
      </c>
      <c r="H2484" t="s">
        <v>6949</v>
      </c>
    </row>
    <row r="2485" spans="1:8">
      <c r="A2485" t="s">
        <v>3392</v>
      </c>
      <c r="B2485" t="s">
        <v>64</v>
      </c>
      <c r="C2485" s="1">
        <v>45233</v>
      </c>
      <c r="D2485" s="1" t="str">
        <f>PROPER(orders[[#This Row],[order_priority]])</f>
        <v>Economy</v>
      </c>
      <c r="E2485" t="s">
        <v>13316</v>
      </c>
      <c r="F2485" t="str">
        <f>IFERROR(INDEX(customers[country], MATCH(orders[[#This Row],[customer_id]], customers[customer_id], 0)), "Unmapped")</f>
        <v>Netherlands</v>
      </c>
      <c r="G2485" t="str">
        <f>IFERROR(INDEX(Region_Map[Region], MATCH(orders[[#This Row],[Customer_Country]], Region_Map[Country], 0)), "Unknown")</f>
        <v>Central Europe</v>
      </c>
      <c r="H2485" t="s">
        <v>6949</v>
      </c>
    </row>
    <row r="2486" spans="1:8">
      <c r="A2486" t="s">
        <v>3393</v>
      </c>
      <c r="B2486" t="s">
        <v>383</v>
      </c>
      <c r="C2486" s="1">
        <v>45384</v>
      </c>
      <c r="D2486" s="1" t="str">
        <f>PROPER(orders[[#This Row],[order_priority]])</f>
        <v>Standard</v>
      </c>
      <c r="E2486" t="s">
        <v>13317</v>
      </c>
      <c r="F2486" t="str">
        <f>IFERROR(INDEX(customers[country], MATCH(orders[[#This Row],[customer_id]], customers[customer_id], 0)), "Unmapped")</f>
        <v>Germany</v>
      </c>
      <c r="G2486" t="str">
        <f>IFERROR(INDEX(Region_Map[Region], MATCH(orders[[#This Row],[Customer_Country]], Region_Map[Country], 0)), "Unknown")</f>
        <v>Central Europe</v>
      </c>
      <c r="H2486" t="s">
        <v>6949</v>
      </c>
    </row>
    <row r="2487" spans="1:8">
      <c r="A2487" t="s">
        <v>3394</v>
      </c>
      <c r="B2487" t="s">
        <v>198</v>
      </c>
      <c r="C2487" s="1">
        <v>45227</v>
      </c>
      <c r="D2487" s="1" t="str">
        <f>PROPER(orders[[#This Row],[order_priority]])</f>
        <v>Express</v>
      </c>
      <c r="E2487" t="s">
        <v>13318</v>
      </c>
      <c r="F2487" t="str">
        <f>IFERROR(INDEX(customers[country], MATCH(orders[[#This Row],[customer_id]], customers[customer_id], 0)), "Unmapped")</f>
        <v>Poland</v>
      </c>
      <c r="G2487" t="str">
        <f>IFERROR(INDEX(Region_Map[Region], MATCH(orders[[#This Row],[Customer_Country]], Region_Map[Country], 0)), "Unknown")</f>
        <v>Central Europe</v>
      </c>
      <c r="H2487" t="s">
        <v>6949</v>
      </c>
    </row>
    <row r="2488" spans="1:8">
      <c r="A2488" t="s">
        <v>3395</v>
      </c>
      <c r="B2488" t="s">
        <v>673</v>
      </c>
      <c r="C2488" s="1">
        <v>45047</v>
      </c>
      <c r="D2488" s="1" t="str">
        <f>PROPER(orders[[#This Row],[order_priority]])</f>
        <v>Economy</v>
      </c>
      <c r="E2488" t="s">
        <v>13316</v>
      </c>
      <c r="F2488" t="str">
        <f>IFERROR(INDEX(customers[country], MATCH(orders[[#This Row],[customer_id]], customers[customer_id], 0)), "Unmapped")</f>
        <v>Sweden</v>
      </c>
      <c r="G2488" t="str">
        <f>IFERROR(INDEX(Region_Map[Region], MATCH(orders[[#This Row],[Customer_Country]], Region_Map[Country], 0)), "Unknown")</f>
        <v>Nordics</v>
      </c>
      <c r="H2488" t="s">
        <v>6949</v>
      </c>
    </row>
    <row r="2489" spans="1:8">
      <c r="A2489" t="s">
        <v>3396</v>
      </c>
      <c r="B2489" t="s">
        <v>136</v>
      </c>
      <c r="C2489" s="1">
        <v>44965</v>
      </c>
      <c r="D2489" s="1" t="str">
        <f>PROPER(orders[[#This Row],[order_priority]])</f>
        <v>Express</v>
      </c>
      <c r="E2489" t="s">
        <v>13318</v>
      </c>
      <c r="F2489" t="str">
        <f>IFERROR(INDEX(customers[country], MATCH(orders[[#This Row],[customer_id]], customers[customer_id], 0)), "Unmapped")</f>
        <v>Sweden</v>
      </c>
      <c r="G2489" t="str">
        <f>IFERROR(INDEX(Region_Map[Region], MATCH(orders[[#This Row],[Customer_Country]], Region_Map[Country], 0)), "Unknown")</f>
        <v>Nordics</v>
      </c>
      <c r="H2489" t="s">
        <v>6949</v>
      </c>
    </row>
    <row r="2490" spans="1:8">
      <c r="A2490" t="s">
        <v>3397</v>
      </c>
      <c r="B2490" t="s">
        <v>891</v>
      </c>
      <c r="C2490" s="1">
        <v>45304</v>
      </c>
      <c r="D2490" s="1" t="str">
        <f>PROPER(orders[[#This Row],[order_priority]])</f>
        <v>Standard</v>
      </c>
      <c r="E2490" t="s">
        <v>13317</v>
      </c>
      <c r="F2490" t="str">
        <f>IFERROR(INDEX(customers[country], MATCH(orders[[#This Row],[customer_id]], customers[customer_id], 0)), "Unmapped")</f>
        <v>Netherlands</v>
      </c>
      <c r="G2490" t="str">
        <f>IFERROR(INDEX(Region_Map[Region], MATCH(orders[[#This Row],[Customer_Country]], Region_Map[Country], 0)), "Unknown")</f>
        <v>Central Europe</v>
      </c>
      <c r="H2490" t="s">
        <v>6949</v>
      </c>
    </row>
    <row r="2491" spans="1:8">
      <c r="A2491" t="s">
        <v>3398</v>
      </c>
      <c r="B2491" t="s">
        <v>611</v>
      </c>
      <c r="C2491" s="1">
        <v>45224</v>
      </c>
      <c r="D2491" s="1" t="str">
        <f>PROPER(orders[[#This Row],[order_priority]])</f>
        <v>Economy</v>
      </c>
      <c r="E2491" t="s">
        <v>13316</v>
      </c>
      <c r="F2491" t="str">
        <f>IFERROR(INDEX(customers[country], MATCH(orders[[#This Row],[customer_id]], customers[customer_id], 0)), "Unmapped")</f>
        <v>Poland</v>
      </c>
      <c r="G2491" t="str">
        <f>IFERROR(INDEX(Region_Map[Region], MATCH(orders[[#This Row],[Customer_Country]], Region_Map[Country], 0)), "Unknown")</f>
        <v>Central Europe</v>
      </c>
      <c r="H2491" t="s">
        <v>6949</v>
      </c>
    </row>
    <row r="2492" spans="1:8">
      <c r="A2492" t="s">
        <v>3399</v>
      </c>
      <c r="B2492" t="s">
        <v>13345</v>
      </c>
      <c r="C2492" s="1">
        <v>45261</v>
      </c>
      <c r="D2492" s="1" t="str">
        <f>PROPER(orders[[#This Row],[order_priority]])</f>
        <v>Economy</v>
      </c>
      <c r="E2492" t="s">
        <v>13316</v>
      </c>
      <c r="F2492" t="str">
        <f>IFERROR(INDEX(customers[country], MATCH(orders[[#This Row],[customer_id]], customers[customer_id], 0)), "Unmapped")</f>
        <v>Unmapped</v>
      </c>
      <c r="G2492" t="str">
        <f>IFERROR(INDEX(Region_Map[Region], MATCH(orders[[#This Row],[Customer_Country]], Region_Map[Country], 0)), "Unknown")</f>
        <v>Unknown</v>
      </c>
      <c r="H2492" t="s">
        <v>6949</v>
      </c>
    </row>
    <row r="2493" spans="1:8">
      <c r="A2493" t="s">
        <v>3400</v>
      </c>
      <c r="B2493" t="s">
        <v>252</v>
      </c>
      <c r="C2493" s="1">
        <v>45350</v>
      </c>
      <c r="D2493" s="1" t="str">
        <f>PROPER(orders[[#This Row],[order_priority]])</f>
        <v>Standard</v>
      </c>
      <c r="E2493" t="s">
        <v>13317</v>
      </c>
      <c r="F2493" t="str">
        <f>IFERROR(INDEX(customers[country], MATCH(orders[[#This Row],[customer_id]], customers[customer_id], 0)), "Unmapped")</f>
        <v>Lithuania</v>
      </c>
      <c r="G2493" t="str">
        <f>IFERROR(INDEX(Region_Map[Region], MATCH(orders[[#This Row],[Customer_Country]], Region_Map[Country], 0)), "Unknown")</f>
        <v>Baltics</v>
      </c>
      <c r="H2493" t="s">
        <v>6949</v>
      </c>
    </row>
    <row r="2494" spans="1:8">
      <c r="A2494" t="s">
        <v>3401</v>
      </c>
      <c r="B2494" t="s">
        <v>255</v>
      </c>
      <c r="C2494" s="1">
        <v>45401</v>
      </c>
      <c r="D2494" s="1" t="str">
        <f>PROPER(orders[[#This Row],[order_priority]])</f>
        <v>Same Day</v>
      </c>
      <c r="E2494" t="s">
        <v>13322</v>
      </c>
      <c r="F2494" t="str">
        <f>IFERROR(INDEX(customers[country], MATCH(orders[[#This Row],[customer_id]], customers[customer_id], 0)), "Unmapped")</f>
        <v>Sweden</v>
      </c>
      <c r="G2494" t="str">
        <f>IFERROR(INDEX(Region_Map[Region], MATCH(orders[[#This Row],[Customer_Country]], Region_Map[Country], 0)), "Unknown")</f>
        <v>Nordics</v>
      </c>
      <c r="H2494" t="s">
        <v>6949</v>
      </c>
    </row>
    <row r="2495" spans="1:8">
      <c r="A2495" t="s">
        <v>3402</v>
      </c>
      <c r="B2495" t="s">
        <v>488</v>
      </c>
      <c r="C2495" s="1">
        <v>45335</v>
      </c>
      <c r="D2495" s="1" t="str">
        <f>PROPER(orders[[#This Row],[order_priority]])</f>
        <v>Express</v>
      </c>
      <c r="E2495" t="s">
        <v>13318</v>
      </c>
      <c r="F2495" t="str">
        <f>IFERROR(INDEX(customers[country], MATCH(orders[[#This Row],[customer_id]], customers[customer_id], 0)), "Unmapped")</f>
        <v>Netherlands</v>
      </c>
      <c r="G2495" t="str">
        <f>IFERROR(INDEX(Region_Map[Region], MATCH(orders[[#This Row],[Customer_Country]], Region_Map[Country], 0)), "Unknown")</f>
        <v>Central Europe</v>
      </c>
      <c r="H2495" t="s">
        <v>6949</v>
      </c>
    </row>
    <row r="2496" spans="1:8">
      <c r="A2496" t="s">
        <v>3403</v>
      </c>
      <c r="B2496" t="s">
        <v>793</v>
      </c>
      <c r="C2496" s="1">
        <v>45207</v>
      </c>
      <c r="D2496" s="1" t="str">
        <f>PROPER(orders[[#This Row],[order_priority]])</f>
        <v>Same Day</v>
      </c>
      <c r="E2496" t="s">
        <v>13322</v>
      </c>
      <c r="F2496" t="str">
        <f>IFERROR(INDEX(customers[country], MATCH(orders[[#This Row],[customer_id]], customers[customer_id], 0)), "Unmapped")</f>
        <v>Sweden</v>
      </c>
      <c r="G2496" t="str">
        <f>IFERROR(INDEX(Region_Map[Region], MATCH(orders[[#This Row],[Customer_Country]], Region_Map[Country], 0)), "Unknown")</f>
        <v>Nordics</v>
      </c>
      <c r="H2496" t="s">
        <v>6949</v>
      </c>
    </row>
    <row r="2497" spans="1:8">
      <c r="A2497" t="s">
        <v>3404</v>
      </c>
      <c r="B2497" t="s">
        <v>458</v>
      </c>
      <c r="C2497" s="1">
        <v>45546</v>
      </c>
      <c r="D2497" s="1" t="str">
        <f>PROPER(orders[[#This Row],[order_priority]])</f>
        <v>Same Day</v>
      </c>
      <c r="E2497" t="s">
        <v>13322</v>
      </c>
      <c r="F2497" t="str">
        <f>IFERROR(INDEX(customers[country], MATCH(orders[[#This Row],[customer_id]], customers[customer_id], 0)), "Unmapped")</f>
        <v>Poland</v>
      </c>
      <c r="G2497" t="str">
        <f>IFERROR(INDEX(Region_Map[Region], MATCH(orders[[#This Row],[Customer_Country]], Region_Map[Country], 0)), "Unknown")</f>
        <v>Central Europe</v>
      </c>
      <c r="H2497" t="s">
        <v>6949</v>
      </c>
    </row>
    <row r="2498" spans="1:8">
      <c r="A2498" t="s">
        <v>3405</v>
      </c>
      <c r="B2498" t="s">
        <v>614</v>
      </c>
      <c r="C2498" s="1">
        <v>45090</v>
      </c>
      <c r="D2498" s="1" t="str">
        <f>PROPER(orders[[#This Row],[order_priority]])</f>
        <v>Same Day</v>
      </c>
      <c r="E2498" t="s">
        <v>13321</v>
      </c>
      <c r="F2498" t="str">
        <f>IFERROR(INDEX(customers[country], MATCH(orders[[#This Row],[customer_id]], customers[customer_id], 0)), "Unmapped")</f>
        <v>Latvia</v>
      </c>
      <c r="G2498" t="str">
        <f>IFERROR(INDEX(Region_Map[Region], MATCH(orders[[#This Row],[Customer_Country]], Region_Map[Country], 0)), "Unknown")</f>
        <v>Baltics</v>
      </c>
      <c r="H2498" t="s">
        <v>6949</v>
      </c>
    </row>
    <row r="2499" spans="1:8">
      <c r="A2499" t="s">
        <v>3406</v>
      </c>
      <c r="B2499" t="s">
        <v>106</v>
      </c>
      <c r="C2499" s="1">
        <v>45074</v>
      </c>
      <c r="D2499" s="1" t="str">
        <f>PROPER(orders[[#This Row],[order_priority]])</f>
        <v>Express</v>
      </c>
      <c r="E2499" t="s">
        <v>13318</v>
      </c>
      <c r="F2499" t="str">
        <f>IFERROR(INDEX(customers[country], MATCH(orders[[#This Row],[customer_id]], customers[customer_id], 0)), "Unmapped")</f>
        <v>Lithuania</v>
      </c>
      <c r="G2499" t="str">
        <f>IFERROR(INDEX(Region_Map[Region], MATCH(orders[[#This Row],[Customer_Country]], Region_Map[Country], 0)), "Unknown")</f>
        <v>Baltics</v>
      </c>
      <c r="H2499" t="s">
        <v>6949</v>
      </c>
    </row>
    <row r="2500" spans="1:8">
      <c r="A2500" t="s">
        <v>3407</v>
      </c>
      <c r="B2500" t="s">
        <v>58</v>
      </c>
      <c r="C2500" s="1">
        <v>45397</v>
      </c>
      <c r="D2500" s="1" t="str">
        <f>PROPER(orders[[#This Row],[order_priority]])</f>
        <v>Same Day</v>
      </c>
      <c r="E2500" t="s">
        <v>13322</v>
      </c>
      <c r="F2500" t="str">
        <f>IFERROR(INDEX(customers[country], MATCH(orders[[#This Row],[customer_id]], customers[customer_id], 0)), "Unmapped")</f>
        <v>Germany</v>
      </c>
      <c r="G2500" t="str">
        <f>IFERROR(INDEX(Region_Map[Region], MATCH(orders[[#This Row],[Customer_Country]], Region_Map[Country], 0)), "Unknown")</f>
        <v>Central Europe</v>
      </c>
      <c r="H2500" t="s">
        <v>6949</v>
      </c>
    </row>
    <row r="2501" spans="1:8">
      <c r="A2501" t="s">
        <v>3408</v>
      </c>
      <c r="B2501" t="s">
        <v>518</v>
      </c>
      <c r="C2501" s="1">
        <v>45269</v>
      </c>
      <c r="D2501" s="1" t="str">
        <f>PROPER(orders[[#This Row],[order_priority]])</f>
        <v>Express</v>
      </c>
      <c r="E2501" t="s">
        <v>13318</v>
      </c>
      <c r="F2501" t="str">
        <f>IFERROR(INDEX(customers[country], MATCH(orders[[#This Row],[customer_id]], customers[customer_id], 0)), "Unmapped")</f>
        <v>Germany</v>
      </c>
      <c r="G2501" t="str">
        <f>IFERROR(INDEX(Region_Map[Region], MATCH(orders[[#This Row],[Customer_Country]], Region_Map[Country], 0)), "Unknown")</f>
        <v>Central Europe</v>
      </c>
      <c r="H2501" t="s">
        <v>6949</v>
      </c>
    </row>
    <row r="2502" spans="1:8">
      <c r="A2502" t="s">
        <v>3409</v>
      </c>
      <c r="B2502" t="s">
        <v>533</v>
      </c>
      <c r="C2502" s="1">
        <v>45198</v>
      </c>
      <c r="D2502" s="1" t="str">
        <f>PROPER(orders[[#This Row],[order_priority]])</f>
        <v>Same Day</v>
      </c>
      <c r="E2502" t="s">
        <v>13322</v>
      </c>
      <c r="F2502" t="str">
        <f>IFERROR(INDEX(customers[country], MATCH(orders[[#This Row],[customer_id]], customers[customer_id], 0)), "Unmapped")</f>
        <v>Germany</v>
      </c>
      <c r="G2502" t="str">
        <f>IFERROR(INDEX(Region_Map[Region], MATCH(orders[[#This Row],[Customer_Country]], Region_Map[Country], 0)), "Unknown")</f>
        <v>Central Europe</v>
      </c>
      <c r="H2502" t="s">
        <v>6949</v>
      </c>
    </row>
    <row r="2503" spans="1:8">
      <c r="A2503" t="s">
        <v>3410</v>
      </c>
      <c r="B2503" t="s">
        <v>542</v>
      </c>
      <c r="C2503" s="1">
        <v>45001</v>
      </c>
      <c r="D2503" s="1" t="str">
        <f>PROPER(orders[[#This Row],[order_priority]])</f>
        <v>Economy</v>
      </c>
      <c r="E2503" t="s">
        <v>13316</v>
      </c>
      <c r="F2503" t="str">
        <f>IFERROR(INDEX(customers[country], MATCH(orders[[#This Row],[customer_id]], customers[customer_id], 0)), "Unmapped")</f>
        <v>Poland</v>
      </c>
      <c r="G2503" t="str">
        <f>IFERROR(INDEX(Region_Map[Region], MATCH(orders[[#This Row],[Customer_Country]], Region_Map[Country], 0)), "Unknown")</f>
        <v>Central Europe</v>
      </c>
      <c r="H2503" t="s">
        <v>6949</v>
      </c>
    </row>
    <row r="2504" spans="1:8">
      <c r="A2504" t="s">
        <v>3411</v>
      </c>
      <c r="B2504" t="s">
        <v>876</v>
      </c>
      <c r="C2504" s="1">
        <v>45218</v>
      </c>
      <c r="D2504" s="1" t="str">
        <f>PROPER(orders[[#This Row],[order_priority]])</f>
        <v>Express</v>
      </c>
      <c r="E2504" t="s">
        <v>13326</v>
      </c>
      <c r="F2504" t="str">
        <f>IFERROR(INDEX(customers[country], MATCH(orders[[#This Row],[customer_id]], customers[customer_id], 0)), "Unmapped")</f>
        <v>Estonia</v>
      </c>
      <c r="G2504" t="str">
        <f>IFERROR(INDEX(Region_Map[Region], MATCH(orders[[#This Row],[Customer_Country]], Region_Map[Country], 0)), "Unknown")</f>
        <v>Baltics</v>
      </c>
      <c r="H2504" t="s">
        <v>6949</v>
      </c>
    </row>
    <row r="2505" spans="1:8">
      <c r="A2505" t="s">
        <v>3412</v>
      </c>
      <c r="B2505" t="s">
        <v>374</v>
      </c>
      <c r="C2505" s="1">
        <v>45038</v>
      </c>
      <c r="D2505" s="1" t="str">
        <f>PROPER(orders[[#This Row],[order_priority]])</f>
        <v>Economy</v>
      </c>
      <c r="E2505" t="s">
        <v>13316</v>
      </c>
      <c r="F2505" t="str">
        <f>IFERROR(INDEX(customers[country], MATCH(orders[[#This Row],[customer_id]], customers[customer_id], 0)), "Unmapped")</f>
        <v>Estonia</v>
      </c>
      <c r="G2505" t="str">
        <f>IFERROR(INDEX(Region_Map[Region], MATCH(orders[[#This Row],[Customer_Country]], Region_Map[Country], 0)), "Unknown")</f>
        <v>Baltics</v>
      </c>
      <c r="H2505" t="s">
        <v>6949</v>
      </c>
    </row>
    <row r="2506" spans="1:8">
      <c r="A2506" t="s">
        <v>3413</v>
      </c>
      <c r="B2506" t="s">
        <v>524</v>
      </c>
      <c r="C2506" s="1">
        <v>45391</v>
      </c>
      <c r="D2506" s="1" t="str">
        <f>PROPER(orders[[#This Row],[order_priority]])</f>
        <v>Same Day</v>
      </c>
      <c r="E2506" t="s">
        <v>13322</v>
      </c>
      <c r="F2506" t="str">
        <f>IFERROR(INDEX(customers[country], MATCH(orders[[#This Row],[customer_id]], customers[customer_id], 0)), "Unmapped")</f>
        <v>Norway</v>
      </c>
      <c r="G2506" t="str">
        <f>IFERROR(INDEX(Region_Map[Region], MATCH(orders[[#This Row],[Customer_Country]], Region_Map[Country], 0)), "Unknown")</f>
        <v>Nordics</v>
      </c>
      <c r="H2506" t="s">
        <v>6949</v>
      </c>
    </row>
    <row r="2507" spans="1:8">
      <c r="A2507" t="s">
        <v>3414</v>
      </c>
      <c r="B2507" t="s">
        <v>353</v>
      </c>
      <c r="C2507" s="1">
        <v>45226</v>
      </c>
      <c r="D2507" s="1" t="str">
        <f>PROPER(orders[[#This Row],[order_priority]])</f>
        <v>Economy</v>
      </c>
      <c r="E2507" t="s">
        <v>13328</v>
      </c>
      <c r="F2507" t="str">
        <f>IFERROR(INDEX(customers[country], MATCH(orders[[#This Row],[customer_id]], customers[customer_id], 0)), "Unmapped")</f>
        <v>Estonia</v>
      </c>
      <c r="G2507" t="str">
        <f>IFERROR(INDEX(Region_Map[Region], MATCH(orders[[#This Row],[Customer_Country]], Region_Map[Country], 0)), "Unknown")</f>
        <v>Baltics</v>
      </c>
      <c r="H2507" t="s">
        <v>6949</v>
      </c>
    </row>
    <row r="2508" spans="1:8">
      <c r="A2508" t="s">
        <v>3415</v>
      </c>
      <c r="B2508" t="s">
        <v>115</v>
      </c>
      <c r="C2508" s="1">
        <v>45502</v>
      </c>
      <c r="D2508" s="1" t="str">
        <f>PROPER(orders[[#This Row],[order_priority]])</f>
        <v>Standard</v>
      </c>
      <c r="E2508" t="s">
        <v>13317</v>
      </c>
      <c r="F2508" t="str">
        <f>IFERROR(INDEX(customers[country], MATCH(orders[[#This Row],[customer_id]], customers[customer_id], 0)), "Unmapped")</f>
        <v>Finland</v>
      </c>
      <c r="G2508" t="str">
        <f>IFERROR(INDEX(Region_Map[Region], MATCH(orders[[#This Row],[Customer_Country]], Region_Map[Country], 0)), "Unknown")</f>
        <v>Nordics</v>
      </c>
      <c r="H2508" t="s">
        <v>6949</v>
      </c>
    </row>
    <row r="2509" spans="1:8">
      <c r="A2509" t="s">
        <v>3416</v>
      </c>
      <c r="B2509" t="s">
        <v>658</v>
      </c>
      <c r="C2509" s="1">
        <v>45310</v>
      </c>
      <c r="D2509" s="1" t="str">
        <f>PROPER(orders[[#This Row],[order_priority]])</f>
        <v>Standard</v>
      </c>
      <c r="E2509" t="s">
        <v>13317</v>
      </c>
      <c r="F2509" t="str">
        <f>IFERROR(INDEX(customers[country], MATCH(orders[[#This Row],[customer_id]], customers[customer_id], 0)), "Unmapped")</f>
        <v>Latvia</v>
      </c>
      <c r="G2509" t="str">
        <f>IFERROR(INDEX(Region_Map[Region], MATCH(orders[[#This Row],[Customer_Country]], Region_Map[Country], 0)), "Unknown")</f>
        <v>Baltics</v>
      </c>
      <c r="H2509" t="s">
        <v>6949</v>
      </c>
    </row>
    <row r="2510" spans="1:8">
      <c r="A2510" t="s">
        <v>3417</v>
      </c>
      <c r="B2510" t="s">
        <v>6949</v>
      </c>
      <c r="C2510" s="1">
        <v>45540</v>
      </c>
      <c r="D2510" s="1" t="str">
        <f>PROPER(orders[[#This Row],[order_priority]])</f>
        <v>Same Day</v>
      </c>
      <c r="E2510" t="s">
        <v>13324</v>
      </c>
      <c r="F2510" t="str">
        <f>IFERROR(INDEX(customers[country], MATCH(orders[[#This Row],[customer_id]], customers[customer_id], 0)), "Unmapped")</f>
        <v>Unmapped</v>
      </c>
      <c r="G2510" t="str">
        <f>IFERROR(INDEX(Region_Map[Region], MATCH(orders[[#This Row],[Customer_Country]], Region_Map[Country], 0)), "Unknown")</f>
        <v>Unknown</v>
      </c>
      <c r="H2510" t="s">
        <v>6949</v>
      </c>
    </row>
    <row r="2511" spans="1:8">
      <c r="A2511" t="s">
        <v>3418</v>
      </c>
      <c r="B2511" t="s">
        <v>58</v>
      </c>
      <c r="C2511" s="1">
        <v>45624</v>
      </c>
      <c r="D2511" s="1" t="str">
        <f>PROPER(orders[[#This Row],[order_priority]])</f>
        <v>Economy</v>
      </c>
      <c r="E2511" t="s">
        <v>13316</v>
      </c>
      <c r="F2511" t="str">
        <f>IFERROR(INDEX(customers[country], MATCH(orders[[#This Row],[customer_id]], customers[customer_id], 0)), "Unmapped")</f>
        <v>Germany</v>
      </c>
      <c r="G2511" t="str">
        <f>IFERROR(INDEX(Region_Map[Region], MATCH(orders[[#This Row],[Customer_Country]], Region_Map[Country], 0)), "Unknown")</f>
        <v>Central Europe</v>
      </c>
      <c r="H2511" t="s">
        <v>6949</v>
      </c>
    </row>
    <row r="2512" spans="1:8">
      <c r="A2512" t="s">
        <v>3419</v>
      </c>
      <c r="B2512" t="s">
        <v>356</v>
      </c>
      <c r="C2512" s="1">
        <v>45037</v>
      </c>
      <c r="D2512" s="1" t="str">
        <f>PROPER(orders[[#This Row],[order_priority]])</f>
        <v>Express</v>
      </c>
      <c r="E2512" t="s">
        <v>13318</v>
      </c>
      <c r="F2512" t="str">
        <f>IFERROR(INDEX(customers[country], MATCH(orders[[#This Row],[customer_id]], customers[customer_id], 0)), "Unmapped")</f>
        <v>Netherlands</v>
      </c>
      <c r="G2512" t="str">
        <f>IFERROR(INDEX(Region_Map[Region], MATCH(orders[[#This Row],[Customer_Country]], Region_Map[Country], 0)), "Unknown")</f>
        <v>Central Europe</v>
      </c>
      <c r="H2512" t="s">
        <v>6949</v>
      </c>
    </row>
    <row r="2513" spans="1:8">
      <c r="A2513" t="s">
        <v>3420</v>
      </c>
      <c r="B2513" t="s">
        <v>276</v>
      </c>
      <c r="C2513" s="1">
        <v>45078</v>
      </c>
      <c r="D2513" s="1" t="str">
        <f>PROPER(orders[[#This Row],[order_priority]])</f>
        <v>Standard</v>
      </c>
      <c r="E2513" t="s">
        <v>13317</v>
      </c>
      <c r="F2513" t="str">
        <f>IFERROR(INDEX(customers[country], MATCH(orders[[#This Row],[customer_id]], customers[customer_id], 0)), "Unmapped")</f>
        <v>Sweden</v>
      </c>
      <c r="G2513" t="str">
        <f>IFERROR(INDEX(Region_Map[Region], MATCH(orders[[#This Row],[Customer_Country]], Region_Map[Country], 0)), "Unknown")</f>
        <v>Nordics</v>
      </c>
      <c r="H2513" t="s">
        <v>6949</v>
      </c>
    </row>
    <row r="2514" spans="1:8">
      <c r="A2514" t="s">
        <v>3421</v>
      </c>
      <c r="B2514" t="s">
        <v>873</v>
      </c>
      <c r="C2514" s="1">
        <v>45256</v>
      </c>
      <c r="D2514" s="1" t="str">
        <f>PROPER(orders[[#This Row],[order_priority]])</f>
        <v>Same Day</v>
      </c>
      <c r="E2514" t="s">
        <v>13322</v>
      </c>
      <c r="F2514" t="str">
        <f>IFERROR(INDEX(customers[country], MATCH(orders[[#This Row],[customer_id]], customers[customer_id], 0)), "Unmapped")</f>
        <v>Estonia</v>
      </c>
      <c r="G2514" t="str">
        <f>IFERROR(INDEX(Region_Map[Region], MATCH(orders[[#This Row],[Customer_Country]], Region_Map[Country], 0)), "Unknown")</f>
        <v>Baltics</v>
      </c>
      <c r="H2514" t="s">
        <v>6949</v>
      </c>
    </row>
    <row r="2515" spans="1:8">
      <c r="A2515" t="s">
        <v>3422</v>
      </c>
      <c r="B2515" t="s">
        <v>428</v>
      </c>
      <c r="C2515" s="1">
        <v>44931</v>
      </c>
      <c r="D2515" s="1" t="str">
        <f>PROPER(orders[[#This Row],[order_priority]])</f>
        <v>Economy</v>
      </c>
      <c r="E2515" t="s">
        <v>13316</v>
      </c>
      <c r="F2515" t="str">
        <f>IFERROR(INDEX(customers[country], MATCH(orders[[#This Row],[customer_id]], customers[customer_id], 0)), "Unmapped")</f>
        <v>Finland</v>
      </c>
      <c r="G2515" t="str">
        <f>IFERROR(INDEX(Region_Map[Region], MATCH(orders[[#This Row],[Customer_Country]], Region_Map[Country], 0)), "Unknown")</f>
        <v>Nordics</v>
      </c>
      <c r="H2515" t="s">
        <v>6949</v>
      </c>
    </row>
    <row r="2516" spans="1:8">
      <c r="A2516" t="s">
        <v>3423</v>
      </c>
      <c r="B2516" t="s">
        <v>413</v>
      </c>
      <c r="C2516" s="1">
        <v>45077</v>
      </c>
      <c r="D2516" s="1" t="str">
        <f>PROPER(orders[[#This Row],[order_priority]])</f>
        <v>Express</v>
      </c>
      <c r="E2516" t="s">
        <v>13318</v>
      </c>
      <c r="F2516" t="str">
        <f>IFERROR(INDEX(customers[country], MATCH(orders[[#This Row],[customer_id]], customers[customer_id], 0)), "Unmapped")</f>
        <v>Poland</v>
      </c>
      <c r="G2516" t="str">
        <f>IFERROR(INDEX(Region_Map[Region], MATCH(orders[[#This Row],[Customer_Country]], Region_Map[Country], 0)), "Unknown")</f>
        <v>Central Europe</v>
      </c>
      <c r="H2516" t="s">
        <v>6949</v>
      </c>
    </row>
    <row r="2517" spans="1:8">
      <c r="A2517" t="s">
        <v>3424</v>
      </c>
      <c r="B2517" t="s">
        <v>741</v>
      </c>
      <c r="C2517" s="1">
        <v>45323</v>
      </c>
      <c r="D2517" s="1" t="str">
        <f>PROPER(orders[[#This Row],[order_priority]])</f>
        <v>Express</v>
      </c>
      <c r="E2517" t="s">
        <v>13318</v>
      </c>
      <c r="F2517" t="str">
        <f>IFERROR(INDEX(customers[country], MATCH(orders[[#This Row],[customer_id]], customers[customer_id], 0)), "Unmapped")</f>
        <v>Germany</v>
      </c>
      <c r="G2517" t="str">
        <f>IFERROR(INDEX(Region_Map[Region], MATCH(orders[[#This Row],[Customer_Country]], Region_Map[Country], 0)), "Unknown")</f>
        <v>Central Europe</v>
      </c>
      <c r="H2517" t="s">
        <v>6949</v>
      </c>
    </row>
    <row r="2518" spans="1:8">
      <c r="A2518" t="s">
        <v>3425</v>
      </c>
      <c r="B2518" t="s">
        <v>758</v>
      </c>
      <c r="C2518" s="1">
        <v>45577</v>
      </c>
      <c r="D2518" s="1" t="str">
        <f>PROPER(orders[[#This Row],[order_priority]])</f>
        <v>Standard</v>
      </c>
      <c r="E2518" t="s">
        <v>13317</v>
      </c>
      <c r="F2518" t="str">
        <f>IFERROR(INDEX(customers[country], MATCH(orders[[#This Row],[customer_id]], customers[customer_id], 0)), "Unmapped")</f>
        <v>Estonia</v>
      </c>
      <c r="G2518" t="str">
        <f>IFERROR(INDEX(Region_Map[Region], MATCH(orders[[#This Row],[Customer_Country]], Region_Map[Country], 0)), "Unknown")</f>
        <v>Baltics</v>
      </c>
      <c r="H2518" t="s">
        <v>6949</v>
      </c>
    </row>
    <row r="2519" spans="1:8">
      <c r="A2519" t="s">
        <v>3426</v>
      </c>
      <c r="B2519" t="s">
        <v>536</v>
      </c>
      <c r="C2519" s="1">
        <v>45514</v>
      </c>
      <c r="D2519" s="1" t="str">
        <f>PROPER(orders[[#This Row],[order_priority]])</f>
        <v>Express</v>
      </c>
      <c r="E2519" t="s">
        <v>13326</v>
      </c>
      <c r="F2519" t="str">
        <f>IFERROR(INDEX(customers[country], MATCH(orders[[#This Row],[customer_id]], customers[customer_id], 0)), "Unmapped")</f>
        <v>Germany</v>
      </c>
      <c r="G2519" t="str">
        <f>IFERROR(INDEX(Region_Map[Region], MATCH(orders[[#This Row],[Customer_Country]], Region_Map[Country], 0)), "Unknown")</f>
        <v>Central Europe</v>
      </c>
      <c r="H2519" t="s">
        <v>6949</v>
      </c>
    </row>
    <row r="2520" spans="1:8">
      <c r="A2520" t="s">
        <v>3427</v>
      </c>
      <c r="B2520" t="s">
        <v>219</v>
      </c>
      <c r="C2520" s="1">
        <v>45083</v>
      </c>
      <c r="D2520" s="1" t="str">
        <f>PROPER(orders[[#This Row],[order_priority]])</f>
        <v>Standard</v>
      </c>
      <c r="E2520" t="s">
        <v>13317</v>
      </c>
      <c r="F2520" t="str">
        <f>IFERROR(INDEX(customers[country], MATCH(orders[[#This Row],[customer_id]], customers[customer_id], 0)), "Unmapped")</f>
        <v>Latvia</v>
      </c>
      <c r="G2520" t="str">
        <f>IFERROR(INDEX(Region_Map[Region], MATCH(orders[[#This Row],[Customer_Country]], Region_Map[Country], 0)), "Unknown")</f>
        <v>Baltics</v>
      </c>
      <c r="H2520" t="s">
        <v>6949</v>
      </c>
    </row>
    <row r="2521" spans="1:8">
      <c r="A2521" t="s">
        <v>3428</v>
      </c>
      <c r="B2521" t="s">
        <v>593</v>
      </c>
      <c r="C2521" s="1">
        <v>45593</v>
      </c>
      <c r="D2521" s="1" t="str">
        <f>PROPER(orders[[#This Row],[order_priority]])</f>
        <v>Express</v>
      </c>
      <c r="E2521" t="s">
        <v>13318</v>
      </c>
      <c r="F2521" t="str">
        <f>IFERROR(INDEX(customers[country], MATCH(orders[[#This Row],[customer_id]], customers[customer_id], 0)), "Unmapped")</f>
        <v>Estonia</v>
      </c>
      <c r="G2521" t="str">
        <f>IFERROR(INDEX(Region_Map[Region], MATCH(orders[[#This Row],[Customer_Country]], Region_Map[Country], 0)), "Unknown")</f>
        <v>Baltics</v>
      </c>
      <c r="H2521" t="s">
        <v>6949</v>
      </c>
    </row>
    <row r="2522" spans="1:8">
      <c r="A2522" t="s">
        <v>3429</v>
      </c>
      <c r="B2522" t="s">
        <v>291</v>
      </c>
      <c r="C2522" s="1">
        <v>45157</v>
      </c>
      <c r="D2522" s="1" t="str">
        <f>PROPER(orders[[#This Row],[order_priority]])</f>
        <v>Same Day</v>
      </c>
      <c r="E2522" t="s">
        <v>13322</v>
      </c>
      <c r="F2522" t="str">
        <f>IFERROR(INDEX(customers[country], MATCH(orders[[#This Row],[customer_id]], customers[customer_id], 0)), "Unmapped")</f>
        <v>Poland</v>
      </c>
      <c r="G2522" t="str">
        <f>IFERROR(INDEX(Region_Map[Region], MATCH(orders[[#This Row],[Customer_Country]], Region_Map[Country], 0)), "Unknown")</f>
        <v>Central Europe</v>
      </c>
      <c r="H2522" t="s">
        <v>6949</v>
      </c>
    </row>
    <row r="2523" spans="1:8">
      <c r="A2523" t="s">
        <v>3430</v>
      </c>
      <c r="B2523" t="s">
        <v>404</v>
      </c>
      <c r="C2523" s="1">
        <v>45295</v>
      </c>
      <c r="D2523" s="1" t="str">
        <f>PROPER(orders[[#This Row],[order_priority]])</f>
        <v>Express</v>
      </c>
      <c r="E2523" t="s">
        <v>13318</v>
      </c>
      <c r="F2523" t="str">
        <f>IFERROR(INDEX(customers[country], MATCH(orders[[#This Row],[customer_id]], customers[customer_id], 0)), "Unmapped")</f>
        <v>Latvia</v>
      </c>
      <c r="G2523" t="str">
        <f>IFERROR(INDEX(Region_Map[Region], MATCH(orders[[#This Row],[Customer_Country]], Region_Map[Country], 0)), "Unknown")</f>
        <v>Baltics</v>
      </c>
      <c r="H2523" t="s">
        <v>6949</v>
      </c>
    </row>
    <row r="2524" spans="1:8">
      <c r="A2524" t="s">
        <v>3431</v>
      </c>
      <c r="B2524" t="s">
        <v>527</v>
      </c>
      <c r="C2524" s="1">
        <v>45085</v>
      </c>
      <c r="D2524" s="1" t="str">
        <f>PROPER(orders[[#This Row],[order_priority]])</f>
        <v>Express</v>
      </c>
      <c r="E2524" t="s">
        <v>13318</v>
      </c>
      <c r="F2524" t="str">
        <f>IFERROR(INDEX(customers[country], MATCH(orders[[#This Row],[customer_id]], customers[customer_id], 0)), "Unmapped")</f>
        <v>Sweden</v>
      </c>
      <c r="G2524" t="str">
        <f>IFERROR(INDEX(Region_Map[Region], MATCH(orders[[#This Row],[Customer_Country]], Region_Map[Country], 0)), "Unknown")</f>
        <v>Nordics</v>
      </c>
      <c r="H2524" t="s">
        <v>6949</v>
      </c>
    </row>
    <row r="2525" spans="1:8">
      <c r="A2525" t="s">
        <v>3432</v>
      </c>
      <c r="B2525" t="s">
        <v>909</v>
      </c>
      <c r="C2525" s="1">
        <v>45276</v>
      </c>
      <c r="D2525" s="1" t="str">
        <f>PROPER(orders[[#This Row],[order_priority]])</f>
        <v>Standard</v>
      </c>
      <c r="E2525" t="s">
        <v>13317</v>
      </c>
      <c r="F2525" t="str">
        <f>IFERROR(INDEX(customers[country], MATCH(orders[[#This Row],[customer_id]], customers[customer_id], 0)), "Unmapped")</f>
        <v>Poland</v>
      </c>
      <c r="G2525" t="str">
        <f>IFERROR(INDEX(Region_Map[Region], MATCH(orders[[#This Row],[Customer_Country]], Region_Map[Country], 0)), "Unknown")</f>
        <v>Central Europe</v>
      </c>
      <c r="H2525" t="s">
        <v>6949</v>
      </c>
    </row>
    <row r="2526" spans="1:8">
      <c r="A2526" t="s">
        <v>3433</v>
      </c>
      <c r="B2526" t="s">
        <v>831</v>
      </c>
      <c r="C2526" s="1">
        <v>45211</v>
      </c>
      <c r="D2526" s="1" t="str">
        <f>PROPER(orders[[#This Row],[order_priority]])</f>
        <v>Economy</v>
      </c>
      <c r="E2526" t="s">
        <v>13316</v>
      </c>
      <c r="F2526" t="str">
        <f>IFERROR(INDEX(customers[country], MATCH(orders[[#This Row],[customer_id]], customers[customer_id], 0)), "Unmapped")</f>
        <v>Norway</v>
      </c>
      <c r="G2526" t="str">
        <f>IFERROR(INDEX(Region_Map[Region], MATCH(orders[[#This Row],[Customer_Country]], Region_Map[Country], 0)), "Unknown")</f>
        <v>Nordics</v>
      </c>
      <c r="H2526" t="s">
        <v>6949</v>
      </c>
    </row>
    <row r="2527" spans="1:8">
      <c r="A2527" t="s">
        <v>3434</v>
      </c>
      <c r="B2527" t="s">
        <v>198</v>
      </c>
      <c r="C2527" s="1">
        <v>45033</v>
      </c>
      <c r="D2527" s="1" t="str">
        <f>PROPER(orders[[#This Row],[order_priority]])</f>
        <v>Express</v>
      </c>
      <c r="E2527" t="s">
        <v>13318</v>
      </c>
      <c r="F2527" t="str">
        <f>IFERROR(INDEX(customers[country], MATCH(orders[[#This Row],[customer_id]], customers[customer_id], 0)), "Unmapped")</f>
        <v>Poland</v>
      </c>
      <c r="G2527" t="str">
        <f>IFERROR(INDEX(Region_Map[Region], MATCH(orders[[#This Row],[Customer_Country]], Region_Map[Country], 0)), "Unknown")</f>
        <v>Central Europe</v>
      </c>
      <c r="H2527" t="s">
        <v>6949</v>
      </c>
    </row>
    <row r="2528" spans="1:8">
      <c r="A2528" t="s">
        <v>3435</v>
      </c>
      <c r="B2528" t="s">
        <v>763</v>
      </c>
      <c r="C2528" s="1">
        <v>45237</v>
      </c>
      <c r="D2528" s="1" t="str">
        <f>PROPER(orders[[#This Row],[order_priority]])</f>
        <v>Express</v>
      </c>
      <c r="E2528" t="s">
        <v>13318</v>
      </c>
      <c r="F2528" t="str">
        <f>IFERROR(INDEX(customers[country], MATCH(orders[[#This Row],[customer_id]], customers[customer_id], 0)), "Unmapped")</f>
        <v>Estonia</v>
      </c>
      <c r="G2528" t="str">
        <f>IFERROR(INDEX(Region_Map[Region], MATCH(orders[[#This Row],[Customer_Country]], Region_Map[Country], 0)), "Unknown")</f>
        <v>Baltics</v>
      </c>
      <c r="H2528" t="s">
        <v>6949</v>
      </c>
    </row>
    <row r="2529" spans="1:8">
      <c r="A2529" t="s">
        <v>3436</v>
      </c>
      <c r="B2529" t="s">
        <v>852</v>
      </c>
      <c r="C2529" s="1">
        <v>45260</v>
      </c>
      <c r="D2529" s="1" t="str">
        <f>PROPER(orders[[#This Row],[order_priority]])</f>
        <v>Same Day</v>
      </c>
      <c r="E2529" t="s">
        <v>13322</v>
      </c>
      <c r="F2529" t="str">
        <f>IFERROR(INDEX(customers[country], MATCH(orders[[#This Row],[customer_id]], customers[customer_id], 0)), "Unmapped")</f>
        <v>Sweden</v>
      </c>
      <c r="G2529" t="str">
        <f>IFERROR(INDEX(Region_Map[Region], MATCH(orders[[#This Row],[Customer_Country]], Region_Map[Country], 0)), "Unknown")</f>
        <v>Nordics</v>
      </c>
      <c r="H2529" t="s">
        <v>6949</v>
      </c>
    </row>
    <row r="2530" spans="1:8">
      <c r="A2530" t="s">
        <v>3437</v>
      </c>
      <c r="B2530" t="s">
        <v>834</v>
      </c>
      <c r="C2530" s="1">
        <v>45337</v>
      </c>
      <c r="D2530" s="1" t="str">
        <f>PROPER(orders[[#This Row],[order_priority]])</f>
        <v>Express</v>
      </c>
      <c r="E2530" t="s">
        <v>13318</v>
      </c>
      <c r="F2530" t="str">
        <f>IFERROR(INDEX(customers[country], MATCH(orders[[#This Row],[customer_id]], customers[customer_id], 0)), "Unmapped")</f>
        <v>Denmark</v>
      </c>
      <c r="G2530" t="str">
        <f>IFERROR(INDEX(Region_Map[Region], MATCH(orders[[#This Row],[Customer_Country]], Region_Map[Country], 0)), "Unknown")</f>
        <v>Nordics</v>
      </c>
      <c r="H2530" t="s">
        <v>6949</v>
      </c>
    </row>
    <row r="2531" spans="1:8">
      <c r="A2531" t="s">
        <v>3438</v>
      </c>
      <c r="B2531" t="s">
        <v>743</v>
      </c>
      <c r="C2531" s="1">
        <v>45243</v>
      </c>
      <c r="D2531" s="1" t="str">
        <f>PROPER(orders[[#This Row],[order_priority]])</f>
        <v>Express</v>
      </c>
      <c r="E2531" t="s">
        <v>13318</v>
      </c>
      <c r="F2531" t="str">
        <f>IFERROR(INDEX(customers[country], MATCH(orders[[#This Row],[customer_id]], customers[customer_id], 0)), "Unmapped")</f>
        <v>Germany</v>
      </c>
      <c r="G2531" t="str">
        <f>IFERROR(INDEX(Region_Map[Region], MATCH(orders[[#This Row],[Customer_Country]], Region_Map[Country], 0)), "Unknown")</f>
        <v>Central Europe</v>
      </c>
      <c r="H2531" t="s">
        <v>6949</v>
      </c>
    </row>
    <row r="2532" spans="1:8">
      <c r="A2532" t="s">
        <v>3439</v>
      </c>
      <c r="B2532" t="s">
        <v>599</v>
      </c>
      <c r="C2532" s="1">
        <v>45235</v>
      </c>
      <c r="D2532" s="1" t="str">
        <f>PROPER(orders[[#This Row],[order_priority]])</f>
        <v>Standard</v>
      </c>
      <c r="E2532" t="s">
        <v>13317</v>
      </c>
      <c r="F2532" t="str">
        <f>IFERROR(INDEX(customers[country], MATCH(orders[[#This Row],[customer_id]], customers[customer_id], 0)), "Unmapped")</f>
        <v>Germany</v>
      </c>
      <c r="G2532" t="str">
        <f>IFERROR(INDEX(Region_Map[Region], MATCH(orders[[#This Row],[Customer_Country]], Region_Map[Country], 0)), "Unknown")</f>
        <v>Central Europe</v>
      </c>
      <c r="H2532" t="s">
        <v>6949</v>
      </c>
    </row>
    <row r="2533" spans="1:8">
      <c r="A2533" t="s">
        <v>3440</v>
      </c>
      <c r="B2533" t="s">
        <v>485</v>
      </c>
      <c r="C2533" s="1">
        <v>45279</v>
      </c>
      <c r="D2533" s="1" t="str">
        <f>PROPER(orders[[#This Row],[order_priority]])</f>
        <v>Express</v>
      </c>
      <c r="E2533" t="s">
        <v>13318</v>
      </c>
      <c r="F2533" t="str">
        <f>IFERROR(INDEX(customers[country], MATCH(orders[[#This Row],[customer_id]], customers[customer_id], 0)), "Unmapped")</f>
        <v>Latvia</v>
      </c>
      <c r="G2533" t="str">
        <f>IFERROR(INDEX(Region_Map[Region], MATCH(orders[[#This Row],[Customer_Country]], Region_Map[Country], 0)), "Unknown")</f>
        <v>Baltics</v>
      </c>
      <c r="H2533" t="s">
        <v>6949</v>
      </c>
    </row>
    <row r="2534" spans="1:8">
      <c r="A2534" t="s">
        <v>3441</v>
      </c>
      <c r="B2534" t="s">
        <v>154</v>
      </c>
      <c r="C2534" s="1">
        <v>45556</v>
      </c>
      <c r="D2534" s="1" t="str">
        <f>PROPER(orders[[#This Row],[order_priority]])</f>
        <v>Standard</v>
      </c>
      <c r="E2534" t="s">
        <v>13317</v>
      </c>
      <c r="F2534" t="str">
        <f>IFERROR(INDEX(customers[country], MATCH(orders[[#This Row],[customer_id]], customers[customer_id], 0)), "Unmapped")</f>
        <v>Lithuania</v>
      </c>
      <c r="G2534" t="str">
        <f>IFERROR(INDEX(Region_Map[Region], MATCH(orders[[#This Row],[Customer_Country]], Region_Map[Country], 0)), "Unknown")</f>
        <v>Baltics</v>
      </c>
      <c r="H2534" t="s">
        <v>6949</v>
      </c>
    </row>
    <row r="2535" spans="1:8">
      <c r="A2535" t="s">
        <v>3442</v>
      </c>
      <c r="B2535" t="s">
        <v>849</v>
      </c>
      <c r="C2535" s="1">
        <v>45111</v>
      </c>
      <c r="D2535" s="1" t="str">
        <f>PROPER(orders[[#This Row],[order_priority]])</f>
        <v>Express</v>
      </c>
      <c r="E2535" t="s">
        <v>13318</v>
      </c>
      <c r="F2535" t="str">
        <f>IFERROR(INDEX(customers[country], MATCH(orders[[#This Row],[customer_id]], customers[customer_id], 0)), "Unmapped")</f>
        <v>Lithuania</v>
      </c>
      <c r="G2535" t="str">
        <f>IFERROR(INDEX(Region_Map[Region], MATCH(orders[[#This Row],[Customer_Country]], Region_Map[Country], 0)), "Unknown")</f>
        <v>Baltics</v>
      </c>
      <c r="H2535" t="s">
        <v>6949</v>
      </c>
    </row>
    <row r="2536" spans="1:8">
      <c r="A2536" t="s">
        <v>3443</v>
      </c>
      <c r="B2536" t="s">
        <v>530</v>
      </c>
      <c r="C2536" s="1">
        <v>45145</v>
      </c>
      <c r="D2536" s="1" t="str">
        <f>PROPER(orders[[#This Row],[order_priority]])</f>
        <v>Standard</v>
      </c>
      <c r="E2536" t="s">
        <v>13317</v>
      </c>
      <c r="F2536" t="str">
        <f>IFERROR(INDEX(customers[country], MATCH(orders[[#This Row],[customer_id]], customers[customer_id], 0)), "Unmapped")</f>
        <v>Denmark</v>
      </c>
      <c r="G2536" t="str">
        <f>IFERROR(INDEX(Region_Map[Region], MATCH(orders[[#This Row],[Customer_Country]], Region_Map[Country], 0)), "Unknown")</f>
        <v>Nordics</v>
      </c>
      <c r="H2536" t="s">
        <v>6949</v>
      </c>
    </row>
    <row r="2537" spans="1:8">
      <c r="A2537" t="s">
        <v>3444</v>
      </c>
      <c r="B2537" t="s">
        <v>885</v>
      </c>
      <c r="C2537" s="1">
        <v>45564</v>
      </c>
      <c r="D2537" s="1" t="str">
        <f>PROPER(orders[[#This Row],[order_priority]])</f>
        <v>Standard</v>
      </c>
      <c r="E2537" t="s">
        <v>13317</v>
      </c>
      <c r="F2537" t="str">
        <f>IFERROR(INDEX(customers[country], MATCH(orders[[#This Row],[customer_id]], customers[customer_id], 0)), "Unmapped")</f>
        <v>Poland</v>
      </c>
      <c r="G2537" t="str">
        <f>IFERROR(INDEX(Region_Map[Region], MATCH(orders[[#This Row],[Customer_Country]], Region_Map[Country], 0)), "Unknown")</f>
        <v>Central Europe</v>
      </c>
      <c r="H2537" t="s">
        <v>6949</v>
      </c>
    </row>
    <row r="2538" spans="1:8">
      <c r="A2538" t="s">
        <v>3445</v>
      </c>
      <c r="B2538" t="s">
        <v>374</v>
      </c>
      <c r="C2538" s="1">
        <v>45427</v>
      </c>
      <c r="D2538" s="1" t="str">
        <f>PROPER(orders[[#This Row],[order_priority]])</f>
        <v>Economy</v>
      </c>
      <c r="E2538" t="s">
        <v>13316</v>
      </c>
      <c r="F2538" t="str">
        <f>IFERROR(INDEX(customers[country], MATCH(orders[[#This Row],[customer_id]], customers[customer_id], 0)), "Unmapped")</f>
        <v>Estonia</v>
      </c>
      <c r="G2538" t="str">
        <f>IFERROR(INDEX(Region_Map[Region], MATCH(orders[[#This Row],[Customer_Country]], Region_Map[Country], 0)), "Unknown")</f>
        <v>Baltics</v>
      </c>
      <c r="H2538" t="s">
        <v>6949</v>
      </c>
    </row>
    <row r="2539" spans="1:8">
      <c r="A2539" t="s">
        <v>3446</v>
      </c>
      <c r="B2539" t="s">
        <v>864</v>
      </c>
      <c r="C2539" s="1">
        <v>45319</v>
      </c>
      <c r="D2539" s="1" t="str">
        <f>PROPER(orders[[#This Row],[order_priority]])</f>
        <v>Same Day</v>
      </c>
      <c r="E2539" t="s">
        <v>13322</v>
      </c>
      <c r="F2539" t="str">
        <f>IFERROR(INDEX(customers[country], MATCH(orders[[#This Row],[customer_id]], customers[customer_id], 0)), "Unmapped")</f>
        <v>Finland</v>
      </c>
      <c r="G2539" t="str">
        <f>IFERROR(INDEX(Region_Map[Region], MATCH(orders[[#This Row],[Customer_Country]], Region_Map[Country], 0)), "Unknown")</f>
        <v>Nordics</v>
      </c>
      <c r="H2539" t="s">
        <v>6949</v>
      </c>
    </row>
    <row r="2540" spans="1:8">
      <c r="A2540" t="s">
        <v>3447</v>
      </c>
      <c r="B2540" t="s">
        <v>897</v>
      </c>
      <c r="C2540" s="1">
        <v>45283</v>
      </c>
      <c r="D2540" s="1" t="str">
        <f>PROPER(orders[[#This Row],[order_priority]])</f>
        <v>Standard</v>
      </c>
      <c r="E2540" t="s">
        <v>13317</v>
      </c>
      <c r="F2540" t="str">
        <f>IFERROR(INDEX(customers[country], MATCH(orders[[#This Row],[customer_id]], customers[customer_id], 0)), "Unmapped")</f>
        <v>Netherlands</v>
      </c>
      <c r="G2540" t="str">
        <f>IFERROR(INDEX(Region_Map[Region], MATCH(orders[[#This Row],[Customer_Country]], Region_Map[Country], 0)), "Unknown")</f>
        <v>Central Europe</v>
      </c>
      <c r="H2540" t="s">
        <v>6949</v>
      </c>
    </row>
    <row r="2541" spans="1:8">
      <c r="A2541" t="s">
        <v>3448</v>
      </c>
      <c r="B2541" t="s">
        <v>282</v>
      </c>
      <c r="C2541" s="1">
        <v>45087</v>
      </c>
      <c r="D2541" s="1" t="str">
        <f>PROPER(orders[[#This Row],[order_priority]])</f>
        <v>Standard</v>
      </c>
      <c r="E2541" t="s">
        <v>13317</v>
      </c>
      <c r="F2541" t="str">
        <f>IFERROR(INDEX(customers[country], MATCH(orders[[#This Row],[customer_id]], customers[customer_id], 0)), "Unmapped")</f>
        <v>Netherlands</v>
      </c>
      <c r="G2541" t="str">
        <f>IFERROR(INDEX(Region_Map[Region], MATCH(orders[[#This Row],[Customer_Country]], Region_Map[Country], 0)), "Unknown")</f>
        <v>Central Europe</v>
      </c>
      <c r="H2541" t="s">
        <v>6949</v>
      </c>
    </row>
    <row r="2542" spans="1:8">
      <c r="A2542" t="s">
        <v>3449</v>
      </c>
      <c r="B2542" t="s">
        <v>51</v>
      </c>
      <c r="C2542" s="1">
        <v>44992</v>
      </c>
      <c r="D2542" s="1" t="str">
        <f>PROPER(orders[[#This Row],[order_priority]])</f>
        <v>Same Day</v>
      </c>
      <c r="E2542" t="s">
        <v>13322</v>
      </c>
      <c r="F2542" t="str">
        <f>IFERROR(INDEX(customers[country], MATCH(orders[[#This Row],[customer_id]], customers[customer_id], 0)), "Unmapped")</f>
        <v>Germany</v>
      </c>
      <c r="G2542" t="str">
        <f>IFERROR(INDEX(Region_Map[Region], MATCH(orders[[#This Row],[Customer_Country]], Region_Map[Country], 0)), "Unknown")</f>
        <v>Central Europe</v>
      </c>
      <c r="H2542" t="s">
        <v>6949</v>
      </c>
    </row>
    <row r="2543" spans="1:8">
      <c r="A2543" t="s">
        <v>3450</v>
      </c>
      <c r="B2543" t="s">
        <v>894</v>
      </c>
      <c r="C2543" s="1">
        <v>45143</v>
      </c>
      <c r="D2543" s="1" t="str">
        <f>PROPER(orders[[#This Row],[order_priority]])</f>
        <v>Standard</v>
      </c>
      <c r="E2543" t="s">
        <v>13317</v>
      </c>
      <c r="F2543" t="str">
        <f>IFERROR(INDEX(customers[country], MATCH(orders[[#This Row],[customer_id]], customers[customer_id], 0)), "Unmapped")</f>
        <v>Poland</v>
      </c>
      <c r="G2543" t="str">
        <f>IFERROR(INDEX(Region_Map[Region], MATCH(orders[[#This Row],[Customer_Country]], Region_Map[Country], 0)), "Unknown")</f>
        <v>Central Europe</v>
      </c>
      <c r="H2543" t="s">
        <v>6949</v>
      </c>
    </row>
    <row r="2544" spans="1:8">
      <c r="A2544" t="s">
        <v>3451</v>
      </c>
      <c r="B2544" t="s">
        <v>288</v>
      </c>
      <c r="C2544" s="1">
        <v>45329</v>
      </c>
      <c r="D2544" s="1" t="str">
        <f>PROPER(orders[[#This Row],[order_priority]])</f>
        <v>Economy</v>
      </c>
      <c r="E2544" t="s">
        <v>13316</v>
      </c>
      <c r="F2544" t="str">
        <f>IFERROR(INDEX(customers[country], MATCH(orders[[#This Row],[customer_id]], customers[customer_id], 0)), "Unmapped")</f>
        <v>Netherlands</v>
      </c>
      <c r="G2544" t="str">
        <f>IFERROR(INDEX(Region_Map[Region], MATCH(orders[[#This Row],[Customer_Country]], Region_Map[Country], 0)), "Unknown")</f>
        <v>Central Europe</v>
      </c>
      <c r="H2544" t="s">
        <v>6949</v>
      </c>
    </row>
    <row r="2545" spans="1:8">
      <c r="A2545" t="s">
        <v>3452</v>
      </c>
      <c r="B2545" t="s">
        <v>303</v>
      </c>
      <c r="C2545" s="1">
        <v>45241</v>
      </c>
      <c r="D2545" s="1" t="str">
        <f>PROPER(orders[[#This Row],[order_priority]])</f>
        <v>Same Day</v>
      </c>
      <c r="E2545" t="s">
        <v>13321</v>
      </c>
      <c r="F2545" t="str">
        <f>IFERROR(INDEX(customers[country], MATCH(orders[[#This Row],[customer_id]], customers[customer_id], 0)), "Unmapped")</f>
        <v>Netherlands</v>
      </c>
      <c r="G2545" t="str">
        <f>IFERROR(INDEX(Region_Map[Region], MATCH(orders[[#This Row],[Customer_Country]], Region_Map[Country], 0)), "Unknown")</f>
        <v>Central Europe</v>
      </c>
      <c r="H2545" t="s">
        <v>6949</v>
      </c>
    </row>
    <row r="2546" spans="1:8">
      <c r="A2546" t="s">
        <v>3453</v>
      </c>
      <c r="B2546" t="s">
        <v>602</v>
      </c>
      <c r="C2546" s="1">
        <v>45015</v>
      </c>
      <c r="D2546" s="1" t="str">
        <f>PROPER(orders[[#This Row],[order_priority]])</f>
        <v>Same Day</v>
      </c>
      <c r="E2546" t="s">
        <v>13322</v>
      </c>
      <c r="F2546" t="str">
        <f>IFERROR(INDEX(customers[country], MATCH(orders[[#This Row],[customer_id]], customers[customer_id], 0)), "Unmapped")</f>
        <v>Poland</v>
      </c>
      <c r="G2546" t="str">
        <f>IFERROR(INDEX(Region_Map[Region], MATCH(orders[[#This Row],[Customer_Country]], Region_Map[Country], 0)), "Unknown")</f>
        <v>Central Europe</v>
      </c>
      <c r="H2546" t="s">
        <v>6949</v>
      </c>
    </row>
    <row r="2547" spans="1:8">
      <c r="A2547" t="s">
        <v>3454</v>
      </c>
      <c r="B2547" t="s">
        <v>825</v>
      </c>
      <c r="C2547" s="1">
        <v>45460</v>
      </c>
      <c r="D2547" s="1" t="str">
        <f>PROPER(orders[[#This Row],[order_priority]])</f>
        <v>Express</v>
      </c>
      <c r="E2547" t="s">
        <v>13326</v>
      </c>
      <c r="F2547" t="str">
        <f>IFERROR(INDEX(customers[country], MATCH(orders[[#This Row],[customer_id]], customers[customer_id], 0)), "Unmapped")</f>
        <v>Latvia</v>
      </c>
      <c r="G2547" t="str">
        <f>IFERROR(INDEX(Region_Map[Region], MATCH(orders[[#This Row],[Customer_Country]], Region_Map[Country], 0)), "Unknown")</f>
        <v>Baltics</v>
      </c>
      <c r="H2547" t="s">
        <v>6949</v>
      </c>
    </row>
    <row r="2548" spans="1:8">
      <c r="A2548" t="s">
        <v>3455</v>
      </c>
      <c r="B2548" t="s">
        <v>557</v>
      </c>
      <c r="C2548" s="1">
        <v>45433</v>
      </c>
      <c r="D2548" s="1" t="str">
        <f>PROPER(orders[[#This Row],[order_priority]])</f>
        <v>Economy</v>
      </c>
      <c r="E2548" t="s">
        <v>13325</v>
      </c>
      <c r="F2548" t="str">
        <f>IFERROR(INDEX(customers[country], MATCH(orders[[#This Row],[customer_id]], customers[customer_id], 0)), "Unmapped")</f>
        <v>Norway</v>
      </c>
      <c r="G2548" t="str">
        <f>IFERROR(INDEX(Region_Map[Region], MATCH(orders[[#This Row],[Customer_Country]], Region_Map[Country], 0)), "Unknown")</f>
        <v>Nordics</v>
      </c>
      <c r="H2548" t="s">
        <v>6949</v>
      </c>
    </row>
    <row r="2549" spans="1:8">
      <c r="A2549" t="s">
        <v>3456</v>
      </c>
      <c r="B2549" t="s">
        <v>38</v>
      </c>
      <c r="C2549" s="1">
        <v>45488</v>
      </c>
      <c r="D2549" s="1" t="str">
        <f>PROPER(orders[[#This Row],[order_priority]])</f>
        <v>Standard</v>
      </c>
      <c r="E2549" t="s">
        <v>13317</v>
      </c>
      <c r="F2549" t="str">
        <f>IFERROR(INDEX(customers[country], MATCH(orders[[#This Row],[customer_id]], customers[customer_id], 0)), "Unmapped")</f>
        <v>Lithuania</v>
      </c>
      <c r="G2549" t="str">
        <f>IFERROR(INDEX(Region_Map[Region], MATCH(orders[[#This Row],[Customer_Country]], Region_Map[Country], 0)), "Unknown")</f>
        <v>Baltics</v>
      </c>
      <c r="H2549" t="s">
        <v>6949</v>
      </c>
    </row>
    <row r="2550" spans="1:8">
      <c r="A2550" t="s">
        <v>3457</v>
      </c>
      <c r="B2550" t="s">
        <v>80</v>
      </c>
      <c r="C2550" s="1">
        <v>44934</v>
      </c>
      <c r="D2550" s="1" t="str">
        <f>PROPER(orders[[#This Row],[order_priority]])</f>
        <v>Standard</v>
      </c>
      <c r="E2550" t="s">
        <v>13317</v>
      </c>
      <c r="F2550" t="str">
        <f>IFERROR(INDEX(customers[country], MATCH(orders[[#This Row],[customer_id]], customers[customer_id], 0)), "Unmapped")</f>
        <v>Finland</v>
      </c>
      <c r="G2550" t="str">
        <f>IFERROR(INDEX(Region_Map[Region], MATCH(orders[[#This Row],[Customer_Country]], Region_Map[Country], 0)), "Unknown")</f>
        <v>Nordics</v>
      </c>
      <c r="H2550" t="s">
        <v>6949</v>
      </c>
    </row>
    <row r="2551" spans="1:8">
      <c r="A2551" t="s">
        <v>3458</v>
      </c>
      <c r="B2551" t="s">
        <v>258</v>
      </c>
      <c r="C2551" s="1">
        <v>45429</v>
      </c>
      <c r="D2551" s="1" t="str">
        <f>PROPER(orders[[#This Row],[order_priority]])</f>
        <v>Standard</v>
      </c>
      <c r="E2551" t="s">
        <v>13317</v>
      </c>
      <c r="F2551" t="str">
        <f>IFERROR(INDEX(customers[country], MATCH(orders[[#This Row],[customer_id]], customers[customer_id], 0)), "Unmapped")</f>
        <v>Latvia</v>
      </c>
      <c r="G2551" t="str">
        <f>IFERROR(INDEX(Region_Map[Region], MATCH(orders[[#This Row],[Customer_Country]], Region_Map[Country], 0)), "Unknown")</f>
        <v>Baltics</v>
      </c>
      <c r="H2551" t="s">
        <v>6949</v>
      </c>
    </row>
    <row r="2552" spans="1:8">
      <c r="A2552" t="s">
        <v>3459</v>
      </c>
      <c r="B2552" t="s">
        <v>611</v>
      </c>
      <c r="C2552" s="1">
        <v>45606</v>
      </c>
      <c r="D2552" s="1" t="str">
        <f>PROPER(orders[[#This Row],[order_priority]])</f>
        <v>Standard</v>
      </c>
      <c r="E2552" t="s">
        <v>13317</v>
      </c>
      <c r="F2552" t="str">
        <f>IFERROR(INDEX(customers[country], MATCH(orders[[#This Row],[customer_id]], customers[customer_id], 0)), "Unmapped")</f>
        <v>Poland</v>
      </c>
      <c r="G2552" t="str">
        <f>IFERROR(INDEX(Region_Map[Region], MATCH(orders[[#This Row],[Customer_Country]], Region_Map[Country], 0)), "Unknown")</f>
        <v>Central Europe</v>
      </c>
      <c r="H2552" t="s">
        <v>6949</v>
      </c>
    </row>
    <row r="2553" spans="1:8">
      <c r="A2553" t="s">
        <v>3460</v>
      </c>
      <c r="B2553" t="s">
        <v>77</v>
      </c>
      <c r="C2553" s="1">
        <v>45607</v>
      </c>
      <c r="D2553" s="1" t="str">
        <f>PROPER(orders[[#This Row],[order_priority]])</f>
        <v>Same Day</v>
      </c>
      <c r="E2553" t="s">
        <v>13324</v>
      </c>
      <c r="F2553" t="str">
        <f>IFERROR(INDEX(customers[country], MATCH(orders[[#This Row],[customer_id]], customers[customer_id], 0)), "Unmapped")</f>
        <v>Lithuania</v>
      </c>
      <c r="G2553" t="str">
        <f>IFERROR(INDEX(Region_Map[Region], MATCH(orders[[#This Row],[Customer_Country]], Region_Map[Country], 0)), "Unknown")</f>
        <v>Baltics</v>
      </c>
      <c r="H2553" t="s">
        <v>6949</v>
      </c>
    </row>
    <row r="2554" spans="1:8">
      <c r="A2554" t="s">
        <v>3461</v>
      </c>
      <c r="B2554" t="s">
        <v>766</v>
      </c>
      <c r="C2554" s="1">
        <v>45560</v>
      </c>
      <c r="D2554" s="1" t="str">
        <f>PROPER(orders[[#This Row],[order_priority]])</f>
        <v>Standard</v>
      </c>
      <c r="E2554" t="s">
        <v>13323</v>
      </c>
      <c r="F2554" t="str">
        <f>IFERROR(INDEX(customers[country], MATCH(orders[[#This Row],[customer_id]], customers[customer_id], 0)), "Unmapped")</f>
        <v>Germany</v>
      </c>
      <c r="G2554" t="str">
        <f>IFERROR(INDEX(Region_Map[Region], MATCH(orders[[#This Row],[Customer_Country]], Region_Map[Country], 0)), "Unknown")</f>
        <v>Central Europe</v>
      </c>
      <c r="H2554" t="s">
        <v>6949</v>
      </c>
    </row>
    <row r="2555" spans="1:8">
      <c r="A2555" t="s">
        <v>3462</v>
      </c>
      <c r="B2555" t="s">
        <v>204</v>
      </c>
      <c r="C2555" s="1">
        <v>44970</v>
      </c>
      <c r="D2555" s="1" t="str">
        <f>PROPER(orders[[#This Row],[order_priority]])</f>
        <v>Economy</v>
      </c>
      <c r="E2555" t="s">
        <v>13316</v>
      </c>
      <c r="F2555" t="str">
        <f>IFERROR(INDEX(customers[country], MATCH(orders[[#This Row],[customer_id]], customers[customer_id], 0)), "Unmapped")</f>
        <v>Sweden</v>
      </c>
      <c r="G2555" t="str">
        <f>IFERROR(INDEX(Region_Map[Region], MATCH(orders[[#This Row],[Customer_Country]], Region_Map[Country], 0)), "Unknown")</f>
        <v>Nordics</v>
      </c>
      <c r="H2555" t="s">
        <v>6949</v>
      </c>
    </row>
    <row r="2556" spans="1:8">
      <c r="A2556" t="s">
        <v>3463</v>
      </c>
      <c r="B2556" t="s">
        <v>437</v>
      </c>
      <c r="C2556" s="1">
        <v>44971</v>
      </c>
      <c r="D2556" s="1" t="str">
        <f>PROPER(orders[[#This Row],[order_priority]])</f>
        <v>Standard</v>
      </c>
      <c r="E2556" t="s">
        <v>13317</v>
      </c>
      <c r="F2556" t="str">
        <f>IFERROR(INDEX(customers[country], MATCH(orders[[#This Row],[customer_id]], customers[customer_id], 0)), "Unmapped")</f>
        <v>Lithuania</v>
      </c>
      <c r="G2556" t="str">
        <f>IFERROR(INDEX(Region_Map[Region], MATCH(orders[[#This Row],[Customer_Country]], Region_Map[Country], 0)), "Unknown")</f>
        <v>Baltics</v>
      </c>
      <c r="H2556" t="s">
        <v>6949</v>
      </c>
    </row>
    <row r="2557" spans="1:8">
      <c r="A2557" t="s">
        <v>3464</v>
      </c>
      <c r="B2557" t="s">
        <v>730</v>
      </c>
      <c r="C2557" s="1">
        <v>45381</v>
      </c>
      <c r="D2557" s="1" t="str">
        <f>PROPER(orders[[#This Row],[order_priority]])</f>
        <v>Standard</v>
      </c>
      <c r="E2557" t="s">
        <v>13317</v>
      </c>
      <c r="F2557" t="str">
        <f>IFERROR(INDEX(customers[country], MATCH(orders[[#This Row],[customer_id]], customers[customer_id], 0)), "Unmapped")</f>
        <v>Lithuania</v>
      </c>
      <c r="G2557" t="str">
        <f>IFERROR(INDEX(Region_Map[Region], MATCH(orders[[#This Row],[Customer_Country]], Region_Map[Country], 0)), "Unknown")</f>
        <v>Baltics</v>
      </c>
      <c r="H2557" t="s">
        <v>6949</v>
      </c>
    </row>
    <row r="2558" spans="1:8">
      <c r="A2558" t="s">
        <v>3465</v>
      </c>
      <c r="B2558" t="s">
        <v>11</v>
      </c>
      <c r="C2558" s="1">
        <v>44969</v>
      </c>
      <c r="D2558" s="1" t="str">
        <f>PROPER(orders[[#This Row],[order_priority]])</f>
        <v>Same Day</v>
      </c>
      <c r="E2558" t="s">
        <v>13322</v>
      </c>
      <c r="F2558" t="str">
        <f>IFERROR(INDEX(customers[country], MATCH(orders[[#This Row],[customer_id]], customers[customer_id], 0)), "Unmapped")</f>
        <v>Sweden</v>
      </c>
      <c r="G2558" t="str">
        <f>IFERROR(INDEX(Region_Map[Region], MATCH(orders[[#This Row],[Customer_Country]], Region_Map[Country], 0)), "Unknown")</f>
        <v>Nordics</v>
      </c>
      <c r="H2558" t="s">
        <v>6949</v>
      </c>
    </row>
    <row r="2559" spans="1:8">
      <c r="A2559" t="s">
        <v>3466</v>
      </c>
      <c r="B2559" t="s">
        <v>428</v>
      </c>
      <c r="C2559" s="1">
        <v>45456</v>
      </c>
      <c r="D2559" s="1" t="str">
        <f>PROPER(orders[[#This Row],[order_priority]])</f>
        <v>Economy</v>
      </c>
      <c r="E2559" t="s">
        <v>13316</v>
      </c>
      <c r="F2559" t="str">
        <f>IFERROR(INDEX(customers[country], MATCH(orders[[#This Row],[customer_id]], customers[customer_id], 0)), "Unmapped")</f>
        <v>Finland</v>
      </c>
      <c r="G2559" t="str">
        <f>IFERROR(INDEX(Region_Map[Region], MATCH(orders[[#This Row],[Customer_Country]], Region_Map[Country], 0)), "Unknown")</f>
        <v>Nordics</v>
      </c>
      <c r="H2559" t="s">
        <v>6949</v>
      </c>
    </row>
    <row r="2560" spans="1:8">
      <c r="A2560" t="s">
        <v>3467</v>
      </c>
      <c r="B2560" t="s">
        <v>596</v>
      </c>
      <c r="C2560" s="1">
        <v>45391</v>
      </c>
      <c r="D2560" s="1" t="str">
        <f>PROPER(orders[[#This Row],[order_priority]])</f>
        <v>Standard</v>
      </c>
      <c r="E2560" t="s">
        <v>13317</v>
      </c>
      <c r="F2560" t="str">
        <f>IFERROR(INDEX(customers[country], MATCH(orders[[#This Row],[customer_id]], customers[customer_id], 0)), "Unmapped")</f>
        <v>Lithuania</v>
      </c>
      <c r="G2560" t="str">
        <f>IFERROR(INDEX(Region_Map[Region], MATCH(orders[[#This Row],[Customer_Country]], Region_Map[Country], 0)), "Unknown")</f>
        <v>Baltics</v>
      </c>
      <c r="H2560" t="s">
        <v>6949</v>
      </c>
    </row>
    <row r="2561" spans="1:8">
      <c r="A2561" t="s">
        <v>3468</v>
      </c>
      <c r="B2561" t="s">
        <v>741</v>
      </c>
      <c r="C2561" s="1">
        <v>45549</v>
      </c>
      <c r="D2561" s="1" t="str">
        <f>PROPER(orders[[#This Row],[order_priority]])</f>
        <v>Standard</v>
      </c>
      <c r="E2561" t="s">
        <v>13323</v>
      </c>
      <c r="F2561" t="str">
        <f>IFERROR(INDEX(customers[country], MATCH(orders[[#This Row],[customer_id]], customers[customer_id], 0)), "Unmapped")</f>
        <v>Germany</v>
      </c>
      <c r="G2561" t="str">
        <f>IFERROR(INDEX(Region_Map[Region], MATCH(orders[[#This Row],[Customer_Country]], Region_Map[Country], 0)), "Unknown")</f>
        <v>Central Europe</v>
      </c>
      <c r="H2561" t="s">
        <v>6949</v>
      </c>
    </row>
    <row r="2562" spans="1:8">
      <c r="A2562" t="s">
        <v>3469</v>
      </c>
      <c r="B2562" t="s">
        <v>867</v>
      </c>
      <c r="C2562" s="1">
        <v>45410</v>
      </c>
      <c r="D2562" s="1" t="str">
        <f>PROPER(orders[[#This Row],[order_priority]])</f>
        <v>Standard</v>
      </c>
      <c r="E2562" t="s">
        <v>13317</v>
      </c>
      <c r="F2562" t="str">
        <f>IFERROR(INDEX(customers[country], MATCH(orders[[#This Row],[customer_id]], customers[customer_id], 0)), "Unmapped")</f>
        <v>Denmark</v>
      </c>
      <c r="G2562" t="str">
        <f>IFERROR(INDEX(Region_Map[Region], MATCH(orders[[#This Row],[Customer_Country]], Region_Map[Country], 0)), "Unknown")</f>
        <v>Nordics</v>
      </c>
      <c r="H2562" t="s">
        <v>6949</v>
      </c>
    </row>
    <row r="2563" spans="1:8">
      <c r="A2563" t="s">
        <v>3470</v>
      </c>
      <c r="B2563" t="s">
        <v>237</v>
      </c>
      <c r="C2563" s="1">
        <v>45325</v>
      </c>
      <c r="D2563" s="1" t="str">
        <f>PROPER(orders[[#This Row],[order_priority]])</f>
        <v>Express</v>
      </c>
      <c r="E2563" t="s">
        <v>13326</v>
      </c>
      <c r="F2563" t="str">
        <f>IFERROR(INDEX(customers[country], MATCH(orders[[#This Row],[customer_id]], customers[customer_id], 0)), "Unmapped")</f>
        <v>Sweden</v>
      </c>
      <c r="G2563" t="str">
        <f>IFERROR(INDEX(Region_Map[Region], MATCH(orders[[#This Row],[Customer_Country]], Region_Map[Country], 0)), "Unknown")</f>
        <v>Nordics</v>
      </c>
      <c r="H2563" t="s">
        <v>6949</v>
      </c>
    </row>
    <row r="2564" spans="1:8">
      <c r="A2564" t="s">
        <v>3471</v>
      </c>
      <c r="B2564" t="s">
        <v>688</v>
      </c>
      <c r="C2564" s="1">
        <v>45496</v>
      </c>
      <c r="D2564" s="1" t="str">
        <f>PROPER(orders[[#This Row],[order_priority]])</f>
        <v>Economy</v>
      </c>
      <c r="E2564" t="s">
        <v>13316</v>
      </c>
      <c r="F2564" t="str">
        <f>IFERROR(INDEX(customers[country], MATCH(orders[[#This Row],[customer_id]], customers[customer_id], 0)), "Unmapped")</f>
        <v>Norway</v>
      </c>
      <c r="G2564" t="str">
        <f>IFERROR(INDEX(Region_Map[Region], MATCH(orders[[#This Row],[Customer_Country]], Region_Map[Country], 0)), "Unknown")</f>
        <v>Nordics</v>
      </c>
      <c r="H2564" t="s">
        <v>6949</v>
      </c>
    </row>
    <row r="2565" spans="1:8">
      <c r="A2565" t="s">
        <v>3472</v>
      </c>
      <c r="B2565" t="s">
        <v>563</v>
      </c>
      <c r="C2565" s="1">
        <v>45161</v>
      </c>
      <c r="D2565" s="1" t="str">
        <f>PROPER(orders[[#This Row],[order_priority]])</f>
        <v>Express</v>
      </c>
      <c r="E2565" t="s">
        <v>13318</v>
      </c>
      <c r="F2565" t="str">
        <f>IFERROR(INDEX(customers[country], MATCH(orders[[#This Row],[customer_id]], customers[customer_id], 0)), "Unmapped")</f>
        <v>Estonia</v>
      </c>
      <c r="G2565" t="str">
        <f>IFERROR(INDEX(Region_Map[Region], MATCH(orders[[#This Row],[Customer_Country]], Region_Map[Country], 0)), "Unknown")</f>
        <v>Baltics</v>
      </c>
      <c r="H2565" t="s">
        <v>6949</v>
      </c>
    </row>
    <row r="2566" spans="1:8">
      <c r="A2566" t="s">
        <v>3473</v>
      </c>
      <c r="B2566" t="s">
        <v>61</v>
      </c>
      <c r="C2566" s="1">
        <v>45399</v>
      </c>
      <c r="D2566" s="1" t="str">
        <f>PROPER(orders[[#This Row],[order_priority]])</f>
        <v>Economy</v>
      </c>
      <c r="E2566" t="s">
        <v>13316</v>
      </c>
      <c r="F2566" t="str">
        <f>IFERROR(INDEX(customers[country], MATCH(orders[[#This Row],[customer_id]], customers[customer_id], 0)), "Unmapped")</f>
        <v>Netherlands</v>
      </c>
      <c r="G2566" t="str">
        <f>IFERROR(INDEX(Region_Map[Region], MATCH(orders[[#This Row],[Customer_Country]], Region_Map[Country], 0)), "Unknown")</f>
        <v>Central Europe</v>
      </c>
      <c r="H2566" t="s">
        <v>6949</v>
      </c>
    </row>
    <row r="2567" spans="1:8">
      <c r="A2567" t="s">
        <v>3474</v>
      </c>
      <c r="B2567" t="s">
        <v>461</v>
      </c>
      <c r="C2567" s="1">
        <v>45265</v>
      </c>
      <c r="D2567" s="1" t="str">
        <f>PROPER(orders[[#This Row],[order_priority]])</f>
        <v>Same Day</v>
      </c>
      <c r="E2567" t="s">
        <v>13322</v>
      </c>
      <c r="F2567" t="str">
        <f>IFERROR(INDEX(customers[country], MATCH(orders[[#This Row],[customer_id]], customers[customer_id], 0)), "Unmapped")</f>
        <v>Latvia</v>
      </c>
      <c r="G2567" t="str">
        <f>IFERROR(INDEX(Region_Map[Region], MATCH(orders[[#This Row],[Customer_Country]], Region_Map[Country], 0)), "Unknown")</f>
        <v>Baltics</v>
      </c>
      <c r="H2567" t="s">
        <v>6949</v>
      </c>
    </row>
    <row r="2568" spans="1:8">
      <c r="A2568" t="s">
        <v>3475</v>
      </c>
      <c r="B2568" t="s">
        <v>828</v>
      </c>
      <c r="C2568" s="1">
        <v>45021</v>
      </c>
      <c r="D2568" s="1" t="str">
        <f>PROPER(orders[[#This Row],[order_priority]])</f>
        <v>Express</v>
      </c>
      <c r="E2568" t="s">
        <v>13318</v>
      </c>
      <c r="F2568" t="str">
        <f>IFERROR(INDEX(customers[country], MATCH(orders[[#This Row],[customer_id]], customers[customer_id], 0)), "Unmapped")</f>
        <v>Germany</v>
      </c>
      <c r="G2568" t="str">
        <f>IFERROR(INDEX(Region_Map[Region], MATCH(orders[[#This Row],[Customer_Country]], Region_Map[Country], 0)), "Unknown")</f>
        <v>Central Europe</v>
      </c>
      <c r="H2568" t="s">
        <v>6949</v>
      </c>
    </row>
    <row r="2569" spans="1:8">
      <c r="A2569" t="s">
        <v>3476</v>
      </c>
      <c r="B2569" t="s">
        <v>42</v>
      </c>
      <c r="C2569" s="1">
        <v>45507</v>
      </c>
      <c r="D2569" s="1" t="str">
        <f>PROPER(orders[[#This Row],[order_priority]])</f>
        <v>Standard</v>
      </c>
      <c r="E2569" t="s">
        <v>13323</v>
      </c>
      <c r="F2569" t="str">
        <f>IFERROR(INDEX(customers[country], MATCH(orders[[#This Row],[customer_id]], customers[customer_id], 0)), "Unmapped")</f>
        <v>Estonia</v>
      </c>
      <c r="G2569" t="str">
        <f>IFERROR(INDEX(Region_Map[Region], MATCH(orders[[#This Row],[Customer_Country]], Region_Map[Country], 0)), "Unknown")</f>
        <v>Baltics</v>
      </c>
      <c r="H2569" t="s">
        <v>6949</v>
      </c>
    </row>
    <row r="2570" spans="1:8">
      <c r="A2570" t="s">
        <v>3477</v>
      </c>
      <c r="B2570" t="s">
        <v>201</v>
      </c>
      <c r="C2570" s="1">
        <v>45502</v>
      </c>
      <c r="D2570" s="1" t="str">
        <f>PROPER(orders[[#This Row],[order_priority]])</f>
        <v>Express</v>
      </c>
      <c r="E2570" t="s">
        <v>13320</v>
      </c>
      <c r="F2570" t="str">
        <f>IFERROR(INDEX(customers[country], MATCH(orders[[#This Row],[customer_id]], customers[customer_id], 0)), "Unmapped")</f>
        <v>Estonia</v>
      </c>
      <c r="G2570" t="str">
        <f>IFERROR(INDEX(Region_Map[Region], MATCH(orders[[#This Row],[Customer_Country]], Region_Map[Country], 0)), "Unknown")</f>
        <v>Baltics</v>
      </c>
      <c r="H2570" t="s">
        <v>6949</v>
      </c>
    </row>
    <row r="2571" spans="1:8">
      <c r="A2571" t="s">
        <v>3478</v>
      </c>
      <c r="B2571" t="s">
        <v>326</v>
      </c>
      <c r="C2571" s="1">
        <v>45369</v>
      </c>
      <c r="D2571" s="1" t="str">
        <f>PROPER(orders[[#This Row],[order_priority]])</f>
        <v>Economy</v>
      </c>
      <c r="E2571" t="s">
        <v>13325</v>
      </c>
      <c r="F2571" t="str">
        <f>IFERROR(INDEX(customers[country], MATCH(orders[[#This Row],[customer_id]], customers[customer_id], 0)), "Unmapped")</f>
        <v>Lithuania</v>
      </c>
      <c r="G2571" t="str">
        <f>IFERROR(INDEX(Region_Map[Region], MATCH(orders[[#This Row],[Customer_Country]], Region_Map[Country], 0)), "Unknown")</f>
        <v>Baltics</v>
      </c>
      <c r="H2571" t="s">
        <v>6949</v>
      </c>
    </row>
    <row r="2572" spans="1:8">
      <c r="A2572" t="s">
        <v>3479</v>
      </c>
      <c r="B2572" t="s">
        <v>715</v>
      </c>
      <c r="C2572" s="1">
        <v>45230</v>
      </c>
      <c r="D2572" s="1" t="str">
        <f>PROPER(orders[[#This Row],[order_priority]])</f>
        <v>Express</v>
      </c>
      <c r="E2572" t="s">
        <v>13318</v>
      </c>
      <c r="F2572" t="str">
        <f>IFERROR(INDEX(customers[country], MATCH(orders[[#This Row],[customer_id]], customers[customer_id], 0)), "Unmapped")</f>
        <v>Netherlands</v>
      </c>
      <c r="G2572" t="str">
        <f>IFERROR(INDEX(Region_Map[Region], MATCH(orders[[#This Row],[Customer_Country]], Region_Map[Country], 0)), "Unknown")</f>
        <v>Central Europe</v>
      </c>
      <c r="H2572" t="s">
        <v>6949</v>
      </c>
    </row>
    <row r="2573" spans="1:8">
      <c r="A2573" t="s">
        <v>3480</v>
      </c>
      <c r="B2573" t="s">
        <v>133</v>
      </c>
      <c r="C2573" s="1">
        <v>45469</v>
      </c>
      <c r="D2573" s="1" t="str">
        <f>PROPER(orders[[#This Row],[order_priority]])</f>
        <v>Same Day</v>
      </c>
      <c r="E2573" t="s">
        <v>13322</v>
      </c>
      <c r="F2573" t="str">
        <f>IFERROR(INDEX(customers[country], MATCH(orders[[#This Row],[customer_id]], customers[customer_id], 0)), "Unmapped")</f>
        <v>Finland</v>
      </c>
      <c r="G2573" t="str">
        <f>IFERROR(INDEX(Region_Map[Region], MATCH(orders[[#This Row],[Customer_Country]], Region_Map[Country], 0)), "Unknown")</f>
        <v>Nordics</v>
      </c>
      <c r="H2573" t="s">
        <v>6949</v>
      </c>
    </row>
    <row r="2574" spans="1:8">
      <c r="A2574" t="s">
        <v>3481</v>
      </c>
      <c r="B2574" t="s">
        <v>297</v>
      </c>
      <c r="C2574" s="1">
        <v>45621</v>
      </c>
      <c r="D2574" s="1" t="str">
        <f>PROPER(orders[[#This Row],[order_priority]])</f>
        <v>Same Day</v>
      </c>
      <c r="E2574" t="s">
        <v>13322</v>
      </c>
      <c r="F2574" t="str">
        <f>IFERROR(INDEX(customers[country], MATCH(orders[[#This Row],[customer_id]], customers[customer_id], 0)), "Unmapped")</f>
        <v>Poland</v>
      </c>
      <c r="G2574" t="str">
        <f>IFERROR(INDEX(Region_Map[Region], MATCH(orders[[#This Row],[Customer_Country]], Region_Map[Country], 0)), "Unknown")</f>
        <v>Central Europe</v>
      </c>
      <c r="H2574" t="s">
        <v>6949</v>
      </c>
    </row>
    <row r="2575" spans="1:8">
      <c r="A2575" t="s">
        <v>3482</v>
      </c>
      <c r="B2575" t="s">
        <v>909</v>
      </c>
      <c r="C2575" s="1">
        <v>45414</v>
      </c>
      <c r="D2575" s="1" t="str">
        <f>PROPER(orders[[#This Row],[order_priority]])</f>
        <v>Express</v>
      </c>
      <c r="E2575" t="s">
        <v>13318</v>
      </c>
      <c r="F2575" t="str">
        <f>IFERROR(INDEX(customers[country], MATCH(orders[[#This Row],[customer_id]], customers[customer_id], 0)), "Unmapped")</f>
        <v>Poland</v>
      </c>
      <c r="G2575" t="str">
        <f>IFERROR(INDEX(Region_Map[Region], MATCH(orders[[#This Row],[Customer_Country]], Region_Map[Country], 0)), "Unknown")</f>
        <v>Central Europe</v>
      </c>
      <c r="H2575" t="s">
        <v>6949</v>
      </c>
    </row>
    <row r="2576" spans="1:8">
      <c r="A2576" t="s">
        <v>3483</v>
      </c>
      <c r="B2576" t="s">
        <v>329</v>
      </c>
      <c r="C2576" s="1">
        <v>45445</v>
      </c>
      <c r="D2576" s="1" t="str">
        <f>PROPER(orders[[#This Row],[order_priority]])</f>
        <v>Express</v>
      </c>
      <c r="E2576" t="s">
        <v>13318</v>
      </c>
      <c r="F2576" t="str">
        <f>IFERROR(INDEX(customers[country], MATCH(orders[[#This Row],[customer_id]], customers[customer_id], 0)), "Unmapped")</f>
        <v>Poland</v>
      </c>
      <c r="G2576" t="str">
        <f>IFERROR(INDEX(Region_Map[Region], MATCH(orders[[#This Row],[Customer_Country]], Region_Map[Country], 0)), "Unknown")</f>
        <v>Central Europe</v>
      </c>
      <c r="H2576" t="s">
        <v>6949</v>
      </c>
    </row>
    <row r="2577" spans="1:8">
      <c r="A2577" t="s">
        <v>3484</v>
      </c>
      <c r="B2577" t="s">
        <v>258</v>
      </c>
      <c r="C2577" s="1">
        <v>45593</v>
      </c>
      <c r="D2577" s="1" t="str">
        <f>PROPER(orders[[#This Row],[order_priority]])</f>
        <v>Same Day</v>
      </c>
      <c r="E2577" t="s">
        <v>13322</v>
      </c>
      <c r="F2577" t="str">
        <f>IFERROR(INDEX(customers[country], MATCH(orders[[#This Row],[customer_id]], customers[customer_id], 0)), "Unmapped")</f>
        <v>Latvia</v>
      </c>
      <c r="G2577" t="str">
        <f>IFERROR(INDEX(Region_Map[Region], MATCH(orders[[#This Row],[Customer_Country]], Region_Map[Country], 0)), "Unknown")</f>
        <v>Baltics</v>
      </c>
      <c r="H2577" t="s">
        <v>6949</v>
      </c>
    </row>
    <row r="2578" spans="1:8">
      <c r="A2578" t="s">
        <v>3485</v>
      </c>
      <c r="B2578" t="s">
        <v>539</v>
      </c>
      <c r="C2578" s="1">
        <v>45195</v>
      </c>
      <c r="D2578" s="1" t="str">
        <f>PROPER(orders[[#This Row],[order_priority]])</f>
        <v>Standard</v>
      </c>
      <c r="E2578" t="s">
        <v>13317</v>
      </c>
      <c r="F2578" t="str">
        <f>IFERROR(INDEX(customers[country], MATCH(orders[[#This Row],[customer_id]], customers[customer_id], 0)), "Unmapped")</f>
        <v>Sweden</v>
      </c>
      <c r="G2578" t="str">
        <f>IFERROR(INDEX(Region_Map[Region], MATCH(orders[[#This Row],[Customer_Country]], Region_Map[Country], 0)), "Unknown")</f>
        <v>Nordics</v>
      </c>
      <c r="H2578" t="s">
        <v>6949</v>
      </c>
    </row>
    <row r="2579" spans="1:8">
      <c r="A2579" t="s">
        <v>3486</v>
      </c>
      <c r="B2579" t="s">
        <v>790</v>
      </c>
      <c r="C2579" s="1">
        <v>45294</v>
      </c>
      <c r="D2579" s="1" t="str">
        <f>PROPER(orders[[#This Row],[order_priority]])</f>
        <v>Standard</v>
      </c>
      <c r="E2579" t="s">
        <v>13317</v>
      </c>
      <c r="F2579" t="str">
        <f>IFERROR(INDEX(customers[country], MATCH(orders[[#This Row],[customer_id]], customers[customer_id], 0)), "Unmapped")</f>
        <v>Germany</v>
      </c>
      <c r="G2579" t="str">
        <f>IFERROR(INDEX(Region_Map[Region], MATCH(orders[[#This Row],[Customer_Country]], Region_Map[Country], 0)), "Unknown")</f>
        <v>Central Europe</v>
      </c>
      <c r="H2579" t="s">
        <v>6949</v>
      </c>
    </row>
    <row r="2580" spans="1:8">
      <c r="A2580" t="s">
        <v>3487</v>
      </c>
      <c r="B2580" t="s">
        <v>652</v>
      </c>
      <c r="C2580" s="1">
        <v>45591</v>
      </c>
      <c r="D2580" s="1" t="str">
        <f>PROPER(orders[[#This Row],[order_priority]])</f>
        <v>Same Day</v>
      </c>
      <c r="E2580" t="s">
        <v>13322</v>
      </c>
      <c r="F2580" t="str">
        <f>IFERROR(INDEX(customers[country], MATCH(orders[[#This Row],[customer_id]], customers[customer_id], 0)), "Unmapped")</f>
        <v>Poland</v>
      </c>
      <c r="G2580" t="str">
        <f>IFERROR(INDEX(Region_Map[Region], MATCH(orders[[#This Row],[Customer_Country]], Region_Map[Country], 0)), "Unknown")</f>
        <v>Central Europe</v>
      </c>
      <c r="H2580" t="s">
        <v>6949</v>
      </c>
    </row>
    <row r="2581" spans="1:8">
      <c r="A2581" t="s">
        <v>3488</v>
      </c>
      <c r="B2581" t="s">
        <v>712</v>
      </c>
      <c r="C2581" s="1">
        <v>44975</v>
      </c>
      <c r="D2581" s="1" t="str">
        <f>PROPER(orders[[#This Row],[order_priority]])</f>
        <v>Standard</v>
      </c>
      <c r="E2581" t="s">
        <v>13317</v>
      </c>
      <c r="F2581" t="str">
        <f>IFERROR(INDEX(customers[country], MATCH(orders[[#This Row],[customer_id]], customers[customer_id], 0)), "Unmapped")</f>
        <v>Finland</v>
      </c>
      <c r="G2581" t="str">
        <f>IFERROR(INDEX(Region_Map[Region], MATCH(orders[[#This Row],[Customer_Country]], Region_Map[Country], 0)), "Unknown")</f>
        <v>Nordics</v>
      </c>
      <c r="H2581" t="s">
        <v>6949</v>
      </c>
    </row>
    <row r="2582" spans="1:8">
      <c r="A2582" t="s">
        <v>3489</v>
      </c>
      <c r="B2582" t="s">
        <v>879</v>
      </c>
      <c r="C2582" s="1">
        <v>45386</v>
      </c>
      <c r="D2582" s="1" t="str">
        <f>PROPER(orders[[#This Row],[order_priority]])</f>
        <v>Standard</v>
      </c>
      <c r="E2582" t="s">
        <v>13317</v>
      </c>
      <c r="F2582" t="str">
        <f>IFERROR(INDEX(customers[country], MATCH(orders[[#This Row],[customer_id]], customers[customer_id], 0)), "Unmapped")</f>
        <v>Norway</v>
      </c>
      <c r="G2582" t="str">
        <f>IFERROR(INDEX(Region_Map[Region], MATCH(orders[[#This Row],[Customer_Country]], Region_Map[Country], 0)), "Unknown")</f>
        <v>Nordics</v>
      </c>
      <c r="H2582" t="s">
        <v>6949</v>
      </c>
    </row>
    <row r="2583" spans="1:8">
      <c r="A2583" t="s">
        <v>3490</v>
      </c>
      <c r="B2583" t="s">
        <v>758</v>
      </c>
      <c r="C2583" s="1">
        <v>45350</v>
      </c>
      <c r="D2583" s="1" t="str">
        <f>PROPER(orders[[#This Row],[order_priority]])</f>
        <v>Express</v>
      </c>
      <c r="E2583" t="s">
        <v>13318</v>
      </c>
      <c r="F2583" t="str">
        <f>IFERROR(INDEX(customers[country], MATCH(orders[[#This Row],[customer_id]], customers[customer_id], 0)), "Unmapped")</f>
        <v>Estonia</v>
      </c>
      <c r="G2583" t="str">
        <f>IFERROR(INDEX(Region_Map[Region], MATCH(orders[[#This Row],[Customer_Country]], Region_Map[Country], 0)), "Unknown")</f>
        <v>Baltics</v>
      </c>
      <c r="H2583" t="s">
        <v>6949</v>
      </c>
    </row>
    <row r="2584" spans="1:8">
      <c r="A2584" t="s">
        <v>3491</v>
      </c>
      <c r="B2584" t="s">
        <v>617</v>
      </c>
      <c r="C2584" s="1">
        <v>45618</v>
      </c>
      <c r="D2584" s="1" t="str">
        <f>PROPER(orders[[#This Row],[order_priority]])</f>
        <v>Standard</v>
      </c>
      <c r="E2584" t="s">
        <v>13317</v>
      </c>
      <c r="F2584" t="str">
        <f>IFERROR(INDEX(customers[country], MATCH(orders[[#This Row],[customer_id]], customers[customer_id], 0)), "Unmapped")</f>
        <v>Latvia</v>
      </c>
      <c r="G2584" t="str">
        <f>IFERROR(INDEX(Region_Map[Region], MATCH(orders[[#This Row],[Customer_Country]], Region_Map[Country], 0)), "Unknown")</f>
        <v>Baltics</v>
      </c>
      <c r="H2584" t="s">
        <v>6949</v>
      </c>
    </row>
    <row r="2585" spans="1:8">
      <c r="A2585" t="s">
        <v>3492</v>
      </c>
      <c r="B2585" t="s">
        <v>766</v>
      </c>
      <c r="C2585" s="1">
        <v>45547</v>
      </c>
      <c r="D2585" s="1" t="str">
        <f>PROPER(orders[[#This Row],[order_priority]])</f>
        <v>Standard</v>
      </c>
      <c r="E2585" t="s">
        <v>13317</v>
      </c>
      <c r="F2585" t="str">
        <f>IFERROR(INDEX(customers[country], MATCH(orders[[#This Row],[customer_id]], customers[customer_id], 0)), "Unmapped")</f>
        <v>Germany</v>
      </c>
      <c r="G2585" t="str">
        <f>IFERROR(INDEX(Region_Map[Region], MATCH(orders[[#This Row],[Customer_Country]], Region_Map[Country], 0)), "Unknown")</f>
        <v>Central Europe</v>
      </c>
      <c r="H2585" t="s">
        <v>6949</v>
      </c>
    </row>
    <row r="2586" spans="1:8">
      <c r="A2586" t="s">
        <v>3493</v>
      </c>
      <c r="B2586" t="s">
        <v>151</v>
      </c>
      <c r="C2586" s="1">
        <v>45582</v>
      </c>
      <c r="D2586" s="1" t="str">
        <f>PROPER(orders[[#This Row],[order_priority]])</f>
        <v>Standard</v>
      </c>
      <c r="E2586" t="s">
        <v>13317</v>
      </c>
      <c r="F2586" t="str">
        <f>IFERROR(INDEX(customers[country], MATCH(orders[[#This Row],[customer_id]], customers[customer_id], 0)), "Unmapped")</f>
        <v>Sweden</v>
      </c>
      <c r="G2586" t="str">
        <f>IFERROR(INDEX(Region_Map[Region], MATCH(orders[[#This Row],[Customer_Country]], Region_Map[Country], 0)), "Unknown")</f>
        <v>Nordics</v>
      </c>
      <c r="H2586" t="s">
        <v>6949</v>
      </c>
    </row>
    <row r="2587" spans="1:8">
      <c r="A2587" t="s">
        <v>3494</v>
      </c>
      <c r="B2587" t="s">
        <v>13346</v>
      </c>
      <c r="C2587" s="1">
        <v>45261</v>
      </c>
      <c r="D2587" s="1" t="str">
        <f>PROPER(orders[[#This Row],[order_priority]])</f>
        <v>Express</v>
      </c>
      <c r="E2587" t="s">
        <v>13318</v>
      </c>
      <c r="F2587" t="str">
        <f>IFERROR(INDEX(customers[country], MATCH(orders[[#This Row],[customer_id]], customers[customer_id], 0)), "Unmapped")</f>
        <v>Unmapped</v>
      </c>
      <c r="G2587" t="str">
        <f>IFERROR(INDEX(Region_Map[Region], MATCH(orders[[#This Row],[Customer_Country]], Region_Map[Country], 0)), "Unknown")</f>
        <v>Unknown</v>
      </c>
      <c r="H2587" t="s">
        <v>6949</v>
      </c>
    </row>
    <row r="2588" spans="1:8">
      <c r="A2588" t="s">
        <v>3495</v>
      </c>
      <c r="B2588" t="s">
        <v>888</v>
      </c>
      <c r="C2588" s="1">
        <v>45170</v>
      </c>
      <c r="D2588" s="1" t="str">
        <f>PROPER(orders[[#This Row],[order_priority]])</f>
        <v>Same Day</v>
      </c>
      <c r="E2588" t="s">
        <v>13322</v>
      </c>
      <c r="F2588" t="str">
        <f>IFERROR(INDEX(customers[country], MATCH(orders[[#This Row],[customer_id]], customers[customer_id], 0)), "Unmapped")</f>
        <v>Denmark</v>
      </c>
      <c r="G2588" t="str">
        <f>IFERROR(INDEX(Region_Map[Region], MATCH(orders[[#This Row],[Customer_Country]], Region_Map[Country], 0)), "Unknown")</f>
        <v>Nordics</v>
      </c>
      <c r="H2588" t="s">
        <v>6949</v>
      </c>
    </row>
    <row r="2589" spans="1:8">
      <c r="A2589" t="s">
        <v>3496</v>
      </c>
      <c r="B2589" t="s">
        <v>491</v>
      </c>
      <c r="C2589" s="1">
        <v>44973</v>
      </c>
      <c r="D2589" s="1" t="str">
        <f>PROPER(orders[[#This Row],[order_priority]])</f>
        <v>Standard</v>
      </c>
      <c r="E2589" t="s">
        <v>13317</v>
      </c>
      <c r="F2589" t="str">
        <f>IFERROR(INDEX(customers[country], MATCH(orders[[#This Row],[customer_id]], customers[customer_id], 0)), "Unmapped")</f>
        <v>Latvia</v>
      </c>
      <c r="G2589" t="str">
        <f>IFERROR(INDEX(Region_Map[Region], MATCH(orders[[#This Row],[Customer_Country]], Region_Map[Country], 0)), "Unknown")</f>
        <v>Baltics</v>
      </c>
      <c r="H2589" t="s">
        <v>6949</v>
      </c>
    </row>
    <row r="2590" spans="1:8">
      <c r="A2590" t="s">
        <v>3497</v>
      </c>
      <c r="B2590" t="s">
        <v>816</v>
      </c>
      <c r="C2590" s="1">
        <v>44997</v>
      </c>
      <c r="D2590" s="1" t="str">
        <f>PROPER(orders[[#This Row],[order_priority]])</f>
        <v>Economy</v>
      </c>
      <c r="E2590" t="s">
        <v>13325</v>
      </c>
      <c r="F2590" t="str">
        <f>IFERROR(INDEX(customers[country], MATCH(orders[[#This Row],[customer_id]], customers[customer_id], 0)), "Unmapped")</f>
        <v>Lithuania</v>
      </c>
      <c r="G2590" t="str">
        <f>IFERROR(INDEX(Region_Map[Region], MATCH(orders[[#This Row],[Customer_Country]], Region_Map[Country], 0)), "Unknown")</f>
        <v>Baltics</v>
      </c>
      <c r="H2590" t="s">
        <v>6949</v>
      </c>
    </row>
    <row r="2591" spans="1:8">
      <c r="A2591" t="s">
        <v>3498</v>
      </c>
      <c r="B2591" t="s">
        <v>139</v>
      </c>
      <c r="C2591" s="1">
        <v>44951</v>
      </c>
      <c r="D2591" s="1" t="str">
        <f>PROPER(orders[[#This Row],[order_priority]])</f>
        <v>Economy</v>
      </c>
      <c r="E2591" t="s">
        <v>13316</v>
      </c>
      <c r="F2591" t="str">
        <f>IFERROR(INDEX(customers[country], MATCH(orders[[#This Row],[customer_id]], customers[customer_id], 0)), "Unmapped")</f>
        <v>Netherlands</v>
      </c>
      <c r="G2591" t="str">
        <f>IFERROR(INDEX(Region_Map[Region], MATCH(orders[[#This Row],[Customer_Country]], Region_Map[Country], 0)), "Unknown")</f>
        <v>Central Europe</v>
      </c>
      <c r="H2591" t="s">
        <v>6949</v>
      </c>
    </row>
    <row r="2592" spans="1:8">
      <c r="A2592" t="s">
        <v>3499</v>
      </c>
      <c r="B2592" t="s">
        <v>718</v>
      </c>
      <c r="C2592" s="1">
        <v>44959</v>
      </c>
      <c r="D2592" s="1" t="str">
        <f>PROPER(orders[[#This Row],[order_priority]])</f>
        <v>Standard</v>
      </c>
      <c r="E2592" t="s">
        <v>13317</v>
      </c>
      <c r="F2592" t="str">
        <f>IFERROR(INDEX(customers[country], MATCH(orders[[#This Row],[customer_id]], customers[customer_id], 0)), "Unmapped")</f>
        <v>Netherlands</v>
      </c>
      <c r="G2592" t="str">
        <f>IFERROR(INDEX(Region_Map[Region], MATCH(orders[[#This Row],[Customer_Country]], Region_Map[Country], 0)), "Unknown")</f>
        <v>Central Europe</v>
      </c>
      <c r="H2592" t="s">
        <v>6949</v>
      </c>
    </row>
    <row r="2593" spans="1:8">
      <c r="A2593" t="s">
        <v>3500</v>
      </c>
      <c r="B2593" t="s">
        <v>551</v>
      </c>
      <c r="C2593" s="1">
        <v>45242</v>
      </c>
      <c r="D2593" s="1" t="str">
        <f>PROPER(orders[[#This Row],[order_priority]])</f>
        <v>Economy</v>
      </c>
      <c r="E2593" t="s">
        <v>13316</v>
      </c>
      <c r="F2593" t="str">
        <f>IFERROR(INDEX(customers[country], MATCH(orders[[#This Row],[customer_id]], customers[customer_id], 0)), "Unmapped")</f>
        <v>Latvia</v>
      </c>
      <c r="G2593" t="str">
        <f>IFERROR(INDEX(Region_Map[Region], MATCH(orders[[#This Row],[Customer_Country]], Region_Map[Country], 0)), "Unknown")</f>
        <v>Baltics</v>
      </c>
      <c r="H2593" t="s">
        <v>6949</v>
      </c>
    </row>
    <row r="2594" spans="1:8">
      <c r="A2594" t="s">
        <v>3501</v>
      </c>
      <c r="B2594" t="s">
        <v>563</v>
      </c>
      <c r="C2594" s="1">
        <v>44981</v>
      </c>
      <c r="D2594" s="1" t="str">
        <f>PROPER(orders[[#This Row],[order_priority]])</f>
        <v>Express</v>
      </c>
      <c r="E2594" t="s">
        <v>13318</v>
      </c>
      <c r="F2594" t="str">
        <f>IFERROR(INDEX(customers[country], MATCH(orders[[#This Row],[customer_id]], customers[customer_id], 0)), "Unmapped")</f>
        <v>Estonia</v>
      </c>
      <c r="G2594" t="str">
        <f>IFERROR(INDEX(Region_Map[Region], MATCH(orders[[#This Row],[Customer_Country]], Region_Map[Country], 0)), "Unknown")</f>
        <v>Baltics</v>
      </c>
      <c r="H2594" t="s">
        <v>6949</v>
      </c>
    </row>
    <row r="2595" spans="1:8">
      <c r="A2595" t="s">
        <v>3502</v>
      </c>
      <c r="B2595" t="s">
        <v>840</v>
      </c>
      <c r="C2595" s="1">
        <v>45047</v>
      </c>
      <c r="D2595" s="1" t="str">
        <f>PROPER(orders[[#This Row],[order_priority]])</f>
        <v>Economy</v>
      </c>
      <c r="E2595" t="s">
        <v>13325</v>
      </c>
      <c r="F2595" t="str">
        <f>IFERROR(INDEX(customers[country], MATCH(orders[[#This Row],[customer_id]], customers[customer_id], 0)), "Unmapped")</f>
        <v>Finland</v>
      </c>
      <c r="G2595" t="str">
        <f>IFERROR(INDEX(Region_Map[Region], MATCH(orders[[#This Row],[Customer_Country]], Region_Map[Country], 0)), "Unknown")</f>
        <v>Nordics</v>
      </c>
      <c r="H2595" t="s">
        <v>6949</v>
      </c>
    </row>
    <row r="2596" spans="1:8">
      <c r="A2596" t="s">
        <v>3503</v>
      </c>
      <c r="B2596" t="s">
        <v>413</v>
      </c>
      <c r="C2596" s="1">
        <v>45260</v>
      </c>
      <c r="D2596" s="1" t="str">
        <f>PROPER(orders[[#This Row],[order_priority]])</f>
        <v>Economy</v>
      </c>
      <c r="E2596" t="s">
        <v>13316</v>
      </c>
      <c r="F2596" t="str">
        <f>IFERROR(INDEX(customers[country], MATCH(orders[[#This Row],[customer_id]], customers[customer_id], 0)), "Unmapped")</f>
        <v>Poland</v>
      </c>
      <c r="G2596" t="str">
        <f>IFERROR(INDEX(Region_Map[Region], MATCH(orders[[#This Row],[Customer_Country]], Region_Map[Country], 0)), "Unknown")</f>
        <v>Central Europe</v>
      </c>
      <c r="H2596" t="s">
        <v>6949</v>
      </c>
    </row>
    <row r="2597" spans="1:8">
      <c r="A2597" t="s">
        <v>3504</v>
      </c>
      <c r="B2597" t="s">
        <v>136</v>
      </c>
      <c r="C2597" s="1">
        <v>45478</v>
      </c>
      <c r="D2597" s="1" t="str">
        <f>PROPER(orders[[#This Row],[order_priority]])</f>
        <v>Standard</v>
      </c>
      <c r="E2597" t="s">
        <v>13317</v>
      </c>
      <c r="F2597" t="str">
        <f>IFERROR(INDEX(customers[country], MATCH(orders[[#This Row],[customer_id]], customers[customer_id], 0)), "Unmapped")</f>
        <v>Sweden</v>
      </c>
      <c r="G2597" t="str">
        <f>IFERROR(INDEX(Region_Map[Region], MATCH(orders[[#This Row],[Customer_Country]], Region_Map[Country], 0)), "Unknown")</f>
        <v>Nordics</v>
      </c>
      <c r="H2597" t="s">
        <v>6949</v>
      </c>
    </row>
    <row r="2598" spans="1:8">
      <c r="A2598" t="s">
        <v>3505</v>
      </c>
      <c r="B2598" t="s">
        <v>192</v>
      </c>
      <c r="C2598" s="1">
        <v>45003</v>
      </c>
      <c r="D2598" s="1" t="str">
        <f>PROPER(orders[[#This Row],[order_priority]])</f>
        <v>Standard</v>
      </c>
      <c r="E2598" t="s">
        <v>13317</v>
      </c>
      <c r="F2598" t="str">
        <f>IFERROR(INDEX(customers[country], MATCH(orders[[#This Row],[customer_id]], customers[customer_id], 0)), "Unmapped")</f>
        <v>Estonia</v>
      </c>
      <c r="G2598" t="str">
        <f>IFERROR(INDEX(Region_Map[Region], MATCH(orders[[#This Row],[Customer_Country]], Region_Map[Country], 0)), "Unknown")</f>
        <v>Baltics</v>
      </c>
      <c r="H2598" t="s">
        <v>6949</v>
      </c>
    </row>
    <row r="2599" spans="1:8">
      <c r="A2599" t="s">
        <v>3506</v>
      </c>
      <c r="B2599" t="s">
        <v>154</v>
      </c>
      <c r="C2599" s="1">
        <v>45435</v>
      </c>
      <c r="D2599" s="1" t="str">
        <f>PROPER(orders[[#This Row],[order_priority]])</f>
        <v>Express</v>
      </c>
      <c r="E2599" t="s">
        <v>13318</v>
      </c>
      <c r="F2599" t="str">
        <f>IFERROR(INDEX(customers[country], MATCH(orders[[#This Row],[customer_id]], customers[customer_id], 0)), "Unmapped")</f>
        <v>Lithuania</v>
      </c>
      <c r="G2599" t="str">
        <f>IFERROR(INDEX(Region_Map[Region], MATCH(orders[[#This Row],[Customer_Country]], Region_Map[Country], 0)), "Unknown")</f>
        <v>Baltics</v>
      </c>
      <c r="H2599" t="s">
        <v>6949</v>
      </c>
    </row>
    <row r="2600" spans="1:8">
      <c r="A2600" t="s">
        <v>3507</v>
      </c>
      <c r="B2600" t="s">
        <v>715</v>
      </c>
      <c r="C2600" s="1">
        <v>45275</v>
      </c>
      <c r="D2600" s="1" t="str">
        <f>PROPER(orders[[#This Row],[order_priority]])</f>
        <v>Express</v>
      </c>
      <c r="E2600" t="s">
        <v>13318</v>
      </c>
      <c r="F2600" t="str">
        <f>IFERROR(INDEX(customers[country], MATCH(orders[[#This Row],[customer_id]], customers[customer_id], 0)), "Unmapped")</f>
        <v>Netherlands</v>
      </c>
      <c r="G2600" t="str">
        <f>IFERROR(INDEX(Region_Map[Region], MATCH(orders[[#This Row],[Customer_Country]], Region_Map[Country], 0)), "Unknown")</f>
        <v>Central Europe</v>
      </c>
      <c r="H2600" t="s">
        <v>6949</v>
      </c>
    </row>
    <row r="2601" spans="1:8">
      <c r="A2601" t="s">
        <v>3508</v>
      </c>
      <c r="B2601" t="s">
        <v>784</v>
      </c>
      <c r="C2601" s="1">
        <v>45280</v>
      </c>
      <c r="D2601" s="1" t="str">
        <f>PROPER(orders[[#This Row],[order_priority]])</f>
        <v>Express</v>
      </c>
      <c r="E2601" t="s">
        <v>13318</v>
      </c>
      <c r="F2601" t="str">
        <f>IFERROR(INDEX(customers[country], MATCH(orders[[#This Row],[customer_id]], customers[customer_id], 0)), "Unmapped")</f>
        <v>Estonia</v>
      </c>
      <c r="G2601" t="str">
        <f>IFERROR(INDEX(Region_Map[Region], MATCH(orders[[#This Row],[Customer_Country]], Region_Map[Country], 0)), "Unknown")</f>
        <v>Baltics</v>
      </c>
      <c r="H2601" t="s">
        <v>6949</v>
      </c>
    </row>
    <row r="2602" spans="1:8">
      <c r="A2602" t="s">
        <v>3509</v>
      </c>
      <c r="B2602" t="s">
        <v>891</v>
      </c>
      <c r="C2602" s="1">
        <v>44958</v>
      </c>
      <c r="D2602" s="1" t="str">
        <f>PROPER(orders[[#This Row],[order_priority]])</f>
        <v>Same Day</v>
      </c>
      <c r="E2602" t="s">
        <v>13322</v>
      </c>
      <c r="F2602" t="str">
        <f>IFERROR(INDEX(customers[country], MATCH(orders[[#This Row],[customer_id]], customers[customer_id], 0)), "Unmapped")</f>
        <v>Netherlands</v>
      </c>
      <c r="G2602" t="str">
        <f>IFERROR(INDEX(Region_Map[Region], MATCH(orders[[#This Row],[Customer_Country]], Region_Map[Country], 0)), "Unknown")</f>
        <v>Central Europe</v>
      </c>
      <c r="H2602" t="s">
        <v>6949</v>
      </c>
    </row>
    <row r="2603" spans="1:8">
      <c r="A2603" t="s">
        <v>3510</v>
      </c>
      <c r="B2603" t="s">
        <v>344</v>
      </c>
      <c r="C2603" s="1">
        <v>45598</v>
      </c>
      <c r="D2603" s="1" t="str">
        <f>PROPER(orders[[#This Row],[order_priority]])</f>
        <v>Same Day</v>
      </c>
      <c r="E2603" t="s">
        <v>13324</v>
      </c>
      <c r="F2603" t="str">
        <f>IFERROR(INDEX(customers[country], MATCH(orders[[#This Row],[customer_id]], customers[customer_id], 0)), "Unmapped")</f>
        <v>Estonia</v>
      </c>
      <c r="G2603" t="str">
        <f>IFERROR(INDEX(Region_Map[Region], MATCH(orders[[#This Row],[Customer_Country]], Region_Map[Country], 0)), "Unknown")</f>
        <v>Baltics</v>
      </c>
      <c r="H2603" t="s">
        <v>6949</v>
      </c>
    </row>
    <row r="2604" spans="1:8">
      <c r="A2604" t="s">
        <v>3511</v>
      </c>
      <c r="B2604" t="s">
        <v>697</v>
      </c>
      <c r="C2604" s="1">
        <v>45422</v>
      </c>
      <c r="D2604" s="1" t="str">
        <f>PROPER(orders[[#This Row],[order_priority]])</f>
        <v>Standard</v>
      </c>
      <c r="E2604" t="s">
        <v>13317</v>
      </c>
      <c r="F2604" t="str">
        <f>IFERROR(INDEX(customers[country], MATCH(orders[[#This Row],[customer_id]], customers[customer_id], 0)), "Unmapped")</f>
        <v>Estonia</v>
      </c>
      <c r="G2604" t="str">
        <f>IFERROR(INDEX(Region_Map[Region], MATCH(orders[[#This Row],[Customer_Country]], Region_Map[Country], 0)), "Unknown")</f>
        <v>Baltics</v>
      </c>
      <c r="H2604" t="s">
        <v>6949</v>
      </c>
    </row>
    <row r="2605" spans="1:8">
      <c r="A2605" t="s">
        <v>3512</v>
      </c>
      <c r="B2605" t="s">
        <v>816</v>
      </c>
      <c r="C2605" s="1">
        <v>45531</v>
      </c>
      <c r="D2605" s="1" t="str">
        <f>PROPER(orders[[#This Row],[order_priority]])</f>
        <v>Standard</v>
      </c>
      <c r="E2605" t="s">
        <v>13317</v>
      </c>
      <c r="F2605" t="str">
        <f>IFERROR(INDEX(customers[country], MATCH(orders[[#This Row],[customer_id]], customers[customer_id], 0)), "Unmapped")</f>
        <v>Lithuania</v>
      </c>
      <c r="G2605" t="str">
        <f>IFERROR(INDEX(Region_Map[Region], MATCH(orders[[#This Row],[Customer_Country]], Region_Map[Country], 0)), "Unknown")</f>
        <v>Baltics</v>
      </c>
      <c r="H2605" t="s">
        <v>6949</v>
      </c>
    </row>
    <row r="2606" spans="1:8">
      <c r="A2606" t="s">
        <v>3513</v>
      </c>
      <c r="B2606" t="s">
        <v>216</v>
      </c>
      <c r="C2606" s="1">
        <v>45352</v>
      </c>
      <c r="D2606" s="1" t="str">
        <f>PROPER(orders[[#This Row],[order_priority]])</f>
        <v>Standard</v>
      </c>
      <c r="E2606" t="s">
        <v>13317</v>
      </c>
      <c r="F2606" t="str">
        <f>IFERROR(INDEX(customers[country], MATCH(orders[[#This Row],[customer_id]], customers[customer_id], 0)), "Unmapped")</f>
        <v>Norway</v>
      </c>
      <c r="G2606" t="str">
        <f>IFERROR(INDEX(Region_Map[Region], MATCH(orders[[#This Row],[Customer_Country]], Region_Map[Country], 0)), "Unknown")</f>
        <v>Nordics</v>
      </c>
      <c r="H2606" t="s">
        <v>6949</v>
      </c>
    </row>
    <row r="2607" spans="1:8">
      <c r="A2607" t="s">
        <v>3514</v>
      </c>
      <c r="B2607" t="s">
        <v>410</v>
      </c>
      <c r="C2607" s="1">
        <v>45185</v>
      </c>
      <c r="D2607" s="1" t="str">
        <f>PROPER(orders[[#This Row],[order_priority]])</f>
        <v>Standard</v>
      </c>
      <c r="E2607" t="s">
        <v>13317</v>
      </c>
      <c r="F2607" t="str">
        <f>IFERROR(INDEX(customers[country], MATCH(orders[[#This Row],[customer_id]], customers[customer_id], 0)), "Unmapped")</f>
        <v>Norway</v>
      </c>
      <c r="G2607" t="str">
        <f>IFERROR(INDEX(Region_Map[Region], MATCH(orders[[#This Row],[Customer_Country]], Region_Map[Country], 0)), "Unknown")</f>
        <v>Nordics</v>
      </c>
      <c r="H2607" t="s">
        <v>6949</v>
      </c>
    </row>
    <row r="2608" spans="1:8">
      <c r="A2608" t="s">
        <v>2691</v>
      </c>
      <c r="B2608" t="s">
        <v>96</v>
      </c>
      <c r="C2608" s="1">
        <v>45148</v>
      </c>
      <c r="D2608" s="1" t="str">
        <f>PROPER(orders[[#This Row],[order_priority]])</f>
        <v>Express</v>
      </c>
      <c r="E2608" t="s">
        <v>13318</v>
      </c>
      <c r="F2608" t="str">
        <f>IFERROR(INDEX(customers[country], MATCH(orders[[#This Row],[customer_id]], customers[customer_id], 0)), "Unmapped")</f>
        <v>Sweden</v>
      </c>
      <c r="G2608" t="str">
        <f>IFERROR(INDEX(Region_Map[Region], MATCH(orders[[#This Row],[Customer_Country]], Region_Map[Country], 0)), "Unknown")</f>
        <v>Nordics</v>
      </c>
      <c r="H2608" t="s">
        <v>6949</v>
      </c>
    </row>
    <row r="2609" spans="1:8">
      <c r="A2609" t="s">
        <v>3515</v>
      </c>
      <c r="B2609" t="s">
        <v>503</v>
      </c>
      <c r="C2609" s="1">
        <v>45497</v>
      </c>
      <c r="D2609" s="1" t="str">
        <f>PROPER(orders[[#This Row],[order_priority]])</f>
        <v>Standard</v>
      </c>
      <c r="E2609" t="s">
        <v>13319</v>
      </c>
      <c r="F2609" t="str">
        <f>IFERROR(INDEX(customers[country], MATCH(orders[[#This Row],[customer_id]], customers[customer_id], 0)), "Unmapped")</f>
        <v>Denmark</v>
      </c>
      <c r="G2609" t="str">
        <f>IFERROR(INDEX(Region_Map[Region], MATCH(orders[[#This Row],[Customer_Country]], Region_Map[Country], 0)), "Unknown")</f>
        <v>Nordics</v>
      </c>
      <c r="H2609" t="s">
        <v>6949</v>
      </c>
    </row>
    <row r="2610" spans="1:8">
      <c r="A2610" t="s">
        <v>3516</v>
      </c>
      <c r="B2610" t="s">
        <v>876</v>
      </c>
      <c r="C2610" s="1">
        <v>45419</v>
      </c>
      <c r="D2610" s="1" t="str">
        <f>PROPER(orders[[#This Row],[order_priority]])</f>
        <v>Economy</v>
      </c>
      <c r="E2610" t="s">
        <v>13316</v>
      </c>
      <c r="F2610" t="str">
        <f>IFERROR(INDEX(customers[country], MATCH(orders[[#This Row],[customer_id]], customers[customer_id], 0)), "Unmapped")</f>
        <v>Estonia</v>
      </c>
      <c r="G2610" t="str">
        <f>IFERROR(INDEX(Region_Map[Region], MATCH(orders[[#This Row],[Customer_Country]], Region_Map[Country], 0)), "Unknown")</f>
        <v>Baltics</v>
      </c>
      <c r="H2610" t="s">
        <v>6949</v>
      </c>
    </row>
    <row r="2611" spans="1:8">
      <c r="A2611" t="s">
        <v>3517</v>
      </c>
      <c r="B2611" t="s">
        <v>341</v>
      </c>
      <c r="C2611" s="1">
        <v>45344</v>
      </c>
      <c r="D2611" s="1" t="str">
        <f>PROPER(orders[[#This Row],[order_priority]])</f>
        <v>Economy</v>
      </c>
      <c r="E2611" t="s">
        <v>13328</v>
      </c>
      <c r="F2611" t="str">
        <f>IFERROR(INDEX(customers[country], MATCH(orders[[#This Row],[customer_id]], customers[customer_id], 0)), "Unmapped")</f>
        <v>Latvia</v>
      </c>
      <c r="G2611" t="str">
        <f>IFERROR(INDEX(Region_Map[Region], MATCH(orders[[#This Row],[Customer_Country]], Region_Map[Country], 0)), "Unknown")</f>
        <v>Baltics</v>
      </c>
      <c r="H2611" t="s">
        <v>6949</v>
      </c>
    </row>
    <row r="2612" spans="1:8">
      <c r="A2612" t="s">
        <v>3518</v>
      </c>
      <c r="B2612" t="s">
        <v>575</v>
      </c>
      <c r="C2612" s="1">
        <v>45323</v>
      </c>
      <c r="D2612" s="1" t="str">
        <f>PROPER(orders[[#This Row],[order_priority]])</f>
        <v>Economy</v>
      </c>
      <c r="E2612" t="s">
        <v>13316</v>
      </c>
      <c r="F2612" t="str">
        <f>IFERROR(INDEX(customers[country], MATCH(orders[[#This Row],[customer_id]], customers[customer_id], 0)), "Unmapped")</f>
        <v>Netherlands</v>
      </c>
      <c r="G2612" t="str">
        <f>IFERROR(INDEX(Region_Map[Region], MATCH(orders[[#This Row],[Customer_Country]], Region_Map[Country], 0)), "Unknown")</f>
        <v>Central Europe</v>
      </c>
      <c r="H2612" t="s">
        <v>6949</v>
      </c>
    </row>
    <row r="2613" spans="1:8">
      <c r="A2613" t="s">
        <v>3519</v>
      </c>
      <c r="B2613" t="s">
        <v>204</v>
      </c>
      <c r="C2613" s="1">
        <v>45308</v>
      </c>
      <c r="D2613" s="1" t="str">
        <f>PROPER(orders[[#This Row],[order_priority]])</f>
        <v>Same Day</v>
      </c>
      <c r="E2613" t="s">
        <v>13324</v>
      </c>
      <c r="F2613" t="str">
        <f>IFERROR(INDEX(customers[country], MATCH(orders[[#This Row],[customer_id]], customers[customer_id], 0)), "Unmapped")</f>
        <v>Sweden</v>
      </c>
      <c r="G2613" t="str">
        <f>IFERROR(INDEX(Region_Map[Region], MATCH(orders[[#This Row],[Customer_Country]], Region_Map[Country], 0)), "Unknown")</f>
        <v>Nordics</v>
      </c>
      <c r="H2613" t="s">
        <v>6949</v>
      </c>
    </row>
    <row r="2614" spans="1:8">
      <c r="A2614" t="s">
        <v>3520</v>
      </c>
      <c r="B2614" t="s">
        <v>593</v>
      </c>
      <c r="C2614" s="1">
        <v>44994</v>
      </c>
      <c r="D2614" s="1" t="str">
        <f>PROPER(orders[[#This Row],[order_priority]])</f>
        <v>Standard</v>
      </c>
      <c r="E2614" t="s">
        <v>13323</v>
      </c>
      <c r="F2614" t="str">
        <f>IFERROR(INDEX(customers[country], MATCH(orders[[#This Row],[customer_id]], customers[customer_id], 0)), "Unmapped")</f>
        <v>Estonia</v>
      </c>
      <c r="G2614" t="str">
        <f>IFERROR(INDEX(Region_Map[Region], MATCH(orders[[#This Row],[Customer_Country]], Region_Map[Country], 0)), "Unknown")</f>
        <v>Baltics</v>
      </c>
      <c r="H2614" t="s">
        <v>6949</v>
      </c>
    </row>
    <row r="2615" spans="1:8">
      <c r="A2615" t="s">
        <v>3521</v>
      </c>
      <c r="B2615" t="s">
        <v>314</v>
      </c>
      <c r="C2615" s="1">
        <v>45231</v>
      </c>
      <c r="D2615" s="1" t="str">
        <f>PROPER(orders[[#This Row],[order_priority]])</f>
        <v>Standard</v>
      </c>
      <c r="E2615" t="s">
        <v>13317</v>
      </c>
      <c r="F2615" t="str">
        <f>IFERROR(INDEX(customers[country], MATCH(orders[[#This Row],[customer_id]], customers[customer_id], 0)), "Unmapped")</f>
        <v>Poland</v>
      </c>
      <c r="G2615" t="str">
        <f>IFERROR(INDEX(Region_Map[Region], MATCH(orders[[#This Row],[Customer_Country]], Region_Map[Country], 0)), "Unknown")</f>
        <v>Central Europe</v>
      </c>
      <c r="H2615" t="s">
        <v>6949</v>
      </c>
    </row>
    <row r="2616" spans="1:8">
      <c r="A2616" t="s">
        <v>3522</v>
      </c>
      <c r="B2616" t="s">
        <v>154</v>
      </c>
      <c r="C2616" s="1">
        <v>45530</v>
      </c>
      <c r="D2616" s="1" t="str">
        <f>PROPER(orders[[#This Row],[order_priority]])</f>
        <v>Economy</v>
      </c>
      <c r="E2616" t="s">
        <v>13316</v>
      </c>
      <c r="F2616" t="str">
        <f>IFERROR(INDEX(customers[country], MATCH(orders[[#This Row],[customer_id]], customers[customer_id], 0)), "Unmapped")</f>
        <v>Lithuania</v>
      </c>
      <c r="G2616" t="str">
        <f>IFERROR(INDEX(Region_Map[Region], MATCH(orders[[#This Row],[Customer_Country]], Region_Map[Country], 0)), "Unknown")</f>
        <v>Baltics</v>
      </c>
      <c r="H2616" t="s">
        <v>6949</v>
      </c>
    </row>
    <row r="2617" spans="1:8">
      <c r="A2617" t="s">
        <v>3523</v>
      </c>
      <c r="B2617" t="s">
        <v>416</v>
      </c>
      <c r="C2617" s="1">
        <v>45322</v>
      </c>
      <c r="D2617" s="1" t="str">
        <f>PROPER(orders[[#This Row],[order_priority]])</f>
        <v>Same Day</v>
      </c>
      <c r="E2617" t="s">
        <v>13322</v>
      </c>
      <c r="F2617" t="str">
        <f>IFERROR(INDEX(customers[country], MATCH(orders[[#This Row],[customer_id]], customers[customer_id], 0)), "Unmapped")</f>
        <v>Denmark</v>
      </c>
      <c r="G2617" t="str">
        <f>IFERROR(INDEX(Region_Map[Region], MATCH(orders[[#This Row],[Customer_Country]], Region_Map[Country], 0)), "Unknown")</f>
        <v>Nordics</v>
      </c>
      <c r="H2617" t="s">
        <v>6949</v>
      </c>
    </row>
    <row r="2618" spans="1:8">
      <c r="A2618" t="s">
        <v>3524</v>
      </c>
      <c r="B2618" t="s">
        <v>557</v>
      </c>
      <c r="C2618" s="1">
        <v>45546</v>
      </c>
      <c r="D2618" s="1" t="str">
        <f>PROPER(orders[[#This Row],[order_priority]])</f>
        <v>Economy</v>
      </c>
      <c r="E2618" t="s">
        <v>13316</v>
      </c>
      <c r="F2618" t="str">
        <f>IFERROR(INDEX(customers[country], MATCH(orders[[#This Row],[customer_id]], customers[customer_id], 0)), "Unmapped")</f>
        <v>Norway</v>
      </c>
      <c r="G2618" t="str">
        <f>IFERROR(INDEX(Region_Map[Region], MATCH(orders[[#This Row],[Customer_Country]], Region_Map[Country], 0)), "Unknown")</f>
        <v>Nordics</v>
      </c>
      <c r="H2618" t="s">
        <v>6949</v>
      </c>
    </row>
    <row r="2619" spans="1:8">
      <c r="A2619" t="s">
        <v>3525</v>
      </c>
      <c r="B2619" t="s">
        <v>488</v>
      </c>
      <c r="C2619" s="1">
        <v>45141</v>
      </c>
      <c r="D2619" s="1" t="str">
        <f>PROPER(orders[[#This Row],[order_priority]])</f>
        <v>Standard</v>
      </c>
      <c r="E2619" t="s">
        <v>13317</v>
      </c>
      <c r="F2619" t="str">
        <f>IFERROR(INDEX(customers[country], MATCH(orders[[#This Row],[customer_id]], customers[customer_id], 0)), "Unmapped")</f>
        <v>Netherlands</v>
      </c>
      <c r="G2619" t="str">
        <f>IFERROR(INDEX(Region_Map[Region], MATCH(orders[[#This Row],[Customer_Country]], Region_Map[Country], 0)), "Unknown")</f>
        <v>Central Europe</v>
      </c>
      <c r="H2619" t="s">
        <v>6949</v>
      </c>
    </row>
    <row r="2620" spans="1:8">
      <c r="A2620" t="s">
        <v>3526</v>
      </c>
      <c r="B2620" t="s">
        <v>512</v>
      </c>
      <c r="C2620" s="1">
        <v>45409</v>
      </c>
      <c r="D2620" s="1" t="str">
        <f>PROPER(orders[[#This Row],[order_priority]])</f>
        <v>Standard</v>
      </c>
      <c r="E2620" t="s">
        <v>13317</v>
      </c>
      <c r="F2620" t="str">
        <f>IFERROR(INDEX(customers[country], MATCH(orders[[#This Row],[customer_id]], customers[customer_id], 0)), "Unmapped")</f>
        <v>Poland</v>
      </c>
      <c r="G2620" t="str">
        <f>IFERROR(INDEX(Region_Map[Region], MATCH(orders[[#This Row],[Customer_Country]], Region_Map[Country], 0)), "Unknown")</f>
        <v>Central Europe</v>
      </c>
      <c r="H2620" t="s">
        <v>6949</v>
      </c>
    </row>
    <row r="2621" spans="1:8">
      <c r="A2621" t="s">
        <v>3527</v>
      </c>
      <c r="B2621" t="s">
        <v>198</v>
      </c>
      <c r="C2621" s="1">
        <v>45417</v>
      </c>
      <c r="D2621" s="1" t="str">
        <f>PROPER(orders[[#This Row],[order_priority]])</f>
        <v>Same Day</v>
      </c>
      <c r="E2621" t="s">
        <v>13322</v>
      </c>
      <c r="F2621" t="str">
        <f>IFERROR(INDEX(customers[country], MATCH(orders[[#This Row],[customer_id]], customers[customer_id], 0)), "Unmapped")</f>
        <v>Poland</v>
      </c>
      <c r="G2621" t="str">
        <f>IFERROR(INDEX(Region_Map[Region], MATCH(orders[[#This Row],[Customer_Country]], Region_Map[Country], 0)), "Unknown")</f>
        <v>Central Europe</v>
      </c>
      <c r="H2621" t="s">
        <v>6949</v>
      </c>
    </row>
    <row r="2622" spans="1:8">
      <c r="A2622" t="s">
        <v>3528</v>
      </c>
      <c r="B2622" t="s">
        <v>467</v>
      </c>
      <c r="C2622" s="1">
        <v>45143</v>
      </c>
      <c r="D2622" s="1" t="str">
        <f>PROPER(orders[[#This Row],[order_priority]])</f>
        <v>Express</v>
      </c>
      <c r="E2622" t="s">
        <v>13318</v>
      </c>
      <c r="F2622" t="str">
        <f>IFERROR(INDEX(customers[country], MATCH(orders[[#This Row],[customer_id]], customers[customer_id], 0)), "Unmapped")</f>
        <v>Latvia</v>
      </c>
      <c r="G2622" t="str">
        <f>IFERROR(INDEX(Region_Map[Region], MATCH(orders[[#This Row],[Customer_Country]], Region_Map[Country], 0)), "Unknown")</f>
        <v>Baltics</v>
      </c>
      <c r="H2622" t="s">
        <v>6949</v>
      </c>
    </row>
    <row r="2623" spans="1:8">
      <c r="A2623" t="s">
        <v>3529</v>
      </c>
      <c r="B2623" t="s">
        <v>109</v>
      </c>
      <c r="C2623" s="1">
        <v>45597</v>
      </c>
      <c r="D2623" s="1" t="str">
        <f>PROPER(orders[[#This Row],[order_priority]])</f>
        <v>Same Day</v>
      </c>
      <c r="E2623" t="s">
        <v>13322</v>
      </c>
      <c r="F2623" t="str">
        <f>IFERROR(INDEX(customers[country], MATCH(orders[[#This Row],[customer_id]], customers[customer_id], 0)), "Unmapped")</f>
        <v>Netherlands</v>
      </c>
      <c r="G2623" t="str">
        <f>IFERROR(INDEX(Region_Map[Region], MATCH(orders[[#This Row],[Customer_Country]], Region_Map[Country], 0)), "Unknown")</f>
        <v>Central Europe</v>
      </c>
      <c r="H2623" t="s">
        <v>6949</v>
      </c>
    </row>
    <row r="2624" spans="1:8">
      <c r="A2624" t="s">
        <v>3530</v>
      </c>
      <c r="B2624" t="s">
        <v>38</v>
      </c>
      <c r="C2624" s="1">
        <v>45291</v>
      </c>
      <c r="D2624" s="1" t="str">
        <f>PROPER(orders[[#This Row],[order_priority]])</f>
        <v>Economy</v>
      </c>
      <c r="E2624" t="s">
        <v>13316</v>
      </c>
      <c r="F2624" t="str">
        <f>IFERROR(INDEX(customers[country], MATCH(orders[[#This Row],[customer_id]], customers[customer_id], 0)), "Unmapped")</f>
        <v>Lithuania</v>
      </c>
      <c r="G2624" t="str">
        <f>IFERROR(INDEX(Region_Map[Region], MATCH(orders[[#This Row],[Customer_Country]], Region_Map[Country], 0)), "Unknown")</f>
        <v>Baltics</v>
      </c>
      <c r="H2624" t="s">
        <v>6949</v>
      </c>
    </row>
    <row r="2625" spans="1:8">
      <c r="A2625" t="s">
        <v>3531</v>
      </c>
      <c r="B2625" t="s">
        <v>13337</v>
      </c>
      <c r="C2625" s="1">
        <v>44999</v>
      </c>
      <c r="D2625" s="1" t="str">
        <f>PROPER(orders[[#This Row],[order_priority]])</f>
        <v>Standard</v>
      </c>
      <c r="E2625" t="s">
        <v>13317</v>
      </c>
      <c r="F2625" t="str">
        <f>IFERROR(INDEX(customers[country], MATCH(orders[[#This Row],[customer_id]], customers[customer_id], 0)), "Unmapped")</f>
        <v>Unmapped</v>
      </c>
      <c r="G2625" t="str">
        <f>IFERROR(INDEX(Region_Map[Region], MATCH(orders[[#This Row],[Customer_Country]], Region_Map[Country], 0)), "Unknown")</f>
        <v>Unknown</v>
      </c>
      <c r="H2625" t="s">
        <v>6949</v>
      </c>
    </row>
    <row r="2626" spans="1:8">
      <c r="A2626" t="s">
        <v>3532</v>
      </c>
      <c r="B2626" t="s">
        <v>335</v>
      </c>
      <c r="C2626" s="1">
        <v>45184</v>
      </c>
      <c r="D2626" s="1" t="str">
        <f>PROPER(orders[[#This Row],[order_priority]])</f>
        <v>Standard</v>
      </c>
      <c r="E2626" t="s">
        <v>13323</v>
      </c>
      <c r="F2626" t="str">
        <f>IFERROR(INDEX(customers[country], MATCH(orders[[#This Row],[customer_id]], customers[customer_id], 0)), "Unmapped")</f>
        <v>Denmark</v>
      </c>
      <c r="G2626" t="str">
        <f>IFERROR(INDEX(Region_Map[Region], MATCH(orders[[#This Row],[Customer_Country]], Region_Map[Country], 0)), "Unknown")</f>
        <v>Nordics</v>
      </c>
      <c r="H2626" t="s">
        <v>6949</v>
      </c>
    </row>
    <row r="2627" spans="1:8">
      <c r="A2627" t="s">
        <v>3533</v>
      </c>
      <c r="B2627" t="s">
        <v>154</v>
      </c>
      <c r="C2627" s="1">
        <v>45603</v>
      </c>
      <c r="D2627" s="1" t="str">
        <f>PROPER(orders[[#This Row],[order_priority]])</f>
        <v>Standard</v>
      </c>
      <c r="E2627" t="s">
        <v>13317</v>
      </c>
      <c r="F2627" t="str">
        <f>IFERROR(INDEX(customers[country], MATCH(orders[[#This Row],[customer_id]], customers[customer_id], 0)), "Unmapped")</f>
        <v>Lithuania</v>
      </c>
      <c r="G2627" t="str">
        <f>IFERROR(INDEX(Region_Map[Region], MATCH(orders[[#This Row],[Customer_Country]], Region_Map[Country], 0)), "Unknown")</f>
        <v>Baltics</v>
      </c>
      <c r="H2627" t="s">
        <v>6949</v>
      </c>
    </row>
    <row r="2628" spans="1:8">
      <c r="A2628" t="s">
        <v>3534</v>
      </c>
      <c r="B2628" t="s">
        <v>234</v>
      </c>
      <c r="C2628" s="1">
        <v>45559</v>
      </c>
      <c r="D2628" s="1" t="str">
        <f>PROPER(orders[[#This Row],[order_priority]])</f>
        <v>Express</v>
      </c>
      <c r="E2628" t="s">
        <v>13318</v>
      </c>
      <c r="F2628" t="str">
        <f>IFERROR(INDEX(customers[country], MATCH(orders[[#This Row],[customer_id]], customers[customer_id], 0)), "Unmapped")</f>
        <v>Finland</v>
      </c>
      <c r="G2628" t="str">
        <f>IFERROR(INDEX(Region_Map[Region], MATCH(orders[[#This Row],[Customer_Country]], Region_Map[Country], 0)), "Unknown")</f>
        <v>Nordics</v>
      </c>
      <c r="H2628" t="s">
        <v>6949</v>
      </c>
    </row>
    <row r="2629" spans="1:8">
      <c r="A2629" t="s">
        <v>3535</v>
      </c>
      <c r="B2629" t="s">
        <v>894</v>
      </c>
      <c r="C2629" s="1">
        <v>45502</v>
      </c>
      <c r="D2629" s="1" t="str">
        <f>PROPER(orders[[#This Row],[order_priority]])</f>
        <v>Express</v>
      </c>
      <c r="E2629" t="s">
        <v>13326</v>
      </c>
      <c r="F2629" t="str">
        <f>IFERROR(INDEX(customers[country], MATCH(orders[[#This Row],[customer_id]], customers[customer_id], 0)), "Unmapped")</f>
        <v>Poland</v>
      </c>
      <c r="G2629" t="str">
        <f>IFERROR(INDEX(Region_Map[Region], MATCH(orders[[#This Row],[Customer_Country]], Region_Map[Country], 0)), "Unknown")</f>
        <v>Central Europe</v>
      </c>
      <c r="H2629" t="s">
        <v>6949</v>
      </c>
    </row>
    <row r="2630" spans="1:8">
      <c r="A2630" t="s">
        <v>3536</v>
      </c>
      <c r="B2630" t="s">
        <v>796</v>
      </c>
      <c r="C2630" s="1">
        <v>45057</v>
      </c>
      <c r="D2630" s="1" t="str">
        <f>PROPER(orders[[#This Row],[order_priority]])</f>
        <v>Same Day</v>
      </c>
      <c r="E2630" t="s">
        <v>13322</v>
      </c>
      <c r="F2630" t="str">
        <f>IFERROR(INDEX(customers[country], MATCH(orders[[#This Row],[customer_id]], customers[customer_id], 0)), "Unmapped")</f>
        <v>Sweden</v>
      </c>
      <c r="G2630" t="str">
        <f>IFERROR(INDEX(Region_Map[Region], MATCH(orders[[#This Row],[Customer_Country]], Region_Map[Country], 0)), "Unknown")</f>
        <v>Nordics</v>
      </c>
      <c r="H2630" t="s">
        <v>6949</v>
      </c>
    </row>
    <row r="2631" spans="1:8">
      <c r="A2631" t="s">
        <v>3537</v>
      </c>
      <c r="B2631" t="s">
        <v>118</v>
      </c>
      <c r="C2631" s="1">
        <v>45465</v>
      </c>
      <c r="D2631" s="1" t="str">
        <f>PROPER(orders[[#This Row],[order_priority]])</f>
        <v>Same Day</v>
      </c>
      <c r="E2631" t="s">
        <v>13322</v>
      </c>
      <c r="F2631" t="str">
        <f>IFERROR(INDEX(customers[country], MATCH(orders[[#This Row],[customer_id]], customers[customer_id], 0)), "Unmapped")</f>
        <v>Denmark</v>
      </c>
      <c r="G2631" t="str">
        <f>IFERROR(INDEX(Region_Map[Region], MATCH(orders[[#This Row],[Customer_Country]], Region_Map[Country], 0)), "Unknown")</f>
        <v>Nordics</v>
      </c>
      <c r="H2631" t="s">
        <v>6949</v>
      </c>
    </row>
    <row r="2632" spans="1:8">
      <c r="A2632" t="s">
        <v>3538</v>
      </c>
      <c r="B2632" t="s">
        <v>133</v>
      </c>
      <c r="C2632" s="1">
        <v>44969</v>
      </c>
      <c r="D2632" s="1" t="str">
        <f>PROPER(orders[[#This Row],[order_priority]])</f>
        <v>Same Day</v>
      </c>
      <c r="E2632" t="s">
        <v>13322</v>
      </c>
      <c r="F2632" t="str">
        <f>IFERROR(INDEX(customers[country], MATCH(orders[[#This Row],[customer_id]], customers[customer_id], 0)), "Unmapped")</f>
        <v>Finland</v>
      </c>
      <c r="G2632" t="str">
        <f>IFERROR(INDEX(Region_Map[Region], MATCH(orders[[#This Row],[Customer_Country]], Region_Map[Country], 0)), "Unknown")</f>
        <v>Nordics</v>
      </c>
      <c r="H2632" t="s">
        <v>6949</v>
      </c>
    </row>
    <row r="2633" spans="1:8">
      <c r="A2633" t="s">
        <v>3539</v>
      </c>
      <c r="B2633" t="s">
        <v>787</v>
      </c>
      <c r="C2633" s="1">
        <v>45373</v>
      </c>
      <c r="D2633" s="1" t="str">
        <f>PROPER(orders[[#This Row],[order_priority]])</f>
        <v>Express</v>
      </c>
      <c r="E2633" t="s">
        <v>13318</v>
      </c>
      <c r="F2633" t="str">
        <f>IFERROR(INDEX(customers[country], MATCH(orders[[#This Row],[customer_id]], customers[customer_id], 0)), "Unmapped")</f>
        <v>Netherlands</v>
      </c>
      <c r="G2633" t="str">
        <f>IFERROR(INDEX(Region_Map[Region], MATCH(orders[[#This Row],[Customer_Country]], Region_Map[Country], 0)), "Unknown")</f>
        <v>Central Europe</v>
      </c>
      <c r="H2633" t="s">
        <v>6949</v>
      </c>
    </row>
    <row r="2634" spans="1:8">
      <c r="A2634" t="s">
        <v>3540</v>
      </c>
      <c r="B2634" t="s">
        <v>706</v>
      </c>
      <c r="C2634" s="1">
        <v>45502</v>
      </c>
      <c r="D2634" s="1" t="str">
        <f>PROPER(orders[[#This Row],[order_priority]])</f>
        <v>Economy</v>
      </c>
      <c r="E2634" t="s">
        <v>13328</v>
      </c>
      <c r="F2634" t="str">
        <f>IFERROR(INDEX(customers[country], MATCH(orders[[#This Row],[customer_id]], customers[customer_id], 0)), "Unmapped")</f>
        <v>Latvia</v>
      </c>
      <c r="G2634" t="str">
        <f>IFERROR(INDEX(Region_Map[Region], MATCH(orders[[#This Row],[Customer_Country]], Region_Map[Country], 0)), "Unknown")</f>
        <v>Baltics</v>
      </c>
      <c r="H2634" t="s">
        <v>6949</v>
      </c>
    </row>
    <row r="2635" spans="1:8">
      <c r="A2635" t="s">
        <v>3541</v>
      </c>
      <c r="B2635" t="s">
        <v>225</v>
      </c>
      <c r="C2635" s="1">
        <v>45219</v>
      </c>
      <c r="D2635" s="1" t="str">
        <f>PROPER(orders[[#This Row],[order_priority]])</f>
        <v>Economy</v>
      </c>
      <c r="E2635" t="s">
        <v>13316</v>
      </c>
      <c r="F2635" t="str">
        <f>IFERROR(INDEX(customers[country], MATCH(orders[[#This Row],[customer_id]], customers[customer_id], 0)), "Unmapped")</f>
        <v>Poland</v>
      </c>
      <c r="G2635" t="str">
        <f>IFERROR(INDEX(Region_Map[Region], MATCH(orders[[#This Row],[Customer_Country]], Region_Map[Country], 0)), "Unknown")</f>
        <v>Central Europe</v>
      </c>
      <c r="H2635" t="s">
        <v>6949</v>
      </c>
    </row>
    <row r="2636" spans="1:8">
      <c r="A2636" t="s">
        <v>3542</v>
      </c>
      <c r="B2636" t="s">
        <v>87</v>
      </c>
      <c r="C2636" s="1">
        <v>45167</v>
      </c>
      <c r="D2636" s="1" t="str">
        <f>PROPER(orders[[#This Row],[order_priority]])</f>
        <v>Standard</v>
      </c>
      <c r="E2636" t="s">
        <v>13317</v>
      </c>
      <c r="F2636" t="str">
        <f>IFERROR(INDEX(customers[country], MATCH(orders[[#This Row],[customer_id]], customers[customer_id], 0)), "Unmapped")</f>
        <v>Latvia</v>
      </c>
      <c r="G2636" t="str">
        <f>IFERROR(INDEX(Region_Map[Region], MATCH(orders[[#This Row],[Customer_Country]], Region_Map[Country], 0)), "Unknown")</f>
        <v>Baltics</v>
      </c>
      <c r="H2636" t="s">
        <v>6949</v>
      </c>
    </row>
    <row r="2637" spans="1:8">
      <c r="A2637" t="s">
        <v>3543</v>
      </c>
      <c r="B2637" t="s">
        <v>222</v>
      </c>
      <c r="C2637" s="1">
        <v>45502</v>
      </c>
      <c r="D2637" s="1" t="str">
        <f>PROPER(orders[[#This Row],[order_priority]])</f>
        <v>Economy</v>
      </c>
      <c r="E2637" t="s">
        <v>13316</v>
      </c>
      <c r="F2637" t="str">
        <f>IFERROR(INDEX(customers[country], MATCH(orders[[#This Row],[customer_id]], customers[customer_id], 0)), "Unmapped")</f>
        <v>Norway</v>
      </c>
      <c r="G2637" t="str">
        <f>IFERROR(INDEX(Region_Map[Region], MATCH(orders[[#This Row],[Customer_Country]], Region_Map[Country], 0)), "Unknown")</f>
        <v>Nordics</v>
      </c>
      <c r="H2637" t="s">
        <v>6949</v>
      </c>
    </row>
    <row r="2638" spans="1:8">
      <c r="A2638" t="s">
        <v>3544</v>
      </c>
      <c r="B2638" t="s">
        <v>288</v>
      </c>
      <c r="C2638" s="1">
        <v>45480</v>
      </c>
      <c r="D2638" s="1" t="str">
        <f>PROPER(orders[[#This Row],[order_priority]])</f>
        <v>Express</v>
      </c>
      <c r="E2638" t="s">
        <v>13318</v>
      </c>
      <c r="F2638" t="str">
        <f>IFERROR(INDEX(customers[country], MATCH(orders[[#This Row],[customer_id]], customers[customer_id], 0)), "Unmapped")</f>
        <v>Netherlands</v>
      </c>
      <c r="G2638" t="str">
        <f>IFERROR(INDEX(Region_Map[Region], MATCH(orders[[#This Row],[Customer_Country]], Region_Map[Country], 0)), "Unknown")</f>
        <v>Central Europe</v>
      </c>
      <c r="H2638" t="s">
        <v>6949</v>
      </c>
    </row>
    <row r="2639" spans="1:8">
      <c r="A2639" t="s">
        <v>3545</v>
      </c>
      <c r="B2639" t="s">
        <v>154</v>
      </c>
      <c r="C2639" s="1">
        <v>45596</v>
      </c>
      <c r="D2639" s="1" t="str">
        <f>PROPER(orders[[#This Row],[order_priority]])</f>
        <v>Standard</v>
      </c>
      <c r="E2639" t="s">
        <v>13323</v>
      </c>
      <c r="F2639" t="str">
        <f>IFERROR(INDEX(customers[country], MATCH(orders[[#This Row],[customer_id]], customers[customer_id], 0)), "Unmapped")</f>
        <v>Lithuania</v>
      </c>
      <c r="G2639" t="str">
        <f>IFERROR(INDEX(Region_Map[Region], MATCH(orders[[#This Row],[Customer_Country]], Region_Map[Country], 0)), "Unknown")</f>
        <v>Baltics</v>
      </c>
      <c r="H2639" t="s">
        <v>6949</v>
      </c>
    </row>
    <row r="2640" spans="1:8">
      <c r="A2640" t="s">
        <v>3546</v>
      </c>
      <c r="B2640" t="s">
        <v>587</v>
      </c>
      <c r="C2640" s="1">
        <v>45154</v>
      </c>
      <c r="D2640" s="1" t="str">
        <f>PROPER(orders[[#This Row],[order_priority]])</f>
        <v>Standard</v>
      </c>
      <c r="E2640" t="s">
        <v>13317</v>
      </c>
      <c r="F2640" t="str">
        <f>IFERROR(INDEX(customers[country], MATCH(orders[[#This Row],[customer_id]], customers[customer_id], 0)), "Unmapped")</f>
        <v>Finland</v>
      </c>
      <c r="G2640" t="str">
        <f>IFERROR(INDEX(Region_Map[Region], MATCH(orders[[#This Row],[Customer_Country]], Region_Map[Country], 0)), "Unknown")</f>
        <v>Nordics</v>
      </c>
      <c r="H2640" t="s">
        <v>6949</v>
      </c>
    </row>
    <row r="2641" spans="1:8">
      <c r="A2641" t="s">
        <v>3547</v>
      </c>
      <c r="B2641" t="s">
        <v>706</v>
      </c>
      <c r="C2641" s="1">
        <v>45116</v>
      </c>
      <c r="D2641" s="1" t="str">
        <f>PROPER(orders[[#This Row],[order_priority]])</f>
        <v>Same Day</v>
      </c>
      <c r="E2641" t="s">
        <v>13322</v>
      </c>
      <c r="F2641" t="str">
        <f>IFERROR(INDEX(customers[country], MATCH(orders[[#This Row],[customer_id]], customers[customer_id], 0)), "Unmapped")</f>
        <v>Latvia</v>
      </c>
      <c r="G2641" t="str">
        <f>IFERROR(INDEX(Region_Map[Region], MATCH(orders[[#This Row],[Customer_Country]], Region_Map[Country], 0)), "Unknown")</f>
        <v>Baltics</v>
      </c>
      <c r="H2641" t="s">
        <v>6949</v>
      </c>
    </row>
    <row r="2642" spans="1:8">
      <c r="A2642" t="s">
        <v>3548</v>
      </c>
      <c r="B2642" t="s">
        <v>422</v>
      </c>
      <c r="C2642" s="1">
        <v>44973</v>
      </c>
      <c r="D2642" s="1" t="str">
        <f>PROPER(orders[[#This Row],[order_priority]])</f>
        <v>Same Day</v>
      </c>
      <c r="E2642" t="s">
        <v>13322</v>
      </c>
      <c r="F2642" t="str">
        <f>IFERROR(INDEX(customers[country], MATCH(orders[[#This Row],[customer_id]], customers[customer_id], 0)), "Unmapped")</f>
        <v>Germany</v>
      </c>
      <c r="G2642" t="str">
        <f>IFERROR(INDEX(Region_Map[Region], MATCH(orders[[#This Row],[Customer_Country]], Region_Map[Country], 0)), "Unknown")</f>
        <v>Central Europe</v>
      </c>
      <c r="H2642" t="s">
        <v>6949</v>
      </c>
    </row>
    <row r="2643" spans="1:8">
      <c r="A2643" t="s">
        <v>3549</v>
      </c>
      <c r="B2643" t="s">
        <v>464</v>
      </c>
      <c r="C2643" s="1">
        <v>44948</v>
      </c>
      <c r="D2643" s="1" t="str">
        <f>PROPER(orders[[#This Row],[order_priority]])</f>
        <v>Economy</v>
      </c>
      <c r="E2643" t="s">
        <v>13316</v>
      </c>
      <c r="F2643" t="str">
        <f>IFERROR(INDEX(customers[country], MATCH(orders[[#This Row],[customer_id]], customers[customer_id], 0)), "Unmapped")</f>
        <v>Finland</v>
      </c>
      <c r="G2643" t="str">
        <f>IFERROR(INDEX(Region_Map[Region], MATCH(orders[[#This Row],[Customer_Country]], Region_Map[Country], 0)), "Unknown")</f>
        <v>Nordics</v>
      </c>
      <c r="H2643" t="s">
        <v>6949</v>
      </c>
    </row>
    <row r="2644" spans="1:8">
      <c r="A2644" t="s">
        <v>3550</v>
      </c>
      <c r="B2644" t="s">
        <v>461</v>
      </c>
      <c r="C2644" s="1">
        <v>45139</v>
      </c>
      <c r="D2644" s="1" t="str">
        <f>PROPER(orders[[#This Row],[order_priority]])</f>
        <v>Standard</v>
      </c>
      <c r="E2644" t="s">
        <v>13317</v>
      </c>
      <c r="F2644" t="str">
        <f>IFERROR(INDEX(customers[country], MATCH(orders[[#This Row],[customer_id]], customers[customer_id], 0)), "Unmapped")</f>
        <v>Latvia</v>
      </c>
      <c r="G2644" t="str">
        <f>IFERROR(INDEX(Region_Map[Region], MATCH(orders[[#This Row],[Customer_Country]], Region_Map[Country], 0)), "Unknown")</f>
        <v>Baltics</v>
      </c>
      <c r="H2644" t="s">
        <v>6949</v>
      </c>
    </row>
    <row r="2645" spans="1:8">
      <c r="A2645" t="s">
        <v>3551</v>
      </c>
      <c r="B2645" t="s">
        <v>320</v>
      </c>
      <c r="C2645" s="1">
        <v>45138</v>
      </c>
      <c r="D2645" s="1" t="str">
        <f>PROPER(orders[[#This Row],[order_priority]])</f>
        <v>Economy</v>
      </c>
      <c r="E2645" t="s">
        <v>13325</v>
      </c>
      <c r="F2645" t="str">
        <f>IFERROR(INDEX(customers[country], MATCH(orders[[#This Row],[customer_id]], customers[customer_id], 0)), "Unmapped")</f>
        <v>Sweden</v>
      </c>
      <c r="G2645" t="str">
        <f>IFERROR(INDEX(Region_Map[Region], MATCH(orders[[#This Row],[Customer_Country]], Region_Map[Country], 0)), "Unknown")</f>
        <v>Nordics</v>
      </c>
      <c r="H2645" t="s">
        <v>6949</v>
      </c>
    </row>
    <row r="2646" spans="1:8">
      <c r="A2646" t="s">
        <v>3552</v>
      </c>
      <c r="B2646" t="s">
        <v>219</v>
      </c>
      <c r="C2646" s="1">
        <v>45518</v>
      </c>
      <c r="D2646" s="1" t="str">
        <f>PROPER(orders[[#This Row],[order_priority]])</f>
        <v>Economy</v>
      </c>
      <c r="E2646" t="s">
        <v>13316</v>
      </c>
      <c r="F2646" t="str">
        <f>IFERROR(INDEX(customers[country], MATCH(orders[[#This Row],[customer_id]], customers[customer_id], 0)), "Unmapped")</f>
        <v>Latvia</v>
      </c>
      <c r="G2646" t="str">
        <f>IFERROR(INDEX(Region_Map[Region], MATCH(orders[[#This Row],[Customer_Country]], Region_Map[Country], 0)), "Unknown")</f>
        <v>Baltics</v>
      </c>
      <c r="H2646" t="s">
        <v>6949</v>
      </c>
    </row>
    <row r="2647" spans="1:8">
      <c r="A2647" t="s">
        <v>3553</v>
      </c>
      <c r="B2647" t="s">
        <v>93</v>
      </c>
      <c r="C2647" s="1">
        <v>45082</v>
      </c>
      <c r="D2647" s="1" t="str">
        <f>PROPER(orders[[#This Row],[order_priority]])</f>
        <v>Economy</v>
      </c>
      <c r="E2647" t="s">
        <v>13316</v>
      </c>
      <c r="F2647" t="str">
        <f>IFERROR(INDEX(customers[country], MATCH(orders[[#This Row],[customer_id]], customers[customer_id], 0)), "Unmapped")</f>
        <v>Norway</v>
      </c>
      <c r="G2647" t="str">
        <f>IFERROR(INDEX(Region_Map[Region], MATCH(orders[[#This Row],[Customer_Country]], Region_Map[Country], 0)), "Unknown")</f>
        <v>Nordics</v>
      </c>
      <c r="H2647" t="s">
        <v>6949</v>
      </c>
    </row>
    <row r="2648" spans="1:8">
      <c r="A2648" t="s">
        <v>3554</v>
      </c>
      <c r="B2648" t="s">
        <v>142</v>
      </c>
      <c r="C2648" s="1">
        <v>44982</v>
      </c>
      <c r="D2648" s="1" t="str">
        <f>PROPER(orders[[#This Row],[order_priority]])</f>
        <v>Economy</v>
      </c>
      <c r="E2648" t="s">
        <v>13316</v>
      </c>
      <c r="F2648" t="str">
        <f>IFERROR(INDEX(customers[country], MATCH(orders[[#This Row],[customer_id]], customers[customer_id], 0)), "Unmapped")</f>
        <v>Estonia</v>
      </c>
      <c r="G2648" t="str">
        <f>IFERROR(INDEX(Region_Map[Region], MATCH(orders[[#This Row],[Customer_Country]], Region_Map[Country], 0)), "Unknown")</f>
        <v>Baltics</v>
      </c>
      <c r="H2648" t="s">
        <v>6949</v>
      </c>
    </row>
    <row r="2649" spans="1:8">
      <c r="A2649" t="s">
        <v>3555</v>
      </c>
      <c r="B2649" t="s">
        <v>416</v>
      </c>
      <c r="C2649" s="1">
        <v>44952</v>
      </c>
      <c r="D2649" s="1" t="str">
        <f>PROPER(orders[[#This Row],[order_priority]])</f>
        <v>Economy</v>
      </c>
      <c r="E2649" t="s">
        <v>13328</v>
      </c>
      <c r="F2649" t="str">
        <f>IFERROR(INDEX(customers[country], MATCH(orders[[#This Row],[customer_id]], customers[customer_id], 0)), "Unmapped")</f>
        <v>Denmark</v>
      </c>
      <c r="G2649" t="str">
        <f>IFERROR(INDEX(Region_Map[Region], MATCH(orders[[#This Row],[Customer_Country]], Region_Map[Country], 0)), "Unknown")</f>
        <v>Nordics</v>
      </c>
      <c r="H2649" t="s">
        <v>6949</v>
      </c>
    </row>
    <row r="2650" spans="1:8">
      <c r="A2650" t="s">
        <v>3556</v>
      </c>
      <c r="B2650" t="s">
        <v>154</v>
      </c>
      <c r="C2650" s="1">
        <v>45627</v>
      </c>
      <c r="D2650" s="1" t="str">
        <f>PROPER(orders[[#This Row],[order_priority]])</f>
        <v>Economy</v>
      </c>
      <c r="E2650" t="s">
        <v>13316</v>
      </c>
      <c r="F2650" t="str">
        <f>IFERROR(INDEX(customers[country], MATCH(orders[[#This Row],[customer_id]], customers[customer_id], 0)), "Unmapped")</f>
        <v>Lithuania</v>
      </c>
      <c r="G2650" t="str">
        <f>IFERROR(INDEX(Region_Map[Region], MATCH(orders[[#This Row],[Customer_Country]], Region_Map[Country], 0)), "Unknown")</f>
        <v>Baltics</v>
      </c>
      <c r="H2650" t="s">
        <v>6949</v>
      </c>
    </row>
    <row r="2651" spans="1:8">
      <c r="A2651" t="s">
        <v>3557</v>
      </c>
      <c r="B2651" t="s">
        <v>80</v>
      </c>
      <c r="C2651" s="1">
        <v>45399</v>
      </c>
      <c r="D2651" s="1" t="str">
        <f>PROPER(orders[[#This Row],[order_priority]])</f>
        <v>Express</v>
      </c>
      <c r="E2651" t="s">
        <v>13318</v>
      </c>
      <c r="F2651" t="str">
        <f>IFERROR(INDEX(customers[country], MATCH(orders[[#This Row],[customer_id]], customers[customer_id], 0)), "Unmapped")</f>
        <v>Finland</v>
      </c>
      <c r="G2651" t="str">
        <f>IFERROR(INDEX(Region_Map[Region], MATCH(orders[[#This Row],[Customer_Country]], Region_Map[Country], 0)), "Unknown")</f>
        <v>Nordics</v>
      </c>
      <c r="H2651" t="s">
        <v>6949</v>
      </c>
    </row>
    <row r="2652" spans="1:8">
      <c r="A2652" t="s">
        <v>3558</v>
      </c>
      <c r="B2652" t="s">
        <v>476</v>
      </c>
      <c r="C2652" s="1">
        <v>45305</v>
      </c>
      <c r="D2652" s="1" t="str">
        <f>PROPER(orders[[#This Row],[order_priority]])</f>
        <v>Same Day</v>
      </c>
      <c r="E2652" t="s">
        <v>13322</v>
      </c>
      <c r="F2652" t="str">
        <f>IFERROR(INDEX(customers[country], MATCH(orders[[#This Row],[customer_id]], customers[customer_id], 0)), "Unmapped")</f>
        <v>Norway</v>
      </c>
      <c r="G2652" t="str">
        <f>IFERROR(INDEX(Region_Map[Region], MATCH(orders[[#This Row],[Customer_Country]], Region_Map[Country], 0)), "Unknown")</f>
        <v>Nordics</v>
      </c>
      <c r="H2652" t="s">
        <v>6949</v>
      </c>
    </row>
    <row r="2653" spans="1:8">
      <c r="A2653" t="s">
        <v>3559</v>
      </c>
      <c r="B2653" t="s">
        <v>356</v>
      </c>
      <c r="C2653" s="1">
        <v>45505</v>
      </c>
      <c r="D2653" s="1" t="str">
        <f>PROPER(orders[[#This Row],[order_priority]])</f>
        <v>Express</v>
      </c>
      <c r="E2653" t="s">
        <v>13320</v>
      </c>
      <c r="F2653" t="str">
        <f>IFERROR(INDEX(customers[country], MATCH(orders[[#This Row],[customer_id]], customers[customer_id], 0)), "Unmapped")</f>
        <v>Netherlands</v>
      </c>
      <c r="G2653" t="str">
        <f>IFERROR(INDEX(Region_Map[Region], MATCH(orders[[#This Row],[Customer_Country]], Region_Map[Country], 0)), "Unknown")</f>
        <v>Central Europe</v>
      </c>
      <c r="H2653" t="s">
        <v>6949</v>
      </c>
    </row>
    <row r="2654" spans="1:8">
      <c r="A2654" t="s">
        <v>3560</v>
      </c>
      <c r="B2654" t="s">
        <v>15</v>
      </c>
      <c r="C2654" s="1">
        <v>45436</v>
      </c>
      <c r="D2654" s="1" t="str">
        <f>PROPER(orders[[#This Row],[order_priority]])</f>
        <v>Same Day</v>
      </c>
      <c r="E2654" t="s">
        <v>13322</v>
      </c>
      <c r="F2654" t="str">
        <f>IFERROR(INDEX(customers[country], MATCH(orders[[#This Row],[customer_id]], customers[customer_id], 0)), "Unmapped")</f>
        <v>Estonia</v>
      </c>
      <c r="G2654" t="str">
        <f>IFERROR(INDEX(Region_Map[Region], MATCH(orders[[#This Row],[Customer_Country]], Region_Map[Country], 0)), "Unknown")</f>
        <v>Baltics</v>
      </c>
      <c r="H2654" t="s">
        <v>6949</v>
      </c>
    </row>
    <row r="2655" spans="1:8">
      <c r="A2655" t="s">
        <v>3561</v>
      </c>
      <c r="B2655" t="s">
        <v>207</v>
      </c>
      <c r="C2655" s="1">
        <v>45111</v>
      </c>
      <c r="D2655" s="1" t="str">
        <f>PROPER(orders[[#This Row],[order_priority]])</f>
        <v>Standard</v>
      </c>
      <c r="E2655" t="s">
        <v>13317</v>
      </c>
      <c r="F2655" t="str">
        <f>IFERROR(INDEX(customers[country], MATCH(orders[[#This Row],[customer_id]], customers[customer_id], 0)), "Unmapped")</f>
        <v>Poland</v>
      </c>
      <c r="G2655" t="str">
        <f>IFERROR(INDEX(Region_Map[Region], MATCH(orders[[#This Row],[Customer_Country]], Region_Map[Country], 0)), "Unknown")</f>
        <v>Central Europe</v>
      </c>
      <c r="H2655" t="s">
        <v>6949</v>
      </c>
    </row>
    <row r="2656" spans="1:8">
      <c r="A2656" t="s">
        <v>3562</v>
      </c>
      <c r="B2656" t="s">
        <v>467</v>
      </c>
      <c r="C2656" s="1">
        <v>45559</v>
      </c>
      <c r="D2656" s="1" t="str">
        <f>PROPER(orders[[#This Row],[order_priority]])</f>
        <v>Express</v>
      </c>
      <c r="E2656" t="s">
        <v>13318</v>
      </c>
      <c r="F2656" t="str">
        <f>IFERROR(INDEX(customers[country], MATCH(orders[[#This Row],[customer_id]], customers[customer_id], 0)), "Unmapped")</f>
        <v>Latvia</v>
      </c>
      <c r="G2656" t="str">
        <f>IFERROR(INDEX(Region_Map[Region], MATCH(orders[[#This Row],[Customer_Country]], Region_Map[Country], 0)), "Unknown")</f>
        <v>Baltics</v>
      </c>
      <c r="H2656" t="s">
        <v>6949</v>
      </c>
    </row>
    <row r="2657" spans="1:8">
      <c r="A2657" t="s">
        <v>3563</v>
      </c>
      <c r="B2657" t="s">
        <v>326</v>
      </c>
      <c r="C2657" s="1">
        <v>45382</v>
      </c>
      <c r="D2657" s="1" t="str">
        <f>PROPER(orders[[#This Row],[order_priority]])</f>
        <v>Standard</v>
      </c>
      <c r="E2657" t="s">
        <v>13317</v>
      </c>
      <c r="F2657" t="str">
        <f>IFERROR(INDEX(customers[country], MATCH(orders[[#This Row],[customer_id]], customers[customer_id], 0)), "Unmapped")</f>
        <v>Lithuania</v>
      </c>
      <c r="G2657" t="str">
        <f>IFERROR(INDEX(Region_Map[Region], MATCH(orders[[#This Row],[Customer_Country]], Region_Map[Country], 0)), "Unknown")</f>
        <v>Baltics</v>
      </c>
      <c r="H2657" t="s">
        <v>6949</v>
      </c>
    </row>
    <row r="2658" spans="1:8">
      <c r="A2658" t="s">
        <v>3564</v>
      </c>
      <c r="B2658" t="s">
        <v>461</v>
      </c>
      <c r="C2658" s="1">
        <v>45115</v>
      </c>
      <c r="D2658" s="1" t="str">
        <f>PROPER(orders[[#This Row],[order_priority]])</f>
        <v>Standard</v>
      </c>
      <c r="E2658" t="s">
        <v>13317</v>
      </c>
      <c r="F2658" t="str">
        <f>IFERROR(INDEX(customers[country], MATCH(orders[[#This Row],[customer_id]], customers[customer_id], 0)), "Unmapped")</f>
        <v>Latvia</v>
      </c>
      <c r="G2658" t="str">
        <f>IFERROR(INDEX(Region_Map[Region], MATCH(orders[[#This Row],[Customer_Country]], Region_Map[Country], 0)), "Unknown")</f>
        <v>Baltics</v>
      </c>
      <c r="H2658" t="s">
        <v>6949</v>
      </c>
    </row>
    <row r="2659" spans="1:8">
      <c r="A2659" t="s">
        <v>3565</v>
      </c>
      <c r="B2659" t="s">
        <v>834</v>
      </c>
      <c r="C2659" s="1">
        <v>45128</v>
      </c>
      <c r="D2659" s="1" t="str">
        <f>PROPER(orders[[#This Row],[order_priority]])</f>
        <v>Same Day</v>
      </c>
      <c r="E2659" t="s">
        <v>13322</v>
      </c>
      <c r="F2659" t="str">
        <f>IFERROR(INDEX(customers[country], MATCH(orders[[#This Row],[customer_id]], customers[customer_id], 0)), "Unmapped")</f>
        <v>Denmark</v>
      </c>
      <c r="G2659" t="str">
        <f>IFERROR(INDEX(Region_Map[Region], MATCH(orders[[#This Row],[Customer_Country]], Region_Map[Country], 0)), "Unknown")</f>
        <v>Nordics</v>
      </c>
      <c r="H2659" t="s">
        <v>6949</v>
      </c>
    </row>
    <row r="2660" spans="1:8">
      <c r="A2660" t="s">
        <v>3566</v>
      </c>
      <c r="B2660" t="s">
        <v>614</v>
      </c>
      <c r="C2660" s="1">
        <v>44968</v>
      </c>
      <c r="D2660" s="1" t="str">
        <f>PROPER(orders[[#This Row],[order_priority]])</f>
        <v>Express</v>
      </c>
      <c r="E2660" t="s">
        <v>13318</v>
      </c>
      <c r="F2660" t="str">
        <f>IFERROR(INDEX(customers[country], MATCH(orders[[#This Row],[customer_id]], customers[customer_id], 0)), "Unmapped")</f>
        <v>Latvia</v>
      </c>
      <c r="G2660" t="str">
        <f>IFERROR(INDEX(Region_Map[Region], MATCH(orders[[#This Row],[Customer_Country]], Region_Map[Country], 0)), "Unknown")</f>
        <v>Baltics</v>
      </c>
      <c r="H2660" t="s">
        <v>6949</v>
      </c>
    </row>
    <row r="2661" spans="1:8">
      <c r="A2661" t="s">
        <v>3567</v>
      </c>
      <c r="B2661" t="s">
        <v>721</v>
      </c>
      <c r="C2661" s="1">
        <v>45333</v>
      </c>
      <c r="D2661" s="1" t="str">
        <f>PROPER(orders[[#This Row],[order_priority]])</f>
        <v>Express</v>
      </c>
      <c r="E2661" t="s">
        <v>13318</v>
      </c>
      <c r="F2661" t="str">
        <f>IFERROR(INDEX(customers[country], MATCH(orders[[#This Row],[customer_id]], customers[customer_id], 0)), "Unmapped")</f>
        <v>Netherlands</v>
      </c>
      <c r="G2661" t="str">
        <f>IFERROR(INDEX(Region_Map[Region], MATCH(orders[[#This Row],[Customer_Country]], Region_Map[Country], 0)), "Unknown")</f>
        <v>Central Europe</v>
      </c>
      <c r="H2661" t="s">
        <v>6949</v>
      </c>
    </row>
    <row r="2662" spans="1:8">
      <c r="A2662" t="s">
        <v>3568</v>
      </c>
      <c r="B2662" t="s">
        <v>793</v>
      </c>
      <c r="C2662" s="1">
        <v>45144</v>
      </c>
      <c r="D2662" s="1" t="str">
        <f>PROPER(orders[[#This Row],[order_priority]])</f>
        <v>Economy</v>
      </c>
      <c r="E2662" t="s">
        <v>13328</v>
      </c>
      <c r="F2662" t="str">
        <f>IFERROR(INDEX(customers[country], MATCH(orders[[#This Row],[customer_id]], customers[customer_id], 0)), "Unmapped")</f>
        <v>Sweden</v>
      </c>
      <c r="G2662" t="str">
        <f>IFERROR(INDEX(Region_Map[Region], MATCH(orders[[#This Row],[Customer_Country]], Region_Map[Country], 0)), "Unknown")</f>
        <v>Nordics</v>
      </c>
      <c r="H2662" t="s">
        <v>6949</v>
      </c>
    </row>
    <row r="2663" spans="1:8">
      <c r="A2663" t="s">
        <v>3569</v>
      </c>
      <c r="B2663" t="s">
        <v>590</v>
      </c>
      <c r="C2663" s="1">
        <v>45529</v>
      </c>
      <c r="D2663" s="1" t="str">
        <f>PROPER(orders[[#This Row],[order_priority]])</f>
        <v>Standard</v>
      </c>
      <c r="E2663" t="s">
        <v>13319</v>
      </c>
      <c r="F2663" t="str">
        <f>IFERROR(INDEX(customers[country], MATCH(orders[[#This Row],[customer_id]], customers[customer_id], 0)), "Unmapped")</f>
        <v>Finland</v>
      </c>
      <c r="G2663" t="str">
        <f>IFERROR(INDEX(Region_Map[Region], MATCH(orders[[#This Row],[Customer_Country]], Region_Map[Country], 0)), "Unknown")</f>
        <v>Nordics</v>
      </c>
      <c r="H2663" t="s">
        <v>6949</v>
      </c>
    </row>
    <row r="2664" spans="1:8">
      <c r="A2664" t="s">
        <v>3570</v>
      </c>
      <c r="B2664" t="s">
        <v>891</v>
      </c>
      <c r="C2664" s="1">
        <v>45420</v>
      </c>
      <c r="D2664" s="1" t="str">
        <f>PROPER(orders[[#This Row],[order_priority]])</f>
        <v>Economy</v>
      </c>
      <c r="E2664" t="s">
        <v>13316</v>
      </c>
      <c r="F2664" t="str">
        <f>IFERROR(INDEX(customers[country], MATCH(orders[[#This Row],[customer_id]], customers[customer_id], 0)), "Unmapped")</f>
        <v>Netherlands</v>
      </c>
      <c r="G2664" t="str">
        <f>IFERROR(INDEX(Region_Map[Region], MATCH(orders[[#This Row],[Customer_Country]], Region_Map[Country], 0)), "Unknown")</f>
        <v>Central Europe</v>
      </c>
      <c r="H2664" t="s">
        <v>6949</v>
      </c>
    </row>
    <row r="2665" spans="1:8">
      <c r="A2665" t="s">
        <v>3571</v>
      </c>
      <c r="B2665" t="s">
        <v>587</v>
      </c>
      <c r="C2665" s="1">
        <v>45057</v>
      </c>
      <c r="D2665" s="1" t="str">
        <f>PROPER(orders[[#This Row],[order_priority]])</f>
        <v>Express</v>
      </c>
      <c r="E2665" t="s">
        <v>13320</v>
      </c>
      <c r="F2665" t="str">
        <f>IFERROR(INDEX(customers[country], MATCH(orders[[#This Row],[customer_id]], customers[customer_id], 0)), "Unmapped")</f>
        <v>Finland</v>
      </c>
      <c r="G2665" t="str">
        <f>IFERROR(INDEX(Region_Map[Region], MATCH(orders[[#This Row],[Customer_Country]], Region_Map[Country], 0)), "Unknown")</f>
        <v>Nordics</v>
      </c>
      <c r="H2665" t="s">
        <v>6949</v>
      </c>
    </row>
    <row r="2666" spans="1:8">
      <c r="A2666" t="s">
        <v>3572</v>
      </c>
      <c r="B2666" t="s">
        <v>548</v>
      </c>
      <c r="C2666" s="1">
        <v>45432</v>
      </c>
      <c r="D2666" s="1" t="str">
        <f>PROPER(orders[[#This Row],[order_priority]])</f>
        <v>Economy</v>
      </c>
      <c r="E2666" t="s">
        <v>13316</v>
      </c>
      <c r="F2666" t="str">
        <f>IFERROR(INDEX(customers[country], MATCH(orders[[#This Row],[customer_id]], customers[customer_id], 0)), "Unmapped")</f>
        <v>Sweden</v>
      </c>
      <c r="G2666" t="str">
        <f>IFERROR(INDEX(Region_Map[Region], MATCH(orders[[#This Row],[Customer_Country]], Region_Map[Country], 0)), "Unknown")</f>
        <v>Nordics</v>
      </c>
      <c r="H2666" t="s">
        <v>6949</v>
      </c>
    </row>
    <row r="2667" spans="1:8">
      <c r="A2667" t="s">
        <v>3573</v>
      </c>
      <c r="B2667" t="s">
        <v>13347</v>
      </c>
      <c r="C2667" s="1">
        <v>44977</v>
      </c>
      <c r="D2667" s="1" t="str">
        <f>PROPER(orders[[#This Row],[order_priority]])</f>
        <v>Express</v>
      </c>
      <c r="E2667" t="s">
        <v>13318</v>
      </c>
      <c r="F2667" t="str">
        <f>IFERROR(INDEX(customers[country], MATCH(orders[[#This Row],[customer_id]], customers[customer_id], 0)), "Unmapped")</f>
        <v>Unmapped</v>
      </c>
      <c r="G2667" t="str">
        <f>IFERROR(INDEX(Region_Map[Region], MATCH(orders[[#This Row],[Customer_Country]], Region_Map[Country], 0)), "Unknown")</f>
        <v>Unknown</v>
      </c>
      <c r="H2667" t="s">
        <v>6949</v>
      </c>
    </row>
    <row r="2668" spans="1:8">
      <c r="A2668" t="s">
        <v>3574</v>
      </c>
      <c r="B2668" t="s">
        <v>380</v>
      </c>
      <c r="C2668" s="1">
        <v>45343</v>
      </c>
      <c r="D2668" s="1" t="str">
        <f>PROPER(orders[[#This Row],[order_priority]])</f>
        <v>Economy</v>
      </c>
      <c r="E2668" t="s">
        <v>13316</v>
      </c>
      <c r="F2668" t="str">
        <f>IFERROR(INDEX(customers[country], MATCH(orders[[#This Row],[customer_id]], customers[customer_id], 0)), "Unmapped")</f>
        <v>Sweden</v>
      </c>
      <c r="G2668" t="str">
        <f>IFERROR(INDEX(Region_Map[Region], MATCH(orders[[#This Row],[Customer_Country]], Region_Map[Country], 0)), "Unknown")</f>
        <v>Nordics</v>
      </c>
      <c r="H2668" t="s">
        <v>6949</v>
      </c>
    </row>
    <row r="2669" spans="1:8">
      <c r="A2669" t="s">
        <v>3575</v>
      </c>
      <c r="B2669" t="s">
        <v>359</v>
      </c>
      <c r="C2669" s="1">
        <v>45610</v>
      </c>
      <c r="D2669" s="1" t="str">
        <f>PROPER(orders[[#This Row],[order_priority]])</f>
        <v>Standard</v>
      </c>
      <c r="E2669" t="s">
        <v>13317</v>
      </c>
      <c r="F2669" t="str">
        <f>IFERROR(INDEX(customers[country], MATCH(orders[[#This Row],[customer_id]], customers[customer_id], 0)), "Unmapped")</f>
        <v>Estonia</v>
      </c>
      <c r="G2669" t="str">
        <f>IFERROR(INDEX(Region_Map[Region], MATCH(orders[[#This Row],[Customer_Country]], Region_Map[Country], 0)), "Unknown")</f>
        <v>Baltics</v>
      </c>
      <c r="H2669" t="s">
        <v>6949</v>
      </c>
    </row>
    <row r="2670" spans="1:8">
      <c r="A2670" t="s">
        <v>3576</v>
      </c>
      <c r="B2670" t="s">
        <v>741</v>
      </c>
      <c r="C2670" s="1">
        <v>45472</v>
      </c>
      <c r="D2670" s="1" t="str">
        <f>PROPER(orders[[#This Row],[order_priority]])</f>
        <v>Economy</v>
      </c>
      <c r="E2670" t="s">
        <v>13316</v>
      </c>
      <c r="F2670" t="str">
        <f>IFERROR(INDEX(customers[country], MATCH(orders[[#This Row],[customer_id]], customers[customer_id], 0)), "Unmapped")</f>
        <v>Germany</v>
      </c>
      <c r="G2670" t="str">
        <f>IFERROR(INDEX(Region_Map[Region], MATCH(orders[[#This Row],[Customer_Country]], Region_Map[Country], 0)), "Unknown")</f>
        <v>Central Europe</v>
      </c>
      <c r="H2670" t="s">
        <v>6949</v>
      </c>
    </row>
    <row r="2671" spans="1:8">
      <c r="A2671" t="s">
        <v>3577</v>
      </c>
      <c r="B2671" t="s">
        <v>903</v>
      </c>
      <c r="C2671" s="1">
        <v>45493</v>
      </c>
      <c r="D2671" s="1" t="str">
        <f>PROPER(orders[[#This Row],[order_priority]])</f>
        <v>Standard</v>
      </c>
      <c r="E2671" t="s">
        <v>13317</v>
      </c>
      <c r="F2671" t="str">
        <f>IFERROR(INDEX(customers[country], MATCH(orders[[#This Row],[customer_id]], customers[customer_id], 0)), "Unmapped")</f>
        <v>Norway</v>
      </c>
      <c r="G2671" t="str">
        <f>IFERROR(INDEX(Region_Map[Region], MATCH(orders[[#This Row],[Customer_Country]], Region_Map[Country], 0)), "Unknown")</f>
        <v>Nordics</v>
      </c>
      <c r="H2671" t="s">
        <v>6949</v>
      </c>
    </row>
    <row r="2672" spans="1:8">
      <c r="A2672" t="s">
        <v>3578</v>
      </c>
      <c r="B2672" t="s">
        <v>758</v>
      </c>
      <c r="C2672" s="1">
        <v>45246</v>
      </c>
      <c r="D2672" s="1" t="str">
        <f>PROPER(orders[[#This Row],[order_priority]])</f>
        <v>Express</v>
      </c>
      <c r="E2672" t="s">
        <v>13318</v>
      </c>
      <c r="F2672" t="str">
        <f>IFERROR(INDEX(customers[country], MATCH(orders[[#This Row],[customer_id]], customers[customer_id], 0)), "Unmapped")</f>
        <v>Estonia</v>
      </c>
      <c r="G2672" t="str">
        <f>IFERROR(INDEX(Region_Map[Region], MATCH(orders[[#This Row],[Customer_Country]], Region_Map[Country], 0)), "Unknown")</f>
        <v>Baltics</v>
      </c>
      <c r="H2672" t="s">
        <v>6949</v>
      </c>
    </row>
    <row r="2673" spans="1:8">
      <c r="A2673" t="s">
        <v>3579</v>
      </c>
      <c r="B2673" t="s">
        <v>261</v>
      </c>
      <c r="C2673" s="1">
        <v>45464</v>
      </c>
      <c r="D2673" s="1" t="str">
        <f>PROPER(orders[[#This Row],[order_priority]])</f>
        <v>Standard</v>
      </c>
      <c r="E2673" t="s">
        <v>13323</v>
      </c>
      <c r="F2673" t="str">
        <f>IFERROR(INDEX(customers[country], MATCH(orders[[#This Row],[customer_id]], customers[customer_id], 0)), "Unmapped")</f>
        <v>Germany</v>
      </c>
      <c r="G2673" t="str">
        <f>IFERROR(INDEX(Region_Map[Region], MATCH(orders[[#This Row],[Customer_Country]], Region_Map[Country], 0)), "Unknown")</f>
        <v>Central Europe</v>
      </c>
      <c r="H2673" t="s">
        <v>6949</v>
      </c>
    </row>
    <row r="2674" spans="1:8">
      <c r="A2674" t="s">
        <v>3580</v>
      </c>
      <c r="B2674" t="s">
        <v>297</v>
      </c>
      <c r="C2674" s="1">
        <v>45254</v>
      </c>
      <c r="D2674" s="1" t="str">
        <f>PROPER(orders[[#This Row],[order_priority]])</f>
        <v>Economy</v>
      </c>
      <c r="E2674" t="s">
        <v>13316</v>
      </c>
      <c r="F2674" t="str">
        <f>IFERROR(INDEX(customers[country], MATCH(orders[[#This Row],[customer_id]], customers[customer_id], 0)), "Unmapped")</f>
        <v>Poland</v>
      </c>
      <c r="G2674" t="str">
        <f>IFERROR(INDEX(Region_Map[Region], MATCH(orders[[#This Row],[Customer_Country]], Region_Map[Country], 0)), "Unknown")</f>
        <v>Central Europe</v>
      </c>
      <c r="H2674" t="s">
        <v>6949</v>
      </c>
    </row>
    <row r="2675" spans="1:8">
      <c r="A2675" t="s">
        <v>3581</v>
      </c>
      <c r="B2675" t="s">
        <v>181</v>
      </c>
      <c r="C2675" s="1">
        <v>45159</v>
      </c>
      <c r="D2675" s="1" t="str">
        <f>PROPER(orders[[#This Row],[order_priority]])</f>
        <v>Same Day</v>
      </c>
      <c r="E2675" t="s">
        <v>13324</v>
      </c>
      <c r="F2675" t="str">
        <f>IFERROR(INDEX(customers[country], MATCH(orders[[#This Row],[customer_id]], customers[customer_id], 0)), "Unmapped")</f>
        <v>Netherlands</v>
      </c>
      <c r="G2675" t="str">
        <f>IFERROR(INDEX(Region_Map[Region], MATCH(orders[[#This Row],[Customer_Country]], Region_Map[Country], 0)), "Unknown")</f>
        <v>Central Europe</v>
      </c>
      <c r="H2675" t="s">
        <v>6949</v>
      </c>
    </row>
    <row r="2676" spans="1:8">
      <c r="A2676" t="s">
        <v>3582</v>
      </c>
      <c r="B2676" t="s">
        <v>30</v>
      </c>
      <c r="C2676" s="1">
        <v>45563</v>
      </c>
      <c r="D2676" s="1" t="str">
        <f>PROPER(orders[[#This Row],[order_priority]])</f>
        <v>Express</v>
      </c>
      <c r="E2676" t="s">
        <v>13318</v>
      </c>
      <c r="F2676" t="str">
        <f>IFERROR(INDEX(customers[country], MATCH(orders[[#This Row],[customer_id]], customers[customer_id], 0)), "Unmapped")</f>
        <v>Netherlands</v>
      </c>
      <c r="G2676" t="str">
        <f>IFERROR(INDEX(Region_Map[Region], MATCH(orders[[#This Row],[Customer_Country]], Region_Map[Country], 0)), "Unknown")</f>
        <v>Central Europe</v>
      </c>
      <c r="H2676" t="s">
        <v>6949</v>
      </c>
    </row>
    <row r="2677" spans="1:8">
      <c r="A2677" t="s">
        <v>3583</v>
      </c>
      <c r="B2677" t="s">
        <v>338</v>
      </c>
      <c r="C2677" s="1">
        <v>45113</v>
      </c>
      <c r="D2677" s="1" t="str">
        <f>PROPER(orders[[#This Row],[order_priority]])</f>
        <v>Express</v>
      </c>
      <c r="E2677" t="s">
        <v>13318</v>
      </c>
      <c r="F2677" t="str">
        <f>IFERROR(INDEX(customers[country], MATCH(orders[[#This Row],[customer_id]], customers[customer_id], 0)), "Unmapped")</f>
        <v>Denmark</v>
      </c>
      <c r="G2677" t="str">
        <f>IFERROR(INDEX(Region_Map[Region], MATCH(orders[[#This Row],[Customer_Country]], Region_Map[Country], 0)), "Unknown")</f>
        <v>Nordics</v>
      </c>
      <c r="H2677" t="s">
        <v>6949</v>
      </c>
    </row>
    <row r="2678" spans="1:8">
      <c r="A2678" t="s">
        <v>3584</v>
      </c>
      <c r="B2678" t="s">
        <v>796</v>
      </c>
      <c r="C2678" s="1">
        <v>45162</v>
      </c>
      <c r="D2678" s="1" t="str">
        <f>PROPER(orders[[#This Row],[order_priority]])</f>
        <v>Same Day</v>
      </c>
      <c r="E2678" t="s">
        <v>13322</v>
      </c>
      <c r="F2678" t="str">
        <f>IFERROR(INDEX(customers[country], MATCH(orders[[#This Row],[customer_id]], customers[customer_id], 0)), "Unmapped")</f>
        <v>Sweden</v>
      </c>
      <c r="G2678" t="str">
        <f>IFERROR(INDEX(Region_Map[Region], MATCH(orders[[#This Row],[Customer_Country]], Region_Map[Country], 0)), "Unknown")</f>
        <v>Nordics</v>
      </c>
      <c r="H2678" t="s">
        <v>6949</v>
      </c>
    </row>
    <row r="2679" spans="1:8">
      <c r="A2679" t="s">
        <v>3585</v>
      </c>
      <c r="B2679" t="s">
        <v>855</v>
      </c>
      <c r="C2679" s="1">
        <v>45146</v>
      </c>
      <c r="D2679" s="1" t="str">
        <f>PROPER(orders[[#This Row],[order_priority]])</f>
        <v>Standard</v>
      </c>
      <c r="E2679" t="s">
        <v>13317</v>
      </c>
      <c r="F2679" t="str">
        <f>IFERROR(INDEX(customers[country], MATCH(orders[[#This Row],[customer_id]], customers[customer_id], 0)), "Unmapped")</f>
        <v>Latvia</v>
      </c>
      <c r="G2679" t="str">
        <f>IFERROR(INDEX(Region_Map[Region], MATCH(orders[[#This Row],[Customer_Country]], Region_Map[Country], 0)), "Unknown")</f>
        <v>Baltics</v>
      </c>
      <c r="H2679" t="s">
        <v>6949</v>
      </c>
    </row>
    <row r="2680" spans="1:8">
      <c r="A2680" t="s">
        <v>3586</v>
      </c>
      <c r="B2680" t="s">
        <v>13337</v>
      </c>
      <c r="C2680" s="1">
        <v>45382</v>
      </c>
      <c r="D2680" s="1" t="str">
        <f>PROPER(orders[[#This Row],[order_priority]])</f>
        <v>Economy</v>
      </c>
      <c r="E2680" t="s">
        <v>13316</v>
      </c>
      <c r="F2680" t="str">
        <f>IFERROR(INDEX(customers[country], MATCH(orders[[#This Row],[customer_id]], customers[customer_id], 0)), "Unmapped")</f>
        <v>Unmapped</v>
      </c>
      <c r="G2680" t="str">
        <f>IFERROR(INDEX(Region_Map[Region], MATCH(orders[[#This Row],[Customer_Country]], Region_Map[Country], 0)), "Unknown")</f>
        <v>Unknown</v>
      </c>
      <c r="H2680" t="s">
        <v>6949</v>
      </c>
    </row>
    <row r="2681" spans="1:8">
      <c r="A2681" t="s">
        <v>3587</v>
      </c>
      <c r="B2681" t="s">
        <v>216</v>
      </c>
      <c r="C2681" s="1">
        <v>45085</v>
      </c>
      <c r="D2681" s="1" t="str">
        <f>PROPER(orders[[#This Row],[order_priority]])</f>
        <v>Economy</v>
      </c>
      <c r="E2681" t="s">
        <v>13316</v>
      </c>
      <c r="F2681" t="str">
        <f>IFERROR(INDEX(customers[country], MATCH(orders[[#This Row],[customer_id]], customers[customer_id], 0)), "Unmapped")</f>
        <v>Norway</v>
      </c>
      <c r="G2681" t="str">
        <f>IFERROR(INDEX(Region_Map[Region], MATCH(orders[[#This Row],[Customer_Country]], Region_Map[Country], 0)), "Unknown")</f>
        <v>Nordics</v>
      </c>
      <c r="H2681" t="s">
        <v>6949</v>
      </c>
    </row>
    <row r="2682" spans="1:8">
      <c r="A2682" t="s">
        <v>3588</v>
      </c>
      <c r="B2682" t="s">
        <v>437</v>
      </c>
      <c r="C2682" s="1">
        <v>45391</v>
      </c>
      <c r="D2682" s="1" t="str">
        <f>PROPER(orders[[#This Row],[order_priority]])</f>
        <v>Standard</v>
      </c>
      <c r="E2682" t="s">
        <v>13317</v>
      </c>
      <c r="F2682" t="str">
        <f>IFERROR(INDEX(customers[country], MATCH(orders[[#This Row],[customer_id]], customers[customer_id], 0)), "Unmapped")</f>
        <v>Lithuania</v>
      </c>
      <c r="G2682" t="str">
        <f>IFERROR(INDEX(Region_Map[Region], MATCH(orders[[#This Row],[Customer_Country]], Region_Map[Country], 0)), "Unknown")</f>
        <v>Baltics</v>
      </c>
      <c r="H2682" t="s">
        <v>6949</v>
      </c>
    </row>
    <row r="2683" spans="1:8">
      <c r="A2683" t="s">
        <v>3589</v>
      </c>
      <c r="B2683" t="s">
        <v>611</v>
      </c>
      <c r="C2683" s="1">
        <v>45444</v>
      </c>
      <c r="D2683" s="1" t="str">
        <f>PROPER(orders[[#This Row],[order_priority]])</f>
        <v>Economy</v>
      </c>
      <c r="E2683" t="s">
        <v>13316</v>
      </c>
      <c r="F2683" t="str">
        <f>IFERROR(INDEX(customers[country], MATCH(orders[[#This Row],[customer_id]], customers[customer_id], 0)), "Unmapped")</f>
        <v>Poland</v>
      </c>
      <c r="G2683" t="str">
        <f>IFERROR(INDEX(Region_Map[Region], MATCH(orders[[#This Row],[Customer_Country]], Region_Map[Country], 0)), "Unknown")</f>
        <v>Central Europe</v>
      </c>
      <c r="H2683" t="s">
        <v>6949</v>
      </c>
    </row>
    <row r="2684" spans="1:8">
      <c r="A2684" t="s">
        <v>3590</v>
      </c>
      <c r="B2684" t="s">
        <v>19</v>
      </c>
      <c r="C2684" s="1">
        <v>45465</v>
      </c>
      <c r="D2684" s="1" t="str">
        <f>PROPER(orders[[#This Row],[order_priority]])</f>
        <v>Express</v>
      </c>
      <c r="E2684" t="s">
        <v>13320</v>
      </c>
      <c r="F2684" t="str">
        <f>IFERROR(INDEX(customers[country], MATCH(orders[[#This Row],[customer_id]], customers[customer_id], 0)), "Unmapped")</f>
        <v>Poland</v>
      </c>
      <c r="G2684" t="str">
        <f>IFERROR(INDEX(Region_Map[Region], MATCH(orders[[#This Row],[Customer_Country]], Region_Map[Country], 0)), "Unknown")</f>
        <v>Central Europe</v>
      </c>
      <c r="H2684" t="s">
        <v>6949</v>
      </c>
    </row>
    <row r="2685" spans="1:8">
      <c r="A2685" t="s">
        <v>3591</v>
      </c>
      <c r="B2685" t="s">
        <v>715</v>
      </c>
      <c r="C2685" s="1">
        <v>45054</v>
      </c>
      <c r="D2685" s="1" t="str">
        <f>PROPER(orders[[#This Row],[order_priority]])</f>
        <v>Same Day</v>
      </c>
      <c r="E2685" t="s">
        <v>13322</v>
      </c>
      <c r="F2685" t="str">
        <f>IFERROR(INDEX(customers[country], MATCH(orders[[#This Row],[customer_id]], customers[customer_id], 0)), "Unmapped")</f>
        <v>Netherlands</v>
      </c>
      <c r="G2685" t="str">
        <f>IFERROR(INDEX(Region_Map[Region], MATCH(orders[[#This Row],[Customer_Country]], Region_Map[Country], 0)), "Unknown")</f>
        <v>Central Europe</v>
      </c>
      <c r="H2685" t="s">
        <v>6949</v>
      </c>
    </row>
    <row r="2686" spans="1:8">
      <c r="A2686" t="s">
        <v>3592</v>
      </c>
      <c r="B2686" t="s">
        <v>401</v>
      </c>
      <c r="C2686" s="1">
        <v>45443</v>
      </c>
      <c r="D2686" s="1" t="str">
        <f>PROPER(orders[[#This Row],[order_priority]])</f>
        <v>Express</v>
      </c>
      <c r="E2686" t="s">
        <v>13318</v>
      </c>
      <c r="F2686" t="str">
        <f>IFERROR(INDEX(customers[country], MATCH(orders[[#This Row],[customer_id]], customers[customer_id], 0)), "Unmapped")</f>
        <v>Latvia</v>
      </c>
      <c r="G2686" t="str">
        <f>IFERROR(INDEX(Region_Map[Region], MATCH(orders[[#This Row],[Customer_Country]], Region_Map[Country], 0)), "Unknown")</f>
        <v>Baltics</v>
      </c>
      <c r="H2686" t="s">
        <v>6949</v>
      </c>
    </row>
    <row r="2687" spans="1:8">
      <c r="A2687" t="s">
        <v>3593</v>
      </c>
      <c r="B2687" t="s">
        <v>712</v>
      </c>
      <c r="C2687" s="1">
        <v>45339</v>
      </c>
      <c r="D2687" s="1" t="str">
        <f>PROPER(orders[[#This Row],[order_priority]])</f>
        <v>Standard</v>
      </c>
      <c r="E2687" t="s">
        <v>13323</v>
      </c>
      <c r="F2687" t="str">
        <f>IFERROR(INDEX(customers[country], MATCH(orders[[#This Row],[customer_id]], customers[customer_id], 0)), "Unmapped")</f>
        <v>Finland</v>
      </c>
      <c r="G2687" t="str">
        <f>IFERROR(INDEX(Region_Map[Region], MATCH(orders[[#This Row],[Customer_Country]], Region_Map[Country], 0)), "Unknown")</f>
        <v>Nordics</v>
      </c>
      <c r="H2687" t="s">
        <v>6949</v>
      </c>
    </row>
    <row r="2688" spans="1:8">
      <c r="A2688" t="s">
        <v>3594</v>
      </c>
      <c r="B2688" t="s">
        <v>781</v>
      </c>
      <c r="C2688" s="1">
        <v>45194</v>
      </c>
      <c r="D2688" s="1" t="str">
        <f>PROPER(orders[[#This Row],[order_priority]])</f>
        <v>Express</v>
      </c>
      <c r="E2688" t="s">
        <v>13318</v>
      </c>
      <c r="F2688" t="str">
        <f>IFERROR(INDEX(customers[country], MATCH(orders[[#This Row],[customer_id]], customers[customer_id], 0)), "Unmapped")</f>
        <v>Germany</v>
      </c>
      <c r="G2688" t="str">
        <f>IFERROR(INDEX(Region_Map[Region], MATCH(orders[[#This Row],[Customer_Country]], Region_Map[Country], 0)), "Unknown")</f>
        <v>Central Europe</v>
      </c>
      <c r="H2688" t="s">
        <v>6949</v>
      </c>
    </row>
    <row r="2689" spans="1:8">
      <c r="A2689" t="s">
        <v>3595</v>
      </c>
      <c r="B2689" t="s">
        <v>210</v>
      </c>
      <c r="C2689" s="1">
        <v>45033</v>
      </c>
      <c r="D2689" s="1" t="str">
        <f>PROPER(orders[[#This Row],[order_priority]])</f>
        <v>Express</v>
      </c>
      <c r="E2689" t="s">
        <v>13318</v>
      </c>
      <c r="F2689" t="str">
        <f>IFERROR(INDEX(customers[country], MATCH(orders[[#This Row],[customer_id]], customers[customer_id], 0)), "Unmapped")</f>
        <v>Finland</v>
      </c>
      <c r="G2689" t="str">
        <f>IFERROR(INDEX(Region_Map[Region], MATCH(orders[[#This Row],[Customer_Country]], Region_Map[Country], 0)), "Unknown")</f>
        <v>Nordics</v>
      </c>
      <c r="H2689" t="s">
        <v>6949</v>
      </c>
    </row>
    <row r="2690" spans="1:8">
      <c r="A2690" t="s">
        <v>3596</v>
      </c>
      <c r="B2690" t="s">
        <v>870</v>
      </c>
      <c r="C2690" s="1">
        <v>45599</v>
      </c>
      <c r="D2690" s="1" t="str">
        <f>PROPER(orders[[#This Row],[order_priority]])</f>
        <v>Standard</v>
      </c>
      <c r="E2690" t="s">
        <v>13323</v>
      </c>
      <c r="F2690" t="str">
        <f>IFERROR(INDEX(customers[country], MATCH(orders[[#This Row],[customer_id]], customers[customer_id], 0)), "Unmapped")</f>
        <v>Estonia</v>
      </c>
      <c r="G2690" t="str">
        <f>IFERROR(INDEX(Region_Map[Region], MATCH(orders[[#This Row],[Customer_Country]], Region_Map[Country], 0)), "Unknown")</f>
        <v>Baltics</v>
      </c>
      <c r="H2690" t="s">
        <v>6949</v>
      </c>
    </row>
    <row r="2691" spans="1:8">
      <c r="A2691" t="s">
        <v>3597</v>
      </c>
      <c r="B2691" t="s">
        <v>608</v>
      </c>
      <c r="C2691" s="1">
        <v>45298</v>
      </c>
      <c r="D2691" s="1" t="str">
        <f>PROPER(orders[[#This Row],[order_priority]])</f>
        <v>Economy</v>
      </c>
      <c r="E2691" t="s">
        <v>13316</v>
      </c>
      <c r="F2691" t="str">
        <f>IFERROR(INDEX(customers[country], MATCH(orders[[#This Row],[customer_id]], customers[customer_id], 0)), "Unmapped")</f>
        <v>Finland</v>
      </c>
      <c r="G2691" t="str">
        <f>IFERROR(INDEX(Region_Map[Region], MATCH(orders[[#This Row],[Customer_Country]], Region_Map[Country], 0)), "Unknown")</f>
        <v>Nordics</v>
      </c>
      <c r="H2691" t="s">
        <v>6949</v>
      </c>
    </row>
    <row r="2692" spans="1:8">
      <c r="A2692" t="s">
        <v>3598</v>
      </c>
      <c r="B2692" t="s">
        <v>676</v>
      </c>
      <c r="C2692" s="1">
        <v>45325</v>
      </c>
      <c r="D2692" s="1" t="str">
        <f>PROPER(orders[[#This Row],[order_priority]])</f>
        <v>Express</v>
      </c>
      <c r="E2692" t="s">
        <v>13318</v>
      </c>
      <c r="F2692" t="str">
        <f>IFERROR(INDEX(customers[country], MATCH(orders[[#This Row],[customer_id]], customers[customer_id], 0)), "Unmapped")</f>
        <v>Latvia</v>
      </c>
      <c r="G2692" t="str">
        <f>IFERROR(INDEX(Region_Map[Region], MATCH(orders[[#This Row],[Customer_Country]], Region_Map[Country], 0)), "Unknown")</f>
        <v>Baltics</v>
      </c>
      <c r="H2692" t="s">
        <v>6949</v>
      </c>
    </row>
    <row r="2693" spans="1:8">
      <c r="A2693" t="s">
        <v>3599</v>
      </c>
      <c r="B2693" t="s">
        <v>234</v>
      </c>
      <c r="C2693" s="1">
        <v>45110</v>
      </c>
      <c r="D2693" s="1" t="str">
        <f>PROPER(orders[[#This Row],[order_priority]])</f>
        <v>Same Day</v>
      </c>
      <c r="E2693" t="s">
        <v>13322</v>
      </c>
      <c r="F2693" t="str">
        <f>IFERROR(INDEX(customers[country], MATCH(orders[[#This Row],[customer_id]], customers[customer_id], 0)), "Unmapped")</f>
        <v>Finland</v>
      </c>
      <c r="G2693" t="str">
        <f>IFERROR(INDEX(Region_Map[Region], MATCH(orders[[#This Row],[Customer_Country]], Region_Map[Country], 0)), "Unknown")</f>
        <v>Nordics</v>
      </c>
      <c r="H2693" t="s">
        <v>6949</v>
      </c>
    </row>
    <row r="2694" spans="1:8">
      <c r="A2694" t="s">
        <v>3600</v>
      </c>
      <c r="B2694" t="s">
        <v>157</v>
      </c>
      <c r="C2694" s="1">
        <v>45076</v>
      </c>
      <c r="D2694" s="1" t="str">
        <f>PROPER(orders[[#This Row],[order_priority]])</f>
        <v>Standard</v>
      </c>
      <c r="E2694" t="s">
        <v>13317</v>
      </c>
      <c r="F2694" t="str">
        <f>IFERROR(INDEX(customers[country], MATCH(orders[[#This Row],[customer_id]], customers[customer_id], 0)), "Unmapped")</f>
        <v>Lithuania</v>
      </c>
      <c r="G2694" t="str">
        <f>IFERROR(INDEX(Region_Map[Region], MATCH(orders[[#This Row],[Customer_Country]], Region_Map[Country], 0)), "Unknown")</f>
        <v>Baltics</v>
      </c>
      <c r="H2694" t="s">
        <v>6949</v>
      </c>
    </row>
    <row r="2695" spans="1:8">
      <c r="A2695" t="s">
        <v>3601</v>
      </c>
      <c r="B2695" t="s">
        <v>422</v>
      </c>
      <c r="C2695" s="1">
        <v>45286</v>
      </c>
      <c r="D2695" s="1" t="str">
        <f>PROPER(orders[[#This Row],[order_priority]])</f>
        <v>Economy</v>
      </c>
      <c r="E2695" t="s">
        <v>13316</v>
      </c>
      <c r="F2695" t="str">
        <f>IFERROR(INDEX(customers[country], MATCH(orders[[#This Row],[customer_id]], customers[customer_id], 0)), "Unmapped")</f>
        <v>Germany</v>
      </c>
      <c r="G2695" t="str">
        <f>IFERROR(INDEX(Region_Map[Region], MATCH(orders[[#This Row],[Customer_Country]], Region_Map[Country], 0)), "Unknown")</f>
        <v>Central Europe</v>
      </c>
      <c r="H2695" t="s">
        <v>6949</v>
      </c>
    </row>
    <row r="2696" spans="1:8">
      <c r="A2696" t="s">
        <v>3602</v>
      </c>
      <c r="B2696" t="s">
        <v>446</v>
      </c>
      <c r="C2696" s="1">
        <v>44950</v>
      </c>
      <c r="D2696" s="1" t="str">
        <f>PROPER(orders[[#This Row],[order_priority]])</f>
        <v>Same Day</v>
      </c>
      <c r="E2696" t="s">
        <v>13322</v>
      </c>
      <c r="F2696" t="str">
        <f>IFERROR(INDEX(customers[country], MATCH(orders[[#This Row],[customer_id]], customers[customer_id], 0)), "Unmapped")</f>
        <v>Sweden</v>
      </c>
      <c r="G2696" t="str">
        <f>IFERROR(INDEX(Region_Map[Region], MATCH(orders[[#This Row],[Customer_Country]], Region_Map[Country], 0)), "Unknown")</f>
        <v>Nordics</v>
      </c>
      <c r="H2696" t="s">
        <v>6949</v>
      </c>
    </row>
    <row r="2697" spans="1:8">
      <c r="A2697" t="s">
        <v>3603</v>
      </c>
      <c r="B2697" t="s">
        <v>389</v>
      </c>
      <c r="C2697" s="1">
        <v>45409</v>
      </c>
      <c r="D2697" s="1" t="str">
        <f>PROPER(orders[[#This Row],[order_priority]])</f>
        <v>Express</v>
      </c>
      <c r="E2697" t="s">
        <v>13320</v>
      </c>
      <c r="F2697" t="str">
        <f>IFERROR(INDEX(customers[country], MATCH(orders[[#This Row],[customer_id]], customers[customer_id], 0)), "Unmapped")</f>
        <v>Poland</v>
      </c>
      <c r="G2697" t="str">
        <f>IFERROR(INDEX(Region_Map[Region], MATCH(orders[[#This Row],[Customer_Country]], Region_Map[Country], 0)), "Unknown")</f>
        <v>Central Europe</v>
      </c>
      <c r="H2697" t="s">
        <v>6949</v>
      </c>
    </row>
    <row r="2698" spans="1:8">
      <c r="A2698" t="s">
        <v>3604</v>
      </c>
      <c r="B2698" t="s">
        <v>658</v>
      </c>
      <c r="C2698" s="1">
        <v>44963</v>
      </c>
      <c r="D2698" s="1" t="str">
        <f>PROPER(orders[[#This Row],[order_priority]])</f>
        <v>Express</v>
      </c>
      <c r="E2698" t="s">
        <v>13318</v>
      </c>
      <c r="F2698" t="str">
        <f>IFERROR(INDEX(customers[country], MATCH(orders[[#This Row],[customer_id]], customers[customer_id], 0)), "Unmapped")</f>
        <v>Latvia</v>
      </c>
      <c r="G2698" t="str">
        <f>IFERROR(INDEX(Region_Map[Region], MATCH(orders[[#This Row],[Customer_Country]], Region_Map[Country], 0)), "Unknown")</f>
        <v>Baltics</v>
      </c>
      <c r="H2698" t="s">
        <v>6949</v>
      </c>
    </row>
    <row r="2699" spans="1:8">
      <c r="A2699" t="s">
        <v>3605</v>
      </c>
      <c r="B2699" t="s">
        <v>276</v>
      </c>
      <c r="C2699" s="1">
        <v>45520</v>
      </c>
      <c r="D2699" s="1" t="str">
        <f>PROPER(orders[[#This Row],[order_priority]])</f>
        <v>Economy</v>
      </c>
      <c r="E2699" t="s">
        <v>13316</v>
      </c>
      <c r="F2699" t="str">
        <f>IFERROR(INDEX(customers[country], MATCH(orders[[#This Row],[customer_id]], customers[customer_id], 0)), "Unmapped")</f>
        <v>Sweden</v>
      </c>
      <c r="G2699" t="str">
        <f>IFERROR(INDEX(Region_Map[Region], MATCH(orders[[#This Row],[Customer_Country]], Region_Map[Country], 0)), "Unknown")</f>
        <v>Nordics</v>
      </c>
      <c r="H2699" t="s">
        <v>6949</v>
      </c>
    </row>
    <row r="2700" spans="1:8">
      <c r="A2700" t="s">
        <v>3606</v>
      </c>
      <c r="B2700" t="s">
        <v>365</v>
      </c>
      <c r="C2700" s="1">
        <v>45154</v>
      </c>
      <c r="D2700" s="1" t="str">
        <f>PROPER(orders[[#This Row],[order_priority]])</f>
        <v>Same Day</v>
      </c>
      <c r="E2700" t="s">
        <v>13322</v>
      </c>
      <c r="F2700" t="str">
        <f>IFERROR(INDEX(customers[country], MATCH(orders[[#This Row],[customer_id]], customers[customer_id], 0)), "Unmapped")</f>
        <v>Poland</v>
      </c>
      <c r="G2700" t="str">
        <f>IFERROR(INDEX(Region_Map[Region], MATCH(orders[[#This Row],[Customer_Country]], Region_Map[Country], 0)), "Unknown")</f>
        <v>Central Europe</v>
      </c>
      <c r="H2700" t="s">
        <v>6949</v>
      </c>
    </row>
    <row r="2701" spans="1:8">
      <c r="A2701" t="s">
        <v>3607</v>
      </c>
      <c r="B2701" t="s">
        <v>449</v>
      </c>
      <c r="C2701" s="1">
        <v>45310</v>
      </c>
      <c r="D2701" s="1" t="str">
        <f>PROPER(orders[[#This Row],[order_priority]])</f>
        <v>Economy</v>
      </c>
      <c r="E2701" t="s">
        <v>13316</v>
      </c>
      <c r="F2701" t="str">
        <f>IFERROR(INDEX(customers[country], MATCH(orders[[#This Row],[customer_id]], customers[customer_id], 0)), "Unmapped")</f>
        <v>Norway</v>
      </c>
      <c r="G2701" t="str">
        <f>IFERROR(INDEX(Region_Map[Region], MATCH(orders[[#This Row],[Customer_Country]], Region_Map[Country], 0)), "Unknown")</f>
        <v>Nordics</v>
      </c>
      <c r="H2701" t="s">
        <v>6949</v>
      </c>
    </row>
    <row r="2702" spans="1:8">
      <c r="A2702" t="s">
        <v>3608</v>
      </c>
      <c r="B2702" t="s">
        <v>644</v>
      </c>
      <c r="C2702" s="1">
        <v>45401</v>
      </c>
      <c r="D2702" s="1" t="str">
        <f>PROPER(orders[[#This Row],[order_priority]])</f>
        <v>Economy</v>
      </c>
      <c r="E2702" t="s">
        <v>13316</v>
      </c>
      <c r="F2702" t="str">
        <f>IFERROR(INDEX(customers[country], MATCH(orders[[#This Row],[customer_id]], customers[customer_id], 0)), "Unmapped")</f>
        <v>Germany</v>
      </c>
      <c r="G2702" t="str">
        <f>IFERROR(INDEX(Region_Map[Region], MATCH(orders[[#This Row],[Customer_Country]], Region_Map[Country], 0)), "Unknown")</f>
        <v>Central Europe</v>
      </c>
      <c r="H2702" t="s">
        <v>6949</v>
      </c>
    </row>
    <row r="2703" spans="1:8">
      <c r="A2703" t="s">
        <v>3609</v>
      </c>
      <c r="B2703" t="s">
        <v>870</v>
      </c>
      <c r="C2703" s="1">
        <v>45026</v>
      </c>
      <c r="D2703" s="1" t="str">
        <f>PROPER(orders[[#This Row],[order_priority]])</f>
        <v>Express</v>
      </c>
      <c r="E2703" t="s">
        <v>13318</v>
      </c>
      <c r="F2703" t="str">
        <f>IFERROR(INDEX(customers[country], MATCH(orders[[#This Row],[customer_id]], customers[customer_id], 0)), "Unmapped")</f>
        <v>Estonia</v>
      </c>
      <c r="G2703" t="str">
        <f>IFERROR(INDEX(Region_Map[Region], MATCH(orders[[#This Row],[Customer_Country]], Region_Map[Country], 0)), "Unknown")</f>
        <v>Baltics</v>
      </c>
      <c r="H2703" t="s">
        <v>6949</v>
      </c>
    </row>
    <row r="2704" spans="1:8">
      <c r="A2704" t="s">
        <v>3610</v>
      </c>
      <c r="B2704" t="s">
        <v>685</v>
      </c>
      <c r="C2704" s="1">
        <v>45570</v>
      </c>
      <c r="D2704" s="1" t="str">
        <f>PROPER(orders[[#This Row],[order_priority]])</f>
        <v>Standard</v>
      </c>
      <c r="E2704" t="s">
        <v>13317</v>
      </c>
      <c r="F2704" t="str">
        <f>IFERROR(INDEX(customers[country], MATCH(orders[[#This Row],[customer_id]], customers[customer_id], 0)), "Unmapped")</f>
        <v>Latvia</v>
      </c>
      <c r="G2704" t="str">
        <f>IFERROR(INDEX(Region_Map[Region], MATCH(orders[[#This Row],[Customer_Country]], Region_Map[Country], 0)), "Unknown")</f>
        <v>Baltics</v>
      </c>
      <c r="H2704" t="s">
        <v>6949</v>
      </c>
    </row>
    <row r="2705" spans="1:8">
      <c r="A2705" t="s">
        <v>3611</v>
      </c>
      <c r="B2705" t="s">
        <v>885</v>
      </c>
      <c r="C2705" s="1">
        <v>45033</v>
      </c>
      <c r="D2705" s="1" t="str">
        <f>PROPER(orders[[#This Row],[order_priority]])</f>
        <v>Same Day</v>
      </c>
      <c r="E2705" t="s">
        <v>13322</v>
      </c>
      <c r="F2705" t="str">
        <f>IFERROR(INDEX(customers[country], MATCH(orders[[#This Row],[customer_id]], customers[customer_id], 0)), "Unmapped")</f>
        <v>Poland</v>
      </c>
      <c r="G2705" t="str">
        <f>IFERROR(INDEX(Region_Map[Region], MATCH(orders[[#This Row],[Customer_Country]], Region_Map[Country], 0)), "Unknown")</f>
        <v>Central Europe</v>
      </c>
      <c r="H2705" t="s">
        <v>6949</v>
      </c>
    </row>
    <row r="2706" spans="1:8">
      <c r="A2706" t="s">
        <v>3612</v>
      </c>
      <c r="B2706" t="s">
        <v>392</v>
      </c>
      <c r="C2706" s="1">
        <v>45429</v>
      </c>
      <c r="D2706" s="1" t="str">
        <f>PROPER(orders[[#This Row],[order_priority]])</f>
        <v>Standard</v>
      </c>
      <c r="E2706" t="s">
        <v>13317</v>
      </c>
      <c r="F2706" t="str">
        <f>IFERROR(INDEX(customers[country], MATCH(orders[[#This Row],[customer_id]], customers[customer_id], 0)), "Unmapped")</f>
        <v>Latvia</v>
      </c>
      <c r="G2706" t="str">
        <f>IFERROR(INDEX(Region_Map[Region], MATCH(orders[[#This Row],[Customer_Country]], Region_Map[Country], 0)), "Unknown")</f>
        <v>Baltics</v>
      </c>
      <c r="H2706" t="s">
        <v>6949</v>
      </c>
    </row>
    <row r="2707" spans="1:8">
      <c r="A2707" t="s">
        <v>3613</v>
      </c>
      <c r="B2707" t="s">
        <v>667</v>
      </c>
      <c r="C2707" s="1">
        <v>45142</v>
      </c>
      <c r="D2707" s="1" t="str">
        <f>PROPER(orders[[#This Row],[order_priority]])</f>
        <v>Standard</v>
      </c>
      <c r="E2707" t="s">
        <v>13317</v>
      </c>
      <c r="F2707" t="str">
        <f>IFERROR(INDEX(customers[country], MATCH(orders[[#This Row],[customer_id]], customers[customer_id], 0)), "Unmapped")</f>
        <v>Germany</v>
      </c>
      <c r="G2707" t="str">
        <f>IFERROR(INDEX(Region_Map[Region], MATCH(orders[[#This Row],[Customer_Country]], Region_Map[Country], 0)), "Unknown")</f>
        <v>Central Europe</v>
      </c>
      <c r="H2707" t="s">
        <v>6949</v>
      </c>
    </row>
    <row r="2708" spans="1:8">
      <c r="A2708" t="s">
        <v>3614</v>
      </c>
      <c r="B2708" t="s">
        <v>560</v>
      </c>
      <c r="C2708" s="1">
        <v>45441</v>
      </c>
      <c r="D2708" s="1" t="str">
        <f>PROPER(orders[[#This Row],[order_priority]])</f>
        <v>Standard</v>
      </c>
      <c r="E2708" t="s">
        <v>13317</v>
      </c>
      <c r="F2708" t="str">
        <f>IFERROR(INDEX(customers[country], MATCH(orders[[#This Row],[customer_id]], customers[customer_id], 0)), "Unmapped")</f>
        <v>Finland</v>
      </c>
      <c r="G2708" t="str">
        <f>IFERROR(INDEX(Region_Map[Region], MATCH(orders[[#This Row],[Customer_Country]], Region_Map[Country], 0)), "Unknown")</f>
        <v>Nordics</v>
      </c>
      <c r="H2708" t="s">
        <v>6949</v>
      </c>
    </row>
    <row r="2709" spans="1:8">
      <c r="A2709" t="s">
        <v>3615</v>
      </c>
      <c r="B2709" t="s">
        <v>189</v>
      </c>
      <c r="C2709" s="1">
        <v>44982</v>
      </c>
      <c r="D2709" s="1" t="str">
        <f>PROPER(orders[[#This Row],[order_priority]])</f>
        <v>Same Day</v>
      </c>
      <c r="E2709" t="s">
        <v>13322</v>
      </c>
      <c r="F2709" t="str">
        <f>IFERROR(INDEX(customers[country], MATCH(orders[[#This Row],[customer_id]], customers[customer_id], 0)), "Unmapped")</f>
        <v>Norway</v>
      </c>
      <c r="G2709" t="str">
        <f>IFERROR(INDEX(Region_Map[Region], MATCH(orders[[#This Row],[Customer_Country]], Region_Map[Country], 0)), "Unknown")</f>
        <v>Nordics</v>
      </c>
      <c r="H2709" t="s">
        <v>6949</v>
      </c>
    </row>
    <row r="2710" spans="1:8">
      <c r="A2710" t="s">
        <v>3616</v>
      </c>
      <c r="B2710" t="s">
        <v>464</v>
      </c>
      <c r="C2710" s="1">
        <v>45117</v>
      </c>
      <c r="D2710" s="1" t="str">
        <f>PROPER(orders[[#This Row],[order_priority]])</f>
        <v>Same Day</v>
      </c>
      <c r="E2710" t="s">
        <v>13322</v>
      </c>
      <c r="F2710" t="str">
        <f>IFERROR(INDEX(customers[country], MATCH(orders[[#This Row],[customer_id]], customers[customer_id], 0)), "Unmapped")</f>
        <v>Finland</v>
      </c>
      <c r="G2710" t="str">
        <f>IFERROR(INDEX(Region_Map[Region], MATCH(orders[[#This Row],[Customer_Country]], Region_Map[Country], 0)), "Unknown")</f>
        <v>Nordics</v>
      </c>
      <c r="H2710" t="s">
        <v>6949</v>
      </c>
    </row>
    <row r="2711" spans="1:8">
      <c r="A2711" t="s">
        <v>3617</v>
      </c>
      <c r="B2711" t="s">
        <v>703</v>
      </c>
      <c r="C2711" s="1">
        <v>45026</v>
      </c>
      <c r="D2711" s="1" t="str">
        <f>PROPER(orders[[#This Row],[order_priority]])</f>
        <v>Standard</v>
      </c>
      <c r="E2711" t="s">
        <v>13319</v>
      </c>
      <c r="F2711" t="str">
        <f>IFERROR(INDEX(customers[country], MATCH(orders[[#This Row],[customer_id]], customers[customer_id], 0)), "Unmapped")</f>
        <v>Estonia</v>
      </c>
      <c r="G2711" t="str">
        <f>IFERROR(INDEX(Region_Map[Region], MATCH(orders[[#This Row],[Customer_Country]], Region_Map[Country], 0)), "Unknown")</f>
        <v>Baltics</v>
      </c>
      <c r="H2711" t="s">
        <v>6949</v>
      </c>
    </row>
    <row r="2712" spans="1:8">
      <c r="A2712" t="s">
        <v>3618</v>
      </c>
      <c r="B2712" t="s">
        <v>581</v>
      </c>
      <c r="C2712" s="1">
        <v>45456</v>
      </c>
      <c r="D2712" s="1" t="str">
        <f>PROPER(orders[[#This Row],[order_priority]])</f>
        <v>Same Day</v>
      </c>
      <c r="E2712" t="s">
        <v>13322</v>
      </c>
      <c r="F2712" t="str">
        <f>IFERROR(INDEX(customers[country], MATCH(orders[[#This Row],[customer_id]], customers[customer_id], 0)), "Unmapped")</f>
        <v>Norway</v>
      </c>
      <c r="G2712" t="str">
        <f>IFERROR(INDEX(Region_Map[Region], MATCH(orders[[#This Row],[Customer_Country]], Region_Map[Country], 0)), "Unknown")</f>
        <v>Nordics</v>
      </c>
      <c r="H2712" t="s">
        <v>6949</v>
      </c>
    </row>
    <row r="2713" spans="1:8">
      <c r="A2713" t="s">
        <v>3619</v>
      </c>
      <c r="B2713" t="s">
        <v>80</v>
      </c>
      <c r="C2713" s="1">
        <v>45601</v>
      </c>
      <c r="D2713" s="1" t="str">
        <f>PROPER(orders[[#This Row],[order_priority]])</f>
        <v>Same Day</v>
      </c>
      <c r="E2713" t="s">
        <v>13321</v>
      </c>
      <c r="F2713" t="str">
        <f>IFERROR(INDEX(customers[country], MATCH(orders[[#This Row],[customer_id]], customers[customer_id], 0)), "Unmapped")</f>
        <v>Finland</v>
      </c>
      <c r="G2713" t="str">
        <f>IFERROR(INDEX(Region_Map[Region], MATCH(orders[[#This Row],[Customer_Country]], Region_Map[Country], 0)), "Unknown")</f>
        <v>Nordics</v>
      </c>
      <c r="H2713" t="s">
        <v>6949</v>
      </c>
    </row>
    <row r="2714" spans="1:8">
      <c r="A2714" t="s">
        <v>3620</v>
      </c>
      <c r="B2714" t="s">
        <v>611</v>
      </c>
      <c r="C2714" s="1">
        <v>45563</v>
      </c>
      <c r="D2714" s="1" t="str">
        <f>PROPER(orders[[#This Row],[order_priority]])</f>
        <v>Same Day</v>
      </c>
      <c r="E2714" t="s">
        <v>13322</v>
      </c>
      <c r="F2714" t="str">
        <f>IFERROR(INDEX(customers[country], MATCH(orders[[#This Row],[customer_id]], customers[customer_id], 0)), "Unmapped")</f>
        <v>Poland</v>
      </c>
      <c r="G2714" t="str">
        <f>IFERROR(INDEX(Region_Map[Region], MATCH(orders[[#This Row],[Customer_Country]], Region_Map[Country], 0)), "Unknown")</f>
        <v>Central Europe</v>
      </c>
      <c r="H2714" t="s">
        <v>6949</v>
      </c>
    </row>
    <row r="2715" spans="1:8">
      <c r="A2715" t="s">
        <v>3621</v>
      </c>
      <c r="B2715" t="s">
        <v>796</v>
      </c>
      <c r="C2715" s="1">
        <v>45083</v>
      </c>
      <c r="D2715" s="1" t="str">
        <f>PROPER(orders[[#This Row],[order_priority]])</f>
        <v>Express</v>
      </c>
      <c r="E2715" t="s">
        <v>13318</v>
      </c>
      <c r="F2715" t="str">
        <f>IFERROR(INDEX(customers[country], MATCH(orders[[#This Row],[customer_id]], customers[customer_id], 0)), "Unmapped")</f>
        <v>Sweden</v>
      </c>
      <c r="G2715" t="str">
        <f>IFERROR(INDEX(Region_Map[Region], MATCH(orders[[#This Row],[Customer_Country]], Region_Map[Country], 0)), "Unknown")</f>
        <v>Nordics</v>
      </c>
      <c r="H2715" t="s">
        <v>6949</v>
      </c>
    </row>
    <row r="2716" spans="1:8">
      <c r="A2716" t="s">
        <v>3622</v>
      </c>
      <c r="B2716" t="s">
        <v>721</v>
      </c>
      <c r="C2716" s="1">
        <v>44967</v>
      </c>
      <c r="D2716" s="1" t="str">
        <f>PROPER(orders[[#This Row],[order_priority]])</f>
        <v>Standard</v>
      </c>
      <c r="E2716" t="s">
        <v>13317</v>
      </c>
      <c r="F2716" t="str">
        <f>IFERROR(INDEX(customers[country], MATCH(orders[[#This Row],[customer_id]], customers[customer_id], 0)), "Unmapped")</f>
        <v>Netherlands</v>
      </c>
      <c r="G2716" t="str">
        <f>IFERROR(INDEX(Region_Map[Region], MATCH(orders[[#This Row],[Customer_Country]], Region_Map[Country], 0)), "Unknown")</f>
        <v>Central Europe</v>
      </c>
      <c r="H2716" t="s">
        <v>6949</v>
      </c>
    </row>
    <row r="2717" spans="1:8">
      <c r="A2717" t="s">
        <v>3623</v>
      </c>
      <c r="B2717" t="s">
        <v>458</v>
      </c>
      <c r="C2717" s="1">
        <v>45036</v>
      </c>
      <c r="D2717" s="1" t="str">
        <f>PROPER(orders[[#This Row],[order_priority]])</f>
        <v>Standard</v>
      </c>
      <c r="E2717" t="s">
        <v>13317</v>
      </c>
      <c r="F2717" t="str">
        <f>IFERROR(INDEX(customers[country], MATCH(orders[[#This Row],[customer_id]], customers[customer_id], 0)), "Unmapped")</f>
        <v>Poland</v>
      </c>
      <c r="G2717" t="str">
        <f>IFERROR(INDEX(Region_Map[Region], MATCH(orders[[#This Row],[Customer_Country]], Region_Map[Country], 0)), "Unknown")</f>
        <v>Central Europe</v>
      </c>
      <c r="H2717" t="s">
        <v>6949</v>
      </c>
    </row>
    <row r="2718" spans="1:8">
      <c r="A2718" t="s">
        <v>3624</v>
      </c>
      <c r="B2718" t="s">
        <v>323</v>
      </c>
      <c r="C2718" s="1">
        <v>45444</v>
      </c>
      <c r="D2718" s="1" t="str">
        <f>PROPER(orders[[#This Row],[order_priority]])</f>
        <v>Same Day</v>
      </c>
      <c r="E2718" t="s">
        <v>13324</v>
      </c>
      <c r="F2718" t="str">
        <f>IFERROR(INDEX(customers[country], MATCH(orders[[#This Row],[customer_id]], customers[customer_id], 0)), "Unmapped")</f>
        <v>Estonia</v>
      </c>
      <c r="G2718" t="str">
        <f>IFERROR(INDEX(Region_Map[Region], MATCH(orders[[#This Row],[Customer_Country]], Region_Map[Country], 0)), "Unknown")</f>
        <v>Baltics</v>
      </c>
      <c r="H2718" t="s">
        <v>6949</v>
      </c>
    </row>
    <row r="2719" spans="1:8">
      <c r="A2719" t="s">
        <v>3625</v>
      </c>
      <c r="B2719" t="s">
        <v>118</v>
      </c>
      <c r="C2719" s="1">
        <v>44955</v>
      </c>
      <c r="D2719" s="1" t="str">
        <f>PROPER(orders[[#This Row],[order_priority]])</f>
        <v>Standard</v>
      </c>
      <c r="E2719" t="s">
        <v>13323</v>
      </c>
      <c r="F2719" t="str">
        <f>IFERROR(INDEX(customers[country], MATCH(orders[[#This Row],[customer_id]], customers[customer_id], 0)), "Unmapped")</f>
        <v>Denmark</v>
      </c>
      <c r="G2719" t="str">
        <f>IFERROR(INDEX(Region_Map[Region], MATCH(orders[[#This Row],[Customer_Country]], Region_Map[Country], 0)), "Unknown")</f>
        <v>Nordics</v>
      </c>
      <c r="H2719" t="s">
        <v>6949</v>
      </c>
    </row>
    <row r="2720" spans="1:8">
      <c r="A2720" t="s">
        <v>3626</v>
      </c>
      <c r="B2720" t="s">
        <v>781</v>
      </c>
      <c r="C2720" s="1">
        <v>45613</v>
      </c>
      <c r="D2720" s="1" t="str">
        <f>PROPER(orders[[#This Row],[order_priority]])</f>
        <v>Economy</v>
      </c>
      <c r="E2720" t="s">
        <v>13328</v>
      </c>
      <c r="F2720" t="str">
        <f>IFERROR(INDEX(customers[country], MATCH(orders[[#This Row],[customer_id]], customers[customer_id], 0)), "Unmapped")</f>
        <v>Germany</v>
      </c>
      <c r="G2720" t="str">
        <f>IFERROR(INDEX(Region_Map[Region], MATCH(orders[[#This Row],[Customer_Country]], Region_Map[Country], 0)), "Unknown")</f>
        <v>Central Europe</v>
      </c>
      <c r="H2720" t="s">
        <v>6949</v>
      </c>
    </row>
    <row r="2721" spans="1:8">
      <c r="A2721" t="s">
        <v>3627</v>
      </c>
      <c r="B2721" t="s">
        <v>629</v>
      </c>
      <c r="C2721" s="1">
        <v>45117</v>
      </c>
      <c r="D2721" s="1" t="str">
        <f>PROPER(orders[[#This Row],[order_priority]])</f>
        <v>Express</v>
      </c>
      <c r="E2721" t="s">
        <v>13318</v>
      </c>
      <c r="F2721" t="str">
        <f>IFERROR(INDEX(customers[country], MATCH(orders[[#This Row],[customer_id]], customers[customer_id], 0)), "Unmapped")</f>
        <v>Lithuania</v>
      </c>
      <c r="G2721" t="str">
        <f>IFERROR(INDEX(Region_Map[Region], MATCH(orders[[#This Row],[Customer_Country]], Region_Map[Country], 0)), "Unknown")</f>
        <v>Baltics</v>
      </c>
      <c r="H2721" t="s">
        <v>6949</v>
      </c>
    </row>
    <row r="2722" spans="1:8">
      <c r="A2722" t="s">
        <v>3628</v>
      </c>
      <c r="B2722" t="s">
        <v>593</v>
      </c>
      <c r="C2722" s="1">
        <v>45080</v>
      </c>
      <c r="D2722" s="1" t="str">
        <f>PROPER(orders[[#This Row],[order_priority]])</f>
        <v>Same Day</v>
      </c>
      <c r="E2722" t="s">
        <v>13322</v>
      </c>
      <c r="F2722" t="str">
        <f>IFERROR(INDEX(customers[country], MATCH(orders[[#This Row],[customer_id]], customers[customer_id], 0)), "Unmapped")</f>
        <v>Estonia</v>
      </c>
      <c r="G2722" t="str">
        <f>IFERROR(INDEX(Region_Map[Region], MATCH(orders[[#This Row],[Customer_Country]], Region_Map[Country], 0)), "Unknown")</f>
        <v>Baltics</v>
      </c>
      <c r="H2722" t="s">
        <v>6949</v>
      </c>
    </row>
    <row r="2723" spans="1:8">
      <c r="A2723" t="s">
        <v>3629</v>
      </c>
      <c r="B2723" t="s">
        <v>825</v>
      </c>
      <c r="C2723" s="1">
        <v>45199</v>
      </c>
      <c r="D2723" s="1" t="str">
        <f>PROPER(orders[[#This Row],[order_priority]])</f>
        <v>Economy</v>
      </c>
      <c r="E2723" t="s">
        <v>13328</v>
      </c>
      <c r="F2723" t="str">
        <f>IFERROR(INDEX(customers[country], MATCH(orders[[#This Row],[customer_id]], customers[customer_id], 0)), "Unmapped")</f>
        <v>Latvia</v>
      </c>
      <c r="G2723" t="str">
        <f>IFERROR(INDEX(Region_Map[Region], MATCH(orders[[#This Row],[Customer_Country]], Region_Map[Country], 0)), "Unknown")</f>
        <v>Baltics</v>
      </c>
      <c r="H2723" t="s">
        <v>6949</v>
      </c>
    </row>
    <row r="2724" spans="1:8">
      <c r="A2724" t="s">
        <v>3630</v>
      </c>
      <c r="B2724" t="s">
        <v>735</v>
      </c>
      <c r="C2724" s="1">
        <v>45511</v>
      </c>
      <c r="D2724" s="1" t="str">
        <f>PROPER(orders[[#This Row],[order_priority]])</f>
        <v>Economy</v>
      </c>
      <c r="E2724" t="s">
        <v>13316</v>
      </c>
      <c r="F2724" t="str">
        <f>IFERROR(INDEX(customers[country], MATCH(orders[[#This Row],[customer_id]], customers[customer_id], 0)), "Unmapped")</f>
        <v>Poland</v>
      </c>
      <c r="G2724" t="str">
        <f>IFERROR(INDEX(Region_Map[Region], MATCH(orders[[#This Row],[Customer_Country]], Region_Map[Country], 0)), "Unknown")</f>
        <v>Central Europe</v>
      </c>
      <c r="H2724" t="s">
        <v>6949</v>
      </c>
    </row>
    <row r="2725" spans="1:8">
      <c r="A2725" t="s">
        <v>3631</v>
      </c>
      <c r="B2725" t="s">
        <v>84</v>
      </c>
      <c r="C2725" s="1">
        <v>45244</v>
      </c>
      <c r="D2725" s="1" t="str">
        <f>PROPER(orders[[#This Row],[order_priority]])</f>
        <v>Same Day</v>
      </c>
      <c r="E2725" t="s">
        <v>13322</v>
      </c>
      <c r="F2725" t="str">
        <f>IFERROR(INDEX(customers[country], MATCH(orders[[#This Row],[customer_id]], customers[customer_id], 0)), "Unmapped")</f>
        <v>Lithuania</v>
      </c>
      <c r="G2725" t="str">
        <f>IFERROR(INDEX(Region_Map[Region], MATCH(orders[[#This Row],[Customer_Country]], Region_Map[Country], 0)), "Unknown")</f>
        <v>Baltics</v>
      </c>
      <c r="H2725" t="s">
        <v>6949</v>
      </c>
    </row>
    <row r="2726" spans="1:8">
      <c r="A2726" t="s">
        <v>3632</v>
      </c>
      <c r="B2726" t="s">
        <v>169</v>
      </c>
      <c r="C2726" s="1">
        <v>45237</v>
      </c>
      <c r="D2726" s="1" t="str">
        <f>PROPER(orders[[#This Row],[order_priority]])</f>
        <v>Express</v>
      </c>
      <c r="E2726" t="s">
        <v>13318</v>
      </c>
      <c r="F2726" t="str">
        <f>IFERROR(INDEX(customers[country], MATCH(orders[[#This Row],[customer_id]], customers[customer_id], 0)), "Unmapped")</f>
        <v>Norway</v>
      </c>
      <c r="G2726" t="str">
        <f>IFERROR(INDEX(Region_Map[Region], MATCH(orders[[#This Row],[Customer_Country]], Region_Map[Country], 0)), "Unknown")</f>
        <v>Nordics</v>
      </c>
      <c r="H2726" t="s">
        <v>6949</v>
      </c>
    </row>
    <row r="2727" spans="1:8">
      <c r="A2727" t="s">
        <v>3633</v>
      </c>
      <c r="B2727" t="s">
        <v>620</v>
      </c>
      <c r="C2727" s="1">
        <v>45614</v>
      </c>
      <c r="D2727" s="1" t="str">
        <f>PROPER(orders[[#This Row],[order_priority]])</f>
        <v>Express</v>
      </c>
      <c r="E2727" t="s">
        <v>13318</v>
      </c>
      <c r="F2727" t="str">
        <f>IFERROR(INDEX(customers[country], MATCH(orders[[#This Row],[customer_id]], customers[customer_id], 0)), "Unmapped")</f>
        <v>Latvia</v>
      </c>
      <c r="G2727" t="str">
        <f>IFERROR(INDEX(Region_Map[Region], MATCH(orders[[#This Row],[Customer_Country]], Region_Map[Country], 0)), "Unknown")</f>
        <v>Baltics</v>
      </c>
      <c r="H2727" t="s">
        <v>6949</v>
      </c>
    </row>
    <row r="2728" spans="1:8">
      <c r="A2728" t="s">
        <v>3634</v>
      </c>
      <c r="B2728" t="s">
        <v>709</v>
      </c>
      <c r="C2728" s="1">
        <v>45047</v>
      </c>
      <c r="D2728" s="1" t="str">
        <f>PROPER(orders[[#This Row],[order_priority]])</f>
        <v>Economy</v>
      </c>
      <c r="E2728" t="s">
        <v>13325</v>
      </c>
      <c r="F2728" t="str">
        <f>IFERROR(INDEX(customers[country], MATCH(orders[[#This Row],[customer_id]], customers[customer_id], 0)), "Unmapped")</f>
        <v>Netherlands</v>
      </c>
      <c r="G2728" t="str">
        <f>IFERROR(INDEX(Region_Map[Region], MATCH(orders[[#This Row],[Customer_Country]], Region_Map[Country], 0)), "Unknown")</f>
        <v>Central Europe</v>
      </c>
      <c r="H2728" t="s">
        <v>6949</v>
      </c>
    </row>
    <row r="2729" spans="1:8">
      <c r="A2729" t="s">
        <v>3635</v>
      </c>
      <c r="B2729" t="s">
        <v>261</v>
      </c>
      <c r="C2729" s="1">
        <v>45574</v>
      </c>
      <c r="D2729" s="1" t="str">
        <f>PROPER(orders[[#This Row],[order_priority]])</f>
        <v>Same Day</v>
      </c>
      <c r="E2729" t="s">
        <v>13322</v>
      </c>
      <c r="F2729" t="str">
        <f>IFERROR(INDEX(customers[country], MATCH(orders[[#This Row],[customer_id]], customers[customer_id], 0)), "Unmapped")</f>
        <v>Germany</v>
      </c>
      <c r="G2729" t="str">
        <f>IFERROR(INDEX(Region_Map[Region], MATCH(orders[[#This Row],[Customer_Country]], Region_Map[Country], 0)), "Unknown")</f>
        <v>Central Europe</v>
      </c>
      <c r="H2729" t="s">
        <v>6949</v>
      </c>
    </row>
    <row r="2730" spans="1:8">
      <c r="A2730" t="s">
        <v>3636</v>
      </c>
      <c r="B2730" t="s">
        <v>58</v>
      </c>
      <c r="C2730" s="1">
        <v>45547</v>
      </c>
      <c r="D2730" s="1" t="str">
        <f>PROPER(orders[[#This Row],[order_priority]])</f>
        <v>Express</v>
      </c>
      <c r="E2730" t="s">
        <v>13318</v>
      </c>
      <c r="F2730" t="str">
        <f>IFERROR(INDEX(customers[country], MATCH(orders[[#This Row],[customer_id]], customers[customer_id], 0)), "Unmapped")</f>
        <v>Germany</v>
      </c>
      <c r="G2730" t="str">
        <f>IFERROR(INDEX(Region_Map[Region], MATCH(orders[[#This Row],[Customer_Country]], Region_Map[Country], 0)), "Unknown")</f>
        <v>Central Europe</v>
      </c>
      <c r="H2730" t="s">
        <v>6949</v>
      </c>
    </row>
    <row r="2731" spans="1:8">
      <c r="A2731" t="s">
        <v>3637</v>
      </c>
      <c r="B2731" t="s">
        <v>437</v>
      </c>
      <c r="C2731" s="1">
        <v>45257</v>
      </c>
      <c r="D2731" s="1" t="str">
        <f>PROPER(orders[[#This Row],[order_priority]])</f>
        <v>Standard</v>
      </c>
      <c r="E2731" t="s">
        <v>13317</v>
      </c>
      <c r="F2731" t="str">
        <f>IFERROR(INDEX(customers[country], MATCH(orders[[#This Row],[customer_id]], customers[customer_id], 0)), "Unmapped")</f>
        <v>Lithuania</v>
      </c>
      <c r="G2731" t="str">
        <f>IFERROR(INDEX(Region_Map[Region], MATCH(orders[[#This Row],[Customer_Country]], Region_Map[Country], 0)), "Unknown")</f>
        <v>Baltics</v>
      </c>
      <c r="H2731" t="s">
        <v>6949</v>
      </c>
    </row>
    <row r="2732" spans="1:8">
      <c r="A2732" t="s">
        <v>3638</v>
      </c>
      <c r="B2732" t="s">
        <v>539</v>
      </c>
      <c r="C2732" s="1">
        <v>45153</v>
      </c>
      <c r="D2732" s="1" t="str">
        <f>PROPER(orders[[#This Row],[order_priority]])</f>
        <v>Same Day</v>
      </c>
      <c r="E2732" t="s">
        <v>13322</v>
      </c>
      <c r="F2732" t="str">
        <f>IFERROR(INDEX(customers[country], MATCH(orders[[#This Row],[customer_id]], customers[customer_id], 0)), "Unmapped")</f>
        <v>Sweden</v>
      </c>
      <c r="G2732" t="str">
        <f>IFERROR(INDEX(Region_Map[Region], MATCH(orders[[#This Row],[Customer_Country]], Region_Map[Country], 0)), "Unknown")</f>
        <v>Nordics</v>
      </c>
      <c r="H2732" t="s">
        <v>6949</v>
      </c>
    </row>
    <row r="2733" spans="1:8">
      <c r="A2733" t="s">
        <v>3639</v>
      </c>
      <c r="B2733" t="s">
        <v>560</v>
      </c>
      <c r="C2733" s="1">
        <v>45204</v>
      </c>
      <c r="D2733" s="1" t="str">
        <f>PROPER(orders[[#This Row],[order_priority]])</f>
        <v>Standard</v>
      </c>
      <c r="E2733" t="s">
        <v>13317</v>
      </c>
      <c r="F2733" t="str">
        <f>IFERROR(INDEX(customers[country], MATCH(orders[[#This Row],[customer_id]], customers[customer_id], 0)), "Unmapped")</f>
        <v>Finland</v>
      </c>
      <c r="G2733" t="str">
        <f>IFERROR(INDEX(Region_Map[Region], MATCH(orders[[#This Row],[Customer_Country]], Region_Map[Country], 0)), "Unknown")</f>
        <v>Nordics</v>
      </c>
      <c r="H2733" t="s">
        <v>6949</v>
      </c>
    </row>
    <row r="2734" spans="1:8">
      <c r="A2734" t="s">
        <v>3640</v>
      </c>
      <c r="B2734" t="s">
        <v>311</v>
      </c>
      <c r="C2734" s="1">
        <v>45373</v>
      </c>
      <c r="D2734" s="1" t="str">
        <f>PROPER(orders[[#This Row],[order_priority]])</f>
        <v>Same Day</v>
      </c>
      <c r="E2734" t="s">
        <v>13322</v>
      </c>
      <c r="F2734" t="str">
        <f>IFERROR(INDEX(customers[country], MATCH(orders[[#This Row],[customer_id]], customers[customer_id], 0)), "Unmapped")</f>
        <v>Netherlands</v>
      </c>
      <c r="G2734" t="str">
        <f>IFERROR(INDEX(Region_Map[Region], MATCH(orders[[#This Row],[Customer_Country]], Region_Map[Country], 0)), "Unknown")</f>
        <v>Central Europe</v>
      </c>
      <c r="H2734" t="s">
        <v>6949</v>
      </c>
    </row>
    <row r="2735" spans="1:8">
      <c r="A2735" t="s">
        <v>3641</v>
      </c>
      <c r="B2735" t="s">
        <v>118</v>
      </c>
      <c r="C2735" s="1">
        <v>45607</v>
      </c>
      <c r="D2735" s="1" t="str">
        <f>PROPER(orders[[#This Row],[order_priority]])</f>
        <v>Economy</v>
      </c>
      <c r="E2735" t="s">
        <v>13328</v>
      </c>
      <c r="F2735" t="str">
        <f>IFERROR(INDEX(customers[country], MATCH(orders[[#This Row],[customer_id]], customers[customer_id], 0)), "Unmapped")</f>
        <v>Denmark</v>
      </c>
      <c r="G2735" t="str">
        <f>IFERROR(INDEX(Region_Map[Region], MATCH(orders[[#This Row],[Customer_Country]], Region_Map[Country], 0)), "Unknown")</f>
        <v>Nordics</v>
      </c>
      <c r="H2735" t="s">
        <v>6949</v>
      </c>
    </row>
    <row r="2736" spans="1:8">
      <c r="A2736" t="s">
        <v>3642</v>
      </c>
      <c r="B2736" t="s">
        <v>691</v>
      </c>
      <c r="C2736" s="1">
        <v>44941</v>
      </c>
      <c r="D2736" s="1" t="str">
        <f>PROPER(orders[[#This Row],[order_priority]])</f>
        <v>Same Day</v>
      </c>
      <c r="E2736" t="s">
        <v>13322</v>
      </c>
      <c r="F2736" t="str">
        <f>IFERROR(INDEX(customers[country], MATCH(orders[[#This Row],[customer_id]], customers[customer_id], 0)), "Unmapped")</f>
        <v>Latvia</v>
      </c>
      <c r="G2736" t="str">
        <f>IFERROR(INDEX(Region_Map[Region], MATCH(orders[[#This Row],[Customer_Country]], Region_Map[Country], 0)), "Unknown")</f>
        <v>Baltics</v>
      </c>
      <c r="H2736" t="s">
        <v>6949</v>
      </c>
    </row>
    <row r="2737" spans="1:8">
      <c r="A2737" t="s">
        <v>3643</v>
      </c>
      <c r="B2737" t="s">
        <v>166</v>
      </c>
      <c r="C2737" s="1">
        <v>45435</v>
      </c>
      <c r="D2737" s="1" t="str">
        <f>PROPER(orders[[#This Row],[order_priority]])</f>
        <v>Economy</v>
      </c>
      <c r="E2737" t="s">
        <v>13316</v>
      </c>
      <c r="F2737" t="str">
        <f>IFERROR(INDEX(customers[country], MATCH(orders[[#This Row],[customer_id]], customers[customer_id], 0)), "Unmapped")</f>
        <v>Denmark</v>
      </c>
      <c r="G2737" t="str">
        <f>IFERROR(INDEX(Region_Map[Region], MATCH(orders[[#This Row],[Customer_Country]], Region_Map[Country], 0)), "Unknown")</f>
        <v>Nordics</v>
      </c>
      <c r="H2737" t="s">
        <v>6949</v>
      </c>
    </row>
    <row r="2738" spans="1:8">
      <c r="A2738" t="s">
        <v>3644</v>
      </c>
      <c r="B2738" t="s">
        <v>709</v>
      </c>
      <c r="C2738" s="1">
        <v>45291</v>
      </c>
      <c r="D2738" s="1" t="str">
        <f>PROPER(orders[[#This Row],[order_priority]])</f>
        <v>Express</v>
      </c>
      <c r="E2738" t="s">
        <v>13326</v>
      </c>
      <c r="F2738" t="str">
        <f>IFERROR(INDEX(customers[country], MATCH(orders[[#This Row],[customer_id]], customers[customer_id], 0)), "Unmapped")</f>
        <v>Netherlands</v>
      </c>
      <c r="G2738" t="str">
        <f>IFERROR(INDEX(Region_Map[Region], MATCH(orders[[#This Row],[Customer_Country]], Region_Map[Country], 0)), "Unknown")</f>
        <v>Central Europe</v>
      </c>
      <c r="H2738" t="s">
        <v>6949</v>
      </c>
    </row>
    <row r="2739" spans="1:8">
      <c r="A2739" t="s">
        <v>3645</v>
      </c>
      <c r="B2739" t="s">
        <v>858</v>
      </c>
      <c r="C2739" s="1">
        <v>45602</v>
      </c>
      <c r="D2739" s="1" t="str">
        <f>PROPER(orders[[#This Row],[order_priority]])</f>
        <v>Express</v>
      </c>
      <c r="E2739" t="s">
        <v>13318</v>
      </c>
      <c r="F2739" t="str">
        <f>IFERROR(INDEX(customers[country], MATCH(orders[[#This Row],[customer_id]], customers[customer_id], 0)), "Unmapped")</f>
        <v>Lithuania</v>
      </c>
      <c r="G2739" t="str">
        <f>IFERROR(INDEX(Region_Map[Region], MATCH(orders[[#This Row],[Customer_Country]], Region_Map[Country], 0)), "Unknown")</f>
        <v>Baltics</v>
      </c>
      <c r="H2739" t="s">
        <v>6949</v>
      </c>
    </row>
    <row r="2740" spans="1:8">
      <c r="A2740" t="s">
        <v>3646</v>
      </c>
      <c r="B2740" t="s">
        <v>371</v>
      </c>
      <c r="C2740" s="1">
        <v>45251</v>
      </c>
      <c r="D2740" s="1" t="str">
        <f>PROPER(orders[[#This Row],[order_priority]])</f>
        <v>Economy</v>
      </c>
      <c r="E2740" t="s">
        <v>13316</v>
      </c>
      <c r="F2740" t="str">
        <f>IFERROR(INDEX(customers[country], MATCH(orders[[#This Row],[customer_id]], customers[customer_id], 0)), "Unmapped")</f>
        <v>Germany</v>
      </c>
      <c r="G2740" t="str">
        <f>IFERROR(INDEX(Region_Map[Region], MATCH(orders[[#This Row],[Customer_Country]], Region_Map[Country], 0)), "Unknown")</f>
        <v>Central Europe</v>
      </c>
      <c r="H2740" t="s">
        <v>6949</v>
      </c>
    </row>
    <row r="2741" spans="1:8">
      <c r="A2741" t="s">
        <v>3647</v>
      </c>
      <c r="B2741" t="s">
        <v>309</v>
      </c>
      <c r="C2741" s="1">
        <v>45514</v>
      </c>
      <c r="D2741" s="1" t="str">
        <f>PROPER(orders[[#This Row],[order_priority]])</f>
        <v>Same Day</v>
      </c>
      <c r="E2741" t="s">
        <v>13322</v>
      </c>
      <c r="F2741" t="str">
        <f>IFERROR(INDEX(customers[country], MATCH(orders[[#This Row],[customer_id]], customers[customer_id], 0)), "Unmapped")</f>
        <v>Lithuania</v>
      </c>
      <c r="G2741" t="str">
        <f>IFERROR(INDEX(Region_Map[Region], MATCH(orders[[#This Row],[Customer_Country]], Region_Map[Country], 0)), "Unknown")</f>
        <v>Baltics</v>
      </c>
      <c r="H2741" t="s">
        <v>6949</v>
      </c>
    </row>
    <row r="2742" spans="1:8">
      <c r="A2742" t="s">
        <v>3648</v>
      </c>
      <c r="B2742" t="s">
        <v>614</v>
      </c>
      <c r="C2742" s="1">
        <v>45569</v>
      </c>
      <c r="D2742" s="1" t="str">
        <f>PROPER(orders[[#This Row],[order_priority]])</f>
        <v>Express</v>
      </c>
      <c r="E2742" t="s">
        <v>13318</v>
      </c>
      <c r="F2742" t="str">
        <f>IFERROR(INDEX(customers[country], MATCH(orders[[#This Row],[customer_id]], customers[customer_id], 0)), "Unmapped")</f>
        <v>Latvia</v>
      </c>
      <c r="G2742" t="str">
        <f>IFERROR(INDEX(Region_Map[Region], MATCH(orders[[#This Row],[Customer_Country]], Region_Map[Country], 0)), "Unknown")</f>
        <v>Baltics</v>
      </c>
      <c r="H2742" t="s">
        <v>6949</v>
      </c>
    </row>
    <row r="2743" spans="1:8">
      <c r="A2743" t="s">
        <v>3649</v>
      </c>
      <c r="B2743" t="s">
        <v>658</v>
      </c>
      <c r="C2743" s="1">
        <v>45251</v>
      </c>
      <c r="D2743" s="1" t="str">
        <f>PROPER(orders[[#This Row],[order_priority]])</f>
        <v>Same Day</v>
      </c>
      <c r="E2743" t="s">
        <v>13322</v>
      </c>
      <c r="F2743" t="str">
        <f>IFERROR(INDEX(customers[country], MATCH(orders[[#This Row],[customer_id]], customers[customer_id], 0)), "Unmapped")</f>
        <v>Latvia</v>
      </c>
      <c r="G2743" t="str">
        <f>IFERROR(INDEX(Region_Map[Region], MATCH(orders[[#This Row],[Customer_Country]], Region_Map[Country], 0)), "Unknown")</f>
        <v>Baltics</v>
      </c>
      <c r="H2743" t="s">
        <v>6949</v>
      </c>
    </row>
    <row r="2744" spans="1:8">
      <c r="A2744" t="s">
        <v>3650</v>
      </c>
      <c r="B2744" t="s">
        <v>84</v>
      </c>
      <c r="C2744" s="1">
        <v>45077</v>
      </c>
      <c r="D2744" s="1" t="str">
        <f>PROPER(orders[[#This Row],[order_priority]])</f>
        <v>Same Day</v>
      </c>
      <c r="E2744" t="s">
        <v>13324</v>
      </c>
      <c r="F2744" t="str">
        <f>IFERROR(INDEX(customers[country], MATCH(orders[[#This Row],[customer_id]], customers[customer_id], 0)), "Unmapped")</f>
        <v>Lithuania</v>
      </c>
      <c r="G2744" t="str">
        <f>IFERROR(INDEX(Region_Map[Region], MATCH(orders[[#This Row],[Customer_Country]], Region_Map[Country], 0)), "Unknown")</f>
        <v>Baltics</v>
      </c>
      <c r="H2744" t="s">
        <v>6949</v>
      </c>
    </row>
    <row r="2745" spans="1:8">
      <c r="A2745" t="s">
        <v>3651</v>
      </c>
      <c r="B2745" t="s">
        <v>608</v>
      </c>
      <c r="C2745" s="1">
        <v>45431</v>
      </c>
      <c r="D2745" s="1" t="str">
        <f>PROPER(orders[[#This Row],[order_priority]])</f>
        <v>Standard</v>
      </c>
      <c r="E2745" t="s">
        <v>13317</v>
      </c>
      <c r="F2745" t="str">
        <f>IFERROR(INDEX(customers[country], MATCH(orders[[#This Row],[customer_id]], customers[customer_id], 0)), "Unmapped")</f>
        <v>Finland</v>
      </c>
      <c r="G2745" t="str">
        <f>IFERROR(INDEX(Region_Map[Region], MATCH(orders[[#This Row],[Customer_Country]], Region_Map[Country], 0)), "Unknown")</f>
        <v>Nordics</v>
      </c>
      <c r="H2745" t="s">
        <v>6949</v>
      </c>
    </row>
    <row r="2746" spans="1:8">
      <c r="A2746" t="s">
        <v>3652</v>
      </c>
      <c r="B2746" t="s">
        <v>189</v>
      </c>
      <c r="C2746" s="1">
        <v>44991</v>
      </c>
      <c r="D2746" s="1" t="str">
        <f>PROPER(orders[[#This Row],[order_priority]])</f>
        <v>Express</v>
      </c>
      <c r="E2746" t="s">
        <v>13318</v>
      </c>
      <c r="F2746" t="str">
        <f>IFERROR(INDEX(customers[country], MATCH(orders[[#This Row],[customer_id]], customers[customer_id], 0)), "Unmapped")</f>
        <v>Norway</v>
      </c>
      <c r="G2746" t="str">
        <f>IFERROR(INDEX(Region_Map[Region], MATCH(orders[[#This Row],[Customer_Country]], Region_Map[Country], 0)), "Unknown")</f>
        <v>Nordics</v>
      </c>
      <c r="H2746" t="s">
        <v>6949</v>
      </c>
    </row>
    <row r="2747" spans="1:8">
      <c r="A2747" t="s">
        <v>3653</v>
      </c>
      <c r="B2747" t="s">
        <v>557</v>
      </c>
      <c r="C2747" s="1">
        <v>45537</v>
      </c>
      <c r="D2747" s="1" t="str">
        <f>PROPER(orders[[#This Row],[order_priority]])</f>
        <v>Express</v>
      </c>
      <c r="E2747" t="s">
        <v>13326</v>
      </c>
      <c r="F2747" t="str">
        <f>IFERROR(INDEX(customers[country], MATCH(orders[[#This Row],[customer_id]], customers[customer_id], 0)), "Unmapped")</f>
        <v>Norway</v>
      </c>
      <c r="G2747" t="str">
        <f>IFERROR(INDEX(Region_Map[Region], MATCH(orders[[#This Row],[Customer_Country]], Region_Map[Country], 0)), "Unknown")</f>
        <v>Nordics</v>
      </c>
      <c r="H2747" t="s">
        <v>6949</v>
      </c>
    </row>
    <row r="2748" spans="1:8">
      <c r="A2748" t="s">
        <v>3654</v>
      </c>
      <c r="B2748" t="s">
        <v>317</v>
      </c>
      <c r="C2748" s="1">
        <v>45597</v>
      </c>
      <c r="D2748" s="1" t="str">
        <f>PROPER(orders[[#This Row],[order_priority]])</f>
        <v>Economy</v>
      </c>
      <c r="E2748" t="s">
        <v>13316</v>
      </c>
      <c r="F2748" t="str">
        <f>IFERROR(INDEX(customers[country], MATCH(orders[[#This Row],[customer_id]], customers[customer_id], 0)), "Unmapped")</f>
        <v>Sweden</v>
      </c>
      <c r="G2748" t="str">
        <f>IFERROR(INDEX(Region_Map[Region], MATCH(orders[[#This Row],[Customer_Country]], Region_Map[Country], 0)), "Unknown")</f>
        <v>Nordics</v>
      </c>
      <c r="H2748" t="s">
        <v>6949</v>
      </c>
    </row>
    <row r="2749" spans="1:8">
      <c r="A2749" t="s">
        <v>3655</v>
      </c>
      <c r="B2749" t="s">
        <v>749</v>
      </c>
      <c r="C2749" s="1">
        <v>44956</v>
      </c>
      <c r="D2749" s="1" t="str">
        <f>PROPER(orders[[#This Row],[order_priority]])</f>
        <v>Express</v>
      </c>
      <c r="E2749" t="s">
        <v>13318</v>
      </c>
      <c r="F2749" t="str">
        <f>IFERROR(INDEX(customers[country], MATCH(orders[[#This Row],[customer_id]], customers[customer_id], 0)), "Unmapped")</f>
        <v>Latvia</v>
      </c>
      <c r="G2749" t="str">
        <f>IFERROR(INDEX(Region_Map[Region], MATCH(orders[[#This Row],[Customer_Country]], Region_Map[Country], 0)), "Unknown")</f>
        <v>Baltics</v>
      </c>
      <c r="H2749" t="s">
        <v>6949</v>
      </c>
    </row>
    <row r="2750" spans="1:8">
      <c r="A2750" t="s">
        <v>3656</v>
      </c>
      <c r="B2750" t="s">
        <v>846</v>
      </c>
      <c r="C2750" s="1">
        <v>45272</v>
      </c>
      <c r="D2750" s="1" t="str">
        <f>PROPER(orders[[#This Row],[order_priority]])</f>
        <v>Same Day</v>
      </c>
      <c r="E2750" t="s">
        <v>13322</v>
      </c>
      <c r="F2750" t="str">
        <f>IFERROR(INDEX(customers[country], MATCH(orders[[#This Row],[customer_id]], customers[customer_id], 0)), "Unmapped")</f>
        <v>Netherlands</v>
      </c>
      <c r="G2750" t="str">
        <f>IFERROR(INDEX(Region_Map[Region], MATCH(orders[[#This Row],[Customer_Country]], Region_Map[Country], 0)), "Unknown")</f>
        <v>Central Europe</v>
      </c>
      <c r="H2750" t="s">
        <v>6949</v>
      </c>
    </row>
    <row r="2751" spans="1:8">
      <c r="A2751" t="s">
        <v>3657</v>
      </c>
      <c r="B2751" t="s">
        <v>758</v>
      </c>
      <c r="C2751" s="1">
        <v>45519</v>
      </c>
      <c r="D2751" s="1" t="str">
        <f>PROPER(orders[[#This Row],[order_priority]])</f>
        <v>Economy</v>
      </c>
      <c r="E2751" t="s">
        <v>13316</v>
      </c>
      <c r="F2751" t="str">
        <f>IFERROR(INDEX(customers[country], MATCH(orders[[#This Row],[customer_id]], customers[customer_id], 0)), "Unmapped")</f>
        <v>Estonia</v>
      </c>
      <c r="G2751" t="str">
        <f>IFERROR(INDEX(Region_Map[Region], MATCH(orders[[#This Row],[Customer_Country]], Region_Map[Country], 0)), "Unknown")</f>
        <v>Baltics</v>
      </c>
      <c r="H2751" t="s">
        <v>6949</v>
      </c>
    </row>
    <row r="2752" spans="1:8">
      <c r="A2752" t="s">
        <v>3658</v>
      </c>
      <c r="B2752" t="s">
        <v>533</v>
      </c>
      <c r="C2752" s="1">
        <v>45080</v>
      </c>
      <c r="D2752" s="1" t="str">
        <f>PROPER(orders[[#This Row],[order_priority]])</f>
        <v>Standard</v>
      </c>
      <c r="E2752" t="s">
        <v>13317</v>
      </c>
      <c r="F2752" t="str">
        <f>IFERROR(INDEX(customers[country], MATCH(orders[[#This Row],[customer_id]], customers[customer_id], 0)), "Unmapped")</f>
        <v>Germany</v>
      </c>
      <c r="G2752" t="str">
        <f>IFERROR(INDEX(Region_Map[Region], MATCH(orders[[#This Row],[Customer_Country]], Region_Map[Country], 0)), "Unknown")</f>
        <v>Central Europe</v>
      </c>
      <c r="H2752" t="s">
        <v>6949</v>
      </c>
    </row>
    <row r="2753" spans="1:8">
      <c r="A2753" t="s">
        <v>3659</v>
      </c>
      <c r="B2753" t="s">
        <v>449</v>
      </c>
      <c r="C2753" s="1">
        <v>45139</v>
      </c>
      <c r="D2753" s="1" t="str">
        <f>PROPER(orders[[#This Row],[order_priority]])</f>
        <v>Express</v>
      </c>
      <c r="E2753" t="s">
        <v>13318</v>
      </c>
      <c r="F2753" t="str">
        <f>IFERROR(INDEX(customers[country], MATCH(orders[[#This Row],[customer_id]], customers[customer_id], 0)), "Unmapped")</f>
        <v>Norway</v>
      </c>
      <c r="G2753" t="str">
        <f>IFERROR(INDEX(Region_Map[Region], MATCH(orders[[#This Row],[Customer_Country]], Region_Map[Country], 0)), "Unknown")</f>
        <v>Nordics</v>
      </c>
      <c r="H2753" t="s">
        <v>6949</v>
      </c>
    </row>
    <row r="2754" spans="1:8">
      <c r="A2754" t="s">
        <v>3660</v>
      </c>
      <c r="B2754" t="s">
        <v>240</v>
      </c>
      <c r="C2754" s="1">
        <v>45539</v>
      </c>
      <c r="D2754" s="1" t="str">
        <f>PROPER(orders[[#This Row],[order_priority]])</f>
        <v>Economy</v>
      </c>
      <c r="E2754" t="s">
        <v>13316</v>
      </c>
      <c r="F2754" t="str">
        <f>IFERROR(INDEX(customers[country], MATCH(orders[[#This Row],[customer_id]], customers[customer_id], 0)), "Unmapped")</f>
        <v>Lithuania</v>
      </c>
      <c r="G2754" t="str">
        <f>IFERROR(INDEX(Region_Map[Region], MATCH(orders[[#This Row],[Customer_Country]], Region_Map[Country], 0)), "Unknown")</f>
        <v>Baltics</v>
      </c>
      <c r="H2754" t="s">
        <v>6949</v>
      </c>
    </row>
    <row r="2755" spans="1:8">
      <c r="A2755" t="s">
        <v>3661</v>
      </c>
      <c r="B2755" t="s">
        <v>879</v>
      </c>
      <c r="C2755" s="1">
        <v>45362</v>
      </c>
      <c r="D2755" s="1" t="str">
        <f>PROPER(orders[[#This Row],[order_priority]])</f>
        <v>Economy</v>
      </c>
      <c r="E2755" t="s">
        <v>13328</v>
      </c>
      <c r="F2755" t="str">
        <f>IFERROR(INDEX(customers[country], MATCH(orders[[#This Row],[customer_id]], customers[customer_id], 0)), "Unmapped")</f>
        <v>Norway</v>
      </c>
      <c r="G2755" t="str">
        <f>IFERROR(INDEX(Region_Map[Region], MATCH(orders[[#This Row],[Customer_Country]], Region_Map[Country], 0)), "Unknown")</f>
        <v>Nordics</v>
      </c>
      <c r="H2755" t="s">
        <v>6949</v>
      </c>
    </row>
    <row r="2756" spans="1:8">
      <c r="A2756" t="s">
        <v>3662</v>
      </c>
      <c r="B2756" t="s">
        <v>70</v>
      </c>
      <c r="C2756" s="1">
        <v>45517</v>
      </c>
      <c r="D2756" s="1" t="str">
        <f>PROPER(orders[[#This Row],[order_priority]])</f>
        <v>Express</v>
      </c>
      <c r="E2756" t="s">
        <v>13318</v>
      </c>
      <c r="F2756" t="str">
        <f>IFERROR(INDEX(customers[country], MATCH(orders[[#This Row],[customer_id]], customers[customer_id], 0)), "Unmapped")</f>
        <v>Estonia</v>
      </c>
      <c r="G2756" t="str">
        <f>IFERROR(INDEX(Region_Map[Region], MATCH(orders[[#This Row],[Customer_Country]], Region_Map[Country], 0)), "Unknown")</f>
        <v>Baltics</v>
      </c>
      <c r="H2756" t="s">
        <v>6949</v>
      </c>
    </row>
    <row r="2757" spans="1:8">
      <c r="A2757" t="s">
        <v>3663</v>
      </c>
      <c r="B2757" t="s">
        <v>802</v>
      </c>
      <c r="C2757" s="1">
        <v>45245</v>
      </c>
      <c r="D2757" s="1" t="str">
        <f>PROPER(orders[[#This Row],[order_priority]])</f>
        <v>Express</v>
      </c>
      <c r="E2757" t="s">
        <v>13318</v>
      </c>
      <c r="F2757" t="str">
        <f>IFERROR(INDEX(customers[country], MATCH(orders[[#This Row],[customer_id]], customers[customer_id], 0)), "Unmapped")</f>
        <v>Poland</v>
      </c>
      <c r="G2757" t="str">
        <f>IFERROR(INDEX(Region_Map[Region], MATCH(orders[[#This Row],[Customer_Country]], Region_Map[Country], 0)), "Unknown")</f>
        <v>Central Europe</v>
      </c>
      <c r="H2757" t="s">
        <v>6949</v>
      </c>
    </row>
    <row r="2758" spans="1:8">
      <c r="A2758" t="s">
        <v>3664</v>
      </c>
      <c r="B2758" t="s">
        <v>557</v>
      </c>
      <c r="C2758" s="1">
        <v>45540</v>
      </c>
      <c r="D2758" s="1" t="str">
        <f>PROPER(orders[[#This Row],[order_priority]])</f>
        <v>Express</v>
      </c>
      <c r="E2758" t="s">
        <v>13326</v>
      </c>
      <c r="F2758" t="str">
        <f>IFERROR(INDEX(customers[country], MATCH(orders[[#This Row],[customer_id]], customers[customer_id], 0)), "Unmapped")</f>
        <v>Norway</v>
      </c>
      <c r="G2758" t="str">
        <f>IFERROR(INDEX(Region_Map[Region], MATCH(orders[[#This Row],[Customer_Country]], Region_Map[Country], 0)), "Unknown")</f>
        <v>Nordics</v>
      </c>
      <c r="H2758" t="s">
        <v>6949</v>
      </c>
    </row>
    <row r="2759" spans="1:8">
      <c r="A2759" t="s">
        <v>3665</v>
      </c>
      <c r="B2759" t="s">
        <v>551</v>
      </c>
      <c r="C2759" s="1">
        <v>45249</v>
      </c>
      <c r="D2759" s="1" t="str">
        <f>PROPER(orders[[#This Row],[order_priority]])</f>
        <v>Economy</v>
      </c>
      <c r="E2759" t="s">
        <v>13325</v>
      </c>
      <c r="F2759" t="str">
        <f>IFERROR(INDEX(customers[country], MATCH(orders[[#This Row],[customer_id]], customers[customer_id], 0)), "Unmapped")</f>
        <v>Latvia</v>
      </c>
      <c r="G2759" t="str">
        <f>IFERROR(INDEX(Region_Map[Region], MATCH(orders[[#This Row],[Customer_Country]], Region_Map[Country], 0)), "Unknown")</f>
        <v>Baltics</v>
      </c>
      <c r="H2759" t="s">
        <v>6949</v>
      </c>
    </row>
    <row r="2760" spans="1:8">
      <c r="A2760" t="s">
        <v>3422</v>
      </c>
      <c r="B2760" t="s">
        <v>428</v>
      </c>
      <c r="C2760" s="1">
        <v>44931</v>
      </c>
      <c r="D2760" s="1" t="str">
        <f>PROPER(orders[[#This Row],[order_priority]])</f>
        <v>Economy</v>
      </c>
      <c r="E2760" t="s">
        <v>13316</v>
      </c>
      <c r="F2760" t="str">
        <f>IFERROR(INDEX(customers[country], MATCH(orders[[#This Row],[customer_id]], customers[customer_id], 0)), "Unmapped")</f>
        <v>Finland</v>
      </c>
      <c r="G2760" t="str">
        <f>IFERROR(INDEX(Region_Map[Region], MATCH(orders[[#This Row],[Customer_Country]], Region_Map[Country], 0)), "Unknown")</f>
        <v>Nordics</v>
      </c>
      <c r="H2760" t="s">
        <v>6949</v>
      </c>
    </row>
    <row r="2761" spans="1:8">
      <c r="A2761" t="s">
        <v>3666</v>
      </c>
      <c r="B2761" t="s">
        <v>464</v>
      </c>
      <c r="C2761" s="1">
        <v>45195</v>
      </c>
      <c r="D2761" s="1" t="str">
        <f>PROPER(orders[[#This Row],[order_priority]])</f>
        <v>Express</v>
      </c>
      <c r="E2761" t="s">
        <v>13318</v>
      </c>
      <c r="F2761" t="str">
        <f>IFERROR(INDEX(customers[country], MATCH(orders[[#This Row],[customer_id]], customers[customer_id], 0)), "Unmapped")</f>
        <v>Finland</v>
      </c>
      <c r="G2761" t="str">
        <f>IFERROR(INDEX(Region_Map[Region], MATCH(orders[[#This Row],[Customer_Country]], Region_Map[Country], 0)), "Unknown")</f>
        <v>Nordics</v>
      </c>
      <c r="H2761" t="s">
        <v>6949</v>
      </c>
    </row>
    <row r="2762" spans="1:8">
      <c r="A2762" t="s">
        <v>3667</v>
      </c>
      <c r="B2762" t="s">
        <v>578</v>
      </c>
      <c r="C2762" s="1">
        <v>45285</v>
      </c>
      <c r="D2762" s="1" t="str">
        <f>PROPER(orders[[#This Row],[order_priority]])</f>
        <v>Standard</v>
      </c>
      <c r="E2762" t="s">
        <v>13317</v>
      </c>
      <c r="F2762" t="str">
        <f>IFERROR(INDEX(customers[country], MATCH(orders[[#This Row],[customer_id]], customers[customer_id], 0)), "Unmapped")</f>
        <v>Norway</v>
      </c>
      <c r="G2762" t="str">
        <f>IFERROR(INDEX(Region_Map[Region], MATCH(orders[[#This Row],[Customer_Country]], Region_Map[Country], 0)), "Unknown")</f>
        <v>Nordics</v>
      </c>
      <c r="H2762" t="s">
        <v>6949</v>
      </c>
    </row>
    <row r="2763" spans="1:8">
      <c r="A2763" t="s">
        <v>3668</v>
      </c>
      <c r="B2763" t="s">
        <v>19</v>
      </c>
      <c r="C2763" s="1">
        <v>45541</v>
      </c>
      <c r="D2763" s="1" t="str">
        <f>PROPER(orders[[#This Row],[order_priority]])</f>
        <v>Same Day</v>
      </c>
      <c r="E2763" t="s">
        <v>13322</v>
      </c>
      <c r="F2763" t="str">
        <f>IFERROR(INDEX(customers[country], MATCH(orders[[#This Row],[customer_id]], customers[customer_id], 0)), "Unmapped")</f>
        <v>Poland</v>
      </c>
      <c r="G2763" t="str">
        <f>IFERROR(INDEX(Region_Map[Region], MATCH(orders[[#This Row],[Customer_Country]], Region_Map[Country], 0)), "Unknown")</f>
        <v>Central Europe</v>
      </c>
      <c r="H2763" t="s">
        <v>6949</v>
      </c>
    </row>
    <row r="2764" spans="1:8">
      <c r="A2764" t="s">
        <v>3669</v>
      </c>
      <c r="B2764" t="s">
        <v>356</v>
      </c>
      <c r="C2764" s="1">
        <v>45252</v>
      </c>
      <c r="D2764" s="1" t="str">
        <f>PROPER(orders[[#This Row],[order_priority]])</f>
        <v>Standard</v>
      </c>
      <c r="E2764" t="s">
        <v>13317</v>
      </c>
      <c r="F2764" t="str">
        <f>IFERROR(INDEX(customers[country], MATCH(orders[[#This Row],[customer_id]], customers[customer_id], 0)), "Unmapped")</f>
        <v>Netherlands</v>
      </c>
      <c r="G2764" t="str">
        <f>IFERROR(INDEX(Region_Map[Region], MATCH(orders[[#This Row],[Customer_Country]], Region_Map[Country], 0)), "Unknown")</f>
        <v>Central Europe</v>
      </c>
      <c r="H2764" t="s">
        <v>6949</v>
      </c>
    </row>
    <row r="2765" spans="1:8">
      <c r="A2765" t="s">
        <v>3670</v>
      </c>
      <c r="B2765" t="s">
        <v>27</v>
      </c>
      <c r="C2765" s="1">
        <v>45144</v>
      </c>
      <c r="D2765" s="1" t="str">
        <f>PROPER(orders[[#This Row],[order_priority]])</f>
        <v>Same Day</v>
      </c>
      <c r="E2765" t="s">
        <v>13322</v>
      </c>
      <c r="F2765" t="str">
        <f>IFERROR(INDEX(customers[country], MATCH(orders[[#This Row],[customer_id]], customers[customer_id], 0)), "Unmapped")</f>
        <v>Latvia</v>
      </c>
      <c r="G2765" t="str">
        <f>IFERROR(INDEX(Region_Map[Region], MATCH(orders[[#This Row],[Customer_Country]], Region_Map[Country], 0)), "Unknown")</f>
        <v>Baltics</v>
      </c>
      <c r="H2765" t="s">
        <v>6949</v>
      </c>
    </row>
    <row r="2766" spans="1:8">
      <c r="A2766" t="s">
        <v>3671</v>
      </c>
      <c r="B2766" t="s">
        <v>181</v>
      </c>
      <c r="C2766" s="1">
        <v>45459</v>
      </c>
      <c r="D2766" s="1" t="str">
        <f>PROPER(orders[[#This Row],[order_priority]])</f>
        <v>Same Day</v>
      </c>
      <c r="E2766" t="s">
        <v>13324</v>
      </c>
      <c r="F2766" t="str">
        <f>IFERROR(INDEX(customers[country], MATCH(orders[[#This Row],[customer_id]], customers[customer_id], 0)), "Unmapped")</f>
        <v>Netherlands</v>
      </c>
      <c r="G2766" t="str">
        <f>IFERROR(INDEX(Region_Map[Region], MATCH(orders[[#This Row],[Customer_Country]], Region_Map[Country], 0)), "Unknown")</f>
        <v>Central Europe</v>
      </c>
      <c r="H2766" t="s">
        <v>6949</v>
      </c>
    </row>
    <row r="2767" spans="1:8">
      <c r="A2767" t="s">
        <v>3672</v>
      </c>
      <c r="B2767" t="s">
        <v>258</v>
      </c>
      <c r="C2767" s="1">
        <v>45624</v>
      </c>
      <c r="D2767" s="1" t="str">
        <f>PROPER(orders[[#This Row],[order_priority]])</f>
        <v>Same Day</v>
      </c>
      <c r="E2767" t="s">
        <v>13322</v>
      </c>
      <c r="F2767" t="str">
        <f>IFERROR(INDEX(customers[country], MATCH(orders[[#This Row],[customer_id]], customers[customer_id], 0)), "Unmapped")</f>
        <v>Latvia</v>
      </c>
      <c r="G2767" t="str">
        <f>IFERROR(INDEX(Region_Map[Region], MATCH(orders[[#This Row],[Customer_Country]], Region_Map[Country], 0)), "Unknown")</f>
        <v>Baltics</v>
      </c>
      <c r="H2767" t="s">
        <v>6949</v>
      </c>
    </row>
    <row r="2768" spans="1:8">
      <c r="A2768" t="s">
        <v>3673</v>
      </c>
      <c r="B2768" t="s">
        <v>112</v>
      </c>
      <c r="C2768" s="1">
        <v>45325</v>
      </c>
      <c r="D2768" s="1" t="str">
        <f>PROPER(orders[[#This Row],[order_priority]])</f>
        <v>Same Day</v>
      </c>
      <c r="E2768" t="s">
        <v>13322</v>
      </c>
      <c r="F2768" t="str">
        <f>IFERROR(INDEX(customers[country], MATCH(orders[[#This Row],[customer_id]], customers[customer_id], 0)), "Unmapped")</f>
        <v>Finland</v>
      </c>
      <c r="G2768" t="str">
        <f>IFERROR(INDEX(Region_Map[Region], MATCH(orders[[#This Row],[Customer_Country]], Region_Map[Country], 0)), "Unknown")</f>
        <v>Nordics</v>
      </c>
      <c r="H2768" t="s">
        <v>6949</v>
      </c>
    </row>
    <row r="2769" spans="1:8">
      <c r="A2769" t="s">
        <v>3674</v>
      </c>
      <c r="B2769" t="s">
        <v>231</v>
      </c>
      <c r="C2769" s="1">
        <v>44978</v>
      </c>
      <c r="D2769" s="1" t="str">
        <f>PROPER(orders[[#This Row],[order_priority]])</f>
        <v>Standard</v>
      </c>
      <c r="E2769" t="s">
        <v>13317</v>
      </c>
      <c r="F2769" t="str">
        <f>IFERROR(INDEX(customers[country], MATCH(orders[[#This Row],[customer_id]], customers[customer_id], 0)), "Unmapped")</f>
        <v>Lithuania</v>
      </c>
      <c r="G2769" t="str">
        <f>IFERROR(INDEX(Region_Map[Region], MATCH(orders[[#This Row],[Customer_Country]], Region_Map[Country], 0)), "Unknown")</f>
        <v>Baltics</v>
      </c>
      <c r="H2769" t="s">
        <v>6949</v>
      </c>
    </row>
    <row r="2770" spans="1:8">
      <c r="A2770" t="s">
        <v>3675</v>
      </c>
      <c r="B2770" t="s">
        <v>115</v>
      </c>
      <c r="C2770" s="1">
        <v>45508</v>
      </c>
      <c r="D2770" s="1" t="str">
        <f>PROPER(orders[[#This Row],[order_priority]])</f>
        <v>Same Day</v>
      </c>
      <c r="E2770" t="s">
        <v>13322</v>
      </c>
      <c r="F2770" t="str">
        <f>IFERROR(INDEX(customers[country], MATCH(orders[[#This Row],[customer_id]], customers[customer_id], 0)), "Unmapped")</f>
        <v>Finland</v>
      </c>
      <c r="G2770" t="str">
        <f>IFERROR(INDEX(Region_Map[Region], MATCH(orders[[#This Row],[Customer_Country]], Region_Map[Country], 0)), "Unknown")</f>
        <v>Nordics</v>
      </c>
      <c r="H2770" t="s">
        <v>6949</v>
      </c>
    </row>
    <row r="2771" spans="1:8">
      <c r="A2771" t="s">
        <v>3676</v>
      </c>
      <c r="B2771" t="s">
        <v>635</v>
      </c>
      <c r="C2771" s="1">
        <v>45587</v>
      </c>
      <c r="D2771" s="1" t="str">
        <f>PROPER(orders[[#This Row],[order_priority]])</f>
        <v>Express</v>
      </c>
      <c r="E2771" t="s">
        <v>13318</v>
      </c>
      <c r="F2771" t="str">
        <f>IFERROR(INDEX(customers[country], MATCH(orders[[#This Row],[customer_id]], customers[customer_id], 0)), "Unmapped")</f>
        <v>Latvia</v>
      </c>
      <c r="G2771" t="str">
        <f>IFERROR(INDEX(Region_Map[Region], MATCH(orders[[#This Row],[Customer_Country]], Region_Map[Country], 0)), "Unknown")</f>
        <v>Baltics</v>
      </c>
      <c r="H2771" t="s">
        <v>6949</v>
      </c>
    </row>
    <row r="2772" spans="1:8">
      <c r="A2772" t="s">
        <v>3677</v>
      </c>
      <c r="B2772" t="s">
        <v>285</v>
      </c>
      <c r="C2772" s="1">
        <v>45518</v>
      </c>
      <c r="D2772" s="1" t="str">
        <f>PROPER(orders[[#This Row],[order_priority]])</f>
        <v>Express</v>
      </c>
      <c r="E2772" t="s">
        <v>13318</v>
      </c>
      <c r="F2772" t="str">
        <f>IFERROR(INDEX(customers[country], MATCH(orders[[#This Row],[customer_id]], customers[customer_id], 0)), "Unmapped")</f>
        <v>Norway</v>
      </c>
      <c r="G2772" t="str">
        <f>IFERROR(INDEX(Region_Map[Region], MATCH(orders[[#This Row],[Customer_Country]], Region_Map[Country], 0)), "Unknown")</f>
        <v>Nordics</v>
      </c>
      <c r="H2772" t="s">
        <v>6949</v>
      </c>
    </row>
    <row r="2773" spans="1:8">
      <c r="A2773" t="s">
        <v>3678</v>
      </c>
      <c r="B2773" t="s">
        <v>216</v>
      </c>
      <c r="C2773" s="1">
        <v>45026</v>
      </c>
      <c r="D2773" s="1" t="str">
        <f>PROPER(orders[[#This Row],[order_priority]])</f>
        <v>Economy</v>
      </c>
      <c r="E2773" t="s">
        <v>13316</v>
      </c>
      <c r="F2773" t="str">
        <f>IFERROR(INDEX(customers[country], MATCH(orders[[#This Row],[customer_id]], customers[customer_id], 0)), "Unmapped")</f>
        <v>Norway</v>
      </c>
      <c r="G2773" t="str">
        <f>IFERROR(INDEX(Region_Map[Region], MATCH(orders[[#This Row],[Customer_Country]], Region_Map[Country], 0)), "Unknown")</f>
        <v>Nordics</v>
      </c>
      <c r="H2773" t="s">
        <v>6949</v>
      </c>
    </row>
    <row r="2774" spans="1:8">
      <c r="A2774" t="s">
        <v>3679</v>
      </c>
      <c r="B2774" t="s">
        <v>160</v>
      </c>
      <c r="C2774" s="1">
        <v>45022</v>
      </c>
      <c r="D2774" s="1" t="str">
        <f>PROPER(orders[[#This Row],[order_priority]])</f>
        <v>Standard</v>
      </c>
      <c r="E2774" t="s">
        <v>13317</v>
      </c>
      <c r="F2774" t="str">
        <f>IFERROR(INDEX(customers[country], MATCH(orders[[#This Row],[customer_id]], customers[customer_id], 0)), "Unmapped")</f>
        <v>Denmark</v>
      </c>
      <c r="G2774" t="str">
        <f>IFERROR(INDEX(Region_Map[Region], MATCH(orders[[#This Row],[Customer_Country]], Region_Map[Country], 0)), "Unknown")</f>
        <v>Nordics</v>
      </c>
      <c r="H2774" t="s">
        <v>6949</v>
      </c>
    </row>
    <row r="2775" spans="1:8">
      <c r="A2775" t="s">
        <v>3680</v>
      </c>
      <c r="B2775" t="s">
        <v>746</v>
      </c>
      <c r="C2775" s="1">
        <v>44992</v>
      </c>
      <c r="D2775" s="1" t="str">
        <f>PROPER(orders[[#This Row],[order_priority]])</f>
        <v>Standard</v>
      </c>
      <c r="E2775" t="s">
        <v>13317</v>
      </c>
      <c r="F2775" t="str">
        <f>IFERROR(INDEX(customers[country], MATCH(orders[[#This Row],[customer_id]], customers[customer_id], 0)), "Unmapped")</f>
        <v>Poland</v>
      </c>
      <c r="G2775" t="str">
        <f>IFERROR(INDEX(Region_Map[Region], MATCH(orders[[#This Row],[Customer_Country]], Region_Map[Country], 0)), "Unknown")</f>
        <v>Central Europe</v>
      </c>
      <c r="H2775" t="s">
        <v>6949</v>
      </c>
    </row>
    <row r="2776" spans="1:8">
      <c r="A2776" t="s">
        <v>3681</v>
      </c>
      <c r="B2776" t="s">
        <v>542</v>
      </c>
      <c r="C2776" s="1">
        <v>45307</v>
      </c>
      <c r="D2776" s="1" t="str">
        <f>PROPER(orders[[#This Row],[order_priority]])</f>
        <v>Express</v>
      </c>
      <c r="E2776" t="s">
        <v>13318</v>
      </c>
      <c r="F2776" t="str">
        <f>IFERROR(INDEX(customers[country], MATCH(orders[[#This Row],[customer_id]], customers[customer_id], 0)), "Unmapped")</f>
        <v>Poland</v>
      </c>
      <c r="G2776" t="str">
        <f>IFERROR(INDEX(Region_Map[Region], MATCH(orders[[#This Row],[Customer_Country]], Region_Map[Country], 0)), "Unknown")</f>
        <v>Central Europe</v>
      </c>
      <c r="H2776" t="s">
        <v>6949</v>
      </c>
    </row>
    <row r="2777" spans="1:8">
      <c r="A2777" t="s">
        <v>3682</v>
      </c>
      <c r="B2777" t="s">
        <v>685</v>
      </c>
      <c r="C2777" s="1">
        <v>45607</v>
      </c>
      <c r="D2777" s="1" t="str">
        <f>PROPER(orders[[#This Row],[order_priority]])</f>
        <v>Express</v>
      </c>
      <c r="E2777" t="s">
        <v>13318</v>
      </c>
      <c r="F2777" t="str">
        <f>IFERROR(INDEX(customers[country], MATCH(orders[[#This Row],[customer_id]], customers[customer_id], 0)), "Unmapped")</f>
        <v>Latvia</v>
      </c>
      <c r="G2777" t="str">
        <f>IFERROR(INDEX(Region_Map[Region], MATCH(orders[[#This Row],[Customer_Country]], Region_Map[Country], 0)), "Unknown")</f>
        <v>Baltics</v>
      </c>
      <c r="H2777" t="s">
        <v>6949</v>
      </c>
    </row>
    <row r="2778" spans="1:8">
      <c r="A2778" t="s">
        <v>3683</v>
      </c>
      <c r="B2778" t="s">
        <v>207</v>
      </c>
      <c r="C2778" s="1">
        <v>44940</v>
      </c>
      <c r="D2778" s="1" t="str">
        <f>PROPER(orders[[#This Row],[order_priority]])</f>
        <v>Economy</v>
      </c>
      <c r="E2778" t="s">
        <v>13316</v>
      </c>
      <c r="F2778" t="str">
        <f>IFERROR(INDEX(customers[country], MATCH(orders[[#This Row],[customer_id]], customers[customer_id], 0)), "Unmapped")</f>
        <v>Poland</v>
      </c>
      <c r="G2778" t="str">
        <f>IFERROR(INDEX(Region_Map[Region], MATCH(orders[[#This Row],[Customer_Country]], Region_Map[Country], 0)), "Unknown")</f>
        <v>Central Europe</v>
      </c>
      <c r="H2778" t="s">
        <v>6949</v>
      </c>
    </row>
    <row r="2779" spans="1:8">
      <c r="A2779" t="s">
        <v>3684</v>
      </c>
      <c r="B2779" t="s">
        <v>139</v>
      </c>
      <c r="C2779" s="1">
        <v>45030</v>
      </c>
      <c r="D2779" s="1" t="str">
        <f>PROPER(orders[[#This Row],[order_priority]])</f>
        <v>Economy</v>
      </c>
      <c r="E2779" t="s">
        <v>13316</v>
      </c>
      <c r="F2779" t="str">
        <f>IFERROR(INDEX(customers[country], MATCH(orders[[#This Row],[customer_id]], customers[customer_id], 0)), "Unmapped")</f>
        <v>Netherlands</v>
      </c>
      <c r="G2779" t="str">
        <f>IFERROR(INDEX(Region_Map[Region], MATCH(orders[[#This Row],[Customer_Country]], Region_Map[Country], 0)), "Unknown")</f>
        <v>Central Europe</v>
      </c>
      <c r="H2779" t="s">
        <v>6949</v>
      </c>
    </row>
    <row r="2780" spans="1:8">
      <c r="A2780" t="s">
        <v>3685</v>
      </c>
      <c r="B2780" t="s">
        <v>15</v>
      </c>
      <c r="C2780" s="1">
        <v>45342</v>
      </c>
      <c r="D2780" s="1" t="str">
        <f>PROPER(orders[[#This Row],[order_priority]])</f>
        <v>Same Day</v>
      </c>
      <c r="E2780" t="s">
        <v>13322</v>
      </c>
      <c r="F2780" t="str">
        <f>IFERROR(INDEX(customers[country], MATCH(orders[[#This Row],[customer_id]], customers[customer_id], 0)), "Unmapped")</f>
        <v>Estonia</v>
      </c>
      <c r="G2780" t="str">
        <f>IFERROR(INDEX(Region_Map[Region], MATCH(orders[[#This Row],[Customer_Country]], Region_Map[Country], 0)), "Unknown")</f>
        <v>Baltics</v>
      </c>
      <c r="H2780" t="s">
        <v>6949</v>
      </c>
    </row>
    <row r="2781" spans="1:8">
      <c r="A2781" t="s">
        <v>3686</v>
      </c>
      <c r="B2781" t="s">
        <v>34</v>
      </c>
      <c r="C2781" s="1">
        <v>45303</v>
      </c>
      <c r="D2781" s="1" t="str">
        <f>PROPER(orders[[#This Row],[order_priority]])</f>
        <v>Same Day</v>
      </c>
      <c r="E2781" t="s">
        <v>13322</v>
      </c>
      <c r="F2781" t="str">
        <f>IFERROR(INDEX(customers[country], MATCH(orders[[#This Row],[customer_id]], customers[customer_id], 0)), "Unmapped")</f>
        <v>Sweden</v>
      </c>
      <c r="G2781" t="str">
        <f>IFERROR(INDEX(Region_Map[Region], MATCH(orders[[#This Row],[Customer_Country]], Region_Map[Country], 0)), "Unknown")</f>
        <v>Nordics</v>
      </c>
      <c r="H2781" t="s">
        <v>6949</v>
      </c>
    </row>
    <row r="2782" spans="1:8">
      <c r="A2782" t="s">
        <v>3687</v>
      </c>
      <c r="B2782" t="s">
        <v>338</v>
      </c>
      <c r="C2782" s="1">
        <v>45364</v>
      </c>
      <c r="D2782" s="1" t="str">
        <f>PROPER(orders[[#This Row],[order_priority]])</f>
        <v>Standard</v>
      </c>
      <c r="E2782" t="s">
        <v>13317</v>
      </c>
      <c r="F2782" t="str">
        <f>IFERROR(INDEX(customers[country], MATCH(orders[[#This Row],[customer_id]], customers[customer_id], 0)), "Unmapped")</f>
        <v>Denmark</v>
      </c>
      <c r="G2782" t="str">
        <f>IFERROR(INDEX(Region_Map[Region], MATCH(orders[[#This Row],[Customer_Country]], Region_Map[Country], 0)), "Unknown")</f>
        <v>Nordics</v>
      </c>
      <c r="H2782" t="s">
        <v>6949</v>
      </c>
    </row>
    <row r="2783" spans="1:8">
      <c r="A2783" t="s">
        <v>3688</v>
      </c>
      <c r="B2783" t="s">
        <v>99</v>
      </c>
      <c r="C2783" s="1">
        <v>45340</v>
      </c>
      <c r="D2783" s="1" t="str">
        <f>PROPER(orders[[#This Row],[order_priority]])</f>
        <v>Express</v>
      </c>
      <c r="E2783" t="s">
        <v>13318</v>
      </c>
      <c r="F2783" t="str">
        <f>IFERROR(INDEX(customers[country], MATCH(orders[[#This Row],[customer_id]], customers[customer_id], 0)), "Unmapped")</f>
        <v>Poland</v>
      </c>
      <c r="G2783" t="str">
        <f>IFERROR(INDEX(Region_Map[Region], MATCH(orders[[#This Row],[Customer_Country]], Region_Map[Country], 0)), "Unknown")</f>
        <v>Central Europe</v>
      </c>
      <c r="H2783" t="s">
        <v>6949</v>
      </c>
    </row>
    <row r="2784" spans="1:8">
      <c r="A2784" t="s">
        <v>3689</v>
      </c>
      <c r="B2784" t="s">
        <v>172</v>
      </c>
      <c r="C2784" s="1">
        <v>45144</v>
      </c>
      <c r="D2784" s="1" t="str">
        <f>PROPER(orders[[#This Row],[order_priority]])</f>
        <v>Same Day</v>
      </c>
      <c r="E2784" t="s">
        <v>13322</v>
      </c>
      <c r="F2784" t="str">
        <f>IFERROR(INDEX(customers[country], MATCH(orders[[#This Row],[customer_id]], customers[customer_id], 0)), "Unmapped")</f>
        <v>Denmark</v>
      </c>
      <c r="G2784" t="str">
        <f>IFERROR(INDEX(Region_Map[Region], MATCH(orders[[#This Row],[Customer_Country]], Region_Map[Country], 0)), "Unknown")</f>
        <v>Nordics</v>
      </c>
      <c r="H2784" t="s">
        <v>6949</v>
      </c>
    </row>
    <row r="2785" spans="1:8">
      <c r="A2785" t="s">
        <v>3690</v>
      </c>
      <c r="B2785" t="s">
        <v>581</v>
      </c>
      <c r="C2785" s="1">
        <v>45295</v>
      </c>
      <c r="D2785" s="1" t="str">
        <f>PROPER(orders[[#This Row],[order_priority]])</f>
        <v>Express</v>
      </c>
      <c r="E2785" t="s">
        <v>13318</v>
      </c>
      <c r="F2785" t="str">
        <f>IFERROR(INDEX(customers[country], MATCH(orders[[#This Row],[customer_id]], customers[customer_id], 0)), "Unmapped")</f>
        <v>Norway</v>
      </c>
      <c r="G2785" t="str">
        <f>IFERROR(INDEX(Region_Map[Region], MATCH(orders[[#This Row],[Customer_Country]], Region_Map[Country], 0)), "Unknown")</f>
        <v>Nordics</v>
      </c>
      <c r="H2785" t="s">
        <v>6949</v>
      </c>
    </row>
    <row r="2786" spans="1:8">
      <c r="A2786" t="s">
        <v>3691</v>
      </c>
      <c r="B2786" t="s">
        <v>652</v>
      </c>
      <c r="C2786" s="1">
        <v>45068</v>
      </c>
      <c r="D2786" s="1" t="str">
        <f>PROPER(orders[[#This Row],[order_priority]])</f>
        <v>Standard</v>
      </c>
      <c r="E2786" t="s">
        <v>13317</v>
      </c>
      <c r="F2786" t="str">
        <f>IFERROR(INDEX(customers[country], MATCH(orders[[#This Row],[customer_id]], customers[customer_id], 0)), "Unmapped")</f>
        <v>Poland</v>
      </c>
      <c r="G2786" t="str">
        <f>IFERROR(INDEX(Region_Map[Region], MATCH(orders[[#This Row],[Customer_Country]], Region_Map[Country], 0)), "Unknown")</f>
        <v>Central Europe</v>
      </c>
      <c r="H2786" t="s">
        <v>6949</v>
      </c>
    </row>
    <row r="2787" spans="1:8">
      <c r="A2787" t="s">
        <v>3692</v>
      </c>
      <c r="B2787" t="s">
        <v>386</v>
      </c>
      <c r="C2787" s="1">
        <v>45012</v>
      </c>
      <c r="D2787" s="1" t="str">
        <f>PROPER(orders[[#This Row],[order_priority]])</f>
        <v>Same Day</v>
      </c>
      <c r="E2787" t="s">
        <v>13322</v>
      </c>
      <c r="F2787" t="str">
        <f>IFERROR(INDEX(customers[country], MATCH(orders[[#This Row],[customer_id]], customers[customer_id], 0)), "Unmapped")</f>
        <v>Germany</v>
      </c>
      <c r="G2787" t="str">
        <f>IFERROR(INDEX(Region_Map[Region], MATCH(orders[[#This Row],[Customer_Country]], Region_Map[Country], 0)), "Unknown")</f>
        <v>Central Europe</v>
      </c>
      <c r="H2787" t="s">
        <v>6949</v>
      </c>
    </row>
    <row r="2788" spans="1:8">
      <c r="A2788" t="s">
        <v>3693</v>
      </c>
      <c r="B2788" t="s">
        <v>909</v>
      </c>
      <c r="C2788" s="1">
        <v>45447</v>
      </c>
      <c r="D2788" s="1" t="str">
        <f>PROPER(orders[[#This Row],[order_priority]])</f>
        <v>Express</v>
      </c>
      <c r="E2788" t="s">
        <v>13318</v>
      </c>
      <c r="F2788" t="str">
        <f>IFERROR(INDEX(customers[country], MATCH(orders[[#This Row],[customer_id]], customers[customer_id], 0)), "Unmapped")</f>
        <v>Poland</v>
      </c>
      <c r="G2788" t="str">
        <f>IFERROR(INDEX(Region_Map[Region], MATCH(orders[[#This Row],[Customer_Country]], Region_Map[Country], 0)), "Unknown")</f>
        <v>Central Europe</v>
      </c>
      <c r="H2788" t="s">
        <v>6949</v>
      </c>
    </row>
    <row r="2789" spans="1:8">
      <c r="A2789" t="s">
        <v>3694</v>
      </c>
      <c r="B2789" t="s">
        <v>822</v>
      </c>
      <c r="C2789" s="1">
        <v>45317</v>
      </c>
      <c r="D2789" s="1" t="str">
        <f>PROPER(orders[[#This Row],[order_priority]])</f>
        <v>Same Day</v>
      </c>
      <c r="E2789" t="s">
        <v>13321</v>
      </c>
      <c r="F2789" t="str">
        <f>IFERROR(INDEX(customers[country], MATCH(orders[[#This Row],[customer_id]], customers[customer_id], 0)), "Unmapped")</f>
        <v>Netherlands</v>
      </c>
      <c r="G2789" t="str">
        <f>IFERROR(INDEX(Region_Map[Region], MATCH(orders[[#This Row],[Customer_Country]], Region_Map[Country], 0)), "Unknown")</f>
        <v>Central Europe</v>
      </c>
      <c r="H2789" t="s">
        <v>6949</v>
      </c>
    </row>
    <row r="2790" spans="1:8">
      <c r="A2790" t="s">
        <v>3695</v>
      </c>
      <c r="B2790" t="s">
        <v>121</v>
      </c>
      <c r="C2790" s="1">
        <v>45460</v>
      </c>
      <c r="D2790" s="1" t="str">
        <f>PROPER(orders[[#This Row],[order_priority]])</f>
        <v>Express</v>
      </c>
      <c r="E2790" t="s">
        <v>13318</v>
      </c>
      <c r="F2790" t="str">
        <f>IFERROR(INDEX(customers[country], MATCH(orders[[#This Row],[customer_id]], customers[customer_id], 0)), "Unmapped")</f>
        <v>Estonia</v>
      </c>
      <c r="G2790" t="str">
        <f>IFERROR(INDEX(Region_Map[Region], MATCH(orders[[#This Row],[Customer_Country]], Region_Map[Country], 0)), "Unknown")</f>
        <v>Baltics</v>
      </c>
      <c r="H2790" t="s">
        <v>6949</v>
      </c>
    </row>
    <row r="2791" spans="1:8">
      <c r="A2791" t="s">
        <v>3696</v>
      </c>
      <c r="B2791" t="s">
        <v>882</v>
      </c>
      <c r="C2791" s="1">
        <v>45477</v>
      </c>
      <c r="D2791" s="1" t="str">
        <f>PROPER(orders[[#This Row],[order_priority]])</f>
        <v>Standard</v>
      </c>
      <c r="E2791" t="s">
        <v>13317</v>
      </c>
      <c r="F2791" t="str">
        <f>IFERROR(INDEX(customers[country], MATCH(orders[[#This Row],[customer_id]], customers[customer_id], 0)), "Unmapped")</f>
        <v>Netherlands</v>
      </c>
      <c r="G2791" t="str">
        <f>IFERROR(INDEX(Region_Map[Region], MATCH(orders[[#This Row],[Customer_Country]], Region_Map[Country], 0)), "Unknown")</f>
        <v>Central Europe</v>
      </c>
      <c r="H2791" t="s">
        <v>6949</v>
      </c>
    </row>
    <row r="2792" spans="1:8">
      <c r="A2792" t="s">
        <v>3697</v>
      </c>
      <c r="B2792" t="s">
        <v>398</v>
      </c>
      <c r="C2792" s="1">
        <v>45314</v>
      </c>
      <c r="D2792" s="1" t="str">
        <f>PROPER(orders[[#This Row],[order_priority]])</f>
        <v>Economy</v>
      </c>
      <c r="E2792" t="s">
        <v>13328</v>
      </c>
      <c r="F2792" t="str">
        <f>IFERROR(INDEX(customers[country], MATCH(orders[[#This Row],[customer_id]], customers[customer_id], 0)), "Unmapped")</f>
        <v>Sweden</v>
      </c>
      <c r="G2792" t="str">
        <f>IFERROR(INDEX(Region_Map[Region], MATCH(orders[[#This Row],[Customer_Country]], Region_Map[Country], 0)), "Unknown")</f>
        <v>Nordics</v>
      </c>
      <c r="H2792" t="s">
        <v>6949</v>
      </c>
    </row>
    <row r="2793" spans="1:8">
      <c r="A2793" t="s">
        <v>3698</v>
      </c>
      <c r="B2793" t="s">
        <v>181</v>
      </c>
      <c r="C2793" s="1">
        <v>45287</v>
      </c>
      <c r="D2793" s="1" t="str">
        <f>PROPER(orders[[#This Row],[order_priority]])</f>
        <v>Same Day</v>
      </c>
      <c r="E2793" t="s">
        <v>13322</v>
      </c>
      <c r="F2793" t="str">
        <f>IFERROR(INDEX(customers[country], MATCH(orders[[#This Row],[customer_id]], customers[customer_id], 0)), "Unmapped")</f>
        <v>Netherlands</v>
      </c>
      <c r="G2793" t="str">
        <f>IFERROR(INDEX(Region_Map[Region], MATCH(orders[[#This Row],[Customer_Country]], Region_Map[Country], 0)), "Unknown")</f>
        <v>Central Europe</v>
      </c>
      <c r="H2793" t="s">
        <v>6949</v>
      </c>
    </row>
    <row r="2794" spans="1:8">
      <c r="A2794" t="s">
        <v>3699</v>
      </c>
      <c r="B2794" t="s">
        <v>891</v>
      </c>
      <c r="C2794" s="1">
        <v>44974</v>
      </c>
      <c r="D2794" s="1" t="str">
        <f>PROPER(orders[[#This Row],[order_priority]])</f>
        <v>Same Day</v>
      </c>
      <c r="E2794" t="s">
        <v>13322</v>
      </c>
      <c r="F2794" t="str">
        <f>IFERROR(INDEX(customers[country], MATCH(orders[[#This Row],[customer_id]], customers[customer_id], 0)), "Unmapped")</f>
        <v>Netherlands</v>
      </c>
      <c r="G2794" t="str">
        <f>IFERROR(INDEX(Region_Map[Region], MATCH(orders[[#This Row],[Customer_Country]], Region_Map[Country], 0)), "Unknown")</f>
        <v>Central Europe</v>
      </c>
      <c r="H2794" t="s">
        <v>6949</v>
      </c>
    </row>
    <row r="2795" spans="1:8">
      <c r="A2795" t="s">
        <v>3700</v>
      </c>
      <c r="B2795" t="s">
        <v>297</v>
      </c>
      <c r="C2795" s="1">
        <v>45243</v>
      </c>
      <c r="D2795" s="1" t="str">
        <f>PROPER(orders[[#This Row],[order_priority]])</f>
        <v>Same Day</v>
      </c>
      <c r="E2795" t="s">
        <v>13324</v>
      </c>
      <c r="F2795" t="str">
        <f>IFERROR(INDEX(customers[country], MATCH(orders[[#This Row],[customer_id]], customers[customer_id], 0)), "Unmapped")</f>
        <v>Poland</v>
      </c>
      <c r="G2795" t="str">
        <f>IFERROR(INDEX(Region_Map[Region], MATCH(orders[[#This Row],[Customer_Country]], Region_Map[Country], 0)), "Unknown")</f>
        <v>Central Europe</v>
      </c>
      <c r="H2795" t="s">
        <v>6949</v>
      </c>
    </row>
    <row r="2796" spans="1:8">
      <c r="A2796" t="s">
        <v>3701</v>
      </c>
      <c r="B2796" t="s">
        <v>15</v>
      </c>
      <c r="C2796" s="1">
        <v>45391</v>
      </c>
      <c r="D2796" s="1" t="str">
        <f>PROPER(orders[[#This Row],[order_priority]])</f>
        <v>Economy</v>
      </c>
      <c r="E2796" t="s">
        <v>13316</v>
      </c>
      <c r="F2796" t="str">
        <f>IFERROR(INDEX(customers[country], MATCH(orders[[#This Row],[customer_id]], customers[customer_id], 0)), "Unmapped")</f>
        <v>Estonia</v>
      </c>
      <c r="G2796" t="str">
        <f>IFERROR(INDEX(Region_Map[Region], MATCH(orders[[#This Row],[Customer_Country]], Region_Map[Country], 0)), "Unknown")</f>
        <v>Baltics</v>
      </c>
      <c r="H2796" t="s">
        <v>6949</v>
      </c>
    </row>
    <row r="2797" spans="1:8">
      <c r="A2797" t="s">
        <v>3702</v>
      </c>
      <c r="B2797" t="s">
        <v>685</v>
      </c>
      <c r="C2797" s="1">
        <v>45156</v>
      </c>
      <c r="D2797" s="1" t="str">
        <f>PROPER(orders[[#This Row],[order_priority]])</f>
        <v>Economy</v>
      </c>
      <c r="E2797" t="s">
        <v>13316</v>
      </c>
      <c r="F2797" t="str">
        <f>IFERROR(INDEX(customers[country], MATCH(orders[[#This Row],[customer_id]], customers[customer_id], 0)), "Unmapped")</f>
        <v>Latvia</v>
      </c>
      <c r="G2797" t="str">
        <f>IFERROR(INDEX(Region_Map[Region], MATCH(orders[[#This Row],[Customer_Country]], Region_Map[Country], 0)), "Unknown")</f>
        <v>Baltics</v>
      </c>
      <c r="H2797" t="s">
        <v>6949</v>
      </c>
    </row>
    <row r="2798" spans="1:8">
      <c r="A2798" t="s">
        <v>3703</v>
      </c>
      <c r="B2798" t="s">
        <v>906</v>
      </c>
      <c r="C2798" s="1">
        <v>45454</v>
      </c>
      <c r="D2798" s="1" t="str">
        <f>PROPER(orders[[#This Row],[order_priority]])</f>
        <v>Standard</v>
      </c>
      <c r="E2798" t="s">
        <v>13317</v>
      </c>
      <c r="F2798" t="str">
        <f>IFERROR(INDEX(customers[country], MATCH(orders[[#This Row],[customer_id]], customers[customer_id], 0)), "Unmapped")</f>
        <v>Sweden</v>
      </c>
      <c r="G2798" t="str">
        <f>IFERROR(INDEX(Region_Map[Region], MATCH(orders[[#This Row],[Customer_Country]], Region_Map[Country], 0)), "Unknown")</f>
        <v>Nordics</v>
      </c>
      <c r="H2798" t="s">
        <v>6949</v>
      </c>
    </row>
    <row r="2799" spans="1:8">
      <c r="A2799" t="s">
        <v>3704</v>
      </c>
      <c r="B2799" t="s">
        <v>542</v>
      </c>
      <c r="C2799" s="1">
        <v>45374</v>
      </c>
      <c r="D2799" s="1" t="str">
        <f>PROPER(orders[[#This Row],[order_priority]])</f>
        <v>Economy</v>
      </c>
      <c r="E2799" t="s">
        <v>13316</v>
      </c>
      <c r="F2799" t="str">
        <f>IFERROR(INDEX(customers[country], MATCH(orders[[#This Row],[customer_id]], customers[customer_id], 0)), "Unmapped")</f>
        <v>Poland</v>
      </c>
      <c r="G2799" t="str">
        <f>IFERROR(INDEX(Region_Map[Region], MATCH(orders[[#This Row],[Customer_Country]], Region_Map[Country], 0)), "Unknown")</f>
        <v>Central Europe</v>
      </c>
      <c r="H2799" t="s">
        <v>6949</v>
      </c>
    </row>
    <row r="2800" spans="1:8">
      <c r="A2800" t="s">
        <v>3705</v>
      </c>
      <c r="B2800" t="s">
        <v>509</v>
      </c>
      <c r="C2800" s="1">
        <v>45136</v>
      </c>
      <c r="D2800" s="1" t="str">
        <f>PROPER(orders[[#This Row],[order_priority]])</f>
        <v>Express</v>
      </c>
      <c r="E2800" t="s">
        <v>13318</v>
      </c>
      <c r="F2800" t="str">
        <f>IFERROR(INDEX(customers[country], MATCH(orders[[#This Row],[customer_id]], customers[customer_id], 0)), "Unmapped")</f>
        <v>Sweden</v>
      </c>
      <c r="G2800" t="str">
        <f>IFERROR(INDEX(Region_Map[Region], MATCH(orders[[#This Row],[Customer_Country]], Region_Map[Country], 0)), "Unknown")</f>
        <v>Nordics</v>
      </c>
      <c r="H2800" t="s">
        <v>6949</v>
      </c>
    </row>
    <row r="2801" spans="1:8">
      <c r="A2801" t="s">
        <v>3706</v>
      </c>
      <c r="B2801" t="s">
        <v>470</v>
      </c>
      <c r="C2801" s="1">
        <v>45010</v>
      </c>
      <c r="D2801" s="1" t="str">
        <f>PROPER(orders[[#This Row],[order_priority]])</f>
        <v>Express</v>
      </c>
      <c r="E2801" t="s">
        <v>13318</v>
      </c>
      <c r="F2801" t="str">
        <f>IFERROR(INDEX(customers[country], MATCH(orders[[#This Row],[customer_id]], customers[customer_id], 0)), "Unmapped")</f>
        <v>Norway</v>
      </c>
      <c r="G2801" t="str">
        <f>IFERROR(INDEX(Region_Map[Region], MATCH(orders[[#This Row],[Customer_Country]], Region_Map[Country], 0)), "Unknown")</f>
        <v>Nordics</v>
      </c>
      <c r="H2801" t="s">
        <v>6949</v>
      </c>
    </row>
    <row r="2802" spans="1:8">
      <c r="A2802" t="s">
        <v>3707</v>
      </c>
      <c r="B2802" t="s">
        <v>48</v>
      </c>
      <c r="C2802" s="1">
        <v>45320</v>
      </c>
      <c r="D2802" s="1" t="str">
        <f>PROPER(orders[[#This Row],[order_priority]])</f>
        <v>Economy</v>
      </c>
      <c r="E2802" t="s">
        <v>13316</v>
      </c>
      <c r="F2802" t="str">
        <f>IFERROR(INDEX(customers[country], MATCH(orders[[#This Row],[customer_id]], customers[customer_id], 0)), "Unmapped")</f>
        <v>Poland</v>
      </c>
      <c r="G2802" t="str">
        <f>IFERROR(INDEX(Region_Map[Region], MATCH(orders[[#This Row],[Customer_Country]], Region_Map[Country], 0)), "Unknown")</f>
        <v>Central Europe</v>
      </c>
      <c r="H2802" t="s">
        <v>6949</v>
      </c>
    </row>
    <row r="2803" spans="1:8">
      <c r="A2803" t="s">
        <v>3708</v>
      </c>
      <c r="B2803" t="s">
        <v>383</v>
      </c>
      <c r="C2803" s="1">
        <v>45576</v>
      </c>
      <c r="D2803" s="1" t="str">
        <f>PROPER(orders[[#This Row],[order_priority]])</f>
        <v>Express</v>
      </c>
      <c r="E2803" t="s">
        <v>13318</v>
      </c>
      <c r="F2803" t="str">
        <f>IFERROR(INDEX(customers[country], MATCH(orders[[#This Row],[customer_id]], customers[customer_id], 0)), "Unmapped")</f>
        <v>Germany</v>
      </c>
      <c r="G2803" t="str">
        <f>IFERROR(INDEX(Region_Map[Region], MATCH(orders[[#This Row],[Customer_Country]], Region_Map[Country], 0)), "Unknown")</f>
        <v>Central Europe</v>
      </c>
      <c r="H2803" t="s">
        <v>6949</v>
      </c>
    </row>
    <row r="2804" spans="1:8">
      <c r="A2804" t="s">
        <v>3709</v>
      </c>
      <c r="B2804" t="s">
        <v>596</v>
      </c>
      <c r="C2804" s="1">
        <v>45556</v>
      </c>
      <c r="D2804" s="1" t="str">
        <f>PROPER(orders[[#This Row],[order_priority]])</f>
        <v>Standard</v>
      </c>
      <c r="E2804" t="s">
        <v>13317</v>
      </c>
      <c r="F2804" t="str">
        <f>IFERROR(INDEX(customers[country], MATCH(orders[[#This Row],[customer_id]], customers[customer_id], 0)), "Unmapped")</f>
        <v>Lithuania</v>
      </c>
      <c r="G2804" t="str">
        <f>IFERROR(INDEX(Region_Map[Region], MATCH(orders[[#This Row],[Customer_Country]], Region_Map[Country], 0)), "Unknown")</f>
        <v>Baltics</v>
      </c>
      <c r="H2804" t="s">
        <v>6949</v>
      </c>
    </row>
    <row r="2805" spans="1:8">
      <c r="A2805" t="s">
        <v>3710</v>
      </c>
      <c r="B2805" t="s">
        <v>121</v>
      </c>
      <c r="C2805" s="1">
        <v>45420</v>
      </c>
      <c r="D2805" s="1" t="str">
        <f>PROPER(orders[[#This Row],[order_priority]])</f>
        <v>Economy</v>
      </c>
      <c r="E2805" t="s">
        <v>13316</v>
      </c>
      <c r="F2805" t="str">
        <f>IFERROR(INDEX(customers[country], MATCH(orders[[#This Row],[customer_id]], customers[customer_id], 0)), "Unmapped")</f>
        <v>Estonia</v>
      </c>
      <c r="G2805" t="str">
        <f>IFERROR(INDEX(Region_Map[Region], MATCH(orders[[#This Row],[Customer_Country]], Region_Map[Country], 0)), "Unknown")</f>
        <v>Baltics</v>
      </c>
      <c r="H2805" t="s">
        <v>6949</v>
      </c>
    </row>
    <row r="2806" spans="1:8">
      <c r="A2806" t="s">
        <v>3711</v>
      </c>
      <c r="B2806" t="s">
        <v>673</v>
      </c>
      <c r="C2806" s="1">
        <v>45072</v>
      </c>
      <c r="D2806" s="1" t="str">
        <f>PROPER(orders[[#This Row],[order_priority]])</f>
        <v>Economy</v>
      </c>
      <c r="E2806" t="s">
        <v>13316</v>
      </c>
      <c r="F2806" t="str">
        <f>IFERROR(INDEX(customers[country], MATCH(orders[[#This Row],[customer_id]], customers[customer_id], 0)), "Unmapped")</f>
        <v>Sweden</v>
      </c>
      <c r="G2806" t="str">
        <f>IFERROR(INDEX(Region_Map[Region], MATCH(orders[[#This Row],[Customer_Country]], Region_Map[Country], 0)), "Unknown")</f>
        <v>Nordics</v>
      </c>
      <c r="H2806" t="s">
        <v>6949</v>
      </c>
    </row>
    <row r="2807" spans="1:8">
      <c r="A2807" t="s">
        <v>3712</v>
      </c>
      <c r="B2807" t="s">
        <v>476</v>
      </c>
      <c r="C2807" s="1">
        <v>44956</v>
      </c>
      <c r="D2807" s="1" t="str">
        <f>PROPER(orders[[#This Row],[order_priority]])</f>
        <v>Express</v>
      </c>
      <c r="E2807" t="s">
        <v>13318</v>
      </c>
      <c r="F2807" t="str">
        <f>IFERROR(INDEX(customers[country], MATCH(orders[[#This Row],[customer_id]], customers[customer_id], 0)), "Unmapped")</f>
        <v>Norway</v>
      </c>
      <c r="G2807" t="str">
        <f>IFERROR(INDEX(Region_Map[Region], MATCH(orders[[#This Row],[Customer_Country]], Region_Map[Country], 0)), "Unknown")</f>
        <v>Nordics</v>
      </c>
      <c r="H2807" t="s">
        <v>6949</v>
      </c>
    </row>
    <row r="2808" spans="1:8">
      <c r="A2808" t="s">
        <v>3713</v>
      </c>
      <c r="B2808" t="s">
        <v>822</v>
      </c>
      <c r="C2808" s="1">
        <v>44974</v>
      </c>
      <c r="D2808" s="1" t="str">
        <f>PROPER(orders[[#This Row],[order_priority]])</f>
        <v>Express</v>
      </c>
      <c r="E2808" t="s">
        <v>13318</v>
      </c>
      <c r="F2808" t="str">
        <f>IFERROR(INDEX(customers[country], MATCH(orders[[#This Row],[customer_id]], customers[customer_id], 0)), "Unmapped")</f>
        <v>Netherlands</v>
      </c>
      <c r="G2808" t="str">
        <f>IFERROR(INDEX(Region_Map[Region], MATCH(orders[[#This Row],[Customer_Country]], Region_Map[Country], 0)), "Unknown")</f>
        <v>Central Europe</v>
      </c>
      <c r="H2808" t="s">
        <v>6949</v>
      </c>
    </row>
    <row r="2809" spans="1:8">
      <c r="A2809" t="s">
        <v>3714</v>
      </c>
      <c r="B2809" t="s">
        <v>332</v>
      </c>
      <c r="C2809" s="1">
        <v>44937</v>
      </c>
      <c r="D2809" s="1" t="str">
        <f>PROPER(orders[[#This Row],[order_priority]])</f>
        <v>Express</v>
      </c>
      <c r="E2809" t="s">
        <v>13318</v>
      </c>
      <c r="F2809" t="str">
        <f>IFERROR(INDEX(customers[country], MATCH(orders[[#This Row],[customer_id]], customers[customer_id], 0)), "Unmapped")</f>
        <v>Lithuania</v>
      </c>
      <c r="G2809" t="str">
        <f>IFERROR(INDEX(Region_Map[Region], MATCH(orders[[#This Row],[Customer_Country]], Region_Map[Country], 0)), "Unknown")</f>
        <v>Baltics</v>
      </c>
      <c r="H2809" t="s">
        <v>6949</v>
      </c>
    </row>
    <row r="2810" spans="1:8">
      <c r="A2810" t="s">
        <v>3715</v>
      </c>
      <c r="B2810" t="s">
        <v>142</v>
      </c>
      <c r="C2810" s="1">
        <v>44959</v>
      </c>
      <c r="D2810" s="1" t="str">
        <f>PROPER(orders[[#This Row],[order_priority]])</f>
        <v>Same Day</v>
      </c>
      <c r="E2810" t="s">
        <v>13322</v>
      </c>
      <c r="F2810" t="str">
        <f>IFERROR(INDEX(customers[country], MATCH(orders[[#This Row],[customer_id]], customers[customer_id], 0)), "Unmapped")</f>
        <v>Estonia</v>
      </c>
      <c r="G2810" t="str">
        <f>IFERROR(INDEX(Region_Map[Region], MATCH(orders[[#This Row],[Customer_Country]], Region_Map[Country], 0)), "Unknown")</f>
        <v>Baltics</v>
      </c>
      <c r="H2810" t="s">
        <v>6949</v>
      </c>
    </row>
    <row r="2811" spans="1:8">
      <c r="A2811" t="s">
        <v>3716</v>
      </c>
      <c r="B2811" t="s">
        <v>219</v>
      </c>
      <c r="C2811" s="1">
        <v>45383</v>
      </c>
      <c r="D2811" s="1" t="str">
        <f>PROPER(orders[[#This Row],[order_priority]])</f>
        <v>Express</v>
      </c>
      <c r="E2811" t="s">
        <v>13326</v>
      </c>
      <c r="F2811" t="str">
        <f>IFERROR(INDEX(customers[country], MATCH(orders[[#This Row],[customer_id]], customers[customer_id], 0)), "Unmapped")</f>
        <v>Latvia</v>
      </c>
      <c r="G2811" t="str">
        <f>IFERROR(INDEX(Region_Map[Region], MATCH(orders[[#This Row],[Customer_Country]], Region_Map[Country], 0)), "Unknown")</f>
        <v>Baltics</v>
      </c>
      <c r="H2811" t="s">
        <v>6949</v>
      </c>
    </row>
    <row r="2812" spans="1:8">
      <c r="A2812" t="s">
        <v>3717</v>
      </c>
      <c r="B2812" t="s">
        <v>605</v>
      </c>
      <c r="C2812" s="1">
        <v>45020</v>
      </c>
      <c r="D2812" s="1" t="str">
        <f>PROPER(orders[[#This Row],[order_priority]])</f>
        <v>Same Day</v>
      </c>
      <c r="E2812" t="s">
        <v>13322</v>
      </c>
      <c r="F2812" t="str">
        <f>IFERROR(INDEX(customers[country], MATCH(orders[[#This Row],[customer_id]], customers[customer_id], 0)), "Unmapped")</f>
        <v>Lithuania</v>
      </c>
      <c r="G2812" t="str">
        <f>IFERROR(INDEX(Region_Map[Region], MATCH(orders[[#This Row],[Customer_Country]], Region_Map[Country], 0)), "Unknown")</f>
        <v>Baltics</v>
      </c>
      <c r="H2812" t="s">
        <v>6949</v>
      </c>
    </row>
    <row r="2813" spans="1:8">
      <c r="A2813" t="s">
        <v>3718</v>
      </c>
      <c r="B2813" t="s">
        <v>605</v>
      </c>
      <c r="C2813" s="1">
        <v>45336</v>
      </c>
      <c r="D2813" s="1" t="str">
        <f>PROPER(orders[[#This Row],[order_priority]])</f>
        <v>Express</v>
      </c>
      <c r="E2813" t="s">
        <v>13326</v>
      </c>
      <c r="F2813" t="str">
        <f>IFERROR(INDEX(customers[country], MATCH(orders[[#This Row],[customer_id]], customers[customer_id], 0)), "Unmapped")</f>
        <v>Lithuania</v>
      </c>
      <c r="G2813" t="str">
        <f>IFERROR(INDEX(Region_Map[Region], MATCH(orders[[#This Row],[Customer_Country]], Region_Map[Country], 0)), "Unknown")</f>
        <v>Baltics</v>
      </c>
      <c r="H2813" t="s">
        <v>6949</v>
      </c>
    </row>
    <row r="2814" spans="1:8">
      <c r="A2814" t="s">
        <v>3719</v>
      </c>
      <c r="B2814" t="s">
        <v>163</v>
      </c>
      <c r="C2814" s="1">
        <v>45428</v>
      </c>
      <c r="D2814" s="1" t="str">
        <f>PROPER(orders[[#This Row],[order_priority]])</f>
        <v>Standard</v>
      </c>
      <c r="E2814" t="s">
        <v>13323</v>
      </c>
      <c r="F2814" t="str">
        <f>IFERROR(INDEX(customers[country], MATCH(orders[[#This Row],[customer_id]], customers[customer_id], 0)), "Unmapped")</f>
        <v>Germany</v>
      </c>
      <c r="G2814" t="str">
        <f>IFERROR(INDEX(Region_Map[Region], MATCH(orders[[#This Row],[Customer_Country]], Region_Map[Country], 0)), "Unknown")</f>
        <v>Central Europe</v>
      </c>
      <c r="H2814" t="s">
        <v>6949</v>
      </c>
    </row>
    <row r="2815" spans="1:8">
      <c r="A2815" t="s">
        <v>3720</v>
      </c>
      <c r="B2815" t="s">
        <v>237</v>
      </c>
      <c r="C2815" s="1">
        <v>45229</v>
      </c>
      <c r="D2815" s="1" t="str">
        <f>PROPER(orders[[#This Row],[order_priority]])</f>
        <v>Same Day</v>
      </c>
      <c r="E2815" t="s">
        <v>13322</v>
      </c>
      <c r="F2815" t="str">
        <f>IFERROR(INDEX(customers[country], MATCH(orders[[#This Row],[customer_id]], customers[customer_id], 0)), "Unmapped")</f>
        <v>Sweden</v>
      </c>
      <c r="G2815" t="str">
        <f>IFERROR(INDEX(Region_Map[Region], MATCH(orders[[#This Row],[Customer_Country]], Region_Map[Country], 0)), "Unknown")</f>
        <v>Nordics</v>
      </c>
      <c r="H2815" t="s">
        <v>6949</v>
      </c>
    </row>
    <row r="2816" spans="1:8">
      <c r="A2816" t="s">
        <v>3721</v>
      </c>
      <c r="B2816" t="s">
        <v>458</v>
      </c>
      <c r="C2816" s="1">
        <v>45132</v>
      </c>
      <c r="D2816" s="1" t="str">
        <f>PROPER(orders[[#This Row],[order_priority]])</f>
        <v>Economy</v>
      </c>
      <c r="E2816" t="s">
        <v>13316</v>
      </c>
      <c r="F2816" t="str">
        <f>IFERROR(INDEX(customers[country], MATCH(orders[[#This Row],[customer_id]], customers[customer_id], 0)), "Unmapped")</f>
        <v>Poland</v>
      </c>
      <c r="G2816" t="str">
        <f>IFERROR(INDEX(Region_Map[Region], MATCH(orders[[#This Row],[Customer_Country]], Region_Map[Country], 0)), "Unknown")</f>
        <v>Central Europe</v>
      </c>
      <c r="H2816" t="s">
        <v>6949</v>
      </c>
    </row>
    <row r="2817" spans="1:8">
      <c r="A2817" t="s">
        <v>3722</v>
      </c>
      <c r="B2817" t="s">
        <v>276</v>
      </c>
      <c r="C2817" s="1">
        <v>45481</v>
      </c>
      <c r="D2817" s="1" t="str">
        <f>PROPER(orders[[#This Row],[order_priority]])</f>
        <v>Same Day</v>
      </c>
      <c r="E2817" t="s">
        <v>13322</v>
      </c>
      <c r="F2817" t="str">
        <f>IFERROR(INDEX(customers[country], MATCH(orders[[#This Row],[customer_id]], customers[customer_id], 0)), "Unmapped")</f>
        <v>Sweden</v>
      </c>
      <c r="G2817" t="str">
        <f>IFERROR(INDEX(Region_Map[Region], MATCH(orders[[#This Row],[Customer_Country]], Region_Map[Country], 0)), "Unknown")</f>
        <v>Nordics</v>
      </c>
      <c r="H2817" t="s">
        <v>6949</v>
      </c>
    </row>
    <row r="2818" spans="1:8">
      <c r="A2818" t="s">
        <v>3723</v>
      </c>
      <c r="B2818" t="s">
        <v>539</v>
      </c>
      <c r="C2818" s="1">
        <v>45503</v>
      </c>
      <c r="D2818" s="1" t="str">
        <f>PROPER(orders[[#This Row],[order_priority]])</f>
        <v>Same Day</v>
      </c>
      <c r="E2818" t="s">
        <v>13322</v>
      </c>
      <c r="F2818" t="str">
        <f>IFERROR(INDEX(customers[country], MATCH(orders[[#This Row],[customer_id]], customers[customer_id], 0)), "Unmapped")</f>
        <v>Sweden</v>
      </c>
      <c r="G2818" t="str">
        <f>IFERROR(INDEX(Region_Map[Region], MATCH(orders[[#This Row],[Customer_Country]], Region_Map[Country], 0)), "Unknown")</f>
        <v>Nordics</v>
      </c>
      <c r="H2818" t="s">
        <v>6949</v>
      </c>
    </row>
    <row r="2819" spans="1:8">
      <c r="A2819" t="s">
        <v>3724</v>
      </c>
      <c r="B2819" t="s">
        <v>181</v>
      </c>
      <c r="C2819" s="1">
        <v>44947</v>
      </c>
      <c r="D2819" s="1" t="str">
        <f>PROPER(orders[[#This Row],[order_priority]])</f>
        <v>Express</v>
      </c>
      <c r="E2819" t="s">
        <v>13318</v>
      </c>
      <c r="F2819" t="str">
        <f>IFERROR(INDEX(customers[country], MATCH(orders[[#This Row],[customer_id]], customers[customer_id], 0)), "Unmapped")</f>
        <v>Netherlands</v>
      </c>
      <c r="G2819" t="str">
        <f>IFERROR(INDEX(Region_Map[Region], MATCH(orders[[#This Row],[Customer_Country]], Region_Map[Country], 0)), "Unknown")</f>
        <v>Central Europe</v>
      </c>
      <c r="H2819" t="s">
        <v>6949</v>
      </c>
    </row>
    <row r="2820" spans="1:8">
      <c r="A2820" t="s">
        <v>3725</v>
      </c>
      <c r="B2820" t="s">
        <v>470</v>
      </c>
      <c r="C2820" s="1">
        <v>45590</v>
      </c>
      <c r="D2820" s="1" t="str">
        <f>PROPER(orders[[#This Row],[order_priority]])</f>
        <v>Express</v>
      </c>
      <c r="E2820" t="s">
        <v>13318</v>
      </c>
      <c r="F2820" t="str">
        <f>IFERROR(INDEX(customers[country], MATCH(orders[[#This Row],[customer_id]], customers[customer_id], 0)), "Unmapped")</f>
        <v>Norway</v>
      </c>
      <c r="G2820" t="str">
        <f>IFERROR(INDEX(Region_Map[Region], MATCH(orders[[#This Row],[Customer_Country]], Region_Map[Country], 0)), "Unknown")</f>
        <v>Nordics</v>
      </c>
      <c r="H2820" t="s">
        <v>6949</v>
      </c>
    </row>
    <row r="2821" spans="1:8">
      <c r="A2821" t="s">
        <v>3726</v>
      </c>
      <c r="B2821" t="s">
        <v>482</v>
      </c>
      <c r="C2821" s="1">
        <v>45026</v>
      </c>
      <c r="D2821" s="1" t="str">
        <f>PROPER(orders[[#This Row],[order_priority]])</f>
        <v>Same Day</v>
      </c>
      <c r="E2821" t="s">
        <v>13324</v>
      </c>
      <c r="F2821" t="str">
        <f>IFERROR(INDEX(customers[country], MATCH(orders[[#This Row],[customer_id]], customers[customer_id], 0)), "Unmapped")</f>
        <v>Finland</v>
      </c>
      <c r="G2821" t="str">
        <f>IFERROR(INDEX(Region_Map[Region], MATCH(orders[[#This Row],[Customer_Country]], Region_Map[Country], 0)), "Unknown")</f>
        <v>Nordics</v>
      </c>
      <c r="H2821" t="s">
        <v>6949</v>
      </c>
    </row>
    <row r="2822" spans="1:8">
      <c r="A2822" t="s">
        <v>3727</v>
      </c>
      <c r="B2822" t="s">
        <v>38</v>
      </c>
      <c r="C2822" s="1">
        <v>45456</v>
      </c>
      <c r="D2822" s="1" t="str">
        <f>PROPER(orders[[#This Row],[order_priority]])</f>
        <v>Standard</v>
      </c>
      <c r="E2822" t="s">
        <v>13317</v>
      </c>
      <c r="F2822" t="str">
        <f>IFERROR(INDEX(customers[country], MATCH(orders[[#This Row],[customer_id]], customers[customer_id], 0)), "Unmapped")</f>
        <v>Lithuania</v>
      </c>
      <c r="G2822" t="str">
        <f>IFERROR(INDEX(Region_Map[Region], MATCH(orders[[#This Row],[Customer_Country]], Region_Map[Country], 0)), "Unknown")</f>
        <v>Baltics</v>
      </c>
      <c r="H2822" t="s">
        <v>6949</v>
      </c>
    </row>
    <row r="2823" spans="1:8">
      <c r="A2823" t="s">
        <v>3728</v>
      </c>
      <c r="B2823" t="s">
        <v>697</v>
      </c>
      <c r="C2823" s="1">
        <v>44939</v>
      </c>
      <c r="D2823" s="1" t="str">
        <f>PROPER(orders[[#This Row],[order_priority]])</f>
        <v>Express</v>
      </c>
      <c r="E2823" t="s">
        <v>13318</v>
      </c>
      <c r="F2823" t="str">
        <f>IFERROR(INDEX(customers[country], MATCH(orders[[#This Row],[customer_id]], customers[customer_id], 0)), "Unmapped")</f>
        <v>Estonia</v>
      </c>
      <c r="G2823" t="str">
        <f>IFERROR(INDEX(Region_Map[Region], MATCH(orders[[#This Row],[Customer_Country]], Region_Map[Country], 0)), "Unknown")</f>
        <v>Baltics</v>
      </c>
      <c r="H2823" t="s">
        <v>6949</v>
      </c>
    </row>
    <row r="2824" spans="1:8">
      <c r="A2824" t="s">
        <v>3729</v>
      </c>
      <c r="B2824" t="s">
        <v>647</v>
      </c>
      <c r="C2824" s="1">
        <v>45235</v>
      </c>
      <c r="D2824" s="1" t="str">
        <f>PROPER(orders[[#This Row],[order_priority]])</f>
        <v>Same Day</v>
      </c>
      <c r="E2824" t="s">
        <v>13322</v>
      </c>
      <c r="F2824" t="str">
        <f>IFERROR(INDEX(customers[country], MATCH(orders[[#This Row],[customer_id]], customers[customer_id], 0)), "Unmapped")</f>
        <v>Netherlands</v>
      </c>
      <c r="G2824" t="str">
        <f>IFERROR(INDEX(Region_Map[Region], MATCH(orders[[#This Row],[Customer_Country]], Region_Map[Country], 0)), "Unknown")</f>
        <v>Central Europe</v>
      </c>
      <c r="H2824" t="s">
        <v>6949</v>
      </c>
    </row>
    <row r="2825" spans="1:8">
      <c r="A2825" t="s">
        <v>3730</v>
      </c>
      <c r="B2825" t="s">
        <v>73</v>
      </c>
      <c r="C2825" s="1">
        <v>45489</v>
      </c>
      <c r="D2825" s="1" t="str">
        <f>PROPER(orders[[#This Row],[order_priority]])</f>
        <v>Express</v>
      </c>
      <c r="E2825" t="s">
        <v>13318</v>
      </c>
      <c r="F2825" t="str">
        <f>IFERROR(INDEX(customers[country], MATCH(orders[[#This Row],[customer_id]], customers[customer_id], 0)), "Unmapped")</f>
        <v>Norway</v>
      </c>
      <c r="G2825" t="str">
        <f>IFERROR(INDEX(Region_Map[Region], MATCH(orders[[#This Row],[Customer_Country]], Region_Map[Country], 0)), "Unknown")</f>
        <v>Nordics</v>
      </c>
      <c r="H2825" t="s">
        <v>6949</v>
      </c>
    </row>
    <row r="2826" spans="1:8">
      <c r="A2826" t="s">
        <v>3731</v>
      </c>
      <c r="B2826" t="s">
        <v>673</v>
      </c>
      <c r="C2826" s="1">
        <v>45265</v>
      </c>
      <c r="D2826" s="1" t="str">
        <f>PROPER(orders[[#This Row],[order_priority]])</f>
        <v>Express</v>
      </c>
      <c r="E2826" t="s">
        <v>13318</v>
      </c>
      <c r="F2826" t="str">
        <f>IFERROR(INDEX(customers[country], MATCH(orders[[#This Row],[customer_id]], customers[customer_id], 0)), "Unmapped")</f>
        <v>Sweden</v>
      </c>
      <c r="G2826" t="str">
        <f>IFERROR(INDEX(Region_Map[Region], MATCH(orders[[#This Row],[Customer_Country]], Region_Map[Country], 0)), "Unknown")</f>
        <v>Nordics</v>
      </c>
      <c r="H2826" t="s">
        <v>6949</v>
      </c>
    </row>
    <row r="2827" spans="1:8">
      <c r="A2827" t="s">
        <v>3732</v>
      </c>
      <c r="B2827" t="s">
        <v>425</v>
      </c>
      <c r="C2827" s="1">
        <v>45156</v>
      </c>
      <c r="D2827" s="1" t="str">
        <f>PROPER(orders[[#This Row],[order_priority]])</f>
        <v>Economy</v>
      </c>
      <c r="E2827" t="s">
        <v>13316</v>
      </c>
      <c r="F2827" t="str">
        <f>IFERROR(INDEX(customers[country], MATCH(orders[[#This Row],[customer_id]], customers[customer_id], 0)), "Unmapped")</f>
        <v>Denmark</v>
      </c>
      <c r="G2827" t="str">
        <f>IFERROR(INDEX(Region_Map[Region], MATCH(orders[[#This Row],[Customer_Country]], Region_Map[Country], 0)), "Unknown")</f>
        <v>Nordics</v>
      </c>
      <c r="H2827" t="s">
        <v>6949</v>
      </c>
    </row>
    <row r="2828" spans="1:8">
      <c r="A2828" t="s">
        <v>3733</v>
      </c>
      <c r="B2828" t="s">
        <v>763</v>
      </c>
      <c r="C2828" s="1">
        <v>45557</v>
      </c>
      <c r="D2828" s="1" t="str">
        <f>PROPER(orders[[#This Row],[order_priority]])</f>
        <v>Express</v>
      </c>
      <c r="E2828" t="s">
        <v>13318</v>
      </c>
      <c r="F2828" t="str">
        <f>IFERROR(INDEX(customers[country], MATCH(orders[[#This Row],[customer_id]], customers[customer_id], 0)), "Unmapped")</f>
        <v>Estonia</v>
      </c>
      <c r="G2828" t="str">
        <f>IFERROR(INDEX(Region_Map[Region], MATCH(orders[[#This Row],[Customer_Country]], Region_Map[Country], 0)), "Unknown")</f>
        <v>Baltics</v>
      </c>
      <c r="H2828" t="s">
        <v>6949</v>
      </c>
    </row>
    <row r="2829" spans="1:8">
      <c r="A2829" t="s">
        <v>3734</v>
      </c>
      <c r="B2829" t="s">
        <v>661</v>
      </c>
      <c r="C2829" s="1">
        <v>45222</v>
      </c>
      <c r="D2829" s="1" t="str">
        <f>PROPER(orders[[#This Row],[order_priority]])</f>
        <v>Economy</v>
      </c>
      <c r="E2829" t="s">
        <v>13325</v>
      </c>
      <c r="F2829" t="str">
        <f>IFERROR(INDEX(customers[country], MATCH(orders[[#This Row],[customer_id]], customers[customer_id], 0)), "Unmapped")</f>
        <v>Lithuania</v>
      </c>
      <c r="G2829" t="str">
        <f>IFERROR(INDEX(Region_Map[Region], MATCH(orders[[#This Row],[Customer_Country]], Region_Map[Country], 0)), "Unknown")</f>
        <v>Baltics</v>
      </c>
      <c r="H2829" t="s">
        <v>6949</v>
      </c>
    </row>
    <row r="2830" spans="1:8">
      <c r="A2830" t="s">
        <v>3735</v>
      </c>
      <c r="B2830" t="s">
        <v>590</v>
      </c>
      <c r="C2830" s="1">
        <v>45215</v>
      </c>
      <c r="D2830" s="1" t="str">
        <f>PROPER(orders[[#This Row],[order_priority]])</f>
        <v>Economy</v>
      </c>
      <c r="E2830" t="s">
        <v>13316</v>
      </c>
      <c r="F2830" t="str">
        <f>IFERROR(INDEX(customers[country], MATCH(orders[[#This Row],[customer_id]], customers[customer_id], 0)), "Unmapped")</f>
        <v>Finland</v>
      </c>
      <c r="G2830" t="str">
        <f>IFERROR(INDEX(Region_Map[Region], MATCH(orders[[#This Row],[Customer_Country]], Region_Map[Country], 0)), "Unknown")</f>
        <v>Nordics</v>
      </c>
      <c r="H2830" t="s">
        <v>6949</v>
      </c>
    </row>
    <row r="2831" spans="1:8">
      <c r="A2831" t="s">
        <v>3736</v>
      </c>
      <c r="B2831" t="s">
        <v>401</v>
      </c>
      <c r="C2831" s="1">
        <v>45313</v>
      </c>
      <c r="D2831" s="1" t="str">
        <f>PROPER(orders[[#This Row],[order_priority]])</f>
        <v>Same Day</v>
      </c>
      <c r="E2831" t="s">
        <v>13322</v>
      </c>
      <c r="F2831" t="str">
        <f>IFERROR(INDEX(customers[country], MATCH(orders[[#This Row],[customer_id]], customers[customer_id], 0)), "Unmapped")</f>
        <v>Latvia</v>
      </c>
      <c r="G2831" t="str">
        <f>IFERROR(INDEX(Region_Map[Region], MATCH(orders[[#This Row],[Customer_Country]], Region_Map[Country], 0)), "Unknown")</f>
        <v>Baltics</v>
      </c>
      <c r="H2831" t="s">
        <v>6949</v>
      </c>
    </row>
    <row r="2832" spans="1:8">
      <c r="A2832" t="s">
        <v>3737</v>
      </c>
      <c r="B2832" t="s">
        <v>55</v>
      </c>
      <c r="C2832" s="1">
        <v>45275</v>
      </c>
      <c r="D2832" s="1" t="str">
        <f>PROPER(orders[[#This Row],[order_priority]])</f>
        <v>Standard</v>
      </c>
      <c r="E2832" t="s">
        <v>13317</v>
      </c>
      <c r="F2832" t="str">
        <f>IFERROR(INDEX(customers[country], MATCH(orders[[#This Row],[customer_id]], customers[customer_id], 0)), "Unmapped")</f>
        <v>Netherlands</v>
      </c>
      <c r="G2832" t="str">
        <f>IFERROR(INDEX(Region_Map[Region], MATCH(orders[[#This Row],[Customer_Country]], Region_Map[Country], 0)), "Unknown")</f>
        <v>Central Europe</v>
      </c>
      <c r="H2832" t="s">
        <v>6949</v>
      </c>
    </row>
    <row r="2833" spans="1:8">
      <c r="A2833" t="s">
        <v>3738</v>
      </c>
      <c r="B2833" t="s">
        <v>816</v>
      </c>
      <c r="C2833" s="1">
        <v>45396</v>
      </c>
      <c r="D2833" s="1" t="str">
        <f>PROPER(orders[[#This Row],[order_priority]])</f>
        <v>Same Day</v>
      </c>
      <c r="E2833" t="s">
        <v>13322</v>
      </c>
      <c r="F2833" t="str">
        <f>IFERROR(INDEX(customers[country], MATCH(orders[[#This Row],[customer_id]], customers[customer_id], 0)), "Unmapped")</f>
        <v>Lithuania</v>
      </c>
      <c r="G2833" t="str">
        <f>IFERROR(INDEX(Region_Map[Region], MATCH(orders[[#This Row],[Customer_Country]], Region_Map[Country], 0)), "Unknown")</f>
        <v>Baltics</v>
      </c>
      <c r="H2833" t="s">
        <v>6949</v>
      </c>
    </row>
    <row r="2834" spans="1:8">
      <c r="A2834" t="s">
        <v>3739</v>
      </c>
      <c r="B2834" t="s">
        <v>422</v>
      </c>
      <c r="C2834" s="1">
        <v>44945</v>
      </c>
      <c r="D2834" s="1" t="str">
        <f>PROPER(orders[[#This Row],[order_priority]])</f>
        <v>Standard</v>
      </c>
      <c r="E2834" t="s">
        <v>13317</v>
      </c>
      <c r="F2834" t="str">
        <f>IFERROR(INDEX(customers[country], MATCH(orders[[#This Row],[customer_id]], customers[customer_id], 0)), "Unmapped")</f>
        <v>Germany</v>
      </c>
      <c r="G2834" t="str">
        <f>IFERROR(INDEX(Region_Map[Region], MATCH(orders[[#This Row],[Customer_Country]], Region_Map[Country], 0)), "Unknown")</f>
        <v>Central Europe</v>
      </c>
      <c r="H2834" t="s">
        <v>6949</v>
      </c>
    </row>
    <row r="2835" spans="1:8">
      <c r="A2835" t="s">
        <v>3740</v>
      </c>
      <c r="B2835" t="s">
        <v>99</v>
      </c>
      <c r="C2835" s="1">
        <v>45112</v>
      </c>
      <c r="D2835" s="1" t="str">
        <f>PROPER(orders[[#This Row],[order_priority]])</f>
        <v>Standard</v>
      </c>
      <c r="E2835" t="s">
        <v>13317</v>
      </c>
      <c r="F2835" t="str">
        <f>IFERROR(INDEX(customers[country], MATCH(orders[[#This Row],[customer_id]], customers[customer_id], 0)), "Unmapped")</f>
        <v>Poland</v>
      </c>
      <c r="G2835" t="str">
        <f>IFERROR(INDEX(Region_Map[Region], MATCH(orders[[#This Row],[Customer_Country]], Region_Map[Country], 0)), "Unknown")</f>
        <v>Central Europe</v>
      </c>
      <c r="H2835" t="s">
        <v>6949</v>
      </c>
    </row>
    <row r="2836" spans="1:8">
      <c r="A2836" t="s">
        <v>3741</v>
      </c>
      <c r="B2836" t="s">
        <v>769</v>
      </c>
      <c r="C2836" s="1">
        <v>45610</v>
      </c>
      <c r="D2836" s="1" t="str">
        <f>PROPER(orders[[#This Row],[order_priority]])</f>
        <v>Economy</v>
      </c>
      <c r="E2836" t="s">
        <v>13316</v>
      </c>
      <c r="F2836" t="str">
        <f>IFERROR(INDEX(customers[country], MATCH(orders[[#This Row],[customer_id]], customers[customer_id], 0)), "Unmapped")</f>
        <v>Latvia</v>
      </c>
      <c r="G2836" t="str">
        <f>IFERROR(INDEX(Region_Map[Region], MATCH(orders[[#This Row],[Customer_Country]], Region_Map[Country], 0)), "Unknown")</f>
        <v>Baltics</v>
      </c>
      <c r="H2836" t="s">
        <v>6949</v>
      </c>
    </row>
    <row r="2837" spans="1:8">
      <c r="A2837" t="s">
        <v>3742</v>
      </c>
      <c r="B2837" t="s">
        <v>467</v>
      </c>
      <c r="C2837" s="1">
        <v>45417</v>
      </c>
      <c r="D2837" s="1" t="str">
        <f>PROPER(orders[[#This Row],[order_priority]])</f>
        <v>Express</v>
      </c>
      <c r="E2837" t="s">
        <v>13318</v>
      </c>
      <c r="F2837" t="str">
        <f>IFERROR(INDEX(customers[country], MATCH(orders[[#This Row],[customer_id]], customers[customer_id], 0)), "Unmapped")</f>
        <v>Latvia</v>
      </c>
      <c r="G2837" t="str">
        <f>IFERROR(INDEX(Region_Map[Region], MATCH(orders[[#This Row],[Customer_Country]], Region_Map[Country], 0)), "Unknown")</f>
        <v>Baltics</v>
      </c>
      <c r="H2837" t="s">
        <v>6949</v>
      </c>
    </row>
    <row r="2838" spans="1:8">
      <c r="A2838" t="s">
        <v>3743</v>
      </c>
      <c r="B2838" t="s">
        <v>77</v>
      </c>
      <c r="C2838" s="1">
        <v>44942</v>
      </c>
      <c r="D2838" s="1" t="str">
        <f>PROPER(orders[[#This Row],[order_priority]])</f>
        <v>Same Day</v>
      </c>
      <c r="E2838" t="s">
        <v>13321</v>
      </c>
      <c r="F2838" t="str">
        <f>IFERROR(INDEX(customers[country], MATCH(orders[[#This Row],[customer_id]], customers[customer_id], 0)), "Unmapped")</f>
        <v>Lithuania</v>
      </c>
      <c r="G2838" t="str">
        <f>IFERROR(INDEX(Region_Map[Region], MATCH(orders[[#This Row],[Customer_Country]], Region_Map[Country], 0)), "Unknown")</f>
        <v>Baltics</v>
      </c>
      <c r="H2838" t="s">
        <v>6949</v>
      </c>
    </row>
    <row r="2839" spans="1:8">
      <c r="A2839" t="s">
        <v>3744</v>
      </c>
      <c r="B2839" t="s">
        <v>198</v>
      </c>
      <c r="C2839" s="1">
        <v>45572</v>
      </c>
      <c r="D2839" s="1" t="str">
        <f>PROPER(orders[[#This Row],[order_priority]])</f>
        <v>Economy</v>
      </c>
      <c r="E2839" t="s">
        <v>13316</v>
      </c>
      <c r="F2839" t="str">
        <f>IFERROR(INDEX(customers[country], MATCH(orders[[#This Row],[customer_id]], customers[customer_id], 0)), "Unmapped")</f>
        <v>Poland</v>
      </c>
      <c r="G2839" t="str">
        <f>IFERROR(INDEX(Region_Map[Region], MATCH(orders[[#This Row],[Customer_Country]], Region_Map[Country], 0)), "Unknown")</f>
        <v>Central Europe</v>
      </c>
      <c r="H2839" t="s">
        <v>6949</v>
      </c>
    </row>
    <row r="2840" spans="1:8">
      <c r="A2840" t="s">
        <v>3745</v>
      </c>
      <c r="B2840" t="s">
        <v>34</v>
      </c>
      <c r="C2840" s="1">
        <v>45560</v>
      </c>
      <c r="D2840" s="1" t="str">
        <f>PROPER(orders[[#This Row],[order_priority]])</f>
        <v>Same Day</v>
      </c>
      <c r="E2840" t="s">
        <v>13322</v>
      </c>
      <c r="F2840" t="str">
        <f>IFERROR(INDEX(customers[country], MATCH(orders[[#This Row],[customer_id]], customers[customer_id], 0)), "Unmapped")</f>
        <v>Sweden</v>
      </c>
      <c r="G2840" t="str">
        <f>IFERROR(INDEX(Region_Map[Region], MATCH(orders[[#This Row],[Customer_Country]], Region_Map[Country], 0)), "Unknown")</f>
        <v>Nordics</v>
      </c>
      <c r="H2840" t="s">
        <v>6949</v>
      </c>
    </row>
    <row r="2841" spans="1:8">
      <c r="A2841" t="s">
        <v>3746</v>
      </c>
      <c r="B2841" t="s">
        <v>735</v>
      </c>
      <c r="C2841" s="1">
        <v>45595</v>
      </c>
      <c r="D2841" s="1" t="str">
        <f>PROPER(orders[[#This Row],[order_priority]])</f>
        <v>Same Day</v>
      </c>
      <c r="E2841" t="s">
        <v>13322</v>
      </c>
      <c r="F2841" t="str">
        <f>IFERROR(INDEX(customers[country], MATCH(orders[[#This Row],[customer_id]], customers[customer_id], 0)), "Unmapped")</f>
        <v>Poland</v>
      </c>
      <c r="G2841" t="str">
        <f>IFERROR(INDEX(Region_Map[Region], MATCH(orders[[#This Row],[Customer_Country]], Region_Map[Country], 0)), "Unknown")</f>
        <v>Central Europe</v>
      </c>
      <c r="H2841" t="s">
        <v>6949</v>
      </c>
    </row>
    <row r="2842" spans="1:8">
      <c r="A2842" t="s">
        <v>3747</v>
      </c>
      <c r="B2842" t="s">
        <v>813</v>
      </c>
      <c r="C2842" s="1">
        <v>45570</v>
      </c>
      <c r="D2842" s="1" t="str">
        <f>PROPER(orders[[#This Row],[order_priority]])</f>
        <v>Same Day</v>
      </c>
      <c r="E2842" t="s">
        <v>13322</v>
      </c>
      <c r="F2842" t="str">
        <f>IFERROR(INDEX(customers[country], MATCH(orders[[#This Row],[customer_id]], customers[customer_id], 0)), "Unmapped")</f>
        <v>Norway</v>
      </c>
      <c r="G2842" t="str">
        <f>IFERROR(INDEX(Region_Map[Region], MATCH(orders[[#This Row],[Customer_Country]], Region_Map[Country], 0)), "Unknown")</f>
        <v>Nordics</v>
      </c>
      <c r="H2842" t="s">
        <v>6949</v>
      </c>
    </row>
    <row r="2843" spans="1:8">
      <c r="A2843" t="s">
        <v>3748</v>
      </c>
      <c r="B2843" t="s">
        <v>479</v>
      </c>
      <c r="C2843" s="1">
        <v>45295</v>
      </c>
      <c r="D2843" s="1" t="str">
        <f>PROPER(orders[[#This Row],[order_priority]])</f>
        <v>Same Day</v>
      </c>
      <c r="E2843" t="s">
        <v>13322</v>
      </c>
      <c r="F2843" t="str">
        <f>IFERROR(INDEX(customers[country], MATCH(orders[[#This Row],[customer_id]], customers[customer_id], 0)), "Unmapped")</f>
        <v>Latvia</v>
      </c>
      <c r="G2843" t="str">
        <f>IFERROR(INDEX(Region_Map[Region], MATCH(orders[[#This Row],[Customer_Country]], Region_Map[Country], 0)), "Unknown")</f>
        <v>Baltics</v>
      </c>
      <c r="H2843" t="s">
        <v>6949</v>
      </c>
    </row>
    <row r="2844" spans="1:8">
      <c r="A2844" t="s">
        <v>3749</v>
      </c>
      <c r="B2844" t="s">
        <v>118</v>
      </c>
      <c r="C2844" s="1">
        <v>45138</v>
      </c>
      <c r="D2844" s="1" t="str">
        <f>PROPER(orders[[#This Row],[order_priority]])</f>
        <v>Economy</v>
      </c>
      <c r="E2844" t="s">
        <v>13316</v>
      </c>
      <c r="F2844" t="str">
        <f>IFERROR(INDEX(customers[country], MATCH(orders[[#This Row],[customer_id]], customers[customer_id], 0)), "Unmapped")</f>
        <v>Denmark</v>
      </c>
      <c r="G2844" t="str">
        <f>IFERROR(INDEX(Region_Map[Region], MATCH(orders[[#This Row],[Customer_Country]], Region_Map[Country], 0)), "Unknown")</f>
        <v>Nordics</v>
      </c>
      <c r="H2844" t="s">
        <v>6949</v>
      </c>
    </row>
    <row r="2845" spans="1:8">
      <c r="A2845" t="s">
        <v>3750</v>
      </c>
      <c r="B2845" t="s">
        <v>781</v>
      </c>
      <c r="C2845" s="1">
        <v>45282</v>
      </c>
      <c r="D2845" s="1" t="str">
        <f>PROPER(orders[[#This Row],[order_priority]])</f>
        <v>Express</v>
      </c>
      <c r="E2845" t="s">
        <v>13326</v>
      </c>
      <c r="F2845" t="str">
        <f>IFERROR(INDEX(customers[country], MATCH(orders[[#This Row],[customer_id]], customers[customer_id], 0)), "Unmapped")</f>
        <v>Germany</v>
      </c>
      <c r="G2845" t="str">
        <f>IFERROR(INDEX(Region_Map[Region], MATCH(orders[[#This Row],[Customer_Country]], Region_Map[Country], 0)), "Unknown")</f>
        <v>Central Europe</v>
      </c>
      <c r="H2845" t="s">
        <v>6949</v>
      </c>
    </row>
    <row r="2846" spans="1:8">
      <c r="A2846" t="s">
        <v>3751</v>
      </c>
      <c r="B2846" t="s">
        <v>332</v>
      </c>
      <c r="C2846" s="1">
        <v>45175</v>
      </c>
      <c r="D2846" s="1" t="str">
        <f>PROPER(orders[[#This Row],[order_priority]])</f>
        <v>Standard</v>
      </c>
      <c r="E2846" t="s">
        <v>13323</v>
      </c>
      <c r="F2846" t="str">
        <f>IFERROR(INDEX(customers[country], MATCH(orders[[#This Row],[customer_id]], customers[customer_id], 0)), "Unmapped")</f>
        <v>Lithuania</v>
      </c>
      <c r="G2846" t="str">
        <f>IFERROR(INDEX(Region_Map[Region], MATCH(orders[[#This Row],[Customer_Country]], Region_Map[Country], 0)), "Unknown")</f>
        <v>Baltics</v>
      </c>
      <c r="H2846" t="s">
        <v>6949</v>
      </c>
    </row>
    <row r="2847" spans="1:8">
      <c r="A2847" t="s">
        <v>3752</v>
      </c>
      <c r="B2847" t="s">
        <v>440</v>
      </c>
      <c r="C2847" s="1">
        <v>45586</v>
      </c>
      <c r="D2847" s="1" t="str">
        <f>PROPER(orders[[#This Row],[order_priority]])</f>
        <v>Same Day</v>
      </c>
      <c r="E2847" t="s">
        <v>13322</v>
      </c>
      <c r="F2847" t="str">
        <f>IFERROR(INDEX(customers[country], MATCH(orders[[#This Row],[customer_id]], customers[customer_id], 0)), "Unmapped")</f>
        <v>Poland</v>
      </c>
      <c r="G2847" t="str">
        <f>IFERROR(INDEX(Region_Map[Region], MATCH(orders[[#This Row],[Customer_Country]], Region_Map[Country], 0)), "Unknown")</f>
        <v>Central Europe</v>
      </c>
      <c r="H2847" t="s">
        <v>6949</v>
      </c>
    </row>
    <row r="2848" spans="1:8">
      <c r="A2848" t="s">
        <v>3753</v>
      </c>
      <c r="B2848" t="s">
        <v>581</v>
      </c>
      <c r="C2848" s="1">
        <v>44970</v>
      </c>
      <c r="D2848" s="1" t="str">
        <f>PROPER(orders[[#This Row],[order_priority]])</f>
        <v>Economy</v>
      </c>
      <c r="E2848" t="s">
        <v>13316</v>
      </c>
      <c r="F2848" t="str">
        <f>IFERROR(INDEX(customers[country], MATCH(orders[[#This Row],[customer_id]], customers[customer_id], 0)), "Unmapped")</f>
        <v>Norway</v>
      </c>
      <c r="G2848" t="str">
        <f>IFERROR(INDEX(Region_Map[Region], MATCH(orders[[#This Row],[Customer_Country]], Region_Map[Country], 0)), "Unknown")</f>
        <v>Nordics</v>
      </c>
      <c r="H2848" t="s">
        <v>6949</v>
      </c>
    </row>
    <row r="2849" spans="1:8">
      <c r="A2849" t="s">
        <v>3754</v>
      </c>
      <c r="B2849" t="s">
        <v>93</v>
      </c>
      <c r="C2849" s="1">
        <v>45522</v>
      </c>
      <c r="D2849" s="1" t="str">
        <f>PROPER(orders[[#This Row],[order_priority]])</f>
        <v>Same Day</v>
      </c>
      <c r="E2849" t="s">
        <v>13322</v>
      </c>
      <c r="F2849" t="str">
        <f>IFERROR(INDEX(customers[country], MATCH(orders[[#This Row],[customer_id]], customers[customer_id], 0)), "Unmapped")</f>
        <v>Norway</v>
      </c>
      <c r="G2849" t="str">
        <f>IFERROR(INDEX(Region_Map[Region], MATCH(orders[[#This Row],[Customer_Country]], Region_Map[Country], 0)), "Unknown")</f>
        <v>Nordics</v>
      </c>
      <c r="H2849" t="s">
        <v>6949</v>
      </c>
    </row>
    <row r="2850" spans="1:8">
      <c r="A2850" t="s">
        <v>3755</v>
      </c>
      <c r="B2850" t="s">
        <v>536</v>
      </c>
      <c r="C2850" s="1">
        <v>45002</v>
      </c>
      <c r="D2850" s="1" t="str">
        <f>PROPER(orders[[#This Row],[order_priority]])</f>
        <v>Standard</v>
      </c>
      <c r="E2850" t="s">
        <v>13317</v>
      </c>
      <c r="F2850" t="str">
        <f>IFERROR(INDEX(customers[country], MATCH(orders[[#This Row],[customer_id]], customers[customer_id], 0)), "Unmapped")</f>
        <v>Germany</v>
      </c>
      <c r="G2850" t="str">
        <f>IFERROR(INDEX(Region_Map[Region], MATCH(orders[[#This Row],[Customer_Country]], Region_Map[Country], 0)), "Unknown")</f>
        <v>Central Europe</v>
      </c>
      <c r="H2850" t="s">
        <v>6949</v>
      </c>
    </row>
    <row r="2851" spans="1:8">
      <c r="A2851" t="s">
        <v>3756</v>
      </c>
      <c r="B2851" t="s">
        <v>341</v>
      </c>
      <c r="C2851" s="1">
        <v>45065</v>
      </c>
      <c r="D2851" s="1" t="str">
        <f>PROPER(orders[[#This Row],[order_priority]])</f>
        <v>Standard</v>
      </c>
      <c r="E2851" t="s">
        <v>13317</v>
      </c>
      <c r="F2851" t="str">
        <f>IFERROR(INDEX(customers[country], MATCH(orders[[#This Row],[customer_id]], customers[customer_id], 0)), "Unmapped")</f>
        <v>Latvia</v>
      </c>
      <c r="G2851" t="str">
        <f>IFERROR(INDEX(Region_Map[Region], MATCH(orders[[#This Row],[Customer_Country]], Region_Map[Country], 0)), "Unknown")</f>
        <v>Baltics</v>
      </c>
      <c r="H2851" t="s">
        <v>6949</v>
      </c>
    </row>
    <row r="2852" spans="1:8">
      <c r="A2852" t="s">
        <v>3757</v>
      </c>
      <c r="B2852" t="s">
        <v>19</v>
      </c>
      <c r="C2852" s="1">
        <v>45088</v>
      </c>
      <c r="D2852" s="1" t="str">
        <f>PROPER(orders[[#This Row],[order_priority]])</f>
        <v>Standard</v>
      </c>
      <c r="E2852" t="s">
        <v>13317</v>
      </c>
      <c r="F2852" t="str">
        <f>IFERROR(INDEX(customers[country], MATCH(orders[[#This Row],[customer_id]], customers[customer_id], 0)), "Unmapped")</f>
        <v>Poland</v>
      </c>
      <c r="G2852" t="str">
        <f>IFERROR(INDEX(Region_Map[Region], MATCH(orders[[#This Row],[Customer_Country]], Region_Map[Country], 0)), "Unknown")</f>
        <v>Central Europe</v>
      </c>
      <c r="H2852" t="s">
        <v>6949</v>
      </c>
    </row>
    <row r="2853" spans="1:8">
      <c r="A2853" t="s">
        <v>3758</v>
      </c>
      <c r="B2853" t="s">
        <v>735</v>
      </c>
      <c r="C2853" s="1">
        <v>45620</v>
      </c>
      <c r="D2853" s="1" t="str">
        <f>PROPER(orders[[#This Row],[order_priority]])</f>
        <v>Same Day</v>
      </c>
      <c r="E2853" t="s">
        <v>13324</v>
      </c>
      <c r="F2853" t="str">
        <f>IFERROR(INDEX(customers[country], MATCH(orders[[#This Row],[customer_id]], customers[customer_id], 0)), "Unmapped")</f>
        <v>Poland</v>
      </c>
      <c r="G2853" t="str">
        <f>IFERROR(INDEX(Region_Map[Region], MATCH(orders[[#This Row],[Customer_Country]], Region_Map[Country], 0)), "Unknown")</f>
        <v>Central Europe</v>
      </c>
      <c r="H2853" t="s">
        <v>6949</v>
      </c>
    </row>
    <row r="2854" spans="1:8">
      <c r="A2854" t="s">
        <v>3759</v>
      </c>
      <c r="B2854" t="s">
        <v>518</v>
      </c>
      <c r="C2854" s="1">
        <v>45519</v>
      </c>
      <c r="D2854" s="1" t="str">
        <f>PROPER(orders[[#This Row],[order_priority]])</f>
        <v>Same Day</v>
      </c>
      <c r="E2854" t="s">
        <v>13322</v>
      </c>
      <c r="F2854" t="str">
        <f>IFERROR(INDEX(customers[country], MATCH(orders[[#This Row],[customer_id]], customers[customer_id], 0)), "Unmapped")</f>
        <v>Germany</v>
      </c>
      <c r="G2854" t="str">
        <f>IFERROR(INDEX(Region_Map[Region], MATCH(orders[[#This Row],[Customer_Country]], Region_Map[Country], 0)), "Unknown")</f>
        <v>Central Europe</v>
      </c>
      <c r="H2854" t="s">
        <v>6949</v>
      </c>
    </row>
    <row r="2855" spans="1:8">
      <c r="A2855" t="s">
        <v>3760</v>
      </c>
      <c r="B2855" t="s">
        <v>77</v>
      </c>
      <c r="C2855" s="1">
        <v>45407</v>
      </c>
      <c r="D2855" s="1" t="str">
        <f>PROPER(orders[[#This Row],[order_priority]])</f>
        <v>Express</v>
      </c>
      <c r="E2855" t="s">
        <v>13318</v>
      </c>
      <c r="F2855" t="str">
        <f>IFERROR(INDEX(customers[country], MATCH(orders[[#This Row],[customer_id]], customers[customer_id], 0)), "Unmapped")</f>
        <v>Lithuania</v>
      </c>
      <c r="G2855" t="str">
        <f>IFERROR(INDEX(Region_Map[Region], MATCH(orders[[#This Row],[Customer_Country]], Region_Map[Country], 0)), "Unknown")</f>
        <v>Baltics</v>
      </c>
      <c r="H2855" t="s">
        <v>6949</v>
      </c>
    </row>
    <row r="2856" spans="1:8">
      <c r="A2856" t="s">
        <v>3761</v>
      </c>
      <c r="B2856" t="s">
        <v>195</v>
      </c>
      <c r="C2856" s="1">
        <v>44973</v>
      </c>
      <c r="D2856" s="1" t="str">
        <f>PROPER(orders[[#This Row],[order_priority]])</f>
        <v>Economy</v>
      </c>
      <c r="E2856" t="s">
        <v>13328</v>
      </c>
      <c r="F2856" t="str">
        <f>IFERROR(INDEX(customers[country], MATCH(orders[[#This Row],[customer_id]], customers[customer_id], 0)), "Unmapped")</f>
        <v>Latvia</v>
      </c>
      <c r="G2856" t="str">
        <f>IFERROR(INDEX(Region_Map[Region], MATCH(orders[[#This Row],[Customer_Country]], Region_Map[Country], 0)), "Unknown")</f>
        <v>Baltics</v>
      </c>
      <c r="H2856" t="s">
        <v>6949</v>
      </c>
    </row>
    <row r="2857" spans="1:8">
      <c r="A2857" t="s">
        <v>3762</v>
      </c>
      <c r="B2857" t="s">
        <v>273</v>
      </c>
      <c r="C2857" s="1">
        <v>45175</v>
      </c>
      <c r="D2857" s="1" t="str">
        <f>PROPER(orders[[#This Row],[order_priority]])</f>
        <v>Economy</v>
      </c>
      <c r="E2857" t="s">
        <v>13316</v>
      </c>
      <c r="F2857" t="str">
        <f>IFERROR(INDEX(customers[country], MATCH(orders[[#This Row],[customer_id]], customers[customer_id], 0)), "Unmapped")</f>
        <v>Norway</v>
      </c>
      <c r="G2857" t="str">
        <f>IFERROR(INDEX(Region_Map[Region], MATCH(orders[[#This Row],[Customer_Country]], Region_Map[Country], 0)), "Unknown")</f>
        <v>Nordics</v>
      </c>
      <c r="H2857" t="s">
        <v>6949</v>
      </c>
    </row>
    <row r="2858" spans="1:8">
      <c r="A2858" t="s">
        <v>3763</v>
      </c>
      <c r="B2858" t="s">
        <v>13348</v>
      </c>
      <c r="C2858" s="1">
        <v>45351</v>
      </c>
      <c r="D2858" s="1" t="str">
        <f>PROPER(orders[[#This Row],[order_priority]])</f>
        <v>Same Day</v>
      </c>
      <c r="E2858" t="s">
        <v>13322</v>
      </c>
      <c r="F2858" t="str">
        <f>IFERROR(INDEX(customers[country], MATCH(orders[[#This Row],[customer_id]], customers[customer_id], 0)), "Unmapped")</f>
        <v>Unmapped</v>
      </c>
      <c r="G2858" t="str">
        <f>IFERROR(INDEX(Region_Map[Region], MATCH(orders[[#This Row],[Customer_Country]], Region_Map[Country], 0)), "Unknown")</f>
        <v>Unknown</v>
      </c>
      <c r="H2858" t="s">
        <v>6949</v>
      </c>
    </row>
    <row r="2859" spans="1:8">
      <c r="A2859" t="s">
        <v>3764</v>
      </c>
      <c r="B2859" t="s">
        <v>837</v>
      </c>
      <c r="C2859" s="1">
        <v>45154</v>
      </c>
      <c r="D2859" s="1" t="str">
        <f>PROPER(orders[[#This Row],[order_priority]])</f>
        <v>Express</v>
      </c>
      <c r="E2859" t="s">
        <v>13318</v>
      </c>
      <c r="F2859" t="str">
        <f>IFERROR(INDEX(customers[country], MATCH(orders[[#This Row],[customer_id]], customers[customer_id], 0)), "Unmapped")</f>
        <v>Poland</v>
      </c>
      <c r="G2859" t="str">
        <f>IFERROR(INDEX(Region_Map[Region], MATCH(orders[[#This Row],[Customer_Country]], Region_Map[Country], 0)), "Unknown")</f>
        <v>Central Europe</v>
      </c>
      <c r="H2859" t="s">
        <v>6949</v>
      </c>
    </row>
    <row r="2860" spans="1:8">
      <c r="A2860" t="s">
        <v>3765</v>
      </c>
      <c r="B2860" t="s">
        <v>655</v>
      </c>
      <c r="C2860" s="1">
        <v>45017</v>
      </c>
      <c r="D2860" s="1" t="str">
        <f>PROPER(orders[[#This Row],[order_priority]])</f>
        <v>Economy</v>
      </c>
      <c r="E2860" t="s">
        <v>13316</v>
      </c>
      <c r="F2860" t="str">
        <f>IFERROR(INDEX(customers[country], MATCH(orders[[#This Row],[customer_id]], customers[customer_id], 0)), "Unmapped")</f>
        <v>Sweden</v>
      </c>
      <c r="G2860" t="str">
        <f>IFERROR(INDEX(Region_Map[Region], MATCH(orders[[#This Row],[Customer_Country]], Region_Map[Country], 0)), "Unknown")</f>
        <v>Nordics</v>
      </c>
      <c r="H2860" t="s">
        <v>6949</v>
      </c>
    </row>
    <row r="2861" spans="1:8">
      <c r="A2861" t="s">
        <v>3766</v>
      </c>
      <c r="B2861" t="s">
        <v>602</v>
      </c>
      <c r="C2861" s="1">
        <v>45203</v>
      </c>
      <c r="D2861" s="1" t="str">
        <f>PROPER(orders[[#This Row],[order_priority]])</f>
        <v>Express</v>
      </c>
      <c r="E2861" t="s">
        <v>13318</v>
      </c>
      <c r="F2861" t="str">
        <f>IFERROR(INDEX(customers[country], MATCH(orders[[#This Row],[customer_id]], customers[customer_id], 0)), "Unmapped")</f>
        <v>Poland</v>
      </c>
      <c r="G2861" t="str">
        <f>IFERROR(INDEX(Region_Map[Region], MATCH(orders[[#This Row],[Customer_Country]], Region_Map[Country], 0)), "Unknown")</f>
        <v>Central Europe</v>
      </c>
      <c r="H2861" t="s">
        <v>6949</v>
      </c>
    </row>
    <row r="2862" spans="1:8">
      <c r="A2862" t="s">
        <v>3767</v>
      </c>
      <c r="B2862" t="s">
        <v>790</v>
      </c>
      <c r="C2862" s="1">
        <v>45414</v>
      </c>
      <c r="D2862" s="1" t="str">
        <f>PROPER(orders[[#This Row],[order_priority]])</f>
        <v>Economy</v>
      </c>
      <c r="E2862" t="s">
        <v>13316</v>
      </c>
      <c r="F2862" t="str">
        <f>IFERROR(INDEX(customers[country], MATCH(orders[[#This Row],[customer_id]], customers[customer_id], 0)), "Unmapped")</f>
        <v>Germany</v>
      </c>
      <c r="G2862" t="str">
        <f>IFERROR(INDEX(Region_Map[Region], MATCH(orders[[#This Row],[Customer_Country]], Region_Map[Country], 0)), "Unknown")</f>
        <v>Central Europe</v>
      </c>
      <c r="H2862" t="s">
        <v>6949</v>
      </c>
    </row>
    <row r="2863" spans="1:8">
      <c r="A2863" t="s">
        <v>3768</v>
      </c>
      <c r="B2863" t="s">
        <v>760</v>
      </c>
      <c r="C2863" s="1">
        <v>45393</v>
      </c>
      <c r="D2863" s="1" t="str">
        <f>PROPER(orders[[#This Row],[order_priority]])</f>
        <v>Economy</v>
      </c>
      <c r="E2863" t="s">
        <v>13316</v>
      </c>
      <c r="F2863" t="str">
        <f>IFERROR(INDEX(customers[country], MATCH(orders[[#This Row],[customer_id]], customers[customer_id], 0)), "Unmapped")</f>
        <v>Poland</v>
      </c>
      <c r="G2863" t="str">
        <f>IFERROR(INDEX(Region_Map[Region], MATCH(orders[[#This Row],[Customer_Country]], Region_Map[Country], 0)), "Unknown")</f>
        <v>Central Europe</v>
      </c>
      <c r="H2863" t="s">
        <v>6949</v>
      </c>
    </row>
    <row r="2864" spans="1:8">
      <c r="A2864" t="s">
        <v>3769</v>
      </c>
      <c r="B2864" t="s">
        <v>608</v>
      </c>
      <c r="C2864" s="1">
        <v>45386</v>
      </c>
      <c r="D2864" s="1" t="str">
        <f>PROPER(orders[[#This Row],[order_priority]])</f>
        <v>Express</v>
      </c>
      <c r="E2864" t="s">
        <v>13320</v>
      </c>
      <c r="F2864" t="str">
        <f>IFERROR(INDEX(customers[country], MATCH(orders[[#This Row],[customer_id]], customers[customer_id], 0)), "Unmapped")</f>
        <v>Finland</v>
      </c>
      <c r="G2864" t="str">
        <f>IFERROR(INDEX(Region_Map[Region], MATCH(orders[[#This Row],[Customer_Country]], Region_Map[Country], 0)), "Unknown")</f>
        <v>Nordics</v>
      </c>
      <c r="H2864" t="s">
        <v>6949</v>
      </c>
    </row>
    <row r="2865" spans="1:8">
      <c r="A2865" t="s">
        <v>3770</v>
      </c>
      <c r="B2865" t="s">
        <v>160</v>
      </c>
      <c r="C2865" s="1">
        <v>45311</v>
      </c>
      <c r="D2865" s="1" t="str">
        <f>PROPER(orders[[#This Row],[order_priority]])</f>
        <v>Economy</v>
      </c>
      <c r="E2865" t="s">
        <v>13325</v>
      </c>
      <c r="F2865" t="str">
        <f>IFERROR(INDEX(customers[country], MATCH(orders[[#This Row],[customer_id]], customers[customer_id], 0)), "Unmapped")</f>
        <v>Denmark</v>
      </c>
      <c r="G2865" t="str">
        <f>IFERROR(INDEX(Region_Map[Region], MATCH(orders[[#This Row],[Customer_Country]], Region_Map[Country], 0)), "Unknown")</f>
        <v>Nordics</v>
      </c>
      <c r="H2865" t="s">
        <v>6949</v>
      </c>
    </row>
    <row r="2866" spans="1:8">
      <c r="A2866" t="s">
        <v>3771</v>
      </c>
      <c r="B2866" t="s">
        <v>533</v>
      </c>
      <c r="C2866" s="1">
        <v>45255</v>
      </c>
      <c r="D2866" s="1" t="str">
        <f>PROPER(orders[[#This Row],[order_priority]])</f>
        <v>Standard</v>
      </c>
      <c r="E2866" t="s">
        <v>13317</v>
      </c>
      <c r="F2866" t="str">
        <f>IFERROR(INDEX(customers[country], MATCH(orders[[#This Row],[customer_id]], customers[customer_id], 0)), "Unmapped")</f>
        <v>Germany</v>
      </c>
      <c r="G2866" t="str">
        <f>IFERROR(INDEX(Region_Map[Region], MATCH(orders[[#This Row],[Customer_Country]], Region_Map[Country], 0)), "Unknown")</f>
        <v>Central Europe</v>
      </c>
      <c r="H2866" t="s">
        <v>6949</v>
      </c>
    </row>
    <row r="2867" spans="1:8">
      <c r="A2867" t="s">
        <v>3772</v>
      </c>
      <c r="B2867" t="s">
        <v>133</v>
      </c>
      <c r="C2867" s="1">
        <v>45549</v>
      </c>
      <c r="D2867" s="1" t="str">
        <f>PROPER(orders[[#This Row],[order_priority]])</f>
        <v>Same Day</v>
      </c>
      <c r="E2867" t="s">
        <v>13322</v>
      </c>
      <c r="F2867" t="str">
        <f>IFERROR(INDEX(customers[country], MATCH(orders[[#This Row],[customer_id]], customers[customer_id], 0)), "Unmapped")</f>
        <v>Finland</v>
      </c>
      <c r="G2867" t="str">
        <f>IFERROR(INDEX(Region_Map[Region], MATCH(orders[[#This Row],[Customer_Country]], Region_Map[Country], 0)), "Unknown")</f>
        <v>Nordics</v>
      </c>
      <c r="H2867" t="s">
        <v>6949</v>
      </c>
    </row>
    <row r="2868" spans="1:8">
      <c r="A2868" t="s">
        <v>3773</v>
      </c>
      <c r="B2868" t="s">
        <v>536</v>
      </c>
      <c r="C2868" s="1">
        <v>45346</v>
      </c>
      <c r="D2868" s="1" t="str">
        <f>PROPER(orders[[#This Row],[order_priority]])</f>
        <v>Standard</v>
      </c>
      <c r="E2868" t="s">
        <v>13317</v>
      </c>
      <c r="F2868" t="str">
        <f>IFERROR(INDEX(customers[country], MATCH(orders[[#This Row],[customer_id]], customers[customer_id], 0)), "Unmapped")</f>
        <v>Germany</v>
      </c>
      <c r="G2868" t="str">
        <f>IFERROR(INDEX(Region_Map[Region], MATCH(orders[[#This Row],[Customer_Country]], Region_Map[Country], 0)), "Unknown")</f>
        <v>Central Europe</v>
      </c>
      <c r="H2868" t="s">
        <v>6949</v>
      </c>
    </row>
    <row r="2869" spans="1:8">
      <c r="A2869" t="s">
        <v>3774</v>
      </c>
      <c r="B2869" t="s">
        <v>743</v>
      </c>
      <c r="C2869" s="1">
        <v>45181</v>
      </c>
      <c r="D2869" s="1" t="str">
        <f>PROPER(orders[[#This Row],[order_priority]])</f>
        <v>Same Day</v>
      </c>
      <c r="E2869" t="s">
        <v>13321</v>
      </c>
      <c r="F2869" t="str">
        <f>IFERROR(INDEX(customers[country], MATCH(orders[[#This Row],[customer_id]], customers[customer_id], 0)), "Unmapped")</f>
        <v>Germany</v>
      </c>
      <c r="G2869" t="str">
        <f>IFERROR(INDEX(Region_Map[Region], MATCH(orders[[#This Row],[Customer_Country]], Region_Map[Country], 0)), "Unknown")</f>
        <v>Central Europe</v>
      </c>
      <c r="H2869" t="s">
        <v>6949</v>
      </c>
    </row>
    <row r="2870" spans="1:8">
      <c r="A2870" t="s">
        <v>3775</v>
      </c>
      <c r="B2870" t="s">
        <v>509</v>
      </c>
      <c r="C2870" s="1">
        <v>44964</v>
      </c>
      <c r="D2870" s="1" t="str">
        <f>PROPER(orders[[#This Row],[order_priority]])</f>
        <v>Express</v>
      </c>
      <c r="E2870" t="s">
        <v>13318</v>
      </c>
      <c r="F2870" t="str">
        <f>IFERROR(INDEX(customers[country], MATCH(orders[[#This Row],[customer_id]], customers[customer_id], 0)), "Unmapped")</f>
        <v>Sweden</v>
      </c>
      <c r="G2870" t="str">
        <f>IFERROR(INDEX(Region_Map[Region], MATCH(orders[[#This Row],[Customer_Country]], Region_Map[Country], 0)), "Unknown")</f>
        <v>Nordics</v>
      </c>
      <c r="H2870" t="s">
        <v>6949</v>
      </c>
    </row>
    <row r="2871" spans="1:8">
      <c r="A2871" t="s">
        <v>3776</v>
      </c>
      <c r="B2871" t="s">
        <v>515</v>
      </c>
      <c r="C2871" s="1">
        <v>45338</v>
      </c>
      <c r="D2871" s="1" t="str">
        <f>PROPER(orders[[#This Row],[order_priority]])</f>
        <v>Standard</v>
      </c>
      <c r="E2871" t="s">
        <v>13323</v>
      </c>
      <c r="F2871" t="str">
        <f>IFERROR(INDEX(customers[country], MATCH(orders[[#This Row],[customer_id]], customers[customer_id], 0)), "Unmapped")</f>
        <v>Latvia</v>
      </c>
      <c r="G2871" t="str">
        <f>IFERROR(INDEX(Region_Map[Region], MATCH(orders[[#This Row],[Customer_Country]], Region_Map[Country], 0)), "Unknown")</f>
        <v>Baltics</v>
      </c>
      <c r="H2871" t="s">
        <v>6949</v>
      </c>
    </row>
    <row r="2872" spans="1:8">
      <c r="A2872" t="s">
        <v>3777</v>
      </c>
      <c r="B2872" t="s">
        <v>219</v>
      </c>
      <c r="C2872" s="1">
        <v>45095</v>
      </c>
      <c r="D2872" s="1" t="str">
        <f>PROPER(orders[[#This Row],[order_priority]])</f>
        <v>Standard</v>
      </c>
      <c r="E2872" t="s">
        <v>13317</v>
      </c>
      <c r="F2872" t="str">
        <f>IFERROR(INDEX(customers[country], MATCH(orders[[#This Row],[customer_id]], customers[customer_id], 0)), "Unmapped")</f>
        <v>Latvia</v>
      </c>
      <c r="G2872" t="str">
        <f>IFERROR(INDEX(Region_Map[Region], MATCH(orders[[#This Row],[Customer_Country]], Region_Map[Country], 0)), "Unknown")</f>
        <v>Baltics</v>
      </c>
      <c r="H2872" t="s">
        <v>6949</v>
      </c>
    </row>
    <row r="2873" spans="1:8">
      <c r="A2873" t="s">
        <v>3778</v>
      </c>
      <c r="B2873" t="s">
        <v>178</v>
      </c>
      <c r="C2873" s="1">
        <v>45270</v>
      </c>
      <c r="D2873" s="1" t="str">
        <f>PROPER(orders[[#This Row],[order_priority]])</f>
        <v>Economy</v>
      </c>
      <c r="E2873" t="s">
        <v>13316</v>
      </c>
      <c r="F2873" t="str">
        <f>IFERROR(INDEX(customers[country], MATCH(orders[[#This Row],[customer_id]], customers[customer_id], 0)), "Unmapped")</f>
        <v>Poland</v>
      </c>
      <c r="G2873" t="str">
        <f>IFERROR(INDEX(Region_Map[Region], MATCH(orders[[#This Row],[Customer_Country]], Region_Map[Country], 0)), "Unknown")</f>
        <v>Central Europe</v>
      </c>
      <c r="H2873" t="s">
        <v>6949</v>
      </c>
    </row>
    <row r="2874" spans="1:8">
      <c r="A2874" t="s">
        <v>3779</v>
      </c>
      <c r="B2874" t="s">
        <v>13349</v>
      </c>
      <c r="C2874" s="1">
        <v>45270</v>
      </c>
      <c r="D2874" s="1" t="str">
        <f>PROPER(orders[[#This Row],[order_priority]])</f>
        <v>Same Day</v>
      </c>
      <c r="E2874" t="s">
        <v>13322</v>
      </c>
      <c r="F2874" t="str">
        <f>IFERROR(INDEX(customers[country], MATCH(orders[[#This Row],[customer_id]], customers[customer_id], 0)), "Unmapped")</f>
        <v>Unmapped</v>
      </c>
      <c r="G2874" t="str">
        <f>IFERROR(INDEX(Region_Map[Region], MATCH(orders[[#This Row],[Customer_Country]], Region_Map[Country], 0)), "Unknown")</f>
        <v>Unknown</v>
      </c>
      <c r="H2874" t="s">
        <v>6949</v>
      </c>
    </row>
    <row r="2875" spans="1:8">
      <c r="A2875" t="s">
        <v>3780</v>
      </c>
      <c r="B2875" t="s">
        <v>626</v>
      </c>
      <c r="C2875" s="1">
        <v>44950</v>
      </c>
      <c r="D2875" s="1" t="str">
        <f>PROPER(orders[[#This Row],[order_priority]])</f>
        <v>Standard</v>
      </c>
      <c r="E2875" t="s">
        <v>13317</v>
      </c>
      <c r="F2875" t="str">
        <f>IFERROR(INDEX(customers[country], MATCH(orders[[#This Row],[customer_id]], customers[customer_id], 0)), "Unmapped")</f>
        <v>Denmark</v>
      </c>
      <c r="G2875" t="str">
        <f>IFERROR(INDEX(Region_Map[Region], MATCH(orders[[#This Row],[Customer_Country]], Region_Map[Country], 0)), "Unknown")</f>
        <v>Nordics</v>
      </c>
      <c r="H2875" t="s">
        <v>6949</v>
      </c>
    </row>
    <row r="2876" spans="1:8">
      <c r="A2876" t="s">
        <v>3781</v>
      </c>
      <c r="B2876" t="s">
        <v>6949</v>
      </c>
      <c r="C2876" s="1">
        <v>45536</v>
      </c>
      <c r="D2876" s="1" t="str">
        <f>PROPER(orders[[#This Row],[order_priority]])</f>
        <v>Same Day</v>
      </c>
      <c r="E2876" t="s">
        <v>13322</v>
      </c>
      <c r="F2876" t="str">
        <f>IFERROR(INDEX(customers[country], MATCH(orders[[#This Row],[customer_id]], customers[customer_id], 0)), "Unmapped")</f>
        <v>Unmapped</v>
      </c>
      <c r="G2876" t="str">
        <f>IFERROR(INDEX(Region_Map[Region], MATCH(orders[[#This Row],[Customer_Country]], Region_Map[Country], 0)), "Unknown")</f>
        <v>Unknown</v>
      </c>
      <c r="H2876" t="s">
        <v>6949</v>
      </c>
    </row>
    <row r="2877" spans="1:8">
      <c r="A2877" t="s">
        <v>3782</v>
      </c>
      <c r="B2877" t="s">
        <v>216</v>
      </c>
      <c r="C2877" s="1">
        <v>45511</v>
      </c>
      <c r="D2877" s="1" t="str">
        <f>PROPER(orders[[#This Row],[order_priority]])</f>
        <v>Express</v>
      </c>
      <c r="E2877" t="s">
        <v>13318</v>
      </c>
      <c r="F2877" t="str">
        <f>IFERROR(INDEX(customers[country], MATCH(orders[[#This Row],[customer_id]], customers[customer_id], 0)), "Unmapped")</f>
        <v>Norway</v>
      </c>
      <c r="G2877" t="str">
        <f>IFERROR(INDEX(Region_Map[Region], MATCH(orders[[#This Row],[Customer_Country]], Region_Map[Country], 0)), "Unknown")</f>
        <v>Nordics</v>
      </c>
      <c r="H2877" t="s">
        <v>6949</v>
      </c>
    </row>
    <row r="2878" spans="1:8">
      <c r="A2878" t="s">
        <v>3783</v>
      </c>
      <c r="B2878" t="s">
        <v>55</v>
      </c>
      <c r="C2878" s="1">
        <v>45167</v>
      </c>
      <c r="D2878" s="1" t="str">
        <f>PROPER(orders[[#This Row],[order_priority]])</f>
        <v>Express</v>
      </c>
      <c r="E2878" t="s">
        <v>13318</v>
      </c>
      <c r="F2878" t="str">
        <f>IFERROR(INDEX(customers[country], MATCH(orders[[#This Row],[customer_id]], customers[customer_id], 0)), "Unmapped")</f>
        <v>Netherlands</v>
      </c>
      <c r="G2878" t="str">
        <f>IFERROR(INDEX(Region_Map[Region], MATCH(orders[[#This Row],[Customer_Country]], Region_Map[Country], 0)), "Unknown")</f>
        <v>Central Europe</v>
      </c>
      <c r="H2878" t="s">
        <v>6949</v>
      </c>
    </row>
    <row r="2879" spans="1:8">
      <c r="A2879" t="s">
        <v>3784</v>
      </c>
      <c r="B2879" t="s">
        <v>416</v>
      </c>
      <c r="C2879" s="1">
        <v>45624</v>
      </c>
      <c r="D2879" s="1" t="str">
        <f>PROPER(orders[[#This Row],[order_priority]])</f>
        <v>Economy</v>
      </c>
      <c r="E2879" t="s">
        <v>13316</v>
      </c>
      <c r="F2879" t="str">
        <f>IFERROR(INDEX(customers[country], MATCH(orders[[#This Row],[customer_id]], customers[customer_id], 0)), "Unmapped")</f>
        <v>Denmark</v>
      </c>
      <c r="G2879" t="str">
        <f>IFERROR(INDEX(Region_Map[Region], MATCH(orders[[#This Row],[Customer_Country]], Region_Map[Country], 0)), "Unknown")</f>
        <v>Nordics</v>
      </c>
      <c r="H2879" t="s">
        <v>6949</v>
      </c>
    </row>
    <row r="2880" spans="1:8">
      <c r="A2880" t="s">
        <v>3785</v>
      </c>
      <c r="B2880" t="s">
        <v>816</v>
      </c>
      <c r="C2880" s="1">
        <v>45049</v>
      </c>
      <c r="D2880" s="1" t="str">
        <f>PROPER(orders[[#This Row],[order_priority]])</f>
        <v>Same Day</v>
      </c>
      <c r="E2880" t="s">
        <v>13322</v>
      </c>
      <c r="F2880" t="str">
        <f>IFERROR(INDEX(customers[country], MATCH(orders[[#This Row],[customer_id]], customers[customer_id], 0)), "Unmapped")</f>
        <v>Lithuania</v>
      </c>
      <c r="G2880" t="str">
        <f>IFERROR(INDEX(Region_Map[Region], MATCH(orders[[#This Row],[Customer_Country]], Region_Map[Country], 0)), "Unknown")</f>
        <v>Baltics</v>
      </c>
      <c r="H2880" t="s">
        <v>6949</v>
      </c>
    </row>
    <row r="2881" spans="1:8">
      <c r="A2881" t="s">
        <v>3786</v>
      </c>
      <c r="B2881" t="s">
        <v>428</v>
      </c>
      <c r="C2881" s="1">
        <v>45052</v>
      </c>
      <c r="D2881" s="1" t="str">
        <f>PROPER(orders[[#This Row],[order_priority]])</f>
        <v>Economy</v>
      </c>
      <c r="E2881" t="s">
        <v>13316</v>
      </c>
      <c r="F2881" t="str">
        <f>IFERROR(INDEX(customers[country], MATCH(orders[[#This Row],[customer_id]], customers[customer_id], 0)), "Unmapped")</f>
        <v>Finland</v>
      </c>
      <c r="G2881" t="str">
        <f>IFERROR(INDEX(Region_Map[Region], MATCH(orders[[#This Row],[Customer_Country]], Region_Map[Country], 0)), "Unknown")</f>
        <v>Nordics</v>
      </c>
      <c r="H2881" t="s">
        <v>6949</v>
      </c>
    </row>
    <row r="2882" spans="1:8">
      <c r="A2882" t="s">
        <v>3787</v>
      </c>
      <c r="B2882" t="s">
        <v>407</v>
      </c>
      <c r="C2882" s="1">
        <v>45502</v>
      </c>
      <c r="D2882" s="1" t="str">
        <f>PROPER(orders[[#This Row],[order_priority]])</f>
        <v>Express</v>
      </c>
      <c r="E2882" t="s">
        <v>13318</v>
      </c>
      <c r="F2882" t="str">
        <f>IFERROR(INDEX(customers[country], MATCH(orders[[#This Row],[customer_id]], customers[customer_id], 0)), "Unmapped")</f>
        <v>Poland</v>
      </c>
      <c r="G2882" t="str">
        <f>IFERROR(INDEX(Region_Map[Region], MATCH(orders[[#This Row],[Customer_Country]], Region_Map[Country], 0)), "Unknown")</f>
        <v>Central Europe</v>
      </c>
      <c r="H2882" t="s">
        <v>6949</v>
      </c>
    </row>
    <row r="2883" spans="1:8">
      <c r="A2883" t="s">
        <v>3788</v>
      </c>
      <c r="B2883" t="s">
        <v>733</v>
      </c>
      <c r="C2883" s="1">
        <v>45451</v>
      </c>
      <c r="D2883" s="1" t="str">
        <f>PROPER(orders[[#This Row],[order_priority]])</f>
        <v>Economy</v>
      </c>
      <c r="E2883" t="s">
        <v>13316</v>
      </c>
      <c r="F2883" t="str">
        <f>IFERROR(INDEX(customers[country], MATCH(orders[[#This Row],[customer_id]], customers[customer_id], 0)), "Unmapped")</f>
        <v>Lithuania</v>
      </c>
      <c r="G2883" t="str">
        <f>IFERROR(INDEX(Region_Map[Region], MATCH(orders[[#This Row],[Customer_Country]], Region_Map[Country], 0)), "Unknown")</f>
        <v>Baltics</v>
      </c>
      <c r="H2883" t="s">
        <v>6949</v>
      </c>
    </row>
    <row r="2884" spans="1:8">
      <c r="A2884" t="s">
        <v>3789</v>
      </c>
      <c r="B2884" t="s">
        <v>42</v>
      </c>
      <c r="C2884" s="1">
        <v>45050</v>
      </c>
      <c r="D2884" s="1" t="str">
        <f>PROPER(orders[[#This Row],[order_priority]])</f>
        <v>Express</v>
      </c>
      <c r="E2884" t="s">
        <v>13318</v>
      </c>
      <c r="F2884" t="str">
        <f>IFERROR(INDEX(customers[country], MATCH(orders[[#This Row],[customer_id]], customers[customer_id], 0)), "Unmapped")</f>
        <v>Estonia</v>
      </c>
      <c r="G2884" t="str">
        <f>IFERROR(INDEX(Region_Map[Region], MATCH(orders[[#This Row],[Customer_Country]], Region_Map[Country], 0)), "Unknown")</f>
        <v>Baltics</v>
      </c>
      <c r="H2884" t="s">
        <v>6949</v>
      </c>
    </row>
    <row r="2885" spans="1:8">
      <c r="A2885" t="s">
        <v>3790</v>
      </c>
      <c r="B2885" t="s">
        <v>632</v>
      </c>
      <c r="C2885" s="1">
        <v>45072</v>
      </c>
      <c r="D2885" s="1" t="str">
        <f>PROPER(orders[[#This Row],[order_priority]])</f>
        <v>Same Day</v>
      </c>
      <c r="E2885" t="s">
        <v>13322</v>
      </c>
      <c r="F2885" t="str">
        <f>IFERROR(INDEX(customers[country], MATCH(orders[[#This Row],[customer_id]], customers[customer_id], 0)), "Unmapped")</f>
        <v>Norway</v>
      </c>
      <c r="G2885" t="str">
        <f>IFERROR(INDEX(Region_Map[Region], MATCH(orders[[#This Row],[Customer_Country]], Region_Map[Country], 0)), "Unknown")</f>
        <v>Nordics</v>
      </c>
      <c r="H2885" t="s">
        <v>6949</v>
      </c>
    </row>
    <row r="2886" spans="1:8">
      <c r="A2886" t="s">
        <v>3791</v>
      </c>
      <c r="B2886" t="s">
        <v>852</v>
      </c>
      <c r="C2886" s="1">
        <v>45085</v>
      </c>
      <c r="D2886" s="1" t="str">
        <f>PROPER(orders[[#This Row],[order_priority]])</f>
        <v>Express</v>
      </c>
      <c r="E2886" t="s">
        <v>13318</v>
      </c>
      <c r="F2886" t="str">
        <f>IFERROR(INDEX(customers[country], MATCH(orders[[#This Row],[customer_id]], customers[customer_id], 0)), "Unmapped")</f>
        <v>Sweden</v>
      </c>
      <c r="G2886" t="str">
        <f>IFERROR(INDEX(Region_Map[Region], MATCH(orders[[#This Row],[Customer_Country]], Region_Map[Country], 0)), "Unknown")</f>
        <v>Nordics</v>
      </c>
      <c r="H2886" t="s">
        <v>6949</v>
      </c>
    </row>
    <row r="2887" spans="1:8">
      <c r="A2887" t="s">
        <v>3792</v>
      </c>
      <c r="B2887" t="s">
        <v>222</v>
      </c>
      <c r="C2887" s="1">
        <v>45444</v>
      </c>
      <c r="D2887" s="1" t="str">
        <f>PROPER(orders[[#This Row],[order_priority]])</f>
        <v>Standard</v>
      </c>
      <c r="E2887" t="s">
        <v>13317</v>
      </c>
      <c r="F2887" t="str">
        <f>IFERROR(INDEX(customers[country], MATCH(orders[[#This Row],[customer_id]], customers[customer_id], 0)), "Unmapped")</f>
        <v>Norway</v>
      </c>
      <c r="G2887" t="str">
        <f>IFERROR(INDEX(Region_Map[Region], MATCH(orders[[#This Row],[Customer_Country]], Region_Map[Country], 0)), "Unknown")</f>
        <v>Nordics</v>
      </c>
      <c r="H2887" t="s">
        <v>6949</v>
      </c>
    </row>
    <row r="2888" spans="1:8">
      <c r="A2888" t="s">
        <v>3793</v>
      </c>
      <c r="B2888" t="s">
        <v>667</v>
      </c>
      <c r="C2888" s="1">
        <v>45489</v>
      </c>
      <c r="D2888" s="1" t="str">
        <f>PROPER(orders[[#This Row],[order_priority]])</f>
        <v>Same Day</v>
      </c>
      <c r="E2888" t="s">
        <v>13322</v>
      </c>
      <c r="F2888" t="str">
        <f>IFERROR(INDEX(customers[country], MATCH(orders[[#This Row],[customer_id]], customers[customer_id], 0)), "Unmapped")</f>
        <v>Germany</v>
      </c>
      <c r="G2888" t="str">
        <f>IFERROR(INDEX(Region_Map[Region], MATCH(orders[[#This Row],[Customer_Country]], Region_Map[Country], 0)), "Unknown")</f>
        <v>Central Europe</v>
      </c>
      <c r="H2888" t="s">
        <v>6949</v>
      </c>
    </row>
    <row r="2889" spans="1:8">
      <c r="A2889" t="s">
        <v>3794</v>
      </c>
      <c r="B2889" t="s">
        <v>210</v>
      </c>
      <c r="C2889" s="1">
        <v>45618</v>
      </c>
      <c r="D2889" s="1" t="str">
        <f>PROPER(orders[[#This Row],[order_priority]])</f>
        <v>Express</v>
      </c>
      <c r="E2889" t="s">
        <v>13320</v>
      </c>
      <c r="F2889" t="str">
        <f>IFERROR(INDEX(customers[country], MATCH(orders[[#This Row],[customer_id]], customers[customer_id], 0)), "Unmapped")</f>
        <v>Finland</v>
      </c>
      <c r="G2889" t="str">
        <f>IFERROR(INDEX(Region_Map[Region], MATCH(orders[[#This Row],[Customer_Country]], Region_Map[Country], 0)), "Unknown")</f>
        <v>Nordics</v>
      </c>
      <c r="H2889" t="s">
        <v>6949</v>
      </c>
    </row>
    <row r="2890" spans="1:8">
      <c r="A2890" t="s">
        <v>3795</v>
      </c>
      <c r="B2890" t="s">
        <v>790</v>
      </c>
      <c r="C2890" s="1">
        <v>44988</v>
      </c>
      <c r="D2890" s="1" t="str">
        <f>PROPER(orders[[#This Row],[order_priority]])</f>
        <v>Economy</v>
      </c>
      <c r="E2890" t="s">
        <v>13316</v>
      </c>
      <c r="F2890" t="str">
        <f>IFERROR(INDEX(customers[country], MATCH(orders[[#This Row],[customer_id]], customers[customer_id], 0)), "Unmapped")</f>
        <v>Germany</v>
      </c>
      <c r="G2890" t="str">
        <f>IFERROR(INDEX(Region_Map[Region], MATCH(orders[[#This Row],[Customer_Country]], Region_Map[Country], 0)), "Unknown")</f>
        <v>Central Europe</v>
      </c>
      <c r="H2890" t="s">
        <v>6949</v>
      </c>
    </row>
    <row r="2891" spans="1:8">
      <c r="A2891" t="s">
        <v>3796</v>
      </c>
      <c r="B2891" t="s">
        <v>894</v>
      </c>
      <c r="C2891" s="1">
        <v>45449</v>
      </c>
      <c r="D2891" s="1" t="str">
        <f>PROPER(orders[[#This Row],[order_priority]])</f>
        <v>Express</v>
      </c>
      <c r="E2891" t="s">
        <v>13318</v>
      </c>
      <c r="F2891" t="str">
        <f>IFERROR(INDEX(customers[country], MATCH(orders[[#This Row],[customer_id]], customers[customer_id], 0)), "Unmapped")</f>
        <v>Poland</v>
      </c>
      <c r="G2891" t="str">
        <f>IFERROR(INDEX(Region_Map[Region], MATCH(orders[[#This Row],[Customer_Country]], Region_Map[Country], 0)), "Unknown")</f>
        <v>Central Europe</v>
      </c>
      <c r="H2891" t="s">
        <v>6949</v>
      </c>
    </row>
    <row r="2892" spans="1:8">
      <c r="A2892" t="s">
        <v>3797</v>
      </c>
      <c r="B2892" t="s">
        <v>118</v>
      </c>
      <c r="C2892" s="1">
        <v>45294</v>
      </c>
      <c r="D2892" s="1" t="str">
        <f>PROPER(orders[[#This Row],[order_priority]])</f>
        <v>Express</v>
      </c>
      <c r="E2892" t="s">
        <v>13318</v>
      </c>
      <c r="F2892" t="str">
        <f>IFERROR(INDEX(customers[country], MATCH(orders[[#This Row],[customer_id]], customers[customer_id], 0)), "Unmapped")</f>
        <v>Denmark</v>
      </c>
      <c r="G2892" t="str">
        <f>IFERROR(INDEX(Region_Map[Region], MATCH(orders[[#This Row],[Customer_Country]], Region_Map[Country], 0)), "Unknown")</f>
        <v>Nordics</v>
      </c>
      <c r="H2892" t="s">
        <v>6949</v>
      </c>
    </row>
    <row r="2893" spans="1:8">
      <c r="A2893" t="s">
        <v>3798</v>
      </c>
      <c r="B2893" t="s">
        <v>368</v>
      </c>
      <c r="C2893" s="1">
        <v>44980</v>
      </c>
      <c r="D2893" s="1" t="str">
        <f>PROPER(orders[[#This Row],[order_priority]])</f>
        <v>Economy</v>
      </c>
      <c r="E2893" t="s">
        <v>13325</v>
      </c>
      <c r="F2893" t="str">
        <f>IFERROR(INDEX(customers[country], MATCH(orders[[#This Row],[customer_id]], customers[customer_id], 0)), "Unmapped")</f>
        <v>Poland</v>
      </c>
      <c r="G2893" t="str">
        <f>IFERROR(INDEX(Region_Map[Region], MATCH(orders[[#This Row],[Customer_Country]], Region_Map[Country], 0)), "Unknown")</f>
        <v>Central Europe</v>
      </c>
      <c r="H2893" t="s">
        <v>6949</v>
      </c>
    </row>
    <row r="2894" spans="1:8">
      <c r="A2894" t="s">
        <v>3799</v>
      </c>
      <c r="B2894" t="s">
        <v>735</v>
      </c>
      <c r="C2894" s="1">
        <v>44950</v>
      </c>
      <c r="D2894" s="1" t="str">
        <f>PROPER(orders[[#This Row],[order_priority]])</f>
        <v>Economy</v>
      </c>
      <c r="E2894" t="s">
        <v>13325</v>
      </c>
      <c r="F2894" t="str">
        <f>IFERROR(INDEX(customers[country], MATCH(orders[[#This Row],[customer_id]], customers[customer_id], 0)), "Unmapped")</f>
        <v>Poland</v>
      </c>
      <c r="G2894" t="str">
        <f>IFERROR(INDEX(Region_Map[Region], MATCH(orders[[#This Row],[Customer_Country]], Region_Map[Country], 0)), "Unknown")</f>
        <v>Central Europe</v>
      </c>
      <c r="H2894" t="s">
        <v>6949</v>
      </c>
    </row>
    <row r="2895" spans="1:8">
      <c r="A2895" t="s">
        <v>3800</v>
      </c>
      <c r="B2895" t="s">
        <v>207</v>
      </c>
      <c r="C2895" s="1">
        <v>44991</v>
      </c>
      <c r="D2895" s="1" t="str">
        <f>PROPER(orders[[#This Row],[order_priority]])</f>
        <v>Same Day</v>
      </c>
      <c r="E2895" t="s">
        <v>13322</v>
      </c>
      <c r="F2895" t="str">
        <f>IFERROR(INDEX(customers[country], MATCH(orders[[#This Row],[customer_id]], customers[customer_id], 0)), "Unmapped")</f>
        <v>Poland</v>
      </c>
      <c r="G2895" t="str">
        <f>IFERROR(INDEX(Region_Map[Region], MATCH(orders[[#This Row],[Customer_Country]], Region_Map[Country], 0)), "Unknown")</f>
        <v>Central Europe</v>
      </c>
      <c r="H2895" t="s">
        <v>6949</v>
      </c>
    </row>
    <row r="2896" spans="1:8">
      <c r="A2896" t="s">
        <v>3801</v>
      </c>
      <c r="B2896" t="s">
        <v>237</v>
      </c>
      <c r="C2896" s="1">
        <v>45425</v>
      </c>
      <c r="D2896" s="1" t="str">
        <f>PROPER(orders[[#This Row],[order_priority]])</f>
        <v>Standard</v>
      </c>
      <c r="E2896" t="s">
        <v>13323</v>
      </c>
      <c r="F2896" t="str">
        <f>IFERROR(INDEX(customers[country], MATCH(orders[[#This Row],[customer_id]], customers[customer_id], 0)), "Unmapped")</f>
        <v>Sweden</v>
      </c>
      <c r="G2896" t="str">
        <f>IFERROR(INDEX(Region_Map[Region], MATCH(orders[[#This Row],[Customer_Country]], Region_Map[Country], 0)), "Unknown")</f>
        <v>Nordics</v>
      </c>
      <c r="H2896" t="s">
        <v>6949</v>
      </c>
    </row>
    <row r="2897" spans="1:8">
      <c r="A2897" t="s">
        <v>3802</v>
      </c>
      <c r="B2897" t="s">
        <v>667</v>
      </c>
      <c r="C2897" s="1">
        <v>45393</v>
      </c>
      <c r="D2897" s="1" t="str">
        <f>PROPER(orders[[#This Row],[order_priority]])</f>
        <v>Express</v>
      </c>
      <c r="E2897" t="s">
        <v>13318</v>
      </c>
      <c r="F2897" t="str">
        <f>IFERROR(INDEX(customers[country], MATCH(orders[[#This Row],[customer_id]], customers[customer_id], 0)), "Unmapped")</f>
        <v>Germany</v>
      </c>
      <c r="G2897" t="str">
        <f>IFERROR(INDEX(Region_Map[Region], MATCH(orders[[#This Row],[Customer_Country]], Region_Map[Country], 0)), "Unknown")</f>
        <v>Central Europe</v>
      </c>
      <c r="H2897" t="s">
        <v>6949</v>
      </c>
    </row>
    <row r="2898" spans="1:8">
      <c r="A2898" t="s">
        <v>3803</v>
      </c>
      <c r="B2898" t="s">
        <v>906</v>
      </c>
      <c r="C2898" s="1">
        <v>44930</v>
      </c>
      <c r="D2898" s="1" t="str">
        <f>PROPER(orders[[#This Row],[order_priority]])</f>
        <v>Economy</v>
      </c>
      <c r="E2898" t="s">
        <v>13316</v>
      </c>
      <c r="F2898" t="str">
        <f>IFERROR(INDEX(customers[country], MATCH(orders[[#This Row],[customer_id]], customers[customer_id], 0)), "Unmapped")</f>
        <v>Sweden</v>
      </c>
      <c r="G2898" t="str">
        <f>IFERROR(INDEX(Region_Map[Region], MATCH(orders[[#This Row],[Customer_Country]], Region_Map[Country], 0)), "Unknown")</f>
        <v>Nordics</v>
      </c>
      <c r="H2898" t="s">
        <v>6949</v>
      </c>
    </row>
    <row r="2899" spans="1:8">
      <c r="A2899" t="s">
        <v>3804</v>
      </c>
      <c r="B2899" t="s">
        <v>332</v>
      </c>
      <c r="C2899" s="1">
        <v>45318</v>
      </c>
      <c r="D2899" s="1" t="str">
        <f>PROPER(orders[[#This Row],[order_priority]])</f>
        <v>Express</v>
      </c>
      <c r="E2899" t="s">
        <v>13318</v>
      </c>
      <c r="F2899" t="str">
        <f>IFERROR(INDEX(customers[country], MATCH(orders[[#This Row],[customer_id]], customers[customer_id], 0)), "Unmapped")</f>
        <v>Lithuania</v>
      </c>
      <c r="G2899" t="str">
        <f>IFERROR(INDEX(Region_Map[Region], MATCH(orders[[#This Row],[Customer_Country]], Region_Map[Country], 0)), "Unknown")</f>
        <v>Baltics</v>
      </c>
      <c r="H2899" t="s">
        <v>6949</v>
      </c>
    </row>
    <row r="2900" spans="1:8">
      <c r="A2900" t="s">
        <v>3805</v>
      </c>
      <c r="B2900" t="s">
        <v>249</v>
      </c>
      <c r="C2900" s="1">
        <v>45472</v>
      </c>
      <c r="D2900" s="1" t="str">
        <f>PROPER(orders[[#This Row],[order_priority]])</f>
        <v>Economy</v>
      </c>
      <c r="E2900" t="s">
        <v>13316</v>
      </c>
      <c r="F2900" t="str">
        <f>IFERROR(INDEX(customers[country], MATCH(orders[[#This Row],[customer_id]], customers[customer_id], 0)), "Unmapped")</f>
        <v>Estonia</v>
      </c>
      <c r="G2900" t="str">
        <f>IFERROR(INDEX(Region_Map[Region], MATCH(orders[[#This Row],[Customer_Country]], Region_Map[Country], 0)), "Unknown")</f>
        <v>Baltics</v>
      </c>
      <c r="H2900" t="s">
        <v>6949</v>
      </c>
    </row>
    <row r="2901" spans="1:8">
      <c r="A2901" t="s">
        <v>3806</v>
      </c>
      <c r="B2901" t="s">
        <v>359</v>
      </c>
      <c r="C2901" s="1">
        <v>45313</v>
      </c>
      <c r="D2901" s="1" t="str">
        <f>PROPER(orders[[#This Row],[order_priority]])</f>
        <v>Standard</v>
      </c>
      <c r="E2901" t="s">
        <v>13317</v>
      </c>
      <c r="F2901" t="str">
        <f>IFERROR(INDEX(customers[country], MATCH(orders[[#This Row],[customer_id]], customers[customer_id], 0)), "Unmapped")</f>
        <v>Estonia</v>
      </c>
      <c r="G2901" t="str">
        <f>IFERROR(INDEX(Region_Map[Region], MATCH(orders[[#This Row],[Customer_Country]], Region_Map[Country], 0)), "Unknown")</f>
        <v>Baltics</v>
      </c>
      <c r="H2901" t="s">
        <v>6949</v>
      </c>
    </row>
    <row r="2902" spans="1:8">
      <c r="A2902" t="s">
        <v>3807</v>
      </c>
      <c r="B2902" t="s">
        <v>142</v>
      </c>
      <c r="C2902" s="1">
        <v>45070</v>
      </c>
      <c r="D2902" s="1" t="str">
        <f>PROPER(orders[[#This Row],[order_priority]])</f>
        <v>Same Day</v>
      </c>
      <c r="E2902" t="s">
        <v>13322</v>
      </c>
      <c r="F2902" t="str">
        <f>IFERROR(INDEX(customers[country], MATCH(orders[[#This Row],[customer_id]], customers[customer_id], 0)), "Unmapped")</f>
        <v>Estonia</v>
      </c>
      <c r="G2902" t="str">
        <f>IFERROR(INDEX(Region_Map[Region], MATCH(orders[[#This Row],[Customer_Country]], Region_Map[Country], 0)), "Unknown")</f>
        <v>Baltics</v>
      </c>
      <c r="H2902" t="s">
        <v>6949</v>
      </c>
    </row>
    <row r="2903" spans="1:8">
      <c r="A2903" t="s">
        <v>3808</v>
      </c>
      <c r="B2903" t="s">
        <v>187</v>
      </c>
      <c r="C2903" s="1">
        <v>45023</v>
      </c>
      <c r="D2903" s="1" t="str">
        <f>PROPER(orders[[#This Row],[order_priority]])</f>
        <v>Standard</v>
      </c>
      <c r="E2903" t="s">
        <v>13317</v>
      </c>
      <c r="F2903" t="str">
        <f>IFERROR(INDEX(customers[country], MATCH(orders[[#This Row],[customer_id]], customers[customer_id], 0)), "Unmapped")</f>
        <v>Latvia</v>
      </c>
      <c r="G2903" t="str">
        <f>IFERROR(INDEX(Region_Map[Region], MATCH(orders[[#This Row],[Customer_Country]], Region_Map[Country], 0)), "Unknown")</f>
        <v>Baltics</v>
      </c>
      <c r="H2903" t="s">
        <v>6949</v>
      </c>
    </row>
    <row r="2904" spans="1:8">
      <c r="A2904" t="s">
        <v>3809</v>
      </c>
      <c r="B2904" t="s">
        <v>70</v>
      </c>
      <c r="C2904" s="1">
        <v>45424</v>
      </c>
      <c r="D2904" s="1" t="str">
        <f>PROPER(orders[[#This Row],[order_priority]])</f>
        <v>Express</v>
      </c>
      <c r="E2904" t="s">
        <v>13318</v>
      </c>
      <c r="F2904" t="str">
        <f>IFERROR(INDEX(customers[country], MATCH(orders[[#This Row],[customer_id]], customers[customer_id], 0)), "Unmapped")</f>
        <v>Estonia</v>
      </c>
      <c r="G2904" t="str">
        <f>IFERROR(INDEX(Region_Map[Region], MATCH(orders[[#This Row],[Customer_Country]], Region_Map[Country], 0)), "Unknown")</f>
        <v>Baltics</v>
      </c>
      <c r="H2904" t="s">
        <v>6949</v>
      </c>
    </row>
    <row r="2905" spans="1:8">
      <c r="A2905" t="s">
        <v>3810</v>
      </c>
      <c r="B2905" t="s">
        <v>685</v>
      </c>
      <c r="C2905" s="1">
        <v>45604</v>
      </c>
      <c r="D2905" s="1" t="str">
        <f>PROPER(orders[[#This Row],[order_priority]])</f>
        <v>Economy</v>
      </c>
      <c r="E2905" t="s">
        <v>13316</v>
      </c>
      <c r="F2905" t="str">
        <f>IFERROR(INDEX(customers[country], MATCH(orders[[#This Row],[customer_id]], customers[customer_id], 0)), "Unmapped")</f>
        <v>Latvia</v>
      </c>
      <c r="G2905" t="str">
        <f>IFERROR(INDEX(Region_Map[Region], MATCH(orders[[#This Row],[Customer_Country]], Region_Map[Country], 0)), "Unknown")</f>
        <v>Baltics</v>
      </c>
      <c r="H2905" t="s">
        <v>6949</v>
      </c>
    </row>
    <row r="2906" spans="1:8">
      <c r="A2906" t="s">
        <v>3811</v>
      </c>
      <c r="B2906" t="s">
        <v>184</v>
      </c>
      <c r="C2906" s="1">
        <v>45477</v>
      </c>
      <c r="D2906" s="1" t="str">
        <f>PROPER(orders[[#This Row],[order_priority]])</f>
        <v>Economy</v>
      </c>
      <c r="E2906" t="s">
        <v>13316</v>
      </c>
      <c r="F2906" t="str">
        <f>IFERROR(INDEX(customers[country], MATCH(orders[[#This Row],[customer_id]], customers[customer_id], 0)), "Unmapped")</f>
        <v>Netherlands</v>
      </c>
      <c r="G2906" t="str">
        <f>IFERROR(INDEX(Region_Map[Region], MATCH(orders[[#This Row],[Customer_Country]], Region_Map[Country], 0)), "Unknown")</f>
        <v>Central Europe</v>
      </c>
      <c r="H2906" t="s">
        <v>6949</v>
      </c>
    </row>
    <row r="2907" spans="1:8">
      <c r="A2907" t="s">
        <v>3812</v>
      </c>
      <c r="B2907" t="s">
        <v>383</v>
      </c>
      <c r="C2907" s="1">
        <v>45269</v>
      </c>
      <c r="D2907" s="1" t="str">
        <f>PROPER(orders[[#This Row],[order_priority]])</f>
        <v>Express</v>
      </c>
      <c r="E2907" t="s">
        <v>13318</v>
      </c>
      <c r="F2907" t="str">
        <f>IFERROR(INDEX(customers[country], MATCH(orders[[#This Row],[customer_id]], customers[customer_id], 0)), "Unmapped")</f>
        <v>Germany</v>
      </c>
      <c r="G2907" t="str">
        <f>IFERROR(INDEX(Region_Map[Region], MATCH(orders[[#This Row],[Customer_Country]], Region_Map[Country], 0)), "Unknown")</f>
        <v>Central Europe</v>
      </c>
      <c r="H2907" t="s">
        <v>6949</v>
      </c>
    </row>
    <row r="2908" spans="1:8">
      <c r="A2908" t="s">
        <v>3813</v>
      </c>
      <c r="B2908" t="s">
        <v>563</v>
      </c>
      <c r="C2908" s="1">
        <v>45425</v>
      </c>
      <c r="D2908" s="1" t="str">
        <f>PROPER(orders[[#This Row],[order_priority]])</f>
        <v>Same Day</v>
      </c>
      <c r="E2908" t="s">
        <v>13324</v>
      </c>
      <c r="F2908" t="str">
        <f>IFERROR(INDEX(customers[country], MATCH(orders[[#This Row],[customer_id]], customers[customer_id], 0)), "Unmapped")</f>
        <v>Estonia</v>
      </c>
      <c r="G2908" t="str">
        <f>IFERROR(INDEX(Region_Map[Region], MATCH(orders[[#This Row],[Customer_Country]], Region_Map[Country], 0)), "Unknown")</f>
        <v>Baltics</v>
      </c>
      <c r="H2908" t="s">
        <v>6949</v>
      </c>
    </row>
    <row r="2909" spans="1:8">
      <c r="A2909" t="s">
        <v>3814</v>
      </c>
      <c r="B2909" t="s">
        <v>461</v>
      </c>
      <c r="C2909" s="1">
        <v>45375</v>
      </c>
      <c r="D2909" s="1" t="str">
        <f>PROPER(orders[[#This Row],[order_priority]])</f>
        <v>Economy</v>
      </c>
      <c r="E2909" t="s">
        <v>13316</v>
      </c>
      <c r="F2909" t="str">
        <f>IFERROR(INDEX(customers[country], MATCH(orders[[#This Row],[customer_id]], customers[customer_id], 0)), "Unmapped")</f>
        <v>Latvia</v>
      </c>
      <c r="G2909" t="str">
        <f>IFERROR(INDEX(Region_Map[Region], MATCH(orders[[#This Row],[Customer_Country]], Region_Map[Country], 0)), "Unknown")</f>
        <v>Baltics</v>
      </c>
      <c r="H2909" t="s">
        <v>6949</v>
      </c>
    </row>
    <row r="2910" spans="1:8">
      <c r="A2910" t="s">
        <v>3815</v>
      </c>
      <c r="B2910" t="s">
        <v>805</v>
      </c>
      <c r="C2910" s="1">
        <v>45486</v>
      </c>
      <c r="D2910" s="1" t="str">
        <f>PROPER(orders[[#This Row],[order_priority]])</f>
        <v>Same Day</v>
      </c>
      <c r="E2910" t="s">
        <v>13322</v>
      </c>
      <c r="F2910" t="str">
        <f>IFERROR(INDEX(customers[country], MATCH(orders[[#This Row],[customer_id]], customers[customer_id], 0)), "Unmapped")</f>
        <v>Estonia</v>
      </c>
      <c r="G2910" t="str">
        <f>IFERROR(INDEX(Region_Map[Region], MATCH(orders[[#This Row],[Customer_Country]], Region_Map[Country], 0)), "Unknown")</f>
        <v>Baltics</v>
      </c>
      <c r="H2910" t="s">
        <v>6949</v>
      </c>
    </row>
    <row r="2911" spans="1:8">
      <c r="A2911" t="s">
        <v>3816</v>
      </c>
      <c r="B2911" t="s">
        <v>733</v>
      </c>
      <c r="C2911" s="1">
        <v>45300</v>
      </c>
      <c r="D2911" s="1" t="str">
        <f>PROPER(orders[[#This Row],[order_priority]])</f>
        <v>Same Day</v>
      </c>
      <c r="E2911" t="s">
        <v>13322</v>
      </c>
      <c r="F2911" t="str">
        <f>IFERROR(INDEX(customers[country], MATCH(orders[[#This Row],[customer_id]], customers[customer_id], 0)), "Unmapped")</f>
        <v>Lithuania</v>
      </c>
      <c r="G2911" t="str">
        <f>IFERROR(INDEX(Region_Map[Region], MATCH(orders[[#This Row],[Customer_Country]], Region_Map[Country], 0)), "Unknown")</f>
        <v>Baltics</v>
      </c>
      <c r="H2911" t="s">
        <v>6949</v>
      </c>
    </row>
    <row r="2912" spans="1:8">
      <c r="A2912" t="s">
        <v>3817</v>
      </c>
      <c r="B2912" t="s">
        <v>279</v>
      </c>
      <c r="C2912" s="1">
        <v>45394</v>
      </c>
      <c r="D2912" s="1" t="str">
        <f>PROPER(orders[[#This Row],[order_priority]])</f>
        <v>Same Day</v>
      </c>
      <c r="E2912" t="s">
        <v>13321</v>
      </c>
      <c r="F2912" t="str">
        <f>IFERROR(INDEX(customers[country], MATCH(orders[[#This Row],[customer_id]], customers[customer_id], 0)), "Unmapped")</f>
        <v>Germany</v>
      </c>
      <c r="G2912" t="str">
        <f>IFERROR(INDEX(Region_Map[Region], MATCH(orders[[#This Row],[Customer_Country]], Region_Map[Country], 0)), "Unknown")</f>
        <v>Central Europe</v>
      </c>
      <c r="H2912" t="s">
        <v>6949</v>
      </c>
    </row>
    <row r="2913" spans="1:8">
      <c r="A2913" t="s">
        <v>3818</v>
      </c>
      <c r="B2913" t="s">
        <v>590</v>
      </c>
      <c r="C2913" s="1">
        <v>45441</v>
      </c>
      <c r="D2913" s="1" t="str">
        <f>PROPER(orders[[#This Row],[order_priority]])</f>
        <v>Express</v>
      </c>
      <c r="E2913" t="s">
        <v>13318</v>
      </c>
      <c r="F2913" t="str">
        <f>IFERROR(INDEX(customers[country], MATCH(orders[[#This Row],[customer_id]], customers[customer_id], 0)), "Unmapped")</f>
        <v>Finland</v>
      </c>
      <c r="G2913" t="str">
        <f>IFERROR(INDEX(Region_Map[Region], MATCH(orders[[#This Row],[Customer_Country]], Region_Map[Country], 0)), "Unknown")</f>
        <v>Nordics</v>
      </c>
      <c r="H2913" t="s">
        <v>6949</v>
      </c>
    </row>
    <row r="2914" spans="1:8">
      <c r="A2914" t="s">
        <v>3819</v>
      </c>
      <c r="B2914" t="s">
        <v>746</v>
      </c>
      <c r="C2914" s="1">
        <v>45475</v>
      </c>
      <c r="D2914" s="1" t="str">
        <f>PROPER(orders[[#This Row],[order_priority]])</f>
        <v>Same Day</v>
      </c>
      <c r="E2914" t="s">
        <v>13322</v>
      </c>
      <c r="F2914" t="str">
        <f>IFERROR(INDEX(customers[country], MATCH(orders[[#This Row],[customer_id]], customers[customer_id], 0)), "Unmapped")</f>
        <v>Poland</v>
      </c>
      <c r="G2914" t="str">
        <f>IFERROR(INDEX(Region_Map[Region], MATCH(orders[[#This Row],[Customer_Country]], Region_Map[Country], 0)), "Unknown")</f>
        <v>Central Europe</v>
      </c>
      <c r="H2914" t="s">
        <v>6949</v>
      </c>
    </row>
    <row r="2915" spans="1:8">
      <c r="A2915" t="s">
        <v>3820</v>
      </c>
      <c r="B2915" t="s">
        <v>413</v>
      </c>
      <c r="C2915" s="1">
        <v>45389</v>
      </c>
      <c r="D2915" s="1" t="str">
        <f>PROPER(orders[[#This Row],[order_priority]])</f>
        <v>Express</v>
      </c>
      <c r="E2915" t="s">
        <v>13318</v>
      </c>
      <c r="F2915" t="str">
        <f>IFERROR(INDEX(customers[country], MATCH(orders[[#This Row],[customer_id]], customers[customer_id], 0)), "Unmapped")</f>
        <v>Poland</v>
      </c>
      <c r="G2915" t="str">
        <f>IFERROR(INDEX(Region_Map[Region], MATCH(orders[[#This Row],[Customer_Country]], Region_Map[Country], 0)), "Unknown")</f>
        <v>Central Europe</v>
      </c>
      <c r="H2915" t="s">
        <v>6949</v>
      </c>
    </row>
    <row r="2916" spans="1:8">
      <c r="A2916" t="s">
        <v>3821</v>
      </c>
      <c r="B2916" t="s">
        <v>897</v>
      </c>
      <c r="C2916" s="1">
        <v>45104</v>
      </c>
      <c r="D2916" s="1" t="str">
        <f>PROPER(orders[[#This Row],[order_priority]])</f>
        <v>Same Day</v>
      </c>
      <c r="E2916" t="s">
        <v>13322</v>
      </c>
      <c r="F2916" t="str">
        <f>IFERROR(INDEX(customers[country], MATCH(orders[[#This Row],[customer_id]], customers[customer_id], 0)), "Unmapped")</f>
        <v>Netherlands</v>
      </c>
      <c r="G2916" t="str">
        <f>IFERROR(INDEX(Region_Map[Region], MATCH(orders[[#This Row],[Customer_Country]], Region_Map[Country], 0)), "Unknown")</f>
        <v>Central Europe</v>
      </c>
      <c r="H2916" t="s">
        <v>6949</v>
      </c>
    </row>
    <row r="2917" spans="1:8">
      <c r="A2917" t="s">
        <v>3822</v>
      </c>
      <c r="B2917" t="s">
        <v>15</v>
      </c>
      <c r="C2917" s="1">
        <v>45504</v>
      </c>
      <c r="D2917" s="1" t="str">
        <f>PROPER(orders[[#This Row],[order_priority]])</f>
        <v>Economy</v>
      </c>
      <c r="E2917" t="s">
        <v>13316</v>
      </c>
      <c r="F2917" t="str">
        <f>IFERROR(INDEX(customers[country], MATCH(orders[[#This Row],[customer_id]], customers[customer_id], 0)), "Unmapped")</f>
        <v>Estonia</v>
      </c>
      <c r="G2917" t="str">
        <f>IFERROR(INDEX(Region_Map[Region], MATCH(orders[[#This Row],[Customer_Country]], Region_Map[Country], 0)), "Unknown")</f>
        <v>Baltics</v>
      </c>
      <c r="H2917" t="s">
        <v>6949</v>
      </c>
    </row>
    <row r="2918" spans="1:8">
      <c r="A2918" t="s">
        <v>3823</v>
      </c>
      <c r="B2918" t="s">
        <v>650</v>
      </c>
      <c r="C2918" s="1">
        <v>45013</v>
      </c>
      <c r="D2918" s="1" t="str">
        <f>PROPER(orders[[#This Row],[order_priority]])</f>
        <v>Economy</v>
      </c>
      <c r="E2918" t="s">
        <v>13316</v>
      </c>
      <c r="F2918" t="str">
        <f>IFERROR(INDEX(customers[country], MATCH(orders[[#This Row],[customer_id]], customers[customer_id], 0)), "Unmapped")</f>
        <v>Poland</v>
      </c>
      <c r="G2918" t="str">
        <f>IFERROR(INDEX(Region_Map[Region], MATCH(orders[[#This Row],[Customer_Country]], Region_Map[Country], 0)), "Unknown")</f>
        <v>Central Europe</v>
      </c>
      <c r="H2918" t="s">
        <v>6949</v>
      </c>
    </row>
    <row r="2919" spans="1:8">
      <c r="A2919" t="s">
        <v>3824</v>
      </c>
      <c r="B2919" t="s">
        <v>434</v>
      </c>
      <c r="C2919" s="1">
        <v>45250</v>
      </c>
      <c r="D2919" s="1" t="str">
        <f>PROPER(orders[[#This Row],[order_priority]])</f>
        <v>Standard</v>
      </c>
      <c r="E2919" t="s">
        <v>13317</v>
      </c>
      <c r="F2919" t="str">
        <f>IFERROR(INDEX(customers[country], MATCH(orders[[#This Row],[customer_id]], customers[customer_id], 0)), "Unmapped")</f>
        <v>Lithuania</v>
      </c>
      <c r="G2919" t="str">
        <f>IFERROR(INDEX(Region_Map[Region], MATCH(orders[[#This Row],[Customer_Country]], Region_Map[Country], 0)), "Unknown")</f>
        <v>Baltics</v>
      </c>
      <c r="H2919" t="s">
        <v>6949</v>
      </c>
    </row>
    <row r="2920" spans="1:8">
      <c r="A2920" t="s">
        <v>3825</v>
      </c>
      <c r="B2920" t="s">
        <v>849</v>
      </c>
      <c r="C2920" s="1">
        <v>45201</v>
      </c>
      <c r="D2920" s="1" t="str">
        <f>PROPER(orders[[#This Row],[order_priority]])</f>
        <v>Express</v>
      </c>
      <c r="E2920" t="s">
        <v>13318</v>
      </c>
      <c r="F2920" t="str">
        <f>IFERROR(INDEX(customers[country], MATCH(orders[[#This Row],[customer_id]], customers[customer_id], 0)), "Unmapped")</f>
        <v>Lithuania</v>
      </c>
      <c r="G2920" t="str">
        <f>IFERROR(INDEX(Region_Map[Region], MATCH(orders[[#This Row],[Customer_Country]], Region_Map[Country], 0)), "Unknown")</f>
        <v>Baltics</v>
      </c>
      <c r="H2920" t="s">
        <v>6949</v>
      </c>
    </row>
    <row r="2921" spans="1:8">
      <c r="A2921" t="s">
        <v>3826</v>
      </c>
      <c r="B2921" t="s">
        <v>620</v>
      </c>
      <c r="C2921" s="1">
        <v>45537</v>
      </c>
      <c r="D2921" s="1" t="str">
        <f>PROPER(orders[[#This Row],[order_priority]])</f>
        <v>Express</v>
      </c>
      <c r="E2921" t="s">
        <v>13318</v>
      </c>
      <c r="F2921" t="str">
        <f>IFERROR(INDEX(customers[country], MATCH(orders[[#This Row],[customer_id]], customers[customer_id], 0)), "Unmapped")</f>
        <v>Latvia</v>
      </c>
      <c r="G2921" t="str">
        <f>IFERROR(INDEX(Region_Map[Region], MATCH(orders[[#This Row],[Customer_Country]], Region_Map[Country], 0)), "Unknown")</f>
        <v>Baltics</v>
      </c>
      <c r="H2921" t="s">
        <v>6949</v>
      </c>
    </row>
    <row r="2922" spans="1:8">
      <c r="A2922" t="s">
        <v>3827</v>
      </c>
      <c r="B2922" t="s">
        <v>6949</v>
      </c>
      <c r="C2922" s="1">
        <v>45353</v>
      </c>
      <c r="D2922" s="1" t="str">
        <f>PROPER(orders[[#This Row],[order_priority]])</f>
        <v>Express</v>
      </c>
      <c r="E2922" t="s">
        <v>13318</v>
      </c>
      <c r="F2922" t="str">
        <f>IFERROR(INDEX(customers[country], MATCH(orders[[#This Row],[customer_id]], customers[customer_id], 0)), "Unmapped")</f>
        <v>Unmapped</v>
      </c>
      <c r="G2922" t="str">
        <f>IFERROR(INDEX(Region_Map[Region], MATCH(orders[[#This Row],[Customer_Country]], Region_Map[Country], 0)), "Unknown")</f>
        <v>Unknown</v>
      </c>
      <c r="H2922" t="s">
        <v>6949</v>
      </c>
    </row>
    <row r="2923" spans="1:8">
      <c r="A2923" t="s">
        <v>3828</v>
      </c>
      <c r="B2923" t="s">
        <v>599</v>
      </c>
      <c r="C2923" s="1">
        <v>45175</v>
      </c>
      <c r="D2923" s="1" t="str">
        <f>PROPER(orders[[#This Row],[order_priority]])</f>
        <v>Express</v>
      </c>
      <c r="E2923" t="s">
        <v>13318</v>
      </c>
      <c r="F2923" t="str">
        <f>IFERROR(INDEX(customers[country], MATCH(orders[[#This Row],[customer_id]], customers[customer_id], 0)), "Unmapped")</f>
        <v>Germany</v>
      </c>
      <c r="G2923" t="str">
        <f>IFERROR(INDEX(Region_Map[Region], MATCH(orders[[#This Row],[Customer_Country]], Region_Map[Country], 0)), "Unknown")</f>
        <v>Central Europe</v>
      </c>
      <c r="H2923" t="s">
        <v>6949</v>
      </c>
    </row>
    <row r="2924" spans="1:8">
      <c r="A2924" t="s">
        <v>3829</v>
      </c>
      <c r="B2924" t="s">
        <v>341</v>
      </c>
      <c r="C2924" s="1">
        <v>45536</v>
      </c>
      <c r="D2924" s="1" t="str">
        <f>PROPER(orders[[#This Row],[order_priority]])</f>
        <v>Economy</v>
      </c>
      <c r="E2924" t="s">
        <v>13316</v>
      </c>
      <c r="F2924" t="str">
        <f>IFERROR(INDEX(customers[country], MATCH(orders[[#This Row],[customer_id]], customers[customer_id], 0)), "Unmapped")</f>
        <v>Latvia</v>
      </c>
      <c r="G2924" t="str">
        <f>IFERROR(INDEX(Region_Map[Region], MATCH(orders[[#This Row],[Customer_Country]], Region_Map[Country], 0)), "Unknown")</f>
        <v>Baltics</v>
      </c>
      <c r="H2924" t="s">
        <v>6949</v>
      </c>
    </row>
    <row r="2925" spans="1:8">
      <c r="A2925" t="s">
        <v>3830</v>
      </c>
      <c r="B2925" t="s">
        <v>867</v>
      </c>
      <c r="C2925" s="1">
        <v>45489</v>
      </c>
      <c r="D2925" s="1" t="str">
        <f>PROPER(orders[[#This Row],[order_priority]])</f>
        <v>Economy</v>
      </c>
      <c r="E2925" t="s">
        <v>13316</v>
      </c>
      <c r="F2925" t="str">
        <f>IFERROR(INDEX(customers[country], MATCH(orders[[#This Row],[customer_id]], customers[customer_id], 0)), "Unmapped")</f>
        <v>Denmark</v>
      </c>
      <c r="G2925" t="str">
        <f>IFERROR(INDEX(Region_Map[Region], MATCH(orders[[#This Row],[Customer_Country]], Region_Map[Country], 0)), "Unknown")</f>
        <v>Nordics</v>
      </c>
      <c r="H2925" t="s">
        <v>6949</v>
      </c>
    </row>
    <row r="2926" spans="1:8">
      <c r="A2926" t="s">
        <v>3831</v>
      </c>
      <c r="B2926" t="s">
        <v>207</v>
      </c>
      <c r="C2926" s="1">
        <v>45061</v>
      </c>
      <c r="D2926" s="1" t="str">
        <f>PROPER(orders[[#This Row],[order_priority]])</f>
        <v>Standard</v>
      </c>
      <c r="E2926" t="s">
        <v>13317</v>
      </c>
      <c r="F2926" t="str">
        <f>IFERROR(INDEX(customers[country], MATCH(orders[[#This Row],[customer_id]], customers[customer_id], 0)), "Unmapped")</f>
        <v>Poland</v>
      </c>
      <c r="G2926" t="str">
        <f>IFERROR(INDEX(Region_Map[Region], MATCH(orders[[#This Row],[Customer_Country]], Region_Map[Country], 0)), "Unknown")</f>
        <v>Central Europe</v>
      </c>
      <c r="H2926" t="s">
        <v>6949</v>
      </c>
    </row>
    <row r="2927" spans="1:8">
      <c r="A2927" t="s">
        <v>3832</v>
      </c>
      <c r="B2927" t="s">
        <v>42</v>
      </c>
      <c r="C2927" s="1">
        <v>45031</v>
      </c>
      <c r="D2927" s="1" t="str">
        <f>PROPER(orders[[#This Row],[order_priority]])</f>
        <v>Standard</v>
      </c>
      <c r="E2927" t="s">
        <v>13317</v>
      </c>
      <c r="F2927" t="str">
        <f>IFERROR(INDEX(customers[country], MATCH(orders[[#This Row],[customer_id]], customers[customer_id], 0)), "Unmapped")</f>
        <v>Estonia</v>
      </c>
      <c r="G2927" t="str">
        <f>IFERROR(INDEX(Region_Map[Region], MATCH(orders[[#This Row],[Customer_Country]], Region_Map[Country], 0)), "Unknown")</f>
        <v>Baltics</v>
      </c>
      <c r="H2927" t="s">
        <v>6949</v>
      </c>
    </row>
    <row r="2928" spans="1:8">
      <c r="A2928" t="s">
        <v>3833</v>
      </c>
      <c r="B2928" t="s">
        <v>644</v>
      </c>
      <c r="C2928" s="1">
        <v>45247</v>
      </c>
      <c r="D2928" s="1" t="str">
        <f>PROPER(orders[[#This Row],[order_priority]])</f>
        <v>Standard</v>
      </c>
      <c r="E2928" t="s">
        <v>13317</v>
      </c>
      <c r="F2928" t="str">
        <f>IFERROR(INDEX(customers[country], MATCH(orders[[#This Row],[customer_id]], customers[customer_id], 0)), "Unmapped")</f>
        <v>Germany</v>
      </c>
      <c r="G2928" t="str">
        <f>IFERROR(INDEX(Region_Map[Region], MATCH(orders[[#This Row],[Customer_Country]], Region_Map[Country], 0)), "Unknown")</f>
        <v>Central Europe</v>
      </c>
      <c r="H2928" t="s">
        <v>6949</v>
      </c>
    </row>
    <row r="2929" spans="1:8">
      <c r="A2929" t="s">
        <v>3834</v>
      </c>
      <c r="B2929" t="s">
        <v>383</v>
      </c>
      <c r="C2929" s="1">
        <v>45019</v>
      </c>
      <c r="D2929" s="1" t="str">
        <f>PROPER(orders[[#This Row],[order_priority]])</f>
        <v>Standard</v>
      </c>
      <c r="E2929" t="s">
        <v>13319</v>
      </c>
      <c r="F2929" t="str">
        <f>IFERROR(INDEX(customers[country], MATCH(orders[[#This Row],[customer_id]], customers[customer_id], 0)), "Unmapped")</f>
        <v>Germany</v>
      </c>
      <c r="G2929" t="str">
        <f>IFERROR(INDEX(Region_Map[Region], MATCH(orders[[#This Row],[Customer_Country]], Region_Map[Country], 0)), "Unknown")</f>
        <v>Central Europe</v>
      </c>
      <c r="H2929" t="s">
        <v>6949</v>
      </c>
    </row>
    <row r="2930" spans="1:8">
      <c r="A2930" t="s">
        <v>3835</v>
      </c>
      <c r="B2930" t="s">
        <v>392</v>
      </c>
      <c r="C2930" s="1">
        <v>45567</v>
      </c>
      <c r="D2930" s="1" t="str">
        <f>PROPER(orders[[#This Row],[order_priority]])</f>
        <v>Economy</v>
      </c>
      <c r="E2930" t="s">
        <v>13316</v>
      </c>
      <c r="F2930" t="str">
        <f>IFERROR(INDEX(customers[country], MATCH(orders[[#This Row],[customer_id]], customers[customer_id], 0)), "Unmapped")</f>
        <v>Latvia</v>
      </c>
      <c r="G2930" t="str">
        <f>IFERROR(INDEX(Region_Map[Region], MATCH(orders[[#This Row],[Customer_Country]], Region_Map[Country], 0)), "Unknown")</f>
        <v>Baltics</v>
      </c>
      <c r="H2930" t="s">
        <v>6949</v>
      </c>
    </row>
    <row r="2931" spans="1:8">
      <c r="A2931" t="s">
        <v>3836</v>
      </c>
      <c r="B2931" t="s">
        <v>314</v>
      </c>
      <c r="C2931" s="1">
        <v>45467</v>
      </c>
      <c r="D2931" s="1" t="str">
        <f>PROPER(orders[[#This Row],[order_priority]])</f>
        <v>Same Day</v>
      </c>
      <c r="E2931" t="s">
        <v>13322</v>
      </c>
      <c r="F2931" t="str">
        <f>IFERROR(INDEX(customers[country], MATCH(orders[[#This Row],[customer_id]], customers[customer_id], 0)), "Unmapped")</f>
        <v>Poland</v>
      </c>
      <c r="G2931" t="str">
        <f>IFERROR(INDEX(Region_Map[Region], MATCH(orders[[#This Row],[Customer_Country]], Region_Map[Country], 0)), "Unknown")</f>
        <v>Central Europe</v>
      </c>
      <c r="H2931" t="s">
        <v>6949</v>
      </c>
    </row>
    <row r="2932" spans="1:8">
      <c r="A2932" t="s">
        <v>3837</v>
      </c>
      <c r="B2932" t="s">
        <v>676</v>
      </c>
      <c r="C2932" s="1">
        <v>45444</v>
      </c>
      <c r="D2932" s="1" t="str">
        <f>PROPER(orders[[#This Row],[order_priority]])</f>
        <v>Same Day</v>
      </c>
      <c r="E2932" t="s">
        <v>13322</v>
      </c>
      <c r="F2932" t="str">
        <f>IFERROR(INDEX(customers[country], MATCH(orders[[#This Row],[customer_id]], customers[customer_id], 0)), "Unmapped")</f>
        <v>Latvia</v>
      </c>
      <c r="G2932" t="str">
        <f>IFERROR(INDEX(Region_Map[Region], MATCH(orders[[#This Row],[Customer_Country]], Region_Map[Country], 0)), "Unknown")</f>
        <v>Baltics</v>
      </c>
      <c r="H2932" t="s">
        <v>6949</v>
      </c>
    </row>
    <row r="2933" spans="1:8">
      <c r="A2933" t="s">
        <v>3838</v>
      </c>
      <c r="B2933" t="s">
        <v>470</v>
      </c>
      <c r="C2933" s="1">
        <v>45400</v>
      </c>
      <c r="D2933" s="1" t="str">
        <f>PROPER(orders[[#This Row],[order_priority]])</f>
        <v>Same Day</v>
      </c>
      <c r="E2933" t="s">
        <v>13322</v>
      </c>
      <c r="F2933" t="str">
        <f>IFERROR(INDEX(customers[country], MATCH(orders[[#This Row],[customer_id]], customers[customer_id], 0)), "Unmapped")</f>
        <v>Norway</v>
      </c>
      <c r="G2933" t="str">
        <f>IFERROR(INDEX(Region_Map[Region], MATCH(orders[[#This Row],[Customer_Country]], Region_Map[Country], 0)), "Unknown")</f>
        <v>Nordics</v>
      </c>
      <c r="H2933" t="s">
        <v>6949</v>
      </c>
    </row>
    <row r="2934" spans="1:8">
      <c r="A2934" t="s">
        <v>3839</v>
      </c>
      <c r="B2934" t="s">
        <v>356</v>
      </c>
      <c r="C2934" s="1">
        <v>45289</v>
      </c>
      <c r="D2934" s="1" t="str">
        <f>PROPER(orders[[#This Row],[order_priority]])</f>
        <v>Standard</v>
      </c>
      <c r="E2934" t="s">
        <v>13317</v>
      </c>
      <c r="F2934" t="str">
        <f>IFERROR(INDEX(customers[country], MATCH(orders[[#This Row],[customer_id]], customers[customer_id], 0)), "Unmapped")</f>
        <v>Netherlands</v>
      </c>
      <c r="G2934" t="str">
        <f>IFERROR(INDEX(Region_Map[Region], MATCH(orders[[#This Row],[Customer_Country]], Region_Map[Country], 0)), "Unknown")</f>
        <v>Central Europe</v>
      </c>
      <c r="H2934" t="s">
        <v>6949</v>
      </c>
    </row>
    <row r="2935" spans="1:8">
      <c r="A2935" t="s">
        <v>3840</v>
      </c>
      <c r="B2935" t="s">
        <v>61</v>
      </c>
      <c r="C2935" s="1">
        <v>45371</v>
      </c>
      <c r="D2935" s="1" t="str">
        <f>PROPER(orders[[#This Row],[order_priority]])</f>
        <v>Same Day</v>
      </c>
      <c r="E2935" t="s">
        <v>13322</v>
      </c>
      <c r="F2935" t="str">
        <f>IFERROR(INDEX(customers[country], MATCH(orders[[#This Row],[customer_id]], customers[customer_id], 0)), "Unmapped")</f>
        <v>Netherlands</v>
      </c>
      <c r="G2935" t="str">
        <f>IFERROR(INDEX(Region_Map[Region], MATCH(orders[[#This Row],[Customer_Country]], Region_Map[Country], 0)), "Unknown")</f>
        <v>Central Europe</v>
      </c>
      <c r="H2935" t="s">
        <v>6949</v>
      </c>
    </row>
    <row r="2936" spans="1:8">
      <c r="A2936" t="s">
        <v>3841</v>
      </c>
      <c r="B2936" t="s">
        <v>118</v>
      </c>
      <c r="C2936" s="1">
        <v>45285</v>
      </c>
      <c r="D2936" s="1" t="str">
        <f>PROPER(orders[[#This Row],[order_priority]])</f>
        <v>Standard</v>
      </c>
      <c r="E2936" t="s">
        <v>13317</v>
      </c>
      <c r="F2936" t="str">
        <f>IFERROR(INDEX(customers[country], MATCH(orders[[#This Row],[customer_id]], customers[customer_id], 0)), "Unmapped")</f>
        <v>Denmark</v>
      </c>
      <c r="G2936" t="str">
        <f>IFERROR(INDEX(Region_Map[Region], MATCH(orders[[#This Row],[Customer_Country]], Region_Map[Country], 0)), "Unknown")</f>
        <v>Nordics</v>
      </c>
      <c r="H2936" t="s">
        <v>6949</v>
      </c>
    </row>
    <row r="2937" spans="1:8">
      <c r="A2937" t="s">
        <v>3842</v>
      </c>
      <c r="B2937" t="s">
        <v>6949</v>
      </c>
      <c r="C2937" s="1">
        <v>45113</v>
      </c>
      <c r="D2937" s="1" t="str">
        <f>PROPER(orders[[#This Row],[order_priority]])</f>
        <v>Standard</v>
      </c>
      <c r="E2937" t="s">
        <v>13317</v>
      </c>
      <c r="F2937" t="str">
        <f>IFERROR(INDEX(customers[country], MATCH(orders[[#This Row],[customer_id]], customers[customer_id], 0)), "Unmapped")</f>
        <v>Unmapped</v>
      </c>
      <c r="G2937" t="str">
        <f>IFERROR(INDEX(Region_Map[Region], MATCH(orders[[#This Row],[Customer_Country]], Region_Map[Country], 0)), "Unknown")</f>
        <v>Unknown</v>
      </c>
      <c r="H2937" t="s">
        <v>6949</v>
      </c>
    </row>
    <row r="2938" spans="1:8">
      <c r="A2938" t="s">
        <v>3843</v>
      </c>
      <c r="B2938" t="s">
        <v>527</v>
      </c>
      <c r="C2938" s="1">
        <v>45447</v>
      </c>
      <c r="D2938" s="1" t="str">
        <f>PROPER(orders[[#This Row],[order_priority]])</f>
        <v>Economy</v>
      </c>
      <c r="E2938" t="s">
        <v>13328</v>
      </c>
      <c r="F2938" t="str">
        <f>IFERROR(INDEX(customers[country], MATCH(orders[[#This Row],[customer_id]], customers[customer_id], 0)), "Unmapped")</f>
        <v>Sweden</v>
      </c>
      <c r="G2938" t="str">
        <f>IFERROR(INDEX(Region_Map[Region], MATCH(orders[[#This Row],[Customer_Country]], Region_Map[Country], 0)), "Unknown")</f>
        <v>Nordics</v>
      </c>
      <c r="H2938" t="s">
        <v>6949</v>
      </c>
    </row>
    <row r="2939" spans="1:8">
      <c r="A2939" t="s">
        <v>3844</v>
      </c>
      <c r="B2939" t="s">
        <v>596</v>
      </c>
      <c r="C2939" s="1">
        <v>45182</v>
      </c>
      <c r="D2939" s="1" t="str">
        <f>PROPER(orders[[#This Row],[order_priority]])</f>
        <v>Economy</v>
      </c>
      <c r="E2939" t="s">
        <v>13316</v>
      </c>
      <c r="F2939" t="str">
        <f>IFERROR(INDEX(customers[country], MATCH(orders[[#This Row],[customer_id]], customers[customer_id], 0)), "Unmapped")</f>
        <v>Lithuania</v>
      </c>
      <c r="G2939" t="str">
        <f>IFERROR(INDEX(Region_Map[Region], MATCH(orders[[#This Row],[Customer_Country]], Region_Map[Country], 0)), "Unknown")</f>
        <v>Baltics</v>
      </c>
      <c r="H2939" t="s">
        <v>6949</v>
      </c>
    </row>
    <row r="2940" spans="1:8">
      <c r="A2940" t="s">
        <v>3845</v>
      </c>
      <c r="B2940" t="s">
        <v>746</v>
      </c>
      <c r="C2940" s="1">
        <v>45301</v>
      </c>
      <c r="D2940" s="1" t="str">
        <f>PROPER(orders[[#This Row],[order_priority]])</f>
        <v>Express</v>
      </c>
      <c r="E2940" t="s">
        <v>13318</v>
      </c>
      <c r="F2940" t="str">
        <f>IFERROR(INDEX(customers[country], MATCH(orders[[#This Row],[customer_id]], customers[customer_id], 0)), "Unmapped")</f>
        <v>Poland</v>
      </c>
      <c r="G2940" t="str">
        <f>IFERROR(INDEX(Region_Map[Region], MATCH(orders[[#This Row],[Customer_Country]], Region_Map[Country], 0)), "Unknown")</f>
        <v>Central Europe</v>
      </c>
      <c r="H2940" t="s">
        <v>6949</v>
      </c>
    </row>
    <row r="2941" spans="1:8">
      <c r="A2941" t="s">
        <v>3846</v>
      </c>
      <c r="B2941" t="s">
        <v>338</v>
      </c>
      <c r="C2941" s="1">
        <v>45360</v>
      </c>
      <c r="D2941" s="1" t="str">
        <f>PROPER(orders[[#This Row],[order_priority]])</f>
        <v>Standard</v>
      </c>
      <c r="E2941" t="s">
        <v>13319</v>
      </c>
      <c r="F2941" t="str">
        <f>IFERROR(INDEX(customers[country], MATCH(orders[[#This Row],[customer_id]], customers[customer_id], 0)), "Unmapped")</f>
        <v>Denmark</v>
      </c>
      <c r="G2941" t="str">
        <f>IFERROR(INDEX(Region_Map[Region], MATCH(orders[[#This Row],[Customer_Country]], Region_Map[Country], 0)), "Unknown")</f>
        <v>Nordics</v>
      </c>
      <c r="H2941" t="s">
        <v>6949</v>
      </c>
    </row>
    <row r="2942" spans="1:8">
      <c r="A2942" t="s">
        <v>3847</v>
      </c>
      <c r="B2942" t="s">
        <v>320</v>
      </c>
      <c r="C2942" s="1">
        <v>45358</v>
      </c>
      <c r="D2942" s="1" t="str">
        <f>PROPER(orders[[#This Row],[order_priority]])</f>
        <v>Same Day</v>
      </c>
      <c r="E2942" t="s">
        <v>13322</v>
      </c>
      <c r="F2942" t="str">
        <f>IFERROR(INDEX(customers[country], MATCH(orders[[#This Row],[customer_id]], customers[customer_id], 0)), "Unmapped")</f>
        <v>Sweden</v>
      </c>
      <c r="G2942" t="str">
        <f>IFERROR(INDEX(Region_Map[Region], MATCH(orders[[#This Row],[Customer_Country]], Region_Map[Country], 0)), "Unknown")</f>
        <v>Nordics</v>
      </c>
      <c r="H2942" t="s">
        <v>6949</v>
      </c>
    </row>
    <row r="2943" spans="1:8">
      <c r="A2943" t="s">
        <v>3848</v>
      </c>
      <c r="B2943" t="s">
        <v>234</v>
      </c>
      <c r="C2943" s="1">
        <v>45347</v>
      </c>
      <c r="D2943" s="1" t="str">
        <f>PROPER(orders[[#This Row],[order_priority]])</f>
        <v>Economy</v>
      </c>
      <c r="E2943" t="s">
        <v>13316</v>
      </c>
      <c r="F2943" t="str">
        <f>IFERROR(INDEX(customers[country], MATCH(orders[[#This Row],[customer_id]], customers[customer_id], 0)), "Unmapped")</f>
        <v>Finland</v>
      </c>
      <c r="G2943" t="str">
        <f>IFERROR(INDEX(Region_Map[Region], MATCH(orders[[#This Row],[Customer_Country]], Region_Map[Country], 0)), "Unknown")</f>
        <v>Nordics</v>
      </c>
      <c r="H2943" t="s">
        <v>6949</v>
      </c>
    </row>
    <row r="2944" spans="1:8">
      <c r="A2944" t="s">
        <v>3849</v>
      </c>
      <c r="B2944" t="s">
        <v>365</v>
      </c>
      <c r="C2944" s="1">
        <v>45265</v>
      </c>
      <c r="D2944" s="1" t="str">
        <f>PROPER(orders[[#This Row],[order_priority]])</f>
        <v>Economy</v>
      </c>
      <c r="E2944" t="s">
        <v>13316</v>
      </c>
      <c r="F2944" t="str">
        <f>IFERROR(INDEX(customers[country], MATCH(orders[[#This Row],[customer_id]], customers[customer_id], 0)), "Unmapped")</f>
        <v>Poland</v>
      </c>
      <c r="G2944" t="str">
        <f>IFERROR(INDEX(Region_Map[Region], MATCH(orders[[#This Row],[Customer_Country]], Region_Map[Country], 0)), "Unknown")</f>
        <v>Central Europe</v>
      </c>
      <c r="H2944" t="s">
        <v>6949</v>
      </c>
    </row>
    <row r="2945" spans="1:8">
      <c r="A2945" t="s">
        <v>3850</v>
      </c>
      <c r="B2945" t="s">
        <v>210</v>
      </c>
      <c r="C2945" s="1">
        <v>45592</v>
      </c>
      <c r="D2945" s="1" t="str">
        <f>PROPER(orders[[#This Row],[order_priority]])</f>
        <v>Same Day</v>
      </c>
      <c r="E2945" t="s">
        <v>13322</v>
      </c>
      <c r="F2945" t="str">
        <f>IFERROR(INDEX(customers[country], MATCH(orders[[#This Row],[customer_id]], customers[customer_id], 0)), "Unmapped")</f>
        <v>Finland</v>
      </c>
      <c r="G2945" t="str">
        <f>IFERROR(INDEX(Region_Map[Region], MATCH(orders[[#This Row],[Customer_Country]], Region_Map[Country], 0)), "Unknown")</f>
        <v>Nordics</v>
      </c>
      <c r="H2945" t="s">
        <v>6949</v>
      </c>
    </row>
    <row r="2946" spans="1:8">
      <c r="A2946" t="s">
        <v>3851</v>
      </c>
      <c r="B2946" t="s">
        <v>879</v>
      </c>
      <c r="C2946" s="1">
        <v>45226</v>
      </c>
      <c r="D2946" s="1" t="str">
        <f>PROPER(orders[[#This Row],[order_priority]])</f>
        <v>Express</v>
      </c>
      <c r="E2946" t="s">
        <v>13318</v>
      </c>
      <c r="F2946" t="str">
        <f>IFERROR(INDEX(customers[country], MATCH(orders[[#This Row],[customer_id]], customers[customer_id], 0)), "Unmapped")</f>
        <v>Norway</v>
      </c>
      <c r="G2946" t="str">
        <f>IFERROR(INDEX(Region_Map[Region], MATCH(orders[[#This Row],[Customer_Country]], Region_Map[Country], 0)), "Unknown")</f>
        <v>Nordics</v>
      </c>
      <c r="H2946" t="s">
        <v>6949</v>
      </c>
    </row>
    <row r="2947" spans="1:8">
      <c r="A2947" t="s">
        <v>3852</v>
      </c>
      <c r="B2947" t="s">
        <v>84</v>
      </c>
      <c r="C2947" s="1">
        <v>45505</v>
      </c>
      <c r="D2947" s="1" t="str">
        <f>PROPER(orders[[#This Row],[order_priority]])</f>
        <v>Express</v>
      </c>
      <c r="E2947" t="s">
        <v>13318</v>
      </c>
      <c r="F2947" t="str">
        <f>IFERROR(INDEX(customers[country], MATCH(orders[[#This Row],[customer_id]], customers[customer_id], 0)), "Unmapped")</f>
        <v>Lithuania</v>
      </c>
      <c r="G2947" t="str">
        <f>IFERROR(INDEX(Region_Map[Region], MATCH(orders[[#This Row],[Customer_Country]], Region_Map[Country], 0)), "Unknown")</f>
        <v>Baltics</v>
      </c>
      <c r="H2947" t="s">
        <v>6949</v>
      </c>
    </row>
    <row r="2948" spans="1:8">
      <c r="A2948" t="s">
        <v>3853</v>
      </c>
      <c r="B2948" t="s">
        <v>6</v>
      </c>
      <c r="C2948" s="1">
        <v>45433</v>
      </c>
      <c r="D2948" s="1" t="str">
        <f>PROPER(orders[[#This Row],[order_priority]])</f>
        <v>Same Day</v>
      </c>
      <c r="E2948" t="s">
        <v>13322</v>
      </c>
      <c r="F2948" t="str">
        <f>IFERROR(INDEX(customers[country], MATCH(orders[[#This Row],[customer_id]], customers[customer_id], 0)), "Unmapped")</f>
        <v>Latvia</v>
      </c>
      <c r="G2948" t="str">
        <f>IFERROR(INDEX(Region_Map[Region], MATCH(orders[[#This Row],[Customer_Country]], Region_Map[Country], 0)), "Unknown")</f>
        <v>Baltics</v>
      </c>
      <c r="H2948" t="s">
        <v>6949</v>
      </c>
    </row>
    <row r="2949" spans="1:8">
      <c r="A2949" t="s">
        <v>3854</v>
      </c>
      <c r="B2949" t="s">
        <v>341</v>
      </c>
      <c r="C2949" s="1">
        <v>45514</v>
      </c>
      <c r="D2949" s="1" t="str">
        <f>PROPER(orders[[#This Row],[order_priority]])</f>
        <v>Standard</v>
      </c>
      <c r="E2949" t="s">
        <v>13317</v>
      </c>
      <c r="F2949" t="str">
        <f>IFERROR(INDEX(customers[country], MATCH(orders[[#This Row],[customer_id]], customers[customer_id], 0)), "Unmapped")</f>
        <v>Latvia</v>
      </c>
      <c r="G2949" t="str">
        <f>IFERROR(INDEX(Region_Map[Region], MATCH(orders[[#This Row],[Customer_Country]], Region_Map[Country], 0)), "Unknown")</f>
        <v>Baltics</v>
      </c>
      <c r="H2949" t="s">
        <v>6949</v>
      </c>
    </row>
    <row r="2950" spans="1:8">
      <c r="A2950" t="s">
        <v>3855</v>
      </c>
      <c r="B2950" t="s">
        <v>187</v>
      </c>
      <c r="C2950" s="1">
        <v>45158</v>
      </c>
      <c r="D2950" s="1" t="str">
        <f>PROPER(orders[[#This Row],[order_priority]])</f>
        <v>Standard</v>
      </c>
      <c r="E2950" t="s">
        <v>13317</v>
      </c>
      <c r="F2950" t="str">
        <f>IFERROR(INDEX(customers[country], MATCH(orders[[#This Row],[customer_id]], customers[customer_id], 0)), "Unmapped")</f>
        <v>Latvia</v>
      </c>
      <c r="G2950" t="str">
        <f>IFERROR(INDEX(Region_Map[Region], MATCH(orders[[#This Row],[Customer_Country]], Region_Map[Country], 0)), "Unknown")</f>
        <v>Baltics</v>
      </c>
      <c r="H2950" t="s">
        <v>6949</v>
      </c>
    </row>
    <row r="2951" spans="1:8">
      <c r="A2951" t="s">
        <v>3856</v>
      </c>
      <c r="B2951" t="s">
        <v>822</v>
      </c>
      <c r="C2951" s="1">
        <v>45586</v>
      </c>
      <c r="D2951" s="1" t="str">
        <f>PROPER(orders[[#This Row],[order_priority]])</f>
        <v>Express</v>
      </c>
      <c r="E2951" t="s">
        <v>13320</v>
      </c>
      <c r="F2951" t="str">
        <f>IFERROR(INDEX(customers[country], MATCH(orders[[#This Row],[customer_id]], customers[customer_id], 0)), "Unmapped")</f>
        <v>Netherlands</v>
      </c>
      <c r="G2951" t="str">
        <f>IFERROR(INDEX(Region_Map[Region], MATCH(orders[[#This Row],[Customer_Country]], Region_Map[Country], 0)), "Unknown")</f>
        <v>Central Europe</v>
      </c>
      <c r="H2951" t="s">
        <v>6949</v>
      </c>
    </row>
    <row r="2952" spans="1:8">
      <c r="A2952" t="s">
        <v>3857</v>
      </c>
      <c r="B2952" t="s">
        <v>300</v>
      </c>
      <c r="C2952" s="1">
        <v>45367</v>
      </c>
      <c r="D2952" s="1" t="str">
        <f>PROPER(orders[[#This Row],[order_priority]])</f>
        <v>Economy</v>
      </c>
      <c r="E2952" t="s">
        <v>13316</v>
      </c>
      <c r="F2952" t="str">
        <f>IFERROR(INDEX(customers[country], MATCH(orders[[#This Row],[customer_id]], customers[customer_id], 0)), "Unmapped")</f>
        <v>Poland</v>
      </c>
      <c r="G2952" t="str">
        <f>IFERROR(INDEX(Region_Map[Region], MATCH(orders[[#This Row],[Customer_Country]], Region_Map[Country], 0)), "Unknown")</f>
        <v>Central Europe</v>
      </c>
      <c r="H2952" t="s">
        <v>6949</v>
      </c>
    </row>
    <row r="2953" spans="1:8">
      <c r="A2953" t="s">
        <v>3858</v>
      </c>
      <c r="B2953" t="s">
        <v>371</v>
      </c>
      <c r="C2953" s="1">
        <v>45548</v>
      </c>
      <c r="D2953" s="1" t="str">
        <f>PROPER(orders[[#This Row],[order_priority]])</f>
        <v>Express</v>
      </c>
      <c r="E2953" t="s">
        <v>13318</v>
      </c>
      <c r="F2953" t="str">
        <f>IFERROR(INDEX(customers[country], MATCH(orders[[#This Row],[customer_id]], customers[customer_id], 0)), "Unmapped")</f>
        <v>Germany</v>
      </c>
      <c r="G2953" t="str">
        <f>IFERROR(INDEX(Region_Map[Region], MATCH(orders[[#This Row],[Customer_Country]], Region_Map[Country], 0)), "Unknown")</f>
        <v>Central Europe</v>
      </c>
      <c r="H2953" t="s">
        <v>6949</v>
      </c>
    </row>
    <row r="2954" spans="1:8">
      <c r="A2954" t="s">
        <v>3859</v>
      </c>
      <c r="B2954" t="s">
        <v>897</v>
      </c>
      <c r="C2954" s="1">
        <v>45259</v>
      </c>
      <c r="D2954" s="1" t="str">
        <f>PROPER(orders[[#This Row],[order_priority]])</f>
        <v>Standard</v>
      </c>
      <c r="E2954" t="s">
        <v>13317</v>
      </c>
      <c r="F2954" t="str">
        <f>IFERROR(INDEX(customers[country], MATCH(orders[[#This Row],[customer_id]], customers[customer_id], 0)), "Unmapped")</f>
        <v>Netherlands</v>
      </c>
      <c r="G2954" t="str">
        <f>IFERROR(INDEX(Region_Map[Region], MATCH(orders[[#This Row],[Customer_Country]], Region_Map[Country], 0)), "Unknown")</f>
        <v>Central Europe</v>
      </c>
      <c r="H2954" t="s">
        <v>6949</v>
      </c>
    </row>
    <row r="2955" spans="1:8">
      <c r="A2955" t="s">
        <v>3860</v>
      </c>
      <c r="B2955" t="s">
        <v>470</v>
      </c>
      <c r="C2955" s="1">
        <v>44939</v>
      </c>
      <c r="D2955" s="1" t="str">
        <f>PROPER(orders[[#This Row],[order_priority]])</f>
        <v>Express</v>
      </c>
      <c r="E2955" t="s">
        <v>13326</v>
      </c>
      <c r="F2955" t="str">
        <f>IFERROR(INDEX(customers[country], MATCH(orders[[#This Row],[customer_id]], customers[customer_id], 0)), "Unmapped")</f>
        <v>Norway</v>
      </c>
      <c r="G2955" t="str">
        <f>IFERROR(INDEX(Region_Map[Region], MATCH(orders[[#This Row],[Customer_Country]], Region_Map[Country], 0)), "Unknown")</f>
        <v>Nordics</v>
      </c>
      <c r="H2955" t="s">
        <v>6949</v>
      </c>
    </row>
    <row r="2956" spans="1:8">
      <c r="A2956" t="s">
        <v>3861</v>
      </c>
      <c r="B2956" t="s">
        <v>755</v>
      </c>
      <c r="C2956" s="1">
        <v>45559</v>
      </c>
      <c r="D2956" s="1" t="str">
        <f>PROPER(orders[[#This Row],[order_priority]])</f>
        <v>Same Day</v>
      </c>
      <c r="E2956" t="s">
        <v>13324</v>
      </c>
      <c r="F2956" t="str">
        <f>IFERROR(INDEX(customers[country], MATCH(orders[[#This Row],[customer_id]], customers[customer_id], 0)), "Unmapped")</f>
        <v>Denmark</v>
      </c>
      <c r="G2956" t="str">
        <f>IFERROR(INDEX(Region_Map[Region], MATCH(orders[[#This Row],[Customer_Country]], Region_Map[Country], 0)), "Unknown")</f>
        <v>Nordics</v>
      </c>
      <c r="H2956" t="s">
        <v>6949</v>
      </c>
    </row>
    <row r="2957" spans="1:8">
      <c r="A2957" t="s">
        <v>3862</v>
      </c>
      <c r="B2957" t="s">
        <v>506</v>
      </c>
      <c r="C2957" s="1">
        <v>45189</v>
      </c>
      <c r="D2957" s="1" t="str">
        <f>PROPER(orders[[#This Row],[order_priority]])</f>
        <v>Standard</v>
      </c>
      <c r="E2957" t="s">
        <v>13317</v>
      </c>
      <c r="F2957" t="str">
        <f>IFERROR(INDEX(customers[country], MATCH(orders[[#This Row],[customer_id]], customers[customer_id], 0)), "Unmapped")</f>
        <v>Poland</v>
      </c>
      <c r="G2957" t="str">
        <f>IFERROR(INDEX(Region_Map[Region], MATCH(orders[[#This Row],[Customer_Country]], Region_Map[Country], 0)), "Unknown")</f>
        <v>Central Europe</v>
      </c>
      <c r="H2957" t="s">
        <v>6949</v>
      </c>
    </row>
    <row r="2958" spans="1:8">
      <c r="A2958" t="s">
        <v>3863</v>
      </c>
      <c r="B2958" t="s">
        <v>291</v>
      </c>
      <c r="C2958" s="1">
        <v>45306</v>
      </c>
      <c r="D2958" s="1" t="str">
        <f>PROPER(orders[[#This Row],[order_priority]])</f>
        <v>Economy</v>
      </c>
      <c r="E2958" t="s">
        <v>13316</v>
      </c>
      <c r="F2958" t="str">
        <f>IFERROR(INDEX(customers[country], MATCH(orders[[#This Row],[customer_id]], customers[customer_id], 0)), "Unmapped")</f>
        <v>Poland</v>
      </c>
      <c r="G2958" t="str">
        <f>IFERROR(INDEX(Region_Map[Region], MATCH(orders[[#This Row],[Customer_Country]], Region_Map[Country], 0)), "Unknown")</f>
        <v>Central Europe</v>
      </c>
      <c r="H2958" t="s">
        <v>6949</v>
      </c>
    </row>
    <row r="2959" spans="1:8">
      <c r="A2959" t="s">
        <v>3864</v>
      </c>
      <c r="B2959" t="s">
        <v>473</v>
      </c>
      <c r="C2959" s="1">
        <v>45082</v>
      </c>
      <c r="D2959" s="1" t="str">
        <f>PROPER(orders[[#This Row],[order_priority]])</f>
        <v>Same Day</v>
      </c>
      <c r="E2959" t="s">
        <v>13322</v>
      </c>
      <c r="F2959" t="str">
        <f>IFERROR(INDEX(customers[country], MATCH(orders[[#This Row],[customer_id]], customers[customer_id], 0)), "Unmapped")</f>
        <v>Netherlands</v>
      </c>
      <c r="G2959" t="str">
        <f>IFERROR(INDEX(Region_Map[Region], MATCH(orders[[#This Row],[Customer_Country]], Region_Map[Country], 0)), "Unknown")</f>
        <v>Central Europe</v>
      </c>
      <c r="H2959" t="s">
        <v>6949</v>
      </c>
    </row>
    <row r="2960" spans="1:8">
      <c r="A2960" t="s">
        <v>3865</v>
      </c>
      <c r="B2960" t="s">
        <v>422</v>
      </c>
      <c r="C2960" s="1">
        <v>45551</v>
      </c>
      <c r="D2960" s="1" t="str">
        <f>PROPER(orders[[#This Row],[order_priority]])</f>
        <v>Same Day</v>
      </c>
      <c r="E2960" t="s">
        <v>13324</v>
      </c>
      <c r="F2960" t="str">
        <f>IFERROR(INDEX(customers[country], MATCH(orders[[#This Row],[customer_id]], customers[customer_id], 0)), "Unmapped")</f>
        <v>Germany</v>
      </c>
      <c r="G2960" t="str">
        <f>IFERROR(INDEX(Region_Map[Region], MATCH(orders[[#This Row],[Customer_Country]], Region_Map[Country], 0)), "Unknown")</f>
        <v>Central Europe</v>
      </c>
      <c r="H2960" t="s">
        <v>6949</v>
      </c>
    </row>
    <row r="2961" spans="1:8">
      <c r="A2961" t="s">
        <v>3866</v>
      </c>
      <c r="B2961" t="s">
        <v>599</v>
      </c>
      <c r="C2961" s="1">
        <v>45556</v>
      </c>
      <c r="D2961" s="1" t="str">
        <f>PROPER(orders[[#This Row],[order_priority]])</f>
        <v>Same Day</v>
      </c>
      <c r="E2961" t="s">
        <v>13321</v>
      </c>
      <c r="F2961" t="str">
        <f>IFERROR(INDEX(customers[country], MATCH(orders[[#This Row],[customer_id]], customers[customer_id], 0)), "Unmapped")</f>
        <v>Germany</v>
      </c>
      <c r="G2961" t="str">
        <f>IFERROR(INDEX(Region_Map[Region], MATCH(orders[[#This Row],[Customer_Country]], Region_Map[Country], 0)), "Unknown")</f>
        <v>Central Europe</v>
      </c>
      <c r="H2961" t="s">
        <v>6949</v>
      </c>
    </row>
    <row r="2962" spans="1:8">
      <c r="A2962" t="s">
        <v>3867</v>
      </c>
      <c r="B2962" t="s">
        <v>596</v>
      </c>
      <c r="C2962" s="1">
        <v>45140</v>
      </c>
      <c r="D2962" s="1" t="str">
        <f>PROPER(orders[[#This Row],[order_priority]])</f>
        <v>Same Day</v>
      </c>
      <c r="E2962" t="s">
        <v>13321</v>
      </c>
      <c r="F2962" t="str">
        <f>IFERROR(INDEX(customers[country], MATCH(orders[[#This Row],[customer_id]], customers[customer_id], 0)), "Unmapped")</f>
        <v>Lithuania</v>
      </c>
      <c r="G2962" t="str">
        <f>IFERROR(INDEX(Region_Map[Region], MATCH(orders[[#This Row],[Customer_Country]], Region_Map[Country], 0)), "Unknown")</f>
        <v>Baltics</v>
      </c>
      <c r="H2962" t="s">
        <v>6949</v>
      </c>
    </row>
    <row r="2963" spans="1:8">
      <c r="A2963" t="s">
        <v>3868</v>
      </c>
      <c r="B2963" t="s">
        <v>735</v>
      </c>
      <c r="C2963" s="1">
        <v>45544</v>
      </c>
      <c r="D2963" s="1" t="str">
        <f>PROPER(orders[[#This Row],[order_priority]])</f>
        <v>Same Day</v>
      </c>
      <c r="E2963" t="s">
        <v>13322</v>
      </c>
      <c r="F2963" t="str">
        <f>IFERROR(INDEX(customers[country], MATCH(orders[[#This Row],[customer_id]], customers[customer_id], 0)), "Unmapped")</f>
        <v>Poland</v>
      </c>
      <c r="G2963" t="str">
        <f>IFERROR(INDEX(Region_Map[Region], MATCH(orders[[#This Row],[Customer_Country]], Region_Map[Country], 0)), "Unknown")</f>
        <v>Central Europe</v>
      </c>
      <c r="H2963" t="s">
        <v>6949</v>
      </c>
    </row>
    <row r="2964" spans="1:8">
      <c r="A2964" t="s">
        <v>3869</v>
      </c>
      <c r="B2964" t="s">
        <v>638</v>
      </c>
      <c r="C2964" s="1">
        <v>45054</v>
      </c>
      <c r="D2964" s="1" t="str">
        <f>PROPER(orders[[#This Row],[order_priority]])</f>
        <v>Same Day</v>
      </c>
      <c r="E2964" t="s">
        <v>13322</v>
      </c>
      <c r="F2964" t="str">
        <f>IFERROR(INDEX(customers[country], MATCH(orders[[#This Row],[customer_id]], customers[customer_id], 0)), "Unmapped")</f>
        <v>Germany</v>
      </c>
      <c r="G2964" t="str">
        <f>IFERROR(INDEX(Region_Map[Region], MATCH(orders[[#This Row],[Customer_Country]], Region_Map[Country], 0)), "Unknown")</f>
        <v>Central Europe</v>
      </c>
      <c r="H2964" t="s">
        <v>6949</v>
      </c>
    </row>
    <row r="2965" spans="1:8">
      <c r="A2965" t="s">
        <v>3870</v>
      </c>
      <c r="B2965" t="s">
        <v>772</v>
      </c>
      <c r="C2965" s="1">
        <v>45132</v>
      </c>
      <c r="D2965" s="1" t="str">
        <f>PROPER(orders[[#This Row],[order_priority]])</f>
        <v>Express</v>
      </c>
      <c r="E2965" t="s">
        <v>13318</v>
      </c>
      <c r="F2965" t="str">
        <f>IFERROR(INDEX(customers[country], MATCH(orders[[#This Row],[customer_id]], customers[customer_id], 0)), "Unmapped")</f>
        <v>Estonia</v>
      </c>
      <c r="G2965" t="str">
        <f>IFERROR(INDEX(Region_Map[Region], MATCH(orders[[#This Row],[Customer_Country]], Region_Map[Country], 0)), "Unknown")</f>
        <v>Baltics</v>
      </c>
      <c r="H2965" t="s">
        <v>6949</v>
      </c>
    </row>
    <row r="2966" spans="1:8">
      <c r="A2966" t="s">
        <v>3871</v>
      </c>
      <c r="B2966" t="s">
        <v>629</v>
      </c>
      <c r="C2966" s="1">
        <v>45155</v>
      </c>
      <c r="D2966" s="1" t="str">
        <f>PROPER(orders[[#This Row],[order_priority]])</f>
        <v>Same Day</v>
      </c>
      <c r="E2966" t="s">
        <v>13321</v>
      </c>
      <c r="F2966" t="str">
        <f>IFERROR(INDEX(customers[country], MATCH(orders[[#This Row],[customer_id]], customers[customer_id], 0)), "Unmapped")</f>
        <v>Lithuania</v>
      </c>
      <c r="G2966" t="str">
        <f>IFERROR(INDEX(Region_Map[Region], MATCH(orders[[#This Row],[Customer_Country]], Region_Map[Country], 0)), "Unknown")</f>
        <v>Baltics</v>
      </c>
      <c r="H2966" t="s">
        <v>6949</v>
      </c>
    </row>
    <row r="2967" spans="1:8">
      <c r="A2967" t="s">
        <v>3872</v>
      </c>
      <c r="B2967" t="s">
        <v>311</v>
      </c>
      <c r="C2967" s="1">
        <v>45450</v>
      </c>
      <c r="D2967" s="1" t="str">
        <f>PROPER(orders[[#This Row],[order_priority]])</f>
        <v>Express</v>
      </c>
      <c r="E2967" t="s">
        <v>13318</v>
      </c>
      <c r="F2967" t="str">
        <f>IFERROR(INDEX(customers[country], MATCH(orders[[#This Row],[customer_id]], customers[customer_id], 0)), "Unmapped")</f>
        <v>Netherlands</v>
      </c>
      <c r="G2967" t="str">
        <f>IFERROR(INDEX(Region_Map[Region], MATCH(orders[[#This Row],[Customer_Country]], Region_Map[Country], 0)), "Unknown")</f>
        <v>Central Europe</v>
      </c>
      <c r="H2967" t="s">
        <v>6949</v>
      </c>
    </row>
    <row r="2968" spans="1:8">
      <c r="A2968" t="s">
        <v>3873</v>
      </c>
      <c r="B2968" t="s">
        <v>479</v>
      </c>
      <c r="C2968" s="1">
        <v>44968</v>
      </c>
      <c r="D2968" s="1" t="str">
        <f>PROPER(orders[[#This Row],[order_priority]])</f>
        <v>Express</v>
      </c>
      <c r="E2968" t="s">
        <v>13318</v>
      </c>
      <c r="F2968" t="str">
        <f>IFERROR(INDEX(customers[country], MATCH(orders[[#This Row],[customer_id]], customers[customer_id], 0)), "Unmapped")</f>
        <v>Latvia</v>
      </c>
      <c r="G2968" t="str">
        <f>IFERROR(INDEX(Region_Map[Region], MATCH(orders[[#This Row],[Customer_Country]], Region_Map[Country], 0)), "Unknown")</f>
        <v>Baltics</v>
      </c>
      <c r="H2968" t="s">
        <v>6949</v>
      </c>
    </row>
    <row r="2969" spans="1:8">
      <c r="A2969" t="s">
        <v>3874</v>
      </c>
      <c r="B2969" t="s">
        <v>350</v>
      </c>
      <c r="C2969" s="1">
        <v>45148</v>
      </c>
      <c r="D2969" s="1" t="str">
        <f>PROPER(orders[[#This Row],[order_priority]])</f>
        <v>Standard</v>
      </c>
      <c r="E2969" t="s">
        <v>13317</v>
      </c>
      <c r="F2969" t="str">
        <f>IFERROR(INDEX(customers[country], MATCH(orders[[#This Row],[customer_id]], customers[customer_id], 0)), "Unmapped")</f>
        <v>Netherlands</v>
      </c>
      <c r="G2969" t="str">
        <f>IFERROR(INDEX(Region_Map[Region], MATCH(orders[[#This Row],[Customer_Country]], Region_Map[Country], 0)), "Unknown")</f>
        <v>Central Europe</v>
      </c>
      <c r="H2969" t="s">
        <v>6949</v>
      </c>
    </row>
    <row r="2970" spans="1:8">
      <c r="A2970" t="s">
        <v>3875</v>
      </c>
      <c r="B2970" t="s">
        <v>494</v>
      </c>
      <c r="C2970" s="1">
        <v>45558</v>
      </c>
      <c r="D2970" s="1" t="str">
        <f>PROPER(orders[[#This Row],[order_priority]])</f>
        <v>Standard</v>
      </c>
      <c r="E2970" t="s">
        <v>13317</v>
      </c>
      <c r="F2970" t="str">
        <f>IFERROR(INDEX(customers[country], MATCH(orders[[#This Row],[customer_id]], customers[customer_id], 0)), "Unmapped")</f>
        <v>Sweden</v>
      </c>
      <c r="G2970" t="str">
        <f>IFERROR(INDEX(Region_Map[Region], MATCH(orders[[#This Row],[Customer_Country]], Region_Map[Country], 0)), "Unknown")</f>
        <v>Nordics</v>
      </c>
      <c r="H2970" t="s">
        <v>6949</v>
      </c>
    </row>
    <row r="2971" spans="1:8">
      <c r="A2971" t="s">
        <v>3876</v>
      </c>
      <c r="B2971" t="s">
        <v>458</v>
      </c>
      <c r="C2971" s="1">
        <v>45189</v>
      </c>
      <c r="D2971" s="1" t="str">
        <f>PROPER(orders[[#This Row],[order_priority]])</f>
        <v>Standard</v>
      </c>
      <c r="E2971" t="s">
        <v>13317</v>
      </c>
      <c r="F2971" t="str">
        <f>IFERROR(INDEX(customers[country], MATCH(orders[[#This Row],[customer_id]], customers[customer_id], 0)), "Unmapped")</f>
        <v>Poland</v>
      </c>
      <c r="G2971" t="str">
        <f>IFERROR(INDEX(Region_Map[Region], MATCH(orders[[#This Row],[Customer_Country]], Region_Map[Country], 0)), "Unknown")</f>
        <v>Central Europe</v>
      </c>
      <c r="H2971" t="s">
        <v>6949</v>
      </c>
    </row>
    <row r="2972" spans="1:8">
      <c r="A2972" t="s">
        <v>3877</v>
      </c>
      <c r="B2972" t="s">
        <v>503</v>
      </c>
      <c r="C2972" s="1">
        <v>45585</v>
      </c>
      <c r="D2972" s="1" t="str">
        <f>PROPER(orders[[#This Row],[order_priority]])</f>
        <v>Economy</v>
      </c>
      <c r="E2972" t="s">
        <v>13316</v>
      </c>
      <c r="F2972" t="str">
        <f>IFERROR(INDEX(customers[country], MATCH(orders[[#This Row],[customer_id]], customers[customer_id], 0)), "Unmapped")</f>
        <v>Denmark</v>
      </c>
      <c r="G2972" t="str">
        <f>IFERROR(INDEX(Region_Map[Region], MATCH(orders[[#This Row],[Customer_Country]], Region_Map[Country], 0)), "Unknown")</f>
        <v>Nordics</v>
      </c>
      <c r="H2972" t="s">
        <v>6949</v>
      </c>
    </row>
    <row r="2973" spans="1:8">
      <c r="A2973" t="s">
        <v>3878</v>
      </c>
      <c r="B2973" t="s">
        <v>470</v>
      </c>
      <c r="C2973" s="1">
        <v>45343</v>
      </c>
      <c r="D2973" s="1" t="str">
        <f>PROPER(orders[[#This Row],[order_priority]])</f>
        <v>Express</v>
      </c>
      <c r="E2973" t="s">
        <v>13318</v>
      </c>
      <c r="F2973" t="str">
        <f>IFERROR(INDEX(customers[country], MATCH(orders[[#This Row],[customer_id]], customers[customer_id], 0)), "Unmapped")</f>
        <v>Norway</v>
      </c>
      <c r="G2973" t="str">
        <f>IFERROR(INDEX(Region_Map[Region], MATCH(orders[[#This Row],[Customer_Country]], Region_Map[Country], 0)), "Unknown")</f>
        <v>Nordics</v>
      </c>
      <c r="H2973" t="s">
        <v>6949</v>
      </c>
    </row>
    <row r="2974" spans="1:8">
      <c r="A2974" t="s">
        <v>3879</v>
      </c>
      <c r="B2974" t="s">
        <v>667</v>
      </c>
      <c r="C2974" s="1">
        <v>45431</v>
      </c>
      <c r="D2974" s="1" t="str">
        <f>PROPER(orders[[#This Row],[order_priority]])</f>
        <v>Express</v>
      </c>
      <c r="E2974" t="s">
        <v>13318</v>
      </c>
      <c r="F2974" t="str">
        <f>IFERROR(INDEX(customers[country], MATCH(orders[[#This Row],[customer_id]], customers[customer_id], 0)), "Unmapped")</f>
        <v>Germany</v>
      </c>
      <c r="G2974" t="str">
        <f>IFERROR(INDEX(Region_Map[Region], MATCH(orders[[#This Row],[Customer_Country]], Region_Map[Country], 0)), "Unknown")</f>
        <v>Central Europe</v>
      </c>
      <c r="H2974" t="s">
        <v>6949</v>
      </c>
    </row>
    <row r="2975" spans="1:8">
      <c r="A2975" t="s">
        <v>3880</v>
      </c>
      <c r="B2975" t="s">
        <v>169</v>
      </c>
      <c r="C2975" s="1">
        <v>44967</v>
      </c>
      <c r="D2975" s="1" t="str">
        <f>PROPER(orders[[#This Row],[order_priority]])</f>
        <v>Same Day</v>
      </c>
      <c r="E2975" t="s">
        <v>13322</v>
      </c>
      <c r="F2975" t="str">
        <f>IFERROR(INDEX(customers[country], MATCH(orders[[#This Row],[customer_id]], customers[customer_id], 0)), "Unmapped")</f>
        <v>Norway</v>
      </c>
      <c r="G2975" t="str">
        <f>IFERROR(INDEX(Region_Map[Region], MATCH(orders[[#This Row],[Customer_Country]], Region_Map[Country], 0)), "Unknown")</f>
        <v>Nordics</v>
      </c>
      <c r="H2975" t="s">
        <v>6949</v>
      </c>
    </row>
    <row r="2976" spans="1:8">
      <c r="A2976" t="s">
        <v>3881</v>
      </c>
      <c r="B2976" t="s">
        <v>48</v>
      </c>
      <c r="C2976" s="1">
        <v>45384</v>
      </c>
      <c r="D2976" s="1" t="str">
        <f>PROPER(orders[[#This Row],[order_priority]])</f>
        <v>Standard</v>
      </c>
      <c r="E2976" t="s">
        <v>13317</v>
      </c>
      <c r="F2976" t="str">
        <f>IFERROR(INDEX(customers[country], MATCH(orders[[#This Row],[customer_id]], customers[customer_id], 0)), "Unmapped")</f>
        <v>Poland</v>
      </c>
      <c r="G2976" t="str">
        <f>IFERROR(INDEX(Region_Map[Region], MATCH(orders[[#This Row],[Customer_Country]], Region_Map[Country], 0)), "Unknown")</f>
        <v>Central Europe</v>
      </c>
      <c r="H2976" t="s">
        <v>6949</v>
      </c>
    </row>
    <row r="2977" spans="1:8">
      <c r="A2977" t="s">
        <v>3882</v>
      </c>
      <c r="B2977" t="s">
        <v>623</v>
      </c>
      <c r="C2977" s="1">
        <v>45065</v>
      </c>
      <c r="D2977" s="1" t="str">
        <f>PROPER(orders[[#This Row],[order_priority]])</f>
        <v>Express</v>
      </c>
      <c r="E2977" t="s">
        <v>13318</v>
      </c>
      <c r="F2977" t="str">
        <f>IFERROR(INDEX(customers[country], MATCH(orders[[#This Row],[customer_id]], customers[customer_id], 0)), "Unmapped")</f>
        <v>Denmark</v>
      </c>
      <c r="G2977" t="str">
        <f>IFERROR(INDEX(Region_Map[Region], MATCH(orders[[#This Row],[Customer_Country]], Region_Map[Country], 0)), "Unknown")</f>
        <v>Nordics</v>
      </c>
      <c r="H2977" t="s">
        <v>6949</v>
      </c>
    </row>
    <row r="2978" spans="1:8">
      <c r="A2978" t="s">
        <v>3883</v>
      </c>
      <c r="B2978" t="s">
        <v>623</v>
      </c>
      <c r="C2978" s="1">
        <v>45380</v>
      </c>
      <c r="D2978" s="1" t="str">
        <f>PROPER(orders[[#This Row],[order_priority]])</f>
        <v>Economy</v>
      </c>
      <c r="E2978" t="s">
        <v>13316</v>
      </c>
      <c r="F2978" t="str">
        <f>IFERROR(INDEX(customers[country], MATCH(orders[[#This Row],[customer_id]], customers[customer_id], 0)), "Unmapped")</f>
        <v>Denmark</v>
      </c>
      <c r="G2978" t="str">
        <f>IFERROR(INDEX(Region_Map[Region], MATCH(orders[[#This Row],[Customer_Country]], Region_Map[Country], 0)), "Unknown")</f>
        <v>Nordics</v>
      </c>
      <c r="H2978" t="s">
        <v>6949</v>
      </c>
    </row>
    <row r="2979" spans="1:8">
      <c r="A2979" t="s">
        <v>3884</v>
      </c>
      <c r="B2979" t="s">
        <v>655</v>
      </c>
      <c r="C2979" s="1">
        <v>45391</v>
      </c>
      <c r="D2979" s="1" t="str">
        <f>PROPER(orders[[#This Row],[order_priority]])</f>
        <v>Express</v>
      </c>
      <c r="E2979" t="s">
        <v>13318</v>
      </c>
      <c r="F2979" t="str">
        <f>IFERROR(INDEX(customers[country], MATCH(orders[[#This Row],[customer_id]], customers[customer_id], 0)), "Unmapped")</f>
        <v>Sweden</v>
      </c>
      <c r="G2979" t="str">
        <f>IFERROR(INDEX(Region_Map[Region], MATCH(orders[[#This Row],[Customer_Country]], Region_Map[Country], 0)), "Unknown")</f>
        <v>Nordics</v>
      </c>
      <c r="H2979" t="s">
        <v>6949</v>
      </c>
    </row>
    <row r="2980" spans="1:8">
      <c r="A2980" t="s">
        <v>3885</v>
      </c>
      <c r="B2980" t="s">
        <v>216</v>
      </c>
      <c r="C2980" s="1">
        <v>45158</v>
      </c>
      <c r="D2980" s="1" t="str">
        <f>PROPER(orders[[#This Row],[order_priority]])</f>
        <v>Standard</v>
      </c>
      <c r="E2980" t="s">
        <v>13317</v>
      </c>
      <c r="F2980" t="str">
        <f>IFERROR(INDEX(customers[country], MATCH(orders[[#This Row],[customer_id]], customers[customer_id], 0)), "Unmapped")</f>
        <v>Norway</v>
      </c>
      <c r="G2980" t="str">
        <f>IFERROR(INDEX(Region_Map[Region], MATCH(orders[[#This Row],[Customer_Country]], Region_Map[Country], 0)), "Unknown")</f>
        <v>Nordics</v>
      </c>
      <c r="H2980" t="s">
        <v>6949</v>
      </c>
    </row>
    <row r="2981" spans="1:8">
      <c r="A2981" t="s">
        <v>3886</v>
      </c>
      <c r="B2981" t="s">
        <v>288</v>
      </c>
      <c r="C2981" s="1">
        <v>45201</v>
      </c>
      <c r="D2981" s="1" t="str">
        <f>PROPER(orders[[#This Row],[order_priority]])</f>
        <v>Standard</v>
      </c>
      <c r="E2981" t="s">
        <v>13317</v>
      </c>
      <c r="F2981" t="str">
        <f>IFERROR(INDEX(customers[country], MATCH(orders[[#This Row],[customer_id]], customers[customer_id], 0)), "Unmapped")</f>
        <v>Netherlands</v>
      </c>
      <c r="G2981" t="str">
        <f>IFERROR(INDEX(Region_Map[Region], MATCH(orders[[#This Row],[Customer_Country]], Region_Map[Country], 0)), "Unknown")</f>
        <v>Central Europe</v>
      </c>
      <c r="H2981" t="s">
        <v>6949</v>
      </c>
    </row>
    <row r="2982" spans="1:8">
      <c r="A2982" t="s">
        <v>3887</v>
      </c>
      <c r="B2982" t="s">
        <v>879</v>
      </c>
      <c r="C2982" s="1">
        <v>45602</v>
      </c>
      <c r="D2982" s="1" t="str">
        <f>PROPER(orders[[#This Row],[order_priority]])</f>
        <v>Express</v>
      </c>
      <c r="E2982" t="s">
        <v>13320</v>
      </c>
      <c r="F2982" t="str">
        <f>IFERROR(INDEX(customers[country], MATCH(orders[[#This Row],[customer_id]], customers[customer_id], 0)), "Unmapped")</f>
        <v>Norway</v>
      </c>
      <c r="G2982" t="str">
        <f>IFERROR(INDEX(Region_Map[Region], MATCH(orders[[#This Row],[Customer_Country]], Region_Map[Country], 0)), "Unknown")</f>
        <v>Nordics</v>
      </c>
      <c r="H2982" t="s">
        <v>6949</v>
      </c>
    </row>
    <row r="2983" spans="1:8">
      <c r="A2983" t="s">
        <v>3888</v>
      </c>
      <c r="B2983" t="s">
        <v>294</v>
      </c>
      <c r="C2983" s="1">
        <v>45274</v>
      </c>
      <c r="D2983" s="1" t="str">
        <f>PROPER(orders[[#This Row],[order_priority]])</f>
        <v>Economy</v>
      </c>
      <c r="E2983" t="s">
        <v>13316</v>
      </c>
      <c r="F2983" t="str">
        <f>IFERROR(INDEX(customers[country], MATCH(orders[[#This Row],[customer_id]], customers[customer_id], 0)), "Unmapped")</f>
        <v>Denmark</v>
      </c>
      <c r="G2983" t="str">
        <f>IFERROR(INDEX(Region_Map[Region], MATCH(orders[[#This Row],[Customer_Country]], Region_Map[Country], 0)), "Unknown")</f>
        <v>Nordics</v>
      </c>
      <c r="H2983" t="s">
        <v>6949</v>
      </c>
    </row>
    <row r="2984" spans="1:8">
      <c r="A2984" t="s">
        <v>3889</v>
      </c>
      <c r="B2984" t="s">
        <v>228</v>
      </c>
      <c r="C2984" s="1">
        <v>45353</v>
      </c>
      <c r="D2984" s="1" t="str">
        <f>PROPER(orders[[#This Row],[order_priority]])</f>
        <v>Standard</v>
      </c>
      <c r="E2984" t="s">
        <v>13317</v>
      </c>
      <c r="F2984" t="str">
        <f>IFERROR(INDEX(customers[country], MATCH(orders[[#This Row],[customer_id]], customers[customer_id], 0)), "Unmapped")</f>
        <v>Latvia</v>
      </c>
      <c r="G2984" t="str">
        <f>IFERROR(INDEX(Region_Map[Region], MATCH(orders[[#This Row],[Customer_Country]], Region_Map[Country], 0)), "Unknown")</f>
        <v>Baltics</v>
      </c>
      <c r="H2984" t="s">
        <v>6949</v>
      </c>
    </row>
    <row r="2985" spans="1:8">
      <c r="A2985" t="s">
        <v>3890</v>
      </c>
      <c r="B2985" t="s">
        <v>365</v>
      </c>
      <c r="C2985" s="1">
        <v>45424</v>
      </c>
      <c r="D2985" s="1" t="str">
        <f>PROPER(orders[[#This Row],[order_priority]])</f>
        <v>Same Day</v>
      </c>
      <c r="E2985" t="s">
        <v>13322</v>
      </c>
      <c r="F2985" t="str">
        <f>IFERROR(INDEX(customers[country], MATCH(orders[[#This Row],[customer_id]], customers[customer_id], 0)), "Unmapped")</f>
        <v>Poland</v>
      </c>
      <c r="G2985" t="str">
        <f>IFERROR(INDEX(Region_Map[Region], MATCH(orders[[#This Row],[Customer_Country]], Region_Map[Country], 0)), "Unknown")</f>
        <v>Central Europe</v>
      </c>
      <c r="H2985" t="s">
        <v>6949</v>
      </c>
    </row>
    <row r="2986" spans="1:8">
      <c r="A2986" t="s">
        <v>3891</v>
      </c>
      <c r="B2986" t="s">
        <v>837</v>
      </c>
      <c r="C2986" s="1">
        <v>45085</v>
      </c>
      <c r="D2986" s="1" t="str">
        <f>PROPER(orders[[#This Row],[order_priority]])</f>
        <v>Express</v>
      </c>
      <c r="E2986" t="s">
        <v>13318</v>
      </c>
      <c r="F2986" t="str">
        <f>IFERROR(INDEX(customers[country], MATCH(orders[[#This Row],[customer_id]], customers[customer_id], 0)), "Unmapped")</f>
        <v>Poland</v>
      </c>
      <c r="G2986" t="str">
        <f>IFERROR(INDEX(Region_Map[Region], MATCH(orders[[#This Row],[Customer_Country]], Region_Map[Country], 0)), "Unknown")</f>
        <v>Central Europe</v>
      </c>
      <c r="H2986" t="s">
        <v>6949</v>
      </c>
    </row>
    <row r="2987" spans="1:8">
      <c r="A2987" t="s">
        <v>3892</v>
      </c>
      <c r="B2987" t="s">
        <v>425</v>
      </c>
      <c r="C2987" s="1">
        <v>45148</v>
      </c>
      <c r="D2987" s="1" t="str">
        <f>PROPER(orders[[#This Row],[order_priority]])</f>
        <v>Economy</v>
      </c>
      <c r="E2987" t="s">
        <v>13316</v>
      </c>
      <c r="F2987" t="str">
        <f>IFERROR(INDEX(customers[country], MATCH(orders[[#This Row],[customer_id]], customers[customer_id], 0)), "Unmapped")</f>
        <v>Denmark</v>
      </c>
      <c r="G2987" t="str">
        <f>IFERROR(INDEX(Region_Map[Region], MATCH(orders[[#This Row],[Customer_Country]], Region_Map[Country], 0)), "Unknown")</f>
        <v>Nordics</v>
      </c>
      <c r="H2987" t="s">
        <v>6949</v>
      </c>
    </row>
    <row r="2988" spans="1:8">
      <c r="A2988" t="s">
        <v>3893</v>
      </c>
      <c r="B2988" t="s">
        <v>521</v>
      </c>
      <c r="C2988" s="1">
        <v>45411</v>
      </c>
      <c r="D2988" s="1" t="str">
        <f>PROPER(orders[[#This Row],[order_priority]])</f>
        <v>Express</v>
      </c>
      <c r="E2988" t="s">
        <v>13318</v>
      </c>
      <c r="F2988" t="str">
        <f>IFERROR(INDEX(customers[country], MATCH(orders[[#This Row],[customer_id]], customers[customer_id], 0)), "Unmapped")</f>
        <v>Norway</v>
      </c>
      <c r="G2988" t="str">
        <f>IFERROR(INDEX(Region_Map[Region], MATCH(orders[[#This Row],[Customer_Country]], Region_Map[Country], 0)), "Unknown")</f>
        <v>Nordics</v>
      </c>
      <c r="H2988" t="s">
        <v>6949</v>
      </c>
    </row>
    <row r="2989" spans="1:8">
      <c r="A2989" t="s">
        <v>3894</v>
      </c>
      <c r="B2989" t="s">
        <v>246</v>
      </c>
      <c r="C2989" s="1">
        <v>45117</v>
      </c>
      <c r="D2989" s="1" t="str">
        <f>PROPER(orders[[#This Row],[order_priority]])</f>
        <v>Same Day</v>
      </c>
      <c r="E2989" t="s">
        <v>13322</v>
      </c>
      <c r="F2989" t="str">
        <f>IFERROR(INDEX(customers[country], MATCH(orders[[#This Row],[customer_id]], customers[customer_id], 0)), "Unmapped")</f>
        <v>Netherlands</v>
      </c>
      <c r="G2989" t="str">
        <f>IFERROR(INDEX(Region_Map[Region], MATCH(orders[[#This Row],[Customer_Country]], Region_Map[Country], 0)), "Unknown")</f>
        <v>Central Europe</v>
      </c>
      <c r="H2989" t="s">
        <v>6949</v>
      </c>
    </row>
    <row r="2990" spans="1:8">
      <c r="A2990" t="s">
        <v>3895</v>
      </c>
      <c r="B2990" t="s">
        <v>338</v>
      </c>
      <c r="C2990" s="1">
        <v>45229</v>
      </c>
      <c r="D2990" s="1" t="str">
        <f>PROPER(orders[[#This Row],[order_priority]])</f>
        <v>Same Day</v>
      </c>
      <c r="E2990" t="s">
        <v>13322</v>
      </c>
      <c r="F2990" t="str">
        <f>IFERROR(INDEX(customers[country], MATCH(orders[[#This Row],[customer_id]], customers[customer_id], 0)), "Unmapped")</f>
        <v>Denmark</v>
      </c>
      <c r="G2990" t="str">
        <f>IFERROR(INDEX(Region_Map[Region], MATCH(orders[[#This Row],[Customer_Country]], Region_Map[Country], 0)), "Unknown")</f>
        <v>Nordics</v>
      </c>
      <c r="H2990" t="s">
        <v>6949</v>
      </c>
    </row>
    <row r="2991" spans="1:8">
      <c r="A2991" t="s">
        <v>3896</v>
      </c>
      <c r="B2991" t="s">
        <v>24</v>
      </c>
      <c r="C2991" s="1">
        <v>45346</v>
      </c>
      <c r="D2991" s="1" t="str">
        <f>PROPER(orders[[#This Row],[order_priority]])</f>
        <v>Same Day</v>
      </c>
      <c r="E2991" t="s">
        <v>13322</v>
      </c>
      <c r="F2991" t="str">
        <f>IFERROR(INDEX(customers[country], MATCH(orders[[#This Row],[customer_id]], customers[customer_id], 0)), "Unmapped")</f>
        <v>Sweden</v>
      </c>
      <c r="G2991" t="str">
        <f>IFERROR(INDEX(Region_Map[Region], MATCH(orders[[#This Row],[Customer_Country]], Region_Map[Country], 0)), "Unknown")</f>
        <v>Nordics</v>
      </c>
      <c r="H2991" t="s">
        <v>6949</v>
      </c>
    </row>
    <row r="2992" spans="1:8">
      <c r="A2992" t="s">
        <v>3897</v>
      </c>
      <c r="B2992" t="s">
        <v>831</v>
      </c>
      <c r="C2992" s="1">
        <v>45071</v>
      </c>
      <c r="D2992" s="1" t="str">
        <f>PROPER(orders[[#This Row],[order_priority]])</f>
        <v>Same Day</v>
      </c>
      <c r="E2992" t="s">
        <v>13322</v>
      </c>
      <c r="F2992" t="str">
        <f>IFERROR(INDEX(customers[country], MATCH(orders[[#This Row],[customer_id]], customers[customer_id], 0)), "Unmapped")</f>
        <v>Norway</v>
      </c>
      <c r="G2992" t="str">
        <f>IFERROR(INDEX(Region_Map[Region], MATCH(orders[[#This Row],[Customer_Country]], Region_Map[Country], 0)), "Unknown")</f>
        <v>Nordics</v>
      </c>
      <c r="H2992" t="s">
        <v>6949</v>
      </c>
    </row>
    <row r="2993" spans="1:8">
      <c r="A2993" t="s">
        <v>3898</v>
      </c>
      <c r="B2993" t="s">
        <v>452</v>
      </c>
      <c r="C2993" s="1">
        <v>44983</v>
      </c>
      <c r="D2993" s="1" t="str">
        <f>PROPER(orders[[#This Row],[order_priority]])</f>
        <v>Express</v>
      </c>
      <c r="E2993" t="s">
        <v>13318</v>
      </c>
      <c r="F2993" t="str">
        <f>IFERROR(INDEX(customers[country], MATCH(orders[[#This Row],[customer_id]], customers[customer_id], 0)), "Unmapped")</f>
        <v>Sweden</v>
      </c>
      <c r="G2993" t="str">
        <f>IFERROR(INDEX(Region_Map[Region], MATCH(orders[[#This Row],[Customer_Country]], Region_Map[Country], 0)), "Unknown")</f>
        <v>Nordics</v>
      </c>
      <c r="H2993" t="s">
        <v>6949</v>
      </c>
    </row>
    <row r="2994" spans="1:8">
      <c r="A2994" t="s">
        <v>3899</v>
      </c>
      <c r="B2994" t="s">
        <v>77</v>
      </c>
      <c r="C2994" s="1">
        <v>45335</v>
      </c>
      <c r="D2994" s="1" t="str">
        <f>PROPER(orders[[#This Row],[order_priority]])</f>
        <v>Standard</v>
      </c>
      <c r="E2994" t="s">
        <v>13317</v>
      </c>
      <c r="F2994" t="str">
        <f>IFERROR(INDEX(customers[country], MATCH(orders[[#This Row],[customer_id]], customers[customer_id], 0)), "Unmapped")</f>
        <v>Lithuania</v>
      </c>
      <c r="G2994" t="str">
        <f>IFERROR(INDEX(Region_Map[Region], MATCH(orders[[#This Row],[Customer_Country]], Region_Map[Country], 0)), "Unknown")</f>
        <v>Baltics</v>
      </c>
      <c r="H2994" t="s">
        <v>6949</v>
      </c>
    </row>
    <row r="2995" spans="1:8">
      <c r="A2995" t="s">
        <v>3900</v>
      </c>
      <c r="B2995" t="s">
        <v>365</v>
      </c>
      <c r="C2995" s="1">
        <v>45184</v>
      </c>
      <c r="D2995" s="1" t="str">
        <f>PROPER(orders[[#This Row],[order_priority]])</f>
        <v>Economy</v>
      </c>
      <c r="E2995" t="s">
        <v>13316</v>
      </c>
      <c r="F2995" t="str">
        <f>IFERROR(INDEX(customers[country], MATCH(orders[[#This Row],[customer_id]], customers[customer_id], 0)), "Unmapped")</f>
        <v>Poland</v>
      </c>
      <c r="G2995" t="str">
        <f>IFERROR(INDEX(Region_Map[Region], MATCH(orders[[#This Row],[Customer_Country]], Region_Map[Country], 0)), "Unknown")</f>
        <v>Central Europe</v>
      </c>
      <c r="H2995" t="s">
        <v>6949</v>
      </c>
    </row>
    <row r="2996" spans="1:8">
      <c r="A2996" t="s">
        <v>3901</v>
      </c>
      <c r="B2996" t="s">
        <v>368</v>
      </c>
      <c r="C2996" s="1">
        <v>45355</v>
      </c>
      <c r="D2996" s="1" t="str">
        <f>PROPER(orders[[#This Row],[order_priority]])</f>
        <v>Economy</v>
      </c>
      <c r="E2996" t="s">
        <v>13316</v>
      </c>
      <c r="F2996" t="str">
        <f>IFERROR(INDEX(customers[country], MATCH(orders[[#This Row],[customer_id]], customers[customer_id], 0)), "Unmapped")</f>
        <v>Poland</v>
      </c>
      <c r="G2996" t="str">
        <f>IFERROR(INDEX(Region_Map[Region], MATCH(orders[[#This Row],[Customer_Country]], Region_Map[Country], 0)), "Unknown")</f>
        <v>Central Europe</v>
      </c>
      <c r="H2996" t="s">
        <v>6949</v>
      </c>
    </row>
    <row r="2997" spans="1:8">
      <c r="A2997" t="s">
        <v>3902</v>
      </c>
      <c r="B2997" t="s">
        <v>858</v>
      </c>
      <c r="C2997" s="1">
        <v>45537</v>
      </c>
      <c r="D2997" s="1" t="str">
        <f>PROPER(orders[[#This Row],[order_priority]])</f>
        <v>Standard</v>
      </c>
      <c r="E2997" t="s">
        <v>13317</v>
      </c>
      <c r="F2997" t="str">
        <f>IFERROR(INDEX(customers[country], MATCH(orders[[#This Row],[customer_id]], customers[customer_id], 0)), "Unmapped")</f>
        <v>Lithuania</v>
      </c>
      <c r="G2997" t="str">
        <f>IFERROR(INDEX(Region_Map[Region], MATCH(orders[[#This Row],[Customer_Country]], Region_Map[Country], 0)), "Unknown")</f>
        <v>Baltics</v>
      </c>
      <c r="H2997" t="s">
        <v>6949</v>
      </c>
    </row>
    <row r="2998" spans="1:8">
      <c r="A2998" t="s">
        <v>3903</v>
      </c>
      <c r="B2998" t="s">
        <v>419</v>
      </c>
      <c r="C2998" s="1">
        <v>45049</v>
      </c>
      <c r="D2998" s="1" t="str">
        <f>PROPER(orders[[#This Row],[order_priority]])</f>
        <v>Standard</v>
      </c>
      <c r="E2998" t="s">
        <v>13317</v>
      </c>
      <c r="F2998" t="str">
        <f>IFERROR(INDEX(customers[country], MATCH(orders[[#This Row],[customer_id]], customers[customer_id], 0)), "Unmapped")</f>
        <v>Estonia</v>
      </c>
      <c r="G2998" t="str">
        <f>IFERROR(INDEX(Region_Map[Region], MATCH(orders[[#This Row],[Customer_Country]], Region_Map[Country], 0)), "Unknown")</f>
        <v>Baltics</v>
      </c>
      <c r="H2998" t="s">
        <v>6949</v>
      </c>
    </row>
    <row r="2999" spans="1:8">
      <c r="A2999" t="s">
        <v>3904</v>
      </c>
      <c r="B2999" t="s">
        <v>530</v>
      </c>
      <c r="C2999" s="1">
        <v>44978</v>
      </c>
      <c r="D2999" s="1" t="str">
        <f>PROPER(orders[[#This Row],[order_priority]])</f>
        <v>Economy</v>
      </c>
      <c r="E2999" t="s">
        <v>13316</v>
      </c>
      <c r="F2999" t="str">
        <f>IFERROR(INDEX(customers[country], MATCH(orders[[#This Row],[customer_id]], customers[customer_id], 0)), "Unmapped")</f>
        <v>Denmark</v>
      </c>
      <c r="G2999" t="str">
        <f>IFERROR(INDEX(Region_Map[Region], MATCH(orders[[#This Row],[Customer_Country]], Region_Map[Country], 0)), "Unknown")</f>
        <v>Nordics</v>
      </c>
      <c r="H2999" t="s">
        <v>6949</v>
      </c>
    </row>
    <row r="3000" spans="1:8">
      <c r="A3000" t="s">
        <v>3905</v>
      </c>
      <c r="B3000" t="s">
        <v>888</v>
      </c>
      <c r="C3000" s="1">
        <v>45046</v>
      </c>
      <c r="D3000" s="1" t="str">
        <f>PROPER(orders[[#This Row],[order_priority]])</f>
        <v>Same Day</v>
      </c>
      <c r="E3000" t="s">
        <v>13322</v>
      </c>
      <c r="F3000" t="str">
        <f>IFERROR(INDEX(customers[country], MATCH(orders[[#This Row],[customer_id]], customers[customer_id], 0)), "Unmapped")</f>
        <v>Denmark</v>
      </c>
      <c r="G3000" t="str">
        <f>IFERROR(INDEX(Region_Map[Region], MATCH(orders[[#This Row],[Customer_Country]], Region_Map[Country], 0)), "Unknown")</f>
        <v>Nordics</v>
      </c>
      <c r="H3000" t="s">
        <v>6949</v>
      </c>
    </row>
    <row r="3001" spans="1:8">
      <c r="A3001" t="s">
        <v>3906</v>
      </c>
      <c r="B3001" t="s">
        <v>524</v>
      </c>
      <c r="C3001" s="1">
        <v>45341</v>
      </c>
      <c r="D3001" s="1" t="str">
        <f>PROPER(orders[[#This Row],[order_priority]])</f>
        <v>Standard</v>
      </c>
      <c r="E3001" t="s">
        <v>13317</v>
      </c>
      <c r="F3001" t="str">
        <f>IFERROR(INDEX(customers[country], MATCH(orders[[#This Row],[customer_id]], customers[customer_id], 0)), "Unmapped")</f>
        <v>Norway</v>
      </c>
      <c r="G3001" t="str">
        <f>IFERROR(INDEX(Region_Map[Region], MATCH(orders[[#This Row],[Customer_Country]], Region_Map[Country], 0)), "Unknown")</f>
        <v>Nordics</v>
      </c>
      <c r="H3001" t="s">
        <v>6949</v>
      </c>
    </row>
    <row r="3002" spans="1:8">
      <c r="A3002" t="s">
        <v>3907</v>
      </c>
      <c r="B3002" t="s">
        <v>106</v>
      </c>
      <c r="C3002" s="1">
        <v>45504</v>
      </c>
      <c r="D3002" s="1" t="str">
        <f>PROPER(orders[[#This Row],[order_priority]])</f>
        <v>Express</v>
      </c>
      <c r="E3002" t="s">
        <v>13318</v>
      </c>
      <c r="F3002" t="str">
        <f>IFERROR(INDEX(customers[country], MATCH(orders[[#This Row],[customer_id]], customers[customer_id], 0)), "Unmapped")</f>
        <v>Lithuania</v>
      </c>
      <c r="G3002" t="str">
        <f>IFERROR(INDEX(Region_Map[Region], MATCH(orders[[#This Row],[Customer_Country]], Region_Map[Country], 0)), "Unknown")</f>
        <v>Baltics</v>
      </c>
      <c r="H3002" t="s">
        <v>6949</v>
      </c>
    </row>
    <row r="3003" spans="1:8">
      <c r="A3003" t="s">
        <v>3908</v>
      </c>
      <c r="B3003" t="s">
        <v>73</v>
      </c>
      <c r="C3003" s="1">
        <v>45006</v>
      </c>
      <c r="D3003" s="1" t="str">
        <f>PROPER(orders[[#This Row],[order_priority]])</f>
        <v>Economy</v>
      </c>
      <c r="E3003" t="s">
        <v>13316</v>
      </c>
      <c r="F3003" t="str">
        <f>IFERROR(INDEX(customers[country], MATCH(orders[[#This Row],[customer_id]], customers[customer_id], 0)), "Unmapped")</f>
        <v>Norway</v>
      </c>
      <c r="G3003" t="str">
        <f>IFERROR(INDEX(Region_Map[Region], MATCH(orders[[#This Row],[Customer_Country]], Region_Map[Country], 0)), "Unknown")</f>
        <v>Nordics</v>
      </c>
      <c r="H3003" t="s">
        <v>6949</v>
      </c>
    </row>
    <row r="3004" spans="1:8">
      <c r="A3004" t="s">
        <v>3909</v>
      </c>
      <c r="B3004" t="s">
        <v>882</v>
      </c>
      <c r="C3004" s="1">
        <v>45495</v>
      </c>
      <c r="D3004" s="1" t="str">
        <f>PROPER(orders[[#This Row],[order_priority]])</f>
        <v>Same Day</v>
      </c>
      <c r="E3004" t="s">
        <v>13322</v>
      </c>
      <c r="F3004" t="str">
        <f>IFERROR(INDEX(customers[country], MATCH(orders[[#This Row],[customer_id]], customers[customer_id], 0)), "Unmapped")</f>
        <v>Netherlands</v>
      </c>
      <c r="G3004" t="str">
        <f>IFERROR(INDEX(Region_Map[Region], MATCH(orders[[#This Row],[Customer_Country]], Region_Map[Country], 0)), "Unknown")</f>
        <v>Central Europe</v>
      </c>
      <c r="H3004" t="s">
        <v>6949</v>
      </c>
    </row>
    <row r="3005" spans="1:8">
      <c r="A3005" t="s">
        <v>3910</v>
      </c>
      <c r="B3005" t="s">
        <v>802</v>
      </c>
      <c r="C3005" s="1">
        <v>45141</v>
      </c>
      <c r="D3005" s="1" t="str">
        <f>PROPER(orders[[#This Row],[order_priority]])</f>
        <v>Economy</v>
      </c>
      <c r="E3005" t="s">
        <v>13316</v>
      </c>
      <c r="F3005" t="str">
        <f>IFERROR(INDEX(customers[country], MATCH(orders[[#This Row],[customer_id]], customers[customer_id], 0)), "Unmapped")</f>
        <v>Poland</v>
      </c>
      <c r="G3005" t="str">
        <f>IFERROR(INDEX(Region_Map[Region], MATCH(orders[[#This Row],[Customer_Country]], Region_Map[Country], 0)), "Unknown")</f>
        <v>Central Europe</v>
      </c>
      <c r="H3005" t="s">
        <v>6949</v>
      </c>
    </row>
    <row r="3006" spans="1:8">
      <c r="A3006" t="s">
        <v>3911</v>
      </c>
      <c r="B3006" t="s">
        <v>903</v>
      </c>
      <c r="C3006" s="1">
        <v>45129</v>
      </c>
      <c r="D3006" s="1" t="str">
        <f>PROPER(orders[[#This Row],[order_priority]])</f>
        <v>Express</v>
      </c>
      <c r="E3006" t="s">
        <v>13318</v>
      </c>
      <c r="F3006" t="str">
        <f>IFERROR(INDEX(customers[country], MATCH(orders[[#This Row],[customer_id]], customers[customer_id], 0)), "Unmapped")</f>
        <v>Norway</v>
      </c>
      <c r="G3006" t="str">
        <f>IFERROR(INDEX(Region_Map[Region], MATCH(orders[[#This Row],[Customer_Country]], Region_Map[Country], 0)), "Unknown")</f>
        <v>Nordics</v>
      </c>
      <c r="H3006" t="s">
        <v>6949</v>
      </c>
    </row>
    <row r="3007" spans="1:8">
      <c r="A3007" t="s">
        <v>3912</v>
      </c>
      <c r="B3007" t="s">
        <v>661</v>
      </c>
      <c r="C3007" s="1">
        <v>45401</v>
      </c>
      <c r="D3007" s="1" t="str">
        <f>PROPER(orders[[#This Row],[order_priority]])</f>
        <v>Same Day</v>
      </c>
      <c r="E3007" t="s">
        <v>13321</v>
      </c>
      <c r="F3007" t="str">
        <f>IFERROR(INDEX(customers[country], MATCH(orders[[#This Row],[customer_id]], customers[customer_id], 0)), "Unmapped")</f>
        <v>Lithuania</v>
      </c>
      <c r="G3007" t="str">
        <f>IFERROR(INDEX(Region_Map[Region], MATCH(orders[[#This Row],[Customer_Country]], Region_Map[Country], 0)), "Unknown")</f>
        <v>Baltics</v>
      </c>
      <c r="H3007" t="s">
        <v>6949</v>
      </c>
    </row>
    <row r="3008" spans="1:8">
      <c r="A3008" t="s">
        <v>3913</v>
      </c>
      <c r="B3008" t="s">
        <v>133</v>
      </c>
      <c r="C3008" s="1">
        <v>45281</v>
      </c>
      <c r="D3008" s="1" t="str">
        <f>PROPER(orders[[#This Row],[order_priority]])</f>
        <v>Economy</v>
      </c>
      <c r="E3008" t="s">
        <v>13316</v>
      </c>
      <c r="F3008" t="str">
        <f>IFERROR(INDEX(customers[country], MATCH(orders[[#This Row],[customer_id]], customers[customer_id], 0)), "Unmapped")</f>
        <v>Finland</v>
      </c>
      <c r="G3008" t="str">
        <f>IFERROR(INDEX(Region_Map[Region], MATCH(orders[[#This Row],[Customer_Country]], Region_Map[Country], 0)), "Unknown")</f>
        <v>Nordics</v>
      </c>
      <c r="H3008" t="s">
        <v>6949</v>
      </c>
    </row>
    <row r="3009" spans="1:8">
      <c r="A3009" t="s">
        <v>3914</v>
      </c>
      <c r="B3009" t="s">
        <v>15</v>
      </c>
      <c r="C3009" s="1">
        <v>45534</v>
      </c>
      <c r="D3009" s="1" t="str">
        <f>PROPER(orders[[#This Row],[order_priority]])</f>
        <v>Same Day</v>
      </c>
      <c r="E3009" t="s">
        <v>13322</v>
      </c>
      <c r="F3009" t="str">
        <f>IFERROR(INDEX(customers[country], MATCH(orders[[#This Row],[customer_id]], customers[customer_id], 0)), "Unmapped")</f>
        <v>Estonia</v>
      </c>
      <c r="G3009" t="str">
        <f>IFERROR(INDEX(Region_Map[Region], MATCH(orders[[#This Row],[Customer_Country]], Region_Map[Country], 0)), "Unknown")</f>
        <v>Baltics</v>
      </c>
      <c r="H3009" t="s">
        <v>6949</v>
      </c>
    </row>
    <row r="3010" spans="1:8">
      <c r="A3010" t="s">
        <v>3915</v>
      </c>
      <c r="B3010" t="s">
        <v>655</v>
      </c>
      <c r="C3010" s="1">
        <v>45317</v>
      </c>
      <c r="D3010" s="1" t="str">
        <f>PROPER(orders[[#This Row],[order_priority]])</f>
        <v>Same Day</v>
      </c>
      <c r="E3010" t="s">
        <v>13322</v>
      </c>
      <c r="F3010" t="str">
        <f>IFERROR(INDEX(customers[country], MATCH(orders[[#This Row],[customer_id]], customers[customer_id], 0)), "Unmapped")</f>
        <v>Sweden</v>
      </c>
      <c r="G3010" t="str">
        <f>IFERROR(INDEX(Region_Map[Region], MATCH(orders[[#This Row],[Customer_Country]], Region_Map[Country], 0)), "Unknown")</f>
        <v>Nordics</v>
      </c>
      <c r="H3010" t="s">
        <v>6949</v>
      </c>
    </row>
    <row r="3011" spans="1:8">
      <c r="A3011" t="s">
        <v>3916</v>
      </c>
      <c r="B3011" t="s">
        <v>314</v>
      </c>
      <c r="C3011" s="1">
        <v>45299</v>
      </c>
      <c r="D3011" s="1" t="str">
        <f>PROPER(orders[[#This Row],[order_priority]])</f>
        <v>Express</v>
      </c>
      <c r="E3011" t="s">
        <v>13318</v>
      </c>
      <c r="F3011" t="str">
        <f>IFERROR(INDEX(customers[country], MATCH(orders[[#This Row],[customer_id]], customers[customer_id], 0)), "Unmapped")</f>
        <v>Poland</v>
      </c>
      <c r="G3011" t="str">
        <f>IFERROR(INDEX(Region_Map[Region], MATCH(orders[[#This Row],[Customer_Country]], Region_Map[Country], 0)), "Unknown")</f>
        <v>Central Europe</v>
      </c>
      <c r="H3011" t="s">
        <v>6949</v>
      </c>
    </row>
    <row r="3012" spans="1:8">
      <c r="A3012" t="s">
        <v>3917</v>
      </c>
      <c r="B3012" t="s">
        <v>19</v>
      </c>
      <c r="C3012" s="1">
        <v>45017</v>
      </c>
      <c r="D3012" s="1" t="str">
        <f>PROPER(orders[[#This Row],[order_priority]])</f>
        <v>Standard</v>
      </c>
      <c r="E3012" t="s">
        <v>13317</v>
      </c>
      <c r="F3012" t="str">
        <f>IFERROR(INDEX(customers[country], MATCH(orders[[#This Row],[customer_id]], customers[customer_id], 0)), "Unmapped")</f>
        <v>Poland</v>
      </c>
      <c r="G3012" t="str">
        <f>IFERROR(INDEX(Region_Map[Region], MATCH(orders[[#This Row],[Customer_Country]], Region_Map[Country], 0)), "Unknown")</f>
        <v>Central Europe</v>
      </c>
      <c r="H3012" t="s">
        <v>6949</v>
      </c>
    </row>
    <row r="3013" spans="1:8">
      <c r="A3013" t="s">
        <v>3918</v>
      </c>
      <c r="B3013" t="s">
        <v>314</v>
      </c>
      <c r="C3013" s="1">
        <v>45214</v>
      </c>
      <c r="D3013" s="1" t="str">
        <f>PROPER(orders[[#This Row],[order_priority]])</f>
        <v>Standard</v>
      </c>
      <c r="E3013" t="s">
        <v>13317</v>
      </c>
      <c r="F3013" t="str">
        <f>IFERROR(INDEX(customers[country], MATCH(orders[[#This Row],[customer_id]], customers[customer_id], 0)), "Unmapped")</f>
        <v>Poland</v>
      </c>
      <c r="G3013" t="str">
        <f>IFERROR(INDEX(Region_Map[Region], MATCH(orders[[#This Row],[Customer_Country]], Region_Map[Country], 0)), "Unknown")</f>
        <v>Central Europe</v>
      </c>
      <c r="H3013" t="s">
        <v>6949</v>
      </c>
    </row>
    <row r="3014" spans="1:8">
      <c r="A3014" t="s">
        <v>3919</v>
      </c>
      <c r="B3014" t="s">
        <v>703</v>
      </c>
      <c r="C3014" s="1">
        <v>45140</v>
      </c>
      <c r="D3014" s="1" t="str">
        <f>PROPER(orders[[#This Row],[order_priority]])</f>
        <v>Standard</v>
      </c>
      <c r="E3014" t="s">
        <v>13317</v>
      </c>
      <c r="F3014" t="str">
        <f>IFERROR(INDEX(customers[country], MATCH(orders[[#This Row],[customer_id]], customers[customer_id], 0)), "Unmapped")</f>
        <v>Estonia</v>
      </c>
      <c r="G3014" t="str">
        <f>IFERROR(INDEX(Region_Map[Region], MATCH(orders[[#This Row],[Customer_Country]], Region_Map[Country], 0)), "Unknown")</f>
        <v>Baltics</v>
      </c>
      <c r="H3014" t="s">
        <v>6949</v>
      </c>
    </row>
    <row r="3015" spans="1:8">
      <c r="A3015" t="s">
        <v>3920</v>
      </c>
      <c r="B3015" t="s">
        <v>184</v>
      </c>
      <c r="C3015" s="1">
        <v>45220</v>
      </c>
      <c r="D3015" s="1" t="str">
        <f>PROPER(orders[[#This Row],[order_priority]])</f>
        <v>Standard</v>
      </c>
      <c r="E3015" t="s">
        <v>13317</v>
      </c>
      <c r="F3015" t="str">
        <f>IFERROR(INDEX(customers[country], MATCH(orders[[#This Row],[customer_id]], customers[customer_id], 0)), "Unmapped")</f>
        <v>Netherlands</v>
      </c>
      <c r="G3015" t="str">
        <f>IFERROR(INDEX(Region_Map[Region], MATCH(orders[[#This Row],[Customer_Country]], Region_Map[Country], 0)), "Unknown")</f>
        <v>Central Europe</v>
      </c>
      <c r="H3015" t="s">
        <v>6949</v>
      </c>
    </row>
    <row r="3016" spans="1:8">
      <c r="A3016" t="s">
        <v>3921</v>
      </c>
      <c r="B3016" t="s">
        <v>6</v>
      </c>
      <c r="C3016" s="1">
        <v>45468</v>
      </c>
      <c r="D3016" s="1" t="str">
        <f>PROPER(orders[[#This Row],[order_priority]])</f>
        <v>Same Day</v>
      </c>
      <c r="E3016" t="s">
        <v>13322</v>
      </c>
      <c r="F3016" t="str">
        <f>IFERROR(INDEX(customers[country], MATCH(orders[[#This Row],[customer_id]], customers[customer_id], 0)), "Unmapped")</f>
        <v>Latvia</v>
      </c>
      <c r="G3016" t="str">
        <f>IFERROR(INDEX(Region_Map[Region], MATCH(orders[[#This Row],[Customer_Country]], Region_Map[Country], 0)), "Unknown")</f>
        <v>Baltics</v>
      </c>
      <c r="H3016" t="s">
        <v>6949</v>
      </c>
    </row>
    <row r="3017" spans="1:8">
      <c r="A3017" t="s">
        <v>3922</v>
      </c>
      <c r="B3017" t="s">
        <v>752</v>
      </c>
      <c r="C3017" s="1">
        <v>45085</v>
      </c>
      <c r="D3017" s="1" t="str">
        <f>PROPER(orders[[#This Row],[order_priority]])</f>
        <v>Same Day</v>
      </c>
      <c r="E3017" t="s">
        <v>13322</v>
      </c>
      <c r="F3017" t="str">
        <f>IFERROR(INDEX(customers[country], MATCH(orders[[#This Row],[customer_id]], customers[customer_id], 0)), "Unmapped")</f>
        <v>Estonia</v>
      </c>
      <c r="G3017" t="str">
        <f>IFERROR(INDEX(Region_Map[Region], MATCH(orders[[#This Row],[Customer_Country]], Region_Map[Country], 0)), "Unknown")</f>
        <v>Baltics</v>
      </c>
      <c r="H3017" t="s">
        <v>6949</v>
      </c>
    </row>
    <row r="3018" spans="1:8">
      <c r="A3018" t="s">
        <v>3923</v>
      </c>
      <c r="B3018" t="s">
        <v>452</v>
      </c>
      <c r="C3018" s="1">
        <v>45446</v>
      </c>
      <c r="D3018" s="1" t="str">
        <f>PROPER(orders[[#This Row],[order_priority]])</f>
        <v>Same Day</v>
      </c>
      <c r="E3018" t="s">
        <v>13322</v>
      </c>
      <c r="F3018" t="str">
        <f>IFERROR(INDEX(customers[country], MATCH(orders[[#This Row],[customer_id]], customers[customer_id], 0)), "Unmapped")</f>
        <v>Sweden</v>
      </c>
      <c r="G3018" t="str">
        <f>IFERROR(INDEX(Region_Map[Region], MATCH(orders[[#This Row],[Customer_Country]], Region_Map[Country], 0)), "Unknown")</f>
        <v>Nordics</v>
      </c>
      <c r="H3018" t="s">
        <v>6949</v>
      </c>
    </row>
    <row r="3019" spans="1:8">
      <c r="A3019" t="s">
        <v>3924</v>
      </c>
      <c r="B3019" t="s">
        <v>879</v>
      </c>
      <c r="C3019" s="1">
        <v>45312</v>
      </c>
      <c r="D3019" s="1" t="str">
        <f>PROPER(orders[[#This Row],[order_priority]])</f>
        <v>Same Day</v>
      </c>
      <c r="E3019" t="s">
        <v>13322</v>
      </c>
      <c r="F3019" t="str">
        <f>IFERROR(INDEX(customers[country], MATCH(orders[[#This Row],[customer_id]], customers[customer_id], 0)), "Unmapped")</f>
        <v>Norway</v>
      </c>
      <c r="G3019" t="str">
        <f>IFERROR(INDEX(Region_Map[Region], MATCH(orders[[#This Row],[Customer_Country]], Region_Map[Country], 0)), "Unknown")</f>
        <v>Nordics</v>
      </c>
      <c r="H3019" t="s">
        <v>6949</v>
      </c>
    </row>
    <row r="3020" spans="1:8">
      <c r="A3020" t="s">
        <v>3925</v>
      </c>
      <c r="B3020" t="s">
        <v>822</v>
      </c>
      <c r="C3020" s="1">
        <v>45112</v>
      </c>
      <c r="D3020" s="1" t="str">
        <f>PROPER(orders[[#This Row],[order_priority]])</f>
        <v>Same Day</v>
      </c>
      <c r="E3020" t="s">
        <v>13324</v>
      </c>
      <c r="F3020" t="str">
        <f>IFERROR(INDEX(customers[country], MATCH(orders[[#This Row],[customer_id]], customers[customer_id], 0)), "Unmapped")</f>
        <v>Netherlands</v>
      </c>
      <c r="G3020" t="str">
        <f>IFERROR(INDEX(Region_Map[Region], MATCH(orders[[#This Row],[Customer_Country]], Region_Map[Country], 0)), "Unknown")</f>
        <v>Central Europe</v>
      </c>
      <c r="H3020" t="s">
        <v>6949</v>
      </c>
    </row>
    <row r="3021" spans="1:8">
      <c r="A3021" t="s">
        <v>3926</v>
      </c>
      <c r="B3021" t="s">
        <v>365</v>
      </c>
      <c r="C3021" s="1">
        <v>45397</v>
      </c>
      <c r="D3021" s="1" t="str">
        <f>PROPER(orders[[#This Row],[order_priority]])</f>
        <v>Same Day</v>
      </c>
      <c r="E3021" t="s">
        <v>13322</v>
      </c>
      <c r="F3021" t="str">
        <f>IFERROR(INDEX(customers[country], MATCH(orders[[#This Row],[customer_id]], customers[customer_id], 0)), "Unmapped")</f>
        <v>Poland</v>
      </c>
      <c r="G3021" t="str">
        <f>IFERROR(INDEX(Region_Map[Region], MATCH(orders[[#This Row],[Customer_Country]], Region_Map[Country], 0)), "Unknown")</f>
        <v>Central Europe</v>
      </c>
      <c r="H3021" t="s">
        <v>6949</v>
      </c>
    </row>
    <row r="3022" spans="1:8">
      <c r="A3022" t="s">
        <v>3927</v>
      </c>
      <c r="B3022" t="s">
        <v>27</v>
      </c>
      <c r="C3022" s="1">
        <v>45604</v>
      </c>
      <c r="D3022" s="1" t="str">
        <f>PROPER(orders[[#This Row],[order_priority]])</f>
        <v>Same Day</v>
      </c>
      <c r="E3022" t="s">
        <v>13322</v>
      </c>
      <c r="F3022" t="str">
        <f>IFERROR(INDEX(customers[country], MATCH(orders[[#This Row],[customer_id]], customers[customer_id], 0)), "Unmapped")</f>
        <v>Latvia</v>
      </c>
      <c r="G3022" t="str">
        <f>IFERROR(INDEX(Region_Map[Region], MATCH(orders[[#This Row],[Customer_Country]], Region_Map[Country], 0)), "Unknown")</f>
        <v>Baltics</v>
      </c>
      <c r="H3022" t="s">
        <v>6949</v>
      </c>
    </row>
    <row r="3023" spans="1:8">
      <c r="A3023" t="s">
        <v>3928</v>
      </c>
      <c r="B3023" t="s">
        <v>374</v>
      </c>
      <c r="C3023" s="1">
        <v>45418</v>
      </c>
      <c r="D3023" s="1" t="str">
        <f>PROPER(orders[[#This Row],[order_priority]])</f>
        <v>Economy</v>
      </c>
      <c r="E3023" t="s">
        <v>13316</v>
      </c>
      <c r="F3023" t="str">
        <f>IFERROR(INDEX(customers[country], MATCH(orders[[#This Row],[customer_id]], customers[customer_id], 0)), "Unmapped")</f>
        <v>Estonia</v>
      </c>
      <c r="G3023" t="str">
        <f>IFERROR(INDEX(Region_Map[Region], MATCH(orders[[#This Row],[Customer_Country]], Region_Map[Country], 0)), "Unknown")</f>
        <v>Baltics</v>
      </c>
      <c r="H3023" t="s">
        <v>6949</v>
      </c>
    </row>
    <row r="3024" spans="1:8">
      <c r="A3024" t="s">
        <v>3929</v>
      </c>
      <c r="B3024" t="s">
        <v>749</v>
      </c>
      <c r="C3024" s="1">
        <v>45371</v>
      </c>
      <c r="D3024" s="1" t="str">
        <f>PROPER(orders[[#This Row],[order_priority]])</f>
        <v>Standard</v>
      </c>
      <c r="E3024" t="s">
        <v>13317</v>
      </c>
      <c r="F3024" t="str">
        <f>IFERROR(INDEX(customers[country], MATCH(orders[[#This Row],[customer_id]], customers[customer_id], 0)), "Unmapped")</f>
        <v>Latvia</v>
      </c>
      <c r="G3024" t="str">
        <f>IFERROR(INDEX(Region_Map[Region], MATCH(orders[[#This Row],[Customer_Country]], Region_Map[Country], 0)), "Unknown")</f>
        <v>Baltics</v>
      </c>
      <c r="H3024" t="s">
        <v>6949</v>
      </c>
    </row>
    <row r="3025" spans="1:8">
      <c r="A3025" t="s">
        <v>3930</v>
      </c>
      <c r="B3025" t="s">
        <v>685</v>
      </c>
      <c r="C3025" s="1">
        <v>44957</v>
      </c>
      <c r="D3025" s="1" t="str">
        <f>PROPER(orders[[#This Row],[order_priority]])</f>
        <v>Same Day</v>
      </c>
      <c r="E3025" t="s">
        <v>13322</v>
      </c>
      <c r="F3025" t="str">
        <f>IFERROR(INDEX(customers[country], MATCH(orders[[#This Row],[customer_id]], customers[customer_id], 0)), "Unmapped")</f>
        <v>Latvia</v>
      </c>
      <c r="G3025" t="str">
        <f>IFERROR(INDEX(Region_Map[Region], MATCH(orders[[#This Row],[Customer_Country]], Region_Map[Country], 0)), "Unknown")</f>
        <v>Baltics</v>
      </c>
      <c r="H3025" t="s">
        <v>6949</v>
      </c>
    </row>
    <row r="3026" spans="1:8">
      <c r="A3026" t="s">
        <v>3931</v>
      </c>
      <c r="B3026" t="s">
        <v>652</v>
      </c>
      <c r="C3026" s="1">
        <v>45107</v>
      </c>
      <c r="D3026" s="1" t="str">
        <f>PROPER(orders[[#This Row],[order_priority]])</f>
        <v>Standard</v>
      </c>
      <c r="E3026" t="s">
        <v>13317</v>
      </c>
      <c r="F3026" t="str">
        <f>IFERROR(INDEX(customers[country], MATCH(orders[[#This Row],[customer_id]], customers[customer_id], 0)), "Unmapped")</f>
        <v>Poland</v>
      </c>
      <c r="G3026" t="str">
        <f>IFERROR(INDEX(Region_Map[Region], MATCH(orders[[#This Row],[Customer_Country]], Region_Map[Country], 0)), "Unknown")</f>
        <v>Central Europe</v>
      </c>
      <c r="H3026" t="s">
        <v>6949</v>
      </c>
    </row>
    <row r="3027" spans="1:8">
      <c r="A3027" t="s">
        <v>3932</v>
      </c>
      <c r="B3027" t="s">
        <v>706</v>
      </c>
      <c r="C3027" s="1">
        <v>45308</v>
      </c>
      <c r="D3027" s="1" t="str">
        <f>PROPER(orders[[#This Row],[order_priority]])</f>
        <v>Express</v>
      </c>
      <c r="E3027" t="s">
        <v>13318</v>
      </c>
      <c r="F3027" t="str">
        <f>IFERROR(INDEX(customers[country], MATCH(orders[[#This Row],[customer_id]], customers[customer_id], 0)), "Unmapped")</f>
        <v>Latvia</v>
      </c>
      <c r="G3027" t="str">
        <f>IFERROR(INDEX(Region_Map[Region], MATCH(orders[[#This Row],[Customer_Country]], Region_Map[Country], 0)), "Unknown")</f>
        <v>Baltics</v>
      </c>
      <c r="H3027" t="s">
        <v>6949</v>
      </c>
    </row>
    <row r="3028" spans="1:8">
      <c r="A3028" t="s">
        <v>3933</v>
      </c>
      <c r="B3028" t="s">
        <v>252</v>
      </c>
      <c r="C3028" s="1">
        <v>45339</v>
      </c>
      <c r="D3028" s="1" t="str">
        <f>PROPER(orders[[#This Row],[order_priority]])</f>
        <v>Standard</v>
      </c>
      <c r="E3028" t="s">
        <v>13317</v>
      </c>
      <c r="F3028" t="str">
        <f>IFERROR(INDEX(customers[country], MATCH(orders[[#This Row],[customer_id]], customers[customer_id], 0)), "Unmapped")</f>
        <v>Lithuania</v>
      </c>
      <c r="G3028" t="str">
        <f>IFERROR(INDEX(Region_Map[Region], MATCH(orders[[#This Row],[Customer_Country]], Region_Map[Country], 0)), "Unknown")</f>
        <v>Baltics</v>
      </c>
      <c r="H3028" t="s">
        <v>6949</v>
      </c>
    </row>
    <row r="3029" spans="1:8">
      <c r="A3029" t="s">
        <v>3934</v>
      </c>
      <c r="B3029" t="s">
        <v>772</v>
      </c>
      <c r="C3029" s="1">
        <v>45028</v>
      </c>
      <c r="D3029" s="1" t="str">
        <f>PROPER(orders[[#This Row],[order_priority]])</f>
        <v>Standard</v>
      </c>
      <c r="E3029" t="s">
        <v>13317</v>
      </c>
      <c r="F3029" t="str">
        <f>IFERROR(INDEX(customers[country], MATCH(orders[[#This Row],[customer_id]], customers[customer_id], 0)), "Unmapped")</f>
        <v>Estonia</v>
      </c>
      <c r="G3029" t="str">
        <f>IFERROR(INDEX(Region_Map[Region], MATCH(orders[[#This Row],[Customer_Country]], Region_Map[Country], 0)), "Unknown")</f>
        <v>Baltics</v>
      </c>
      <c r="H3029" t="s">
        <v>6949</v>
      </c>
    </row>
    <row r="3030" spans="1:8">
      <c r="A3030" t="s">
        <v>3935</v>
      </c>
      <c r="B3030" t="s">
        <v>314</v>
      </c>
      <c r="C3030" s="1">
        <v>45556</v>
      </c>
      <c r="D3030" s="1" t="str">
        <f>PROPER(orders[[#This Row],[order_priority]])</f>
        <v>Standard</v>
      </c>
      <c r="E3030" t="s">
        <v>13317</v>
      </c>
      <c r="F3030" t="str">
        <f>IFERROR(INDEX(customers[country], MATCH(orders[[#This Row],[customer_id]], customers[customer_id], 0)), "Unmapped")</f>
        <v>Poland</v>
      </c>
      <c r="G3030" t="str">
        <f>IFERROR(INDEX(Region_Map[Region], MATCH(orders[[#This Row],[Customer_Country]], Region_Map[Country], 0)), "Unknown")</f>
        <v>Central Europe</v>
      </c>
      <c r="H3030" t="s">
        <v>6949</v>
      </c>
    </row>
    <row r="3031" spans="1:8">
      <c r="A3031" t="s">
        <v>3936</v>
      </c>
      <c r="B3031" t="s">
        <v>644</v>
      </c>
      <c r="C3031" s="1">
        <v>45326</v>
      </c>
      <c r="D3031" s="1" t="str">
        <f>PROPER(orders[[#This Row],[order_priority]])</f>
        <v>Express</v>
      </c>
      <c r="E3031" t="s">
        <v>13318</v>
      </c>
      <c r="F3031" t="str">
        <f>IFERROR(INDEX(customers[country], MATCH(orders[[#This Row],[customer_id]], customers[customer_id], 0)), "Unmapped")</f>
        <v>Germany</v>
      </c>
      <c r="G3031" t="str">
        <f>IFERROR(INDEX(Region_Map[Region], MATCH(orders[[#This Row],[Customer_Country]], Region_Map[Country], 0)), "Unknown")</f>
        <v>Central Europe</v>
      </c>
      <c r="H3031" t="s">
        <v>6949</v>
      </c>
    </row>
    <row r="3032" spans="1:8">
      <c r="A3032" t="s">
        <v>3937</v>
      </c>
      <c r="B3032" t="s">
        <v>497</v>
      </c>
      <c r="C3032" s="1">
        <v>44941</v>
      </c>
      <c r="D3032" s="1" t="str">
        <f>PROPER(orders[[#This Row],[order_priority]])</f>
        <v>Standard</v>
      </c>
      <c r="E3032" t="s">
        <v>13317</v>
      </c>
      <c r="F3032" t="str">
        <f>IFERROR(INDEX(customers[country], MATCH(orders[[#This Row],[customer_id]], customers[customer_id], 0)), "Unmapped")</f>
        <v>Germany</v>
      </c>
      <c r="G3032" t="str">
        <f>IFERROR(INDEX(Region_Map[Region], MATCH(orders[[#This Row],[Customer_Country]], Region_Map[Country], 0)), "Unknown")</f>
        <v>Central Europe</v>
      </c>
      <c r="H3032" t="s">
        <v>6949</v>
      </c>
    </row>
    <row r="3033" spans="1:8">
      <c r="A3033" t="s">
        <v>3938</v>
      </c>
      <c r="B3033" t="s">
        <v>752</v>
      </c>
      <c r="C3033" s="1">
        <v>44975</v>
      </c>
      <c r="D3033" s="1" t="str">
        <f>PROPER(orders[[#This Row],[order_priority]])</f>
        <v>Express</v>
      </c>
      <c r="E3033" t="s">
        <v>13318</v>
      </c>
      <c r="F3033" t="str">
        <f>IFERROR(INDEX(customers[country], MATCH(orders[[#This Row],[customer_id]], customers[customer_id], 0)), "Unmapped")</f>
        <v>Estonia</v>
      </c>
      <c r="G3033" t="str">
        <f>IFERROR(INDEX(Region_Map[Region], MATCH(orders[[#This Row],[Customer_Country]], Region_Map[Country], 0)), "Unknown")</f>
        <v>Baltics</v>
      </c>
      <c r="H3033" t="s">
        <v>6949</v>
      </c>
    </row>
    <row r="3034" spans="1:8">
      <c r="A3034" t="s">
        <v>3939</v>
      </c>
      <c r="B3034" t="s">
        <v>784</v>
      </c>
      <c r="C3034" s="1">
        <v>45586</v>
      </c>
      <c r="D3034" s="1" t="str">
        <f>PROPER(orders[[#This Row],[order_priority]])</f>
        <v>Same Day</v>
      </c>
      <c r="E3034" t="s">
        <v>13322</v>
      </c>
      <c r="F3034" t="str">
        <f>IFERROR(INDEX(customers[country], MATCH(orders[[#This Row],[customer_id]], customers[customer_id], 0)), "Unmapped")</f>
        <v>Estonia</v>
      </c>
      <c r="G3034" t="str">
        <f>IFERROR(INDEX(Region_Map[Region], MATCH(orders[[#This Row],[Customer_Country]], Region_Map[Country], 0)), "Unknown")</f>
        <v>Baltics</v>
      </c>
      <c r="H3034" t="s">
        <v>6949</v>
      </c>
    </row>
    <row r="3035" spans="1:8">
      <c r="A3035" t="s">
        <v>3940</v>
      </c>
      <c r="B3035" t="s">
        <v>755</v>
      </c>
      <c r="C3035" s="1">
        <v>45515</v>
      </c>
      <c r="D3035" s="1" t="str">
        <f>PROPER(orders[[#This Row],[order_priority]])</f>
        <v>Standard</v>
      </c>
      <c r="E3035" t="s">
        <v>13317</v>
      </c>
      <c r="F3035" t="str">
        <f>IFERROR(INDEX(customers[country], MATCH(orders[[#This Row],[customer_id]], customers[customer_id], 0)), "Unmapped")</f>
        <v>Denmark</v>
      </c>
      <c r="G3035" t="str">
        <f>IFERROR(INDEX(Region_Map[Region], MATCH(orders[[#This Row],[Customer_Country]], Region_Map[Country], 0)), "Unknown")</f>
        <v>Nordics</v>
      </c>
      <c r="H3035" t="s">
        <v>6949</v>
      </c>
    </row>
    <row r="3036" spans="1:8">
      <c r="A3036" t="s">
        <v>3941</v>
      </c>
      <c r="B3036" t="s">
        <v>593</v>
      </c>
      <c r="C3036" s="1">
        <v>45027</v>
      </c>
      <c r="D3036" s="1" t="str">
        <f>PROPER(orders[[#This Row],[order_priority]])</f>
        <v>Standard</v>
      </c>
      <c r="E3036" t="s">
        <v>13317</v>
      </c>
      <c r="F3036" t="str">
        <f>IFERROR(INDEX(customers[country], MATCH(orders[[#This Row],[customer_id]], customers[customer_id], 0)), "Unmapped")</f>
        <v>Estonia</v>
      </c>
      <c r="G3036" t="str">
        <f>IFERROR(INDEX(Region_Map[Region], MATCH(orders[[#This Row],[Customer_Country]], Region_Map[Country], 0)), "Unknown")</f>
        <v>Baltics</v>
      </c>
      <c r="H3036" t="s">
        <v>6949</v>
      </c>
    </row>
    <row r="3037" spans="1:8">
      <c r="A3037" t="s">
        <v>3942</v>
      </c>
      <c r="B3037" t="s">
        <v>210</v>
      </c>
      <c r="C3037" s="1">
        <v>45569</v>
      </c>
      <c r="D3037" s="1" t="str">
        <f>PROPER(orders[[#This Row],[order_priority]])</f>
        <v>Standard</v>
      </c>
      <c r="E3037" t="s">
        <v>13317</v>
      </c>
      <c r="F3037" t="str">
        <f>IFERROR(INDEX(customers[country], MATCH(orders[[#This Row],[customer_id]], customers[customer_id], 0)), "Unmapped")</f>
        <v>Finland</v>
      </c>
      <c r="G3037" t="str">
        <f>IFERROR(INDEX(Region_Map[Region], MATCH(orders[[#This Row],[Customer_Country]], Region_Map[Country], 0)), "Unknown")</f>
        <v>Nordics</v>
      </c>
      <c r="H3037" t="s">
        <v>6949</v>
      </c>
    </row>
    <row r="3038" spans="1:8">
      <c r="A3038" t="s">
        <v>3943</v>
      </c>
      <c r="B3038" t="s">
        <v>48</v>
      </c>
      <c r="C3038" s="1">
        <v>45622</v>
      </c>
      <c r="D3038" s="1" t="str">
        <f>PROPER(orders[[#This Row],[order_priority]])</f>
        <v>Economy</v>
      </c>
      <c r="E3038" t="s">
        <v>13316</v>
      </c>
      <c r="F3038" t="str">
        <f>IFERROR(INDEX(customers[country], MATCH(orders[[#This Row],[customer_id]], customers[customer_id], 0)), "Unmapped")</f>
        <v>Poland</v>
      </c>
      <c r="G3038" t="str">
        <f>IFERROR(INDEX(Region_Map[Region], MATCH(orders[[#This Row],[Customer_Country]], Region_Map[Country], 0)), "Unknown")</f>
        <v>Central Europe</v>
      </c>
      <c r="H3038" t="s">
        <v>6949</v>
      </c>
    </row>
    <row r="3039" spans="1:8">
      <c r="A3039" t="s">
        <v>3944</v>
      </c>
      <c r="B3039" t="s">
        <v>503</v>
      </c>
      <c r="C3039" s="1">
        <v>45551</v>
      </c>
      <c r="D3039" s="1" t="str">
        <f>PROPER(orders[[#This Row],[order_priority]])</f>
        <v>Express</v>
      </c>
      <c r="E3039" t="s">
        <v>13318</v>
      </c>
      <c r="F3039" t="str">
        <f>IFERROR(INDEX(customers[country], MATCH(orders[[#This Row],[customer_id]], customers[customer_id], 0)), "Unmapped")</f>
        <v>Denmark</v>
      </c>
      <c r="G3039" t="str">
        <f>IFERROR(INDEX(Region_Map[Region], MATCH(orders[[#This Row],[Customer_Country]], Region_Map[Country], 0)), "Unknown")</f>
        <v>Nordics</v>
      </c>
      <c r="H3039" t="s">
        <v>6949</v>
      </c>
    </row>
    <row r="3040" spans="1:8">
      <c r="A3040" t="s">
        <v>3945</v>
      </c>
      <c r="B3040" t="s">
        <v>48</v>
      </c>
      <c r="C3040" s="1">
        <v>45520</v>
      </c>
      <c r="D3040" s="1" t="str">
        <f>PROPER(orders[[#This Row],[order_priority]])</f>
        <v>Same Day</v>
      </c>
      <c r="E3040" t="s">
        <v>13324</v>
      </c>
      <c r="F3040" t="str">
        <f>IFERROR(INDEX(customers[country], MATCH(orders[[#This Row],[customer_id]], customers[customer_id], 0)), "Unmapped")</f>
        <v>Poland</v>
      </c>
      <c r="G3040" t="str">
        <f>IFERROR(INDEX(Region_Map[Region], MATCH(orders[[#This Row],[Customer_Country]], Region_Map[Country], 0)), "Unknown")</f>
        <v>Central Europe</v>
      </c>
      <c r="H3040" t="s">
        <v>6949</v>
      </c>
    </row>
    <row r="3041" spans="1:8">
      <c r="A3041" t="s">
        <v>3946</v>
      </c>
      <c r="B3041" t="s">
        <v>730</v>
      </c>
      <c r="C3041" s="1">
        <v>45205</v>
      </c>
      <c r="D3041" s="1" t="str">
        <f>PROPER(orders[[#This Row],[order_priority]])</f>
        <v>Express</v>
      </c>
      <c r="E3041" t="s">
        <v>13318</v>
      </c>
      <c r="F3041" t="str">
        <f>IFERROR(INDEX(customers[country], MATCH(orders[[#This Row],[customer_id]], customers[customer_id], 0)), "Unmapped")</f>
        <v>Lithuania</v>
      </c>
      <c r="G3041" t="str">
        <f>IFERROR(INDEX(Region_Map[Region], MATCH(orders[[#This Row],[Customer_Country]], Region_Map[Country], 0)), "Unknown")</f>
        <v>Baltics</v>
      </c>
      <c r="H3041" t="s">
        <v>6949</v>
      </c>
    </row>
    <row r="3042" spans="1:8">
      <c r="A3042" t="s">
        <v>3947</v>
      </c>
      <c r="B3042" t="s">
        <v>157</v>
      </c>
      <c r="C3042" s="1">
        <v>45338</v>
      </c>
      <c r="D3042" s="1" t="str">
        <f>PROPER(orders[[#This Row],[order_priority]])</f>
        <v>Standard</v>
      </c>
      <c r="E3042" t="s">
        <v>13317</v>
      </c>
      <c r="F3042" t="str">
        <f>IFERROR(INDEX(customers[country], MATCH(orders[[#This Row],[customer_id]], customers[customer_id], 0)), "Unmapped")</f>
        <v>Lithuania</v>
      </c>
      <c r="G3042" t="str">
        <f>IFERROR(INDEX(Region_Map[Region], MATCH(orders[[#This Row],[Customer_Country]], Region_Map[Country], 0)), "Unknown")</f>
        <v>Baltics</v>
      </c>
      <c r="H3042" t="s">
        <v>6949</v>
      </c>
    </row>
    <row r="3043" spans="1:8">
      <c r="A3043" t="s">
        <v>3948</v>
      </c>
      <c r="B3043" t="s">
        <v>437</v>
      </c>
      <c r="C3043" s="1">
        <v>44994</v>
      </c>
      <c r="D3043" s="1" t="str">
        <f>PROPER(orders[[#This Row],[order_priority]])</f>
        <v>Express</v>
      </c>
      <c r="E3043" t="s">
        <v>13318</v>
      </c>
      <c r="F3043" t="str">
        <f>IFERROR(INDEX(customers[country], MATCH(orders[[#This Row],[customer_id]], customers[customer_id], 0)), "Unmapped")</f>
        <v>Lithuania</v>
      </c>
      <c r="G3043" t="str">
        <f>IFERROR(INDEX(Region_Map[Region], MATCH(orders[[#This Row],[Customer_Country]], Region_Map[Country], 0)), "Unknown")</f>
        <v>Baltics</v>
      </c>
      <c r="H3043" t="s">
        <v>6949</v>
      </c>
    </row>
    <row r="3044" spans="1:8">
      <c r="A3044" t="s">
        <v>3949</v>
      </c>
      <c r="B3044" t="s">
        <v>102</v>
      </c>
      <c r="C3044" s="1">
        <v>45022</v>
      </c>
      <c r="D3044" s="1" t="str">
        <f>PROPER(orders[[#This Row],[order_priority]])</f>
        <v>Same Day</v>
      </c>
      <c r="E3044" t="s">
        <v>13322</v>
      </c>
      <c r="F3044" t="str">
        <f>IFERROR(INDEX(customers[country], MATCH(orders[[#This Row],[customer_id]], customers[customer_id], 0)), "Unmapped")</f>
        <v>Denmark</v>
      </c>
      <c r="G3044" t="str">
        <f>IFERROR(INDEX(Region_Map[Region], MATCH(orders[[#This Row],[Customer_Country]], Region_Map[Country], 0)), "Unknown")</f>
        <v>Nordics</v>
      </c>
      <c r="H3044" t="s">
        <v>6949</v>
      </c>
    </row>
    <row r="3045" spans="1:8">
      <c r="A3045" t="s">
        <v>3950</v>
      </c>
      <c r="B3045" t="s">
        <v>799</v>
      </c>
      <c r="C3045" s="1">
        <v>45149</v>
      </c>
      <c r="D3045" s="1" t="str">
        <f>PROPER(orders[[#This Row],[order_priority]])</f>
        <v>Same Day</v>
      </c>
      <c r="E3045" t="s">
        <v>13321</v>
      </c>
      <c r="F3045" t="str">
        <f>IFERROR(INDEX(customers[country], MATCH(orders[[#This Row],[customer_id]], customers[customer_id], 0)), "Unmapped")</f>
        <v>Germany</v>
      </c>
      <c r="G3045" t="str">
        <f>IFERROR(INDEX(Region_Map[Region], MATCH(orders[[#This Row],[Customer_Country]], Region_Map[Country], 0)), "Unknown")</f>
        <v>Central Europe</v>
      </c>
      <c r="H3045" t="s">
        <v>6949</v>
      </c>
    </row>
    <row r="3046" spans="1:8">
      <c r="A3046" t="s">
        <v>3951</v>
      </c>
      <c r="B3046" t="s">
        <v>192</v>
      </c>
      <c r="C3046" s="1">
        <v>45462</v>
      </c>
      <c r="D3046" s="1" t="str">
        <f>PROPER(orders[[#This Row],[order_priority]])</f>
        <v>Standard</v>
      </c>
      <c r="E3046" t="s">
        <v>13317</v>
      </c>
      <c r="F3046" t="str">
        <f>IFERROR(INDEX(customers[country], MATCH(orders[[#This Row],[customer_id]], customers[customer_id], 0)), "Unmapped")</f>
        <v>Estonia</v>
      </c>
      <c r="G3046" t="str">
        <f>IFERROR(INDEX(Region_Map[Region], MATCH(orders[[#This Row],[Customer_Country]], Region_Map[Country], 0)), "Unknown")</f>
        <v>Baltics</v>
      </c>
      <c r="H3046" t="s">
        <v>6949</v>
      </c>
    </row>
    <row r="3047" spans="1:8">
      <c r="A3047" t="s">
        <v>3952</v>
      </c>
      <c r="B3047" t="s">
        <v>306</v>
      </c>
      <c r="C3047" s="1">
        <v>45476</v>
      </c>
      <c r="D3047" s="1" t="str">
        <f>PROPER(orders[[#This Row],[order_priority]])</f>
        <v>Standard</v>
      </c>
      <c r="E3047" t="s">
        <v>13319</v>
      </c>
      <c r="F3047" t="str">
        <f>IFERROR(INDEX(customers[country], MATCH(orders[[#This Row],[customer_id]], customers[customer_id], 0)), "Unmapped")</f>
        <v>Estonia</v>
      </c>
      <c r="G3047" t="str">
        <f>IFERROR(INDEX(Region_Map[Region], MATCH(orders[[#This Row],[Customer_Country]], Region_Map[Country], 0)), "Unknown")</f>
        <v>Baltics</v>
      </c>
      <c r="H3047" t="s">
        <v>6949</v>
      </c>
    </row>
    <row r="3048" spans="1:8">
      <c r="A3048" t="s">
        <v>3953</v>
      </c>
      <c r="B3048" t="s">
        <v>882</v>
      </c>
      <c r="C3048" s="1">
        <v>45277</v>
      </c>
      <c r="D3048" s="1" t="str">
        <f>PROPER(orders[[#This Row],[order_priority]])</f>
        <v>Standard</v>
      </c>
      <c r="E3048" t="s">
        <v>13317</v>
      </c>
      <c r="F3048" t="str">
        <f>IFERROR(INDEX(customers[country], MATCH(orders[[#This Row],[customer_id]], customers[customer_id], 0)), "Unmapped")</f>
        <v>Netherlands</v>
      </c>
      <c r="G3048" t="str">
        <f>IFERROR(INDEX(Region_Map[Region], MATCH(orders[[#This Row],[Customer_Country]], Region_Map[Country], 0)), "Unknown")</f>
        <v>Central Europe</v>
      </c>
      <c r="H3048" t="s">
        <v>6949</v>
      </c>
    </row>
    <row r="3049" spans="1:8">
      <c r="A3049" t="s">
        <v>3954</v>
      </c>
      <c r="B3049" t="s">
        <v>545</v>
      </c>
      <c r="C3049" s="1">
        <v>45375</v>
      </c>
      <c r="D3049" s="1" t="str">
        <f>PROPER(orders[[#This Row],[order_priority]])</f>
        <v>Standard</v>
      </c>
      <c r="E3049" t="s">
        <v>13317</v>
      </c>
      <c r="F3049" t="str">
        <f>IFERROR(INDEX(customers[country], MATCH(orders[[#This Row],[customer_id]], customers[customer_id], 0)), "Unmapped")</f>
        <v>Netherlands</v>
      </c>
      <c r="G3049" t="str">
        <f>IFERROR(INDEX(Region_Map[Region], MATCH(orders[[#This Row],[Customer_Country]], Region_Map[Country], 0)), "Unknown")</f>
        <v>Central Europe</v>
      </c>
      <c r="H3049" t="s">
        <v>6949</v>
      </c>
    </row>
    <row r="3050" spans="1:8">
      <c r="A3050" t="s">
        <v>3955</v>
      </c>
      <c r="B3050" t="s">
        <v>524</v>
      </c>
      <c r="C3050" s="1">
        <v>45626</v>
      </c>
      <c r="D3050" s="1" t="str">
        <f>PROPER(orders[[#This Row],[order_priority]])</f>
        <v>Express</v>
      </c>
      <c r="E3050" t="s">
        <v>13318</v>
      </c>
      <c r="F3050" t="str">
        <f>IFERROR(INDEX(customers[country], MATCH(orders[[#This Row],[customer_id]], customers[customer_id], 0)), "Unmapped")</f>
        <v>Norway</v>
      </c>
      <c r="G3050" t="str">
        <f>IFERROR(INDEX(Region_Map[Region], MATCH(orders[[#This Row],[Customer_Country]], Region_Map[Country], 0)), "Unknown")</f>
        <v>Nordics</v>
      </c>
      <c r="H3050" t="s">
        <v>6949</v>
      </c>
    </row>
    <row r="3051" spans="1:8">
      <c r="A3051" t="s">
        <v>3956</v>
      </c>
      <c r="B3051" t="s">
        <v>903</v>
      </c>
      <c r="C3051" s="1">
        <v>45515</v>
      </c>
      <c r="D3051" s="1" t="str">
        <f>PROPER(orders[[#This Row],[order_priority]])</f>
        <v>Economy</v>
      </c>
      <c r="E3051" t="s">
        <v>13316</v>
      </c>
      <c r="F3051" t="str">
        <f>IFERROR(INDEX(customers[country], MATCH(orders[[#This Row],[customer_id]], customers[customer_id], 0)), "Unmapped")</f>
        <v>Norway</v>
      </c>
      <c r="G3051" t="str">
        <f>IFERROR(INDEX(Region_Map[Region], MATCH(orders[[#This Row],[Customer_Country]], Region_Map[Country], 0)), "Unknown")</f>
        <v>Nordics</v>
      </c>
      <c r="H3051" t="s">
        <v>6949</v>
      </c>
    </row>
    <row r="3052" spans="1:8">
      <c r="A3052" t="s">
        <v>3957</v>
      </c>
      <c r="B3052" t="s">
        <v>897</v>
      </c>
      <c r="C3052" s="1">
        <v>45164</v>
      </c>
      <c r="D3052" s="1" t="str">
        <f>PROPER(orders[[#This Row],[order_priority]])</f>
        <v>Economy</v>
      </c>
      <c r="E3052" t="s">
        <v>13325</v>
      </c>
      <c r="F3052" t="str">
        <f>IFERROR(INDEX(customers[country], MATCH(orders[[#This Row],[customer_id]], customers[customer_id], 0)), "Unmapped")</f>
        <v>Netherlands</v>
      </c>
      <c r="G3052" t="str">
        <f>IFERROR(INDEX(Region_Map[Region], MATCH(orders[[#This Row],[Customer_Country]], Region_Map[Country], 0)), "Unknown")</f>
        <v>Central Europe</v>
      </c>
      <c r="H3052" t="s">
        <v>6949</v>
      </c>
    </row>
    <row r="3053" spans="1:8">
      <c r="A3053" t="s">
        <v>3958</v>
      </c>
      <c r="B3053" t="s">
        <v>148</v>
      </c>
      <c r="C3053" s="1">
        <v>45465</v>
      </c>
      <c r="D3053" s="1" t="str">
        <f>PROPER(orders[[#This Row],[order_priority]])</f>
        <v>Express</v>
      </c>
      <c r="E3053" t="s">
        <v>13318</v>
      </c>
      <c r="F3053" t="str">
        <f>IFERROR(INDEX(customers[country], MATCH(orders[[#This Row],[customer_id]], customers[customer_id], 0)), "Unmapped")</f>
        <v>Poland</v>
      </c>
      <c r="G3053" t="str">
        <f>IFERROR(INDEX(Region_Map[Region], MATCH(orders[[#This Row],[Customer_Country]], Region_Map[Country], 0)), "Unknown")</f>
        <v>Central Europe</v>
      </c>
      <c r="H3053" t="s">
        <v>6949</v>
      </c>
    </row>
    <row r="3054" spans="1:8">
      <c r="A3054" t="s">
        <v>3959</v>
      </c>
      <c r="B3054" t="s">
        <v>840</v>
      </c>
      <c r="C3054" s="1">
        <v>45447</v>
      </c>
      <c r="D3054" s="1" t="str">
        <f>PROPER(orders[[#This Row],[order_priority]])</f>
        <v>Economy</v>
      </c>
      <c r="E3054" t="s">
        <v>13316</v>
      </c>
      <c r="F3054" t="str">
        <f>IFERROR(INDEX(customers[country], MATCH(orders[[#This Row],[customer_id]], customers[customer_id], 0)), "Unmapped")</f>
        <v>Finland</v>
      </c>
      <c r="G3054" t="str">
        <f>IFERROR(INDEX(Region_Map[Region], MATCH(orders[[#This Row],[Customer_Country]], Region_Map[Country], 0)), "Unknown")</f>
        <v>Nordics</v>
      </c>
      <c r="H3054" t="s">
        <v>6949</v>
      </c>
    </row>
    <row r="3055" spans="1:8">
      <c r="A3055" t="s">
        <v>3960</v>
      </c>
      <c r="B3055" t="s">
        <v>181</v>
      </c>
      <c r="C3055" s="1">
        <v>45610</v>
      </c>
      <c r="D3055" s="1" t="str">
        <f>PROPER(orders[[#This Row],[order_priority]])</f>
        <v>Standard</v>
      </c>
      <c r="E3055" t="s">
        <v>13317</v>
      </c>
      <c r="F3055" t="str">
        <f>IFERROR(INDEX(customers[country], MATCH(orders[[#This Row],[customer_id]], customers[customer_id], 0)), "Unmapped")</f>
        <v>Netherlands</v>
      </c>
      <c r="G3055" t="str">
        <f>IFERROR(INDEX(Region_Map[Region], MATCH(orders[[#This Row],[Customer_Country]], Region_Map[Country], 0)), "Unknown")</f>
        <v>Central Europe</v>
      </c>
      <c r="H3055" t="s">
        <v>6949</v>
      </c>
    </row>
    <row r="3056" spans="1:8">
      <c r="A3056" t="s">
        <v>3961</v>
      </c>
      <c r="B3056" t="s">
        <v>632</v>
      </c>
      <c r="C3056" s="1">
        <v>45089</v>
      </c>
      <c r="D3056" s="1" t="str">
        <f>PROPER(orders[[#This Row],[order_priority]])</f>
        <v>Same Day</v>
      </c>
      <c r="E3056" t="s">
        <v>13322</v>
      </c>
      <c r="F3056" t="str">
        <f>IFERROR(INDEX(customers[country], MATCH(orders[[#This Row],[customer_id]], customers[customer_id], 0)), "Unmapped")</f>
        <v>Norway</v>
      </c>
      <c r="G3056" t="str">
        <f>IFERROR(INDEX(Region_Map[Region], MATCH(orders[[#This Row],[Customer_Country]], Region_Map[Country], 0)), "Unknown")</f>
        <v>Nordics</v>
      </c>
      <c r="H3056" t="s">
        <v>6949</v>
      </c>
    </row>
    <row r="3057" spans="1:8">
      <c r="A3057" t="s">
        <v>3962</v>
      </c>
      <c r="B3057" t="s">
        <v>626</v>
      </c>
      <c r="C3057" s="1">
        <v>45236</v>
      </c>
      <c r="D3057" s="1" t="str">
        <f>PROPER(orders[[#This Row],[order_priority]])</f>
        <v>Standard</v>
      </c>
      <c r="E3057" t="s">
        <v>13323</v>
      </c>
      <c r="F3057" t="str">
        <f>IFERROR(INDEX(customers[country], MATCH(orders[[#This Row],[customer_id]], customers[customer_id], 0)), "Unmapped")</f>
        <v>Denmark</v>
      </c>
      <c r="G3057" t="str">
        <f>IFERROR(INDEX(Region_Map[Region], MATCH(orders[[#This Row],[Customer_Country]], Region_Map[Country], 0)), "Unknown")</f>
        <v>Nordics</v>
      </c>
      <c r="H3057" t="s">
        <v>6949</v>
      </c>
    </row>
    <row r="3058" spans="1:8">
      <c r="A3058" t="s">
        <v>3963</v>
      </c>
      <c r="B3058" t="s">
        <v>787</v>
      </c>
      <c r="C3058" s="1">
        <v>45446</v>
      </c>
      <c r="D3058" s="1" t="str">
        <f>PROPER(orders[[#This Row],[order_priority]])</f>
        <v>Same Day</v>
      </c>
      <c r="E3058" t="s">
        <v>13322</v>
      </c>
      <c r="F3058" t="str">
        <f>IFERROR(INDEX(customers[country], MATCH(orders[[#This Row],[customer_id]], customers[customer_id], 0)), "Unmapped")</f>
        <v>Netherlands</v>
      </c>
      <c r="G3058" t="str">
        <f>IFERROR(INDEX(Region_Map[Region], MATCH(orders[[#This Row],[Customer_Country]], Region_Map[Country], 0)), "Unknown")</f>
        <v>Central Europe</v>
      </c>
      <c r="H3058" t="s">
        <v>6949</v>
      </c>
    </row>
    <row r="3059" spans="1:8">
      <c r="A3059" t="s">
        <v>3964</v>
      </c>
      <c r="B3059" t="s">
        <v>166</v>
      </c>
      <c r="C3059" s="1">
        <v>45170</v>
      </c>
      <c r="D3059" s="1" t="str">
        <f>PROPER(orders[[#This Row],[order_priority]])</f>
        <v>Same Day</v>
      </c>
      <c r="E3059" t="s">
        <v>13322</v>
      </c>
      <c r="F3059" t="str">
        <f>IFERROR(INDEX(customers[country], MATCH(orders[[#This Row],[customer_id]], customers[customer_id], 0)), "Unmapped")</f>
        <v>Denmark</v>
      </c>
      <c r="G3059" t="str">
        <f>IFERROR(INDEX(Region_Map[Region], MATCH(orders[[#This Row],[Customer_Country]], Region_Map[Country], 0)), "Unknown")</f>
        <v>Nordics</v>
      </c>
      <c r="H3059" t="s">
        <v>6949</v>
      </c>
    </row>
    <row r="3060" spans="1:8">
      <c r="A3060" t="s">
        <v>3965</v>
      </c>
      <c r="B3060" t="s">
        <v>371</v>
      </c>
      <c r="C3060" s="1">
        <v>45179</v>
      </c>
      <c r="D3060" s="1" t="str">
        <f>PROPER(orders[[#This Row],[order_priority]])</f>
        <v>Same Day</v>
      </c>
      <c r="E3060" t="s">
        <v>13322</v>
      </c>
      <c r="F3060" t="str">
        <f>IFERROR(INDEX(customers[country], MATCH(orders[[#This Row],[customer_id]], customers[customer_id], 0)), "Unmapped")</f>
        <v>Germany</v>
      </c>
      <c r="G3060" t="str">
        <f>IFERROR(INDEX(Region_Map[Region], MATCH(orders[[#This Row],[Customer_Country]], Region_Map[Country], 0)), "Unknown")</f>
        <v>Central Europe</v>
      </c>
      <c r="H3060" t="s">
        <v>6949</v>
      </c>
    </row>
    <row r="3061" spans="1:8">
      <c r="A3061" t="s">
        <v>3966</v>
      </c>
      <c r="B3061" t="s">
        <v>335</v>
      </c>
      <c r="C3061" s="1">
        <v>45626</v>
      </c>
      <c r="D3061" s="1" t="str">
        <f>PROPER(orders[[#This Row],[order_priority]])</f>
        <v>Express</v>
      </c>
      <c r="E3061" t="s">
        <v>13318</v>
      </c>
      <c r="F3061" t="str">
        <f>IFERROR(INDEX(customers[country], MATCH(orders[[#This Row],[customer_id]], customers[customer_id], 0)), "Unmapped")</f>
        <v>Denmark</v>
      </c>
      <c r="G3061" t="str">
        <f>IFERROR(INDEX(Region_Map[Region], MATCH(orders[[#This Row],[Customer_Country]], Region_Map[Country], 0)), "Unknown")</f>
        <v>Nordics</v>
      </c>
      <c r="H3061" t="s">
        <v>6949</v>
      </c>
    </row>
    <row r="3062" spans="1:8">
      <c r="A3062" t="s">
        <v>3967</v>
      </c>
      <c r="B3062" t="s">
        <v>359</v>
      </c>
      <c r="C3062" s="1">
        <v>45334</v>
      </c>
      <c r="D3062" s="1" t="str">
        <f>PROPER(orders[[#This Row],[order_priority]])</f>
        <v>Same Day</v>
      </c>
      <c r="E3062" t="s">
        <v>13322</v>
      </c>
      <c r="F3062" t="str">
        <f>IFERROR(INDEX(customers[country], MATCH(orders[[#This Row],[customer_id]], customers[customer_id], 0)), "Unmapped")</f>
        <v>Estonia</v>
      </c>
      <c r="G3062" t="str">
        <f>IFERROR(INDEX(Region_Map[Region], MATCH(orders[[#This Row],[Customer_Country]], Region_Map[Country], 0)), "Unknown")</f>
        <v>Baltics</v>
      </c>
      <c r="H3062" t="s">
        <v>6949</v>
      </c>
    </row>
    <row r="3063" spans="1:8">
      <c r="A3063" t="s">
        <v>3968</v>
      </c>
      <c r="B3063" t="s">
        <v>879</v>
      </c>
      <c r="C3063" s="1">
        <v>45241</v>
      </c>
      <c r="D3063" s="1" t="str">
        <f>PROPER(orders[[#This Row],[order_priority]])</f>
        <v>Same Day</v>
      </c>
      <c r="E3063" t="s">
        <v>13322</v>
      </c>
      <c r="F3063" t="str">
        <f>IFERROR(INDEX(customers[country], MATCH(orders[[#This Row],[customer_id]], customers[customer_id], 0)), "Unmapped")</f>
        <v>Norway</v>
      </c>
      <c r="G3063" t="str">
        <f>IFERROR(INDEX(Region_Map[Region], MATCH(orders[[#This Row],[Customer_Country]], Region_Map[Country], 0)), "Unknown")</f>
        <v>Nordics</v>
      </c>
      <c r="H3063" t="s">
        <v>6949</v>
      </c>
    </row>
    <row r="3064" spans="1:8">
      <c r="A3064" t="s">
        <v>3969</v>
      </c>
      <c r="B3064" t="s">
        <v>19</v>
      </c>
      <c r="C3064" s="1">
        <v>44931</v>
      </c>
      <c r="D3064" s="1" t="str">
        <f>PROPER(orders[[#This Row],[order_priority]])</f>
        <v>Express</v>
      </c>
      <c r="E3064" t="s">
        <v>13318</v>
      </c>
      <c r="F3064" t="str">
        <f>IFERROR(INDEX(customers[country], MATCH(orders[[#This Row],[customer_id]], customers[customer_id], 0)), "Unmapped")</f>
        <v>Poland</v>
      </c>
      <c r="G3064" t="str">
        <f>IFERROR(INDEX(Region_Map[Region], MATCH(orders[[#This Row],[Customer_Country]], Region_Map[Country], 0)), "Unknown")</f>
        <v>Central Europe</v>
      </c>
      <c r="H3064" t="s">
        <v>6949</v>
      </c>
    </row>
    <row r="3065" spans="1:8">
      <c r="A3065" t="s">
        <v>3970</v>
      </c>
      <c r="B3065" t="s">
        <v>338</v>
      </c>
      <c r="C3065" s="1">
        <v>45546</v>
      </c>
      <c r="D3065" s="1" t="str">
        <f>PROPER(orders[[#This Row],[order_priority]])</f>
        <v>Same Day</v>
      </c>
      <c r="E3065" t="s">
        <v>13322</v>
      </c>
      <c r="F3065" t="str">
        <f>IFERROR(INDEX(customers[country], MATCH(orders[[#This Row],[customer_id]], customers[customer_id], 0)), "Unmapped")</f>
        <v>Denmark</v>
      </c>
      <c r="G3065" t="str">
        <f>IFERROR(INDEX(Region_Map[Region], MATCH(orders[[#This Row],[Customer_Country]], Region_Map[Country], 0)), "Unknown")</f>
        <v>Nordics</v>
      </c>
      <c r="H3065" t="s">
        <v>6949</v>
      </c>
    </row>
    <row r="3066" spans="1:8">
      <c r="A3066" t="s">
        <v>3971</v>
      </c>
      <c r="B3066" t="s">
        <v>303</v>
      </c>
      <c r="C3066" s="1">
        <v>45150</v>
      </c>
      <c r="D3066" s="1" t="str">
        <f>PROPER(orders[[#This Row],[order_priority]])</f>
        <v>Economy</v>
      </c>
      <c r="E3066" t="s">
        <v>13328</v>
      </c>
      <c r="F3066" t="str">
        <f>IFERROR(INDEX(customers[country], MATCH(orders[[#This Row],[customer_id]], customers[customer_id], 0)), "Unmapped")</f>
        <v>Netherlands</v>
      </c>
      <c r="G3066" t="str">
        <f>IFERROR(INDEX(Region_Map[Region], MATCH(orders[[#This Row],[Customer_Country]], Region_Map[Country], 0)), "Unknown")</f>
        <v>Central Europe</v>
      </c>
      <c r="H3066" t="s">
        <v>6949</v>
      </c>
    </row>
    <row r="3067" spans="1:8">
      <c r="A3067" t="s">
        <v>3972</v>
      </c>
      <c r="B3067" t="s">
        <v>641</v>
      </c>
      <c r="C3067" s="1">
        <v>45115</v>
      </c>
      <c r="D3067" s="1" t="str">
        <f>PROPER(orders[[#This Row],[order_priority]])</f>
        <v>Economy</v>
      </c>
      <c r="E3067" t="s">
        <v>13325</v>
      </c>
      <c r="F3067" t="str">
        <f>IFERROR(INDEX(customers[country], MATCH(orders[[#This Row],[customer_id]], customers[customer_id], 0)), "Unmapped")</f>
        <v>Poland</v>
      </c>
      <c r="G3067" t="str">
        <f>IFERROR(INDEX(Region_Map[Region], MATCH(orders[[#This Row],[Customer_Country]], Region_Map[Country], 0)), "Unknown")</f>
        <v>Central Europe</v>
      </c>
      <c r="H3067" t="s">
        <v>6949</v>
      </c>
    </row>
    <row r="3068" spans="1:8">
      <c r="A3068" t="s">
        <v>3973</v>
      </c>
      <c r="B3068" t="s">
        <v>470</v>
      </c>
      <c r="C3068" s="1">
        <v>45501</v>
      </c>
      <c r="D3068" s="1" t="str">
        <f>PROPER(orders[[#This Row],[order_priority]])</f>
        <v>Standard</v>
      </c>
      <c r="E3068" t="s">
        <v>13317</v>
      </c>
      <c r="F3068" t="str">
        <f>IFERROR(INDEX(customers[country], MATCH(orders[[#This Row],[customer_id]], customers[customer_id], 0)), "Unmapped")</f>
        <v>Norway</v>
      </c>
      <c r="G3068" t="str">
        <f>IFERROR(INDEX(Region_Map[Region], MATCH(orders[[#This Row],[Customer_Country]], Region_Map[Country], 0)), "Unknown")</f>
        <v>Nordics</v>
      </c>
      <c r="H3068" t="s">
        <v>6949</v>
      </c>
    </row>
    <row r="3069" spans="1:8">
      <c r="A3069" t="s">
        <v>3974</v>
      </c>
      <c r="B3069" t="s">
        <v>434</v>
      </c>
      <c r="C3069" s="1">
        <v>45029</v>
      </c>
      <c r="D3069" s="1" t="str">
        <f>PROPER(orders[[#This Row],[order_priority]])</f>
        <v>Standard</v>
      </c>
      <c r="E3069" t="s">
        <v>13317</v>
      </c>
      <c r="F3069" t="str">
        <f>IFERROR(INDEX(customers[country], MATCH(orders[[#This Row],[customer_id]], customers[customer_id], 0)), "Unmapped")</f>
        <v>Lithuania</v>
      </c>
      <c r="G3069" t="str">
        <f>IFERROR(INDEX(Region_Map[Region], MATCH(orders[[#This Row],[Customer_Country]], Region_Map[Country], 0)), "Unknown")</f>
        <v>Baltics</v>
      </c>
      <c r="H3069" t="s">
        <v>6949</v>
      </c>
    </row>
    <row r="3070" spans="1:8">
      <c r="A3070" t="s">
        <v>3975</v>
      </c>
      <c r="B3070" t="s">
        <v>198</v>
      </c>
      <c r="C3070" s="1">
        <v>45067</v>
      </c>
      <c r="D3070" s="1" t="str">
        <f>PROPER(orders[[#This Row],[order_priority]])</f>
        <v>Express</v>
      </c>
      <c r="E3070" t="s">
        <v>13318</v>
      </c>
      <c r="F3070" t="str">
        <f>IFERROR(INDEX(customers[country], MATCH(orders[[#This Row],[customer_id]], customers[customer_id], 0)), "Unmapped")</f>
        <v>Poland</v>
      </c>
      <c r="G3070" t="str">
        <f>IFERROR(INDEX(Region_Map[Region], MATCH(orders[[#This Row],[Customer_Country]], Region_Map[Country], 0)), "Unknown")</f>
        <v>Central Europe</v>
      </c>
      <c r="H3070" t="s">
        <v>6949</v>
      </c>
    </row>
    <row r="3071" spans="1:8">
      <c r="A3071" t="s">
        <v>3976</v>
      </c>
      <c r="B3071" t="s">
        <v>733</v>
      </c>
      <c r="C3071" s="1">
        <v>45322</v>
      </c>
      <c r="D3071" s="1" t="str">
        <f>PROPER(orders[[#This Row],[order_priority]])</f>
        <v>Standard</v>
      </c>
      <c r="E3071" t="s">
        <v>13323</v>
      </c>
      <c r="F3071" t="str">
        <f>IFERROR(INDEX(customers[country], MATCH(orders[[#This Row],[customer_id]], customers[customer_id], 0)), "Unmapped")</f>
        <v>Lithuania</v>
      </c>
      <c r="G3071" t="str">
        <f>IFERROR(INDEX(Region_Map[Region], MATCH(orders[[#This Row],[Customer_Country]], Region_Map[Country], 0)), "Unknown")</f>
        <v>Baltics</v>
      </c>
      <c r="H3071" t="s">
        <v>6949</v>
      </c>
    </row>
    <row r="3072" spans="1:8">
      <c r="A3072" t="s">
        <v>3977</v>
      </c>
      <c r="B3072" t="s">
        <v>816</v>
      </c>
      <c r="C3072" s="1">
        <v>45508</v>
      </c>
      <c r="D3072" s="1" t="str">
        <f>PROPER(orders[[#This Row],[order_priority]])</f>
        <v>Economy</v>
      </c>
      <c r="E3072" t="s">
        <v>13328</v>
      </c>
      <c r="F3072" t="str">
        <f>IFERROR(INDEX(customers[country], MATCH(orders[[#This Row],[customer_id]], customers[customer_id], 0)), "Unmapped")</f>
        <v>Lithuania</v>
      </c>
      <c r="G3072" t="str">
        <f>IFERROR(INDEX(Region_Map[Region], MATCH(orders[[#This Row],[Customer_Country]], Region_Map[Country], 0)), "Unknown")</f>
        <v>Baltics</v>
      </c>
      <c r="H3072" t="s">
        <v>6949</v>
      </c>
    </row>
    <row r="3073" spans="1:8">
      <c r="A3073" t="s">
        <v>3978</v>
      </c>
      <c r="B3073" t="s">
        <v>685</v>
      </c>
      <c r="C3073" s="1">
        <v>44985</v>
      </c>
      <c r="D3073" s="1" t="str">
        <f>PROPER(orders[[#This Row],[order_priority]])</f>
        <v>Standard</v>
      </c>
      <c r="E3073" t="s">
        <v>13317</v>
      </c>
      <c r="F3073" t="str">
        <f>IFERROR(INDEX(customers[country], MATCH(orders[[#This Row],[customer_id]], customers[customer_id], 0)), "Unmapped")</f>
        <v>Latvia</v>
      </c>
      <c r="G3073" t="str">
        <f>IFERROR(INDEX(Region_Map[Region], MATCH(orders[[#This Row],[Customer_Country]], Region_Map[Country], 0)), "Unknown")</f>
        <v>Baltics</v>
      </c>
      <c r="H3073" t="s">
        <v>6949</v>
      </c>
    </row>
    <row r="3074" spans="1:8">
      <c r="A3074" t="s">
        <v>3979</v>
      </c>
      <c r="B3074" t="s">
        <v>614</v>
      </c>
      <c r="C3074" s="1">
        <v>45375</v>
      </c>
      <c r="D3074" s="1" t="str">
        <f>PROPER(orders[[#This Row],[order_priority]])</f>
        <v>Same Day</v>
      </c>
      <c r="E3074" t="s">
        <v>13322</v>
      </c>
      <c r="F3074" t="str">
        <f>IFERROR(INDEX(customers[country], MATCH(orders[[#This Row],[customer_id]], customers[customer_id], 0)), "Unmapped")</f>
        <v>Latvia</v>
      </c>
      <c r="G3074" t="str">
        <f>IFERROR(INDEX(Region_Map[Region], MATCH(orders[[#This Row],[Customer_Country]], Region_Map[Country], 0)), "Unknown")</f>
        <v>Baltics</v>
      </c>
      <c r="H3074" t="s">
        <v>6949</v>
      </c>
    </row>
    <row r="3075" spans="1:8">
      <c r="A3075" t="s">
        <v>3980</v>
      </c>
      <c r="B3075" t="s">
        <v>746</v>
      </c>
      <c r="C3075" s="1">
        <v>45411</v>
      </c>
      <c r="D3075" s="1" t="str">
        <f>PROPER(orders[[#This Row],[order_priority]])</f>
        <v>Same Day</v>
      </c>
      <c r="E3075" t="s">
        <v>13321</v>
      </c>
      <c r="F3075" t="str">
        <f>IFERROR(INDEX(customers[country], MATCH(orders[[#This Row],[customer_id]], customers[customer_id], 0)), "Unmapped")</f>
        <v>Poland</v>
      </c>
      <c r="G3075" t="str">
        <f>IFERROR(INDEX(Region_Map[Region], MATCH(orders[[#This Row],[Customer_Country]], Region_Map[Country], 0)), "Unknown")</f>
        <v>Central Europe</v>
      </c>
      <c r="H3075" t="s">
        <v>6949</v>
      </c>
    </row>
    <row r="3076" spans="1:8">
      <c r="A3076" t="s">
        <v>3981</v>
      </c>
      <c r="B3076" t="s">
        <v>749</v>
      </c>
      <c r="C3076" s="1">
        <v>45443</v>
      </c>
      <c r="D3076" s="1" t="str">
        <f>PROPER(orders[[#This Row],[order_priority]])</f>
        <v>Standard</v>
      </c>
      <c r="E3076" t="s">
        <v>13317</v>
      </c>
      <c r="F3076" t="str">
        <f>IFERROR(INDEX(customers[country], MATCH(orders[[#This Row],[customer_id]], customers[customer_id], 0)), "Unmapped")</f>
        <v>Latvia</v>
      </c>
      <c r="G3076" t="str">
        <f>IFERROR(INDEX(Region_Map[Region], MATCH(orders[[#This Row],[Customer_Country]], Region_Map[Country], 0)), "Unknown")</f>
        <v>Baltics</v>
      </c>
      <c r="H3076" t="s">
        <v>6949</v>
      </c>
    </row>
    <row r="3077" spans="1:8">
      <c r="A3077" t="s">
        <v>3982</v>
      </c>
      <c r="B3077" t="s">
        <v>697</v>
      </c>
      <c r="C3077" s="1">
        <v>45117</v>
      </c>
      <c r="D3077" s="1" t="str">
        <f>PROPER(orders[[#This Row],[order_priority]])</f>
        <v>Same Day</v>
      </c>
      <c r="E3077" t="s">
        <v>13322</v>
      </c>
      <c r="F3077" t="str">
        <f>IFERROR(INDEX(customers[country], MATCH(orders[[#This Row],[customer_id]], customers[customer_id], 0)), "Unmapped")</f>
        <v>Estonia</v>
      </c>
      <c r="G3077" t="str">
        <f>IFERROR(INDEX(Region_Map[Region], MATCH(orders[[#This Row],[Customer_Country]], Region_Map[Country], 0)), "Unknown")</f>
        <v>Baltics</v>
      </c>
      <c r="H3077" t="s">
        <v>6949</v>
      </c>
    </row>
    <row r="3078" spans="1:8">
      <c r="A3078" t="s">
        <v>3983</v>
      </c>
      <c r="B3078" t="s">
        <v>746</v>
      </c>
      <c r="C3078" s="1">
        <v>45065</v>
      </c>
      <c r="D3078" s="1" t="str">
        <f>PROPER(orders[[#This Row],[order_priority]])</f>
        <v>Express</v>
      </c>
      <c r="E3078" t="s">
        <v>13318</v>
      </c>
      <c r="F3078" t="str">
        <f>IFERROR(INDEX(customers[country], MATCH(orders[[#This Row],[customer_id]], customers[customer_id], 0)), "Unmapped")</f>
        <v>Poland</v>
      </c>
      <c r="G3078" t="str">
        <f>IFERROR(INDEX(Region_Map[Region], MATCH(orders[[#This Row],[Customer_Country]], Region_Map[Country], 0)), "Unknown")</f>
        <v>Central Europe</v>
      </c>
      <c r="H3078" t="s">
        <v>6949</v>
      </c>
    </row>
    <row r="3079" spans="1:8">
      <c r="A3079" t="s">
        <v>3984</v>
      </c>
      <c r="B3079" t="s">
        <v>419</v>
      </c>
      <c r="C3079" s="1">
        <v>45123</v>
      </c>
      <c r="D3079" s="1" t="str">
        <f>PROPER(orders[[#This Row],[order_priority]])</f>
        <v>Same Day</v>
      </c>
      <c r="E3079" t="s">
        <v>13324</v>
      </c>
      <c r="F3079" t="str">
        <f>IFERROR(INDEX(customers[country], MATCH(orders[[#This Row],[customer_id]], customers[customer_id], 0)), "Unmapped")</f>
        <v>Estonia</v>
      </c>
      <c r="G3079" t="str">
        <f>IFERROR(INDEX(Region_Map[Region], MATCH(orders[[#This Row],[Customer_Country]], Region_Map[Country], 0)), "Unknown")</f>
        <v>Baltics</v>
      </c>
      <c r="H3079" t="s">
        <v>6949</v>
      </c>
    </row>
    <row r="3080" spans="1:8">
      <c r="A3080" t="s">
        <v>3985</v>
      </c>
      <c r="B3080" t="s">
        <v>572</v>
      </c>
      <c r="C3080" s="1">
        <v>45377</v>
      </c>
      <c r="D3080" s="1" t="str">
        <f>PROPER(orders[[#This Row],[order_priority]])</f>
        <v>Standard</v>
      </c>
      <c r="E3080" t="s">
        <v>13317</v>
      </c>
      <c r="F3080" t="str">
        <f>IFERROR(INDEX(customers[country], MATCH(orders[[#This Row],[customer_id]], customers[customer_id], 0)), "Unmapped")</f>
        <v>Germany</v>
      </c>
      <c r="G3080" t="str">
        <f>IFERROR(INDEX(Region_Map[Region], MATCH(orders[[#This Row],[Customer_Country]], Region_Map[Country], 0)), "Unknown")</f>
        <v>Central Europe</v>
      </c>
      <c r="H3080" t="s">
        <v>6949</v>
      </c>
    </row>
    <row r="3081" spans="1:8">
      <c r="A3081" t="s">
        <v>3986</v>
      </c>
      <c r="B3081" t="s">
        <v>688</v>
      </c>
      <c r="C3081" s="1">
        <v>45407</v>
      </c>
      <c r="D3081" s="1" t="str">
        <f>PROPER(orders[[#This Row],[order_priority]])</f>
        <v>Standard</v>
      </c>
      <c r="E3081" t="s">
        <v>13317</v>
      </c>
      <c r="F3081" t="str">
        <f>IFERROR(INDEX(customers[country], MATCH(orders[[#This Row],[customer_id]], customers[customer_id], 0)), "Unmapped")</f>
        <v>Norway</v>
      </c>
      <c r="G3081" t="str">
        <f>IFERROR(INDEX(Region_Map[Region], MATCH(orders[[#This Row],[Customer_Country]], Region_Map[Country], 0)), "Unknown")</f>
        <v>Nordics</v>
      </c>
      <c r="H3081" t="s">
        <v>6949</v>
      </c>
    </row>
    <row r="3082" spans="1:8">
      <c r="A3082" t="s">
        <v>3987</v>
      </c>
      <c r="B3082" t="s">
        <v>667</v>
      </c>
      <c r="C3082" s="1">
        <v>45056</v>
      </c>
      <c r="D3082" s="1" t="str">
        <f>PROPER(orders[[#This Row],[order_priority]])</f>
        <v>Economy</v>
      </c>
      <c r="E3082" t="s">
        <v>13325</v>
      </c>
      <c r="F3082" t="str">
        <f>IFERROR(INDEX(customers[country], MATCH(orders[[#This Row],[customer_id]], customers[customer_id], 0)), "Unmapped")</f>
        <v>Germany</v>
      </c>
      <c r="G3082" t="str">
        <f>IFERROR(INDEX(Region_Map[Region], MATCH(orders[[#This Row],[Customer_Country]], Region_Map[Country], 0)), "Unknown")</f>
        <v>Central Europe</v>
      </c>
      <c r="H3082" t="s">
        <v>6949</v>
      </c>
    </row>
    <row r="3083" spans="1:8">
      <c r="A3083" t="s">
        <v>3988</v>
      </c>
      <c r="B3083" t="s">
        <v>864</v>
      </c>
      <c r="C3083" s="1">
        <v>45483</v>
      </c>
      <c r="D3083" s="1" t="str">
        <f>PROPER(orders[[#This Row],[order_priority]])</f>
        <v>Same Day</v>
      </c>
      <c r="E3083" t="s">
        <v>13322</v>
      </c>
      <c r="F3083" t="str">
        <f>IFERROR(INDEX(customers[country], MATCH(orders[[#This Row],[customer_id]], customers[customer_id], 0)), "Unmapped")</f>
        <v>Finland</v>
      </c>
      <c r="G3083" t="str">
        <f>IFERROR(INDEX(Region_Map[Region], MATCH(orders[[#This Row],[Customer_Country]], Region_Map[Country], 0)), "Unknown")</f>
        <v>Nordics</v>
      </c>
      <c r="H3083" t="s">
        <v>6949</v>
      </c>
    </row>
    <row r="3084" spans="1:8">
      <c r="A3084" t="s">
        <v>3989</v>
      </c>
      <c r="B3084" t="s">
        <v>344</v>
      </c>
      <c r="C3084" s="1">
        <v>45202</v>
      </c>
      <c r="D3084" s="1" t="str">
        <f>PROPER(orders[[#This Row],[order_priority]])</f>
        <v>Economy</v>
      </c>
      <c r="E3084" t="s">
        <v>13316</v>
      </c>
      <c r="F3084" t="str">
        <f>IFERROR(INDEX(customers[country], MATCH(orders[[#This Row],[customer_id]], customers[customer_id], 0)), "Unmapped")</f>
        <v>Estonia</v>
      </c>
      <c r="G3084" t="str">
        <f>IFERROR(INDEX(Region_Map[Region], MATCH(orders[[#This Row],[Customer_Country]], Region_Map[Country], 0)), "Unknown")</f>
        <v>Baltics</v>
      </c>
      <c r="H3084" t="s">
        <v>6949</v>
      </c>
    </row>
    <row r="3085" spans="1:8">
      <c r="A3085" t="s">
        <v>3990</v>
      </c>
      <c r="B3085" t="s">
        <v>503</v>
      </c>
      <c r="C3085" s="1">
        <v>45473</v>
      </c>
      <c r="D3085" s="1" t="str">
        <f>PROPER(orders[[#This Row],[order_priority]])</f>
        <v>Same Day</v>
      </c>
      <c r="E3085" t="s">
        <v>13322</v>
      </c>
      <c r="F3085" t="str">
        <f>IFERROR(INDEX(customers[country], MATCH(orders[[#This Row],[customer_id]], customers[customer_id], 0)), "Unmapped")</f>
        <v>Denmark</v>
      </c>
      <c r="G3085" t="str">
        <f>IFERROR(INDEX(Region_Map[Region], MATCH(orders[[#This Row],[Customer_Country]], Region_Map[Country], 0)), "Unknown")</f>
        <v>Nordics</v>
      </c>
      <c r="H3085" t="s">
        <v>6949</v>
      </c>
    </row>
    <row r="3086" spans="1:8">
      <c r="A3086" t="s">
        <v>3991</v>
      </c>
      <c r="B3086" t="s">
        <v>682</v>
      </c>
      <c r="C3086" s="1">
        <v>45254</v>
      </c>
      <c r="D3086" s="1" t="str">
        <f>PROPER(orders[[#This Row],[order_priority]])</f>
        <v>Same Day</v>
      </c>
      <c r="E3086" t="s">
        <v>13322</v>
      </c>
      <c r="F3086" t="str">
        <f>IFERROR(INDEX(customers[country], MATCH(orders[[#This Row],[customer_id]], customers[customer_id], 0)), "Unmapped")</f>
        <v>Germany</v>
      </c>
      <c r="G3086" t="str">
        <f>IFERROR(INDEX(Region_Map[Region], MATCH(orders[[#This Row],[Customer_Country]], Region_Map[Country], 0)), "Unknown")</f>
        <v>Central Europe</v>
      </c>
      <c r="H3086" t="s">
        <v>6949</v>
      </c>
    </row>
    <row r="3087" spans="1:8">
      <c r="A3087" t="s">
        <v>3992</v>
      </c>
      <c r="B3087" t="s">
        <v>864</v>
      </c>
      <c r="C3087" s="1">
        <v>45328</v>
      </c>
      <c r="D3087" s="1" t="str">
        <f>PROPER(orders[[#This Row],[order_priority]])</f>
        <v>Economy</v>
      </c>
      <c r="E3087" t="s">
        <v>13316</v>
      </c>
      <c r="F3087" t="str">
        <f>IFERROR(INDEX(customers[country], MATCH(orders[[#This Row],[customer_id]], customers[customer_id], 0)), "Unmapped")</f>
        <v>Finland</v>
      </c>
      <c r="G3087" t="str">
        <f>IFERROR(INDEX(Region_Map[Region], MATCH(orders[[#This Row],[Customer_Country]], Region_Map[Country], 0)), "Unknown")</f>
        <v>Nordics</v>
      </c>
      <c r="H3087" t="s">
        <v>6949</v>
      </c>
    </row>
    <row r="3088" spans="1:8">
      <c r="A3088" t="s">
        <v>3993</v>
      </c>
      <c r="B3088" t="s">
        <v>48</v>
      </c>
      <c r="C3088" s="1">
        <v>45559</v>
      </c>
      <c r="D3088" s="1" t="str">
        <f>PROPER(orders[[#This Row],[order_priority]])</f>
        <v>Same Day</v>
      </c>
      <c r="E3088" t="s">
        <v>13322</v>
      </c>
      <c r="F3088" t="str">
        <f>IFERROR(INDEX(customers[country], MATCH(orders[[#This Row],[customer_id]], customers[customer_id], 0)), "Unmapped")</f>
        <v>Poland</v>
      </c>
      <c r="G3088" t="str">
        <f>IFERROR(INDEX(Region_Map[Region], MATCH(orders[[#This Row],[Customer_Country]], Region_Map[Country], 0)), "Unknown")</f>
        <v>Central Europe</v>
      </c>
      <c r="H3088" t="s">
        <v>6949</v>
      </c>
    </row>
    <row r="3089" spans="1:8">
      <c r="A3089" t="s">
        <v>3994</v>
      </c>
      <c r="B3089" t="s">
        <v>491</v>
      </c>
      <c r="C3089" s="1">
        <v>44948</v>
      </c>
      <c r="D3089" s="1" t="str">
        <f>PROPER(orders[[#This Row],[order_priority]])</f>
        <v>Economy</v>
      </c>
      <c r="E3089" t="s">
        <v>13316</v>
      </c>
      <c r="F3089" t="str">
        <f>IFERROR(INDEX(customers[country], MATCH(orders[[#This Row],[customer_id]], customers[customer_id], 0)), "Unmapped")</f>
        <v>Latvia</v>
      </c>
      <c r="G3089" t="str">
        <f>IFERROR(INDEX(Region_Map[Region], MATCH(orders[[#This Row],[Customer_Country]], Region_Map[Country], 0)), "Unknown")</f>
        <v>Baltics</v>
      </c>
      <c r="H3089" t="s">
        <v>6949</v>
      </c>
    </row>
    <row r="3090" spans="1:8">
      <c r="A3090" t="s">
        <v>3995</v>
      </c>
      <c r="B3090" t="s">
        <v>676</v>
      </c>
      <c r="C3090" s="1">
        <v>45337</v>
      </c>
      <c r="D3090" s="1" t="str">
        <f>PROPER(orders[[#This Row],[order_priority]])</f>
        <v>Standard</v>
      </c>
      <c r="E3090" t="s">
        <v>13317</v>
      </c>
      <c r="F3090" t="str">
        <f>IFERROR(INDEX(customers[country], MATCH(orders[[#This Row],[customer_id]], customers[customer_id], 0)), "Unmapped")</f>
        <v>Latvia</v>
      </c>
      <c r="G3090" t="str">
        <f>IFERROR(INDEX(Region_Map[Region], MATCH(orders[[#This Row],[Customer_Country]], Region_Map[Country], 0)), "Unknown")</f>
        <v>Baltics</v>
      </c>
      <c r="H3090" t="s">
        <v>6949</v>
      </c>
    </row>
    <row r="3091" spans="1:8">
      <c r="A3091" t="s">
        <v>3996</v>
      </c>
      <c r="B3091" t="s">
        <v>852</v>
      </c>
      <c r="C3091" s="1">
        <v>45515</v>
      </c>
      <c r="D3091" s="1" t="str">
        <f>PROPER(orders[[#This Row],[order_priority]])</f>
        <v>Same Day</v>
      </c>
      <c r="E3091" t="s">
        <v>13322</v>
      </c>
      <c r="F3091" t="str">
        <f>IFERROR(INDEX(customers[country], MATCH(orders[[#This Row],[customer_id]], customers[customer_id], 0)), "Unmapped")</f>
        <v>Sweden</v>
      </c>
      <c r="G3091" t="str">
        <f>IFERROR(INDEX(Region_Map[Region], MATCH(orders[[#This Row],[Customer_Country]], Region_Map[Country], 0)), "Unknown")</f>
        <v>Nordics</v>
      </c>
      <c r="H3091" t="s">
        <v>6949</v>
      </c>
    </row>
    <row r="3092" spans="1:8">
      <c r="A3092" t="s">
        <v>3997</v>
      </c>
      <c r="B3092" t="s">
        <v>96</v>
      </c>
      <c r="C3092" s="1">
        <v>45528</v>
      </c>
      <c r="D3092" s="1" t="str">
        <f>PROPER(orders[[#This Row],[order_priority]])</f>
        <v>Economy</v>
      </c>
      <c r="E3092" t="s">
        <v>13316</v>
      </c>
      <c r="F3092" t="str">
        <f>IFERROR(INDEX(customers[country], MATCH(orders[[#This Row],[customer_id]], customers[customer_id], 0)), "Unmapped")</f>
        <v>Sweden</v>
      </c>
      <c r="G3092" t="str">
        <f>IFERROR(INDEX(Region_Map[Region], MATCH(orders[[#This Row],[Customer_Country]], Region_Map[Country], 0)), "Unknown")</f>
        <v>Nordics</v>
      </c>
      <c r="H3092" t="s">
        <v>6949</v>
      </c>
    </row>
    <row r="3093" spans="1:8">
      <c r="A3093" t="s">
        <v>3998</v>
      </c>
      <c r="B3093" t="s">
        <v>306</v>
      </c>
      <c r="C3093" s="1">
        <v>45074</v>
      </c>
      <c r="D3093" s="1" t="str">
        <f>PROPER(orders[[#This Row],[order_priority]])</f>
        <v>Standard</v>
      </c>
      <c r="E3093" t="s">
        <v>13319</v>
      </c>
      <c r="F3093" t="str">
        <f>IFERROR(INDEX(customers[country], MATCH(orders[[#This Row],[customer_id]], customers[customer_id], 0)), "Unmapped")</f>
        <v>Estonia</v>
      </c>
      <c r="G3093" t="str">
        <f>IFERROR(INDEX(Region_Map[Region], MATCH(orders[[#This Row],[Customer_Country]], Region_Map[Country], 0)), "Unknown")</f>
        <v>Baltics</v>
      </c>
      <c r="H3093" t="s">
        <v>6949</v>
      </c>
    </row>
    <row r="3094" spans="1:8">
      <c r="A3094" t="s">
        <v>3999</v>
      </c>
      <c r="B3094" t="s">
        <v>718</v>
      </c>
      <c r="C3094" s="1">
        <v>44953</v>
      </c>
      <c r="D3094" s="1" t="str">
        <f>PROPER(orders[[#This Row],[order_priority]])</f>
        <v>Express</v>
      </c>
      <c r="E3094" t="s">
        <v>13318</v>
      </c>
      <c r="F3094" t="str">
        <f>IFERROR(INDEX(customers[country], MATCH(orders[[#This Row],[customer_id]], customers[customer_id], 0)), "Unmapped")</f>
        <v>Netherlands</v>
      </c>
      <c r="G3094" t="str">
        <f>IFERROR(INDEX(Region_Map[Region], MATCH(orders[[#This Row],[Customer_Country]], Region_Map[Country], 0)), "Unknown")</f>
        <v>Central Europe</v>
      </c>
      <c r="H3094" t="s">
        <v>6949</v>
      </c>
    </row>
    <row r="3095" spans="1:8">
      <c r="A3095" t="s">
        <v>4000</v>
      </c>
      <c r="B3095" t="s">
        <v>279</v>
      </c>
      <c r="C3095" s="1">
        <v>45334</v>
      </c>
      <c r="D3095" s="1" t="str">
        <f>PROPER(orders[[#This Row],[order_priority]])</f>
        <v>Economy</v>
      </c>
      <c r="E3095" t="s">
        <v>13325</v>
      </c>
      <c r="F3095" t="str">
        <f>IFERROR(INDEX(customers[country], MATCH(orders[[#This Row],[customer_id]], customers[customer_id], 0)), "Unmapped")</f>
        <v>Germany</v>
      </c>
      <c r="G3095" t="str">
        <f>IFERROR(INDEX(Region_Map[Region], MATCH(orders[[#This Row],[Customer_Country]], Region_Map[Country], 0)), "Unknown")</f>
        <v>Central Europe</v>
      </c>
      <c r="H3095" t="s">
        <v>6949</v>
      </c>
    </row>
    <row r="3096" spans="1:8">
      <c r="A3096" t="s">
        <v>4001</v>
      </c>
      <c r="B3096" t="s">
        <v>557</v>
      </c>
      <c r="C3096" s="1">
        <v>45315</v>
      </c>
      <c r="D3096" s="1" t="str">
        <f>PROPER(orders[[#This Row],[order_priority]])</f>
        <v>Standard</v>
      </c>
      <c r="E3096" t="s">
        <v>13317</v>
      </c>
      <c r="F3096" t="str">
        <f>IFERROR(INDEX(customers[country], MATCH(orders[[#This Row],[customer_id]], customers[customer_id], 0)), "Unmapped")</f>
        <v>Norway</v>
      </c>
      <c r="G3096" t="str">
        <f>IFERROR(INDEX(Region_Map[Region], MATCH(orders[[#This Row],[Customer_Country]], Region_Map[Country], 0)), "Unknown")</f>
        <v>Nordics</v>
      </c>
      <c r="H3096" t="s">
        <v>6949</v>
      </c>
    </row>
    <row r="3097" spans="1:8">
      <c r="A3097" t="s">
        <v>4002</v>
      </c>
      <c r="B3097" t="s">
        <v>169</v>
      </c>
      <c r="C3097" s="1">
        <v>45036</v>
      </c>
      <c r="D3097" s="1" t="str">
        <f>PROPER(orders[[#This Row],[order_priority]])</f>
        <v>Same Day</v>
      </c>
      <c r="E3097" t="s">
        <v>13322</v>
      </c>
      <c r="F3097" t="str">
        <f>IFERROR(INDEX(customers[country], MATCH(orders[[#This Row],[customer_id]], customers[customer_id], 0)), "Unmapped")</f>
        <v>Norway</v>
      </c>
      <c r="G3097" t="str">
        <f>IFERROR(INDEX(Region_Map[Region], MATCH(orders[[#This Row],[Customer_Country]], Region_Map[Country], 0)), "Unknown")</f>
        <v>Nordics</v>
      </c>
      <c r="H3097" t="s">
        <v>6949</v>
      </c>
    </row>
    <row r="3098" spans="1:8">
      <c r="A3098" t="s">
        <v>4003</v>
      </c>
      <c r="B3098" t="s">
        <v>661</v>
      </c>
      <c r="C3098" s="1">
        <v>45180</v>
      </c>
      <c r="D3098" s="1" t="str">
        <f>PROPER(orders[[#This Row],[order_priority]])</f>
        <v>Economy</v>
      </c>
      <c r="E3098" t="s">
        <v>13316</v>
      </c>
      <c r="F3098" t="str">
        <f>IFERROR(INDEX(customers[country], MATCH(orders[[#This Row],[customer_id]], customers[customer_id], 0)), "Unmapped")</f>
        <v>Lithuania</v>
      </c>
      <c r="G3098" t="str">
        <f>IFERROR(INDEX(Region_Map[Region], MATCH(orders[[#This Row],[Customer_Country]], Region_Map[Country], 0)), "Unknown")</f>
        <v>Baltics</v>
      </c>
      <c r="H3098" t="s">
        <v>6949</v>
      </c>
    </row>
    <row r="3099" spans="1:8">
      <c r="A3099" t="s">
        <v>4004</v>
      </c>
      <c r="B3099" t="s">
        <v>816</v>
      </c>
      <c r="C3099" s="1">
        <v>45490</v>
      </c>
      <c r="D3099" s="1" t="str">
        <f>PROPER(orders[[#This Row],[order_priority]])</f>
        <v>Economy</v>
      </c>
      <c r="E3099" t="s">
        <v>13316</v>
      </c>
      <c r="F3099" t="str">
        <f>IFERROR(INDEX(customers[country], MATCH(orders[[#This Row],[customer_id]], customers[customer_id], 0)), "Unmapped")</f>
        <v>Lithuania</v>
      </c>
      <c r="G3099" t="str">
        <f>IFERROR(INDEX(Region_Map[Region], MATCH(orders[[#This Row],[Customer_Country]], Region_Map[Country], 0)), "Unknown")</f>
        <v>Baltics</v>
      </c>
      <c r="H3099" t="s">
        <v>6949</v>
      </c>
    </row>
    <row r="3100" spans="1:8">
      <c r="A3100" t="s">
        <v>4005</v>
      </c>
      <c r="B3100" t="s">
        <v>703</v>
      </c>
      <c r="C3100" s="1">
        <v>45036</v>
      </c>
      <c r="D3100" s="1" t="str">
        <f>PROPER(orders[[#This Row],[order_priority]])</f>
        <v>Economy</v>
      </c>
      <c r="E3100" t="s">
        <v>13316</v>
      </c>
      <c r="F3100" t="str">
        <f>IFERROR(INDEX(customers[country], MATCH(orders[[#This Row],[customer_id]], customers[customer_id], 0)), "Unmapped")</f>
        <v>Estonia</v>
      </c>
      <c r="G3100" t="str">
        <f>IFERROR(INDEX(Region_Map[Region], MATCH(orders[[#This Row],[Customer_Country]], Region_Map[Country], 0)), "Unknown")</f>
        <v>Baltics</v>
      </c>
      <c r="H3100" t="s">
        <v>6949</v>
      </c>
    </row>
    <row r="3101" spans="1:8">
      <c r="A3101" t="s">
        <v>4006</v>
      </c>
      <c r="B3101" t="s">
        <v>882</v>
      </c>
      <c r="C3101" s="1">
        <v>45459</v>
      </c>
      <c r="D3101" s="1" t="str">
        <f>PROPER(orders[[#This Row],[order_priority]])</f>
        <v>Express</v>
      </c>
      <c r="E3101" t="s">
        <v>13318</v>
      </c>
      <c r="F3101" t="str">
        <f>IFERROR(INDEX(customers[country], MATCH(orders[[#This Row],[customer_id]], customers[customer_id], 0)), "Unmapped")</f>
        <v>Netherlands</v>
      </c>
      <c r="G3101" t="str">
        <f>IFERROR(INDEX(Region_Map[Region], MATCH(orders[[#This Row],[Customer_Country]], Region_Map[Country], 0)), "Unknown")</f>
        <v>Central Europe</v>
      </c>
      <c r="H3101" t="s">
        <v>6949</v>
      </c>
    </row>
    <row r="3102" spans="1:8">
      <c r="A3102" t="s">
        <v>4007</v>
      </c>
      <c r="B3102" t="s">
        <v>413</v>
      </c>
      <c r="C3102" s="1">
        <v>45617</v>
      </c>
      <c r="D3102" s="1" t="str">
        <f>PROPER(orders[[#This Row],[order_priority]])</f>
        <v>Express</v>
      </c>
      <c r="E3102" t="s">
        <v>13318</v>
      </c>
      <c r="F3102" t="str">
        <f>IFERROR(INDEX(customers[country], MATCH(orders[[#This Row],[customer_id]], customers[customer_id], 0)), "Unmapped")</f>
        <v>Poland</v>
      </c>
      <c r="G3102" t="str">
        <f>IFERROR(INDEX(Region_Map[Region], MATCH(orders[[#This Row],[Customer_Country]], Region_Map[Country], 0)), "Unknown")</f>
        <v>Central Europe</v>
      </c>
      <c r="H3102" t="s">
        <v>6949</v>
      </c>
    </row>
    <row r="3103" spans="1:8">
      <c r="A3103" t="s">
        <v>4008</v>
      </c>
      <c r="B3103" t="s">
        <v>575</v>
      </c>
      <c r="C3103" s="1">
        <v>45088</v>
      </c>
      <c r="D3103" s="1" t="str">
        <f>PROPER(orders[[#This Row],[order_priority]])</f>
        <v>Economy</v>
      </c>
      <c r="E3103" t="s">
        <v>13316</v>
      </c>
      <c r="F3103" t="str">
        <f>IFERROR(INDEX(customers[country], MATCH(orders[[#This Row],[customer_id]], customers[customer_id], 0)), "Unmapped")</f>
        <v>Netherlands</v>
      </c>
      <c r="G3103" t="str">
        <f>IFERROR(INDEX(Region_Map[Region], MATCH(orders[[#This Row],[Customer_Country]], Region_Map[Country], 0)), "Unknown")</f>
        <v>Central Europe</v>
      </c>
      <c r="H3103" t="s">
        <v>6949</v>
      </c>
    </row>
    <row r="3104" spans="1:8">
      <c r="A3104" t="s">
        <v>4009</v>
      </c>
      <c r="B3104" t="s">
        <v>652</v>
      </c>
      <c r="C3104" s="1">
        <v>45016</v>
      </c>
      <c r="D3104" s="1" t="str">
        <f>PROPER(orders[[#This Row],[order_priority]])</f>
        <v>Same Day</v>
      </c>
      <c r="E3104" t="s">
        <v>13322</v>
      </c>
      <c r="F3104" t="str">
        <f>IFERROR(INDEX(customers[country], MATCH(orders[[#This Row],[customer_id]], customers[customer_id], 0)), "Unmapped")</f>
        <v>Poland</v>
      </c>
      <c r="G3104" t="str">
        <f>IFERROR(INDEX(Region_Map[Region], MATCH(orders[[#This Row],[Customer_Country]], Region_Map[Country], 0)), "Unknown")</f>
        <v>Central Europe</v>
      </c>
      <c r="H3104" t="s">
        <v>6949</v>
      </c>
    </row>
    <row r="3105" spans="1:8">
      <c r="A3105" t="s">
        <v>4010</v>
      </c>
      <c r="B3105" t="s">
        <v>758</v>
      </c>
      <c r="C3105" s="1">
        <v>45335</v>
      </c>
      <c r="D3105" s="1" t="str">
        <f>PROPER(orders[[#This Row],[order_priority]])</f>
        <v>Express</v>
      </c>
      <c r="E3105" t="s">
        <v>13318</v>
      </c>
      <c r="F3105" t="str">
        <f>IFERROR(INDEX(customers[country], MATCH(orders[[#This Row],[customer_id]], customers[customer_id], 0)), "Unmapped")</f>
        <v>Estonia</v>
      </c>
      <c r="G3105" t="str">
        <f>IFERROR(INDEX(Region_Map[Region], MATCH(orders[[#This Row],[Customer_Country]], Region_Map[Country], 0)), "Unknown")</f>
        <v>Baltics</v>
      </c>
      <c r="H3105" t="s">
        <v>6949</v>
      </c>
    </row>
    <row r="3106" spans="1:8">
      <c r="A3106" t="s">
        <v>4011</v>
      </c>
      <c r="B3106" t="s">
        <v>746</v>
      </c>
      <c r="C3106" s="1">
        <v>44992</v>
      </c>
      <c r="D3106" s="1" t="str">
        <f>PROPER(orders[[#This Row],[order_priority]])</f>
        <v>Same Day</v>
      </c>
      <c r="E3106" t="s">
        <v>13322</v>
      </c>
      <c r="F3106" t="str">
        <f>IFERROR(INDEX(customers[country], MATCH(orders[[#This Row],[customer_id]], customers[customer_id], 0)), "Unmapped")</f>
        <v>Poland</v>
      </c>
      <c r="G3106" t="str">
        <f>IFERROR(INDEX(Region_Map[Region], MATCH(orders[[#This Row],[Customer_Country]], Region_Map[Country], 0)), "Unknown")</f>
        <v>Central Europe</v>
      </c>
      <c r="H3106" t="s">
        <v>6949</v>
      </c>
    </row>
    <row r="3107" spans="1:8">
      <c r="A3107" t="s">
        <v>4012</v>
      </c>
      <c r="B3107" t="s">
        <v>428</v>
      </c>
      <c r="C3107" s="1">
        <v>45262</v>
      </c>
      <c r="D3107" s="1" t="str">
        <f>PROPER(orders[[#This Row],[order_priority]])</f>
        <v>Standard</v>
      </c>
      <c r="E3107" t="s">
        <v>13317</v>
      </c>
      <c r="F3107" t="str">
        <f>IFERROR(INDEX(customers[country], MATCH(orders[[#This Row],[customer_id]], customers[customer_id], 0)), "Unmapped")</f>
        <v>Finland</v>
      </c>
      <c r="G3107" t="str">
        <f>IFERROR(INDEX(Region_Map[Region], MATCH(orders[[#This Row],[Customer_Country]], Region_Map[Country], 0)), "Unknown")</f>
        <v>Nordics</v>
      </c>
      <c r="H3107" t="s">
        <v>6949</v>
      </c>
    </row>
    <row r="3108" spans="1:8">
      <c r="A3108" t="s">
        <v>4013</v>
      </c>
      <c r="B3108" t="s">
        <v>587</v>
      </c>
      <c r="C3108" s="1">
        <v>45320</v>
      </c>
      <c r="D3108" s="1" t="str">
        <f>PROPER(orders[[#This Row],[order_priority]])</f>
        <v>Standard</v>
      </c>
      <c r="E3108" t="s">
        <v>13317</v>
      </c>
      <c r="F3108" t="str">
        <f>IFERROR(INDEX(customers[country], MATCH(orders[[#This Row],[customer_id]], customers[customer_id], 0)), "Unmapped")</f>
        <v>Finland</v>
      </c>
      <c r="G3108" t="str">
        <f>IFERROR(INDEX(Region_Map[Region], MATCH(orders[[#This Row],[Customer_Country]], Region_Map[Country], 0)), "Unknown")</f>
        <v>Nordics</v>
      </c>
      <c r="H3108" t="s">
        <v>6949</v>
      </c>
    </row>
    <row r="3109" spans="1:8">
      <c r="A3109" t="s">
        <v>4014</v>
      </c>
      <c r="B3109" t="s">
        <v>778</v>
      </c>
      <c r="C3109" s="1">
        <v>45525</v>
      </c>
      <c r="D3109" s="1" t="str">
        <f>PROPER(orders[[#This Row],[order_priority]])</f>
        <v>Same Day</v>
      </c>
      <c r="E3109" t="s">
        <v>13324</v>
      </c>
      <c r="F3109" t="str">
        <f>IFERROR(INDEX(customers[country], MATCH(orders[[#This Row],[customer_id]], customers[customer_id], 0)), "Unmapped")</f>
        <v>Estonia</v>
      </c>
      <c r="G3109" t="str">
        <f>IFERROR(INDEX(Region_Map[Region], MATCH(orders[[#This Row],[Customer_Country]], Region_Map[Country], 0)), "Unknown")</f>
        <v>Baltics</v>
      </c>
      <c r="H3109" t="s">
        <v>6949</v>
      </c>
    </row>
    <row r="3110" spans="1:8">
      <c r="A3110" t="s">
        <v>4015</v>
      </c>
      <c r="B3110" t="s">
        <v>207</v>
      </c>
      <c r="C3110" s="1">
        <v>45077</v>
      </c>
      <c r="D3110" s="1" t="str">
        <f>PROPER(orders[[#This Row],[order_priority]])</f>
        <v>Express</v>
      </c>
      <c r="E3110" t="s">
        <v>13318</v>
      </c>
      <c r="F3110" t="str">
        <f>IFERROR(INDEX(customers[country], MATCH(orders[[#This Row],[customer_id]], customers[customer_id], 0)), "Unmapped")</f>
        <v>Poland</v>
      </c>
      <c r="G3110" t="str">
        <f>IFERROR(INDEX(Region_Map[Region], MATCH(orders[[#This Row],[Customer_Country]], Region_Map[Country], 0)), "Unknown")</f>
        <v>Central Europe</v>
      </c>
      <c r="H3110" t="s">
        <v>6949</v>
      </c>
    </row>
    <row r="3111" spans="1:8">
      <c r="A3111" t="s">
        <v>4016</v>
      </c>
      <c r="B3111" t="s">
        <v>136</v>
      </c>
      <c r="C3111" s="1">
        <v>45501</v>
      </c>
      <c r="D3111" s="1" t="str">
        <f>PROPER(orders[[#This Row],[order_priority]])</f>
        <v>Same Day</v>
      </c>
      <c r="E3111" t="s">
        <v>13322</v>
      </c>
      <c r="F3111" t="str">
        <f>IFERROR(INDEX(customers[country], MATCH(orders[[#This Row],[customer_id]], customers[customer_id], 0)), "Unmapped")</f>
        <v>Sweden</v>
      </c>
      <c r="G3111" t="str">
        <f>IFERROR(INDEX(Region_Map[Region], MATCH(orders[[#This Row],[Customer_Country]], Region_Map[Country], 0)), "Unknown")</f>
        <v>Nordics</v>
      </c>
      <c r="H3111" t="s">
        <v>6949</v>
      </c>
    </row>
    <row r="3112" spans="1:8">
      <c r="A3112" t="s">
        <v>4017</v>
      </c>
      <c r="B3112" t="s">
        <v>685</v>
      </c>
      <c r="C3112" s="1">
        <v>45069</v>
      </c>
      <c r="D3112" s="1" t="str">
        <f>PROPER(orders[[#This Row],[order_priority]])</f>
        <v>Express</v>
      </c>
      <c r="E3112" t="s">
        <v>13318</v>
      </c>
      <c r="F3112" t="str">
        <f>IFERROR(INDEX(customers[country], MATCH(orders[[#This Row],[customer_id]], customers[customer_id], 0)), "Unmapped")</f>
        <v>Latvia</v>
      </c>
      <c r="G3112" t="str">
        <f>IFERROR(INDEX(Region_Map[Region], MATCH(orders[[#This Row],[Customer_Country]], Region_Map[Country], 0)), "Unknown")</f>
        <v>Baltics</v>
      </c>
      <c r="H3112" t="s">
        <v>6949</v>
      </c>
    </row>
    <row r="3113" spans="1:8">
      <c r="A3113" t="s">
        <v>4018</v>
      </c>
      <c r="B3113" t="s">
        <v>605</v>
      </c>
      <c r="C3113" s="1">
        <v>45253</v>
      </c>
      <c r="D3113" s="1" t="str">
        <f>PROPER(orders[[#This Row],[order_priority]])</f>
        <v>Standard</v>
      </c>
      <c r="E3113" t="s">
        <v>13317</v>
      </c>
      <c r="F3113" t="str">
        <f>IFERROR(INDEX(customers[country], MATCH(orders[[#This Row],[customer_id]], customers[customer_id], 0)), "Unmapped")</f>
        <v>Lithuania</v>
      </c>
      <c r="G3113" t="str">
        <f>IFERROR(INDEX(Region_Map[Region], MATCH(orders[[#This Row],[Customer_Country]], Region_Map[Country], 0)), "Unknown")</f>
        <v>Baltics</v>
      </c>
      <c r="H3113" t="s">
        <v>6949</v>
      </c>
    </row>
    <row r="3114" spans="1:8">
      <c r="A3114" t="s">
        <v>4019</v>
      </c>
      <c r="B3114" t="s">
        <v>467</v>
      </c>
      <c r="C3114" s="1">
        <v>45181</v>
      </c>
      <c r="D3114" s="1" t="str">
        <f>PROPER(orders[[#This Row],[order_priority]])</f>
        <v>Same Day</v>
      </c>
      <c r="E3114" t="s">
        <v>13322</v>
      </c>
      <c r="F3114" t="str">
        <f>IFERROR(INDEX(customers[country], MATCH(orders[[#This Row],[customer_id]], customers[customer_id], 0)), "Unmapped")</f>
        <v>Latvia</v>
      </c>
      <c r="G3114" t="str">
        <f>IFERROR(INDEX(Region_Map[Region], MATCH(orders[[#This Row],[Customer_Country]], Region_Map[Country], 0)), "Unknown")</f>
        <v>Baltics</v>
      </c>
      <c r="H3114" t="s">
        <v>6949</v>
      </c>
    </row>
    <row r="3115" spans="1:8">
      <c r="A3115" t="s">
        <v>4020</v>
      </c>
      <c r="B3115" t="s">
        <v>811</v>
      </c>
      <c r="C3115" s="1">
        <v>45562</v>
      </c>
      <c r="D3115" s="1" t="str">
        <f>PROPER(orders[[#This Row],[order_priority]])</f>
        <v>Economy</v>
      </c>
      <c r="E3115" t="s">
        <v>13325</v>
      </c>
      <c r="F3115" t="str">
        <f>IFERROR(INDEX(customers[country], MATCH(orders[[#This Row],[customer_id]], customers[customer_id], 0)), "Unmapped")</f>
        <v>Finland</v>
      </c>
      <c r="G3115" t="str">
        <f>IFERROR(INDEX(Region_Map[Region], MATCH(orders[[#This Row],[Customer_Country]], Region_Map[Country], 0)), "Unknown")</f>
        <v>Nordics</v>
      </c>
      <c r="H3115" t="s">
        <v>6949</v>
      </c>
    </row>
    <row r="3116" spans="1:8">
      <c r="A3116" t="s">
        <v>4021</v>
      </c>
      <c r="B3116" t="s">
        <v>130</v>
      </c>
      <c r="C3116" s="1">
        <v>45551</v>
      </c>
      <c r="D3116" s="1" t="str">
        <f>PROPER(orders[[#This Row],[order_priority]])</f>
        <v>Same Day</v>
      </c>
      <c r="E3116" t="s">
        <v>13322</v>
      </c>
      <c r="F3116" t="str">
        <f>IFERROR(INDEX(customers[country], MATCH(orders[[#This Row],[customer_id]], customers[customer_id], 0)), "Unmapped")</f>
        <v>Latvia</v>
      </c>
      <c r="G3116" t="str">
        <f>IFERROR(INDEX(Region_Map[Region], MATCH(orders[[#This Row],[Customer_Country]], Region_Map[Country], 0)), "Unknown")</f>
        <v>Baltics</v>
      </c>
      <c r="H3116" t="s">
        <v>6949</v>
      </c>
    </row>
    <row r="3117" spans="1:8">
      <c r="A3117" t="s">
        <v>4022</v>
      </c>
      <c r="B3117" t="s">
        <v>697</v>
      </c>
      <c r="C3117" s="1">
        <v>45245</v>
      </c>
      <c r="D3117" s="1" t="str">
        <f>PROPER(orders[[#This Row],[order_priority]])</f>
        <v>Standard</v>
      </c>
      <c r="E3117" t="s">
        <v>13317</v>
      </c>
      <c r="F3117" t="str">
        <f>IFERROR(INDEX(customers[country], MATCH(orders[[#This Row],[customer_id]], customers[customer_id], 0)), "Unmapped")</f>
        <v>Estonia</v>
      </c>
      <c r="G3117" t="str">
        <f>IFERROR(INDEX(Region_Map[Region], MATCH(orders[[#This Row],[Customer_Country]], Region_Map[Country], 0)), "Unknown")</f>
        <v>Baltics</v>
      </c>
      <c r="H3117" t="s">
        <v>6949</v>
      </c>
    </row>
    <row r="3118" spans="1:8">
      <c r="A3118" t="s">
        <v>4023</v>
      </c>
      <c r="B3118" t="s">
        <v>891</v>
      </c>
      <c r="C3118" s="1">
        <v>44950</v>
      </c>
      <c r="D3118" s="1" t="str">
        <f>PROPER(orders[[#This Row],[order_priority]])</f>
        <v>Express</v>
      </c>
      <c r="E3118" t="s">
        <v>13318</v>
      </c>
      <c r="F3118" t="str">
        <f>IFERROR(INDEX(customers[country], MATCH(orders[[#This Row],[customer_id]], customers[customer_id], 0)), "Unmapped")</f>
        <v>Netherlands</v>
      </c>
      <c r="G3118" t="str">
        <f>IFERROR(INDEX(Region_Map[Region], MATCH(orders[[#This Row],[Customer_Country]], Region_Map[Country], 0)), "Unknown")</f>
        <v>Central Europe</v>
      </c>
      <c r="H3118" t="s">
        <v>6949</v>
      </c>
    </row>
    <row r="3119" spans="1:8">
      <c r="A3119" t="s">
        <v>3870</v>
      </c>
      <c r="B3119" t="s">
        <v>772</v>
      </c>
      <c r="C3119" s="1">
        <v>45132</v>
      </c>
      <c r="D3119" s="1" t="str">
        <f>PROPER(orders[[#This Row],[order_priority]])</f>
        <v>Express</v>
      </c>
      <c r="E3119" t="s">
        <v>13318</v>
      </c>
      <c r="F3119" t="str">
        <f>IFERROR(INDEX(customers[country], MATCH(orders[[#This Row],[customer_id]], customers[customer_id], 0)), "Unmapped")</f>
        <v>Estonia</v>
      </c>
      <c r="G3119" t="str">
        <f>IFERROR(INDEX(Region_Map[Region], MATCH(orders[[#This Row],[Customer_Country]], Region_Map[Country], 0)), "Unknown")</f>
        <v>Baltics</v>
      </c>
      <c r="H3119" t="s">
        <v>6949</v>
      </c>
    </row>
    <row r="3120" spans="1:8">
      <c r="A3120" t="s">
        <v>4024</v>
      </c>
      <c r="B3120" t="s">
        <v>521</v>
      </c>
      <c r="C3120" s="1">
        <v>45282</v>
      </c>
      <c r="D3120" s="1" t="str">
        <f>PROPER(orders[[#This Row],[order_priority]])</f>
        <v>Standard</v>
      </c>
      <c r="E3120" t="s">
        <v>13317</v>
      </c>
      <c r="F3120" t="str">
        <f>IFERROR(INDEX(customers[country], MATCH(orders[[#This Row],[customer_id]], customers[customer_id], 0)), "Unmapped")</f>
        <v>Norway</v>
      </c>
      <c r="G3120" t="str">
        <f>IFERROR(INDEX(Region_Map[Region], MATCH(orders[[#This Row],[Customer_Country]], Region_Map[Country], 0)), "Unknown")</f>
        <v>Nordics</v>
      </c>
      <c r="H3120" t="s">
        <v>6949</v>
      </c>
    </row>
    <row r="3121" spans="1:8">
      <c r="A3121" t="s">
        <v>4025</v>
      </c>
      <c r="B3121" t="s">
        <v>790</v>
      </c>
      <c r="C3121" s="1">
        <v>45517</v>
      </c>
      <c r="D3121" s="1" t="str">
        <f>PROPER(orders[[#This Row],[order_priority]])</f>
        <v>Same Day</v>
      </c>
      <c r="E3121" t="s">
        <v>13322</v>
      </c>
      <c r="F3121" t="str">
        <f>IFERROR(INDEX(customers[country], MATCH(orders[[#This Row],[customer_id]], customers[customer_id], 0)), "Unmapped")</f>
        <v>Germany</v>
      </c>
      <c r="G3121" t="str">
        <f>IFERROR(INDEX(Region_Map[Region], MATCH(orders[[#This Row],[Customer_Country]], Region_Map[Country], 0)), "Unknown")</f>
        <v>Central Europe</v>
      </c>
      <c r="H3121" t="s">
        <v>6949</v>
      </c>
    </row>
    <row r="3122" spans="1:8">
      <c r="A3122" t="s">
        <v>4026</v>
      </c>
      <c r="B3122" t="s">
        <v>130</v>
      </c>
      <c r="C3122" s="1">
        <v>45500</v>
      </c>
      <c r="D3122" s="1" t="str">
        <f>PROPER(orders[[#This Row],[order_priority]])</f>
        <v>Express</v>
      </c>
      <c r="E3122" t="s">
        <v>13318</v>
      </c>
      <c r="F3122" t="str">
        <f>IFERROR(INDEX(customers[country], MATCH(orders[[#This Row],[customer_id]], customers[customer_id], 0)), "Unmapped")</f>
        <v>Latvia</v>
      </c>
      <c r="G3122" t="str">
        <f>IFERROR(INDEX(Region_Map[Region], MATCH(orders[[#This Row],[Customer_Country]], Region_Map[Country], 0)), "Unknown")</f>
        <v>Baltics</v>
      </c>
      <c r="H3122" t="s">
        <v>6949</v>
      </c>
    </row>
    <row r="3123" spans="1:8">
      <c r="A3123" t="s">
        <v>4027</v>
      </c>
      <c r="B3123" t="s">
        <v>219</v>
      </c>
      <c r="C3123" s="1">
        <v>45163</v>
      </c>
      <c r="D3123" s="1" t="str">
        <f>PROPER(orders[[#This Row],[order_priority]])</f>
        <v>Economy</v>
      </c>
      <c r="E3123" t="s">
        <v>13325</v>
      </c>
      <c r="F3123" t="str">
        <f>IFERROR(INDEX(customers[country], MATCH(orders[[#This Row],[customer_id]], customers[customer_id], 0)), "Unmapped")</f>
        <v>Latvia</v>
      </c>
      <c r="G3123" t="str">
        <f>IFERROR(INDEX(Region_Map[Region], MATCH(orders[[#This Row],[Customer_Country]], Region_Map[Country], 0)), "Unknown")</f>
        <v>Baltics</v>
      </c>
      <c r="H3123" t="s">
        <v>6949</v>
      </c>
    </row>
    <row r="3124" spans="1:8">
      <c r="A3124" t="s">
        <v>4028</v>
      </c>
      <c r="B3124" t="s">
        <v>291</v>
      </c>
      <c r="C3124" s="1">
        <v>45259</v>
      </c>
      <c r="D3124" s="1" t="str">
        <f>PROPER(orders[[#This Row],[order_priority]])</f>
        <v>Same Day</v>
      </c>
      <c r="E3124" t="s">
        <v>13322</v>
      </c>
      <c r="F3124" t="str">
        <f>IFERROR(INDEX(customers[country], MATCH(orders[[#This Row],[customer_id]], customers[customer_id], 0)), "Unmapped")</f>
        <v>Poland</v>
      </c>
      <c r="G3124" t="str">
        <f>IFERROR(INDEX(Region_Map[Region], MATCH(orders[[#This Row],[Customer_Country]], Region_Map[Country], 0)), "Unknown")</f>
        <v>Central Europe</v>
      </c>
      <c r="H3124" t="s">
        <v>6949</v>
      </c>
    </row>
    <row r="3125" spans="1:8">
      <c r="A3125" t="s">
        <v>4029</v>
      </c>
      <c r="B3125" t="s">
        <v>422</v>
      </c>
      <c r="C3125" s="1">
        <v>44942</v>
      </c>
      <c r="D3125" s="1" t="str">
        <f>PROPER(orders[[#This Row],[order_priority]])</f>
        <v>Express</v>
      </c>
      <c r="E3125" t="s">
        <v>13318</v>
      </c>
      <c r="F3125" t="str">
        <f>IFERROR(INDEX(customers[country], MATCH(orders[[#This Row],[customer_id]], customers[customer_id], 0)), "Unmapped")</f>
        <v>Germany</v>
      </c>
      <c r="G3125" t="str">
        <f>IFERROR(INDEX(Region_Map[Region], MATCH(orders[[#This Row],[Customer_Country]], Region_Map[Country], 0)), "Unknown")</f>
        <v>Central Europe</v>
      </c>
      <c r="H3125" t="s">
        <v>6949</v>
      </c>
    </row>
    <row r="3126" spans="1:8">
      <c r="A3126" t="s">
        <v>4030</v>
      </c>
      <c r="B3126" t="s">
        <v>422</v>
      </c>
      <c r="C3126" s="1">
        <v>44941</v>
      </c>
      <c r="D3126" s="1" t="str">
        <f>PROPER(orders[[#This Row],[order_priority]])</f>
        <v>Economy</v>
      </c>
      <c r="E3126" t="s">
        <v>13316</v>
      </c>
      <c r="F3126" t="str">
        <f>IFERROR(INDEX(customers[country], MATCH(orders[[#This Row],[customer_id]], customers[customer_id], 0)), "Unmapped")</f>
        <v>Germany</v>
      </c>
      <c r="G3126" t="str">
        <f>IFERROR(INDEX(Region_Map[Region], MATCH(orders[[#This Row],[Customer_Country]], Region_Map[Country], 0)), "Unknown")</f>
        <v>Central Europe</v>
      </c>
      <c r="H3126" t="s">
        <v>6949</v>
      </c>
    </row>
    <row r="3127" spans="1:8">
      <c r="A3127" t="s">
        <v>4031</v>
      </c>
      <c r="B3127" t="s">
        <v>303</v>
      </c>
      <c r="C3127" s="1">
        <v>45131</v>
      </c>
      <c r="D3127" s="1" t="str">
        <f>PROPER(orders[[#This Row],[order_priority]])</f>
        <v>Standard</v>
      </c>
      <c r="E3127" t="s">
        <v>13317</v>
      </c>
      <c r="F3127" t="str">
        <f>IFERROR(INDEX(customers[country], MATCH(orders[[#This Row],[customer_id]], customers[customer_id], 0)), "Unmapped")</f>
        <v>Netherlands</v>
      </c>
      <c r="G3127" t="str">
        <f>IFERROR(INDEX(Region_Map[Region], MATCH(orders[[#This Row],[Customer_Country]], Region_Map[Country], 0)), "Unknown")</f>
        <v>Central Europe</v>
      </c>
      <c r="H3127" t="s">
        <v>6949</v>
      </c>
    </row>
    <row r="3128" spans="1:8">
      <c r="A3128" t="s">
        <v>4032</v>
      </c>
      <c r="B3128" t="s">
        <v>13350</v>
      </c>
      <c r="C3128" s="1">
        <v>45616</v>
      </c>
      <c r="D3128" s="1" t="str">
        <f>PROPER(orders[[#This Row],[order_priority]])</f>
        <v>Express</v>
      </c>
      <c r="E3128" t="s">
        <v>13318</v>
      </c>
      <c r="F3128" t="str">
        <f>IFERROR(INDEX(customers[country], MATCH(orders[[#This Row],[customer_id]], customers[customer_id], 0)), "Unmapped")</f>
        <v>Unmapped</v>
      </c>
      <c r="G3128" t="str">
        <f>IFERROR(INDEX(Region_Map[Region], MATCH(orders[[#This Row],[Customer_Country]], Region_Map[Country], 0)), "Unknown")</f>
        <v>Unknown</v>
      </c>
      <c r="H3128" t="s">
        <v>6949</v>
      </c>
    </row>
    <row r="3129" spans="1:8">
      <c r="A3129" t="s">
        <v>4033</v>
      </c>
      <c r="B3129" t="s">
        <v>623</v>
      </c>
      <c r="C3129" s="1">
        <v>45534</v>
      </c>
      <c r="D3129" s="1" t="str">
        <f>PROPER(orders[[#This Row],[order_priority]])</f>
        <v>Standard</v>
      </c>
      <c r="E3129" t="s">
        <v>13317</v>
      </c>
      <c r="F3129" t="str">
        <f>IFERROR(INDEX(customers[country], MATCH(orders[[#This Row],[customer_id]], customers[customer_id], 0)), "Unmapped")</f>
        <v>Denmark</v>
      </c>
      <c r="G3129" t="str">
        <f>IFERROR(INDEX(Region_Map[Region], MATCH(orders[[#This Row],[Customer_Country]], Region_Map[Country], 0)), "Unknown")</f>
        <v>Nordics</v>
      </c>
      <c r="H3129" t="s">
        <v>6949</v>
      </c>
    </row>
    <row r="3130" spans="1:8">
      <c r="A3130" t="s">
        <v>4034</v>
      </c>
      <c r="B3130" t="s">
        <v>187</v>
      </c>
      <c r="C3130" s="1">
        <v>45383</v>
      </c>
      <c r="D3130" s="1" t="str">
        <f>PROPER(orders[[#This Row],[order_priority]])</f>
        <v>Economy</v>
      </c>
      <c r="E3130" t="s">
        <v>13328</v>
      </c>
      <c r="F3130" t="str">
        <f>IFERROR(INDEX(customers[country], MATCH(orders[[#This Row],[customer_id]], customers[customer_id], 0)), "Unmapped")</f>
        <v>Latvia</v>
      </c>
      <c r="G3130" t="str">
        <f>IFERROR(INDEX(Region_Map[Region], MATCH(orders[[#This Row],[Customer_Country]], Region_Map[Country], 0)), "Unknown")</f>
        <v>Baltics</v>
      </c>
      <c r="H3130" t="s">
        <v>6949</v>
      </c>
    </row>
    <row r="3131" spans="1:8">
      <c r="A3131" t="s">
        <v>4035</v>
      </c>
      <c r="B3131" t="s">
        <v>93</v>
      </c>
      <c r="C3131" s="1">
        <v>45131</v>
      </c>
      <c r="D3131" s="1" t="str">
        <f>PROPER(orders[[#This Row],[order_priority]])</f>
        <v>Express</v>
      </c>
      <c r="E3131" t="s">
        <v>13318</v>
      </c>
      <c r="F3131" t="str">
        <f>IFERROR(INDEX(customers[country], MATCH(orders[[#This Row],[customer_id]], customers[customer_id], 0)), "Unmapped")</f>
        <v>Norway</v>
      </c>
      <c r="G3131" t="str">
        <f>IFERROR(INDEX(Region_Map[Region], MATCH(orders[[#This Row],[Customer_Country]], Region_Map[Country], 0)), "Unknown")</f>
        <v>Nordics</v>
      </c>
      <c r="H3131" t="s">
        <v>6949</v>
      </c>
    </row>
    <row r="3132" spans="1:8">
      <c r="A3132" t="s">
        <v>4036</v>
      </c>
      <c r="B3132" t="s">
        <v>682</v>
      </c>
      <c r="C3132" s="1">
        <v>45143</v>
      </c>
      <c r="D3132" s="1" t="str">
        <f>PROPER(orders[[#This Row],[order_priority]])</f>
        <v>Economy</v>
      </c>
      <c r="E3132" t="s">
        <v>13316</v>
      </c>
      <c r="F3132" t="str">
        <f>IFERROR(INDEX(customers[country], MATCH(orders[[#This Row],[customer_id]], customers[customer_id], 0)), "Unmapped")</f>
        <v>Germany</v>
      </c>
      <c r="G3132" t="str">
        <f>IFERROR(INDEX(Region_Map[Region], MATCH(orders[[#This Row],[Customer_Country]], Region_Map[Country], 0)), "Unknown")</f>
        <v>Central Europe</v>
      </c>
      <c r="H3132" t="s">
        <v>6949</v>
      </c>
    </row>
    <row r="3133" spans="1:8">
      <c r="A3133" t="s">
        <v>4037</v>
      </c>
      <c r="B3133" t="s">
        <v>900</v>
      </c>
      <c r="C3133" s="1">
        <v>45115</v>
      </c>
      <c r="D3133" s="1" t="str">
        <f>PROPER(orders[[#This Row],[order_priority]])</f>
        <v>Economy</v>
      </c>
      <c r="E3133" t="s">
        <v>13328</v>
      </c>
      <c r="F3133" t="str">
        <f>IFERROR(INDEX(customers[country], MATCH(orders[[#This Row],[customer_id]], customers[customer_id], 0)), "Unmapped")</f>
        <v>Germany</v>
      </c>
      <c r="G3133" t="str">
        <f>IFERROR(INDEX(Region_Map[Region], MATCH(orders[[#This Row],[Customer_Country]], Region_Map[Country], 0)), "Unknown")</f>
        <v>Central Europe</v>
      </c>
      <c r="H3133" t="s">
        <v>6949</v>
      </c>
    </row>
    <row r="3134" spans="1:8">
      <c r="A3134" t="s">
        <v>4038</v>
      </c>
      <c r="B3134" t="s">
        <v>294</v>
      </c>
      <c r="C3134" s="1">
        <v>45612</v>
      </c>
      <c r="D3134" s="1" t="str">
        <f>PROPER(orders[[#This Row],[order_priority]])</f>
        <v>Standard</v>
      </c>
      <c r="E3134" t="s">
        <v>13317</v>
      </c>
      <c r="F3134" t="str">
        <f>IFERROR(INDEX(customers[country], MATCH(orders[[#This Row],[customer_id]], customers[customer_id], 0)), "Unmapped")</f>
        <v>Denmark</v>
      </c>
      <c r="G3134" t="str">
        <f>IFERROR(INDEX(Region_Map[Region], MATCH(orders[[#This Row],[Customer_Country]], Region_Map[Country], 0)), "Unknown")</f>
        <v>Nordics</v>
      </c>
      <c r="H3134" t="s">
        <v>6949</v>
      </c>
    </row>
    <row r="3135" spans="1:8">
      <c r="A3135" t="s">
        <v>4039</v>
      </c>
      <c r="B3135" t="s">
        <v>647</v>
      </c>
      <c r="C3135" s="1">
        <v>44967</v>
      </c>
      <c r="D3135" s="1" t="str">
        <f>PROPER(orders[[#This Row],[order_priority]])</f>
        <v>Express</v>
      </c>
      <c r="E3135" t="s">
        <v>13318</v>
      </c>
      <c r="F3135" t="str">
        <f>IFERROR(INDEX(customers[country], MATCH(orders[[#This Row],[customer_id]], customers[customer_id], 0)), "Unmapped")</f>
        <v>Netherlands</v>
      </c>
      <c r="G3135" t="str">
        <f>IFERROR(INDEX(Region_Map[Region], MATCH(orders[[#This Row],[Customer_Country]], Region_Map[Country], 0)), "Unknown")</f>
        <v>Central Europe</v>
      </c>
      <c r="H3135" t="s">
        <v>6949</v>
      </c>
    </row>
    <row r="3136" spans="1:8">
      <c r="A3136" t="s">
        <v>4040</v>
      </c>
      <c r="B3136" t="s">
        <v>192</v>
      </c>
      <c r="C3136" s="1">
        <v>45489</v>
      </c>
      <c r="D3136" s="1" t="str">
        <f>PROPER(orders[[#This Row],[order_priority]])</f>
        <v>Same Day</v>
      </c>
      <c r="E3136" t="s">
        <v>13322</v>
      </c>
      <c r="F3136" t="str">
        <f>IFERROR(INDEX(customers[country], MATCH(orders[[#This Row],[customer_id]], customers[customer_id], 0)), "Unmapped")</f>
        <v>Estonia</v>
      </c>
      <c r="G3136" t="str">
        <f>IFERROR(INDEX(Region_Map[Region], MATCH(orders[[#This Row],[Customer_Country]], Region_Map[Country], 0)), "Unknown")</f>
        <v>Baltics</v>
      </c>
      <c r="H3136" t="s">
        <v>6949</v>
      </c>
    </row>
    <row r="3137" spans="1:8">
      <c r="A3137" t="s">
        <v>4041</v>
      </c>
      <c r="B3137" t="s">
        <v>249</v>
      </c>
      <c r="C3137" s="1">
        <v>45232</v>
      </c>
      <c r="D3137" s="1" t="str">
        <f>PROPER(orders[[#This Row],[order_priority]])</f>
        <v>Express</v>
      </c>
      <c r="E3137" t="s">
        <v>13318</v>
      </c>
      <c r="F3137" t="str">
        <f>IFERROR(INDEX(customers[country], MATCH(orders[[#This Row],[customer_id]], customers[customer_id], 0)), "Unmapped")</f>
        <v>Estonia</v>
      </c>
      <c r="G3137" t="str">
        <f>IFERROR(INDEX(Region_Map[Region], MATCH(orders[[#This Row],[Customer_Country]], Region_Map[Country], 0)), "Unknown")</f>
        <v>Baltics</v>
      </c>
      <c r="H3137" t="s">
        <v>6949</v>
      </c>
    </row>
    <row r="3138" spans="1:8">
      <c r="A3138" t="s">
        <v>4042</v>
      </c>
      <c r="B3138" t="s">
        <v>374</v>
      </c>
      <c r="C3138" s="1">
        <v>45462</v>
      </c>
      <c r="D3138" s="1" t="str">
        <f>PROPER(orders[[#This Row],[order_priority]])</f>
        <v>Express</v>
      </c>
      <c r="E3138" t="s">
        <v>13320</v>
      </c>
      <c r="F3138" t="str">
        <f>IFERROR(INDEX(customers[country], MATCH(orders[[#This Row],[customer_id]], customers[customer_id], 0)), "Unmapped")</f>
        <v>Estonia</v>
      </c>
      <c r="G3138" t="str">
        <f>IFERROR(INDEX(Region_Map[Region], MATCH(orders[[#This Row],[Customer_Country]], Region_Map[Country], 0)), "Unknown")</f>
        <v>Baltics</v>
      </c>
      <c r="H3138" t="s">
        <v>6949</v>
      </c>
    </row>
    <row r="3139" spans="1:8">
      <c r="A3139" t="s">
        <v>4043</v>
      </c>
      <c r="B3139" t="s">
        <v>374</v>
      </c>
      <c r="C3139" s="1">
        <v>45157</v>
      </c>
      <c r="D3139" s="1" t="str">
        <f>PROPER(orders[[#This Row],[order_priority]])</f>
        <v>Express</v>
      </c>
      <c r="E3139" t="s">
        <v>13318</v>
      </c>
      <c r="F3139" t="str">
        <f>IFERROR(INDEX(customers[country], MATCH(orders[[#This Row],[customer_id]], customers[customer_id], 0)), "Unmapped")</f>
        <v>Estonia</v>
      </c>
      <c r="G3139" t="str">
        <f>IFERROR(INDEX(Region_Map[Region], MATCH(orders[[#This Row],[Customer_Country]], Region_Map[Country], 0)), "Unknown")</f>
        <v>Baltics</v>
      </c>
      <c r="H3139" t="s">
        <v>6949</v>
      </c>
    </row>
    <row r="3140" spans="1:8">
      <c r="A3140" t="s">
        <v>4044</v>
      </c>
      <c r="B3140" t="s">
        <v>602</v>
      </c>
      <c r="C3140" s="1">
        <v>45304</v>
      </c>
      <c r="D3140" s="1" t="str">
        <f>PROPER(orders[[#This Row],[order_priority]])</f>
        <v>Economy</v>
      </c>
      <c r="E3140" t="s">
        <v>13328</v>
      </c>
      <c r="F3140" t="str">
        <f>IFERROR(INDEX(customers[country], MATCH(orders[[#This Row],[customer_id]], customers[customer_id], 0)), "Unmapped")</f>
        <v>Poland</v>
      </c>
      <c r="G3140" t="str">
        <f>IFERROR(INDEX(Region_Map[Region], MATCH(orders[[#This Row],[Customer_Country]], Region_Map[Country], 0)), "Unknown")</f>
        <v>Central Europe</v>
      </c>
      <c r="H3140" t="s">
        <v>6949</v>
      </c>
    </row>
    <row r="3141" spans="1:8">
      <c r="A3141" t="s">
        <v>4045</v>
      </c>
      <c r="B3141" t="s">
        <v>24</v>
      </c>
      <c r="C3141" s="1">
        <v>45487</v>
      </c>
      <c r="D3141" s="1" t="str">
        <f>PROPER(orders[[#This Row],[order_priority]])</f>
        <v>Standard</v>
      </c>
      <c r="E3141" t="s">
        <v>13317</v>
      </c>
      <c r="F3141" t="str">
        <f>IFERROR(INDEX(customers[country], MATCH(orders[[#This Row],[customer_id]], customers[customer_id], 0)), "Unmapped")</f>
        <v>Sweden</v>
      </c>
      <c r="G3141" t="str">
        <f>IFERROR(INDEX(Region_Map[Region], MATCH(orders[[#This Row],[Customer_Country]], Region_Map[Country], 0)), "Unknown")</f>
        <v>Nordics</v>
      </c>
      <c r="H3141" t="s">
        <v>6949</v>
      </c>
    </row>
    <row r="3142" spans="1:8">
      <c r="A3142" t="s">
        <v>4046</v>
      </c>
      <c r="B3142" t="s">
        <v>461</v>
      </c>
      <c r="C3142" s="1">
        <v>45595</v>
      </c>
      <c r="D3142" s="1" t="str">
        <f>PROPER(orders[[#This Row],[order_priority]])</f>
        <v>Express</v>
      </c>
      <c r="E3142" t="s">
        <v>13318</v>
      </c>
      <c r="F3142" t="str">
        <f>IFERROR(INDEX(customers[country], MATCH(orders[[#This Row],[customer_id]], customers[customer_id], 0)), "Unmapped")</f>
        <v>Latvia</v>
      </c>
      <c r="G3142" t="str">
        <f>IFERROR(INDEX(Region_Map[Region], MATCH(orders[[#This Row],[Customer_Country]], Region_Map[Country], 0)), "Unknown")</f>
        <v>Baltics</v>
      </c>
      <c r="H3142" t="s">
        <v>6949</v>
      </c>
    </row>
    <row r="3143" spans="1:8">
      <c r="A3143" t="s">
        <v>4047</v>
      </c>
      <c r="B3143" t="s">
        <v>434</v>
      </c>
      <c r="C3143" s="1">
        <v>45076</v>
      </c>
      <c r="D3143" s="1" t="str">
        <f>PROPER(orders[[#This Row],[order_priority]])</f>
        <v>Express</v>
      </c>
      <c r="E3143" t="s">
        <v>13318</v>
      </c>
      <c r="F3143" t="str">
        <f>IFERROR(INDEX(customers[country], MATCH(orders[[#This Row],[customer_id]], customers[customer_id], 0)), "Unmapped")</f>
        <v>Lithuania</v>
      </c>
      <c r="G3143" t="str">
        <f>IFERROR(INDEX(Region_Map[Region], MATCH(orders[[#This Row],[Customer_Country]], Region_Map[Country], 0)), "Unknown")</f>
        <v>Baltics</v>
      </c>
      <c r="H3143" t="s">
        <v>6949</v>
      </c>
    </row>
    <row r="3144" spans="1:8">
      <c r="A3144" t="s">
        <v>4048</v>
      </c>
      <c r="B3144" t="s">
        <v>557</v>
      </c>
      <c r="C3144" s="1">
        <v>45192</v>
      </c>
      <c r="D3144" s="1" t="str">
        <f>PROPER(orders[[#This Row],[order_priority]])</f>
        <v>Standard</v>
      </c>
      <c r="E3144" t="s">
        <v>13317</v>
      </c>
      <c r="F3144" t="str">
        <f>IFERROR(INDEX(customers[country], MATCH(orders[[#This Row],[customer_id]], customers[customer_id], 0)), "Unmapped")</f>
        <v>Norway</v>
      </c>
      <c r="G3144" t="str">
        <f>IFERROR(INDEX(Region_Map[Region], MATCH(orders[[#This Row],[Customer_Country]], Region_Map[Country], 0)), "Unknown")</f>
        <v>Nordics</v>
      </c>
      <c r="H3144" t="s">
        <v>6949</v>
      </c>
    </row>
    <row r="3145" spans="1:8">
      <c r="A3145" t="s">
        <v>4049</v>
      </c>
      <c r="B3145" t="s">
        <v>237</v>
      </c>
      <c r="C3145" s="1">
        <v>45557</v>
      </c>
      <c r="D3145" s="1" t="str">
        <f>PROPER(orders[[#This Row],[order_priority]])</f>
        <v>Express</v>
      </c>
      <c r="E3145" t="s">
        <v>13318</v>
      </c>
      <c r="F3145" t="str">
        <f>IFERROR(INDEX(customers[country], MATCH(orders[[#This Row],[customer_id]], customers[customer_id], 0)), "Unmapped")</f>
        <v>Sweden</v>
      </c>
      <c r="G3145" t="str">
        <f>IFERROR(INDEX(Region_Map[Region], MATCH(orders[[#This Row],[Customer_Country]], Region_Map[Country], 0)), "Unknown")</f>
        <v>Nordics</v>
      </c>
      <c r="H3145" t="s">
        <v>6949</v>
      </c>
    </row>
    <row r="3146" spans="1:8">
      <c r="A3146" t="s">
        <v>4050</v>
      </c>
      <c r="B3146" t="s">
        <v>80</v>
      </c>
      <c r="C3146" s="1">
        <v>45359</v>
      </c>
      <c r="D3146" s="1" t="str">
        <f>PROPER(orders[[#This Row],[order_priority]])</f>
        <v>Standard</v>
      </c>
      <c r="E3146" t="s">
        <v>13319</v>
      </c>
      <c r="F3146" t="str">
        <f>IFERROR(INDEX(customers[country], MATCH(orders[[#This Row],[customer_id]], customers[customer_id], 0)), "Unmapped")</f>
        <v>Finland</v>
      </c>
      <c r="G3146" t="str">
        <f>IFERROR(INDEX(Region_Map[Region], MATCH(orders[[#This Row],[Customer_Country]], Region_Map[Country], 0)), "Unknown")</f>
        <v>Nordics</v>
      </c>
      <c r="H3146" t="s">
        <v>6949</v>
      </c>
    </row>
    <row r="3147" spans="1:8">
      <c r="A3147" t="s">
        <v>4051</v>
      </c>
      <c r="B3147" t="s">
        <v>27</v>
      </c>
      <c r="C3147" s="1">
        <v>45514</v>
      </c>
      <c r="D3147" s="1" t="str">
        <f>PROPER(orders[[#This Row],[order_priority]])</f>
        <v>Express</v>
      </c>
      <c r="E3147" t="s">
        <v>13320</v>
      </c>
      <c r="F3147" t="str">
        <f>IFERROR(INDEX(customers[country], MATCH(orders[[#This Row],[customer_id]], customers[customer_id], 0)), "Unmapped")</f>
        <v>Latvia</v>
      </c>
      <c r="G3147" t="str">
        <f>IFERROR(INDEX(Region_Map[Region], MATCH(orders[[#This Row],[Customer_Country]], Region_Map[Country], 0)), "Unknown")</f>
        <v>Baltics</v>
      </c>
      <c r="H3147" t="s">
        <v>6949</v>
      </c>
    </row>
    <row r="3148" spans="1:8">
      <c r="A3148" t="s">
        <v>4052</v>
      </c>
      <c r="B3148" t="s">
        <v>121</v>
      </c>
      <c r="C3148" s="1">
        <v>45194</v>
      </c>
      <c r="D3148" s="1" t="str">
        <f>PROPER(orders[[#This Row],[order_priority]])</f>
        <v>Economy</v>
      </c>
      <c r="E3148" t="s">
        <v>13316</v>
      </c>
      <c r="F3148" t="str">
        <f>IFERROR(INDEX(customers[country], MATCH(orders[[#This Row],[customer_id]], customers[customer_id], 0)), "Unmapped")</f>
        <v>Estonia</v>
      </c>
      <c r="G3148" t="str">
        <f>IFERROR(INDEX(Region_Map[Region], MATCH(orders[[#This Row],[Customer_Country]], Region_Map[Country], 0)), "Unknown")</f>
        <v>Baltics</v>
      </c>
      <c r="H3148" t="s">
        <v>6949</v>
      </c>
    </row>
    <row r="3149" spans="1:8">
      <c r="A3149" t="s">
        <v>4053</v>
      </c>
      <c r="B3149" t="s">
        <v>380</v>
      </c>
      <c r="C3149" s="1">
        <v>44960</v>
      </c>
      <c r="D3149" s="1" t="str">
        <f>PROPER(orders[[#This Row],[order_priority]])</f>
        <v>Express</v>
      </c>
      <c r="E3149" t="s">
        <v>13318</v>
      </c>
      <c r="F3149" t="str">
        <f>IFERROR(INDEX(customers[country], MATCH(orders[[#This Row],[customer_id]], customers[customer_id], 0)), "Unmapped")</f>
        <v>Sweden</v>
      </c>
      <c r="G3149" t="str">
        <f>IFERROR(INDEX(Region_Map[Region], MATCH(orders[[#This Row],[Customer_Country]], Region_Map[Country], 0)), "Unknown")</f>
        <v>Nordics</v>
      </c>
      <c r="H3149" t="s">
        <v>6949</v>
      </c>
    </row>
    <row r="3150" spans="1:8">
      <c r="A3150" t="s">
        <v>4054</v>
      </c>
      <c r="B3150" t="s">
        <v>894</v>
      </c>
      <c r="C3150" s="1">
        <v>45140</v>
      </c>
      <c r="D3150" s="1" t="str">
        <f>PROPER(orders[[#This Row],[order_priority]])</f>
        <v>Economy</v>
      </c>
      <c r="E3150" t="s">
        <v>13316</v>
      </c>
      <c r="F3150" t="str">
        <f>IFERROR(INDEX(customers[country], MATCH(orders[[#This Row],[customer_id]], customers[customer_id], 0)), "Unmapped")</f>
        <v>Poland</v>
      </c>
      <c r="G3150" t="str">
        <f>IFERROR(INDEX(Region_Map[Region], MATCH(orders[[#This Row],[Customer_Country]], Region_Map[Country], 0)), "Unknown")</f>
        <v>Central Europe</v>
      </c>
      <c r="H3150" t="s">
        <v>6949</v>
      </c>
    </row>
    <row r="3151" spans="1:8">
      <c r="A3151" t="s">
        <v>4055</v>
      </c>
      <c r="B3151" t="s">
        <v>473</v>
      </c>
      <c r="C3151" s="1">
        <v>45331</v>
      </c>
      <c r="D3151" s="1" t="str">
        <f>PROPER(orders[[#This Row],[order_priority]])</f>
        <v>Economy</v>
      </c>
      <c r="E3151" t="s">
        <v>13316</v>
      </c>
      <c r="F3151" t="str">
        <f>IFERROR(INDEX(customers[country], MATCH(orders[[#This Row],[customer_id]], customers[customer_id], 0)), "Unmapped")</f>
        <v>Netherlands</v>
      </c>
      <c r="G3151" t="str">
        <f>IFERROR(INDEX(Region_Map[Region], MATCH(orders[[#This Row],[Customer_Country]], Region_Map[Country], 0)), "Unknown")</f>
        <v>Central Europe</v>
      </c>
      <c r="H3151" t="s">
        <v>6949</v>
      </c>
    </row>
    <row r="3152" spans="1:8">
      <c r="A3152" t="s">
        <v>4056</v>
      </c>
      <c r="B3152" t="s">
        <v>784</v>
      </c>
      <c r="C3152" s="1">
        <v>45034</v>
      </c>
      <c r="D3152" s="1" t="str">
        <f>PROPER(orders[[#This Row],[order_priority]])</f>
        <v>Same Day</v>
      </c>
      <c r="E3152" t="s">
        <v>13322</v>
      </c>
      <c r="F3152" t="str">
        <f>IFERROR(INDEX(customers[country], MATCH(orders[[#This Row],[customer_id]], customers[customer_id], 0)), "Unmapped")</f>
        <v>Estonia</v>
      </c>
      <c r="G3152" t="str">
        <f>IFERROR(INDEX(Region_Map[Region], MATCH(orders[[#This Row],[Customer_Country]], Region_Map[Country], 0)), "Unknown")</f>
        <v>Baltics</v>
      </c>
      <c r="H3152" t="s">
        <v>6949</v>
      </c>
    </row>
    <row r="3153" spans="1:8">
      <c r="A3153" t="s">
        <v>4057</v>
      </c>
      <c r="B3153" t="s">
        <v>769</v>
      </c>
      <c r="C3153" s="1">
        <v>45193</v>
      </c>
      <c r="D3153" s="1" t="str">
        <f>PROPER(orders[[#This Row],[order_priority]])</f>
        <v>Standard</v>
      </c>
      <c r="E3153" t="s">
        <v>13319</v>
      </c>
      <c r="F3153" t="str">
        <f>IFERROR(INDEX(customers[country], MATCH(orders[[#This Row],[customer_id]], customers[customer_id], 0)), "Unmapped")</f>
        <v>Latvia</v>
      </c>
      <c r="G3153" t="str">
        <f>IFERROR(INDEX(Region_Map[Region], MATCH(orders[[#This Row],[Customer_Country]], Region_Map[Country], 0)), "Unknown")</f>
        <v>Baltics</v>
      </c>
      <c r="H3153" t="s">
        <v>6949</v>
      </c>
    </row>
    <row r="3154" spans="1:8">
      <c r="A3154" t="s">
        <v>4058</v>
      </c>
      <c r="B3154" t="s">
        <v>243</v>
      </c>
      <c r="C3154" s="1">
        <v>45295</v>
      </c>
      <c r="D3154" s="1" t="str">
        <f>PROPER(orders[[#This Row],[order_priority]])</f>
        <v>Economy</v>
      </c>
      <c r="E3154" t="s">
        <v>13316</v>
      </c>
      <c r="F3154" t="str">
        <f>IFERROR(INDEX(customers[country], MATCH(orders[[#This Row],[customer_id]], customers[customer_id], 0)), "Unmapped")</f>
        <v>Netherlands</v>
      </c>
      <c r="G3154" t="str">
        <f>IFERROR(INDEX(Region_Map[Region], MATCH(orders[[#This Row],[Customer_Country]], Region_Map[Country], 0)), "Unknown")</f>
        <v>Central Europe</v>
      </c>
      <c r="H3154" t="s">
        <v>6949</v>
      </c>
    </row>
    <row r="3155" spans="1:8">
      <c r="A3155" t="s">
        <v>4059</v>
      </c>
      <c r="B3155" t="s">
        <v>533</v>
      </c>
      <c r="C3155" s="1">
        <v>45090</v>
      </c>
      <c r="D3155" s="1" t="str">
        <f>PROPER(orders[[#This Row],[order_priority]])</f>
        <v>Same Day</v>
      </c>
      <c r="E3155" t="s">
        <v>13322</v>
      </c>
      <c r="F3155" t="str">
        <f>IFERROR(INDEX(customers[country], MATCH(orders[[#This Row],[customer_id]], customers[customer_id], 0)), "Unmapped")</f>
        <v>Germany</v>
      </c>
      <c r="G3155" t="str">
        <f>IFERROR(INDEX(Region_Map[Region], MATCH(orders[[#This Row],[Customer_Country]], Region_Map[Country], 0)), "Unknown")</f>
        <v>Central Europe</v>
      </c>
      <c r="H3155" t="s">
        <v>6949</v>
      </c>
    </row>
    <row r="3156" spans="1:8">
      <c r="A3156" t="s">
        <v>4060</v>
      </c>
      <c r="B3156" t="s">
        <v>64</v>
      </c>
      <c r="C3156" s="1">
        <v>44977</v>
      </c>
      <c r="D3156" s="1" t="str">
        <f>PROPER(orders[[#This Row],[order_priority]])</f>
        <v>Standard</v>
      </c>
      <c r="E3156" t="s">
        <v>13317</v>
      </c>
      <c r="F3156" t="str">
        <f>IFERROR(INDEX(customers[country], MATCH(orders[[#This Row],[customer_id]], customers[customer_id], 0)), "Unmapped")</f>
        <v>Netherlands</v>
      </c>
      <c r="G3156" t="str">
        <f>IFERROR(INDEX(Region_Map[Region], MATCH(orders[[#This Row],[Customer_Country]], Region_Map[Country], 0)), "Unknown")</f>
        <v>Central Europe</v>
      </c>
      <c r="H3156" t="s">
        <v>6949</v>
      </c>
    </row>
    <row r="3157" spans="1:8">
      <c r="A3157" t="s">
        <v>4061</v>
      </c>
      <c r="B3157" t="s">
        <v>843</v>
      </c>
      <c r="C3157" s="1">
        <v>45175</v>
      </c>
      <c r="D3157" s="1" t="str">
        <f>PROPER(orders[[#This Row],[order_priority]])</f>
        <v>Express</v>
      </c>
      <c r="E3157" t="s">
        <v>13320</v>
      </c>
      <c r="F3157" t="str">
        <f>IFERROR(INDEX(customers[country], MATCH(orders[[#This Row],[customer_id]], customers[customer_id], 0)), "Unmapped")</f>
        <v>Netherlands</v>
      </c>
      <c r="G3157" t="str">
        <f>IFERROR(INDEX(Region_Map[Region], MATCH(orders[[#This Row],[Customer_Country]], Region_Map[Country], 0)), "Unknown")</f>
        <v>Central Europe</v>
      </c>
      <c r="H3157" t="s">
        <v>6949</v>
      </c>
    </row>
    <row r="3158" spans="1:8">
      <c r="A3158" t="s">
        <v>4062</v>
      </c>
      <c r="B3158" t="s">
        <v>473</v>
      </c>
      <c r="C3158" s="1">
        <v>45323</v>
      </c>
      <c r="D3158" s="1" t="str">
        <f>PROPER(orders[[#This Row],[order_priority]])</f>
        <v>Same Day</v>
      </c>
      <c r="E3158" t="s">
        <v>13324</v>
      </c>
      <c r="F3158" t="str">
        <f>IFERROR(INDEX(customers[country], MATCH(orders[[#This Row],[customer_id]], customers[customer_id], 0)), "Unmapped")</f>
        <v>Netherlands</v>
      </c>
      <c r="G3158" t="str">
        <f>IFERROR(INDEX(Region_Map[Region], MATCH(orders[[#This Row],[Customer_Country]], Region_Map[Country], 0)), "Unknown")</f>
        <v>Central Europe</v>
      </c>
      <c r="H3158" t="s">
        <v>6949</v>
      </c>
    </row>
    <row r="3159" spans="1:8">
      <c r="A3159" t="s">
        <v>4063</v>
      </c>
      <c r="B3159" t="s">
        <v>246</v>
      </c>
      <c r="C3159" s="1">
        <v>45542</v>
      </c>
      <c r="D3159" s="1" t="str">
        <f>PROPER(orders[[#This Row],[order_priority]])</f>
        <v>Express</v>
      </c>
      <c r="E3159" t="s">
        <v>13320</v>
      </c>
      <c r="F3159" t="str">
        <f>IFERROR(INDEX(customers[country], MATCH(orders[[#This Row],[customer_id]], customers[customer_id], 0)), "Unmapped")</f>
        <v>Netherlands</v>
      </c>
      <c r="G3159" t="str">
        <f>IFERROR(INDEX(Region_Map[Region], MATCH(orders[[#This Row],[Customer_Country]], Region_Map[Country], 0)), "Unknown")</f>
        <v>Central Europe</v>
      </c>
      <c r="H3159" t="s">
        <v>6949</v>
      </c>
    </row>
    <row r="3160" spans="1:8">
      <c r="A3160" t="s">
        <v>4064</v>
      </c>
      <c r="B3160" t="s">
        <v>320</v>
      </c>
      <c r="C3160" s="1">
        <v>45053</v>
      </c>
      <c r="D3160" s="1" t="str">
        <f>PROPER(orders[[#This Row],[order_priority]])</f>
        <v>Express</v>
      </c>
      <c r="E3160" t="s">
        <v>13318</v>
      </c>
      <c r="F3160" t="str">
        <f>IFERROR(INDEX(customers[country], MATCH(orders[[#This Row],[customer_id]], customers[customer_id], 0)), "Unmapped")</f>
        <v>Sweden</v>
      </c>
      <c r="G3160" t="str">
        <f>IFERROR(INDEX(Region_Map[Region], MATCH(orders[[#This Row],[Customer_Country]], Region_Map[Country], 0)), "Unknown")</f>
        <v>Nordics</v>
      </c>
      <c r="H3160" t="s">
        <v>6949</v>
      </c>
    </row>
    <row r="3161" spans="1:8">
      <c r="A3161" t="s">
        <v>4065</v>
      </c>
      <c r="B3161" t="s">
        <v>816</v>
      </c>
      <c r="C3161" s="1">
        <v>45610</v>
      </c>
      <c r="D3161" s="1" t="str">
        <f>PROPER(orders[[#This Row],[order_priority]])</f>
        <v>Economy</v>
      </c>
      <c r="E3161" t="s">
        <v>13316</v>
      </c>
      <c r="F3161" t="str">
        <f>IFERROR(INDEX(customers[country], MATCH(orders[[#This Row],[customer_id]], customers[customer_id], 0)), "Unmapped")</f>
        <v>Lithuania</v>
      </c>
      <c r="G3161" t="str">
        <f>IFERROR(INDEX(Region_Map[Region], MATCH(orders[[#This Row],[Customer_Country]], Region_Map[Country], 0)), "Unknown")</f>
        <v>Baltics</v>
      </c>
      <c r="H3161" t="s">
        <v>6949</v>
      </c>
    </row>
    <row r="3162" spans="1:8">
      <c r="A3162" t="s">
        <v>4066</v>
      </c>
      <c r="B3162" t="s">
        <v>67</v>
      </c>
      <c r="C3162" s="1">
        <v>45063</v>
      </c>
      <c r="D3162" s="1" t="str">
        <f>PROPER(orders[[#This Row],[order_priority]])</f>
        <v>Express</v>
      </c>
      <c r="E3162" t="s">
        <v>13318</v>
      </c>
      <c r="F3162" t="str">
        <f>IFERROR(INDEX(customers[country], MATCH(orders[[#This Row],[customer_id]], customers[customer_id], 0)), "Unmapped")</f>
        <v>Estonia</v>
      </c>
      <c r="G3162" t="str">
        <f>IFERROR(INDEX(Region_Map[Region], MATCH(orders[[#This Row],[Customer_Country]], Region_Map[Country], 0)), "Unknown")</f>
        <v>Baltics</v>
      </c>
      <c r="H3162" t="s">
        <v>6949</v>
      </c>
    </row>
    <row r="3163" spans="1:8">
      <c r="A3163" t="s">
        <v>4067</v>
      </c>
      <c r="B3163" t="s">
        <v>431</v>
      </c>
      <c r="C3163" s="1">
        <v>45345</v>
      </c>
      <c r="D3163" s="1" t="str">
        <f>PROPER(orders[[#This Row],[order_priority]])</f>
        <v>Economy</v>
      </c>
      <c r="E3163" t="s">
        <v>13316</v>
      </c>
      <c r="F3163" t="str">
        <f>IFERROR(INDEX(customers[country], MATCH(orders[[#This Row],[customer_id]], customers[customer_id], 0)), "Unmapped")</f>
        <v>Sweden</v>
      </c>
      <c r="G3163" t="str">
        <f>IFERROR(INDEX(Region_Map[Region], MATCH(orders[[#This Row],[Customer_Country]], Region_Map[Country], 0)), "Unknown")</f>
        <v>Nordics</v>
      </c>
      <c r="H3163" t="s">
        <v>6949</v>
      </c>
    </row>
    <row r="3164" spans="1:8">
      <c r="A3164" t="s">
        <v>4068</v>
      </c>
      <c r="B3164" t="s">
        <v>326</v>
      </c>
      <c r="C3164" s="1">
        <v>45278</v>
      </c>
      <c r="D3164" s="1" t="str">
        <f>PROPER(orders[[#This Row],[order_priority]])</f>
        <v>Express</v>
      </c>
      <c r="E3164" t="s">
        <v>13320</v>
      </c>
      <c r="F3164" t="str">
        <f>IFERROR(INDEX(customers[country], MATCH(orders[[#This Row],[customer_id]], customers[customer_id], 0)), "Unmapped")</f>
        <v>Lithuania</v>
      </c>
      <c r="G3164" t="str">
        <f>IFERROR(INDEX(Region_Map[Region], MATCH(orders[[#This Row],[Customer_Country]], Region_Map[Country], 0)), "Unknown")</f>
        <v>Baltics</v>
      </c>
      <c r="H3164" t="s">
        <v>6949</v>
      </c>
    </row>
    <row r="3165" spans="1:8">
      <c r="A3165" t="s">
        <v>4069</v>
      </c>
      <c r="B3165" t="s">
        <v>300</v>
      </c>
      <c r="C3165" s="1">
        <v>44931</v>
      </c>
      <c r="D3165" s="1" t="str">
        <f>PROPER(orders[[#This Row],[order_priority]])</f>
        <v>Standard</v>
      </c>
      <c r="E3165" t="s">
        <v>13317</v>
      </c>
      <c r="F3165" t="str">
        <f>IFERROR(INDEX(customers[country], MATCH(orders[[#This Row],[customer_id]], customers[customer_id], 0)), "Unmapped")</f>
        <v>Poland</v>
      </c>
      <c r="G3165" t="str">
        <f>IFERROR(INDEX(Region_Map[Region], MATCH(orders[[#This Row],[Customer_Country]], Region_Map[Country], 0)), "Unknown")</f>
        <v>Central Europe</v>
      </c>
      <c r="H3165" t="s">
        <v>6949</v>
      </c>
    </row>
    <row r="3166" spans="1:8">
      <c r="A3166" t="s">
        <v>4070</v>
      </c>
      <c r="B3166" t="s">
        <v>13332</v>
      </c>
      <c r="C3166" s="1">
        <v>45344</v>
      </c>
      <c r="D3166" s="1" t="str">
        <f>PROPER(orders[[#This Row],[order_priority]])</f>
        <v>Economy</v>
      </c>
      <c r="E3166" t="s">
        <v>13316</v>
      </c>
      <c r="F3166" t="str">
        <f>IFERROR(INDEX(customers[country], MATCH(orders[[#This Row],[customer_id]], customers[customer_id], 0)), "Unmapped")</f>
        <v>Unmapped</v>
      </c>
      <c r="G3166" t="str">
        <f>IFERROR(INDEX(Region_Map[Region], MATCH(orders[[#This Row],[Customer_Country]], Region_Map[Country], 0)), "Unknown")</f>
        <v>Unknown</v>
      </c>
      <c r="H3166" t="s">
        <v>6949</v>
      </c>
    </row>
    <row r="3167" spans="1:8">
      <c r="A3167" t="s">
        <v>4071</v>
      </c>
      <c r="B3167" t="s">
        <v>775</v>
      </c>
      <c r="C3167" s="1">
        <v>45334</v>
      </c>
      <c r="D3167" s="1" t="str">
        <f>PROPER(orders[[#This Row],[order_priority]])</f>
        <v>Same Day</v>
      </c>
      <c r="E3167" t="s">
        <v>13322</v>
      </c>
      <c r="F3167" t="str">
        <f>IFERROR(INDEX(customers[country], MATCH(orders[[#This Row],[customer_id]], customers[customer_id], 0)), "Unmapped")</f>
        <v>Sweden</v>
      </c>
      <c r="G3167" t="str">
        <f>IFERROR(INDEX(Region_Map[Region], MATCH(orders[[#This Row],[Customer_Country]], Region_Map[Country], 0)), "Unknown")</f>
        <v>Nordics</v>
      </c>
      <c r="H3167" t="s">
        <v>6949</v>
      </c>
    </row>
    <row r="3168" spans="1:8">
      <c r="A3168" t="s">
        <v>4072</v>
      </c>
      <c r="B3168" t="s">
        <v>270</v>
      </c>
      <c r="C3168" s="1">
        <v>44958</v>
      </c>
      <c r="D3168" s="1" t="str">
        <f>PROPER(orders[[#This Row],[order_priority]])</f>
        <v>Same Day</v>
      </c>
      <c r="E3168" t="s">
        <v>13322</v>
      </c>
      <c r="F3168" t="str">
        <f>IFERROR(INDEX(customers[country], MATCH(orders[[#This Row],[customer_id]], customers[customer_id], 0)), "Unmapped")</f>
        <v>Poland</v>
      </c>
      <c r="G3168" t="str">
        <f>IFERROR(INDEX(Region_Map[Region], MATCH(orders[[#This Row],[Customer_Country]], Region_Map[Country], 0)), "Unknown")</f>
        <v>Central Europe</v>
      </c>
      <c r="H3168" t="s">
        <v>6949</v>
      </c>
    </row>
    <row r="3169" spans="1:8">
      <c r="A3169" t="s">
        <v>4073</v>
      </c>
      <c r="B3169" t="s">
        <v>772</v>
      </c>
      <c r="C3169" s="1">
        <v>45012</v>
      </c>
      <c r="D3169" s="1" t="str">
        <f>PROPER(orders[[#This Row],[order_priority]])</f>
        <v>Standard</v>
      </c>
      <c r="E3169" t="s">
        <v>13317</v>
      </c>
      <c r="F3169" t="str">
        <f>IFERROR(INDEX(customers[country], MATCH(orders[[#This Row],[customer_id]], customers[customer_id], 0)), "Unmapped")</f>
        <v>Estonia</v>
      </c>
      <c r="G3169" t="str">
        <f>IFERROR(INDEX(Region_Map[Region], MATCH(orders[[#This Row],[Customer_Country]], Region_Map[Country], 0)), "Unknown")</f>
        <v>Baltics</v>
      </c>
      <c r="H3169" t="s">
        <v>6949</v>
      </c>
    </row>
    <row r="3170" spans="1:8">
      <c r="A3170" t="s">
        <v>4074</v>
      </c>
      <c r="B3170" t="s">
        <v>822</v>
      </c>
      <c r="C3170" s="1">
        <v>45300</v>
      </c>
      <c r="D3170" s="1" t="str">
        <f>PROPER(orders[[#This Row],[order_priority]])</f>
        <v>Standard</v>
      </c>
      <c r="E3170" t="s">
        <v>13317</v>
      </c>
      <c r="F3170" t="str">
        <f>IFERROR(INDEX(customers[country], MATCH(orders[[#This Row],[customer_id]], customers[customer_id], 0)), "Unmapped")</f>
        <v>Netherlands</v>
      </c>
      <c r="G3170" t="str">
        <f>IFERROR(INDEX(Region_Map[Region], MATCH(orders[[#This Row],[Customer_Country]], Region_Map[Country], 0)), "Unknown")</f>
        <v>Central Europe</v>
      </c>
      <c r="H3170" t="s">
        <v>6949</v>
      </c>
    </row>
    <row r="3171" spans="1:8">
      <c r="A3171" t="s">
        <v>4075</v>
      </c>
      <c r="B3171" t="s">
        <v>655</v>
      </c>
      <c r="C3171" s="1">
        <v>45387</v>
      </c>
      <c r="D3171" s="1" t="str">
        <f>PROPER(orders[[#This Row],[order_priority]])</f>
        <v>Standard</v>
      </c>
      <c r="E3171" t="s">
        <v>13317</v>
      </c>
      <c r="F3171" t="str">
        <f>IFERROR(INDEX(customers[country], MATCH(orders[[#This Row],[customer_id]], customers[customer_id], 0)), "Unmapped")</f>
        <v>Sweden</v>
      </c>
      <c r="G3171" t="str">
        <f>IFERROR(INDEX(Region_Map[Region], MATCH(orders[[#This Row],[Customer_Country]], Region_Map[Country], 0)), "Unknown")</f>
        <v>Nordics</v>
      </c>
      <c r="H3171" t="s">
        <v>6949</v>
      </c>
    </row>
    <row r="3172" spans="1:8">
      <c r="A3172" t="s">
        <v>4076</v>
      </c>
      <c r="B3172" t="s">
        <v>703</v>
      </c>
      <c r="C3172" s="1">
        <v>45624</v>
      </c>
      <c r="D3172" s="1" t="str">
        <f>PROPER(orders[[#This Row],[order_priority]])</f>
        <v>Economy</v>
      </c>
      <c r="E3172" t="s">
        <v>13325</v>
      </c>
      <c r="F3172" t="str">
        <f>IFERROR(INDEX(customers[country], MATCH(orders[[#This Row],[customer_id]], customers[customer_id], 0)), "Unmapped")</f>
        <v>Estonia</v>
      </c>
      <c r="G3172" t="str">
        <f>IFERROR(INDEX(Region_Map[Region], MATCH(orders[[#This Row],[Customer_Country]], Region_Map[Country], 0)), "Unknown")</f>
        <v>Baltics</v>
      </c>
      <c r="H3172" t="s">
        <v>6949</v>
      </c>
    </row>
    <row r="3173" spans="1:8">
      <c r="A3173" t="s">
        <v>4077</v>
      </c>
      <c r="B3173" t="s">
        <v>19</v>
      </c>
      <c r="C3173" s="1">
        <v>45484</v>
      </c>
      <c r="D3173" s="1" t="str">
        <f>PROPER(orders[[#This Row],[order_priority]])</f>
        <v>Same Day</v>
      </c>
      <c r="E3173" t="s">
        <v>13322</v>
      </c>
      <c r="F3173" t="str">
        <f>IFERROR(INDEX(customers[country], MATCH(orders[[#This Row],[customer_id]], customers[customer_id], 0)), "Unmapped")</f>
        <v>Poland</v>
      </c>
      <c r="G3173" t="str">
        <f>IFERROR(INDEX(Region_Map[Region], MATCH(orders[[#This Row],[Customer_Country]], Region_Map[Country], 0)), "Unknown")</f>
        <v>Central Europe</v>
      </c>
      <c r="H3173" t="s">
        <v>6949</v>
      </c>
    </row>
    <row r="3174" spans="1:8">
      <c r="A3174" t="s">
        <v>4078</v>
      </c>
      <c r="B3174" t="s">
        <v>15</v>
      </c>
      <c r="C3174" s="1">
        <v>45575</v>
      </c>
      <c r="D3174" s="1" t="str">
        <f>PROPER(orders[[#This Row],[order_priority]])</f>
        <v>Standard</v>
      </c>
      <c r="E3174" t="s">
        <v>13317</v>
      </c>
      <c r="F3174" t="str">
        <f>IFERROR(INDEX(customers[country], MATCH(orders[[#This Row],[customer_id]], customers[customer_id], 0)), "Unmapped")</f>
        <v>Estonia</v>
      </c>
      <c r="G3174" t="str">
        <f>IFERROR(INDEX(Region_Map[Region], MATCH(orders[[#This Row],[Customer_Country]], Region_Map[Country], 0)), "Unknown")</f>
        <v>Baltics</v>
      </c>
      <c r="H3174" t="s">
        <v>6949</v>
      </c>
    </row>
    <row r="3175" spans="1:8">
      <c r="A3175" t="s">
        <v>4079</v>
      </c>
      <c r="B3175" t="s">
        <v>470</v>
      </c>
      <c r="C3175" s="1">
        <v>45234</v>
      </c>
      <c r="D3175" s="1" t="str">
        <f>PROPER(orders[[#This Row],[order_priority]])</f>
        <v>Economy</v>
      </c>
      <c r="E3175" t="s">
        <v>13316</v>
      </c>
      <c r="F3175" t="str">
        <f>IFERROR(INDEX(customers[country], MATCH(orders[[#This Row],[customer_id]], customers[customer_id], 0)), "Unmapped")</f>
        <v>Norway</v>
      </c>
      <c r="G3175" t="str">
        <f>IFERROR(INDEX(Region_Map[Region], MATCH(orders[[#This Row],[Customer_Country]], Region_Map[Country], 0)), "Unknown")</f>
        <v>Nordics</v>
      </c>
      <c r="H3175" t="s">
        <v>6949</v>
      </c>
    </row>
    <row r="3176" spans="1:8">
      <c r="A3176" t="s">
        <v>4080</v>
      </c>
      <c r="B3176" t="s">
        <v>389</v>
      </c>
      <c r="C3176" s="1">
        <v>45565</v>
      </c>
      <c r="D3176" s="1" t="str">
        <f>PROPER(orders[[#This Row],[order_priority]])</f>
        <v>Express</v>
      </c>
      <c r="E3176" t="s">
        <v>13318</v>
      </c>
      <c r="F3176" t="str">
        <f>IFERROR(INDEX(customers[country], MATCH(orders[[#This Row],[customer_id]], customers[customer_id], 0)), "Unmapped")</f>
        <v>Poland</v>
      </c>
      <c r="G3176" t="str">
        <f>IFERROR(INDEX(Region_Map[Region], MATCH(orders[[#This Row],[Customer_Country]], Region_Map[Country], 0)), "Unknown")</f>
        <v>Central Europe</v>
      </c>
      <c r="H3176" t="s">
        <v>6949</v>
      </c>
    </row>
    <row r="3177" spans="1:8">
      <c r="A3177" t="s">
        <v>4081</v>
      </c>
      <c r="B3177" t="s">
        <v>55</v>
      </c>
      <c r="C3177" s="1">
        <v>45197</v>
      </c>
      <c r="D3177" s="1" t="str">
        <f>PROPER(orders[[#This Row],[order_priority]])</f>
        <v>Standard</v>
      </c>
      <c r="E3177" t="s">
        <v>13317</v>
      </c>
      <c r="F3177" t="str">
        <f>IFERROR(INDEX(customers[country], MATCH(orders[[#This Row],[customer_id]], customers[customer_id], 0)), "Unmapped")</f>
        <v>Netherlands</v>
      </c>
      <c r="G3177" t="str">
        <f>IFERROR(INDEX(Region_Map[Region], MATCH(orders[[#This Row],[Customer_Country]], Region_Map[Country], 0)), "Unknown")</f>
        <v>Central Europe</v>
      </c>
      <c r="H3177" t="s">
        <v>6949</v>
      </c>
    </row>
    <row r="3178" spans="1:8">
      <c r="A3178" t="s">
        <v>4082</v>
      </c>
      <c r="B3178" t="s">
        <v>99</v>
      </c>
      <c r="C3178" s="1">
        <v>44933</v>
      </c>
      <c r="D3178" s="1" t="str">
        <f>PROPER(orders[[#This Row],[order_priority]])</f>
        <v>Same Day</v>
      </c>
      <c r="E3178" t="s">
        <v>13322</v>
      </c>
      <c r="F3178" t="str">
        <f>IFERROR(INDEX(customers[country], MATCH(orders[[#This Row],[customer_id]], customers[customer_id], 0)), "Unmapped")</f>
        <v>Poland</v>
      </c>
      <c r="G3178" t="str">
        <f>IFERROR(INDEX(Region_Map[Region], MATCH(orders[[#This Row],[Customer_Country]], Region_Map[Country], 0)), "Unknown")</f>
        <v>Central Europe</v>
      </c>
      <c r="H3178" t="s">
        <v>6949</v>
      </c>
    </row>
    <row r="3179" spans="1:8">
      <c r="A3179" t="s">
        <v>4083</v>
      </c>
      <c r="B3179" t="s">
        <v>530</v>
      </c>
      <c r="C3179" s="1">
        <v>45558</v>
      </c>
      <c r="D3179" s="1" t="str">
        <f>PROPER(orders[[#This Row],[order_priority]])</f>
        <v>Express</v>
      </c>
      <c r="E3179" t="s">
        <v>13318</v>
      </c>
      <c r="F3179" t="str">
        <f>IFERROR(INDEX(customers[country], MATCH(orders[[#This Row],[customer_id]], customers[customer_id], 0)), "Unmapped")</f>
        <v>Denmark</v>
      </c>
      <c r="G3179" t="str">
        <f>IFERROR(INDEX(Region_Map[Region], MATCH(orders[[#This Row],[Customer_Country]], Region_Map[Country], 0)), "Unknown")</f>
        <v>Nordics</v>
      </c>
      <c r="H3179" t="s">
        <v>6949</v>
      </c>
    </row>
    <row r="3180" spans="1:8">
      <c r="A3180" t="s">
        <v>4084</v>
      </c>
      <c r="B3180" t="s">
        <v>338</v>
      </c>
      <c r="C3180" s="1">
        <v>45208</v>
      </c>
      <c r="D3180" s="1" t="str">
        <f>PROPER(orders[[#This Row],[order_priority]])</f>
        <v>Same Day</v>
      </c>
      <c r="E3180" t="s">
        <v>13322</v>
      </c>
      <c r="F3180" t="str">
        <f>IFERROR(INDEX(customers[country], MATCH(orders[[#This Row],[customer_id]], customers[customer_id], 0)), "Unmapped")</f>
        <v>Denmark</v>
      </c>
      <c r="G3180" t="str">
        <f>IFERROR(INDEX(Region_Map[Region], MATCH(orders[[#This Row],[Customer_Country]], Region_Map[Country], 0)), "Unknown")</f>
        <v>Nordics</v>
      </c>
      <c r="H3180" t="s">
        <v>6949</v>
      </c>
    </row>
    <row r="3181" spans="1:8">
      <c r="A3181" t="s">
        <v>4085</v>
      </c>
      <c r="B3181" t="s">
        <v>58</v>
      </c>
      <c r="C3181" s="1">
        <v>44975</v>
      </c>
      <c r="D3181" s="1" t="str">
        <f>PROPER(orders[[#This Row],[order_priority]])</f>
        <v>Standard</v>
      </c>
      <c r="E3181" t="s">
        <v>13317</v>
      </c>
      <c r="F3181" t="str">
        <f>IFERROR(INDEX(customers[country], MATCH(orders[[#This Row],[customer_id]], customers[customer_id], 0)), "Unmapped")</f>
        <v>Germany</v>
      </c>
      <c r="G3181" t="str">
        <f>IFERROR(INDEX(Region_Map[Region], MATCH(orders[[#This Row],[Customer_Country]], Region_Map[Country], 0)), "Unknown")</f>
        <v>Central Europe</v>
      </c>
      <c r="H3181" t="s">
        <v>6949</v>
      </c>
    </row>
    <row r="3182" spans="1:8">
      <c r="A3182" t="s">
        <v>4086</v>
      </c>
      <c r="B3182" t="s">
        <v>813</v>
      </c>
      <c r="C3182" s="1">
        <v>45396</v>
      </c>
      <c r="D3182" s="1" t="str">
        <f>PROPER(orders[[#This Row],[order_priority]])</f>
        <v>Same Day</v>
      </c>
      <c r="E3182" t="s">
        <v>13322</v>
      </c>
      <c r="F3182" t="str">
        <f>IFERROR(INDEX(customers[country], MATCH(orders[[#This Row],[customer_id]], customers[customer_id], 0)), "Unmapped")</f>
        <v>Norway</v>
      </c>
      <c r="G3182" t="str">
        <f>IFERROR(INDEX(Region_Map[Region], MATCH(orders[[#This Row],[Customer_Country]], Region_Map[Country], 0)), "Unknown")</f>
        <v>Nordics</v>
      </c>
      <c r="H3182" t="s">
        <v>6949</v>
      </c>
    </row>
    <row r="3183" spans="1:8">
      <c r="A3183" t="s">
        <v>4087</v>
      </c>
      <c r="B3183" t="s">
        <v>822</v>
      </c>
      <c r="C3183" s="1">
        <v>45188</v>
      </c>
      <c r="D3183" s="1" t="str">
        <f>PROPER(orders[[#This Row],[order_priority]])</f>
        <v>Economy</v>
      </c>
      <c r="E3183" t="s">
        <v>13328</v>
      </c>
      <c r="F3183" t="str">
        <f>IFERROR(INDEX(customers[country], MATCH(orders[[#This Row],[customer_id]], customers[customer_id], 0)), "Unmapped")</f>
        <v>Netherlands</v>
      </c>
      <c r="G3183" t="str">
        <f>IFERROR(INDEX(Region_Map[Region], MATCH(orders[[#This Row],[Customer_Country]], Region_Map[Country], 0)), "Unknown")</f>
        <v>Central Europe</v>
      </c>
      <c r="H3183" t="s">
        <v>6949</v>
      </c>
    </row>
    <row r="3184" spans="1:8">
      <c r="A3184" t="s">
        <v>4088</v>
      </c>
      <c r="B3184" t="s">
        <v>775</v>
      </c>
      <c r="C3184" s="1">
        <v>45549</v>
      </c>
      <c r="D3184" s="1" t="str">
        <f>PROPER(orders[[#This Row],[order_priority]])</f>
        <v>Standard</v>
      </c>
      <c r="E3184" t="s">
        <v>13317</v>
      </c>
      <c r="F3184" t="str">
        <f>IFERROR(INDEX(customers[country], MATCH(orders[[#This Row],[customer_id]], customers[customer_id], 0)), "Unmapped")</f>
        <v>Sweden</v>
      </c>
      <c r="G3184" t="str">
        <f>IFERROR(INDEX(Region_Map[Region], MATCH(orders[[#This Row],[Customer_Country]], Region_Map[Country], 0)), "Unknown")</f>
        <v>Nordics</v>
      </c>
      <c r="H3184" t="s">
        <v>6949</v>
      </c>
    </row>
    <row r="3185" spans="1:8">
      <c r="A3185" t="s">
        <v>4089</v>
      </c>
      <c r="B3185" t="s">
        <v>11</v>
      </c>
      <c r="C3185" s="1">
        <v>45124</v>
      </c>
      <c r="D3185" s="1" t="str">
        <f>PROPER(orders[[#This Row],[order_priority]])</f>
        <v>Same Day</v>
      </c>
      <c r="E3185" t="s">
        <v>13322</v>
      </c>
      <c r="F3185" t="str">
        <f>IFERROR(INDEX(customers[country], MATCH(orders[[#This Row],[customer_id]], customers[customer_id], 0)), "Unmapped")</f>
        <v>Sweden</v>
      </c>
      <c r="G3185" t="str">
        <f>IFERROR(INDEX(Region_Map[Region], MATCH(orders[[#This Row],[Customer_Country]], Region_Map[Country], 0)), "Unknown")</f>
        <v>Nordics</v>
      </c>
      <c r="H3185" t="s">
        <v>6949</v>
      </c>
    </row>
    <row r="3186" spans="1:8">
      <c r="A3186" t="s">
        <v>4090</v>
      </c>
      <c r="B3186" t="s">
        <v>225</v>
      </c>
      <c r="C3186" s="1">
        <v>45344</v>
      </c>
      <c r="D3186" s="1" t="str">
        <f>PROPER(orders[[#This Row],[order_priority]])</f>
        <v>Same Day</v>
      </c>
      <c r="E3186" t="s">
        <v>13322</v>
      </c>
      <c r="F3186" t="str">
        <f>IFERROR(INDEX(customers[country], MATCH(orders[[#This Row],[customer_id]], customers[customer_id], 0)), "Unmapped")</f>
        <v>Poland</v>
      </c>
      <c r="G3186" t="str">
        <f>IFERROR(INDEX(Region_Map[Region], MATCH(orders[[#This Row],[Customer_Country]], Region_Map[Country], 0)), "Unknown")</f>
        <v>Central Europe</v>
      </c>
      <c r="H3186" t="s">
        <v>6949</v>
      </c>
    </row>
    <row r="3187" spans="1:8">
      <c r="A3187" t="s">
        <v>4091</v>
      </c>
      <c r="B3187" t="s">
        <v>282</v>
      </c>
      <c r="C3187" s="1">
        <v>45416</v>
      </c>
      <c r="D3187" s="1" t="str">
        <f>PROPER(orders[[#This Row],[order_priority]])</f>
        <v>Economy</v>
      </c>
      <c r="E3187" t="s">
        <v>13316</v>
      </c>
      <c r="F3187" t="str">
        <f>IFERROR(INDEX(customers[country], MATCH(orders[[#This Row],[customer_id]], customers[customer_id], 0)), "Unmapped")</f>
        <v>Netherlands</v>
      </c>
      <c r="G3187" t="str">
        <f>IFERROR(INDEX(Region_Map[Region], MATCH(orders[[#This Row],[Customer_Country]], Region_Map[Country], 0)), "Unknown")</f>
        <v>Central Europe</v>
      </c>
      <c r="H3187" t="s">
        <v>6949</v>
      </c>
    </row>
    <row r="3188" spans="1:8">
      <c r="A3188" t="s">
        <v>4092</v>
      </c>
      <c r="B3188" t="s">
        <v>419</v>
      </c>
      <c r="C3188" s="1">
        <v>45231</v>
      </c>
      <c r="D3188" s="1" t="str">
        <f>PROPER(orders[[#This Row],[order_priority]])</f>
        <v>Economy</v>
      </c>
      <c r="E3188" t="s">
        <v>13316</v>
      </c>
      <c r="F3188" t="str">
        <f>IFERROR(INDEX(customers[country], MATCH(orders[[#This Row],[customer_id]], customers[customer_id], 0)), "Unmapped")</f>
        <v>Estonia</v>
      </c>
      <c r="G3188" t="str">
        <f>IFERROR(INDEX(Region_Map[Region], MATCH(orders[[#This Row],[Customer_Country]], Region_Map[Country], 0)), "Unknown")</f>
        <v>Baltics</v>
      </c>
      <c r="H3188" t="s">
        <v>6949</v>
      </c>
    </row>
    <row r="3189" spans="1:8">
      <c r="A3189" t="s">
        <v>4093</v>
      </c>
      <c r="B3189" t="s">
        <v>338</v>
      </c>
      <c r="C3189" s="1">
        <v>45380</v>
      </c>
      <c r="D3189" s="1" t="str">
        <f>PROPER(orders[[#This Row],[order_priority]])</f>
        <v>Express</v>
      </c>
      <c r="E3189" t="s">
        <v>13318</v>
      </c>
      <c r="F3189" t="str">
        <f>IFERROR(INDEX(customers[country], MATCH(orders[[#This Row],[customer_id]], customers[customer_id], 0)), "Unmapped")</f>
        <v>Denmark</v>
      </c>
      <c r="G3189" t="str">
        <f>IFERROR(INDEX(Region_Map[Region], MATCH(orders[[#This Row],[Customer_Country]], Region_Map[Country], 0)), "Unknown")</f>
        <v>Nordics</v>
      </c>
      <c r="H3189" t="s">
        <v>6949</v>
      </c>
    </row>
    <row r="3190" spans="1:8">
      <c r="A3190" t="s">
        <v>4094</v>
      </c>
      <c r="B3190" t="s">
        <v>882</v>
      </c>
      <c r="C3190" s="1">
        <v>44981</v>
      </c>
      <c r="D3190" s="1" t="str">
        <f>PROPER(orders[[#This Row],[order_priority]])</f>
        <v>Express</v>
      </c>
      <c r="E3190" t="s">
        <v>13318</v>
      </c>
      <c r="F3190" t="str">
        <f>IFERROR(INDEX(customers[country], MATCH(orders[[#This Row],[customer_id]], customers[customer_id], 0)), "Unmapped")</f>
        <v>Netherlands</v>
      </c>
      <c r="G3190" t="str">
        <f>IFERROR(INDEX(Region_Map[Region], MATCH(orders[[#This Row],[Customer_Country]], Region_Map[Country], 0)), "Unknown")</f>
        <v>Central Europe</v>
      </c>
      <c r="H3190" t="s">
        <v>6949</v>
      </c>
    </row>
    <row r="3191" spans="1:8">
      <c r="A3191" t="s">
        <v>4095</v>
      </c>
      <c r="B3191" t="s">
        <v>446</v>
      </c>
      <c r="C3191" s="1">
        <v>45347</v>
      </c>
      <c r="D3191" s="1" t="str">
        <f>PROPER(orders[[#This Row],[order_priority]])</f>
        <v>Standard</v>
      </c>
      <c r="E3191" t="s">
        <v>13317</v>
      </c>
      <c r="F3191" t="str">
        <f>IFERROR(INDEX(customers[country], MATCH(orders[[#This Row],[customer_id]], customers[customer_id], 0)), "Unmapped")</f>
        <v>Sweden</v>
      </c>
      <c r="G3191" t="str">
        <f>IFERROR(INDEX(Region_Map[Region], MATCH(orders[[#This Row],[Customer_Country]], Region_Map[Country], 0)), "Unknown")</f>
        <v>Nordics</v>
      </c>
      <c r="H3191" t="s">
        <v>6949</v>
      </c>
    </row>
    <row r="3192" spans="1:8">
      <c r="A3192" t="s">
        <v>4096</v>
      </c>
      <c r="B3192" t="s">
        <v>635</v>
      </c>
      <c r="C3192" s="1">
        <v>45399</v>
      </c>
      <c r="D3192" s="1" t="str">
        <f>PROPER(orders[[#This Row],[order_priority]])</f>
        <v>Same Day</v>
      </c>
      <c r="E3192" t="s">
        <v>13322</v>
      </c>
      <c r="F3192" t="str">
        <f>IFERROR(INDEX(customers[country], MATCH(orders[[#This Row],[customer_id]], customers[customer_id], 0)), "Unmapped")</f>
        <v>Latvia</v>
      </c>
      <c r="G3192" t="str">
        <f>IFERROR(INDEX(Region_Map[Region], MATCH(orders[[#This Row],[Customer_Country]], Region_Map[Country], 0)), "Unknown")</f>
        <v>Baltics</v>
      </c>
      <c r="H3192" t="s">
        <v>6949</v>
      </c>
    </row>
    <row r="3193" spans="1:8">
      <c r="A3193" t="s">
        <v>4097</v>
      </c>
      <c r="B3193" t="s">
        <v>395</v>
      </c>
      <c r="C3193" s="1">
        <v>45212</v>
      </c>
      <c r="D3193" s="1" t="str">
        <f>PROPER(orders[[#This Row],[order_priority]])</f>
        <v>Standard</v>
      </c>
      <c r="E3193" t="s">
        <v>13317</v>
      </c>
      <c r="F3193" t="str">
        <f>IFERROR(INDEX(customers[country], MATCH(orders[[#This Row],[customer_id]], customers[customer_id], 0)), "Unmapped")</f>
        <v>Sweden</v>
      </c>
      <c r="G3193" t="str">
        <f>IFERROR(INDEX(Region_Map[Region], MATCH(orders[[#This Row],[Customer_Country]], Region_Map[Country], 0)), "Unknown")</f>
        <v>Nordics</v>
      </c>
      <c r="H3193" t="s">
        <v>6949</v>
      </c>
    </row>
    <row r="3194" spans="1:8">
      <c r="A3194" t="s">
        <v>4098</v>
      </c>
      <c r="B3194" t="s">
        <v>13351</v>
      </c>
      <c r="C3194" s="1">
        <v>45464</v>
      </c>
      <c r="D3194" s="1" t="str">
        <f>PROPER(orders[[#This Row],[order_priority]])</f>
        <v>Express</v>
      </c>
      <c r="E3194" t="s">
        <v>13318</v>
      </c>
      <c r="F3194" t="str">
        <f>IFERROR(INDEX(customers[country], MATCH(orders[[#This Row],[customer_id]], customers[customer_id], 0)), "Unmapped")</f>
        <v>Unmapped</v>
      </c>
      <c r="G3194" t="str">
        <f>IFERROR(INDEX(Region_Map[Region], MATCH(orders[[#This Row],[Customer_Country]], Region_Map[Country], 0)), "Unknown")</f>
        <v>Unknown</v>
      </c>
      <c r="H3194" t="s">
        <v>6949</v>
      </c>
    </row>
    <row r="3195" spans="1:8">
      <c r="A3195" t="s">
        <v>4099</v>
      </c>
      <c r="B3195" t="s">
        <v>106</v>
      </c>
      <c r="C3195" s="1">
        <v>45605</v>
      </c>
      <c r="D3195" s="1" t="str">
        <f>PROPER(orders[[#This Row],[order_priority]])</f>
        <v>Same Day</v>
      </c>
      <c r="E3195" t="s">
        <v>13322</v>
      </c>
      <c r="F3195" t="str">
        <f>IFERROR(INDEX(customers[country], MATCH(orders[[#This Row],[customer_id]], customers[customer_id], 0)), "Unmapped")</f>
        <v>Lithuania</v>
      </c>
      <c r="G3195" t="str">
        <f>IFERROR(INDEX(Region_Map[Region], MATCH(orders[[#This Row],[Customer_Country]], Region_Map[Country], 0)), "Unknown")</f>
        <v>Baltics</v>
      </c>
      <c r="H3195" t="s">
        <v>6949</v>
      </c>
    </row>
    <row r="3196" spans="1:8">
      <c r="A3196" t="s">
        <v>4100</v>
      </c>
      <c r="B3196" t="s">
        <v>509</v>
      </c>
      <c r="C3196" s="1">
        <v>45253</v>
      </c>
      <c r="D3196" s="1" t="str">
        <f>PROPER(orders[[#This Row],[order_priority]])</f>
        <v>Express</v>
      </c>
      <c r="E3196" t="s">
        <v>13318</v>
      </c>
      <c r="F3196" t="str">
        <f>IFERROR(INDEX(customers[country], MATCH(orders[[#This Row],[customer_id]], customers[customer_id], 0)), "Unmapped")</f>
        <v>Sweden</v>
      </c>
      <c r="G3196" t="str">
        <f>IFERROR(INDEX(Region_Map[Region], MATCH(orders[[#This Row],[Customer_Country]], Region_Map[Country], 0)), "Unknown")</f>
        <v>Nordics</v>
      </c>
      <c r="H3196" t="s">
        <v>6949</v>
      </c>
    </row>
    <row r="3197" spans="1:8">
      <c r="A3197" t="s">
        <v>4101</v>
      </c>
      <c r="B3197" t="s">
        <v>219</v>
      </c>
      <c r="C3197" s="1">
        <v>45235</v>
      </c>
      <c r="D3197" s="1" t="str">
        <f>PROPER(orders[[#This Row],[order_priority]])</f>
        <v>Express</v>
      </c>
      <c r="E3197" t="s">
        <v>13318</v>
      </c>
      <c r="F3197" t="str">
        <f>IFERROR(INDEX(customers[country], MATCH(orders[[#This Row],[customer_id]], customers[customer_id], 0)), "Unmapped")</f>
        <v>Latvia</v>
      </c>
      <c r="G3197" t="str">
        <f>IFERROR(INDEX(Region_Map[Region], MATCH(orders[[#This Row],[Customer_Country]], Region_Map[Country], 0)), "Unknown")</f>
        <v>Baltics</v>
      </c>
      <c r="H3197" t="s">
        <v>6949</v>
      </c>
    </row>
    <row r="3198" spans="1:8">
      <c r="A3198" t="s">
        <v>4102</v>
      </c>
      <c r="B3198" t="s">
        <v>395</v>
      </c>
      <c r="C3198" s="1">
        <v>45029</v>
      </c>
      <c r="D3198" s="1" t="str">
        <f>PROPER(orders[[#This Row],[order_priority]])</f>
        <v>Standard</v>
      </c>
      <c r="E3198" t="s">
        <v>13317</v>
      </c>
      <c r="F3198" t="str">
        <f>IFERROR(INDEX(customers[country], MATCH(orders[[#This Row],[customer_id]], customers[customer_id], 0)), "Unmapped")</f>
        <v>Sweden</v>
      </c>
      <c r="G3198" t="str">
        <f>IFERROR(INDEX(Region_Map[Region], MATCH(orders[[#This Row],[Customer_Country]], Region_Map[Country], 0)), "Unknown")</f>
        <v>Nordics</v>
      </c>
      <c r="H3198" t="s">
        <v>6949</v>
      </c>
    </row>
    <row r="3199" spans="1:8">
      <c r="A3199" t="s">
        <v>4103</v>
      </c>
      <c r="B3199" t="s">
        <v>51</v>
      </c>
      <c r="C3199" s="1">
        <v>45360</v>
      </c>
      <c r="D3199" s="1" t="str">
        <f>PROPER(orders[[#This Row],[order_priority]])</f>
        <v>Same Day</v>
      </c>
      <c r="E3199" t="s">
        <v>13322</v>
      </c>
      <c r="F3199" t="str">
        <f>IFERROR(INDEX(customers[country], MATCH(orders[[#This Row],[customer_id]], customers[customer_id], 0)), "Unmapped")</f>
        <v>Germany</v>
      </c>
      <c r="G3199" t="str">
        <f>IFERROR(INDEX(Region_Map[Region], MATCH(orders[[#This Row],[Customer_Country]], Region_Map[Country], 0)), "Unknown")</f>
        <v>Central Europe</v>
      </c>
      <c r="H3199" t="s">
        <v>6949</v>
      </c>
    </row>
    <row r="3200" spans="1:8">
      <c r="A3200" t="s">
        <v>4104</v>
      </c>
      <c r="B3200" t="s">
        <v>38</v>
      </c>
      <c r="C3200" s="1">
        <v>45126</v>
      </c>
      <c r="D3200" s="1" t="str">
        <f>PROPER(orders[[#This Row],[order_priority]])</f>
        <v>Economy</v>
      </c>
      <c r="E3200" t="s">
        <v>13316</v>
      </c>
      <c r="F3200" t="str">
        <f>IFERROR(INDEX(customers[country], MATCH(orders[[#This Row],[customer_id]], customers[customer_id], 0)), "Unmapped")</f>
        <v>Lithuania</v>
      </c>
      <c r="G3200" t="str">
        <f>IFERROR(INDEX(Region_Map[Region], MATCH(orders[[#This Row],[Customer_Country]], Region_Map[Country], 0)), "Unknown")</f>
        <v>Baltics</v>
      </c>
      <c r="H3200" t="s">
        <v>6949</v>
      </c>
    </row>
    <row r="3201" spans="1:8">
      <c r="A3201" t="s">
        <v>4105</v>
      </c>
      <c r="B3201" t="s">
        <v>13347</v>
      </c>
      <c r="C3201" s="1">
        <v>45525</v>
      </c>
      <c r="D3201" s="1" t="str">
        <f>PROPER(orders[[#This Row],[order_priority]])</f>
        <v>Standard</v>
      </c>
      <c r="E3201" t="s">
        <v>13317</v>
      </c>
      <c r="F3201" t="str">
        <f>IFERROR(INDEX(customers[country], MATCH(orders[[#This Row],[customer_id]], customers[customer_id], 0)), "Unmapped")</f>
        <v>Unmapped</v>
      </c>
      <c r="G3201" t="str">
        <f>IFERROR(INDEX(Region_Map[Region], MATCH(orders[[#This Row],[Customer_Country]], Region_Map[Country], 0)), "Unknown")</f>
        <v>Unknown</v>
      </c>
      <c r="H3201" t="s">
        <v>6949</v>
      </c>
    </row>
    <row r="3202" spans="1:8">
      <c r="A3202" t="s">
        <v>4106</v>
      </c>
      <c r="B3202" t="s">
        <v>323</v>
      </c>
      <c r="C3202" s="1">
        <v>45301</v>
      </c>
      <c r="D3202" s="1" t="str">
        <f>PROPER(orders[[#This Row],[order_priority]])</f>
        <v>Express</v>
      </c>
      <c r="E3202" t="s">
        <v>13318</v>
      </c>
      <c r="F3202" t="str">
        <f>IFERROR(INDEX(customers[country], MATCH(orders[[#This Row],[customer_id]], customers[customer_id], 0)), "Unmapped")</f>
        <v>Estonia</v>
      </c>
      <c r="G3202" t="str">
        <f>IFERROR(INDEX(Region_Map[Region], MATCH(orders[[#This Row],[Customer_Country]], Region_Map[Country], 0)), "Unknown")</f>
        <v>Baltics</v>
      </c>
      <c r="H3202" t="s">
        <v>6949</v>
      </c>
    </row>
    <row r="3203" spans="1:8">
      <c r="A3203" t="s">
        <v>4107</v>
      </c>
      <c r="B3203" t="s">
        <v>781</v>
      </c>
      <c r="C3203" s="1">
        <v>45236</v>
      </c>
      <c r="D3203" s="1" t="str">
        <f>PROPER(orders[[#This Row],[order_priority]])</f>
        <v>Economy</v>
      </c>
      <c r="E3203" t="s">
        <v>13316</v>
      </c>
      <c r="F3203" t="str">
        <f>IFERROR(INDEX(customers[country], MATCH(orders[[#This Row],[customer_id]], customers[customer_id], 0)), "Unmapped")</f>
        <v>Germany</v>
      </c>
      <c r="G3203" t="str">
        <f>IFERROR(INDEX(Region_Map[Region], MATCH(orders[[#This Row],[Customer_Country]], Region_Map[Country], 0)), "Unknown")</f>
        <v>Central Europe</v>
      </c>
      <c r="H3203" t="s">
        <v>6949</v>
      </c>
    </row>
    <row r="3204" spans="1:8">
      <c r="A3204" t="s">
        <v>4108</v>
      </c>
      <c r="B3204" t="s">
        <v>891</v>
      </c>
      <c r="C3204" s="1">
        <v>45200</v>
      </c>
      <c r="D3204" s="1" t="str">
        <f>PROPER(orders[[#This Row],[order_priority]])</f>
        <v>Economy</v>
      </c>
      <c r="E3204" t="s">
        <v>13316</v>
      </c>
      <c r="F3204" t="str">
        <f>IFERROR(INDEX(customers[country], MATCH(orders[[#This Row],[customer_id]], customers[customer_id], 0)), "Unmapped")</f>
        <v>Netherlands</v>
      </c>
      <c r="G3204" t="str">
        <f>IFERROR(INDEX(Region_Map[Region], MATCH(orders[[#This Row],[Customer_Country]], Region_Map[Country], 0)), "Unknown")</f>
        <v>Central Europe</v>
      </c>
      <c r="H3204" t="s">
        <v>6949</v>
      </c>
    </row>
    <row r="3205" spans="1:8">
      <c r="A3205" t="s">
        <v>4109</v>
      </c>
      <c r="B3205" t="s">
        <v>530</v>
      </c>
      <c r="C3205" s="1">
        <v>45585</v>
      </c>
      <c r="D3205" s="1" t="str">
        <f>PROPER(orders[[#This Row],[order_priority]])</f>
        <v>Economy</v>
      </c>
      <c r="E3205" t="s">
        <v>13316</v>
      </c>
      <c r="F3205" t="str">
        <f>IFERROR(INDEX(customers[country], MATCH(orders[[#This Row],[customer_id]], customers[customer_id], 0)), "Unmapped")</f>
        <v>Denmark</v>
      </c>
      <c r="G3205" t="str">
        <f>IFERROR(INDEX(Region_Map[Region], MATCH(orders[[#This Row],[Customer_Country]], Region_Map[Country], 0)), "Unknown")</f>
        <v>Nordics</v>
      </c>
      <c r="H3205" t="s">
        <v>6949</v>
      </c>
    </row>
    <row r="3206" spans="1:8">
      <c r="A3206" t="s">
        <v>4110</v>
      </c>
      <c r="B3206" t="s">
        <v>93</v>
      </c>
      <c r="C3206" s="1">
        <v>45439</v>
      </c>
      <c r="D3206" s="1" t="str">
        <f>PROPER(orders[[#This Row],[order_priority]])</f>
        <v>Same Day</v>
      </c>
      <c r="E3206" t="s">
        <v>13322</v>
      </c>
      <c r="F3206" t="str">
        <f>IFERROR(INDEX(customers[country], MATCH(orders[[#This Row],[customer_id]], customers[customer_id], 0)), "Unmapped")</f>
        <v>Norway</v>
      </c>
      <c r="G3206" t="str">
        <f>IFERROR(INDEX(Region_Map[Region], MATCH(orders[[#This Row],[Customer_Country]], Region_Map[Country], 0)), "Unknown")</f>
        <v>Nordics</v>
      </c>
      <c r="H3206" t="s">
        <v>6949</v>
      </c>
    </row>
    <row r="3207" spans="1:8">
      <c r="A3207" t="s">
        <v>4111</v>
      </c>
      <c r="B3207" t="s">
        <v>90</v>
      </c>
      <c r="C3207" s="1">
        <v>45511</v>
      </c>
      <c r="D3207" s="1" t="str">
        <f>PROPER(orders[[#This Row],[order_priority]])</f>
        <v>Standard</v>
      </c>
      <c r="E3207" t="s">
        <v>13323</v>
      </c>
      <c r="F3207" t="str">
        <f>IFERROR(INDEX(customers[country], MATCH(orders[[#This Row],[customer_id]], customers[customer_id], 0)), "Unmapped")</f>
        <v>Netherlands</v>
      </c>
      <c r="G3207" t="str">
        <f>IFERROR(INDEX(Region_Map[Region], MATCH(orders[[#This Row],[Customer_Country]], Region_Map[Country], 0)), "Unknown")</f>
        <v>Central Europe</v>
      </c>
      <c r="H3207" t="s">
        <v>6949</v>
      </c>
    </row>
    <row r="3208" spans="1:8">
      <c r="A3208" t="s">
        <v>4112</v>
      </c>
      <c r="B3208" t="s">
        <v>404</v>
      </c>
      <c r="C3208" s="1">
        <v>45216</v>
      </c>
      <c r="D3208" s="1" t="str">
        <f>PROPER(orders[[#This Row],[order_priority]])</f>
        <v>Standard</v>
      </c>
      <c r="E3208" t="s">
        <v>13317</v>
      </c>
      <c r="F3208" t="str">
        <f>IFERROR(INDEX(customers[country], MATCH(orders[[#This Row],[customer_id]], customers[customer_id], 0)), "Unmapped")</f>
        <v>Latvia</v>
      </c>
      <c r="G3208" t="str">
        <f>IFERROR(INDEX(Region_Map[Region], MATCH(orders[[#This Row],[Customer_Country]], Region_Map[Country], 0)), "Unknown")</f>
        <v>Baltics</v>
      </c>
      <c r="H3208" t="s">
        <v>6949</v>
      </c>
    </row>
    <row r="3209" spans="1:8">
      <c r="A3209" t="s">
        <v>4113</v>
      </c>
      <c r="B3209" t="s">
        <v>243</v>
      </c>
      <c r="C3209" s="1">
        <v>44989</v>
      </c>
      <c r="D3209" s="1" t="str">
        <f>PROPER(orders[[#This Row],[order_priority]])</f>
        <v>Same Day</v>
      </c>
      <c r="E3209" t="s">
        <v>13321</v>
      </c>
      <c r="F3209" t="str">
        <f>IFERROR(INDEX(customers[country], MATCH(orders[[#This Row],[customer_id]], customers[customer_id], 0)), "Unmapped")</f>
        <v>Netherlands</v>
      </c>
      <c r="G3209" t="str">
        <f>IFERROR(INDEX(Region_Map[Region], MATCH(orders[[#This Row],[Customer_Country]], Region_Map[Country], 0)), "Unknown")</f>
        <v>Central Europe</v>
      </c>
      <c r="H3209" t="s">
        <v>6949</v>
      </c>
    </row>
    <row r="3210" spans="1:8">
      <c r="A3210" t="s">
        <v>4114</v>
      </c>
      <c r="B3210" t="s">
        <v>6949</v>
      </c>
      <c r="C3210" s="1">
        <v>44987</v>
      </c>
      <c r="D3210" s="1" t="str">
        <f>PROPER(orders[[#This Row],[order_priority]])</f>
        <v>Economy</v>
      </c>
      <c r="E3210" t="s">
        <v>13328</v>
      </c>
      <c r="F3210" t="str">
        <f>IFERROR(INDEX(customers[country], MATCH(orders[[#This Row],[customer_id]], customers[customer_id], 0)), "Unmapped")</f>
        <v>Unmapped</v>
      </c>
      <c r="G3210" t="str">
        <f>IFERROR(INDEX(Region_Map[Region], MATCH(orders[[#This Row],[Customer_Country]], Region_Map[Country], 0)), "Unknown")</f>
        <v>Unknown</v>
      </c>
      <c r="H3210" t="s">
        <v>6949</v>
      </c>
    </row>
    <row r="3211" spans="1:8">
      <c r="A3211" t="s">
        <v>4115</v>
      </c>
      <c r="B3211" t="s">
        <v>410</v>
      </c>
      <c r="C3211" s="1">
        <v>45296</v>
      </c>
      <c r="D3211" s="1" t="str">
        <f>PROPER(orders[[#This Row],[order_priority]])</f>
        <v>Economy</v>
      </c>
      <c r="E3211" t="s">
        <v>13328</v>
      </c>
      <c r="F3211" t="str">
        <f>IFERROR(INDEX(customers[country], MATCH(orders[[#This Row],[customer_id]], customers[customer_id], 0)), "Unmapped")</f>
        <v>Norway</v>
      </c>
      <c r="G3211" t="str">
        <f>IFERROR(INDEX(Region_Map[Region], MATCH(orders[[#This Row],[Customer_Country]], Region_Map[Country], 0)), "Unknown")</f>
        <v>Nordics</v>
      </c>
      <c r="H3211" t="s">
        <v>6949</v>
      </c>
    </row>
    <row r="3212" spans="1:8">
      <c r="A3212" t="s">
        <v>4116</v>
      </c>
      <c r="B3212" t="s">
        <v>198</v>
      </c>
      <c r="C3212" s="1">
        <v>45335</v>
      </c>
      <c r="D3212" s="1" t="str">
        <f>PROPER(orders[[#This Row],[order_priority]])</f>
        <v>Same Day</v>
      </c>
      <c r="E3212" t="s">
        <v>13322</v>
      </c>
      <c r="F3212" t="str">
        <f>IFERROR(INDEX(customers[country], MATCH(orders[[#This Row],[customer_id]], customers[customer_id], 0)), "Unmapped")</f>
        <v>Poland</v>
      </c>
      <c r="G3212" t="str">
        <f>IFERROR(INDEX(Region_Map[Region], MATCH(orders[[#This Row],[Customer_Country]], Region_Map[Country], 0)), "Unknown")</f>
        <v>Central Europe</v>
      </c>
      <c r="H3212" t="s">
        <v>6949</v>
      </c>
    </row>
    <row r="3213" spans="1:8">
      <c r="A3213" t="s">
        <v>4117</v>
      </c>
      <c r="B3213" t="s">
        <v>380</v>
      </c>
      <c r="C3213" s="1">
        <v>44982</v>
      </c>
      <c r="D3213" s="1" t="str">
        <f>PROPER(orders[[#This Row],[order_priority]])</f>
        <v>Standard</v>
      </c>
      <c r="E3213" t="s">
        <v>13317</v>
      </c>
      <c r="F3213" t="str">
        <f>IFERROR(INDEX(customers[country], MATCH(orders[[#This Row],[customer_id]], customers[customer_id], 0)), "Unmapped")</f>
        <v>Sweden</v>
      </c>
      <c r="G3213" t="str">
        <f>IFERROR(INDEX(Region_Map[Region], MATCH(orders[[#This Row],[Customer_Country]], Region_Map[Country], 0)), "Unknown")</f>
        <v>Nordics</v>
      </c>
      <c r="H3213" t="s">
        <v>6949</v>
      </c>
    </row>
    <row r="3214" spans="1:8">
      <c r="A3214" t="s">
        <v>4118</v>
      </c>
      <c r="B3214" t="s">
        <v>575</v>
      </c>
      <c r="C3214" s="1">
        <v>45406</v>
      </c>
      <c r="D3214" s="1" t="str">
        <f>PROPER(orders[[#This Row],[order_priority]])</f>
        <v>Standard</v>
      </c>
      <c r="E3214" t="s">
        <v>13317</v>
      </c>
      <c r="F3214" t="str">
        <f>IFERROR(INDEX(customers[country], MATCH(orders[[#This Row],[customer_id]], customers[customer_id], 0)), "Unmapped")</f>
        <v>Netherlands</v>
      </c>
      <c r="G3214" t="str">
        <f>IFERROR(INDEX(Region_Map[Region], MATCH(orders[[#This Row],[Customer_Country]], Region_Map[Country], 0)), "Unknown")</f>
        <v>Central Europe</v>
      </c>
      <c r="H3214" t="s">
        <v>6949</v>
      </c>
    </row>
    <row r="3215" spans="1:8">
      <c r="A3215" t="s">
        <v>4119</v>
      </c>
      <c r="B3215" t="s">
        <v>494</v>
      </c>
      <c r="C3215" s="1">
        <v>45259</v>
      </c>
      <c r="D3215" s="1" t="str">
        <f>PROPER(orders[[#This Row],[order_priority]])</f>
        <v>Standard</v>
      </c>
      <c r="E3215" t="s">
        <v>13317</v>
      </c>
      <c r="F3215" t="str">
        <f>IFERROR(INDEX(customers[country], MATCH(orders[[#This Row],[customer_id]], customers[customer_id], 0)), "Unmapped")</f>
        <v>Sweden</v>
      </c>
      <c r="G3215" t="str">
        <f>IFERROR(INDEX(Region_Map[Region], MATCH(orders[[#This Row],[Customer_Country]], Region_Map[Country], 0)), "Unknown")</f>
        <v>Nordics</v>
      </c>
      <c r="H3215" t="s">
        <v>6949</v>
      </c>
    </row>
    <row r="3216" spans="1:8">
      <c r="A3216" t="s">
        <v>4120</v>
      </c>
      <c r="B3216" t="s">
        <v>407</v>
      </c>
      <c r="C3216" s="1">
        <v>45406</v>
      </c>
      <c r="D3216" s="1" t="str">
        <f>PROPER(orders[[#This Row],[order_priority]])</f>
        <v>Standard</v>
      </c>
      <c r="E3216" t="s">
        <v>13317</v>
      </c>
      <c r="F3216" t="str">
        <f>IFERROR(INDEX(customers[country], MATCH(orders[[#This Row],[customer_id]], customers[customer_id], 0)), "Unmapped")</f>
        <v>Poland</v>
      </c>
      <c r="G3216" t="str">
        <f>IFERROR(INDEX(Region_Map[Region], MATCH(orders[[#This Row],[Customer_Country]], Region_Map[Country], 0)), "Unknown")</f>
        <v>Central Europe</v>
      </c>
      <c r="H3216" t="s">
        <v>6949</v>
      </c>
    </row>
    <row r="3217" spans="1:8">
      <c r="A3217" t="s">
        <v>4121</v>
      </c>
      <c r="B3217" t="s">
        <v>34</v>
      </c>
      <c r="C3217" s="1">
        <v>45028</v>
      </c>
      <c r="D3217" s="1" t="str">
        <f>PROPER(orders[[#This Row],[order_priority]])</f>
        <v>Express</v>
      </c>
      <c r="E3217" t="s">
        <v>13318</v>
      </c>
      <c r="F3217" t="str">
        <f>IFERROR(INDEX(customers[country], MATCH(orders[[#This Row],[customer_id]], customers[customer_id], 0)), "Unmapped")</f>
        <v>Sweden</v>
      </c>
      <c r="G3217" t="str">
        <f>IFERROR(INDEX(Region_Map[Region], MATCH(orders[[#This Row],[Customer_Country]], Region_Map[Country], 0)), "Unknown")</f>
        <v>Nordics</v>
      </c>
      <c r="H3217" t="s">
        <v>6949</v>
      </c>
    </row>
    <row r="3218" spans="1:8">
      <c r="A3218" t="s">
        <v>4122</v>
      </c>
      <c r="B3218" t="s">
        <v>142</v>
      </c>
      <c r="C3218" s="1">
        <v>44944</v>
      </c>
      <c r="D3218" s="1" t="str">
        <f>PROPER(orders[[#This Row],[order_priority]])</f>
        <v>Express</v>
      </c>
      <c r="E3218" t="s">
        <v>13318</v>
      </c>
      <c r="F3218" t="str">
        <f>IFERROR(INDEX(customers[country], MATCH(orders[[#This Row],[customer_id]], customers[customer_id], 0)), "Unmapped")</f>
        <v>Estonia</v>
      </c>
      <c r="G3218" t="str">
        <f>IFERROR(INDEX(Region_Map[Region], MATCH(orders[[#This Row],[Customer_Country]], Region_Map[Country], 0)), "Unknown")</f>
        <v>Baltics</v>
      </c>
      <c r="H3218" t="s">
        <v>6949</v>
      </c>
    </row>
    <row r="3219" spans="1:8">
      <c r="A3219" t="s">
        <v>4123</v>
      </c>
      <c r="B3219" t="s">
        <v>446</v>
      </c>
      <c r="C3219" s="1">
        <v>45612</v>
      </c>
      <c r="D3219" s="1" t="str">
        <f>PROPER(orders[[#This Row],[order_priority]])</f>
        <v>Express</v>
      </c>
      <c r="E3219" t="s">
        <v>13318</v>
      </c>
      <c r="F3219" t="str">
        <f>IFERROR(INDEX(customers[country], MATCH(orders[[#This Row],[customer_id]], customers[customer_id], 0)), "Unmapped")</f>
        <v>Sweden</v>
      </c>
      <c r="G3219" t="str">
        <f>IFERROR(INDEX(Region_Map[Region], MATCH(orders[[#This Row],[Customer_Country]], Region_Map[Country], 0)), "Unknown")</f>
        <v>Nordics</v>
      </c>
      <c r="H3219" t="s">
        <v>6949</v>
      </c>
    </row>
    <row r="3220" spans="1:8">
      <c r="A3220" t="s">
        <v>4124</v>
      </c>
      <c r="B3220" t="s">
        <v>506</v>
      </c>
      <c r="C3220" s="1">
        <v>44993</v>
      </c>
      <c r="D3220" s="1" t="str">
        <f>PROPER(orders[[#This Row],[order_priority]])</f>
        <v>Economy</v>
      </c>
      <c r="E3220" t="s">
        <v>13316</v>
      </c>
      <c r="F3220" t="str">
        <f>IFERROR(INDEX(customers[country], MATCH(orders[[#This Row],[customer_id]], customers[customer_id], 0)), "Unmapped")</f>
        <v>Poland</v>
      </c>
      <c r="G3220" t="str">
        <f>IFERROR(INDEX(Region_Map[Region], MATCH(orders[[#This Row],[Customer_Country]], Region_Map[Country], 0)), "Unknown")</f>
        <v>Central Europe</v>
      </c>
      <c r="H3220" t="s">
        <v>6949</v>
      </c>
    </row>
    <row r="3221" spans="1:8">
      <c r="A3221" t="s">
        <v>4125</v>
      </c>
      <c r="B3221" t="s">
        <v>42</v>
      </c>
      <c r="C3221" s="1">
        <v>45322</v>
      </c>
      <c r="D3221" s="1" t="str">
        <f>PROPER(orders[[#This Row],[order_priority]])</f>
        <v>Economy</v>
      </c>
      <c r="E3221" t="s">
        <v>13316</v>
      </c>
      <c r="F3221" t="str">
        <f>IFERROR(INDEX(customers[country], MATCH(orders[[#This Row],[customer_id]], customers[customer_id], 0)), "Unmapped")</f>
        <v>Estonia</v>
      </c>
      <c r="G3221" t="str">
        <f>IFERROR(INDEX(Region_Map[Region], MATCH(orders[[#This Row],[Customer_Country]], Region_Map[Country], 0)), "Unknown")</f>
        <v>Baltics</v>
      </c>
      <c r="H3221" t="s">
        <v>6949</v>
      </c>
    </row>
    <row r="3222" spans="1:8">
      <c r="A3222" t="s">
        <v>4126</v>
      </c>
      <c r="B3222" t="s">
        <v>19</v>
      </c>
      <c r="C3222" s="1">
        <v>45280</v>
      </c>
      <c r="D3222" s="1" t="str">
        <f>PROPER(orders[[#This Row],[order_priority]])</f>
        <v>Express</v>
      </c>
      <c r="E3222" t="s">
        <v>13318</v>
      </c>
      <c r="F3222" t="str">
        <f>IFERROR(INDEX(customers[country], MATCH(orders[[#This Row],[customer_id]], customers[customer_id], 0)), "Unmapped")</f>
        <v>Poland</v>
      </c>
      <c r="G3222" t="str">
        <f>IFERROR(INDEX(Region_Map[Region], MATCH(orders[[#This Row],[Customer_Country]], Region_Map[Country], 0)), "Unknown")</f>
        <v>Central Europe</v>
      </c>
      <c r="H3222" t="s">
        <v>6949</v>
      </c>
    </row>
    <row r="3223" spans="1:8">
      <c r="A3223" t="s">
        <v>2954</v>
      </c>
      <c r="B3223" t="s">
        <v>422</v>
      </c>
      <c r="C3223" s="1">
        <v>45567</v>
      </c>
      <c r="D3223" s="1" t="str">
        <f>PROPER(orders[[#This Row],[order_priority]])</f>
        <v>Standard</v>
      </c>
      <c r="E3223" t="s">
        <v>13317</v>
      </c>
      <c r="F3223" t="str">
        <f>IFERROR(INDEX(customers[country], MATCH(orders[[#This Row],[customer_id]], customers[customer_id], 0)), "Unmapped")</f>
        <v>Germany</v>
      </c>
      <c r="G3223" t="str">
        <f>IFERROR(INDEX(Region_Map[Region], MATCH(orders[[#This Row],[Customer_Country]], Region_Map[Country], 0)), "Unknown")</f>
        <v>Central Europe</v>
      </c>
      <c r="H3223" t="s">
        <v>6949</v>
      </c>
    </row>
    <row r="3224" spans="1:8">
      <c r="A3224" t="s">
        <v>4127</v>
      </c>
      <c r="B3224" t="s">
        <v>703</v>
      </c>
      <c r="C3224" s="1">
        <v>45517</v>
      </c>
      <c r="D3224" s="1" t="str">
        <f>PROPER(orders[[#This Row],[order_priority]])</f>
        <v>Economy</v>
      </c>
      <c r="E3224" t="s">
        <v>13328</v>
      </c>
      <c r="F3224" t="str">
        <f>IFERROR(INDEX(customers[country], MATCH(orders[[#This Row],[customer_id]], customers[customer_id], 0)), "Unmapped")</f>
        <v>Estonia</v>
      </c>
      <c r="G3224" t="str">
        <f>IFERROR(INDEX(Region_Map[Region], MATCH(orders[[#This Row],[Customer_Country]], Region_Map[Country], 0)), "Unknown")</f>
        <v>Baltics</v>
      </c>
      <c r="H3224" t="s">
        <v>6949</v>
      </c>
    </row>
    <row r="3225" spans="1:8">
      <c r="A3225" t="s">
        <v>4128</v>
      </c>
      <c r="B3225" t="s">
        <v>359</v>
      </c>
      <c r="C3225" s="1">
        <v>45604</v>
      </c>
      <c r="D3225" s="1" t="str">
        <f>PROPER(orders[[#This Row],[order_priority]])</f>
        <v>Economy</v>
      </c>
      <c r="E3225" t="s">
        <v>13325</v>
      </c>
      <c r="F3225" t="str">
        <f>IFERROR(INDEX(customers[country], MATCH(orders[[#This Row],[customer_id]], customers[customer_id], 0)), "Unmapped")</f>
        <v>Estonia</v>
      </c>
      <c r="G3225" t="str">
        <f>IFERROR(INDEX(Region_Map[Region], MATCH(orders[[#This Row],[Customer_Country]], Region_Map[Country], 0)), "Unknown")</f>
        <v>Baltics</v>
      </c>
      <c r="H3225" t="s">
        <v>6949</v>
      </c>
    </row>
    <row r="3226" spans="1:8">
      <c r="A3226" t="s">
        <v>4129</v>
      </c>
      <c r="B3226" t="s">
        <v>894</v>
      </c>
      <c r="C3226" s="1">
        <v>45451</v>
      </c>
      <c r="D3226" s="1" t="str">
        <f>PROPER(orders[[#This Row],[order_priority]])</f>
        <v>Express</v>
      </c>
      <c r="E3226" t="s">
        <v>13318</v>
      </c>
      <c r="F3226" t="str">
        <f>IFERROR(INDEX(customers[country], MATCH(orders[[#This Row],[customer_id]], customers[customer_id], 0)), "Unmapped")</f>
        <v>Poland</v>
      </c>
      <c r="G3226" t="str">
        <f>IFERROR(INDEX(Region_Map[Region], MATCH(orders[[#This Row],[Customer_Country]], Region_Map[Country], 0)), "Unknown")</f>
        <v>Central Europe</v>
      </c>
      <c r="H3226" t="s">
        <v>6949</v>
      </c>
    </row>
    <row r="3227" spans="1:8">
      <c r="A3227" t="s">
        <v>4130</v>
      </c>
      <c r="B3227" t="s">
        <v>518</v>
      </c>
      <c r="C3227" s="1">
        <v>44947</v>
      </c>
      <c r="D3227" s="1" t="str">
        <f>PROPER(orders[[#This Row],[order_priority]])</f>
        <v>Economy</v>
      </c>
      <c r="E3227" t="s">
        <v>13316</v>
      </c>
      <c r="F3227" t="str">
        <f>IFERROR(INDEX(customers[country], MATCH(orders[[#This Row],[customer_id]], customers[customer_id], 0)), "Unmapped")</f>
        <v>Germany</v>
      </c>
      <c r="G3227" t="str">
        <f>IFERROR(INDEX(Region_Map[Region], MATCH(orders[[#This Row],[Customer_Country]], Region_Map[Country], 0)), "Unknown")</f>
        <v>Central Europe</v>
      </c>
      <c r="H3227" t="s">
        <v>6949</v>
      </c>
    </row>
    <row r="3228" spans="1:8">
      <c r="A3228" t="s">
        <v>4131</v>
      </c>
      <c r="B3228" t="s">
        <v>219</v>
      </c>
      <c r="C3228" s="1">
        <v>44933</v>
      </c>
      <c r="D3228" s="1" t="str">
        <f>PROPER(orders[[#This Row],[order_priority]])</f>
        <v>Standard</v>
      </c>
      <c r="E3228" t="s">
        <v>13317</v>
      </c>
      <c r="F3228" t="str">
        <f>IFERROR(INDEX(customers[country], MATCH(orders[[#This Row],[customer_id]], customers[customer_id], 0)), "Unmapped")</f>
        <v>Latvia</v>
      </c>
      <c r="G3228" t="str">
        <f>IFERROR(INDEX(Region_Map[Region], MATCH(orders[[#This Row],[Customer_Country]], Region_Map[Country], 0)), "Unknown")</f>
        <v>Baltics</v>
      </c>
      <c r="H3228" t="s">
        <v>6949</v>
      </c>
    </row>
    <row r="3229" spans="1:8">
      <c r="A3229" t="s">
        <v>4132</v>
      </c>
      <c r="B3229" t="s">
        <v>458</v>
      </c>
      <c r="C3229" s="1">
        <v>45211</v>
      </c>
      <c r="D3229" s="1" t="str">
        <f>PROPER(orders[[#This Row],[order_priority]])</f>
        <v>Standard</v>
      </c>
      <c r="E3229" t="s">
        <v>13317</v>
      </c>
      <c r="F3229" t="str">
        <f>IFERROR(INDEX(customers[country], MATCH(orders[[#This Row],[customer_id]], customers[customer_id], 0)), "Unmapped")</f>
        <v>Poland</v>
      </c>
      <c r="G3229" t="str">
        <f>IFERROR(INDEX(Region_Map[Region], MATCH(orders[[#This Row],[Customer_Country]], Region_Map[Country], 0)), "Unknown")</f>
        <v>Central Europe</v>
      </c>
      <c r="H3229" t="s">
        <v>6949</v>
      </c>
    </row>
    <row r="3230" spans="1:8">
      <c r="A3230" t="s">
        <v>4133</v>
      </c>
      <c r="B3230" t="s">
        <v>828</v>
      </c>
      <c r="C3230" s="1">
        <v>45335</v>
      </c>
      <c r="D3230" s="1" t="str">
        <f>PROPER(orders[[#This Row],[order_priority]])</f>
        <v>Express</v>
      </c>
      <c r="E3230" t="s">
        <v>13318</v>
      </c>
      <c r="F3230" t="str">
        <f>IFERROR(INDEX(customers[country], MATCH(orders[[#This Row],[customer_id]], customers[customer_id], 0)), "Unmapped")</f>
        <v>Germany</v>
      </c>
      <c r="G3230" t="str">
        <f>IFERROR(INDEX(Region_Map[Region], MATCH(orders[[#This Row],[Customer_Country]], Region_Map[Country], 0)), "Unknown")</f>
        <v>Central Europe</v>
      </c>
      <c r="H3230" t="s">
        <v>6949</v>
      </c>
    </row>
    <row r="3231" spans="1:8">
      <c r="A3231" t="s">
        <v>4134</v>
      </c>
      <c r="B3231" t="s">
        <v>650</v>
      </c>
      <c r="C3231" s="1">
        <v>45244</v>
      </c>
      <c r="D3231" s="1" t="str">
        <f>PROPER(orders[[#This Row],[order_priority]])</f>
        <v>Same Day</v>
      </c>
      <c r="E3231" t="s">
        <v>13322</v>
      </c>
      <c r="F3231" t="str">
        <f>IFERROR(INDEX(customers[country], MATCH(orders[[#This Row],[customer_id]], customers[customer_id], 0)), "Unmapped")</f>
        <v>Poland</v>
      </c>
      <c r="G3231" t="str">
        <f>IFERROR(INDEX(Region_Map[Region], MATCH(orders[[#This Row],[Customer_Country]], Region_Map[Country], 0)), "Unknown")</f>
        <v>Central Europe</v>
      </c>
      <c r="H3231" t="s">
        <v>6949</v>
      </c>
    </row>
    <row r="3232" spans="1:8">
      <c r="A3232" t="s">
        <v>4135</v>
      </c>
      <c r="B3232" t="s">
        <v>80</v>
      </c>
      <c r="C3232" s="1">
        <v>45165</v>
      </c>
      <c r="D3232" s="1" t="str">
        <f>PROPER(orders[[#This Row],[order_priority]])</f>
        <v>Standard</v>
      </c>
      <c r="E3232" t="s">
        <v>13317</v>
      </c>
      <c r="F3232" t="str">
        <f>IFERROR(INDEX(customers[country], MATCH(orders[[#This Row],[customer_id]], customers[customer_id], 0)), "Unmapped")</f>
        <v>Finland</v>
      </c>
      <c r="G3232" t="str">
        <f>IFERROR(INDEX(Region_Map[Region], MATCH(orders[[#This Row],[Customer_Country]], Region_Map[Country], 0)), "Unknown")</f>
        <v>Nordics</v>
      </c>
      <c r="H3232" t="s">
        <v>6949</v>
      </c>
    </row>
    <row r="3233" spans="1:8">
      <c r="A3233" t="s">
        <v>4136</v>
      </c>
      <c r="B3233" t="s">
        <v>27</v>
      </c>
      <c r="C3233" s="1">
        <v>45468</v>
      </c>
      <c r="D3233" s="1" t="str">
        <f>PROPER(orders[[#This Row],[order_priority]])</f>
        <v>Same Day</v>
      </c>
      <c r="E3233" t="s">
        <v>13322</v>
      </c>
      <c r="F3233" t="str">
        <f>IFERROR(INDEX(customers[country], MATCH(orders[[#This Row],[customer_id]], customers[customer_id], 0)), "Unmapped")</f>
        <v>Latvia</v>
      </c>
      <c r="G3233" t="str">
        <f>IFERROR(INDEX(Region_Map[Region], MATCH(orders[[#This Row],[Customer_Country]], Region_Map[Country], 0)), "Unknown")</f>
        <v>Baltics</v>
      </c>
      <c r="H3233" t="s">
        <v>6949</v>
      </c>
    </row>
    <row r="3234" spans="1:8">
      <c r="A3234" t="s">
        <v>4137</v>
      </c>
      <c r="B3234" t="s">
        <v>769</v>
      </c>
      <c r="C3234" s="1">
        <v>45017</v>
      </c>
      <c r="D3234" s="1" t="str">
        <f>PROPER(orders[[#This Row],[order_priority]])</f>
        <v>Express</v>
      </c>
      <c r="E3234" t="s">
        <v>13318</v>
      </c>
      <c r="F3234" t="str">
        <f>IFERROR(INDEX(customers[country], MATCH(orders[[#This Row],[customer_id]], customers[customer_id], 0)), "Unmapped")</f>
        <v>Latvia</v>
      </c>
      <c r="G3234" t="str">
        <f>IFERROR(INDEX(Region_Map[Region], MATCH(orders[[#This Row],[Customer_Country]], Region_Map[Country], 0)), "Unknown")</f>
        <v>Baltics</v>
      </c>
      <c r="H3234" t="s">
        <v>6949</v>
      </c>
    </row>
    <row r="3235" spans="1:8">
      <c r="A3235" t="s">
        <v>4138</v>
      </c>
      <c r="B3235" t="s">
        <v>151</v>
      </c>
      <c r="C3235" s="1">
        <v>45145</v>
      </c>
      <c r="D3235" s="1" t="str">
        <f>PROPER(orders[[#This Row],[order_priority]])</f>
        <v>Economy</v>
      </c>
      <c r="E3235" t="s">
        <v>13316</v>
      </c>
      <c r="F3235" t="str">
        <f>IFERROR(INDEX(customers[country], MATCH(orders[[#This Row],[customer_id]], customers[customer_id], 0)), "Unmapped")</f>
        <v>Sweden</v>
      </c>
      <c r="G3235" t="str">
        <f>IFERROR(INDEX(Region_Map[Region], MATCH(orders[[#This Row],[Customer_Country]], Region_Map[Country], 0)), "Unknown")</f>
        <v>Nordics</v>
      </c>
      <c r="H3235" t="s">
        <v>6949</v>
      </c>
    </row>
    <row r="3236" spans="1:8">
      <c r="A3236" t="s">
        <v>4139</v>
      </c>
      <c r="B3236" t="s">
        <v>536</v>
      </c>
      <c r="C3236" s="1">
        <v>45548</v>
      </c>
      <c r="D3236" s="1" t="str">
        <f>PROPER(orders[[#This Row],[order_priority]])</f>
        <v>Same Day</v>
      </c>
      <c r="E3236" t="s">
        <v>13322</v>
      </c>
      <c r="F3236" t="str">
        <f>IFERROR(INDEX(customers[country], MATCH(orders[[#This Row],[customer_id]], customers[customer_id], 0)), "Unmapped")</f>
        <v>Germany</v>
      </c>
      <c r="G3236" t="str">
        <f>IFERROR(INDEX(Region_Map[Region], MATCH(orders[[#This Row],[Customer_Country]], Region_Map[Country], 0)), "Unknown")</f>
        <v>Central Europe</v>
      </c>
      <c r="H3236" t="s">
        <v>6949</v>
      </c>
    </row>
    <row r="3237" spans="1:8">
      <c r="A3237" t="s">
        <v>4140</v>
      </c>
      <c r="B3237" t="s">
        <v>602</v>
      </c>
      <c r="C3237" s="1">
        <v>45562</v>
      </c>
      <c r="D3237" s="1" t="str">
        <f>PROPER(orders[[#This Row],[order_priority]])</f>
        <v>Economy</v>
      </c>
      <c r="E3237" t="s">
        <v>13316</v>
      </c>
      <c r="F3237" t="str">
        <f>IFERROR(INDEX(customers[country], MATCH(orders[[#This Row],[customer_id]], customers[customer_id], 0)), "Unmapped")</f>
        <v>Poland</v>
      </c>
      <c r="G3237" t="str">
        <f>IFERROR(INDEX(Region_Map[Region], MATCH(orders[[#This Row],[Customer_Country]], Region_Map[Country], 0)), "Unknown")</f>
        <v>Central Europe</v>
      </c>
      <c r="H3237" t="s">
        <v>6949</v>
      </c>
    </row>
    <row r="3238" spans="1:8">
      <c r="A3238" t="s">
        <v>4141</v>
      </c>
      <c r="B3238" t="s">
        <v>858</v>
      </c>
      <c r="C3238" s="1">
        <v>45011</v>
      </c>
      <c r="D3238" s="1" t="str">
        <f>PROPER(orders[[#This Row],[order_priority]])</f>
        <v>Same Day</v>
      </c>
      <c r="E3238" t="s">
        <v>13322</v>
      </c>
      <c r="F3238" t="str">
        <f>IFERROR(INDEX(customers[country], MATCH(orders[[#This Row],[customer_id]], customers[customer_id], 0)), "Unmapped")</f>
        <v>Lithuania</v>
      </c>
      <c r="G3238" t="str">
        <f>IFERROR(INDEX(Region_Map[Region], MATCH(orders[[#This Row],[Customer_Country]], Region_Map[Country], 0)), "Unknown")</f>
        <v>Baltics</v>
      </c>
      <c r="H3238" t="s">
        <v>6949</v>
      </c>
    </row>
    <row r="3239" spans="1:8">
      <c r="A3239" t="s">
        <v>4142</v>
      </c>
      <c r="B3239" t="s">
        <v>560</v>
      </c>
      <c r="C3239" s="1">
        <v>45441</v>
      </c>
      <c r="D3239" s="1" t="str">
        <f>PROPER(orders[[#This Row],[order_priority]])</f>
        <v>Express</v>
      </c>
      <c r="E3239" t="s">
        <v>13318</v>
      </c>
      <c r="F3239" t="str">
        <f>IFERROR(INDEX(customers[country], MATCH(orders[[#This Row],[customer_id]], customers[customer_id], 0)), "Unmapped")</f>
        <v>Finland</v>
      </c>
      <c r="G3239" t="str">
        <f>IFERROR(INDEX(Region_Map[Region], MATCH(orders[[#This Row],[Customer_Country]], Region_Map[Country], 0)), "Unknown")</f>
        <v>Nordics</v>
      </c>
      <c r="H3239" t="s">
        <v>6949</v>
      </c>
    </row>
    <row r="3240" spans="1:8">
      <c r="A3240" t="s">
        <v>4143</v>
      </c>
      <c r="B3240" t="s">
        <v>694</v>
      </c>
      <c r="C3240" s="1">
        <v>45051</v>
      </c>
      <c r="D3240" s="1" t="str">
        <f>PROPER(orders[[#This Row],[order_priority]])</f>
        <v>Same Day</v>
      </c>
      <c r="E3240" t="s">
        <v>13324</v>
      </c>
      <c r="F3240" t="str">
        <f>IFERROR(INDEX(customers[country], MATCH(orders[[#This Row],[customer_id]], customers[customer_id], 0)), "Unmapped")</f>
        <v>Lithuania</v>
      </c>
      <c r="G3240" t="str">
        <f>IFERROR(INDEX(Region_Map[Region], MATCH(orders[[#This Row],[Customer_Country]], Region_Map[Country], 0)), "Unknown")</f>
        <v>Baltics</v>
      </c>
      <c r="H3240" t="s">
        <v>6949</v>
      </c>
    </row>
    <row r="3241" spans="1:8">
      <c r="A3241" t="s">
        <v>4144</v>
      </c>
      <c r="B3241" t="s">
        <v>587</v>
      </c>
      <c r="C3241" s="1">
        <v>45039</v>
      </c>
      <c r="D3241" s="1" t="str">
        <f>PROPER(orders[[#This Row],[order_priority]])</f>
        <v>Standard</v>
      </c>
      <c r="E3241" t="s">
        <v>13317</v>
      </c>
      <c r="F3241" t="str">
        <f>IFERROR(INDEX(customers[country], MATCH(orders[[#This Row],[customer_id]], customers[customer_id], 0)), "Unmapped")</f>
        <v>Finland</v>
      </c>
      <c r="G3241" t="str">
        <f>IFERROR(INDEX(Region_Map[Region], MATCH(orders[[#This Row],[Customer_Country]], Region_Map[Country], 0)), "Unknown")</f>
        <v>Nordics</v>
      </c>
      <c r="H3241" t="s">
        <v>6949</v>
      </c>
    </row>
    <row r="3242" spans="1:8">
      <c r="A3242" t="s">
        <v>4145</v>
      </c>
      <c r="B3242" t="s">
        <v>350</v>
      </c>
      <c r="C3242" s="1">
        <v>45138</v>
      </c>
      <c r="D3242" s="1" t="str">
        <f>PROPER(orders[[#This Row],[order_priority]])</f>
        <v>Standard</v>
      </c>
      <c r="E3242" t="s">
        <v>13317</v>
      </c>
      <c r="F3242" t="str">
        <f>IFERROR(INDEX(customers[country], MATCH(orders[[#This Row],[customer_id]], customers[customer_id], 0)), "Unmapped")</f>
        <v>Netherlands</v>
      </c>
      <c r="G3242" t="str">
        <f>IFERROR(INDEX(Region_Map[Region], MATCH(orders[[#This Row],[Customer_Country]], Region_Map[Country], 0)), "Unknown")</f>
        <v>Central Europe</v>
      </c>
      <c r="H3242" t="s">
        <v>6949</v>
      </c>
    </row>
    <row r="3243" spans="1:8">
      <c r="A3243" t="s">
        <v>4146</v>
      </c>
      <c r="B3243" t="s">
        <v>326</v>
      </c>
      <c r="C3243" s="1">
        <v>45339</v>
      </c>
      <c r="D3243" s="1" t="str">
        <f>PROPER(orders[[#This Row],[order_priority]])</f>
        <v>Express</v>
      </c>
      <c r="E3243" t="s">
        <v>13318</v>
      </c>
      <c r="F3243" t="str">
        <f>IFERROR(INDEX(customers[country], MATCH(orders[[#This Row],[customer_id]], customers[customer_id], 0)), "Unmapped")</f>
        <v>Lithuania</v>
      </c>
      <c r="G3243" t="str">
        <f>IFERROR(INDEX(Region_Map[Region], MATCH(orders[[#This Row],[Customer_Country]], Region_Map[Country], 0)), "Unknown")</f>
        <v>Baltics</v>
      </c>
      <c r="H3243" t="s">
        <v>6949</v>
      </c>
    </row>
    <row r="3244" spans="1:8">
      <c r="A3244" t="s">
        <v>4147</v>
      </c>
      <c r="B3244" t="s">
        <v>70</v>
      </c>
      <c r="C3244" s="1">
        <v>45517</v>
      </c>
      <c r="D3244" s="1" t="str">
        <f>PROPER(orders[[#This Row],[order_priority]])</f>
        <v>Economy</v>
      </c>
      <c r="E3244" t="s">
        <v>13325</v>
      </c>
      <c r="F3244" t="str">
        <f>IFERROR(INDEX(customers[country], MATCH(orders[[#This Row],[customer_id]], customers[customer_id], 0)), "Unmapped")</f>
        <v>Estonia</v>
      </c>
      <c r="G3244" t="str">
        <f>IFERROR(INDEX(Region_Map[Region], MATCH(orders[[#This Row],[Customer_Country]], Region_Map[Country], 0)), "Unknown")</f>
        <v>Baltics</v>
      </c>
      <c r="H3244" t="s">
        <v>6949</v>
      </c>
    </row>
    <row r="3245" spans="1:8">
      <c r="A3245" t="s">
        <v>4148</v>
      </c>
      <c r="B3245" t="s">
        <v>755</v>
      </c>
      <c r="C3245" s="1">
        <v>44930</v>
      </c>
      <c r="D3245" s="1" t="str">
        <f>PROPER(orders[[#This Row],[order_priority]])</f>
        <v>Express</v>
      </c>
      <c r="E3245" t="s">
        <v>13318</v>
      </c>
      <c r="F3245" t="str">
        <f>IFERROR(INDEX(customers[country], MATCH(orders[[#This Row],[customer_id]], customers[customer_id], 0)), "Unmapped")</f>
        <v>Denmark</v>
      </c>
      <c r="G3245" t="str">
        <f>IFERROR(INDEX(Region_Map[Region], MATCH(orders[[#This Row],[Customer_Country]], Region_Map[Country], 0)), "Unknown")</f>
        <v>Nordics</v>
      </c>
      <c r="H3245" t="s">
        <v>6949</v>
      </c>
    </row>
    <row r="3246" spans="1:8">
      <c r="A3246" t="s">
        <v>4149</v>
      </c>
      <c r="B3246" t="s">
        <v>115</v>
      </c>
      <c r="C3246" s="1">
        <v>45535</v>
      </c>
      <c r="D3246" s="1" t="str">
        <f>PROPER(orders[[#This Row],[order_priority]])</f>
        <v>Same Day</v>
      </c>
      <c r="E3246" t="s">
        <v>13322</v>
      </c>
      <c r="F3246" t="str">
        <f>IFERROR(INDEX(customers[country], MATCH(orders[[#This Row],[customer_id]], customers[customer_id], 0)), "Unmapped")</f>
        <v>Finland</v>
      </c>
      <c r="G3246" t="str">
        <f>IFERROR(INDEX(Region_Map[Region], MATCH(orders[[#This Row],[Customer_Country]], Region_Map[Country], 0)), "Unknown")</f>
        <v>Nordics</v>
      </c>
      <c r="H3246" t="s">
        <v>6949</v>
      </c>
    </row>
    <row r="3247" spans="1:8">
      <c r="A3247" t="s">
        <v>4150</v>
      </c>
      <c r="B3247" t="s">
        <v>300</v>
      </c>
      <c r="C3247" s="1">
        <v>45334</v>
      </c>
      <c r="D3247" s="1" t="str">
        <f>PROPER(orders[[#This Row],[order_priority]])</f>
        <v>Express</v>
      </c>
      <c r="E3247" t="s">
        <v>13318</v>
      </c>
      <c r="F3247" t="str">
        <f>IFERROR(INDEX(customers[country], MATCH(orders[[#This Row],[customer_id]], customers[customer_id], 0)), "Unmapped")</f>
        <v>Poland</v>
      </c>
      <c r="G3247" t="str">
        <f>IFERROR(INDEX(Region_Map[Region], MATCH(orders[[#This Row],[Customer_Country]], Region_Map[Country], 0)), "Unknown")</f>
        <v>Central Europe</v>
      </c>
      <c r="H3247" t="s">
        <v>6949</v>
      </c>
    </row>
    <row r="3248" spans="1:8">
      <c r="A3248" t="s">
        <v>4151</v>
      </c>
      <c r="B3248" t="s">
        <v>787</v>
      </c>
      <c r="C3248" s="1">
        <v>45459</v>
      </c>
      <c r="D3248" s="1" t="str">
        <f>PROPER(orders[[#This Row],[order_priority]])</f>
        <v>Standard</v>
      </c>
      <c r="E3248" t="s">
        <v>13317</v>
      </c>
      <c r="F3248" t="str">
        <f>IFERROR(INDEX(customers[country], MATCH(orders[[#This Row],[customer_id]], customers[customer_id], 0)), "Unmapped")</f>
        <v>Netherlands</v>
      </c>
      <c r="G3248" t="str">
        <f>IFERROR(INDEX(Region_Map[Region], MATCH(orders[[#This Row],[Customer_Country]], Region_Map[Country], 0)), "Unknown")</f>
        <v>Central Europe</v>
      </c>
      <c r="H3248" t="s">
        <v>6949</v>
      </c>
    </row>
    <row r="3249" spans="1:8">
      <c r="A3249" t="s">
        <v>4152</v>
      </c>
      <c r="B3249" t="s">
        <v>518</v>
      </c>
      <c r="C3249" s="1">
        <v>45323</v>
      </c>
      <c r="D3249" s="1" t="str">
        <f>PROPER(orders[[#This Row],[order_priority]])</f>
        <v>Economy</v>
      </c>
      <c r="E3249" t="s">
        <v>13316</v>
      </c>
      <c r="F3249" t="str">
        <f>IFERROR(INDEX(customers[country], MATCH(orders[[#This Row],[customer_id]], customers[customer_id], 0)), "Unmapped")</f>
        <v>Germany</v>
      </c>
      <c r="G3249" t="str">
        <f>IFERROR(INDEX(Region_Map[Region], MATCH(orders[[#This Row],[Customer_Country]], Region_Map[Country], 0)), "Unknown")</f>
        <v>Central Europe</v>
      </c>
      <c r="H3249" t="s">
        <v>6949</v>
      </c>
    </row>
    <row r="3250" spans="1:8">
      <c r="A3250" t="s">
        <v>4153</v>
      </c>
      <c r="B3250" t="s">
        <v>858</v>
      </c>
      <c r="C3250" s="1">
        <v>45357</v>
      </c>
      <c r="D3250" s="1" t="str">
        <f>PROPER(orders[[#This Row],[order_priority]])</f>
        <v>Same Day</v>
      </c>
      <c r="E3250" t="s">
        <v>13322</v>
      </c>
      <c r="F3250" t="str">
        <f>IFERROR(INDEX(customers[country], MATCH(orders[[#This Row],[customer_id]], customers[customer_id], 0)), "Unmapped")</f>
        <v>Lithuania</v>
      </c>
      <c r="G3250" t="str">
        <f>IFERROR(INDEX(Region_Map[Region], MATCH(orders[[#This Row],[Customer_Country]], Region_Map[Country], 0)), "Unknown")</f>
        <v>Baltics</v>
      </c>
      <c r="H3250" t="s">
        <v>6949</v>
      </c>
    </row>
    <row r="3251" spans="1:8">
      <c r="A3251" t="s">
        <v>4154</v>
      </c>
      <c r="B3251" t="s">
        <v>246</v>
      </c>
      <c r="C3251" s="1">
        <v>45008</v>
      </c>
      <c r="D3251" s="1" t="str">
        <f>PROPER(orders[[#This Row],[order_priority]])</f>
        <v>Express</v>
      </c>
      <c r="E3251" t="s">
        <v>13318</v>
      </c>
      <c r="F3251" t="str">
        <f>IFERROR(INDEX(customers[country], MATCH(orders[[#This Row],[customer_id]], customers[customer_id], 0)), "Unmapped")</f>
        <v>Netherlands</v>
      </c>
      <c r="G3251" t="str">
        <f>IFERROR(INDEX(Region_Map[Region], MATCH(orders[[#This Row],[Customer_Country]], Region_Map[Country], 0)), "Unknown")</f>
        <v>Central Europe</v>
      </c>
      <c r="H3251" t="s">
        <v>6949</v>
      </c>
    </row>
    <row r="3252" spans="1:8">
      <c r="A3252" t="s">
        <v>4155</v>
      </c>
      <c r="B3252" t="s">
        <v>252</v>
      </c>
      <c r="C3252" s="1">
        <v>45242</v>
      </c>
      <c r="D3252" s="1" t="str">
        <f>PROPER(orders[[#This Row],[order_priority]])</f>
        <v>Standard</v>
      </c>
      <c r="E3252" t="s">
        <v>13319</v>
      </c>
      <c r="F3252" t="str">
        <f>IFERROR(INDEX(customers[country], MATCH(orders[[#This Row],[customer_id]], customers[customer_id], 0)), "Unmapped")</f>
        <v>Lithuania</v>
      </c>
      <c r="G3252" t="str">
        <f>IFERROR(INDEX(Region_Map[Region], MATCH(orders[[#This Row],[Customer_Country]], Region_Map[Country], 0)), "Unknown")</f>
        <v>Baltics</v>
      </c>
      <c r="H3252" t="s">
        <v>6949</v>
      </c>
    </row>
    <row r="3253" spans="1:8">
      <c r="A3253" t="s">
        <v>4156</v>
      </c>
      <c r="B3253" t="s">
        <v>752</v>
      </c>
      <c r="C3253" s="1">
        <v>45055</v>
      </c>
      <c r="D3253" s="1" t="str">
        <f>PROPER(orders[[#This Row],[order_priority]])</f>
        <v>Same Day</v>
      </c>
      <c r="E3253" t="s">
        <v>13324</v>
      </c>
      <c r="F3253" t="str">
        <f>IFERROR(INDEX(customers[country], MATCH(orders[[#This Row],[customer_id]], customers[customer_id], 0)), "Unmapped")</f>
        <v>Estonia</v>
      </c>
      <c r="G3253" t="str">
        <f>IFERROR(INDEX(Region_Map[Region], MATCH(orders[[#This Row],[Customer_Country]], Region_Map[Country], 0)), "Unknown")</f>
        <v>Baltics</v>
      </c>
      <c r="H3253" t="s">
        <v>6949</v>
      </c>
    </row>
    <row r="3254" spans="1:8">
      <c r="A3254" t="s">
        <v>4157</v>
      </c>
      <c r="B3254" t="s">
        <v>524</v>
      </c>
      <c r="C3254" s="1">
        <v>45420</v>
      </c>
      <c r="D3254" s="1" t="str">
        <f>PROPER(orders[[#This Row],[order_priority]])</f>
        <v>Economy</v>
      </c>
      <c r="E3254" t="s">
        <v>13316</v>
      </c>
      <c r="F3254" t="str">
        <f>IFERROR(INDEX(customers[country], MATCH(orders[[#This Row],[customer_id]], customers[customer_id], 0)), "Unmapped")</f>
        <v>Norway</v>
      </c>
      <c r="G3254" t="str">
        <f>IFERROR(INDEX(Region_Map[Region], MATCH(orders[[#This Row],[Customer_Country]], Region_Map[Country], 0)), "Unknown")</f>
        <v>Nordics</v>
      </c>
      <c r="H3254" t="s">
        <v>6949</v>
      </c>
    </row>
    <row r="3255" spans="1:8">
      <c r="A3255" t="s">
        <v>4158</v>
      </c>
      <c r="B3255" t="s">
        <v>828</v>
      </c>
      <c r="C3255" s="1">
        <v>45066</v>
      </c>
      <c r="D3255" s="1" t="str">
        <f>PROPER(orders[[#This Row],[order_priority]])</f>
        <v>Express</v>
      </c>
      <c r="E3255" t="s">
        <v>13320</v>
      </c>
      <c r="F3255" t="str">
        <f>IFERROR(INDEX(customers[country], MATCH(orders[[#This Row],[customer_id]], customers[customer_id], 0)), "Unmapped")</f>
        <v>Germany</v>
      </c>
      <c r="G3255" t="str">
        <f>IFERROR(INDEX(Region_Map[Region], MATCH(orders[[#This Row],[Customer_Country]], Region_Map[Country], 0)), "Unknown")</f>
        <v>Central Europe</v>
      </c>
      <c r="H3255" t="s">
        <v>6949</v>
      </c>
    </row>
    <row r="3256" spans="1:8">
      <c r="A3256" t="s">
        <v>4159</v>
      </c>
      <c r="B3256" t="s">
        <v>709</v>
      </c>
      <c r="C3256" s="1">
        <v>45203</v>
      </c>
      <c r="D3256" s="1" t="str">
        <f>PROPER(orders[[#This Row],[order_priority]])</f>
        <v>Economy</v>
      </c>
      <c r="E3256" t="s">
        <v>13316</v>
      </c>
      <c r="F3256" t="str">
        <f>IFERROR(INDEX(customers[country], MATCH(orders[[#This Row],[customer_id]], customers[customer_id], 0)), "Unmapped")</f>
        <v>Netherlands</v>
      </c>
      <c r="G3256" t="str">
        <f>IFERROR(INDEX(Region_Map[Region], MATCH(orders[[#This Row],[Customer_Country]], Region_Map[Country], 0)), "Unknown")</f>
        <v>Central Europe</v>
      </c>
      <c r="H3256" t="s">
        <v>6949</v>
      </c>
    </row>
    <row r="3257" spans="1:8">
      <c r="A3257" t="s">
        <v>4160</v>
      </c>
      <c r="B3257" t="s">
        <v>805</v>
      </c>
      <c r="C3257" s="1">
        <v>44941</v>
      </c>
      <c r="D3257" s="1" t="str">
        <f>PROPER(orders[[#This Row],[order_priority]])</f>
        <v>Express</v>
      </c>
      <c r="E3257" t="s">
        <v>13320</v>
      </c>
      <c r="F3257" t="str">
        <f>IFERROR(INDEX(customers[country], MATCH(orders[[#This Row],[customer_id]], customers[customer_id], 0)), "Unmapped")</f>
        <v>Estonia</v>
      </c>
      <c r="G3257" t="str">
        <f>IFERROR(INDEX(Region_Map[Region], MATCH(orders[[#This Row],[Customer_Country]], Region_Map[Country], 0)), "Unknown")</f>
        <v>Baltics</v>
      </c>
      <c r="H3257" t="s">
        <v>6949</v>
      </c>
    </row>
    <row r="3258" spans="1:8">
      <c r="A3258" t="s">
        <v>4161</v>
      </c>
      <c r="B3258" t="s">
        <v>811</v>
      </c>
      <c r="C3258" s="1">
        <v>45031</v>
      </c>
      <c r="D3258" s="1" t="str">
        <f>PROPER(orders[[#This Row],[order_priority]])</f>
        <v>Standard</v>
      </c>
      <c r="E3258" t="s">
        <v>13317</v>
      </c>
      <c r="F3258" t="str">
        <f>IFERROR(INDEX(customers[country], MATCH(orders[[#This Row],[customer_id]], customers[customer_id], 0)), "Unmapped")</f>
        <v>Finland</v>
      </c>
      <c r="G3258" t="str">
        <f>IFERROR(INDEX(Region_Map[Region], MATCH(orders[[#This Row],[Customer_Country]], Region_Map[Country], 0)), "Unknown")</f>
        <v>Nordics</v>
      </c>
      <c r="H3258" t="s">
        <v>6949</v>
      </c>
    </row>
    <row r="3259" spans="1:8">
      <c r="A3259" t="s">
        <v>4162</v>
      </c>
      <c r="B3259" t="s">
        <v>596</v>
      </c>
      <c r="C3259" s="1">
        <v>45232</v>
      </c>
      <c r="D3259" s="1" t="str">
        <f>PROPER(orders[[#This Row],[order_priority]])</f>
        <v>Same Day</v>
      </c>
      <c r="E3259" t="s">
        <v>13322</v>
      </c>
      <c r="F3259" t="str">
        <f>IFERROR(INDEX(customers[country], MATCH(orders[[#This Row],[customer_id]], customers[customer_id], 0)), "Unmapped")</f>
        <v>Lithuania</v>
      </c>
      <c r="G3259" t="str">
        <f>IFERROR(INDEX(Region_Map[Region], MATCH(orders[[#This Row],[Customer_Country]], Region_Map[Country], 0)), "Unknown")</f>
        <v>Baltics</v>
      </c>
      <c r="H3259" t="s">
        <v>6949</v>
      </c>
    </row>
    <row r="3260" spans="1:8">
      <c r="A3260" t="s">
        <v>4163</v>
      </c>
      <c r="B3260" t="s">
        <v>133</v>
      </c>
      <c r="C3260" s="1">
        <v>44960</v>
      </c>
      <c r="D3260" s="1" t="str">
        <f>PROPER(orders[[#This Row],[order_priority]])</f>
        <v>Economy</v>
      </c>
      <c r="E3260" t="s">
        <v>13316</v>
      </c>
      <c r="F3260" t="str">
        <f>IFERROR(INDEX(customers[country], MATCH(orders[[#This Row],[customer_id]], customers[customer_id], 0)), "Unmapped")</f>
        <v>Finland</v>
      </c>
      <c r="G3260" t="str">
        <f>IFERROR(INDEX(Region_Map[Region], MATCH(orders[[#This Row],[Customer_Country]], Region_Map[Country], 0)), "Unknown")</f>
        <v>Nordics</v>
      </c>
      <c r="H3260" t="s">
        <v>6949</v>
      </c>
    </row>
    <row r="3261" spans="1:8">
      <c r="A3261" t="s">
        <v>4164</v>
      </c>
      <c r="B3261" t="s">
        <v>437</v>
      </c>
      <c r="C3261" s="1">
        <v>44959</v>
      </c>
      <c r="D3261" s="1" t="str">
        <f>PROPER(orders[[#This Row],[order_priority]])</f>
        <v>Standard</v>
      </c>
      <c r="E3261" t="s">
        <v>13317</v>
      </c>
      <c r="F3261" t="str">
        <f>IFERROR(INDEX(customers[country], MATCH(orders[[#This Row],[customer_id]], customers[customer_id], 0)), "Unmapped")</f>
        <v>Lithuania</v>
      </c>
      <c r="G3261" t="str">
        <f>IFERROR(INDEX(Region_Map[Region], MATCH(orders[[#This Row],[Customer_Country]], Region_Map[Country], 0)), "Unknown")</f>
        <v>Baltics</v>
      </c>
      <c r="H3261" t="s">
        <v>6949</v>
      </c>
    </row>
    <row r="3262" spans="1:8">
      <c r="A3262" t="s">
        <v>4165</v>
      </c>
      <c r="B3262" t="s">
        <v>6949</v>
      </c>
      <c r="C3262" s="1">
        <v>44995</v>
      </c>
      <c r="D3262" s="1" t="str">
        <f>PROPER(orders[[#This Row],[order_priority]])</f>
        <v>Express</v>
      </c>
      <c r="E3262" t="s">
        <v>13320</v>
      </c>
      <c r="F3262" t="str">
        <f>IFERROR(INDEX(customers[country], MATCH(orders[[#This Row],[customer_id]], customers[customer_id], 0)), "Unmapped")</f>
        <v>Unmapped</v>
      </c>
      <c r="G3262" t="str">
        <f>IFERROR(INDEX(Region_Map[Region], MATCH(orders[[#This Row],[Customer_Country]], Region_Map[Country], 0)), "Unknown")</f>
        <v>Unknown</v>
      </c>
      <c r="H3262" t="s">
        <v>6949</v>
      </c>
    </row>
    <row r="3263" spans="1:8">
      <c r="A3263" t="s">
        <v>4166</v>
      </c>
      <c r="B3263" t="s">
        <v>769</v>
      </c>
      <c r="C3263" s="1">
        <v>45507</v>
      </c>
      <c r="D3263" s="1" t="str">
        <f>PROPER(orders[[#This Row],[order_priority]])</f>
        <v>Economy</v>
      </c>
      <c r="E3263" t="s">
        <v>13316</v>
      </c>
      <c r="F3263" t="str">
        <f>IFERROR(INDEX(customers[country], MATCH(orders[[#This Row],[customer_id]], customers[customer_id], 0)), "Unmapped")</f>
        <v>Latvia</v>
      </c>
      <c r="G3263" t="str">
        <f>IFERROR(INDEX(Region_Map[Region], MATCH(orders[[#This Row],[Customer_Country]], Region_Map[Country], 0)), "Unknown")</f>
        <v>Baltics</v>
      </c>
      <c r="H3263" t="s">
        <v>6949</v>
      </c>
    </row>
    <row r="3264" spans="1:8">
      <c r="A3264" t="s">
        <v>4167</v>
      </c>
      <c r="B3264" t="s">
        <v>825</v>
      </c>
      <c r="C3264" s="1">
        <v>45363</v>
      </c>
      <c r="D3264" s="1" t="str">
        <f>PROPER(orders[[#This Row],[order_priority]])</f>
        <v>Economy</v>
      </c>
      <c r="E3264" t="s">
        <v>13316</v>
      </c>
      <c r="F3264" t="str">
        <f>IFERROR(INDEX(customers[country], MATCH(orders[[#This Row],[customer_id]], customers[customer_id], 0)), "Unmapped")</f>
        <v>Latvia</v>
      </c>
      <c r="G3264" t="str">
        <f>IFERROR(INDEX(Region_Map[Region], MATCH(orders[[#This Row],[Customer_Country]], Region_Map[Country], 0)), "Unknown")</f>
        <v>Baltics</v>
      </c>
      <c r="H3264" t="s">
        <v>6949</v>
      </c>
    </row>
    <row r="3265" spans="1:8">
      <c r="A3265" t="s">
        <v>4168</v>
      </c>
      <c r="B3265" t="s">
        <v>267</v>
      </c>
      <c r="C3265" s="1">
        <v>44998</v>
      </c>
      <c r="D3265" s="1" t="str">
        <f>PROPER(orders[[#This Row],[order_priority]])</f>
        <v>Express</v>
      </c>
      <c r="E3265" t="s">
        <v>13326</v>
      </c>
      <c r="F3265" t="str">
        <f>IFERROR(INDEX(customers[country], MATCH(orders[[#This Row],[customer_id]], customers[customer_id], 0)), "Unmapped")</f>
        <v>Norway</v>
      </c>
      <c r="G3265" t="str">
        <f>IFERROR(INDEX(Region_Map[Region], MATCH(orders[[#This Row],[Customer_Country]], Region_Map[Country], 0)), "Unknown")</f>
        <v>Nordics</v>
      </c>
      <c r="H3265" t="s">
        <v>6949</v>
      </c>
    </row>
    <row r="3266" spans="1:8">
      <c r="A3266" t="s">
        <v>4169</v>
      </c>
      <c r="B3266" t="s">
        <v>121</v>
      </c>
      <c r="C3266" s="1">
        <v>45519</v>
      </c>
      <c r="D3266" s="1" t="str">
        <f>PROPER(orders[[#This Row],[order_priority]])</f>
        <v>Same Day</v>
      </c>
      <c r="E3266" t="s">
        <v>13322</v>
      </c>
      <c r="F3266" t="str">
        <f>IFERROR(INDEX(customers[country], MATCH(orders[[#This Row],[customer_id]], customers[customer_id], 0)), "Unmapped")</f>
        <v>Estonia</v>
      </c>
      <c r="G3266" t="str">
        <f>IFERROR(INDEX(Region_Map[Region], MATCH(orders[[#This Row],[Customer_Country]], Region_Map[Country], 0)), "Unknown")</f>
        <v>Baltics</v>
      </c>
      <c r="H3266" t="s">
        <v>6949</v>
      </c>
    </row>
    <row r="3267" spans="1:8">
      <c r="A3267" t="s">
        <v>4170</v>
      </c>
      <c r="B3267" t="s">
        <v>377</v>
      </c>
      <c r="C3267" s="1">
        <v>45358</v>
      </c>
      <c r="D3267" s="1" t="str">
        <f>PROPER(orders[[#This Row],[order_priority]])</f>
        <v>Express</v>
      </c>
      <c r="E3267" t="s">
        <v>13318</v>
      </c>
      <c r="F3267" t="str">
        <f>IFERROR(INDEX(customers[country], MATCH(orders[[#This Row],[customer_id]], customers[customer_id], 0)), "Unmapped")</f>
        <v>Denmark</v>
      </c>
      <c r="G3267" t="str">
        <f>IFERROR(INDEX(Region_Map[Region], MATCH(orders[[#This Row],[Customer_Country]], Region_Map[Country], 0)), "Unknown")</f>
        <v>Nordics</v>
      </c>
      <c r="H3267" t="s">
        <v>6949</v>
      </c>
    </row>
    <row r="3268" spans="1:8">
      <c r="A3268" t="s">
        <v>4171</v>
      </c>
      <c r="B3268" t="s">
        <v>389</v>
      </c>
      <c r="C3268" s="1">
        <v>45500</v>
      </c>
      <c r="D3268" s="1" t="str">
        <f>PROPER(orders[[#This Row],[order_priority]])</f>
        <v>Same Day</v>
      </c>
      <c r="E3268" t="s">
        <v>13322</v>
      </c>
      <c r="F3268" t="str">
        <f>IFERROR(INDEX(customers[country], MATCH(orders[[#This Row],[customer_id]], customers[customer_id], 0)), "Unmapped")</f>
        <v>Poland</v>
      </c>
      <c r="G3268" t="str">
        <f>IFERROR(INDEX(Region_Map[Region], MATCH(orders[[#This Row],[Customer_Country]], Region_Map[Country], 0)), "Unknown")</f>
        <v>Central Europe</v>
      </c>
      <c r="H3268" t="s">
        <v>6949</v>
      </c>
    </row>
    <row r="3269" spans="1:8">
      <c r="A3269" t="s">
        <v>4172</v>
      </c>
      <c r="B3269" t="s">
        <v>234</v>
      </c>
      <c r="C3269" s="1">
        <v>45155</v>
      </c>
      <c r="D3269" s="1" t="str">
        <f>PROPER(orders[[#This Row],[order_priority]])</f>
        <v>Economy</v>
      </c>
      <c r="E3269" t="s">
        <v>13316</v>
      </c>
      <c r="F3269" t="str">
        <f>IFERROR(INDEX(customers[country], MATCH(orders[[#This Row],[customer_id]], customers[customer_id], 0)), "Unmapped")</f>
        <v>Finland</v>
      </c>
      <c r="G3269" t="str">
        <f>IFERROR(INDEX(Region_Map[Region], MATCH(orders[[#This Row],[Customer_Country]], Region_Map[Country], 0)), "Unknown")</f>
        <v>Nordics</v>
      </c>
      <c r="H3269" t="s">
        <v>6949</v>
      </c>
    </row>
    <row r="3270" spans="1:8">
      <c r="A3270" t="s">
        <v>4173</v>
      </c>
      <c r="B3270" t="s">
        <v>335</v>
      </c>
      <c r="C3270" s="1">
        <v>45608</v>
      </c>
      <c r="D3270" s="1" t="str">
        <f>PROPER(orders[[#This Row],[order_priority]])</f>
        <v>Same Day</v>
      </c>
      <c r="E3270" t="s">
        <v>13324</v>
      </c>
      <c r="F3270" t="str">
        <f>IFERROR(INDEX(customers[country], MATCH(orders[[#This Row],[customer_id]], customers[customer_id], 0)), "Unmapped")</f>
        <v>Denmark</v>
      </c>
      <c r="G3270" t="str">
        <f>IFERROR(INDEX(Region_Map[Region], MATCH(orders[[#This Row],[Customer_Country]], Region_Map[Country], 0)), "Unknown")</f>
        <v>Nordics</v>
      </c>
      <c r="H3270" t="s">
        <v>6949</v>
      </c>
    </row>
    <row r="3271" spans="1:8">
      <c r="A3271" t="s">
        <v>4174</v>
      </c>
      <c r="B3271" t="s">
        <v>371</v>
      </c>
      <c r="C3271" s="1">
        <v>45194</v>
      </c>
      <c r="D3271" s="1" t="str">
        <f>PROPER(orders[[#This Row],[order_priority]])</f>
        <v>Economy</v>
      </c>
      <c r="E3271" t="s">
        <v>13325</v>
      </c>
      <c r="F3271" t="str">
        <f>IFERROR(INDEX(customers[country], MATCH(orders[[#This Row],[customer_id]], customers[customer_id], 0)), "Unmapped")</f>
        <v>Germany</v>
      </c>
      <c r="G3271" t="str">
        <f>IFERROR(INDEX(Region_Map[Region], MATCH(orders[[#This Row],[Customer_Country]], Region_Map[Country], 0)), "Unknown")</f>
        <v>Central Europe</v>
      </c>
      <c r="H3271" t="s">
        <v>6949</v>
      </c>
    </row>
    <row r="3272" spans="1:8">
      <c r="A3272" t="s">
        <v>4175</v>
      </c>
      <c r="B3272" t="s">
        <v>380</v>
      </c>
      <c r="C3272" s="1">
        <v>44978</v>
      </c>
      <c r="D3272" s="1" t="str">
        <f>PROPER(orders[[#This Row],[order_priority]])</f>
        <v>Same Day</v>
      </c>
      <c r="E3272" t="s">
        <v>13322</v>
      </c>
      <c r="F3272" t="str">
        <f>IFERROR(INDEX(customers[country], MATCH(orders[[#This Row],[customer_id]], customers[customer_id], 0)), "Unmapped")</f>
        <v>Sweden</v>
      </c>
      <c r="G3272" t="str">
        <f>IFERROR(INDEX(Region_Map[Region], MATCH(orders[[#This Row],[Customer_Country]], Region_Map[Country], 0)), "Unknown")</f>
        <v>Nordics</v>
      </c>
      <c r="H3272" t="s">
        <v>6949</v>
      </c>
    </row>
    <row r="3273" spans="1:8">
      <c r="A3273" t="s">
        <v>4176</v>
      </c>
      <c r="B3273" t="s">
        <v>476</v>
      </c>
      <c r="C3273" s="1">
        <v>44993</v>
      </c>
      <c r="D3273" s="1" t="str">
        <f>PROPER(orders[[#This Row],[order_priority]])</f>
        <v>Express</v>
      </c>
      <c r="E3273" t="s">
        <v>13318</v>
      </c>
      <c r="F3273" t="str">
        <f>IFERROR(INDEX(customers[country], MATCH(orders[[#This Row],[customer_id]], customers[customer_id], 0)), "Unmapped")</f>
        <v>Norway</v>
      </c>
      <c r="G3273" t="str">
        <f>IFERROR(INDEX(Region_Map[Region], MATCH(orders[[#This Row],[Customer_Country]], Region_Map[Country], 0)), "Unknown")</f>
        <v>Nordics</v>
      </c>
      <c r="H3273" t="s">
        <v>6949</v>
      </c>
    </row>
    <row r="3274" spans="1:8">
      <c r="A3274" t="s">
        <v>4177</v>
      </c>
      <c r="B3274" t="s">
        <v>685</v>
      </c>
      <c r="C3274" s="1">
        <v>45380</v>
      </c>
      <c r="D3274" s="1" t="str">
        <f>PROPER(orders[[#This Row],[order_priority]])</f>
        <v>Standard</v>
      </c>
      <c r="E3274" t="s">
        <v>13317</v>
      </c>
      <c r="F3274" t="str">
        <f>IFERROR(INDEX(customers[country], MATCH(orders[[#This Row],[customer_id]], customers[customer_id], 0)), "Unmapped")</f>
        <v>Latvia</v>
      </c>
      <c r="G3274" t="str">
        <f>IFERROR(INDEX(Region_Map[Region], MATCH(orders[[#This Row],[Customer_Country]], Region_Map[Country], 0)), "Unknown")</f>
        <v>Baltics</v>
      </c>
      <c r="H3274" t="s">
        <v>6949</v>
      </c>
    </row>
    <row r="3275" spans="1:8">
      <c r="A3275" t="s">
        <v>4178</v>
      </c>
      <c r="B3275" t="s">
        <v>658</v>
      </c>
      <c r="C3275" s="1">
        <v>45125</v>
      </c>
      <c r="D3275" s="1" t="str">
        <f>PROPER(orders[[#This Row],[order_priority]])</f>
        <v>Express</v>
      </c>
      <c r="E3275" t="s">
        <v>13318</v>
      </c>
      <c r="F3275" t="str">
        <f>IFERROR(INDEX(customers[country], MATCH(orders[[#This Row],[customer_id]], customers[customer_id], 0)), "Unmapped")</f>
        <v>Latvia</v>
      </c>
      <c r="G3275" t="str">
        <f>IFERROR(INDEX(Region_Map[Region], MATCH(orders[[#This Row],[Customer_Country]], Region_Map[Country], 0)), "Unknown")</f>
        <v>Baltics</v>
      </c>
      <c r="H3275" t="s">
        <v>6949</v>
      </c>
    </row>
    <row r="3276" spans="1:8">
      <c r="A3276" t="s">
        <v>4179</v>
      </c>
      <c r="B3276" t="s">
        <v>608</v>
      </c>
      <c r="C3276" s="1">
        <v>45307</v>
      </c>
      <c r="D3276" s="1" t="str">
        <f>PROPER(orders[[#This Row],[order_priority]])</f>
        <v>Standard</v>
      </c>
      <c r="E3276" t="s">
        <v>13323</v>
      </c>
      <c r="F3276" t="str">
        <f>IFERROR(INDEX(customers[country], MATCH(orders[[#This Row],[customer_id]], customers[customer_id], 0)), "Unmapped")</f>
        <v>Finland</v>
      </c>
      <c r="G3276" t="str">
        <f>IFERROR(INDEX(Region_Map[Region], MATCH(orders[[#This Row],[Customer_Country]], Region_Map[Country], 0)), "Unknown")</f>
        <v>Nordics</v>
      </c>
      <c r="H3276" t="s">
        <v>6949</v>
      </c>
    </row>
    <row r="3277" spans="1:8">
      <c r="A3277" t="s">
        <v>4180</v>
      </c>
      <c r="B3277" t="s">
        <v>145</v>
      </c>
      <c r="C3277" s="1">
        <v>45040</v>
      </c>
      <c r="D3277" s="1" t="str">
        <f>PROPER(orders[[#This Row],[order_priority]])</f>
        <v>Economy</v>
      </c>
      <c r="E3277" t="s">
        <v>13316</v>
      </c>
      <c r="F3277" t="str">
        <f>IFERROR(INDEX(customers[country], MATCH(orders[[#This Row],[customer_id]], customers[customer_id], 0)), "Unmapped")</f>
        <v>Latvia</v>
      </c>
      <c r="G3277" t="str">
        <f>IFERROR(INDEX(Region_Map[Region], MATCH(orders[[#This Row],[Customer_Country]], Region_Map[Country], 0)), "Unknown")</f>
        <v>Baltics</v>
      </c>
      <c r="H3277" t="s">
        <v>6949</v>
      </c>
    </row>
    <row r="3278" spans="1:8">
      <c r="A3278" t="s">
        <v>4181</v>
      </c>
      <c r="B3278" t="s">
        <v>27</v>
      </c>
      <c r="C3278" s="1">
        <v>45366</v>
      </c>
      <c r="D3278" s="1" t="str">
        <f>PROPER(orders[[#This Row],[order_priority]])</f>
        <v>Economy</v>
      </c>
      <c r="E3278" t="s">
        <v>13316</v>
      </c>
      <c r="F3278" t="str">
        <f>IFERROR(INDEX(customers[country], MATCH(orders[[#This Row],[customer_id]], customers[customer_id], 0)), "Unmapped")</f>
        <v>Latvia</v>
      </c>
      <c r="G3278" t="str">
        <f>IFERROR(INDEX(Region_Map[Region], MATCH(orders[[#This Row],[Customer_Country]], Region_Map[Country], 0)), "Unknown")</f>
        <v>Baltics</v>
      </c>
      <c r="H3278" t="s">
        <v>6949</v>
      </c>
    </row>
    <row r="3279" spans="1:8">
      <c r="A3279" t="s">
        <v>4182</v>
      </c>
      <c r="B3279" t="s">
        <v>852</v>
      </c>
      <c r="C3279" s="1">
        <v>44932</v>
      </c>
      <c r="D3279" s="1" t="str">
        <f>PROPER(orders[[#This Row],[order_priority]])</f>
        <v>Standard</v>
      </c>
      <c r="E3279" t="s">
        <v>13317</v>
      </c>
      <c r="F3279" t="str">
        <f>IFERROR(INDEX(customers[country], MATCH(orders[[#This Row],[customer_id]], customers[customer_id], 0)), "Unmapped")</f>
        <v>Sweden</v>
      </c>
      <c r="G3279" t="str">
        <f>IFERROR(INDEX(Region_Map[Region], MATCH(orders[[#This Row],[Customer_Country]], Region_Map[Country], 0)), "Unknown")</f>
        <v>Nordics</v>
      </c>
      <c r="H3279" t="s">
        <v>6949</v>
      </c>
    </row>
    <row r="3280" spans="1:8">
      <c r="A3280" t="s">
        <v>4183</v>
      </c>
      <c r="B3280" t="s">
        <v>796</v>
      </c>
      <c r="C3280" s="1">
        <v>45001</v>
      </c>
      <c r="D3280" s="1" t="str">
        <f>PROPER(orders[[#This Row],[order_priority]])</f>
        <v>Economy</v>
      </c>
      <c r="E3280" t="s">
        <v>13316</v>
      </c>
      <c r="F3280" t="str">
        <f>IFERROR(INDEX(customers[country], MATCH(orders[[#This Row],[customer_id]], customers[customer_id], 0)), "Unmapped")</f>
        <v>Sweden</v>
      </c>
      <c r="G3280" t="str">
        <f>IFERROR(INDEX(Region_Map[Region], MATCH(orders[[#This Row],[Customer_Country]], Region_Map[Country], 0)), "Unknown")</f>
        <v>Nordics</v>
      </c>
      <c r="H3280" t="s">
        <v>6949</v>
      </c>
    </row>
    <row r="3281" spans="1:8">
      <c r="A3281" t="s">
        <v>4184</v>
      </c>
      <c r="B3281" t="s">
        <v>371</v>
      </c>
      <c r="C3281" s="1">
        <v>45012</v>
      </c>
      <c r="D3281" s="1" t="str">
        <f>PROPER(orders[[#This Row],[order_priority]])</f>
        <v>Standard</v>
      </c>
      <c r="E3281" t="s">
        <v>13317</v>
      </c>
      <c r="F3281" t="str">
        <f>IFERROR(INDEX(customers[country], MATCH(orders[[#This Row],[customer_id]], customers[customer_id], 0)), "Unmapped")</f>
        <v>Germany</v>
      </c>
      <c r="G3281" t="str">
        <f>IFERROR(INDEX(Region_Map[Region], MATCH(orders[[#This Row],[Customer_Country]], Region_Map[Country], 0)), "Unknown")</f>
        <v>Central Europe</v>
      </c>
      <c r="H3281" t="s">
        <v>6949</v>
      </c>
    </row>
    <row r="3282" spans="1:8">
      <c r="A3282" t="s">
        <v>4185</v>
      </c>
      <c r="B3282" t="s">
        <v>685</v>
      </c>
      <c r="C3282" s="1">
        <v>45430</v>
      </c>
      <c r="D3282" s="1" t="str">
        <f>PROPER(orders[[#This Row],[order_priority]])</f>
        <v>Express</v>
      </c>
      <c r="E3282" t="s">
        <v>13318</v>
      </c>
      <c r="F3282" t="str">
        <f>IFERROR(INDEX(customers[country], MATCH(orders[[#This Row],[customer_id]], customers[customer_id], 0)), "Unmapped")</f>
        <v>Latvia</v>
      </c>
      <c r="G3282" t="str">
        <f>IFERROR(INDEX(Region_Map[Region], MATCH(orders[[#This Row],[Customer_Country]], Region_Map[Country], 0)), "Unknown")</f>
        <v>Baltics</v>
      </c>
      <c r="H3282" t="s">
        <v>6949</v>
      </c>
    </row>
    <row r="3283" spans="1:8">
      <c r="A3283" t="s">
        <v>4186</v>
      </c>
      <c r="B3283" t="s">
        <v>13346</v>
      </c>
      <c r="C3283" s="1">
        <v>45621</v>
      </c>
      <c r="D3283" s="1" t="str">
        <f>PROPER(orders[[#This Row],[order_priority]])</f>
        <v>Economy</v>
      </c>
      <c r="E3283" t="s">
        <v>13316</v>
      </c>
      <c r="F3283" t="str">
        <f>IFERROR(INDEX(customers[country], MATCH(orders[[#This Row],[customer_id]], customers[customer_id], 0)), "Unmapped")</f>
        <v>Unmapped</v>
      </c>
      <c r="G3283" t="str">
        <f>IFERROR(INDEX(Region_Map[Region], MATCH(orders[[#This Row],[Customer_Country]], Region_Map[Country], 0)), "Unknown")</f>
        <v>Unknown</v>
      </c>
      <c r="H3283" t="s">
        <v>6949</v>
      </c>
    </row>
    <row r="3284" spans="1:8">
      <c r="A3284" t="s">
        <v>4187</v>
      </c>
      <c r="B3284" t="s">
        <v>84</v>
      </c>
      <c r="C3284" s="1">
        <v>45382</v>
      </c>
      <c r="D3284" s="1" t="str">
        <f>PROPER(orders[[#This Row],[order_priority]])</f>
        <v>Standard</v>
      </c>
      <c r="E3284" t="s">
        <v>13317</v>
      </c>
      <c r="F3284" t="str">
        <f>IFERROR(INDEX(customers[country], MATCH(orders[[#This Row],[customer_id]], customers[customer_id], 0)), "Unmapped")</f>
        <v>Lithuania</v>
      </c>
      <c r="G3284" t="str">
        <f>IFERROR(INDEX(Region_Map[Region], MATCH(orders[[#This Row],[Customer_Country]], Region_Map[Country], 0)), "Unknown")</f>
        <v>Baltics</v>
      </c>
      <c r="H3284" t="s">
        <v>6949</v>
      </c>
    </row>
    <row r="3285" spans="1:8">
      <c r="A3285" t="s">
        <v>4188</v>
      </c>
      <c r="B3285" t="s">
        <v>760</v>
      </c>
      <c r="C3285" s="1">
        <v>45429</v>
      </c>
      <c r="D3285" s="1" t="str">
        <f>PROPER(orders[[#This Row],[order_priority]])</f>
        <v>Standard</v>
      </c>
      <c r="E3285" t="s">
        <v>13317</v>
      </c>
      <c r="F3285" t="str">
        <f>IFERROR(INDEX(customers[country], MATCH(orders[[#This Row],[customer_id]], customers[customer_id], 0)), "Unmapped")</f>
        <v>Poland</v>
      </c>
      <c r="G3285" t="str">
        <f>IFERROR(INDEX(Region_Map[Region], MATCH(orders[[#This Row],[Customer_Country]], Region_Map[Country], 0)), "Unknown")</f>
        <v>Central Europe</v>
      </c>
      <c r="H3285" t="s">
        <v>6949</v>
      </c>
    </row>
    <row r="3286" spans="1:8">
      <c r="A3286" t="s">
        <v>4189</v>
      </c>
      <c r="B3286" t="s">
        <v>389</v>
      </c>
      <c r="C3286" s="1">
        <v>45507</v>
      </c>
      <c r="D3286" s="1" t="str">
        <f>PROPER(orders[[#This Row],[order_priority]])</f>
        <v>Same Day</v>
      </c>
      <c r="E3286" t="s">
        <v>13322</v>
      </c>
      <c r="F3286" t="str">
        <f>IFERROR(INDEX(customers[country], MATCH(orders[[#This Row],[customer_id]], customers[customer_id], 0)), "Unmapped")</f>
        <v>Poland</v>
      </c>
      <c r="G3286" t="str">
        <f>IFERROR(INDEX(Region_Map[Region], MATCH(orders[[#This Row],[Customer_Country]], Region_Map[Country], 0)), "Unknown")</f>
        <v>Central Europe</v>
      </c>
      <c r="H3286" t="s">
        <v>6949</v>
      </c>
    </row>
    <row r="3287" spans="1:8">
      <c r="A3287" t="s">
        <v>4190</v>
      </c>
      <c r="B3287" t="s">
        <v>458</v>
      </c>
      <c r="C3287" s="1">
        <v>45008</v>
      </c>
      <c r="D3287" s="1" t="str">
        <f>PROPER(orders[[#This Row],[order_priority]])</f>
        <v>Economy</v>
      </c>
      <c r="E3287" t="s">
        <v>13316</v>
      </c>
      <c r="F3287" t="str">
        <f>IFERROR(INDEX(customers[country], MATCH(orders[[#This Row],[customer_id]], customers[customer_id], 0)), "Unmapped")</f>
        <v>Poland</v>
      </c>
      <c r="G3287" t="str">
        <f>IFERROR(INDEX(Region_Map[Region], MATCH(orders[[#This Row],[Customer_Country]], Region_Map[Country], 0)), "Unknown")</f>
        <v>Central Europe</v>
      </c>
      <c r="H3287" t="s">
        <v>6949</v>
      </c>
    </row>
    <row r="3288" spans="1:8">
      <c r="A3288" t="s">
        <v>4191</v>
      </c>
      <c r="B3288" t="s">
        <v>602</v>
      </c>
      <c r="C3288" s="1">
        <v>45506</v>
      </c>
      <c r="D3288" s="1" t="str">
        <f>PROPER(orders[[#This Row],[order_priority]])</f>
        <v>Standard</v>
      </c>
      <c r="E3288" t="s">
        <v>13317</v>
      </c>
      <c r="F3288" t="str">
        <f>IFERROR(INDEX(customers[country], MATCH(orders[[#This Row],[customer_id]], customers[customer_id], 0)), "Unmapped")</f>
        <v>Poland</v>
      </c>
      <c r="G3288" t="str">
        <f>IFERROR(INDEX(Region_Map[Region], MATCH(orders[[#This Row],[Customer_Country]], Region_Map[Country], 0)), "Unknown")</f>
        <v>Central Europe</v>
      </c>
      <c r="H3288" t="s">
        <v>6949</v>
      </c>
    </row>
    <row r="3289" spans="1:8">
      <c r="A3289" t="s">
        <v>4192</v>
      </c>
      <c r="B3289" t="s">
        <v>347</v>
      </c>
      <c r="C3289" s="1">
        <v>44954</v>
      </c>
      <c r="D3289" s="1" t="str">
        <f>PROPER(orders[[#This Row],[order_priority]])</f>
        <v>Standard</v>
      </c>
      <c r="E3289" t="s">
        <v>13317</v>
      </c>
      <c r="F3289" t="str">
        <f>IFERROR(INDEX(customers[country], MATCH(orders[[#This Row],[customer_id]], customers[customer_id], 0)), "Unmapped")</f>
        <v>Norway</v>
      </c>
      <c r="G3289" t="str">
        <f>IFERROR(INDEX(Region_Map[Region], MATCH(orders[[#This Row],[Customer_Country]], Region_Map[Country], 0)), "Unknown")</f>
        <v>Nordics</v>
      </c>
      <c r="H3289" t="s">
        <v>6949</v>
      </c>
    </row>
    <row r="3290" spans="1:8">
      <c r="A3290" t="s">
        <v>4193</v>
      </c>
      <c r="B3290" t="s">
        <v>189</v>
      </c>
      <c r="C3290" s="1">
        <v>45551</v>
      </c>
      <c r="D3290" s="1" t="str">
        <f>PROPER(orders[[#This Row],[order_priority]])</f>
        <v>Economy</v>
      </c>
      <c r="E3290" t="s">
        <v>13316</v>
      </c>
      <c r="F3290" t="str">
        <f>IFERROR(INDEX(customers[country], MATCH(orders[[#This Row],[customer_id]], customers[customer_id], 0)), "Unmapped")</f>
        <v>Norway</v>
      </c>
      <c r="G3290" t="str">
        <f>IFERROR(INDEX(Region_Map[Region], MATCH(orders[[#This Row],[Customer_Country]], Region_Map[Country], 0)), "Unknown")</f>
        <v>Nordics</v>
      </c>
      <c r="H3290" t="s">
        <v>6949</v>
      </c>
    </row>
    <row r="3291" spans="1:8">
      <c r="A3291" t="s">
        <v>4194</v>
      </c>
      <c r="B3291" t="s">
        <v>267</v>
      </c>
      <c r="C3291" s="1">
        <v>44989</v>
      </c>
      <c r="D3291" s="1" t="str">
        <f>PROPER(orders[[#This Row],[order_priority]])</f>
        <v>Standard</v>
      </c>
      <c r="E3291" t="s">
        <v>13317</v>
      </c>
      <c r="F3291" t="str">
        <f>IFERROR(INDEX(customers[country], MATCH(orders[[#This Row],[customer_id]], customers[customer_id], 0)), "Unmapped")</f>
        <v>Norway</v>
      </c>
      <c r="G3291" t="str">
        <f>IFERROR(INDEX(Region_Map[Region], MATCH(orders[[#This Row],[Customer_Country]], Region_Map[Country], 0)), "Unknown")</f>
        <v>Nordics</v>
      </c>
      <c r="H3291" t="s">
        <v>6949</v>
      </c>
    </row>
    <row r="3292" spans="1:8">
      <c r="A3292" t="s">
        <v>4195</v>
      </c>
      <c r="B3292" t="s">
        <v>42</v>
      </c>
      <c r="C3292" s="1">
        <v>45324</v>
      </c>
      <c r="D3292" s="1" t="str">
        <f>PROPER(orders[[#This Row],[order_priority]])</f>
        <v>Express</v>
      </c>
      <c r="E3292" t="s">
        <v>13318</v>
      </c>
      <c r="F3292" t="str">
        <f>IFERROR(INDEX(customers[country], MATCH(orders[[#This Row],[customer_id]], customers[customer_id], 0)), "Unmapped")</f>
        <v>Estonia</v>
      </c>
      <c r="G3292" t="str">
        <f>IFERROR(INDEX(Region_Map[Region], MATCH(orders[[#This Row],[Customer_Country]], Region_Map[Country], 0)), "Unknown")</f>
        <v>Baltics</v>
      </c>
      <c r="H3292" t="s">
        <v>6949</v>
      </c>
    </row>
    <row r="3293" spans="1:8">
      <c r="A3293" t="s">
        <v>4196</v>
      </c>
      <c r="B3293" t="s">
        <v>84</v>
      </c>
      <c r="C3293" s="1">
        <v>45015</v>
      </c>
      <c r="D3293" s="1" t="str">
        <f>PROPER(orders[[#This Row],[order_priority]])</f>
        <v>Economy</v>
      </c>
      <c r="E3293" t="s">
        <v>13316</v>
      </c>
      <c r="F3293" t="str">
        <f>IFERROR(INDEX(customers[country], MATCH(orders[[#This Row],[customer_id]], customers[customer_id], 0)), "Unmapped")</f>
        <v>Lithuania</v>
      </c>
      <c r="G3293" t="str">
        <f>IFERROR(INDEX(Region_Map[Region], MATCH(orders[[#This Row],[Customer_Country]], Region_Map[Country], 0)), "Unknown")</f>
        <v>Baltics</v>
      </c>
      <c r="H3293" t="s">
        <v>6949</v>
      </c>
    </row>
    <row r="3294" spans="1:8">
      <c r="A3294" t="s">
        <v>4197</v>
      </c>
      <c r="B3294" t="s">
        <v>377</v>
      </c>
      <c r="C3294" s="1">
        <v>45282</v>
      </c>
      <c r="D3294" s="1" t="str">
        <f>PROPER(orders[[#This Row],[order_priority]])</f>
        <v>Same Day</v>
      </c>
      <c r="E3294" t="s">
        <v>13322</v>
      </c>
      <c r="F3294" t="str">
        <f>IFERROR(INDEX(customers[country], MATCH(orders[[#This Row],[customer_id]], customers[customer_id], 0)), "Unmapped")</f>
        <v>Denmark</v>
      </c>
      <c r="G3294" t="str">
        <f>IFERROR(INDEX(Region_Map[Region], MATCH(orders[[#This Row],[Customer_Country]], Region_Map[Country], 0)), "Unknown")</f>
        <v>Nordics</v>
      </c>
      <c r="H3294" t="s">
        <v>6949</v>
      </c>
    </row>
    <row r="3295" spans="1:8">
      <c r="A3295" t="s">
        <v>4198</v>
      </c>
      <c r="B3295" t="s">
        <v>743</v>
      </c>
      <c r="C3295" s="1">
        <v>45418</v>
      </c>
      <c r="D3295" s="1" t="str">
        <f>PROPER(orders[[#This Row],[order_priority]])</f>
        <v>Same Day</v>
      </c>
      <c r="E3295" t="s">
        <v>13322</v>
      </c>
      <c r="F3295" t="str">
        <f>IFERROR(INDEX(customers[country], MATCH(orders[[#This Row],[customer_id]], customers[customer_id], 0)), "Unmapped")</f>
        <v>Germany</v>
      </c>
      <c r="G3295" t="str">
        <f>IFERROR(INDEX(Region_Map[Region], MATCH(orders[[#This Row],[Customer_Country]], Region_Map[Country], 0)), "Unknown")</f>
        <v>Central Europe</v>
      </c>
      <c r="H3295" t="s">
        <v>6949</v>
      </c>
    </row>
    <row r="3296" spans="1:8">
      <c r="A3296" t="s">
        <v>4199</v>
      </c>
      <c r="B3296" t="s">
        <v>834</v>
      </c>
      <c r="C3296" s="1">
        <v>45112</v>
      </c>
      <c r="D3296" s="1" t="str">
        <f>PROPER(orders[[#This Row],[order_priority]])</f>
        <v>Economy</v>
      </c>
      <c r="E3296" t="s">
        <v>13316</v>
      </c>
      <c r="F3296" t="str">
        <f>IFERROR(INDEX(customers[country], MATCH(orders[[#This Row],[customer_id]], customers[customer_id], 0)), "Unmapped")</f>
        <v>Denmark</v>
      </c>
      <c r="G3296" t="str">
        <f>IFERROR(INDEX(Region_Map[Region], MATCH(orders[[#This Row],[Customer_Country]], Region_Map[Country], 0)), "Unknown")</f>
        <v>Nordics</v>
      </c>
      <c r="H3296" t="s">
        <v>6949</v>
      </c>
    </row>
    <row r="3297" spans="1:8">
      <c r="A3297" t="s">
        <v>4200</v>
      </c>
      <c r="B3297" t="s">
        <v>473</v>
      </c>
      <c r="C3297" s="1">
        <v>45475</v>
      </c>
      <c r="D3297" s="1" t="str">
        <f>PROPER(orders[[#This Row],[order_priority]])</f>
        <v>Same Day</v>
      </c>
      <c r="E3297" t="s">
        <v>13322</v>
      </c>
      <c r="F3297" t="str">
        <f>IFERROR(INDEX(customers[country], MATCH(orders[[#This Row],[customer_id]], customers[customer_id], 0)), "Unmapped")</f>
        <v>Netherlands</v>
      </c>
      <c r="G3297" t="str">
        <f>IFERROR(INDEX(Region_Map[Region], MATCH(orders[[#This Row],[Customer_Country]], Region_Map[Country], 0)), "Unknown")</f>
        <v>Central Europe</v>
      </c>
      <c r="H3297" t="s">
        <v>6949</v>
      </c>
    </row>
    <row r="3298" spans="1:8">
      <c r="A3298" t="s">
        <v>4201</v>
      </c>
      <c r="B3298" t="s">
        <v>536</v>
      </c>
      <c r="C3298" s="1">
        <v>44993</v>
      </c>
      <c r="D3298" s="1" t="str">
        <f>PROPER(orders[[#This Row],[order_priority]])</f>
        <v>Standard</v>
      </c>
      <c r="E3298" t="s">
        <v>13317</v>
      </c>
      <c r="F3298" t="str">
        <f>IFERROR(INDEX(customers[country], MATCH(orders[[#This Row],[customer_id]], customers[customer_id], 0)), "Unmapped")</f>
        <v>Germany</v>
      </c>
      <c r="G3298" t="str">
        <f>IFERROR(INDEX(Region_Map[Region], MATCH(orders[[#This Row],[Customer_Country]], Region_Map[Country], 0)), "Unknown")</f>
        <v>Central Europe</v>
      </c>
      <c r="H3298" t="s">
        <v>6949</v>
      </c>
    </row>
    <row r="3299" spans="1:8">
      <c r="A3299" t="s">
        <v>4202</v>
      </c>
      <c r="B3299" t="s">
        <v>802</v>
      </c>
      <c r="C3299" s="1">
        <v>45538</v>
      </c>
      <c r="D3299" s="1" t="str">
        <f>PROPER(orders[[#This Row],[order_priority]])</f>
        <v>Economy</v>
      </c>
      <c r="E3299" t="s">
        <v>13316</v>
      </c>
      <c r="F3299" t="str">
        <f>IFERROR(INDEX(customers[country], MATCH(orders[[#This Row],[customer_id]], customers[customer_id], 0)), "Unmapped")</f>
        <v>Poland</v>
      </c>
      <c r="G3299" t="str">
        <f>IFERROR(INDEX(Region_Map[Region], MATCH(orders[[#This Row],[Customer_Country]], Region_Map[Country], 0)), "Unknown")</f>
        <v>Central Europe</v>
      </c>
      <c r="H3299" t="s">
        <v>6949</v>
      </c>
    </row>
    <row r="3300" spans="1:8">
      <c r="A3300" t="s">
        <v>4203</v>
      </c>
      <c r="B3300" t="s">
        <v>136</v>
      </c>
      <c r="C3300" s="1">
        <v>45018</v>
      </c>
      <c r="D3300" s="1" t="str">
        <f>PROPER(orders[[#This Row],[order_priority]])</f>
        <v>Economy</v>
      </c>
      <c r="E3300" t="s">
        <v>13316</v>
      </c>
      <c r="F3300" t="str">
        <f>IFERROR(INDEX(customers[country], MATCH(orders[[#This Row],[customer_id]], customers[customer_id], 0)), "Unmapped")</f>
        <v>Sweden</v>
      </c>
      <c r="G3300" t="str">
        <f>IFERROR(INDEX(Region_Map[Region], MATCH(orders[[#This Row],[Customer_Country]], Region_Map[Country], 0)), "Unknown")</f>
        <v>Nordics</v>
      </c>
      <c r="H3300" t="s">
        <v>6949</v>
      </c>
    </row>
    <row r="3301" spans="1:8">
      <c r="A3301" t="s">
        <v>4204</v>
      </c>
      <c r="B3301" t="s">
        <v>201</v>
      </c>
      <c r="C3301" s="1">
        <v>45517</v>
      </c>
      <c r="D3301" s="1" t="str">
        <f>PROPER(orders[[#This Row],[order_priority]])</f>
        <v>Standard</v>
      </c>
      <c r="E3301" t="s">
        <v>13317</v>
      </c>
      <c r="F3301" t="str">
        <f>IFERROR(INDEX(customers[country], MATCH(orders[[#This Row],[customer_id]], customers[customer_id], 0)), "Unmapped")</f>
        <v>Estonia</v>
      </c>
      <c r="G3301" t="str">
        <f>IFERROR(INDEX(Region_Map[Region], MATCH(orders[[#This Row],[Customer_Country]], Region_Map[Country], 0)), "Unknown")</f>
        <v>Baltics</v>
      </c>
      <c r="H3301" t="s">
        <v>6949</v>
      </c>
    </row>
    <row r="3302" spans="1:8">
      <c r="A3302" t="s">
        <v>4205</v>
      </c>
      <c r="B3302" t="s">
        <v>467</v>
      </c>
      <c r="C3302" s="1">
        <v>45007</v>
      </c>
      <c r="D3302" s="1" t="str">
        <f>PROPER(orders[[#This Row],[order_priority]])</f>
        <v>Economy</v>
      </c>
      <c r="E3302" t="s">
        <v>13316</v>
      </c>
      <c r="F3302" t="str">
        <f>IFERROR(INDEX(customers[country], MATCH(orders[[#This Row],[customer_id]], customers[customer_id], 0)), "Unmapped")</f>
        <v>Latvia</v>
      </c>
      <c r="G3302" t="str">
        <f>IFERROR(INDEX(Region_Map[Region], MATCH(orders[[#This Row],[Customer_Country]], Region_Map[Country], 0)), "Unknown")</f>
        <v>Baltics</v>
      </c>
      <c r="H3302" t="s">
        <v>6949</v>
      </c>
    </row>
    <row r="3303" spans="1:8">
      <c r="A3303" t="s">
        <v>4206</v>
      </c>
      <c r="B3303" t="s">
        <v>843</v>
      </c>
      <c r="C3303" s="1">
        <v>45569</v>
      </c>
      <c r="D3303" s="1" t="str">
        <f>PROPER(orders[[#This Row],[order_priority]])</f>
        <v>Express</v>
      </c>
      <c r="E3303" t="s">
        <v>13318</v>
      </c>
      <c r="F3303" t="str">
        <f>IFERROR(INDEX(customers[country], MATCH(orders[[#This Row],[customer_id]], customers[customer_id], 0)), "Unmapped")</f>
        <v>Netherlands</v>
      </c>
      <c r="G3303" t="str">
        <f>IFERROR(INDEX(Region_Map[Region], MATCH(orders[[#This Row],[Customer_Country]], Region_Map[Country], 0)), "Unknown")</f>
        <v>Central Europe</v>
      </c>
      <c r="H3303" t="s">
        <v>6949</v>
      </c>
    </row>
    <row r="3304" spans="1:8">
      <c r="A3304" t="s">
        <v>4207</v>
      </c>
      <c r="B3304" t="s">
        <v>264</v>
      </c>
      <c r="C3304" s="1">
        <v>45062</v>
      </c>
      <c r="D3304" s="1" t="str">
        <f>PROPER(orders[[#This Row],[order_priority]])</f>
        <v>Standard</v>
      </c>
      <c r="E3304" t="s">
        <v>13317</v>
      </c>
      <c r="F3304" t="str">
        <f>IFERROR(INDEX(customers[country], MATCH(orders[[#This Row],[customer_id]], customers[customer_id], 0)), "Unmapped")</f>
        <v>Germany</v>
      </c>
      <c r="G3304" t="str">
        <f>IFERROR(INDEX(Region_Map[Region], MATCH(orders[[#This Row],[Customer_Country]], Region_Map[Country], 0)), "Unknown")</f>
        <v>Central Europe</v>
      </c>
      <c r="H3304" t="s">
        <v>6949</v>
      </c>
    </row>
    <row r="3305" spans="1:8">
      <c r="A3305" t="s">
        <v>4208</v>
      </c>
      <c r="B3305" t="s">
        <v>685</v>
      </c>
      <c r="C3305" s="1">
        <v>45231</v>
      </c>
      <c r="D3305" s="1" t="str">
        <f>PROPER(orders[[#This Row],[order_priority]])</f>
        <v>Express</v>
      </c>
      <c r="E3305" t="s">
        <v>13318</v>
      </c>
      <c r="F3305" t="str">
        <f>IFERROR(INDEX(customers[country], MATCH(orders[[#This Row],[customer_id]], customers[customer_id], 0)), "Unmapped")</f>
        <v>Latvia</v>
      </c>
      <c r="G3305" t="str">
        <f>IFERROR(INDEX(Region_Map[Region], MATCH(orders[[#This Row],[Customer_Country]], Region_Map[Country], 0)), "Unknown")</f>
        <v>Baltics</v>
      </c>
      <c r="H3305" t="s">
        <v>6949</v>
      </c>
    </row>
    <row r="3306" spans="1:8">
      <c r="A3306" t="s">
        <v>4209</v>
      </c>
      <c r="B3306" t="s">
        <v>614</v>
      </c>
      <c r="C3306" s="1">
        <v>44976</v>
      </c>
      <c r="D3306" s="1" t="str">
        <f>PROPER(orders[[#This Row],[order_priority]])</f>
        <v>Express</v>
      </c>
      <c r="E3306" t="s">
        <v>13318</v>
      </c>
      <c r="F3306" t="str">
        <f>IFERROR(INDEX(customers[country], MATCH(orders[[#This Row],[customer_id]], customers[customer_id], 0)), "Unmapped")</f>
        <v>Latvia</v>
      </c>
      <c r="G3306" t="str">
        <f>IFERROR(INDEX(Region_Map[Region], MATCH(orders[[#This Row],[Customer_Country]], Region_Map[Country], 0)), "Unknown")</f>
        <v>Baltics</v>
      </c>
      <c r="H3306" t="s">
        <v>6949</v>
      </c>
    </row>
    <row r="3307" spans="1:8">
      <c r="A3307" t="s">
        <v>4210</v>
      </c>
      <c r="B3307" t="s">
        <v>252</v>
      </c>
      <c r="C3307" s="1">
        <v>45060</v>
      </c>
      <c r="D3307" s="1" t="str">
        <f>PROPER(orders[[#This Row],[order_priority]])</f>
        <v>Same Day</v>
      </c>
      <c r="E3307" t="s">
        <v>13322</v>
      </c>
      <c r="F3307" t="str">
        <f>IFERROR(INDEX(customers[country], MATCH(orders[[#This Row],[customer_id]], customers[customer_id], 0)), "Unmapped")</f>
        <v>Lithuania</v>
      </c>
      <c r="G3307" t="str">
        <f>IFERROR(INDEX(Region_Map[Region], MATCH(orders[[#This Row],[Customer_Country]], Region_Map[Country], 0)), "Unknown")</f>
        <v>Baltics</v>
      </c>
      <c r="H3307" t="s">
        <v>6949</v>
      </c>
    </row>
    <row r="3308" spans="1:8">
      <c r="A3308" t="s">
        <v>4211</v>
      </c>
      <c r="B3308" t="s">
        <v>735</v>
      </c>
      <c r="C3308" s="1">
        <v>45478</v>
      </c>
      <c r="D3308" s="1" t="str">
        <f>PROPER(orders[[#This Row],[order_priority]])</f>
        <v>Economy</v>
      </c>
      <c r="E3308" t="s">
        <v>13316</v>
      </c>
      <c r="F3308" t="str">
        <f>IFERROR(INDEX(customers[country], MATCH(orders[[#This Row],[customer_id]], customers[customer_id], 0)), "Unmapped")</f>
        <v>Poland</v>
      </c>
      <c r="G3308" t="str">
        <f>IFERROR(INDEX(Region_Map[Region], MATCH(orders[[#This Row],[Customer_Country]], Region_Map[Country], 0)), "Unknown")</f>
        <v>Central Europe</v>
      </c>
      <c r="H3308" t="s">
        <v>6949</v>
      </c>
    </row>
    <row r="3309" spans="1:8">
      <c r="A3309" t="s">
        <v>4212</v>
      </c>
      <c r="B3309" t="s">
        <v>906</v>
      </c>
      <c r="C3309" s="1">
        <v>45093</v>
      </c>
      <c r="D3309" s="1" t="str">
        <f>PROPER(orders[[#This Row],[order_priority]])</f>
        <v>Economy</v>
      </c>
      <c r="E3309" t="s">
        <v>13316</v>
      </c>
      <c r="F3309" t="str">
        <f>IFERROR(INDEX(customers[country], MATCH(orders[[#This Row],[customer_id]], customers[customer_id], 0)), "Unmapped")</f>
        <v>Sweden</v>
      </c>
      <c r="G3309" t="str">
        <f>IFERROR(INDEX(Region_Map[Region], MATCH(orders[[#This Row],[Customer_Country]], Region_Map[Country], 0)), "Unknown")</f>
        <v>Nordics</v>
      </c>
      <c r="H3309" t="s">
        <v>6949</v>
      </c>
    </row>
    <row r="3310" spans="1:8">
      <c r="A3310" t="s">
        <v>4213</v>
      </c>
      <c r="B3310" t="s">
        <v>377</v>
      </c>
      <c r="C3310" s="1">
        <v>44954</v>
      </c>
      <c r="D3310" s="1" t="str">
        <f>PROPER(orders[[#This Row],[order_priority]])</f>
        <v>Economy</v>
      </c>
      <c r="E3310" t="s">
        <v>13316</v>
      </c>
      <c r="F3310" t="str">
        <f>IFERROR(INDEX(customers[country], MATCH(orders[[#This Row],[customer_id]], customers[customer_id], 0)), "Unmapped")</f>
        <v>Denmark</v>
      </c>
      <c r="G3310" t="str">
        <f>IFERROR(INDEX(Region_Map[Region], MATCH(orders[[#This Row],[Customer_Country]], Region_Map[Country], 0)), "Unknown")</f>
        <v>Nordics</v>
      </c>
      <c r="H3310" t="s">
        <v>6949</v>
      </c>
    </row>
    <row r="3311" spans="1:8">
      <c r="A3311" t="s">
        <v>4214</v>
      </c>
      <c r="B3311" t="s">
        <v>721</v>
      </c>
      <c r="C3311" s="1">
        <v>45523</v>
      </c>
      <c r="D3311" s="1" t="str">
        <f>PROPER(orders[[#This Row],[order_priority]])</f>
        <v>Economy</v>
      </c>
      <c r="E3311" t="s">
        <v>13316</v>
      </c>
      <c r="F3311" t="str">
        <f>IFERROR(INDEX(customers[country], MATCH(orders[[#This Row],[customer_id]], customers[customer_id], 0)), "Unmapped")</f>
        <v>Netherlands</v>
      </c>
      <c r="G3311" t="str">
        <f>IFERROR(INDEX(Region_Map[Region], MATCH(orders[[#This Row],[Customer_Country]], Region_Map[Country], 0)), "Unknown")</f>
        <v>Central Europe</v>
      </c>
      <c r="H3311" t="s">
        <v>6949</v>
      </c>
    </row>
    <row r="3312" spans="1:8">
      <c r="A3312" t="s">
        <v>4215</v>
      </c>
      <c r="B3312" t="s">
        <v>404</v>
      </c>
      <c r="C3312" s="1">
        <v>45325</v>
      </c>
      <c r="D3312" s="1" t="str">
        <f>PROPER(orders[[#This Row],[order_priority]])</f>
        <v>Same Day</v>
      </c>
      <c r="E3312" t="s">
        <v>13322</v>
      </c>
      <c r="F3312" t="str">
        <f>IFERROR(INDEX(customers[country], MATCH(orders[[#This Row],[customer_id]], customers[customer_id], 0)), "Unmapped")</f>
        <v>Latvia</v>
      </c>
      <c r="G3312" t="str">
        <f>IFERROR(INDEX(Region_Map[Region], MATCH(orders[[#This Row],[Customer_Country]], Region_Map[Country], 0)), "Unknown")</f>
        <v>Baltics</v>
      </c>
      <c r="H3312" t="s">
        <v>6949</v>
      </c>
    </row>
    <row r="3313" spans="1:8">
      <c r="A3313" t="s">
        <v>4216</v>
      </c>
      <c r="B3313" t="s">
        <v>599</v>
      </c>
      <c r="C3313" s="1">
        <v>45013</v>
      </c>
      <c r="D3313" s="1" t="str">
        <f>PROPER(orders[[#This Row],[order_priority]])</f>
        <v>Economy</v>
      </c>
      <c r="E3313" t="s">
        <v>13316</v>
      </c>
      <c r="F3313" t="str">
        <f>IFERROR(INDEX(customers[country], MATCH(orders[[#This Row],[customer_id]], customers[customer_id], 0)), "Unmapped")</f>
        <v>Germany</v>
      </c>
      <c r="G3313" t="str">
        <f>IFERROR(INDEX(Region_Map[Region], MATCH(orders[[#This Row],[Customer_Country]], Region_Map[Country], 0)), "Unknown")</f>
        <v>Central Europe</v>
      </c>
      <c r="H3313" t="s">
        <v>6949</v>
      </c>
    </row>
    <row r="3314" spans="1:8">
      <c r="A3314" t="s">
        <v>4217</v>
      </c>
      <c r="B3314" t="s">
        <v>443</v>
      </c>
      <c r="C3314" s="1">
        <v>45381</v>
      </c>
      <c r="D3314" s="1" t="str">
        <f>PROPER(orders[[#This Row],[order_priority]])</f>
        <v>Economy</v>
      </c>
      <c r="E3314" t="s">
        <v>13316</v>
      </c>
      <c r="F3314" t="str">
        <f>IFERROR(INDEX(customers[country], MATCH(orders[[#This Row],[customer_id]], customers[customer_id], 0)), "Unmapped")</f>
        <v>Estonia</v>
      </c>
      <c r="G3314" t="str">
        <f>IFERROR(INDEX(Region_Map[Region], MATCH(orders[[#This Row],[Customer_Country]], Region_Map[Country], 0)), "Unknown")</f>
        <v>Baltics</v>
      </c>
      <c r="H3314" t="s">
        <v>6949</v>
      </c>
    </row>
    <row r="3315" spans="1:8">
      <c r="A3315" t="s">
        <v>4218</v>
      </c>
      <c r="B3315" t="s">
        <v>371</v>
      </c>
      <c r="C3315" s="1">
        <v>45156</v>
      </c>
      <c r="D3315" s="1" t="str">
        <f>PROPER(orders[[#This Row],[order_priority]])</f>
        <v>Same Day</v>
      </c>
      <c r="E3315" t="s">
        <v>13322</v>
      </c>
      <c r="F3315" t="str">
        <f>IFERROR(INDEX(customers[country], MATCH(orders[[#This Row],[customer_id]], customers[customer_id], 0)), "Unmapped")</f>
        <v>Germany</v>
      </c>
      <c r="G3315" t="str">
        <f>IFERROR(INDEX(Region_Map[Region], MATCH(orders[[#This Row],[Customer_Country]], Region_Map[Country], 0)), "Unknown")</f>
        <v>Central Europe</v>
      </c>
      <c r="H3315" t="s">
        <v>6949</v>
      </c>
    </row>
    <row r="3316" spans="1:8">
      <c r="A3316" t="s">
        <v>4219</v>
      </c>
      <c r="B3316" t="s">
        <v>437</v>
      </c>
      <c r="C3316" s="1">
        <v>45473</v>
      </c>
      <c r="D3316" s="1" t="str">
        <f>PROPER(orders[[#This Row],[order_priority]])</f>
        <v>Same Day</v>
      </c>
      <c r="E3316" t="s">
        <v>13322</v>
      </c>
      <c r="F3316" t="str">
        <f>IFERROR(INDEX(customers[country], MATCH(orders[[#This Row],[customer_id]], customers[customer_id], 0)), "Unmapped")</f>
        <v>Lithuania</v>
      </c>
      <c r="G3316" t="str">
        <f>IFERROR(INDEX(Region_Map[Region], MATCH(orders[[#This Row],[Customer_Country]], Region_Map[Country], 0)), "Unknown")</f>
        <v>Baltics</v>
      </c>
      <c r="H3316" t="s">
        <v>6949</v>
      </c>
    </row>
    <row r="3317" spans="1:8">
      <c r="A3317" t="s">
        <v>4220</v>
      </c>
      <c r="B3317" t="s">
        <v>87</v>
      </c>
      <c r="C3317" s="1">
        <v>45220</v>
      </c>
      <c r="D3317" s="1" t="str">
        <f>PROPER(orders[[#This Row],[order_priority]])</f>
        <v>Same Day</v>
      </c>
      <c r="E3317" t="s">
        <v>13322</v>
      </c>
      <c r="F3317" t="str">
        <f>IFERROR(INDEX(customers[country], MATCH(orders[[#This Row],[customer_id]], customers[customer_id], 0)), "Unmapped")</f>
        <v>Latvia</v>
      </c>
      <c r="G3317" t="str">
        <f>IFERROR(INDEX(Region_Map[Region], MATCH(orders[[#This Row],[Customer_Country]], Region_Map[Country], 0)), "Unknown")</f>
        <v>Baltics</v>
      </c>
      <c r="H3317" t="s">
        <v>6949</v>
      </c>
    </row>
    <row r="3318" spans="1:8">
      <c r="A3318" t="s">
        <v>4221</v>
      </c>
      <c r="B3318" t="s">
        <v>694</v>
      </c>
      <c r="C3318" s="1">
        <v>45319</v>
      </c>
      <c r="D3318" s="1" t="str">
        <f>PROPER(orders[[#This Row],[order_priority]])</f>
        <v>Same Day</v>
      </c>
      <c r="E3318" t="s">
        <v>13324</v>
      </c>
      <c r="F3318" t="str">
        <f>IFERROR(INDEX(customers[country], MATCH(orders[[#This Row],[customer_id]], customers[customer_id], 0)), "Unmapped")</f>
        <v>Lithuania</v>
      </c>
      <c r="G3318" t="str">
        <f>IFERROR(INDEX(Region_Map[Region], MATCH(orders[[#This Row],[Customer_Country]], Region_Map[Country], 0)), "Unknown")</f>
        <v>Baltics</v>
      </c>
      <c r="H3318" t="s">
        <v>6949</v>
      </c>
    </row>
    <row r="3319" spans="1:8">
      <c r="A3319" t="s">
        <v>4222</v>
      </c>
      <c r="B3319" t="s">
        <v>676</v>
      </c>
      <c r="C3319" s="1">
        <v>45101</v>
      </c>
      <c r="D3319" s="1" t="str">
        <f>PROPER(orders[[#This Row],[order_priority]])</f>
        <v>Economy</v>
      </c>
      <c r="E3319" t="s">
        <v>13316</v>
      </c>
      <c r="F3319" t="str">
        <f>IFERROR(INDEX(customers[country], MATCH(orders[[#This Row],[customer_id]], customers[customer_id], 0)), "Unmapped")</f>
        <v>Latvia</v>
      </c>
      <c r="G3319" t="str">
        <f>IFERROR(INDEX(Region_Map[Region], MATCH(orders[[#This Row],[Customer_Country]], Region_Map[Country], 0)), "Unknown")</f>
        <v>Baltics</v>
      </c>
      <c r="H3319" t="s">
        <v>6949</v>
      </c>
    </row>
    <row r="3320" spans="1:8">
      <c r="A3320" t="s">
        <v>4223</v>
      </c>
      <c r="B3320" t="s">
        <v>758</v>
      </c>
      <c r="C3320" s="1">
        <v>45464</v>
      </c>
      <c r="D3320" s="1" t="str">
        <f>PROPER(orders[[#This Row],[order_priority]])</f>
        <v>Same Day</v>
      </c>
      <c r="E3320" t="s">
        <v>13322</v>
      </c>
      <c r="F3320" t="str">
        <f>IFERROR(INDEX(customers[country], MATCH(orders[[#This Row],[customer_id]], customers[customer_id], 0)), "Unmapped")</f>
        <v>Estonia</v>
      </c>
      <c r="G3320" t="str">
        <f>IFERROR(INDEX(Region_Map[Region], MATCH(orders[[#This Row],[Customer_Country]], Region_Map[Country], 0)), "Unknown")</f>
        <v>Baltics</v>
      </c>
      <c r="H3320" t="s">
        <v>6949</v>
      </c>
    </row>
    <row r="3321" spans="1:8">
      <c r="A3321" t="s">
        <v>4224</v>
      </c>
      <c r="B3321" t="s">
        <v>900</v>
      </c>
      <c r="C3321" s="1">
        <v>45577</v>
      </c>
      <c r="D3321" s="1" t="str">
        <f>PROPER(orders[[#This Row],[order_priority]])</f>
        <v>Express</v>
      </c>
      <c r="E3321" t="s">
        <v>13320</v>
      </c>
      <c r="F3321" t="str">
        <f>IFERROR(INDEX(customers[country], MATCH(orders[[#This Row],[customer_id]], customers[customer_id], 0)), "Unmapped")</f>
        <v>Germany</v>
      </c>
      <c r="G3321" t="str">
        <f>IFERROR(INDEX(Region_Map[Region], MATCH(orders[[#This Row],[Customer_Country]], Region_Map[Country], 0)), "Unknown")</f>
        <v>Central Europe</v>
      </c>
      <c r="H3321" t="s">
        <v>6949</v>
      </c>
    </row>
    <row r="3322" spans="1:8">
      <c r="A3322" t="s">
        <v>4225</v>
      </c>
      <c r="B3322" t="s">
        <v>27</v>
      </c>
      <c r="C3322" s="1">
        <v>45122</v>
      </c>
      <c r="D3322" s="1" t="str">
        <f>PROPER(orders[[#This Row],[order_priority]])</f>
        <v>Express</v>
      </c>
      <c r="E3322" t="s">
        <v>13318</v>
      </c>
      <c r="F3322" t="str">
        <f>IFERROR(INDEX(customers[country], MATCH(orders[[#This Row],[customer_id]], customers[customer_id], 0)), "Unmapped")</f>
        <v>Latvia</v>
      </c>
      <c r="G3322" t="str">
        <f>IFERROR(INDEX(Region_Map[Region], MATCH(orders[[#This Row],[Customer_Country]], Region_Map[Country], 0)), "Unknown")</f>
        <v>Baltics</v>
      </c>
      <c r="H3322" t="s">
        <v>6949</v>
      </c>
    </row>
    <row r="3323" spans="1:8">
      <c r="A3323" t="s">
        <v>4226</v>
      </c>
      <c r="B3323" t="s">
        <v>428</v>
      </c>
      <c r="C3323" s="1">
        <v>45505</v>
      </c>
      <c r="D3323" s="1" t="str">
        <f>PROPER(orders[[#This Row],[order_priority]])</f>
        <v>Express</v>
      </c>
      <c r="E3323" t="s">
        <v>13318</v>
      </c>
      <c r="F3323" t="str">
        <f>IFERROR(INDEX(customers[country], MATCH(orders[[#This Row],[customer_id]], customers[customer_id], 0)), "Unmapped")</f>
        <v>Finland</v>
      </c>
      <c r="G3323" t="str">
        <f>IFERROR(INDEX(Region_Map[Region], MATCH(orders[[#This Row],[Customer_Country]], Region_Map[Country], 0)), "Unknown")</f>
        <v>Nordics</v>
      </c>
      <c r="H3323" t="s">
        <v>6949</v>
      </c>
    </row>
    <row r="3324" spans="1:8">
      <c r="A3324" t="s">
        <v>4227</v>
      </c>
      <c r="B3324" t="s">
        <v>133</v>
      </c>
      <c r="C3324" s="1">
        <v>45462</v>
      </c>
      <c r="D3324" s="1" t="str">
        <f>PROPER(orders[[#This Row],[order_priority]])</f>
        <v>Express</v>
      </c>
      <c r="E3324" t="s">
        <v>13318</v>
      </c>
      <c r="F3324" t="str">
        <f>IFERROR(INDEX(customers[country], MATCH(orders[[#This Row],[customer_id]], customers[customer_id], 0)), "Unmapped")</f>
        <v>Finland</v>
      </c>
      <c r="G3324" t="str">
        <f>IFERROR(INDEX(Region_Map[Region], MATCH(orders[[#This Row],[Customer_Country]], Region_Map[Country], 0)), "Unknown")</f>
        <v>Nordics</v>
      </c>
      <c r="H3324" t="s">
        <v>6949</v>
      </c>
    </row>
    <row r="3325" spans="1:8">
      <c r="A3325" t="s">
        <v>4228</v>
      </c>
      <c r="B3325" t="s">
        <v>118</v>
      </c>
      <c r="C3325" s="1">
        <v>44996</v>
      </c>
      <c r="D3325" s="1" t="str">
        <f>PROPER(orders[[#This Row],[order_priority]])</f>
        <v>Economy</v>
      </c>
      <c r="E3325" t="s">
        <v>13316</v>
      </c>
      <c r="F3325" t="str">
        <f>IFERROR(INDEX(customers[country], MATCH(orders[[#This Row],[customer_id]], customers[customer_id], 0)), "Unmapped")</f>
        <v>Denmark</v>
      </c>
      <c r="G3325" t="str">
        <f>IFERROR(INDEX(Region_Map[Region], MATCH(orders[[#This Row],[Customer_Country]], Region_Map[Country], 0)), "Unknown")</f>
        <v>Nordics</v>
      </c>
      <c r="H3325" t="s">
        <v>6949</v>
      </c>
    </row>
    <row r="3326" spans="1:8">
      <c r="A3326" t="s">
        <v>4229</v>
      </c>
      <c r="B3326" t="s">
        <v>464</v>
      </c>
      <c r="C3326" s="1">
        <v>45486</v>
      </c>
      <c r="D3326" s="1" t="str">
        <f>PROPER(orders[[#This Row],[order_priority]])</f>
        <v>Standard</v>
      </c>
      <c r="E3326" t="s">
        <v>13317</v>
      </c>
      <c r="F3326" t="str">
        <f>IFERROR(INDEX(customers[country], MATCH(orders[[#This Row],[customer_id]], customers[customer_id], 0)), "Unmapped")</f>
        <v>Finland</v>
      </c>
      <c r="G3326" t="str">
        <f>IFERROR(INDEX(Region_Map[Region], MATCH(orders[[#This Row],[Customer_Country]], Region_Map[Country], 0)), "Unknown")</f>
        <v>Nordics</v>
      </c>
      <c r="H3326" t="s">
        <v>6949</v>
      </c>
    </row>
    <row r="3327" spans="1:8">
      <c r="A3327" t="s">
        <v>4230</v>
      </c>
      <c r="B3327" t="s">
        <v>365</v>
      </c>
      <c r="C3327" s="1">
        <v>44955</v>
      </c>
      <c r="D3327" s="1" t="str">
        <f>PROPER(orders[[#This Row],[order_priority]])</f>
        <v>Same Day</v>
      </c>
      <c r="E3327" t="s">
        <v>13322</v>
      </c>
      <c r="F3327" t="str">
        <f>IFERROR(INDEX(customers[country], MATCH(orders[[#This Row],[customer_id]], customers[customer_id], 0)), "Unmapped")</f>
        <v>Poland</v>
      </c>
      <c r="G3327" t="str">
        <f>IFERROR(INDEX(Region_Map[Region], MATCH(orders[[#This Row],[Customer_Country]], Region_Map[Country], 0)), "Unknown")</f>
        <v>Central Europe</v>
      </c>
      <c r="H3327" t="s">
        <v>6949</v>
      </c>
    </row>
    <row r="3328" spans="1:8">
      <c r="A3328" t="s">
        <v>4231</v>
      </c>
      <c r="B3328" t="s">
        <v>867</v>
      </c>
      <c r="C3328" s="1">
        <v>45620</v>
      </c>
      <c r="D3328" s="1" t="str">
        <f>PROPER(orders[[#This Row],[order_priority]])</f>
        <v>Same Day</v>
      </c>
      <c r="E3328" t="s">
        <v>13322</v>
      </c>
      <c r="F3328" t="str">
        <f>IFERROR(INDEX(customers[country], MATCH(orders[[#This Row],[customer_id]], customers[customer_id], 0)), "Unmapped")</f>
        <v>Denmark</v>
      </c>
      <c r="G3328" t="str">
        <f>IFERROR(INDEX(Region_Map[Region], MATCH(orders[[#This Row],[Customer_Country]], Region_Map[Country], 0)), "Unknown")</f>
        <v>Nordics</v>
      </c>
      <c r="H3328" t="s">
        <v>6949</v>
      </c>
    </row>
    <row r="3329" spans="1:8">
      <c r="A3329" t="s">
        <v>4232</v>
      </c>
      <c r="B3329" t="s">
        <v>362</v>
      </c>
      <c r="C3329" s="1">
        <v>45470</v>
      </c>
      <c r="D3329" s="1" t="str">
        <f>PROPER(orders[[#This Row],[order_priority]])</f>
        <v>Standard</v>
      </c>
      <c r="E3329" t="s">
        <v>13317</v>
      </c>
      <c r="F3329" t="str">
        <f>IFERROR(INDEX(customers[country], MATCH(orders[[#This Row],[customer_id]], customers[customer_id], 0)), "Unmapped")</f>
        <v>Denmark</v>
      </c>
      <c r="G3329" t="str">
        <f>IFERROR(INDEX(Region_Map[Region], MATCH(orders[[#This Row],[Customer_Country]], Region_Map[Country], 0)), "Unknown")</f>
        <v>Nordics</v>
      </c>
      <c r="H3329" t="s">
        <v>6949</v>
      </c>
    </row>
    <row r="3330" spans="1:8">
      <c r="A3330" t="s">
        <v>4233</v>
      </c>
      <c r="B3330" t="s">
        <v>51</v>
      </c>
      <c r="C3330" s="1">
        <v>45322</v>
      </c>
      <c r="D3330" s="1" t="str">
        <f>PROPER(orders[[#This Row],[order_priority]])</f>
        <v>Economy</v>
      </c>
      <c r="E3330" t="s">
        <v>13316</v>
      </c>
      <c r="F3330" t="str">
        <f>IFERROR(INDEX(customers[country], MATCH(orders[[#This Row],[customer_id]], customers[customer_id], 0)), "Unmapped")</f>
        <v>Germany</v>
      </c>
      <c r="G3330" t="str">
        <f>IFERROR(INDEX(Region_Map[Region], MATCH(orders[[#This Row],[Customer_Country]], Region_Map[Country], 0)), "Unknown")</f>
        <v>Central Europe</v>
      </c>
      <c r="H3330" t="s">
        <v>6949</v>
      </c>
    </row>
    <row r="3331" spans="1:8">
      <c r="A3331" t="s">
        <v>4234</v>
      </c>
      <c r="B3331" t="s">
        <v>658</v>
      </c>
      <c r="C3331" s="1">
        <v>45085</v>
      </c>
      <c r="D3331" s="1" t="str">
        <f>PROPER(orders[[#This Row],[order_priority]])</f>
        <v>Express</v>
      </c>
      <c r="E3331" t="s">
        <v>13318</v>
      </c>
      <c r="F3331" t="str">
        <f>IFERROR(INDEX(customers[country], MATCH(orders[[#This Row],[customer_id]], customers[customer_id], 0)), "Unmapped")</f>
        <v>Latvia</v>
      </c>
      <c r="G3331" t="str">
        <f>IFERROR(INDEX(Region_Map[Region], MATCH(orders[[#This Row],[Customer_Country]], Region_Map[Country], 0)), "Unknown")</f>
        <v>Baltics</v>
      </c>
      <c r="H3331" t="s">
        <v>6949</v>
      </c>
    </row>
    <row r="3332" spans="1:8">
      <c r="A3332" t="s">
        <v>4235</v>
      </c>
      <c r="B3332" t="s">
        <v>252</v>
      </c>
      <c r="C3332" s="1">
        <v>45286</v>
      </c>
      <c r="D3332" s="1" t="str">
        <f>PROPER(orders[[#This Row],[order_priority]])</f>
        <v>Express</v>
      </c>
      <c r="E3332" t="s">
        <v>13326</v>
      </c>
      <c r="F3332" t="str">
        <f>IFERROR(INDEX(customers[country], MATCH(orders[[#This Row],[customer_id]], customers[customer_id], 0)), "Unmapped")</f>
        <v>Lithuania</v>
      </c>
      <c r="G3332" t="str">
        <f>IFERROR(INDEX(Region_Map[Region], MATCH(orders[[#This Row],[Customer_Country]], Region_Map[Country], 0)), "Unknown")</f>
        <v>Baltics</v>
      </c>
      <c r="H3332" t="s">
        <v>6949</v>
      </c>
    </row>
    <row r="3333" spans="1:8">
      <c r="A3333" t="s">
        <v>4236</v>
      </c>
      <c r="B3333" t="s">
        <v>422</v>
      </c>
      <c r="C3333" s="1">
        <v>45446</v>
      </c>
      <c r="D3333" s="1" t="str">
        <f>PROPER(orders[[#This Row],[order_priority]])</f>
        <v>Standard</v>
      </c>
      <c r="E3333" t="s">
        <v>13317</v>
      </c>
      <c r="F3333" t="str">
        <f>IFERROR(INDEX(customers[country], MATCH(orders[[#This Row],[customer_id]], customers[customer_id], 0)), "Unmapped")</f>
        <v>Germany</v>
      </c>
      <c r="G3333" t="str">
        <f>IFERROR(INDEX(Region_Map[Region], MATCH(orders[[#This Row],[Customer_Country]], Region_Map[Country], 0)), "Unknown")</f>
        <v>Central Europe</v>
      </c>
      <c r="H3333" t="s">
        <v>6949</v>
      </c>
    </row>
    <row r="3334" spans="1:8">
      <c r="A3334" t="s">
        <v>4237</v>
      </c>
      <c r="B3334" t="s">
        <v>509</v>
      </c>
      <c r="C3334" s="1">
        <v>45126</v>
      </c>
      <c r="D3334" s="1" t="str">
        <f>PROPER(orders[[#This Row],[order_priority]])</f>
        <v>Economy</v>
      </c>
      <c r="E3334" t="s">
        <v>13316</v>
      </c>
      <c r="F3334" t="str">
        <f>IFERROR(INDEX(customers[country], MATCH(orders[[#This Row],[customer_id]], customers[customer_id], 0)), "Unmapped")</f>
        <v>Sweden</v>
      </c>
      <c r="G3334" t="str">
        <f>IFERROR(INDEX(Region_Map[Region], MATCH(orders[[#This Row],[Customer_Country]], Region_Map[Country], 0)), "Unknown")</f>
        <v>Nordics</v>
      </c>
      <c r="H3334" t="s">
        <v>6949</v>
      </c>
    </row>
    <row r="3335" spans="1:8">
      <c r="A3335" t="s">
        <v>4238</v>
      </c>
      <c r="B3335" t="s">
        <v>24</v>
      </c>
      <c r="C3335" s="1">
        <v>45141</v>
      </c>
      <c r="D3335" s="1" t="str">
        <f>PROPER(orders[[#This Row],[order_priority]])</f>
        <v>Economy</v>
      </c>
      <c r="E3335" t="s">
        <v>13316</v>
      </c>
      <c r="F3335" t="str">
        <f>IFERROR(INDEX(customers[country], MATCH(orders[[#This Row],[customer_id]], customers[customer_id], 0)), "Unmapped")</f>
        <v>Sweden</v>
      </c>
      <c r="G3335" t="str">
        <f>IFERROR(INDEX(Region_Map[Region], MATCH(orders[[#This Row],[Customer_Country]], Region_Map[Country], 0)), "Unknown")</f>
        <v>Nordics</v>
      </c>
      <c r="H3335" t="s">
        <v>6949</v>
      </c>
    </row>
    <row r="3336" spans="1:8">
      <c r="A3336" t="s">
        <v>4239</v>
      </c>
      <c r="B3336" t="s">
        <v>614</v>
      </c>
      <c r="C3336" s="1">
        <v>45030</v>
      </c>
      <c r="D3336" s="1" t="str">
        <f>PROPER(orders[[#This Row],[order_priority]])</f>
        <v>Same Day</v>
      </c>
      <c r="E3336" t="s">
        <v>13322</v>
      </c>
      <c r="F3336" t="str">
        <f>IFERROR(INDEX(customers[country], MATCH(orders[[#This Row],[customer_id]], customers[customer_id], 0)), "Unmapped")</f>
        <v>Latvia</v>
      </c>
      <c r="G3336" t="str">
        <f>IFERROR(INDEX(Region_Map[Region], MATCH(orders[[#This Row],[Customer_Country]], Region_Map[Country], 0)), "Unknown")</f>
        <v>Baltics</v>
      </c>
      <c r="H3336" t="s">
        <v>6949</v>
      </c>
    </row>
    <row r="3337" spans="1:8">
      <c r="A3337" t="s">
        <v>4240</v>
      </c>
      <c r="B3337" t="s">
        <v>828</v>
      </c>
      <c r="C3337" s="1">
        <v>45496</v>
      </c>
      <c r="D3337" s="1" t="str">
        <f>PROPER(orders[[#This Row],[order_priority]])</f>
        <v>Same Day</v>
      </c>
      <c r="E3337" t="s">
        <v>13322</v>
      </c>
      <c r="F3337" t="str">
        <f>IFERROR(INDEX(customers[country], MATCH(orders[[#This Row],[customer_id]], customers[customer_id], 0)), "Unmapped")</f>
        <v>Germany</v>
      </c>
      <c r="G3337" t="str">
        <f>IFERROR(INDEX(Region_Map[Region], MATCH(orders[[#This Row],[Customer_Country]], Region_Map[Country], 0)), "Unknown")</f>
        <v>Central Europe</v>
      </c>
      <c r="H3337" t="s">
        <v>6949</v>
      </c>
    </row>
    <row r="3338" spans="1:8">
      <c r="A3338" t="s">
        <v>4241</v>
      </c>
      <c r="B3338" t="s">
        <v>578</v>
      </c>
      <c r="C3338" s="1">
        <v>45027</v>
      </c>
      <c r="D3338" s="1" t="str">
        <f>PROPER(orders[[#This Row],[order_priority]])</f>
        <v>Same Day</v>
      </c>
      <c r="E3338" t="s">
        <v>13321</v>
      </c>
      <c r="F3338" t="str">
        <f>IFERROR(INDEX(customers[country], MATCH(orders[[#This Row],[customer_id]], customers[customer_id], 0)), "Unmapped")</f>
        <v>Norway</v>
      </c>
      <c r="G3338" t="str">
        <f>IFERROR(INDEX(Region_Map[Region], MATCH(orders[[#This Row],[Customer_Country]], Region_Map[Country], 0)), "Unknown")</f>
        <v>Nordics</v>
      </c>
      <c r="H3338" t="s">
        <v>6949</v>
      </c>
    </row>
    <row r="3339" spans="1:8">
      <c r="A3339" t="s">
        <v>4242</v>
      </c>
      <c r="B3339" t="s">
        <v>644</v>
      </c>
      <c r="C3339" s="1">
        <v>45547</v>
      </c>
      <c r="D3339" s="1" t="str">
        <f>PROPER(orders[[#This Row],[order_priority]])</f>
        <v>Same Day</v>
      </c>
      <c r="E3339" t="s">
        <v>13322</v>
      </c>
      <c r="F3339" t="str">
        <f>IFERROR(INDEX(customers[country], MATCH(orders[[#This Row],[customer_id]], customers[customer_id], 0)), "Unmapped")</f>
        <v>Germany</v>
      </c>
      <c r="G3339" t="str">
        <f>IFERROR(INDEX(Region_Map[Region], MATCH(orders[[#This Row],[Customer_Country]], Region_Map[Country], 0)), "Unknown")</f>
        <v>Central Europe</v>
      </c>
      <c r="H3339" t="s">
        <v>6949</v>
      </c>
    </row>
    <row r="3340" spans="1:8">
      <c r="A3340" t="s">
        <v>4243</v>
      </c>
      <c r="B3340" t="s">
        <v>133</v>
      </c>
      <c r="C3340" s="1">
        <v>45465</v>
      </c>
      <c r="D3340" s="1" t="str">
        <f>PROPER(orders[[#This Row],[order_priority]])</f>
        <v>Express</v>
      </c>
      <c r="E3340" t="s">
        <v>13318</v>
      </c>
      <c r="F3340" t="str">
        <f>IFERROR(INDEX(customers[country], MATCH(orders[[#This Row],[customer_id]], customers[customer_id], 0)), "Unmapped")</f>
        <v>Finland</v>
      </c>
      <c r="G3340" t="str">
        <f>IFERROR(INDEX(Region_Map[Region], MATCH(orders[[#This Row],[Customer_Country]], Region_Map[Country], 0)), "Unknown")</f>
        <v>Nordics</v>
      </c>
      <c r="H3340" t="s">
        <v>6949</v>
      </c>
    </row>
    <row r="3341" spans="1:8">
      <c r="A3341" t="s">
        <v>4244</v>
      </c>
      <c r="B3341" t="s">
        <v>802</v>
      </c>
      <c r="C3341" s="1">
        <v>45461</v>
      </c>
      <c r="D3341" s="1" t="str">
        <f>PROPER(orders[[#This Row],[order_priority]])</f>
        <v>Express</v>
      </c>
      <c r="E3341" t="s">
        <v>13318</v>
      </c>
      <c r="F3341" t="str">
        <f>IFERROR(INDEX(customers[country], MATCH(orders[[#This Row],[customer_id]], customers[customer_id], 0)), "Unmapped")</f>
        <v>Poland</v>
      </c>
      <c r="G3341" t="str">
        <f>IFERROR(INDEX(Region_Map[Region], MATCH(orders[[#This Row],[Customer_Country]], Region_Map[Country], 0)), "Unknown")</f>
        <v>Central Europe</v>
      </c>
      <c r="H3341" t="s">
        <v>6949</v>
      </c>
    </row>
    <row r="3342" spans="1:8">
      <c r="A3342" t="s">
        <v>4245</v>
      </c>
      <c r="B3342" t="s">
        <v>34</v>
      </c>
      <c r="C3342" s="1">
        <v>45505</v>
      </c>
      <c r="D3342" s="1" t="str">
        <f>PROPER(orders[[#This Row],[order_priority]])</f>
        <v>Express</v>
      </c>
      <c r="E3342" t="s">
        <v>13318</v>
      </c>
      <c r="F3342" t="str">
        <f>IFERROR(INDEX(customers[country], MATCH(orders[[#This Row],[customer_id]], customers[customer_id], 0)), "Unmapped")</f>
        <v>Sweden</v>
      </c>
      <c r="G3342" t="str">
        <f>IFERROR(INDEX(Region_Map[Region], MATCH(orders[[#This Row],[Customer_Country]], Region_Map[Country], 0)), "Unknown")</f>
        <v>Nordics</v>
      </c>
      <c r="H3342" t="s">
        <v>6949</v>
      </c>
    </row>
    <row r="3343" spans="1:8">
      <c r="A3343" t="s">
        <v>4246</v>
      </c>
      <c r="B3343" t="s">
        <v>231</v>
      </c>
      <c r="C3343" s="1">
        <v>45338</v>
      </c>
      <c r="D3343" s="1" t="str">
        <f>PROPER(orders[[#This Row],[order_priority]])</f>
        <v>Standard</v>
      </c>
      <c r="E3343" t="s">
        <v>13317</v>
      </c>
      <c r="F3343" t="str">
        <f>IFERROR(INDEX(customers[country], MATCH(orders[[#This Row],[customer_id]], customers[customer_id], 0)), "Unmapped")</f>
        <v>Lithuania</v>
      </c>
      <c r="G3343" t="str">
        <f>IFERROR(INDEX(Region_Map[Region], MATCH(orders[[#This Row],[Customer_Country]], Region_Map[Country], 0)), "Unknown")</f>
        <v>Baltics</v>
      </c>
      <c r="H3343" t="s">
        <v>6949</v>
      </c>
    </row>
    <row r="3344" spans="1:8">
      <c r="A3344" t="s">
        <v>4247</v>
      </c>
      <c r="B3344" t="s">
        <v>578</v>
      </c>
      <c r="C3344" s="1">
        <v>45596</v>
      </c>
      <c r="D3344" s="1" t="str">
        <f>PROPER(orders[[#This Row],[order_priority]])</f>
        <v>Express</v>
      </c>
      <c r="E3344" t="s">
        <v>13318</v>
      </c>
      <c r="F3344" t="str">
        <f>IFERROR(INDEX(customers[country], MATCH(orders[[#This Row],[customer_id]], customers[customer_id], 0)), "Unmapped")</f>
        <v>Norway</v>
      </c>
      <c r="G3344" t="str">
        <f>IFERROR(INDEX(Region_Map[Region], MATCH(orders[[#This Row],[Customer_Country]], Region_Map[Country], 0)), "Unknown")</f>
        <v>Nordics</v>
      </c>
      <c r="H3344" t="s">
        <v>6949</v>
      </c>
    </row>
    <row r="3345" spans="1:8">
      <c r="A3345" t="s">
        <v>4248</v>
      </c>
      <c r="B3345" t="s">
        <v>55</v>
      </c>
      <c r="C3345" s="1">
        <v>45260</v>
      </c>
      <c r="D3345" s="1" t="str">
        <f>PROPER(orders[[#This Row],[order_priority]])</f>
        <v>Same Day</v>
      </c>
      <c r="E3345" t="s">
        <v>13322</v>
      </c>
      <c r="F3345" t="str">
        <f>IFERROR(INDEX(customers[country], MATCH(orders[[#This Row],[customer_id]], customers[customer_id], 0)), "Unmapped")</f>
        <v>Netherlands</v>
      </c>
      <c r="G3345" t="str">
        <f>IFERROR(INDEX(Region_Map[Region], MATCH(orders[[#This Row],[Customer_Country]], Region_Map[Country], 0)), "Unknown")</f>
        <v>Central Europe</v>
      </c>
      <c r="H3345" t="s">
        <v>6949</v>
      </c>
    </row>
    <row r="3346" spans="1:8">
      <c r="A3346" t="s">
        <v>4249</v>
      </c>
      <c r="B3346" t="s">
        <v>673</v>
      </c>
      <c r="C3346" s="1">
        <v>45072</v>
      </c>
      <c r="D3346" s="1" t="str">
        <f>PROPER(orders[[#This Row],[order_priority]])</f>
        <v>Economy</v>
      </c>
      <c r="E3346" t="s">
        <v>13328</v>
      </c>
      <c r="F3346" t="str">
        <f>IFERROR(INDEX(customers[country], MATCH(orders[[#This Row],[customer_id]], customers[customer_id], 0)), "Unmapped")</f>
        <v>Sweden</v>
      </c>
      <c r="G3346" t="str">
        <f>IFERROR(INDEX(Region_Map[Region], MATCH(orders[[#This Row],[Customer_Country]], Region_Map[Country], 0)), "Unknown")</f>
        <v>Nordics</v>
      </c>
      <c r="H3346" t="s">
        <v>6949</v>
      </c>
    </row>
    <row r="3347" spans="1:8">
      <c r="A3347" t="s">
        <v>4250</v>
      </c>
      <c r="B3347" t="s">
        <v>509</v>
      </c>
      <c r="C3347" s="1">
        <v>45229</v>
      </c>
      <c r="D3347" s="1" t="str">
        <f>PROPER(orders[[#This Row],[order_priority]])</f>
        <v>Express</v>
      </c>
      <c r="E3347" t="s">
        <v>13318</v>
      </c>
      <c r="F3347" t="str">
        <f>IFERROR(INDEX(customers[country], MATCH(orders[[#This Row],[customer_id]], customers[customer_id], 0)), "Unmapped")</f>
        <v>Sweden</v>
      </c>
      <c r="G3347" t="str">
        <f>IFERROR(INDEX(Region_Map[Region], MATCH(orders[[#This Row],[Customer_Country]], Region_Map[Country], 0)), "Unknown")</f>
        <v>Nordics</v>
      </c>
      <c r="H3347" t="s">
        <v>6949</v>
      </c>
    </row>
    <row r="3348" spans="1:8">
      <c r="A3348" t="s">
        <v>4251</v>
      </c>
      <c r="B3348" t="s">
        <v>879</v>
      </c>
      <c r="C3348" s="1">
        <v>44997</v>
      </c>
      <c r="D3348" s="1" t="str">
        <f>PROPER(orders[[#This Row],[order_priority]])</f>
        <v>Same Day</v>
      </c>
      <c r="E3348" t="s">
        <v>13322</v>
      </c>
      <c r="F3348" t="str">
        <f>IFERROR(INDEX(customers[country], MATCH(orders[[#This Row],[customer_id]], customers[customer_id], 0)), "Unmapped")</f>
        <v>Norway</v>
      </c>
      <c r="G3348" t="str">
        <f>IFERROR(INDEX(Region_Map[Region], MATCH(orders[[#This Row],[Customer_Country]], Region_Map[Country], 0)), "Unknown")</f>
        <v>Nordics</v>
      </c>
      <c r="H3348" t="s">
        <v>6949</v>
      </c>
    </row>
    <row r="3349" spans="1:8">
      <c r="A3349" t="s">
        <v>4252</v>
      </c>
      <c r="B3349" t="s">
        <v>867</v>
      </c>
      <c r="C3349" s="1">
        <v>45383</v>
      </c>
      <c r="D3349" s="1" t="str">
        <f>PROPER(orders[[#This Row],[order_priority]])</f>
        <v>Economy</v>
      </c>
      <c r="E3349" t="s">
        <v>13316</v>
      </c>
      <c r="F3349" t="str">
        <f>IFERROR(INDEX(customers[country], MATCH(orders[[#This Row],[customer_id]], customers[customer_id], 0)), "Unmapped")</f>
        <v>Denmark</v>
      </c>
      <c r="G3349" t="str">
        <f>IFERROR(INDEX(Region_Map[Region], MATCH(orders[[#This Row],[Customer_Country]], Region_Map[Country], 0)), "Unknown")</f>
        <v>Nordics</v>
      </c>
      <c r="H3349" t="s">
        <v>6949</v>
      </c>
    </row>
    <row r="3350" spans="1:8">
      <c r="A3350" t="s">
        <v>4253</v>
      </c>
      <c r="B3350" t="s">
        <v>900</v>
      </c>
      <c r="C3350" s="1">
        <v>45113</v>
      </c>
      <c r="D3350" s="1" t="str">
        <f>PROPER(orders[[#This Row],[order_priority]])</f>
        <v>Express</v>
      </c>
      <c r="E3350" t="s">
        <v>13318</v>
      </c>
      <c r="F3350" t="str">
        <f>IFERROR(INDEX(customers[country], MATCH(orders[[#This Row],[customer_id]], customers[customer_id], 0)), "Unmapped")</f>
        <v>Germany</v>
      </c>
      <c r="G3350" t="str">
        <f>IFERROR(INDEX(Region_Map[Region], MATCH(orders[[#This Row],[Customer_Country]], Region_Map[Country], 0)), "Unknown")</f>
        <v>Central Europe</v>
      </c>
      <c r="H3350" t="s">
        <v>6949</v>
      </c>
    </row>
    <row r="3351" spans="1:8">
      <c r="A3351" t="s">
        <v>4254</v>
      </c>
      <c r="B3351" t="s">
        <v>825</v>
      </c>
      <c r="C3351" s="1">
        <v>44935</v>
      </c>
      <c r="D3351" s="1" t="str">
        <f>PROPER(orders[[#This Row],[order_priority]])</f>
        <v>Standard</v>
      </c>
      <c r="E3351" t="s">
        <v>13317</v>
      </c>
      <c r="F3351" t="str">
        <f>IFERROR(INDEX(customers[country], MATCH(orders[[#This Row],[customer_id]], customers[customer_id], 0)), "Unmapped")</f>
        <v>Latvia</v>
      </c>
      <c r="G3351" t="str">
        <f>IFERROR(INDEX(Region_Map[Region], MATCH(orders[[#This Row],[Customer_Country]], Region_Map[Country], 0)), "Unknown")</f>
        <v>Baltics</v>
      </c>
      <c r="H3351" t="s">
        <v>6949</v>
      </c>
    </row>
    <row r="3352" spans="1:8">
      <c r="A3352" t="s">
        <v>4255</v>
      </c>
      <c r="B3352" t="s">
        <v>73</v>
      </c>
      <c r="C3352" s="1">
        <v>45373</v>
      </c>
      <c r="D3352" s="1" t="str">
        <f>PROPER(orders[[#This Row],[order_priority]])</f>
        <v>Same Day</v>
      </c>
      <c r="E3352" t="s">
        <v>13322</v>
      </c>
      <c r="F3352" t="str">
        <f>IFERROR(INDEX(customers[country], MATCH(orders[[#This Row],[customer_id]], customers[customer_id], 0)), "Unmapped")</f>
        <v>Norway</v>
      </c>
      <c r="G3352" t="str">
        <f>IFERROR(INDEX(Region_Map[Region], MATCH(orders[[#This Row],[Customer_Country]], Region_Map[Country], 0)), "Unknown")</f>
        <v>Nordics</v>
      </c>
      <c r="H3352" t="s">
        <v>6949</v>
      </c>
    </row>
    <row r="3353" spans="1:8">
      <c r="A3353" t="s">
        <v>4256</v>
      </c>
      <c r="B3353" t="s">
        <v>130</v>
      </c>
      <c r="C3353" s="1">
        <v>45142</v>
      </c>
      <c r="D3353" s="1" t="str">
        <f>PROPER(orders[[#This Row],[order_priority]])</f>
        <v>Same Day</v>
      </c>
      <c r="E3353" t="s">
        <v>13322</v>
      </c>
      <c r="F3353" t="str">
        <f>IFERROR(INDEX(customers[country], MATCH(orders[[#This Row],[customer_id]], customers[customer_id], 0)), "Unmapped")</f>
        <v>Latvia</v>
      </c>
      <c r="G3353" t="str">
        <f>IFERROR(INDEX(Region_Map[Region], MATCH(orders[[#This Row],[Customer_Country]], Region_Map[Country], 0)), "Unknown")</f>
        <v>Baltics</v>
      </c>
      <c r="H3353" t="s">
        <v>6949</v>
      </c>
    </row>
    <row r="3354" spans="1:8">
      <c r="A3354" t="s">
        <v>4257</v>
      </c>
      <c r="B3354" t="s">
        <v>635</v>
      </c>
      <c r="C3354" s="1">
        <v>45525</v>
      </c>
      <c r="D3354" s="1" t="str">
        <f>PROPER(orders[[#This Row],[order_priority]])</f>
        <v>Economy</v>
      </c>
      <c r="E3354" t="s">
        <v>13316</v>
      </c>
      <c r="F3354" t="str">
        <f>IFERROR(INDEX(customers[country], MATCH(orders[[#This Row],[customer_id]], customers[customer_id], 0)), "Unmapped")</f>
        <v>Latvia</v>
      </c>
      <c r="G3354" t="str">
        <f>IFERROR(INDEX(Region_Map[Region], MATCH(orders[[#This Row],[Customer_Country]], Region_Map[Country], 0)), "Unknown")</f>
        <v>Baltics</v>
      </c>
      <c r="H3354" t="s">
        <v>6949</v>
      </c>
    </row>
    <row r="3355" spans="1:8">
      <c r="A3355" t="s">
        <v>4258</v>
      </c>
      <c r="B3355" t="s">
        <v>392</v>
      </c>
      <c r="C3355" s="1">
        <v>45267</v>
      </c>
      <c r="D3355" s="1" t="str">
        <f>PROPER(orders[[#This Row],[order_priority]])</f>
        <v>Economy</v>
      </c>
      <c r="E3355" t="s">
        <v>13316</v>
      </c>
      <c r="F3355" t="str">
        <f>IFERROR(INDEX(customers[country], MATCH(orders[[#This Row],[customer_id]], customers[customer_id], 0)), "Unmapped")</f>
        <v>Latvia</v>
      </c>
      <c r="G3355" t="str">
        <f>IFERROR(INDEX(Region_Map[Region], MATCH(orders[[#This Row],[Customer_Country]], Region_Map[Country], 0)), "Unknown")</f>
        <v>Baltics</v>
      </c>
      <c r="H3355" t="s">
        <v>6949</v>
      </c>
    </row>
    <row r="3356" spans="1:8">
      <c r="A3356" t="s">
        <v>4259</v>
      </c>
      <c r="B3356" t="s">
        <v>133</v>
      </c>
      <c r="C3356" s="1">
        <v>44981</v>
      </c>
      <c r="D3356" s="1" t="str">
        <f>PROPER(orders[[#This Row],[order_priority]])</f>
        <v>Standard</v>
      </c>
      <c r="E3356" t="s">
        <v>13319</v>
      </c>
      <c r="F3356" t="str">
        <f>IFERROR(INDEX(customers[country], MATCH(orders[[#This Row],[customer_id]], customers[customer_id], 0)), "Unmapped")</f>
        <v>Finland</v>
      </c>
      <c r="G3356" t="str">
        <f>IFERROR(INDEX(Region_Map[Region], MATCH(orders[[#This Row],[Customer_Country]], Region_Map[Country], 0)), "Unknown")</f>
        <v>Nordics</v>
      </c>
      <c r="H3356" t="s">
        <v>6949</v>
      </c>
    </row>
    <row r="3357" spans="1:8">
      <c r="A3357" t="s">
        <v>4260</v>
      </c>
      <c r="B3357" t="s">
        <v>867</v>
      </c>
      <c r="C3357" s="1">
        <v>45161</v>
      </c>
      <c r="D3357" s="1" t="str">
        <f>PROPER(orders[[#This Row],[order_priority]])</f>
        <v>Standard</v>
      </c>
      <c r="E3357" t="s">
        <v>13317</v>
      </c>
      <c r="F3357" t="str">
        <f>IFERROR(INDEX(customers[country], MATCH(orders[[#This Row],[customer_id]], customers[customer_id], 0)), "Unmapped")</f>
        <v>Denmark</v>
      </c>
      <c r="G3357" t="str">
        <f>IFERROR(INDEX(Region_Map[Region], MATCH(orders[[#This Row],[Customer_Country]], Region_Map[Country], 0)), "Unknown")</f>
        <v>Nordics</v>
      </c>
      <c r="H3357" t="s">
        <v>6949</v>
      </c>
    </row>
    <row r="3358" spans="1:8">
      <c r="A3358" t="s">
        <v>4261</v>
      </c>
      <c r="B3358" t="s">
        <v>617</v>
      </c>
      <c r="C3358" s="1">
        <v>44978</v>
      </c>
      <c r="D3358" s="1" t="str">
        <f>PROPER(orders[[#This Row],[order_priority]])</f>
        <v>Economy</v>
      </c>
      <c r="E3358" t="s">
        <v>13316</v>
      </c>
      <c r="F3358" t="str">
        <f>IFERROR(INDEX(customers[country], MATCH(orders[[#This Row],[customer_id]], customers[customer_id], 0)), "Unmapped")</f>
        <v>Latvia</v>
      </c>
      <c r="G3358" t="str">
        <f>IFERROR(INDEX(Region_Map[Region], MATCH(orders[[#This Row],[Customer_Country]], Region_Map[Country], 0)), "Unknown")</f>
        <v>Baltics</v>
      </c>
      <c r="H3358" t="s">
        <v>6949</v>
      </c>
    </row>
    <row r="3359" spans="1:8">
      <c r="A3359" t="s">
        <v>4262</v>
      </c>
      <c r="B3359" t="s">
        <v>347</v>
      </c>
      <c r="C3359" s="1">
        <v>44974</v>
      </c>
      <c r="D3359" s="1" t="str">
        <f>PROPER(orders[[#This Row],[order_priority]])</f>
        <v>Economy</v>
      </c>
      <c r="E3359" t="s">
        <v>13316</v>
      </c>
      <c r="F3359" t="str">
        <f>IFERROR(INDEX(customers[country], MATCH(orders[[#This Row],[customer_id]], customers[customer_id], 0)), "Unmapped")</f>
        <v>Norway</v>
      </c>
      <c r="G3359" t="str">
        <f>IFERROR(INDEX(Region_Map[Region], MATCH(orders[[#This Row],[Customer_Country]], Region_Map[Country], 0)), "Unknown")</f>
        <v>Nordics</v>
      </c>
      <c r="H3359" t="s">
        <v>6949</v>
      </c>
    </row>
    <row r="3360" spans="1:8">
      <c r="A3360" t="s">
        <v>4263</v>
      </c>
      <c r="B3360" t="s">
        <v>228</v>
      </c>
      <c r="C3360" s="1">
        <v>45510</v>
      </c>
      <c r="D3360" s="1" t="str">
        <f>PROPER(orders[[#This Row],[order_priority]])</f>
        <v>Same Day</v>
      </c>
      <c r="E3360" t="s">
        <v>13322</v>
      </c>
      <c r="F3360" t="str">
        <f>IFERROR(INDEX(customers[country], MATCH(orders[[#This Row],[customer_id]], customers[customer_id], 0)), "Unmapped")</f>
        <v>Latvia</v>
      </c>
      <c r="G3360" t="str">
        <f>IFERROR(INDEX(Region_Map[Region], MATCH(orders[[#This Row],[Customer_Country]], Region_Map[Country], 0)), "Unknown")</f>
        <v>Baltics</v>
      </c>
      <c r="H3360" t="s">
        <v>6949</v>
      </c>
    </row>
    <row r="3361" spans="1:8">
      <c r="A3361" t="s">
        <v>4264</v>
      </c>
      <c r="B3361" t="s">
        <v>506</v>
      </c>
      <c r="C3361" s="1">
        <v>45192</v>
      </c>
      <c r="D3361" s="1" t="str">
        <f>PROPER(orders[[#This Row],[order_priority]])</f>
        <v>Same Day</v>
      </c>
      <c r="E3361" t="s">
        <v>13322</v>
      </c>
      <c r="F3361" t="str">
        <f>IFERROR(INDEX(customers[country], MATCH(orders[[#This Row],[customer_id]], customers[customer_id], 0)), "Unmapped")</f>
        <v>Poland</v>
      </c>
      <c r="G3361" t="str">
        <f>IFERROR(INDEX(Region_Map[Region], MATCH(orders[[#This Row],[Customer_Country]], Region_Map[Country], 0)), "Unknown")</f>
        <v>Central Europe</v>
      </c>
      <c r="H3361" t="s">
        <v>6949</v>
      </c>
    </row>
    <row r="3362" spans="1:8">
      <c r="A3362" t="s">
        <v>4265</v>
      </c>
      <c r="B3362" t="s">
        <v>461</v>
      </c>
      <c r="C3362" s="1">
        <v>45395</v>
      </c>
      <c r="D3362" s="1" t="str">
        <f>PROPER(orders[[#This Row],[order_priority]])</f>
        <v>Standard</v>
      </c>
      <c r="E3362" t="s">
        <v>13317</v>
      </c>
      <c r="F3362" t="str">
        <f>IFERROR(INDEX(customers[country], MATCH(orders[[#This Row],[customer_id]], customers[customer_id], 0)), "Unmapped")</f>
        <v>Latvia</v>
      </c>
      <c r="G3362" t="str">
        <f>IFERROR(INDEX(Region_Map[Region], MATCH(orders[[#This Row],[Customer_Country]], Region_Map[Country], 0)), "Unknown")</f>
        <v>Baltics</v>
      </c>
      <c r="H3362" t="s">
        <v>6949</v>
      </c>
    </row>
    <row r="3363" spans="1:8">
      <c r="A3363" t="s">
        <v>4266</v>
      </c>
      <c r="B3363" t="s">
        <v>398</v>
      </c>
      <c r="C3363" s="1">
        <v>45187</v>
      </c>
      <c r="D3363" s="1" t="str">
        <f>PROPER(orders[[#This Row],[order_priority]])</f>
        <v>Standard</v>
      </c>
      <c r="E3363" t="s">
        <v>13317</v>
      </c>
      <c r="F3363" t="str">
        <f>IFERROR(INDEX(customers[country], MATCH(orders[[#This Row],[customer_id]], customers[customer_id], 0)), "Unmapped")</f>
        <v>Sweden</v>
      </c>
      <c r="G3363" t="str">
        <f>IFERROR(INDEX(Region_Map[Region], MATCH(orders[[#This Row],[Customer_Country]], Region_Map[Country], 0)), "Unknown")</f>
        <v>Nordics</v>
      </c>
      <c r="H3363" t="s">
        <v>6949</v>
      </c>
    </row>
    <row r="3364" spans="1:8">
      <c r="A3364" t="s">
        <v>4267</v>
      </c>
      <c r="B3364" t="s">
        <v>24</v>
      </c>
      <c r="C3364" s="1">
        <v>45493</v>
      </c>
      <c r="D3364" s="1" t="str">
        <f>PROPER(orders[[#This Row],[order_priority]])</f>
        <v>Same Day</v>
      </c>
      <c r="E3364" t="s">
        <v>13324</v>
      </c>
      <c r="F3364" t="str">
        <f>IFERROR(INDEX(customers[country], MATCH(orders[[#This Row],[customer_id]], customers[customer_id], 0)), "Unmapped")</f>
        <v>Sweden</v>
      </c>
      <c r="G3364" t="str">
        <f>IFERROR(INDEX(Region_Map[Region], MATCH(orders[[#This Row],[Customer_Country]], Region_Map[Country], 0)), "Unknown")</f>
        <v>Nordics</v>
      </c>
      <c r="H3364" t="s">
        <v>6949</v>
      </c>
    </row>
    <row r="3365" spans="1:8">
      <c r="A3365" t="s">
        <v>4268</v>
      </c>
      <c r="B3365" t="s">
        <v>341</v>
      </c>
      <c r="C3365" s="1">
        <v>45320</v>
      </c>
      <c r="D3365" s="1" t="str">
        <f>PROPER(orders[[#This Row],[order_priority]])</f>
        <v>Economy</v>
      </c>
      <c r="E3365" t="s">
        <v>13325</v>
      </c>
      <c r="F3365" t="str">
        <f>IFERROR(INDEX(customers[country], MATCH(orders[[#This Row],[customer_id]], customers[customer_id], 0)), "Unmapped")</f>
        <v>Latvia</v>
      </c>
      <c r="G3365" t="str">
        <f>IFERROR(INDEX(Region_Map[Region], MATCH(orders[[#This Row],[Customer_Country]], Region_Map[Country], 0)), "Unknown")</f>
        <v>Baltics</v>
      </c>
      <c r="H3365" t="s">
        <v>6949</v>
      </c>
    </row>
    <row r="3366" spans="1:8">
      <c r="A3366" t="s">
        <v>4269</v>
      </c>
      <c r="B3366" t="s">
        <v>151</v>
      </c>
      <c r="C3366" s="1">
        <v>45167</v>
      </c>
      <c r="D3366" s="1" t="str">
        <f>PROPER(orders[[#This Row],[order_priority]])</f>
        <v>Economy</v>
      </c>
      <c r="E3366" t="s">
        <v>13316</v>
      </c>
      <c r="F3366" t="str">
        <f>IFERROR(INDEX(customers[country], MATCH(orders[[#This Row],[customer_id]], customers[customer_id], 0)), "Unmapped")</f>
        <v>Sweden</v>
      </c>
      <c r="G3366" t="str">
        <f>IFERROR(INDEX(Region_Map[Region], MATCH(orders[[#This Row],[Customer_Country]], Region_Map[Country], 0)), "Unknown")</f>
        <v>Nordics</v>
      </c>
      <c r="H3366" t="s">
        <v>6949</v>
      </c>
    </row>
    <row r="3367" spans="1:8">
      <c r="A3367" t="s">
        <v>4270</v>
      </c>
      <c r="B3367" t="s">
        <v>524</v>
      </c>
      <c r="C3367" s="1">
        <v>45288</v>
      </c>
      <c r="D3367" s="1" t="str">
        <f>PROPER(orders[[#This Row],[order_priority]])</f>
        <v>Standard</v>
      </c>
      <c r="E3367" t="s">
        <v>13317</v>
      </c>
      <c r="F3367" t="str">
        <f>IFERROR(INDEX(customers[country], MATCH(orders[[#This Row],[customer_id]], customers[customer_id], 0)), "Unmapped")</f>
        <v>Norway</v>
      </c>
      <c r="G3367" t="str">
        <f>IFERROR(INDEX(Region_Map[Region], MATCH(orders[[#This Row],[Customer_Country]], Region_Map[Country], 0)), "Unknown")</f>
        <v>Nordics</v>
      </c>
      <c r="H3367" t="s">
        <v>6949</v>
      </c>
    </row>
    <row r="3368" spans="1:8">
      <c r="A3368" t="s">
        <v>4271</v>
      </c>
      <c r="B3368" t="s">
        <v>897</v>
      </c>
      <c r="C3368" s="1">
        <v>45022</v>
      </c>
      <c r="D3368" s="1" t="str">
        <f>PROPER(orders[[#This Row],[order_priority]])</f>
        <v>Express</v>
      </c>
      <c r="E3368" t="s">
        <v>13318</v>
      </c>
      <c r="F3368" t="str">
        <f>IFERROR(INDEX(customers[country], MATCH(orders[[#This Row],[customer_id]], customers[customer_id], 0)), "Unmapped")</f>
        <v>Netherlands</v>
      </c>
      <c r="G3368" t="str">
        <f>IFERROR(INDEX(Region_Map[Region], MATCH(orders[[#This Row],[Customer_Country]], Region_Map[Country], 0)), "Unknown")</f>
        <v>Central Europe</v>
      </c>
      <c r="H3368" t="s">
        <v>6949</v>
      </c>
    </row>
    <row r="3369" spans="1:8">
      <c r="A3369" t="s">
        <v>4272</v>
      </c>
      <c r="B3369" t="s">
        <v>870</v>
      </c>
      <c r="C3369" s="1">
        <v>45110</v>
      </c>
      <c r="D3369" s="1" t="str">
        <f>PROPER(orders[[#This Row],[order_priority]])</f>
        <v>Express</v>
      </c>
      <c r="E3369" t="s">
        <v>13326</v>
      </c>
      <c r="F3369" t="str">
        <f>IFERROR(INDEX(customers[country], MATCH(orders[[#This Row],[customer_id]], customers[customer_id], 0)), "Unmapped")</f>
        <v>Estonia</v>
      </c>
      <c r="G3369" t="str">
        <f>IFERROR(INDEX(Region_Map[Region], MATCH(orders[[#This Row],[Customer_Country]], Region_Map[Country], 0)), "Unknown")</f>
        <v>Baltics</v>
      </c>
      <c r="H3369" t="s">
        <v>6949</v>
      </c>
    </row>
    <row r="3370" spans="1:8">
      <c r="A3370" t="s">
        <v>4273</v>
      </c>
      <c r="B3370" t="s">
        <v>596</v>
      </c>
      <c r="C3370" s="1">
        <v>45582</v>
      </c>
      <c r="D3370" s="1" t="str">
        <f>PROPER(orders[[#This Row],[order_priority]])</f>
        <v>Express</v>
      </c>
      <c r="E3370" t="s">
        <v>13320</v>
      </c>
      <c r="F3370" t="str">
        <f>IFERROR(INDEX(customers[country], MATCH(orders[[#This Row],[customer_id]], customers[customer_id], 0)), "Unmapped")</f>
        <v>Lithuania</v>
      </c>
      <c r="G3370" t="str">
        <f>IFERROR(INDEX(Region_Map[Region], MATCH(orders[[#This Row],[Customer_Country]], Region_Map[Country], 0)), "Unknown")</f>
        <v>Baltics</v>
      </c>
      <c r="H3370" t="s">
        <v>6949</v>
      </c>
    </row>
    <row r="3371" spans="1:8">
      <c r="A3371" t="s">
        <v>4274</v>
      </c>
      <c r="B3371" t="s">
        <v>572</v>
      </c>
      <c r="C3371" s="1">
        <v>45379</v>
      </c>
      <c r="D3371" s="1" t="str">
        <f>PROPER(orders[[#This Row],[order_priority]])</f>
        <v>Economy</v>
      </c>
      <c r="E3371" t="s">
        <v>13316</v>
      </c>
      <c r="F3371" t="str">
        <f>IFERROR(INDEX(customers[country], MATCH(orders[[#This Row],[customer_id]], customers[customer_id], 0)), "Unmapped")</f>
        <v>Germany</v>
      </c>
      <c r="G3371" t="str">
        <f>IFERROR(INDEX(Region_Map[Region], MATCH(orders[[#This Row],[Customer_Country]], Region_Map[Country], 0)), "Unknown")</f>
        <v>Central Europe</v>
      </c>
      <c r="H3371" t="s">
        <v>6949</v>
      </c>
    </row>
    <row r="3372" spans="1:8">
      <c r="A3372" t="s">
        <v>4275</v>
      </c>
      <c r="B3372" t="s">
        <v>207</v>
      </c>
      <c r="C3372" s="1">
        <v>45508</v>
      </c>
      <c r="D3372" s="1" t="str">
        <f>PROPER(orders[[#This Row],[order_priority]])</f>
        <v>Same Day</v>
      </c>
      <c r="E3372" t="s">
        <v>13322</v>
      </c>
      <c r="F3372" t="str">
        <f>IFERROR(INDEX(customers[country], MATCH(orders[[#This Row],[customer_id]], customers[customer_id], 0)), "Unmapped")</f>
        <v>Poland</v>
      </c>
      <c r="G3372" t="str">
        <f>IFERROR(INDEX(Region_Map[Region], MATCH(orders[[#This Row],[Customer_Country]], Region_Map[Country], 0)), "Unknown")</f>
        <v>Central Europe</v>
      </c>
      <c r="H3372" t="s">
        <v>6949</v>
      </c>
    </row>
    <row r="3373" spans="1:8">
      <c r="A3373" t="s">
        <v>4276</v>
      </c>
      <c r="B3373" t="s">
        <v>635</v>
      </c>
      <c r="C3373" s="1">
        <v>45399</v>
      </c>
      <c r="D3373" s="1" t="str">
        <f>PROPER(orders[[#This Row],[order_priority]])</f>
        <v>Economy</v>
      </c>
      <c r="E3373" t="s">
        <v>13316</v>
      </c>
      <c r="F3373" t="str">
        <f>IFERROR(INDEX(customers[country], MATCH(orders[[#This Row],[customer_id]], customers[customer_id], 0)), "Unmapped")</f>
        <v>Latvia</v>
      </c>
      <c r="G3373" t="str">
        <f>IFERROR(INDEX(Region_Map[Region], MATCH(orders[[#This Row],[Customer_Country]], Region_Map[Country], 0)), "Unknown")</f>
        <v>Baltics</v>
      </c>
      <c r="H3373" t="s">
        <v>6949</v>
      </c>
    </row>
    <row r="3374" spans="1:8">
      <c r="A3374" t="s">
        <v>4277</v>
      </c>
      <c r="B3374" t="s">
        <v>676</v>
      </c>
      <c r="C3374" s="1">
        <v>45422</v>
      </c>
      <c r="D3374" s="1" t="str">
        <f>PROPER(orders[[#This Row],[order_priority]])</f>
        <v>Same Day</v>
      </c>
      <c r="E3374" t="s">
        <v>13322</v>
      </c>
      <c r="F3374" t="str">
        <f>IFERROR(INDEX(customers[country], MATCH(orders[[#This Row],[customer_id]], customers[customer_id], 0)), "Unmapped")</f>
        <v>Latvia</v>
      </c>
      <c r="G3374" t="str">
        <f>IFERROR(INDEX(Region_Map[Region], MATCH(orders[[#This Row],[Customer_Country]], Region_Map[Country], 0)), "Unknown")</f>
        <v>Baltics</v>
      </c>
      <c r="H3374" t="s">
        <v>6949</v>
      </c>
    </row>
    <row r="3375" spans="1:8">
      <c r="A3375" t="s">
        <v>4278</v>
      </c>
      <c r="B3375" t="s">
        <v>688</v>
      </c>
      <c r="C3375" s="1">
        <v>45045</v>
      </c>
      <c r="D3375" s="1" t="str">
        <f>PROPER(orders[[#This Row],[order_priority]])</f>
        <v>Standard</v>
      </c>
      <c r="E3375" t="s">
        <v>13317</v>
      </c>
      <c r="F3375" t="str">
        <f>IFERROR(INDEX(customers[country], MATCH(orders[[#This Row],[customer_id]], customers[customer_id], 0)), "Unmapped")</f>
        <v>Norway</v>
      </c>
      <c r="G3375" t="str">
        <f>IFERROR(INDEX(Region_Map[Region], MATCH(orders[[#This Row],[Customer_Country]], Region_Map[Country], 0)), "Unknown")</f>
        <v>Nordics</v>
      </c>
      <c r="H3375" t="s">
        <v>6949</v>
      </c>
    </row>
    <row r="3376" spans="1:8">
      <c r="A3376" t="s">
        <v>4279</v>
      </c>
      <c r="B3376" t="s">
        <v>127</v>
      </c>
      <c r="C3376" s="1">
        <v>45376</v>
      </c>
      <c r="D3376" s="1" t="str">
        <f>PROPER(orders[[#This Row],[order_priority]])</f>
        <v>Standard</v>
      </c>
      <c r="E3376" t="s">
        <v>13317</v>
      </c>
      <c r="F3376" t="str">
        <f>IFERROR(INDEX(customers[country], MATCH(orders[[#This Row],[customer_id]], customers[customer_id], 0)), "Unmapped")</f>
        <v>Denmark</v>
      </c>
      <c r="G3376" t="str">
        <f>IFERROR(INDEX(Region_Map[Region], MATCH(orders[[#This Row],[Customer_Country]], Region_Map[Country], 0)), "Unknown")</f>
        <v>Nordics</v>
      </c>
      <c r="H3376" t="s">
        <v>6949</v>
      </c>
    </row>
    <row r="3377" spans="1:8">
      <c r="A3377" t="s">
        <v>4280</v>
      </c>
      <c r="B3377" t="s">
        <v>449</v>
      </c>
      <c r="C3377" s="1">
        <v>45164</v>
      </c>
      <c r="D3377" s="1" t="str">
        <f>PROPER(orders[[#This Row],[order_priority]])</f>
        <v>Express</v>
      </c>
      <c r="E3377" t="s">
        <v>13318</v>
      </c>
      <c r="F3377" t="str">
        <f>IFERROR(INDEX(customers[country], MATCH(orders[[#This Row],[customer_id]], customers[customer_id], 0)), "Unmapped")</f>
        <v>Norway</v>
      </c>
      <c r="G3377" t="str">
        <f>IFERROR(INDEX(Region_Map[Region], MATCH(orders[[#This Row],[Customer_Country]], Region_Map[Country], 0)), "Unknown")</f>
        <v>Nordics</v>
      </c>
      <c r="H3377" t="s">
        <v>6949</v>
      </c>
    </row>
    <row r="3378" spans="1:8">
      <c r="A3378" t="s">
        <v>4281</v>
      </c>
      <c r="B3378" t="s">
        <v>885</v>
      </c>
      <c r="C3378" s="1">
        <v>45063</v>
      </c>
      <c r="D3378" s="1" t="str">
        <f>PROPER(orders[[#This Row],[order_priority]])</f>
        <v>Same Day</v>
      </c>
      <c r="E3378" t="s">
        <v>13321</v>
      </c>
      <c r="F3378" t="str">
        <f>IFERROR(INDEX(customers[country], MATCH(orders[[#This Row],[customer_id]], customers[customer_id], 0)), "Unmapped")</f>
        <v>Poland</v>
      </c>
      <c r="G3378" t="str">
        <f>IFERROR(INDEX(Region_Map[Region], MATCH(orders[[#This Row],[Customer_Country]], Region_Map[Country], 0)), "Unknown")</f>
        <v>Central Europe</v>
      </c>
      <c r="H3378" t="s">
        <v>6949</v>
      </c>
    </row>
    <row r="3379" spans="1:8">
      <c r="A3379" t="s">
        <v>4282</v>
      </c>
      <c r="B3379" t="s">
        <v>664</v>
      </c>
      <c r="C3379" s="1">
        <v>44947</v>
      </c>
      <c r="D3379" s="1" t="str">
        <f>PROPER(orders[[#This Row],[order_priority]])</f>
        <v>Same Day</v>
      </c>
      <c r="E3379" t="s">
        <v>13322</v>
      </c>
      <c r="F3379" t="str">
        <f>IFERROR(INDEX(customers[country], MATCH(orders[[#This Row],[customer_id]], customers[customer_id], 0)), "Unmapped")</f>
        <v>Latvia</v>
      </c>
      <c r="G3379" t="str">
        <f>IFERROR(INDEX(Region_Map[Region], MATCH(orders[[#This Row],[Customer_Country]], Region_Map[Country], 0)), "Unknown")</f>
        <v>Baltics</v>
      </c>
      <c r="H3379" t="s">
        <v>6949</v>
      </c>
    </row>
    <row r="3380" spans="1:8">
      <c r="A3380" t="s">
        <v>4283</v>
      </c>
      <c r="B3380" t="s">
        <v>115</v>
      </c>
      <c r="C3380" s="1">
        <v>45478</v>
      </c>
      <c r="D3380" s="1" t="str">
        <f>PROPER(orders[[#This Row],[order_priority]])</f>
        <v>Economy</v>
      </c>
      <c r="E3380" t="s">
        <v>13316</v>
      </c>
      <c r="F3380" t="str">
        <f>IFERROR(INDEX(customers[country], MATCH(orders[[#This Row],[customer_id]], customers[customer_id], 0)), "Unmapped")</f>
        <v>Finland</v>
      </c>
      <c r="G3380" t="str">
        <f>IFERROR(INDEX(Region_Map[Region], MATCH(orders[[#This Row],[Customer_Country]], Region_Map[Country], 0)), "Unknown")</f>
        <v>Nordics</v>
      </c>
      <c r="H3380" t="s">
        <v>6949</v>
      </c>
    </row>
    <row r="3381" spans="1:8">
      <c r="A3381" t="s">
        <v>4284</v>
      </c>
      <c r="B3381" t="s">
        <v>204</v>
      </c>
      <c r="C3381" s="1">
        <v>45056</v>
      </c>
      <c r="D3381" s="1" t="str">
        <f>PROPER(orders[[#This Row],[order_priority]])</f>
        <v>Standard</v>
      </c>
      <c r="E3381" t="s">
        <v>13317</v>
      </c>
      <c r="F3381" t="str">
        <f>IFERROR(INDEX(customers[country], MATCH(orders[[#This Row],[customer_id]], customers[customer_id], 0)), "Unmapped")</f>
        <v>Sweden</v>
      </c>
      <c r="G3381" t="str">
        <f>IFERROR(INDEX(Region_Map[Region], MATCH(orders[[#This Row],[Customer_Country]], Region_Map[Country], 0)), "Unknown")</f>
        <v>Nordics</v>
      </c>
      <c r="H3381" t="s">
        <v>6949</v>
      </c>
    </row>
    <row r="3382" spans="1:8">
      <c r="A3382" t="s">
        <v>4285</v>
      </c>
      <c r="B3382" t="s">
        <v>404</v>
      </c>
      <c r="C3382" s="1">
        <v>45480</v>
      </c>
      <c r="D3382" s="1" t="str">
        <f>PROPER(orders[[#This Row],[order_priority]])</f>
        <v>Express</v>
      </c>
      <c r="E3382" t="s">
        <v>13320</v>
      </c>
      <c r="F3382" t="str">
        <f>IFERROR(INDEX(customers[country], MATCH(orders[[#This Row],[customer_id]], customers[customer_id], 0)), "Unmapped")</f>
        <v>Latvia</v>
      </c>
      <c r="G3382" t="str">
        <f>IFERROR(INDEX(Region_Map[Region], MATCH(orders[[#This Row],[Customer_Country]], Region_Map[Country], 0)), "Unknown")</f>
        <v>Baltics</v>
      </c>
      <c r="H3382" t="s">
        <v>6949</v>
      </c>
    </row>
    <row r="3383" spans="1:8">
      <c r="A3383" t="s">
        <v>4286</v>
      </c>
      <c r="B3383" t="s">
        <v>682</v>
      </c>
      <c r="C3383" s="1">
        <v>45338</v>
      </c>
      <c r="D3383" s="1" t="str">
        <f>PROPER(orders[[#This Row],[order_priority]])</f>
        <v>Same Day</v>
      </c>
      <c r="E3383" t="s">
        <v>13322</v>
      </c>
      <c r="F3383" t="str">
        <f>IFERROR(INDEX(customers[country], MATCH(orders[[#This Row],[customer_id]], customers[customer_id], 0)), "Unmapped")</f>
        <v>Germany</v>
      </c>
      <c r="G3383" t="str">
        <f>IFERROR(INDEX(Region_Map[Region], MATCH(orders[[#This Row],[Customer_Country]], Region_Map[Country], 0)), "Unknown")</f>
        <v>Central Europe</v>
      </c>
      <c r="H3383" t="s">
        <v>6949</v>
      </c>
    </row>
    <row r="3384" spans="1:8">
      <c r="A3384" t="s">
        <v>4287</v>
      </c>
      <c r="B3384" t="s">
        <v>876</v>
      </c>
      <c r="C3384" s="1">
        <v>45254</v>
      </c>
      <c r="D3384" s="1" t="str">
        <f>PROPER(orders[[#This Row],[order_priority]])</f>
        <v>Express</v>
      </c>
      <c r="E3384" t="s">
        <v>13318</v>
      </c>
      <c r="F3384" t="str">
        <f>IFERROR(INDEX(customers[country], MATCH(orders[[#This Row],[customer_id]], customers[customer_id], 0)), "Unmapped")</f>
        <v>Estonia</v>
      </c>
      <c r="G3384" t="str">
        <f>IFERROR(INDEX(Region_Map[Region], MATCH(orders[[#This Row],[Customer_Country]], Region_Map[Country], 0)), "Unknown")</f>
        <v>Baltics</v>
      </c>
      <c r="H3384" t="s">
        <v>6949</v>
      </c>
    </row>
    <row r="3385" spans="1:8">
      <c r="A3385" t="s">
        <v>4288</v>
      </c>
      <c r="B3385" t="s">
        <v>371</v>
      </c>
      <c r="C3385" s="1">
        <v>45114</v>
      </c>
      <c r="D3385" s="1" t="str">
        <f>PROPER(orders[[#This Row],[order_priority]])</f>
        <v>Express</v>
      </c>
      <c r="E3385" t="s">
        <v>13318</v>
      </c>
      <c r="F3385" t="str">
        <f>IFERROR(INDEX(customers[country], MATCH(orders[[#This Row],[customer_id]], customers[customer_id], 0)), "Unmapped")</f>
        <v>Germany</v>
      </c>
      <c r="G3385" t="str">
        <f>IFERROR(INDEX(Region_Map[Region], MATCH(orders[[#This Row],[Customer_Country]], Region_Map[Country], 0)), "Unknown")</f>
        <v>Central Europe</v>
      </c>
      <c r="H3385" t="s">
        <v>6949</v>
      </c>
    </row>
    <row r="3386" spans="1:8">
      <c r="A3386" t="s">
        <v>4289</v>
      </c>
      <c r="B3386" t="s">
        <v>425</v>
      </c>
      <c r="C3386" s="1">
        <v>45243</v>
      </c>
      <c r="D3386" s="1" t="str">
        <f>PROPER(orders[[#This Row],[order_priority]])</f>
        <v>Express</v>
      </c>
      <c r="E3386" t="s">
        <v>13318</v>
      </c>
      <c r="F3386" t="str">
        <f>IFERROR(INDEX(customers[country], MATCH(orders[[#This Row],[customer_id]], customers[customer_id], 0)), "Unmapped")</f>
        <v>Denmark</v>
      </c>
      <c r="G3386" t="str">
        <f>IFERROR(INDEX(Region_Map[Region], MATCH(orders[[#This Row],[Customer_Country]], Region_Map[Country], 0)), "Unknown")</f>
        <v>Nordics</v>
      </c>
      <c r="H3386" t="s">
        <v>6949</v>
      </c>
    </row>
    <row r="3387" spans="1:8">
      <c r="A3387" t="s">
        <v>1954</v>
      </c>
      <c r="B3387" t="s">
        <v>187</v>
      </c>
      <c r="C3387" s="1">
        <v>45547</v>
      </c>
      <c r="D3387" s="1" t="str">
        <f>PROPER(orders[[#This Row],[order_priority]])</f>
        <v>Standard</v>
      </c>
      <c r="E3387" t="s">
        <v>13317</v>
      </c>
      <c r="F3387" t="str">
        <f>IFERROR(INDEX(customers[country], MATCH(orders[[#This Row],[customer_id]], customers[customer_id], 0)), "Unmapped")</f>
        <v>Latvia</v>
      </c>
      <c r="G3387" t="str">
        <f>IFERROR(INDEX(Region_Map[Region], MATCH(orders[[#This Row],[Customer_Country]], Region_Map[Country], 0)), "Unknown")</f>
        <v>Baltics</v>
      </c>
      <c r="H3387" t="s">
        <v>6949</v>
      </c>
    </row>
    <row r="3388" spans="1:8">
      <c r="A3388" t="s">
        <v>4290</v>
      </c>
      <c r="B3388" t="s">
        <v>808</v>
      </c>
      <c r="C3388" s="1">
        <v>44958</v>
      </c>
      <c r="D3388" s="1" t="str">
        <f>PROPER(orders[[#This Row],[order_priority]])</f>
        <v>Standard</v>
      </c>
      <c r="E3388" t="s">
        <v>13317</v>
      </c>
      <c r="F3388" t="str">
        <f>IFERROR(INDEX(customers[country], MATCH(orders[[#This Row],[customer_id]], customers[customer_id], 0)), "Unmapped")</f>
        <v>Sweden</v>
      </c>
      <c r="G3388" t="str">
        <f>IFERROR(INDEX(Region_Map[Region], MATCH(orders[[#This Row],[Customer_Country]], Region_Map[Country], 0)), "Unknown")</f>
        <v>Nordics</v>
      </c>
      <c r="H3388" t="s">
        <v>6949</v>
      </c>
    </row>
    <row r="3389" spans="1:8">
      <c r="A3389" t="s">
        <v>4291</v>
      </c>
      <c r="B3389" t="s">
        <v>590</v>
      </c>
      <c r="C3389" s="1">
        <v>45119</v>
      </c>
      <c r="D3389" s="1" t="str">
        <f>PROPER(orders[[#This Row],[order_priority]])</f>
        <v>Same Day</v>
      </c>
      <c r="E3389" t="s">
        <v>13322</v>
      </c>
      <c r="F3389" t="str">
        <f>IFERROR(INDEX(customers[country], MATCH(orders[[#This Row],[customer_id]], customers[customer_id], 0)), "Unmapped")</f>
        <v>Finland</v>
      </c>
      <c r="G3389" t="str">
        <f>IFERROR(INDEX(Region_Map[Region], MATCH(orders[[#This Row],[Customer_Country]], Region_Map[Country], 0)), "Unknown")</f>
        <v>Nordics</v>
      </c>
      <c r="H3389" t="s">
        <v>6949</v>
      </c>
    </row>
    <row r="3390" spans="1:8">
      <c r="A3390" t="s">
        <v>4292</v>
      </c>
      <c r="B3390" t="s">
        <v>222</v>
      </c>
      <c r="C3390" s="1">
        <v>45130</v>
      </c>
      <c r="D3390" s="1" t="str">
        <f>PROPER(orders[[#This Row],[order_priority]])</f>
        <v>Same Day</v>
      </c>
      <c r="E3390" t="s">
        <v>13322</v>
      </c>
      <c r="F3390" t="str">
        <f>IFERROR(INDEX(customers[country], MATCH(orders[[#This Row],[customer_id]], customers[customer_id], 0)), "Unmapped")</f>
        <v>Norway</v>
      </c>
      <c r="G3390" t="str">
        <f>IFERROR(INDEX(Region_Map[Region], MATCH(orders[[#This Row],[Customer_Country]], Region_Map[Country], 0)), "Unknown")</f>
        <v>Nordics</v>
      </c>
      <c r="H3390" t="s">
        <v>6949</v>
      </c>
    </row>
    <row r="3391" spans="1:8">
      <c r="A3391" t="s">
        <v>4293</v>
      </c>
      <c r="B3391" t="s">
        <v>867</v>
      </c>
      <c r="C3391" s="1">
        <v>45207</v>
      </c>
      <c r="D3391" s="1" t="str">
        <f>PROPER(orders[[#This Row],[order_priority]])</f>
        <v>Same Day</v>
      </c>
      <c r="E3391" t="s">
        <v>13322</v>
      </c>
      <c r="F3391" t="str">
        <f>IFERROR(INDEX(customers[country], MATCH(orders[[#This Row],[customer_id]], customers[customer_id], 0)), "Unmapped")</f>
        <v>Denmark</v>
      </c>
      <c r="G3391" t="str">
        <f>IFERROR(INDEX(Region_Map[Region], MATCH(orders[[#This Row],[Customer_Country]], Region_Map[Country], 0)), "Unknown")</f>
        <v>Nordics</v>
      </c>
      <c r="H3391" t="s">
        <v>6949</v>
      </c>
    </row>
    <row r="3392" spans="1:8">
      <c r="A3392" t="s">
        <v>4294</v>
      </c>
      <c r="B3392" t="s">
        <v>207</v>
      </c>
      <c r="C3392" s="1">
        <v>45079</v>
      </c>
      <c r="D3392" s="1" t="str">
        <f>PROPER(orders[[#This Row],[order_priority]])</f>
        <v>Express</v>
      </c>
      <c r="E3392" t="s">
        <v>13318</v>
      </c>
      <c r="F3392" t="str">
        <f>IFERROR(INDEX(customers[country], MATCH(orders[[#This Row],[customer_id]], customers[customer_id], 0)), "Unmapped")</f>
        <v>Poland</v>
      </c>
      <c r="G3392" t="str">
        <f>IFERROR(INDEX(Region_Map[Region], MATCH(orders[[#This Row],[Customer_Country]], Region_Map[Country], 0)), "Unknown")</f>
        <v>Central Europe</v>
      </c>
      <c r="H3392" t="s">
        <v>6949</v>
      </c>
    </row>
    <row r="3393" spans="1:8">
      <c r="A3393" t="s">
        <v>4295</v>
      </c>
      <c r="B3393" t="s">
        <v>102</v>
      </c>
      <c r="C3393" s="1">
        <v>45436</v>
      </c>
      <c r="D3393" s="1" t="str">
        <f>PROPER(orders[[#This Row],[order_priority]])</f>
        <v>Standard</v>
      </c>
      <c r="E3393" t="s">
        <v>13317</v>
      </c>
      <c r="F3393" t="str">
        <f>IFERROR(INDEX(customers[country], MATCH(orders[[#This Row],[customer_id]], customers[customer_id], 0)), "Unmapped")</f>
        <v>Denmark</v>
      </c>
      <c r="G3393" t="str">
        <f>IFERROR(INDEX(Region_Map[Region], MATCH(orders[[#This Row],[Customer_Country]], Region_Map[Country], 0)), "Unknown")</f>
        <v>Nordics</v>
      </c>
      <c r="H3393" t="s">
        <v>6949</v>
      </c>
    </row>
    <row r="3394" spans="1:8">
      <c r="A3394" t="s">
        <v>4296</v>
      </c>
      <c r="B3394" t="s">
        <v>326</v>
      </c>
      <c r="C3394" s="1">
        <v>45361</v>
      </c>
      <c r="D3394" s="1" t="str">
        <f>PROPER(orders[[#This Row],[order_priority]])</f>
        <v>Standard</v>
      </c>
      <c r="E3394" t="s">
        <v>13317</v>
      </c>
      <c r="F3394" t="str">
        <f>IFERROR(INDEX(customers[country], MATCH(orders[[#This Row],[customer_id]], customers[customer_id], 0)), "Unmapped")</f>
        <v>Lithuania</v>
      </c>
      <c r="G3394" t="str">
        <f>IFERROR(INDEX(Region_Map[Region], MATCH(orders[[#This Row],[Customer_Country]], Region_Map[Country], 0)), "Unknown")</f>
        <v>Baltics</v>
      </c>
      <c r="H3394" t="s">
        <v>6949</v>
      </c>
    </row>
    <row r="3395" spans="1:8">
      <c r="A3395" t="s">
        <v>4297</v>
      </c>
      <c r="B3395" t="s">
        <v>151</v>
      </c>
      <c r="C3395" s="1">
        <v>45516</v>
      </c>
      <c r="D3395" s="1" t="str">
        <f>PROPER(orders[[#This Row],[order_priority]])</f>
        <v>Same Day</v>
      </c>
      <c r="E3395" t="s">
        <v>13322</v>
      </c>
      <c r="F3395" t="str">
        <f>IFERROR(INDEX(customers[country], MATCH(orders[[#This Row],[customer_id]], customers[customer_id], 0)), "Unmapped")</f>
        <v>Sweden</v>
      </c>
      <c r="G3395" t="str">
        <f>IFERROR(INDEX(Region_Map[Region], MATCH(orders[[#This Row],[Customer_Country]], Region_Map[Country], 0)), "Unknown")</f>
        <v>Nordics</v>
      </c>
      <c r="H3395" t="s">
        <v>6949</v>
      </c>
    </row>
    <row r="3396" spans="1:8">
      <c r="A3396" t="s">
        <v>4298</v>
      </c>
      <c r="B3396" t="s">
        <v>808</v>
      </c>
      <c r="C3396" s="1">
        <v>45537</v>
      </c>
      <c r="D3396" s="1" t="str">
        <f>PROPER(orders[[#This Row],[order_priority]])</f>
        <v>Economy</v>
      </c>
      <c r="E3396" t="s">
        <v>13316</v>
      </c>
      <c r="F3396" t="str">
        <f>IFERROR(INDEX(customers[country], MATCH(orders[[#This Row],[customer_id]], customers[customer_id], 0)), "Unmapped")</f>
        <v>Sweden</v>
      </c>
      <c r="G3396" t="str">
        <f>IFERROR(INDEX(Region_Map[Region], MATCH(orders[[#This Row],[Customer_Country]], Region_Map[Country], 0)), "Unknown")</f>
        <v>Nordics</v>
      </c>
      <c r="H3396" t="s">
        <v>6949</v>
      </c>
    </row>
    <row r="3397" spans="1:8">
      <c r="A3397" t="s">
        <v>4299</v>
      </c>
      <c r="B3397" t="s">
        <v>6949</v>
      </c>
      <c r="C3397" s="1">
        <v>45007</v>
      </c>
      <c r="D3397" s="1" t="str">
        <f>PROPER(orders[[#This Row],[order_priority]])</f>
        <v>Standard</v>
      </c>
      <c r="E3397" t="s">
        <v>13317</v>
      </c>
      <c r="F3397" t="str">
        <f>IFERROR(INDEX(customers[country], MATCH(orders[[#This Row],[customer_id]], customers[customer_id], 0)), "Unmapped")</f>
        <v>Unmapped</v>
      </c>
      <c r="G3397" t="str">
        <f>IFERROR(INDEX(Region_Map[Region], MATCH(orders[[#This Row],[Customer_Country]], Region_Map[Country], 0)), "Unknown")</f>
        <v>Unknown</v>
      </c>
      <c r="H3397" t="s">
        <v>6949</v>
      </c>
    </row>
    <row r="3398" spans="1:8">
      <c r="A3398" t="s">
        <v>4300</v>
      </c>
      <c r="B3398" t="s">
        <v>867</v>
      </c>
      <c r="C3398" s="1">
        <v>45492</v>
      </c>
      <c r="D3398" s="1" t="str">
        <f>PROPER(orders[[#This Row],[order_priority]])</f>
        <v>Economy</v>
      </c>
      <c r="E3398" t="s">
        <v>13316</v>
      </c>
      <c r="F3398" t="str">
        <f>IFERROR(INDEX(customers[country], MATCH(orders[[#This Row],[customer_id]], customers[customer_id], 0)), "Unmapped")</f>
        <v>Denmark</v>
      </c>
      <c r="G3398" t="str">
        <f>IFERROR(INDEX(Region_Map[Region], MATCH(orders[[#This Row],[Customer_Country]], Region_Map[Country], 0)), "Unknown")</f>
        <v>Nordics</v>
      </c>
      <c r="H3398" t="s">
        <v>6949</v>
      </c>
    </row>
    <row r="3399" spans="1:8">
      <c r="A3399" t="s">
        <v>4301</v>
      </c>
      <c r="B3399" t="s">
        <v>38</v>
      </c>
      <c r="C3399" s="1">
        <v>45459</v>
      </c>
      <c r="D3399" s="1" t="str">
        <f>PROPER(orders[[#This Row],[order_priority]])</f>
        <v>Economy</v>
      </c>
      <c r="E3399" t="s">
        <v>13316</v>
      </c>
      <c r="F3399" t="str">
        <f>IFERROR(INDEX(customers[country], MATCH(orders[[#This Row],[customer_id]], customers[customer_id], 0)), "Unmapped")</f>
        <v>Lithuania</v>
      </c>
      <c r="G3399" t="str">
        <f>IFERROR(INDEX(Region_Map[Region], MATCH(orders[[#This Row],[Customer_Country]], Region_Map[Country], 0)), "Unknown")</f>
        <v>Baltics</v>
      </c>
      <c r="H3399" t="s">
        <v>6949</v>
      </c>
    </row>
    <row r="3400" spans="1:8">
      <c r="A3400" t="s">
        <v>4302</v>
      </c>
      <c r="B3400" t="s">
        <v>446</v>
      </c>
      <c r="C3400" s="1">
        <v>44983</v>
      </c>
      <c r="D3400" s="1" t="str">
        <f>PROPER(orders[[#This Row],[order_priority]])</f>
        <v>Same Day</v>
      </c>
      <c r="E3400" t="s">
        <v>13322</v>
      </c>
      <c r="F3400" t="str">
        <f>IFERROR(INDEX(customers[country], MATCH(orders[[#This Row],[customer_id]], customers[customer_id], 0)), "Unmapped")</f>
        <v>Sweden</v>
      </c>
      <c r="G3400" t="str">
        <f>IFERROR(INDEX(Region_Map[Region], MATCH(orders[[#This Row],[Customer_Country]], Region_Map[Country], 0)), "Unknown")</f>
        <v>Nordics</v>
      </c>
      <c r="H3400" t="s">
        <v>6949</v>
      </c>
    </row>
    <row r="3401" spans="1:8">
      <c r="A3401" t="s">
        <v>4303</v>
      </c>
      <c r="B3401" t="s">
        <v>629</v>
      </c>
      <c r="C3401" s="1">
        <v>45206</v>
      </c>
      <c r="D3401" s="1" t="str">
        <f>PROPER(orders[[#This Row],[order_priority]])</f>
        <v>Economy</v>
      </c>
      <c r="E3401" t="s">
        <v>13316</v>
      </c>
      <c r="F3401" t="str">
        <f>IFERROR(INDEX(customers[country], MATCH(orders[[#This Row],[customer_id]], customers[customer_id], 0)), "Unmapped")</f>
        <v>Lithuania</v>
      </c>
      <c r="G3401" t="str">
        <f>IFERROR(INDEX(Region_Map[Region], MATCH(orders[[#This Row],[Customer_Country]], Region_Map[Country], 0)), "Unknown")</f>
        <v>Baltics</v>
      </c>
      <c r="H3401" t="s">
        <v>6949</v>
      </c>
    </row>
    <row r="3402" spans="1:8">
      <c r="A3402" t="s">
        <v>4304</v>
      </c>
      <c r="B3402" t="s">
        <v>682</v>
      </c>
      <c r="C3402" s="1">
        <v>45541</v>
      </c>
      <c r="D3402" s="1" t="str">
        <f>PROPER(orders[[#This Row],[order_priority]])</f>
        <v>Same Day</v>
      </c>
      <c r="E3402" t="s">
        <v>13322</v>
      </c>
      <c r="F3402" t="str">
        <f>IFERROR(INDEX(customers[country], MATCH(orders[[#This Row],[customer_id]], customers[customer_id], 0)), "Unmapped")</f>
        <v>Germany</v>
      </c>
      <c r="G3402" t="str">
        <f>IFERROR(INDEX(Region_Map[Region], MATCH(orders[[#This Row],[Customer_Country]], Region_Map[Country], 0)), "Unknown")</f>
        <v>Central Europe</v>
      </c>
      <c r="H3402" t="s">
        <v>6949</v>
      </c>
    </row>
    <row r="3403" spans="1:8">
      <c r="A3403" t="s">
        <v>4305</v>
      </c>
      <c r="B3403" t="s">
        <v>380</v>
      </c>
      <c r="C3403" s="1">
        <v>44962</v>
      </c>
      <c r="D3403" s="1" t="str">
        <f>PROPER(orders[[#This Row],[order_priority]])</f>
        <v>Same Day</v>
      </c>
      <c r="E3403" t="s">
        <v>13322</v>
      </c>
      <c r="F3403" t="str">
        <f>IFERROR(INDEX(customers[country], MATCH(orders[[#This Row],[customer_id]], customers[customer_id], 0)), "Unmapped")</f>
        <v>Sweden</v>
      </c>
      <c r="G3403" t="str">
        <f>IFERROR(INDEX(Region_Map[Region], MATCH(orders[[#This Row],[Customer_Country]], Region_Map[Country], 0)), "Unknown")</f>
        <v>Nordics</v>
      </c>
      <c r="H3403" t="s">
        <v>6949</v>
      </c>
    </row>
    <row r="3404" spans="1:8">
      <c r="A3404" t="s">
        <v>4306</v>
      </c>
      <c r="B3404" t="s">
        <v>473</v>
      </c>
      <c r="C3404" s="1">
        <v>45367</v>
      </c>
      <c r="D3404" s="1" t="str">
        <f>PROPER(orders[[#This Row],[order_priority]])</f>
        <v>Economy</v>
      </c>
      <c r="E3404" t="s">
        <v>13316</v>
      </c>
      <c r="F3404" t="str">
        <f>IFERROR(INDEX(customers[country], MATCH(orders[[#This Row],[customer_id]], customers[customer_id], 0)), "Unmapped")</f>
        <v>Netherlands</v>
      </c>
      <c r="G3404" t="str">
        <f>IFERROR(INDEX(Region_Map[Region], MATCH(orders[[#This Row],[Customer_Country]], Region_Map[Country], 0)), "Unknown")</f>
        <v>Central Europe</v>
      </c>
      <c r="H3404" t="s">
        <v>6949</v>
      </c>
    </row>
    <row r="3405" spans="1:8">
      <c r="A3405" t="s">
        <v>4307</v>
      </c>
      <c r="B3405" t="s">
        <v>778</v>
      </c>
      <c r="C3405" s="1">
        <v>44989</v>
      </c>
      <c r="D3405" s="1" t="str">
        <f>PROPER(orders[[#This Row],[order_priority]])</f>
        <v>Same Day</v>
      </c>
      <c r="E3405" t="s">
        <v>13322</v>
      </c>
      <c r="F3405" t="str">
        <f>IFERROR(INDEX(customers[country], MATCH(orders[[#This Row],[customer_id]], customers[customer_id], 0)), "Unmapped")</f>
        <v>Estonia</v>
      </c>
      <c r="G3405" t="str">
        <f>IFERROR(INDEX(Region_Map[Region], MATCH(orders[[#This Row],[Customer_Country]], Region_Map[Country], 0)), "Unknown")</f>
        <v>Baltics</v>
      </c>
      <c r="H3405" t="s">
        <v>6949</v>
      </c>
    </row>
    <row r="3406" spans="1:8">
      <c r="A3406" t="s">
        <v>4308</v>
      </c>
      <c r="B3406" t="s">
        <v>90</v>
      </c>
      <c r="C3406" s="1">
        <v>45333</v>
      </c>
      <c r="D3406" s="1" t="str">
        <f>PROPER(orders[[#This Row],[order_priority]])</f>
        <v>Economy</v>
      </c>
      <c r="E3406" t="s">
        <v>13328</v>
      </c>
      <c r="F3406" t="str">
        <f>IFERROR(INDEX(customers[country], MATCH(orders[[#This Row],[customer_id]], customers[customer_id], 0)), "Unmapped")</f>
        <v>Netherlands</v>
      </c>
      <c r="G3406" t="str">
        <f>IFERROR(INDEX(Region_Map[Region], MATCH(orders[[#This Row],[Customer_Country]], Region_Map[Country], 0)), "Unknown")</f>
        <v>Central Europe</v>
      </c>
      <c r="H3406" t="s">
        <v>6949</v>
      </c>
    </row>
    <row r="3407" spans="1:8">
      <c r="A3407" t="s">
        <v>4309</v>
      </c>
      <c r="B3407" t="s">
        <v>70</v>
      </c>
      <c r="C3407" s="1">
        <v>45519</v>
      </c>
      <c r="D3407" s="1" t="str">
        <f>PROPER(orders[[#This Row],[order_priority]])</f>
        <v>Economy</v>
      </c>
      <c r="E3407" t="s">
        <v>13316</v>
      </c>
      <c r="F3407" t="str">
        <f>IFERROR(INDEX(customers[country], MATCH(orders[[#This Row],[customer_id]], customers[customer_id], 0)), "Unmapped")</f>
        <v>Estonia</v>
      </c>
      <c r="G3407" t="str">
        <f>IFERROR(INDEX(Region_Map[Region], MATCH(orders[[#This Row],[Customer_Country]], Region_Map[Country], 0)), "Unknown")</f>
        <v>Baltics</v>
      </c>
      <c r="H3407" t="s">
        <v>6949</v>
      </c>
    </row>
    <row r="3408" spans="1:8">
      <c r="A3408" t="s">
        <v>4310</v>
      </c>
      <c r="B3408" t="s">
        <v>530</v>
      </c>
      <c r="C3408" s="1">
        <v>45570</v>
      </c>
      <c r="D3408" s="1" t="str">
        <f>PROPER(orders[[#This Row],[order_priority]])</f>
        <v>Economy</v>
      </c>
      <c r="E3408" t="s">
        <v>13316</v>
      </c>
      <c r="F3408" t="str">
        <f>IFERROR(INDEX(customers[country], MATCH(orders[[#This Row],[customer_id]], customers[customer_id], 0)), "Unmapped")</f>
        <v>Denmark</v>
      </c>
      <c r="G3408" t="str">
        <f>IFERROR(INDEX(Region_Map[Region], MATCH(orders[[#This Row],[Customer_Country]], Region_Map[Country], 0)), "Unknown")</f>
        <v>Nordics</v>
      </c>
      <c r="H3408" t="s">
        <v>6949</v>
      </c>
    </row>
    <row r="3409" spans="1:8">
      <c r="A3409" t="s">
        <v>4311</v>
      </c>
      <c r="B3409" t="s">
        <v>166</v>
      </c>
      <c r="C3409" s="1">
        <v>45075</v>
      </c>
      <c r="D3409" s="1" t="str">
        <f>PROPER(orders[[#This Row],[order_priority]])</f>
        <v>Economy</v>
      </c>
      <c r="E3409" t="s">
        <v>13316</v>
      </c>
      <c r="F3409" t="str">
        <f>IFERROR(INDEX(customers[country], MATCH(orders[[#This Row],[customer_id]], customers[customer_id], 0)), "Unmapped")</f>
        <v>Denmark</v>
      </c>
      <c r="G3409" t="str">
        <f>IFERROR(INDEX(Region_Map[Region], MATCH(orders[[#This Row],[Customer_Country]], Region_Map[Country], 0)), "Unknown")</f>
        <v>Nordics</v>
      </c>
      <c r="H3409" t="s">
        <v>6949</v>
      </c>
    </row>
    <row r="3410" spans="1:8">
      <c r="A3410" t="s">
        <v>4312</v>
      </c>
      <c r="B3410" t="s">
        <v>434</v>
      </c>
      <c r="C3410" s="1">
        <v>45040</v>
      </c>
      <c r="D3410" s="1" t="str">
        <f>PROPER(orders[[#This Row],[order_priority]])</f>
        <v>Same Day</v>
      </c>
      <c r="E3410" t="s">
        <v>13322</v>
      </c>
      <c r="F3410" t="str">
        <f>IFERROR(INDEX(customers[country], MATCH(orders[[#This Row],[customer_id]], customers[customer_id], 0)), "Unmapped")</f>
        <v>Lithuania</v>
      </c>
      <c r="G3410" t="str">
        <f>IFERROR(INDEX(Region_Map[Region], MATCH(orders[[#This Row],[Customer_Country]], Region_Map[Country], 0)), "Unknown")</f>
        <v>Baltics</v>
      </c>
      <c r="H3410" t="s">
        <v>6949</v>
      </c>
    </row>
    <row r="3411" spans="1:8">
      <c r="A3411" t="s">
        <v>4313</v>
      </c>
      <c r="B3411" t="s">
        <v>317</v>
      </c>
      <c r="C3411" s="1">
        <v>45413</v>
      </c>
      <c r="D3411" s="1" t="str">
        <f>PROPER(orders[[#This Row],[order_priority]])</f>
        <v>Economy</v>
      </c>
      <c r="E3411" t="s">
        <v>13316</v>
      </c>
      <c r="F3411" t="str">
        <f>IFERROR(INDEX(customers[country], MATCH(orders[[#This Row],[customer_id]], customers[customer_id], 0)), "Unmapped")</f>
        <v>Sweden</v>
      </c>
      <c r="G3411" t="str">
        <f>IFERROR(INDEX(Region_Map[Region], MATCH(orders[[#This Row],[Customer_Country]], Region_Map[Country], 0)), "Unknown")</f>
        <v>Nordics</v>
      </c>
      <c r="H3411" t="s">
        <v>6949</v>
      </c>
    </row>
    <row r="3412" spans="1:8">
      <c r="A3412" t="s">
        <v>4314</v>
      </c>
      <c r="B3412" t="s">
        <v>790</v>
      </c>
      <c r="C3412" s="1">
        <v>45120</v>
      </c>
      <c r="D3412" s="1" t="str">
        <f>PROPER(orders[[#This Row],[order_priority]])</f>
        <v>Express</v>
      </c>
      <c r="E3412" t="s">
        <v>13318</v>
      </c>
      <c r="F3412" t="str">
        <f>IFERROR(INDEX(customers[country], MATCH(orders[[#This Row],[customer_id]], customers[customer_id], 0)), "Unmapped")</f>
        <v>Germany</v>
      </c>
      <c r="G3412" t="str">
        <f>IFERROR(INDEX(Region_Map[Region], MATCH(orders[[#This Row],[Customer_Country]], Region_Map[Country], 0)), "Unknown")</f>
        <v>Central Europe</v>
      </c>
      <c r="H3412" t="s">
        <v>6949</v>
      </c>
    </row>
    <row r="3413" spans="1:8">
      <c r="A3413" t="s">
        <v>4315</v>
      </c>
      <c r="B3413" t="s">
        <v>443</v>
      </c>
      <c r="C3413" s="1">
        <v>45329</v>
      </c>
      <c r="D3413" s="1" t="str">
        <f>PROPER(orders[[#This Row],[order_priority]])</f>
        <v>Same Day</v>
      </c>
      <c r="E3413" t="s">
        <v>13322</v>
      </c>
      <c r="F3413" t="str">
        <f>IFERROR(INDEX(customers[country], MATCH(orders[[#This Row],[customer_id]], customers[customer_id], 0)), "Unmapped")</f>
        <v>Estonia</v>
      </c>
      <c r="G3413" t="str">
        <f>IFERROR(INDEX(Region_Map[Region], MATCH(orders[[#This Row],[Customer_Country]], Region_Map[Country], 0)), "Unknown")</f>
        <v>Baltics</v>
      </c>
      <c r="H3413" t="s">
        <v>6949</v>
      </c>
    </row>
    <row r="3414" spans="1:8">
      <c r="A3414" t="s">
        <v>4316</v>
      </c>
      <c r="B3414" t="s">
        <v>118</v>
      </c>
      <c r="C3414" s="1">
        <v>44960</v>
      </c>
      <c r="D3414" s="1" t="str">
        <f>PROPER(orders[[#This Row],[order_priority]])</f>
        <v>Express</v>
      </c>
      <c r="E3414" t="s">
        <v>13318</v>
      </c>
      <c r="F3414" t="str">
        <f>IFERROR(INDEX(customers[country], MATCH(orders[[#This Row],[customer_id]], customers[customer_id], 0)), "Unmapped")</f>
        <v>Denmark</v>
      </c>
      <c r="G3414" t="str">
        <f>IFERROR(INDEX(Region_Map[Region], MATCH(orders[[#This Row],[Customer_Country]], Region_Map[Country], 0)), "Unknown")</f>
        <v>Nordics</v>
      </c>
      <c r="H3414" t="s">
        <v>6949</v>
      </c>
    </row>
    <row r="3415" spans="1:8">
      <c r="A3415" t="s">
        <v>4317</v>
      </c>
      <c r="B3415" t="s">
        <v>154</v>
      </c>
      <c r="C3415" s="1">
        <v>45140</v>
      </c>
      <c r="D3415" s="1" t="str">
        <f>PROPER(orders[[#This Row],[order_priority]])</f>
        <v>Economy</v>
      </c>
      <c r="E3415" t="s">
        <v>13316</v>
      </c>
      <c r="F3415" t="str">
        <f>IFERROR(INDEX(customers[country], MATCH(orders[[#This Row],[customer_id]], customers[customer_id], 0)), "Unmapped")</f>
        <v>Lithuania</v>
      </c>
      <c r="G3415" t="str">
        <f>IFERROR(INDEX(Region_Map[Region], MATCH(orders[[#This Row],[Customer_Country]], Region_Map[Country], 0)), "Unknown")</f>
        <v>Baltics</v>
      </c>
      <c r="H3415" t="s">
        <v>6949</v>
      </c>
    </row>
    <row r="3416" spans="1:8">
      <c r="A3416" t="s">
        <v>4318</v>
      </c>
      <c r="B3416" t="s">
        <v>709</v>
      </c>
      <c r="C3416" s="1">
        <v>45312</v>
      </c>
      <c r="D3416" s="1" t="str">
        <f>PROPER(orders[[#This Row],[order_priority]])</f>
        <v>Standard</v>
      </c>
      <c r="E3416" t="s">
        <v>13317</v>
      </c>
      <c r="F3416" t="str">
        <f>IFERROR(INDEX(customers[country], MATCH(orders[[#This Row],[customer_id]], customers[customer_id], 0)), "Unmapped")</f>
        <v>Netherlands</v>
      </c>
      <c r="G3416" t="str">
        <f>IFERROR(INDEX(Region_Map[Region], MATCH(orders[[#This Row],[Customer_Country]], Region_Map[Country], 0)), "Unknown")</f>
        <v>Central Europe</v>
      </c>
      <c r="H3416" t="s">
        <v>6949</v>
      </c>
    </row>
    <row r="3417" spans="1:8">
      <c r="A3417" t="s">
        <v>4319</v>
      </c>
      <c r="B3417" t="s">
        <v>664</v>
      </c>
      <c r="C3417" s="1">
        <v>45234</v>
      </c>
      <c r="D3417" s="1" t="str">
        <f>PROPER(orders[[#This Row],[order_priority]])</f>
        <v>Same Day</v>
      </c>
      <c r="E3417" t="s">
        <v>13322</v>
      </c>
      <c r="F3417" t="str">
        <f>IFERROR(INDEX(customers[country], MATCH(orders[[#This Row],[customer_id]], customers[customer_id], 0)), "Unmapped")</f>
        <v>Latvia</v>
      </c>
      <c r="G3417" t="str">
        <f>IFERROR(INDEX(Region_Map[Region], MATCH(orders[[#This Row],[Customer_Country]], Region_Map[Country], 0)), "Unknown")</f>
        <v>Baltics</v>
      </c>
      <c r="H3417" t="s">
        <v>6949</v>
      </c>
    </row>
    <row r="3418" spans="1:8">
      <c r="A3418" t="s">
        <v>4320</v>
      </c>
      <c r="B3418" t="s">
        <v>38</v>
      </c>
      <c r="C3418" s="1">
        <v>45473</v>
      </c>
      <c r="D3418" s="1" t="str">
        <f>PROPER(orders[[#This Row],[order_priority]])</f>
        <v>Standard</v>
      </c>
      <c r="E3418" t="s">
        <v>13317</v>
      </c>
      <c r="F3418" t="str">
        <f>IFERROR(INDEX(customers[country], MATCH(orders[[#This Row],[customer_id]], customers[customer_id], 0)), "Unmapped")</f>
        <v>Lithuania</v>
      </c>
      <c r="G3418" t="str">
        <f>IFERROR(INDEX(Region_Map[Region], MATCH(orders[[#This Row],[Customer_Country]], Region_Map[Country], 0)), "Unknown")</f>
        <v>Baltics</v>
      </c>
      <c r="H3418" t="s">
        <v>6949</v>
      </c>
    </row>
    <row r="3419" spans="1:8">
      <c r="A3419" t="s">
        <v>4321</v>
      </c>
      <c r="B3419" t="s">
        <v>303</v>
      </c>
      <c r="C3419" s="1">
        <v>45127</v>
      </c>
      <c r="D3419" s="1" t="str">
        <f>PROPER(orders[[#This Row],[order_priority]])</f>
        <v>Same Day</v>
      </c>
      <c r="E3419" t="s">
        <v>13322</v>
      </c>
      <c r="F3419" t="str">
        <f>IFERROR(INDEX(customers[country], MATCH(orders[[#This Row],[customer_id]], customers[customer_id], 0)), "Unmapped")</f>
        <v>Netherlands</v>
      </c>
      <c r="G3419" t="str">
        <f>IFERROR(INDEX(Region_Map[Region], MATCH(orders[[#This Row],[Customer_Country]], Region_Map[Country], 0)), "Unknown")</f>
        <v>Central Europe</v>
      </c>
      <c r="H3419" t="s">
        <v>6949</v>
      </c>
    </row>
    <row r="3420" spans="1:8">
      <c r="A3420" t="s">
        <v>4322</v>
      </c>
      <c r="B3420" t="s">
        <v>410</v>
      </c>
      <c r="C3420" s="1">
        <v>45274</v>
      </c>
      <c r="D3420" s="1" t="str">
        <f>PROPER(orders[[#This Row],[order_priority]])</f>
        <v>Standard</v>
      </c>
      <c r="E3420" t="s">
        <v>13319</v>
      </c>
      <c r="F3420" t="str">
        <f>IFERROR(INDEX(customers[country], MATCH(orders[[#This Row],[customer_id]], customers[customer_id], 0)), "Unmapped")</f>
        <v>Norway</v>
      </c>
      <c r="G3420" t="str">
        <f>IFERROR(INDEX(Region_Map[Region], MATCH(orders[[#This Row],[Customer_Country]], Region_Map[Country], 0)), "Unknown")</f>
        <v>Nordics</v>
      </c>
      <c r="H3420" t="s">
        <v>6949</v>
      </c>
    </row>
    <row r="3421" spans="1:8">
      <c r="A3421" t="s">
        <v>4323</v>
      </c>
      <c r="B3421" t="s">
        <v>461</v>
      </c>
      <c r="C3421" s="1">
        <v>44949</v>
      </c>
      <c r="D3421" s="1" t="str">
        <f>PROPER(orders[[#This Row],[order_priority]])</f>
        <v>Standard</v>
      </c>
      <c r="E3421" t="s">
        <v>13317</v>
      </c>
      <c r="F3421" t="str">
        <f>IFERROR(INDEX(customers[country], MATCH(orders[[#This Row],[customer_id]], customers[customer_id], 0)), "Unmapped")</f>
        <v>Latvia</v>
      </c>
      <c r="G3421" t="str">
        <f>IFERROR(INDEX(Region_Map[Region], MATCH(orders[[#This Row],[Customer_Country]], Region_Map[Country], 0)), "Unknown")</f>
        <v>Baltics</v>
      </c>
      <c r="H3421" t="s">
        <v>6949</v>
      </c>
    </row>
    <row r="3422" spans="1:8">
      <c r="A3422" t="s">
        <v>4324</v>
      </c>
      <c r="B3422" t="s">
        <v>142</v>
      </c>
      <c r="C3422" s="1">
        <v>45068</v>
      </c>
      <c r="D3422" s="1" t="str">
        <f>PROPER(orders[[#This Row],[order_priority]])</f>
        <v>Same Day</v>
      </c>
      <c r="E3422" t="s">
        <v>13322</v>
      </c>
      <c r="F3422" t="str">
        <f>IFERROR(INDEX(customers[country], MATCH(orders[[#This Row],[customer_id]], customers[customer_id], 0)), "Unmapped")</f>
        <v>Estonia</v>
      </c>
      <c r="G3422" t="str">
        <f>IFERROR(INDEX(Region_Map[Region], MATCH(orders[[#This Row],[Customer_Country]], Region_Map[Country], 0)), "Unknown")</f>
        <v>Baltics</v>
      </c>
      <c r="H3422" t="s">
        <v>6949</v>
      </c>
    </row>
    <row r="3423" spans="1:8">
      <c r="A3423" t="s">
        <v>4325</v>
      </c>
      <c r="B3423" t="s">
        <v>749</v>
      </c>
      <c r="C3423" s="1">
        <v>45062</v>
      </c>
      <c r="D3423" s="1" t="str">
        <f>PROPER(orders[[#This Row],[order_priority]])</f>
        <v>Express</v>
      </c>
      <c r="E3423" t="s">
        <v>13318</v>
      </c>
      <c r="F3423" t="str">
        <f>IFERROR(INDEX(customers[country], MATCH(orders[[#This Row],[customer_id]], customers[customer_id], 0)), "Unmapped")</f>
        <v>Latvia</v>
      </c>
      <c r="G3423" t="str">
        <f>IFERROR(INDEX(Region_Map[Region], MATCH(orders[[#This Row],[Customer_Country]], Region_Map[Country], 0)), "Unknown")</f>
        <v>Baltics</v>
      </c>
      <c r="H3423" t="s">
        <v>6949</v>
      </c>
    </row>
    <row r="3424" spans="1:8">
      <c r="A3424" t="s">
        <v>4326</v>
      </c>
      <c r="B3424" t="s">
        <v>694</v>
      </c>
      <c r="C3424" s="1">
        <v>45167</v>
      </c>
      <c r="D3424" s="1" t="str">
        <f>PROPER(orders[[#This Row],[order_priority]])</f>
        <v>Standard</v>
      </c>
      <c r="E3424" t="s">
        <v>13317</v>
      </c>
      <c r="F3424" t="str">
        <f>IFERROR(INDEX(customers[country], MATCH(orders[[#This Row],[customer_id]], customers[customer_id], 0)), "Unmapped")</f>
        <v>Lithuania</v>
      </c>
      <c r="G3424" t="str">
        <f>IFERROR(INDEX(Region_Map[Region], MATCH(orders[[#This Row],[Customer_Country]], Region_Map[Country], 0)), "Unknown")</f>
        <v>Baltics</v>
      </c>
      <c r="H3424" t="s">
        <v>6949</v>
      </c>
    </row>
    <row r="3425" spans="1:8">
      <c r="A3425" t="s">
        <v>4327</v>
      </c>
      <c r="B3425" t="s">
        <v>335</v>
      </c>
      <c r="C3425" s="1">
        <v>45479</v>
      </c>
      <c r="D3425" s="1" t="str">
        <f>PROPER(orders[[#This Row],[order_priority]])</f>
        <v>Economy</v>
      </c>
      <c r="E3425" t="s">
        <v>13328</v>
      </c>
      <c r="F3425" t="str">
        <f>IFERROR(INDEX(customers[country], MATCH(orders[[#This Row],[customer_id]], customers[customer_id], 0)), "Unmapped")</f>
        <v>Denmark</v>
      </c>
      <c r="G3425" t="str">
        <f>IFERROR(INDEX(Region_Map[Region], MATCH(orders[[#This Row],[Customer_Country]], Region_Map[Country], 0)), "Unknown")</f>
        <v>Nordics</v>
      </c>
      <c r="H3425" t="s">
        <v>6949</v>
      </c>
    </row>
    <row r="3426" spans="1:8">
      <c r="A3426" t="s">
        <v>4328</v>
      </c>
      <c r="B3426" t="s">
        <v>518</v>
      </c>
      <c r="C3426" s="1">
        <v>45291</v>
      </c>
      <c r="D3426" s="1" t="str">
        <f>PROPER(orders[[#This Row],[order_priority]])</f>
        <v>Economy</v>
      </c>
      <c r="E3426" t="s">
        <v>13316</v>
      </c>
      <c r="F3426" t="str">
        <f>IFERROR(INDEX(customers[country], MATCH(orders[[#This Row],[customer_id]], customers[customer_id], 0)), "Unmapped")</f>
        <v>Germany</v>
      </c>
      <c r="G3426" t="str">
        <f>IFERROR(INDEX(Region_Map[Region], MATCH(orders[[#This Row],[Customer_Country]], Region_Map[Country], 0)), "Unknown")</f>
        <v>Central Europe</v>
      </c>
      <c r="H3426" t="s">
        <v>6949</v>
      </c>
    </row>
    <row r="3427" spans="1:8">
      <c r="A3427" t="s">
        <v>4329</v>
      </c>
      <c r="B3427" t="s">
        <v>240</v>
      </c>
      <c r="C3427" s="1">
        <v>45119</v>
      </c>
      <c r="D3427" s="1" t="str">
        <f>PROPER(orders[[#This Row],[order_priority]])</f>
        <v>Express</v>
      </c>
      <c r="E3427" t="s">
        <v>13318</v>
      </c>
      <c r="F3427" t="str">
        <f>IFERROR(INDEX(customers[country], MATCH(orders[[#This Row],[customer_id]], customers[customer_id], 0)), "Unmapped")</f>
        <v>Lithuania</v>
      </c>
      <c r="G3427" t="str">
        <f>IFERROR(INDEX(Region_Map[Region], MATCH(orders[[#This Row],[Customer_Country]], Region_Map[Country], 0)), "Unknown")</f>
        <v>Baltics</v>
      </c>
      <c r="H3427" t="s">
        <v>6949</v>
      </c>
    </row>
    <row r="3428" spans="1:8">
      <c r="A3428" t="s">
        <v>4330</v>
      </c>
      <c r="B3428" t="s">
        <v>184</v>
      </c>
      <c r="C3428" s="1">
        <v>45227</v>
      </c>
      <c r="D3428" s="1" t="str">
        <f>PROPER(orders[[#This Row],[order_priority]])</f>
        <v>Same Day</v>
      </c>
      <c r="E3428" t="s">
        <v>13322</v>
      </c>
      <c r="F3428" t="str">
        <f>IFERROR(INDEX(customers[country], MATCH(orders[[#This Row],[customer_id]], customers[customer_id], 0)), "Unmapped")</f>
        <v>Netherlands</v>
      </c>
      <c r="G3428" t="str">
        <f>IFERROR(INDEX(Region_Map[Region], MATCH(orders[[#This Row],[Customer_Country]], Region_Map[Country], 0)), "Unknown")</f>
        <v>Central Europe</v>
      </c>
      <c r="H3428" t="s">
        <v>6949</v>
      </c>
    </row>
    <row r="3429" spans="1:8">
      <c r="A3429" t="s">
        <v>4331</v>
      </c>
      <c r="B3429" t="s">
        <v>897</v>
      </c>
      <c r="C3429" s="1">
        <v>45263</v>
      </c>
      <c r="D3429" s="1" t="str">
        <f>PROPER(orders[[#This Row],[order_priority]])</f>
        <v>Standard</v>
      </c>
      <c r="E3429" t="s">
        <v>13317</v>
      </c>
      <c r="F3429" t="str">
        <f>IFERROR(INDEX(customers[country], MATCH(orders[[#This Row],[customer_id]], customers[customer_id], 0)), "Unmapped")</f>
        <v>Netherlands</v>
      </c>
      <c r="G3429" t="str">
        <f>IFERROR(INDEX(Region_Map[Region], MATCH(orders[[#This Row],[Customer_Country]], Region_Map[Country], 0)), "Unknown")</f>
        <v>Central Europe</v>
      </c>
      <c r="H3429" t="s">
        <v>6949</v>
      </c>
    </row>
    <row r="3430" spans="1:8">
      <c r="A3430" t="s">
        <v>4332</v>
      </c>
      <c r="B3430" t="s">
        <v>410</v>
      </c>
      <c r="C3430" s="1">
        <v>45188</v>
      </c>
      <c r="D3430" s="1" t="str">
        <f>PROPER(orders[[#This Row],[order_priority]])</f>
        <v>Economy</v>
      </c>
      <c r="E3430" t="s">
        <v>13316</v>
      </c>
      <c r="F3430" t="str">
        <f>IFERROR(INDEX(customers[country], MATCH(orders[[#This Row],[customer_id]], customers[customer_id], 0)), "Unmapped")</f>
        <v>Norway</v>
      </c>
      <c r="G3430" t="str">
        <f>IFERROR(INDEX(Region_Map[Region], MATCH(orders[[#This Row],[Customer_Country]], Region_Map[Country], 0)), "Unknown")</f>
        <v>Nordics</v>
      </c>
      <c r="H3430" t="s">
        <v>6949</v>
      </c>
    </row>
    <row r="3431" spans="1:8">
      <c r="A3431" t="s">
        <v>4333</v>
      </c>
      <c r="B3431" t="s">
        <v>151</v>
      </c>
      <c r="C3431" s="1">
        <v>45422</v>
      </c>
      <c r="D3431" s="1" t="str">
        <f>PROPER(orders[[#This Row],[order_priority]])</f>
        <v>Economy</v>
      </c>
      <c r="E3431" t="s">
        <v>13316</v>
      </c>
      <c r="F3431" t="str">
        <f>IFERROR(INDEX(customers[country], MATCH(orders[[#This Row],[customer_id]], customers[customer_id], 0)), "Unmapped")</f>
        <v>Sweden</v>
      </c>
      <c r="G3431" t="str">
        <f>IFERROR(INDEX(Region_Map[Region], MATCH(orders[[#This Row],[Customer_Country]], Region_Map[Country], 0)), "Unknown")</f>
        <v>Nordics</v>
      </c>
      <c r="H3431" t="s">
        <v>6949</v>
      </c>
    </row>
    <row r="3432" spans="1:8">
      <c r="A3432" t="s">
        <v>4334</v>
      </c>
      <c r="B3432" t="s">
        <v>578</v>
      </c>
      <c r="C3432" s="1">
        <v>44931</v>
      </c>
      <c r="D3432" s="1" t="str">
        <f>PROPER(orders[[#This Row],[order_priority]])</f>
        <v>Standard</v>
      </c>
      <c r="E3432" t="s">
        <v>13317</v>
      </c>
      <c r="F3432" t="str">
        <f>IFERROR(INDEX(customers[country], MATCH(orders[[#This Row],[customer_id]], customers[customer_id], 0)), "Unmapped")</f>
        <v>Norway</v>
      </c>
      <c r="G3432" t="str">
        <f>IFERROR(INDEX(Region_Map[Region], MATCH(orders[[#This Row],[Customer_Country]], Region_Map[Country], 0)), "Unknown")</f>
        <v>Nordics</v>
      </c>
      <c r="H3432" t="s">
        <v>6949</v>
      </c>
    </row>
    <row r="3433" spans="1:8">
      <c r="A3433" t="s">
        <v>4335</v>
      </c>
      <c r="B3433" t="s">
        <v>282</v>
      </c>
      <c r="C3433" s="1">
        <v>44995</v>
      </c>
      <c r="D3433" s="1" t="str">
        <f>PROPER(orders[[#This Row],[order_priority]])</f>
        <v>Economy</v>
      </c>
      <c r="E3433" t="s">
        <v>13316</v>
      </c>
      <c r="F3433" t="str">
        <f>IFERROR(INDEX(customers[country], MATCH(orders[[#This Row],[customer_id]], customers[customer_id], 0)), "Unmapped")</f>
        <v>Netherlands</v>
      </c>
      <c r="G3433" t="str">
        <f>IFERROR(INDEX(Region_Map[Region], MATCH(orders[[#This Row],[Customer_Country]], Region_Map[Country], 0)), "Unknown")</f>
        <v>Central Europe</v>
      </c>
      <c r="H3433" t="s">
        <v>6949</v>
      </c>
    </row>
    <row r="3434" spans="1:8">
      <c r="A3434" t="s">
        <v>4336</v>
      </c>
      <c r="B3434" t="s">
        <v>201</v>
      </c>
      <c r="C3434" s="1">
        <v>45581</v>
      </c>
      <c r="D3434" s="1" t="str">
        <f>PROPER(orders[[#This Row],[order_priority]])</f>
        <v>Express</v>
      </c>
      <c r="E3434" t="s">
        <v>13318</v>
      </c>
      <c r="F3434" t="str">
        <f>IFERROR(INDEX(customers[country], MATCH(orders[[#This Row],[customer_id]], customers[customer_id], 0)), "Unmapped")</f>
        <v>Estonia</v>
      </c>
      <c r="G3434" t="str">
        <f>IFERROR(INDEX(Region_Map[Region], MATCH(orders[[#This Row],[Customer_Country]], Region_Map[Country], 0)), "Unknown")</f>
        <v>Baltics</v>
      </c>
      <c r="H3434" t="s">
        <v>6949</v>
      </c>
    </row>
    <row r="3435" spans="1:8">
      <c r="A3435" t="s">
        <v>4337</v>
      </c>
      <c r="B3435" t="s">
        <v>30</v>
      </c>
      <c r="C3435" s="1">
        <v>45626</v>
      </c>
      <c r="D3435" s="1" t="str">
        <f>PROPER(orders[[#This Row],[order_priority]])</f>
        <v>Express</v>
      </c>
      <c r="E3435" t="s">
        <v>13318</v>
      </c>
      <c r="F3435" t="str">
        <f>IFERROR(INDEX(customers[country], MATCH(orders[[#This Row],[customer_id]], customers[customer_id], 0)), "Unmapped")</f>
        <v>Netherlands</v>
      </c>
      <c r="G3435" t="str">
        <f>IFERROR(INDEX(Region_Map[Region], MATCH(orders[[#This Row],[Customer_Country]], Region_Map[Country], 0)), "Unknown")</f>
        <v>Central Europe</v>
      </c>
      <c r="H3435" t="s">
        <v>6949</v>
      </c>
    </row>
    <row r="3436" spans="1:8">
      <c r="A3436" t="s">
        <v>4338</v>
      </c>
      <c r="B3436" t="s">
        <v>175</v>
      </c>
      <c r="C3436" s="1">
        <v>45040</v>
      </c>
      <c r="D3436" s="1" t="str">
        <f>PROPER(orders[[#This Row],[order_priority]])</f>
        <v>Standard</v>
      </c>
      <c r="E3436" t="s">
        <v>13317</v>
      </c>
      <c r="F3436" t="str">
        <f>IFERROR(INDEX(customers[country], MATCH(orders[[#This Row],[customer_id]], customers[customer_id], 0)), "Unmapped")</f>
        <v>Sweden</v>
      </c>
      <c r="G3436" t="str">
        <f>IFERROR(INDEX(Region_Map[Region], MATCH(orders[[#This Row],[Customer_Country]], Region_Map[Country], 0)), "Unknown")</f>
        <v>Nordics</v>
      </c>
      <c r="H3436" t="s">
        <v>6949</v>
      </c>
    </row>
    <row r="3437" spans="1:8">
      <c r="A3437" t="s">
        <v>4339</v>
      </c>
      <c r="B3437" t="s">
        <v>178</v>
      </c>
      <c r="C3437" s="1">
        <v>45204</v>
      </c>
      <c r="D3437" s="1" t="str">
        <f>PROPER(orders[[#This Row],[order_priority]])</f>
        <v>Express</v>
      </c>
      <c r="E3437" t="s">
        <v>13318</v>
      </c>
      <c r="F3437" t="str">
        <f>IFERROR(INDEX(customers[country], MATCH(orders[[#This Row],[customer_id]], customers[customer_id], 0)), "Unmapped")</f>
        <v>Poland</v>
      </c>
      <c r="G3437" t="str">
        <f>IFERROR(INDEX(Region_Map[Region], MATCH(orders[[#This Row],[Customer_Country]], Region_Map[Country], 0)), "Unknown")</f>
        <v>Central Europe</v>
      </c>
      <c r="H3437" t="s">
        <v>6949</v>
      </c>
    </row>
    <row r="3438" spans="1:8">
      <c r="A3438" t="s">
        <v>4340</v>
      </c>
      <c r="B3438" t="s">
        <v>213</v>
      </c>
      <c r="C3438" s="1">
        <v>45064</v>
      </c>
      <c r="D3438" s="1" t="str">
        <f>PROPER(orders[[#This Row],[order_priority]])</f>
        <v>Standard</v>
      </c>
      <c r="E3438" t="s">
        <v>13317</v>
      </c>
      <c r="F3438" t="str">
        <f>IFERROR(INDEX(customers[country], MATCH(orders[[#This Row],[customer_id]], customers[customer_id], 0)), "Unmapped")</f>
        <v>Denmark</v>
      </c>
      <c r="G3438" t="str">
        <f>IFERROR(INDEX(Region_Map[Region], MATCH(orders[[#This Row],[Customer_Country]], Region_Map[Country], 0)), "Unknown")</f>
        <v>Nordics</v>
      </c>
      <c r="H3438" t="s">
        <v>6949</v>
      </c>
    </row>
    <row r="3439" spans="1:8">
      <c r="A3439" t="s">
        <v>4341</v>
      </c>
      <c r="B3439" t="s">
        <v>623</v>
      </c>
      <c r="C3439" s="1">
        <v>45153</v>
      </c>
      <c r="D3439" s="1" t="str">
        <f>PROPER(orders[[#This Row],[order_priority]])</f>
        <v>Economy</v>
      </c>
      <c r="E3439" t="s">
        <v>13316</v>
      </c>
      <c r="F3439" t="str">
        <f>IFERROR(INDEX(customers[country], MATCH(orders[[#This Row],[customer_id]], customers[customer_id], 0)), "Unmapped")</f>
        <v>Denmark</v>
      </c>
      <c r="G3439" t="str">
        <f>IFERROR(INDEX(Region_Map[Region], MATCH(orders[[#This Row],[Customer_Country]], Region_Map[Country], 0)), "Unknown")</f>
        <v>Nordics</v>
      </c>
      <c r="H3439" t="s">
        <v>6949</v>
      </c>
    </row>
    <row r="3440" spans="1:8">
      <c r="A3440" t="s">
        <v>4342</v>
      </c>
      <c r="B3440" t="s">
        <v>77</v>
      </c>
      <c r="C3440" s="1">
        <v>44966</v>
      </c>
      <c r="D3440" s="1" t="str">
        <f>PROPER(orders[[#This Row],[order_priority]])</f>
        <v>Standard</v>
      </c>
      <c r="E3440" t="s">
        <v>13317</v>
      </c>
      <c r="F3440" t="str">
        <f>IFERROR(INDEX(customers[country], MATCH(orders[[#This Row],[customer_id]], customers[customer_id], 0)), "Unmapped")</f>
        <v>Lithuania</v>
      </c>
      <c r="G3440" t="str">
        <f>IFERROR(INDEX(Region_Map[Region], MATCH(orders[[#This Row],[Customer_Country]], Region_Map[Country], 0)), "Unknown")</f>
        <v>Baltics</v>
      </c>
      <c r="H3440" t="s">
        <v>6949</v>
      </c>
    </row>
    <row r="3441" spans="1:8">
      <c r="A3441" t="s">
        <v>4343</v>
      </c>
      <c r="B3441" t="s">
        <v>166</v>
      </c>
      <c r="C3441" s="1">
        <v>45177</v>
      </c>
      <c r="D3441" s="1" t="str">
        <f>PROPER(orders[[#This Row],[order_priority]])</f>
        <v>Standard</v>
      </c>
      <c r="E3441" t="s">
        <v>13317</v>
      </c>
      <c r="F3441" t="str">
        <f>IFERROR(INDEX(customers[country], MATCH(orders[[#This Row],[customer_id]], customers[customer_id], 0)), "Unmapped")</f>
        <v>Denmark</v>
      </c>
      <c r="G3441" t="str">
        <f>IFERROR(INDEX(Region_Map[Region], MATCH(orders[[#This Row],[Customer_Country]], Region_Map[Country], 0)), "Unknown")</f>
        <v>Nordics</v>
      </c>
      <c r="H3441" t="s">
        <v>6949</v>
      </c>
    </row>
    <row r="3442" spans="1:8">
      <c r="A3442" t="s">
        <v>4344</v>
      </c>
      <c r="B3442" t="s">
        <v>721</v>
      </c>
      <c r="C3442" s="1">
        <v>45553</v>
      </c>
      <c r="D3442" s="1" t="str">
        <f>PROPER(orders[[#This Row],[order_priority]])</f>
        <v>Same Day</v>
      </c>
      <c r="E3442" t="s">
        <v>13322</v>
      </c>
      <c r="F3442" t="str">
        <f>IFERROR(INDEX(customers[country], MATCH(orders[[#This Row],[customer_id]], customers[customer_id], 0)), "Unmapped")</f>
        <v>Netherlands</v>
      </c>
      <c r="G3442" t="str">
        <f>IFERROR(INDEX(Region_Map[Region], MATCH(orders[[#This Row],[Customer_Country]], Region_Map[Country], 0)), "Unknown")</f>
        <v>Central Europe</v>
      </c>
      <c r="H3442" t="s">
        <v>6949</v>
      </c>
    </row>
    <row r="3443" spans="1:8">
      <c r="A3443" t="s">
        <v>4345</v>
      </c>
      <c r="B3443" t="s">
        <v>27</v>
      </c>
      <c r="C3443" s="1">
        <v>45581</v>
      </c>
      <c r="D3443" s="1" t="str">
        <f>PROPER(orders[[#This Row],[order_priority]])</f>
        <v>Express</v>
      </c>
      <c r="E3443" t="s">
        <v>13318</v>
      </c>
      <c r="F3443" t="str">
        <f>IFERROR(INDEX(customers[country], MATCH(orders[[#This Row],[customer_id]], customers[customer_id], 0)), "Unmapped")</f>
        <v>Latvia</v>
      </c>
      <c r="G3443" t="str">
        <f>IFERROR(INDEX(Region_Map[Region], MATCH(orders[[#This Row],[Customer_Country]], Region_Map[Country], 0)), "Unknown")</f>
        <v>Baltics</v>
      </c>
      <c r="H3443" t="s">
        <v>6949</v>
      </c>
    </row>
    <row r="3444" spans="1:8">
      <c r="A3444" t="s">
        <v>4346</v>
      </c>
      <c r="B3444" t="s">
        <v>195</v>
      </c>
      <c r="C3444" s="1">
        <v>45072</v>
      </c>
      <c r="D3444" s="1" t="str">
        <f>PROPER(orders[[#This Row],[order_priority]])</f>
        <v>Same Day</v>
      </c>
      <c r="E3444" t="s">
        <v>13322</v>
      </c>
      <c r="F3444" t="str">
        <f>IFERROR(INDEX(customers[country], MATCH(orders[[#This Row],[customer_id]], customers[customer_id], 0)), "Unmapped")</f>
        <v>Latvia</v>
      </c>
      <c r="G3444" t="str">
        <f>IFERROR(INDEX(Region_Map[Region], MATCH(orders[[#This Row],[Customer_Country]], Region_Map[Country], 0)), "Unknown")</f>
        <v>Baltics</v>
      </c>
      <c r="H3444" t="s">
        <v>6949</v>
      </c>
    </row>
    <row r="3445" spans="1:8">
      <c r="A3445" t="s">
        <v>4347</v>
      </c>
      <c r="B3445" t="s">
        <v>825</v>
      </c>
      <c r="C3445" s="1">
        <v>45479</v>
      </c>
      <c r="D3445" s="1" t="str">
        <f>PROPER(orders[[#This Row],[order_priority]])</f>
        <v>Express</v>
      </c>
      <c r="E3445" t="s">
        <v>13318</v>
      </c>
      <c r="F3445" t="str">
        <f>IFERROR(INDEX(customers[country], MATCH(orders[[#This Row],[customer_id]], customers[customer_id], 0)), "Unmapped")</f>
        <v>Latvia</v>
      </c>
      <c r="G3445" t="str">
        <f>IFERROR(INDEX(Region_Map[Region], MATCH(orders[[#This Row],[Customer_Country]], Region_Map[Country], 0)), "Unknown")</f>
        <v>Baltics</v>
      </c>
      <c r="H3445" t="s">
        <v>6949</v>
      </c>
    </row>
    <row r="3446" spans="1:8">
      <c r="A3446" t="s">
        <v>4348</v>
      </c>
      <c r="B3446" t="s">
        <v>879</v>
      </c>
      <c r="C3446" s="1">
        <v>45047</v>
      </c>
      <c r="D3446" s="1" t="str">
        <f>PROPER(orders[[#This Row],[order_priority]])</f>
        <v>Same Day</v>
      </c>
      <c r="E3446" t="s">
        <v>13322</v>
      </c>
      <c r="F3446" t="str">
        <f>IFERROR(INDEX(customers[country], MATCH(orders[[#This Row],[customer_id]], customers[customer_id], 0)), "Unmapped")</f>
        <v>Norway</v>
      </c>
      <c r="G3446" t="str">
        <f>IFERROR(INDEX(Region_Map[Region], MATCH(orders[[#This Row],[Customer_Country]], Region_Map[Country], 0)), "Unknown")</f>
        <v>Nordics</v>
      </c>
      <c r="H3446" t="s">
        <v>6949</v>
      </c>
    </row>
    <row r="3447" spans="1:8">
      <c r="A3447" t="s">
        <v>4349</v>
      </c>
      <c r="B3447" t="s">
        <v>410</v>
      </c>
      <c r="C3447" s="1">
        <v>45323</v>
      </c>
      <c r="D3447" s="1" t="str">
        <f>PROPER(orders[[#This Row],[order_priority]])</f>
        <v>Same Day</v>
      </c>
      <c r="E3447" t="s">
        <v>13322</v>
      </c>
      <c r="F3447" t="str">
        <f>IFERROR(INDEX(customers[country], MATCH(orders[[#This Row],[customer_id]], customers[customer_id], 0)), "Unmapped")</f>
        <v>Norway</v>
      </c>
      <c r="G3447" t="str">
        <f>IFERROR(INDEX(Region_Map[Region], MATCH(orders[[#This Row],[Customer_Country]], Region_Map[Country], 0)), "Unknown")</f>
        <v>Nordics</v>
      </c>
      <c r="H3447" t="s">
        <v>6949</v>
      </c>
    </row>
    <row r="3448" spans="1:8">
      <c r="A3448" t="s">
        <v>4350</v>
      </c>
      <c r="B3448" t="s">
        <v>422</v>
      </c>
      <c r="C3448" s="1">
        <v>44953</v>
      </c>
      <c r="D3448" s="1" t="str">
        <f>PROPER(orders[[#This Row],[order_priority]])</f>
        <v>Standard</v>
      </c>
      <c r="E3448" t="s">
        <v>13317</v>
      </c>
      <c r="F3448" t="str">
        <f>IFERROR(INDEX(customers[country], MATCH(orders[[#This Row],[customer_id]], customers[customer_id], 0)), "Unmapped")</f>
        <v>Germany</v>
      </c>
      <c r="G3448" t="str">
        <f>IFERROR(INDEX(Region_Map[Region], MATCH(orders[[#This Row],[Customer_Country]], Region_Map[Country], 0)), "Unknown")</f>
        <v>Central Europe</v>
      </c>
      <c r="H3448" t="s">
        <v>6949</v>
      </c>
    </row>
    <row r="3449" spans="1:8">
      <c r="A3449" t="s">
        <v>4351</v>
      </c>
      <c r="B3449" t="s">
        <v>455</v>
      </c>
      <c r="C3449" s="1">
        <v>45047</v>
      </c>
      <c r="D3449" s="1" t="str">
        <f>PROPER(orders[[#This Row],[order_priority]])</f>
        <v>Same Day</v>
      </c>
      <c r="E3449" t="s">
        <v>13322</v>
      </c>
      <c r="F3449" t="str">
        <f>IFERROR(INDEX(customers[country], MATCH(orders[[#This Row],[customer_id]], customers[customer_id], 0)), "Unmapped")</f>
        <v>Poland</v>
      </c>
      <c r="G3449" t="str">
        <f>IFERROR(INDEX(Region_Map[Region], MATCH(orders[[#This Row],[Customer_Country]], Region_Map[Country], 0)), "Unknown")</f>
        <v>Central Europe</v>
      </c>
      <c r="H3449" t="s">
        <v>6949</v>
      </c>
    </row>
    <row r="3450" spans="1:8">
      <c r="A3450" t="s">
        <v>4352</v>
      </c>
      <c r="B3450" t="s">
        <v>581</v>
      </c>
      <c r="C3450" s="1">
        <v>45454</v>
      </c>
      <c r="D3450" s="1" t="str">
        <f>PROPER(orders[[#This Row],[order_priority]])</f>
        <v>Same Day</v>
      </c>
      <c r="E3450" t="s">
        <v>13322</v>
      </c>
      <c r="F3450" t="str">
        <f>IFERROR(INDEX(customers[country], MATCH(orders[[#This Row],[customer_id]], customers[customer_id], 0)), "Unmapped")</f>
        <v>Norway</v>
      </c>
      <c r="G3450" t="str">
        <f>IFERROR(INDEX(Region_Map[Region], MATCH(orders[[#This Row],[Customer_Country]], Region_Map[Country], 0)), "Unknown")</f>
        <v>Nordics</v>
      </c>
      <c r="H3450" t="s">
        <v>6949</v>
      </c>
    </row>
    <row r="3451" spans="1:8">
      <c r="A3451" t="s">
        <v>4353</v>
      </c>
      <c r="B3451" t="s">
        <v>166</v>
      </c>
      <c r="C3451" s="1">
        <v>44954</v>
      </c>
      <c r="D3451" s="1" t="str">
        <f>PROPER(orders[[#This Row],[order_priority]])</f>
        <v>Express</v>
      </c>
      <c r="E3451" t="s">
        <v>13318</v>
      </c>
      <c r="F3451" t="str">
        <f>IFERROR(INDEX(customers[country], MATCH(orders[[#This Row],[customer_id]], customers[customer_id], 0)), "Unmapped")</f>
        <v>Denmark</v>
      </c>
      <c r="G3451" t="str">
        <f>IFERROR(INDEX(Region_Map[Region], MATCH(orders[[#This Row],[Customer_Country]], Region_Map[Country], 0)), "Unknown")</f>
        <v>Nordics</v>
      </c>
      <c r="H3451" t="s">
        <v>6949</v>
      </c>
    </row>
    <row r="3452" spans="1:8">
      <c r="A3452" t="s">
        <v>4354</v>
      </c>
      <c r="B3452" t="s">
        <v>545</v>
      </c>
      <c r="C3452" s="1">
        <v>45285</v>
      </c>
      <c r="D3452" s="1" t="str">
        <f>PROPER(orders[[#This Row],[order_priority]])</f>
        <v>Standard</v>
      </c>
      <c r="E3452" t="s">
        <v>13317</v>
      </c>
      <c r="F3452" t="str">
        <f>IFERROR(INDEX(customers[country], MATCH(orders[[#This Row],[customer_id]], customers[customer_id], 0)), "Unmapped")</f>
        <v>Netherlands</v>
      </c>
      <c r="G3452" t="str">
        <f>IFERROR(INDEX(Region_Map[Region], MATCH(orders[[#This Row],[Customer_Country]], Region_Map[Country], 0)), "Unknown")</f>
        <v>Central Europe</v>
      </c>
      <c r="H3452" t="s">
        <v>6949</v>
      </c>
    </row>
    <row r="3453" spans="1:8">
      <c r="A3453" t="s">
        <v>4355</v>
      </c>
      <c r="B3453" t="s">
        <v>700</v>
      </c>
      <c r="C3453" s="1">
        <v>45515</v>
      </c>
      <c r="D3453" s="1" t="str">
        <f>PROPER(orders[[#This Row],[order_priority]])</f>
        <v>Same Day</v>
      </c>
      <c r="E3453" t="s">
        <v>13322</v>
      </c>
      <c r="F3453" t="str">
        <f>IFERROR(INDEX(customers[country], MATCH(orders[[#This Row],[customer_id]], customers[customer_id], 0)), "Unmapped")</f>
        <v>Germany</v>
      </c>
      <c r="G3453" t="str">
        <f>IFERROR(INDEX(Region_Map[Region], MATCH(orders[[#This Row],[Customer_Country]], Region_Map[Country], 0)), "Unknown")</f>
        <v>Central Europe</v>
      </c>
      <c r="H3453" t="s">
        <v>6949</v>
      </c>
    </row>
    <row r="3454" spans="1:8">
      <c r="A3454" t="s">
        <v>4356</v>
      </c>
      <c r="B3454" t="s">
        <v>635</v>
      </c>
      <c r="C3454" s="1">
        <v>45541</v>
      </c>
      <c r="D3454" s="1" t="str">
        <f>PROPER(orders[[#This Row],[order_priority]])</f>
        <v>Same Day</v>
      </c>
      <c r="E3454" t="s">
        <v>13322</v>
      </c>
      <c r="F3454" t="str">
        <f>IFERROR(INDEX(customers[country], MATCH(orders[[#This Row],[customer_id]], customers[customer_id], 0)), "Unmapped")</f>
        <v>Latvia</v>
      </c>
      <c r="G3454" t="str">
        <f>IFERROR(INDEX(Region_Map[Region], MATCH(orders[[#This Row],[Customer_Country]], Region_Map[Country], 0)), "Unknown")</f>
        <v>Baltics</v>
      </c>
      <c r="H3454" t="s">
        <v>6949</v>
      </c>
    </row>
    <row r="3455" spans="1:8">
      <c r="A3455" t="s">
        <v>4357</v>
      </c>
      <c r="B3455" t="s">
        <v>181</v>
      </c>
      <c r="C3455" s="1">
        <v>44982</v>
      </c>
      <c r="D3455" s="1" t="str">
        <f>PROPER(orders[[#This Row],[order_priority]])</f>
        <v>Economy</v>
      </c>
      <c r="E3455" t="s">
        <v>13316</v>
      </c>
      <c r="F3455" t="str">
        <f>IFERROR(INDEX(customers[country], MATCH(orders[[#This Row],[customer_id]], customers[customer_id], 0)), "Unmapped")</f>
        <v>Netherlands</v>
      </c>
      <c r="G3455" t="str">
        <f>IFERROR(INDEX(Region_Map[Region], MATCH(orders[[#This Row],[Customer_Country]], Region_Map[Country], 0)), "Unknown")</f>
        <v>Central Europe</v>
      </c>
      <c r="H3455" t="s">
        <v>6949</v>
      </c>
    </row>
    <row r="3456" spans="1:8">
      <c r="A3456" t="s">
        <v>4358</v>
      </c>
      <c r="B3456" t="s">
        <v>136</v>
      </c>
      <c r="C3456" s="1">
        <v>45139</v>
      </c>
      <c r="D3456" s="1" t="str">
        <f>PROPER(orders[[#This Row],[order_priority]])</f>
        <v>Same Day</v>
      </c>
      <c r="E3456" t="s">
        <v>13322</v>
      </c>
      <c r="F3456" t="str">
        <f>IFERROR(INDEX(customers[country], MATCH(orders[[#This Row],[customer_id]], customers[customer_id], 0)), "Unmapped")</f>
        <v>Sweden</v>
      </c>
      <c r="G3456" t="str">
        <f>IFERROR(INDEX(Region_Map[Region], MATCH(orders[[#This Row],[Customer_Country]], Region_Map[Country], 0)), "Unknown")</f>
        <v>Nordics</v>
      </c>
      <c r="H3456" t="s">
        <v>6949</v>
      </c>
    </row>
    <row r="3457" spans="1:8">
      <c r="A3457" t="s">
        <v>4359</v>
      </c>
      <c r="B3457" t="s">
        <v>67</v>
      </c>
      <c r="C3457" s="1">
        <v>45084</v>
      </c>
      <c r="D3457" s="1" t="str">
        <f>PROPER(orders[[#This Row],[order_priority]])</f>
        <v>Express</v>
      </c>
      <c r="E3457" t="s">
        <v>13326</v>
      </c>
      <c r="F3457" t="str">
        <f>IFERROR(INDEX(customers[country], MATCH(orders[[#This Row],[customer_id]], customers[customer_id], 0)), "Unmapped")</f>
        <v>Estonia</v>
      </c>
      <c r="G3457" t="str">
        <f>IFERROR(INDEX(Region_Map[Region], MATCH(orders[[#This Row],[Customer_Country]], Region_Map[Country], 0)), "Unknown")</f>
        <v>Baltics</v>
      </c>
      <c r="H3457" t="s">
        <v>6949</v>
      </c>
    </row>
    <row r="3458" spans="1:8">
      <c r="A3458" t="s">
        <v>4360</v>
      </c>
      <c r="B3458" t="s">
        <v>311</v>
      </c>
      <c r="C3458" s="1">
        <v>45599</v>
      </c>
      <c r="D3458" s="1" t="str">
        <f>PROPER(orders[[#This Row],[order_priority]])</f>
        <v>Express</v>
      </c>
      <c r="E3458" t="s">
        <v>13318</v>
      </c>
      <c r="F3458" t="str">
        <f>IFERROR(INDEX(customers[country], MATCH(orders[[#This Row],[customer_id]], customers[customer_id], 0)), "Unmapped")</f>
        <v>Netherlands</v>
      </c>
      <c r="G3458" t="str">
        <f>IFERROR(INDEX(Region_Map[Region], MATCH(orders[[#This Row],[Customer_Country]], Region_Map[Country], 0)), "Unknown")</f>
        <v>Central Europe</v>
      </c>
      <c r="H3458" t="s">
        <v>6949</v>
      </c>
    </row>
    <row r="3459" spans="1:8">
      <c r="A3459" t="s">
        <v>4361</v>
      </c>
      <c r="B3459" t="s">
        <v>584</v>
      </c>
      <c r="C3459" s="1">
        <v>45246</v>
      </c>
      <c r="D3459" s="1" t="str">
        <f>PROPER(orders[[#This Row],[order_priority]])</f>
        <v>Same Day</v>
      </c>
      <c r="E3459" t="s">
        <v>13322</v>
      </c>
      <c r="F3459" t="str">
        <f>IFERROR(INDEX(customers[country], MATCH(orders[[#This Row],[customer_id]], customers[customer_id], 0)), "Unmapped")</f>
        <v>Netherlands</v>
      </c>
      <c r="G3459" t="str">
        <f>IFERROR(INDEX(Region_Map[Region], MATCH(orders[[#This Row],[Customer_Country]], Region_Map[Country], 0)), "Unknown")</f>
        <v>Central Europe</v>
      </c>
      <c r="H3459" t="s">
        <v>6949</v>
      </c>
    </row>
    <row r="3460" spans="1:8">
      <c r="A3460" t="s">
        <v>4362</v>
      </c>
      <c r="B3460" t="s">
        <v>151</v>
      </c>
      <c r="C3460" s="1">
        <v>45352</v>
      </c>
      <c r="D3460" s="1" t="str">
        <f>PROPER(orders[[#This Row],[order_priority]])</f>
        <v>Economy</v>
      </c>
      <c r="E3460" t="s">
        <v>13316</v>
      </c>
      <c r="F3460" t="str">
        <f>IFERROR(INDEX(customers[country], MATCH(orders[[#This Row],[customer_id]], customers[customer_id], 0)), "Unmapped")</f>
        <v>Sweden</v>
      </c>
      <c r="G3460" t="str">
        <f>IFERROR(INDEX(Region_Map[Region], MATCH(orders[[#This Row],[Customer_Country]], Region_Map[Country], 0)), "Unknown")</f>
        <v>Nordics</v>
      </c>
      <c r="H3460" t="s">
        <v>6949</v>
      </c>
    </row>
    <row r="3461" spans="1:8">
      <c r="A3461" t="s">
        <v>4363</v>
      </c>
      <c r="B3461" t="s">
        <v>879</v>
      </c>
      <c r="C3461" s="1">
        <v>45627</v>
      </c>
      <c r="D3461" s="1" t="str">
        <f>PROPER(orders[[#This Row],[order_priority]])</f>
        <v>Economy</v>
      </c>
      <c r="E3461" t="s">
        <v>13316</v>
      </c>
      <c r="F3461" t="str">
        <f>IFERROR(INDEX(customers[country], MATCH(orders[[#This Row],[customer_id]], customers[customer_id], 0)), "Unmapped")</f>
        <v>Norway</v>
      </c>
      <c r="G3461" t="str">
        <f>IFERROR(INDEX(Region_Map[Region], MATCH(orders[[#This Row],[Customer_Country]], Region_Map[Country], 0)), "Unknown")</f>
        <v>Nordics</v>
      </c>
      <c r="H3461" t="s">
        <v>6949</v>
      </c>
    </row>
    <row r="3462" spans="1:8">
      <c r="A3462" t="s">
        <v>4364</v>
      </c>
      <c r="B3462" t="s">
        <v>647</v>
      </c>
      <c r="C3462" s="1">
        <v>45219</v>
      </c>
      <c r="D3462" s="1" t="str">
        <f>PROPER(orders[[#This Row],[order_priority]])</f>
        <v>Express</v>
      </c>
      <c r="E3462" t="s">
        <v>13320</v>
      </c>
      <c r="F3462" t="str">
        <f>IFERROR(INDEX(customers[country], MATCH(orders[[#This Row],[customer_id]], customers[customer_id], 0)), "Unmapped")</f>
        <v>Netherlands</v>
      </c>
      <c r="G3462" t="str">
        <f>IFERROR(INDEX(Region_Map[Region], MATCH(orders[[#This Row],[Customer_Country]], Region_Map[Country], 0)), "Unknown")</f>
        <v>Central Europe</v>
      </c>
      <c r="H3462" t="s">
        <v>6949</v>
      </c>
    </row>
    <row r="3463" spans="1:8">
      <c r="A3463" t="s">
        <v>4365</v>
      </c>
      <c r="B3463" t="s">
        <v>840</v>
      </c>
      <c r="C3463" s="1">
        <v>45074</v>
      </c>
      <c r="D3463" s="1" t="str">
        <f>PROPER(orders[[#This Row],[order_priority]])</f>
        <v>Express</v>
      </c>
      <c r="E3463" t="s">
        <v>13318</v>
      </c>
      <c r="F3463" t="str">
        <f>IFERROR(INDEX(customers[country], MATCH(orders[[#This Row],[customer_id]], customers[customer_id], 0)), "Unmapped")</f>
        <v>Finland</v>
      </c>
      <c r="G3463" t="str">
        <f>IFERROR(INDEX(Region_Map[Region], MATCH(orders[[#This Row],[Customer_Country]], Region_Map[Country], 0)), "Unknown")</f>
        <v>Nordics</v>
      </c>
      <c r="H3463" t="s">
        <v>6949</v>
      </c>
    </row>
    <row r="3464" spans="1:8">
      <c r="A3464" t="s">
        <v>4366</v>
      </c>
      <c r="B3464" t="s">
        <v>497</v>
      </c>
      <c r="C3464" s="1">
        <v>45039</v>
      </c>
      <c r="D3464" s="1" t="str">
        <f>PROPER(orders[[#This Row],[order_priority]])</f>
        <v>Economy</v>
      </c>
      <c r="E3464" t="s">
        <v>13316</v>
      </c>
      <c r="F3464" t="str">
        <f>IFERROR(INDEX(customers[country], MATCH(orders[[#This Row],[customer_id]], customers[customer_id], 0)), "Unmapped")</f>
        <v>Germany</v>
      </c>
      <c r="G3464" t="str">
        <f>IFERROR(INDEX(Region_Map[Region], MATCH(orders[[#This Row],[Customer_Country]], Region_Map[Country], 0)), "Unknown")</f>
        <v>Central Europe</v>
      </c>
      <c r="H3464" t="s">
        <v>6949</v>
      </c>
    </row>
    <row r="3465" spans="1:8">
      <c r="A3465" t="s">
        <v>4367</v>
      </c>
      <c r="B3465" t="s">
        <v>819</v>
      </c>
      <c r="C3465" s="1">
        <v>45429</v>
      </c>
      <c r="D3465" s="1" t="str">
        <f>PROPER(orders[[#This Row],[order_priority]])</f>
        <v>Standard</v>
      </c>
      <c r="E3465" t="s">
        <v>13317</v>
      </c>
      <c r="F3465" t="str">
        <f>IFERROR(INDEX(customers[country], MATCH(orders[[#This Row],[customer_id]], customers[customer_id], 0)), "Unmapped")</f>
        <v>Estonia</v>
      </c>
      <c r="G3465" t="str">
        <f>IFERROR(INDEX(Region_Map[Region], MATCH(orders[[#This Row],[Customer_Country]], Region_Map[Country], 0)), "Unknown")</f>
        <v>Baltics</v>
      </c>
      <c r="H3465" t="s">
        <v>6949</v>
      </c>
    </row>
    <row r="3466" spans="1:8">
      <c r="A3466" t="s">
        <v>4368</v>
      </c>
      <c r="B3466" t="s">
        <v>545</v>
      </c>
      <c r="C3466" s="1">
        <v>45014</v>
      </c>
      <c r="D3466" s="1" t="str">
        <f>PROPER(orders[[#This Row],[order_priority]])</f>
        <v>Express</v>
      </c>
      <c r="E3466" t="s">
        <v>13318</v>
      </c>
      <c r="F3466" t="str">
        <f>IFERROR(INDEX(customers[country], MATCH(orders[[#This Row],[customer_id]], customers[customer_id], 0)), "Unmapped")</f>
        <v>Netherlands</v>
      </c>
      <c r="G3466" t="str">
        <f>IFERROR(INDEX(Region_Map[Region], MATCH(orders[[#This Row],[Customer_Country]], Region_Map[Country], 0)), "Unknown")</f>
        <v>Central Europe</v>
      </c>
      <c r="H3466" t="s">
        <v>6949</v>
      </c>
    </row>
    <row r="3467" spans="1:8">
      <c r="A3467" t="s">
        <v>4369</v>
      </c>
      <c r="B3467" t="s">
        <v>873</v>
      </c>
      <c r="C3467" s="1">
        <v>45623</v>
      </c>
      <c r="D3467" s="1" t="str">
        <f>PROPER(orders[[#This Row],[order_priority]])</f>
        <v>Same Day</v>
      </c>
      <c r="E3467" t="s">
        <v>13322</v>
      </c>
      <c r="F3467" t="str">
        <f>IFERROR(INDEX(customers[country], MATCH(orders[[#This Row],[customer_id]], customers[customer_id], 0)), "Unmapped")</f>
        <v>Estonia</v>
      </c>
      <c r="G3467" t="str">
        <f>IFERROR(INDEX(Region_Map[Region], MATCH(orders[[#This Row],[Customer_Country]], Region_Map[Country], 0)), "Unknown")</f>
        <v>Baltics</v>
      </c>
      <c r="H3467" t="s">
        <v>6949</v>
      </c>
    </row>
    <row r="3468" spans="1:8">
      <c r="A3468" t="s">
        <v>4370</v>
      </c>
      <c r="B3468" t="s">
        <v>888</v>
      </c>
      <c r="C3468" s="1">
        <v>45324</v>
      </c>
      <c r="D3468" s="1" t="str">
        <f>PROPER(orders[[#This Row],[order_priority]])</f>
        <v>Express</v>
      </c>
      <c r="E3468" t="s">
        <v>13318</v>
      </c>
      <c r="F3468" t="str">
        <f>IFERROR(INDEX(customers[country], MATCH(orders[[#This Row],[customer_id]], customers[customer_id], 0)), "Unmapped")</f>
        <v>Denmark</v>
      </c>
      <c r="G3468" t="str">
        <f>IFERROR(INDEX(Region_Map[Region], MATCH(orders[[#This Row],[Customer_Country]], Region_Map[Country], 0)), "Unknown")</f>
        <v>Nordics</v>
      </c>
      <c r="H3468" t="s">
        <v>6949</v>
      </c>
    </row>
    <row r="3469" spans="1:8">
      <c r="A3469" t="s">
        <v>4371</v>
      </c>
      <c r="B3469" t="s">
        <v>109</v>
      </c>
      <c r="C3469" s="1">
        <v>45501</v>
      </c>
      <c r="D3469" s="1" t="str">
        <f>PROPER(orders[[#This Row],[order_priority]])</f>
        <v>Express</v>
      </c>
      <c r="E3469" t="s">
        <v>13318</v>
      </c>
      <c r="F3469" t="str">
        <f>IFERROR(INDEX(customers[country], MATCH(orders[[#This Row],[customer_id]], customers[customer_id], 0)), "Unmapped")</f>
        <v>Netherlands</v>
      </c>
      <c r="G3469" t="str">
        <f>IFERROR(INDEX(Region_Map[Region], MATCH(orders[[#This Row],[Customer_Country]], Region_Map[Country], 0)), "Unknown")</f>
        <v>Central Europe</v>
      </c>
      <c r="H3469" t="s">
        <v>6949</v>
      </c>
    </row>
    <row r="3470" spans="1:8">
      <c r="A3470" t="s">
        <v>4372</v>
      </c>
      <c r="B3470" t="s">
        <v>407</v>
      </c>
      <c r="C3470" s="1">
        <v>44969</v>
      </c>
      <c r="D3470" s="1" t="str">
        <f>PROPER(orders[[#This Row],[order_priority]])</f>
        <v>Express</v>
      </c>
      <c r="E3470" t="s">
        <v>13318</v>
      </c>
      <c r="F3470" t="str">
        <f>IFERROR(INDEX(customers[country], MATCH(orders[[#This Row],[customer_id]], customers[customer_id], 0)), "Unmapped")</f>
        <v>Poland</v>
      </c>
      <c r="G3470" t="str">
        <f>IFERROR(INDEX(Region_Map[Region], MATCH(orders[[#This Row],[Customer_Country]], Region_Map[Country], 0)), "Unknown")</f>
        <v>Central Europe</v>
      </c>
      <c r="H3470" t="s">
        <v>6949</v>
      </c>
    </row>
    <row r="3471" spans="1:8">
      <c r="A3471" t="s">
        <v>4373</v>
      </c>
      <c r="B3471" t="s">
        <v>721</v>
      </c>
      <c r="C3471" s="1">
        <v>45097</v>
      </c>
      <c r="D3471" s="1" t="str">
        <f>PROPER(orders[[#This Row],[order_priority]])</f>
        <v>Economy</v>
      </c>
      <c r="E3471" t="s">
        <v>13316</v>
      </c>
      <c r="F3471" t="str">
        <f>IFERROR(INDEX(customers[country], MATCH(orders[[#This Row],[customer_id]], customers[customer_id], 0)), "Unmapped")</f>
        <v>Netherlands</v>
      </c>
      <c r="G3471" t="str">
        <f>IFERROR(INDEX(Region_Map[Region], MATCH(orders[[#This Row],[Customer_Country]], Region_Map[Country], 0)), "Unknown")</f>
        <v>Central Europe</v>
      </c>
      <c r="H3471" t="s">
        <v>6949</v>
      </c>
    </row>
    <row r="3472" spans="1:8">
      <c r="A3472" t="s">
        <v>4374</v>
      </c>
      <c r="B3472" t="s">
        <v>470</v>
      </c>
      <c r="C3472" s="1">
        <v>45474</v>
      </c>
      <c r="D3472" s="1" t="str">
        <f>PROPER(orders[[#This Row],[order_priority]])</f>
        <v>Standard</v>
      </c>
      <c r="E3472" t="s">
        <v>13317</v>
      </c>
      <c r="F3472" t="str">
        <f>IFERROR(INDEX(customers[country], MATCH(orders[[#This Row],[customer_id]], customers[customer_id], 0)), "Unmapped")</f>
        <v>Norway</v>
      </c>
      <c r="G3472" t="str">
        <f>IFERROR(INDEX(Region_Map[Region], MATCH(orders[[#This Row],[Customer_Country]], Region_Map[Country], 0)), "Unknown")</f>
        <v>Nordics</v>
      </c>
      <c r="H3472" t="s">
        <v>6949</v>
      </c>
    </row>
    <row r="3473" spans="1:8">
      <c r="A3473" t="s">
        <v>4375</v>
      </c>
      <c r="B3473" t="s">
        <v>557</v>
      </c>
      <c r="C3473" s="1">
        <v>45398</v>
      </c>
      <c r="D3473" s="1" t="str">
        <f>PROPER(orders[[#This Row],[order_priority]])</f>
        <v>Same Day</v>
      </c>
      <c r="E3473" t="s">
        <v>13322</v>
      </c>
      <c r="F3473" t="str">
        <f>IFERROR(INDEX(customers[country], MATCH(orders[[#This Row],[customer_id]], customers[customer_id], 0)), "Unmapped")</f>
        <v>Norway</v>
      </c>
      <c r="G3473" t="str">
        <f>IFERROR(INDEX(Region_Map[Region], MATCH(orders[[#This Row],[Customer_Country]], Region_Map[Country], 0)), "Unknown")</f>
        <v>Nordics</v>
      </c>
      <c r="H3473" t="s">
        <v>6949</v>
      </c>
    </row>
    <row r="3474" spans="1:8">
      <c r="A3474" t="s">
        <v>4376</v>
      </c>
      <c r="B3474" t="s">
        <v>703</v>
      </c>
      <c r="C3474" s="1">
        <v>45519</v>
      </c>
      <c r="D3474" s="1" t="str">
        <f>PROPER(orders[[#This Row],[order_priority]])</f>
        <v>Same Day</v>
      </c>
      <c r="E3474" t="s">
        <v>13322</v>
      </c>
      <c r="F3474" t="str">
        <f>IFERROR(INDEX(customers[country], MATCH(orders[[#This Row],[customer_id]], customers[customer_id], 0)), "Unmapped")</f>
        <v>Estonia</v>
      </c>
      <c r="G3474" t="str">
        <f>IFERROR(INDEX(Region_Map[Region], MATCH(orders[[#This Row],[Customer_Country]], Region_Map[Country], 0)), "Unknown")</f>
        <v>Baltics</v>
      </c>
      <c r="H3474" t="s">
        <v>6949</v>
      </c>
    </row>
    <row r="3475" spans="1:8">
      <c r="A3475" t="s">
        <v>4377</v>
      </c>
      <c r="B3475" t="s">
        <v>509</v>
      </c>
      <c r="C3475" s="1">
        <v>45359</v>
      </c>
      <c r="D3475" s="1" t="str">
        <f>PROPER(orders[[#This Row],[order_priority]])</f>
        <v>Same Day</v>
      </c>
      <c r="E3475" t="s">
        <v>13322</v>
      </c>
      <c r="F3475" t="str">
        <f>IFERROR(INDEX(customers[country], MATCH(orders[[#This Row],[customer_id]], customers[customer_id], 0)), "Unmapped")</f>
        <v>Sweden</v>
      </c>
      <c r="G3475" t="str">
        <f>IFERROR(INDEX(Region_Map[Region], MATCH(orders[[#This Row],[Customer_Country]], Region_Map[Country], 0)), "Unknown")</f>
        <v>Nordics</v>
      </c>
      <c r="H3475" t="s">
        <v>6949</v>
      </c>
    </row>
    <row r="3476" spans="1:8">
      <c r="A3476" t="s">
        <v>4378</v>
      </c>
      <c r="B3476" t="s">
        <v>204</v>
      </c>
      <c r="C3476" s="1">
        <v>45299</v>
      </c>
      <c r="D3476" s="1" t="str">
        <f>PROPER(orders[[#This Row],[order_priority]])</f>
        <v>Same Day</v>
      </c>
      <c r="E3476" t="s">
        <v>13322</v>
      </c>
      <c r="F3476" t="str">
        <f>IFERROR(INDEX(customers[country], MATCH(orders[[#This Row],[customer_id]], customers[customer_id], 0)), "Unmapped")</f>
        <v>Sweden</v>
      </c>
      <c r="G3476" t="str">
        <f>IFERROR(INDEX(Region_Map[Region], MATCH(orders[[#This Row],[Customer_Country]], Region_Map[Country], 0)), "Unknown")</f>
        <v>Nordics</v>
      </c>
      <c r="H3476" t="s">
        <v>6949</v>
      </c>
    </row>
    <row r="3477" spans="1:8">
      <c r="A3477" t="s">
        <v>4379</v>
      </c>
      <c r="B3477" t="s">
        <v>888</v>
      </c>
      <c r="C3477" s="1">
        <v>45175</v>
      </c>
      <c r="D3477" s="1" t="str">
        <f>PROPER(orders[[#This Row],[order_priority]])</f>
        <v>Economy</v>
      </c>
      <c r="E3477" t="s">
        <v>13316</v>
      </c>
      <c r="F3477" t="str">
        <f>IFERROR(INDEX(customers[country], MATCH(orders[[#This Row],[customer_id]], customers[customer_id], 0)), "Unmapped")</f>
        <v>Denmark</v>
      </c>
      <c r="G3477" t="str">
        <f>IFERROR(INDEX(Region_Map[Region], MATCH(orders[[#This Row],[Customer_Country]], Region_Map[Country], 0)), "Unknown")</f>
        <v>Nordics</v>
      </c>
      <c r="H3477" t="s">
        <v>6949</v>
      </c>
    </row>
    <row r="3478" spans="1:8">
      <c r="A3478" t="s">
        <v>4380</v>
      </c>
      <c r="B3478" t="s">
        <v>332</v>
      </c>
      <c r="C3478" s="1">
        <v>45248</v>
      </c>
      <c r="D3478" s="1" t="str">
        <f>PROPER(orders[[#This Row],[order_priority]])</f>
        <v>Express</v>
      </c>
      <c r="E3478" t="s">
        <v>13318</v>
      </c>
      <c r="F3478" t="str">
        <f>IFERROR(INDEX(customers[country], MATCH(orders[[#This Row],[customer_id]], customers[customer_id], 0)), "Unmapped")</f>
        <v>Lithuania</v>
      </c>
      <c r="G3478" t="str">
        <f>IFERROR(INDEX(Region_Map[Region], MATCH(orders[[#This Row],[Customer_Country]], Region_Map[Country], 0)), "Unknown")</f>
        <v>Baltics</v>
      </c>
      <c r="H3478" t="s">
        <v>6949</v>
      </c>
    </row>
    <row r="3479" spans="1:8">
      <c r="A3479" t="s">
        <v>4381</v>
      </c>
      <c r="B3479" t="s">
        <v>96</v>
      </c>
      <c r="C3479" s="1">
        <v>45029</v>
      </c>
      <c r="D3479" s="1" t="str">
        <f>PROPER(orders[[#This Row],[order_priority]])</f>
        <v>Standard</v>
      </c>
      <c r="E3479" t="s">
        <v>13317</v>
      </c>
      <c r="F3479" t="str">
        <f>IFERROR(INDEX(customers[country], MATCH(orders[[#This Row],[customer_id]], customers[customer_id], 0)), "Unmapped")</f>
        <v>Sweden</v>
      </c>
      <c r="G3479" t="str">
        <f>IFERROR(INDEX(Region_Map[Region], MATCH(orders[[#This Row],[Customer_Country]], Region_Map[Country], 0)), "Unknown")</f>
        <v>Nordics</v>
      </c>
      <c r="H3479" t="s">
        <v>6949</v>
      </c>
    </row>
    <row r="3480" spans="1:8">
      <c r="A3480" t="s">
        <v>4382</v>
      </c>
      <c r="B3480" t="s">
        <v>623</v>
      </c>
      <c r="C3480" s="1">
        <v>45558</v>
      </c>
      <c r="D3480" s="1" t="str">
        <f>PROPER(orders[[#This Row],[order_priority]])</f>
        <v>Same Day</v>
      </c>
      <c r="E3480" t="s">
        <v>13322</v>
      </c>
      <c r="F3480" t="str">
        <f>IFERROR(INDEX(customers[country], MATCH(orders[[#This Row],[customer_id]], customers[customer_id], 0)), "Unmapped")</f>
        <v>Denmark</v>
      </c>
      <c r="G3480" t="str">
        <f>IFERROR(INDEX(Region_Map[Region], MATCH(orders[[#This Row],[Customer_Country]], Region_Map[Country], 0)), "Unknown")</f>
        <v>Nordics</v>
      </c>
      <c r="H3480" t="s">
        <v>6949</v>
      </c>
    </row>
    <row r="3481" spans="1:8">
      <c r="A3481" t="s">
        <v>4383</v>
      </c>
      <c r="B3481" t="s">
        <v>703</v>
      </c>
      <c r="C3481" s="1">
        <v>45372</v>
      </c>
      <c r="D3481" s="1" t="str">
        <f>PROPER(orders[[#This Row],[order_priority]])</f>
        <v>Same Day</v>
      </c>
      <c r="E3481" t="s">
        <v>13322</v>
      </c>
      <c r="F3481" t="str">
        <f>IFERROR(INDEX(customers[country], MATCH(orders[[#This Row],[customer_id]], customers[customer_id], 0)), "Unmapped")</f>
        <v>Estonia</v>
      </c>
      <c r="G3481" t="str">
        <f>IFERROR(INDEX(Region_Map[Region], MATCH(orders[[#This Row],[Customer_Country]], Region_Map[Country], 0)), "Unknown")</f>
        <v>Baltics</v>
      </c>
      <c r="H3481" t="s">
        <v>6949</v>
      </c>
    </row>
    <row r="3482" spans="1:8">
      <c r="A3482" t="s">
        <v>4384</v>
      </c>
      <c r="B3482" t="s">
        <v>557</v>
      </c>
      <c r="C3482" s="1">
        <v>45424</v>
      </c>
      <c r="D3482" s="1" t="str">
        <f>PROPER(orders[[#This Row],[order_priority]])</f>
        <v>Express</v>
      </c>
      <c r="E3482" t="s">
        <v>13318</v>
      </c>
      <c r="F3482" t="str">
        <f>IFERROR(INDEX(customers[country], MATCH(orders[[#This Row],[customer_id]], customers[customer_id], 0)), "Unmapped")</f>
        <v>Norway</v>
      </c>
      <c r="G3482" t="str">
        <f>IFERROR(INDEX(Region_Map[Region], MATCH(orders[[#This Row],[Customer_Country]], Region_Map[Country], 0)), "Unknown")</f>
        <v>Nordics</v>
      </c>
      <c r="H3482" t="s">
        <v>6949</v>
      </c>
    </row>
    <row r="3483" spans="1:8">
      <c r="A3483" t="s">
        <v>4385</v>
      </c>
      <c r="B3483" t="s">
        <v>909</v>
      </c>
      <c r="C3483" s="1">
        <v>45345</v>
      </c>
      <c r="D3483" s="1" t="str">
        <f>PROPER(orders[[#This Row],[order_priority]])</f>
        <v>Economy</v>
      </c>
      <c r="E3483" t="s">
        <v>13316</v>
      </c>
      <c r="F3483" t="str">
        <f>IFERROR(INDEX(customers[country], MATCH(orders[[#This Row],[customer_id]], customers[customer_id], 0)), "Unmapped")</f>
        <v>Poland</v>
      </c>
      <c r="G3483" t="str">
        <f>IFERROR(INDEX(Region_Map[Region], MATCH(orders[[#This Row],[Customer_Country]], Region_Map[Country], 0)), "Unknown")</f>
        <v>Central Europe</v>
      </c>
      <c r="H3483" t="s">
        <v>6949</v>
      </c>
    </row>
    <row r="3484" spans="1:8">
      <c r="A3484" t="s">
        <v>4386</v>
      </c>
      <c r="B3484" t="s">
        <v>885</v>
      </c>
      <c r="C3484" s="1">
        <v>45338</v>
      </c>
      <c r="D3484" s="1" t="str">
        <f>PROPER(orders[[#This Row],[order_priority]])</f>
        <v>Same Day</v>
      </c>
      <c r="E3484" t="s">
        <v>13321</v>
      </c>
      <c r="F3484" t="str">
        <f>IFERROR(INDEX(customers[country], MATCH(orders[[#This Row],[customer_id]], customers[customer_id], 0)), "Unmapped")</f>
        <v>Poland</v>
      </c>
      <c r="G3484" t="str">
        <f>IFERROR(INDEX(Region_Map[Region], MATCH(orders[[#This Row],[Customer_Country]], Region_Map[Country], 0)), "Unknown")</f>
        <v>Central Europe</v>
      </c>
      <c r="H3484" t="s">
        <v>6949</v>
      </c>
    </row>
    <row r="3485" spans="1:8">
      <c r="A3485" t="s">
        <v>4387</v>
      </c>
      <c r="B3485" t="s">
        <v>530</v>
      </c>
      <c r="C3485" s="1">
        <v>45574</v>
      </c>
      <c r="D3485" s="1" t="str">
        <f>PROPER(orders[[#This Row],[order_priority]])</f>
        <v>Standard</v>
      </c>
      <c r="E3485" t="s">
        <v>13317</v>
      </c>
      <c r="F3485" t="str">
        <f>IFERROR(INDEX(customers[country], MATCH(orders[[#This Row],[customer_id]], customers[customer_id], 0)), "Unmapped")</f>
        <v>Denmark</v>
      </c>
      <c r="G3485" t="str">
        <f>IFERROR(INDEX(Region_Map[Region], MATCH(orders[[#This Row],[Customer_Country]], Region_Map[Country], 0)), "Unknown")</f>
        <v>Nordics</v>
      </c>
      <c r="H3485" t="s">
        <v>6949</v>
      </c>
    </row>
    <row r="3486" spans="1:8">
      <c r="A3486" t="s">
        <v>4388</v>
      </c>
      <c r="B3486" t="s">
        <v>769</v>
      </c>
      <c r="C3486" s="1">
        <v>45309</v>
      </c>
      <c r="D3486" s="1" t="str">
        <f>PROPER(orders[[#This Row],[order_priority]])</f>
        <v>Economy</v>
      </c>
      <c r="E3486" t="s">
        <v>13316</v>
      </c>
      <c r="F3486" t="str">
        <f>IFERROR(INDEX(customers[country], MATCH(orders[[#This Row],[customer_id]], customers[customer_id], 0)), "Unmapped")</f>
        <v>Latvia</v>
      </c>
      <c r="G3486" t="str">
        <f>IFERROR(INDEX(Region_Map[Region], MATCH(orders[[#This Row],[Customer_Country]], Region_Map[Country], 0)), "Unknown")</f>
        <v>Baltics</v>
      </c>
      <c r="H3486" t="s">
        <v>6949</v>
      </c>
    </row>
    <row r="3487" spans="1:8">
      <c r="A3487" t="s">
        <v>4389</v>
      </c>
      <c r="B3487" t="s">
        <v>84</v>
      </c>
      <c r="C3487" s="1">
        <v>45308</v>
      </c>
      <c r="D3487" s="1" t="str">
        <f>PROPER(orders[[#This Row],[order_priority]])</f>
        <v>Standard</v>
      </c>
      <c r="E3487" t="s">
        <v>13317</v>
      </c>
      <c r="F3487" t="str">
        <f>IFERROR(INDEX(customers[country], MATCH(orders[[#This Row],[customer_id]], customers[customer_id], 0)), "Unmapped")</f>
        <v>Lithuania</v>
      </c>
      <c r="G3487" t="str">
        <f>IFERROR(INDEX(Region_Map[Region], MATCH(orders[[#This Row],[Customer_Country]], Region_Map[Country], 0)), "Unknown")</f>
        <v>Baltics</v>
      </c>
      <c r="H3487" t="s">
        <v>6949</v>
      </c>
    </row>
    <row r="3488" spans="1:8">
      <c r="A3488" t="s">
        <v>4390</v>
      </c>
      <c r="B3488" t="s">
        <v>237</v>
      </c>
      <c r="C3488" s="1">
        <v>45410</v>
      </c>
      <c r="D3488" s="1" t="str">
        <f>PROPER(orders[[#This Row],[order_priority]])</f>
        <v>Same Day</v>
      </c>
      <c r="E3488" t="s">
        <v>13322</v>
      </c>
      <c r="F3488" t="str">
        <f>IFERROR(INDEX(customers[country], MATCH(orders[[#This Row],[customer_id]], customers[customer_id], 0)), "Unmapped")</f>
        <v>Sweden</v>
      </c>
      <c r="G3488" t="str">
        <f>IFERROR(INDEX(Region_Map[Region], MATCH(orders[[#This Row],[Customer_Country]], Region_Map[Country], 0)), "Unknown")</f>
        <v>Nordics</v>
      </c>
      <c r="H3488" t="s">
        <v>6949</v>
      </c>
    </row>
    <row r="3489" spans="1:8">
      <c r="A3489" t="s">
        <v>4391</v>
      </c>
      <c r="B3489" t="s">
        <v>306</v>
      </c>
      <c r="C3489" s="1">
        <v>45160</v>
      </c>
      <c r="D3489" s="1" t="str">
        <f>PROPER(orders[[#This Row],[order_priority]])</f>
        <v>Standard</v>
      </c>
      <c r="E3489" t="s">
        <v>13317</v>
      </c>
      <c r="F3489" t="str">
        <f>IFERROR(INDEX(customers[country], MATCH(orders[[#This Row],[customer_id]], customers[customer_id], 0)), "Unmapped")</f>
        <v>Estonia</v>
      </c>
      <c r="G3489" t="str">
        <f>IFERROR(INDEX(Region_Map[Region], MATCH(orders[[#This Row],[Customer_Country]], Region_Map[Country], 0)), "Unknown")</f>
        <v>Baltics</v>
      </c>
      <c r="H3489" t="s">
        <v>6949</v>
      </c>
    </row>
    <row r="3490" spans="1:8">
      <c r="A3490" t="s">
        <v>4392</v>
      </c>
      <c r="B3490" t="s">
        <v>84</v>
      </c>
      <c r="C3490" s="1">
        <v>45323</v>
      </c>
      <c r="D3490" s="1" t="str">
        <f>PROPER(orders[[#This Row],[order_priority]])</f>
        <v>Express</v>
      </c>
      <c r="E3490" t="s">
        <v>13318</v>
      </c>
      <c r="F3490" t="str">
        <f>IFERROR(INDEX(customers[country], MATCH(orders[[#This Row],[customer_id]], customers[customer_id], 0)), "Unmapped")</f>
        <v>Lithuania</v>
      </c>
      <c r="G3490" t="str">
        <f>IFERROR(INDEX(Region_Map[Region], MATCH(orders[[#This Row],[Customer_Country]], Region_Map[Country], 0)), "Unknown")</f>
        <v>Baltics</v>
      </c>
      <c r="H3490" t="s">
        <v>6949</v>
      </c>
    </row>
    <row r="3491" spans="1:8">
      <c r="A3491" t="s">
        <v>4393</v>
      </c>
      <c r="B3491" t="s">
        <v>676</v>
      </c>
      <c r="C3491" s="1">
        <v>45187</v>
      </c>
      <c r="D3491" s="1" t="str">
        <f>PROPER(orders[[#This Row],[order_priority]])</f>
        <v>Same Day</v>
      </c>
      <c r="E3491" t="s">
        <v>13322</v>
      </c>
      <c r="F3491" t="str">
        <f>IFERROR(INDEX(customers[country], MATCH(orders[[#This Row],[customer_id]], customers[customer_id], 0)), "Unmapped")</f>
        <v>Latvia</v>
      </c>
      <c r="G3491" t="str">
        <f>IFERROR(INDEX(Region_Map[Region], MATCH(orders[[#This Row],[Customer_Country]], Region_Map[Country], 0)), "Unknown")</f>
        <v>Baltics</v>
      </c>
      <c r="H3491" t="s">
        <v>6949</v>
      </c>
    </row>
    <row r="3492" spans="1:8">
      <c r="A3492" t="s">
        <v>4394</v>
      </c>
      <c r="B3492" t="s">
        <v>900</v>
      </c>
      <c r="C3492" s="1">
        <v>45322</v>
      </c>
      <c r="D3492" s="1" t="str">
        <f>PROPER(orders[[#This Row],[order_priority]])</f>
        <v>Express</v>
      </c>
      <c r="E3492" t="s">
        <v>13318</v>
      </c>
      <c r="F3492" t="str">
        <f>IFERROR(INDEX(customers[country], MATCH(orders[[#This Row],[customer_id]], customers[customer_id], 0)), "Unmapped")</f>
        <v>Germany</v>
      </c>
      <c r="G3492" t="str">
        <f>IFERROR(INDEX(Region_Map[Region], MATCH(orders[[#This Row],[Customer_Country]], Region_Map[Country], 0)), "Unknown")</f>
        <v>Central Europe</v>
      </c>
      <c r="H3492" t="s">
        <v>6949</v>
      </c>
    </row>
    <row r="3493" spans="1:8">
      <c r="A3493" t="s">
        <v>4395</v>
      </c>
      <c r="B3493" t="s">
        <v>882</v>
      </c>
      <c r="C3493" s="1">
        <v>45125</v>
      </c>
      <c r="D3493" s="1" t="str">
        <f>PROPER(orders[[#This Row],[order_priority]])</f>
        <v>Express</v>
      </c>
      <c r="E3493" t="s">
        <v>13326</v>
      </c>
      <c r="F3493" t="str">
        <f>IFERROR(INDEX(customers[country], MATCH(orders[[#This Row],[customer_id]], customers[customer_id], 0)), "Unmapped")</f>
        <v>Netherlands</v>
      </c>
      <c r="G3493" t="str">
        <f>IFERROR(INDEX(Region_Map[Region], MATCH(orders[[#This Row],[Customer_Country]], Region_Map[Country], 0)), "Unknown")</f>
        <v>Central Europe</v>
      </c>
      <c r="H3493" t="s">
        <v>6949</v>
      </c>
    </row>
    <row r="3494" spans="1:8">
      <c r="A3494" t="s">
        <v>4396</v>
      </c>
      <c r="B3494" t="s">
        <v>533</v>
      </c>
      <c r="C3494" s="1">
        <v>45547</v>
      </c>
      <c r="D3494" s="1" t="str">
        <f>PROPER(orders[[#This Row],[order_priority]])</f>
        <v>Express</v>
      </c>
      <c r="E3494" t="s">
        <v>13318</v>
      </c>
      <c r="F3494" t="str">
        <f>IFERROR(INDEX(customers[country], MATCH(orders[[#This Row],[customer_id]], customers[customer_id], 0)), "Unmapped")</f>
        <v>Germany</v>
      </c>
      <c r="G3494" t="str">
        <f>IFERROR(INDEX(Region_Map[Region], MATCH(orders[[#This Row],[Customer_Country]], Region_Map[Country], 0)), "Unknown")</f>
        <v>Central Europe</v>
      </c>
      <c r="H3494" t="s">
        <v>6949</v>
      </c>
    </row>
    <row r="3495" spans="1:8">
      <c r="A3495" t="s">
        <v>4397</v>
      </c>
      <c r="B3495" t="s">
        <v>664</v>
      </c>
      <c r="C3495" s="1">
        <v>44952</v>
      </c>
      <c r="D3495" s="1" t="str">
        <f>PROPER(orders[[#This Row],[order_priority]])</f>
        <v>Standard</v>
      </c>
      <c r="E3495" t="s">
        <v>13317</v>
      </c>
      <c r="F3495" t="str">
        <f>IFERROR(INDEX(customers[country], MATCH(orders[[#This Row],[customer_id]], customers[customer_id], 0)), "Unmapped")</f>
        <v>Latvia</v>
      </c>
      <c r="G3495" t="str">
        <f>IFERROR(INDEX(Region_Map[Region], MATCH(orders[[#This Row],[Customer_Country]], Region_Map[Country], 0)), "Unknown")</f>
        <v>Baltics</v>
      </c>
      <c r="H3495" t="s">
        <v>6949</v>
      </c>
    </row>
    <row r="3496" spans="1:8">
      <c r="A3496" t="s">
        <v>4398</v>
      </c>
      <c r="B3496" t="s">
        <v>796</v>
      </c>
      <c r="C3496" s="1">
        <v>45298</v>
      </c>
      <c r="D3496" s="1" t="str">
        <f>PROPER(orders[[#This Row],[order_priority]])</f>
        <v>Express</v>
      </c>
      <c r="E3496" t="s">
        <v>13318</v>
      </c>
      <c r="F3496" t="str">
        <f>IFERROR(INDEX(customers[country], MATCH(orders[[#This Row],[customer_id]], customers[customer_id], 0)), "Unmapped")</f>
        <v>Sweden</v>
      </c>
      <c r="G3496" t="str">
        <f>IFERROR(INDEX(Region_Map[Region], MATCH(orders[[#This Row],[Customer_Country]], Region_Map[Country], 0)), "Unknown")</f>
        <v>Nordics</v>
      </c>
      <c r="H3496" t="s">
        <v>6949</v>
      </c>
    </row>
    <row r="3497" spans="1:8">
      <c r="A3497" t="s">
        <v>4399</v>
      </c>
      <c r="B3497" t="s">
        <v>867</v>
      </c>
      <c r="C3497" s="1">
        <v>45584</v>
      </c>
      <c r="D3497" s="1" t="str">
        <f>PROPER(orders[[#This Row],[order_priority]])</f>
        <v>Standard</v>
      </c>
      <c r="E3497" t="s">
        <v>13317</v>
      </c>
      <c r="F3497" t="str">
        <f>IFERROR(INDEX(customers[country], MATCH(orders[[#This Row],[customer_id]], customers[customer_id], 0)), "Unmapped")</f>
        <v>Denmark</v>
      </c>
      <c r="G3497" t="str">
        <f>IFERROR(INDEX(Region_Map[Region], MATCH(orders[[#This Row],[Customer_Country]], Region_Map[Country], 0)), "Unknown")</f>
        <v>Nordics</v>
      </c>
      <c r="H3497" t="s">
        <v>6949</v>
      </c>
    </row>
    <row r="3498" spans="1:8">
      <c r="A3498" t="s">
        <v>4400</v>
      </c>
      <c r="B3498" t="s">
        <v>151</v>
      </c>
      <c r="C3498" s="1">
        <v>45325</v>
      </c>
      <c r="D3498" s="1" t="str">
        <f>PROPER(orders[[#This Row],[order_priority]])</f>
        <v>Economy</v>
      </c>
      <c r="E3498" t="s">
        <v>13316</v>
      </c>
      <c r="F3498" t="str">
        <f>IFERROR(INDEX(customers[country], MATCH(orders[[#This Row],[customer_id]], customers[customer_id], 0)), "Unmapped")</f>
        <v>Sweden</v>
      </c>
      <c r="G3498" t="str">
        <f>IFERROR(INDEX(Region_Map[Region], MATCH(orders[[#This Row],[Customer_Country]], Region_Map[Country], 0)), "Unknown")</f>
        <v>Nordics</v>
      </c>
      <c r="H3498" t="s">
        <v>6949</v>
      </c>
    </row>
    <row r="3499" spans="1:8">
      <c r="A3499" t="s">
        <v>4401</v>
      </c>
      <c r="B3499" t="s">
        <v>145</v>
      </c>
      <c r="C3499" s="1">
        <v>45282</v>
      </c>
      <c r="D3499" s="1" t="str">
        <f>PROPER(orders[[#This Row],[order_priority]])</f>
        <v>Same Day</v>
      </c>
      <c r="E3499" t="s">
        <v>13322</v>
      </c>
      <c r="F3499" t="str">
        <f>IFERROR(INDEX(customers[country], MATCH(orders[[#This Row],[customer_id]], customers[customer_id], 0)), "Unmapped")</f>
        <v>Latvia</v>
      </c>
      <c r="G3499" t="str">
        <f>IFERROR(INDEX(Region_Map[Region], MATCH(orders[[#This Row],[Customer_Country]], Region_Map[Country], 0)), "Unknown")</f>
        <v>Baltics</v>
      </c>
      <c r="H3499" t="s">
        <v>6949</v>
      </c>
    </row>
    <row r="3500" spans="1:8">
      <c r="A3500" t="s">
        <v>4402</v>
      </c>
      <c r="B3500" t="s">
        <v>67</v>
      </c>
      <c r="C3500" s="1">
        <v>45136</v>
      </c>
      <c r="D3500" s="1" t="str">
        <f>PROPER(orders[[#This Row],[order_priority]])</f>
        <v>Express</v>
      </c>
      <c r="E3500" t="s">
        <v>13318</v>
      </c>
      <c r="F3500" t="str">
        <f>IFERROR(INDEX(customers[country], MATCH(orders[[#This Row],[customer_id]], customers[customer_id], 0)), "Unmapped")</f>
        <v>Estonia</v>
      </c>
      <c r="G3500" t="str">
        <f>IFERROR(INDEX(Region_Map[Region], MATCH(orders[[#This Row],[Customer_Country]], Region_Map[Country], 0)), "Unknown")</f>
        <v>Baltics</v>
      </c>
      <c r="H3500" t="s">
        <v>6949</v>
      </c>
    </row>
    <row r="3501" spans="1:8">
      <c r="A3501" t="s">
        <v>4403</v>
      </c>
      <c r="B3501" t="s">
        <v>697</v>
      </c>
      <c r="C3501" s="1">
        <v>45416</v>
      </c>
      <c r="D3501" s="1" t="str">
        <f>PROPER(orders[[#This Row],[order_priority]])</f>
        <v>Same Day</v>
      </c>
      <c r="E3501" t="s">
        <v>13322</v>
      </c>
      <c r="F3501" t="str">
        <f>IFERROR(INDEX(customers[country], MATCH(orders[[#This Row],[customer_id]], customers[customer_id], 0)), "Unmapped")</f>
        <v>Estonia</v>
      </c>
      <c r="G3501" t="str">
        <f>IFERROR(INDEX(Region_Map[Region], MATCH(orders[[#This Row],[Customer_Country]], Region_Map[Country], 0)), "Unknown")</f>
        <v>Baltics</v>
      </c>
      <c r="H3501" t="s">
        <v>6949</v>
      </c>
    </row>
    <row r="3502" spans="1:8">
      <c r="A3502" t="s">
        <v>4404</v>
      </c>
      <c r="B3502" t="s">
        <v>837</v>
      </c>
      <c r="C3502" s="1">
        <v>45215</v>
      </c>
      <c r="D3502" s="1" t="str">
        <f>PROPER(orders[[#This Row],[order_priority]])</f>
        <v>Economy</v>
      </c>
      <c r="E3502" t="s">
        <v>13316</v>
      </c>
      <c r="F3502" t="str">
        <f>IFERROR(INDEX(customers[country], MATCH(orders[[#This Row],[customer_id]], customers[customer_id], 0)), "Unmapped")</f>
        <v>Poland</v>
      </c>
      <c r="G3502" t="str">
        <f>IFERROR(INDEX(Region_Map[Region], MATCH(orders[[#This Row],[Customer_Country]], Region_Map[Country], 0)), "Unknown")</f>
        <v>Central Europe</v>
      </c>
      <c r="H3502" t="s">
        <v>6949</v>
      </c>
    </row>
    <row r="3503" spans="1:8">
      <c r="A3503" t="s">
        <v>4405</v>
      </c>
      <c r="B3503" t="s">
        <v>482</v>
      </c>
      <c r="C3503" s="1">
        <v>45081</v>
      </c>
      <c r="D3503" s="1" t="str">
        <f>PROPER(orders[[#This Row],[order_priority]])</f>
        <v>Standard</v>
      </c>
      <c r="E3503" t="s">
        <v>13317</v>
      </c>
      <c r="F3503" t="str">
        <f>IFERROR(INDEX(customers[country], MATCH(orders[[#This Row],[customer_id]], customers[customer_id], 0)), "Unmapped")</f>
        <v>Finland</v>
      </c>
      <c r="G3503" t="str">
        <f>IFERROR(INDEX(Region_Map[Region], MATCH(orders[[#This Row],[Customer_Country]], Region_Map[Country], 0)), "Unknown")</f>
        <v>Nordics</v>
      </c>
      <c r="H3503" t="s">
        <v>6949</v>
      </c>
    </row>
    <row r="3504" spans="1:8">
      <c r="A3504" t="s">
        <v>4406</v>
      </c>
      <c r="B3504" t="s">
        <v>145</v>
      </c>
      <c r="C3504" s="1">
        <v>45128</v>
      </c>
      <c r="D3504" s="1" t="str">
        <f>PROPER(orders[[#This Row],[order_priority]])</f>
        <v>Economy</v>
      </c>
      <c r="E3504" t="s">
        <v>13316</v>
      </c>
      <c r="F3504" t="str">
        <f>IFERROR(INDEX(customers[country], MATCH(orders[[#This Row],[customer_id]], customers[customer_id], 0)), "Unmapped")</f>
        <v>Latvia</v>
      </c>
      <c r="G3504" t="str">
        <f>IFERROR(INDEX(Region_Map[Region], MATCH(orders[[#This Row],[Customer_Country]], Region_Map[Country], 0)), "Unknown")</f>
        <v>Baltics</v>
      </c>
      <c r="H3504" t="s">
        <v>6949</v>
      </c>
    </row>
    <row r="3505" spans="1:8">
      <c r="A3505" t="s">
        <v>4407</v>
      </c>
      <c r="B3505" t="s">
        <v>554</v>
      </c>
      <c r="C3505" s="1">
        <v>45202</v>
      </c>
      <c r="D3505" s="1" t="str">
        <f>PROPER(orders[[#This Row],[order_priority]])</f>
        <v>Standard</v>
      </c>
      <c r="E3505" t="s">
        <v>13317</v>
      </c>
      <c r="F3505" t="str">
        <f>IFERROR(INDEX(customers[country], MATCH(orders[[#This Row],[customer_id]], customers[customer_id], 0)), "Unmapped")</f>
        <v>Germany</v>
      </c>
      <c r="G3505" t="str">
        <f>IFERROR(INDEX(Region_Map[Region], MATCH(orders[[#This Row],[Customer_Country]], Region_Map[Country], 0)), "Unknown")</f>
        <v>Central Europe</v>
      </c>
      <c r="H3505" t="s">
        <v>6949</v>
      </c>
    </row>
    <row r="3506" spans="1:8">
      <c r="A3506" t="s">
        <v>4408</v>
      </c>
      <c r="B3506" t="s">
        <v>210</v>
      </c>
      <c r="C3506" s="1">
        <v>45086</v>
      </c>
      <c r="D3506" s="1" t="str">
        <f>PROPER(orders[[#This Row],[order_priority]])</f>
        <v>Same Day</v>
      </c>
      <c r="E3506" t="s">
        <v>13322</v>
      </c>
      <c r="F3506" t="str">
        <f>IFERROR(INDEX(customers[country], MATCH(orders[[#This Row],[customer_id]], customers[customer_id], 0)), "Unmapped")</f>
        <v>Finland</v>
      </c>
      <c r="G3506" t="str">
        <f>IFERROR(INDEX(Region_Map[Region], MATCH(orders[[#This Row],[Customer_Country]], Region_Map[Country], 0)), "Unknown")</f>
        <v>Nordics</v>
      </c>
      <c r="H3506" t="s">
        <v>6949</v>
      </c>
    </row>
    <row r="3507" spans="1:8">
      <c r="A3507" t="s">
        <v>4409</v>
      </c>
      <c r="B3507" t="s">
        <v>906</v>
      </c>
      <c r="C3507" s="1">
        <v>45172</v>
      </c>
      <c r="D3507" s="1" t="str">
        <f>PROPER(orders[[#This Row],[order_priority]])</f>
        <v>Standard</v>
      </c>
      <c r="E3507" t="s">
        <v>13317</v>
      </c>
      <c r="F3507" t="str">
        <f>IFERROR(INDEX(customers[country], MATCH(orders[[#This Row],[customer_id]], customers[customer_id], 0)), "Unmapped")</f>
        <v>Sweden</v>
      </c>
      <c r="G3507" t="str">
        <f>IFERROR(INDEX(Region_Map[Region], MATCH(orders[[#This Row],[Customer_Country]], Region_Map[Country], 0)), "Unknown")</f>
        <v>Nordics</v>
      </c>
      <c r="H3507" t="s">
        <v>6949</v>
      </c>
    </row>
    <row r="3508" spans="1:8">
      <c r="A3508" t="s">
        <v>4410</v>
      </c>
      <c r="B3508" t="s">
        <v>255</v>
      </c>
      <c r="C3508" s="1">
        <v>45248</v>
      </c>
      <c r="D3508" s="1" t="str">
        <f>PROPER(orders[[#This Row],[order_priority]])</f>
        <v>Standard</v>
      </c>
      <c r="E3508" t="s">
        <v>13317</v>
      </c>
      <c r="F3508" t="str">
        <f>IFERROR(INDEX(customers[country], MATCH(orders[[#This Row],[customer_id]], customers[customer_id], 0)), "Unmapped")</f>
        <v>Sweden</v>
      </c>
      <c r="G3508" t="str">
        <f>IFERROR(INDEX(Region_Map[Region], MATCH(orders[[#This Row],[Customer_Country]], Region_Map[Country], 0)), "Unknown")</f>
        <v>Nordics</v>
      </c>
      <c r="H3508" t="s">
        <v>6949</v>
      </c>
    </row>
    <row r="3509" spans="1:8">
      <c r="A3509" t="s">
        <v>4411</v>
      </c>
      <c r="B3509" t="s">
        <v>127</v>
      </c>
      <c r="C3509" s="1">
        <v>45320</v>
      </c>
      <c r="D3509" s="1" t="str">
        <f>PROPER(orders[[#This Row],[order_priority]])</f>
        <v>Same Day</v>
      </c>
      <c r="E3509" t="s">
        <v>13322</v>
      </c>
      <c r="F3509" t="str">
        <f>IFERROR(INDEX(customers[country], MATCH(orders[[#This Row],[customer_id]], customers[customer_id], 0)), "Unmapped")</f>
        <v>Denmark</v>
      </c>
      <c r="G3509" t="str">
        <f>IFERROR(INDEX(Region_Map[Region], MATCH(orders[[#This Row],[Customer_Country]], Region_Map[Country], 0)), "Unknown")</f>
        <v>Nordics</v>
      </c>
      <c r="H3509" t="s">
        <v>6949</v>
      </c>
    </row>
    <row r="3510" spans="1:8">
      <c r="A3510" t="s">
        <v>4412</v>
      </c>
      <c r="B3510" t="s">
        <v>80</v>
      </c>
      <c r="C3510" s="1">
        <v>44989</v>
      </c>
      <c r="D3510" s="1" t="str">
        <f>PROPER(orders[[#This Row],[order_priority]])</f>
        <v>Same Day</v>
      </c>
      <c r="E3510" t="s">
        <v>13322</v>
      </c>
      <c r="F3510" t="str">
        <f>IFERROR(INDEX(customers[country], MATCH(orders[[#This Row],[customer_id]], customers[customer_id], 0)), "Unmapped")</f>
        <v>Finland</v>
      </c>
      <c r="G3510" t="str">
        <f>IFERROR(INDEX(Region_Map[Region], MATCH(orders[[#This Row],[Customer_Country]], Region_Map[Country], 0)), "Unknown")</f>
        <v>Nordics</v>
      </c>
      <c r="H3510" t="s">
        <v>6949</v>
      </c>
    </row>
    <row r="3511" spans="1:8">
      <c r="A3511" t="s">
        <v>4413</v>
      </c>
      <c r="B3511" t="s">
        <v>90</v>
      </c>
      <c r="C3511" s="1">
        <v>45316</v>
      </c>
      <c r="D3511" s="1" t="str">
        <f>PROPER(orders[[#This Row],[order_priority]])</f>
        <v>Economy</v>
      </c>
      <c r="E3511" t="s">
        <v>13325</v>
      </c>
      <c r="F3511" t="str">
        <f>IFERROR(INDEX(customers[country], MATCH(orders[[#This Row],[customer_id]], customers[customer_id], 0)), "Unmapped")</f>
        <v>Netherlands</v>
      </c>
      <c r="G3511" t="str">
        <f>IFERROR(INDEX(Region_Map[Region], MATCH(orders[[#This Row],[Customer_Country]], Region_Map[Country], 0)), "Unknown")</f>
        <v>Central Europe</v>
      </c>
      <c r="H3511" t="s">
        <v>6949</v>
      </c>
    </row>
    <row r="3512" spans="1:8">
      <c r="A3512" t="s">
        <v>4414</v>
      </c>
      <c r="B3512" t="s">
        <v>746</v>
      </c>
      <c r="C3512" s="1">
        <v>45080</v>
      </c>
      <c r="D3512" s="1" t="str">
        <f>PROPER(orders[[#This Row],[order_priority]])</f>
        <v>Standard</v>
      </c>
      <c r="E3512" t="s">
        <v>13317</v>
      </c>
      <c r="F3512" t="str">
        <f>IFERROR(INDEX(customers[country], MATCH(orders[[#This Row],[customer_id]], customers[customer_id], 0)), "Unmapped")</f>
        <v>Poland</v>
      </c>
      <c r="G3512" t="str">
        <f>IFERROR(INDEX(Region_Map[Region], MATCH(orders[[#This Row],[Customer_Country]], Region_Map[Country], 0)), "Unknown")</f>
        <v>Central Europe</v>
      </c>
      <c r="H3512" t="s">
        <v>6949</v>
      </c>
    </row>
    <row r="3513" spans="1:8">
      <c r="A3513" t="s">
        <v>4415</v>
      </c>
      <c r="B3513" t="s">
        <v>27</v>
      </c>
      <c r="C3513" s="1">
        <v>45568</v>
      </c>
      <c r="D3513" s="1" t="str">
        <f>PROPER(orders[[#This Row],[order_priority]])</f>
        <v>Standard</v>
      </c>
      <c r="E3513" t="s">
        <v>13317</v>
      </c>
      <c r="F3513" t="str">
        <f>IFERROR(INDEX(customers[country], MATCH(orders[[#This Row],[customer_id]], customers[customer_id], 0)), "Unmapped")</f>
        <v>Latvia</v>
      </c>
      <c r="G3513" t="str">
        <f>IFERROR(INDEX(Region_Map[Region], MATCH(orders[[#This Row],[Customer_Country]], Region_Map[Country], 0)), "Unknown")</f>
        <v>Baltics</v>
      </c>
      <c r="H3513" t="s">
        <v>6949</v>
      </c>
    </row>
    <row r="3514" spans="1:8">
      <c r="A3514" t="s">
        <v>4416</v>
      </c>
      <c r="B3514" t="s">
        <v>192</v>
      </c>
      <c r="C3514" s="1">
        <v>45569</v>
      </c>
      <c r="D3514" s="1" t="str">
        <f>PROPER(orders[[#This Row],[order_priority]])</f>
        <v>Same Day</v>
      </c>
      <c r="E3514" t="s">
        <v>13324</v>
      </c>
      <c r="F3514" t="str">
        <f>IFERROR(INDEX(customers[country], MATCH(orders[[#This Row],[customer_id]], customers[customer_id], 0)), "Unmapped")</f>
        <v>Estonia</v>
      </c>
      <c r="G3514" t="str">
        <f>IFERROR(INDEX(Region_Map[Region], MATCH(orders[[#This Row],[Customer_Country]], Region_Map[Country], 0)), "Unknown")</f>
        <v>Baltics</v>
      </c>
      <c r="H3514" t="s">
        <v>6949</v>
      </c>
    </row>
    <row r="3515" spans="1:8">
      <c r="A3515" t="s">
        <v>4417</v>
      </c>
      <c r="B3515" t="s">
        <v>96</v>
      </c>
      <c r="C3515" s="1">
        <v>45522</v>
      </c>
      <c r="D3515" s="1" t="str">
        <f>PROPER(orders[[#This Row],[order_priority]])</f>
        <v>Economy</v>
      </c>
      <c r="E3515" t="s">
        <v>13325</v>
      </c>
      <c r="F3515" t="str">
        <f>IFERROR(INDEX(customers[country], MATCH(orders[[#This Row],[customer_id]], customers[customer_id], 0)), "Unmapped")</f>
        <v>Sweden</v>
      </c>
      <c r="G3515" t="str">
        <f>IFERROR(INDEX(Region_Map[Region], MATCH(orders[[#This Row],[Customer_Country]], Region_Map[Country], 0)), "Unknown")</f>
        <v>Nordics</v>
      </c>
      <c r="H3515" t="s">
        <v>6949</v>
      </c>
    </row>
    <row r="3516" spans="1:8">
      <c r="A3516" t="s">
        <v>4418</v>
      </c>
      <c r="B3516" t="s">
        <v>270</v>
      </c>
      <c r="C3516" s="1">
        <v>44966</v>
      </c>
      <c r="D3516" s="1" t="str">
        <f>PROPER(orders[[#This Row],[order_priority]])</f>
        <v>Economy</v>
      </c>
      <c r="E3516" t="s">
        <v>13316</v>
      </c>
      <c r="F3516" t="str">
        <f>IFERROR(INDEX(customers[country], MATCH(orders[[#This Row],[customer_id]], customers[customer_id], 0)), "Unmapped")</f>
        <v>Poland</v>
      </c>
      <c r="G3516" t="str">
        <f>IFERROR(INDEX(Region_Map[Region], MATCH(orders[[#This Row],[Customer_Country]], Region_Map[Country], 0)), "Unknown")</f>
        <v>Central Europe</v>
      </c>
      <c r="H3516" t="s">
        <v>6949</v>
      </c>
    </row>
    <row r="3517" spans="1:8">
      <c r="A3517" t="s">
        <v>4419</v>
      </c>
      <c r="B3517" t="s">
        <v>772</v>
      </c>
      <c r="C3517" s="1">
        <v>45359</v>
      </c>
      <c r="D3517" s="1" t="str">
        <f>PROPER(orders[[#This Row],[order_priority]])</f>
        <v>Economy</v>
      </c>
      <c r="E3517" t="s">
        <v>13316</v>
      </c>
      <c r="F3517" t="str">
        <f>IFERROR(INDEX(customers[country], MATCH(orders[[#This Row],[customer_id]], customers[customer_id], 0)), "Unmapped")</f>
        <v>Estonia</v>
      </c>
      <c r="G3517" t="str">
        <f>IFERROR(INDEX(Region_Map[Region], MATCH(orders[[#This Row],[Customer_Country]], Region_Map[Country], 0)), "Unknown")</f>
        <v>Baltics</v>
      </c>
      <c r="H3517" t="s">
        <v>6949</v>
      </c>
    </row>
    <row r="3518" spans="1:8">
      <c r="A3518" t="s">
        <v>4420</v>
      </c>
      <c r="B3518" t="s">
        <v>213</v>
      </c>
      <c r="C3518" s="1">
        <v>45604</v>
      </c>
      <c r="D3518" s="1" t="str">
        <f>PROPER(orders[[#This Row],[order_priority]])</f>
        <v>Same Day</v>
      </c>
      <c r="E3518" t="s">
        <v>13322</v>
      </c>
      <c r="F3518" t="str">
        <f>IFERROR(INDEX(customers[country], MATCH(orders[[#This Row],[customer_id]], customers[customer_id], 0)), "Unmapped")</f>
        <v>Denmark</v>
      </c>
      <c r="G3518" t="str">
        <f>IFERROR(INDEX(Region_Map[Region], MATCH(orders[[#This Row],[Customer_Country]], Region_Map[Country], 0)), "Unknown")</f>
        <v>Nordics</v>
      </c>
      <c r="H3518" t="s">
        <v>6949</v>
      </c>
    </row>
    <row r="3519" spans="1:8">
      <c r="A3519" t="s">
        <v>4421</v>
      </c>
      <c r="B3519" t="s">
        <v>473</v>
      </c>
      <c r="C3519" s="1">
        <v>45620</v>
      </c>
      <c r="D3519" s="1" t="str">
        <f>PROPER(orders[[#This Row],[order_priority]])</f>
        <v>Same Day</v>
      </c>
      <c r="E3519" t="s">
        <v>13321</v>
      </c>
      <c r="F3519" t="str">
        <f>IFERROR(INDEX(customers[country], MATCH(orders[[#This Row],[customer_id]], customers[customer_id], 0)), "Unmapped")</f>
        <v>Netherlands</v>
      </c>
      <c r="G3519" t="str">
        <f>IFERROR(INDEX(Region_Map[Region], MATCH(orders[[#This Row],[Customer_Country]], Region_Map[Country], 0)), "Unknown")</f>
        <v>Central Europe</v>
      </c>
      <c r="H3519" t="s">
        <v>6949</v>
      </c>
    </row>
    <row r="3520" spans="1:8">
      <c r="A3520" t="s">
        <v>4422</v>
      </c>
      <c r="B3520" t="s">
        <v>578</v>
      </c>
      <c r="C3520" s="1">
        <v>45061</v>
      </c>
      <c r="D3520" s="1" t="str">
        <f>PROPER(orders[[#This Row],[order_priority]])</f>
        <v>Express</v>
      </c>
      <c r="E3520" t="s">
        <v>13326</v>
      </c>
      <c r="F3520" t="str">
        <f>IFERROR(INDEX(customers[country], MATCH(orders[[#This Row],[customer_id]], customers[customer_id], 0)), "Unmapped")</f>
        <v>Norway</v>
      </c>
      <c r="G3520" t="str">
        <f>IFERROR(INDEX(Region_Map[Region], MATCH(orders[[#This Row],[Customer_Country]], Region_Map[Country], 0)), "Unknown")</f>
        <v>Nordics</v>
      </c>
      <c r="H3520" t="s">
        <v>6949</v>
      </c>
    </row>
    <row r="3521" spans="1:8">
      <c r="A3521" t="s">
        <v>4423</v>
      </c>
      <c r="B3521" t="s">
        <v>569</v>
      </c>
      <c r="C3521" s="1">
        <v>45216</v>
      </c>
      <c r="D3521" s="1" t="str">
        <f>PROPER(orders[[#This Row],[order_priority]])</f>
        <v>Economy</v>
      </c>
      <c r="E3521" t="s">
        <v>13316</v>
      </c>
      <c r="F3521" t="str">
        <f>IFERROR(INDEX(customers[country], MATCH(orders[[#This Row],[customer_id]], customers[customer_id], 0)), "Unmapped")</f>
        <v>Estonia</v>
      </c>
      <c r="G3521" t="str">
        <f>IFERROR(INDEX(Region_Map[Region], MATCH(orders[[#This Row],[Customer_Country]], Region_Map[Country], 0)), "Unknown")</f>
        <v>Baltics</v>
      </c>
      <c r="H3521" t="s">
        <v>6949</v>
      </c>
    </row>
    <row r="3522" spans="1:8">
      <c r="A3522" t="s">
        <v>4424</v>
      </c>
      <c r="B3522" t="s">
        <v>434</v>
      </c>
      <c r="C3522" s="1">
        <v>45523</v>
      </c>
      <c r="D3522" s="1" t="str">
        <f>PROPER(orders[[#This Row],[order_priority]])</f>
        <v>Economy</v>
      </c>
      <c r="E3522" t="s">
        <v>13316</v>
      </c>
      <c r="F3522" t="str">
        <f>IFERROR(INDEX(customers[country], MATCH(orders[[#This Row],[customer_id]], customers[customer_id], 0)), "Unmapped")</f>
        <v>Lithuania</v>
      </c>
      <c r="G3522" t="str">
        <f>IFERROR(INDEX(Region_Map[Region], MATCH(orders[[#This Row],[Customer_Country]], Region_Map[Country], 0)), "Unknown")</f>
        <v>Baltics</v>
      </c>
      <c r="H3522" t="s">
        <v>6949</v>
      </c>
    </row>
    <row r="3523" spans="1:8">
      <c r="A3523" t="s">
        <v>4425</v>
      </c>
      <c r="B3523" t="s">
        <v>87</v>
      </c>
      <c r="C3523" s="1">
        <v>45309</v>
      </c>
      <c r="D3523" s="1" t="str">
        <f>PROPER(orders[[#This Row],[order_priority]])</f>
        <v>Economy</v>
      </c>
      <c r="E3523" t="s">
        <v>13325</v>
      </c>
      <c r="F3523" t="str">
        <f>IFERROR(INDEX(customers[country], MATCH(orders[[#This Row],[customer_id]], customers[customer_id], 0)), "Unmapped")</f>
        <v>Latvia</v>
      </c>
      <c r="G3523" t="str">
        <f>IFERROR(INDEX(Region_Map[Region], MATCH(orders[[#This Row],[Customer_Country]], Region_Map[Country], 0)), "Unknown")</f>
        <v>Baltics</v>
      </c>
      <c r="H3523" t="s">
        <v>6949</v>
      </c>
    </row>
    <row r="3524" spans="1:8">
      <c r="A3524" t="s">
        <v>2845</v>
      </c>
      <c r="B3524" t="s">
        <v>416</v>
      </c>
      <c r="C3524" s="1">
        <v>45136</v>
      </c>
      <c r="D3524" s="1" t="str">
        <f>PROPER(orders[[#This Row],[order_priority]])</f>
        <v>Same Day</v>
      </c>
      <c r="E3524" t="s">
        <v>13322</v>
      </c>
      <c r="F3524" t="str">
        <f>IFERROR(INDEX(customers[country], MATCH(orders[[#This Row],[customer_id]], customers[customer_id], 0)), "Unmapped")</f>
        <v>Denmark</v>
      </c>
      <c r="G3524" t="str">
        <f>IFERROR(INDEX(Region_Map[Region], MATCH(orders[[#This Row],[Customer_Country]], Region_Map[Country], 0)), "Unknown")</f>
        <v>Nordics</v>
      </c>
      <c r="H3524" t="s">
        <v>6949</v>
      </c>
    </row>
    <row r="3525" spans="1:8">
      <c r="A3525" t="s">
        <v>4426</v>
      </c>
      <c r="B3525" t="s">
        <v>13345</v>
      </c>
      <c r="C3525" s="1">
        <v>45125</v>
      </c>
      <c r="D3525" s="1" t="str">
        <f>PROPER(orders[[#This Row],[order_priority]])</f>
        <v>Same Day</v>
      </c>
      <c r="E3525" t="s">
        <v>13322</v>
      </c>
      <c r="F3525" t="str">
        <f>IFERROR(INDEX(customers[country], MATCH(orders[[#This Row],[customer_id]], customers[customer_id], 0)), "Unmapped")</f>
        <v>Unmapped</v>
      </c>
      <c r="G3525" t="str">
        <f>IFERROR(INDEX(Region_Map[Region], MATCH(orders[[#This Row],[Customer_Country]], Region_Map[Country], 0)), "Unknown")</f>
        <v>Unknown</v>
      </c>
      <c r="H3525" t="s">
        <v>6949</v>
      </c>
    </row>
    <row r="3526" spans="1:8">
      <c r="A3526" t="s">
        <v>4427</v>
      </c>
      <c r="B3526" t="s">
        <v>503</v>
      </c>
      <c r="C3526" s="1">
        <v>45395</v>
      </c>
      <c r="D3526" s="1" t="str">
        <f>PROPER(orders[[#This Row],[order_priority]])</f>
        <v>Express</v>
      </c>
      <c r="E3526" t="s">
        <v>13320</v>
      </c>
      <c r="F3526" t="str">
        <f>IFERROR(INDEX(customers[country], MATCH(orders[[#This Row],[customer_id]], customers[customer_id], 0)), "Unmapped")</f>
        <v>Denmark</v>
      </c>
      <c r="G3526" t="str">
        <f>IFERROR(INDEX(Region_Map[Region], MATCH(orders[[#This Row],[Customer_Country]], Region_Map[Country], 0)), "Unknown")</f>
        <v>Nordics</v>
      </c>
      <c r="H3526" t="s">
        <v>6949</v>
      </c>
    </row>
    <row r="3527" spans="1:8">
      <c r="A3527" t="s">
        <v>4428</v>
      </c>
      <c r="B3527" t="s">
        <v>371</v>
      </c>
      <c r="C3527" s="1">
        <v>44984</v>
      </c>
      <c r="D3527" s="1" t="str">
        <f>PROPER(orders[[#This Row],[order_priority]])</f>
        <v>Economy</v>
      </c>
      <c r="E3527" t="s">
        <v>13316</v>
      </c>
      <c r="F3527" t="str">
        <f>IFERROR(INDEX(customers[country], MATCH(orders[[#This Row],[customer_id]], customers[customer_id], 0)), "Unmapped")</f>
        <v>Germany</v>
      </c>
      <c r="G3527" t="str">
        <f>IFERROR(INDEX(Region_Map[Region], MATCH(orders[[#This Row],[Customer_Country]], Region_Map[Country], 0)), "Unknown")</f>
        <v>Central Europe</v>
      </c>
      <c r="H3527" t="s">
        <v>6949</v>
      </c>
    </row>
    <row r="3528" spans="1:8">
      <c r="A3528" t="s">
        <v>4429</v>
      </c>
      <c r="B3528" t="s">
        <v>198</v>
      </c>
      <c r="C3528" s="1">
        <v>45513</v>
      </c>
      <c r="D3528" s="1" t="str">
        <f>PROPER(orders[[#This Row],[order_priority]])</f>
        <v>Express</v>
      </c>
      <c r="E3528" t="s">
        <v>13318</v>
      </c>
      <c r="F3528" t="str">
        <f>IFERROR(INDEX(customers[country], MATCH(orders[[#This Row],[customer_id]], customers[customer_id], 0)), "Unmapped")</f>
        <v>Poland</v>
      </c>
      <c r="G3528" t="str">
        <f>IFERROR(INDEX(Region_Map[Region], MATCH(orders[[#This Row],[Customer_Country]], Region_Map[Country], 0)), "Unknown")</f>
        <v>Central Europe</v>
      </c>
      <c r="H3528" t="s">
        <v>6949</v>
      </c>
    </row>
    <row r="3529" spans="1:8">
      <c r="A3529" t="s">
        <v>4430</v>
      </c>
      <c r="B3529" t="s">
        <v>225</v>
      </c>
      <c r="C3529" s="1">
        <v>45243</v>
      </c>
      <c r="D3529" s="1" t="str">
        <f>PROPER(orders[[#This Row],[order_priority]])</f>
        <v>Economy</v>
      </c>
      <c r="E3529" t="s">
        <v>13316</v>
      </c>
      <c r="F3529" t="str">
        <f>IFERROR(INDEX(customers[country], MATCH(orders[[#This Row],[customer_id]], customers[customer_id], 0)), "Unmapped")</f>
        <v>Poland</v>
      </c>
      <c r="G3529" t="str">
        <f>IFERROR(INDEX(Region_Map[Region], MATCH(orders[[#This Row],[Customer_Country]], Region_Map[Country], 0)), "Unknown")</f>
        <v>Central Europe</v>
      </c>
      <c r="H3529" t="s">
        <v>6949</v>
      </c>
    </row>
    <row r="3530" spans="1:8">
      <c r="A3530" t="s">
        <v>4431</v>
      </c>
      <c r="B3530" t="s">
        <v>317</v>
      </c>
      <c r="C3530" s="1">
        <v>45424</v>
      </c>
      <c r="D3530" s="1" t="str">
        <f>PROPER(orders[[#This Row],[order_priority]])</f>
        <v>Economy</v>
      </c>
      <c r="E3530" t="s">
        <v>13316</v>
      </c>
      <c r="F3530" t="str">
        <f>IFERROR(INDEX(customers[country], MATCH(orders[[#This Row],[customer_id]], customers[customer_id], 0)), "Unmapped")</f>
        <v>Sweden</v>
      </c>
      <c r="G3530" t="str">
        <f>IFERROR(INDEX(Region_Map[Region], MATCH(orders[[#This Row],[Customer_Country]], Region_Map[Country], 0)), "Unknown")</f>
        <v>Nordics</v>
      </c>
      <c r="H3530" t="s">
        <v>6949</v>
      </c>
    </row>
    <row r="3531" spans="1:8">
      <c r="A3531" t="s">
        <v>4432</v>
      </c>
      <c r="B3531" t="s">
        <v>300</v>
      </c>
      <c r="C3531" s="1">
        <v>45556</v>
      </c>
      <c r="D3531" s="1" t="str">
        <f>PROPER(orders[[#This Row],[order_priority]])</f>
        <v>Economy</v>
      </c>
      <c r="E3531" t="s">
        <v>13316</v>
      </c>
      <c r="F3531" t="str">
        <f>IFERROR(INDEX(customers[country], MATCH(orders[[#This Row],[customer_id]], customers[customer_id], 0)), "Unmapped")</f>
        <v>Poland</v>
      </c>
      <c r="G3531" t="str">
        <f>IFERROR(INDEX(Region_Map[Region], MATCH(orders[[#This Row],[Customer_Country]], Region_Map[Country], 0)), "Unknown")</f>
        <v>Central Europe</v>
      </c>
      <c r="H3531" t="s">
        <v>6949</v>
      </c>
    </row>
    <row r="3532" spans="1:8">
      <c r="A3532" t="s">
        <v>4433</v>
      </c>
      <c r="B3532" t="s">
        <v>530</v>
      </c>
      <c r="C3532" s="1">
        <v>45198</v>
      </c>
      <c r="D3532" s="1" t="str">
        <f>PROPER(orders[[#This Row],[order_priority]])</f>
        <v>Economy</v>
      </c>
      <c r="E3532" t="s">
        <v>13316</v>
      </c>
      <c r="F3532" t="str">
        <f>IFERROR(INDEX(customers[country], MATCH(orders[[#This Row],[customer_id]], customers[customer_id], 0)), "Unmapped")</f>
        <v>Denmark</v>
      </c>
      <c r="G3532" t="str">
        <f>IFERROR(INDEX(Region_Map[Region], MATCH(orders[[#This Row],[Customer_Country]], Region_Map[Country], 0)), "Unknown")</f>
        <v>Nordics</v>
      </c>
      <c r="H3532" t="s">
        <v>6949</v>
      </c>
    </row>
    <row r="3533" spans="1:8">
      <c r="A3533" t="s">
        <v>4434</v>
      </c>
      <c r="B3533" t="s">
        <v>563</v>
      </c>
      <c r="C3533" s="1">
        <v>45622</v>
      </c>
      <c r="D3533" s="1" t="str">
        <f>PROPER(orders[[#This Row],[order_priority]])</f>
        <v>Standard</v>
      </c>
      <c r="E3533" t="s">
        <v>13323</v>
      </c>
      <c r="F3533" t="str">
        <f>IFERROR(INDEX(customers[country], MATCH(orders[[#This Row],[customer_id]], customers[customer_id], 0)), "Unmapped")</f>
        <v>Estonia</v>
      </c>
      <c r="G3533" t="str">
        <f>IFERROR(INDEX(Region_Map[Region], MATCH(orders[[#This Row],[Customer_Country]], Region_Map[Country], 0)), "Unknown")</f>
        <v>Baltics</v>
      </c>
      <c r="H3533" t="s">
        <v>6949</v>
      </c>
    </row>
    <row r="3534" spans="1:8">
      <c r="A3534" t="s">
        <v>4435</v>
      </c>
      <c r="B3534" t="s">
        <v>802</v>
      </c>
      <c r="C3534" s="1">
        <v>45193</v>
      </c>
      <c r="D3534" s="1" t="str">
        <f>PROPER(orders[[#This Row],[order_priority]])</f>
        <v>Standard</v>
      </c>
      <c r="E3534" t="s">
        <v>13317</v>
      </c>
      <c r="F3534" t="str">
        <f>IFERROR(INDEX(customers[country], MATCH(orders[[#This Row],[customer_id]], customers[customer_id], 0)), "Unmapped")</f>
        <v>Poland</v>
      </c>
      <c r="G3534" t="str">
        <f>IFERROR(INDEX(Region_Map[Region], MATCH(orders[[#This Row],[Customer_Country]], Region_Map[Country], 0)), "Unknown")</f>
        <v>Central Europe</v>
      </c>
      <c r="H3534" t="s">
        <v>6949</v>
      </c>
    </row>
    <row r="3535" spans="1:8">
      <c r="A3535" t="s">
        <v>4436</v>
      </c>
      <c r="B3535" t="s">
        <v>509</v>
      </c>
      <c r="C3535" s="1">
        <v>45492</v>
      </c>
      <c r="D3535" s="1" t="str">
        <f>PROPER(orders[[#This Row],[order_priority]])</f>
        <v>Express</v>
      </c>
      <c r="E3535" t="s">
        <v>13318</v>
      </c>
      <c r="F3535" t="str">
        <f>IFERROR(INDEX(customers[country], MATCH(orders[[#This Row],[customer_id]], customers[customer_id], 0)), "Unmapped")</f>
        <v>Sweden</v>
      </c>
      <c r="G3535" t="str">
        <f>IFERROR(INDEX(Region_Map[Region], MATCH(orders[[#This Row],[Customer_Country]], Region_Map[Country], 0)), "Unknown")</f>
        <v>Nordics</v>
      </c>
      <c r="H3535" t="s">
        <v>6949</v>
      </c>
    </row>
    <row r="3536" spans="1:8">
      <c r="A3536" t="s">
        <v>4437</v>
      </c>
      <c r="B3536" t="s">
        <v>371</v>
      </c>
      <c r="C3536" s="1">
        <v>45547</v>
      </c>
      <c r="D3536" s="1" t="str">
        <f>PROPER(orders[[#This Row],[order_priority]])</f>
        <v>Express</v>
      </c>
      <c r="E3536" t="s">
        <v>13318</v>
      </c>
      <c r="F3536" t="str">
        <f>IFERROR(INDEX(customers[country], MATCH(orders[[#This Row],[customer_id]], customers[customer_id], 0)), "Unmapped")</f>
        <v>Germany</v>
      </c>
      <c r="G3536" t="str">
        <f>IFERROR(INDEX(Region_Map[Region], MATCH(orders[[#This Row],[Customer_Country]], Region_Map[Country], 0)), "Unknown")</f>
        <v>Central Europe</v>
      </c>
      <c r="H3536" t="s">
        <v>6949</v>
      </c>
    </row>
    <row r="3537" spans="1:8">
      <c r="A3537" t="s">
        <v>4438</v>
      </c>
      <c r="B3537" t="s">
        <v>332</v>
      </c>
      <c r="C3537" s="1">
        <v>44937</v>
      </c>
      <c r="D3537" s="1" t="str">
        <f>PROPER(orders[[#This Row],[order_priority]])</f>
        <v>Standard</v>
      </c>
      <c r="E3537" t="s">
        <v>13317</v>
      </c>
      <c r="F3537" t="str">
        <f>IFERROR(INDEX(customers[country], MATCH(orders[[#This Row],[customer_id]], customers[customer_id], 0)), "Unmapped")</f>
        <v>Lithuania</v>
      </c>
      <c r="G3537" t="str">
        <f>IFERROR(INDEX(Region_Map[Region], MATCH(orders[[#This Row],[Customer_Country]], Region_Map[Country], 0)), "Unknown")</f>
        <v>Baltics</v>
      </c>
      <c r="H3537" t="s">
        <v>6949</v>
      </c>
    </row>
    <row r="3538" spans="1:8">
      <c r="A3538" t="s">
        <v>4439</v>
      </c>
      <c r="B3538" t="s">
        <v>317</v>
      </c>
      <c r="C3538" s="1">
        <v>45348</v>
      </c>
      <c r="D3538" s="1" t="str">
        <f>PROPER(orders[[#This Row],[order_priority]])</f>
        <v>Economy</v>
      </c>
      <c r="E3538" t="s">
        <v>13316</v>
      </c>
      <c r="F3538" t="str">
        <f>IFERROR(INDEX(customers[country], MATCH(orders[[#This Row],[customer_id]], customers[customer_id], 0)), "Unmapped")</f>
        <v>Sweden</v>
      </c>
      <c r="G3538" t="str">
        <f>IFERROR(INDEX(Region_Map[Region], MATCH(orders[[#This Row],[Customer_Country]], Region_Map[Country], 0)), "Unknown")</f>
        <v>Nordics</v>
      </c>
      <c r="H3538" t="s">
        <v>6949</v>
      </c>
    </row>
    <row r="3539" spans="1:8">
      <c r="A3539" t="s">
        <v>4440</v>
      </c>
      <c r="B3539" t="s">
        <v>676</v>
      </c>
      <c r="C3539" s="1">
        <v>45256</v>
      </c>
      <c r="D3539" s="1" t="str">
        <f>PROPER(orders[[#This Row],[order_priority]])</f>
        <v>Standard</v>
      </c>
      <c r="E3539" t="s">
        <v>13317</v>
      </c>
      <c r="F3539" t="str">
        <f>IFERROR(INDEX(customers[country], MATCH(orders[[#This Row],[customer_id]], customers[customer_id], 0)), "Unmapped")</f>
        <v>Latvia</v>
      </c>
      <c r="G3539" t="str">
        <f>IFERROR(INDEX(Region_Map[Region], MATCH(orders[[#This Row],[Customer_Country]], Region_Map[Country], 0)), "Unknown")</f>
        <v>Baltics</v>
      </c>
      <c r="H3539" t="s">
        <v>6949</v>
      </c>
    </row>
    <row r="3540" spans="1:8">
      <c r="A3540" t="s">
        <v>4441</v>
      </c>
      <c r="B3540" t="s">
        <v>509</v>
      </c>
      <c r="C3540" s="1">
        <v>44951</v>
      </c>
      <c r="D3540" s="1" t="str">
        <f>PROPER(orders[[#This Row],[order_priority]])</f>
        <v>Same Day</v>
      </c>
      <c r="E3540" t="s">
        <v>13322</v>
      </c>
      <c r="F3540" t="str">
        <f>IFERROR(INDEX(customers[country], MATCH(orders[[#This Row],[customer_id]], customers[customer_id], 0)), "Unmapped")</f>
        <v>Sweden</v>
      </c>
      <c r="G3540" t="str">
        <f>IFERROR(INDEX(Region_Map[Region], MATCH(orders[[#This Row],[Customer_Country]], Region_Map[Country], 0)), "Unknown")</f>
        <v>Nordics</v>
      </c>
      <c r="H3540" t="s">
        <v>6949</v>
      </c>
    </row>
    <row r="3541" spans="1:8">
      <c r="A3541" t="s">
        <v>4442</v>
      </c>
      <c r="B3541" t="s">
        <v>404</v>
      </c>
      <c r="C3541" s="1">
        <v>45536</v>
      </c>
      <c r="D3541" s="1" t="str">
        <f>PROPER(orders[[#This Row],[order_priority]])</f>
        <v>Economy</v>
      </c>
      <c r="E3541" t="s">
        <v>13316</v>
      </c>
      <c r="F3541" t="str">
        <f>IFERROR(INDEX(customers[country], MATCH(orders[[#This Row],[customer_id]], customers[customer_id], 0)), "Unmapped")</f>
        <v>Latvia</v>
      </c>
      <c r="G3541" t="str">
        <f>IFERROR(INDEX(Region_Map[Region], MATCH(orders[[#This Row],[Customer_Country]], Region_Map[Country], 0)), "Unknown")</f>
        <v>Baltics</v>
      </c>
      <c r="H3541" t="s">
        <v>6949</v>
      </c>
    </row>
    <row r="3542" spans="1:8">
      <c r="A3542" t="s">
        <v>4443</v>
      </c>
      <c r="B3542" t="s">
        <v>846</v>
      </c>
      <c r="C3542" s="1">
        <v>45626</v>
      </c>
      <c r="D3542" s="1" t="str">
        <f>PROPER(orders[[#This Row],[order_priority]])</f>
        <v>Standard</v>
      </c>
      <c r="E3542" t="s">
        <v>13323</v>
      </c>
      <c r="F3542" t="str">
        <f>IFERROR(INDEX(customers[country], MATCH(orders[[#This Row],[customer_id]], customers[customer_id], 0)), "Unmapped")</f>
        <v>Netherlands</v>
      </c>
      <c r="G3542" t="str">
        <f>IFERROR(INDEX(Region_Map[Region], MATCH(orders[[#This Row],[Customer_Country]], Region_Map[Country], 0)), "Unknown")</f>
        <v>Central Europe</v>
      </c>
      <c r="H3542" t="s">
        <v>6949</v>
      </c>
    </row>
    <row r="3543" spans="1:8">
      <c r="A3543" t="s">
        <v>4444</v>
      </c>
      <c r="B3543" t="s">
        <v>374</v>
      </c>
      <c r="C3543" s="1">
        <v>45469</v>
      </c>
      <c r="D3543" s="1" t="str">
        <f>PROPER(orders[[#This Row],[order_priority]])</f>
        <v>Express</v>
      </c>
      <c r="E3543" t="s">
        <v>13318</v>
      </c>
      <c r="F3543" t="str">
        <f>IFERROR(INDEX(customers[country], MATCH(orders[[#This Row],[customer_id]], customers[customer_id], 0)), "Unmapped")</f>
        <v>Estonia</v>
      </c>
      <c r="G3543" t="str">
        <f>IFERROR(INDEX(Region_Map[Region], MATCH(orders[[#This Row],[Customer_Country]], Region_Map[Country], 0)), "Unknown")</f>
        <v>Baltics</v>
      </c>
      <c r="H3543" t="s">
        <v>6949</v>
      </c>
    </row>
    <row r="3544" spans="1:8">
      <c r="A3544" t="s">
        <v>4445</v>
      </c>
      <c r="B3544" t="s">
        <v>195</v>
      </c>
      <c r="C3544" s="1">
        <v>45595</v>
      </c>
      <c r="D3544" s="1" t="str">
        <f>PROPER(orders[[#This Row],[order_priority]])</f>
        <v>Standard</v>
      </c>
      <c r="E3544" t="s">
        <v>13317</v>
      </c>
      <c r="F3544" t="str">
        <f>IFERROR(INDEX(customers[country], MATCH(orders[[#This Row],[customer_id]], customers[customer_id], 0)), "Unmapped")</f>
        <v>Latvia</v>
      </c>
      <c r="G3544" t="str">
        <f>IFERROR(INDEX(Region_Map[Region], MATCH(orders[[#This Row],[Customer_Country]], Region_Map[Country], 0)), "Unknown")</f>
        <v>Baltics</v>
      </c>
      <c r="H3544" t="s">
        <v>6949</v>
      </c>
    </row>
    <row r="3545" spans="1:8">
      <c r="A3545" t="s">
        <v>4446</v>
      </c>
      <c r="B3545" t="s">
        <v>341</v>
      </c>
      <c r="C3545" s="1">
        <v>45441</v>
      </c>
      <c r="D3545" s="1" t="str">
        <f>PROPER(orders[[#This Row],[order_priority]])</f>
        <v>Express</v>
      </c>
      <c r="E3545" t="s">
        <v>13318</v>
      </c>
      <c r="F3545" t="str">
        <f>IFERROR(INDEX(customers[country], MATCH(orders[[#This Row],[customer_id]], customers[customer_id], 0)), "Unmapped")</f>
        <v>Latvia</v>
      </c>
      <c r="G3545" t="str">
        <f>IFERROR(INDEX(Region_Map[Region], MATCH(orders[[#This Row],[Customer_Country]], Region_Map[Country], 0)), "Unknown")</f>
        <v>Baltics</v>
      </c>
      <c r="H3545" t="s">
        <v>6949</v>
      </c>
    </row>
    <row r="3546" spans="1:8">
      <c r="A3546" t="s">
        <v>4447</v>
      </c>
      <c r="B3546" t="s">
        <v>109</v>
      </c>
      <c r="C3546" s="1">
        <v>45468</v>
      </c>
      <c r="D3546" s="1" t="str">
        <f>PROPER(orders[[#This Row],[order_priority]])</f>
        <v>Standard</v>
      </c>
      <c r="E3546" t="s">
        <v>13317</v>
      </c>
      <c r="F3546" t="str">
        <f>IFERROR(INDEX(customers[country], MATCH(orders[[#This Row],[customer_id]], customers[customer_id], 0)), "Unmapped")</f>
        <v>Netherlands</v>
      </c>
      <c r="G3546" t="str">
        <f>IFERROR(INDEX(Region_Map[Region], MATCH(orders[[#This Row],[Customer_Country]], Region_Map[Country], 0)), "Unknown")</f>
        <v>Central Europe</v>
      </c>
      <c r="H3546" t="s">
        <v>6949</v>
      </c>
    </row>
    <row r="3547" spans="1:8">
      <c r="A3547" t="s">
        <v>4448</v>
      </c>
      <c r="B3547" t="s">
        <v>151</v>
      </c>
      <c r="C3547" s="1">
        <v>45046</v>
      </c>
      <c r="D3547" s="1" t="str">
        <f>PROPER(orders[[#This Row],[order_priority]])</f>
        <v>Express</v>
      </c>
      <c r="E3547" t="s">
        <v>13318</v>
      </c>
      <c r="F3547" t="str">
        <f>IFERROR(INDEX(customers[country], MATCH(orders[[#This Row],[customer_id]], customers[customer_id], 0)), "Unmapped")</f>
        <v>Sweden</v>
      </c>
      <c r="G3547" t="str">
        <f>IFERROR(INDEX(Region_Map[Region], MATCH(orders[[#This Row],[Customer_Country]], Region_Map[Country], 0)), "Unknown")</f>
        <v>Nordics</v>
      </c>
      <c r="H3547" t="s">
        <v>6949</v>
      </c>
    </row>
    <row r="3548" spans="1:8">
      <c r="A3548" t="s">
        <v>4449</v>
      </c>
      <c r="B3548" t="s">
        <v>805</v>
      </c>
      <c r="C3548" s="1">
        <v>45436</v>
      </c>
      <c r="D3548" s="1" t="str">
        <f>PROPER(orders[[#This Row],[order_priority]])</f>
        <v>Standard</v>
      </c>
      <c r="E3548" t="s">
        <v>13317</v>
      </c>
      <c r="F3548" t="str">
        <f>IFERROR(INDEX(customers[country], MATCH(orders[[#This Row],[customer_id]], customers[customer_id], 0)), "Unmapped")</f>
        <v>Estonia</v>
      </c>
      <c r="G3548" t="str">
        <f>IFERROR(INDEX(Region_Map[Region], MATCH(orders[[#This Row],[Customer_Country]], Region_Map[Country], 0)), "Unknown")</f>
        <v>Baltics</v>
      </c>
      <c r="H3548" t="s">
        <v>6949</v>
      </c>
    </row>
    <row r="3549" spans="1:8">
      <c r="A3549" t="s">
        <v>4450</v>
      </c>
      <c r="B3549" t="s">
        <v>506</v>
      </c>
      <c r="C3549" s="1">
        <v>45264</v>
      </c>
      <c r="D3549" s="1" t="str">
        <f>PROPER(orders[[#This Row],[order_priority]])</f>
        <v>Same Day</v>
      </c>
      <c r="E3549" t="s">
        <v>13322</v>
      </c>
      <c r="F3549" t="str">
        <f>IFERROR(INDEX(customers[country], MATCH(orders[[#This Row],[customer_id]], customers[customer_id], 0)), "Unmapped")</f>
        <v>Poland</v>
      </c>
      <c r="G3549" t="str">
        <f>IFERROR(INDEX(Region_Map[Region], MATCH(orders[[#This Row],[Customer_Country]], Region_Map[Country], 0)), "Unknown")</f>
        <v>Central Europe</v>
      </c>
      <c r="H3549" t="s">
        <v>6949</v>
      </c>
    </row>
    <row r="3550" spans="1:8">
      <c r="A3550" t="s">
        <v>4451</v>
      </c>
      <c r="B3550" t="s">
        <v>909</v>
      </c>
      <c r="C3550" s="1">
        <v>45012</v>
      </c>
      <c r="D3550" s="1" t="str">
        <f>PROPER(orders[[#This Row],[order_priority]])</f>
        <v>Economy</v>
      </c>
      <c r="E3550" t="s">
        <v>13316</v>
      </c>
      <c r="F3550" t="str">
        <f>IFERROR(INDEX(customers[country], MATCH(orders[[#This Row],[customer_id]], customers[customer_id], 0)), "Unmapped")</f>
        <v>Poland</v>
      </c>
      <c r="G3550" t="str">
        <f>IFERROR(INDEX(Region_Map[Region], MATCH(orders[[#This Row],[Customer_Country]], Region_Map[Country], 0)), "Unknown")</f>
        <v>Central Europe</v>
      </c>
      <c r="H3550" t="s">
        <v>6949</v>
      </c>
    </row>
    <row r="3551" spans="1:8">
      <c r="A3551" t="s">
        <v>4452</v>
      </c>
      <c r="B3551" t="s">
        <v>602</v>
      </c>
      <c r="C3551" s="1">
        <v>44973</v>
      </c>
      <c r="D3551" s="1" t="str">
        <f>PROPER(orders[[#This Row],[order_priority]])</f>
        <v>Economy</v>
      </c>
      <c r="E3551" t="s">
        <v>13316</v>
      </c>
      <c r="F3551" t="str">
        <f>IFERROR(INDEX(customers[country], MATCH(orders[[#This Row],[customer_id]], customers[customer_id], 0)), "Unmapped")</f>
        <v>Poland</v>
      </c>
      <c r="G3551" t="str">
        <f>IFERROR(INDEX(Region_Map[Region], MATCH(orders[[#This Row],[Customer_Country]], Region_Map[Country], 0)), "Unknown")</f>
        <v>Central Europe</v>
      </c>
      <c r="H3551" t="s">
        <v>6949</v>
      </c>
    </row>
    <row r="3552" spans="1:8">
      <c r="A3552" t="s">
        <v>4453</v>
      </c>
      <c r="B3552" t="s">
        <v>658</v>
      </c>
      <c r="C3552" s="1">
        <v>45205</v>
      </c>
      <c r="D3552" s="1" t="str">
        <f>PROPER(orders[[#This Row],[order_priority]])</f>
        <v>Same Day</v>
      </c>
      <c r="E3552" t="s">
        <v>13322</v>
      </c>
      <c r="F3552" t="str">
        <f>IFERROR(INDEX(customers[country], MATCH(orders[[#This Row],[customer_id]], customers[customer_id], 0)), "Unmapped")</f>
        <v>Latvia</v>
      </c>
      <c r="G3552" t="str">
        <f>IFERROR(INDEX(Region_Map[Region], MATCH(orders[[#This Row],[Customer_Country]], Region_Map[Country], 0)), "Unknown")</f>
        <v>Baltics</v>
      </c>
      <c r="H3552" t="s">
        <v>6949</v>
      </c>
    </row>
    <row r="3553" spans="1:8">
      <c r="A3553" t="s">
        <v>4454</v>
      </c>
      <c r="B3553" t="s">
        <v>554</v>
      </c>
      <c r="C3553" s="1">
        <v>45621</v>
      </c>
      <c r="D3553" s="1" t="str">
        <f>PROPER(orders[[#This Row],[order_priority]])</f>
        <v>Standard</v>
      </c>
      <c r="E3553" t="s">
        <v>13317</v>
      </c>
      <c r="F3553" t="str">
        <f>IFERROR(INDEX(customers[country], MATCH(orders[[#This Row],[customer_id]], customers[customer_id], 0)), "Unmapped")</f>
        <v>Germany</v>
      </c>
      <c r="G3553" t="str">
        <f>IFERROR(INDEX(Region_Map[Region], MATCH(orders[[#This Row],[Customer_Country]], Region_Map[Country], 0)), "Unknown")</f>
        <v>Central Europe</v>
      </c>
      <c r="H3553" t="s">
        <v>6949</v>
      </c>
    </row>
    <row r="3554" spans="1:8">
      <c r="A3554" t="s">
        <v>4455</v>
      </c>
      <c r="B3554" t="s">
        <v>882</v>
      </c>
      <c r="C3554" s="1">
        <v>45100</v>
      </c>
      <c r="D3554" s="1" t="str">
        <f>PROPER(orders[[#This Row],[order_priority]])</f>
        <v>Express</v>
      </c>
      <c r="E3554" t="s">
        <v>13318</v>
      </c>
      <c r="F3554" t="str">
        <f>IFERROR(INDEX(customers[country], MATCH(orders[[#This Row],[customer_id]], customers[customer_id], 0)), "Unmapped")</f>
        <v>Netherlands</v>
      </c>
      <c r="G3554" t="str">
        <f>IFERROR(INDEX(Region_Map[Region], MATCH(orders[[#This Row],[Customer_Country]], Region_Map[Country], 0)), "Unknown")</f>
        <v>Central Europe</v>
      </c>
      <c r="H3554" t="s">
        <v>6949</v>
      </c>
    </row>
    <row r="3555" spans="1:8">
      <c r="A3555" t="s">
        <v>4456</v>
      </c>
      <c r="B3555" t="s">
        <v>596</v>
      </c>
      <c r="C3555" s="1">
        <v>45074</v>
      </c>
      <c r="D3555" s="1" t="str">
        <f>PROPER(orders[[#This Row],[order_priority]])</f>
        <v>Express</v>
      </c>
      <c r="E3555" t="s">
        <v>13326</v>
      </c>
      <c r="F3555" t="str">
        <f>IFERROR(INDEX(customers[country], MATCH(orders[[#This Row],[customer_id]], customers[customer_id], 0)), "Unmapped")</f>
        <v>Lithuania</v>
      </c>
      <c r="G3555" t="str">
        <f>IFERROR(INDEX(Region_Map[Region], MATCH(orders[[#This Row],[Customer_Country]], Region_Map[Country], 0)), "Unknown")</f>
        <v>Baltics</v>
      </c>
      <c r="H3555" t="s">
        <v>6949</v>
      </c>
    </row>
    <row r="3556" spans="1:8">
      <c r="A3556" t="s">
        <v>4457</v>
      </c>
      <c r="B3556" t="s">
        <v>374</v>
      </c>
      <c r="C3556" s="1">
        <v>45609</v>
      </c>
      <c r="D3556" s="1" t="str">
        <f>PROPER(orders[[#This Row],[order_priority]])</f>
        <v>Standard</v>
      </c>
      <c r="E3556" t="s">
        <v>13317</v>
      </c>
      <c r="F3556" t="str">
        <f>IFERROR(INDEX(customers[country], MATCH(orders[[#This Row],[customer_id]], customers[customer_id], 0)), "Unmapped")</f>
        <v>Estonia</v>
      </c>
      <c r="G3556" t="str">
        <f>IFERROR(INDEX(Region_Map[Region], MATCH(orders[[#This Row],[Customer_Country]], Region_Map[Country], 0)), "Unknown")</f>
        <v>Baltics</v>
      </c>
      <c r="H3556" t="s">
        <v>6949</v>
      </c>
    </row>
    <row r="3557" spans="1:8">
      <c r="A3557" t="s">
        <v>4458</v>
      </c>
      <c r="B3557" t="s">
        <v>608</v>
      </c>
      <c r="C3557" s="1">
        <v>45512</v>
      </c>
      <c r="D3557" s="1" t="str">
        <f>PROPER(orders[[#This Row],[order_priority]])</f>
        <v>Economy</v>
      </c>
      <c r="E3557" t="s">
        <v>13316</v>
      </c>
      <c r="F3557" t="str">
        <f>IFERROR(INDEX(customers[country], MATCH(orders[[#This Row],[customer_id]], customers[customer_id], 0)), "Unmapped")</f>
        <v>Finland</v>
      </c>
      <c r="G3557" t="str">
        <f>IFERROR(INDEX(Region_Map[Region], MATCH(orders[[#This Row],[Customer_Country]], Region_Map[Country], 0)), "Unknown")</f>
        <v>Nordics</v>
      </c>
      <c r="H3557" t="s">
        <v>6949</v>
      </c>
    </row>
    <row r="3558" spans="1:8">
      <c r="A3558" t="s">
        <v>4459</v>
      </c>
      <c r="B3558" t="s">
        <v>605</v>
      </c>
      <c r="C3558" s="1">
        <v>45511</v>
      </c>
      <c r="D3558" s="1" t="str">
        <f>PROPER(orders[[#This Row],[order_priority]])</f>
        <v>Standard</v>
      </c>
      <c r="E3558" t="s">
        <v>13317</v>
      </c>
      <c r="F3558" t="str">
        <f>IFERROR(INDEX(customers[country], MATCH(orders[[#This Row],[customer_id]], customers[customer_id], 0)), "Unmapped")</f>
        <v>Lithuania</v>
      </c>
      <c r="G3558" t="str">
        <f>IFERROR(INDEX(Region_Map[Region], MATCH(orders[[#This Row],[Customer_Country]], Region_Map[Country], 0)), "Unknown")</f>
        <v>Baltics</v>
      </c>
      <c r="H3558" t="s">
        <v>6949</v>
      </c>
    </row>
    <row r="3559" spans="1:8">
      <c r="A3559" t="s">
        <v>4460</v>
      </c>
      <c r="B3559" t="s">
        <v>894</v>
      </c>
      <c r="C3559" s="1">
        <v>45305</v>
      </c>
      <c r="D3559" s="1" t="str">
        <f>PROPER(orders[[#This Row],[order_priority]])</f>
        <v>Economy</v>
      </c>
      <c r="E3559" t="s">
        <v>13316</v>
      </c>
      <c r="F3559" t="str">
        <f>IFERROR(INDEX(customers[country], MATCH(orders[[#This Row],[customer_id]], customers[customer_id], 0)), "Unmapped")</f>
        <v>Poland</v>
      </c>
      <c r="G3559" t="str">
        <f>IFERROR(INDEX(Region_Map[Region], MATCH(orders[[#This Row],[Customer_Country]], Region_Map[Country], 0)), "Unknown")</f>
        <v>Central Europe</v>
      </c>
      <c r="H3559" t="s">
        <v>6949</v>
      </c>
    </row>
    <row r="3560" spans="1:8">
      <c r="A3560" t="s">
        <v>4461</v>
      </c>
      <c r="B3560" t="s">
        <v>386</v>
      </c>
      <c r="C3560" s="1">
        <v>44937</v>
      </c>
      <c r="D3560" s="1" t="str">
        <f>PROPER(orders[[#This Row],[order_priority]])</f>
        <v>Economy</v>
      </c>
      <c r="E3560" t="s">
        <v>13328</v>
      </c>
      <c r="F3560" t="str">
        <f>IFERROR(INDEX(customers[country], MATCH(orders[[#This Row],[customer_id]], customers[customer_id], 0)), "Unmapped")</f>
        <v>Germany</v>
      </c>
      <c r="G3560" t="str">
        <f>IFERROR(INDEX(Region_Map[Region], MATCH(orders[[#This Row],[Customer_Country]], Region_Map[Country], 0)), "Unknown")</f>
        <v>Central Europe</v>
      </c>
      <c r="H3560" t="s">
        <v>6949</v>
      </c>
    </row>
    <row r="3561" spans="1:8">
      <c r="A3561" t="s">
        <v>4462</v>
      </c>
      <c r="B3561" t="s">
        <v>267</v>
      </c>
      <c r="C3561" s="1">
        <v>45385</v>
      </c>
      <c r="D3561" s="1" t="str">
        <f>PROPER(orders[[#This Row],[order_priority]])</f>
        <v>Economy</v>
      </c>
      <c r="E3561" t="s">
        <v>13328</v>
      </c>
      <c r="F3561" t="str">
        <f>IFERROR(INDEX(customers[country], MATCH(orders[[#This Row],[customer_id]], customers[customer_id], 0)), "Unmapped")</f>
        <v>Norway</v>
      </c>
      <c r="G3561" t="str">
        <f>IFERROR(INDEX(Region_Map[Region], MATCH(orders[[#This Row],[Customer_Country]], Region_Map[Country], 0)), "Unknown")</f>
        <v>Nordics</v>
      </c>
      <c r="H3561" t="s">
        <v>6949</v>
      </c>
    </row>
    <row r="3562" spans="1:8">
      <c r="A3562" t="s">
        <v>4463</v>
      </c>
      <c r="B3562" t="s">
        <v>347</v>
      </c>
      <c r="C3562" s="1">
        <v>44949</v>
      </c>
      <c r="D3562" s="1" t="str">
        <f>PROPER(orders[[#This Row],[order_priority]])</f>
        <v>Economy</v>
      </c>
      <c r="E3562" t="s">
        <v>13316</v>
      </c>
      <c r="F3562" t="str">
        <f>IFERROR(INDEX(customers[country], MATCH(orders[[#This Row],[customer_id]], customers[customer_id], 0)), "Unmapped")</f>
        <v>Norway</v>
      </c>
      <c r="G3562" t="str">
        <f>IFERROR(INDEX(Region_Map[Region], MATCH(orders[[#This Row],[Customer_Country]], Region_Map[Country], 0)), "Unknown")</f>
        <v>Nordics</v>
      </c>
      <c r="H3562" t="s">
        <v>6949</v>
      </c>
    </row>
    <row r="3563" spans="1:8">
      <c r="A3563" t="s">
        <v>4464</v>
      </c>
      <c r="B3563" t="s">
        <v>309</v>
      </c>
      <c r="C3563" s="1">
        <v>45013</v>
      </c>
      <c r="D3563" s="1" t="str">
        <f>PROPER(orders[[#This Row],[order_priority]])</f>
        <v>Express</v>
      </c>
      <c r="E3563" t="s">
        <v>13320</v>
      </c>
      <c r="F3563" t="str">
        <f>IFERROR(INDEX(customers[country], MATCH(orders[[#This Row],[customer_id]], customers[customer_id], 0)), "Unmapped")</f>
        <v>Lithuania</v>
      </c>
      <c r="G3563" t="str">
        <f>IFERROR(INDEX(Region_Map[Region], MATCH(orders[[#This Row],[Customer_Country]], Region_Map[Country], 0)), "Unknown")</f>
        <v>Baltics</v>
      </c>
      <c r="H3563" t="s">
        <v>6949</v>
      </c>
    </row>
    <row r="3564" spans="1:8">
      <c r="A3564" t="s">
        <v>4465</v>
      </c>
      <c r="B3564" t="s">
        <v>620</v>
      </c>
      <c r="C3564" s="1">
        <v>45304</v>
      </c>
      <c r="D3564" s="1" t="str">
        <f>PROPER(orders[[#This Row],[order_priority]])</f>
        <v>Same Day</v>
      </c>
      <c r="E3564" t="s">
        <v>13322</v>
      </c>
      <c r="F3564" t="str">
        <f>IFERROR(INDEX(customers[country], MATCH(orders[[#This Row],[customer_id]], customers[customer_id], 0)), "Unmapped")</f>
        <v>Latvia</v>
      </c>
      <c r="G3564" t="str">
        <f>IFERROR(INDEX(Region_Map[Region], MATCH(orders[[#This Row],[Customer_Country]], Region_Map[Country], 0)), "Unknown")</f>
        <v>Baltics</v>
      </c>
      <c r="H3564" t="s">
        <v>6949</v>
      </c>
    </row>
    <row r="3565" spans="1:8">
      <c r="A3565" t="s">
        <v>4466</v>
      </c>
      <c r="B3565" t="s">
        <v>237</v>
      </c>
      <c r="C3565" s="1">
        <v>45523</v>
      </c>
      <c r="D3565" s="1" t="str">
        <f>PROPER(orders[[#This Row],[order_priority]])</f>
        <v>Standard</v>
      </c>
      <c r="E3565" t="s">
        <v>13317</v>
      </c>
      <c r="F3565" t="str">
        <f>IFERROR(INDEX(customers[country], MATCH(orders[[#This Row],[customer_id]], customers[customer_id], 0)), "Unmapped")</f>
        <v>Sweden</v>
      </c>
      <c r="G3565" t="str">
        <f>IFERROR(INDEX(Region_Map[Region], MATCH(orders[[#This Row],[Customer_Country]], Region_Map[Country], 0)), "Unknown")</f>
        <v>Nordics</v>
      </c>
      <c r="H3565" t="s">
        <v>6949</v>
      </c>
    </row>
    <row r="3566" spans="1:8">
      <c r="A3566" t="s">
        <v>4467</v>
      </c>
      <c r="B3566" t="s">
        <v>133</v>
      </c>
      <c r="C3566" s="1">
        <v>45251</v>
      </c>
      <c r="D3566" s="1" t="str">
        <f>PROPER(orders[[#This Row],[order_priority]])</f>
        <v>Express</v>
      </c>
      <c r="E3566" t="s">
        <v>13318</v>
      </c>
      <c r="F3566" t="str">
        <f>IFERROR(INDEX(customers[country], MATCH(orders[[#This Row],[customer_id]], customers[customer_id], 0)), "Unmapped")</f>
        <v>Finland</v>
      </c>
      <c r="G3566" t="str">
        <f>IFERROR(INDEX(Region_Map[Region], MATCH(orders[[#This Row],[Customer_Country]], Region_Map[Country], 0)), "Unknown")</f>
        <v>Nordics</v>
      </c>
      <c r="H3566" t="s">
        <v>6949</v>
      </c>
    </row>
    <row r="3567" spans="1:8">
      <c r="A3567" t="s">
        <v>4468</v>
      </c>
      <c r="B3567" t="s">
        <v>237</v>
      </c>
      <c r="C3567" s="1">
        <v>45174</v>
      </c>
      <c r="D3567" s="1" t="str">
        <f>PROPER(orders[[#This Row],[order_priority]])</f>
        <v>Same Day</v>
      </c>
      <c r="E3567" t="s">
        <v>13322</v>
      </c>
      <c r="F3567" t="str">
        <f>IFERROR(INDEX(customers[country], MATCH(orders[[#This Row],[customer_id]], customers[customer_id], 0)), "Unmapped")</f>
        <v>Sweden</v>
      </c>
      <c r="G3567" t="str">
        <f>IFERROR(INDEX(Region_Map[Region], MATCH(orders[[#This Row],[Customer_Country]], Region_Map[Country], 0)), "Unknown")</f>
        <v>Nordics</v>
      </c>
      <c r="H3567" t="s">
        <v>6949</v>
      </c>
    </row>
    <row r="3568" spans="1:8">
      <c r="A3568" t="s">
        <v>4469</v>
      </c>
      <c r="B3568" t="s">
        <v>362</v>
      </c>
      <c r="C3568" s="1">
        <v>44957</v>
      </c>
      <c r="D3568" s="1" t="str">
        <f>PROPER(orders[[#This Row],[order_priority]])</f>
        <v>Express</v>
      </c>
      <c r="E3568" t="s">
        <v>13318</v>
      </c>
      <c r="F3568" t="str">
        <f>IFERROR(INDEX(customers[country], MATCH(orders[[#This Row],[customer_id]], customers[customer_id], 0)), "Unmapped")</f>
        <v>Denmark</v>
      </c>
      <c r="G3568" t="str">
        <f>IFERROR(INDEX(Region_Map[Region], MATCH(orders[[#This Row],[Customer_Country]], Region_Map[Country], 0)), "Unknown")</f>
        <v>Nordics</v>
      </c>
      <c r="H3568" t="s">
        <v>6949</v>
      </c>
    </row>
    <row r="3569" spans="1:8">
      <c r="A3569" t="s">
        <v>4470</v>
      </c>
      <c r="B3569" t="s">
        <v>440</v>
      </c>
      <c r="C3569" s="1">
        <v>44995</v>
      </c>
      <c r="D3569" s="1" t="str">
        <f>PROPER(orders[[#This Row],[order_priority]])</f>
        <v>Express</v>
      </c>
      <c r="E3569" t="s">
        <v>13318</v>
      </c>
      <c r="F3569" t="str">
        <f>IFERROR(INDEX(customers[country], MATCH(orders[[#This Row],[customer_id]], customers[customer_id], 0)), "Unmapped")</f>
        <v>Poland</v>
      </c>
      <c r="G3569" t="str">
        <f>IFERROR(INDEX(Region_Map[Region], MATCH(orders[[#This Row],[Customer_Country]], Region_Map[Country], 0)), "Unknown")</f>
        <v>Central Europe</v>
      </c>
      <c r="H3569" t="s">
        <v>6949</v>
      </c>
    </row>
    <row r="3570" spans="1:8">
      <c r="A3570" t="s">
        <v>4471</v>
      </c>
      <c r="B3570" t="s">
        <v>112</v>
      </c>
      <c r="C3570" s="1">
        <v>45227</v>
      </c>
      <c r="D3570" s="1" t="str">
        <f>PROPER(orders[[#This Row],[order_priority]])</f>
        <v>Same Day</v>
      </c>
      <c r="E3570" t="s">
        <v>13322</v>
      </c>
      <c r="F3570" t="str">
        <f>IFERROR(INDEX(customers[country], MATCH(orders[[#This Row],[customer_id]], customers[customer_id], 0)), "Unmapped")</f>
        <v>Finland</v>
      </c>
      <c r="G3570" t="str">
        <f>IFERROR(INDEX(Region_Map[Region], MATCH(orders[[#This Row],[Customer_Country]], Region_Map[Country], 0)), "Unknown")</f>
        <v>Nordics</v>
      </c>
      <c r="H3570" t="s">
        <v>6949</v>
      </c>
    </row>
    <row r="3571" spans="1:8">
      <c r="A3571" t="s">
        <v>4472</v>
      </c>
      <c r="B3571" t="s">
        <v>419</v>
      </c>
      <c r="C3571" s="1">
        <v>45611</v>
      </c>
      <c r="D3571" s="1" t="str">
        <f>PROPER(orders[[#This Row],[order_priority]])</f>
        <v>Standard</v>
      </c>
      <c r="E3571" t="s">
        <v>13317</v>
      </c>
      <c r="F3571" t="str">
        <f>IFERROR(INDEX(customers[country], MATCH(orders[[#This Row],[customer_id]], customers[customer_id], 0)), "Unmapped")</f>
        <v>Estonia</v>
      </c>
      <c r="G3571" t="str">
        <f>IFERROR(INDEX(Region_Map[Region], MATCH(orders[[#This Row],[Customer_Country]], Region_Map[Country], 0)), "Unknown")</f>
        <v>Baltics</v>
      </c>
      <c r="H3571" t="s">
        <v>6949</v>
      </c>
    </row>
    <row r="3572" spans="1:8">
      <c r="A3572" t="s">
        <v>4473</v>
      </c>
      <c r="B3572" t="s">
        <v>849</v>
      </c>
      <c r="C3572" s="1">
        <v>45245</v>
      </c>
      <c r="D3572" s="1" t="str">
        <f>PROPER(orders[[#This Row],[order_priority]])</f>
        <v>Same Day</v>
      </c>
      <c r="E3572" t="s">
        <v>13322</v>
      </c>
      <c r="F3572" t="str">
        <f>IFERROR(INDEX(customers[country], MATCH(orders[[#This Row],[customer_id]], customers[customer_id], 0)), "Unmapped")</f>
        <v>Lithuania</v>
      </c>
      <c r="G3572" t="str">
        <f>IFERROR(INDEX(Region_Map[Region], MATCH(orders[[#This Row],[Customer_Country]], Region_Map[Country], 0)), "Unknown")</f>
        <v>Baltics</v>
      </c>
      <c r="H3572" t="s">
        <v>6949</v>
      </c>
    </row>
    <row r="3573" spans="1:8">
      <c r="A3573" t="s">
        <v>4474</v>
      </c>
      <c r="B3573" t="s">
        <v>491</v>
      </c>
      <c r="C3573" s="1">
        <v>45299</v>
      </c>
      <c r="D3573" s="1" t="str">
        <f>PROPER(orders[[#This Row],[order_priority]])</f>
        <v>Same Day</v>
      </c>
      <c r="E3573" t="s">
        <v>13322</v>
      </c>
      <c r="F3573" t="str">
        <f>IFERROR(INDEX(customers[country], MATCH(orders[[#This Row],[customer_id]], customers[customer_id], 0)), "Unmapped")</f>
        <v>Latvia</v>
      </c>
      <c r="G3573" t="str">
        <f>IFERROR(INDEX(Region_Map[Region], MATCH(orders[[#This Row],[Customer_Country]], Region_Map[Country], 0)), "Unknown")</f>
        <v>Baltics</v>
      </c>
      <c r="H3573" t="s">
        <v>6949</v>
      </c>
    </row>
    <row r="3574" spans="1:8">
      <c r="A3574" t="s">
        <v>4475</v>
      </c>
      <c r="B3574" t="s">
        <v>323</v>
      </c>
      <c r="C3574" s="1">
        <v>45130</v>
      </c>
      <c r="D3574" s="1" t="str">
        <f>PROPER(orders[[#This Row],[order_priority]])</f>
        <v>Same Day</v>
      </c>
      <c r="E3574" t="s">
        <v>13322</v>
      </c>
      <c r="F3574" t="str">
        <f>IFERROR(INDEX(customers[country], MATCH(orders[[#This Row],[customer_id]], customers[customer_id], 0)), "Unmapped")</f>
        <v>Estonia</v>
      </c>
      <c r="G3574" t="str">
        <f>IFERROR(INDEX(Region_Map[Region], MATCH(orders[[#This Row],[Customer_Country]], Region_Map[Country], 0)), "Unknown")</f>
        <v>Baltics</v>
      </c>
      <c r="H3574" t="s">
        <v>6949</v>
      </c>
    </row>
    <row r="3575" spans="1:8">
      <c r="A3575" t="s">
        <v>4476</v>
      </c>
      <c r="B3575" t="s">
        <v>661</v>
      </c>
      <c r="C3575" s="1">
        <v>45537</v>
      </c>
      <c r="D3575" s="1" t="str">
        <f>PROPER(orders[[#This Row],[order_priority]])</f>
        <v>Standard</v>
      </c>
      <c r="E3575" t="s">
        <v>13317</v>
      </c>
      <c r="F3575" t="str">
        <f>IFERROR(INDEX(customers[country], MATCH(orders[[#This Row],[customer_id]], customers[customer_id], 0)), "Unmapped")</f>
        <v>Lithuania</v>
      </c>
      <c r="G3575" t="str">
        <f>IFERROR(INDEX(Region_Map[Region], MATCH(orders[[#This Row],[Customer_Country]], Region_Map[Country], 0)), "Unknown")</f>
        <v>Baltics</v>
      </c>
      <c r="H3575" t="s">
        <v>6949</v>
      </c>
    </row>
    <row r="3576" spans="1:8">
      <c r="A3576" t="s">
        <v>4477</v>
      </c>
      <c r="B3576" t="s">
        <v>314</v>
      </c>
      <c r="C3576" s="1">
        <v>45591</v>
      </c>
      <c r="D3576" s="1" t="str">
        <f>PROPER(orders[[#This Row],[order_priority]])</f>
        <v>Economy</v>
      </c>
      <c r="E3576" t="s">
        <v>13316</v>
      </c>
      <c r="F3576" t="str">
        <f>IFERROR(INDEX(customers[country], MATCH(orders[[#This Row],[customer_id]], customers[customer_id], 0)), "Unmapped")</f>
        <v>Poland</v>
      </c>
      <c r="G3576" t="str">
        <f>IFERROR(INDEX(Region_Map[Region], MATCH(orders[[#This Row],[Customer_Country]], Region_Map[Country], 0)), "Unknown")</f>
        <v>Central Europe</v>
      </c>
      <c r="H3576" t="s">
        <v>6949</v>
      </c>
    </row>
    <row r="3577" spans="1:8">
      <c r="A3577" t="s">
        <v>4478</v>
      </c>
      <c r="B3577" t="s">
        <v>551</v>
      </c>
      <c r="C3577" s="1">
        <v>45395</v>
      </c>
      <c r="D3577" s="1" t="str">
        <f>PROPER(orders[[#This Row],[order_priority]])</f>
        <v>Standard</v>
      </c>
      <c r="E3577" t="s">
        <v>13317</v>
      </c>
      <c r="F3577" t="str">
        <f>IFERROR(INDEX(customers[country], MATCH(orders[[#This Row],[customer_id]], customers[customer_id], 0)), "Unmapped")</f>
        <v>Latvia</v>
      </c>
      <c r="G3577" t="str">
        <f>IFERROR(INDEX(Region_Map[Region], MATCH(orders[[#This Row],[Customer_Country]], Region_Map[Country], 0)), "Unknown")</f>
        <v>Baltics</v>
      </c>
      <c r="H3577" t="s">
        <v>6949</v>
      </c>
    </row>
    <row r="3578" spans="1:8">
      <c r="A3578" t="s">
        <v>4479</v>
      </c>
      <c r="B3578" t="s">
        <v>130</v>
      </c>
      <c r="C3578" s="1">
        <v>45274</v>
      </c>
      <c r="D3578" s="1" t="str">
        <f>PROPER(orders[[#This Row],[order_priority]])</f>
        <v>Express</v>
      </c>
      <c r="E3578" t="s">
        <v>13318</v>
      </c>
      <c r="F3578" t="str">
        <f>IFERROR(INDEX(customers[country], MATCH(orders[[#This Row],[customer_id]], customers[customer_id], 0)), "Unmapped")</f>
        <v>Latvia</v>
      </c>
      <c r="G3578" t="str">
        <f>IFERROR(INDEX(Region_Map[Region], MATCH(orders[[#This Row],[Customer_Country]], Region_Map[Country], 0)), "Unknown")</f>
        <v>Baltics</v>
      </c>
      <c r="H3578" t="s">
        <v>6949</v>
      </c>
    </row>
    <row r="3579" spans="1:8">
      <c r="A3579" t="s">
        <v>4480</v>
      </c>
      <c r="B3579" t="s">
        <v>77</v>
      </c>
      <c r="C3579" s="1">
        <v>45553</v>
      </c>
      <c r="D3579" s="1" t="str">
        <f>PROPER(orders[[#This Row],[order_priority]])</f>
        <v>Same Day</v>
      </c>
      <c r="E3579" t="s">
        <v>13322</v>
      </c>
      <c r="F3579" t="str">
        <f>IFERROR(INDEX(customers[country], MATCH(orders[[#This Row],[customer_id]], customers[customer_id], 0)), "Unmapped")</f>
        <v>Lithuania</v>
      </c>
      <c r="G3579" t="str">
        <f>IFERROR(INDEX(Region_Map[Region], MATCH(orders[[#This Row],[Customer_Country]], Region_Map[Country], 0)), "Unknown")</f>
        <v>Baltics</v>
      </c>
      <c r="H3579" t="s">
        <v>6949</v>
      </c>
    </row>
    <row r="3580" spans="1:8">
      <c r="A3580" t="s">
        <v>4481</v>
      </c>
      <c r="B3580" t="s">
        <v>443</v>
      </c>
      <c r="C3580" s="1">
        <v>45529</v>
      </c>
      <c r="D3580" s="1" t="str">
        <f>PROPER(orders[[#This Row],[order_priority]])</f>
        <v>Standard</v>
      </c>
      <c r="E3580" t="s">
        <v>13317</v>
      </c>
      <c r="F3580" t="str">
        <f>IFERROR(INDEX(customers[country], MATCH(orders[[#This Row],[customer_id]], customers[customer_id], 0)), "Unmapped")</f>
        <v>Estonia</v>
      </c>
      <c r="G3580" t="str">
        <f>IFERROR(INDEX(Region_Map[Region], MATCH(orders[[#This Row],[Customer_Country]], Region_Map[Country], 0)), "Unknown")</f>
        <v>Baltics</v>
      </c>
      <c r="H3580" t="s">
        <v>6949</v>
      </c>
    </row>
    <row r="3581" spans="1:8">
      <c r="A3581" t="s">
        <v>4482</v>
      </c>
      <c r="B3581" t="s">
        <v>437</v>
      </c>
      <c r="C3581" s="1">
        <v>45314</v>
      </c>
      <c r="D3581" s="1" t="str">
        <f>PROPER(orders[[#This Row],[order_priority]])</f>
        <v>Standard</v>
      </c>
      <c r="E3581" t="s">
        <v>13317</v>
      </c>
      <c r="F3581" t="str">
        <f>IFERROR(INDEX(customers[country], MATCH(orders[[#This Row],[customer_id]], customers[customer_id], 0)), "Unmapped")</f>
        <v>Lithuania</v>
      </c>
      <c r="G3581" t="str">
        <f>IFERROR(INDEX(Region_Map[Region], MATCH(orders[[#This Row],[Customer_Country]], Region_Map[Country], 0)), "Unknown")</f>
        <v>Baltics</v>
      </c>
      <c r="H3581" t="s">
        <v>6949</v>
      </c>
    </row>
    <row r="3582" spans="1:8">
      <c r="A3582" t="s">
        <v>4483</v>
      </c>
      <c r="B3582" t="s">
        <v>825</v>
      </c>
      <c r="C3582" s="1">
        <v>45496</v>
      </c>
      <c r="D3582" s="1" t="str">
        <f>PROPER(orders[[#This Row],[order_priority]])</f>
        <v>Express</v>
      </c>
      <c r="E3582" t="s">
        <v>13318</v>
      </c>
      <c r="F3582" t="str">
        <f>IFERROR(INDEX(customers[country], MATCH(orders[[#This Row],[customer_id]], customers[customer_id], 0)), "Unmapped")</f>
        <v>Latvia</v>
      </c>
      <c r="G3582" t="str">
        <f>IFERROR(INDEX(Region_Map[Region], MATCH(orders[[#This Row],[Customer_Country]], Region_Map[Country], 0)), "Unknown")</f>
        <v>Baltics</v>
      </c>
      <c r="H3582" t="s">
        <v>6949</v>
      </c>
    </row>
    <row r="3583" spans="1:8">
      <c r="A3583" t="s">
        <v>4484</v>
      </c>
      <c r="B3583" t="s">
        <v>297</v>
      </c>
      <c r="C3583" s="1">
        <v>45027</v>
      </c>
      <c r="D3583" s="1" t="str">
        <f>PROPER(orders[[#This Row],[order_priority]])</f>
        <v>Standard</v>
      </c>
      <c r="E3583" t="s">
        <v>13317</v>
      </c>
      <c r="F3583" t="str">
        <f>IFERROR(INDEX(customers[country], MATCH(orders[[#This Row],[customer_id]], customers[customer_id], 0)), "Unmapped")</f>
        <v>Poland</v>
      </c>
      <c r="G3583" t="str">
        <f>IFERROR(INDEX(Region_Map[Region], MATCH(orders[[#This Row],[Customer_Country]], Region_Map[Country], 0)), "Unknown")</f>
        <v>Central Europe</v>
      </c>
      <c r="H3583" t="s">
        <v>6949</v>
      </c>
    </row>
    <row r="3584" spans="1:8">
      <c r="A3584" t="s">
        <v>4485</v>
      </c>
      <c r="B3584" t="s">
        <v>715</v>
      </c>
      <c r="C3584" s="1">
        <v>45115</v>
      </c>
      <c r="D3584" s="1" t="str">
        <f>PROPER(orders[[#This Row],[order_priority]])</f>
        <v>Express</v>
      </c>
      <c r="E3584" t="s">
        <v>13318</v>
      </c>
      <c r="F3584" t="str">
        <f>IFERROR(INDEX(customers[country], MATCH(orders[[#This Row],[customer_id]], customers[customer_id], 0)), "Unmapped")</f>
        <v>Netherlands</v>
      </c>
      <c r="G3584" t="str">
        <f>IFERROR(INDEX(Region_Map[Region], MATCH(orders[[#This Row],[Customer_Country]], Region_Map[Country], 0)), "Unknown")</f>
        <v>Central Europe</v>
      </c>
      <c r="H3584" t="s">
        <v>6949</v>
      </c>
    </row>
    <row r="3585" spans="1:8">
      <c r="A3585" t="s">
        <v>4486</v>
      </c>
      <c r="B3585" t="s">
        <v>344</v>
      </c>
      <c r="C3585" s="1">
        <v>45626</v>
      </c>
      <c r="D3585" s="1" t="str">
        <f>PROPER(orders[[#This Row],[order_priority]])</f>
        <v>Express</v>
      </c>
      <c r="E3585" t="s">
        <v>13318</v>
      </c>
      <c r="F3585" t="str">
        <f>IFERROR(INDEX(customers[country], MATCH(orders[[#This Row],[customer_id]], customers[customer_id], 0)), "Unmapped")</f>
        <v>Estonia</v>
      </c>
      <c r="G3585" t="str">
        <f>IFERROR(INDEX(Region_Map[Region], MATCH(orders[[#This Row],[Customer_Country]], Region_Map[Country], 0)), "Unknown")</f>
        <v>Baltics</v>
      </c>
      <c r="H3585" t="s">
        <v>6949</v>
      </c>
    </row>
    <row r="3586" spans="1:8">
      <c r="A3586" t="s">
        <v>4487</v>
      </c>
      <c r="B3586" t="s">
        <v>703</v>
      </c>
      <c r="C3586" s="1">
        <v>45336</v>
      </c>
      <c r="D3586" s="1" t="str">
        <f>PROPER(orders[[#This Row],[order_priority]])</f>
        <v>Standard</v>
      </c>
      <c r="E3586" t="s">
        <v>13317</v>
      </c>
      <c r="F3586" t="str">
        <f>IFERROR(INDEX(customers[country], MATCH(orders[[#This Row],[customer_id]], customers[customer_id], 0)), "Unmapped")</f>
        <v>Estonia</v>
      </c>
      <c r="G3586" t="str">
        <f>IFERROR(INDEX(Region_Map[Region], MATCH(orders[[#This Row],[Customer_Country]], Region_Map[Country], 0)), "Unknown")</f>
        <v>Baltics</v>
      </c>
      <c r="H3586" t="s">
        <v>6949</v>
      </c>
    </row>
    <row r="3587" spans="1:8">
      <c r="A3587" t="s">
        <v>4488</v>
      </c>
      <c r="B3587" t="s">
        <v>769</v>
      </c>
      <c r="C3587" s="1">
        <v>45583</v>
      </c>
      <c r="D3587" s="1" t="str">
        <f>PROPER(orders[[#This Row],[order_priority]])</f>
        <v>Express</v>
      </c>
      <c r="E3587" t="s">
        <v>13318</v>
      </c>
      <c r="F3587" t="str">
        <f>IFERROR(INDEX(customers[country], MATCH(orders[[#This Row],[customer_id]], customers[customer_id], 0)), "Unmapped")</f>
        <v>Latvia</v>
      </c>
      <c r="G3587" t="str">
        <f>IFERROR(INDEX(Region_Map[Region], MATCH(orders[[#This Row],[Customer_Country]], Region_Map[Country], 0)), "Unknown")</f>
        <v>Baltics</v>
      </c>
      <c r="H3587" t="s">
        <v>6949</v>
      </c>
    </row>
    <row r="3588" spans="1:8">
      <c r="A3588" t="s">
        <v>4489</v>
      </c>
      <c r="B3588" t="s">
        <v>425</v>
      </c>
      <c r="C3588" s="1">
        <v>45608</v>
      </c>
      <c r="D3588" s="1" t="str">
        <f>PROPER(orders[[#This Row],[order_priority]])</f>
        <v>Same Day</v>
      </c>
      <c r="E3588" t="s">
        <v>13322</v>
      </c>
      <c r="F3588" t="str">
        <f>IFERROR(INDEX(customers[country], MATCH(orders[[#This Row],[customer_id]], customers[customer_id], 0)), "Unmapped")</f>
        <v>Denmark</v>
      </c>
      <c r="G3588" t="str">
        <f>IFERROR(INDEX(Region_Map[Region], MATCH(orders[[#This Row],[Customer_Country]], Region_Map[Country], 0)), "Unknown")</f>
        <v>Nordics</v>
      </c>
      <c r="H3588" t="s">
        <v>6949</v>
      </c>
    </row>
    <row r="3589" spans="1:8">
      <c r="A3589" t="s">
        <v>4490</v>
      </c>
      <c r="B3589" t="s">
        <v>440</v>
      </c>
      <c r="C3589" s="1">
        <v>45082</v>
      </c>
      <c r="D3589" s="1" t="str">
        <f>PROPER(orders[[#This Row],[order_priority]])</f>
        <v>Economy</v>
      </c>
      <c r="E3589" t="s">
        <v>13328</v>
      </c>
      <c r="F3589" t="str">
        <f>IFERROR(INDEX(customers[country], MATCH(orders[[#This Row],[customer_id]], customers[customer_id], 0)), "Unmapped")</f>
        <v>Poland</v>
      </c>
      <c r="G3589" t="str">
        <f>IFERROR(INDEX(Region_Map[Region], MATCH(orders[[#This Row],[Customer_Country]], Region_Map[Country], 0)), "Unknown")</f>
        <v>Central Europe</v>
      </c>
      <c r="H3589" t="s">
        <v>6949</v>
      </c>
    </row>
    <row r="3590" spans="1:8">
      <c r="A3590" t="s">
        <v>4491</v>
      </c>
      <c r="B3590" t="s">
        <v>273</v>
      </c>
      <c r="C3590" s="1">
        <v>45343</v>
      </c>
      <c r="D3590" s="1" t="str">
        <f>PROPER(orders[[#This Row],[order_priority]])</f>
        <v>Same Day</v>
      </c>
      <c r="E3590" t="s">
        <v>13324</v>
      </c>
      <c r="F3590" t="str">
        <f>IFERROR(INDEX(customers[country], MATCH(orders[[#This Row],[customer_id]], customers[customer_id], 0)), "Unmapped")</f>
        <v>Norway</v>
      </c>
      <c r="G3590" t="str">
        <f>IFERROR(INDEX(Region_Map[Region], MATCH(orders[[#This Row],[Customer_Country]], Region_Map[Country], 0)), "Unknown")</f>
        <v>Nordics</v>
      </c>
      <c r="H3590" t="s">
        <v>6949</v>
      </c>
    </row>
    <row r="3591" spans="1:8">
      <c r="A3591" t="s">
        <v>4492</v>
      </c>
      <c r="B3591" t="s">
        <v>145</v>
      </c>
      <c r="C3591" s="1">
        <v>45052</v>
      </c>
      <c r="D3591" s="1" t="str">
        <f>PROPER(orders[[#This Row],[order_priority]])</f>
        <v>Economy</v>
      </c>
      <c r="E3591" t="s">
        <v>13316</v>
      </c>
      <c r="F3591" t="str">
        <f>IFERROR(INDEX(customers[country], MATCH(orders[[#This Row],[customer_id]], customers[customer_id], 0)), "Unmapped")</f>
        <v>Latvia</v>
      </c>
      <c r="G3591" t="str">
        <f>IFERROR(INDEX(Region_Map[Region], MATCH(orders[[#This Row],[Customer_Country]], Region_Map[Country], 0)), "Unknown")</f>
        <v>Baltics</v>
      </c>
      <c r="H3591" t="s">
        <v>6949</v>
      </c>
    </row>
    <row r="3592" spans="1:8">
      <c r="A3592" t="s">
        <v>4493</v>
      </c>
      <c r="B3592" t="s">
        <v>383</v>
      </c>
      <c r="C3592" s="1">
        <v>45564</v>
      </c>
      <c r="D3592" s="1" t="str">
        <f>PROPER(orders[[#This Row],[order_priority]])</f>
        <v>Express</v>
      </c>
      <c r="E3592" t="s">
        <v>13326</v>
      </c>
      <c r="F3592" t="str">
        <f>IFERROR(INDEX(customers[country], MATCH(orders[[#This Row],[customer_id]], customers[customer_id], 0)), "Unmapped")</f>
        <v>Germany</v>
      </c>
      <c r="G3592" t="str">
        <f>IFERROR(INDEX(Region_Map[Region], MATCH(orders[[#This Row],[Customer_Country]], Region_Map[Country], 0)), "Unknown")</f>
        <v>Central Europe</v>
      </c>
      <c r="H3592" t="s">
        <v>6949</v>
      </c>
    </row>
    <row r="3593" spans="1:8">
      <c r="A3593" t="s">
        <v>4494</v>
      </c>
      <c r="B3593" t="s">
        <v>404</v>
      </c>
      <c r="C3593" s="1">
        <v>45044</v>
      </c>
      <c r="D3593" s="1" t="str">
        <f>PROPER(orders[[#This Row],[order_priority]])</f>
        <v>Express</v>
      </c>
      <c r="E3593" t="s">
        <v>13318</v>
      </c>
      <c r="F3593" t="str">
        <f>IFERROR(INDEX(customers[country], MATCH(orders[[#This Row],[customer_id]], customers[customer_id], 0)), "Unmapped")</f>
        <v>Latvia</v>
      </c>
      <c r="G3593" t="str">
        <f>IFERROR(INDEX(Region_Map[Region], MATCH(orders[[#This Row],[Customer_Country]], Region_Map[Country], 0)), "Unknown")</f>
        <v>Baltics</v>
      </c>
      <c r="H3593" t="s">
        <v>6949</v>
      </c>
    </row>
    <row r="3594" spans="1:8">
      <c r="A3594" t="s">
        <v>4495</v>
      </c>
      <c r="B3594" t="s">
        <v>24</v>
      </c>
      <c r="C3594" s="1">
        <v>45555</v>
      </c>
      <c r="D3594" s="1" t="str">
        <f>PROPER(orders[[#This Row],[order_priority]])</f>
        <v>Express</v>
      </c>
      <c r="E3594" t="s">
        <v>13318</v>
      </c>
      <c r="F3594" t="str">
        <f>IFERROR(INDEX(customers[country], MATCH(orders[[#This Row],[customer_id]], customers[customer_id], 0)), "Unmapped")</f>
        <v>Sweden</v>
      </c>
      <c r="G3594" t="str">
        <f>IFERROR(INDEX(Region_Map[Region], MATCH(orders[[#This Row],[Customer_Country]], Region_Map[Country], 0)), "Unknown")</f>
        <v>Nordics</v>
      </c>
      <c r="H3594" t="s">
        <v>6949</v>
      </c>
    </row>
    <row r="3595" spans="1:8">
      <c r="A3595" t="s">
        <v>3163</v>
      </c>
      <c r="B3595" t="s">
        <v>500</v>
      </c>
      <c r="C3595" s="1">
        <v>44957</v>
      </c>
      <c r="D3595" s="1" t="str">
        <f>PROPER(orders[[#This Row],[order_priority]])</f>
        <v>Standard</v>
      </c>
      <c r="E3595" t="s">
        <v>13323</v>
      </c>
      <c r="F3595" t="str">
        <f>IFERROR(INDEX(customers[country], MATCH(orders[[#This Row],[customer_id]], customers[customer_id], 0)), "Unmapped")</f>
        <v>Estonia</v>
      </c>
      <c r="G3595" t="str">
        <f>IFERROR(INDEX(Region_Map[Region], MATCH(orders[[#This Row],[Customer_Country]], Region_Map[Country], 0)), "Unknown")</f>
        <v>Baltics</v>
      </c>
      <c r="H3595" t="s">
        <v>6949</v>
      </c>
    </row>
    <row r="3596" spans="1:8">
      <c r="A3596" t="s">
        <v>4496</v>
      </c>
      <c r="B3596" t="s">
        <v>240</v>
      </c>
      <c r="C3596" s="1">
        <v>45078</v>
      </c>
      <c r="D3596" s="1" t="str">
        <f>PROPER(orders[[#This Row],[order_priority]])</f>
        <v>Standard</v>
      </c>
      <c r="E3596" t="s">
        <v>13317</v>
      </c>
      <c r="F3596" t="str">
        <f>IFERROR(INDEX(customers[country], MATCH(orders[[#This Row],[customer_id]], customers[customer_id], 0)), "Unmapped")</f>
        <v>Lithuania</v>
      </c>
      <c r="G3596" t="str">
        <f>IFERROR(INDEX(Region_Map[Region], MATCH(orders[[#This Row],[Customer_Country]], Region_Map[Country], 0)), "Unknown")</f>
        <v>Baltics</v>
      </c>
      <c r="H3596" t="s">
        <v>6949</v>
      </c>
    </row>
    <row r="3597" spans="1:8">
      <c r="A3597" t="s">
        <v>4497</v>
      </c>
      <c r="B3597" t="s">
        <v>136</v>
      </c>
      <c r="C3597" s="1">
        <v>45169</v>
      </c>
      <c r="D3597" s="1" t="str">
        <f>PROPER(orders[[#This Row],[order_priority]])</f>
        <v>Standard</v>
      </c>
      <c r="E3597" t="s">
        <v>13317</v>
      </c>
      <c r="F3597" t="str">
        <f>IFERROR(INDEX(customers[country], MATCH(orders[[#This Row],[customer_id]], customers[customer_id], 0)), "Unmapped")</f>
        <v>Sweden</v>
      </c>
      <c r="G3597" t="str">
        <f>IFERROR(INDEX(Region_Map[Region], MATCH(orders[[#This Row],[Customer_Country]], Region_Map[Country], 0)), "Unknown")</f>
        <v>Nordics</v>
      </c>
      <c r="H3597" t="s">
        <v>6949</v>
      </c>
    </row>
    <row r="3598" spans="1:8">
      <c r="A3598" t="s">
        <v>4498</v>
      </c>
      <c r="B3598" t="s">
        <v>873</v>
      </c>
      <c r="C3598" s="1">
        <v>45217</v>
      </c>
      <c r="D3598" s="1" t="str">
        <f>PROPER(orders[[#This Row],[order_priority]])</f>
        <v>Express</v>
      </c>
      <c r="E3598" t="s">
        <v>13318</v>
      </c>
      <c r="F3598" t="str">
        <f>IFERROR(INDEX(customers[country], MATCH(orders[[#This Row],[customer_id]], customers[customer_id], 0)), "Unmapped")</f>
        <v>Estonia</v>
      </c>
      <c r="G3598" t="str">
        <f>IFERROR(INDEX(Region_Map[Region], MATCH(orders[[#This Row],[Customer_Country]], Region_Map[Country], 0)), "Unknown")</f>
        <v>Baltics</v>
      </c>
      <c r="H3598" t="s">
        <v>6949</v>
      </c>
    </row>
    <row r="3599" spans="1:8">
      <c r="A3599" t="s">
        <v>4499</v>
      </c>
      <c r="B3599" t="s">
        <v>157</v>
      </c>
      <c r="C3599" s="1">
        <v>44974</v>
      </c>
      <c r="D3599" s="1" t="str">
        <f>PROPER(orders[[#This Row],[order_priority]])</f>
        <v>Economy</v>
      </c>
      <c r="E3599" t="s">
        <v>13316</v>
      </c>
      <c r="F3599" t="str">
        <f>IFERROR(INDEX(customers[country], MATCH(orders[[#This Row],[customer_id]], customers[customer_id], 0)), "Unmapped")</f>
        <v>Lithuania</v>
      </c>
      <c r="G3599" t="str">
        <f>IFERROR(INDEX(Region_Map[Region], MATCH(orders[[#This Row],[Customer_Country]], Region_Map[Country], 0)), "Unknown")</f>
        <v>Baltics</v>
      </c>
      <c r="H3599" t="s">
        <v>6949</v>
      </c>
    </row>
    <row r="3600" spans="1:8">
      <c r="A3600" t="s">
        <v>4500</v>
      </c>
      <c r="B3600" t="s">
        <v>620</v>
      </c>
      <c r="C3600" s="1">
        <v>45588</v>
      </c>
      <c r="D3600" s="1" t="str">
        <f>PROPER(orders[[#This Row],[order_priority]])</f>
        <v>Same Day</v>
      </c>
      <c r="E3600" t="s">
        <v>13322</v>
      </c>
      <c r="F3600" t="str">
        <f>IFERROR(INDEX(customers[country], MATCH(orders[[#This Row],[customer_id]], customers[customer_id], 0)), "Unmapped")</f>
        <v>Latvia</v>
      </c>
      <c r="G3600" t="str">
        <f>IFERROR(INDEX(Region_Map[Region], MATCH(orders[[#This Row],[Customer_Country]], Region_Map[Country], 0)), "Unknown")</f>
        <v>Baltics</v>
      </c>
      <c r="H3600" t="s">
        <v>6949</v>
      </c>
    </row>
    <row r="3601" spans="1:8">
      <c r="A3601" t="s">
        <v>4501</v>
      </c>
      <c r="B3601" t="s">
        <v>55</v>
      </c>
      <c r="C3601" s="1">
        <v>45252</v>
      </c>
      <c r="D3601" s="1" t="str">
        <f>PROPER(orders[[#This Row],[order_priority]])</f>
        <v>Same Day</v>
      </c>
      <c r="E3601" t="s">
        <v>13321</v>
      </c>
      <c r="F3601" t="str">
        <f>IFERROR(INDEX(customers[country], MATCH(orders[[#This Row],[customer_id]], customers[customer_id], 0)), "Unmapped")</f>
        <v>Netherlands</v>
      </c>
      <c r="G3601" t="str">
        <f>IFERROR(INDEX(Region_Map[Region], MATCH(orders[[#This Row],[Customer_Country]], Region_Map[Country], 0)), "Unknown")</f>
        <v>Central Europe</v>
      </c>
      <c r="H3601" t="s">
        <v>6949</v>
      </c>
    </row>
    <row r="3602" spans="1:8">
      <c r="A3602" t="s">
        <v>4502</v>
      </c>
      <c r="B3602" t="s">
        <v>115</v>
      </c>
      <c r="C3602" s="1">
        <v>45234</v>
      </c>
      <c r="D3602" s="1" t="str">
        <f>PROPER(orders[[#This Row],[order_priority]])</f>
        <v>Express</v>
      </c>
      <c r="E3602" t="s">
        <v>13318</v>
      </c>
      <c r="F3602" t="str">
        <f>IFERROR(INDEX(customers[country], MATCH(orders[[#This Row],[customer_id]], customers[customer_id], 0)), "Unmapped")</f>
        <v>Finland</v>
      </c>
      <c r="G3602" t="str">
        <f>IFERROR(INDEX(Region_Map[Region], MATCH(orders[[#This Row],[Customer_Country]], Region_Map[Country], 0)), "Unknown")</f>
        <v>Nordics</v>
      </c>
      <c r="H3602" t="s">
        <v>6949</v>
      </c>
    </row>
    <row r="3603" spans="1:8">
      <c r="A3603" t="s">
        <v>4503</v>
      </c>
      <c r="B3603" t="s">
        <v>855</v>
      </c>
      <c r="C3603" s="1">
        <v>45223</v>
      </c>
      <c r="D3603" s="1" t="str">
        <f>PROPER(orders[[#This Row],[order_priority]])</f>
        <v>Standard</v>
      </c>
      <c r="E3603" t="s">
        <v>13319</v>
      </c>
      <c r="F3603" t="str">
        <f>IFERROR(INDEX(customers[country], MATCH(orders[[#This Row],[customer_id]], customers[customer_id], 0)), "Unmapped")</f>
        <v>Latvia</v>
      </c>
      <c r="G3603" t="str">
        <f>IFERROR(INDEX(Region_Map[Region], MATCH(orders[[#This Row],[Customer_Country]], Region_Map[Country], 0)), "Unknown")</f>
        <v>Baltics</v>
      </c>
      <c r="H3603" t="s">
        <v>6949</v>
      </c>
    </row>
    <row r="3604" spans="1:8">
      <c r="A3604" t="s">
        <v>4504</v>
      </c>
      <c r="B3604" t="s">
        <v>590</v>
      </c>
      <c r="C3604" s="1">
        <v>45318</v>
      </c>
      <c r="D3604" s="1" t="str">
        <f>PROPER(orders[[#This Row],[order_priority]])</f>
        <v>Same Day</v>
      </c>
      <c r="E3604" t="s">
        <v>13322</v>
      </c>
      <c r="F3604" t="str">
        <f>IFERROR(INDEX(customers[country], MATCH(orders[[#This Row],[customer_id]], customers[customer_id], 0)), "Unmapped")</f>
        <v>Finland</v>
      </c>
      <c r="G3604" t="str">
        <f>IFERROR(INDEX(Region_Map[Region], MATCH(orders[[#This Row],[Customer_Country]], Region_Map[Country], 0)), "Unknown")</f>
        <v>Nordics</v>
      </c>
      <c r="H3604" t="s">
        <v>6949</v>
      </c>
    </row>
    <row r="3605" spans="1:8">
      <c r="A3605" t="s">
        <v>4505</v>
      </c>
      <c r="B3605" t="s">
        <v>419</v>
      </c>
      <c r="C3605" s="1">
        <v>45223</v>
      </c>
      <c r="D3605" s="1" t="str">
        <f>PROPER(orders[[#This Row],[order_priority]])</f>
        <v>Standard</v>
      </c>
      <c r="E3605" t="s">
        <v>13317</v>
      </c>
      <c r="F3605" t="str">
        <f>IFERROR(INDEX(customers[country], MATCH(orders[[#This Row],[customer_id]], customers[customer_id], 0)), "Unmapped")</f>
        <v>Estonia</v>
      </c>
      <c r="G3605" t="str">
        <f>IFERROR(INDEX(Region_Map[Region], MATCH(orders[[#This Row],[Customer_Country]], Region_Map[Country], 0)), "Unknown")</f>
        <v>Baltics</v>
      </c>
      <c r="H3605" t="s">
        <v>6949</v>
      </c>
    </row>
    <row r="3606" spans="1:8">
      <c r="A3606" t="s">
        <v>4506</v>
      </c>
      <c r="B3606" t="s">
        <v>846</v>
      </c>
      <c r="C3606" s="1">
        <v>45422</v>
      </c>
      <c r="D3606" s="1" t="str">
        <f>PROPER(orders[[#This Row],[order_priority]])</f>
        <v>Standard</v>
      </c>
      <c r="E3606" t="s">
        <v>13319</v>
      </c>
      <c r="F3606" t="str">
        <f>IFERROR(INDEX(customers[country], MATCH(orders[[#This Row],[customer_id]], customers[customer_id], 0)), "Unmapped")</f>
        <v>Netherlands</v>
      </c>
      <c r="G3606" t="str">
        <f>IFERROR(INDEX(Region_Map[Region], MATCH(orders[[#This Row],[Customer_Country]], Region_Map[Country], 0)), "Unknown")</f>
        <v>Central Europe</v>
      </c>
      <c r="H3606" t="s">
        <v>6949</v>
      </c>
    </row>
    <row r="3607" spans="1:8">
      <c r="A3607" t="s">
        <v>4507</v>
      </c>
      <c r="B3607" t="s">
        <v>548</v>
      </c>
      <c r="C3607" s="1">
        <v>45406</v>
      </c>
      <c r="D3607" s="1" t="str">
        <f>PROPER(orders[[#This Row],[order_priority]])</f>
        <v>Express</v>
      </c>
      <c r="E3607" t="s">
        <v>13318</v>
      </c>
      <c r="F3607" t="str">
        <f>IFERROR(INDEX(customers[country], MATCH(orders[[#This Row],[customer_id]], customers[customer_id], 0)), "Unmapped")</f>
        <v>Sweden</v>
      </c>
      <c r="G3607" t="str">
        <f>IFERROR(INDEX(Region_Map[Region], MATCH(orders[[#This Row],[Customer_Country]], Region_Map[Country], 0)), "Unknown")</f>
        <v>Nordics</v>
      </c>
      <c r="H3607" t="s">
        <v>6949</v>
      </c>
    </row>
    <row r="3608" spans="1:8">
      <c r="A3608" t="s">
        <v>4508</v>
      </c>
      <c r="B3608" t="s">
        <v>127</v>
      </c>
      <c r="C3608" s="1">
        <v>45217</v>
      </c>
      <c r="D3608" s="1" t="str">
        <f>PROPER(orders[[#This Row],[order_priority]])</f>
        <v>Economy</v>
      </c>
      <c r="E3608" t="s">
        <v>13316</v>
      </c>
      <c r="F3608" t="str">
        <f>IFERROR(INDEX(customers[country], MATCH(orders[[#This Row],[customer_id]], customers[customer_id], 0)), "Unmapped")</f>
        <v>Denmark</v>
      </c>
      <c r="G3608" t="str">
        <f>IFERROR(INDEX(Region_Map[Region], MATCH(orders[[#This Row],[Customer_Country]], Region_Map[Country], 0)), "Unknown")</f>
        <v>Nordics</v>
      </c>
      <c r="H3608" t="s">
        <v>6949</v>
      </c>
    </row>
    <row r="3609" spans="1:8">
      <c r="A3609" t="s">
        <v>4509</v>
      </c>
      <c r="B3609" t="s">
        <v>772</v>
      </c>
      <c r="C3609" s="1">
        <v>45167</v>
      </c>
      <c r="D3609" s="1" t="str">
        <f>PROPER(orders[[#This Row],[order_priority]])</f>
        <v>Economy</v>
      </c>
      <c r="E3609" t="s">
        <v>13316</v>
      </c>
      <c r="F3609" t="str">
        <f>IFERROR(INDEX(customers[country], MATCH(orders[[#This Row],[customer_id]], customers[customer_id], 0)), "Unmapped")</f>
        <v>Estonia</v>
      </c>
      <c r="G3609" t="str">
        <f>IFERROR(INDEX(Region_Map[Region], MATCH(orders[[#This Row],[Customer_Country]], Region_Map[Country], 0)), "Unknown")</f>
        <v>Baltics</v>
      </c>
      <c r="H3609" t="s">
        <v>6949</v>
      </c>
    </row>
    <row r="3610" spans="1:8">
      <c r="A3610" t="s">
        <v>4510</v>
      </c>
      <c r="B3610" t="s">
        <v>145</v>
      </c>
      <c r="C3610" s="1">
        <v>45112</v>
      </c>
      <c r="D3610" s="1" t="str">
        <f>PROPER(orders[[#This Row],[order_priority]])</f>
        <v>Express</v>
      </c>
      <c r="E3610" t="s">
        <v>13318</v>
      </c>
      <c r="F3610" t="str">
        <f>IFERROR(INDEX(customers[country], MATCH(orders[[#This Row],[customer_id]], customers[customer_id], 0)), "Unmapped")</f>
        <v>Latvia</v>
      </c>
      <c r="G3610" t="str">
        <f>IFERROR(INDEX(Region_Map[Region], MATCH(orders[[#This Row],[Customer_Country]], Region_Map[Country], 0)), "Unknown")</f>
        <v>Baltics</v>
      </c>
      <c r="H3610" t="s">
        <v>6949</v>
      </c>
    </row>
    <row r="3611" spans="1:8">
      <c r="A3611" t="s">
        <v>4511</v>
      </c>
      <c r="B3611" t="s">
        <v>38</v>
      </c>
      <c r="C3611" s="1">
        <v>45421</v>
      </c>
      <c r="D3611" s="1" t="str">
        <f>PROPER(orders[[#This Row],[order_priority]])</f>
        <v>Same Day</v>
      </c>
      <c r="E3611" t="s">
        <v>13324</v>
      </c>
      <c r="F3611" t="str">
        <f>IFERROR(INDEX(customers[country], MATCH(orders[[#This Row],[customer_id]], customers[customer_id], 0)), "Unmapped")</f>
        <v>Lithuania</v>
      </c>
      <c r="G3611" t="str">
        <f>IFERROR(INDEX(Region_Map[Region], MATCH(orders[[#This Row],[Customer_Country]], Region_Map[Country], 0)), "Unknown")</f>
        <v>Baltics</v>
      </c>
      <c r="H3611" t="s">
        <v>6949</v>
      </c>
    </row>
    <row r="3612" spans="1:8">
      <c r="A3612" t="s">
        <v>4512</v>
      </c>
      <c r="B3612" t="s">
        <v>311</v>
      </c>
      <c r="C3612" s="1">
        <v>45087</v>
      </c>
      <c r="D3612" s="1" t="str">
        <f>PROPER(orders[[#This Row],[order_priority]])</f>
        <v>Standard</v>
      </c>
      <c r="E3612" t="s">
        <v>13317</v>
      </c>
      <c r="F3612" t="str">
        <f>IFERROR(INDEX(customers[country], MATCH(orders[[#This Row],[customer_id]], customers[customer_id], 0)), "Unmapped")</f>
        <v>Netherlands</v>
      </c>
      <c r="G3612" t="str">
        <f>IFERROR(INDEX(Region_Map[Region], MATCH(orders[[#This Row],[Customer_Country]], Region_Map[Country], 0)), "Unknown")</f>
        <v>Central Europe</v>
      </c>
      <c r="H3612" t="s">
        <v>6949</v>
      </c>
    </row>
    <row r="3613" spans="1:8">
      <c r="A3613" t="s">
        <v>4513</v>
      </c>
      <c r="B3613" t="s">
        <v>416</v>
      </c>
      <c r="C3613" s="1">
        <v>45161</v>
      </c>
      <c r="D3613" s="1" t="str">
        <f>PROPER(orders[[#This Row],[order_priority]])</f>
        <v>Same Day</v>
      </c>
      <c r="E3613" t="s">
        <v>13322</v>
      </c>
      <c r="F3613" t="str">
        <f>IFERROR(INDEX(customers[country], MATCH(orders[[#This Row],[customer_id]], customers[customer_id], 0)), "Unmapped")</f>
        <v>Denmark</v>
      </c>
      <c r="G3613" t="str">
        <f>IFERROR(INDEX(Region_Map[Region], MATCH(orders[[#This Row],[Customer_Country]], Region_Map[Country], 0)), "Unknown")</f>
        <v>Nordics</v>
      </c>
      <c r="H3613" t="s">
        <v>6949</v>
      </c>
    </row>
    <row r="3614" spans="1:8">
      <c r="A3614" t="s">
        <v>4514</v>
      </c>
      <c r="B3614" t="s">
        <v>703</v>
      </c>
      <c r="C3614" s="1">
        <v>45185</v>
      </c>
      <c r="D3614" s="1" t="str">
        <f>PROPER(orders[[#This Row],[order_priority]])</f>
        <v>Express</v>
      </c>
      <c r="E3614" t="s">
        <v>13318</v>
      </c>
      <c r="F3614" t="str">
        <f>IFERROR(INDEX(customers[country], MATCH(orders[[#This Row],[customer_id]], customers[customer_id], 0)), "Unmapped")</f>
        <v>Estonia</v>
      </c>
      <c r="G3614" t="str">
        <f>IFERROR(INDEX(Region_Map[Region], MATCH(orders[[#This Row],[Customer_Country]], Region_Map[Country], 0)), "Unknown")</f>
        <v>Baltics</v>
      </c>
      <c r="H3614" t="s">
        <v>6949</v>
      </c>
    </row>
    <row r="3615" spans="1:8">
      <c r="A3615" t="s">
        <v>4515</v>
      </c>
      <c r="B3615" t="s">
        <v>172</v>
      </c>
      <c r="C3615" s="1">
        <v>45007</v>
      </c>
      <c r="D3615" s="1" t="str">
        <f>PROPER(orders[[#This Row],[order_priority]])</f>
        <v>Standard</v>
      </c>
      <c r="E3615" t="s">
        <v>13317</v>
      </c>
      <c r="F3615" t="str">
        <f>IFERROR(INDEX(customers[country], MATCH(orders[[#This Row],[customer_id]], customers[customer_id], 0)), "Unmapped")</f>
        <v>Denmark</v>
      </c>
      <c r="G3615" t="str">
        <f>IFERROR(INDEX(Region_Map[Region], MATCH(orders[[#This Row],[Customer_Country]], Region_Map[Country], 0)), "Unknown")</f>
        <v>Nordics</v>
      </c>
      <c r="H3615" t="s">
        <v>6949</v>
      </c>
    </row>
    <row r="3616" spans="1:8">
      <c r="A3616" t="s">
        <v>4516</v>
      </c>
      <c r="B3616" t="s">
        <v>650</v>
      </c>
      <c r="C3616" s="1">
        <v>45220</v>
      </c>
      <c r="D3616" s="1" t="str">
        <f>PROPER(orders[[#This Row],[order_priority]])</f>
        <v>Economy</v>
      </c>
      <c r="E3616" t="s">
        <v>13316</v>
      </c>
      <c r="F3616" t="str">
        <f>IFERROR(INDEX(customers[country], MATCH(orders[[#This Row],[customer_id]], customers[customer_id], 0)), "Unmapped")</f>
        <v>Poland</v>
      </c>
      <c r="G3616" t="str">
        <f>IFERROR(INDEX(Region_Map[Region], MATCH(orders[[#This Row],[Customer_Country]], Region_Map[Country], 0)), "Unknown")</f>
        <v>Central Europe</v>
      </c>
      <c r="H3616" t="s">
        <v>6949</v>
      </c>
    </row>
    <row r="3617" spans="1:8">
      <c r="A3617" t="s">
        <v>4517</v>
      </c>
      <c r="B3617" t="s">
        <v>682</v>
      </c>
      <c r="C3617" s="1">
        <v>45486</v>
      </c>
      <c r="D3617" s="1" t="str">
        <f>PROPER(orders[[#This Row],[order_priority]])</f>
        <v>Same Day</v>
      </c>
      <c r="E3617" t="s">
        <v>13321</v>
      </c>
      <c r="F3617" t="str">
        <f>IFERROR(INDEX(customers[country], MATCH(orders[[#This Row],[customer_id]], customers[customer_id], 0)), "Unmapped")</f>
        <v>Germany</v>
      </c>
      <c r="G3617" t="str">
        <f>IFERROR(INDEX(Region_Map[Region], MATCH(orders[[#This Row],[Customer_Country]], Region_Map[Country], 0)), "Unknown")</f>
        <v>Central Europe</v>
      </c>
      <c r="H3617" t="s">
        <v>6949</v>
      </c>
    </row>
    <row r="3618" spans="1:8">
      <c r="A3618" t="s">
        <v>4518</v>
      </c>
      <c r="B3618" t="s">
        <v>45</v>
      </c>
      <c r="C3618" s="1">
        <v>45181</v>
      </c>
      <c r="D3618" s="1" t="str">
        <f>PROPER(orders[[#This Row],[order_priority]])</f>
        <v>Standard</v>
      </c>
      <c r="E3618" t="s">
        <v>13317</v>
      </c>
      <c r="F3618" t="str">
        <f>IFERROR(INDEX(customers[country], MATCH(orders[[#This Row],[customer_id]], customers[customer_id], 0)), "Unmapped")</f>
        <v>Netherlands</v>
      </c>
      <c r="G3618" t="str">
        <f>IFERROR(INDEX(Region_Map[Region], MATCH(orders[[#This Row],[Customer_Country]], Region_Map[Country], 0)), "Unknown")</f>
        <v>Central Europe</v>
      </c>
      <c r="H3618" t="s">
        <v>6949</v>
      </c>
    </row>
    <row r="3619" spans="1:8">
      <c r="A3619" t="s">
        <v>4519</v>
      </c>
      <c r="B3619" t="s">
        <v>184</v>
      </c>
      <c r="C3619" s="1">
        <v>44987</v>
      </c>
      <c r="D3619" s="1" t="str">
        <f>PROPER(orders[[#This Row],[order_priority]])</f>
        <v>Same Day</v>
      </c>
      <c r="E3619" t="s">
        <v>13322</v>
      </c>
      <c r="F3619" t="str">
        <f>IFERROR(INDEX(customers[country], MATCH(orders[[#This Row],[customer_id]], customers[customer_id], 0)), "Unmapped")</f>
        <v>Netherlands</v>
      </c>
      <c r="G3619" t="str">
        <f>IFERROR(INDEX(Region_Map[Region], MATCH(orders[[#This Row],[Customer_Country]], Region_Map[Country], 0)), "Unknown")</f>
        <v>Central Europe</v>
      </c>
      <c r="H3619" t="s">
        <v>6949</v>
      </c>
    </row>
    <row r="3620" spans="1:8">
      <c r="A3620" t="s">
        <v>4520</v>
      </c>
      <c r="B3620" t="s">
        <v>341</v>
      </c>
      <c r="C3620" s="1">
        <v>45147</v>
      </c>
      <c r="D3620" s="1" t="str">
        <f>PROPER(orders[[#This Row],[order_priority]])</f>
        <v>Standard</v>
      </c>
      <c r="E3620" t="s">
        <v>13317</v>
      </c>
      <c r="F3620" t="str">
        <f>IFERROR(INDEX(customers[country], MATCH(orders[[#This Row],[customer_id]], customers[customer_id], 0)), "Unmapped")</f>
        <v>Latvia</v>
      </c>
      <c r="G3620" t="str">
        <f>IFERROR(INDEX(Region_Map[Region], MATCH(orders[[#This Row],[Customer_Country]], Region_Map[Country], 0)), "Unknown")</f>
        <v>Baltics</v>
      </c>
      <c r="H3620" t="s">
        <v>6949</v>
      </c>
    </row>
    <row r="3621" spans="1:8">
      <c r="A3621" t="s">
        <v>4521</v>
      </c>
      <c r="B3621" t="s">
        <v>461</v>
      </c>
      <c r="C3621" s="1">
        <v>45576</v>
      </c>
      <c r="D3621" s="1" t="str">
        <f>PROPER(orders[[#This Row],[order_priority]])</f>
        <v>Same Day</v>
      </c>
      <c r="E3621" t="s">
        <v>13324</v>
      </c>
      <c r="F3621" t="str">
        <f>IFERROR(INDEX(customers[country], MATCH(orders[[#This Row],[customer_id]], customers[customer_id], 0)), "Unmapped")</f>
        <v>Latvia</v>
      </c>
      <c r="G3621" t="str">
        <f>IFERROR(INDEX(Region_Map[Region], MATCH(orders[[#This Row],[Customer_Country]], Region_Map[Country], 0)), "Unknown")</f>
        <v>Baltics</v>
      </c>
      <c r="H3621" t="s">
        <v>6949</v>
      </c>
    </row>
    <row r="3622" spans="1:8">
      <c r="A3622" t="s">
        <v>4522</v>
      </c>
      <c r="B3622" t="s">
        <v>691</v>
      </c>
      <c r="C3622" s="1">
        <v>45203</v>
      </c>
      <c r="D3622" s="1" t="str">
        <f>PROPER(orders[[#This Row],[order_priority]])</f>
        <v>Same Day</v>
      </c>
      <c r="E3622" t="s">
        <v>13322</v>
      </c>
      <c r="F3622" t="str">
        <f>IFERROR(INDEX(customers[country], MATCH(orders[[#This Row],[customer_id]], customers[customer_id], 0)), "Unmapped")</f>
        <v>Latvia</v>
      </c>
      <c r="G3622" t="str">
        <f>IFERROR(INDEX(Region_Map[Region], MATCH(orders[[#This Row],[Customer_Country]], Region_Map[Country], 0)), "Unknown")</f>
        <v>Baltics</v>
      </c>
      <c r="H3622" t="s">
        <v>6949</v>
      </c>
    </row>
    <row r="3623" spans="1:8">
      <c r="A3623" t="s">
        <v>4523</v>
      </c>
      <c r="B3623" t="s">
        <v>102</v>
      </c>
      <c r="C3623" s="1">
        <v>45528</v>
      </c>
      <c r="D3623" s="1" t="str">
        <f>PROPER(orders[[#This Row],[order_priority]])</f>
        <v>Same Day</v>
      </c>
      <c r="E3623" t="s">
        <v>13322</v>
      </c>
      <c r="F3623" t="str">
        <f>IFERROR(INDEX(customers[country], MATCH(orders[[#This Row],[customer_id]], customers[customer_id], 0)), "Unmapped")</f>
        <v>Denmark</v>
      </c>
      <c r="G3623" t="str">
        <f>IFERROR(INDEX(Region_Map[Region], MATCH(orders[[#This Row],[Customer_Country]], Region_Map[Country], 0)), "Unknown")</f>
        <v>Nordics</v>
      </c>
      <c r="H3623" t="s">
        <v>6949</v>
      </c>
    </row>
    <row r="3624" spans="1:8">
      <c r="A3624" t="s">
        <v>4524</v>
      </c>
      <c r="B3624" t="s">
        <v>145</v>
      </c>
      <c r="C3624" s="1">
        <v>45065</v>
      </c>
      <c r="D3624" s="1" t="str">
        <f>PROPER(orders[[#This Row],[order_priority]])</f>
        <v>Express</v>
      </c>
      <c r="E3624" t="s">
        <v>13318</v>
      </c>
      <c r="F3624" t="str">
        <f>IFERROR(INDEX(customers[country], MATCH(orders[[#This Row],[customer_id]], customers[customer_id], 0)), "Unmapped")</f>
        <v>Latvia</v>
      </c>
      <c r="G3624" t="str">
        <f>IFERROR(INDEX(Region_Map[Region], MATCH(orders[[#This Row],[Customer_Country]], Region_Map[Country], 0)), "Unknown")</f>
        <v>Baltics</v>
      </c>
      <c r="H3624" t="s">
        <v>6949</v>
      </c>
    </row>
    <row r="3625" spans="1:8">
      <c r="A3625" t="s">
        <v>4525</v>
      </c>
      <c r="B3625" t="s">
        <v>443</v>
      </c>
      <c r="C3625" s="1">
        <v>45585</v>
      </c>
      <c r="D3625" s="1" t="str">
        <f>PROPER(orders[[#This Row],[order_priority]])</f>
        <v>Standard</v>
      </c>
      <c r="E3625" t="s">
        <v>13317</v>
      </c>
      <c r="F3625" t="str">
        <f>IFERROR(INDEX(customers[country], MATCH(orders[[#This Row],[customer_id]], customers[customer_id], 0)), "Unmapped")</f>
        <v>Estonia</v>
      </c>
      <c r="G3625" t="str">
        <f>IFERROR(INDEX(Region_Map[Region], MATCH(orders[[#This Row],[Customer_Country]], Region_Map[Country], 0)), "Unknown")</f>
        <v>Baltics</v>
      </c>
      <c r="H3625" t="s">
        <v>6949</v>
      </c>
    </row>
    <row r="3626" spans="1:8">
      <c r="A3626" t="s">
        <v>4526</v>
      </c>
      <c r="B3626" t="s">
        <v>766</v>
      </c>
      <c r="C3626" s="1">
        <v>45073</v>
      </c>
      <c r="D3626" s="1" t="str">
        <f>PROPER(orders[[#This Row],[order_priority]])</f>
        <v>Economy</v>
      </c>
      <c r="E3626" t="s">
        <v>13325</v>
      </c>
      <c r="F3626" t="str">
        <f>IFERROR(INDEX(customers[country], MATCH(orders[[#This Row],[customer_id]], customers[customer_id], 0)), "Unmapped")</f>
        <v>Germany</v>
      </c>
      <c r="G3626" t="str">
        <f>IFERROR(INDEX(Region_Map[Region], MATCH(orders[[#This Row],[Customer_Country]], Region_Map[Country], 0)), "Unknown")</f>
        <v>Central Europe</v>
      </c>
      <c r="H3626" t="s">
        <v>6949</v>
      </c>
    </row>
    <row r="3627" spans="1:8">
      <c r="A3627" t="s">
        <v>4527</v>
      </c>
      <c r="B3627" t="s">
        <v>551</v>
      </c>
      <c r="C3627" s="1">
        <v>45098</v>
      </c>
      <c r="D3627" s="1" t="str">
        <f>PROPER(orders[[#This Row],[order_priority]])</f>
        <v>Standard</v>
      </c>
      <c r="E3627" t="s">
        <v>13317</v>
      </c>
      <c r="F3627" t="str">
        <f>IFERROR(INDEX(customers[country], MATCH(orders[[#This Row],[customer_id]], customers[customer_id], 0)), "Unmapped")</f>
        <v>Latvia</v>
      </c>
      <c r="G3627" t="str">
        <f>IFERROR(INDEX(Region_Map[Region], MATCH(orders[[#This Row],[Customer_Country]], Region_Map[Country], 0)), "Unknown")</f>
        <v>Baltics</v>
      </c>
      <c r="H3627" t="s">
        <v>6949</v>
      </c>
    </row>
    <row r="3628" spans="1:8">
      <c r="A3628" t="s">
        <v>4528</v>
      </c>
      <c r="B3628" t="s">
        <v>652</v>
      </c>
      <c r="C3628" s="1">
        <v>45554</v>
      </c>
      <c r="D3628" s="1" t="str">
        <f>PROPER(orders[[#This Row],[order_priority]])</f>
        <v>Express</v>
      </c>
      <c r="E3628" t="s">
        <v>13318</v>
      </c>
      <c r="F3628" t="str">
        <f>IFERROR(INDEX(customers[country], MATCH(orders[[#This Row],[customer_id]], customers[customer_id], 0)), "Unmapped")</f>
        <v>Poland</v>
      </c>
      <c r="G3628" t="str">
        <f>IFERROR(INDEX(Region_Map[Region], MATCH(orders[[#This Row],[Customer_Country]], Region_Map[Country], 0)), "Unknown")</f>
        <v>Central Europe</v>
      </c>
      <c r="H3628" t="s">
        <v>6949</v>
      </c>
    </row>
    <row r="3629" spans="1:8">
      <c r="A3629" t="s">
        <v>4529</v>
      </c>
      <c r="B3629" t="s">
        <v>55</v>
      </c>
      <c r="C3629" s="1">
        <v>45081</v>
      </c>
      <c r="D3629" s="1" t="str">
        <f>PROPER(orders[[#This Row],[order_priority]])</f>
        <v>Express</v>
      </c>
      <c r="E3629" t="s">
        <v>13326</v>
      </c>
      <c r="F3629" t="str">
        <f>IFERROR(INDEX(customers[country], MATCH(orders[[#This Row],[customer_id]], customers[customer_id], 0)), "Unmapped")</f>
        <v>Netherlands</v>
      </c>
      <c r="G3629" t="str">
        <f>IFERROR(INDEX(Region_Map[Region], MATCH(orders[[#This Row],[Customer_Country]], Region_Map[Country], 0)), "Unknown")</f>
        <v>Central Europe</v>
      </c>
      <c r="H3629" t="s">
        <v>6949</v>
      </c>
    </row>
    <row r="3630" spans="1:8">
      <c r="A3630" t="s">
        <v>4530</v>
      </c>
      <c r="B3630" t="s">
        <v>64</v>
      </c>
      <c r="C3630" s="1">
        <v>45325</v>
      </c>
      <c r="D3630" s="1" t="str">
        <f>PROPER(orders[[#This Row],[order_priority]])</f>
        <v>Express</v>
      </c>
      <c r="E3630" t="s">
        <v>13318</v>
      </c>
      <c r="F3630" t="str">
        <f>IFERROR(INDEX(customers[country], MATCH(orders[[#This Row],[customer_id]], customers[customer_id], 0)), "Unmapped")</f>
        <v>Netherlands</v>
      </c>
      <c r="G3630" t="str">
        <f>IFERROR(INDEX(Region_Map[Region], MATCH(orders[[#This Row],[Customer_Country]], Region_Map[Country], 0)), "Unknown")</f>
        <v>Central Europe</v>
      </c>
      <c r="H3630" t="s">
        <v>6949</v>
      </c>
    </row>
    <row r="3631" spans="1:8">
      <c r="A3631" t="s">
        <v>4531</v>
      </c>
      <c r="B3631" t="s">
        <v>749</v>
      </c>
      <c r="C3631" s="1">
        <v>45337</v>
      </c>
      <c r="D3631" s="1" t="str">
        <f>PROPER(orders[[#This Row],[order_priority]])</f>
        <v>Economy</v>
      </c>
      <c r="E3631" t="s">
        <v>13316</v>
      </c>
      <c r="F3631" t="str">
        <f>IFERROR(INDEX(customers[country], MATCH(orders[[#This Row],[customer_id]], customers[customer_id], 0)), "Unmapped")</f>
        <v>Latvia</v>
      </c>
      <c r="G3631" t="str">
        <f>IFERROR(INDEX(Region_Map[Region], MATCH(orders[[#This Row],[Customer_Country]], Region_Map[Country], 0)), "Unknown")</f>
        <v>Baltics</v>
      </c>
      <c r="H3631" t="s">
        <v>6949</v>
      </c>
    </row>
    <row r="3632" spans="1:8">
      <c r="A3632" t="s">
        <v>4532</v>
      </c>
      <c r="B3632" t="s">
        <v>752</v>
      </c>
      <c r="C3632" s="1">
        <v>45384</v>
      </c>
      <c r="D3632" s="1" t="str">
        <f>PROPER(orders[[#This Row],[order_priority]])</f>
        <v>Economy</v>
      </c>
      <c r="E3632" t="s">
        <v>13316</v>
      </c>
      <c r="F3632" t="str">
        <f>IFERROR(INDEX(customers[country], MATCH(orders[[#This Row],[customer_id]], customers[customer_id], 0)), "Unmapped")</f>
        <v>Estonia</v>
      </c>
      <c r="G3632" t="str">
        <f>IFERROR(INDEX(Region_Map[Region], MATCH(orders[[#This Row],[Customer_Country]], Region_Map[Country], 0)), "Unknown")</f>
        <v>Baltics</v>
      </c>
      <c r="H3632" t="s">
        <v>6949</v>
      </c>
    </row>
    <row r="3633" spans="1:8">
      <c r="A3633" t="s">
        <v>4533</v>
      </c>
      <c r="B3633" t="s">
        <v>368</v>
      </c>
      <c r="C3633" s="1">
        <v>44965</v>
      </c>
      <c r="D3633" s="1" t="str">
        <f>PROPER(orders[[#This Row],[order_priority]])</f>
        <v>Same Day</v>
      </c>
      <c r="E3633" t="s">
        <v>13322</v>
      </c>
      <c r="F3633" t="str">
        <f>IFERROR(INDEX(customers[country], MATCH(orders[[#This Row],[customer_id]], customers[customer_id], 0)), "Unmapped")</f>
        <v>Poland</v>
      </c>
      <c r="G3633" t="str">
        <f>IFERROR(INDEX(Region_Map[Region], MATCH(orders[[#This Row],[Customer_Country]], Region_Map[Country], 0)), "Unknown")</f>
        <v>Central Europe</v>
      </c>
      <c r="H3633" t="s">
        <v>6949</v>
      </c>
    </row>
    <row r="3634" spans="1:8">
      <c r="A3634" t="s">
        <v>4534</v>
      </c>
      <c r="B3634" t="s">
        <v>545</v>
      </c>
      <c r="C3634" s="1">
        <v>44980</v>
      </c>
      <c r="D3634" s="1" t="str">
        <f>PROPER(orders[[#This Row],[order_priority]])</f>
        <v>Express</v>
      </c>
      <c r="E3634" t="s">
        <v>13318</v>
      </c>
      <c r="F3634" t="str">
        <f>IFERROR(INDEX(customers[country], MATCH(orders[[#This Row],[customer_id]], customers[customer_id], 0)), "Unmapped")</f>
        <v>Netherlands</v>
      </c>
      <c r="G3634" t="str">
        <f>IFERROR(INDEX(Region_Map[Region], MATCH(orders[[#This Row],[Customer_Country]], Region_Map[Country], 0)), "Unknown")</f>
        <v>Central Europe</v>
      </c>
      <c r="H3634" t="s">
        <v>6949</v>
      </c>
    </row>
    <row r="3635" spans="1:8">
      <c r="A3635" t="s">
        <v>4535</v>
      </c>
      <c r="B3635" t="s">
        <v>688</v>
      </c>
      <c r="C3635" s="1">
        <v>45210</v>
      </c>
      <c r="D3635" s="1" t="str">
        <f>PROPER(orders[[#This Row],[order_priority]])</f>
        <v>Economy</v>
      </c>
      <c r="E3635" t="s">
        <v>13316</v>
      </c>
      <c r="F3635" t="str">
        <f>IFERROR(INDEX(customers[country], MATCH(orders[[#This Row],[customer_id]], customers[customer_id], 0)), "Unmapped")</f>
        <v>Norway</v>
      </c>
      <c r="G3635" t="str">
        <f>IFERROR(INDEX(Region_Map[Region], MATCH(orders[[#This Row],[Customer_Country]], Region_Map[Country], 0)), "Unknown")</f>
        <v>Nordics</v>
      </c>
      <c r="H3635" t="s">
        <v>6949</v>
      </c>
    </row>
    <row r="3636" spans="1:8">
      <c r="A3636" t="s">
        <v>4536</v>
      </c>
      <c r="B3636" t="s">
        <v>231</v>
      </c>
      <c r="C3636" s="1">
        <v>45329</v>
      </c>
      <c r="D3636" s="1" t="str">
        <f>PROPER(orders[[#This Row],[order_priority]])</f>
        <v>Economy</v>
      </c>
      <c r="E3636" t="s">
        <v>13316</v>
      </c>
      <c r="F3636" t="str">
        <f>IFERROR(INDEX(customers[country], MATCH(orders[[#This Row],[customer_id]], customers[customer_id], 0)), "Unmapped")</f>
        <v>Lithuania</v>
      </c>
      <c r="G3636" t="str">
        <f>IFERROR(INDEX(Region_Map[Region], MATCH(orders[[#This Row],[Customer_Country]], Region_Map[Country], 0)), "Unknown")</f>
        <v>Baltics</v>
      </c>
      <c r="H3636" t="s">
        <v>6949</v>
      </c>
    </row>
    <row r="3637" spans="1:8">
      <c r="A3637" t="s">
        <v>4537</v>
      </c>
      <c r="B3637" t="s">
        <v>219</v>
      </c>
      <c r="C3637" s="1">
        <v>45263</v>
      </c>
      <c r="D3637" s="1" t="str">
        <f>PROPER(orders[[#This Row],[order_priority]])</f>
        <v>Same Day</v>
      </c>
      <c r="E3637" t="s">
        <v>13322</v>
      </c>
      <c r="F3637" t="str">
        <f>IFERROR(INDEX(customers[country], MATCH(orders[[#This Row],[customer_id]], customers[customer_id], 0)), "Unmapped")</f>
        <v>Latvia</v>
      </c>
      <c r="G3637" t="str">
        <f>IFERROR(INDEX(Region_Map[Region], MATCH(orders[[#This Row],[Customer_Country]], Region_Map[Country], 0)), "Unknown")</f>
        <v>Baltics</v>
      </c>
      <c r="H3637" t="s">
        <v>6949</v>
      </c>
    </row>
    <row r="3638" spans="1:8">
      <c r="A3638" t="s">
        <v>4538</v>
      </c>
      <c r="B3638" t="s">
        <v>741</v>
      </c>
      <c r="C3638" s="1">
        <v>45535</v>
      </c>
      <c r="D3638" s="1" t="str">
        <f>PROPER(orders[[#This Row],[order_priority]])</f>
        <v>Economy</v>
      </c>
      <c r="E3638" t="s">
        <v>13316</v>
      </c>
      <c r="F3638" t="str">
        <f>IFERROR(INDEX(customers[country], MATCH(orders[[#This Row],[customer_id]], customers[customer_id], 0)), "Unmapped")</f>
        <v>Germany</v>
      </c>
      <c r="G3638" t="str">
        <f>IFERROR(INDEX(Region_Map[Region], MATCH(orders[[#This Row],[Customer_Country]], Region_Map[Country], 0)), "Unknown")</f>
        <v>Central Europe</v>
      </c>
      <c r="H3638" t="s">
        <v>6949</v>
      </c>
    </row>
    <row r="3639" spans="1:8">
      <c r="A3639" t="s">
        <v>4539</v>
      </c>
      <c r="B3639" t="s">
        <v>551</v>
      </c>
      <c r="C3639" s="1">
        <v>45576</v>
      </c>
      <c r="D3639" s="1" t="str">
        <f>PROPER(orders[[#This Row],[order_priority]])</f>
        <v>Express</v>
      </c>
      <c r="E3639" t="s">
        <v>13318</v>
      </c>
      <c r="F3639" t="str">
        <f>IFERROR(INDEX(customers[country], MATCH(orders[[#This Row],[customer_id]], customers[customer_id], 0)), "Unmapped")</f>
        <v>Latvia</v>
      </c>
      <c r="G3639" t="str">
        <f>IFERROR(INDEX(Region_Map[Region], MATCH(orders[[#This Row],[Customer_Country]], Region_Map[Country], 0)), "Unknown")</f>
        <v>Baltics</v>
      </c>
      <c r="H3639" t="s">
        <v>6949</v>
      </c>
    </row>
    <row r="3640" spans="1:8">
      <c r="A3640" t="s">
        <v>4540</v>
      </c>
      <c r="B3640" t="s">
        <v>443</v>
      </c>
      <c r="C3640" s="1">
        <v>45094</v>
      </c>
      <c r="D3640" s="1" t="str">
        <f>PROPER(orders[[#This Row],[order_priority]])</f>
        <v>Economy</v>
      </c>
      <c r="E3640" t="s">
        <v>13316</v>
      </c>
      <c r="F3640" t="str">
        <f>IFERROR(INDEX(customers[country], MATCH(orders[[#This Row],[customer_id]], customers[customer_id], 0)), "Unmapped")</f>
        <v>Estonia</v>
      </c>
      <c r="G3640" t="str">
        <f>IFERROR(INDEX(Region_Map[Region], MATCH(orders[[#This Row],[Customer_Country]], Region_Map[Country], 0)), "Unknown")</f>
        <v>Baltics</v>
      </c>
      <c r="H3640" t="s">
        <v>6949</v>
      </c>
    </row>
    <row r="3641" spans="1:8">
      <c r="A3641" t="s">
        <v>4541</v>
      </c>
      <c r="B3641" t="s">
        <v>700</v>
      </c>
      <c r="C3641" s="1">
        <v>45189</v>
      </c>
      <c r="D3641" s="1" t="str">
        <f>PROPER(orders[[#This Row],[order_priority]])</f>
        <v>Express</v>
      </c>
      <c r="E3641" t="s">
        <v>13326</v>
      </c>
      <c r="F3641" t="str">
        <f>IFERROR(INDEX(customers[country], MATCH(orders[[#This Row],[customer_id]], customers[customer_id], 0)), "Unmapped")</f>
        <v>Germany</v>
      </c>
      <c r="G3641" t="str">
        <f>IFERROR(INDEX(Region_Map[Region], MATCH(orders[[#This Row],[Customer_Country]], Region_Map[Country], 0)), "Unknown")</f>
        <v>Central Europe</v>
      </c>
      <c r="H3641" t="s">
        <v>6949</v>
      </c>
    </row>
    <row r="3642" spans="1:8">
      <c r="A3642" t="s">
        <v>4542</v>
      </c>
      <c r="B3642" t="s">
        <v>551</v>
      </c>
      <c r="C3642" s="1">
        <v>45457</v>
      </c>
      <c r="D3642" s="1" t="str">
        <f>PROPER(orders[[#This Row],[order_priority]])</f>
        <v>Standard</v>
      </c>
      <c r="E3642" t="s">
        <v>13317</v>
      </c>
      <c r="F3642" t="str">
        <f>IFERROR(INDEX(customers[country], MATCH(orders[[#This Row],[customer_id]], customers[customer_id], 0)), "Unmapped")</f>
        <v>Latvia</v>
      </c>
      <c r="G3642" t="str">
        <f>IFERROR(INDEX(Region_Map[Region], MATCH(orders[[#This Row],[Customer_Country]], Region_Map[Country], 0)), "Unknown")</f>
        <v>Baltics</v>
      </c>
      <c r="H3642" t="s">
        <v>6949</v>
      </c>
    </row>
    <row r="3643" spans="1:8">
      <c r="A3643" t="s">
        <v>4543</v>
      </c>
      <c r="B3643" t="s">
        <v>300</v>
      </c>
      <c r="C3643" s="1">
        <v>45391</v>
      </c>
      <c r="D3643" s="1" t="str">
        <f>PROPER(orders[[#This Row],[order_priority]])</f>
        <v>Same Day</v>
      </c>
      <c r="E3643" t="s">
        <v>13322</v>
      </c>
      <c r="F3643" t="str">
        <f>IFERROR(INDEX(customers[country], MATCH(orders[[#This Row],[customer_id]], customers[customer_id], 0)), "Unmapped")</f>
        <v>Poland</v>
      </c>
      <c r="G3643" t="str">
        <f>IFERROR(INDEX(Region_Map[Region], MATCH(orders[[#This Row],[Customer_Country]], Region_Map[Country], 0)), "Unknown")</f>
        <v>Central Europe</v>
      </c>
      <c r="H3643" t="s">
        <v>6949</v>
      </c>
    </row>
    <row r="3644" spans="1:8">
      <c r="A3644" t="s">
        <v>4544</v>
      </c>
      <c r="B3644" t="s">
        <v>825</v>
      </c>
      <c r="C3644" s="1">
        <v>45097</v>
      </c>
      <c r="D3644" s="1" t="str">
        <f>PROPER(orders[[#This Row],[order_priority]])</f>
        <v>Same Day</v>
      </c>
      <c r="E3644" t="s">
        <v>13322</v>
      </c>
      <c r="F3644" t="str">
        <f>IFERROR(INDEX(customers[country], MATCH(orders[[#This Row],[customer_id]], customers[customer_id], 0)), "Unmapped")</f>
        <v>Latvia</v>
      </c>
      <c r="G3644" t="str">
        <f>IFERROR(INDEX(Region_Map[Region], MATCH(orders[[#This Row],[Customer_Country]], Region_Map[Country], 0)), "Unknown")</f>
        <v>Baltics</v>
      </c>
      <c r="H3644" t="s">
        <v>6949</v>
      </c>
    </row>
    <row r="3645" spans="1:8">
      <c r="A3645" t="s">
        <v>4545</v>
      </c>
      <c r="B3645" t="s">
        <v>593</v>
      </c>
      <c r="C3645" s="1">
        <v>45511</v>
      </c>
      <c r="D3645" s="1" t="str">
        <f>PROPER(orders[[#This Row],[order_priority]])</f>
        <v>Economy</v>
      </c>
      <c r="E3645" t="s">
        <v>13325</v>
      </c>
      <c r="F3645" t="str">
        <f>IFERROR(INDEX(customers[country], MATCH(orders[[#This Row],[customer_id]], customers[customer_id], 0)), "Unmapped")</f>
        <v>Estonia</v>
      </c>
      <c r="G3645" t="str">
        <f>IFERROR(INDEX(Region_Map[Region], MATCH(orders[[#This Row],[Customer_Country]], Region_Map[Country], 0)), "Unknown")</f>
        <v>Baltics</v>
      </c>
      <c r="H3645" t="s">
        <v>6949</v>
      </c>
    </row>
    <row r="3646" spans="1:8">
      <c r="A3646" t="s">
        <v>4546</v>
      </c>
      <c r="B3646" t="s">
        <v>6949</v>
      </c>
      <c r="C3646" s="1">
        <v>45269</v>
      </c>
      <c r="D3646" s="1" t="str">
        <f>PROPER(orders[[#This Row],[order_priority]])</f>
        <v>Same Day</v>
      </c>
      <c r="E3646" t="s">
        <v>13322</v>
      </c>
      <c r="F3646" t="str">
        <f>IFERROR(INDEX(customers[country], MATCH(orders[[#This Row],[customer_id]], customers[customer_id], 0)), "Unmapped")</f>
        <v>Unmapped</v>
      </c>
      <c r="G3646" t="str">
        <f>IFERROR(INDEX(Region_Map[Region], MATCH(orders[[#This Row],[Customer_Country]], Region_Map[Country], 0)), "Unknown")</f>
        <v>Unknown</v>
      </c>
      <c r="H3646" t="s">
        <v>6949</v>
      </c>
    </row>
    <row r="3647" spans="1:8">
      <c r="A3647" t="s">
        <v>4547</v>
      </c>
      <c r="B3647" t="s">
        <v>605</v>
      </c>
      <c r="C3647" s="1">
        <v>45567</v>
      </c>
      <c r="D3647" s="1" t="str">
        <f>PROPER(orders[[#This Row],[order_priority]])</f>
        <v>Standard</v>
      </c>
      <c r="E3647" t="s">
        <v>13317</v>
      </c>
      <c r="F3647" t="str">
        <f>IFERROR(INDEX(customers[country], MATCH(orders[[#This Row],[customer_id]], customers[customer_id], 0)), "Unmapped")</f>
        <v>Lithuania</v>
      </c>
      <c r="G3647" t="str">
        <f>IFERROR(INDEX(Region_Map[Region], MATCH(orders[[#This Row],[Customer_Country]], Region_Map[Country], 0)), "Unknown")</f>
        <v>Baltics</v>
      </c>
      <c r="H3647" t="s">
        <v>6949</v>
      </c>
    </row>
    <row r="3648" spans="1:8">
      <c r="A3648" t="s">
        <v>4548</v>
      </c>
      <c r="B3648" t="s">
        <v>389</v>
      </c>
      <c r="C3648" s="1">
        <v>45089</v>
      </c>
      <c r="D3648" s="1" t="str">
        <f>PROPER(orders[[#This Row],[order_priority]])</f>
        <v>Same Day</v>
      </c>
      <c r="E3648" t="s">
        <v>13322</v>
      </c>
      <c r="F3648" t="str">
        <f>IFERROR(INDEX(customers[country], MATCH(orders[[#This Row],[customer_id]], customers[customer_id], 0)), "Unmapped")</f>
        <v>Poland</v>
      </c>
      <c r="G3648" t="str">
        <f>IFERROR(INDEX(Region_Map[Region], MATCH(orders[[#This Row],[Customer_Country]], Region_Map[Country], 0)), "Unknown")</f>
        <v>Central Europe</v>
      </c>
      <c r="H3648" t="s">
        <v>6949</v>
      </c>
    </row>
    <row r="3649" spans="1:8">
      <c r="A3649" t="s">
        <v>4549</v>
      </c>
      <c r="B3649" t="s">
        <v>19</v>
      </c>
      <c r="C3649" s="1">
        <v>45054</v>
      </c>
      <c r="D3649" s="1" t="str">
        <f>PROPER(orders[[#This Row],[order_priority]])</f>
        <v>Same Day</v>
      </c>
      <c r="E3649" t="s">
        <v>13322</v>
      </c>
      <c r="F3649" t="str">
        <f>IFERROR(INDEX(customers[country], MATCH(orders[[#This Row],[customer_id]], customers[customer_id], 0)), "Unmapped")</f>
        <v>Poland</v>
      </c>
      <c r="G3649" t="str">
        <f>IFERROR(INDEX(Region_Map[Region], MATCH(orders[[#This Row],[Customer_Country]], Region_Map[Country], 0)), "Unknown")</f>
        <v>Central Europe</v>
      </c>
      <c r="H3649" t="s">
        <v>6949</v>
      </c>
    </row>
    <row r="3650" spans="1:8">
      <c r="A3650" t="s">
        <v>4550</v>
      </c>
      <c r="B3650" t="s">
        <v>434</v>
      </c>
      <c r="C3650" s="1">
        <v>45591</v>
      </c>
      <c r="D3650" s="1" t="str">
        <f>PROPER(orders[[#This Row],[order_priority]])</f>
        <v>Standard</v>
      </c>
      <c r="E3650" t="s">
        <v>13317</v>
      </c>
      <c r="F3650" t="str">
        <f>IFERROR(INDEX(customers[country], MATCH(orders[[#This Row],[customer_id]], customers[customer_id], 0)), "Unmapped")</f>
        <v>Lithuania</v>
      </c>
      <c r="G3650" t="str">
        <f>IFERROR(INDEX(Region_Map[Region], MATCH(orders[[#This Row],[Customer_Country]], Region_Map[Country], 0)), "Unknown")</f>
        <v>Baltics</v>
      </c>
      <c r="H3650" t="s">
        <v>6949</v>
      </c>
    </row>
    <row r="3651" spans="1:8">
      <c r="A3651" t="s">
        <v>4551</v>
      </c>
      <c r="B3651" t="s">
        <v>347</v>
      </c>
      <c r="C3651" s="1">
        <v>45384</v>
      </c>
      <c r="D3651" s="1" t="str">
        <f>PROPER(orders[[#This Row],[order_priority]])</f>
        <v>Express</v>
      </c>
      <c r="E3651" t="s">
        <v>13318</v>
      </c>
      <c r="F3651" t="str">
        <f>IFERROR(INDEX(customers[country], MATCH(orders[[#This Row],[customer_id]], customers[customer_id], 0)), "Unmapped")</f>
        <v>Norway</v>
      </c>
      <c r="G3651" t="str">
        <f>IFERROR(INDEX(Region_Map[Region], MATCH(orders[[#This Row],[Customer_Country]], Region_Map[Country], 0)), "Unknown")</f>
        <v>Nordics</v>
      </c>
      <c r="H3651" t="s">
        <v>6949</v>
      </c>
    </row>
    <row r="3652" spans="1:8">
      <c r="A3652" t="s">
        <v>4552</v>
      </c>
      <c r="B3652" t="s">
        <v>718</v>
      </c>
      <c r="C3652" s="1">
        <v>45334</v>
      </c>
      <c r="D3652" s="1" t="str">
        <f>PROPER(orders[[#This Row],[order_priority]])</f>
        <v>Same Day</v>
      </c>
      <c r="E3652" t="s">
        <v>13322</v>
      </c>
      <c r="F3652" t="str">
        <f>IFERROR(INDEX(customers[country], MATCH(orders[[#This Row],[customer_id]], customers[customer_id], 0)), "Unmapped")</f>
        <v>Netherlands</v>
      </c>
      <c r="G3652" t="str">
        <f>IFERROR(INDEX(Region_Map[Region], MATCH(orders[[#This Row],[Customer_Country]], Region_Map[Country], 0)), "Unknown")</f>
        <v>Central Europe</v>
      </c>
      <c r="H3652" t="s">
        <v>6949</v>
      </c>
    </row>
    <row r="3653" spans="1:8">
      <c r="A3653" t="s">
        <v>4553</v>
      </c>
      <c r="B3653" t="s">
        <v>270</v>
      </c>
      <c r="C3653" s="1">
        <v>45139</v>
      </c>
      <c r="D3653" s="1" t="str">
        <f>PROPER(orders[[#This Row],[order_priority]])</f>
        <v>Express</v>
      </c>
      <c r="E3653" t="s">
        <v>13318</v>
      </c>
      <c r="F3653" t="str">
        <f>IFERROR(INDEX(customers[country], MATCH(orders[[#This Row],[customer_id]], customers[customer_id], 0)), "Unmapped")</f>
        <v>Poland</v>
      </c>
      <c r="G3653" t="str">
        <f>IFERROR(INDEX(Region_Map[Region], MATCH(orders[[#This Row],[Customer_Country]], Region_Map[Country], 0)), "Unknown")</f>
        <v>Central Europe</v>
      </c>
      <c r="H3653" t="s">
        <v>6949</v>
      </c>
    </row>
    <row r="3654" spans="1:8">
      <c r="A3654" t="s">
        <v>4554</v>
      </c>
      <c r="B3654" t="s">
        <v>30</v>
      </c>
      <c r="C3654" s="1">
        <v>45520</v>
      </c>
      <c r="D3654" s="1" t="str">
        <f>PROPER(orders[[#This Row],[order_priority]])</f>
        <v>Standard</v>
      </c>
      <c r="E3654" t="s">
        <v>13317</v>
      </c>
      <c r="F3654" t="str">
        <f>IFERROR(INDEX(customers[country], MATCH(orders[[#This Row],[customer_id]], customers[customer_id], 0)), "Unmapped")</f>
        <v>Netherlands</v>
      </c>
      <c r="G3654" t="str">
        <f>IFERROR(INDEX(Region_Map[Region], MATCH(orders[[#This Row],[Customer_Country]], Region_Map[Country], 0)), "Unknown")</f>
        <v>Central Europe</v>
      </c>
      <c r="H3654" t="s">
        <v>6949</v>
      </c>
    </row>
    <row r="3655" spans="1:8">
      <c r="A3655" t="s">
        <v>4555</v>
      </c>
      <c r="B3655" t="s">
        <v>11</v>
      </c>
      <c r="C3655" s="1">
        <v>45322</v>
      </c>
      <c r="D3655" s="1" t="str">
        <f>PROPER(orders[[#This Row],[order_priority]])</f>
        <v>Standard</v>
      </c>
      <c r="E3655" t="s">
        <v>13317</v>
      </c>
      <c r="F3655" t="str">
        <f>IFERROR(INDEX(customers[country], MATCH(orders[[#This Row],[customer_id]], customers[customer_id], 0)), "Unmapped")</f>
        <v>Sweden</v>
      </c>
      <c r="G3655" t="str">
        <f>IFERROR(INDEX(Region_Map[Region], MATCH(orders[[#This Row],[Customer_Country]], Region_Map[Country], 0)), "Unknown")</f>
        <v>Nordics</v>
      </c>
      <c r="H3655" t="s">
        <v>6949</v>
      </c>
    </row>
    <row r="3656" spans="1:8">
      <c r="A3656" t="s">
        <v>4556</v>
      </c>
      <c r="B3656" t="s">
        <v>906</v>
      </c>
      <c r="C3656" s="1">
        <v>45363</v>
      </c>
      <c r="D3656" s="1" t="str">
        <f>PROPER(orders[[#This Row],[order_priority]])</f>
        <v>Same Day</v>
      </c>
      <c r="E3656" t="s">
        <v>13321</v>
      </c>
      <c r="F3656" t="str">
        <f>IFERROR(INDEX(customers[country], MATCH(orders[[#This Row],[customer_id]], customers[customer_id], 0)), "Unmapped")</f>
        <v>Sweden</v>
      </c>
      <c r="G3656" t="str">
        <f>IFERROR(INDEX(Region_Map[Region], MATCH(orders[[#This Row],[Customer_Country]], Region_Map[Country], 0)), "Unknown")</f>
        <v>Nordics</v>
      </c>
      <c r="H3656" t="s">
        <v>6949</v>
      </c>
    </row>
    <row r="3657" spans="1:8">
      <c r="A3657" t="s">
        <v>4557</v>
      </c>
      <c r="B3657" t="s">
        <v>476</v>
      </c>
      <c r="C3657" s="1">
        <v>45310</v>
      </c>
      <c r="D3657" s="1" t="str">
        <f>PROPER(orders[[#This Row],[order_priority]])</f>
        <v>Economy</v>
      </c>
      <c r="E3657" t="s">
        <v>13316</v>
      </c>
      <c r="F3657" t="str">
        <f>IFERROR(INDEX(customers[country], MATCH(orders[[#This Row],[customer_id]], customers[customer_id], 0)), "Unmapped")</f>
        <v>Norway</v>
      </c>
      <c r="G3657" t="str">
        <f>IFERROR(INDEX(Region_Map[Region], MATCH(orders[[#This Row],[Customer_Country]], Region_Map[Country], 0)), "Unknown")</f>
        <v>Nordics</v>
      </c>
      <c r="H3657" t="s">
        <v>6949</v>
      </c>
    </row>
    <row r="3658" spans="1:8">
      <c r="A3658" t="s">
        <v>4558</v>
      </c>
      <c r="B3658" t="s">
        <v>440</v>
      </c>
      <c r="C3658" s="1">
        <v>45248</v>
      </c>
      <c r="D3658" s="1" t="str">
        <f>PROPER(orders[[#This Row],[order_priority]])</f>
        <v>Express</v>
      </c>
      <c r="E3658" t="s">
        <v>13318</v>
      </c>
      <c r="F3658" t="str">
        <f>IFERROR(INDEX(customers[country], MATCH(orders[[#This Row],[customer_id]], customers[customer_id], 0)), "Unmapped")</f>
        <v>Poland</v>
      </c>
      <c r="G3658" t="str">
        <f>IFERROR(INDEX(Region_Map[Region], MATCH(orders[[#This Row],[Customer_Country]], Region_Map[Country], 0)), "Unknown")</f>
        <v>Central Europe</v>
      </c>
      <c r="H3658" t="s">
        <v>6949</v>
      </c>
    </row>
    <row r="3659" spans="1:8">
      <c r="A3659" t="s">
        <v>4559</v>
      </c>
      <c r="B3659" t="s">
        <v>741</v>
      </c>
      <c r="C3659" s="1">
        <v>45195</v>
      </c>
      <c r="D3659" s="1" t="str">
        <f>PROPER(orders[[#This Row],[order_priority]])</f>
        <v>Standard</v>
      </c>
      <c r="E3659" t="s">
        <v>13317</v>
      </c>
      <c r="F3659" t="str">
        <f>IFERROR(INDEX(customers[country], MATCH(orders[[#This Row],[customer_id]], customers[customer_id], 0)), "Unmapped")</f>
        <v>Germany</v>
      </c>
      <c r="G3659" t="str">
        <f>IFERROR(INDEX(Region_Map[Region], MATCH(orders[[#This Row],[Customer_Country]], Region_Map[Country], 0)), "Unknown")</f>
        <v>Central Europe</v>
      </c>
      <c r="H3659" t="s">
        <v>6949</v>
      </c>
    </row>
    <row r="3660" spans="1:8">
      <c r="A3660" t="s">
        <v>4560</v>
      </c>
      <c r="B3660" t="s">
        <v>109</v>
      </c>
      <c r="C3660" s="1">
        <v>45316</v>
      </c>
      <c r="D3660" s="1" t="str">
        <f>PROPER(orders[[#This Row],[order_priority]])</f>
        <v>Express</v>
      </c>
      <c r="E3660" t="s">
        <v>13318</v>
      </c>
      <c r="F3660" t="str">
        <f>IFERROR(INDEX(customers[country], MATCH(orders[[#This Row],[customer_id]], customers[customer_id], 0)), "Unmapped")</f>
        <v>Netherlands</v>
      </c>
      <c r="G3660" t="str">
        <f>IFERROR(INDEX(Region_Map[Region], MATCH(orders[[#This Row],[Customer_Country]], Region_Map[Country], 0)), "Unknown")</f>
        <v>Central Europe</v>
      </c>
      <c r="H3660" t="s">
        <v>6949</v>
      </c>
    </row>
    <row r="3661" spans="1:8">
      <c r="A3661" t="s">
        <v>4561</v>
      </c>
      <c r="B3661" t="s">
        <v>106</v>
      </c>
      <c r="C3661" s="1">
        <v>45350</v>
      </c>
      <c r="D3661" s="1" t="str">
        <f>PROPER(orders[[#This Row],[order_priority]])</f>
        <v>Standard</v>
      </c>
      <c r="E3661" t="s">
        <v>13317</v>
      </c>
      <c r="F3661" t="str">
        <f>IFERROR(INDEX(customers[country], MATCH(orders[[#This Row],[customer_id]], customers[customer_id], 0)), "Unmapped")</f>
        <v>Lithuania</v>
      </c>
      <c r="G3661" t="str">
        <f>IFERROR(INDEX(Region_Map[Region], MATCH(orders[[#This Row],[Customer_Country]], Region_Map[Country], 0)), "Unknown")</f>
        <v>Baltics</v>
      </c>
      <c r="H3661" t="s">
        <v>6949</v>
      </c>
    </row>
    <row r="3662" spans="1:8">
      <c r="A3662" t="s">
        <v>4562</v>
      </c>
      <c r="B3662" t="s">
        <v>605</v>
      </c>
      <c r="C3662" s="1">
        <v>45448</v>
      </c>
      <c r="D3662" s="1" t="str">
        <f>PROPER(orders[[#This Row],[order_priority]])</f>
        <v>Economy</v>
      </c>
      <c r="E3662" t="s">
        <v>13328</v>
      </c>
      <c r="F3662" t="str">
        <f>IFERROR(INDEX(customers[country], MATCH(orders[[#This Row],[customer_id]], customers[customer_id], 0)), "Unmapped")</f>
        <v>Lithuania</v>
      </c>
      <c r="G3662" t="str">
        <f>IFERROR(INDEX(Region_Map[Region], MATCH(orders[[#This Row],[Customer_Country]], Region_Map[Country], 0)), "Unknown")</f>
        <v>Baltics</v>
      </c>
      <c r="H3662" t="s">
        <v>6949</v>
      </c>
    </row>
    <row r="3663" spans="1:8">
      <c r="A3663" t="s">
        <v>4563</v>
      </c>
      <c r="B3663" t="s">
        <v>509</v>
      </c>
      <c r="C3663" s="1">
        <v>45178</v>
      </c>
      <c r="D3663" s="1" t="str">
        <f>PROPER(orders[[#This Row],[order_priority]])</f>
        <v>Express</v>
      </c>
      <c r="E3663" t="s">
        <v>13318</v>
      </c>
      <c r="F3663" t="str">
        <f>IFERROR(INDEX(customers[country], MATCH(orders[[#This Row],[customer_id]], customers[customer_id], 0)), "Unmapped")</f>
        <v>Sweden</v>
      </c>
      <c r="G3663" t="str">
        <f>IFERROR(INDEX(Region_Map[Region], MATCH(orders[[#This Row],[Customer_Country]], Region_Map[Country], 0)), "Unknown")</f>
        <v>Nordics</v>
      </c>
      <c r="H3663" t="s">
        <v>6949</v>
      </c>
    </row>
    <row r="3664" spans="1:8">
      <c r="A3664" t="s">
        <v>4564</v>
      </c>
      <c r="B3664" t="s">
        <v>608</v>
      </c>
      <c r="C3664" s="1">
        <v>45148</v>
      </c>
      <c r="D3664" s="1" t="str">
        <f>PROPER(orders[[#This Row],[order_priority]])</f>
        <v>Economy</v>
      </c>
      <c r="E3664" t="s">
        <v>13316</v>
      </c>
      <c r="F3664" t="str">
        <f>IFERROR(INDEX(customers[country], MATCH(orders[[#This Row],[customer_id]], customers[customer_id], 0)), "Unmapped")</f>
        <v>Finland</v>
      </c>
      <c r="G3664" t="str">
        <f>IFERROR(INDEX(Region_Map[Region], MATCH(orders[[#This Row],[Customer_Country]], Region_Map[Country], 0)), "Unknown")</f>
        <v>Nordics</v>
      </c>
      <c r="H3664" t="s">
        <v>6949</v>
      </c>
    </row>
    <row r="3665" spans="1:8">
      <c r="A3665" t="s">
        <v>4565</v>
      </c>
      <c r="B3665" t="s">
        <v>641</v>
      </c>
      <c r="C3665" s="1">
        <v>45368</v>
      </c>
      <c r="D3665" s="1" t="str">
        <f>PROPER(orders[[#This Row],[order_priority]])</f>
        <v>Standard</v>
      </c>
      <c r="E3665" t="s">
        <v>13317</v>
      </c>
      <c r="F3665" t="str">
        <f>IFERROR(INDEX(customers[country], MATCH(orders[[#This Row],[customer_id]], customers[customer_id], 0)), "Unmapped")</f>
        <v>Poland</v>
      </c>
      <c r="G3665" t="str">
        <f>IFERROR(INDEX(Region_Map[Region], MATCH(orders[[#This Row],[Customer_Country]], Region_Map[Country], 0)), "Unknown")</f>
        <v>Central Europe</v>
      </c>
      <c r="H3665" t="s">
        <v>6949</v>
      </c>
    </row>
    <row r="3666" spans="1:8">
      <c r="A3666" t="s">
        <v>4566</v>
      </c>
      <c r="B3666" t="s">
        <v>184</v>
      </c>
      <c r="C3666" s="1">
        <v>45492</v>
      </c>
      <c r="D3666" s="1" t="str">
        <f>PROPER(orders[[#This Row],[order_priority]])</f>
        <v>Economy</v>
      </c>
      <c r="E3666" t="s">
        <v>13316</v>
      </c>
      <c r="F3666" t="str">
        <f>IFERROR(INDEX(customers[country], MATCH(orders[[#This Row],[customer_id]], customers[customer_id], 0)), "Unmapped")</f>
        <v>Netherlands</v>
      </c>
      <c r="G3666" t="str">
        <f>IFERROR(INDEX(Region_Map[Region], MATCH(orders[[#This Row],[Customer_Country]], Region_Map[Country], 0)), "Unknown")</f>
        <v>Central Europe</v>
      </c>
      <c r="H3666" t="s">
        <v>6949</v>
      </c>
    </row>
    <row r="3667" spans="1:8">
      <c r="A3667" t="s">
        <v>4567</v>
      </c>
      <c r="B3667" t="s">
        <v>503</v>
      </c>
      <c r="C3667" s="1">
        <v>45551</v>
      </c>
      <c r="D3667" s="1" t="str">
        <f>PROPER(orders[[#This Row],[order_priority]])</f>
        <v>Standard</v>
      </c>
      <c r="E3667" t="s">
        <v>13317</v>
      </c>
      <c r="F3667" t="str">
        <f>IFERROR(INDEX(customers[country], MATCH(orders[[#This Row],[customer_id]], customers[customer_id], 0)), "Unmapped")</f>
        <v>Denmark</v>
      </c>
      <c r="G3667" t="str">
        <f>IFERROR(INDEX(Region_Map[Region], MATCH(orders[[#This Row],[Customer_Country]], Region_Map[Country], 0)), "Unknown")</f>
        <v>Nordics</v>
      </c>
      <c r="H3667" t="s">
        <v>6949</v>
      </c>
    </row>
    <row r="3668" spans="1:8">
      <c r="A3668" t="s">
        <v>4568</v>
      </c>
      <c r="B3668" t="s">
        <v>620</v>
      </c>
      <c r="C3668" s="1">
        <v>45542</v>
      </c>
      <c r="D3668" s="1" t="str">
        <f>PROPER(orders[[#This Row],[order_priority]])</f>
        <v>Same Day</v>
      </c>
      <c r="E3668" t="s">
        <v>13322</v>
      </c>
      <c r="F3668" t="str">
        <f>IFERROR(INDEX(customers[country], MATCH(orders[[#This Row],[customer_id]], customers[customer_id], 0)), "Unmapped")</f>
        <v>Latvia</v>
      </c>
      <c r="G3668" t="str">
        <f>IFERROR(INDEX(Region_Map[Region], MATCH(orders[[#This Row],[Customer_Country]], Region_Map[Country], 0)), "Unknown")</f>
        <v>Baltics</v>
      </c>
      <c r="H3668" t="s">
        <v>6949</v>
      </c>
    </row>
    <row r="3669" spans="1:8">
      <c r="A3669" t="s">
        <v>4569</v>
      </c>
      <c r="B3669" t="s">
        <v>706</v>
      </c>
      <c r="C3669" s="1">
        <v>45261</v>
      </c>
      <c r="D3669" s="1" t="str">
        <f>PROPER(orders[[#This Row],[order_priority]])</f>
        <v>Same Day</v>
      </c>
      <c r="E3669" t="s">
        <v>13322</v>
      </c>
      <c r="F3669" t="str">
        <f>IFERROR(INDEX(customers[country], MATCH(orders[[#This Row],[customer_id]], customers[customer_id], 0)), "Unmapped")</f>
        <v>Latvia</v>
      </c>
      <c r="G3669" t="str">
        <f>IFERROR(INDEX(Region_Map[Region], MATCH(orders[[#This Row],[Customer_Country]], Region_Map[Country], 0)), "Unknown")</f>
        <v>Baltics</v>
      </c>
      <c r="H3669" t="s">
        <v>6949</v>
      </c>
    </row>
    <row r="3670" spans="1:8">
      <c r="A3670" t="s">
        <v>4570</v>
      </c>
      <c r="B3670" t="s">
        <v>608</v>
      </c>
      <c r="C3670" s="1">
        <v>45037</v>
      </c>
      <c r="D3670" s="1" t="str">
        <f>PROPER(orders[[#This Row],[order_priority]])</f>
        <v>Express</v>
      </c>
      <c r="E3670" t="s">
        <v>13318</v>
      </c>
      <c r="F3670" t="str">
        <f>IFERROR(INDEX(customers[country], MATCH(orders[[#This Row],[customer_id]], customers[customer_id], 0)), "Unmapped")</f>
        <v>Finland</v>
      </c>
      <c r="G3670" t="str">
        <f>IFERROR(INDEX(Region_Map[Region], MATCH(orders[[#This Row],[Customer_Country]], Region_Map[Country], 0)), "Unknown")</f>
        <v>Nordics</v>
      </c>
      <c r="H3670" t="s">
        <v>6949</v>
      </c>
    </row>
    <row r="3671" spans="1:8">
      <c r="A3671" t="s">
        <v>4571</v>
      </c>
      <c r="B3671" t="s">
        <v>371</v>
      </c>
      <c r="C3671" s="1">
        <v>45066</v>
      </c>
      <c r="D3671" s="1" t="str">
        <f>PROPER(orders[[#This Row],[order_priority]])</f>
        <v>Express</v>
      </c>
      <c r="E3671" t="s">
        <v>13318</v>
      </c>
      <c r="F3671" t="str">
        <f>IFERROR(INDEX(customers[country], MATCH(orders[[#This Row],[customer_id]], customers[customer_id], 0)), "Unmapped")</f>
        <v>Germany</v>
      </c>
      <c r="G3671" t="str">
        <f>IFERROR(INDEX(Region_Map[Region], MATCH(orders[[#This Row],[Customer_Country]], Region_Map[Country], 0)), "Unknown")</f>
        <v>Central Europe</v>
      </c>
      <c r="H3671" t="s">
        <v>6949</v>
      </c>
    </row>
    <row r="3672" spans="1:8">
      <c r="A3672" t="s">
        <v>4572</v>
      </c>
      <c r="B3672" t="s">
        <v>512</v>
      </c>
      <c r="C3672" s="1">
        <v>45212</v>
      </c>
      <c r="D3672" s="1" t="str">
        <f>PROPER(orders[[#This Row],[order_priority]])</f>
        <v>Same Day</v>
      </c>
      <c r="E3672" t="s">
        <v>13322</v>
      </c>
      <c r="F3672" t="str">
        <f>IFERROR(INDEX(customers[country], MATCH(orders[[#This Row],[customer_id]], customers[customer_id], 0)), "Unmapped")</f>
        <v>Poland</v>
      </c>
      <c r="G3672" t="str">
        <f>IFERROR(INDEX(Region_Map[Region], MATCH(orders[[#This Row],[Customer_Country]], Region_Map[Country], 0)), "Unknown")</f>
        <v>Central Europe</v>
      </c>
      <c r="H3672" t="s">
        <v>6949</v>
      </c>
    </row>
    <row r="3673" spans="1:8">
      <c r="A3673" t="s">
        <v>4573</v>
      </c>
      <c r="B3673" t="s">
        <v>13352</v>
      </c>
      <c r="C3673" s="1">
        <v>45208</v>
      </c>
      <c r="D3673" s="1" t="str">
        <f>PROPER(orders[[#This Row],[order_priority]])</f>
        <v>Standard</v>
      </c>
      <c r="E3673" t="s">
        <v>13319</v>
      </c>
      <c r="F3673" t="str">
        <f>IFERROR(INDEX(customers[country], MATCH(orders[[#This Row],[customer_id]], customers[customer_id], 0)), "Unmapped")</f>
        <v>Unmapped</v>
      </c>
      <c r="G3673" t="str">
        <f>IFERROR(INDEX(Region_Map[Region], MATCH(orders[[#This Row],[Customer_Country]], Region_Map[Country], 0)), "Unknown")</f>
        <v>Unknown</v>
      </c>
      <c r="H3673" t="s">
        <v>6949</v>
      </c>
    </row>
    <row r="3674" spans="1:8">
      <c r="A3674" t="s">
        <v>4574</v>
      </c>
      <c r="B3674" t="s">
        <v>494</v>
      </c>
      <c r="C3674" s="1">
        <v>45220</v>
      </c>
      <c r="D3674" s="1" t="str">
        <f>PROPER(orders[[#This Row],[order_priority]])</f>
        <v>Economy</v>
      </c>
      <c r="E3674" t="s">
        <v>13328</v>
      </c>
      <c r="F3674" t="str">
        <f>IFERROR(INDEX(customers[country], MATCH(orders[[#This Row],[customer_id]], customers[customer_id], 0)), "Unmapped")</f>
        <v>Sweden</v>
      </c>
      <c r="G3674" t="str">
        <f>IFERROR(INDEX(Region_Map[Region], MATCH(orders[[#This Row],[Customer_Country]], Region_Map[Country], 0)), "Unknown")</f>
        <v>Nordics</v>
      </c>
      <c r="H3674" t="s">
        <v>6949</v>
      </c>
    </row>
    <row r="3675" spans="1:8">
      <c r="A3675" t="s">
        <v>4575</v>
      </c>
      <c r="B3675" t="s">
        <v>491</v>
      </c>
      <c r="C3675" s="1">
        <v>45490</v>
      </c>
      <c r="D3675" s="1" t="str">
        <f>PROPER(orders[[#This Row],[order_priority]])</f>
        <v>Same Day</v>
      </c>
      <c r="E3675" t="s">
        <v>13322</v>
      </c>
      <c r="F3675" t="str">
        <f>IFERROR(INDEX(customers[country], MATCH(orders[[#This Row],[customer_id]], customers[customer_id], 0)), "Unmapped")</f>
        <v>Latvia</v>
      </c>
      <c r="G3675" t="str">
        <f>IFERROR(INDEX(Region_Map[Region], MATCH(orders[[#This Row],[Customer_Country]], Region_Map[Country], 0)), "Unknown")</f>
        <v>Baltics</v>
      </c>
      <c r="H3675" t="s">
        <v>6949</v>
      </c>
    </row>
    <row r="3676" spans="1:8">
      <c r="A3676" t="s">
        <v>4576</v>
      </c>
      <c r="B3676" t="s">
        <v>712</v>
      </c>
      <c r="C3676" s="1">
        <v>45466</v>
      </c>
      <c r="D3676" s="1" t="str">
        <f>PROPER(orders[[#This Row],[order_priority]])</f>
        <v>Standard</v>
      </c>
      <c r="E3676" t="s">
        <v>13323</v>
      </c>
      <c r="F3676" t="str">
        <f>IFERROR(INDEX(customers[country], MATCH(orders[[#This Row],[customer_id]], customers[customer_id], 0)), "Unmapped")</f>
        <v>Finland</v>
      </c>
      <c r="G3676" t="str">
        <f>IFERROR(INDEX(Region_Map[Region], MATCH(orders[[#This Row],[Customer_Country]], Region_Map[Country], 0)), "Unknown")</f>
        <v>Nordics</v>
      </c>
      <c r="H3676" t="s">
        <v>6949</v>
      </c>
    </row>
    <row r="3677" spans="1:8">
      <c r="A3677" t="s">
        <v>4577</v>
      </c>
      <c r="B3677" t="s">
        <v>787</v>
      </c>
      <c r="C3677" s="1">
        <v>44978</v>
      </c>
      <c r="D3677" s="1" t="str">
        <f>PROPER(orders[[#This Row],[order_priority]])</f>
        <v>Express</v>
      </c>
      <c r="E3677" t="s">
        <v>13320</v>
      </c>
      <c r="F3677" t="str">
        <f>IFERROR(INDEX(customers[country], MATCH(orders[[#This Row],[customer_id]], customers[customer_id], 0)), "Unmapped")</f>
        <v>Netherlands</v>
      </c>
      <c r="G3677" t="str">
        <f>IFERROR(INDEX(Region_Map[Region], MATCH(orders[[#This Row],[Customer_Country]], Region_Map[Country], 0)), "Unknown")</f>
        <v>Central Europe</v>
      </c>
      <c r="H3677" t="s">
        <v>6949</v>
      </c>
    </row>
    <row r="3678" spans="1:8">
      <c r="A3678" t="s">
        <v>4578</v>
      </c>
      <c r="B3678" t="s">
        <v>882</v>
      </c>
      <c r="C3678" s="1">
        <v>45522</v>
      </c>
      <c r="D3678" s="1" t="str">
        <f>PROPER(orders[[#This Row],[order_priority]])</f>
        <v>Express</v>
      </c>
      <c r="E3678" t="s">
        <v>13318</v>
      </c>
      <c r="F3678" t="str">
        <f>IFERROR(INDEX(customers[country], MATCH(orders[[#This Row],[customer_id]], customers[customer_id], 0)), "Unmapped")</f>
        <v>Netherlands</v>
      </c>
      <c r="G3678" t="str">
        <f>IFERROR(INDEX(Region_Map[Region], MATCH(orders[[#This Row],[Customer_Country]], Region_Map[Country], 0)), "Unknown")</f>
        <v>Central Europe</v>
      </c>
      <c r="H3678" t="s">
        <v>6949</v>
      </c>
    </row>
    <row r="3679" spans="1:8">
      <c r="A3679" t="s">
        <v>4579</v>
      </c>
      <c r="B3679" t="s">
        <v>676</v>
      </c>
      <c r="C3679" s="1">
        <v>45155</v>
      </c>
      <c r="D3679" s="1" t="str">
        <f>PROPER(orders[[#This Row],[order_priority]])</f>
        <v>Same Day</v>
      </c>
      <c r="E3679" t="s">
        <v>13322</v>
      </c>
      <c r="F3679" t="str">
        <f>IFERROR(INDEX(customers[country], MATCH(orders[[#This Row],[customer_id]], customers[customer_id], 0)), "Unmapped")</f>
        <v>Latvia</v>
      </c>
      <c r="G3679" t="str">
        <f>IFERROR(INDEX(Region_Map[Region], MATCH(orders[[#This Row],[Customer_Country]], Region_Map[Country], 0)), "Unknown")</f>
        <v>Baltics</v>
      </c>
      <c r="H3679" t="s">
        <v>6949</v>
      </c>
    </row>
    <row r="3680" spans="1:8">
      <c r="A3680" t="s">
        <v>4580</v>
      </c>
      <c r="B3680" t="s">
        <v>822</v>
      </c>
      <c r="C3680" s="1">
        <v>45268</v>
      </c>
      <c r="D3680" s="1" t="str">
        <f>PROPER(orders[[#This Row],[order_priority]])</f>
        <v>Same Day</v>
      </c>
      <c r="E3680" t="s">
        <v>13322</v>
      </c>
      <c r="F3680" t="str">
        <f>IFERROR(INDEX(customers[country], MATCH(orders[[#This Row],[customer_id]], customers[customer_id], 0)), "Unmapped")</f>
        <v>Netherlands</v>
      </c>
      <c r="G3680" t="str">
        <f>IFERROR(INDEX(Region_Map[Region], MATCH(orders[[#This Row],[Customer_Country]], Region_Map[Country], 0)), "Unknown")</f>
        <v>Central Europe</v>
      </c>
      <c r="H3680" t="s">
        <v>6949</v>
      </c>
    </row>
    <row r="3681" spans="1:8">
      <c r="A3681" t="s">
        <v>4581</v>
      </c>
      <c r="B3681" t="s">
        <v>449</v>
      </c>
      <c r="C3681" s="1">
        <v>45565</v>
      </c>
      <c r="D3681" s="1" t="str">
        <f>PROPER(orders[[#This Row],[order_priority]])</f>
        <v>Economy</v>
      </c>
      <c r="E3681" t="s">
        <v>13316</v>
      </c>
      <c r="F3681" t="str">
        <f>IFERROR(INDEX(customers[country], MATCH(orders[[#This Row],[customer_id]], customers[customer_id], 0)), "Unmapped")</f>
        <v>Norway</v>
      </c>
      <c r="G3681" t="str">
        <f>IFERROR(INDEX(Region_Map[Region], MATCH(orders[[#This Row],[Customer_Country]], Region_Map[Country], 0)), "Unknown")</f>
        <v>Nordics</v>
      </c>
      <c r="H3681" t="s">
        <v>6949</v>
      </c>
    </row>
    <row r="3682" spans="1:8">
      <c r="A3682" t="s">
        <v>4582</v>
      </c>
      <c r="B3682" t="s">
        <v>195</v>
      </c>
      <c r="C3682" s="1">
        <v>45541</v>
      </c>
      <c r="D3682" s="1" t="str">
        <f>PROPER(orders[[#This Row],[order_priority]])</f>
        <v>Same Day</v>
      </c>
      <c r="E3682" t="s">
        <v>13322</v>
      </c>
      <c r="F3682" t="str">
        <f>IFERROR(INDEX(customers[country], MATCH(orders[[#This Row],[customer_id]], customers[customer_id], 0)), "Unmapped")</f>
        <v>Latvia</v>
      </c>
      <c r="G3682" t="str">
        <f>IFERROR(INDEX(Region_Map[Region], MATCH(orders[[#This Row],[Customer_Country]], Region_Map[Country], 0)), "Unknown")</f>
        <v>Baltics</v>
      </c>
      <c r="H3682" t="s">
        <v>6949</v>
      </c>
    </row>
    <row r="3683" spans="1:8">
      <c r="A3683" t="s">
        <v>4583</v>
      </c>
      <c r="B3683" t="s">
        <v>240</v>
      </c>
      <c r="C3683" s="1">
        <v>45433</v>
      </c>
      <c r="D3683" s="1" t="str">
        <f>PROPER(orders[[#This Row],[order_priority]])</f>
        <v>Economy</v>
      </c>
      <c r="E3683" t="s">
        <v>13316</v>
      </c>
      <c r="F3683" t="str">
        <f>IFERROR(INDEX(customers[country], MATCH(orders[[#This Row],[customer_id]], customers[customer_id], 0)), "Unmapped")</f>
        <v>Lithuania</v>
      </c>
      <c r="G3683" t="str">
        <f>IFERROR(INDEX(Region_Map[Region], MATCH(orders[[#This Row],[Customer_Country]], Region_Map[Country], 0)), "Unknown")</f>
        <v>Baltics</v>
      </c>
      <c r="H3683" t="s">
        <v>6949</v>
      </c>
    </row>
    <row r="3684" spans="1:8">
      <c r="A3684" t="s">
        <v>4584</v>
      </c>
      <c r="B3684" t="s">
        <v>99</v>
      </c>
      <c r="C3684" s="1">
        <v>45306</v>
      </c>
      <c r="D3684" s="1" t="str">
        <f>PROPER(orders[[#This Row],[order_priority]])</f>
        <v>Express</v>
      </c>
      <c r="E3684" t="s">
        <v>13318</v>
      </c>
      <c r="F3684" t="str">
        <f>IFERROR(INDEX(customers[country], MATCH(orders[[#This Row],[customer_id]], customers[customer_id], 0)), "Unmapped")</f>
        <v>Poland</v>
      </c>
      <c r="G3684" t="str">
        <f>IFERROR(INDEX(Region_Map[Region], MATCH(orders[[#This Row],[Customer_Country]], Region_Map[Country], 0)), "Unknown")</f>
        <v>Central Europe</v>
      </c>
      <c r="H3684" t="s">
        <v>6949</v>
      </c>
    </row>
    <row r="3685" spans="1:8">
      <c r="A3685" t="s">
        <v>4585</v>
      </c>
      <c r="B3685" t="s">
        <v>222</v>
      </c>
      <c r="C3685" s="1">
        <v>45539</v>
      </c>
      <c r="D3685" s="1" t="str">
        <f>PROPER(orders[[#This Row],[order_priority]])</f>
        <v>Standard</v>
      </c>
      <c r="E3685" t="s">
        <v>13317</v>
      </c>
      <c r="F3685" t="str">
        <f>IFERROR(INDEX(customers[country], MATCH(orders[[#This Row],[customer_id]], customers[customer_id], 0)), "Unmapped")</f>
        <v>Norway</v>
      </c>
      <c r="G3685" t="str">
        <f>IFERROR(INDEX(Region_Map[Region], MATCH(orders[[#This Row],[Customer_Country]], Region_Map[Country], 0)), "Unknown")</f>
        <v>Nordics</v>
      </c>
      <c r="H3685" t="s">
        <v>6949</v>
      </c>
    </row>
    <row r="3686" spans="1:8">
      <c r="A3686" t="s">
        <v>4586</v>
      </c>
      <c r="B3686" t="s">
        <v>392</v>
      </c>
      <c r="C3686" s="1">
        <v>45363</v>
      </c>
      <c r="D3686" s="1" t="str">
        <f>PROPER(orders[[#This Row],[order_priority]])</f>
        <v>Economy</v>
      </c>
      <c r="E3686" t="s">
        <v>13328</v>
      </c>
      <c r="F3686" t="str">
        <f>IFERROR(INDEX(customers[country], MATCH(orders[[#This Row],[customer_id]], customers[customer_id], 0)), "Unmapped")</f>
        <v>Latvia</v>
      </c>
      <c r="G3686" t="str">
        <f>IFERROR(INDEX(Region_Map[Region], MATCH(orders[[#This Row],[Customer_Country]], Region_Map[Country], 0)), "Unknown")</f>
        <v>Baltics</v>
      </c>
      <c r="H3686" t="s">
        <v>6949</v>
      </c>
    </row>
    <row r="3687" spans="1:8">
      <c r="A3687" t="s">
        <v>4587</v>
      </c>
      <c r="B3687" t="s">
        <v>903</v>
      </c>
      <c r="C3687" s="1">
        <v>45107</v>
      </c>
      <c r="D3687" s="1" t="str">
        <f>PROPER(orders[[#This Row],[order_priority]])</f>
        <v>Same Day</v>
      </c>
      <c r="E3687" t="s">
        <v>13321</v>
      </c>
      <c r="F3687" t="str">
        <f>IFERROR(INDEX(customers[country], MATCH(orders[[#This Row],[customer_id]], customers[customer_id], 0)), "Unmapped")</f>
        <v>Norway</v>
      </c>
      <c r="G3687" t="str">
        <f>IFERROR(INDEX(Region_Map[Region], MATCH(orders[[#This Row],[Customer_Country]], Region_Map[Country], 0)), "Unknown")</f>
        <v>Nordics</v>
      </c>
      <c r="H3687" t="s">
        <v>6949</v>
      </c>
    </row>
    <row r="3688" spans="1:8">
      <c r="A3688" t="s">
        <v>4588</v>
      </c>
      <c r="B3688" t="s">
        <v>885</v>
      </c>
      <c r="C3688" s="1">
        <v>45476</v>
      </c>
      <c r="D3688" s="1" t="str">
        <f>PROPER(orders[[#This Row],[order_priority]])</f>
        <v>Express</v>
      </c>
      <c r="E3688" t="s">
        <v>13318</v>
      </c>
      <c r="F3688" t="str">
        <f>IFERROR(INDEX(customers[country], MATCH(orders[[#This Row],[customer_id]], customers[customer_id], 0)), "Unmapped")</f>
        <v>Poland</v>
      </c>
      <c r="G3688" t="str">
        <f>IFERROR(INDEX(Region_Map[Region], MATCH(orders[[#This Row],[Customer_Country]], Region_Map[Country], 0)), "Unknown")</f>
        <v>Central Europe</v>
      </c>
      <c r="H3688" t="s">
        <v>6949</v>
      </c>
    </row>
    <row r="3689" spans="1:8">
      <c r="A3689" t="s">
        <v>4589</v>
      </c>
      <c r="B3689" t="s">
        <v>530</v>
      </c>
      <c r="C3689" s="1">
        <v>45511</v>
      </c>
      <c r="D3689" s="1" t="str">
        <f>PROPER(orders[[#This Row],[order_priority]])</f>
        <v>Express</v>
      </c>
      <c r="E3689" t="s">
        <v>13318</v>
      </c>
      <c r="F3689" t="str">
        <f>IFERROR(INDEX(customers[country], MATCH(orders[[#This Row],[customer_id]], customers[customer_id], 0)), "Unmapped")</f>
        <v>Denmark</v>
      </c>
      <c r="G3689" t="str">
        <f>IFERROR(INDEX(Region_Map[Region], MATCH(orders[[#This Row],[Customer_Country]], Region_Map[Country], 0)), "Unknown")</f>
        <v>Nordics</v>
      </c>
      <c r="H3689" t="s">
        <v>6949</v>
      </c>
    </row>
    <row r="3690" spans="1:8">
      <c r="A3690" t="s">
        <v>4590</v>
      </c>
      <c r="B3690" t="s">
        <v>667</v>
      </c>
      <c r="C3690" s="1">
        <v>45302</v>
      </c>
      <c r="D3690" s="1" t="str">
        <f>PROPER(orders[[#This Row],[order_priority]])</f>
        <v>Same Day</v>
      </c>
      <c r="E3690" t="s">
        <v>13322</v>
      </c>
      <c r="F3690" t="str">
        <f>IFERROR(INDEX(customers[country], MATCH(orders[[#This Row],[customer_id]], customers[customer_id], 0)), "Unmapped")</f>
        <v>Germany</v>
      </c>
      <c r="G3690" t="str">
        <f>IFERROR(INDEX(Region_Map[Region], MATCH(orders[[#This Row],[Customer_Country]], Region_Map[Country], 0)), "Unknown")</f>
        <v>Central Europe</v>
      </c>
      <c r="H3690" t="s">
        <v>6949</v>
      </c>
    </row>
    <row r="3691" spans="1:8">
      <c r="A3691" t="s">
        <v>4591</v>
      </c>
      <c r="B3691" t="s">
        <v>503</v>
      </c>
      <c r="C3691" s="1">
        <v>45120</v>
      </c>
      <c r="D3691" s="1" t="str">
        <f>PROPER(orders[[#This Row],[order_priority]])</f>
        <v>Express</v>
      </c>
      <c r="E3691" t="s">
        <v>13318</v>
      </c>
      <c r="F3691" t="str">
        <f>IFERROR(INDEX(customers[country], MATCH(orders[[#This Row],[customer_id]], customers[customer_id], 0)), "Unmapped")</f>
        <v>Denmark</v>
      </c>
      <c r="G3691" t="str">
        <f>IFERROR(INDEX(Region_Map[Region], MATCH(orders[[#This Row],[Customer_Country]], Region_Map[Country], 0)), "Unknown")</f>
        <v>Nordics</v>
      </c>
      <c r="H3691" t="s">
        <v>6949</v>
      </c>
    </row>
    <row r="3692" spans="1:8">
      <c r="A3692" t="s">
        <v>4592</v>
      </c>
      <c r="B3692" t="s">
        <v>440</v>
      </c>
      <c r="C3692" s="1">
        <v>45382</v>
      </c>
      <c r="D3692" s="1" t="str">
        <f>PROPER(orders[[#This Row],[order_priority]])</f>
        <v>Same Day</v>
      </c>
      <c r="E3692" t="s">
        <v>13321</v>
      </c>
      <c r="F3692" t="str">
        <f>IFERROR(INDEX(customers[country], MATCH(orders[[#This Row],[customer_id]], customers[customer_id], 0)), "Unmapped")</f>
        <v>Poland</v>
      </c>
      <c r="G3692" t="str">
        <f>IFERROR(INDEX(Region_Map[Region], MATCH(orders[[#This Row],[Customer_Country]], Region_Map[Country], 0)), "Unknown")</f>
        <v>Central Europe</v>
      </c>
      <c r="H3692" t="s">
        <v>6949</v>
      </c>
    </row>
    <row r="3693" spans="1:8">
      <c r="A3693" t="s">
        <v>4593</v>
      </c>
      <c r="B3693" t="s">
        <v>282</v>
      </c>
      <c r="C3693" s="1">
        <v>45064</v>
      </c>
      <c r="D3693" s="1" t="str">
        <f>PROPER(orders[[#This Row],[order_priority]])</f>
        <v>Same Day</v>
      </c>
      <c r="E3693" t="s">
        <v>13322</v>
      </c>
      <c r="F3693" t="str">
        <f>IFERROR(INDEX(customers[country], MATCH(orders[[#This Row],[customer_id]], customers[customer_id], 0)), "Unmapped")</f>
        <v>Netherlands</v>
      </c>
      <c r="G3693" t="str">
        <f>IFERROR(INDEX(Region_Map[Region], MATCH(orders[[#This Row],[Customer_Country]], Region_Map[Country], 0)), "Unknown")</f>
        <v>Central Europe</v>
      </c>
      <c r="H3693" t="s">
        <v>6949</v>
      </c>
    </row>
    <row r="3694" spans="1:8">
      <c r="A3694" t="s">
        <v>4594</v>
      </c>
      <c r="B3694" t="s">
        <v>172</v>
      </c>
      <c r="C3694" s="1">
        <v>45297</v>
      </c>
      <c r="D3694" s="1" t="str">
        <f>PROPER(orders[[#This Row],[order_priority]])</f>
        <v>Economy</v>
      </c>
      <c r="E3694" t="s">
        <v>13325</v>
      </c>
      <c r="F3694" t="str">
        <f>IFERROR(INDEX(customers[country], MATCH(orders[[#This Row],[customer_id]], customers[customer_id], 0)), "Unmapped")</f>
        <v>Denmark</v>
      </c>
      <c r="G3694" t="str">
        <f>IFERROR(INDEX(Region_Map[Region], MATCH(orders[[#This Row],[Customer_Country]], Region_Map[Country], 0)), "Unknown")</f>
        <v>Nordics</v>
      </c>
      <c r="H3694" t="s">
        <v>6949</v>
      </c>
    </row>
    <row r="3695" spans="1:8">
      <c r="A3695" t="s">
        <v>4595</v>
      </c>
      <c r="B3695" t="s">
        <v>635</v>
      </c>
      <c r="C3695" s="1">
        <v>44973</v>
      </c>
      <c r="D3695" s="1" t="str">
        <f>PROPER(orders[[#This Row],[order_priority]])</f>
        <v>Express</v>
      </c>
      <c r="E3695" t="s">
        <v>13318</v>
      </c>
      <c r="F3695" t="str">
        <f>IFERROR(INDEX(customers[country], MATCH(orders[[#This Row],[customer_id]], customers[customer_id], 0)), "Unmapped")</f>
        <v>Latvia</v>
      </c>
      <c r="G3695" t="str">
        <f>IFERROR(INDEX(Region_Map[Region], MATCH(orders[[#This Row],[Customer_Country]], Region_Map[Country], 0)), "Unknown")</f>
        <v>Baltics</v>
      </c>
      <c r="H3695" t="s">
        <v>6949</v>
      </c>
    </row>
    <row r="3696" spans="1:8">
      <c r="A3696" t="s">
        <v>4596</v>
      </c>
      <c r="B3696" t="s">
        <v>377</v>
      </c>
      <c r="C3696" s="1">
        <v>45268</v>
      </c>
      <c r="D3696" s="1" t="str">
        <f>PROPER(orders[[#This Row],[order_priority]])</f>
        <v>Same Day</v>
      </c>
      <c r="E3696" t="s">
        <v>13322</v>
      </c>
      <c r="F3696" t="str">
        <f>IFERROR(INDEX(customers[country], MATCH(orders[[#This Row],[customer_id]], customers[customer_id], 0)), "Unmapped")</f>
        <v>Denmark</v>
      </c>
      <c r="G3696" t="str">
        <f>IFERROR(INDEX(Region_Map[Region], MATCH(orders[[#This Row],[Customer_Country]], Region_Map[Country], 0)), "Unknown")</f>
        <v>Nordics</v>
      </c>
      <c r="H3696" t="s">
        <v>6949</v>
      </c>
    </row>
    <row r="3697" spans="1:8">
      <c r="A3697" t="s">
        <v>4597</v>
      </c>
      <c r="B3697" t="s">
        <v>368</v>
      </c>
      <c r="C3697" s="1">
        <v>45590</v>
      </c>
      <c r="D3697" s="1" t="str">
        <f>PROPER(orders[[#This Row],[order_priority]])</f>
        <v>Economy</v>
      </c>
      <c r="E3697" t="s">
        <v>13316</v>
      </c>
      <c r="F3697" t="str">
        <f>IFERROR(INDEX(customers[country], MATCH(orders[[#This Row],[customer_id]], customers[customer_id], 0)), "Unmapped")</f>
        <v>Poland</v>
      </c>
      <c r="G3697" t="str">
        <f>IFERROR(INDEX(Region_Map[Region], MATCH(orders[[#This Row],[Customer_Country]], Region_Map[Country], 0)), "Unknown")</f>
        <v>Central Europe</v>
      </c>
      <c r="H3697" t="s">
        <v>6949</v>
      </c>
    </row>
    <row r="3698" spans="1:8">
      <c r="A3698" t="s">
        <v>4598</v>
      </c>
      <c r="B3698" t="s">
        <v>48</v>
      </c>
      <c r="C3698" s="1">
        <v>44929</v>
      </c>
      <c r="D3698" s="1" t="str">
        <f>PROPER(orders[[#This Row],[order_priority]])</f>
        <v>Same Day</v>
      </c>
      <c r="E3698" t="s">
        <v>13322</v>
      </c>
      <c r="F3698" t="str">
        <f>IFERROR(INDEX(customers[country], MATCH(orders[[#This Row],[customer_id]], customers[customer_id], 0)), "Unmapped")</f>
        <v>Poland</v>
      </c>
      <c r="G3698" t="str">
        <f>IFERROR(INDEX(Region_Map[Region], MATCH(orders[[#This Row],[Customer_Country]], Region_Map[Country], 0)), "Unknown")</f>
        <v>Central Europe</v>
      </c>
      <c r="H3698" t="s">
        <v>6949</v>
      </c>
    </row>
    <row r="3699" spans="1:8">
      <c r="A3699" t="s">
        <v>4599</v>
      </c>
      <c r="B3699" t="s">
        <v>802</v>
      </c>
      <c r="C3699" s="1">
        <v>45502</v>
      </c>
      <c r="D3699" s="1" t="str">
        <f>PROPER(orders[[#This Row],[order_priority]])</f>
        <v>Standard</v>
      </c>
      <c r="E3699" t="s">
        <v>13317</v>
      </c>
      <c r="F3699" t="str">
        <f>IFERROR(INDEX(customers[country], MATCH(orders[[#This Row],[customer_id]], customers[customer_id], 0)), "Unmapped")</f>
        <v>Poland</v>
      </c>
      <c r="G3699" t="str">
        <f>IFERROR(INDEX(Region_Map[Region], MATCH(orders[[#This Row],[Customer_Country]], Region_Map[Country], 0)), "Unknown")</f>
        <v>Central Europe</v>
      </c>
      <c r="H3699" t="s">
        <v>6949</v>
      </c>
    </row>
    <row r="3700" spans="1:8">
      <c r="A3700" t="s">
        <v>4600</v>
      </c>
      <c r="B3700" t="s">
        <v>195</v>
      </c>
      <c r="C3700" s="1">
        <v>45533</v>
      </c>
      <c r="D3700" s="1" t="str">
        <f>PROPER(orders[[#This Row],[order_priority]])</f>
        <v>Economy</v>
      </c>
      <c r="E3700" t="s">
        <v>13316</v>
      </c>
      <c r="F3700" t="str">
        <f>IFERROR(INDEX(customers[country], MATCH(orders[[#This Row],[customer_id]], customers[customer_id], 0)), "Unmapped")</f>
        <v>Latvia</v>
      </c>
      <c r="G3700" t="str">
        <f>IFERROR(INDEX(Region_Map[Region], MATCH(orders[[#This Row],[Customer_Country]], Region_Map[Country], 0)), "Unknown")</f>
        <v>Baltics</v>
      </c>
      <c r="H3700" t="s">
        <v>6949</v>
      </c>
    </row>
    <row r="3701" spans="1:8">
      <c r="A3701" t="s">
        <v>4601</v>
      </c>
      <c r="B3701" t="s">
        <v>900</v>
      </c>
      <c r="C3701" s="1">
        <v>45107</v>
      </c>
      <c r="D3701" s="1" t="str">
        <f>PROPER(orders[[#This Row],[order_priority]])</f>
        <v>Express</v>
      </c>
      <c r="E3701" t="s">
        <v>13318</v>
      </c>
      <c r="F3701" t="str">
        <f>IFERROR(INDEX(customers[country], MATCH(orders[[#This Row],[customer_id]], customers[customer_id], 0)), "Unmapped")</f>
        <v>Germany</v>
      </c>
      <c r="G3701" t="str">
        <f>IFERROR(INDEX(Region_Map[Region], MATCH(orders[[#This Row],[Customer_Country]], Region_Map[Country], 0)), "Unknown")</f>
        <v>Central Europe</v>
      </c>
      <c r="H3701" t="s">
        <v>6949</v>
      </c>
    </row>
    <row r="3702" spans="1:8">
      <c r="A3702" t="s">
        <v>4602</v>
      </c>
      <c r="B3702" t="s">
        <v>419</v>
      </c>
      <c r="C3702" s="1">
        <v>45487</v>
      </c>
      <c r="D3702" s="1" t="str">
        <f>PROPER(orders[[#This Row],[order_priority]])</f>
        <v>Express</v>
      </c>
      <c r="E3702" t="s">
        <v>13318</v>
      </c>
      <c r="F3702" t="str">
        <f>IFERROR(INDEX(customers[country], MATCH(orders[[#This Row],[customer_id]], customers[customer_id], 0)), "Unmapped")</f>
        <v>Estonia</v>
      </c>
      <c r="G3702" t="str">
        <f>IFERROR(INDEX(Region_Map[Region], MATCH(orders[[#This Row],[Customer_Country]], Region_Map[Country], 0)), "Unknown")</f>
        <v>Baltics</v>
      </c>
      <c r="H3702" t="s">
        <v>6949</v>
      </c>
    </row>
    <row r="3703" spans="1:8">
      <c r="A3703" t="s">
        <v>4603</v>
      </c>
      <c r="B3703" t="s">
        <v>353</v>
      </c>
      <c r="C3703" s="1">
        <v>45280</v>
      </c>
      <c r="D3703" s="1" t="str">
        <f>PROPER(orders[[#This Row],[order_priority]])</f>
        <v>Express</v>
      </c>
      <c r="E3703" t="s">
        <v>13318</v>
      </c>
      <c r="F3703" t="str">
        <f>IFERROR(INDEX(customers[country], MATCH(orders[[#This Row],[customer_id]], customers[customer_id], 0)), "Unmapped")</f>
        <v>Estonia</v>
      </c>
      <c r="G3703" t="str">
        <f>IFERROR(INDEX(Region_Map[Region], MATCH(orders[[#This Row],[Customer_Country]], Region_Map[Country], 0)), "Unknown")</f>
        <v>Baltics</v>
      </c>
      <c r="H3703" t="s">
        <v>6949</v>
      </c>
    </row>
    <row r="3704" spans="1:8">
      <c r="A3704" t="s">
        <v>4604</v>
      </c>
      <c r="B3704" t="s">
        <v>611</v>
      </c>
      <c r="C3704" s="1">
        <v>45170</v>
      </c>
      <c r="D3704" s="1" t="str">
        <f>PROPER(orders[[#This Row],[order_priority]])</f>
        <v>Express</v>
      </c>
      <c r="E3704" t="s">
        <v>13318</v>
      </c>
      <c r="F3704" t="str">
        <f>IFERROR(INDEX(customers[country], MATCH(orders[[#This Row],[customer_id]], customers[customer_id], 0)), "Unmapped")</f>
        <v>Poland</v>
      </c>
      <c r="G3704" t="str">
        <f>IFERROR(INDEX(Region_Map[Region], MATCH(orders[[#This Row],[Customer_Country]], Region_Map[Country], 0)), "Unknown")</f>
        <v>Central Europe</v>
      </c>
      <c r="H3704" t="s">
        <v>6949</v>
      </c>
    </row>
    <row r="3705" spans="1:8">
      <c r="A3705" t="s">
        <v>4605</v>
      </c>
      <c r="B3705" t="s">
        <v>11</v>
      </c>
      <c r="C3705" s="1">
        <v>45031</v>
      </c>
      <c r="D3705" s="1" t="str">
        <f>PROPER(orders[[#This Row],[order_priority]])</f>
        <v>Same Day</v>
      </c>
      <c r="E3705" t="s">
        <v>13322</v>
      </c>
      <c r="F3705" t="str">
        <f>IFERROR(INDEX(customers[country], MATCH(orders[[#This Row],[customer_id]], customers[customer_id], 0)), "Unmapped")</f>
        <v>Sweden</v>
      </c>
      <c r="G3705" t="str">
        <f>IFERROR(INDEX(Region_Map[Region], MATCH(orders[[#This Row],[Customer_Country]], Region_Map[Country], 0)), "Unknown")</f>
        <v>Nordics</v>
      </c>
      <c r="H3705" t="s">
        <v>6949</v>
      </c>
    </row>
    <row r="3706" spans="1:8">
      <c r="A3706" t="s">
        <v>4606</v>
      </c>
      <c r="B3706" t="s">
        <v>261</v>
      </c>
      <c r="C3706" s="1">
        <v>45203</v>
      </c>
      <c r="D3706" s="1" t="str">
        <f>PROPER(orders[[#This Row],[order_priority]])</f>
        <v>Economy</v>
      </c>
      <c r="E3706" t="s">
        <v>13316</v>
      </c>
      <c r="F3706" t="str">
        <f>IFERROR(INDEX(customers[country], MATCH(orders[[#This Row],[customer_id]], customers[customer_id], 0)), "Unmapped")</f>
        <v>Germany</v>
      </c>
      <c r="G3706" t="str">
        <f>IFERROR(INDEX(Region_Map[Region], MATCH(orders[[#This Row],[Customer_Country]], Region_Map[Country], 0)), "Unknown")</f>
        <v>Central Europe</v>
      </c>
      <c r="H3706" t="s">
        <v>6949</v>
      </c>
    </row>
    <row r="3707" spans="1:8">
      <c r="A3707" t="s">
        <v>4607</v>
      </c>
      <c r="B3707" t="s">
        <v>521</v>
      </c>
      <c r="C3707" s="1">
        <v>45129</v>
      </c>
      <c r="D3707" s="1" t="str">
        <f>PROPER(orders[[#This Row],[order_priority]])</f>
        <v>Same Day</v>
      </c>
      <c r="E3707" t="s">
        <v>13322</v>
      </c>
      <c r="F3707" t="str">
        <f>IFERROR(INDEX(customers[country], MATCH(orders[[#This Row],[customer_id]], customers[customer_id], 0)), "Unmapped")</f>
        <v>Norway</v>
      </c>
      <c r="G3707" t="str">
        <f>IFERROR(INDEX(Region_Map[Region], MATCH(orders[[#This Row],[Customer_Country]], Region_Map[Country], 0)), "Unknown")</f>
        <v>Nordics</v>
      </c>
      <c r="H3707" t="s">
        <v>6949</v>
      </c>
    </row>
    <row r="3708" spans="1:8">
      <c r="A3708" t="s">
        <v>4608</v>
      </c>
      <c r="B3708" t="s">
        <v>127</v>
      </c>
      <c r="C3708" s="1">
        <v>45221</v>
      </c>
      <c r="D3708" s="1" t="str">
        <f>PROPER(orders[[#This Row],[order_priority]])</f>
        <v>Economy</v>
      </c>
      <c r="E3708" t="s">
        <v>13316</v>
      </c>
      <c r="F3708" t="str">
        <f>IFERROR(INDEX(customers[country], MATCH(orders[[#This Row],[customer_id]], customers[customer_id], 0)), "Unmapped")</f>
        <v>Denmark</v>
      </c>
      <c r="G3708" t="str">
        <f>IFERROR(INDEX(Region_Map[Region], MATCH(orders[[#This Row],[Customer_Country]], Region_Map[Country], 0)), "Unknown")</f>
        <v>Nordics</v>
      </c>
      <c r="H3708" t="s">
        <v>6949</v>
      </c>
    </row>
    <row r="3709" spans="1:8">
      <c r="A3709" t="s">
        <v>4609</v>
      </c>
      <c r="B3709" t="s">
        <v>410</v>
      </c>
      <c r="C3709" s="1">
        <v>45229</v>
      </c>
      <c r="D3709" s="1" t="str">
        <f>PROPER(orders[[#This Row],[order_priority]])</f>
        <v>Standard</v>
      </c>
      <c r="E3709" t="s">
        <v>13317</v>
      </c>
      <c r="F3709" t="str">
        <f>IFERROR(INDEX(customers[country], MATCH(orders[[#This Row],[customer_id]], customers[customer_id], 0)), "Unmapped")</f>
        <v>Norway</v>
      </c>
      <c r="G3709" t="str">
        <f>IFERROR(INDEX(Region_Map[Region], MATCH(orders[[#This Row],[Customer_Country]], Region_Map[Country], 0)), "Unknown")</f>
        <v>Nordics</v>
      </c>
      <c r="H3709" t="s">
        <v>6949</v>
      </c>
    </row>
    <row r="3710" spans="1:8">
      <c r="A3710" t="s">
        <v>4610</v>
      </c>
      <c r="B3710" t="s">
        <v>673</v>
      </c>
      <c r="C3710" s="1">
        <v>45206</v>
      </c>
      <c r="D3710" s="1" t="str">
        <f>PROPER(orders[[#This Row],[order_priority]])</f>
        <v>Same Day</v>
      </c>
      <c r="E3710" t="s">
        <v>13322</v>
      </c>
      <c r="F3710" t="str">
        <f>IFERROR(INDEX(customers[country], MATCH(orders[[#This Row],[customer_id]], customers[customer_id], 0)), "Unmapped")</f>
        <v>Sweden</v>
      </c>
      <c r="G3710" t="str">
        <f>IFERROR(INDEX(Region_Map[Region], MATCH(orders[[#This Row],[Customer_Country]], Region_Map[Country], 0)), "Unknown")</f>
        <v>Nordics</v>
      </c>
      <c r="H3710" t="s">
        <v>6949</v>
      </c>
    </row>
    <row r="3711" spans="1:8">
      <c r="A3711" t="s">
        <v>4611</v>
      </c>
      <c r="B3711" t="s">
        <v>575</v>
      </c>
      <c r="C3711" s="1">
        <v>45263</v>
      </c>
      <c r="D3711" s="1" t="str">
        <f>PROPER(orders[[#This Row],[order_priority]])</f>
        <v>Express</v>
      </c>
      <c r="E3711" t="s">
        <v>13320</v>
      </c>
      <c r="F3711" t="str">
        <f>IFERROR(INDEX(customers[country], MATCH(orders[[#This Row],[customer_id]], customers[customer_id], 0)), "Unmapped")</f>
        <v>Netherlands</v>
      </c>
      <c r="G3711" t="str">
        <f>IFERROR(INDEX(Region_Map[Region], MATCH(orders[[#This Row],[Customer_Country]], Region_Map[Country], 0)), "Unknown")</f>
        <v>Central Europe</v>
      </c>
      <c r="H3711" t="s">
        <v>6949</v>
      </c>
    </row>
    <row r="3712" spans="1:8">
      <c r="A3712" t="s">
        <v>4612</v>
      </c>
      <c r="B3712" t="s">
        <v>473</v>
      </c>
      <c r="C3712" s="1">
        <v>45108</v>
      </c>
      <c r="D3712" s="1" t="str">
        <f>PROPER(orders[[#This Row],[order_priority]])</f>
        <v>Express</v>
      </c>
      <c r="E3712" t="s">
        <v>13318</v>
      </c>
      <c r="F3712" t="str">
        <f>IFERROR(INDEX(customers[country], MATCH(orders[[#This Row],[customer_id]], customers[customer_id], 0)), "Unmapped")</f>
        <v>Netherlands</v>
      </c>
      <c r="G3712" t="str">
        <f>IFERROR(INDEX(Region_Map[Region], MATCH(orders[[#This Row],[Customer_Country]], Region_Map[Country], 0)), "Unknown")</f>
        <v>Central Europe</v>
      </c>
      <c r="H3712" t="s">
        <v>6949</v>
      </c>
    </row>
    <row r="3713" spans="1:8">
      <c r="A3713" t="s">
        <v>4613</v>
      </c>
      <c r="B3713" t="s">
        <v>563</v>
      </c>
      <c r="C3713" s="1">
        <v>45030</v>
      </c>
      <c r="D3713" s="1" t="str">
        <f>PROPER(orders[[#This Row],[order_priority]])</f>
        <v>Same Day</v>
      </c>
      <c r="E3713" t="s">
        <v>13322</v>
      </c>
      <c r="F3713" t="str">
        <f>IFERROR(INDEX(customers[country], MATCH(orders[[#This Row],[customer_id]], customers[customer_id], 0)), "Unmapped")</f>
        <v>Estonia</v>
      </c>
      <c r="G3713" t="str">
        <f>IFERROR(INDEX(Region_Map[Region], MATCH(orders[[#This Row],[Customer_Country]], Region_Map[Country], 0)), "Unknown")</f>
        <v>Baltics</v>
      </c>
      <c r="H3713" t="s">
        <v>6949</v>
      </c>
    </row>
    <row r="3714" spans="1:8">
      <c r="A3714" t="s">
        <v>4614</v>
      </c>
      <c r="B3714" t="s">
        <v>326</v>
      </c>
      <c r="C3714" s="1">
        <v>45194</v>
      </c>
      <c r="D3714" s="1" t="str">
        <f>PROPER(orders[[#This Row],[order_priority]])</f>
        <v>Express</v>
      </c>
      <c r="E3714" t="s">
        <v>13318</v>
      </c>
      <c r="F3714" t="str">
        <f>IFERROR(INDEX(customers[country], MATCH(orders[[#This Row],[customer_id]], customers[customer_id], 0)), "Unmapped")</f>
        <v>Lithuania</v>
      </c>
      <c r="G3714" t="str">
        <f>IFERROR(INDEX(Region_Map[Region], MATCH(orders[[#This Row],[Customer_Country]], Region_Map[Country], 0)), "Unknown")</f>
        <v>Baltics</v>
      </c>
      <c r="H3714" t="s">
        <v>6949</v>
      </c>
    </row>
    <row r="3715" spans="1:8">
      <c r="A3715" t="s">
        <v>4615</v>
      </c>
      <c r="B3715" t="s">
        <v>297</v>
      </c>
      <c r="C3715" s="1">
        <v>45559</v>
      </c>
      <c r="D3715" s="1" t="str">
        <f>PROPER(orders[[#This Row],[order_priority]])</f>
        <v>Standard</v>
      </c>
      <c r="E3715" t="s">
        <v>13317</v>
      </c>
      <c r="F3715" t="str">
        <f>IFERROR(INDEX(customers[country], MATCH(orders[[#This Row],[customer_id]], customers[customer_id], 0)), "Unmapped")</f>
        <v>Poland</v>
      </c>
      <c r="G3715" t="str">
        <f>IFERROR(INDEX(Region_Map[Region], MATCH(orders[[#This Row],[Customer_Country]], Region_Map[Country], 0)), "Unknown")</f>
        <v>Central Europe</v>
      </c>
      <c r="H3715" t="s">
        <v>6949</v>
      </c>
    </row>
    <row r="3716" spans="1:8">
      <c r="A3716" t="s">
        <v>4616</v>
      </c>
      <c r="B3716" t="s">
        <v>446</v>
      </c>
      <c r="C3716" s="1">
        <v>45072</v>
      </c>
      <c r="D3716" s="1" t="str">
        <f>PROPER(orders[[#This Row],[order_priority]])</f>
        <v>Same Day</v>
      </c>
      <c r="E3716" t="s">
        <v>13322</v>
      </c>
      <c r="F3716" t="str">
        <f>IFERROR(INDEX(customers[country], MATCH(orders[[#This Row],[customer_id]], customers[customer_id], 0)), "Unmapped")</f>
        <v>Sweden</v>
      </c>
      <c r="G3716" t="str">
        <f>IFERROR(INDEX(Region_Map[Region], MATCH(orders[[#This Row],[Customer_Country]], Region_Map[Country], 0)), "Unknown")</f>
        <v>Nordics</v>
      </c>
      <c r="H3716" t="s">
        <v>6949</v>
      </c>
    </row>
    <row r="3717" spans="1:8">
      <c r="A3717" t="s">
        <v>4617</v>
      </c>
      <c r="B3717" t="s">
        <v>599</v>
      </c>
      <c r="C3717" s="1">
        <v>45084</v>
      </c>
      <c r="D3717" s="1" t="str">
        <f>PROPER(orders[[#This Row],[order_priority]])</f>
        <v>Standard</v>
      </c>
      <c r="E3717" t="s">
        <v>13317</v>
      </c>
      <c r="F3717" t="str">
        <f>IFERROR(INDEX(customers[country], MATCH(orders[[#This Row],[customer_id]], customers[customer_id], 0)), "Unmapped")</f>
        <v>Germany</v>
      </c>
      <c r="G3717" t="str">
        <f>IFERROR(INDEX(Region_Map[Region], MATCH(orders[[#This Row],[Customer_Country]], Region_Map[Country], 0)), "Unknown")</f>
        <v>Central Europe</v>
      </c>
      <c r="H3717" t="s">
        <v>6949</v>
      </c>
    </row>
    <row r="3718" spans="1:8">
      <c r="A3718" t="s">
        <v>4618</v>
      </c>
      <c r="B3718" t="s">
        <v>485</v>
      </c>
      <c r="C3718" s="1">
        <v>45603</v>
      </c>
      <c r="D3718" s="1" t="str">
        <f>PROPER(orders[[#This Row],[order_priority]])</f>
        <v>Same Day</v>
      </c>
      <c r="E3718" t="s">
        <v>13322</v>
      </c>
      <c r="F3718" t="str">
        <f>IFERROR(INDEX(customers[country], MATCH(orders[[#This Row],[customer_id]], customers[customer_id], 0)), "Unmapped")</f>
        <v>Latvia</v>
      </c>
      <c r="G3718" t="str">
        <f>IFERROR(INDEX(Region_Map[Region], MATCH(orders[[#This Row],[Customer_Country]], Region_Map[Country], 0)), "Unknown")</f>
        <v>Baltics</v>
      </c>
      <c r="H3718" t="s">
        <v>6949</v>
      </c>
    </row>
    <row r="3719" spans="1:8">
      <c r="A3719" t="s">
        <v>4619</v>
      </c>
      <c r="B3719" t="s">
        <v>727</v>
      </c>
      <c r="C3719" s="1">
        <v>45423</v>
      </c>
      <c r="D3719" s="1" t="str">
        <f>PROPER(orders[[#This Row],[order_priority]])</f>
        <v>Economy</v>
      </c>
      <c r="E3719" t="s">
        <v>13325</v>
      </c>
      <c r="F3719" t="str">
        <f>IFERROR(INDEX(customers[country], MATCH(orders[[#This Row],[customer_id]], customers[customer_id], 0)), "Unmapped")</f>
        <v>Sweden</v>
      </c>
      <c r="G3719" t="str">
        <f>IFERROR(INDEX(Region_Map[Region], MATCH(orders[[#This Row],[Customer_Country]], Region_Map[Country], 0)), "Unknown")</f>
        <v>Nordics</v>
      </c>
      <c r="H3719" t="s">
        <v>6949</v>
      </c>
    </row>
    <row r="3720" spans="1:8">
      <c r="A3720" t="s">
        <v>4620</v>
      </c>
      <c r="B3720" t="s">
        <v>473</v>
      </c>
      <c r="C3720" s="1">
        <v>45113</v>
      </c>
      <c r="D3720" s="1" t="str">
        <f>PROPER(orders[[#This Row],[order_priority]])</f>
        <v>Express</v>
      </c>
      <c r="E3720" t="s">
        <v>13318</v>
      </c>
      <c r="F3720" t="str">
        <f>IFERROR(INDEX(customers[country], MATCH(orders[[#This Row],[customer_id]], customers[customer_id], 0)), "Unmapped")</f>
        <v>Netherlands</v>
      </c>
      <c r="G3720" t="str">
        <f>IFERROR(INDEX(Region_Map[Region], MATCH(orders[[#This Row],[Customer_Country]], Region_Map[Country], 0)), "Unknown")</f>
        <v>Central Europe</v>
      </c>
      <c r="H3720" t="s">
        <v>6949</v>
      </c>
    </row>
    <row r="3721" spans="1:8">
      <c r="A3721" t="s">
        <v>4621</v>
      </c>
      <c r="B3721" t="s">
        <v>70</v>
      </c>
      <c r="C3721" s="1">
        <v>45472</v>
      </c>
      <c r="D3721" s="1" t="str">
        <f>PROPER(orders[[#This Row],[order_priority]])</f>
        <v>Economy</v>
      </c>
      <c r="E3721" t="s">
        <v>13316</v>
      </c>
      <c r="F3721" t="str">
        <f>IFERROR(INDEX(customers[country], MATCH(orders[[#This Row],[customer_id]], customers[customer_id], 0)), "Unmapped")</f>
        <v>Estonia</v>
      </c>
      <c r="G3721" t="str">
        <f>IFERROR(INDEX(Region_Map[Region], MATCH(orders[[#This Row],[Customer_Country]], Region_Map[Country], 0)), "Unknown")</f>
        <v>Baltics</v>
      </c>
      <c r="H3721" t="s">
        <v>6949</v>
      </c>
    </row>
    <row r="3722" spans="1:8">
      <c r="A3722" t="s">
        <v>4622</v>
      </c>
      <c r="B3722" t="s">
        <v>329</v>
      </c>
      <c r="C3722" s="1">
        <v>44934</v>
      </c>
      <c r="D3722" s="1" t="str">
        <f>PROPER(orders[[#This Row],[order_priority]])</f>
        <v>Economy</v>
      </c>
      <c r="E3722" t="s">
        <v>13316</v>
      </c>
      <c r="F3722" t="str">
        <f>IFERROR(INDEX(customers[country], MATCH(orders[[#This Row],[customer_id]], customers[customer_id], 0)), "Unmapped")</f>
        <v>Poland</v>
      </c>
      <c r="G3722" t="str">
        <f>IFERROR(INDEX(Region_Map[Region], MATCH(orders[[#This Row],[Customer_Country]], Region_Map[Country], 0)), "Unknown")</f>
        <v>Central Europe</v>
      </c>
      <c r="H3722" t="s">
        <v>6949</v>
      </c>
    </row>
    <row r="3723" spans="1:8">
      <c r="A3723" t="s">
        <v>4623</v>
      </c>
      <c r="B3723" t="s">
        <v>527</v>
      </c>
      <c r="C3723" s="1">
        <v>45445</v>
      </c>
      <c r="D3723" s="1" t="str">
        <f>PROPER(orders[[#This Row],[order_priority]])</f>
        <v>Standard</v>
      </c>
      <c r="E3723" t="s">
        <v>13317</v>
      </c>
      <c r="F3723" t="str">
        <f>IFERROR(INDEX(customers[country], MATCH(orders[[#This Row],[customer_id]], customers[customer_id], 0)), "Unmapped")</f>
        <v>Sweden</v>
      </c>
      <c r="G3723" t="str">
        <f>IFERROR(INDEX(Region_Map[Region], MATCH(orders[[#This Row],[Customer_Country]], Region_Map[Country], 0)), "Unknown")</f>
        <v>Nordics</v>
      </c>
      <c r="H3723" t="s">
        <v>6949</v>
      </c>
    </row>
    <row r="3724" spans="1:8">
      <c r="A3724" t="s">
        <v>4624</v>
      </c>
      <c r="B3724" t="s">
        <v>855</v>
      </c>
      <c r="C3724" s="1">
        <v>45315</v>
      </c>
      <c r="D3724" s="1" t="str">
        <f>PROPER(orders[[#This Row],[order_priority]])</f>
        <v>Standard</v>
      </c>
      <c r="E3724" t="s">
        <v>13317</v>
      </c>
      <c r="F3724" t="str">
        <f>IFERROR(INDEX(customers[country], MATCH(orders[[#This Row],[customer_id]], customers[customer_id], 0)), "Unmapped")</f>
        <v>Latvia</v>
      </c>
      <c r="G3724" t="str">
        <f>IFERROR(INDEX(Region_Map[Region], MATCH(orders[[#This Row],[Customer_Country]], Region_Map[Country], 0)), "Unknown")</f>
        <v>Baltics</v>
      </c>
      <c r="H3724" t="s">
        <v>6949</v>
      </c>
    </row>
    <row r="3725" spans="1:8">
      <c r="A3725" t="s">
        <v>4625</v>
      </c>
      <c r="B3725" t="s">
        <v>518</v>
      </c>
      <c r="C3725" s="1">
        <v>45367</v>
      </c>
      <c r="D3725" s="1" t="str">
        <f>PROPER(orders[[#This Row],[order_priority]])</f>
        <v>Standard</v>
      </c>
      <c r="E3725" t="s">
        <v>13317</v>
      </c>
      <c r="F3725" t="str">
        <f>IFERROR(INDEX(customers[country], MATCH(orders[[#This Row],[customer_id]], customers[customer_id], 0)), "Unmapped")</f>
        <v>Germany</v>
      </c>
      <c r="G3725" t="str">
        <f>IFERROR(INDEX(Region_Map[Region], MATCH(orders[[#This Row],[Customer_Country]], Region_Map[Country], 0)), "Unknown")</f>
        <v>Central Europe</v>
      </c>
      <c r="H3725" t="s">
        <v>6949</v>
      </c>
    </row>
    <row r="3726" spans="1:8">
      <c r="A3726" t="s">
        <v>4626</v>
      </c>
      <c r="B3726" t="s">
        <v>778</v>
      </c>
      <c r="C3726" s="1">
        <v>45027</v>
      </c>
      <c r="D3726" s="1" t="str">
        <f>PROPER(orders[[#This Row],[order_priority]])</f>
        <v>Economy</v>
      </c>
      <c r="E3726" t="s">
        <v>13316</v>
      </c>
      <c r="F3726" t="str">
        <f>IFERROR(INDEX(customers[country], MATCH(orders[[#This Row],[customer_id]], customers[customer_id], 0)), "Unmapped")</f>
        <v>Estonia</v>
      </c>
      <c r="G3726" t="str">
        <f>IFERROR(INDEX(Region_Map[Region], MATCH(orders[[#This Row],[Customer_Country]], Region_Map[Country], 0)), "Unknown")</f>
        <v>Baltics</v>
      </c>
      <c r="H3726" t="s">
        <v>6949</v>
      </c>
    </row>
    <row r="3727" spans="1:8">
      <c r="A3727" t="s">
        <v>4627</v>
      </c>
      <c r="B3727" t="s">
        <v>755</v>
      </c>
      <c r="C3727" s="1">
        <v>45022</v>
      </c>
      <c r="D3727" s="1" t="str">
        <f>PROPER(orders[[#This Row],[order_priority]])</f>
        <v>Standard</v>
      </c>
      <c r="E3727" t="s">
        <v>13317</v>
      </c>
      <c r="F3727" t="str">
        <f>IFERROR(INDEX(customers[country], MATCH(orders[[#This Row],[customer_id]], customers[customer_id], 0)), "Unmapped")</f>
        <v>Denmark</v>
      </c>
      <c r="G3727" t="str">
        <f>IFERROR(INDEX(Region_Map[Region], MATCH(orders[[#This Row],[Customer_Country]], Region_Map[Country], 0)), "Unknown")</f>
        <v>Nordics</v>
      </c>
      <c r="H3727" t="s">
        <v>6949</v>
      </c>
    </row>
    <row r="3728" spans="1:8">
      <c r="A3728" t="s">
        <v>4628</v>
      </c>
      <c r="B3728" t="s">
        <v>145</v>
      </c>
      <c r="C3728" s="1">
        <v>45586</v>
      </c>
      <c r="D3728" s="1" t="str">
        <f>PROPER(orders[[#This Row],[order_priority]])</f>
        <v>Economy</v>
      </c>
      <c r="E3728" t="s">
        <v>13316</v>
      </c>
      <c r="F3728" t="str">
        <f>IFERROR(INDEX(customers[country], MATCH(orders[[#This Row],[customer_id]], customers[customer_id], 0)), "Unmapped")</f>
        <v>Latvia</v>
      </c>
      <c r="G3728" t="str">
        <f>IFERROR(INDEX(Region_Map[Region], MATCH(orders[[#This Row],[Customer_Country]], Region_Map[Country], 0)), "Unknown")</f>
        <v>Baltics</v>
      </c>
      <c r="H3728" t="s">
        <v>6949</v>
      </c>
    </row>
    <row r="3729" spans="1:8">
      <c r="A3729" t="s">
        <v>4629</v>
      </c>
      <c r="B3729" t="s">
        <v>503</v>
      </c>
      <c r="C3729" s="1">
        <v>45557</v>
      </c>
      <c r="D3729" s="1" t="str">
        <f>PROPER(orders[[#This Row],[order_priority]])</f>
        <v>Economy</v>
      </c>
      <c r="E3729" t="s">
        <v>13316</v>
      </c>
      <c r="F3729" t="str">
        <f>IFERROR(INDEX(customers[country], MATCH(orders[[#This Row],[customer_id]], customers[customer_id], 0)), "Unmapped")</f>
        <v>Denmark</v>
      </c>
      <c r="G3729" t="str">
        <f>IFERROR(INDEX(Region_Map[Region], MATCH(orders[[#This Row],[Customer_Country]], Region_Map[Country], 0)), "Unknown")</f>
        <v>Nordics</v>
      </c>
      <c r="H3729" t="s">
        <v>6949</v>
      </c>
    </row>
    <row r="3730" spans="1:8">
      <c r="A3730" t="s">
        <v>4630</v>
      </c>
      <c r="B3730" t="s">
        <v>311</v>
      </c>
      <c r="C3730" s="1">
        <v>44981</v>
      </c>
      <c r="D3730" s="1" t="str">
        <f>PROPER(orders[[#This Row],[order_priority]])</f>
        <v>Standard</v>
      </c>
      <c r="E3730" t="s">
        <v>13319</v>
      </c>
      <c r="F3730" t="str">
        <f>IFERROR(INDEX(customers[country], MATCH(orders[[#This Row],[customer_id]], customers[customer_id], 0)), "Unmapped")</f>
        <v>Netherlands</v>
      </c>
      <c r="G3730" t="str">
        <f>IFERROR(INDEX(Region_Map[Region], MATCH(orders[[#This Row],[Customer_Country]], Region_Map[Country], 0)), "Unknown")</f>
        <v>Central Europe</v>
      </c>
      <c r="H3730" t="s">
        <v>6949</v>
      </c>
    </row>
    <row r="3731" spans="1:8">
      <c r="A3731" t="s">
        <v>4631</v>
      </c>
      <c r="B3731" t="s">
        <v>670</v>
      </c>
      <c r="C3731" s="1">
        <v>45623</v>
      </c>
      <c r="D3731" s="1" t="str">
        <f>PROPER(orders[[#This Row],[order_priority]])</f>
        <v>Economy</v>
      </c>
      <c r="E3731" t="s">
        <v>13316</v>
      </c>
      <c r="F3731" t="str">
        <f>IFERROR(INDEX(customers[country], MATCH(orders[[#This Row],[customer_id]], customers[customer_id], 0)), "Unmapped")</f>
        <v>Netherlands</v>
      </c>
      <c r="G3731" t="str">
        <f>IFERROR(INDEX(Region_Map[Region], MATCH(orders[[#This Row],[Customer_Country]], Region_Map[Country], 0)), "Unknown")</f>
        <v>Central Europe</v>
      </c>
      <c r="H3731" t="s">
        <v>6949</v>
      </c>
    </row>
    <row r="3732" spans="1:8">
      <c r="A3732" t="s">
        <v>4632</v>
      </c>
      <c r="B3732" t="s">
        <v>344</v>
      </c>
      <c r="C3732" s="1">
        <v>45547</v>
      </c>
      <c r="D3732" s="1" t="str">
        <f>PROPER(orders[[#This Row],[order_priority]])</f>
        <v>Standard</v>
      </c>
      <c r="E3732" t="s">
        <v>13317</v>
      </c>
      <c r="F3732" t="str">
        <f>IFERROR(INDEX(customers[country], MATCH(orders[[#This Row],[customer_id]], customers[customer_id], 0)), "Unmapped")</f>
        <v>Estonia</v>
      </c>
      <c r="G3732" t="str">
        <f>IFERROR(INDEX(Region_Map[Region], MATCH(orders[[#This Row],[Customer_Country]], Region_Map[Country], 0)), "Unknown")</f>
        <v>Baltics</v>
      </c>
      <c r="H3732" t="s">
        <v>6949</v>
      </c>
    </row>
    <row r="3733" spans="1:8">
      <c r="A3733" t="s">
        <v>4633</v>
      </c>
      <c r="B3733" t="s">
        <v>112</v>
      </c>
      <c r="C3733" s="1">
        <v>45147</v>
      </c>
      <c r="D3733" s="1" t="str">
        <f>PROPER(orders[[#This Row],[order_priority]])</f>
        <v>Economy</v>
      </c>
      <c r="E3733" t="s">
        <v>13316</v>
      </c>
      <c r="F3733" t="str">
        <f>IFERROR(INDEX(customers[country], MATCH(orders[[#This Row],[customer_id]], customers[customer_id], 0)), "Unmapped")</f>
        <v>Finland</v>
      </c>
      <c r="G3733" t="str">
        <f>IFERROR(INDEX(Region_Map[Region], MATCH(orders[[#This Row],[Customer_Country]], Region_Map[Country], 0)), "Unknown")</f>
        <v>Nordics</v>
      </c>
      <c r="H3733" t="s">
        <v>6949</v>
      </c>
    </row>
    <row r="3734" spans="1:8">
      <c r="A3734" t="s">
        <v>4634</v>
      </c>
      <c r="B3734" t="s">
        <v>449</v>
      </c>
      <c r="C3734" s="1">
        <v>45039</v>
      </c>
      <c r="D3734" s="1" t="str">
        <f>PROPER(orders[[#This Row],[order_priority]])</f>
        <v>Economy</v>
      </c>
      <c r="E3734" t="s">
        <v>13328</v>
      </c>
      <c r="F3734" t="str">
        <f>IFERROR(INDEX(customers[country], MATCH(orders[[#This Row],[customer_id]], customers[customer_id], 0)), "Unmapped")</f>
        <v>Norway</v>
      </c>
      <c r="G3734" t="str">
        <f>IFERROR(INDEX(Region_Map[Region], MATCH(orders[[#This Row],[Customer_Country]], Region_Map[Country], 0)), "Unknown")</f>
        <v>Nordics</v>
      </c>
      <c r="H3734" t="s">
        <v>6949</v>
      </c>
    </row>
    <row r="3735" spans="1:8">
      <c r="A3735" t="s">
        <v>4635</v>
      </c>
      <c r="B3735" t="s">
        <v>70</v>
      </c>
      <c r="C3735" s="1">
        <v>44947</v>
      </c>
      <c r="D3735" s="1" t="str">
        <f>PROPER(orders[[#This Row],[order_priority]])</f>
        <v>Economy</v>
      </c>
      <c r="E3735" t="s">
        <v>13325</v>
      </c>
      <c r="F3735" t="str">
        <f>IFERROR(INDEX(customers[country], MATCH(orders[[#This Row],[customer_id]], customers[customer_id], 0)), "Unmapped")</f>
        <v>Estonia</v>
      </c>
      <c r="G3735" t="str">
        <f>IFERROR(INDEX(Region_Map[Region], MATCH(orders[[#This Row],[Customer_Country]], Region_Map[Country], 0)), "Unknown")</f>
        <v>Baltics</v>
      </c>
      <c r="H3735" t="s">
        <v>6949</v>
      </c>
    </row>
    <row r="3736" spans="1:8">
      <c r="A3736" t="s">
        <v>4636</v>
      </c>
      <c r="B3736" t="s">
        <v>870</v>
      </c>
      <c r="C3736" s="1">
        <v>45476</v>
      </c>
      <c r="D3736" s="1" t="str">
        <f>PROPER(orders[[#This Row],[order_priority]])</f>
        <v>Standard</v>
      </c>
      <c r="E3736" t="s">
        <v>13317</v>
      </c>
      <c r="F3736" t="str">
        <f>IFERROR(INDEX(customers[country], MATCH(orders[[#This Row],[customer_id]], customers[customer_id], 0)), "Unmapped")</f>
        <v>Estonia</v>
      </c>
      <c r="G3736" t="str">
        <f>IFERROR(INDEX(Region_Map[Region], MATCH(orders[[#This Row],[Customer_Country]], Region_Map[Country], 0)), "Unknown")</f>
        <v>Baltics</v>
      </c>
      <c r="H3736" t="s">
        <v>6949</v>
      </c>
    </row>
    <row r="3737" spans="1:8">
      <c r="A3737" t="s">
        <v>4637</v>
      </c>
      <c r="B3737" t="s">
        <v>297</v>
      </c>
      <c r="C3737" s="1">
        <v>45092</v>
      </c>
      <c r="D3737" s="1" t="str">
        <f>PROPER(orders[[#This Row],[order_priority]])</f>
        <v>Express</v>
      </c>
      <c r="E3737" t="s">
        <v>13318</v>
      </c>
      <c r="F3737" t="str">
        <f>IFERROR(INDEX(customers[country], MATCH(orders[[#This Row],[customer_id]], customers[customer_id], 0)), "Unmapped")</f>
        <v>Poland</v>
      </c>
      <c r="G3737" t="str">
        <f>IFERROR(INDEX(Region_Map[Region], MATCH(orders[[#This Row],[Customer_Country]], Region_Map[Country], 0)), "Unknown")</f>
        <v>Central Europe</v>
      </c>
      <c r="H3737" t="s">
        <v>6949</v>
      </c>
    </row>
    <row r="3738" spans="1:8">
      <c r="A3738" t="s">
        <v>4638</v>
      </c>
      <c r="B3738" t="s">
        <v>428</v>
      </c>
      <c r="C3738" s="1">
        <v>45421</v>
      </c>
      <c r="D3738" s="1" t="str">
        <f>PROPER(orders[[#This Row],[order_priority]])</f>
        <v>Same Day</v>
      </c>
      <c r="E3738" t="s">
        <v>13322</v>
      </c>
      <c r="F3738" t="str">
        <f>IFERROR(INDEX(customers[country], MATCH(orders[[#This Row],[customer_id]], customers[customer_id], 0)), "Unmapped")</f>
        <v>Finland</v>
      </c>
      <c r="G3738" t="str">
        <f>IFERROR(INDEX(Region_Map[Region], MATCH(orders[[#This Row],[Customer_Country]], Region_Map[Country], 0)), "Unknown")</f>
        <v>Nordics</v>
      </c>
      <c r="H3738" t="s">
        <v>6949</v>
      </c>
    </row>
    <row r="3739" spans="1:8">
      <c r="A3739" t="s">
        <v>4639</v>
      </c>
      <c r="B3739" t="s">
        <v>664</v>
      </c>
      <c r="C3739" s="1">
        <v>45203</v>
      </c>
      <c r="D3739" s="1" t="str">
        <f>PROPER(orders[[#This Row],[order_priority]])</f>
        <v>Express</v>
      </c>
      <c r="E3739" t="s">
        <v>13318</v>
      </c>
      <c r="F3739" t="str">
        <f>IFERROR(INDEX(customers[country], MATCH(orders[[#This Row],[customer_id]], customers[customer_id], 0)), "Unmapped")</f>
        <v>Latvia</v>
      </c>
      <c r="G3739" t="str">
        <f>IFERROR(INDEX(Region_Map[Region], MATCH(orders[[#This Row],[Customer_Country]], Region_Map[Country], 0)), "Unknown")</f>
        <v>Baltics</v>
      </c>
      <c r="H3739" t="s">
        <v>6949</v>
      </c>
    </row>
    <row r="3740" spans="1:8">
      <c r="A3740" t="s">
        <v>4640</v>
      </c>
      <c r="B3740" t="s">
        <v>216</v>
      </c>
      <c r="C3740" s="1">
        <v>45567</v>
      </c>
      <c r="D3740" s="1" t="str">
        <f>PROPER(orders[[#This Row],[order_priority]])</f>
        <v>Same Day</v>
      </c>
      <c r="E3740" t="s">
        <v>13322</v>
      </c>
      <c r="F3740" t="str">
        <f>IFERROR(INDEX(customers[country], MATCH(orders[[#This Row],[customer_id]], customers[customer_id], 0)), "Unmapped")</f>
        <v>Norway</v>
      </c>
      <c r="G3740" t="str">
        <f>IFERROR(INDEX(Region_Map[Region], MATCH(orders[[#This Row],[Customer_Country]], Region_Map[Country], 0)), "Unknown")</f>
        <v>Nordics</v>
      </c>
      <c r="H3740" t="s">
        <v>6949</v>
      </c>
    </row>
    <row r="3741" spans="1:8">
      <c r="A3741" t="s">
        <v>4641</v>
      </c>
      <c r="B3741" t="s">
        <v>234</v>
      </c>
      <c r="C3741" s="1">
        <v>45593</v>
      </c>
      <c r="D3741" s="1" t="str">
        <f>PROPER(orders[[#This Row],[order_priority]])</f>
        <v>Economy</v>
      </c>
      <c r="E3741" t="s">
        <v>13316</v>
      </c>
      <c r="F3741" t="str">
        <f>IFERROR(INDEX(customers[country], MATCH(orders[[#This Row],[customer_id]], customers[customer_id], 0)), "Unmapped")</f>
        <v>Finland</v>
      </c>
      <c r="G3741" t="str">
        <f>IFERROR(INDEX(Region_Map[Region], MATCH(orders[[#This Row],[Customer_Country]], Region_Map[Country], 0)), "Unknown")</f>
        <v>Nordics</v>
      </c>
      <c r="H3741" t="s">
        <v>6949</v>
      </c>
    </row>
    <row r="3742" spans="1:8">
      <c r="A3742" t="s">
        <v>4642</v>
      </c>
      <c r="B3742" t="s">
        <v>787</v>
      </c>
      <c r="C3742" s="1">
        <v>45210</v>
      </c>
      <c r="D3742" s="1" t="str">
        <f>PROPER(orders[[#This Row],[order_priority]])</f>
        <v>Economy</v>
      </c>
      <c r="E3742" t="s">
        <v>13325</v>
      </c>
      <c r="F3742" t="str">
        <f>IFERROR(INDEX(customers[country], MATCH(orders[[#This Row],[customer_id]], customers[customer_id], 0)), "Unmapped")</f>
        <v>Netherlands</v>
      </c>
      <c r="G3742" t="str">
        <f>IFERROR(INDEX(Region_Map[Region], MATCH(orders[[#This Row],[Customer_Country]], Region_Map[Country], 0)), "Unknown")</f>
        <v>Central Europe</v>
      </c>
      <c r="H3742" t="s">
        <v>6949</v>
      </c>
    </row>
    <row r="3743" spans="1:8">
      <c r="A3743" t="s">
        <v>4643</v>
      </c>
      <c r="B3743" t="s">
        <v>822</v>
      </c>
      <c r="C3743" s="1">
        <v>45504</v>
      </c>
      <c r="D3743" s="1" t="str">
        <f>PROPER(orders[[#This Row],[order_priority]])</f>
        <v>Economy</v>
      </c>
      <c r="E3743" t="s">
        <v>13316</v>
      </c>
      <c r="F3743" t="str">
        <f>IFERROR(INDEX(customers[country], MATCH(orders[[#This Row],[customer_id]], customers[customer_id], 0)), "Unmapped")</f>
        <v>Netherlands</v>
      </c>
      <c r="G3743" t="str">
        <f>IFERROR(INDEX(Region_Map[Region], MATCH(orders[[#This Row],[Customer_Country]], Region_Map[Country], 0)), "Unknown")</f>
        <v>Central Europe</v>
      </c>
      <c r="H3743" t="s">
        <v>6949</v>
      </c>
    </row>
    <row r="3744" spans="1:8">
      <c r="A3744" t="s">
        <v>4644</v>
      </c>
      <c r="B3744" t="s">
        <v>267</v>
      </c>
      <c r="C3744" s="1">
        <v>45112</v>
      </c>
      <c r="D3744" s="1" t="str">
        <f>PROPER(orders[[#This Row],[order_priority]])</f>
        <v>Standard</v>
      </c>
      <c r="E3744" t="s">
        <v>13317</v>
      </c>
      <c r="F3744" t="str">
        <f>IFERROR(INDEX(customers[country], MATCH(orders[[#This Row],[customer_id]], customers[customer_id], 0)), "Unmapped")</f>
        <v>Norway</v>
      </c>
      <c r="G3744" t="str">
        <f>IFERROR(INDEX(Region_Map[Region], MATCH(orders[[#This Row],[Customer_Country]], Region_Map[Country], 0)), "Unknown")</f>
        <v>Nordics</v>
      </c>
      <c r="H3744" t="s">
        <v>6949</v>
      </c>
    </row>
    <row r="3745" spans="1:8">
      <c r="A3745" t="s">
        <v>4645</v>
      </c>
      <c r="B3745" t="s">
        <v>201</v>
      </c>
      <c r="C3745" s="1">
        <v>45289</v>
      </c>
      <c r="D3745" s="1" t="str">
        <f>PROPER(orders[[#This Row],[order_priority]])</f>
        <v>Same Day</v>
      </c>
      <c r="E3745" t="s">
        <v>13322</v>
      </c>
      <c r="F3745" t="str">
        <f>IFERROR(INDEX(customers[country], MATCH(orders[[#This Row],[customer_id]], customers[customer_id], 0)), "Unmapped")</f>
        <v>Estonia</v>
      </c>
      <c r="G3745" t="str">
        <f>IFERROR(INDEX(Region_Map[Region], MATCH(orders[[#This Row],[Customer_Country]], Region_Map[Country], 0)), "Unknown")</f>
        <v>Baltics</v>
      </c>
      <c r="H3745" t="s">
        <v>6949</v>
      </c>
    </row>
    <row r="3746" spans="1:8">
      <c r="A3746" t="s">
        <v>4646</v>
      </c>
      <c r="B3746" t="s">
        <v>521</v>
      </c>
      <c r="C3746" s="1">
        <v>45092</v>
      </c>
      <c r="D3746" s="1" t="str">
        <f>PROPER(orders[[#This Row],[order_priority]])</f>
        <v>Same Day</v>
      </c>
      <c r="E3746" t="s">
        <v>13322</v>
      </c>
      <c r="F3746" t="str">
        <f>IFERROR(INDEX(customers[country], MATCH(orders[[#This Row],[customer_id]], customers[customer_id], 0)), "Unmapped")</f>
        <v>Norway</v>
      </c>
      <c r="G3746" t="str">
        <f>IFERROR(INDEX(Region_Map[Region], MATCH(orders[[#This Row],[Customer_Country]], Region_Map[Country], 0)), "Unknown")</f>
        <v>Nordics</v>
      </c>
      <c r="H3746" t="s">
        <v>6949</v>
      </c>
    </row>
    <row r="3747" spans="1:8">
      <c r="A3747" t="s">
        <v>4647</v>
      </c>
      <c r="B3747" t="s">
        <v>356</v>
      </c>
      <c r="C3747" s="1">
        <v>45409</v>
      </c>
      <c r="D3747" s="1" t="str">
        <f>PROPER(orders[[#This Row],[order_priority]])</f>
        <v>Same Day</v>
      </c>
      <c r="E3747" t="s">
        <v>13322</v>
      </c>
      <c r="F3747" t="str">
        <f>IFERROR(INDEX(customers[country], MATCH(orders[[#This Row],[customer_id]], customers[customer_id], 0)), "Unmapped")</f>
        <v>Netherlands</v>
      </c>
      <c r="G3747" t="str">
        <f>IFERROR(INDEX(Region_Map[Region], MATCH(orders[[#This Row],[Customer_Country]], Region_Map[Country], 0)), "Unknown")</f>
        <v>Central Europe</v>
      </c>
      <c r="H3747" t="s">
        <v>6949</v>
      </c>
    </row>
    <row r="3748" spans="1:8">
      <c r="A3748" t="s">
        <v>4648</v>
      </c>
      <c r="B3748" t="s">
        <v>13352</v>
      </c>
      <c r="C3748" s="1">
        <v>45230</v>
      </c>
      <c r="D3748" s="1" t="str">
        <f>PROPER(orders[[#This Row],[order_priority]])</f>
        <v>Express</v>
      </c>
      <c r="E3748" t="s">
        <v>13318</v>
      </c>
      <c r="F3748" t="str">
        <f>IFERROR(INDEX(customers[country], MATCH(orders[[#This Row],[customer_id]], customers[customer_id], 0)), "Unmapped")</f>
        <v>Unmapped</v>
      </c>
      <c r="G3748" t="str">
        <f>IFERROR(INDEX(Region_Map[Region], MATCH(orders[[#This Row],[Customer_Country]], Region_Map[Country], 0)), "Unknown")</f>
        <v>Unknown</v>
      </c>
      <c r="H3748" t="s">
        <v>6949</v>
      </c>
    </row>
    <row r="3749" spans="1:8">
      <c r="A3749" t="s">
        <v>4649</v>
      </c>
      <c r="B3749" t="s">
        <v>816</v>
      </c>
      <c r="C3749" s="1">
        <v>45232</v>
      </c>
      <c r="D3749" s="1" t="str">
        <f>PROPER(orders[[#This Row],[order_priority]])</f>
        <v>Express</v>
      </c>
      <c r="E3749" t="s">
        <v>13318</v>
      </c>
      <c r="F3749" t="str">
        <f>IFERROR(INDEX(customers[country], MATCH(orders[[#This Row],[customer_id]], customers[customer_id], 0)), "Unmapped")</f>
        <v>Lithuania</v>
      </c>
      <c r="G3749" t="str">
        <f>IFERROR(INDEX(Region_Map[Region], MATCH(orders[[#This Row],[Customer_Country]], Region_Map[Country], 0)), "Unknown")</f>
        <v>Baltics</v>
      </c>
      <c r="H3749" t="s">
        <v>6949</v>
      </c>
    </row>
    <row r="3750" spans="1:8">
      <c r="A3750" t="s">
        <v>4650</v>
      </c>
      <c r="B3750" t="s">
        <v>563</v>
      </c>
      <c r="C3750" s="1">
        <v>45122</v>
      </c>
      <c r="D3750" s="1" t="str">
        <f>PROPER(orders[[#This Row],[order_priority]])</f>
        <v>Same Day</v>
      </c>
      <c r="E3750" t="s">
        <v>13322</v>
      </c>
      <c r="F3750" t="str">
        <f>IFERROR(INDEX(customers[country], MATCH(orders[[#This Row],[customer_id]], customers[customer_id], 0)), "Unmapped")</f>
        <v>Estonia</v>
      </c>
      <c r="G3750" t="str">
        <f>IFERROR(INDEX(Region_Map[Region], MATCH(orders[[#This Row],[Customer_Country]], Region_Map[Country], 0)), "Unknown")</f>
        <v>Baltics</v>
      </c>
      <c r="H3750" t="s">
        <v>6949</v>
      </c>
    </row>
    <row r="3751" spans="1:8">
      <c r="A3751" t="s">
        <v>4651</v>
      </c>
      <c r="B3751" t="s">
        <v>294</v>
      </c>
      <c r="C3751" s="1">
        <v>45417</v>
      </c>
      <c r="D3751" s="1" t="str">
        <f>PROPER(orders[[#This Row],[order_priority]])</f>
        <v>Economy</v>
      </c>
      <c r="E3751" t="s">
        <v>13316</v>
      </c>
      <c r="F3751" t="str">
        <f>IFERROR(INDEX(customers[country], MATCH(orders[[#This Row],[customer_id]], customers[customer_id], 0)), "Unmapped")</f>
        <v>Denmark</v>
      </c>
      <c r="G3751" t="str">
        <f>IFERROR(INDEX(Region_Map[Region], MATCH(orders[[#This Row],[Customer_Country]], Region_Map[Country], 0)), "Unknown")</f>
        <v>Nordics</v>
      </c>
      <c r="H3751" t="s">
        <v>6949</v>
      </c>
    </row>
    <row r="3752" spans="1:8">
      <c r="A3752" t="s">
        <v>4652</v>
      </c>
      <c r="B3752" t="s">
        <v>365</v>
      </c>
      <c r="C3752" s="1">
        <v>45285</v>
      </c>
      <c r="D3752" s="1" t="str">
        <f>PROPER(orders[[#This Row],[order_priority]])</f>
        <v>Standard</v>
      </c>
      <c r="E3752" t="s">
        <v>13319</v>
      </c>
      <c r="F3752" t="str">
        <f>IFERROR(INDEX(customers[country], MATCH(orders[[#This Row],[customer_id]], customers[customer_id], 0)), "Unmapped")</f>
        <v>Poland</v>
      </c>
      <c r="G3752" t="str">
        <f>IFERROR(INDEX(Region_Map[Region], MATCH(orders[[#This Row],[Customer_Country]], Region_Map[Country], 0)), "Unknown")</f>
        <v>Central Europe</v>
      </c>
      <c r="H3752" t="s">
        <v>6949</v>
      </c>
    </row>
    <row r="3753" spans="1:8">
      <c r="A3753" t="s">
        <v>4653</v>
      </c>
      <c r="B3753" t="s">
        <v>488</v>
      </c>
      <c r="C3753" s="1">
        <v>45043</v>
      </c>
      <c r="D3753" s="1" t="str">
        <f>PROPER(orders[[#This Row],[order_priority]])</f>
        <v>Express</v>
      </c>
      <c r="E3753" t="s">
        <v>13318</v>
      </c>
      <c r="F3753" t="str">
        <f>IFERROR(INDEX(customers[country], MATCH(orders[[#This Row],[customer_id]], customers[customer_id], 0)), "Unmapped")</f>
        <v>Netherlands</v>
      </c>
      <c r="G3753" t="str">
        <f>IFERROR(INDEX(Region_Map[Region], MATCH(orders[[#This Row],[Customer_Country]], Region_Map[Country], 0)), "Unknown")</f>
        <v>Central Europe</v>
      </c>
      <c r="H3753" t="s">
        <v>6949</v>
      </c>
    </row>
    <row r="3754" spans="1:8">
      <c r="A3754" t="s">
        <v>4654</v>
      </c>
      <c r="B3754" t="s">
        <v>67</v>
      </c>
      <c r="C3754" s="1">
        <v>45485</v>
      </c>
      <c r="D3754" s="1" t="str">
        <f>PROPER(orders[[#This Row],[order_priority]])</f>
        <v>Economy</v>
      </c>
      <c r="E3754" t="s">
        <v>13316</v>
      </c>
      <c r="F3754" t="str">
        <f>IFERROR(INDEX(customers[country], MATCH(orders[[#This Row],[customer_id]], customers[customer_id], 0)), "Unmapped")</f>
        <v>Estonia</v>
      </c>
      <c r="G3754" t="str">
        <f>IFERROR(INDEX(Region_Map[Region], MATCH(orders[[#This Row],[Customer_Country]], Region_Map[Country], 0)), "Unknown")</f>
        <v>Baltics</v>
      </c>
      <c r="H3754" t="s">
        <v>6949</v>
      </c>
    </row>
    <row r="3755" spans="1:8">
      <c r="A3755" t="s">
        <v>4655</v>
      </c>
      <c r="B3755" t="s">
        <v>691</v>
      </c>
      <c r="C3755" s="1">
        <v>45270</v>
      </c>
      <c r="D3755" s="1" t="str">
        <f>PROPER(orders[[#This Row],[order_priority]])</f>
        <v>Standard</v>
      </c>
      <c r="E3755" t="s">
        <v>13317</v>
      </c>
      <c r="F3755" t="str">
        <f>IFERROR(INDEX(customers[country], MATCH(orders[[#This Row],[customer_id]], customers[customer_id], 0)), "Unmapped")</f>
        <v>Latvia</v>
      </c>
      <c r="G3755" t="str">
        <f>IFERROR(INDEX(Region_Map[Region], MATCH(orders[[#This Row],[Customer_Country]], Region_Map[Country], 0)), "Unknown")</f>
        <v>Baltics</v>
      </c>
      <c r="H3755" t="s">
        <v>6949</v>
      </c>
    </row>
    <row r="3756" spans="1:8">
      <c r="A3756" t="s">
        <v>4656</v>
      </c>
      <c r="B3756" t="s">
        <v>749</v>
      </c>
      <c r="C3756" s="1">
        <v>45314</v>
      </c>
      <c r="D3756" s="1" t="str">
        <f>PROPER(orders[[#This Row],[order_priority]])</f>
        <v>Express</v>
      </c>
      <c r="E3756" t="s">
        <v>13326</v>
      </c>
      <c r="F3756" t="str">
        <f>IFERROR(INDEX(customers[country], MATCH(orders[[#This Row],[customer_id]], customers[customer_id], 0)), "Unmapped")</f>
        <v>Latvia</v>
      </c>
      <c r="G3756" t="str">
        <f>IFERROR(INDEX(Region_Map[Region], MATCH(orders[[#This Row],[Customer_Country]], Region_Map[Country], 0)), "Unknown")</f>
        <v>Baltics</v>
      </c>
      <c r="H3756" t="s">
        <v>6949</v>
      </c>
    </row>
    <row r="3757" spans="1:8">
      <c r="A3757" t="s">
        <v>4657</v>
      </c>
      <c r="B3757" t="s">
        <v>294</v>
      </c>
      <c r="C3757" s="1">
        <v>45434</v>
      </c>
      <c r="D3757" s="1" t="str">
        <f>PROPER(orders[[#This Row],[order_priority]])</f>
        <v>Same Day</v>
      </c>
      <c r="E3757" t="s">
        <v>13324</v>
      </c>
      <c r="F3757" t="str">
        <f>IFERROR(INDEX(customers[country], MATCH(orders[[#This Row],[customer_id]], customers[customer_id], 0)), "Unmapped")</f>
        <v>Denmark</v>
      </c>
      <c r="G3757" t="str">
        <f>IFERROR(INDEX(Region_Map[Region], MATCH(orders[[#This Row],[Customer_Country]], Region_Map[Country], 0)), "Unknown")</f>
        <v>Nordics</v>
      </c>
      <c r="H3757" t="s">
        <v>6949</v>
      </c>
    </row>
    <row r="3758" spans="1:8">
      <c r="A3758" t="s">
        <v>4658</v>
      </c>
      <c r="B3758" t="s">
        <v>888</v>
      </c>
      <c r="C3758" s="1">
        <v>45182</v>
      </c>
      <c r="D3758" s="1" t="str">
        <f>PROPER(orders[[#This Row],[order_priority]])</f>
        <v>Same Day</v>
      </c>
      <c r="E3758" t="s">
        <v>13324</v>
      </c>
      <c r="F3758" t="str">
        <f>IFERROR(INDEX(customers[country], MATCH(orders[[#This Row],[customer_id]], customers[customer_id], 0)), "Unmapped")</f>
        <v>Denmark</v>
      </c>
      <c r="G3758" t="str">
        <f>IFERROR(INDEX(Region_Map[Region], MATCH(orders[[#This Row],[Customer_Country]], Region_Map[Country], 0)), "Unknown")</f>
        <v>Nordics</v>
      </c>
      <c r="H3758" t="s">
        <v>6949</v>
      </c>
    </row>
    <row r="3759" spans="1:8">
      <c r="A3759" t="s">
        <v>4659</v>
      </c>
      <c r="B3759" t="s">
        <v>876</v>
      </c>
      <c r="C3759" s="1">
        <v>45447</v>
      </c>
      <c r="D3759" s="1" t="str">
        <f>PROPER(orders[[#This Row],[order_priority]])</f>
        <v>Economy</v>
      </c>
      <c r="E3759" t="s">
        <v>13316</v>
      </c>
      <c r="F3759" t="str">
        <f>IFERROR(INDEX(customers[country], MATCH(orders[[#This Row],[customer_id]], customers[customer_id], 0)), "Unmapped")</f>
        <v>Estonia</v>
      </c>
      <c r="G3759" t="str">
        <f>IFERROR(INDEX(Region_Map[Region], MATCH(orders[[#This Row],[Customer_Country]], Region_Map[Country], 0)), "Unknown")</f>
        <v>Baltics</v>
      </c>
      <c r="H3759" t="s">
        <v>6949</v>
      </c>
    </row>
    <row r="3760" spans="1:8">
      <c r="A3760" t="s">
        <v>4660</v>
      </c>
      <c r="B3760" t="s">
        <v>846</v>
      </c>
      <c r="C3760" s="1">
        <v>45229</v>
      </c>
      <c r="D3760" s="1" t="str">
        <f>PROPER(orders[[#This Row],[order_priority]])</f>
        <v>Same Day</v>
      </c>
      <c r="E3760" t="s">
        <v>13322</v>
      </c>
      <c r="F3760" t="str">
        <f>IFERROR(INDEX(customers[country], MATCH(orders[[#This Row],[customer_id]], customers[customer_id], 0)), "Unmapped")</f>
        <v>Netherlands</v>
      </c>
      <c r="G3760" t="str">
        <f>IFERROR(INDEX(Region_Map[Region], MATCH(orders[[#This Row],[Customer_Country]], Region_Map[Country], 0)), "Unknown")</f>
        <v>Central Europe</v>
      </c>
      <c r="H3760" t="s">
        <v>6949</v>
      </c>
    </row>
    <row r="3761" spans="1:8">
      <c r="A3761" t="s">
        <v>4661</v>
      </c>
      <c r="B3761" t="s">
        <v>545</v>
      </c>
      <c r="C3761" s="1">
        <v>44950</v>
      </c>
      <c r="D3761" s="1" t="str">
        <f>PROPER(orders[[#This Row],[order_priority]])</f>
        <v>Express</v>
      </c>
      <c r="E3761" t="s">
        <v>13318</v>
      </c>
      <c r="F3761" t="str">
        <f>IFERROR(INDEX(customers[country], MATCH(orders[[#This Row],[customer_id]], customers[customer_id], 0)), "Unmapped")</f>
        <v>Netherlands</v>
      </c>
      <c r="G3761" t="str">
        <f>IFERROR(INDEX(Region_Map[Region], MATCH(orders[[#This Row],[Customer_Country]], Region_Map[Country], 0)), "Unknown")</f>
        <v>Central Europe</v>
      </c>
      <c r="H3761" t="s">
        <v>6949</v>
      </c>
    </row>
    <row r="3762" spans="1:8">
      <c r="A3762" t="s">
        <v>4662</v>
      </c>
      <c r="B3762" t="s">
        <v>249</v>
      </c>
      <c r="C3762" s="1">
        <v>45021</v>
      </c>
      <c r="D3762" s="1" t="str">
        <f>PROPER(orders[[#This Row],[order_priority]])</f>
        <v>Express</v>
      </c>
      <c r="E3762" t="s">
        <v>13318</v>
      </c>
      <c r="F3762" t="str">
        <f>IFERROR(INDEX(customers[country], MATCH(orders[[#This Row],[customer_id]], customers[customer_id], 0)), "Unmapped")</f>
        <v>Estonia</v>
      </c>
      <c r="G3762" t="str">
        <f>IFERROR(INDEX(Region_Map[Region], MATCH(orders[[#This Row],[Customer_Country]], Region_Map[Country], 0)), "Unknown")</f>
        <v>Baltics</v>
      </c>
      <c r="H3762" t="s">
        <v>6949</v>
      </c>
    </row>
    <row r="3763" spans="1:8">
      <c r="A3763" t="s">
        <v>4663</v>
      </c>
      <c r="B3763" t="s">
        <v>160</v>
      </c>
      <c r="C3763" s="1">
        <v>45509</v>
      </c>
      <c r="D3763" s="1" t="str">
        <f>PROPER(orders[[#This Row],[order_priority]])</f>
        <v>Economy</v>
      </c>
      <c r="E3763" t="s">
        <v>13316</v>
      </c>
      <c r="F3763" t="str">
        <f>IFERROR(INDEX(customers[country], MATCH(orders[[#This Row],[customer_id]], customers[customer_id], 0)), "Unmapped")</f>
        <v>Denmark</v>
      </c>
      <c r="G3763" t="str">
        <f>IFERROR(INDEX(Region_Map[Region], MATCH(orders[[#This Row],[Customer_Country]], Region_Map[Country], 0)), "Unknown")</f>
        <v>Nordics</v>
      </c>
      <c r="H3763" t="s">
        <v>6949</v>
      </c>
    </row>
    <row r="3764" spans="1:8">
      <c r="A3764" t="s">
        <v>4664</v>
      </c>
      <c r="B3764" t="s">
        <v>84</v>
      </c>
      <c r="C3764" s="1">
        <v>45524</v>
      </c>
      <c r="D3764" s="1" t="str">
        <f>PROPER(orders[[#This Row],[order_priority]])</f>
        <v>Same Day</v>
      </c>
      <c r="E3764" t="s">
        <v>13322</v>
      </c>
      <c r="F3764" t="str">
        <f>IFERROR(INDEX(customers[country], MATCH(orders[[#This Row],[customer_id]], customers[customer_id], 0)), "Unmapped")</f>
        <v>Lithuania</v>
      </c>
      <c r="G3764" t="str">
        <f>IFERROR(INDEX(Region_Map[Region], MATCH(orders[[#This Row],[Customer_Country]], Region_Map[Country], 0)), "Unknown")</f>
        <v>Baltics</v>
      </c>
      <c r="H3764" t="s">
        <v>6949</v>
      </c>
    </row>
    <row r="3765" spans="1:8">
      <c r="A3765" t="s">
        <v>4665</v>
      </c>
      <c r="B3765" t="s">
        <v>124</v>
      </c>
      <c r="C3765" s="1">
        <v>45098</v>
      </c>
      <c r="D3765" s="1" t="str">
        <f>PROPER(orders[[#This Row],[order_priority]])</f>
        <v>Express</v>
      </c>
      <c r="E3765" t="s">
        <v>13318</v>
      </c>
      <c r="F3765" t="str">
        <f>IFERROR(INDEX(customers[country], MATCH(orders[[#This Row],[customer_id]], customers[customer_id], 0)), "Unmapped")</f>
        <v>Lithuania</v>
      </c>
      <c r="G3765" t="str">
        <f>IFERROR(INDEX(Region_Map[Region], MATCH(orders[[#This Row],[Customer_Country]], Region_Map[Country], 0)), "Unknown")</f>
        <v>Baltics</v>
      </c>
      <c r="H3765" t="s">
        <v>6949</v>
      </c>
    </row>
    <row r="3766" spans="1:8">
      <c r="A3766" t="s">
        <v>4666</v>
      </c>
      <c r="B3766" t="s">
        <v>891</v>
      </c>
      <c r="C3766" s="1">
        <v>45571</v>
      </c>
      <c r="D3766" s="1" t="str">
        <f>PROPER(orders[[#This Row],[order_priority]])</f>
        <v>Same Day</v>
      </c>
      <c r="E3766" t="s">
        <v>13322</v>
      </c>
      <c r="F3766" t="str">
        <f>IFERROR(INDEX(customers[country], MATCH(orders[[#This Row],[customer_id]], customers[customer_id], 0)), "Unmapped")</f>
        <v>Netherlands</v>
      </c>
      <c r="G3766" t="str">
        <f>IFERROR(INDEX(Region_Map[Region], MATCH(orders[[#This Row],[Customer_Country]], Region_Map[Country], 0)), "Unknown")</f>
        <v>Central Europe</v>
      </c>
      <c r="H3766" t="s">
        <v>6949</v>
      </c>
    </row>
    <row r="3767" spans="1:8">
      <c r="A3767" t="s">
        <v>4667</v>
      </c>
      <c r="B3767" t="s">
        <v>700</v>
      </c>
      <c r="C3767" s="1">
        <v>45341</v>
      </c>
      <c r="D3767" s="1" t="str">
        <f>PROPER(orders[[#This Row],[order_priority]])</f>
        <v>Express</v>
      </c>
      <c r="E3767" t="s">
        <v>13318</v>
      </c>
      <c r="F3767" t="str">
        <f>IFERROR(INDEX(customers[country], MATCH(orders[[#This Row],[customer_id]], customers[customer_id], 0)), "Unmapped")</f>
        <v>Germany</v>
      </c>
      <c r="G3767" t="str">
        <f>IFERROR(INDEX(Region_Map[Region], MATCH(orders[[#This Row],[Customer_Country]], Region_Map[Country], 0)), "Unknown")</f>
        <v>Central Europe</v>
      </c>
      <c r="H3767" t="s">
        <v>6949</v>
      </c>
    </row>
    <row r="3768" spans="1:8">
      <c r="A3768" t="s">
        <v>4668</v>
      </c>
      <c r="B3768" t="s">
        <v>769</v>
      </c>
      <c r="C3768" s="1">
        <v>45052</v>
      </c>
      <c r="D3768" s="1" t="str">
        <f>PROPER(orders[[#This Row],[order_priority]])</f>
        <v>Same Day</v>
      </c>
      <c r="E3768" t="s">
        <v>13322</v>
      </c>
      <c r="F3768" t="str">
        <f>IFERROR(INDEX(customers[country], MATCH(orders[[#This Row],[customer_id]], customers[customer_id], 0)), "Unmapped")</f>
        <v>Latvia</v>
      </c>
      <c r="G3768" t="str">
        <f>IFERROR(INDEX(Region_Map[Region], MATCH(orders[[#This Row],[Customer_Country]], Region_Map[Country], 0)), "Unknown")</f>
        <v>Baltics</v>
      </c>
      <c r="H3768" t="s">
        <v>6949</v>
      </c>
    </row>
    <row r="3769" spans="1:8">
      <c r="A3769" t="s">
        <v>4669</v>
      </c>
      <c r="B3769" t="s">
        <v>306</v>
      </c>
      <c r="C3769" s="1">
        <v>45018</v>
      </c>
      <c r="D3769" s="1" t="str">
        <f>PROPER(orders[[#This Row],[order_priority]])</f>
        <v>Economy</v>
      </c>
      <c r="E3769" t="s">
        <v>13316</v>
      </c>
      <c r="F3769" t="str">
        <f>IFERROR(INDEX(customers[country], MATCH(orders[[#This Row],[customer_id]], customers[customer_id], 0)), "Unmapped")</f>
        <v>Estonia</v>
      </c>
      <c r="G3769" t="str">
        <f>IFERROR(INDEX(Region_Map[Region], MATCH(orders[[#This Row],[Customer_Country]], Region_Map[Country], 0)), "Unknown")</f>
        <v>Baltics</v>
      </c>
      <c r="H3769" t="s">
        <v>6949</v>
      </c>
    </row>
    <row r="3770" spans="1:8">
      <c r="A3770" t="s">
        <v>4670</v>
      </c>
      <c r="B3770" t="s">
        <v>282</v>
      </c>
      <c r="C3770" s="1">
        <v>45136</v>
      </c>
      <c r="D3770" s="1" t="str">
        <f>PROPER(orders[[#This Row],[order_priority]])</f>
        <v>Standard</v>
      </c>
      <c r="E3770" t="s">
        <v>13317</v>
      </c>
      <c r="F3770" t="str">
        <f>IFERROR(INDEX(customers[country], MATCH(orders[[#This Row],[customer_id]], customers[customer_id], 0)), "Unmapped")</f>
        <v>Netherlands</v>
      </c>
      <c r="G3770" t="str">
        <f>IFERROR(INDEX(Region_Map[Region], MATCH(orders[[#This Row],[Customer_Country]], Region_Map[Country], 0)), "Unknown")</f>
        <v>Central Europe</v>
      </c>
      <c r="H3770" t="s">
        <v>6949</v>
      </c>
    </row>
    <row r="3771" spans="1:8">
      <c r="A3771" t="s">
        <v>4671</v>
      </c>
      <c r="B3771" t="s">
        <v>273</v>
      </c>
      <c r="C3771" s="1">
        <v>45451</v>
      </c>
      <c r="D3771" s="1" t="str">
        <f>PROPER(orders[[#This Row],[order_priority]])</f>
        <v>Express</v>
      </c>
      <c r="E3771" t="s">
        <v>13318</v>
      </c>
      <c r="F3771" t="str">
        <f>IFERROR(INDEX(customers[country], MATCH(orders[[#This Row],[customer_id]], customers[customer_id], 0)), "Unmapped")</f>
        <v>Norway</v>
      </c>
      <c r="G3771" t="str">
        <f>IFERROR(INDEX(Region_Map[Region], MATCH(orders[[#This Row],[Customer_Country]], Region_Map[Country], 0)), "Unknown")</f>
        <v>Nordics</v>
      </c>
      <c r="H3771" t="s">
        <v>6949</v>
      </c>
    </row>
    <row r="3772" spans="1:8">
      <c r="A3772" t="s">
        <v>4672</v>
      </c>
      <c r="B3772" t="s">
        <v>533</v>
      </c>
      <c r="C3772" s="1">
        <v>45573</v>
      </c>
      <c r="D3772" s="1" t="str">
        <f>PROPER(orders[[#This Row],[order_priority]])</f>
        <v>Express</v>
      </c>
      <c r="E3772" t="s">
        <v>13318</v>
      </c>
      <c r="F3772" t="str">
        <f>IFERROR(INDEX(customers[country], MATCH(orders[[#This Row],[customer_id]], customers[customer_id], 0)), "Unmapped")</f>
        <v>Germany</v>
      </c>
      <c r="G3772" t="str">
        <f>IFERROR(INDEX(Region_Map[Region], MATCH(orders[[#This Row],[Customer_Country]], Region_Map[Country], 0)), "Unknown")</f>
        <v>Central Europe</v>
      </c>
      <c r="H3772" t="s">
        <v>6949</v>
      </c>
    </row>
    <row r="3773" spans="1:8">
      <c r="A3773" t="s">
        <v>4673</v>
      </c>
      <c r="B3773" t="s">
        <v>362</v>
      </c>
      <c r="C3773" s="1">
        <v>45474</v>
      </c>
      <c r="D3773" s="1" t="str">
        <f>PROPER(orders[[#This Row],[order_priority]])</f>
        <v>Economy</v>
      </c>
      <c r="E3773" t="s">
        <v>13316</v>
      </c>
      <c r="F3773" t="str">
        <f>IFERROR(INDEX(customers[country], MATCH(orders[[#This Row],[customer_id]], customers[customer_id], 0)), "Unmapped")</f>
        <v>Denmark</v>
      </c>
      <c r="G3773" t="str">
        <f>IFERROR(INDEX(Region_Map[Region], MATCH(orders[[#This Row],[Customer_Country]], Region_Map[Country], 0)), "Unknown")</f>
        <v>Nordics</v>
      </c>
      <c r="H3773" t="s">
        <v>6949</v>
      </c>
    </row>
    <row r="3774" spans="1:8">
      <c r="A3774" t="s">
        <v>4674</v>
      </c>
      <c r="B3774" t="s">
        <v>655</v>
      </c>
      <c r="C3774" s="1">
        <v>45381</v>
      </c>
      <c r="D3774" s="1" t="str">
        <f>PROPER(orders[[#This Row],[order_priority]])</f>
        <v>Same Day</v>
      </c>
      <c r="E3774" t="s">
        <v>13322</v>
      </c>
      <c r="F3774" t="str">
        <f>IFERROR(INDEX(customers[country], MATCH(orders[[#This Row],[customer_id]], customers[customer_id], 0)), "Unmapped")</f>
        <v>Sweden</v>
      </c>
      <c r="G3774" t="str">
        <f>IFERROR(INDEX(Region_Map[Region], MATCH(orders[[#This Row],[Customer_Country]], Region_Map[Country], 0)), "Unknown")</f>
        <v>Nordics</v>
      </c>
      <c r="H3774" t="s">
        <v>6949</v>
      </c>
    </row>
    <row r="3775" spans="1:8">
      <c r="A3775" t="s">
        <v>4675</v>
      </c>
      <c r="B3775" t="s">
        <v>781</v>
      </c>
      <c r="C3775" s="1">
        <v>45323</v>
      </c>
      <c r="D3775" s="1" t="str">
        <f>PROPER(orders[[#This Row],[order_priority]])</f>
        <v>Same Day</v>
      </c>
      <c r="E3775" t="s">
        <v>13322</v>
      </c>
      <c r="F3775" t="str">
        <f>IFERROR(INDEX(customers[country], MATCH(orders[[#This Row],[customer_id]], customers[customer_id], 0)), "Unmapped")</f>
        <v>Germany</v>
      </c>
      <c r="G3775" t="str">
        <f>IFERROR(INDEX(Region_Map[Region], MATCH(orders[[#This Row],[Customer_Country]], Region_Map[Country], 0)), "Unknown")</f>
        <v>Central Europe</v>
      </c>
      <c r="H3775" t="s">
        <v>6949</v>
      </c>
    </row>
    <row r="3776" spans="1:8">
      <c r="A3776" t="s">
        <v>4676</v>
      </c>
      <c r="B3776" t="s">
        <v>279</v>
      </c>
      <c r="C3776" s="1">
        <v>45122</v>
      </c>
      <c r="D3776" s="1" t="str">
        <f>PROPER(orders[[#This Row],[order_priority]])</f>
        <v>Express</v>
      </c>
      <c r="E3776" t="s">
        <v>13318</v>
      </c>
      <c r="F3776" t="str">
        <f>IFERROR(INDEX(customers[country], MATCH(orders[[#This Row],[customer_id]], customers[customer_id], 0)), "Unmapped")</f>
        <v>Germany</v>
      </c>
      <c r="G3776" t="str">
        <f>IFERROR(INDEX(Region_Map[Region], MATCH(orders[[#This Row],[Customer_Country]], Region_Map[Country], 0)), "Unknown")</f>
        <v>Central Europe</v>
      </c>
      <c r="H3776" t="s">
        <v>6949</v>
      </c>
    </row>
    <row r="3777" spans="1:8">
      <c r="A3777" t="s">
        <v>4677</v>
      </c>
      <c r="B3777" t="s">
        <v>802</v>
      </c>
      <c r="C3777" s="1">
        <v>44962</v>
      </c>
      <c r="D3777" s="1" t="str">
        <f>PROPER(orders[[#This Row],[order_priority]])</f>
        <v>Express</v>
      </c>
      <c r="E3777" t="s">
        <v>13318</v>
      </c>
      <c r="F3777" t="str">
        <f>IFERROR(INDEX(customers[country], MATCH(orders[[#This Row],[customer_id]], customers[customer_id], 0)), "Unmapped")</f>
        <v>Poland</v>
      </c>
      <c r="G3777" t="str">
        <f>IFERROR(INDEX(Region_Map[Region], MATCH(orders[[#This Row],[Customer_Country]], Region_Map[Country], 0)), "Unknown")</f>
        <v>Central Europe</v>
      </c>
      <c r="H3777" t="s">
        <v>6949</v>
      </c>
    </row>
    <row r="3778" spans="1:8">
      <c r="A3778" t="s">
        <v>4678</v>
      </c>
      <c r="B3778" t="s">
        <v>867</v>
      </c>
      <c r="C3778" s="1">
        <v>45178</v>
      </c>
      <c r="D3778" s="1" t="str">
        <f>PROPER(orders[[#This Row],[order_priority]])</f>
        <v>Economy</v>
      </c>
      <c r="E3778" t="s">
        <v>13316</v>
      </c>
      <c r="F3778" t="str">
        <f>IFERROR(INDEX(customers[country], MATCH(orders[[#This Row],[customer_id]], customers[customer_id], 0)), "Unmapped")</f>
        <v>Denmark</v>
      </c>
      <c r="G3778" t="str">
        <f>IFERROR(INDEX(Region_Map[Region], MATCH(orders[[#This Row],[Customer_Country]], Region_Map[Country], 0)), "Unknown")</f>
        <v>Nordics</v>
      </c>
      <c r="H3778" t="s">
        <v>6949</v>
      </c>
    </row>
    <row r="3779" spans="1:8">
      <c r="A3779" t="s">
        <v>4679</v>
      </c>
      <c r="B3779" t="s">
        <v>476</v>
      </c>
      <c r="C3779" s="1">
        <v>45206</v>
      </c>
      <c r="D3779" s="1" t="str">
        <f>PROPER(orders[[#This Row],[order_priority]])</f>
        <v>Express</v>
      </c>
      <c r="E3779" t="s">
        <v>13320</v>
      </c>
      <c r="F3779" t="str">
        <f>IFERROR(INDEX(customers[country], MATCH(orders[[#This Row],[customer_id]], customers[customer_id], 0)), "Unmapped")</f>
        <v>Norway</v>
      </c>
      <c r="G3779" t="str">
        <f>IFERROR(INDEX(Region_Map[Region], MATCH(orders[[#This Row],[Customer_Country]], Region_Map[Country], 0)), "Unknown")</f>
        <v>Nordics</v>
      </c>
      <c r="H3779" t="s">
        <v>6949</v>
      </c>
    </row>
    <row r="3780" spans="1:8">
      <c r="A3780" t="s">
        <v>4680</v>
      </c>
      <c r="B3780" t="s">
        <v>655</v>
      </c>
      <c r="C3780" s="1">
        <v>45607</v>
      </c>
      <c r="D3780" s="1" t="str">
        <f>PROPER(orders[[#This Row],[order_priority]])</f>
        <v>Economy</v>
      </c>
      <c r="E3780" t="s">
        <v>13325</v>
      </c>
      <c r="F3780" t="str">
        <f>IFERROR(INDEX(customers[country], MATCH(orders[[#This Row],[customer_id]], customers[customer_id], 0)), "Unmapped")</f>
        <v>Sweden</v>
      </c>
      <c r="G3780" t="str">
        <f>IFERROR(INDEX(Region_Map[Region], MATCH(orders[[#This Row],[Customer_Country]], Region_Map[Country], 0)), "Unknown")</f>
        <v>Nordics</v>
      </c>
      <c r="H3780" t="s">
        <v>6949</v>
      </c>
    </row>
    <row r="3781" spans="1:8">
      <c r="A3781" t="s">
        <v>4681</v>
      </c>
      <c r="B3781" t="s">
        <v>344</v>
      </c>
      <c r="C3781" s="1">
        <v>45571</v>
      </c>
      <c r="D3781" s="1" t="str">
        <f>PROPER(orders[[#This Row],[order_priority]])</f>
        <v>Express</v>
      </c>
      <c r="E3781" t="s">
        <v>13318</v>
      </c>
      <c r="F3781" t="str">
        <f>IFERROR(INDEX(customers[country], MATCH(orders[[#This Row],[customer_id]], customers[customer_id], 0)), "Unmapped")</f>
        <v>Estonia</v>
      </c>
      <c r="G3781" t="str">
        <f>IFERROR(INDEX(Region_Map[Region], MATCH(orders[[#This Row],[Customer_Country]], Region_Map[Country], 0)), "Unknown")</f>
        <v>Baltics</v>
      </c>
      <c r="H3781" t="s">
        <v>6949</v>
      </c>
    </row>
    <row r="3782" spans="1:8">
      <c r="A3782" t="s">
        <v>4682</v>
      </c>
      <c r="B3782" t="s">
        <v>638</v>
      </c>
      <c r="C3782" s="1">
        <v>45101</v>
      </c>
      <c r="D3782" s="1" t="str">
        <f>PROPER(orders[[#This Row],[order_priority]])</f>
        <v>Economy</v>
      </c>
      <c r="E3782" t="s">
        <v>13316</v>
      </c>
      <c r="F3782" t="str">
        <f>IFERROR(INDEX(customers[country], MATCH(orders[[#This Row],[customer_id]], customers[customer_id], 0)), "Unmapped")</f>
        <v>Germany</v>
      </c>
      <c r="G3782" t="str">
        <f>IFERROR(INDEX(Region_Map[Region], MATCH(orders[[#This Row],[Customer_Country]], Region_Map[Country], 0)), "Unknown")</f>
        <v>Central Europe</v>
      </c>
      <c r="H3782" t="s">
        <v>6949</v>
      </c>
    </row>
    <row r="3783" spans="1:8">
      <c r="A3783" t="s">
        <v>4683</v>
      </c>
      <c r="B3783" t="s">
        <v>80</v>
      </c>
      <c r="C3783" s="1">
        <v>45218</v>
      </c>
      <c r="D3783" s="1" t="str">
        <f>PROPER(orders[[#This Row],[order_priority]])</f>
        <v>Same Day</v>
      </c>
      <c r="E3783" t="s">
        <v>13322</v>
      </c>
      <c r="F3783" t="str">
        <f>IFERROR(INDEX(customers[country], MATCH(orders[[#This Row],[customer_id]], customers[customer_id], 0)), "Unmapped")</f>
        <v>Finland</v>
      </c>
      <c r="G3783" t="str">
        <f>IFERROR(INDEX(Region_Map[Region], MATCH(orders[[#This Row],[Customer_Country]], Region_Map[Country], 0)), "Unknown")</f>
        <v>Nordics</v>
      </c>
      <c r="H3783" t="s">
        <v>6949</v>
      </c>
    </row>
    <row r="3784" spans="1:8">
      <c r="A3784" t="s">
        <v>4684</v>
      </c>
      <c r="B3784" t="s">
        <v>24</v>
      </c>
      <c r="C3784" s="1">
        <v>45260</v>
      </c>
      <c r="D3784" s="1" t="str">
        <f>PROPER(orders[[#This Row],[order_priority]])</f>
        <v>Economy</v>
      </c>
      <c r="E3784" t="s">
        <v>13316</v>
      </c>
      <c r="F3784" t="str">
        <f>IFERROR(INDEX(customers[country], MATCH(orders[[#This Row],[customer_id]], customers[customer_id], 0)), "Unmapped")</f>
        <v>Sweden</v>
      </c>
      <c r="G3784" t="str">
        <f>IFERROR(INDEX(Region_Map[Region], MATCH(orders[[#This Row],[Customer_Country]], Region_Map[Country], 0)), "Unknown")</f>
        <v>Nordics</v>
      </c>
      <c r="H3784" t="s">
        <v>6949</v>
      </c>
    </row>
    <row r="3785" spans="1:8">
      <c r="A3785" t="s">
        <v>4685</v>
      </c>
      <c r="B3785" t="s">
        <v>746</v>
      </c>
      <c r="C3785" s="1">
        <v>45525</v>
      </c>
      <c r="D3785" s="1" t="str">
        <f>PROPER(orders[[#This Row],[order_priority]])</f>
        <v>Economy</v>
      </c>
      <c r="E3785" t="s">
        <v>13316</v>
      </c>
      <c r="F3785" t="str">
        <f>IFERROR(INDEX(customers[country], MATCH(orders[[#This Row],[customer_id]], customers[customer_id], 0)), "Unmapped")</f>
        <v>Poland</v>
      </c>
      <c r="G3785" t="str">
        <f>IFERROR(INDEX(Region_Map[Region], MATCH(orders[[#This Row],[Customer_Country]], Region_Map[Country], 0)), "Unknown")</f>
        <v>Central Europe</v>
      </c>
      <c r="H3785" t="s">
        <v>6949</v>
      </c>
    </row>
    <row r="3786" spans="1:8">
      <c r="A3786" t="s">
        <v>4686</v>
      </c>
      <c r="B3786" t="s">
        <v>536</v>
      </c>
      <c r="C3786" s="1">
        <v>45325</v>
      </c>
      <c r="D3786" s="1" t="str">
        <f>PROPER(orders[[#This Row],[order_priority]])</f>
        <v>Same Day</v>
      </c>
      <c r="E3786" t="s">
        <v>13322</v>
      </c>
      <c r="F3786" t="str">
        <f>IFERROR(INDEX(customers[country], MATCH(orders[[#This Row],[customer_id]], customers[customer_id], 0)), "Unmapped")</f>
        <v>Germany</v>
      </c>
      <c r="G3786" t="str">
        <f>IFERROR(INDEX(Region_Map[Region], MATCH(orders[[#This Row],[Customer_Country]], Region_Map[Country], 0)), "Unknown")</f>
        <v>Central Europe</v>
      </c>
      <c r="H3786" t="s">
        <v>6949</v>
      </c>
    </row>
    <row r="3787" spans="1:8">
      <c r="A3787" t="s">
        <v>4687</v>
      </c>
      <c r="B3787" t="s">
        <v>249</v>
      </c>
      <c r="C3787" s="1">
        <v>45047</v>
      </c>
      <c r="D3787" s="1" t="str">
        <f>PROPER(orders[[#This Row],[order_priority]])</f>
        <v>Standard</v>
      </c>
      <c r="E3787" t="s">
        <v>13317</v>
      </c>
      <c r="F3787" t="str">
        <f>IFERROR(INDEX(customers[country], MATCH(orders[[#This Row],[customer_id]], customers[customer_id], 0)), "Unmapped")</f>
        <v>Estonia</v>
      </c>
      <c r="G3787" t="str">
        <f>IFERROR(INDEX(Region_Map[Region], MATCH(orders[[#This Row],[Customer_Country]], Region_Map[Country], 0)), "Unknown")</f>
        <v>Baltics</v>
      </c>
      <c r="H3787" t="s">
        <v>6949</v>
      </c>
    </row>
    <row r="3788" spans="1:8">
      <c r="A3788" t="s">
        <v>4688</v>
      </c>
      <c r="B3788" t="s">
        <v>48</v>
      </c>
      <c r="C3788" s="1">
        <v>45368</v>
      </c>
      <c r="D3788" s="1" t="str">
        <f>PROPER(orders[[#This Row],[order_priority]])</f>
        <v>Express</v>
      </c>
      <c r="E3788" t="s">
        <v>13318</v>
      </c>
      <c r="F3788" t="str">
        <f>IFERROR(INDEX(customers[country], MATCH(orders[[#This Row],[customer_id]], customers[customer_id], 0)), "Unmapped")</f>
        <v>Poland</v>
      </c>
      <c r="G3788" t="str">
        <f>IFERROR(INDEX(Region_Map[Region], MATCH(orders[[#This Row],[Customer_Country]], Region_Map[Country], 0)), "Unknown")</f>
        <v>Central Europe</v>
      </c>
      <c r="H3788" t="s">
        <v>6949</v>
      </c>
    </row>
    <row r="3789" spans="1:8">
      <c r="A3789" t="s">
        <v>4689</v>
      </c>
      <c r="B3789" t="s">
        <v>30</v>
      </c>
      <c r="C3789" s="1">
        <v>45372</v>
      </c>
      <c r="D3789" s="1" t="str">
        <f>PROPER(orders[[#This Row],[order_priority]])</f>
        <v>Same Day</v>
      </c>
      <c r="E3789" t="s">
        <v>13322</v>
      </c>
      <c r="F3789" t="str">
        <f>IFERROR(INDEX(customers[country], MATCH(orders[[#This Row],[customer_id]], customers[customer_id], 0)), "Unmapped")</f>
        <v>Netherlands</v>
      </c>
      <c r="G3789" t="str">
        <f>IFERROR(INDEX(Region_Map[Region], MATCH(orders[[#This Row],[Customer_Country]], Region_Map[Country], 0)), "Unknown")</f>
        <v>Central Europe</v>
      </c>
      <c r="H3789" t="s">
        <v>6949</v>
      </c>
    </row>
    <row r="3790" spans="1:8">
      <c r="A3790" t="s">
        <v>4690</v>
      </c>
      <c r="B3790" t="s">
        <v>425</v>
      </c>
      <c r="C3790" s="1">
        <v>45056</v>
      </c>
      <c r="D3790" s="1" t="str">
        <f>PROPER(orders[[#This Row],[order_priority]])</f>
        <v>Standard</v>
      </c>
      <c r="E3790" t="s">
        <v>13317</v>
      </c>
      <c r="F3790" t="str">
        <f>IFERROR(INDEX(customers[country], MATCH(orders[[#This Row],[customer_id]], customers[customer_id], 0)), "Unmapped")</f>
        <v>Denmark</v>
      </c>
      <c r="G3790" t="str">
        <f>IFERROR(INDEX(Region_Map[Region], MATCH(orders[[#This Row],[Customer_Country]], Region_Map[Country], 0)), "Unknown")</f>
        <v>Nordics</v>
      </c>
      <c r="H3790" t="s">
        <v>6949</v>
      </c>
    </row>
    <row r="3791" spans="1:8">
      <c r="A3791" t="s">
        <v>4691</v>
      </c>
      <c r="B3791" t="s">
        <v>6</v>
      </c>
      <c r="C3791" s="1">
        <v>45251</v>
      </c>
      <c r="D3791" s="1" t="str">
        <f>PROPER(orders[[#This Row],[order_priority]])</f>
        <v>Express</v>
      </c>
      <c r="E3791" t="s">
        <v>13318</v>
      </c>
      <c r="F3791" t="str">
        <f>IFERROR(INDEX(customers[country], MATCH(orders[[#This Row],[customer_id]], customers[customer_id], 0)), "Unmapped")</f>
        <v>Latvia</v>
      </c>
      <c r="G3791" t="str">
        <f>IFERROR(INDEX(Region_Map[Region], MATCH(orders[[#This Row],[Customer_Country]], Region_Map[Country], 0)), "Unknown")</f>
        <v>Baltics</v>
      </c>
      <c r="H3791" t="s">
        <v>6949</v>
      </c>
    </row>
    <row r="3792" spans="1:8">
      <c r="A3792" t="s">
        <v>4692</v>
      </c>
      <c r="B3792" t="s">
        <v>77</v>
      </c>
      <c r="C3792" s="1">
        <v>45201</v>
      </c>
      <c r="D3792" s="1" t="str">
        <f>PROPER(orders[[#This Row],[order_priority]])</f>
        <v>Standard</v>
      </c>
      <c r="E3792" t="s">
        <v>13317</v>
      </c>
      <c r="F3792" t="str">
        <f>IFERROR(INDEX(customers[country], MATCH(orders[[#This Row],[customer_id]], customers[customer_id], 0)), "Unmapped")</f>
        <v>Lithuania</v>
      </c>
      <c r="G3792" t="str">
        <f>IFERROR(INDEX(Region_Map[Region], MATCH(orders[[#This Row],[Customer_Country]], Region_Map[Country], 0)), "Unknown")</f>
        <v>Baltics</v>
      </c>
      <c r="H3792" t="s">
        <v>6949</v>
      </c>
    </row>
    <row r="3793" spans="1:8">
      <c r="A3793" t="s">
        <v>4693</v>
      </c>
      <c r="B3793" t="s">
        <v>377</v>
      </c>
      <c r="C3793" s="1">
        <v>45031</v>
      </c>
      <c r="D3793" s="1" t="str">
        <f>PROPER(orders[[#This Row],[order_priority]])</f>
        <v>Same Day</v>
      </c>
      <c r="E3793" t="s">
        <v>13324</v>
      </c>
      <c r="F3793" t="str">
        <f>IFERROR(INDEX(customers[country], MATCH(orders[[#This Row],[customer_id]], customers[customer_id], 0)), "Unmapped")</f>
        <v>Denmark</v>
      </c>
      <c r="G3793" t="str">
        <f>IFERROR(INDEX(Region_Map[Region], MATCH(orders[[#This Row],[Customer_Country]], Region_Map[Country], 0)), "Unknown")</f>
        <v>Nordics</v>
      </c>
      <c r="H3793" t="s">
        <v>6949</v>
      </c>
    </row>
    <row r="3794" spans="1:8">
      <c r="A3794" t="s">
        <v>4694</v>
      </c>
      <c r="B3794" t="s">
        <v>216</v>
      </c>
      <c r="C3794" s="1">
        <v>44931</v>
      </c>
      <c r="D3794" s="1" t="str">
        <f>PROPER(orders[[#This Row],[order_priority]])</f>
        <v>Economy</v>
      </c>
      <c r="E3794" t="s">
        <v>13316</v>
      </c>
      <c r="F3794" t="str">
        <f>IFERROR(INDEX(customers[country], MATCH(orders[[#This Row],[customer_id]], customers[customer_id], 0)), "Unmapped")</f>
        <v>Norway</v>
      </c>
      <c r="G3794" t="str">
        <f>IFERROR(INDEX(Region_Map[Region], MATCH(orders[[#This Row],[Customer_Country]], Region_Map[Country], 0)), "Unknown")</f>
        <v>Nordics</v>
      </c>
      <c r="H3794" t="s">
        <v>6949</v>
      </c>
    </row>
    <row r="3795" spans="1:8">
      <c r="A3795" t="s">
        <v>4695</v>
      </c>
      <c r="B3795" t="s">
        <v>392</v>
      </c>
      <c r="C3795" s="1">
        <v>45578</v>
      </c>
      <c r="D3795" s="1" t="str">
        <f>PROPER(orders[[#This Row],[order_priority]])</f>
        <v>Same Day</v>
      </c>
      <c r="E3795" t="s">
        <v>13322</v>
      </c>
      <c r="F3795" t="str">
        <f>IFERROR(INDEX(customers[country], MATCH(orders[[#This Row],[customer_id]], customers[customer_id], 0)), "Unmapped")</f>
        <v>Latvia</v>
      </c>
      <c r="G3795" t="str">
        <f>IFERROR(INDEX(Region_Map[Region], MATCH(orders[[#This Row],[Customer_Country]], Region_Map[Country], 0)), "Unknown")</f>
        <v>Baltics</v>
      </c>
      <c r="H3795" t="s">
        <v>6949</v>
      </c>
    </row>
    <row r="3796" spans="1:8">
      <c r="A3796" t="s">
        <v>4696</v>
      </c>
      <c r="B3796" t="s">
        <v>670</v>
      </c>
      <c r="C3796" s="1">
        <v>44990</v>
      </c>
      <c r="D3796" s="1" t="str">
        <f>PROPER(orders[[#This Row],[order_priority]])</f>
        <v>Standard</v>
      </c>
      <c r="E3796" t="s">
        <v>13317</v>
      </c>
      <c r="F3796" t="str">
        <f>IFERROR(INDEX(customers[country], MATCH(orders[[#This Row],[customer_id]], customers[customer_id], 0)), "Unmapped")</f>
        <v>Netherlands</v>
      </c>
      <c r="G3796" t="str">
        <f>IFERROR(INDEX(Region_Map[Region], MATCH(orders[[#This Row],[Customer_Country]], Region_Map[Country], 0)), "Unknown")</f>
        <v>Central Europe</v>
      </c>
      <c r="H3796" t="s">
        <v>6949</v>
      </c>
    </row>
    <row r="3797" spans="1:8">
      <c r="A3797" t="s">
        <v>4697</v>
      </c>
      <c r="B3797" t="s">
        <v>837</v>
      </c>
      <c r="C3797" s="1">
        <v>45213</v>
      </c>
      <c r="D3797" s="1" t="str">
        <f>PROPER(orders[[#This Row],[order_priority]])</f>
        <v>Standard</v>
      </c>
      <c r="E3797" t="s">
        <v>13317</v>
      </c>
      <c r="F3797" t="str">
        <f>IFERROR(INDEX(customers[country], MATCH(orders[[#This Row],[customer_id]], customers[customer_id], 0)), "Unmapped")</f>
        <v>Poland</v>
      </c>
      <c r="G3797" t="str">
        <f>IFERROR(INDEX(Region_Map[Region], MATCH(orders[[#This Row],[Customer_Country]], Region_Map[Country], 0)), "Unknown")</f>
        <v>Central Europe</v>
      </c>
      <c r="H3797" t="s">
        <v>6949</v>
      </c>
    </row>
    <row r="3798" spans="1:8">
      <c r="A3798" t="s">
        <v>4698</v>
      </c>
      <c r="B3798" t="s">
        <v>533</v>
      </c>
      <c r="C3798" s="1">
        <v>45033</v>
      </c>
      <c r="D3798" s="1" t="str">
        <f>PROPER(orders[[#This Row],[order_priority]])</f>
        <v>Express</v>
      </c>
      <c r="E3798" t="s">
        <v>13320</v>
      </c>
      <c r="F3798" t="str">
        <f>IFERROR(INDEX(customers[country], MATCH(orders[[#This Row],[customer_id]], customers[customer_id], 0)), "Unmapped")</f>
        <v>Germany</v>
      </c>
      <c r="G3798" t="str">
        <f>IFERROR(INDEX(Region_Map[Region], MATCH(orders[[#This Row],[Customer_Country]], Region_Map[Country], 0)), "Unknown")</f>
        <v>Central Europe</v>
      </c>
      <c r="H3798" t="s">
        <v>6949</v>
      </c>
    </row>
    <row r="3799" spans="1:8">
      <c r="A3799" t="s">
        <v>4699</v>
      </c>
      <c r="B3799" t="s">
        <v>148</v>
      </c>
      <c r="C3799" s="1">
        <v>45467</v>
      </c>
      <c r="D3799" s="1" t="str">
        <f>PROPER(orders[[#This Row],[order_priority]])</f>
        <v>Express</v>
      </c>
      <c r="E3799" t="s">
        <v>13318</v>
      </c>
      <c r="F3799" t="str">
        <f>IFERROR(INDEX(customers[country], MATCH(orders[[#This Row],[customer_id]], customers[customer_id], 0)), "Unmapped")</f>
        <v>Poland</v>
      </c>
      <c r="G3799" t="str">
        <f>IFERROR(INDEX(Region_Map[Region], MATCH(orders[[#This Row],[Customer_Country]], Region_Map[Country], 0)), "Unknown")</f>
        <v>Central Europe</v>
      </c>
      <c r="H3799" t="s">
        <v>6949</v>
      </c>
    </row>
    <row r="3800" spans="1:8">
      <c r="A3800" t="s">
        <v>4700</v>
      </c>
      <c r="B3800" t="s">
        <v>449</v>
      </c>
      <c r="C3800" s="1">
        <v>44973</v>
      </c>
      <c r="D3800" s="1" t="str">
        <f>PROPER(orders[[#This Row],[order_priority]])</f>
        <v>Express</v>
      </c>
      <c r="E3800" t="s">
        <v>13318</v>
      </c>
      <c r="F3800" t="str">
        <f>IFERROR(INDEX(customers[country], MATCH(orders[[#This Row],[customer_id]], customers[customer_id], 0)), "Unmapped")</f>
        <v>Norway</v>
      </c>
      <c r="G3800" t="str">
        <f>IFERROR(INDEX(Region_Map[Region], MATCH(orders[[#This Row],[Customer_Country]], Region_Map[Country], 0)), "Unknown")</f>
        <v>Nordics</v>
      </c>
      <c r="H3800" t="s">
        <v>6949</v>
      </c>
    </row>
    <row r="3801" spans="1:8">
      <c r="A3801" t="s">
        <v>4701</v>
      </c>
      <c r="B3801" t="s">
        <v>735</v>
      </c>
      <c r="C3801" s="1">
        <v>44986</v>
      </c>
      <c r="D3801" s="1" t="str">
        <f>PROPER(orders[[#This Row],[order_priority]])</f>
        <v>Economy</v>
      </c>
      <c r="E3801" t="s">
        <v>13325</v>
      </c>
      <c r="F3801" t="str">
        <f>IFERROR(INDEX(customers[country], MATCH(orders[[#This Row],[customer_id]], customers[customer_id], 0)), "Unmapped")</f>
        <v>Poland</v>
      </c>
      <c r="G3801" t="str">
        <f>IFERROR(INDEX(Region_Map[Region], MATCH(orders[[#This Row],[Customer_Country]], Region_Map[Country], 0)), "Unknown")</f>
        <v>Central Europe</v>
      </c>
      <c r="H3801" t="s">
        <v>6949</v>
      </c>
    </row>
    <row r="3802" spans="1:8">
      <c r="A3802" t="s">
        <v>4702</v>
      </c>
      <c r="B3802" t="s">
        <v>285</v>
      </c>
      <c r="C3802" s="1">
        <v>45387</v>
      </c>
      <c r="D3802" s="1" t="str">
        <f>PROPER(orders[[#This Row],[order_priority]])</f>
        <v>Economy</v>
      </c>
      <c r="E3802" t="s">
        <v>13316</v>
      </c>
      <c r="F3802" t="str">
        <f>IFERROR(INDEX(customers[country], MATCH(orders[[#This Row],[customer_id]], customers[customer_id], 0)), "Unmapped")</f>
        <v>Norway</v>
      </c>
      <c r="G3802" t="str">
        <f>IFERROR(INDEX(Region_Map[Region], MATCH(orders[[#This Row],[Customer_Country]], Region_Map[Country], 0)), "Unknown")</f>
        <v>Nordics</v>
      </c>
      <c r="H3802" t="s">
        <v>6949</v>
      </c>
    </row>
    <row r="3803" spans="1:8">
      <c r="A3803" t="s">
        <v>4703</v>
      </c>
      <c r="B3803" t="s">
        <v>61</v>
      </c>
      <c r="C3803" s="1">
        <v>45236</v>
      </c>
      <c r="D3803" s="1" t="str">
        <f>PROPER(orders[[#This Row],[order_priority]])</f>
        <v>Express</v>
      </c>
      <c r="E3803" t="s">
        <v>13318</v>
      </c>
      <c r="F3803" t="str">
        <f>IFERROR(INDEX(customers[country], MATCH(orders[[#This Row],[customer_id]], customers[customer_id], 0)), "Unmapped")</f>
        <v>Netherlands</v>
      </c>
      <c r="G3803" t="str">
        <f>IFERROR(INDEX(Region_Map[Region], MATCH(orders[[#This Row],[Customer_Country]], Region_Map[Country], 0)), "Unknown")</f>
        <v>Central Europe</v>
      </c>
      <c r="H3803" t="s">
        <v>6949</v>
      </c>
    </row>
    <row r="3804" spans="1:8">
      <c r="A3804" t="s">
        <v>4704</v>
      </c>
      <c r="B3804" t="s">
        <v>374</v>
      </c>
      <c r="C3804" s="1">
        <v>45321</v>
      </c>
      <c r="D3804" s="1" t="str">
        <f>PROPER(orders[[#This Row],[order_priority]])</f>
        <v>Same Day</v>
      </c>
      <c r="E3804" t="s">
        <v>13322</v>
      </c>
      <c r="F3804" t="str">
        <f>IFERROR(INDEX(customers[country], MATCH(orders[[#This Row],[customer_id]], customers[customer_id], 0)), "Unmapped")</f>
        <v>Estonia</v>
      </c>
      <c r="G3804" t="str">
        <f>IFERROR(INDEX(Region_Map[Region], MATCH(orders[[#This Row],[Customer_Country]], Region_Map[Country], 0)), "Unknown")</f>
        <v>Baltics</v>
      </c>
      <c r="H3804" t="s">
        <v>6949</v>
      </c>
    </row>
    <row r="3805" spans="1:8">
      <c r="A3805" t="s">
        <v>4705</v>
      </c>
      <c r="B3805" t="s">
        <v>38</v>
      </c>
      <c r="C3805" s="1">
        <v>45535</v>
      </c>
      <c r="D3805" s="1" t="str">
        <f>PROPER(orders[[#This Row],[order_priority]])</f>
        <v>Economy</v>
      </c>
      <c r="E3805" t="s">
        <v>13316</v>
      </c>
      <c r="F3805" t="str">
        <f>IFERROR(INDEX(customers[country], MATCH(orders[[#This Row],[customer_id]], customers[customer_id], 0)), "Unmapped")</f>
        <v>Lithuania</v>
      </c>
      <c r="G3805" t="str">
        <f>IFERROR(INDEX(Region_Map[Region], MATCH(orders[[#This Row],[Customer_Country]], Region_Map[Country], 0)), "Unknown")</f>
        <v>Baltics</v>
      </c>
      <c r="H3805" t="s">
        <v>6949</v>
      </c>
    </row>
    <row r="3806" spans="1:8">
      <c r="A3806" t="s">
        <v>4706</v>
      </c>
      <c r="B3806" t="s">
        <v>195</v>
      </c>
      <c r="C3806" s="1">
        <v>45007</v>
      </c>
      <c r="D3806" s="1" t="str">
        <f>PROPER(orders[[#This Row],[order_priority]])</f>
        <v>Same Day</v>
      </c>
      <c r="E3806" t="s">
        <v>13322</v>
      </c>
      <c r="F3806" t="str">
        <f>IFERROR(INDEX(customers[country], MATCH(orders[[#This Row],[customer_id]], customers[customer_id], 0)), "Unmapped")</f>
        <v>Latvia</v>
      </c>
      <c r="G3806" t="str">
        <f>IFERROR(INDEX(Region_Map[Region], MATCH(orders[[#This Row],[Customer_Country]], Region_Map[Country], 0)), "Unknown")</f>
        <v>Baltics</v>
      </c>
      <c r="H3806" t="s">
        <v>6949</v>
      </c>
    </row>
    <row r="3807" spans="1:8">
      <c r="A3807" t="s">
        <v>4707</v>
      </c>
      <c r="B3807" t="s">
        <v>703</v>
      </c>
      <c r="C3807" s="1">
        <v>45470</v>
      </c>
      <c r="D3807" s="1" t="str">
        <f>PROPER(orders[[#This Row],[order_priority]])</f>
        <v>Economy</v>
      </c>
      <c r="E3807" t="s">
        <v>13325</v>
      </c>
      <c r="F3807" t="str">
        <f>IFERROR(INDEX(customers[country], MATCH(orders[[#This Row],[customer_id]], customers[customer_id], 0)), "Unmapped")</f>
        <v>Estonia</v>
      </c>
      <c r="G3807" t="str">
        <f>IFERROR(INDEX(Region_Map[Region], MATCH(orders[[#This Row],[Customer_Country]], Region_Map[Country], 0)), "Unknown")</f>
        <v>Baltics</v>
      </c>
      <c r="H3807" t="s">
        <v>6949</v>
      </c>
    </row>
    <row r="3808" spans="1:8">
      <c r="A3808" t="s">
        <v>4708</v>
      </c>
      <c r="B3808" t="s">
        <v>374</v>
      </c>
      <c r="C3808" s="1">
        <v>45251</v>
      </c>
      <c r="D3808" s="1" t="str">
        <f>PROPER(orders[[#This Row],[order_priority]])</f>
        <v>Economy</v>
      </c>
      <c r="E3808" t="s">
        <v>13316</v>
      </c>
      <c r="F3808" t="str">
        <f>IFERROR(INDEX(customers[country], MATCH(orders[[#This Row],[customer_id]], customers[customer_id], 0)), "Unmapped")</f>
        <v>Estonia</v>
      </c>
      <c r="G3808" t="str">
        <f>IFERROR(INDEX(Region_Map[Region], MATCH(orders[[#This Row],[Customer_Country]], Region_Map[Country], 0)), "Unknown")</f>
        <v>Baltics</v>
      </c>
      <c r="H3808" t="s">
        <v>6949</v>
      </c>
    </row>
    <row r="3809" spans="1:8">
      <c r="A3809" t="s">
        <v>4709</v>
      </c>
      <c r="B3809" t="s">
        <v>518</v>
      </c>
      <c r="C3809" s="1">
        <v>45218</v>
      </c>
      <c r="D3809" s="1" t="str">
        <f>PROPER(orders[[#This Row],[order_priority]])</f>
        <v>Same Day</v>
      </c>
      <c r="E3809" t="s">
        <v>13322</v>
      </c>
      <c r="F3809" t="str">
        <f>IFERROR(INDEX(customers[country], MATCH(orders[[#This Row],[customer_id]], customers[customer_id], 0)), "Unmapped")</f>
        <v>Germany</v>
      </c>
      <c r="G3809" t="str">
        <f>IFERROR(INDEX(Region_Map[Region], MATCH(orders[[#This Row],[Customer_Country]], Region_Map[Country], 0)), "Unknown")</f>
        <v>Central Europe</v>
      </c>
      <c r="H3809" t="s">
        <v>6949</v>
      </c>
    </row>
    <row r="3810" spans="1:8">
      <c r="A3810" t="s">
        <v>4710</v>
      </c>
      <c r="B3810" t="s">
        <v>142</v>
      </c>
      <c r="C3810" s="1">
        <v>45536</v>
      </c>
      <c r="D3810" s="1" t="str">
        <f>PROPER(orders[[#This Row],[order_priority]])</f>
        <v>Economy</v>
      </c>
      <c r="E3810" t="s">
        <v>13325</v>
      </c>
      <c r="F3810" t="str">
        <f>IFERROR(INDEX(customers[country], MATCH(orders[[#This Row],[customer_id]], customers[customer_id], 0)), "Unmapped")</f>
        <v>Estonia</v>
      </c>
      <c r="G3810" t="str">
        <f>IFERROR(INDEX(Region_Map[Region], MATCH(orders[[#This Row],[Customer_Country]], Region_Map[Country], 0)), "Unknown")</f>
        <v>Baltics</v>
      </c>
      <c r="H3810" t="s">
        <v>6949</v>
      </c>
    </row>
    <row r="3811" spans="1:8">
      <c r="A3811" t="s">
        <v>4711</v>
      </c>
      <c r="B3811" t="s">
        <v>338</v>
      </c>
      <c r="C3811" s="1">
        <v>44976</v>
      </c>
      <c r="D3811" s="1" t="str">
        <f>PROPER(orders[[#This Row],[order_priority]])</f>
        <v>Express</v>
      </c>
      <c r="E3811" t="s">
        <v>13320</v>
      </c>
      <c r="F3811" t="str">
        <f>IFERROR(INDEX(customers[country], MATCH(orders[[#This Row],[customer_id]], customers[customer_id], 0)), "Unmapped")</f>
        <v>Denmark</v>
      </c>
      <c r="G3811" t="str">
        <f>IFERROR(INDEX(Region_Map[Region], MATCH(orders[[#This Row],[Customer_Country]], Region_Map[Country], 0)), "Unknown")</f>
        <v>Nordics</v>
      </c>
      <c r="H3811" t="s">
        <v>6949</v>
      </c>
    </row>
    <row r="3812" spans="1:8">
      <c r="A3812" t="s">
        <v>4712</v>
      </c>
      <c r="B3812" t="s">
        <v>13332</v>
      </c>
      <c r="C3812" s="1">
        <v>45159</v>
      </c>
      <c r="D3812" s="1" t="str">
        <f>PROPER(orders[[#This Row],[order_priority]])</f>
        <v>Same Day</v>
      </c>
      <c r="E3812" t="s">
        <v>13322</v>
      </c>
      <c r="F3812" t="str">
        <f>IFERROR(INDEX(customers[country], MATCH(orders[[#This Row],[customer_id]], customers[customer_id], 0)), "Unmapped")</f>
        <v>Unmapped</v>
      </c>
      <c r="G3812" t="str">
        <f>IFERROR(INDEX(Region_Map[Region], MATCH(orders[[#This Row],[Customer_Country]], Region_Map[Country], 0)), "Unknown")</f>
        <v>Unknown</v>
      </c>
      <c r="H3812" t="s">
        <v>6949</v>
      </c>
    </row>
    <row r="3813" spans="1:8">
      <c r="A3813" t="s">
        <v>4713</v>
      </c>
      <c r="B3813" t="s">
        <v>279</v>
      </c>
      <c r="C3813" s="1">
        <v>45025</v>
      </c>
      <c r="D3813" s="1" t="str">
        <f>PROPER(orders[[#This Row],[order_priority]])</f>
        <v>Economy</v>
      </c>
      <c r="E3813" t="s">
        <v>13316</v>
      </c>
      <c r="F3813" t="str">
        <f>IFERROR(INDEX(customers[country], MATCH(orders[[#This Row],[customer_id]], customers[customer_id], 0)), "Unmapped")</f>
        <v>Germany</v>
      </c>
      <c r="G3813" t="str">
        <f>IFERROR(INDEX(Region_Map[Region], MATCH(orders[[#This Row],[Customer_Country]], Region_Map[Country], 0)), "Unknown")</f>
        <v>Central Europe</v>
      </c>
      <c r="H3813" t="s">
        <v>6949</v>
      </c>
    </row>
    <row r="3814" spans="1:8">
      <c r="A3814" t="s">
        <v>4714</v>
      </c>
      <c r="B3814" t="s">
        <v>733</v>
      </c>
      <c r="C3814" s="1">
        <v>44996</v>
      </c>
      <c r="D3814" s="1" t="str">
        <f>PROPER(orders[[#This Row],[order_priority]])</f>
        <v>Same Day</v>
      </c>
      <c r="E3814" t="s">
        <v>13322</v>
      </c>
      <c r="F3814" t="str">
        <f>IFERROR(INDEX(customers[country], MATCH(orders[[#This Row],[customer_id]], customers[customer_id], 0)), "Unmapped")</f>
        <v>Lithuania</v>
      </c>
      <c r="G3814" t="str">
        <f>IFERROR(INDEX(Region_Map[Region], MATCH(orders[[#This Row],[Customer_Country]], Region_Map[Country], 0)), "Unknown")</f>
        <v>Baltics</v>
      </c>
      <c r="H3814" t="s">
        <v>6949</v>
      </c>
    </row>
    <row r="3815" spans="1:8">
      <c r="A3815" t="s">
        <v>4715</v>
      </c>
      <c r="B3815" t="s">
        <v>213</v>
      </c>
      <c r="C3815" s="1">
        <v>45562</v>
      </c>
      <c r="D3815" s="1" t="str">
        <f>PROPER(orders[[#This Row],[order_priority]])</f>
        <v>Standard</v>
      </c>
      <c r="E3815" t="s">
        <v>13317</v>
      </c>
      <c r="F3815" t="str">
        <f>IFERROR(INDEX(customers[country], MATCH(orders[[#This Row],[customer_id]], customers[customer_id], 0)), "Unmapped")</f>
        <v>Denmark</v>
      </c>
      <c r="G3815" t="str">
        <f>IFERROR(INDEX(Region_Map[Region], MATCH(orders[[#This Row],[Customer_Country]], Region_Map[Country], 0)), "Unknown")</f>
        <v>Nordics</v>
      </c>
      <c r="H3815" t="s">
        <v>6949</v>
      </c>
    </row>
    <row r="3816" spans="1:8">
      <c r="A3816" t="s">
        <v>4716</v>
      </c>
      <c r="B3816" t="s">
        <v>163</v>
      </c>
      <c r="C3816" s="1">
        <v>45362</v>
      </c>
      <c r="D3816" s="1" t="str">
        <f>PROPER(orders[[#This Row],[order_priority]])</f>
        <v>Same Day</v>
      </c>
      <c r="E3816" t="s">
        <v>13322</v>
      </c>
      <c r="F3816" t="str">
        <f>IFERROR(INDEX(customers[country], MATCH(orders[[#This Row],[customer_id]], customers[customer_id], 0)), "Unmapped")</f>
        <v>Germany</v>
      </c>
      <c r="G3816" t="str">
        <f>IFERROR(INDEX(Region_Map[Region], MATCH(orders[[#This Row],[Customer_Country]], Region_Map[Country], 0)), "Unknown")</f>
        <v>Central Europe</v>
      </c>
      <c r="H3816" t="s">
        <v>6949</v>
      </c>
    </row>
    <row r="3817" spans="1:8">
      <c r="A3817" t="s">
        <v>4717</v>
      </c>
      <c r="B3817" t="s">
        <v>234</v>
      </c>
      <c r="C3817" s="1">
        <v>44932</v>
      </c>
      <c r="D3817" s="1" t="str">
        <f>PROPER(orders[[#This Row],[order_priority]])</f>
        <v>Economy</v>
      </c>
      <c r="E3817" t="s">
        <v>13316</v>
      </c>
      <c r="F3817" t="str">
        <f>IFERROR(INDEX(customers[country], MATCH(orders[[#This Row],[customer_id]], customers[customer_id], 0)), "Unmapped")</f>
        <v>Finland</v>
      </c>
      <c r="G3817" t="str">
        <f>IFERROR(INDEX(Region_Map[Region], MATCH(orders[[#This Row],[Customer_Country]], Region_Map[Country], 0)), "Unknown")</f>
        <v>Nordics</v>
      </c>
      <c r="H3817" t="s">
        <v>6949</v>
      </c>
    </row>
    <row r="3818" spans="1:8">
      <c r="A3818" t="s">
        <v>4718</v>
      </c>
      <c r="B3818" t="s">
        <v>632</v>
      </c>
      <c r="C3818" s="1">
        <v>45315</v>
      </c>
      <c r="D3818" s="1" t="str">
        <f>PROPER(orders[[#This Row],[order_priority]])</f>
        <v>Standard</v>
      </c>
      <c r="E3818" t="s">
        <v>13317</v>
      </c>
      <c r="F3818" t="str">
        <f>IFERROR(INDEX(customers[country], MATCH(orders[[#This Row],[customer_id]], customers[customer_id], 0)), "Unmapped")</f>
        <v>Norway</v>
      </c>
      <c r="G3818" t="str">
        <f>IFERROR(INDEX(Region_Map[Region], MATCH(orders[[#This Row],[Customer_Country]], Region_Map[Country], 0)), "Unknown")</f>
        <v>Nordics</v>
      </c>
      <c r="H3818" t="s">
        <v>6949</v>
      </c>
    </row>
    <row r="3819" spans="1:8">
      <c r="A3819" t="s">
        <v>4719</v>
      </c>
      <c r="B3819" t="s">
        <v>743</v>
      </c>
      <c r="C3819" s="1">
        <v>45398</v>
      </c>
      <c r="D3819" s="1" t="str">
        <f>PROPER(orders[[#This Row],[order_priority]])</f>
        <v>Same Day</v>
      </c>
      <c r="E3819" t="s">
        <v>13322</v>
      </c>
      <c r="F3819" t="str">
        <f>IFERROR(INDEX(customers[country], MATCH(orders[[#This Row],[customer_id]], customers[customer_id], 0)), "Unmapped")</f>
        <v>Germany</v>
      </c>
      <c r="G3819" t="str">
        <f>IFERROR(INDEX(Region_Map[Region], MATCH(orders[[#This Row],[Customer_Country]], Region_Map[Country], 0)), "Unknown")</f>
        <v>Central Europe</v>
      </c>
      <c r="H3819" t="s">
        <v>6949</v>
      </c>
    </row>
    <row r="3820" spans="1:8">
      <c r="A3820" t="s">
        <v>4720</v>
      </c>
      <c r="B3820" t="s">
        <v>766</v>
      </c>
      <c r="C3820" s="1">
        <v>45272</v>
      </c>
      <c r="D3820" s="1" t="str">
        <f>PROPER(orders[[#This Row],[order_priority]])</f>
        <v>Same Day</v>
      </c>
      <c r="E3820" t="s">
        <v>13322</v>
      </c>
      <c r="F3820" t="str">
        <f>IFERROR(INDEX(customers[country], MATCH(orders[[#This Row],[customer_id]], customers[customer_id], 0)), "Unmapped")</f>
        <v>Germany</v>
      </c>
      <c r="G3820" t="str">
        <f>IFERROR(INDEX(Region_Map[Region], MATCH(orders[[#This Row],[Customer_Country]], Region_Map[Country], 0)), "Unknown")</f>
        <v>Central Europe</v>
      </c>
      <c r="H3820" t="s">
        <v>6949</v>
      </c>
    </row>
    <row r="3821" spans="1:8">
      <c r="A3821" t="s">
        <v>4721</v>
      </c>
      <c r="B3821" t="s">
        <v>285</v>
      </c>
      <c r="C3821" s="1">
        <v>45297</v>
      </c>
      <c r="D3821" s="1" t="str">
        <f>PROPER(orders[[#This Row],[order_priority]])</f>
        <v>Standard</v>
      </c>
      <c r="E3821" t="s">
        <v>13317</v>
      </c>
      <c r="F3821" t="str">
        <f>IFERROR(INDEX(customers[country], MATCH(orders[[#This Row],[customer_id]], customers[customer_id], 0)), "Unmapped")</f>
        <v>Norway</v>
      </c>
      <c r="G3821" t="str">
        <f>IFERROR(INDEX(Region_Map[Region], MATCH(orders[[#This Row],[Customer_Country]], Region_Map[Country], 0)), "Unknown")</f>
        <v>Nordics</v>
      </c>
      <c r="H3821" t="s">
        <v>6949</v>
      </c>
    </row>
    <row r="3822" spans="1:8">
      <c r="A3822" t="s">
        <v>4722</v>
      </c>
      <c r="B3822" t="s">
        <v>813</v>
      </c>
      <c r="C3822" s="1">
        <v>45516</v>
      </c>
      <c r="D3822" s="1" t="str">
        <f>PROPER(orders[[#This Row],[order_priority]])</f>
        <v>Economy</v>
      </c>
      <c r="E3822" t="s">
        <v>13316</v>
      </c>
      <c r="F3822" t="str">
        <f>IFERROR(INDEX(customers[country], MATCH(orders[[#This Row],[customer_id]], customers[customer_id], 0)), "Unmapped")</f>
        <v>Norway</v>
      </c>
      <c r="G3822" t="str">
        <f>IFERROR(INDEX(Region_Map[Region], MATCH(orders[[#This Row],[Customer_Country]], Region_Map[Country], 0)), "Unknown")</f>
        <v>Nordics</v>
      </c>
      <c r="H3822" t="s">
        <v>6949</v>
      </c>
    </row>
    <row r="3823" spans="1:8">
      <c r="A3823" t="s">
        <v>4723</v>
      </c>
      <c r="B3823" t="s">
        <v>320</v>
      </c>
      <c r="C3823" s="1">
        <v>45159</v>
      </c>
      <c r="D3823" s="1" t="str">
        <f>PROPER(orders[[#This Row],[order_priority]])</f>
        <v>Express</v>
      </c>
      <c r="E3823" t="s">
        <v>13318</v>
      </c>
      <c r="F3823" t="str">
        <f>IFERROR(INDEX(customers[country], MATCH(orders[[#This Row],[customer_id]], customers[customer_id], 0)), "Unmapped")</f>
        <v>Sweden</v>
      </c>
      <c r="G3823" t="str">
        <f>IFERROR(INDEX(Region_Map[Region], MATCH(orders[[#This Row],[Customer_Country]], Region_Map[Country], 0)), "Unknown")</f>
        <v>Nordics</v>
      </c>
      <c r="H3823" t="s">
        <v>6949</v>
      </c>
    </row>
    <row r="3824" spans="1:8">
      <c r="A3824" t="s">
        <v>4724</v>
      </c>
      <c r="B3824" t="s">
        <v>825</v>
      </c>
      <c r="C3824" s="1">
        <v>45464</v>
      </c>
      <c r="D3824" s="1" t="str">
        <f>PROPER(orders[[#This Row],[order_priority]])</f>
        <v>Express</v>
      </c>
      <c r="E3824" t="s">
        <v>13318</v>
      </c>
      <c r="F3824" t="str">
        <f>IFERROR(INDEX(customers[country], MATCH(orders[[#This Row],[customer_id]], customers[customer_id], 0)), "Unmapped")</f>
        <v>Latvia</v>
      </c>
      <c r="G3824" t="str">
        <f>IFERROR(INDEX(Region_Map[Region], MATCH(orders[[#This Row],[Customer_Country]], Region_Map[Country], 0)), "Unknown")</f>
        <v>Baltics</v>
      </c>
      <c r="H3824" t="s">
        <v>6949</v>
      </c>
    </row>
    <row r="3825" spans="1:8">
      <c r="A3825" t="s">
        <v>4725</v>
      </c>
      <c r="B3825" t="s">
        <v>300</v>
      </c>
      <c r="C3825" s="1">
        <v>45091</v>
      </c>
      <c r="D3825" s="1" t="str">
        <f>PROPER(orders[[#This Row],[order_priority]])</f>
        <v>Economy</v>
      </c>
      <c r="E3825" t="s">
        <v>13316</v>
      </c>
      <c r="F3825" t="str">
        <f>IFERROR(INDEX(customers[country], MATCH(orders[[#This Row],[customer_id]], customers[customer_id], 0)), "Unmapped")</f>
        <v>Poland</v>
      </c>
      <c r="G3825" t="str">
        <f>IFERROR(INDEX(Region_Map[Region], MATCH(orders[[#This Row],[Customer_Country]], Region_Map[Country], 0)), "Unknown")</f>
        <v>Central Europe</v>
      </c>
      <c r="H3825" t="s">
        <v>6949</v>
      </c>
    </row>
    <row r="3826" spans="1:8">
      <c r="A3826" t="s">
        <v>4726</v>
      </c>
      <c r="B3826" t="s">
        <v>735</v>
      </c>
      <c r="C3826" s="1">
        <v>45511</v>
      </c>
      <c r="D3826" s="1" t="str">
        <f>PROPER(orders[[#This Row],[order_priority]])</f>
        <v>Standard</v>
      </c>
      <c r="E3826" t="s">
        <v>13317</v>
      </c>
      <c r="F3826" t="str">
        <f>IFERROR(INDEX(customers[country], MATCH(orders[[#This Row],[customer_id]], customers[customer_id], 0)), "Unmapped")</f>
        <v>Poland</v>
      </c>
      <c r="G3826" t="str">
        <f>IFERROR(INDEX(Region_Map[Region], MATCH(orders[[#This Row],[Customer_Country]], Region_Map[Country], 0)), "Unknown")</f>
        <v>Central Europe</v>
      </c>
      <c r="H3826" t="s">
        <v>6949</v>
      </c>
    </row>
    <row r="3827" spans="1:8">
      <c r="A3827" t="s">
        <v>4727</v>
      </c>
      <c r="B3827" t="s">
        <v>192</v>
      </c>
      <c r="C3827" s="1">
        <v>45153</v>
      </c>
      <c r="D3827" s="1" t="str">
        <f>PROPER(orders[[#This Row],[order_priority]])</f>
        <v>Express</v>
      </c>
      <c r="E3827" t="s">
        <v>13318</v>
      </c>
      <c r="F3827" t="str">
        <f>IFERROR(INDEX(customers[country], MATCH(orders[[#This Row],[customer_id]], customers[customer_id], 0)), "Unmapped")</f>
        <v>Estonia</v>
      </c>
      <c r="G3827" t="str">
        <f>IFERROR(INDEX(Region_Map[Region], MATCH(orders[[#This Row],[Customer_Country]], Region_Map[Country], 0)), "Unknown")</f>
        <v>Baltics</v>
      </c>
      <c r="H3827" t="s">
        <v>6949</v>
      </c>
    </row>
    <row r="3828" spans="1:8">
      <c r="A3828" t="s">
        <v>4728</v>
      </c>
      <c r="B3828" t="s">
        <v>449</v>
      </c>
      <c r="C3828" s="1">
        <v>45056</v>
      </c>
      <c r="D3828" s="1" t="str">
        <f>PROPER(orders[[#This Row],[order_priority]])</f>
        <v>Same Day</v>
      </c>
      <c r="E3828" t="s">
        <v>13322</v>
      </c>
      <c r="F3828" t="str">
        <f>IFERROR(INDEX(customers[country], MATCH(orders[[#This Row],[customer_id]], customers[customer_id], 0)), "Unmapped")</f>
        <v>Norway</v>
      </c>
      <c r="G3828" t="str">
        <f>IFERROR(INDEX(Region_Map[Region], MATCH(orders[[#This Row],[Customer_Country]], Region_Map[Country], 0)), "Unknown")</f>
        <v>Nordics</v>
      </c>
      <c r="H3828" t="s">
        <v>6949</v>
      </c>
    </row>
    <row r="3829" spans="1:8">
      <c r="A3829" t="s">
        <v>4729</v>
      </c>
      <c r="B3829" t="s">
        <v>338</v>
      </c>
      <c r="C3829" s="1">
        <v>45554</v>
      </c>
      <c r="D3829" s="1" t="str">
        <f>PROPER(orders[[#This Row],[order_priority]])</f>
        <v>Same Day</v>
      </c>
      <c r="E3829" t="s">
        <v>13322</v>
      </c>
      <c r="F3829" t="str">
        <f>IFERROR(INDEX(customers[country], MATCH(orders[[#This Row],[customer_id]], customers[customer_id], 0)), "Unmapped")</f>
        <v>Denmark</v>
      </c>
      <c r="G3829" t="str">
        <f>IFERROR(INDEX(Region_Map[Region], MATCH(orders[[#This Row],[Customer_Country]], Region_Map[Country], 0)), "Unknown")</f>
        <v>Nordics</v>
      </c>
      <c r="H3829" t="s">
        <v>6949</v>
      </c>
    </row>
    <row r="3830" spans="1:8">
      <c r="A3830" t="s">
        <v>4730</v>
      </c>
      <c r="B3830" t="s">
        <v>216</v>
      </c>
      <c r="C3830" s="1">
        <v>45203</v>
      </c>
      <c r="D3830" s="1" t="str">
        <f>PROPER(orders[[#This Row],[order_priority]])</f>
        <v>Standard</v>
      </c>
      <c r="E3830" t="s">
        <v>13317</v>
      </c>
      <c r="F3830" t="str">
        <f>IFERROR(INDEX(customers[country], MATCH(orders[[#This Row],[customer_id]], customers[customer_id], 0)), "Unmapped")</f>
        <v>Norway</v>
      </c>
      <c r="G3830" t="str">
        <f>IFERROR(INDEX(Region_Map[Region], MATCH(orders[[#This Row],[Customer_Country]], Region_Map[Country], 0)), "Unknown")</f>
        <v>Nordics</v>
      </c>
      <c r="H3830" t="s">
        <v>6949</v>
      </c>
    </row>
    <row r="3831" spans="1:8">
      <c r="A3831" t="s">
        <v>4731</v>
      </c>
      <c r="B3831" t="s">
        <v>192</v>
      </c>
      <c r="C3831" s="1">
        <v>45337</v>
      </c>
      <c r="D3831" s="1" t="str">
        <f>PROPER(orders[[#This Row],[order_priority]])</f>
        <v>Economy</v>
      </c>
      <c r="E3831" t="s">
        <v>13316</v>
      </c>
      <c r="F3831" t="str">
        <f>IFERROR(INDEX(customers[country], MATCH(orders[[#This Row],[customer_id]], customers[customer_id], 0)), "Unmapped")</f>
        <v>Estonia</v>
      </c>
      <c r="G3831" t="str">
        <f>IFERROR(INDEX(Region_Map[Region], MATCH(orders[[#This Row],[Customer_Country]], Region_Map[Country], 0)), "Unknown")</f>
        <v>Baltics</v>
      </c>
      <c r="H3831" t="s">
        <v>6949</v>
      </c>
    </row>
    <row r="3832" spans="1:8">
      <c r="A3832" t="s">
        <v>4732</v>
      </c>
      <c r="B3832" t="s">
        <v>617</v>
      </c>
      <c r="C3832" s="1">
        <v>45334</v>
      </c>
      <c r="D3832" s="1" t="str">
        <f>PROPER(orders[[#This Row],[order_priority]])</f>
        <v>Same Day</v>
      </c>
      <c r="E3832" t="s">
        <v>13322</v>
      </c>
      <c r="F3832" t="str">
        <f>IFERROR(INDEX(customers[country], MATCH(orders[[#This Row],[customer_id]], customers[customer_id], 0)), "Unmapped")</f>
        <v>Latvia</v>
      </c>
      <c r="G3832" t="str">
        <f>IFERROR(INDEX(Region_Map[Region], MATCH(orders[[#This Row],[Customer_Country]], Region_Map[Country], 0)), "Unknown")</f>
        <v>Baltics</v>
      </c>
      <c r="H3832" t="s">
        <v>6949</v>
      </c>
    </row>
    <row r="3833" spans="1:8">
      <c r="A3833" t="s">
        <v>4733</v>
      </c>
      <c r="B3833" t="s">
        <v>703</v>
      </c>
      <c r="C3833" s="1">
        <v>45563</v>
      </c>
      <c r="D3833" s="1" t="str">
        <f>PROPER(orders[[#This Row],[order_priority]])</f>
        <v>Economy</v>
      </c>
      <c r="E3833" t="s">
        <v>13316</v>
      </c>
      <c r="F3833" t="str">
        <f>IFERROR(INDEX(customers[country], MATCH(orders[[#This Row],[customer_id]], customers[customer_id], 0)), "Unmapped")</f>
        <v>Estonia</v>
      </c>
      <c r="G3833" t="str">
        <f>IFERROR(INDEX(Region_Map[Region], MATCH(orders[[#This Row],[Customer_Country]], Region_Map[Country], 0)), "Unknown")</f>
        <v>Baltics</v>
      </c>
      <c r="H3833" t="s">
        <v>6949</v>
      </c>
    </row>
    <row r="3834" spans="1:8">
      <c r="A3834" t="s">
        <v>4734</v>
      </c>
      <c r="B3834" t="s">
        <v>102</v>
      </c>
      <c r="C3834" s="1">
        <v>45338</v>
      </c>
      <c r="D3834" s="1" t="str">
        <f>PROPER(orders[[#This Row],[order_priority]])</f>
        <v>Express</v>
      </c>
      <c r="E3834" t="s">
        <v>13318</v>
      </c>
      <c r="F3834" t="str">
        <f>IFERROR(INDEX(customers[country], MATCH(orders[[#This Row],[customer_id]], customers[customer_id], 0)), "Unmapped")</f>
        <v>Denmark</v>
      </c>
      <c r="G3834" t="str">
        <f>IFERROR(INDEX(Region_Map[Region], MATCH(orders[[#This Row],[Customer_Country]], Region_Map[Country], 0)), "Unknown")</f>
        <v>Nordics</v>
      </c>
      <c r="H3834" t="s">
        <v>6949</v>
      </c>
    </row>
    <row r="3835" spans="1:8">
      <c r="A3835" t="s">
        <v>4735</v>
      </c>
      <c r="B3835" t="s">
        <v>42</v>
      </c>
      <c r="C3835" s="1">
        <v>44951</v>
      </c>
      <c r="D3835" s="1" t="str">
        <f>PROPER(orders[[#This Row],[order_priority]])</f>
        <v>Economy</v>
      </c>
      <c r="E3835" t="s">
        <v>13316</v>
      </c>
      <c r="F3835" t="str">
        <f>IFERROR(INDEX(customers[country], MATCH(orders[[#This Row],[customer_id]], customers[customer_id], 0)), "Unmapped")</f>
        <v>Estonia</v>
      </c>
      <c r="G3835" t="str">
        <f>IFERROR(INDEX(Region_Map[Region], MATCH(orders[[#This Row],[Customer_Country]], Region_Map[Country], 0)), "Unknown")</f>
        <v>Baltics</v>
      </c>
      <c r="H3835" t="s">
        <v>6949</v>
      </c>
    </row>
    <row r="3836" spans="1:8">
      <c r="A3836" t="s">
        <v>4736</v>
      </c>
      <c r="B3836" t="s">
        <v>386</v>
      </c>
      <c r="C3836" s="1">
        <v>45575</v>
      </c>
      <c r="D3836" s="1" t="str">
        <f>PROPER(orders[[#This Row],[order_priority]])</f>
        <v>Express</v>
      </c>
      <c r="E3836" t="s">
        <v>13318</v>
      </c>
      <c r="F3836" t="str">
        <f>IFERROR(INDEX(customers[country], MATCH(orders[[#This Row],[customer_id]], customers[customer_id], 0)), "Unmapped")</f>
        <v>Germany</v>
      </c>
      <c r="G3836" t="str">
        <f>IFERROR(INDEX(Region_Map[Region], MATCH(orders[[#This Row],[Customer_Country]], Region_Map[Country], 0)), "Unknown")</f>
        <v>Central Europe</v>
      </c>
      <c r="H3836" t="s">
        <v>6949</v>
      </c>
    </row>
    <row r="3837" spans="1:8">
      <c r="A3837" t="s">
        <v>4737</v>
      </c>
      <c r="B3837" t="s">
        <v>491</v>
      </c>
      <c r="C3837" s="1">
        <v>45234</v>
      </c>
      <c r="D3837" s="1" t="str">
        <f>PROPER(orders[[#This Row],[order_priority]])</f>
        <v>Standard</v>
      </c>
      <c r="E3837" t="s">
        <v>13323</v>
      </c>
      <c r="F3837" t="str">
        <f>IFERROR(INDEX(customers[country], MATCH(orders[[#This Row],[customer_id]], customers[customer_id], 0)), "Unmapped")</f>
        <v>Latvia</v>
      </c>
      <c r="G3837" t="str">
        <f>IFERROR(INDEX(Region_Map[Region], MATCH(orders[[#This Row],[Customer_Country]], Region_Map[Country], 0)), "Unknown")</f>
        <v>Baltics</v>
      </c>
      <c r="H3837" t="s">
        <v>6949</v>
      </c>
    </row>
    <row r="3838" spans="1:8">
      <c r="A3838" t="s">
        <v>4738</v>
      </c>
      <c r="B3838" t="s">
        <v>195</v>
      </c>
      <c r="C3838" s="1">
        <v>45382</v>
      </c>
      <c r="D3838" s="1" t="str">
        <f>PROPER(orders[[#This Row],[order_priority]])</f>
        <v>Economy</v>
      </c>
      <c r="E3838" t="s">
        <v>13316</v>
      </c>
      <c r="F3838" t="str">
        <f>IFERROR(INDEX(customers[country], MATCH(orders[[#This Row],[customer_id]], customers[customer_id], 0)), "Unmapped")</f>
        <v>Latvia</v>
      </c>
      <c r="G3838" t="str">
        <f>IFERROR(INDEX(Region_Map[Region], MATCH(orders[[#This Row],[Customer_Country]], Region_Map[Country], 0)), "Unknown")</f>
        <v>Baltics</v>
      </c>
      <c r="H3838" t="s">
        <v>6949</v>
      </c>
    </row>
    <row r="3839" spans="1:8">
      <c r="A3839" t="s">
        <v>4739</v>
      </c>
      <c r="B3839" t="s">
        <v>521</v>
      </c>
      <c r="C3839" s="1">
        <v>45032</v>
      </c>
      <c r="D3839" s="1" t="str">
        <f>PROPER(orders[[#This Row],[order_priority]])</f>
        <v>Standard</v>
      </c>
      <c r="E3839" t="s">
        <v>13317</v>
      </c>
      <c r="F3839" t="str">
        <f>IFERROR(INDEX(customers[country], MATCH(orders[[#This Row],[customer_id]], customers[customer_id], 0)), "Unmapped")</f>
        <v>Norway</v>
      </c>
      <c r="G3839" t="str">
        <f>IFERROR(INDEX(Region_Map[Region], MATCH(orders[[#This Row],[Customer_Country]], Region_Map[Country], 0)), "Unknown")</f>
        <v>Nordics</v>
      </c>
      <c r="H3839" t="s">
        <v>6949</v>
      </c>
    </row>
    <row r="3840" spans="1:8">
      <c r="A3840" t="s">
        <v>4740</v>
      </c>
      <c r="B3840" t="s">
        <v>300</v>
      </c>
      <c r="C3840" s="1">
        <v>45166</v>
      </c>
      <c r="D3840" s="1" t="str">
        <f>PROPER(orders[[#This Row],[order_priority]])</f>
        <v>Express</v>
      </c>
      <c r="E3840" t="s">
        <v>13318</v>
      </c>
      <c r="F3840" t="str">
        <f>IFERROR(INDEX(customers[country], MATCH(orders[[#This Row],[customer_id]], customers[customer_id], 0)), "Unmapped")</f>
        <v>Poland</v>
      </c>
      <c r="G3840" t="str">
        <f>IFERROR(INDEX(Region_Map[Region], MATCH(orders[[#This Row],[Customer_Country]], Region_Map[Country], 0)), "Unknown")</f>
        <v>Central Europe</v>
      </c>
      <c r="H3840" t="s">
        <v>6949</v>
      </c>
    </row>
    <row r="3841" spans="1:8">
      <c r="A3841" t="s">
        <v>4741</v>
      </c>
      <c r="B3841" t="s">
        <v>724</v>
      </c>
      <c r="C3841" s="1">
        <v>44967</v>
      </c>
      <c r="D3841" s="1" t="str">
        <f>PROPER(orders[[#This Row],[order_priority]])</f>
        <v>Standard</v>
      </c>
      <c r="E3841" t="s">
        <v>13319</v>
      </c>
      <c r="F3841" t="str">
        <f>IFERROR(INDEX(customers[country], MATCH(orders[[#This Row],[customer_id]], customers[customer_id], 0)), "Unmapped")</f>
        <v>Denmark</v>
      </c>
      <c r="G3841" t="str">
        <f>IFERROR(INDEX(Region_Map[Region], MATCH(orders[[#This Row],[Customer_Country]], Region_Map[Country], 0)), "Unknown")</f>
        <v>Nordics</v>
      </c>
      <c r="H3841" t="s">
        <v>6949</v>
      </c>
    </row>
    <row r="3842" spans="1:8">
      <c r="A3842" t="s">
        <v>4742</v>
      </c>
      <c r="B3842" t="s">
        <v>521</v>
      </c>
      <c r="C3842" s="1">
        <v>45507</v>
      </c>
      <c r="D3842" s="1" t="str">
        <f>PROPER(orders[[#This Row],[order_priority]])</f>
        <v>Express</v>
      </c>
      <c r="E3842" t="s">
        <v>13318</v>
      </c>
      <c r="F3842" t="str">
        <f>IFERROR(INDEX(customers[country], MATCH(orders[[#This Row],[customer_id]], customers[customer_id], 0)), "Unmapped")</f>
        <v>Norway</v>
      </c>
      <c r="G3842" t="str">
        <f>IFERROR(INDEX(Region_Map[Region], MATCH(orders[[#This Row],[Customer_Country]], Region_Map[Country], 0)), "Unknown")</f>
        <v>Nordics</v>
      </c>
      <c r="H3842" t="s">
        <v>6949</v>
      </c>
    </row>
    <row r="3843" spans="1:8">
      <c r="A3843" t="s">
        <v>4743</v>
      </c>
      <c r="B3843" t="s">
        <v>572</v>
      </c>
      <c r="C3843" s="1">
        <v>45516</v>
      </c>
      <c r="D3843" s="1" t="str">
        <f>PROPER(orders[[#This Row],[order_priority]])</f>
        <v>Standard</v>
      </c>
      <c r="E3843" t="s">
        <v>13317</v>
      </c>
      <c r="F3843" t="str">
        <f>IFERROR(INDEX(customers[country], MATCH(orders[[#This Row],[customer_id]], customers[customer_id], 0)), "Unmapped")</f>
        <v>Germany</v>
      </c>
      <c r="G3843" t="str">
        <f>IFERROR(INDEX(Region_Map[Region], MATCH(orders[[#This Row],[Customer_Country]], Region_Map[Country], 0)), "Unknown")</f>
        <v>Central Europe</v>
      </c>
      <c r="H3843" t="s">
        <v>6949</v>
      </c>
    </row>
    <row r="3844" spans="1:8">
      <c r="A3844" t="s">
        <v>4744</v>
      </c>
      <c r="B3844" t="s">
        <v>386</v>
      </c>
      <c r="C3844" s="1">
        <v>44944</v>
      </c>
      <c r="D3844" s="1" t="str">
        <f>PROPER(orders[[#This Row],[order_priority]])</f>
        <v>Same Day</v>
      </c>
      <c r="E3844" t="s">
        <v>13322</v>
      </c>
      <c r="F3844" t="str">
        <f>IFERROR(INDEX(customers[country], MATCH(orders[[#This Row],[customer_id]], customers[customer_id], 0)), "Unmapped")</f>
        <v>Germany</v>
      </c>
      <c r="G3844" t="str">
        <f>IFERROR(INDEX(Region_Map[Region], MATCH(orders[[#This Row],[Customer_Country]], Region_Map[Country], 0)), "Unknown")</f>
        <v>Central Europe</v>
      </c>
      <c r="H3844" t="s">
        <v>6949</v>
      </c>
    </row>
    <row r="3845" spans="1:8">
      <c r="A3845" t="s">
        <v>4745</v>
      </c>
      <c r="B3845" t="s">
        <v>813</v>
      </c>
      <c r="C3845" s="1">
        <v>45427</v>
      </c>
      <c r="D3845" s="1" t="str">
        <f>PROPER(orders[[#This Row],[order_priority]])</f>
        <v>Same Day</v>
      </c>
      <c r="E3845" t="s">
        <v>13322</v>
      </c>
      <c r="F3845" t="str">
        <f>IFERROR(INDEX(customers[country], MATCH(orders[[#This Row],[customer_id]], customers[customer_id], 0)), "Unmapped")</f>
        <v>Norway</v>
      </c>
      <c r="G3845" t="str">
        <f>IFERROR(INDEX(Region_Map[Region], MATCH(orders[[#This Row],[Customer_Country]], Region_Map[Country], 0)), "Unknown")</f>
        <v>Nordics</v>
      </c>
      <c r="H3845" t="s">
        <v>6949</v>
      </c>
    </row>
    <row r="3846" spans="1:8">
      <c r="A3846" t="s">
        <v>4746</v>
      </c>
      <c r="B3846" t="s">
        <v>231</v>
      </c>
      <c r="C3846" s="1">
        <v>45361</v>
      </c>
      <c r="D3846" s="1" t="str">
        <f>PROPER(orders[[#This Row],[order_priority]])</f>
        <v>Express</v>
      </c>
      <c r="E3846" t="s">
        <v>13318</v>
      </c>
      <c r="F3846" t="str">
        <f>IFERROR(INDEX(customers[country], MATCH(orders[[#This Row],[customer_id]], customers[customer_id], 0)), "Unmapped")</f>
        <v>Lithuania</v>
      </c>
      <c r="G3846" t="str">
        <f>IFERROR(INDEX(Region_Map[Region], MATCH(orders[[#This Row],[Customer_Country]], Region_Map[Country], 0)), "Unknown")</f>
        <v>Baltics</v>
      </c>
      <c r="H3846" t="s">
        <v>6949</v>
      </c>
    </row>
    <row r="3847" spans="1:8">
      <c r="A3847" t="s">
        <v>4747</v>
      </c>
      <c r="B3847" t="s">
        <v>554</v>
      </c>
      <c r="C3847" s="1">
        <v>45143</v>
      </c>
      <c r="D3847" s="1" t="str">
        <f>PROPER(orders[[#This Row],[order_priority]])</f>
        <v>Express</v>
      </c>
      <c r="E3847" t="s">
        <v>13318</v>
      </c>
      <c r="F3847" t="str">
        <f>IFERROR(INDEX(customers[country], MATCH(orders[[#This Row],[customer_id]], customers[customer_id], 0)), "Unmapped")</f>
        <v>Germany</v>
      </c>
      <c r="G3847" t="str">
        <f>IFERROR(INDEX(Region_Map[Region], MATCH(orders[[#This Row],[Customer_Country]], Region_Map[Country], 0)), "Unknown")</f>
        <v>Central Europe</v>
      </c>
      <c r="H3847" t="s">
        <v>6949</v>
      </c>
    </row>
    <row r="3848" spans="1:8">
      <c r="A3848" t="s">
        <v>4748</v>
      </c>
      <c r="B3848" t="s">
        <v>255</v>
      </c>
      <c r="C3848" s="1">
        <v>44948</v>
      </c>
      <c r="D3848" s="1" t="str">
        <f>PROPER(orders[[#This Row],[order_priority]])</f>
        <v>Express</v>
      </c>
      <c r="E3848" t="s">
        <v>13318</v>
      </c>
      <c r="F3848" t="str">
        <f>IFERROR(INDEX(customers[country], MATCH(orders[[#This Row],[customer_id]], customers[customer_id], 0)), "Unmapped")</f>
        <v>Sweden</v>
      </c>
      <c r="G3848" t="str">
        <f>IFERROR(INDEX(Region_Map[Region], MATCH(orders[[#This Row],[Customer_Country]], Region_Map[Country], 0)), "Unknown")</f>
        <v>Nordics</v>
      </c>
      <c r="H3848" t="s">
        <v>6949</v>
      </c>
    </row>
    <row r="3849" spans="1:8">
      <c r="A3849" t="s">
        <v>4749</v>
      </c>
      <c r="B3849" t="s">
        <v>317</v>
      </c>
      <c r="C3849" s="1">
        <v>45124</v>
      </c>
      <c r="D3849" s="1" t="str">
        <f>PROPER(orders[[#This Row],[order_priority]])</f>
        <v>Same Day</v>
      </c>
      <c r="E3849" t="s">
        <v>13321</v>
      </c>
      <c r="F3849" t="str">
        <f>IFERROR(INDEX(customers[country], MATCH(orders[[#This Row],[customer_id]], customers[customer_id], 0)), "Unmapped")</f>
        <v>Sweden</v>
      </c>
      <c r="G3849" t="str">
        <f>IFERROR(INDEX(Region_Map[Region], MATCH(orders[[#This Row],[Customer_Country]], Region_Map[Country], 0)), "Unknown")</f>
        <v>Nordics</v>
      </c>
      <c r="H3849" t="s">
        <v>6949</v>
      </c>
    </row>
    <row r="3850" spans="1:8">
      <c r="A3850" t="s">
        <v>4750</v>
      </c>
      <c r="B3850" t="s">
        <v>347</v>
      </c>
      <c r="C3850" s="1">
        <v>45463</v>
      </c>
      <c r="D3850" s="1" t="str">
        <f>PROPER(orders[[#This Row],[order_priority]])</f>
        <v>Economy</v>
      </c>
      <c r="E3850" t="s">
        <v>13316</v>
      </c>
      <c r="F3850" t="str">
        <f>IFERROR(INDEX(customers[country], MATCH(orders[[#This Row],[customer_id]], customers[customer_id], 0)), "Unmapped")</f>
        <v>Norway</v>
      </c>
      <c r="G3850" t="str">
        <f>IFERROR(INDEX(Region_Map[Region], MATCH(orders[[#This Row],[Customer_Country]], Region_Map[Country], 0)), "Unknown")</f>
        <v>Nordics</v>
      </c>
      <c r="H3850" t="s">
        <v>6949</v>
      </c>
    </row>
    <row r="3851" spans="1:8">
      <c r="A3851" t="s">
        <v>4751</v>
      </c>
      <c r="B3851" t="s">
        <v>169</v>
      </c>
      <c r="C3851" s="1">
        <v>45252</v>
      </c>
      <c r="D3851" s="1" t="str">
        <f>PROPER(orders[[#This Row],[order_priority]])</f>
        <v>Express</v>
      </c>
      <c r="E3851" t="s">
        <v>13318</v>
      </c>
      <c r="F3851" t="str">
        <f>IFERROR(INDEX(customers[country], MATCH(orders[[#This Row],[customer_id]], customers[customer_id], 0)), "Unmapped")</f>
        <v>Norway</v>
      </c>
      <c r="G3851" t="str">
        <f>IFERROR(INDEX(Region_Map[Region], MATCH(orders[[#This Row],[Customer_Country]], Region_Map[Country], 0)), "Unknown")</f>
        <v>Nordics</v>
      </c>
      <c r="H3851" t="s">
        <v>6949</v>
      </c>
    </row>
    <row r="3852" spans="1:8">
      <c r="A3852" t="s">
        <v>4752</v>
      </c>
      <c r="B3852" t="s">
        <v>80</v>
      </c>
      <c r="C3852" s="1">
        <v>45186</v>
      </c>
      <c r="D3852" s="1" t="str">
        <f>PROPER(orders[[#This Row],[order_priority]])</f>
        <v>Same Day</v>
      </c>
      <c r="E3852" t="s">
        <v>13322</v>
      </c>
      <c r="F3852" t="str">
        <f>IFERROR(INDEX(customers[country], MATCH(orders[[#This Row],[customer_id]], customers[customer_id], 0)), "Unmapped")</f>
        <v>Finland</v>
      </c>
      <c r="G3852" t="str">
        <f>IFERROR(INDEX(Region_Map[Region], MATCH(orders[[#This Row],[Customer_Country]], Region_Map[Country], 0)), "Unknown")</f>
        <v>Nordics</v>
      </c>
      <c r="H3852" t="s">
        <v>6949</v>
      </c>
    </row>
    <row r="3853" spans="1:8">
      <c r="A3853" t="s">
        <v>4753</v>
      </c>
      <c r="B3853" t="s">
        <v>446</v>
      </c>
      <c r="C3853" s="1">
        <v>45315</v>
      </c>
      <c r="D3853" s="1" t="str">
        <f>PROPER(orders[[#This Row],[order_priority]])</f>
        <v>Standard</v>
      </c>
      <c r="E3853" t="s">
        <v>13317</v>
      </c>
      <c r="F3853" t="str">
        <f>IFERROR(INDEX(customers[country], MATCH(orders[[#This Row],[customer_id]], customers[customer_id], 0)), "Unmapped")</f>
        <v>Sweden</v>
      </c>
      <c r="G3853" t="str">
        <f>IFERROR(INDEX(Region_Map[Region], MATCH(orders[[#This Row],[Customer_Country]], Region_Map[Country], 0)), "Unknown")</f>
        <v>Nordics</v>
      </c>
      <c r="H3853" t="s">
        <v>6949</v>
      </c>
    </row>
    <row r="3854" spans="1:8">
      <c r="A3854" t="s">
        <v>4754</v>
      </c>
      <c r="B3854" t="s">
        <v>383</v>
      </c>
      <c r="C3854" s="1">
        <v>45573</v>
      </c>
      <c r="D3854" s="1" t="str">
        <f>PROPER(orders[[#This Row],[order_priority]])</f>
        <v>Economy</v>
      </c>
      <c r="E3854" t="s">
        <v>13316</v>
      </c>
      <c r="F3854" t="str">
        <f>IFERROR(INDEX(customers[country], MATCH(orders[[#This Row],[customer_id]], customers[customer_id], 0)), "Unmapped")</f>
        <v>Germany</v>
      </c>
      <c r="G3854" t="str">
        <f>IFERROR(INDEX(Region_Map[Region], MATCH(orders[[#This Row],[Customer_Country]], Region_Map[Country], 0)), "Unknown")</f>
        <v>Central Europe</v>
      </c>
      <c r="H3854" t="s">
        <v>6949</v>
      </c>
    </row>
    <row r="3855" spans="1:8">
      <c r="A3855" t="s">
        <v>4755</v>
      </c>
      <c r="B3855" t="s">
        <v>650</v>
      </c>
      <c r="C3855" s="1">
        <v>45259</v>
      </c>
      <c r="D3855" s="1" t="str">
        <f>PROPER(orders[[#This Row],[order_priority]])</f>
        <v>Same Day</v>
      </c>
      <c r="E3855" t="s">
        <v>13322</v>
      </c>
      <c r="F3855" t="str">
        <f>IFERROR(INDEX(customers[country], MATCH(orders[[#This Row],[customer_id]], customers[customer_id], 0)), "Unmapped")</f>
        <v>Poland</v>
      </c>
      <c r="G3855" t="str">
        <f>IFERROR(INDEX(Region_Map[Region], MATCH(orders[[#This Row],[Customer_Country]], Region_Map[Country], 0)), "Unknown")</f>
        <v>Central Europe</v>
      </c>
      <c r="H3855" t="s">
        <v>6949</v>
      </c>
    </row>
    <row r="3856" spans="1:8">
      <c r="A3856" t="s">
        <v>4756</v>
      </c>
      <c r="B3856" t="s">
        <v>258</v>
      </c>
      <c r="C3856" s="1">
        <v>44942</v>
      </c>
      <c r="D3856" s="1" t="str">
        <f>PROPER(orders[[#This Row],[order_priority]])</f>
        <v>Economy</v>
      </c>
      <c r="E3856" t="s">
        <v>13316</v>
      </c>
      <c r="F3856" t="str">
        <f>IFERROR(INDEX(customers[country], MATCH(orders[[#This Row],[customer_id]], customers[customer_id], 0)), "Unmapped")</f>
        <v>Latvia</v>
      </c>
      <c r="G3856" t="str">
        <f>IFERROR(INDEX(Region_Map[Region], MATCH(orders[[#This Row],[Customer_Country]], Region_Map[Country], 0)), "Unknown")</f>
        <v>Baltics</v>
      </c>
      <c r="H3856" t="s">
        <v>6949</v>
      </c>
    </row>
    <row r="3857" spans="1:8">
      <c r="A3857" t="s">
        <v>4757</v>
      </c>
      <c r="B3857" t="s">
        <v>455</v>
      </c>
      <c r="C3857" s="1">
        <v>45057</v>
      </c>
      <c r="D3857" s="1" t="str">
        <f>PROPER(orders[[#This Row],[order_priority]])</f>
        <v>Standard</v>
      </c>
      <c r="E3857" t="s">
        <v>13319</v>
      </c>
      <c r="F3857" t="str">
        <f>IFERROR(INDEX(customers[country], MATCH(orders[[#This Row],[customer_id]], customers[customer_id], 0)), "Unmapped")</f>
        <v>Poland</v>
      </c>
      <c r="G3857" t="str">
        <f>IFERROR(INDEX(Region_Map[Region], MATCH(orders[[#This Row],[Customer_Country]], Region_Map[Country], 0)), "Unknown")</f>
        <v>Central Europe</v>
      </c>
      <c r="H3857" t="s">
        <v>6949</v>
      </c>
    </row>
    <row r="3858" spans="1:8">
      <c r="A3858" t="s">
        <v>4758</v>
      </c>
      <c r="B3858" t="s">
        <v>15</v>
      </c>
      <c r="C3858" s="1">
        <v>45177</v>
      </c>
      <c r="D3858" s="1" t="str">
        <f>PROPER(orders[[#This Row],[order_priority]])</f>
        <v>Economy</v>
      </c>
      <c r="E3858" t="s">
        <v>13316</v>
      </c>
      <c r="F3858" t="str">
        <f>IFERROR(INDEX(customers[country], MATCH(orders[[#This Row],[customer_id]], customers[customer_id], 0)), "Unmapped")</f>
        <v>Estonia</v>
      </c>
      <c r="G3858" t="str">
        <f>IFERROR(INDEX(Region_Map[Region], MATCH(orders[[#This Row],[Customer_Country]], Region_Map[Country], 0)), "Unknown")</f>
        <v>Baltics</v>
      </c>
      <c r="H3858" t="s">
        <v>6949</v>
      </c>
    </row>
    <row r="3859" spans="1:8">
      <c r="A3859" t="s">
        <v>4759</v>
      </c>
      <c r="B3859" t="s">
        <v>306</v>
      </c>
      <c r="C3859" s="1">
        <v>45180</v>
      </c>
      <c r="D3859" s="1" t="str">
        <f>PROPER(orders[[#This Row],[order_priority]])</f>
        <v>Standard</v>
      </c>
      <c r="E3859" t="s">
        <v>13323</v>
      </c>
      <c r="F3859" t="str">
        <f>IFERROR(INDEX(customers[country], MATCH(orders[[#This Row],[customer_id]], customers[customer_id], 0)), "Unmapped")</f>
        <v>Estonia</v>
      </c>
      <c r="G3859" t="str">
        <f>IFERROR(INDEX(Region_Map[Region], MATCH(orders[[#This Row],[Customer_Country]], Region_Map[Country], 0)), "Unknown")</f>
        <v>Baltics</v>
      </c>
      <c r="H3859" t="s">
        <v>6949</v>
      </c>
    </row>
    <row r="3860" spans="1:8">
      <c r="A3860" t="s">
        <v>4760</v>
      </c>
      <c r="B3860" t="s">
        <v>121</v>
      </c>
      <c r="C3860" s="1">
        <v>45561</v>
      </c>
      <c r="D3860" s="1" t="str">
        <f>PROPER(orders[[#This Row],[order_priority]])</f>
        <v>Standard</v>
      </c>
      <c r="E3860" t="s">
        <v>13317</v>
      </c>
      <c r="F3860" t="str">
        <f>IFERROR(INDEX(customers[country], MATCH(orders[[#This Row],[customer_id]], customers[customer_id], 0)), "Unmapped")</f>
        <v>Estonia</v>
      </c>
      <c r="G3860" t="str">
        <f>IFERROR(INDEX(Region_Map[Region], MATCH(orders[[#This Row],[Customer_Country]], Region_Map[Country], 0)), "Unknown")</f>
        <v>Baltics</v>
      </c>
      <c r="H3860" t="s">
        <v>6949</v>
      </c>
    </row>
    <row r="3861" spans="1:8">
      <c r="A3861" t="s">
        <v>4761</v>
      </c>
      <c r="B3861" t="s">
        <v>213</v>
      </c>
      <c r="C3861" s="1">
        <v>45569</v>
      </c>
      <c r="D3861" s="1" t="str">
        <f>PROPER(orders[[#This Row],[order_priority]])</f>
        <v>Standard</v>
      </c>
      <c r="E3861" t="s">
        <v>13317</v>
      </c>
      <c r="F3861" t="str">
        <f>IFERROR(INDEX(customers[country], MATCH(orders[[#This Row],[customer_id]], customers[customer_id], 0)), "Unmapped")</f>
        <v>Denmark</v>
      </c>
      <c r="G3861" t="str">
        <f>IFERROR(INDEX(Region_Map[Region], MATCH(orders[[#This Row],[Customer_Country]], Region_Map[Country], 0)), "Unknown")</f>
        <v>Nordics</v>
      </c>
      <c r="H3861" t="s">
        <v>6949</v>
      </c>
    </row>
    <row r="3862" spans="1:8">
      <c r="A3862" t="s">
        <v>4762</v>
      </c>
      <c r="B3862" t="s">
        <v>763</v>
      </c>
      <c r="C3862" s="1">
        <v>45511</v>
      </c>
      <c r="D3862" s="1" t="str">
        <f>PROPER(orders[[#This Row],[order_priority]])</f>
        <v>Economy</v>
      </c>
      <c r="E3862" t="s">
        <v>13325</v>
      </c>
      <c r="F3862" t="str">
        <f>IFERROR(INDEX(customers[country], MATCH(orders[[#This Row],[customer_id]], customers[customer_id], 0)), "Unmapped")</f>
        <v>Estonia</v>
      </c>
      <c r="G3862" t="str">
        <f>IFERROR(INDEX(Region_Map[Region], MATCH(orders[[#This Row],[Customer_Country]], Region_Map[Country], 0)), "Unknown")</f>
        <v>Baltics</v>
      </c>
      <c r="H3862" t="s">
        <v>6949</v>
      </c>
    </row>
    <row r="3863" spans="1:8">
      <c r="A3863" t="s">
        <v>4763</v>
      </c>
      <c r="B3863" t="s">
        <v>338</v>
      </c>
      <c r="C3863" s="1">
        <v>45423</v>
      </c>
      <c r="D3863" s="1" t="str">
        <f>PROPER(orders[[#This Row],[order_priority]])</f>
        <v>Same Day</v>
      </c>
      <c r="E3863" t="s">
        <v>13322</v>
      </c>
      <c r="F3863" t="str">
        <f>IFERROR(INDEX(customers[country], MATCH(orders[[#This Row],[customer_id]], customers[customer_id], 0)), "Unmapped")</f>
        <v>Denmark</v>
      </c>
      <c r="G3863" t="str">
        <f>IFERROR(INDEX(Region_Map[Region], MATCH(orders[[#This Row],[Customer_Country]], Region_Map[Country], 0)), "Unknown")</f>
        <v>Nordics</v>
      </c>
      <c r="H3863" t="s">
        <v>6949</v>
      </c>
    </row>
    <row r="3864" spans="1:8">
      <c r="A3864" t="s">
        <v>4764</v>
      </c>
      <c r="B3864" t="s">
        <v>876</v>
      </c>
      <c r="C3864" s="1">
        <v>45605</v>
      </c>
      <c r="D3864" s="1" t="str">
        <f>PROPER(orders[[#This Row],[order_priority]])</f>
        <v>Same Day</v>
      </c>
      <c r="E3864" t="s">
        <v>13322</v>
      </c>
      <c r="F3864" t="str">
        <f>IFERROR(INDEX(customers[country], MATCH(orders[[#This Row],[customer_id]], customers[customer_id], 0)), "Unmapped")</f>
        <v>Estonia</v>
      </c>
      <c r="G3864" t="str">
        <f>IFERROR(INDEX(Region_Map[Region], MATCH(orders[[#This Row],[Customer_Country]], Region_Map[Country], 0)), "Unknown")</f>
        <v>Baltics</v>
      </c>
      <c r="H3864" t="s">
        <v>6949</v>
      </c>
    </row>
    <row r="3865" spans="1:8">
      <c r="A3865" t="s">
        <v>4765</v>
      </c>
      <c r="B3865" t="s">
        <v>485</v>
      </c>
      <c r="C3865" s="1">
        <v>45056</v>
      </c>
      <c r="D3865" s="1" t="str">
        <f>PROPER(orders[[#This Row],[order_priority]])</f>
        <v>Same Day</v>
      </c>
      <c r="E3865" t="s">
        <v>13322</v>
      </c>
      <c r="F3865" t="str">
        <f>IFERROR(INDEX(customers[country], MATCH(orders[[#This Row],[customer_id]], customers[customer_id], 0)), "Unmapped")</f>
        <v>Latvia</v>
      </c>
      <c r="G3865" t="str">
        <f>IFERROR(INDEX(Region_Map[Region], MATCH(orders[[#This Row],[Customer_Country]], Region_Map[Country], 0)), "Unknown")</f>
        <v>Baltics</v>
      </c>
      <c r="H3865" t="s">
        <v>6949</v>
      </c>
    </row>
    <row r="3866" spans="1:8">
      <c r="A3866" t="s">
        <v>4766</v>
      </c>
      <c r="B3866" t="s">
        <v>539</v>
      </c>
      <c r="C3866" s="1">
        <v>44932</v>
      </c>
      <c r="D3866" s="1" t="str">
        <f>PROPER(orders[[#This Row],[order_priority]])</f>
        <v>Economy</v>
      </c>
      <c r="E3866" t="s">
        <v>13316</v>
      </c>
      <c r="F3866" t="str">
        <f>IFERROR(INDEX(customers[country], MATCH(orders[[#This Row],[customer_id]], customers[customer_id], 0)), "Unmapped")</f>
        <v>Sweden</v>
      </c>
      <c r="G3866" t="str">
        <f>IFERROR(INDEX(Region_Map[Region], MATCH(orders[[#This Row],[Customer_Country]], Region_Map[Country], 0)), "Unknown")</f>
        <v>Nordics</v>
      </c>
      <c r="H3866" t="s">
        <v>6949</v>
      </c>
    </row>
    <row r="3867" spans="1:8">
      <c r="A3867" t="s">
        <v>4767</v>
      </c>
      <c r="B3867" t="s">
        <v>261</v>
      </c>
      <c r="C3867" s="1">
        <v>45516</v>
      </c>
      <c r="D3867" s="1" t="str">
        <f>PROPER(orders[[#This Row],[order_priority]])</f>
        <v>Economy</v>
      </c>
      <c r="E3867" t="s">
        <v>13328</v>
      </c>
      <c r="F3867" t="str">
        <f>IFERROR(INDEX(customers[country], MATCH(orders[[#This Row],[customer_id]], customers[customer_id], 0)), "Unmapped")</f>
        <v>Germany</v>
      </c>
      <c r="G3867" t="str">
        <f>IFERROR(INDEX(Region_Map[Region], MATCH(orders[[#This Row],[Customer_Country]], Region_Map[Country], 0)), "Unknown")</f>
        <v>Central Europe</v>
      </c>
      <c r="H3867" t="s">
        <v>6949</v>
      </c>
    </row>
    <row r="3868" spans="1:8">
      <c r="A3868" t="s">
        <v>4768</v>
      </c>
      <c r="B3868" t="s">
        <v>77</v>
      </c>
      <c r="C3868" s="1">
        <v>44978</v>
      </c>
      <c r="D3868" s="1" t="str">
        <f>PROPER(orders[[#This Row],[order_priority]])</f>
        <v>Economy</v>
      </c>
      <c r="E3868" t="s">
        <v>13316</v>
      </c>
      <c r="F3868" t="str">
        <f>IFERROR(INDEX(customers[country], MATCH(orders[[#This Row],[customer_id]], customers[customer_id], 0)), "Unmapped")</f>
        <v>Lithuania</v>
      </c>
      <c r="G3868" t="str">
        <f>IFERROR(INDEX(Region_Map[Region], MATCH(orders[[#This Row],[Customer_Country]], Region_Map[Country], 0)), "Unknown")</f>
        <v>Baltics</v>
      </c>
      <c r="H3868" t="s">
        <v>6949</v>
      </c>
    </row>
    <row r="3869" spans="1:8">
      <c r="A3869" t="s">
        <v>4769</v>
      </c>
      <c r="B3869" t="s">
        <v>843</v>
      </c>
      <c r="C3869" s="1">
        <v>45168</v>
      </c>
      <c r="D3869" s="1" t="str">
        <f>PROPER(orders[[#This Row],[order_priority]])</f>
        <v>Express</v>
      </c>
      <c r="E3869" t="s">
        <v>13318</v>
      </c>
      <c r="F3869" t="str">
        <f>IFERROR(INDEX(customers[country], MATCH(orders[[#This Row],[customer_id]], customers[customer_id], 0)), "Unmapped")</f>
        <v>Netherlands</v>
      </c>
      <c r="G3869" t="str">
        <f>IFERROR(INDEX(Region_Map[Region], MATCH(orders[[#This Row],[Customer_Country]], Region_Map[Country], 0)), "Unknown")</f>
        <v>Central Europe</v>
      </c>
      <c r="H3869" t="s">
        <v>6949</v>
      </c>
    </row>
    <row r="3870" spans="1:8">
      <c r="A3870" t="s">
        <v>4770</v>
      </c>
      <c r="B3870" t="s">
        <v>664</v>
      </c>
      <c r="C3870" s="1">
        <v>45202</v>
      </c>
      <c r="D3870" s="1" t="str">
        <f>PROPER(orders[[#This Row],[order_priority]])</f>
        <v>Standard</v>
      </c>
      <c r="E3870" t="s">
        <v>13317</v>
      </c>
      <c r="F3870" t="str">
        <f>IFERROR(INDEX(customers[country], MATCH(orders[[#This Row],[customer_id]], customers[customer_id], 0)), "Unmapped")</f>
        <v>Latvia</v>
      </c>
      <c r="G3870" t="str">
        <f>IFERROR(INDEX(Region_Map[Region], MATCH(orders[[#This Row],[Customer_Country]], Region_Map[Country], 0)), "Unknown")</f>
        <v>Baltics</v>
      </c>
      <c r="H3870" t="s">
        <v>6949</v>
      </c>
    </row>
    <row r="3871" spans="1:8">
      <c r="A3871" t="s">
        <v>4771</v>
      </c>
      <c r="B3871" t="s">
        <v>741</v>
      </c>
      <c r="C3871" s="1">
        <v>45205</v>
      </c>
      <c r="D3871" s="1" t="str">
        <f>PROPER(orders[[#This Row],[order_priority]])</f>
        <v>Express</v>
      </c>
      <c r="E3871" t="s">
        <v>13326</v>
      </c>
      <c r="F3871" t="str">
        <f>IFERROR(INDEX(customers[country], MATCH(orders[[#This Row],[customer_id]], customers[customer_id], 0)), "Unmapped")</f>
        <v>Germany</v>
      </c>
      <c r="G3871" t="str">
        <f>IFERROR(INDEX(Region_Map[Region], MATCH(orders[[#This Row],[Customer_Country]], Region_Map[Country], 0)), "Unknown")</f>
        <v>Central Europe</v>
      </c>
      <c r="H3871" t="s">
        <v>6949</v>
      </c>
    </row>
    <row r="3872" spans="1:8">
      <c r="A3872" t="s">
        <v>4772</v>
      </c>
      <c r="B3872" t="s">
        <v>755</v>
      </c>
      <c r="C3872" s="1">
        <v>45505</v>
      </c>
      <c r="D3872" s="1" t="str">
        <f>PROPER(orders[[#This Row],[order_priority]])</f>
        <v>Standard</v>
      </c>
      <c r="E3872" t="s">
        <v>13317</v>
      </c>
      <c r="F3872" t="str">
        <f>IFERROR(INDEX(customers[country], MATCH(orders[[#This Row],[customer_id]], customers[customer_id], 0)), "Unmapped")</f>
        <v>Denmark</v>
      </c>
      <c r="G3872" t="str">
        <f>IFERROR(INDEX(Region_Map[Region], MATCH(orders[[#This Row],[Customer_Country]], Region_Map[Country], 0)), "Unknown")</f>
        <v>Nordics</v>
      </c>
      <c r="H3872" t="s">
        <v>6949</v>
      </c>
    </row>
    <row r="3873" spans="1:8">
      <c r="A3873" t="s">
        <v>4773</v>
      </c>
      <c r="B3873" t="s">
        <v>303</v>
      </c>
      <c r="C3873" s="1">
        <v>45215</v>
      </c>
      <c r="D3873" s="1" t="str">
        <f>PROPER(orders[[#This Row],[order_priority]])</f>
        <v>Economy</v>
      </c>
      <c r="E3873" t="s">
        <v>13316</v>
      </c>
      <c r="F3873" t="str">
        <f>IFERROR(INDEX(customers[country], MATCH(orders[[#This Row],[customer_id]], customers[customer_id], 0)), "Unmapped")</f>
        <v>Netherlands</v>
      </c>
      <c r="G3873" t="str">
        <f>IFERROR(INDEX(Region_Map[Region], MATCH(orders[[#This Row],[Customer_Country]], Region_Map[Country], 0)), "Unknown")</f>
        <v>Central Europe</v>
      </c>
      <c r="H3873" t="s">
        <v>6949</v>
      </c>
    </row>
    <row r="3874" spans="1:8">
      <c r="A3874" t="s">
        <v>4774</v>
      </c>
      <c r="B3874" t="s">
        <v>270</v>
      </c>
      <c r="C3874" s="1">
        <v>45442</v>
      </c>
      <c r="D3874" s="1" t="str">
        <f>PROPER(orders[[#This Row],[order_priority]])</f>
        <v>Same Day</v>
      </c>
      <c r="E3874" t="s">
        <v>13322</v>
      </c>
      <c r="F3874" t="str">
        <f>IFERROR(INDEX(customers[country], MATCH(orders[[#This Row],[customer_id]], customers[customer_id], 0)), "Unmapped")</f>
        <v>Poland</v>
      </c>
      <c r="G3874" t="str">
        <f>IFERROR(INDEX(Region_Map[Region], MATCH(orders[[#This Row],[Customer_Country]], Region_Map[Country], 0)), "Unknown")</f>
        <v>Central Europe</v>
      </c>
      <c r="H3874" t="s">
        <v>6949</v>
      </c>
    </row>
    <row r="3875" spans="1:8">
      <c r="A3875" t="s">
        <v>4775</v>
      </c>
      <c r="B3875" t="s">
        <v>195</v>
      </c>
      <c r="C3875" s="1">
        <v>45382</v>
      </c>
      <c r="D3875" s="1" t="str">
        <f>PROPER(orders[[#This Row],[order_priority]])</f>
        <v>Standard</v>
      </c>
      <c r="E3875" t="s">
        <v>13317</v>
      </c>
      <c r="F3875" t="str">
        <f>IFERROR(INDEX(customers[country], MATCH(orders[[#This Row],[customer_id]], customers[customer_id], 0)), "Unmapped")</f>
        <v>Latvia</v>
      </c>
      <c r="G3875" t="str">
        <f>IFERROR(INDEX(Region_Map[Region], MATCH(orders[[#This Row],[Customer_Country]], Region_Map[Country], 0)), "Unknown")</f>
        <v>Baltics</v>
      </c>
      <c r="H3875" t="s">
        <v>6949</v>
      </c>
    </row>
    <row r="3876" spans="1:8">
      <c r="A3876" t="s">
        <v>4776</v>
      </c>
      <c r="B3876" t="s">
        <v>252</v>
      </c>
      <c r="C3876" s="1">
        <v>45385</v>
      </c>
      <c r="D3876" s="1" t="str">
        <f>PROPER(orders[[#This Row],[order_priority]])</f>
        <v>Same Day</v>
      </c>
      <c r="E3876" t="s">
        <v>13322</v>
      </c>
      <c r="F3876" t="str">
        <f>IFERROR(INDEX(customers[country], MATCH(orders[[#This Row],[customer_id]], customers[customer_id], 0)), "Unmapped")</f>
        <v>Lithuania</v>
      </c>
      <c r="G3876" t="str">
        <f>IFERROR(INDEX(Region_Map[Region], MATCH(orders[[#This Row],[Customer_Country]], Region_Map[Country], 0)), "Unknown")</f>
        <v>Baltics</v>
      </c>
      <c r="H3876" t="s">
        <v>6949</v>
      </c>
    </row>
    <row r="3877" spans="1:8">
      <c r="A3877" t="s">
        <v>4777</v>
      </c>
      <c r="B3877" t="s">
        <v>482</v>
      </c>
      <c r="C3877" s="1">
        <v>45049</v>
      </c>
      <c r="D3877" s="1" t="str">
        <f>PROPER(orders[[#This Row],[order_priority]])</f>
        <v>Standard</v>
      </c>
      <c r="E3877" t="s">
        <v>13317</v>
      </c>
      <c r="F3877" t="str">
        <f>IFERROR(INDEX(customers[country], MATCH(orders[[#This Row],[customer_id]], customers[customer_id], 0)), "Unmapped")</f>
        <v>Finland</v>
      </c>
      <c r="G3877" t="str">
        <f>IFERROR(INDEX(Region_Map[Region], MATCH(orders[[#This Row],[Customer_Country]], Region_Map[Country], 0)), "Unknown")</f>
        <v>Nordics</v>
      </c>
      <c r="H3877" t="s">
        <v>6949</v>
      </c>
    </row>
    <row r="3878" spans="1:8">
      <c r="A3878" t="s">
        <v>4778</v>
      </c>
      <c r="B3878" t="s">
        <v>819</v>
      </c>
      <c r="C3878" s="1">
        <v>45173</v>
      </c>
      <c r="D3878" s="1" t="str">
        <f>PROPER(orders[[#This Row],[order_priority]])</f>
        <v>Same Day</v>
      </c>
      <c r="E3878" t="s">
        <v>13324</v>
      </c>
      <c r="F3878" t="str">
        <f>IFERROR(INDEX(customers[country], MATCH(orders[[#This Row],[customer_id]], customers[customer_id], 0)), "Unmapped")</f>
        <v>Estonia</v>
      </c>
      <c r="G3878" t="str">
        <f>IFERROR(INDEX(Region_Map[Region], MATCH(orders[[#This Row],[Customer_Country]], Region_Map[Country], 0)), "Unknown")</f>
        <v>Baltics</v>
      </c>
      <c r="H3878" t="s">
        <v>6949</v>
      </c>
    </row>
    <row r="3879" spans="1:8">
      <c r="A3879" t="s">
        <v>4779</v>
      </c>
      <c r="B3879" t="s">
        <v>584</v>
      </c>
      <c r="C3879" s="1">
        <v>45238</v>
      </c>
      <c r="D3879" s="1" t="str">
        <f>PROPER(orders[[#This Row],[order_priority]])</f>
        <v>Standard</v>
      </c>
      <c r="E3879" t="s">
        <v>13317</v>
      </c>
      <c r="F3879" t="str">
        <f>IFERROR(INDEX(customers[country], MATCH(orders[[#This Row],[customer_id]], customers[customer_id], 0)), "Unmapped")</f>
        <v>Netherlands</v>
      </c>
      <c r="G3879" t="str">
        <f>IFERROR(INDEX(Region_Map[Region], MATCH(orders[[#This Row],[Customer_Country]], Region_Map[Country], 0)), "Unknown")</f>
        <v>Central Europe</v>
      </c>
      <c r="H3879" t="s">
        <v>6949</v>
      </c>
    </row>
    <row r="3880" spans="1:8">
      <c r="A3880" t="s">
        <v>4780</v>
      </c>
      <c r="B3880" t="s">
        <v>93</v>
      </c>
      <c r="C3880" s="1">
        <v>45421</v>
      </c>
      <c r="D3880" s="1" t="str">
        <f>PROPER(orders[[#This Row],[order_priority]])</f>
        <v>Standard</v>
      </c>
      <c r="E3880" t="s">
        <v>13317</v>
      </c>
      <c r="F3880" t="str">
        <f>IFERROR(INDEX(customers[country], MATCH(orders[[#This Row],[customer_id]], customers[customer_id], 0)), "Unmapped")</f>
        <v>Norway</v>
      </c>
      <c r="G3880" t="str">
        <f>IFERROR(INDEX(Region_Map[Region], MATCH(orders[[#This Row],[Customer_Country]], Region_Map[Country], 0)), "Unknown")</f>
        <v>Nordics</v>
      </c>
      <c r="H3880" t="s">
        <v>6949</v>
      </c>
    </row>
    <row r="3881" spans="1:8">
      <c r="A3881" t="s">
        <v>4781</v>
      </c>
      <c r="B3881" t="s">
        <v>808</v>
      </c>
      <c r="C3881" s="1">
        <v>44989</v>
      </c>
      <c r="D3881" s="1" t="str">
        <f>PROPER(orders[[#This Row],[order_priority]])</f>
        <v>Economy</v>
      </c>
      <c r="E3881" t="s">
        <v>13316</v>
      </c>
      <c r="F3881" t="str">
        <f>IFERROR(INDEX(customers[country], MATCH(orders[[#This Row],[customer_id]], customers[customer_id], 0)), "Unmapped")</f>
        <v>Sweden</v>
      </c>
      <c r="G3881" t="str">
        <f>IFERROR(INDEX(Region_Map[Region], MATCH(orders[[#This Row],[Customer_Country]], Region_Map[Country], 0)), "Unknown")</f>
        <v>Nordics</v>
      </c>
      <c r="H3881" t="s">
        <v>6949</v>
      </c>
    </row>
    <row r="3882" spans="1:8">
      <c r="A3882" t="s">
        <v>4782</v>
      </c>
      <c r="B3882" t="s">
        <v>503</v>
      </c>
      <c r="C3882" s="1">
        <v>45275</v>
      </c>
      <c r="D3882" s="1" t="str">
        <f>PROPER(orders[[#This Row],[order_priority]])</f>
        <v>Express</v>
      </c>
      <c r="E3882" t="s">
        <v>13318</v>
      </c>
      <c r="F3882" t="str">
        <f>IFERROR(INDEX(customers[country], MATCH(orders[[#This Row],[customer_id]], customers[customer_id], 0)), "Unmapped")</f>
        <v>Denmark</v>
      </c>
      <c r="G3882" t="str">
        <f>IFERROR(INDEX(Region_Map[Region], MATCH(orders[[#This Row],[Customer_Country]], Region_Map[Country], 0)), "Unknown")</f>
        <v>Nordics</v>
      </c>
      <c r="H3882" t="s">
        <v>6949</v>
      </c>
    </row>
    <row r="3883" spans="1:8">
      <c r="A3883" t="s">
        <v>4783</v>
      </c>
      <c r="B3883" t="s">
        <v>891</v>
      </c>
      <c r="C3883" s="1">
        <v>45229</v>
      </c>
      <c r="D3883" s="1" t="str">
        <f>PROPER(orders[[#This Row],[order_priority]])</f>
        <v>Economy</v>
      </c>
      <c r="E3883" t="s">
        <v>13316</v>
      </c>
      <c r="F3883" t="str">
        <f>IFERROR(INDEX(customers[country], MATCH(orders[[#This Row],[customer_id]], customers[customer_id], 0)), "Unmapped")</f>
        <v>Netherlands</v>
      </c>
      <c r="G3883" t="str">
        <f>IFERROR(INDEX(Region_Map[Region], MATCH(orders[[#This Row],[Customer_Country]], Region_Map[Country], 0)), "Unknown")</f>
        <v>Central Europe</v>
      </c>
      <c r="H3883" t="s">
        <v>6949</v>
      </c>
    </row>
    <row r="3884" spans="1:8">
      <c r="A3884" t="s">
        <v>4784</v>
      </c>
      <c r="B3884" t="s">
        <v>148</v>
      </c>
      <c r="C3884" s="1">
        <v>45440</v>
      </c>
      <c r="D3884" s="1" t="str">
        <f>PROPER(orders[[#This Row],[order_priority]])</f>
        <v>Economy</v>
      </c>
      <c r="E3884" t="s">
        <v>13316</v>
      </c>
      <c r="F3884" t="str">
        <f>IFERROR(INDEX(customers[country], MATCH(orders[[#This Row],[customer_id]], customers[customer_id], 0)), "Unmapped")</f>
        <v>Poland</v>
      </c>
      <c r="G3884" t="str">
        <f>IFERROR(INDEX(Region_Map[Region], MATCH(orders[[#This Row],[Customer_Country]], Region_Map[Country], 0)), "Unknown")</f>
        <v>Central Europe</v>
      </c>
      <c r="H3884" t="s">
        <v>6949</v>
      </c>
    </row>
    <row r="3885" spans="1:8">
      <c r="A3885" t="s">
        <v>4785</v>
      </c>
      <c r="B3885" t="s">
        <v>515</v>
      </c>
      <c r="C3885" s="1">
        <v>45109</v>
      </c>
      <c r="D3885" s="1" t="str">
        <f>PROPER(orders[[#This Row],[order_priority]])</f>
        <v>Express</v>
      </c>
      <c r="E3885" t="s">
        <v>13318</v>
      </c>
      <c r="F3885" t="str">
        <f>IFERROR(INDEX(customers[country], MATCH(orders[[#This Row],[customer_id]], customers[customer_id], 0)), "Unmapped")</f>
        <v>Latvia</v>
      </c>
      <c r="G3885" t="str">
        <f>IFERROR(INDEX(Region_Map[Region], MATCH(orders[[#This Row],[Customer_Country]], Region_Map[Country], 0)), "Unknown")</f>
        <v>Baltics</v>
      </c>
      <c r="H3885" t="s">
        <v>6949</v>
      </c>
    </row>
    <row r="3886" spans="1:8">
      <c r="A3886" t="s">
        <v>4786</v>
      </c>
      <c r="B3886" t="s">
        <v>545</v>
      </c>
      <c r="C3886" s="1">
        <v>45579</v>
      </c>
      <c r="D3886" s="1" t="str">
        <f>PROPER(orders[[#This Row],[order_priority]])</f>
        <v>Standard</v>
      </c>
      <c r="E3886" t="s">
        <v>13317</v>
      </c>
      <c r="F3886" t="str">
        <f>IFERROR(INDEX(customers[country], MATCH(orders[[#This Row],[customer_id]], customers[customer_id], 0)), "Unmapped")</f>
        <v>Netherlands</v>
      </c>
      <c r="G3886" t="str">
        <f>IFERROR(INDEX(Region_Map[Region], MATCH(orders[[#This Row],[Customer_Country]], Region_Map[Country], 0)), "Unknown")</f>
        <v>Central Europe</v>
      </c>
      <c r="H3886" t="s">
        <v>6949</v>
      </c>
    </row>
    <row r="3887" spans="1:8">
      <c r="A3887" t="s">
        <v>4787</v>
      </c>
      <c r="B3887" t="s">
        <v>90</v>
      </c>
      <c r="C3887" s="1">
        <v>45051</v>
      </c>
      <c r="D3887" s="1" t="str">
        <f>PROPER(orders[[#This Row],[order_priority]])</f>
        <v>Economy</v>
      </c>
      <c r="E3887" t="s">
        <v>13316</v>
      </c>
      <c r="F3887" t="str">
        <f>IFERROR(INDEX(customers[country], MATCH(orders[[#This Row],[customer_id]], customers[customer_id], 0)), "Unmapped")</f>
        <v>Netherlands</v>
      </c>
      <c r="G3887" t="str">
        <f>IFERROR(INDEX(Region_Map[Region], MATCH(orders[[#This Row],[Customer_Country]], Region_Map[Country], 0)), "Unknown")</f>
        <v>Central Europe</v>
      </c>
      <c r="H3887" t="s">
        <v>6949</v>
      </c>
    </row>
    <row r="3888" spans="1:8">
      <c r="A3888" t="s">
        <v>4788</v>
      </c>
      <c r="B3888" t="s">
        <v>291</v>
      </c>
      <c r="C3888" s="1">
        <v>45151</v>
      </c>
      <c r="D3888" s="1" t="str">
        <f>PROPER(orders[[#This Row],[order_priority]])</f>
        <v>Economy</v>
      </c>
      <c r="E3888" t="s">
        <v>13316</v>
      </c>
      <c r="F3888" t="str">
        <f>IFERROR(INDEX(customers[country], MATCH(orders[[#This Row],[customer_id]], customers[customer_id], 0)), "Unmapped")</f>
        <v>Poland</v>
      </c>
      <c r="G3888" t="str">
        <f>IFERROR(INDEX(Region_Map[Region], MATCH(orders[[#This Row],[Customer_Country]], Region_Map[Country], 0)), "Unknown")</f>
        <v>Central Europe</v>
      </c>
      <c r="H3888" t="s">
        <v>6949</v>
      </c>
    </row>
    <row r="3889" spans="1:8">
      <c r="A3889" t="s">
        <v>4789</v>
      </c>
      <c r="B3889" t="s">
        <v>536</v>
      </c>
      <c r="C3889" s="1">
        <v>45405</v>
      </c>
      <c r="D3889" s="1" t="str">
        <f>PROPER(orders[[#This Row],[order_priority]])</f>
        <v>Standard</v>
      </c>
      <c r="E3889" t="s">
        <v>13317</v>
      </c>
      <c r="F3889" t="str">
        <f>IFERROR(INDEX(customers[country], MATCH(orders[[#This Row],[customer_id]], customers[customer_id], 0)), "Unmapped")</f>
        <v>Germany</v>
      </c>
      <c r="G3889" t="str">
        <f>IFERROR(INDEX(Region_Map[Region], MATCH(orders[[#This Row],[Customer_Country]], Region_Map[Country], 0)), "Unknown")</f>
        <v>Central Europe</v>
      </c>
      <c r="H3889" t="s">
        <v>6949</v>
      </c>
    </row>
    <row r="3890" spans="1:8">
      <c r="A3890" t="s">
        <v>4790</v>
      </c>
      <c r="B3890" t="s">
        <v>766</v>
      </c>
      <c r="C3890" s="1">
        <v>45609</v>
      </c>
      <c r="D3890" s="1" t="str">
        <f>PROPER(orders[[#This Row],[order_priority]])</f>
        <v>Same Day</v>
      </c>
      <c r="E3890" t="s">
        <v>13324</v>
      </c>
      <c r="F3890" t="str">
        <f>IFERROR(INDEX(customers[country], MATCH(orders[[#This Row],[customer_id]], customers[customer_id], 0)), "Unmapped")</f>
        <v>Germany</v>
      </c>
      <c r="G3890" t="str">
        <f>IFERROR(INDEX(Region_Map[Region], MATCH(orders[[#This Row],[Customer_Country]], Region_Map[Country], 0)), "Unknown")</f>
        <v>Central Europe</v>
      </c>
      <c r="H3890" t="s">
        <v>6949</v>
      </c>
    </row>
    <row r="3891" spans="1:8">
      <c r="A3891" t="s">
        <v>4791</v>
      </c>
      <c r="B3891" t="s">
        <v>485</v>
      </c>
      <c r="C3891" s="1">
        <v>45191</v>
      </c>
      <c r="D3891" s="1" t="str">
        <f>PROPER(orders[[#This Row],[order_priority]])</f>
        <v>Express</v>
      </c>
      <c r="E3891" t="s">
        <v>13318</v>
      </c>
      <c r="F3891" t="str">
        <f>IFERROR(INDEX(customers[country], MATCH(orders[[#This Row],[customer_id]], customers[customer_id], 0)), "Unmapped")</f>
        <v>Latvia</v>
      </c>
      <c r="G3891" t="str">
        <f>IFERROR(INDEX(Region_Map[Region], MATCH(orders[[#This Row],[Customer_Country]], Region_Map[Country], 0)), "Unknown")</f>
        <v>Baltics</v>
      </c>
      <c r="H3891" t="s">
        <v>6949</v>
      </c>
    </row>
    <row r="3892" spans="1:8">
      <c r="A3892" t="s">
        <v>4792</v>
      </c>
      <c r="B3892" t="s">
        <v>231</v>
      </c>
      <c r="C3892" s="1">
        <v>45364</v>
      </c>
      <c r="D3892" s="1" t="str">
        <f>PROPER(orders[[#This Row],[order_priority]])</f>
        <v>Express</v>
      </c>
      <c r="E3892" t="s">
        <v>13318</v>
      </c>
      <c r="F3892" t="str">
        <f>IFERROR(INDEX(customers[country], MATCH(orders[[#This Row],[customer_id]], customers[customer_id], 0)), "Unmapped")</f>
        <v>Lithuania</v>
      </c>
      <c r="G3892" t="str">
        <f>IFERROR(INDEX(Region_Map[Region], MATCH(orders[[#This Row],[Customer_Country]], Region_Map[Country], 0)), "Unknown")</f>
        <v>Baltics</v>
      </c>
      <c r="H3892" t="s">
        <v>6949</v>
      </c>
    </row>
    <row r="3893" spans="1:8">
      <c r="A3893" t="s">
        <v>4793</v>
      </c>
      <c r="B3893" t="s">
        <v>766</v>
      </c>
      <c r="C3893" s="1">
        <v>45625</v>
      </c>
      <c r="D3893" s="1" t="str">
        <f>PROPER(orders[[#This Row],[order_priority]])</f>
        <v>Same Day</v>
      </c>
      <c r="E3893" t="s">
        <v>13322</v>
      </c>
      <c r="F3893" t="str">
        <f>IFERROR(INDEX(customers[country], MATCH(orders[[#This Row],[customer_id]], customers[customer_id], 0)), "Unmapped")</f>
        <v>Germany</v>
      </c>
      <c r="G3893" t="str">
        <f>IFERROR(INDEX(Region_Map[Region], MATCH(orders[[#This Row],[Customer_Country]], Region_Map[Country], 0)), "Unknown")</f>
        <v>Central Europe</v>
      </c>
      <c r="H3893" t="s">
        <v>6949</v>
      </c>
    </row>
    <row r="3894" spans="1:8">
      <c r="A3894" t="s">
        <v>4794</v>
      </c>
      <c r="B3894" t="s">
        <v>623</v>
      </c>
      <c r="C3894" s="1">
        <v>45388</v>
      </c>
      <c r="D3894" s="1" t="str">
        <f>PROPER(orders[[#This Row],[order_priority]])</f>
        <v>Standard</v>
      </c>
      <c r="E3894" t="s">
        <v>13323</v>
      </c>
      <c r="F3894" t="str">
        <f>IFERROR(INDEX(customers[country], MATCH(orders[[#This Row],[customer_id]], customers[customer_id], 0)), "Unmapped")</f>
        <v>Denmark</v>
      </c>
      <c r="G3894" t="str">
        <f>IFERROR(INDEX(Region_Map[Region], MATCH(orders[[#This Row],[Customer_Country]], Region_Map[Country], 0)), "Unknown")</f>
        <v>Nordics</v>
      </c>
      <c r="H3894" t="s">
        <v>6949</v>
      </c>
    </row>
    <row r="3895" spans="1:8">
      <c r="A3895" t="s">
        <v>4795</v>
      </c>
      <c r="B3895" t="s">
        <v>121</v>
      </c>
      <c r="C3895" s="1">
        <v>45120</v>
      </c>
      <c r="D3895" s="1" t="str">
        <f>PROPER(orders[[#This Row],[order_priority]])</f>
        <v>Economy</v>
      </c>
      <c r="E3895" t="s">
        <v>13316</v>
      </c>
      <c r="F3895" t="str">
        <f>IFERROR(INDEX(customers[country], MATCH(orders[[#This Row],[customer_id]], customers[customer_id], 0)), "Unmapped")</f>
        <v>Estonia</v>
      </c>
      <c r="G3895" t="str">
        <f>IFERROR(INDEX(Region_Map[Region], MATCH(orders[[#This Row],[Customer_Country]], Region_Map[Country], 0)), "Unknown")</f>
        <v>Baltics</v>
      </c>
      <c r="H3895" t="s">
        <v>6949</v>
      </c>
    </row>
    <row r="3896" spans="1:8">
      <c r="A3896" t="s">
        <v>4796</v>
      </c>
      <c r="B3896" t="s">
        <v>13340</v>
      </c>
      <c r="C3896" s="1">
        <v>45427</v>
      </c>
      <c r="D3896" s="1" t="str">
        <f>PROPER(orders[[#This Row],[order_priority]])</f>
        <v>Same Day</v>
      </c>
      <c r="E3896" t="s">
        <v>13322</v>
      </c>
      <c r="F3896" t="str">
        <f>IFERROR(INDEX(customers[country], MATCH(orders[[#This Row],[customer_id]], customers[customer_id], 0)), "Unmapped")</f>
        <v>Unmapped</v>
      </c>
      <c r="G3896" t="str">
        <f>IFERROR(INDEX(Region_Map[Region], MATCH(orders[[#This Row],[Customer_Country]], Region_Map[Country], 0)), "Unknown")</f>
        <v>Unknown</v>
      </c>
      <c r="H3896" t="s">
        <v>6949</v>
      </c>
    </row>
    <row r="3897" spans="1:8">
      <c r="A3897" t="s">
        <v>4797</v>
      </c>
      <c r="B3897" t="s">
        <v>497</v>
      </c>
      <c r="C3897" s="1">
        <v>45439</v>
      </c>
      <c r="D3897" s="1" t="str">
        <f>PROPER(orders[[#This Row],[order_priority]])</f>
        <v>Same Day</v>
      </c>
      <c r="E3897" t="s">
        <v>13322</v>
      </c>
      <c r="F3897" t="str">
        <f>IFERROR(INDEX(customers[country], MATCH(orders[[#This Row],[customer_id]], customers[customer_id], 0)), "Unmapped")</f>
        <v>Germany</v>
      </c>
      <c r="G3897" t="str">
        <f>IFERROR(INDEX(Region_Map[Region], MATCH(orders[[#This Row],[Customer_Country]], Region_Map[Country], 0)), "Unknown")</f>
        <v>Central Europe</v>
      </c>
      <c r="H3897" t="s">
        <v>6949</v>
      </c>
    </row>
    <row r="3898" spans="1:8">
      <c r="A3898" t="s">
        <v>4798</v>
      </c>
      <c r="B3898" t="s">
        <v>760</v>
      </c>
      <c r="C3898" s="1">
        <v>45082</v>
      </c>
      <c r="D3898" s="1" t="str">
        <f>PROPER(orders[[#This Row],[order_priority]])</f>
        <v>Economy</v>
      </c>
      <c r="E3898" t="s">
        <v>13316</v>
      </c>
      <c r="F3898" t="str">
        <f>IFERROR(INDEX(customers[country], MATCH(orders[[#This Row],[customer_id]], customers[customer_id], 0)), "Unmapped")</f>
        <v>Poland</v>
      </c>
      <c r="G3898" t="str">
        <f>IFERROR(INDEX(Region_Map[Region], MATCH(orders[[#This Row],[Customer_Country]], Region_Map[Country], 0)), "Unknown")</f>
        <v>Central Europe</v>
      </c>
      <c r="H3898" t="s">
        <v>6949</v>
      </c>
    </row>
    <row r="3899" spans="1:8">
      <c r="A3899" t="s">
        <v>2232</v>
      </c>
      <c r="B3899" t="s">
        <v>428</v>
      </c>
      <c r="C3899" s="1">
        <v>45403</v>
      </c>
      <c r="D3899" s="1" t="str">
        <f>PROPER(orders[[#This Row],[order_priority]])</f>
        <v>Economy</v>
      </c>
      <c r="E3899" t="s">
        <v>13316</v>
      </c>
      <c r="F3899" t="str">
        <f>IFERROR(INDEX(customers[country], MATCH(orders[[#This Row],[customer_id]], customers[customer_id], 0)), "Unmapped")</f>
        <v>Finland</v>
      </c>
      <c r="G3899" t="str">
        <f>IFERROR(INDEX(Region_Map[Region], MATCH(orders[[#This Row],[Customer_Country]], Region_Map[Country], 0)), "Unknown")</f>
        <v>Nordics</v>
      </c>
      <c r="H3899" t="s">
        <v>6949</v>
      </c>
    </row>
    <row r="3900" spans="1:8">
      <c r="A3900" t="s">
        <v>4799</v>
      </c>
      <c r="B3900" t="s">
        <v>106</v>
      </c>
      <c r="C3900" s="1">
        <v>45166</v>
      </c>
      <c r="D3900" s="1" t="str">
        <f>PROPER(orders[[#This Row],[order_priority]])</f>
        <v>Economy</v>
      </c>
      <c r="E3900" t="s">
        <v>13316</v>
      </c>
      <c r="F3900" t="str">
        <f>IFERROR(INDEX(customers[country], MATCH(orders[[#This Row],[customer_id]], customers[customer_id], 0)), "Unmapped")</f>
        <v>Lithuania</v>
      </c>
      <c r="G3900" t="str">
        <f>IFERROR(INDEX(Region_Map[Region], MATCH(orders[[#This Row],[Customer_Country]], Region_Map[Country], 0)), "Unknown")</f>
        <v>Baltics</v>
      </c>
      <c r="H3900" t="s">
        <v>6949</v>
      </c>
    </row>
    <row r="3901" spans="1:8">
      <c r="A3901" t="s">
        <v>4800</v>
      </c>
      <c r="B3901" t="s">
        <v>882</v>
      </c>
      <c r="C3901" s="1">
        <v>45359</v>
      </c>
      <c r="D3901" s="1" t="str">
        <f>PROPER(orders[[#This Row],[order_priority]])</f>
        <v>Express</v>
      </c>
      <c r="E3901" t="s">
        <v>13320</v>
      </c>
      <c r="F3901" t="str">
        <f>IFERROR(INDEX(customers[country], MATCH(orders[[#This Row],[customer_id]], customers[customer_id], 0)), "Unmapped")</f>
        <v>Netherlands</v>
      </c>
      <c r="G3901" t="str">
        <f>IFERROR(INDEX(Region_Map[Region], MATCH(orders[[#This Row],[Customer_Country]], Region_Map[Country], 0)), "Unknown")</f>
        <v>Central Europe</v>
      </c>
      <c r="H3901" t="s">
        <v>6949</v>
      </c>
    </row>
    <row r="3902" spans="1:8">
      <c r="A3902" t="s">
        <v>4801</v>
      </c>
      <c r="B3902" t="s">
        <v>45</v>
      </c>
      <c r="C3902" s="1">
        <v>45599</v>
      </c>
      <c r="D3902" s="1" t="str">
        <f>PROPER(orders[[#This Row],[order_priority]])</f>
        <v>Same Day</v>
      </c>
      <c r="E3902" t="s">
        <v>13322</v>
      </c>
      <c r="F3902" t="str">
        <f>IFERROR(INDEX(customers[country], MATCH(orders[[#This Row],[customer_id]], customers[customer_id], 0)), "Unmapped")</f>
        <v>Netherlands</v>
      </c>
      <c r="G3902" t="str">
        <f>IFERROR(INDEX(Region_Map[Region], MATCH(orders[[#This Row],[Customer_Country]], Region_Map[Country], 0)), "Unknown")</f>
        <v>Central Europe</v>
      </c>
      <c r="H3902" t="s">
        <v>6949</v>
      </c>
    </row>
    <row r="3903" spans="1:8">
      <c r="A3903" t="s">
        <v>4802</v>
      </c>
      <c r="B3903" t="s">
        <v>626</v>
      </c>
      <c r="C3903" s="1">
        <v>45557</v>
      </c>
      <c r="D3903" s="1" t="str">
        <f>PROPER(orders[[#This Row],[order_priority]])</f>
        <v>Economy</v>
      </c>
      <c r="E3903" t="s">
        <v>13316</v>
      </c>
      <c r="F3903" t="str">
        <f>IFERROR(INDEX(customers[country], MATCH(orders[[#This Row],[customer_id]], customers[customer_id], 0)), "Unmapped")</f>
        <v>Denmark</v>
      </c>
      <c r="G3903" t="str">
        <f>IFERROR(INDEX(Region_Map[Region], MATCH(orders[[#This Row],[Customer_Country]], Region_Map[Country], 0)), "Unknown")</f>
        <v>Nordics</v>
      </c>
      <c r="H3903" t="s">
        <v>6949</v>
      </c>
    </row>
    <row r="3904" spans="1:8">
      <c r="A3904" t="s">
        <v>4803</v>
      </c>
      <c r="B3904" t="s">
        <v>551</v>
      </c>
      <c r="C3904" s="1">
        <v>45107</v>
      </c>
      <c r="D3904" s="1" t="str">
        <f>PROPER(orders[[#This Row],[order_priority]])</f>
        <v>Economy</v>
      </c>
      <c r="E3904" t="s">
        <v>13316</v>
      </c>
      <c r="F3904" t="str">
        <f>IFERROR(INDEX(customers[country], MATCH(orders[[#This Row],[customer_id]], customers[customer_id], 0)), "Unmapped")</f>
        <v>Latvia</v>
      </c>
      <c r="G3904" t="str">
        <f>IFERROR(INDEX(Region_Map[Region], MATCH(orders[[#This Row],[Customer_Country]], Region_Map[Country], 0)), "Unknown")</f>
        <v>Baltics</v>
      </c>
      <c r="H3904" t="s">
        <v>6949</v>
      </c>
    </row>
    <row r="3905" spans="1:8">
      <c r="A3905" t="s">
        <v>4804</v>
      </c>
      <c r="B3905" t="s">
        <v>45</v>
      </c>
      <c r="C3905" s="1">
        <v>45042</v>
      </c>
      <c r="D3905" s="1" t="str">
        <f>PROPER(orders[[#This Row],[order_priority]])</f>
        <v>Standard</v>
      </c>
      <c r="E3905" t="s">
        <v>13317</v>
      </c>
      <c r="F3905" t="str">
        <f>IFERROR(INDEX(customers[country], MATCH(orders[[#This Row],[customer_id]], customers[customer_id], 0)), "Unmapped")</f>
        <v>Netherlands</v>
      </c>
      <c r="G3905" t="str">
        <f>IFERROR(INDEX(Region_Map[Region], MATCH(orders[[#This Row],[Customer_Country]], Region_Map[Country], 0)), "Unknown")</f>
        <v>Central Europe</v>
      </c>
      <c r="H3905" t="s">
        <v>6949</v>
      </c>
    </row>
    <row r="3906" spans="1:8">
      <c r="A3906" t="s">
        <v>4805</v>
      </c>
      <c r="B3906" t="s">
        <v>160</v>
      </c>
      <c r="C3906" s="1">
        <v>45619</v>
      </c>
      <c r="D3906" s="1" t="str">
        <f>PROPER(orders[[#This Row],[order_priority]])</f>
        <v>Same Day</v>
      </c>
      <c r="E3906" t="s">
        <v>13322</v>
      </c>
      <c r="F3906" t="str">
        <f>IFERROR(INDEX(customers[country], MATCH(orders[[#This Row],[customer_id]], customers[customer_id], 0)), "Unmapped")</f>
        <v>Denmark</v>
      </c>
      <c r="G3906" t="str">
        <f>IFERROR(INDEX(Region_Map[Region], MATCH(orders[[#This Row],[Customer_Country]], Region_Map[Country], 0)), "Unknown")</f>
        <v>Nordics</v>
      </c>
      <c r="H3906" t="s">
        <v>6949</v>
      </c>
    </row>
    <row r="3907" spans="1:8">
      <c r="A3907" t="s">
        <v>4806</v>
      </c>
      <c r="B3907" t="s">
        <v>515</v>
      </c>
      <c r="C3907" s="1">
        <v>45282</v>
      </c>
      <c r="D3907" s="1" t="str">
        <f>PROPER(orders[[#This Row],[order_priority]])</f>
        <v>Economy</v>
      </c>
      <c r="E3907" t="s">
        <v>13316</v>
      </c>
      <c r="F3907" t="str">
        <f>IFERROR(INDEX(customers[country], MATCH(orders[[#This Row],[customer_id]], customers[customer_id], 0)), "Unmapped")</f>
        <v>Latvia</v>
      </c>
      <c r="G3907" t="str">
        <f>IFERROR(INDEX(Region_Map[Region], MATCH(orders[[#This Row],[Customer_Country]], Region_Map[Country], 0)), "Unknown")</f>
        <v>Baltics</v>
      </c>
      <c r="H3907" t="s">
        <v>6949</v>
      </c>
    </row>
    <row r="3908" spans="1:8">
      <c r="A3908" t="s">
        <v>4807</v>
      </c>
      <c r="B3908" t="s">
        <v>587</v>
      </c>
      <c r="C3908" s="1">
        <v>45029</v>
      </c>
      <c r="D3908" s="1" t="str">
        <f>PROPER(orders[[#This Row],[order_priority]])</f>
        <v>Express</v>
      </c>
      <c r="E3908" t="s">
        <v>13318</v>
      </c>
      <c r="F3908" t="str">
        <f>IFERROR(INDEX(customers[country], MATCH(orders[[#This Row],[customer_id]], customers[customer_id], 0)), "Unmapped")</f>
        <v>Finland</v>
      </c>
      <c r="G3908" t="str">
        <f>IFERROR(INDEX(Region_Map[Region], MATCH(orders[[#This Row],[Customer_Country]], Region_Map[Country], 0)), "Unknown")</f>
        <v>Nordics</v>
      </c>
      <c r="H3908" t="s">
        <v>6949</v>
      </c>
    </row>
    <row r="3909" spans="1:8">
      <c r="A3909" t="s">
        <v>4808</v>
      </c>
      <c r="B3909" t="s">
        <v>121</v>
      </c>
      <c r="C3909" s="1">
        <v>45544</v>
      </c>
      <c r="D3909" s="1" t="str">
        <f>PROPER(orders[[#This Row],[order_priority]])</f>
        <v>Same Day</v>
      </c>
      <c r="E3909" t="s">
        <v>13322</v>
      </c>
      <c r="F3909" t="str">
        <f>IFERROR(INDEX(customers[country], MATCH(orders[[#This Row],[customer_id]], customers[customer_id], 0)), "Unmapped")</f>
        <v>Estonia</v>
      </c>
      <c r="G3909" t="str">
        <f>IFERROR(INDEX(Region_Map[Region], MATCH(orders[[#This Row],[Customer_Country]], Region_Map[Country], 0)), "Unknown")</f>
        <v>Baltics</v>
      </c>
      <c r="H3909" t="s">
        <v>6949</v>
      </c>
    </row>
    <row r="3910" spans="1:8">
      <c r="A3910" t="s">
        <v>4809</v>
      </c>
      <c r="B3910" t="s">
        <v>888</v>
      </c>
      <c r="C3910" s="1">
        <v>45102</v>
      </c>
      <c r="D3910" s="1" t="str">
        <f>PROPER(orders[[#This Row],[order_priority]])</f>
        <v>Same Day</v>
      </c>
      <c r="E3910" t="s">
        <v>13322</v>
      </c>
      <c r="F3910" t="str">
        <f>IFERROR(INDEX(customers[country], MATCH(orders[[#This Row],[customer_id]], customers[customer_id], 0)), "Unmapped")</f>
        <v>Denmark</v>
      </c>
      <c r="G3910" t="str">
        <f>IFERROR(INDEX(Region_Map[Region], MATCH(orders[[#This Row],[Customer_Country]], Region_Map[Country], 0)), "Unknown")</f>
        <v>Nordics</v>
      </c>
      <c r="H3910" t="s">
        <v>6949</v>
      </c>
    </row>
    <row r="3911" spans="1:8">
      <c r="A3911" t="s">
        <v>4810</v>
      </c>
      <c r="B3911" t="s">
        <v>611</v>
      </c>
      <c r="C3911" s="1">
        <v>45104</v>
      </c>
      <c r="D3911" s="1" t="str">
        <f>PROPER(orders[[#This Row],[order_priority]])</f>
        <v>Economy</v>
      </c>
      <c r="E3911" t="s">
        <v>13316</v>
      </c>
      <c r="F3911" t="str">
        <f>IFERROR(INDEX(customers[country], MATCH(orders[[#This Row],[customer_id]], customers[customer_id], 0)), "Unmapped")</f>
        <v>Poland</v>
      </c>
      <c r="G3911" t="str">
        <f>IFERROR(INDEX(Region_Map[Region], MATCH(orders[[#This Row],[Customer_Country]], Region_Map[Country], 0)), "Unknown")</f>
        <v>Central Europe</v>
      </c>
      <c r="H3911" t="s">
        <v>6949</v>
      </c>
    </row>
    <row r="3912" spans="1:8">
      <c r="A3912" t="s">
        <v>4811</v>
      </c>
      <c r="B3912" t="s">
        <v>461</v>
      </c>
      <c r="C3912" s="1">
        <v>45494</v>
      </c>
      <c r="D3912" s="1" t="str">
        <f>PROPER(orders[[#This Row],[order_priority]])</f>
        <v>Same Day</v>
      </c>
      <c r="E3912" t="s">
        <v>13322</v>
      </c>
      <c r="F3912" t="str">
        <f>IFERROR(INDEX(customers[country], MATCH(orders[[#This Row],[customer_id]], customers[customer_id], 0)), "Unmapped")</f>
        <v>Latvia</v>
      </c>
      <c r="G3912" t="str">
        <f>IFERROR(INDEX(Region_Map[Region], MATCH(orders[[#This Row],[Customer_Country]], Region_Map[Country], 0)), "Unknown")</f>
        <v>Baltics</v>
      </c>
      <c r="H3912" t="s">
        <v>6949</v>
      </c>
    </row>
    <row r="3913" spans="1:8">
      <c r="A3913" t="s">
        <v>4812</v>
      </c>
      <c r="B3913" t="s">
        <v>840</v>
      </c>
      <c r="C3913" s="1">
        <v>44957</v>
      </c>
      <c r="D3913" s="1" t="str">
        <f>PROPER(orders[[#This Row],[order_priority]])</f>
        <v>Economy</v>
      </c>
      <c r="E3913" t="s">
        <v>13316</v>
      </c>
      <c r="F3913" t="str">
        <f>IFERROR(INDEX(customers[country], MATCH(orders[[#This Row],[customer_id]], customers[customer_id], 0)), "Unmapped")</f>
        <v>Finland</v>
      </c>
      <c r="G3913" t="str">
        <f>IFERROR(INDEX(Region_Map[Region], MATCH(orders[[#This Row],[Customer_Country]], Region_Map[Country], 0)), "Unknown")</f>
        <v>Nordics</v>
      </c>
      <c r="H3913" t="s">
        <v>6949</v>
      </c>
    </row>
    <row r="3914" spans="1:8">
      <c r="A3914" t="s">
        <v>4813</v>
      </c>
      <c r="B3914" t="s">
        <v>700</v>
      </c>
      <c r="C3914" s="1">
        <v>45422</v>
      </c>
      <c r="D3914" s="1" t="str">
        <f>PROPER(orders[[#This Row],[order_priority]])</f>
        <v>Same Day</v>
      </c>
      <c r="E3914" t="s">
        <v>13322</v>
      </c>
      <c r="F3914" t="str">
        <f>IFERROR(INDEX(customers[country], MATCH(orders[[#This Row],[customer_id]], customers[customer_id], 0)), "Unmapped")</f>
        <v>Germany</v>
      </c>
      <c r="G3914" t="str">
        <f>IFERROR(INDEX(Region_Map[Region], MATCH(orders[[#This Row],[Customer_Country]], Region_Map[Country], 0)), "Unknown")</f>
        <v>Central Europe</v>
      </c>
      <c r="H3914" t="s">
        <v>6949</v>
      </c>
    </row>
    <row r="3915" spans="1:8">
      <c r="A3915" t="s">
        <v>4814</v>
      </c>
      <c r="B3915" t="s">
        <v>825</v>
      </c>
      <c r="C3915" s="1">
        <v>45290</v>
      </c>
      <c r="D3915" s="1" t="str">
        <f>PROPER(orders[[#This Row],[order_priority]])</f>
        <v>Standard</v>
      </c>
      <c r="E3915" t="s">
        <v>13317</v>
      </c>
      <c r="F3915" t="str">
        <f>IFERROR(INDEX(customers[country], MATCH(orders[[#This Row],[customer_id]], customers[customer_id], 0)), "Unmapped")</f>
        <v>Latvia</v>
      </c>
      <c r="G3915" t="str">
        <f>IFERROR(INDEX(Region_Map[Region], MATCH(orders[[#This Row],[Customer_Country]], Region_Map[Country], 0)), "Unknown")</f>
        <v>Baltics</v>
      </c>
      <c r="H3915" t="s">
        <v>6949</v>
      </c>
    </row>
    <row r="3916" spans="1:8">
      <c r="A3916" t="s">
        <v>4815</v>
      </c>
      <c r="B3916" t="s">
        <v>652</v>
      </c>
      <c r="C3916" s="1">
        <v>45287</v>
      </c>
      <c r="D3916" s="1" t="str">
        <f>PROPER(orders[[#This Row],[order_priority]])</f>
        <v>Standard</v>
      </c>
      <c r="E3916" t="s">
        <v>13317</v>
      </c>
      <c r="F3916" t="str">
        <f>IFERROR(INDEX(customers[country], MATCH(orders[[#This Row],[customer_id]], customers[customer_id], 0)), "Unmapped")</f>
        <v>Poland</v>
      </c>
      <c r="G3916" t="str">
        <f>IFERROR(INDEX(Region_Map[Region], MATCH(orders[[#This Row],[Customer_Country]], Region_Map[Country], 0)), "Unknown")</f>
        <v>Central Europe</v>
      </c>
      <c r="H3916" t="s">
        <v>6949</v>
      </c>
    </row>
    <row r="3917" spans="1:8">
      <c r="A3917" t="s">
        <v>4816</v>
      </c>
      <c r="B3917" t="s">
        <v>13336</v>
      </c>
      <c r="C3917" s="1">
        <v>45471</v>
      </c>
      <c r="D3917" s="1" t="str">
        <f>PROPER(orders[[#This Row],[order_priority]])</f>
        <v>Standard</v>
      </c>
      <c r="E3917" t="s">
        <v>13317</v>
      </c>
      <c r="F3917" t="str">
        <f>IFERROR(INDEX(customers[country], MATCH(orders[[#This Row],[customer_id]], customers[customer_id], 0)), "Unmapped")</f>
        <v>Unmapped</v>
      </c>
      <c r="G3917" t="str">
        <f>IFERROR(INDEX(Region_Map[Region], MATCH(orders[[#This Row],[Customer_Country]], Region_Map[Country], 0)), "Unknown")</f>
        <v>Unknown</v>
      </c>
      <c r="H3917" t="s">
        <v>6949</v>
      </c>
    </row>
    <row r="3918" spans="1:8">
      <c r="A3918" t="s">
        <v>4817</v>
      </c>
      <c r="B3918" t="s">
        <v>99</v>
      </c>
      <c r="C3918" s="1">
        <v>45449</v>
      </c>
      <c r="D3918" s="1" t="str">
        <f>PROPER(orders[[#This Row],[order_priority]])</f>
        <v>Same Day</v>
      </c>
      <c r="E3918" t="s">
        <v>13322</v>
      </c>
      <c r="F3918" t="str">
        <f>IFERROR(INDEX(customers[country], MATCH(orders[[#This Row],[customer_id]], customers[customer_id], 0)), "Unmapped")</f>
        <v>Poland</v>
      </c>
      <c r="G3918" t="str">
        <f>IFERROR(INDEX(Region_Map[Region], MATCH(orders[[#This Row],[Customer_Country]], Region_Map[Country], 0)), "Unknown")</f>
        <v>Central Europe</v>
      </c>
      <c r="H3918" t="s">
        <v>6949</v>
      </c>
    </row>
    <row r="3919" spans="1:8">
      <c r="A3919" t="s">
        <v>4818</v>
      </c>
      <c r="B3919" t="s">
        <v>419</v>
      </c>
      <c r="C3919" s="1">
        <v>45480</v>
      </c>
      <c r="D3919" s="1" t="str">
        <f>PROPER(orders[[#This Row],[order_priority]])</f>
        <v>Express</v>
      </c>
      <c r="E3919" t="s">
        <v>13318</v>
      </c>
      <c r="F3919" t="str">
        <f>IFERROR(INDEX(customers[country], MATCH(orders[[#This Row],[customer_id]], customers[customer_id], 0)), "Unmapped")</f>
        <v>Estonia</v>
      </c>
      <c r="G3919" t="str">
        <f>IFERROR(INDEX(Region_Map[Region], MATCH(orders[[#This Row],[Customer_Country]], Region_Map[Country], 0)), "Unknown")</f>
        <v>Baltics</v>
      </c>
      <c r="H3919" t="s">
        <v>6949</v>
      </c>
    </row>
    <row r="3920" spans="1:8">
      <c r="A3920" t="s">
        <v>4819</v>
      </c>
      <c r="B3920" t="s">
        <v>225</v>
      </c>
      <c r="C3920" s="1">
        <v>45320</v>
      </c>
      <c r="D3920" s="1" t="str">
        <f>PROPER(orders[[#This Row],[order_priority]])</f>
        <v>Standard</v>
      </c>
      <c r="E3920" t="s">
        <v>13317</v>
      </c>
      <c r="F3920" t="str">
        <f>IFERROR(INDEX(customers[country], MATCH(orders[[#This Row],[customer_id]], customers[customer_id], 0)), "Unmapped")</f>
        <v>Poland</v>
      </c>
      <c r="G3920" t="str">
        <f>IFERROR(INDEX(Region_Map[Region], MATCH(orders[[#This Row],[Customer_Country]], Region_Map[Country], 0)), "Unknown")</f>
        <v>Central Europe</v>
      </c>
      <c r="H3920" t="s">
        <v>6949</v>
      </c>
    </row>
    <row r="3921" spans="1:8">
      <c r="A3921" t="s">
        <v>4820</v>
      </c>
      <c r="B3921" t="s">
        <v>682</v>
      </c>
      <c r="C3921" s="1">
        <v>45018</v>
      </c>
      <c r="D3921" s="1" t="str">
        <f>PROPER(orders[[#This Row],[order_priority]])</f>
        <v>Economy</v>
      </c>
      <c r="E3921" t="s">
        <v>13316</v>
      </c>
      <c r="F3921" t="str">
        <f>IFERROR(INDEX(customers[country], MATCH(orders[[#This Row],[customer_id]], customers[customer_id], 0)), "Unmapped")</f>
        <v>Germany</v>
      </c>
      <c r="G3921" t="str">
        <f>IFERROR(INDEX(Region_Map[Region], MATCH(orders[[#This Row],[Customer_Country]], Region_Map[Country], 0)), "Unknown")</f>
        <v>Central Europe</v>
      </c>
      <c r="H3921" t="s">
        <v>6949</v>
      </c>
    </row>
    <row r="3922" spans="1:8">
      <c r="A3922" t="s">
        <v>4821</v>
      </c>
      <c r="B3922" t="s">
        <v>545</v>
      </c>
      <c r="C3922" s="1">
        <v>45454</v>
      </c>
      <c r="D3922" s="1" t="str">
        <f>PROPER(orders[[#This Row],[order_priority]])</f>
        <v>Standard</v>
      </c>
      <c r="E3922" t="s">
        <v>13317</v>
      </c>
      <c r="F3922" t="str">
        <f>IFERROR(INDEX(customers[country], MATCH(orders[[#This Row],[customer_id]], customers[customer_id], 0)), "Unmapped")</f>
        <v>Netherlands</v>
      </c>
      <c r="G3922" t="str">
        <f>IFERROR(INDEX(Region_Map[Region], MATCH(orders[[#This Row],[Customer_Country]], Region_Map[Country], 0)), "Unknown")</f>
        <v>Central Europe</v>
      </c>
      <c r="H3922" t="s">
        <v>6949</v>
      </c>
    </row>
    <row r="3923" spans="1:8">
      <c r="A3923" t="s">
        <v>4822</v>
      </c>
      <c r="B3923" t="s">
        <v>581</v>
      </c>
      <c r="C3923" s="1">
        <v>45031</v>
      </c>
      <c r="D3923" s="1" t="str">
        <f>PROPER(orders[[#This Row],[order_priority]])</f>
        <v>Standard</v>
      </c>
      <c r="E3923" t="s">
        <v>13317</v>
      </c>
      <c r="F3923" t="str">
        <f>IFERROR(INDEX(customers[country], MATCH(orders[[#This Row],[customer_id]], customers[customer_id], 0)), "Unmapped")</f>
        <v>Norway</v>
      </c>
      <c r="G3923" t="str">
        <f>IFERROR(INDEX(Region_Map[Region], MATCH(orders[[#This Row],[Customer_Country]], Region_Map[Country], 0)), "Unknown")</f>
        <v>Nordics</v>
      </c>
      <c r="H3923" t="s">
        <v>6949</v>
      </c>
    </row>
    <row r="3924" spans="1:8">
      <c r="A3924" t="s">
        <v>4823</v>
      </c>
      <c r="B3924" t="s">
        <v>386</v>
      </c>
      <c r="C3924" s="1">
        <v>45087</v>
      </c>
      <c r="D3924" s="1" t="str">
        <f>PROPER(orders[[#This Row],[order_priority]])</f>
        <v>Same Day</v>
      </c>
      <c r="E3924" t="s">
        <v>13322</v>
      </c>
      <c r="F3924" t="str">
        <f>IFERROR(INDEX(customers[country], MATCH(orders[[#This Row],[customer_id]], customers[customer_id], 0)), "Unmapped")</f>
        <v>Germany</v>
      </c>
      <c r="G3924" t="str">
        <f>IFERROR(INDEX(Region_Map[Region], MATCH(orders[[#This Row],[Customer_Country]], Region_Map[Country], 0)), "Unknown")</f>
        <v>Central Europe</v>
      </c>
      <c r="H3924" t="s">
        <v>6949</v>
      </c>
    </row>
    <row r="3925" spans="1:8">
      <c r="A3925" t="s">
        <v>4824</v>
      </c>
      <c r="B3925" t="s">
        <v>772</v>
      </c>
      <c r="C3925" s="1">
        <v>45455</v>
      </c>
      <c r="D3925" s="1" t="str">
        <f>PROPER(orders[[#This Row],[order_priority]])</f>
        <v>Express</v>
      </c>
      <c r="E3925" t="s">
        <v>13326</v>
      </c>
      <c r="F3925" t="str">
        <f>IFERROR(INDEX(customers[country], MATCH(orders[[#This Row],[customer_id]], customers[customer_id], 0)), "Unmapped")</f>
        <v>Estonia</v>
      </c>
      <c r="G3925" t="str">
        <f>IFERROR(INDEX(Region_Map[Region], MATCH(orders[[#This Row],[Customer_Country]], Region_Map[Country], 0)), "Unknown")</f>
        <v>Baltics</v>
      </c>
      <c r="H3925" t="s">
        <v>6949</v>
      </c>
    </row>
    <row r="3926" spans="1:8">
      <c r="A3926" t="s">
        <v>4825</v>
      </c>
      <c r="B3926" t="s">
        <v>837</v>
      </c>
      <c r="C3926" s="1">
        <v>45198</v>
      </c>
      <c r="D3926" s="1" t="str">
        <f>PROPER(orders[[#This Row],[order_priority]])</f>
        <v>Express</v>
      </c>
      <c r="E3926" t="s">
        <v>13318</v>
      </c>
      <c r="F3926" t="str">
        <f>IFERROR(INDEX(customers[country], MATCH(orders[[#This Row],[customer_id]], customers[customer_id], 0)), "Unmapped")</f>
        <v>Poland</v>
      </c>
      <c r="G3926" t="str">
        <f>IFERROR(INDEX(Region_Map[Region], MATCH(orders[[#This Row],[Customer_Country]], Region_Map[Country], 0)), "Unknown")</f>
        <v>Central Europe</v>
      </c>
      <c r="H3926" t="s">
        <v>6949</v>
      </c>
    </row>
    <row r="3927" spans="1:8">
      <c r="A3927" t="s">
        <v>4826</v>
      </c>
      <c r="B3927" t="s">
        <v>219</v>
      </c>
      <c r="C3927" s="1">
        <v>45389</v>
      </c>
      <c r="D3927" s="1" t="str">
        <f>PROPER(orders[[#This Row],[order_priority]])</f>
        <v>Standard</v>
      </c>
      <c r="E3927" t="s">
        <v>13317</v>
      </c>
      <c r="F3927" t="str">
        <f>IFERROR(INDEX(customers[country], MATCH(orders[[#This Row],[customer_id]], customers[customer_id], 0)), "Unmapped")</f>
        <v>Latvia</v>
      </c>
      <c r="G3927" t="str">
        <f>IFERROR(INDEX(Region_Map[Region], MATCH(orders[[#This Row],[Customer_Country]], Region_Map[Country], 0)), "Unknown")</f>
        <v>Baltics</v>
      </c>
      <c r="H3927" t="s">
        <v>6949</v>
      </c>
    </row>
    <row r="3928" spans="1:8">
      <c r="A3928" t="s">
        <v>4827</v>
      </c>
      <c r="B3928" t="s">
        <v>819</v>
      </c>
      <c r="C3928" s="1">
        <v>45527</v>
      </c>
      <c r="D3928" s="1" t="str">
        <f>PROPER(orders[[#This Row],[order_priority]])</f>
        <v>Economy</v>
      </c>
      <c r="E3928" t="s">
        <v>13316</v>
      </c>
      <c r="F3928" t="str">
        <f>IFERROR(INDEX(customers[country], MATCH(orders[[#This Row],[customer_id]], customers[customer_id], 0)), "Unmapped")</f>
        <v>Estonia</v>
      </c>
      <c r="G3928" t="str">
        <f>IFERROR(INDEX(Region_Map[Region], MATCH(orders[[#This Row],[Customer_Country]], Region_Map[Country], 0)), "Unknown")</f>
        <v>Baltics</v>
      </c>
      <c r="H3928" t="s">
        <v>6949</v>
      </c>
    </row>
    <row r="3929" spans="1:8">
      <c r="A3929" t="s">
        <v>4828</v>
      </c>
      <c r="B3929" t="s">
        <v>178</v>
      </c>
      <c r="C3929" s="1">
        <v>45560</v>
      </c>
      <c r="D3929" s="1" t="str">
        <f>PROPER(orders[[#This Row],[order_priority]])</f>
        <v>Express</v>
      </c>
      <c r="E3929" t="s">
        <v>13318</v>
      </c>
      <c r="F3929" t="str">
        <f>IFERROR(INDEX(customers[country], MATCH(orders[[#This Row],[customer_id]], customers[customer_id], 0)), "Unmapped")</f>
        <v>Poland</v>
      </c>
      <c r="G3929" t="str">
        <f>IFERROR(INDEX(Region_Map[Region], MATCH(orders[[#This Row],[Customer_Country]], Region_Map[Country], 0)), "Unknown")</f>
        <v>Central Europe</v>
      </c>
      <c r="H3929" t="s">
        <v>6949</v>
      </c>
    </row>
    <row r="3930" spans="1:8">
      <c r="A3930" t="s">
        <v>4829</v>
      </c>
      <c r="B3930" t="s">
        <v>652</v>
      </c>
      <c r="C3930" s="1">
        <v>45576</v>
      </c>
      <c r="D3930" s="1" t="str">
        <f>PROPER(orders[[#This Row],[order_priority]])</f>
        <v>Same Day</v>
      </c>
      <c r="E3930" t="s">
        <v>13322</v>
      </c>
      <c r="F3930" t="str">
        <f>IFERROR(INDEX(customers[country], MATCH(orders[[#This Row],[customer_id]], customers[customer_id], 0)), "Unmapped")</f>
        <v>Poland</v>
      </c>
      <c r="G3930" t="str">
        <f>IFERROR(INDEX(Region_Map[Region], MATCH(orders[[#This Row],[Customer_Country]], Region_Map[Country], 0)), "Unknown")</f>
        <v>Central Europe</v>
      </c>
      <c r="H3930" t="s">
        <v>6949</v>
      </c>
    </row>
    <row r="3931" spans="1:8">
      <c r="A3931" t="s">
        <v>4830</v>
      </c>
      <c r="B3931" t="s">
        <v>837</v>
      </c>
      <c r="C3931" s="1">
        <v>44987</v>
      </c>
      <c r="D3931" s="1" t="str">
        <f>PROPER(orders[[#This Row],[order_priority]])</f>
        <v>Express</v>
      </c>
      <c r="E3931" t="s">
        <v>13318</v>
      </c>
      <c r="F3931" t="str">
        <f>IFERROR(INDEX(customers[country], MATCH(orders[[#This Row],[customer_id]], customers[customer_id], 0)), "Unmapped")</f>
        <v>Poland</v>
      </c>
      <c r="G3931" t="str">
        <f>IFERROR(INDEX(Region_Map[Region], MATCH(orders[[#This Row],[Customer_Country]], Region_Map[Country], 0)), "Unknown")</f>
        <v>Central Europe</v>
      </c>
      <c r="H3931" t="s">
        <v>6949</v>
      </c>
    </row>
    <row r="3932" spans="1:8">
      <c r="A3932" t="s">
        <v>4831</v>
      </c>
      <c r="B3932" t="s">
        <v>494</v>
      </c>
      <c r="C3932" s="1">
        <v>45246</v>
      </c>
      <c r="D3932" s="1" t="str">
        <f>PROPER(orders[[#This Row],[order_priority]])</f>
        <v>Standard</v>
      </c>
      <c r="E3932" t="s">
        <v>13317</v>
      </c>
      <c r="F3932" t="str">
        <f>IFERROR(INDEX(customers[country], MATCH(orders[[#This Row],[customer_id]], customers[customer_id], 0)), "Unmapped")</f>
        <v>Sweden</v>
      </c>
      <c r="G3932" t="str">
        <f>IFERROR(INDEX(Region_Map[Region], MATCH(orders[[#This Row],[Customer_Country]], Region_Map[Country], 0)), "Unknown")</f>
        <v>Nordics</v>
      </c>
      <c r="H3932" t="s">
        <v>6949</v>
      </c>
    </row>
    <row r="3933" spans="1:8">
      <c r="A3933" t="s">
        <v>4832</v>
      </c>
      <c r="B3933" t="s">
        <v>13353</v>
      </c>
      <c r="C3933" s="1">
        <v>45337</v>
      </c>
      <c r="D3933" s="1" t="str">
        <f>PROPER(orders[[#This Row],[order_priority]])</f>
        <v>Standard</v>
      </c>
      <c r="E3933" t="s">
        <v>13317</v>
      </c>
      <c r="F3933" t="str">
        <f>IFERROR(INDEX(customers[country], MATCH(orders[[#This Row],[customer_id]], customers[customer_id], 0)), "Unmapped")</f>
        <v>Unmapped</v>
      </c>
      <c r="G3933" t="str">
        <f>IFERROR(INDEX(Region_Map[Region], MATCH(orders[[#This Row],[Customer_Country]], Region_Map[Country], 0)), "Unknown")</f>
        <v>Unknown</v>
      </c>
      <c r="H3933" t="s">
        <v>6949</v>
      </c>
    </row>
    <row r="3934" spans="1:8">
      <c r="A3934" t="s">
        <v>4833</v>
      </c>
      <c r="B3934" t="s">
        <v>691</v>
      </c>
      <c r="C3934" s="1">
        <v>45394</v>
      </c>
      <c r="D3934" s="1" t="str">
        <f>PROPER(orders[[#This Row],[order_priority]])</f>
        <v>Express</v>
      </c>
      <c r="E3934" t="s">
        <v>13318</v>
      </c>
      <c r="F3934" t="str">
        <f>IFERROR(INDEX(customers[country], MATCH(orders[[#This Row],[customer_id]], customers[customer_id], 0)), "Unmapped")</f>
        <v>Latvia</v>
      </c>
      <c r="G3934" t="str">
        <f>IFERROR(INDEX(Region_Map[Region], MATCH(orders[[#This Row],[Customer_Country]], Region_Map[Country], 0)), "Unknown")</f>
        <v>Baltics</v>
      </c>
      <c r="H3934" t="s">
        <v>6949</v>
      </c>
    </row>
    <row r="3935" spans="1:8">
      <c r="A3935" t="s">
        <v>4834</v>
      </c>
      <c r="B3935" t="s">
        <v>73</v>
      </c>
      <c r="C3935" s="1">
        <v>45441</v>
      </c>
      <c r="D3935" s="1" t="str">
        <f>PROPER(orders[[#This Row],[order_priority]])</f>
        <v>Express</v>
      </c>
      <c r="E3935" t="s">
        <v>13318</v>
      </c>
      <c r="F3935" t="str">
        <f>IFERROR(INDEX(customers[country], MATCH(orders[[#This Row],[customer_id]], customers[customer_id], 0)), "Unmapped")</f>
        <v>Norway</v>
      </c>
      <c r="G3935" t="str">
        <f>IFERROR(INDEX(Region_Map[Region], MATCH(orders[[#This Row],[Customer_Country]], Region_Map[Country], 0)), "Unknown")</f>
        <v>Nordics</v>
      </c>
      <c r="H3935" t="s">
        <v>6949</v>
      </c>
    </row>
    <row r="3936" spans="1:8">
      <c r="A3936" t="s">
        <v>4835</v>
      </c>
      <c r="B3936" t="s">
        <v>464</v>
      </c>
      <c r="C3936" s="1">
        <v>44959</v>
      </c>
      <c r="D3936" s="1" t="str">
        <f>PROPER(orders[[#This Row],[order_priority]])</f>
        <v>Economy</v>
      </c>
      <c r="E3936" t="s">
        <v>13316</v>
      </c>
      <c r="F3936" t="str">
        <f>IFERROR(INDEX(customers[country], MATCH(orders[[#This Row],[customer_id]], customers[customer_id], 0)), "Unmapped")</f>
        <v>Finland</v>
      </c>
      <c r="G3936" t="str">
        <f>IFERROR(INDEX(Region_Map[Region], MATCH(orders[[#This Row],[Customer_Country]], Region_Map[Country], 0)), "Unknown")</f>
        <v>Nordics</v>
      </c>
      <c r="H3936" t="s">
        <v>6949</v>
      </c>
    </row>
    <row r="3937" spans="1:8">
      <c r="A3937" t="s">
        <v>4836</v>
      </c>
      <c r="B3937" t="s">
        <v>425</v>
      </c>
      <c r="C3937" s="1">
        <v>45508</v>
      </c>
      <c r="D3937" s="1" t="str">
        <f>PROPER(orders[[#This Row],[order_priority]])</f>
        <v>Economy</v>
      </c>
      <c r="E3937" t="s">
        <v>13316</v>
      </c>
      <c r="F3937" t="str">
        <f>IFERROR(INDEX(customers[country], MATCH(orders[[#This Row],[customer_id]], customers[customer_id], 0)), "Unmapped")</f>
        <v>Denmark</v>
      </c>
      <c r="G3937" t="str">
        <f>IFERROR(INDEX(Region_Map[Region], MATCH(orders[[#This Row],[Customer_Country]], Region_Map[Country], 0)), "Unknown")</f>
        <v>Nordics</v>
      </c>
      <c r="H3937" t="s">
        <v>6949</v>
      </c>
    </row>
    <row r="3938" spans="1:8">
      <c r="A3938" t="s">
        <v>4837</v>
      </c>
      <c r="B3938" t="s">
        <v>237</v>
      </c>
      <c r="C3938" s="1">
        <v>45534</v>
      </c>
      <c r="D3938" s="1" t="str">
        <f>PROPER(orders[[#This Row],[order_priority]])</f>
        <v>Same Day</v>
      </c>
      <c r="E3938" t="s">
        <v>13322</v>
      </c>
      <c r="F3938" t="str">
        <f>IFERROR(INDEX(customers[country], MATCH(orders[[#This Row],[customer_id]], customers[customer_id], 0)), "Unmapped")</f>
        <v>Sweden</v>
      </c>
      <c r="G3938" t="str">
        <f>IFERROR(INDEX(Region_Map[Region], MATCH(orders[[#This Row],[Customer_Country]], Region_Map[Country], 0)), "Unknown")</f>
        <v>Nordics</v>
      </c>
      <c r="H3938" t="s">
        <v>6949</v>
      </c>
    </row>
    <row r="3939" spans="1:8">
      <c r="A3939" t="s">
        <v>4838</v>
      </c>
      <c r="B3939" t="s">
        <v>667</v>
      </c>
      <c r="C3939" s="1">
        <v>45185</v>
      </c>
      <c r="D3939" s="1" t="str">
        <f>PROPER(orders[[#This Row],[order_priority]])</f>
        <v>Economy</v>
      </c>
      <c r="E3939" t="s">
        <v>13316</v>
      </c>
      <c r="F3939" t="str">
        <f>IFERROR(INDEX(customers[country], MATCH(orders[[#This Row],[customer_id]], customers[customer_id], 0)), "Unmapped")</f>
        <v>Germany</v>
      </c>
      <c r="G3939" t="str">
        <f>IFERROR(INDEX(Region_Map[Region], MATCH(orders[[#This Row],[Customer_Country]], Region_Map[Country], 0)), "Unknown")</f>
        <v>Central Europe</v>
      </c>
      <c r="H3939" t="s">
        <v>6949</v>
      </c>
    </row>
    <row r="3940" spans="1:8">
      <c r="A3940" t="s">
        <v>4839</v>
      </c>
      <c r="B3940" t="s">
        <v>437</v>
      </c>
      <c r="C3940" s="1">
        <v>45258</v>
      </c>
      <c r="D3940" s="1" t="str">
        <f>PROPER(orders[[#This Row],[order_priority]])</f>
        <v>Economy</v>
      </c>
      <c r="E3940" t="s">
        <v>13316</v>
      </c>
      <c r="F3940" t="str">
        <f>IFERROR(INDEX(customers[country], MATCH(orders[[#This Row],[customer_id]], customers[customer_id], 0)), "Unmapped")</f>
        <v>Lithuania</v>
      </c>
      <c r="G3940" t="str">
        <f>IFERROR(INDEX(Region_Map[Region], MATCH(orders[[#This Row],[Customer_Country]], Region_Map[Country], 0)), "Unknown")</f>
        <v>Baltics</v>
      </c>
      <c r="H3940" t="s">
        <v>6949</v>
      </c>
    </row>
    <row r="3941" spans="1:8">
      <c r="A3941" t="s">
        <v>4840</v>
      </c>
      <c r="B3941" t="s">
        <v>515</v>
      </c>
      <c r="C3941" s="1">
        <v>45427</v>
      </c>
      <c r="D3941" s="1" t="str">
        <f>PROPER(orders[[#This Row],[order_priority]])</f>
        <v>Economy</v>
      </c>
      <c r="E3941" t="s">
        <v>13316</v>
      </c>
      <c r="F3941" t="str">
        <f>IFERROR(INDEX(customers[country], MATCH(orders[[#This Row],[customer_id]], customers[customer_id], 0)), "Unmapped")</f>
        <v>Latvia</v>
      </c>
      <c r="G3941" t="str">
        <f>IFERROR(INDEX(Region_Map[Region], MATCH(orders[[#This Row],[Customer_Country]], Region_Map[Country], 0)), "Unknown")</f>
        <v>Baltics</v>
      </c>
      <c r="H3941" t="s">
        <v>6949</v>
      </c>
    </row>
    <row r="3942" spans="1:8">
      <c r="A3942" t="s">
        <v>4841</v>
      </c>
      <c r="B3942" t="s">
        <v>738</v>
      </c>
      <c r="C3942" s="1">
        <v>45304</v>
      </c>
      <c r="D3942" s="1" t="str">
        <f>PROPER(orders[[#This Row],[order_priority]])</f>
        <v>Express</v>
      </c>
      <c r="E3942" t="s">
        <v>13318</v>
      </c>
      <c r="F3942" t="str">
        <f>IFERROR(INDEX(customers[country], MATCH(orders[[#This Row],[customer_id]], customers[customer_id], 0)), "Unmapped")</f>
        <v>Finland</v>
      </c>
      <c r="G3942" t="str">
        <f>IFERROR(INDEX(Region_Map[Region], MATCH(orders[[#This Row],[Customer_Country]], Region_Map[Country], 0)), "Unknown")</f>
        <v>Nordics</v>
      </c>
      <c r="H3942" t="s">
        <v>6949</v>
      </c>
    </row>
    <row r="3943" spans="1:8">
      <c r="A3943" t="s">
        <v>4842</v>
      </c>
      <c r="B3943" t="s">
        <v>766</v>
      </c>
      <c r="C3943" s="1">
        <v>45393</v>
      </c>
      <c r="D3943" s="1" t="str">
        <f>PROPER(orders[[#This Row],[order_priority]])</f>
        <v>Express</v>
      </c>
      <c r="E3943" t="s">
        <v>13318</v>
      </c>
      <c r="F3943" t="str">
        <f>IFERROR(INDEX(customers[country], MATCH(orders[[#This Row],[customer_id]], customers[customer_id], 0)), "Unmapped")</f>
        <v>Germany</v>
      </c>
      <c r="G3943" t="str">
        <f>IFERROR(INDEX(Region_Map[Region], MATCH(orders[[#This Row],[Customer_Country]], Region_Map[Country], 0)), "Unknown")</f>
        <v>Central Europe</v>
      </c>
      <c r="H3943" t="s">
        <v>6949</v>
      </c>
    </row>
    <row r="3944" spans="1:8">
      <c r="A3944" t="s">
        <v>4843</v>
      </c>
      <c r="B3944" t="s">
        <v>225</v>
      </c>
      <c r="C3944" s="1">
        <v>45269</v>
      </c>
      <c r="D3944" s="1" t="str">
        <f>PROPER(orders[[#This Row],[order_priority]])</f>
        <v>Economy</v>
      </c>
      <c r="E3944" t="s">
        <v>13316</v>
      </c>
      <c r="F3944" t="str">
        <f>IFERROR(INDEX(customers[country], MATCH(orders[[#This Row],[customer_id]], customers[customer_id], 0)), "Unmapped")</f>
        <v>Poland</v>
      </c>
      <c r="G3944" t="str">
        <f>IFERROR(INDEX(Region_Map[Region], MATCH(orders[[#This Row],[Customer_Country]], Region_Map[Country], 0)), "Unknown")</f>
        <v>Central Europe</v>
      </c>
      <c r="H3944" t="s">
        <v>6949</v>
      </c>
    </row>
    <row r="3945" spans="1:8">
      <c r="A3945" t="s">
        <v>4844</v>
      </c>
      <c r="B3945" t="s">
        <v>130</v>
      </c>
      <c r="C3945" s="1">
        <v>45167</v>
      </c>
      <c r="D3945" s="1" t="str">
        <f>PROPER(orders[[#This Row],[order_priority]])</f>
        <v>Same Day</v>
      </c>
      <c r="E3945" t="s">
        <v>13322</v>
      </c>
      <c r="F3945" t="str">
        <f>IFERROR(INDEX(customers[country], MATCH(orders[[#This Row],[customer_id]], customers[customer_id], 0)), "Unmapped")</f>
        <v>Latvia</v>
      </c>
      <c r="G3945" t="str">
        <f>IFERROR(INDEX(Region_Map[Region], MATCH(orders[[#This Row],[Customer_Country]], Region_Map[Country], 0)), "Unknown")</f>
        <v>Baltics</v>
      </c>
      <c r="H3945" t="s">
        <v>6949</v>
      </c>
    </row>
    <row r="3946" spans="1:8">
      <c r="A3946" t="s">
        <v>4845</v>
      </c>
      <c r="B3946" t="s">
        <v>151</v>
      </c>
      <c r="C3946" s="1">
        <v>44995</v>
      </c>
      <c r="D3946" s="1" t="str">
        <f>PROPER(orders[[#This Row],[order_priority]])</f>
        <v>Economy</v>
      </c>
      <c r="E3946" t="s">
        <v>13316</v>
      </c>
      <c r="F3946" t="str">
        <f>IFERROR(INDEX(customers[country], MATCH(orders[[#This Row],[customer_id]], customers[customer_id], 0)), "Unmapped")</f>
        <v>Sweden</v>
      </c>
      <c r="G3946" t="str">
        <f>IFERROR(INDEX(Region_Map[Region], MATCH(orders[[#This Row],[Customer_Country]], Region_Map[Country], 0)), "Unknown")</f>
        <v>Nordics</v>
      </c>
      <c r="H3946" t="s">
        <v>6949</v>
      </c>
    </row>
    <row r="3947" spans="1:8">
      <c r="A3947" t="s">
        <v>4846</v>
      </c>
      <c r="B3947" t="s">
        <v>142</v>
      </c>
      <c r="C3947" s="1">
        <v>45586</v>
      </c>
      <c r="D3947" s="1" t="str">
        <f>PROPER(orders[[#This Row],[order_priority]])</f>
        <v>Same Day</v>
      </c>
      <c r="E3947" t="s">
        <v>13322</v>
      </c>
      <c r="F3947" t="str">
        <f>IFERROR(INDEX(customers[country], MATCH(orders[[#This Row],[customer_id]], customers[customer_id], 0)), "Unmapped")</f>
        <v>Estonia</v>
      </c>
      <c r="G3947" t="str">
        <f>IFERROR(INDEX(Region_Map[Region], MATCH(orders[[#This Row],[Customer_Country]], Region_Map[Country], 0)), "Unknown")</f>
        <v>Baltics</v>
      </c>
      <c r="H3947" t="s">
        <v>6949</v>
      </c>
    </row>
    <row r="3948" spans="1:8">
      <c r="A3948" t="s">
        <v>4847</v>
      </c>
      <c r="B3948" t="s">
        <v>455</v>
      </c>
      <c r="C3948" s="1">
        <v>45509</v>
      </c>
      <c r="D3948" s="1" t="str">
        <f>PROPER(orders[[#This Row],[order_priority]])</f>
        <v>Same Day</v>
      </c>
      <c r="E3948" t="s">
        <v>13322</v>
      </c>
      <c r="F3948" t="str">
        <f>IFERROR(INDEX(customers[country], MATCH(orders[[#This Row],[customer_id]], customers[customer_id], 0)), "Unmapped")</f>
        <v>Poland</v>
      </c>
      <c r="G3948" t="str">
        <f>IFERROR(INDEX(Region_Map[Region], MATCH(orders[[#This Row],[Customer_Country]], Region_Map[Country], 0)), "Unknown")</f>
        <v>Central Europe</v>
      </c>
      <c r="H3948" t="s">
        <v>6949</v>
      </c>
    </row>
    <row r="3949" spans="1:8">
      <c r="A3949" t="s">
        <v>4848</v>
      </c>
      <c r="B3949" t="s">
        <v>228</v>
      </c>
      <c r="C3949" s="1">
        <v>45228</v>
      </c>
      <c r="D3949" s="1" t="str">
        <f>PROPER(orders[[#This Row],[order_priority]])</f>
        <v>Same Day</v>
      </c>
      <c r="E3949" t="s">
        <v>13322</v>
      </c>
      <c r="F3949" t="str">
        <f>IFERROR(INDEX(customers[country], MATCH(orders[[#This Row],[customer_id]], customers[customer_id], 0)), "Unmapped")</f>
        <v>Latvia</v>
      </c>
      <c r="G3949" t="str">
        <f>IFERROR(INDEX(Region_Map[Region], MATCH(orders[[#This Row],[Customer_Country]], Region_Map[Country], 0)), "Unknown")</f>
        <v>Baltics</v>
      </c>
      <c r="H3949" t="s">
        <v>6949</v>
      </c>
    </row>
    <row r="3950" spans="1:8">
      <c r="A3950" t="s">
        <v>4849</v>
      </c>
      <c r="B3950" t="s">
        <v>237</v>
      </c>
      <c r="C3950" s="1">
        <v>45155</v>
      </c>
      <c r="D3950" s="1" t="str">
        <f>PROPER(orders[[#This Row],[order_priority]])</f>
        <v>Same Day</v>
      </c>
      <c r="E3950" t="s">
        <v>13322</v>
      </c>
      <c r="F3950" t="str">
        <f>IFERROR(INDEX(customers[country], MATCH(orders[[#This Row],[customer_id]], customers[customer_id], 0)), "Unmapped")</f>
        <v>Sweden</v>
      </c>
      <c r="G3950" t="str">
        <f>IFERROR(INDEX(Region_Map[Region], MATCH(orders[[#This Row],[Customer_Country]], Region_Map[Country], 0)), "Unknown")</f>
        <v>Nordics</v>
      </c>
      <c r="H3950" t="s">
        <v>6949</v>
      </c>
    </row>
    <row r="3951" spans="1:8">
      <c r="A3951" t="s">
        <v>4850</v>
      </c>
      <c r="B3951" t="s">
        <v>300</v>
      </c>
      <c r="C3951" s="1">
        <v>45464</v>
      </c>
      <c r="D3951" s="1" t="str">
        <f>PROPER(orders[[#This Row],[order_priority]])</f>
        <v>Express</v>
      </c>
      <c r="E3951" t="s">
        <v>13318</v>
      </c>
      <c r="F3951" t="str">
        <f>IFERROR(INDEX(customers[country], MATCH(orders[[#This Row],[customer_id]], customers[customer_id], 0)), "Unmapped")</f>
        <v>Poland</v>
      </c>
      <c r="G3951" t="str">
        <f>IFERROR(INDEX(Region_Map[Region], MATCH(orders[[#This Row],[Customer_Country]], Region_Map[Country], 0)), "Unknown")</f>
        <v>Central Europe</v>
      </c>
      <c r="H3951" t="s">
        <v>6949</v>
      </c>
    </row>
    <row r="3952" spans="1:8">
      <c r="A3952" t="s">
        <v>4851</v>
      </c>
      <c r="B3952" t="s">
        <v>515</v>
      </c>
      <c r="C3952" s="1">
        <v>44936</v>
      </c>
      <c r="D3952" s="1" t="str">
        <f>PROPER(orders[[#This Row],[order_priority]])</f>
        <v>Same Day</v>
      </c>
      <c r="E3952" t="s">
        <v>13322</v>
      </c>
      <c r="F3952" t="str">
        <f>IFERROR(INDEX(customers[country], MATCH(orders[[#This Row],[customer_id]], customers[customer_id], 0)), "Unmapped")</f>
        <v>Latvia</v>
      </c>
      <c r="G3952" t="str">
        <f>IFERROR(INDEX(Region_Map[Region], MATCH(orders[[#This Row],[Customer_Country]], Region_Map[Country], 0)), "Unknown")</f>
        <v>Baltics</v>
      </c>
      <c r="H3952" t="s">
        <v>6949</v>
      </c>
    </row>
    <row r="3953" spans="1:8">
      <c r="A3953" t="s">
        <v>4852</v>
      </c>
      <c r="B3953" t="s">
        <v>443</v>
      </c>
      <c r="C3953" s="1">
        <v>45434</v>
      </c>
      <c r="D3953" s="1" t="str">
        <f>PROPER(orders[[#This Row],[order_priority]])</f>
        <v>Express</v>
      </c>
      <c r="E3953" t="s">
        <v>13318</v>
      </c>
      <c r="F3953" t="str">
        <f>IFERROR(INDEX(customers[country], MATCH(orders[[#This Row],[customer_id]], customers[customer_id], 0)), "Unmapped")</f>
        <v>Estonia</v>
      </c>
      <c r="G3953" t="str">
        <f>IFERROR(INDEX(Region_Map[Region], MATCH(orders[[#This Row],[Customer_Country]], Region_Map[Country], 0)), "Unknown")</f>
        <v>Baltics</v>
      </c>
      <c r="H3953" t="s">
        <v>6949</v>
      </c>
    </row>
    <row r="3954" spans="1:8">
      <c r="A3954" t="s">
        <v>4853</v>
      </c>
      <c r="B3954" t="s">
        <v>13354</v>
      </c>
      <c r="C3954" s="1">
        <v>44962</v>
      </c>
      <c r="D3954" s="1" t="str">
        <f>PROPER(orders[[#This Row],[order_priority]])</f>
        <v>Standard</v>
      </c>
      <c r="E3954" t="s">
        <v>13317</v>
      </c>
      <c r="F3954" t="str">
        <f>IFERROR(INDEX(customers[country], MATCH(orders[[#This Row],[customer_id]], customers[customer_id], 0)), "Unmapped")</f>
        <v>Unmapped</v>
      </c>
      <c r="G3954" t="str">
        <f>IFERROR(INDEX(Region_Map[Region], MATCH(orders[[#This Row],[Customer_Country]], Region_Map[Country], 0)), "Unknown")</f>
        <v>Unknown</v>
      </c>
      <c r="H3954" t="s">
        <v>6949</v>
      </c>
    </row>
    <row r="3955" spans="1:8">
      <c r="A3955" t="s">
        <v>4854</v>
      </c>
      <c r="B3955" t="s">
        <v>320</v>
      </c>
      <c r="C3955" s="1">
        <v>45003</v>
      </c>
      <c r="D3955" s="1" t="str">
        <f>PROPER(orders[[#This Row],[order_priority]])</f>
        <v>Express</v>
      </c>
      <c r="E3955" t="s">
        <v>13318</v>
      </c>
      <c r="F3955" t="str">
        <f>IFERROR(INDEX(customers[country], MATCH(orders[[#This Row],[customer_id]], customers[customer_id], 0)), "Unmapped")</f>
        <v>Sweden</v>
      </c>
      <c r="G3955" t="str">
        <f>IFERROR(INDEX(Region_Map[Region], MATCH(orders[[#This Row],[Customer_Country]], Region_Map[Country], 0)), "Unknown")</f>
        <v>Nordics</v>
      </c>
      <c r="H3955" t="s">
        <v>6949</v>
      </c>
    </row>
    <row r="3956" spans="1:8">
      <c r="A3956" t="s">
        <v>4855</v>
      </c>
      <c r="B3956" t="s">
        <v>225</v>
      </c>
      <c r="C3956" s="1">
        <v>44970</v>
      </c>
      <c r="D3956" s="1" t="str">
        <f>PROPER(orders[[#This Row],[order_priority]])</f>
        <v>Economy</v>
      </c>
      <c r="E3956" t="s">
        <v>13316</v>
      </c>
      <c r="F3956" t="str">
        <f>IFERROR(INDEX(customers[country], MATCH(orders[[#This Row],[customer_id]], customers[customer_id], 0)), "Unmapped")</f>
        <v>Poland</v>
      </c>
      <c r="G3956" t="str">
        <f>IFERROR(INDEX(Region_Map[Region], MATCH(orders[[#This Row],[Customer_Country]], Region_Map[Country], 0)), "Unknown")</f>
        <v>Central Europe</v>
      </c>
      <c r="H3956" t="s">
        <v>6949</v>
      </c>
    </row>
    <row r="3957" spans="1:8">
      <c r="A3957" t="s">
        <v>4856</v>
      </c>
      <c r="B3957" t="s">
        <v>201</v>
      </c>
      <c r="C3957" s="1">
        <v>45193</v>
      </c>
      <c r="D3957" s="1" t="str">
        <f>PROPER(orders[[#This Row],[order_priority]])</f>
        <v>Same Day</v>
      </c>
      <c r="E3957" t="s">
        <v>13322</v>
      </c>
      <c r="F3957" t="str">
        <f>IFERROR(INDEX(customers[country], MATCH(orders[[#This Row],[customer_id]], customers[customer_id], 0)), "Unmapped")</f>
        <v>Estonia</v>
      </c>
      <c r="G3957" t="str">
        <f>IFERROR(INDEX(Region_Map[Region], MATCH(orders[[#This Row],[Customer_Country]], Region_Map[Country], 0)), "Unknown")</f>
        <v>Baltics</v>
      </c>
      <c r="H3957" t="s">
        <v>6949</v>
      </c>
    </row>
    <row r="3958" spans="1:8">
      <c r="A3958" t="s">
        <v>4857</v>
      </c>
      <c r="B3958" t="s">
        <v>102</v>
      </c>
      <c r="C3958" s="1">
        <v>45451</v>
      </c>
      <c r="D3958" s="1" t="str">
        <f>PROPER(orders[[#This Row],[order_priority]])</f>
        <v>Express</v>
      </c>
      <c r="E3958" t="s">
        <v>13318</v>
      </c>
      <c r="F3958" t="str">
        <f>IFERROR(INDEX(customers[country], MATCH(orders[[#This Row],[customer_id]], customers[customer_id], 0)), "Unmapped")</f>
        <v>Denmark</v>
      </c>
      <c r="G3958" t="str">
        <f>IFERROR(INDEX(Region_Map[Region], MATCH(orders[[#This Row],[Customer_Country]], Region_Map[Country], 0)), "Unknown")</f>
        <v>Nordics</v>
      </c>
      <c r="H3958" t="s">
        <v>6949</v>
      </c>
    </row>
    <row r="3959" spans="1:8">
      <c r="A3959" t="s">
        <v>4858</v>
      </c>
      <c r="B3959" t="s">
        <v>473</v>
      </c>
      <c r="C3959" s="1">
        <v>45360</v>
      </c>
      <c r="D3959" s="1" t="str">
        <f>PROPER(orders[[#This Row],[order_priority]])</f>
        <v>Standard</v>
      </c>
      <c r="E3959" t="s">
        <v>13323</v>
      </c>
      <c r="F3959" t="str">
        <f>IFERROR(INDEX(customers[country], MATCH(orders[[#This Row],[customer_id]], customers[customer_id], 0)), "Unmapped")</f>
        <v>Netherlands</v>
      </c>
      <c r="G3959" t="str">
        <f>IFERROR(INDEX(Region_Map[Region], MATCH(orders[[#This Row],[Customer_Country]], Region_Map[Country], 0)), "Unknown")</f>
        <v>Central Europe</v>
      </c>
      <c r="H3959" t="s">
        <v>6949</v>
      </c>
    </row>
    <row r="3960" spans="1:8">
      <c r="A3960" t="s">
        <v>4859</v>
      </c>
      <c r="B3960" t="s">
        <v>38</v>
      </c>
      <c r="C3960" s="1">
        <v>45322</v>
      </c>
      <c r="D3960" s="1" t="str">
        <f>PROPER(orders[[#This Row],[order_priority]])</f>
        <v>Economy</v>
      </c>
      <c r="E3960" t="s">
        <v>13316</v>
      </c>
      <c r="F3960" t="str">
        <f>IFERROR(INDEX(customers[country], MATCH(orders[[#This Row],[customer_id]], customers[customer_id], 0)), "Unmapped")</f>
        <v>Lithuania</v>
      </c>
      <c r="G3960" t="str">
        <f>IFERROR(INDEX(Region_Map[Region], MATCH(orders[[#This Row],[Customer_Country]], Region_Map[Country], 0)), "Unknown")</f>
        <v>Baltics</v>
      </c>
      <c r="H3960" t="s">
        <v>6949</v>
      </c>
    </row>
    <row r="3961" spans="1:8">
      <c r="A3961" t="s">
        <v>4860</v>
      </c>
      <c r="B3961" t="s">
        <v>554</v>
      </c>
      <c r="C3961" s="1">
        <v>45125</v>
      </c>
      <c r="D3961" s="1" t="str">
        <f>PROPER(orders[[#This Row],[order_priority]])</f>
        <v>Standard</v>
      </c>
      <c r="E3961" t="s">
        <v>13317</v>
      </c>
      <c r="F3961" t="str">
        <f>IFERROR(INDEX(customers[country], MATCH(orders[[#This Row],[customer_id]], customers[customer_id], 0)), "Unmapped")</f>
        <v>Germany</v>
      </c>
      <c r="G3961" t="str">
        <f>IFERROR(INDEX(Region_Map[Region], MATCH(orders[[#This Row],[Customer_Country]], Region_Map[Country], 0)), "Unknown")</f>
        <v>Central Europe</v>
      </c>
      <c r="H3961" t="s">
        <v>6949</v>
      </c>
    </row>
    <row r="3962" spans="1:8">
      <c r="A3962" t="s">
        <v>4861</v>
      </c>
      <c r="B3962" t="s">
        <v>234</v>
      </c>
      <c r="C3962" s="1">
        <v>45152</v>
      </c>
      <c r="D3962" s="1" t="str">
        <f>PROPER(orders[[#This Row],[order_priority]])</f>
        <v>Standard</v>
      </c>
      <c r="E3962" t="s">
        <v>13317</v>
      </c>
      <c r="F3962" t="str">
        <f>IFERROR(INDEX(customers[country], MATCH(orders[[#This Row],[customer_id]], customers[customer_id], 0)), "Unmapped")</f>
        <v>Finland</v>
      </c>
      <c r="G3962" t="str">
        <f>IFERROR(INDEX(Region_Map[Region], MATCH(orders[[#This Row],[Customer_Country]], Region_Map[Country], 0)), "Unknown")</f>
        <v>Nordics</v>
      </c>
      <c r="H3962" t="s">
        <v>6949</v>
      </c>
    </row>
    <row r="3963" spans="1:8">
      <c r="A3963" t="s">
        <v>4862</v>
      </c>
      <c r="B3963" t="s">
        <v>530</v>
      </c>
      <c r="C3963" s="1">
        <v>45162</v>
      </c>
      <c r="D3963" s="1" t="str">
        <f>PROPER(orders[[#This Row],[order_priority]])</f>
        <v>Standard</v>
      </c>
      <c r="E3963" t="s">
        <v>13317</v>
      </c>
      <c r="F3963" t="str">
        <f>IFERROR(INDEX(customers[country], MATCH(orders[[#This Row],[customer_id]], customers[customer_id], 0)), "Unmapped")</f>
        <v>Denmark</v>
      </c>
      <c r="G3963" t="str">
        <f>IFERROR(INDEX(Region_Map[Region], MATCH(orders[[#This Row],[Customer_Country]], Region_Map[Country], 0)), "Unknown")</f>
        <v>Nordics</v>
      </c>
      <c r="H3963" t="s">
        <v>6949</v>
      </c>
    </row>
    <row r="3964" spans="1:8">
      <c r="A3964" t="s">
        <v>4863</v>
      </c>
      <c r="B3964" t="s">
        <v>735</v>
      </c>
      <c r="C3964" s="1">
        <v>45566</v>
      </c>
      <c r="D3964" s="1" t="str">
        <f>PROPER(orders[[#This Row],[order_priority]])</f>
        <v>Express</v>
      </c>
      <c r="E3964" t="s">
        <v>13326</v>
      </c>
      <c r="F3964" t="str">
        <f>IFERROR(INDEX(customers[country], MATCH(orders[[#This Row],[customer_id]], customers[customer_id], 0)), "Unmapped")</f>
        <v>Poland</v>
      </c>
      <c r="G3964" t="str">
        <f>IFERROR(INDEX(Region_Map[Region], MATCH(orders[[#This Row],[Customer_Country]], Region_Map[Country], 0)), "Unknown")</f>
        <v>Central Europe</v>
      </c>
      <c r="H3964" t="s">
        <v>6949</v>
      </c>
    </row>
    <row r="3965" spans="1:8">
      <c r="A3965" t="s">
        <v>4864</v>
      </c>
      <c r="B3965" t="s">
        <v>13344</v>
      </c>
      <c r="C3965" s="1">
        <v>45213</v>
      </c>
      <c r="D3965" s="1" t="str">
        <f>PROPER(orders[[#This Row],[order_priority]])</f>
        <v>Same Day</v>
      </c>
      <c r="E3965" t="s">
        <v>13322</v>
      </c>
      <c r="F3965" t="str">
        <f>IFERROR(INDEX(customers[country], MATCH(orders[[#This Row],[customer_id]], customers[customer_id], 0)), "Unmapped")</f>
        <v>Unmapped</v>
      </c>
      <c r="G3965" t="str">
        <f>IFERROR(INDEX(Region_Map[Region], MATCH(orders[[#This Row],[Customer_Country]], Region_Map[Country], 0)), "Unknown")</f>
        <v>Unknown</v>
      </c>
      <c r="H3965" t="s">
        <v>6949</v>
      </c>
    </row>
    <row r="3966" spans="1:8">
      <c r="A3966" t="s">
        <v>4865</v>
      </c>
      <c r="B3966" t="s">
        <v>317</v>
      </c>
      <c r="C3966" s="1">
        <v>45270</v>
      </c>
      <c r="D3966" s="1" t="str">
        <f>PROPER(orders[[#This Row],[order_priority]])</f>
        <v>Same Day</v>
      </c>
      <c r="E3966" t="s">
        <v>13322</v>
      </c>
      <c r="F3966" t="str">
        <f>IFERROR(INDEX(customers[country], MATCH(orders[[#This Row],[customer_id]], customers[customer_id], 0)), "Unmapped")</f>
        <v>Sweden</v>
      </c>
      <c r="G3966" t="str">
        <f>IFERROR(INDEX(Region_Map[Region], MATCH(orders[[#This Row],[Customer_Country]], Region_Map[Country], 0)), "Unknown")</f>
        <v>Nordics</v>
      </c>
      <c r="H3966" t="s">
        <v>6949</v>
      </c>
    </row>
    <row r="3967" spans="1:8">
      <c r="A3967" t="s">
        <v>4866</v>
      </c>
      <c r="B3967" t="s">
        <v>252</v>
      </c>
      <c r="C3967" s="1">
        <v>45564</v>
      </c>
      <c r="D3967" s="1" t="str">
        <f>PROPER(orders[[#This Row],[order_priority]])</f>
        <v>Express</v>
      </c>
      <c r="E3967" t="s">
        <v>13318</v>
      </c>
      <c r="F3967" t="str">
        <f>IFERROR(INDEX(customers[country], MATCH(orders[[#This Row],[customer_id]], customers[customer_id], 0)), "Unmapped")</f>
        <v>Lithuania</v>
      </c>
      <c r="G3967" t="str">
        <f>IFERROR(INDEX(Region_Map[Region], MATCH(orders[[#This Row],[Customer_Country]], Region_Map[Country], 0)), "Unknown")</f>
        <v>Baltics</v>
      </c>
      <c r="H3967" t="s">
        <v>6949</v>
      </c>
    </row>
    <row r="3968" spans="1:8">
      <c r="A3968" t="s">
        <v>4867</v>
      </c>
      <c r="B3968" t="s">
        <v>320</v>
      </c>
      <c r="C3968" s="1">
        <v>44934</v>
      </c>
      <c r="D3968" s="1" t="str">
        <f>PROPER(orders[[#This Row],[order_priority]])</f>
        <v>Economy</v>
      </c>
      <c r="E3968" t="s">
        <v>13316</v>
      </c>
      <c r="F3968" t="str">
        <f>IFERROR(INDEX(customers[country], MATCH(orders[[#This Row],[customer_id]], customers[customer_id], 0)), "Unmapped")</f>
        <v>Sweden</v>
      </c>
      <c r="G3968" t="str">
        <f>IFERROR(INDEX(Region_Map[Region], MATCH(orders[[#This Row],[Customer_Country]], Region_Map[Country], 0)), "Unknown")</f>
        <v>Nordics</v>
      </c>
      <c r="H3968" t="s">
        <v>6949</v>
      </c>
    </row>
    <row r="3969" spans="1:8">
      <c r="A3969" t="s">
        <v>4868</v>
      </c>
      <c r="B3969" t="s">
        <v>554</v>
      </c>
      <c r="C3969" s="1">
        <v>45401</v>
      </c>
      <c r="D3969" s="1" t="str">
        <f>PROPER(orders[[#This Row],[order_priority]])</f>
        <v>Standard</v>
      </c>
      <c r="E3969" t="s">
        <v>13317</v>
      </c>
      <c r="F3969" t="str">
        <f>IFERROR(INDEX(customers[country], MATCH(orders[[#This Row],[customer_id]], customers[customer_id], 0)), "Unmapped")</f>
        <v>Germany</v>
      </c>
      <c r="G3969" t="str">
        <f>IFERROR(INDEX(Region_Map[Region], MATCH(orders[[#This Row],[Customer_Country]], Region_Map[Country], 0)), "Unknown")</f>
        <v>Central Europe</v>
      </c>
      <c r="H3969" t="s">
        <v>6949</v>
      </c>
    </row>
    <row r="3970" spans="1:8">
      <c r="A3970" t="s">
        <v>4869</v>
      </c>
      <c r="B3970" t="s">
        <v>279</v>
      </c>
      <c r="C3970" s="1">
        <v>45464</v>
      </c>
      <c r="D3970" s="1" t="str">
        <f>PROPER(orders[[#This Row],[order_priority]])</f>
        <v>Standard</v>
      </c>
      <c r="E3970" t="s">
        <v>13319</v>
      </c>
      <c r="F3970" t="str">
        <f>IFERROR(INDEX(customers[country], MATCH(orders[[#This Row],[customer_id]], customers[customer_id], 0)), "Unmapped")</f>
        <v>Germany</v>
      </c>
      <c r="G3970" t="str">
        <f>IFERROR(INDEX(Region_Map[Region], MATCH(orders[[#This Row],[Customer_Country]], Region_Map[Country], 0)), "Unknown")</f>
        <v>Central Europe</v>
      </c>
      <c r="H3970" t="s">
        <v>6949</v>
      </c>
    </row>
    <row r="3971" spans="1:8">
      <c r="A3971" t="s">
        <v>4870</v>
      </c>
      <c r="B3971" t="s">
        <v>395</v>
      </c>
      <c r="C3971" s="1">
        <v>45135</v>
      </c>
      <c r="D3971" s="1" t="str">
        <f>PROPER(orders[[#This Row],[order_priority]])</f>
        <v>Standard</v>
      </c>
      <c r="E3971" t="s">
        <v>13317</v>
      </c>
      <c r="F3971" t="str">
        <f>IFERROR(INDEX(customers[country], MATCH(orders[[#This Row],[customer_id]], customers[customer_id], 0)), "Unmapped")</f>
        <v>Sweden</v>
      </c>
      <c r="G3971" t="str">
        <f>IFERROR(INDEX(Region_Map[Region], MATCH(orders[[#This Row],[Customer_Country]], Region_Map[Country], 0)), "Unknown")</f>
        <v>Nordics</v>
      </c>
      <c r="H3971" t="s">
        <v>6949</v>
      </c>
    </row>
    <row r="3972" spans="1:8">
      <c r="A3972" t="s">
        <v>4871</v>
      </c>
      <c r="B3972" t="s">
        <v>551</v>
      </c>
      <c r="C3972" s="1">
        <v>44954</v>
      </c>
      <c r="D3972" s="1" t="str">
        <f>PROPER(orders[[#This Row],[order_priority]])</f>
        <v>Economy</v>
      </c>
      <c r="E3972" t="s">
        <v>13316</v>
      </c>
      <c r="F3972" t="str">
        <f>IFERROR(INDEX(customers[country], MATCH(orders[[#This Row],[customer_id]], customers[customer_id], 0)), "Unmapped")</f>
        <v>Latvia</v>
      </c>
      <c r="G3972" t="str">
        <f>IFERROR(INDEX(Region_Map[Region], MATCH(orders[[#This Row],[Customer_Country]], Region_Map[Country], 0)), "Unknown")</f>
        <v>Baltics</v>
      </c>
      <c r="H3972" t="s">
        <v>6949</v>
      </c>
    </row>
    <row r="3973" spans="1:8">
      <c r="A3973" t="s">
        <v>4872</v>
      </c>
      <c r="B3973" t="s">
        <v>703</v>
      </c>
      <c r="C3973" s="1">
        <v>45118</v>
      </c>
      <c r="D3973" s="1" t="str">
        <f>PROPER(orders[[#This Row],[order_priority]])</f>
        <v>Same Day</v>
      </c>
      <c r="E3973" t="s">
        <v>13322</v>
      </c>
      <c r="F3973" t="str">
        <f>IFERROR(INDEX(customers[country], MATCH(orders[[#This Row],[customer_id]], customers[customer_id], 0)), "Unmapped")</f>
        <v>Estonia</v>
      </c>
      <c r="G3973" t="str">
        <f>IFERROR(INDEX(Region_Map[Region], MATCH(orders[[#This Row],[Customer_Country]], Region_Map[Country], 0)), "Unknown")</f>
        <v>Baltics</v>
      </c>
      <c r="H3973" t="s">
        <v>6949</v>
      </c>
    </row>
    <row r="3974" spans="1:8">
      <c r="A3974" t="s">
        <v>4873</v>
      </c>
      <c r="B3974" t="s">
        <v>136</v>
      </c>
      <c r="C3974" s="1">
        <v>45381</v>
      </c>
      <c r="D3974" s="1" t="str">
        <f>PROPER(orders[[#This Row],[order_priority]])</f>
        <v>Express</v>
      </c>
      <c r="E3974" t="s">
        <v>13318</v>
      </c>
      <c r="F3974" t="str">
        <f>IFERROR(INDEX(customers[country], MATCH(orders[[#This Row],[customer_id]], customers[customer_id], 0)), "Unmapped")</f>
        <v>Sweden</v>
      </c>
      <c r="G3974" t="str">
        <f>IFERROR(INDEX(Region_Map[Region], MATCH(orders[[#This Row],[Customer_Country]], Region_Map[Country], 0)), "Unknown")</f>
        <v>Nordics</v>
      </c>
      <c r="H3974" t="s">
        <v>6949</v>
      </c>
    </row>
    <row r="3975" spans="1:8">
      <c r="A3975" t="s">
        <v>4874</v>
      </c>
      <c r="B3975" t="s">
        <v>721</v>
      </c>
      <c r="C3975" s="1">
        <v>45098</v>
      </c>
      <c r="D3975" s="1" t="str">
        <f>PROPER(orders[[#This Row],[order_priority]])</f>
        <v>Standard</v>
      </c>
      <c r="E3975" t="s">
        <v>13317</v>
      </c>
      <c r="F3975" t="str">
        <f>IFERROR(INDEX(customers[country], MATCH(orders[[#This Row],[customer_id]], customers[customer_id], 0)), "Unmapped")</f>
        <v>Netherlands</v>
      </c>
      <c r="G3975" t="str">
        <f>IFERROR(INDEX(Region_Map[Region], MATCH(orders[[#This Row],[Customer_Country]], Region_Map[Country], 0)), "Unknown")</f>
        <v>Central Europe</v>
      </c>
      <c r="H3975" t="s">
        <v>6949</v>
      </c>
    </row>
    <row r="3976" spans="1:8">
      <c r="A3976" t="s">
        <v>4875</v>
      </c>
      <c r="B3976" t="s">
        <v>353</v>
      </c>
      <c r="C3976" s="1">
        <v>45324</v>
      </c>
      <c r="D3976" s="1" t="str">
        <f>PROPER(orders[[#This Row],[order_priority]])</f>
        <v>Standard</v>
      </c>
      <c r="E3976" t="s">
        <v>13317</v>
      </c>
      <c r="F3976" t="str">
        <f>IFERROR(INDEX(customers[country], MATCH(orders[[#This Row],[customer_id]], customers[customer_id], 0)), "Unmapped")</f>
        <v>Estonia</v>
      </c>
      <c r="G3976" t="str">
        <f>IFERROR(INDEX(Region_Map[Region], MATCH(orders[[#This Row],[Customer_Country]], Region_Map[Country], 0)), "Unknown")</f>
        <v>Baltics</v>
      </c>
      <c r="H3976" t="s">
        <v>6949</v>
      </c>
    </row>
    <row r="3977" spans="1:8">
      <c r="A3977" t="s">
        <v>4876</v>
      </c>
      <c r="B3977" t="s">
        <v>518</v>
      </c>
      <c r="C3977" s="1">
        <v>45214</v>
      </c>
      <c r="D3977" s="1" t="str">
        <f>PROPER(orders[[#This Row],[order_priority]])</f>
        <v>Economy</v>
      </c>
      <c r="E3977" t="s">
        <v>13316</v>
      </c>
      <c r="F3977" t="str">
        <f>IFERROR(INDEX(customers[country], MATCH(orders[[#This Row],[customer_id]], customers[customer_id], 0)), "Unmapped")</f>
        <v>Germany</v>
      </c>
      <c r="G3977" t="str">
        <f>IFERROR(INDEX(Region_Map[Region], MATCH(orders[[#This Row],[Customer_Country]], Region_Map[Country], 0)), "Unknown")</f>
        <v>Central Europe</v>
      </c>
      <c r="H3977" t="s">
        <v>6949</v>
      </c>
    </row>
    <row r="3978" spans="1:8">
      <c r="A3978" t="s">
        <v>4877</v>
      </c>
      <c r="B3978" t="s">
        <v>515</v>
      </c>
      <c r="C3978" s="1">
        <v>45011</v>
      </c>
      <c r="D3978" s="1" t="str">
        <f>PROPER(orders[[#This Row],[order_priority]])</f>
        <v>Economy</v>
      </c>
      <c r="E3978" t="s">
        <v>13316</v>
      </c>
      <c r="F3978" t="str">
        <f>IFERROR(INDEX(customers[country], MATCH(orders[[#This Row],[customer_id]], customers[customer_id], 0)), "Unmapped")</f>
        <v>Latvia</v>
      </c>
      <c r="G3978" t="str">
        <f>IFERROR(INDEX(Region_Map[Region], MATCH(orders[[#This Row],[Customer_Country]], Region_Map[Country], 0)), "Unknown")</f>
        <v>Baltics</v>
      </c>
      <c r="H3978" t="s">
        <v>6949</v>
      </c>
    </row>
    <row r="3979" spans="1:8">
      <c r="A3979" t="s">
        <v>4878</v>
      </c>
      <c r="B3979" t="s">
        <v>605</v>
      </c>
      <c r="C3979" s="1">
        <v>44936</v>
      </c>
      <c r="D3979" s="1" t="str">
        <f>PROPER(orders[[#This Row],[order_priority]])</f>
        <v>Same Day</v>
      </c>
      <c r="E3979" t="s">
        <v>13322</v>
      </c>
      <c r="F3979" t="str">
        <f>IFERROR(INDEX(customers[country], MATCH(orders[[#This Row],[customer_id]], customers[customer_id], 0)), "Unmapped")</f>
        <v>Lithuania</v>
      </c>
      <c r="G3979" t="str">
        <f>IFERROR(INDEX(Region_Map[Region], MATCH(orders[[#This Row],[Customer_Country]], Region_Map[Country], 0)), "Unknown")</f>
        <v>Baltics</v>
      </c>
      <c r="H3979" t="s">
        <v>6949</v>
      </c>
    </row>
    <row r="3980" spans="1:8">
      <c r="A3980" t="s">
        <v>4879</v>
      </c>
      <c r="B3980" t="s">
        <v>539</v>
      </c>
      <c r="C3980" s="1">
        <v>45475</v>
      </c>
      <c r="D3980" s="1" t="str">
        <f>PROPER(orders[[#This Row],[order_priority]])</f>
        <v>Standard</v>
      </c>
      <c r="E3980" t="s">
        <v>13317</v>
      </c>
      <c r="F3980" t="str">
        <f>IFERROR(INDEX(customers[country], MATCH(orders[[#This Row],[customer_id]], customers[customer_id], 0)), "Unmapped")</f>
        <v>Sweden</v>
      </c>
      <c r="G3980" t="str">
        <f>IFERROR(INDEX(Region_Map[Region], MATCH(orders[[#This Row],[Customer_Country]], Region_Map[Country], 0)), "Unknown")</f>
        <v>Nordics</v>
      </c>
      <c r="H3980" t="s">
        <v>6949</v>
      </c>
    </row>
    <row r="3981" spans="1:8">
      <c r="A3981" t="s">
        <v>4880</v>
      </c>
      <c r="B3981" t="s">
        <v>55</v>
      </c>
      <c r="C3981" s="1">
        <v>45398</v>
      </c>
      <c r="D3981" s="1" t="str">
        <f>PROPER(orders[[#This Row],[order_priority]])</f>
        <v>Same Day</v>
      </c>
      <c r="E3981" t="s">
        <v>13322</v>
      </c>
      <c r="F3981" t="str">
        <f>IFERROR(INDEX(customers[country], MATCH(orders[[#This Row],[customer_id]], customers[customer_id], 0)), "Unmapped")</f>
        <v>Netherlands</v>
      </c>
      <c r="G3981" t="str">
        <f>IFERROR(INDEX(Region_Map[Region], MATCH(orders[[#This Row],[Customer_Country]], Region_Map[Country], 0)), "Unknown")</f>
        <v>Central Europe</v>
      </c>
      <c r="H3981" t="s">
        <v>6949</v>
      </c>
    </row>
    <row r="3982" spans="1:8">
      <c r="A3982" t="s">
        <v>4881</v>
      </c>
      <c r="B3982" t="s">
        <v>527</v>
      </c>
      <c r="C3982" s="1">
        <v>44936</v>
      </c>
      <c r="D3982" s="1" t="str">
        <f>PROPER(orders[[#This Row],[order_priority]])</f>
        <v>Economy</v>
      </c>
      <c r="E3982" t="s">
        <v>13316</v>
      </c>
      <c r="F3982" t="str">
        <f>IFERROR(INDEX(customers[country], MATCH(orders[[#This Row],[customer_id]], customers[customer_id], 0)), "Unmapped")</f>
        <v>Sweden</v>
      </c>
      <c r="G3982" t="str">
        <f>IFERROR(INDEX(Region_Map[Region], MATCH(orders[[#This Row],[Customer_Country]], Region_Map[Country], 0)), "Unknown")</f>
        <v>Nordics</v>
      </c>
      <c r="H3982" t="s">
        <v>6949</v>
      </c>
    </row>
    <row r="3983" spans="1:8">
      <c r="A3983" t="s">
        <v>4882</v>
      </c>
      <c r="B3983" t="s">
        <v>784</v>
      </c>
      <c r="C3983" s="1">
        <v>45166</v>
      </c>
      <c r="D3983" s="1" t="str">
        <f>PROPER(orders[[#This Row],[order_priority]])</f>
        <v>Same Day</v>
      </c>
      <c r="E3983" t="s">
        <v>13322</v>
      </c>
      <c r="F3983" t="str">
        <f>IFERROR(INDEX(customers[country], MATCH(orders[[#This Row],[customer_id]], customers[customer_id], 0)), "Unmapped")</f>
        <v>Estonia</v>
      </c>
      <c r="G3983" t="str">
        <f>IFERROR(INDEX(Region_Map[Region], MATCH(orders[[#This Row],[Customer_Country]], Region_Map[Country], 0)), "Unknown")</f>
        <v>Baltics</v>
      </c>
      <c r="H3983" t="s">
        <v>6949</v>
      </c>
    </row>
    <row r="3984" spans="1:8">
      <c r="A3984" t="s">
        <v>4883</v>
      </c>
      <c r="B3984" t="s">
        <v>112</v>
      </c>
      <c r="C3984" s="1">
        <v>45575</v>
      </c>
      <c r="D3984" s="1" t="str">
        <f>PROPER(orders[[#This Row],[order_priority]])</f>
        <v>Economy</v>
      </c>
      <c r="E3984" t="s">
        <v>13316</v>
      </c>
      <c r="F3984" t="str">
        <f>IFERROR(INDEX(customers[country], MATCH(orders[[#This Row],[customer_id]], customers[customer_id], 0)), "Unmapped")</f>
        <v>Finland</v>
      </c>
      <c r="G3984" t="str">
        <f>IFERROR(INDEX(Region_Map[Region], MATCH(orders[[#This Row],[Customer_Country]], Region_Map[Country], 0)), "Unknown")</f>
        <v>Nordics</v>
      </c>
      <c r="H3984" t="s">
        <v>6949</v>
      </c>
    </row>
    <row r="3985" spans="1:8">
      <c r="A3985" t="s">
        <v>4884</v>
      </c>
      <c r="B3985" t="s">
        <v>802</v>
      </c>
      <c r="C3985" s="1">
        <v>45579</v>
      </c>
      <c r="D3985" s="1" t="str">
        <f>PROPER(orders[[#This Row],[order_priority]])</f>
        <v>Same Day</v>
      </c>
      <c r="E3985" t="s">
        <v>13321</v>
      </c>
      <c r="F3985" t="str">
        <f>IFERROR(INDEX(customers[country], MATCH(orders[[#This Row],[customer_id]], customers[customer_id], 0)), "Unmapped")</f>
        <v>Poland</v>
      </c>
      <c r="G3985" t="str">
        <f>IFERROR(INDEX(Region_Map[Region], MATCH(orders[[#This Row],[Customer_Country]], Region_Map[Country], 0)), "Unknown")</f>
        <v>Central Europe</v>
      </c>
      <c r="H3985" t="s">
        <v>6949</v>
      </c>
    </row>
    <row r="3986" spans="1:8">
      <c r="A3986" t="s">
        <v>4885</v>
      </c>
      <c r="B3986" t="s">
        <v>882</v>
      </c>
      <c r="C3986" s="1">
        <v>45298</v>
      </c>
      <c r="D3986" s="1" t="str">
        <f>PROPER(orders[[#This Row],[order_priority]])</f>
        <v>Economy</v>
      </c>
      <c r="E3986" t="s">
        <v>13316</v>
      </c>
      <c r="F3986" t="str">
        <f>IFERROR(INDEX(customers[country], MATCH(orders[[#This Row],[customer_id]], customers[customer_id], 0)), "Unmapped")</f>
        <v>Netherlands</v>
      </c>
      <c r="G3986" t="str">
        <f>IFERROR(INDEX(Region_Map[Region], MATCH(orders[[#This Row],[Customer_Country]], Region_Map[Country], 0)), "Unknown")</f>
        <v>Central Europe</v>
      </c>
      <c r="H3986" t="s">
        <v>6949</v>
      </c>
    </row>
    <row r="3987" spans="1:8">
      <c r="A3987" t="s">
        <v>4886</v>
      </c>
      <c r="B3987" t="s">
        <v>109</v>
      </c>
      <c r="C3987" s="1">
        <v>45415</v>
      </c>
      <c r="D3987" s="1" t="str">
        <f>PROPER(orders[[#This Row],[order_priority]])</f>
        <v>Economy</v>
      </c>
      <c r="E3987" t="s">
        <v>13328</v>
      </c>
      <c r="F3987" t="str">
        <f>IFERROR(INDEX(customers[country], MATCH(orders[[#This Row],[customer_id]], customers[customer_id], 0)), "Unmapped")</f>
        <v>Netherlands</v>
      </c>
      <c r="G3987" t="str">
        <f>IFERROR(INDEX(Region_Map[Region], MATCH(orders[[#This Row],[Customer_Country]], Region_Map[Country], 0)), "Unknown")</f>
        <v>Central Europe</v>
      </c>
      <c r="H3987" t="s">
        <v>6949</v>
      </c>
    </row>
    <row r="3988" spans="1:8">
      <c r="A3988" t="s">
        <v>4887</v>
      </c>
      <c r="B3988" t="s">
        <v>769</v>
      </c>
      <c r="C3988" s="1">
        <v>45012</v>
      </c>
      <c r="D3988" s="1" t="str">
        <f>PROPER(orders[[#This Row],[order_priority]])</f>
        <v>Standard</v>
      </c>
      <c r="E3988" t="s">
        <v>13317</v>
      </c>
      <c r="F3988" t="str">
        <f>IFERROR(INDEX(customers[country], MATCH(orders[[#This Row],[customer_id]], customers[customer_id], 0)), "Unmapped")</f>
        <v>Latvia</v>
      </c>
      <c r="G3988" t="str">
        <f>IFERROR(INDEX(Region_Map[Region], MATCH(orders[[#This Row],[Customer_Country]], Region_Map[Country], 0)), "Unknown")</f>
        <v>Baltics</v>
      </c>
      <c r="H3988" t="s">
        <v>6949</v>
      </c>
    </row>
    <row r="3989" spans="1:8">
      <c r="A3989" t="s">
        <v>4888</v>
      </c>
      <c r="B3989" t="s">
        <v>452</v>
      </c>
      <c r="C3989" s="1">
        <v>45149</v>
      </c>
      <c r="D3989" s="1" t="str">
        <f>PROPER(orders[[#This Row],[order_priority]])</f>
        <v>Economy</v>
      </c>
      <c r="E3989" t="s">
        <v>13316</v>
      </c>
      <c r="F3989" t="str">
        <f>IFERROR(INDEX(customers[country], MATCH(orders[[#This Row],[customer_id]], customers[customer_id], 0)), "Unmapped")</f>
        <v>Sweden</v>
      </c>
      <c r="G3989" t="str">
        <f>IFERROR(INDEX(Region_Map[Region], MATCH(orders[[#This Row],[Customer_Country]], Region_Map[Country], 0)), "Unknown")</f>
        <v>Nordics</v>
      </c>
      <c r="H3989" t="s">
        <v>6949</v>
      </c>
    </row>
    <row r="3990" spans="1:8">
      <c r="A3990" t="s">
        <v>4889</v>
      </c>
      <c r="B3990" t="s">
        <v>557</v>
      </c>
      <c r="C3990" s="1">
        <v>45019</v>
      </c>
      <c r="D3990" s="1" t="str">
        <f>PROPER(orders[[#This Row],[order_priority]])</f>
        <v>Standard</v>
      </c>
      <c r="E3990" t="s">
        <v>13317</v>
      </c>
      <c r="F3990" t="str">
        <f>IFERROR(INDEX(customers[country], MATCH(orders[[#This Row],[customer_id]], customers[customer_id], 0)), "Unmapped")</f>
        <v>Norway</v>
      </c>
      <c r="G3990" t="str">
        <f>IFERROR(INDEX(Region_Map[Region], MATCH(orders[[#This Row],[Customer_Country]], Region_Map[Country], 0)), "Unknown")</f>
        <v>Nordics</v>
      </c>
      <c r="H3990" t="s">
        <v>6949</v>
      </c>
    </row>
    <row r="3991" spans="1:8">
      <c r="A3991" t="s">
        <v>4890</v>
      </c>
      <c r="B3991" t="s">
        <v>837</v>
      </c>
      <c r="C3991" s="1">
        <v>45046</v>
      </c>
      <c r="D3991" s="1" t="str">
        <f>PROPER(orders[[#This Row],[order_priority]])</f>
        <v>Economy</v>
      </c>
      <c r="E3991" t="s">
        <v>13316</v>
      </c>
      <c r="F3991" t="str">
        <f>IFERROR(INDEX(customers[country], MATCH(orders[[#This Row],[customer_id]], customers[customer_id], 0)), "Unmapped")</f>
        <v>Poland</v>
      </c>
      <c r="G3991" t="str">
        <f>IFERROR(INDEX(Region_Map[Region], MATCH(orders[[#This Row],[Customer_Country]], Region_Map[Country], 0)), "Unknown")</f>
        <v>Central Europe</v>
      </c>
      <c r="H3991" t="s">
        <v>6949</v>
      </c>
    </row>
    <row r="3992" spans="1:8">
      <c r="A3992" t="s">
        <v>4891</v>
      </c>
      <c r="B3992" t="s">
        <v>234</v>
      </c>
      <c r="C3992" s="1">
        <v>45201</v>
      </c>
      <c r="D3992" s="1" t="str">
        <f>PROPER(orders[[#This Row],[order_priority]])</f>
        <v>Same Day</v>
      </c>
      <c r="E3992" t="s">
        <v>13322</v>
      </c>
      <c r="F3992" t="str">
        <f>IFERROR(INDEX(customers[country], MATCH(orders[[#This Row],[customer_id]], customers[customer_id], 0)), "Unmapped")</f>
        <v>Finland</v>
      </c>
      <c r="G3992" t="str">
        <f>IFERROR(INDEX(Region_Map[Region], MATCH(orders[[#This Row],[Customer_Country]], Region_Map[Country], 0)), "Unknown")</f>
        <v>Nordics</v>
      </c>
      <c r="H3992" t="s">
        <v>6949</v>
      </c>
    </row>
    <row r="3993" spans="1:8">
      <c r="A3993" t="s">
        <v>4892</v>
      </c>
      <c r="B3993" t="s">
        <v>650</v>
      </c>
      <c r="C3993" s="1">
        <v>44930</v>
      </c>
      <c r="D3993" s="1" t="str">
        <f>PROPER(orders[[#This Row],[order_priority]])</f>
        <v>Express</v>
      </c>
      <c r="E3993" t="s">
        <v>13318</v>
      </c>
      <c r="F3993" t="str">
        <f>IFERROR(INDEX(customers[country], MATCH(orders[[#This Row],[customer_id]], customers[customer_id], 0)), "Unmapped")</f>
        <v>Poland</v>
      </c>
      <c r="G3993" t="str">
        <f>IFERROR(INDEX(Region_Map[Region], MATCH(orders[[#This Row],[Customer_Country]], Region_Map[Country], 0)), "Unknown")</f>
        <v>Central Europe</v>
      </c>
      <c r="H3993" t="s">
        <v>6949</v>
      </c>
    </row>
    <row r="3994" spans="1:8">
      <c r="A3994" t="s">
        <v>4893</v>
      </c>
      <c r="B3994" t="s">
        <v>891</v>
      </c>
      <c r="C3994" s="1">
        <v>45171</v>
      </c>
      <c r="D3994" s="1" t="str">
        <f>PROPER(orders[[#This Row],[order_priority]])</f>
        <v>Economy</v>
      </c>
      <c r="E3994" t="s">
        <v>13316</v>
      </c>
      <c r="F3994" t="str">
        <f>IFERROR(INDEX(customers[country], MATCH(orders[[#This Row],[customer_id]], customers[customer_id], 0)), "Unmapped")</f>
        <v>Netherlands</v>
      </c>
      <c r="G3994" t="str">
        <f>IFERROR(INDEX(Region_Map[Region], MATCH(orders[[#This Row],[Customer_Country]], Region_Map[Country], 0)), "Unknown")</f>
        <v>Central Europe</v>
      </c>
      <c r="H3994" t="s">
        <v>6949</v>
      </c>
    </row>
    <row r="3995" spans="1:8">
      <c r="A3995" t="s">
        <v>4894</v>
      </c>
      <c r="B3995" t="s">
        <v>34</v>
      </c>
      <c r="C3995" s="1">
        <v>45569</v>
      </c>
      <c r="D3995" s="1" t="str">
        <f>PROPER(orders[[#This Row],[order_priority]])</f>
        <v>Express</v>
      </c>
      <c r="E3995" t="s">
        <v>13318</v>
      </c>
      <c r="F3995" t="str">
        <f>IFERROR(INDEX(customers[country], MATCH(orders[[#This Row],[customer_id]], customers[customer_id], 0)), "Unmapped")</f>
        <v>Sweden</v>
      </c>
      <c r="G3995" t="str">
        <f>IFERROR(INDEX(Region_Map[Region], MATCH(orders[[#This Row],[Customer_Country]], Region_Map[Country], 0)), "Unknown")</f>
        <v>Nordics</v>
      </c>
      <c r="H3995" t="s">
        <v>6949</v>
      </c>
    </row>
    <row r="3996" spans="1:8">
      <c r="A3996" t="s">
        <v>4895</v>
      </c>
      <c r="B3996" t="s">
        <v>311</v>
      </c>
      <c r="C3996" s="1">
        <v>45135</v>
      </c>
      <c r="D3996" s="1" t="str">
        <f>PROPER(orders[[#This Row],[order_priority]])</f>
        <v>Economy</v>
      </c>
      <c r="E3996" t="s">
        <v>13316</v>
      </c>
      <c r="F3996" t="str">
        <f>IFERROR(INDEX(customers[country], MATCH(orders[[#This Row],[customer_id]], customers[customer_id], 0)), "Unmapped")</f>
        <v>Netherlands</v>
      </c>
      <c r="G3996" t="str">
        <f>IFERROR(INDEX(Region_Map[Region], MATCH(orders[[#This Row],[Customer_Country]], Region_Map[Country], 0)), "Unknown")</f>
        <v>Central Europe</v>
      </c>
      <c r="H3996" t="s">
        <v>6949</v>
      </c>
    </row>
    <row r="3997" spans="1:8">
      <c r="A3997" t="s">
        <v>4896</v>
      </c>
      <c r="B3997" t="s">
        <v>746</v>
      </c>
      <c r="C3997" s="1">
        <v>45310</v>
      </c>
      <c r="D3997" s="1" t="str">
        <f>PROPER(orders[[#This Row],[order_priority]])</f>
        <v>Standard</v>
      </c>
      <c r="E3997" t="s">
        <v>13317</v>
      </c>
      <c r="F3997" t="str">
        <f>IFERROR(INDEX(customers[country], MATCH(orders[[#This Row],[customer_id]], customers[customer_id], 0)), "Unmapped")</f>
        <v>Poland</v>
      </c>
      <c r="G3997" t="str">
        <f>IFERROR(INDEX(Region_Map[Region], MATCH(orders[[#This Row],[Customer_Country]], Region_Map[Country], 0)), "Unknown")</f>
        <v>Central Europe</v>
      </c>
      <c r="H3997" t="s">
        <v>6949</v>
      </c>
    </row>
    <row r="3998" spans="1:8">
      <c r="A3998" t="s">
        <v>4897</v>
      </c>
      <c r="B3998" t="s">
        <v>876</v>
      </c>
      <c r="C3998" s="1">
        <v>45356</v>
      </c>
      <c r="D3998" s="1" t="str">
        <f>PROPER(orders[[#This Row],[order_priority]])</f>
        <v>Standard</v>
      </c>
      <c r="E3998" t="s">
        <v>13317</v>
      </c>
      <c r="F3998" t="str">
        <f>IFERROR(INDEX(customers[country], MATCH(orders[[#This Row],[customer_id]], customers[customer_id], 0)), "Unmapped")</f>
        <v>Estonia</v>
      </c>
      <c r="G3998" t="str">
        <f>IFERROR(INDEX(Region_Map[Region], MATCH(orders[[#This Row],[Customer_Country]], Region_Map[Country], 0)), "Unknown")</f>
        <v>Baltics</v>
      </c>
      <c r="H3998" t="s">
        <v>6949</v>
      </c>
    </row>
    <row r="3999" spans="1:8">
      <c r="A3999" t="s">
        <v>4898</v>
      </c>
      <c r="B3999" t="s">
        <v>112</v>
      </c>
      <c r="C3999" s="1">
        <v>44935</v>
      </c>
      <c r="D3999" s="1" t="str">
        <f>PROPER(orders[[#This Row],[order_priority]])</f>
        <v>Express</v>
      </c>
      <c r="E3999" t="s">
        <v>13318</v>
      </c>
      <c r="F3999" t="str">
        <f>IFERROR(INDEX(customers[country], MATCH(orders[[#This Row],[customer_id]], customers[customer_id], 0)), "Unmapped")</f>
        <v>Finland</v>
      </c>
      <c r="G3999" t="str">
        <f>IFERROR(INDEX(Region_Map[Region], MATCH(orders[[#This Row],[Customer_Country]], Region_Map[Country], 0)), "Unknown")</f>
        <v>Nordics</v>
      </c>
      <c r="H3999" t="s">
        <v>6949</v>
      </c>
    </row>
    <row r="4000" spans="1:8">
      <c r="A4000" t="s">
        <v>4899</v>
      </c>
      <c r="B4000" t="s">
        <v>124</v>
      </c>
      <c r="C4000" s="1">
        <v>45246</v>
      </c>
      <c r="D4000" s="1" t="str">
        <f>PROPER(orders[[#This Row],[order_priority]])</f>
        <v>Standard</v>
      </c>
      <c r="E4000" t="s">
        <v>13317</v>
      </c>
      <c r="F4000" t="str">
        <f>IFERROR(INDEX(customers[country], MATCH(orders[[#This Row],[customer_id]], customers[customer_id], 0)), "Unmapped")</f>
        <v>Lithuania</v>
      </c>
      <c r="G4000" t="str">
        <f>IFERROR(INDEX(Region_Map[Region], MATCH(orders[[#This Row],[Customer_Country]], Region_Map[Country], 0)), "Unknown")</f>
        <v>Baltics</v>
      </c>
      <c r="H4000" t="s">
        <v>6949</v>
      </c>
    </row>
    <row r="4001" spans="1:8">
      <c r="A4001" t="s">
        <v>4900</v>
      </c>
      <c r="B4001" t="s">
        <v>590</v>
      </c>
      <c r="C4001" s="1">
        <v>45451</v>
      </c>
      <c r="D4001" s="1" t="str">
        <f>PROPER(orders[[#This Row],[order_priority]])</f>
        <v>Standard</v>
      </c>
      <c r="E4001" t="s">
        <v>13317</v>
      </c>
      <c r="F4001" t="str">
        <f>IFERROR(INDEX(customers[country], MATCH(orders[[#This Row],[customer_id]], customers[customer_id], 0)), "Unmapped")</f>
        <v>Finland</v>
      </c>
      <c r="G4001" t="str">
        <f>IFERROR(INDEX(Region_Map[Region], MATCH(orders[[#This Row],[Customer_Country]], Region_Map[Country], 0)), "Unknown")</f>
        <v>Nordics</v>
      </c>
      <c r="H4001" t="s">
        <v>6949</v>
      </c>
    </row>
    <row r="4002" spans="1:8">
      <c r="A4002" t="s">
        <v>4901</v>
      </c>
      <c r="B4002" t="s">
        <v>365</v>
      </c>
      <c r="C4002" s="1">
        <v>44934</v>
      </c>
      <c r="D4002" s="1" t="str">
        <f>PROPER(orders[[#This Row],[order_priority]])</f>
        <v>Express</v>
      </c>
      <c r="E4002" t="s">
        <v>13318</v>
      </c>
      <c r="F4002" t="str">
        <f>IFERROR(INDEX(customers[country], MATCH(orders[[#This Row],[customer_id]], customers[customer_id], 0)), "Unmapped")</f>
        <v>Poland</v>
      </c>
      <c r="G4002" t="str">
        <f>IFERROR(INDEX(Region_Map[Region], MATCH(orders[[#This Row],[Customer_Country]], Region_Map[Country], 0)), "Unknown")</f>
        <v>Central Europe</v>
      </c>
      <c r="H4002" t="s">
        <v>6949</v>
      </c>
    </row>
    <row r="4003" spans="1:8">
      <c r="A4003" t="s">
        <v>4902</v>
      </c>
      <c r="B4003" t="s">
        <v>398</v>
      </c>
      <c r="C4003" s="1">
        <v>45504</v>
      </c>
      <c r="D4003" s="1" t="str">
        <f>PROPER(orders[[#This Row],[order_priority]])</f>
        <v>Express</v>
      </c>
      <c r="E4003" t="s">
        <v>13318</v>
      </c>
      <c r="F4003" t="str">
        <f>IFERROR(INDEX(customers[country], MATCH(orders[[#This Row],[customer_id]], customers[customer_id], 0)), "Unmapped")</f>
        <v>Sweden</v>
      </c>
      <c r="G4003" t="str">
        <f>IFERROR(INDEX(Region_Map[Region], MATCH(orders[[#This Row],[Customer_Country]], Region_Map[Country], 0)), "Unknown")</f>
        <v>Nordics</v>
      </c>
      <c r="H4003" t="s">
        <v>6949</v>
      </c>
    </row>
    <row r="4004" spans="1:8">
      <c r="A4004" t="s">
        <v>4903</v>
      </c>
      <c r="B4004" t="s">
        <v>605</v>
      </c>
      <c r="C4004" s="1">
        <v>45491</v>
      </c>
      <c r="D4004" s="1" t="str">
        <f>PROPER(orders[[#This Row],[order_priority]])</f>
        <v>Same Day</v>
      </c>
      <c r="E4004" t="s">
        <v>13322</v>
      </c>
      <c r="F4004" t="str">
        <f>IFERROR(INDEX(customers[country], MATCH(orders[[#This Row],[customer_id]], customers[customer_id], 0)), "Unmapped")</f>
        <v>Lithuania</v>
      </c>
      <c r="G4004" t="str">
        <f>IFERROR(INDEX(Region_Map[Region], MATCH(orders[[#This Row],[Customer_Country]], Region_Map[Country], 0)), "Unknown")</f>
        <v>Baltics</v>
      </c>
      <c r="H4004" t="s">
        <v>6949</v>
      </c>
    </row>
    <row r="4005" spans="1:8">
      <c r="A4005" t="s">
        <v>4904</v>
      </c>
      <c r="B4005" t="s">
        <v>602</v>
      </c>
      <c r="C4005" s="1">
        <v>45205</v>
      </c>
      <c r="D4005" s="1" t="str">
        <f>PROPER(orders[[#This Row],[order_priority]])</f>
        <v>Express</v>
      </c>
      <c r="E4005" t="s">
        <v>13318</v>
      </c>
      <c r="F4005" t="str">
        <f>IFERROR(INDEX(customers[country], MATCH(orders[[#This Row],[customer_id]], customers[customer_id], 0)), "Unmapped")</f>
        <v>Poland</v>
      </c>
      <c r="G4005" t="str">
        <f>IFERROR(INDEX(Region_Map[Region], MATCH(orders[[#This Row],[Customer_Country]], Region_Map[Country], 0)), "Unknown")</f>
        <v>Central Europe</v>
      </c>
      <c r="H4005" t="s">
        <v>6949</v>
      </c>
    </row>
    <row r="4006" spans="1:8">
      <c r="A4006" t="s">
        <v>4905</v>
      </c>
      <c r="B4006" t="s">
        <v>341</v>
      </c>
      <c r="C4006" s="1">
        <v>45316</v>
      </c>
      <c r="D4006" s="1" t="str">
        <f>PROPER(orders[[#This Row],[order_priority]])</f>
        <v>Economy</v>
      </c>
      <c r="E4006" t="s">
        <v>13328</v>
      </c>
      <c r="F4006" t="str">
        <f>IFERROR(INDEX(customers[country], MATCH(orders[[#This Row],[customer_id]], customers[customer_id], 0)), "Unmapped")</f>
        <v>Latvia</v>
      </c>
      <c r="G4006" t="str">
        <f>IFERROR(INDEX(Region_Map[Region], MATCH(orders[[#This Row],[Customer_Country]], Region_Map[Country], 0)), "Unknown")</f>
        <v>Baltics</v>
      </c>
      <c r="H4006" t="s">
        <v>6949</v>
      </c>
    </row>
    <row r="4007" spans="1:8">
      <c r="A4007" t="s">
        <v>4906</v>
      </c>
      <c r="B4007" t="s">
        <v>19</v>
      </c>
      <c r="C4007" s="1">
        <v>45500</v>
      </c>
      <c r="D4007" s="1" t="str">
        <f>PROPER(orders[[#This Row],[order_priority]])</f>
        <v>Express</v>
      </c>
      <c r="E4007" t="s">
        <v>13318</v>
      </c>
      <c r="F4007" t="str">
        <f>IFERROR(INDEX(customers[country], MATCH(orders[[#This Row],[customer_id]], customers[customer_id], 0)), "Unmapped")</f>
        <v>Poland</v>
      </c>
      <c r="G4007" t="str">
        <f>IFERROR(INDEX(Region_Map[Region], MATCH(orders[[#This Row],[Customer_Country]], Region_Map[Country], 0)), "Unknown")</f>
        <v>Central Europe</v>
      </c>
      <c r="H4007" t="s">
        <v>6949</v>
      </c>
    </row>
    <row r="4008" spans="1:8">
      <c r="A4008" t="s">
        <v>4907</v>
      </c>
      <c r="B4008" t="s">
        <v>682</v>
      </c>
      <c r="C4008" s="1">
        <v>45406</v>
      </c>
      <c r="D4008" s="1" t="str">
        <f>PROPER(orders[[#This Row],[order_priority]])</f>
        <v>Express</v>
      </c>
      <c r="E4008" t="s">
        <v>13318</v>
      </c>
      <c r="F4008" t="str">
        <f>IFERROR(INDEX(customers[country], MATCH(orders[[#This Row],[customer_id]], customers[customer_id], 0)), "Unmapped")</f>
        <v>Germany</v>
      </c>
      <c r="G4008" t="str">
        <f>IFERROR(INDEX(Region_Map[Region], MATCH(orders[[#This Row],[Customer_Country]], Region_Map[Country], 0)), "Unknown")</f>
        <v>Central Europe</v>
      </c>
      <c r="H4008" t="s">
        <v>6949</v>
      </c>
    </row>
    <row r="4009" spans="1:8">
      <c r="A4009" t="s">
        <v>4908</v>
      </c>
      <c r="B4009" t="s">
        <v>222</v>
      </c>
      <c r="C4009" s="1">
        <v>45590</v>
      </c>
      <c r="D4009" s="1" t="str">
        <f>PROPER(orders[[#This Row],[order_priority]])</f>
        <v>Same Day</v>
      </c>
      <c r="E4009" t="s">
        <v>13322</v>
      </c>
      <c r="F4009" t="str">
        <f>IFERROR(INDEX(customers[country], MATCH(orders[[#This Row],[customer_id]], customers[customer_id], 0)), "Unmapped")</f>
        <v>Norway</v>
      </c>
      <c r="G4009" t="str">
        <f>IFERROR(INDEX(Region_Map[Region], MATCH(orders[[#This Row],[Customer_Country]], Region_Map[Country], 0)), "Unknown")</f>
        <v>Nordics</v>
      </c>
      <c r="H4009" t="s">
        <v>6949</v>
      </c>
    </row>
    <row r="4010" spans="1:8">
      <c r="A4010" t="s">
        <v>4909</v>
      </c>
      <c r="B4010" t="s">
        <v>365</v>
      </c>
      <c r="C4010" s="1">
        <v>45236</v>
      </c>
      <c r="D4010" s="1" t="str">
        <f>PROPER(orders[[#This Row],[order_priority]])</f>
        <v>Same Day</v>
      </c>
      <c r="E4010" t="s">
        <v>13322</v>
      </c>
      <c r="F4010" t="str">
        <f>IFERROR(INDEX(customers[country], MATCH(orders[[#This Row],[customer_id]], customers[customer_id], 0)), "Unmapped")</f>
        <v>Poland</v>
      </c>
      <c r="G4010" t="str">
        <f>IFERROR(INDEX(Region_Map[Region], MATCH(orders[[#This Row],[Customer_Country]], Region_Map[Country], 0)), "Unknown")</f>
        <v>Central Europe</v>
      </c>
      <c r="H4010" t="s">
        <v>6949</v>
      </c>
    </row>
    <row r="4011" spans="1:8">
      <c r="A4011" t="s">
        <v>4910</v>
      </c>
      <c r="B4011" t="s">
        <v>611</v>
      </c>
      <c r="C4011" s="1">
        <v>45294</v>
      </c>
      <c r="D4011" s="1" t="str">
        <f>PROPER(orders[[#This Row],[order_priority]])</f>
        <v>Economy</v>
      </c>
      <c r="E4011" t="s">
        <v>13316</v>
      </c>
      <c r="F4011" t="str">
        <f>IFERROR(INDEX(customers[country], MATCH(orders[[#This Row],[customer_id]], customers[customer_id], 0)), "Unmapped")</f>
        <v>Poland</v>
      </c>
      <c r="G4011" t="str">
        <f>IFERROR(INDEX(Region_Map[Region], MATCH(orders[[#This Row],[Customer_Country]], Region_Map[Country], 0)), "Unknown")</f>
        <v>Central Europe</v>
      </c>
      <c r="H4011" t="s">
        <v>6949</v>
      </c>
    </row>
    <row r="4012" spans="1:8">
      <c r="A4012" t="s">
        <v>4911</v>
      </c>
      <c r="B4012" t="s">
        <v>157</v>
      </c>
      <c r="C4012" s="1">
        <v>45174</v>
      </c>
      <c r="D4012" s="1" t="str">
        <f>PROPER(orders[[#This Row],[order_priority]])</f>
        <v>Economy</v>
      </c>
      <c r="E4012" t="s">
        <v>13316</v>
      </c>
      <c r="F4012" t="str">
        <f>IFERROR(INDEX(customers[country], MATCH(orders[[#This Row],[customer_id]], customers[customer_id], 0)), "Unmapped")</f>
        <v>Lithuania</v>
      </c>
      <c r="G4012" t="str">
        <f>IFERROR(INDEX(Region_Map[Region], MATCH(orders[[#This Row],[Customer_Country]], Region_Map[Country], 0)), "Unknown")</f>
        <v>Baltics</v>
      </c>
      <c r="H4012" t="s">
        <v>6949</v>
      </c>
    </row>
    <row r="4013" spans="1:8">
      <c r="A4013" t="s">
        <v>4912</v>
      </c>
      <c r="B4013" t="s">
        <v>476</v>
      </c>
      <c r="C4013" s="1">
        <v>44952</v>
      </c>
      <c r="D4013" s="1" t="str">
        <f>PROPER(orders[[#This Row],[order_priority]])</f>
        <v>Standard</v>
      </c>
      <c r="E4013" t="s">
        <v>13317</v>
      </c>
      <c r="F4013" t="str">
        <f>IFERROR(INDEX(customers[country], MATCH(orders[[#This Row],[customer_id]], customers[customer_id], 0)), "Unmapped")</f>
        <v>Norway</v>
      </c>
      <c r="G4013" t="str">
        <f>IFERROR(INDEX(Region_Map[Region], MATCH(orders[[#This Row],[Customer_Country]], Region_Map[Country], 0)), "Unknown")</f>
        <v>Nordics</v>
      </c>
      <c r="H4013" t="s">
        <v>6949</v>
      </c>
    </row>
    <row r="4014" spans="1:8">
      <c r="A4014" t="s">
        <v>4913</v>
      </c>
      <c r="B4014" t="s">
        <v>470</v>
      </c>
      <c r="C4014" s="1">
        <v>45101</v>
      </c>
      <c r="D4014" s="1" t="str">
        <f>PROPER(orders[[#This Row],[order_priority]])</f>
        <v>Standard</v>
      </c>
      <c r="E4014" t="s">
        <v>13319</v>
      </c>
      <c r="F4014" t="str">
        <f>IFERROR(INDEX(customers[country], MATCH(orders[[#This Row],[customer_id]], customers[customer_id], 0)), "Unmapped")</f>
        <v>Norway</v>
      </c>
      <c r="G4014" t="str">
        <f>IFERROR(INDEX(Region_Map[Region], MATCH(orders[[#This Row],[Customer_Country]], Region_Map[Country], 0)), "Unknown")</f>
        <v>Nordics</v>
      </c>
      <c r="H4014" t="s">
        <v>6949</v>
      </c>
    </row>
    <row r="4015" spans="1:8">
      <c r="A4015" t="s">
        <v>4914</v>
      </c>
      <c r="B4015" t="s">
        <v>440</v>
      </c>
      <c r="C4015" s="1">
        <v>45464</v>
      </c>
      <c r="D4015" s="1" t="str">
        <f>PROPER(orders[[#This Row],[order_priority]])</f>
        <v>Economy</v>
      </c>
      <c r="E4015" t="s">
        <v>13316</v>
      </c>
      <c r="F4015" t="str">
        <f>IFERROR(INDEX(customers[country], MATCH(orders[[#This Row],[customer_id]], customers[customer_id], 0)), "Unmapped")</f>
        <v>Poland</v>
      </c>
      <c r="G4015" t="str">
        <f>IFERROR(INDEX(Region_Map[Region], MATCH(orders[[#This Row],[Customer_Country]], Region_Map[Country], 0)), "Unknown")</f>
        <v>Central Europe</v>
      </c>
      <c r="H4015" t="s">
        <v>6949</v>
      </c>
    </row>
    <row r="4016" spans="1:8">
      <c r="A4016" t="s">
        <v>4915</v>
      </c>
      <c r="B4016" t="s">
        <v>900</v>
      </c>
      <c r="C4016" s="1">
        <v>45119</v>
      </c>
      <c r="D4016" s="1" t="str">
        <f>PROPER(orders[[#This Row],[order_priority]])</f>
        <v>Economy</v>
      </c>
      <c r="E4016" t="s">
        <v>13316</v>
      </c>
      <c r="F4016" t="str">
        <f>IFERROR(INDEX(customers[country], MATCH(orders[[#This Row],[customer_id]], customers[customer_id], 0)), "Unmapped")</f>
        <v>Germany</v>
      </c>
      <c r="G4016" t="str">
        <f>IFERROR(INDEX(Region_Map[Region], MATCH(orders[[#This Row],[Customer_Country]], Region_Map[Country], 0)), "Unknown")</f>
        <v>Central Europe</v>
      </c>
      <c r="H4016" t="s">
        <v>6949</v>
      </c>
    </row>
    <row r="4017" spans="1:8">
      <c r="A4017" t="s">
        <v>4916</v>
      </c>
      <c r="B4017" t="s">
        <v>11</v>
      </c>
      <c r="C4017" s="1">
        <v>45155</v>
      </c>
      <c r="D4017" s="1" t="str">
        <f>PROPER(orders[[#This Row],[order_priority]])</f>
        <v>Same Day</v>
      </c>
      <c r="E4017" t="s">
        <v>13322</v>
      </c>
      <c r="F4017" t="str">
        <f>IFERROR(INDEX(customers[country], MATCH(orders[[#This Row],[customer_id]], customers[customer_id], 0)), "Unmapped")</f>
        <v>Sweden</v>
      </c>
      <c r="G4017" t="str">
        <f>IFERROR(INDEX(Region_Map[Region], MATCH(orders[[#This Row],[Customer_Country]], Region_Map[Country], 0)), "Unknown")</f>
        <v>Nordics</v>
      </c>
      <c r="H4017" t="s">
        <v>6949</v>
      </c>
    </row>
    <row r="4018" spans="1:8">
      <c r="A4018" t="s">
        <v>4917</v>
      </c>
      <c r="B4018" t="s">
        <v>163</v>
      </c>
      <c r="C4018" s="1">
        <v>45453</v>
      </c>
      <c r="D4018" s="1" t="str">
        <f>PROPER(orders[[#This Row],[order_priority]])</f>
        <v>Express</v>
      </c>
      <c r="E4018" t="s">
        <v>13318</v>
      </c>
      <c r="F4018" t="str">
        <f>IFERROR(INDEX(customers[country], MATCH(orders[[#This Row],[customer_id]], customers[customer_id], 0)), "Unmapped")</f>
        <v>Germany</v>
      </c>
      <c r="G4018" t="str">
        <f>IFERROR(INDEX(Region_Map[Region], MATCH(orders[[#This Row],[Customer_Country]], Region_Map[Country], 0)), "Unknown")</f>
        <v>Central Europe</v>
      </c>
      <c r="H4018" t="s">
        <v>6949</v>
      </c>
    </row>
    <row r="4019" spans="1:8">
      <c r="A4019" t="s">
        <v>4918</v>
      </c>
      <c r="B4019" t="s">
        <v>697</v>
      </c>
      <c r="C4019" s="1">
        <v>45391</v>
      </c>
      <c r="D4019" s="1" t="str">
        <f>PROPER(orders[[#This Row],[order_priority]])</f>
        <v>Express</v>
      </c>
      <c r="E4019" t="s">
        <v>13318</v>
      </c>
      <c r="F4019" t="str">
        <f>IFERROR(INDEX(customers[country], MATCH(orders[[#This Row],[customer_id]], customers[customer_id], 0)), "Unmapped")</f>
        <v>Estonia</v>
      </c>
      <c r="G4019" t="str">
        <f>IFERROR(INDEX(Region_Map[Region], MATCH(orders[[#This Row],[Customer_Country]], Region_Map[Country], 0)), "Unknown")</f>
        <v>Baltics</v>
      </c>
      <c r="H4019" t="s">
        <v>6949</v>
      </c>
    </row>
    <row r="4020" spans="1:8">
      <c r="A4020" t="s">
        <v>4919</v>
      </c>
      <c r="B4020" t="s">
        <v>470</v>
      </c>
      <c r="C4020" s="1">
        <v>45335</v>
      </c>
      <c r="D4020" s="1" t="str">
        <f>PROPER(orders[[#This Row],[order_priority]])</f>
        <v>Standard</v>
      </c>
      <c r="E4020" t="s">
        <v>13317</v>
      </c>
      <c r="F4020" t="str">
        <f>IFERROR(INDEX(customers[country], MATCH(orders[[#This Row],[customer_id]], customers[customer_id], 0)), "Unmapped")</f>
        <v>Norway</v>
      </c>
      <c r="G4020" t="str">
        <f>IFERROR(INDEX(Region_Map[Region], MATCH(orders[[#This Row],[Customer_Country]], Region_Map[Country], 0)), "Unknown")</f>
        <v>Nordics</v>
      </c>
      <c r="H4020" t="s">
        <v>6949</v>
      </c>
    </row>
    <row r="4021" spans="1:8">
      <c r="A4021" t="s">
        <v>4920</v>
      </c>
      <c r="B4021" t="s">
        <v>77</v>
      </c>
      <c r="C4021" s="1">
        <v>45485</v>
      </c>
      <c r="D4021" s="1" t="str">
        <f>PROPER(orders[[#This Row],[order_priority]])</f>
        <v>Same Day</v>
      </c>
      <c r="E4021" t="s">
        <v>13322</v>
      </c>
      <c r="F4021" t="str">
        <f>IFERROR(INDEX(customers[country], MATCH(orders[[#This Row],[customer_id]], customers[customer_id], 0)), "Unmapped")</f>
        <v>Lithuania</v>
      </c>
      <c r="G4021" t="str">
        <f>IFERROR(INDEX(Region_Map[Region], MATCH(orders[[#This Row],[Customer_Country]], Region_Map[Country], 0)), "Unknown")</f>
        <v>Baltics</v>
      </c>
      <c r="H4021" t="s">
        <v>6949</v>
      </c>
    </row>
    <row r="4022" spans="1:8">
      <c r="A4022" t="s">
        <v>4921</v>
      </c>
      <c r="B4022" t="s">
        <v>452</v>
      </c>
      <c r="C4022" s="1">
        <v>45518</v>
      </c>
      <c r="D4022" s="1" t="str">
        <f>PROPER(orders[[#This Row],[order_priority]])</f>
        <v>Express</v>
      </c>
      <c r="E4022" t="s">
        <v>13318</v>
      </c>
      <c r="F4022" t="str">
        <f>IFERROR(INDEX(customers[country], MATCH(orders[[#This Row],[customer_id]], customers[customer_id], 0)), "Unmapped")</f>
        <v>Sweden</v>
      </c>
      <c r="G4022" t="str">
        <f>IFERROR(INDEX(Region_Map[Region], MATCH(orders[[#This Row],[Customer_Country]], Region_Map[Country], 0)), "Unknown")</f>
        <v>Nordics</v>
      </c>
      <c r="H4022" t="s">
        <v>6949</v>
      </c>
    </row>
    <row r="4023" spans="1:8">
      <c r="A4023" t="s">
        <v>4922</v>
      </c>
      <c r="B4023" t="s">
        <v>479</v>
      </c>
      <c r="C4023" s="1">
        <v>45180</v>
      </c>
      <c r="D4023" s="1" t="str">
        <f>PROPER(orders[[#This Row],[order_priority]])</f>
        <v>Express</v>
      </c>
      <c r="E4023" t="s">
        <v>13318</v>
      </c>
      <c r="F4023" t="str">
        <f>IFERROR(INDEX(customers[country], MATCH(orders[[#This Row],[customer_id]], customers[customer_id], 0)), "Unmapped")</f>
        <v>Latvia</v>
      </c>
      <c r="G4023" t="str">
        <f>IFERROR(INDEX(Region_Map[Region], MATCH(orders[[#This Row],[Customer_Country]], Region_Map[Country], 0)), "Unknown")</f>
        <v>Baltics</v>
      </c>
      <c r="H4023" t="s">
        <v>6949</v>
      </c>
    </row>
    <row r="4024" spans="1:8">
      <c r="A4024" t="s">
        <v>4923</v>
      </c>
      <c r="B4024" t="s">
        <v>572</v>
      </c>
      <c r="C4024" s="1">
        <v>45459</v>
      </c>
      <c r="D4024" s="1" t="str">
        <f>PROPER(orders[[#This Row],[order_priority]])</f>
        <v>Economy</v>
      </c>
      <c r="E4024" t="s">
        <v>13316</v>
      </c>
      <c r="F4024" t="str">
        <f>IFERROR(INDEX(customers[country], MATCH(orders[[#This Row],[customer_id]], customers[customer_id], 0)), "Unmapped")</f>
        <v>Germany</v>
      </c>
      <c r="G4024" t="str">
        <f>IFERROR(INDEX(Region_Map[Region], MATCH(orders[[#This Row],[Customer_Country]], Region_Map[Country], 0)), "Unknown")</f>
        <v>Central Europe</v>
      </c>
      <c r="H4024" t="s">
        <v>6949</v>
      </c>
    </row>
    <row r="4025" spans="1:8">
      <c r="A4025" t="s">
        <v>4924</v>
      </c>
      <c r="B4025" t="s">
        <v>368</v>
      </c>
      <c r="C4025" s="1">
        <v>44972</v>
      </c>
      <c r="D4025" s="1" t="str">
        <f>PROPER(orders[[#This Row],[order_priority]])</f>
        <v>Express</v>
      </c>
      <c r="E4025" t="s">
        <v>13326</v>
      </c>
      <c r="F4025" t="str">
        <f>IFERROR(INDEX(customers[country], MATCH(orders[[#This Row],[customer_id]], customers[customer_id], 0)), "Unmapped")</f>
        <v>Poland</v>
      </c>
      <c r="G4025" t="str">
        <f>IFERROR(INDEX(Region_Map[Region], MATCH(orders[[#This Row],[Customer_Country]], Region_Map[Country], 0)), "Unknown")</f>
        <v>Central Europe</v>
      </c>
      <c r="H4025" t="s">
        <v>6949</v>
      </c>
    </row>
    <row r="4026" spans="1:8">
      <c r="A4026" t="s">
        <v>4925</v>
      </c>
      <c r="B4026" t="s">
        <v>590</v>
      </c>
      <c r="C4026" s="1">
        <v>45213</v>
      </c>
      <c r="D4026" s="1" t="str">
        <f>PROPER(orders[[#This Row],[order_priority]])</f>
        <v>Standard</v>
      </c>
      <c r="E4026" t="s">
        <v>13317</v>
      </c>
      <c r="F4026" t="str">
        <f>IFERROR(INDEX(customers[country], MATCH(orders[[#This Row],[customer_id]], customers[customer_id], 0)), "Unmapped")</f>
        <v>Finland</v>
      </c>
      <c r="G4026" t="str">
        <f>IFERROR(INDEX(Region_Map[Region], MATCH(orders[[#This Row],[Customer_Country]], Region_Map[Country], 0)), "Unknown")</f>
        <v>Nordics</v>
      </c>
      <c r="H4026" t="s">
        <v>6949</v>
      </c>
    </row>
    <row r="4027" spans="1:8">
      <c r="A4027" t="s">
        <v>4926</v>
      </c>
      <c r="B4027" t="s">
        <v>712</v>
      </c>
      <c r="C4027" s="1">
        <v>45064</v>
      </c>
      <c r="D4027" s="1" t="str">
        <f>PROPER(orders[[#This Row],[order_priority]])</f>
        <v>Same Day</v>
      </c>
      <c r="E4027" t="s">
        <v>13322</v>
      </c>
      <c r="F4027" t="str">
        <f>IFERROR(INDEX(customers[country], MATCH(orders[[#This Row],[customer_id]], customers[customer_id], 0)), "Unmapped")</f>
        <v>Finland</v>
      </c>
      <c r="G4027" t="str">
        <f>IFERROR(INDEX(Region_Map[Region], MATCH(orders[[#This Row],[Customer_Country]], Region_Map[Country], 0)), "Unknown")</f>
        <v>Nordics</v>
      </c>
      <c r="H4027" t="s">
        <v>6949</v>
      </c>
    </row>
    <row r="4028" spans="1:8">
      <c r="A4028" t="s">
        <v>4927</v>
      </c>
      <c r="B4028" t="s">
        <v>888</v>
      </c>
      <c r="C4028" s="1">
        <v>45026</v>
      </c>
      <c r="D4028" s="1" t="str">
        <f>PROPER(orders[[#This Row],[order_priority]])</f>
        <v>Standard</v>
      </c>
      <c r="E4028" t="s">
        <v>13317</v>
      </c>
      <c r="F4028" t="str">
        <f>IFERROR(INDEX(customers[country], MATCH(orders[[#This Row],[customer_id]], customers[customer_id], 0)), "Unmapped")</f>
        <v>Denmark</v>
      </c>
      <c r="G4028" t="str">
        <f>IFERROR(INDEX(Region_Map[Region], MATCH(orders[[#This Row],[Customer_Country]], Region_Map[Country], 0)), "Unknown")</f>
        <v>Nordics</v>
      </c>
      <c r="H4028" t="s">
        <v>6949</v>
      </c>
    </row>
    <row r="4029" spans="1:8">
      <c r="A4029" t="s">
        <v>4928</v>
      </c>
      <c r="B4029" t="s">
        <v>386</v>
      </c>
      <c r="C4029" s="1">
        <v>44990</v>
      </c>
      <c r="D4029" s="1" t="str">
        <f>PROPER(orders[[#This Row],[order_priority]])</f>
        <v>Same Day</v>
      </c>
      <c r="E4029" t="s">
        <v>13324</v>
      </c>
      <c r="F4029" t="str">
        <f>IFERROR(INDEX(customers[country], MATCH(orders[[#This Row],[customer_id]], customers[customer_id], 0)), "Unmapped")</f>
        <v>Germany</v>
      </c>
      <c r="G4029" t="str">
        <f>IFERROR(INDEX(Region_Map[Region], MATCH(orders[[#This Row],[Customer_Country]], Region_Map[Country], 0)), "Unknown")</f>
        <v>Central Europe</v>
      </c>
      <c r="H4029" t="s">
        <v>6949</v>
      </c>
    </row>
    <row r="4030" spans="1:8">
      <c r="A4030" t="s">
        <v>4929</v>
      </c>
      <c r="B4030" t="s">
        <v>93</v>
      </c>
      <c r="C4030" s="1">
        <v>45265</v>
      </c>
      <c r="D4030" s="1" t="str">
        <f>PROPER(orders[[#This Row],[order_priority]])</f>
        <v>Economy</v>
      </c>
      <c r="E4030" t="s">
        <v>13316</v>
      </c>
      <c r="F4030" t="str">
        <f>IFERROR(INDEX(customers[country], MATCH(orders[[#This Row],[customer_id]], customers[customer_id], 0)), "Unmapped")</f>
        <v>Norway</v>
      </c>
      <c r="G4030" t="str">
        <f>IFERROR(INDEX(Region_Map[Region], MATCH(orders[[#This Row],[Customer_Country]], Region_Map[Country], 0)), "Unknown")</f>
        <v>Nordics</v>
      </c>
      <c r="H4030" t="s">
        <v>6949</v>
      </c>
    </row>
    <row r="4031" spans="1:8">
      <c r="A4031" t="s">
        <v>4930</v>
      </c>
      <c r="B4031" t="s">
        <v>593</v>
      </c>
      <c r="C4031" s="1">
        <v>45426</v>
      </c>
      <c r="D4031" s="1" t="str">
        <f>PROPER(orders[[#This Row],[order_priority]])</f>
        <v>Economy</v>
      </c>
      <c r="E4031" t="s">
        <v>13325</v>
      </c>
      <c r="F4031" t="str">
        <f>IFERROR(INDEX(customers[country], MATCH(orders[[#This Row],[customer_id]], customers[customer_id], 0)), "Unmapped")</f>
        <v>Estonia</v>
      </c>
      <c r="G4031" t="str">
        <f>IFERROR(INDEX(Region_Map[Region], MATCH(orders[[#This Row],[Customer_Country]], Region_Map[Country], 0)), "Unknown")</f>
        <v>Baltics</v>
      </c>
      <c r="H4031" t="s">
        <v>6949</v>
      </c>
    </row>
    <row r="4032" spans="1:8">
      <c r="A4032" t="s">
        <v>4931</v>
      </c>
      <c r="B4032" t="s">
        <v>879</v>
      </c>
      <c r="C4032" s="1">
        <v>45469</v>
      </c>
      <c r="D4032" s="1" t="str">
        <f>PROPER(orders[[#This Row],[order_priority]])</f>
        <v>Economy</v>
      </c>
      <c r="E4032" t="s">
        <v>13316</v>
      </c>
      <c r="F4032" t="str">
        <f>IFERROR(INDEX(customers[country], MATCH(orders[[#This Row],[customer_id]], customers[customer_id], 0)), "Unmapped")</f>
        <v>Norway</v>
      </c>
      <c r="G4032" t="str">
        <f>IFERROR(INDEX(Region_Map[Region], MATCH(orders[[#This Row],[Customer_Country]], Region_Map[Country], 0)), "Unknown")</f>
        <v>Nordics</v>
      </c>
      <c r="H4032" t="s">
        <v>6949</v>
      </c>
    </row>
    <row r="4033" spans="1:8">
      <c r="A4033" t="s">
        <v>4932</v>
      </c>
      <c r="B4033" t="s">
        <v>249</v>
      </c>
      <c r="C4033" s="1">
        <v>45367</v>
      </c>
      <c r="D4033" s="1" t="str">
        <f>PROPER(orders[[#This Row],[order_priority]])</f>
        <v>Express</v>
      </c>
      <c r="E4033" t="s">
        <v>13318</v>
      </c>
      <c r="F4033" t="str">
        <f>IFERROR(INDEX(customers[country], MATCH(orders[[#This Row],[customer_id]], customers[customer_id], 0)), "Unmapped")</f>
        <v>Estonia</v>
      </c>
      <c r="G4033" t="str">
        <f>IFERROR(INDEX(Region_Map[Region], MATCH(orders[[#This Row],[Customer_Country]], Region_Map[Country], 0)), "Unknown")</f>
        <v>Baltics</v>
      </c>
      <c r="H4033" t="s">
        <v>6949</v>
      </c>
    </row>
    <row r="4034" spans="1:8">
      <c r="A4034" t="s">
        <v>4933</v>
      </c>
      <c r="B4034" t="s">
        <v>685</v>
      </c>
      <c r="C4034" s="1">
        <v>45592</v>
      </c>
      <c r="D4034" s="1" t="str">
        <f>PROPER(orders[[#This Row],[order_priority]])</f>
        <v>Express</v>
      </c>
      <c r="E4034" t="s">
        <v>13320</v>
      </c>
      <c r="F4034" t="str">
        <f>IFERROR(INDEX(customers[country], MATCH(orders[[#This Row],[customer_id]], customers[customer_id], 0)), "Unmapped")</f>
        <v>Latvia</v>
      </c>
      <c r="G4034" t="str">
        <f>IFERROR(INDEX(Region_Map[Region], MATCH(orders[[#This Row],[Customer_Country]], Region_Map[Country], 0)), "Unknown")</f>
        <v>Baltics</v>
      </c>
      <c r="H4034" t="s">
        <v>6949</v>
      </c>
    </row>
    <row r="4035" spans="1:8">
      <c r="A4035" t="s">
        <v>4934</v>
      </c>
      <c r="B4035" t="s">
        <v>658</v>
      </c>
      <c r="C4035" s="1">
        <v>45262</v>
      </c>
      <c r="D4035" s="1" t="str">
        <f>PROPER(orders[[#This Row],[order_priority]])</f>
        <v>Economy</v>
      </c>
      <c r="E4035" t="s">
        <v>13328</v>
      </c>
      <c r="F4035" t="str">
        <f>IFERROR(INDEX(customers[country], MATCH(orders[[#This Row],[customer_id]], customers[customer_id], 0)), "Unmapped")</f>
        <v>Latvia</v>
      </c>
      <c r="G4035" t="str">
        <f>IFERROR(INDEX(Region_Map[Region], MATCH(orders[[#This Row],[Customer_Country]], Region_Map[Country], 0)), "Unknown")</f>
        <v>Baltics</v>
      </c>
      <c r="H4035" t="s">
        <v>6949</v>
      </c>
    </row>
    <row r="4036" spans="1:8">
      <c r="A4036" t="s">
        <v>4935</v>
      </c>
      <c r="B4036" t="s">
        <v>389</v>
      </c>
      <c r="C4036" s="1">
        <v>44983</v>
      </c>
      <c r="D4036" s="1" t="str">
        <f>PROPER(orders[[#This Row],[order_priority]])</f>
        <v>Economy</v>
      </c>
      <c r="E4036" t="s">
        <v>13316</v>
      </c>
      <c r="F4036" t="str">
        <f>IFERROR(INDEX(customers[country], MATCH(orders[[#This Row],[customer_id]], customers[customer_id], 0)), "Unmapped")</f>
        <v>Poland</v>
      </c>
      <c r="G4036" t="str">
        <f>IFERROR(INDEX(Region_Map[Region], MATCH(orders[[#This Row],[Customer_Country]], Region_Map[Country], 0)), "Unknown")</f>
        <v>Central Europe</v>
      </c>
      <c r="H4036" t="s">
        <v>6949</v>
      </c>
    </row>
    <row r="4037" spans="1:8">
      <c r="A4037" t="s">
        <v>4936</v>
      </c>
      <c r="B4037" t="s">
        <v>596</v>
      </c>
      <c r="C4037" s="1">
        <v>45431</v>
      </c>
      <c r="D4037" s="1" t="str">
        <f>PROPER(orders[[#This Row],[order_priority]])</f>
        <v>Express</v>
      </c>
      <c r="E4037" t="s">
        <v>13318</v>
      </c>
      <c r="F4037" t="str">
        <f>IFERROR(INDEX(customers[country], MATCH(orders[[#This Row],[customer_id]], customers[customer_id], 0)), "Unmapped")</f>
        <v>Lithuania</v>
      </c>
      <c r="G4037" t="str">
        <f>IFERROR(INDEX(Region_Map[Region], MATCH(orders[[#This Row],[Customer_Country]], Region_Map[Country], 0)), "Unknown")</f>
        <v>Baltics</v>
      </c>
      <c r="H4037" t="s">
        <v>6949</v>
      </c>
    </row>
    <row r="4038" spans="1:8">
      <c r="A4038" t="s">
        <v>4937</v>
      </c>
      <c r="B4038" t="s">
        <v>61</v>
      </c>
      <c r="C4038" s="1">
        <v>45289</v>
      </c>
      <c r="D4038" s="1" t="str">
        <f>PROPER(orders[[#This Row],[order_priority]])</f>
        <v>Economy</v>
      </c>
      <c r="E4038" t="s">
        <v>13316</v>
      </c>
      <c r="F4038" t="str">
        <f>IFERROR(INDEX(customers[country], MATCH(orders[[#This Row],[customer_id]], customers[customer_id], 0)), "Unmapped")</f>
        <v>Netherlands</v>
      </c>
      <c r="G4038" t="str">
        <f>IFERROR(INDEX(Region_Map[Region], MATCH(orders[[#This Row],[Customer_Country]], Region_Map[Country], 0)), "Unknown")</f>
        <v>Central Europe</v>
      </c>
      <c r="H4038" t="s">
        <v>6949</v>
      </c>
    </row>
    <row r="4039" spans="1:8">
      <c r="A4039" t="s">
        <v>4938</v>
      </c>
      <c r="B4039" t="s">
        <v>70</v>
      </c>
      <c r="C4039" s="1">
        <v>45351</v>
      </c>
      <c r="D4039" s="1" t="str">
        <f>PROPER(orders[[#This Row],[order_priority]])</f>
        <v>Economy</v>
      </c>
      <c r="E4039" t="s">
        <v>13316</v>
      </c>
      <c r="F4039" t="str">
        <f>IFERROR(INDEX(customers[country], MATCH(orders[[#This Row],[customer_id]], customers[customer_id], 0)), "Unmapped")</f>
        <v>Estonia</v>
      </c>
      <c r="G4039" t="str">
        <f>IFERROR(INDEX(Region_Map[Region], MATCH(orders[[#This Row],[Customer_Country]], Region_Map[Country], 0)), "Unknown")</f>
        <v>Baltics</v>
      </c>
      <c r="H4039" t="s">
        <v>6949</v>
      </c>
    </row>
    <row r="4040" spans="1:8">
      <c r="A4040" t="s">
        <v>4939</v>
      </c>
      <c r="B4040" t="s">
        <v>148</v>
      </c>
      <c r="C4040" s="1">
        <v>45556</v>
      </c>
      <c r="D4040" s="1" t="str">
        <f>PROPER(orders[[#This Row],[order_priority]])</f>
        <v>Standard</v>
      </c>
      <c r="E4040" t="s">
        <v>13317</v>
      </c>
      <c r="F4040" t="str">
        <f>IFERROR(INDEX(customers[country], MATCH(orders[[#This Row],[customer_id]], customers[customer_id], 0)), "Unmapped")</f>
        <v>Poland</v>
      </c>
      <c r="G4040" t="str">
        <f>IFERROR(INDEX(Region_Map[Region], MATCH(orders[[#This Row],[Customer_Country]], Region_Map[Country], 0)), "Unknown")</f>
        <v>Central Europe</v>
      </c>
      <c r="H4040" t="s">
        <v>6949</v>
      </c>
    </row>
    <row r="4041" spans="1:8">
      <c r="A4041" t="s">
        <v>4940</v>
      </c>
      <c r="B4041" t="s">
        <v>703</v>
      </c>
      <c r="C4041" s="1">
        <v>45443</v>
      </c>
      <c r="D4041" s="1" t="str">
        <f>PROPER(orders[[#This Row],[order_priority]])</f>
        <v>Express</v>
      </c>
      <c r="E4041" t="s">
        <v>13318</v>
      </c>
      <c r="F4041" t="str">
        <f>IFERROR(INDEX(customers[country], MATCH(orders[[#This Row],[customer_id]], customers[customer_id], 0)), "Unmapped")</f>
        <v>Estonia</v>
      </c>
      <c r="G4041" t="str">
        <f>IFERROR(INDEX(Region_Map[Region], MATCH(orders[[#This Row],[Customer_Country]], Region_Map[Country], 0)), "Unknown")</f>
        <v>Baltics</v>
      </c>
      <c r="H4041" t="s">
        <v>6949</v>
      </c>
    </row>
    <row r="4042" spans="1:8">
      <c r="A4042" t="s">
        <v>4941</v>
      </c>
      <c r="B4042" t="s">
        <v>840</v>
      </c>
      <c r="C4042" s="1">
        <v>45167</v>
      </c>
      <c r="D4042" s="1" t="str">
        <f>PROPER(orders[[#This Row],[order_priority]])</f>
        <v>Standard</v>
      </c>
      <c r="E4042" t="s">
        <v>13317</v>
      </c>
      <c r="F4042" t="str">
        <f>IFERROR(INDEX(customers[country], MATCH(orders[[#This Row],[customer_id]], customers[customer_id], 0)), "Unmapped")</f>
        <v>Finland</v>
      </c>
      <c r="G4042" t="str">
        <f>IFERROR(INDEX(Region_Map[Region], MATCH(orders[[#This Row],[Customer_Country]], Region_Map[Country], 0)), "Unknown")</f>
        <v>Nordics</v>
      </c>
      <c r="H4042" t="s">
        <v>6949</v>
      </c>
    </row>
    <row r="4043" spans="1:8">
      <c r="A4043" t="s">
        <v>4942</v>
      </c>
      <c r="B4043" t="s">
        <v>410</v>
      </c>
      <c r="C4043" s="1">
        <v>44997</v>
      </c>
      <c r="D4043" s="1" t="str">
        <f>PROPER(orders[[#This Row],[order_priority]])</f>
        <v>Economy</v>
      </c>
      <c r="E4043" t="s">
        <v>13325</v>
      </c>
      <c r="F4043" t="str">
        <f>IFERROR(INDEX(customers[country], MATCH(orders[[#This Row],[customer_id]], customers[customer_id], 0)), "Unmapped")</f>
        <v>Norway</v>
      </c>
      <c r="G4043" t="str">
        <f>IFERROR(INDEX(Region_Map[Region], MATCH(orders[[#This Row],[Customer_Country]], Region_Map[Country], 0)), "Unknown")</f>
        <v>Nordics</v>
      </c>
      <c r="H4043" t="s">
        <v>6949</v>
      </c>
    </row>
    <row r="4044" spans="1:8">
      <c r="A4044" t="s">
        <v>4943</v>
      </c>
      <c r="B4044" t="s">
        <v>270</v>
      </c>
      <c r="C4044" s="1">
        <v>45151</v>
      </c>
      <c r="D4044" s="1" t="str">
        <f>PROPER(orders[[#This Row],[order_priority]])</f>
        <v>Express</v>
      </c>
      <c r="E4044" t="s">
        <v>13318</v>
      </c>
      <c r="F4044" t="str">
        <f>IFERROR(INDEX(customers[country], MATCH(orders[[#This Row],[customer_id]], customers[customer_id], 0)), "Unmapped")</f>
        <v>Poland</v>
      </c>
      <c r="G4044" t="str">
        <f>IFERROR(INDEX(Region_Map[Region], MATCH(orders[[#This Row],[Customer_Country]], Region_Map[Country], 0)), "Unknown")</f>
        <v>Central Europe</v>
      </c>
      <c r="H4044" t="s">
        <v>6949</v>
      </c>
    </row>
    <row r="4045" spans="1:8">
      <c r="A4045" t="s">
        <v>4944</v>
      </c>
      <c r="B4045" t="s">
        <v>515</v>
      </c>
      <c r="C4045" s="1">
        <v>45510</v>
      </c>
      <c r="D4045" s="1" t="str">
        <f>PROPER(orders[[#This Row],[order_priority]])</f>
        <v>Economy</v>
      </c>
      <c r="E4045" t="s">
        <v>13316</v>
      </c>
      <c r="F4045" t="str">
        <f>IFERROR(INDEX(customers[country], MATCH(orders[[#This Row],[customer_id]], customers[customer_id], 0)), "Unmapped")</f>
        <v>Latvia</v>
      </c>
      <c r="G4045" t="str">
        <f>IFERROR(INDEX(Region_Map[Region], MATCH(orders[[#This Row],[Customer_Country]], Region_Map[Country], 0)), "Unknown")</f>
        <v>Baltics</v>
      </c>
      <c r="H4045" t="s">
        <v>6949</v>
      </c>
    </row>
    <row r="4046" spans="1:8">
      <c r="A4046" t="s">
        <v>4945</v>
      </c>
      <c r="B4046" t="s">
        <v>139</v>
      </c>
      <c r="C4046" s="1">
        <v>44988</v>
      </c>
      <c r="D4046" s="1" t="str">
        <f>PROPER(orders[[#This Row],[order_priority]])</f>
        <v>Same Day</v>
      </c>
      <c r="E4046" t="s">
        <v>13324</v>
      </c>
      <c r="F4046" t="str">
        <f>IFERROR(INDEX(customers[country], MATCH(orders[[#This Row],[customer_id]], customers[customer_id], 0)), "Unmapped")</f>
        <v>Netherlands</v>
      </c>
      <c r="G4046" t="str">
        <f>IFERROR(INDEX(Region_Map[Region], MATCH(orders[[#This Row],[Customer_Country]], Region_Map[Country], 0)), "Unknown")</f>
        <v>Central Europe</v>
      </c>
      <c r="H4046" t="s">
        <v>6949</v>
      </c>
    </row>
    <row r="4047" spans="1:8">
      <c r="A4047" t="s">
        <v>4946</v>
      </c>
      <c r="B4047" t="s">
        <v>846</v>
      </c>
      <c r="C4047" s="1">
        <v>45558</v>
      </c>
      <c r="D4047" s="1" t="str">
        <f>PROPER(orders[[#This Row],[order_priority]])</f>
        <v>Standard</v>
      </c>
      <c r="E4047" t="s">
        <v>13317</v>
      </c>
      <c r="F4047" t="str">
        <f>IFERROR(INDEX(customers[country], MATCH(orders[[#This Row],[customer_id]], customers[customer_id], 0)), "Unmapped")</f>
        <v>Netherlands</v>
      </c>
      <c r="G4047" t="str">
        <f>IFERROR(INDEX(Region_Map[Region], MATCH(orders[[#This Row],[Customer_Country]], Region_Map[Country], 0)), "Unknown")</f>
        <v>Central Europe</v>
      </c>
      <c r="H4047" t="s">
        <v>6949</v>
      </c>
    </row>
    <row r="4048" spans="1:8">
      <c r="A4048" t="s">
        <v>4947</v>
      </c>
      <c r="B4048" t="s">
        <v>80</v>
      </c>
      <c r="C4048" s="1">
        <v>44966</v>
      </c>
      <c r="D4048" s="1" t="str">
        <f>PROPER(orders[[#This Row],[order_priority]])</f>
        <v>Express</v>
      </c>
      <c r="E4048" t="s">
        <v>13318</v>
      </c>
      <c r="F4048" t="str">
        <f>IFERROR(INDEX(customers[country], MATCH(orders[[#This Row],[customer_id]], customers[customer_id], 0)), "Unmapped")</f>
        <v>Finland</v>
      </c>
      <c r="G4048" t="str">
        <f>IFERROR(INDEX(Region_Map[Region], MATCH(orders[[#This Row],[Customer_Country]], Region_Map[Country], 0)), "Unknown")</f>
        <v>Nordics</v>
      </c>
      <c r="H4048" t="s">
        <v>6949</v>
      </c>
    </row>
    <row r="4049" spans="1:8">
      <c r="A4049" t="s">
        <v>4948</v>
      </c>
      <c r="B4049" t="s">
        <v>787</v>
      </c>
      <c r="C4049" s="1">
        <v>45193</v>
      </c>
      <c r="D4049" s="1" t="str">
        <f>PROPER(orders[[#This Row],[order_priority]])</f>
        <v>Express</v>
      </c>
      <c r="E4049" t="s">
        <v>13318</v>
      </c>
      <c r="F4049" t="str">
        <f>IFERROR(INDEX(customers[country], MATCH(orders[[#This Row],[customer_id]], customers[customer_id], 0)), "Unmapped")</f>
        <v>Netherlands</v>
      </c>
      <c r="G4049" t="str">
        <f>IFERROR(INDEX(Region_Map[Region], MATCH(orders[[#This Row],[Customer_Country]], Region_Map[Country], 0)), "Unknown")</f>
        <v>Central Europe</v>
      </c>
      <c r="H4049" t="s">
        <v>6949</v>
      </c>
    </row>
    <row r="4050" spans="1:8">
      <c r="A4050" t="s">
        <v>4949</v>
      </c>
      <c r="B4050" t="s">
        <v>735</v>
      </c>
      <c r="C4050" s="1">
        <v>45029</v>
      </c>
      <c r="D4050" s="1" t="str">
        <f>PROPER(orders[[#This Row],[order_priority]])</f>
        <v>Same Day</v>
      </c>
      <c r="E4050" t="s">
        <v>13321</v>
      </c>
      <c r="F4050" t="str">
        <f>IFERROR(INDEX(customers[country], MATCH(orders[[#This Row],[customer_id]], customers[customer_id], 0)), "Unmapped")</f>
        <v>Poland</v>
      </c>
      <c r="G4050" t="str">
        <f>IFERROR(INDEX(Region_Map[Region], MATCH(orders[[#This Row],[Customer_Country]], Region_Map[Country], 0)), "Unknown")</f>
        <v>Central Europe</v>
      </c>
      <c r="H4050" t="s">
        <v>6949</v>
      </c>
    </row>
    <row r="4051" spans="1:8">
      <c r="A4051" t="s">
        <v>4950</v>
      </c>
      <c r="B4051" t="s">
        <v>407</v>
      </c>
      <c r="C4051" s="1">
        <v>45039</v>
      </c>
      <c r="D4051" s="1" t="str">
        <f>PROPER(orders[[#This Row],[order_priority]])</f>
        <v>Standard</v>
      </c>
      <c r="E4051" t="s">
        <v>13317</v>
      </c>
      <c r="F4051" t="str">
        <f>IFERROR(INDEX(customers[country], MATCH(orders[[#This Row],[customer_id]], customers[customer_id], 0)), "Unmapped")</f>
        <v>Poland</v>
      </c>
      <c r="G4051" t="str">
        <f>IFERROR(INDEX(Region_Map[Region], MATCH(orders[[#This Row],[Customer_Country]], Region_Map[Country], 0)), "Unknown")</f>
        <v>Central Europe</v>
      </c>
      <c r="H4051" t="s">
        <v>6949</v>
      </c>
    </row>
    <row r="4052" spans="1:8">
      <c r="A4052" t="s">
        <v>4951</v>
      </c>
      <c r="B4052" t="s">
        <v>602</v>
      </c>
      <c r="C4052" s="1">
        <v>44944</v>
      </c>
      <c r="D4052" s="1" t="str">
        <f>PROPER(orders[[#This Row],[order_priority]])</f>
        <v>Same Day</v>
      </c>
      <c r="E4052" t="s">
        <v>13322</v>
      </c>
      <c r="F4052" t="str">
        <f>IFERROR(INDEX(customers[country], MATCH(orders[[#This Row],[customer_id]], customers[customer_id], 0)), "Unmapped")</f>
        <v>Poland</v>
      </c>
      <c r="G4052" t="str">
        <f>IFERROR(INDEX(Region_Map[Region], MATCH(orders[[#This Row],[Customer_Country]], Region_Map[Country], 0)), "Unknown")</f>
        <v>Central Europe</v>
      </c>
      <c r="H4052" t="s">
        <v>6949</v>
      </c>
    </row>
    <row r="4053" spans="1:8">
      <c r="A4053" t="s">
        <v>4952</v>
      </c>
      <c r="B4053" t="s">
        <v>811</v>
      </c>
      <c r="C4053" s="1">
        <v>45232</v>
      </c>
      <c r="D4053" s="1" t="str">
        <f>PROPER(orders[[#This Row],[order_priority]])</f>
        <v>Economy</v>
      </c>
      <c r="E4053" t="s">
        <v>13316</v>
      </c>
      <c r="F4053" t="str">
        <f>IFERROR(INDEX(customers[country], MATCH(orders[[#This Row],[customer_id]], customers[customer_id], 0)), "Unmapped")</f>
        <v>Finland</v>
      </c>
      <c r="G4053" t="str">
        <f>IFERROR(INDEX(Region_Map[Region], MATCH(orders[[#This Row],[Customer_Country]], Region_Map[Country], 0)), "Unknown")</f>
        <v>Nordics</v>
      </c>
      <c r="H4053" t="s">
        <v>6949</v>
      </c>
    </row>
    <row r="4054" spans="1:8">
      <c r="A4054" t="s">
        <v>4953</v>
      </c>
      <c r="B4054" t="s">
        <v>407</v>
      </c>
      <c r="C4054" s="1">
        <v>44976</v>
      </c>
      <c r="D4054" s="1" t="str">
        <f>PROPER(orders[[#This Row],[order_priority]])</f>
        <v>Same Day</v>
      </c>
      <c r="E4054" t="s">
        <v>13321</v>
      </c>
      <c r="F4054" t="str">
        <f>IFERROR(INDEX(customers[country], MATCH(orders[[#This Row],[customer_id]], customers[customer_id], 0)), "Unmapped")</f>
        <v>Poland</v>
      </c>
      <c r="G4054" t="str">
        <f>IFERROR(INDEX(Region_Map[Region], MATCH(orders[[#This Row],[Customer_Country]], Region_Map[Country], 0)), "Unknown")</f>
        <v>Central Europe</v>
      </c>
      <c r="H4054" t="s">
        <v>6949</v>
      </c>
    </row>
    <row r="4055" spans="1:8">
      <c r="A4055" t="s">
        <v>4954</v>
      </c>
      <c r="B4055" t="s">
        <v>48</v>
      </c>
      <c r="C4055" s="1">
        <v>45114</v>
      </c>
      <c r="D4055" s="1" t="str">
        <f>PROPER(orders[[#This Row],[order_priority]])</f>
        <v>Economy</v>
      </c>
      <c r="E4055" t="s">
        <v>13316</v>
      </c>
      <c r="F4055" t="str">
        <f>IFERROR(INDEX(customers[country], MATCH(orders[[#This Row],[customer_id]], customers[customer_id], 0)), "Unmapped")</f>
        <v>Poland</v>
      </c>
      <c r="G4055" t="str">
        <f>IFERROR(INDEX(Region_Map[Region], MATCH(orders[[#This Row],[Customer_Country]], Region_Map[Country], 0)), "Unknown")</f>
        <v>Central Europe</v>
      </c>
      <c r="H4055" t="s">
        <v>6949</v>
      </c>
    </row>
    <row r="4056" spans="1:8">
      <c r="A4056" t="s">
        <v>4955</v>
      </c>
      <c r="B4056" t="s">
        <v>796</v>
      </c>
      <c r="C4056" s="1">
        <v>45153</v>
      </c>
      <c r="D4056" s="1" t="str">
        <f>PROPER(orders[[#This Row],[order_priority]])</f>
        <v>Same Day</v>
      </c>
      <c r="E4056" t="s">
        <v>13322</v>
      </c>
      <c r="F4056" t="str">
        <f>IFERROR(INDEX(customers[country], MATCH(orders[[#This Row],[customer_id]], customers[customer_id], 0)), "Unmapped")</f>
        <v>Sweden</v>
      </c>
      <c r="G4056" t="str">
        <f>IFERROR(INDEX(Region_Map[Region], MATCH(orders[[#This Row],[Customer_Country]], Region_Map[Country], 0)), "Unknown")</f>
        <v>Nordics</v>
      </c>
      <c r="H4056" t="s">
        <v>6949</v>
      </c>
    </row>
    <row r="4057" spans="1:8">
      <c r="A4057" t="s">
        <v>4956</v>
      </c>
      <c r="B4057" t="s">
        <v>102</v>
      </c>
      <c r="C4057" s="1">
        <v>45294</v>
      </c>
      <c r="D4057" s="1" t="str">
        <f>PROPER(orders[[#This Row],[order_priority]])</f>
        <v>Same Day</v>
      </c>
      <c r="E4057" t="s">
        <v>13322</v>
      </c>
      <c r="F4057" t="str">
        <f>IFERROR(INDEX(customers[country], MATCH(orders[[#This Row],[customer_id]], customers[customer_id], 0)), "Unmapped")</f>
        <v>Denmark</v>
      </c>
      <c r="G4057" t="str">
        <f>IFERROR(INDEX(Region_Map[Region], MATCH(orders[[#This Row],[Customer_Country]], Region_Map[Country], 0)), "Unknown")</f>
        <v>Nordics</v>
      </c>
      <c r="H4057" t="s">
        <v>6949</v>
      </c>
    </row>
    <row r="4058" spans="1:8">
      <c r="A4058" t="s">
        <v>4957</v>
      </c>
      <c r="B4058" t="s">
        <v>303</v>
      </c>
      <c r="C4058" s="1">
        <v>45310</v>
      </c>
      <c r="D4058" s="1" t="str">
        <f>PROPER(orders[[#This Row],[order_priority]])</f>
        <v>Express</v>
      </c>
      <c r="E4058" t="s">
        <v>13318</v>
      </c>
      <c r="F4058" t="str">
        <f>IFERROR(INDEX(customers[country], MATCH(orders[[#This Row],[customer_id]], customers[customer_id], 0)), "Unmapped")</f>
        <v>Netherlands</v>
      </c>
      <c r="G4058" t="str">
        <f>IFERROR(INDEX(Region_Map[Region], MATCH(orders[[#This Row],[Customer_Country]], Region_Map[Country], 0)), "Unknown")</f>
        <v>Central Europe</v>
      </c>
      <c r="H4058" t="s">
        <v>6949</v>
      </c>
    </row>
    <row r="4059" spans="1:8">
      <c r="A4059" t="s">
        <v>4958</v>
      </c>
      <c r="B4059" t="s">
        <v>670</v>
      </c>
      <c r="C4059" s="1">
        <v>45517</v>
      </c>
      <c r="D4059" s="1" t="str">
        <f>PROPER(orders[[#This Row],[order_priority]])</f>
        <v>Standard</v>
      </c>
      <c r="E4059" t="s">
        <v>13317</v>
      </c>
      <c r="F4059" t="str">
        <f>IFERROR(INDEX(customers[country], MATCH(orders[[#This Row],[customer_id]], customers[customer_id], 0)), "Unmapped")</f>
        <v>Netherlands</v>
      </c>
      <c r="G4059" t="str">
        <f>IFERROR(INDEX(Region_Map[Region], MATCH(orders[[#This Row],[Customer_Country]], Region_Map[Country], 0)), "Unknown")</f>
        <v>Central Europe</v>
      </c>
      <c r="H4059" t="s">
        <v>6949</v>
      </c>
    </row>
    <row r="4060" spans="1:8">
      <c r="A4060" t="s">
        <v>4959</v>
      </c>
      <c r="B4060" t="s">
        <v>404</v>
      </c>
      <c r="C4060" s="1">
        <v>44992</v>
      </c>
      <c r="D4060" s="1" t="str">
        <f>PROPER(orders[[#This Row],[order_priority]])</f>
        <v>Express</v>
      </c>
      <c r="E4060" t="s">
        <v>13318</v>
      </c>
      <c r="F4060" t="str">
        <f>IFERROR(INDEX(customers[country], MATCH(orders[[#This Row],[customer_id]], customers[customer_id], 0)), "Unmapped")</f>
        <v>Latvia</v>
      </c>
      <c r="G4060" t="str">
        <f>IFERROR(INDEX(Region_Map[Region], MATCH(orders[[#This Row],[Customer_Country]], Region_Map[Country], 0)), "Unknown")</f>
        <v>Baltics</v>
      </c>
      <c r="H4060" t="s">
        <v>6949</v>
      </c>
    </row>
    <row r="4061" spans="1:8">
      <c r="A4061" t="s">
        <v>4960</v>
      </c>
      <c r="B4061" t="s">
        <v>533</v>
      </c>
      <c r="C4061" s="1">
        <v>44984</v>
      </c>
      <c r="D4061" s="1" t="str">
        <f>PROPER(orders[[#This Row],[order_priority]])</f>
        <v>Standard</v>
      </c>
      <c r="E4061" t="s">
        <v>13317</v>
      </c>
      <c r="F4061" t="str">
        <f>IFERROR(INDEX(customers[country], MATCH(orders[[#This Row],[customer_id]], customers[customer_id], 0)), "Unmapped")</f>
        <v>Germany</v>
      </c>
      <c r="G4061" t="str">
        <f>IFERROR(INDEX(Region_Map[Region], MATCH(orders[[#This Row],[Customer_Country]], Region_Map[Country], 0)), "Unknown")</f>
        <v>Central Europe</v>
      </c>
      <c r="H4061" t="s">
        <v>6949</v>
      </c>
    </row>
    <row r="4062" spans="1:8">
      <c r="A4062" t="s">
        <v>4961</v>
      </c>
      <c r="B4062" t="s">
        <v>87</v>
      </c>
      <c r="C4062" s="1">
        <v>45217</v>
      </c>
      <c r="D4062" s="1" t="str">
        <f>PROPER(orders[[#This Row],[order_priority]])</f>
        <v>Standard</v>
      </c>
      <c r="E4062" t="s">
        <v>13323</v>
      </c>
      <c r="F4062" t="str">
        <f>IFERROR(INDEX(customers[country], MATCH(orders[[#This Row],[customer_id]], customers[customer_id], 0)), "Unmapped")</f>
        <v>Latvia</v>
      </c>
      <c r="G4062" t="str">
        <f>IFERROR(INDEX(Region_Map[Region], MATCH(orders[[#This Row],[Customer_Country]], Region_Map[Country], 0)), "Unknown")</f>
        <v>Baltics</v>
      </c>
      <c r="H4062" t="s">
        <v>6949</v>
      </c>
    </row>
    <row r="4063" spans="1:8">
      <c r="A4063" t="s">
        <v>4962</v>
      </c>
      <c r="B4063" t="s">
        <v>207</v>
      </c>
      <c r="C4063" s="1">
        <v>44962</v>
      </c>
      <c r="D4063" s="1" t="str">
        <f>PROPER(orders[[#This Row],[order_priority]])</f>
        <v>Economy</v>
      </c>
      <c r="E4063" t="s">
        <v>13316</v>
      </c>
      <c r="F4063" t="str">
        <f>IFERROR(INDEX(customers[country], MATCH(orders[[#This Row],[customer_id]], customers[customer_id], 0)), "Unmapped")</f>
        <v>Poland</v>
      </c>
      <c r="G4063" t="str">
        <f>IFERROR(INDEX(Region_Map[Region], MATCH(orders[[#This Row],[Customer_Country]], Region_Map[Country], 0)), "Unknown")</f>
        <v>Central Europe</v>
      </c>
      <c r="H4063" t="s">
        <v>6949</v>
      </c>
    </row>
    <row r="4064" spans="1:8">
      <c r="A4064" t="s">
        <v>4963</v>
      </c>
      <c r="B4064" t="s">
        <v>554</v>
      </c>
      <c r="C4064" s="1">
        <v>45372</v>
      </c>
      <c r="D4064" s="1" t="str">
        <f>PROPER(orders[[#This Row],[order_priority]])</f>
        <v>Economy</v>
      </c>
      <c r="E4064" t="s">
        <v>13316</v>
      </c>
      <c r="F4064" t="str">
        <f>IFERROR(INDEX(customers[country], MATCH(orders[[#This Row],[customer_id]], customers[customer_id], 0)), "Unmapped")</f>
        <v>Germany</v>
      </c>
      <c r="G4064" t="str">
        <f>IFERROR(INDEX(Region_Map[Region], MATCH(orders[[#This Row],[Customer_Country]], Region_Map[Country], 0)), "Unknown")</f>
        <v>Central Europe</v>
      </c>
      <c r="H4064" t="s">
        <v>6949</v>
      </c>
    </row>
    <row r="4065" spans="1:8">
      <c r="A4065" t="s">
        <v>4964</v>
      </c>
      <c r="B4065" t="s">
        <v>688</v>
      </c>
      <c r="C4065" s="1">
        <v>44947</v>
      </c>
      <c r="D4065" s="1" t="str">
        <f>PROPER(orders[[#This Row],[order_priority]])</f>
        <v>Same Day</v>
      </c>
      <c r="E4065" t="s">
        <v>13322</v>
      </c>
      <c r="F4065" t="str">
        <f>IFERROR(INDEX(customers[country], MATCH(orders[[#This Row],[customer_id]], customers[customer_id], 0)), "Unmapped")</f>
        <v>Norway</v>
      </c>
      <c r="G4065" t="str">
        <f>IFERROR(INDEX(Region_Map[Region], MATCH(orders[[#This Row],[Customer_Country]], Region_Map[Country], 0)), "Unknown")</f>
        <v>Nordics</v>
      </c>
      <c r="H4065" t="s">
        <v>6949</v>
      </c>
    </row>
    <row r="4066" spans="1:8">
      <c r="A4066" t="s">
        <v>4965</v>
      </c>
      <c r="B4066" t="s">
        <v>590</v>
      </c>
      <c r="C4066" s="1">
        <v>45022</v>
      </c>
      <c r="D4066" s="1" t="str">
        <f>PROPER(orders[[#This Row],[order_priority]])</f>
        <v>Standard</v>
      </c>
      <c r="E4066" t="s">
        <v>13317</v>
      </c>
      <c r="F4066" t="str">
        <f>IFERROR(INDEX(customers[country], MATCH(orders[[#This Row],[customer_id]], customers[customer_id], 0)), "Unmapped")</f>
        <v>Finland</v>
      </c>
      <c r="G4066" t="str">
        <f>IFERROR(INDEX(Region_Map[Region], MATCH(orders[[#This Row],[Customer_Country]], Region_Map[Country], 0)), "Unknown")</f>
        <v>Nordics</v>
      </c>
      <c r="H4066" t="s">
        <v>6949</v>
      </c>
    </row>
    <row r="4067" spans="1:8">
      <c r="A4067" t="s">
        <v>4966</v>
      </c>
      <c r="B4067" t="s">
        <v>19</v>
      </c>
      <c r="C4067" s="1">
        <v>45442</v>
      </c>
      <c r="D4067" s="1" t="str">
        <f>PROPER(orders[[#This Row],[order_priority]])</f>
        <v>Same Day</v>
      </c>
      <c r="E4067" t="s">
        <v>13322</v>
      </c>
      <c r="F4067" t="str">
        <f>IFERROR(INDEX(customers[country], MATCH(orders[[#This Row],[customer_id]], customers[customer_id], 0)), "Unmapped")</f>
        <v>Poland</v>
      </c>
      <c r="G4067" t="str">
        <f>IFERROR(INDEX(Region_Map[Region], MATCH(orders[[#This Row],[Customer_Country]], Region_Map[Country], 0)), "Unknown")</f>
        <v>Central Europe</v>
      </c>
      <c r="H4067" t="s">
        <v>6949</v>
      </c>
    </row>
    <row r="4068" spans="1:8">
      <c r="A4068" t="s">
        <v>4967</v>
      </c>
      <c r="B4068" t="s">
        <v>13335</v>
      </c>
      <c r="C4068" s="1">
        <v>45290</v>
      </c>
      <c r="D4068" s="1" t="str">
        <f>PROPER(orders[[#This Row],[order_priority]])</f>
        <v>Same Day</v>
      </c>
      <c r="E4068" t="s">
        <v>13322</v>
      </c>
      <c r="F4068" t="str">
        <f>IFERROR(INDEX(customers[country], MATCH(orders[[#This Row],[customer_id]], customers[customer_id], 0)), "Unmapped")</f>
        <v>Unmapped</v>
      </c>
      <c r="G4068" t="str">
        <f>IFERROR(INDEX(Region_Map[Region], MATCH(orders[[#This Row],[Customer_Country]], Region_Map[Country], 0)), "Unknown")</f>
        <v>Unknown</v>
      </c>
      <c r="H4068" t="s">
        <v>6949</v>
      </c>
    </row>
    <row r="4069" spans="1:8">
      <c r="A4069" t="s">
        <v>4968</v>
      </c>
      <c r="B4069" t="s">
        <v>494</v>
      </c>
      <c r="C4069" s="1">
        <v>44939</v>
      </c>
      <c r="D4069" s="1" t="str">
        <f>PROPER(orders[[#This Row],[order_priority]])</f>
        <v>Standard</v>
      </c>
      <c r="E4069" t="s">
        <v>13317</v>
      </c>
      <c r="F4069" t="str">
        <f>IFERROR(INDEX(customers[country], MATCH(orders[[#This Row],[customer_id]], customers[customer_id], 0)), "Unmapped")</f>
        <v>Sweden</v>
      </c>
      <c r="G4069" t="str">
        <f>IFERROR(INDEX(Region_Map[Region], MATCH(orders[[#This Row],[Customer_Country]], Region_Map[Country], 0)), "Unknown")</f>
        <v>Nordics</v>
      </c>
      <c r="H4069" t="s">
        <v>6949</v>
      </c>
    </row>
    <row r="4070" spans="1:8">
      <c r="A4070" t="s">
        <v>4969</v>
      </c>
      <c r="B4070" t="s">
        <v>712</v>
      </c>
      <c r="C4070" s="1">
        <v>45247</v>
      </c>
      <c r="D4070" s="1" t="str">
        <f>PROPER(orders[[#This Row],[order_priority]])</f>
        <v>Express</v>
      </c>
      <c r="E4070" t="s">
        <v>13318</v>
      </c>
      <c r="F4070" t="str">
        <f>IFERROR(INDEX(customers[country], MATCH(orders[[#This Row],[customer_id]], customers[customer_id], 0)), "Unmapped")</f>
        <v>Finland</v>
      </c>
      <c r="G4070" t="str">
        <f>IFERROR(INDEX(Region_Map[Region], MATCH(orders[[#This Row],[Customer_Country]], Region_Map[Country], 0)), "Unknown")</f>
        <v>Nordics</v>
      </c>
      <c r="H4070" t="s">
        <v>6949</v>
      </c>
    </row>
    <row r="4071" spans="1:8">
      <c r="A4071" t="s">
        <v>4970</v>
      </c>
      <c r="B4071" t="s">
        <v>793</v>
      </c>
      <c r="C4071" s="1">
        <v>45247</v>
      </c>
      <c r="D4071" s="1" t="str">
        <f>PROPER(orders[[#This Row],[order_priority]])</f>
        <v>Economy</v>
      </c>
      <c r="E4071" t="s">
        <v>13316</v>
      </c>
      <c r="F4071" t="str">
        <f>IFERROR(INDEX(customers[country], MATCH(orders[[#This Row],[customer_id]], customers[customer_id], 0)), "Unmapped")</f>
        <v>Sweden</v>
      </c>
      <c r="G4071" t="str">
        <f>IFERROR(INDEX(Region_Map[Region], MATCH(orders[[#This Row],[Customer_Country]], Region_Map[Country], 0)), "Unknown")</f>
        <v>Nordics</v>
      </c>
      <c r="H4071" t="s">
        <v>6949</v>
      </c>
    </row>
    <row r="4072" spans="1:8">
      <c r="A4072" t="s">
        <v>4971</v>
      </c>
      <c r="B4072" t="s">
        <v>172</v>
      </c>
      <c r="C4072" s="1">
        <v>45097</v>
      </c>
      <c r="D4072" s="1" t="str">
        <f>PROPER(orders[[#This Row],[order_priority]])</f>
        <v>Express</v>
      </c>
      <c r="E4072" t="s">
        <v>13326</v>
      </c>
      <c r="F4072" t="str">
        <f>IFERROR(INDEX(customers[country], MATCH(orders[[#This Row],[customer_id]], customers[customer_id], 0)), "Unmapped")</f>
        <v>Denmark</v>
      </c>
      <c r="G4072" t="str">
        <f>IFERROR(INDEX(Region_Map[Region], MATCH(orders[[#This Row],[Customer_Country]], Region_Map[Country], 0)), "Unknown")</f>
        <v>Nordics</v>
      </c>
      <c r="H4072" t="s">
        <v>6949</v>
      </c>
    </row>
    <row r="4073" spans="1:8">
      <c r="A4073" t="s">
        <v>4972</v>
      </c>
      <c r="B4073" t="s">
        <v>752</v>
      </c>
      <c r="C4073" s="1">
        <v>45261</v>
      </c>
      <c r="D4073" s="1" t="str">
        <f>PROPER(orders[[#This Row],[order_priority]])</f>
        <v>Same Day</v>
      </c>
      <c r="E4073" t="s">
        <v>13322</v>
      </c>
      <c r="F4073" t="str">
        <f>IFERROR(INDEX(customers[country], MATCH(orders[[#This Row],[customer_id]], customers[customer_id], 0)), "Unmapped")</f>
        <v>Estonia</v>
      </c>
      <c r="G4073" t="str">
        <f>IFERROR(INDEX(Region_Map[Region], MATCH(orders[[#This Row],[Customer_Country]], Region_Map[Country], 0)), "Unknown")</f>
        <v>Baltics</v>
      </c>
      <c r="H4073" t="s">
        <v>6949</v>
      </c>
    </row>
    <row r="4074" spans="1:8">
      <c r="A4074" t="s">
        <v>4973</v>
      </c>
      <c r="B4074" t="s">
        <v>181</v>
      </c>
      <c r="C4074" s="1">
        <v>45493</v>
      </c>
      <c r="D4074" s="1" t="str">
        <f>PROPER(orders[[#This Row],[order_priority]])</f>
        <v>Same Day</v>
      </c>
      <c r="E4074" t="s">
        <v>13322</v>
      </c>
      <c r="F4074" t="str">
        <f>IFERROR(INDEX(customers[country], MATCH(orders[[#This Row],[customer_id]], customers[customer_id], 0)), "Unmapped")</f>
        <v>Netherlands</v>
      </c>
      <c r="G4074" t="str">
        <f>IFERROR(INDEX(Region_Map[Region], MATCH(orders[[#This Row],[Customer_Country]], Region_Map[Country], 0)), "Unknown")</f>
        <v>Central Europe</v>
      </c>
      <c r="H4074" t="s">
        <v>6949</v>
      </c>
    </row>
    <row r="4075" spans="1:8">
      <c r="A4075" t="s">
        <v>4974</v>
      </c>
      <c r="B4075" t="s">
        <v>876</v>
      </c>
      <c r="C4075" s="1">
        <v>45373</v>
      </c>
      <c r="D4075" s="1" t="str">
        <f>PROPER(orders[[#This Row],[order_priority]])</f>
        <v>Economy</v>
      </c>
      <c r="E4075" t="s">
        <v>13316</v>
      </c>
      <c r="F4075" t="str">
        <f>IFERROR(INDEX(customers[country], MATCH(orders[[#This Row],[customer_id]], customers[customer_id], 0)), "Unmapped")</f>
        <v>Estonia</v>
      </c>
      <c r="G4075" t="str">
        <f>IFERROR(INDEX(Region_Map[Region], MATCH(orders[[#This Row],[Customer_Country]], Region_Map[Country], 0)), "Unknown")</f>
        <v>Baltics</v>
      </c>
      <c r="H4075" t="s">
        <v>6949</v>
      </c>
    </row>
    <row r="4076" spans="1:8">
      <c r="A4076" t="s">
        <v>4975</v>
      </c>
      <c r="B4076" t="s">
        <v>858</v>
      </c>
      <c r="C4076" s="1">
        <v>45599</v>
      </c>
      <c r="D4076" s="1" t="str">
        <f>PROPER(orders[[#This Row],[order_priority]])</f>
        <v>Standard</v>
      </c>
      <c r="E4076" t="s">
        <v>13317</v>
      </c>
      <c r="F4076" t="str">
        <f>IFERROR(INDEX(customers[country], MATCH(orders[[#This Row],[customer_id]], customers[customer_id], 0)), "Unmapped")</f>
        <v>Lithuania</v>
      </c>
      <c r="G4076" t="str">
        <f>IFERROR(INDEX(Region_Map[Region], MATCH(orders[[#This Row],[Customer_Country]], Region_Map[Country], 0)), "Unknown")</f>
        <v>Baltics</v>
      </c>
      <c r="H4076" t="s">
        <v>6949</v>
      </c>
    </row>
    <row r="4077" spans="1:8">
      <c r="A4077" t="s">
        <v>4976</v>
      </c>
      <c r="B4077" t="s">
        <v>398</v>
      </c>
      <c r="C4077" s="1">
        <v>44939</v>
      </c>
      <c r="D4077" s="1" t="str">
        <f>PROPER(orders[[#This Row],[order_priority]])</f>
        <v>Same Day</v>
      </c>
      <c r="E4077" t="s">
        <v>13322</v>
      </c>
      <c r="F4077" t="str">
        <f>IFERROR(INDEX(customers[country], MATCH(orders[[#This Row],[customer_id]], customers[customer_id], 0)), "Unmapped")</f>
        <v>Sweden</v>
      </c>
      <c r="G4077" t="str">
        <f>IFERROR(INDEX(Region_Map[Region], MATCH(orders[[#This Row],[Customer_Country]], Region_Map[Country], 0)), "Unknown")</f>
        <v>Nordics</v>
      </c>
      <c r="H4077" t="s">
        <v>6949</v>
      </c>
    </row>
    <row r="4078" spans="1:8">
      <c r="A4078" t="s">
        <v>4977</v>
      </c>
      <c r="B4078" t="s">
        <v>288</v>
      </c>
      <c r="C4078" s="1">
        <v>45311</v>
      </c>
      <c r="D4078" s="1" t="str">
        <f>PROPER(orders[[#This Row],[order_priority]])</f>
        <v>Standard</v>
      </c>
      <c r="E4078" t="s">
        <v>13317</v>
      </c>
      <c r="F4078" t="str">
        <f>IFERROR(INDEX(customers[country], MATCH(orders[[#This Row],[customer_id]], customers[customer_id], 0)), "Unmapped")</f>
        <v>Netherlands</v>
      </c>
      <c r="G4078" t="str">
        <f>IFERROR(INDEX(Region_Map[Region], MATCH(orders[[#This Row],[Customer_Country]], Region_Map[Country], 0)), "Unknown")</f>
        <v>Central Europe</v>
      </c>
      <c r="H4078" t="s">
        <v>6949</v>
      </c>
    </row>
    <row r="4079" spans="1:8">
      <c r="A4079" t="s">
        <v>4978</v>
      </c>
      <c r="B4079" t="s">
        <v>882</v>
      </c>
      <c r="C4079" s="1">
        <v>44933</v>
      </c>
      <c r="D4079" s="1" t="str">
        <f>PROPER(orders[[#This Row],[order_priority]])</f>
        <v>Same Day</v>
      </c>
      <c r="E4079" t="s">
        <v>13322</v>
      </c>
      <c r="F4079" t="str">
        <f>IFERROR(INDEX(customers[country], MATCH(orders[[#This Row],[customer_id]], customers[customer_id], 0)), "Unmapped")</f>
        <v>Netherlands</v>
      </c>
      <c r="G4079" t="str">
        <f>IFERROR(INDEX(Region_Map[Region], MATCH(orders[[#This Row],[Customer_Country]], Region_Map[Country], 0)), "Unknown")</f>
        <v>Central Europe</v>
      </c>
      <c r="H4079" t="s">
        <v>6949</v>
      </c>
    </row>
    <row r="4080" spans="1:8">
      <c r="A4080" t="s">
        <v>4979</v>
      </c>
      <c r="B4080" t="s">
        <v>458</v>
      </c>
      <c r="C4080" s="1">
        <v>45120</v>
      </c>
      <c r="D4080" s="1" t="str">
        <f>PROPER(orders[[#This Row],[order_priority]])</f>
        <v>Standard</v>
      </c>
      <c r="E4080" t="s">
        <v>13317</v>
      </c>
      <c r="F4080" t="str">
        <f>IFERROR(INDEX(customers[country], MATCH(orders[[#This Row],[customer_id]], customers[customer_id], 0)), "Unmapped")</f>
        <v>Poland</v>
      </c>
      <c r="G4080" t="str">
        <f>IFERROR(INDEX(Region_Map[Region], MATCH(orders[[#This Row],[Customer_Country]], Region_Map[Country], 0)), "Unknown")</f>
        <v>Central Europe</v>
      </c>
      <c r="H4080" t="s">
        <v>6949</v>
      </c>
    </row>
    <row r="4081" spans="1:8">
      <c r="A4081" t="s">
        <v>4980</v>
      </c>
      <c r="B4081" t="s">
        <v>515</v>
      </c>
      <c r="C4081" s="1">
        <v>45550</v>
      </c>
      <c r="D4081" s="1" t="str">
        <f>PROPER(orders[[#This Row],[order_priority]])</f>
        <v>Economy</v>
      </c>
      <c r="E4081" t="s">
        <v>13316</v>
      </c>
      <c r="F4081" t="str">
        <f>IFERROR(INDEX(customers[country], MATCH(orders[[#This Row],[customer_id]], customers[customer_id], 0)), "Unmapped")</f>
        <v>Latvia</v>
      </c>
      <c r="G4081" t="str">
        <f>IFERROR(INDEX(Region_Map[Region], MATCH(orders[[#This Row],[Customer_Country]], Region_Map[Country], 0)), "Unknown")</f>
        <v>Baltics</v>
      </c>
      <c r="H4081" t="s">
        <v>6949</v>
      </c>
    </row>
    <row r="4082" spans="1:8">
      <c r="A4082" t="s">
        <v>4981</v>
      </c>
      <c r="B4082" t="s">
        <v>96</v>
      </c>
      <c r="C4082" s="1">
        <v>45057</v>
      </c>
      <c r="D4082" s="1" t="str">
        <f>PROPER(orders[[#This Row],[order_priority]])</f>
        <v>Express</v>
      </c>
      <c r="E4082" t="s">
        <v>13318</v>
      </c>
      <c r="F4082" t="str">
        <f>IFERROR(INDEX(customers[country], MATCH(orders[[#This Row],[customer_id]], customers[customer_id], 0)), "Unmapped")</f>
        <v>Sweden</v>
      </c>
      <c r="G4082" t="str">
        <f>IFERROR(INDEX(Region_Map[Region], MATCH(orders[[#This Row],[Customer_Country]], Region_Map[Country], 0)), "Unknown")</f>
        <v>Nordics</v>
      </c>
      <c r="H4082" t="s">
        <v>6949</v>
      </c>
    </row>
    <row r="4083" spans="1:8">
      <c r="A4083" t="s">
        <v>4982</v>
      </c>
      <c r="B4083" t="s">
        <v>542</v>
      </c>
      <c r="C4083" s="1">
        <v>45601</v>
      </c>
      <c r="D4083" s="1" t="str">
        <f>PROPER(orders[[#This Row],[order_priority]])</f>
        <v>Same Day</v>
      </c>
      <c r="E4083" t="s">
        <v>13322</v>
      </c>
      <c r="F4083" t="str">
        <f>IFERROR(INDEX(customers[country], MATCH(orders[[#This Row],[customer_id]], customers[customer_id], 0)), "Unmapped")</f>
        <v>Poland</v>
      </c>
      <c r="G4083" t="str">
        <f>IFERROR(INDEX(Region_Map[Region], MATCH(orders[[#This Row],[Customer_Country]], Region_Map[Country], 0)), "Unknown")</f>
        <v>Central Europe</v>
      </c>
      <c r="H4083" t="s">
        <v>6949</v>
      </c>
    </row>
    <row r="4084" spans="1:8">
      <c r="A4084" t="s">
        <v>4983</v>
      </c>
      <c r="B4084" t="s">
        <v>700</v>
      </c>
      <c r="C4084" s="1">
        <v>45565</v>
      </c>
      <c r="D4084" s="1" t="str">
        <f>PROPER(orders[[#This Row],[order_priority]])</f>
        <v>Same Day</v>
      </c>
      <c r="E4084" t="s">
        <v>13322</v>
      </c>
      <c r="F4084" t="str">
        <f>IFERROR(INDEX(customers[country], MATCH(orders[[#This Row],[customer_id]], customers[customer_id], 0)), "Unmapped")</f>
        <v>Germany</v>
      </c>
      <c r="G4084" t="str">
        <f>IFERROR(INDEX(Region_Map[Region], MATCH(orders[[#This Row],[Customer_Country]], Region_Map[Country], 0)), "Unknown")</f>
        <v>Central Europe</v>
      </c>
      <c r="H4084" t="s">
        <v>6949</v>
      </c>
    </row>
    <row r="4085" spans="1:8">
      <c r="A4085" t="s">
        <v>4984</v>
      </c>
      <c r="B4085" t="s">
        <v>80</v>
      </c>
      <c r="C4085" s="1">
        <v>45306</v>
      </c>
      <c r="D4085" s="1" t="str">
        <f>PROPER(orders[[#This Row],[order_priority]])</f>
        <v>Express</v>
      </c>
      <c r="E4085" t="s">
        <v>13318</v>
      </c>
      <c r="F4085" t="str">
        <f>IFERROR(INDEX(customers[country], MATCH(orders[[#This Row],[customer_id]], customers[customer_id], 0)), "Unmapped")</f>
        <v>Finland</v>
      </c>
      <c r="G4085" t="str">
        <f>IFERROR(INDEX(Region_Map[Region], MATCH(orders[[#This Row],[Customer_Country]], Region_Map[Country], 0)), "Unknown")</f>
        <v>Nordics</v>
      </c>
      <c r="H4085" t="s">
        <v>6949</v>
      </c>
    </row>
    <row r="4086" spans="1:8">
      <c r="A4086" t="s">
        <v>4985</v>
      </c>
      <c r="B4086" t="s">
        <v>575</v>
      </c>
      <c r="C4086" s="1">
        <v>45272</v>
      </c>
      <c r="D4086" s="1" t="str">
        <f>PROPER(orders[[#This Row],[order_priority]])</f>
        <v>Economy</v>
      </c>
      <c r="E4086" t="s">
        <v>13316</v>
      </c>
      <c r="F4086" t="str">
        <f>IFERROR(INDEX(customers[country], MATCH(orders[[#This Row],[customer_id]], customers[customer_id], 0)), "Unmapped")</f>
        <v>Netherlands</v>
      </c>
      <c r="G4086" t="str">
        <f>IFERROR(INDEX(Region_Map[Region], MATCH(orders[[#This Row],[Customer_Country]], Region_Map[Country], 0)), "Unknown")</f>
        <v>Central Europe</v>
      </c>
      <c r="H4086" t="s">
        <v>6949</v>
      </c>
    </row>
    <row r="4087" spans="1:8">
      <c r="A4087" t="s">
        <v>4986</v>
      </c>
      <c r="B4087" t="s">
        <v>879</v>
      </c>
      <c r="C4087" s="1">
        <v>45541</v>
      </c>
      <c r="D4087" s="1" t="str">
        <f>PROPER(orders[[#This Row],[order_priority]])</f>
        <v>Economy</v>
      </c>
      <c r="E4087" t="s">
        <v>13316</v>
      </c>
      <c r="F4087" t="str">
        <f>IFERROR(INDEX(customers[country], MATCH(orders[[#This Row],[customer_id]], customers[customer_id], 0)), "Unmapped")</f>
        <v>Norway</v>
      </c>
      <c r="G4087" t="str">
        <f>IFERROR(INDEX(Region_Map[Region], MATCH(orders[[#This Row],[Customer_Country]], Region_Map[Country], 0)), "Unknown")</f>
        <v>Nordics</v>
      </c>
      <c r="H4087" t="s">
        <v>6949</v>
      </c>
    </row>
    <row r="4088" spans="1:8">
      <c r="A4088" t="s">
        <v>4987</v>
      </c>
      <c r="B4088" t="s">
        <v>793</v>
      </c>
      <c r="C4088" s="1">
        <v>45065</v>
      </c>
      <c r="D4088" s="1" t="str">
        <f>PROPER(orders[[#This Row],[order_priority]])</f>
        <v>Economy</v>
      </c>
      <c r="E4088" t="s">
        <v>13316</v>
      </c>
      <c r="F4088" t="str">
        <f>IFERROR(INDEX(customers[country], MATCH(orders[[#This Row],[customer_id]], customers[customer_id], 0)), "Unmapped")</f>
        <v>Sweden</v>
      </c>
      <c r="G4088" t="str">
        <f>IFERROR(INDEX(Region_Map[Region], MATCH(orders[[#This Row],[Customer_Country]], Region_Map[Country], 0)), "Unknown")</f>
        <v>Nordics</v>
      </c>
      <c r="H4088" t="s">
        <v>6949</v>
      </c>
    </row>
    <row r="4089" spans="1:8">
      <c r="A4089" t="s">
        <v>4988</v>
      </c>
      <c r="B4089" t="s">
        <v>509</v>
      </c>
      <c r="C4089" s="1">
        <v>45289</v>
      </c>
      <c r="D4089" s="1" t="str">
        <f>PROPER(orders[[#This Row],[order_priority]])</f>
        <v>Economy</v>
      </c>
      <c r="E4089" t="s">
        <v>13316</v>
      </c>
      <c r="F4089" t="str">
        <f>IFERROR(INDEX(customers[country], MATCH(orders[[#This Row],[customer_id]], customers[customer_id], 0)), "Unmapped")</f>
        <v>Sweden</v>
      </c>
      <c r="G4089" t="str">
        <f>IFERROR(INDEX(Region_Map[Region], MATCH(orders[[#This Row],[Customer_Country]], Region_Map[Country], 0)), "Unknown")</f>
        <v>Nordics</v>
      </c>
      <c r="H4089" t="s">
        <v>6949</v>
      </c>
    </row>
    <row r="4090" spans="1:8">
      <c r="A4090" t="s">
        <v>4989</v>
      </c>
      <c r="B4090" t="s">
        <v>688</v>
      </c>
      <c r="C4090" s="1">
        <v>45235</v>
      </c>
      <c r="D4090" s="1" t="str">
        <f>PROPER(orders[[#This Row],[order_priority]])</f>
        <v>Same Day</v>
      </c>
      <c r="E4090" t="s">
        <v>13322</v>
      </c>
      <c r="F4090" t="str">
        <f>IFERROR(INDEX(customers[country], MATCH(orders[[#This Row],[customer_id]], customers[customer_id], 0)), "Unmapped")</f>
        <v>Norway</v>
      </c>
      <c r="G4090" t="str">
        <f>IFERROR(INDEX(Region_Map[Region], MATCH(orders[[#This Row],[Customer_Country]], Region_Map[Country], 0)), "Unknown")</f>
        <v>Nordics</v>
      </c>
      <c r="H4090" t="s">
        <v>6949</v>
      </c>
    </row>
    <row r="4091" spans="1:8">
      <c r="A4091" t="s">
        <v>4990</v>
      </c>
      <c r="B4091" t="s">
        <v>743</v>
      </c>
      <c r="C4091" s="1">
        <v>45010</v>
      </c>
      <c r="D4091" s="1" t="str">
        <f>PROPER(orders[[#This Row],[order_priority]])</f>
        <v>Standard</v>
      </c>
      <c r="E4091" t="s">
        <v>13317</v>
      </c>
      <c r="F4091" t="str">
        <f>IFERROR(INDEX(customers[country], MATCH(orders[[#This Row],[customer_id]], customers[customer_id], 0)), "Unmapped")</f>
        <v>Germany</v>
      </c>
      <c r="G4091" t="str">
        <f>IFERROR(INDEX(Region_Map[Region], MATCH(orders[[#This Row],[Customer_Country]], Region_Map[Country], 0)), "Unknown")</f>
        <v>Central Europe</v>
      </c>
      <c r="H4091" t="s">
        <v>6949</v>
      </c>
    </row>
    <row r="4092" spans="1:8">
      <c r="A4092" t="s">
        <v>4991</v>
      </c>
      <c r="B4092" t="s">
        <v>413</v>
      </c>
      <c r="C4092" s="1">
        <v>45121</v>
      </c>
      <c r="D4092" s="1" t="str">
        <f>PROPER(orders[[#This Row],[order_priority]])</f>
        <v>Economy</v>
      </c>
      <c r="E4092" t="s">
        <v>13316</v>
      </c>
      <c r="F4092" t="str">
        <f>IFERROR(INDEX(customers[country], MATCH(orders[[#This Row],[customer_id]], customers[customer_id], 0)), "Unmapped")</f>
        <v>Poland</v>
      </c>
      <c r="G4092" t="str">
        <f>IFERROR(INDEX(Region_Map[Region], MATCH(orders[[#This Row],[Customer_Country]], Region_Map[Country], 0)), "Unknown")</f>
        <v>Central Europe</v>
      </c>
      <c r="H4092" t="s">
        <v>6949</v>
      </c>
    </row>
    <row r="4093" spans="1:8">
      <c r="A4093" t="s">
        <v>4992</v>
      </c>
      <c r="B4093" t="s">
        <v>231</v>
      </c>
      <c r="C4093" s="1">
        <v>45587</v>
      </c>
      <c r="D4093" s="1" t="str">
        <f>PROPER(orders[[#This Row],[order_priority]])</f>
        <v>Standard</v>
      </c>
      <c r="E4093" t="s">
        <v>13317</v>
      </c>
      <c r="F4093" t="str">
        <f>IFERROR(INDEX(customers[country], MATCH(orders[[#This Row],[customer_id]], customers[customer_id], 0)), "Unmapped")</f>
        <v>Lithuania</v>
      </c>
      <c r="G4093" t="str">
        <f>IFERROR(INDEX(Region_Map[Region], MATCH(orders[[#This Row],[Customer_Country]], Region_Map[Country], 0)), "Unknown")</f>
        <v>Baltics</v>
      </c>
      <c r="H4093" t="s">
        <v>6949</v>
      </c>
    </row>
    <row r="4094" spans="1:8">
      <c r="A4094" t="s">
        <v>4993</v>
      </c>
      <c r="B4094" t="s">
        <v>870</v>
      </c>
      <c r="C4094" s="1">
        <v>45203</v>
      </c>
      <c r="D4094" s="1" t="str">
        <f>PROPER(orders[[#This Row],[order_priority]])</f>
        <v>Express</v>
      </c>
      <c r="E4094" t="s">
        <v>13318</v>
      </c>
      <c r="F4094" t="str">
        <f>IFERROR(INDEX(customers[country], MATCH(orders[[#This Row],[customer_id]], customers[customer_id], 0)), "Unmapped")</f>
        <v>Estonia</v>
      </c>
      <c r="G4094" t="str">
        <f>IFERROR(INDEX(Region_Map[Region], MATCH(orders[[#This Row],[Customer_Country]], Region_Map[Country], 0)), "Unknown")</f>
        <v>Baltics</v>
      </c>
      <c r="H4094" t="s">
        <v>6949</v>
      </c>
    </row>
    <row r="4095" spans="1:8">
      <c r="A4095" t="s">
        <v>4994</v>
      </c>
      <c r="B4095" t="s">
        <v>136</v>
      </c>
      <c r="C4095" s="1">
        <v>45019</v>
      </c>
      <c r="D4095" s="1" t="str">
        <f>PROPER(orders[[#This Row],[order_priority]])</f>
        <v>Express</v>
      </c>
      <c r="E4095" t="s">
        <v>13320</v>
      </c>
      <c r="F4095" t="str">
        <f>IFERROR(INDEX(customers[country], MATCH(orders[[#This Row],[customer_id]], customers[customer_id], 0)), "Unmapped")</f>
        <v>Sweden</v>
      </c>
      <c r="G4095" t="str">
        <f>IFERROR(INDEX(Region_Map[Region], MATCH(orders[[#This Row],[Customer_Country]], Region_Map[Country], 0)), "Unknown")</f>
        <v>Nordics</v>
      </c>
      <c r="H4095" t="s">
        <v>6949</v>
      </c>
    </row>
    <row r="4096" spans="1:8">
      <c r="A4096" t="s">
        <v>4995</v>
      </c>
      <c r="B4096" t="s">
        <v>679</v>
      </c>
      <c r="C4096" s="1">
        <v>45379</v>
      </c>
      <c r="D4096" s="1" t="str">
        <f>PROPER(orders[[#This Row],[order_priority]])</f>
        <v>Standard</v>
      </c>
      <c r="E4096" t="s">
        <v>13319</v>
      </c>
      <c r="F4096" t="str">
        <f>IFERROR(INDEX(customers[country], MATCH(orders[[#This Row],[customer_id]], customers[customer_id], 0)), "Unmapped")</f>
        <v>Norway</v>
      </c>
      <c r="G4096" t="str">
        <f>IFERROR(INDEX(Region_Map[Region], MATCH(orders[[#This Row],[Customer_Country]], Region_Map[Country], 0)), "Unknown")</f>
        <v>Nordics</v>
      </c>
      <c r="H4096" t="s">
        <v>6949</v>
      </c>
    </row>
    <row r="4097" spans="1:8">
      <c r="A4097" t="s">
        <v>4996</v>
      </c>
      <c r="B4097" t="s">
        <v>566</v>
      </c>
      <c r="C4097" s="1">
        <v>45196</v>
      </c>
      <c r="D4097" s="1" t="str">
        <f>PROPER(orders[[#This Row],[order_priority]])</f>
        <v>Same Day</v>
      </c>
      <c r="E4097" t="s">
        <v>13321</v>
      </c>
      <c r="F4097" t="str">
        <f>IFERROR(INDEX(customers[country], MATCH(orders[[#This Row],[customer_id]], customers[customer_id], 0)), "Unmapped")</f>
        <v>Denmark</v>
      </c>
      <c r="G4097" t="str">
        <f>IFERROR(INDEX(Region_Map[Region], MATCH(orders[[#This Row],[Customer_Country]], Region_Map[Country], 0)), "Unknown")</f>
        <v>Nordics</v>
      </c>
      <c r="H4097" t="s">
        <v>6949</v>
      </c>
    </row>
    <row r="4098" spans="1:8">
      <c r="A4098" t="s">
        <v>4997</v>
      </c>
      <c r="B4098" t="s">
        <v>638</v>
      </c>
      <c r="C4098" s="1">
        <v>45519</v>
      </c>
      <c r="D4098" s="1" t="str">
        <f>PROPER(orders[[#This Row],[order_priority]])</f>
        <v>Economy</v>
      </c>
      <c r="E4098" t="s">
        <v>13325</v>
      </c>
      <c r="F4098" t="str">
        <f>IFERROR(INDEX(customers[country], MATCH(orders[[#This Row],[customer_id]], customers[customer_id], 0)), "Unmapped")</f>
        <v>Germany</v>
      </c>
      <c r="G4098" t="str">
        <f>IFERROR(INDEX(Region_Map[Region], MATCH(orders[[#This Row],[Customer_Country]], Region_Map[Country], 0)), "Unknown")</f>
        <v>Central Europe</v>
      </c>
      <c r="H4098" t="s">
        <v>6949</v>
      </c>
    </row>
    <row r="4099" spans="1:8">
      <c r="A4099" t="s">
        <v>4998</v>
      </c>
      <c r="B4099" t="s">
        <v>99</v>
      </c>
      <c r="C4099" s="1">
        <v>44990</v>
      </c>
      <c r="D4099" s="1" t="str">
        <f>PROPER(orders[[#This Row],[order_priority]])</f>
        <v>Standard</v>
      </c>
      <c r="E4099" t="s">
        <v>13317</v>
      </c>
      <c r="F4099" t="str">
        <f>IFERROR(INDEX(customers[country], MATCH(orders[[#This Row],[customer_id]], customers[customer_id], 0)), "Unmapped")</f>
        <v>Poland</v>
      </c>
      <c r="G4099" t="str">
        <f>IFERROR(INDEX(Region_Map[Region], MATCH(orders[[#This Row],[Customer_Country]], Region_Map[Country], 0)), "Unknown")</f>
        <v>Central Europe</v>
      </c>
      <c r="H4099" t="s">
        <v>6949</v>
      </c>
    </row>
    <row r="4100" spans="1:8">
      <c r="A4100" t="s">
        <v>4999</v>
      </c>
      <c r="B4100" t="s">
        <v>760</v>
      </c>
      <c r="C4100" s="1">
        <v>45100</v>
      </c>
      <c r="D4100" s="1" t="str">
        <f>PROPER(orders[[#This Row],[order_priority]])</f>
        <v>Economy</v>
      </c>
      <c r="E4100" t="s">
        <v>13316</v>
      </c>
      <c r="F4100" t="str">
        <f>IFERROR(INDEX(customers[country], MATCH(orders[[#This Row],[customer_id]], customers[customer_id], 0)), "Unmapped")</f>
        <v>Poland</v>
      </c>
      <c r="G4100" t="str">
        <f>IFERROR(INDEX(Region_Map[Region], MATCH(orders[[#This Row],[Customer_Country]], Region_Map[Country], 0)), "Unknown")</f>
        <v>Central Europe</v>
      </c>
      <c r="H4100" t="s">
        <v>6949</v>
      </c>
    </row>
    <row r="4101" spans="1:8">
      <c r="A4101" t="s">
        <v>5000</v>
      </c>
      <c r="B4101" t="s">
        <v>551</v>
      </c>
      <c r="C4101" s="1">
        <v>44989</v>
      </c>
      <c r="D4101" s="1" t="str">
        <f>PROPER(orders[[#This Row],[order_priority]])</f>
        <v>Express</v>
      </c>
      <c r="E4101" t="s">
        <v>13318</v>
      </c>
      <c r="F4101" t="str">
        <f>IFERROR(INDEX(customers[country], MATCH(orders[[#This Row],[customer_id]], customers[customer_id], 0)), "Unmapped")</f>
        <v>Latvia</v>
      </c>
      <c r="G4101" t="str">
        <f>IFERROR(INDEX(Region_Map[Region], MATCH(orders[[#This Row],[Customer_Country]], Region_Map[Country], 0)), "Unknown")</f>
        <v>Baltics</v>
      </c>
      <c r="H4101" t="s">
        <v>6949</v>
      </c>
    </row>
    <row r="4102" spans="1:8">
      <c r="A4102" t="s">
        <v>5001</v>
      </c>
      <c r="B4102" t="s">
        <v>587</v>
      </c>
      <c r="C4102" s="1">
        <v>45228</v>
      </c>
      <c r="D4102" s="1" t="str">
        <f>PROPER(orders[[#This Row],[order_priority]])</f>
        <v>Standard</v>
      </c>
      <c r="E4102" t="s">
        <v>13317</v>
      </c>
      <c r="F4102" t="str">
        <f>IFERROR(INDEX(customers[country], MATCH(orders[[#This Row],[customer_id]], customers[customer_id], 0)), "Unmapped")</f>
        <v>Finland</v>
      </c>
      <c r="G4102" t="str">
        <f>IFERROR(INDEX(Region_Map[Region], MATCH(orders[[#This Row],[Customer_Country]], Region_Map[Country], 0)), "Unknown")</f>
        <v>Nordics</v>
      </c>
      <c r="H4102" t="s">
        <v>6949</v>
      </c>
    </row>
    <row r="4103" spans="1:8">
      <c r="A4103" t="s">
        <v>5002</v>
      </c>
      <c r="B4103" t="s">
        <v>55</v>
      </c>
      <c r="C4103" s="1">
        <v>44979</v>
      </c>
      <c r="D4103" s="1" t="str">
        <f>PROPER(orders[[#This Row],[order_priority]])</f>
        <v>Economy</v>
      </c>
      <c r="E4103" t="s">
        <v>13316</v>
      </c>
      <c r="F4103" t="str">
        <f>IFERROR(INDEX(customers[country], MATCH(orders[[#This Row],[customer_id]], customers[customer_id], 0)), "Unmapped")</f>
        <v>Netherlands</v>
      </c>
      <c r="G4103" t="str">
        <f>IFERROR(INDEX(Region_Map[Region], MATCH(orders[[#This Row],[Customer_Country]], Region_Map[Country], 0)), "Unknown")</f>
        <v>Central Europe</v>
      </c>
      <c r="H4103" t="s">
        <v>6949</v>
      </c>
    </row>
    <row r="4104" spans="1:8">
      <c r="A4104" t="s">
        <v>5003</v>
      </c>
      <c r="B4104" t="s">
        <v>858</v>
      </c>
      <c r="C4104" s="1">
        <v>45516</v>
      </c>
      <c r="D4104" s="1" t="str">
        <f>PROPER(orders[[#This Row],[order_priority]])</f>
        <v>Economy</v>
      </c>
      <c r="E4104" t="s">
        <v>13316</v>
      </c>
      <c r="F4104" t="str">
        <f>IFERROR(INDEX(customers[country], MATCH(orders[[#This Row],[customer_id]], customers[customer_id], 0)), "Unmapped")</f>
        <v>Lithuania</v>
      </c>
      <c r="G4104" t="str">
        <f>IFERROR(INDEX(Region_Map[Region], MATCH(orders[[#This Row],[Customer_Country]], Region_Map[Country], 0)), "Unknown")</f>
        <v>Baltics</v>
      </c>
      <c r="H4104" t="s">
        <v>6949</v>
      </c>
    </row>
    <row r="4105" spans="1:8">
      <c r="A4105" t="s">
        <v>5004</v>
      </c>
      <c r="B4105" t="s">
        <v>741</v>
      </c>
      <c r="C4105" s="1">
        <v>45065</v>
      </c>
      <c r="D4105" s="1" t="str">
        <f>PROPER(orders[[#This Row],[order_priority]])</f>
        <v>Standard</v>
      </c>
      <c r="E4105" t="s">
        <v>13317</v>
      </c>
      <c r="F4105" t="str">
        <f>IFERROR(INDEX(customers[country], MATCH(orders[[#This Row],[customer_id]], customers[customer_id], 0)), "Unmapped")</f>
        <v>Germany</v>
      </c>
      <c r="G4105" t="str">
        <f>IFERROR(INDEX(Region_Map[Region], MATCH(orders[[#This Row],[Customer_Country]], Region_Map[Country], 0)), "Unknown")</f>
        <v>Central Europe</v>
      </c>
      <c r="H4105" t="s">
        <v>6949</v>
      </c>
    </row>
    <row r="4106" spans="1:8">
      <c r="A4106" t="s">
        <v>5005</v>
      </c>
      <c r="B4106" t="s">
        <v>605</v>
      </c>
      <c r="C4106" s="1">
        <v>45012</v>
      </c>
      <c r="D4106" s="1" t="str">
        <f>PROPER(orders[[#This Row],[order_priority]])</f>
        <v>Same Day</v>
      </c>
      <c r="E4106" t="s">
        <v>13322</v>
      </c>
      <c r="F4106" t="str">
        <f>IFERROR(INDEX(customers[country], MATCH(orders[[#This Row],[customer_id]], customers[customer_id], 0)), "Unmapped")</f>
        <v>Lithuania</v>
      </c>
      <c r="G4106" t="str">
        <f>IFERROR(INDEX(Region_Map[Region], MATCH(orders[[#This Row],[Customer_Country]], Region_Map[Country], 0)), "Unknown")</f>
        <v>Baltics</v>
      </c>
      <c r="H4106" t="s">
        <v>6949</v>
      </c>
    </row>
    <row r="4107" spans="1:8">
      <c r="A4107" t="s">
        <v>5006</v>
      </c>
      <c r="B4107" t="s">
        <v>195</v>
      </c>
      <c r="C4107" s="1">
        <v>45247</v>
      </c>
      <c r="D4107" s="1" t="str">
        <f>PROPER(orders[[#This Row],[order_priority]])</f>
        <v>Economy</v>
      </c>
      <c r="E4107" t="s">
        <v>13328</v>
      </c>
      <c r="F4107" t="str">
        <f>IFERROR(INDEX(customers[country], MATCH(orders[[#This Row],[customer_id]], customers[customer_id], 0)), "Unmapped")</f>
        <v>Latvia</v>
      </c>
      <c r="G4107" t="str">
        <f>IFERROR(INDEX(Region_Map[Region], MATCH(orders[[#This Row],[Customer_Country]], Region_Map[Country], 0)), "Unknown")</f>
        <v>Baltics</v>
      </c>
      <c r="H4107" t="s">
        <v>6949</v>
      </c>
    </row>
    <row r="4108" spans="1:8">
      <c r="A4108" t="s">
        <v>5007</v>
      </c>
      <c r="B4108" t="s">
        <v>488</v>
      </c>
      <c r="C4108" s="1">
        <v>44956</v>
      </c>
      <c r="D4108" s="1" t="str">
        <f>PROPER(orders[[#This Row],[order_priority]])</f>
        <v>Economy</v>
      </c>
      <c r="E4108" t="s">
        <v>13316</v>
      </c>
      <c r="F4108" t="str">
        <f>IFERROR(INDEX(customers[country], MATCH(orders[[#This Row],[customer_id]], customers[customer_id], 0)), "Unmapped")</f>
        <v>Netherlands</v>
      </c>
      <c r="G4108" t="str">
        <f>IFERROR(INDEX(Region_Map[Region], MATCH(orders[[#This Row],[Customer_Country]], Region_Map[Country], 0)), "Unknown")</f>
        <v>Central Europe</v>
      </c>
      <c r="H4108" t="s">
        <v>6949</v>
      </c>
    </row>
    <row r="4109" spans="1:8">
      <c r="A4109" t="s">
        <v>5008</v>
      </c>
      <c r="B4109" t="s">
        <v>733</v>
      </c>
      <c r="C4109" s="1">
        <v>45414</v>
      </c>
      <c r="D4109" s="1" t="str">
        <f>PROPER(orders[[#This Row],[order_priority]])</f>
        <v>Same Day</v>
      </c>
      <c r="E4109" t="s">
        <v>13322</v>
      </c>
      <c r="F4109" t="str">
        <f>IFERROR(INDEX(customers[country], MATCH(orders[[#This Row],[customer_id]], customers[customer_id], 0)), "Unmapped")</f>
        <v>Lithuania</v>
      </c>
      <c r="G4109" t="str">
        <f>IFERROR(INDEX(Region_Map[Region], MATCH(orders[[#This Row],[Customer_Country]], Region_Map[Country], 0)), "Unknown")</f>
        <v>Baltics</v>
      </c>
      <c r="H4109" t="s">
        <v>6949</v>
      </c>
    </row>
    <row r="4110" spans="1:8">
      <c r="A4110" t="s">
        <v>5009</v>
      </c>
      <c r="B4110" t="s">
        <v>359</v>
      </c>
      <c r="C4110" s="1">
        <v>45353</v>
      </c>
      <c r="D4110" s="1" t="str">
        <f>PROPER(orders[[#This Row],[order_priority]])</f>
        <v>Standard</v>
      </c>
      <c r="E4110" t="s">
        <v>13319</v>
      </c>
      <c r="F4110" t="str">
        <f>IFERROR(INDEX(customers[country], MATCH(orders[[#This Row],[customer_id]], customers[customer_id], 0)), "Unmapped")</f>
        <v>Estonia</v>
      </c>
      <c r="G4110" t="str">
        <f>IFERROR(INDEX(Region_Map[Region], MATCH(orders[[#This Row],[Customer_Country]], Region_Map[Country], 0)), "Unknown")</f>
        <v>Baltics</v>
      </c>
      <c r="H4110" t="s">
        <v>6949</v>
      </c>
    </row>
    <row r="4111" spans="1:8">
      <c r="A4111" t="s">
        <v>5010</v>
      </c>
      <c r="B4111" t="s">
        <v>569</v>
      </c>
      <c r="C4111" s="1">
        <v>45108</v>
      </c>
      <c r="D4111" s="1" t="str">
        <f>PROPER(orders[[#This Row],[order_priority]])</f>
        <v>Standard</v>
      </c>
      <c r="E4111" t="s">
        <v>13317</v>
      </c>
      <c r="F4111" t="str">
        <f>IFERROR(INDEX(customers[country], MATCH(orders[[#This Row],[customer_id]], customers[customer_id], 0)), "Unmapped")</f>
        <v>Estonia</v>
      </c>
      <c r="G4111" t="str">
        <f>IFERROR(INDEX(Region_Map[Region], MATCH(orders[[#This Row],[Customer_Country]], Region_Map[Country], 0)), "Unknown")</f>
        <v>Baltics</v>
      </c>
      <c r="H4111" t="s">
        <v>6949</v>
      </c>
    </row>
    <row r="4112" spans="1:8">
      <c r="A4112" t="s">
        <v>5011</v>
      </c>
      <c r="B4112" t="s">
        <v>392</v>
      </c>
      <c r="C4112" s="1">
        <v>45238</v>
      </c>
      <c r="D4112" s="1" t="str">
        <f>PROPER(orders[[#This Row],[order_priority]])</f>
        <v>Standard</v>
      </c>
      <c r="E4112" t="s">
        <v>13317</v>
      </c>
      <c r="F4112" t="str">
        <f>IFERROR(INDEX(customers[country], MATCH(orders[[#This Row],[customer_id]], customers[customer_id], 0)), "Unmapped")</f>
        <v>Latvia</v>
      </c>
      <c r="G4112" t="str">
        <f>IFERROR(INDEX(Region_Map[Region], MATCH(orders[[#This Row],[Customer_Country]], Region_Map[Country], 0)), "Unknown")</f>
        <v>Baltics</v>
      </c>
      <c r="H4112" t="s">
        <v>6949</v>
      </c>
    </row>
    <row r="4113" spans="1:8">
      <c r="A4113" t="s">
        <v>5012</v>
      </c>
      <c r="B4113" t="s">
        <v>61</v>
      </c>
      <c r="C4113" s="1">
        <v>45136</v>
      </c>
      <c r="D4113" s="1" t="str">
        <f>PROPER(orders[[#This Row],[order_priority]])</f>
        <v>Same Day</v>
      </c>
      <c r="E4113" t="s">
        <v>13322</v>
      </c>
      <c r="F4113" t="str">
        <f>IFERROR(INDEX(customers[country], MATCH(orders[[#This Row],[customer_id]], customers[customer_id], 0)), "Unmapped")</f>
        <v>Netherlands</v>
      </c>
      <c r="G4113" t="str">
        <f>IFERROR(INDEX(Region_Map[Region], MATCH(orders[[#This Row],[Customer_Country]], Region_Map[Country], 0)), "Unknown")</f>
        <v>Central Europe</v>
      </c>
      <c r="H4113" t="s">
        <v>6949</v>
      </c>
    </row>
    <row r="4114" spans="1:8">
      <c r="A4114" t="s">
        <v>5013</v>
      </c>
      <c r="B4114" t="s">
        <v>30</v>
      </c>
      <c r="C4114" s="1">
        <v>45216</v>
      </c>
      <c r="D4114" s="1" t="str">
        <f>PROPER(orders[[#This Row],[order_priority]])</f>
        <v>Standard</v>
      </c>
      <c r="E4114" t="s">
        <v>13317</v>
      </c>
      <c r="F4114" t="str">
        <f>IFERROR(INDEX(customers[country], MATCH(orders[[#This Row],[customer_id]], customers[customer_id], 0)), "Unmapped")</f>
        <v>Netherlands</v>
      </c>
      <c r="G4114" t="str">
        <f>IFERROR(INDEX(Region_Map[Region], MATCH(orders[[#This Row],[Customer_Country]], Region_Map[Country], 0)), "Unknown")</f>
        <v>Central Europe</v>
      </c>
      <c r="H4114" t="s">
        <v>6949</v>
      </c>
    </row>
    <row r="4115" spans="1:8">
      <c r="A4115" t="s">
        <v>5014</v>
      </c>
      <c r="B4115" t="s">
        <v>772</v>
      </c>
      <c r="C4115" s="1">
        <v>45463</v>
      </c>
      <c r="D4115" s="1" t="str">
        <f>PROPER(orders[[#This Row],[order_priority]])</f>
        <v>Standard</v>
      </c>
      <c r="E4115" t="s">
        <v>13317</v>
      </c>
      <c r="F4115" t="str">
        <f>IFERROR(INDEX(customers[country], MATCH(orders[[#This Row],[customer_id]], customers[customer_id], 0)), "Unmapped")</f>
        <v>Estonia</v>
      </c>
      <c r="G4115" t="str">
        <f>IFERROR(INDEX(Region_Map[Region], MATCH(orders[[#This Row],[Customer_Country]], Region_Map[Country], 0)), "Unknown")</f>
        <v>Baltics</v>
      </c>
      <c r="H4115" t="s">
        <v>6949</v>
      </c>
    </row>
    <row r="4116" spans="1:8">
      <c r="A4116" t="s">
        <v>5015</v>
      </c>
      <c r="B4116" t="s">
        <v>306</v>
      </c>
      <c r="C4116" s="1">
        <v>45505</v>
      </c>
      <c r="D4116" s="1" t="str">
        <f>PROPER(orders[[#This Row],[order_priority]])</f>
        <v>Economy</v>
      </c>
      <c r="E4116" t="s">
        <v>13316</v>
      </c>
      <c r="F4116" t="str">
        <f>IFERROR(INDEX(customers[country], MATCH(orders[[#This Row],[customer_id]], customers[customer_id], 0)), "Unmapped")</f>
        <v>Estonia</v>
      </c>
      <c r="G4116" t="str">
        <f>IFERROR(INDEX(Region_Map[Region], MATCH(orders[[#This Row],[Customer_Country]], Region_Map[Country], 0)), "Unknown")</f>
        <v>Baltics</v>
      </c>
      <c r="H4116" t="s">
        <v>6949</v>
      </c>
    </row>
    <row r="4117" spans="1:8">
      <c r="A4117" t="s">
        <v>5016</v>
      </c>
      <c r="B4117" t="s">
        <v>42</v>
      </c>
      <c r="C4117" s="1">
        <v>45203</v>
      </c>
      <c r="D4117" s="1" t="str">
        <f>PROPER(orders[[#This Row],[order_priority]])</f>
        <v>Standard</v>
      </c>
      <c r="E4117" t="s">
        <v>13317</v>
      </c>
      <c r="F4117" t="str">
        <f>IFERROR(INDEX(customers[country], MATCH(orders[[#This Row],[customer_id]], customers[customer_id], 0)), "Unmapped")</f>
        <v>Estonia</v>
      </c>
      <c r="G4117" t="str">
        <f>IFERROR(INDEX(Region_Map[Region], MATCH(orders[[#This Row],[Customer_Country]], Region_Map[Country], 0)), "Unknown")</f>
        <v>Baltics</v>
      </c>
      <c r="H4117" t="s">
        <v>6949</v>
      </c>
    </row>
    <row r="4118" spans="1:8">
      <c r="A4118" t="s">
        <v>5017</v>
      </c>
      <c r="B4118" t="s">
        <v>455</v>
      </c>
      <c r="C4118" s="1">
        <v>45589</v>
      </c>
      <c r="D4118" s="1" t="str">
        <f>PROPER(orders[[#This Row],[order_priority]])</f>
        <v>Express</v>
      </c>
      <c r="E4118" t="s">
        <v>13318</v>
      </c>
      <c r="F4118" t="str">
        <f>IFERROR(INDEX(customers[country], MATCH(orders[[#This Row],[customer_id]], customers[customer_id], 0)), "Unmapped")</f>
        <v>Poland</v>
      </c>
      <c r="G4118" t="str">
        <f>IFERROR(INDEX(Region_Map[Region], MATCH(orders[[#This Row],[Customer_Country]], Region_Map[Country], 0)), "Unknown")</f>
        <v>Central Europe</v>
      </c>
      <c r="H4118" t="s">
        <v>6949</v>
      </c>
    </row>
    <row r="4119" spans="1:8">
      <c r="A4119" t="s">
        <v>5018</v>
      </c>
      <c r="B4119" t="s">
        <v>145</v>
      </c>
      <c r="C4119" s="1">
        <v>45546</v>
      </c>
      <c r="D4119" s="1" t="str">
        <f>PROPER(orders[[#This Row],[order_priority]])</f>
        <v>Standard</v>
      </c>
      <c r="E4119" t="s">
        <v>13323</v>
      </c>
      <c r="F4119" t="str">
        <f>IFERROR(INDEX(customers[country], MATCH(orders[[#This Row],[customer_id]], customers[customer_id], 0)), "Unmapped")</f>
        <v>Latvia</v>
      </c>
      <c r="G4119" t="str">
        <f>IFERROR(INDEX(Region_Map[Region], MATCH(orders[[#This Row],[Customer_Country]], Region_Map[Country], 0)), "Unknown")</f>
        <v>Baltics</v>
      </c>
      <c r="H4119" t="s">
        <v>6949</v>
      </c>
    </row>
    <row r="4120" spans="1:8">
      <c r="A4120" t="s">
        <v>5019</v>
      </c>
      <c r="B4120" t="s">
        <v>77</v>
      </c>
      <c r="C4120" s="1">
        <v>45438</v>
      </c>
      <c r="D4120" s="1" t="str">
        <f>PROPER(orders[[#This Row],[order_priority]])</f>
        <v>Same Day</v>
      </c>
      <c r="E4120" t="s">
        <v>13322</v>
      </c>
      <c r="F4120" t="str">
        <f>IFERROR(INDEX(customers[country], MATCH(orders[[#This Row],[customer_id]], customers[customer_id], 0)), "Unmapped")</f>
        <v>Lithuania</v>
      </c>
      <c r="G4120" t="str">
        <f>IFERROR(INDEX(Region_Map[Region], MATCH(orders[[#This Row],[Customer_Country]], Region_Map[Country], 0)), "Unknown")</f>
        <v>Baltics</v>
      </c>
      <c r="H4120" t="s">
        <v>6949</v>
      </c>
    </row>
    <row r="4121" spans="1:8">
      <c r="A4121" t="s">
        <v>5020</v>
      </c>
      <c r="B4121" t="s">
        <v>578</v>
      </c>
      <c r="C4121" s="1">
        <v>45311</v>
      </c>
      <c r="D4121" s="1" t="str">
        <f>PROPER(orders[[#This Row],[order_priority]])</f>
        <v>Express</v>
      </c>
      <c r="E4121" t="s">
        <v>13318</v>
      </c>
      <c r="F4121" t="str">
        <f>IFERROR(INDEX(customers[country], MATCH(orders[[#This Row],[customer_id]], customers[customer_id], 0)), "Unmapped")</f>
        <v>Norway</v>
      </c>
      <c r="G4121" t="str">
        <f>IFERROR(INDEX(Region_Map[Region], MATCH(orders[[#This Row],[Customer_Country]], Region_Map[Country], 0)), "Unknown")</f>
        <v>Nordics</v>
      </c>
      <c r="H4121" t="s">
        <v>6949</v>
      </c>
    </row>
    <row r="4122" spans="1:8">
      <c r="A4122" t="s">
        <v>5021</v>
      </c>
      <c r="B4122" t="s">
        <v>843</v>
      </c>
      <c r="C4122" s="1">
        <v>44990</v>
      </c>
      <c r="D4122" s="1" t="str">
        <f>PROPER(orders[[#This Row],[order_priority]])</f>
        <v>Standard</v>
      </c>
      <c r="E4122" t="s">
        <v>13317</v>
      </c>
      <c r="F4122" t="str">
        <f>IFERROR(INDEX(customers[country], MATCH(orders[[#This Row],[customer_id]], customers[customer_id], 0)), "Unmapped")</f>
        <v>Netherlands</v>
      </c>
      <c r="G4122" t="str">
        <f>IFERROR(INDEX(Region_Map[Region], MATCH(orders[[#This Row],[Customer_Country]], Region_Map[Country], 0)), "Unknown")</f>
        <v>Central Europe</v>
      </c>
      <c r="H4122" t="s">
        <v>6949</v>
      </c>
    </row>
    <row r="4123" spans="1:8">
      <c r="A4123" t="s">
        <v>5022</v>
      </c>
      <c r="B4123" t="s">
        <v>644</v>
      </c>
      <c r="C4123" s="1">
        <v>45566</v>
      </c>
      <c r="D4123" s="1" t="str">
        <f>PROPER(orders[[#This Row],[order_priority]])</f>
        <v>Express</v>
      </c>
      <c r="E4123" t="s">
        <v>13318</v>
      </c>
      <c r="F4123" t="str">
        <f>IFERROR(INDEX(customers[country], MATCH(orders[[#This Row],[customer_id]], customers[customer_id], 0)), "Unmapped")</f>
        <v>Germany</v>
      </c>
      <c r="G4123" t="str">
        <f>IFERROR(INDEX(Region_Map[Region], MATCH(orders[[#This Row],[Customer_Country]], Region_Map[Country], 0)), "Unknown")</f>
        <v>Central Europe</v>
      </c>
      <c r="H4123" t="s">
        <v>6949</v>
      </c>
    </row>
    <row r="4124" spans="1:8">
      <c r="A4124" t="s">
        <v>5023</v>
      </c>
      <c r="B4124" t="s">
        <v>843</v>
      </c>
      <c r="C4124" s="1">
        <v>45300</v>
      </c>
      <c r="D4124" s="1" t="str">
        <f>PROPER(orders[[#This Row],[order_priority]])</f>
        <v>Economy</v>
      </c>
      <c r="E4124" t="s">
        <v>13316</v>
      </c>
      <c r="F4124" t="str">
        <f>IFERROR(INDEX(customers[country], MATCH(orders[[#This Row],[customer_id]], customers[customer_id], 0)), "Unmapped")</f>
        <v>Netherlands</v>
      </c>
      <c r="G4124" t="str">
        <f>IFERROR(INDEX(Region_Map[Region], MATCH(orders[[#This Row],[Customer_Country]], Region_Map[Country], 0)), "Unknown")</f>
        <v>Central Europe</v>
      </c>
      <c r="H4124" t="s">
        <v>6949</v>
      </c>
    </row>
    <row r="4125" spans="1:8">
      <c r="A4125" t="s">
        <v>5024</v>
      </c>
      <c r="B4125" t="s">
        <v>371</v>
      </c>
      <c r="C4125" s="1">
        <v>44981</v>
      </c>
      <c r="D4125" s="1" t="str">
        <f>PROPER(orders[[#This Row],[order_priority]])</f>
        <v>Express</v>
      </c>
      <c r="E4125" t="s">
        <v>13326</v>
      </c>
      <c r="F4125" t="str">
        <f>IFERROR(INDEX(customers[country], MATCH(orders[[#This Row],[customer_id]], customers[customer_id], 0)), "Unmapped")</f>
        <v>Germany</v>
      </c>
      <c r="G4125" t="str">
        <f>IFERROR(INDEX(Region_Map[Region], MATCH(orders[[#This Row],[Customer_Country]], Region_Map[Country], 0)), "Unknown")</f>
        <v>Central Europe</v>
      </c>
      <c r="H4125" t="s">
        <v>6949</v>
      </c>
    </row>
    <row r="4126" spans="1:8">
      <c r="A4126" t="s">
        <v>5025</v>
      </c>
      <c r="B4126" t="s">
        <v>407</v>
      </c>
      <c r="C4126" s="1">
        <v>45204</v>
      </c>
      <c r="D4126" s="1" t="str">
        <f>PROPER(orders[[#This Row],[order_priority]])</f>
        <v>Same Day</v>
      </c>
      <c r="E4126" t="s">
        <v>13322</v>
      </c>
      <c r="F4126" t="str">
        <f>IFERROR(INDEX(customers[country], MATCH(orders[[#This Row],[customer_id]], customers[customer_id], 0)), "Unmapped")</f>
        <v>Poland</v>
      </c>
      <c r="G4126" t="str">
        <f>IFERROR(INDEX(Region_Map[Region], MATCH(orders[[#This Row],[Customer_Country]], Region_Map[Country], 0)), "Unknown")</f>
        <v>Central Europe</v>
      </c>
      <c r="H4126" t="s">
        <v>6949</v>
      </c>
    </row>
    <row r="4127" spans="1:8">
      <c r="A4127" t="s">
        <v>5026</v>
      </c>
      <c r="B4127" t="s">
        <v>894</v>
      </c>
      <c r="C4127" s="1">
        <v>45461</v>
      </c>
      <c r="D4127" s="1" t="str">
        <f>PROPER(orders[[#This Row],[order_priority]])</f>
        <v>Same Day</v>
      </c>
      <c r="E4127" t="s">
        <v>13322</v>
      </c>
      <c r="F4127" t="str">
        <f>IFERROR(INDEX(customers[country], MATCH(orders[[#This Row],[customer_id]], customers[customer_id], 0)), "Unmapped")</f>
        <v>Poland</v>
      </c>
      <c r="G4127" t="str">
        <f>IFERROR(INDEX(Region_Map[Region], MATCH(orders[[#This Row],[Customer_Country]], Region_Map[Country], 0)), "Unknown")</f>
        <v>Central Europe</v>
      </c>
      <c r="H4127" t="s">
        <v>6949</v>
      </c>
    </row>
    <row r="4128" spans="1:8">
      <c r="A4128" t="s">
        <v>5027</v>
      </c>
      <c r="B4128" t="s">
        <v>45</v>
      </c>
      <c r="C4128" s="1">
        <v>45263</v>
      </c>
      <c r="D4128" s="1" t="str">
        <f>PROPER(orders[[#This Row],[order_priority]])</f>
        <v>Standard</v>
      </c>
      <c r="E4128" t="s">
        <v>13317</v>
      </c>
      <c r="F4128" t="str">
        <f>IFERROR(INDEX(customers[country], MATCH(orders[[#This Row],[customer_id]], customers[customer_id], 0)), "Unmapped")</f>
        <v>Netherlands</v>
      </c>
      <c r="G4128" t="str">
        <f>IFERROR(INDEX(Region_Map[Region], MATCH(orders[[#This Row],[Customer_Country]], Region_Map[Country], 0)), "Unknown")</f>
        <v>Central Europe</v>
      </c>
      <c r="H4128" t="s">
        <v>6949</v>
      </c>
    </row>
    <row r="4129" spans="1:8">
      <c r="A4129" t="s">
        <v>5028</v>
      </c>
      <c r="B4129" t="s">
        <v>341</v>
      </c>
      <c r="C4129" s="1">
        <v>45332</v>
      </c>
      <c r="D4129" s="1" t="str">
        <f>PROPER(orders[[#This Row],[order_priority]])</f>
        <v>Standard</v>
      </c>
      <c r="E4129" t="s">
        <v>13317</v>
      </c>
      <c r="F4129" t="str">
        <f>IFERROR(INDEX(customers[country], MATCH(orders[[#This Row],[customer_id]], customers[customer_id], 0)), "Unmapped")</f>
        <v>Latvia</v>
      </c>
      <c r="G4129" t="str">
        <f>IFERROR(INDEX(Region_Map[Region], MATCH(orders[[#This Row],[Customer_Country]], Region_Map[Country], 0)), "Unknown")</f>
        <v>Baltics</v>
      </c>
      <c r="H4129" t="s">
        <v>6949</v>
      </c>
    </row>
    <row r="4130" spans="1:8">
      <c r="A4130" t="s">
        <v>5029</v>
      </c>
      <c r="B4130" t="s">
        <v>371</v>
      </c>
      <c r="C4130" s="1">
        <v>45095</v>
      </c>
      <c r="D4130" s="1" t="str">
        <f>PROPER(orders[[#This Row],[order_priority]])</f>
        <v>Standard</v>
      </c>
      <c r="E4130" t="s">
        <v>13317</v>
      </c>
      <c r="F4130" t="str">
        <f>IFERROR(INDEX(customers[country], MATCH(orders[[#This Row],[customer_id]], customers[customer_id], 0)), "Unmapped")</f>
        <v>Germany</v>
      </c>
      <c r="G4130" t="str">
        <f>IFERROR(INDEX(Region_Map[Region], MATCH(orders[[#This Row],[Customer_Country]], Region_Map[Country], 0)), "Unknown")</f>
        <v>Central Europe</v>
      </c>
      <c r="H4130" t="s">
        <v>6949</v>
      </c>
    </row>
    <row r="4131" spans="1:8">
      <c r="A4131" t="s">
        <v>5030</v>
      </c>
      <c r="B4131" t="s">
        <v>831</v>
      </c>
      <c r="C4131" s="1">
        <v>45499</v>
      </c>
      <c r="D4131" s="1" t="str">
        <f>PROPER(orders[[#This Row],[order_priority]])</f>
        <v>Same Day</v>
      </c>
      <c r="E4131" t="s">
        <v>13322</v>
      </c>
      <c r="F4131" t="str">
        <f>IFERROR(INDEX(customers[country], MATCH(orders[[#This Row],[customer_id]], customers[customer_id], 0)), "Unmapped")</f>
        <v>Norway</v>
      </c>
      <c r="G4131" t="str">
        <f>IFERROR(INDEX(Region_Map[Region], MATCH(orders[[#This Row],[Customer_Country]], Region_Map[Country], 0)), "Unknown")</f>
        <v>Nordics</v>
      </c>
      <c r="H4131" t="s">
        <v>6949</v>
      </c>
    </row>
    <row r="4132" spans="1:8">
      <c r="A4132" t="s">
        <v>5031</v>
      </c>
      <c r="B4132" t="s">
        <v>712</v>
      </c>
      <c r="C4132" s="1">
        <v>45090</v>
      </c>
      <c r="D4132" s="1" t="str">
        <f>PROPER(orders[[#This Row],[order_priority]])</f>
        <v>Economy</v>
      </c>
      <c r="E4132" t="s">
        <v>13316</v>
      </c>
      <c r="F4132" t="str">
        <f>IFERROR(INDEX(customers[country], MATCH(orders[[#This Row],[customer_id]], customers[customer_id], 0)), "Unmapped")</f>
        <v>Finland</v>
      </c>
      <c r="G4132" t="str">
        <f>IFERROR(INDEX(Region_Map[Region], MATCH(orders[[#This Row],[Customer_Country]], Region_Map[Country], 0)), "Unknown")</f>
        <v>Nordics</v>
      </c>
      <c r="H4132" t="s">
        <v>6949</v>
      </c>
    </row>
    <row r="4133" spans="1:8">
      <c r="A4133" t="s">
        <v>5032</v>
      </c>
      <c r="B4133" t="s">
        <v>461</v>
      </c>
      <c r="C4133" s="1">
        <v>45418</v>
      </c>
      <c r="D4133" s="1" t="str">
        <f>PROPER(orders[[#This Row],[order_priority]])</f>
        <v>Standard</v>
      </c>
      <c r="E4133" t="s">
        <v>13317</v>
      </c>
      <c r="F4133" t="str">
        <f>IFERROR(INDEX(customers[country], MATCH(orders[[#This Row],[customer_id]], customers[customer_id], 0)), "Unmapped")</f>
        <v>Latvia</v>
      </c>
      <c r="G4133" t="str">
        <f>IFERROR(INDEX(Region_Map[Region], MATCH(orders[[#This Row],[Customer_Country]], Region_Map[Country], 0)), "Unknown")</f>
        <v>Baltics</v>
      </c>
      <c r="H4133" t="s">
        <v>6949</v>
      </c>
    </row>
    <row r="4134" spans="1:8">
      <c r="A4134" t="s">
        <v>5033</v>
      </c>
      <c r="B4134" t="s">
        <v>279</v>
      </c>
      <c r="C4134" s="1">
        <v>45556</v>
      </c>
      <c r="D4134" s="1" t="str">
        <f>PROPER(orders[[#This Row],[order_priority]])</f>
        <v>Standard</v>
      </c>
      <c r="E4134" t="s">
        <v>13317</v>
      </c>
      <c r="F4134" t="str">
        <f>IFERROR(INDEX(customers[country], MATCH(orders[[#This Row],[customer_id]], customers[customer_id], 0)), "Unmapped")</f>
        <v>Germany</v>
      </c>
      <c r="G4134" t="str">
        <f>IFERROR(INDEX(Region_Map[Region], MATCH(orders[[#This Row],[Customer_Country]], Region_Map[Country], 0)), "Unknown")</f>
        <v>Central Europe</v>
      </c>
      <c r="H4134" t="s">
        <v>6949</v>
      </c>
    </row>
    <row r="4135" spans="1:8">
      <c r="A4135" t="s">
        <v>5034</v>
      </c>
      <c r="B4135" t="s">
        <v>350</v>
      </c>
      <c r="C4135" s="1">
        <v>45107</v>
      </c>
      <c r="D4135" s="1" t="str">
        <f>PROPER(orders[[#This Row],[order_priority]])</f>
        <v>Standard</v>
      </c>
      <c r="E4135" t="s">
        <v>13317</v>
      </c>
      <c r="F4135" t="str">
        <f>IFERROR(INDEX(customers[country], MATCH(orders[[#This Row],[customer_id]], customers[customer_id], 0)), "Unmapped")</f>
        <v>Netherlands</v>
      </c>
      <c r="G4135" t="str">
        <f>IFERROR(INDEX(Region_Map[Region], MATCH(orders[[#This Row],[Customer_Country]], Region_Map[Country], 0)), "Unknown")</f>
        <v>Central Europe</v>
      </c>
      <c r="H4135" t="s">
        <v>6949</v>
      </c>
    </row>
    <row r="4136" spans="1:8">
      <c r="A4136" t="s">
        <v>5035</v>
      </c>
      <c r="B4136" t="s">
        <v>909</v>
      </c>
      <c r="C4136" s="1">
        <v>45627</v>
      </c>
      <c r="D4136" s="1" t="str">
        <f>PROPER(orders[[#This Row],[order_priority]])</f>
        <v>Express</v>
      </c>
      <c r="E4136" t="s">
        <v>13320</v>
      </c>
      <c r="F4136" t="str">
        <f>IFERROR(INDEX(customers[country], MATCH(orders[[#This Row],[customer_id]], customers[customer_id], 0)), "Unmapped")</f>
        <v>Poland</v>
      </c>
      <c r="G4136" t="str">
        <f>IFERROR(INDEX(Region_Map[Region], MATCH(orders[[#This Row],[Customer_Country]], Region_Map[Country], 0)), "Unknown")</f>
        <v>Central Europe</v>
      </c>
      <c r="H4136" t="s">
        <v>6949</v>
      </c>
    </row>
    <row r="4137" spans="1:8">
      <c r="A4137" t="s">
        <v>5036</v>
      </c>
      <c r="B4137" t="s">
        <v>13355</v>
      </c>
      <c r="C4137" s="1">
        <v>45045</v>
      </c>
      <c r="D4137" s="1" t="str">
        <f>PROPER(orders[[#This Row],[order_priority]])</f>
        <v>Standard</v>
      </c>
      <c r="E4137" t="s">
        <v>13317</v>
      </c>
      <c r="F4137" t="str">
        <f>IFERROR(INDEX(customers[country], MATCH(orders[[#This Row],[customer_id]], customers[customer_id], 0)), "Unmapped")</f>
        <v>Unmapped</v>
      </c>
      <c r="G4137" t="str">
        <f>IFERROR(INDEX(Region_Map[Region], MATCH(orders[[#This Row],[Customer_Country]], Region_Map[Country], 0)), "Unknown")</f>
        <v>Unknown</v>
      </c>
      <c r="H4137" t="s">
        <v>6949</v>
      </c>
    </row>
    <row r="4138" spans="1:8">
      <c r="A4138" t="s">
        <v>5037</v>
      </c>
      <c r="B4138" t="s">
        <v>362</v>
      </c>
      <c r="C4138" s="1">
        <v>45321</v>
      </c>
      <c r="D4138" s="1" t="str">
        <f>PROPER(orders[[#This Row],[order_priority]])</f>
        <v>Same Day</v>
      </c>
      <c r="E4138" t="s">
        <v>13322</v>
      </c>
      <c r="F4138" t="str">
        <f>IFERROR(INDEX(customers[country], MATCH(orders[[#This Row],[customer_id]], customers[customer_id], 0)), "Unmapped")</f>
        <v>Denmark</v>
      </c>
      <c r="G4138" t="str">
        <f>IFERROR(INDEX(Region_Map[Region], MATCH(orders[[#This Row],[Customer_Country]], Region_Map[Country], 0)), "Unknown")</f>
        <v>Nordics</v>
      </c>
      <c r="H4138" t="s">
        <v>6949</v>
      </c>
    </row>
    <row r="4139" spans="1:8">
      <c r="A4139" t="s">
        <v>5038</v>
      </c>
      <c r="B4139" t="s">
        <v>503</v>
      </c>
      <c r="C4139" s="1">
        <v>45206</v>
      </c>
      <c r="D4139" s="1" t="str">
        <f>PROPER(orders[[#This Row],[order_priority]])</f>
        <v>Standard</v>
      </c>
      <c r="E4139" t="s">
        <v>13317</v>
      </c>
      <c r="F4139" t="str">
        <f>IFERROR(INDEX(customers[country], MATCH(orders[[#This Row],[customer_id]], customers[customer_id], 0)), "Unmapped")</f>
        <v>Denmark</v>
      </c>
      <c r="G4139" t="str">
        <f>IFERROR(INDEX(Region_Map[Region], MATCH(orders[[#This Row],[Customer_Country]], Region_Map[Country], 0)), "Unknown")</f>
        <v>Nordics</v>
      </c>
      <c r="H4139" t="s">
        <v>6949</v>
      </c>
    </row>
    <row r="4140" spans="1:8">
      <c r="A4140" t="s">
        <v>5039</v>
      </c>
      <c r="B4140" t="s">
        <v>796</v>
      </c>
      <c r="C4140" s="1">
        <v>45449</v>
      </c>
      <c r="D4140" s="1" t="str">
        <f>PROPER(orders[[#This Row],[order_priority]])</f>
        <v>Same Day</v>
      </c>
      <c r="E4140" t="s">
        <v>13322</v>
      </c>
      <c r="F4140" t="str">
        <f>IFERROR(INDEX(customers[country], MATCH(orders[[#This Row],[customer_id]], customers[customer_id], 0)), "Unmapped")</f>
        <v>Sweden</v>
      </c>
      <c r="G4140" t="str">
        <f>IFERROR(INDEX(Region_Map[Region], MATCH(orders[[#This Row],[Customer_Country]], Region_Map[Country], 0)), "Unknown")</f>
        <v>Nordics</v>
      </c>
      <c r="H4140" t="s">
        <v>6949</v>
      </c>
    </row>
    <row r="4141" spans="1:8">
      <c r="A4141" t="s">
        <v>5040</v>
      </c>
      <c r="B4141" t="s">
        <v>371</v>
      </c>
      <c r="C4141" s="1">
        <v>45061</v>
      </c>
      <c r="D4141" s="1" t="str">
        <f>PROPER(orders[[#This Row],[order_priority]])</f>
        <v>Economy</v>
      </c>
      <c r="E4141" t="s">
        <v>13316</v>
      </c>
      <c r="F4141" t="str">
        <f>IFERROR(INDEX(customers[country], MATCH(orders[[#This Row],[customer_id]], customers[customer_id], 0)), "Unmapped")</f>
        <v>Germany</v>
      </c>
      <c r="G4141" t="str">
        <f>IFERROR(INDEX(Region_Map[Region], MATCH(orders[[#This Row],[Customer_Country]], Region_Map[Country], 0)), "Unknown")</f>
        <v>Central Europe</v>
      </c>
      <c r="H4141" t="s">
        <v>6949</v>
      </c>
    </row>
    <row r="4142" spans="1:8">
      <c r="A4142" t="s">
        <v>5041</v>
      </c>
      <c r="B4142" t="s">
        <v>300</v>
      </c>
      <c r="C4142" s="1">
        <v>45040</v>
      </c>
      <c r="D4142" s="1" t="str">
        <f>PROPER(orders[[#This Row],[order_priority]])</f>
        <v>Same Day</v>
      </c>
      <c r="E4142" t="s">
        <v>13322</v>
      </c>
      <c r="F4142" t="str">
        <f>IFERROR(INDEX(customers[country], MATCH(orders[[#This Row],[customer_id]], customers[customer_id], 0)), "Unmapped")</f>
        <v>Poland</v>
      </c>
      <c r="G4142" t="str">
        <f>IFERROR(INDEX(Region_Map[Region], MATCH(orders[[#This Row],[Customer_Country]], Region_Map[Country], 0)), "Unknown")</f>
        <v>Central Europe</v>
      </c>
      <c r="H4142" t="s">
        <v>6949</v>
      </c>
    </row>
    <row r="4143" spans="1:8">
      <c r="A4143" t="s">
        <v>5042</v>
      </c>
      <c r="B4143" t="s">
        <v>533</v>
      </c>
      <c r="C4143" s="1">
        <v>45513</v>
      </c>
      <c r="D4143" s="1" t="str">
        <f>PROPER(orders[[#This Row],[order_priority]])</f>
        <v>Same Day</v>
      </c>
      <c r="E4143" t="s">
        <v>13322</v>
      </c>
      <c r="F4143" t="str">
        <f>IFERROR(INDEX(customers[country], MATCH(orders[[#This Row],[customer_id]], customers[customer_id], 0)), "Unmapped")</f>
        <v>Germany</v>
      </c>
      <c r="G4143" t="str">
        <f>IFERROR(INDEX(Region_Map[Region], MATCH(orders[[#This Row],[Customer_Country]], Region_Map[Country], 0)), "Unknown")</f>
        <v>Central Europe</v>
      </c>
      <c r="H4143" t="s">
        <v>6949</v>
      </c>
    </row>
    <row r="4144" spans="1:8">
      <c r="A4144" t="s">
        <v>5043</v>
      </c>
      <c r="B4144" t="s">
        <v>464</v>
      </c>
      <c r="C4144" s="1">
        <v>45601</v>
      </c>
      <c r="D4144" s="1" t="str">
        <f>PROPER(orders[[#This Row],[order_priority]])</f>
        <v>Standard</v>
      </c>
      <c r="E4144" t="s">
        <v>13317</v>
      </c>
      <c r="F4144" t="str">
        <f>IFERROR(INDEX(customers[country], MATCH(orders[[#This Row],[customer_id]], customers[customer_id], 0)), "Unmapped")</f>
        <v>Finland</v>
      </c>
      <c r="G4144" t="str">
        <f>IFERROR(INDEX(Region_Map[Region], MATCH(orders[[#This Row],[Customer_Country]], Region_Map[Country], 0)), "Unknown")</f>
        <v>Nordics</v>
      </c>
      <c r="H4144" t="s">
        <v>6949</v>
      </c>
    </row>
    <row r="4145" spans="1:8">
      <c r="A4145" t="s">
        <v>5044</v>
      </c>
      <c r="B4145" t="s">
        <v>151</v>
      </c>
      <c r="C4145" s="1">
        <v>45426</v>
      </c>
      <c r="D4145" s="1" t="str">
        <f>PROPER(orders[[#This Row],[order_priority]])</f>
        <v>Same Day</v>
      </c>
      <c r="E4145" t="s">
        <v>13322</v>
      </c>
      <c r="F4145" t="str">
        <f>IFERROR(INDEX(customers[country], MATCH(orders[[#This Row],[customer_id]], customers[customer_id], 0)), "Unmapped")</f>
        <v>Sweden</v>
      </c>
      <c r="G4145" t="str">
        <f>IFERROR(INDEX(Region_Map[Region], MATCH(orders[[#This Row],[Customer_Country]], Region_Map[Country], 0)), "Unknown")</f>
        <v>Nordics</v>
      </c>
      <c r="H4145" t="s">
        <v>6949</v>
      </c>
    </row>
    <row r="4146" spans="1:8">
      <c r="A4146" t="s">
        <v>5045</v>
      </c>
      <c r="B4146" t="s">
        <v>329</v>
      </c>
      <c r="C4146" s="1">
        <v>45184</v>
      </c>
      <c r="D4146" s="1" t="str">
        <f>PROPER(orders[[#This Row],[order_priority]])</f>
        <v>Economy</v>
      </c>
      <c r="E4146" t="s">
        <v>13316</v>
      </c>
      <c r="F4146" t="str">
        <f>IFERROR(INDEX(customers[country], MATCH(orders[[#This Row],[customer_id]], customers[customer_id], 0)), "Unmapped")</f>
        <v>Poland</v>
      </c>
      <c r="G4146" t="str">
        <f>IFERROR(INDEX(Region_Map[Region], MATCH(orders[[#This Row],[Customer_Country]], Region_Map[Country], 0)), "Unknown")</f>
        <v>Central Europe</v>
      </c>
      <c r="H4146" t="s">
        <v>6949</v>
      </c>
    </row>
    <row r="4147" spans="1:8">
      <c r="A4147" t="s">
        <v>5046</v>
      </c>
      <c r="B4147" t="s">
        <v>225</v>
      </c>
      <c r="C4147" s="1">
        <v>45340</v>
      </c>
      <c r="D4147" s="1" t="str">
        <f>PROPER(orders[[#This Row],[order_priority]])</f>
        <v>Standard</v>
      </c>
      <c r="E4147" t="s">
        <v>13317</v>
      </c>
      <c r="F4147" t="str">
        <f>IFERROR(INDEX(customers[country], MATCH(orders[[#This Row],[customer_id]], customers[customer_id], 0)), "Unmapped")</f>
        <v>Poland</v>
      </c>
      <c r="G4147" t="str">
        <f>IFERROR(INDEX(Region_Map[Region], MATCH(orders[[#This Row],[Customer_Country]], Region_Map[Country], 0)), "Unknown")</f>
        <v>Central Europe</v>
      </c>
      <c r="H4147" t="s">
        <v>6949</v>
      </c>
    </row>
    <row r="4148" spans="1:8">
      <c r="A4148" t="s">
        <v>5047</v>
      </c>
      <c r="B4148" t="s">
        <v>102</v>
      </c>
      <c r="C4148" s="1">
        <v>45511</v>
      </c>
      <c r="D4148" s="1" t="str">
        <f>PROPER(orders[[#This Row],[order_priority]])</f>
        <v>Economy</v>
      </c>
      <c r="E4148" t="s">
        <v>13316</v>
      </c>
      <c r="F4148" t="str">
        <f>IFERROR(INDEX(customers[country], MATCH(orders[[#This Row],[customer_id]], customers[customer_id], 0)), "Unmapped")</f>
        <v>Denmark</v>
      </c>
      <c r="G4148" t="str">
        <f>IFERROR(INDEX(Region_Map[Region], MATCH(orders[[#This Row],[Customer_Country]], Region_Map[Country], 0)), "Unknown")</f>
        <v>Nordics</v>
      </c>
      <c r="H4148" t="s">
        <v>6949</v>
      </c>
    </row>
    <row r="4149" spans="1:8">
      <c r="A4149" t="s">
        <v>5048</v>
      </c>
      <c r="B4149" t="s">
        <v>593</v>
      </c>
      <c r="C4149" s="1">
        <v>45477</v>
      </c>
      <c r="D4149" s="1" t="str">
        <f>PROPER(orders[[#This Row],[order_priority]])</f>
        <v>Express</v>
      </c>
      <c r="E4149" t="s">
        <v>13318</v>
      </c>
      <c r="F4149" t="str">
        <f>IFERROR(INDEX(customers[country], MATCH(orders[[#This Row],[customer_id]], customers[customer_id], 0)), "Unmapped")</f>
        <v>Estonia</v>
      </c>
      <c r="G4149" t="str">
        <f>IFERROR(INDEX(Region_Map[Region], MATCH(orders[[#This Row],[Customer_Country]], Region_Map[Country], 0)), "Unknown")</f>
        <v>Baltics</v>
      </c>
      <c r="H4149" t="s">
        <v>6949</v>
      </c>
    </row>
    <row r="4150" spans="1:8">
      <c r="A4150" t="s">
        <v>5049</v>
      </c>
      <c r="B4150" t="s">
        <v>596</v>
      </c>
      <c r="C4150" s="1">
        <v>45118</v>
      </c>
      <c r="D4150" s="1" t="str">
        <f>PROPER(orders[[#This Row],[order_priority]])</f>
        <v>Economy</v>
      </c>
      <c r="E4150" t="s">
        <v>13316</v>
      </c>
      <c r="F4150" t="str">
        <f>IFERROR(INDEX(customers[country], MATCH(orders[[#This Row],[customer_id]], customers[customer_id], 0)), "Unmapped")</f>
        <v>Lithuania</v>
      </c>
      <c r="G4150" t="str">
        <f>IFERROR(INDEX(Region_Map[Region], MATCH(orders[[#This Row],[Customer_Country]], Region_Map[Country], 0)), "Unknown")</f>
        <v>Baltics</v>
      </c>
      <c r="H4150" t="s">
        <v>6949</v>
      </c>
    </row>
    <row r="4151" spans="1:8">
      <c r="A4151" t="s">
        <v>5050</v>
      </c>
      <c r="B4151" t="s">
        <v>545</v>
      </c>
      <c r="C4151" s="1">
        <v>45325</v>
      </c>
      <c r="D4151" s="1" t="str">
        <f>PROPER(orders[[#This Row],[order_priority]])</f>
        <v>Economy</v>
      </c>
      <c r="E4151" t="s">
        <v>13316</v>
      </c>
      <c r="F4151" t="str">
        <f>IFERROR(INDEX(customers[country], MATCH(orders[[#This Row],[customer_id]], customers[customer_id], 0)), "Unmapped")</f>
        <v>Netherlands</v>
      </c>
      <c r="G4151" t="str">
        <f>IFERROR(INDEX(Region_Map[Region], MATCH(orders[[#This Row],[Customer_Country]], Region_Map[Country], 0)), "Unknown")</f>
        <v>Central Europe</v>
      </c>
      <c r="H4151" t="s">
        <v>6949</v>
      </c>
    </row>
    <row r="4152" spans="1:8">
      <c r="A4152" t="s">
        <v>5051</v>
      </c>
      <c r="B4152" t="s">
        <v>763</v>
      </c>
      <c r="C4152" s="1">
        <v>45164</v>
      </c>
      <c r="D4152" s="1" t="str">
        <f>PROPER(orders[[#This Row],[order_priority]])</f>
        <v>Same Day</v>
      </c>
      <c r="E4152" t="s">
        <v>13322</v>
      </c>
      <c r="F4152" t="str">
        <f>IFERROR(INDEX(customers[country], MATCH(orders[[#This Row],[customer_id]], customers[customer_id], 0)), "Unmapped")</f>
        <v>Estonia</v>
      </c>
      <c r="G4152" t="str">
        <f>IFERROR(INDEX(Region_Map[Region], MATCH(orders[[#This Row],[Customer_Country]], Region_Map[Country], 0)), "Unknown")</f>
        <v>Baltics</v>
      </c>
      <c r="H4152" t="s">
        <v>6949</v>
      </c>
    </row>
    <row r="4153" spans="1:8">
      <c r="A4153" t="s">
        <v>5052</v>
      </c>
      <c r="B4153" t="s">
        <v>80</v>
      </c>
      <c r="C4153" s="1">
        <v>45515</v>
      </c>
      <c r="D4153" s="1" t="str">
        <f>PROPER(orders[[#This Row],[order_priority]])</f>
        <v>Standard</v>
      </c>
      <c r="E4153" t="s">
        <v>13317</v>
      </c>
      <c r="F4153" t="str">
        <f>IFERROR(INDEX(customers[country], MATCH(orders[[#This Row],[customer_id]], customers[customer_id], 0)), "Unmapped")</f>
        <v>Finland</v>
      </c>
      <c r="G4153" t="str">
        <f>IFERROR(INDEX(Region_Map[Region], MATCH(orders[[#This Row],[Customer_Country]], Region_Map[Country], 0)), "Unknown")</f>
        <v>Nordics</v>
      </c>
      <c r="H4153" t="s">
        <v>6949</v>
      </c>
    </row>
    <row r="4154" spans="1:8">
      <c r="A4154" t="s">
        <v>5053</v>
      </c>
      <c r="B4154" t="s">
        <v>87</v>
      </c>
      <c r="C4154" s="1">
        <v>45426</v>
      </c>
      <c r="D4154" s="1" t="str">
        <f>PROPER(orders[[#This Row],[order_priority]])</f>
        <v>Standard</v>
      </c>
      <c r="E4154" t="s">
        <v>13317</v>
      </c>
      <c r="F4154" t="str">
        <f>IFERROR(INDEX(customers[country], MATCH(orders[[#This Row],[customer_id]], customers[customer_id], 0)), "Unmapped")</f>
        <v>Latvia</v>
      </c>
      <c r="G4154" t="str">
        <f>IFERROR(INDEX(Region_Map[Region], MATCH(orders[[#This Row],[Customer_Country]], Region_Map[Country], 0)), "Unknown")</f>
        <v>Baltics</v>
      </c>
      <c r="H4154" t="s">
        <v>6949</v>
      </c>
    </row>
    <row r="4155" spans="1:8">
      <c r="A4155" t="s">
        <v>5054</v>
      </c>
      <c r="B4155" t="s">
        <v>139</v>
      </c>
      <c r="C4155" s="1">
        <v>45160</v>
      </c>
      <c r="D4155" s="1" t="str">
        <f>PROPER(orders[[#This Row],[order_priority]])</f>
        <v>Standard</v>
      </c>
      <c r="E4155" t="s">
        <v>13317</v>
      </c>
      <c r="F4155" t="str">
        <f>IFERROR(INDEX(customers[country], MATCH(orders[[#This Row],[customer_id]], customers[customer_id], 0)), "Unmapped")</f>
        <v>Netherlands</v>
      </c>
      <c r="G4155" t="str">
        <f>IFERROR(INDEX(Region_Map[Region], MATCH(orders[[#This Row],[Customer_Country]], Region_Map[Country], 0)), "Unknown")</f>
        <v>Central Europe</v>
      </c>
      <c r="H4155" t="s">
        <v>6949</v>
      </c>
    </row>
    <row r="4156" spans="1:8">
      <c r="A4156" t="s">
        <v>5055</v>
      </c>
      <c r="B4156" t="s">
        <v>617</v>
      </c>
      <c r="C4156" s="1">
        <v>45256</v>
      </c>
      <c r="D4156" s="1" t="str">
        <f>PROPER(orders[[#This Row],[order_priority]])</f>
        <v>Standard</v>
      </c>
      <c r="E4156" t="s">
        <v>13317</v>
      </c>
      <c r="F4156" t="str">
        <f>IFERROR(INDEX(customers[country], MATCH(orders[[#This Row],[customer_id]], customers[customer_id], 0)), "Unmapped")</f>
        <v>Latvia</v>
      </c>
      <c r="G4156" t="str">
        <f>IFERROR(INDEX(Region_Map[Region], MATCH(orders[[#This Row],[Customer_Country]], Region_Map[Country], 0)), "Unknown")</f>
        <v>Baltics</v>
      </c>
      <c r="H4156" t="s">
        <v>6949</v>
      </c>
    </row>
    <row r="4157" spans="1:8">
      <c r="A4157" t="s">
        <v>5056</v>
      </c>
      <c r="B4157" t="s">
        <v>897</v>
      </c>
      <c r="C4157" s="1">
        <v>45158</v>
      </c>
      <c r="D4157" s="1" t="str">
        <f>PROPER(orders[[#This Row],[order_priority]])</f>
        <v>Same Day</v>
      </c>
      <c r="E4157" t="s">
        <v>13322</v>
      </c>
      <c r="F4157" t="str">
        <f>IFERROR(INDEX(customers[country], MATCH(orders[[#This Row],[customer_id]], customers[customer_id], 0)), "Unmapped")</f>
        <v>Netherlands</v>
      </c>
      <c r="G4157" t="str">
        <f>IFERROR(INDEX(Region_Map[Region], MATCH(orders[[#This Row],[Customer_Country]], Region_Map[Country], 0)), "Unknown")</f>
        <v>Central Europe</v>
      </c>
      <c r="H4157" t="s">
        <v>6949</v>
      </c>
    </row>
    <row r="4158" spans="1:8">
      <c r="A4158" t="s">
        <v>5057</v>
      </c>
      <c r="B4158" t="s">
        <v>733</v>
      </c>
      <c r="C4158" s="1">
        <v>45136</v>
      </c>
      <c r="D4158" s="1" t="str">
        <f>PROPER(orders[[#This Row],[order_priority]])</f>
        <v>Economy</v>
      </c>
      <c r="E4158" t="s">
        <v>13316</v>
      </c>
      <c r="F4158" t="str">
        <f>IFERROR(INDEX(customers[country], MATCH(orders[[#This Row],[customer_id]], customers[customer_id], 0)), "Unmapped")</f>
        <v>Lithuania</v>
      </c>
      <c r="G4158" t="str">
        <f>IFERROR(INDEX(Region_Map[Region], MATCH(orders[[#This Row],[Customer_Country]], Region_Map[Country], 0)), "Unknown")</f>
        <v>Baltics</v>
      </c>
      <c r="H4158" t="s">
        <v>6949</v>
      </c>
    </row>
    <row r="4159" spans="1:8">
      <c r="A4159" t="s">
        <v>5058</v>
      </c>
      <c r="B4159" t="s">
        <v>822</v>
      </c>
      <c r="C4159" s="1">
        <v>45157</v>
      </c>
      <c r="D4159" s="1" t="str">
        <f>PROPER(orders[[#This Row],[order_priority]])</f>
        <v>Standard</v>
      </c>
      <c r="E4159" t="s">
        <v>13317</v>
      </c>
      <c r="F4159" t="str">
        <f>IFERROR(INDEX(customers[country], MATCH(orders[[#This Row],[customer_id]], customers[customer_id], 0)), "Unmapped")</f>
        <v>Netherlands</v>
      </c>
      <c r="G4159" t="str">
        <f>IFERROR(INDEX(Region_Map[Region], MATCH(orders[[#This Row],[Customer_Country]], Region_Map[Country], 0)), "Unknown")</f>
        <v>Central Europe</v>
      </c>
      <c r="H4159" t="s">
        <v>6949</v>
      </c>
    </row>
    <row r="4160" spans="1:8">
      <c r="A4160" t="s">
        <v>5059</v>
      </c>
      <c r="B4160" t="s">
        <v>222</v>
      </c>
      <c r="C4160" s="1">
        <v>45463</v>
      </c>
      <c r="D4160" s="1" t="str">
        <f>PROPER(orders[[#This Row],[order_priority]])</f>
        <v>Express</v>
      </c>
      <c r="E4160" t="s">
        <v>13318</v>
      </c>
      <c r="F4160" t="str">
        <f>IFERROR(INDEX(customers[country], MATCH(orders[[#This Row],[customer_id]], customers[customer_id], 0)), "Unmapped")</f>
        <v>Norway</v>
      </c>
      <c r="G4160" t="str">
        <f>IFERROR(INDEX(Region_Map[Region], MATCH(orders[[#This Row],[Customer_Country]], Region_Map[Country], 0)), "Unknown")</f>
        <v>Nordics</v>
      </c>
      <c r="H4160" t="s">
        <v>6949</v>
      </c>
    </row>
    <row r="4161" spans="1:8">
      <c r="A4161" t="s">
        <v>5060</v>
      </c>
      <c r="B4161" t="s">
        <v>67</v>
      </c>
      <c r="C4161" s="1">
        <v>45133</v>
      </c>
      <c r="D4161" s="1" t="str">
        <f>PROPER(orders[[#This Row],[order_priority]])</f>
        <v>Economy</v>
      </c>
      <c r="E4161" t="s">
        <v>13325</v>
      </c>
      <c r="F4161" t="str">
        <f>IFERROR(INDEX(customers[country], MATCH(orders[[#This Row],[customer_id]], customers[customer_id], 0)), "Unmapped")</f>
        <v>Estonia</v>
      </c>
      <c r="G4161" t="str">
        <f>IFERROR(INDEX(Region_Map[Region], MATCH(orders[[#This Row],[Customer_Country]], Region_Map[Country], 0)), "Unknown")</f>
        <v>Baltics</v>
      </c>
      <c r="H4161" t="s">
        <v>6949</v>
      </c>
    </row>
    <row r="4162" spans="1:8">
      <c r="A4162" t="s">
        <v>5061</v>
      </c>
      <c r="B4162" t="s">
        <v>831</v>
      </c>
      <c r="C4162" s="1">
        <v>45305</v>
      </c>
      <c r="D4162" s="1" t="str">
        <f>PROPER(orders[[#This Row],[order_priority]])</f>
        <v>Standard</v>
      </c>
      <c r="E4162" t="s">
        <v>13317</v>
      </c>
      <c r="F4162" t="str">
        <f>IFERROR(INDEX(customers[country], MATCH(orders[[#This Row],[customer_id]], customers[customer_id], 0)), "Unmapped")</f>
        <v>Norway</v>
      </c>
      <c r="G4162" t="str">
        <f>IFERROR(INDEX(Region_Map[Region], MATCH(orders[[#This Row],[Customer_Country]], Region_Map[Country], 0)), "Unknown")</f>
        <v>Nordics</v>
      </c>
      <c r="H4162" t="s">
        <v>6949</v>
      </c>
    </row>
    <row r="4163" spans="1:8">
      <c r="A4163" t="s">
        <v>5062</v>
      </c>
      <c r="B4163" t="s">
        <v>398</v>
      </c>
      <c r="C4163" s="1">
        <v>45483</v>
      </c>
      <c r="D4163" s="1" t="str">
        <f>PROPER(orders[[#This Row],[order_priority]])</f>
        <v>Standard</v>
      </c>
      <c r="E4163" t="s">
        <v>13317</v>
      </c>
      <c r="F4163" t="str">
        <f>IFERROR(INDEX(customers[country], MATCH(orders[[#This Row],[customer_id]], customers[customer_id], 0)), "Unmapped")</f>
        <v>Sweden</v>
      </c>
      <c r="G4163" t="str">
        <f>IFERROR(INDEX(Region_Map[Region], MATCH(orders[[#This Row],[Customer_Country]], Region_Map[Country], 0)), "Unknown")</f>
        <v>Nordics</v>
      </c>
      <c r="H4163" t="s">
        <v>6949</v>
      </c>
    </row>
    <row r="4164" spans="1:8">
      <c r="A4164" t="s">
        <v>5063</v>
      </c>
      <c r="B4164" t="s">
        <v>58</v>
      </c>
      <c r="C4164" s="1">
        <v>45428</v>
      </c>
      <c r="D4164" s="1" t="str">
        <f>PROPER(orders[[#This Row],[order_priority]])</f>
        <v>Standard</v>
      </c>
      <c r="E4164" t="s">
        <v>13317</v>
      </c>
      <c r="F4164" t="str">
        <f>IFERROR(INDEX(customers[country], MATCH(orders[[#This Row],[customer_id]], customers[customer_id], 0)), "Unmapped")</f>
        <v>Germany</v>
      </c>
      <c r="G4164" t="str">
        <f>IFERROR(INDEX(Region_Map[Region], MATCH(orders[[#This Row],[Customer_Country]], Region_Map[Country], 0)), "Unknown")</f>
        <v>Central Europe</v>
      </c>
      <c r="H4164" t="s">
        <v>6949</v>
      </c>
    </row>
    <row r="4165" spans="1:8">
      <c r="A4165" t="s">
        <v>5064</v>
      </c>
      <c r="B4165" t="s">
        <v>61</v>
      </c>
      <c r="C4165" s="1">
        <v>45299</v>
      </c>
      <c r="D4165" s="1" t="str">
        <f>PROPER(orders[[#This Row],[order_priority]])</f>
        <v>Express</v>
      </c>
      <c r="E4165" t="s">
        <v>13318</v>
      </c>
      <c r="F4165" t="str">
        <f>IFERROR(INDEX(customers[country], MATCH(orders[[#This Row],[customer_id]], customers[customer_id], 0)), "Unmapped")</f>
        <v>Netherlands</v>
      </c>
      <c r="G4165" t="str">
        <f>IFERROR(INDEX(Region_Map[Region], MATCH(orders[[#This Row],[Customer_Country]], Region_Map[Country], 0)), "Unknown")</f>
        <v>Central Europe</v>
      </c>
      <c r="H4165" t="s">
        <v>6949</v>
      </c>
    </row>
    <row r="4166" spans="1:8">
      <c r="A4166" t="s">
        <v>5065</v>
      </c>
      <c r="B4166" t="s">
        <v>24</v>
      </c>
      <c r="C4166" s="1">
        <v>45030</v>
      </c>
      <c r="D4166" s="1" t="str">
        <f>PROPER(orders[[#This Row],[order_priority]])</f>
        <v>Express</v>
      </c>
      <c r="E4166" t="s">
        <v>13318</v>
      </c>
      <c r="F4166" t="str">
        <f>IFERROR(INDEX(customers[country], MATCH(orders[[#This Row],[customer_id]], customers[customer_id], 0)), "Unmapped")</f>
        <v>Sweden</v>
      </c>
      <c r="G4166" t="str">
        <f>IFERROR(INDEX(Region_Map[Region], MATCH(orders[[#This Row],[Customer_Country]], Region_Map[Country], 0)), "Unknown")</f>
        <v>Nordics</v>
      </c>
      <c r="H4166" t="s">
        <v>6949</v>
      </c>
    </row>
    <row r="4167" spans="1:8">
      <c r="A4167" t="s">
        <v>5066</v>
      </c>
      <c r="B4167" t="s">
        <v>300</v>
      </c>
      <c r="C4167" s="1">
        <v>45578</v>
      </c>
      <c r="D4167" s="1" t="str">
        <f>PROPER(orders[[#This Row],[order_priority]])</f>
        <v>Economy</v>
      </c>
      <c r="E4167" t="s">
        <v>13316</v>
      </c>
      <c r="F4167" t="str">
        <f>IFERROR(INDEX(customers[country], MATCH(orders[[#This Row],[customer_id]], customers[customer_id], 0)), "Unmapped")</f>
        <v>Poland</v>
      </c>
      <c r="G4167" t="str">
        <f>IFERROR(INDEX(Region_Map[Region], MATCH(orders[[#This Row],[Customer_Country]], Region_Map[Country], 0)), "Unknown")</f>
        <v>Central Europe</v>
      </c>
      <c r="H4167" t="s">
        <v>6949</v>
      </c>
    </row>
    <row r="4168" spans="1:8">
      <c r="A4168" t="s">
        <v>5067</v>
      </c>
      <c r="B4168" t="s">
        <v>790</v>
      </c>
      <c r="C4168" s="1">
        <v>45299</v>
      </c>
      <c r="D4168" s="1" t="str">
        <f>PROPER(orders[[#This Row],[order_priority]])</f>
        <v>Express</v>
      </c>
      <c r="E4168" t="s">
        <v>13318</v>
      </c>
      <c r="F4168" t="str">
        <f>IFERROR(INDEX(customers[country], MATCH(orders[[#This Row],[customer_id]], customers[customer_id], 0)), "Unmapped")</f>
        <v>Germany</v>
      </c>
      <c r="G4168" t="str">
        <f>IFERROR(INDEX(Region_Map[Region], MATCH(orders[[#This Row],[Customer_Country]], Region_Map[Country], 0)), "Unknown")</f>
        <v>Central Europe</v>
      </c>
      <c r="H4168" t="s">
        <v>6949</v>
      </c>
    </row>
    <row r="4169" spans="1:8">
      <c r="A4169" t="s">
        <v>5068</v>
      </c>
      <c r="B4169" t="s">
        <v>338</v>
      </c>
      <c r="C4169" s="1">
        <v>45095</v>
      </c>
      <c r="D4169" s="1" t="str">
        <f>PROPER(orders[[#This Row],[order_priority]])</f>
        <v>Standard</v>
      </c>
      <c r="E4169" t="s">
        <v>13317</v>
      </c>
      <c r="F4169" t="str">
        <f>IFERROR(INDEX(customers[country], MATCH(orders[[#This Row],[customer_id]], customers[customer_id], 0)), "Unmapped")</f>
        <v>Denmark</v>
      </c>
      <c r="G4169" t="str">
        <f>IFERROR(INDEX(Region_Map[Region], MATCH(orders[[#This Row],[Customer_Country]], Region_Map[Country], 0)), "Unknown")</f>
        <v>Nordics</v>
      </c>
      <c r="H4169" t="s">
        <v>6949</v>
      </c>
    </row>
    <row r="4170" spans="1:8">
      <c r="A4170" t="s">
        <v>5069</v>
      </c>
      <c r="B4170" t="s">
        <v>799</v>
      </c>
      <c r="C4170" s="1">
        <v>45286</v>
      </c>
      <c r="D4170" s="1" t="str">
        <f>PROPER(orders[[#This Row],[order_priority]])</f>
        <v>Same Day</v>
      </c>
      <c r="E4170" t="s">
        <v>13322</v>
      </c>
      <c r="F4170" t="str">
        <f>IFERROR(INDEX(customers[country], MATCH(orders[[#This Row],[customer_id]], customers[customer_id], 0)), "Unmapped")</f>
        <v>Germany</v>
      </c>
      <c r="G4170" t="str">
        <f>IFERROR(INDEX(Region_Map[Region], MATCH(orders[[#This Row],[Customer_Country]], Region_Map[Country], 0)), "Unknown")</f>
        <v>Central Europe</v>
      </c>
      <c r="H4170" t="s">
        <v>6949</v>
      </c>
    </row>
    <row r="4171" spans="1:8">
      <c r="A4171" t="s">
        <v>5070</v>
      </c>
      <c r="B4171" t="s">
        <v>422</v>
      </c>
      <c r="C4171" s="1">
        <v>45479</v>
      </c>
      <c r="D4171" s="1" t="str">
        <f>PROPER(orders[[#This Row],[order_priority]])</f>
        <v>Standard</v>
      </c>
      <c r="E4171" t="s">
        <v>13317</v>
      </c>
      <c r="F4171" t="str">
        <f>IFERROR(INDEX(customers[country], MATCH(orders[[#This Row],[customer_id]], customers[customer_id], 0)), "Unmapped")</f>
        <v>Germany</v>
      </c>
      <c r="G4171" t="str">
        <f>IFERROR(INDEX(Region_Map[Region], MATCH(orders[[#This Row],[Customer_Country]], Region_Map[Country], 0)), "Unknown")</f>
        <v>Central Europe</v>
      </c>
      <c r="H4171" t="s">
        <v>6949</v>
      </c>
    </row>
    <row r="4172" spans="1:8">
      <c r="A4172" t="s">
        <v>5071</v>
      </c>
      <c r="B4172" t="s">
        <v>449</v>
      </c>
      <c r="C4172" s="1">
        <v>45507</v>
      </c>
      <c r="D4172" s="1" t="str">
        <f>PROPER(orders[[#This Row],[order_priority]])</f>
        <v>Standard</v>
      </c>
      <c r="E4172" t="s">
        <v>13317</v>
      </c>
      <c r="F4172" t="str">
        <f>IFERROR(INDEX(customers[country], MATCH(orders[[#This Row],[customer_id]], customers[customer_id], 0)), "Unmapped")</f>
        <v>Norway</v>
      </c>
      <c r="G4172" t="str">
        <f>IFERROR(INDEX(Region_Map[Region], MATCH(orders[[#This Row],[Customer_Country]], Region_Map[Country], 0)), "Unknown")</f>
        <v>Nordics</v>
      </c>
      <c r="H4172" t="s">
        <v>6949</v>
      </c>
    </row>
    <row r="4173" spans="1:8">
      <c r="A4173" t="s">
        <v>5072</v>
      </c>
      <c r="B4173" t="s">
        <v>506</v>
      </c>
      <c r="C4173" s="1">
        <v>45459</v>
      </c>
      <c r="D4173" s="1" t="str">
        <f>PROPER(orders[[#This Row],[order_priority]])</f>
        <v>Express</v>
      </c>
      <c r="E4173" t="s">
        <v>13318</v>
      </c>
      <c r="F4173" t="str">
        <f>IFERROR(INDEX(customers[country], MATCH(orders[[#This Row],[customer_id]], customers[customer_id], 0)), "Unmapped")</f>
        <v>Poland</v>
      </c>
      <c r="G4173" t="str">
        <f>IFERROR(INDEX(Region_Map[Region], MATCH(orders[[#This Row],[Customer_Country]], Region_Map[Country], 0)), "Unknown")</f>
        <v>Central Europe</v>
      </c>
      <c r="H4173" t="s">
        <v>6949</v>
      </c>
    </row>
    <row r="4174" spans="1:8">
      <c r="A4174" t="s">
        <v>5073</v>
      </c>
      <c r="B4174" t="s">
        <v>752</v>
      </c>
      <c r="C4174" s="1">
        <v>44999</v>
      </c>
      <c r="D4174" s="1" t="str">
        <f>PROPER(orders[[#This Row],[order_priority]])</f>
        <v>Same Day</v>
      </c>
      <c r="E4174" t="s">
        <v>13322</v>
      </c>
      <c r="F4174" t="str">
        <f>IFERROR(INDEX(customers[country], MATCH(orders[[#This Row],[customer_id]], customers[customer_id], 0)), "Unmapped")</f>
        <v>Estonia</v>
      </c>
      <c r="G4174" t="str">
        <f>IFERROR(INDEX(Region_Map[Region], MATCH(orders[[#This Row],[Customer_Country]], Region_Map[Country], 0)), "Unknown")</f>
        <v>Baltics</v>
      </c>
      <c r="H4174" t="s">
        <v>6949</v>
      </c>
    </row>
    <row r="4175" spans="1:8">
      <c r="A4175" t="s">
        <v>5074</v>
      </c>
      <c r="B4175" t="s">
        <v>590</v>
      </c>
      <c r="C4175" s="1">
        <v>45563</v>
      </c>
      <c r="D4175" s="1" t="str">
        <f>PROPER(orders[[#This Row],[order_priority]])</f>
        <v>Standard</v>
      </c>
      <c r="E4175" t="s">
        <v>13317</v>
      </c>
      <c r="F4175" t="str">
        <f>IFERROR(INDEX(customers[country], MATCH(orders[[#This Row],[customer_id]], customers[customer_id], 0)), "Unmapped")</f>
        <v>Finland</v>
      </c>
      <c r="G4175" t="str">
        <f>IFERROR(INDEX(Region_Map[Region], MATCH(orders[[#This Row],[Customer_Country]], Region_Map[Country], 0)), "Unknown")</f>
        <v>Nordics</v>
      </c>
      <c r="H4175" t="s">
        <v>6949</v>
      </c>
    </row>
    <row r="4176" spans="1:8">
      <c r="A4176" t="s">
        <v>5075</v>
      </c>
      <c r="B4176" t="s">
        <v>885</v>
      </c>
      <c r="C4176" s="1">
        <v>45253</v>
      </c>
      <c r="D4176" s="1" t="str">
        <f>PROPER(orders[[#This Row],[order_priority]])</f>
        <v>Standard</v>
      </c>
      <c r="E4176" t="s">
        <v>13317</v>
      </c>
      <c r="F4176" t="str">
        <f>IFERROR(INDEX(customers[country], MATCH(orders[[#This Row],[customer_id]], customers[customer_id], 0)), "Unmapped")</f>
        <v>Poland</v>
      </c>
      <c r="G4176" t="str">
        <f>IFERROR(INDEX(Region_Map[Region], MATCH(orders[[#This Row],[Customer_Country]], Region_Map[Country], 0)), "Unknown")</f>
        <v>Central Europe</v>
      </c>
      <c r="H4176" t="s">
        <v>6949</v>
      </c>
    </row>
    <row r="4177" spans="1:8">
      <c r="A4177" t="s">
        <v>5076</v>
      </c>
      <c r="B4177" t="s">
        <v>664</v>
      </c>
      <c r="C4177" s="1">
        <v>45375</v>
      </c>
      <c r="D4177" s="1" t="str">
        <f>PROPER(orders[[#This Row],[order_priority]])</f>
        <v>Express</v>
      </c>
      <c r="E4177" t="s">
        <v>13318</v>
      </c>
      <c r="F4177" t="str">
        <f>IFERROR(INDEX(customers[country], MATCH(orders[[#This Row],[customer_id]], customers[customer_id], 0)), "Unmapped")</f>
        <v>Latvia</v>
      </c>
      <c r="G4177" t="str">
        <f>IFERROR(INDEX(Region_Map[Region], MATCH(orders[[#This Row],[Customer_Country]], Region_Map[Country], 0)), "Unknown")</f>
        <v>Baltics</v>
      </c>
      <c r="H4177" t="s">
        <v>6949</v>
      </c>
    </row>
    <row r="4178" spans="1:8">
      <c r="A4178" t="s">
        <v>5077</v>
      </c>
      <c r="B4178" t="s">
        <v>793</v>
      </c>
      <c r="C4178" s="1">
        <v>45502</v>
      </c>
      <c r="D4178" s="1" t="str">
        <f>PROPER(orders[[#This Row],[order_priority]])</f>
        <v>Economy</v>
      </c>
      <c r="E4178" t="s">
        <v>13316</v>
      </c>
      <c r="F4178" t="str">
        <f>IFERROR(INDEX(customers[country], MATCH(orders[[#This Row],[customer_id]], customers[customer_id], 0)), "Unmapped")</f>
        <v>Sweden</v>
      </c>
      <c r="G4178" t="str">
        <f>IFERROR(INDEX(Region_Map[Region], MATCH(orders[[#This Row],[Customer_Country]], Region_Map[Country], 0)), "Unknown")</f>
        <v>Nordics</v>
      </c>
      <c r="H4178" t="s">
        <v>6949</v>
      </c>
    </row>
    <row r="4179" spans="1:8">
      <c r="A4179" t="s">
        <v>5078</v>
      </c>
      <c r="B4179" t="s">
        <v>130</v>
      </c>
      <c r="C4179" s="1">
        <v>45243</v>
      </c>
      <c r="D4179" s="1" t="str">
        <f>PROPER(orders[[#This Row],[order_priority]])</f>
        <v>Economy</v>
      </c>
      <c r="E4179" t="s">
        <v>13316</v>
      </c>
      <c r="F4179" t="str">
        <f>IFERROR(INDEX(customers[country], MATCH(orders[[#This Row],[customer_id]], customers[customer_id], 0)), "Unmapped")</f>
        <v>Latvia</v>
      </c>
      <c r="G4179" t="str">
        <f>IFERROR(INDEX(Region_Map[Region], MATCH(orders[[#This Row],[Customer_Country]], Region_Map[Country], 0)), "Unknown")</f>
        <v>Baltics</v>
      </c>
      <c r="H4179" t="s">
        <v>6949</v>
      </c>
    </row>
    <row r="4180" spans="1:8">
      <c r="A4180" t="s">
        <v>5079</v>
      </c>
      <c r="B4180" t="s">
        <v>685</v>
      </c>
      <c r="C4180" s="1">
        <v>45260</v>
      </c>
      <c r="D4180" s="1" t="str">
        <f>PROPER(orders[[#This Row],[order_priority]])</f>
        <v>Economy</v>
      </c>
      <c r="E4180" t="s">
        <v>13316</v>
      </c>
      <c r="F4180" t="str">
        <f>IFERROR(INDEX(customers[country], MATCH(orders[[#This Row],[customer_id]], customers[customer_id], 0)), "Unmapped")</f>
        <v>Latvia</v>
      </c>
      <c r="G4180" t="str">
        <f>IFERROR(INDEX(Region_Map[Region], MATCH(orders[[#This Row],[Customer_Country]], Region_Map[Country], 0)), "Unknown")</f>
        <v>Baltics</v>
      </c>
      <c r="H4180" t="s">
        <v>6949</v>
      </c>
    </row>
    <row r="4181" spans="1:8">
      <c r="A4181" t="s">
        <v>5080</v>
      </c>
      <c r="B4181" t="s">
        <v>790</v>
      </c>
      <c r="C4181" s="1">
        <v>45364</v>
      </c>
      <c r="D4181" s="1" t="str">
        <f>PROPER(orders[[#This Row],[order_priority]])</f>
        <v>Express</v>
      </c>
      <c r="E4181" t="s">
        <v>13318</v>
      </c>
      <c r="F4181" t="str">
        <f>IFERROR(INDEX(customers[country], MATCH(orders[[#This Row],[customer_id]], customers[customer_id], 0)), "Unmapped")</f>
        <v>Germany</v>
      </c>
      <c r="G4181" t="str">
        <f>IFERROR(INDEX(Region_Map[Region], MATCH(orders[[#This Row],[Customer_Country]], Region_Map[Country], 0)), "Unknown")</f>
        <v>Central Europe</v>
      </c>
      <c r="H4181" t="s">
        <v>6949</v>
      </c>
    </row>
    <row r="4182" spans="1:8">
      <c r="A4182" t="s">
        <v>5081</v>
      </c>
      <c r="B4182" t="s">
        <v>730</v>
      </c>
      <c r="C4182" s="1">
        <v>45524</v>
      </c>
      <c r="D4182" s="1" t="str">
        <f>PROPER(orders[[#This Row],[order_priority]])</f>
        <v>Express</v>
      </c>
      <c r="E4182" t="s">
        <v>13320</v>
      </c>
      <c r="F4182" t="str">
        <f>IFERROR(INDEX(customers[country], MATCH(orders[[#This Row],[customer_id]], customers[customer_id], 0)), "Unmapped")</f>
        <v>Lithuania</v>
      </c>
      <c r="G4182" t="str">
        <f>IFERROR(INDEX(Region_Map[Region], MATCH(orders[[#This Row],[Customer_Country]], Region_Map[Country], 0)), "Unknown")</f>
        <v>Baltics</v>
      </c>
      <c r="H4182" t="s">
        <v>6949</v>
      </c>
    </row>
    <row r="4183" spans="1:8">
      <c r="A4183" t="s">
        <v>5082</v>
      </c>
      <c r="B4183" t="s">
        <v>148</v>
      </c>
      <c r="C4183" s="1">
        <v>45625</v>
      </c>
      <c r="D4183" s="1" t="str">
        <f>PROPER(orders[[#This Row],[order_priority]])</f>
        <v>Same Day</v>
      </c>
      <c r="E4183" t="s">
        <v>13322</v>
      </c>
      <c r="F4183" t="str">
        <f>IFERROR(INDEX(customers[country], MATCH(orders[[#This Row],[customer_id]], customers[customer_id], 0)), "Unmapped")</f>
        <v>Poland</v>
      </c>
      <c r="G4183" t="str">
        <f>IFERROR(INDEX(Region_Map[Region], MATCH(orders[[#This Row],[Customer_Country]], Region_Map[Country], 0)), "Unknown")</f>
        <v>Central Europe</v>
      </c>
      <c r="H4183" t="s">
        <v>6949</v>
      </c>
    </row>
    <row r="4184" spans="1:8">
      <c r="A4184" t="s">
        <v>5083</v>
      </c>
      <c r="B4184" t="s">
        <v>291</v>
      </c>
      <c r="C4184" s="1">
        <v>44998</v>
      </c>
      <c r="D4184" s="1" t="str">
        <f>PROPER(orders[[#This Row],[order_priority]])</f>
        <v>Same Day</v>
      </c>
      <c r="E4184" t="s">
        <v>13322</v>
      </c>
      <c r="F4184" t="str">
        <f>IFERROR(INDEX(customers[country], MATCH(orders[[#This Row],[customer_id]], customers[customer_id], 0)), "Unmapped")</f>
        <v>Poland</v>
      </c>
      <c r="G4184" t="str">
        <f>IFERROR(INDEX(Region_Map[Region], MATCH(orders[[#This Row],[Customer_Country]], Region_Map[Country], 0)), "Unknown")</f>
        <v>Central Europe</v>
      </c>
      <c r="H4184" t="s">
        <v>6949</v>
      </c>
    </row>
    <row r="4185" spans="1:8">
      <c r="A4185" t="s">
        <v>5084</v>
      </c>
      <c r="B4185" t="s">
        <v>623</v>
      </c>
      <c r="C4185" s="1">
        <v>45537</v>
      </c>
      <c r="D4185" s="1" t="str">
        <f>PROPER(orders[[#This Row],[order_priority]])</f>
        <v>Express</v>
      </c>
      <c r="E4185" t="s">
        <v>13318</v>
      </c>
      <c r="F4185" t="str">
        <f>IFERROR(INDEX(customers[country], MATCH(orders[[#This Row],[customer_id]], customers[customer_id], 0)), "Unmapped")</f>
        <v>Denmark</v>
      </c>
      <c r="G4185" t="str">
        <f>IFERROR(INDEX(Region_Map[Region], MATCH(orders[[#This Row],[Customer_Country]], Region_Map[Country], 0)), "Unknown")</f>
        <v>Nordics</v>
      </c>
      <c r="H4185" t="s">
        <v>6949</v>
      </c>
    </row>
    <row r="4186" spans="1:8">
      <c r="A4186" t="s">
        <v>5085</v>
      </c>
      <c r="B4186" t="s">
        <v>542</v>
      </c>
      <c r="C4186" s="1">
        <v>45578</v>
      </c>
      <c r="D4186" s="1" t="str">
        <f>PROPER(orders[[#This Row],[order_priority]])</f>
        <v>Same Day</v>
      </c>
      <c r="E4186" t="s">
        <v>13322</v>
      </c>
      <c r="F4186" t="str">
        <f>IFERROR(INDEX(customers[country], MATCH(orders[[#This Row],[customer_id]], customers[customer_id], 0)), "Unmapped")</f>
        <v>Poland</v>
      </c>
      <c r="G4186" t="str">
        <f>IFERROR(INDEX(Region_Map[Region], MATCH(orders[[#This Row],[Customer_Country]], Region_Map[Country], 0)), "Unknown")</f>
        <v>Central Europe</v>
      </c>
      <c r="H4186" t="s">
        <v>6949</v>
      </c>
    </row>
    <row r="4187" spans="1:8">
      <c r="A4187" t="s">
        <v>5086</v>
      </c>
      <c r="B4187" t="s">
        <v>891</v>
      </c>
      <c r="C4187" s="1">
        <v>45136</v>
      </c>
      <c r="D4187" s="1" t="str">
        <f>PROPER(orders[[#This Row],[order_priority]])</f>
        <v>Express</v>
      </c>
      <c r="E4187" t="s">
        <v>13318</v>
      </c>
      <c r="F4187" t="str">
        <f>IFERROR(INDEX(customers[country], MATCH(orders[[#This Row],[customer_id]], customers[customer_id], 0)), "Unmapped")</f>
        <v>Netherlands</v>
      </c>
      <c r="G4187" t="str">
        <f>IFERROR(INDEX(Region_Map[Region], MATCH(orders[[#This Row],[Customer_Country]], Region_Map[Country], 0)), "Unknown")</f>
        <v>Central Europe</v>
      </c>
      <c r="H4187" t="s">
        <v>6949</v>
      </c>
    </row>
    <row r="4188" spans="1:8">
      <c r="A4188" t="s">
        <v>5087</v>
      </c>
      <c r="B4188" t="s">
        <v>434</v>
      </c>
      <c r="C4188" s="1">
        <v>44929</v>
      </c>
      <c r="D4188" s="1" t="str">
        <f>PROPER(orders[[#This Row],[order_priority]])</f>
        <v>Express</v>
      </c>
      <c r="E4188" t="s">
        <v>13318</v>
      </c>
      <c r="F4188" t="str">
        <f>IFERROR(INDEX(customers[country], MATCH(orders[[#This Row],[customer_id]], customers[customer_id], 0)), "Unmapped")</f>
        <v>Lithuania</v>
      </c>
      <c r="G4188" t="str">
        <f>IFERROR(INDEX(Region_Map[Region], MATCH(orders[[#This Row],[Customer_Country]], Region_Map[Country], 0)), "Unknown")</f>
        <v>Baltics</v>
      </c>
      <c r="H4188" t="s">
        <v>6949</v>
      </c>
    </row>
    <row r="4189" spans="1:8">
      <c r="A4189" t="s">
        <v>5088</v>
      </c>
      <c r="B4189" t="s">
        <v>670</v>
      </c>
      <c r="C4189" s="1">
        <v>45586</v>
      </c>
      <c r="D4189" s="1" t="str">
        <f>PROPER(orders[[#This Row],[order_priority]])</f>
        <v>Express</v>
      </c>
      <c r="E4189" t="s">
        <v>13326</v>
      </c>
      <c r="F4189" t="str">
        <f>IFERROR(INDEX(customers[country], MATCH(orders[[#This Row],[customer_id]], customers[customer_id], 0)), "Unmapped")</f>
        <v>Netherlands</v>
      </c>
      <c r="G4189" t="str">
        <f>IFERROR(INDEX(Region_Map[Region], MATCH(orders[[#This Row],[Customer_Country]], Region_Map[Country], 0)), "Unknown")</f>
        <v>Central Europe</v>
      </c>
      <c r="H4189" t="s">
        <v>6949</v>
      </c>
    </row>
    <row r="4190" spans="1:8">
      <c r="A4190" t="s">
        <v>5089</v>
      </c>
      <c r="B4190" t="s">
        <v>551</v>
      </c>
      <c r="C4190" s="1">
        <v>45194</v>
      </c>
      <c r="D4190" s="1" t="str">
        <f>PROPER(orders[[#This Row],[order_priority]])</f>
        <v>Standard</v>
      </c>
      <c r="E4190" t="s">
        <v>13317</v>
      </c>
      <c r="F4190" t="str">
        <f>IFERROR(INDEX(customers[country], MATCH(orders[[#This Row],[customer_id]], customers[customer_id], 0)), "Unmapped")</f>
        <v>Latvia</v>
      </c>
      <c r="G4190" t="str">
        <f>IFERROR(INDEX(Region_Map[Region], MATCH(orders[[#This Row],[Customer_Country]], Region_Map[Country], 0)), "Unknown")</f>
        <v>Baltics</v>
      </c>
      <c r="H4190" t="s">
        <v>6949</v>
      </c>
    </row>
    <row r="4191" spans="1:8">
      <c r="A4191" t="s">
        <v>5090</v>
      </c>
      <c r="B4191" t="s">
        <v>703</v>
      </c>
      <c r="C4191" s="1">
        <v>45031</v>
      </c>
      <c r="D4191" s="1" t="str">
        <f>PROPER(orders[[#This Row],[order_priority]])</f>
        <v>Same Day</v>
      </c>
      <c r="E4191" t="s">
        <v>13322</v>
      </c>
      <c r="F4191" t="str">
        <f>IFERROR(INDEX(customers[country], MATCH(orders[[#This Row],[customer_id]], customers[customer_id], 0)), "Unmapped")</f>
        <v>Estonia</v>
      </c>
      <c r="G4191" t="str">
        <f>IFERROR(INDEX(Region_Map[Region], MATCH(orders[[#This Row],[Customer_Country]], Region_Map[Country], 0)), "Unknown")</f>
        <v>Baltics</v>
      </c>
      <c r="H4191" t="s">
        <v>6949</v>
      </c>
    </row>
    <row r="4192" spans="1:8">
      <c r="A4192" t="s">
        <v>5091</v>
      </c>
      <c r="B4192" t="s">
        <v>873</v>
      </c>
      <c r="C4192" s="1">
        <v>45103</v>
      </c>
      <c r="D4192" s="1" t="str">
        <f>PROPER(orders[[#This Row],[order_priority]])</f>
        <v>Standard</v>
      </c>
      <c r="E4192" t="s">
        <v>13317</v>
      </c>
      <c r="F4192" t="str">
        <f>IFERROR(INDEX(customers[country], MATCH(orders[[#This Row],[customer_id]], customers[customer_id], 0)), "Unmapped")</f>
        <v>Estonia</v>
      </c>
      <c r="G4192" t="str">
        <f>IFERROR(INDEX(Region_Map[Region], MATCH(orders[[#This Row],[Customer_Country]], Region_Map[Country], 0)), "Unknown")</f>
        <v>Baltics</v>
      </c>
      <c r="H4192" t="s">
        <v>6949</v>
      </c>
    </row>
    <row r="4193" spans="1:8">
      <c r="A4193" t="s">
        <v>5092</v>
      </c>
      <c r="B4193" t="s">
        <v>658</v>
      </c>
      <c r="C4193" s="1">
        <v>44948</v>
      </c>
      <c r="D4193" s="1" t="str">
        <f>PROPER(orders[[#This Row],[order_priority]])</f>
        <v>Express</v>
      </c>
      <c r="E4193" t="s">
        <v>13318</v>
      </c>
      <c r="F4193" t="str">
        <f>IFERROR(INDEX(customers[country], MATCH(orders[[#This Row],[customer_id]], customers[customer_id], 0)), "Unmapped")</f>
        <v>Latvia</v>
      </c>
      <c r="G4193" t="str">
        <f>IFERROR(INDEX(Region_Map[Region], MATCH(orders[[#This Row],[Customer_Country]], Region_Map[Country], 0)), "Unknown")</f>
        <v>Baltics</v>
      </c>
      <c r="H4193" t="s">
        <v>6949</v>
      </c>
    </row>
    <row r="4194" spans="1:8">
      <c r="A4194" t="s">
        <v>5093</v>
      </c>
      <c r="B4194" t="s">
        <v>530</v>
      </c>
      <c r="C4194" s="1">
        <v>45569</v>
      </c>
      <c r="D4194" s="1" t="str">
        <f>PROPER(orders[[#This Row],[order_priority]])</f>
        <v>Same Day</v>
      </c>
      <c r="E4194" t="s">
        <v>13322</v>
      </c>
      <c r="F4194" t="str">
        <f>IFERROR(INDEX(customers[country], MATCH(orders[[#This Row],[customer_id]], customers[customer_id], 0)), "Unmapped")</f>
        <v>Denmark</v>
      </c>
      <c r="G4194" t="str">
        <f>IFERROR(INDEX(Region_Map[Region], MATCH(orders[[#This Row],[Customer_Country]], Region_Map[Country], 0)), "Unknown")</f>
        <v>Nordics</v>
      </c>
      <c r="H4194" t="s">
        <v>6949</v>
      </c>
    </row>
    <row r="4195" spans="1:8">
      <c r="A4195" t="s">
        <v>5094</v>
      </c>
      <c r="B4195" t="s">
        <v>852</v>
      </c>
      <c r="C4195" s="1">
        <v>45226</v>
      </c>
      <c r="D4195" s="1" t="str">
        <f>PROPER(orders[[#This Row],[order_priority]])</f>
        <v>Economy</v>
      </c>
      <c r="E4195" t="s">
        <v>13316</v>
      </c>
      <c r="F4195" t="str">
        <f>IFERROR(INDEX(customers[country], MATCH(orders[[#This Row],[customer_id]], customers[customer_id], 0)), "Unmapped")</f>
        <v>Sweden</v>
      </c>
      <c r="G4195" t="str">
        <f>IFERROR(INDEX(Region_Map[Region], MATCH(orders[[#This Row],[Customer_Country]], Region_Map[Country], 0)), "Unknown")</f>
        <v>Nordics</v>
      </c>
      <c r="H4195" t="s">
        <v>6949</v>
      </c>
    </row>
    <row r="4196" spans="1:8">
      <c r="A4196" t="s">
        <v>5095</v>
      </c>
      <c r="B4196" t="s">
        <v>518</v>
      </c>
      <c r="C4196" s="1">
        <v>45052</v>
      </c>
      <c r="D4196" s="1" t="str">
        <f>PROPER(orders[[#This Row],[order_priority]])</f>
        <v>Economy</v>
      </c>
      <c r="E4196" t="s">
        <v>13316</v>
      </c>
      <c r="F4196" t="str">
        <f>IFERROR(INDEX(customers[country], MATCH(orders[[#This Row],[customer_id]], customers[customer_id], 0)), "Unmapped")</f>
        <v>Germany</v>
      </c>
      <c r="G4196" t="str">
        <f>IFERROR(INDEX(Region_Map[Region], MATCH(orders[[#This Row],[Customer_Country]], Region_Map[Country], 0)), "Unknown")</f>
        <v>Central Europe</v>
      </c>
      <c r="H4196" t="s">
        <v>6949</v>
      </c>
    </row>
    <row r="4197" spans="1:8">
      <c r="A4197" t="s">
        <v>5096</v>
      </c>
      <c r="B4197" t="s">
        <v>724</v>
      </c>
      <c r="C4197" s="1">
        <v>45229</v>
      </c>
      <c r="D4197" s="1" t="str">
        <f>PROPER(orders[[#This Row],[order_priority]])</f>
        <v>Standard</v>
      </c>
      <c r="E4197" t="s">
        <v>13317</v>
      </c>
      <c r="F4197" t="str">
        <f>IFERROR(INDEX(customers[country], MATCH(orders[[#This Row],[customer_id]], customers[customer_id], 0)), "Unmapped")</f>
        <v>Denmark</v>
      </c>
      <c r="G4197" t="str">
        <f>IFERROR(INDEX(Region_Map[Region], MATCH(orders[[#This Row],[Customer_Country]], Region_Map[Country], 0)), "Unknown")</f>
        <v>Nordics</v>
      </c>
      <c r="H4197" t="s">
        <v>6949</v>
      </c>
    </row>
    <row r="4198" spans="1:8">
      <c r="A4198" t="s">
        <v>5097</v>
      </c>
      <c r="B4198" t="s">
        <v>536</v>
      </c>
      <c r="C4198" s="1">
        <v>45090</v>
      </c>
      <c r="D4198" s="1" t="str">
        <f>PROPER(orders[[#This Row],[order_priority]])</f>
        <v>Express</v>
      </c>
      <c r="E4198" t="s">
        <v>13320</v>
      </c>
      <c r="F4198" t="str">
        <f>IFERROR(INDEX(customers[country], MATCH(orders[[#This Row],[customer_id]], customers[customer_id], 0)), "Unmapped")</f>
        <v>Germany</v>
      </c>
      <c r="G4198" t="str">
        <f>IFERROR(INDEX(Region_Map[Region], MATCH(orders[[#This Row],[Customer_Country]], Region_Map[Country], 0)), "Unknown")</f>
        <v>Central Europe</v>
      </c>
      <c r="H4198" t="s">
        <v>6949</v>
      </c>
    </row>
    <row r="4199" spans="1:8">
      <c r="A4199" t="s">
        <v>5098</v>
      </c>
      <c r="B4199" t="s">
        <v>679</v>
      </c>
      <c r="C4199" s="1">
        <v>44935</v>
      </c>
      <c r="D4199" s="1" t="str">
        <f>PROPER(orders[[#This Row],[order_priority]])</f>
        <v>Same Day</v>
      </c>
      <c r="E4199" t="s">
        <v>13322</v>
      </c>
      <c r="F4199" t="str">
        <f>IFERROR(INDEX(customers[country], MATCH(orders[[#This Row],[customer_id]], customers[customer_id], 0)), "Unmapped")</f>
        <v>Norway</v>
      </c>
      <c r="G4199" t="str">
        <f>IFERROR(INDEX(Region_Map[Region], MATCH(orders[[#This Row],[Customer_Country]], Region_Map[Country], 0)), "Unknown")</f>
        <v>Nordics</v>
      </c>
      <c r="H4199" t="s">
        <v>6949</v>
      </c>
    </row>
    <row r="4200" spans="1:8">
      <c r="A4200" t="s">
        <v>5099</v>
      </c>
      <c r="B4200" t="s">
        <v>309</v>
      </c>
      <c r="C4200" s="1">
        <v>45455</v>
      </c>
      <c r="D4200" s="1" t="str">
        <f>PROPER(orders[[#This Row],[order_priority]])</f>
        <v>Economy</v>
      </c>
      <c r="E4200" t="s">
        <v>13316</v>
      </c>
      <c r="F4200" t="str">
        <f>IFERROR(INDEX(customers[country], MATCH(orders[[#This Row],[customer_id]], customers[customer_id], 0)), "Unmapped")</f>
        <v>Lithuania</v>
      </c>
      <c r="G4200" t="str">
        <f>IFERROR(INDEX(Region_Map[Region], MATCH(orders[[#This Row],[Customer_Country]], Region_Map[Country], 0)), "Unknown")</f>
        <v>Baltics</v>
      </c>
      <c r="H4200" t="s">
        <v>6949</v>
      </c>
    </row>
    <row r="4201" spans="1:8">
      <c r="A4201" t="s">
        <v>5100</v>
      </c>
      <c r="B4201" t="s">
        <v>861</v>
      </c>
      <c r="C4201" s="1">
        <v>45071</v>
      </c>
      <c r="D4201" s="1" t="str">
        <f>PROPER(orders[[#This Row],[order_priority]])</f>
        <v>Same Day</v>
      </c>
      <c r="E4201" t="s">
        <v>13322</v>
      </c>
      <c r="F4201" t="str">
        <f>IFERROR(INDEX(customers[country], MATCH(orders[[#This Row],[customer_id]], customers[customer_id], 0)), "Unmapped")</f>
        <v>Latvia</v>
      </c>
      <c r="G4201" t="str">
        <f>IFERROR(INDEX(Region_Map[Region], MATCH(orders[[#This Row],[Customer_Country]], Region_Map[Country], 0)), "Unknown")</f>
        <v>Baltics</v>
      </c>
      <c r="H4201" t="s">
        <v>6949</v>
      </c>
    </row>
    <row r="4202" spans="1:8">
      <c r="A4202" t="s">
        <v>5101</v>
      </c>
      <c r="B4202" t="s">
        <v>181</v>
      </c>
      <c r="C4202" s="1">
        <v>45396</v>
      </c>
      <c r="D4202" s="1" t="str">
        <f>PROPER(orders[[#This Row],[order_priority]])</f>
        <v>Express</v>
      </c>
      <c r="E4202" t="s">
        <v>13318</v>
      </c>
      <c r="F4202" t="str">
        <f>IFERROR(INDEX(customers[country], MATCH(orders[[#This Row],[customer_id]], customers[customer_id], 0)), "Unmapped")</f>
        <v>Netherlands</v>
      </c>
      <c r="G4202" t="str">
        <f>IFERROR(INDEX(Region_Map[Region], MATCH(orders[[#This Row],[Customer_Country]], Region_Map[Country], 0)), "Unknown")</f>
        <v>Central Europe</v>
      </c>
      <c r="H4202" t="s">
        <v>6949</v>
      </c>
    </row>
    <row r="4203" spans="1:8">
      <c r="A4203" t="s">
        <v>5102</v>
      </c>
      <c r="B4203" t="s">
        <v>401</v>
      </c>
      <c r="C4203" s="1">
        <v>45546</v>
      </c>
      <c r="D4203" s="1" t="str">
        <f>PROPER(orders[[#This Row],[order_priority]])</f>
        <v>Express</v>
      </c>
      <c r="E4203" t="s">
        <v>13318</v>
      </c>
      <c r="F4203" t="str">
        <f>IFERROR(INDEX(customers[country], MATCH(orders[[#This Row],[customer_id]], customers[customer_id], 0)), "Unmapped")</f>
        <v>Latvia</v>
      </c>
      <c r="G4203" t="str">
        <f>IFERROR(INDEX(Region_Map[Region], MATCH(orders[[#This Row],[Customer_Country]], Region_Map[Country], 0)), "Unknown")</f>
        <v>Baltics</v>
      </c>
      <c r="H4203" t="s">
        <v>6949</v>
      </c>
    </row>
    <row r="4204" spans="1:8">
      <c r="A4204" t="s">
        <v>5103</v>
      </c>
      <c r="B4204" t="s">
        <v>11</v>
      </c>
      <c r="C4204" s="1">
        <v>45278</v>
      </c>
      <c r="D4204" s="1" t="str">
        <f>PROPER(orders[[#This Row],[order_priority]])</f>
        <v>Standard</v>
      </c>
      <c r="E4204" t="s">
        <v>13317</v>
      </c>
      <c r="F4204" t="str">
        <f>IFERROR(INDEX(customers[country], MATCH(orders[[#This Row],[customer_id]], customers[customer_id], 0)), "Unmapped")</f>
        <v>Sweden</v>
      </c>
      <c r="G4204" t="str">
        <f>IFERROR(INDEX(Region_Map[Region], MATCH(orders[[#This Row],[Customer_Country]], Region_Map[Country], 0)), "Unknown")</f>
        <v>Nordics</v>
      </c>
      <c r="H4204" t="s">
        <v>6949</v>
      </c>
    </row>
    <row r="4205" spans="1:8">
      <c r="A4205" t="s">
        <v>5104</v>
      </c>
      <c r="B4205" t="s">
        <v>13356</v>
      </c>
      <c r="C4205" s="1">
        <v>45146</v>
      </c>
      <c r="D4205" s="1" t="str">
        <f>PROPER(orders[[#This Row],[order_priority]])</f>
        <v>Same Day</v>
      </c>
      <c r="E4205" t="s">
        <v>13322</v>
      </c>
      <c r="F4205" t="str">
        <f>IFERROR(INDEX(customers[country], MATCH(orders[[#This Row],[customer_id]], customers[customer_id], 0)), "Unmapped")</f>
        <v>Unmapped</v>
      </c>
      <c r="G4205" t="str">
        <f>IFERROR(INDEX(Region_Map[Region], MATCH(orders[[#This Row],[Customer_Country]], Region_Map[Country], 0)), "Unknown")</f>
        <v>Unknown</v>
      </c>
      <c r="H4205" t="s">
        <v>6949</v>
      </c>
    </row>
    <row r="4206" spans="1:8">
      <c r="A4206" t="s">
        <v>5105</v>
      </c>
      <c r="B4206" t="s">
        <v>416</v>
      </c>
      <c r="C4206" s="1">
        <v>45359</v>
      </c>
      <c r="D4206" s="1" t="str">
        <f>PROPER(orders[[#This Row],[order_priority]])</f>
        <v>Economy</v>
      </c>
      <c r="E4206" t="s">
        <v>13316</v>
      </c>
      <c r="F4206" t="str">
        <f>IFERROR(INDEX(customers[country], MATCH(orders[[#This Row],[customer_id]], customers[customer_id], 0)), "Unmapped")</f>
        <v>Denmark</v>
      </c>
      <c r="G4206" t="str">
        <f>IFERROR(INDEX(Region_Map[Region], MATCH(orders[[#This Row],[Customer_Country]], Region_Map[Country], 0)), "Unknown")</f>
        <v>Nordics</v>
      </c>
      <c r="H4206" t="s">
        <v>6949</v>
      </c>
    </row>
    <row r="4207" spans="1:8">
      <c r="A4207" t="s">
        <v>5106</v>
      </c>
      <c r="B4207" t="s">
        <v>356</v>
      </c>
      <c r="C4207" s="1">
        <v>44988</v>
      </c>
      <c r="D4207" s="1" t="str">
        <f>PROPER(orders[[#This Row],[order_priority]])</f>
        <v>Express</v>
      </c>
      <c r="E4207" t="s">
        <v>13318</v>
      </c>
      <c r="F4207" t="str">
        <f>IFERROR(INDEX(customers[country], MATCH(orders[[#This Row],[customer_id]], customers[customer_id], 0)), "Unmapped")</f>
        <v>Netherlands</v>
      </c>
      <c r="G4207" t="str">
        <f>IFERROR(INDEX(Region_Map[Region], MATCH(orders[[#This Row],[Customer_Country]], Region_Map[Country], 0)), "Unknown")</f>
        <v>Central Europe</v>
      </c>
      <c r="H4207" t="s">
        <v>6949</v>
      </c>
    </row>
    <row r="4208" spans="1:8">
      <c r="A4208" t="s">
        <v>5107</v>
      </c>
      <c r="B4208" t="s">
        <v>655</v>
      </c>
      <c r="C4208" s="1">
        <v>45448</v>
      </c>
      <c r="D4208" s="1" t="str">
        <f>PROPER(orders[[#This Row],[order_priority]])</f>
        <v>Economy</v>
      </c>
      <c r="E4208" t="s">
        <v>13316</v>
      </c>
      <c r="F4208" t="str">
        <f>IFERROR(INDEX(customers[country], MATCH(orders[[#This Row],[customer_id]], customers[customer_id], 0)), "Unmapped")</f>
        <v>Sweden</v>
      </c>
      <c r="G4208" t="str">
        <f>IFERROR(INDEX(Region_Map[Region], MATCH(orders[[#This Row],[Customer_Country]], Region_Map[Country], 0)), "Unknown")</f>
        <v>Nordics</v>
      </c>
      <c r="H4208" t="s">
        <v>6949</v>
      </c>
    </row>
    <row r="4209" spans="1:8">
      <c r="A4209" t="s">
        <v>5108</v>
      </c>
      <c r="B4209" t="s">
        <v>867</v>
      </c>
      <c r="C4209" s="1">
        <v>45188</v>
      </c>
      <c r="D4209" s="1" t="str">
        <f>PROPER(orders[[#This Row],[order_priority]])</f>
        <v>Economy</v>
      </c>
      <c r="E4209" t="s">
        <v>13316</v>
      </c>
      <c r="F4209" t="str">
        <f>IFERROR(INDEX(customers[country], MATCH(orders[[#This Row],[customer_id]], customers[customer_id], 0)), "Unmapped")</f>
        <v>Denmark</v>
      </c>
      <c r="G4209" t="str">
        <f>IFERROR(INDEX(Region_Map[Region], MATCH(orders[[#This Row],[Customer_Country]], Region_Map[Country], 0)), "Unknown")</f>
        <v>Nordics</v>
      </c>
      <c r="H4209" t="s">
        <v>6949</v>
      </c>
    </row>
    <row r="4210" spans="1:8">
      <c r="A4210" t="s">
        <v>5109</v>
      </c>
      <c r="B4210" t="s">
        <v>882</v>
      </c>
      <c r="C4210" s="1">
        <v>44999</v>
      </c>
      <c r="D4210" s="1" t="str">
        <f>PROPER(orders[[#This Row],[order_priority]])</f>
        <v>Express</v>
      </c>
      <c r="E4210" t="s">
        <v>13318</v>
      </c>
      <c r="F4210" t="str">
        <f>IFERROR(INDEX(customers[country], MATCH(orders[[#This Row],[customer_id]], customers[customer_id], 0)), "Unmapped")</f>
        <v>Netherlands</v>
      </c>
      <c r="G4210" t="str">
        <f>IFERROR(INDEX(Region_Map[Region], MATCH(orders[[#This Row],[Customer_Country]], Region_Map[Country], 0)), "Unknown")</f>
        <v>Central Europe</v>
      </c>
      <c r="H4210" t="s">
        <v>6949</v>
      </c>
    </row>
    <row r="4211" spans="1:8">
      <c r="A4211" t="s">
        <v>5110</v>
      </c>
      <c r="B4211" t="s">
        <v>852</v>
      </c>
      <c r="C4211" s="1">
        <v>45317</v>
      </c>
      <c r="D4211" s="1" t="str">
        <f>PROPER(orders[[#This Row],[order_priority]])</f>
        <v>Standard</v>
      </c>
      <c r="E4211" t="s">
        <v>13317</v>
      </c>
      <c r="F4211" t="str">
        <f>IFERROR(INDEX(customers[country], MATCH(orders[[#This Row],[customer_id]], customers[customer_id], 0)), "Unmapped")</f>
        <v>Sweden</v>
      </c>
      <c r="G4211" t="str">
        <f>IFERROR(INDEX(Region_Map[Region], MATCH(orders[[#This Row],[Customer_Country]], Region_Map[Country], 0)), "Unknown")</f>
        <v>Nordics</v>
      </c>
      <c r="H4211" t="s">
        <v>6949</v>
      </c>
    </row>
    <row r="4212" spans="1:8">
      <c r="A4212" t="s">
        <v>5111</v>
      </c>
      <c r="B4212" t="s">
        <v>42</v>
      </c>
      <c r="C4212" s="1">
        <v>45107</v>
      </c>
      <c r="D4212" s="1" t="str">
        <f>PROPER(orders[[#This Row],[order_priority]])</f>
        <v>Standard</v>
      </c>
      <c r="E4212" t="s">
        <v>13317</v>
      </c>
      <c r="F4212" t="str">
        <f>IFERROR(INDEX(customers[country], MATCH(orders[[#This Row],[customer_id]], customers[customer_id], 0)), "Unmapped")</f>
        <v>Estonia</v>
      </c>
      <c r="G4212" t="str">
        <f>IFERROR(INDEX(Region_Map[Region], MATCH(orders[[#This Row],[Customer_Country]], Region_Map[Country], 0)), "Unknown")</f>
        <v>Baltics</v>
      </c>
      <c r="H4212" t="s">
        <v>6949</v>
      </c>
    </row>
    <row r="4213" spans="1:8">
      <c r="A4213" t="s">
        <v>5112</v>
      </c>
      <c r="B4213" t="s">
        <v>849</v>
      </c>
      <c r="C4213" s="1">
        <v>45125</v>
      </c>
      <c r="D4213" s="1" t="str">
        <f>PROPER(orders[[#This Row],[order_priority]])</f>
        <v>Standard</v>
      </c>
      <c r="E4213" t="s">
        <v>13317</v>
      </c>
      <c r="F4213" t="str">
        <f>IFERROR(INDEX(customers[country], MATCH(orders[[#This Row],[customer_id]], customers[customer_id], 0)), "Unmapped")</f>
        <v>Lithuania</v>
      </c>
      <c r="G4213" t="str">
        <f>IFERROR(INDEX(Region_Map[Region], MATCH(orders[[#This Row],[Customer_Country]], Region_Map[Country], 0)), "Unknown")</f>
        <v>Baltics</v>
      </c>
      <c r="H4213" t="s">
        <v>6949</v>
      </c>
    </row>
    <row r="4214" spans="1:8">
      <c r="A4214" t="s">
        <v>5113</v>
      </c>
      <c r="B4214" t="s">
        <v>533</v>
      </c>
      <c r="C4214" s="1">
        <v>45381</v>
      </c>
      <c r="D4214" s="1" t="str">
        <f>PROPER(orders[[#This Row],[order_priority]])</f>
        <v>Economy</v>
      </c>
      <c r="E4214" t="s">
        <v>13316</v>
      </c>
      <c r="F4214" t="str">
        <f>IFERROR(INDEX(customers[country], MATCH(orders[[#This Row],[customer_id]], customers[customer_id], 0)), "Unmapped")</f>
        <v>Germany</v>
      </c>
      <c r="G4214" t="str">
        <f>IFERROR(INDEX(Region_Map[Region], MATCH(orders[[#This Row],[Customer_Country]], Region_Map[Country], 0)), "Unknown")</f>
        <v>Central Europe</v>
      </c>
      <c r="H4214" t="s">
        <v>6949</v>
      </c>
    </row>
    <row r="4215" spans="1:8">
      <c r="A4215" t="s">
        <v>5114</v>
      </c>
      <c r="B4215" t="s">
        <v>530</v>
      </c>
      <c r="C4215" s="1">
        <v>45385</v>
      </c>
      <c r="D4215" s="1" t="str">
        <f>PROPER(orders[[#This Row],[order_priority]])</f>
        <v>Standard</v>
      </c>
      <c r="E4215" t="s">
        <v>13317</v>
      </c>
      <c r="F4215" t="str">
        <f>IFERROR(INDEX(customers[country], MATCH(orders[[#This Row],[customer_id]], customers[customer_id], 0)), "Unmapped")</f>
        <v>Denmark</v>
      </c>
      <c r="G4215" t="str">
        <f>IFERROR(INDEX(Region_Map[Region], MATCH(orders[[#This Row],[Customer_Country]], Region_Map[Country], 0)), "Unknown")</f>
        <v>Nordics</v>
      </c>
      <c r="H4215" t="s">
        <v>6949</v>
      </c>
    </row>
    <row r="4216" spans="1:8">
      <c r="A4216" t="s">
        <v>5115</v>
      </c>
      <c r="B4216" t="s">
        <v>335</v>
      </c>
      <c r="C4216" s="1">
        <v>45441</v>
      </c>
      <c r="D4216" s="1" t="str">
        <f>PROPER(orders[[#This Row],[order_priority]])</f>
        <v>Express</v>
      </c>
      <c r="E4216" t="s">
        <v>13318</v>
      </c>
      <c r="F4216" t="str">
        <f>IFERROR(INDEX(customers[country], MATCH(orders[[#This Row],[customer_id]], customers[customer_id], 0)), "Unmapped")</f>
        <v>Denmark</v>
      </c>
      <c r="G4216" t="str">
        <f>IFERROR(INDEX(Region_Map[Region], MATCH(orders[[#This Row],[Customer_Country]], Region_Map[Country], 0)), "Unknown")</f>
        <v>Nordics</v>
      </c>
      <c r="H4216" t="s">
        <v>6949</v>
      </c>
    </row>
    <row r="4217" spans="1:8">
      <c r="A4217" t="s">
        <v>5116</v>
      </c>
      <c r="B4217" t="s">
        <v>867</v>
      </c>
      <c r="C4217" s="1">
        <v>45167</v>
      </c>
      <c r="D4217" s="1" t="str">
        <f>PROPER(orders[[#This Row],[order_priority]])</f>
        <v>Express</v>
      </c>
      <c r="E4217" t="s">
        <v>13318</v>
      </c>
      <c r="F4217" t="str">
        <f>IFERROR(INDEX(customers[country], MATCH(orders[[#This Row],[customer_id]], customers[customer_id], 0)), "Unmapped")</f>
        <v>Denmark</v>
      </c>
      <c r="G4217" t="str">
        <f>IFERROR(INDEX(Region_Map[Region], MATCH(orders[[#This Row],[Customer_Country]], Region_Map[Country], 0)), "Unknown")</f>
        <v>Nordics</v>
      </c>
      <c r="H4217" t="s">
        <v>6949</v>
      </c>
    </row>
    <row r="4218" spans="1:8">
      <c r="A4218" t="s">
        <v>5117</v>
      </c>
      <c r="B4218" t="s">
        <v>518</v>
      </c>
      <c r="C4218" s="1">
        <v>45553</v>
      </c>
      <c r="D4218" s="1" t="str">
        <f>PROPER(orders[[#This Row],[order_priority]])</f>
        <v>Same Day</v>
      </c>
      <c r="E4218" t="s">
        <v>13322</v>
      </c>
      <c r="F4218" t="str">
        <f>IFERROR(INDEX(customers[country], MATCH(orders[[#This Row],[customer_id]], customers[customer_id], 0)), "Unmapped")</f>
        <v>Germany</v>
      </c>
      <c r="G4218" t="str">
        <f>IFERROR(INDEX(Region_Map[Region], MATCH(orders[[#This Row],[Customer_Country]], Region_Map[Country], 0)), "Unknown")</f>
        <v>Central Europe</v>
      </c>
      <c r="H4218" t="s">
        <v>6949</v>
      </c>
    </row>
    <row r="4219" spans="1:8">
      <c r="A4219" t="s">
        <v>5118</v>
      </c>
      <c r="B4219" t="s">
        <v>867</v>
      </c>
      <c r="C4219" s="1">
        <v>45237</v>
      </c>
      <c r="D4219" s="1" t="str">
        <f>PROPER(orders[[#This Row],[order_priority]])</f>
        <v>Same Day</v>
      </c>
      <c r="E4219" t="s">
        <v>13322</v>
      </c>
      <c r="F4219" t="str">
        <f>IFERROR(INDEX(customers[country], MATCH(orders[[#This Row],[customer_id]], customers[customer_id], 0)), "Unmapped")</f>
        <v>Denmark</v>
      </c>
      <c r="G4219" t="str">
        <f>IFERROR(INDEX(Region_Map[Region], MATCH(orders[[#This Row],[Customer_Country]], Region_Map[Country], 0)), "Unknown")</f>
        <v>Nordics</v>
      </c>
      <c r="H4219" t="s">
        <v>6949</v>
      </c>
    </row>
    <row r="4220" spans="1:8">
      <c r="A4220" t="s">
        <v>5119</v>
      </c>
      <c r="B4220" t="s">
        <v>93</v>
      </c>
      <c r="C4220" s="1">
        <v>45275</v>
      </c>
      <c r="D4220" s="1" t="str">
        <f>PROPER(orders[[#This Row],[order_priority]])</f>
        <v>Standard</v>
      </c>
      <c r="E4220" t="s">
        <v>13317</v>
      </c>
      <c r="F4220" t="str">
        <f>IFERROR(INDEX(customers[country], MATCH(orders[[#This Row],[customer_id]], customers[customer_id], 0)), "Unmapped")</f>
        <v>Norway</v>
      </c>
      <c r="G4220" t="str">
        <f>IFERROR(INDEX(Region_Map[Region], MATCH(orders[[#This Row],[Customer_Country]], Region_Map[Country], 0)), "Unknown")</f>
        <v>Nordics</v>
      </c>
      <c r="H4220" t="s">
        <v>6949</v>
      </c>
    </row>
    <row r="4221" spans="1:8">
      <c r="A4221" t="s">
        <v>5120</v>
      </c>
      <c r="B4221" t="s">
        <v>51</v>
      </c>
      <c r="C4221" s="1">
        <v>45622</v>
      </c>
      <c r="D4221" s="1" t="str">
        <f>PROPER(orders[[#This Row],[order_priority]])</f>
        <v>Economy</v>
      </c>
      <c r="E4221" t="s">
        <v>13328</v>
      </c>
      <c r="F4221" t="str">
        <f>IFERROR(INDEX(customers[country], MATCH(orders[[#This Row],[customer_id]], customers[customer_id], 0)), "Unmapped")</f>
        <v>Germany</v>
      </c>
      <c r="G4221" t="str">
        <f>IFERROR(INDEX(Region_Map[Region], MATCH(orders[[#This Row],[Customer_Country]], Region_Map[Country], 0)), "Unknown")</f>
        <v>Central Europe</v>
      </c>
      <c r="H4221" t="s">
        <v>6949</v>
      </c>
    </row>
    <row r="4222" spans="1:8">
      <c r="A4222" t="s">
        <v>5121</v>
      </c>
      <c r="B4222" t="s">
        <v>712</v>
      </c>
      <c r="C4222" s="1">
        <v>45618</v>
      </c>
      <c r="D4222" s="1" t="str">
        <f>PROPER(orders[[#This Row],[order_priority]])</f>
        <v>Same Day</v>
      </c>
      <c r="E4222" t="s">
        <v>13322</v>
      </c>
      <c r="F4222" t="str">
        <f>IFERROR(INDEX(customers[country], MATCH(orders[[#This Row],[customer_id]], customers[customer_id], 0)), "Unmapped")</f>
        <v>Finland</v>
      </c>
      <c r="G4222" t="str">
        <f>IFERROR(INDEX(Region_Map[Region], MATCH(orders[[#This Row],[Customer_Country]], Region_Map[Country], 0)), "Unknown")</f>
        <v>Nordics</v>
      </c>
      <c r="H4222" t="s">
        <v>6949</v>
      </c>
    </row>
    <row r="4223" spans="1:8">
      <c r="A4223" t="s">
        <v>5122</v>
      </c>
      <c r="B4223" t="s">
        <v>404</v>
      </c>
      <c r="C4223" s="1">
        <v>44956</v>
      </c>
      <c r="D4223" s="1" t="str">
        <f>PROPER(orders[[#This Row],[order_priority]])</f>
        <v>Economy</v>
      </c>
      <c r="E4223" t="s">
        <v>13316</v>
      </c>
      <c r="F4223" t="str">
        <f>IFERROR(INDEX(customers[country], MATCH(orders[[#This Row],[customer_id]], customers[customer_id], 0)), "Unmapped")</f>
        <v>Latvia</v>
      </c>
      <c r="G4223" t="str">
        <f>IFERROR(INDEX(Region_Map[Region], MATCH(orders[[#This Row],[Customer_Country]], Region_Map[Country], 0)), "Unknown")</f>
        <v>Baltics</v>
      </c>
      <c r="H4223" t="s">
        <v>6949</v>
      </c>
    </row>
    <row r="4224" spans="1:8">
      <c r="A4224" t="s">
        <v>5123</v>
      </c>
      <c r="B4224" t="s">
        <v>787</v>
      </c>
      <c r="C4224" s="1">
        <v>45097</v>
      </c>
      <c r="D4224" s="1" t="str">
        <f>PROPER(orders[[#This Row],[order_priority]])</f>
        <v>Same Day</v>
      </c>
      <c r="E4224" t="s">
        <v>13322</v>
      </c>
      <c r="F4224" t="str">
        <f>IFERROR(INDEX(customers[country], MATCH(orders[[#This Row],[customer_id]], customers[customer_id], 0)), "Unmapped")</f>
        <v>Netherlands</v>
      </c>
      <c r="G4224" t="str">
        <f>IFERROR(INDEX(Region_Map[Region], MATCH(orders[[#This Row],[Customer_Country]], Region_Map[Country], 0)), "Unknown")</f>
        <v>Central Europe</v>
      </c>
      <c r="H4224" t="s">
        <v>6949</v>
      </c>
    </row>
    <row r="4225" spans="1:8">
      <c r="A4225" t="s">
        <v>5124</v>
      </c>
      <c r="B4225" t="s">
        <v>428</v>
      </c>
      <c r="C4225" s="1">
        <v>44996</v>
      </c>
      <c r="D4225" s="1" t="str">
        <f>PROPER(orders[[#This Row],[order_priority]])</f>
        <v>Standard</v>
      </c>
      <c r="E4225" t="s">
        <v>13323</v>
      </c>
      <c r="F4225" t="str">
        <f>IFERROR(INDEX(customers[country], MATCH(orders[[#This Row],[customer_id]], customers[customer_id], 0)), "Unmapped")</f>
        <v>Finland</v>
      </c>
      <c r="G4225" t="str">
        <f>IFERROR(INDEX(Region_Map[Region], MATCH(orders[[#This Row],[Customer_Country]], Region_Map[Country], 0)), "Unknown")</f>
        <v>Nordics</v>
      </c>
      <c r="H4225" t="s">
        <v>6949</v>
      </c>
    </row>
    <row r="4226" spans="1:8">
      <c r="A4226" t="s">
        <v>5125</v>
      </c>
      <c r="B4226" t="s">
        <v>897</v>
      </c>
      <c r="C4226" s="1">
        <v>45254</v>
      </c>
      <c r="D4226" s="1" t="str">
        <f>PROPER(orders[[#This Row],[order_priority]])</f>
        <v>Same Day</v>
      </c>
      <c r="E4226" t="s">
        <v>13322</v>
      </c>
      <c r="F4226" t="str">
        <f>IFERROR(INDEX(customers[country], MATCH(orders[[#This Row],[customer_id]], customers[customer_id], 0)), "Unmapped")</f>
        <v>Netherlands</v>
      </c>
      <c r="G4226" t="str">
        <f>IFERROR(INDEX(Region_Map[Region], MATCH(orders[[#This Row],[Customer_Country]], Region_Map[Country], 0)), "Unknown")</f>
        <v>Central Europe</v>
      </c>
      <c r="H4226" t="s">
        <v>6949</v>
      </c>
    </row>
    <row r="4227" spans="1:8">
      <c r="A4227" t="s">
        <v>5126</v>
      </c>
      <c r="B4227" t="s">
        <v>106</v>
      </c>
      <c r="C4227" s="1">
        <v>45224</v>
      </c>
      <c r="D4227" s="1" t="str">
        <f>PROPER(orders[[#This Row],[order_priority]])</f>
        <v>Same Day</v>
      </c>
      <c r="E4227" t="s">
        <v>13322</v>
      </c>
      <c r="F4227" t="str">
        <f>IFERROR(INDEX(customers[country], MATCH(orders[[#This Row],[customer_id]], customers[customer_id], 0)), "Unmapped")</f>
        <v>Lithuania</v>
      </c>
      <c r="G4227" t="str">
        <f>IFERROR(INDEX(Region_Map[Region], MATCH(orders[[#This Row],[Customer_Country]], Region_Map[Country], 0)), "Unknown")</f>
        <v>Baltics</v>
      </c>
      <c r="H4227" t="s">
        <v>6949</v>
      </c>
    </row>
    <row r="4228" spans="1:8">
      <c r="A4228" t="s">
        <v>5127</v>
      </c>
      <c r="B4228" t="s">
        <v>518</v>
      </c>
      <c r="C4228" s="1">
        <v>45102</v>
      </c>
      <c r="D4228" s="1" t="str">
        <f>PROPER(orders[[#This Row],[order_priority]])</f>
        <v>Express</v>
      </c>
      <c r="E4228" t="s">
        <v>13318</v>
      </c>
      <c r="F4228" t="str">
        <f>IFERROR(INDEX(customers[country], MATCH(orders[[#This Row],[customer_id]], customers[customer_id], 0)), "Unmapped")</f>
        <v>Germany</v>
      </c>
      <c r="G4228" t="str">
        <f>IFERROR(INDEX(Region_Map[Region], MATCH(orders[[#This Row],[Customer_Country]], Region_Map[Country], 0)), "Unknown")</f>
        <v>Central Europe</v>
      </c>
      <c r="H4228" t="s">
        <v>6949</v>
      </c>
    </row>
    <row r="4229" spans="1:8">
      <c r="A4229" t="s">
        <v>5128</v>
      </c>
      <c r="B4229" t="s">
        <v>6949</v>
      </c>
      <c r="C4229" s="1">
        <v>45419</v>
      </c>
      <c r="D4229" s="1" t="str">
        <f>PROPER(orders[[#This Row],[order_priority]])</f>
        <v>Standard</v>
      </c>
      <c r="E4229" t="s">
        <v>13317</v>
      </c>
      <c r="F4229" t="str">
        <f>IFERROR(INDEX(customers[country], MATCH(orders[[#This Row],[customer_id]], customers[customer_id], 0)), "Unmapped")</f>
        <v>Unmapped</v>
      </c>
      <c r="G4229" t="str">
        <f>IFERROR(INDEX(Region_Map[Region], MATCH(orders[[#This Row],[Customer_Country]], Region_Map[Country], 0)), "Unknown")</f>
        <v>Unknown</v>
      </c>
      <c r="H4229" t="s">
        <v>6949</v>
      </c>
    </row>
    <row r="4230" spans="1:8">
      <c r="A4230" t="s">
        <v>5129</v>
      </c>
      <c r="B4230" t="s">
        <v>563</v>
      </c>
      <c r="C4230" s="1">
        <v>45560</v>
      </c>
      <c r="D4230" s="1" t="str">
        <f>PROPER(orders[[#This Row],[order_priority]])</f>
        <v>Standard</v>
      </c>
      <c r="E4230" t="s">
        <v>13323</v>
      </c>
      <c r="F4230" t="str">
        <f>IFERROR(INDEX(customers[country], MATCH(orders[[#This Row],[customer_id]], customers[customer_id], 0)), "Unmapped")</f>
        <v>Estonia</v>
      </c>
      <c r="G4230" t="str">
        <f>IFERROR(INDEX(Region_Map[Region], MATCH(orders[[#This Row],[Customer_Country]], Region_Map[Country], 0)), "Unknown")</f>
        <v>Baltics</v>
      </c>
      <c r="H4230" t="s">
        <v>6949</v>
      </c>
    </row>
    <row r="4231" spans="1:8">
      <c r="A4231" t="s">
        <v>5130</v>
      </c>
      <c r="B4231" t="s">
        <v>77</v>
      </c>
      <c r="C4231" s="1">
        <v>45607</v>
      </c>
      <c r="D4231" s="1" t="str">
        <f>PROPER(orders[[#This Row],[order_priority]])</f>
        <v>Same Day</v>
      </c>
      <c r="E4231" t="s">
        <v>13321</v>
      </c>
      <c r="F4231" t="str">
        <f>IFERROR(INDEX(customers[country], MATCH(orders[[#This Row],[customer_id]], customers[customer_id], 0)), "Unmapped")</f>
        <v>Lithuania</v>
      </c>
      <c r="G4231" t="str">
        <f>IFERROR(INDEX(Region_Map[Region], MATCH(orders[[#This Row],[Customer_Country]], Region_Map[Country], 0)), "Unknown")</f>
        <v>Baltics</v>
      </c>
      <c r="H4231" t="s">
        <v>6949</v>
      </c>
    </row>
    <row r="4232" spans="1:8">
      <c r="A4232" t="s">
        <v>5131</v>
      </c>
      <c r="B4232" t="s">
        <v>724</v>
      </c>
      <c r="C4232" s="1">
        <v>45073</v>
      </c>
      <c r="D4232" s="1" t="str">
        <f>PROPER(orders[[#This Row],[order_priority]])</f>
        <v>Standard</v>
      </c>
      <c r="E4232" t="s">
        <v>13317</v>
      </c>
      <c r="F4232" t="str">
        <f>IFERROR(INDEX(customers[country], MATCH(orders[[#This Row],[customer_id]], customers[customer_id], 0)), "Unmapped")</f>
        <v>Denmark</v>
      </c>
      <c r="G4232" t="str">
        <f>IFERROR(INDEX(Region_Map[Region], MATCH(orders[[#This Row],[Customer_Country]], Region_Map[Country], 0)), "Unknown")</f>
        <v>Nordics</v>
      </c>
      <c r="H4232" t="s">
        <v>6949</v>
      </c>
    </row>
    <row r="4233" spans="1:8">
      <c r="A4233" t="s">
        <v>5132</v>
      </c>
      <c r="B4233" t="s">
        <v>891</v>
      </c>
      <c r="C4233" s="1">
        <v>45513</v>
      </c>
      <c r="D4233" s="1" t="str">
        <f>PROPER(orders[[#This Row],[order_priority]])</f>
        <v>Same Day</v>
      </c>
      <c r="E4233" t="s">
        <v>13322</v>
      </c>
      <c r="F4233" t="str">
        <f>IFERROR(INDEX(customers[country], MATCH(orders[[#This Row],[customer_id]], customers[customer_id], 0)), "Unmapped")</f>
        <v>Netherlands</v>
      </c>
      <c r="G4233" t="str">
        <f>IFERROR(INDEX(Region_Map[Region], MATCH(orders[[#This Row],[Customer_Country]], Region_Map[Country], 0)), "Unknown")</f>
        <v>Central Europe</v>
      </c>
      <c r="H4233" t="s">
        <v>6949</v>
      </c>
    </row>
    <row r="4234" spans="1:8">
      <c r="A4234" t="s">
        <v>5133</v>
      </c>
      <c r="B4234" t="s">
        <v>157</v>
      </c>
      <c r="C4234" s="1">
        <v>45070</v>
      </c>
      <c r="D4234" s="1" t="str">
        <f>PROPER(orders[[#This Row],[order_priority]])</f>
        <v>Same Day</v>
      </c>
      <c r="E4234" t="s">
        <v>13322</v>
      </c>
      <c r="F4234" t="str">
        <f>IFERROR(INDEX(customers[country], MATCH(orders[[#This Row],[customer_id]], customers[customer_id], 0)), "Unmapped")</f>
        <v>Lithuania</v>
      </c>
      <c r="G4234" t="str">
        <f>IFERROR(INDEX(Region_Map[Region], MATCH(orders[[#This Row],[Customer_Country]], Region_Map[Country], 0)), "Unknown")</f>
        <v>Baltics</v>
      </c>
      <c r="H4234" t="s">
        <v>6949</v>
      </c>
    </row>
    <row r="4235" spans="1:8">
      <c r="A4235" t="s">
        <v>5134</v>
      </c>
      <c r="B4235" t="s">
        <v>575</v>
      </c>
      <c r="C4235" s="1">
        <v>45470</v>
      </c>
      <c r="D4235" s="1" t="str">
        <f>PROPER(orders[[#This Row],[order_priority]])</f>
        <v>Express</v>
      </c>
      <c r="E4235" t="s">
        <v>13326</v>
      </c>
      <c r="F4235" t="str">
        <f>IFERROR(INDEX(customers[country], MATCH(orders[[#This Row],[customer_id]], customers[customer_id], 0)), "Unmapped")</f>
        <v>Netherlands</v>
      </c>
      <c r="G4235" t="str">
        <f>IFERROR(INDEX(Region_Map[Region], MATCH(orders[[#This Row],[Customer_Country]], Region_Map[Country], 0)), "Unknown")</f>
        <v>Central Europe</v>
      </c>
      <c r="H4235" t="s">
        <v>6949</v>
      </c>
    </row>
    <row r="4236" spans="1:8">
      <c r="A4236" t="s">
        <v>5135</v>
      </c>
      <c r="B4236" t="s">
        <v>48</v>
      </c>
      <c r="C4236" s="1">
        <v>45014</v>
      </c>
      <c r="D4236" s="1" t="str">
        <f>PROPER(orders[[#This Row],[order_priority]])</f>
        <v>Same Day</v>
      </c>
      <c r="E4236" t="s">
        <v>13322</v>
      </c>
      <c r="F4236" t="str">
        <f>IFERROR(INDEX(customers[country], MATCH(orders[[#This Row],[customer_id]], customers[customer_id], 0)), "Unmapped")</f>
        <v>Poland</v>
      </c>
      <c r="G4236" t="str">
        <f>IFERROR(INDEX(Region_Map[Region], MATCH(orders[[#This Row],[Customer_Country]], Region_Map[Country], 0)), "Unknown")</f>
        <v>Central Europe</v>
      </c>
      <c r="H4236" t="s">
        <v>6949</v>
      </c>
    </row>
    <row r="4237" spans="1:8">
      <c r="A4237" t="s">
        <v>5136</v>
      </c>
      <c r="B4237" t="s">
        <v>775</v>
      </c>
      <c r="C4237" s="1">
        <v>45429</v>
      </c>
      <c r="D4237" s="1" t="str">
        <f>PROPER(orders[[#This Row],[order_priority]])</f>
        <v>Same Day</v>
      </c>
      <c r="E4237" t="s">
        <v>13321</v>
      </c>
      <c r="F4237" t="str">
        <f>IFERROR(INDEX(customers[country], MATCH(orders[[#This Row],[customer_id]], customers[customer_id], 0)), "Unmapped")</f>
        <v>Sweden</v>
      </c>
      <c r="G4237" t="str">
        <f>IFERROR(INDEX(Region_Map[Region], MATCH(orders[[#This Row],[Customer_Country]], Region_Map[Country], 0)), "Unknown")</f>
        <v>Nordics</v>
      </c>
      <c r="H4237" t="s">
        <v>6949</v>
      </c>
    </row>
    <row r="4238" spans="1:8">
      <c r="A4238" t="s">
        <v>5137</v>
      </c>
      <c r="B4238" t="s">
        <v>87</v>
      </c>
      <c r="C4238" s="1">
        <v>45226</v>
      </c>
      <c r="D4238" s="1" t="str">
        <f>PROPER(orders[[#This Row],[order_priority]])</f>
        <v>Same Day</v>
      </c>
      <c r="E4238" t="s">
        <v>13322</v>
      </c>
      <c r="F4238" t="str">
        <f>IFERROR(INDEX(customers[country], MATCH(orders[[#This Row],[customer_id]], customers[customer_id], 0)), "Unmapped")</f>
        <v>Latvia</v>
      </c>
      <c r="G4238" t="str">
        <f>IFERROR(INDEX(Region_Map[Region], MATCH(orders[[#This Row],[Customer_Country]], Region_Map[Country], 0)), "Unknown")</f>
        <v>Baltics</v>
      </c>
      <c r="H4238" t="s">
        <v>6949</v>
      </c>
    </row>
    <row r="4239" spans="1:8">
      <c r="A4239" t="s">
        <v>5138</v>
      </c>
      <c r="B4239" t="s">
        <v>679</v>
      </c>
      <c r="C4239" s="1">
        <v>45062</v>
      </c>
      <c r="D4239" s="1" t="str">
        <f>PROPER(orders[[#This Row],[order_priority]])</f>
        <v>Express</v>
      </c>
      <c r="E4239" t="s">
        <v>13318</v>
      </c>
      <c r="F4239" t="str">
        <f>IFERROR(INDEX(customers[country], MATCH(orders[[#This Row],[customer_id]], customers[customer_id], 0)), "Unmapped")</f>
        <v>Norway</v>
      </c>
      <c r="G4239" t="str">
        <f>IFERROR(INDEX(Region_Map[Region], MATCH(orders[[#This Row],[Customer_Country]], Region_Map[Country], 0)), "Unknown")</f>
        <v>Nordics</v>
      </c>
      <c r="H4239" t="s">
        <v>6949</v>
      </c>
    </row>
    <row r="4240" spans="1:8">
      <c r="A4240" t="s">
        <v>5139</v>
      </c>
      <c r="B4240" t="s">
        <v>891</v>
      </c>
      <c r="C4240" s="1">
        <v>45253</v>
      </c>
      <c r="D4240" s="1" t="str">
        <f>PROPER(orders[[#This Row],[order_priority]])</f>
        <v>Same Day</v>
      </c>
      <c r="E4240" t="s">
        <v>13321</v>
      </c>
      <c r="F4240" t="str">
        <f>IFERROR(INDEX(customers[country], MATCH(orders[[#This Row],[customer_id]], customers[customer_id], 0)), "Unmapped")</f>
        <v>Netherlands</v>
      </c>
      <c r="G4240" t="str">
        <f>IFERROR(INDEX(Region_Map[Region], MATCH(orders[[#This Row],[Customer_Country]], Region_Map[Country], 0)), "Unknown")</f>
        <v>Central Europe</v>
      </c>
      <c r="H4240" t="s">
        <v>6949</v>
      </c>
    </row>
    <row r="4241" spans="1:8">
      <c r="A4241" t="s">
        <v>5140</v>
      </c>
      <c r="B4241" t="s">
        <v>6</v>
      </c>
      <c r="C4241" s="1">
        <v>45516</v>
      </c>
      <c r="D4241" s="1" t="str">
        <f>PROPER(orders[[#This Row],[order_priority]])</f>
        <v>Standard</v>
      </c>
      <c r="E4241" t="s">
        <v>13317</v>
      </c>
      <c r="F4241" t="str">
        <f>IFERROR(INDEX(customers[country], MATCH(orders[[#This Row],[customer_id]], customers[customer_id], 0)), "Unmapped")</f>
        <v>Latvia</v>
      </c>
      <c r="G4241" t="str">
        <f>IFERROR(INDEX(Region_Map[Region], MATCH(orders[[#This Row],[Customer_Country]], Region_Map[Country], 0)), "Unknown")</f>
        <v>Baltics</v>
      </c>
      <c r="H4241" t="s">
        <v>6949</v>
      </c>
    </row>
    <row r="4242" spans="1:8">
      <c r="A4242" t="s">
        <v>5141</v>
      </c>
      <c r="B4242" t="s">
        <v>569</v>
      </c>
      <c r="C4242" s="1">
        <v>45175</v>
      </c>
      <c r="D4242" s="1" t="str">
        <f>PROPER(orders[[#This Row],[order_priority]])</f>
        <v>Express</v>
      </c>
      <c r="E4242" t="s">
        <v>13318</v>
      </c>
      <c r="F4242" t="str">
        <f>IFERROR(INDEX(customers[country], MATCH(orders[[#This Row],[customer_id]], customers[customer_id], 0)), "Unmapped")</f>
        <v>Estonia</v>
      </c>
      <c r="G4242" t="str">
        <f>IFERROR(INDEX(Region_Map[Region], MATCH(orders[[#This Row],[Customer_Country]], Region_Map[Country], 0)), "Unknown")</f>
        <v>Baltics</v>
      </c>
      <c r="H4242" t="s">
        <v>6949</v>
      </c>
    </row>
    <row r="4243" spans="1:8">
      <c r="A4243" t="s">
        <v>5142</v>
      </c>
      <c r="B4243" t="s">
        <v>231</v>
      </c>
      <c r="C4243" s="1">
        <v>45320</v>
      </c>
      <c r="D4243" s="1" t="str">
        <f>PROPER(orders[[#This Row],[order_priority]])</f>
        <v>Express</v>
      </c>
      <c r="E4243" t="s">
        <v>13318</v>
      </c>
      <c r="F4243" t="str">
        <f>IFERROR(INDEX(customers[country], MATCH(orders[[#This Row],[customer_id]], customers[customer_id], 0)), "Unmapped")</f>
        <v>Lithuania</v>
      </c>
      <c r="G4243" t="str">
        <f>IFERROR(INDEX(Region_Map[Region], MATCH(orders[[#This Row],[Customer_Country]], Region_Map[Country], 0)), "Unknown")</f>
        <v>Baltics</v>
      </c>
      <c r="H4243" t="s">
        <v>6949</v>
      </c>
    </row>
    <row r="4244" spans="1:8">
      <c r="A4244" t="s">
        <v>5143</v>
      </c>
      <c r="B4244" t="s">
        <v>467</v>
      </c>
      <c r="C4244" s="1">
        <v>45105</v>
      </c>
      <c r="D4244" s="1" t="str">
        <f>PROPER(orders[[#This Row],[order_priority]])</f>
        <v>Same Day</v>
      </c>
      <c r="E4244" t="s">
        <v>13322</v>
      </c>
      <c r="F4244" t="str">
        <f>IFERROR(INDEX(customers[country], MATCH(orders[[#This Row],[customer_id]], customers[customer_id], 0)), "Unmapped")</f>
        <v>Latvia</v>
      </c>
      <c r="G4244" t="str">
        <f>IFERROR(INDEX(Region_Map[Region], MATCH(orders[[#This Row],[Customer_Country]], Region_Map[Country], 0)), "Unknown")</f>
        <v>Baltics</v>
      </c>
      <c r="H4244" t="s">
        <v>6949</v>
      </c>
    </row>
    <row r="4245" spans="1:8">
      <c r="A4245" t="s">
        <v>5144</v>
      </c>
      <c r="B4245" t="s">
        <v>617</v>
      </c>
      <c r="C4245" s="1">
        <v>45201</v>
      </c>
      <c r="D4245" s="1" t="str">
        <f>PROPER(orders[[#This Row],[order_priority]])</f>
        <v>Standard</v>
      </c>
      <c r="E4245" t="s">
        <v>13317</v>
      </c>
      <c r="F4245" t="str">
        <f>IFERROR(INDEX(customers[country], MATCH(orders[[#This Row],[customer_id]], customers[customer_id], 0)), "Unmapped")</f>
        <v>Latvia</v>
      </c>
      <c r="G4245" t="str">
        <f>IFERROR(INDEX(Region_Map[Region], MATCH(orders[[#This Row],[Customer_Country]], Region_Map[Country], 0)), "Unknown")</f>
        <v>Baltics</v>
      </c>
      <c r="H4245" t="s">
        <v>6949</v>
      </c>
    </row>
    <row r="4246" spans="1:8">
      <c r="A4246" t="s">
        <v>5145</v>
      </c>
      <c r="B4246" t="s">
        <v>431</v>
      </c>
      <c r="C4246" s="1">
        <v>45318</v>
      </c>
      <c r="D4246" s="1" t="str">
        <f>PROPER(orders[[#This Row],[order_priority]])</f>
        <v>Same Day</v>
      </c>
      <c r="E4246" t="s">
        <v>13322</v>
      </c>
      <c r="F4246" t="str">
        <f>IFERROR(INDEX(customers[country], MATCH(orders[[#This Row],[customer_id]], customers[customer_id], 0)), "Unmapped")</f>
        <v>Sweden</v>
      </c>
      <c r="G4246" t="str">
        <f>IFERROR(INDEX(Region_Map[Region], MATCH(orders[[#This Row],[Customer_Country]], Region_Map[Country], 0)), "Unknown")</f>
        <v>Nordics</v>
      </c>
      <c r="H4246" t="s">
        <v>6949</v>
      </c>
    </row>
    <row r="4247" spans="1:8">
      <c r="A4247" t="s">
        <v>5146</v>
      </c>
      <c r="B4247" t="s">
        <v>93</v>
      </c>
      <c r="C4247" s="1">
        <v>45033</v>
      </c>
      <c r="D4247" s="1" t="str">
        <f>PROPER(orders[[#This Row],[order_priority]])</f>
        <v>Same Day</v>
      </c>
      <c r="E4247" t="s">
        <v>13322</v>
      </c>
      <c r="F4247" t="str">
        <f>IFERROR(INDEX(customers[country], MATCH(orders[[#This Row],[customer_id]], customers[customer_id], 0)), "Unmapped")</f>
        <v>Norway</v>
      </c>
      <c r="G4247" t="str">
        <f>IFERROR(INDEX(Region_Map[Region], MATCH(orders[[#This Row],[Customer_Country]], Region_Map[Country], 0)), "Unknown")</f>
        <v>Nordics</v>
      </c>
      <c r="H4247" t="s">
        <v>6949</v>
      </c>
    </row>
    <row r="4248" spans="1:8">
      <c r="A4248" t="s">
        <v>5147</v>
      </c>
      <c r="B4248" t="s">
        <v>240</v>
      </c>
      <c r="C4248" s="1">
        <v>45590</v>
      </c>
      <c r="D4248" s="1" t="str">
        <f>PROPER(orders[[#This Row],[order_priority]])</f>
        <v>Express</v>
      </c>
      <c r="E4248" t="s">
        <v>13318</v>
      </c>
      <c r="F4248" t="str">
        <f>IFERROR(INDEX(customers[country], MATCH(orders[[#This Row],[customer_id]], customers[customer_id], 0)), "Unmapped")</f>
        <v>Lithuania</v>
      </c>
      <c r="G4248" t="str">
        <f>IFERROR(INDEX(Region_Map[Region], MATCH(orders[[#This Row],[Customer_Country]], Region_Map[Country], 0)), "Unknown")</f>
        <v>Baltics</v>
      </c>
      <c r="H4248" t="s">
        <v>6949</v>
      </c>
    </row>
    <row r="4249" spans="1:8">
      <c r="A4249" t="s">
        <v>5148</v>
      </c>
      <c r="B4249" t="s">
        <v>900</v>
      </c>
      <c r="C4249" s="1">
        <v>45374</v>
      </c>
      <c r="D4249" s="1" t="str">
        <f>PROPER(orders[[#This Row],[order_priority]])</f>
        <v>Standard</v>
      </c>
      <c r="E4249" t="s">
        <v>13317</v>
      </c>
      <c r="F4249" t="str">
        <f>IFERROR(INDEX(customers[country], MATCH(orders[[#This Row],[customer_id]], customers[customer_id], 0)), "Unmapped")</f>
        <v>Germany</v>
      </c>
      <c r="G4249" t="str">
        <f>IFERROR(INDEX(Region_Map[Region], MATCH(orders[[#This Row],[Customer_Country]], Region_Map[Country], 0)), "Unknown")</f>
        <v>Central Europe</v>
      </c>
      <c r="H4249" t="s">
        <v>6949</v>
      </c>
    </row>
    <row r="4250" spans="1:8">
      <c r="A4250" t="s">
        <v>5149</v>
      </c>
      <c r="B4250" t="s">
        <v>554</v>
      </c>
      <c r="C4250" s="1">
        <v>45523</v>
      </c>
      <c r="D4250" s="1" t="str">
        <f>PROPER(orders[[#This Row],[order_priority]])</f>
        <v>Same Day</v>
      </c>
      <c r="E4250" t="s">
        <v>13322</v>
      </c>
      <c r="F4250" t="str">
        <f>IFERROR(INDEX(customers[country], MATCH(orders[[#This Row],[customer_id]], customers[customer_id], 0)), "Unmapped")</f>
        <v>Germany</v>
      </c>
      <c r="G4250" t="str">
        <f>IFERROR(INDEX(Region_Map[Region], MATCH(orders[[#This Row],[Customer_Country]], Region_Map[Country], 0)), "Unknown")</f>
        <v>Central Europe</v>
      </c>
      <c r="H4250" t="s">
        <v>6949</v>
      </c>
    </row>
    <row r="4251" spans="1:8">
      <c r="A4251" t="s">
        <v>5150</v>
      </c>
      <c r="B4251" t="s">
        <v>506</v>
      </c>
      <c r="C4251" s="1">
        <v>45448</v>
      </c>
      <c r="D4251" s="1" t="str">
        <f>PROPER(orders[[#This Row],[order_priority]])</f>
        <v>Economy</v>
      </c>
      <c r="E4251" t="s">
        <v>13316</v>
      </c>
      <c r="F4251" t="str">
        <f>IFERROR(INDEX(customers[country], MATCH(orders[[#This Row],[customer_id]], customers[customer_id], 0)), "Unmapped")</f>
        <v>Poland</v>
      </c>
      <c r="G4251" t="str">
        <f>IFERROR(INDEX(Region_Map[Region], MATCH(orders[[#This Row],[Customer_Country]], Region_Map[Country], 0)), "Unknown")</f>
        <v>Central Europe</v>
      </c>
      <c r="H4251" t="s">
        <v>6949</v>
      </c>
    </row>
    <row r="4252" spans="1:8">
      <c r="A4252" t="s">
        <v>5151</v>
      </c>
      <c r="B4252" t="s">
        <v>371</v>
      </c>
      <c r="C4252" s="1">
        <v>45533</v>
      </c>
      <c r="D4252" s="1" t="str">
        <f>PROPER(orders[[#This Row],[order_priority]])</f>
        <v>Express</v>
      </c>
      <c r="E4252" t="s">
        <v>13318</v>
      </c>
      <c r="F4252" t="str">
        <f>IFERROR(INDEX(customers[country], MATCH(orders[[#This Row],[customer_id]], customers[customer_id], 0)), "Unmapped")</f>
        <v>Germany</v>
      </c>
      <c r="G4252" t="str">
        <f>IFERROR(INDEX(Region_Map[Region], MATCH(orders[[#This Row],[Customer_Country]], Region_Map[Country], 0)), "Unknown")</f>
        <v>Central Europe</v>
      </c>
      <c r="H4252" t="s">
        <v>6949</v>
      </c>
    </row>
    <row r="4253" spans="1:8">
      <c r="A4253" t="s">
        <v>5152</v>
      </c>
      <c r="B4253" t="s">
        <v>344</v>
      </c>
      <c r="C4253" s="1">
        <v>45136</v>
      </c>
      <c r="D4253" s="1" t="str">
        <f>PROPER(orders[[#This Row],[order_priority]])</f>
        <v>Same Day</v>
      </c>
      <c r="E4253" t="s">
        <v>13322</v>
      </c>
      <c r="F4253" t="str">
        <f>IFERROR(INDEX(customers[country], MATCH(orders[[#This Row],[customer_id]], customers[customer_id], 0)), "Unmapped")</f>
        <v>Estonia</v>
      </c>
      <c r="G4253" t="str">
        <f>IFERROR(INDEX(Region_Map[Region], MATCH(orders[[#This Row],[Customer_Country]], Region_Map[Country], 0)), "Unknown")</f>
        <v>Baltics</v>
      </c>
      <c r="H4253" t="s">
        <v>6949</v>
      </c>
    </row>
    <row r="4254" spans="1:8">
      <c r="A4254" t="s">
        <v>5153</v>
      </c>
      <c r="B4254" t="s">
        <v>706</v>
      </c>
      <c r="C4254" s="1">
        <v>45124</v>
      </c>
      <c r="D4254" s="1" t="str">
        <f>PROPER(orders[[#This Row],[order_priority]])</f>
        <v>Standard</v>
      </c>
      <c r="E4254" t="s">
        <v>13317</v>
      </c>
      <c r="F4254" t="str">
        <f>IFERROR(INDEX(customers[country], MATCH(orders[[#This Row],[customer_id]], customers[customer_id], 0)), "Unmapped")</f>
        <v>Latvia</v>
      </c>
      <c r="G4254" t="str">
        <f>IFERROR(INDEX(Region_Map[Region], MATCH(orders[[#This Row],[Customer_Country]], Region_Map[Country], 0)), "Unknown")</f>
        <v>Baltics</v>
      </c>
      <c r="H4254" t="s">
        <v>6949</v>
      </c>
    </row>
    <row r="4255" spans="1:8">
      <c r="A4255" t="s">
        <v>5154</v>
      </c>
      <c r="B4255" t="s">
        <v>127</v>
      </c>
      <c r="C4255" s="1">
        <v>45352</v>
      </c>
      <c r="D4255" s="1" t="str">
        <f>PROPER(orders[[#This Row],[order_priority]])</f>
        <v>Express</v>
      </c>
      <c r="E4255" t="s">
        <v>13318</v>
      </c>
      <c r="F4255" t="str">
        <f>IFERROR(INDEX(customers[country], MATCH(orders[[#This Row],[customer_id]], customers[customer_id], 0)), "Unmapped")</f>
        <v>Denmark</v>
      </c>
      <c r="G4255" t="str">
        <f>IFERROR(INDEX(Region_Map[Region], MATCH(orders[[#This Row],[Customer_Country]], Region_Map[Country], 0)), "Unknown")</f>
        <v>Nordics</v>
      </c>
      <c r="H4255" t="s">
        <v>6949</v>
      </c>
    </row>
    <row r="4256" spans="1:8">
      <c r="A4256" t="s">
        <v>5155</v>
      </c>
      <c r="B4256" t="s">
        <v>172</v>
      </c>
      <c r="C4256" s="1">
        <v>45256</v>
      </c>
      <c r="D4256" s="1" t="str">
        <f>PROPER(orders[[#This Row],[order_priority]])</f>
        <v>Express</v>
      </c>
      <c r="E4256" t="s">
        <v>13318</v>
      </c>
      <c r="F4256" t="str">
        <f>IFERROR(INDEX(customers[country], MATCH(orders[[#This Row],[customer_id]], customers[customer_id], 0)), "Unmapped")</f>
        <v>Denmark</v>
      </c>
      <c r="G4256" t="str">
        <f>IFERROR(INDEX(Region_Map[Region], MATCH(orders[[#This Row],[Customer_Country]], Region_Map[Country], 0)), "Unknown")</f>
        <v>Nordics</v>
      </c>
      <c r="H4256" t="s">
        <v>6949</v>
      </c>
    </row>
    <row r="4257" spans="1:8">
      <c r="A4257" t="s">
        <v>5156</v>
      </c>
      <c r="B4257" t="s">
        <v>819</v>
      </c>
      <c r="C4257" s="1">
        <v>45247</v>
      </c>
      <c r="D4257" s="1" t="str">
        <f>PROPER(orders[[#This Row],[order_priority]])</f>
        <v>Economy</v>
      </c>
      <c r="E4257" t="s">
        <v>13328</v>
      </c>
      <c r="F4257" t="str">
        <f>IFERROR(INDEX(customers[country], MATCH(orders[[#This Row],[customer_id]], customers[customer_id], 0)), "Unmapped")</f>
        <v>Estonia</v>
      </c>
      <c r="G4257" t="str">
        <f>IFERROR(INDEX(Region_Map[Region], MATCH(orders[[#This Row],[Customer_Country]], Region_Map[Country], 0)), "Unknown")</f>
        <v>Baltics</v>
      </c>
      <c r="H4257" t="s">
        <v>6949</v>
      </c>
    </row>
    <row r="4258" spans="1:8">
      <c r="A4258" t="s">
        <v>5157</v>
      </c>
      <c r="B4258" t="s">
        <v>222</v>
      </c>
      <c r="C4258" s="1">
        <v>45385</v>
      </c>
      <c r="D4258" s="1" t="str">
        <f>PROPER(orders[[#This Row],[order_priority]])</f>
        <v>Express</v>
      </c>
      <c r="E4258" t="s">
        <v>13318</v>
      </c>
      <c r="F4258" t="str">
        <f>IFERROR(INDEX(customers[country], MATCH(orders[[#This Row],[customer_id]], customers[customer_id], 0)), "Unmapped")</f>
        <v>Norway</v>
      </c>
      <c r="G4258" t="str">
        <f>IFERROR(INDEX(Region_Map[Region], MATCH(orders[[#This Row],[Customer_Country]], Region_Map[Country], 0)), "Unknown")</f>
        <v>Nordics</v>
      </c>
      <c r="H4258" t="s">
        <v>6949</v>
      </c>
    </row>
    <row r="4259" spans="1:8">
      <c r="A4259" t="s">
        <v>5158</v>
      </c>
      <c r="B4259" t="s">
        <v>599</v>
      </c>
      <c r="C4259" s="1">
        <v>45440</v>
      </c>
      <c r="D4259" s="1" t="str">
        <f>PROPER(orders[[#This Row],[order_priority]])</f>
        <v>Same Day</v>
      </c>
      <c r="E4259" t="s">
        <v>13322</v>
      </c>
      <c r="F4259" t="str">
        <f>IFERROR(INDEX(customers[country], MATCH(orders[[#This Row],[customer_id]], customers[customer_id], 0)), "Unmapped")</f>
        <v>Germany</v>
      </c>
      <c r="G4259" t="str">
        <f>IFERROR(INDEX(Region_Map[Region], MATCH(orders[[#This Row],[Customer_Country]], Region_Map[Country], 0)), "Unknown")</f>
        <v>Central Europe</v>
      </c>
      <c r="H4259" t="s">
        <v>6949</v>
      </c>
    </row>
    <row r="4260" spans="1:8">
      <c r="A4260" t="s">
        <v>5159</v>
      </c>
      <c r="B4260" t="s">
        <v>404</v>
      </c>
      <c r="C4260" s="1">
        <v>45484</v>
      </c>
      <c r="D4260" s="1" t="str">
        <f>PROPER(orders[[#This Row],[order_priority]])</f>
        <v>Economy</v>
      </c>
      <c r="E4260" t="s">
        <v>13316</v>
      </c>
      <c r="F4260" t="str">
        <f>IFERROR(INDEX(customers[country], MATCH(orders[[#This Row],[customer_id]], customers[customer_id], 0)), "Unmapped")</f>
        <v>Latvia</v>
      </c>
      <c r="G4260" t="str">
        <f>IFERROR(INDEX(Region_Map[Region], MATCH(orders[[#This Row],[Customer_Country]], Region_Map[Country], 0)), "Unknown")</f>
        <v>Baltics</v>
      </c>
      <c r="H4260" t="s">
        <v>6949</v>
      </c>
    </row>
    <row r="4261" spans="1:8">
      <c r="A4261" t="s">
        <v>5160</v>
      </c>
      <c r="B4261" t="s">
        <v>11</v>
      </c>
      <c r="C4261" s="1">
        <v>45444</v>
      </c>
      <c r="D4261" s="1" t="str">
        <f>PROPER(orders[[#This Row],[order_priority]])</f>
        <v>Economy</v>
      </c>
      <c r="E4261" t="s">
        <v>13316</v>
      </c>
      <c r="F4261" t="str">
        <f>IFERROR(INDEX(customers[country], MATCH(orders[[#This Row],[customer_id]], customers[customer_id], 0)), "Unmapped")</f>
        <v>Sweden</v>
      </c>
      <c r="G4261" t="str">
        <f>IFERROR(INDEX(Region_Map[Region], MATCH(orders[[#This Row],[Customer_Country]], Region_Map[Country], 0)), "Unknown")</f>
        <v>Nordics</v>
      </c>
      <c r="H4261" t="s">
        <v>6949</v>
      </c>
    </row>
    <row r="4262" spans="1:8">
      <c r="A4262" t="s">
        <v>5161</v>
      </c>
      <c r="B4262" t="s">
        <v>572</v>
      </c>
      <c r="C4262" s="1">
        <v>45482</v>
      </c>
      <c r="D4262" s="1" t="str">
        <f>PROPER(orders[[#This Row],[order_priority]])</f>
        <v>Economy</v>
      </c>
      <c r="E4262" t="s">
        <v>13316</v>
      </c>
      <c r="F4262" t="str">
        <f>IFERROR(INDEX(customers[country], MATCH(orders[[#This Row],[customer_id]], customers[customer_id], 0)), "Unmapped")</f>
        <v>Germany</v>
      </c>
      <c r="G4262" t="str">
        <f>IFERROR(INDEX(Region_Map[Region], MATCH(orders[[#This Row],[Customer_Country]], Region_Map[Country], 0)), "Unknown")</f>
        <v>Central Europe</v>
      </c>
      <c r="H4262" t="s">
        <v>6949</v>
      </c>
    </row>
    <row r="4263" spans="1:8">
      <c r="A4263" t="s">
        <v>5162</v>
      </c>
      <c r="B4263" t="s">
        <v>87</v>
      </c>
      <c r="C4263" s="1">
        <v>45453</v>
      </c>
      <c r="D4263" s="1" t="str">
        <f>PROPER(orders[[#This Row],[order_priority]])</f>
        <v>Standard</v>
      </c>
      <c r="E4263" t="s">
        <v>13319</v>
      </c>
      <c r="F4263" t="str">
        <f>IFERROR(INDEX(customers[country], MATCH(orders[[#This Row],[customer_id]], customers[customer_id], 0)), "Unmapped")</f>
        <v>Latvia</v>
      </c>
      <c r="G4263" t="str">
        <f>IFERROR(INDEX(Region_Map[Region], MATCH(orders[[#This Row],[Customer_Country]], Region_Map[Country], 0)), "Unknown")</f>
        <v>Baltics</v>
      </c>
      <c r="H4263" t="s">
        <v>6949</v>
      </c>
    </row>
    <row r="4264" spans="1:8">
      <c r="A4264" t="s">
        <v>5163</v>
      </c>
      <c r="B4264" t="s">
        <v>608</v>
      </c>
      <c r="C4264" s="1">
        <v>45440</v>
      </c>
      <c r="D4264" s="1" t="str">
        <f>PROPER(orders[[#This Row],[order_priority]])</f>
        <v>Same Day</v>
      </c>
      <c r="E4264" t="s">
        <v>13322</v>
      </c>
      <c r="F4264" t="str">
        <f>IFERROR(INDEX(customers[country], MATCH(orders[[#This Row],[customer_id]], customers[customer_id], 0)), "Unmapped")</f>
        <v>Finland</v>
      </c>
      <c r="G4264" t="str">
        <f>IFERROR(INDEX(Region_Map[Region], MATCH(orders[[#This Row],[Customer_Country]], Region_Map[Country], 0)), "Unknown")</f>
        <v>Nordics</v>
      </c>
      <c r="H4264" t="s">
        <v>6949</v>
      </c>
    </row>
    <row r="4265" spans="1:8">
      <c r="A4265" t="s">
        <v>5164</v>
      </c>
      <c r="B4265" t="s">
        <v>470</v>
      </c>
      <c r="C4265" s="1">
        <v>45541</v>
      </c>
      <c r="D4265" s="1" t="str">
        <f>PROPER(orders[[#This Row],[order_priority]])</f>
        <v>Express</v>
      </c>
      <c r="E4265" t="s">
        <v>13320</v>
      </c>
      <c r="F4265" t="str">
        <f>IFERROR(INDEX(customers[country], MATCH(orders[[#This Row],[customer_id]], customers[customer_id], 0)), "Unmapped")</f>
        <v>Norway</v>
      </c>
      <c r="G4265" t="str">
        <f>IFERROR(INDEX(Region_Map[Region], MATCH(orders[[#This Row],[Customer_Country]], Region_Map[Country], 0)), "Unknown")</f>
        <v>Nordics</v>
      </c>
      <c r="H4265" t="s">
        <v>6949</v>
      </c>
    </row>
    <row r="4266" spans="1:8">
      <c r="A4266" t="s">
        <v>5165</v>
      </c>
      <c r="B4266" t="s">
        <v>876</v>
      </c>
      <c r="C4266" s="1">
        <v>45532</v>
      </c>
      <c r="D4266" s="1" t="str">
        <f>PROPER(orders[[#This Row],[order_priority]])</f>
        <v>Same Day</v>
      </c>
      <c r="E4266" t="s">
        <v>13322</v>
      </c>
      <c r="F4266" t="str">
        <f>IFERROR(INDEX(customers[country], MATCH(orders[[#This Row],[customer_id]], customers[customer_id], 0)), "Unmapped")</f>
        <v>Estonia</v>
      </c>
      <c r="G4266" t="str">
        <f>IFERROR(INDEX(Region_Map[Region], MATCH(orders[[#This Row],[Customer_Country]], Region_Map[Country], 0)), "Unknown")</f>
        <v>Baltics</v>
      </c>
      <c r="H4266" t="s">
        <v>6949</v>
      </c>
    </row>
    <row r="4267" spans="1:8">
      <c r="A4267" t="s">
        <v>5166</v>
      </c>
      <c r="B4267" t="s">
        <v>566</v>
      </c>
      <c r="C4267" s="1">
        <v>45022</v>
      </c>
      <c r="D4267" s="1" t="str">
        <f>PROPER(orders[[#This Row],[order_priority]])</f>
        <v>Standard</v>
      </c>
      <c r="E4267" t="s">
        <v>13317</v>
      </c>
      <c r="F4267" t="str">
        <f>IFERROR(INDEX(customers[country], MATCH(orders[[#This Row],[customer_id]], customers[customer_id], 0)), "Unmapped")</f>
        <v>Denmark</v>
      </c>
      <c r="G4267" t="str">
        <f>IFERROR(INDEX(Region_Map[Region], MATCH(orders[[#This Row],[Customer_Country]], Region_Map[Country], 0)), "Unknown")</f>
        <v>Nordics</v>
      </c>
      <c r="H4267" t="s">
        <v>6949</v>
      </c>
    </row>
    <row r="4268" spans="1:8">
      <c r="A4268" t="s">
        <v>5167</v>
      </c>
      <c r="B4268" t="s">
        <v>127</v>
      </c>
      <c r="C4268" s="1">
        <v>45477</v>
      </c>
      <c r="D4268" s="1" t="str">
        <f>PROPER(orders[[#This Row],[order_priority]])</f>
        <v>Economy</v>
      </c>
      <c r="E4268" t="s">
        <v>13316</v>
      </c>
      <c r="F4268" t="str">
        <f>IFERROR(INDEX(customers[country], MATCH(orders[[#This Row],[customer_id]], customers[customer_id], 0)), "Unmapped")</f>
        <v>Denmark</v>
      </c>
      <c r="G4268" t="str">
        <f>IFERROR(INDEX(Region_Map[Region], MATCH(orders[[#This Row],[Customer_Country]], Region_Map[Country], 0)), "Unknown")</f>
        <v>Nordics</v>
      </c>
      <c r="H4268" t="s">
        <v>6949</v>
      </c>
    </row>
    <row r="4269" spans="1:8">
      <c r="A4269" t="s">
        <v>5168</v>
      </c>
      <c r="B4269" t="s">
        <v>93</v>
      </c>
      <c r="C4269" s="1">
        <v>44952</v>
      </c>
      <c r="D4269" s="1" t="str">
        <f>PROPER(orders[[#This Row],[order_priority]])</f>
        <v>Same Day</v>
      </c>
      <c r="E4269" t="s">
        <v>13322</v>
      </c>
      <c r="F4269" t="str">
        <f>IFERROR(INDEX(customers[country], MATCH(orders[[#This Row],[customer_id]], customers[customer_id], 0)), "Unmapped")</f>
        <v>Norway</v>
      </c>
      <c r="G4269" t="str">
        <f>IFERROR(INDEX(Region_Map[Region], MATCH(orders[[#This Row],[Customer_Country]], Region_Map[Country], 0)), "Unknown")</f>
        <v>Nordics</v>
      </c>
      <c r="H4269" t="s">
        <v>6949</v>
      </c>
    </row>
    <row r="4270" spans="1:8">
      <c r="A4270" t="s">
        <v>5169</v>
      </c>
      <c r="B4270" t="s">
        <v>48</v>
      </c>
      <c r="C4270" s="1">
        <v>45457</v>
      </c>
      <c r="D4270" s="1" t="str">
        <f>PROPER(orders[[#This Row],[order_priority]])</f>
        <v>Same Day</v>
      </c>
      <c r="E4270" t="s">
        <v>13322</v>
      </c>
      <c r="F4270" t="str">
        <f>IFERROR(INDEX(customers[country], MATCH(orders[[#This Row],[customer_id]], customers[customer_id], 0)), "Unmapped")</f>
        <v>Poland</v>
      </c>
      <c r="G4270" t="str">
        <f>IFERROR(INDEX(Region_Map[Region], MATCH(orders[[#This Row],[Customer_Country]], Region_Map[Country], 0)), "Unknown")</f>
        <v>Central Europe</v>
      </c>
      <c r="H4270" t="s">
        <v>6949</v>
      </c>
    </row>
    <row r="4271" spans="1:8">
      <c r="A4271" t="s">
        <v>5170</v>
      </c>
      <c r="B4271" t="s">
        <v>219</v>
      </c>
      <c r="C4271" s="1">
        <v>45575</v>
      </c>
      <c r="D4271" s="1" t="str">
        <f>PROPER(orders[[#This Row],[order_priority]])</f>
        <v>Same Day</v>
      </c>
      <c r="E4271" t="s">
        <v>13324</v>
      </c>
      <c r="F4271" t="str">
        <f>IFERROR(INDEX(customers[country], MATCH(orders[[#This Row],[customer_id]], customers[customer_id], 0)), "Unmapped")</f>
        <v>Latvia</v>
      </c>
      <c r="G4271" t="str">
        <f>IFERROR(INDEX(Region_Map[Region], MATCH(orders[[#This Row],[Customer_Country]], Region_Map[Country], 0)), "Unknown")</f>
        <v>Baltics</v>
      </c>
      <c r="H4271" t="s">
        <v>6949</v>
      </c>
    </row>
    <row r="4272" spans="1:8">
      <c r="A4272" t="s">
        <v>5171</v>
      </c>
      <c r="B4272" t="s">
        <v>602</v>
      </c>
      <c r="C4272" s="1">
        <v>45551</v>
      </c>
      <c r="D4272" s="1" t="str">
        <f>PROPER(orders[[#This Row],[order_priority]])</f>
        <v>Same Day</v>
      </c>
      <c r="E4272" t="s">
        <v>13322</v>
      </c>
      <c r="F4272" t="str">
        <f>IFERROR(INDEX(customers[country], MATCH(orders[[#This Row],[customer_id]], customers[customer_id], 0)), "Unmapped")</f>
        <v>Poland</v>
      </c>
      <c r="G4272" t="str">
        <f>IFERROR(INDEX(Region_Map[Region], MATCH(orders[[#This Row],[Customer_Country]], Region_Map[Country], 0)), "Unknown")</f>
        <v>Central Europe</v>
      </c>
      <c r="H4272" t="s">
        <v>6949</v>
      </c>
    </row>
    <row r="4273" spans="1:8">
      <c r="A4273" t="s">
        <v>5172</v>
      </c>
      <c r="B4273" t="s">
        <v>437</v>
      </c>
      <c r="C4273" s="1">
        <v>45028</v>
      </c>
      <c r="D4273" s="1" t="str">
        <f>PROPER(orders[[#This Row],[order_priority]])</f>
        <v>Same Day</v>
      </c>
      <c r="E4273" t="s">
        <v>13322</v>
      </c>
      <c r="F4273" t="str">
        <f>IFERROR(INDEX(customers[country], MATCH(orders[[#This Row],[customer_id]], customers[customer_id], 0)), "Unmapped")</f>
        <v>Lithuania</v>
      </c>
      <c r="G4273" t="str">
        <f>IFERROR(INDEX(Region_Map[Region], MATCH(orders[[#This Row],[Customer_Country]], Region_Map[Country], 0)), "Unknown")</f>
        <v>Baltics</v>
      </c>
      <c r="H4273" t="s">
        <v>6949</v>
      </c>
    </row>
    <row r="4274" spans="1:8">
      <c r="A4274" t="s">
        <v>5173</v>
      </c>
      <c r="B4274" t="s">
        <v>201</v>
      </c>
      <c r="C4274" s="1">
        <v>45197</v>
      </c>
      <c r="D4274" s="1" t="str">
        <f>PROPER(orders[[#This Row],[order_priority]])</f>
        <v>Same Day</v>
      </c>
      <c r="E4274" t="s">
        <v>13322</v>
      </c>
      <c r="F4274" t="str">
        <f>IFERROR(INDEX(customers[country], MATCH(orders[[#This Row],[customer_id]], customers[customer_id], 0)), "Unmapped")</f>
        <v>Estonia</v>
      </c>
      <c r="G4274" t="str">
        <f>IFERROR(INDEX(Region_Map[Region], MATCH(orders[[#This Row],[Customer_Country]], Region_Map[Country], 0)), "Unknown")</f>
        <v>Baltics</v>
      </c>
      <c r="H4274" t="s">
        <v>6949</v>
      </c>
    </row>
    <row r="4275" spans="1:8">
      <c r="A4275" t="s">
        <v>5174</v>
      </c>
      <c r="B4275" t="s">
        <v>377</v>
      </c>
      <c r="C4275" s="1">
        <v>44947</v>
      </c>
      <c r="D4275" s="1" t="str">
        <f>PROPER(orders[[#This Row],[order_priority]])</f>
        <v>Standard</v>
      </c>
      <c r="E4275" t="s">
        <v>13317</v>
      </c>
      <c r="F4275" t="str">
        <f>IFERROR(INDEX(customers[country], MATCH(orders[[#This Row],[customer_id]], customers[customer_id], 0)), "Unmapped")</f>
        <v>Denmark</v>
      </c>
      <c r="G4275" t="str">
        <f>IFERROR(INDEX(Region_Map[Region], MATCH(orders[[#This Row],[Customer_Country]], Region_Map[Country], 0)), "Unknown")</f>
        <v>Nordics</v>
      </c>
      <c r="H4275" t="s">
        <v>6949</v>
      </c>
    </row>
    <row r="4276" spans="1:8">
      <c r="A4276" t="s">
        <v>5175</v>
      </c>
      <c r="B4276" t="s">
        <v>730</v>
      </c>
      <c r="C4276" s="1">
        <v>45196</v>
      </c>
      <c r="D4276" s="1" t="str">
        <f>PROPER(orders[[#This Row],[order_priority]])</f>
        <v>Economy</v>
      </c>
      <c r="E4276" t="s">
        <v>13316</v>
      </c>
      <c r="F4276" t="str">
        <f>IFERROR(INDEX(customers[country], MATCH(orders[[#This Row],[customer_id]], customers[customer_id], 0)), "Unmapped")</f>
        <v>Lithuania</v>
      </c>
      <c r="G4276" t="str">
        <f>IFERROR(INDEX(Region_Map[Region], MATCH(orders[[#This Row],[Customer_Country]], Region_Map[Country], 0)), "Unknown")</f>
        <v>Baltics</v>
      </c>
      <c r="H4276" t="s">
        <v>6949</v>
      </c>
    </row>
    <row r="4277" spans="1:8">
      <c r="A4277" t="s">
        <v>5176</v>
      </c>
      <c r="B4277" t="s">
        <v>790</v>
      </c>
      <c r="C4277" s="1">
        <v>45080</v>
      </c>
      <c r="D4277" s="1" t="str">
        <f>PROPER(orders[[#This Row],[order_priority]])</f>
        <v>Same Day</v>
      </c>
      <c r="E4277" t="s">
        <v>13321</v>
      </c>
      <c r="F4277" t="str">
        <f>IFERROR(INDEX(customers[country], MATCH(orders[[#This Row],[customer_id]], customers[customer_id], 0)), "Unmapped")</f>
        <v>Germany</v>
      </c>
      <c r="G4277" t="str">
        <f>IFERROR(INDEX(Region_Map[Region], MATCH(orders[[#This Row],[Customer_Country]], Region_Map[Country], 0)), "Unknown")</f>
        <v>Central Europe</v>
      </c>
      <c r="H4277" t="s">
        <v>6949</v>
      </c>
    </row>
    <row r="4278" spans="1:8">
      <c r="A4278" t="s">
        <v>5177</v>
      </c>
      <c r="B4278" t="s">
        <v>608</v>
      </c>
      <c r="C4278" s="1">
        <v>45531</v>
      </c>
      <c r="D4278" s="1" t="str">
        <f>PROPER(orders[[#This Row],[order_priority]])</f>
        <v>Standard</v>
      </c>
      <c r="E4278" t="s">
        <v>13317</v>
      </c>
      <c r="F4278" t="str">
        <f>IFERROR(INDEX(customers[country], MATCH(orders[[#This Row],[customer_id]], customers[customer_id], 0)), "Unmapped")</f>
        <v>Finland</v>
      </c>
      <c r="G4278" t="str">
        <f>IFERROR(INDEX(Region_Map[Region], MATCH(orders[[#This Row],[Customer_Country]], Region_Map[Country], 0)), "Unknown")</f>
        <v>Nordics</v>
      </c>
      <c r="H4278" t="s">
        <v>6949</v>
      </c>
    </row>
    <row r="4279" spans="1:8">
      <c r="A4279" t="s">
        <v>5178</v>
      </c>
      <c r="B4279" t="s">
        <v>207</v>
      </c>
      <c r="C4279" s="1">
        <v>45347</v>
      </c>
      <c r="D4279" s="1" t="str">
        <f>PROPER(orders[[#This Row],[order_priority]])</f>
        <v>Standard</v>
      </c>
      <c r="E4279" t="s">
        <v>13317</v>
      </c>
      <c r="F4279" t="str">
        <f>IFERROR(INDEX(customers[country], MATCH(orders[[#This Row],[customer_id]], customers[customer_id], 0)), "Unmapped")</f>
        <v>Poland</v>
      </c>
      <c r="G4279" t="str">
        <f>IFERROR(INDEX(Region_Map[Region], MATCH(orders[[#This Row],[Customer_Country]], Region_Map[Country], 0)), "Unknown")</f>
        <v>Central Europe</v>
      </c>
      <c r="H4279" t="s">
        <v>6949</v>
      </c>
    </row>
    <row r="4280" spans="1:8">
      <c r="A4280" t="s">
        <v>5179</v>
      </c>
      <c r="B4280" t="s">
        <v>617</v>
      </c>
      <c r="C4280" s="1">
        <v>45139</v>
      </c>
      <c r="D4280" s="1" t="str">
        <f>PROPER(orders[[#This Row],[order_priority]])</f>
        <v>Standard</v>
      </c>
      <c r="E4280" t="s">
        <v>13317</v>
      </c>
      <c r="F4280" t="str">
        <f>IFERROR(INDEX(customers[country], MATCH(orders[[#This Row],[customer_id]], customers[customer_id], 0)), "Unmapped")</f>
        <v>Latvia</v>
      </c>
      <c r="G4280" t="str">
        <f>IFERROR(INDEX(Region_Map[Region], MATCH(orders[[#This Row],[Customer_Country]], Region_Map[Country], 0)), "Unknown")</f>
        <v>Baltics</v>
      </c>
      <c r="H4280" t="s">
        <v>6949</v>
      </c>
    </row>
    <row r="4281" spans="1:8">
      <c r="A4281" t="s">
        <v>5180</v>
      </c>
      <c r="B4281" t="s">
        <v>858</v>
      </c>
      <c r="C4281" s="1">
        <v>44994</v>
      </c>
      <c r="D4281" s="1" t="str">
        <f>PROPER(orders[[#This Row],[order_priority]])</f>
        <v>Express</v>
      </c>
      <c r="E4281" t="s">
        <v>13318</v>
      </c>
      <c r="F4281" t="str">
        <f>IFERROR(INDEX(customers[country], MATCH(orders[[#This Row],[customer_id]], customers[customer_id], 0)), "Unmapped")</f>
        <v>Lithuania</v>
      </c>
      <c r="G4281" t="str">
        <f>IFERROR(INDEX(Region_Map[Region], MATCH(orders[[#This Row],[Customer_Country]], Region_Map[Country], 0)), "Unknown")</f>
        <v>Baltics</v>
      </c>
      <c r="H4281" t="s">
        <v>6949</v>
      </c>
    </row>
    <row r="4282" spans="1:8">
      <c r="A4282" t="s">
        <v>5181</v>
      </c>
      <c r="B4282" t="s">
        <v>755</v>
      </c>
      <c r="C4282" s="1">
        <v>45334</v>
      </c>
      <c r="D4282" s="1" t="str">
        <f>PROPER(orders[[#This Row],[order_priority]])</f>
        <v>Same Day</v>
      </c>
      <c r="E4282" t="s">
        <v>13322</v>
      </c>
      <c r="F4282" t="str">
        <f>IFERROR(INDEX(customers[country], MATCH(orders[[#This Row],[customer_id]], customers[customer_id], 0)), "Unmapped")</f>
        <v>Denmark</v>
      </c>
      <c r="G4282" t="str">
        <f>IFERROR(INDEX(Region_Map[Region], MATCH(orders[[#This Row],[Customer_Country]], Region_Map[Country], 0)), "Unknown")</f>
        <v>Nordics</v>
      </c>
      <c r="H4282" t="s">
        <v>6949</v>
      </c>
    </row>
    <row r="4283" spans="1:8">
      <c r="A4283" t="s">
        <v>5182</v>
      </c>
      <c r="B4283" t="s">
        <v>738</v>
      </c>
      <c r="C4283" s="1">
        <v>45003</v>
      </c>
      <c r="D4283" s="1" t="str">
        <f>PROPER(orders[[#This Row],[order_priority]])</f>
        <v>Economy</v>
      </c>
      <c r="E4283" t="s">
        <v>13316</v>
      </c>
      <c r="F4283" t="str">
        <f>IFERROR(INDEX(customers[country], MATCH(orders[[#This Row],[customer_id]], customers[customer_id], 0)), "Unmapped")</f>
        <v>Finland</v>
      </c>
      <c r="G4283" t="str">
        <f>IFERROR(INDEX(Region_Map[Region], MATCH(orders[[#This Row],[Customer_Country]], Region_Map[Country], 0)), "Unknown")</f>
        <v>Nordics</v>
      </c>
      <c r="H4283" t="s">
        <v>6949</v>
      </c>
    </row>
    <row r="4284" spans="1:8">
      <c r="A4284" t="s">
        <v>5183</v>
      </c>
      <c r="B4284" t="s">
        <v>784</v>
      </c>
      <c r="C4284" s="1">
        <v>45316</v>
      </c>
      <c r="D4284" s="1" t="str">
        <f>PROPER(orders[[#This Row],[order_priority]])</f>
        <v>Same Day</v>
      </c>
      <c r="E4284" t="s">
        <v>13322</v>
      </c>
      <c r="F4284" t="str">
        <f>IFERROR(INDEX(customers[country], MATCH(orders[[#This Row],[customer_id]], customers[customer_id], 0)), "Unmapped")</f>
        <v>Estonia</v>
      </c>
      <c r="G4284" t="str">
        <f>IFERROR(INDEX(Region_Map[Region], MATCH(orders[[#This Row],[Customer_Country]], Region_Map[Country], 0)), "Unknown")</f>
        <v>Baltics</v>
      </c>
      <c r="H4284" t="s">
        <v>6949</v>
      </c>
    </row>
    <row r="4285" spans="1:8">
      <c r="A4285" t="s">
        <v>5184</v>
      </c>
      <c r="B4285" t="s">
        <v>124</v>
      </c>
      <c r="C4285" s="1">
        <v>45564</v>
      </c>
      <c r="D4285" s="1" t="str">
        <f>PROPER(orders[[#This Row],[order_priority]])</f>
        <v>Standard</v>
      </c>
      <c r="E4285" t="s">
        <v>13317</v>
      </c>
      <c r="F4285" t="str">
        <f>IFERROR(INDEX(customers[country], MATCH(orders[[#This Row],[customer_id]], customers[customer_id], 0)), "Unmapped")</f>
        <v>Lithuania</v>
      </c>
      <c r="G4285" t="str">
        <f>IFERROR(INDEX(Region_Map[Region], MATCH(orders[[#This Row],[Customer_Country]], Region_Map[Country], 0)), "Unknown")</f>
        <v>Baltics</v>
      </c>
      <c r="H4285" t="s">
        <v>6949</v>
      </c>
    </row>
    <row r="4286" spans="1:8">
      <c r="A4286" t="s">
        <v>5185</v>
      </c>
      <c r="B4286" t="s">
        <v>778</v>
      </c>
      <c r="C4286" s="1">
        <v>45602</v>
      </c>
      <c r="D4286" s="1" t="str">
        <f>PROPER(orders[[#This Row],[order_priority]])</f>
        <v>Same Day</v>
      </c>
      <c r="E4286" t="s">
        <v>13322</v>
      </c>
      <c r="F4286" t="str">
        <f>IFERROR(INDEX(customers[country], MATCH(orders[[#This Row],[customer_id]], customers[customer_id], 0)), "Unmapped")</f>
        <v>Estonia</v>
      </c>
      <c r="G4286" t="str">
        <f>IFERROR(INDEX(Region_Map[Region], MATCH(orders[[#This Row],[Customer_Country]], Region_Map[Country], 0)), "Unknown")</f>
        <v>Baltics</v>
      </c>
      <c r="H4286" t="s">
        <v>6949</v>
      </c>
    </row>
    <row r="4287" spans="1:8">
      <c r="A4287" t="s">
        <v>5186</v>
      </c>
      <c r="B4287" t="s">
        <v>647</v>
      </c>
      <c r="C4287" s="1">
        <v>45622</v>
      </c>
      <c r="D4287" s="1" t="str">
        <f>PROPER(orders[[#This Row],[order_priority]])</f>
        <v>Express</v>
      </c>
      <c r="E4287" t="s">
        <v>13318</v>
      </c>
      <c r="F4287" t="str">
        <f>IFERROR(INDEX(customers[country], MATCH(orders[[#This Row],[customer_id]], customers[customer_id], 0)), "Unmapped")</f>
        <v>Netherlands</v>
      </c>
      <c r="G4287" t="str">
        <f>IFERROR(INDEX(Region_Map[Region], MATCH(orders[[#This Row],[Customer_Country]], Region_Map[Country], 0)), "Unknown")</f>
        <v>Central Europe</v>
      </c>
      <c r="H4287" t="s">
        <v>6949</v>
      </c>
    </row>
    <row r="4288" spans="1:8">
      <c r="A4288" t="s">
        <v>5187</v>
      </c>
      <c r="B4288" t="s">
        <v>303</v>
      </c>
      <c r="C4288" s="1">
        <v>45187</v>
      </c>
      <c r="D4288" s="1" t="str">
        <f>PROPER(orders[[#This Row],[order_priority]])</f>
        <v>Express</v>
      </c>
      <c r="E4288" t="s">
        <v>13318</v>
      </c>
      <c r="F4288" t="str">
        <f>IFERROR(INDEX(customers[country], MATCH(orders[[#This Row],[customer_id]], customers[customer_id], 0)), "Unmapped")</f>
        <v>Netherlands</v>
      </c>
      <c r="G4288" t="str">
        <f>IFERROR(INDEX(Region_Map[Region], MATCH(orders[[#This Row],[Customer_Country]], Region_Map[Country], 0)), "Unknown")</f>
        <v>Central Europe</v>
      </c>
      <c r="H4288" t="s">
        <v>6949</v>
      </c>
    </row>
    <row r="4289" spans="1:8">
      <c r="A4289" t="s">
        <v>5188</v>
      </c>
      <c r="B4289" t="s">
        <v>584</v>
      </c>
      <c r="C4289" s="1">
        <v>45305</v>
      </c>
      <c r="D4289" s="1" t="str">
        <f>PROPER(orders[[#This Row],[order_priority]])</f>
        <v>Standard</v>
      </c>
      <c r="E4289" t="s">
        <v>13317</v>
      </c>
      <c r="F4289" t="str">
        <f>IFERROR(INDEX(customers[country], MATCH(orders[[#This Row],[customer_id]], customers[customer_id], 0)), "Unmapped")</f>
        <v>Netherlands</v>
      </c>
      <c r="G4289" t="str">
        <f>IFERROR(INDEX(Region_Map[Region], MATCH(orders[[#This Row],[Customer_Country]], Region_Map[Country], 0)), "Unknown")</f>
        <v>Central Europe</v>
      </c>
      <c r="H4289" t="s">
        <v>6949</v>
      </c>
    </row>
    <row r="4290" spans="1:8">
      <c r="A4290" t="s">
        <v>5189</v>
      </c>
      <c r="B4290" t="s">
        <v>632</v>
      </c>
      <c r="C4290" s="1">
        <v>45275</v>
      </c>
      <c r="D4290" s="1" t="str">
        <f>PROPER(orders[[#This Row],[order_priority]])</f>
        <v>Express</v>
      </c>
      <c r="E4290" t="s">
        <v>13318</v>
      </c>
      <c r="F4290" t="str">
        <f>IFERROR(INDEX(customers[country], MATCH(orders[[#This Row],[customer_id]], customers[customer_id], 0)), "Unmapped")</f>
        <v>Norway</v>
      </c>
      <c r="G4290" t="str">
        <f>IFERROR(INDEX(Region_Map[Region], MATCH(orders[[#This Row],[Customer_Country]], Region_Map[Country], 0)), "Unknown")</f>
        <v>Nordics</v>
      </c>
      <c r="H4290" t="s">
        <v>6949</v>
      </c>
    </row>
    <row r="4291" spans="1:8">
      <c r="A4291" t="s">
        <v>5190</v>
      </c>
      <c r="B4291" t="s">
        <v>536</v>
      </c>
      <c r="C4291" s="1">
        <v>45595</v>
      </c>
      <c r="D4291" s="1" t="str">
        <f>PROPER(orders[[#This Row],[order_priority]])</f>
        <v>Express</v>
      </c>
      <c r="E4291" t="s">
        <v>13318</v>
      </c>
      <c r="F4291" t="str">
        <f>IFERROR(INDEX(customers[country], MATCH(orders[[#This Row],[customer_id]], customers[customer_id], 0)), "Unmapped")</f>
        <v>Germany</v>
      </c>
      <c r="G4291" t="str">
        <f>IFERROR(INDEX(Region_Map[Region], MATCH(orders[[#This Row],[Customer_Country]], Region_Map[Country], 0)), "Unknown")</f>
        <v>Central Europe</v>
      </c>
      <c r="H4291" t="s">
        <v>6949</v>
      </c>
    </row>
    <row r="4292" spans="1:8">
      <c r="A4292" t="s">
        <v>5191</v>
      </c>
      <c r="B4292" t="s">
        <v>849</v>
      </c>
      <c r="C4292" s="1">
        <v>45066</v>
      </c>
      <c r="D4292" s="1" t="str">
        <f>PROPER(orders[[#This Row],[order_priority]])</f>
        <v>Economy</v>
      </c>
      <c r="E4292" t="s">
        <v>13316</v>
      </c>
      <c r="F4292" t="str">
        <f>IFERROR(INDEX(customers[country], MATCH(orders[[#This Row],[customer_id]], customers[customer_id], 0)), "Unmapped")</f>
        <v>Lithuania</v>
      </c>
      <c r="G4292" t="str">
        <f>IFERROR(INDEX(Region_Map[Region], MATCH(orders[[#This Row],[Customer_Country]], Region_Map[Country], 0)), "Unknown")</f>
        <v>Baltics</v>
      </c>
      <c r="H4292" t="s">
        <v>6949</v>
      </c>
    </row>
    <row r="4293" spans="1:8">
      <c r="A4293" t="s">
        <v>5192</v>
      </c>
      <c r="B4293" t="s">
        <v>727</v>
      </c>
      <c r="C4293" s="1">
        <v>45038</v>
      </c>
      <c r="D4293" s="1" t="str">
        <f>PROPER(orders[[#This Row],[order_priority]])</f>
        <v>Standard</v>
      </c>
      <c r="E4293" t="s">
        <v>13317</v>
      </c>
      <c r="F4293" t="str">
        <f>IFERROR(INDEX(customers[country], MATCH(orders[[#This Row],[customer_id]], customers[customer_id], 0)), "Unmapped")</f>
        <v>Sweden</v>
      </c>
      <c r="G4293" t="str">
        <f>IFERROR(INDEX(Region_Map[Region], MATCH(orders[[#This Row],[Customer_Country]], Region_Map[Country], 0)), "Unknown")</f>
        <v>Nordics</v>
      </c>
      <c r="H4293" t="s">
        <v>6949</v>
      </c>
    </row>
    <row r="4294" spans="1:8">
      <c r="A4294" t="s">
        <v>2222</v>
      </c>
      <c r="B4294" t="s">
        <v>906</v>
      </c>
      <c r="C4294" s="1">
        <v>45524</v>
      </c>
      <c r="D4294" s="1" t="str">
        <f>PROPER(orders[[#This Row],[order_priority]])</f>
        <v>Express</v>
      </c>
      <c r="E4294" t="s">
        <v>13318</v>
      </c>
      <c r="F4294" t="str">
        <f>IFERROR(INDEX(customers[country], MATCH(orders[[#This Row],[customer_id]], customers[customer_id], 0)), "Unmapped")</f>
        <v>Sweden</v>
      </c>
      <c r="G4294" t="str">
        <f>IFERROR(INDEX(Region_Map[Region], MATCH(orders[[#This Row],[Customer_Country]], Region_Map[Country], 0)), "Unknown")</f>
        <v>Nordics</v>
      </c>
      <c r="H4294" t="s">
        <v>6949</v>
      </c>
    </row>
    <row r="4295" spans="1:8">
      <c r="A4295" t="s">
        <v>5193</v>
      </c>
      <c r="B4295" t="s">
        <v>629</v>
      </c>
      <c r="C4295" s="1">
        <v>45554</v>
      </c>
      <c r="D4295" s="1" t="str">
        <f>PROPER(orders[[#This Row],[order_priority]])</f>
        <v>Economy</v>
      </c>
      <c r="E4295" t="s">
        <v>13316</v>
      </c>
      <c r="F4295" t="str">
        <f>IFERROR(INDEX(customers[country], MATCH(orders[[#This Row],[customer_id]], customers[customer_id], 0)), "Unmapped")</f>
        <v>Lithuania</v>
      </c>
      <c r="G4295" t="str">
        <f>IFERROR(INDEX(Region_Map[Region], MATCH(orders[[#This Row],[Customer_Country]], Region_Map[Country], 0)), "Unknown")</f>
        <v>Baltics</v>
      </c>
      <c r="H4295" t="s">
        <v>6949</v>
      </c>
    </row>
    <row r="4296" spans="1:8">
      <c r="A4296" t="s">
        <v>1038</v>
      </c>
      <c r="B4296" t="s">
        <v>80</v>
      </c>
      <c r="C4296" s="1">
        <v>45008</v>
      </c>
      <c r="D4296" s="1" t="str">
        <f>PROPER(orders[[#This Row],[order_priority]])</f>
        <v>Same Day</v>
      </c>
      <c r="E4296" t="s">
        <v>13324</v>
      </c>
      <c r="F4296" t="str">
        <f>IFERROR(INDEX(customers[country], MATCH(orders[[#This Row],[customer_id]], customers[customer_id], 0)), "Unmapped")</f>
        <v>Finland</v>
      </c>
      <c r="G4296" t="str">
        <f>IFERROR(INDEX(Region_Map[Region], MATCH(orders[[#This Row],[Customer_Country]], Region_Map[Country], 0)), "Unknown")</f>
        <v>Nordics</v>
      </c>
      <c r="H4296" t="s">
        <v>6949</v>
      </c>
    </row>
    <row r="4297" spans="1:8">
      <c r="A4297" t="s">
        <v>5194</v>
      </c>
      <c r="B4297" t="s">
        <v>758</v>
      </c>
      <c r="C4297" s="1">
        <v>45326</v>
      </c>
      <c r="D4297" s="1" t="str">
        <f>PROPER(orders[[#This Row],[order_priority]])</f>
        <v>Express</v>
      </c>
      <c r="E4297" t="s">
        <v>13318</v>
      </c>
      <c r="F4297" t="str">
        <f>IFERROR(INDEX(customers[country], MATCH(orders[[#This Row],[customer_id]], customers[customer_id], 0)), "Unmapped")</f>
        <v>Estonia</v>
      </c>
      <c r="G4297" t="str">
        <f>IFERROR(INDEX(Region_Map[Region], MATCH(orders[[#This Row],[Customer_Country]], Region_Map[Country], 0)), "Unknown")</f>
        <v>Baltics</v>
      </c>
      <c r="H4297" t="s">
        <v>6949</v>
      </c>
    </row>
    <row r="4298" spans="1:8">
      <c r="A4298" t="s">
        <v>5195</v>
      </c>
      <c r="B4298" t="s">
        <v>572</v>
      </c>
      <c r="C4298" s="1">
        <v>45441</v>
      </c>
      <c r="D4298" s="1" t="str">
        <f>PROPER(orders[[#This Row],[order_priority]])</f>
        <v>Express</v>
      </c>
      <c r="E4298" t="s">
        <v>13320</v>
      </c>
      <c r="F4298" t="str">
        <f>IFERROR(INDEX(customers[country], MATCH(orders[[#This Row],[customer_id]], customers[customer_id], 0)), "Unmapped")</f>
        <v>Germany</v>
      </c>
      <c r="G4298" t="str">
        <f>IFERROR(INDEX(Region_Map[Region], MATCH(orders[[#This Row],[Customer_Country]], Region_Map[Country], 0)), "Unknown")</f>
        <v>Central Europe</v>
      </c>
      <c r="H4298" t="s">
        <v>6949</v>
      </c>
    </row>
    <row r="4299" spans="1:8">
      <c r="A4299" t="s">
        <v>5196</v>
      </c>
      <c r="B4299" t="s">
        <v>332</v>
      </c>
      <c r="C4299" s="1">
        <v>45344</v>
      </c>
      <c r="D4299" s="1" t="str">
        <f>PROPER(orders[[#This Row],[order_priority]])</f>
        <v>Standard</v>
      </c>
      <c r="E4299" t="s">
        <v>13317</v>
      </c>
      <c r="F4299" t="str">
        <f>IFERROR(INDEX(customers[country], MATCH(orders[[#This Row],[customer_id]], customers[customer_id], 0)), "Unmapped")</f>
        <v>Lithuania</v>
      </c>
      <c r="G4299" t="str">
        <f>IFERROR(INDEX(Region_Map[Region], MATCH(orders[[#This Row],[Customer_Country]], Region_Map[Country], 0)), "Unknown")</f>
        <v>Baltics</v>
      </c>
      <c r="H4299" t="s">
        <v>6949</v>
      </c>
    </row>
    <row r="4300" spans="1:8">
      <c r="A4300" t="s">
        <v>5197</v>
      </c>
      <c r="B4300" t="s">
        <v>434</v>
      </c>
      <c r="C4300" s="1">
        <v>45541</v>
      </c>
      <c r="D4300" s="1" t="str">
        <f>PROPER(orders[[#This Row],[order_priority]])</f>
        <v>Same Day</v>
      </c>
      <c r="E4300" t="s">
        <v>13322</v>
      </c>
      <c r="F4300" t="str">
        <f>IFERROR(INDEX(customers[country], MATCH(orders[[#This Row],[customer_id]], customers[customer_id], 0)), "Unmapped")</f>
        <v>Lithuania</v>
      </c>
      <c r="G4300" t="str">
        <f>IFERROR(INDEX(Region_Map[Region], MATCH(orders[[#This Row],[Customer_Country]], Region_Map[Country], 0)), "Unknown")</f>
        <v>Baltics</v>
      </c>
      <c r="H4300" t="s">
        <v>6949</v>
      </c>
    </row>
    <row r="4301" spans="1:8">
      <c r="A4301" t="s">
        <v>5198</v>
      </c>
      <c r="B4301" t="s">
        <v>273</v>
      </c>
      <c r="C4301" s="1">
        <v>45389</v>
      </c>
      <c r="D4301" s="1" t="str">
        <f>PROPER(orders[[#This Row],[order_priority]])</f>
        <v>Economy</v>
      </c>
      <c r="E4301" t="s">
        <v>13316</v>
      </c>
      <c r="F4301" t="str">
        <f>IFERROR(INDEX(customers[country], MATCH(orders[[#This Row],[customer_id]], customers[customer_id], 0)), "Unmapped")</f>
        <v>Norway</v>
      </c>
      <c r="G4301" t="str">
        <f>IFERROR(INDEX(Region_Map[Region], MATCH(orders[[#This Row],[Customer_Country]], Region_Map[Country], 0)), "Unknown")</f>
        <v>Nordics</v>
      </c>
      <c r="H4301" t="s">
        <v>6949</v>
      </c>
    </row>
    <row r="4302" spans="1:8">
      <c r="A4302" t="s">
        <v>5199</v>
      </c>
      <c r="B4302" t="s">
        <v>422</v>
      </c>
      <c r="C4302" s="1">
        <v>45021</v>
      </c>
      <c r="D4302" s="1" t="str">
        <f>PROPER(orders[[#This Row],[order_priority]])</f>
        <v>Economy</v>
      </c>
      <c r="E4302" t="s">
        <v>13325</v>
      </c>
      <c r="F4302" t="str">
        <f>IFERROR(INDEX(customers[country], MATCH(orders[[#This Row],[customer_id]], customers[customer_id], 0)), "Unmapped")</f>
        <v>Germany</v>
      </c>
      <c r="G4302" t="str">
        <f>IFERROR(INDEX(Region_Map[Region], MATCH(orders[[#This Row],[Customer_Country]], Region_Map[Country], 0)), "Unknown")</f>
        <v>Central Europe</v>
      </c>
      <c r="H4302" t="s">
        <v>6949</v>
      </c>
    </row>
    <row r="4303" spans="1:8">
      <c r="A4303" t="s">
        <v>5200</v>
      </c>
      <c r="B4303" t="s">
        <v>58</v>
      </c>
      <c r="C4303" s="1">
        <v>44970</v>
      </c>
      <c r="D4303" s="1" t="str">
        <f>PROPER(orders[[#This Row],[order_priority]])</f>
        <v>Express</v>
      </c>
      <c r="E4303" t="s">
        <v>13318</v>
      </c>
      <c r="F4303" t="str">
        <f>IFERROR(INDEX(customers[country], MATCH(orders[[#This Row],[customer_id]], customers[customer_id], 0)), "Unmapped")</f>
        <v>Germany</v>
      </c>
      <c r="G4303" t="str">
        <f>IFERROR(INDEX(Region_Map[Region], MATCH(orders[[#This Row],[Customer_Country]], Region_Map[Country], 0)), "Unknown")</f>
        <v>Central Europe</v>
      </c>
      <c r="H4303" t="s">
        <v>6949</v>
      </c>
    </row>
    <row r="4304" spans="1:8">
      <c r="A4304" t="s">
        <v>5201</v>
      </c>
      <c r="B4304" t="s">
        <v>455</v>
      </c>
      <c r="C4304" s="1">
        <v>45606</v>
      </c>
      <c r="D4304" s="1" t="str">
        <f>PROPER(orders[[#This Row],[order_priority]])</f>
        <v>Standard</v>
      </c>
      <c r="E4304" t="s">
        <v>13317</v>
      </c>
      <c r="F4304" t="str">
        <f>IFERROR(INDEX(customers[country], MATCH(orders[[#This Row],[customer_id]], customers[customer_id], 0)), "Unmapped")</f>
        <v>Poland</v>
      </c>
      <c r="G4304" t="str">
        <f>IFERROR(INDEX(Region_Map[Region], MATCH(orders[[#This Row],[Customer_Country]], Region_Map[Country], 0)), "Unknown")</f>
        <v>Central Europe</v>
      </c>
      <c r="H4304" t="s">
        <v>6949</v>
      </c>
    </row>
    <row r="4305" spans="1:8">
      <c r="A4305" t="s">
        <v>5202</v>
      </c>
      <c r="B4305" t="s">
        <v>201</v>
      </c>
      <c r="C4305" s="1">
        <v>45529</v>
      </c>
      <c r="D4305" s="1" t="str">
        <f>PROPER(orders[[#This Row],[order_priority]])</f>
        <v>Express</v>
      </c>
      <c r="E4305" t="s">
        <v>13318</v>
      </c>
      <c r="F4305" t="str">
        <f>IFERROR(INDEX(customers[country], MATCH(orders[[#This Row],[customer_id]], customers[customer_id], 0)), "Unmapped")</f>
        <v>Estonia</v>
      </c>
      <c r="G4305" t="str">
        <f>IFERROR(INDEX(Region_Map[Region], MATCH(orders[[#This Row],[Customer_Country]], Region_Map[Country], 0)), "Unknown")</f>
        <v>Baltics</v>
      </c>
      <c r="H4305" t="s">
        <v>6949</v>
      </c>
    </row>
    <row r="4306" spans="1:8">
      <c r="A4306" t="s">
        <v>5203</v>
      </c>
      <c r="B4306" t="s">
        <v>231</v>
      </c>
      <c r="C4306" s="1">
        <v>45104</v>
      </c>
      <c r="D4306" s="1" t="str">
        <f>PROPER(orders[[#This Row],[order_priority]])</f>
        <v>Express</v>
      </c>
      <c r="E4306" t="s">
        <v>13318</v>
      </c>
      <c r="F4306" t="str">
        <f>IFERROR(INDEX(customers[country], MATCH(orders[[#This Row],[customer_id]], customers[customer_id], 0)), "Unmapped")</f>
        <v>Lithuania</v>
      </c>
      <c r="G4306" t="str">
        <f>IFERROR(INDEX(Region_Map[Region], MATCH(orders[[#This Row],[Customer_Country]], Region_Map[Country], 0)), "Unknown")</f>
        <v>Baltics</v>
      </c>
      <c r="H4306" t="s">
        <v>6949</v>
      </c>
    </row>
    <row r="4307" spans="1:8">
      <c r="A4307" t="s">
        <v>5204</v>
      </c>
      <c r="B4307" t="s">
        <v>317</v>
      </c>
      <c r="C4307" s="1">
        <v>44929</v>
      </c>
      <c r="D4307" s="1" t="str">
        <f>PROPER(orders[[#This Row],[order_priority]])</f>
        <v>Express</v>
      </c>
      <c r="E4307" t="s">
        <v>13318</v>
      </c>
      <c r="F4307" t="str">
        <f>IFERROR(INDEX(customers[country], MATCH(orders[[#This Row],[customer_id]], customers[customer_id], 0)), "Unmapped")</f>
        <v>Sweden</v>
      </c>
      <c r="G4307" t="str">
        <f>IFERROR(INDEX(Region_Map[Region], MATCH(orders[[#This Row],[Customer_Country]], Region_Map[Country], 0)), "Unknown")</f>
        <v>Nordics</v>
      </c>
      <c r="H4307" t="s">
        <v>6949</v>
      </c>
    </row>
    <row r="4308" spans="1:8">
      <c r="A4308" t="s">
        <v>5205</v>
      </c>
      <c r="B4308" t="s">
        <v>849</v>
      </c>
      <c r="C4308" s="1">
        <v>45351</v>
      </c>
      <c r="D4308" s="1" t="str">
        <f>PROPER(orders[[#This Row],[order_priority]])</f>
        <v>Standard</v>
      </c>
      <c r="E4308" t="s">
        <v>13317</v>
      </c>
      <c r="F4308" t="str">
        <f>IFERROR(INDEX(customers[country], MATCH(orders[[#This Row],[customer_id]], customers[customer_id], 0)), "Unmapped")</f>
        <v>Lithuania</v>
      </c>
      <c r="G4308" t="str">
        <f>IFERROR(INDEX(Region_Map[Region], MATCH(orders[[#This Row],[Customer_Country]], Region_Map[Country], 0)), "Unknown")</f>
        <v>Baltics</v>
      </c>
      <c r="H4308" t="s">
        <v>6949</v>
      </c>
    </row>
    <row r="4309" spans="1:8">
      <c r="A4309" t="s">
        <v>5206</v>
      </c>
      <c r="B4309" t="s">
        <v>311</v>
      </c>
      <c r="C4309" s="1">
        <v>45463</v>
      </c>
      <c r="D4309" s="1" t="str">
        <f>PROPER(orders[[#This Row],[order_priority]])</f>
        <v>Express</v>
      </c>
      <c r="E4309" t="s">
        <v>13318</v>
      </c>
      <c r="F4309" t="str">
        <f>IFERROR(INDEX(customers[country], MATCH(orders[[#This Row],[customer_id]], customers[customer_id], 0)), "Unmapped")</f>
        <v>Netherlands</v>
      </c>
      <c r="G4309" t="str">
        <f>IFERROR(INDEX(Region_Map[Region], MATCH(orders[[#This Row],[Customer_Country]], Region_Map[Country], 0)), "Unknown")</f>
        <v>Central Europe</v>
      </c>
      <c r="H4309" t="s">
        <v>6949</v>
      </c>
    </row>
    <row r="4310" spans="1:8">
      <c r="A4310" t="s">
        <v>5207</v>
      </c>
      <c r="B4310" t="s">
        <v>772</v>
      </c>
      <c r="C4310" s="1">
        <v>45619</v>
      </c>
      <c r="D4310" s="1" t="str">
        <f>PROPER(orders[[#This Row],[order_priority]])</f>
        <v>Economy</v>
      </c>
      <c r="E4310" t="s">
        <v>13316</v>
      </c>
      <c r="F4310" t="str">
        <f>IFERROR(INDEX(customers[country], MATCH(orders[[#This Row],[customer_id]], customers[customer_id], 0)), "Unmapped")</f>
        <v>Estonia</v>
      </c>
      <c r="G4310" t="str">
        <f>IFERROR(INDEX(Region_Map[Region], MATCH(orders[[#This Row],[Customer_Country]], Region_Map[Country], 0)), "Unknown")</f>
        <v>Baltics</v>
      </c>
      <c r="H4310" t="s">
        <v>6949</v>
      </c>
    </row>
    <row r="4311" spans="1:8">
      <c r="A4311" t="s">
        <v>5208</v>
      </c>
      <c r="B4311" t="s">
        <v>673</v>
      </c>
      <c r="C4311" s="1">
        <v>45346</v>
      </c>
      <c r="D4311" s="1" t="str">
        <f>PROPER(orders[[#This Row],[order_priority]])</f>
        <v>Same Day</v>
      </c>
      <c r="E4311" t="s">
        <v>13322</v>
      </c>
      <c r="F4311" t="str">
        <f>IFERROR(INDEX(customers[country], MATCH(orders[[#This Row],[customer_id]], customers[customer_id], 0)), "Unmapped")</f>
        <v>Sweden</v>
      </c>
      <c r="G4311" t="str">
        <f>IFERROR(INDEX(Region_Map[Region], MATCH(orders[[#This Row],[Customer_Country]], Region_Map[Country], 0)), "Unknown")</f>
        <v>Nordics</v>
      </c>
      <c r="H4311" t="s">
        <v>6949</v>
      </c>
    </row>
    <row r="4312" spans="1:8">
      <c r="A4312" t="s">
        <v>5209</v>
      </c>
      <c r="B4312" t="s">
        <v>578</v>
      </c>
      <c r="C4312" s="1">
        <v>45030</v>
      </c>
      <c r="D4312" s="1" t="str">
        <f>PROPER(orders[[#This Row],[order_priority]])</f>
        <v>Express</v>
      </c>
      <c r="E4312" t="s">
        <v>13318</v>
      </c>
      <c r="F4312" t="str">
        <f>IFERROR(INDEX(customers[country], MATCH(orders[[#This Row],[customer_id]], customers[customer_id], 0)), "Unmapped")</f>
        <v>Norway</v>
      </c>
      <c r="G4312" t="str">
        <f>IFERROR(INDEX(Region_Map[Region], MATCH(orders[[#This Row],[Customer_Country]], Region_Map[Country], 0)), "Unknown")</f>
        <v>Nordics</v>
      </c>
      <c r="H4312" t="s">
        <v>6949</v>
      </c>
    </row>
    <row r="4313" spans="1:8">
      <c r="A4313" t="s">
        <v>5210</v>
      </c>
      <c r="B4313" t="s">
        <v>673</v>
      </c>
      <c r="C4313" s="1">
        <v>45306</v>
      </c>
      <c r="D4313" s="1" t="str">
        <f>PROPER(orders[[#This Row],[order_priority]])</f>
        <v>Express</v>
      </c>
      <c r="E4313" t="s">
        <v>13318</v>
      </c>
      <c r="F4313" t="str">
        <f>IFERROR(INDEX(customers[country], MATCH(orders[[#This Row],[customer_id]], customers[customer_id], 0)), "Unmapped")</f>
        <v>Sweden</v>
      </c>
      <c r="G4313" t="str">
        <f>IFERROR(INDEX(Region_Map[Region], MATCH(orders[[#This Row],[Customer_Country]], Region_Map[Country], 0)), "Unknown")</f>
        <v>Nordics</v>
      </c>
      <c r="H4313" t="s">
        <v>6949</v>
      </c>
    </row>
    <row r="4314" spans="1:8">
      <c r="A4314" t="s">
        <v>5211</v>
      </c>
      <c r="B4314" t="s">
        <v>365</v>
      </c>
      <c r="C4314" s="1">
        <v>45145</v>
      </c>
      <c r="D4314" s="1" t="str">
        <f>PROPER(orders[[#This Row],[order_priority]])</f>
        <v>Standard</v>
      </c>
      <c r="E4314" t="s">
        <v>13317</v>
      </c>
      <c r="F4314" t="str">
        <f>IFERROR(INDEX(customers[country], MATCH(orders[[#This Row],[customer_id]], customers[customer_id], 0)), "Unmapped")</f>
        <v>Poland</v>
      </c>
      <c r="G4314" t="str">
        <f>IFERROR(INDEX(Region_Map[Region], MATCH(orders[[#This Row],[Customer_Country]], Region_Map[Country], 0)), "Unknown")</f>
        <v>Central Europe</v>
      </c>
      <c r="H4314" t="s">
        <v>6949</v>
      </c>
    </row>
    <row r="4315" spans="1:8">
      <c r="A4315" t="s">
        <v>5212</v>
      </c>
      <c r="B4315" t="s">
        <v>371</v>
      </c>
      <c r="C4315" s="1">
        <v>44948</v>
      </c>
      <c r="D4315" s="1" t="str">
        <f>PROPER(orders[[#This Row],[order_priority]])</f>
        <v>Standard</v>
      </c>
      <c r="E4315" t="s">
        <v>13317</v>
      </c>
      <c r="F4315" t="str">
        <f>IFERROR(INDEX(customers[country], MATCH(orders[[#This Row],[customer_id]], customers[customer_id], 0)), "Unmapped")</f>
        <v>Germany</v>
      </c>
      <c r="G4315" t="str">
        <f>IFERROR(INDEX(Region_Map[Region], MATCH(orders[[#This Row],[Customer_Country]], Region_Map[Country], 0)), "Unknown")</f>
        <v>Central Europe</v>
      </c>
      <c r="H4315" t="s">
        <v>6949</v>
      </c>
    </row>
    <row r="4316" spans="1:8">
      <c r="A4316" t="s">
        <v>5213</v>
      </c>
      <c r="B4316" t="s">
        <v>127</v>
      </c>
      <c r="C4316" s="1">
        <v>44991</v>
      </c>
      <c r="D4316" s="1" t="str">
        <f>PROPER(orders[[#This Row],[order_priority]])</f>
        <v>Economy</v>
      </c>
      <c r="E4316" t="s">
        <v>13316</v>
      </c>
      <c r="F4316" t="str">
        <f>IFERROR(INDEX(customers[country], MATCH(orders[[#This Row],[customer_id]], customers[customer_id], 0)), "Unmapped")</f>
        <v>Denmark</v>
      </c>
      <c r="G4316" t="str">
        <f>IFERROR(INDEX(Region_Map[Region], MATCH(orders[[#This Row],[Customer_Country]], Region_Map[Country], 0)), "Unknown")</f>
        <v>Nordics</v>
      </c>
      <c r="H4316" t="s">
        <v>6949</v>
      </c>
    </row>
    <row r="4317" spans="1:8">
      <c r="A4317" t="s">
        <v>5214</v>
      </c>
      <c r="B4317" t="s">
        <v>813</v>
      </c>
      <c r="C4317" s="1">
        <v>45262</v>
      </c>
      <c r="D4317" s="1" t="str">
        <f>PROPER(orders[[#This Row],[order_priority]])</f>
        <v>Standard</v>
      </c>
      <c r="E4317" t="s">
        <v>13317</v>
      </c>
      <c r="F4317" t="str">
        <f>IFERROR(INDEX(customers[country], MATCH(orders[[#This Row],[customer_id]], customers[customer_id], 0)), "Unmapped")</f>
        <v>Norway</v>
      </c>
      <c r="G4317" t="str">
        <f>IFERROR(INDEX(Region_Map[Region], MATCH(orders[[#This Row],[Customer_Country]], Region_Map[Country], 0)), "Unknown")</f>
        <v>Nordics</v>
      </c>
      <c r="H4317" t="s">
        <v>6949</v>
      </c>
    </row>
    <row r="4318" spans="1:8">
      <c r="A4318" t="s">
        <v>5215</v>
      </c>
      <c r="B4318" t="s">
        <v>813</v>
      </c>
      <c r="C4318" s="1">
        <v>45045</v>
      </c>
      <c r="D4318" s="1" t="str">
        <f>PROPER(orders[[#This Row],[order_priority]])</f>
        <v>Economy</v>
      </c>
      <c r="E4318" t="s">
        <v>13316</v>
      </c>
      <c r="F4318" t="str">
        <f>IFERROR(INDEX(customers[country], MATCH(orders[[#This Row],[customer_id]], customers[customer_id], 0)), "Unmapped")</f>
        <v>Norway</v>
      </c>
      <c r="G4318" t="str">
        <f>IFERROR(INDEX(Region_Map[Region], MATCH(orders[[#This Row],[Customer_Country]], Region_Map[Country], 0)), "Unknown")</f>
        <v>Nordics</v>
      </c>
      <c r="H4318" t="s">
        <v>6949</v>
      </c>
    </row>
    <row r="4319" spans="1:8">
      <c r="A4319" t="s">
        <v>5216</v>
      </c>
      <c r="B4319" t="s">
        <v>545</v>
      </c>
      <c r="C4319" s="1">
        <v>45575</v>
      </c>
      <c r="D4319" s="1" t="str">
        <f>PROPER(orders[[#This Row],[order_priority]])</f>
        <v>Same Day</v>
      </c>
      <c r="E4319" t="s">
        <v>13322</v>
      </c>
      <c r="F4319" t="str">
        <f>IFERROR(INDEX(customers[country], MATCH(orders[[#This Row],[customer_id]], customers[customer_id], 0)), "Unmapped")</f>
        <v>Netherlands</v>
      </c>
      <c r="G4319" t="str">
        <f>IFERROR(INDEX(Region_Map[Region], MATCH(orders[[#This Row],[Customer_Country]], Region_Map[Country], 0)), "Unknown")</f>
        <v>Central Europe</v>
      </c>
      <c r="H4319" t="s">
        <v>6949</v>
      </c>
    </row>
    <row r="4320" spans="1:8">
      <c r="A4320" t="s">
        <v>5217</v>
      </c>
      <c r="B4320" t="s">
        <v>306</v>
      </c>
      <c r="C4320" s="1">
        <v>44962</v>
      </c>
      <c r="D4320" s="1" t="str">
        <f>PROPER(orders[[#This Row],[order_priority]])</f>
        <v>Express</v>
      </c>
      <c r="E4320" t="s">
        <v>13318</v>
      </c>
      <c r="F4320" t="str">
        <f>IFERROR(INDEX(customers[country], MATCH(orders[[#This Row],[customer_id]], customers[customer_id], 0)), "Unmapped")</f>
        <v>Estonia</v>
      </c>
      <c r="G4320" t="str">
        <f>IFERROR(INDEX(Region_Map[Region], MATCH(orders[[#This Row],[Customer_Country]], Region_Map[Country], 0)), "Unknown")</f>
        <v>Baltics</v>
      </c>
      <c r="H4320" t="s">
        <v>6949</v>
      </c>
    </row>
    <row r="4321" spans="1:8">
      <c r="A4321" t="s">
        <v>5218</v>
      </c>
      <c r="B4321" t="s">
        <v>825</v>
      </c>
      <c r="C4321" s="1">
        <v>44984</v>
      </c>
      <c r="D4321" s="1" t="str">
        <f>PROPER(orders[[#This Row],[order_priority]])</f>
        <v>Economy</v>
      </c>
      <c r="E4321" t="s">
        <v>13316</v>
      </c>
      <c r="F4321" t="str">
        <f>IFERROR(INDEX(customers[country], MATCH(orders[[#This Row],[customer_id]], customers[customer_id], 0)), "Unmapped")</f>
        <v>Latvia</v>
      </c>
      <c r="G4321" t="str">
        <f>IFERROR(INDEX(Region_Map[Region], MATCH(orders[[#This Row],[Customer_Country]], Region_Map[Country], 0)), "Unknown")</f>
        <v>Baltics</v>
      </c>
      <c r="H4321" t="s">
        <v>6949</v>
      </c>
    </row>
    <row r="4322" spans="1:8">
      <c r="A4322" t="s">
        <v>5219</v>
      </c>
      <c r="B4322" t="s">
        <v>413</v>
      </c>
      <c r="C4322" s="1">
        <v>45086</v>
      </c>
      <c r="D4322" s="1" t="str">
        <f>PROPER(orders[[#This Row],[order_priority]])</f>
        <v>Standard</v>
      </c>
      <c r="E4322" t="s">
        <v>13317</v>
      </c>
      <c r="F4322" t="str">
        <f>IFERROR(INDEX(customers[country], MATCH(orders[[#This Row],[customer_id]], customers[customer_id], 0)), "Unmapped")</f>
        <v>Poland</v>
      </c>
      <c r="G4322" t="str">
        <f>IFERROR(INDEX(Region_Map[Region], MATCH(orders[[#This Row],[Customer_Country]], Region_Map[Country], 0)), "Unknown")</f>
        <v>Central Europe</v>
      </c>
      <c r="H4322" t="s">
        <v>6949</v>
      </c>
    </row>
    <row r="4323" spans="1:8">
      <c r="A4323" t="s">
        <v>5220</v>
      </c>
      <c r="B4323" t="s">
        <v>587</v>
      </c>
      <c r="C4323" s="1">
        <v>45297</v>
      </c>
      <c r="D4323" s="1" t="str">
        <f>PROPER(orders[[#This Row],[order_priority]])</f>
        <v>Economy</v>
      </c>
      <c r="E4323" t="s">
        <v>13316</v>
      </c>
      <c r="F4323" t="str">
        <f>IFERROR(INDEX(customers[country], MATCH(orders[[#This Row],[customer_id]], customers[customer_id], 0)), "Unmapped")</f>
        <v>Finland</v>
      </c>
      <c r="G4323" t="str">
        <f>IFERROR(INDEX(Region_Map[Region], MATCH(orders[[#This Row],[Customer_Country]], Region_Map[Country], 0)), "Unknown")</f>
        <v>Nordics</v>
      </c>
      <c r="H4323" t="s">
        <v>6949</v>
      </c>
    </row>
    <row r="4324" spans="1:8">
      <c r="A4324" t="s">
        <v>5221</v>
      </c>
      <c r="B4324" t="s">
        <v>216</v>
      </c>
      <c r="C4324" s="1">
        <v>45627</v>
      </c>
      <c r="D4324" s="1" t="str">
        <f>PROPER(orders[[#This Row],[order_priority]])</f>
        <v>Same Day</v>
      </c>
      <c r="E4324" t="s">
        <v>13322</v>
      </c>
      <c r="F4324" t="str">
        <f>IFERROR(INDEX(customers[country], MATCH(orders[[#This Row],[customer_id]], customers[customer_id], 0)), "Unmapped")</f>
        <v>Norway</v>
      </c>
      <c r="G4324" t="str">
        <f>IFERROR(INDEX(Region_Map[Region], MATCH(orders[[#This Row],[Customer_Country]], Region_Map[Country], 0)), "Unknown")</f>
        <v>Nordics</v>
      </c>
      <c r="H4324" t="s">
        <v>6949</v>
      </c>
    </row>
    <row r="4325" spans="1:8">
      <c r="A4325" t="s">
        <v>5222</v>
      </c>
      <c r="B4325" t="s">
        <v>6949</v>
      </c>
      <c r="C4325" s="1">
        <v>45142</v>
      </c>
      <c r="D4325" s="1" t="str">
        <f>PROPER(orders[[#This Row],[order_priority]])</f>
        <v>Economy</v>
      </c>
      <c r="E4325" t="s">
        <v>13316</v>
      </c>
      <c r="F4325" t="str">
        <f>IFERROR(INDEX(customers[country], MATCH(orders[[#This Row],[customer_id]], customers[customer_id], 0)), "Unmapped")</f>
        <v>Unmapped</v>
      </c>
      <c r="G4325" t="str">
        <f>IFERROR(INDEX(Region_Map[Region], MATCH(orders[[#This Row],[Customer_Country]], Region_Map[Country], 0)), "Unknown")</f>
        <v>Unknown</v>
      </c>
      <c r="H4325" t="s">
        <v>6949</v>
      </c>
    </row>
    <row r="4326" spans="1:8">
      <c r="A4326" t="s">
        <v>5223</v>
      </c>
      <c r="B4326" t="s">
        <v>799</v>
      </c>
      <c r="C4326" s="1">
        <v>45170</v>
      </c>
      <c r="D4326" s="1" t="str">
        <f>PROPER(orders[[#This Row],[order_priority]])</f>
        <v>Economy</v>
      </c>
      <c r="E4326" t="s">
        <v>13316</v>
      </c>
      <c r="F4326" t="str">
        <f>IFERROR(INDEX(customers[country], MATCH(orders[[#This Row],[customer_id]], customers[customer_id], 0)), "Unmapped")</f>
        <v>Germany</v>
      </c>
      <c r="G4326" t="str">
        <f>IFERROR(INDEX(Region_Map[Region], MATCH(orders[[#This Row],[Customer_Country]], Region_Map[Country], 0)), "Unknown")</f>
        <v>Central Europe</v>
      </c>
      <c r="H4326" t="s">
        <v>6949</v>
      </c>
    </row>
    <row r="4327" spans="1:8">
      <c r="A4327" t="s">
        <v>5224</v>
      </c>
      <c r="B4327" t="s">
        <v>575</v>
      </c>
      <c r="C4327" s="1">
        <v>45228</v>
      </c>
      <c r="D4327" s="1" t="str">
        <f>PROPER(orders[[#This Row],[order_priority]])</f>
        <v>Economy</v>
      </c>
      <c r="E4327" t="s">
        <v>13316</v>
      </c>
      <c r="F4327" t="str">
        <f>IFERROR(INDEX(customers[country], MATCH(orders[[#This Row],[customer_id]], customers[customer_id], 0)), "Unmapped")</f>
        <v>Netherlands</v>
      </c>
      <c r="G4327" t="str">
        <f>IFERROR(INDEX(Region_Map[Region], MATCH(orders[[#This Row],[Customer_Country]], Region_Map[Country], 0)), "Unknown")</f>
        <v>Central Europe</v>
      </c>
      <c r="H4327" t="s">
        <v>6949</v>
      </c>
    </row>
    <row r="4328" spans="1:8">
      <c r="A4328" t="s">
        <v>5225</v>
      </c>
      <c r="B4328" t="s">
        <v>885</v>
      </c>
      <c r="C4328" s="1">
        <v>45459</v>
      </c>
      <c r="D4328" s="1" t="str">
        <f>PROPER(orders[[#This Row],[order_priority]])</f>
        <v>Economy</v>
      </c>
      <c r="E4328" t="s">
        <v>13316</v>
      </c>
      <c r="F4328" t="str">
        <f>IFERROR(INDEX(customers[country], MATCH(orders[[#This Row],[customer_id]], customers[customer_id], 0)), "Unmapped")</f>
        <v>Poland</v>
      </c>
      <c r="G4328" t="str">
        <f>IFERROR(INDEX(Region_Map[Region], MATCH(orders[[#This Row],[Customer_Country]], Region_Map[Country], 0)), "Unknown")</f>
        <v>Central Europe</v>
      </c>
      <c r="H4328" t="s">
        <v>6949</v>
      </c>
    </row>
    <row r="4329" spans="1:8">
      <c r="A4329" t="s">
        <v>5226</v>
      </c>
      <c r="B4329" t="s">
        <v>181</v>
      </c>
      <c r="C4329" s="1">
        <v>45614</v>
      </c>
      <c r="D4329" s="1" t="str">
        <f>PROPER(orders[[#This Row],[order_priority]])</f>
        <v>Economy</v>
      </c>
      <c r="E4329" t="s">
        <v>13316</v>
      </c>
      <c r="F4329" t="str">
        <f>IFERROR(INDEX(customers[country], MATCH(orders[[#This Row],[customer_id]], customers[customer_id], 0)), "Unmapped")</f>
        <v>Netherlands</v>
      </c>
      <c r="G4329" t="str">
        <f>IFERROR(INDEX(Region_Map[Region], MATCH(orders[[#This Row],[Customer_Country]], Region_Map[Country], 0)), "Unknown")</f>
        <v>Central Europe</v>
      </c>
      <c r="H4329" t="s">
        <v>6949</v>
      </c>
    </row>
    <row r="4330" spans="1:8">
      <c r="A4330" t="s">
        <v>5227</v>
      </c>
      <c r="B4330" t="s">
        <v>231</v>
      </c>
      <c r="C4330" s="1">
        <v>45470</v>
      </c>
      <c r="D4330" s="1" t="str">
        <f>PROPER(orders[[#This Row],[order_priority]])</f>
        <v>Standard</v>
      </c>
      <c r="E4330" t="s">
        <v>13317</v>
      </c>
      <c r="F4330" t="str">
        <f>IFERROR(INDEX(customers[country], MATCH(orders[[#This Row],[customer_id]], customers[customer_id], 0)), "Unmapped")</f>
        <v>Lithuania</v>
      </c>
      <c r="G4330" t="str">
        <f>IFERROR(INDEX(Region_Map[Region], MATCH(orders[[#This Row],[Customer_Country]], Region_Map[Country], 0)), "Unknown")</f>
        <v>Baltics</v>
      </c>
      <c r="H4330" t="s">
        <v>6949</v>
      </c>
    </row>
    <row r="4331" spans="1:8">
      <c r="A4331" t="s">
        <v>5228</v>
      </c>
      <c r="B4331" t="s">
        <v>641</v>
      </c>
      <c r="C4331" s="1">
        <v>45232</v>
      </c>
      <c r="D4331" s="1" t="str">
        <f>PROPER(orders[[#This Row],[order_priority]])</f>
        <v>Economy</v>
      </c>
      <c r="E4331" t="s">
        <v>13316</v>
      </c>
      <c r="F4331" t="str">
        <f>IFERROR(INDEX(customers[country], MATCH(orders[[#This Row],[customer_id]], customers[customer_id], 0)), "Unmapped")</f>
        <v>Poland</v>
      </c>
      <c r="G4331" t="str">
        <f>IFERROR(INDEX(Region_Map[Region], MATCH(orders[[#This Row],[Customer_Country]], Region_Map[Country], 0)), "Unknown")</f>
        <v>Central Europe</v>
      </c>
      <c r="H4331" t="s">
        <v>6949</v>
      </c>
    </row>
    <row r="4332" spans="1:8">
      <c r="A4332" t="s">
        <v>5229</v>
      </c>
      <c r="B4332" t="s">
        <v>891</v>
      </c>
      <c r="C4332" s="1">
        <v>45515</v>
      </c>
      <c r="D4332" s="1" t="str">
        <f>PROPER(orders[[#This Row],[order_priority]])</f>
        <v>Express</v>
      </c>
      <c r="E4332" t="s">
        <v>13318</v>
      </c>
      <c r="F4332" t="str">
        <f>IFERROR(INDEX(customers[country], MATCH(orders[[#This Row],[customer_id]], customers[customer_id], 0)), "Unmapped")</f>
        <v>Netherlands</v>
      </c>
      <c r="G4332" t="str">
        <f>IFERROR(INDEX(Region_Map[Region], MATCH(orders[[#This Row],[Customer_Country]], Region_Map[Country], 0)), "Unknown")</f>
        <v>Central Europe</v>
      </c>
      <c r="H4332" t="s">
        <v>6949</v>
      </c>
    </row>
    <row r="4333" spans="1:8">
      <c r="A4333" t="s">
        <v>5230</v>
      </c>
      <c r="B4333" t="s">
        <v>566</v>
      </c>
      <c r="C4333" s="1">
        <v>45005</v>
      </c>
      <c r="D4333" s="1" t="str">
        <f>PROPER(orders[[#This Row],[order_priority]])</f>
        <v>Standard</v>
      </c>
      <c r="E4333" t="s">
        <v>13317</v>
      </c>
      <c r="F4333" t="str">
        <f>IFERROR(INDEX(customers[country], MATCH(orders[[#This Row],[customer_id]], customers[customer_id], 0)), "Unmapped")</f>
        <v>Denmark</v>
      </c>
      <c r="G4333" t="str">
        <f>IFERROR(INDEX(Region_Map[Region], MATCH(orders[[#This Row],[Customer_Country]], Region_Map[Country], 0)), "Unknown")</f>
        <v>Nordics</v>
      </c>
      <c r="H4333" t="s">
        <v>6949</v>
      </c>
    </row>
    <row r="4334" spans="1:8">
      <c r="A4334" t="s">
        <v>5231</v>
      </c>
      <c r="B4334" t="s">
        <v>467</v>
      </c>
      <c r="C4334" s="1">
        <v>45239</v>
      </c>
      <c r="D4334" s="1" t="str">
        <f>PROPER(orders[[#This Row],[order_priority]])</f>
        <v>Express</v>
      </c>
      <c r="E4334" t="s">
        <v>13318</v>
      </c>
      <c r="F4334" t="str">
        <f>IFERROR(INDEX(customers[country], MATCH(orders[[#This Row],[customer_id]], customers[customer_id], 0)), "Unmapped")</f>
        <v>Latvia</v>
      </c>
      <c r="G4334" t="str">
        <f>IFERROR(INDEX(Region_Map[Region], MATCH(orders[[#This Row],[Customer_Country]], Region_Map[Country], 0)), "Unknown")</f>
        <v>Baltics</v>
      </c>
      <c r="H4334" t="s">
        <v>6949</v>
      </c>
    </row>
    <row r="4335" spans="1:8">
      <c r="A4335" t="s">
        <v>5232</v>
      </c>
      <c r="B4335" t="s">
        <v>148</v>
      </c>
      <c r="C4335" s="1">
        <v>45121</v>
      </c>
      <c r="D4335" s="1" t="str">
        <f>PROPER(orders[[#This Row],[order_priority]])</f>
        <v>Same Day</v>
      </c>
      <c r="E4335" t="s">
        <v>13322</v>
      </c>
      <c r="F4335" t="str">
        <f>IFERROR(INDEX(customers[country], MATCH(orders[[#This Row],[customer_id]], customers[customer_id], 0)), "Unmapped")</f>
        <v>Poland</v>
      </c>
      <c r="G4335" t="str">
        <f>IFERROR(INDEX(Region_Map[Region], MATCH(orders[[#This Row],[Customer_Country]], Region_Map[Country], 0)), "Unknown")</f>
        <v>Central Europe</v>
      </c>
      <c r="H4335" t="s">
        <v>6949</v>
      </c>
    </row>
    <row r="4336" spans="1:8">
      <c r="A4336" t="s">
        <v>5233</v>
      </c>
      <c r="B4336" t="s">
        <v>309</v>
      </c>
      <c r="C4336" s="1">
        <v>44969</v>
      </c>
      <c r="D4336" s="1" t="str">
        <f>PROPER(orders[[#This Row],[order_priority]])</f>
        <v>Express</v>
      </c>
      <c r="E4336" t="s">
        <v>13318</v>
      </c>
      <c r="F4336" t="str">
        <f>IFERROR(INDEX(customers[country], MATCH(orders[[#This Row],[customer_id]], customers[customer_id], 0)), "Unmapped")</f>
        <v>Lithuania</v>
      </c>
      <c r="G4336" t="str">
        <f>IFERROR(INDEX(Region_Map[Region], MATCH(orders[[#This Row],[Customer_Country]], Region_Map[Country], 0)), "Unknown")</f>
        <v>Baltics</v>
      </c>
      <c r="H4336" t="s">
        <v>6949</v>
      </c>
    </row>
    <row r="4337" spans="1:8">
      <c r="A4337" t="s">
        <v>5234</v>
      </c>
      <c r="B4337" t="s">
        <v>667</v>
      </c>
      <c r="C4337" s="1">
        <v>44960</v>
      </c>
      <c r="D4337" s="1" t="str">
        <f>PROPER(orders[[#This Row],[order_priority]])</f>
        <v>Standard</v>
      </c>
      <c r="E4337" t="s">
        <v>13317</v>
      </c>
      <c r="F4337" t="str">
        <f>IFERROR(INDEX(customers[country], MATCH(orders[[#This Row],[customer_id]], customers[customer_id], 0)), "Unmapped")</f>
        <v>Germany</v>
      </c>
      <c r="G4337" t="str">
        <f>IFERROR(INDEX(Region_Map[Region], MATCH(orders[[#This Row],[Customer_Country]], Region_Map[Country], 0)), "Unknown")</f>
        <v>Central Europe</v>
      </c>
      <c r="H4337" t="s">
        <v>6949</v>
      </c>
    </row>
    <row r="4338" spans="1:8">
      <c r="A4338" t="s">
        <v>5235</v>
      </c>
      <c r="B4338" t="s">
        <v>166</v>
      </c>
      <c r="C4338" s="1">
        <v>45594</v>
      </c>
      <c r="D4338" s="1" t="str">
        <f>PROPER(orders[[#This Row],[order_priority]])</f>
        <v>Express</v>
      </c>
      <c r="E4338" t="s">
        <v>13318</v>
      </c>
      <c r="F4338" t="str">
        <f>IFERROR(INDEX(customers[country], MATCH(orders[[#This Row],[customer_id]], customers[customer_id], 0)), "Unmapped")</f>
        <v>Denmark</v>
      </c>
      <c r="G4338" t="str">
        <f>IFERROR(INDEX(Region_Map[Region], MATCH(orders[[#This Row],[Customer_Country]], Region_Map[Country], 0)), "Unknown")</f>
        <v>Nordics</v>
      </c>
      <c r="H4338" t="s">
        <v>6949</v>
      </c>
    </row>
    <row r="4339" spans="1:8">
      <c r="A4339" t="s">
        <v>5236</v>
      </c>
      <c r="B4339" t="s">
        <v>359</v>
      </c>
      <c r="C4339" s="1">
        <v>45046</v>
      </c>
      <c r="D4339" s="1" t="str">
        <f>PROPER(orders[[#This Row],[order_priority]])</f>
        <v>Economy</v>
      </c>
      <c r="E4339" t="s">
        <v>13316</v>
      </c>
      <c r="F4339" t="str">
        <f>IFERROR(INDEX(customers[country], MATCH(orders[[#This Row],[customer_id]], customers[customer_id], 0)), "Unmapped")</f>
        <v>Estonia</v>
      </c>
      <c r="G4339" t="str">
        <f>IFERROR(INDEX(Region_Map[Region], MATCH(orders[[#This Row],[Customer_Country]], Region_Map[Country], 0)), "Unknown")</f>
        <v>Baltics</v>
      </c>
      <c r="H4339" t="s">
        <v>6949</v>
      </c>
    </row>
    <row r="4340" spans="1:8">
      <c r="A4340" t="s">
        <v>5237</v>
      </c>
      <c r="B4340" t="s">
        <v>566</v>
      </c>
      <c r="C4340" s="1">
        <v>45489</v>
      </c>
      <c r="D4340" s="1" t="str">
        <f>PROPER(orders[[#This Row],[order_priority]])</f>
        <v>Same Day</v>
      </c>
      <c r="E4340" t="s">
        <v>13322</v>
      </c>
      <c r="F4340" t="str">
        <f>IFERROR(INDEX(customers[country], MATCH(orders[[#This Row],[customer_id]], customers[customer_id], 0)), "Unmapped")</f>
        <v>Denmark</v>
      </c>
      <c r="G4340" t="str">
        <f>IFERROR(INDEX(Region_Map[Region], MATCH(orders[[#This Row],[Customer_Country]], Region_Map[Country], 0)), "Unknown")</f>
        <v>Nordics</v>
      </c>
      <c r="H4340" t="s">
        <v>6949</v>
      </c>
    </row>
    <row r="4341" spans="1:8">
      <c r="A4341" t="s">
        <v>5238</v>
      </c>
      <c r="B4341" t="s">
        <v>709</v>
      </c>
      <c r="C4341" s="1">
        <v>45119</v>
      </c>
      <c r="D4341" s="1" t="str">
        <f>PROPER(orders[[#This Row],[order_priority]])</f>
        <v>Economy</v>
      </c>
      <c r="E4341" t="s">
        <v>13316</v>
      </c>
      <c r="F4341" t="str">
        <f>IFERROR(INDEX(customers[country], MATCH(orders[[#This Row],[customer_id]], customers[customer_id], 0)), "Unmapped")</f>
        <v>Netherlands</v>
      </c>
      <c r="G4341" t="str">
        <f>IFERROR(INDEX(Region_Map[Region], MATCH(orders[[#This Row],[Customer_Country]], Region_Map[Country], 0)), "Unknown")</f>
        <v>Central Europe</v>
      </c>
      <c r="H4341" t="s">
        <v>6949</v>
      </c>
    </row>
    <row r="4342" spans="1:8">
      <c r="A4342" t="s">
        <v>5239</v>
      </c>
      <c r="B4342" t="s">
        <v>362</v>
      </c>
      <c r="C4342" s="1">
        <v>45355</v>
      </c>
      <c r="D4342" s="1" t="str">
        <f>PROPER(orders[[#This Row],[order_priority]])</f>
        <v>Express</v>
      </c>
      <c r="E4342" t="s">
        <v>13318</v>
      </c>
      <c r="F4342" t="str">
        <f>IFERROR(INDEX(customers[country], MATCH(orders[[#This Row],[customer_id]], customers[customer_id], 0)), "Unmapped")</f>
        <v>Denmark</v>
      </c>
      <c r="G4342" t="str">
        <f>IFERROR(INDEX(Region_Map[Region], MATCH(orders[[#This Row],[Customer_Country]], Region_Map[Country], 0)), "Unknown")</f>
        <v>Nordics</v>
      </c>
      <c r="H4342" t="s">
        <v>6949</v>
      </c>
    </row>
    <row r="4343" spans="1:8">
      <c r="A4343" t="s">
        <v>5240</v>
      </c>
      <c r="B4343" t="s">
        <v>13357</v>
      </c>
      <c r="C4343" s="1">
        <v>45222</v>
      </c>
      <c r="D4343" s="1" t="str">
        <f>PROPER(orders[[#This Row],[order_priority]])</f>
        <v>Economy</v>
      </c>
      <c r="E4343" t="s">
        <v>13316</v>
      </c>
      <c r="F4343" t="str">
        <f>IFERROR(INDEX(customers[country], MATCH(orders[[#This Row],[customer_id]], customers[customer_id], 0)), "Unmapped")</f>
        <v>Unmapped</v>
      </c>
      <c r="G4343" t="str">
        <f>IFERROR(INDEX(Region_Map[Region], MATCH(orders[[#This Row],[Customer_Country]], Region_Map[Country], 0)), "Unknown")</f>
        <v>Unknown</v>
      </c>
      <c r="H4343" t="s">
        <v>6949</v>
      </c>
    </row>
    <row r="4344" spans="1:8">
      <c r="A4344" t="s">
        <v>5241</v>
      </c>
      <c r="B4344" t="s">
        <v>273</v>
      </c>
      <c r="C4344" s="1">
        <v>45038</v>
      </c>
      <c r="D4344" s="1" t="str">
        <f>PROPER(orders[[#This Row],[order_priority]])</f>
        <v>Economy</v>
      </c>
      <c r="E4344" t="s">
        <v>13316</v>
      </c>
      <c r="F4344" t="str">
        <f>IFERROR(INDEX(customers[country], MATCH(orders[[#This Row],[customer_id]], customers[customer_id], 0)), "Unmapped")</f>
        <v>Norway</v>
      </c>
      <c r="G4344" t="str">
        <f>IFERROR(INDEX(Region_Map[Region], MATCH(orders[[#This Row],[Customer_Country]], Region_Map[Country], 0)), "Unknown")</f>
        <v>Nordics</v>
      </c>
      <c r="H4344" t="s">
        <v>6949</v>
      </c>
    </row>
    <row r="4345" spans="1:8">
      <c r="A4345" t="s">
        <v>5242</v>
      </c>
      <c r="B4345" t="s">
        <v>428</v>
      </c>
      <c r="C4345" s="1">
        <v>45260</v>
      </c>
      <c r="D4345" s="1" t="str">
        <f>PROPER(orders[[#This Row],[order_priority]])</f>
        <v>Same Day</v>
      </c>
      <c r="E4345" t="s">
        <v>13322</v>
      </c>
      <c r="F4345" t="str">
        <f>IFERROR(INDEX(customers[country], MATCH(orders[[#This Row],[customer_id]], customers[customer_id], 0)), "Unmapped")</f>
        <v>Finland</v>
      </c>
      <c r="G4345" t="str">
        <f>IFERROR(INDEX(Region_Map[Region], MATCH(orders[[#This Row],[Customer_Country]], Region_Map[Country], 0)), "Unknown")</f>
        <v>Nordics</v>
      </c>
      <c r="H4345" t="s">
        <v>6949</v>
      </c>
    </row>
    <row r="4346" spans="1:8">
      <c r="A4346" t="s">
        <v>5243</v>
      </c>
      <c r="B4346" t="s">
        <v>697</v>
      </c>
      <c r="C4346" s="1">
        <v>45603</v>
      </c>
      <c r="D4346" s="1" t="str">
        <f>PROPER(orders[[#This Row],[order_priority]])</f>
        <v>Economy</v>
      </c>
      <c r="E4346" t="s">
        <v>13316</v>
      </c>
      <c r="F4346" t="str">
        <f>IFERROR(INDEX(customers[country], MATCH(orders[[#This Row],[customer_id]], customers[customer_id], 0)), "Unmapped")</f>
        <v>Estonia</v>
      </c>
      <c r="G4346" t="str">
        <f>IFERROR(INDEX(Region_Map[Region], MATCH(orders[[#This Row],[Customer_Country]], Region_Map[Country], 0)), "Unknown")</f>
        <v>Baltics</v>
      </c>
      <c r="H4346" t="s">
        <v>6949</v>
      </c>
    </row>
    <row r="4347" spans="1:8">
      <c r="A4347" t="s">
        <v>5244</v>
      </c>
      <c r="B4347" t="s">
        <v>470</v>
      </c>
      <c r="C4347" s="1">
        <v>45573</v>
      </c>
      <c r="D4347" s="1" t="str">
        <f>PROPER(orders[[#This Row],[order_priority]])</f>
        <v>Economy</v>
      </c>
      <c r="E4347" t="s">
        <v>13316</v>
      </c>
      <c r="F4347" t="str">
        <f>IFERROR(INDEX(customers[country], MATCH(orders[[#This Row],[customer_id]], customers[customer_id], 0)), "Unmapped")</f>
        <v>Norway</v>
      </c>
      <c r="G4347" t="str">
        <f>IFERROR(INDEX(Region_Map[Region], MATCH(orders[[#This Row],[Customer_Country]], Region_Map[Country], 0)), "Unknown")</f>
        <v>Nordics</v>
      </c>
      <c r="H4347" t="s">
        <v>6949</v>
      </c>
    </row>
    <row r="4348" spans="1:8">
      <c r="A4348" t="s">
        <v>5245</v>
      </c>
      <c r="B4348" t="s">
        <v>255</v>
      </c>
      <c r="C4348" s="1">
        <v>45380</v>
      </c>
      <c r="D4348" s="1" t="str">
        <f>PROPER(orders[[#This Row],[order_priority]])</f>
        <v>Standard</v>
      </c>
      <c r="E4348" t="s">
        <v>13317</v>
      </c>
      <c r="F4348" t="str">
        <f>IFERROR(INDEX(customers[country], MATCH(orders[[#This Row],[customer_id]], customers[customer_id], 0)), "Unmapped")</f>
        <v>Sweden</v>
      </c>
      <c r="G4348" t="str">
        <f>IFERROR(INDEX(Region_Map[Region], MATCH(orders[[#This Row],[Customer_Country]], Region_Map[Country], 0)), "Unknown")</f>
        <v>Nordics</v>
      </c>
      <c r="H4348" t="s">
        <v>6949</v>
      </c>
    </row>
    <row r="4349" spans="1:8">
      <c r="A4349" t="s">
        <v>5246</v>
      </c>
      <c r="B4349" t="s">
        <v>843</v>
      </c>
      <c r="C4349" s="1">
        <v>44956</v>
      </c>
      <c r="D4349" s="1" t="str">
        <f>PROPER(orders[[#This Row],[order_priority]])</f>
        <v>Economy</v>
      </c>
      <c r="E4349" t="s">
        <v>13328</v>
      </c>
      <c r="F4349" t="str">
        <f>IFERROR(INDEX(customers[country], MATCH(orders[[#This Row],[customer_id]], customers[customer_id], 0)), "Unmapped")</f>
        <v>Netherlands</v>
      </c>
      <c r="G4349" t="str">
        <f>IFERROR(INDEX(Region_Map[Region], MATCH(orders[[#This Row],[Customer_Country]], Region_Map[Country], 0)), "Unknown")</f>
        <v>Central Europe</v>
      </c>
      <c r="H4349" t="s">
        <v>6949</v>
      </c>
    </row>
    <row r="4350" spans="1:8">
      <c r="A4350" t="s">
        <v>5247</v>
      </c>
      <c r="B4350" t="s">
        <v>735</v>
      </c>
      <c r="C4350" s="1">
        <v>45181</v>
      </c>
      <c r="D4350" s="1" t="str">
        <f>PROPER(orders[[#This Row],[order_priority]])</f>
        <v>Economy</v>
      </c>
      <c r="E4350" t="s">
        <v>13328</v>
      </c>
      <c r="F4350" t="str">
        <f>IFERROR(INDEX(customers[country], MATCH(orders[[#This Row],[customer_id]], customers[customer_id], 0)), "Unmapped")</f>
        <v>Poland</v>
      </c>
      <c r="G4350" t="str">
        <f>IFERROR(INDEX(Region_Map[Region], MATCH(orders[[#This Row],[Customer_Country]], Region_Map[Country], 0)), "Unknown")</f>
        <v>Central Europe</v>
      </c>
      <c r="H4350" t="s">
        <v>6949</v>
      </c>
    </row>
    <row r="4351" spans="1:8">
      <c r="A4351" t="s">
        <v>5248</v>
      </c>
      <c r="B4351" t="s">
        <v>294</v>
      </c>
      <c r="C4351" s="1">
        <v>45599</v>
      </c>
      <c r="D4351" s="1" t="str">
        <f>PROPER(orders[[#This Row],[order_priority]])</f>
        <v>Standard</v>
      </c>
      <c r="E4351" t="s">
        <v>13317</v>
      </c>
      <c r="F4351" t="str">
        <f>IFERROR(INDEX(customers[country], MATCH(orders[[#This Row],[customer_id]], customers[customer_id], 0)), "Unmapped")</f>
        <v>Denmark</v>
      </c>
      <c r="G4351" t="str">
        <f>IFERROR(INDEX(Region_Map[Region], MATCH(orders[[#This Row],[Customer_Country]], Region_Map[Country], 0)), "Unknown")</f>
        <v>Nordics</v>
      </c>
      <c r="H4351" t="s">
        <v>6949</v>
      </c>
    </row>
    <row r="4352" spans="1:8">
      <c r="A4352" t="s">
        <v>5249</v>
      </c>
      <c r="B4352" t="s">
        <v>455</v>
      </c>
      <c r="C4352" s="1">
        <v>44992</v>
      </c>
      <c r="D4352" s="1" t="str">
        <f>PROPER(orders[[#This Row],[order_priority]])</f>
        <v>Same Day</v>
      </c>
      <c r="E4352" t="s">
        <v>13322</v>
      </c>
      <c r="F4352" t="str">
        <f>IFERROR(INDEX(customers[country], MATCH(orders[[#This Row],[customer_id]], customers[customer_id], 0)), "Unmapped")</f>
        <v>Poland</v>
      </c>
      <c r="G4352" t="str">
        <f>IFERROR(INDEX(Region_Map[Region], MATCH(orders[[#This Row],[Customer_Country]], Region_Map[Country], 0)), "Unknown")</f>
        <v>Central Europe</v>
      </c>
      <c r="H4352" t="s">
        <v>6949</v>
      </c>
    </row>
    <row r="4353" spans="1:8">
      <c r="A4353" t="s">
        <v>5250</v>
      </c>
      <c r="B4353" t="s">
        <v>566</v>
      </c>
      <c r="C4353" s="1">
        <v>45533</v>
      </c>
      <c r="D4353" s="1" t="str">
        <f>PROPER(orders[[#This Row],[order_priority]])</f>
        <v>Standard</v>
      </c>
      <c r="E4353" t="s">
        <v>13317</v>
      </c>
      <c r="F4353" t="str">
        <f>IFERROR(INDEX(customers[country], MATCH(orders[[#This Row],[customer_id]], customers[customer_id], 0)), "Unmapped")</f>
        <v>Denmark</v>
      </c>
      <c r="G4353" t="str">
        <f>IFERROR(INDEX(Region_Map[Region], MATCH(orders[[#This Row],[Customer_Country]], Region_Map[Country], 0)), "Unknown")</f>
        <v>Nordics</v>
      </c>
      <c r="H4353" t="s">
        <v>6949</v>
      </c>
    </row>
    <row r="4354" spans="1:8">
      <c r="A4354" t="s">
        <v>5251</v>
      </c>
      <c r="B4354" t="s">
        <v>491</v>
      </c>
      <c r="C4354" s="1">
        <v>45139</v>
      </c>
      <c r="D4354" s="1" t="str">
        <f>PROPER(orders[[#This Row],[order_priority]])</f>
        <v>Express</v>
      </c>
      <c r="E4354" t="s">
        <v>13318</v>
      </c>
      <c r="F4354" t="str">
        <f>IFERROR(INDEX(customers[country], MATCH(orders[[#This Row],[customer_id]], customers[customer_id], 0)), "Unmapped")</f>
        <v>Latvia</v>
      </c>
      <c r="G4354" t="str">
        <f>IFERROR(INDEX(Region_Map[Region], MATCH(orders[[#This Row],[Customer_Country]], Region_Map[Country], 0)), "Unknown")</f>
        <v>Baltics</v>
      </c>
      <c r="H4354" t="s">
        <v>6949</v>
      </c>
    </row>
    <row r="4355" spans="1:8">
      <c r="A4355" t="s">
        <v>5252</v>
      </c>
      <c r="B4355" t="s">
        <v>437</v>
      </c>
      <c r="C4355" s="1">
        <v>45463</v>
      </c>
      <c r="D4355" s="1" t="str">
        <f>PROPER(orders[[#This Row],[order_priority]])</f>
        <v>Standard</v>
      </c>
      <c r="E4355" t="s">
        <v>13317</v>
      </c>
      <c r="F4355" t="str">
        <f>IFERROR(INDEX(customers[country], MATCH(orders[[#This Row],[customer_id]], customers[customer_id], 0)), "Unmapped")</f>
        <v>Lithuania</v>
      </c>
      <c r="G4355" t="str">
        <f>IFERROR(INDEX(Region_Map[Region], MATCH(orders[[#This Row],[Customer_Country]], Region_Map[Country], 0)), "Unknown")</f>
        <v>Baltics</v>
      </c>
      <c r="H4355" t="s">
        <v>6949</v>
      </c>
    </row>
    <row r="4356" spans="1:8">
      <c r="A4356" t="s">
        <v>5253</v>
      </c>
      <c r="B4356" t="s">
        <v>386</v>
      </c>
      <c r="C4356" s="1">
        <v>45238</v>
      </c>
      <c r="D4356" s="1" t="str">
        <f>PROPER(orders[[#This Row],[order_priority]])</f>
        <v>Standard</v>
      </c>
      <c r="E4356" t="s">
        <v>13317</v>
      </c>
      <c r="F4356" t="str">
        <f>IFERROR(INDEX(customers[country], MATCH(orders[[#This Row],[customer_id]], customers[customer_id], 0)), "Unmapped")</f>
        <v>Germany</v>
      </c>
      <c r="G4356" t="str">
        <f>IFERROR(INDEX(Region_Map[Region], MATCH(orders[[#This Row],[Customer_Country]], Region_Map[Country], 0)), "Unknown")</f>
        <v>Central Europe</v>
      </c>
      <c r="H4356" t="s">
        <v>6949</v>
      </c>
    </row>
    <row r="4357" spans="1:8">
      <c r="A4357" t="s">
        <v>5254</v>
      </c>
      <c r="B4357" t="s">
        <v>593</v>
      </c>
      <c r="C4357" s="1">
        <v>45614</v>
      </c>
      <c r="D4357" s="1" t="str">
        <f>PROPER(orders[[#This Row],[order_priority]])</f>
        <v>Economy</v>
      </c>
      <c r="E4357" t="s">
        <v>13316</v>
      </c>
      <c r="F4357" t="str">
        <f>IFERROR(INDEX(customers[country], MATCH(orders[[#This Row],[customer_id]], customers[customer_id], 0)), "Unmapped")</f>
        <v>Estonia</v>
      </c>
      <c r="G4357" t="str">
        <f>IFERROR(INDEX(Region_Map[Region], MATCH(orders[[#This Row],[Customer_Country]], Region_Map[Country], 0)), "Unknown")</f>
        <v>Baltics</v>
      </c>
      <c r="H4357" t="s">
        <v>6949</v>
      </c>
    </row>
    <row r="4358" spans="1:8">
      <c r="A4358" t="s">
        <v>5255</v>
      </c>
      <c r="B4358" t="s">
        <v>320</v>
      </c>
      <c r="C4358" s="1">
        <v>45018</v>
      </c>
      <c r="D4358" s="1" t="str">
        <f>PROPER(orders[[#This Row],[order_priority]])</f>
        <v>Express</v>
      </c>
      <c r="E4358" t="s">
        <v>13318</v>
      </c>
      <c r="F4358" t="str">
        <f>IFERROR(INDEX(customers[country], MATCH(orders[[#This Row],[customer_id]], customers[customer_id], 0)), "Unmapped")</f>
        <v>Sweden</v>
      </c>
      <c r="G4358" t="str">
        <f>IFERROR(INDEX(Region_Map[Region], MATCH(orders[[#This Row],[Customer_Country]], Region_Map[Country], 0)), "Unknown")</f>
        <v>Nordics</v>
      </c>
      <c r="H4358" t="s">
        <v>6949</v>
      </c>
    </row>
    <row r="4359" spans="1:8">
      <c r="A4359" t="s">
        <v>5256</v>
      </c>
      <c r="B4359" t="s">
        <v>670</v>
      </c>
      <c r="C4359" s="1">
        <v>45464</v>
      </c>
      <c r="D4359" s="1" t="str">
        <f>PROPER(orders[[#This Row],[order_priority]])</f>
        <v>Economy</v>
      </c>
      <c r="E4359" t="s">
        <v>13316</v>
      </c>
      <c r="F4359" t="str">
        <f>IFERROR(INDEX(customers[country], MATCH(orders[[#This Row],[customer_id]], customers[customer_id], 0)), "Unmapped")</f>
        <v>Netherlands</v>
      </c>
      <c r="G4359" t="str">
        <f>IFERROR(INDEX(Region_Map[Region], MATCH(orders[[#This Row],[Customer_Country]], Region_Map[Country], 0)), "Unknown")</f>
        <v>Central Europe</v>
      </c>
      <c r="H4359" t="s">
        <v>6949</v>
      </c>
    </row>
    <row r="4360" spans="1:8">
      <c r="A4360" t="s">
        <v>5257</v>
      </c>
      <c r="B4360" t="s">
        <v>48</v>
      </c>
      <c r="C4360" s="1">
        <v>45566</v>
      </c>
      <c r="D4360" s="1" t="str">
        <f>PROPER(orders[[#This Row],[order_priority]])</f>
        <v>Economy</v>
      </c>
      <c r="E4360" t="s">
        <v>13325</v>
      </c>
      <c r="F4360" t="str">
        <f>IFERROR(INDEX(customers[country], MATCH(orders[[#This Row],[customer_id]], customers[customer_id], 0)), "Unmapped")</f>
        <v>Poland</v>
      </c>
      <c r="G4360" t="str">
        <f>IFERROR(INDEX(Region_Map[Region], MATCH(orders[[#This Row],[Customer_Country]], Region_Map[Country], 0)), "Unknown")</f>
        <v>Central Europe</v>
      </c>
      <c r="H4360" t="s">
        <v>6949</v>
      </c>
    </row>
    <row r="4361" spans="1:8">
      <c r="A4361" t="s">
        <v>5258</v>
      </c>
      <c r="B4361" t="s">
        <v>213</v>
      </c>
      <c r="C4361" s="1">
        <v>45477</v>
      </c>
      <c r="D4361" s="1" t="str">
        <f>PROPER(orders[[#This Row],[order_priority]])</f>
        <v>Same Day</v>
      </c>
      <c r="E4361" t="s">
        <v>13322</v>
      </c>
      <c r="F4361" t="str">
        <f>IFERROR(INDEX(customers[country], MATCH(orders[[#This Row],[customer_id]], customers[customer_id], 0)), "Unmapped")</f>
        <v>Denmark</v>
      </c>
      <c r="G4361" t="str">
        <f>IFERROR(INDEX(Region_Map[Region], MATCH(orders[[#This Row],[Customer_Country]], Region_Map[Country], 0)), "Unknown")</f>
        <v>Nordics</v>
      </c>
      <c r="H4361" t="s">
        <v>6949</v>
      </c>
    </row>
    <row r="4362" spans="1:8">
      <c r="A4362" t="s">
        <v>5259</v>
      </c>
      <c r="B4362" t="s">
        <v>306</v>
      </c>
      <c r="C4362" s="1">
        <v>45170</v>
      </c>
      <c r="D4362" s="1" t="str">
        <f>PROPER(orders[[#This Row],[order_priority]])</f>
        <v>Standard</v>
      </c>
      <c r="E4362" t="s">
        <v>13317</v>
      </c>
      <c r="F4362" t="str">
        <f>IFERROR(INDEX(customers[country], MATCH(orders[[#This Row],[customer_id]], customers[customer_id], 0)), "Unmapped")</f>
        <v>Estonia</v>
      </c>
      <c r="G4362" t="str">
        <f>IFERROR(INDEX(Region_Map[Region], MATCH(orders[[#This Row],[Customer_Country]], Region_Map[Country], 0)), "Unknown")</f>
        <v>Baltics</v>
      </c>
      <c r="H4362" t="s">
        <v>6949</v>
      </c>
    </row>
    <row r="4363" spans="1:8">
      <c r="A4363" t="s">
        <v>5260</v>
      </c>
      <c r="B4363" t="s">
        <v>73</v>
      </c>
      <c r="C4363" s="1">
        <v>45185</v>
      </c>
      <c r="D4363" s="1" t="str">
        <f>PROPER(orders[[#This Row],[order_priority]])</f>
        <v>Same Day</v>
      </c>
      <c r="E4363" t="s">
        <v>13324</v>
      </c>
      <c r="F4363" t="str">
        <f>IFERROR(INDEX(customers[country], MATCH(orders[[#This Row],[customer_id]], customers[customer_id], 0)), "Unmapped")</f>
        <v>Norway</v>
      </c>
      <c r="G4363" t="str">
        <f>IFERROR(INDEX(Region_Map[Region], MATCH(orders[[#This Row],[Customer_Country]], Region_Map[Country], 0)), "Unknown")</f>
        <v>Nordics</v>
      </c>
      <c r="H4363" t="s">
        <v>6949</v>
      </c>
    </row>
    <row r="4364" spans="1:8">
      <c r="A4364" t="s">
        <v>5261</v>
      </c>
      <c r="B4364" t="s">
        <v>184</v>
      </c>
      <c r="C4364" s="1">
        <v>45345</v>
      </c>
      <c r="D4364" s="1" t="str">
        <f>PROPER(orders[[#This Row],[order_priority]])</f>
        <v>Express</v>
      </c>
      <c r="E4364" t="s">
        <v>13320</v>
      </c>
      <c r="F4364" t="str">
        <f>IFERROR(INDEX(customers[country], MATCH(orders[[#This Row],[customer_id]], customers[customer_id], 0)), "Unmapped")</f>
        <v>Netherlands</v>
      </c>
      <c r="G4364" t="str">
        <f>IFERROR(INDEX(Region_Map[Region], MATCH(orders[[#This Row],[Customer_Country]], Region_Map[Country], 0)), "Unknown")</f>
        <v>Central Europe</v>
      </c>
      <c r="H4364" t="s">
        <v>6949</v>
      </c>
    </row>
    <row r="4365" spans="1:8">
      <c r="A4365" t="s">
        <v>5262</v>
      </c>
      <c r="B4365" t="s">
        <v>133</v>
      </c>
      <c r="C4365" s="1">
        <v>45048</v>
      </c>
      <c r="D4365" s="1" t="str">
        <f>PROPER(orders[[#This Row],[order_priority]])</f>
        <v>Express</v>
      </c>
      <c r="E4365" t="s">
        <v>13318</v>
      </c>
      <c r="F4365" t="str">
        <f>IFERROR(INDEX(customers[country], MATCH(orders[[#This Row],[customer_id]], customers[customer_id], 0)), "Unmapped")</f>
        <v>Finland</v>
      </c>
      <c r="G4365" t="str">
        <f>IFERROR(INDEX(Region_Map[Region], MATCH(orders[[#This Row],[Customer_Country]], Region_Map[Country], 0)), "Unknown")</f>
        <v>Nordics</v>
      </c>
      <c r="H4365" t="s">
        <v>6949</v>
      </c>
    </row>
    <row r="4366" spans="1:8">
      <c r="A4366" t="s">
        <v>5263</v>
      </c>
      <c r="B4366" t="s">
        <v>864</v>
      </c>
      <c r="C4366" s="1">
        <v>45284</v>
      </c>
      <c r="D4366" s="1" t="str">
        <f>PROPER(orders[[#This Row],[order_priority]])</f>
        <v>Express</v>
      </c>
      <c r="E4366" t="s">
        <v>13320</v>
      </c>
      <c r="F4366" t="str">
        <f>IFERROR(INDEX(customers[country], MATCH(orders[[#This Row],[customer_id]], customers[customer_id], 0)), "Unmapped")</f>
        <v>Finland</v>
      </c>
      <c r="G4366" t="str">
        <f>IFERROR(INDEX(Region_Map[Region], MATCH(orders[[#This Row],[Customer_Country]], Region_Map[Country], 0)), "Unknown")</f>
        <v>Nordics</v>
      </c>
      <c r="H4366" t="s">
        <v>6949</v>
      </c>
    </row>
    <row r="4367" spans="1:8">
      <c r="A4367" t="s">
        <v>5264</v>
      </c>
      <c r="B4367" t="s">
        <v>730</v>
      </c>
      <c r="C4367" s="1">
        <v>45473</v>
      </c>
      <c r="D4367" s="1" t="str">
        <f>PROPER(orders[[#This Row],[order_priority]])</f>
        <v>Express</v>
      </c>
      <c r="E4367" t="s">
        <v>13318</v>
      </c>
      <c r="F4367" t="str">
        <f>IFERROR(INDEX(customers[country], MATCH(orders[[#This Row],[customer_id]], customers[customer_id], 0)), "Unmapped")</f>
        <v>Lithuania</v>
      </c>
      <c r="G4367" t="str">
        <f>IFERROR(INDEX(Region_Map[Region], MATCH(orders[[#This Row],[Customer_Country]], Region_Map[Country], 0)), "Unknown")</f>
        <v>Baltics</v>
      </c>
      <c r="H4367" t="s">
        <v>6949</v>
      </c>
    </row>
    <row r="4368" spans="1:8">
      <c r="A4368" t="s">
        <v>5265</v>
      </c>
      <c r="B4368" t="s">
        <v>741</v>
      </c>
      <c r="C4368" s="1">
        <v>45065</v>
      </c>
      <c r="D4368" s="1" t="str">
        <f>PROPER(orders[[#This Row],[order_priority]])</f>
        <v>Economy</v>
      </c>
      <c r="E4368" t="s">
        <v>13328</v>
      </c>
      <c r="F4368" t="str">
        <f>IFERROR(INDEX(customers[country], MATCH(orders[[#This Row],[customer_id]], customers[customer_id], 0)), "Unmapped")</f>
        <v>Germany</v>
      </c>
      <c r="G4368" t="str">
        <f>IFERROR(INDEX(Region_Map[Region], MATCH(orders[[#This Row],[Customer_Country]], Region_Map[Country], 0)), "Unknown")</f>
        <v>Central Europe</v>
      </c>
      <c r="H4368" t="s">
        <v>6949</v>
      </c>
    </row>
    <row r="4369" spans="1:8">
      <c r="A4369" t="s">
        <v>5266</v>
      </c>
      <c r="B4369" t="s">
        <v>154</v>
      </c>
      <c r="C4369" s="1">
        <v>45261</v>
      </c>
      <c r="D4369" s="1" t="str">
        <f>PROPER(orders[[#This Row],[order_priority]])</f>
        <v>Economy</v>
      </c>
      <c r="E4369" t="s">
        <v>13316</v>
      </c>
      <c r="F4369" t="str">
        <f>IFERROR(INDEX(customers[country], MATCH(orders[[#This Row],[customer_id]], customers[customer_id], 0)), "Unmapped")</f>
        <v>Lithuania</v>
      </c>
      <c r="G4369" t="str">
        <f>IFERROR(INDEX(Region_Map[Region], MATCH(orders[[#This Row],[Customer_Country]], Region_Map[Country], 0)), "Unknown")</f>
        <v>Baltics</v>
      </c>
      <c r="H4369" t="s">
        <v>6949</v>
      </c>
    </row>
    <row r="4370" spans="1:8">
      <c r="A4370" t="s">
        <v>5267</v>
      </c>
      <c r="B4370" t="s">
        <v>566</v>
      </c>
      <c r="C4370" s="1">
        <v>45420</v>
      </c>
      <c r="D4370" s="1" t="str">
        <f>PROPER(orders[[#This Row],[order_priority]])</f>
        <v>Economy</v>
      </c>
      <c r="E4370" t="s">
        <v>13316</v>
      </c>
      <c r="F4370" t="str">
        <f>IFERROR(INDEX(customers[country], MATCH(orders[[#This Row],[customer_id]], customers[customer_id], 0)), "Unmapped")</f>
        <v>Denmark</v>
      </c>
      <c r="G4370" t="str">
        <f>IFERROR(INDEX(Region_Map[Region], MATCH(orders[[#This Row],[Customer_Country]], Region_Map[Country], 0)), "Unknown")</f>
        <v>Nordics</v>
      </c>
      <c r="H4370" t="s">
        <v>6949</v>
      </c>
    </row>
    <row r="4371" spans="1:8">
      <c r="A4371" t="s">
        <v>5268</v>
      </c>
      <c r="B4371" t="s">
        <v>6</v>
      </c>
      <c r="C4371" s="1">
        <v>45207</v>
      </c>
      <c r="D4371" s="1" t="str">
        <f>PROPER(orders[[#This Row],[order_priority]])</f>
        <v>Economy</v>
      </c>
      <c r="E4371" t="s">
        <v>13316</v>
      </c>
      <c r="F4371" t="str">
        <f>IFERROR(INDEX(customers[country], MATCH(orders[[#This Row],[customer_id]], customers[customer_id], 0)), "Unmapped")</f>
        <v>Latvia</v>
      </c>
      <c r="G4371" t="str">
        <f>IFERROR(INDEX(Region_Map[Region], MATCH(orders[[#This Row],[Customer_Country]], Region_Map[Country], 0)), "Unknown")</f>
        <v>Baltics</v>
      </c>
      <c r="H4371" t="s">
        <v>6949</v>
      </c>
    </row>
    <row r="4372" spans="1:8">
      <c r="A4372" t="s">
        <v>5269</v>
      </c>
      <c r="B4372" t="s">
        <v>30</v>
      </c>
      <c r="C4372" s="1">
        <v>45023</v>
      </c>
      <c r="D4372" s="1" t="str">
        <f>PROPER(orders[[#This Row],[order_priority]])</f>
        <v>Standard</v>
      </c>
      <c r="E4372" t="s">
        <v>13317</v>
      </c>
      <c r="F4372" t="str">
        <f>IFERROR(INDEX(customers[country], MATCH(orders[[#This Row],[customer_id]], customers[customer_id], 0)), "Unmapped")</f>
        <v>Netherlands</v>
      </c>
      <c r="G4372" t="str">
        <f>IFERROR(INDEX(Region_Map[Region], MATCH(orders[[#This Row],[Customer_Country]], Region_Map[Country], 0)), "Unknown")</f>
        <v>Central Europe</v>
      </c>
      <c r="H4372" t="s">
        <v>6949</v>
      </c>
    </row>
    <row r="4373" spans="1:8">
      <c r="A4373" t="s">
        <v>5270</v>
      </c>
      <c r="B4373" t="s">
        <v>805</v>
      </c>
      <c r="C4373" s="1">
        <v>45380</v>
      </c>
      <c r="D4373" s="1" t="str">
        <f>PROPER(orders[[#This Row],[order_priority]])</f>
        <v>Standard</v>
      </c>
      <c r="E4373" t="s">
        <v>13317</v>
      </c>
      <c r="F4373" t="str">
        <f>IFERROR(INDEX(customers[country], MATCH(orders[[#This Row],[customer_id]], customers[customer_id], 0)), "Unmapped")</f>
        <v>Estonia</v>
      </c>
      <c r="G4373" t="str">
        <f>IFERROR(INDEX(Region_Map[Region], MATCH(orders[[#This Row],[Customer_Country]], Region_Map[Country], 0)), "Unknown")</f>
        <v>Baltics</v>
      </c>
      <c r="H4373" t="s">
        <v>6949</v>
      </c>
    </row>
    <row r="4374" spans="1:8">
      <c r="A4374" t="s">
        <v>5271</v>
      </c>
      <c r="B4374" t="s">
        <v>145</v>
      </c>
      <c r="C4374" s="1">
        <v>45138</v>
      </c>
      <c r="D4374" s="1" t="str">
        <f>PROPER(orders[[#This Row],[order_priority]])</f>
        <v>Express</v>
      </c>
      <c r="E4374" t="s">
        <v>13320</v>
      </c>
      <c r="F4374" t="str">
        <f>IFERROR(INDEX(customers[country], MATCH(orders[[#This Row],[customer_id]], customers[customer_id], 0)), "Unmapped")</f>
        <v>Latvia</v>
      </c>
      <c r="G4374" t="str">
        <f>IFERROR(INDEX(Region_Map[Region], MATCH(orders[[#This Row],[Customer_Country]], Region_Map[Country], 0)), "Unknown")</f>
        <v>Baltics</v>
      </c>
      <c r="H4374" t="s">
        <v>6949</v>
      </c>
    </row>
    <row r="4375" spans="1:8">
      <c r="A4375" t="s">
        <v>5272</v>
      </c>
      <c r="B4375" t="s">
        <v>112</v>
      </c>
      <c r="C4375" s="1">
        <v>45158</v>
      </c>
      <c r="D4375" s="1" t="str">
        <f>PROPER(orders[[#This Row],[order_priority]])</f>
        <v>Standard</v>
      </c>
      <c r="E4375" t="s">
        <v>13323</v>
      </c>
      <c r="F4375" t="str">
        <f>IFERROR(INDEX(customers[country], MATCH(orders[[#This Row],[customer_id]], customers[customer_id], 0)), "Unmapped")</f>
        <v>Finland</v>
      </c>
      <c r="G4375" t="str">
        <f>IFERROR(INDEX(Region_Map[Region], MATCH(orders[[#This Row],[Customer_Country]], Region_Map[Country], 0)), "Unknown")</f>
        <v>Nordics</v>
      </c>
      <c r="H4375" t="s">
        <v>6949</v>
      </c>
    </row>
    <row r="4376" spans="1:8">
      <c r="A4376" t="s">
        <v>5273</v>
      </c>
      <c r="B4376" t="s">
        <v>416</v>
      </c>
      <c r="C4376" s="1">
        <v>45398</v>
      </c>
      <c r="D4376" s="1" t="str">
        <f>PROPER(orders[[#This Row],[order_priority]])</f>
        <v>Express</v>
      </c>
      <c r="E4376" t="s">
        <v>13326</v>
      </c>
      <c r="F4376" t="str">
        <f>IFERROR(INDEX(customers[country], MATCH(orders[[#This Row],[customer_id]], customers[customer_id], 0)), "Unmapped")</f>
        <v>Denmark</v>
      </c>
      <c r="G4376" t="str">
        <f>IFERROR(INDEX(Region_Map[Region], MATCH(orders[[#This Row],[Customer_Country]], Region_Map[Country], 0)), "Unknown")</f>
        <v>Nordics</v>
      </c>
      <c r="H4376" t="s">
        <v>6949</v>
      </c>
    </row>
    <row r="4377" spans="1:8">
      <c r="A4377" t="s">
        <v>5274</v>
      </c>
      <c r="B4377" t="s">
        <v>13358</v>
      </c>
      <c r="C4377" s="1">
        <v>45038</v>
      </c>
      <c r="D4377" s="1" t="str">
        <f>PROPER(orders[[#This Row],[order_priority]])</f>
        <v>Express</v>
      </c>
      <c r="E4377" t="s">
        <v>13318</v>
      </c>
      <c r="F4377" t="str">
        <f>IFERROR(INDEX(customers[country], MATCH(orders[[#This Row],[customer_id]], customers[customer_id], 0)), "Unmapped")</f>
        <v>Unmapped</v>
      </c>
      <c r="G4377" t="str">
        <f>IFERROR(INDEX(Region_Map[Region], MATCH(orders[[#This Row],[Customer_Country]], Region_Map[Country], 0)), "Unknown")</f>
        <v>Unknown</v>
      </c>
      <c r="H4377" t="s">
        <v>6949</v>
      </c>
    </row>
    <row r="4378" spans="1:8">
      <c r="A4378" t="s">
        <v>5275</v>
      </c>
      <c r="B4378" t="s">
        <v>6949</v>
      </c>
      <c r="C4378" s="1">
        <v>45275</v>
      </c>
      <c r="D4378" s="1" t="str">
        <f>PROPER(orders[[#This Row],[order_priority]])</f>
        <v>Economy</v>
      </c>
      <c r="E4378" t="s">
        <v>13316</v>
      </c>
      <c r="F4378" t="str">
        <f>IFERROR(INDEX(customers[country], MATCH(orders[[#This Row],[customer_id]], customers[customer_id], 0)), "Unmapped")</f>
        <v>Unmapped</v>
      </c>
      <c r="G4378" t="str">
        <f>IFERROR(INDEX(Region_Map[Region], MATCH(orders[[#This Row],[Customer_Country]], Region_Map[Country], 0)), "Unknown")</f>
        <v>Unknown</v>
      </c>
      <c r="H4378" t="s">
        <v>6949</v>
      </c>
    </row>
    <row r="4379" spans="1:8">
      <c r="A4379" t="s">
        <v>5276</v>
      </c>
      <c r="B4379" t="s">
        <v>650</v>
      </c>
      <c r="C4379" s="1">
        <v>45625</v>
      </c>
      <c r="D4379" s="1" t="str">
        <f>PROPER(orders[[#This Row],[order_priority]])</f>
        <v>Economy</v>
      </c>
      <c r="E4379" t="s">
        <v>13316</v>
      </c>
      <c r="F4379" t="str">
        <f>IFERROR(INDEX(customers[country], MATCH(orders[[#This Row],[customer_id]], customers[customer_id], 0)), "Unmapped")</f>
        <v>Poland</v>
      </c>
      <c r="G4379" t="str">
        <f>IFERROR(INDEX(Region_Map[Region], MATCH(orders[[#This Row],[Customer_Country]], Region_Map[Country], 0)), "Unknown")</f>
        <v>Central Europe</v>
      </c>
      <c r="H4379" t="s">
        <v>6949</v>
      </c>
    </row>
    <row r="4380" spans="1:8">
      <c r="A4380" t="s">
        <v>5277</v>
      </c>
      <c r="B4380" t="s">
        <v>213</v>
      </c>
      <c r="C4380" s="1">
        <v>45535</v>
      </c>
      <c r="D4380" s="1" t="str">
        <f>PROPER(orders[[#This Row],[order_priority]])</f>
        <v>Economy</v>
      </c>
      <c r="E4380" t="s">
        <v>13328</v>
      </c>
      <c r="F4380" t="str">
        <f>IFERROR(INDEX(customers[country], MATCH(orders[[#This Row],[customer_id]], customers[customer_id], 0)), "Unmapped")</f>
        <v>Denmark</v>
      </c>
      <c r="G4380" t="str">
        <f>IFERROR(INDEX(Region_Map[Region], MATCH(orders[[#This Row],[Customer_Country]], Region_Map[Country], 0)), "Unknown")</f>
        <v>Nordics</v>
      </c>
      <c r="H4380" t="s">
        <v>6949</v>
      </c>
    </row>
    <row r="4381" spans="1:8">
      <c r="A4381" t="s">
        <v>5278</v>
      </c>
      <c r="B4381" t="s">
        <v>861</v>
      </c>
      <c r="C4381" s="1">
        <v>44942</v>
      </c>
      <c r="D4381" s="1" t="str">
        <f>PROPER(orders[[#This Row],[order_priority]])</f>
        <v>Same Day</v>
      </c>
      <c r="E4381" t="s">
        <v>13322</v>
      </c>
      <c r="F4381" t="str">
        <f>IFERROR(INDEX(customers[country], MATCH(orders[[#This Row],[customer_id]], customers[customer_id], 0)), "Unmapped")</f>
        <v>Latvia</v>
      </c>
      <c r="G4381" t="str">
        <f>IFERROR(INDEX(Region_Map[Region], MATCH(orders[[#This Row],[Customer_Country]], Region_Map[Country], 0)), "Unknown")</f>
        <v>Baltics</v>
      </c>
      <c r="H4381" t="s">
        <v>6949</v>
      </c>
    </row>
    <row r="4382" spans="1:8">
      <c r="A4382" t="s">
        <v>5279</v>
      </c>
      <c r="B4382" t="s">
        <v>485</v>
      </c>
      <c r="C4382" s="1">
        <v>45196</v>
      </c>
      <c r="D4382" s="1" t="str">
        <f>PROPER(orders[[#This Row],[order_priority]])</f>
        <v>Express</v>
      </c>
      <c r="E4382" t="s">
        <v>13318</v>
      </c>
      <c r="F4382" t="str">
        <f>IFERROR(INDEX(customers[country], MATCH(orders[[#This Row],[customer_id]], customers[customer_id], 0)), "Unmapped")</f>
        <v>Latvia</v>
      </c>
      <c r="G4382" t="str">
        <f>IFERROR(INDEX(Region_Map[Region], MATCH(orders[[#This Row],[Customer_Country]], Region_Map[Country], 0)), "Unknown")</f>
        <v>Baltics</v>
      </c>
      <c r="H4382" t="s">
        <v>6949</v>
      </c>
    </row>
    <row r="4383" spans="1:8">
      <c r="A4383" t="s">
        <v>5280</v>
      </c>
      <c r="B4383" t="s">
        <v>216</v>
      </c>
      <c r="C4383" s="1">
        <v>45339</v>
      </c>
      <c r="D4383" s="1" t="str">
        <f>PROPER(orders[[#This Row],[order_priority]])</f>
        <v>Express</v>
      </c>
      <c r="E4383" t="s">
        <v>13318</v>
      </c>
      <c r="F4383" t="str">
        <f>IFERROR(INDEX(customers[country], MATCH(orders[[#This Row],[customer_id]], customers[customer_id], 0)), "Unmapped")</f>
        <v>Norway</v>
      </c>
      <c r="G4383" t="str">
        <f>IFERROR(INDEX(Region_Map[Region], MATCH(orders[[#This Row],[Customer_Country]], Region_Map[Country], 0)), "Unknown")</f>
        <v>Nordics</v>
      </c>
      <c r="H4383" t="s">
        <v>6949</v>
      </c>
    </row>
    <row r="4384" spans="1:8">
      <c r="A4384" t="s">
        <v>5281</v>
      </c>
      <c r="B4384" t="s">
        <v>136</v>
      </c>
      <c r="C4384" s="1">
        <v>45479</v>
      </c>
      <c r="D4384" s="1" t="str">
        <f>PROPER(orders[[#This Row],[order_priority]])</f>
        <v>Standard</v>
      </c>
      <c r="E4384" t="s">
        <v>13317</v>
      </c>
      <c r="F4384" t="str">
        <f>IFERROR(INDEX(customers[country], MATCH(orders[[#This Row],[customer_id]], customers[customer_id], 0)), "Unmapped")</f>
        <v>Sweden</v>
      </c>
      <c r="G4384" t="str">
        <f>IFERROR(INDEX(Region_Map[Region], MATCH(orders[[#This Row],[Customer_Country]], Region_Map[Country], 0)), "Unknown")</f>
        <v>Nordics</v>
      </c>
      <c r="H4384" t="s">
        <v>6949</v>
      </c>
    </row>
    <row r="4385" spans="1:8">
      <c r="A4385" t="s">
        <v>5282</v>
      </c>
      <c r="B4385" t="s">
        <v>425</v>
      </c>
      <c r="C4385" s="1">
        <v>45413</v>
      </c>
      <c r="D4385" s="1" t="str">
        <f>PROPER(orders[[#This Row],[order_priority]])</f>
        <v>Same Day</v>
      </c>
      <c r="E4385" t="s">
        <v>13322</v>
      </c>
      <c r="F4385" t="str">
        <f>IFERROR(INDEX(customers[country], MATCH(orders[[#This Row],[customer_id]], customers[customer_id], 0)), "Unmapped")</f>
        <v>Denmark</v>
      </c>
      <c r="G4385" t="str">
        <f>IFERROR(INDEX(Region_Map[Region], MATCH(orders[[#This Row],[Customer_Country]], Region_Map[Country], 0)), "Unknown")</f>
        <v>Nordics</v>
      </c>
      <c r="H4385" t="s">
        <v>6949</v>
      </c>
    </row>
    <row r="4386" spans="1:8">
      <c r="A4386" t="s">
        <v>5283</v>
      </c>
      <c r="B4386" t="s">
        <v>482</v>
      </c>
      <c r="C4386" s="1">
        <v>45468</v>
      </c>
      <c r="D4386" s="1" t="str">
        <f>PROPER(orders[[#This Row],[order_priority]])</f>
        <v>Standard</v>
      </c>
      <c r="E4386" t="s">
        <v>13317</v>
      </c>
      <c r="F4386" t="str">
        <f>IFERROR(INDEX(customers[country], MATCH(orders[[#This Row],[customer_id]], customers[customer_id], 0)), "Unmapped")</f>
        <v>Finland</v>
      </c>
      <c r="G4386" t="str">
        <f>IFERROR(INDEX(Region_Map[Region], MATCH(orders[[#This Row],[Customer_Country]], Region_Map[Country], 0)), "Unknown")</f>
        <v>Nordics</v>
      </c>
      <c r="H4386" t="s">
        <v>6949</v>
      </c>
    </row>
    <row r="4387" spans="1:8">
      <c r="A4387" t="s">
        <v>5284</v>
      </c>
      <c r="B4387" t="s">
        <v>819</v>
      </c>
      <c r="C4387" s="1">
        <v>45499</v>
      </c>
      <c r="D4387" s="1" t="str">
        <f>PROPER(orders[[#This Row],[order_priority]])</f>
        <v>Standard</v>
      </c>
      <c r="E4387" t="s">
        <v>13317</v>
      </c>
      <c r="F4387" t="str">
        <f>IFERROR(INDEX(customers[country], MATCH(orders[[#This Row],[customer_id]], customers[customer_id], 0)), "Unmapped")</f>
        <v>Estonia</v>
      </c>
      <c r="G4387" t="str">
        <f>IFERROR(INDEX(Region_Map[Region], MATCH(orders[[#This Row],[Customer_Country]], Region_Map[Country], 0)), "Unknown")</f>
        <v>Baltics</v>
      </c>
      <c r="H4387" t="s">
        <v>6949</v>
      </c>
    </row>
    <row r="4388" spans="1:8">
      <c r="A4388" t="s">
        <v>5285</v>
      </c>
      <c r="B4388" t="s">
        <v>163</v>
      </c>
      <c r="C4388" s="1">
        <v>44994</v>
      </c>
      <c r="D4388" s="1" t="str">
        <f>PROPER(orders[[#This Row],[order_priority]])</f>
        <v>Same Day</v>
      </c>
      <c r="E4388" t="s">
        <v>13322</v>
      </c>
      <c r="F4388" t="str">
        <f>IFERROR(INDEX(customers[country], MATCH(orders[[#This Row],[customer_id]], customers[customer_id], 0)), "Unmapped")</f>
        <v>Germany</v>
      </c>
      <c r="G4388" t="str">
        <f>IFERROR(INDEX(Region_Map[Region], MATCH(orders[[#This Row],[Customer_Country]], Region_Map[Country], 0)), "Unknown")</f>
        <v>Central Europe</v>
      </c>
      <c r="H4388" t="s">
        <v>6949</v>
      </c>
    </row>
    <row r="4389" spans="1:8">
      <c r="A4389" t="s">
        <v>5286</v>
      </c>
      <c r="B4389" t="s">
        <v>225</v>
      </c>
      <c r="C4389" s="1">
        <v>45038</v>
      </c>
      <c r="D4389" s="1" t="str">
        <f>PROPER(orders[[#This Row],[order_priority]])</f>
        <v>Express</v>
      </c>
      <c r="E4389" t="s">
        <v>13318</v>
      </c>
      <c r="F4389" t="str">
        <f>IFERROR(INDEX(customers[country], MATCH(orders[[#This Row],[customer_id]], customers[customer_id], 0)), "Unmapped")</f>
        <v>Poland</v>
      </c>
      <c r="G4389" t="str">
        <f>IFERROR(INDEX(Region_Map[Region], MATCH(orders[[#This Row],[Customer_Country]], Region_Map[Country], 0)), "Unknown")</f>
        <v>Central Europe</v>
      </c>
      <c r="H4389" t="s">
        <v>6949</v>
      </c>
    </row>
    <row r="4390" spans="1:8">
      <c r="A4390" t="s">
        <v>5287</v>
      </c>
      <c r="B4390" t="s">
        <v>554</v>
      </c>
      <c r="C4390" s="1">
        <v>45497</v>
      </c>
      <c r="D4390" s="1" t="str">
        <f>PROPER(orders[[#This Row],[order_priority]])</f>
        <v>Express</v>
      </c>
      <c r="E4390" t="s">
        <v>13318</v>
      </c>
      <c r="F4390" t="str">
        <f>IFERROR(INDEX(customers[country], MATCH(orders[[#This Row],[customer_id]], customers[customer_id], 0)), "Unmapped")</f>
        <v>Germany</v>
      </c>
      <c r="G4390" t="str">
        <f>IFERROR(INDEX(Region_Map[Region], MATCH(orders[[#This Row],[Customer_Country]], Region_Map[Country], 0)), "Unknown")</f>
        <v>Central Europe</v>
      </c>
      <c r="H4390" t="s">
        <v>6949</v>
      </c>
    </row>
    <row r="4391" spans="1:8">
      <c r="A4391" t="s">
        <v>5288</v>
      </c>
      <c r="B4391" t="s">
        <v>846</v>
      </c>
      <c r="C4391" s="1">
        <v>45308</v>
      </c>
      <c r="D4391" s="1" t="str">
        <f>PROPER(orders[[#This Row],[order_priority]])</f>
        <v>Same Day</v>
      </c>
      <c r="E4391" t="s">
        <v>13322</v>
      </c>
      <c r="F4391" t="str">
        <f>IFERROR(INDEX(customers[country], MATCH(orders[[#This Row],[customer_id]], customers[customer_id], 0)), "Unmapped")</f>
        <v>Netherlands</v>
      </c>
      <c r="G4391" t="str">
        <f>IFERROR(INDEX(Region_Map[Region], MATCH(orders[[#This Row],[Customer_Country]], Region_Map[Country], 0)), "Unknown")</f>
        <v>Central Europe</v>
      </c>
      <c r="H4391" t="s">
        <v>6949</v>
      </c>
    </row>
    <row r="4392" spans="1:8">
      <c r="A4392" t="s">
        <v>5289</v>
      </c>
      <c r="B4392" t="s">
        <v>270</v>
      </c>
      <c r="C4392" s="1">
        <v>45564</v>
      </c>
      <c r="D4392" s="1" t="str">
        <f>PROPER(orders[[#This Row],[order_priority]])</f>
        <v>Same Day</v>
      </c>
      <c r="E4392" t="s">
        <v>13322</v>
      </c>
      <c r="F4392" t="str">
        <f>IFERROR(INDEX(customers[country], MATCH(orders[[#This Row],[customer_id]], customers[customer_id], 0)), "Unmapped")</f>
        <v>Poland</v>
      </c>
      <c r="G4392" t="str">
        <f>IFERROR(INDEX(Region_Map[Region], MATCH(orders[[#This Row],[Customer_Country]], Region_Map[Country], 0)), "Unknown")</f>
        <v>Central Europe</v>
      </c>
      <c r="H4392" t="s">
        <v>6949</v>
      </c>
    </row>
    <row r="4393" spans="1:8">
      <c r="A4393" t="s">
        <v>5290</v>
      </c>
      <c r="B4393" t="s">
        <v>443</v>
      </c>
      <c r="C4393" s="1">
        <v>44990</v>
      </c>
      <c r="D4393" s="1" t="str">
        <f>PROPER(orders[[#This Row],[order_priority]])</f>
        <v>Express</v>
      </c>
      <c r="E4393" t="s">
        <v>13318</v>
      </c>
      <c r="F4393" t="str">
        <f>IFERROR(INDEX(customers[country], MATCH(orders[[#This Row],[customer_id]], customers[customer_id], 0)), "Unmapped")</f>
        <v>Estonia</v>
      </c>
      <c r="G4393" t="str">
        <f>IFERROR(INDEX(Region_Map[Region], MATCH(orders[[#This Row],[Customer_Country]], Region_Map[Country], 0)), "Unknown")</f>
        <v>Baltics</v>
      </c>
      <c r="H4393" t="s">
        <v>6949</v>
      </c>
    </row>
    <row r="4394" spans="1:8">
      <c r="A4394" t="s">
        <v>5291</v>
      </c>
      <c r="B4394" t="s">
        <v>793</v>
      </c>
      <c r="C4394" s="1">
        <v>45324</v>
      </c>
      <c r="D4394" s="1" t="str">
        <f>PROPER(orders[[#This Row],[order_priority]])</f>
        <v>Economy</v>
      </c>
      <c r="E4394" t="s">
        <v>13316</v>
      </c>
      <c r="F4394" t="str">
        <f>IFERROR(INDEX(customers[country], MATCH(orders[[#This Row],[customer_id]], customers[customer_id], 0)), "Unmapped")</f>
        <v>Sweden</v>
      </c>
      <c r="G4394" t="str">
        <f>IFERROR(INDEX(Region_Map[Region], MATCH(orders[[#This Row],[Customer_Country]], Region_Map[Country], 0)), "Unknown")</f>
        <v>Nordics</v>
      </c>
      <c r="H4394" t="s">
        <v>6949</v>
      </c>
    </row>
    <row r="4395" spans="1:8">
      <c r="A4395" t="s">
        <v>5292</v>
      </c>
      <c r="B4395" t="s">
        <v>909</v>
      </c>
      <c r="C4395" s="1">
        <v>45250</v>
      </c>
      <c r="D4395" s="1" t="str">
        <f>PROPER(orders[[#This Row],[order_priority]])</f>
        <v>Express</v>
      </c>
      <c r="E4395" t="s">
        <v>13318</v>
      </c>
      <c r="F4395" t="str">
        <f>IFERROR(INDEX(customers[country], MATCH(orders[[#This Row],[customer_id]], customers[customer_id], 0)), "Unmapped")</f>
        <v>Poland</v>
      </c>
      <c r="G4395" t="str">
        <f>IFERROR(INDEX(Region_Map[Region], MATCH(orders[[#This Row],[Customer_Country]], Region_Map[Country], 0)), "Unknown")</f>
        <v>Central Europe</v>
      </c>
      <c r="H4395" t="s">
        <v>6949</v>
      </c>
    </row>
    <row r="4396" spans="1:8">
      <c r="A4396" t="s">
        <v>5293</v>
      </c>
      <c r="B4396" t="s">
        <v>608</v>
      </c>
      <c r="C4396" s="1">
        <v>45257</v>
      </c>
      <c r="D4396" s="1" t="str">
        <f>PROPER(orders[[#This Row],[order_priority]])</f>
        <v>Economy</v>
      </c>
      <c r="E4396" t="s">
        <v>13316</v>
      </c>
      <c r="F4396" t="str">
        <f>IFERROR(INDEX(customers[country], MATCH(orders[[#This Row],[customer_id]], customers[customer_id], 0)), "Unmapped")</f>
        <v>Finland</v>
      </c>
      <c r="G4396" t="str">
        <f>IFERROR(INDEX(Region_Map[Region], MATCH(orders[[#This Row],[Customer_Country]], Region_Map[Country], 0)), "Unknown")</f>
        <v>Nordics</v>
      </c>
      <c r="H4396" t="s">
        <v>6949</v>
      </c>
    </row>
    <row r="4397" spans="1:8">
      <c r="A4397" t="s">
        <v>5294</v>
      </c>
      <c r="B4397" t="s">
        <v>563</v>
      </c>
      <c r="C4397" s="1">
        <v>45339</v>
      </c>
      <c r="D4397" s="1" t="str">
        <f>PROPER(orders[[#This Row],[order_priority]])</f>
        <v>Express</v>
      </c>
      <c r="E4397" t="s">
        <v>13320</v>
      </c>
      <c r="F4397" t="str">
        <f>IFERROR(INDEX(customers[country], MATCH(orders[[#This Row],[customer_id]], customers[customer_id], 0)), "Unmapped")</f>
        <v>Estonia</v>
      </c>
      <c r="G4397" t="str">
        <f>IFERROR(INDEX(Region_Map[Region], MATCH(orders[[#This Row],[Customer_Country]], Region_Map[Country], 0)), "Unknown")</f>
        <v>Baltics</v>
      </c>
      <c r="H4397" t="s">
        <v>6949</v>
      </c>
    </row>
    <row r="4398" spans="1:8">
      <c r="A4398" t="s">
        <v>5295</v>
      </c>
      <c r="B4398" t="s">
        <v>641</v>
      </c>
      <c r="C4398" s="1">
        <v>45490</v>
      </c>
      <c r="D4398" s="1" t="str">
        <f>PROPER(orders[[#This Row],[order_priority]])</f>
        <v>Standard</v>
      </c>
      <c r="E4398" t="s">
        <v>13317</v>
      </c>
      <c r="F4398" t="str">
        <f>IFERROR(INDEX(customers[country], MATCH(orders[[#This Row],[customer_id]], customers[customer_id], 0)), "Unmapped")</f>
        <v>Poland</v>
      </c>
      <c r="G4398" t="str">
        <f>IFERROR(INDEX(Region_Map[Region], MATCH(orders[[#This Row],[Customer_Country]], Region_Map[Country], 0)), "Unknown")</f>
        <v>Central Europe</v>
      </c>
      <c r="H4398" t="s">
        <v>6949</v>
      </c>
    </row>
    <row r="4399" spans="1:8">
      <c r="A4399" t="s">
        <v>5296</v>
      </c>
      <c r="B4399" t="s">
        <v>641</v>
      </c>
      <c r="C4399" s="1">
        <v>45429</v>
      </c>
      <c r="D4399" s="1" t="str">
        <f>PROPER(orders[[#This Row],[order_priority]])</f>
        <v>Economy</v>
      </c>
      <c r="E4399" t="s">
        <v>13316</v>
      </c>
      <c r="F4399" t="str">
        <f>IFERROR(INDEX(customers[country], MATCH(orders[[#This Row],[customer_id]], customers[customer_id], 0)), "Unmapped")</f>
        <v>Poland</v>
      </c>
      <c r="G4399" t="str">
        <f>IFERROR(INDEX(Region_Map[Region], MATCH(orders[[#This Row],[Customer_Country]], Region_Map[Country], 0)), "Unknown")</f>
        <v>Central Europe</v>
      </c>
      <c r="H4399" t="s">
        <v>6949</v>
      </c>
    </row>
    <row r="4400" spans="1:8">
      <c r="A4400" t="s">
        <v>5297</v>
      </c>
      <c r="B4400" t="s">
        <v>51</v>
      </c>
      <c r="C4400" s="1">
        <v>45272</v>
      </c>
      <c r="D4400" s="1" t="str">
        <f>PROPER(orders[[#This Row],[order_priority]])</f>
        <v>Economy</v>
      </c>
      <c r="E4400" t="s">
        <v>13316</v>
      </c>
      <c r="F4400" t="str">
        <f>IFERROR(INDEX(customers[country], MATCH(orders[[#This Row],[customer_id]], customers[customer_id], 0)), "Unmapped")</f>
        <v>Germany</v>
      </c>
      <c r="G4400" t="str">
        <f>IFERROR(INDEX(Region_Map[Region], MATCH(orders[[#This Row],[Customer_Country]], Region_Map[Country], 0)), "Unknown")</f>
        <v>Central Europe</v>
      </c>
      <c r="H4400" t="s">
        <v>6949</v>
      </c>
    </row>
    <row r="4401" spans="1:8">
      <c r="A4401" t="s">
        <v>5298</v>
      </c>
      <c r="B4401" t="s">
        <v>811</v>
      </c>
      <c r="C4401" s="1">
        <v>45277</v>
      </c>
      <c r="D4401" s="1" t="str">
        <f>PROPER(orders[[#This Row],[order_priority]])</f>
        <v>Express</v>
      </c>
      <c r="E4401" t="s">
        <v>13318</v>
      </c>
      <c r="F4401" t="str">
        <f>IFERROR(INDEX(customers[country], MATCH(orders[[#This Row],[customer_id]], customers[customer_id], 0)), "Unmapped")</f>
        <v>Finland</v>
      </c>
      <c r="G4401" t="str">
        <f>IFERROR(INDEX(Region_Map[Region], MATCH(orders[[#This Row],[Customer_Country]], Region_Map[Country], 0)), "Unknown")</f>
        <v>Nordics</v>
      </c>
      <c r="H4401" t="s">
        <v>6949</v>
      </c>
    </row>
    <row r="4402" spans="1:8">
      <c r="A4402" t="s">
        <v>5299</v>
      </c>
      <c r="B4402" t="s">
        <v>808</v>
      </c>
      <c r="C4402" s="1">
        <v>45077</v>
      </c>
      <c r="D4402" s="1" t="str">
        <f>PROPER(orders[[#This Row],[order_priority]])</f>
        <v>Same Day</v>
      </c>
      <c r="E4402" t="s">
        <v>13322</v>
      </c>
      <c r="F4402" t="str">
        <f>IFERROR(INDEX(customers[country], MATCH(orders[[#This Row],[customer_id]], customers[customer_id], 0)), "Unmapped")</f>
        <v>Sweden</v>
      </c>
      <c r="G4402" t="str">
        <f>IFERROR(INDEX(Region_Map[Region], MATCH(orders[[#This Row],[Customer_Country]], Region_Map[Country], 0)), "Unknown")</f>
        <v>Nordics</v>
      </c>
      <c r="H4402" t="s">
        <v>6949</v>
      </c>
    </row>
    <row r="4403" spans="1:8">
      <c r="A4403" t="s">
        <v>5300</v>
      </c>
      <c r="B4403" t="s">
        <v>515</v>
      </c>
      <c r="C4403" s="1">
        <v>45621</v>
      </c>
      <c r="D4403" s="1" t="str">
        <f>PROPER(orders[[#This Row],[order_priority]])</f>
        <v>Express</v>
      </c>
      <c r="E4403" t="s">
        <v>13320</v>
      </c>
      <c r="F4403" t="str">
        <f>IFERROR(INDEX(customers[country], MATCH(orders[[#This Row],[customer_id]], customers[customer_id], 0)), "Unmapped")</f>
        <v>Latvia</v>
      </c>
      <c r="G4403" t="str">
        <f>IFERROR(INDEX(Region_Map[Region], MATCH(orders[[#This Row],[Customer_Country]], Region_Map[Country], 0)), "Unknown")</f>
        <v>Baltics</v>
      </c>
      <c r="H4403" t="s">
        <v>6949</v>
      </c>
    </row>
    <row r="4404" spans="1:8">
      <c r="A4404" t="s">
        <v>5301</v>
      </c>
      <c r="B4404" t="s">
        <v>749</v>
      </c>
      <c r="C4404" s="1">
        <v>45525</v>
      </c>
      <c r="D4404" s="1" t="str">
        <f>PROPER(orders[[#This Row],[order_priority]])</f>
        <v>Standard</v>
      </c>
      <c r="E4404" t="s">
        <v>13317</v>
      </c>
      <c r="F4404" t="str">
        <f>IFERROR(INDEX(customers[country], MATCH(orders[[#This Row],[customer_id]], customers[customer_id], 0)), "Unmapped")</f>
        <v>Latvia</v>
      </c>
      <c r="G4404" t="str">
        <f>IFERROR(INDEX(Region_Map[Region], MATCH(orders[[#This Row],[Customer_Country]], Region_Map[Country], 0)), "Unknown")</f>
        <v>Baltics</v>
      </c>
      <c r="H4404" t="s">
        <v>6949</v>
      </c>
    </row>
    <row r="4405" spans="1:8">
      <c r="A4405" t="s">
        <v>5302</v>
      </c>
      <c r="B4405" t="s">
        <v>611</v>
      </c>
      <c r="C4405" s="1">
        <v>45325</v>
      </c>
      <c r="D4405" s="1" t="str">
        <f>PROPER(orders[[#This Row],[order_priority]])</f>
        <v>Express</v>
      </c>
      <c r="E4405" t="s">
        <v>13318</v>
      </c>
      <c r="F4405" t="str">
        <f>IFERROR(INDEX(customers[country], MATCH(orders[[#This Row],[customer_id]], customers[customer_id], 0)), "Unmapped")</f>
        <v>Poland</v>
      </c>
      <c r="G4405" t="str">
        <f>IFERROR(INDEX(Region_Map[Region], MATCH(orders[[#This Row],[Customer_Country]], Region_Map[Country], 0)), "Unknown")</f>
        <v>Central Europe</v>
      </c>
      <c r="H4405" t="s">
        <v>6949</v>
      </c>
    </row>
    <row r="4406" spans="1:8">
      <c r="A4406" t="s">
        <v>5303</v>
      </c>
      <c r="B4406" t="s">
        <v>127</v>
      </c>
      <c r="C4406" s="1">
        <v>45484</v>
      </c>
      <c r="D4406" s="1" t="str">
        <f>PROPER(orders[[#This Row],[order_priority]])</f>
        <v>Express</v>
      </c>
      <c r="E4406" t="s">
        <v>13318</v>
      </c>
      <c r="F4406" t="str">
        <f>IFERROR(INDEX(customers[country], MATCH(orders[[#This Row],[customer_id]], customers[customer_id], 0)), "Unmapped")</f>
        <v>Denmark</v>
      </c>
      <c r="G4406" t="str">
        <f>IFERROR(INDEX(Region_Map[Region], MATCH(orders[[#This Row],[Customer_Country]], Region_Map[Country], 0)), "Unknown")</f>
        <v>Nordics</v>
      </c>
      <c r="H4406" t="s">
        <v>6949</v>
      </c>
    </row>
    <row r="4407" spans="1:8">
      <c r="A4407" t="s">
        <v>5304</v>
      </c>
      <c r="B4407" t="s">
        <v>533</v>
      </c>
      <c r="C4407" s="1">
        <v>45611</v>
      </c>
      <c r="D4407" s="1" t="str">
        <f>PROPER(orders[[#This Row],[order_priority]])</f>
        <v>Economy</v>
      </c>
      <c r="E4407" t="s">
        <v>13316</v>
      </c>
      <c r="F4407" t="str">
        <f>IFERROR(INDEX(customers[country], MATCH(orders[[#This Row],[customer_id]], customers[customer_id], 0)), "Unmapped")</f>
        <v>Germany</v>
      </c>
      <c r="G4407" t="str">
        <f>IFERROR(INDEX(Region_Map[Region], MATCH(orders[[#This Row],[Customer_Country]], Region_Map[Country], 0)), "Unknown")</f>
        <v>Central Europe</v>
      </c>
      <c r="H4407" t="s">
        <v>6949</v>
      </c>
    </row>
    <row r="4408" spans="1:8">
      <c r="A4408" t="s">
        <v>5305</v>
      </c>
      <c r="B4408" t="s">
        <v>425</v>
      </c>
      <c r="C4408" s="1">
        <v>45295</v>
      </c>
      <c r="D4408" s="1" t="str">
        <f>PROPER(orders[[#This Row],[order_priority]])</f>
        <v>Same Day</v>
      </c>
      <c r="E4408" t="s">
        <v>13322</v>
      </c>
      <c r="F4408" t="str">
        <f>IFERROR(INDEX(customers[country], MATCH(orders[[#This Row],[customer_id]], customers[customer_id], 0)), "Unmapped")</f>
        <v>Denmark</v>
      </c>
      <c r="G4408" t="str">
        <f>IFERROR(INDEX(Region_Map[Region], MATCH(orders[[#This Row],[Customer_Country]], Region_Map[Country], 0)), "Unknown")</f>
        <v>Nordics</v>
      </c>
      <c r="H4408" t="s">
        <v>6949</v>
      </c>
    </row>
    <row r="4409" spans="1:8">
      <c r="A4409" t="s">
        <v>5306</v>
      </c>
      <c r="B4409" t="s">
        <v>136</v>
      </c>
      <c r="C4409" s="1">
        <v>45372</v>
      </c>
      <c r="D4409" s="1" t="str">
        <f>PROPER(orders[[#This Row],[order_priority]])</f>
        <v>Economy</v>
      </c>
      <c r="E4409" t="s">
        <v>13316</v>
      </c>
      <c r="F4409" t="str">
        <f>IFERROR(INDEX(customers[country], MATCH(orders[[#This Row],[customer_id]], customers[customer_id], 0)), "Unmapped")</f>
        <v>Sweden</v>
      </c>
      <c r="G4409" t="str">
        <f>IFERROR(INDEX(Region_Map[Region], MATCH(orders[[#This Row],[Customer_Country]], Region_Map[Country], 0)), "Unknown")</f>
        <v>Nordics</v>
      </c>
      <c r="H4409" t="s">
        <v>6949</v>
      </c>
    </row>
    <row r="4410" spans="1:8">
      <c r="A4410" t="s">
        <v>5307</v>
      </c>
      <c r="B4410" t="s">
        <v>392</v>
      </c>
      <c r="C4410" s="1">
        <v>45109</v>
      </c>
      <c r="D4410" s="1" t="str">
        <f>PROPER(orders[[#This Row],[order_priority]])</f>
        <v>Economy</v>
      </c>
      <c r="E4410" t="s">
        <v>13316</v>
      </c>
      <c r="F4410" t="str">
        <f>IFERROR(INDEX(customers[country], MATCH(orders[[#This Row],[customer_id]], customers[customer_id], 0)), "Unmapped")</f>
        <v>Latvia</v>
      </c>
      <c r="G4410" t="str">
        <f>IFERROR(INDEX(Region_Map[Region], MATCH(orders[[#This Row],[Customer_Country]], Region_Map[Country], 0)), "Unknown")</f>
        <v>Baltics</v>
      </c>
      <c r="H4410" t="s">
        <v>6949</v>
      </c>
    </row>
    <row r="4411" spans="1:8">
      <c r="A4411" t="s">
        <v>5308</v>
      </c>
      <c r="B4411" t="s">
        <v>77</v>
      </c>
      <c r="C4411" s="1">
        <v>45153</v>
      </c>
      <c r="D4411" s="1" t="str">
        <f>PROPER(orders[[#This Row],[order_priority]])</f>
        <v>Standard</v>
      </c>
      <c r="E4411" t="s">
        <v>13317</v>
      </c>
      <c r="F4411" t="str">
        <f>IFERROR(INDEX(customers[country], MATCH(orders[[#This Row],[customer_id]], customers[customer_id], 0)), "Unmapped")</f>
        <v>Lithuania</v>
      </c>
      <c r="G4411" t="str">
        <f>IFERROR(INDEX(Region_Map[Region], MATCH(orders[[#This Row],[Customer_Country]], Region_Map[Country], 0)), "Unknown")</f>
        <v>Baltics</v>
      </c>
      <c r="H4411" t="s">
        <v>6949</v>
      </c>
    </row>
    <row r="4412" spans="1:8">
      <c r="A4412" t="s">
        <v>5309</v>
      </c>
      <c r="B4412" t="s">
        <v>533</v>
      </c>
      <c r="C4412" s="1">
        <v>45023</v>
      </c>
      <c r="D4412" s="1" t="str">
        <f>PROPER(orders[[#This Row],[order_priority]])</f>
        <v>Express</v>
      </c>
      <c r="E4412" t="s">
        <v>13318</v>
      </c>
      <c r="F4412" t="str">
        <f>IFERROR(INDEX(customers[country], MATCH(orders[[#This Row],[customer_id]], customers[customer_id], 0)), "Unmapped")</f>
        <v>Germany</v>
      </c>
      <c r="G4412" t="str">
        <f>IFERROR(INDEX(Region_Map[Region], MATCH(orders[[#This Row],[Customer_Country]], Region_Map[Country], 0)), "Unknown")</f>
        <v>Central Europe</v>
      </c>
      <c r="H4412" t="s">
        <v>6949</v>
      </c>
    </row>
    <row r="4413" spans="1:8">
      <c r="A4413" t="s">
        <v>5310</v>
      </c>
      <c r="B4413" t="s">
        <v>843</v>
      </c>
      <c r="C4413" s="1">
        <v>45271</v>
      </c>
      <c r="D4413" s="1" t="str">
        <f>PROPER(orders[[#This Row],[order_priority]])</f>
        <v>Same Day</v>
      </c>
      <c r="E4413" t="s">
        <v>13322</v>
      </c>
      <c r="F4413" t="str">
        <f>IFERROR(INDEX(customers[country], MATCH(orders[[#This Row],[customer_id]], customers[customer_id], 0)), "Unmapped")</f>
        <v>Netherlands</v>
      </c>
      <c r="G4413" t="str">
        <f>IFERROR(INDEX(Region_Map[Region], MATCH(orders[[#This Row],[Customer_Country]], Region_Map[Country], 0)), "Unknown")</f>
        <v>Central Europe</v>
      </c>
      <c r="H4413" t="s">
        <v>6949</v>
      </c>
    </row>
    <row r="4414" spans="1:8">
      <c r="A4414" t="s">
        <v>5311</v>
      </c>
      <c r="B4414" t="s">
        <v>670</v>
      </c>
      <c r="C4414" s="1">
        <v>44953</v>
      </c>
      <c r="D4414" s="1" t="str">
        <f>PROPER(orders[[#This Row],[order_priority]])</f>
        <v>Express</v>
      </c>
      <c r="E4414" t="s">
        <v>13318</v>
      </c>
      <c r="F4414" t="str">
        <f>IFERROR(INDEX(customers[country], MATCH(orders[[#This Row],[customer_id]], customers[customer_id], 0)), "Unmapped")</f>
        <v>Netherlands</v>
      </c>
      <c r="G4414" t="str">
        <f>IFERROR(INDEX(Region_Map[Region], MATCH(orders[[#This Row],[Customer_Country]], Region_Map[Country], 0)), "Unknown")</f>
        <v>Central Europe</v>
      </c>
      <c r="H4414" t="s">
        <v>6949</v>
      </c>
    </row>
    <row r="4415" spans="1:8">
      <c r="A4415" t="s">
        <v>5312</v>
      </c>
      <c r="B4415" t="s">
        <v>338</v>
      </c>
      <c r="C4415" s="1">
        <v>45517</v>
      </c>
      <c r="D4415" s="1" t="str">
        <f>PROPER(orders[[#This Row],[order_priority]])</f>
        <v>Same Day</v>
      </c>
      <c r="E4415" t="s">
        <v>13322</v>
      </c>
      <c r="F4415" t="str">
        <f>IFERROR(INDEX(customers[country], MATCH(orders[[#This Row],[customer_id]], customers[customer_id], 0)), "Unmapped")</f>
        <v>Denmark</v>
      </c>
      <c r="G4415" t="str">
        <f>IFERROR(INDEX(Region_Map[Region], MATCH(orders[[#This Row],[Customer_Country]], Region_Map[Country], 0)), "Unknown")</f>
        <v>Nordics</v>
      </c>
      <c r="H4415" t="s">
        <v>6949</v>
      </c>
    </row>
    <row r="4416" spans="1:8">
      <c r="A4416" t="s">
        <v>5313</v>
      </c>
      <c r="B4416" t="s">
        <v>721</v>
      </c>
      <c r="C4416" s="1">
        <v>45404</v>
      </c>
      <c r="D4416" s="1" t="str">
        <f>PROPER(orders[[#This Row],[order_priority]])</f>
        <v>Standard</v>
      </c>
      <c r="E4416" t="s">
        <v>13317</v>
      </c>
      <c r="F4416" t="str">
        <f>IFERROR(INDEX(customers[country], MATCH(orders[[#This Row],[customer_id]], customers[customer_id], 0)), "Unmapped")</f>
        <v>Netherlands</v>
      </c>
      <c r="G4416" t="str">
        <f>IFERROR(INDEX(Region_Map[Region], MATCH(orders[[#This Row],[Customer_Country]], Region_Map[Country], 0)), "Unknown")</f>
        <v>Central Europe</v>
      </c>
      <c r="H4416" t="s">
        <v>6949</v>
      </c>
    </row>
    <row r="4417" spans="1:8">
      <c r="A4417" t="s">
        <v>5314</v>
      </c>
      <c r="B4417" t="s">
        <v>831</v>
      </c>
      <c r="C4417" s="1">
        <v>44967</v>
      </c>
      <c r="D4417" s="1" t="str">
        <f>PROPER(orders[[#This Row],[order_priority]])</f>
        <v>Standard</v>
      </c>
      <c r="E4417" t="s">
        <v>13317</v>
      </c>
      <c r="F4417" t="str">
        <f>IFERROR(INDEX(customers[country], MATCH(orders[[#This Row],[customer_id]], customers[customer_id], 0)), "Unmapped")</f>
        <v>Norway</v>
      </c>
      <c r="G4417" t="str">
        <f>IFERROR(INDEX(Region_Map[Region], MATCH(orders[[#This Row],[Customer_Country]], Region_Map[Country], 0)), "Unknown")</f>
        <v>Nordics</v>
      </c>
      <c r="H4417" t="s">
        <v>6949</v>
      </c>
    </row>
    <row r="4418" spans="1:8">
      <c r="A4418" t="s">
        <v>5315</v>
      </c>
      <c r="B4418" t="s">
        <v>51</v>
      </c>
      <c r="C4418" s="1">
        <v>44982</v>
      </c>
      <c r="D4418" s="1" t="str">
        <f>PROPER(orders[[#This Row],[order_priority]])</f>
        <v>Same Day</v>
      </c>
      <c r="E4418" t="s">
        <v>13322</v>
      </c>
      <c r="F4418" t="str">
        <f>IFERROR(INDEX(customers[country], MATCH(orders[[#This Row],[customer_id]], customers[customer_id], 0)), "Unmapped")</f>
        <v>Germany</v>
      </c>
      <c r="G4418" t="str">
        <f>IFERROR(INDEX(Region_Map[Region], MATCH(orders[[#This Row],[Customer_Country]], Region_Map[Country], 0)), "Unknown")</f>
        <v>Central Europe</v>
      </c>
      <c r="H4418" t="s">
        <v>6949</v>
      </c>
    </row>
    <row r="4419" spans="1:8">
      <c r="A4419" t="s">
        <v>5316</v>
      </c>
      <c r="B4419" t="s">
        <v>688</v>
      </c>
      <c r="C4419" s="1">
        <v>45380</v>
      </c>
      <c r="D4419" s="1" t="str">
        <f>PROPER(orders[[#This Row],[order_priority]])</f>
        <v>Economy</v>
      </c>
      <c r="E4419" t="s">
        <v>13316</v>
      </c>
      <c r="F4419" t="str">
        <f>IFERROR(INDEX(customers[country], MATCH(orders[[#This Row],[customer_id]], customers[customer_id], 0)), "Unmapped")</f>
        <v>Norway</v>
      </c>
      <c r="G4419" t="str">
        <f>IFERROR(INDEX(Region_Map[Region], MATCH(orders[[#This Row],[Customer_Country]], Region_Map[Country], 0)), "Unknown")</f>
        <v>Nordics</v>
      </c>
      <c r="H4419" t="s">
        <v>6949</v>
      </c>
    </row>
    <row r="4420" spans="1:8">
      <c r="A4420" t="s">
        <v>5317</v>
      </c>
      <c r="B4420" t="s">
        <v>184</v>
      </c>
      <c r="C4420" s="1">
        <v>44932</v>
      </c>
      <c r="D4420" s="1" t="str">
        <f>PROPER(orders[[#This Row],[order_priority]])</f>
        <v>Standard</v>
      </c>
      <c r="E4420" t="s">
        <v>13319</v>
      </c>
      <c r="F4420" t="str">
        <f>IFERROR(INDEX(customers[country], MATCH(orders[[#This Row],[customer_id]], customers[customer_id], 0)), "Unmapped")</f>
        <v>Netherlands</v>
      </c>
      <c r="G4420" t="str">
        <f>IFERROR(INDEX(Region_Map[Region], MATCH(orders[[#This Row],[Customer_Country]], Region_Map[Country], 0)), "Unknown")</f>
        <v>Central Europe</v>
      </c>
      <c r="H4420" t="s">
        <v>6949</v>
      </c>
    </row>
    <row r="4421" spans="1:8">
      <c r="A4421" t="s">
        <v>5318</v>
      </c>
      <c r="B4421" t="s">
        <v>575</v>
      </c>
      <c r="C4421" s="1">
        <v>45610</v>
      </c>
      <c r="D4421" s="1" t="str">
        <f>PROPER(orders[[#This Row],[order_priority]])</f>
        <v>Same Day</v>
      </c>
      <c r="E4421" t="s">
        <v>13322</v>
      </c>
      <c r="F4421" t="str">
        <f>IFERROR(INDEX(customers[country], MATCH(orders[[#This Row],[customer_id]], customers[customer_id], 0)), "Unmapped")</f>
        <v>Netherlands</v>
      </c>
      <c r="G4421" t="str">
        <f>IFERROR(INDEX(Region_Map[Region], MATCH(orders[[#This Row],[Customer_Country]], Region_Map[Country], 0)), "Unknown")</f>
        <v>Central Europe</v>
      </c>
      <c r="H4421" t="s">
        <v>6949</v>
      </c>
    </row>
    <row r="4422" spans="1:8">
      <c r="A4422" t="s">
        <v>5319</v>
      </c>
      <c r="B4422" t="s">
        <v>569</v>
      </c>
      <c r="C4422" s="1">
        <v>45381</v>
      </c>
      <c r="D4422" s="1" t="str">
        <f>PROPER(orders[[#This Row],[order_priority]])</f>
        <v>Economy</v>
      </c>
      <c r="E4422" t="s">
        <v>13316</v>
      </c>
      <c r="F4422" t="str">
        <f>IFERROR(INDEX(customers[country], MATCH(orders[[#This Row],[customer_id]], customers[customer_id], 0)), "Unmapped")</f>
        <v>Estonia</v>
      </c>
      <c r="G4422" t="str">
        <f>IFERROR(INDEX(Region_Map[Region], MATCH(orders[[#This Row],[Customer_Country]], Region_Map[Country], 0)), "Unknown")</f>
        <v>Baltics</v>
      </c>
      <c r="H4422" t="s">
        <v>6949</v>
      </c>
    </row>
    <row r="4423" spans="1:8">
      <c r="A4423" t="s">
        <v>5320</v>
      </c>
      <c r="B4423" t="s">
        <v>473</v>
      </c>
      <c r="C4423" s="1">
        <v>45324</v>
      </c>
      <c r="D4423" s="1" t="str">
        <f>PROPER(orders[[#This Row],[order_priority]])</f>
        <v>Standard</v>
      </c>
      <c r="E4423" t="s">
        <v>13317</v>
      </c>
      <c r="F4423" t="str">
        <f>IFERROR(INDEX(customers[country], MATCH(orders[[#This Row],[customer_id]], customers[customer_id], 0)), "Unmapped")</f>
        <v>Netherlands</v>
      </c>
      <c r="G4423" t="str">
        <f>IFERROR(INDEX(Region_Map[Region], MATCH(orders[[#This Row],[Customer_Country]], Region_Map[Country], 0)), "Unknown")</f>
        <v>Central Europe</v>
      </c>
      <c r="H4423" t="s">
        <v>6949</v>
      </c>
    </row>
    <row r="4424" spans="1:8">
      <c r="A4424" t="s">
        <v>5321</v>
      </c>
      <c r="B4424" t="s">
        <v>19</v>
      </c>
      <c r="C4424" s="1">
        <v>45029</v>
      </c>
      <c r="D4424" s="1" t="str">
        <f>PROPER(orders[[#This Row],[order_priority]])</f>
        <v>Same Day</v>
      </c>
      <c r="E4424" t="s">
        <v>13322</v>
      </c>
      <c r="F4424" t="str">
        <f>IFERROR(INDEX(customers[country], MATCH(orders[[#This Row],[customer_id]], customers[customer_id], 0)), "Unmapped")</f>
        <v>Poland</v>
      </c>
      <c r="G4424" t="str">
        <f>IFERROR(INDEX(Region_Map[Region], MATCH(orders[[#This Row],[Customer_Country]], Region_Map[Country], 0)), "Unknown")</f>
        <v>Central Europe</v>
      </c>
      <c r="H4424" t="s">
        <v>6949</v>
      </c>
    </row>
    <row r="4425" spans="1:8">
      <c r="A4425" t="s">
        <v>5322</v>
      </c>
      <c r="B4425" t="s">
        <v>470</v>
      </c>
      <c r="C4425" s="1">
        <v>45351</v>
      </c>
      <c r="D4425" s="1" t="str">
        <f>PROPER(orders[[#This Row],[order_priority]])</f>
        <v>Economy</v>
      </c>
      <c r="E4425" t="s">
        <v>13316</v>
      </c>
      <c r="F4425" t="str">
        <f>IFERROR(INDEX(customers[country], MATCH(orders[[#This Row],[customer_id]], customers[customer_id], 0)), "Unmapped")</f>
        <v>Norway</v>
      </c>
      <c r="G4425" t="str">
        <f>IFERROR(INDEX(Region_Map[Region], MATCH(orders[[#This Row],[Customer_Country]], Region_Map[Country], 0)), "Unknown")</f>
        <v>Nordics</v>
      </c>
      <c r="H4425" t="s">
        <v>6949</v>
      </c>
    </row>
    <row r="4426" spans="1:8">
      <c r="A4426" t="s">
        <v>5323</v>
      </c>
      <c r="B4426" t="s">
        <v>455</v>
      </c>
      <c r="C4426" s="1">
        <v>45280</v>
      </c>
      <c r="D4426" s="1" t="str">
        <f>PROPER(orders[[#This Row],[order_priority]])</f>
        <v>Same Day</v>
      </c>
      <c r="E4426" t="s">
        <v>13322</v>
      </c>
      <c r="F4426" t="str">
        <f>IFERROR(INDEX(customers[country], MATCH(orders[[#This Row],[customer_id]], customers[customer_id], 0)), "Unmapped")</f>
        <v>Poland</v>
      </c>
      <c r="G4426" t="str">
        <f>IFERROR(INDEX(Region_Map[Region], MATCH(orders[[#This Row],[Customer_Country]], Region_Map[Country], 0)), "Unknown")</f>
        <v>Central Europe</v>
      </c>
      <c r="H4426" t="s">
        <v>6949</v>
      </c>
    </row>
    <row r="4427" spans="1:8">
      <c r="A4427" t="s">
        <v>5324</v>
      </c>
      <c r="B4427" t="s">
        <v>741</v>
      </c>
      <c r="C4427" s="1">
        <v>45363</v>
      </c>
      <c r="D4427" s="1" t="str">
        <f>PROPER(orders[[#This Row],[order_priority]])</f>
        <v>Economy</v>
      </c>
      <c r="E4427" t="s">
        <v>13328</v>
      </c>
      <c r="F4427" t="str">
        <f>IFERROR(INDEX(customers[country], MATCH(orders[[#This Row],[customer_id]], customers[customer_id], 0)), "Unmapped")</f>
        <v>Germany</v>
      </c>
      <c r="G4427" t="str">
        <f>IFERROR(INDEX(Region_Map[Region], MATCH(orders[[#This Row],[Customer_Country]], Region_Map[Country], 0)), "Unknown")</f>
        <v>Central Europe</v>
      </c>
      <c r="H4427" t="s">
        <v>6949</v>
      </c>
    </row>
    <row r="4428" spans="1:8">
      <c r="A4428" t="s">
        <v>5325</v>
      </c>
      <c r="B4428" t="s">
        <v>688</v>
      </c>
      <c r="C4428" s="1">
        <v>45361</v>
      </c>
      <c r="D4428" s="1" t="str">
        <f>PROPER(orders[[#This Row],[order_priority]])</f>
        <v>Standard</v>
      </c>
      <c r="E4428" t="s">
        <v>13319</v>
      </c>
      <c r="F4428" t="str">
        <f>IFERROR(INDEX(customers[country], MATCH(orders[[#This Row],[customer_id]], customers[customer_id], 0)), "Unmapped")</f>
        <v>Norway</v>
      </c>
      <c r="G4428" t="str">
        <f>IFERROR(INDEX(Region_Map[Region], MATCH(orders[[#This Row],[Customer_Country]], Region_Map[Country], 0)), "Unknown")</f>
        <v>Nordics</v>
      </c>
      <c r="H4428" t="s">
        <v>6949</v>
      </c>
    </row>
    <row r="4429" spans="1:8">
      <c r="A4429" t="s">
        <v>5326</v>
      </c>
      <c r="B4429" t="s">
        <v>294</v>
      </c>
      <c r="C4429" s="1">
        <v>44965</v>
      </c>
      <c r="D4429" s="1" t="str">
        <f>PROPER(orders[[#This Row],[order_priority]])</f>
        <v>Economy</v>
      </c>
      <c r="E4429" t="s">
        <v>13316</v>
      </c>
      <c r="F4429" t="str">
        <f>IFERROR(INDEX(customers[country], MATCH(orders[[#This Row],[customer_id]], customers[customer_id], 0)), "Unmapped")</f>
        <v>Denmark</v>
      </c>
      <c r="G4429" t="str">
        <f>IFERROR(INDEX(Region_Map[Region], MATCH(orders[[#This Row],[Customer_Country]], Region_Map[Country], 0)), "Unknown")</f>
        <v>Nordics</v>
      </c>
      <c r="H4429" t="s">
        <v>6949</v>
      </c>
    </row>
    <row r="4430" spans="1:8">
      <c r="A4430" t="s">
        <v>5327</v>
      </c>
      <c r="B4430" t="s">
        <v>752</v>
      </c>
      <c r="C4430" s="1">
        <v>45473</v>
      </c>
      <c r="D4430" s="1" t="str">
        <f>PROPER(orders[[#This Row],[order_priority]])</f>
        <v>Same Day</v>
      </c>
      <c r="E4430" t="s">
        <v>13322</v>
      </c>
      <c r="F4430" t="str">
        <f>IFERROR(INDEX(customers[country], MATCH(orders[[#This Row],[customer_id]], customers[customer_id], 0)), "Unmapped")</f>
        <v>Estonia</v>
      </c>
      <c r="G4430" t="str">
        <f>IFERROR(INDEX(Region_Map[Region], MATCH(orders[[#This Row],[Customer_Country]], Region_Map[Country], 0)), "Unknown")</f>
        <v>Baltics</v>
      </c>
      <c r="H4430" t="s">
        <v>6949</v>
      </c>
    </row>
    <row r="4431" spans="1:8">
      <c r="A4431" t="s">
        <v>5328</v>
      </c>
      <c r="B4431" t="s">
        <v>446</v>
      </c>
      <c r="C4431" s="1">
        <v>44995</v>
      </c>
      <c r="D4431" s="1" t="str">
        <f>PROPER(orders[[#This Row],[order_priority]])</f>
        <v>Standard</v>
      </c>
      <c r="E4431" t="s">
        <v>13317</v>
      </c>
      <c r="F4431" t="str">
        <f>IFERROR(INDEX(customers[country], MATCH(orders[[#This Row],[customer_id]], customers[customer_id], 0)), "Unmapped")</f>
        <v>Sweden</v>
      </c>
      <c r="G4431" t="str">
        <f>IFERROR(INDEX(Region_Map[Region], MATCH(orders[[#This Row],[Customer_Country]], Region_Map[Country], 0)), "Unknown")</f>
        <v>Nordics</v>
      </c>
      <c r="H4431" t="s">
        <v>6949</v>
      </c>
    </row>
    <row r="4432" spans="1:8">
      <c r="A4432" t="s">
        <v>5329</v>
      </c>
      <c r="B4432" t="s">
        <v>676</v>
      </c>
      <c r="C4432" s="1">
        <v>45474</v>
      </c>
      <c r="D4432" s="1" t="str">
        <f>PROPER(orders[[#This Row],[order_priority]])</f>
        <v>Economy</v>
      </c>
      <c r="E4432" t="s">
        <v>13316</v>
      </c>
      <c r="F4432" t="str">
        <f>IFERROR(INDEX(customers[country], MATCH(orders[[#This Row],[customer_id]], customers[customer_id], 0)), "Unmapped")</f>
        <v>Latvia</v>
      </c>
      <c r="G4432" t="str">
        <f>IFERROR(INDEX(Region_Map[Region], MATCH(orders[[#This Row],[Customer_Country]], Region_Map[Country], 0)), "Unknown")</f>
        <v>Baltics</v>
      </c>
      <c r="H4432" t="s">
        <v>6949</v>
      </c>
    </row>
    <row r="4433" spans="1:8">
      <c r="A4433" t="s">
        <v>5330</v>
      </c>
      <c r="B4433" t="s">
        <v>596</v>
      </c>
      <c r="C4433" s="1">
        <v>45172</v>
      </c>
      <c r="D4433" s="1" t="str">
        <f>PROPER(orders[[#This Row],[order_priority]])</f>
        <v>Standard</v>
      </c>
      <c r="E4433" t="s">
        <v>13317</v>
      </c>
      <c r="F4433" t="str">
        <f>IFERROR(INDEX(customers[country], MATCH(orders[[#This Row],[customer_id]], customers[customer_id], 0)), "Unmapped")</f>
        <v>Lithuania</v>
      </c>
      <c r="G4433" t="str">
        <f>IFERROR(INDEX(Region_Map[Region], MATCH(orders[[#This Row],[Customer_Country]], Region_Map[Country], 0)), "Unknown")</f>
        <v>Baltics</v>
      </c>
      <c r="H4433" t="s">
        <v>6949</v>
      </c>
    </row>
    <row r="4434" spans="1:8">
      <c r="A4434" t="s">
        <v>5331</v>
      </c>
      <c r="B4434" t="s">
        <v>294</v>
      </c>
      <c r="C4434" s="1">
        <v>45270</v>
      </c>
      <c r="D4434" s="1" t="str">
        <f>PROPER(orders[[#This Row],[order_priority]])</f>
        <v>Economy</v>
      </c>
      <c r="E4434" t="s">
        <v>13316</v>
      </c>
      <c r="F4434" t="str">
        <f>IFERROR(INDEX(customers[country], MATCH(orders[[#This Row],[customer_id]], customers[customer_id], 0)), "Unmapped")</f>
        <v>Denmark</v>
      </c>
      <c r="G4434" t="str">
        <f>IFERROR(INDEX(Region_Map[Region], MATCH(orders[[#This Row],[Customer_Country]], Region_Map[Country], 0)), "Unknown")</f>
        <v>Nordics</v>
      </c>
      <c r="H4434" t="s">
        <v>6949</v>
      </c>
    </row>
    <row r="4435" spans="1:8">
      <c r="A4435" t="s">
        <v>5332</v>
      </c>
      <c r="B4435" t="s">
        <v>422</v>
      </c>
      <c r="C4435" s="1">
        <v>45267</v>
      </c>
      <c r="D4435" s="1" t="str">
        <f>PROPER(orders[[#This Row],[order_priority]])</f>
        <v>Express</v>
      </c>
      <c r="E4435" t="s">
        <v>13318</v>
      </c>
      <c r="F4435" t="str">
        <f>IFERROR(INDEX(customers[country], MATCH(orders[[#This Row],[customer_id]], customers[customer_id], 0)), "Unmapped")</f>
        <v>Germany</v>
      </c>
      <c r="G4435" t="str">
        <f>IFERROR(INDEX(Region_Map[Region], MATCH(orders[[#This Row],[Customer_Country]], Region_Map[Country], 0)), "Unknown")</f>
        <v>Central Europe</v>
      </c>
      <c r="H4435" t="s">
        <v>6949</v>
      </c>
    </row>
    <row r="4436" spans="1:8">
      <c r="A4436" t="s">
        <v>5333</v>
      </c>
      <c r="B4436" t="s">
        <v>151</v>
      </c>
      <c r="C4436" s="1">
        <v>45183</v>
      </c>
      <c r="D4436" s="1" t="str">
        <f>PROPER(orders[[#This Row],[order_priority]])</f>
        <v>Standard</v>
      </c>
      <c r="E4436" t="s">
        <v>13317</v>
      </c>
      <c r="F4436" t="str">
        <f>IFERROR(INDEX(customers[country], MATCH(orders[[#This Row],[customer_id]], customers[customer_id], 0)), "Unmapped")</f>
        <v>Sweden</v>
      </c>
      <c r="G4436" t="str">
        <f>IFERROR(INDEX(Region_Map[Region], MATCH(orders[[#This Row],[Customer_Country]], Region_Map[Country], 0)), "Unknown")</f>
        <v>Nordics</v>
      </c>
      <c r="H4436" t="s">
        <v>6949</v>
      </c>
    </row>
    <row r="4437" spans="1:8">
      <c r="A4437" t="s">
        <v>5334</v>
      </c>
      <c r="B4437" t="s">
        <v>906</v>
      </c>
      <c r="C4437" s="1">
        <v>45480</v>
      </c>
      <c r="D4437" s="1" t="str">
        <f>PROPER(orders[[#This Row],[order_priority]])</f>
        <v>Express</v>
      </c>
      <c r="E4437" t="s">
        <v>13318</v>
      </c>
      <c r="F4437" t="str">
        <f>IFERROR(INDEX(customers[country], MATCH(orders[[#This Row],[customer_id]], customers[customer_id], 0)), "Unmapped")</f>
        <v>Sweden</v>
      </c>
      <c r="G4437" t="str">
        <f>IFERROR(INDEX(Region_Map[Region], MATCH(orders[[#This Row],[Customer_Country]], Region_Map[Country], 0)), "Unknown")</f>
        <v>Nordics</v>
      </c>
      <c r="H4437" t="s">
        <v>6949</v>
      </c>
    </row>
    <row r="4438" spans="1:8">
      <c r="A4438" t="s">
        <v>5335</v>
      </c>
      <c r="B4438" t="s">
        <v>228</v>
      </c>
      <c r="C4438" s="1">
        <v>45472</v>
      </c>
      <c r="D4438" s="1" t="str">
        <f>PROPER(orders[[#This Row],[order_priority]])</f>
        <v>Economy</v>
      </c>
      <c r="E4438" t="s">
        <v>13328</v>
      </c>
      <c r="F4438" t="str">
        <f>IFERROR(INDEX(customers[country], MATCH(orders[[#This Row],[customer_id]], customers[customer_id], 0)), "Unmapped")</f>
        <v>Latvia</v>
      </c>
      <c r="G4438" t="str">
        <f>IFERROR(INDEX(Region_Map[Region], MATCH(orders[[#This Row],[Customer_Country]], Region_Map[Country], 0)), "Unknown")</f>
        <v>Baltics</v>
      </c>
      <c r="H4438" t="s">
        <v>6949</v>
      </c>
    </row>
    <row r="4439" spans="1:8">
      <c r="A4439" t="s">
        <v>5336</v>
      </c>
      <c r="B4439" t="s">
        <v>124</v>
      </c>
      <c r="C4439" s="1">
        <v>45612</v>
      </c>
      <c r="D4439" s="1" t="str">
        <f>PROPER(orders[[#This Row],[order_priority]])</f>
        <v>Economy</v>
      </c>
      <c r="E4439" t="s">
        <v>13316</v>
      </c>
      <c r="F4439" t="str">
        <f>IFERROR(INDEX(customers[country], MATCH(orders[[#This Row],[customer_id]], customers[customer_id], 0)), "Unmapped")</f>
        <v>Lithuania</v>
      </c>
      <c r="G4439" t="str">
        <f>IFERROR(INDEX(Region_Map[Region], MATCH(orders[[#This Row],[Customer_Country]], Region_Map[Country], 0)), "Unknown")</f>
        <v>Baltics</v>
      </c>
      <c r="H4439" t="s">
        <v>6949</v>
      </c>
    </row>
    <row r="4440" spans="1:8">
      <c r="A4440" t="s">
        <v>5337</v>
      </c>
      <c r="B4440" t="s">
        <v>629</v>
      </c>
      <c r="C4440" s="1">
        <v>45016</v>
      </c>
      <c r="D4440" s="1" t="str">
        <f>PROPER(orders[[#This Row],[order_priority]])</f>
        <v>Express</v>
      </c>
      <c r="E4440" t="s">
        <v>13318</v>
      </c>
      <c r="F4440" t="str">
        <f>IFERROR(INDEX(customers[country], MATCH(orders[[#This Row],[customer_id]], customers[customer_id], 0)), "Unmapped")</f>
        <v>Lithuania</v>
      </c>
      <c r="G4440" t="str">
        <f>IFERROR(INDEX(Region_Map[Region], MATCH(orders[[#This Row],[Customer_Country]], Region_Map[Country], 0)), "Unknown")</f>
        <v>Baltics</v>
      </c>
      <c r="H4440" t="s">
        <v>6949</v>
      </c>
    </row>
    <row r="4441" spans="1:8">
      <c r="A4441" t="s">
        <v>5338</v>
      </c>
      <c r="B4441" t="s">
        <v>15</v>
      </c>
      <c r="C4441" s="1">
        <v>45447</v>
      </c>
      <c r="D4441" s="1" t="str">
        <f>PROPER(orders[[#This Row],[order_priority]])</f>
        <v>Standard</v>
      </c>
      <c r="E4441" t="s">
        <v>13317</v>
      </c>
      <c r="F4441" t="str">
        <f>IFERROR(INDEX(customers[country], MATCH(orders[[#This Row],[customer_id]], customers[customer_id], 0)), "Unmapped")</f>
        <v>Estonia</v>
      </c>
      <c r="G4441" t="str">
        <f>IFERROR(INDEX(Region_Map[Region], MATCH(orders[[#This Row],[Customer_Country]], Region_Map[Country], 0)), "Unknown")</f>
        <v>Baltics</v>
      </c>
      <c r="H4441" t="s">
        <v>6949</v>
      </c>
    </row>
    <row r="4442" spans="1:8">
      <c r="A4442" t="s">
        <v>5339</v>
      </c>
      <c r="B4442" t="s">
        <v>309</v>
      </c>
      <c r="C4442" s="1">
        <v>45506</v>
      </c>
      <c r="D4442" s="1" t="str">
        <f>PROPER(orders[[#This Row],[order_priority]])</f>
        <v>Same Day</v>
      </c>
      <c r="E4442" t="s">
        <v>13322</v>
      </c>
      <c r="F4442" t="str">
        <f>IFERROR(INDEX(customers[country], MATCH(orders[[#This Row],[customer_id]], customers[customer_id], 0)), "Unmapped")</f>
        <v>Lithuania</v>
      </c>
      <c r="G4442" t="str">
        <f>IFERROR(INDEX(Region_Map[Region], MATCH(orders[[#This Row],[Customer_Country]], Region_Map[Country], 0)), "Unknown")</f>
        <v>Baltics</v>
      </c>
      <c r="H4442" t="s">
        <v>6949</v>
      </c>
    </row>
    <row r="4443" spans="1:8">
      <c r="A4443" t="s">
        <v>5340</v>
      </c>
      <c r="B4443" t="s">
        <v>93</v>
      </c>
      <c r="C4443" s="1">
        <v>45089</v>
      </c>
      <c r="D4443" s="1" t="str">
        <f>PROPER(orders[[#This Row],[order_priority]])</f>
        <v>Economy</v>
      </c>
      <c r="E4443" t="s">
        <v>13328</v>
      </c>
      <c r="F4443" t="str">
        <f>IFERROR(INDEX(customers[country], MATCH(orders[[#This Row],[customer_id]], customers[customer_id], 0)), "Unmapped")</f>
        <v>Norway</v>
      </c>
      <c r="G4443" t="str">
        <f>IFERROR(INDEX(Region_Map[Region], MATCH(orders[[#This Row],[Customer_Country]], Region_Map[Country], 0)), "Unknown")</f>
        <v>Nordics</v>
      </c>
      <c r="H4443" t="s">
        <v>6949</v>
      </c>
    </row>
    <row r="4444" spans="1:8">
      <c r="A4444" t="s">
        <v>5341</v>
      </c>
      <c r="B4444" t="s">
        <v>264</v>
      </c>
      <c r="C4444" s="1">
        <v>45460</v>
      </c>
      <c r="D4444" s="1" t="str">
        <f>PROPER(orders[[#This Row],[order_priority]])</f>
        <v>Express</v>
      </c>
      <c r="E4444" t="s">
        <v>13318</v>
      </c>
      <c r="F4444" t="str">
        <f>IFERROR(INDEX(customers[country], MATCH(orders[[#This Row],[customer_id]], customers[customer_id], 0)), "Unmapped")</f>
        <v>Germany</v>
      </c>
      <c r="G4444" t="str">
        <f>IFERROR(INDEX(Region_Map[Region], MATCH(orders[[#This Row],[Customer_Country]], Region_Map[Country], 0)), "Unknown")</f>
        <v>Central Europe</v>
      </c>
      <c r="H4444" t="s">
        <v>6949</v>
      </c>
    </row>
    <row r="4445" spans="1:8">
      <c r="A4445" t="s">
        <v>5342</v>
      </c>
      <c r="B4445" t="s">
        <v>386</v>
      </c>
      <c r="C4445" s="1">
        <v>45463</v>
      </c>
      <c r="D4445" s="1" t="str">
        <f>PROPER(orders[[#This Row],[order_priority]])</f>
        <v>Express</v>
      </c>
      <c r="E4445" t="s">
        <v>13318</v>
      </c>
      <c r="F4445" t="str">
        <f>IFERROR(INDEX(customers[country], MATCH(orders[[#This Row],[customer_id]], customers[customer_id], 0)), "Unmapped")</f>
        <v>Germany</v>
      </c>
      <c r="G4445" t="str">
        <f>IFERROR(INDEX(Region_Map[Region], MATCH(orders[[#This Row],[Customer_Country]], Region_Map[Country], 0)), "Unknown")</f>
        <v>Central Europe</v>
      </c>
      <c r="H4445" t="s">
        <v>6949</v>
      </c>
    </row>
    <row r="4446" spans="1:8">
      <c r="A4446" t="s">
        <v>5343</v>
      </c>
      <c r="B4446" t="s">
        <v>491</v>
      </c>
      <c r="C4446" s="1">
        <v>45020</v>
      </c>
      <c r="D4446" s="1" t="str">
        <f>PROPER(orders[[#This Row],[order_priority]])</f>
        <v>Same Day</v>
      </c>
      <c r="E4446" t="s">
        <v>13322</v>
      </c>
      <c r="F4446" t="str">
        <f>IFERROR(INDEX(customers[country], MATCH(orders[[#This Row],[customer_id]], customers[customer_id], 0)), "Unmapped")</f>
        <v>Latvia</v>
      </c>
      <c r="G4446" t="str">
        <f>IFERROR(INDEX(Region_Map[Region], MATCH(orders[[#This Row],[Customer_Country]], Region_Map[Country], 0)), "Unknown")</f>
        <v>Baltics</v>
      </c>
      <c r="H4446" t="s">
        <v>6949</v>
      </c>
    </row>
    <row r="4447" spans="1:8">
      <c r="A4447" t="s">
        <v>5344</v>
      </c>
      <c r="B4447" t="s">
        <v>755</v>
      </c>
      <c r="C4447" s="1">
        <v>45428</v>
      </c>
      <c r="D4447" s="1" t="str">
        <f>PROPER(orders[[#This Row],[order_priority]])</f>
        <v>Express</v>
      </c>
      <c r="E4447" t="s">
        <v>13318</v>
      </c>
      <c r="F4447" t="str">
        <f>IFERROR(INDEX(customers[country], MATCH(orders[[#This Row],[customer_id]], customers[customer_id], 0)), "Unmapped")</f>
        <v>Denmark</v>
      </c>
      <c r="G4447" t="str">
        <f>IFERROR(INDEX(Region_Map[Region], MATCH(orders[[#This Row],[Customer_Country]], Region_Map[Country], 0)), "Unknown")</f>
        <v>Nordics</v>
      </c>
      <c r="H4447" t="s">
        <v>6949</v>
      </c>
    </row>
    <row r="4448" spans="1:8">
      <c r="A4448" t="s">
        <v>5345</v>
      </c>
      <c r="B4448" t="s">
        <v>73</v>
      </c>
      <c r="C4448" s="1">
        <v>45530</v>
      </c>
      <c r="D4448" s="1" t="str">
        <f>PROPER(orders[[#This Row],[order_priority]])</f>
        <v>Same Day</v>
      </c>
      <c r="E4448" t="s">
        <v>13322</v>
      </c>
      <c r="F4448" t="str">
        <f>IFERROR(INDEX(customers[country], MATCH(orders[[#This Row],[customer_id]], customers[customer_id], 0)), "Unmapped")</f>
        <v>Norway</v>
      </c>
      <c r="G4448" t="str">
        <f>IFERROR(INDEX(Region_Map[Region], MATCH(orders[[#This Row],[Customer_Country]], Region_Map[Country], 0)), "Unknown")</f>
        <v>Nordics</v>
      </c>
      <c r="H4448" t="s">
        <v>6949</v>
      </c>
    </row>
    <row r="4449" spans="1:8">
      <c r="A4449" t="s">
        <v>5346</v>
      </c>
      <c r="B4449" t="s">
        <v>273</v>
      </c>
      <c r="C4449" s="1">
        <v>45156</v>
      </c>
      <c r="D4449" s="1" t="str">
        <f>PROPER(orders[[#This Row],[order_priority]])</f>
        <v>Same Day</v>
      </c>
      <c r="E4449" t="s">
        <v>13322</v>
      </c>
      <c r="F4449" t="str">
        <f>IFERROR(INDEX(customers[country], MATCH(orders[[#This Row],[customer_id]], customers[customer_id], 0)), "Unmapped")</f>
        <v>Norway</v>
      </c>
      <c r="G4449" t="str">
        <f>IFERROR(INDEX(Region_Map[Region], MATCH(orders[[#This Row],[Customer_Country]], Region_Map[Country], 0)), "Unknown")</f>
        <v>Nordics</v>
      </c>
      <c r="H4449" t="s">
        <v>6949</v>
      </c>
    </row>
    <row r="4450" spans="1:8">
      <c r="A4450" t="s">
        <v>5347</v>
      </c>
      <c r="B4450" t="s">
        <v>13342</v>
      </c>
      <c r="C4450" s="1">
        <v>45201</v>
      </c>
      <c r="D4450" s="1" t="str">
        <f>PROPER(orders[[#This Row],[order_priority]])</f>
        <v>Same Day</v>
      </c>
      <c r="E4450" t="s">
        <v>13322</v>
      </c>
      <c r="F4450" t="str">
        <f>IFERROR(INDEX(customers[country], MATCH(orders[[#This Row],[customer_id]], customers[customer_id], 0)), "Unmapped")</f>
        <v>Unmapped</v>
      </c>
      <c r="G4450" t="str">
        <f>IFERROR(INDEX(Region_Map[Region], MATCH(orders[[#This Row],[Customer_Country]], Region_Map[Country], 0)), "Unknown")</f>
        <v>Unknown</v>
      </c>
      <c r="H4450" t="s">
        <v>6949</v>
      </c>
    </row>
    <row r="4451" spans="1:8">
      <c r="A4451" t="s">
        <v>5348</v>
      </c>
      <c r="B4451" t="s">
        <v>285</v>
      </c>
      <c r="C4451" s="1">
        <v>45019</v>
      </c>
      <c r="D4451" s="1" t="str">
        <f>PROPER(orders[[#This Row],[order_priority]])</f>
        <v>Express</v>
      </c>
      <c r="E4451" t="s">
        <v>13318</v>
      </c>
      <c r="F4451" t="str">
        <f>IFERROR(INDEX(customers[country], MATCH(orders[[#This Row],[customer_id]], customers[customer_id], 0)), "Unmapped")</f>
        <v>Norway</v>
      </c>
      <c r="G4451" t="str">
        <f>IFERROR(INDEX(Region_Map[Region], MATCH(orders[[#This Row],[Customer_Country]], Region_Map[Country], 0)), "Unknown")</f>
        <v>Nordics</v>
      </c>
      <c r="H4451" t="s">
        <v>6949</v>
      </c>
    </row>
    <row r="4452" spans="1:8">
      <c r="A4452" t="s">
        <v>5349</v>
      </c>
      <c r="B4452" t="s">
        <v>231</v>
      </c>
      <c r="C4452" s="1">
        <v>45539</v>
      </c>
      <c r="D4452" s="1" t="str">
        <f>PROPER(orders[[#This Row],[order_priority]])</f>
        <v>Economy</v>
      </c>
      <c r="E4452" t="s">
        <v>13316</v>
      </c>
      <c r="F4452" t="str">
        <f>IFERROR(INDEX(customers[country], MATCH(orders[[#This Row],[customer_id]], customers[customer_id], 0)), "Unmapped")</f>
        <v>Lithuania</v>
      </c>
      <c r="G4452" t="str">
        <f>IFERROR(INDEX(Region_Map[Region], MATCH(orders[[#This Row],[Customer_Country]], Region_Map[Country], 0)), "Unknown")</f>
        <v>Baltics</v>
      </c>
      <c r="H4452" t="s">
        <v>6949</v>
      </c>
    </row>
    <row r="4453" spans="1:8">
      <c r="A4453" t="s">
        <v>5350</v>
      </c>
      <c r="B4453" t="s">
        <v>55</v>
      </c>
      <c r="C4453" s="1">
        <v>45431</v>
      </c>
      <c r="D4453" s="1" t="str">
        <f>PROPER(orders[[#This Row],[order_priority]])</f>
        <v>Express</v>
      </c>
      <c r="E4453" t="s">
        <v>13320</v>
      </c>
      <c r="F4453" t="str">
        <f>IFERROR(INDEX(customers[country], MATCH(orders[[#This Row],[customer_id]], customers[customer_id], 0)), "Unmapped")</f>
        <v>Netherlands</v>
      </c>
      <c r="G4453" t="str">
        <f>IFERROR(INDEX(Region_Map[Region], MATCH(orders[[#This Row],[Customer_Country]], Region_Map[Country], 0)), "Unknown")</f>
        <v>Central Europe</v>
      </c>
      <c r="H4453" t="s">
        <v>6949</v>
      </c>
    </row>
    <row r="4454" spans="1:8">
      <c r="A4454" t="s">
        <v>5351</v>
      </c>
      <c r="B4454" t="s">
        <v>338</v>
      </c>
      <c r="C4454" s="1">
        <v>45517</v>
      </c>
      <c r="D4454" s="1" t="str">
        <f>PROPER(orders[[#This Row],[order_priority]])</f>
        <v>Standard</v>
      </c>
      <c r="E4454" t="s">
        <v>13317</v>
      </c>
      <c r="F4454" t="str">
        <f>IFERROR(INDEX(customers[country], MATCH(orders[[#This Row],[customer_id]], customers[customer_id], 0)), "Unmapped")</f>
        <v>Denmark</v>
      </c>
      <c r="G4454" t="str">
        <f>IFERROR(INDEX(Region_Map[Region], MATCH(orders[[#This Row],[Customer_Country]], Region_Map[Country], 0)), "Unknown")</f>
        <v>Nordics</v>
      </c>
      <c r="H4454" t="s">
        <v>6949</v>
      </c>
    </row>
    <row r="4455" spans="1:8">
      <c r="A4455" t="s">
        <v>5352</v>
      </c>
      <c r="B4455" t="s">
        <v>718</v>
      </c>
      <c r="C4455" s="1">
        <v>45396</v>
      </c>
      <c r="D4455" s="1" t="str">
        <f>PROPER(orders[[#This Row],[order_priority]])</f>
        <v>Standard</v>
      </c>
      <c r="E4455" t="s">
        <v>13317</v>
      </c>
      <c r="F4455" t="str">
        <f>IFERROR(INDEX(customers[country], MATCH(orders[[#This Row],[customer_id]], customers[customer_id], 0)), "Unmapped")</f>
        <v>Netherlands</v>
      </c>
      <c r="G4455" t="str">
        <f>IFERROR(INDEX(Region_Map[Region], MATCH(orders[[#This Row],[Customer_Country]], Region_Map[Country], 0)), "Unknown")</f>
        <v>Central Europe</v>
      </c>
      <c r="H4455" t="s">
        <v>6949</v>
      </c>
    </row>
    <row r="4456" spans="1:8">
      <c r="A4456" t="s">
        <v>5353</v>
      </c>
      <c r="B4456" t="s">
        <v>422</v>
      </c>
      <c r="C4456" s="1">
        <v>44946</v>
      </c>
      <c r="D4456" s="1" t="str">
        <f>PROPER(orders[[#This Row],[order_priority]])</f>
        <v>Same Day</v>
      </c>
      <c r="E4456" t="s">
        <v>13322</v>
      </c>
      <c r="F4456" t="str">
        <f>IFERROR(INDEX(customers[country], MATCH(orders[[#This Row],[customer_id]], customers[customer_id], 0)), "Unmapped")</f>
        <v>Germany</v>
      </c>
      <c r="G4456" t="str">
        <f>IFERROR(INDEX(Region_Map[Region], MATCH(orders[[#This Row],[Customer_Country]], Region_Map[Country], 0)), "Unknown")</f>
        <v>Central Europe</v>
      </c>
      <c r="H4456" t="s">
        <v>6949</v>
      </c>
    </row>
    <row r="4457" spans="1:8">
      <c r="A4457" t="s">
        <v>5354</v>
      </c>
      <c r="B4457" t="s">
        <v>584</v>
      </c>
      <c r="C4457" s="1">
        <v>45194</v>
      </c>
      <c r="D4457" s="1" t="str">
        <f>PROPER(orders[[#This Row],[order_priority]])</f>
        <v>Express</v>
      </c>
      <c r="E4457" t="s">
        <v>13318</v>
      </c>
      <c r="F4457" t="str">
        <f>IFERROR(INDEX(customers[country], MATCH(orders[[#This Row],[customer_id]], customers[customer_id], 0)), "Unmapped")</f>
        <v>Netherlands</v>
      </c>
      <c r="G4457" t="str">
        <f>IFERROR(INDEX(Region_Map[Region], MATCH(orders[[#This Row],[Customer_Country]], Region_Map[Country], 0)), "Unknown")</f>
        <v>Central Europe</v>
      </c>
      <c r="H4457" t="s">
        <v>6949</v>
      </c>
    </row>
    <row r="4458" spans="1:8">
      <c r="A4458" t="s">
        <v>5355</v>
      </c>
      <c r="B4458" t="s">
        <v>852</v>
      </c>
      <c r="C4458" s="1">
        <v>45017</v>
      </c>
      <c r="D4458" s="1" t="str">
        <f>PROPER(orders[[#This Row],[order_priority]])</f>
        <v>Express</v>
      </c>
      <c r="E4458" t="s">
        <v>13318</v>
      </c>
      <c r="F4458" t="str">
        <f>IFERROR(INDEX(customers[country], MATCH(orders[[#This Row],[customer_id]], customers[customer_id], 0)), "Unmapped")</f>
        <v>Sweden</v>
      </c>
      <c r="G4458" t="str">
        <f>IFERROR(INDEX(Region_Map[Region], MATCH(orders[[#This Row],[Customer_Country]], Region_Map[Country], 0)), "Unknown")</f>
        <v>Nordics</v>
      </c>
      <c r="H4458" t="s">
        <v>6949</v>
      </c>
    </row>
    <row r="4459" spans="1:8">
      <c r="A4459" t="s">
        <v>5356</v>
      </c>
      <c r="B4459" t="s">
        <v>464</v>
      </c>
      <c r="C4459" s="1">
        <v>45067</v>
      </c>
      <c r="D4459" s="1" t="str">
        <f>PROPER(orders[[#This Row],[order_priority]])</f>
        <v>Standard</v>
      </c>
      <c r="E4459" t="s">
        <v>13317</v>
      </c>
      <c r="F4459" t="str">
        <f>IFERROR(INDEX(customers[country], MATCH(orders[[#This Row],[customer_id]], customers[customer_id], 0)), "Unmapped")</f>
        <v>Finland</v>
      </c>
      <c r="G4459" t="str">
        <f>IFERROR(INDEX(Region_Map[Region], MATCH(orders[[#This Row],[Customer_Country]], Region_Map[Country], 0)), "Unknown")</f>
        <v>Nordics</v>
      </c>
      <c r="H4459" t="s">
        <v>6949</v>
      </c>
    </row>
    <row r="4460" spans="1:8">
      <c r="A4460" t="s">
        <v>5357</v>
      </c>
      <c r="B4460" t="s">
        <v>670</v>
      </c>
      <c r="C4460" s="1">
        <v>45614</v>
      </c>
      <c r="D4460" s="1" t="str">
        <f>PROPER(orders[[#This Row],[order_priority]])</f>
        <v>Express</v>
      </c>
      <c r="E4460" t="s">
        <v>13318</v>
      </c>
      <c r="F4460" t="str">
        <f>IFERROR(INDEX(customers[country], MATCH(orders[[#This Row],[customer_id]], customers[customer_id], 0)), "Unmapped")</f>
        <v>Netherlands</v>
      </c>
      <c r="G4460" t="str">
        <f>IFERROR(INDEX(Region_Map[Region], MATCH(orders[[#This Row],[Customer_Country]], Region_Map[Country], 0)), "Unknown")</f>
        <v>Central Europe</v>
      </c>
      <c r="H4460" t="s">
        <v>6949</v>
      </c>
    </row>
    <row r="4461" spans="1:8">
      <c r="A4461" t="s">
        <v>5358</v>
      </c>
      <c r="B4461" t="s">
        <v>386</v>
      </c>
      <c r="C4461" s="1">
        <v>45055</v>
      </c>
      <c r="D4461" s="1" t="str">
        <f>PROPER(orders[[#This Row],[order_priority]])</f>
        <v>Express</v>
      </c>
      <c r="E4461" t="s">
        <v>13326</v>
      </c>
      <c r="F4461" t="str">
        <f>IFERROR(INDEX(customers[country], MATCH(orders[[#This Row],[customer_id]], customers[customer_id], 0)), "Unmapped")</f>
        <v>Germany</v>
      </c>
      <c r="G4461" t="str">
        <f>IFERROR(INDEX(Region_Map[Region], MATCH(orders[[#This Row],[Customer_Country]], Region_Map[Country], 0)), "Unknown")</f>
        <v>Central Europe</v>
      </c>
      <c r="H4461" t="s">
        <v>6949</v>
      </c>
    </row>
    <row r="4462" spans="1:8">
      <c r="A4462" t="s">
        <v>5359</v>
      </c>
      <c r="B4462" t="s">
        <v>664</v>
      </c>
      <c r="C4462" s="1">
        <v>45235</v>
      </c>
      <c r="D4462" s="1" t="str">
        <f>PROPER(orders[[#This Row],[order_priority]])</f>
        <v>Standard</v>
      </c>
      <c r="E4462" t="s">
        <v>13317</v>
      </c>
      <c r="F4462" t="str">
        <f>IFERROR(INDEX(customers[country], MATCH(orders[[#This Row],[customer_id]], customers[customer_id], 0)), "Unmapped")</f>
        <v>Latvia</v>
      </c>
      <c r="G4462" t="str">
        <f>IFERROR(INDEX(Region_Map[Region], MATCH(orders[[#This Row],[Customer_Country]], Region_Map[Country], 0)), "Unknown")</f>
        <v>Baltics</v>
      </c>
      <c r="H4462" t="s">
        <v>6949</v>
      </c>
    </row>
    <row r="4463" spans="1:8">
      <c r="A4463" t="s">
        <v>5360</v>
      </c>
      <c r="B4463" t="s">
        <v>584</v>
      </c>
      <c r="C4463" s="1">
        <v>45461</v>
      </c>
      <c r="D4463" s="1" t="str">
        <f>PROPER(orders[[#This Row],[order_priority]])</f>
        <v>Standard</v>
      </c>
      <c r="E4463" t="s">
        <v>13317</v>
      </c>
      <c r="F4463" t="str">
        <f>IFERROR(INDEX(customers[country], MATCH(orders[[#This Row],[customer_id]], customers[customer_id], 0)), "Unmapped")</f>
        <v>Netherlands</v>
      </c>
      <c r="G4463" t="str">
        <f>IFERROR(INDEX(Region_Map[Region], MATCH(orders[[#This Row],[Customer_Country]], Region_Map[Country], 0)), "Unknown")</f>
        <v>Central Europe</v>
      </c>
      <c r="H4463" t="s">
        <v>6949</v>
      </c>
    </row>
    <row r="4464" spans="1:8">
      <c r="A4464" t="s">
        <v>5361</v>
      </c>
      <c r="B4464" t="s">
        <v>655</v>
      </c>
      <c r="C4464" s="1">
        <v>45617</v>
      </c>
      <c r="D4464" s="1" t="str">
        <f>PROPER(orders[[#This Row],[order_priority]])</f>
        <v>Express</v>
      </c>
      <c r="E4464" t="s">
        <v>13318</v>
      </c>
      <c r="F4464" t="str">
        <f>IFERROR(INDEX(customers[country], MATCH(orders[[#This Row],[customer_id]], customers[customer_id], 0)), "Unmapped")</f>
        <v>Sweden</v>
      </c>
      <c r="G4464" t="str">
        <f>IFERROR(INDEX(Region_Map[Region], MATCH(orders[[#This Row],[Customer_Country]], Region_Map[Country], 0)), "Unknown")</f>
        <v>Nordics</v>
      </c>
      <c r="H4464" t="s">
        <v>6949</v>
      </c>
    </row>
    <row r="4465" spans="1:8">
      <c r="A4465" t="s">
        <v>5362</v>
      </c>
      <c r="B4465" t="s">
        <v>816</v>
      </c>
      <c r="C4465" s="1">
        <v>45202</v>
      </c>
      <c r="D4465" s="1" t="str">
        <f>PROPER(orders[[#This Row],[order_priority]])</f>
        <v>Economy</v>
      </c>
      <c r="E4465" t="s">
        <v>13316</v>
      </c>
      <c r="F4465" t="str">
        <f>IFERROR(INDEX(customers[country], MATCH(orders[[#This Row],[customer_id]], customers[customer_id], 0)), "Unmapped")</f>
        <v>Lithuania</v>
      </c>
      <c r="G4465" t="str">
        <f>IFERROR(INDEX(Region_Map[Region], MATCH(orders[[#This Row],[Customer_Country]], Region_Map[Country], 0)), "Unknown")</f>
        <v>Baltics</v>
      </c>
      <c r="H4465" t="s">
        <v>6949</v>
      </c>
    </row>
    <row r="4466" spans="1:8">
      <c r="A4466" t="s">
        <v>5363</v>
      </c>
      <c r="B4466" t="s">
        <v>808</v>
      </c>
      <c r="C4466" s="1">
        <v>45410</v>
      </c>
      <c r="D4466" s="1" t="str">
        <f>PROPER(orders[[#This Row],[order_priority]])</f>
        <v>Express</v>
      </c>
      <c r="E4466" t="s">
        <v>13318</v>
      </c>
      <c r="F4466" t="str">
        <f>IFERROR(INDEX(customers[country], MATCH(orders[[#This Row],[customer_id]], customers[customer_id], 0)), "Unmapped")</f>
        <v>Sweden</v>
      </c>
      <c r="G4466" t="str">
        <f>IFERROR(INDEX(Region_Map[Region], MATCH(orders[[#This Row],[Customer_Country]], Region_Map[Country], 0)), "Unknown")</f>
        <v>Nordics</v>
      </c>
      <c r="H4466" t="s">
        <v>6949</v>
      </c>
    </row>
    <row r="4467" spans="1:8">
      <c r="A4467" t="s">
        <v>5364</v>
      </c>
      <c r="B4467" t="s">
        <v>175</v>
      </c>
      <c r="C4467" s="1">
        <v>45259</v>
      </c>
      <c r="D4467" s="1" t="str">
        <f>PROPER(orders[[#This Row],[order_priority]])</f>
        <v>Express</v>
      </c>
      <c r="E4467" t="s">
        <v>13318</v>
      </c>
      <c r="F4467" t="str">
        <f>IFERROR(INDEX(customers[country], MATCH(orders[[#This Row],[customer_id]], customers[customer_id], 0)), "Unmapped")</f>
        <v>Sweden</v>
      </c>
      <c r="G4467" t="str">
        <f>IFERROR(INDEX(Region_Map[Region], MATCH(orders[[#This Row],[Customer_Country]], Region_Map[Country], 0)), "Unknown")</f>
        <v>Nordics</v>
      </c>
      <c r="H4467" t="s">
        <v>6949</v>
      </c>
    </row>
    <row r="4468" spans="1:8">
      <c r="A4468" t="s">
        <v>5365</v>
      </c>
      <c r="B4468" t="s">
        <v>428</v>
      </c>
      <c r="C4468" s="1">
        <v>45506</v>
      </c>
      <c r="D4468" s="1" t="str">
        <f>PROPER(orders[[#This Row],[order_priority]])</f>
        <v>Economy</v>
      </c>
      <c r="E4468" t="s">
        <v>13316</v>
      </c>
      <c r="F4468" t="str">
        <f>IFERROR(INDEX(customers[country], MATCH(orders[[#This Row],[customer_id]], customers[customer_id], 0)), "Unmapped")</f>
        <v>Finland</v>
      </c>
      <c r="G4468" t="str">
        <f>IFERROR(INDEX(Region_Map[Region], MATCH(orders[[#This Row],[Customer_Country]], Region_Map[Country], 0)), "Unknown")</f>
        <v>Nordics</v>
      </c>
      <c r="H4468" t="s">
        <v>6949</v>
      </c>
    </row>
    <row r="4469" spans="1:8">
      <c r="A4469" t="s">
        <v>5366</v>
      </c>
      <c r="B4469" t="s">
        <v>485</v>
      </c>
      <c r="C4469" s="1">
        <v>45593</v>
      </c>
      <c r="D4469" s="1" t="str">
        <f>PROPER(orders[[#This Row],[order_priority]])</f>
        <v>Economy</v>
      </c>
      <c r="E4469" t="s">
        <v>13316</v>
      </c>
      <c r="F4469" t="str">
        <f>IFERROR(INDEX(customers[country], MATCH(orders[[#This Row],[customer_id]], customers[customer_id], 0)), "Unmapped")</f>
        <v>Latvia</v>
      </c>
      <c r="G4469" t="str">
        <f>IFERROR(INDEX(Region_Map[Region], MATCH(orders[[#This Row],[Customer_Country]], Region_Map[Country], 0)), "Unknown")</f>
        <v>Baltics</v>
      </c>
      <c r="H4469" t="s">
        <v>6949</v>
      </c>
    </row>
    <row r="4470" spans="1:8">
      <c r="A4470" t="s">
        <v>5367</v>
      </c>
      <c r="B4470" t="s">
        <v>192</v>
      </c>
      <c r="C4470" s="1">
        <v>44974</v>
      </c>
      <c r="D4470" s="1" t="str">
        <f>PROPER(orders[[#This Row],[order_priority]])</f>
        <v>Standard</v>
      </c>
      <c r="E4470" t="s">
        <v>13317</v>
      </c>
      <c r="F4470" t="str">
        <f>IFERROR(INDEX(customers[country], MATCH(orders[[#This Row],[customer_id]], customers[customer_id], 0)), "Unmapped")</f>
        <v>Estonia</v>
      </c>
      <c r="G4470" t="str">
        <f>IFERROR(INDEX(Region_Map[Region], MATCH(orders[[#This Row],[Customer_Country]], Region_Map[Country], 0)), "Unknown")</f>
        <v>Baltics</v>
      </c>
      <c r="H4470" t="s">
        <v>6949</v>
      </c>
    </row>
    <row r="4471" spans="1:8">
      <c r="A4471" t="s">
        <v>5368</v>
      </c>
      <c r="B4471" t="s">
        <v>303</v>
      </c>
      <c r="C4471" s="1">
        <v>45398</v>
      </c>
      <c r="D4471" s="1" t="str">
        <f>PROPER(orders[[#This Row],[order_priority]])</f>
        <v>Economy</v>
      </c>
      <c r="E4471" t="s">
        <v>13316</v>
      </c>
      <c r="F4471" t="str">
        <f>IFERROR(INDEX(customers[country], MATCH(orders[[#This Row],[customer_id]], customers[customer_id], 0)), "Unmapped")</f>
        <v>Netherlands</v>
      </c>
      <c r="G4471" t="str">
        <f>IFERROR(INDEX(Region_Map[Region], MATCH(orders[[#This Row],[Customer_Country]], Region_Map[Country], 0)), "Unknown")</f>
        <v>Central Europe</v>
      </c>
      <c r="H4471" t="s">
        <v>6949</v>
      </c>
    </row>
    <row r="4472" spans="1:8">
      <c r="A4472" t="s">
        <v>5369</v>
      </c>
      <c r="B4472" t="s">
        <v>721</v>
      </c>
      <c r="C4472" s="1">
        <v>44949</v>
      </c>
      <c r="D4472" s="1" t="str">
        <f>PROPER(orders[[#This Row],[order_priority]])</f>
        <v>Economy</v>
      </c>
      <c r="E4472" t="s">
        <v>13316</v>
      </c>
      <c r="F4472" t="str">
        <f>IFERROR(INDEX(customers[country], MATCH(orders[[#This Row],[customer_id]], customers[customer_id], 0)), "Unmapped")</f>
        <v>Netherlands</v>
      </c>
      <c r="G4472" t="str">
        <f>IFERROR(INDEX(Region_Map[Region], MATCH(orders[[#This Row],[Customer_Country]], Region_Map[Country], 0)), "Unknown")</f>
        <v>Central Europe</v>
      </c>
      <c r="H4472" t="s">
        <v>6949</v>
      </c>
    </row>
    <row r="4473" spans="1:8">
      <c r="A4473" t="s">
        <v>5370</v>
      </c>
      <c r="B4473" t="s">
        <v>276</v>
      </c>
      <c r="C4473" s="1">
        <v>45459</v>
      </c>
      <c r="D4473" s="1" t="str">
        <f>PROPER(orders[[#This Row],[order_priority]])</f>
        <v>Economy</v>
      </c>
      <c r="E4473" t="s">
        <v>13316</v>
      </c>
      <c r="F4473" t="str">
        <f>IFERROR(INDEX(customers[country], MATCH(orders[[#This Row],[customer_id]], customers[customer_id], 0)), "Unmapped")</f>
        <v>Sweden</v>
      </c>
      <c r="G4473" t="str">
        <f>IFERROR(INDEX(Region_Map[Region], MATCH(orders[[#This Row],[Customer_Country]], Region_Map[Country], 0)), "Unknown")</f>
        <v>Nordics</v>
      </c>
      <c r="H4473" t="s">
        <v>6949</v>
      </c>
    </row>
    <row r="4474" spans="1:8">
      <c r="A4474" t="s">
        <v>5371</v>
      </c>
      <c r="B4474" t="s">
        <v>359</v>
      </c>
      <c r="C4474" s="1">
        <v>45298</v>
      </c>
      <c r="D4474" s="1" t="str">
        <f>PROPER(orders[[#This Row],[order_priority]])</f>
        <v>Same Day</v>
      </c>
      <c r="E4474" t="s">
        <v>13322</v>
      </c>
      <c r="F4474" t="str">
        <f>IFERROR(INDEX(customers[country], MATCH(orders[[#This Row],[customer_id]], customers[customer_id], 0)), "Unmapped")</f>
        <v>Estonia</v>
      </c>
      <c r="G4474" t="str">
        <f>IFERROR(INDEX(Region_Map[Region], MATCH(orders[[#This Row],[Customer_Country]], Region_Map[Country], 0)), "Unknown")</f>
        <v>Baltics</v>
      </c>
      <c r="H4474" t="s">
        <v>6949</v>
      </c>
    </row>
    <row r="4475" spans="1:8">
      <c r="A4475" t="s">
        <v>5372</v>
      </c>
      <c r="B4475" t="s">
        <v>855</v>
      </c>
      <c r="C4475" s="1">
        <v>45556</v>
      </c>
      <c r="D4475" s="1" t="str">
        <f>PROPER(orders[[#This Row],[order_priority]])</f>
        <v>Standard</v>
      </c>
      <c r="E4475" t="s">
        <v>13317</v>
      </c>
      <c r="F4475" t="str">
        <f>IFERROR(INDEX(customers[country], MATCH(orders[[#This Row],[customer_id]], customers[customer_id], 0)), "Unmapped")</f>
        <v>Latvia</v>
      </c>
      <c r="G4475" t="str">
        <f>IFERROR(INDEX(Region_Map[Region], MATCH(orders[[#This Row],[Customer_Country]], Region_Map[Country], 0)), "Unknown")</f>
        <v>Baltics</v>
      </c>
      <c r="H4475" t="s">
        <v>6949</v>
      </c>
    </row>
    <row r="4476" spans="1:8">
      <c r="A4476" t="s">
        <v>5373</v>
      </c>
      <c r="B4476" t="s">
        <v>99</v>
      </c>
      <c r="C4476" s="1">
        <v>45216</v>
      </c>
      <c r="D4476" s="1" t="str">
        <f>PROPER(orders[[#This Row],[order_priority]])</f>
        <v>Express</v>
      </c>
      <c r="E4476" t="s">
        <v>13318</v>
      </c>
      <c r="F4476" t="str">
        <f>IFERROR(INDEX(customers[country], MATCH(orders[[#This Row],[customer_id]], customers[customer_id], 0)), "Unmapped")</f>
        <v>Poland</v>
      </c>
      <c r="G4476" t="str">
        <f>IFERROR(INDEX(Region_Map[Region], MATCH(orders[[#This Row],[Customer_Country]], Region_Map[Country], 0)), "Unknown")</f>
        <v>Central Europe</v>
      </c>
      <c r="H4476" t="s">
        <v>6949</v>
      </c>
    </row>
    <row r="4477" spans="1:8">
      <c r="A4477" t="s">
        <v>5374</v>
      </c>
      <c r="B4477" t="s">
        <v>374</v>
      </c>
      <c r="C4477" s="1">
        <v>45294</v>
      </c>
      <c r="D4477" s="1" t="str">
        <f>PROPER(orders[[#This Row],[order_priority]])</f>
        <v>Express</v>
      </c>
      <c r="E4477" t="s">
        <v>13318</v>
      </c>
      <c r="F4477" t="str">
        <f>IFERROR(INDEX(customers[country], MATCH(orders[[#This Row],[customer_id]], customers[customer_id], 0)), "Unmapped")</f>
        <v>Estonia</v>
      </c>
      <c r="G4477" t="str">
        <f>IFERROR(INDEX(Region_Map[Region], MATCH(orders[[#This Row],[Customer_Country]], Region_Map[Country], 0)), "Unknown")</f>
        <v>Baltics</v>
      </c>
      <c r="H4477" t="s">
        <v>6949</v>
      </c>
    </row>
    <row r="4478" spans="1:8">
      <c r="A4478" t="s">
        <v>5375</v>
      </c>
      <c r="B4478" t="s">
        <v>410</v>
      </c>
      <c r="C4478" s="1">
        <v>45140</v>
      </c>
      <c r="D4478" s="1" t="str">
        <f>PROPER(orders[[#This Row],[order_priority]])</f>
        <v>Same Day</v>
      </c>
      <c r="E4478" t="s">
        <v>13322</v>
      </c>
      <c r="F4478" t="str">
        <f>IFERROR(INDEX(customers[country], MATCH(orders[[#This Row],[customer_id]], customers[customer_id], 0)), "Unmapped")</f>
        <v>Norway</v>
      </c>
      <c r="G4478" t="str">
        <f>IFERROR(INDEX(Region_Map[Region], MATCH(orders[[#This Row],[Customer_Country]], Region_Map[Country], 0)), "Unknown")</f>
        <v>Nordics</v>
      </c>
      <c r="H4478" t="s">
        <v>6949</v>
      </c>
    </row>
    <row r="4479" spans="1:8">
      <c r="A4479" t="s">
        <v>5376</v>
      </c>
      <c r="B4479" t="s">
        <v>24</v>
      </c>
      <c r="C4479" s="1">
        <v>45066</v>
      </c>
      <c r="D4479" s="1" t="str">
        <f>PROPER(orders[[#This Row],[order_priority]])</f>
        <v>Same Day</v>
      </c>
      <c r="E4479" t="s">
        <v>13322</v>
      </c>
      <c r="F4479" t="str">
        <f>IFERROR(INDEX(customers[country], MATCH(orders[[#This Row],[customer_id]], customers[customer_id], 0)), "Unmapped")</f>
        <v>Sweden</v>
      </c>
      <c r="G4479" t="str">
        <f>IFERROR(INDEX(Region_Map[Region], MATCH(orders[[#This Row],[Customer_Country]], Region_Map[Country], 0)), "Unknown")</f>
        <v>Nordics</v>
      </c>
      <c r="H4479" t="s">
        <v>6949</v>
      </c>
    </row>
    <row r="4480" spans="1:8">
      <c r="A4480" t="s">
        <v>5377</v>
      </c>
      <c r="B4480" t="s">
        <v>377</v>
      </c>
      <c r="C4480" s="1">
        <v>45513</v>
      </c>
      <c r="D4480" s="1" t="str">
        <f>PROPER(orders[[#This Row],[order_priority]])</f>
        <v>Express</v>
      </c>
      <c r="E4480" t="s">
        <v>13318</v>
      </c>
      <c r="F4480" t="str">
        <f>IFERROR(INDEX(customers[country], MATCH(orders[[#This Row],[customer_id]], customers[customer_id], 0)), "Unmapped")</f>
        <v>Denmark</v>
      </c>
      <c r="G4480" t="str">
        <f>IFERROR(INDEX(Region_Map[Region], MATCH(orders[[#This Row],[Customer_Country]], Region_Map[Country], 0)), "Unknown")</f>
        <v>Nordics</v>
      </c>
      <c r="H4480" t="s">
        <v>6949</v>
      </c>
    </row>
    <row r="4481" spans="1:8">
      <c r="A4481" t="s">
        <v>5378</v>
      </c>
      <c r="B4481" t="s">
        <v>118</v>
      </c>
      <c r="C4481" s="1">
        <v>45529</v>
      </c>
      <c r="D4481" s="1" t="str">
        <f>PROPER(orders[[#This Row],[order_priority]])</f>
        <v>Economy</v>
      </c>
      <c r="E4481" t="s">
        <v>13316</v>
      </c>
      <c r="F4481" t="str">
        <f>IFERROR(INDEX(customers[country], MATCH(orders[[#This Row],[customer_id]], customers[customer_id], 0)), "Unmapped")</f>
        <v>Denmark</v>
      </c>
      <c r="G4481" t="str">
        <f>IFERROR(INDEX(Region_Map[Region], MATCH(orders[[#This Row],[Customer_Country]], Region_Map[Country], 0)), "Unknown")</f>
        <v>Nordics</v>
      </c>
      <c r="H4481" t="s">
        <v>6949</v>
      </c>
    </row>
    <row r="4482" spans="1:8">
      <c r="A4482" t="s">
        <v>5379</v>
      </c>
      <c r="B4482" t="s">
        <v>784</v>
      </c>
      <c r="C4482" s="1">
        <v>45576</v>
      </c>
      <c r="D4482" s="1" t="str">
        <f>PROPER(orders[[#This Row],[order_priority]])</f>
        <v>Express</v>
      </c>
      <c r="E4482" t="s">
        <v>13318</v>
      </c>
      <c r="F4482" t="str">
        <f>IFERROR(INDEX(customers[country], MATCH(orders[[#This Row],[customer_id]], customers[customer_id], 0)), "Unmapped")</f>
        <v>Estonia</v>
      </c>
      <c r="G4482" t="str">
        <f>IFERROR(INDEX(Region_Map[Region], MATCH(orders[[#This Row],[Customer_Country]], Region_Map[Country], 0)), "Unknown")</f>
        <v>Baltics</v>
      </c>
      <c r="H4482" t="s">
        <v>6949</v>
      </c>
    </row>
    <row r="4483" spans="1:8">
      <c r="A4483" t="s">
        <v>5380</v>
      </c>
      <c r="B4483" t="s">
        <v>572</v>
      </c>
      <c r="C4483" s="1">
        <v>45395</v>
      </c>
      <c r="D4483" s="1" t="str">
        <f>PROPER(orders[[#This Row],[order_priority]])</f>
        <v>Economy</v>
      </c>
      <c r="E4483" t="s">
        <v>13316</v>
      </c>
      <c r="F4483" t="str">
        <f>IFERROR(INDEX(customers[country], MATCH(orders[[#This Row],[customer_id]], customers[customer_id], 0)), "Unmapped")</f>
        <v>Germany</v>
      </c>
      <c r="G4483" t="str">
        <f>IFERROR(INDEX(Region_Map[Region], MATCH(orders[[#This Row],[Customer_Country]], Region_Map[Country], 0)), "Unknown")</f>
        <v>Central Europe</v>
      </c>
      <c r="H4483" t="s">
        <v>6949</v>
      </c>
    </row>
    <row r="4484" spans="1:8">
      <c r="A4484" t="s">
        <v>5381</v>
      </c>
      <c r="B4484" t="s">
        <v>347</v>
      </c>
      <c r="C4484" s="1">
        <v>45601</v>
      </c>
      <c r="D4484" s="1" t="str">
        <f>PROPER(orders[[#This Row],[order_priority]])</f>
        <v>Standard</v>
      </c>
      <c r="E4484" t="s">
        <v>13317</v>
      </c>
      <c r="F4484" t="str">
        <f>IFERROR(INDEX(customers[country], MATCH(orders[[#This Row],[customer_id]], customers[customer_id], 0)), "Unmapped")</f>
        <v>Norway</v>
      </c>
      <c r="G4484" t="str">
        <f>IFERROR(INDEX(Region_Map[Region], MATCH(orders[[#This Row],[Customer_Country]], Region_Map[Country], 0)), "Unknown")</f>
        <v>Nordics</v>
      </c>
      <c r="H4484" t="s">
        <v>6949</v>
      </c>
    </row>
    <row r="4485" spans="1:8">
      <c r="A4485" t="s">
        <v>5382</v>
      </c>
      <c r="B4485" t="s">
        <v>136</v>
      </c>
      <c r="C4485" s="1">
        <v>45034</v>
      </c>
      <c r="D4485" s="1" t="str">
        <f>PROPER(orders[[#This Row],[order_priority]])</f>
        <v>Standard</v>
      </c>
      <c r="E4485" t="s">
        <v>13317</v>
      </c>
      <c r="F4485" t="str">
        <f>IFERROR(INDEX(customers[country], MATCH(orders[[#This Row],[customer_id]], customers[customer_id], 0)), "Unmapped")</f>
        <v>Sweden</v>
      </c>
      <c r="G4485" t="str">
        <f>IFERROR(INDEX(Region_Map[Region], MATCH(orders[[#This Row],[Customer_Country]], Region_Map[Country], 0)), "Unknown")</f>
        <v>Nordics</v>
      </c>
      <c r="H4485" t="s">
        <v>6949</v>
      </c>
    </row>
    <row r="4486" spans="1:8">
      <c r="A4486" t="s">
        <v>5383</v>
      </c>
      <c r="B4486" t="s">
        <v>897</v>
      </c>
      <c r="C4486" s="1">
        <v>45527</v>
      </c>
      <c r="D4486" s="1" t="str">
        <f>PROPER(orders[[#This Row],[order_priority]])</f>
        <v>Express</v>
      </c>
      <c r="E4486" t="s">
        <v>13318</v>
      </c>
      <c r="F4486" t="str">
        <f>IFERROR(INDEX(customers[country], MATCH(orders[[#This Row],[customer_id]], customers[customer_id], 0)), "Unmapped")</f>
        <v>Netherlands</v>
      </c>
      <c r="G4486" t="str">
        <f>IFERROR(INDEX(Region_Map[Region], MATCH(orders[[#This Row],[Customer_Country]], Region_Map[Country], 0)), "Unknown")</f>
        <v>Central Europe</v>
      </c>
      <c r="H4486" t="s">
        <v>6949</v>
      </c>
    </row>
    <row r="4487" spans="1:8">
      <c r="A4487" t="s">
        <v>5384</v>
      </c>
      <c r="B4487" t="s">
        <v>332</v>
      </c>
      <c r="C4487" s="1">
        <v>45517</v>
      </c>
      <c r="D4487" s="1" t="str">
        <f>PROPER(orders[[#This Row],[order_priority]])</f>
        <v>Economy</v>
      </c>
      <c r="E4487" t="s">
        <v>13325</v>
      </c>
      <c r="F4487" t="str">
        <f>IFERROR(INDEX(customers[country], MATCH(orders[[#This Row],[customer_id]], customers[customer_id], 0)), "Unmapped")</f>
        <v>Lithuania</v>
      </c>
      <c r="G4487" t="str">
        <f>IFERROR(INDEX(Region_Map[Region], MATCH(orders[[#This Row],[Customer_Country]], Region_Map[Country], 0)), "Unknown")</f>
        <v>Baltics</v>
      </c>
      <c r="H4487" t="s">
        <v>6949</v>
      </c>
    </row>
    <row r="4488" spans="1:8">
      <c r="A4488" t="s">
        <v>5385</v>
      </c>
      <c r="B4488" t="s">
        <v>608</v>
      </c>
      <c r="C4488" s="1">
        <v>45068</v>
      </c>
      <c r="D4488" s="1" t="str">
        <f>PROPER(orders[[#This Row],[order_priority]])</f>
        <v>Same Day</v>
      </c>
      <c r="E4488" t="s">
        <v>13322</v>
      </c>
      <c r="F4488" t="str">
        <f>IFERROR(INDEX(customers[country], MATCH(orders[[#This Row],[customer_id]], customers[customer_id], 0)), "Unmapped")</f>
        <v>Finland</v>
      </c>
      <c r="G4488" t="str">
        <f>IFERROR(INDEX(Region_Map[Region], MATCH(orders[[#This Row],[Customer_Country]], Region_Map[Country], 0)), "Unknown")</f>
        <v>Nordics</v>
      </c>
      <c r="H4488" t="s">
        <v>6949</v>
      </c>
    </row>
    <row r="4489" spans="1:8">
      <c r="A4489" t="s">
        <v>5386</v>
      </c>
      <c r="B4489" t="s">
        <v>380</v>
      </c>
      <c r="C4489" s="1">
        <v>45290</v>
      </c>
      <c r="D4489" s="1" t="str">
        <f>PROPER(orders[[#This Row],[order_priority]])</f>
        <v>Express</v>
      </c>
      <c r="E4489" t="s">
        <v>13320</v>
      </c>
      <c r="F4489" t="str">
        <f>IFERROR(INDEX(customers[country], MATCH(orders[[#This Row],[customer_id]], customers[customer_id], 0)), "Unmapped")</f>
        <v>Sweden</v>
      </c>
      <c r="G4489" t="str">
        <f>IFERROR(INDEX(Region_Map[Region], MATCH(orders[[#This Row],[Customer_Country]], Region_Map[Country], 0)), "Unknown")</f>
        <v>Nordics</v>
      </c>
      <c r="H4489" t="s">
        <v>6949</v>
      </c>
    </row>
    <row r="4490" spans="1:8">
      <c r="A4490" t="s">
        <v>5387</v>
      </c>
      <c r="B4490" t="s">
        <v>13359</v>
      </c>
      <c r="C4490" s="1">
        <v>45576</v>
      </c>
      <c r="D4490" s="1" t="str">
        <f>PROPER(orders[[#This Row],[order_priority]])</f>
        <v>Same Day</v>
      </c>
      <c r="E4490" t="s">
        <v>13324</v>
      </c>
      <c r="F4490" t="str">
        <f>IFERROR(INDEX(customers[country], MATCH(orders[[#This Row],[customer_id]], customers[customer_id], 0)), "Unmapped")</f>
        <v>Unmapped</v>
      </c>
      <c r="G4490" t="str">
        <f>IFERROR(INDEX(Region_Map[Region], MATCH(orders[[#This Row],[Customer_Country]], Region_Map[Country], 0)), "Unknown")</f>
        <v>Unknown</v>
      </c>
      <c r="H4490" t="s">
        <v>6949</v>
      </c>
    </row>
    <row r="4491" spans="1:8">
      <c r="A4491" t="s">
        <v>5388</v>
      </c>
      <c r="B4491" t="s">
        <v>560</v>
      </c>
      <c r="C4491" s="1">
        <v>45100</v>
      </c>
      <c r="D4491" s="1" t="str">
        <f>PROPER(orders[[#This Row],[order_priority]])</f>
        <v>Standard</v>
      </c>
      <c r="E4491" t="s">
        <v>13319</v>
      </c>
      <c r="F4491" t="str">
        <f>IFERROR(INDEX(customers[country], MATCH(orders[[#This Row],[customer_id]], customers[customer_id], 0)), "Unmapped")</f>
        <v>Finland</v>
      </c>
      <c r="G4491" t="str">
        <f>IFERROR(INDEX(Region_Map[Region], MATCH(orders[[#This Row],[Customer_Country]], Region_Map[Country], 0)), "Unknown")</f>
        <v>Nordics</v>
      </c>
      <c r="H4491" t="s">
        <v>6949</v>
      </c>
    </row>
    <row r="4492" spans="1:8">
      <c r="A4492" t="s">
        <v>5389</v>
      </c>
      <c r="B4492" t="s">
        <v>67</v>
      </c>
      <c r="C4492" s="1">
        <v>45519</v>
      </c>
      <c r="D4492" s="1" t="str">
        <f>PROPER(orders[[#This Row],[order_priority]])</f>
        <v>Same Day</v>
      </c>
      <c r="E4492" t="s">
        <v>13322</v>
      </c>
      <c r="F4492" t="str">
        <f>IFERROR(INDEX(customers[country], MATCH(orders[[#This Row],[customer_id]], customers[customer_id], 0)), "Unmapped")</f>
        <v>Estonia</v>
      </c>
      <c r="G4492" t="str">
        <f>IFERROR(INDEX(Region_Map[Region], MATCH(orders[[#This Row],[Customer_Country]], Region_Map[Country], 0)), "Unknown")</f>
        <v>Baltics</v>
      </c>
      <c r="H4492" t="s">
        <v>6949</v>
      </c>
    </row>
    <row r="4493" spans="1:8">
      <c r="A4493" t="s">
        <v>5390</v>
      </c>
      <c r="B4493" t="s">
        <v>297</v>
      </c>
      <c r="C4493" s="1">
        <v>44976</v>
      </c>
      <c r="D4493" s="1" t="str">
        <f>PROPER(orders[[#This Row],[order_priority]])</f>
        <v>Express</v>
      </c>
      <c r="E4493" t="s">
        <v>13318</v>
      </c>
      <c r="F4493" t="str">
        <f>IFERROR(INDEX(customers[country], MATCH(orders[[#This Row],[customer_id]], customers[customer_id], 0)), "Unmapped")</f>
        <v>Poland</v>
      </c>
      <c r="G4493" t="str">
        <f>IFERROR(INDEX(Region_Map[Region], MATCH(orders[[#This Row],[Customer_Country]], Region_Map[Country], 0)), "Unknown")</f>
        <v>Central Europe</v>
      </c>
      <c r="H4493" t="s">
        <v>6949</v>
      </c>
    </row>
    <row r="4494" spans="1:8">
      <c r="A4494" t="s">
        <v>5391</v>
      </c>
      <c r="B4494" t="s">
        <v>741</v>
      </c>
      <c r="C4494" s="1">
        <v>45552</v>
      </c>
      <c r="D4494" s="1" t="str">
        <f>PROPER(orders[[#This Row],[order_priority]])</f>
        <v>Same Day</v>
      </c>
      <c r="E4494" t="s">
        <v>13322</v>
      </c>
      <c r="F4494" t="str">
        <f>IFERROR(INDEX(customers[country], MATCH(orders[[#This Row],[customer_id]], customers[customer_id], 0)), "Unmapped")</f>
        <v>Germany</v>
      </c>
      <c r="G4494" t="str">
        <f>IFERROR(INDEX(Region_Map[Region], MATCH(orders[[#This Row],[Customer_Country]], Region_Map[Country], 0)), "Unknown")</f>
        <v>Central Europe</v>
      </c>
      <c r="H4494" t="s">
        <v>6949</v>
      </c>
    </row>
    <row r="4495" spans="1:8">
      <c r="A4495" t="s">
        <v>5392</v>
      </c>
      <c r="B4495" t="s">
        <v>395</v>
      </c>
      <c r="C4495" s="1">
        <v>45014</v>
      </c>
      <c r="D4495" s="1" t="str">
        <f>PROPER(orders[[#This Row],[order_priority]])</f>
        <v>Express</v>
      </c>
      <c r="E4495" t="s">
        <v>13318</v>
      </c>
      <c r="F4495" t="str">
        <f>IFERROR(INDEX(customers[country], MATCH(orders[[#This Row],[customer_id]], customers[customer_id], 0)), "Unmapped")</f>
        <v>Sweden</v>
      </c>
      <c r="G4495" t="str">
        <f>IFERROR(INDEX(Region_Map[Region], MATCH(orders[[#This Row],[Customer_Country]], Region_Map[Country], 0)), "Unknown")</f>
        <v>Nordics</v>
      </c>
      <c r="H4495" t="s">
        <v>6949</v>
      </c>
    </row>
    <row r="4496" spans="1:8">
      <c r="A4496" t="s">
        <v>5393</v>
      </c>
      <c r="B4496" t="s">
        <v>796</v>
      </c>
      <c r="C4496" s="1">
        <v>45109</v>
      </c>
      <c r="D4496" s="1" t="str">
        <f>PROPER(orders[[#This Row],[order_priority]])</f>
        <v>Express</v>
      </c>
      <c r="E4496" t="s">
        <v>13318</v>
      </c>
      <c r="F4496" t="str">
        <f>IFERROR(INDEX(customers[country], MATCH(orders[[#This Row],[customer_id]], customers[customer_id], 0)), "Unmapped")</f>
        <v>Sweden</v>
      </c>
      <c r="G4496" t="str">
        <f>IFERROR(INDEX(Region_Map[Region], MATCH(orders[[#This Row],[Customer_Country]], Region_Map[Country], 0)), "Unknown")</f>
        <v>Nordics</v>
      </c>
      <c r="H4496" t="s">
        <v>6949</v>
      </c>
    </row>
    <row r="4497" spans="1:8">
      <c r="A4497" t="s">
        <v>5394</v>
      </c>
      <c r="B4497" t="s">
        <v>629</v>
      </c>
      <c r="C4497" s="1">
        <v>45021</v>
      </c>
      <c r="D4497" s="1" t="str">
        <f>PROPER(orders[[#This Row],[order_priority]])</f>
        <v>Standard</v>
      </c>
      <c r="E4497" t="s">
        <v>13323</v>
      </c>
      <c r="F4497" t="str">
        <f>IFERROR(INDEX(customers[country], MATCH(orders[[#This Row],[customer_id]], customers[customer_id], 0)), "Unmapped")</f>
        <v>Lithuania</v>
      </c>
      <c r="G4497" t="str">
        <f>IFERROR(INDEX(Region_Map[Region], MATCH(orders[[#This Row],[Customer_Country]], Region_Map[Country], 0)), "Unknown")</f>
        <v>Baltics</v>
      </c>
      <c r="H4497" t="s">
        <v>6949</v>
      </c>
    </row>
    <row r="4498" spans="1:8">
      <c r="A4498" t="s">
        <v>5395</v>
      </c>
      <c r="B4498" t="s">
        <v>718</v>
      </c>
      <c r="C4498" s="1">
        <v>45514</v>
      </c>
      <c r="D4498" s="1" t="str">
        <f>PROPER(orders[[#This Row],[order_priority]])</f>
        <v>Same Day</v>
      </c>
      <c r="E4498" t="s">
        <v>13322</v>
      </c>
      <c r="F4498" t="str">
        <f>IFERROR(INDEX(customers[country], MATCH(orders[[#This Row],[customer_id]], customers[customer_id], 0)), "Unmapped")</f>
        <v>Netherlands</v>
      </c>
      <c r="G4498" t="str">
        <f>IFERROR(INDEX(Region_Map[Region], MATCH(orders[[#This Row],[Customer_Country]], Region_Map[Country], 0)), "Unknown")</f>
        <v>Central Europe</v>
      </c>
      <c r="H4498" t="s">
        <v>6949</v>
      </c>
    </row>
    <row r="4499" spans="1:8">
      <c r="A4499" t="s">
        <v>3406</v>
      </c>
      <c r="B4499" t="s">
        <v>106</v>
      </c>
      <c r="C4499" s="1">
        <v>45074</v>
      </c>
      <c r="D4499" s="1" t="str">
        <f>PROPER(orders[[#This Row],[order_priority]])</f>
        <v>Express</v>
      </c>
      <c r="E4499" t="s">
        <v>13318</v>
      </c>
      <c r="F4499" t="str">
        <f>IFERROR(INDEX(customers[country], MATCH(orders[[#This Row],[customer_id]], customers[customer_id], 0)), "Unmapped")</f>
        <v>Lithuania</v>
      </c>
      <c r="G4499" t="str">
        <f>IFERROR(INDEX(Region_Map[Region], MATCH(orders[[#This Row],[Customer_Country]], Region_Map[Country], 0)), "Unknown")</f>
        <v>Baltics</v>
      </c>
      <c r="H4499" t="s">
        <v>6949</v>
      </c>
    </row>
    <row r="4500" spans="1:8">
      <c r="A4500" t="s">
        <v>5396</v>
      </c>
      <c r="B4500" t="s">
        <v>449</v>
      </c>
      <c r="C4500" s="1">
        <v>45491</v>
      </c>
      <c r="D4500" s="1" t="str">
        <f>PROPER(orders[[#This Row],[order_priority]])</f>
        <v>Same Day</v>
      </c>
      <c r="E4500" t="s">
        <v>13322</v>
      </c>
      <c r="F4500" t="str">
        <f>IFERROR(INDEX(customers[country], MATCH(orders[[#This Row],[customer_id]], customers[customer_id], 0)), "Unmapped")</f>
        <v>Norway</v>
      </c>
      <c r="G4500" t="str">
        <f>IFERROR(INDEX(Region_Map[Region], MATCH(orders[[#This Row],[Customer_Country]], Region_Map[Country], 0)), "Unknown")</f>
        <v>Nordics</v>
      </c>
      <c r="H4500" t="s">
        <v>6949</v>
      </c>
    </row>
    <row r="4501" spans="1:8">
      <c r="A4501" t="s">
        <v>5397</v>
      </c>
      <c r="B4501" t="s">
        <v>219</v>
      </c>
      <c r="C4501" s="1">
        <v>45156</v>
      </c>
      <c r="D4501" s="1" t="str">
        <f>PROPER(orders[[#This Row],[order_priority]])</f>
        <v>Same Day</v>
      </c>
      <c r="E4501" t="s">
        <v>13322</v>
      </c>
      <c r="F4501" t="str">
        <f>IFERROR(INDEX(customers[country], MATCH(orders[[#This Row],[customer_id]], customers[customer_id], 0)), "Unmapped")</f>
        <v>Latvia</v>
      </c>
      <c r="G4501" t="str">
        <f>IFERROR(INDEX(Region_Map[Region], MATCH(orders[[#This Row],[Customer_Country]], Region_Map[Country], 0)), "Unknown")</f>
        <v>Baltics</v>
      </c>
      <c r="H4501" t="s">
        <v>6949</v>
      </c>
    </row>
    <row r="4502" spans="1:8">
      <c r="A4502" t="s">
        <v>5398</v>
      </c>
      <c r="B4502" t="s">
        <v>317</v>
      </c>
      <c r="C4502" s="1">
        <v>44978</v>
      </c>
      <c r="D4502" s="1" t="str">
        <f>PROPER(orders[[#This Row],[order_priority]])</f>
        <v>Same Day</v>
      </c>
      <c r="E4502" t="s">
        <v>13322</v>
      </c>
      <c r="F4502" t="str">
        <f>IFERROR(INDEX(customers[country], MATCH(orders[[#This Row],[customer_id]], customers[customer_id], 0)), "Unmapped")</f>
        <v>Sweden</v>
      </c>
      <c r="G4502" t="str">
        <f>IFERROR(INDEX(Region_Map[Region], MATCH(orders[[#This Row],[Customer_Country]], Region_Map[Country], 0)), "Unknown")</f>
        <v>Nordics</v>
      </c>
      <c r="H4502" t="s">
        <v>6949</v>
      </c>
    </row>
    <row r="4503" spans="1:8">
      <c r="A4503" t="s">
        <v>5399</v>
      </c>
      <c r="B4503" t="s">
        <v>332</v>
      </c>
      <c r="C4503" s="1">
        <v>45085</v>
      </c>
      <c r="D4503" s="1" t="str">
        <f>PROPER(orders[[#This Row],[order_priority]])</f>
        <v>Express</v>
      </c>
      <c r="E4503" t="s">
        <v>13320</v>
      </c>
      <c r="F4503" t="str">
        <f>IFERROR(INDEX(customers[country], MATCH(orders[[#This Row],[customer_id]], customers[customer_id], 0)), "Unmapped")</f>
        <v>Lithuania</v>
      </c>
      <c r="G4503" t="str">
        <f>IFERROR(INDEX(Region_Map[Region], MATCH(orders[[#This Row],[Customer_Country]], Region_Map[Country], 0)), "Unknown")</f>
        <v>Baltics</v>
      </c>
      <c r="H4503" t="s">
        <v>6949</v>
      </c>
    </row>
    <row r="4504" spans="1:8">
      <c r="A4504" t="s">
        <v>5400</v>
      </c>
      <c r="B4504" t="s">
        <v>626</v>
      </c>
      <c r="C4504" s="1">
        <v>45282</v>
      </c>
      <c r="D4504" s="1" t="str">
        <f>PROPER(orders[[#This Row],[order_priority]])</f>
        <v>Express</v>
      </c>
      <c r="E4504" t="s">
        <v>13320</v>
      </c>
      <c r="F4504" t="str">
        <f>IFERROR(INDEX(customers[country], MATCH(orders[[#This Row],[customer_id]], customers[customer_id], 0)), "Unmapped")</f>
        <v>Denmark</v>
      </c>
      <c r="G4504" t="str">
        <f>IFERROR(INDEX(Region_Map[Region], MATCH(orders[[#This Row],[Customer_Country]], Region_Map[Country], 0)), "Unknown")</f>
        <v>Nordics</v>
      </c>
      <c r="H4504" t="s">
        <v>6949</v>
      </c>
    </row>
    <row r="4505" spans="1:8">
      <c r="A4505" t="s">
        <v>5401</v>
      </c>
      <c r="B4505" t="s">
        <v>139</v>
      </c>
      <c r="C4505" s="1">
        <v>45138</v>
      </c>
      <c r="D4505" s="1" t="str">
        <f>PROPER(orders[[#This Row],[order_priority]])</f>
        <v>Economy</v>
      </c>
      <c r="E4505" t="s">
        <v>13316</v>
      </c>
      <c r="F4505" t="str">
        <f>IFERROR(INDEX(customers[country], MATCH(orders[[#This Row],[customer_id]], customers[customer_id], 0)), "Unmapped")</f>
        <v>Netherlands</v>
      </c>
      <c r="G4505" t="str">
        <f>IFERROR(INDEX(Region_Map[Region], MATCH(orders[[#This Row],[Customer_Country]], Region_Map[Country], 0)), "Unknown")</f>
        <v>Central Europe</v>
      </c>
      <c r="H4505" t="s">
        <v>6949</v>
      </c>
    </row>
    <row r="4506" spans="1:8">
      <c r="A4506" t="s">
        <v>5402</v>
      </c>
      <c r="B4506" t="s">
        <v>741</v>
      </c>
      <c r="C4506" s="1">
        <v>45552</v>
      </c>
      <c r="D4506" s="1" t="str">
        <f>PROPER(orders[[#This Row],[order_priority]])</f>
        <v>Standard</v>
      </c>
      <c r="E4506" t="s">
        <v>13323</v>
      </c>
      <c r="F4506" t="str">
        <f>IFERROR(INDEX(customers[country], MATCH(orders[[#This Row],[customer_id]], customers[customer_id], 0)), "Unmapped")</f>
        <v>Germany</v>
      </c>
      <c r="G4506" t="str">
        <f>IFERROR(INDEX(Region_Map[Region], MATCH(orders[[#This Row],[Customer_Country]], Region_Map[Country], 0)), "Unknown")</f>
        <v>Central Europe</v>
      </c>
      <c r="H4506" t="s">
        <v>6949</v>
      </c>
    </row>
    <row r="4507" spans="1:8">
      <c r="A4507" t="s">
        <v>5403</v>
      </c>
      <c r="B4507" t="s">
        <v>169</v>
      </c>
      <c r="C4507" s="1">
        <v>45079</v>
      </c>
      <c r="D4507" s="1" t="str">
        <f>PROPER(orders[[#This Row],[order_priority]])</f>
        <v>Express</v>
      </c>
      <c r="E4507" t="s">
        <v>13318</v>
      </c>
      <c r="F4507" t="str">
        <f>IFERROR(INDEX(customers[country], MATCH(orders[[#This Row],[customer_id]], customers[customer_id], 0)), "Unmapped")</f>
        <v>Norway</v>
      </c>
      <c r="G4507" t="str">
        <f>IFERROR(INDEX(Region_Map[Region], MATCH(orders[[#This Row],[Customer_Country]], Region_Map[Country], 0)), "Unknown")</f>
        <v>Nordics</v>
      </c>
      <c r="H4507" t="s">
        <v>6949</v>
      </c>
    </row>
    <row r="4508" spans="1:8">
      <c r="A4508" t="s">
        <v>5404</v>
      </c>
      <c r="B4508" t="s">
        <v>121</v>
      </c>
      <c r="C4508" s="1">
        <v>44939</v>
      </c>
      <c r="D4508" s="1" t="str">
        <f>PROPER(orders[[#This Row],[order_priority]])</f>
        <v>Same Day</v>
      </c>
      <c r="E4508" t="s">
        <v>13322</v>
      </c>
      <c r="F4508" t="str">
        <f>IFERROR(INDEX(customers[country], MATCH(orders[[#This Row],[customer_id]], customers[customer_id], 0)), "Unmapped")</f>
        <v>Estonia</v>
      </c>
      <c r="G4508" t="str">
        <f>IFERROR(INDEX(Region_Map[Region], MATCH(orders[[#This Row],[Customer_Country]], Region_Map[Country], 0)), "Unknown")</f>
        <v>Baltics</v>
      </c>
      <c r="H4508" t="s">
        <v>6949</v>
      </c>
    </row>
    <row r="4509" spans="1:8">
      <c r="A4509" t="s">
        <v>5405</v>
      </c>
      <c r="B4509" t="s">
        <v>626</v>
      </c>
      <c r="C4509" s="1">
        <v>45420</v>
      </c>
      <c r="D4509" s="1" t="str">
        <f>PROPER(orders[[#This Row],[order_priority]])</f>
        <v>Standard</v>
      </c>
      <c r="E4509" t="s">
        <v>13317</v>
      </c>
      <c r="F4509" t="str">
        <f>IFERROR(INDEX(customers[country], MATCH(orders[[#This Row],[customer_id]], customers[customer_id], 0)), "Unmapped")</f>
        <v>Denmark</v>
      </c>
      <c r="G4509" t="str">
        <f>IFERROR(INDEX(Region_Map[Region], MATCH(orders[[#This Row],[Customer_Country]], Region_Map[Country], 0)), "Unknown")</f>
        <v>Nordics</v>
      </c>
      <c r="H4509" t="s">
        <v>6949</v>
      </c>
    </row>
    <row r="4510" spans="1:8">
      <c r="A4510" t="s">
        <v>5406</v>
      </c>
      <c r="B4510" t="s">
        <v>13338</v>
      </c>
      <c r="C4510" s="1">
        <v>44939</v>
      </c>
      <c r="D4510" s="1" t="str">
        <f>PROPER(orders[[#This Row],[order_priority]])</f>
        <v>Same Day</v>
      </c>
      <c r="E4510" t="s">
        <v>13322</v>
      </c>
      <c r="F4510" t="str">
        <f>IFERROR(INDEX(customers[country], MATCH(orders[[#This Row],[customer_id]], customers[customer_id], 0)), "Unmapped")</f>
        <v>Unmapped</v>
      </c>
      <c r="G4510" t="str">
        <f>IFERROR(INDEX(Region_Map[Region], MATCH(orders[[#This Row],[Customer_Country]], Region_Map[Country], 0)), "Unknown")</f>
        <v>Unknown</v>
      </c>
      <c r="H4510" t="s">
        <v>6949</v>
      </c>
    </row>
    <row r="4511" spans="1:8">
      <c r="A4511" t="s">
        <v>5407</v>
      </c>
      <c r="B4511" t="s">
        <v>42</v>
      </c>
      <c r="C4511" s="1">
        <v>45056</v>
      </c>
      <c r="D4511" s="1" t="str">
        <f>PROPER(orders[[#This Row],[order_priority]])</f>
        <v>Standard</v>
      </c>
      <c r="E4511" t="s">
        <v>13317</v>
      </c>
      <c r="F4511" t="str">
        <f>IFERROR(INDEX(customers[country], MATCH(orders[[#This Row],[customer_id]], customers[customer_id], 0)), "Unmapped")</f>
        <v>Estonia</v>
      </c>
      <c r="G4511" t="str">
        <f>IFERROR(INDEX(Region_Map[Region], MATCH(orders[[#This Row],[Customer_Country]], Region_Map[Country], 0)), "Unknown")</f>
        <v>Baltics</v>
      </c>
      <c r="H4511" t="s">
        <v>6949</v>
      </c>
    </row>
    <row r="4512" spans="1:8">
      <c r="A4512" t="s">
        <v>5408</v>
      </c>
      <c r="B4512" t="s">
        <v>225</v>
      </c>
      <c r="C4512" s="1">
        <v>45050</v>
      </c>
      <c r="D4512" s="1" t="str">
        <f>PROPER(orders[[#This Row],[order_priority]])</f>
        <v>Economy</v>
      </c>
      <c r="E4512" t="s">
        <v>13316</v>
      </c>
      <c r="F4512" t="str">
        <f>IFERROR(INDEX(customers[country], MATCH(orders[[#This Row],[customer_id]], customers[customer_id], 0)), "Unmapped")</f>
        <v>Poland</v>
      </c>
      <c r="G4512" t="str">
        <f>IFERROR(INDEX(Region_Map[Region], MATCH(orders[[#This Row],[Customer_Country]], Region_Map[Country], 0)), "Unknown")</f>
        <v>Central Europe</v>
      </c>
      <c r="H4512" t="s">
        <v>6949</v>
      </c>
    </row>
    <row r="4513" spans="1:8">
      <c r="A4513" t="s">
        <v>5409</v>
      </c>
      <c r="B4513" t="s">
        <v>551</v>
      </c>
      <c r="C4513" s="1">
        <v>45126</v>
      </c>
      <c r="D4513" s="1" t="str">
        <f>PROPER(orders[[#This Row],[order_priority]])</f>
        <v>Express</v>
      </c>
      <c r="E4513" t="s">
        <v>13318</v>
      </c>
      <c r="F4513" t="str">
        <f>IFERROR(INDEX(customers[country], MATCH(orders[[#This Row],[customer_id]], customers[customer_id], 0)), "Unmapped")</f>
        <v>Latvia</v>
      </c>
      <c r="G4513" t="str">
        <f>IFERROR(INDEX(Region_Map[Region], MATCH(orders[[#This Row],[Customer_Country]], Region_Map[Country], 0)), "Unknown")</f>
        <v>Baltics</v>
      </c>
      <c r="H4513" t="s">
        <v>6949</v>
      </c>
    </row>
    <row r="4514" spans="1:8">
      <c r="A4514" t="s">
        <v>5410</v>
      </c>
      <c r="B4514" t="s">
        <v>240</v>
      </c>
      <c r="C4514" s="1">
        <v>45175</v>
      </c>
      <c r="D4514" s="1" t="str">
        <f>PROPER(orders[[#This Row],[order_priority]])</f>
        <v>Express</v>
      </c>
      <c r="E4514" t="s">
        <v>13318</v>
      </c>
      <c r="F4514" t="str">
        <f>IFERROR(INDEX(customers[country], MATCH(orders[[#This Row],[customer_id]], customers[customer_id], 0)), "Unmapped")</f>
        <v>Lithuania</v>
      </c>
      <c r="G4514" t="str">
        <f>IFERROR(INDEX(Region_Map[Region], MATCH(orders[[#This Row],[Customer_Country]], Region_Map[Country], 0)), "Unknown")</f>
        <v>Baltics</v>
      </c>
      <c r="H4514" t="s">
        <v>6949</v>
      </c>
    </row>
    <row r="4515" spans="1:8">
      <c r="A4515" t="s">
        <v>5411</v>
      </c>
      <c r="B4515" t="s">
        <v>843</v>
      </c>
      <c r="C4515" s="1">
        <v>45269</v>
      </c>
      <c r="D4515" s="1" t="str">
        <f>PROPER(orders[[#This Row],[order_priority]])</f>
        <v>Standard</v>
      </c>
      <c r="E4515" t="s">
        <v>13319</v>
      </c>
      <c r="F4515" t="str">
        <f>IFERROR(INDEX(customers[country], MATCH(orders[[#This Row],[customer_id]], customers[customer_id], 0)), "Unmapped")</f>
        <v>Netherlands</v>
      </c>
      <c r="G4515" t="str">
        <f>IFERROR(INDEX(Region_Map[Region], MATCH(orders[[#This Row],[Customer_Country]], Region_Map[Country], 0)), "Unknown")</f>
        <v>Central Europe</v>
      </c>
      <c r="H4515" t="s">
        <v>6949</v>
      </c>
    </row>
    <row r="4516" spans="1:8">
      <c r="A4516" t="s">
        <v>5412</v>
      </c>
      <c r="B4516" t="s">
        <v>849</v>
      </c>
      <c r="C4516" s="1">
        <v>45147</v>
      </c>
      <c r="D4516" s="1" t="str">
        <f>PROPER(orders[[#This Row],[order_priority]])</f>
        <v>Same Day</v>
      </c>
      <c r="E4516" t="s">
        <v>13322</v>
      </c>
      <c r="F4516" t="str">
        <f>IFERROR(INDEX(customers[country], MATCH(orders[[#This Row],[customer_id]], customers[customer_id], 0)), "Unmapped")</f>
        <v>Lithuania</v>
      </c>
      <c r="G4516" t="str">
        <f>IFERROR(INDEX(Region_Map[Region], MATCH(orders[[#This Row],[Customer_Country]], Region_Map[Country], 0)), "Unknown")</f>
        <v>Baltics</v>
      </c>
      <c r="H4516" t="s">
        <v>6949</v>
      </c>
    </row>
    <row r="4517" spans="1:8">
      <c r="A4517" t="s">
        <v>5413</v>
      </c>
      <c r="B4517" t="s">
        <v>470</v>
      </c>
      <c r="C4517" s="1">
        <v>45114</v>
      </c>
      <c r="D4517" s="1" t="str">
        <f>PROPER(orders[[#This Row],[order_priority]])</f>
        <v>Standard</v>
      </c>
      <c r="E4517" t="s">
        <v>13317</v>
      </c>
      <c r="F4517" t="str">
        <f>IFERROR(INDEX(customers[country], MATCH(orders[[#This Row],[customer_id]], customers[customer_id], 0)), "Unmapped")</f>
        <v>Norway</v>
      </c>
      <c r="G4517" t="str">
        <f>IFERROR(INDEX(Region_Map[Region], MATCH(orders[[#This Row],[Customer_Country]], Region_Map[Country], 0)), "Unknown")</f>
        <v>Nordics</v>
      </c>
      <c r="H4517" t="s">
        <v>6949</v>
      </c>
    </row>
    <row r="4518" spans="1:8">
      <c r="A4518" t="s">
        <v>5414</v>
      </c>
      <c r="B4518" t="s">
        <v>362</v>
      </c>
      <c r="C4518" s="1">
        <v>45246</v>
      </c>
      <c r="D4518" s="1" t="str">
        <f>PROPER(orders[[#This Row],[order_priority]])</f>
        <v>Same Day</v>
      </c>
      <c r="E4518" t="s">
        <v>13322</v>
      </c>
      <c r="F4518" t="str">
        <f>IFERROR(INDEX(customers[country], MATCH(orders[[#This Row],[customer_id]], customers[customer_id], 0)), "Unmapped")</f>
        <v>Denmark</v>
      </c>
      <c r="G4518" t="str">
        <f>IFERROR(INDEX(Region_Map[Region], MATCH(orders[[#This Row],[Customer_Country]], Region_Map[Country], 0)), "Unknown")</f>
        <v>Nordics</v>
      </c>
      <c r="H4518" t="s">
        <v>6949</v>
      </c>
    </row>
    <row r="4519" spans="1:8">
      <c r="A4519" t="s">
        <v>5415</v>
      </c>
      <c r="B4519" t="s">
        <v>741</v>
      </c>
      <c r="C4519" s="1">
        <v>45528</v>
      </c>
      <c r="D4519" s="1" t="str">
        <f>PROPER(orders[[#This Row],[order_priority]])</f>
        <v>Standard</v>
      </c>
      <c r="E4519" t="s">
        <v>13317</v>
      </c>
      <c r="F4519" t="str">
        <f>IFERROR(INDEX(customers[country], MATCH(orders[[#This Row],[customer_id]], customers[customer_id], 0)), "Unmapped")</f>
        <v>Germany</v>
      </c>
      <c r="G4519" t="str">
        <f>IFERROR(INDEX(Region_Map[Region], MATCH(orders[[#This Row],[Customer_Country]], Region_Map[Country], 0)), "Unknown")</f>
        <v>Central Europe</v>
      </c>
      <c r="H4519" t="s">
        <v>6949</v>
      </c>
    </row>
    <row r="4520" spans="1:8">
      <c r="A4520" t="s">
        <v>5416</v>
      </c>
      <c r="B4520" t="s">
        <v>413</v>
      </c>
      <c r="C4520" s="1">
        <v>45127</v>
      </c>
      <c r="D4520" s="1" t="str">
        <f>PROPER(orders[[#This Row],[order_priority]])</f>
        <v>Same Day</v>
      </c>
      <c r="E4520" t="s">
        <v>13322</v>
      </c>
      <c r="F4520" t="str">
        <f>IFERROR(INDEX(customers[country], MATCH(orders[[#This Row],[customer_id]], customers[customer_id], 0)), "Unmapped")</f>
        <v>Poland</v>
      </c>
      <c r="G4520" t="str">
        <f>IFERROR(INDEX(Region_Map[Region], MATCH(orders[[#This Row],[Customer_Country]], Region_Map[Country], 0)), "Unknown")</f>
        <v>Central Europe</v>
      </c>
      <c r="H4520" t="s">
        <v>6949</v>
      </c>
    </row>
    <row r="4521" spans="1:8">
      <c r="A4521" t="s">
        <v>5417</v>
      </c>
      <c r="B4521" t="s">
        <v>650</v>
      </c>
      <c r="C4521" s="1">
        <v>45440</v>
      </c>
      <c r="D4521" s="1" t="str">
        <f>PROPER(orders[[#This Row],[order_priority]])</f>
        <v>Same Day</v>
      </c>
      <c r="E4521" t="s">
        <v>13321</v>
      </c>
      <c r="F4521" t="str">
        <f>IFERROR(INDEX(customers[country], MATCH(orders[[#This Row],[customer_id]], customers[customer_id], 0)), "Unmapped")</f>
        <v>Poland</v>
      </c>
      <c r="G4521" t="str">
        <f>IFERROR(INDEX(Region_Map[Region], MATCH(orders[[#This Row],[Customer_Country]], Region_Map[Country], 0)), "Unknown")</f>
        <v>Central Europe</v>
      </c>
      <c r="H4521" t="s">
        <v>6949</v>
      </c>
    </row>
    <row r="4522" spans="1:8">
      <c r="A4522" t="s">
        <v>5418</v>
      </c>
      <c r="B4522" t="s">
        <v>6949</v>
      </c>
      <c r="C4522" s="1">
        <v>45295</v>
      </c>
      <c r="D4522" s="1" t="str">
        <f>PROPER(orders[[#This Row],[order_priority]])</f>
        <v>Standard</v>
      </c>
      <c r="E4522" t="s">
        <v>13317</v>
      </c>
      <c r="F4522" t="str">
        <f>IFERROR(INDEX(customers[country], MATCH(orders[[#This Row],[customer_id]], customers[customer_id], 0)), "Unmapped")</f>
        <v>Unmapped</v>
      </c>
      <c r="G4522" t="str">
        <f>IFERROR(INDEX(Region_Map[Region], MATCH(orders[[#This Row],[Customer_Country]], Region_Map[Country], 0)), "Unknown")</f>
        <v>Unknown</v>
      </c>
      <c r="H4522" t="s">
        <v>6949</v>
      </c>
    </row>
    <row r="4523" spans="1:8">
      <c r="A4523" t="s">
        <v>5419</v>
      </c>
      <c r="B4523" t="s">
        <v>638</v>
      </c>
      <c r="C4523" s="1">
        <v>45619</v>
      </c>
      <c r="D4523" s="1" t="str">
        <f>PROPER(orders[[#This Row],[order_priority]])</f>
        <v>Economy</v>
      </c>
      <c r="E4523" t="s">
        <v>13316</v>
      </c>
      <c r="F4523" t="str">
        <f>IFERROR(INDEX(customers[country], MATCH(orders[[#This Row],[customer_id]], customers[customer_id], 0)), "Unmapped")</f>
        <v>Germany</v>
      </c>
      <c r="G4523" t="str">
        <f>IFERROR(INDEX(Region_Map[Region], MATCH(orders[[#This Row],[Customer_Country]], Region_Map[Country], 0)), "Unknown")</f>
        <v>Central Europe</v>
      </c>
      <c r="H4523" t="s">
        <v>6949</v>
      </c>
    </row>
    <row r="4524" spans="1:8">
      <c r="A4524" t="s">
        <v>5420</v>
      </c>
      <c r="B4524" t="s">
        <v>413</v>
      </c>
      <c r="C4524" s="1">
        <v>45439</v>
      </c>
      <c r="D4524" s="1" t="str">
        <f>PROPER(orders[[#This Row],[order_priority]])</f>
        <v>Standard</v>
      </c>
      <c r="E4524" t="s">
        <v>13317</v>
      </c>
      <c r="F4524" t="str">
        <f>IFERROR(INDEX(customers[country], MATCH(orders[[#This Row],[customer_id]], customers[customer_id], 0)), "Unmapped")</f>
        <v>Poland</v>
      </c>
      <c r="G4524" t="str">
        <f>IFERROR(INDEX(Region_Map[Region], MATCH(orders[[#This Row],[Customer_Country]], Region_Map[Country], 0)), "Unknown")</f>
        <v>Central Europe</v>
      </c>
      <c r="H4524" t="s">
        <v>6949</v>
      </c>
    </row>
    <row r="4525" spans="1:8">
      <c r="A4525" t="s">
        <v>5421</v>
      </c>
      <c r="B4525" t="s">
        <v>282</v>
      </c>
      <c r="C4525" s="1">
        <v>45508</v>
      </c>
      <c r="D4525" s="1" t="str">
        <f>PROPER(orders[[#This Row],[order_priority]])</f>
        <v>Express</v>
      </c>
      <c r="E4525" t="s">
        <v>13318</v>
      </c>
      <c r="F4525" t="str">
        <f>IFERROR(INDEX(customers[country], MATCH(orders[[#This Row],[customer_id]], customers[customer_id], 0)), "Unmapped")</f>
        <v>Netherlands</v>
      </c>
      <c r="G4525" t="str">
        <f>IFERROR(INDEX(Region_Map[Region], MATCH(orders[[#This Row],[Customer_Country]], Region_Map[Country], 0)), "Unknown")</f>
        <v>Central Europe</v>
      </c>
      <c r="H4525" t="s">
        <v>6949</v>
      </c>
    </row>
    <row r="4526" spans="1:8">
      <c r="A4526" t="s">
        <v>5422</v>
      </c>
      <c r="B4526" t="s">
        <v>252</v>
      </c>
      <c r="C4526" s="1">
        <v>45458</v>
      </c>
      <c r="D4526" s="1" t="str">
        <f>PROPER(orders[[#This Row],[order_priority]])</f>
        <v>Economy</v>
      </c>
      <c r="E4526" t="s">
        <v>13325</v>
      </c>
      <c r="F4526" t="str">
        <f>IFERROR(INDEX(customers[country], MATCH(orders[[#This Row],[customer_id]], customers[customer_id], 0)), "Unmapped")</f>
        <v>Lithuania</v>
      </c>
      <c r="G4526" t="str">
        <f>IFERROR(INDEX(Region_Map[Region], MATCH(orders[[#This Row],[Customer_Country]], Region_Map[Country], 0)), "Unknown")</f>
        <v>Baltics</v>
      </c>
      <c r="H4526" t="s">
        <v>6949</v>
      </c>
    </row>
    <row r="4527" spans="1:8">
      <c r="A4527" t="s">
        <v>5423</v>
      </c>
      <c r="B4527" t="s">
        <v>515</v>
      </c>
      <c r="C4527" s="1">
        <v>45262</v>
      </c>
      <c r="D4527" s="1" t="str">
        <f>PROPER(orders[[#This Row],[order_priority]])</f>
        <v>Same Day</v>
      </c>
      <c r="E4527" t="s">
        <v>13322</v>
      </c>
      <c r="F4527" t="str">
        <f>IFERROR(INDEX(customers[country], MATCH(orders[[#This Row],[customer_id]], customers[customer_id], 0)), "Unmapped")</f>
        <v>Latvia</v>
      </c>
      <c r="G4527" t="str">
        <f>IFERROR(INDEX(Region_Map[Region], MATCH(orders[[#This Row],[Customer_Country]], Region_Map[Country], 0)), "Unknown")</f>
        <v>Baltics</v>
      </c>
      <c r="H4527" t="s">
        <v>6949</v>
      </c>
    </row>
    <row r="4528" spans="1:8">
      <c r="A4528" t="s">
        <v>5424</v>
      </c>
      <c r="B4528" t="s">
        <v>473</v>
      </c>
      <c r="C4528" s="1">
        <v>45259</v>
      </c>
      <c r="D4528" s="1" t="str">
        <f>PROPER(orders[[#This Row],[order_priority]])</f>
        <v>Express</v>
      </c>
      <c r="E4528" t="s">
        <v>13318</v>
      </c>
      <c r="F4528" t="str">
        <f>IFERROR(INDEX(customers[country], MATCH(orders[[#This Row],[customer_id]], customers[customer_id], 0)), "Unmapped")</f>
        <v>Netherlands</v>
      </c>
      <c r="G4528" t="str">
        <f>IFERROR(INDEX(Region_Map[Region], MATCH(orders[[#This Row],[Customer_Country]], Region_Map[Country], 0)), "Unknown")</f>
        <v>Central Europe</v>
      </c>
      <c r="H4528" t="s">
        <v>6949</v>
      </c>
    </row>
    <row r="4529" spans="1:8">
      <c r="A4529" t="s">
        <v>5425</v>
      </c>
      <c r="B4529" t="s">
        <v>38</v>
      </c>
      <c r="C4529" s="1">
        <v>45153</v>
      </c>
      <c r="D4529" s="1" t="str">
        <f>PROPER(orders[[#This Row],[order_priority]])</f>
        <v>Standard</v>
      </c>
      <c r="E4529" t="s">
        <v>13317</v>
      </c>
      <c r="F4529" t="str">
        <f>IFERROR(INDEX(customers[country], MATCH(orders[[#This Row],[customer_id]], customers[customer_id], 0)), "Unmapped")</f>
        <v>Lithuania</v>
      </c>
      <c r="G4529" t="str">
        <f>IFERROR(INDEX(Region_Map[Region], MATCH(orders[[#This Row],[Customer_Country]], Region_Map[Country], 0)), "Unknown")</f>
        <v>Baltics</v>
      </c>
      <c r="H4529" t="s">
        <v>6949</v>
      </c>
    </row>
    <row r="4530" spans="1:8">
      <c r="A4530" t="s">
        <v>5426</v>
      </c>
      <c r="B4530" t="s">
        <v>359</v>
      </c>
      <c r="C4530" s="1">
        <v>45028</v>
      </c>
      <c r="D4530" s="1" t="str">
        <f>PROPER(orders[[#This Row],[order_priority]])</f>
        <v>Express</v>
      </c>
      <c r="E4530" t="s">
        <v>13326</v>
      </c>
      <c r="F4530" t="str">
        <f>IFERROR(INDEX(customers[country], MATCH(orders[[#This Row],[customer_id]], customers[customer_id], 0)), "Unmapped")</f>
        <v>Estonia</v>
      </c>
      <c r="G4530" t="str">
        <f>IFERROR(INDEX(Region_Map[Region], MATCH(orders[[#This Row],[Customer_Country]], Region_Map[Country], 0)), "Unknown")</f>
        <v>Baltics</v>
      </c>
      <c r="H4530" t="s">
        <v>6949</v>
      </c>
    </row>
    <row r="4531" spans="1:8">
      <c r="A4531" t="s">
        <v>5427</v>
      </c>
      <c r="B4531" t="s">
        <v>861</v>
      </c>
      <c r="C4531" s="1">
        <v>45127</v>
      </c>
      <c r="D4531" s="1" t="str">
        <f>PROPER(orders[[#This Row],[order_priority]])</f>
        <v>Express</v>
      </c>
      <c r="E4531" t="s">
        <v>13318</v>
      </c>
      <c r="F4531" t="str">
        <f>IFERROR(INDEX(customers[country], MATCH(orders[[#This Row],[customer_id]], customers[customer_id], 0)), "Unmapped")</f>
        <v>Latvia</v>
      </c>
      <c r="G4531" t="str">
        <f>IFERROR(INDEX(Region_Map[Region], MATCH(orders[[#This Row],[Customer_Country]], Region_Map[Country], 0)), "Unknown")</f>
        <v>Baltics</v>
      </c>
      <c r="H4531" t="s">
        <v>6949</v>
      </c>
    </row>
    <row r="4532" spans="1:8">
      <c r="A4532" t="s">
        <v>5428</v>
      </c>
      <c r="B4532" t="s">
        <v>506</v>
      </c>
      <c r="C4532" s="1">
        <v>45239</v>
      </c>
      <c r="D4532" s="1" t="str">
        <f>PROPER(orders[[#This Row],[order_priority]])</f>
        <v>Economy</v>
      </c>
      <c r="E4532" t="s">
        <v>13316</v>
      </c>
      <c r="F4532" t="str">
        <f>IFERROR(INDEX(customers[country], MATCH(orders[[#This Row],[customer_id]], customers[customer_id], 0)), "Unmapped")</f>
        <v>Poland</v>
      </c>
      <c r="G4532" t="str">
        <f>IFERROR(INDEX(Region_Map[Region], MATCH(orders[[#This Row],[Customer_Country]], Region_Map[Country], 0)), "Unknown")</f>
        <v>Central Europe</v>
      </c>
      <c r="H4532" t="s">
        <v>6949</v>
      </c>
    </row>
    <row r="4533" spans="1:8">
      <c r="A4533" t="s">
        <v>5429</v>
      </c>
      <c r="B4533" t="s">
        <v>575</v>
      </c>
      <c r="C4533" s="1">
        <v>45197</v>
      </c>
      <c r="D4533" s="1" t="str">
        <f>PROPER(orders[[#This Row],[order_priority]])</f>
        <v>Economy</v>
      </c>
      <c r="E4533" t="s">
        <v>13316</v>
      </c>
      <c r="F4533" t="str">
        <f>IFERROR(INDEX(customers[country], MATCH(orders[[#This Row],[customer_id]], customers[customer_id], 0)), "Unmapped")</f>
        <v>Netherlands</v>
      </c>
      <c r="G4533" t="str">
        <f>IFERROR(INDEX(Region_Map[Region], MATCH(orders[[#This Row],[Customer_Country]], Region_Map[Country], 0)), "Unknown")</f>
        <v>Central Europe</v>
      </c>
      <c r="H4533" t="s">
        <v>6949</v>
      </c>
    </row>
    <row r="4534" spans="1:8">
      <c r="A4534" t="s">
        <v>5430</v>
      </c>
      <c r="B4534" t="s">
        <v>407</v>
      </c>
      <c r="C4534" s="1">
        <v>45017</v>
      </c>
      <c r="D4534" s="1" t="str">
        <f>PROPER(orders[[#This Row],[order_priority]])</f>
        <v>Same Day</v>
      </c>
      <c r="E4534" t="s">
        <v>13321</v>
      </c>
      <c r="F4534" t="str">
        <f>IFERROR(INDEX(customers[country], MATCH(orders[[#This Row],[customer_id]], customers[customer_id], 0)), "Unmapped")</f>
        <v>Poland</v>
      </c>
      <c r="G4534" t="str">
        <f>IFERROR(INDEX(Region_Map[Region], MATCH(orders[[#This Row],[Customer_Country]], Region_Map[Country], 0)), "Unknown")</f>
        <v>Central Europe</v>
      </c>
      <c r="H4534" t="s">
        <v>6949</v>
      </c>
    </row>
    <row r="4535" spans="1:8">
      <c r="A4535" t="s">
        <v>5431</v>
      </c>
      <c r="B4535" t="s">
        <v>658</v>
      </c>
      <c r="C4535" s="1">
        <v>45089</v>
      </c>
      <c r="D4535" s="1" t="str">
        <f>PROPER(orders[[#This Row],[order_priority]])</f>
        <v>Express</v>
      </c>
      <c r="E4535" t="s">
        <v>13318</v>
      </c>
      <c r="F4535" t="str">
        <f>IFERROR(INDEX(customers[country], MATCH(orders[[#This Row],[customer_id]], customers[customer_id], 0)), "Unmapped")</f>
        <v>Latvia</v>
      </c>
      <c r="G4535" t="str">
        <f>IFERROR(INDEX(Region_Map[Region], MATCH(orders[[#This Row],[Customer_Country]], Region_Map[Country], 0)), "Unknown")</f>
        <v>Baltics</v>
      </c>
      <c r="H4535" t="s">
        <v>6949</v>
      </c>
    </row>
    <row r="4536" spans="1:8">
      <c r="A4536" t="s">
        <v>5432</v>
      </c>
      <c r="B4536" t="s">
        <v>261</v>
      </c>
      <c r="C4536" s="1">
        <v>45295</v>
      </c>
      <c r="D4536" s="1" t="str">
        <f>PROPER(orders[[#This Row],[order_priority]])</f>
        <v>Same Day</v>
      </c>
      <c r="E4536" t="s">
        <v>13321</v>
      </c>
      <c r="F4536" t="str">
        <f>IFERROR(INDEX(customers[country], MATCH(orders[[#This Row],[customer_id]], customers[customer_id], 0)), "Unmapped")</f>
        <v>Germany</v>
      </c>
      <c r="G4536" t="str">
        <f>IFERROR(INDEX(Region_Map[Region], MATCH(orders[[#This Row],[Customer_Country]], Region_Map[Country], 0)), "Unknown")</f>
        <v>Central Europe</v>
      </c>
      <c r="H4536" t="s">
        <v>6949</v>
      </c>
    </row>
    <row r="4537" spans="1:8">
      <c r="A4537" t="s">
        <v>5433</v>
      </c>
      <c r="B4537" t="s">
        <v>703</v>
      </c>
      <c r="C4537" s="1">
        <v>45080</v>
      </c>
      <c r="D4537" s="1" t="str">
        <f>PROPER(orders[[#This Row],[order_priority]])</f>
        <v>Express</v>
      </c>
      <c r="E4537" t="s">
        <v>13318</v>
      </c>
      <c r="F4537" t="str">
        <f>IFERROR(INDEX(customers[country], MATCH(orders[[#This Row],[customer_id]], customers[customer_id], 0)), "Unmapped")</f>
        <v>Estonia</v>
      </c>
      <c r="G4537" t="str">
        <f>IFERROR(INDEX(Region_Map[Region], MATCH(orders[[#This Row],[Customer_Country]], Region_Map[Country], 0)), "Unknown")</f>
        <v>Baltics</v>
      </c>
      <c r="H4537" t="s">
        <v>6949</v>
      </c>
    </row>
    <row r="4538" spans="1:8">
      <c r="A4538" t="s">
        <v>5434</v>
      </c>
      <c r="B4538" t="s">
        <v>461</v>
      </c>
      <c r="C4538" s="1">
        <v>45565</v>
      </c>
      <c r="D4538" s="1" t="str">
        <f>PROPER(orders[[#This Row],[order_priority]])</f>
        <v>Economy</v>
      </c>
      <c r="E4538" t="s">
        <v>13316</v>
      </c>
      <c r="F4538" t="str">
        <f>IFERROR(INDEX(customers[country], MATCH(orders[[#This Row],[customer_id]], customers[customer_id], 0)), "Unmapped")</f>
        <v>Latvia</v>
      </c>
      <c r="G4538" t="str">
        <f>IFERROR(INDEX(Region_Map[Region], MATCH(orders[[#This Row],[Customer_Country]], Region_Map[Country], 0)), "Unknown")</f>
        <v>Baltics</v>
      </c>
      <c r="H4538" t="s">
        <v>6949</v>
      </c>
    </row>
    <row r="4539" spans="1:8">
      <c r="A4539" t="s">
        <v>5435</v>
      </c>
      <c r="B4539" t="s">
        <v>362</v>
      </c>
      <c r="C4539" s="1">
        <v>45291</v>
      </c>
      <c r="D4539" s="1" t="str">
        <f>PROPER(orders[[#This Row],[order_priority]])</f>
        <v>Standard</v>
      </c>
      <c r="E4539" t="s">
        <v>13317</v>
      </c>
      <c r="F4539" t="str">
        <f>IFERROR(INDEX(customers[country], MATCH(orders[[#This Row],[customer_id]], customers[customer_id], 0)), "Unmapped")</f>
        <v>Denmark</v>
      </c>
      <c r="G4539" t="str">
        <f>IFERROR(INDEX(Region_Map[Region], MATCH(orders[[#This Row],[Customer_Country]], Region_Map[Country], 0)), "Unknown")</f>
        <v>Nordics</v>
      </c>
      <c r="H4539" t="s">
        <v>6949</v>
      </c>
    </row>
    <row r="4540" spans="1:8">
      <c r="A4540" t="s">
        <v>5436</v>
      </c>
      <c r="B4540" t="s">
        <v>743</v>
      </c>
      <c r="C4540" s="1">
        <v>44953</v>
      </c>
      <c r="D4540" s="1" t="str">
        <f>PROPER(orders[[#This Row],[order_priority]])</f>
        <v>Standard</v>
      </c>
      <c r="E4540" t="s">
        <v>13317</v>
      </c>
      <c r="F4540" t="str">
        <f>IFERROR(INDEX(customers[country], MATCH(orders[[#This Row],[customer_id]], customers[customer_id], 0)), "Unmapped")</f>
        <v>Germany</v>
      </c>
      <c r="G4540" t="str">
        <f>IFERROR(INDEX(Region_Map[Region], MATCH(orders[[#This Row],[Customer_Country]], Region_Map[Country], 0)), "Unknown")</f>
        <v>Central Europe</v>
      </c>
      <c r="H4540" t="s">
        <v>6949</v>
      </c>
    </row>
    <row r="4541" spans="1:8">
      <c r="A4541" t="s">
        <v>5437</v>
      </c>
      <c r="B4541" t="s">
        <v>70</v>
      </c>
      <c r="C4541" s="1">
        <v>45395</v>
      </c>
      <c r="D4541" s="1" t="str">
        <f>PROPER(orders[[#This Row],[order_priority]])</f>
        <v>Same Day</v>
      </c>
      <c r="E4541" t="s">
        <v>13322</v>
      </c>
      <c r="F4541" t="str">
        <f>IFERROR(INDEX(customers[country], MATCH(orders[[#This Row],[customer_id]], customers[customer_id], 0)), "Unmapped")</f>
        <v>Estonia</v>
      </c>
      <c r="G4541" t="str">
        <f>IFERROR(INDEX(Region_Map[Region], MATCH(orders[[#This Row],[Customer_Country]], Region_Map[Country], 0)), "Unknown")</f>
        <v>Baltics</v>
      </c>
      <c r="H4541" t="s">
        <v>6949</v>
      </c>
    </row>
    <row r="4542" spans="1:8">
      <c r="A4542" t="s">
        <v>5438</v>
      </c>
      <c r="B4542" t="s">
        <v>503</v>
      </c>
      <c r="C4542" s="1">
        <v>45529</v>
      </c>
      <c r="D4542" s="1" t="str">
        <f>PROPER(orders[[#This Row],[order_priority]])</f>
        <v>Economy</v>
      </c>
      <c r="E4542" t="s">
        <v>13316</v>
      </c>
      <c r="F4542" t="str">
        <f>IFERROR(INDEX(customers[country], MATCH(orders[[#This Row],[customer_id]], customers[customer_id], 0)), "Unmapped")</f>
        <v>Denmark</v>
      </c>
      <c r="G4542" t="str">
        <f>IFERROR(INDEX(Region_Map[Region], MATCH(orders[[#This Row],[Customer_Country]], Region_Map[Country], 0)), "Unknown")</f>
        <v>Nordics</v>
      </c>
      <c r="H4542" t="s">
        <v>6949</v>
      </c>
    </row>
    <row r="4543" spans="1:8">
      <c r="A4543" t="s">
        <v>5439</v>
      </c>
      <c r="B4543" t="s">
        <v>769</v>
      </c>
      <c r="C4543" s="1">
        <v>45568</v>
      </c>
      <c r="D4543" s="1" t="str">
        <f>PROPER(orders[[#This Row],[order_priority]])</f>
        <v>Economy</v>
      </c>
      <c r="E4543" t="s">
        <v>13325</v>
      </c>
      <c r="F4543" t="str">
        <f>IFERROR(INDEX(customers[country], MATCH(orders[[#This Row],[customer_id]], customers[customer_id], 0)), "Unmapped")</f>
        <v>Latvia</v>
      </c>
      <c r="G4543" t="str">
        <f>IFERROR(INDEX(Region_Map[Region], MATCH(orders[[#This Row],[Customer_Country]], Region_Map[Country], 0)), "Unknown")</f>
        <v>Baltics</v>
      </c>
      <c r="H4543" t="s">
        <v>6949</v>
      </c>
    </row>
    <row r="4544" spans="1:8">
      <c r="A4544" t="s">
        <v>5440</v>
      </c>
      <c r="B4544" t="s">
        <v>169</v>
      </c>
      <c r="C4544" s="1">
        <v>45254</v>
      </c>
      <c r="D4544" s="1" t="str">
        <f>PROPER(orders[[#This Row],[order_priority]])</f>
        <v>Economy</v>
      </c>
      <c r="E4544" t="s">
        <v>13316</v>
      </c>
      <c r="F4544" t="str">
        <f>IFERROR(INDEX(customers[country], MATCH(orders[[#This Row],[customer_id]], customers[customer_id], 0)), "Unmapped")</f>
        <v>Norway</v>
      </c>
      <c r="G4544" t="str">
        <f>IFERROR(INDEX(Region_Map[Region], MATCH(orders[[#This Row],[Customer_Country]], Region_Map[Country], 0)), "Unknown")</f>
        <v>Nordics</v>
      </c>
      <c r="H4544" t="s">
        <v>6949</v>
      </c>
    </row>
    <row r="4545" spans="1:8">
      <c r="A4545" t="s">
        <v>5441</v>
      </c>
      <c r="B4545" t="s">
        <v>115</v>
      </c>
      <c r="C4545" s="1">
        <v>45523</v>
      </c>
      <c r="D4545" s="1" t="str">
        <f>PROPER(orders[[#This Row],[order_priority]])</f>
        <v>Standard</v>
      </c>
      <c r="E4545" t="s">
        <v>13323</v>
      </c>
      <c r="F4545" t="str">
        <f>IFERROR(INDEX(customers[country], MATCH(orders[[#This Row],[customer_id]], customers[customer_id], 0)), "Unmapped")</f>
        <v>Finland</v>
      </c>
      <c r="G4545" t="str">
        <f>IFERROR(INDEX(Region_Map[Region], MATCH(orders[[#This Row],[Customer_Country]], Region_Map[Country], 0)), "Unknown")</f>
        <v>Nordics</v>
      </c>
      <c r="H4545" t="s">
        <v>6949</v>
      </c>
    </row>
    <row r="4546" spans="1:8">
      <c r="A4546" t="s">
        <v>5442</v>
      </c>
      <c r="B4546" t="s">
        <v>303</v>
      </c>
      <c r="C4546" s="1">
        <v>45331</v>
      </c>
      <c r="D4546" s="1" t="str">
        <f>PROPER(orders[[#This Row],[order_priority]])</f>
        <v>Standard</v>
      </c>
      <c r="E4546" t="s">
        <v>13317</v>
      </c>
      <c r="F4546" t="str">
        <f>IFERROR(INDEX(customers[country], MATCH(orders[[#This Row],[customer_id]], customers[customer_id], 0)), "Unmapped")</f>
        <v>Netherlands</v>
      </c>
      <c r="G4546" t="str">
        <f>IFERROR(INDEX(Region_Map[Region], MATCH(orders[[#This Row],[Customer_Country]], Region_Map[Country], 0)), "Unknown")</f>
        <v>Central Europe</v>
      </c>
      <c r="H4546" t="s">
        <v>6949</v>
      </c>
    </row>
    <row r="4547" spans="1:8">
      <c r="A4547" t="s">
        <v>5443</v>
      </c>
      <c r="B4547" t="s">
        <v>282</v>
      </c>
      <c r="C4547" s="1">
        <v>44967</v>
      </c>
      <c r="D4547" s="1" t="str">
        <f>PROPER(orders[[#This Row],[order_priority]])</f>
        <v>Express</v>
      </c>
      <c r="E4547" t="s">
        <v>13318</v>
      </c>
      <c r="F4547" t="str">
        <f>IFERROR(INDEX(customers[country], MATCH(orders[[#This Row],[customer_id]], customers[customer_id], 0)), "Unmapped")</f>
        <v>Netherlands</v>
      </c>
      <c r="G4547" t="str">
        <f>IFERROR(INDEX(Region_Map[Region], MATCH(orders[[#This Row],[Customer_Country]], Region_Map[Country], 0)), "Unknown")</f>
        <v>Central Europe</v>
      </c>
      <c r="H4547" t="s">
        <v>6949</v>
      </c>
    </row>
    <row r="4548" spans="1:8">
      <c r="A4548" t="s">
        <v>5444</v>
      </c>
      <c r="B4548" t="s">
        <v>455</v>
      </c>
      <c r="C4548" s="1">
        <v>45006</v>
      </c>
      <c r="D4548" s="1" t="str">
        <f>PROPER(orders[[#This Row],[order_priority]])</f>
        <v>Same Day</v>
      </c>
      <c r="E4548" t="s">
        <v>13321</v>
      </c>
      <c r="F4548" t="str">
        <f>IFERROR(INDEX(customers[country], MATCH(orders[[#This Row],[customer_id]], customers[customer_id], 0)), "Unmapped")</f>
        <v>Poland</v>
      </c>
      <c r="G4548" t="str">
        <f>IFERROR(INDEX(Region_Map[Region], MATCH(orders[[#This Row],[Customer_Country]], Region_Map[Country], 0)), "Unknown")</f>
        <v>Central Europe</v>
      </c>
      <c r="H4548" t="s">
        <v>6949</v>
      </c>
    </row>
    <row r="4549" spans="1:8">
      <c r="A4549" t="s">
        <v>5445</v>
      </c>
      <c r="B4549" t="s">
        <v>353</v>
      </c>
      <c r="C4549" s="1">
        <v>45491</v>
      </c>
      <c r="D4549" s="1" t="str">
        <f>PROPER(orders[[#This Row],[order_priority]])</f>
        <v>Same Day</v>
      </c>
      <c r="E4549" t="s">
        <v>13322</v>
      </c>
      <c r="F4549" t="str">
        <f>IFERROR(INDEX(customers[country], MATCH(orders[[#This Row],[customer_id]], customers[customer_id], 0)), "Unmapped")</f>
        <v>Estonia</v>
      </c>
      <c r="G4549" t="str">
        <f>IFERROR(INDEX(Region_Map[Region], MATCH(orders[[#This Row],[Customer_Country]], Region_Map[Country], 0)), "Unknown")</f>
        <v>Baltics</v>
      </c>
      <c r="H4549" t="s">
        <v>6949</v>
      </c>
    </row>
    <row r="4550" spans="1:8">
      <c r="A4550" t="s">
        <v>5446</v>
      </c>
      <c r="B4550" t="s">
        <v>743</v>
      </c>
      <c r="C4550" s="1">
        <v>45013</v>
      </c>
      <c r="D4550" s="1" t="str">
        <f>PROPER(orders[[#This Row],[order_priority]])</f>
        <v>Economy</v>
      </c>
      <c r="E4550" t="s">
        <v>13316</v>
      </c>
      <c r="F4550" t="str">
        <f>IFERROR(INDEX(customers[country], MATCH(orders[[#This Row],[customer_id]], customers[customer_id], 0)), "Unmapped")</f>
        <v>Germany</v>
      </c>
      <c r="G4550" t="str">
        <f>IFERROR(INDEX(Region_Map[Region], MATCH(orders[[#This Row],[Customer_Country]], Region_Map[Country], 0)), "Unknown")</f>
        <v>Central Europe</v>
      </c>
      <c r="H4550" t="s">
        <v>6949</v>
      </c>
    </row>
    <row r="4551" spans="1:8">
      <c r="A4551" t="s">
        <v>5447</v>
      </c>
      <c r="B4551" t="s">
        <v>682</v>
      </c>
      <c r="C4551" s="1">
        <v>45542</v>
      </c>
      <c r="D4551" s="1" t="str">
        <f>PROPER(orders[[#This Row],[order_priority]])</f>
        <v>Express</v>
      </c>
      <c r="E4551" t="s">
        <v>13318</v>
      </c>
      <c r="F4551" t="str">
        <f>IFERROR(INDEX(customers[country], MATCH(orders[[#This Row],[customer_id]], customers[customer_id], 0)), "Unmapped")</f>
        <v>Germany</v>
      </c>
      <c r="G4551" t="str">
        <f>IFERROR(INDEX(Region_Map[Region], MATCH(orders[[#This Row],[Customer_Country]], Region_Map[Country], 0)), "Unknown")</f>
        <v>Central Europe</v>
      </c>
      <c r="H4551" t="s">
        <v>6949</v>
      </c>
    </row>
    <row r="4552" spans="1:8">
      <c r="A4552" t="s">
        <v>5448</v>
      </c>
      <c r="B4552" t="s">
        <v>811</v>
      </c>
      <c r="C4552" s="1">
        <v>45465</v>
      </c>
      <c r="D4552" s="1" t="str">
        <f>PROPER(orders[[#This Row],[order_priority]])</f>
        <v>Express</v>
      </c>
      <c r="E4552" t="s">
        <v>13318</v>
      </c>
      <c r="F4552" t="str">
        <f>IFERROR(INDEX(customers[country], MATCH(orders[[#This Row],[customer_id]], customers[customer_id], 0)), "Unmapped")</f>
        <v>Finland</v>
      </c>
      <c r="G4552" t="str">
        <f>IFERROR(INDEX(Region_Map[Region], MATCH(orders[[#This Row],[Customer_Country]], Region_Map[Country], 0)), "Unknown")</f>
        <v>Nordics</v>
      </c>
      <c r="H4552" t="s">
        <v>6949</v>
      </c>
    </row>
    <row r="4553" spans="1:8">
      <c r="A4553" t="s">
        <v>5449</v>
      </c>
      <c r="B4553" t="s">
        <v>192</v>
      </c>
      <c r="C4553" s="1">
        <v>44995</v>
      </c>
      <c r="D4553" s="1" t="str">
        <f>PROPER(orders[[#This Row],[order_priority]])</f>
        <v>Standard</v>
      </c>
      <c r="E4553" t="s">
        <v>13317</v>
      </c>
      <c r="F4553" t="str">
        <f>IFERROR(INDEX(customers[country], MATCH(orders[[#This Row],[customer_id]], customers[customer_id], 0)), "Unmapped")</f>
        <v>Estonia</v>
      </c>
      <c r="G4553" t="str">
        <f>IFERROR(INDEX(Region_Map[Region], MATCH(orders[[#This Row],[Customer_Country]], Region_Map[Country], 0)), "Unknown")</f>
        <v>Baltics</v>
      </c>
      <c r="H4553" t="s">
        <v>6949</v>
      </c>
    </row>
    <row r="4554" spans="1:8">
      <c r="A4554" t="s">
        <v>5450</v>
      </c>
      <c r="B4554" t="s">
        <v>84</v>
      </c>
      <c r="C4554" s="1">
        <v>45500</v>
      </c>
      <c r="D4554" s="1" t="str">
        <f>PROPER(orders[[#This Row],[order_priority]])</f>
        <v>Express</v>
      </c>
      <c r="E4554" t="s">
        <v>13318</v>
      </c>
      <c r="F4554" t="str">
        <f>IFERROR(INDEX(customers[country], MATCH(orders[[#This Row],[customer_id]], customers[customer_id], 0)), "Unmapped")</f>
        <v>Lithuania</v>
      </c>
      <c r="G4554" t="str">
        <f>IFERROR(INDEX(Region_Map[Region], MATCH(orders[[#This Row],[Customer_Country]], Region_Map[Country], 0)), "Unknown")</f>
        <v>Baltics</v>
      </c>
      <c r="H4554" t="s">
        <v>6949</v>
      </c>
    </row>
    <row r="4555" spans="1:8">
      <c r="A4555" t="s">
        <v>5451</v>
      </c>
      <c r="B4555" t="s">
        <v>879</v>
      </c>
      <c r="C4555" s="1">
        <v>45056</v>
      </c>
      <c r="D4555" s="1" t="str">
        <f>PROPER(orders[[#This Row],[order_priority]])</f>
        <v>Same Day</v>
      </c>
      <c r="E4555" t="s">
        <v>13322</v>
      </c>
      <c r="F4555" t="str">
        <f>IFERROR(INDEX(customers[country], MATCH(orders[[#This Row],[customer_id]], customers[customer_id], 0)), "Unmapped")</f>
        <v>Norway</v>
      </c>
      <c r="G4555" t="str">
        <f>IFERROR(INDEX(Region_Map[Region], MATCH(orders[[#This Row],[Customer_Country]], Region_Map[Country], 0)), "Unknown")</f>
        <v>Nordics</v>
      </c>
      <c r="H4555" t="s">
        <v>6949</v>
      </c>
    </row>
    <row r="4556" spans="1:8">
      <c r="A4556" t="s">
        <v>5452</v>
      </c>
      <c r="B4556" t="s">
        <v>380</v>
      </c>
      <c r="C4556" s="1">
        <v>45523</v>
      </c>
      <c r="D4556" s="1" t="str">
        <f>PROPER(orders[[#This Row],[order_priority]])</f>
        <v>Standard</v>
      </c>
      <c r="E4556" t="s">
        <v>13317</v>
      </c>
      <c r="F4556" t="str">
        <f>IFERROR(INDEX(customers[country], MATCH(orders[[#This Row],[customer_id]], customers[customer_id], 0)), "Unmapped")</f>
        <v>Sweden</v>
      </c>
      <c r="G4556" t="str">
        <f>IFERROR(INDEX(Region_Map[Region], MATCH(orders[[#This Row],[Customer_Country]], Region_Map[Country], 0)), "Unknown")</f>
        <v>Nordics</v>
      </c>
      <c r="H4556" t="s">
        <v>6949</v>
      </c>
    </row>
    <row r="4557" spans="1:8">
      <c r="A4557" t="s">
        <v>5453</v>
      </c>
      <c r="B4557" t="s">
        <v>793</v>
      </c>
      <c r="C4557" s="1">
        <v>45347</v>
      </c>
      <c r="D4557" s="1" t="str">
        <f>PROPER(orders[[#This Row],[order_priority]])</f>
        <v>Economy</v>
      </c>
      <c r="E4557" t="s">
        <v>13316</v>
      </c>
      <c r="F4557" t="str">
        <f>IFERROR(INDEX(customers[country], MATCH(orders[[#This Row],[customer_id]], customers[customer_id], 0)), "Unmapped")</f>
        <v>Sweden</v>
      </c>
      <c r="G4557" t="str">
        <f>IFERROR(INDEX(Region_Map[Region], MATCH(orders[[#This Row],[Customer_Country]], Region_Map[Country], 0)), "Unknown")</f>
        <v>Nordics</v>
      </c>
      <c r="H4557" t="s">
        <v>6949</v>
      </c>
    </row>
    <row r="4558" spans="1:8">
      <c r="A4558" t="s">
        <v>5454</v>
      </c>
      <c r="B4558" t="s">
        <v>419</v>
      </c>
      <c r="C4558" s="1">
        <v>45383</v>
      </c>
      <c r="D4558" s="1" t="str">
        <f>PROPER(orders[[#This Row],[order_priority]])</f>
        <v>Express</v>
      </c>
      <c r="E4558" t="s">
        <v>13318</v>
      </c>
      <c r="F4558" t="str">
        <f>IFERROR(INDEX(customers[country], MATCH(orders[[#This Row],[customer_id]], customers[customer_id], 0)), "Unmapped")</f>
        <v>Estonia</v>
      </c>
      <c r="G4558" t="str">
        <f>IFERROR(INDEX(Region_Map[Region], MATCH(orders[[#This Row],[Customer_Country]], Region_Map[Country], 0)), "Unknown")</f>
        <v>Baltics</v>
      </c>
      <c r="H4558" t="s">
        <v>6949</v>
      </c>
    </row>
    <row r="4559" spans="1:8">
      <c r="A4559" t="s">
        <v>5455</v>
      </c>
      <c r="B4559" t="s">
        <v>273</v>
      </c>
      <c r="C4559" s="1">
        <v>45038</v>
      </c>
      <c r="D4559" s="1" t="str">
        <f>PROPER(orders[[#This Row],[order_priority]])</f>
        <v>Express</v>
      </c>
      <c r="E4559" t="s">
        <v>13318</v>
      </c>
      <c r="F4559" t="str">
        <f>IFERROR(INDEX(customers[country], MATCH(orders[[#This Row],[customer_id]], customers[customer_id], 0)), "Unmapped")</f>
        <v>Norway</v>
      </c>
      <c r="G4559" t="str">
        <f>IFERROR(INDEX(Region_Map[Region], MATCH(orders[[#This Row],[Customer_Country]], Region_Map[Country], 0)), "Unknown")</f>
        <v>Nordics</v>
      </c>
      <c r="H4559" t="s">
        <v>6949</v>
      </c>
    </row>
    <row r="4560" spans="1:8">
      <c r="A4560" t="s">
        <v>5456</v>
      </c>
      <c r="B4560" t="s">
        <v>888</v>
      </c>
      <c r="C4560" s="1">
        <v>44960</v>
      </c>
      <c r="D4560" s="1" t="str">
        <f>PROPER(orders[[#This Row],[order_priority]])</f>
        <v>Express</v>
      </c>
      <c r="E4560" t="s">
        <v>13318</v>
      </c>
      <c r="F4560" t="str">
        <f>IFERROR(INDEX(customers[country], MATCH(orders[[#This Row],[customer_id]], customers[customer_id], 0)), "Unmapped")</f>
        <v>Denmark</v>
      </c>
      <c r="G4560" t="str">
        <f>IFERROR(INDEX(Region_Map[Region], MATCH(orders[[#This Row],[Customer_Country]], Region_Map[Country], 0)), "Unknown")</f>
        <v>Nordics</v>
      </c>
      <c r="H4560" t="s">
        <v>6949</v>
      </c>
    </row>
    <row r="4561" spans="1:8">
      <c r="A4561" t="s">
        <v>5457</v>
      </c>
      <c r="B4561" t="s">
        <v>828</v>
      </c>
      <c r="C4561" s="1">
        <v>45155</v>
      </c>
      <c r="D4561" s="1" t="str">
        <f>PROPER(orders[[#This Row],[order_priority]])</f>
        <v>Same Day</v>
      </c>
      <c r="E4561" t="s">
        <v>13322</v>
      </c>
      <c r="F4561" t="str">
        <f>IFERROR(INDEX(customers[country], MATCH(orders[[#This Row],[customer_id]], customers[customer_id], 0)), "Unmapped")</f>
        <v>Germany</v>
      </c>
      <c r="G4561" t="str">
        <f>IFERROR(INDEX(Region_Map[Region], MATCH(orders[[#This Row],[Customer_Country]], Region_Map[Country], 0)), "Unknown")</f>
        <v>Central Europe</v>
      </c>
      <c r="H4561" t="s">
        <v>6949</v>
      </c>
    </row>
    <row r="4562" spans="1:8">
      <c r="A4562" t="s">
        <v>5458</v>
      </c>
      <c r="B4562" t="s">
        <v>840</v>
      </c>
      <c r="C4562" s="1">
        <v>45264</v>
      </c>
      <c r="D4562" s="1" t="str">
        <f>PROPER(orders[[#This Row],[order_priority]])</f>
        <v>Express</v>
      </c>
      <c r="E4562" t="s">
        <v>13318</v>
      </c>
      <c r="F4562" t="str">
        <f>IFERROR(INDEX(customers[country], MATCH(orders[[#This Row],[customer_id]], customers[customer_id], 0)), "Unmapped")</f>
        <v>Finland</v>
      </c>
      <c r="G4562" t="str">
        <f>IFERROR(INDEX(Region_Map[Region], MATCH(orders[[#This Row],[Customer_Country]], Region_Map[Country], 0)), "Unknown")</f>
        <v>Nordics</v>
      </c>
      <c r="H4562" t="s">
        <v>6949</v>
      </c>
    </row>
    <row r="4563" spans="1:8">
      <c r="A4563" t="s">
        <v>5459</v>
      </c>
      <c r="B4563" t="s">
        <v>55</v>
      </c>
      <c r="C4563" s="1">
        <v>45101</v>
      </c>
      <c r="D4563" s="1" t="str">
        <f>PROPER(orders[[#This Row],[order_priority]])</f>
        <v>Express</v>
      </c>
      <c r="E4563" t="s">
        <v>13318</v>
      </c>
      <c r="F4563" t="str">
        <f>IFERROR(INDEX(customers[country], MATCH(orders[[#This Row],[customer_id]], customers[customer_id], 0)), "Unmapped")</f>
        <v>Netherlands</v>
      </c>
      <c r="G4563" t="str">
        <f>IFERROR(INDEX(Region_Map[Region], MATCH(orders[[#This Row],[Customer_Country]], Region_Map[Country], 0)), "Unknown")</f>
        <v>Central Europe</v>
      </c>
      <c r="H4563" t="s">
        <v>6949</v>
      </c>
    </row>
    <row r="4564" spans="1:8">
      <c r="A4564" t="s">
        <v>5460</v>
      </c>
      <c r="B4564" t="s">
        <v>563</v>
      </c>
      <c r="C4564" s="1">
        <v>45350</v>
      </c>
      <c r="D4564" s="1" t="str">
        <f>PROPER(orders[[#This Row],[order_priority]])</f>
        <v>Standard</v>
      </c>
      <c r="E4564" t="s">
        <v>13317</v>
      </c>
      <c r="F4564" t="str">
        <f>IFERROR(INDEX(customers[country], MATCH(orders[[#This Row],[customer_id]], customers[customer_id], 0)), "Unmapped")</f>
        <v>Estonia</v>
      </c>
      <c r="G4564" t="str">
        <f>IFERROR(INDEX(Region_Map[Region], MATCH(orders[[#This Row],[Customer_Country]], Region_Map[Country], 0)), "Unknown")</f>
        <v>Baltics</v>
      </c>
      <c r="H4564" t="s">
        <v>6949</v>
      </c>
    </row>
    <row r="4565" spans="1:8">
      <c r="A4565" t="s">
        <v>5461</v>
      </c>
      <c r="B4565" t="s">
        <v>867</v>
      </c>
      <c r="C4565" s="1">
        <v>45276</v>
      </c>
      <c r="D4565" s="1" t="str">
        <f>PROPER(orders[[#This Row],[order_priority]])</f>
        <v>Express</v>
      </c>
      <c r="E4565" t="s">
        <v>13320</v>
      </c>
      <c r="F4565" t="str">
        <f>IFERROR(INDEX(customers[country], MATCH(orders[[#This Row],[customer_id]], customers[customer_id], 0)), "Unmapped")</f>
        <v>Denmark</v>
      </c>
      <c r="G4565" t="str">
        <f>IFERROR(INDEX(Region_Map[Region], MATCH(orders[[#This Row],[Customer_Country]], Region_Map[Country], 0)), "Unknown")</f>
        <v>Nordics</v>
      </c>
      <c r="H4565" t="s">
        <v>6949</v>
      </c>
    </row>
    <row r="4566" spans="1:8">
      <c r="A4566" t="s">
        <v>5462</v>
      </c>
      <c r="B4566" t="s">
        <v>276</v>
      </c>
      <c r="C4566" s="1">
        <v>44931</v>
      </c>
      <c r="D4566" s="1" t="str">
        <f>PROPER(orders[[#This Row],[order_priority]])</f>
        <v>Express</v>
      </c>
      <c r="E4566" t="s">
        <v>13318</v>
      </c>
      <c r="F4566" t="str">
        <f>IFERROR(INDEX(customers[country], MATCH(orders[[#This Row],[customer_id]], customers[customer_id], 0)), "Unmapped")</f>
        <v>Sweden</v>
      </c>
      <c r="G4566" t="str">
        <f>IFERROR(INDEX(Region_Map[Region], MATCH(orders[[#This Row],[Customer_Country]], Region_Map[Country], 0)), "Unknown")</f>
        <v>Nordics</v>
      </c>
      <c r="H4566" t="s">
        <v>6949</v>
      </c>
    </row>
    <row r="4567" spans="1:8">
      <c r="A4567" t="s">
        <v>5463</v>
      </c>
      <c r="B4567" t="s">
        <v>341</v>
      </c>
      <c r="C4567" s="1">
        <v>45401</v>
      </c>
      <c r="D4567" s="1" t="str">
        <f>PROPER(orders[[#This Row],[order_priority]])</f>
        <v>Express</v>
      </c>
      <c r="E4567" t="s">
        <v>13318</v>
      </c>
      <c r="F4567" t="str">
        <f>IFERROR(INDEX(customers[country], MATCH(orders[[#This Row],[customer_id]], customers[customer_id], 0)), "Unmapped")</f>
        <v>Latvia</v>
      </c>
      <c r="G4567" t="str">
        <f>IFERROR(INDEX(Region_Map[Region], MATCH(orders[[#This Row],[Customer_Country]], Region_Map[Country], 0)), "Unknown")</f>
        <v>Baltics</v>
      </c>
      <c r="H4567" t="s">
        <v>6949</v>
      </c>
    </row>
    <row r="4568" spans="1:8">
      <c r="A4568" t="s">
        <v>5464</v>
      </c>
      <c r="B4568" t="s">
        <v>644</v>
      </c>
      <c r="C4568" s="1">
        <v>45286</v>
      </c>
      <c r="D4568" s="1" t="str">
        <f>PROPER(orders[[#This Row],[order_priority]])</f>
        <v>Economy</v>
      </c>
      <c r="E4568" t="s">
        <v>13316</v>
      </c>
      <c r="F4568" t="str">
        <f>IFERROR(INDEX(customers[country], MATCH(orders[[#This Row],[customer_id]], customers[customer_id], 0)), "Unmapped")</f>
        <v>Germany</v>
      </c>
      <c r="G4568" t="str">
        <f>IFERROR(INDEX(Region_Map[Region], MATCH(orders[[#This Row],[Customer_Country]], Region_Map[Country], 0)), "Unknown")</f>
        <v>Central Europe</v>
      </c>
      <c r="H4568" t="s">
        <v>6949</v>
      </c>
    </row>
    <row r="4569" spans="1:8">
      <c r="A4569" t="s">
        <v>5465</v>
      </c>
      <c r="B4569" t="s">
        <v>410</v>
      </c>
      <c r="C4569" s="1">
        <v>45164</v>
      </c>
      <c r="D4569" s="1" t="str">
        <f>PROPER(orders[[#This Row],[order_priority]])</f>
        <v>Express</v>
      </c>
      <c r="E4569" t="s">
        <v>13318</v>
      </c>
      <c r="F4569" t="str">
        <f>IFERROR(INDEX(customers[country], MATCH(orders[[#This Row],[customer_id]], customers[customer_id], 0)), "Unmapped")</f>
        <v>Norway</v>
      </c>
      <c r="G4569" t="str">
        <f>IFERROR(INDEX(Region_Map[Region], MATCH(orders[[#This Row],[Customer_Country]], Region_Map[Country], 0)), "Unknown")</f>
        <v>Nordics</v>
      </c>
      <c r="H4569" t="s">
        <v>6949</v>
      </c>
    </row>
    <row r="4570" spans="1:8">
      <c r="A4570" t="s">
        <v>5466</v>
      </c>
      <c r="B4570" t="s">
        <v>864</v>
      </c>
      <c r="C4570" s="1">
        <v>45146</v>
      </c>
      <c r="D4570" s="1" t="str">
        <f>PROPER(orders[[#This Row],[order_priority]])</f>
        <v>Same Day</v>
      </c>
      <c r="E4570" t="s">
        <v>13322</v>
      </c>
      <c r="F4570" t="str">
        <f>IFERROR(INDEX(customers[country], MATCH(orders[[#This Row],[customer_id]], customers[customer_id], 0)), "Unmapped")</f>
        <v>Finland</v>
      </c>
      <c r="G4570" t="str">
        <f>IFERROR(INDEX(Region_Map[Region], MATCH(orders[[#This Row],[Customer_Country]], Region_Map[Country], 0)), "Unknown")</f>
        <v>Nordics</v>
      </c>
      <c r="H4570" t="s">
        <v>6949</v>
      </c>
    </row>
    <row r="4571" spans="1:8">
      <c r="A4571" t="s">
        <v>5467</v>
      </c>
      <c r="B4571" t="s">
        <v>891</v>
      </c>
      <c r="C4571" s="1">
        <v>44945</v>
      </c>
      <c r="D4571" s="1" t="str">
        <f>PROPER(orders[[#This Row],[order_priority]])</f>
        <v>Economy</v>
      </c>
      <c r="E4571" t="s">
        <v>13316</v>
      </c>
      <c r="F4571" t="str">
        <f>IFERROR(INDEX(customers[country], MATCH(orders[[#This Row],[customer_id]], customers[customer_id], 0)), "Unmapped")</f>
        <v>Netherlands</v>
      </c>
      <c r="G4571" t="str">
        <f>IFERROR(INDEX(Region_Map[Region], MATCH(orders[[#This Row],[Customer_Country]], Region_Map[Country], 0)), "Unknown")</f>
        <v>Central Europe</v>
      </c>
      <c r="H4571" t="s">
        <v>6949</v>
      </c>
    </row>
    <row r="4572" spans="1:8">
      <c r="A4572" t="s">
        <v>5468</v>
      </c>
      <c r="B4572" t="s">
        <v>805</v>
      </c>
      <c r="C4572" s="1">
        <v>45487</v>
      </c>
      <c r="D4572" s="1" t="str">
        <f>PROPER(orders[[#This Row],[order_priority]])</f>
        <v>Express</v>
      </c>
      <c r="E4572" t="s">
        <v>13318</v>
      </c>
      <c r="F4572" t="str">
        <f>IFERROR(INDEX(customers[country], MATCH(orders[[#This Row],[customer_id]], customers[customer_id], 0)), "Unmapped")</f>
        <v>Estonia</v>
      </c>
      <c r="G4572" t="str">
        <f>IFERROR(INDEX(Region_Map[Region], MATCH(orders[[#This Row],[Customer_Country]], Region_Map[Country], 0)), "Unknown")</f>
        <v>Baltics</v>
      </c>
      <c r="H4572" t="s">
        <v>6949</v>
      </c>
    </row>
    <row r="4573" spans="1:8">
      <c r="A4573" t="s">
        <v>5469</v>
      </c>
      <c r="B4573" t="s">
        <v>858</v>
      </c>
      <c r="C4573" s="1">
        <v>45623</v>
      </c>
      <c r="D4573" s="1" t="str">
        <f>PROPER(orders[[#This Row],[order_priority]])</f>
        <v>Same Day</v>
      </c>
      <c r="E4573" t="s">
        <v>13322</v>
      </c>
      <c r="F4573" t="str">
        <f>IFERROR(INDEX(customers[country], MATCH(orders[[#This Row],[customer_id]], customers[customer_id], 0)), "Unmapped")</f>
        <v>Lithuania</v>
      </c>
      <c r="G4573" t="str">
        <f>IFERROR(INDEX(Region_Map[Region], MATCH(orders[[#This Row],[Customer_Country]], Region_Map[Country], 0)), "Unknown")</f>
        <v>Baltics</v>
      </c>
      <c r="H4573" t="s">
        <v>6949</v>
      </c>
    </row>
    <row r="4574" spans="1:8">
      <c r="A4574" t="s">
        <v>5470</v>
      </c>
      <c r="B4574" t="s">
        <v>300</v>
      </c>
      <c r="C4574" s="1">
        <v>44989</v>
      </c>
      <c r="D4574" s="1" t="str">
        <f>PROPER(orders[[#This Row],[order_priority]])</f>
        <v>Express</v>
      </c>
      <c r="E4574" t="s">
        <v>13318</v>
      </c>
      <c r="F4574" t="str">
        <f>IFERROR(INDEX(customers[country], MATCH(orders[[#This Row],[customer_id]], customers[customer_id], 0)), "Unmapped")</f>
        <v>Poland</v>
      </c>
      <c r="G4574" t="str">
        <f>IFERROR(INDEX(Region_Map[Region], MATCH(orders[[#This Row],[Customer_Country]], Region_Map[Country], 0)), "Unknown")</f>
        <v>Central Europe</v>
      </c>
      <c r="H4574" t="s">
        <v>6949</v>
      </c>
    </row>
    <row r="4575" spans="1:8">
      <c r="A4575" t="s">
        <v>5471</v>
      </c>
      <c r="B4575" t="s">
        <v>198</v>
      </c>
      <c r="C4575" s="1">
        <v>45080</v>
      </c>
      <c r="D4575" s="1" t="str">
        <f>PROPER(orders[[#This Row],[order_priority]])</f>
        <v>Express</v>
      </c>
      <c r="E4575" t="s">
        <v>13318</v>
      </c>
      <c r="F4575" t="str">
        <f>IFERROR(INDEX(customers[country], MATCH(orders[[#This Row],[customer_id]], customers[customer_id], 0)), "Unmapped")</f>
        <v>Poland</v>
      </c>
      <c r="G4575" t="str">
        <f>IFERROR(INDEX(Region_Map[Region], MATCH(orders[[#This Row],[Customer_Country]], Region_Map[Country], 0)), "Unknown")</f>
        <v>Central Europe</v>
      </c>
      <c r="H4575" t="s">
        <v>6949</v>
      </c>
    </row>
    <row r="4576" spans="1:8">
      <c r="A4576" t="s">
        <v>5472</v>
      </c>
      <c r="B4576" t="s">
        <v>398</v>
      </c>
      <c r="C4576" s="1">
        <v>45116</v>
      </c>
      <c r="D4576" s="1" t="str">
        <f>PROPER(orders[[#This Row],[order_priority]])</f>
        <v>Standard</v>
      </c>
      <c r="E4576" t="s">
        <v>13317</v>
      </c>
      <c r="F4576" t="str">
        <f>IFERROR(INDEX(customers[country], MATCH(orders[[#This Row],[customer_id]], customers[customer_id], 0)), "Unmapped")</f>
        <v>Sweden</v>
      </c>
      <c r="G4576" t="str">
        <f>IFERROR(INDEX(Region_Map[Region], MATCH(orders[[#This Row],[Customer_Country]], Region_Map[Country], 0)), "Unknown")</f>
        <v>Nordics</v>
      </c>
      <c r="H4576" t="s">
        <v>6949</v>
      </c>
    </row>
    <row r="4577" spans="1:8">
      <c r="A4577" t="s">
        <v>5473</v>
      </c>
      <c r="B4577" t="s">
        <v>876</v>
      </c>
      <c r="C4577" s="1">
        <v>44990</v>
      </c>
      <c r="D4577" s="1" t="str">
        <f>PROPER(orders[[#This Row],[order_priority]])</f>
        <v>Standard</v>
      </c>
      <c r="E4577" t="s">
        <v>13319</v>
      </c>
      <c r="F4577" t="str">
        <f>IFERROR(INDEX(customers[country], MATCH(orders[[#This Row],[customer_id]], customers[customer_id], 0)), "Unmapped")</f>
        <v>Estonia</v>
      </c>
      <c r="G4577" t="str">
        <f>IFERROR(INDEX(Region_Map[Region], MATCH(orders[[#This Row],[Customer_Country]], Region_Map[Country], 0)), "Unknown")</f>
        <v>Baltics</v>
      </c>
      <c r="H4577" t="s">
        <v>6949</v>
      </c>
    </row>
    <row r="4578" spans="1:8">
      <c r="A4578" t="s">
        <v>5474</v>
      </c>
      <c r="B4578" t="s">
        <v>431</v>
      </c>
      <c r="C4578" s="1">
        <v>44931</v>
      </c>
      <c r="D4578" s="1" t="str">
        <f>PROPER(orders[[#This Row],[order_priority]])</f>
        <v>Express</v>
      </c>
      <c r="E4578" t="s">
        <v>13318</v>
      </c>
      <c r="F4578" t="str">
        <f>IFERROR(INDEX(customers[country], MATCH(orders[[#This Row],[customer_id]], customers[customer_id], 0)), "Unmapped")</f>
        <v>Sweden</v>
      </c>
      <c r="G4578" t="str">
        <f>IFERROR(INDEX(Region_Map[Region], MATCH(orders[[#This Row],[Customer_Country]], Region_Map[Country], 0)), "Unknown")</f>
        <v>Nordics</v>
      </c>
      <c r="H4578" t="s">
        <v>6949</v>
      </c>
    </row>
    <row r="4579" spans="1:8">
      <c r="A4579" t="s">
        <v>5475</v>
      </c>
      <c r="B4579" t="s">
        <v>6</v>
      </c>
      <c r="C4579" s="1">
        <v>45217</v>
      </c>
      <c r="D4579" s="1" t="str">
        <f>PROPER(orders[[#This Row],[order_priority]])</f>
        <v>Express</v>
      </c>
      <c r="E4579" t="s">
        <v>13318</v>
      </c>
      <c r="F4579" t="str">
        <f>IFERROR(INDEX(customers[country], MATCH(orders[[#This Row],[customer_id]], customers[customer_id], 0)), "Unmapped")</f>
        <v>Latvia</v>
      </c>
      <c r="G4579" t="str">
        <f>IFERROR(INDEX(Region_Map[Region], MATCH(orders[[#This Row],[Customer_Country]], Region_Map[Country], 0)), "Unknown")</f>
        <v>Baltics</v>
      </c>
      <c r="H4579" t="s">
        <v>6949</v>
      </c>
    </row>
    <row r="4580" spans="1:8">
      <c r="A4580" t="s">
        <v>5476</v>
      </c>
      <c r="B4580" t="s">
        <v>641</v>
      </c>
      <c r="C4580" s="1">
        <v>45316</v>
      </c>
      <c r="D4580" s="1" t="str">
        <f>PROPER(orders[[#This Row],[order_priority]])</f>
        <v>Express</v>
      </c>
      <c r="E4580" t="s">
        <v>13318</v>
      </c>
      <c r="F4580" t="str">
        <f>IFERROR(INDEX(customers[country], MATCH(orders[[#This Row],[customer_id]], customers[customer_id], 0)), "Unmapped")</f>
        <v>Poland</v>
      </c>
      <c r="G4580" t="str">
        <f>IFERROR(INDEX(Region_Map[Region], MATCH(orders[[#This Row],[Customer_Country]], Region_Map[Country], 0)), "Unknown")</f>
        <v>Central Europe</v>
      </c>
      <c r="H4580" t="s">
        <v>6949</v>
      </c>
    </row>
    <row r="4581" spans="1:8">
      <c r="A4581" t="s">
        <v>5477</v>
      </c>
      <c r="B4581" t="s">
        <v>724</v>
      </c>
      <c r="C4581" s="1">
        <v>45286</v>
      </c>
      <c r="D4581" s="1" t="str">
        <f>PROPER(orders[[#This Row],[order_priority]])</f>
        <v>Express</v>
      </c>
      <c r="E4581" t="s">
        <v>13318</v>
      </c>
      <c r="F4581" t="str">
        <f>IFERROR(INDEX(customers[country], MATCH(orders[[#This Row],[customer_id]], customers[customer_id], 0)), "Unmapped")</f>
        <v>Denmark</v>
      </c>
      <c r="G4581" t="str">
        <f>IFERROR(INDEX(Region_Map[Region], MATCH(orders[[#This Row],[Customer_Country]], Region_Map[Country], 0)), "Unknown")</f>
        <v>Nordics</v>
      </c>
      <c r="H4581" t="s">
        <v>6949</v>
      </c>
    </row>
    <row r="4582" spans="1:8">
      <c r="A4582" t="s">
        <v>5478</v>
      </c>
      <c r="B4582" t="s">
        <v>374</v>
      </c>
      <c r="C4582" s="1">
        <v>45228</v>
      </c>
      <c r="D4582" s="1" t="str">
        <f>PROPER(orders[[#This Row],[order_priority]])</f>
        <v>Same Day</v>
      </c>
      <c r="E4582" t="s">
        <v>13322</v>
      </c>
      <c r="F4582" t="str">
        <f>IFERROR(INDEX(customers[country], MATCH(orders[[#This Row],[customer_id]], customers[customer_id], 0)), "Unmapped")</f>
        <v>Estonia</v>
      </c>
      <c r="G4582" t="str">
        <f>IFERROR(INDEX(Region_Map[Region], MATCH(orders[[#This Row],[Customer_Country]], Region_Map[Country], 0)), "Unknown")</f>
        <v>Baltics</v>
      </c>
      <c r="H4582" t="s">
        <v>6949</v>
      </c>
    </row>
    <row r="4583" spans="1:8">
      <c r="A4583" t="s">
        <v>5479</v>
      </c>
      <c r="B4583" t="s">
        <v>539</v>
      </c>
      <c r="C4583" s="1">
        <v>45283</v>
      </c>
      <c r="D4583" s="1" t="str">
        <f>PROPER(orders[[#This Row],[order_priority]])</f>
        <v>Standard</v>
      </c>
      <c r="E4583" t="s">
        <v>13317</v>
      </c>
      <c r="F4583" t="str">
        <f>IFERROR(INDEX(customers[country], MATCH(orders[[#This Row],[customer_id]], customers[customer_id], 0)), "Unmapped")</f>
        <v>Sweden</v>
      </c>
      <c r="G4583" t="str">
        <f>IFERROR(INDEX(Region_Map[Region], MATCH(orders[[#This Row],[Customer_Country]], Region_Map[Country], 0)), "Unknown")</f>
        <v>Nordics</v>
      </c>
      <c r="H4583" t="s">
        <v>6949</v>
      </c>
    </row>
    <row r="4584" spans="1:8">
      <c r="A4584" t="s">
        <v>5480</v>
      </c>
      <c r="B4584" t="s">
        <v>769</v>
      </c>
      <c r="C4584" s="1">
        <v>45382</v>
      </c>
      <c r="D4584" s="1" t="str">
        <f>PROPER(orders[[#This Row],[order_priority]])</f>
        <v>Same Day</v>
      </c>
      <c r="E4584" t="s">
        <v>13322</v>
      </c>
      <c r="F4584" t="str">
        <f>IFERROR(INDEX(customers[country], MATCH(orders[[#This Row],[customer_id]], customers[customer_id], 0)), "Unmapped")</f>
        <v>Latvia</v>
      </c>
      <c r="G4584" t="str">
        <f>IFERROR(INDEX(Region_Map[Region], MATCH(orders[[#This Row],[Customer_Country]], Region_Map[Country], 0)), "Unknown")</f>
        <v>Baltics</v>
      </c>
      <c r="H4584" t="s">
        <v>6949</v>
      </c>
    </row>
    <row r="4585" spans="1:8">
      <c r="A4585" t="s">
        <v>5481</v>
      </c>
      <c r="B4585" t="s">
        <v>276</v>
      </c>
      <c r="C4585" s="1">
        <v>45314</v>
      </c>
      <c r="D4585" s="1" t="str">
        <f>PROPER(orders[[#This Row],[order_priority]])</f>
        <v>Same Day</v>
      </c>
      <c r="E4585" t="s">
        <v>13322</v>
      </c>
      <c r="F4585" t="str">
        <f>IFERROR(INDEX(customers[country], MATCH(orders[[#This Row],[customer_id]], customers[customer_id], 0)), "Unmapped")</f>
        <v>Sweden</v>
      </c>
      <c r="G4585" t="str">
        <f>IFERROR(INDEX(Region_Map[Region], MATCH(orders[[#This Row],[Customer_Country]], Region_Map[Country], 0)), "Unknown")</f>
        <v>Nordics</v>
      </c>
      <c r="H4585" t="s">
        <v>6949</v>
      </c>
    </row>
    <row r="4586" spans="1:8">
      <c r="A4586" t="s">
        <v>5482</v>
      </c>
      <c r="B4586" t="s">
        <v>51</v>
      </c>
      <c r="C4586" s="1">
        <v>45456</v>
      </c>
      <c r="D4586" s="1" t="str">
        <f>PROPER(orders[[#This Row],[order_priority]])</f>
        <v>Express</v>
      </c>
      <c r="E4586" t="s">
        <v>13318</v>
      </c>
      <c r="F4586" t="str">
        <f>IFERROR(INDEX(customers[country], MATCH(orders[[#This Row],[customer_id]], customers[customer_id], 0)), "Unmapped")</f>
        <v>Germany</v>
      </c>
      <c r="G4586" t="str">
        <f>IFERROR(INDEX(Region_Map[Region], MATCH(orders[[#This Row],[Customer_Country]], Region_Map[Country], 0)), "Unknown")</f>
        <v>Central Europe</v>
      </c>
      <c r="H4586" t="s">
        <v>6949</v>
      </c>
    </row>
    <row r="4587" spans="1:8">
      <c r="A4587" t="s">
        <v>5483</v>
      </c>
      <c r="B4587" t="s">
        <v>84</v>
      </c>
      <c r="C4587" s="1">
        <v>45088</v>
      </c>
      <c r="D4587" s="1" t="str">
        <f>PROPER(orders[[#This Row],[order_priority]])</f>
        <v>Economy</v>
      </c>
      <c r="E4587" t="s">
        <v>13316</v>
      </c>
      <c r="F4587" t="str">
        <f>IFERROR(INDEX(customers[country], MATCH(orders[[#This Row],[customer_id]], customers[customer_id], 0)), "Unmapped")</f>
        <v>Lithuania</v>
      </c>
      <c r="G4587" t="str">
        <f>IFERROR(INDEX(Region_Map[Region], MATCH(orders[[#This Row],[Customer_Country]], Region_Map[Country], 0)), "Unknown")</f>
        <v>Baltics</v>
      </c>
      <c r="H4587" t="s">
        <v>6949</v>
      </c>
    </row>
    <row r="4588" spans="1:8">
      <c r="A4588" t="s">
        <v>5484</v>
      </c>
      <c r="B4588" t="s">
        <v>329</v>
      </c>
      <c r="C4588" s="1">
        <v>45414</v>
      </c>
      <c r="D4588" s="1" t="str">
        <f>PROPER(orders[[#This Row],[order_priority]])</f>
        <v>Express</v>
      </c>
      <c r="E4588" t="s">
        <v>13318</v>
      </c>
      <c r="F4588" t="str">
        <f>IFERROR(INDEX(customers[country], MATCH(orders[[#This Row],[customer_id]], customers[customer_id], 0)), "Unmapped")</f>
        <v>Poland</v>
      </c>
      <c r="G4588" t="str">
        <f>IFERROR(INDEX(Region_Map[Region], MATCH(orders[[#This Row],[Customer_Country]], Region_Map[Country], 0)), "Unknown")</f>
        <v>Central Europe</v>
      </c>
      <c r="H4588" t="s">
        <v>6949</v>
      </c>
    </row>
    <row r="4589" spans="1:8">
      <c r="A4589" t="s">
        <v>5485</v>
      </c>
      <c r="B4589" t="s">
        <v>306</v>
      </c>
      <c r="C4589" s="1">
        <v>45316</v>
      </c>
      <c r="D4589" s="1" t="str">
        <f>PROPER(orders[[#This Row],[order_priority]])</f>
        <v>Economy</v>
      </c>
      <c r="E4589" t="s">
        <v>13316</v>
      </c>
      <c r="F4589" t="str">
        <f>IFERROR(INDEX(customers[country], MATCH(orders[[#This Row],[customer_id]], customers[customer_id], 0)), "Unmapped")</f>
        <v>Estonia</v>
      </c>
      <c r="G4589" t="str">
        <f>IFERROR(INDEX(Region_Map[Region], MATCH(orders[[#This Row],[Customer_Country]], Region_Map[Country], 0)), "Unknown")</f>
        <v>Baltics</v>
      </c>
      <c r="H4589" t="s">
        <v>6949</v>
      </c>
    </row>
    <row r="4590" spans="1:8">
      <c r="A4590" t="s">
        <v>5486</v>
      </c>
      <c r="B4590" t="s">
        <v>347</v>
      </c>
      <c r="C4590" s="1">
        <v>45279</v>
      </c>
      <c r="D4590" s="1" t="str">
        <f>PROPER(orders[[#This Row],[order_priority]])</f>
        <v>Standard</v>
      </c>
      <c r="E4590" t="s">
        <v>13317</v>
      </c>
      <c r="F4590" t="str">
        <f>IFERROR(INDEX(customers[country], MATCH(orders[[#This Row],[customer_id]], customers[customer_id], 0)), "Unmapped")</f>
        <v>Norway</v>
      </c>
      <c r="G4590" t="str">
        <f>IFERROR(INDEX(Region_Map[Region], MATCH(orders[[#This Row],[Customer_Country]], Region_Map[Country], 0)), "Unknown")</f>
        <v>Nordics</v>
      </c>
      <c r="H4590" t="s">
        <v>6949</v>
      </c>
    </row>
    <row r="4591" spans="1:8">
      <c r="A4591" t="s">
        <v>5487</v>
      </c>
      <c r="B4591" t="s">
        <v>252</v>
      </c>
      <c r="C4591" s="1">
        <v>45379</v>
      </c>
      <c r="D4591" s="1" t="str">
        <f>PROPER(orders[[#This Row],[order_priority]])</f>
        <v>Same Day</v>
      </c>
      <c r="E4591" t="s">
        <v>13322</v>
      </c>
      <c r="F4591" t="str">
        <f>IFERROR(INDEX(customers[country], MATCH(orders[[#This Row],[customer_id]], customers[customer_id], 0)), "Unmapped")</f>
        <v>Lithuania</v>
      </c>
      <c r="G4591" t="str">
        <f>IFERROR(INDEX(Region_Map[Region], MATCH(orders[[#This Row],[Customer_Country]], Region_Map[Country], 0)), "Unknown")</f>
        <v>Baltics</v>
      </c>
      <c r="H4591" t="s">
        <v>6949</v>
      </c>
    </row>
    <row r="4592" spans="1:8">
      <c r="A4592" t="s">
        <v>5488</v>
      </c>
      <c r="B4592" t="s">
        <v>258</v>
      </c>
      <c r="C4592" s="1">
        <v>44929</v>
      </c>
      <c r="D4592" s="1" t="str">
        <f>PROPER(orders[[#This Row],[order_priority]])</f>
        <v>Economy</v>
      </c>
      <c r="E4592" t="s">
        <v>13316</v>
      </c>
      <c r="F4592" t="str">
        <f>IFERROR(INDEX(customers[country], MATCH(orders[[#This Row],[customer_id]], customers[customer_id], 0)), "Unmapped")</f>
        <v>Latvia</v>
      </c>
      <c r="G4592" t="str">
        <f>IFERROR(INDEX(Region_Map[Region], MATCH(orders[[#This Row],[Customer_Country]], Region_Map[Country], 0)), "Unknown")</f>
        <v>Baltics</v>
      </c>
      <c r="H4592" t="s">
        <v>6949</v>
      </c>
    </row>
    <row r="4593" spans="1:8">
      <c r="A4593" t="s">
        <v>5489</v>
      </c>
      <c r="B4593" t="s">
        <v>599</v>
      </c>
      <c r="C4593" s="1">
        <v>45197</v>
      </c>
      <c r="D4593" s="1" t="str">
        <f>PROPER(orders[[#This Row],[order_priority]])</f>
        <v>Economy</v>
      </c>
      <c r="E4593" t="s">
        <v>13316</v>
      </c>
      <c r="F4593" t="str">
        <f>IFERROR(INDEX(customers[country], MATCH(orders[[#This Row],[customer_id]], customers[customer_id], 0)), "Unmapped")</f>
        <v>Germany</v>
      </c>
      <c r="G4593" t="str">
        <f>IFERROR(INDEX(Region_Map[Region], MATCH(orders[[#This Row],[Customer_Country]], Region_Map[Country], 0)), "Unknown")</f>
        <v>Central Europe</v>
      </c>
      <c r="H4593" t="s">
        <v>6949</v>
      </c>
    </row>
    <row r="4594" spans="1:8">
      <c r="A4594" t="s">
        <v>5490</v>
      </c>
      <c r="B4594" t="s">
        <v>727</v>
      </c>
      <c r="C4594" s="1">
        <v>44931</v>
      </c>
      <c r="D4594" s="1" t="str">
        <f>PROPER(orders[[#This Row],[order_priority]])</f>
        <v>Economy</v>
      </c>
      <c r="E4594" t="s">
        <v>13316</v>
      </c>
      <c r="F4594" t="str">
        <f>IFERROR(INDEX(customers[country], MATCH(orders[[#This Row],[customer_id]], customers[customer_id], 0)), "Unmapped")</f>
        <v>Sweden</v>
      </c>
      <c r="G4594" t="str">
        <f>IFERROR(INDEX(Region_Map[Region], MATCH(orders[[#This Row],[Customer_Country]], Region_Map[Country], 0)), "Unknown")</f>
        <v>Nordics</v>
      </c>
      <c r="H4594" t="s">
        <v>6949</v>
      </c>
    </row>
    <row r="4595" spans="1:8">
      <c r="A4595" t="s">
        <v>5491</v>
      </c>
      <c r="B4595" t="s">
        <v>494</v>
      </c>
      <c r="C4595" s="1">
        <v>45257</v>
      </c>
      <c r="D4595" s="1" t="str">
        <f>PROPER(orders[[#This Row],[order_priority]])</f>
        <v>Standard</v>
      </c>
      <c r="E4595" t="s">
        <v>13323</v>
      </c>
      <c r="F4595" t="str">
        <f>IFERROR(INDEX(customers[country], MATCH(orders[[#This Row],[customer_id]], customers[customer_id], 0)), "Unmapped")</f>
        <v>Sweden</v>
      </c>
      <c r="G4595" t="str">
        <f>IFERROR(INDEX(Region_Map[Region], MATCH(orders[[#This Row],[Customer_Country]], Region_Map[Country], 0)), "Unknown")</f>
        <v>Nordics</v>
      </c>
      <c r="H4595" t="s">
        <v>6949</v>
      </c>
    </row>
    <row r="4596" spans="1:8">
      <c r="A4596" t="s">
        <v>5492</v>
      </c>
      <c r="B4596" t="s">
        <v>344</v>
      </c>
      <c r="C4596" s="1">
        <v>45296</v>
      </c>
      <c r="D4596" s="1" t="str">
        <f>PROPER(orders[[#This Row],[order_priority]])</f>
        <v>Express</v>
      </c>
      <c r="E4596" t="s">
        <v>13318</v>
      </c>
      <c r="F4596" t="str">
        <f>IFERROR(INDEX(customers[country], MATCH(orders[[#This Row],[customer_id]], customers[customer_id], 0)), "Unmapped")</f>
        <v>Estonia</v>
      </c>
      <c r="G4596" t="str">
        <f>IFERROR(INDEX(Region_Map[Region], MATCH(orders[[#This Row],[Customer_Country]], Region_Map[Country], 0)), "Unknown")</f>
        <v>Baltics</v>
      </c>
      <c r="H4596" t="s">
        <v>6949</v>
      </c>
    </row>
    <row r="4597" spans="1:8">
      <c r="A4597" t="s">
        <v>5493</v>
      </c>
      <c r="B4597" t="s">
        <v>557</v>
      </c>
      <c r="C4597" s="1">
        <v>45447</v>
      </c>
      <c r="D4597" s="1" t="str">
        <f>PROPER(orders[[#This Row],[order_priority]])</f>
        <v>Standard</v>
      </c>
      <c r="E4597" t="s">
        <v>13317</v>
      </c>
      <c r="F4597" t="str">
        <f>IFERROR(INDEX(customers[country], MATCH(orders[[#This Row],[customer_id]], customers[customer_id], 0)), "Unmapped")</f>
        <v>Norway</v>
      </c>
      <c r="G4597" t="str">
        <f>IFERROR(INDEX(Region_Map[Region], MATCH(orders[[#This Row],[Customer_Country]], Region_Map[Country], 0)), "Unknown")</f>
        <v>Nordics</v>
      </c>
      <c r="H4597" t="s">
        <v>6949</v>
      </c>
    </row>
    <row r="4598" spans="1:8">
      <c r="A4598" t="s">
        <v>5494</v>
      </c>
      <c r="B4598" t="s">
        <v>861</v>
      </c>
      <c r="C4598" s="1">
        <v>45063</v>
      </c>
      <c r="D4598" s="1" t="str">
        <f>PROPER(orders[[#This Row],[order_priority]])</f>
        <v>Same Day</v>
      </c>
      <c r="E4598" t="s">
        <v>13322</v>
      </c>
      <c r="F4598" t="str">
        <f>IFERROR(INDEX(customers[country], MATCH(orders[[#This Row],[customer_id]], customers[customer_id], 0)), "Unmapped")</f>
        <v>Latvia</v>
      </c>
      <c r="G4598" t="str">
        <f>IFERROR(INDEX(Region_Map[Region], MATCH(orders[[#This Row],[Customer_Country]], Region_Map[Country], 0)), "Unknown")</f>
        <v>Baltics</v>
      </c>
      <c r="H4598" t="s">
        <v>6949</v>
      </c>
    </row>
    <row r="4599" spans="1:8">
      <c r="A4599" t="s">
        <v>5495</v>
      </c>
      <c r="B4599" t="s">
        <v>855</v>
      </c>
      <c r="C4599" s="1">
        <v>45155</v>
      </c>
      <c r="D4599" s="1" t="str">
        <f>PROPER(orders[[#This Row],[order_priority]])</f>
        <v>Standard</v>
      </c>
      <c r="E4599" t="s">
        <v>13317</v>
      </c>
      <c r="F4599" t="str">
        <f>IFERROR(INDEX(customers[country], MATCH(orders[[#This Row],[customer_id]], customers[customer_id], 0)), "Unmapped")</f>
        <v>Latvia</v>
      </c>
      <c r="G4599" t="str">
        <f>IFERROR(INDEX(Region_Map[Region], MATCH(orders[[#This Row],[Customer_Country]], Region_Map[Country], 0)), "Unknown")</f>
        <v>Baltics</v>
      </c>
      <c r="H4599" t="s">
        <v>6949</v>
      </c>
    </row>
    <row r="4600" spans="1:8">
      <c r="A4600" t="s">
        <v>5496</v>
      </c>
      <c r="B4600" t="s">
        <v>425</v>
      </c>
      <c r="C4600" s="1">
        <v>45500</v>
      </c>
      <c r="D4600" s="1" t="str">
        <f>PROPER(orders[[#This Row],[order_priority]])</f>
        <v>Standard</v>
      </c>
      <c r="E4600" t="s">
        <v>13317</v>
      </c>
      <c r="F4600" t="str">
        <f>IFERROR(INDEX(customers[country], MATCH(orders[[#This Row],[customer_id]], customers[customer_id], 0)), "Unmapped")</f>
        <v>Denmark</v>
      </c>
      <c r="G4600" t="str">
        <f>IFERROR(INDEX(Region_Map[Region], MATCH(orders[[#This Row],[Customer_Country]], Region_Map[Country], 0)), "Unknown")</f>
        <v>Nordics</v>
      </c>
      <c r="H4600" t="s">
        <v>6949</v>
      </c>
    </row>
    <row r="4601" spans="1:8">
      <c r="A4601" t="s">
        <v>5497</v>
      </c>
      <c r="B4601" t="s">
        <v>724</v>
      </c>
      <c r="C4601" s="1">
        <v>45510</v>
      </c>
      <c r="D4601" s="1" t="str">
        <f>PROPER(orders[[#This Row],[order_priority]])</f>
        <v>Standard</v>
      </c>
      <c r="E4601" t="s">
        <v>13317</v>
      </c>
      <c r="F4601" t="str">
        <f>IFERROR(INDEX(customers[country], MATCH(orders[[#This Row],[customer_id]], customers[customer_id], 0)), "Unmapped")</f>
        <v>Denmark</v>
      </c>
      <c r="G4601" t="str">
        <f>IFERROR(INDEX(Region_Map[Region], MATCH(orders[[#This Row],[Customer_Country]], Region_Map[Country], 0)), "Unknown")</f>
        <v>Nordics</v>
      </c>
      <c r="H4601" t="s">
        <v>6949</v>
      </c>
    </row>
    <row r="4602" spans="1:8">
      <c r="A4602" t="s">
        <v>5498</v>
      </c>
      <c r="B4602" t="s">
        <v>503</v>
      </c>
      <c r="C4602" s="1">
        <v>45298</v>
      </c>
      <c r="D4602" s="1" t="str">
        <f>PROPER(orders[[#This Row],[order_priority]])</f>
        <v>Same Day</v>
      </c>
      <c r="E4602" t="s">
        <v>13322</v>
      </c>
      <c r="F4602" t="str">
        <f>IFERROR(INDEX(customers[country], MATCH(orders[[#This Row],[customer_id]], customers[customer_id], 0)), "Unmapped")</f>
        <v>Denmark</v>
      </c>
      <c r="G4602" t="str">
        <f>IFERROR(INDEX(Region_Map[Region], MATCH(orders[[#This Row],[Customer_Country]], Region_Map[Country], 0)), "Unknown")</f>
        <v>Nordics</v>
      </c>
      <c r="H4602" t="s">
        <v>6949</v>
      </c>
    </row>
    <row r="4603" spans="1:8">
      <c r="A4603" t="s">
        <v>5499</v>
      </c>
      <c r="B4603" t="s">
        <v>335</v>
      </c>
      <c r="C4603" s="1">
        <v>45017</v>
      </c>
      <c r="D4603" s="1" t="str">
        <f>PROPER(orders[[#This Row],[order_priority]])</f>
        <v>Express</v>
      </c>
      <c r="E4603" t="s">
        <v>13320</v>
      </c>
      <c r="F4603" t="str">
        <f>IFERROR(INDEX(customers[country], MATCH(orders[[#This Row],[customer_id]], customers[customer_id], 0)), "Unmapped")</f>
        <v>Denmark</v>
      </c>
      <c r="G4603" t="str">
        <f>IFERROR(INDEX(Region_Map[Region], MATCH(orders[[#This Row],[Customer_Country]], Region_Map[Country], 0)), "Unknown")</f>
        <v>Nordics</v>
      </c>
      <c r="H4603" t="s">
        <v>6949</v>
      </c>
    </row>
    <row r="4604" spans="1:8">
      <c r="A4604" t="s">
        <v>5500</v>
      </c>
      <c r="B4604" t="s">
        <v>694</v>
      </c>
      <c r="C4604" s="1">
        <v>45032</v>
      </c>
      <c r="D4604" s="1" t="str">
        <f>PROPER(orders[[#This Row],[order_priority]])</f>
        <v>Standard</v>
      </c>
      <c r="E4604" t="s">
        <v>13317</v>
      </c>
      <c r="F4604" t="str">
        <f>IFERROR(INDEX(customers[country], MATCH(orders[[#This Row],[customer_id]], customers[customer_id], 0)), "Unmapped")</f>
        <v>Lithuania</v>
      </c>
      <c r="G4604" t="str">
        <f>IFERROR(INDEX(Region_Map[Region], MATCH(orders[[#This Row],[Customer_Country]], Region_Map[Country], 0)), "Unknown")</f>
        <v>Baltics</v>
      </c>
      <c r="H4604" t="s">
        <v>6949</v>
      </c>
    </row>
    <row r="4605" spans="1:8">
      <c r="A4605" t="s">
        <v>5501</v>
      </c>
      <c r="B4605" t="s">
        <v>297</v>
      </c>
      <c r="C4605" s="1">
        <v>45178</v>
      </c>
      <c r="D4605" s="1" t="str">
        <f>PROPER(orders[[#This Row],[order_priority]])</f>
        <v>Same Day</v>
      </c>
      <c r="E4605" t="s">
        <v>13322</v>
      </c>
      <c r="F4605" t="str">
        <f>IFERROR(INDEX(customers[country], MATCH(orders[[#This Row],[customer_id]], customers[customer_id], 0)), "Unmapped")</f>
        <v>Poland</v>
      </c>
      <c r="G4605" t="str">
        <f>IFERROR(INDEX(Region_Map[Region], MATCH(orders[[#This Row],[Customer_Country]], Region_Map[Country], 0)), "Unknown")</f>
        <v>Central Europe</v>
      </c>
      <c r="H4605" t="s">
        <v>6949</v>
      </c>
    </row>
    <row r="4606" spans="1:8">
      <c r="A4606" t="s">
        <v>5502</v>
      </c>
      <c r="B4606" t="s">
        <v>488</v>
      </c>
      <c r="C4606" s="1">
        <v>45227</v>
      </c>
      <c r="D4606" s="1" t="str">
        <f>PROPER(orders[[#This Row],[order_priority]])</f>
        <v>Standard</v>
      </c>
      <c r="E4606" t="s">
        <v>13317</v>
      </c>
      <c r="F4606" t="str">
        <f>IFERROR(INDEX(customers[country], MATCH(orders[[#This Row],[customer_id]], customers[customer_id], 0)), "Unmapped")</f>
        <v>Netherlands</v>
      </c>
      <c r="G4606" t="str">
        <f>IFERROR(INDEX(Region_Map[Region], MATCH(orders[[#This Row],[Customer_Country]], Region_Map[Country], 0)), "Unknown")</f>
        <v>Central Europe</v>
      </c>
      <c r="H4606" t="s">
        <v>6949</v>
      </c>
    </row>
    <row r="4607" spans="1:8">
      <c r="A4607" t="s">
        <v>5503</v>
      </c>
      <c r="B4607" t="s">
        <v>787</v>
      </c>
      <c r="C4607" s="1">
        <v>45538</v>
      </c>
      <c r="D4607" s="1" t="str">
        <f>PROPER(orders[[#This Row],[order_priority]])</f>
        <v>Same Day</v>
      </c>
      <c r="E4607" t="s">
        <v>13322</v>
      </c>
      <c r="F4607" t="str">
        <f>IFERROR(INDEX(customers[country], MATCH(orders[[#This Row],[customer_id]], customers[customer_id], 0)), "Unmapped")</f>
        <v>Netherlands</v>
      </c>
      <c r="G4607" t="str">
        <f>IFERROR(INDEX(Region_Map[Region], MATCH(orders[[#This Row],[Customer_Country]], Region_Map[Country], 0)), "Unknown")</f>
        <v>Central Europe</v>
      </c>
      <c r="H4607" t="s">
        <v>6949</v>
      </c>
    </row>
    <row r="4608" spans="1:8">
      <c r="A4608" t="s">
        <v>5504</v>
      </c>
      <c r="B4608" t="s">
        <v>497</v>
      </c>
      <c r="C4608" s="1">
        <v>44927</v>
      </c>
      <c r="D4608" s="1" t="str">
        <f>PROPER(orders[[#This Row],[order_priority]])</f>
        <v>Standard</v>
      </c>
      <c r="E4608" t="s">
        <v>13319</v>
      </c>
      <c r="F4608" t="str">
        <f>IFERROR(INDEX(customers[country], MATCH(orders[[#This Row],[customer_id]], customers[customer_id], 0)), "Unmapped")</f>
        <v>Germany</v>
      </c>
      <c r="G4608" t="str">
        <f>IFERROR(INDEX(Region_Map[Region], MATCH(orders[[#This Row],[Customer_Country]], Region_Map[Country], 0)), "Unknown")</f>
        <v>Central Europe</v>
      </c>
      <c r="H4608" t="s">
        <v>6949</v>
      </c>
    </row>
    <row r="4609" spans="1:8">
      <c r="A4609" t="s">
        <v>5505</v>
      </c>
      <c r="B4609" t="s">
        <v>455</v>
      </c>
      <c r="C4609" s="1">
        <v>45300</v>
      </c>
      <c r="D4609" s="1" t="str">
        <f>PROPER(orders[[#This Row],[order_priority]])</f>
        <v>Standard</v>
      </c>
      <c r="E4609" t="s">
        <v>13317</v>
      </c>
      <c r="F4609" t="str">
        <f>IFERROR(INDEX(customers[country], MATCH(orders[[#This Row],[customer_id]], customers[customer_id], 0)), "Unmapped")</f>
        <v>Poland</v>
      </c>
      <c r="G4609" t="str">
        <f>IFERROR(INDEX(Region_Map[Region], MATCH(orders[[#This Row],[Customer_Country]], Region_Map[Country], 0)), "Unknown")</f>
        <v>Central Europe</v>
      </c>
      <c r="H4609" t="s">
        <v>6949</v>
      </c>
    </row>
    <row r="4610" spans="1:8">
      <c r="A4610" t="s">
        <v>5506</v>
      </c>
      <c r="B4610" t="s">
        <v>584</v>
      </c>
      <c r="C4610" s="1">
        <v>45409</v>
      </c>
      <c r="D4610" s="1" t="str">
        <f>PROPER(orders[[#This Row],[order_priority]])</f>
        <v>Express</v>
      </c>
      <c r="E4610" t="s">
        <v>13326</v>
      </c>
      <c r="F4610" t="str">
        <f>IFERROR(INDEX(customers[country], MATCH(orders[[#This Row],[customer_id]], customers[customer_id], 0)), "Unmapped")</f>
        <v>Netherlands</v>
      </c>
      <c r="G4610" t="str">
        <f>IFERROR(INDEX(Region_Map[Region], MATCH(orders[[#This Row],[Customer_Country]], Region_Map[Country], 0)), "Unknown")</f>
        <v>Central Europe</v>
      </c>
      <c r="H4610" t="s">
        <v>6949</v>
      </c>
    </row>
    <row r="4611" spans="1:8">
      <c r="A4611" t="s">
        <v>5507</v>
      </c>
      <c r="B4611" t="s">
        <v>30</v>
      </c>
      <c r="C4611" s="1">
        <v>45122</v>
      </c>
      <c r="D4611" s="1" t="str">
        <f>PROPER(orders[[#This Row],[order_priority]])</f>
        <v>Same Day</v>
      </c>
      <c r="E4611" t="s">
        <v>13322</v>
      </c>
      <c r="F4611" t="str">
        <f>IFERROR(INDEX(customers[country], MATCH(orders[[#This Row],[customer_id]], customers[customer_id], 0)), "Unmapped")</f>
        <v>Netherlands</v>
      </c>
      <c r="G4611" t="str">
        <f>IFERROR(INDEX(Region_Map[Region], MATCH(orders[[#This Row],[Customer_Country]], Region_Map[Country], 0)), "Unknown")</f>
        <v>Central Europe</v>
      </c>
      <c r="H4611" t="s">
        <v>6949</v>
      </c>
    </row>
    <row r="4612" spans="1:8">
      <c r="A4612" t="s">
        <v>5508</v>
      </c>
      <c r="B4612" t="s">
        <v>650</v>
      </c>
      <c r="C4612" s="1">
        <v>45352</v>
      </c>
      <c r="D4612" s="1" t="str">
        <f>PROPER(orders[[#This Row],[order_priority]])</f>
        <v>Same Day</v>
      </c>
      <c r="E4612" t="s">
        <v>13322</v>
      </c>
      <c r="F4612" t="str">
        <f>IFERROR(INDEX(customers[country], MATCH(orders[[#This Row],[customer_id]], customers[customer_id], 0)), "Unmapped")</f>
        <v>Poland</v>
      </c>
      <c r="G4612" t="str">
        <f>IFERROR(INDEX(Region_Map[Region], MATCH(orders[[#This Row],[Customer_Country]], Region_Map[Country], 0)), "Unknown")</f>
        <v>Central Europe</v>
      </c>
      <c r="H4612" t="s">
        <v>6949</v>
      </c>
    </row>
    <row r="4613" spans="1:8">
      <c r="A4613" t="s">
        <v>5509</v>
      </c>
      <c r="B4613" t="s">
        <v>614</v>
      </c>
      <c r="C4613" s="1">
        <v>45392</v>
      </c>
      <c r="D4613" s="1" t="str">
        <f>PROPER(orders[[#This Row],[order_priority]])</f>
        <v>Same Day</v>
      </c>
      <c r="E4613" t="s">
        <v>13322</v>
      </c>
      <c r="F4613" t="str">
        <f>IFERROR(INDEX(customers[country], MATCH(orders[[#This Row],[customer_id]], customers[customer_id], 0)), "Unmapped")</f>
        <v>Latvia</v>
      </c>
      <c r="G4613" t="str">
        <f>IFERROR(INDEX(Region_Map[Region], MATCH(orders[[#This Row],[Customer_Country]], Region_Map[Country], 0)), "Unknown")</f>
        <v>Baltics</v>
      </c>
      <c r="H4613" t="s">
        <v>6949</v>
      </c>
    </row>
    <row r="4614" spans="1:8">
      <c r="A4614" t="s">
        <v>5510</v>
      </c>
      <c r="B4614" t="s">
        <v>175</v>
      </c>
      <c r="C4614" s="1">
        <v>44954</v>
      </c>
      <c r="D4614" s="1" t="str">
        <f>PROPER(orders[[#This Row],[order_priority]])</f>
        <v>Economy</v>
      </c>
      <c r="E4614" t="s">
        <v>13328</v>
      </c>
      <c r="F4614" t="str">
        <f>IFERROR(INDEX(customers[country], MATCH(orders[[#This Row],[customer_id]], customers[customer_id], 0)), "Unmapped")</f>
        <v>Sweden</v>
      </c>
      <c r="G4614" t="str">
        <f>IFERROR(INDEX(Region_Map[Region], MATCH(orders[[#This Row],[Customer_Country]], Region_Map[Country], 0)), "Unknown")</f>
        <v>Nordics</v>
      </c>
      <c r="H4614" t="s">
        <v>6949</v>
      </c>
    </row>
    <row r="4615" spans="1:8">
      <c r="A4615" t="s">
        <v>5511</v>
      </c>
      <c r="B4615" t="s">
        <v>70</v>
      </c>
      <c r="C4615" s="1">
        <v>45578</v>
      </c>
      <c r="D4615" s="1" t="str">
        <f>PROPER(orders[[#This Row],[order_priority]])</f>
        <v>Same Day</v>
      </c>
      <c r="E4615" t="s">
        <v>13322</v>
      </c>
      <c r="F4615" t="str">
        <f>IFERROR(INDEX(customers[country], MATCH(orders[[#This Row],[customer_id]], customers[customer_id], 0)), "Unmapped")</f>
        <v>Estonia</v>
      </c>
      <c r="G4615" t="str">
        <f>IFERROR(INDEX(Region_Map[Region], MATCH(orders[[#This Row],[Customer_Country]], Region_Map[Country], 0)), "Unknown")</f>
        <v>Baltics</v>
      </c>
      <c r="H4615" t="s">
        <v>6949</v>
      </c>
    </row>
    <row r="4616" spans="1:8">
      <c r="A4616" t="s">
        <v>5512</v>
      </c>
      <c r="B4616" t="s">
        <v>136</v>
      </c>
      <c r="C4616" s="1">
        <v>45308</v>
      </c>
      <c r="D4616" s="1" t="str">
        <f>PROPER(orders[[#This Row],[order_priority]])</f>
        <v>Economy</v>
      </c>
      <c r="E4616" t="s">
        <v>13316</v>
      </c>
      <c r="F4616" t="str">
        <f>IFERROR(INDEX(customers[country], MATCH(orders[[#This Row],[customer_id]], customers[customer_id], 0)), "Unmapped")</f>
        <v>Sweden</v>
      </c>
      <c r="G4616" t="str">
        <f>IFERROR(INDEX(Region_Map[Region], MATCH(orders[[#This Row],[Customer_Country]], Region_Map[Country], 0)), "Unknown")</f>
        <v>Nordics</v>
      </c>
      <c r="H4616" t="s">
        <v>6949</v>
      </c>
    </row>
    <row r="4617" spans="1:8">
      <c r="A4617" t="s">
        <v>5513</v>
      </c>
      <c r="B4617" t="s">
        <v>96</v>
      </c>
      <c r="C4617" s="1">
        <v>45006</v>
      </c>
      <c r="D4617" s="1" t="str">
        <f>PROPER(orders[[#This Row],[order_priority]])</f>
        <v>Express</v>
      </c>
      <c r="E4617" t="s">
        <v>13318</v>
      </c>
      <c r="F4617" t="str">
        <f>IFERROR(INDEX(customers[country], MATCH(orders[[#This Row],[customer_id]], customers[customer_id], 0)), "Unmapped")</f>
        <v>Sweden</v>
      </c>
      <c r="G4617" t="str">
        <f>IFERROR(INDEX(Region_Map[Region], MATCH(orders[[#This Row],[Customer_Country]], Region_Map[Country], 0)), "Unknown")</f>
        <v>Nordics</v>
      </c>
      <c r="H4617" t="s">
        <v>6949</v>
      </c>
    </row>
    <row r="4618" spans="1:8">
      <c r="A4618" t="s">
        <v>5514</v>
      </c>
      <c r="B4618" t="s">
        <v>353</v>
      </c>
      <c r="C4618" s="1">
        <v>45244</v>
      </c>
      <c r="D4618" s="1" t="str">
        <f>PROPER(orders[[#This Row],[order_priority]])</f>
        <v>Standard</v>
      </c>
      <c r="E4618" t="s">
        <v>13317</v>
      </c>
      <c r="F4618" t="str">
        <f>IFERROR(INDEX(customers[country], MATCH(orders[[#This Row],[customer_id]], customers[customer_id], 0)), "Unmapped")</f>
        <v>Estonia</v>
      </c>
      <c r="G4618" t="str">
        <f>IFERROR(INDEX(Region_Map[Region], MATCH(orders[[#This Row],[Customer_Country]], Region_Map[Country], 0)), "Unknown")</f>
        <v>Baltics</v>
      </c>
      <c r="H4618" t="s">
        <v>6949</v>
      </c>
    </row>
    <row r="4619" spans="1:8">
      <c r="A4619" t="s">
        <v>5515</v>
      </c>
      <c r="B4619" t="s">
        <v>64</v>
      </c>
      <c r="C4619" s="1">
        <v>45558</v>
      </c>
      <c r="D4619" s="1" t="str">
        <f>PROPER(orders[[#This Row],[order_priority]])</f>
        <v>Economy</v>
      </c>
      <c r="E4619" t="s">
        <v>13316</v>
      </c>
      <c r="F4619" t="str">
        <f>IFERROR(INDEX(customers[country], MATCH(orders[[#This Row],[customer_id]], customers[customer_id], 0)), "Unmapped")</f>
        <v>Netherlands</v>
      </c>
      <c r="G4619" t="str">
        <f>IFERROR(INDEX(Region_Map[Region], MATCH(orders[[#This Row],[Customer_Country]], Region_Map[Country], 0)), "Unknown")</f>
        <v>Central Europe</v>
      </c>
      <c r="H4619" t="s">
        <v>6949</v>
      </c>
    </row>
    <row r="4620" spans="1:8">
      <c r="A4620" t="s">
        <v>5516</v>
      </c>
      <c r="B4620" t="s">
        <v>775</v>
      </c>
      <c r="C4620" s="1">
        <v>45568</v>
      </c>
      <c r="D4620" s="1" t="str">
        <f>PROPER(orders[[#This Row],[order_priority]])</f>
        <v>Same Day</v>
      </c>
      <c r="E4620" t="s">
        <v>13322</v>
      </c>
      <c r="F4620" t="str">
        <f>IFERROR(INDEX(customers[country], MATCH(orders[[#This Row],[customer_id]], customers[customer_id], 0)), "Unmapped")</f>
        <v>Sweden</v>
      </c>
      <c r="G4620" t="str">
        <f>IFERROR(INDEX(Region_Map[Region], MATCH(orders[[#This Row],[Customer_Country]], Region_Map[Country], 0)), "Unknown")</f>
        <v>Nordics</v>
      </c>
      <c r="H4620" t="s">
        <v>6949</v>
      </c>
    </row>
    <row r="4621" spans="1:8">
      <c r="A4621" t="s">
        <v>5517</v>
      </c>
      <c r="B4621" t="s">
        <v>772</v>
      </c>
      <c r="C4621" s="1">
        <v>45546</v>
      </c>
      <c r="D4621" s="1" t="str">
        <f>PROPER(orders[[#This Row],[order_priority]])</f>
        <v>Economy</v>
      </c>
      <c r="E4621" t="s">
        <v>13316</v>
      </c>
      <c r="F4621" t="str">
        <f>IFERROR(INDEX(customers[country], MATCH(orders[[#This Row],[customer_id]], customers[customer_id], 0)), "Unmapped")</f>
        <v>Estonia</v>
      </c>
      <c r="G4621" t="str">
        <f>IFERROR(INDEX(Region_Map[Region], MATCH(orders[[#This Row],[Customer_Country]], Region_Map[Country], 0)), "Unknown")</f>
        <v>Baltics</v>
      </c>
      <c r="H4621" t="s">
        <v>6949</v>
      </c>
    </row>
    <row r="4622" spans="1:8">
      <c r="A4622" t="s">
        <v>5518</v>
      </c>
      <c r="B4622" t="s">
        <v>169</v>
      </c>
      <c r="C4622" s="1">
        <v>45313</v>
      </c>
      <c r="D4622" s="1" t="str">
        <f>PROPER(orders[[#This Row],[order_priority]])</f>
        <v>Same Day</v>
      </c>
      <c r="E4622" t="s">
        <v>13322</v>
      </c>
      <c r="F4622" t="str">
        <f>IFERROR(INDEX(customers[country], MATCH(orders[[#This Row],[customer_id]], customers[customer_id], 0)), "Unmapped")</f>
        <v>Norway</v>
      </c>
      <c r="G4622" t="str">
        <f>IFERROR(INDEX(Region_Map[Region], MATCH(orders[[#This Row],[Customer_Country]], Region_Map[Country], 0)), "Unknown")</f>
        <v>Nordics</v>
      </c>
      <c r="H4622" t="s">
        <v>6949</v>
      </c>
    </row>
    <row r="4623" spans="1:8">
      <c r="A4623" t="s">
        <v>5519</v>
      </c>
      <c r="B4623" t="s">
        <v>763</v>
      </c>
      <c r="C4623" s="1">
        <v>45180</v>
      </c>
      <c r="D4623" s="1" t="str">
        <f>PROPER(orders[[#This Row],[order_priority]])</f>
        <v>Same Day</v>
      </c>
      <c r="E4623" t="s">
        <v>13321</v>
      </c>
      <c r="F4623" t="str">
        <f>IFERROR(INDEX(customers[country], MATCH(orders[[#This Row],[customer_id]], customers[customer_id], 0)), "Unmapped")</f>
        <v>Estonia</v>
      </c>
      <c r="G4623" t="str">
        <f>IFERROR(INDEX(Region_Map[Region], MATCH(orders[[#This Row],[Customer_Country]], Region_Map[Country], 0)), "Unknown")</f>
        <v>Baltics</v>
      </c>
      <c r="H4623" t="s">
        <v>6949</v>
      </c>
    </row>
    <row r="4624" spans="1:8">
      <c r="A4624" t="s">
        <v>5520</v>
      </c>
      <c r="B4624" t="s">
        <v>51</v>
      </c>
      <c r="C4624" s="1">
        <v>45397</v>
      </c>
      <c r="D4624" s="1" t="str">
        <f>PROPER(orders[[#This Row],[order_priority]])</f>
        <v>Same Day</v>
      </c>
      <c r="E4624" t="s">
        <v>13322</v>
      </c>
      <c r="F4624" t="str">
        <f>IFERROR(INDEX(customers[country], MATCH(orders[[#This Row],[customer_id]], customers[customer_id], 0)), "Unmapped")</f>
        <v>Germany</v>
      </c>
      <c r="G4624" t="str">
        <f>IFERROR(INDEX(Region_Map[Region], MATCH(orders[[#This Row],[Customer_Country]], Region_Map[Country], 0)), "Unknown")</f>
        <v>Central Europe</v>
      </c>
      <c r="H4624" t="s">
        <v>6949</v>
      </c>
    </row>
    <row r="4625" spans="1:8">
      <c r="A4625" t="s">
        <v>5521</v>
      </c>
      <c r="B4625" t="s">
        <v>715</v>
      </c>
      <c r="C4625" s="1">
        <v>45395</v>
      </c>
      <c r="D4625" s="1" t="str">
        <f>PROPER(orders[[#This Row],[order_priority]])</f>
        <v>Economy</v>
      </c>
      <c r="E4625" t="s">
        <v>13316</v>
      </c>
      <c r="F4625" t="str">
        <f>IFERROR(INDEX(customers[country], MATCH(orders[[#This Row],[customer_id]], customers[customer_id], 0)), "Unmapped")</f>
        <v>Netherlands</v>
      </c>
      <c r="G4625" t="str">
        <f>IFERROR(INDEX(Region_Map[Region], MATCH(orders[[#This Row],[Customer_Country]], Region_Map[Country], 0)), "Unknown")</f>
        <v>Central Europe</v>
      </c>
      <c r="H4625" t="s">
        <v>6949</v>
      </c>
    </row>
    <row r="4626" spans="1:8">
      <c r="A4626" t="s">
        <v>5522</v>
      </c>
      <c r="B4626" t="s">
        <v>578</v>
      </c>
      <c r="C4626" s="1">
        <v>45251</v>
      </c>
      <c r="D4626" s="1" t="str">
        <f>PROPER(orders[[#This Row],[order_priority]])</f>
        <v>Standard</v>
      </c>
      <c r="E4626" t="s">
        <v>13317</v>
      </c>
      <c r="F4626" t="str">
        <f>IFERROR(INDEX(customers[country], MATCH(orders[[#This Row],[customer_id]], customers[customer_id], 0)), "Unmapped")</f>
        <v>Norway</v>
      </c>
      <c r="G4626" t="str">
        <f>IFERROR(INDEX(Region_Map[Region], MATCH(orders[[#This Row],[Customer_Country]], Region_Map[Country], 0)), "Unknown")</f>
        <v>Nordics</v>
      </c>
      <c r="H4626" t="s">
        <v>6949</v>
      </c>
    </row>
    <row r="4627" spans="1:8">
      <c r="A4627" t="s">
        <v>5523</v>
      </c>
      <c r="B4627" t="s">
        <v>189</v>
      </c>
      <c r="C4627" s="1">
        <v>45545</v>
      </c>
      <c r="D4627" s="1" t="str">
        <f>PROPER(orders[[#This Row],[order_priority]])</f>
        <v>Economy</v>
      </c>
      <c r="E4627" t="s">
        <v>13316</v>
      </c>
      <c r="F4627" t="str">
        <f>IFERROR(INDEX(customers[country], MATCH(orders[[#This Row],[customer_id]], customers[customer_id], 0)), "Unmapped")</f>
        <v>Norway</v>
      </c>
      <c r="G4627" t="str">
        <f>IFERROR(INDEX(Region_Map[Region], MATCH(orders[[#This Row],[Customer_Country]], Region_Map[Country], 0)), "Unknown")</f>
        <v>Nordics</v>
      </c>
      <c r="H4627" t="s">
        <v>6949</v>
      </c>
    </row>
    <row r="4628" spans="1:8">
      <c r="A4628" t="s">
        <v>5524</v>
      </c>
      <c r="B4628" t="s">
        <v>163</v>
      </c>
      <c r="C4628" s="1">
        <v>45577</v>
      </c>
      <c r="D4628" s="1" t="str">
        <f>PROPER(orders[[#This Row],[order_priority]])</f>
        <v>Economy</v>
      </c>
      <c r="E4628" t="s">
        <v>13316</v>
      </c>
      <c r="F4628" t="str">
        <f>IFERROR(INDEX(customers[country], MATCH(orders[[#This Row],[customer_id]], customers[customer_id], 0)), "Unmapped")</f>
        <v>Germany</v>
      </c>
      <c r="G4628" t="str">
        <f>IFERROR(INDEX(Region_Map[Region], MATCH(orders[[#This Row],[Customer_Country]], Region_Map[Country], 0)), "Unknown")</f>
        <v>Central Europe</v>
      </c>
      <c r="H4628" t="s">
        <v>6949</v>
      </c>
    </row>
    <row r="4629" spans="1:8">
      <c r="A4629" t="s">
        <v>5525</v>
      </c>
      <c r="B4629" t="s">
        <v>350</v>
      </c>
      <c r="C4629" s="1">
        <v>45134</v>
      </c>
      <c r="D4629" s="1" t="str">
        <f>PROPER(orders[[#This Row],[order_priority]])</f>
        <v>Economy</v>
      </c>
      <c r="E4629" t="s">
        <v>13316</v>
      </c>
      <c r="F4629" t="str">
        <f>IFERROR(INDEX(customers[country], MATCH(orders[[#This Row],[customer_id]], customers[customer_id], 0)), "Unmapped")</f>
        <v>Netherlands</v>
      </c>
      <c r="G4629" t="str">
        <f>IFERROR(INDEX(Region_Map[Region], MATCH(orders[[#This Row],[Customer_Country]], Region_Map[Country], 0)), "Unknown")</f>
        <v>Central Europe</v>
      </c>
      <c r="H4629" t="s">
        <v>6949</v>
      </c>
    </row>
    <row r="4630" spans="1:8">
      <c r="A4630" t="s">
        <v>5526</v>
      </c>
      <c r="B4630" t="s">
        <v>216</v>
      </c>
      <c r="C4630" s="1">
        <v>45458</v>
      </c>
      <c r="D4630" s="1" t="str">
        <f>PROPER(orders[[#This Row],[order_priority]])</f>
        <v>Same Day</v>
      </c>
      <c r="E4630" t="s">
        <v>13322</v>
      </c>
      <c r="F4630" t="str">
        <f>IFERROR(INDEX(customers[country], MATCH(orders[[#This Row],[customer_id]], customers[customer_id], 0)), "Unmapped")</f>
        <v>Norway</v>
      </c>
      <c r="G4630" t="str">
        <f>IFERROR(INDEX(Region_Map[Region], MATCH(orders[[#This Row],[Customer_Country]], Region_Map[Country], 0)), "Unknown")</f>
        <v>Nordics</v>
      </c>
      <c r="H4630" t="s">
        <v>6949</v>
      </c>
    </row>
    <row r="4631" spans="1:8">
      <c r="A4631" t="s">
        <v>5527</v>
      </c>
      <c r="B4631" t="s">
        <v>485</v>
      </c>
      <c r="C4631" s="1">
        <v>45439</v>
      </c>
      <c r="D4631" s="1" t="str">
        <f>PROPER(orders[[#This Row],[order_priority]])</f>
        <v>Same Day</v>
      </c>
      <c r="E4631" t="s">
        <v>13321</v>
      </c>
      <c r="F4631" t="str">
        <f>IFERROR(INDEX(customers[country], MATCH(orders[[#This Row],[customer_id]], customers[customer_id], 0)), "Unmapped")</f>
        <v>Latvia</v>
      </c>
      <c r="G4631" t="str">
        <f>IFERROR(INDEX(Region_Map[Region], MATCH(orders[[#This Row],[Customer_Country]], Region_Map[Country], 0)), "Unknown")</f>
        <v>Baltics</v>
      </c>
      <c r="H4631" t="s">
        <v>6949</v>
      </c>
    </row>
    <row r="4632" spans="1:8">
      <c r="A4632" t="s">
        <v>5528</v>
      </c>
      <c r="B4632" t="s">
        <v>187</v>
      </c>
      <c r="C4632" s="1">
        <v>45269</v>
      </c>
      <c r="D4632" s="1" t="str">
        <f>PROPER(orders[[#This Row],[order_priority]])</f>
        <v>Economy</v>
      </c>
      <c r="E4632" t="s">
        <v>13316</v>
      </c>
      <c r="F4632" t="str">
        <f>IFERROR(INDEX(customers[country], MATCH(orders[[#This Row],[customer_id]], customers[customer_id], 0)), "Unmapped")</f>
        <v>Latvia</v>
      </c>
      <c r="G4632" t="str">
        <f>IFERROR(INDEX(Region_Map[Region], MATCH(orders[[#This Row],[Customer_Country]], Region_Map[Country], 0)), "Unknown")</f>
        <v>Baltics</v>
      </c>
      <c r="H4632" t="s">
        <v>6949</v>
      </c>
    </row>
    <row r="4633" spans="1:8">
      <c r="A4633" t="s">
        <v>5529</v>
      </c>
      <c r="B4633" t="s">
        <v>721</v>
      </c>
      <c r="C4633" s="1">
        <v>45287</v>
      </c>
      <c r="D4633" s="1" t="str">
        <f>PROPER(orders[[#This Row],[order_priority]])</f>
        <v>Express</v>
      </c>
      <c r="E4633" t="s">
        <v>13320</v>
      </c>
      <c r="F4633" t="str">
        <f>IFERROR(INDEX(customers[country], MATCH(orders[[#This Row],[customer_id]], customers[customer_id], 0)), "Unmapped")</f>
        <v>Netherlands</v>
      </c>
      <c r="G4633" t="str">
        <f>IFERROR(INDEX(Region_Map[Region], MATCH(orders[[#This Row],[Customer_Country]], Region_Map[Country], 0)), "Unknown")</f>
        <v>Central Europe</v>
      </c>
      <c r="H4633" t="s">
        <v>6949</v>
      </c>
    </row>
    <row r="4634" spans="1:8">
      <c r="A4634" t="s">
        <v>5530</v>
      </c>
      <c r="B4634" t="s">
        <v>735</v>
      </c>
      <c r="C4634" s="1">
        <v>45430</v>
      </c>
      <c r="D4634" s="1" t="str">
        <f>PROPER(orders[[#This Row],[order_priority]])</f>
        <v>Express</v>
      </c>
      <c r="E4634" t="s">
        <v>13318</v>
      </c>
      <c r="F4634" t="str">
        <f>IFERROR(INDEX(customers[country], MATCH(orders[[#This Row],[customer_id]], customers[customer_id], 0)), "Unmapped")</f>
        <v>Poland</v>
      </c>
      <c r="G4634" t="str">
        <f>IFERROR(INDEX(Region_Map[Region], MATCH(orders[[#This Row],[Customer_Country]], Region_Map[Country], 0)), "Unknown")</f>
        <v>Central Europe</v>
      </c>
      <c r="H4634" t="s">
        <v>6949</v>
      </c>
    </row>
    <row r="4635" spans="1:8">
      <c r="A4635" t="s">
        <v>5531</v>
      </c>
      <c r="B4635" t="s">
        <v>584</v>
      </c>
      <c r="C4635" s="1">
        <v>44952</v>
      </c>
      <c r="D4635" s="1" t="str">
        <f>PROPER(orders[[#This Row],[order_priority]])</f>
        <v>Same Day</v>
      </c>
      <c r="E4635" t="s">
        <v>13322</v>
      </c>
      <c r="F4635" t="str">
        <f>IFERROR(INDEX(customers[country], MATCH(orders[[#This Row],[customer_id]], customers[customer_id], 0)), "Unmapped")</f>
        <v>Netherlands</v>
      </c>
      <c r="G4635" t="str">
        <f>IFERROR(INDEX(Region_Map[Region], MATCH(orders[[#This Row],[Customer_Country]], Region_Map[Country], 0)), "Unknown")</f>
        <v>Central Europe</v>
      </c>
      <c r="H4635" t="s">
        <v>6949</v>
      </c>
    </row>
    <row r="4636" spans="1:8">
      <c r="A4636" t="s">
        <v>5532</v>
      </c>
      <c r="B4636" t="s">
        <v>542</v>
      </c>
      <c r="C4636" s="1">
        <v>45097</v>
      </c>
      <c r="D4636" s="1" t="str">
        <f>PROPER(orders[[#This Row],[order_priority]])</f>
        <v>Express</v>
      </c>
      <c r="E4636" t="s">
        <v>13318</v>
      </c>
      <c r="F4636" t="str">
        <f>IFERROR(INDEX(customers[country], MATCH(orders[[#This Row],[customer_id]], customers[customer_id], 0)), "Unmapped")</f>
        <v>Poland</v>
      </c>
      <c r="G4636" t="str">
        <f>IFERROR(INDEX(Region_Map[Region], MATCH(orders[[#This Row],[Customer_Country]], Region_Map[Country], 0)), "Unknown")</f>
        <v>Central Europe</v>
      </c>
      <c r="H4636" t="s">
        <v>6949</v>
      </c>
    </row>
    <row r="4637" spans="1:8">
      <c r="A4637" t="s">
        <v>5533</v>
      </c>
      <c r="B4637" t="s">
        <v>775</v>
      </c>
      <c r="C4637" s="1">
        <v>45575</v>
      </c>
      <c r="D4637" s="1" t="str">
        <f>PROPER(orders[[#This Row],[order_priority]])</f>
        <v>Economy</v>
      </c>
      <c r="E4637" t="s">
        <v>13316</v>
      </c>
      <c r="F4637" t="str">
        <f>IFERROR(INDEX(customers[country], MATCH(orders[[#This Row],[customer_id]], customers[customer_id], 0)), "Unmapped")</f>
        <v>Sweden</v>
      </c>
      <c r="G4637" t="str">
        <f>IFERROR(INDEX(Region_Map[Region], MATCH(orders[[#This Row],[Customer_Country]], Region_Map[Country], 0)), "Unknown")</f>
        <v>Nordics</v>
      </c>
      <c r="H4637" t="s">
        <v>6949</v>
      </c>
    </row>
    <row r="4638" spans="1:8">
      <c r="A4638" t="s">
        <v>5534</v>
      </c>
      <c r="B4638" t="s">
        <v>258</v>
      </c>
      <c r="C4638" s="1">
        <v>45344</v>
      </c>
      <c r="D4638" s="1" t="str">
        <f>PROPER(orders[[#This Row],[order_priority]])</f>
        <v>Express</v>
      </c>
      <c r="E4638" t="s">
        <v>13318</v>
      </c>
      <c r="F4638" t="str">
        <f>IFERROR(INDEX(customers[country], MATCH(orders[[#This Row],[customer_id]], customers[customer_id], 0)), "Unmapped")</f>
        <v>Latvia</v>
      </c>
      <c r="G4638" t="str">
        <f>IFERROR(INDEX(Region_Map[Region], MATCH(orders[[#This Row],[Customer_Country]], Region_Map[Country], 0)), "Unknown")</f>
        <v>Baltics</v>
      </c>
      <c r="H4638" t="s">
        <v>6949</v>
      </c>
    </row>
    <row r="4639" spans="1:8">
      <c r="A4639" t="s">
        <v>5535</v>
      </c>
      <c r="B4639" t="s">
        <v>721</v>
      </c>
      <c r="C4639" s="1">
        <v>45084</v>
      </c>
      <c r="D4639" s="1" t="str">
        <f>PROPER(orders[[#This Row],[order_priority]])</f>
        <v>Same Day</v>
      </c>
      <c r="E4639" t="s">
        <v>13322</v>
      </c>
      <c r="F4639" t="str">
        <f>IFERROR(INDEX(customers[country], MATCH(orders[[#This Row],[customer_id]], customers[customer_id], 0)), "Unmapped")</f>
        <v>Netherlands</v>
      </c>
      <c r="G4639" t="str">
        <f>IFERROR(INDEX(Region_Map[Region], MATCH(orders[[#This Row],[Customer_Country]], Region_Map[Country], 0)), "Unknown")</f>
        <v>Central Europe</v>
      </c>
      <c r="H4639" t="s">
        <v>6949</v>
      </c>
    </row>
    <row r="4640" spans="1:8">
      <c r="A4640" t="s">
        <v>5536</v>
      </c>
      <c r="B4640" t="s">
        <v>198</v>
      </c>
      <c r="C4640" s="1">
        <v>45277</v>
      </c>
      <c r="D4640" s="1" t="str">
        <f>PROPER(orders[[#This Row],[order_priority]])</f>
        <v>Express</v>
      </c>
      <c r="E4640" t="s">
        <v>13318</v>
      </c>
      <c r="F4640" t="str">
        <f>IFERROR(INDEX(customers[country], MATCH(orders[[#This Row],[customer_id]], customers[customer_id], 0)), "Unmapped")</f>
        <v>Poland</v>
      </c>
      <c r="G4640" t="str">
        <f>IFERROR(INDEX(Region_Map[Region], MATCH(orders[[#This Row],[Customer_Country]], Region_Map[Country], 0)), "Unknown")</f>
        <v>Central Europe</v>
      </c>
      <c r="H4640" t="s">
        <v>6949</v>
      </c>
    </row>
    <row r="4641" spans="1:8">
      <c r="A4641" t="s">
        <v>5537</v>
      </c>
      <c r="B4641" t="s">
        <v>341</v>
      </c>
      <c r="C4641" s="1">
        <v>45278</v>
      </c>
      <c r="D4641" s="1" t="str">
        <f>PROPER(orders[[#This Row],[order_priority]])</f>
        <v>Same Day</v>
      </c>
      <c r="E4641" t="s">
        <v>13322</v>
      </c>
      <c r="F4641" t="str">
        <f>IFERROR(INDEX(customers[country], MATCH(orders[[#This Row],[customer_id]], customers[customer_id], 0)), "Unmapped")</f>
        <v>Latvia</v>
      </c>
      <c r="G4641" t="str">
        <f>IFERROR(INDEX(Region_Map[Region], MATCH(orders[[#This Row],[Customer_Country]], Region_Map[Country], 0)), "Unknown")</f>
        <v>Baltics</v>
      </c>
      <c r="H4641" t="s">
        <v>6949</v>
      </c>
    </row>
    <row r="4642" spans="1:8">
      <c r="A4642" t="s">
        <v>5538</v>
      </c>
      <c r="B4642" t="s">
        <v>19</v>
      </c>
      <c r="C4642" s="1">
        <v>45052</v>
      </c>
      <c r="D4642" s="1" t="str">
        <f>PROPER(orders[[#This Row],[order_priority]])</f>
        <v>Economy</v>
      </c>
      <c r="E4642" t="s">
        <v>13316</v>
      </c>
      <c r="F4642" t="str">
        <f>IFERROR(INDEX(customers[country], MATCH(orders[[#This Row],[customer_id]], customers[customer_id], 0)), "Unmapped")</f>
        <v>Poland</v>
      </c>
      <c r="G4642" t="str">
        <f>IFERROR(INDEX(Region_Map[Region], MATCH(orders[[#This Row],[Customer_Country]], Region_Map[Country], 0)), "Unknown")</f>
        <v>Central Europe</v>
      </c>
      <c r="H4642" t="s">
        <v>6949</v>
      </c>
    </row>
    <row r="4643" spans="1:8">
      <c r="A4643" t="s">
        <v>5539</v>
      </c>
      <c r="B4643" t="s">
        <v>843</v>
      </c>
      <c r="C4643" s="1">
        <v>45431</v>
      </c>
      <c r="D4643" s="1" t="str">
        <f>PROPER(orders[[#This Row],[order_priority]])</f>
        <v>Standard</v>
      </c>
      <c r="E4643" t="s">
        <v>13317</v>
      </c>
      <c r="F4643" t="str">
        <f>IFERROR(INDEX(customers[country], MATCH(orders[[#This Row],[customer_id]], customers[customer_id], 0)), "Unmapped")</f>
        <v>Netherlands</v>
      </c>
      <c r="G4643" t="str">
        <f>IFERROR(INDEX(Region_Map[Region], MATCH(orders[[#This Row],[Customer_Country]], Region_Map[Country], 0)), "Unknown")</f>
        <v>Central Europe</v>
      </c>
      <c r="H4643" t="s">
        <v>6949</v>
      </c>
    </row>
    <row r="4644" spans="1:8">
      <c r="A4644" t="s">
        <v>5540</v>
      </c>
      <c r="B4644" t="s">
        <v>413</v>
      </c>
      <c r="C4644" s="1">
        <v>45215</v>
      </c>
      <c r="D4644" s="1" t="str">
        <f>PROPER(orders[[#This Row],[order_priority]])</f>
        <v>Economy</v>
      </c>
      <c r="E4644" t="s">
        <v>13316</v>
      </c>
      <c r="F4644" t="str">
        <f>IFERROR(INDEX(customers[country], MATCH(orders[[#This Row],[customer_id]], customers[customer_id], 0)), "Unmapped")</f>
        <v>Poland</v>
      </c>
      <c r="G4644" t="str">
        <f>IFERROR(INDEX(Region_Map[Region], MATCH(orders[[#This Row],[Customer_Country]], Region_Map[Country], 0)), "Unknown")</f>
        <v>Central Europe</v>
      </c>
      <c r="H4644" t="s">
        <v>6949</v>
      </c>
    </row>
    <row r="4645" spans="1:8">
      <c r="A4645" t="s">
        <v>5541</v>
      </c>
      <c r="B4645" t="s">
        <v>184</v>
      </c>
      <c r="C4645" s="1">
        <v>45502</v>
      </c>
      <c r="D4645" s="1" t="str">
        <f>PROPER(orders[[#This Row],[order_priority]])</f>
        <v>Economy</v>
      </c>
      <c r="E4645" t="s">
        <v>13316</v>
      </c>
      <c r="F4645" t="str">
        <f>IFERROR(INDEX(customers[country], MATCH(orders[[#This Row],[customer_id]], customers[customer_id], 0)), "Unmapped")</f>
        <v>Netherlands</v>
      </c>
      <c r="G4645" t="str">
        <f>IFERROR(INDEX(Region_Map[Region], MATCH(orders[[#This Row],[Customer_Country]], Region_Map[Country], 0)), "Unknown")</f>
        <v>Central Europe</v>
      </c>
      <c r="H4645" t="s">
        <v>6949</v>
      </c>
    </row>
    <row r="4646" spans="1:8">
      <c r="A4646" t="s">
        <v>5542</v>
      </c>
      <c r="B4646" t="s">
        <v>273</v>
      </c>
      <c r="C4646" s="1">
        <v>44960</v>
      </c>
      <c r="D4646" s="1" t="str">
        <f>PROPER(orders[[#This Row],[order_priority]])</f>
        <v>Economy</v>
      </c>
      <c r="E4646" t="s">
        <v>13316</v>
      </c>
      <c r="F4646" t="str">
        <f>IFERROR(INDEX(customers[country], MATCH(orders[[#This Row],[customer_id]], customers[customer_id], 0)), "Unmapped")</f>
        <v>Norway</v>
      </c>
      <c r="G4646" t="str">
        <f>IFERROR(INDEX(Region_Map[Region], MATCH(orders[[#This Row],[Customer_Country]], Region_Map[Country], 0)), "Unknown")</f>
        <v>Nordics</v>
      </c>
      <c r="H4646" t="s">
        <v>6949</v>
      </c>
    </row>
    <row r="4647" spans="1:8">
      <c r="A4647" t="s">
        <v>5543</v>
      </c>
      <c r="B4647" t="s">
        <v>237</v>
      </c>
      <c r="C4647" s="1">
        <v>45022</v>
      </c>
      <c r="D4647" s="1" t="str">
        <f>PROPER(orders[[#This Row],[order_priority]])</f>
        <v>Express</v>
      </c>
      <c r="E4647" t="s">
        <v>13318</v>
      </c>
      <c r="F4647" t="str">
        <f>IFERROR(INDEX(customers[country], MATCH(orders[[#This Row],[customer_id]], customers[customer_id], 0)), "Unmapped")</f>
        <v>Sweden</v>
      </c>
      <c r="G4647" t="str">
        <f>IFERROR(INDEX(Region_Map[Region], MATCH(orders[[#This Row],[Customer_Country]], Region_Map[Country], 0)), "Unknown")</f>
        <v>Nordics</v>
      </c>
      <c r="H4647" t="s">
        <v>6949</v>
      </c>
    </row>
    <row r="4648" spans="1:8">
      <c r="A4648" t="s">
        <v>5544</v>
      </c>
      <c r="B4648" t="s">
        <v>741</v>
      </c>
      <c r="C4648" s="1">
        <v>45121</v>
      </c>
      <c r="D4648" s="1" t="str">
        <f>PROPER(orders[[#This Row],[order_priority]])</f>
        <v>Economy</v>
      </c>
      <c r="E4648" t="s">
        <v>13316</v>
      </c>
      <c r="F4648" t="str">
        <f>IFERROR(INDEX(customers[country], MATCH(orders[[#This Row],[customer_id]], customers[customer_id], 0)), "Unmapped")</f>
        <v>Germany</v>
      </c>
      <c r="G4648" t="str">
        <f>IFERROR(INDEX(Region_Map[Region], MATCH(orders[[#This Row],[Customer_Country]], Region_Map[Country], 0)), "Unknown")</f>
        <v>Central Europe</v>
      </c>
      <c r="H4648" t="s">
        <v>6949</v>
      </c>
    </row>
    <row r="4649" spans="1:8">
      <c r="A4649" t="s">
        <v>5545</v>
      </c>
      <c r="B4649" t="s">
        <v>575</v>
      </c>
      <c r="C4649" s="1">
        <v>44983</v>
      </c>
      <c r="D4649" s="1" t="str">
        <f>PROPER(orders[[#This Row],[order_priority]])</f>
        <v>Standard</v>
      </c>
      <c r="E4649" t="s">
        <v>13317</v>
      </c>
      <c r="F4649" t="str">
        <f>IFERROR(INDEX(customers[country], MATCH(orders[[#This Row],[customer_id]], customers[customer_id], 0)), "Unmapped")</f>
        <v>Netherlands</v>
      </c>
      <c r="G4649" t="str">
        <f>IFERROR(INDEX(Region_Map[Region], MATCH(orders[[#This Row],[Customer_Country]], Region_Map[Country], 0)), "Unknown")</f>
        <v>Central Europe</v>
      </c>
      <c r="H4649" t="s">
        <v>6949</v>
      </c>
    </row>
    <row r="4650" spans="1:8">
      <c r="A4650" t="s">
        <v>5546</v>
      </c>
      <c r="B4650" t="s">
        <v>638</v>
      </c>
      <c r="C4650" s="1">
        <v>45068</v>
      </c>
      <c r="D4650" s="1" t="str">
        <f>PROPER(orders[[#This Row],[order_priority]])</f>
        <v>Standard</v>
      </c>
      <c r="E4650" t="s">
        <v>13317</v>
      </c>
      <c r="F4650" t="str">
        <f>IFERROR(INDEX(customers[country], MATCH(orders[[#This Row],[customer_id]], customers[customer_id], 0)), "Unmapped")</f>
        <v>Germany</v>
      </c>
      <c r="G4650" t="str">
        <f>IFERROR(INDEX(Region_Map[Region], MATCH(orders[[#This Row],[Customer_Country]], Region_Map[Country], 0)), "Unknown")</f>
        <v>Central Europe</v>
      </c>
      <c r="H4650" t="s">
        <v>6949</v>
      </c>
    </row>
    <row r="4651" spans="1:8">
      <c r="A4651" t="s">
        <v>5547</v>
      </c>
      <c r="B4651" t="s">
        <v>551</v>
      </c>
      <c r="C4651" s="1">
        <v>45258</v>
      </c>
      <c r="D4651" s="1" t="str">
        <f>PROPER(orders[[#This Row],[order_priority]])</f>
        <v>Economy</v>
      </c>
      <c r="E4651" t="s">
        <v>13316</v>
      </c>
      <c r="F4651" t="str">
        <f>IFERROR(INDEX(customers[country], MATCH(orders[[#This Row],[customer_id]], customers[customer_id], 0)), "Unmapped")</f>
        <v>Latvia</v>
      </c>
      <c r="G4651" t="str">
        <f>IFERROR(INDEX(Region_Map[Region], MATCH(orders[[#This Row],[Customer_Country]], Region_Map[Country], 0)), "Unknown")</f>
        <v>Baltics</v>
      </c>
      <c r="H4651" t="s">
        <v>6949</v>
      </c>
    </row>
    <row r="4652" spans="1:8">
      <c r="A4652" t="s">
        <v>5548</v>
      </c>
      <c r="B4652" t="s">
        <v>294</v>
      </c>
      <c r="C4652" s="1">
        <v>45564</v>
      </c>
      <c r="D4652" s="1" t="str">
        <f>PROPER(orders[[#This Row],[order_priority]])</f>
        <v>Standard</v>
      </c>
      <c r="E4652" t="s">
        <v>13319</v>
      </c>
      <c r="F4652" t="str">
        <f>IFERROR(INDEX(customers[country], MATCH(orders[[#This Row],[customer_id]], customers[customer_id], 0)), "Unmapped")</f>
        <v>Denmark</v>
      </c>
      <c r="G4652" t="str">
        <f>IFERROR(INDEX(Region_Map[Region], MATCH(orders[[#This Row],[Customer_Country]], Region_Map[Country], 0)), "Unknown")</f>
        <v>Nordics</v>
      </c>
      <c r="H4652" t="s">
        <v>6949</v>
      </c>
    </row>
    <row r="4653" spans="1:8">
      <c r="A4653" t="s">
        <v>5549</v>
      </c>
      <c r="B4653" t="s">
        <v>48</v>
      </c>
      <c r="C4653" s="1">
        <v>45308</v>
      </c>
      <c r="D4653" s="1" t="str">
        <f>PROPER(orders[[#This Row],[order_priority]])</f>
        <v>Economy</v>
      </c>
      <c r="E4653" t="s">
        <v>13316</v>
      </c>
      <c r="F4653" t="str">
        <f>IFERROR(INDEX(customers[country], MATCH(orders[[#This Row],[customer_id]], customers[customer_id], 0)), "Unmapped")</f>
        <v>Poland</v>
      </c>
      <c r="G4653" t="str">
        <f>IFERROR(INDEX(Region_Map[Region], MATCH(orders[[#This Row],[Customer_Country]], Region_Map[Country], 0)), "Unknown")</f>
        <v>Central Europe</v>
      </c>
      <c r="H4653" t="s">
        <v>6949</v>
      </c>
    </row>
    <row r="4654" spans="1:8">
      <c r="A4654" t="s">
        <v>5550</v>
      </c>
      <c r="B4654" t="s">
        <v>891</v>
      </c>
      <c r="C4654" s="1">
        <v>45548</v>
      </c>
      <c r="D4654" s="1" t="str">
        <f>PROPER(orders[[#This Row],[order_priority]])</f>
        <v>Express</v>
      </c>
      <c r="E4654" t="s">
        <v>13318</v>
      </c>
      <c r="F4654" t="str">
        <f>IFERROR(INDEX(customers[country], MATCH(orders[[#This Row],[customer_id]], customers[customer_id], 0)), "Unmapped")</f>
        <v>Netherlands</v>
      </c>
      <c r="G4654" t="str">
        <f>IFERROR(INDEX(Region_Map[Region], MATCH(orders[[#This Row],[Customer_Country]], Region_Map[Country], 0)), "Unknown")</f>
        <v>Central Europe</v>
      </c>
      <c r="H4654" t="s">
        <v>6949</v>
      </c>
    </row>
    <row r="4655" spans="1:8">
      <c r="A4655" t="s">
        <v>5551</v>
      </c>
      <c r="B4655" t="s">
        <v>416</v>
      </c>
      <c r="C4655" s="1">
        <v>45564</v>
      </c>
      <c r="D4655" s="1" t="str">
        <f>PROPER(orders[[#This Row],[order_priority]])</f>
        <v>Express</v>
      </c>
      <c r="E4655" t="s">
        <v>13318</v>
      </c>
      <c r="F4655" t="str">
        <f>IFERROR(INDEX(customers[country], MATCH(orders[[#This Row],[customer_id]], customers[customer_id], 0)), "Unmapped")</f>
        <v>Denmark</v>
      </c>
      <c r="G4655" t="str">
        <f>IFERROR(INDEX(Region_Map[Region], MATCH(orders[[#This Row],[Customer_Country]], Region_Map[Country], 0)), "Unknown")</f>
        <v>Nordics</v>
      </c>
      <c r="H4655" t="s">
        <v>6949</v>
      </c>
    </row>
    <row r="4656" spans="1:8">
      <c r="A4656" t="s">
        <v>5552</v>
      </c>
      <c r="B4656" t="s">
        <v>590</v>
      </c>
      <c r="C4656" s="1">
        <v>45290</v>
      </c>
      <c r="D4656" s="1" t="str">
        <f>PROPER(orders[[#This Row],[order_priority]])</f>
        <v>Same Day</v>
      </c>
      <c r="E4656" t="s">
        <v>13322</v>
      </c>
      <c r="F4656" t="str">
        <f>IFERROR(INDEX(customers[country], MATCH(orders[[#This Row],[customer_id]], customers[customer_id], 0)), "Unmapped")</f>
        <v>Finland</v>
      </c>
      <c r="G4656" t="str">
        <f>IFERROR(INDEX(Region_Map[Region], MATCH(orders[[#This Row],[Customer_Country]], Region_Map[Country], 0)), "Unknown")</f>
        <v>Nordics</v>
      </c>
      <c r="H4656" t="s">
        <v>6949</v>
      </c>
    </row>
    <row r="4657" spans="1:8">
      <c r="A4657" t="s">
        <v>5553</v>
      </c>
      <c r="B4657" t="s">
        <v>11</v>
      </c>
      <c r="C4657" s="1">
        <v>45407</v>
      </c>
      <c r="D4657" s="1" t="str">
        <f>PROPER(orders[[#This Row],[order_priority]])</f>
        <v>Same Day</v>
      </c>
      <c r="E4657" t="s">
        <v>13321</v>
      </c>
      <c r="F4657" t="str">
        <f>IFERROR(INDEX(customers[country], MATCH(orders[[#This Row],[customer_id]], customers[customer_id], 0)), "Unmapped")</f>
        <v>Sweden</v>
      </c>
      <c r="G4657" t="str">
        <f>IFERROR(INDEX(Region_Map[Region], MATCH(orders[[#This Row],[Customer_Country]], Region_Map[Country], 0)), "Unknown")</f>
        <v>Nordics</v>
      </c>
      <c r="H4657" t="s">
        <v>6949</v>
      </c>
    </row>
    <row r="4658" spans="1:8">
      <c r="A4658" t="s">
        <v>5554</v>
      </c>
      <c r="B4658" t="s">
        <v>816</v>
      </c>
      <c r="C4658" s="1">
        <v>45610</v>
      </c>
      <c r="D4658" s="1" t="str">
        <f>PROPER(orders[[#This Row],[order_priority]])</f>
        <v>Economy</v>
      </c>
      <c r="E4658" t="s">
        <v>13316</v>
      </c>
      <c r="F4658" t="str">
        <f>IFERROR(INDEX(customers[country], MATCH(orders[[#This Row],[customer_id]], customers[customer_id], 0)), "Unmapped")</f>
        <v>Lithuania</v>
      </c>
      <c r="G4658" t="str">
        <f>IFERROR(INDEX(Region_Map[Region], MATCH(orders[[#This Row],[Customer_Country]], Region_Map[Country], 0)), "Unknown")</f>
        <v>Baltics</v>
      </c>
      <c r="H4658" t="s">
        <v>6949</v>
      </c>
    </row>
    <row r="4659" spans="1:8">
      <c r="A4659" t="s">
        <v>5555</v>
      </c>
      <c r="B4659" t="s">
        <v>6</v>
      </c>
      <c r="C4659" s="1">
        <v>45066</v>
      </c>
      <c r="D4659" s="1" t="str">
        <f>PROPER(orders[[#This Row],[order_priority]])</f>
        <v>Express</v>
      </c>
      <c r="E4659" t="s">
        <v>13318</v>
      </c>
      <c r="F4659" t="str">
        <f>IFERROR(INDEX(customers[country], MATCH(orders[[#This Row],[customer_id]], customers[customer_id], 0)), "Unmapped")</f>
        <v>Latvia</v>
      </c>
      <c r="G4659" t="str">
        <f>IFERROR(INDEX(Region_Map[Region], MATCH(orders[[#This Row],[Customer_Country]], Region_Map[Country], 0)), "Unknown")</f>
        <v>Baltics</v>
      </c>
      <c r="H4659" t="s">
        <v>6949</v>
      </c>
    </row>
    <row r="4660" spans="1:8">
      <c r="A4660" t="s">
        <v>5556</v>
      </c>
      <c r="B4660" t="s">
        <v>515</v>
      </c>
      <c r="C4660" s="1">
        <v>45304</v>
      </c>
      <c r="D4660" s="1" t="str">
        <f>PROPER(orders[[#This Row],[order_priority]])</f>
        <v>Same Day</v>
      </c>
      <c r="E4660" t="s">
        <v>13322</v>
      </c>
      <c r="F4660" t="str">
        <f>IFERROR(INDEX(customers[country], MATCH(orders[[#This Row],[customer_id]], customers[customer_id], 0)), "Unmapped")</f>
        <v>Latvia</v>
      </c>
      <c r="G4660" t="str">
        <f>IFERROR(INDEX(Region_Map[Region], MATCH(orders[[#This Row],[Customer_Country]], Region_Map[Country], 0)), "Unknown")</f>
        <v>Baltics</v>
      </c>
      <c r="H4660" t="s">
        <v>6949</v>
      </c>
    </row>
    <row r="4661" spans="1:8">
      <c r="A4661" t="s">
        <v>5557</v>
      </c>
      <c r="B4661" t="s">
        <v>733</v>
      </c>
      <c r="C4661" s="1">
        <v>45499</v>
      </c>
      <c r="D4661" s="1" t="str">
        <f>PROPER(orders[[#This Row],[order_priority]])</f>
        <v>Same Day</v>
      </c>
      <c r="E4661" t="s">
        <v>13322</v>
      </c>
      <c r="F4661" t="str">
        <f>IFERROR(INDEX(customers[country], MATCH(orders[[#This Row],[customer_id]], customers[customer_id], 0)), "Unmapped")</f>
        <v>Lithuania</v>
      </c>
      <c r="G4661" t="str">
        <f>IFERROR(INDEX(Region_Map[Region], MATCH(orders[[#This Row],[Customer_Country]], Region_Map[Country], 0)), "Unknown")</f>
        <v>Baltics</v>
      </c>
      <c r="H4661" t="s">
        <v>6949</v>
      </c>
    </row>
    <row r="4662" spans="1:8">
      <c r="A4662" t="s">
        <v>5558</v>
      </c>
      <c r="B4662" t="s">
        <v>133</v>
      </c>
      <c r="C4662" s="1">
        <v>44963</v>
      </c>
      <c r="D4662" s="1" t="str">
        <f>PROPER(orders[[#This Row],[order_priority]])</f>
        <v>Standard</v>
      </c>
      <c r="E4662" t="s">
        <v>13317</v>
      </c>
      <c r="F4662" t="str">
        <f>IFERROR(INDEX(customers[country], MATCH(orders[[#This Row],[customer_id]], customers[customer_id], 0)), "Unmapped")</f>
        <v>Finland</v>
      </c>
      <c r="G4662" t="str">
        <f>IFERROR(INDEX(Region_Map[Region], MATCH(orders[[#This Row],[Customer_Country]], Region_Map[Country], 0)), "Unknown")</f>
        <v>Nordics</v>
      </c>
      <c r="H4662" t="s">
        <v>6949</v>
      </c>
    </row>
    <row r="4663" spans="1:8">
      <c r="A4663" t="s">
        <v>5559</v>
      </c>
      <c r="B4663" t="s">
        <v>228</v>
      </c>
      <c r="C4663" s="1">
        <v>44983</v>
      </c>
      <c r="D4663" s="1" t="str">
        <f>PROPER(orders[[#This Row],[order_priority]])</f>
        <v>Economy</v>
      </c>
      <c r="E4663" t="s">
        <v>13316</v>
      </c>
      <c r="F4663" t="str">
        <f>IFERROR(INDEX(customers[country], MATCH(orders[[#This Row],[customer_id]], customers[customer_id], 0)), "Unmapped")</f>
        <v>Latvia</v>
      </c>
      <c r="G4663" t="str">
        <f>IFERROR(INDEX(Region_Map[Region], MATCH(orders[[#This Row],[Customer_Country]], Region_Map[Country], 0)), "Unknown")</f>
        <v>Baltics</v>
      </c>
      <c r="H4663" t="s">
        <v>6949</v>
      </c>
    </row>
    <row r="4664" spans="1:8">
      <c r="A4664" t="s">
        <v>5560</v>
      </c>
      <c r="B4664" t="s">
        <v>617</v>
      </c>
      <c r="C4664" s="1">
        <v>45181</v>
      </c>
      <c r="D4664" s="1" t="str">
        <f>PROPER(orders[[#This Row],[order_priority]])</f>
        <v>Express</v>
      </c>
      <c r="E4664" t="s">
        <v>13326</v>
      </c>
      <c r="F4664" t="str">
        <f>IFERROR(INDEX(customers[country], MATCH(orders[[#This Row],[customer_id]], customers[customer_id], 0)), "Unmapped")</f>
        <v>Latvia</v>
      </c>
      <c r="G4664" t="str">
        <f>IFERROR(INDEX(Region_Map[Region], MATCH(orders[[#This Row],[Customer_Country]], Region_Map[Country], 0)), "Unknown")</f>
        <v>Baltics</v>
      </c>
      <c r="H4664" t="s">
        <v>6949</v>
      </c>
    </row>
    <row r="4665" spans="1:8">
      <c r="A4665" t="s">
        <v>5561</v>
      </c>
      <c r="B4665" t="s">
        <v>112</v>
      </c>
      <c r="C4665" s="1">
        <v>45184</v>
      </c>
      <c r="D4665" s="1" t="str">
        <f>PROPER(orders[[#This Row],[order_priority]])</f>
        <v>Economy</v>
      </c>
      <c r="E4665" t="s">
        <v>13316</v>
      </c>
      <c r="F4665" t="str">
        <f>IFERROR(INDEX(customers[country], MATCH(orders[[#This Row],[customer_id]], customers[customer_id], 0)), "Unmapped")</f>
        <v>Finland</v>
      </c>
      <c r="G4665" t="str">
        <f>IFERROR(INDEX(Region_Map[Region], MATCH(orders[[#This Row],[Customer_Country]], Region_Map[Country], 0)), "Unknown")</f>
        <v>Nordics</v>
      </c>
      <c r="H4665" t="s">
        <v>6949</v>
      </c>
    </row>
    <row r="4666" spans="1:8">
      <c r="A4666" t="s">
        <v>5562</v>
      </c>
      <c r="B4666" t="s">
        <v>661</v>
      </c>
      <c r="C4666" s="1">
        <v>45230</v>
      </c>
      <c r="D4666" s="1" t="str">
        <f>PROPER(orders[[#This Row],[order_priority]])</f>
        <v>Same Day</v>
      </c>
      <c r="E4666" t="s">
        <v>13322</v>
      </c>
      <c r="F4666" t="str">
        <f>IFERROR(INDEX(customers[country], MATCH(orders[[#This Row],[customer_id]], customers[customer_id], 0)), "Unmapped")</f>
        <v>Lithuania</v>
      </c>
      <c r="G4666" t="str">
        <f>IFERROR(INDEX(Region_Map[Region], MATCH(orders[[#This Row],[Customer_Country]], Region_Map[Country], 0)), "Unknown")</f>
        <v>Baltics</v>
      </c>
      <c r="H4666" t="s">
        <v>6949</v>
      </c>
    </row>
    <row r="4667" spans="1:8">
      <c r="A4667" t="s">
        <v>5563</v>
      </c>
      <c r="B4667" t="s">
        <v>136</v>
      </c>
      <c r="C4667" s="1">
        <v>44975</v>
      </c>
      <c r="D4667" s="1" t="str">
        <f>PROPER(orders[[#This Row],[order_priority]])</f>
        <v>Express</v>
      </c>
      <c r="E4667" t="s">
        <v>13318</v>
      </c>
      <c r="F4667" t="str">
        <f>IFERROR(INDEX(customers[country], MATCH(orders[[#This Row],[customer_id]], customers[customer_id], 0)), "Unmapped")</f>
        <v>Sweden</v>
      </c>
      <c r="G4667" t="str">
        <f>IFERROR(INDEX(Region_Map[Region], MATCH(orders[[#This Row],[Customer_Country]], Region_Map[Country], 0)), "Unknown")</f>
        <v>Nordics</v>
      </c>
      <c r="H4667" t="s">
        <v>6949</v>
      </c>
    </row>
    <row r="4668" spans="1:8">
      <c r="A4668" t="s">
        <v>5564</v>
      </c>
      <c r="B4668" t="s">
        <v>572</v>
      </c>
      <c r="C4668" s="1">
        <v>45235</v>
      </c>
      <c r="D4668" s="1" t="str">
        <f>PROPER(orders[[#This Row],[order_priority]])</f>
        <v>Standard</v>
      </c>
      <c r="E4668" t="s">
        <v>13317</v>
      </c>
      <c r="F4668" t="str">
        <f>IFERROR(INDEX(customers[country], MATCH(orders[[#This Row],[customer_id]], customers[customer_id], 0)), "Unmapped")</f>
        <v>Germany</v>
      </c>
      <c r="G4668" t="str">
        <f>IFERROR(INDEX(Region_Map[Region], MATCH(orders[[#This Row],[Customer_Country]], Region_Map[Country], 0)), "Unknown")</f>
        <v>Central Europe</v>
      </c>
      <c r="H4668" t="s">
        <v>6949</v>
      </c>
    </row>
    <row r="4669" spans="1:8">
      <c r="A4669" t="s">
        <v>5565</v>
      </c>
      <c r="B4669" t="s">
        <v>494</v>
      </c>
      <c r="C4669" s="1">
        <v>45347</v>
      </c>
      <c r="D4669" s="1" t="str">
        <f>PROPER(orders[[#This Row],[order_priority]])</f>
        <v>Express</v>
      </c>
      <c r="E4669" t="s">
        <v>13318</v>
      </c>
      <c r="F4669" t="str">
        <f>IFERROR(INDEX(customers[country], MATCH(orders[[#This Row],[customer_id]], customers[customer_id], 0)), "Unmapped")</f>
        <v>Sweden</v>
      </c>
      <c r="G4669" t="str">
        <f>IFERROR(INDEX(Region_Map[Region], MATCH(orders[[#This Row],[Customer_Country]], Region_Map[Country], 0)), "Unknown")</f>
        <v>Nordics</v>
      </c>
      <c r="H4669" t="s">
        <v>6949</v>
      </c>
    </row>
    <row r="4670" spans="1:8">
      <c r="A4670" t="s">
        <v>5566</v>
      </c>
      <c r="B4670" t="s">
        <v>473</v>
      </c>
      <c r="C4670" s="1">
        <v>45329</v>
      </c>
      <c r="D4670" s="1" t="str">
        <f>PROPER(orders[[#This Row],[order_priority]])</f>
        <v>Economy</v>
      </c>
      <c r="E4670" t="s">
        <v>13316</v>
      </c>
      <c r="F4670" t="str">
        <f>IFERROR(INDEX(customers[country], MATCH(orders[[#This Row],[customer_id]], customers[customer_id], 0)), "Unmapped")</f>
        <v>Netherlands</v>
      </c>
      <c r="G4670" t="str">
        <f>IFERROR(INDEX(Region_Map[Region], MATCH(orders[[#This Row],[Customer_Country]], Region_Map[Country], 0)), "Unknown")</f>
        <v>Central Europe</v>
      </c>
      <c r="H4670" t="s">
        <v>6949</v>
      </c>
    </row>
    <row r="4671" spans="1:8">
      <c r="A4671" t="s">
        <v>5567</v>
      </c>
      <c r="B4671" t="s">
        <v>641</v>
      </c>
      <c r="C4671" s="1">
        <v>44983</v>
      </c>
      <c r="D4671" s="1" t="str">
        <f>PROPER(orders[[#This Row],[order_priority]])</f>
        <v>Standard</v>
      </c>
      <c r="E4671" t="s">
        <v>13317</v>
      </c>
      <c r="F4671" t="str">
        <f>IFERROR(INDEX(customers[country], MATCH(orders[[#This Row],[customer_id]], customers[customer_id], 0)), "Unmapped")</f>
        <v>Poland</v>
      </c>
      <c r="G4671" t="str">
        <f>IFERROR(INDEX(Region_Map[Region], MATCH(orders[[#This Row],[Customer_Country]], Region_Map[Country], 0)), "Unknown")</f>
        <v>Central Europe</v>
      </c>
      <c r="H4671" t="s">
        <v>6949</v>
      </c>
    </row>
    <row r="4672" spans="1:8">
      <c r="A4672" t="s">
        <v>5568</v>
      </c>
      <c r="B4672" t="s">
        <v>733</v>
      </c>
      <c r="C4672" s="1">
        <v>44934</v>
      </c>
      <c r="D4672" s="1" t="str">
        <f>PROPER(orders[[#This Row],[order_priority]])</f>
        <v>Economy</v>
      </c>
      <c r="E4672" t="s">
        <v>13316</v>
      </c>
      <c r="F4672" t="str">
        <f>IFERROR(INDEX(customers[country], MATCH(orders[[#This Row],[customer_id]], customers[customer_id], 0)), "Unmapped")</f>
        <v>Lithuania</v>
      </c>
      <c r="G4672" t="str">
        <f>IFERROR(INDEX(Region_Map[Region], MATCH(orders[[#This Row],[Customer_Country]], Region_Map[Country], 0)), "Unknown")</f>
        <v>Baltics</v>
      </c>
      <c r="H4672" t="s">
        <v>6949</v>
      </c>
    </row>
    <row r="4673" spans="1:8">
      <c r="A4673" t="s">
        <v>5569</v>
      </c>
      <c r="B4673" t="s">
        <v>73</v>
      </c>
      <c r="C4673" s="1">
        <v>45079</v>
      </c>
      <c r="D4673" s="1" t="str">
        <f>PROPER(orders[[#This Row],[order_priority]])</f>
        <v>Standard</v>
      </c>
      <c r="E4673" t="s">
        <v>13317</v>
      </c>
      <c r="F4673" t="str">
        <f>IFERROR(INDEX(customers[country], MATCH(orders[[#This Row],[customer_id]], customers[customer_id], 0)), "Unmapped")</f>
        <v>Norway</v>
      </c>
      <c r="G4673" t="str">
        <f>IFERROR(INDEX(Region_Map[Region], MATCH(orders[[#This Row],[Customer_Country]], Region_Map[Country], 0)), "Unknown")</f>
        <v>Nordics</v>
      </c>
      <c r="H4673" t="s">
        <v>6949</v>
      </c>
    </row>
    <row r="4674" spans="1:8">
      <c r="A4674" t="s">
        <v>5570</v>
      </c>
      <c r="B4674" t="s">
        <v>160</v>
      </c>
      <c r="C4674" s="1">
        <v>45460</v>
      </c>
      <c r="D4674" s="1" t="str">
        <f>PROPER(orders[[#This Row],[order_priority]])</f>
        <v>Standard</v>
      </c>
      <c r="E4674" t="s">
        <v>13317</v>
      </c>
      <c r="F4674" t="str">
        <f>IFERROR(INDEX(customers[country], MATCH(orders[[#This Row],[customer_id]], customers[customer_id], 0)), "Unmapped")</f>
        <v>Denmark</v>
      </c>
      <c r="G4674" t="str">
        <f>IFERROR(INDEX(Region_Map[Region], MATCH(orders[[#This Row],[Customer_Country]], Region_Map[Country], 0)), "Unknown")</f>
        <v>Nordics</v>
      </c>
      <c r="H4674" t="s">
        <v>6949</v>
      </c>
    </row>
    <row r="4675" spans="1:8">
      <c r="A4675" t="s">
        <v>5571</v>
      </c>
      <c r="B4675" t="s">
        <v>261</v>
      </c>
      <c r="C4675" s="1">
        <v>45534</v>
      </c>
      <c r="D4675" s="1" t="str">
        <f>PROPER(orders[[#This Row],[order_priority]])</f>
        <v>Same Day</v>
      </c>
      <c r="E4675" t="s">
        <v>13322</v>
      </c>
      <c r="F4675" t="str">
        <f>IFERROR(INDEX(customers[country], MATCH(orders[[#This Row],[customer_id]], customers[customer_id], 0)), "Unmapped")</f>
        <v>Germany</v>
      </c>
      <c r="G4675" t="str">
        <f>IFERROR(INDEX(Region_Map[Region], MATCH(orders[[#This Row],[Customer_Country]], Region_Map[Country], 0)), "Unknown")</f>
        <v>Central Europe</v>
      </c>
      <c r="H4675" t="s">
        <v>6949</v>
      </c>
    </row>
    <row r="4676" spans="1:8">
      <c r="A4676" t="s">
        <v>5572</v>
      </c>
      <c r="B4676" t="s">
        <v>109</v>
      </c>
      <c r="C4676" s="1">
        <v>45510</v>
      </c>
      <c r="D4676" s="1" t="str">
        <f>PROPER(orders[[#This Row],[order_priority]])</f>
        <v>Express</v>
      </c>
      <c r="E4676" t="s">
        <v>13318</v>
      </c>
      <c r="F4676" t="str">
        <f>IFERROR(INDEX(customers[country], MATCH(orders[[#This Row],[customer_id]], customers[customer_id], 0)), "Unmapped")</f>
        <v>Netherlands</v>
      </c>
      <c r="G4676" t="str">
        <f>IFERROR(INDEX(Region_Map[Region], MATCH(orders[[#This Row],[Customer_Country]], Region_Map[Country], 0)), "Unknown")</f>
        <v>Central Europe</v>
      </c>
      <c r="H4676" t="s">
        <v>6949</v>
      </c>
    </row>
    <row r="4677" spans="1:8">
      <c r="A4677" t="s">
        <v>5573</v>
      </c>
      <c r="B4677" t="s">
        <v>503</v>
      </c>
      <c r="C4677" s="1">
        <v>45370</v>
      </c>
      <c r="D4677" s="1" t="str">
        <f>PROPER(orders[[#This Row],[order_priority]])</f>
        <v>Economy</v>
      </c>
      <c r="E4677" t="s">
        <v>13316</v>
      </c>
      <c r="F4677" t="str">
        <f>IFERROR(INDEX(customers[country], MATCH(orders[[#This Row],[customer_id]], customers[customer_id], 0)), "Unmapped")</f>
        <v>Denmark</v>
      </c>
      <c r="G4677" t="str">
        <f>IFERROR(INDEX(Region_Map[Region], MATCH(orders[[#This Row],[Customer_Country]], Region_Map[Country], 0)), "Unknown")</f>
        <v>Nordics</v>
      </c>
      <c r="H4677" t="s">
        <v>6949</v>
      </c>
    </row>
    <row r="4678" spans="1:8">
      <c r="A4678" t="s">
        <v>5574</v>
      </c>
      <c r="B4678" t="s">
        <v>518</v>
      </c>
      <c r="C4678" s="1">
        <v>45105</v>
      </c>
      <c r="D4678" s="1" t="str">
        <f>PROPER(orders[[#This Row],[order_priority]])</f>
        <v>Same Day</v>
      </c>
      <c r="E4678" t="s">
        <v>13322</v>
      </c>
      <c r="F4678" t="str">
        <f>IFERROR(INDEX(customers[country], MATCH(orders[[#This Row],[customer_id]], customers[customer_id], 0)), "Unmapped")</f>
        <v>Germany</v>
      </c>
      <c r="G4678" t="str">
        <f>IFERROR(INDEX(Region_Map[Region], MATCH(orders[[#This Row],[Customer_Country]], Region_Map[Country], 0)), "Unknown")</f>
        <v>Central Europe</v>
      </c>
      <c r="H4678" t="s">
        <v>6949</v>
      </c>
    </row>
    <row r="4679" spans="1:8">
      <c r="A4679" t="s">
        <v>5575</v>
      </c>
      <c r="B4679" t="s">
        <v>335</v>
      </c>
      <c r="C4679" s="1">
        <v>45539</v>
      </c>
      <c r="D4679" s="1" t="str">
        <f>PROPER(orders[[#This Row],[order_priority]])</f>
        <v>Economy</v>
      </c>
      <c r="E4679" t="s">
        <v>13316</v>
      </c>
      <c r="F4679" t="str">
        <f>IFERROR(INDEX(customers[country], MATCH(orders[[#This Row],[customer_id]], customers[customer_id], 0)), "Unmapped")</f>
        <v>Denmark</v>
      </c>
      <c r="G4679" t="str">
        <f>IFERROR(INDEX(Region_Map[Region], MATCH(orders[[#This Row],[Customer_Country]], Region_Map[Country], 0)), "Unknown")</f>
        <v>Nordics</v>
      </c>
      <c r="H4679" t="s">
        <v>6949</v>
      </c>
    </row>
    <row r="4680" spans="1:8">
      <c r="A4680" t="s">
        <v>5576</v>
      </c>
      <c r="B4680" t="s">
        <v>19</v>
      </c>
      <c r="C4680" s="1">
        <v>45190</v>
      </c>
      <c r="D4680" s="1" t="str">
        <f>PROPER(orders[[#This Row],[order_priority]])</f>
        <v>Standard</v>
      </c>
      <c r="E4680" t="s">
        <v>13317</v>
      </c>
      <c r="F4680" t="str">
        <f>IFERROR(INDEX(customers[country], MATCH(orders[[#This Row],[customer_id]], customers[customer_id], 0)), "Unmapped")</f>
        <v>Poland</v>
      </c>
      <c r="G4680" t="str">
        <f>IFERROR(INDEX(Region_Map[Region], MATCH(orders[[#This Row],[Customer_Country]], Region_Map[Country], 0)), "Unknown")</f>
        <v>Central Europe</v>
      </c>
      <c r="H4680" t="s">
        <v>6949</v>
      </c>
    </row>
    <row r="4681" spans="1:8">
      <c r="A4681" t="s">
        <v>5577</v>
      </c>
      <c r="B4681" t="s">
        <v>575</v>
      </c>
      <c r="C4681" s="1">
        <v>45132</v>
      </c>
      <c r="D4681" s="1" t="str">
        <f>PROPER(orders[[#This Row],[order_priority]])</f>
        <v>Express</v>
      </c>
      <c r="E4681" t="s">
        <v>13318</v>
      </c>
      <c r="F4681" t="str">
        <f>IFERROR(INDEX(customers[country], MATCH(orders[[#This Row],[customer_id]], customers[customer_id], 0)), "Unmapped")</f>
        <v>Netherlands</v>
      </c>
      <c r="G4681" t="str">
        <f>IFERROR(INDEX(Region_Map[Region], MATCH(orders[[#This Row],[Customer_Country]], Region_Map[Country], 0)), "Unknown")</f>
        <v>Central Europe</v>
      </c>
      <c r="H4681" t="s">
        <v>6949</v>
      </c>
    </row>
    <row r="4682" spans="1:8">
      <c r="A4682" t="s">
        <v>5578</v>
      </c>
      <c r="B4682" t="s">
        <v>434</v>
      </c>
      <c r="C4682" s="1">
        <v>44988</v>
      </c>
      <c r="D4682" s="1" t="str">
        <f>PROPER(orders[[#This Row],[order_priority]])</f>
        <v>Express</v>
      </c>
      <c r="E4682" t="s">
        <v>13318</v>
      </c>
      <c r="F4682" t="str">
        <f>IFERROR(INDEX(customers[country], MATCH(orders[[#This Row],[customer_id]], customers[customer_id], 0)), "Unmapped")</f>
        <v>Lithuania</v>
      </c>
      <c r="G4682" t="str">
        <f>IFERROR(INDEX(Region_Map[Region], MATCH(orders[[#This Row],[Customer_Country]], Region_Map[Country], 0)), "Unknown")</f>
        <v>Baltics</v>
      </c>
      <c r="H4682" t="s">
        <v>6949</v>
      </c>
    </row>
    <row r="4683" spans="1:8">
      <c r="A4683" t="s">
        <v>5579</v>
      </c>
      <c r="B4683" t="s">
        <v>84</v>
      </c>
      <c r="C4683" s="1">
        <v>45183</v>
      </c>
      <c r="D4683" s="1" t="str">
        <f>PROPER(orders[[#This Row],[order_priority]])</f>
        <v>Express</v>
      </c>
      <c r="E4683" t="s">
        <v>13318</v>
      </c>
      <c r="F4683" t="str">
        <f>IFERROR(INDEX(customers[country], MATCH(orders[[#This Row],[customer_id]], customers[customer_id], 0)), "Unmapped")</f>
        <v>Lithuania</v>
      </c>
      <c r="G4683" t="str">
        <f>IFERROR(INDEX(Region_Map[Region], MATCH(orders[[#This Row],[Customer_Country]], Region_Map[Country], 0)), "Unknown")</f>
        <v>Baltics</v>
      </c>
      <c r="H4683" t="s">
        <v>6949</v>
      </c>
    </row>
    <row r="4684" spans="1:8">
      <c r="A4684" t="s">
        <v>5580</v>
      </c>
      <c r="B4684" t="s">
        <v>867</v>
      </c>
      <c r="C4684" s="1">
        <v>45354</v>
      </c>
      <c r="D4684" s="1" t="str">
        <f>PROPER(orders[[#This Row],[order_priority]])</f>
        <v>Standard</v>
      </c>
      <c r="E4684" t="s">
        <v>13317</v>
      </c>
      <c r="F4684" t="str">
        <f>IFERROR(INDEX(customers[country], MATCH(orders[[#This Row],[customer_id]], customers[customer_id], 0)), "Unmapped")</f>
        <v>Denmark</v>
      </c>
      <c r="G4684" t="str">
        <f>IFERROR(INDEX(Region_Map[Region], MATCH(orders[[#This Row],[Customer_Country]], Region_Map[Country], 0)), "Unknown")</f>
        <v>Nordics</v>
      </c>
      <c r="H4684" t="s">
        <v>6949</v>
      </c>
    </row>
    <row r="4685" spans="1:8">
      <c r="A4685" t="s">
        <v>5581</v>
      </c>
      <c r="B4685" t="s">
        <v>843</v>
      </c>
      <c r="C4685" s="1">
        <v>45352</v>
      </c>
      <c r="D4685" s="1" t="str">
        <f>PROPER(orders[[#This Row],[order_priority]])</f>
        <v>Express</v>
      </c>
      <c r="E4685" t="s">
        <v>13318</v>
      </c>
      <c r="F4685" t="str">
        <f>IFERROR(INDEX(customers[country], MATCH(orders[[#This Row],[customer_id]], customers[customer_id], 0)), "Unmapped")</f>
        <v>Netherlands</v>
      </c>
      <c r="G4685" t="str">
        <f>IFERROR(INDEX(Region_Map[Region], MATCH(orders[[#This Row],[Customer_Country]], Region_Map[Country], 0)), "Unknown")</f>
        <v>Central Europe</v>
      </c>
      <c r="H4685" t="s">
        <v>6949</v>
      </c>
    </row>
    <row r="4686" spans="1:8">
      <c r="A4686" t="s">
        <v>5582</v>
      </c>
      <c r="B4686" t="s">
        <v>285</v>
      </c>
      <c r="C4686" s="1">
        <v>45406</v>
      </c>
      <c r="D4686" s="1" t="str">
        <f>PROPER(orders[[#This Row],[order_priority]])</f>
        <v>Express</v>
      </c>
      <c r="E4686" t="s">
        <v>13318</v>
      </c>
      <c r="F4686" t="str">
        <f>IFERROR(INDEX(customers[country], MATCH(orders[[#This Row],[customer_id]], customers[customer_id], 0)), "Unmapped")</f>
        <v>Norway</v>
      </c>
      <c r="G4686" t="str">
        <f>IFERROR(INDEX(Region_Map[Region], MATCH(orders[[#This Row],[Customer_Country]], Region_Map[Country], 0)), "Unknown")</f>
        <v>Nordics</v>
      </c>
      <c r="H4686" t="s">
        <v>6949</v>
      </c>
    </row>
    <row r="4687" spans="1:8">
      <c r="A4687" t="s">
        <v>5583</v>
      </c>
      <c r="B4687" t="s">
        <v>419</v>
      </c>
      <c r="C4687" s="1">
        <v>45588</v>
      </c>
      <c r="D4687" s="1" t="str">
        <f>PROPER(orders[[#This Row],[order_priority]])</f>
        <v>Standard</v>
      </c>
      <c r="E4687" t="s">
        <v>13317</v>
      </c>
      <c r="F4687" t="str">
        <f>IFERROR(INDEX(customers[country], MATCH(orders[[#This Row],[customer_id]], customers[customer_id], 0)), "Unmapped")</f>
        <v>Estonia</v>
      </c>
      <c r="G4687" t="str">
        <f>IFERROR(INDEX(Region_Map[Region], MATCH(orders[[#This Row],[Customer_Country]], Region_Map[Country], 0)), "Unknown")</f>
        <v>Baltics</v>
      </c>
      <c r="H4687" t="s">
        <v>6949</v>
      </c>
    </row>
    <row r="4688" spans="1:8">
      <c r="A4688" t="s">
        <v>5584</v>
      </c>
      <c r="B4688" t="s">
        <v>735</v>
      </c>
      <c r="C4688" s="1">
        <v>45605</v>
      </c>
      <c r="D4688" s="1" t="str">
        <f>PROPER(orders[[#This Row],[order_priority]])</f>
        <v>Standard</v>
      </c>
      <c r="E4688" t="s">
        <v>13317</v>
      </c>
      <c r="F4688" t="str">
        <f>IFERROR(INDEX(customers[country], MATCH(orders[[#This Row],[customer_id]], customers[customer_id], 0)), "Unmapped")</f>
        <v>Poland</v>
      </c>
      <c r="G4688" t="str">
        <f>IFERROR(INDEX(Region_Map[Region], MATCH(orders[[#This Row],[Customer_Country]], Region_Map[Country], 0)), "Unknown")</f>
        <v>Central Europe</v>
      </c>
      <c r="H4688" t="s">
        <v>6949</v>
      </c>
    </row>
    <row r="4689" spans="1:8">
      <c r="A4689" t="s">
        <v>5585</v>
      </c>
      <c r="B4689" t="s">
        <v>392</v>
      </c>
      <c r="C4689" s="1">
        <v>45365</v>
      </c>
      <c r="D4689" s="1" t="str">
        <f>PROPER(orders[[#This Row],[order_priority]])</f>
        <v>Standard</v>
      </c>
      <c r="E4689" t="s">
        <v>13317</v>
      </c>
      <c r="F4689" t="str">
        <f>IFERROR(INDEX(customers[country], MATCH(orders[[#This Row],[customer_id]], customers[customer_id], 0)), "Unmapped")</f>
        <v>Latvia</v>
      </c>
      <c r="G4689" t="str">
        <f>IFERROR(INDEX(Region_Map[Region], MATCH(orders[[#This Row],[Customer_Country]], Region_Map[Country], 0)), "Unknown")</f>
        <v>Baltics</v>
      </c>
      <c r="H4689" t="s">
        <v>6949</v>
      </c>
    </row>
    <row r="4690" spans="1:8">
      <c r="A4690" t="s">
        <v>5586</v>
      </c>
      <c r="B4690" t="s">
        <v>894</v>
      </c>
      <c r="C4690" s="1">
        <v>45156</v>
      </c>
      <c r="D4690" s="1" t="str">
        <f>PROPER(orders[[#This Row],[order_priority]])</f>
        <v>Economy</v>
      </c>
      <c r="E4690" t="s">
        <v>13316</v>
      </c>
      <c r="F4690" t="str">
        <f>IFERROR(INDEX(customers[country], MATCH(orders[[#This Row],[customer_id]], customers[customer_id], 0)), "Unmapped")</f>
        <v>Poland</v>
      </c>
      <c r="G4690" t="str">
        <f>IFERROR(INDEX(Region_Map[Region], MATCH(orders[[#This Row],[Customer_Country]], Region_Map[Country], 0)), "Unknown")</f>
        <v>Central Europe</v>
      </c>
      <c r="H4690" t="s">
        <v>6949</v>
      </c>
    </row>
    <row r="4691" spans="1:8">
      <c r="A4691" t="s">
        <v>5587</v>
      </c>
      <c r="B4691" t="s">
        <v>828</v>
      </c>
      <c r="C4691" s="1">
        <v>44991</v>
      </c>
      <c r="D4691" s="1" t="str">
        <f>PROPER(orders[[#This Row],[order_priority]])</f>
        <v>Standard</v>
      </c>
      <c r="E4691" t="s">
        <v>13317</v>
      </c>
      <c r="F4691" t="str">
        <f>IFERROR(INDEX(customers[country], MATCH(orders[[#This Row],[customer_id]], customers[customer_id], 0)), "Unmapped")</f>
        <v>Germany</v>
      </c>
      <c r="G4691" t="str">
        <f>IFERROR(INDEX(Region_Map[Region], MATCH(orders[[#This Row],[Customer_Country]], Region_Map[Country], 0)), "Unknown")</f>
        <v>Central Europe</v>
      </c>
      <c r="H4691" t="s">
        <v>6949</v>
      </c>
    </row>
    <row r="4692" spans="1:8">
      <c r="A4692" t="s">
        <v>5588</v>
      </c>
      <c r="B4692" t="s">
        <v>181</v>
      </c>
      <c r="C4692" s="1">
        <v>45196</v>
      </c>
      <c r="D4692" s="1" t="str">
        <f>PROPER(orders[[#This Row],[order_priority]])</f>
        <v>Express</v>
      </c>
      <c r="E4692" t="s">
        <v>13318</v>
      </c>
      <c r="F4692" t="str">
        <f>IFERROR(INDEX(customers[country], MATCH(orders[[#This Row],[customer_id]], customers[customer_id], 0)), "Unmapped")</f>
        <v>Netherlands</v>
      </c>
      <c r="G4692" t="str">
        <f>IFERROR(INDEX(Region_Map[Region], MATCH(orders[[#This Row],[Customer_Country]], Region_Map[Country], 0)), "Unknown")</f>
        <v>Central Europe</v>
      </c>
      <c r="H4692" t="s">
        <v>6949</v>
      </c>
    </row>
    <row r="4693" spans="1:8">
      <c r="A4693" t="s">
        <v>5589</v>
      </c>
      <c r="B4693" t="s">
        <v>187</v>
      </c>
      <c r="C4693" s="1">
        <v>45458</v>
      </c>
      <c r="D4693" s="1" t="str">
        <f>PROPER(orders[[#This Row],[order_priority]])</f>
        <v>Same Day</v>
      </c>
      <c r="E4693" t="s">
        <v>13322</v>
      </c>
      <c r="F4693" t="str">
        <f>IFERROR(INDEX(customers[country], MATCH(orders[[#This Row],[customer_id]], customers[customer_id], 0)), "Unmapped")</f>
        <v>Latvia</v>
      </c>
      <c r="G4693" t="str">
        <f>IFERROR(INDEX(Region_Map[Region], MATCH(orders[[#This Row],[Customer_Country]], Region_Map[Country], 0)), "Unknown")</f>
        <v>Baltics</v>
      </c>
      <c r="H4693" t="s">
        <v>6949</v>
      </c>
    </row>
    <row r="4694" spans="1:8">
      <c r="A4694" t="s">
        <v>5590</v>
      </c>
      <c r="B4694" t="s">
        <v>93</v>
      </c>
      <c r="C4694" s="1">
        <v>45051</v>
      </c>
      <c r="D4694" s="1" t="str">
        <f>PROPER(orders[[#This Row],[order_priority]])</f>
        <v>Economy</v>
      </c>
      <c r="E4694" t="s">
        <v>13316</v>
      </c>
      <c r="F4694" t="str">
        <f>IFERROR(INDEX(customers[country], MATCH(orders[[#This Row],[customer_id]], customers[customer_id], 0)), "Unmapped")</f>
        <v>Norway</v>
      </c>
      <c r="G4694" t="str">
        <f>IFERROR(INDEX(Region_Map[Region], MATCH(orders[[#This Row],[Customer_Country]], Region_Map[Country], 0)), "Unknown")</f>
        <v>Nordics</v>
      </c>
      <c r="H4694" t="s">
        <v>6949</v>
      </c>
    </row>
    <row r="4695" spans="1:8">
      <c r="A4695" t="s">
        <v>5591</v>
      </c>
      <c r="B4695" t="s">
        <v>581</v>
      </c>
      <c r="C4695" s="1">
        <v>45338</v>
      </c>
      <c r="D4695" s="1" t="str">
        <f>PROPER(orders[[#This Row],[order_priority]])</f>
        <v>Standard</v>
      </c>
      <c r="E4695" t="s">
        <v>13317</v>
      </c>
      <c r="F4695" t="str">
        <f>IFERROR(INDEX(customers[country], MATCH(orders[[#This Row],[customer_id]], customers[customer_id], 0)), "Unmapped")</f>
        <v>Norway</v>
      </c>
      <c r="G4695" t="str">
        <f>IFERROR(INDEX(Region_Map[Region], MATCH(orders[[#This Row],[Customer_Country]], Region_Map[Country], 0)), "Unknown")</f>
        <v>Nordics</v>
      </c>
      <c r="H4695" t="s">
        <v>6949</v>
      </c>
    </row>
    <row r="4696" spans="1:8">
      <c r="A4696" t="s">
        <v>5592</v>
      </c>
      <c r="B4696" t="s">
        <v>178</v>
      </c>
      <c r="C4696" s="1">
        <v>45529</v>
      </c>
      <c r="D4696" s="1" t="str">
        <f>PROPER(orders[[#This Row],[order_priority]])</f>
        <v>Economy</v>
      </c>
      <c r="E4696" t="s">
        <v>13325</v>
      </c>
      <c r="F4696" t="str">
        <f>IFERROR(INDEX(customers[country], MATCH(orders[[#This Row],[customer_id]], customers[customer_id], 0)), "Unmapped")</f>
        <v>Poland</v>
      </c>
      <c r="G4696" t="str">
        <f>IFERROR(INDEX(Region_Map[Region], MATCH(orders[[#This Row],[Customer_Country]], Region_Map[Country], 0)), "Unknown")</f>
        <v>Central Europe</v>
      </c>
      <c r="H4696" t="s">
        <v>6949</v>
      </c>
    </row>
    <row r="4697" spans="1:8">
      <c r="A4697" t="s">
        <v>5593</v>
      </c>
      <c r="B4697" t="s">
        <v>781</v>
      </c>
      <c r="C4697" s="1">
        <v>44991</v>
      </c>
      <c r="D4697" s="1" t="str">
        <f>PROPER(orders[[#This Row],[order_priority]])</f>
        <v>Standard</v>
      </c>
      <c r="E4697" t="s">
        <v>13317</v>
      </c>
      <c r="F4697" t="str">
        <f>IFERROR(INDEX(customers[country], MATCH(orders[[#This Row],[customer_id]], customers[customer_id], 0)), "Unmapped")</f>
        <v>Germany</v>
      </c>
      <c r="G4697" t="str">
        <f>IFERROR(INDEX(Region_Map[Region], MATCH(orders[[#This Row],[Customer_Country]], Region_Map[Country], 0)), "Unknown")</f>
        <v>Central Europe</v>
      </c>
      <c r="H4697" t="s">
        <v>6949</v>
      </c>
    </row>
    <row r="4698" spans="1:8">
      <c r="A4698" t="s">
        <v>5594</v>
      </c>
      <c r="B4698" t="s">
        <v>151</v>
      </c>
      <c r="C4698" s="1">
        <v>44936</v>
      </c>
      <c r="D4698" s="1" t="str">
        <f>PROPER(orders[[#This Row],[order_priority]])</f>
        <v>Standard</v>
      </c>
      <c r="E4698" t="s">
        <v>13317</v>
      </c>
      <c r="F4698" t="str">
        <f>IFERROR(INDEX(customers[country], MATCH(orders[[#This Row],[customer_id]], customers[customer_id], 0)), "Unmapped")</f>
        <v>Sweden</v>
      </c>
      <c r="G4698" t="str">
        <f>IFERROR(INDEX(Region_Map[Region], MATCH(orders[[#This Row],[Customer_Country]], Region_Map[Country], 0)), "Unknown")</f>
        <v>Nordics</v>
      </c>
      <c r="H4698" t="s">
        <v>6949</v>
      </c>
    </row>
    <row r="4699" spans="1:8">
      <c r="A4699" t="s">
        <v>5595</v>
      </c>
      <c r="B4699" t="s">
        <v>819</v>
      </c>
      <c r="C4699" s="1">
        <v>44989</v>
      </c>
      <c r="D4699" s="1" t="str">
        <f>PROPER(orders[[#This Row],[order_priority]])</f>
        <v>Same Day</v>
      </c>
      <c r="E4699" t="s">
        <v>13322</v>
      </c>
      <c r="F4699" t="str">
        <f>IFERROR(INDEX(customers[country], MATCH(orders[[#This Row],[customer_id]], customers[customer_id], 0)), "Unmapped")</f>
        <v>Estonia</v>
      </c>
      <c r="G4699" t="str">
        <f>IFERROR(INDEX(Region_Map[Region], MATCH(orders[[#This Row],[Customer_Country]], Region_Map[Country], 0)), "Unknown")</f>
        <v>Baltics</v>
      </c>
      <c r="H4699" t="s">
        <v>6949</v>
      </c>
    </row>
    <row r="4700" spans="1:8">
      <c r="A4700" t="s">
        <v>5596</v>
      </c>
      <c r="B4700" t="s">
        <v>655</v>
      </c>
      <c r="C4700" s="1">
        <v>45290</v>
      </c>
      <c r="D4700" s="1" t="str">
        <f>PROPER(orders[[#This Row],[order_priority]])</f>
        <v>Express</v>
      </c>
      <c r="E4700" t="s">
        <v>13318</v>
      </c>
      <c r="F4700" t="str">
        <f>IFERROR(INDEX(customers[country], MATCH(orders[[#This Row],[customer_id]], customers[customer_id], 0)), "Unmapped")</f>
        <v>Sweden</v>
      </c>
      <c r="G4700" t="str">
        <f>IFERROR(INDEX(Region_Map[Region], MATCH(orders[[#This Row],[Customer_Country]], Region_Map[Country], 0)), "Unknown")</f>
        <v>Nordics</v>
      </c>
      <c r="H4700" t="s">
        <v>6949</v>
      </c>
    </row>
    <row r="4701" spans="1:8">
      <c r="A4701" t="s">
        <v>5597</v>
      </c>
      <c r="B4701" t="s">
        <v>157</v>
      </c>
      <c r="C4701" s="1">
        <v>45376</v>
      </c>
      <c r="D4701" s="1" t="str">
        <f>PROPER(orders[[#This Row],[order_priority]])</f>
        <v>Standard</v>
      </c>
      <c r="E4701" t="s">
        <v>13317</v>
      </c>
      <c r="F4701" t="str">
        <f>IFERROR(INDEX(customers[country], MATCH(orders[[#This Row],[customer_id]], customers[customer_id], 0)), "Unmapped")</f>
        <v>Lithuania</v>
      </c>
      <c r="G4701" t="str">
        <f>IFERROR(INDEX(Region_Map[Region], MATCH(orders[[#This Row],[Customer_Country]], Region_Map[Country], 0)), "Unknown")</f>
        <v>Baltics</v>
      </c>
      <c r="H4701" t="s">
        <v>6949</v>
      </c>
    </row>
    <row r="4702" spans="1:8">
      <c r="A4702" t="s">
        <v>5598</v>
      </c>
      <c r="B4702" t="s">
        <v>130</v>
      </c>
      <c r="C4702" s="1">
        <v>45558</v>
      </c>
      <c r="D4702" s="1" t="str">
        <f>PROPER(orders[[#This Row],[order_priority]])</f>
        <v>Express</v>
      </c>
      <c r="E4702" t="s">
        <v>13318</v>
      </c>
      <c r="F4702" t="str">
        <f>IFERROR(INDEX(customers[country], MATCH(orders[[#This Row],[customer_id]], customers[customer_id], 0)), "Unmapped")</f>
        <v>Latvia</v>
      </c>
      <c r="G4702" t="str">
        <f>IFERROR(INDEX(Region_Map[Region], MATCH(orders[[#This Row],[Customer_Country]], Region_Map[Country], 0)), "Unknown")</f>
        <v>Baltics</v>
      </c>
      <c r="H4702" t="s">
        <v>6949</v>
      </c>
    </row>
    <row r="4703" spans="1:8">
      <c r="A4703" t="s">
        <v>5599</v>
      </c>
      <c r="B4703" t="s">
        <v>172</v>
      </c>
      <c r="C4703" s="1">
        <v>45111</v>
      </c>
      <c r="D4703" s="1" t="str">
        <f>PROPER(orders[[#This Row],[order_priority]])</f>
        <v>Same Day</v>
      </c>
      <c r="E4703" t="s">
        <v>13322</v>
      </c>
      <c r="F4703" t="str">
        <f>IFERROR(INDEX(customers[country], MATCH(orders[[#This Row],[customer_id]], customers[customer_id], 0)), "Unmapped")</f>
        <v>Denmark</v>
      </c>
      <c r="G4703" t="str">
        <f>IFERROR(INDEX(Region_Map[Region], MATCH(orders[[#This Row],[Customer_Country]], Region_Map[Country], 0)), "Unknown")</f>
        <v>Nordics</v>
      </c>
      <c r="H4703" t="s">
        <v>6949</v>
      </c>
    </row>
    <row r="4704" spans="1:8">
      <c r="A4704" t="s">
        <v>5600</v>
      </c>
      <c r="B4704" t="s">
        <v>629</v>
      </c>
      <c r="C4704" s="1">
        <v>45611</v>
      </c>
      <c r="D4704" s="1" t="str">
        <f>PROPER(orders[[#This Row],[order_priority]])</f>
        <v>Economy</v>
      </c>
      <c r="E4704" t="s">
        <v>13316</v>
      </c>
      <c r="F4704" t="str">
        <f>IFERROR(INDEX(customers[country], MATCH(orders[[#This Row],[customer_id]], customers[customer_id], 0)), "Unmapped")</f>
        <v>Lithuania</v>
      </c>
      <c r="G4704" t="str">
        <f>IFERROR(INDEX(Region_Map[Region], MATCH(orders[[#This Row],[Customer_Country]], Region_Map[Country], 0)), "Unknown")</f>
        <v>Baltics</v>
      </c>
      <c r="H4704" t="s">
        <v>6949</v>
      </c>
    </row>
    <row r="4705" spans="1:8">
      <c r="A4705" t="s">
        <v>5601</v>
      </c>
      <c r="B4705" t="s">
        <v>243</v>
      </c>
      <c r="C4705" s="1">
        <v>45531</v>
      </c>
      <c r="D4705" s="1" t="str">
        <f>PROPER(orders[[#This Row],[order_priority]])</f>
        <v>Same Day</v>
      </c>
      <c r="E4705" t="s">
        <v>13322</v>
      </c>
      <c r="F4705" t="str">
        <f>IFERROR(INDEX(customers[country], MATCH(orders[[#This Row],[customer_id]], customers[customer_id], 0)), "Unmapped")</f>
        <v>Netherlands</v>
      </c>
      <c r="G4705" t="str">
        <f>IFERROR(INDEX(Region_Map[Region], MATCH(orders[[#This Row],[Customer_Country]], Region_Map[Country], 0)), "Unknown")</f>
        <v>Central Europe</v>
      </c>
      <c r="H4705" t="s">
        <v>6949</v>
      </c>
    </row>
    <row r="4706" spans="1:8">
      <c r="A4706" t="s">
        <v>5602</v>
      </c>
      <c r="B4706" t="s">
        <v>216</v>
      </c>
      <c r="C4706" s="1">
        <v>45009</v>
      </c>
      <c r="D4706" s="1" t="str">
        <f>PROPER(orders[[#This Row],[order_priority]])</f>
        <v>Economy</v>
      </c>
      <c r="E4706" t="s">
        <v>13316</v>
      </c>
      <c r="F4706" t="str">
        <f>IFERROR(INDEX(customers[country], MATCH(orders[[#This Row],[customer_id]], customers[customer_id], 0)), "Unmapped")</f>
        <v>Norway</v>
      </c>
      <c r="G4706" t="str">
        <f>IFERROR(INDEX(Region_Map[Region], MATCH(orders[[#This Row],[Customer_Country]], Region_Map[Country], 0)), "Unknown")</f>
        <v>Nordics</v>
      </c>
      <c r="H4706" t="s">
        <v>6949</v>
      </c>
    </row>
    <row r="4707" spans="1:8">
      <c r="A4707" t="s">
        <v>5603</v>
      </c>
      <c r="B4707" t="s">
        <v>175</v>
      </c>
      <c r="C4707" s="1">
        <v>45486</v>
      </c>
      <c r="D4707" s="1" t="str">
        <f>PROPER(orders[[#This Row],[order_priority]])</f>
        <v>Economy</v>
      </c>
      <c r="E4707" t="s">
        <v>13316</v>
      </c>
      <c r="F4707" t="str">
        <f>IFERROR(INDEX(customers[country], MATCH(orders[[#This Row],[customer_id]], customers[customer_id], 0)), "Unmapped")</f>
        <v>Sweden</v>
      </c>
      <c r="G4707" t="str">
        <f>IFERROR(INDEX(Region_Map[Region], MATCH(orders[[#This Row],[Customer_Country]], Region_Map[Country], 0)), "Unknown")</f>
        <v>Nordics</v>
      </c>
      <c r="H4707" t="s">
        <v>6949</v>
      </c>
    </row>
    <row r="4708" spans="1:8">
      <c r="A4708" t="s">
        <v>5604</v>
      </c>
      <c r="B4708" t="s">
        <v>506</v>
      </c>
      <c r="C4708" s="1">
        <v>45153</v>
      </c>
      <c r="D4708" s="1" t="str">
        <f>PROPER(orders[[#This Row],[order_priority]])</f>
        <v>Standard</v>
      </c>
      <c r="E4708" t="s">
        <v>13317</v>
      </c>
      <c r="F4708" t="str">
        <f>IFERROR(INDEX(customers[country], MATCH(orders[[#This Row],[customer_id]], customers[customer_id], 0)), "Unmapped")</f>
        <v>Poland</v>
      </c>
      <c r="G4708" t="str">
        <f>IFERROR(INDEX(Region_Map[Region], MATCH(orders[[#This Row],[Customer_Country]], Region_Map[Country], 0)), "Unknown")</f>
        <v>Central Europe</v>
      </c>
      <c r="H4708" t="s">
        <v>6949</v>
      </c>
    </row>
    <row r="4709" spans="1:8">
      <c r="A4709" t="s">
        <v>5605</v>
      </c>
      <c r="B4709" t="s">
        <v>219</v>
      </c>
      <c r="C4709" s="1">
        <v>44976</v>
      </c>
      <c r="D4709" s="1" t="str">
        <f>PROPER(orders[[#This Row],[order_priority]])</f>
        <v>Same Day</v>
      </c>
      <c r="E4709" t="s">
        <v>13322</v>
      </c>
      <c r="F4709" t="str">
        <f>IFERROR(INDEX(customers[country], MATCH(orders[[#This Row],[customer_id]], customers[customer_id], 0)), "Unmapped")</f>
        <v>Latvia</v>
      </c>
      <c r="G4709" t="str">
        <f>IFERROR(INDEX(Region_Map[Region], MATCH(orders[[#This Row],[Customer_Country]], Region_Map[Country], 0)), "Unknown")</f>
        <v>Baltics</v>
      </c>
      <c r="H4709" t="s">
        <v>6949</v>
      </c>
    </row>
    <row r="4710" spans="1:8">
      <c r="A4710" t="s">
        <v>5606</v>
      </c>
      <c r="B4710" t="s">
        <v>102</v>
      </c>
      <c r="C4710" s="1">
        <v>45006</v>
      </c>
      <c r="D4710" s="1" t="str">
        <f>PROPER(orders[[#This Row],[order_priority]])</f>
        <v>Economy</v>
      </c>
      <c r="E4710" t="s">
        <v>13316</v>
      </c>
      <c r="F4710" t="str">
        <f>IFERROR(INDEX(customers[country], MATCH(orders[[#This Row],[customer_id]], customers[customer_id], 0)), "Unmapped")</f>
        <v>Denmark</v>
      </c>
      <c r="G4710" t="str">
        <f>IFERROR(INDEX(Region_Map[Region], MATCH(orders[[#This Row],[Customer_Country]], Region_Map[Country], 0)), "Unknown")</f>
        <v>Nordics</v>
      </c>
      <c r="H4710" t="s">
        <v>6949</v>
      </c>
    </row>
    <row r="4711" spans="1:8">
      <c r="A4711" t="s">
        <v>5607</v>
      </c>
      <c r="B4711" t="s">
        <v>882</v>
      </c>
      <c r="C4711" s="1">
        <v>44927</v>
      </c>
      <c r="D4711" s="1" t="str">
        <f>PROPER(orders[[#This Row],[order_priority]])</f>
        <v>Express</v>
      </c>
      <c r="E4711" t="s">
        <v>13318</v>
      </c>
      <c r="F4711" t="str">
        <f>IFERROR(INDEX(customers[country], MATCH(orders[[#This Row],[customer_id]], customers[customer_id], 0)), "Unmapped")</f>
        <v>Netherlands</v>
      </c>
      <c r="G4711" t="str">
        <f>IFERROR(INDEX(Region_Map[Region], MATCH(orders[[#This Row],[Customer_Country]], Region_Map[Country], 0)), "Unknown")</f>
        <v>Central Europe</v>
      </c>
      <c r="H4711" t="s">
        <v>6949</v>
      </c>
    </row>
    <row r="4712" spans="1:8">
      <c r="A4712" t="s">
        <v>5608</v>
      </c>
      <c r="B4712" t="s">
        <v>279</v>
      </c>
      <c r="C4712" s="1">
        <v>45042</v>
      </c>
      <c r="D4712" s="1" t="str">
        <f>PROPER(orders[[#This Row],[order_priority]])</f>
        <v>Economy</v>
      </c>
      <c r="E4712" t="s">
        <v>13316</v>
      </c>
      <c r="F4712" t="str">
        <f>IFERROR(INDEX(customers[country], MATCH(orders[[#This Row],[customer_id]], customers[customer_id], 0)), "Unmapped")</f>
        <v>Germany</v>
      </c>
      <c r="G4712" t="str">
        <f>IFERROR(INDEX(Region_Map[Region], MATCH(orders[[#This Row],[Customer_Country]], Region_Map[Country], 0)), "Unknown")</f>
        <v>Central Europe</v>
      </c>
      <c r="H4712" t="s">
        <v>6949</v>
      </c>
    </row>
    <row r="4713" spans="1:8">
      <c r="A4713" t="s">
        <v>5609</v>
      </c>
      <c r="B4713" t="s">
        <v>386</v>
      </c>
      <c r="C4713" s="1">
        <v>45605</v>
      </c>
      <c r="D4713" s="1" t="str">
        <f>PROPER(orders[[#This Row],[order_priority]])</f>
        <v>Same Day</v>
      </c>
      <c r="E4713" t="s">
        <v>13322</v>
      </c>
      <c r="F4713" t="str">
        <f>IFERROR(INDEX(customers[country], MATCH(orders[[#This Row],[customer_id]], customers[customer_id], 0)), "Unmapped")</f>
        <v>Germany</v>
      </c>
      <c r="G4713" t="str">
        <f>IFERROR(INDEX(Region_Map[Region], MATCH(orders[[#This Row],[Customer_Country]], Region_Map[Country], 0)), "Unknown")</f>
        <v>Central Europe</v>
      </c>
      <c r="H4713" t="s">
        <v>6949</v>
      </c>
    </row>
    <row r="4714" spans="1:8">
      <c r="A4714" t="s">
        <v>5610</v>
      </c>
      <c r="B4714" t="s">
        <v>437</v>
      </c>
      <c r="C4714" s="1">
        <v>45414</v>
      </c>
      <c r="D4714" s="1" t="str">
        <f>PROPER(orders[[#This Row],[order_priority]])</f>
        <v>Standard</v>
      </c>
      <c r="E4714" t="s">
        <v>13317</v>
      </c>
      <c r="F4714" t="str">
        <f>IFERROR(INDEX(customers[country], MATCH(orders[[#This Row],[customer_id]], customers[customer_id], 0)), "Unmapped")</f>
        <v>Lithuania</v>
      </c>
      <c r="G4714" t="str">
        <f>IFERROR(INDEX(Region_Map[Region], MATCH(orders[[#This Row],[Customer_Country]], Region_Map[Country], 0)), "Unknown")</f>
        <v>Baltics</v>
      </c>
      <c r="H4714" t="s">
        <v>6949</v>
      </c>
    </row>
    <row r="4715" spans="1:8">
      <c r="A4715" t="s">
        <v>5611</v>
      </c>
      <c r="B4715" t="s">
        <v>249</v>
      </c>
      <c r="C4715" s="1">
        <v>45067</v>
      </c>
      <c r="D4715" s="1" t="str">
        <f>PROPER(orders[[#This Row],[order_priority]])</f>
        <v>Same Day</v>
      </c>
      <c r="E4715" t="s">
        <v>13321</v>
      </c>
      <c r="F4715" t="str">
        <f>IFERROR(INDEX(customers[country], MATCH(orders[[#This Row],[customer_id]], customers[customer_id], 0)), "Unmapped")</f>
        <v>Estonia</v>
      </c>
      <c r="G4715" t="str">
        <f>IFERROR(INDEX(Region_Map[Region], MATCH(orders[[#This Row],[Customer_Country]], Region_Map[Country], 0)), "Unknown")</f>
        <v>Baltics</v>
      </c>
      <c r="H4715" t="s">
        <v>6949</v>
      </c>
    </row>
    <row r="4716" spans="1:8">
      <c r="A4716" t="s">
        <v>5612</v>
      </c>
      <c r="B4716" t="s">
        <v>485</v>
      </c>
      <c r="C4716" s="1">
        <v>45617</v>
      </c>
      <c r="D4716" s="1" t="str">
        <f>PROPER(orders[[#This Row],[order_priority]])</f>
        <v>Express</v>
      </c>
      <c r="E4716" t="s">
        <v>13318</v>
      </c>
      <c r="F4716" t="str">
        <f>IFERROR(INDEX(customers[country], MATCH(orders[[#This Row],[customer_id]], customers[customer_id], 0)), "Unmapped")</f>
        <v>Latvia</v>
      </c>
      <c r="G4716" t="str">
        <f>IFERROR(INDEX(Region_Map[Region], MATCH(orders[[#This Row],[Customer_Country]], Region_Map[Country], 0)), "Unknown")</f>
        <v>Baltics</v>
      </c>
      <c r="H4716" t="s">
        <v>6949</v>
      </c>
    </row>
    <row r="4717" spans="1:8">
      <c r="A4717" t="s">
        <v>5613</v>
      </c>
      <c r="B4717" t="s">
        <v>189</v>
      </c>
      <c r="C4717" s="1">
        <v>45041</v>
      </c>
      <c r="D4717" s="1" t="str">
        <f>PROPER(orders[[#This Row],[order_priority]])</f>
        <v>Standard</v>
      </c>
      <c r="E4717" t="s">
        <v>13317</v>
      </c>
      <c r="F4717" t="str">
        <f>IFERROR(INDEX(customers[country], MATCH(orders[[#This Row],[customer_id]], customers[customer_id], 0)), "Unmapped")</f>
        <v>Norway</v>
      </c>
      <c r="G4717" t="str">
        <f>IFERROR(INDEX(Region_Map[Region], MATCH(orders[[#This Row],[Customer_Country]], Region_Map[Country], 0)), "Unknown")</f>
        <v>Nordics</v>
      </c>
      <c r="H4717" t="s">
        <v>6949</v>
      </c>
    </row>
    <row r="4718" spans="1:8">
      <c r="A4718" t="s">
        <v>5614</v>
      </c>
      <c r="B4718" t="s">
        <v>13333</v>
      </c>
      <c r="C4718" s="1">
        <v>45339</v>
      </c>
      <c r="D4718" s="1" t="str">
        <f>PROPER(orders[[#This Row],[order_priority]])</f>
        <v>Economy</v>
      </c>
      <c r="E4718" t="s">
        <v>13316</v>
      </c>
      <c r="F4718" t="str">
        <f>IFERROR(INDEX(customers[country], MATCH(orders[[#This Row],[customer_id]], customers[customer_id], 0)), "Unmapped")</f>
        <v>Unmapped</v>
      </c>
      <c r="G4718" t="str">
        <f>IFERROR(INDEX(Region_Map[Region], MATCH(orders[[#This Row],[Customer_Country]], Region_Map[Country], 0)), "Unknown")</f>
        <v>Unknown</v>
      </c>
      <c r="H4718" t="s">
        <v>6949</v>
      </c>
    </row>
    <row r="4719" spans="1:8">
      <c r="A4719" t="s">
        <v>5615</v>
      </c>
      <c r="B4719" t="s">
        <v>365</v>
      </c>
      <c r="C4719" s="1">
        <v>45125</v>
      </c>
      <c r="D4719" s="1" t="str">
        <f>PROPER(orders[[#This Row],[order_priority]])</f>
        <v>Same Day</v>
      </c>
      <c r="E4719" t="s">
        <v>13322</v>
      </c>
      <c r="F4719" t="str">
        <f>IFERROR(INDEX(customers[country], MATCH(orders[[#This Row],[customer_id]], customers[customer_id], 0)), "Unmapped")</f>
        <v>Poland</v>
      </c>
      <c r="G4719" t="str">
        <f>IFERROR(INDEX(Region_Map[Region], MATCH(orders[[#This Row],[Customer_Country]], Region_Map[Country], 0)), "Unknown")</f>
        <v>Central Europe</v>
      </c>
      <c r="H4719" t="s">
        <v>6949</v>
      </c>
    </row>
    <row r="4720" spans="1:8">
      <c r="A4720" t="s">
        <v>5616</v>
      </c>
      <c r="B4720" t="s">
        <v>96</v>
      </c>
      <c r="C4720" s="1">
        <v>45529</v>
      </c>
      <c r="D4720" s="1" t="str">
        <f>PROPER(orders[[#This Row],[order_priority]])</f>
        <v>Standard</v>
      </c>
      <c r="E4720" t="s">
        <v>13323</v>
      </c>
      <c r="F4720" t="str">
        <f>IFERROR(INDEX(customers[country], MATCH(orders[[#This Row],[customer_id]], customers[customer_id], 0)), "Unmapped")</f>
        <v>Sweden</v>
      </c>
      <c r="G4720" t="str">
        <f>IFERROR(INDEX(Region_Map[Region], MATCH(orders[[#This Row],[Customer_Country]], Region_Map[Country], 0)), "Unknown")</f>
        <v>Nordics</v>
      </c>
      <c r="H4720" t="s">
        <v>6949</v>
      </c>
    </row>
    <row r="4721" spans="1:8">
      <c r="A4721" t="s">
        <v>5617</v>
      </c>
      <c r="B4721" t="s">
        <v>870</v>
      </c>
      <c r="C4721" s="1">
        <v>45381</v>
      </c>
      <c r="D4721" s="1" t="str">
        <f>PROPER(orders[[#This Row],[order_priority]])</f>
        <v>Same Day</v>
      </c>
      <c r="E4721" t="s">
        <v>13322</v>
      </c>
      <c r="F4721" t="str">
        <f>IFERROR(INDEX(customers[country], MATCH(orders[[#This Row],[customer_id]], customers[customer_id], 0)), "Unmapped")</f>
        <v>Estonia</v>
      </c>
      <c r="G4721" t="str">
        <f>IFERROR(INDEX(Region_Map[Region], MATCH(orders[[#This Row],[Customer_Country]], Region_Map[Country], 0)), "Unknown")</f>
        <v>Baltics</v>
      </c>
      <c r="H4721" t="s">
        <v>6949</v>
      </c>
    </row>
    <row r="4722" spans="1:8">
      <c r="A4722" t="s">
        <v>5618</v>
      </c>
      <c r="B4722" t="s">
        <v>249</v>
      </c>
      <c r="C4722" s="1">
        <v>44975</v>
      </c>
      <c r="D4722" s="1" t="str">
        <f>PROPER(orders[[#This Row],[order_priority]])</f>
        <v>Express</v>
      </c>
      <c r="E4722" t="s">
        <v>13318</v>
      </c>
      <c r="F4722" t="str">
        <f>IFERROR(INDEX(customers[country], MATCH(orders[[#This Row],[customer_id]], customers[customer_id], 0)), "Unmapped")</f>
        <v>Estonia</v>
      </c>
      <c r="G4722" t="str">
        <f>IFERROR(INDEX(Region_Map[Region], MATCH(orders[[#This Row],[Customer_Country]], Region_Map[Country], 0)), "Unknown")</f>
        <v>Baltics</v>
      </c>
      <c r="H4722" t="s">
        <v>6949</v>
      </c>
    </row>
    <row r="4723" spans="1:8">
      <c r="A4723" t="s">
        <v>5619</v>
      </c>
      <c r="B4723" t="s">
        <v>449</v>
      </c>
      <c r="C4723" s="1">
        <v>45214</v>
      </c>
      <c r="D4723" s="1" t="str">
        <f>PROPER(orders[[#This Row],[order_priority]])</f>
        <v>Economy</v>
      </c>
      <c r="E4723" t="s">
        <v>13316</v>
      </c>
      <c r="F4723" t="str">
        <f>IFERROR(INDEX(customers[country], MATCH(orders[[#This Row],[customer_id]], customers[customer_id], 0)), "Unmapped")</f>
        <v>Norway</v>
      </c>
      <c r="G4723" t="str">
        <f>IFERROR(INDEX(Region_Map[Region], MATCH(orders[[#This Row],[Customer_Country]], Region_Map[Country], 0)), "Unknown")</f>
        <v>Nordics</v>
      </c>
      <c r="H4723" t="s">
        <v>6949</v>
      </c>
    </row>
    <row r="4724" spans="1:8">
      <c r="A4724" t="s">
        <v>5620</v>
      </c>
      <c r="B4724" t="s">
        <v>15</v>
      </c>
      <c r="C4724" s="1">
        <v>45516</v>
      </c>
      <c r="D4724" s="1" t="str">
        <f>PROPER(orders[[#This Row],[order_priority]])</f>
        <v>Standard</v>
      </c>
      <c r="E4724" t="s">
        <v>13317</v>
      </c>
      <c r="F4724" t="str">
        <f>IFERROR(INDEX(customers[country], MATCH(orders[[#This Row],[customer_id]], customers[customer_id], 0)), "Unmapped")</f>
        <v>Estonia</v>
      </c>
      <c r="G4724" t="str">
        <f>IFERROR(INDEX(Region_Map[Region], MATCH(orders[[#This Row],[Customer_Country]], Region_Map[Country], 0)), "Unknown")</f>
        <v>Baltics</v>
      </c>
      <c r="H4724" t="s">
        <v>6949</v>
      </c>
    </row>
    <row r="4725" spans="1:8">
      <c r="A4725" t="s">
        <v>5621</v>
      </c>
      <c r="B4725" t="s">
        <v>219</v>
      </c>
      <c r="C4725" s="1">
        <v>45298</v>
      </c>
      <c r="D4725" s="1" t="str">
        <f>PROPER(orders[[#This Row],[order_priority]])</f>
        <v>Express</v>
      </c>
      <c r="E4725" t="s">
        <v>13318</v>
      </c>
      <c r="F4725" t="str">
        <f>IFERROR(INDEX(customers[country], MATCH(orders[[#This Row],[customer_id]], customers[customer_id], 0)), "Unmapped")</f>
        <v>Latvia</v>
      </c>
      <c r="G4725" t="str">
        <f>IFERROR(INDEX(Region_Map[Region], MATCH(orders[[#This Row],[Customer_Country]], Region_Map[Country], 0)), "Unknown")</f>
        <v>Baltics</v>
      </c>
      <c r="H4725" t="s">
        <v>6949</v>
      </c>
    </row>
    <row r="4726" spans="1:8">
      <c r="A4726" t="s">
        <v>5622</v>
      </c>
      <c r="B4726" t="s">
        <v>419</v>
      </c>
      <c r="C4726" s="1">
        <v>45178</v>
      </c>
      <c r="D4726" s="1" t="str">
        <f>PROPER(orders[[#This Row],[order_priority]])</f>
        <v>Express</v>
      </c>
      <c r="E4726" t="s">
        <v>13318</v>
      </c>
      <c r="F4726" t="str">
        <f>IFERROR(INDEX(customers[country], MATCH(orders[[#This Row],[customer_id]], customers[customer_id], 0)), "Unmapped")</f>
        <v>Estonia</v>
      </c>
      <c r="G4726" t="str">
        <f>IFERROR(INDEX(Region_Map[Region], MATCH(orders[[#This Row],[Customer_Country]], Region_Map[Country], 0)), "Unknown")</f>
        <v>Baltics</v>
      </c>
      <c r="H4726" t="s">
        <v>6949</v>
      </c>
    </row>
    <row r="4727" spans="1:8">
      <c r="A4727" t="s">
        <v>5623</v>
      </c>
      <c r="B4727" t="s">
        <v>428</v>
      </c>
      <c r="C4727" s="1">
        <v>45397</v>
      </c>
      <c r="D4727" s="1" t="str">
        <f>PROPER(orders[[#This Row],[order_priority]])</f>
        <v>Standard</v>
      </c>
      <c r="E4727" t="s">
        <v>13317</v>
      </c>
      <c r="F4727" t="str">
        <f>IFERROR(INDEX(customers[country], MATCH(orders[[#This Row],[customer_id]], customers[customer_id], 0)), "Unmapped")</f>
        <v>Finland</v>
      </c>
      <c r="G4727" t="str">
        <f>IFERROR(INDEX(Region_Map[Region], MATCH(orders[[#This Row],[Customer_Country]], Region_Map[Country], 0)), "Unknown")</f>
        <v>Nordics</v>
      </c>
      <c r="H4727" t="s">
        <v>6949</v>
      </c>
    </row>
    <row r="4728" spans="1:8">
      <c r="A4728" t="s">
        <v>5624</v>
      </c>
      <c r="B4728" t="s">
        <v>67</v>
      </c>
      <c r="C4728" s="1">
        <v>45239</v>
      </c>
      <c r="D4728" s="1" t="str">
        <f>PROPER(orders[[#This Row],[order_priority]])</f>
        <v>Economy</v>
      </c>
      <c r="E4728" t="s">
        <v>13316</v>
      </c>
      <c r="F4728" t="str">
        <f>IFERROR(INDEX(customers[country], MATCH(orders[[#This Row],[customer_id]], customers[customer_id], 0)), "Unmapped")</f>
        <v>Estonia</v>
      </c>
      <c r="G4728" t="str">
        <f>IFERROR(INDEX(Region_Map[Region], MATCH(orders[[#This Row],[Customer_Country]], Region_Map[Country], 0)), "Unknown")</f>
        <v>Baltics</v>
      </c>
      <c r="H4728" t="s">
        <v>6949</v>
      </c>
    </row>
    <row r="4729" spans="1:8">
      <c r="A4729" t="s">
        <v>5625</v>
      </c>
      <c r="B4729" t="s">
        <v>288</v>
      </c>
      <c r="C4729" s="1">
        <v>44981</v>
      </c>
      <c r="D4729" s="1" t="str">
        <f>PROPER(orders[[#This Row],[order_priority]])</f>
        <v>Same Day</v>
      </c>
      <c r="E4729" t="s">
        <v>13324</v>
      </c>
      <c r="F4729" t="str">
        <f>IFERROR(INDEX(customers[country], MATCH(orders[[#This Row],[customer_id]], customers[customer_id], 0)), "Unmapped")</f>
        <v>Netherlands</v>
      </c>
      <c r="G4729" t="str">
        <f>IFERROR(INDEX(Region_Map[Region], MATCH(orders[[#This Row],[Customer_Country]], Region_Map[Country], 0)), "Unknown")</f>
        <v>Central Europe</v>
      </c>
      <c r="H4729" t="s">
        <v>6949</v>
      </c>
    </row>
    <row r="4730" spans="1:8">
      <c r="A4730" t="s">
        <v>5626</v>
      </c>
      <c r="B4730" t="s">
        <v>864</v>
      </c>
      <c r="C4730" s="1">
        <v>45523</v>
      </c>
      <c r="D4730" s="1" t="str">
        <f>PROPER(orders[[#This Row],[order_priority]])</f>
        <v>Standard</v>
      </c>
      <c r="E4730" t="s">
        <v>13317</v>
      </c>
      <c r="F4730" t="str">
        <f>IFERROR(INDEX(customers[country], MATCH(orders[[#This Row],[customer_id]], customers[customer_id], 0)), "Unmapped")</f>
        <v>Finland</v>
      </c>
      <c r="G4730" t="str">
        <f>IFERROR(INDEX(Region_Map[Region], MATCH(orders[[#This Row],[Customer_Country]], Region_Map[Country], 0)), "Unknown")</f>
        <v>Nordics</v>
      </c>
      <c r="H4730" t="s">
        <v>6949</v>
      </c>
    </row>
    <row r="4731" spans="1:8">
      <c r="A4731" t="s">
        <v>5627</v>
      </c>
      <c r="B4731" t="s">
        <v>808</v>
      </c>
      <c r="C4731" s="1">
        <v>45372</v>
      </c>
      <c r="D4731" s="1" t="str">
        <f>PROPER(orders[[#This Row],[order_priority]])</f>
        <v>Standard</v>
      </c>
      <c r="E4731" t="s">
        <v>13317</v>
      </c>
      <c r="F4731" t="str">
        <f>IFERROR(INDEX(customers[country], MATCH(orders[[#This Row],[customer_id]], customers[customer_id], 0)), "Unmapped")</f>
        <v>Sweden</v>
      </c>
      <c r="G4731" t="str">
        <f>IFERROR(INDEX(Region_Map[Region], MATCH(orders[[#This Row],[Customer_Country]], Region_Map[Country], 0)), "Unknown")</f>
        <v>Nordics</v>
      </c>
      <c r="H4731" t="s">
        <v>6949</v>
      </c>
    </row>
    <row r="4732" spans="1:8">
      <c r="A4732" t="s">
        <v>5628</v>
      </c>
      <c r="B4732" t="s">
        <v>437</v>
      </c>
      <c r="C4732" s="1">
        <v>45421</v>
      </c>
      <c r="D4732" s="1" t="str">
        <f>PROPER(orders[[#This Row],[order_priority]])</f>
        <v>Same Day</v>
      </c>
      <c r="E4732" t="s">
        <v>13322</v>
      </c>
      <c r="F4732" t="str">
        <f>IFERROR(INDEX(customers[country], MATCH(orders[[#This Row],[customer_id]], customers[customer_id], 0)), "Unmapped")</f>
        <v>Lithuania</v>
      </c>
      <c r="G4732" t="str">
        <f>IFERROR(INDEX(Region_Map[Region], MATCH(orders[[#This Row],[Customer_Country]], Region_Map[Country], 0)), "Unknown")</f>
        <v>Baltics</v>
      </c>
      <c r="H4732" t="s">
        <v>6949</v>
      </c>
    </row>
    <row r="4733" spans="1:8">
      <c r="A4733" t="s">
        <v>5629</v>
      </c>
      <c r="B4733" t="s">
        <v>837</v>
      </c>
      <c r="C4733" s="1">
        <v>45324</v>
      </c>
      <c r="D4733" s="1" t="str">
        <f>PROPER(orders[[#This Row],[order_priority]])</f>
        <v>Economy</v>
      </c>
      <c r="E4733" t="s">
        <v>13316</v>
      </c>
      <c r="F4733" t="str">
        <f>IFERROR(INDEX(customers[country], MATCH(orders[[#This Row],[customer_id]], customers[customer_id], 0)), "Unmapped")</f>
        <v>Poland</v>
      </c>
      <c r="G4733" t="str">
        <f>IFERROR(INDEX(Region_Map[Region], MATCH(orders[[#This Row],[Customer_Country]], Region_Map[Country], 0)), "Unknown")</f>
        <v>Central Europe</v>
      </c>
      <c r="H4733" t="s">
        <v>6949</v>
      </c>
    </row>
    <row r="4734" spans="1:8">
      <c r="A4734" t="s">
        <v>5630</v>
      </c>
      <c r="B4734" t="s">
        <v>758</v>
      </c>
      <c r="C4734" s="1">
        <v>45121</v>
      </c>
      <c r="D4734" s="1" t="str">
        <f>PROPER(orders[[#This Row],[order_priority]])</f>
        <v>Standard</v>
      </c>
      <c r="E4734" t="s">
        <v>13317</v>
      </c>
      <c r="F4734" t="str">
        <f>IFERROR(INDEX(customers[country], MATCH(orders[[#This Row],[customer_id]], customers[customer_id], 0)), "Unmapped")</f>
        <v>Estonia</v>
      </c>
      <c r="G4734" t="str">
        <f>IFERROR(INDEX(Region_Map[Region], MATCH(orders[[#This Row],[Customer_Country]], Region_Map[Country], 0)), "Unknown")</f>
        <v>Baltics</v>
      </c>
      <c r="H4734" t="s">
        <v>6949</v>
      </c>
    </row>
    <row r="4735" spans="1:8">
      <c r="A4735" t="s">
        <v>5631</v>
      </c>
      <c r="B4735" t="s">
        <v>374</v>
      </c>
      <c r="C4735" s="1">
        <v>45402</v>
      </c>
      <c r="D4735" s="1" t="str">
        <f>PROPER(orders[[#This Row],[order_priority]])</f>
        <v>Express</v>
      </c>
      <c r="E4735" t="s">
        <v>13318</v>
      </c>
      <c r="F4735" t="str">
        <f>IFERROR(INDEX(customers[country], MATCH(orders[[#This Row],[customer_id]], customers[customer_id], 0)), "Unmapped")</f>
        <v>Estonia</v>
      </c>
      <c r="G4735" t="str">
        <f>IFERROR(INDEX(Region_Map[Region], MATCH(orders[[#This Row],[Customer_Country]], Region_Map[Country], 0)), "Unknown")</f>
        <v>Baltics</v>
      </c>
      <c r="H4735" t="s">
        <v>6949</v>
      </c>
    </row>
    <row r="4736" spans="1:8">
      <c r="A4736" t="s">
        <v>5632</v>
      </c>
      <c r="B4736" t="s">
        <v>581</v>
      </c>
      <c r="C4736" s="1">
        <v>45181</v>
      </c>
      <c r="D4736" s="1" t="str">
        <f>PROPER(orders[[#This Row],[order_priority]])</f>
        <v>Same Day</v>
      </c>
      <c r="E4736" t="s">
        <v>13324</v>
      </c>
      <c r="F4736" t="str">
        <f>IFERROR(INDEX(customers[country], MATCH(orders[[#This Row],[customer_id]], customers[customer_id], 0)), "Unmapped")</f>
        <v>Norway</v>
      </c>
      <c r="G4736" t="str">
        <f>IFERROR(INDEX(Region_Map[Region], MATCH(orders[[#This Row],[Customer_Country]], Region_Map[Country], 0)), "Unknown")</f>
        <v>Nordics</v>
      </c>
      <c r="H4736" t="s">
        <v>6949</v>
      </c>
    </row>
    <row r="4737" spans="1:8">
      <c r="A4737" t="s">
        <v>5633</v>
      </c>
      <c r="B4737" t="s">
        <v>255</v>
      </c>
      <c r="C4737" s="1">
        <v>45236</v>
      </c>
      <c r="D4737" s="1" t="str">
        <f>PROPER(orders[[#This Row],[order_priority]])</f>
        <v>Express</v>
      </c>
      <c r="E4737" t="s">
        <v>13318</v>
      </c>
      <c r="F4737" t="str">
        <f>IFERROR(INDEX(customers[country], MATCH(orders[[#This Row],[customer_id]], customers[customer_id], 0)), "Unmapped")</f>
        <v>Sweden</v>
      </c>
      <c r="G4737" t="str">
        <f>IFERROR(INDEX(Region_Map[Region], MATCH(orders[[#This Row],[Customer_Country]], Region_Map[Country], 0)), "Unknown")</f>
        <v>Nordics</v>
      </c>
      <c r="H4737" t="s">
        <v>6949</v>
      </c>
    </row>
    <row r="4738" spans="1:8">
      <c r="A4738" t="s">
        <v>5634</v>
      </c>
      <c r="B4738" t="s">
        <v>106</v>
      </c>
      <c r="C4738" s="1">
        <v>45224</v>
      </c>
      <c r="D4738" s="1" t="str">
        <f>PROPER(orders[[#This Row],[order_priority]])</f>
        <v>Economy</v>
      </c>
      <c r="E4738" t="s">
        <v>13316</v>
      </c>
      <c r="F4738" t="str">
        <f>IFERROR(INDEX(customers[country], MATCH(orders[[#This Row],[customer_id]], customers[customer_id], 0)), "Unmapped")</f>
        <v>Lithuania</v>
      </c>
      <c r="G4738" t="str">
        <f>IFERROR(INDEX(Region_Map[Region], MATCH(orders[[#This Row],[Customer_Country]], Region_Map[Country], 0)), "Unknown")</f>
        <v>Baltics</v>
      </c>
      <c r="H4738" t="s">
        <v>6949</v>
      </c>
    </row>
    <row r="4739" spans="1:8">
      <c r="A4739" t="s">
        <v>5635</v>
      </c>
      <c r="B4739" t="s">
        <v>13358</v>
      </c>
      <c r="C4739" s="1">
        <v>45309</v>
      </c>
      <c r="D4739" s="1" t="str">
        <f>PROPER(orders[[#This Row],[order_priority]])</f>
        <v>Standard</v>
      </c>
      <c r="E4739" t="s">
        <v>13317</v>
      </c>
      <c r="F4739" t="str">
        <f>IFERROR(INDEX(customers[country], MATCH(orders[[#This Row],[customer_id]], customers[customer_id], 0)), "Unmapped")</f>
        <v>Unmapped</v>
      </c>
      <c r="G4739" t="str">
        <f>IFERROR(INDEX(Region_Map[Region], MATCH(orders[[#This Row],[Customer_Country]], Region_Map[Country], 0)), "Unknown")</f>
        <v>Unknown</v>
      </c>
      <c r="H4739" t="s">
        <v>6949</v>
      </c>
    </row>
    <row r="4740" spans="1:8">
      <c r="A4740" t="s">
        <v>5636</v>
      </c>
      <c r="B4740" t="s">
        <v>398</v>
      </c>
      <c r="C4740" s="1">
        <v>45598</v>
      </c>
      <c r="D4740" s="1" t="str">
        <f>PROPER(orders[[#This Row],[order_priority]])</f>
        <v>Express</v>
      </c>
      <c r="E4740" t="s">
        <v>13318</v>
      </c>
      <c r="F4740" t="str">
        <f>IFERROR(INDEX(customers[country], MATCH(orders[[#This Row],[customer_id]], customers[customer_id], 0)), "Unmapped")</f>
        <v>Sweden</v>
      </c>
      <c r="G4740" t="str">
        <f>IFERROR(INDEX(Region_Map[Region], MATCH(orders[[#This Row],[Customer_Country]], Region_Map[Country], 0)), "Unknown")</f>
        <v>Nordics</v>
      </c>
      <c r="H4740" t="s">
        <v>6949</v>
      </c>
    </row>
    <row r="4741" spans="1:8">
      <c r="A4741" t="s">
        <v>5637</v>
      </c>
      <c r="B4741" t="s">
        <v>476</v>
      </c>
      <c r="C4741" s="1">
        <v>45442</v>
      </c>
      <c r="D4741" s="1" t="str">
        <f>PROPER(orders[[#This Row],[order_priority]])</f>
        <v>Express</v>
      </c>
      <c r="E4741" t="s">
        <v>13318</v>
      </c>
      <c r="F4741" t="str">
        <f>IFERROR(INDEX(customers[country], MATCH(orders[[#This Row],[customer_id]], customers[customer_id], 0)), "Unmapped")</f>
        <v>Norway</v>
      </c>
      <c r="G4741" t="str">
        <f>IFERROR(INDEX(Region_Map[Region], MATCH(orders[[#This Row],[Customer_Country]], Region_Map[Country], 0)), "Unknown")</f>
        <v>Nordics</v>
      </c>
      <c r="H4741" t="s">
        <v>6949</v>
      </c>
    </row>
    <row r="4742" spans="1:8">
      <c r="A4742" t="s">
        <v>5638</v>
      </c>
      <c r="B4742" t="s">
        <v>652</v>
      </c>
      <c r="C4742" s="1">
        <v>45534</v>
      </c>
      <c r="D4742" s="1" t="str">
        <f>PROPER(orders[[#This Row],[order_priority]])</f>
        <v>Same Day</v>
      </c>
      <c r="E4742" t="s">
        <v>13322</v>
      </c>
      <c r="F4742" t="str">
        <f>IFERROR(INDEX(customers[country], MATCH(orders[[#This Row],[customer_id]], customers[customer_id], 0)), "Unmapped")</f>
        <v>Poland</v>
      </c>
      <c r="G4742" t="str">
        <f>IFERROR(INDEX(Region_Map[Region], MATCH(orders[[#This Row],[Customer_Country]], Region_Map[Country], 0)), "Unknown")</f>
        <v>Central Europe</v>
      </c>
      <c r="H4742" t="s">
        <v>6949</v>
      </c>
    </row>
    <row r="4743" spans="1:8">
      <c r="A4743" t="s">
        <v>5639</v>
      </c>
      <c r="B4743" t="s">
        <v>703</v>
      </c>
      <c r="C4743" s="1">
        <v>45063</v>
      </c>
      <c r="D4743" s="1" t="str">
        <f>PROPER(orders[[#This Row],[order_priority]])</f>
        <v>Standard</v>
      </c>
      <c r="E4743" t="s">
        <v>13317</v>
      </c>
      <c r="F4743" t="str">
        <f>IFERROR(INDEX(customers[country], MATCH(orders[[#This Row],[customer_id]], customers[customer_id], 0)), "Unmapped")</f>
        <v>Estonia</v>
      </c>
      <c r="G4743" t="str">
        <f>IFERROR(INDEX(Region_Map[Region], MATCH(orders[[#This Row],[Customer_Country]], Region_Map[Country], 0)), "Unknown")</f>
        <v>Baltics</v>
      </c>
      <c r="H4743" t="s">
        <v>6949</v>
      </c>
    </row>
    <row r="4744" spans="1:8">
      <c r="A4744" t="s">
        <v>5640</v>
      </c>
      <c r="B4744" t="s">
        <v>885</v>
      </c>
      <c r="C4744" s="1">
        <v>44991</v>
      </c>
      <c r="D4744" s="1" t="str">
        <f>PROPER(orders[[#This Row],[order_priority]])</f>
        <v>Express</v>
      </c>
      <c r="E4744" t="s">
        <v>13318</v>
      </c>
      <c r="F4744" t="str">
        <f>IFERROR(INDEX(customers[country], MATCH(orders[[#This Row],[customer_id]], customers[customer_id], 0)), "Unmapped")</f>
        <v>Poland</v>
      </c>
      <c r="G4744" t="str">
        <f>IFERROR(INDEX(Region_Map[Region], MATCH(orders[[#This Row],[Customer_Country]], Region_Map[Country], 0)), "Unknown")</f>
        <v>Central Europe</v>
      </c>
      <c r="H4744" t="s">
        <v>6949</v>
      </c>
    </row>
    <row r="4745" spans="1:8">
      <c r="A4745" t="s">
        <v>5641</v>
      </c>
      <c r="B4745" t="s">
        <v>210</v>
      </c>
      <c r="C4745" s="1">
        <v>45473</v>
      </c>
      <c r="D4745" s="1" t="str">
        <f>PROPER(orders[[#This Row],[order_priority]])</f>
        <v>Economy</v>
      </c>
      <c r="E4745" t="s">
        <v>13316</v>
      </c>
      <c r="F4745" t="str">
        <f>IFERROR(INDEX(customers[country], MATCH(orders[[#This Row],[customer_id]], customers[customer_id], 0)), "Unmapped")</f>
        <v>Finland</v>
      </c>
      <c r="G4745" t="str">
        <f>IFERROR(INDEX(Region_Map[Region], MATCH(orders[[#This Row],[Customer_Country]], Region_Map[Country], 0)), "Unknown")</f>
        <v>Nordics</v>
      </c>
      <c r="H4745" t="s">
        <v>6949</v>
      </c>
    </row>
    <row r="4746" spans="1:8">
      <c r="A4746" t="s">
        <v>5642</v>
      </c>
      <c r="B4746" t="s">
        <v>805</v>
      </c>
      <c r="C4746" s="1">
        <v>45528</v>
      </c>
      <c r="D4746" s="1" t="str">
        <f>PROPER(orders[[#This Row],[order_priority]])</f>
        <v>Economy</v>
      </c>
      <c r="E4746" t="s">
        <v>13316</v>
      </c>
      <c r="F4746" t="str">
        <f>IFERROR(INDEX(customers[country], MATCH(orders[[#This Row],[customer_id]], customers[customer_id], 0)), "Unmapped")</f>
        <v>Estonia</v>
      </c>
      <c r="G4746" t="str">
        <f>IFERROR(INDEX(Region_Map[Region], MATCH(orders[[#This Row],[Customer_Country]], Region_Map[Country], 0)), "Unknown")</f>
        <v>Baltics</v>
      </c>
      <c r="H4746" t="s">
        <v>6949</v>
      </c>
    </row>
    <row r="4747" spans="1:8">
      <c r="A4747" t="s">
        <v>5643</v>
      </c>
      <c r="B4747" t="s">
        <v>160</v>
      </c>
      <c r="C4747" s="1">
        <v>45397</v>
      </c>
      <c r="D4747" s="1" t="str">
        <f>PROPER(orders[[#This Row],[order_priority]])</f>
        <v>Economy</v>
      </c>
      <c r="E4747" t="s">
        <v>13328</v>
      </c>
      <c r="F4747" t="str">
        <f>IFERROR(INDEX(customers[country], MATCH(orders[[#This Row],[customer_id]], customers[customer_id], 0)), "Unmapped")</f>
        <v>Denmark</v>
      </c>
      <c r="G4747" t="str">
        <f>IFERROR(INDEX(Region_Map[Region], MATCH(orders[[#This Row],[Customer_Country]], Region_Map[Country], 0)), "Unknown")</f>
        <v>Nordics</v>
      </c>
      <c r="H4747" t="s">
        <v>6949</v>
      </c>
    </row>
    <row r="4748" spans="1:8">
      <c r="A4748" t="s">
        <v>5644</v>
      </c>
      <c r="B4748" t="s">
        <v>285</v>
      </c>
      <c r="C4748" s="1">
        <v>45423</v>
      </c>
      <c r="D4748" s="1" t="str">
        <f>PROPER(orders[[#This Row],[order_priority]])</f>
        <v>Express</v>
      </c>
      <c r="E4748" t="s">
        <v>13318</v>
      </c>
      <c r="F4748" t="str">
        <f>IFERROR(INDEX(customers[country], MATCH(orders[[#This Row],[customer_id]], customers[customer_id], 0)), "Unmapped")</f>
        <v>Norway</v>
      </c>
      <c r="G4748" t="str">
        <f>IFERROR(INDEX(Region_Map[Region], MATCH(orders[[#This Row],[Customer_Country]], Region_Map[Country], 0)), "Unknown")</f>
        <v>Nordics</v>
      </c>
      <c r="H4748" t="s">
        <v>6949</v>
      </c>
    </row>
    <row r="4749" spans="1:8">
      <c r="A4749" t="s">
        <v>5645</v>
      </c>
      <c r="B4749" t="s">
        <v>106</v>
      </c>
      <c r="C4749" s="1">
        <v>45430</v>
      </c>
      <c r="D4749" s="1" t="str">
        <f>PROPER(orders[[#This Row],[order_priority]])</f>
        <v>Same Day</v>
      </c>
      <c r="E4749" t="s">
        <v>13322</v>
      </c>
      <c r="F4749" t="str">
        <f>IFERROR(INDEX(customers[country], MATCH(orders[[#This Row],[customer_id]], customers[customer_id], 0)), "Unmapped")</f>
        <v>Lithuania</v>
      </c>
      <c r="G4749" t="str">
        <f>IFERROR(INDEX(Region_Map[Region], MATCH(orders[[#This Row],[Customer_Country]], Region_Map[Country], 0)), "Unknown")</f>
        <v>Baltics</v>
      </c>
      <c r="H4749" t="s">
        <v>6949</v>
      </c>
    </row>
    <row r="4750" spans="1:8">
      <c r="A4750" t="s">
        <v>5646</v>
      </c>
      <c r="B4750" t="s">
        <v>303</v>
      </c>
      <c r="C4750" s="1">
        <v>45622</v>
      </c>
      <c r="D4750" s="1" t="str">
        <f>PROPER(orders[[#This Row],[order_priority]])</f>
        <v>Economy</v>
      </c>
      <c r="E4750" t="s">
        <v>13316</v>
      </c>
      <c r="F4750" t="str">
        <f>IFERROR(INDEX(customers[country], MATCH(orders[[#This Row],[customer_id]], customers[customer_id], 0)), "Unmapped")</f>
        <v>Netherlands</v>
      </c>
      <c r="G4750" t="str">
        <f>IFERROR(INDEX(Region_Map[Region], MATCH(orders[[#This Row],[Customer_Country]], Region_Map[Country], 0)), "Unknown")</f>
        <v>Central Europe</v>
      </c>
      <c r="H4750" t="s">
        <v>6949</v>
      </c>
    </row>
    <row r="4751" spans="1:8">
      <c r="A4751" t="s">
        <v>5647</v>
      </c>
      <c r="B4751" t="s">
        <v>127</v>
      </c>
      <c r="C4751" s="1">
        <v>45028</v>
      </c>
      <c r="D4751" s="1" t="str">
        <f>PROPER(orders[[#This Row],[order_priority]])</f>
        <v>Express</v>
      </c>
      <c r="E4751" t="s">
        <v>13318</v>
      </c>
      <c r="F4751" t="str">
        <f>IFERROR(INDEX(customers[country], MATCH(orders[[#This Row],[customer_id]], customers[customer_id], 0)), "Unmapped")</f>
        <v>Denmark</v>
      </c>
      <c r="G4751" t="str">
        <f>IFERROR(INDEX(Region_Map[Region], MATCH(orders[[#This Row],[Customer_Country]], Region_Map[Country], 0)), "Unknown")</f>
        <v>Nordics</v>
      </c>
      <c r="H4751" t="s">
        <v>6949</v>
      </c>
    </row>
    <row r="4752" spans="1:8">
      <c r="A4752" t="s">
        <v>5648</v>
      </c>
      <c r="B4752" t="s">
        <v>900</v>
      </c>
      <c r="C4752" s="1">
        <v>45436</v>
      </c>
      <c r="D4752" s="1" t="str">
        <f>PROPER(orders[[#This Row],[order_priority]])</f>
        <v>Express</v>
      </c>
      <c r="E4752" t="s">
        <v>13318</v>
      </c>
      <c r="F4752" t="str">
        <f>IFERROR(INDEX(customers[country], MATCH(orders[[#This Row],[customer_id]], customers[customer_id], 0)), "Unmapped")</f>
        <v>Germany</v>
      </c>
      <c r="G4752" t="str">
        <f>IFERROR(INDEX(Region_Map[Region], MATCH(orders[[#This Row],[Customer_Country]], Region_Map[Country], 0)), "Unknown")</f>
        <v>Central Europe</v>
      </c>
      <c r="H4752" t="s">
        <v>6949</v>
      </c>
    </row>
    <row r="4753" spans="1:8">
      <c r="A4753" t="s">
        <v>5649</v>
      </c>
      <c r="B4753" t="s">
        <v>784</v>
      </c>
      <c r="C4753" s="1">
        <v>45046</v>
      </c>
      <c r="D4753" s="1" t="str">
        <f>PROPER(orders[[#This Row],[order_priority]])</f>
        <v>Express</v>
      </c>
      <c r="E4753" t="s">
        <v>13320</v>
      </c>
      <c r="F4753" t="str">
        <f>IFERROR(INDEX(customers[country], MATCH(orders[[#This Row],[customer_id]], customers[customer_id], 0)), "Unmapped")</f>
        <v>Estonia</v>
      </c>
      <c r="G4753" t="str">
        <f>IFERROR(INDEX(Region_Map[Region], MATCH(orders[[#This Row],[Customer_Country]], Region_Map[Country], 0)), "Unknown")</f>
        <v>Baltics</v>
      </c>
      <c r="H4753" t="s">
        <v>6949</v>
      </c>
    </row>
    <row r="4754" spans="1:8">
      <c r="A4754" t="s">
        <v>5650</v>
      </c>
      <c r="B4754" t="s">
        <v>273</v>
      </c>
      <c r="C4754" s="1">
        <v>45478</v>
      </c>
      <c r="D4754" s="1" t="str">
        <f>PROPER(orders[[#This Row],[order_priority]])</f>
        <v>Same Day</v>
      </c>
      <c r="E4754" t="s">
        <v>13322</v>
      </c>
      <c r="F4754" t="str">
        <f>IFERROR(INDEX(customers[country], MATCH(orders[[#This Row],[customer_id]], customers[customer_id], 0)), "Unmapped")</f>
        <v>Norway</v>
      </c>
      <c r="G4754" t="str">
        <f>IFERROR(INDEX(Region_Map[Region], MATCH(orders[[#This Row],[Customer_Country]], Region_Map[Country], 0)), "Unknown")</f>
        <v>Nordics</v>
      </c>
      <c r="H4754" t="s">
        <v>6949</v>
      </c>
    </row>
    <row r="4755" spans="1:8">
      <c r="A4755" t="s">
        <v>5651</v>
      </c>
      <c r="B4755" t="s">
        <v>96</v>
      </c>
      <c r="C4755" s="1">
        <v>45439</v>
      </c>
      <c r="D4755" s="1" t="str">
        <f>PROPER(orders[[#This Row],[order_priority]])</f>
        <v>Economy</v>
      </c>
      <c r="E4755" t="s">
        <v>13316</v>
      </c>
      <c r="F4755" t="str">
        <f>IFERROR(INDEX(customers[country], MATCH(orders[[#This Row],[customer_id]], customers[customer_id], 0)), "Unmapped")</f>
        <v>Sweden</v>
      </c>
      <c r="G4755" t="str">
        <f>IFERROR(INDEX(Region_Map[Region], MATCH(orders[[#This Row],[Customer_Country]], Region_Map[Country], 0)), "Unknown")</f>
        <v>Nordics</v>
      </c>
      <c r="H4755" t="s">
        <v>6949</v>
      </c>
    </row>
    <row r="4756" spans="1:8">
      <c r="A4756" t="s">
        <v>5652</v>
      </c>
      <c r="B4756" t="s">
        <v>434</v>
      </c>
      <c r="C4756" s="1">
        <v>45240</v>
      </c>
      <c r="D4756" s="1" t="str">
        <f>PROPER(orders[[#This Row],[order_priority]])</f>
        <v>Express</v>
      </c>
      <c r="E4756" t="s">
        <v>13318</v>
      </c>
      <c r="F4756" t="str">
        <f>IFERROR(INDEX(customers[country], MATCH(orders[[#This Row],[customer_id]], customers[customer_id], 0)), "Unmapped")</f>
        <v>Lithuania</v>
      </c>
      <c r="G4756" t="str">
        <f>IFERROR(INDEX(Region_Map[Region], MATCH(orders[[#This Row],[Customer_Country]], Region_Map[Country], 0)), "Unknown")</f>
        <v>Baltics</v>
      </c>
      <c r="H4756" t="s">
        <v>6949</v>
      </c>
    </row>
    <row r="4757" spans="1:8">
      <c r="A4757" t="s">
        <v>5653</v>
      </c>
      <c r="B4757" t="s">
        <v>796</v>
      </c>
      <c r="C4757" s="1">
        <v>45457</v>
      </c>
      <c r="D4757" s="1" t="str">
        <f>PROPER(orders[[#This Row],[order_priority]])</f>
        <v>Express</v>
      </c>
      <c r="E4757" t="s">
        <v>13318</v>
      </c>
      <c r="F4757" t="str">
        <f>IFERROR(INDEX(customers[country], MATCH(orders[[#This Row],[customer_id]], customers[customer_id], 0)), "Unmapped")</f>
        <v>Sweden</v>
      </c>
      <c r="G4757" t="str">
        <f>IFERROR(INDEX(Region_Map[Region], MATCH(orders[[#This Row],[Customer_Country]], Region_Map[Country], 0)), "Unknown")</f>
        <v>Nordics</v>
      </c>
      <c r="H4757" t="s">
        <v>6949</v>
      </c>
    </row>
    <row r="4758" spans="1:8">
      <c r="A4758" t="s">
        <v>5654</v>
      </c>
      <c r="B4758" t="s">
        <v>858</v>
      </c>
      <c r="C4758" s="1">
        <v>45591</v>
      </c>
      <c r="D4758" s="1" t="str">
        <f>PROPER(orders[[#This Row],[order_priority]])</f>
        <v>Economy</v>
      </c>
      <c r="E4758" t="s">
        <v>13316</v>
      </c>
      <c r="F4758" t="str">
        <f>IFERROR(INDEX(customers[country], MATCH(orders[[#This Row],[customer_id]], customers[customer_id], 0)), "Unmapped")</f>
        <v>Lithuania</v>
      </c>
      <c r="G4758" t="str">
        <f>IFERROR(INDEX(Region_Map[Region], MATCH(orders[[#This Row],[Customer_Country]], Region_Map[Country], 0)), "Unknown")</f>
        <v>Baltics</v>
      </c>
      <c r="H4758" t="s">
        <v>6949</v>
      </c>
    </row>
    <row r="4759" spans="1:8">
      <c r="A4759" t="s">
        <v>5655</v>
      </c>
      <c r="B4759" t="s">
        <v>329</v>
      </c>
      <c r="C4759" s="1">
        <v>45547</v>
      </c>
      <c r="D4759" s="1" t="str">
        <f>PROPER(orders[[#This Row],[order_priority]])</f>
        <v>Same Day</v>
      </c>
      <c r="E4759" t="s">
        <v>13322</v>
      </c>
      <c r="F4759" t="str">
        <f>IFERROR(INDEX(customers[country], MATCH(orders[[#This Row],[customer_id]], customers[customer_id], 0)), "Unmapped")</f>
        <v>Poland</v>
      </c>
      <c r="G4759" t="str">
        <f>IFERROR(INDEX(Region_Map[Region], MATCH(orders[[#This Row],[Customer_Country]], Region_Map[Country], 0)), "Unknown")</f>
        <v>Central Europe</v>
      </c>
      <c r="H4759" t="s">
        <v>6949</v>
      </c>
    </row>
    <row r="4760" spans="1:8">
      <c r="A4760" t="s">
        <v>5656</v>
      </c>
      <c r="B4760" t="s">
        <v>614</v>
      </c>
      <c r="C4760" s="1">
        <v>45477</v>
      </c>
      <c r="D4760" s="1" t="str">
        <f>PROPER(orders[[#This Row],[order_priority]])</f>
        <v>Standard</v>
      </c>
      <c r="E4760" t="s">
        <v>13317</v>
      </c>
      <c r="F4760" t="str">
        <f>IFERROR(INDEX(customers[country], MATCH(orders[[#This Row],[customer_id]], customers[customer_id], 0)), "Unmapped")</f>
        <v>Latvia</v>
      </c>
      <c r="G4760" t="str">
        <f>IFERROR(INDEX(Region_Map[Region], MATCH(orders[[#This Row],[Customer_Country]], Region_Map[Country], 0)), "Unknown")</f>
        <v>Baltics</v>
      </c>
      <c r="H4760" t="s">
        <v>6949</v>
      </c>
    </row>
    <row r="4761" spans="1:8">
      <c r="A4761" t="s">
        <v>5657</v>
      </c>
      <c r="B4761" t="s">
        <v>279</v>
      </c>
      <c r="C4761" s="1">
        <v>45230</v>
      </c>
      <c r="D4761" s="1" t="str">
        <f>PROPER(orders[[#This Row],[order_priority]])</f>
        <v>Express</v>
      </c>
      <c r="E4761" t="s">
        <v>13320</v>
      </c>
      <c r="F4761" t="str">
        <f>IFERROR(INDEX(customers[country], MATCH(orders[[#This Row],[customer_id]], customers[customer_id], 0)), "Unmapped")</f>
        <v>Germany</v>
      </c>
      <c r="G4761" t="str">
        <f>IFERROR(INDEX(Region_Map[Region], MATCH(orders[[#This Row],[Customer_Country]], Region_Map[Country], 0)), "Unknown")</f>
        <v>Central Europe</v>
      </c>
      <c r="H4761" t="s">
        <v>6949</v>
      </c>
    </row>
    <row r="4762" spans="1:8">
      <c r="A4762" t="s">
        <v>5658</v>
      </c>
      <c r="B4762" t="s">
        <v>655</v>
      </c>
      <c r="C4762" s="1">
        <v>45124</v>
      </c>
      <c r="D4762" s="1" t="str">
        <f>PROPER(orders[[#This Row],[order_priority]])</f>
        <v>Same Day</v>
      </c>
      <c r="E4762" t="s">
        <v>13322</v>
      </c>
      <c r="F4762" t="str">
        <f>IFERROR(INDEX(customers[country], MATCH(orders[[#This Row],[customer_id]], customers[customer_id], 0)), "Unmapped")</f>
        <v>Sweden</v>
      </c>
      <c r="G4762" t="str">
        <f>IFERROR(INDEX(Region_Map[Region], MATCH(orders[[#This Row],[Customer_Country]], Region_Map[Country], 0)), "Unknown")</f>
        <v>Nordics</v>
      </c>
      <c r="H4762" t="s">
        <v>6949</v>
      </c>
    </row>
    <row r="4763" spans="1:8">
      <c r="A4763" t="s">
        <v>5659</v>
      </c>
      <c r="B4763" t="s">
        <v>473</v>
      </c>
      <c r="C4763" s="1">
        <v>45164</v>
      </c>
      <c r="D4763" s="1" t="str">
        <f>PROPER(orders[[#This Row],[order_priority]])</f>
        <v>Standard</v>
      </c>
      <c r="E4763" t="s">
        <v>13317</v>
      </c>
      <c r="F4763" t="str">
        <f>IFERROR(INDEX(customers[country], MATCH(orders[[#This Row],[customer_id]], customers[customer_id], 0)), "Unmapped")</f>
        <v>Netherlands</v>
      </c>
      <c r="G4763" t="str">
        <f>IFERROR(INDEX(Region_Map[Region], MATCH(orders[[#This Row],[Customer_Country]], Region_Map[Country], 0)), "Unknown")</f>
        <v>Central Europe</v>
      </c>
      <c r="H4763" t="s">
        <v>6949</v>
      </c>
    </row>
    <row r="4764" spans="1:8">
      <c r="A4764" t="s">
        <v>5660</v>
      </c>
      <c r="B4764" t="s">
        <v>166</v>
      </c>
      <c r="C4764" s="1">
        <v>45212</v>
      </c>
      <c r="D4764" s="1" t="str">
        <f>PROPER(orders[[#This Row],[order_priority]])</f>
        <v>Standard</v>
      </c>
      <c r="E4764" t="s">
        <v>13317</v>
      </c>
      <c r="F4764" t="str">
        <f>IFERROR(INDEX(customers[country], MATCH(orders[[#This Row],[customer_id]], customers[customer_id], 0)), "Unmapped")</f>
        <v>Denmark</v>
      </c>
      <c r="G4764" t="str">
        <f>IFERROR(INDEX(Region_Map[Region], MATCH(orders[[#This Row],[Customer_Country]], Region_Map[Country], 0)), "Unknown")</f>
        <v>Nordics</v>
      </c>
      <c r="H4764" t="s">
        <v>6949</v>
      </c>
    </row>
    <row r="4765" spans="1:8">
      <c r="A4765" t="s">
        <v>5661</v>
      </c>
      <c r="B4765" t="s">
        <v>831</v>
      </c>
      <c r="C4765" s="1">
        <v>45458</v>
      </c>
      <c r="D4765" s="1" t="str">
        <f>PROPER(orders[[#This Row],[order_priority]])</f>
        <v>Same Day</v>
      </c>
      <c r="E4765" t="s">
        <v>13322</v>
      </c>
      <c r="F4765" t="str">
        <f>IFERROR(INDEX(customers[country], MATCH(orders[[#This Row],[customer_id]], customers[customer_id], 0)), "Unmapped")</f>
        <v>Norway</v>
      </c>
      <c r="G4765" t="str">
        <f>IFERROR(INDEX(Region_Map[Region], MATCH(orders[[#This Row],[Customer_Country]], Region_Map[Country], 0)), "Unknown")</f>
        <v>Nordics</v>
      </c>
      <c r="H4765" t="s">
        <v>6949</v>
      </c>
    </row>
    <row r="4766" spans="1:8">
      <c r="A4766" t="s">
        <v>5662</v>
      </c>
      <c r="B4766" t="s">
        <v>264</v>
      </c>
      <c r="C4766" s="1">
        <v>45375</v>
      </c>
      <c r="D4766" s="1" t="str">
        <f>PROPER(orders[[#This Row],[order_priority]])</f>
        <v>Express</v>
      </c>
      <c r="E4766" t="s">
        <v>13318</v>
      </c>
      <c r="F4766" t="str">
        <f>IFERROR(INDEX(customers[country], MATCH(orders[[#This Row],[customer_id]], customers[customer_id], 0)), "Unmapped")</f>
        <v>Germany</v>
      </c>
      <c r="G4766" t="str">
        <f>IFERROR(INDEX(Region_Map[Region], MATCH(orders[[#This Row],[Customer_Country]], Region_Map[Country], 0)), "Unknown")</f>
        <v>Central Europe</v>
      </c>
      <c r="H4766" t="s">
        <v>6949</v>
      </c>
    </row>
    <row r="4767" spans="1:8">
      <c r="A4767" t="s">
        <v>5663</v>
      </c>
      <c r="B4767" t="s">
        <v>282</v>
      </c>
      <c r="C4767" s="1">
        <v>45358</v>
      </c>
      <c r="D4767" s="1" t="str">
        <f>PROPER(orders[[#This Row],[order_priority]])</f>
        <v>Economy</v>
      </c>
      <c r="E4767" t="s">
        <v>13316</v>
      </c>
      <c r="F4767" t="str">
        <f>IFERROR(INDEX(customers[country], MATCH(orders[[#This Row],[customer_id]], customers[customer_id], 0)), "Unmapped")</f>
        <v>Netherlands</v>
      </c>
      <c r="G4767" t="str">
        <f>IFERROR(INDEX(Region_Map[Region], MATCH(orders[[#This Row],[Customer_Country]], Region_Map[Country], 0)), "Unknown")</f>
        <v>Central Europe</v>
      </c>
      <c r="H4767" t="s">
        <v>6949</v>
      </c>
    </row>
    <row r="4768" spans="1:8">
      <c r="A4768" t="s">
        <v>5664</v>
      </c>
      <c r="B4768" t="s">
        <v>749</v>
      </c>
      <c r="C4768" s="1">
        <v>45386</v>
      </c>
      <c r="D4768" s="1" t="str">
        <f>PROPER(orders[[#This Row],[order_priority]])</f>
        <v>Standard</v>
      </c>
      <c r="E4768" t="s">
        <v>13317</v>
      </c>
      <c r="F4768" t="str">
        <f>IFERROR(INDEX(customers[country], MATCH(orders[[#This Row],[customer_id]], customers[customer_id], 0)), "Unmapped")</f>
        <v>Latvia</v>
      </c>
      <c r="G4768" t="str">
        <f>IFERROR(INDEX(Region_Map[Region], MATCH(orders[[#This Row],[Customer_Country]], Region_Map[Country], 0)), "Unknown")</f>
        <v>Baltics</v>
      </c>
      <c r="H4768" t="s">
        <v>6949</v>
      </c>
    </row>
    <row r="4769" spans="1:8">
      <c r="A4769" t="s">
        <v>5665</v>
      </c>
      <c r="B4769" t="s">
        <v>207</v>
      </c>
      <c r="C4769" s="1">
        <v>45065</v>
      </c>
      <c r="D4769" s="1" t="str">
        <f>PROPER(orders[[#This Row],[order_priority]])</f>
        <v>Standard</v>
      </c>
      <c r="E4769" t="s">
        <v>13317</v>
      </c>
      <c r="F4769" t="str">
        <f>IFERROR(INDEX(customers[country], MATCH(orders[[#This Row],[customer_id]], customers[customer_id], 0)), "Unmapped")</f>
        <v>Poland</v>
      </c>
      <c r="G4769" t="str">
        <f>IFERROR(INDEX(Region_Map[Region], MATCH(orders[[#This Row],[Customer_Country]], Region_Map[Country], 0)), "Unknown")</f>
        <v>Central Europe</v>
      </c>
      <c r="H4769" t="s">
        <v>6949</v>
      </c>
    </row>
    <row r="4770" spans="1:8">
      <c r="A4770" t="s">
        <v>5666</v>
      </c>
      <c r="B4770" t="s">
        <v>446</v>
      </c>
      <c r="C4770" s="1">
        <v>44960</v>
      </c>
      <c r="D4770" s="1" t="str">
        <f>PROPER(orders[[#This Row],[order_priority]])</f>
        <v>Standard</v>
      </c>
      <c r="E4770" t="s">
        <v>13317</v>
      </c>
      <c r="F4770" t="str">
        <f>IFERROR(INDEX(customers[country], MATCH(orders[[#This Row],[customer_id]], customers[customer_id], 0)), "Unmapped")</f>
        <v>Sweden</v>
      </c>
      <c r="G4770" t="str">
        <f>IFERROR(INDEX(Region_Map[Region], MATCH(orders[[#This Row],[Customer_Country]], Region_Map[Country], 0)), "Unknown")</f>
        <v>Nordics</v>
      </c>
      <c r="H4770" t="s">
        <v>6949</v>
      </c>
    </row>
    <row r="4771" spans="1:8">
      <c r="A4771" t="s">
        <v>5667</v>
      </c>
      <c r="B4771" t="s">
        <v>45</v>
      </c>
      <c r="C4771" s="1">
        <v>45345</v>
      </c>
      <c r="D4771" s="1" t="str">
        <f>PROPER(orders[[#This Row],[order_priority]])</f>
        <v>Standard</v>
      </c>
      <c r="E4771" t="s">
        <v>13317</v>
      </c>
      <c r="F4771" t="str">
        <f>IFERROR(INDEX(customers[country], MATCH(orders[[#This Row],[customer_id]], customers[customer_id], 0)), "Unmapped")</f>
        <v>Netherlands</v>
      </c>
      <c r="G4771" t="str">
        <f>IFERROR(INDEX(Region_Map[Region], MATCH(orders[[#This Row],[Customer_Country]], Region_Map[Country], 0)), "Unknown")</f>
        <v>Central Europe</v>
      </c>
      <c r="H4771" t="s">
        <v>6949</v>
      </c>
    </row>
    <row r="4772" spans="1:8">
      <c r="A4772" t="s">
        <v>5668</v>
      </c>
      <c r="B4772" t="s">
        <v>694</v>
      </c>
      <c r="C4772" s="1">
        <v>45297</v>
      </c>
      <c r="D4772" s="1" t="str">
        <f>PROPER(orders[[#This Row],[order_priority]])</f>
        <v>Same Day</v>
      </c>
      <c r="E4772" t="s">
        <v>13322</v>
      </c>
      <c r="F4772" t="str">
        <f>IFERROR(INDEX(customers[country], MATCH(orders[[#This Row],[customer_id]], customers[customer_id], 0)), "Unmapped")</f>
        <v>Lithuania</v>
      </c>
      <c r="G4772" t="str">
        <f>IFERROR(INDEX(Region_Map[Region], MATCH(orders[[#This Row],[Customer_Country]], Region_Map[Country], 0)), "Unknown")</f>
        <v>Baltics</v>
      </c>
      <c r="H4772" t="s">
        <v>6949</v>
      </c>
    </row>
    <row r="4773" spans="1:8">
      <c r="A4773" t="s">
        <v>5669</v>
      </c>
      <c r="B4773" t="s">
        <v>264</v>
      </c>
      <c r="C4773" s="1">
        <v>45267</v>
      </c>
      <c r="D4773" s="1" t="str">
        <f>PROPER(orders[[#This Row],[order_priority]])</f>
        <v>Economy</v>
      </c>
      <c r="E4773" t="s">
        <v>13316</v>
      </c>
      <c r="F4773" t="str">
        <f>IFERROR(INDEX(customers[country], MATCH(orders[[#This Row],[customer_id]], customers[customer_id], 0)), "Unmapped")</f>
        <v>Germany</v>
      </c>
      <c r="G4773" t="str">
        <f>IFERROR(INDEX(Region_Map[Region], MATCH(orders[[#This Row],[Customer_Country]], Region_Map[Country], 0)), "Unknown")</f>
        <v>Central Europe</v>
      </c>
      <c r="H4773" t="s">
        <v>6949</v>
      </c>
    </row>
    <row r="4774" spans="1:8">
      <c r="A4774" t="s">
        <v>5670</v>
      </c>
      <c r="B4774" t="s">
        <v>30</v>
      </c>
      <c r="C4774" s="1">
        <v>45523</v>
      </c>
      <c r="D4774" s="1" t="str">
        <f>PROPER(orders[[#This Row],[order_priority]])</f>
        <v>Express</v>
      </c>
      <c r="E4774" t="s">
        <v>13318</v>
      </c>
      <c r="F4774" t="str">
        <f>IFERROR(INDEX(customers[country], MATCH(orders[[#This Row],[customer_id]], customers[customer_id], 0)), "Unmapped")</f>
        <v>Netherlands</v>
      </c>
      <c r="G4774" t="str">
        <f>IFERROR(INDEX(Region_Map[Region], MATCH(orders[[#This Row],[Customer_Country]], Region_Map[Country], 0)), "Unknown")</f>
        <v>Central Europe</v>
      </c>
      <c r="H4774" t="s">
        <v>6949</v>
      </c>
    </row>
    <row r="4775" spans="1:8">
      <c r="A4775" t="s">
        <v>5671</v>
      </c>
      <c r="B4775" t="s">
        <v>509</v>
      </c>
      <c r="C4775" s="1">
        <v>44936</v>
      </c>
      <c r="D4775" s="1" t="str">
        <f>PROPER(orders[[#This Row],[order_priority]])</f>
        <v>Standard</v>
      </c>
      <c r="E4775" t="s">
        <v>13317</v>
      </c>
      <c r="F4775" t="str">
        <f>IFERROR(INDEX(customers[country], MATCH(orders[[#This Row],[customer_id]], customers[customer_id], 0)), "Unmapped")</f>
        <v>Sweden</v>
      </c>
      <c r="G4775" t="str">
        <f>IFERROR(INDEX(Region_Map[Region], MATCH(orders[[#This Row],[Customer_Country]], Region_Map[Country], 0)), "Unknown")</f>
        <v>Nordics</v>
      </c>
      <c r="H4775" t="s">
        <v>6949</v>
      </c>
    </row>
    <row r="4776" spans="1:8">
      <c r="A4776" t="s">
        <v>5672</v>
      </c>
      <c r="B4776" t="s">
        <v>389</v>
      </c>
      <c r="C4776" s="1">
        <v>45477</v>
      </c>
      <c r="D4776" s="1" t="str">
        <f>PROPER(orders[[#This Row],[order_priority]])</f>
        <v>Standard</v>
      </c>
      <c r="E4776" t="s">
        <v>13317</v>
      </c>
      <c r="F4776" t="str">
        <f>IFERROR(INDEX(customers[country], MATCH(orders[[#This Row],[customer_id]], customers[customer_id], 0)), "Unmapped")</f>
        <v>Poland</v>
      </c>
      <c r="G4776" t="str">
        <f>IFERROR(INDEX(Region_Map[Region], MATCH(orders[[#This Row],[Customer_Country]], Region_Map[Country], 0)), "Unknown")</f>
        <v>Central Europe</v>
      </c>
      <c r="H4776" t="s">
        <v>6949</v>
      </c>
    </row>
    <row r="4777" spans="1:8">
      <c r="A4777" t="s">
        <v>5673</v>
      </c>
      <c r="B4777" t="s">
        <v>407</v>
      </c>
      <c r="C4777" s="1">
        <v>45330</v>
      </c>
      <c r="D4777" s="1" t="str">
        <f>PROPER(orders[[#This Row],[order_priority]])</f>
        <v>Same Day</v>
      </c>
      <c r="E4777" t="s">
        <v>13322</v>
      </c>
      <c r="F4777" t="str">
        <f>IFERROR(INDEX(customers[country], MATCH(orders[[#This Row],[customer_id]], customers[customer_id], 0)), "Unmapped")</f>
        <v>Poland</v>
      </c>
      <c r="G4777" t="str">
        <f>IFERROR(INDEX(Region_Map[Region], MATCH(orders[[#This Row],[Customer_Country]], Region_Map[Country], 0)), "Unknown")</f>
        <v>Central Europe</v>
      </c>
      <c r="H4777" t="s">
        <v>6949</v>
      </c>
    </row>
    <row r="4778" spans="1:8">
      <c r="A4778" t="s">
        <v>5674</v>
      </c>
      <c r="B4778" t="s">
        <v>894</v>
      </c>
      <c r="C4778" s="1">
        <v>44984</v>
      </c>
      <c r="D4778" s="1" t="str">
        <f>PROPER(orders[[#This Row],[order_priority]])</f>
        <v>Same Day</v>
      </c>
      <c r="E4778" t="s">
        <v>13322</v>
      </c>
      <c r="F4778" t="str">
        <f>IFERROR(INDEX(customers[country], MATCH(orders[[#This Row],[customer_id]], customers[customer_id], 0)), "Unmapped")</f>
        <v>Poland</v>
      </c>
      <c r="G4778" t="str">
        <f>IFERROR(INDEX(Region_Map[Region], MATCH(orders[[#This Row],[Customer_Country]], Region_Map[Country], 0)), "Unknown")</f>
        <v>Central Europe</v>
      </c>
      <c r="H4778" t="s">
        <v>6949</v>
      </c>
    </row>
    <row r="4779" spans="1:8">
      <c r="A4779" t="s">
        <v>5675</v>
      </c>
      <c r="B4779" t="s">
        <v>198</v>
      </c>
      <c r="C4779" s="1">
        <v>45592</v>
      </c>
      <c r="D4779" s="1" t="str">
        <f>PROPER(orders[[#This Row],[order_priority]])</f>
        <v>Economy</v>
      </c>
      <c r="E4779" t="s">
        <v>13316</v>
      </c>
      <c r="F4779" t="str">
        <f>IFERROR(INDEX(customers[country], MATCH(orders[[#This Row],[customer_id]], customers[customer_id], 0)), "Unmapped")</f>
        <v>Poland</v>
      </c>
      <c r="G4779" t="str">
        <f>IFERROR(INDEX(Region_Map[Region], MATCH(orders[[#This Row],[Customer_Country]], Region_Map[Country], 0)), "Unknown")</f>
        <v>Central Europe</v>
      </c>
      <c r="H4779" t="s">
        <v>6949</v>
      </c>
    </row>
    <row r="4780" spans="1:8">
      <c r="A4780" t="s">
        <v>5676</v>
      </c>
      <c r="B4780" t="s">
        <v>706</v>
      </c>
      <c r="C4780" s="1">
        <v>45229</v>
      </c>
      <c r="D4780" s="1" t="str">
        <f>PROPER(orders[[#This Row],[order_priority]])</f>
        <v>Economy</v>
      </c>
      <c r="E4780" t="s">
        <v>13316</v>
      </c>
      <c r="F4780" t="str">
        <f>IFERROR(INDEX(customers[country], MATCH(orders[[#This Row],[customer_id]], customers[customer_id], 0)), "Unmapped")</f>
        <v>Latvia</v>
      </c>
      <c r="G4780" t="str">
        <f>IFERROR(INDEX(Region_Map[Region], MATCH(orders[[#This Row],[Customer_Country]], Region_Map[Country], 0)), "Unknown")</f>
        <v>Baltics</v>
      </c>
      <c r="H4780" t="s">
        <v>6949</v>
      </c>
    </row>
    <row r="4781" spans="1:8">
      <c r="A4781" t="s">
        <v>5677</v>
      </c>
      <c r="B4781" t="s">
        <v>151</v>
      </c>
      <c r="C4781" s="1">
        <v>45334</v>
      </c>
      <c r="D4781" s="1" t="str">
        <f>PROPER(orders[[#This Row],[order_priority]])</f>
        <v>Same Day</v>
      </c>
      <c r="E4781" t="s">
        <v>13322</v>
      </c>
      <c r="F4781" t="str">
        <f>IFERROR(INDEX(customers[country], MATCH(orders[[#This Row],[customer_id]], customers[customer_id], 0)), "Unmapped")</f>
        <v>Sweden</v>
      </c>
      <c r="G4781" t="str">
        <f>IFERROR(INDEX(Region_Map[Region], MATCH(orders[[#This Row],[Customer_Country]], Region_Map[Country], 0)), "Unknown")</f>
        <v>Nordics</v>
      </c>
      <c r="H4781" t="s">
        <v>6949</v>
      </c>
    </row>
    <row r="4782" spans="1:8">
      <c r="A4782" t="s">
        <v>5678</v>
      </c>
      <c r="B4782" t="s">
        <v>700</v>
      </c>
      <c r="C4782" s="1">
        <v>45478</v>
      </c>
      <c r="D4782" s="1" t="str">
        <f>PROPER(orders[[#This Row],[order_priority]])</f>
        <v>Economy</v>
      </c>
      <c r="E4782" t="s">
        <v>13316</v>
      </c>
      <c r="F4782" t="str">
        <f>IFERROR(INDEX(customers[country], MATCH(orders[[#This Row],[customer_id]], customers[customer_id], 0)), "Unmapped")</f>
        <v>Germany</v>
      </c>
      <c r="G4782" t="str">
        <f>IFERROR(INDEX(Region_Map[Region], MATCH(orders[[#This Row],[Customer_Country]], Region_Map[Country], 0)), "Unknown")</f>
        <v>Central Europe</v>
      </c>
      <c r="H4782" t="s">
        <v>6949</v>
      </c>
    </row>
    <row r="4783" spans="1:8">
      <c r="A4783" t="s">
        <v>5679</v>
      </c>
      <c r="B4783" t="s">
        <v>192</v>
      </c>
      <c r="C4783" s="1">
        <v>45456</v>
      </c>
      <c r="D4783" s="1" t="str">
        <f>PROPER(orders[[#This Row],[order_priority]])</f>
        <v>Standard</v>
      </c>
      <c r="E4783" t="s">
        <v>13317</v>
      </c>
      <c r="F4783" t="str">
        <f>IFERROR(INDEX(customers[country], MATCH(orders[[#This Row],[customer_id]], customers[customer_id], 0)), "Unmapped")</f>
        <v>Estonia</v>
      </c>
      <c r="G4783" t="str">
        <f>IFERROR(INDEX(Region_Map[Region], MATCH(orders[[#This Row],[Customer_Country]], Region_Map[Country], 0)), "Unknown")</f>
        <v>Baltics</v>
      </c>
      <c r="H4783" t="s">
        <v>6949</v>
      </c>
    </row>
    <row r="4784" spans="1:8">
      <c r="A4784" t="s">
        <v>5680</v>
      </c>
      <c r="B4784" t="s">
        <v>655</v>
      </c>
      <c r="C4784" s="1">
        <v>45431</v>
      </c>
      <c r="D4784" s="1" t="str">
        <f>PROPER(orders[[#This Row],[order_priority]])</f>
        <v>Same Day</v>
      </c>
      <c r="E4784" t="s">
        <v>13322</v>
      </c>
      <c r="F4784" t="str">
        <f>IFERROR(INDEX(customers[country], MATCH(orders[[#This Row],[customer_id]], customers[customer_id], 0)), "Unmapped")</f>
        <v>Sweden</v>
      </c>
      <c r="G4784" t="str">
        <f>IFERROR(INDEX(Region_Map[Region], MATCH(orders[[#This Row],[Customer_Country]], Region_Map[Country], 0)), "Unknown")</f>
        <v>Nordics</v>
      </c>
      <c r="H4784" t="s">
        <v>6949</v>
      </c>
    </row>
    <row r="4785" spans="1:8">
      <c r="A4785" t="s">
        <v>5681</v>
      </c>
      <c r="B4785" t="s">
        <v>673</v>
      </c>
      <c r="C4785" s="1">
        <v>45378</v>
      </c>
      <c r="D4785" s="1" t="str">
        <f>PROPER(orders[[#This Row],[order_priority]])</f>
        <v>Same Day</v>
      </c>
      <c r="E4785" t="s">
        <v>13322</v>
      </c>
      <c r="F4785" t="str">
        <f>IFERROR(INDEX(customers[country], MATCH(orders[[#This Row],[customer_id]], customers[customer_id], 0)), "Unmapped")</f>
        <v>Sweden</v>
      </c>
      <c r="G4785" t="str">
        <f>IFERROR(INDEX(Region_Map[Region], MATCH(orders[[#This Row],[Customer_Country]], Region_Map[Country], 0)), "Unknown")</f>
        <v>Nordics</v>
      </c>
      <c r="H4785" t="s">
        <v>6949</v>
      </c>
    </row>
    <row r="4786" spans="1:8">
      <c r="A4786" t="s">
        <v>5682</v>
      </c>
      <c r="B4786" t="s">
        <v>790</v>
      </c>
      <c r="C4786" s="1">
        <v>45307</v>
      </c>
      <c r="D4786" s="1" t="str">
        <f>PROPER(orders[[#This Row],[order_priority]])</f>
        <v>Economy</v>
      </c>
      <c r="E4786" t="s">
        <v>13316</v>
      </c>
      <c r="F4786" t="str">
        <f>IFERROR(INDEX(customers[country], MATCH(orders[[#This Row],[customer_id]], customers[customer_id], 0)), "Unmapped")</f>
        <v>Germany</v>
      </c>
      <c r="G4786" t="str">
        <f>IFERROR(INDEX(Region_Map[Region], MATCH(orders[[#This Row],[Customer_Country]], Region_Map[Country], 0)), "Unknown")</f>
        <v>Central Europe</v>
      </c>
      <c r="H4786" t="s">
        <v>6949</v>
      </c>
    </row>
    <row r="4787" spans="1:8">
      <c r="A4787" t="s">
        <v>5683</v>
      </c>
      <c r="B4787" t="s">
        <v>73</v>
      </c>
      <c r="C4787" s="1">
        <v>45626</v>
      </c>
      <c r="D4787" s="1" t="str">
        <f>PROPER(orders[[#This Row],[order_priority]])</f>
        <v>Standard</v>
      </c>
      <c r="E4787" t="s">
        <v>13317</v>
      </c>
      <c r="F4787" t="str">
        <f>IFERROR(INDEX(customers[country], MATCH(orders[[#This Row],[customer_id]], customers[customer_id], 0)), "Unmapped")</f>
        <v>Norway</v>
      </c>
      <c r="G4787" t="str">
        <f>IFERROR(INDEX(Region_Map[Region], MATCH(orders[[#This Row],[Customer_Country]], Region_Map[Country], 0)), "Unknown")</f>
        <v>Nordics</v>
      </c>
      <c r="H4787" t="s">
        <v>6949</v>
      </c>
    </row>
    <row r="4788" spans="1:8">
      <c r="A4788" t="s">
        <v>5684</v>
      </c>
      <c r="B4788" t="s">
        <v>428</v>
      </c>
      <c r="C4788" s="1">
        <v>45021</v>
      </c>
      <c r="D4788" s="1" t="str">
        <f>PROPER(orders[[#This Row],[order_priority]])</f>
        <v>Same Day</v>
      </c>
      <c r="E4788" t="s">
        <v>13322</v>
      </c>
      <c r="F4788" t="str">
        <f>IFERROR(INDEX(customers[country], MATCH(orders[[#This Row],[customer_id]], customers[customer_id], 0)), "Unmapped")</f>
        <v>Finland</v>
      </c>
      <c r="G4788" t="str">
        <f>IFERROR(INDEX(Region_Map[Region], MATCH(orders[[#This Row],[Customer_Country]], Region_Map[Country], 0)), "Unknown")</f>
        <v>Nordics</v>
      </c>
      <c r="H4788" t="s">
        <v>6949</v>
      </c>
    </row>
    <row r="4789" spans="1:8">
      <c r="A4789" t="s">
        <v>5685</v>
      </c>
      <c r="B4789" t="s">
        <v>834</v>
      </c>
      <c r="C4789" s="1">
        <v>44964</v>
      </c>
      <c r="D4789" s="1" t="str">
        <f>PROPER(orders[[#This Row],[order_priority]])</f>
        <v>Standard</v>
      </c>
      <c r="E4789" t="s">
        <v>13317</v>
      </c>
      <c r="F4789" t="str">
        <f>IFERROR(INDEX(customers[country], MATCH(orders[[#This Row],[customer_id]], customers[customer_id], 0)), "Unmapped")</f>
        <v>Denmark</v>
      </c>
      <c r="G4789" t="str">
        <f>IFERROR(INDEX(Region_Map[Region], MATCH(orders[[#This Row],[Customer_Country]], Region_Map[Country], 0)), "Unknown")</f>
        <v>Nordics</v>
      </c>
      <c r="H4789" t="s">
        <v>6949</v>
      </c>
    </row>
    <row r="4790" spans="1:8">
      <c r="A4790" t="s">
        <v>5686</v>
      </c>
      <c r="B4790" t="s">
        <v>557</v>
      </c>
      <c r="C4790" s="1">
        <v>45088</v>
      </c>
      <c r="D4790" s="1" t="str">
        <f>PROPER(orders[[#This Row],[order_priority]])</f>
        <v>Economy</v>
      </c>
      <c r="E4790" t="s">
        <v>13316</v>
      </c>
      <c r="F4790" t="str">
        <f>IFERROR(INDEX(customers[country], MATCH(orders[[#This Row],[customer_id]], customers[customer_id], 0)), "Unmapped")</f>
        <v>Norway</v>
      </c>
      <c r="G4790" t="str">
        <f>IFERROR(INDEX(Region_Map[Region], MATCH(orders[[#This Row],[Customer_Country]], Region_Map[Country], 0)), "Unknown")</f>
        <v>Nordics</v>
      </c>
      <c r="H4790" t="s">
        <v>6949</v>
      </c>
    </row>
    <row r="4791" spans="1:8">
      <c r="A4791" t="s">
        <v>5687</v>
      </c>
      <c r="B4791" t="s">
        <v>590</v>
      </c>
      <c r="C4791" s="1">
        <v>45059</v>
      </c>
      <c r="D4791" s="1" t="str">
        <f>PROPER(orders[[#This Row],[order_priority]])</f>
        <v>Express</v>
      </c>
      <c r="E4791" t="s">
        <v>13318</v>
      </c>
      <c r="F4791" t="str">
        <f>IFERROR(INDEX(customers[country], MATCH(orders[[#This Row],[customer_id]], customers[customer_id], 0)), "Unmapped")</f>
        <v>Finland</v>
      </c>
      <c r="G4791" t="str">
        <f>IFERROR(INDEX(Region_Map[Region], MATCH(orders[[#This Row],[Customer_Country]], Region_Map[Country], 0)), "Unknown")</f>
        <v>Nordics</v>
      </c>
      <c r="H4791" t="s">
        <v>6949</v>
      </c>
    </row>
    <row r="4792" spans="1:8">
      <c r="A4792" t="s">
        <v>5688</v>
      </c>
      <c r="B4792" t="s">
        <v>102</v>
      </c>
      <c r="C4792" s="1">
        <v>44970</v>
      </c>
      <c r="D4792" s="1" t="str">
        <f>PROPER(orders[[#This Row],[order_priority]])</f>
        <v>Express</v>
      </c>
      <c r="E4792" t="s">
        <v>13318</v>
      </c>
      <c r="F4792" t="str">
        <f>IFERROR(INDEX(customers[country], MATCH(orders[[#This Row],[customer_id]], customers[customer_id], 0)), "Unmapped")</f>
        <v>Denmark</v>
      </c>
      <c r="G4792" t="str">
        <f>IFERROR(INDEX(Region_Map[Region], MATCH(orders[[#This Row],[Customer_Country]], Region_Map[Country], 0)), "Unknown")</f>
        <v>Nordics</v>
      </c>
      <c r="H4792" t="s">
        <v>6949</v>
      </c>
    </row>
    <row r="4793" spans="1:8">
      <c r="A4793" t="s">
        <v>5689</v>
      </c>
      <c r="B4793" t="s">
        <v>207</v>
      </c>
      <c r="C4793" s="1">
        <v>45600</v>
      </c>
      <c r="D4793" s="1" t="str">
        <f>PROPER(orders[[#This Row],[order_priority]])</f>
        <v>Standard</v>
      </c>
      <c r="E4793" t="s">
        <v>13317</v>
      </c>
      <c r="F4793" t="str">
        <f>IFERROR(INDEX(customers[country], MATCH(orders[[#This Row],[customer_id]], customers[customer_id], 0)), "Unmapped")</f>
        <v>Poland</v>
      </c>
      <c r="G4793" t="str">
        <f>IFERROR(INDEX(Region_Map[Region], MATCH(orders[[#This Row],[Customer_Country]], Region_Map[Country], 0)), "Unknown")</f>
        <v>Central Europe</v>
      </c>
      <c r="H4793" t="s">
        <v>6949</v>
      </c>
    </row>
    <row r="4794" spans="1:8">
      <c r="A4794" t="s">
        <v>5690</v>
      </c>
      <c r="B4794" t="s">
        <v>554</v>
      </c>
      <c r="C4794" s="1">
        <v>44937</v>
      </c>
      <c r="D4794" s="1" t="str">
        <f>PROPER(orders[[#This Row],[order_priority]])</f>
        <v>Same Day</v>
      </c>
      <c r="E4794" t="s">
        <v>13322</v>
      </c>
      <c r="F4794" t="str">
        <f>IFERROR(INDEX(customers[country], MATCH(orders[[#This Row],[customer_id]], customers[customer_id], 0)), "Unmapped")</f>
        <v>Germany</v>
      </c>
      <c r="G4794" t="str">
        <f>IFERROR(INDEX(Region_Map[Region], MATCH(orders[[#This Row],[Customer_Country]], Region_Map[Country], 0)), "Unknown")</f>
        <v>Central Europe</v>
      </c>
      <c r="H4794" t="s">
        <v>6949</v>
      </c>
    </row>
    <row r="4795" spans="1:8">
      <c r="A4795" t="s">
        <v>5691</v>
      </c>
      <c r="B4795" t="s">
        <v>602</v>
      </c>
      <c r="C4795" s="1">
        <v>45312</v>
      </c>
      <c r="D4795" s="1" t="str">
        <f>PROPER(orders[[#This Row],[order_priority]])</f>
        <v>Standard</v>
      </c>
      <c r="E4795" t="s">
        <v>13317</v>
      </c>
      <c r="F4795" t="str">
        <f>IFERROR(INDEX(customers[country], MATCH(orders[[#This Row],[customer_id]], customers[customer_id], 0)), "Unmapped")</f>
        <v>Poland</v>
      </c>
      <c r="G4795" t="str">
        <f>IFERROR(INDEX(Region_Map[Region], MATCH(orders[[#This Row],[Customer_Country]], Region_Map[Country], 0)), "Unknown")</f>
        <v>Central Europe</v>
      </c>
      <c r="H4795" t="s">
        <v>6949</v>
      </c>
    </row>
    <row r="4796" spans="1:8">
      <c r="A4796" t="s">
        <v>5692</v>
      </c>
      <c r="B4796" t="s">
        <v>614</v>
      </c>
      <c r="C4796" s="1">
        <v>45470</v>
      </c>
      <c r="D4796" s="1" t="str">
        <f>PROPER(orders[[#This Row],[order_priority]])</f>
        <v>Same Day</v>
      </c>
      <c r="E4796" t="s">
        <v>13322</v>
      </c>
      <c r="F4796" t="str">
        <f>IFERROR(INDEX(customers[country], MATCH(orders[[#This Row],[customer_id]], customers[customer_id], 0)), "Unmapped")</f>
        <v>Latvia</v>
      </c>
      <c r="G4796" t="str">
        <f>IFERROR(INDEX(Region_Map[Region], MATCH(orders[[#This Row],[Customer_Country]], Region_Map[Country], 0)), "Unknown")</f>
        <v>Baltics</v>
      </c>
      <c r="H4796" t="s">
        <v>6949</v>
      </c>
    </row>
    <row r="4797" spans="1:8">
      <c r="A4797" t="s">
        <v>5693</v>
      </c>
      <c r="B4797" t="s">
        <v>870</v>
      </c>
      <c r="C4797" s="1">
        <v>45621</v>
      </c>
      <c r="D4797" s="1" t="str">
        <f>PROPER(orders[[#This Row],[order_priority]])</f>
        <v>Economy</v>
      </c>
      <c r="E4797" t="s">
        <v>13316</v>
      </c>
      <c r="F4797" t="str">
        <f>IFERROR(INDEX(customers[country], MATCH(orders[[#This Row],[customer_id]], customers[customer_id], 0)), "Unmapped")</f>
        <v>Estonia</v>
      </c>
      <c r="G4797" t="str">
        <f>IFERROR(INDEX(Region_Map[Region], MATCH(orders[[#This Row],[Customer_Country]], Region_Map[Country], 0)), "Unknown")</f>
        <v>Baltics</v>
      </c>
      <c r="H4797" t="s">
        <v>6949</v>
      </c>
    </row>
    <row r="4798" spans="1:8">
      <c r="A4798" t="s">
        <v>5694</v>
      </c>
      <c r="B4798" t="s">
        <v>679</v>
      </c>
      <c r="C4798" s="1">
        <v>45471</v>
      </c>
      <c r="D4798" s="1" t="str">
        <f>PROPER(orders[[#This Row],[order_priority]])</f>
        <v>Economy</v>
      </c>
      <c r="E4798" t="s">
        <v>13316</v>
      </c>
      <c r="F4798" t="str">
        <f>IFERROR(INDEX(customers[country], MATCH(orders[[#This Row],[customer_id]], customers[customer_id], 0)), "Unmapped")</f>
        <v>Norway</v>
      </c>
      <c r="G4798" t="str">
        <f>IFERROR(INDEX(Region_Map[Region], MATCH(orders[[#This Row],[Customer_Country]], Region_Map[Country], 0)), "Unknown")</f>
        <v>Nordics</v>
      </c>
      <c r="H4798" t="s">
        <v>6949</v>
      </c>
    </row>
    <row r="4799" spans="1:8">
      <c r="A4799" t="s">
        <v>5695</v>
      </c>
      <c r="B4799" t="s">
        <v>279</v>
      </c>
      <c r="C4799" s="1">
        <v>45428</v>
      </c>
      <c r="D4799" s="1" t="str">
        <f>PROPER(orders[[#This Row],[order_priority]])</f>
        <v>Express</v>
      </c>
      <c r="E4799" t="s">
        <v>13320</v>
      </c>
      <c r="F4799" t="str">
        <f>IFERROR(INDEX(customers[country], MATCH(orders[[#This Row],[customer_id]], customers[customer_id], 0)), "Unmapped")</f>
        <v>Germany</v>
      </c>
      <c r="G4799" t="str">
        <f>IFERROR(INDEX(Region_Map[Region], MATCH(orders[[#This Row],[Customer_Country]], Region_Map[Country], 0)), "Unknown")</f>
        <v>Central Europe</v>
      </c>
      <c r="H4799" t="s">
        <v>6949</v>
      </c>
    </row>
    <row r="4800" spans="1:8">
      <c r="A4800" t="s">
        <v>5696</v>
      </c>
      <c r="B4800" t="s">
        <v>136</v>
      </c>
      <c r="C4800" s="1">
        <v>45009</v>
      </c>
      <c r="D4800" s="1" t="str">
        <f>PROPER(orders[[#This Row],[order_priority]])</f>
        <v>Express</v>
      </c>
      <c r="E4800" t="s">
        <v>13318</v>
      </c>
      <c r="F4800" t="str">
        <f>IFERROR(INDEX(customers[country], MATCH(orders[[#This Row],[customer_id]], customers[customer_id], 0)), "Unmapped")</f>
        <v>Sweden</v>
      </c>
      <c r="G4800" t="str">
        <f>IFERROR(INDEX(Region_Map[Region], MATCH(orders[[#This Row],[Customer_Country]], Region_Map[Country], 0)), "Unknown")</f>
        <v>Nordics</v>
      </c>
      <c r="H4800" t="s">
        <v>6949</v>
      </c>
    </row>
    <row r="4801" spans="1:8">
      <c r="A4801" t="s">
        <v>5697</v>
      </c>
      <c r="B4801" t="s">
        <v>473</v>
      </c>
      <c r="C4801" s="1">
        <v>45121</v>
      </c>
      <c r="D4801" s="1" t="str">
        <f>PROPER(orders[[#This Row],[order_priority]])</f>
        <v>Economy</v>
      </c>
      <c r="E4801" t="s">
        <v>13316</v>
      </c>
      <c r="F4801" t="str">
        <f>IFERROR(INDEX(customers[country], MATCH(orders[[#This Row],[customer_id]], customers[customer_id], 0)), "Unmapped")</f>
        <v>Netherlands</v>
      </c>
      <c r="G4801" t="str">
        <f>IFERROR(INDEX(Region_Map[Region], MATCH(orders[[#This Row],[Customer_Country]], Region_Map[Country], 0)), "Unknown")</f>
        <v>Central Europe</v>
      </c>
      <c r="H4801" t="s">
        <v>6949</v>
      </c>
    </row>
    <row r="4802" spans="1:8">
      <c r="A4802" t="s">
        <v>5698</v>
      </c>
      <c r="B4802" t="s">
        <v>500</v>
      </c>
      <c r="C4802" s="1">
        <v>45193</v>
      </c>
      <c r="D4802" s="1" t="str">
        <f>PROPER(orders[[#This Row],[order_priority]])</f>
        <v>Economy</v>
      </c>
      <c r="E4802" t="s">
        <v>13316</v>
      </c>
      <c r="F4802" t="str">
        <f>IFERROR(INDEX(customers[country], MATCH(orders[[#This Row],[customer_id]], customers[customer_id], 0)), "Unmapped")</f>
        <v>Estonia</v>
      </c>
      <c r="G4802" t="str">
        <f>IFERROR(INDEX(Region_Map[Region], MATCH(orders[[#This Row],[Customer_Country]], Region_Map[Country], 0)), "Unknown")</f>
        <v>Baltics</v>
      </c>
      <c r="H4802" t="s">
        <v>6949</v>
      </c>
    </row>
    <row r="4803" spans="1:8">
      <c r="A4803" t="s">
        <v>5699</v>
      </c>
      <c r="B4803" t="s">
        <v>34</v>
      </c>
      <c r="C4803" s="1">
        <v>45377</v>
      </c>
      <c r="D4803" s="1" t="str">
        <f>PROPER(orders[[#This Row],[order_priority]])</f>
        <v>Standard</v>
      </c>
      <c r="E4803" t="s">
        <v>13317</v>
      </c>
      <c r="F4803" t="str">
        <f>IFERROR(INDEX(customers[country], MATCH(orders[[#This Row],[customer_id]], customers[customer_id], 0)), "Unmapped")</f>
        <v>Sweden</v>
      </c>
      <c r="G4803" t="str">
        <f>IFERROR(INDEX(Region_Map[Region], MATCH(orders[[#This Row],[Customer_Country]], Region_Map[Country], 0)), "Unknown")</f>
        <v>Nordics</v>
      </c>
      <c r="H4803" t="s">
        <v>6949</v>
      </c>
    </row>
    <row r="4804" spans="1:8">
      <c r="A4804" t="s">
        <v>5700</v>
      </c>
      <c r="B4804" t="s">
        <v>303</v>
      </c>
      <c r="C4804" s="1">
        <v>45423</v>
      </c>
      <c r="D4804" s="1" t="str">
        <f>PROPER(orders[[#This Row],[order_priority]])</f>
        <v>Express</v>
      </c>
      <c r="E4804" t="s">
        <v>13318</v>
      </c>
      <c r="F4804" t="str">
        <f>IFERROR(INDEX(customers[country], MATCH(orders[[#This Row],[customer_id]], customers[customer_id], 0)), "Unmapped")</f>
        <v>Netherlands</v>
      </c>
      <c r="G4804" t="str">
        <f>IFERROR(INDEX(Region_Map[Region], MATCH(orders[[#This Row],[Customer_Country]], Region_Map[Country], 0)), "Unknown")</f>
        <v>Central Europe</v>
      </c>
      <c r="H4804" t="s">
        <v>6949</v>
      </c>
    </row>
    <row r="4805" spans="1:8">
      <c r="A4805" t="s">
        <v>5701</v>
      </c>
      <c r="B4805" t="s">
        <v>679</v>
      </c>
      <c r="C4805" s="1">
        <v>45405</v>
      </c>
      <c r="D4805" s="1" t="str">
        <f>PROPER(orders[[#This Row],[order_priority]])</f>
        <v>Economy</v>
      </c>
      <c r="E4805" t="s">
        <v>13328</v>
      </c>
      <c r="F4805" t="str">
        <f>IFERROR(INDEX(customers[country], MATCH(orders[[#This Row],[customer_id]], customers[customer_id], 0)), "Unmapped")</f>
        <v>Norway</v>
      </c>
      <c r="G4805" t="str">
        <f>IFERROR(INDEX(Region_Map[Region], MATCH(orders[[#This Row],[Customer_Country]], Region_Map[Country], 0)), "Unknown")</f>
        <v>Nordics</v>
      </c>
      <c r="H4805" t="s">
        <v>6949</v>
      </c>
    </row>
    <row r="4806" spans="1:8">
      <c r="A4806" t="s">
        <v>5702</v>
      </c>
      <c r="B4806" t="s">
        <v>596</v>
      </c>
      <c r="C4806" s="1">
        <v>45029</v>
      </c>
      <c r="D4806" s="1" t="str">
        <f>PROPER(orders[[#This Row],[order_priority]])</f>
        <v>Economy</v>
      </c>
      <c r="E4806" t="s">
        <v>13328</v>
      </c>
      <c r="F4806" t="str">
        <f>IFERROR(INDEX(customers[country], MATCH(orders[[#This Row],[customer_id]], customers[customer_id], 0)), "Unmapped")</f>
        <v>Lithuania</v>
      </c>
      <c r="G4806" t="str">
        <f>IFERROR(INDEX(Region_Map[Region], MATCH(orders[[#This Row],[Customer_Country]], Region_Map[Country], 0)), "Unknown")</f>
        <v>Baltics</v>
      </c>
      <c r="H4806" t="s">
        <v>6949</v>
      </c>
    </row>
    <row r="4807" spans="1:8">
      <c r="A4807" t="s">
        <v>5703</v>
      </c>
      <c r="B4807" t="s">
        <v>485</v>
      </c>
      <c r="C4807" s="1">
        <v>45353</v>
      </c>
      <c r="D4807" s="1" t="str">
        <f>PROPER(orders[[#This Row],[order_priority]])</f>
        <v>Standard</v>
      </c>
      <c r="E4807" t="s">
        <v>13317</v>
      </c>
      <c r="F4807" t="str">
        <f>IFERROR(INDEX(customers[country], MATCH(orders[[#This Row],[customer_id]], customers[customer_id], 0)), "Unmapped")</f>
        <v>Latvia</v>
      </c>
      <c r="G4807" t="str">
        <f>IFERROR(INDEX(Region_Map[Region], MATCH(orders[[#This Row],[Customer_Country]], Region_Map[Country], 0)), "Unknown")</f>
        <v>Baltics</v>
      </c>
      <c r="H4807" t="s">
        <v>6949</v>
      </c>
    </row>
    <row r="4808" spans="1:8">
      <c r="A4808" t="s">
        <v>5704</v>
      </c>
      <c r="B4808" t="s">
        <v>67</v>
      </c>
      <c r="C4808" s="1">
        <v>45390</v>
      </c>
      <c r="D4808" s="1" t="str">
        <f>PROPER(orders[[#This Row],[order_priority]])</f>
        <v>Economy</v>
      </c>
      <c r="E4808" t="s">
        <v>13316</v>
      </c>
      <c r="F4808" t="str">
        <f>IFERROR(INDEX(customers[country], MATCH(orders[[#This Row],[customer_id]], customers[customer_id], 0)), "Unmapped")</f>
        <v>Estonia</v>
      </c>
      <c r="G4808" t="str">
        <f>IFERROR(INDEX(Region_Map[Region], MATCH(orders[[#This Row],[Customer_Country]], Region_Map[Country], 0)), "Unknown")</f>
        <v>Baltics</v>
      </c>
      <c r="H4808" t="s">
        <v>6949</v>
      </c>
    </row>
    <row r="4809" spans="1:8">
      <c r="A4809" t="s">
        <v>5705</v>
      </c>
      <c r="B4809" t="s">
        <v>67</v>
      </c>
      <c r="C4809" s="1">
        <v>45250</v>
      </c>
      <c r="D4809" s="1" t="str">
        <f>PROPER(orders[[#This Row],[order_priority]])</f>
        <v>Express</v>
      </c>
      <c r="E4809" t="s">
        <v>13318</v>
      </c>
      <c r="F4809" t="str">
        <f>IFERROR(INDEX(customers[country], MATCH(orders[[#This Row],[customer_id]], customers[customer_id], 0)), "Unmapped")</f>
        <v>Estonia</v>
      </c>
      <c r="G4809" t="str">
        <f>IFERROR(INDEX(Region_Map[Region], MATCH(orders[[#This Row],[Customer_Country]], Region_Map[Country], 0)), "Unknown")</f>
        <v>Baltics</v>
      </c>
      <c r="H4809" t="s">
        <v>6949</v>
      </c>
    </row>
    <row r="4810" spans="1:8">
      <c r="A4810" t="s">
        <v>5706</v>
      </c>
      <c r="B4810" t="s">
        <v>386</v>
      </c>
      <c r="C4810" s="1">
        <v>45295</v>
      </c>
      <c r="D4810" s="1" t="str">
        <f>PROPER(orders[[#This Row],[order_priority]])</f>
        <v>Economy</v>
      </c>
      <c r="E4810" t="s">
        <v>13316</v>
      </c>
      <c r="F4810" t="str">
        <f>IFERROR(INDEX(customers[country], MATCH(orders[[#This Row],[customer_id]], customers[customer_id], 0)), "Unmapped")</f>
        <v>Germany</v>
      </c>
      <c r="G4810" t="str">
        <f>IFERROR(INDEX(Region_Map[Region], MATCH(orders[[#This Row],[Customer_Country]], Region_Map[Country], 0)), "Unknown")</f>
        <v>Central Europe</v>
      </c>
      <c r="H4810" t="s">
        <v>6949</v>
      </c>
    </row>
    <row r="4811" spans="1:8">
      <c r="A4811" t="s">
        <v>5707</v>
      </c>
      <c r="B4811" t="s">
        <v>213</v>
      </c>
      <c r="C4811" s="1">
        <v>45079</v>
      </c>
      <c r="D4811" s="1" t="str">
        <f>PROPER(orders[[#This Row],[order_priority]])</f>
        <v>Standard</v>
      </c>
      <c r="E4811" t="s">
        <v>13319</v>
      </c>
      <c r="F4811" t="str">
        <f>IFERROR(INDEX(customers[country], MATCH(orders[[#This Row],[customer_id]], customers[customer_id], 0)), "Unmapped")</f>
        <v>Denmark</v>
      </c>
      <c r="G4811" t="str">
        <f>IFERROR(INDEX(Region_Map[Region], MATCH(orders[[#This Row],[Customer_Country]], Region_Map[Country], 0)), "Unknown")</f>
        <v>Nordics</v>
      </c>
      <c r="H4811" t="s">
        <v>6949</v>
      </c>
    </row>
    <row r="4812" spans="1:8">
      <c r="A4812" t="s">
        <v>5708</v>
      </c>
      <c r="B4812" t="s">
        <v>569</v>
      </c>
      <c r="C4812" s="1">
        <v>45473</v>
      </c>
      <c r="D4812" s="1" t="str">
        <f>PROPER(orders[[#This Row],[order_priority]])</f>
        <v>Same Day</v>
      </c>
      <c r="E4812" t="s">
        <v>13322</v>
      </c>
      <c r="F4812" t="str">
        <f>IFERROR(INDEX(customers[country], MATCH(orders[[#This Row],[customer_id]], customers[customer_id], 0)), "Unmapped")</f>
        <v>Estonia</v>
      </c>
      <c r="G4812" t="str">
        <f>IFERROR(INDEX(Region_Map[Region], MATCH(orders[[#This Row],[Customer_Country]], Region_Map[Country], 0)), "Unknown")</f>
        <v>Baltics</v>
      </c>
      <c r="H4812" t="s">
        <v>6949</v>
      </c>
    </row>
    <row r="4813" spans="1:8">
      <c r="A4813" t="s">
        <v>5709</v>
      </c>
      <c r="B4813" t="s">
        <v>647</v>
      </c>
      <c r="C4813" s="1">
        <v>45615</v>
      </c>
      <c r="D4813" s="1" t="str">
        <f>PROPER(orders[[#This Row],[order_priority]])</f>
        <v>Standard</v>
      </c>
      <c r="E4813" t="s">
        <v>13317</v>
      </c>
      <c r="F4813" t="str">
        <f>IFERROR(INDEX(customers[country], MATCH(orders[[#This Row],[customer_id]], customers[customer_id], 0)), "Unmapped")</f>
        <v>Netherlands</v>
      </c>
      <c r="G4813" t="str">
        <f>IFERROR(INDEX(Region_Map[Region], MATCH(orders[[#This Row],[Customer_Country]], Region_Map[Country], 0)), "Unknown")</f>
        <v>Central Europe</v>
      </c>
      <c r="H4813" t="s">
        <v>6949</v>
      </c>
    </row>
    <row r="4814" spans="1:8">
      <c r="A4814" t="s">
        <v>5710</v>
      </c>
      <c r="B4814" t="s">
        <v>61</v>
      </c>
      <c r="C4814" s="1">
        <v>45012</v>
      </c>
      <c r="D4814" s="1" t="str">
        <f>PROPER(orders[[#This Row],[order_priority]])</f>
        <v>Standard</v>
      </c>
      <c r="E4814" t="s">
        <v>13317</v>
      </c>
      <c r="F4814" t="str">
        <f>IFERROR(INDEX(customers[country], MATCH(orders[[#This Row],[customer_id]], customers[customer_id], 0)), "Unmapped")</f>
        <v>Netherlands</v>
      </c>
      <c r="G4814" t="str">
        <f>IFERROR(INDEX(Region_Map[Region], MATCH(orders[[#This Row],[Customer_Country]], Region_Map[Country], 0)), "Unknown")</f>
        <v>Central Europe</v>
      </c>
      <c r="H4814" t="s">
        <v>6949</v>
      </c>
    </row>
    <row r="4815" spans="1:8">
      <c r="A4815" t="s">
        <v>5711</v>
      </c>
      <c r="B4815" t="s">
        <v>808</v>
      </c>
      <c r="C4815" s="1">
        <v>45209</v>
      </c>
      <c r="D4815" s="1" t="str">
        <f>PROPER(orders[[#This Row],[order_priority]])</f>
        <v>Same Day</v>
      </c>
      <c r="E4815" t="s">
        <v>13322</v>
      </c>
      <c r="F4815" t="str">
        <f>IFERROR(INDEX(customers[country], MATCH(orders[[#This Row],[customer_id]], customers[customer_id], 0)), "Unmapped")</f>
        <v>Sweden</v>
      </c>
      <c r="G4815" t="str">
        <f>IFERROR(INDEX(Region_Map[Region], MATCH(orders[[#This Row],[Customer_Country]], Region_Map[Country], 0)), "Unknown")</f>
        <v>Nordics</v>
      </c>
      <c r="H4815" t="s">
        <v>6949</v>
      </c>
    </row>
    <row r="4816" spans="1:8">
      <c r="A4816" t="s">
        <v>5712</v>
      </c>
      <c r="B4816" t="s">
        <v>894</v>
      </c>
      <c r="C4816" s="1">
        <v>45049</v>
      </c>
      <c r="D4816" s="1" t="str">
        <f>PROPER(orders[[#This Row],[order_priority]])</f>
        <v>Economy</v>
      </c>
      <c r="E4816" t="s">
        <v>13316</v>
      </c>
      <c r="F4816" t="str">
        <f>IFERROR(INDEX(customers[country], MATCH(orders[[#This Row],[customer_id]], customers[customer_id], 0)), "Unmapped")</f>
        <v>Poland</v>
      </c>
      <c r="G4816" t="str">
        <f>IFERROR(INDEX(Region_Map[Region], MATCH(orders[[#This Row],[Customer_Country]], Region_Map[Country], 0)), "Unknown")</f>
        <v>Central Europe</v>
      </c>
      <c r="H4816" t="s">
        <v>6949</v>
      </c>
    </row>
    <row r="4817" spans="1:8">
      <c r="A4817" t="s">
        <v>5713</v>
      </c>
      <c r="B4817" t="s">
        <v>13332</v>
      </c>
      <c r="C4817" s="1">
        <v>45494</v>
      </c>
      <c r="D4817" s="1" t="str">
        <f>PROPER(orders[[#This Row],[order_priority]])</f>
        <v>Same Day</v>
      </c>
      <c r="E4817" t="s">
        <v>13322</v>
      </c>
      <c r="F4817" t="str">
        <f>IFERROR(INDEX(customers[country], MATCH(orders[[#This Row],[customer_id]], customers[customer_id], 0)), "Unmapped")</f>
        <v>Unmapped</v>
      </c>
      <c r="G4817" t="str">
        <f>IFERROR(INDEX(Region_Map[Region], MATCH(orders[[#This Row],[Customer_Country]], Region_Map[Country], 0)), "Unknown")</f>
        <v>Unknown</v>
      </c>
      <c r="H4817" t="s">
        <v>6949</v>
      </c>
    </row>
    <row r="4818" spans="1:8">
      <c r="A4818" t="s">
        <v>5714</v>
      </c>
      <c r="B4818" t="s">
        <v>551</v>
      </c>
      <c r="C4818" s="1">
        <v>44966</v>
      </c>
      <c r="D4818" s="1" t="str">
        <f>PROPER(orders[[#This Row],[order_priority]])</f>
        <v>Standard</v>
      </c>
      <c r="E4818" t="s">
        <v>13317</v>
      </c>
      <c r="F4818" t="str">
        <f>IFERROR(INDEX(customers[country], MATCH(orders[[#This Row],[customer_id]], customers[customer_id], 0)), "Unmapped")</f>
        <v>Latvia</v>
      </c>
      <c r="G4818" t="str">
        <f>IFERROR(INDEX(Region_Map[Region], MATCH(orders[[#This Row],[Customer_Country]], Region_Map[Country], 0)), "Unknown")</f>
        <v>Baltics</v>
      </c>
      <c r="H4818" t="s">
        <v>6949</v>
      </c>
    </row>
    <row r="4819" spans="1:8">
      <c r="A4819" t="s">
        <v>5715</v>
      </c>
      <c r="B4819" t="s">
        <v>133</v>
      </c>
      <c r="C4819" s="1">
        <v>45071</v>
      </c>
      <c r="D4819" s="1" t="str">
        <f>PROPER(orders[[#This Row],[order_priority]])</f>
        <v>Economy</v>
      </c>
      <c r="E4819" t="s">
        <v>13316</v>
      </c>
      <c r="F4819" t="str">
        <f>IFERROR(INDEX(customers[country], MATCH(orders[[#This Row],[customer_id]], customers[customer_id], 0)), "Unmapped")</f>
        <v>Finland</v>
      </c>
      <c r="G4819" t="str">
        <f>IFERROR(INDEX(Region_Map[Region], MATCH(orders[[#This Row],[Customer_Country]], Region_Map[Country], 0)), "Unknown")</f>
        <v>Nordics</v>
      </c>
      <c r="H4819" t="s">
        <v>6949</v>
      </c>
    </row>
    <row r="4820" spans="1:8">
      <c r="A4820" t="s">
        <v>5716</v>
      </c>
      <c r="B4820" t="s">
        <v>48</v>
      </c>
      <c r="C4820" s="1">
        <v>45410</v>
      </c>
      <c r="D4820" s="1" t="str">
        <f>PROPER(orders[[#This Row],[order_priority]])</f>
        <v>Same Day</v>
      </c>
      <c r="E4820" t="s">
        <v>13322</v>
      </c>
      <c r="F4820" t="str">
        <f>IFERROR(INDEX(customers[country], MATCH(orders[[#This Row],[customer_id]], customers[customer_id], 0)), "Unmapped")</f>
        <v>Poland</v>
      </c>
      <c r="G4820" t="str">
        <f>IFERROR(INDEX(Region_Map[Region], MATCH(orders[[#This Row],[Customer_Country]], Region_Map[Country], 0)), "Unknown")</f>
        <v>Central Europe</v>
      </c>
      <c r="H4820" t="s">
        <v>6949</v>
      </c>
    </row>
    <row r="4821" spans="1:8">
      <c r="A4821" t="s">
        <v>5717</v>
      </c>
      <c r="B4821" t="s">
        <v>855</v>
      </c>
      <c r="C4821" s="1">
        <v>45034</v>
      </c>
      <c r="D4821" s="1" t="str">
        <f>PROPER(orders[[#This Row],[order_priority]])</f>
        <v>Same Day</v>
      </c>
      <c r="E4821" t="s">
        <v>13324</v>
      </c>
      <c r="F4821" t="str">
        <f>IFERROR(INDEX(customers[country], MATCH(orders[[#This Row],[customer_id]], customers[customer_id], 0)), "Unmapped")</f>
        <v>Latvia</v>
      </c>
      <c r="G4821" t="str">
        <f>IFERROR(INDEX(Region_Map[Region], MATCH(orders[[#This Row],[Customer_Country]], Region_Map[Country], 0)), "Unknown")</f>
        <v>Baltics</v>
      </c>
      <c r="H4821" t="s">
        <v>6949</v>
      </c>
    </row>
    <row r="4822" spans="1:8">
      <c r="A4822" t="s">
        <v>5718</v>
      </c>
      <c r="B4822" t="s">
        <v>458</v>
      </c>
      <c r="C4822" s="1">
        <v>45001</v>
      </c>
      <c r="D4822" s="1" t="str">
        <f>PROPER(orders[[#This Row],[order_priority]])</f>
        <v>Economy</v>
      </c>
      <c r="E4822" t="s">
        <v>13325</v>
      </c>
      <c r="F4822" t="str">
        <f>IFERROR(INDEX(customers[country], MATCH(orders[[#This Row],[customer_id]], customers[customer_id], 0)), "Unmapped")</f>
        <v>Poland</v>
      </c>
      <c r="G4822" t="str">
        <f>IFERROR(INDEX(Region_Map[Region], MATCH(orders[[#This Row],[Customer_Country]], Region_Map[Country], 0)), "Unknown")</f>
        <v>Central Europe</v>
      </c>
      <c r="H4822" t="s">
        <v>6949</v>
      </c>
    </row>
    <row r="4823" spans="1:8">
      <c r="A4823" t="s">
        <v>5719</v>
      </c>
      <c r="B4823" t="s">
        <v>404</v>
      </c>
      <c r="C4823" s="1">
        <v>44951</v>
      </c>
      <c r="D4823" s="1" t="str">
        <f>PROPER(orders[[#This Row],[order_priority]])</f>
        <v>Economy</v>
      </c>
      <c r="E4823" t="s">
        <v>13316</v>
      </c>
      <c r="F4823" t="str">
        <f>IFERROR(INDEX(customers[country], MATCH(orders[[#This Row],[customer_id]], customers[customer_id], 0)), "Unmapped")</f>
        <v>Latvia</v>
      </c>
      <c r="G4823" t="str">
        <f>IFERROR(INDEX(Region_Map[Region], MATCH(orders[[#This Row],[Customer_Country]], Region_Map[Country], 0)), "Unknown")</f>
        <v>Baltics</v>
      </c>
      <c r="H4823" t="s">
        <v>6949</v>
      </c>
    </row>
    <row r="4824" spans="1:8">
      <c r="A4824" t="s">
        <v>5720</v>
      </c>
      <c r="B4824" t="s">
        <v>808</v>
      </c>
      <c r="C4824" s="1">
        <v>44953</v>
      </c>
      <c r="D4824" s="1" t="str">
        <f>PROPER(orders[[#This Row],[order_priority]])</f>
        <v>Economy</v>
      </c>
      <c r="E4824" t="s">
        <v>13316</v>
      </c>
      <c r="F4824" t="str">
        <f>IFERROR(INDEX(customers[country], MATCH(orders[[#This Row],[customer_id]], customers[customer_id], 0)), "Unmapped")</f>
        <v>Sweden</v>
      </c>
      <c r="G4824" t="str">
        <f>IFERROR(INDEX(Region_Map[Region], MATCH(orders[[#This Row],[Customer_Country]], Region_Map[Country], 0)), "Unknown")</f>
        <v>Nordics</v>
      </c>
      <c r="H4824" t="s">
        <v>6949</v>
      </c>
    </row>
    <row r="4825" spans="1:8">
      <c r="A4825" t="s">
        <v>5721</v>
      </c>
      <c r="B4825" t="s">
        <v>727</v>
      </c>
      <c r="C4825" s="1">
        <v>45157</v>
      </c>
      <c r="D4825" s="1" t="str">
        <f>PROPER(orders[[#This Row],[order_priority]])</f>
        <v>Standard</v>
      </c>
      <c r="E4825" t="s">
        <v>13317</v>
      </c>
      <c r="F4825" t="str">
        <f>IFERROR(INDEX(customers[country], MATCH(orders[[#This Row],[customer_id]], customers[customer_id], 0)), "Unmapped")</f>
        <v>Sweden</v>
      </c>
      <c r="G4825" t="str">
        <f>IFERROR(INDEX(Region_Map[Region], MATCH(orders[[#This Row],[Customer_Country]], Region_Map[Country], 0)), "Unknown")</f>
        <v>Nordics</v>
      </c>
      <c r="H4825" t="s">
        <v>6949</v>
      </c>
    </row>
    <row r="4826" spans="1:8">
      <c r="A4826" t="s">
        <v>5722</v>
      </c>
      <c r="B4826" t="s">
        <v>246</v>
      </c>
      <c r="C4826" s="1">
        <v>45086</v>
      </c>
      <c r="D4826" s="1" t="str">
        <f>PROPER(orders[[#This Row],[order_priority]])</f>
        <v>Express</v>
      </c>
      <c r="E4826" t="s">
        <v>13318</v>
      </c>
      <c r="F4826" t="str">
        <f>IFERROR(INDEX(customers[country], MATCH(orders[[#This Row],[customer_id]], customers[customer_id], 0)), "Unmapped")</f>
        <v>Netherlands</v>
      </c>
      <c r="G4826" t="str">
        <f>IFERROR(INDEX(Region_Map[Region], MATCH(orders[[#This Row],[Customer_Country]], Region_Map[Country], 0)), "Unknown")</f>
        <v>Central Europe</v>
      </c>
      <c r="H4826" t="s">
        <v>6949</v>
      </c>
    </row>
    <row r="4827" spans="1:8">
      <c r="A4827" t="s">
        <v>5723</v>
      </c>
      <c r="B4827" t="s">
        <v>494</v>
      </c>
      <c r="C4827" s="1">
        <v>45387</v>
      </c>
      <c r="D4827" s="1" t="str">
        <f>PROPER(orders[[#This Row],[order_priority]])</f>
        <v>Express</v>
      </c>
      <c r="E4827" t="s">
        <v>13318</v>
      </c>
      <c r="F4827" t="str">
        <f>IFERROR(INDEX(customers[country], MATCH(orders[[#This Row],[customer_id]], customers[customer_id], 0)), "Unmapped")</f>
        <v>Sweden</v>
      </c>
      <c r="G4827" t="str">
        <f>IFERROR(INDEX(Region_Map[Region], MATCH(orders[[#This Row],[Customer_Country]], Region_Map[Country], 0)), "Unknown")</f>
        <v>Nordics</v>
      </c>
      <c r="H4827" t="s">
        <v>6949</v>
      </c>
    </row>
    <row r="4828" spans="1:8">
      <c r="A4828" t="s">
        <v>5724</v>
      </c>
      <c r="B4828" t="s">
        <v>605</v>
      </c>
      <c r="C4828" s="1">
        <v>45021</v>
      </c>
      <c r="D4828" s="1" t="str">
        <f>PROPER(orders[[#This Row],[order_priority]])</f>
        <v>Same Day</v>
      </c>
      <c r="E4828" t="s">
        <v>13322</v>
      </c>
      <c r="F4828" t="str">
        <f>IFERROR(INDEX(customers[country], MATCH(orders[[#This Row],[customer_id]], customers[customer_id], 0)), "Unmapped")</f>
        <v>Lithuania</v>
      </c>
      <c r="G4828" t="str">
        <f>IFERROR(INDEX(Region_Map[Region], MATCH(orders[[#This Row],[Customer_Country]], Region_Map[Country], 0)), "Unknown")</f>
        <v>Baltics</v>
      </c>
      <c r="H4828" t="s">
        <v>6949</v>
      </c>
    </row>
    <row r="4829" spans="1:8">
      <c r="A4829" t="s">
        <v>5725</v>
      </c>
      <c r="B4829" t="s">
        <v>154</v>
      </c>
      <c r="C4829" s="1">
        <v>45372</v>
      </c>
      <c r="D4829" s="1" t="str">
        <f>PROPER(orders[[#This Row],[order_priority]])</f>
        <v>Standard</v>
      </c>
      <c r="E4829" t="s">
        <v>13317</v>
      </c>
      <c r="F4829" t="str">
        <f>IFERROR(INDEX(customers[country], MATCH(orders[[#This Row],[customer_id]], customers[customer_id], 0)), "Unmapped")</f>
        <v>Lithuania</v>
      </c>
      <c r="G4829" t="str">
        <f>IFERROR(INDEX(Region_Map[Region], MATCH(orders[[#This Row],[Customer_Country]], Region_Map[Country], 0)), "Unknown")</f>
        <v>Baltics</v>
      </c>
      <c r="H4829" t="s">
        <v>6949</v>
      </c>
    </row>
    <row r="4830" spans="1:8">
      <c r="A4830" t="s">
        <v>5726</v>
      </c>
      <c r="B4830" t="s">
        <v>670</v>
      </c>
      <c r="C4830" s="1">
        <v>45242</v>
      </c>
      <c r="D4830" s="1" t="str">
        <f>PROPER(orders[[#This Row],[order_priority]])</f>
        <v>Same Day</v>
      </c>
      <c r="E4830" t="s">
        <v>13322</v>
      </c>
      <c r="F4830" t="str">
        <f>IFERROR(INDEX(customers[country], MATCH(orders[[#This Row],[customer_id]], customers[customer_id], 0)), "Unmapped")</f>
        <v>Netherlands</v>
      </c>
      <c r="G4830" t="str">
        <f>IFERROR(INDEX(Region_Map[Region], MATCH(orders[[#This Row],[Customer_Country]], Region_Map[Country], 0)), "Unknown")</f>
        <v>Central Europe</v>
      </c>
      <c r="H4830" t="s">
        <v>6949</v>
      </c>
    </row>
    <row r="4831" spans="1:8">
      <c r="A4831" t="s">
        <v>5727</v>
      </c>
      <c r="B4831" t="s">
        <v>386</v>
      </c>
      <c r="C4831" s="1">
        <v>45147</v>
      </c>
      <c r="D4831" s="1" t="str">
        <f>PROPER(orders[[#This Row],[order_priority]])</f>
        <v>Standard</v>
      </c>
      <c r="E4831" t="s">
        <v>13323</v>
      </c>
      <c r="F4831" t="str">
        <f>IFERROR(INDEX(customers[country], MATCH(orders[[#This Row],[customer_id]], customers[customer_id], 0)), "Unmapped")</f>
        <v>Germany</v>
      </c>
      <c r="G4831" t="str">
        <f>IFERROR(INDEX(Region_Map[Region], MATCH(orders[[#This Row],[Customer_Country]], Region_Map[Country], 0)), "Unknown")</f>
        <v>Central Europe</v>
      </c>
      <c r="H4831" t="s">
        <v>6949</v>
      </c>
    </row>
    <row r="4832" spans="1:8">
      <c r="A4832" t="s">
        <v>5728</v>
      </c>
      <c r="B4832" t="s">
        <v>102</v>
      </c>
      <c r="C4832" s="1">
        <v>45328</v>
      </c>
      <c r="D4832" s="1" t="str">
        <f>PROPER(orders[[#This Row],[order_priority]])</f>
        <v>Express</v>
      </c>
      <c r="E4832" t="s">
        <v>13318</v>
      </c>
      <c r="F4832" t="str">
        <f>IFERROR(INDEX(customers[country], MATCH(orders[[#This Row],[customer_id]], customers[customer_id], 0)), "Unmapped")</f>
        <v>Denmark</v>
      </c>
      <c r="G4832" t="str">
        <f>IFERROR(INDEX(Region_Map[Region], MATCH(orders[[#This Row],[Customer_Country]], Region_Map[Country], 0)), "Unknown")</f>
        <v>Nordics</v>
      </c>
      <c r="H4832" t="s">
        <v>6949</v>
      </c>
    </row>
    <row r="4833" spans="1:8">
      <c r="A4833" t="s">
        <v>5729</v>
      </c>
      <c r="B4833" t="s">
        <v>380</v>
      </c>
      <c r="C4833" s="1">
        <v>45258</v>
      </c>
      <c r="D4833" s="1" t="str">
        <f>PROPER(orders[[#This Row],[order_priority]])</f>
        <v>Standard</v>
      </c>
      <c r="E4833" t="s">
        <v>13317</v>
      </c>
      <c r="F4833" t="str">
        <f>IFERROR(INDEX(customers[country], MATCH(orders[[#This Row],[customer_id]], customers[customer_id], 0)), "Unmapped")</f>
        <v>Sweden</v>
      </c>
      <c r="G4833" t="str">
        <f>IFERROR(INDEX(Region_Map[Region], MATCH(orders[[#This Row],[Customer_Country]], Region_Map[Country], 0)), "Unknown")</f>
        <v>Nordics</v>
      </c>
      <c r="H4833" t="s">
        <v>6949</v>
      </c>
    </row>
    <row r="4834" spans="1:8">
      <c r="A4834" t="s">
        <v>5730</v>
      </c>
      <c r="B4834" t="s">
        <v>99</v>
      </c>
      <c r="C4834" s="1">
        <v>45227</v>
      </c>
      <c r="D4834" s="1" t="str">
        <f>PROPER(orders[[#This Row],[order_priority]])</f>
        <v>Same Day</v>
      </c>
      <c r="E4834" t="s">
        <v>13322</v>
      </c>
      <c r="F4834" t="str">
        <f>IFERROR(INDEX(customers[country], MATCH(orders[[#This Row],[customer_id]], customers[customer_id], 0)), "Unmapped")</f>
        <v>Poland</v>
      </c>
      <c r="G4834" t="str">
        <f>IFERROR(INDEX(Region_Map[Region], MATCH(orders[[#This Row],[Customer_Country]], Region_Map[Country], 0)), "Unknown")</f>
        <v>Central Europe</v>
      </c>
      <c r="H4834" t="s">
        <v>6949</v>
      </c>
    </row>
    <row r="4835" spans="1:8">
      <c r="A4835" t="s">
        <v>5731</v>
      </c>
      <c r="B4835" t="s">
        <v>458</v>
      </c>
      <c r="C4835" s="1">
        <v>45068</v>
      </c>
      <c r="D4835" s="1" t="str">
        <f>PROPER(orders[[#This Row],[order_priority]])</f>
        <v>Standard</v>
      </c>
      <c r="E4835" t="s">
        <v>13317</v>
      </c>
      <c r="F4835" t="str">
        <f>IFERROR(INDEX(customers[country], MATCH(orders[[#This Row],[customer_id]], customers[customer_id], 0)), "Unmapped")</f>
        <v>Poland</v>
      </c>
      <c r="G4835" t="str">
        <f>IFERROR(INDEX(Region_Map[Region], MATCH(orders[[#This Row],[Customer_Country]], Region_Map[Country], 0)), "Unknown")</f>
        <v>Central Europe</v>
      </c>
      <c r="H4835" t="s">
        <v>6949</v>
      </c>
    </row>
    <row r="4836" spans="1:8">
      <c r="A4836" t="s">
        <v>5732</v>
      </c>
      <c r="B4836" t="s">
        <v>115</v>
      </c>
      <c r="C4836" s="1">
        <v>45026</v>
      </c>
      <c r="D4836" s="1" t="str">
        <f>PROPER(orders[[#This Row],[order_priority]])</f>
        <v>Standard</v>
      </c>
      <c r="E4836" t="s">
        <v>13317</v>
      </c>
      <c r="F4836" t="str">
        <f>IFERROR(INDEX(customers[country], MATCH(orders[[#This Row],[customer_id]], customers[customer_id], 0)), "Unmapped")</f>
        <v>Finland</v>
      </c>
      <c r="G4836" t="str">
        <f>IFERROR(INDEX(Region_Map[Region], MATCH(orders[[#This Row],[Customer_Country]], Region_Map[Country], 0)), "Unknown")</f>
        <v>Nordics</v>
      </c>
      <c r="H4836" t="s">
        <v>6949</v>
      </c>
    </row>
    <row r="4837" spans="1:8">
      <c r="A4837" t="s">
        <v>5733</v>
      </c>
      <c r="B4837" t="s">
        <v>527</v>
      </c>
      <c r="C4837" s="1">
        <v>45065</v>
      </c>
      <c r="D4837" s="1" t="str">
        <f>PROPER(orders[[#This Row],[order_priority]])</f>
        <v>Same Day</v>
      </c>
      <c r="E4837" t="s">
        <v>13322</v>
      </c>
      <c r="F4837" t="str">
        <f>IFERROR(INDEX(customers[country], MATCH(orders[[#This Row],[customer_id]], customers[customer_id], 0)), "Unmapped")</f>
        <v>Sweden</v>
      </c>
      <c r="G4837" t="str">
        <f>IFERROR(INDEX(Region_Map[Region], MATCH(orders[[#This Row],[Customer_Country]], Region_Map[Country], 0)), "Unknown")</f>
        <v>Nordics</v>
      </c>
      <c r="H4837" t="s">
        <v>6949</v>
      </c>
    </row>
    <row r="4838" spans="1:8">
      <c r="A4838" t="s">
        <v>5734</v>
      </c>
      <c r="B4838" t="s">
        <v>30</v>
      </c>
      <c r="C4838" s="1">
        <v>45185</v>
      </c>
      <c r="D4838" s="1" t="str">
        <f>PROPER(orders[[#This Row],[order_priority]])</f>
        <v>Express</v>
      </c>
      <c r="E4838" t="s">
        <v>13318</v>
      </c>
      <c r="F4838" t="str">
        <f>IFERROR(INDEX(customers[country], MATCH(orders[[#This Row],[customer_id]], customers[customer_id], 0)), "Unmapped")</f>
        <v>Netherlands</v>
      </c>
      <c r="G4838" t="str">
        <f>IFERROR(INDEX(Region_Map[Region], MATCH(orders[[#This Row],[Customer_Country]], Region_Map[Country], 0)), "Unknown")</f>
        <v>Central Europe</v>
      </c>
      <c r="H4838" t="s">
        <v>6949</v>
      </c>
    </row>
    <row r="4839" spans="1:8">
      <c r="A4839" t="s">
        <v>5735</v>
      </c>
      <c r="B4839" t="s">
        <v>766</v>
      </c>
      <c r="C4839" s="1">
        <v>45512</v>
      </c>
      <c r="D4839" s="1" t="str">
        <f>PROPER(orders[[#This Row],[order_priority]])</f>
        <v>Same Day</v>
      </c>
      <c r="E4839" t="s">
        <v>13322</v>
      </c>
      <c r="F4839" t="str">
        <f>IFERROR(INDEX(customers[country], MATCH(orders[[#This Row],[customer_id]], customers[customer_id], 0)), "Unmapped")</f>
        <v>Germany</v>
      </c>
      <c r="G4839" t="str">
        <f>IFERROR(INDEX(Region_Map[Region], MATCH(orders[[#This Row],[Customer_Country]], Region_Map[Country], 0)), "Unknown")</f>
        <v>Central Europe</v>
      </c>
      <c r="H4839" t="s">
        <v>6949</v>
      </c>
    </row>
    <row r="4840" spans="1:8">
      <c r="A4840" t="s">
        <v>5736</v>
      </c>
      <c r="B4840" t="s">
        <v>593</v>
      </c>
      <c r="C4840" s="1">
        <v>45109</v>
      </c>
      <c r="D4840" s="1" t="str">
        <f>PROPER(orders[[#This Row],[order_priority]])</f>
        <v>Standard</v>
      </c>
      <c r="E4840" t="s">
        <v>13317</v>
      </c>
      <c r="F4840" t="str">
        <f>IFERROR(INDEX(customers[country], MATCH(orders[[#This Row],[customer_id]], customers[customer_id], 0)), "Unmapped")</f>
        <v>Estonia</v>
      </c>
      <c r="G4840" t="str">
        <f>IFERROR(INDEX(Region_Map[Region], MATCH(orders[[#This Row],[Customer_Country]], Region_Map[Country], 0)), "Unknown")</f>
        <v>Baltics</v>
      </c>
      <c r="H4840" t="s">
        <v>6949</v>
      </c>
    </row>
    <row r="4841" spans="1:8">
      <c r="A4841" t="s">
        <v>5737</v>
      </c>
      <c r="B4841" t="s">
        <v>303</v>
      </c>
      <c r="C4841" s="1">
        <v>45227</v>
      </c>
      <c r="D4841" s="1" t="str">
        <f>PROPER(orders[[#This Row],[order_priority]])</f>
        <v>Express</v>
      </c>
      <c r="E4841" t="s">
        <v>13318</v>
      </c>
      <c r="F4841" t="str">
        <f>IFERROR(INDEX(customers[country], MATCH(orders[[#This Row],[customer_id]], customers[customer_id], 0)), "Unmapped")</f>
        <v>Netherlands</v>
      </c>
      <c r="G4841" t="str">
        <f>IFERROR(INDEX(Region_Map[Region], MATCH(orders[[#This Row],[Customer_Country]], Region_Map[Country], 0)), "Unknown")</f>
        <v>Central Europe</v>
      </c>
      <c r="H4841" t="s">
        <v>6949</v>
      </c>
    </row>
    <row r="4842" spans="1:8">
      <c r="A4842" t="s">
        <v>5738</v>
      </c>
      <c r="B4842" t="s">
        <v>386</v>
      </c>
      <c r="C4842" s="1">
        <v>45327</v>
      </c>
      <c r="D4842" s="1" t="str">
        <f>PROPER(orders[[#This Row],[order_priority]])</f>
        <v>Express</v>
      </c>
      <c r="E4842" t="s">
        <v>13318</v>
      </c>
      <c r="F4842" t="str">
        <f>IFERROR(INDEX(customers[country], MATCH(orders[[#This Row],[customer_id]], customers[customer_id], 0)), "Unmapped")</f>
        <v>Germany</v>
      </c>
      <c r="G4842" t="str">
        <f>IFERROR(INDEX(Region_Map[Region], MATCH(orders[[#This Row],[Customer_Country]], Region_Map[Country], 0)), "Unknown")</f>
        <v>Central Europe</v>
      </c>
      <c r="H4842" t="s">
        <v>6949</v>
      </c>
    </row>
    <row r="4843" spans="1:8">
      <c r="A4843" t="s">
        <v>5739</v>
      </c>
      <c r="B4843" t="s">
        <v>389</v>
      </c>
      <c r="C4843" s="1">
        <v>45126</v>
      </c>
      <c r="D4843" s="1" t="str">
        <f>PROPER(orders[[#This Row],[order_priority]])</f>
        <v>Economy</v>
      </c>
      <c r="E4843" t="s">
        <v>13316</v>
      </c>
      <c r="F4843" t="str">
        <f>IFERROR(INDEX(customers[country], MATCH(orders[[#This Row],[customer_id]], customers[customer_id], 0)), "Unmapped")</f>
        <v>Poland</v>
      </c>
      <c r="G4843" t="str">
        <f>IFERROR(INDEX(Region_Map[Region], MATCH(orders[[#This Row],[Customer_Country]], Region_Map[Country], 0)), "Unknown")</f>
        <v>Central Europe</v>
      </c>
      <c r="H4843" t="s">
        <v>6949</v>
      </c>
    </row>
    <row r="4844" spans="1:8">
      <c r="A4844" t="s">
        <v>5740</v>
      </c>
      <c r="B4844" t="s">
        <v>811</v>
      </c>
      <c r="C4844" s="1">
        <v>45401</v>
      </c>
      <c r="D4844" s="1" t="str">
        <f>PROPER(orders[[#This Row],[order_priority]])</f>
        <v>Standard</v>
      </c>
      <c r="E4844" t="s">
        <v>13317</v>
      </c>
      <c r="F4844" t="str">
        <f>IFERROR(INDEX(customers[country], MATCH(orders[[#This Row],[customer_id]], customers[customer_id], 0)), "Unmapped")</f>
        <v>Finland</v>
      </c>
      <c r="G4844" t="str">
        <f>IFERROR(INDEX(Region_Map[Region], MATCH(orders[[#This Row],[Customer_Country]], Region_Map[Country], 0)), "Unknown")</f>
        <v>Nordics</v>
      </c>
      <c r="H4844" t="s">
        <v>6949</v>
      </c>
    </row>
    <row r="4845" spans="1:8">
      <c r="A4845" t="s">
        <v>5741</v>
      </c>
      <c r="B4845" t="s">
        <v>154</v>
      </c>
      <c r="C4845" s="1">
        <v>45325</v>
      </c>
      <c r="D4845" s="1" t="str">
        <f>PROPER(orders[[#This Row],[order_priority]])</f>
        <v>Same Day</v>
      </c>
      <c r="E4845" t="s">
        <v>13321</v>
      </c>
      <c r="F4845" t="str">
        <f>IFERROR(INDEX(customers[country], MATCH(orders[[#This Row],[customer_id]], customers[customer_id], 0)), "Unmapped")</f>
        <v>Lithuania</v>
      </c>
      <c r="G4845" t="str">
        <f>IFERROR(INDEX(Region_Map[Region], MATCH(orders[[#This Row],[Customer_Country]], Region_Map[Country], 0)), "Unknown")</f>
        <v>Baltics</v>
      </c>
      <c r="H4845" t="s">
        <v>6949</v>
      </c>
    </row>
    <row r="4846" spans="1:8">
      <c r="A4846" t="s">
        <v>5742</v>
      </c>
      <c r="B4846" t="s">
        <v>688</v>
      </c>
      <c r="C4846" s="1">
        <v>45265</v>
      </c>
      <c r="D4846" s="1" t="str">
        <f>PROPER(orders[[#This Row],[order_priority]])</f>
        <v>Express</v>
      </c>
      <c r="E4846" t="s">
        <v>13326</v>
      </c>
      <c r="F4846" t="str">
        <f>IFERROR(INDEX(customers[country], MATCH(orders[[#This Row],[customer_id]], customers[customer_id], 0)), "Unmapped")</f>
        <v>Norway</v>
      </c>
      <c r="G4846" t="str">
        <f>IFERROR(INDEX(Region_Map[Region], MATCH(orders[[#This Row],[Customer_Country]], Region_Map[Country], 0)), "Unknown")</f>
        <v>Nordics</v>
      </c>
      <c r="H4846" t="s">
        <v>6949</v>
      </c>
    </row>
    <row r="4847" spans="1:8">
      <c r="A4847" t="s">
        <v>5743</v>
      </c>
      <c r="B4847" t="s">
        <v>234</v>
      </c>
      <c r="C4847" s="1">
        <v>45131</v>
      </c>
      <c r="D4847" s="1" t="str">
        <f>PROPER(orders[[#This Row],[order_priority]])</f>
        <v>Standard</v>
      </c>
      <c r="E4847" t="s">
        <v>13317</v>
      </c>
      <c r="F4847" t="str">
        <f>IFERROR(INDEX(customers[country], MATCH(orders[[#This Row],[customer_id]], customers[customer_id], 0)), "Unmapped")</f>
        <v>Finland</v>
      </c>
      <c r="G4847" t="str">
        <f>IFERROR(INDEX(Region_Map[Region], MATCH(orders[[#This Row],[Customer_Country]], Region_Map[Country], 0)), "Unknown")</f>
        <v>Nordics</v>
      </c>
      <c r="H4847" t="s">
        <v>6949</v>
      </c>
    </row>
    <row r="4848" spans="1:8">
      <c r="A4848" t="s">
        <v>5744</v>
      </c>
      <c r="B4848" t="s">
        <v>840</v>
      </c>
      <c r="C4848" s="1">
        <v>45443</v>
      </c>
      <c r="D4848" s="1" t="str">
        <f>PROPER(orders[[#This Row],[order_priority]])</f>
        <v>Economy</v>
      </c>
      <c r="E4848" t="s">
        <v>13316</v>
      </c>
      <c r="F4848" t="str">
        <f>IFERROR(INDEX(customers[country], MATCH(orders[[#This Row],[customer_id]], customers[customer_id], 0)), "Unmapped")</f>
        <v>Finland</v>
      </c>
      <c r="G4848" t="str">
        <f>IFERROR(INDEX(Region_Map[Region], MATCH(orders[[#This Row],[Customer_Country]], Region_Map[Country], 0)), "Unknown")</f>
        <v>Nordics</v>
      </c>
      <c r="H4848" t="s">
        <v>6949</v>
      </c>
    </row>
    <row r="4849" spans="1:8">
      <c r="A4849" t="s">
        <v>5745</v>
      </c>
      <c r="B4849" t="s">
        <v>443</v>
      </c>
      <c r="C4849" s="1">
        <v>45419</v>
      </c>
      <c r="D4849" s="1" t="str">
        <f>PROPER(orders[[#This Row],[order_priority]])</f>
        <v>Express</v>
      </c>
      <c r="E4849" t="s">
        <v>13320</v>
      </c>
      <c r="F4849" t="str">
        <f>IFERROR(INDEX(customers[country], MATCH(orders[[#This Row],[customer_id]], customers[customer_id], 0)), "Unmapped")</f>
        <v>Estonia</v>
      </c>
      <c r="G4849" t="str">
        <f>IFERROR(INDEX(Region_Map[Region], MATCH(orders[[#This Row],[Customer_Country]], Region_Map[Country], 0)), "Unknown")</f>
        <v>Baltics</v>
      </c>
      <c r="H4849" t="s">
        <v>6949</v>
      </c>
    </row>
    <row r="4850" spans="1:8">
      <c r="A4850" t="s">
        <v>5746</v>
      </c>
      <c r="B4850" t="s">
        <v>743</v>
      </c>
      <c r="C4850" s="1">
        <v>44935</v>
      </c>
      <c r="D4850" s="1" t="str">
        <f>PROPER(orders[[#This Row],[order_priority]])</f>
        <v>Standard</v>
      </c>
      <c r="E4850" t="s">
        <v>13317</v>
      </c>
      <c r="F4850" t="str">
        <f>IFERROR(INDEX(customers[country], MATCH(orders[[#This Row],[customer_id]], customers[customer_id], 0)), "Unmapped")</f>
        <v>Germany</v>
      </c>
      <c r="G4850" t="str">
        <f>IFERROR(INDEX(Region_Map[Region], MATCH(orders[[#This Row],[Customer_Country]], Region_Map[Country], 0)), "Unknown")</f>
        <v>Central Europe</v>
      </c>
      <c r="H4850" t="s">
        <v>6949</v>
      </c>
    </row>
    <row r="4851" spans="1:8">
      <c r="A4851" t="s">
        <v>5747</v>
      </c>
      <c r="B4851" t="s">
        <v>219</v>
      </c>
      <c r="C4851" s="1">
        <v>45317</v>
      </c>
      <c r="D4851" s="1" t="str">
        <f>PROPER(orders[[#This Row],[order_priority]])</f>
        <v>Express</v>
      </c>
      <c r="E4851" t="s">
        <v>13318</v>
      </c>
      <c r="F4851" t="str">
        <f>IFERROR(INDEX(customers[country], MATCH(orders[[#This Row],[customer_id]], customers[customer_id], 0)), "Unmapped")</f>
        <v>Latvia</v>
      </c>
      <c r="G4851" t="str">
        <f>IFERROR(INDEX(Region_Map[Region], MATCH(orders[[#This Row],[Customer_Country]], Region_Map[Country], 0)), "Unknown")</f>
        <v>Baltics</v>
      </c>
      <c r="H4851" t="s">
        <v>6949</v>
      </c>
    </row>
    <row r="4852" spans="1:8">
      <c r="A4852" t="s">
        <v>5748</v>
      </c>
      <c r="B4852" t="s">
        <v>413</v>
      </c>
      <c r="C4852" s="1">
        <v>45605</v>
      </c>
      <c r="D4852" s="1" t="str">
        <f>PROPER(orders[[#This Row],[order_priority]])</f>
        <v>Same Day</v>
      </c>
      <c r="E4852" t="s">
        <v>13322</v>
      </c>
      <c r="F4852" t="str">
        <f>IFERROR(INDEX(customers[country], MATCH(orders[[#This Row],[customer_id]], customers[customer_id], 0)), "Unmapped")</f>
        <v>Poland</v>
      </c>
      <c r="G4852" t="str">
        <f>IFERROR(INDEX(Region_Map[Region], MATCH(orders[[#This Row],[Customer_Country]], Region_Map[Country], 0)), "Unknown")</f>
        <v>Central Europe</v>
      </c>
      <c r="H4852" t="s">
        <v>6949</v>
      </c>
    </row>
    <row r="4853" spans="1:8">
      <c r="A4853" t="s">
        <v>5749</v>
      </c>
      <c r="B4853" t="s">
        <v>273</v>
      </c>
      <c r="C4853" s="1">
        <v>44953</v>
      </c>
      <c r="D4853" s="1" t="str">
        <f>PROPER(orders[[#This Row],[order_priority]])</f>
        <v>Same Day</v>
      </c>
      <c r="E4853" t="s">
        <v>13322</v>
      </c>
      <c r="F4853" t="str">
        <f>IFERROR(INDEX(customers[country], MATCH(orders[[#This Row],[customer_id]], customers[customer_id], 0)), "Unmapped")</f>
        <v>Norway</v>
      </c>
      <c r="G4853" t="str">
        <f>IFERROR(INDEX(Region_Map[Region], MATCH(orders[[#This Row],[Customer_Country]], Region_Map[Country], 0)), "Unknown")</f>
        <v>Nordics</v>
      </c>
      <c r="H4853" t="s">
        <v>6949</v>
      </c>
    </row>
    <row r="4854" spans="1:8">
      <c r="A4854" t="s">
        <v>5750</v>
      </c>
      <c r="B4854" t="s">
        <v>172</v>
      </c>
      <c r="C4854" s="1">
        <v>45506</v>
      </c>
      <c r="D4854" s="1" t="str">
        <f>PROPER(orders[[#This Row],[order_priority]])</f>
        <v>Express</v>
      </c>
      <c r="E4854" t="s">
        <v>13318</v>
      </c>
      <c r="F4854" t="str">
        <f>IFERROR(INDEX(customers[country], MATCH(orders[[#This Row],[customer_id]], customers[customer_id], 0)), "Unmapped")</f>
        <v>Denmark</v>
      </c>
      <c r="G4854" t="str">
        <f>IFERROR(INDEX(Region_Map[Region], MATCH(orders[[#This Row],[Customer_Country]], Region_Map[Country], 0)), "Unknown")</f>
        <v>Nordics</v>
      </c>
      <c r="H4854" t="s">
        <v>6949</v>
      </c>
    </row>
    <row r="4855" spans="1:8">
      <c r="A4855" t="s">
        <v>5751</v>
      </c>
      <c r="B4855" t="s">
        <v>743</v>
      </c>
      <c r="C4855" s="1">
        <v>45594</v>
      </c>
      <c r="D4855" s="1" t="str">
        <f>PROPER(orders[[#This Row],[order_priority]])</f>
        <v>Express</v>
      </c>
      <c r="E4855" t="s">
        <v>13318</v>
      </c>
      <c r="F4855" t="str">
        <f>IFERROR(INDEX(customers[country], MATCH(orders[[#This Row],[customer_id]], customers[customer_id], 0)), "Unmapped")</f>
        <v>Germany</v>
      </c>
      <c r="G4855" t="str">
        <f>IFERROR(INDEX(Region_Map[Region], MATCH(orders[[#This Row],[Customer_Country]], Region_Map[Country], 0)), "Unknown")</f>
        <v>Central Europe</v>
      </c>
      <c r="H4855" t="s">
        <v>6949</v>
      </c>
    </row>
    <row r="4856" spans="1:8">
      <c r="A4856" t="s">
        <v>5752</v>
      </c>
      <c r="B4856" t="s">
        <v>297</v>
      </c>
      <c r="C4856" s="1">
        <v>45181</v>
      </c>
      <c r="D4856" s="1" t="str">
        <f>PROPER(orders[[#This Row],[order_priority]])</f>
        <v>Economy</v>
      </c>
      <c r="E4856" t="s">
        <v>13316</v>
      </c>
      <c r="F4856" t="str">
        <f>IFERROR(INDEX(customers[country], MATCH(orders[[#This Row],[customer_id]], customers[customer_id], 0)), "Unmapped")</f>
        <v>Poland</v>
      </c>
      <c r="G4856" t="str">
        <f>IFERROR(INDEX(Region_Map[Region], MATCH(orders[[#This Row],[Customer_Country]], Region_Map[Country], 0)), "Unknown")</f>
        <v>Central Europe</v>
      </c>
      <c r="H4856" t="s">
        <v>6949</v>
      </c>
    </row>
    <row r="4857" spans="1:8">
      <c r="A4857" t="s">
        <v>5753</v>
      </c>
      <c r="B4857" t="s">
        <v>163</v>
      </c>
      <c r="C4857" s="1">
        <v>45564</v>
      </c>
      <c r="D4857" s="1" t="str">
        <f>PROPER(orders[[#This Row],[order_priority]])</f>
        <v>Economy</v>
      </c>
      <c r="E4857" t="s">
        <v>13325</v>
      </c>
      <c r="F4857" t="str">
        <f>IFERROR(INDEX(customers[country], MATCH(orders[[#This Row],[customer_id]], customers[customer_id], 0)), "Unmapped")</f>
        <v>Germany</v>
      </c>
      <c r="G4857" t="str">
        <f>IFERROR(INDEX(Region_Map[Region], MATCH(orders[[#This Row],[Customer_Country]], Region_Map[Country], 0)), "Unknown")</f>
        <v>Central Europe</v>
      </c>
      <c r="H4857" t="s">
        <v>6949</v>
      </c>
    </row>
    <row r="4858" spans="1:8">
      <c r="A4858" t="s">
        <v>5754</v>
      </c>
      <c r="B4858" t="s">
        <v>279</v>
      </c>
      <c r="C4858" s="1">
        <v>45032</v>
      </c>
      <c r="D4858" s="1" t="str">
        <f>PROPER(orders[[#This Row],[order_priority]])</f>
        <v>Standard</v>
      </c>
      <c r="E4858" t="s">
        <v>13317</v>
      </c>
      <c r="F4858" t="str">
        <f>IFERROR(INDEX(customers[country], MATCH(orders[[#This Row],[customer_id]], customers[customer_id], 0)), "Unmapped")</f>
        <v>Germany</v>
      </c>
      <c r="G4858" t="str">
        <f>IFERROR(INDEX(Region_Map[Region], MATCH(orders[[#This Row],[Customer_Country]], Region_Map[Country], 0)), "Unknown")</f>
        <v>Central Europe</v>
      </c>
      <c r="H4858" t="s">
        <v>6949</v>
      </c>
    </row>
    <row r="4859" spans="1:8">
      <c r="A4859" t="s">
        <v>5755</v>
      </c>
      <c r="B4859" t="s">
        <v>718</v>
      </c>
      <c r="C4859" s="1">
        <v>45290</v>
      </c>
      <c r="D4859" s="1" t="str">
        <f>PROPER(orders[[#This Row],[order_priority]])</f>
        <v>Economy</v>
      </c>
      <c r="E4859" t="s">
        <v>13328</v>
      </c>
      <c r="F4859" t="str">
        <f>IFERROR(INDEX(customers[country], MATCH(orders[[#This Row],[customer_id]], customers[customer_id], 0)), "Unmapped")</f>
        <v>Netherlands</v>
      </c>
      <c r="G4859" t="str">
        <f>IFERROR(INDEX(Region_Map[Region], MATCH(orders[[#This Row],[Customer_Country]], Region_Map[Country], 0)), "Unknown")</f>
        <v>Central Europe</v>
      </c>
      <c r="H4859" t="s">
        <v>6949</v>
      </c>
    </row>
    <row r="4860" spans="1:8">
      <c r="A4860" t="s">
        <v>5756</v>
      </c>
      <c r="B4860" t="s">
        <v>323</v>
      </c>
      <c r="C4860" s="1">
        <v>45581</v>
      </c>
      <c r="D4860" s="1" t="str">
        <f>PROPER(orders[[#This Row],[order_priority]])</f>
        <v>Economy</v>
      </c>
      <c r="E4860" t="s">
        <v>13316</v>
      </c>
      <c r="F4860" t="str">
        <f>IFERROR(INDEX(customers[country], MATCH(orders[[#This Row],[customer_id]], customers[customer_id], 0)), "Unmapped")</f>
        <v>Estonia</v>
      </c>
      <c r="G4860" t="str">
        <f>IFERROR(INDEX(Region_Map[Region], MATCH(orders[[#This Row],[Customer_Country]], Region_Map[Country], 0)), "Unknown")</f>
        <v>Baltics</v>
      </c>
      <c r="H4860" t="s">
        <v>6949</v>
      </c>
    </row>
    <row r="4861" spans="1:8">
      <c r="A4861" t="s">
        <v>5757</v>
      </c>
      <c r="B4861" t="s">
        <v>6949</v>
      </c>
      <c r="C4861" s="1">
        <v>45038</v>
      </c>
      <c r="D4861" s="1" t="str">
        <f>PROPER(orders[[#This Row],[order_priority]])</f>
        <v>Standard</v>
      </c>
      <c r="E4861" t="s">
        <v>13317</v>
      </c>
      <c r="F4861" t="str">
        <f>IFERROR(INDEX(customers[country], MATCH(orders[[#This Row],[customer_id]], customers[customer_id], 0)), "Unmapped")</f>
        <v>Unmapped</v>
      </c>
      <c r="G4861" t="str">
        <f>IFERROR(INDEX(Region_Map[Region], MATCH(orders[[#This Row],[Customer_Country]], Region_Map[Country], 0)), "Unknown")</f>
        <v>Unknown</v>
      </c>
      <c r="H4861" t="s">
        <v>6949</v>
      </c>
    </row>
    <row r="4862" spans="1:8">
      <c r="A4862" t="s">
        <v>5758</v>
      </c>
      <c r="B4862" t="s">
        <v>58</v>
      </c>
      <c r="C4862" s="1">
        <v>45046</v>
      </c>
      <c r="D4862" s="1" t="str">
        <f>PROPER(orders[[#This Row],[order_priority]])</f>
        <v>Economy</v>
      </c>
      <c r="E4862" t="s">
        <v>13316</v>
      </c>
      <c r="F4862" t="str">
        <f>IFERROR(INDEX(customers[country], MATCH(orders[[#This Row],[customer_id]], customers[customer_id], 0)), "Unmapped")</f>
        <v>Germany</v>
      </c>
      <c r="G4862" t="str">
        <f>IFERROR(INDEX(Region_Map[Region], MATCH(orders[[#This Row],[Customer_Country]], Region_Map[Country], 0)), "Unknown")</f>
        <v>Central Europe</v>
      </c>
      <c r="H4862" t="s">
        <v>6949</v>
      </c>
    </row>
    <row r="4863" spans="1:8">
      <c r="A4863" t="s">
        <v>5759</v>
      </c>
      <c r="B4863" t="s">
        <v>506</v>
      </c>
      <c r="C4863" s="1">
        <v>45526</v>
      </c>
      <c r="D4863" s="1" t="str">
        <f>PROPER(orders[[#This Row],[order_priority]])</f>
        <v>Same Day</v>
      </c>
      <c r="E4863" t="s">
        <v>13322</v>
      </c>
      <c r="F4863" t="str">
        <f>IFERROR(INDEX(customers[country], MATCH(orders[[#This Row],[customer_id]], customers[customer_id], 0)), "Unmapped")</f>
        <v>Poland</v>
      </c>
      <c r="G4863" t="str">
        <f>IFERROR(INDEX(Region_Map[Region], MATCH(orders[[#This Row],[Customer_Country]], Region_Map[Country], 0)), "Unknown")</f>
        <v>Central Europe</v>
      </c>
      <c r="H4863" t="s">
        <v>6949</v>
      </c>
    </row>
    <row r="4864" spans="1:8">
      <c r="A4864" t="s">
        <v>5760</v>
      </c>
      <c r="B4864" t="s">
        <v>557</v>
      </c>
      <c r="C4864" s="1">
        <v>45335</v>
      </c>
      <c r="D4864" s="1" t="str">
        <f>PROPER(orders[[#This Row],[order_priority]])</f>
        <v>Express</v>
      </c>
      <c r="E4864" t="s">
        <v>13318</v>
      </c>
      <c r="F4864" t="str">
        <f>IFERROR(INDEX(customers[country], MATCH(orders[[#This Row],[customer_id]], customers[customer_id], 0)), "Unmapped")</f>
        <v>Norway</v>
      </c>
      <c r="G4864" t="str">
        <f>IFERROR(INDEX(Region_Map[Region], MATCH(orders[[#This Row],[Customer_Country]], Region_Map[Country], 0)), "Unknown")</f>
        <v>Nordics</v>
      </c>
      <c r="H4864" t="s">
        <v>6949</v>
      </c>
    </row>
    <row r="4865" spans="1:8">
      <c r="A4865" t="s">
        <v>5761</v>
      </c>
      <c r="B4865" t="s">
        <v>569</v>
      </c>
      <c r="C4865" s="1">
        <v>45178</v>
      </c>
      <c r="D4865" s="1" t="str">
        <f>PROPER(orders[[#This Row],[order_priority]])</f>
        <v>Standard</v>
      </c>
      <c r="E4865" t="s">
        <v>13317</v>
      </c>
      <c r="F4865" t="str">
        <f>IFERROR(INDEX(customers[country], MATCH(orders[[#This Row],[customer_id]], customers[customer_id], 0)), "Unmapped")</f>
        <v>Estonia</v>
      </c>
      <c r="G4865" t="str">
        <f>IFERROR(INDEX(Region_Map[Region], MATCH(orders[[#This Row],[Customer_Country]], Region_Map[Country], 0)), "Unknown")</f>
        <v>Baltics</v>
      </c>
      <c r="H4865" t="s">
        <v>6949</v>
      </c>
    </row>
    <row r="4866" spans="1:8">
      <c r="A4866" t="s">
        <v>5762</v>
      </c>
      <c r="B4866" t="s">
        <v>264</v>
      </c>
      <c r="C4866" s="1">
        <v>45397</v>
      </c>
      <c r="D4866" s="1" t="str">
        <f>PROPER(orders[[#This Row],[order_priority]])</f>
        <v>Express</v>
      </c>
      <c r="E4866" t="s">
        <v>13318</v>
      </c>
      <c r="F4866" t="str">
        <f>IFERROR(INDEX(customers[country], MATCH(orders[[#This Row],[customer_id]], customers[customer_id], 0)), "Unmapped")</f>
        <v>Germany</v>
      </c>
      <c r="G4866" t="str">
        <f>IFERROR(INDEX(Region_Map[Region], MATCH(orders[[#This Row],[Customer_Country]], Region_Map[Country], 0)), "Unknown")</f>
        <v>Central Europe</v>
      </c>
      <c r="H4866" t="s">
        <v>6949</v>
      </c>
    </row>
    <row r="4867" spans="1:8">
      <c r="A4867" t="s">
        <v>5763</v>
      </c>
      <c r="B4867" t="s">
        <v>178</v>
      </c>
      <c r="C4867" s="1">
        <v>45311</v>
      </c>
      <c r="D4867" s="1" t="str">
        <f>PROPER(orders[[#This Row],[order_priority]])</f>
        <v>Same Day</v>
      </c>
      <c r="E4867" t="s">
        <v>13322</v>
      </c>
      <c r="F4867" t="str">
        <f>IFERROR(INDEX(customers[country], MATCH(orders[[#This Row],[customer_id]], customers[customer_id], 0)), "Unmapped")</f>
        <v>Poland</v>
      </c>
      <c r="G4867" t="str">
        <f>IFERROR(INDEX(Region_Map[Region], MATCH(orders[[#This Row],[Customer_Country]], Region_Map[Country], 0)), "Unknown")</f>
        <v>Central Europe</v>
      </c>
      <c r="H4867" t="s">
        <v>6949</v>
      </c>
    </row>
    <row r="4868" spans="1:8">
      <c r="A4868" t="s">
        <v>5764</v>
      </c>
      <c r="B4868" t="s">
        <v>458</v>
      </c>
      <c r="C4868" s="1">
        <v>44985</v>
      </c>
      <c r="D4868" s="1" t="str">
        <f>PROPER(orders[[#This Row],[order_priority]])</f>
        <v>Same Day</v>
      </c>
      <c r="E4868" t="s">
        <v>13322</v>
      </c>
      <c r="F4868" t="str">
        <f>IFERROR(INDEX(customers[country], MATCH(orders[[#This Row],[customer_id]], customers[customer_id], 0)), "Unmapped")</f>
        <v>Poland</v>
      </c>
      <c r="G4868" t="str">
        <f>IFERROR(INDEX(Region_Map[Region], MATCH(orders[[#This Row],[Customer_Country]], Region_Map[Country], 0)), "Unknown")</f>
        <v>Central Europe</v>
      </c>
      <c r="H4868" t="s">
        <v>6949</v>
      </c>
    </row>
    <row r="4869" spans="1:8">
      <c r="A4869" t="s">
        <v>5765</v>
      </c>
      <c r="B4869" t="s">
        <v>13360</v>
      </c>
      <c r="C4869" s="1">
        <v>44973</v>
      </c>
      <c r="D4869" s="1" t="str">
        <f>PROPER(orders[[#This Row],[order_priority]])</f>
        <v>Express</v>
      </c>
      <c r="E4869" t="s">
        <v>13318</v>
      </c>
      <c r="F4869" t="str">
        <f>IFERROR(INDEX(customers[country], MATCH(orders[[#This Row],[customer_id]], customers[customer_id], 0)), "Unmapped")</f>
        <v>Unmapped</v>
      </c>
      <c r="G4869" t="str">
        <f>IFERROR(INDEX(Region_Map[Region], MATCH(orders[[#This Row],[Customer_Country]], Region_Map[Country], 0)), "Unknown")</f>
        <v>Unknown</v>
      </c>
      <c r="H4869" t="s">
        <v>6949</v>
      </c>
    </row>
    <row r="4870" spans="1:8">
      <c r="A4870" t="s">
        <v>5766</v>
      </c>
      <c r="B4870" t="s">
        <v>13349</v>
      </c>
      <c r="C4870" s="1">
        <v>45168</v>
      </c>
      <c r="D4870" s="1" t="str">
        <f>PROPER(orders[[#This Row],[order_priority]])</f>
        <v>Economy</v>
      </c>
      <c r="E4870" t="s">
        <v>13316</v>
      </c>
      <c r="F4870" t="str">
        <f>IFERROR(INDEX(customers[country], MATCH(orders[[#This Row],[customer_id]], customers[customer_id], 0)), "Unmapped")</f>
        <v>Unmapped</v>
      </c>
      <c r="G4870" t="str">
        <f>IFERROR(INDEX(Region_Map[Region], MATCH(orders[[#This Row],[Customer_Country]], Region_Map[Country], 0)), "Unknown")</f>
        <v>Unknown</v>
      </c>
      <c r="H4870" t="s">
        <v>6949</v>
      </c>
    </row>
    <row r="4871" spans="1:8">
      <c r="A4871" t="s">
        <v>5767</v>
      </c>
      <c r="B4871" t="s">
        <v>897</v>
      </c>
      <c r="C4871" s="1">
        <v>45623</v>
      </c>
      <c r="D4871" s="1" t="str">
        <f>PROPER(orders[[#This Row],[order_priority]])</f>
        <v>Express</v>
      </c>
      <c r="E4871" t="s">
        <v>13318</v>
      </c>
      <c r="F4871" t="str">
        <f>IFERROR(INDEX(customers[country], MATCH(orders[[#This Row],[customer_id]], customers[customer_id], 0)), "Unmapped")</f>
        <v>Netherlands</v>
      </c>
      <c r="G4871" t="str">
        <f>IFERROR(INDEX(Region_Map[Region], MATCH(orders[[#This Row],[Customer_Country]], Region_Map[Country], 0)), "Unknown")</f>
        <v>Central Europe</v>
      </c>
      <c r="H4871" t="s">
        <v>6949</v>
      </c>
    </row>
    <row r="4872" spans="1:8">
      <c r="A4872" t="s">
        <v>5768</v>
      </c>
      <c r="B4872" t="s">
        <v>359</v>
      </c>
      <c r="C4872" s="1">
        <v>45268</v>
      </c>
      <c r="D4872" s="1" t="str">
        <f>PROPER(orders[[#This Row],[order_priority]])</f>
        <v>Standard</v>
      </c>
      <c r="E4872" t="s">
        <v>13319</v>
      </c>
      <c r="F4872" t="str">
        <f>IFERROR(INDEX(customers[country], MATCH(orders[[#This Row],[customer_id]], customers[customer_id], 0)), "Unmapped")</f>
        <v>Estonia</v>
      </c>
      <c r="G4872" t="str">
        <f>IFERROR(INDEX(Region_Map[Region], MATCH(orders[[#This Row],[Customer_Country]], Region_Map[Country], 0)), "Unknown")</f>
        <v>Baltics</v>
      </c>
      <c r="H4872" t="s">
        <v>6949</v>
      </c>
    </row>
    <row r="4873" spans="1:8">
      <c r="A4873" t="s">
        <v>5769</v>
      </c>
      <c r="B4873" t="s">
        <v>658</v>
      </c>
      <c r="C4873" s="1">
        <v>45467</v>
      </c>
      <c r="D4873" s="1" t="str">
        <f>PROPER(orders[[#This Row],[order_priority]])</f>
        <v>Standard</v>
      </c>
      <c r="E4873" t="s">
        <v>13317</v>
      </c>
      <c r="F4873" t="str">
        <f>IFERROR(INDEX(customers[country], MATCH(orders[[#This Row],[customer_id]], customers[customer_id], 0)), "Unmapped")</f>
        <v>Latvia</v>
      </c>
      <c r="G4873" t="str">
        <f>IFERROR(INDEX(Region_Map[Region], MATCH(orders[[#This Row],[Customer_Country]], Region_Map[Country], 0)), "Unknown")</f>
        <v>Baltics</v>
      </c>
      <c r="H4873" t="s">
        <v>6949</v>
      </c>
    </row>
    <row r="4874" spans="1:8">
      <c r="A4874" t="s">
        <v>5770</v>
      </c>
      <c r="B4874" t="s">
        <v>476</v>
      </c>
      <c r="C4874" s="1">
        <v>45282</v>
      </c>
      <c r="D4874" s="1" t="str">
        <f>PROPER(orders[[#This Row],[order_priority]])</f>
        <v>Express</v>
      </c>
      <c r="E4874" t="s">
        <v>13318</v>
      </c>
      <c r="F4874" t="str">
        <f>IFERROR(INDEX(customers[country], MATCH(orders[[#This Row],[customer_id]], customers[customer_id], 0)), "Unmapped")</f>
        <v>Norway</v>
      </c>
      <c r="G4874" t="str">
        <f>IFERROR(INDEX(Region_Map[Region], MATCH(orders[[#This Row],[Customer_Country]], Region_Map[Country], 0)), "Unknown")</f>
        <v>Nordics</v>
      </c>
      <c r="H4874" t="s">
        <v>6949</v>
      </c>
    </row>
    <row r="4875" spans="1:8">
      <c r="A4875" t="s">
        <v>5771</v>
      </c>
      <c r="B4875" t="s">
        <v>148</v>
      </c>
      <c r="C4875" s="1">
        <v>45473</v>
      </c>
      <c r="D4875" s="1" t="str">
        <f>PROPER(orders[[#This Row],[order_priority]])</f>
        <v>Express</v>
      </c>
      <c r="E4875" t="s">
        <v>13318</v>
      </c>
      <c r="F4875" t="str">
        <f>IFERROR(INDEX(customers[country], MATCH(orders[[#This Row],[customer_id]], customers[customer_id], 0)), "Unmapped")</f>
        <v>Poland</v>
      </c>
      <c r="G4875" t="str">
        <f>IFERROR(INDEX(Region_Map[Region], MATCH(orders[[#This Row],[Customer_Country]], Region_Map[Country], 0)), "Unknown")</f>
        <v>Central Europe</v>
      </c>
      <c r="H4875" t="s">
        <v>6949</v>
      </c>
    </row>
    <row r="4876" spans="1:8">
      <c r="A4876" t="s">
        <v>5772</v>
      </c>
      <c r="B4876" t="s">
        <v>362</v>
      </c>
      <c r="C4876" s="1">
        <v>45195</v>
      </c>
      <c r="D4876" s="1" t="str">
        <f>PROPER(orders[[#This Row],[order_priority]])</f>
        <v>Standard</v>
      </c>
      <c r="E4876" t="s">
        <v>13317</v>
      </c>
      <c r="F4876" t="str">
        <f>IFERROR(INDEX(customers[country], MATCH(orders[[#This Row],[customer_id]], customers[customer_id], 0)), "Unmapped")</f>
        <v>Denmark</v>
      </c>
      <c r="G4876" t="str">
        <f>IFERROR(INDEX(Region_Map[Region], MATCH(orders[[#This Row],[Customer_Country]], Region_Map[Country], 0)), "Unknown")</f>
        <v>Nordics</v>
      </c>
      <c r="H4876" t="s">
        <v>6949</v>
      </c>
    </row>
    <row r="4877" spans="1:8">
      <c r="A4877" t="s">
        <v>5773</v>
      </c>
      <c r="B4877" t="s">
        <v>61</v>
      </c>
      <c r="C4877" s="1">
        <v>44946</v>
      </c>
      <c r="D4877" s="1" t="str">
        <f>PROPER(orders[[#This Row],[order_priority]])</f>
        <v>Standard</v>
      </c>
      <c r="E4877" t="s">
        <v>13317</v>
      </c>
      <c r="F4877" t="str">
        <f>IFERROR(INDEX(customers[country], MATCH(orders[[#This Row],[customer_id]], customers[customer_id], 0)), "Unmapped")</f>
        <v>Netherlands</v>
      </c>
      <c r="G4877" t="str">
        <f>IFERROR(INDEX(Region_Map[Region], MATCH(orders[[#This Row],[Customer_Country]], Region_Map[Country], 0)), "Unknown")</f>
        <v>Central Europe</v>
      </c>
      <c r="H4877" t="s">
        <v>6949</v>
      </c>
    </row>
    <row r="4878" spans="1:8">
      <c r="A4878" t="s">
        <v>5774</v>
      </c>
      <c r="B4878" t="s">
        <v>187</v>
      </c>
      <c r="C4878" s="1">
        <v>45216</v>
      </c>
      <c r="D4878" s="1" t="str">
        <f>PROPER(orders[[#This Row],[order_priority]])</f>
        <v>Standard</v>
      </c>
      <c r="E4878" t="s">
        <v>13319</v>
      </c>
      <c r="F4878" t="str">
        <f>IFERROR(INDEX(customers[country], MATCH(orders[[#This Row],[customer_id]], customers[customer_id], 0)), "Unmapped")</f>
        <v>Latvia</v>
      </c>
      <c r="G4878" t="str">
        <f>IFERROR(INDEX(Region_Map[Region], MATCH(orders[[#This Row],[Customer_Country]], Region_Map[Country], 0)), "Unknown")</f>
        <v>Baltics</v>
      </c>
      <c r="H4878" t="s">
        <v>6949</v>
      </c>
    </row>
    <row r="4879" spans="1:8">
      <c r="A4879" t="s">
        <v>5775</v>
      </c>
      <c r="B4879" t="s">
        <v>551</v>
      </c>
      <c r="C4879" s="1">
        <v>44997</v>
      </c>
      <c r="D4879" s="1" t="str">
        <f>PROPER(orders[[#This Row],[order_priority]])</f>
        <v>Same Day</v>
      </c>
      <c r="E4879" t="s">
        <v>13322</v>
      </c>
      <c r="F4879" t="str">
        <f>IFERROR(INDEX(customers[country], MATCH(orders[[#This Row],[customer_id]], customers[customer_id], 0)), "Unmapped")</f>
        <v>Latvia</v>
      </c>
      <c r="G4879" t="str">
        <f>IFERROR(INDEX(Region_Map[Region], MATCH(orders[[#This Row],[Customer_Country]], Region_Map[Country], 0)), "Unknown")</f>
        <v>Baltics</v>
      </c>
      <c r="H4879" t="s">
        <v>6949</v>
      </c>
    </row>
    <row r="4880" spans="1:8">
      <c r="A4880" t="s">
        <v>5776</v>
      </c>
      <c r="B4880" t="s">
        <v>300</v>
      </c>
      <c r="C4880" s="1">
        <v>44960</v>
      </c>
      <c r="D4880" s="1" t="str">
        <f>PROPER(orders[[#This Row],[order_priority]])</f>
        <v>Same Day</v>
      </c>
      <c r="E4880" t="s">
        <v>13322</v>
      </c>
      <c r="F4880" t="str">
        <f>IFERROR(INDEX(customers[country], MATCH(orders[[#This Row],[customer_id]], customers[customer_id], 0)), "Unmapped")</f>
        <v>Poland</v>
      </c>
      <c r="G4880" t="str">
        <f>IFERROR(INDEX(Region_Map[Region], MATCH(orders[[#This Row],[Customer_Country]], Region_Map[Country], 0)), "Unknown")</f>
        <v>Central Europe</v>
      </c>
      <c r="H4880" t="s">
        <v>6949</v>
      </c>
    </row>
    <row r="4881" spans="1:8">
      <c r="A4881" t="s">
        <v>5777</v>
      </c>
      <c r="B4881" t="s">
        <v>706</v>
      </c>
      <c r="C4881" s="1">
        <v>45138</v>
      </c>
      <c r="D4881" s="1" t="str">
        <f>PROPER(orders[[#This Row],[order_priority]])</f>
        <v>Express</v>
      </c>
      <c r="E4881" t="s">
        <v>13318</v>
      </c>
      <c r="F4881" t="str">
        <f>IFERROR(INDEX(customers[country], MATCH(orders[[#This Row],[customer_id]], customers[customer_id], 0)), "Unmapped")</f>
        <v>Latvia</v>
      </c>
      <c r="G4881" t="str">
        <f>IFERROR(INDEX(Region_Map[Region], MATCH(orders[[#This Row],[Customer_Country]], Region_Map[Country], 0)), "Unknown")</f>
        <v>Baltics</v>
      </c>
      <c r="H4881" t="s">
        <v>6949</v>
      </c>
    </row>
    <row r="4882" spans="1:8">
      <c r="A4882" t="s">
        <v>5778</v>
      </c>
      <c r="B4882" t="s">
        <v>380</v>
      </c>
      <c r="C4882" s="1">
        <v>45308</v>
      </c>
      <c r="D4882" s="1" t="str">
        <f>PROPER(orders[[#This Row],[order_priority]])</f>
        <v>Same Day</v>
      </c>
      <c r="E4882" t="s">
        <v>13322</v>
      </c>
      <c r="F4882" t="str">
        <f>IFERROR(INDEX(customers[country], MATCH(orders[[#This Row],[customer_id]], customers[customer_id], 0)), "Unmapped")</f>
        <v>Sweden</v>
      </c>
      <c r="G4882" t="str">
        <f>IFERROR(INDEX(Region_Map[Region], MATCH(orders[[#This Row],[Customer_Country]], Region_Map[Country], 0)), "Unknown")</f>
        <v>Nordics</v>
      </c>
      <c r="H4882" t="s">
        <v>6949</v>
      </c>
    </row>
    <row r="4883" spans="1:8">
      <c r="A4883" t="s">
        <v>5779</v>
      </c>
      <c r="B4883" t="s">
        <v>392</v>
      </c>
      <c r="C4883" s="1">
        <v>45597</v>
      </c>
      <c r="D4883" s="1" t="str">
        <f>PROPER(orders[[#This Row],[order_priority]])</f>
        <v>Standard</v>
      </c>
      <c r="E4883" t="s">
        <v>13317</v>
      </c>
      <c r="F4883" t="str">
        <f>IFERROR(INDEX(customers[country], MATCH(orders[[#This Row],[customer_id]], customers[customer_id], 0)), "Unmapped")</f>
        <v>Latvia</v>
      </c>
      <c r="G4883" t="str">
        <f>IFERROR(INDEX(Region_Map[Region], MATCH(orders[[#This Row],[Customer_Country]], Region_Map[Country], 0)), "Unknown")</f>
        <v>Baltics</v>
      </c>
      <c r="H4883" t="s">
        <v>6949</v>
      </c>
    </row>
    <row r="4884" spans="1:8">
      <c r="A4884" t="s">
        <v>5780</v>
      </c>
      <c r="B4884" t="s">
        <v>6</v>
      </c>
      <c r="C4884" s="1">
        <v>45135</v>
      </c>
      <c r="D4884" s="1" t="str">
        <f>PROPER(orders[[#This Row],[order_priority]])</f>
        <v>Same Day</v>
      </c>
      <c r="E4884" t="s">
        <v>13324</v>
      </c>
      <c r="F4884" t="str">
        <f>IFERROR(INDEX(customers[country], MATCH(orders[[#This Row],[customer_id]], customers[customer_id], 0)), "Unmapped")</f>
        <v>Latvia</v>
      </c>
      <c r="G4884" t="str">
        <f>IFERROR(INDEX(Region_Map[Region], MATCH(orders[[#This Row],[Customer_Country]], Region_Map[Country], 0)), "Unknown")</f>
        <v>Baltics</v>
      </c>
      <c r="H4884" t="s">
        <v>6949</v>
      </c>
    </row>
    <row r="4885" spans="1:8">
      <c r="A4885" t="s">
        <v>5781</v>
      </c>
      <c r="B4885" t="s">
        <v>109</v>
      </c>
      <c r="C4885" s="1">
        <v>45129</v>
      </c>
      <c r="D4885" s="1" t="str">
        <f>PROPER(orders[[#This Row],[order_priority]])</f>
        <v>Same Day</v>
      </c>
      <c r="E4885" t="s">
        <v>13322</v>
      </c>
      <c r="F4885" t="str">
        <f>IFERROR(INDEX(customers[country], MATCH(orders[[#This Row],[customer_id]], customers[customer_id], 0)), "Unmapped")</f>
        <v>Netherlands</v>
      </c>
      <c r="G4885" t="str">
        <f>IFERROR(INDEX(Region_Map[Region], MATCH(orders[[#This Row],[Customer_Country]], Region_Map[Country], 0)), "Unknown")</f>
        <v>Central Europe</v>
      </c>
      <c r="H4885" t="s">
        <v>6949</v>
      </c>
    </row>
    <row r="4886" spans="1:8">
      <c r="A4886" t="s">
        <v>5782</v>
      </c>
      <c r="B4886" t="s">
        <v>602</v>
      </c>
      <c r="C4886" s="1">
        <v>45038</v>
      </c>
      <c r="D4886" s="1" t="str">
        <f>PROPER(orders[[#This Row],[order_priority]])</f>
        <v>Economy</v>
      </c>
      <c r="E4886" t="s">
        <v>13316</v>
      </c>
      <c r="F4886" t="str">
        <f>IFERROR(INDEX(customers[country], MATCH(orders[[#This Row],[customer_id]], customers[customer_id], 0)), "Unmapped")</f>
        <v>Poland</v>
      </c>
      <c r="G4886" t="str">
        <f>IFERROR(INDEX(Region_Map[Region], MATCH(orders[[#This Row],[Customer_Country]], Region_Map[Country], 0)), "Unknown")</f>
        <v>Central Europe</v>
      </c>
      <c r="H4886" t="s">
        <v>6949</v>
      </c>
    </row>
    <row r="4887" spans="1:8">
      <c r="A4887" t="s">
        <v>5783</v>
      </c>
      <c r="B4887" t="s">
        <v>491</v>
      </c>
      <c r="C4887" s="1">
        <v>45417</v>
      </c>
      <c r="D4887" s="1" t="str">
        <f>PROPER(orders[[#This Row],[order_priority]])</f>
        <v>Express</v>
      </c>
      <c r="E4887" t="s">
        <v>13320</v>
      </c>
      <c r="F4887" t="str">
        <f>IFERROR(INDEX(customers[country], MATCH(orders[[#This Row],[customer_id]], customers[customer_id], 0)), "Unmapped")</f>
        <v>Latvia</v>
      </c>
      <c r="G4887" t="str">
        <f>IFERROR(INDEX(Region_Map[Region], MATCH(orders[[#This Row],[Customer_Country]], Region_Map[Country], 0)), "Unknown")</f>
        <v>Baltics</v>
      </c>
      <c r="H4887" t="s">
        <v>6949</v>
      </c>
    </row>
    <row r="4888" spans="1:8">
      <c r="A4888" t="s">
        <v>5784</v>
      </c>
      <c r="B4888" t="s">
        <v>374</v>
      </c>
      <c r="C4888" s="1">
        <v>45338</v>
      </c>
      <c r="D4888" s="1" t="str">
        <f>PROPER(orders[[#This Row],[order_priority]])</f>
        <v>Standard</v>
      </c>
      <c r="E4888" t="s">
        <v>13317</v>
      </c>
      <c r="F4888" t="str">
        <f>IFERROR(INDEX(customers[country], MATCH(orders[[#This Row],[customer_id]], customers[customer_id], 0)), "Unmapped")</f>
        <v>Estonia</v>
      </c>
      <c r="G4888" t="str">
        <f>IFERROR(INDEX(Region_Map[Region], MATCH(orders[[#This Row],[Customer_Country]], Region_Map[Country], 0)), "Unknown")</f>
        <v>Baltics</v>
      </c>
      <c r="H4888" t="s">
        <v>6949</v>
      </c>
    </row>
    <row r="4889" spans="1:8">
      <c r="A4889" t="s">
        <v>5785</v>
      </c>
      <c r="B4889" t="s">
        <v>273</v>
      </c>
      <c r="C4889" s="1">
        <v>45223</v>
      </c>
      <c r="D4889" s="1" t="str">
        <f>PROPER(orders[[#This Row],[order_priority]])</f>
        <v>Same Day</v>
      </c>
      <c r="E4889" t="s">
        <v>13322</v>
      </c>
      <c r="F4889" t="str">
        <f>IFERROR(INDEX(customers[country], MATCH(orders[[#This Row],[customer_id]], customers[customer_id], 0)), "Unmapped")</f>
        <v>Norway</v>
      </c>
      <c r="G4889" t="str">
        <f>IFERROR(INDEX(Region_Map[Region], MATCH(orders[[#This Row],[Customer_Country]], Region_Map[Country], 0)), "Unknown")</f>
        <v>Nordics</v>
      </c>
      <c r="H4889" t="s">
        <v>6949</v>
      </c>
    </row>
    <row r="4890" spans="1:8">
      <c r="A4890" t="s">
        <v>5786</v>
      </c>
      <c r="B4890" t="s">
        <v>500</v>
      </c>
      <c r="C4890" s="1">
        <v>45070</v>
      </c>
      <c r="D4890" s="1" t="str">
        <f>PROPER(orders[[#This Row],[order_priority]])</f>
        <v>Economy</v>
      </c>
      <c r="E4890" t="s">
        <v>13316</v>
      </c>
      <c r="F4890" t="str">
        <f>IFERROR(INDEX(customers[country], MATCH(orders[[#This Row],[customer_id]], customers[customer_id], 0)), "Unmapped")</f>
        <v>Estonia</v>
      </c>
      <c r="G4890" t="str">
        <f>IFERROR(INDEX(Region_Map[Region], MATCH(orders[[#This Row],[Customer_Country]], Region_Map[Country], 0)), "Unknown")</f>
        <v>Baltics</v>
      </c>
      <c r="H4890" t="s">
        <v>6949</v>
      </c>
    </row>
    <row r="4891" spans="1:8">
      <c r="A4891" t="s">
        <v>5787</v>
      </c>
      <c r="B4891" t="s">
        <v>279</v>
      </c>
      <c r="C4891" s="1">
        <v>45390</v>
      </c>
      <c r="D4891" s="1" t="str">
        <f>PROPER(orders[[#This Row],[order_priority]])</f>
        <v>Same Day</v>
      </c>
      <c r="E4891" t="s">
        <v>13322</v>
      </c>
      <c r="F4891" t="str">
        <f>IFERROR(INDEX(customers[country], MATCH(orders[[#This Row],[customer_id]], customers[customer_id], 0)), "Unmapped")</f>
        <v>Germany</v>
      </c>
      <c r="G4891" t="str">
        <f>IFERROR(INDEX(Region_Map[Region], MATCH(orders[[#This Row],[Customer_Country]], Region_Map[Country], 0)), "Unknown")</f>
        <v>Central Europe</v>
      </c>
      <c r="H4891" t="s">
        <v>6949</v>
      </c>
    </row>
    <row r="4892" spans="1:8">
      <c r="A4892" t="s">
        <v>5788</v>
      </c>
      <c r="B4892" t="s">
        <v>285</v>
      </c>
      <c r="C4892" s="1">
        <v>45139</v>
      </c>
      <c r="D4892" s="1" t="str">
        <f>PROPER(orders[[#This Row],[order_priority]])</f>
        <v>Economy</v>
      </c>
      <c r="E4892" t="s">
        <v>13316</v>
      </c>
      <c r="F4892" t="str">
        <f>IFERROR(INDEX(customers[country], MATCH(orders[[#This Row],[customer_id]], customers[customer_id], 0)), "Unmapped")</f>
        <v>Norway</v>
      </c>
      <c r="G4892" t="str">
        <f>IFERROR(INDEX(Region_Map[Region], MATCH(orders[[#This Row],[Customer_Country]], Region_Map[Country], 0)), "Unknown")</f>
        <v>Nordics</v>
      </c>
      <c r="H4892" t="s">
        <v>6949</v>
      </c>
    </row>
    <row r="4893" spans="1:8">
      <c r="A4893" t="s">
        <v>5789</v>
      </c>
      <c r="B4893" t="s">
        <v>578</v>
      </c>
      <c r="C4893" s="1">
        <v>45372</v>
      </c>
      <c r="D4893" s="1" t="str">
        <f>PROPER(orders[[#This Row],[order_priority]])</f>
        <v>Same Day</v>
      </c>
      <c r="E4893" t="s">
        <v>13322</v>
      </c>
      <c r="F4893" t="str">
        <f>IFERROR(INDEX(customers[country], MATCH(orders[[#This Row],[customer_id]], customers[customer_id], 0)), "Unmapped")</f>
        <v>Norway</v>
      </c>
      <c r="G4893" t="str">
        <f>IFERROR(INDEX(Region_Map[Region], MATCH(orders[[#This Row],[Customer_Country]], Region_Map[Country], 0)), "Unknown")</f>
        <v>Nordics</v>
      </c>
      <c r="H4893" t="s">
        <v>6949</v>
      </c>
    </row>
    <row r="4894" spans="1:8">
      <c r="A4894" t="s">
        <v>5790</v>
      </c>
      <c r="B4894" t="s">
        <v>542</v>
      </c>
      <c r="C4894" s="1">
        <v>45435</v>
      </c>
      <c r="D4894" s="1" t="str">
        <f>PROPER(orders[[#This Row],[order_priority]])</f>
        <v>Express</v>
      </c>
      <c r="E4894" t="s">
        <v>13318</v>
      </c>
      <c r="F4894" t="str">
        <f>IFERROR(INDEX(customers[country], MATCH(orders[[#This Row],[customer_id]], customers[customer_id], 0)), "Unmapped")</f>
        <v>Poland</v>
      </c>
      <c r="G4894" t="str">
        <f>IFERROR(INDEX(Region_Map[Region], MATCH(orders[[#This Row],[Customer_Country]], Region_Map[Country], 0)), "Unknown")</f>
        <v>Central Europe</v>
      </c>
      <c r="H4894" t="s">
        <v>6949</v>
      </c>
    </row>
    <row r="4895" spans="1:8">
      <c r="A4895" t="s">
        <v>5791</v>
      </c>
      <c r="B4895" t="s">
        <v>314</v>
      </c>
      <c r="C4895" s="1">
        <v>45033</v>
      </c>
      <c r="D4895" s="1" t="str">
        <f>PROPER(orders[[#This Row],[order_priority]])</f>
        <v>Same Day</v>
      </c>
      <c r="E4895" t="s">
        <v>13322</v>
      </c>
      <c r="F4895" t="str">
        <f>IFERROR(INDEX(customers[country], MATCH(orders[[#This Row],[customer_id]], customers[customer_id], 0)), "Unmapped")</f>
        <v>Poland</v>
      </c>
      <c r="G4895" t="str">
        <f>IFERROR(INDEX(Region_Map[Region], MATCH(orders[[#This Row],[Customer_Country]], Region_Map[Country], 0)), "Unknown")</f>
        <v>Central Europe</v>
      </c>
      <c r="H4895" t="s">
        <v>6949</v>
      </c>
    </row>
    <row r="4896" spans="1:8">
      <c r="A4896" t="s">
        <v>5792</v>
      </c>
      <c r="B4896" t="s">
        <v>470</v>
      </c>
      <c r="C4896" s="1">
        <v>45523</v>
      </c>
      <c r="D4896" s="1" t="str">
        <f>PROPER(orders[[#This Row],[order_priority]])</f>
        <v>Same Day</v>
      </c>
      <c r="E4896" t="s">
        <v>13322</v>
      </c>
      <c r="F4896" t="str">
        <f>IFERROR(INDEX(customers[country], MATCH(orders[[#This Row],[customer_id]], customers[customer_id], 0)), "Unmapped")</f>
        <v>Norway</v>
      </c>
      <c r="G4896" t="str">
        <f>IFERROR(INDEX(Region_Map[Region], MATCH(orders[[#This Row],[Customer_Country]], Region_Map[Country], 0)), "Unknown")</f>
        <v>Nordics</v>
      </c>
      <c r="H4896" t="s">
        <v>6949</v>
      </c>
    </row>
    <row r="4897" spans="1:8">
      <c r="A4897" t="s">
        <v>5793</v>
      </c>
      <c r="B4897" t="s">
        <v>413</v>
      </c>
      <c r="C4897" s="1">
        <v>45135</v>
      </c>
      <c r="D4897" s="1" t="str">
        <f>PROPER(orders[[#This Row],[order_priority]])</f>
        <v>Same Day</v>
      </c>
      <c r="E4897" t="s">
        <v>13322</v>
      </c>
      <c r="F4897" t="str">
        <f>IFERROR(INDEX(customers[country], MATCH(orders[[#This Row],[customer_id]], customers[customer_id], 0)), "Unmapped")</f>
        <v>Poland</v>
      </c>
      <c r="G4897" t="str">
        <f>IFERROR(INDEX(Region_Map[Region], MATCH(orders[[#This Row],[Customer_Country]], Region_Map[Country], 0)), "Unknown")</f>
        <v>Central Europe</v>
      </c>
      <c r="H4897" t="s">
        <v>6949</v>
      </c>
    </row>
    <row r="4898" spans="1:8">
      <c r="A4898" t="s">
        <v>5794</v>
      </c>
      <c r="B4898" t="s">
        <v>124</v>
      </c>
      <c r="C4898" s="1">
        <v>45054</v>
      </c>
      <c r="D4898" s="1" t="str">
        <f>PROPER(orders[[#This Row],[order_priority]])</f>
        <v>Express</v>
      </c>
      <c r="E4898" t="s">
        <v>13318</v>
      </c>
      <c r="F4898" t="str">
        <f>IFERROR(INDEX(customers[country], MATCH(orders[[#This Row],[customer_id]], customers[customer_id], 0)), "Unmapped")</f>
        <v>Lithuania</v>
      </c>
      <c r="G4898" t="str">
        <f>IFERROR(INDEX(Region_Map[Region], MATCH(orders[[#This Row],[Customer_Country]], Region_Map[Country], 0)), "Unknown")</f>
        <v>Baltics</v>
      </c>
      <c r="H4898" t="s">
        <v>6949</v>
      </c>
    </row>
    <row r="4899" spans="1:8">
      <c r="A4899" t="s">
        <v>5795</v>
      </c>
      <c r="B4899" t="s">
        <v>437</v>
      </c>
      <c r="C4899" s="1">
        <v>44977</v>
      </c>
      <c r="D4899" s="1" t="str">
        <f>PROPER(orders[[#This Row],[order_priority]])</f>
        <v>Same Day</v>
      </c>
      <c r="E4899" t="s">
        <v>13322</v>
      </c>
      <c r="F4899" t="str">
        <f>IFERROR(INDEX(customers[country], MATCH(orders[[#This Row],[customer_id]], customers[customer_id], 0)), "Unmapped")</f>
        <v>Lithuania</v>
      </c>
      <c r="G4899" t="str">
        <f>IFERROR(INDEX(Region_Map[Region], MATCH(orders[[#This Row],[Customer_Country]], Region_Map[Country], 0)), "Unknown")</f>
        <v>Baltics</v>
      </c>
      <c r="H4899" t="s">
        <v>6949</v>
      </c>
    </row>
    <row r="4900" spans="1:8">
      <c r="A4900" t="s">
        <v>5796</v>
      </c>
      <c r="B4900" t="s">
        <v>48</v>
      </c>
      <c r="C4900" s="1">
        <v>45281</v>
      </c>
      <c r="D4900" s="1" t="str">
        <f>PROPER(orders[[#This Row],[order_priority]])</f>
        <v>Economy</v>
      </c>
      <c r="E4900" t="s">
        <v>13316</v>
      </c>
      <c r="F4900" t="str">
        <f>IFERROR(INDEX(customers[country], MATCH(orders[[#This Row],[customer_id]], customers[customer_id], 0)), "Unmapped")</f>
        <v>Poland</v>
      </c>
      <c r="G4900" t="str">
        <f>IFERROR(INDEX(Region_Map[Region], MATCH(orders[[#This Row],[Customer_Country]], Region_Map[Country], 0)), "Unknown")</f>
        <v>Central Europe</v>
      </c>
      <c r="H4900" t="s">
        <v>6949</v>
      </c>
    </row>
    <row r="4901" spans="1:8">
      <c r="A4901" t="s">
        <v>5797</v>
      </c>
      <c r="B4901" t="s">
        <v>216</v>
      </c>
      <c r="C4901" s="1">
        <v>45559</v>
      </c>
      <c r="D4901" s="1" t="str">
        <f>PROPER(orders[[#This Row],[order_priority]])</f>
        <v>Standard</v>
      </c>
      <c r="E4901" t="s">
        <v>13317</v>
      </c>
      <c r="F4901" t="str">
        <f>IFERROR(INDEX(customers[country], MATCH(orders[[#This Row],[customer_id]], customers[customer_id], 0)), "Unmapped")</f>
        <v>Norway</v>
      </c>
      <c r="G4901" t="str">
        <f>IFERROR(INDEX(Region_Map[Region], MATCH(orders[[#This Row],[Customer_Country]], Region_Map[Country], 0)), "Unknown")</f>
        <v>Nordics</v>
      </c>
      <c r="H4901" t="s">
        <v>6949</v>
      </c>
    </row>
    <row r="4902" spans="1:8">
      <c r="A4902" t="s">
        <v>5798</v>
      </c>
      <c r="B4902" t="s">
        <v>99</v>
      </c>
      <c r="C4902" s="1">
        <v>45255</v>
      </c>
      <c r="D4902" s="1" t="str">
        <f>PROPER(orders[[#This Row],[order_priority]])</f>
        <v>Economy</v>
      </c>
      <c r="E4902" t="s">
        <v>13316</v>
      </c>
      <c r="F4902" t="str">
        <f>IFERROR(INDEX(customers[country], MATCH(orders[[#This Row],[customer_id]], customers[customer_id], 0)), "Unmapped")</f>
        <v>Poland</v>
      </c>
      <c r="G4902" t="str">
        <f>IFERROR(INDEX(Region_Map[Region], MATCH(orders[[#This Row],[Customer_Country]], Region_Map[Country], 0)), "Unknown")</f>
        <v>Central Europe</v>
      </c>
      <c r="H4902" t="s">
        <v>6949</v>
      </c>
    </row>
    <row r="4903" spans="1:8">
      <c r="A4903" t="s">
        <v>5799</v>
      </c>
      <c r="B4903" t="s">
        <v>849</v>
      </c>
      <c r="C4903" s="1">
        <v>45276</v>
      </c>
      <c r="D4903" s="1" t="str">
        <f>PROPER(orders[[#This Row],[order_priority]])</f>
        <v>Express</v>
      </c>
      <c r="E4903" t="s">
        <v>13318</v>
      </c>
      <c r="F4903" t="str">
        <f>IFERROR(INDEX(customers[country], MATCH(orders[[#This Row],[customer_id]], customers[customer_id], 0)), "Unmapped")</f>
        <v>Lithuania</v>
      </c>
      <c r="G4903" t="str">
        <f>IFERROR(INDEX(Region_Map[Region], MATCH(orders[[#This Row],[Customer_Country]], Region_Map[Country], 0)), "Unknown")</f>
        <v>Baltics</v>
      </c>
      <c r="H4903" t="s">
        <v>6949</v>
      </c>
    </row>
    <row r="4904" spans="1:8">
      <c r="A4904" t="s">
        <v>5800</v>
      </c>
      <c r="B4904" t="s">
        <v>790</v>
      </c>
      <c r="C4904" s="1">
        <v>45339</v>
      </c>
      <c r="D4904" s="1" t="str">
        <f>PROPER(orders[[#This Row],[order_priority]])</f>
        <v>Standard</v>
      </c>
      <c r="E4904" t="s">
        <v>13317</v>
      </c>
      <c r="F4904" t="str">
        <f>IFERROR(INDEX(customers[country], MATCH(orders[[#This Row],[customer_id]], customers[customer_id], 0)), "Unmapped")</f>
        <v>Germany</v>
      </c>
      <c r="G4904" t="str">
        <f>IFERROR(INDEX(Region_Map[Region], MATCH(orders[[#This Row],[Customer_Country]], Region_Map[Country], 0)), "Unknown")</f>
        <v>Central Europe</v>
      </c>
      <c r="H4904" t="s">
        <v>6949</v>
      </c>
    </row>
    <row r="4905" spans="1:8">
      <c r="A4905" t="s">
        <v>5801</v>
      </c>
      <c r="B4905" t="s">
        <v>258</v>
      </c>
      <c r="C4905" s="1">
        <v>44963</v>
      </c>
      <c r="D4905" s="1" t="str">
        <f>PROPER(orders[[#This Row],[order_priority]])</f>
        <v>Standard</v>
      </c>
      <c r="E4905" t="s">
        <v>13317</v>
      </c>
      <c r="F4905" t="str">
        <f>IFERROR(INDEX(customers[country], MATCH(orders[[#This Row],[customer_id]], customers[customer_id], 0)), "Unmapped")</f>
        <v>Latvia</v>
      </c>
      <c r="G4905" t="str">
        <f>IFERROR(INDEX(Region_Map[Region], MATCH(orders[[#This Row],[Customer_Country]], Region_Map[Country], 0)), "Unknown")</f>
        <v>Baltics</v>
      </c>
      <c r="H4905" t="s">
        <v>6949</v>
      </c>
    </row>
    <row r="4906" spans="1:8">
      <c r="A4906" t="s">
        <v>5802</v>
      </c>
      <c r="B4906" t="s">
        <v>697</v>
      </c>
      <c r="C4906" s="1">
        <v>45399</v>
      </c>
      <c r="D4906" s="1" t="str">
        <f>PROPER(orders[[#This Row],[order_priority]])</f>
        <v>Express</v>
      </c>
      <c r="E4906" t="s">
        <v>13318</v>
      </c>
      <c r="F4906" t="str">
        <f>IFERROR(INDEX(customers[country], MATCH(orders[[#This Row],[customer_id]], customers[customer_id], 0)), "Unmapped")</f>
        <v>Estonia</v>
      </c>
      <c r="G4906" t="str">
        <f>IFERROR(INDEX(Region_Map[Region], MATCH(orders[[#This Row],[Customer_Country]], Region_Map[Country], 0)), "Unknown")</f>
        <v>Baltics</v>
      </c>
      <c r="H4906" t="s">
        <v>6949</v>
      </c>
    </row>
    <row r="4907" spans="1:8">
      <c r="A4907" t="s">
        <v>5803</v>
      </c>
      <c r="B4907" t="s">
        <v>596</v>
      </c>
      <c r="C4907" s="1">
        <v>45570</v>
      </c>
      <c r="D4907" s="1" t="str">
        <f>PROPER(orders[[#This Row],[order_priority]])</f>
        <v>Express</v>
      </c>
      <c r="E4907" t="s">
        <v>13318</v>
      </c>
      <c r="F4907" t="str">
        <f>IFERROR(INDEX(customers[country], MATCH(orders[[#This Row],[customer_id]], customers[customer_id], 0)), "Unmapped")</f>
        <v>Lithuania</v>
      </c>
      <c r="G4907" t="str">
        <f>IFERROR(INDEX(Region_Map[Region], MATCH(orders[[#This Row],[Customer_Country]], Region_Map[Country], 0)), "Unknown")</f>
        <v>Baltics</v>
      </c>
      <c r="H4907" t="s">
        <v>6949</v>
      </c>
    </row>
    <row r="4908" spans="1:8">
      <c r="A4908" t="s">
        <v>5804</v>
      </c>
      <c r="B4908" t="s">
        <v>70</v>
      </c>
      <c r="C4908" s="1">
        <v>45456</v>
      </c>
      <c r="D4908" s="1" t="str">
        <f>PROPER(orders[[#This Row],[order_priority]])</f>
        <v>Same Day</v>
      </c>
      <c r="E4908" t="s">
        <v>13322</v>
      </c>
      <c r="F4908" t="str">
        <f>IFERROR(INDEX(customers[country], MATCH(orders[[#This Row],[customer_id]], customers[customer_id], 0)), "Unmapped")</f>
        <v>Estonia</v>
      </c>
      <c r="G4908" t="str">
        <f>IFERROR(INDEX(Region_Map[Region], MATCH(orders[[#This Row],[Customer_Country]], Region_Map[Country], 0)), "Unknown")</f>
        <v>Baltics</v>
      </c>
      <c r="H4908" t="s">
        <v>6949</v>
      </c>
    </row>
    <row r="4909" spans="1:8">
      <c r="A4909" t="s">
        <v>5805</v>
      </c>
      <c r="B4909" t="s">
        <v>608</v>
      </c>
      <c r="C4909" s="1">
        <v>45487</v>
      </c>
      <c r="D4909" s="1" t="str">
        <f>PROPER(orders[[#This Row],[order_priority]])</f>
        <v>Same Day</v>
      </c>
      <c r="E4909" t="s">
        <v>13322</v>
      </c>
      <c r="F4909" t="str">
        <f>IFERROR(INDEX(customers[country], MATCH(orders[[#This Row],[customer_id]], customers[customer_id], 0)), "Unmapped")</f>
        <v>Finland</v>
      </c>
      <c r="G4909" t="str">
        <f>IFERROR(INDEX(Region_Map[Region], MATCH(orders[[#This Row],[Customer_Country]], Region_Map[Country], 0)), "Unknown")</f>
        <v>Nordics</v>
      </c>
      <c r="H4909" t="s">
        <v>6949</v>
      </c>
    </row>
    <row r="4910" spans="1:8">
      <c r="A4910" t="s">
        <v>5806</v>
      </c>
      <c r="B4910" t="s">
        <v>458</v>
      </c>
      <c r="C4910" s="1">
        <v>44976</v>
      </c>
      <c r="D4910" s="1" t="str">
        <f>PROPER(orders[[#This Row],[order_priority]])</f>
        <v>Same Day</v>
      </c>
      <c r="E4910" t="s">
        <v>13322</v>
      </c>
      <c r="F4910" t="str">
        <f>IFERROR(INDEX(customers[country], MATCH(orders[[#This Row],[customer_id]], customers[customer_id], 0)), "Unmapped")</f>
        <v>Poland</v>
      </c>
      <c r="G4910" t="str">
        <f>IFERROR(INDEX(Region_Map[Region], MATCH(orders[[#This Row],[Customer_Country]], Region_Map[Country], 0)), "Unknown")</f>
        <v>Central Europe</v>
      </c>
      <c r="H4910" t="s">
        <v>6949</v>
      </c>
    </row>
    <row r="4911" spans="1:8">
      <c r="A4911" t="s">
        <v>5807</v>
      </c>
      <c r="B4911" t="s">
        <v>77</v>
      </c>
      <c r="C4911" s="1">
        <v>45223</v>
      </c>
      <c r="D4911" s="1" t="str">
        <f>PROPER(orders[[#This Row],[order_priority]])</f>
        <v>Economy</v>
      </c>
      <c r="E4911" t="s">
        <v>13316</v>
      </c>
      <c r="F4911" t="str">
        <f>IFERROR(INDEX(customers[country], MATCH(orders[[#This Row],[customer_id]], customers[customer_id], 0)), "Unmapped")</f>
        <v>Lithuania</v>
      </c>
      <c r="G4911" t="str">
        <f>IFERROR(INDEX(Region_Map[Region], MATCH(orders[[#This Row],[Customer_Country]], Region_Map[Country], 0)), "Unknown")</f>
        <v>Baltics</v>
      </c>
      <c r="H4911" t="s">
        <v>6949</v>
      </c>
    </row>
    <row r="4912" spans="1:8">
      <c r="A4912" t="s">
        <v>5808</v>
      </c>
      <c r="B4912" t="s">
        <v>285</v>
      </c>
      <c r="C4912" s="1">
        <v>45557</v>
      </c>
      <c r="D4912" s="1" t="str">
        <f>PROPER(orders[[#This Row],[order_priority]])</f>
        <v>Standard</v>
      </c>
      <c r="E4912" t="s">
        <v>13317</v>
      </c>
      <c r="F4912" t="str">
        <f>IFERROR(INDEX(customers[country], MATCH(orders[[#This Row],[customer_id]], customers[customer_id], 0)), "Unmapped")</f>
        <v>Norway</v>
      </c>
      <c r="G4912" t="str">
        <f>IFERROR(INDEX(Region_Map[Region], MATCH(orders[[#This Row],[Customer_Country]], Region_Map[Country], 0)), "Unknown")</f>
        <v>Nordics</v>
      </c>
      <c r="H4912" t="s">
        <v>6949</v>
      </c>
    </row>
    <row r="4913" spans="1:8">
      <c r="A4913" t="s">
        <v>5809</v>
      </c>
      <c r="B4913" t="s">
        <v>647</v>
      </c>
      <c r="C4913" s="1">
        <v>45165</v>
      </c>
      <c r="D4913" s="1" t="str">
        <f>PROPER(orders[[#This Row],[order_priority]])</f>
        <v>Standard</v>
      </c>
      <c r="E4913" t="s">
        <v>13317</v>
      </c>
      <c r="F4913" t="str">
        <f>IFERROR(INDEX(customers[country], MATCH(orders[[#This Row],[customer_id]], customers[customer_id], 0)), "Unmapped")</f>
        <v>Netherlands</v>
      </c>
      <c r="G4913" t="str">
        <f>IFERROR(INDEX(Region_Map[Region], MATCH(orders[[#This Row],[Customer_Country]], Region_Map[Country], 0)), "Unknown")</f>
        <v>Central Europe</v>
      </c>
      <c r="H4913" t="s">
        <v>6949</v>
      </c>
    </row>
    <row r="4914" spans="1:8">
      <c r="A4914" t="s">
        <v>5810</v>
      </c>
      <c r="B4914" t="s">
        <v>861</v>
      </c>
      <c r="C4914" s="1">
        <v>45474</v>
      </c>
      <c r="D4914" s="1" t="str">
        <f>PROPER(orders[[#This Row],[order_priority]])</f>
        <v>Express</v>
      </c>
      <c r="E4914" t="s">
        <v>13318</v>
      </c>
      <c r="F4914" t="str">
        <f>IFERROR(INDEX(customers[country], MATCH(orders[[#This Row],[customer_id]], customers[customer_id], 0)), "Unmapped")</f>
        <v>Latvia</v>
      </c>
      <c r="G4914" t="str">
        <f>IFERROR(INDEX(Region_Map[Region], MATCH(orders[[#This Row],[Customer_Country]], Region_Map[Country], 0)), "Unknown")</f>
        <v>Baltics</v>
      </c>
      <c r="H4914" t="s">
        <v>6949</v>
      </c>
    </row>
    <row r="4915" spans="1:8">
      <c r="A4915" t="s">
        <v>5811</v>
      </c>
      <c r="B4915" t="s">
        <v>273</v>
      </c>
      <c r="C4915" s="1">
        <v>45265</v>
      </c>
      <c r="D4915" s="1" t="str">
        <f>PROPER(orders[[#This Row],[order_priority]])</f>
        <v>Standard</v>
      </c>
      <c r="E4915" t="s">
        <v>13317</v>
      </c>
      <c r="F4915" t="str">
        <f>IFERROR(INDEX(customers[country], MATCH(orders[[#This Row],[customer_id]], customers[customer_id], 0)), "Unmapped")</f>
        <v>Norway</v>
      </c>
      <c r="G4915" t="str">
        <f>IFERROR(INDEX(Region_Map[Region], MATCH(orders[[#This Row],[Customer_Country]], Region_Map[Country], 0)), "Unknown")</f>
        <v>Nordics</v>
      </c>
      <c r="H4915" t="s">
        <v>6949</v>
      </c>
    </row>
    <row r="4916" spans="1:8">
      <c r="A4916" t="s">
        <v>5812</v>
      </c>
      <c r="B4916" t="s">
        <v>581</v>
      </c>
      <c r="C4916" s="1">
        <v>45380</v>
      </c>
      <c r="D4916" s="1" t="str">
        <f>PROPER(orders[[#This Row],[order_priority]])</f>
        <v>Express</v>
      </c>
      <c r="E4916" t="s">
        <v>13318</v>
      </c>
      <c r="F4916" t="str">
        <f>IFERROR(INDEX(customers[country], MATCH(orders[[#This Row],[customer_id]], customers[customer_id], 0)), "Unmapped")</f>
        <v>Norway</v>
      </c>
      <c r="G4916" t="str">
        <f>IFERROR(INDEX(Region_Map[Region], MATCH(orders[[#This Row],[Customer_Country]], Region_Map[Country], 0)), "Unknown")</f>
        <v>Nordics</v>
      </c>
      <c r="H4916" t="s">
        <v>6949</v>
      </c>
    </row>
    <row r="4917" spans="1:8">
      <c r="A4917" t="s">
        <v>5813</v>
      </c>
      <c r="B4917" t="s">
        <v>157</v>
      </c>
      <c r="C4917" s="1">
        <v>45488</v>
      </c>
      <c r="D4917" s="1" t="str">
        <f>PROPER(orders[[#This Row],[order_priority]])</f>
        <v>Economy</v>
      </c>
      <c r="E4917" t="s">
        <v>13316</v>
      </c>
      <c r="F4917" t="str">
        <f>IFERROR(INDEX(customers[country], MATCH(orders[[#This Row],[customer_id]], customers[customer_id], 0)), "Unmapped")</f>
        <v>Lithuania</v>
      </c>
      <c r="G4917" t="str">
        <f>IFERROR(INDEX(Region_Map[Region], MATCH(orders[[#This Row],[Customer_Country]], Region_Map[Country], 0)), "Unknown")</f>
        <v>Baltics</v>
      </c>
      <c r="H4917" t="s">
        <v>6949</v>
      </c>
    </row>
    <row r="4918" spans="1:8">
      <c r="A4918" t="s">
        <v>5814</v>
      </c>
      <c r="B4918" t="s">
        <v>867</v>
      </c>
      <c r="C4918" s="1">
        <v>45256</v>
      </c>
      <c r="D4918" s="1" t="str">
        <f>PROPER(orders[[#This Row],[order_priority]])</f>
        <v>Express</v>
      </c>
      <c r="E4918" t="s">
        <v>13318</v>
      </c>
      <c r="F4918" t="str">
        <f>IFERROR(INDEX(customers[country], MATCH(orders[[#This Row],[customer_id]], customers[customer_id], 0)), "Unmapped")</f>
        <v>Denmark</v>
      </c>
      <c r="G4918" t="str">
        <f>IFERROR(INDEX(Region_Map[Region], MATCH(orders[[#This Row],[Customer_Country]], Region_Map[Country], 0)), "Unknown")</f>
        <v>Nordics</v>
      </c>
      <c r="H4918" t="s">
        <v>6949</v>
      </c>
    </row>
    <row r="4919" spans="1:8">
      <c r="A4919" t="s">
        <v>5815</v>
      </c>
      <c r="B4919" t="s">
        <v>145</v>
      </c>
      <c r="C4919" s="1">
        <v>45322</v>
      </c>
      <c r="D4919" s="1" t="str">
        <f>PROPER(orders[[#This Row],[order_priority]])</f>
        <v>Same Day</v>
      </c>
      <c r="E4919" t="s">
        <v>13322</v>
      </c>
      <c r="F4919" t="str">
        <f>IFERROR(INDEX(customers[country], MATCH(orders[[#This Row],[customer_id]], customers[customer_id], 0)), "Unmapped")</f>
        <v>Latvia</v>
      </c>
      <c r="G4919" t="str">
        <f>IFERROR(INDEX(Region_Map[Region], MATCH(orders[[#This Row],[Customer_Country]], Region_Map[Country], 0)), "Unknown")</f>
        <v>Baltics</v>
      </c>
      <c r="H4919" t="s">
        <v>6949</v>
      </c>
    </row>
    <row r="4920" spans="1:8">
      <c r="A4920" t="s">
        <v>5816</v>
      </c>
      <c r="B4920" t="s">
        <v>512</v>
      </c>
      <c r="C4920" s="1">
        <v>44979</v>
      </c>
      <c r="D4920" s="1" t="str">
        <f>PROPER(orders[[#This Row],[order_priority]])</f>
        <v>Economy</v>
      </c>
      <c r="E4920" t="s">
        <v>13316</v>
      </c>
      <c r="F4920" t="str">
        <f>IFERROR(INDEX(customers[country], MATCH(orders[[#This Row],[customer_id]], customers[customer_id], 0)), "Unmapped")</f>
        <v>Poland</v>
      </c>
      <c r="G4920" t="str">
        <f>IFERROR(INDEX(Region_Map[Region], MATCH(orders[[#This Row],[Customer_Country]], Region_Map[Country], 0)), "Unknown")</f>
        <v>Central Europe</v>
      </c>
      <c r="H4920" t="s">
        <v>6949</v>
      </c>
    </row>
    <row r="4921" spans="1:8">
      <c r="A4921" t="s">
        <v>5817</v>
      </c>
      <c r="B4921" t="s">
        <v>237</v>
      </c>
      <c r="C4921" s="1">
        <v>44994</v>
      </c>
      <c r="D4921" s="1" t="str">
        <f>PROPER(orders[[#This Row],[order_priority]])</f>
        <v>Economy</v>
      </c>
      <c r="E4921" t="s">
        <v>13328</v>
      </c>
      <c r="F4921" t="str">
        <f>IFERROR(INDEX(customers[country], MATCH(orders[[#This Row],[customer_id]], customers[customer_id], 0)), "Unmapped")</f>
        <v>Sweden</v>
      </c>
      <c r="G4921" t="str">
        <f>IFERROR(INDEX(Region_Map[Region], MATCH(orders[[#This Row],[Customer_Country]], Region_Map[Country], 0)), "Unknown")</f>
        <v>Nordics</v>
      </c>
      <c r="H4921" t="s">
        <v>6949</v>
      </c>
    </row>
    <row r="4922" spans="1:8">
      <c r="A4922" t="s">
        <v>5818</v>
      </c>
      <c r="B4922" t="s">
        <v>118</v>
      </c>
      <c r="C4922" s="1">
        <v>45194</v>
      </c>
      <c r="D4922" s="1" t="str">
        <f>PROPER(orders[[#This Row],[order_priority]])</f>
        <v>Economy</v>
      </c>
      <c r="E4922" t="s">
        <v>13325</v>
      </c>
      <c r="F4922" t="str">
        <f>IFERROR(INDEX(customers[country], MATCH(orders[[#This Row],[customer_id]], customers[customer_id], 0)), "Unmapped")</f>
        <v>Denmark</v>
      </c>
      <c r="G4922" t="str">
        <f>IFERROR(INDEX(Region_Map[Region], MATCH(orders[[#This Row],[Customer_Country]], Region_Map[Country], 0)), "Unknown")</f>
        <v>Nordics</v>
      </c>
      <c r="H4922" t="s">
        <v>6949</v>
      </c>
    </row>
    <row r="4923" spans="1:8">
      <c r="A4923" t="s">
        <v>5819</v>
      </c>
      <c r="B4923" t="s">
        <v>749</v>
      </c>
      <c r="C4923" s="1">
        <v>45079</v>
      </c>
      <c r="D4923" s="1" t="str">
        <f>PROPER(orders[[#This Row],[order_priority]])</f>
        <v>Economy</v>
      </c>
      <c r="E4923" t="s">
        <v>13316</v>
      </c>
      <c r="F4923" t="str">
        <f>IFERROR(INDEX(customers[country], MATCH(orders[[#This Row],[customer_id]], customers[customer_id], 0)), "Unmapped")</f>
        <v>Latvia</v>
      </c>
      <c r="G4923" t="str">
        <f>IFERROR(INDEX(Region_Map[Region], MATCH(orders[[#This Row],[Customer_Country]], Region_Map[Country], 0)), "Unknown")</f>
        <v>Baltics</v>
      </c>
      <c r="H4923" t="s">
        <v>6949</v>
      </c>
    </row>
    <row r="4924" spans="1:8">
      <c r="A4924" t="s">
        <v>5820</v>
      </c>
      <c r="B4924" t="s">
        <v>261</v>
      </c>
      <c r="C4924" s="1">
        <v>45626</v>
      </c>
      <c r="D4924" s="1" t="str">
        <f>PROPER(orders[[#This Row],[order_priority]])</f>
        <v>Same Day</v>
      </c>
      <c r="E4924" t="s">
        <v>13322</v>
      </c>
      <c r="F4924" t="str">
        <f>IFERROR(INDEX(customers[country], MATCH(orders[[#This Row],[customer_id]], customers[customer_id], 0)), "Unmapped")</f>
        <v>Germany</v>
      </c>
      <c r="G4924" t="str">
        <f>IFERROR(INDEX(Region_Map[Region], MATCH(orders[[#This Row],[Customer_Country]], Region_Map[Country], 0)), "Unknown")</f>
        <v>Central Europe</v>
      </c>
      <c r="H4924" t="s">
        <v>6949</v>
      </c>
    </row>
    <row r="4925" spans="1:8">
      <c r="A4925" t="s">
        <v>5821</v>
      </c>
      <c r="B4925" t="s">
        <v>533</v>
      </c>
      <c r="C4925" s="1">
        <v>45052</v>
      </c>
      <c r="D4925" s="1" t="str">
        <f>PROPER(orders[[#This Row],[order_priority]])</f>
        <v>Economy</v>
      </c>
      <c r="E4925" t="s">
        <v>13316</v>
      </c>
      <c r="F4925" t="str">
        <f>IFERROR(INDEX(customers[country], MATCH(orders[[#This Row],[customer_id]], customers[customer_id], 0)), "Unmapped")</f>
        <v>Germany</v>
      </c>
      <c r="G4925" t="str">
        <f>IFERROR(INDEX(Region_Map[Region], MATCH(orders[[#This Row],[Customer_Country]], Region_Map[Country], 0)), "Unknown")</f>
        <v>Central Europe</v>
      </c>
      <c r="H4925" t="s">
        <v>6949</v>
      </c>
    </row>
    <row r="4926" spans="1:8">
      <c r="A4926" t="s">
        <v>5822</v>
      </c>
      <c r="B4926" t="s">
        <v>264</v>
      </c>
      <c r="C4926" s="1">
        <v>45348</v>
      </c>
      <c r="D4926" s="1" t="str">
        <f>PROPER(orders[[#This Row],[order_priority]])</f>
        <v>Same Day</v>
      </c>
      <c r="E4926" t="s">
        <v>13322</v>
      </c>
      <c r="F4926" t="str">
        <f>IFERROR(INDEX(customers[country], MATCH(orders[[#This Row],[customer_id]], customers[customer_id], 0)), "Unmapped")</f>
        <v>Germany</v>
      </c>
      <c r="G4926" t="str">
        <f>IFERROR(INDEX(Region_Map[Region], MATCH(orders[[#This Row],[Customer_Country]], Region_Map[Country], 0)), "Unknown")</f>
        <v>Central Europe</v>
      </c>
      <c r="H4926" t="s">
        <v>6949</v>
      </c>
    </row>
    <row r="4927" spans="1:8">
      <c r="A4927" t="s">
        <v>5823</v>
      </c>
      <c r="B4927" t="s">
        <v>775</v>
      </c>
      <c r="C4927" s="1">
        <v>45199</v>
      </c>
      <c r="D4927" s="1" t="str">
        <f>PROPER(orders[[#This Row],[order_priority]])</f>
        <v>Express</v>
      </c>
      <c r="E4927" t="s">
        <v>13318</v>
      </c>
      <c r="F4927" t="str">
        <f>IFERROR(INDEX(customers[country], MATCH(orders[[#This Row],[customer_id]], customers[customer_id], 0)), "Unmapped")</f>
        <v>Sweden</v>
      </c>
      <c r="G4927" t="str">
        <f>IFERROR(INDEX(Region_Map[Region], MATCH(orders[[#This Row],[Customer_Country]], Region_Map[Country], 0)), "Unknown")</f>
        <v>Nordics</v>
      </c>
      <c r="H4927" t="s">
        <v>6949</v>
      </c>
    </row>
    <row r="4928" spans="1:8">
      <c r="A4928" t="s">
        <v>5824</v>
      </c>
      <c r="B4928" t="s">
        <v>763</v>
      </c>
      <c r="C4928" s="1">
        <v>45618</v>
      </c>
      <c r="D4928" s="1" t="str">
        <f>PROPER(orders[[#This Row],[order_priority]])</f>
        <v>Same Day</v>
      </c>
      <c r="E4928" t="s">
        <v>13322</v>
      </c>
      <c r="F4928" t="str">
        <f>IFERROR(INDEX(customers[country], MATCH(orders[[#This Row],[customer_id]], customers[customer_id], 0)), "Unmapped")</f>
        <v>Estonia</v>
      </c>
      <c r="G4928" t="str">
        <f>IFERROR(INDEX(Region_Map[Region], MATCH(orders[[#This Row],[Customer_Country]], Region_Map[Country], 0)), "Unknown")</f>
        <v>Baltics</v>
      </c>
      <c r="H4928" t="s">
        <v>6949</v>
      </c>
    </row>
    <row r="4929" spans="1:8">
      <c r="A4929" t="s">
        <v>5825</v>
      </c>
      <c r="B4929" t="s">
        <v>213</v>
      </c>
      <c r="C4929" s="1">
        <v>45331</v>
      </c>
      <c r="D4929" s="1" t="str">
        <f>PROPER(orders[[#This Row],[order_priority]])</f>
        <v>Standard</v>
      </c>
      <c r="E4929" t="s">
        <v>13317</v>
      </c>
      <c r="F4929" t="str">
        <f>IFERROR(INDEX(customers[country], MATCH(orders[[#This Row],[customer_id]], customers[customer_id], 0)), "Unmapped")</f>
        <v>Denmark</v>
      </c>
      <c r="G4929" t="str">
        <f>IFERROR(INDEX(Region_Map[Region], MATCH(orders[[#This Row],[Customer_Country]], Region_Map[Country], 0)), "Unknown")</f>
        <v>Nordics</v>
      </c>
      <c r="H4929" t="s">
        <v>6949</v>
      </c>
    </row>
    <row r="4930" spans="1:8">
      <c r="A4930" t="s">
        <v>5826</v>
      </c>
      <c r="B4930" t="s">
        <v>482</v>
      </c>
      <c r="C4930" s="1">
        <v>45528</v>
      </c>
      <c r="D4930" s="1" t="str">
        <f>PROPER(orders[[#This Row],[order_priority]])</f>
        <v>Economy</v>
      </c>
      <c r="E4930" t="s">
        <v>13328</v>
      </c>
      <c r="F4930" t="str">
        <f>IFERROR(INDEX(customers[country], MATCH(orders[[#This Row],[customer_id]], customers[customer_id], 0)), "Unmapped")</f>
        <v>Finland</v>
      </c>
      <c r="G4930" t="str">
        <f>IFERROR(INDEX(Region_Map[Region], MATCH(orders[[#This Row],[Customer_Country]], Region_Map[Country], 0)), "Unknown")</f>
        <v>Nordics</v>
      </c>
      <c r="H4930" t="s">
        <v>6949</v>
      </c>
    </row>
    <row r="4931" spans="1:8">
      <c r="A4931" t="s">
        <v>5827</v>
      </c>
      <c r="B4931" t="s">
        <v>491</v>
      </c>
      <c r="C4931" s="1">
        <v>45355</v>
      </c>
      <c r="D4931" s="1" t="str">
        <f>PROPER(orders[[#This Row],[order_priority]])</f>
        <v>Economy</v>
      </c>
      <c r="E4931" t="s">
        <v>13316</v>
      </c>
      <c r="F4931" t="str">
        <f>IFERROR(INDEX(customers[country], MATCH(orders[[#This Row],[customer_id]], customers[customer_id], 0)), "Unmapped")</f>
        <v>Latvia</v>
      </c>
      <c r="G4931" t="str">
        <f>IFERROR(INDEX(Region_Map[Region], MATCH(orders[[#This Row],[Customer_Country]], Region_Map[Country], 0)), "Unknown")</f>
        <v>Baltics</v>
      </c>
      <c r="H4931" t="s">
        <v>6949</v>
      </c>
    </row>
    <row r="4932" spans="1:8">
      <c r="A4932" t="s">
        <v>5828</v>
      </c>
      <c r="B4932" t="s">
        <v>539</v>
      </c>
      <c r="C4932" s="1">
        <v>45513</v>
      </c>
      <c r="D4932" s="1" t="str">
        <f>PROPER(orders[[#This Row],[order_priority]])</f>
        <v>Same Day</v>
      </c>
      <c r="E4932" t="s">
        <v>13322</v>
      </c>
      <c r="F4932" t="str">
        <f>IFERROR(INDEX(customers[country], MATCH(orders[[#This Row],[customer_id]], customers[customer_id], 0)), "Unmapped")</f>
        <v>Sweden</v>
      </c>
      <c r="G4932" t="str">
        <f>IFERROR(INDEX(Region_Map[Region], MATCH(orders[[#This Row],[Customer_Country]], Region_Map[Country], 0)), "Unknown")</f>
        <v>Nordics</v>
      </c>
      <c r="H4932" t="s">
        <v>6949</v>
      </c>
    </row>
    <row r="4933" spans="1:8">
      <c r="A4933" t="s">
        <v>5829</v>
      </c>
      <c r="B4933" t="s">
        <v>237</v>
      </c>
      <c r="C4933" s="1">
        <v>45330</v>
      </c>
      <c r="D4933" s="1" t="str">
        <f>PROPER(orders[[#This Row],[order_priority]])</f>
        <v>Standard</v>
      </c>
      <c r="E4933" t="s">
        <v>13317</v>
      </c>
      <c r="F4933" t="str">
        <f>IFERROR(INDEX(customers[country], MATCH(orders[[#This Row],[customer_id]], customers[customer_id], 0)), "Unmapped")</f>
        <v>Sweden</v>
      </c>
      <c r="G4933" t="str">
        <f>IFERROR(INDEX(Region_Map[Region], MATCH(orders[[#This Row],[Customer_Country]], Region_Map[Country], 0)), "Unknown")</f>
        <v>Nordics</v>
      </c>
      <c r="H4933" t="s">
        <v>6949</v>
      </c>
    </row>
    <row r="4934" spans="1:8">
      <c r="A4934" t="s">
        <v>5830</v>
      </c>
      <c r="B4934" t="s">
        <v>425</v>
      </c>
      <c r="C4934" s="1">
        <v>45403</v>
      </c>
      <c r="D4934" s="1" t="str">
        <f>PROPER(orders[[#This Row],[order_priority]])</f>
        <v>Standard</v>
      </c>
      <c r="E4934" t="s">
        <v>13317</v>
      </c>
      <c r="F4934" t="str">
        <f>IFERROR(INDEX(customers[country], MATCH(orders[[#This Row],[customer_id]], customers[customer_id], 0)), "Unmapped")</f>
        <v>Denmark</v>
      </c>
      <c r="G4934" t="str">
        <f>IFERROR(INDEX(Region_Map[Region], MATCH(orders[[#This Row],[Customer_Country]], Region_Map[Country], 0)), "Unknown")</f>
        <v>Nordics</v>
      </c>
      <c r="H4934" t="s">
        <v>6949</v>
      </c>
    </row>
    <row r="4935" spans="1:8">
      <c r="A4935" t="s">
        <v>5831</v>
      </c>
      <c r="B4935" t="s">
        <v>766</v>
      </c>
      <c r="C4935" s="1">
        <v>45477</v>
      </c>
      <c r="D4935" s="1" t="str">
        <f>PROPER(orders[[#This Row],[order_priority]])</f>
        <v>Standard</v>
      </c>
      <c r="E4935" t="s">
        <v>13317</v>
      </c>
      <c r="F4935" t="str">
        <f>IFERROR(INDEX(customers[country], MATCH(orders[[#This Row],[customer_id]], customers[customer_id], 0)), "Unmapped")</f>
        <v>Germany</v>
      </c>
      <c r="G4935" t="str">
        <f>IFERROR(INDEX(Region_Map[Region], MATCH(orders[[#This Row],[Customer_Country]], Region_Map[Country], 0)), "Unknown")</f>
        <v>Central Europe</v>
      </c>
      <c r="H4935" t="s">
        <v>6949</v>
      </c>
    </row>
    <row r="4936" spans="1:8">
      <c r="A4936" t="s">
        <v>5832</v>
      </c>
      <c r="B4936" t="s">
        <v>670</v>
      </c>
      <c r="C4936" s="1">
        <v>45120</v>
      </c>
      <c r="D4936" s="1" t="str">
        <f>PROPER(orders[[#This Row],[order_priority]])</f>
        <v>Economy</v>
      </c>
      <c r="E4936" t="s">
        <v>13316</v>
      </c>
      <c r="F4936" t="str">
        <f>IFERROR(INDEX(customers[country], MATCH(orders[[#This Row],[customer_id]], customers[customer_id], 0)), "Unmapped")</f>
        <v>Netherlands</v>
      </c>
      <c r="G4936" t="str">
        <f>IFERROR(INDEX(Region_Map[Region], MATCH(orders[[#This Row],[Customer_Country]], Region_Map[Country], 0)), "Unknown")</f>
        <v>Central Europe</v>
      </c>
      <c r="H4936" t="s">
        <v>6949</v>
      </c>
    </row>
    <row r="4937" spans="1:8">
      <c r="A4937" t="s">
        <v>5833</v>
      </c>
      <c r="B4937" t="s">
        <v>512</v>
      </c>
      <c r="C4937" s="1">
        <v>45034</v>
      </c>
      <c r="D4937" s="1" t="str">
        <f>PROPER(orders[[#This Row],[order_priority]])</f>
        <v>Express</v>
      </c>
      <c r="E4937" t="s">
        <v>13318</v>
      </c>
      <c r="F4937" t="str">
        <f>IFERROR(INDEX(customers[country], MATCH(orders[[#This Row],[customer_id]], customers[customer_id], 0)), "Unmapped")</f>
        <v>Poland</v>
      </c>
      <c r="G4937" t="str">
        <f>IFERROR(INDEX(Region_Map[Region], MATCH(orders[[#This Row],[Customer_Country]], Region_Map[Country], 0)), "Unknown")</f>
        <v>Central Europe</v>
      </c>
      <c r="H4937" t="s">
        <v>6949</v>
      </c>
    </row>
    <row r="4938" spans="1:8">
      <c r="A4938" t="s">
        <v>5834</v>
      </c>
      <c r="B4938" t="s">
        <v>309</v>
      </c>
      <c r="C4938" s="1">
        <v>44955</v>
      </c>
      <c r="D4938" s="1" t="str">
        <f>PROPER(orders[[#This Row],[order_priority]])</f>
        <v>Economy</v>
      </c>
      <c r="E4938" t="s">
        <v>13316</v>
      </c>
      <c r="F4938" t="str">
        <f>IFERROR(INDEX(customers[country], MATCH(orders[[#This Row],[customer_id]], customers[customer_id], 0)), "Unmapped")</f>
        <v>Lithuania</v>
      </c>
      <c r="G4938" t="str">
        <f>IFERROR(INDEX(Region_Map[Region], MATCH(orders[[#This Row],[Customer_Country]], Region_Map[Country], 0)), "Unknown")</f>
        <v>Baltics</v>
      </c>
      <c r="H4938" t="s">
        <v>6949</v>
      </c>
    </row>
    <row r="4939" spans="1:8">
      <c r="A4939" t="s">
        <v>5835</v>
      </c>
      <c r="B4939" t="s">
        <v>784</v>
      </c>
      <c r="C4939" s="1">
        <v>45023</v>
      </c>
      <c r="D4939" s="1" t="str">
        <f>PROPER(orders[[#This Row],[order_priority]])</f>
        <v>Standard</v>
      </c>
      <c r="E4939" t="s">
        <v>13319</v>
      </c>
      <c r="F4939" t="str">
        <f>IFERROR(INDEX(customers[country], MATCH(orders[[#This Row],[customer_id]], customers[customer_id], 0)), "Unmapped")</f>
        <v>Estonia</v>
      </c>
      <c r="G4939" t="str">
        <f>IFERROR(INDEX(Region_Map[Region], MATCH(orders[[#This Row],[Customer_Country]], Region_Map[Country], 0)), "Unknown")</f>
        <v>Baltics</v>
      </c>
      <c r="H4939" t="s">
        <v>6949</v>
      </c>
    </row>
    <row r="4940" spans="1:8">
      <c r="A4940" t="s">
        <v>5836</v>
      </c>
      <c r="B4940" t="s">
        <v>464</v>
      </c>
      <c r="C4940" s="1">
        <v>45107</v>
      </c>
      <c r="D4940" s="1" t="str">
        <f>PROPER(orders[[#This Row],[order_priority]])</f>
        <v>Same Day</v>
      </c>
      <c r="E4940" t="s">
        <v>13322</v>
      </c>
      <c r="F4940" t="str">
        <f>IFERROR(INDEX(customers[country], MATCH(orders[[#This Row],[customer_id]], customers[customer_id], 0)), "Unmapped")</f>
        <v>Finland</v>
      </c>
      <c r="G4940" t="str">
        <f>IFERROR(INDEX(Region_Map[Region], MATCH(orders[[#This Row],[Customer_Country]], Region_Map[Country], 0)), "Unknown")</f>
        <v>Nordics</v>
      </c>
      <c r="H4940" t="s">
        <v>6949</v>
      </c>
    </row>
    <row r="4941" spans="1:8">
      <c r="A4941" t="s">
        <v>5837</v>
      </c>
      <c r="B4941" t="s">
        <v>629</v>
      </c>
      <c r="C4941" s="1">
        <v>45277</v>
      </c>
      <c r="D4941" s="1" t="str">
        <f>PROPER(orders[[#This Row],[order_priority]])</f>
        <v>Standard</v>
      </c>
      <c r="E4941" t="s">
        <v>13317</v>
      </c>
      <c r="F4941" t="str">
        <f>IFERROR(INDEX(customers[country], MATCH(orders[[#This Row],[customer_id]], customers[customer_id], 0)), "Unmapped")</f>
        <v>Lithuania</v>
      </c>
      <c r="G4941" t="str">
        <f>IFERROR(INDEX(Region_Map[Region], MATCH(orders[[#This Row],[Customer_Country]], Region_Map[Country], 0)), "Unknown")</f>
        <v>Baltics</v>
      </c>
      <c r="H4941" t="s">
        <v>6949</v>
      </c>
    </row>
    <row r="4942" spans="1:8">
      <c r="A4942" t="s">
        <v>5838</v>
      </c>
      <c r="B4942" t="s">
        <v>395</v>
      </c>
      <c r="C4942" s="1">
        <v>45330</v>
      </c>
      <c r="D4942" s="1" t="str">
        <f>PROPER(orders[[#This Row],[order_priority]])</f>
        <v>Express</v>
      </c>
      <c r="E4942" t="s">
        <v>13318</v>
      </c>
      <c r="F4942" t="str">
        <f>IFERROR(INDEX(customers[country], MATCH(orders[[#This Row],[customer_id]], customers[customer_id], 0)), "Unmapped")</f>
        <v>Sweden</v>
      </c>
      <c r="G4942" t="str">
        <f>IFERROR(INDEX(Region_Map[Region], MATCH(orders[[#This Row],[Customer_Country]], Region_Map[Country], 0)), "Unknown")</f>
        <v>Nordics</v>
      </c>
      <c r="H4942" t="s">
        <v>6949</v>
      </c>
    </row>
    <row r="4943" spans="1:8">
      <c r="A4943" t="s">
        <v>5839</v>
      </c>
      <c r="B4943" t="s">
        <v>77</v>
      </c>
      <c r="C4943" s="1">
        <v>45033</v>
      </c>
      <c r="D4943" s="1" t="str">
        <f>PROPER(orders[[#This Row],[order_priority]])</f>
        <v>Economy</v>
      </c>
      <c r="E4943" t="s">
        <v>13316</v>
      </c>
      <c r="F4943" t="str">
        <f>IFERROR(INDEX(customers[country], MATCH(orders[[#This Row],[customer_id]], customers[customer_id], 0)), "Unmapped")</f>
        <v>Lithuania</v>
      </c>
      <c r="G4943" t="str">
        <f>IFERROR(INDEX(Region_Map[Region], MATCH(orders[[#This Row],[Customer_Country]], Region_Map[Country], 0)), "Unknown")</f>
        <v>Baltics</v>
      </c>
      <c r="H4943" t="s">
        <v>6949</v>
      </c>
    </row>
    <row r="4944" spans="1:8">
      <c r="A4944" t="s">
        <v>5840</v>
      </c>
      <c r="B4944" t="s">
        <v>106</v>
      </c>
      <c r="C4944" s="1">
        <v>45337</v>
      </c>
      <c r="D4944" s="1" t="str">
        <f>PROPER(orders[[#This Row],[order_priority]])</f>
        <v>Express</v>
      </c>
      <c r="E4944" t="s">
        <v>13318</v>
      </c>
      <c r="F4944" t="str">
        <f>IFERROR(INDEX(customers[country], MATCH(orders[[#This Row],[customer_id]], customers[customer_id], 0)), "Unmapped")</f>
        <v>Lithuania</v>
      </c>
      <c r="G4944" t="str">
        <f>IFERROR(INDEX(Region_Map[Region], MATCH(orders[[#This Row],[Customer_Country]], Region_Map[Country], 0)), "Unknown")</f>
        <v>Baltics</v>
      </c>
      <c r="H4944" t="s">
        <v>6949</v>
      </c>
    </row>
    <row r="4945" spans="1:8">
      <c r="A4945" t="s">
        <v>5841</v>
      </c>
      <c r="B4945" t="s">
        <v>6949</v>
      </c>
      <c r="C4945" s="1">
        <v>45416</v>
      </c>
      <c r="D4945" s="1" t="str">
        <f>PROPER(orders[[#This Row],[order_priority]])</f>
        <v>Same Day</v>
      </c>
      <c r="E4945" t="s">
        <v>13322</v>
      </c>
      <c r="F4945" t="str">
        <f>IFERROR(INDEX(customers[country], MATCH(orders[[#This Row],[customer_id]], customers[customer_id], 0)), "Unmapped")</f>
        <v>Unmapped</v>
      </c>
      <c r="G4945" t="str">
        <f>IFERROR(INDEX(Region_Map[Region], MATCH(orders[[#This Row],[Customer_Country]], Region_Map[Country], 0)), "Unknown")</f>
        <v>Unknown</v>
      </c>
      <c r="H4945" t="s">
        <v>6949</v>
      </c>
    </row>
    <row r="4946" spans="1:8">
      <c r="A4946" t="s">
        <v>5842</v>
      </c>
      <c r="B4946" t="s">
        <v>533</v>
      </c>
      <c r="C4946" s="1">
        <v>44975</v>
      </c>
      <c r="D4946" s="1" t="str">
        <f>PROPER(orders[[#This Row],[order_priority]])</f>
        <v>Express</v>
      </c>
      <c r="E4946" t="s">
        <v>13318</v>
      </c>
      <c r="F4946" t="str">
        <f>IFERROR(INDEX(customers[country], MATCH(orders[[#This Row],[customer_id]], customers[customer_id], 0)), "Unmapped")</f>
        <v>Germany</v>
      </c>
      <c r="G4946" t="str">
        <f>IFERROR(INDEX(Region_Map[Region], MATCH(orders[[#This Row],[Customer_Country]], Region_Map[Country], 0)), "Unknown")</f>
        <v>Central Europe</v>
      </c>
      <c r="H4946" t="s">
        <v>6949</v>
      </c>
    </row>
    <row r="4947" spans="1:8">
      <c r="A4947" t="s">
        <v>5843</v>
      </c>
      <c r="B4947" t="s">
        <v>755</v>
      </c>
      <c r="C4947" s="1">
        <v>45505</v>
      </c>
      <c r="D4947" s="1" t="str">
        <f>PROPER(orders[[#This Row],[order_priority]])</f>
        <v>Standard</v>
      </c>
      <c r="E4947" t="s">
        <v>13317</v>
      </c>
      <c r="F4947" t="str">
        <f>IFERROR(INDEX(customers[country], MATCH(orders[[#This Row],[customer_id]], customers[customer_id], 0)), "Unmapped")</f>
        <v>Denmark</v>
      </c>
      <c r="G4947" t="str">
        <f>IFERROR(INDEX(Region_Map[Region], MATCH(orders[[#This Row],[Customer_Country]], Region_Map[Country], 0)), "Unknown")</f>
        <v>Nordics</v>
      </c>
      <c r="H4947" t="s">
        <v>6949</v>
      </c>
    </row>
    <row r="4948" spans="1:8">
      <c r="A4948" t="s">
        <v>5844</v>
      </c>
      <c r="B4948" t="s">
        <v>365</v>
      </c>
      <c r="C4948" s="1">
        <v>44944</v>
      </c>
      <c r="D4948" s="1" t="str">
        <f>PROPER(orders[[#This Row],[order_priority]])</f>
        <v>Express</v>
      </c>
      <c r="E4948" t="s">
        <v>13318</v>
      </c>
      <c r="F4948" t="str">
        <f>IFERROR(INDEX(customers[country], MATCH(orders[[#This Row],[customer_id]], customers[customer_id], 0)), "Unmapped")</f>
        <v>Poland</v>
      </c>
      <c r="G4948" t="str">
        <f>IFERROR(INDEX(Region_Map[Region], MATCH(orders[[#This Row],[Customer_Country]], Region_Map[Country], 0)), "Unknown")</f>
        <v>Central Europe</v>
      </c>
      <c r="H4948" t="s">
        <v>6949</v>
      </c>
    </row>
    <row r="4949" spans="1:8">
      <c r="A4949" t="s">
        <v>5845</v>
      </c>
      <c r="B4949" t="s">
        <v>252</v>
      </c>
      <c r="C4949" s="1">
        <v>45090</v>
      </c>
      <c r="D4949" s="1" t="str">
        <f>PROPER(orders[[#This Row],[order_priority]])</f>
        <v>Express</v>
      </c>
      <c r="E4949" t="s">
        <v>13320</v>
      </c>
      <c r="F4949" t="str">
        <f>IFERROR(INDEX(customers[country], MATCH(orders[[#This Row],[customer_id]], customers[customer_id], 0)), "Unmapped")</f>
        <v>Lithuania</v>
      </c>
      <c r="G4949" t="str">
        <f>IFERROR(INDEX(Region_Map[Region], MATCH(orders[[#This Row],[Customer_Country]], Region_Map[Country], 0)), "Unknown")</f>
        <v>Baltics</v>
      </c>
      <c r="H4949" t="s">
        <v>6949</v>
      </c>
    </row>
    <row r="4950" spans="1:8">
      <c r="A4950" t="s">
        <v>5846</v>
      </c>
      <c r="B4950" t="s">
        <v>763</v>
      </c>
      <c r="C4950" s="1">
        <v>45427</v>
      </c>
      <c r="D4950" s="1" t="str">
        <f>PROPER(orders[[#This Row],[order_priority]])</f>
        <v>Same Day</v>
      </c>
      <c r="E4950" t="s">
        <v>13322</v>
      </c>
      <c r="F4950" t="str">
        <f>IFERROR(INDEX(customers[country], MATCH(orders[[#This Row],[customer_id]], customers[customer_id], 0)), "Unmapped")</f>
        <v>Estonia</v>
      </c>
      <c r="G4950" t="str">
        <f>IFERROR(INDEX(Region_Map[Region], MATCH(orders[[#This Row],[Customer_Country]], Region_Map[Country], 0)), "Unknown")</f>
        <v>Baltics</v>
      </c>
      <c r="H4950" t="s">
        <v>6949</v>
      </c>
    </row>
    <row r="4951" spans="1:8">
      <c r="A4951" t="s">
        <v>5847</v>
      </c>
      <c r="B4951" t="s">
        <v>249</v>
      </c>
      <c r="C4951" s="1">
        <v>45095</v>
      </c>
      <c r="D4951" s="1" t="str">
        <f>PROPER(orders[[#This Row],[order_priority]])</f>
        <v>Same Day</v>
      </c>
      <c r="E4951" t="s">
        <v>13324</v>
      </c>
      <c r="F4951" t="str">
        <f>IFERROR(INDEX(customers[country], MATCH(orders[[#This Row],[customer_id]], customers[customer_id], 0)), "Unmapped")</f>
        <v>Estonia</v>
      </c>
      <c r="G4951" t="str">
        <f>IFERROR(INDEX(Region_Map[Region], MATCH(orders[[#This Row],[Customer_Country]], Region_Map[Country], 0)), "Unknown")</f>
        <v>Baltics</v>
      </c>
      <c r="H4951" t="s">
        <v>6949</v>
      </c>
    </row>
    <row r="4952" spans="1:8">
      <c r="A4952" t="s">
        <v>5848</v>
      </c>
      <c r="B4952" t="s">
        <v>769</v>
      </c>
      <c r="C4952" s="1">
        <v>45432</v>
      </c>
      <c r="D4952" s="1" t="str">
        <f>PROPER(orders[[#This Row],[order_priority]])</f>
        <v>Same Day</v>
      </c>
      <c r="E4952" t="s">
        <v>13322</v>
      </c>
      <c r="F4952" t="str">
        <f>IFERROR(INDEX(customers[country], MATCH(orders[[#This Row],[customer_id]], customers[customer_id], 0)), "Unmapped")</f>
        <v>Latvia</v>
      </c>
      <c r="G4952" t="str">
        <f>IFERROR(INDEX(Region_Map[Region], MATCH(orders[[#This Row],[Customer_Country]], Region_Map[Country], 0)), "Unknown")</f>
        <v>Baltics</v>
      </c>
      <c r="H4952" t="s">
        <v>6949</v>
      </c>
    </row>
    <row r="4953" spans="1:8">
      <c r="A4953" t="s">
        <v>5849</v>
      </c>
      <c r="B4953" t="s">
        <v>494</v>
      </c>
      <c r="C4953" s="1">
        <v>45604</v>
      </c>
      <c r="D4953" s="1" t="str">
        <f>PROPER(orders[[#This Row],[order_priority]])</f>
        <v>Standard</v>
      </c>
      <c r="E4953" t="s">
        <v>13319</v>
      </c>
      <c r="F4953" t="str">
        <f>IFERROR(INDEX(customers[country], MATCH(orders[[#This Row],[customer_id]], customers[customer_id], 0)), "Unmapped")</f>
        <v>Sweden</v>
      </c>
      <c r="G4953" t="str">
        <f>IFERROR(INDEX(Region_Map[Region], MATCH(orders[[#This Row],[Customer_Country]], Region_Map[Country], 0)), "Unknown")</f>
        <v>Nordics</v>
      </c>
      <c r="H4953" t="s">
        <v>6949</v>
      </c>
    </row>
    <row r="4954" spans="1:8">
      <c r="A4954" t="s">
        <v>2467</v>
      </c>
      <c r="B4954" t="s">
        <v>240</v>
      </c>
      <c r="C4954" s="1">
        <v>45605</v>
      </c>
      <c r="D4954" s="1" t="str">
        <f>PROPER(orders[[#This Row],[order_priority]])</f>
        <v>Economy</v>
      </c>
      <c r="E4954" t="s">
        <v>13316</v>
      </c>
      <c r="F4954" t="str">
        <f>IFERROR(INDEX(customers[country], MATCH(orders[[#This Row],[customer_id]], customers[customer_id], 0)), "Unmapped")</f>
        <v>Lithuania</v>
      </c>
      <c r="G4954" t="str">
        <f>IFERROR(INDEX(Region_Map[Region], MATCH(orders[[#This Row],[Customer_Country]], Region_Map[Country], 0)), "Unknown")</f>
        <v>Baltics</v>
      </c>
      <c r="H4954" t="s">
        <v>6949</v>
      </c>
    </row>
    <row r="4955" spans="1:8">
      <c r="A4955" t="s">
        <v>5850</v>
      </c>
      <c r="B4955" t="s">
        <v>626</v>
      </c>
      <c r="C4955" s="1">
        <v>44995</v>
      </c>
      <c r="D4955" s="1" t="str">
        <f>PROPER(orders[[#This Row],[order_priority]])</f>
        <v>Economy</v>
      </c>
      <c r="E4955" t="s">
        <v>13316</v>
      </c>
      <c r="F4955" t="str">
        <f>IFERROR(INDEX(customers[country], MATCH(orders[[#This Row],[customer_id]], customers[customer_id], 0)), "Unmapped")</f>
        <v>Denmark</v>
      </c>
      <c r="G4955" t="str">
        <f>IFERROR(INDEX(Region_Map[Region], MATCH(orders[[#This Row],[Customer_Country]], Region_Map[Country], 0)), "Unknown")</f>
        <v>Nordics</v>
      </c>
      <c r="H4955" t="s">
        <v>6949</v>
      </c>
    </row>
    <row r="4956" spans="1:8">
      <c r="A4956" t="s">
        <v>5851</v>
      </c>
      <c r="B4956" t="s">
        <v>446</v>
      </c>
      <c r="C4956" s="1">
        <v>45601</v>
      </c>
      <c r="D4956" s="1" t="str">
        <f>PROPER(orders[[#This Row],[order_priority]])</f>
        <v>Economy</v>
      </c>
      <c r="E4956" t="s">
        <v>13316</v>
      </c>
      <c r="F4956" t="str">
        <f>IFERROR(INDEX(customers[country], MATCH(orders[[#This Row],[customer_id]], customers[customer_id], 0)), "Unmapped")</f>
        <v>Sweden</v>
      </c>
      <c r="G4956" t="str">
        <f>IFERROR(INDEX(Region_Map[Region], MATCH(orders[[#This Row],[Customer_Country]], Region_Map[Country], 0)), "Unknown")</f>
        <v>Nordics</v>
      </c>
      <c r="H4956" t="s">
        <v>6949</v>
      </c>
    </row>
    <row r="4957" spans="1:8">
      <c r="A4957" t="s">
        <v>5852</v>
      </c>
      <c r="B4957" t="s">
        <v>115</v>
      </c>
      <c r="C4957" s="1">
        <v>45571</v>
      </c>
      <c r="D4957" s="1" t="str">
        <f>PROPER(orders[[#This Row],[order_priority]])</f>
        <v>Express</v>
      </c>
      <c r="E4957" t="s">
        <v>13318</v>
      </c>
      <c r="F4957" t="str">
        <f>IFERROR(INDEX(customers[country], MATCH(orders[[#This Row],[customer_id]], customers[customer_id], 0)), "Unmapped")</f>
        <v>Finland</v>
      </c>
      <c r="G4957" t="str">
        <f>IFERROR(INDEX(Region_Map[Region], MATCH(orders[[#This Row],[Customer_Country]], Region_Map[Country], 0)), "Unknown")</f>
        <v>Nordics</v>
      </c>
      <c r="H4957" t="s">
        <v>6949</v>
      </c>
    </row>
    <row r="4958" spans="1:8">
      <c r="A4958" t="s">
        <v>5853</v>
      </c>
      <c r="B4958" t="s">
        <v>584</v>
      </c>
      <c r="C4958" s="1">
        <v>45578</v>
      </c>
      <c r="D4958" s="1" t="str">
        <f>PROPER(orders[[#This Row],[order_priority]])</f>
        <v>Economy</v>
      </c>
      <c r="E4958" t="s">
        <v>13316</v>
      </c>
      <c r="F4958" t="str">
        <f>IFERROR(INDEX(customers[country], MATCH(orders[[#This Row],[customer_id]], customers[customer_id], 0)), "Unmapped")</f>
        <v>Netherlands</v>
      </c>
      <c r="G4958" t="str">
        <f>IFERROR(INDEX(Region_Map[Region], MATCH(orders[[#This Row],[Customer_Country]], Region_Map[Country], 0)), "Unknown")</f>
        <v>Central Europe</v>
      </c>
      <c r="H4958" t="s">
        <v>6949</v>
      </c>
    </row>
    <row r="4959" spans="1:8">
      <c r="A4959" t="s">
        <v>5854</v>
      </c>
      <c r="B4959" t="s">
        <v>246</v>
      </c>
      <c r="C4959" s="1">
        <v>45374</v>
      </c>
      <c r="D4959" s="1" t="str">
        <f>PROPER(orders[[#This Row],[order_priority]])</f>
        <v>Standard</v>
      </c>
      <c r="E4959" t="s">
        <v>13319</v>
      </c>
      <c r="F4959" t="str">
        <f>IFERROR(INDEX(customers[country], MATCH(orders[[#This Row],[customer_id]], customers[customer_id], 0)), "Unmapped")</f>
        <v>Netherlands</v>
      </c>
      <c r="G4959" t="str">
        <f>IFERROR(INDEX(Region_Map[Region], MATCH(orders[[#This Row],[Customer_Country]], Region_Map[Country], 0)), "Unknown")</f>
        <v>Central Europe</v>
      </c>
      <c r="H4959" t="s">
        <v>6949</v>
      </c>
    </row>
    <row r="4960" spans="1:8">
      <c r="A4960" t="s">
        <v>5855</v>
      </c>
      <c r="B4960" t="s">
        <v>344</v>
      </c>
      <c r="C4960" s="1">
        <v>45227</v>
      </c>
      <c r="D4960" s="1" t="str">
        <f>PROPER(orders[[#This Row],[order_priority]])</f>
        <v>Same Day</v>
      </c>
      <c r="E4960" t="s">
        <v>13322</v>
      </c>
      <c r="F4960" t="str">
        <f>IFERROR(INDEX(customers[country], MATCH(orders[[#This Row],[customer_id]], customers[customer_id], 0)), "Unmapped")</f>
        <v>Estonia</v>
      </c>
      <c r="G4960" t="str">
        <f>IFERROR(INDEX(Region_Map[Region], MATCH(orders[[#This Row],[Customer_Country]], Region_Map[Country], 0)), "Unknown")</f>
        <v>Baltics</v>
      </c>
      <c r="H4960" t="s">
        <v>6949</v>
      </c>
    </row>
    <row r="4961" spans="1:8">
      <c r="A4961" t="s">
        <v>5856</v>
      </c>
      <c r="B4961" t="s">
        <v>852</v>
      </c>
      <c r="C4961" s="1">
        <v>45578</v>
      </c>
      <c r="D4961" s="1" t="str">
        <f>PROPER(orders[[#This Row],[order_priority]])</f>
        <v>Economy</v>
      </c>
      <c r="E4961" t="s">
        <v>13316</v>
      </c>
      <c r="F4961" t="str">
        <f>IFERROR(INDEX(customers[country], MATCH(orders[[#This Row],[customer_id]], customers[customer_id], 0)), "Unmapped")</f>
        <v>Sweden</v>
      </c>
      <c r="G4961" t="str">
        <f>IFERROR(INDEX(Region_Map[Region], MATCH(orders[[#This Row],[Customer_Country]], Region_Map[Country], 0)), "Unknown")</f>
        <v>Nordics</v>
      </c>
      <c r="H4961" t="s">
        <v>6949</v>
      </c>
    </row>
    <row r="4962" spans="1:8">
      <c r="A4962" t="s">
        <v>5857</v>
      </c>
      <c r="B4962" t="s">
        <v>473</v>
      </c>
      <c r="C4962" s="1">
        <v>45394</v>
      </c>
      <c r="D4962" s="1" t="str">
        <f>PROPER(orders[[#This Row],[order_priority]])</f>
        <v>Same Day</v>
      </c>
      <c r="E4962" t="s">
        <v>13322</v>
      </c>
      <c r="F4962" t="str">
        <f>IFERROR(INDEX(customers[country], MATCH(orders[[#This Row],[customer_id]], customers[customer_id], 0)), "Unmapped")</f>
        <v>Netherlands</v>
      </c>
      <c r="G4962" t="str">
        <f>IFERROR(INDEX(Region_Map[Region], MATCH(orders[[#This Row],[Customer_Country]], Region_Map[Country], 0)), "Unknown")</f>
        <v>Central Europe</v>
      </c>
      <c r="H4962" t="s">
        <v>6949</v>
      </c>
    </row>
    <row r="4963" spans="1:8">
      <c r="A4963" t="s">
        <v>5858</v>
      </c>
      <c r="B4963" t="s">
        <v>539</v>
      </c>
      <c r="C4963" s="1">
        <v>45240</v>
      </c>
      <c r="D4963" s="1" t="str">
        <f>PROPER(orders[[#This Row],[order_priority]])</f>
        <v>Express</v>
      </c>
      <c r="E4963" t="s">
        <v>13326</v>
      </c>
      <c r="F4963" t="str">
        <f>IFERROR(INDEX(customers[country], MATCH(orders[[#This Row],[customer_id]], customers[customer_id], 0)), "Unmapped")</f>
        <v>Sweden</v>
      </c>
      <c r="G4963" t="str">
        <f>IFERROR(INDEX(Region_Map[Region], MATCH(orders[[#This Row],[Customer_Country]], Region_Map[Country], 0)), "Unknown")</f>
        <v>Nordics</v>
      </c>
      <c r="H4963" t="s">
        <v>6949</v>
      </c>
    </row>
    <row r="4964" spans="1:8">
      <c r="A4964" t="s">
        <v>5859</v>
      </c>
      <c r="B4964" t="s">
        <v>796</v>
      </c>
      <c r="C4964" s="1">
        <v>44971</v>
      </c>
      <c r="D4964" s="1" t="str">
        <f>PROPER(orders[[#This Row],[order_priority]])</f>
        <v>Standard</v>
      </c>
      <c r="E4964" t="s">
        <v>13317</v>
      </c>
      <c r="F4964" t="str">
        <f>IFERROR(INDEX(customers[country], MATCH(orders[[#This Row],[customer_id]], customers[customer_id], 0)), "Unmapped")</f>
        <v>Sweden</v>
      </c>
      <c r="G4964" t="str">
        <f>IFERROR(INDEX(Region_Map[Region], MATCH(orders[[#This Row],[Customer_Country]], Region_Map[Country], 0)), "Unknown")</f>
        <v>Nordics</v>
      </c>
      <c r="H4964" t="s">
        <v>6949</v>
      </c>
    </row>
    <row r="4965" spans="1:8">
      <c r="A4965" t="s">
        <v>5860</v>
      </c>
      <c r="B4965" t="s">
        <v>521</v>
      </c>
      <c r="C4965" s="1">
        <v>45506</v>
      </c>
      <c r="D4965" s="1" t="str">
        <f>PROPER(orders[[#This Row],[order_priority]])</f>
        <v>Same Day</v>
      </c>
      <c r="E4965" t="s">
        <v>13322</v>
      </c>
      <c r="F4965" t="str">
        <f>IFERROR(INDEX(customers[country], MATCH(orders[[#This Row],[customer_id]], customers[customer_id], 0)), "Unmapped")</f>
        <v>Norway</v>
      </c>
      <c r="G4965" t="str">
        <f>IFERROR(INDEX(Region_Map[Region], MATCH(orders[[#This Row],[Customer_Country]], Region_Map[Country], 0)), "Unknown")</f>
        <v>Nordics</v>
      </c>
      <c r="H4965" t="s">
        <v>6949</v>
      </c>
    </row>
    <row r="4966" spans="1:8">
      <c r="A4966" t="s">
        <v>5861</v>
      </c>
      <c r="B4966" t="s">
        <v>166</v>
      </c>
      <c r="C4966" s="1">
        <v>45444</v>
      </c>
      <c r="D4966" s="1" t="str">
        <f>PROPER(orders[[#This Row],[order_priority]])</f>
        <v>Same Day</v>
      </c>
      <c r="E4966" t="s">
        <v>13322</v>
      </c>
      <c r="F4966" t="str">
        <f>IFERROR(INDEX(customers[country], MATCH(orders[[#This Row],[customer_id]], customers[customer_id], 0)), "Unmapped")</f>
        <v>Denmark</v>
      </c>
      <c r="G4966" t="str">
        <f>IFERROR(INDEX(Region_Map[Region], MATCH(orders[[#This Row],[Customer_Country]], Region_Map[Country], 0)), "Unknown")</f>
        <v>Nordics</v>
      </c>
      <c r="H4966" t="s">
        <v>6949</v>
      </c>
    </row>
    <row r="4967" spans="1:8">
      <c r="A4967" t="s">
        <v>5862</v>
      </c>
      <c r="B4967" t="s">
        <v>422</v>
      </c>
      <c r="C4967" s="1">
        <v>45278</v>
      </c>
      <c r="D4967" s="1" t="str">
        <f>PROPER(orders[[#This Row],[order_priority]])</f>
        <v>Express</v>
      </c>
      <c r="E4967" t="s">
        <v>13318</v>
      </c>
      <c r="F4967" t="str">
        <f>IFERROR(INDEX(customers[country], MATCH(orders[[#This Row],[customer_id]], customers[customer_id], 0)), "Unmapped")</f>
        <v>Germany</v>
      </c>
      <c r="G4967" t="str">
        <f>IFERROR(INDEX(Region_Map[Region], MATCH(orders[[#This Row],[Customer_Country]], Region_Map[Country], 0)), "Unknown")</f>
        <v>Central Europe</v>
      </c>
      <c r="H4967" t="s">
        <v>6949</v>
      </c>
    </row>
    <row r="4968" spans="1:8">
      <c r="A4968" t="s">
        <v>1602</v>
      </c>
      <c r="B4968" t="s">
        <v>172</v>
      </c>
      <c r="C4968" s="1">
        <v>45297</v>
      </c>
      <c r="D4968" s="1" t="str">
        <f>PROPER(orders[[#This Row],[order_priority]])</f>
        <v>Same Day</v>
      </c>
      <c r="E4968" t="s">
        <v>13322</v>
      </c>
      <c r="F4968" t="str">
        <f>IFERROR(INDEX(customers[country], MATCH(orders[[#This Row],[customer_id]], customers[customer_id], 0)), "Unmapped")</f>
        <v>Denmark</v>
      </c>
      <c r="G4968" t="str">
        <f>IFERROR(INDEX(Region_Map[Region], MATCH(orders[[#This Row],[Customer_Country]], Region_Map[Country], 0)), "Unknown")</f>
        <v>Nordics</v>
      </c>
      <c r="H4968" t="s">
        <v>6949</v>
      </c>
    </row>
    <row r="4969" spans="1:8">
      <c r="A4969" t="s">
        <v>5863</v>
      </c>
      <c r="B4969" t="s">
        <v>512</v>
      </c>
      <c r="C4969" s="1">
        <v>45133</v>
      </c>
      <c r="D4969" s="1" t="str">
        <f>PROPER(orders[[#This Row],[order_priority]])</f>
        <v>Express</v>
      </c>
      <c r="E4969" t="s">
        <v>13318</v>
      </c>
      <c r="F4969" t="str">
        <f>IFERROR(INDEX(customers[country], MATCH(orders[[#This Row],[customer_id]], customers[customer_id], 0)), "Unmapped")</f>
        <v>Poland</v>
      </c>
      <c r="G4969" t="str">
        <f>IFERROR(INDEX(Region_Map[Region], MATCH(orders[[#This Row],[Customer_Country]], Region_Map[Country], 0)), "Unknown")</f>
        <v>Central Europe</v>
      </c>
      <c r="H4969" t="s">
        <v>6949</v>
      </c>
    </row>
    <row r="4970" spans="1:8">
      <c r="A4970" t="s">
        <v>5864</v>
      </c>
      <c r="B4970" t="s">
        <v>27</v>
      </c>
      <c r="C4970" s="1">
        <v>45290</v>
      </c>
      <c r="D4970" s="1" t="str">
        <f>PROPER(orders[[#This Row],[order_priority]])</f>
        <v>Express</v>
      </c>
      <c r="E4970" t="s">
        <v>13320</v>
      </c>
      <c r="F4970" t="str">
        <f>IFERROR(INDEX(customers[country], MATCH(orders[[#This Row],[customer_id]], customers[customer_id], 0)), "Unmapped")</f>
        <v>Latvia</v>
      </c>
      <c r="G4970" t="str">
        <f>IFERROR(INDEX(Region_Map[Region], MATCH(orders[[#This Row],[Customer_Country]], Region_Map[Country], 0)), "Unknown")</f>
        <v>Baltics</v>
      </c>
      <c r="H4970" t="s">
        <v>6949</v>
      </c>
    </row>
    <row r="4971" spans="1:8">
      <c r="A4971" t="s">
        <v>5865</v>
      </c>
      <c r="B4971" t="s">
        <v>121</v>
      </c>
      <c r="C4971" s="1">
        <v>45536</v>
      </c>
      <c r="D4971" s="1" t="str">
        <f>PROPER(orders[[#This Row],[order_priority]])</f>
        <v>Standard</v>
      </c>
      <c r="E4971" t="s">
        <v>13317</v>
      </c>
      <c r="F4971" t="str">
        <f>IFERROR(INDEX(customers[country], MATCH(orders[[#This Row],[customer_id]], customers[customer_id], 0)), "Unmapped")</f>
        <v>Estonia</v>
      </c>
      <c r="G4971" t="str">
        <f>IFERROR(INDEX(Region_Map[Region], MATCH(orders[[#This Row],[Customer_Country]], Region_Map[Country], 0)), "Unknown")</f>
        <v>Baltics</v>
      </c>
      <c r="H4971" t="s">
        <v>6949</v>
      </c>
    </row>
    <row r="4972" spans="1:8">
      <c r="A4972" t="s">
        <v>5866</v>
      </c>
      <c r="B4972" t="s">
        <v>243</v>
      </c>
      <c r="C4972" s="1">
        <v>44982</v>
      </c>
      <c r="D4972" s="1" t="str">
        <f>PROPER(orders[[#This Row],[order_priority]])</f>
        <v>Economy</v>
      </c>
      <c r="E4972" t="s">
        <v>13328</v>
      </c>
      <c r="F4972" t="str">
        <f>IFERROR(INDEX(customers[country], MATCH(orders[[#This Row],[customer_id]], customers[customer_id], 0)), "Unmapped")</f>
        <v>Netherlands</v>
      </c>
      <c r="G4972" t="str">
        <f>IFERROR(INDEX(Region_Map[Region], MATCH(orders[[#This Row],[Customer_Country]], Region_Map[Country], 0)), "Unknown")</f>
        <v>Central Europe</v>
      </c>
      <c r="H4972" t="s">
        <v>6949</v>
      </c>
    </row>
    <row r="4973" spans="1:8">
      <c r="A4973" t="s">
        <v>5867</v>
      </c>
      <c r="B4973" t="s">
        <v>593</v>
      </c>
      <c r="C4973" s="1">
        <v>45489</v>
      </c>
      <c r="D4973" s="1" t="str">
        <f>PROPER(orders[[#This Row],[order_priority]])</f>
        <v>Economy</v>
      </c>
      <c r="E4973" t="s">
        <v>13316</v>
      </c>
      <c r="F4973" t="str">
        <f>IFERROR(INDEX(customers[country], MATCH(orders[[#This Row],[customer_id]], customers[customer_id], 0)), "Unmapped")</f>
        <v>Estonia</v>
      </c>
      <c r="G4973" t="str">
        <f>IFERROR(INDEX(Region_Map[Region], MATCH(orders[[#This Row],[Customer_Country]], Region_Map[Country], 0)), "Unknown")</f>
        <v>Baltics</v>
      </c>
      <c r="H4973" t="s">
        <v>6949</v>
      </c>
    </row>
    <row r="4974" spans="1:8">
      <c r="A4974" t="s">
        <v>5868</v>
      </c>
      <c r="B4974" t="s">
        <v>320</v>
      </c>
      <c r="C4974" s="1">
        <v>45582</v>
      </c>
      <c r="D4974" s="1" t="str">
        <f>PROPER(orders[[#This Row],[order_priority]])</f>
        <v>Same Day</v>
      </c>
      <c r="E4974" t="s">
        <v>13322</v>
      </c>
      <c r="F4974" t="str">
        <f>IFERROR(INDEX(customers[country], MATCH(orders[[#This Row],[customer_id]], customers[customer_id], 0)), "Unmapped")</f>
        <v>Sweden</v>
      </c>
      <c r="G4974" t="str">
        <f>IFERROR(INDEX(Region_Map[Region], MATCH(orders[[#This Row],[Customer_Country]], Region_Map[Country], 0)), "Unknown")</f>
        <v>Nordics</v>
      </c>
      <c r="H4974" t="s">
        <v>6949</v>
      </c>
    </row>
    <row r="4975" spans="1:8">
      <c r="A4975" t="s">
        <v>5869</v>
      </c>
      <c r="B4975" t="s">
        <v>413</v>
      </c>
      <c r="C4975" s="1">
        <v>45066</v>
      </c>
      <c r="D4975" s="1" t="str">
        <f>PROPER(orders[[#This Row],[order_priority]])</f>
        <v>Standard</v>
      </c>
      <c r="E4975" t="s">
        <v>13317</v>
      </c>
      <c r="F4975" t="str">
        <f>IFERROR(INDEX(customers[country], MATCH(orders[[#This Row],[customer_id]], customers[customer_id], 0)), "Unmapped")</f>
        <v>Poland</v>
      </c>
      <c r="G4975" t="str">
        <f>IFERROR(INDEX(Region_Map[Region], MATCH(orders[[#This Row],[Customer_Country]], Region_Map[Country], 0)), "Unknown")</f>
        <v>Central Europe</v>
      </c>
      <c r="H4975" t="s">
        <v>6949</v>
      </c>
    </row>
    <row r="4976" spans="1:8">
      <c r="A4976" t="s">
        <v>5870</v>
      </c>
      <c r="B4976" t="s">
        <v>178</v>
      </c>
      <c r="C4976" s="1">
        <v>45438</v>
      </c>
      <c r="D4976" s="1" t="str">
        <f>PROPER(orders[[#This Row],[order_priority]])</f>
        <v>Same Day</v>
      </c>
      <c r="E4976" t="s">
        <v>13322</v>
      </c>
      <c r="F4976" t="str">
        <f>IFERROR(INDEX(customers[country], MATCH(orders[[#This Row],[customer_id]], customers[customer_id], 0)), "Unmapped")</f>
        <v>Poland</v>
      </c>
      <c r="G4976" t="str">
        <f>IFERROR(INDEX(Region_Map[Region], MATCH(orders[[#This Row],[Customer_Country]], Region_Map[Country], 0)), "Unknown")</f>
        <v>Central Europe</v>
      </c>
      <c r="H4976" t="s">
        <v>6949</v>
      </c>
    </row>
    <row r="4977" spans="1:8">
      <c r="A4977" t="s">
        <v>5871</v>
      </c>
      <c r="B4977" t="s">
        <v>590</v>
      </c>
      <c r="C4977" s="1">
        <v>44967</v>
      </c>
      <c r="D4977" s="1" t="str">
        <f>PROPER(orders[[#This Row],[order_priority]])</f>
        <v>Standard</v>
      </c>
      <c r="E4977" t="s">
        <v>13317</v>
      </c>
      <c r="F4977" t="str">
        <f>IFERROR(INDEX(customers[country], MATCH(orders[[#This Row],[customer_id]], customers[customer_id], 0)), "Unmapped")</f>
        <v>Finland</v>
      </c>
      <c r="G4977" t="str">
        <f>IFERROR(INDEX(Region_Map[Region], MATCH(orders[[#This Row],[Customer_Country]], Region_Map[Country], 0)), "Unknown")</f>
        <v>Nordics</v>
      </c>
      <c r="H4977" t="s">
        <v>6949</v>
      </c>
    </row>
    <row r="4978" spans="1:8">
      <c r="A4978" t="s">
        <v>5872</v>
      </c>
      <c r="B4978" t="s">
        <v>602</v>
      </c>
      <c r="C4978" s="1">
        <v>45105</v>
      </c>
      <c r="D4978" s="1" t="str">
        <f>PROPER(orders[[#This Row],[order_priority]])</f>
        <v>Same Day</v>
      </c>
      <c r="E4978" t="s">
        <v>13322</v>
      </c>
      <c r="F4978" t="str">
        <f>IFERROR(INDEX(customers[country], MATCH(orders[[#This Row],[customer_id]], customers[customer_id], 0)), "Unmapped")</f>
        <v>Poland</v>
      </c>
      <c r="G4978" t="str">
        <f>IFERROR(INDEX(Region_Map[Region], MATCH(orders[[#This Row],[Customer_Country]], Region_Map[Country], 0)), "Unknown")</f>
        <v>Central Europe</v>
      </c>
      <c r="H4978" t="s">
        <v>6949</v>
      </c>
    </row>
    <row r="4979" spans="1:8">
      <c r="A4979" t="s">
        <v>5873</v>
      </c>
      <c r="B4979" t="s">
        <v>790</v>
      </c>
      <c r="C4979" s="1">
        <v>45253</v>
      </c>
      <c r="D4979" s="1" t="str">
        <f>PROPER(orders[[#This Row],[order_priority]])</f>
        <v>Express</v>
      </c>
      <c r="E4979" t="s">
        <v>13318</v>
      </c>
      <c r="F4979" t="str">
        <f>IFERROR(INDEX(customers[country], MATCH(orders[[#This Row],[customer_id]], customers[customer_id], 0)), "Unmapped")</f>
        <v>Germany</v>
      </c>
      <c r="G4979" t="str">
        <f>IFERROR(INDEX(Region_Map[Region], MATCH(orders[[#This Row],[Customer_Country]], Region_Map[Country], 0)), "Unknown")</f>
        <v>Central Europe</v>
      </c>
      <c r="H4979" t="s">
        <v>6949</v>
      </c>
    </row>
    <row r="4980" spans="1:8">
      <c r="A4980" t="s">
        <v>5874</v>
      </c>
      <c r="B4980" t="s">
        <v>136</v>
      </c>
      <c r="C4980" s="1">
        <v>45482</v>
      </c>
      <c r="D4980" s="1" t="str">
        <f>PROPER(orders[[#This Row],[order_priority]])</f>
        <v>Express</v>
      </c>
      <c r="E4980" t="s">
        <v>13318</v>
      </c>
      <c r="F4980" t="str">
        <f>IFERROR(INDEX(customers[country], MATCH(orders[[#This Row],[customer_id]], customers[customer_id], 0)), "Unmapped")</f>
        <v>Sweden</v>
      </c>
      <c r="G4980" t="str">
        <f>IFERROR(INDEX(Region_Map[Region], MATCH(orders[[#This Row],[Customer_Country]], Region_Map[Country], 0)), "Unknown")</f>
        <v>Nordics</v>
      </c>
      <c r="H4980" t="s">
        <v>6949</v>
      </c>
    </row>
    <row r="4981" spans="1:8">
      <c r="A4981" t="s">
        <v>5875</v>
      </c>
      <c r="B4981" t="s">
        <v>575</v>
      </c>
      <c r="C4981" s="1">
        <v>44929</v>
      </c>
      <c r="D4981" s="1" t="str">
        <f>PROPER(orders[[#This Row],[order_priority]])</f>
        <v>Same Day</v>
      </c>
      <c r="E4981" t="s">
        <v>13321</v>
      </c>
      <c r="F4981" t="str">
        <f>IFERROR(INDEX(customers[country], MATCH(orders[[#This Row],[customer_id]], customers[customer_id], 0)), "Unmapped")</f>
        <v>Netherlands</v>
      </c>
      <c r="G4981" t="str">
        <f>IFERROR(INDEX(Region_Map[Region], MATCH(orders[[#This Row],[Customer_Country]], Region_Map[Country], 0)), "Unknown")</f>
        <v>Central Europe</v>
      </c>
      <c r="H4981" t="s">
        <v>6949</v>
      </c>
    </row>
    <row r="4982" spans="1:8">
      <c r="A4982" t="s">
        <v>5876</v>
      </c>
      <c r="B4982" t="s">
        <v>243</v>
      </c>
      <c r="C4982" s="1">
        <v>45091</v>
      </c>
      <c r="D4982" s="1" t="str">
        <f>PROPER(orders[[#This Row],[order_priority]])</f>
        <v>Same Day</v>
      </c>
      <c r="E4982" t="s">
        <v>13322</v>
      </c>
      <c r="F4982" t="str">
        <f>IFERROR(INDEX(customers[country], MATCH(orders[[#This Row],[customer_id]], customers[customer_id], 0)), "Unmapped")</f>
        <v>Netherlands</v>
      </c>
      <c r="G4982" t="str">
        <f>IFERROR(INDEX(Region_Map[Region], MATCH(orders[[#This Row],[Customer_Country]], Region_Map[Country], 0)), "Unknown")</f>
        <v>Central Europe</v>
      </c>
      <c r="H4982" t="s">
        <v>6949</v>
      </c>
    </row>
    <row r="4983" spans="1:8">
      <c r="A4983" t="s">
        <v>5877</v>
      </c>
      <c r="B4983" t="s">
        <v>763</v>
      </c>
      <c r="C4983" s="1">
        <v>44980</v>
      </c>
      <c r="D4983" s="1" t="str">
        <f>PROPER(orders[[#This Row],[order_priority]])</f>
        <v>Express</v>
      </c>
      <c r="E4983" t="s">
        <v>13326</v>
      </c>
      <c r="F4983" t="str">
        <f>IFERROR(INDEX(customers[country], MATCH(orders[[#This Row],[customer_id]], customers[customer_id], 0)), "Unmapped")</f>
        <v>Estonia</v>
      </c>
      <c r="G4983" t="str">
        <f>IFERROR(INDEX(Region_Map[Region], MATCH(orders[[#This Row],[Customer_Country]], Region_Map[Country], 0)), "Unknown")</f>
        <v>Baltics</v>
      </c>
      <c r="H4983" t="s">
        <v>6949</v>
      </c>
    </row>
    <row r="4984" spans="1:8">
      <c r="A4984" t="s">
        <v>5878</v>
      </c>
      <c r="B4984" t="s">
        <v>365</v>
      </c>
      <c r="C4984" s="1">
        <v>45105</v>
      </c>
      <c r="D4984" s="1" t="str">
        <f>PROPER(orders[[#This Row],[order_priority]])</f>
        <v>Express</v>
      </c>
      <c r="E4984" t="s">
        <v>13318</v>
      </c>
      <c r="F4984" t="str">
        <f>IFERROR(INDEX(customers[country], MATCH(orders[[#This Row],[customer_id]], customers[customer_id], 0)), "Unmapped")</f>
        <v>Poland</v>
      </c>
      <c r="G4984" t="str">
        <f>IFERROR(INDEX(Region_Map[Region], MATCH(orders[[#This Row],[Customer_Country]], Region_Map[Country], 0)), "Unknown")</f>
        <v>Central Europe</v>
      </c>
      <c r="H4984" t="s">
        <v>6949</v>
      </c>
    </row>
    <row r="4985" spans="1:8">
      <c r="A4985" t="s">
        <v>5879</v>
      </c>
      <c r="B4985" t="s">
        <v>70</v>
      </c>
      <c r="C4985" s="1">
        <v>45498</v>
      </c>
      <c r="D4985" s="1" t="str">
        <f>PROPER(orders[[#This Row],[order_priority]])</f>
        <v>Standard</v>
      </c>
      <c r="E4985" t="s">
        <v>13317</v>
      </c>
      <c r="F4985" t="str">
        <f>IFERROR(INDEX(customers[country], MATCH(orders[[#This Row],[customer_id]], customers[customer_id], 0)), "Unmapped")</f>
        <v>Estonia</v>
      </c>
      <c r="G4985" t="str">
        <f>IFERROR(INDEX(Region_Map[Region], MATCH(orders[[#This Row],[Customer_Country]], Region_Map[Country], 0)), "Unknown")</f>
        <v>Baltics</v>
      </c>
      <c r="H4985" t="s">
        <v>6949</v>
      </c>
    </row>
    <row r="4986" spans="1:8">
      <c r="A4986" t="s">
        <v>5880</v>
      </c>
      <c r="B4986" t="s">
        <v>410</v>
      </c>
      <c r="C4986" s="1">
        <v>45302</v>
      </c>
      <c r="D4986" s="1" t="str">
        <f>PROPER(orders[[#This Row],[order_priority]])</f>
        <v>Economy</v>
      </c>
      <c r="E4986" t="s">
        <v>13316</v>
      </c>
      <c r="F4986" t="str">
        <f>IFERROR(INDEX(customers[country], MATCH(orders[[#This Row],[customer_id]], customers[customer_id], 0)), "Unmapped")</f>
        <v>Norway</v>
      </c>
      <c r="G4986" t="str">
        <f>IFERROR(INDEX(Region_Map[Region], MATCH(orders[[#This Row],[Customer_Country]], Region_Map[Country], 0)), "Unknown")</f>
        <v>Nordics</v>
      </c>
      <c r="H4986" t="s">
        <v>6949</v>
      </c>
    </row>
    <row r="4987" spans="1:8">
      <c r="A4987" t="s">
        <v>5881</v>
      </c>
      <c r="B4987" t="s">
        <v>407</v>
      </c>
      <c r="C4987" s="1">
        <v>45272</v>
      </c>
      <c r="D4987" s="1" t="str">
        <f>PROPER(orders[[#This Row],[order_priority]])</f>
        <v>Economy</v>
      </c>
      <c r="E4987" t="s">
        <v>13316</v>
      </c>
      <c r="F4987" t="str">
        <f>IFERROR(INDEX(customers[country], MATCH(orders[[#This Row],[customer_id]], customers[customer_id], 0)), "Unmapped")</f>
        <v>Poland</v>
      </c>
      <c r="G4987" t="str">
        <f>IFERROR(INDEX(Region_Map[Region], MATCH(orders[[#This Row],[Customer_Country]], Region_Map[Country], 0)), "Unknown")</f>
        <v>Central Europe</v>
      </c>
      <c r="H4987" t="s">
        <v>6949</v>
      </c>
    </row>
    <row r="4988" spans="1:8">
      <c r="A4988" t="s">
        <v>5882</v>
      </c>
      <c r="B4988" t="s">
        <v>644</v>
      </c>
      <c r="C4988" s="1">
        <v>45298</v>
      </c>
      <c r="D4988" s="1" t="str">
        <f>PROPER(orders[[#This Row],[order_priority]])</f>
        <v>Economy</v>
      </c>
      <c r="E4988" t="s">
        <v>13316</v>
      </c>
      <c r="F4988" t="str">
        <f>IFERROR(INDEX(customers[country], MATCH(orders[[#This Row],[customer_id]], customers[customer_id], 0)), "Unmapped")</f>
        <v>Germany</v>
      </c>
      <c r="G4988" t="str">
        <f>IFERROR(INDEX(Region_Map[Region], MATCH(orders[[#This Row],[Customer_Country]], Region_Map[Country], 0)), "Unknown")</f>
        <v>Central Europe</v>
      </c>
      <c r="H4988" t="s">
        <v>6949</v>
      </c>
    </row>
    <row r="4989" spans="1:8">
      <c r="A4989" t="s">
        <v>5883</v>
      </c>
      <c r="B4989" t="s">
        <v>605</v>
      </c>
      <c r="C4989" s="1">
        <v>45466</v>
      </c>
      <c r="D4989" s="1" t="str">
        <f>PROPER(orders[[#This Row],[order_priority]])</f>
        <v>Economy</v>
      </c>
      <c r="E4989" t="s">
        <v>13316</v>
      </c>
      <c r="F4989" t="str">
        <f>IFERROR(INDEX(customers[country], MATCH(orders[[#This Row],[customer_id]], customers[customer_id], 0)), "Unmapped")</f>
        <v>Lithuania</v>
      </c>
      <c r="G4989" t="str">
        <f>IFERROR(INDEX(Region_Map[Region], MATCH(orders[[#This Row],[Customer_Country]], Region_Map[Country], 0)), "Unknown")</f>
        <v>Baltics</v>
      </c>
      <c r="H4989" t="s">
        <v>6949</v>
      </c>
    </row>
    <row r="4990" spans="1:8">
      <c r="A4990" t="s">
        <v>5884</v>
      </c>
      <c r="B4990" t="s">
        <v>828</v>
      </c>
      <c r="C4990" s="1">
        <v>45315</v>
      </c>
      <c r="D4990" s="1" t="str">
        <f>PROPER(orders[[#This Row],[order_priority]])</f>
        <v>Express</v>
      </c>
      <c r="E4990" t="s">
        <v>13318</v>
      </c>
      <c r="F4990" t="str">
        <f>IFERROR(INDEX(customers[country], MATCH(orders[[#This Row],[customer_id]], customers[customer_id], 0)), "Unmapped")</f>
        <v>Germany</v>
      </c>
      <c r="G4990" t="str">
        <f>IFERROR(INDEX(Region_Map[Region], MATCH(orders[[#This Row],[Customer_Country]], Region_Map[Country], 0)), "Unknown")</f>
        <v>Central Europe</v>
      </c>
      <c r="H4990" t="s">
        <v>6949</v>
      </c>
    </row>
    <row r="4991" spans="1:8">
      <c r="A4991" t="s">
        <v>5885</v>
      </c>
      <c r="B4991" t="s">
        <v>389</v>
      </c>
      <c r="C4991" s="1">
        <v>45069</v>
      </c>
      <c r="D4991" s="1" t="str">
        <f>PROPER(orders[[#This Row],[order_priority]])</f>
        <v>Express</v>
      </c>
      <c r="E4991" t="s">
        <v>13318</v>
      </c>
      <c r="F4991" t="str">
        <f>IFERROR(INDEX(customers[country], MATCH(orders[[#This Row],[customer_id]], customers[customer_id], 0)), "Unmapped")</f>
        <v>Poland</v>
      </c>
      <c r="G4991" t="str">
        <f>IFERROR(INDEX(Region_Map[Region], MATCH(orders[[#This Row],[Customer_Country]], Region_Map[Country], 0)), "Unknown")</f>
        <v>Central Europe</v>
      </c>
      <c r="H4991" t="s">
        <v>6949</v>
      </c>
    </row>
    <row r="4992" spans="1:8">
      <c r="A4992" t="s">
        <v>5886</v>
      </c>
      <c r="B4992" t="s">
        <v>864</v>
      </c>
      <c r="C4992" s="1">
        <v>45524</v>
      </c>
      <c r="D4992" s="1" t="str">
        <f>PROPER(orders[[#This Row],[order_priority]])</f>
        <v>Economy</v>
      </c>
      <c r="E4992" t="s">
        <v>13316</v>
      </c>
      <c r="F4992" t="str">
        <f>IFERROR(INDEX(customers[country], MATCH(orders[[#This Row],[customer_id]], customers[customer_id], 0)), "Unmapped")</f>
        <v>Finland</v>
      </c>
      <c r="G4992" t="str">
        <f>IFERROR(INDEX(Region_Map[Region], MATCH(orders[[#This Row],[Customer_Country]], Region_Map[Country], 0)), "Unknown")</f>
        <v>Nordics</v>
      </c>
      <c r="H4992" t="s">
        <v>6949</v>
      </c>
    </row>
    <row r="4993" spans="1:8">
      <c r="A4993" t="s">
        <v>5887</v>
      </c>
      <c r="B4993" t="s">
        <v>822</v>
      </c>
      <c r="C4993" s="1">
        <v>45044</v>
      </c>
      <c r="D4993" s="1" t="str">
        <f>PROPER(orders[[#This Row],[order_priority]])</f>
        <v>Standard</v>
      </c>
      <c r="E4993" t="s">
        <v>13317</v>
      </c>
      <c r="F4993" t="str">
        <f>IFERROR(INDEX(customers[country], MATCH(orders[[#This Row],[customer_id]], customers[customer_id], 0)), "Unmapped")</f>
        <v>Netherlands</v>
      </c>
      <c r="G4993" t="str">
        <f>IFERROR(INDEX(Region_Map[Region], MATCH(orders[[#This Row],[Customer_Country]], Region_Map[Country], 0)), "Unknown")</f>
        <v>Central Europe</v>
      </c>
      <c r="H4993" t="s">
        <v>6949</v>
      </c>
    </row>
    <row r="4994" spans="1:8">
      <c r="A4994" t="s">
        <v>5888</v>
      </c>
      <c r="B4994" t="s">
        <v>160</v>
      </c>
      <c r="C4994" s="1">
        <v>45211</v>
      </c>
      <c r="D4994" s="1" t="str">
        <f>PROPER(orders[[#This Row],[order_priority]])</f>
        <v>Economy</v>
      </c>
      <c r="E4994" t="s">
        <v>13316</v>
      </c>
      <c r="F4994" t="str">
        <f>IFERROR(INDEX(customers[country], MATCH(orders[[#This Row],[customer_id]], customers[customer_id], 0)), "Unmapped")</f>
        <v>Denmark</v>
      </c>
      <c r="G4994" t="str">
        <f>IFERROR(INDEX(Region_Map[Region], MATCH(orders[[#This Row],[Customer_Country]], Region_Map[Country], 0)), "Unknown")</f>
        <v>Nordics</v>
      </c>
      <c r="H4994" t="s">
        <v>6949</v>
      </c>
    </row>
    <row r="4995" spans="1:8">
      <c r="A4995" t="s">
        <v>5889</v>
      </c>
      <c r="B4995" t="s">
        <v>843</v>
      </c>
      <c r="C4995" s="1">
        <v>44958</v>
      </c>
      <c r="D4995" s="1" t="str">
        <f>PROPER(orders[[#This Row],[order_priority]])</f>
        <v>Express</v>
      </c>
      <c r="E4995" t="s">
        <v>13318</v>
      </c>
      <c r="F4995" t="str">
        <f>IFERROR(INDEX(customers[country], MATCH(orders[[#This Row],[customer_id]], customers[customer_id], 0)), "Unmapped")</f>
        <v>Netherlands</v>
      </c>
      <c r="G4995" t="str">
        <f>IFERROR(INDEX(Region_Map[Region], MATCH(orders[[#This Row],[Customer_Country]], Region_Map[Country], 0)), "Unknown")</f>
        <v>Central Europe</v>
      </c>
      <c r="H4995" t="s">
        <v>6949</v>
      </c>
    </row>
    <row r="4996" spans="1:8">
      <c r="A4996" t="s">
        <v>5890</v>
      </c>
      <c r="B4996" t="s">
        <v>87</v>
      </c>
      <c r="C4996" s="1">
        <v>45289</v>
      </c>
      <c r="D4996" s="1" t="str">
        <f>PROPER(orders[[#This Row],[order_priority]])</f>
        <v>Express</v>
      </c>
      <c r="E4996" t="s">
        <v>13318</v>
      </c>
      <c r="F4996" t="str">
        <f>IFERROR(INDEX(customers[country], MATCH(orders[[#This Row],[customer_id]], customers[customer_id], 0)), "Unmapped")</f>
        <v>Latvia</v>
      </c>
      <c r="G4996" t="str">
        <f>IFERROR(INDEX(Region_Map[Region], MATCH(orders[[#This Row],[Customer_Country]], Region_Map[Country], 0)), "Unknown")</f>
        <v>Baltics</v>
      </c>
      <c r="H4996" t="s">
        <v>6949</v>
      </c>
    </row>
    <row r="4997" spans="1:8">
      <c r="A4997" t="s">
        <v>5891</v>
      </c>
      <c r="B4997" t="s">
        <v>626</v>
      </c>
      <c r="C4997" s="1">
        <v>45101</v>
      </c>
      <c r="D4997" s="1" t="str">
        <f>PROPER(orders[[#This Row],[order_priority]])</f>
        <v>Standard</v>
      </c>
      <c r="E4997" t="s">
        <v>13317</v>
      </c>
      <c r="F4997" t="str">
        <f>IFERROR(INDEX(customers[country], MATCH(orders[[#This Row],[customer_id]], customers[customer_id], 0)), "Unmapped")</f>
        <v>Denmark</v>
      </c>
      <c r="G4997" t="str">
        <f>IFERROR(INDEX(Region_Map[Region], MATCH(orders[[#This Row],[Customer_Country]], Region_Map[Country], 0)), "Unknown")</f>
        <v>Nordics</v>
      </c>
      <c r="H4997" t="s">
        <v>6949</v>
      </c>
    </row>
    <row r="4998" spans="1:8">
      <c r="A4998" t="s">
        <v>5892</v>
      </c>
      <c r="B4998" t="s">
        <v>816</v>
      </c>
      <c r="C4998" s="1">
        <v>45194</v>
      </c>
      <c r="D4998" s="1" t="str">
        <f>PROPER(orders[[#This Row],[order_priority]])</f>
        <v>Express</v>
      </c>
      <c r="E4998" t="s">
        <v>13318</v>
      </c>
      <c r="F4998" t="str">
        <f>IFERROR(INDEX(customers[country], MATCH(orders[[#This Row],[customer_id]], customers[customer_id], 0)), "Unmapped")</f>
        <v>Lithuania</v>
      </c>
      <c r="G4998" t="str">
        <f>IFERROR(INDEX(Region_Map[Region], MATCH(orders[[#This Row],[Customer_Country]], Region_Map[Country], 0)), "Unknown")</f>
        <v>Baltics</v>
      </c>
      <c r="H4998" t="s">
        <v>6949</v>
      </c>
    </row>
    <row r="4999" spans="1:8">
      <c r="A4999" t="s">
        <v>5893</v>
      </c>
      <c r="B4999" t="s">
        <v>374</v>
      </c>
      <c r="C4999" s="1">
        <v>45330</v>
      </c>
      <c r="D4999" s="1" t="str">
        <f>PROPER(orders[[#This Row],[order_priority]])</f>
        <v>Economy</v>
      </c>
      <c r="E4999" t="s">
        <v>13316</v>
      </c>
      <c r="F4999" t="str">
        <f>IFERROR(INDEX(customers[country], MATCH(orders[[#This Row],[customer_id]], customers[customer_id], 0)), "Unmapped")</f>
        <v>Estonia</v>
      </c>
      <c r="G4999" t="str">
        <f>IFERROR(INDEX(Region_Map[Region], MATCH(orders[[#This Row],[Customer_Country]], Region_Map[Country], 0)), "Unknown")</f>
        <v>Baltics</v>
      </c>
      <c r="H4999" t="s">
        <v>6949</v>
      </c>
    </row>
    <row r="5000" spans="1:8">
      <c r="A5000" t="s">
        <v>5894</v>
      </c>
      <c r="B5000" t="s">
        <v>464</v>
      </c>
      <c r="C5000" s="1">
        <v>45543</v>
      </c>
      <c r="D5000" s="1" t="str">
        <f>PROPER(orders[[#This Row],[order_priority]])</f>
        <v>Standard</v>
      </c>
      <c r="E5000" t="s">
        <v>13317</v>
      </c>
      <c r="F5000" t="str">
        <f>IFERROR(INDEX(customers[country], MATCH(orders[[#This Row],[customer_id]], customers[customer_id], 0)), "Unmapped")</f>
        <v>Finland</v>
      </c>
      <c r="G5000" t="str">
        <f>IFERROR(INDEX(Region_Map[Region], MATCH(orders[[#This Row],[Customer_Country]], Region_Map[Country], 0)), "Unknown")</f>
        <v>Nordics</v>
      </c>
      <c r="H5000" t="s">
        <v>6949</v>
      </c>
    </row>
    <row r="5001" spans="1:8">
      <c r="A5001" t="s">
        <v>5895</v>
      </c>
      <c r="B5001" t="s">
        <v>530</v>
      </c>
      <c r="C5001" s="1">
        <v>44939</v>
      </c>
      <c r="D5001" s="1" t="str">
        <f>PROPER(orders[[#This Row],[order_priority]])</f>
        <v>Express</v>
      </c>
      <c r="E5001" t="s">
        <v>13318</v>
      </c>
      <c r="F5001" t="str">
        <f>IFERROR(INDEX(customers[country], MATCH(orders[[#This Row],[customer_id]], customers[customer_id], 0)), "Unmapped")</f>
        <v>Denmark</v>
      </c>
      <c r="G5001" t="str">
        <f>IFERROR(INDEX(Region_Map[Region], MATCH(orders[[#This Row],[Customer_Country]], Region_Map[Country], 0)), "Unknown")</f>
        <v>Nordics</v>
      </c>
      <c r="H5001" t="s">
        <v>6949</v>
      </c>
    </row>
    <row r="5002" spans="1:8">
      <c r="A5002" t="s">
        <v>5896</v>
      </c>
      <c r="B5002" t="s">
        <v>816</v>
      </c>
      <c r="C5002" s="1">
        <v>45228</v>
      </c>
      <c r="D5002" s="1" t="str">
        <f>PROPER(orders[[#This Row],[order_priority]])</f>
        <v>Standard</v>
      </c>
      <c r="E5002" t="s">
        <v>13317</v>
      </c>
      <c r="F5002" t="str">
        <f>IFERROR(INDEX(customers[country], MATCH(orders[[#This Row],[customer_id]], customers[customer_id], 0)), "Unmapped")</f>
        <v>Lithuania</v>
      </c>
      <c r="G5002" t="str">
        <f>IFERROR(INDEX(Region_Map[Region], MATCH(orders[[#This Row],[Customer_Country]], Region_Map[Country], 0)), "Unknown")</f>
        <v>Baltics</v>
      </c>
      <c r="H5002" t="s">
        <v>6949</v>
      </c>
    </row>
    <row r="5003" spans="1:8">
      <c r="A5003" t="s">
        <v>5897</v>
      </c>
      <c r="B5003" t="s">
        <v>240</v>
      </c>
      <c r="C5003" s="1">
        <v>45221</v>
      </c>
      <c r="D5003" s="1" t="str">
        <f>PROPER(orders[[#This Row],[order_priority]])</f>
        <v>Economy</v>
      </c>
      <c r="E5003" t="s">
        <v>13316</v>
      </c>
      <c r="F5003" t="str">
        <f>IFERROR(INDEX(customers[country], MATCH(orders[[#This Row],[customer_id]], customers[customer_id], 0)), "Unmapped")</f>
        <v>Lithuania</v>
      </c>
      <c r="G5003" t="str">
        <f>IFERROR(INDEX(Region_Map[Region], MATCH(orders[[#This Row],[Customer_Country]], Region_Map[Country], 0)), "Unknown")</f>
        <v>Baltics</v>
      </c>
      <c r="H5003" t="s">
        <v>6949</v>
      </c>
    </row>
    <row r="5004" spans="1:8">
      <c r="A5004" t="s">
        <v>5898</v>
      </c>
      <c r="B5004" t="s">
        <v>166</v>
      </c>
      <c r="C5004" s="1">
        <v>45123</v>
      </c>
      <c r="D5004" s="1" t="str">
        <f>PROPER(orders[[#This Row],[order_priority]])</f>
        <v>Express</v>
      </c>
      <c r="E5004" t="s">
        <v>13320</v>
      </c>
      <c r="F5004" t="str">
        <f>IFERROR(INDEX(customers[country], MATCH(orders[[#This Row],[customer_id]], customers[customer_id], 0)), "Unmapped")</f>
        <v>Denmark</v>
      </c>
      <c r="G5004" t="str">
        <f>IFERROR(INDEX(Region_Map[Region], MATCH(orders[[#This Row],[Customer_Country]], Region_Map[Country], 0)), "Unknown")</f>
        <v>Nordics</v>
      </c>
      <c r="H5004" t="s">
        <v>6949</v>
      </c>
    </row>
    <row r="5005" spans="1:8">
      <c r="A5005" t="s">
        <v>5899</v>
      </c>
      <c r="B5005" t="s">
        <v>443</v>
      </c>
      <c r="C5005" s="1">
        <v>45179</v>
      </c>
      <c r="D5005" s="1" t="str">
        <f>PROPER(orders[[#This Row],[order_priority]])</f>
        <v>Same Day</v>
      </c>
      <c r="E5005" t="s">
        <v>13322</v>
      </c>
      <c r="F5005" t="str">
        <f>IFERROR(INDEX(customers[country], MATCH(orders[[#This Row],[customer_id]], customers[customer_id], 0)), "Unmapped")</f>
        <v>Estonia</v>
      </c>
      <c r="G5005" t="str">
        <f>IFERROR(INDEX(Region_Map[Region], MATCH(orders[[#This Row],[Customer_Country]], Region_Map[Country], 0)), "Unknown")</f>
        <v>Baltics</v>
      </c>
      <c r="H5005" t="s">
        <v>6949</v>
      </c>
    </row>
    <row r="5006" spans="1:8">
      <c r="A5006" t="s">
        <v>5900</v>
      </c>
      <c r="B5006" t="s">
        <v>903</v>
      </c>
      <c r="C5006" s="1">
        <v>45305</v>
      </c>
      <c r="D5006" s="1" t="str">
        <f>PROPER(orders[[#This Row],[order_priority]])</f>
        <v>Economy</v>
      </c>
      <c r="E5006" t="s">
        <v>13316</v>
      </c>
      <c r="F5006" t="str">
        <f>IFERROR(INDEX(customers[country], MATCH(orders[[#This Row],[customer_id]], customers[customer_id], 0)), "Unmapped")</f>
        <v>Norway</v>
      </c>
      <c r="G5006" t="str">
        <f>IFERROR(INDEX(Region_Map[Region], MATCH(orders[[#This Row],[Customer_Country]], Region_Map[Country], 0)), "Unknown")</f>
        <v>Nordics</v>
      </c>
      <c r="H5006" t="s">
        <v>6949</v>
      </c>
    </row>
    <row r="5007" spans="1:8">
      <c r="A5007" t="s">
        <v>5901</v>
      </c>
      <c r="B5007" t="s">
        <v>805</v>
      </c>
      <c r="C5007" s="1">
        <v>45562</v>
      </c>
      <c r="D5007" s="1" t="str">
        <f>PROPER(orders[[#This Row],[order_priority]])</f>
        <v>Same Day</v>
      </c>
      <c r="E5007" t="s">
        <v>13322</v>
      </c>
      <c r="F5007" t="str">
        <f>IFERROR(INDEX(customers[country], MATCH(orders[[#This Row],[customer_id]], customers[customer_id], 0)), "Unmapped")</f>
        <v>Estonia</v>
      </c>
      <c r="G5007" t="str">
        <f>IFERROR(INDEX(Region_Map[Region], MATCH(orders[[#This Row],[Customer_Country]], Region_Map[Country], 0)), "Unknown")</f>
        <v>Baltics</v>
      </c>
      <c r="H5007" t="s">
        <v>6949</v>
      </c>
    </row>
    <row r="5008" spans="1:8">
      <c r="A5008" t="s">
        <v>5902</v>
      </c>
      <c r="B5008" t="s">
        <v>664</v>
      </c>
      <c r="C5008" s="1">
        <v>45325</v>
      </c>
      <c r="D5008" s="1" t="str">
        <f>PROPER(orders[[#This Row],[order_priority]])</f>
        <v>Standard</v>
      </c>
      <c r="E5008" t="s">
        <v>13317</v>
      </c>
      <c r="F5008" t="str">
        <f>IFERROR(INDEX(customers[country], MATCH(orders[[#This Row],[customer_id]], customers[customer_id], 0)), "Unmapped")</f>
        <v>Latvia</v>
      </c>
      <c r="G5008" t="str">
        <f>IFERROR(INDEX(Region_Map[Region], MATCH(orders[[#This Row],[Customer_Country]], Region_Map[Country], 0)), "Unknown")</f>
        <v>Baltics</v>
      </c>
      <c r="H5008" t="s">
        <v>6949</v>
      </c>
    </row>
    <row r="5009" spans="1:8">
      <c r="A5009" t="s">
        <v>5903</v>
      </c>
      <c r="B5009" t="s">
        <v>228</v>
      </c>
      <c r="C5009" s="1">
        <v>45539</v>
      </c>
      <c r="D5009" s="1" t="str">
        <f>PROPER(orders[[#This Row],[order_priority]])</f>
        <v>Economy</v>
      </c>
      <c r="E5009" t="s">
        <v>13316</v>
      </c>
      <c r="F5009" t="str">
        <f>IFERROR(INDEX(customers[country], MATCH(orders[[#This Row],[customer_id]], customers[customer_id], 0)), "Unmapped")</f>
        <v>Latvia</v>
      </c>
      <c r="G5009" t="str">
        <f>IFERROR(INDEX(Region_Map[Region], MATCH(orders[[#This Row],[Customer_Country]], Region_Map[Country], 0)), "Unknown")</f>
        <v>Baltics</v>
      </c>
      <c r="H5009" t="s">
        <v>6949</v>
      </c>
    </row>
    <row r="5010" spans="1:8">
      <c r="A5010" t="s">
        <v>5904</v>
      </c>
      <c r="B5010" t="s">
        <v>758</v>
      </c>
      <c r="C5010" s="1">
        <v>45176</v>
      </c>
      <c r="D5010" s="1" t="str">
        <f>PROPER(orders[[#This Row],[order_priority]])</f>
        <v>Same Day</v>
      </c>
      <c r="E5010" t="s">
        <v>13322</v>
      </c>
      <c r="F5010" t="str">
        <f>IFERROR(INDEX(customers[country], MATCH(orders[[#This Row],[customer_id]], customers[customer_id], 0)), "Unmapped")</f>
        <v>Estonia</v>
      </c>
      <c r="G5010" t="str">
        <f>IFERROR(INDEX(Region_Map[Region], MATCH(orders[[#This Row],[Customer_Country]], Region_Map[Country], 0)), "Unknown")</f>
        <v>Baltics</v>
      </c>
      <c r="H5010" t="s">
        <v>6949</v>
      </c>
    </row>
    <row r="5011" spans="1:8">
      <c r="A5011" t="s">
        <v>5905</v>
      </c>
      <c r="B5011" t="s">
        <v>407</v>
      </c>
      <c r="C5011" s="1">
        <v>44958</v>
      </c>
      <c r="D5011" s="1" t="str">
        <f>PROPER(orders[[#This Row],[order_priority]])</f>
        <v>Economy</v>
      </c>
      <c r="E5011" t="s">
        <v>13316</v>
      </c>
      <c r="F5011" t="str">
        <f>IFERROR(INDEX(customers[country], MATCH(orders[[#This Row],[customer_id]], customers[customer_id], 0)), "Unmapped")</f>
        <v>Poland</v>
      </c>
      <c r="G5011" t="str">
        <f>IFERROR(INDEX(Region_Map[Region], MATCH(orders[[#This Row],[Customer_Country]], Region_Map[Country], 0)), "Unknown")</f>
        <v>Central Europe</v>
      </c>
      <c r="H5011" t="s">
        <v>6949</v>
      </c>
    </row>
    <row r="5012" spans="1:8">
      <c r="A5012" t="s">
        <v>5906</v>
      </c>
      <c r="B5012" t="s">
        <v>347</v>
      </c>
      <c r="C5012" s="1">
        <v>45613</v>
      </c>
      <c r="D5012" s="1" t="str">
        <f>PROPER(orders[[#This Row],[order_priority]])</f>
        <v>Standard</v>
      </c>
      <c r="E5012" t="s">
        <v>13317</v>
      </c>
      <c r="F5012" t="str">
        <f>IFERROR(INDEX(customers[country], MATCH(orders[[#This Row],[customer_id]], customers[customer_id], 0)), "Unmapped")</f>
        <v>Norway</v>
      </c>
      <c r="G5012" t="str">
        <f>IFERROR(INDEX(Region_Map[Region], MATCH(orders[[#This Row],[Customer_Country]], Region_Map[Country], 0)), "Unknown")</f>
        <v>Nordics</v>
      </c>
      <c r="H5012" t="s">
        <v>6949</v>
      </c>
    </row>
    <row r="5013" spans="1:8">
      <c r="A5013" t="s">
        <v>5907</v>
      </c>
      <c r="B5013" t="s">
        <v>647</v>
      </c>
      <c r="C5013" s="1">
        <v>45027</v>
      </c>
      <c r="D5013" s="1" t="str">
        <f>PROPER(orders[[#This Row],[order_priority]])</f>
        <v>Standard</v>
      </c>
      <c r="E5013" t="s">
        <v>13317</v>
      </c>
      <c r="F5013" t="str">
        <f>IFERROR(INDEX(customers[country], MATCH(orders[[#This Row],[customer_id]], customers[customer_id], 0)), "Unmapped")</f>
        <v>Netherlands</v>
      </c>
      <c r="G5013" t="str">
        <f>IFERROR(INDEX(Region_Map[Region], MATCH(orders[[#This Row],[Customer_Country]], Region_Map[Country], 0)), "Unknown")</f>
        <v>Central Europe</v>
      </c>
      <c r="H5013" t="s">
        <v>6949</v>
      </c>
    </row>
    <row r="5014" spans="1:8">
      <c r="A5014" t="s">
        <v>5908</v>
      </c>
      <c r="B5014" t="s">
        <v>697</v>
      </c>
      <c r="C5014" s="1">
        <v>45383</v>
      </c>
      <c r="D5014" s="1" t="str">
        <f>PROPER(orders[[#This Row],[order_priority]])</f>
        <v>Same Day</v>
      </c>
      <c r="E5014" t="s">
        <v>13322</v>
      </c>
      <c r="F5014" t="str">
        <f>IFERROR(INDEX(customers[country], MATCH(orders[[#This Row],[customer_id]], customers[customer_id], 0)), "Unmapped")</f>
        <v>Estonia</v>
      </c>
      <c r="G5014" t="str">
        <f>IFERROR(INDEX(Region_Map[Region], MATCH(orders[[#This Row],[Customer_Country]], Region_Map[Country], 0)), "Unknown")</f>
        <v>Baltics</v>
      </c>
      <c r="H5014" t="s">
        <v>6949</v>
      </c>
    </row>
    <row r="5015" spans="1:8">
      <c r="A5015" t="s">
        <v>5909</v>
      </c>
      <c r="B5015" t="s">
        <v>431</v>
      </c>
      <c r="C5015" s="1">
        <v>45191</v>
      </c>
      <c r="D5015" s="1" t="str">
        <f>PROPER(orders[[#This Row],[order_priority]])</f>
        <v>Same Day</v>
      </c>
      <c r="E5015" t="s">
        <v>13322</v>
      </c>
      <c r="F5015" t="str">
        <f>IFERROR(INDEX(customers[country], MATCH(orders[[#This Row],[customer_id]], customers[customer_id], 0)), "Unmapped")</f>
        <v>Sweden</v>
      </c>
      <c r="G5015" t="str">
        <f>IFERROR(INDEX(Region_Map[Region], MATCH(orders[[#This Row],[Customer_Country]], Region_Map[Country], 0)), "Unknown")</f>
        <v>Nordics</v>
      </c>
      <c r="H5015" t="s">
        <v>6949</v>
      </c>
    </row>
    <row r="5016" spans="1:8">
      <c r="A5016" t="s">
        <v>5910</v>
      </c>
      <c r="B5016" t="s">
        <v>127</v>
      </c>
      <c r="C5016" s="1">
        <v>44990</v>
      </c>
      <c r="D5016" s="1" t="str">
        <f>PROPER(orders[[#This Row],[order_priority]])</f>
        <v>Economy</v>
      </c>
      <c r="E5016" t="s">
        <v>13316</v>
      </c>
      <c r="F5016" t="str">
        <f>IFERROR(INDEX(customers[country], MATCH(orders[[#This Row],[customer_id]], customers[customer_id], 0)), "Unmapped")</f>
        <v>Denmark</v>
      </c>
      <c r="G5016" t="str">
        <f>IFERROR(INDEX(Region_Map[Region], MATCH(orders[[#This Row],[Customer_Country]], Region_Map[Country], 0)), "Unknown")</f>
        <v>Nordics</v>
      </c>
      <c r="H5016" t="s">
        <v>6949</v>
      </c>
    </row>
    <row r="5017" spans="1:8">
      <c r="A5017" t="s">
        <v>5911</v>
      </c>
      <c r="B5017" t="s">
        <v>192</v>
      </c>
      <c r="C5017" s="1">
        <v>45261</v>
      </c>
      <c r="D5017" s="1" t="str">
        <f>PROPER(orders[[#This Row],[order_priority]])</f>
        <v>Standard</v>
      </c>
      <c r="E5017" t="s">
        <v>13317</v>
      </c>
      <c r="F5017" t="str">
        <f>IFERROR(INDEX(customers[country], MATCH(orders[[#This Row],[customer_id]], customers[customer_id], 0)), "Unmapped")</f>
        <v>Estonia</v>
      </c>
      <c r="G5017" t="str">
        <f>IFERROR(INDEX(Region_Map[Region], MATCH(orders[[#This Row],[Customer_Country]], Region_Map[Country], 0)), "Unknown")</f>
        <v>Baltics</v>
      </c>
      <c r="H5017" t="s">
        <v>6949</v>
      </c>
    </row>
    <row r="5018" spans="1:8">
      <c r="A5018" t="s">
        <v>5912</v>
      </c>
      <c r="B5018" t="s">
        <v>793</v>
      </c>
      <c r="C5018" s="1">
        <v>45213</v>
      </c>
      <c r="D5018" s="1" t="str">
        <f>PROPER(orders[[#This Row],[order_priority]])</f>
        <v>Express</v>
      </c>
      <c r="E5018" t="s">
        <v>13326</v>
      </c>
      <c r="F5018" t="str">
        <f>IFERROR(INDEX(customers[country], MATCH(orders[[#This Row],[customer_id]], customers[customer_id], 0)), "Unmapped")</f>
        <v>Sweden</v>
      </c>
      <c r="G5018" t="str">
        <f>IFERROR(INDEX(Region_Map[Region], MATCH(orders[[#This Row],[Customer_Country]], Region_Map[Country], 0)), "Unknown")</f>
        <v>Nordics</v>
      </c>
      <c r="H5018" t="s">
        <v>6949</v>
      </c>
    </row>
    <row r="5019" spans="1:8">
      <c r="A5019" t="s">
        <v>5913</v>
      </c>
      <c r="B5019" t="s">
        <v>314</v>
      </c>
      <c r="C5019" s="1">
        <v>45450</v>
      </c>
      <c r="D5019" s="1" t="str">
        <f>PROPER(orders[[#This Row],[order_priority]])</f>
        <v>Express</v>
      </c>
      <c r="E5019" t="s">
        <v>13320</v>
      </c>
      <c r="F5019" t="str">
        <f>IFERROR(INDEX(customers[country], MATCH(orders[[#This Row],[customer_id]], customers[customer_id], 0)), "Unmapped")</f>
        <v>Poland</v>
      </c>
      <c r="G5019" t="str">
        <f>IFERROR(INDEX(Region_Map[Region], MATCH(orders[[#This Row],[Customer_Country]], Region_Map[Country], 0)), "Unknown")</f>
        <v>Central Europe</v>
      </c>
      <c r="H5019" t="s">
        <v>6949</v>
      </c>
    </row>
    <row r="5020" spans="1:8">
      <c r="A5020" t="s">
        <v>5914</v>
      </c>
      <c r="B5020" t="s">
        <v>530</v>
      </c>
      <c r="C5020" s="1">
        <v>45487</v>
      </c>
      <c r="D5020" s="1" t="str">
        <f>PROPER(orders[[#This Row],[order_priority]])</f>
        <v>Economy</v>
      </c>
      <c r="E5020" t="s">
        <v>13328</v>
      </c>
      <c r="F5020" t="str">
        <f>IFERROR(INDEX(customers[country], MATCH(orders[[#This Row],[customer_id]], customers[customer_id], 0)), "Unmapped")</f>
        <v>Denmark</v>
      </c>
      <c r="G5020" t="str">
        <f>IFERROR(INDEX(Region_Map[Region], MATCH(orders[[#This Row],[Customer_Country]], Region_Map[Country], 0)), "Unknown")</f>
        <v>Nordics</v>
      </c>
      <c r="H5020" t="s">
        <v>6949</v>
      </c>
    </row>
    <row r="5021" spans="1:8">
      <c r="A5021" t="s">
        <v>5915</v>
      </c>
      <c r="B5021" t="s">
        <v>557</v>
      </c>
      <c r="C5021" s="1">
        <v>45367</v>
      </c>
      <c r="D5021" s="1" t="str">
        <f>PROPER(orders[[#This Row],[order_priority]])</f>
        <v>Standard</v>
      </c>
      <c r="E5021" t="s">
        <v>13317</v>
      </c>
      <c r="F5021" t="str">
        <f>IFERROR(INDEX(customers[country], MATCH(orders[[#This Row],[customer_id]], customers[customer_id], 0)), "Unmapped")</f>
        <v>Norway</v>
      </c>
      <c r="G5021" t="str">
        <f>IFERROR(INDEX(Region_Map[Region], MATCH(orders[[#This Row],[Customer_Country]], Region_Map[Country], 0)), "Unknown")</f>
        <v>Nordics</v>
      </c>
      <c r="H5021" t="s">
        <v>6949</v>
      </c>
    </row>
    <row r="5022" spans="1:8">
      <c r="A5022" t="s">
        <v>5916</v>
      </c>
      <c r="B5022" t="s">
        <v>715</v>
      </c>
      <c r="C5022" s="1">
        <v>45260</v>
      </c>
      <c r="D5022" s="1" t="str">
        <f>PROPER(orders[[#This Row],[order_priority]])</f>
        <v>Express</v>
      </c>
      <c r="E5022" t="s">
        <v>13318</v>
      </c>
      <c r="F5022" t="str">
        <f>IFERROR(INDEX(customers[country], MATCH(orders[[#This Row],[customer_id]], customers[customer_id], 0)), "Unmapped")</f>
        <v>Netherlands</v>
      </c>
      <c r="G5022" t="str">
        <f>IFERROR(INDEX(Region_Map[Region], MATCH(orders[[#This Row],[Customer_Country]], Region_Map[Country], 0)), "Unknown")</f>
        <v>Central Europe</v>
      </c>
      <c r="H5022" t="s">
        <v>6949</v>
      </c>
    </row>
    <row r="5023" spans="1:8">
      <c r="A5023" t="s">
        <v>5917</v>
      </c>
      <c r="B5023" t="s">
        <v>497</v>
      </c>
      <c r="C5023" s="1">
        <v>45615</v>
      </c>
      <c r="D5023" s="1" t="str">
        <f>PROPER(orders[[#This Row],[order_priority]])</f>
        <v>Express</v>
      </c>
      <c r="E5023" t="s">
        <v>13318</v>
      </c>
      <c r="F5023" t="str">
        <f>IFERROR(INDEX(customers[country], MATCH(orders[[#This Row],[customer_id]], customers[customer_id], 0)), "Unmapped")</f>
        <v>Germany</v>
      </c>
      <c r="G5023" t="str">
        <f>IFERROR(INDEX(Region_Map[Region], MATCH(orders[[#This Row],[Customer_Country]], Region_Map[Country], 0)), "Unknown")</f>
        <v>Central Europe</v>
      </c>
      <c r="H5023" t="s">
        <v>6949</v>
      </c>
    </row>
    <row r="5024" spans="1:8">
      <c r="A5024" t="s">
        <v>5918</v>
      </c>
      <c r="B5024" t="s">
        <v>124</v>
      </c>
      <c r="C5024" s="1">
        <v>45446</v>
      </c>
      <c r="D5024" s="1" t="str">
        <f>PROPER(orders[[#This Row],[order_priority]])</f>
        <v>Same Day</v>
      </c>
      <c r="E5024" t="s">
        <v>13321</v>
      </c>
      <c r="F5024" t="str">
        <f>IFERROR(INDEX(customers[country], MATCH(orders[[#This Row],[customer_id]], customers[customer_id], 0)), "Unmapped")</f>
        <v>Lithuania</v>
      </c>
      <c r="G5024" t="str">
        <f>IFERROR(INDEX(Region_Map[Region], MATCH(orders[[#This Row],[Customer_Country]], Region_Map[Country], 0)), "Unknown")</f>
        <v>Baltics</v>
      </c>
      <c r="H5024" t="s">
        <v>6949</v>
      </c>
    </row>
    <row r="5025" spans="1:8">
      <c r="A5025" t="s">
        <v>5919</v>
      </c>
      <c r="B5025" t="s">
        <v>377</v>
      </c>
      <c r="C5025" s="1">
        <v>45460</v>
      </c>
      <c r="D5025" s="1" t="str">
        <f>PROPER(orders[[#This Row],[order_priority]])</f>
        <v>Same Day</v>
      </c>
      <c r="E5025" t="s">
        <v>13322</v>
      </c>
      <c r="F5025" t="str">
        <f>IFERROR(INDEX(customers[country], MATCH(orders[[#This Row],[customer_id]], customers[customer_id], 0)), "Unmapped")</f>
        <v>Denmark</v>
      </c>
      <c r="G5025" t="str">
        <f>IFERROR(INDEX(Region_Map[Region], MATCH(orders[[#This Row],[Customer_Country]], Region_Map[Country], 0)), "Unknown")</f>
        <v>Nordics</v>
      </c>
      <c r="H5025" t="s">
        <v>6949</v>
      </c>
    </row>
    <row r="5026" spans="1:8">
      <c r="A5026" t="s">
        <v>5920</v>
      </c>
      <c r="B5026" t="s">
        <v>746</v>
      </c>
      <c r="C5026" s="1">
        <v>45575</v>
      </c>
      <c r="D5026" s="1" t="str">
        <f>PROPER(orders[[#This Row],[order_priority]])</f>
        <v>Same Day</v>
      </c>
      <c r="E5026" t="s">
        <v>13324</v>
      </c>
      <c r="F5026" t="str">
        <f>IFERROR(INDEX(customers[country], MATCH(orders[[#This Row],[customer_id]], customers[customer_id], 0)), "Unmapped")</f>
        <v>Poland</v>
      </c>
      <c r="G5026" t="str">
        <f>IFERROR(INDEX(Region_Map[Region], MATCH(orders[[#This Row],[Customer_Country]], Region_Map[Country], 0)), "Unknown")</f>
        <v>Central Europe</v>
      </c>
      <c r="H5026" t="s">
        <v>6949</v>
      </c>
    </row>
    <row r="5027" spans="1:8">
      <c r="A5027" t="s">
        <v>5921</v>
      </c>
      <c r="B5027" t="s">
        <v>834</v>
      </c>
      <c r="C5027" s="1">
        <v>44947</v>
      </c>
      <c r="D5027" s="1" t="str">
        <f>PROPER(orders[[#This Row],[order_priority]])</f>
        <v>Same Day</v>
      </c>
      <c r="E5027" t="s">
        <v>13322</v>
      </c>
      <c r="F5027" t="str">
        <f>IFERROR(INDEX(customers[country], MATCH(orders[[#This Row],[customer_id]], customers[customer_id], 0)), "Unmapped")</f>
        <v>Denmark</v>
      </c>
      <c r="G5027" t="str">
        <f>IFERROR(INDEX(Region_Map[Region], MATCH(orders[[#This Row],[Customer_Country]], Region_Map[Country], 0)), "Unknown")</f>
        <v>Nordics</v>
      </c>
      <c r="H5027" t="s">
        <v>6949</v>
      </c>
    </row>
    <row r="5028" spans="1:8">
      <c r="A5028" t="s">
        <v>5922</v>
      </c>
      <c r="B5028" t="s">
        <v>362</v>
      </c>
      <c r="C5028" s="1">
        <v>45236</v>
      </c>
      <c r="D5028" s="1" t="str">
        <f>PROPER(orders[[#This Row],[order_priority]])</f>
        <v>Standard</v>
      </c>
      <c r="E5028" t="s">
        <v>13317</v>
      </c>
      <c r="F5028" t="str">
        <f>IFERROR(INDEX(customers[country], MATCH(orders[[#This Row],[customer_id]], customers[customer_id], 0)), "Unmapped")</f>
        <v>Denmark</v>
      </c>
      <c r="G5028" t="str">
        <f>IFERROR(INDEX(Region_Map[Region], MATCH(orders[[#This Row],[Customer_Country]], Region_Map[Country], 0)), "Unknown")</f>
        <v>Nordics</v>
      </c>
      <c r="H5028" t="s">
        <v>6949</v>
      </c>
    </row>
    <row r="5029" spans="1:8">
      <c r="A5029" t="s">
        <v>5923</v>
      </c>
      <c r="B5029" t="s">
        <v>446</v>
      </c>
      <c r="C5029" s="1">
        <v>45570</v>
      </c>
      <c r="D5029" s="1" t="str">
        <f>PROPER(orders[[#This Row],[order_priority]])</f>
        <v>Same Day</v>
      </c>
      <c r="E5029" t="s">
        <v>13322</v>
      </c>
      <c r="F5029" t="str">
        <f>IFERROR(INDEX(customers[country], MATCH(orders[[#This Row],[customer_id]], customers[customer_id], 0)), "Unmapped")</f>
        <v>Sweden</v>
      </c>
      <c r="G5029" t="str">
        <f>IFERROR(INDEX(Region_Map[Region], MATCH(orders[[#This Row],[Customer_Country]], Region_Map[Country], 0)), "Unknown")</f>
        <v>Nordics</v>
      </c>
      <c r="H5029" t="s">
        <v>6949</v>
      </c>
    </row>
    <row r="5030" spans="1:8">
      <c r="A5030" t="s">
        <v>5924</v>
      </c>
      <c r="B5030" t="s">
        <v>593</v>
      </c>
      <c r="C5030" s="1">
        <v>44950</v>
      </c>
      <c r="D5030" s="1" t="str">
        <f>PROPER(orders[[#This Row],[order_priority]])</f>
        <v>Economy</v>
      </c>
      <c r="E5030" t="s">
        <v>13316</v>
      </c>
      <c r="F5030" t="str">
        <f>IFERROR(INDEX(customers[country], MATCH(orders[[#This Row],[customer_id]], customers[customer_id], 0)), "Unmapped")</f>
        <v>Estonia</v>
      </c>
      <c r="G5030" t="str">
        <f>IFERROR(INDEX(Region_Map[Region], MATCH(orders[[#This Row],[Customer_Country]], Region_Map[Country], 0)), "Unknown")</f>
        <v>Baltics</v>
      </c>
      <c r="H5030" t="s">
        <v>6949</v>
      </c>
    </row>
    <row r="5031" spans="1:8">
      <c r="A5031" t="s">
        <v>5925</v>
      </c>
      <c r="B5031" t="s">
        <v>288</v>
      </c>
      <c r="C5031" s="1">
        <v>45485</v>
      </c>
      <c r="D5031" s="1" t="str">
        <f>PROPER(orders[[#This Row],[order_priority]])</f>
        <v>Economy</v>
      </c>
      <c r="E5031" t="s">
        <v>13316</v>
      </c>
      <c r="F5031" t="str">
        <f>IFERROR(INDEX(customers[country], MATCH(orders[[#This Row],[customer_id]], customers[customer_id], 0)), "Unmapped")</f>
        <v>Netherlands</v>
      </c>
      <c r="G5031" t="str">
        <f>IFERROR(INDEX(Region_Map[Region], MATCH(orders[[#This Row],[Customer_Country]], Region_Map[Country], 0)), "Unknown")</f>
        <v>Central Europe</v>
      </c>
      <c r="H5031" t="s">
        <v>6949</v>
      </c>
    </row>
    <row r="5032" spans="1:8">
      <c r="A5032" t="s">
        <v>5926</v>
      </c>
      <c r="B5032" t="s">
        <v>470</v>
      </c>
      <c r="C5032" s="1">
        <v>45052</v>
      </c>
      <c r="D5032" s="1" t="str">
        <f>PROPER(orders[[#This Row],[order_priority]])</f>
        <v>Economy</v>
      </c>
      <c r="E5032" t="s">
        <v>13316</v>
      </c>
      <c r="F5032" t="str">
        <f>IFERROR(INDEX(customers[country], MATCH(orders[[#This Row],[customer_id]], customers[customer_id], 0)), "Unmapped")</f>
        <v>Norway</v>
      </c>
      <c r="G5032" t="str">
        <f>IFERROR(INDEX(Region_Map[Region], MATCH(orders[[#This Row],[Customer_Country]], Region_Map[Country], 0)), "Unknown")</f>
        <v>Nordics</v>
      </c>
      <c r="H5032" t="s">
        <v>6949</v>
      </c>
    </row>
    <row r="5033" spans="1:8">
      <c r="A5033" t="s">
        <v>5927</v>
      </c>
      <c r="B5033" t="s">
        <v>885</v>
      </c>
      <c r="C5033" s="1">
        <v>45369</v>
      </c>
      <c r="D5033" s="1" t="str">
        <f>PROPER(orders[[#This Row],[order_priority]])</f>
        <v>Standard</v>
      </c>
      <c r="E5033" t="s">
        <v>13317</v>
      </c>
      <c r="F5033" t="str">
        <f>IFERROR(INDEX(customers[country], MATCH(orders[[#This Row],[customer_id]], customers[customer_id], 0)), "Unmapped")</f>
        <v>Poland</v>
      </c>
      <c r="G5033" t="str">
        <f>IFERROR(INDEX(Region_Map[Region], MATCH(orders[[#This Row],[Customer_Country]], Region_Map[Country], 0)), "Unknown")</f>
        <v>Central Europe</v>
      </c>
      <c r="H5033" t="s">
        <v>6949</v>
      </c>
    </row>
    <row r="5034" spans="1:8">
      <c r="A5034" t="s">
        <v>5928</v>
      </c>
      <c r="B5034" t="s">
        <v>102</v>
      </c>
      <c r="C5034" s="1">
        <v>45119</v>
      </c>
      <c r="D5034" s="1" t="str">
        <f>PROPER(orders[[#This Row],[order_priority]])</f>
        <v>Same Day</v>
      </c>
      <c r="E5034" t="s">
        <v>13322</v>
      </c>
      <c r="F5034" t="str">
        <f>IFERROR(INDEX(customers[country], MATCH(orders[[#This Row],[customer_id]], customers[customer_id], 0)), "Unmapped")</f>
        <v>Denmark</v>
      </c>
      <c r="G5034" t="str">
        <f>IFERROR(INDEX(Region_Map[Region], MATCH(orders[[#This Row],[Customer_Country]], Region_Map[Country], 0)), "Unknown")</f>
        <v>Nordics</v>
      </c>
      <c r="H5034" t="s">
        <v>6949</v>
      </c>
    </row>
    <row r="5035" spans="1:8">
      <c r="A5035" t="s">
        <v>5929</v>
      </c>
      <c r="B5035" t="s">
        <v>285</v>
      </c>
      <c r="C5035" s="1">
        <v>44952</v>
      </c>
      <c r="D5035" s="1" t="str">
        <f>PROPER(orders[[#This Row],[order_priority]])</f>
        <v>Standard</v>
      </c>
      <c r="E5035" t="s">
        <v>13317</v>
      </c>
      <c r="F5035" t="str">
        <f>IFERROR(INDEX(customers[country], MATCH(orders[[#This Row],[customer_id]], customers[customer_id], 0)), "Unmapped")</f>
        <v>Norway</v>
      </c>
      <c r="G5035" t="str">
        <f>IFERROR(INDEX(Region_Map[Region], MATCH(orders[[#This Row],[Customer_Country]], Region_Map[Country], 0)), "Unknown")</f>
        <v>Nordics</v>
      </c>
      <c r="H5035" t="s">
        <v>6949</v>
      </c>
    </row>
    <row r="5036" spans="1:8">
      <c r="A5036" t="s">
        <v>5930</v>
      </c>
      <c r="B5036" t="s">
        <v>231</v>
      </c>
      <c r="C5036" s="1">
        <v>45084</v>
      </c>
      <c r="D5036" s="1" t="str">
        <f>PROPER(orders[[#This Row],[order_priority]])</f>
        <v>Standard</v>
      </c>
      <c r="E5036" t="s">
        <v>13317</v>
      </c>
      <c r="F5036" t="str">
        <f>IFERROR(INDEX(customers[country], MATCH(orders[[#This Row],[customer_id]], customers[customer_id], 0)), "Unmapped")</f>
        <v>Lithuania</v>
      </c>
      <c r="G5036" t="str">
        <f>IFERROR(INDEX(Region_Map[Region], MATCH(orders[[#This Row],[Customer_Country]], Region_Map[Country], 0)), "Unknown")</f>
        <v>Baltics</v>
      </c>
      <c r="H5036" t="s">
        <v>6949</v>
      </c>
    </row>
    <row r="5037" spans="1:8">
      <c r="A5037" t="s">
        <v>5931</v>
      </c>
      <c r="B5037" t="s">
        <v>172</v>
      </c>
      <c r="C5037" s="1">
        <v>45296</v>
      </c>
      <c r="D5037" s="1" t="str">
        <f>PROPER(orders[[#This Row],[order_priority]])</f>
        <v>Express</v>
      </c>
      <c r="E5037" t="s">
        <v>13318</v>
      </c>
      <c r="F5037" t="str">
        <f>IFERROR(INDEX(customers[country], MATCH(orders[[#This Row],[customer_id]], customers[customer_id], 0)), "Unmapped")</f>
        <v>Denmark</v>
      </c>
      <c r="G5037" t="str">
        <f>IFERROR(INDEX(Region_Map[Region], MATCH(orders[[#This Row],[Customer_Country]], Region_Map[Country], 0)), "Unknown")</f>
        <v>Nordics</v>
      </c>
      <c r="H5037" t="s">
        <v>6949</v>
      </c>
    </row>
    <row r="5038" spans="1:8">
      <c r="A5038" t="s">
        <v>5932</v>
      </c>
      <c r="B5038" t="s">
        <v>118</v>
      </c>
      <c r="C5038" s="1">
        <v>45247</v>
      </c>
      <c r="D5038" s="1" t="str">
        <f>PROPER(orders[[#This Row],[order_priority]])</f>
        <v>Economy</v>
      </c>
      <c r="E5038" t="s">
        <v>13316</v>
      </c>
      <c r="F5038" t="str">
        <f>IFERROR(INDEX(customers[country], MATCH(orders[[#This Row],[customer_id]], customers[customer_id], 0)), "Unmapped")</f>
        <v>Denmark</v>
      </c>
      <c r="G5038" t="str">
        <f>IFERROR(INDEX(Region_Map[Region], MATCH(orders[[#This Row],[Customer_Country]], Region_Map[Country], 0)), "Unknown")</f>
        <v>Nordics</v>
      </c>
      <c r="H5038" t="s">
        <v>6949</v>
      </c>
    </row>
    <row r="5039" spans="1:8">
      <c r="A5039" t="s">
        <v>5933</v>
      </c>
      <c r="B5039" t="s">
        <v>234</v>
      </c>
      <c r="C5039" s="1">
        <v>44982</v>
      </c>
      <c r="D5039" s="1" t="str">
        <f>PROPER(orders[[#This Row],[order_priority]])</f>
        <v>Economy</v>
      </c>
      <c r="E5039" t="s">
        <v>13316</v>
      </c>
      <c r="F5039" t="str">
        <f>IFERROR(INDEX(customers[country], MATCH(orders[[#This Row],[customer_id]], customers[customer_id], 0)), "Unmapped")</f>
        <v>Finland</v>
      </c>
      <c r="G5039" t="str">
        <f>IFERROR(INDEX(Region_Map[Region], MATCH(orders[[#This Row],[Customer_Country]], Region_Map[Country], 0)), "Unknown")</f>
        <v>Nordics</v>
      </c>
      <c r="H5039" t="s">
        <v>6949</v>
      </c>
    </row>
    <row r="5040" spans="1:8">
      <c r="A5040" t="s">
        <v>5934</v>
      </c>
      <c r="B5040" t="s">
        <v>569</v>
      </c>
      <c r="C5040" s="1">
        <v>45358</v>
      </c>
      <c r="D5040" s="1" t="str">
        <f>PROPER(orders[[#This Row],[order_priority]])</f>
        <v>Same Day</v>
      </c>
      <c r="E5040" t="s">
        <v>13322</v>
      </c>
      <c r="F5040" t="str">
        <f>IFERROR(INDEX(customers[country], MATCH(orders[[#This Row],[customer_id]], customers[customer_id], 0)), "Unmapped")</f>
        <v>Estonia</v>
      </c>
      <c r="G5040" t="str">
        <f>IFERROR(INDEX(Region_Map[Region], MATCH(orders[[#This Row],[Customer_Country]], Region_Map[Country], 0)), "Unknown")</f>
        <v>Baltics</v>
      </c>
      <c r="H5040" t="s">
        <v>6949</v>
      </c>
    </row>
    <row r="5041" spans="1:8">
      <c r="A5041" t="s">
        <v>5935</v>
      </c>
      <c r="B5041" t="s">
        <v>849</v>
      </c>
      <c r="C5041" s="1">
        <v>45506</v>
      </c>
      <c r="D5041" s="1" t="str">
        <f>PROPER(orders[[#This Row],[order_priority]])</f>
        <v>Standard</v>
      </c>
      <c r="E5041" t="s">
        <v>13317</v>
      </c>
      <c r="F5041" t="str">
        <f>IFERROR(INDEX(customers[country], MATCH(orders[[#This Row],[customer_id]], customers[customer_id], 0)), "Unmapped")</f>
        <v>Lithuania</v>
      </c>
      <c r="G5041" t="str">
        <f>IFERROR(INDEX(Region_Map[Region], MATCH(orders[[#This Row],[Customer_Country]], Region_Map[Country], 0)), "Unknown")</f>
        <v>Baltics</v>
      </c>
      <c r="H5041" t="s">
        <v>6949</v>
      </c>
    </row>
    <row r="5042" spans="1:8">
      <c r="A5042" t="s">
        <v>5936</v>
      </c>
      <c r="B5042" t="s">
        <v>629</v>
      </c>
      <c r="C5042" s="1">
        <v>45415</v>
      </c>
      <c r="D5042" s="1" t="str">
        <f>PROPER(orders[[#This Row],[order_priority]])</f>
        <v>Economy</v>
      </c>
      <c r="E5042" t="s">
        <v>13328</v>
      </c>
      <c r="F5042" t="str">
        <f>IFERROR(INDEX(customers[country], MATCH(orders[[#This Row],[customer_id]], customers[customer_id], 0)), "Unmapped")</f>
        <v>Lithuania</v>
      </c>
      <c r="G5042" t="str">
        <f>IFERROR(INDEX(Region_Map[Region], MATCH(orders[[#This Row],[Customer_Country]], Region_Map[Country], 0)), "Unknown")</f>
        <v>Baltics</v>
      </c>
      <c r="H5042" t="s">
        <v>6949</v>
      </c>
    </row>
    <row r="5043" spans="1:8">
      <c r="A5043" t="s">
        <v>5937</v>
      </c>
      <c r="B5043" t="s">
        <v>306</v>
      </c>
      <c r="C5043" s="1">
        <v>45234</v>
      </c>
      <c r="D5043" s="1" t="str">
        <f>PROPER(orders[[#This Row],[order_priority]])</f>
        <v>Economy</v>
      </c>
      <c r="E5043" t="s">
        <v>13316</v>
      </c>
      <c r="F5043" t="str">
        <f>IFERROR(INDEX(customers[country], MATCH(orders[[#This Row],[customer_id]], customers[customer_id], 0)), "Unmapped")</f>
        <v>Estonia</v>
      </c>
      <c r="G5043" t="str">
        <f>IFERROR(INDEX(Region_Map[Region], MATCH(orders[[#This Row],[Customer_Country]], Region_Map[Country], 0)), "Unknown")</f>
        <v>Baltics</v>
      </c>
      <c r="H5043" t="s">
        <v>6949</v>
      </c>
    </row>
    <row r="5044" spans="1:8">
      <c r="A5044" t="s">
        <v>5938</v>
      </c>
      <c r="B5044" t="s">
        <v>661</v>
      </c>
      <c r="C5044" s="1">
        <v>44985</v>
      </c>
      <c r="D5044" s="1" t="str">
        <f>PROPER(orders[[#This Row],[order_priority]])</f>
        <v>Express</v>
      </c>
      <c r="E5044" t="s">
        <v>13318</v>
      </c>
      <c r="F5044" t="str">
        <f>IFERROR(INDEX(customers[country], MATCH(orders[[#This Row],[customer_id]], customers[customer_id], 0)), "Unmapped")</f>
        <v>Lithuania</v>
      </c>
      <c r="G5044" t="str">
        <f>IFERROR(INDEX(Region_Map[Region], MATCH(orders[[#This Row],[Customer_Country]], Region_Map[Country], 0)), "Unknown")</f>
        <v>Baltics</v>
      </c>
      <c r="H5044" t="s">
        <v>6949</v>
      </c>
    </row>
    <row r="5045" spans="1:8">
      <c r="A5045" t="s">
        <v>5939</v>
      </c>
      <c r="B5045" t="s">
        <v>136</v>
      </c>
      <c r="C5045" s="1">
        <v>45304</v>
      </c>
      <c r="D5045" s="1" t="str">
        <f>PROPER(orders[[#This Row],[order_priority]])</f>
        <v>Standard</v>
      </c>
      <c r="E5045" t="s">
        <v>13317</v>
      </c>
      <c r="F5045" t="str">
        <f>IFERROR(INDEX(customers[country], MATCH(orders[[#This Row],[customer_id]], customers[customer_id], 0)), "Unmapped")</f>
        <v>Sweden</v>
      </c>
      <c r="G5045" t="str">
        <f>IFERROR(INDEX(Region_Map[Region], MATCH(orders[[#This Row],[Customer_Country]], Region_Map[Country], 0)), "Unknown")</f>
        <v>Nordics</v>
      </c>
      <c r="H5045" t="s">
        <v>6949</v>
      </c>
    </row>
    <row r="5046" spans="1:8">
      <c r="A5046" t="s">
        <v>5940</v>
      </c>
      <c r="B5046" t="s">
        <v>811</v>
      </c>
      <c r="C5046" s="1">
        <v>45464</v>
      </c>
      <c r="D5046" s="1" t="str">
        <f>PROPER(orders[[#This Row],[order_priority]])</f>
        <v>Economy</v>
      </c>
      <c r="E5046" t="s">
        <v>13316</v>
      </c>
      <c r="F5046" t="str">
        <f>IFERROR(INDEX(customers[country], MATCH(orders[[#This Row],[customer_id]], customers[customer_id], 0)), "Unmapped")</f>
        <v>Finland</v>
      </c>
      <c r="G5046" t="str">
        <f>IFERROR(INDEX(Region_Map[Region], MATCH(orders[[#This Row],[Customer_Country]], Region_Map[Country], 0)), "Unknown")</f>
        <v>Nordics</v>
      </c>
      <c r="H5046" t="s">
        <v>6949</v>
      </c>
    </row>
    <row r="5047" spans="1:8">
      <c r="A5047" t="s">
        <v>5941</v>
      </c>
      <c r="B5047" t="s">
        <v>383</v>
      </c>
      <c r="C5047" s="1">
        <v>45577</v>
      </c>
      <c r="D5047" s="1" t="str">
        <f>PROPER(orders[[#This Row],[order_priority]])</f>
        <v>Same Day</v>
      </c>
      <c r="E5047" t="s">
        <v>13322</v>
      </c>
      <c r="F5047" t="str">
        <f>IFERROR(INDEX(customers[country], MATCH(orders[[#This Row],[customer_id]], customers[customer_id], 0)), "Unmapped")</f>
        <v>Germany</v>
      </c>
      <c r="G5047" t="str">
        <f>IFERROR(INDEX(Region_Map[Region], MATCH(orders[[#This Row],[Customer_Country]], Region_Map[Country], 0)), "Unknown")</f>
        <v>Central Europe</v>
      </c>
      <c r="H5047" t="s">
        <v>6949</v>
      </c>
    </row>
    <row r="5048" spans="1:8">
      <c r="A5048" t="s">
        <v>5942</v>
      </c>
      <c r="B5048" t="s">
        <v>697</v>
      </c>
      <c r="C5048" s="1">
        <v>45558</v>
      </c>
      <c r="D5048" s="1" t="str">
        <f>PROPER(orders[[#This Row],[order_priority]])</f>
        <v>Same Day</v>
      </c>
      <c r="E5048" t="s">
        <v>13321</v>
      </c>
      <c r="F5048" t="str">
        <f>IFERROR(INDEX(customers[country], MATCH(orders[[#This Row],[customer_id]], customers[customer_id], 0)), "Unmapped")</f>
        <v>Estonia</v>
      </c>
      <c r="G5048" t="str">
        <f>IFERROR(INDEX(Region_Map[Region], MATCH(orders[[#This Row],[Customer_Country]], Region_Map[Country], 0)), "Unknown")</f>
        <v>Baltics</v>
      </c>
      <c r="H5048" t="s">
        <v>6949</v>
      </c>
    </row>
    <row r="5049" spans="1:8">
      <c r="A5049" t="s">
        <v>5943</v>
      </c>
      <c r="B5049" t="s">
        <v>201</v>
      </c>
      <c r="C5049" s="1">
        <v>45365</v>
      </c>
      <c r="D5049" s="1" t="str">
        <f>PROPER(orders[[#This Row],[order_priority]])</f>
        <v>Standard</v>
      </c>
      <c r="E5049" t="s">
        <v>13317</v>
      </c>
      <c r="F5049" t="str">
        <f>IFERROR(INDEX(customers[country], MATCH(orders[[#This Row],[customer_id]], customers[customer_id], 0)), "Unmapped")</f>
        <v>Estonia</v>
      </c>
      <c r="G5049" t="str">
        <f>IFERROR(INDEX(Region_Map[Region], MATCH(orders[[#This Row],[Customer_Country]], Region_Map[Country], 0)), "Unknown")</f>
        <v>Baltics</v>
      </c>
      <c r="H5049" t="s">
        <v>6949</v>
      </c>
    </row>
    <row r="5050" spans="1:8">
      <c r="A5050" t="s">
        <v>5944</v>
      </c>
      <c r="B5050" t="s">
        <v>213</v>
      </c>
      <c r="C5050" s="1">
        <v>45249</v>
      </c>
      <c r="D5050" s="1" t="str">
        <f>PROPER(orders[[#This Row],[order_priority]])</f>
        <v>Economy</v>
      </c>
      <c r="E5050" t="s">
        <v>13316</v>
      </c>
      <c r="F5050" t="str">
        <f>IFERROR(INDEX(customers[country], MATCH(orders[[#This Row],[customer_id]], customers[customer_id], 0)), "Unmapped")</f>
        <v>Denmark</v>
      </c>
      <c r="G5050" t="str">
        <f>IFERROR(INDEX(Region_Map[Region], MATCH(orders[[#This Row],[Customer_Country]], Region_Map[Country], 0)), "Unknown")</f>
        <v>Nordics</v>
      </c>
      <c r="H5050" t="s">
        <v>6949</v>
      </c>
    </row>
    <row r="5051" spans="1:8">
      <c r="A5051" t="s">
        <v>5945</v>
      </c>
      <c r="B5051" t="s">
        <v>473</v>
      </c>
      <c r="C5051" s="1">
        <v>45160</v>
      </c>
      <c r="D5051" s="1" t="str">
        <f>PROPER(orders[[#This Row],[order_priority]])</f>
        <v>Same Day</v>
      </c>
      <c r="E5051" t="s">
        <v>13322</v>
      </c>
      <c r="F5051" t="str">
        <f>IFERROR(INDEX(customers[country], MATCH(orders[[#This Row],[customer_id]], customers[customer_id], 0)), "Unmapped")</f>
        <v>Netherlands</v>
      </c>
      <c r="G5051" t="str">
        <f>IFERROR(INDEX(Region_Map[Region], MATCH(orders[[#This Row],[Customer_Country]], Region_Map[Country], 0)), "Unknown")</f>
        <v>Central Europe</v>
      </c>
      <c r="H5051" t="s">
        <v>6949</v>
      </c>
    </row>
    <row r="5052" spans="1:8">
      <c r="A5052" t="s">
        <v>5946</v>
      </c>
      <c r="B5052" t="s">
        <v>356</v>
      </c>
      <c r="C5052" s="1">
        <v>45470</v>
      </c>
      <c r="D5052" s="1" t="str">
        <f>PROPER(orders[[#This Row],[order_priority]])</f>
        <v>Economy</v>
      </c>
      <c r="E5052" t="s">
        <v>13316</v>
      </c>
      <c r="F5052" t="str">
        <f>IFERROR(INDEX(customers[country], MATCH(orders[[#This Row],[customer_id]], customers[customer_id], 0)), "Unmapped")</f>
        <v>Netherlands</v>
      </c>
      <c r="G5052" t="str">
        <f>IFERROR(INDEX(Region_Map[Region], MATCH(orders[[#This Row],[Customer_Country]], Region_Map[Country], 0)), "Unknown")</f>
        <v>Central Europe</v>
      </c>
      <c r="H5052" t="s">
        <v>6949</v>
      </c>
    </row>
    <row r="5053" spans="1:8">
      <c r="A5053" t="s">
        <v>5947</v>
      </c>
      <c r="B5053" t="s">
        <v>124</v>
      </c>
      <c r="C5053" s="1">
        <v>45552</v>
      </c>
      <c r="D5053" s="1" t="str">
        <f>PROPER(orders[[#This Row],[order_priority]])</f>
        <v>Same Day</v>
      </c>
      <c r="E5053" t="s">
        <v>13322</v>
      </c>
      <c r="F5053" t="str">
        <f>IFERROR(INDEX(customers[country], MATCH(orders[[#This Row],[customer_id]], customers[customer_id], 0)), "Unmapped")</f>
        <v>Lithuania</v>
      </c>
      <c r="G5053" t="str">
        <f>IFERROR(INDEX(Region_Map[Region], MATCH(orders[[#This Row],[Customer_Country]], Region_Map[Country], 0)), "Unknown")</f>
        <v>Baltics</v>
      </c>
      <c r="H5053" t="s">
        <v>6949</v>
      </c>
    </row>
    <row r="5054" spans="1:8">
      <c r="A5054" t="s">
        <v>5948</v>
      </c>
      <c r="B5054" t="s">
        <v>303</v>
      </c>
      <c r="C5054" s="1">
        <v>45385</v>
      </c>
      <c r="D5054" s="1" t="str">
        <f>PROPER(orders[[#This Row],[order_priority]])</f>
        <v>Standard</v>
      </c>
      <c r="E5054" t="s">
        <v>13317</v>
      </c>
      <c r="F5054" t="str">
        <f>IFERROR(INDEX(customers[country], MATCH(orders[[#This Row],[customer_id]], customers[customer_id], 0)), "Unmapped")</f>
        <v>Netherlands</v>
      </c>
      <c r="G5054" t="str">
        <f>IFERROR(INDEX(Region_Map[Region], MATCH(orders[[#This Row],[Customer_Country]], Region_Map[Country], 0)), "Unknown")</f>
        <v>Central Europe</v>
      </c>
      <c r="H5054" t="s">
        <v>6949</v>
      </c>
    </row>
    <row r="5055" spans="1:8">
      <c r="A5055" t="s">
        <v>5949</v>
      </c>
      <c r="B5055" t="s">
        <v>661</v>
      </c>
      <c r="C5055" s="1">
        <v>45107</v>
      </c>
      <c r="D5055" s="1" t="str">
        <f>PROPER(orders[[#This Row],[order_priority]])</f>
        <v>Economy</v>
      </c>
      <c r="E5055" t="s">
        <v>13316</v>
      </c>
      <c r="F5055" t="str">
        <f>IFERROR(INDEX(customers[country], MATCH(orders[[#This Row],[customer_id]], customers[customer_id], 0)), "Unmapped")</f>
        <v>Lithuania</v>
      </c>
      <c r="G5055" t="str">
        <f>IFERROR(INDEX(Region_Map[Region], MATCH(orders[[#This Row],[Customer_Country]], Region_Map[Country], 0)), "Unknown")</f>
        <v>Baltics</v>
      </c>
      <c r="H5055" t="s">
        <v>6949</v>
      </c>
    </row>
    <row r="5056" spans="1:8">
      <c r="A5056" t="s">
        <v>5950</v>
      </c>
      <c r="B5056" t="s">
        <v>106</v>
      </c>
      <c r="C5056" s="1">
        <v>45249</v>
      </c>
      <c r="D5056" s="1" t="str">
        <f>PROPER(orders[[#This Row],[order_priority]])</f>
        <v>Economy</v>
      </c>
      <c r="E5056" t="s">
        <v>13316</v>
      </c>
      <c r="F5056" t="str">
        <f>IFERROR(INDEX(customers[country], MATCH(orders[[#This Row],[customer_id]], customers[customer_id], 0)), "Unmapped")</f>
        <v>Lithuania</v>
      </c>
      <c r="G5056" t="str">
        <f>IFERROR(INDEX(Region_Map[Region], MATCH(orders[[#This Row],[Customer_Country]], Region_Map[Country], 0)), "Unknown")</f>
        <v>Baltics</v>
      </c>
      <c r="H5056" t="s">
        <v>6949</v>
      </c>
    </row>
    <row r="5057" spans="1:8">
      <c r="A5057" t="s">
        <v>5951</v>
      </c>
      <c r="B5057" t="s">
        <v>407</v>
      </c>
      <c r="C5057" s="1">
        <v>45510</v>
      </c>
      <c r="D5057" s="1" t="str">
        <f>PROPER(orders[[#This Row],[order_priority]])</f>
        <v>Economy</v>
      </c>
      <c r="E5057" t="s">
        <v>13316</v>
      </c>
      <c r="F5057" t="str">
        <f>IFERROR(INDEX(customers[country], MATCH(orders[[#This Row],[customer_id]], customers[customer_id], 0)), "Unmapped")</f>
        <v>Poland</v>
      </c>
      <c r="G5057" t="str">
        <f>IFERROR(INDEX(Region_Map[Region], MATCH(orders[[#This Row],[Customer_Country]], Region_Map[Country], 0)), "Unknown")</f>
        <v>Central Europe</v>
      </c>
      <c r="H5057" t="s">
        <v>6949</v>
      </c>
    </row>
    <row r="5058" spans="1:8">
      <c r="A5058" t="s">
        <v>5952</v>
      </c>
      <c r="B5058" t="s">
        <v>347</v>
      </c>
      <c r="C5058" s="1">
        <v>45414</v>
      </c>
      <c r="D5058" s="1" t="str">
        <f>PROPER(orders[[#This Row],[order_priority]])</f>
        <v>Same Day</v>
      </c>
      <c r="E5058" t="s">
        <v>13321</v>
      </c>
      <c r="F5058" t="str">
        <f>IFERROR(INDEX(customers[country], MATCH(orders[[#This Row],[customer_id]], customers[customer_id], 0)), "Unmapped")</f>
        <v>Norway</v>
      </c>
      <c r="G5058" t="str">
        <f>IFERROR(INDEX(Region_Map[Region], MATCH(orders[[#This Row],[Customer_Country]], Region_Map[Country], 0)), "Unknown")</f>
        <v>Nordics</v>
      </c>
      <c r="H5058" t="s">
        <v>6949</v>
      </c>
    </row>
    <row r="5059" spans="1:8">
      <c r="A5059" t="s">
        <v>5953</v>
      </c>
      <c r="B5059" t="s">
        <v>879</v>
      </c>
      <c r="C5059" s="1">
        <v>44941</v>
      </c>
      <c r="D5059" s="1" t="str">
        <f>PROPER(orders[[#This Row],[order_priority]])</f>
        <v>Economy</v>
      </c>
      <c r="E5059" t="s">
        <v>13316</v>
      </c>
      <c r="F5059" t="str">
        <f>IFERROR(INDEX(customers[country], MATCH(orders[[#This Row],[customer_id]], customers[customer_id], 0)), "Unmapped")</f>
        <v>Norway</v>
      </c>
      <c r="G5059" t="str">
        <f>IFERROR(INDEX(Region_Map[Region], MATCH(orders[[#This Row],[Customer_Country]], Region_Map[Country], 0)), "Unknown")</f>
        <v>Nordics</v>
      </c>
      <c r="H5059" t="s">
        <v>6949</v>
      </c>
    </row>
    <row r="5060" spans="1:8">
      <c r="A5060" t="s">
        <v>5954</v>
      </c>
      <c r="B5060" t="s">
        <v>160</v>
      </c>
      <c r="C5060" s="1">
        <v>45491</v>
      </c>
      <c r="D5060" s="1" t="str">
        <f>PROPER(orders[[#This Row],[order_priority]])</f>
        <v>Express</v>
      </c>
      <c r="E5060" t="s">
        <v>13318</v>
      </c>
      <c r="F5060" t="str">
        <f>IFERROR(INDEX(customers[country], MATCH(orders[[#This Row],[customer_id]], customers[customer_id], 0)), "Unmapped")</f>
        <v>Denmark</v>
      </c>
      <c r="G5060" t="str">
        <f>IFERROR(INDEX(Region_Map[Region], MATCH(orders[[#This Row],[Customer_Country]], Region_Map[Country], 0)), "Unknown")</f>
        <v>Nordics</v>
      </c>
      <c r="H5060" t="s">
        <v>6949</v>
      </c>
    </row>
    <row r="5061" spans="1:8">
      <c r="A5061" t="s">
        <v>5955</v>
      </c>
      <c r="B5061" t="s">
        <v>306</v>
      </c>
      <c r="C5061" s="1">
        <v>45178</v>
      </c>
      <c r="D5061" s="1" t="str">
        <f>PROPER(orders[[#This Row],[order_priority]])</f>
        <v>Express</v>
      </c>
      <c r="E5061" t="s">
        <v>13318</v>
      </c>
      <c r="F5061" t="str">
        <f>IFERROR(INDEX(customers[country], MATCH(orders[[#This Row],[customer_id]], customers[customer_id], 0)), "Unmapped")</f>
        <v>Estonia</v>
      </c>
      <c r="G5061" t="str">
        <f>IFERROR(INDEX(Region_Map[Region], MATCH(orders[[#This Row],[Customer_Country]], Region_Map[Country], 0)), "Unknown")</f>
        <v>Baltics</v>
      </c>
      <c r="H5061" t="s">
        <v>6949</v>
      </c>
    </row>
    <row r="5062" spans="1:8">
      <c r="A5062" t="s">
        <v>5956</v>
      </c>
      <c r="B5062" t="s">
        <v>213</v>
      </c>
      <c r="C5062" s="1">
        <v>45331</v>
      </c>
      <c r="D5062" s="1" t="str">
        <f>PROPER(orders[[#This Row],[order_priority]])</f>
        <v>Express</v>
      </c>
      <c r="E5062" t="s">
        <v>13320</v>
      </c>
      <c r="F5062" t="str">
        <f>IFERROR(INDEX(customers[country], MATCH(orders[[#This Row],[customer_id]], customers[customer_id], 0)), "Unmapped")</f>
        <v>Denmark</v>
      </c>
      <c r="G5062" t="str">
        <f>IFERROR(INDEX(Region_Map[Region], MATCH(orders[[#This Row],[Customer_Country]], Region_Map[Country], 0)), "Unknown")</f>
        <v>Nordics</v>
      </c>
      <c r="H5062" t="s">
        <v>6949</v>
      </c>
    </row>
    <row r="5063" spans="1:8">
      <c r="A5063" t="s">
        <v>5957</v>
      </c>
      <c r="B5063" t="s">
        <v>837</v>
      </c>
      <c r="C5063" s="1">
        <v>44938</v>
      </c>
      <c r="D5063" s="1" t="str">
        <f>PROPER(orders[[#This Row],[order_priority]])</f>
        <v>Standard</v>
      </c>
      <c r="E5063" t="s">
        <v>13317</v>
      </c>
      <c r="F5063" t="str">
        <f>IFERROR(INDEX(customers[country], MATCH(orders[[#This Row],[customer_id]], customers[customer_id], 0)), "Unmapped")</f>
        <v>Poland</v>
      </c>
      <c r="G5063" t="str">
        <f>IFERROR(INDEX(Region_Map[Region], MATCH(orders[[#This Row],[Customer_Country]], Region_Map[Country], 0)), "Unknown")</f>
        <v>Central Europe</v>
      </c>
      <c r="H5063" t="s">
        <v>6949</v>
      </c>
    </row>
    <row r="5064" spans="1:8">
      <c r="A5064" t="s">
        <v>5958</v>
      </c>
      <c r="B5064" t="s">
        <v>443</v>
      </c>
      <c r="C5064" s="1">
        <v>45436</v>
      </c>
      <c r="D5064" s="1" t="str">
        <f>PROPER(orders[[#This Row],[order_priority]])</f>
        <v>Standard</v>
      </c>
      <c r="E5064" t="s">
        <v>13323</v>
      </c>
      <c r="F5064" t="str">
        <f>IFERROR(INDEX(customers[country], MATCH(orders[[#This Row],[customer_id]], customers[customer_id], 0)), "Unmapped")</f>
        <v>Estonia</v>
      </c>
      <c r="G5064" t="str">
        <f>IFERROR(INDEX(Region_Map[Region], MATCH(orders[[#This Row],[Customer_Country]], Region_Map[Country], 0)), "Unknown")</f>
        <v>Baltics</v>
      </c>
      <c r="H5064" t="s">
        <v>6949</v>
      </c>
    </row>
    <row r="5065" spans="1:8">
      <c r="A5065" t="s">
        <v>5959</v>
      </c>
      <c r="B5065" t="s">
        <v>614</v>
      </c>
      <c r="C5065" s="1">
        <v>45382</v>
      </c>
      <c r="D5065" s="1" t="str">
        <f>PROPER(orders[[#This Row],[order_priority]])</f>
        <v>Express</v>
      </c>
      <c r="E5065" t="s">
        <v>13318</v>
      </c>
      <c r="F5065" t="str">
        <f>IFERROR(INDEX(customers[country], MATCH(orders[[#This Row],[customer_id]], customers[customer_id], 0)), "Unmapped")</f>
        <v>Latvia</v>
      </c>
      <c r="G5065" t="str">
        <f>IFERROR(INDEX(Region_Map[Region], MATCH(orders[[#This Row],[Customer_Country]], Region_Map[Country], 0)), "Unknown")</f>
        <v>Baltics</v>
      </c>
      <c r="H5065" t="s">
        <v>6949</v>
      </c>
    </row>
    <row r="5066" spans="1:8">
      <c r="A5066" t="s">
        <v>5960</v>
      </c>
      <c r="B5066" t="s">
        <v>673</v>
      </c>
      <c r="C5066" s="1">
        <v>45011</v>
      </c>
      <c r="D5066" s="1" t="str">
        <f>PROPER(orders[[#This Row],[order_priority]])</f>
        <v>Standard</v>
      </c>
      <c r="E5066" t="s">
        <v>13317</v>
      </c>
      <c r="F5066" t="str">
        <f>IFERROR(INDEX(customers[country], MATCH(orders[[#This Row],[customer_id]], customers[customer_id], 0)), "Unmapped")</f>
        <v>Sweden</v>
      </c>
      <c r="G5066" t="str">
        <f>IFERROR(INDEX(Region_Map[Region], MATCH(orders[[#This Row],[Customer_Country]], Region_Map[Country], 0)), "Unknown")</f>
        <v>Nordics</v>
      </c>
      <c r="H5066" t="s">
        <v>6949</v>
      </c>
    </row>
    <row r="5067" spans="1:8">
      <c r="A5067" t="s">
        <v>5961</v>
      </c>
      <c r="B5067" t="s">
        <v>715</v>
      </c>
      <c r="C5067" s="1">
        <v>44983</v>
      </c>
      <c r="D5067" s="1" t="str">
        <f>PROPER(orders[[#This Row],[order_priority]])</f>
        <v>Standard</v>
      </c>
      <c r="E5067" t="s">
        <v>13317</v>
      </c>
      <c r="F5067" t="str">
        <f>IFERROR(INDEX(customers[country], MATCH(orders[[#This Row],[customer_id]], customers[customer_id], 0)), "Unmapped")</f>
        <v>Netherlands</v>
      </c>
      <c r="G5067" t="str">
        <f>IFERROR(INDEX(Region_Map[Region], MATCH(orders[[#This Row],[Customer_Country]], Region_Map[Country], 0)), "Unknown")</f>
        <v>Central Europe</v>
      </c>
      <c r="H5067" t="s">
        <v>6949</v>
      </c>
    </row>
    <row r="5068" spans="1:8">
      <c r="A5068" t="s">
        <v>5962</v>
      </c>
      <c r="B5068" t="s">
        <v>440</v>
      </c>
      <c r="C5068" s="1">
        <v>45494</v>
      </c>
      <c r="D5068" s="1" t="str">
        <f>PROPER(orders[[#This Row],[order_priority]])</f>
        <v>Standard</v>
      </c>
      <c r="E5068" t="s">
        <v>13317</v>
      </c>
      <c r="F5068" t="str">
        <f>IFERROR(INDEX(customers[country], MATCH(orders[[#This Row],[customer_id]], customers[customer_id], 0)), "Unmapped")</f>
        <v>Poland</v>
      </c>
      <c r="G5068" t="str">
        <f>IFERROR(INDEX(Region_Map[Region], MATCH(orders[[#This Row],[Customer_Country]], Region_Map[Country], 0)), "Unknown")</f>
        <v>Central Europe</v>
      </c>
      <c r="H5068" t="s">
        <v>6949</v>
      </c>
    </row>
    <row r="5069" spans="1:8">
      <c r="A5069" t="s">
        <v>5963</v>
      </c>
      <c r="B5069" t="s">
        <v>383</v>
      </c>
      <c r="C5069" s="1">
        <v>45050</v>
      </c>
      <c r="D5069" s="1" t="str">
        <f>PROPER(orders[[#This Row],[order_priority]])</f>
        <v>Same Day</v>
      </c>
      <c r="E5069" t="s">
        <v>13322</v>
      </c>
      <c r="F5069" t="str">
        <f>IFERROR(INDEX(customers[country], MATCH(orders[[#This Row],[customer_id]], customers[customer_id], 0)), "Unmapped")</f>
        <v>Germany</v>
      </c>
      <c r="G5069" t="str">
        <f>IFERROR(INDEX(Region_Map[Region], MATCH(orders[[#This Row],[Customer_Country]], Region_Map[Country], 0)), "Unknown")</f>
        <v>Central Europe</v>
      </c>
      <c r="H5069" t="s">
        <v>6949</v>
      </c>
    </row>
    <row r="5070" spans="1:8">
      <c r="A5070" t="s">
        <v>5964</v>
      </c>
      <c r="B5070" t="s">
        <v>166</v>
      </c>
      <c r="C5070" s="1">
        <v>45123</v>
      </c>
      <c r="D5070" s="1" t="str">
        <f>PROPER(orders[[#This Row],[order_priority]])</f>
        <v>Express</v>
      </c>
      <c r="E5070" t="s">
        <v>13326</v>
      </c>
      <c r="F5070" t="str">
        <f>IFERROR(INDEX(customers[country], MATCH(orders[[#This Row],[customer_id]], customers[customer_id], 0)), "Unmapped")</f>
        <v>Denmark</v>
      </c>
      <c r="G5070" t="str">
        <f>IFERROR(INDEX(Region_Map[Region], MATCH(orders[[#This Row],[Customer_Country]], Region_Map[Country], 0)), "Unknown")</f>
        <v>Nordics</v>
      </c>
      <c r="H5070" t="s">
        <v>6949</v>
      </c>
    </row>
    <row r="5071" spans="1:8">
      <c r="A5071" t="s">
        <v>5965</v>
      </c>
      <c r="B5071" t="s">
        <v>650</v>
      </c>
      <c r="C5071" s="1">
        <v>45264</v>
      </c>
      <c r="D5071" s="1" t="str">
        <f>PROPER(orders[[#This Row],[order_priority]])</f>
        <v>Express</v>
      </c>
      <c r="E5071" t="s">
        <v>13318</v>
      </c>
      <c r="F5071" t="str">
        <f>IFERROR(INDEX(customers[country], MATCH(orders[[#This Row],[customer_id]], customers[customer_id], 0)), "Unmapped")</f>
        <v>Poland</v>
      </c>
      <c r="G5071" t="str">
        <f>IFERROR(INDEX(Region_Map[Region], MATCH(orders[[#This Row],[Customer_Country]], Region_Map[Country], 0)), "Unknown")</f>
        <v>Central Europe</v>
      </c>
      <c r="H5071" t="s">
        <v>6949</v>
      </c>
    </row>
    <row r="5072" spans="1:8">
      <c r="A5072" t="s">
        <v>5966</v>
      </c>
      <c r="B5072" t="s">
        <v>551</v>
      </c>
      <c r="C5072" s="1">
        <v>45399</v>
      </c>
      <c r="D5072" s="1" t="str">
        <f>PROPER(orders[[#This Row],[order_priority]])</f>
        <v>Express</v>
      </c>
      <c r="E5072" t="s">
        <v>13318</v>
      </c>
      <c r="F5072" t="str">
        <f>IFERROR(INDEX(customers[country], MATCH(orders[[#This Row],[customer_id]], customers[customer_id], 0)), "Unmapped")</f>
        <v>Latvia</v>
      </c>
      <c r="G5072" t="str">
        <f>IFERROR(INDEX(Region_Map[Region], MATCH(orders[[#This Row],[Customer_Country]], Region_Map[Country], 0)), "Unknown")</f>
        <v>Baltics</v>
      </c>
      <c r="H5072" t="s">
        <v>6949</v>
      </c>
    </row>
    <row r="5073" spans="1:8">
      <c r="A5073" t="s">
        <v>5967</v>
      </c>
      <c r="B5073" t="s">
        <v>169</v>
      </c>
      <c r="C5073" s="1">
        <v>45010</v>
      </c>
      <c r="D5073" s="1" t="str">
        <f>PROPER(orders[[#This Row],[order_priority]])</f>
        <v>Same Day</v>
      </c>
      <c r="E5073" t="s">
        <v>13322</v>
      </c>
      <c r="F5073" t="str">
        <f>IFERROR(INDEX(customers[country], MATCH(orders[[#This Row],[customer_id]], customers[customer_id], 0)), "Unmapped")</f>
        <v>Norway</v>
      </c>
      <c r="G5073" t="str">
        <f>IFERROR(INDEX(Region_Map[Region], MATCH(orders[[#This Row],[Customer_Country]], Region_Map[Country], 0)), "Unknown")</f>
        <v>Nordics</v>
      </c>
      <c r="H5073" t="s">
        <v>6949</v>
      </c>
    </row>
    <row r="5074" spans="1:8">
      <c r="A5074" t="s">
        <v>5968</v>
      </c>
      <c r="B5074" t="s">
        <v>431</v>
      </c>
      <c r="C5074" s="1">
        <v>45332</v>
      </c>
      <c r="D5074" s="1" t="str">
        <f>PROPER(orders[[#This Row],[order_priority]])</f>
        <v>Economy</v>
      </c>
      <c r="E5074" t="s">
        <v>13328</v>
      </c>
      <c r="F5074" t="str">
        <f>IFERROR(INDEX(customers[country], MATCH(orders[[#This Row],[customer_id]], customers[customer_id], 0)), "Unmapped")</f>
        <v>Sweden</v>
      </c>
      <c r="G5074" t="str">
        <f>IFERROR(INDEX(Region_Map[Region], MATCH(orders[[#This Row],[Customer_Country]], Region_Map[Country], 0)), "Unknown")</f>
        <v>Nordics</v>
      </c>
      <c r="H5074" t="s">
        <v>6949</v>
      </c>
    </row>
    <row r="5075" spans="1:8">
      <c r="A5075" t="s">
        <v>5969</v>
      </c>
      <c r="B5075" t="s">
        <v>127</v>
      </c>
      <c r="C5075" s="1">
        <v>45427</v>
      </c>
      <c r="D5075" s="1" t="str">
        <f>PROPER(orders[[#This Row],[order_priority]])</f>
        <v>Same Day</v>
      </c>
      <c r="E5075" t="s">
        <v>13322</v>
      </c>
      <c r="F5075" t="str">
        <f>IFERROR(INDEX(customers[country], MATCH(orders[[#This Row],[customer_id]], customers[customer_id], 0)), "Unmapped")</f>
        <v>Denmark</v>
      </c>
      <c r="G5075" t="str">
        <f>IFERROR(INDEX(Region_Map[Region], MATCH(orders[[#This Row],[Customer_Country]], Region_Map[Country], 0)), "Unknown")</f>
        <v>Nordics</v>
      </c>
      <c r="H5075" t="s">
        <v>6949</v>
      </c>
    </row>
    <row r="5076" spans="1:8">
      <c r="A5076" t="s">
        <v>5970</v>
      </c>
      <c r="B5076" t="s">
        <v>882</v>
      </c>
      <c r="C5076" s="1">
        <v>45582</v>
      </c>
      <c r="D5076" s="1" t="str">
        <f>PROPER(orders[[#This Row],[order_priority]])</f>
        <v>Standard</v>
      </c>
      <c r="E5076" t="s">
        <v>13317</v>
      </c>
      <c r="F5076" t="str">
        <f>IFERROR(INDEX(customers[country], MATCH(orders[[#This Row],[customer_id]], customers[customer_id], 0)), "Unmapped")</f>
        <v>Netherlands</v>
      </c>
      <c r="G5076" t="str">
        <f>IFERROR(INDEX(Region_Map[Region], MATCH(orders[[#This Row],[Customer_Country]], Region_Map[Country], 0)), "Unknown")</f>
        <v>Central Europe</v>
      </c>
      <c r="H5076" t="s">
        <v>6949</v>
      </c>
    </row>
    <row r="5077" spans="1:8">
      <c r="A5077" t="s">
        <v>5971</v>
      </c>
      <c r="B5077" t="s">
        <v>416</v>
      </c>
      <c r="C5077" s="1">
        <v>44955</v>
      </c>
      <c r="D5077" s="1" t="str">
        <f>PROPER(orders[[#This Row],[order_priority]])</f>
        <v>Same Day</v>
      </c>
      <c r="E5077" t="s">
        <v>13322</v>
      </c>
      <c r="F5077" t="str">
        <f>IFERROR(INDEX(customers[country], MATCH(orders[[#This Row],[customer_id]], customers[customer_id], 0)), "Unmapped")</f>
        <v>Denmark</v>
      </c>
      <c r="G5077" t="str">
        <f>IFERROR(INDEX(Region_Map[Region], MATCH(orders[[#This Row],[Customer_Country]], Region_Map[Country], 0)), "Unknown")</f>
        <v>Nordics</v>
      </c>
      <c r="H5077" t="s">
        <v>6949</v>
      </c>
    </row>
    <row r="5078" spans="1:8">
      <c r="A5078" t="s">
        <v>5972</v>
      </c>
      <c r="B5078" t="s">
        <v>246</v>
      </c>
      <c r="C5078" s="1">
        <v>45362</v>
      </c>
      <c r="D5078" s="1" t="str">
        <f>PROPER(orders[[#This Row],[order_priority]])</f>
        <v>Express</v>
      </c>
      <c r="E5078" t="s">
        <v>13318</v>
      </c>
      <c r="F5078" t="str">
        <f>IFERROR(INDEX(customers[country], MATCH(orders[[#This Row],[customer_id]], customers[customer_id], 0)), "Unmapped")</f>
        <v>Netherlands</v>
      </c>
      <c r="G5078" t="str">
        <f>IFERROR(INDEX(Region_Map[Region], MATCH(orders[[#This Row],[Customer_Country]], Region_Map[Country], 0)), "Unknown")</f>
        <v>Central Europe</v>
      </c>
      <c r="H5078" t="s">
        <v>6949</v>
      </c>
    </row>
    <row r="5079" spans="1:8">
      <c r="A5079" t="s">
        <v>5973</v>
      </c>
      <c r="B5079" t="s">
        <v>222</v>
      </c>
      <c r="C5079" s="1">
        <v>45540</v>
      </c>
      <c r="D5079" s="1" t="str">
        <f>PROPER(orders[[#This Row],[order_priority]])</f>
        <v>Standard</v>
      </c>
      <c r="E5079" t="s">
        <v>13319</v>
      </c>
      <c r="F5079" t="str">
        <f>IFERROR(INDEX(customers[country], MATCH(orders[[#This Row],[customer_id]], customers[customer_id], 0)), "Unmapped")</f>
        <v>Norway</v>
      </c>
      <c r="G5079" t="str">
        <f>IFERROR(INDEX(Region_Map[Region], MATCH(orders[[#This Row],[Customer_Country]], Region_Map[Country], 0)), "Unknown")</f>
        <v>Nordics</v>
      </c>
      <c r="H5079" t="s">
        <v>6949</v>
      </c>
    </row>
    <row r="5080" spans="1:8">
      <c r="A5080" t="s">
        <v>5529</v>
      </c>
      <c r="B5080" t="s">
        <v>721</v>
      </c>
      <c r="C5080" s="1">
        <v>45287</v>
      </c>
      <c r="D5080" s="1" t="str">
        <f>PROPER(orders[[#This Row],[order_priority]])</f>
        <v>Express</v>
      </c>
      <c r="E5080" t="s">
        <v>13320</v>
      </c>
      <c r="F5080" t="str">
        <f>IFERROR(INDEX(customers[country], MATCH(orders[[#This Row],[customer_id]], customers[customer_id], 0)), "Unmapped")</f>
        <v>Netherlands</v>
      </c>
      <c r="G5080" t="str">
        <f>IFERROR(INDEX(Region_Map[Region], MATCH(orders[[#This Row],[Customer_Country]], Region_Map[Country], 0)), "Unknown")</f>
        <v>Central Europe</v>
      </c>
      <c r="H5080" t="s">
        <v>6949</v>
      </c>
    </row>
    <row r="5081" spans="1:8">
      <c r="A5081" t="s">
        <v>5974</v>
      </c>
      <c r="B5081" t="s">
        <v>73</v>
      </c>
      <c r="C5081" s="1">
        <v>45048</v>
      </c>
      <c r="D5081" s="1" t="str">
        <f>PROPER(orders[[#This Row],[order_priority]])</f>
        <v>Express</v>
      </c>
      <c r="E5081" t="s">
        <v>13320</v>
      </c>
      <c r="F5081" t="str">
        <f>IFERROR(INDEX(customers[country], MATCH(orders[[#This Row],[customer_id]], customers[customer_id], 0)), "Unmapped")</f>
        <v>Norway</v>
      </c>
      <c r="G5081" t="str">
        <f>IFERROR(INDEX(Region_Map[Region], MATCH(orders[[#This Row],[Customer_Country]], Region_Map[Country], 0)), "Unknown")</f>
        <v>Nordics</v>
      </c>
      <c r="H5081" t="s">
        <v>6949</v>
      </c>
    </row>
    <row r="5082" spans="1:8">
      <c r="A5082" t="s">
        <v>5975</v>
      </c>
      <c r="B5082" t="s">
        <v>730</v>
      </c>
      <c r="C5082" s="1">
        <v>45209</v>
      </c>
      <c r="D5082" s="1" t="str">
        <f>PROPER(orders[[#This Row],[order_priority]])</f>
        <v>Standard</v>
      </c>
      <c r="E5082" t="s">
        <v>13317</v>
      </c>
      <c r="F5082" t="str">
        <f>IFERROR(INDEX(customers[country], MATCH(orders[[#This Row],[customer_id]], customers[customer_id], 0)), "Unmapped")</f>
        <v>Lithuania</v>
      </c>
      <c r="G5082" t="str">
        <f>IFERROR(INDEX(Region_Map[Region], MATCH(orders[[#This Row],[Customer_Country]], Region_Map[Country], 0)), "Unknown")</f>
        <v>Baltics</v>
      </c>
      <c r="H5082" t="s">
        <v>6949</v>
      </c>
    </row>
    <row r="5083" spans="1:8">
      <c r="A5083" t="s">
        <v>5976</v>
      </c>
      <c r="B5083" t="s">
        <v>846</v>
      </c>
      <c r="C5083" s="1">
        <v>45591</v>
      </c>
      <c r="D5083" s="1" t="str">
        <f>PROPER(orders[[#This Row],[order_priority]])</f>
        <v>Same Day</v>
      </c>
      <c r="E5083" t="s">
        <v>13324</v>
      </c>
      <c r="F5083" t="str">
        <f>IFERROR(INDEX(customers[country], MATCH(orders[[#This Row],[customer_id]], customers[customer_id], 0)), "Unmapped")</f>
        <v>Netherlands</v>
      </c>
      <c r="G5083" t="str">
        <f>IFERROR(INDEX(Region_Map[Region], MATCH(orders[[#This Row],[Customer_Country]], Region_Map[Country], 0)), "Unknown")</f>
        <v>Central Europe</v>
      </c>
      <c r="H5083" t="s">
        <v>6949</v>
      </c>
    </row>
    <row r="5084" spans="1:8">
      <c r="A5084" t="s">
        <v>5977</v>
      </c>
      <c r="B5084" t="s">
        <v>252</v>
      </c>
      <c r="C5084" s="1">
        <v>45558</v>
      </c>
      <c r="D5084" s="1" t="str">
        <f>PROPER(orders[[#This Row],[order_priority]])</f>
        <v>Economy</v>
      </c>
      <c r="E5084" t="s">
        <v>13316</v>
      </c>
      <c r="F5084" t="str">
        <f>IFERROR(INDEX(customers[country], MATCH(orders[[#This Row],[customer_id]], customers[customer_id], 0)), "Unmapped")</f>
        <v>Lithuania</v>
      </c>
      <c r="G5084" t="str">
        <f>IFERROR(INDEX(Region_Map[Region], MATCH(orders[[#This Row],[Customer_Country]], Region_Map[Country], 0)), "Unknown")</f>
        <v>Baltics</v>
      </c>
      <c r="H5084" t="s">
        <v>6949</v>
      </c>
    </row>
    <row r="5085" spans="1:8">
      <c r="A5085" t="s">
        <v>5978</v>
      </c>
      <c r="B5085" t="s">
        <v>19</v>
      </c>
      <c r="C5085" s="1">
        <v>45258</v>
      </c>
      <c r="D5085" s="1" t="str">
        <f>PROPER(orders[[#This Row],[order_priority]])</f>
        <v>Express</v>
      </c>
      <c r="E5085" t="s">
        <v>13318</v>
      </c>
      <c r="F5085" t="str">
        <f>IFERROR(INDEX(customers[country], MATCH(orders[[#This Row],[customer_id]], customers[customer_id], 0)), "Unmapped")</f>
        <v>Poland</v>
      </c>
      <c r="G5085" t="str">
        <f>IFERROR(INDEX(Region_Map[Region], MATCH(orders[[#This Row],[Customer_Country]], Region_Map[Country], 0)), "Unknown")</f>
        <v>Central Europe</v>
      </c>
      <c r="H5085" t="s">
        <v>6949</v>
      </c>
    </row>
    <row r="5086" spans="1:8">
      <c r="A5086" t="s">
        <v>5979</v>
      </c>
      <c r="B5086" t="s">
        <v>201</v>
      </c>
      <c r="C5086" s="1">
        <v>44985</v>
      </c>
      <c r="D5086" s="1" t="str">
        <f>PROPER(orders[[#This Row],[order_priority]])</f>
        <v>Express</v>
      </c>
      <c r="E5086" t="s">
        <v>13318</v>
      </c>
      <c r="F5086" t="str">
        <f>IFERROR(INDEX(customers[country], MATCH(orders[[#This Row],[customer_id]], customers[customer_id], 0)), "Unmapped")</f>
        <v>Estonia</v>
      </c>
      <c r="G5086" t="str">
        <f>IFERROR(INDEX(Region_Map[Region], MATCH(orders[[#This Row],[Customer_Country]], Region_Map[Country], 0)), "Unknown")</f>
        <v>Baltics</v>
      </c>
      <c r="H5086" t="s">
        <v>6949</v>
      </c>
    </row>
    <row r="5087" spans="1:8">
      <c r="A5087" t="s">
        <v>5980</v>
      </c>
      <c r="B5087" t="s">
        <v>733</v>
      </c>
      <c r="C5087" s="1">
        <v>45274</v>
      </c>
      <c r="D5087" s="1" t="str">
        <f>PROPER(orders[[#This Row],[order_priority]])</f>
        <v>Express</v>
      </c>
      <c r="E5087" t="s">
        <v>13318</v>
      </c>
      <c r="F5087" t="str">
        <f>IFERROR(INDEX(customers[country], MATCH(orders[[#This Row],[customer_id]], customers[customer_id], 0)), "Unmapped")</f>
        <v>Lithuania</v>
      </c>
      <c r="G5087" t="str">
        <f>IFERROR(INDEX(Region_Map[Region], MATCH(orders[[#This Row],[Customer_Country]], Region_Map[Country], 0)), "Unknown")</f>
        <v>Baltics</v>
      </c>
      <c r="H5087" t="s">
        <v>6949</v>
      </c>
    </row>
    <row r="5088" spans="1:8">
      <c r="A5088" t="s">
        <v>5981</v>
      </c>
      <c r="B5088" t="s">
        <v>464</v>
      </c>
      <c r="C5088" s="1">
        <v>45079</v>
      </c>
      <c r="D5088" s="1" t="str">
        <f>PROPER(orders[[#This Row],[order_priority]])</f>
        <v>Economy</v>
      </c>
      <c r="E5088" t="s">
        <v>13316</v>
      </c>
      <c r="F5088" t="str">
        <f>IFERROR(INDEX(customers[country], MATCH(orders[[#This Row],[customer_id]], customers[customer_id], 0)), "Unmapped")</f>
        <v>Finland</v>
      </c>
      <c r="G5088" t="str">
        <f>IFERROR(INDEX(Region_Map[Region], MATCH(orders[[#This Row],[Customer_Country]], Region_Map[Country], 0)), "Unknown")</f>
        <v>Nordics</v>
      </c>
      <c r="H5088" t="s">
        <v>6949</v>
      </c>
    </row>
    <row r="5089" spans="1:8">
      <c r="A5089" t="s">
        <v>5982</v>
      </c>
      <c r="B5089" t="s">
        <v>175</v>
      </c>
      <c r="C5089" s="1">
        <v>44999</v>
      </c>
      <c r="D5089" s="1" t="str">
        <f>PROPER(orders[[#This Row],[order_priority]])</f>
        <v>Standard</v>
      </c>
      <c r="E5089" t="s">
        <v>13317</v>
      </c>
      <c r="F5089" t="str">
        <f>IFERROR(INDEX(customers[country], MATCH(orders[[#This Row],[customer_id]], customers[customer_id], 0)), "Unmapped")</f>
        <v>Sweden</v>
      </c>
      <c r="G5089" t="str">
        <f>IFERROR(INDEX(Region_Map[Region], MATCH(orders[[#This Row],[Customer_Country]], Region_Map[Country], 0)), "Unknown")</f>
        <v>Nordics</v>
      </c>
      <c r="H5089" t="s">
        <v>6949</v>
      </c>
    </row>
    <row r="5090" spans="1:8">
      <c r="A5090" t="s">
        <v>5983</v>
      </c>
      <c r="B5090" t="s">
        <v>724</v>
      </c>
      <c r="C5090" s="1">
        <v>45387</v>
      </c>
      <c r="D5090" s="1" t="str">
        <f>PROPER(orders[[#This Row],[order_priority]])</f>
        <v>Economy</v>
      </c>
      <c r="E5090" t="s">
        <v>13316</v>
      </c>
      <c r="F5090" t="str">
        <f>IFERROR(INDEX(customers[country], MATCH(orders[[#This Row],[customer_id]], customers[customer_id], 0)), "Unmapped")</f>
        <v>Denmark</v>
      </c>
      <c r="G5090" t="str">
        <f>IFERROR(INDEX(Region_Map[Region], MATCH(orders[[#This Row],[Customer_Country]], Region_Map[Country], 0)), "Unknown")</f>
        <v>Nordics</v>
      </c>
      <c r="H5090" t="s">
        <v>6949</v>
      </c>
    </row>
    <row r="5091" spans="1:8">
      <c r="A5091" t="s">
        <v>5984</v>
      </c>
      <c r="B5091" t="s">
        <v>231</v>
      </c>
      <c r="C5091" s="1">
        <v>45101</v>
      </c>
      <c r="D5091" s="1" t="str">
        <f>PROPER(orders[[#This Row],[order_priority]])</f>
        <v>Same Day</v>
      </c>
      <c r="E5091" t="s">
        <v>13322</v>
      </c>
      <c r="F5091" t="str">
        <f>IFERROR(INDEX(customers[country], MATCH(orders[[#This Row],[customer_id]], customers[customer_id], 0)), "Unmapped")</f>
        <v>Lithuania</v>
      </c>
      <c r="G5091" t="str">
        <f>IFERROR(INDEX(Region_Map[Region], MATCH(orders[[#This Row],[Customer_Country]], Region_Map[Country], 0)), "Unknown")</f>
        <v>Baltics</v>
      </c>
      <c r="H5091" t="s">
        <v>6949</v>
      </c>
    </row>
    <row r="5092" spans="1:8">
      <c r="A5092" t="s">
        <v>5985</v>
      </c>
      <c r="B5092" t="s">
        <v>650</v>
      </c>
      <c r="C5092" s="1">
        <v>45260</v>
      </c>
      <c r="D5092" s="1" t="str">
        <f>PROPER(orders[[#This Row],[order_priority]])</f>
        <v>Express</v>
      </c>
      <c r="E5092" t="s">
        <v>13318</v>
      </c>
      <c r="F5092" t="str">
        <f>IFERROR(INDEX(customers[country], MATCH(orders[[#This Row],[customer_id]], customers[customer_id], 0)), "Unmapped")</f>
        <v>Poland</v>
      </c>
      <c r="G5092" t="str">
        <f>IFERROR(INDEX(Region_Map[Region], MATCH(orders[[#This Row],[Customer_Country]], Region_Map[Country], 0)), "Unknown")</f>
        <v>Central Europe</v>
      </c>
      <c r="H5092" t="s">
        <v>6949</v>
      </c>
    </row>
    <row r="5093" spans="1:8">
      <c r="A5093" t="s">
        <v>5986</v>
      </c>
      <c r="B5093" t="s">
        <v>548</v>
      </c>
      <c r="C5093" s="1">
        <v>45139</v>
      </c>
      <c r="D5093" s="1" t="str">
        <f>PROPER(orders[[#This Row],[order_priority]])</f>
        <v>Express</v>
      </c>
      <c r="E5093" t="s">
        <v>13318</v>
      </c>
      <c r="F5093" t="str">
        <f>IFERROR(INDEX(customers[country], MATCH(orders[[#This Row],[customer_id]], customers[customer_id], 0)), "Unmapped")</f>
        <v>Sweden</v>
      </c>
      <c r="G5093" t="str">
        <f>IFERROR(INDEX(Region_Map[Region], MATCH(orders[[#This Row],[Customer_Country]], Region_Map[Country], 0)), "Unknown")</f>
        <v>Nordics</v>
      </c>
      <c r="H5093" t="s">
        <v>6949</v>
      </c>
    </row>
    <row r="5094" spans="1:8">
      <c r="A5094" t="s">
        <v>5987</v>
      </c>
      <c r="B5094" t="s">
        <v>291</v>
      </c>
      <c r="C5094" s="1">
        <v>45627</v>
      </c>
      <c r="D5094" s="1" t="str">
        <f>PROPER(orders[[#This Row],[order_priority]])</f>
        <v>Same Day</v>
      </c>
      <c r="E5094" t="s">
        <v>13322</v>
      </c>
      <c r="F5094" t="str">
        <f>IFERROR(INDEX(customers[country], MATCH(orders[[#This Row],[customer_id]], customers[customer_id], 0)), "Unmapped")</f>
        <v>Poland</v>
      </c>
      <c r="G5094" t="str">
        <f>IFERROR(INDEX(Region_Map[Region], MATCH(orders[[#This Row],[Customer_Country]], Region_Map[Country], 0)), "Unknown")</f>
        <v>Central Europe</v>
      </c>
      <c r="H5094" t="s">
        <v>6949</v>
      </c>
    </row>
    <row r="5095" spans="1:8">
      <c r="A5095" t="s">
        <v>5988</v>
      </c>
      <c r="B5095" t="s">
        <v>524</v>
      </c>
      <c r="C5095" s="1">
        <v>45309</v>
      </c>
      <c r="D5095" s="1" t="str">
        <f>PROPER(orders[[#This Row],[order_priority]])</f>
        <v>Express</v>
      </c>
      <c r="E5095" t="s">
        <v>13318</v>
      </c>
      <c r="F5095" t="str">
        <f>IFERROR(INDEX(customers[country], MATCH(orders[[#This Row],[customer_id]], customers[customer_id], 0)), "Unmapped")</f>
        <v>Norway</v>
      </c>
      <c r="G5095" t="str">
        <f>IFERROR(INDEX(Region_Map[Region], MATCH(orders[[#This Row],[Customer_Country]], Region_Map[Country], 0)), "Unknown")</f>
        <v>Nordics</v>
      </c>
      <c r="H5095" t="s">
        <v>6949</v>
      </c>
    </row>
    <row r="5096" spans="1:8">
      <c r="A5096" t="s">
        <v>5989</v>
      </c>
      <c r="B5096" t="s">
        <v>763</v>
      </c>
      <c r="C5096" s="1">
        <v>45108</v>
      </c>
      <c r="D5096" s="1" t="str">
        <f>PROPER(orders[[#This Row],[order_priority]])</f>
        <v>Economy</v>
      </c>
      <c r="E5096" t="s">
        <v>13316</v>
      </c>
      <c r="F5096" t="str">
        <f>IFERROR(INDEX(customers[country], MATCH(orders[[#This Row],[customer_id]], customers[customer_id], 0)), "Unmapped")</f>
        <v>Estonia</v>
      </c>
      <c r="G5096" t="str">
        <f>IFERROR(INDEX(Region_Map[Region], MATCH(orders[[#This Row],[Customer_Country]], Region_Map[Country], 0)), "Unknown")</f>
        <v>Baltics</v>
      </c>
      <c r="H5096" t="s">
        <v>6949</v>
      </c>
    </row>
    <row r="5097" spans="1:8">
      <c r="A5097" t="s">
        <v>5990</v>
      </c>
      <c r="B5097" t="s">
        <v>458</v>
      </c>
      <c r="C5097" s="1">
        <v>45582</v>
      </c>
      <c r="D5097" s="1" t="str">
        <f>PROPER(orders[[#This Row],[order_priority]])</f>
        <v>Same Day</v>
      </c>
      <c r="E5097" t="s">
        <v>13322</v>
      </c>
      <c r="F5097" t="str">
        <f>IFERROR(INDEX(customers[country], MATCH(orders[[#This Row],[customer_id]], customers[customer_id], 0)), "Unmapped")</f>
        <v>Poland</v>
      </c>
      <c r="G5097" t="str">
        <f>IFERROR(INDEX(Region_Map[Region], MATCH(orders[[#This Row],[Customer_Country]], Region_Map[Country], 0)), "Unknown")</f>
        <v>Central Europe</v>
      </c>
      <c r="H5097" t="s">
        <v>6949</v>
      </c>
    </row>
    <row r="5098" spans="1:8">
      <c r="A5098" t="s">
        <v>5991</v>
      </c>
      <c r="B5098" t="s">
        <v>715</v>
      </c>
      <c r="C5098" s="1">
        <v>45289</v>
      </c>
      <c r="D5098" s="1" t="str">
        <f>PROPER(orders[[#This Row],[order_priority]])</f>
        <v>Standard</v>
      </c>
      <c r="E5098" t="s">
        <v>13317</v>
      </c>
      <c r="F5098" t="str">
        <f>IFERROR(INDEX(customers[country], MATCH(orders[[#This Row],[customer_id]], customers[customer_id], 0)), "Unmapped")</f>
        <v>Netherlands</v>
      </c>
      <c r="G5098" t="str">
        <f>IFERROR(INDEX(Region_Map[Region], MATCH(orders[[#This Row],[Customer_Country]], Region_Map[Country], 0)), "Unknown")</f>
        <v>Central Europe</v>
      </c>
      <c r="H5098" t="s">
        <v>6949</v>
      </c>
    </row>
    <row r="5099" spans="1:8">
      <c r="A5099" t="s">
        <v>5992</v>
      </c>
      <c r="B5099" t="s">
        <v>828</v>
      </c>
      <c r="C5099" s="1">
        <v>45377</v>
      </c>
      <c r="D5099" s="1" t="str">
        <f>PROPER(orders[[#This Row],[order_priority]])</f>
        <v>Same Day</v>
      </c>
      <c r="E5099" t="s">
        <v>13322</v>
      </c>
      <c r="F5099" t="str">
        <f>IFERROR(INDEX(customers[country], MATCH(orders[[#This Row],[customer_id]], customers[customer_id], 0)), "Unmapped")</f>
        <v>Germany</v>
      </c>
      <c r="G5099" t="str">
        <f>IFERROR(INDEX(Region_Map[Region], MATCH(orders[[#This Row],[Customer_Country]], Region_Map[Country], 0)), "Unknown")</f>
        <v>Central Europe</v>
      </c>
      <c r="H5099" t="s">
        <v>6949</v>
      </c>
    </row>
    <row r="5100" spans="1:8">
      <c r="A5100" t="s">
        <v>5993</v>
      </c>
      <c r="B5100" t="s">
        <v>581</v>
      </c>
      <c r="C5100" s="1">
        <v>45584</v>
      </c>
      <c r="D5100" s="1" t="str">
        <f>PROPER(orders[[#This Row],[order_priority]])</f>
        <v>Same Day</v>
      </c>
      <c r="E5100" t="s">
        <v>13322</v>
      </c>
      <c r="F5100" t="str">
        <f>IFERROR(INDEX(customers[country], MATCH(orders[[#This Row],[customer_id]], customers[customer_id], 0)), "Unmapped")</f>
        <v>Norway</v>
      </c>
      <c r="G5100" t="str">
        <f>IFERROR(INDEX(Region_Map[Region], MATCH(orders[[#This Row],[Customer_Country]], Region_Map[Country], 0)), "Unknown")</f>
        <v>Nordics</v>
      </c>
      <c r="H5100" t="s">
        <v>6949</v>
      </c>
    </row>
    <row r="5101" spans="1:8">
      <c r="A5101" t="s">
        <v>5994</v>
      </c>
      <c r="B5101" t="s">
        <v>416</v>
      </c>
      <c r="C5101" s="1">
        <v>45127</v>
      </c>
      <c r="D5101" s="1" t="str">
        <f>PROPER(orders[[#This Row],[order_priority]])</f>
        <v>Express</v>
      </c>
      <c r="E5101" t="s">
        <v>13318</v>
      </c>
      <c r="F5101" t="str">
        <f>IFERROR(INDEX(customers[country], MATCH(orders[[#This Row],[customer_id]], customers[customer_id], 0)), "Unmapped")</f>
        <v>Denmark</v>
      </c>
      <c r="G5101" t="str">
        <f>IFERROR(INDEX(Region_Map[Region], MATCH(orders[[#This Row],[Customer_Country]], Region_Map[Country], 0)), "Unknown")</f>
        <v>Nordics</v>
      </c>
      <c r="H5101" t="s">
        <v>6949</v>
      </c>
    </row>
    <row r="5102" spans="1:8">
      <c r="A5102" t="s">
        <v>5995</v>
      </c>
      <c r="B5102" t="s">
        <v>419</v>
      </c>
      <c r="C5102" s="1">
        <v>45061</v>
      </c>
      <c r="D5102" s="1" t="str">
        <f>PROPER(orders[[#This Row],[order_priority]])</f>
        <v>Economy</v>
      </c>
      <c r="E5102" t="s">
        <v>13316</v>
      </c>
      <c r="F5102" t="str">
        <f>IFERROR(INDEX(customers[country], MATCH(orders[[#This Row],[customer_id]], customers[customer_id], 0)), "Unmapped")</f>
        <v>Estonia</v>
      </c>
      <c r="G5102" t="str">
        <f>IFERROR(INDEX(Region_Map[Region], MATCH(orders[[#This Row],[Customer_Country]], Region_Map[Country], 0)), "Unknown")</f>
        <v>Baltics</v>
      </c>
      <c r="H5102" t="s">
        <v>6949</v>
      </c>
    </row>
    <row r="5103" spans="1:8">
      <c r="A5103" t="s">
        <v>5996</v>
      </c>
      <c r="B5103" t="s">
        <v>142</v>
      </c>
      <c r="C5103" s="1">
        <v>45039</v>
      </c>
      <c r="D5103" s="1" t="str">
        <f>PROPER(orders[[#This Row],[order_priority]])</f>
        <v>Economy</v>
      </c>
      <c r="E5103" t="s">
        <v>13316</v>
      </c>
      <c r="F5103" t="str">
        <f>IFERROR(INDEX(customers[country], MATCH(orders[[#This Row],[customer_id]], customers[customer_id], 0)), "Unmapped")</f>
        <v>Estonia</v>
      </c>
      <c r="G5103" t="str">
        <f>IFERROR(INDEX(Region_Map[Region], MATCH(orders[[#This Row],[Customer_Country]], Region_Map[Country], 0)), "Unknown")</f>
        <v>Baltics</v>
      </c>
      <c r="H5103" t="s">
        <v>6949</v>
      </c>
    </row>
    <row r="5104" spans="1:8">
      <c r="A5104" t="s">
        <v>5997</v>
      </c>
      <c r="B5104" t="s">
        <v>741</v>
      </c>
      <c r="C5104" s="1">
        <v>45220</v>
      </c>
      <c r="D5104" s="1" t="str">
        <f>PROPER(orders[[#This Row],[order_priority]])</f>
        <v>Economy</v>
      </c>
      <c r="E5104" t="s">
        <v>13316</v>
      </c>
      <c r="F5104" t="str">
        <f>IFERROR(INDEX(customers[country], MATCH(orders[[#This Row],[customer_id]], customers[customer_id], 0)), "Unmapped")</f>
        <v>Germany</v>
      </c>
      <c r="G5104" t="str">
        <f>IFERROR(INDEX(Region_Map[Region], MATCH(orders[[#This Row],[Customer_Country]], Region_Map[Country], 0)), "Unknown")</f>
        <v>Central Europe</v>
      </c>
      <c r="H5104" t="s">
        <v>6949</v>
      </c>
    </row>
    <row r="5105" spans="1:8">
      <c r="A5105" t="s">
        <v>5998</v>
      </c>
      <c r="B5105" t="s">
        <v>894</v>
      </c>
      <c r="C5105" s="1">
        <v>45047</v>
      </c>
      <c r="D5105" s="1" t="str">
        <f>PROPER(orders[[#This Row],[order_priority]])</f>
        <v>Same Day</v>
      </c>
      <c r="E5105" t="s">
        <v>13322</v>
      </c>
      <c r="F5105" t="str">
        <f>IFERROR(INDEX(customers[country], MATCH(orders[[#This Row],[customer_id]], customers[customer_id], 0)), "Unmapped")</f>
        <v>Poland</v>
      </c>
      <c r="G5105" t="str">
        <f>IFERROR(INDEX(Region_Map[Region], MATCH(orders[[#This Row],[Customer_Country]], Region_Map[Country], 0)), "Unknown")</f>
        <v>Central Europe</v>
      </c>
      <c r="H5105" t="s">
        <v>6949</v>
      </c>
    </row>
    <row r="5106" spans="1:8">
      <c r="A5106" t="s">
        <v>5999</v>
      </c>
      <c r="B5106" t="s">
        <v>802</v>
      </c>
      <c r="C5106" s="1">
        <v>45290</v>
      </c>
      <c r="D5106" s="1" t="str">
        <f>PROPER(orders[[#This Row],[order_priority]])</f>
        <v>Express</v>
      </c>
      <c r="E5106" t="s">
        <v>13318</v>
      </c>
      <c r="F5106" t="str">
        <f>IFERROR(INDEX(customers[country], MATCH(orders[[#This Row],[customer_id]], customers[customer_id], 0)), "Unmapped")</f>
        <v>Poland</v>
      </c>
      <c r="G5106" t="str">
        <f>IFERROR(INDEX(Region_Map[Region], MATCH(orders[[#This Row],[Customer_Country]], Region_Map[Country], 0)), "Unknown")</f>
        <v>Central Europe</v>
      </c>
      <c r="H5106" t="s">
        <v>6949</v>
      </c>
    </row>
    <row r="5107" spans="1:8">
      <c r="A5107" t="s">
        <v>6000</v>
      </c>
      <c r="B5107" t="s">
        <v>876</v>
      </c>
      <c r="C5107" s="1">
        <v>45202</v>
      </c>
      <c r="D5107" s="1" t="str">
        <f>PROPER(orders[[#This Row],[order_priority]])</f>
        <v>Same Day</v>
      </c>
      <c r="E5107" t="s">
        <v>13322</v>
      </c>
      <c r="F5107" t="str">
        <f>IFERROR(INDEX(customers[country], MATCH(orders[[#This Row],[customer_id]], customers[customer_id], 0)), "Unmapped")</f>
        <v>Estonia</v>
      </c>
      <c r="G5107" t="str">
        <f>IFERROR(INDEX(Region_Map[Region], MATCH(orders[[#This Row],[Customer_Country]], Region_Map[Country], 0)), "Unknown")</f>
        <v>Baltics</v>
      </c>
      <c r="H5107" t="s">
        <v>6949</v>
      </c>
    </row>
    <row r="5108" spans="1:8">
      <c r="A5108" t="s">
        <v>6001</v>
      </c>
      <c r="B5108" t="s">
        <v>440</v>
      </c>
      <c r="C5108" s="1">
        <v>45622</v>
      </c>
      <c r="D5108" s="1" t="str">
        <f>PROPER(orders[[#This Row],[order_priority]])</f>
        <v>Standard</v>
      </c>
      <c r="E5108" t="s">
        <v>13323</v>
      </c>
      <c r="F5108" t="str">
        <f>IFERROR(INDEX(customers[country], MATCH(orders[[#This Row],[customer_id]], customers[customer_id], 0)), "Unmapped")</f>
        <v>Poland</v>
      </c>
      <c r="G5108" t="str">
        <f>IFERROR(INDEX(Region_Map[Region], MATCH(orders[[#This Row],[Customer_Country]], Region_Map[Country], 0)), "Unknown")</f>
        <v>Central Europe</v>
      </c>
      <c r="H5108" t="s">
        <v>6949</v>
      </c>
    </row>
    <row r="5109" spans="1:8">
      <c r="A5109" t="s">
        <v>6002</v>
      </c>
      <c r="B5109" t="s">
        <v>67</v>
      </c>
      <c r="C5109" s="1">
        <v>45258</v>
      </c>
      <c r="D5109" s="1" t="str">
        <f>PROPER(orders[[#This Row],[order_priority]])</f>
        <v>Standard</v>
      </c>
      <c r="E5109" t="s">
        <v>13319</v>
      </c>
      <c r="F5109" t="str">
        <f>IFERROR(INDEX(customers[country], MATCH(orders[[#This Row],[customer_id]], customers[customer_id], 0)), "Unmapped")</f>
        <v>Estonia</v>
      </c>
      <c r="G5109" t="str">
        <f>IFERROR(INDEX(Region_Map[Region], MATCH(orders[[#This Row],[Customer_Country]], Region_Map[Country], 0)), "Unknown")</f>
        <v>Baltics</v>
      </c>
      <c r="H5109" t="s">
        <v>6949</v>
      </c>
    </row>
    <row r="5110" spans="1:8">
      <c r="A5110" t="s">
        <v>6003</v>
      </c>
      <c r="B5110" t="s">
        <v>338</v>
      </c>
      <c r="C5110" s="1">
        <v>45246</v>
      </c>
      <c r="D5110" s="1" t="str">
        <f>PROPER(orders[[#This Row],[order_priority]])</f>
        <v>Economy</v>
      </c>
      <c r="E5110" t="s">
        <v>13316</v>
      </c>
      <c r="F5110" t="str">
        <f>IFERROR(INDEX(customers[country], MATCH(orders[[#This Row],[customer_id]], customers[customer_id], 0)), "Unmapped")</f>
        <v>Denmark</v>
      </c>
      <c r="G5110" t="str">
        <f>IFERROR(INDEX(Region_Map[Region], MATCH(orders[[#This Row],[Customer_Country]], Region_Map[Country], 0)), "Unknown")</f>
        <v>Nordics</v>
      </c>
      <c r="H5110" t="s">
        <v>6949</v>
      </c>
    </row>
    <row r="5111" spans="1:8">
      <c r="A5111" t="s">
        <v>6004</v>
      </c>
      <c r="B5111" t="s">
        <v>655</v>
      </c>
      <c r="C5111" s="1">
        <v>44966</v>
      </c>
      <c r="D5111" s="1" t="str">
        <f>PROPER(orders[[#This Row],[order_priority]])</f>
        <v>Same Day</v>
      </c>
      <c r="E5111" t="s">
        <v>13322</v>
      </c>
      <c r="F5111" t="str">
        <f>IFERROR(INDEX(customers[country], MATCH(orders[[#This Row],[customer_id]], customers[customer_id], 0)), "Unmapped")</f>
        <v>Sweden</v>
      </c>
      <c r="G5111" t="str">
        <f>IFERROR(INDEX(Region_Map[Region], MATCH(orders[[#This Row],[Customer_Country]], Region_Map[Country], 0)), "Unknown")</f>
        <v>Nordics</v>
      </c>
      <c r="H5111" t="s">
        <v>6949</v>
      </c>
    </row>
    <row r="5112" spans="1:8">
      <c r="A5112" t="s">
        <v>6005</v>
      </c>
      <c r="B5112" t="s">
        <v>602</v>
      </c>
      <c r="C5112" s="1">
        <v>44950</v>
      </c>
      <c r="D5112" s="1" t="str">
        <f>PROPER(orders[[#This Row],[order_priority]])</f>
        <v>Economy</v>
      </c>
      <c r="E5112" t="s">
        <v>13316</v>
      </c>
      <c r="F5112" t="str">
        <f>IFERROR(INDEX(customers[country], MATCH(orders[[#This Row],[customer_id]], customers[customer_id], 0)), "Unmapped")</f>
        <v>Poland</v>
      </c>
      <c r="G5112" t="str">
        <f>IFERROR(INDEX(Region_Map[Region], MATCH(orders[[#This Row],[Customer_Country]], Region_Map[Country], 0)), "Unknown")</f>
        <v>Central Europe</v>
      </c>
      <c r="H5112" t="s">
        <v>6949</v>
      </c>
    </row>
    <row r="5113" spans="1:8">
      <c r="A5113" t="s">
        <v>6006</v>
      </c>
      <c r="B5113" t="s">
        <v>350</v>
      </c>
      <c r="C5113" s="1">
        <v>45565</v>
      </c>
      <c r="D5113" s="1" t="str">
        <f>PROPER(orders[[#This Row],[order_priority]])</f>
        <v>Same Day</v>
      </c>
      <c r="E5113" t="s">
        <v>13322</v>
      </c>
      <c r="F5113" t="str">
        <f>IFERROR(INDEX(customers[country], MATCH(orders[[#This Row],[customer_id]], customers[customer_id], 0)), "Unmapped")</f>
        <v>Netherlands</v>
      </c>
      <c r="G5113" t="str">
        <f>IFERROR(INDEX(Region_Map[Region], MATCH(orders[[#This Row],[Customer_Country]], Region_Map[Country], 0)), "Unknown")</f>
        <v>Central Europe</v>
      </c>
      <c r="H5113" t="s">
        <v>6949</v>
      </c>
    </row>
    <row r="5114" spans="1:8">
      <c r="A5114" t="s">
        <v>6007</v>
      </c>
      <c r="B5114" t="s">
        <v>503</v>
      </c>
      <c r="C5114" s="1">
        <v>45331</v>
      </c>
      <c r="D5114" s="1" t="str">
        <f>PROPER(orders[[#This Row],[order_priority]])</f>
        <v>Economy</v>
      </c>
      <c r="E5114" t="s">
        <v>13316</v>
      </c>
      <c r="F5114" t="str">
        <f>IFERROR(INDEX(customers[country], MATCH(orders[[#This Row],[customer_id]], customers[customer_id], 0)), "Unmapped")</f>
        <v>Denmark</v>
      </c>
      <c r="G5114" t="str">
        <f>IFERROR(INDEX(Region_Map[Region], MATCH(orders[[#This Row],[Customer_Country]], Region_Map[Country], 0)), "Unknown")</f>
        <v>Nordics</v>
      </c>
      <c r="H5114" t="s">
        <v>6949</v>
      </c>
    </row>
    <row r="5115" spans="1:8">
      <c r="A5115" t="s">
        <v>6008</v>
      </c>
      <c r="B5115" t="s">
        <v>870</v>
      </c>
      <c r="C5115" s="1">
        <v>44997</v>
      </c>
      <c r="D5115" s="1" t="str">
        <f>PROPER(orders[[#This Row],[order_priority]])</f>
        <v>Economy</v>
      </c>
      <c r="E5115" t="s">
        <v>13316</v>
      </c>
      <c r="F5115" t="str">
        <f>IFERROR(INDEX(customers[country], MATCH(orders[[#This Row],[customer_id]], customers[customer_id], 0)), "Unmapped")</f>
        <v>Estonia</v>
      </c>
      <c r="G5115" t="str">
        <f>IFERROR(INDEX(Region_Map[Region], MATCH(orders[[#This Row],[Customer_Country]], Region_Map[Country], 0)), "Unknown")</f>
        <v>Baltics</v>
      </c>
      <c r="H5115" t="s">
        <v>6949</v>
      </c>
    </row>
    <row r="5116" spans="1:8">
      <c r="A5116" t="s">
        <v>6009</v>
      </c>
      <c r="B5116" t="s">
        <v>811</v>
      </c>
      <c r="C5116" s="1">
        <v>45265</v>
      </c>
      <c r="D5116" s="1" t="str">
        <f>PROPER(orders[[#This Row],[order_priority]])</f>
        <v>Standard</v>
      </c>
      <c r="E5116" t="s">
        <v>13317</v>
      </c>
      <c r="F5116" t="str">
        <f>IFERROR(INDEX(customers[country], MATCH(orders[[#This Row],[customer_id]], customers[customer_id], 0)), "Unmapped")</f>
        <v>Finland</v>
      </c>
      <c r="G5116" t="str">
        <f>IFERROR(INDEX(Region_Map[Region], MATCH(orders[[#This Row],[Customer_Country]], Region_Map[Country], 0)), "Unknown")</f>
        <v>Nordics</v>
      </c>
      <c r="H5116" t="s">
        <v>6949</v>
      </c>
    </row>
    <row r="5117" spans="1:8">
      <c r="A5117" t="s">
        <v>6010</v>
      </c>
      <c r="B5117" t="s">
        <v>900</v>
      </c>
      <c r="C5117" s="1">
        <v>45187</v>
      </c>
      <c r="D5117" s="1" t="str">
        <f>PROPER(orders[[#This Row],[order_priority]])</f>
        <v>Standard</v>
      </c>
      <c r="E5117" t="s">
        <v>13323</v>
      </c>
      <c r="F5117" t="str">
        <f>IFERROR(INDEX(customers[country], MATCH(orders[[#This Row],[customer_id]], customers[customer_id], 0)), "Unmapped")</f>
        <v>Germany</v>
      </c>
      <c r="G5117" t="str">
        <f>IFERROR(INDEX(Region_Map[Region], MATCH(orders[[#This Row],[Customer_Country]], Region_Map[Country], 0)), "Unknown")</f>
        <v>Central Europe</v>
      </c>
      <c r="H5117" t="s">
        <v>6949</v>
      </c>
    </row>
    <row r="5118" spans="1:8">
      <c r="A5118" t="s">
        <v>6011</v>
      </c>
      <c r="B5118" t="s">
        <v>721</v>
      </c>
      <c r="C5118" s="1">
        <v>45580</v>
      </c>
      <c r="D5118" s="1" t="str">
        <f>PROPER(orders[[#This Row],[order_priority]])</f>
        <v>Standard</v>
      </c>
      <c r="E5118" t="s">
        <v>13317</v>
      </c>
      <c r="F5118" t="str">
        <f>IFERROR(INDEX(customers[country], MATCH(orders[[#This Row],[customer_id]], customers[customer_id], 0)), "Unmapped")</f>
        <v>Netherlands</v>
      </c>
      <c r="G5118" t="str">
        <f>IFERROR(INDEX(Region_Map[Region], MATCH(orders[[#This Row],[Customer_Country]], Region_Map[Country], 0)), "Unknown")</f>
        <v>Central Europe</v>
      </c>
      <c r="H5118" t="s">
        <v>6949</v>
      </c>
    </row>
    <row r="5119" spans="1:8">
      <c r="A5119" t="s">
        <v>6012</v>
      </c>
      <c r="B5119" t="s">
        <v>566</v>
      </c>
      <c r="C5119" s="1">
        <v>45039</v>
      </c>
      <c r="D5119" s="1" t="str">
        <f>PROPER(orders[[#This Row],[order_priority]])</f>
        <v>Express</v>
      </c>
      <c r="E5119" t="s">
        <v>13318</v>
      </c>
      <c r="F5119" t="str">
        <f>IFERROR(INDEX(customers[country], MATCH(orders[[#This Row],[customer_id]], customers[customer_id], 0)), "Unmapped")</f>
        <v>Denmark</v>
      </c>
      <c r="G5119" t="str">
        <f>IFERROR(INDEX(Region_Map[Region], MATCH(orders[[#This Row],[Customer_Country]], Region_Map[Country], 0)), "Unknown")</f>
        <v>Nordics</v>
      </c>
      <c r="H5119" t="s">
        <v>6949</v>
      </c>
    </row>
    <row r="5120" spans="1:8">
      <c r="A5120" t="s">
        <v>6013</v>
      </c>
      <c r="B5120" t="s">
        <v>796</v>
      </c>
      <c r="C5120" s="1">
        <v>45115</v>
      </c>
      <c r="D5120" s="1" t="str">
        <f>PROPER(orders[[#This Row],[order_priority]])</f>
        <v>Economy</v>
      </c>
      <c r="E5120" t="s">
        <v>13316</v>
      </c>
      <c r="F5120" t="str">
        <f>IFERROR(INDEX(customers[country], MATCH(orders[[#This Row],[customer_id]], customers[customer_id], 0)), "Unmapped")</f>
        <v>Sweden</v>
      </c>
      <c r="G5120" t="str">
        <f>IFERROR(INDEX(Region_Map[Region], MATCH(orders[[#This Row],[Customer_Country]], Region_Map[Country], 0)), "Unknown")</f>
        <v>Nordics</v>
      </c>
      <c r="H5120" t="s">
        <v>6949</v>
      </c>
    </row>
    <row r="5121" spans="1:8">
      <c r="A5121" t="s">
        <v>6014</v>
      </c>
      <c r="B5121" t="s">
        <v>356</v>
      </c>
      <c r="C5121" s="1">
        <v>45216</v>
      </c>
      <c r="D5121" s="1" t="str">
        <f>PROPER(orders[[#This Row],[order_priority]])</f>
        <v>Standard</v>
      </c>
      <c r="E5121" t="s">
        <v>13323</v>
      </c>
      <c r="F5121" t="str">
        <f>IFERROR(INDEX(customers[country], MATCH(orders[[#This Row],[customer_id]], customers[customer_id], 0)), "Unmapped")</f>
        <v>Netherlands</v>
      </c>
      <c r="G5121" t="str">
        <f>IFERROR(INDEX(Region_Map[Region], MATCH(orders[[#This Row],[Customer_Country]], Region_Map[Country], 0)), "Unknown")</f>
        <v>Central Europe</v>
      </c>
      <c r="H5121" t="s">
        <v>6949</v>
      </c>
    </row>
    <row r="5122" spans="1:8">
      <c r="A5122" t="s">
        <v>6015</v>
      </c>
      <c r="B5122" t="s">
        <v>506</v>
      </c>
      <c r="C5122" s="1">
        <v>45395</v>
      </c>
      <c r="D5122" s="1" t="str">
        <f>PROPER(orders[[#This Row],[order_priority]])</f>
        <v>Standard</v>
      </c>
      <c r="E5122" t="s">
        <v>13317</v>
      </c>
      <c r="F5122" t="str">
        <f>IFERROR(INDEX(customers[country], MATCH(orders[[#This Row],[customer_id]], customers[customer_id], 0)), "Unmapped")</f>
        <v>Poland</v>
      </c>
      <c r="G5122" t="str">
        <f>IFERROR(INDEX(Region_Map[Region], MATCH(orders[[#This Row],[Customer_Country]], Region_Map[Country], 0)), "Unknown")</f>
        <v>Central Europe</v>
      </c>
      <c r="H5122" t="s">
        <v>6949</v>
      </c>
    </row>
    <row r="5123" spans="1:8">
      <c r="A5123" t="s">
        <v>6016</v>
      </c>
      <c r="B5123" t="s">
        <v>521</v>
      </c>
      <c r="C5123" s="1">
        <v>45620</v>
      </c>
      <c r="D5123" s="1" t="str">
        <f>PROPER(orders[[#This Row],[order_priority]])</f>
        <v>Express</v>
      </c>
      <c r="E5123" t="s">
        <v>13318</v>
      </c>
      <c r="F5123" t="str">
        <f>IFERROR(INDEX(customers[country], MATCH(orders[[#This Row],[customer_id]], customers[customer_id], 0)), "Unmapped")</f>
        <v>Norway</v>
      </c>
      <c r="G5123" t="str">
        <f>IFERROR(INDEX(Region_Map[Region], MATCH(orders[[#This Row],[Customer_Country]], Region_Map[Country], 0)), "Unknown")</f>
        <v>Nordics</v>
      </c>
      <c r="H5123" t="s">
        <v>6949</v>
      </c>
    </row>
    <row r="5124" spans="1:8">
      <c r="A5124" t="s">
        <v>6017</v>
      </c>
      <c r="B5124" t="s">
        <v>80</v>
      </c>
      <c r="C5124" s="1">
        <v>45332</v>
      </c>
      <c r="D5124" s="1" t="str">
        <f>PROPER(orders[[#This Row],[order_priority]])</f>
        <v>Same Day</v>
      </c>
      <c r="E5124" t="s">
        <v>13322</v>
      </c>
      <c r="F5124" t="str">
        <f>IFERROR(INDEX(customers[country], MATCH(orders[[#This Row],[customer_id]], customers[customer_id], 0)), "Unmapped")</f>
        <v>Finland</v>
      </c>
      <c r="G5124" t="str">
        <f>IFERROR(INDEX(Region_Map[Region], MATCH(orders[[#This Row],[Customer_Country]], Region_Map[Country], 0)), "Unknown")</f>
        <v>Nordics</v>
      </c>
      <c r="H5124" t="s">
        <v>6949</v>
      </c>
    </row>
    <row r="5125" spans="1:8">
      <c r="A5125" t="s">
        <v>6018</v>
      </c>
      <c r="B5125" t="s">
        <v>676</v>
      </c>
      <c r="C5125" s="1">
        <v>45354</v>
      </c>
      <c r="D5125" s="1" t="str">
        <f>PROPER(orders[[#This Row],[order_priority]])</f>
        <v>Express</v>
      </c>
      <c r="E5125" t="s">
        <v>13318</v>
      </c>
      <c r="F5125" t="str">
        <f>IFERROR(INDEX(customers[country], MATCH(orders[[#This Row],[customer_id]], customers[customer_id], 0)), "Unmapped")</f>
        <v>Latvia</v>
      </c>
      <c r="G5125" t="str">
        <f>IFERROR(INDEX(Region_Map[Region], MATCH(orders[[#This Row],[Customer_Country]], Region_Map[Country], 0)), "Unknown")</f>
        <v>Baltics</v>
      </c>
      <c r="H5125" t="s">
        <v>6949</v>
      </c>
    </row>
    <row r="5126" spans="1:8">
      <c r="A5126" t="s">
        <v>6019</v>
      </c>
      <c r="B5126" t="s">
        <v>897</v>
      </c>
      <c r="C5126" s="1">
        <v>45522</v>
      </c>
      <c r="D5126" s="1" t="str">
        <f>PROPER(orders[[#This Row],[order_priority]])</f>
        <v>Same Day</v>
      </c>
      <c r="E5126" t="s">
        <v>13322</v>
      </c>
      <c r="F5126" t="str">
        <f>IFERROR(INDEX(customers[country], MATCH(orders[[#This Row],[customer_id]], customers[customer_id], 0)), "Unmapped")</f>
        <v>Netherlands</v>
      </c>
      <c r="G5126" t="str">
        <f>IFERROR(INDEX(Region_Map[Region], MATCH(orders[[#This Row],[Customer_Country]], Region_Map[Country], 0)), "Unknown")</f>
        <v>Central Europe</v>
      </c>
      <c r="H5126" t="s">
        <v>6949</v>
      </c>
    </row>
    <row r="5127" spans="1:8">
      <c r="A5127" t="s">
        <v>6020</v>
      </c>
      <c r="B5127" t="s">
        <v>84</v>
      </c>
      <c r="C5127" s="1">
        <v>45338</v>
      </c>
      <c r="D5127" s="1" t="str">
        <f>PROPER(orders[[#This Row],[order_priority]])</f>
        <v>Standard</v>
      </c>
      <c r="E5127" t="s">
        <v>13317</v>
      </c>
      <c r="F5127" t="str">
        <f>IFERROR(INDEX(customers[country], MATCH(orders[[#This Row],[customer_id]], customers[customer_id], 0)), "Unmapped")</f>
        <v>Lithuania</v>
      </c>
      <c r="G5127" t="str">
        <f>IFERROR(INDEX(Region_Map[Region], MATCH(orders[[#This Row],[Customer_Country]], Region_Map[Country], 0)), "Unknown")</f>
        <v>Baltics</v>
      </c>
      <c r="H5127" t="s">
        <v>6949</v>
      </c>
    </row>
    <row r="5128" spans="1:8">
      <c r="A5128" t="s">
        <v>6021</v>
      </c>
      <c r="B5128" t="s">
        <v>306</v>
      </c>
      <c r="C5128" s="1">
        <v>45594</v>
      </c>
      <c r="D5128" s="1" t="str">
        <f>PROPER(orders[[#This Row],[order_priority]])</f>
        <v>Same Day</v>
      </c>
      <c r="E5128" t="s">
        <v>13322</v>
      </c>
      <c r="F5128" t="str">
        <f>IFERROR(INDEX(customers[country], MATCH(orders[[#This Row],[customer_id]], customers[customer_id], 0)), "Unmapped")</f>
        <v>Estonia</v>
      </c>
      <c r="G5128" t="str">
        <f>IFERROR(INDEX(Region_Map[Region], MATCH(orders[[#This Row],[Customer_Country]], Region_Map[Country], 0)), "Unknown")</f>
        <v>Baltics</v>
      </c>
      <c r="H5128" t="s">
        <v>6949</v>
      </c>
    </row>
    <row r="5129" spans="1:8">
      <c r="A5129" t="s">
        <v>6022</v>
      </c>
      <c r="B5129" t="s">
        <v>706</v>
      </c>
      <c r="C5129" s="1">
        <v>45240</v>
      </c>
      <c r="D5129" s="1" t="str">
        <f>PROPER(orders[[#This Row],[order_priority]])</f>
        <v>Express</v>
      </c>
      <c r="E5129" t="s">
        <v>13318</v>
      </c>
      <c r="F5129" t="str">
        <f>IFERROR(INDEX(customers[country], MATCH(orders[[#This Row],[customer_id]], customers[customer_id], 0)), "Unmapped")</f>
        <v>Latvia</v>
      </c>
      <c r="G5129" t="str">
        <f>IFERROR(INDEX(Region_Map[Region], MATCH(orders[[#This Row],[Customer_Country]], Region_Map[Country], 0)), "Unknown")</f>
        <v>Baltics</v>
      </c>
      <c r="H5129" t="s">
        <v>6949</v>
      </c>
    </row>
    <row r="5130" spans="1:8">
      <c r="A5130" t="s">
        <v>6023</v>
      </c>
      <c r="B5130" t="s">
        <v>658</v>
      </c>
      <c r="C5130" s="1">
        <v>45320</v>
      </c>
      <c r="D5130" s="1" t="str">
        <f>PROPER(orders[[#This Row],[order_priority]])</f>
        <v>Economy</v>
      </c>
      <c r="E5130" t="s">
        <v>13316</v>
      </c>
      <c r="F5130" t="str">
        <f>IFERROR(INDEX(customers[country], MATCH(orders[[#This Row],[customer_id]], customers[customer_id], 0)), "Unmapped")</f>
        <v>Latvia</v>
      </c>
      <c r="G5130" t="str">
        <f>IFERROR(INDEX(Region_Map[Region], MATCH(orders[[#This Row],[Customer_Country]], Region_Map[Country], 0)), "Unknown")</f>
        <v>Baltics</v>
      </c>
      <c r="H5130" t="s">
        <v>6949</v>
      </c>
    </row>
    <row r="5131" spans="1:8">
      <c r="A5131" t="s">
        <v>6024</v>
      </c>
      <c r="B5131" t="s">
        <v>614</v>
      </c>
      <c r="C5131" s="1">
        <v>45264</v>
      </c>
      <c r="D5131" s="1" t="str">
        <f>PROPER(orders[[#This Row],[order_priority]])</f>
        <v>Standard</v>
      </c>
      <c r="E5131" t="s">
        <v>13323</v>
      </c>
      <c r="F5131" t="str">
        <f>IFERROR(INDEX(customers[country], MATCH(orders[[#This Row],[customer_id]], customers[customer_id], 0)), "Unmapped")</f>
        <v>Latvia</v>
      </c>
      <c r="G5131" t="str">
        <f>IFERROR(INDEX(Region_Map[Region], MATCH(orders[[#This Row],[Customer_Country]], Region_Map[Country], 0)), "Unknown")</f>
        <v>Baltics</v>
      </c>
      <c r="H5131" t="s">
        <v>6949</v>
      </c>
    </row>
    <row r="5132" spans="1:8">
      <c r="A5132" t="s">
        <v>6025</v>
      </c>
      <c r="B5132" t="s">
        <v>96</v>
      </c>
      <c r="C5132" s="1">
        <v>45183</v>
      </c>
      <c r="D5132" s="1" t="str">
        <f>PROPER(orders[[#This Row],[order_priority]])</f>
        <v>Economy</v>
      </c>
      <c r="E5132" t="s">
        <v>13316</v>
      </c>
      <c r="F5132" t="str">
        <f>IFERROR(INDEX(customers[country], MATCH(orders[[#This Row],[customer_id]], customers[customer_id], 0)), "Unmapped")</f>
        <v>Sweden</v>
      </c>
      <c r="G5132" t="str">
        <f>IFERROR(INDEX(Region_Map[Region], MATCH(orders[[#This Row],[Customer_Country]], Region_Map[Country], 0)), "Unknown")</f>
        <v>Nordics</v>
      </c>
      <c r="H5132" t="s">
        <v>6949</v>
      </c>
    </row>
    <row r="5133" spans="1:8">
      <c r="A5133" t="s">
        <v>6026</v>
      </c>
      <c r="B5133" t="s">
        <v>903</v>
      </c>
      <c r="C5133" s="1">
        <v>45387</v>
      </c>
      <c r="D5133" s="1" t="str">
        <f>PROPER(orders[[#This Row],[order_priority]])</f>
        <v>Same Day</v>
      </c>
      <c r="E5133" t="s">
        <v>13324</v>
      </c>
      <c r="F5133" t="str">
        <f>IFERROR(INDEX(customers[country], MATCH(orders[[#This Row],[customer_id]], customers[customer_id], 0)), "Unmapped")</f>
        <v>Norway</v>
      </c>
      <c r="G5133" t="str">
        <f>IFERROR(INDEX(Region_Map[Region], MATCH(orders[[#This Row],[Customer_Country]], Region_Map[Country], 0)), "Unknown")</f>
        <v>Nordics</v>
      </c>
      <c r="H5133" t="s">
        <v>6949</v>
      </c>
    </row>
    <row r="5134" spans="1:8">
      <c r="A5134" t="s">
        <v>6027</v>
      </c>
      <c r="B5134" t="s">
        <v>805</v>
      </c>
      <c r="C5134" s="1">
        <v>45542</v>
      </c>
      <c r="D5134" s="1" t="str">
        <f>PROPER(orders[[#This Row],[order_priority]])</f>
        <v>Economy</v>
      </c>
      <c r="E5134" t="s">
        <v>13316</v>
      </c>
      <c r="F5134" t="str">
        <f>IFERROR(INDEX(customers[country], MATCH(orders[[#This Row],[customer_id]], customers[customer_id], 0)), "Unmapped")</f>
        <v>Estonia</v>
      </c>
      <c r="G5134" t="str">
        <f>IFERROR(INDEX(Region_Map[Region], MATCH(orders[[#This Row],[Customer_Country]], Region_Map[Country], 0)), "Unknown")</f>
        <v>Baltics</v>
      </c>
      <c r="H5134" t="s">
        <v>6949</v>
      </c>
    </row>
    <row r="5135" spans="1:8">
      <c r="A5135" t="s">
        <v>6028</v>
      </c>
      <c r="B5135" t="s">
        <v>593</v>
      </c>
      <c r="C5135" s="1">
        <v>45209</v>
      </c>
      <c r="D5135" s="1" t="str">
        <f>PROPER(orders[[#This Row],[order_priority]])</f>
        <v>Standard</v>
      </c>
      <c r="E5135" t="s">
        <v>13317</v>
      </c>
      <c r="F5135" t="str">
        <f>IFERROR(INDEX(customers[country], MATCH(orders[[#This Row],[customer_id]], customers[customer_id], 0)), "Unmapped")</f>
        <v>Estonia</v>
      </c>
      <c r="G5135" t="str">
        <f>IFERROR(INDEX(Region_Map[Region], MATCH(orders[[#This Row],[Customer_Country]], Region_Map[Country], 0)), "Unknown")</f>
        <v>Baltics</v>
      </c>
      <c r="H5135" t="s">
        <v>6949</v>
      </c>
    </row>
    <row r="5136" spans="1:8">
      <c r="A5136" t="s">
        <v>6029</v>
      </c>
      <c r="B5136" t="s">
        <v>204</v>
      </c>
      <c r="C5136" s="1">
        <v>45062</v>
      </c>
      <c r="D5136" s="1" t="str">
        <f>PROPER(orders[[#This Row],[order_priority]])</f>
        <v>Economy</v>
      </c>
      <c r="E5136" t="s">
        <v>13316</v>
      </c>
      <c r="F5136" t="str">
        <f>IFERROR(INDEX(customers[country], MATCH(orders[[#This Row],[customer_id]], customers[customer_id], 0)), "Unmapped")</f>
        <v>Sweden</v>
      </c>
      <c r="G5136" t="str">
        <f>IFERROR(INDEX(Region_Map[Region], MATCH(orders[[#This Row],[Customer_Country]], Region_Map[Country], 0)), "Unknown")</f>
        <v>Nordics</v>
      </c>
      <c r="H5136" t="s">
        <v>6949</v>
      </c>
    </row>
    <row r="5137" spans="1:8">
      <c r="A5137" t="s">
        <v>6030</v>
      </c>
      <c r="B5137" t="s">
        <v>858</v>
      </c>
      <c r="C5137" s="1">
        <v>45062</v>
      </c>
      <c r="D5137" s="1" t="str">
        <f>PROPER(orders[[#This Row],[order_priority]])</f>
        <v>Standard</v>
      </c>
      <c r="E5137" t="s">
        <v>13317</v>
      </c>
      <c r="F5137" t="str">
        <f>IFERROR(INDEX(customers[country], MATCH(orders[[#This Row],[customer_id]], customers[customer_id], 0)), "Unmapped")</f>
        <v>Lithuania</v>
      </c>
      <c r="G5137" t="str">
        <f>IFERROR(INDEX(Region_Map[Region], MATCH(orders[[#This Row],[Customer_Country]], Region_Map[Country], 0)), "Unknown")</f>
        <v>Baltics</v>
      </c>
      <c r="H5137" t="s">
        <v>6949</v>
      </c>
    </row>
    <row r="5138" spans="1:8">
      <c r="A5138" t="s">
        <v>6031</v>
      </c>
      <c r="B5138" t="s">
        <v>608</v>
      </c>
      <c r="C5138" s="1">
        <v>45138</v>
      </c>
      <c r="D5138" s="1" t="str">
        <f>PROPER(orders[[#This Row],[order_priority]])</f>
        <v>Express</v>
      </c>
      <c r="E5138" t="s">
        <v>13318</v>
      </c>
      <c r="F5138" t="str">
        <f>IFERROR(INDEX(customers[country], MATCH(orders[[#This Row],[customer_id]], customers[customer_id], 0)), "Unmapped")</f>
        <v>Finland</v>
      </c>
      <c r="G5138" t="str">
        <f>IFERROR(INDEX(Region_Map[Region], MATCH(orders[[#This Row],[Customer_Country]], Region_Map[Country], 0)), "Unknown")</f>
        <v>Nordics</v>
      </c>
      <c r="H5138" t="s">
        <v>6949</v>
      </c>
    </row>
    <row r="5139" spans="1:8">
      <c r="A5139" t="s">
        <v>6032</v>
      </c>
      <c r="B5139" t="s">
        <v>443</v>
      </c>
      <c r="C5139" s="1">
        <v>45076</v>
      </c>
      <c r="D5139" s="1" t="str">
        <f>PROPER(orders[[#This Row],[order_priority]])</f>
        <v>Same Day</v>
      </c>
      <c r="E5139" t="s">
        <v>13322</v>
      </c>
      <c r="F5139" t="str">
        <f>IFERROR(INDEX(customers[country], MATCH(orders[[#This Row],[customer_id]], customers[customer_id], 0)), "Unmapped")</f>
        <v>Estonia</v>
      </c>
      <c r="G5139" t="str">
        <f>IFERROR(INDEX(Region_Map[Region], MATCH(orders[[#This Row],[Customer_Country]], Region_Map[Country], 0)), "Unknown")</f>
        <v>Baltics</v>
      </c>
      <c r="H5139" t="s">
        <v>6949</v>
      </c>
    </row>
    <row r="5140" spans="1:8">
      <c r="A5140" t="s">
        <v>6033</v>
      </c>
      <c r="B5140" t="s">
        <v>575</v>
      </c>
      <c r="C5140" s="1">
        <v>45500</v>
      </c>
      <c r="D5140" s="1" t="str">
        <f>PROPER(orders[[#This Row],[order_priority]])</f>
        <v>Same Day</v>
      </c>
      <c r="E5140" t="s">
        <v>13322</v>
      </c>
      <c r="F5140" t="str">
        <f>IFERROR(INDEX(customers[country], MATCH(orders[[#This Row],[customer_id]], customers[customer_id], 0)), "Unmapped")</f>
        <v>Netherlands</v>
      </c>
      <c r="G5140" t="str">
        <f>IFERROR(INDEX(Region_Map[Region], MATCH(orders[[#This Row],[Customer_Country]], Region_Map[Country], 0)), "Unknown")</f>
        <v>Central Europe</v>
      </c>
      <c r="H5140" t="s">
        <v>6949</v>
      </c>
    </row>
    <row r="5141" spans="1:8">
      <c r="A5141" t="s">
        <v>6034</v>
      </c>
      <c r="B5141" t="s">
        <v>455</v>
      </c>
      <c r="C5141" s="1">
        <v>45261</v>
      </c>
      <c r="D5141" s="1" t="str">
        <f>PROPER(orders[[#This Row],[order_priority]])</f>
        <v>Economy</v>
      </c>
      <c r="E5141" t="s">
        <v>13316</v>
      </c>
      <c r="F5141" t="str">
        <f>IFERROR(INDEX(customers[country], MATCH(orders[[#This Row],[customer_id]], customers[customer_id], 0)), "Unmapped")</f>
        <v>Poland</v>
      </c>
      <c r="G5141" t="str">
        <f>IFERROR(INDEX(Region_Map[Region], MATCH(orders[[#This Row],[Customer_Country]], Region_Map[Country], 0)), "Unknown")</f>
        <v>Central Europe</v>
      </c>
      <c r="H5141" t="s">
        <v>6949</v>
      </c>
    </row>
    <row r="5142" spans="1:8">
      <c r="A5142" t="s">
        <v>6035</v>
      </c>
      <c r="B5142" t="s">
        <v>467</v>
      </c>
      <c r="C5142" s="1">
        <v>45407</v>
      </c>
      <c r="D5142" s="1" t="str">
        <f>PROPER(orders[[#This Row],[order_priority]])</f>
        <v>Express</v>
      </c>
      <c r="E5142" t="s">
        <v>13318</v>
      </c>
      <c r="F5142" t="str">
        <f>IFERROR(INDEX(customers[country], MATCH(orders[[#This Row],[customer_id]], customers[customer_id], 0)), "Unmapped")</f>
        <v>Latvia</v>
      </c>
      <c r="G5142" t="str">
        <f>IFERROR(INDEX(Region_Map[Region], MATCH(orders[[#This Row],[Customer_Country]], Region_Map[Country], 0)), "Unknown")</f>
        <v>Baltics</v>
      </c>
      <c r="H5142" t="s">
        <v>6949</v>
      </c>
    </row>
    <row r="5143" spans="1:8">
      <c r="A5143" t="s">
        <v>6036</v>
      </c>
      <c r="B5143" t="s">
        <v>51</v>
      </c>
      <c r="C5143" s="1">
        <v>45163</v>
      </c>
      <c r="D5143" s="1" t="str">
        <f>PROPER(orders[[#This Row],[order_priority]])</f>
        <v>Express</v>
      </c>
      <c r="E5143" t="s">
        <v>13326</v>
      </c>
      <c r="F5143" t="str">
        <f>IFERROR(INDEX(customers[country], MATCH(orders[[#This Row],[customer_id]], customers[customer_id], 0)), "Unmapped")</f>
        <v>Germany</v>
      </c>
      <c r="G5143" t="str">
        <f>IFERROR(INDEX(Region_Map[Region], MATCH(orders[[#This Row],[Customer_Country]], Region_Map[Country], 0)), "Unknown")</f>
        <v>Central Europe</v>
      </c>
      <c r="H5143" t="s">
        <v>6949</v>
      </c>
    </row>
    <row r="5144" spans="1:8">
      <c r="A5144" t="s">
        <v>6037</v>
      </c>
      <c r="B5144" t="s">
        <v>219</v>
      </c>
      <c r="C5144" s="1">
        <v>45509</v>
      </c>
      <c r="D5144" s="1" t="str">
        <f>PROPER(orders[[#This Row],[order_priority]])</f>
        <v>Same Day</v>
      </c>
      <c r="E5144" t="s">
        <v>13324</v>
      </c>
      <c r="F5144" t="str">
        <f>IFERROR(INDEX(customers[country], MATCH(orders[[#This Row],[customer_id]], customers[customer_id], 0)), "Unmapped")</f>
        <v>Latvia</v>
      </c>
      <c r="G5144" t="str">
        <f>IFERROR(INDEX(Region_Map[Region], MATCH(orders[[#This Row],[Customer_Country]], Region_Map[Country], 0)), "Unknown")</f>
        <v>Baltics</v>
      </c>
      <c r="H5144" t="s">
        <v>6949</v>
      </c>
    </row>
    <row r="5145" spans="1:8">
      <c r="A5145" t="s">
        <v>6038</v>
      </c>
      <c r="B5145" t="s">
        <v>356</v>
      </c>
      <c r="C5145" s="1">
        <v>44989</v>
      </c>
      <c r="D5145" s="1" t="str">
        <f>PROPER(orders[[#This Row],[order_priority]])</f>
        <v>Express</v>
      </c>
      <c r="E5145" t="s">
        <v>13318</v>
      </c>
      <c r="F5145" t="str">
        <f>IFERROR(INDEX(customers[country], MATCH(orders[[#This Row],[customer_id]], customers[customer_id], 0)), "Unmapped")</f>
        <v>Netherlands</v>
      </c>
      <c r="G5145" t="str">
        <f>IFERROR(INDEX(Region_Map[Region], MATCH(orders[[#This Row],[Customer_Country]], Region_Map[Country], 0)), "Unknown")</f>
        <v>Central Europe</v>
      </c>
      <c r="H5145" t="s">
        <v>6949</v>
      </c>
    </row>
    <row r="5146" spans="1:8">
      <c r="A5146" t="s">
        <v>6039</v>
      </c>
      <c r="B5146" t="s">
        <v>581</v>
      </c>
      <c r="C5146" s="1">
        <v>45360</v>
      </c>
      <c r="D5146" s="1" t="str">
        <f>PROPER(orders[[#This Row],[order_priority]])</f>
        <v>Express</v>
      </c>
      <c r="E5146" t="s">
        <v>13318</v>
      </c>
      <c r="F5146" t="str">
        <f>IFERROR(INDEX(customers[country], MATCH(orders[[#This Row],[customer_id]], customers[customer_id], 0)), "Unmapped")</f>
        <v>Norway</v>
      </c>
      <c r="G5146" t="str">
        <f>IFERROR(INDEX(Region_Map[Region], MATCH(orders[[#This Row],[Customer_Country]], Region_Map[Country], 0)), "Unknown")</f>
        <v>Nordics</v>
      </c>
      <c r="H5146" t="s">
        <v>6949</v>
      </c>
    </row>
    <row r="5147" spans="1:8">
      <c r="A5147" t="s">
        <v>6040</v>
      </c>
      <c r="B5147" t="s">
        <v>30</v>
      </c>
      <c r="C5147" s="1">
        <v>45437</v>
      </c>
      <c r="D5147" s="1" t="str">
        <f>PROPER(orders[[#This Row],[order_priority]])</f>
        <v>Express</v>
      </c>
      <c r="E5147" t="s">
        <v>13318</v>
      </c>
      <c r="F5147" t="str">
        <f>IFERROR(INDEX(customers[country], MATCH(orders[[#This Row],[customer_id]], customers[customer_id], 0)), "Unmapped")</f>
        <v>Netherlands</v>
      </c>
      <c r="G5147" t="str">
        <f>IFERROR(INDEX(Region_Map[Region], MATCH(orders[[#This Row],[Customer_Country]], Region_Map[Country], 0)), "Unknown")</f>
        <v>Central Europe</v>
      </c>
      <c r="H5147" t="s">
        <v>6949</v>
      </c>
    </row>
    <row r="5148" spans="1:8">
      <c r="A5148" t="s">
        <v>6041</v>
      </c>
      <c r="B5148" t="s">
        <v>157</v>
      </c>
      <c r="C5148" s="1">
        <v>45160</v>
      </c>
      <c r="D5148" s="1" t="str">
        <f>PROPER(orders[[#This Row],[order_priority]])</f>
        <v>Same Day</v>
      </c>
      <c r="E5148" t="s">
        <v>13322</v>
      </c>
      <c r="F5148" t="str">
        <f>IFERROR(INDEX(customers[country], MATCH(orders[[#This Row],[customer_id]], customers[customer_id], 0)), "Unmapped")</f>
        <v>Lithuania</v>
      </c>
      <c r="G5148" t="str">
        <f>IFERROR(INDEX(Region_Map[Region], MATCH(orders[[#This Row],[Customer_Country]], Region_Map[Country], 0)), "Unknown")</f>
        <v>Baltics</v>
      </c>
      <c r="H5148" t="s">
        <v>6949</v>
      </c>
    </row>
    <row r="5149" spans="1:8">
      <c r="A5149" t="s">
        <v>6042</v>
      </c>
      <c r="B5149" t="s">
        <v>58</v>
      </c>
      <c r="C5149" s="1">
        <v>45493</v>
      </c>
      <c r="D5149" s="1" t="str">
        <f>PROPER(orders[[#This Row],[order_priority]])</f>
        <v>Express</v>
      </c>
      <c r="E5149" t="s">
        <v>13318</v>
      </c>
      <c r="F5149" t="str">
        <f>IFERROR(INDEX(customers[country], MATCH(orders[[#This Row],[customer_id]], customers[customer_id], 0)), "Unmapped")</f>
        <v>Germany</v>
      </c>
      <c r="G5149" t="str">
        <f>IFERROR(INDEX(Region_Map[Region], MATCH(orders[[#This Row],[Customer_Country]], Region_Map[Country], 0)), "Unknown")</f>
        <v>Central Europe</v>
      </c>
      <c r="H5149" t="s">
        <v>6949</v>
      </c>
    </row>
    <row r="5150" spans="1:8">
      <c r="A5150" t="s">
        <v>6043</v>
      </c>
      <c r="B5150" t="s">
        <v>596</v>
      </c>
      <c r="C5150" s="1">
        <v>45302</v>
      </c>
      <c r="D5150" s="1" t="str">
        <f>PROPER(orders[[#This Row],[order_priority]])</f>
        <v>Express</v>
      </c>
      <c r="E5150" t="s">
        <v>13318</v>
      </c>
      <c r="F5150" t="str">
        <f>IFERROR(INDEX(customers[country], MATCH(orders[[#This Row],[customer_id]], customers[customer_id], 0)), "Unmapped")</f>
        <v>Lithuania</v>
      </c>
      <c r="G5150" t="str">
        <f>IFERROR(INDEX(Region_Map[Region], MATCH(orders[[#This Row],[Customer_Country]], Region_Map[Country], 0)), "Unknown")</f>
        <v>Baltics</v>
      </c>
      <c r="H5150" t="s">
        <v>6949</v>
      </c>
    </row>
    <row r="5151" spans="1:8">
      <c r="A5151" t="s">
        <v>6044</v>
      </c>
      <c r="B5151" t="s">
        <v>434</v>
      </c>
      <c r="C5151" s="1">
        <v>45578</v>
      </c>
      <c r="D5151" s="1" t="str">
        <f>PROPER(orders[[#This Row],[order_priority]])</f>
        <v>Standard</v>
      </c>
      <c r="E5151" t="s">
        <v>13317</v>
      </c>
      <c r="F5151" t="str">
        <f>IFERROR(INDEX(customers[country], MATCH(orders[[#This Row],[customer_id]], customers[customer_id], 0)), "Unmapped")</f>
        <v>Lithuania</v>
      </c>
      <c r="G5151" t="str">
        <f>IFERROR(INDEX(Region_Map[Region], MATCH(orders[[#This Row],[Customer_Country]], Region_Map[Country], 0)), "Unknown")</f>
        <v>Baltics</v>
      </c>
      <c r="H5151" t="s">
        <v>6949</v>
      </c>
    </row>
    <row r="5152" spans="1:8">
      <c r="A5152" t="s">
        <v>6045</v>
      </c>
      <c r="B5152" t="s">
        <v>323</v>
      </c>
      <c r="C5152" s="1">
        <v>45471</v>
      </c>
      <c r="D5152" s="1" t="str">
        <f>PROPER(orders[[#This Row],[order_priority]])</f>
        <v>Economy</v>
      </c>
      <c r="E5152" t="s">
        <v>13316</v>
      </c>
      <c r="F5152" t="str">
        <f>IFERROR(INDEX(customers[country], MATCH(orders[[#This Row],[customer_id]], customers[customer_id], 0)), "Unmapped")</f>
        <v>Estonia</v>
      </c>
      <c r="G5152" t="str">
        <f>IFERROR(INDEX(Region_Map[Region], MATCH(orders[[#This Row],[Customer_Country]], Region_Map[Country], 0)), "Unknown")</f>
        <v>Baltics</v>
      </c>
      <c r="H5152" t="s">
        <v>6949</v>
      </c>
    </row>
    <row r="5153" spans="1:8">
      <c r="A5153" t="s">
        <v>6046</v>
      </c>
      <c r="B5153" t="s">
        <v>127</v>
      </c>
      <c r="C5153" s="1">
        <v>45268</v>
      </c>
      <c r="D5153" s="1" t="str">
        <f>PROPER(orders[[#This Row],[order_priority]])</f>
        <v>Economy</v>
      </c>
      <c r="E5153" t="s">
        <v>13316</v>
      </c>
      <c r="F5153" t="str">
        <f>IFERROR(INDEX(customers[country], MATCH(orders[[#This Row],[customer_id]], customers[customer_id], 0)), "Unmapped")</f>
        <v>Denmark</v>
      </c>
      <c r="G5153" t="str">
        <f>IFERROR(INDEX(Region_Map[Region], MATCH(orders[[#This Row],[Customer_Country]], Region_Map[Country], 0)), "Unknown")</f>
        <v>Nordics</v>
      </c>
      <c r="H5153" t="s">
        <v>6949</v>
      </c>
    </row>
    <row r="5154" spans="1:8">
      <c r="A5154" t="s">
        <v>6047</v>
      </c>
      <c r="B5154" t="s">
        <v>533</v>
      </c>
      <c r="C5154" s="1">
        <v>45227</v>
      </c>
      <c r="D5154" s="1" t="str">
        <f>PROPER(orders[[#This Row],[order_priority]])</f>
        <v>Standard</v>
      </c>
      <c r="E5154" t="s">
        <v>13319</v>
      </c>
      <c r="F5154" t="str">
        <f>IFERROR(INDEX(customers[country], MATCH(orders[[#This Row],[customer_id]], customers[customer_id], 0)), "Unmapped")</f>
        <v>Germany</v>
      </c>
      <c r="G5154" t="str">
        <f>IFERROR(INDEX(Region_Map[Region], MATCH(orders[[#This Row],[Customer_Country]], Region_Map[Country], 0)), "Unknown")</f>
        <v>Central Europe</v>
      </c>
      <c r="H5154" t="s">
        <v>6949</v>
      </c>
    </row>
    <row r="5155" spans="1:8">
      <c r="A5155" t="s">
        <v>6048</v>
      </c>
      <c r="B5155" t="s">
        <v>787</v>
      </c>
      <c r="C5155" s="1">
        <v>44988</v>
      </c>
      <c r="D5155" s="1" t="str">
        <f>PROPER(orders[[#This Row],[order_priority]])</f>
        <v>Standard</v>
      </c>
      <c r="E5155" t="s">
        <v>13317</v>
      </c>
      <c r="F5155" t="str">
        <f>IFERROR(INDEX(customers[country], MATCH(orders[[#This Row],[customer_id]], customers[customer_id], 0)), "Unmapped")</f>
        <v>Netherlands</v>
      </c>
      <c r="G5155" t="str">
        <f>IFERROR(INDEX(Region_Map[Region], MATCH(orders[[#This Row],[Customer_Country]], Region_Map[Country], 0)), "Unknown")</f>
        <v>Central Europe</v>
      </c>
      <c r="H5155" t="s">
        <v>6949</v>
      </c>
    </row>
    <row r="5156" spans="1:8">
      <c r="A5156" t="s">
        <v>6049</v>
      </c>
      <c r="B5156" t="s">
        <v>181</v>
      </c>
      <c r="C5156" s="1">
        <v>45041</v>
      </c>
      <c r="D5156" s="1" t="str">
        <f>PROPER(orders[[#This Row],[order_priority]])</f>
        <v>Standard</v>
      </c>
      <c r="E5156" t="s">
        <v>13317</v>
      </c>
      <c r="F5156" t="str">
        <f>IFERROR(INDEX(customers[country], MATCH(orders[[#This Row],[customer_id]], customers[customer_id], 0)), "Unmapped")</f>
        <v>Netherlands</v>
      </c>
      <c r="G5156" t="str">
        <f>IFERROR(INDEX(Region_Map[Region], MATCH(orders[[#This Row],[Customer_Country]], Region_Map[Country], 0)), "Unknown")</f>
        <v>Central Europe</v>
      </c>
      <c r="H5156" t="s">
        <v>6949</v>
      </c>
    </row>
    <row r="5157" spans="1:8">
      <c r="A5157" t="s">
        <v>6050</v>
      </c>
      <c r="B5157" t="s">
        <v>608</v>
      </c>
      <c r="C5157" s="1">
        <v>45417</v>
      </c>
      <c r="D5157" s="1" t="str">
        <f>PROPER(orders[[#This Row],[order_priority]])</f>
        <v>Standard</v>
      </c>
      <c r="E5157" t="s">
        <v>13317</v>
      </c>
      <c r="F5157" t="str">
        <f>IFERROR(INDEX(customers[country], MATCH(orders[[#This Row],[customer_id]], customers[customer_id], 0)), "Unmapped")</f>
        <v>Finland</v>
      </c>
      <c r="G5157" t="str">
        <f>IFERROR(INDEX(Region_Map[Region], MATCH(orders[[#This Row],[Customer_Country]], Region_Map[Country], 0)), "Unknown")</f>
        <v>Nordics</v>
      </c>
      <c r="H5157" t="s">
        <v>6949</v>
      </c>
    </row>
    <row r="5158" spans="1:8">
      <c r="A5158" t="s">
        <v>6051</v>
      </c>
      <c r="B5158" t="s">
        <v>124</v>
      </c>
      <c r="C5158" s="1">
        <v>45544</v>
      </c>
      <c r="D5158" s="1" t="str">
        <f>PROPER(orders[[#This Row],[order_priority]])</f>
        <v>Same Day</v>
      </c>
      <c r="E5158" t="s">
        <v>13322</v>
      </c>
      <c r="F5158" t="str">
        <f>IFERROR(INDEX(customers[country], MATCH(orders[[#This Row],[customer_id]], customers[customer_id], 0)), "Unmapped")</f>
        <v>Lithuania</v>
      </c>
      <c r="G5158" t="str">
        <f>IFERROR(INDEX(Region_Map[Region], MATCH(orders[[#This Row],[Customer_Country]], Region_Map[Country], 0)), "Unknown")</f>
        <v>Baltics</v>
      </c>
      <c r="H5158" t="s">
        <v>6949</v>
      </c>
    </row>
    <row r="5159" spans="1:8">
      <c r="A5159" t="s">
        <v>6052</v>
      </c>
      <c r="B5159" t="s">
        <v>855</v>
      </c>
      <c r="C5159" s="1">
        <v>45605</v>
      </c>
      <c r="D5159" s="1" t="str">
        <f>PROPER(orders[[#This Row],[order_priority]])</f>
        <v>Economy</v>
      </c>
      <c r="E5159" t="s">
        <v>13316</v>
      </c>
      <c r="F5159" t="str">
        <f>IFERROR(INDEX(customers[country], MATCH(orders[[#This Row],[customer_id]], customers[customer_id], 0)), "Unmapped")</f>
        <v>Latvia</v>
      </c>
      <c r="G5159" t="str">
        <f>IFERROR(INDEX(Region_Map[Region], MATCH(orders[[#This Row],[Customer_Country]], Region_Map[Country], 0)), "Unknown")</f>
        <v>Baltics</v>
      </c>
      <c r="H5159" t="s">
        <v>6949</v>
      </c>
    </row>
    <row r="5160" spans="1:8">
      <c r="A5160" t="s">
        <v>6053</v>
      </c>
      <c r="B5160" t="s">
        <v>897</v>
      </c>
      <c r="C5160" s="1">
        <v>45057</v>
      </c>
      <c r="D5160" s="1" t="str">
        <f>PROPER(orders[[#This Row],[order_priority]])</f>
        <v>Economy</v>
      </c>
      <c r="E5160" t="s">
        <v>13316</v>
      </c>
      <c r="F5160" t="str">
        <f>IFERROR(INDEX(customers[country], MATCH(orders[[#This Row],[customer_id]], customers[customer_id], 0)), "Unmapped")</f>
        <v>Netherlands</v>
      </c>
      <c r="G5160" t="str">
        <f>IFERROR(INDEX(Region_Map[Region], MATCH(orders[[#This Row],[Customer_Country]], Region_Map[Country], 0)), "Unknown")</f>
        <v>Central Europe</v>
      </c>
      <c r="H5160" t="s">
        <v>6949</v>
      </c>
    </row>
    <row r="5161" spans="1:8">
      <c r="A5161" t="s">
        <v>6054</v>
      </c>
      <c r="B5161" t="s">
        <v>148</v>
      </c>
      <c r="C5161" s="1">
        <v>45616</v>
      </c>
      <c r="D5161" s="1" t="str">
        <f>PROPER(orders[[#This Row],[order_priority]])</f>
        <v>Express</v>
      </c>
      <c r="E5161" t="s">
        <v>13318</v>
      </c>
      <c r="F5161" t="str">
        <f>IFERROR(INDEX(customers[country], MATCH(orders[[#This Row],[customer_id]], customers[customer_id], 0)), "Unmapped")</f>
        <v>Poland</v>
      </c>
      <c r="G5161" t="str">
        <f>IFERROR(INDEX(Region_Map[Region], MATCH(orders[[#This Row],[Customer_Country]], Region_Map[Country], 0)), "Unknown")</f>
        <v>Central Europe</v>
      </c>
      <c r="H5161" t="s">
        <v>6949</v>
      </c>
    </row>
    <row r="5162" spans="1:8">
      <c r="A5162" t="s">
        <v>6055</v>
      </c>
      <c r="B5162" t="s">
        <v>578</v>
      </c>
      <c r="C5162" s="1">
        <v>45058</v>
      </c>
      <c r="D5162" s="1" t="str">
        <f>PROPER(orders[[#This Row],[order_priority]])</f>
        <v>Standard</v>
      </c>
      <c r="E5162" t="s">
        <v>13317</v>
      </c>
      <c r="F5162" t="str">
        <f>IFERROR(INDEX(customers[country], MATCH(orders[[#This Row],[customer_id]], customers[customer_id], 0)), "Unmapped")</f>
        <v>Norway</v>
      </c>
      <c r="G5162" t="str">
        <f>IFERROR(INDEX(Region_Map[Region], MATCH(orders[[#This Row],[Customer_Country]], Region_Map[Country], 0)), "Unknown")</f>
        <v>Nordics</v>
      </c>
      <c r="H5162" t="s">
        <v>6949</v>
      </c>
    </row>
    <row r="5163" spans="1:8">
      <c r="A5163" t="s">
        <v>6056</v>
      </c>
      <c r="B5163" t="s">
        <v>784</v>
      </c>
      <c r="C5163" s="1">
        <v>45625</v>
      </c>
      <c r="D5163" s="1" t="str">
        <f>PROPER(orders[[#This Row],[order_priority]])</f>
        <v>Economy</v>
      </c>
      <c r="E5163" t="s">
        <v>13316</v>
      </c>
      <c r="F5163" t="str">
        <f>IFERROR(INDEX(customers[country], MATCH(orders[[#This Row],[customer_id]], customers[customer_id], 0)), "Unmapped")</f>
        <v>Estonia</v>
      </c>
      <c r="G5163" t="str">
        <f>IFERROR(INDEX(Region_Map[Region], MATCH(orders[[#This Row],[Customer_Country]], Region_Map[Country], 0)), "Unknown")</f>
        <v>Baltics</v>
      </c>
      <c r="H5163" t="s">
        <v>6949</v>
      </c>
    </row>
    <row r="5164" spans="1:8">
      <c r="A5164" t="s">
        <v>6057</v>
      </c>
      <c r="B5164" t="s">
        <v>545</v>
      </c>
      <c r="C5164" s="1">
        <v>45266</v>
      </c>
      <c r="D5164" s="1" t="str">
        <f>PROPER(orders[[#This Row],[order_priority]])</f>
        <v>Standard</v>
      </c>
      <c r="E5164" t="s">
        <v>13319</v>
      </c>
      <c r="F5164" t="str">
        <f>IFERROR(INDEX(customers[country], MATCH(orders[[#This Row],[customer_id]], customers[customer_id], 0)), "Unmapped")</f>
        <v>Netherlands</v>
      </c>
      <c r="G5164" t="str">
        <f>IFERROR(INDEX(Region_Map[Region], MATCH(orders[[#This Row],[Customer_Country]], Region_Map[Country], 0)), "Unknown")</f>
        <v>Central Europe</v>
      </c>
      <c r="H5164" t="s">
        <v>6949</v>
      </c>
    </row>
    <row r="5165" spans="1:8">
      <c r="A5165" t="s">
        <v>6058</v>
      </c>
      <c r="B5165" t="s">
        <v>652</v>
      </c>
      <c r="C5165" s="1">
        <v>45344</v>
      </c>
      <c r="D5165" s="1" t="str">
        <f>PROPER(orders[[#This Row],[order_priority]])</f>
        <v>Standard</v>
      </c>
      <c r="E5165" t="s">
        <v>13317</v>
      </c>
      <c r="F5165" t="str">
        <f>IFERROR(INDEX(customers[country], MATCH(orders[[#This Row],[customer_id]], customers[customer_id], 0)), "Unmapped")</f>
        <v>Poland</v>
      </c>
      <c r="G5165" t="str">
        <f>IFERROR(INDEX(Region_Map[Region], MATCH(orders[[#This Row],[Customer_Country]], Region_Map[Country], 0)), "Unknown")</f>
        <v>Central Europe</v>
      </c>
      <c r="H5165" t="s">
        <v>6949</v>
      </c>
    </row>
    <row r="5166" spans="1:8">
      <c r="A5166" t="s">
        <v>6059</v>
      </c>
      <c r="B5166" t="s">
        <v>709</v>
      </c>
      <c r="C5166" s="1">
        <v>45264</v>
      </c>
      <c r="D5166" s="1" t="str">
        <f>PROPER(orders[[#This Row],[order_priority]])</f>
        <v>Same Day</v>
      </c>
      <c r="E5166" t="s">
        <v>13322</v>
      </c>
      <c r="F5166" t="str">
        <f>IFERROR(INDEX(customers[country], MATCH(orders[[#This Row],[customer_id]], customers[customer_id], 0)), "Unmapped")</f>
        <v>Netherlands</v>
      </c>
      <c r="G5166" t="str">
        <f>IFERROR(INDEX(Region_Map[Region], MATCH(orders[[#This Row],[Customer_Country]], Region_Map[Country], 0)), "Unknown")</f>
        <v>Central Europe</v>
      </c>
      <c r="H5166" t="s">
        <v>6949</v>
      </c>
    </row>
    <row r="5167" spans="1:8">
      <c r="A5167" t="s">
        <v>6060</v>
      </c>
      <c r="B5167" t="s">
        <v>903</v>
      </c>
      <c r="C5167" s="1">
        <v>45094</v>
      </c>
      <c r="D5167" s="1" t="str">
        <f>PROPER(orders[[#This Row],[order_priority]])</f>
        <v>Same Day</v>
      </c>
      <c r="E5167" t="s">
        <v>13322</v>
      </c>
      <c r="F5167" t="str">
        <f>IFERROR(INDEX(customers[country], MATCH(orders[[#This Row],[customer_id]], customers[customer_id], 0)), "Unmapped")</f>
        <v>Norway</v>
      </c>
      <c r="G5167" t="str">
        <f>IFERROR(INDEX(Region_Map[Region], MATCH(orders[[#This Row],[Customer_Country]], Region_Map[Country], 0)), "Unknown")</f>
        <v>Nordics</v>
      </c>
      <c r="H5167" t="s">
        <v>6949</v>
      </c>
    </row>
    <row r="5168" spans="1:8">
      <c r="A5168" t="s">
        <v>6061</v>
      </c>
      <c r="B5168" t="s">
        <v>395</v>
      </c>
      <c r="C5168" s="1">
        <v>45593</v>
      </c>
      <c r="D5168" s="1" t="str">
        <f>PROPER(orders[[#This Row],[order_priority]])</f>
        <v>Express</v>
      </c>
      <c r="E5168" t="s">
        <v>13318</v>
      </c>
      <c r="F5168" t="str">
        <f>IFERROR(INDEX(customers[country], MATCH(orders[[#This Row],[customer_id]], customers[customer_id], 0)), "Unmapped")</f>
        <v>Sweden</v>
      </c>
      <c r="G5168" t="str">
        <f>IFERROR(INDEX(Region_Map[Region], MATCH(orders[[#This Row],[Customer_Country]], Region_Map[Country], 0)), "Unknown")</f>
        <v>Nordics</v>
      </c>
      <c r="H5168" t="s">
        <v>6949</v>
      </c>
    </row>
    <row r="5169" spans="1:8">
      <c r="A5169" t="s">
        <v>6062</v>
      </c>
      <c r="B5169" t="s">
        <v>335</v>
      </c>
      <c r="C5169" s="1">
        <v>45557</v>
      </c>
      <c r="D5169" s="1" t="str">
        <f>PROPER(orders[[#This Row],[order_priority]])</f>
        <v>Economy</v>
      </c>
      <c r="E5169" t="s">
        <v>13316</v>
      </c>
      <c r="F5169" t="str">
        <f>IFERROR(INDEX(customers[country], MATCH(orders[[#This Row],[customer_id]], customers[customer_id], 0)), "Unmapped")</f>
        <v>Denmark</v>
      </c>
      <c r="G5169" t="str">
        <f>IFERROR(INDEX(Region_Map[Region], MATCH(orders[[#This Row],[Customer_Country]], Region_Map[Country], 0)), "Unknown")</f>
        <v>Nordics</v>
      </c>
      <c r="H5169" t="s">
        <v>6949</v>
      </c>
    </row>
    <row r="5170" spans="1:8">
      <c r="A5170" t="s">
        <v>6063</v>
      </c>
      <c r="B5170" t="s">
        <v>443</v>
      </c>
      <c r="C5170" s="1">
        <v>45190</v>
      </c>
      <c r="D5170" s="1" t="str">
        <f>PROPER(orders[[#This Row],[order_priority]])</f>
        <v>Express</v>
      </c>
      <c r="E5170" t="s">
        <v>13318</v>
      </c>
      <c r="F5170" t="str">
        <f>IFERROR(INDEX(customers[country], MATCH(orders[[#This Row],[customer_id]], customers[customer_id], 0)), "Unmapped")</f>
        <v>Estonia</v>
      </c>
      <c r="G5170" t="str">
        <f>IFERROR(INDEX(Region_Map[Region], MATCH(orders[[#This Row],[Customer_Country]], Region_Map[Country], 0)), "Unknown")</f>
        <v>Baltics</v>
      </c>
      <c r="H5170" t="s">
        <v>6949</v>
      </c>
    </row>
    <row r="5171" spans="1:8">
      <c r="A5171" t="s">
        <v>6064</v>
      </c>
      <c r="B5171" t="s">
        <v>329</v>
      </c>
      <c r="C5171" s="1">
        <v>45417</v>
      </c>
      <c r="D5171" s="1" t="str">
        <f>PROPER(orders[[#This Row],[order_priority]])</f>
        <v>Same Day</v>
      </c>
      <c r="E5171" t="s">
        <v>13322</v>
      </c>
      <c r="F5171" t="str">
        <f>IFERROR(INDEX(customers[country], MATCH(orders[[#This Row],[customer_id]], customers[customer_id], 0)), "Unmapped")</f>
        <v>Poland</v>
      </c>
      <c r="G5171" t="str">
        <f>IFERROR(INDEX(Region_Map[Region], MATCH(orders[[#This Row],[Customer_Country]], Region_Map[Country], 0)), "Unknown")</f>
        <v>Central Europe</v>
      </c>
      <c r="H5171" t="s">
        <v>6949</v>
      </c>
    </row>
    <row r="5172" spans="1:8">
      <c r="A5172" t="s">
        <v>6065</v>
      </c>
      <c r="B5172" t="s">
        <v>240</v>
      </c>
      <c r="C5172" s="1">
        <v>45533</v>
      </c>
      <c r="D5172" s="1" t="str">
        <f>PROPER(orders[[#This Row],[order_priority]])</f>
        <v>Same Day</v>
      </c>
      <c r="E5172" t="s">
        <v>13322</v>
      </c>
      <c r="F5172" t="str">
        <f>IFERROR(INDEX(customers[country], MATCH(orders[[#This Row],[customer_id]], customers[customer_id], 0)), "Unmapped")</f>
        <v>Lithuania</v>
      </c>
      <c r="G5172" t="str">
        <f>IFERROR(INDEX(Region_Map[Region], MATCH(orders[[#This Row],[Customer_Country]], Region_Map[Country], 0)), "Unknown")</f>
        <v>Baltics</v>
      </c>
      <c r="H5172" t="s">
        <v>6949</v>
      </c>
    </row>
    <row r="5173" spans="1:8">
      <c r="A5173" t="s">
        <v>6066</v>
      </c>
      <c r="B5173" t="s">
        <v>843</v>
      </c>
      <c r="C5173" s="1">
        <v>45610</v>
      </c>
      <c r="D5173" s="1" t="str">
        <f>PROPER(orders[[#This Row],[order_priority]])</f>
        <v>Same Day</v>
      </c>
      <c r="E5173" t="s">
        <v>13322</v>
      </c>
      <c r="F5173" t="str">
        <f>IFERROR(INDEX(customers[country], MATCH(orders[[#This Row],[customer_id]], customers[customer_id], 0)), "Unmapped")</f>
        <v>Netherlands</v>
      </c>
      <c r="G5173" t="str">
        <f>IFERROR(INDEX(Region_Map[Region], MATCH(orders[[#This Row],[Customer_Country]], Region_Map[Country], 0)), "Unknown")</f>
        <v>Central Europe</v>
      </c>
      <c r="H5173" t="s">
        <v>6949</v>
      </c>
    </row>
    <row r="5174" spans="1:8">
      <c r="A5174" t="s">
        <v>6067</v>
      </c>
      <c r="B5174" t="s">
        <v>398</v>
      </c>
      <c r="C5174" s="1">
        <v>45195</v>
      </c>
      <c r="D5174" s="1" t="str">
        <f>PROPER(orders[[#This Row],[order_priority]])</f>
        <v>Same Day</v>
      </c>
      <c r="E5174" t="s">
        <v>13322</v>
      </c>
      <c r="F5174" t="str">
        <f>IFERROR(INDEX(customers[country], MATCH(orders[[#This Row],[customer_id]], customers[customer_id], 0)), "Unmapped")</f>
        <v>Sweden</v>
      </c>
      <c r="G5174" t="str">
        <f>IFERROR(INDEX(Region_Map[Region], MATCH(orders[[#This Row],[Customer_Country]], Region_Map[Country], 0)), "Unknown")</f>
        <v>Nordics</v>
      </c>
      <c r="H5174" t="s">
        <v>6949</v>
      </c>
    </row>
    <row r="5175" spans="1:8">
      <c r="A5175" t="s">
        <v>6068</v>
      </c>
      <c r="B5175" t="s">
        <v>837</v>
      </c>
      <c r="C5175" s="1">
        <v>45391</v>
      </c>
      <c r="D5175" s="1" t="str">
        <f>PROPER(orders[[#This Row],[order_priority]])</f>
        <v>Express</v>
      </c>
      <c r="E5175" t="s">
        <v>13326</v>
      </c>
      <c r="F5175" t="str">
        <f>IFERROR(INDEX(customers[country], MATCH(orders[[#This Row],[customer_id]], customers[customer_id], 0)), "Unmapped")</f>
        <v>Poland</v>
      </c>
      <c r="G5175" t="str">
        <f>IFERROR(INDEX(Region_Map[Region], MATCH(orders[[#This Row],[Customer_Country]], Region_Map[Country], 0)), "Unknown")</f>
        <v>Central Europe</v>
      </c>
      <c r="H5175" t="s">
        <v>6949</v>
      </c>
    </row>
    <row r="5176" spans="1:8">
      <c r="A5176" t="s">
        <v>6069</v>
      </c>
      <c r="B5176" t="s">
        <v>569</v>
      </c>
      <c r="C5176" s="1">
        <v>45278</v>
      </c>
      <c r="D5176" s="1" t="str">
        <f>PROPER(orders[[#This Row],[order_priority]])</f>
        <v>Economy</v>
      </c>
      <c r="E5176" t="s">
        <v>13316</v>
      </c>
      <c r="F5176" t="str">
        <f>IFERROR(INDEX(customers[country], MATCH(orders[[#This Row],[customer_id]], customers[customer_id], 0)), "Unmapped")</f>
        <v>Estonia</v>
      </c>
      <c r="G5176" t="str">
        <f>IFERROR(INDEX(Region_Map[Region], MATCH(orders[[#This Row],[Customer_Country]], Region_Map[Country], 0)), "Unknown")</f>
        <v>Baltics</v>
      </c>
      <c r="H5176" t="s">
        <v>6949</v>
      </c>
    </row>
    <row r="5177" spans="1:8">
      <c r="A5177" t="s">
        <v>6070</v>
      </c>
      <c r="B5177" t="s">
        <v>198</v>
      </c>
      <c r="C5177" s="1">
        <v>45322</v>
      </c>
      <c r="D5177" s="1" t="str">
        <f>PROPER(orders[[#This Row],[order_priority]])</f>
        <v>Same Day</v>
      </c>
      <c r="E5177" t="s">
        <v>13322</v>
      </c>
      <c r="F5177" t="str">
        <f>IFERROR(INDEX(customers[country], MATCH(orders[[#This Row],[customer_id]], customers[customer_id], 0)), "Unmapped")</f>
        <v>Poland</v>
      </c>
      <c r="G5177" t="str">
        <f>IFERROR(INDEX(Region_Map[Region], MATCH(orders[[#This Row],[Customer_Country]], Region_Map[Country], 0)), "Unknown")</f>
        <v>Central Europe</v>
      </c>
      <c r="H5177" t="s">
        <v>6949</v>
      </c>
    </row>
    <row r="5178" spans="1:8">
      <c r="A5178" t="s">
        <v>6071</v>
      </c>
      <c r="B5178" t="s">
        <v>428</v>
      </c>
      <c r="C5178" s="1">
        <v>45329</v>
      </c>
      <c r="D5178" s="1" t="str">
        <f>PROPER(orders[[#This Row],[order_priority]])</f>
        <v>Same Day</v>
      </c>
      <c r="E5178" t="s">
        <v>13321</v>
      </c>
      <c r="F5178" t="str">
        <f>IFERROR(INDEX(customers[country], MATCH(orders[[#This Row],[customer_id]], customers[customer_id], 0)), "Unmapped")</f>
        <v>Finland</v>
      </c>
      <c r="G5178" t="str">
        <f>IFERROR(INDEX(Region_Map[Region], MATCH(orders[[#This Row],[Customer_Country]], Region_Map[Country], 0)), "Unknown")</f>
        <v>Nordics</v>
      </c>
      <c r="H5178" t="s">
        <v>6949</v>
      </c>
    </row>
    <row r="5179" spans="1:8">
      <c r="A5179" t="s">
        <v>6072</v>
      </c>
      <c r="B5179" t="s">
        <v>264</v>
      </c>
      <c r="C5179" s="1">
        <v>45285</v>
      </c>
      <c r="D5179" s="1" t="str">
        <f>PROPER(orders[[#This Row],[order_priority]])</f>
        <v>Economy</v>
      </c>
      <c r="E5179" t="s">
        <v>13316</v>
      </c>
      <c r="F5179" t="str">
        <f>IFERROR(INDEX(customers[country], MATCH(orders[[#This Row],[customer_id]], customers[customer_id], 0)), "Unmapped")</f>
        <v>Germany</v>
      </c>
      <c r="G5179" t="str">
        <f>IFERROR(INDEX(Region_Map[Region], MATCH(orders[[#This Row],[Customer_Country]], Region_Map[Country], 0)), "Unknown")</f>
        <v>Central Europe</v>
      </c>
      <c r="H5179" t="s">
        <v>6949</v>
      </c>
    </row>
    <row r="5180" spans="1:8">
      <c r="A5180" t="s">
        <v>6073</v>
      </c>
      <c r="B5180" t="s">
        <v>246</v>
      </c>
      <c r="C5180" s="1">
        <v>45262</v>
      </c>
      <c r="D5180" s="1" t="str">
        <f>PROPER(orders[[#This Row],[order_priority]])</f>
        <v>Standard</v>
      </c>
      <c r="E5180" t="s">
        <v>13319</v>
      </c>
      <c r="F5180" t="str">
        <f>IFERROR(INDEX(customers[country], MATCH(orders[[#This Row],[customer_id]], customers[customer_id], 0)), "Unmapped")</f>
        <v>Netherlands</v>
      </c>
      <c r="G5180" t="str">
        <f>IFERROR(INDEX(Region_Map[Region], MATCH(orders[[#This Row],[Customer_Country]], Region_Map[Country], 0)), "Unknown")</f>
        <v>Central Europe</v>
      </c>
      <c r="H5180" t="s">
        <v>6949</v>
      </c>
    </row>
    <row r="5181" spans="1:8">
      <c r="A5181" t="s">
        <v>6074</v>
      </c>
      <c r="B5181" t="s">
        <v>323</v>
      </c>
      <c r="C5181" s="1">
        <v>45539</v>
      </c>
      <c r="D5181" s="1" t="str">
        <f>PROPER(orders[[#This Row],[order_priority]])</f>
        <v>Standard</v>
      </c>
      <c r="E5181" t="s">
        <v>13319</v>
      </c>
      <c r="F5181" t="str">
        <f>IFERROR(INDEX(customers[country], MATCH(orders[[#This Row],[customer_id]], customers[customer_id], 0)), "Unmapped")</f>
        <v>Estonia</v>
      </c>
      <c r="G5181" t="str">
        <f>IFERROR(INDEX(Region_Map[Region], MATCH(orders[[#This Row],[Customer_Country]], Region_Map[Country], 0)), "Unknown")</f>
        <v>Baltics</v>
      </c>
      <c r="H5181" t="s">
        <v>6949</v>
      </c>
    </row>
    <row r="5182" spans="1:8">
      <c r="A5182" t="s">
        <v>6075</v>
      </c>
      <c r="B5182" t="s">
        <v>77</v>
      </c>
      <c r="C5182" s="1">
        <v>45518</v>
      </c>
      <c r="D5182" s="1" t="str">
        <f>PROPER(orders[[#This Row],[order_priority]])</f>
        <v>Express</v>
      </c>
      <c r="E5182" t="s">
        <v>13318</v>
      </c>
      <c r="F5182" t="str">
        <f>IFERROR(INDEX(customers[country], MATCH(orders[[#This Row],[customer_id]], customers[customer_id], 0)), "Unmapped")</f>
        <v>Lithuania</v>
      </c>
      <c r="G5182" t="str">
        <f>IFERROR(INDEX(Region_Map[Region], MATCH(orders[[#This Row],[Customer_Country]], Region_Map[Country], 0)), "Unknown")</f>
        <v>Baltics</v>
      </c>
      <c r="H5182" t="s">
        <v>6949</v>
      </c>
    </row>
    <row r="5183" spans="1:8">
      <c r="A5183" t="s">
        <v>6076</v>
      </c>
      <c r="B5183" t="s">
        <v>398</v>
      </c>
      <c r="C5183" s="1">
        <v>45229</v>
      </c>
      <c r="D5183" s="1" t="str">
        <f>PROPER(orders[[#This Row],[order_priority]])</f>
        <v>Standard</v>
      </c>
      <c r="E5183" t="s">
        <v>13317</v>
      </c>
      <c r="F5183" t="str">
        <f>IFERROR(INDEX(customers[country], MATCH(orders[[#This Row],[customer_id]], customers[customer_id], 0)), "Unmapped")</f>
        <v>Sweden</v>
      </c>
      <c r="G5183" t="str">
        <f>IFERROR(INDEX(Region_Map[Region], MATCH(orders[[#This Row],[Customer_Country]], Region_Map[Country], 0)), "Unknown")</f>
        <v>Nordics</v>
      </c>
      <c r="H5183" t="s">
        <v>6949</v>
      </c>
    </row>
    <row r="5184" spans="1:8">
      <c r="A5184" t="s">
        <v>6077</v>
      </c>
      <c r="B5184" t="s">
        <v>124</v>
      </c>
      <c r="C5184" s="1">
        <v>45589</v>
      </c>
      <c r="D5184" s="1" t="str">
        <f>PROPER(orders[[#This Row],[order_priority]])</f>
        <v>Express</v>
      </c>
      <c r="E5184" t="s">
        <v>13318</v>
      </c>
      <c r="F5184" t="str">
        <f>IFERROR(INDEX(customers[country], MATCH(orders[[#This Row],[customer_id]], customers[customer_id], 0)), "Unmapped")</f>
        <v>Lithuania</v>
      </c>
      <c r="G5184" t="str">
        <f>IFERROR(INDEX(Region_Map[Region], MATCH(orders[[#This Row],[Customer_Country]], Region_Map[Country], 0)), "Unknown")</f>
        <v>Baltics</v>
      </c>
      <c r="H5184" t="s">
        <v>6949</v>
      </c>
    </row>
    <row r="5185" spans="1:8">
      <c r="A5185" t="s">
        <v>6078</v>
      </c>
      <c r="B5185" t="s">
        <v>855</v>
      </c>
      <c r="C5185" s="1">
        <v>45244</v>
      </c>
      <c r="D5185" s="1" t="str">
        <f>PROPER(orders[[#This Row],[order_priority]])</f>
        <v>Standard</v>
      </c>
      <c r="E5185" t="s">
        <v>13317</v>
      </c>
      <c r="F5185" t="str">
        <f>IFERROR(INDEX(customers[country], MATCH(orders[[#This Row],[customer_id]], customers[customer_id], 0)), "Unmapped")</f>
        <v>Latvia</v>
      </c>
      <c r="G5185" t="str">
        <f>IFERROR(INDEX(Region_Map[Region], MATCH(orders[[#This Row],[Customer_Country]], Region_Map[Country], 0)), "Unknown")</f>
        <v>Baltics</v>
      </c>
      <c r="H5185" t="s">
        <v>6949</v>
      </c>
    </row>
    <row r="5186" spans="1:8">
      <c r="A5186" t="s">
        <v>6079</v>
      </c>
      <c r="B5186" t="s">
        <v>638</v>
      </c>
      <c r="C5186" s="1">
        <v>45130</v>
      </c>
      <c r="D5186" s="1" t="str">
        <f>PROPER(orders[[#This Row],[order_priority]])</f>
        <v>Economy</v>
      </c>
      <c r="E5186" t="s">
        <v>13316</v>
      </c>
      <c r="F5186" t="str">
        <f>IFERROR(INDEX(customers[country], MATCH(orders[[#This Row],[customer_id]], customers[customer_id], 0)), "Unmapped")</f>
        <v>Germany</v>
      </c>
      <c r="G5186" t="str">
        <f>IFERROR(INDEX(Region_Map[Region], MATCH(orders[[#This Row],[Customer_Country]], Region_Map[Country], 0)), "Unknown")</f>
        <v>Central Europe</v>
      </c>
      <c r="H5186" t="s">
        <v>6949</v>
      </c>
    </row>
    <row r="5187" spans="1:8">
      <c r="A5187" t="s">
        <v>6080</v>
      </c>
      <c r="B5187" t="s">
        <v>178</v>
      </c>
      <c r="C5187" s="1">
        <v>45556</v>
      </c>
      <c r="D5187" s="1" t="str">
        <f>PROPER(orders[[#This Row],[order_priority]])</f>
        <v>Economy</v>
      </c>
      <c r="E5187" t="s">
        <v>13316</v>
      </c>
      <c r="F5187" t="str">
        <f>IFERROR(INDEX(customers[country], MATCH(orders[[#This Row],[customer_id]], customers[customer_id], 0)), "Unmapped")</f>
        <v>Poland</v>
      </c>
      <c r="G5187" t="str">
        <f>IFERROR(INDEX(Region_Map[Region], MATCH(orders[[#This Row],[Customer_Country]], Region_Map[Country], 0)), "Unknown")</f>
        <v>Central Europe</v>
      </c>
      <c r="H5187" t="s">
        <v>6949</v>
      </c>
    </row>
    <row r="5188" spans="1:8">
      <c r="A5188" t="s">
        <v>6081</v>
      </c>
      <c r="B5188" t="s">
        <v>500</v>
      </c>
      <c r="C5188" s="1">
        <v>45469</v>
      </c>
      <c r="D5188" s="1" t="str">
        <f>PROPER(orders[[#This Row],[order_priority]])</f>
        <v>Same Day</v>
      </c>
      <c r="E5188" t="s">
        <v>13321</v>
      </c>
      <c r="F5188" t="str">
        <f>IFERROR(INDEX(customers[country], MATCH(orders[[#This Row],[customer_id]], customers[customer_id], 0)), "Unmapped")</f>
        <v>Estonia</v>
      </c>
      <c r="G5188" t="str">
        <f>IFERROR(INDEX(Region_Map[Region], MATCH(orders[[#This Row],[Customer_Country]], Region_Map[Country], 0)), "Unknown")</f>
        <v>Baltics</v>
      </c>
      <c r="H5188" t="s">
        <v>6949</v>
      </c>
    </row>
    <row r="5189" spans="1:8">
      <c r="A5189" t="s">
        <v>6082</v>
      </c>
      <c r="B5189" t="s">
        <v>900</v>
      </c>
      <c r="C5189" s="1">
        <v>45621</v>
      </c>
      <c r="D5189" s="1" t="str">
        <f>PROPER(orders[[#This Row],[order_priority]])</f>
        <v>Express</v>
      </c>
      <c r="E5189" t="s">
        <v>13326</v>
      </c>
      <c r="F5189" t="str">
        <f>IFERROR(INDEX(customers[country], MATCH(orders[[#This Row],[customer_id]], customers[customer_id], 0)), "Unmapped")</f>
        <v>Germany</v>
      </c>
      <c r="G5189" t="str">
        <f>IFERROR(INDEX(Region_Map[Region], MATCH(orders[[#This Row],[Customer_Country]], Region_Map[Country], 0)), "Unknown")</f>
        <v>Central Europe</v>
      </c>
      <c r="H5189" t="s">
        <v>6949</v>
      </c>
    </row>
    <row r="5190" spans="1:8">
      <c r="A5190" t="s">
        <v>6083</v>
      </c>
      <c r="B5190" t="s">
        <v>706</v>
      </c>
      <c r="C5190" s="1">
        <v>45263</v>
      </c>
      <c r="D5190" s="1" t="str">
        <f>PROPER(orders[[#This Row],[order_priority]])</f>
        <v>Same Day</v>
      </c>
      <c r="E5190" t="s">
        <v>13324</v>
      </c>
      <c r="F5190" t="str">
        <f>IFERROR(INDEX(customers[country], MATCH(orders[[#This Row],[customer_id]], customers[customer_id], 0)), "Unmapped")</f>
        <v>Latvia</v>
      </c>
      <c r="G5190" t="str">
        <f>IFERROR(INDEX(Region_Map[Region], MATCH(orders[[#This Row],[Customer_Country]], Region_Map[Country], 0)), "Unknown")</f>
        <v>Baltics</v>
      </c>
      <c r="H5190" t="s">
        <v>6949</v>
      </c>
    </row>
    <row r="5191" spans="1:8">
      <c r="A5191" t="s">
        <v>6084</v>
      </c>
      <c r="B5191" t="s">
        <v>115</v>
      </c>
      <c r="C5191" s="1">
        <v>45492</v>
      </c>
      <c r="D5191" s="1" t="str">
        <f>PROPER(orders[[#This Row],[order_priority]])</f>
        <v>Express</v>
      </c>
      <c r="E5191" t="s">
        <v>13326</v>
      </c>
      <c r="F5191" t="str">
        <f>IFERROR(INDEX(customers[country], MATCH(orders[[#This Row],[customer_id]], customers[customer_id], 0)), "Unmapped")</f>
        <v>Finland</v>
      </c>
      <c r="G5191" t="str">
        <f>IFERROR(INDEX(Region_Map[Region], MATCH(orders[[#This Row],[Customer_Country]], Region_Map[Country], 0)), "Unknown")</f>
        <v>Nordics</v>
      </c>
      <c r="H5191" t="s">
        <v>6949</v>
      </c>
    </row>
    <row r="5192" spans="1:8">
      <c r="A5192" t="s">
        <v>6085</v>
      </c>
      <c r="B5192" t="s">
        <v>638</v>
      </c>
      <c r="C5192" s="1">
        <v>45272</v>
      </c>
      <c r="D5192" s="1" t="str">
        <f>PROPER(orders[[#This Row],[order_priority]])</f>
        <v>Standard</v>
      </c>
      <c r="E5192" t="s">
        <v>13323</v>
      </c>
      <c r="F5192" t="str">
        <f>IFERROR(INDEX(customers[country], MATCH(orders[[#This Row],[customer_id]], customers[customer_id], 0)), "Unmapped")</f>
        <v>Germany</v>
      </c>
      <c r="G5192" t="str">
        <f>IFERROR(INDEX(Region_Map[Region], MATCH(orders[[#This Row],[Customer_Country]], Region_Map[Country], 0)), "Unknown")</f>
        <v>Central Europe</v>
      </c>
      <c r="H5192" t="s">
        <v>6949</v>
      </c>
    </row>
    <row r="5193" spans="1:8">
      <c r="A5193" t="s">
        <v>6086</v>
      </c>
      <c r="B5193" t="s">
        <v>374</v>
      </c>
      <c r="C5193" s="1">
        <v>45532</v>
      </c>
      <c r="D5193" s="1" t="str">
        <f>PROPER(orders[[#This Row],[order_priority]])</f>
        <v>Same Day</v>
      </c>
      <c r="E5193" t="s">
        <v>13322</v>
      </c>
      <c r="F5193" t="str">
        <f>IFERROR(INDEX(customers[country], MATCH(orders[[#This Row],[customer_id]], customers[customer_id], 0)), "Unmapped")</f>
        <v>Estonia</v>
      </c>
      <c r="G5193" t="str">
        <f>IFERROR(INDEX(Region_Map[Region], MATCH(orders[[#This Row],[Customer_Country]], Region_Map[Country], 0)), "Unknown")</f>
        <v>Baltics</v>
      </c>
      <c r="H5193" t="s">
        <v>6949</v>
      </c>
    </row>
    <row r="5194" spans="1:8">
      <c r="A5194" t="s">
        <v>6087</v>
      </c>
      <c r="B5194" t="s">
        <v>682</v>
      </c>
      <c r="C5194" s="1">
        <v>45424</v>
      </c>
      <c r="D5194" s="1" t="str">
        <f>PROPER(orders[[#This Row],[order_priority]])</f>
        <v>Economy</v>
      </c>
      <c r="E5194" t="s">
        <v>13316</v>
      </c>
      <c r="F5194" t="str">
        <f>IFERROR(INDEX(customers[country], MATCH(orders[[#This Row],[customer_id]], customers[customer_id], 0)), "Unmapped")</f>
        <v>Germany</v>
      </c>
      <c r="G5194" t="str">
        <f>IFERROR(INDEX(Region_Map[Region], MATCH(orders[[#This Row],[Customer_Country]], Region_Map[Country], 0)), "Unknown")</f>
        <v>Central Europe</v>
      </c>
      <c r="H5194" t="s">
        <v>6949</v>
      </c>
    </row>
    <row r="5195" spans="1:8">
      <c r="A5195" t="s">
        <v>6088</v>
      </c>
      <c r="B5195" t="s">
        <v>602</v>
      </c>
      <c r="C5195" s="1">
        <v>45375</v>
      </c>
      <c r="D5195" s="1" t="str">
        <f>PROPER(orders[[#This Row],[order_priority]])</f>
        <v>Express</v>
      </c>
      <c r="E5195" t="s">
        <v>13318</v>
      </c>
      <c r="F5195" t="str">
        <f>IFERROR(INDEX(customers[country], MATCH(orders[[#This Row],[customer_id]], customers[customer_id], 0)), "Unmapped")</f>
        <v>Poland</v>
      </c>
      <c r="G5195" t="str">
        <f>IFERROR(INDEX(Region_Map[Region], MATCH(orders[[#This Row],[Customer_Country]], Region_Map[Country], 0)), "Unknown")</f>
        <v>Central Europe</v>
      </c>
      <c r="H5195" t="s">
        <v>6949</v>
      </c>
    </row>
    <row r="5196" spans="1:8">
      <c r="A5196" t="s">
        <v>6089</v>
      </c>
      <c r="B5196" t="s">
        <v>341</v>
      </c>
      <c r="C5196" s="1">
        <v>45483</v>
      </c>
      <c r="D5196" s="1" t="str">
        <f>PROPER(orders[[#This Row],[order_priority]])</f>
        <v>Same Day</v>
      </c>
      <c r="E5196" t="s">
        <v>13322</v>
      </c>
      <c r="F5196" t="str">
        <f>IFERROR(INDEX(customers[country], MATCH(orders[[#This Row],[customer_id]], customers[customer_id], 0)), "Unmapped")</f>
        <v>Latvia</v>
      </c>
      <c r="G5196" t="str">
        <f>IFERROR(INDEX(Region_Map[Region], MATCH(orders[[#This Row],[Customer_Country]], Region_Map[Country], 0)), "Unknown")</f>
        <v>Baltics</v>
      </c>
      <c r="H5196" t="s">
        <v>6949</v>
      </c>
    </row>
    <row r="5197" spans="1:8">
      <c r="A5197" t="s">
        <v>6090</v>
      </c>
      <c r="B5197" t="s">
        <v>84</v>
      </c>
      <c r="C5197" s="1">
        <v>45060</v>
      </c>
      <c r="D5197" s="1" t="str">
        <f>PROPER(orders[[#This Row],[order_priority]])</f>
        <v>Express</v>
      </c>
      <c r="E5197" t="s">
        <v>13318</v>
      </c>
      <c r="F5197" t="str">
        <f>IFERROR(INDEX(customers[country], MATCH(orders[[#This Row],[customer_id]], customers[customer_id], 0)), "Unmapped")</f>
        <v>Lithuania</v>
      </c>
      <c r="G5197" t="str">
        <f>IFERROR(INDEX(Region_Map[Region], MATCH(orders[[#This Row],[Customer_Country]], Region_Map[Country], 0)), "Unknown")</f>
        <v>Baltics</v>
      </c>
      <c r="H5197" t="s">
        <v>6949</v>
      </c>
    </row>
    <row r="5198" spans="1:8">
      <c r="A5198" t="s">
        <v>6091</v>
      </c>
      <c r="B5198" t="s">
        <v>237</v>
      </c>
      <c r="C5198" s="1">
        <v>45221</v>
      </c>
      <c r="D5198" s="1" t="str">
        <f>PROPER(orders[[#This Row],[order_priority]])</f>
        <v>Same Day</v>
      </c>
      <c r="E5198" t="s">
        <v>13322</v>
      </c>
      <c r="F5198" t="str">
        <f>IFERROR(INDEX(customers[country], MATCH(orders[[#This Row],[customer_id]], customers[customer_id], 0)), "Unmapped")</f>
        <v>Sweden</v>
      </c>
      <c r="G5198" t="str">
        <f>IFERROR(INDEX(Region_Map[Region], MATCH(orders[[#This Row],[Customer_Country]], Region_Map[Country], 0)), "Unknown")</f>
        <v>Nordics</v>
      </c>
      <c r="H5198" t="s">
        <v>6949</v>
      </c>
    </row>
    <row r="5199" spans="1:8">
      <c r="A5199" t="s">
        <v>6092</v>
      </c>
      <c r="B5199" t="s">
        <v>314</v>
      </c>
      <c r="C5199" s="1">
        <v>45510</v>
      </c>
      <c r="D5199" s="1" t="str">
        <f>PROPER(orders[[#This Row],[order_priority]])</f>
        <v>Express</v>
      </c>
      <c r="E5199" t="s">
        <v>13318</v>
      </c>
      <c r="F5199" t="str">
        <f>IFERROR(INDEX(customers[country], MATCH(orders[[#This Row],[customer_id]], customers[customer_id], 0)), "Unmapped")</f>
        <v>Poland</v>
      </c>
      <c r="G5199" t="str">
        <f>IFERROR(INDEX(Region_Map[Region], MATCH(orders[[#This Row],[Customer_Country]], Region_Map[Country], 0)), "Unknown")</f>
        <v>Central Europe</v>
      </c>
      <c r="H5199" t="s">
        <v>6949</v>
      </c>
    </row>
    <row r="5200" spans="1:8">
      <c r="A5200" t="s">
        <v>6093</v>
      </c>
      <c r="B5200" t="s">
        <v>374</v>
      </c>
      <c r="C5200" s="1">
        <v>45523</v>
      </c>
      <c r="D5200" s="1" t="str">
        <f>PROPER(orders[[#This Row],[order_priority]])</f>
        <v>Economy</v>
      </c>
      <c r="E5200" t="s">
        <v>13316</v>
      </c>
      <c r="F5200" t="str">
        <f>IFERROR(INDEX(customers[country], MATCH(orders[[#This Row],[customer_id]], customers[customer_id], 0)), "Unmapped")</f>
        <v>Estonia</v>
      </c>
      <c r="G5200" t="str">
        <f>IFERROR(INDEX(Region_Map[Region], MATCH(orders[[#This Row],[Customer_Country]], Region_Map[Country], 0)), "Unknown")</f>
        <v>Baltics</v>
      </c>
      <c r="H5200" t="s">
        <v>6949</v>
      </c>
    </row>
    <row r="5201" spans="1:8">
      <c r="A5201" t="s">
        <v>6094</v>
      </c>
      <c r="B5201" t="s">
        <v>796</v>
      </c>
      <c r="C5201" s="1">
        <v>45179</v>
      </c>
      <c r="D5201" s="1" t="str">
        <f>PROPER(orders[[#This Row],[order_priority]])</f>
        <v>Express</v>
      </c>
      <c r="E5201" t="s">
        <v>13318</v>
      </c>
      <c r="F5201" t="str">
        <f>IFERROR(INDEX(customers[country], MATCH(orders[[#This Row],[customer_id]], customers[customer_id], 0)), "Unmapped")</f>
        <v>Sweden</v>
      </c>
      <c r="G5201" t="str">
        <f>IFERROR(INDEX(Region_Map[Region], MATCH(orders[[#This Row],[Customer_Country]], Region_Map[Country], 0)), "Unknown")</f>
        <v>Nordics</v>
      </c>
      <c r="H5201" t="s">
        <v>6949</v>
      </c>
    </row>
    <row r="5202" spans="1:8">
      <c r="A5202" t="s">
        <v>6095</v>
      </c>
      <c r="B5202" t="s">
        <v>425</v>
      </c>
      <c r="C5202" s="1">
        <v>45088</v>
      </c>
      <c r="D5202" s="1" t="str">
        <f>PROPER(orders[[#This Row],[order_priority]])</f>
        <v>Economy</v>
      </c>
      <c r="E5202" t="s">
        <v>13316</v>
      </c>
      <c r="F5202" t="str">
        <f>IFERROR(INDEX(customers[country], MATCH(orders[[#This Row],[customer_id]], customers[customer_id], 0)), "Unmapped")</f>
        <v>Denmark</v>
      </c>
      <c r="G5202" t="str">
        <f>IFERROR(INDEX(Region_Map[Region], MATCH(orders[[#This Row],[Customer_Country]], Region_Map[Country], 0)), "Unknown")</f>
        <v>Nordics</v>
      </c>
      <c r="H5202" t="s">
        <v>6949</v>
      </c>
    </row>
    <row r="5203" spans="1:8">
      <c r="A5203" t="s">
        <v>6096</v>
      </c>
      <c r="B5203" t="s">
        <v>207</v>
      </c>
      <c r="C5203" s="1">
        <v>45341</v>
      </c>
      <c r="D5203" s="1" t="str">
        <f>PROPER(orders[[#This Row],[order_priority]])</f>
        <v>Express</v>
      </c>
      <c r="E5203" t="s">
        <v>13320</v>
      </c>
      <c r="F5203" t="str">
        <f>IFERROR(INDEX(customers[country], MATCH(orders[[#This Row],[customer_id]], customers[customer_id], 0)), "Unmapped")</f>
        <v>Poland</v>
      </c>
      <c r="G5203" t="str">
        <f>IFERROR(INDEX(Region_Map[Region], MATCH(orders[[#This Row],[Customer_Country]], Region_Map[Country], 0)), "Unknown")</f>
        <v>Central Europe</v>
      </c>
      <c r="H5203" t="s">
        <v>6949</v>
      </c>
    </row>
    <row r="5204" spans="1:8">
      <c r="A5204" t="s">
        <v>6097</v>
      </c>
      <c r="B5204" t="s">
        <v>494</v>
      </c>
      <c r="C5204" s="1">
        <v>45277</v>
      </c>
      <c r="D5204" s="1" t="str">
        <f>PROPER(orders[[#This Row],[order_priority]])</f>
        <v>Economy</v>
      </c>
      <c r="E5204" t="s">
        <v>13316</v>
      </c>
      <c r="F5204" t="str">
        <f>IFERROR(INDEX(customers[country], MATCH(orders[[#This Row],[customer_id]], customers[customer_id], 0)), "Unmapped")</f>
        <v>Sweden</v>
      </c>
      <c r="G5204" t="str">
        <f>IFERROR(INDEX(Region_Map[Region], MATCH(orders[[#This Row],[Customer_Country]], Region_Map[Country], 0)), "Unknown")</f>
        <v>Nordics</v>
      </c>
      <c r="H5204" t="s">
        <v>6949</v>
      </c>
    </row>
    <row r="5205" spans="1:8">
      <c r="A5205" t="s">
        <v>4126</v>
      </c>
      <c r="B5205" t="s">
        <v>19</v>
      </c>
      <c r="C5205" s="1">
        <v>45280</v>
      </c>
      <c r="D5205" s="1" t="str">
        <f>PROPER(orders[[#This Row],[order_priority]])</f>
        <v>Express</v>
      </c>
      <c r="E5205" t="s">
        <v>13318</v>
      </c>
      <c r="F5205" t="str">
        <f>IFERROR(INDEX(customers[country], MATCH(orders[[#This Row],[customer_id]], customers[customer_id], 0)), "Unmapped")</f>
        <v>Poland</v>
      </c>
      <c r="G5205" t="str">
        <f>IFERROR(INDEX(Region_Map[Region], MATCH(orders[[#This Row],[Customer_Country]], Region_Map[Country], 0)), "Unknown")</f>
        <v>Central Europe</v>
      </c>
      <c r="H5205" t="s">
        <v>6949</v>
      </c>
    </row>
    <row r="5206" spans="1:8">
      <c r="A5206" t="s">
        <v>6098</v>
      </c>
      <c r="B5206" t="s">
        <v>593</v>
      </c>
      <c r="C5206" s="1">
        <v>45183</v>
      </c>
      <c r="D5206" s="1" t="str">
        <f>PROPER(orders[[#This Row],[order_priority]])</f>
        <v>Economy</v>
      </c>
      <c r="E5206" t="s">
        <v>13325</v>
      </c>
      <c r="F5206" t="str">
        <f>IFERROR(INDEX(customers[country], MATCH(orders[[#This Row],[customer_id]], customers[customer_id], 0)), "Unmapped")</f>
        <v>Estonia</v>
      </c>
      <c r="G5206" t="str">
        <f>IFERROR(INDEX(Region_Map[Region], MATCH(orders[[#This Row],[Customer_Country]], Region_Map[Country], 0)), "Unknown")</f>
        <v>Baltics</v>
      </c>
      <c r="H5206" t="s">
        <v>6949</v>
      </c>
    </row>
    <row r="5207" spans="1:8">
      <c r="A5207" t="s">
        <v>6099</v>
      </c>
      <c r="B5207" t="s">
        <v>27</v>
      </c>
      <c r="C5207" s="1">
        <v>45060</v>
      </c>
      <c r="D5207" s="1" t="str">
        <f>PROPER(orders[[#This Row],[order_priority]])</f>
        <v>Express</v>
      </c>
      <c r="E5207" t="s">
        <v>13326</v>
      </c>
      <c r="F5207" t="str">
        <f>IFERROR(INDEX(customers[country], MATCH(orders[[#This Row],[customer_id]], customers[customer_id], 0)), "Unmapped")</f>
        <v>Latvia</v>
      </c>
      <c r="G5207" t="str">
        <f>IFERROR(INDEX(Region_Map[Region], MATCH(orders[[#This Row],[Customer_Country]], Region_Map[Country], 0)), "Unknown")</f>
        <v>Baltics</v>
      </c>
      <c r="H5207" t="s">
        <v>6949</v>
      </c>
    </row>
    <row r="5208" spans="1:8">
      <c r="A5208" t="s">
        <v>6100</v>
      </c>
      <c r="B5208" t="s">
        <v>204</v>
      </c>
      <c r="C5208" s="1">
        <v>45089</v>
      </c>
      <c r="D5208" s="1" t="str">
        <f>PROPER(orders[[#This Row],[order_priority]])</f>
        <v>Express</v>
      </c>
      <c r="E5208" t="s">
        <v>13318</v>
      </c>
      <c r="F5208" t="str">
        <f>IFERROR(INDEX(customers[country], MATCH(orders[[#This Row],[customer_id]], customers[customer_id], 0)), "Unmapped")</f>
        <v>Sweden</v>
      </c>
      <c r="G5208" t="str">
        <f>IFERROR(INDEX(Region_Map[Region], MATCH(orders[[#This Row],[Customer_Country]], Region_Map[Country], 0)), "Unknown")</f>
        <v>Nordics</v>
      </c>
      <c r="H5208" t="s">
        <v>6949</v>
      </c>
    </row>
    <row r="5209" spans="1:8">
      <c r="A5209" t="s">
        <v>6101</v>
      </c>
      <c r="B5209" t="s">
        <v>267</v>
      </c>
      <c r="C5209" s="1">
        <v>44933</v>
      </c>
      <c r="D5209" s="1" t="str">
        <f>PROPER(orders[[#This Row],[order_priority]])</f>
        <v>Same Day</v>
      </c>
      <c r="E5209" t="s">
        <v>13322</v>
      </c>
      <c r="F5209" t="str">
        <f>IFERROR(INDEX(customers[country], MATCH(orders[[#This Row],[customer_id]], customers[customer_id], 0)), "Unmapped")</f>
        <v>Norway</v>
      </c>
      <c r="G5209" t="str">
        <f>IFERROR(INDEX(Region_Map[Region], MATCH(orders[[#This Row],[Customer_Country]], Region_Map[Country], 0)), "Unknown")</f>
        <v>Nordics</v>
      </c>
      <c r="H5209" t="s">
        <v>6949</v>
      </c>
    </row>
    <row r="5210" spans="1:8">
      <c r="A5210" t="s">
        <v>6102</v>
      </c>
      <c r="B5210" t="s">
        <v>802</v>
      </c>
      <c r="C5210" s="1">
        <v>45509</v>
      </c>
      <c r="D5210" s="1" t="str">
        <f>PROPER(orders[[#This Row],[order_priority]])</f>
        <v>Standard</v>
      </c>
      <c r="E5210" t="s">
        <v>13317</v>
      </c>
      <c r="F5210" t="str">
        <f>IFERROR(INDEX(customers[country], MATCH(orders[[#This Row],[customer_id]], customers[customer_id], 0)), "Unmapped")</f>
        <v>Poland</v>
      </c>
      <c r="G5210" t="str">
        <f>IFERROR(INDEX(Region_Map[Region], MATCH(orders[[#This Row],[Customer_Country]], Region_Map[Country], 0)), "Unknown")</f>
        <v>Central Europe</v>
      </c>
      <c r="H5210" t="s">
        <v>6949</v>
      </c>
    </row>
    <row r="5211" spans="1:8">
      <c r="A5211" t="s">
        <v>6103</v>
      </c>
      <c r="B5211" t="s">
        <v>900</v>
      </c>
      <c r="C5211" s="1">
        <v>45382</v>
      </c>
      <c r="D5211" s="1" t="str">
        <f>PROPER(orders[[#This Row],[order_priority]])</f>
        <v>Standard</v>
      </c>
      <c r="E5211" t="s">
        <v>13317</v>
      </c>
      <c r="F5211" t="str">
        <f>IFERROR(INDEX(customers[country], MATCH(orders[[#This Row],[customer_id]], customers[customer_id], 0)), "Unmapped")</f>
        <v>Germany</v>
      </c>
      <c r="G5211" t="str">
        <f>IFERROR(INDEX(Region_Map[Region], MATCH(orders[[#This Row],[Customer_Country]], Region_Map[Country], 0)), "Unknown")</f>
        <v>Central Europe</v>
      </c>
      <c r="H5211" t="s">
        <v>6949</v>
      </c>
    </row>
    <row r="5212" spans="1:8">
      <c r="A5212" t="s">
        <v>6104</v>
      </c>
      <c r="B5212" t="s">
        <v>401</v>
      </c>
      <c r="C5212" s="1">
        <v>45465</v>
      </c>
      <c r="D5212" s="1" t="str">
        <f>PROPER(orders[[#This Row],[order_priority]])</f>
        <v>Express</v>
      </c>
      <c r="E5212" t="s">
        <v>13318</v>
      </c>
      <c r="F5212" t="str">
        <f>IFERROR(INDEX(customers[country], MATCH(orders[[#This Row],[customer_id]], customers[customer_id], 0)), "Unmapped")</f>
        <v>Latvia</v>
      </c>
      <c r="G5212" t="str">
        <f>IFERROR(INDEX(Region_Map[Region], MATCH(orders[[#This Row],[Customer_Country]], Region_Map[Country], 0)), "Unknown")</f>
        <v>Baltics</v>
      </c>
      <c r="H5212" t="s">
        <v>6949</v>
      </c>
    </row>
    <row r="5213" spans="1:8">
      <c r="A5213" t="s">
        <v>6105</v>
      </c>
      <c r="B5213" t="s">
        <v>213</v>
      </c>
      <c r="C5213" s="1">
        <v>45115</v>
      </c>
      <c r="D5213" s="1" t="str">
        <f>PROPER(orders[[#This Row],[order_priority]])</f>
        <v>Standard</v>
      </c>
      <c r="E5213" t="s">
        <v>13317</v>
      </c>
      <c r="F5213" t="str">
        <f>IFERROR(INDEX(customers[country], MATCH(orders[[#This Row],[customer_id]], customers[customer_id], 0)), "Unmapped")</f>
        <v>Denmark</v>
      </c>
      <c r="G5213" t="str">
        <f>IFERROR(INDEX(Region_Map[Region], MATCH(orders[[#This Row],[Customer_Country]], Region_Map[Country], 0)), "Unknown")</f>
        <v>Nordics</v>
      </c>
      <c r="H5213" t="s">
        <v>6949</v>
      </c>
    </row>
    <row r="5214" spans="1:8">
      <c r="A5214" t="s">
        <v>6106</v>
      </c>
      <c r="B5214" t="s">
        <v>115</v>
      </c>
      <c r="C5214" s="1">
        <v>45528</v>
      </c>
      <c r="D5214" s="1" t="str">
        <f>PROPER(orders[[#This Row],[order_priority]])</f>
        <v>Same Day</v>
      </c>
      <c r="E5214" t="s">
        <v>13322</v>
      </c>
      <c r="F5214" t="str">
        <f>IFERROR(INDEX(customers[country], MATCH(orders[[#This Row],[customer_id]], customers[customer_id], 0)), "Unmapped")</f>
        <v>Finland</v>
      </c>
      <c r="G5214" t="str">
        <f>IFERROR(INDEX(Region_Map[Region], MATCH(orders[[#This Row],[Customer_Country]], Region_Map[Country], 0)), "Unknown")</f>
        <v>Nordics</v>
      </c>
      <c r="H5214" t="s">
        <v>6949</v>
      </c>
    </row>
    <row r="5215" spans="1:8">
      <c r="A5215" t="s">
        <v>6107</v>
      </c>
      <c r="B5215" t="s">
        <v>647</v>
      </c>
      <c r="C5215" s="1">
        <v>44961</v>
      </c>
      <c r="D5215" s="1" t="str">
        <f>PROPER(orders[[#This Row],[order_priority]])</f>
        <v>Same Day</v>
      </c>
      <c r="E5215" t="s">
        <v>13322</v>
      </c>
      <c r="F5215" t="str">
        <f>IFERROR(INDEX(customers[country], MATCH(orders[[#This Row],[customer_id]], customers[customer_id], 0)), "Unmapped")</f>
        <v>Netherlands</v>
      </c>
      <c r="G5215" t="str">
        <f>IFERROR(INDEX(Region_Map[Region], MATCH(orders[[#This Row],[Customer_Country]], Region_Map[Country], 0)), "Unknown")</f>
        <v>Central Europe</v>
      </c>
      <c r="H5215" t="s">
        <v>6949</v>
      </c>
    </row>
    <row r="5216" spans="1:8">
      <c r="A5216" t="s">
        <v>6108</v>
      </c>
      <c r="B5216" t="s">
        <v>6949</v>
      </c>
      <c r="C5216" s="1">
        <v>44976</v>
      </c>
      <c r="D5216" s="1" t="str">
        <f>PROPER(orders[[#This Row],[order_priority]])</f>
        <v>Standard</v>
      </c>
      <c r="E5216" t="s">
        <v>13317</v>
      </c>
      <c r="F5216" t="str">
        <f>IFERROR(INDEX(customers[country], MATCH(orders[[#This Row],[customer_id]], customers[customer_id], 0)), "Unmapped")</f>
        <v>Unmapped</v>
      </c>
      <c r="G5216" t="str">
        <f>IFERROR(INDEX(Region_Map[Region], MATCH(orders[[#This Row],[Customer_Country]], Region_Map[Country], 0)), "Unknown")</f>
        <v>Unknown</v>
      </c>
      <c r="H5216" t="s">
        <v>6949</v>
      </c>
    </row>
    <row r="5217" spans="1:8">
      <c r="A5217" t="s">
        <v>6109</v>
      </c>
      <c r="B5217" t="s">
        <v>255</v>
      </c>
      <c r="C5217" s="1">
        <v>45234</v>
      </c>
      <c r="D5217" s="1" t="str">
        <f>PROPER(orders[[#This Row],[order_priority]])</f>
        <v>Economy</v>
      </c>
      <c r="E5217" t="s">
        <v>13316</v>
      </c>
      <c r="F5217" t="str">
        <f>IFERROR(INDEX(customers[country], MATCH(orders[[#This Row],[customer_id]], customers[customer_id], 0)), "Unmapped")</f>
        <v>Sweden</v>
      </c>
      <c r="G5217" t="str">
        <f>IFERROR(INDEX(Region_Map[Region], MATCH(orders[[#This Row],[Customer_Country]], Region_Map[Country], 0)), "Unknown")</f>
        <v>Nordics</v>
      </c>
      <c r="H5217" t="s">
        <v>6949</v>
      </c>
    </row>
    <row r="5218" spans="1:8">
      <c r="A5218" t="s">
        <v>6110</v>
      </c>
      <c r="B5218" t="s">
        <v>118</v>
      </c>
      <c r="C5218" s="1">
        <v>44978</v>
      </c>
      <c r="D5218" s="1" t="str">
        <f>PROPER(orders[[#This Row],[order_priority]])</f>
        <v>Same Day</v>
      </c>
      <c r="E5218" t="s">
        <v>13322</v>
      </c>
      <c r="F5218" t="str">
        <f>IFERROR(INDEX(customers[country], MATCH(orders[[#This Row],[customer_id]], customers[customer_id], 0)), "Unmapped")</f>
        <v>Denmark</v>
      </c>
      <c r="G5218" t="str">
        <f>IFERROR(INDEX(Region_Map[Region], MATCH(orders[[#This Row],[Customer_Country]], Region_Map[Country], 0)), "Unknown")</f>
        <v>Nordics</v>
      </c>
      <c r="H5218" t="s">
        <v>6949</v>
      </c>
    </row>
    <row r="5219" spans="1:8">
      <c r="A5219" t="s">
        <v>6111</v>
      </c>
      <c r="B5219" t="s">
        <v>80</v>
      </c>
      <c r="C5219" s="1">
        <v>45513</v>
      </c>
      <c r="D5219" s="1" t="str">
        <f>PROPER(orders[[#This Row],[order_priority]])</f>
        <v>Economy</v>
      </c>
      <c r="E5219" t="s">
        <v>13316</v>
      </c>
      <c r="F5219" t="str">
        <f>IFERROR(INDEX(customers[country], MATCH(orders[[#This Row],[customer_id]], customers[customer_id], 0)), "Unmapped")</f>
        <v>Finland</v>
      </c>
      <c r="G5219" t="str">
        <f>IFERROR(INDEX(Region_Map[Region], MATCH(orders[[#This Row],[Customer_Country]], Region_Map[Country], 0)), "Unknown")</f>
        <v>Nordics</v>
      </c>
      <c r="H5219" t="s">
        <v>6949</v>
      </c>
    </row>
    <row r="5220" spans="1:8">
      <c r="A5220" t="s">
        <v>6112</v>
      </c>
      <c r="B5220" t="s">
        <v>682</v>
      </c>
      <c r="C5220" s="1">
        <v>45399</v>
      </c>
      <c r="D5220" s="1" t="str">
        <f>PROPER(orders[[#This Row],[order_priority]])</f>
        <v>Same Day</v>
      </c>
      <c r="E5220" t="s">
        <v>13322</v>
      </c>
      <c r="F5220" t="str">
        <f>IFERROR(INDEX(customers[country], MATCH(orders[[#This Row],[customer_id]], customers[customer_id], 0)), "Unmapped")</f>
        <v>Germany</v>
      </c>
      <c r="G5220" t="str">
        <f>IFERROR(INDEX(Region_Map[Region], MATCH(orders[[#This Row],[Customer_Country]], Region_Map[Country], 0)), "Unknown")</f>
        <v>Central Europe</v>
      </c>
      <c r="H5220" t="s">
        <v>6949</v>
      </c>
    </row>
    <row r="5221" spans="1:8">
      <c r="A5221" t="s">
        <v>6113</v>
      </c>
      <c r="B5221" t="s">
        <v>142</v>
      </c>
      <c r="C5221" s="1">
        <v>45215</v>
      </c>
      <c r="D5221" s="1" t="str">
        <f>PROPER(orders[[#This Row],[order_priority]])</f>
        <v>Same Day</v>
      </c>
      <c r="E5221" t="s">
        <v>13322</v>
      </c>
      <c r="F5221" t="str">
        <f>IFERROR(INDEX(customers[country], MATCH(orders[[#This Row],[customer_id]], customers[customer_id], 0)), "Unmapped")</f>
        <v>Estonia</v>
      </c>
      <c r="G5221" t="str">
        <f>IFERROR(INDEX(Region_Map[Region], MATCH(orders[[#This Row],[Customer_Country]], Region_Map[Country], 0)), "Unknown")</f>
        <v>Baltics</v>
      </c>
      <c r="H5221" t="s">
        <v>6949</v>
      </c>
    </row>
    <row r="5222" spans="1:8">
      <c r="A5222" t="s">
        <v>6114</v>
      </c>
      <c r="B5222" t="s">
        <v>727</v>
      </c>
      <c r="C5222" s="1">
        <v>45343</v>
      </c>
      <c r="D5222" s="1" t="str">
        <f>PROPER(orders[[#This Row],[order_priority]])</f>
        <v>Same Day</v>
      </c>
      <c r="E5222" t="s">
        <v>13321</v>
      </c>
      <c r="F5222" t="str">
        <f>IFERROR(INDEX(customers[country], MATCH(orders[[#This Row],[customer_id]], customers[customer_id], 0)), "Unmapped")</f>
        <v>Sweden</v>
      </c>
      <c r="G5222" t="str">
        <f>IFERROR(INDEX(Region_Map[Region], MATCH(orders[[#This Row],[Customer_Country]], Region_Map[Country], 0)), "Unknown")</f>
        <v>Nordics</v>
      </c>
      <c r="H5222" t="s">
        <v>6949</v>
      </c>
    </row>
    <row r="5223" spans="1:8">
      <c r="A5223" t="s">
        <v>6115</v>
      </c>
      <c r="B5223" t="s">
        <v>846</v>
      </c>
      <c r="C5223" s="1">
        <v>45534</v>
      </c>
      <c r="D5223" s="1" t="str">
        <f>PROPER(orders[[#This Row],[order_priority]])</f>
        <v>Standard</v>
      </c>
      <c r="E5223" t="s">
        <v>13319</v>
      </c>
      <c r="F5223" t="str">
        <f>IFERROR(INDEX(customers[country], MATCH(orders[[#This Row],[customer_id]], customers[customer_id], 0)), "Unmapped")</f>
        <v>Netherlands</v>
      </c>
      <c r="G5223" t="str">
        <f>IFERROR(INDEX(Region_Map[Region], MATCH(orders[[#This Row],[Customer_Country]], Region_Map[Country], 0)), "Unknown")</f>
        <v>Central Europe</v>
      </c>
      <c r="H5223" t="s">
        <v>6949</v>
      </c>
    </row>
    <row r="5224" spans="1:8">
      <c r="A5224" t="s">
        <v>6116</v>
      </c>
      <c r="B5224" t="s">
        <v>554</v>
      </c>
      <c r="C5224" s="1">
        <v>45457</v>
      </c>
      <c r="D5224" s="1" t="str">
        <f>PROPER(orders[[#This Row],[order_priority]])</f>
        <v>Same Day</v>
      </c>
      <c r="E5224" t="s">
        <v>13322</v>
      </c>
      <c r="F5224" t="str">
        <f>IFERROR(INDEX(customers[country], MATCH(orders[[#This Row],[customer_id]], customers[customer_id], 0)), "Unmapped")</f>
        <v>Germany</v>
      </c>
      <c r="G5224" t="str">
        <f>IFERROR(INDEX(Region_Map[Region], MATCH(orders[[#This Row],[Customer_Country]], Region_Map[Country], 0)), "Unknown")</f>
        <v>Central Europe</v>
      </c>
      <c r="H5224" t="s">
        <v>6949</v>
      </c>
    </row>
    <row r="5225" spans="1:8">
      <c r="A5225" t="s">
        <v>6117</v>
      </c>
      <c r="B5225" t="s">
        <v>542</v>
      </c>
      <c r="C5225" s="1">
        <v>45174</v>
      </c>
      <c r="D5225" s="1" t="str">
        <f>PROPER(orders[[#This Row],[order_priority]])</f>
        <v>Express</v>
      </c>
      <c r="E5225" t="s">
        <v>13318</v>
      </c>
      <c r="F5225" t="str">
        <f>IFERROR(INDEX(customers[country], MATCH(orders[[#This Row],[customer_id]], customers[customer_id], 0)), "Unmapped")</f>
        <v>Poland</v>
      </c>
      <c r="G5225" t="str">
        <f>IFERROR(INDEX(Region_Map[Region], MATCH(orders[[#This Row],[Customer_Country]], Region_Map[Country], 0)), "Unknown")</f>
        <v>Central Europe</v>
      </c>
      <c r="H5225" t="s">
        <v>6949</v>
      </c>
    </row>
    <row r="5226" spans="1:8">
      <c r="A5226" t="s">
        <v>6118</v>
      </c>
      <c r="B5226" t="s">
        <v>536</v>
      </c>
      <c r="C5226" s="1">
        <v>45608</v>
      </c>
      <c r="D5226" s="1" t="str">
        <f>PROPER(orders[[#This Row],[order_priority]])</f>
        <v>Economy</v>
      </c>
      <c r="E5226" t="s">
        <v>13316</v>
      </c>
      <c r="F5226" t="str">
        <f>IFERROR(INDEX(customers[country], MATCH(orders[[#This Row],[customer_id]], customers[customer_id], 0)), "Unmapped")</f>
        <v>Germany</v>
      </c>
      <c r="G5226" t="str">
        <f>IFERROR(INDEX(Region_Map[Region], MATCH(orders[[#This Row],[Customer_Country]], Region_Map[Country], 0)), "Unknown")</f>
        <v>Central Europe</v>
      </c>
      <c r="H5226" t="s">
        <v>6949</v>
      </c>
    </row>
    <row r="5227" spans="1:8">
      <c r="A5227" t="s">
        <v>6119</v>
      </c>
      <c r="B5227" t="s">
        <v>497</v>
      </c>
      <c r="C5227" s="1">
        <v>45306</v>
      </c>
      <c r="D5227" s="1" t="str">
        <f>PROPER(orders[[#This Row],[order_priority]])</f>
        <v>Express</v>
      </c>
      <c r="E5227" t="s">
        <v>13318</v>
      </c>
      <c r="F5227" t="str">
        <f>IFERROR(INDEX(customers[country], MATCH(orders[[#This Row],[customer_id]], customers[customer_id], 0)), "Unmapped")</f>
        <v>Germany</v>
      </c>
      <c r="G5227" t="str">
        <f>IFERROR(INDEX(Region_Map[Region], MATCH(orders[[#This Row],[Customer_Country]], Region_Map[Country], 0)), "Unknown")</f>
        <v>Central Europe</v>
      </c>
      <c r="H5227" t="s">
        <v>6949</v>
      </c>
    </row>
    <row r="5228" spans="1:8">
      <c r="A5228" t="s">
        <v>6120</v>
      </c>
      <c r="B5228" t="s">
        <v>464</v>
      </c>
      <c r="C5228" s="1">
        <v>45308</v>
      </c>
      <c r="D5228" s="1" t="str">
        <f>PROPER(orders[[#This Row],[order_priority]])</f>
        <v>Express</v>
      </c>
      <c r="E5228" t="s">
        <v>13318</v>
      </c>
      <c r="F5228" t="str">
        <f>IFERROR(INDEX(customers[country], MATCH(orders[[#This Row],[customer_id]], customers[customer_id], 0)), "Unmapped")</f>
        <v>Finland</v>
      </c>
      <c r="G5228" t="str">
        <f>IFERROR(INDEX(Region_Map[Region], MATCH(orders[[#This Row],[Customer_Country]], Region_Map[Country], 0)), "Unknown")</f>
        <v>Nordics</v>
      </c>
      <c r="H5228" t="s">
        <v>6949</v>
      </c>
    </row>
    <row r="5229" spans="1:8">
      <c r="A5229" t="s">
        <v>6121</v>
      </c>
      <c r="B5229" t="s">
        <v>294</v>
      </c>
      <c r="C5229" s="1">
        <v>45554</v>
      </c>
      <c r="D5229" s="1" t="str">
        <f>PROPER(orders[[#This Row],[order_priority]])</f>
        <v>Economy</v>
      </c>
      <c r="E5229" t="s">
        <v>13316</v>
      </c>
      <c r="F5229" t="str">
        <f>IFERROR(INDEX(customers[country], MATCH(orders[[#This Row],[customer_id]], customers[customer_id], 0)), "Unmapped")</f>
        <v>Denmark</v>
      </c>
      <c r="G5229" t="str">
        <f>IFERROR(INDEX(Region_Map[Region], MATCH(orders[[#This Row],[Customer_Country]], Region_Map[Country], 0)), "Unknown")</f>
        <v>Nordics</v>
      </c>
      <c r="H5229" t="s">
        <v>6949</v>
      </c>
    </row>
    <row r="5230" spans="1:8">
      <c r="A5230" t="s">
        <v>6122</v>
      </c>
      <c r="B5230" t="s">
        <v>332</v>
      </c>
      <c r="C5230" s="1">
        <v>45072</v>
      </c>
      <c r="D5230" s="1" t="str">
        <f>PROPER(orders[[#This Row],[order_priority]])</f>
        <v>Same Day</v>
      </c>
      <c r="E5230" t="s">
        <v>13322</v>
      </c>
      <c r="F5230" t="str">
        <f>IFERROR(INDEX(customers[country], MATCH(orders[[#This Row],[customer_id]], customers[customer_id], 0)), "Unmapped")</f>
        <v>Lithuania</v>
      </c>
      <c r="G5230" t="str">
        <f>IFERROR(INDEX(Region_Map[Region], MATCH(orders[[#This Row],[Customer_Country]], Region_Map[Country], 0)), "Unknown")</f>
        <v>Baltics</v>
      </c>
      <c r="H5230" t="s">
        <v>6949</v>
      </c>
    </row>
    <row r="5231" spans="1:8">
      <c r="A5231" t="s">
        <v>6123</v>
      </c>
      <c r="B5231" t="s">
        <v>222</v>
      </c>
      <c r="C5231" s="1">
        <v>45226</v>
      </c>
      <c r="D5231" s="1" t="str">
        <f>PROPER(orders[[#This Row],[order_priority]])</f>
        <v>Same Day</v>
      </c>
      <c r="E5231" t="s">
        <v>13322</v>
      </c>
      <c r="F5231" t="str">
        <f>IFERROR(INDEX(customers[country], MATCH(orders[[#This Row],[customer_id]], customers[customer_id], 0)), "Unmapped")</f>
        <v>Norway</v>
      </c>
      <c r="G5231" t="str">
        <f>IFERROR(INDEX(Region_Map[Region], MATCH(orders[[#This Row],[Customer_Country]], Region_Map[Country], 0)), "Unknown")</f>
        <v>Nordics</v>
      </c>
      <c r="H5231" t="s">
        <v>6949</v>
      </c>
    </row>
    <row r="5232" spans="1:8">
      <c r="A5232" t="s">
        <v>6124</v>
      </c>
      <c r="B5232" t="s">
        <v>297</v>
      </c>
      <c r="C5232" s="1">
        <v>45286</v>
      </c>
      <c r="D5232" s="1" t="str">
        <f>PROPER(orders[[#This Row],[order_priority]])</f>
        <v>Economy</v>
      </c>
      <c r="E5232" t="s">
        <v>13316</v>
      </c>
      <c r="F5232" t="str">
        <f>IFERROR(INDEX(customers[country], MATCH(orders[[#This Row],[customer_id]], customers[customer_id], 0)), "Unmapped")</f>
        <v>Poland</v>
      </c>
      <c r="G5232" t="str">
        <f>IFERROR(INDEX(Region_Map[Region], MATCH(orders[[#This Row],[Customer_Country]], Region_Map[Country], 0)), "Unknown")</f>
        <v>Central Europe</v>
      </c>
      <c r="H5232" t="s">
        <v>6949</v>
      </c>
    </row>
    <row r="5233" spans="1:8">
      <c r="A5233" t="s">
        <v>6125</v>
      </c>
      <c r="B5233" t="s">
        <v>246</v>
      </c>
      <c r="C5233" s="1">
        <v>45039</v>
      </c>
      <c r="D5233" s="1" t="str">
        <f>PROPER(orders[[#This Row],[order_priority]])</f>
        <v>Express</v>
      </c>
      <c r="E5233" t="s">
        <v>13318</v>
      </c>
      <c r="F5233" t="str">
        <f>IFERROR(INDEX(customers[country], MATCH(orders[[#This Row],[customer_id]], customers[customer_id], 0)), "Unmapped")</f>
        <v>Netherlands</v>
      </c>
      <c r="G5233" t="str">
        <f>IFERROR(INDEX(Region_Map[Region], MATCH(orders[[#This Row],[Customer_Country]], Region_Map[Country], 0)), "Unknown")</f>
        <v>Central Europe</v>
      </c>
      <c r="H5233" t="s">
        <v>6949</v>
      </c>
    </row>
    <row r="5234" spans="1:8">
      <c r="A5234" t="s">
        <v>6126</v>
      </c>
      <c r="B5234" t="s">
        <v>709</v>
      </c>
      <c r="C5234" s="1">
        <v>45121</v>
      </c>
      <c r="D5234" s="1" t="str">
        <f>PROPER(orders[[#This Row],[order_priority]])</f>
        <v>Standard</v>
      </c>
      <c r="E5234" t="s">
        <v>13317</v>
      </c>
      <c r="F5234" t="str">
        <f>IFERROR(INDEX(customers[country], MATCH(orders[[#This Row],[customer_id]], customers[customer_id], 0)), "Unmapped")</f>
        <v>Netherlands</v>
      </c>
      <c r="G5234" t="str">
        <f>IFERROR(INDEX(Region_Map[Region], MATCH(orders[[#This Row],[Customer_Country]], Region_Map[Country], 0)), "Unknown")</f>
        <v>Central Europe</v>
      </c>
      <c r="H5234" t="s">
        <v>6949</v>
      </c>
    </row>
    <row r="5235" spans="1:8">
      <c r="A5235" t="s">
        <v>6127</v>
      </c>
      <c r="B5235" t="s">
        <v>6</v>
      </c>
      <c r="C5235" s="1">
        <v>45119</v>
      </c>
      <c r="D5235" s="1" t="str">
        <f>PROPER(orders[[#This Row],[order_priority]])</f>
        <v>Standard</v>
      </c>
      <c r="E5235" t="s">
        <v>13317</v>
      </c>
      <c r="F5235" t="str">
        <f>IFERROR(INDEX(customers[country], MATCH(orders[[#This Row],[customer_id]], customers[customer_id], 0)), "Unmapped")</f>
        <v>Latvia</v>
      </c>
      <c r="G5235" t="str">
        <f>IFERROR(INDEX(Region_Map[Region], MATCH(orders[[#This Row],[Customer_Country]], Region_Map[Country], 0)), "Unknown")</f>
        <v>Baltics</v>
      </c>
      <c r="H5235" t="s">
        <v>6949</v>
      </c>
    </row>
    <row r="5236" spans="1:8">
      <c r="A5236" t="s">
        <v>6128</v>
      </c>
      <c r="B5236" t="s">
        <v>270</v>
      </c>
      <c r="C5236" s="1">
        <v>45183</v>
      </c>
      <c r="D5236" s="1" t="str">
        <f>PROPER(orders[[#This Row],[order_priority]])</f>
        <v>Standard</v>
      </c>
      <c r="E5236" t="s">
        <v>13317</v>
      </c>
      <c r="F5236" t="str">
        <f>IFERROR(INDEX(customers[country], MATCH(orders[[#This Row],[customer_id]], customers[customer_id], 0)), "Unmapped")</f>
        <v>Poland</v>
      </c>
      <c r="G5236" t="str">
        <f>IFERROR(INDEX(Region_Map[Region], MATCH(orders[[#This Row],[Customer_Country]], Region_Map[Country], 0)), "Unknown")</f>
        <v>Central Europe</v>
      </c>
      <c r="H5236" t="s">
        <v>6949</v>
      </c>
    </row>
    <row r="5237" spans="1:8">
      <c r="A5237" t="s">
        <v>6129</v>
      </c>
      <c r="B5237" t="s">
        <v>67</v>
      </c>
      <c r="C5237" s="1">
        <v>45092</v>
      </c>
      <c r="D5237" s="1" t="str">
        <f>PROPER(orders[[#This Row],[order_priority]])</f>
        <v>Standard</v>
      </c>
      <c r="E5237" t="s">
        <v>13317</v>
      </c>
      <c r="F5237" t="str">
        <f>IFERROR(INDEX(customers[country], MATCH(orders[[#This Row],[customer_id]], customers[customer_id], 0)), "Unmapped")</f>
        <v>Estonia</v>
      </c>
      <c r="G5237" t="str">
        <f>IFERROR(INDEX(Region_Map[Region], MATCH(orders[[#This Row],[Customer_Country]], Region_Map[Country], 0)), "Unknown")</f>
        <v>Baltics</v>
      </c>
      <c r="H5237" t="s">
        <v>6949</v>
      </c>
    </row>
    <row r="5238" spans="1:8">
      <c r="A5238" t="s">
        <v>6130</v>
      </c>
      <c r="B5238" t="s">
        <v>169</v>
      </c>
      <c r="C5238" s="1">
        <v>45418</v>
      </c>
      <c r="D5238" s="1" t="str">
        <f>PROPER(orders[[#This Row],[order_priority]])</f>
        <v>Standard</v>
      </c>
      <c r="E5238" t="s">
        <v>13317</v>
      </c>
      <c r="F5238" t="str">
        <f>IFERROR(INDEX(customers[country], MATCH(orders[[#This Row],[customer_id]], customers[customer_id], 0)), "Unmapped")</f>
        <v>Norway</v>
      </c>
      <c r="G5238" t="str">
        <f>IFERROR(INDEX(Region_Map[Region], MATCH(orders[[#This Row],[Customer_Country]], Region_Map[Country], 0)), "Unknown")</f>
        <v>Nordics</v>
      </c>
      <c r="H5238" t="s">
        <v>6949</v>
      </c>
    </row>
    <row r="5239" spans="1:8">
      <c r="A5239" t="s">
        <v>6131</v>
      </c>
      <c r="B5239" t="s">
        <v>743</v>
      </c>
      <c r="C5239" s="1">
        <v>45127</v>
      </c>
      <c r="D5239" s="1" t="str">
        <f>PROPER(orders[[#This Row],[order_priority]])</f>
        <v>Express</v>
      </c>
      <c r="E5239" t="s">
        <v>13318</v>
      </c>
      <c r="F5239" t="str">
        <f>IFERROR(INDEX(customers[country], MATCH(orders[[#This Row],[customer_id]], customers[customer_id], 0)), "Unmapped")</f>
        <v>Germany</v>
      </c>
      <c r="G5239" t="str">
        <f>IFERROR(INDEX(Region_Map[Region], MATCH(orders[[#This Row],[Customer_Country]], Region_Map[Country], 0)), "Unknown")</f>
        <v>Central Europe</v>
      </c>
      <c r="H5239" t="s">
        <v>6949</v>
      </c>
    </row>
    <row r="5240" spans="1:8">
      <c r="A5240" t="s">
        <v>6132</v>
      </c>
      <c r="B5240" t="s">
        <v>676</v>
      </c>
      <c r="C5240" s="1">
        <v>45316</v>
      </c>
      <c r="D5240" s="1" t="str">
        <f>PROPER(orders[[#This Row],[order_priority]])</f>
        <v>Same Day</v>
      </c>
      <c r="E5240" t="s">
        <v>13322</v>
      </c>
      <c r="F5240" t="str">
        <f>IFERROR(INDEX(customers[country], MATCH(orders[[#This Row],[customer_id]], customers[customer_id], 0)), "Unmapped")</f>
        <v>Latvia</v>
      </c>
      <c r="G5240" t="str">
        <f>IFERROR(INDEX(Region_Map[Region], MATCH(orders[[#This Row],[Customer_Country]], Region_Map[Country], 0)), "Unknown")</f>
        <v>Baltics</v>
      </c>
      <c r="H5240" t="s">
        <v>6949</v>
      </c>
    </row>
    <row r="5241" spans="1:8">
      <c r="A5241" t="s">
        <v>6133</v>
      </c>
      <c r="B5241" t="s">
        <v>30</v>
      </c>
      <c r="C5241" s="1">
        <v>44997</v>
      </c>
      <c r="D5241" s="1" t="str">
        <f>PROPER(orders[[#This Row],[order_priority]])</f>
        <v>Same Day</v>
      </c>
      <c r="E5241" t="s">
        <v>13322</v>
      </c>
      <c r="F5241" t="str">
        <f>IFERROR(INDEX(customers[country], MATCH(orders[[#This Row],[customer_id]], customers[customer_id], 0)), "Unmapped")</f>
        <v>Netherlands</v>
      </c>
      <c r="G5241" t="str">
        <f>IFERROR(INDEX(Region_Map[Region], MATCH(orders[[#This Row],[Customer_Country]], Region_Map[Country], 0)), "Unknown")</f>
        <v>Central Europe</v>
      </c>
      <c r="H5241" t="s">
        <v>6949</v>
      </c>
    </row>
    <row r="5242" spans="1:8">
      <c r="A5242" t="s">
        <v>6134</v>
      </c>
      <c r="B5242" t="s">
        <v>763</v>
      </c>
      <c r="C5242" s="1">
        <v>45300</v>
      </c>
      <c r="D5242" s="1" t="str">
        <f>PROPER(orders[[#This Row],[order_priority]])</f>
        <v>Economy</v>
      </c>
      <c r="E5242" t="s">
        <v>13316</v>
      </c>
      <c r="F5242" t="str">
        <f>IFERROR(INDEX(customers[country], MATCH(orders[[#This Row],[customer_id]], customers[customer_id], 0)), "Unmapped")</f>
        <v>Estonia</v>
      </c>
      <c r="G5242" t="str">
        <f>IFERROR(INDEX(Region_Map[Region], MATCH(orders[[#This Row],[Customer_Country]], Region_Map[Country], 0)), "Unknown")</f>
        <v>Baltics</v>
      </c>
      <c r="H5242" t="s">
        <v>6949</v>
      </c>
    </row>
    <row r="5243" spans="1:8">
      <c r="A5243" t="s">
        <v>6135</v>
      </c>
      <c r="B5243" t="s">
        <v>398</v>
      </c>
      <c r="C5243" s="1">
        <v>45534</v>
      </c>
      <c r="D5243" s="1" t="str">
        <f>PROPER(orders[[#This Row],[order_priority]])</f>
        <v>Same Day</v>
      </c>
      <c r="E5243" t="s">
        <v>13322</v>
      </c>
      <c r="F5243" t="str">
        <f>IFERROR(INDEX(customers[country], MATCH(orders[[#This Row],[customer_id]], customers[customer_id], 0)), "Unmapped")</f>
        <v>Sweden</v>
      </c>
      <c r="G5243" t="str">
        <f>IFERROR(INDEX(Region_Map[Region], MATCH(orders[[#This Row],[Customer_Country]], Region_Map[Country], 0)), "Unknown")</f>
        <v>Nordics</v>
      </c>
      <c r="H5243" t="s">
        <v>6949</v>
      </c>
    </row>
    <row r="5244" spans="1:8">
      <c r="A5244" t="s">
        <v>6136</v>
      </c>
      <c r="B5244" t="s">
        <v>551</v>
      </c>
      <c r="C5244" s="1">
        <v>45429</v>
      </c>
      <c r="D5244" s="1" t="str">
        <f>PROPER(orders[[#This Row],[order_priority]])</f>
        <v>Express</v>
      </c>
      <c r="E5244" t="s">
        <v>13318</v>
      </c>
      <c r="F5244" t="str">
        <f>IFERROR(INDEX(customers[country], MATCH(orders[[#This Row],[customer_id]], customers[customer_id], 0)), "Unmapped")</f>
        <v>Latvia</v>
      </c>
      <c r="G5244" t="str">
        <f>IFERROR(INDEX(Region_Map[Region], MATCH(orders[[#This Row],[Customer_Country]], Region_Map[Country], 0)), "Unknown")</f>
        <v>Baltics</v>
      </c>
      <c r="H5244" t="s">
        <v>6949</v>
      </c>
    </row>
    <row r="5245" spans="1:8">
      <c r="A5245" t="s">
        <v>6137</v>
      </c>
      <c r="B5245" t="s">
        <v>297</v>
      </c>
      <c r="C5245" s="1">
        <v>45581</v>
      </c>
      <c r="D5245" s="1" t="str">
        <f>PROPER(orders[[#This Row],[order_priority]])</f>
        <v>Standard</v>
      </c>
      <c r="E5245" t="s">
        <v>13317</v>
      </c>
      <c r="F5245" t="str">
        <f>IFERROR(INDEX(customers[country], MATCH(orders[[#This Row],[customer_id]], customers[customer_id], 0)), "Unmapped")</f>
        <v>Poland</v>
      </c>
      <c r="G5245" t="str">
        <f>IFERROR(INDEX(Region_Map[Region], MATCH(orders[[#This Row],[Customer_Country]], Region_Map[Country], 0)), "Unknown")</f>
        <v>Central Europe</v>
      </c>
      <c r="H5245" t="s">
        <v>6949</v>
      </c>
    </row>
    <row r="5246" spans="1:8">
      <c r="A5246" t="s">
        <v>6138</v>
      </c>
      <c r="B5246" t="s">
        <v>903</v>
      </c>
      <c r="C5246" s="1">
        <v>45597</v>
      </c>
      <c r="D5246" s="1" t="str">
        <f>PROPER(orders[[#This Row],[order_priority]])</f>
        <v>Same Day</v>
      </c>
      <c r="E5246" t="s">
        <v>13322</v>
      </c>
      <c r="F5246" t="str">
        <f>IFERROR(INDEX(customers[country], MATCH(orders[[#This Row],[customer_id]], customers[customer_id], 0)), "Unmapped")</f>
        <v>Norway</v>
      </c>
      <c r="G5246" t="str">
        <f>IFERROR(INDEX(Region_Map[Region], MATCH(orders[[#This Row],[Customer_Country]], Region_Map[Country], 0)), "Unknown")</f>
        <v>Nordics</v>
      </c>
      <c r="H5246" t="s">
        <v>6949</v>
      </c>
    </row>
    <row r="5247" spans="1:8">
      <c r="A5247" t="s">
        <v>6139</v>
      </c>
      <c r="B5247" t="s">
        <v>106</v>
      </c>
      <c r="C5247" s="1">
        <v>45497</v>
      </c>
      <c r="D5247" s="1" t="str">
        <f>PROPER(orders[[#This Row],[order_priority]])</f>
        <v>Same Day</v>
      </c>
      <c r="E5247" t="s">
        <v>13322</v>
      </c>
      <c r="F5247" t="str">
        <f>IFERROR(INDEX(customers[country], MATCH(orders[[#This Row],[customer_id]], customers[customer_id], 0)), "Unmapped")</f>
        <v>Lithuania</v>
      </c>
      <c r="G5247" t="str">
        <f>IFERROR(INDEX(Region_Map[Region], MATCH(orders[[#This Row],[Customer_Country]], Region_Map[Country], 0)), "Unknown")</f>
        <v>Baltics</v>
      </c>
      <c r="H5247" t="s">
        <v>6949</v>
      </c>
    </row>
    <row r="5248" spans="1:8">
      <c r="A5248" t="s">
        <v>6140</v>
      </c>
      <c r="B5248" t="s">
        <v>673</v>
      </c>
      <c r="C5248" s="1">
        <v>45187</v>
      </c>
      <c r="D5248" s="1" t="str">
        <f>PROPER(orders[[#This Row],[order_priority]])</f>
        <v>Express</v>
      </c>
      <c r="E5248" t="s">
        <v>13320</v>
      </c>
      <c r="F5248" t="str">
        <f>IFERROR(INDEX(customers[country], MATCH(orders[[#This Row],[customer_id]], customers[customer_id], 0)), "Unmapped")</f>
        <v>Sweden</v>
      </c>
      <c r="G5248" t="str">
        <f>IFERROR(INDEX(Region_Map[Region], MATCH(orders[[#This Row],[Customer_Country]], Region_Map[Country], 0)), "Unknown")</f>
        <v>Nordics</v>
      </c>
      <c r="H5248" t="s">
        <v>6949</v>
      </c>
    </row>
    <row r="5249" spans="1:8">
      <c r="A5249" t="s">
        <v>6141</v>
      </c>
      <c r="B5249" t="s">
        <v>766</v>
      </c>
      <c r="C5249" s="1">
        <v>45059</v>
      </c>
      <c r="D5249" s="1" t="str">
        <f>PROPER(orders[[#This Row],[order_priority]])</f>
        <v>Standard</v>
      </c>
      <c r="E5249" t="s">
        <v>13317</v>
      </c>
      <c r="F5249" t="str">
        <f>IFERROR(INDEX(customers[country], MATCH(orders[[#This Row],[customer_id]], customers[customer_id], 0)), "Unmapped")</f>
        <v>Germany</v>
      </c>
      <c r="G5249" t="str">
        <f>IFERROR(INDEX(Region_Map[Region], MATCH(orders[[#This Row],[Customer_Country]], Region_Map[Country], 0)), "Unknown")</f>
        <v>Central Europe</v>
      </c>
      <c r="H5249" t="s">
        <v>6949</v>
      </c>
    </row>
    <row r="5250" spans="1:8">
      <c r="A5250" t="s">
        <v>6142</v>
      </c>
      <c r="B5250" t="s">
        <v>398</v>
      </c>
      <c r="C5250" s="1">
        <v>45181</v>
      </c>
      <c r="D5250" s="1" t="str">
        <f>PROPER(orders[[#This Row],[order_priority]])</f>
        <v>Standard</v>
      </c>
      <c r="E5250" t="s">
        <v>13317</v>
      </c>
      <c r="F5250" t="str">
        <f>IFERROR(INDEX(customers[country], MATCH(orders[[#This Row],[customer_id]], customers[customer_id], 0)), "Unmapped")</f>
        <v>Sweden</v>
      </c>
      <c r="G5250" t="str">
        <f>IFERROR(INDEX(Region_Map[Region], MATCH(orders[[#This Row],[Customer_Country]], Region_Map[Country], 0)), "Unknown")</f>
        <v>Nordics</v>
      </c>
      <c r="H5250" t="s">
        <v>6949</v>
      </c>
    </row>
    <row r="5251" spans="1:8">
      <c r="A5251" t="s">
        <v>6143</v>
      </c>
      <c r="B5251" t="s">
        <v>840</v>
      </c>
      <c r="C5251" s="1">
        <v>45366</v>
      </c>
      <c r="D5251" s="1" t="str">
        <f>PROPER(orders[[#This Row],[order_priority]])</f>
        <v>Same Day</v>
      </c>
      <c r="E5251" t="s">
        <v>13322</v>
      </c>
      <c r="F5251" t="str">
        <f>IFERROR(INDEX(customers[country], MATCH(orders[[#This Row],[customer_id]], customers[customer_id], 0)), "Unmapped")</f>
        <v>Finland</v>
      </c>
      <c r="G5251" t="str">
        <f>IFERROR(INDEX(Region_Map[Region], MATCH(orders[[#This Row],[Customer_Country]], Region_Map[Country], 0)), "Unknown")</f>
        <v>Nordics</v>
      </c>
      <c r="H5251" t="s">
        <v>6949</v>
      </c>
    </row>
    <row r="5252" spans="1:8">
      <c r="A5252" t="s">
        <v>6144</v>
      </c>
      <c r="B5252" t="s">
        <v>608</v>
      </c>
      <c r="C5252" s="1">
        <v>45351</v>
      </c>
      <c r="D5252" s="1" t="str">
        <f>PROPER(orders[[#This Row],[order_priority]])</f>
        <v>Standard</v>
      </c>
      <c r="E5252" t="s">
        <v>13317</v>
      </c>
      <c r="F5252" t="str">
        <f>IFERROR(INDEX(customers[country], MATCH(orders[[#This Row],[customer_id]], customers[customer_id], 0)), "Unmapped")</f>
        <v>Finland</v>
      </c>
      <c r="G5252" t="str">
        <f>IFERROR(INDEX(Region_Map[Region], MATCH(orders[[#This Row],[Customer_Country]], Region_Map[Country], 0)), "Unknown")</f>
        <v>Nordics</v>
      </c>
      <c r="H5252" t="s">
        <v>6949</v>
      </c>
    </row>
    <row r="5253" spans="1:8">
      <c r="A5253" t="s">
        <v>6145</v>
      </c>
      <c r="B5253" t="s">
        <v>410</v>
      </c>
      <c r="C5253" s="1">
        <v>45111</v>
      </c>
      <c r="D5253" s="1" t="str">
        <f>PROPER(orders[[#This Row],[order_priority]])</f>
        <v>Express</v>
      </c>
      <c r="E5253" t="s">
        <v>13318</v>
      </c>
      <c r="F5253" t="str">
        <f>IFERROR(INDEX(customers[country], MATCH(orders[[#This Row],[customer_id]], customers[customer_id], 0)), "Unmapped")</f>
        <v>Norway</v>
      </c>
      <c r="G5253" t="str">
        <f>IFERROR(INDEX(Region_Map[Region], MATCH(orders[[#This Row],[Customer_Country]], Region_Map[Country], 0)), "Unknown")</f>
        <v>Nordics</v>
      </c>
      <c r="H5253" t="s">
        <v>6949</v>
      </c>
    </row>
    <row r="5254" spans="1:8">
      <c r="A5254" t="s">
        <v>6146</v>
      </c>
      <c r="B5254" t="s">
        <v>796</v>
      </c>
      <c r="C5254" s="1">
        <v>44972</v>
      </c>
      <c r="D5254" s="1" t="str">
        <f>PROPER(orders[[#This Row],[order_priority]])</f>
        <v>Same Day</v>
      </c>
      <c r="E5254" t="s">
        <v>13322</v>
      </c>
      <c r="F5254" t="str">
        <f>IFERROR(INDEX(customers[country], MATCH(orders[[#This Row],[customer_id]], customers[customer_id], 0)), "Unmapped")</f>
        <v>Sweden</v>
      </c>
      <c r="G5254" t="str">
        <f>IFERROR(INDEX(Region_Map[Region], MATCH(orders[[#This Row],[Customer_Country]], Region_Map[Country], 0)), "Unknown")</f>
        <v>Nordics</v>
      </c>
      <c r="H5254" t="s">
        <v>6949</v>
      </c>
    </row>
    <row r="5255" spans="1:8">
      <c r="A5255" t="s">
        <v>6147</v>
      </c>
      <c r="B5255" t="s">
        <v>210</v>
      </c>
      <c r="C5255" s="1">
        <v>45457</v>
      </c>
      <c r="D5255" s="1" t="str">
        <f>PROPER(orders[[#This Row],[order_priority]])</f>
        <v>Same Day</v>
      </c>
      <c r="E5255" t="s">
        <v>13322</v>
      </c>
      <c r="F5255" t="str">
        <f>IFERROR(INDEX(customers[country], MATCH(orders[[#This Row],[customer_id]], customers[customer_id], 0)), "Unmapped")</f>
        <v>Finland</v>
      </c>
      <c r="G5255" t="str">
        <f>IFERROR(INDEX(Region_Map[Region], MATCH(orders[[#This Row],[Customer_Country]], Region_Map[Country], 0)), "Unknown")</f>
        <v>Nordics</v>
      </c>
      <c r="H5255" t="s">
        <v>6949</v>
      </c>
    </row>
    <row r="5256" spans="1:8">
      <c r="A5256" t="s">
        <v>6148</v>
      </c>
      <c r="B5256" t="s">
        <v>148</v>
      </c>
      <c r="C5256" s="1">
        <v>45187</v>
      </c>
      <c r="D5256" s="1" t="str">
        <f>PROPER(orders[[#This Row],[order_priority]])</f>
        <v>Economy</v>
      </c>
      <c r="E5256" t="s">
        <v>13316</v>
      </c>
      <c r="F5256" t="str">
        <f>IFERROR(INDEX(customers[country], MATCH(orders[[#This Row],[customer_id]], customers[customer_id], 0)), "Unmapped")</f>
        <v>Poland</v>
      </c>
      <c r="G5256" t="str">
        <f>IFERROR(INDEX(Region_Map[Region], MATCH(orders[[#This Row],[Customer_Country]], Region_Map[Country], 0)), "Unknown")</f>
        <v>Central Europe</v>
      </c>
      <c r="H5256" t="s">
        <v>6949</v>
      </c>
    </row>
    <row r="5257" spans="1:8">
      <c r="A5257" t="s">
        <v>6149</v>
      </c>
      <c r="B5257" t="s">
        <v>228</v>
      </c>
      <c r="C5257" s="1">
        <v>45380</v>
      </c>
      <c r="D5257" s="1" t="str">
        <f>PROPER(orders[[#This Row],[order_priority]])</f>
        <v>Express</v>
      </c>
      <c r="E5257" t="s">
        <v>13318</v>
      </c>
      <c r="F5257" t="str">
        <f>IFERROR(INDEX(customers[country], MATCH(orders[[#This Row],[customer_id]], customers[customer_id], 0)), "Unmapped")</f>
        <v>Latvia</v>
      </c>
      <c r="G5257" t="str">
        <f>IFERROR(INDEX(Region_Map[Region], MATCH(orders[[#This Row],[Customer_Country]], Region_Map[Country], 0)), "Unknown")</f>
        <v>Baltics</v>
      </c>
      <c r="H5257" t="s">
        <v>6949</v>
      </c>
    </row>
    <row r="5258" spans="1:8">
      <c r="A5258" t="s">
        <v>6150</v>
      </c>
      <c r="B5258" t="s">
        <v>623</v>
      </c>
      <c r="C5258" s="1">
        <v>45071</v>
      </c>
      <c r="D5258" s="1" t="str">
        <f>PROPER(orders[[#This Row],[order_priority]])</f>
        <v>Same Day</v>
      </c>
      <c r="E5258" t="s">
        <v>13322</v>
      </c>
      <c r="F5258" t="str">
        <f>IFERROR(INDEX(customers[country], MATCH(orders[[#This Row],[customer_id]], customers[customer_id], 0)), "Unmapped")</f>
        <v>Denmark</v>
      </c>
      <c r="G5258" t="str">
        <f>IFERROR(INDEX(Region_Map[Region], MATCH(orders[[#This Row],[Customer_Country]], Region_Map[Country], 0)), "Unknown")</f>
        <v>Nordics</v>
      </c>
      <c r="H5258" t="s">
        <v>6949</v>
      </c>
    </row>
    <row r="5259" spans="1:8">
      <c r="A5259" t="s">
        <v>6151</v>
      </c>
      <c r="B5259" t="s">
        <v>670</v>
      </c>
      <c r="C5259" s="1">
        <v>45441</v>
      </c>
      <c r="D5259" s="1" t="str">
        <f>PROPER(orders[[#This Row],[order_priority]])</f>
        <v>Economy</v>
      </c>
      <c r="E5259" t="s">
        <v>13316</v>
      </c>
      <c r="F5259" t="str">
        <f>IFERROR(INDEX(customers[country], MATCH(orders[[#This Row],[customer_id]], customers[customer_id], 0)), "Unmapped")</f>
        <v>Netherlands</v>
      </c>
      <c r="G5259" t="str">
        <f>IFERROR(INDEX(Region_Map[Region], MATCH(orders[[#This Row],[Customer_Country]], Region_Map[Country], 0)), "Unknown")</f>
        <v>Central Europe</v>
      </c>
      <c r="H5259" t="s">
        <v>6949</v>
      </c>
    </row>
    <row r="5260" spans="1:8">
      <c r="A5260" t="s">
        <v>6152</v>
      </c>
      <c r="B5260" t="s">
        <v>799</v>
      </c>
      <c r="C5260" s="1">
        <v>45486</v>
      </c>
      <c r="D5260" s="1" t="str">
        <f>PROPER(orders[[#This Row],[order_priority]])</f>
        <v>Same Day</v>
      </c>
      <c r="E5260" t="s">
        <v>13322</v>
      </c>
      <c r="F5260" t="str">
        <f>IFERROR(INDEX(customers[country], MATCH(orders[[#This Row],[customer_id]], customers[customer_id], 0)), "Unmapped")</f>
        <v>Germany</v>
      </c>
      <c r="G5260" t="str">
        <f>IFERROR(INDEX(Region_Map[Region], MATCH(orders[[#This Row],[Customer_Country]], Region_Map[Country], 0)), "Unknown")</f>
        <v>Central Europe</v>
      </c>
      <c r="H5260" t="s">
        <v>6949</v>
      </c>
    </row>
    <row r="5261" spans="1:8">
      <c r="A5261" t="s">
        <v>6153</v>
      </c>
      <c r="B5261" t="s">
        <v>323</v>
      </c>
      <c r="C5261" s="1">
        <v>45183</v>
      </c>
      <c r="D5261" s="1" t="str">
        <f>PROPER(orders[[#This Row],[order_priority]])</f>
        <v>Standard</v>
      </c>
      <c r="E5261" t="s">
        <v>13317</v>
      </c>
      <c r="F5261" t="str">
        <f>IFERROR(INDEX(customers[country], MATCH(orders[[#This Row],[customer_id]], customers[customer_id], 0)), "Unmapped")</f>
        <v>Estonia</v>
      </c>
      <c r="G5261" t="str">
        <f>IFERROR(INDEX(Region_Map[Region], MATCH(orders[[#This Row],[Customer_Country]], Region_Map[Country], 0)), "Unknown")</f>
        <v>Baltics</v>
      </c>
      <c r="H5261" t="s">
        <v>6949</v>
      </c>
    </row>
    <row r="5262" spans="1:8">
      <c r="A5262" t="s">
        <v>6154</v>
      </c>
      <c r="B5262" t="s">
        <v>733</v>
      </c>
      <c r="C5262" s="1">
        <v>45081</v>
      </c>
      <c r="D5262" s="1" t="str">
        <f>PROPER(orders[[#This Row],[order_priority]])</f>
        <v>Same Day</v>
      </c>
      <c r="E5262" t="s">
        <v>13322</v>
      </c>
      <c r="F5262" t="str">
        <f>IFERROR(INDEX(customers[country], MATCH(orders[[#This Row],[customer_id]], customers[customer_id], 0)), "Unmapped")</f>
        <v>Lithuania</v>
      </c>
      <c r="G5262" t="str">
        <f>IFERROR(INDEX(Region_Map[Region], MATCH(orders[[#This Row],[Customer_Country]], Region_Map[Country], 0)), "Unknown")</f>
        <v>Baltics</v>
      </c>
      <c r="H5262" t="s">
        <v>6949</v>
      </c>
    </row>
    <row r="5263" spans="1:8">
      <c r="A5263" t="s">
        <v>6155</v>
      </c>
      <c r="B5263" t="s">
        <v>51</v>
      </c>
      <c r="C5263" s="1">
        <v>45396</v>
      </c>
      <c r="D5263" s="1" t="str">
        <f>PROPER(orders[[#This Row],[order_priority]])</f>
        <v>Economy</v>
      </c>
      <c r="E5263" t="s">
        <v>13316</v>
      </c>
      <c r="F5263" t="str">
        <f>IFERROR(INDEX(customers[country], MATCH(orders[[#This Row],[customer_id]], customers[customer_id], 0)), "Unmapped")</f>
        <v>Germany</v>
      </c>
      <c r="G5263" t="str">
        <f>IFERROR(INDEX(Region_Map[Region], MATCH(orders[[#This Row],[Customer_Country]], Region_Map[Country], 0)), "Unknown")</f>
        <v>Central Europe</v>
      </c>
      <c r="H5263" t="s">
        <v>6949</v>
      </c>
    </row>
    <row r="5264" spans="1:8">
      <c r="A5264" t="s">
        <v>6156</v>
      </c>
      <c r="B5264" t="s">
        <v>380</v>
      </c>
      <c r="C5264" s="1">
        <v>45570</v>
      </c>
      <c r="D5264" s="1" t="str">
        <f>PROPER(orders[[#This Row],[order_priority]])</f>
        <v>Standard</v>
      </c>
      <c r="E5264" t="s">
        <v>13317</v>
      </c>
      <c r="F5264" t="str">
        <f>IFERROR(INDEX(customers[country], MATCH(orders[[#This Row],[customer_id]], customers[customer_id], 0)), "Unmapped")</f>
        <v>Sweden</v>
      </c>
      <c r="G5264" t="str">
        <f>IFERROR(INDEX(Region_Map[Region], MATCH(orders[[#This Row],[Customer_Country]], Region_Map[Country], 0)), "Unknown")</f>
        <v>Nordics</v>
      </c>
      <c r="H5264" t="s">
        <v>6949</v>
      </c>
    </row>
    <row r="5265" spans="1:8">
      <c r="A5265" t="s">
        <v>6157</v>
      </c>
      <c r="B5265" t="s">
        <v>700</v>
      </c>
      <c r="C5265" s="1">
        <v>45361</v>
      </c>
      <c r="D5265" s="1" t="str">
        <f>PROPER(orders[[#This Row],[order_priority]])</f>
        <v>Economy</v>
      </c>
      <c r="E5265" t="s">
        <v>13316</v>
      </c>
      <c r="F5265" t="str">
        <f>IFERROR(INDEX(customers[country], MATCH(orders[[#This Row],[customer_id]], customers[customer_id], 0)), "Unmapped")</f>
        <v>Germany</v>
      </c>
      <c r="G5265" t="str">
        <f>IFERROR(INDEX(Region_Map[Region], MATCH(orders[[#This Row],[Customer_Country]], Region_Map[Country], 0)), "Unknown")</f>
        <v>Central Europe</v>
      </c>
      <c r="H5265" t="s">
        <v>6949</v>
      </c>
    </row>
    <row r="5266" spans="1:8">
      <c r="A5266" t="s">
        <v>6158</v>
      </c>
      <c r="B5266" t="s">
        <v>231</v>
      </c>
      <c r="C5266" s="1">
        <v>45020</v>
      </c>
      <c r="D5266" s="1" t="str">
        <f>PROPER(orders[[#This Row],[order_priority]])</f>
        <v>Same Day</v>
      </c>
      <c r="E5266" t="s">
        <v>13322</v>
      </c>
      <c r="F5266" t="str">
        <f>IFERROR(INDEX(customers[country], MATCH(orders[[#This Row],[customer_id]], customers[customer_id], 0)), "Unmapped")</f>
        <v>Lithuania</v>
      </c>
      <c r="G5266" t="str">
        <f>IFERROR(INDEX(Region_Map[Region], MATCH(orders[[#This Row],[Customer_Country]], Region_Map[Country], 0)), "Unknown")</f>
        <v>Baltics</v>
      </c>
      <c r="H5266" t="s">
        <v>6949</v>
      </c>
    </row>
    <row r="5267" spans="1:8">
      <c r="A5267" t="s">
        <v>6159</v>
      </c>
      <c r="B5267" t="s">
        <v>464</v>
      </c>
      <c r="C5267" s="1">
        <v>45522</v>
      </c>
      <c r="D5267" s="1" t="str">
        <f>PROPER(orders[[#This Row],[order_priority]])</f>
        <v>Same Day</v>
      </c>
      <c r="E5267" t="s">
        <v>13322</v>
      </c>
      <c r="F5267" t="str">
        <f>IFERROR(INDEX(customers[country], MATCH(orders[[#This Row],[customer_id]], customers[customer_id], 0)), "Unmapped")</f>
        <v>Finland</v>
      </c>
      <c r="G5267" t="str">
        <f>IFERROR(INDEX(Region_Map[Region], MATCH(orders[[#This Row],[Customer_Country]], Region_Map[Country], 0)), "Unknown")</f>
        <v>Nordics</v>
      </c>
      <c r="H5267" t="s">
        <v>6949</v>
      </c>
    </row>
    <row r="5268" spans="1:8">
      <c r="A5268" t="s">
        <v>6160</v>
      </c>
      <c r="B5268" t="s">
        <v>712</v>
      </c>
      <c r="C5268" s="1">
        <v>45373</v>
      </c>
      <c r="D5268" s="1" t="str">
        <f>PROPER(orders[[#This Row],[order_priority]])</f>
        <v>Express</v>
      </c>
      <c r="E5268" t="s">
        <v>13318</v>
      </c>
      <c r="F5268" t="str">
        <f>IFERROR(INDEX(customers[country], MATCH(orders[[#This Row],[customer_id]], customers[customer_id], 0)), "Unmapped")</f>
        <v>Finland</v>
      </c>
      <c r="G5268" t="str">
        <f>IFERROR(INDEX(Region_Map[Region], MATCH(orders[[#This Row],[Customer_Country]], Region_Map[Country], 0)), "Unknown")</f>
        <v>Nordics</v>
      </c>
      <c r="H5268" t="s">
        <v>6949</v>
      </c>
    </row>
    <row r="5269" spans="1:8">
      <c r="A5269" t="s">
        <v>6161</v>
      </c>
      <c r="B5269" t="s">
        <v>909</v>
      </c>
      <c r="C5269" s="1">
        <v>45177</v>
      </c>
      <c r="D5269" s="1" t="str">
        <f>PROPER(orders[[#This Row],[order_priority]])</f>
        <v>Express</v>
      </c>
      <c r="E5269" t="s">
        <v>13318</v>
      </c>
      <c r="F5269" t="str">
        <f>IFERROR(INDEX(customers[country], MATCH(orders[[#This Row],[customer_id]], customers[customer_id], 0)), "Unmapped")</f>
        <v>Poland</v>
      </c>
      <c r="G5269" t="str">
        <f>IFERROR(INDEX(Region_Map[Region], MATCH(orders[[#This Row],[Customer_Country]], Region_Map[Country], 0)), "Unknown")</f>
        <v>Central Europe</v>
      </c>
      <c r="H5269" t="s">
        <v>6949</v>
      </c>
    </row>
    <row r="5270" spans="1:8">
      <c r="A5270" t="s">
        <v>6162</v>
      </c>
      <c r="B5270" t="s">
        <v>644</v>
      </c>
      <c r="C5270" s="1">
        <v>45218</v>
      </c>
      <c r="D5270" s="1" t="str">
        <f>PROPER(orders[[#This Row],[order_priority]])</f>
        <v>Economy</v>
      </c>
      <c r="E5270" t="s">
        <v>13328</v>
      </c>
      <c r="F5270" t="str">
        <f>IFERROR(INDEX(customers[country], MATCH(orders[[#This Row],[customer_id]], customers[customer_id], 0)), "Unmapped")</f>
        <v>Germany</v>
      </c>
      <c r="G5270" t="str">
        <f>IFERROR(INDEX(Region_Map[Region], MATCH(orders[[#This Row],[Customer_Country]], Region_Map[Country], 0)), "Unknown")</f>
        <v>Central Europe</v>
      </c>
      <c r="H5270" t="s">
        <v>6949</v>
      </c>
    </row>
    <row r="5271" spans="1:8">
      <c r="A5271" t="s">
        <v>6163</v>
      </c>
      <c r="B5271" t="s">
        <v>867</v>
      </c>
      <c r="C5271" s="1">
        <v>45158</v>
      </c>
      <c r="D5271" s="1" t="str">
        <f>PROPER(orders[[#This Row],[order_priority]])</f>
        <v>Economy</v>
      </c>
      <c r="E5271" t="s">
        <v>13328</v>
      </c>
      <c r="F5271" t="str">
        <f>IFERROR(INDEX(customers[country], MATCH(orders[[#This Row],[customer_id]], customers[customer_id], 0)), "Unmapped")</f>
        <v>Denmark</v>
      </c>
      <c r="G5271" t="str">
        <f>IFERROR(INDEX(Region_Map[Region], MATCH(orders[[#This Row],[Customer_Country]], Region_Map[Country], 0)), "Unknown")</f>
        <v>Nordics</v>
      </c>
      <c r="H5271" t="s">
        <v>6949</v>
      </c>
    </row>
    <row r="5272" spans="1:8">
      <c r="A5272" t="s">
        <v>6164</v>
      </c>
      <c r="B5272" t="s">
        <v>730</v>
      </c>
      <c r="C5272" s="1">
        <v>45525</v>
      </c>
      <c r="D5272" s="1" t="str">
        <f>PROPER(orders[[#This Row],[order_priority]])</f>
        <v>Express</v>
      </c>
      <c r="E5272" t="s">
        <v>13320</v>
      </c>
      <c r="F5272" t="str">
        <f>IFERROR(INDEX(customers[country], MATCH(orders[[#This Row],[customer_id]], customers[customer_id], 0)), "Unmapped")</f>
        <v>Lithuania</v>
      </c>
      <c r="G5272" t="str">
        <f>IFERROR(INDEX(Region_Map[Region], MATCH(orders[[#This Row],[Customer_Country]], Region_Map[Country], 0)), "Unknown")</f>
        <v>Baltics</v>
      </c>
      <c r="H5272" t="s">
        <v>6949</v>
      </c>
    </row>
    <row r="5273" spans="1:8">
      <c r="A5273" t="s">
        <v>6165</v>
      </c>
      <c r="B5273" t="s">
        <v>314</v>
      </c>
      <c r="C5273" s="1">
        <v>45486</v>
      </c>
      <c r="D5273" s="1" t="str">
        <f>PROPER(orders[[#This Row],[order_priority]])</f>
        <v>Economy</v>
      </c>
      <c r="E5273" t="s">
        <v>13328</v>
      </c>
      <c r="F5273" t="str">
        <f>IFERROR(INDEX(customers[country], MATCH(orders[[#This Row],[customer_id]], customers[customer_id], 0)), "Unmapped")</f>
        <v>Poland</v>
      </c>
      <c r="G5273" t="str">
        <f>IFERROR(INDEX(Region_Map[Region], MATCH(orders[[#This Row],[Customer_Country]], Region_Map[Country], 0)), "Unknown")</f>
        <v>Central Europe</v>
      </c>
      <c r="H5273" t="s">
        <v>6949</v>
      </c>
    </row>
    <row r="5274" spans="1:8">
      <c r="A5274" t="s">
        <v>6166</v>
      </c>
      <c r="B5274" t="s">
        <v>679</v>
      </c>
      <c r="C5274" s="1">
        <v>45595</v>
      </c>
      <c r="D5274" s="1" t="str">
        <f>PROPER(orders[[#This Row],[order_priority]])</f>
        <v>Same Day</v>
      </c>
      <c r="E5274" t="s">
        <v>13322</v>
      </c>
      <c r="F5274" t="str">
        <f>IFERROR(INDEX(customers[country], MATCH(orders[[#This Row],[customer_id]], customers[customer_id], 0)), "Unmapped")</f>
        <v>Norway</v>
      </c>
      <c r="G5274" t="str">
        <f>IFERROR(INDEX(Region_Map[Region], MATCH(orders[[#This Row],[Customer_Country]], Region_Map[Country], 0)), "Unknown")</f>
        <v>Nordics</v>
      </c>
      <c r="H5274" t="s">
        <v>6949</v>
      </c>
    </row>
    <row r="5275" spans="1:8">
      <c r="A5275" t="s">
        <v>6167</v>
      </c>
      <c r="B5275" t="s">
        <v>781</v>
      </c>
      <c r="C5275" s="1">
        <v>45302</v>
      </c>
      <c r="D5275" s="1" t="str">
        <f>PROPER(orders[[#This Row],[order_priority]])</f>
        <v>Standard</v>
      </c>
      <c r="E5275" t="s">
        <v>13323</v>
      </c>
      <c r="F5275" t="str">
        <f>IFERROR(INDEX(customers[country], MATCH(orders[[#This Row],[customer_id]], customers[customer_id], 0)), "Unmapped")</f>
        <v>Germany</v>
      </c>
      <c r="G5275" t="str">
        <f>IFERROR(INDEX(Region_Map[Region], MATCH(orders[[#This Row],[Customer_Country]], Region_Map[Country], 0)), "Unknown")</f>
        <v>Central Europe</v>
      </c>
      <c r="H5275" t="s">
        <v>6949</v>
      </c>
    </row>
    <row r="5276" spans="1:8">
      <c r="A5276" t="s">
        <v>6168</v>
      </c>
      <c r="B5276" t="s">
        <v>882</v>
      </c>
      <c r="C5276" s="1">
        <v>45485</v>
      </c>
      <c r="D5276" s="1" t="str">
        <f>PROPER(orders[[#This Row],[order_priority]])</f>
        <v>Standard</v>
      </c>
      <c r="E5276" t="s">
        <v>13317</v>
      </c>
      <c r="F5276" t="str">
        <f>IFERROR(INDEX(customers[country], MATCH(orders[[#This Row],[customer_id]], customers[customer_id], 0)), "Unmapped")</f>
        <v>Netherlands</v>
      </c>
      <c r="G5276" t="str">
        <f>IFERROR(INDEX(Region_Map[Region], MATCH(orders[[#This Row],[Customer_Country]], Region_Map[Country], 0)), "Unknown")</f>
        <v>Central Europe</v>
      </c>
      <c r="H5276" t="s">
        <v>6949</v>
      </c>
    </row>
    <row r="5277" spans="1:8">
      <c r="A5277" t="s">
        <v>6169</v>
      </c>
      <c r="B5277" t="s">
        <v>738</v>
      </c>
      <c r="C5277" s="1">
        <v>45590</v>
      </c>
      <c r="D5277" s="1" t="str">
        <f>PROPER(orders[[#This Row],[order_priority]])</f>
        <v>Express</v>
      </c>
      <c r="E5277" t="s">
        <v>13320</v>
      </c>
      <c r="F5277" t="str">
        <f>IFERROR(INDEX(customers[country], MATCH(orders[[#This Row],[customer_id]], customers[customer_id], 0)), "Unmapped")</f>
        <v>Finland</v>
      </c>
      <c r="G5277" t="str">
        <f>IFERROR(INDEX(Region_Map[Region], MATCH(orders[[#This Row],[Customer_Country]], Region_Map[Country], 0)), "Unknown")</f>
        <v>Nordics</v>
      </c>
      <c r="H5277" t="s">
        <v>6949</v>
      </c>
    </row>
    <row r="5278" spans="1:8">
      <c r="A5278" t="s">
        <v>6170</v>
      </c>
      <c r="B5278" t="s">
        <v>485</v>
      </c>
      <c r="C5278" s="1">
        <v>44986</v>
      </c>
      <c r="D5278" s="1" t="str">
        <f>PROPER(orders[[#This Row],[order_priority]])</f>
        <v>Express</v>
      </c>
      <c r="E5278" t="s">
        <v>13318</v>
      </c>
      <c r="F5278" t="str">
        <f>IFERROR(INDEX(customers[country], MATCH(orders[[#This Row],[customer_id]], customers[customer_id], 0)), "Unmapped")</f>
        <v>Latvia</v>
      </c>
      <c r="G5278" t="str">
        <f>IFERROR(INDEX(Region_Map[Region], MATCH(orders[[#This Row],[Customer_Country]], Region_Map[Country], 0)), "Unknown")</f>
        <v>Baltics</v>
      </c>
      <c r="H5278" t="s">
        <v>6949</v>
      </c>
    </row>
    <row r="5279" spans="1:8">
      <c r="A5279" t="s">
        <v>6171</v>
      </c>
      <c r="B5279" t="s">
        <v>632</v>
      </c>
      <c r="C5279" s="1">
        <v>45395</v>
      </c>
      <c r="D5279" s="1" t="str">
        <f>PROPER(orders[[#This Row],[order_priority]])</f>
        <v>Same Day</v>
      </c>
      <c r="E5279" t="s">
        <v>13322</v>
      </c>
      <c r="F5279" t="str">
        <f>IFERROR(INDEX(customers[country], MATCH(orders[[#This Row],[customer_id]], customers[customer_id], 0)), "Unmapped")</f>
        <v>Norway</v>
      </c>
      <c r="G5279" t="str">
        <f>IFERROR(INDEX(Region_Map[Region], MATCH(orders[[#This Row],[Customer_Country]], Region_Map[Country], 0)), "Unknown")</f>
        <v>Nordics</v>
      </c>
      <c r="H5279" t="s">
        <v>6949</v>
      </c>
    </row>
    <row r="5280" spans="1:8">
      <c r="A5280" t="s">
        <v>6172</v>
      </c>
      <c r="B5280" t="s">
        <v>398</v>
      </c>
      <c r="C5280" s="1">
        <v>45248</v>
      </c>
      <c r="D5280" s="1" t="str">
        <f>PROPER(orders[[#This Row],[order_priority]])</f>
        <v>Express</v>
      </c>
      <c r="E5280" t="s">
        <v>13318</v>
      </c>
      <c r="F5280" t="str">
        <f>IFERROR(INDEX(customers[country], MATCH(orders[[#This Row],[customer_id]], customers[customer_id], 0)), "Unmapped")</f>
        <v>Sweden</v>
      </c>
      <c r="G5280" t="str">
        <f>IFERROR(INDEX(Region_Map[Region], MATCH(orders[[#This Row],[Customer_Country]], Region_Map[Country], 0)), "Unknown")</f>
        <v>Nordics</v>
      </c>
      <c r="H5280" t="s">
        <v>6949</v>
      </c>
    </row>
    <row r="5281" spans="1:8">
      <c r="A5281" t="s">
        <v>6173</v>
      </c>
      <c r="B5281" t="s">
        <v>778</v>
      </c>
      <c r="C5281" s="1">
        <v>45302</v>
      </c>
      <c r="D5281" s="1" t="str">
        <f>PROPER(orders[[#This Row],[order_priority]])</f>
        <v>Same Day</v>
      </c>
      <c r="E5281" t="s">
        <v>13322</v>
      </c>
      <c r="F5281" t="str">
        <f>IFERROR(INDEX(customers[country], MATCH(orders[[#This Row],[customer_id]], customers[customer_id], 0)), "Unmapped")</f>
        <v>Estonia</v>
      </c>
      <c r="G5281" t="str">
        <f>IFERROR(INDEX(Region_Map[Region], MATCH(orders[[#This Row],[Customer_Country]], Region_Map[Country], 0)), "Unknown")</f>
        <v>Baltics</v>
      </c>
      <c r="H5281" t="s">
        <v>6949</v>
      </c>
    </row>
    <row r="5282" spans="1:8">
      <c r="A5282" t="s">
        <v>6174</v>
      </c>
      <c r="B5282" t="s">
        <v>494</v>
      </c>
      <c r="C5282" s="1">
        <v>45301</v>
      </c>
      <c r="D5282" s="1" t="str">
        <f>PROPER(orders[[#This Row],[order_priority]])</f>
        <v>Economy</v>
      </c>
      <c r="E5282" t="s">
        <v>13325</v>
      </c>
      <c r="F5282" t="str">
        <f>IFERROR(INDEX(customers[country], MATCH(orders[[#This Row],[customer_id]], customers[customer_id], 0)), "Unmapped")</f>
        <v>Sweden</v>
      </c>
      <c r="G5282" t="str">
        <f>IFERROR(INDEX(Region_Map[Region], MATCH(orders[[#This Row],[Customer_Country]], Region_Map[Country], 0)), "Unknown")</f>
        <v>Nordics</v>
      </c>
      <c r="H5282" t="s">
        <v>6949</v>
      </c>
    </row>
    <row r="5283" spans="1:8">
      <c r="A5283" t="s">
        <v>6175</v>
      </c>
      <c r="B5283" t="s">
        <v>204</v>
      </c>
      <c r="C5283" s="1">
        <v>45572</v>
      </c>
      <c r="D5283" s="1" t="str">
        <f>PROPER(orders[[#This Row],[order_priority]])</f>
        <v>Standard</v>
      </c>
      <c r="E5283" t="s">
        <v>13317</v>
      </c>
      <c r="F5283" t="str">
        <f>IFERROR(INDEX(customers[country], MATCH(orders[[#This Row],[customer_id]], customers[customer_id], 0)), "Unmapped")</f>
        <v>Sweden</v>
      </c>
      <c r="G5283" t="str">
        <f>IFERROR(INDEX(Region_Map[Region], MATCH(orders[[#This Row],[Customer_Country]], Region_Map[Country], 0)), "Unknown")</f>
        <v>Nordics</v>
      </c>
      <c r="H5283" t="s">
        <v>6949</v>
      </c>
    </row>
    <row r="5284" spans="1:8">
      <c r="A5284" t="s">
        <v>6176</v>
      </c>
      <c r="B5284" t="s">
        <v>413</v>
      </c>
      <c r="C5284" s="1">
        <v>44950</v>
      </c>
      <c r="D5284" s="1" t="str">
        <f>PROPER(orders[[#This Row],[order_priority]])</f>
        <v>Express</v>
      </c>
      <c r="E5284" t="s">
        <v>13318</v>
      </c>
      <c r="F5284" t="str">
        <f>IFERROR(INDEX(customers[country], MATCH(orders[[#This Row],[customer_id]], customers[customer_id], 0)), "Unmapped")</f>
        <v>Poland</v>
      </c>
      <c r="G5284" t="str">
        <f>IFERROR(INDEX(Region_Map[Region], MATCH(orders[[#This Row],[Customer_Country]], Region_Map[Country], 0)), "Unknown")</f>
        <v>Central Europe</v>
      </c>
      <c r="H5284" t="s">
        <v>6949</v>
      </c>
    </row>
    <row r="5285" spans="1:8">
      <c r="A5285" t="s">
        <v>6177</v>
      </c>
      <c r="B5285" t="s">
        <v>228</v>
      </c>
      <c r="C5285" s="1">
        <v>45256</v>
      </c>
      <c r="D5285" s="1" t="str">
        <f>PROPER(orders[[#This Row],[order_priority]])</f>
        <v>Standard</v>
      </c>
      <c r="E5285" t="s">
        <v>13317</v>
      </c>
      <c r="F5285" t="str">
        <f>IFERROR(INDEX(customers[country], MATCH(orders[[#This Row],[customer_id]], customers[customer_id], 0)), "Unmapped")</f>
        <v>Latvia</v>
      </c>
      <c r="G5285" t="str">
        <f>IFERROR(INDEX(Region_Map[Region], MATCH(orders[[#This Row],[Customer_Country]], Region_Map[Country], 0)), "Unknown")</f>
        <v>Baltics</v>
      </c>
      <c r="H5285" t="s">
        <v>6949</v>
      </c>
    </row>
    <row r="5286" spans="1:8">
      <c r="A5286" t="s">
        <v>6178</v>
      </c>
      <c r="B5286" t="s">
        <v>849</v>
      </c>
      <c r="C5286" s="1">
        <v>45350</v>
      </c>
      <c r="D5286" s="1" t="str">
        <f>PROPER(orders[[#This Row],[order_priority]])</f>
        <v>Same Day</v>
      </c>
      <c r="E5286" t="s">
        <v>13322</v>
      </c>
      <c r="F5286" t="str">
        <f>IFERROR(INDEX(customers[country], MATCH(orders[[#This Row],[customer_id]], customers[customer_id], 0)), "Unmapped")</f>
        <v>Lithuania</v>
      </c>
      <c r="G5286" t="str">
        <f>IFERROR(INDEX(Region_Map[Region], MATCH(orders[[#This Row],[Customer_Country]], Region_Map[Country], 0)), "Unknown")</f>
        <v>Baltics</v>
      </c>
      <c r="H5286" t="s">
        <v>6949</v>
      </c>
    </row>
    <row r="5287" spans="1:8">
      <c r="A5287" t="s">
        <v>6179</v>
      </c>
      <c r="B5287" t="s">
        <v>395</v>
      </c>
      <c r="C5287" s="1">
        <v>45532</v>
      </c>
      <c r="D5287" s="1" t="str">
        <f>PROPER(orders[[#This Row],[order_priority]])</f>
        <v>Standard</v>
      </c>
      <c r="E5287" t="s">
        <v>13317</v>
      </c>
      <c r="F5287" t="str">
        <f>IFERROR(INDEX(customers[country], MATCH(orders[[#This Row],[customer_id]], customers[customer_id], 0)), "Unmapped")</f>
        <v>Sweden</v>
      </c>
      <c r="G5287" t="str">
        <f>IFERROR(INDEX(Region_Map[Region], MATCH(orders[[#This Row],[Customer_Country]], Region_Map[Country], 0)), "Unknown")</f>
        <v>Nordics</v>
      </c>
      <c r="H5287" t="s">
        <v>6949</v>
      </c>
    </row>
    <row r="5288" spans="1:8">
      <c r="A5288" t="s">
        <v>6180</v>
      </c>
      <c r="B5288" t="s">
        <v>440</v>
      </c>
      <c r="C5288" s="1">
        <v>45285</v>
      </c>
      <c r="D5288" s="1" t="str">
        <f>PROPER(orders[[#This Row],[order_priority]])</f>
        <v>Express</v>
      </c>
      <c r="E5288" t="s">
        <v>13318</v>
      </c>
      <c r="F5288" t="str">
        <f>IFERROR(INDEX(customers[country], MATCH(orders[[#This Row],[customer_id]], customers[customer_id], 0)), "Unmapped")</f>
        <v>Poland</v>
      </c>
      <c r="G5288" t="str">
        <f>IFERROR(INDEX(Region_Map[Region], MATCH(orders[[#This Row],[Customer_Country]], Region_Map[Country], 0)), "Unknown")</f>
        <v>Central Europe</v>
      </c>
      <c r="H5288" t="s">
        <v>6949</v>
      </c>
    </row>
    <row r="5289" spans="1:8">
      <c r="A5289" t="s">
        <v>6181</v>
      </c>
      <c r="B5289" t="s">
        <v>900</v>
      </c>
      <c r="C5289" s="1">
        <v>45137</v>
      </c>
      <c r="D5289" s="1" t="str">
        <f>PROPER(orders[[#This Row],[order_priority]])</f>
        <v>Same Day</v>
      </c>
      <c r="E5289" t="s">
        <v>13322</v>
      </c>
      <c r="F5289" t="str">
        <f>IFERROR(INDEX(customers[country], MATCH(orders[[#This Row],[customer_id]], customers[customer_id], 0)), "Unmapped")</f>
        <v>Germany</v>
      </c>
      <c r="G5289" t="str">
        <f>IFERROR(INDEX(Region_Map[Region], MATCH(orders[[#This Row],[Customer_Country]], Region_Map[Country], 0)), "Unknown")</f>
        <v>Central Europe</v>
      </c>
      <c r="H5289" t="s">
        <v>6949</v>
      </c>
    </row>
    <row r="5290" spans="1:8">
      <c r="A5290" t="s">
        <v>6182</v>
      </c>
      <c r="B5290" t="s">
        <v>497</v>
      </c>
      <c r="C5290" s="1">
        <v>45001</v>
      </c>
      <c r="D5290" s="1" t="str">
        <f>PROPER(orders[[#This Row],[order_priority]])</f>
        <v>Economy</v>
      </c>
      <c r="E5290" t="s">
        <v>13316</v>
      </c>
      <c r="F5290" t="str">
        <f>IFERROR(INDEX(customers[country], MATCH(orders[[#This Row],[customer_id]], customers[customer_id], 0)), "Unmapped")</f>
        <v>Germany</v>
      </c>
      <c r="G5290" t="str">
        <f>IFERROR(INDEX(Region_Map[Region], MATCH(orders[[#This Row],[Customer_Country]], Region_Map[Country], 0)), "Unknown")</f>
        <v>Central Europe</v>
      </c>
      <c r="H5290" t="s">
        <v>6949</v>
      </c>
    </row>
    <row r="5291" spans="1:8">
      <c r="A5291" t="s">
        <v>6183</v>
      </c>
      <c r="B5291" t="s">
        <v>172</v>
      </c>
      <c r="C5291" s="1">
        <v>45019</v>
      </c>
      <c r="D5291" s="1" t="str">
        <f>PROPER(orders[[#This Row],[order_priority]])</f>
        <v>Economy</v>
      </c>
      <c r="E5291" t="s">
        <v>13316</v>
      </c>
      <c r="F5291" t="str">
        <f>IFERROR(INDEX(customers[country], MATCH(orders[[#This Row],[customer_id]], customers[customer_id], 0)), "Unmapped")</f>
        <v>Denmark</v>
      </c>
      <c r="G5291" t="str">
        <f>IFERROR(INDEX(Region_Map[Region], MATCH(orders[[#This Row],[Customer_Country]], Region_Map[Country], 0)), "Unknown")</f>
        <v>Nordics</v>
      </c>
      <c r="H5291" t="s">
        <v>6949</v>
      </c>
    </row>
    <row r="5292" spans="1:8">
      <c r="A5292" t="s">
        <v>6184</v>
      </c>
      <c r="B5292" t="s">
        <v>667</v>
      </c>
      <c r="C5292" s="1">
        <v>44982</v>
      </c>
      <c r="D5292" s="1" t="str">
        <f>PROPER(orders[[#This Row],[order_priority]])</f>
        <v>Economy</v>
      </c>
      <c r="E5292" t="s">
        <v>13316</v>
      </c>
      <c r="F5292" t="str">
        <f>IFERROR(INDEX(customers[country], MATCH(orders[[#This Row],[customer_id]], customers[customer_id], 0)), "Unmapped")</f>
        <v>Germany</v>
      </c>
      <c r="G5292" t="str">
        <f>IFERROR(INDEX(Region_Map[Region], MATCH(orders[[#This Row],[Customer_Country]], Region_Map[Country], 0)), "Unknown")</f>
        <v>Central Europe</v>
      </c>
      <c r="H5292" t="s">
        <v>6949</v>
      </c>
    </row>
    <row r="5293" spans="1:8">
      <c r="A5293" t="s">
        <v>6185</v>
      </c>
      <c r="B5293" t="s">
        <v>285</v>
      </c>
      <c r="C5293" s="1">
        <v>44934</v>
      </c>
      <c r="D5293" s="1" t="str">
        <f>PROPER(orders[[#This Row],[order_priority]])</f>
        <v>Same Day</v>
      </c>
      <c r="E5293" t="s">
        <v>13322</v>
      </c>
      <c r="F5293" t="str">
        <f>IFERROR(INDEX(customers[country], MATCH(orders[[#This Row],[customer_id]], customers[customer_id], 0)), "Unmapped")</f>
        <v>Norway</v>
      </c>
      <c r="G5293" t="str">
        <f>IFERROR(INDEX(Region_Map[Region], MATCH(orders[[#This Row],[Customer_Country]], Region_Map[Country], 0)), "Unknown")</f>
        <v>Nordics</v>
      </c>
      <c r="H5293" t="s">
        <v>6949</v>
      </c>
    </row>
    <row r="5294" spans="1:8">
      <c r="A5294" t="s">
        <v>6186</v>
      </c>
      <c r="B5294" t="s">
        <v>590</v>
      </c>
      <c r="C5294" s="1">
        <v>45386</v>
      </c>
      <c r="D5294" s="1" t="str">
        <f>PROPER(orders[[#This Row],[order_priority]])</f>
        <v>Same Day</v>
      </c>
      <c r="E5294" t="s">
        <v>13322</v>
      </c>
      <c r="F5294" t="str">
        <f>IFERROR(INDEX(customers[country], MATCH(orders[[#This Row],[customer_id]], customers[customer_id], 0)), "Unmapped")</f>
        <v>Finland</v>
      </c>
      <c r="G5294" t="str">
        <f>IFERROR(INDEX(Region_Map[Region], MATCH(orders[[#This Row],[Customer_Country]], Region_Map[Country], 0)), "Unknown")</f>
        <v>Nordics</v>
      </c>
      <c r="H5294" t="s">
        <v>6949</v>
      </c>
    </row>
    <row r="5295" spans="1:8">
      <c r="A5295" t="s">
        <v>6187</v>
      </c>
      <c r="B5295" t="s">
        <v>404</v>
      </c>
      <c r="C5295" s="1">
        <v>45116</v>
      </c>
      <c r="D5295" s="1" t="str">
        <f>PROPER(orders[[#This Row],[order_priority]])</f>
        <v>Economy</v>
      </c>
      <c r="E5295" t="s">
        <v>13316</v>
      </c>
      <c r="F5295" t="str">
        <f>IFERROR(INDEX(customers[country], MATCH(orders[[#This Row],[customer_id]], customers[customer_id], 0)), "Unmapped")</f>
        <v>Latvia</v>
      </c>
      <c r="G5295" t="str">
        <f>IFERROR(INDEX(Region_Map[Region], MATCH(orders[[#This Row],[Customer_Country]], Region_Map[Country], 0)), "Unknown")</f>
        <v>Baltics</v>
      </c>
      <c r="H5295" t="s">
        <v>6949</v>
      </c>
    </row>
    <row r="5296" spans="1:8">
      <c r="A5296" t="s">
        <v>6188</v>
      </c>
      <c r="B5296" t="s">
        <v>679</v>
      </c>
      <c r="C5296" s="1">
        <v>44981</v>
      </c>
      <c r="D5296" s="1" t="str">
        <f>PROPER(orders[[#This Row],[order_priority]])</f>
        <v>Standard</v>
      </c>
      <c r="E5296" t="s">
        <v>13317</v>
      </c>
      <c r="F5296" t="str">
        <f>IFERROR(INDEX(customers[country], MATCH(orders[[#This Row],[customer_id]], customers[customer_id], 0)), "Unmapped")</f>
        <v>Norway</v>
      </c>
      <c r="G5296" t="str">
        <f>IFERROR(INDEX(Region_Map[Region], MATCH(orders[[#This Row],[Customer_Country]], Region_Map[Country], 0)), "Unknown")</f>
        <v>Nordics</v>
      </c>
      <c r="H5296" t="s">
        <v>6949</v>
      </c>
    </row>
    <row r="5297" spans="1:8">
      <c r="A5297" t="s">
        <v>6189</v>
      </c>
      <c r="B5297" t="s">
        <v>389</v>
      </c>
      <c r="C5297" s="1">
        <v>45607</v>
      </c>
      <c r="D5297" s="1" t="str">
        <f>PROPER(orders[[#This Row],[order_priority]])</f>
        <v>Express</v>
      </c>
      <c r="E5297" t="s">
        <v>13318</v>
      </c>
      <c r="F5297" t="str">
        <f>IFERROR(INDEX(customers[country], MATCH(orders[[#This Row],[customer_id]], customers[customer_id], 0)), "Unmapped")</f>
        <v>Poland</v>
      </c>
      <c r="G5297" t="str">
        <f>IFERROR(INDEX(Region_Map[Region], MATCH(orders[[#This Row],[Customer_Country]], Region_Map[Country], 0)), "Unknown")</f>
        <v>Central Europe</v>
      </c>
      <c r="H5297" t="s">
        <v>6949</v>
      </c>
    </row>
    <row r="5298" spans="1:8">
      <c r="A5298" t="s">
        <v>6190</v>
      </c>
      <c r="B5298" t="s">
        <v>323</v>
      </c>
      <c r="C5298" s="1">
        <v>45278</v>
      </c>
      <c r="D5298" s="1" t="str">
        <f>PROPER(orders[[#This Row],[order_priority]])</f>
        <v>Standard</v>
      </c>
      <c r="E5298" t="s">
        <v>13317</v>
      </c>
      <c r="F5298" t="str">
        <f>IFERROR(INDEX(customers[country], MATCH(orders[[#This Row],[customer_id]], customers[customer_id], 0)), "Unmapped")</f>
        <v>Estonia</v>
      </c>
      <c r="G5298" t="str">
        <f>IFERROR(INDEX(Region_Map[Region], MATCH(orders[[#This Row],[Customer_Country]], Region_Map[Country], 0)), "Unknown")</f>
        <v>Baltics</v>
      </c>
      <c r="H5298" t="s">
        <v>6949</v>
      </c>
    </row>
    <row r="5299" spans="1:8">
      <c r="A5299" t="s">
        <v>6191</v>
      </c>
      <c r="B5299" t="s">
        <v>51</v>
      </c>
      <c r="C5299" s="1">
        <v>45576</v>
      </c>
      <c r="D5299" s="1" t="str">
        <f>PROPER(orders[[#This Row],[order_priority]])</f>
        <v>Standard</v>
      </c>
      <c r="E5299" t="s">
        <v>13317</v>
      </c>
      <c r="F5299" t="str">
        <f>IFERROR(INDEX(customers[country], MATCH(orders[[#This Row],[customer_id]], customers[customer_id], 0)), "Unmapped")</f>
        <v>Germany</v>
      </c>
      <c r="G5299" t="str">
        <f>IFERROR(INDEX(Region_Map[Region], MATCH(orders[[#This Row],[Customer_Country]], Region_Map[Country], 0)), "Unknown")</f>
        <v>Central Europe</v>
      </c>
      <c r="H5299" t="s">
        <v>6949</v>
      </c>
    </row>
    <row r="5300" spans="1:8">
      <c r="A5300" t="s">
        <v>6192</v>
      </c>
      <c r="B5300" t="s">
        <v>90</v>
      </c>
      <c r="C5300" s="1">
        <v>45015</v>
      </c>
      <c r="D5300" s="1" t="str">
        <f>PROPER(orders[[#This Row],[order_priority]])</f>
        <v>Express</v>
      </c>
      <c r="E5300" t="s">
        <v>13318</v>
      </c>
      <c r="F5300" t="str">
        <f>IFERROR(INDEX(customers[country], MATCH(orders[[#This Row],[customer_id]], customers[customer_id], 0)), "Unmapped")</f>
        <v>Netherlands</v>
      </c>
      <c r="G5300" t="str">
        <f>IFERROR(INDEX(Region_Map[Region], MATCH(orders[[#This Row],[Customer_Country]], Region_Map[Country], 0)), "Unknown")</f>
        <v>Central Europe</v>
      </c>
      <c r="H5300" t="s">
        <v>6949</v>
      </c>
    </row>
    <row r="5301" spans="1:8">
      <c r="A5301" t="s">
        <v>6193</v>
      </c>
      <c r="B5301" t="s">
        <v>503</v>
      </c>
      <c r="C5301" s="1">
        <v>45206</v>
      </c>
      <c r="D5301" s="1" t="str">
        <f>PROPER(orders[[#This Row],[order_priority]])</f>
        <v>Economy</v>
      </c>
      <c r="E5301" t="s">
        <v>13316</v>
      </c>
      <c r="F5301" t="str">
        <f>IFERROR(INDEX(customers[country], MATCH(orders[[#This Row],[customer_id]], customers[customer_id], 0)), "Unmapped")</f>
        <v>Denmark</v>
      </c>
      <c r="G5301" t="str">
        <f>IFERROR(INDEX(Region_Map[Region], MATCH(orders[[#This Row],[Customer_Country]], Region_Map[Country], 0)), "Unknown")</f>
        <v>Nordics</v>
      </c>
      <c r="H5301" t="s">
        <v>6949</v>
      </c>
    </row>
    <row r="5302" spans="1:8">
      <c r="A5302" t="s">
        <v>6194</v>
      </c>
      <c r="B5302" t="s">
        <v>115</v>
      </c>
      <c r="C5302" s="1">
        <v>45186</v>
      </c>
      <c r="D5302" s="1" t="str">
        <f>PROPER(orders[[#This Row],[order_priority]])</f>
        <v>Same Day</v>
      </c>
      <c r="E5302" t="s">
        <v>13322</v>
      </c>
      <c r="F5302" t="str">
        <f>IFERROR(INDEX(customers[country], MATCH(orders[[#This Row],[customer_id]], customers[customer_id], 0)), "Unmapped")</f>
        <v>Finland</v>
      </c>
      <c r="G5302" t="str">
        <f>IFERROR(INDEX(Region_Map[Region], MATCH(orders[[#This Row],[Customer_Country]], Region_Map[Country], 0)), "Unknown")</f>
        <v>Nordics</v>
      </c>
      <c r="H5302" t="s">
        <v>6949</v>
      </c>
    </row>
    <row r="5303" spans="1:8">
      <c r="A5303" t="s">
        <v>6195</v>
      </c>
      <c r="B5303" t="s">
        <v>793</v>
      </c>
      <c r="C5303" s="1">
        <v>44931</v>
      </c>
      <c r="D5303" s="1" t="str">
        <f>PROPER(orders[[#This Row],[order_priority]])</f>
        <v>Economy</v>
      </c>
      <c r="E5303" t="s">
        <v>13316</v>
      </c>
      <c r="F5303" t="str">
        <f>IFERROR(INDEX(customers[country], MATCH(orders[[#This Row],[customer_id]], customers[customer_id], 0)), "Unmapped")</f>
        <v>Sweden</v>
      </c>
      <c r="G5303" t="str">
        <f>IFERROR(INDEX(Region_Map[Region], MATCH(orders[[#This Row],[Customer_Country]], Region_Map[Country], 0)), "Unknown")</f>
        <v>Nordics</v>
      </c>
      <c r="H5303" t="s">
        <v>6949</v>
      </c>
    </row>
    <row r="5304" spans="1:8">
      <c r="A5304" t="s">
        <v>6196</v>
      </c>
      <c r="B5304" t="s">
        <v>124</v>
      </c>
      <c r="C5304" s="1">
        <v>45063</v>
      </c>
      <c r="D5304" s="1" t="str">
        <f>PROPER(orders[[#This Row],[order_priority]])</f>
        <v>Standard</v>
      </c>
      <c r="E5304" t="s">
        <v>13317</v>
      </c>
      <c r="F5304" t="str">
        <f>IFERROR(INDEX(customers[country], MATCH(orders[[#This Row],[customer_id]], customers[customer_id], 0)), "Unmapped")</f>
        <v>Lithuania</v>
      </c>
      <c r="G5304" t="str">
        <f>IFERROR(INDEX(Region_Map[Region], MATCH(orders[[#This Row],[Customer_Country]], Region_Map[Country], 0)), "Unknown")</f>
        <v>Baltics</v>
      </c>
      <c r="H5304" t="s">
        <v>6949</v>
      </c>
    </row>
    <row r="5305" spans="1:8">
      <c r="A5305" t="s">
        <v>6197</v>
      </c>
      <c r="B5305" t="s">
        <v>521</v>
      </c>
      <c r="C5305" s="1">
        <v>45552</v>
      </c>
      <c r="D5305" s="1" t="str">
        <f>PROPER(orders[[#This Row],[order_priority]])</f>
        <v>Economy</v>
      </c>
      <c r="E5305" t="s">
        <v>13316</v>
      </c>
      <c r="F5305" t="str">
        <f>IFERROR(INDEX(customers[country], MATCH(orders[[#This Row],[customer_id]], customers[customer_id], 0)), "Unmapped")</f>
        <v>Norway</v>
      </c>
      <c r="G5305" t="str">
        <f>IFERROR(INDEX(Region_Map[Region], MATCH(orders[[#This Row],[Customer_Country]], Region_Map[Country], 0)), "Unknown")</f>
        <v>Nordics</v>
      </c>
      <c r="H5305" t="s">
        <v>6949</v>
      </c>
    </row>
    <row r="5306" spans="1:8">
      <c r="A5306" t="s">
        <v>6198</v>
      </c>
      <c r="B5306" t="s">
        <v>569</v>
      </c>
      <c r="C5306" s="1">
        <v>45503</v>
      </c>
      <c r="D5306" s="1" t="str">
        <f>PROPER(orders[[#This Row],[order_priority]])</f>
        <v>Same Day</v>
      </c>
      <c r="E5306" t="s">
        <v>13322</v>
      </c>
      <c r="F5306" t="str">
        <f>IFERROR(INDEX(customers[country], MATCH(orders[[#This Row],[customer_id]], customers[customer_id], 0)), "Unmapped")</f>
        <v>Estonia</v>
      </c>
      <c r="G5306" t="str">
        <f>IFERROR(INDEX(Region_Map[Region], MATCH(orders[[#This Row],[Customer_Country]], Region_Map[Country], 0)), "Unknown")</f>
        <v>Baltics</v>
      </c>
      <c r="H5306" t="s">
        <v>6949</v>
      </c>
    </row>
    <row r="5307" spans="1:8">
      <c r="A5307" t="s">
        <v>6199</v>
      </c>
      <c r="B5307" t="s">
        <v>320</v>
      </c>
      <c r="C5307" s="1">
        <v>45129</v>
      </c>
      <c r="D5307" s="1" t="str">
        <f>PROPER(orders[[#This Row],[order_priority]])</f>
        <v>Express</v>
      </c>
      <c r="E5307" t="s">
        <v>13318</v>
      </c>
      <c r="F5307" t="str">
        <f>IFERROR(INDEX(customers[country], MATCH(orders[[#This Row],[customer_id]], customers[customer_id], 0)), "Unmapped")</f>
        <v>Sweden</v>
      </c>
      <c r="G5307" t="str">
        <f>IFERROR(INDEX(Region_Map[Region], MATCH(orders[[#This Row],[Customer_Country]], Region_Map[Country], 0)), "Unknown")</f>
        <v>Nordics</v>
      </c>
      <c r="H5307" t="s">
        <v>6949</v>
      </c>
    </row>
    <row r="5308" spans="1:8">
      <c r="A5308" t="s">
        <v>6200</v>
      </c>
      <c r="B5308" t="s">
        <v>805</v>
      </c>
      <c r="C5308" s="1">
        <v>45072</v>
      </c>
      <c r="D5308" s="1" t="str">
        <f>PROPER(orders[[#This Row],[order_priority]])</f>
        <v>Economy</v>
      </c>
      <c r="E5308" t="s">
        <v>13316</v>
      </c>
      <c r="F5308" t="str">
        <f>IFERROR(INDEX(customers[country], MATCH(orders[[#This Row],[customer_id]], customers[customer_id], 0)), "Unmapped")</f>
        <v>Estonia</v>
      </c>
      <c r="G5308" t="str">
        <f>IFERROR(INDEX(Region_Map[Region], MATCH(orders[[#This Row],[Customer_Country]], Region_Map[Country], 0)), "Unknown")</f>
        <v>Baltics</v>
      </c>
      <c r="H5308" t="s">
        <v>6949</v>
      </c>
    </row>
    <row r="5309" spans="1:8">
      <c r="A5309" t="s">
        <v>6201</v>
      </c>
      <c r="B5309" t="s">
        <v>270</v>
      </c>
      <c r="C5309" s="1">
        <v>45292</v>
      </c>
      <c r="D5309" s="1" t="str">
        <f>PROPER(orders[[#This Row],[order_priority]])</f>
        <v>Same Day</v>
      </c>
      <c r="E5309" t="s">
        <v>13322</v>
      </c>
      <c r="F5309" t="str">
        <f>IFERROR(INDEX(customers[country], MATCH(orders[[#This Row],[customer_id]], customers[customer_id], 0)), "Unmapped")</f>
        <v>Poland</v>
      </c>
      <c r="G5309" t="str">
        <f>IFERROR(INDEX(Region_Map[Region], MATCH(orders[[#This Row],[Customer_Country]], Region_Map[Country], 0)), "Unknown")</f>
        <v>Central Europe</v>
      </c>
      <c r="H5309" t="s">
        <v>6949</v>
      </c>
    </row>
    <row r="5310" spans="1:8">
      <c r="A5310" t="s">
        <v>6202</v>
      </c>
      <c r="B5310" t="s">
        <v>784</v>
      </c>
      <c r="C5310" s="1">
        <v>45360</v>
      </c>
      <c r="D5310" s="1" t="str">
        <f>PROPER(orders[[#This Row],[order_priority]])</f>
        <v>Economy</v>
      </c>
      <c r="E5310" t="s">
        <v>13316</v>
      </c>
      <c r="F5310" t="str">
        <f>IFERROR(INDEX(customers[country], MATCH(orders[[#This Row],[customer_id]], customers[customer_id], 0)), "Unmapped")</f>
        <v>Estonia</v>
      </c>
      <c r="G5310" t="str">
        <f>IFERROR(INDEX(Region_Map[Region], MATCH(orders[[#This Row],[Customer_Country]], Region_Map[Country], 0)), "Unknown")</f>
        <v>Baltics</v>
      </c>
      <c r="H5310" t="s">
        <v>6949</v>
      </c>
    </row>
    <row r="5311" spans="1:8">
      <c r="A5311" t="s">
        <v>6203</v>
      </c>
      <c r="B5311" t="s">
        <v>527</v>
      </c>
      <c r="C5311" s="1">
        <v>45511</v>
      </c>
      <c r="D5311" s="1" t="str">
        <f>PROPER(orders[[#This Row],[order_priority]])</f>
        <v>Same Day</v>
      </c>
      <c r="E5311" t="s">
        <v>13322</v>
      </c>
      <c r="F5311" t="str">
        <f>IFERROR(INDEX(customers[country], MATCH(orders[[#This Row],[customer_id]], customers[customer_id], 0)), "Unmapped")</f>
        <v>Sweden</v>
      </c>
      <c r="G5311" t="str">
        <f>IFERROR(INDEX(Region_Map[Region], MATCH(orders[[#This Row],[Customer_Country]], Region_Map[Country], 0)), "Unknown")</f>
        <v>Nordics</v>
      </c>
      <c r="H5311" t="s">
        <v>6949</v>
      </c>
    </row>
    <row r="5312" spans="1:8">
      <c r="A5312" t="s">
        <v>6204</v>
      </c>
      <c r="B5312" t="s">
        <v>102</v>
      </c>
      <c r="C5312" s="1">
        <v>45296</v>
      </c>
      <c r="D5312" s="1" t="str">
        <f>PROPER(orders[[#This Row],[order_priority]])</f>
        <v>Standard</v>
      </c>
      <c r="E5312" t="s">
        <v>13317</v>
      </c>
      <c r="F5312" t="str">
        <f>IFERROR(INDEX(customers[country], MATCH(orders[[#This Row],[customer_id]], customers[customer_id], 0)), "Unmapped")</f>
        <v>Denmark</v>
      </c>
      <c r="G5312" t="str">
        <f>IFERROR(INDEX(Region_Map[Region], MATCH(orders[[#This Row],[Customer_Country]], Region_Map[Country], 0)), "Unknown")</f>
        <v>Nordics</v>
      </c>
      <c r="H5312" t="s">
        <v>6949</v>
      </c>
    </row>
    <row r="5313" spans="1:8">
      <c r="A5313" t="s">
        <v>6205</v>
      </c>
      <c r="B5313" t="s">
        <v>371</v>
      </c>
      <c r="C5313" s="1">
        <v>45241</v>
      </c>
      <c r="D5313" s="1" t="str">
        <f>PROPER(orders[[#This Row],[order_priority]])</f>
        <v>Standard</v>
      </c>
      <c r="E5313" t="s">
        <v>13317</v>
      </c>
      <c r="F5313" t="str">
        <f>IFERROR(INDEX(customers[country], MATCH(orders[[#This Row],[customer_id]], customers[customer_id], 0)), "Unmapped")</f>
        <v>Germany</v>
      </c>
      <c r="G5313" t="str">
        <f>IFERROR(INDEX(Region_Map[Region], MATCH(orders[[#This Row],[Customer_Country]], Region_Map[Country], 0)), "Unknown")</f>
        <v>Central Europe</v>
      </c>
      <c r="H5313" t="s">
        <v>6949</v>
      </c>
    </row>
    <row r="5314" spans="1:8">
      <c r="A5314" t="s">
        <v>6206</v>
      </c>
      <c r="B5314" t="s">
        <v>825</v>
      </c>
      <c r="C5314" s="1">
        <v>45094</v>
      </c>
      <c r="D5314" s="1" t="str">
        <f>PROPER(orders[[#This Row],[order_priority]])</f>
        <v>Economy</v>
      </c>
      <c r="E5314" t="s">
        <v>13316</v>
      </c>
      <c r="F5314" t="str">
        <f>IFERROR(INDEX(customers[country], MATCH(orders[[#This Row],[customer_id]], customers[customer_id], 0)), "Unmapped")</f>
        <v>Latvia</v>
      </c>
      <c r="G5314" t="str">
        <f>IFERROR(INDEX(Region_Map[Region], MATCH(orders[[#This Row],[Customer_Country]], Region_Map[Country], 0)), "Unknown")</f>
        <v>Baltics</v>
      </c>
      <c r="H5314" t="s">
        <v>6949</v>
      </c>
    </row>
    <row r="5315" spans="1:8">
      <c r="A5315" t="s">
        <v>6207</v>
      </c>
      <c r="B5315" t="s">
        <v>864</v>
      </c>
      <c r="C5315" s="1">
        <v>45026</v>
      </c>
      <c r="D5315" s="1" t="str">
        <f>PROPER(orders[[#This Row],[order_priority]])</f>
        <v>Standard</v>
      </c>
      <c r="E5315" t="s">
        <v>13317</v>
      </c>
      <c r="F5315" t="str">
        <f>IFERROR(INDEX(customers[country], MATCH(orders[[#This Row],[customer_id]], customers[customer_id], 0)), "Unmapped")</f>
        <v>Finland</v>
      </c>
      <c r="G5315" t="str">
        <f>IFERROR(INDEX(Region_Map[Region], MATCH(orders[[#This Row],[Customer_Country]], Region_Map[Country], 0)), "Unknown")</f>
        <v>Nordics</v>
      </c>
      <c r="H5315" t="s">
        <v>6949</v>
      </c>
    </row>
    <row r="5316" spans="1:8">
      <c r="A5316" t="s">
        <v>6208</v>
      </c>
      <c r="B5316" t="s">
        <v>166</v>
      </c>
      <c r="C5316" s="1">
        <v>45322</v>
      </c>
      <c r="D5316" s="1" t="str">
        <f>PROPER(orders[[#This Row],[order_priority]])</f>
        <v>Same Day</v>
      </c>
      <c r="E5316" t="s">
        <v>13322</v>
      </c>
      <c r="F5316" t="str">
        <f>IFERROR(INDEX(customers[country], MATCH(orders[[#This Row],[customer_id]], customers[customer_id], 0)), "Unmapped")</f>
        <v>Denmark</v>
      </c>
      <c r="G5316" t="str">
        <f>IFERROR(INDEX(Region_Map[Region], MATCH(orders[[#This Row],[Customer_Country]], Region_Map[Country], 0)), "Unknown")</f>
        <v>Nordics</v>
      </c>
      <c r="H5316" t="s">
        <v>6949</v>
      </c>
    </row>
    <row r="5317" spans="1:8">
      <c r="A5317" t="s">
        <v>6209</v>
      </c>
      <c r="B5317" t="s">
        <v>840</v>
      </c>
      <c r="C5317" s="1">
        <v>45504</v>
      </c>
      <c r="D5317" s="1" t="str">
        <f>PROPER(orders[[#This Row],[order_priority]])</f>
        <v>Same Day</v>
      </c>
      <c r="E5317" t="s">
        <v>13322</v>
      </c>
      <c r="F5317" t="str">
        <f>IFERROR(INDEX(customers[country], MATCH(orders[[#This Row],[customer_id]], customers[customer_id], 0)), "Unmapped")</f>
        <v>Finland</v>
      </c>
      <c r="G5317" t="str">
        <f>IFERROR(INDEX(Region_Map[Region], MATCH(orders[[#This Row],[Customer_Country]], Region_Map[Country], 0)), "Unknown")</f>
        <v>Nordics</v>
      </c>
      <c r="H5317" t="s">
        <v>6949</v>
      </c>
    </row>
    <row r="5318" spans="1:8">
      <c r="A5318" t="s">
        <v>6210</v>
      </c>
      <c r="B5318" t="s">
        <v>533</v>
      </c>
      <c r="C5318" s="1">
        <v>45347</v>
      </c>
      <c r="D5318" s="1" t="str">
        <f>PROPER(orders[[#This Row],[order_priority]])</f>
        <v>Standard</v>
      </c>
      <c r="E5318" t="s">
        <v>13317</v>
      </c>
      <c r="F5318" t="str">
        <f>IFERROR(INDEX(customers[country], MATCH(orders[[#This Row],[customer_id]], customers[customer_id], 0)), "Unmapped")</f>
        <v>Germany</v>
      </c>
      <c r="G5318" t="str">
        <f>IFERROR(INDEX(Region_Map[Region], MATCH(orders[[#This Row],[Customer_Country]], Region_Map[Country], 0)), "Unknown")</f>
        <v>Central Europe</v>
      </c>
      <c r="H5318" t="s">
        <v>6949</v>
      </c>
    </row>
    <row r="5319" spans="1:8">
      <c r="A5319" t="s">
        <v>6211</v>
      </c>
      <c r="B5319" t="s">
        <v>772</v>
      </c>
      <c r="C5319" s="1">
        <v>45540</v>
      </c>
      <c r="D5319" s="1" t="str">
        <f>PROPER(orders[[#This Row],[order_priority]])</f>
        <v>Same Day</v>
      </c>
      <c r="E5319" t="s">
        <v>13322</v>
      </c>
      <c r="F5319" t="str">
        <f>IFERROR(INDEX(customers[country], MATCH(orders[[#This Row],[customer_id]], customers[customer_id], 0)), "Unmapped")</f>
        <v>Estonia</v>
      </c>
      <c r="G5319" t="str">
        <f>IFERROR(INDEX(Region_Map[Region], MATCH(orders[[#This Row],[Customer_Country]], Region_Map[Country], 0)), "Unknown")</f>
        <v>Baltics</v>
      </c>
      <c r="H5319" t="s">
        <v>6949</v>
      </c>
    </row>
    <row r="5320" spans="1:8">
      <c r="A5320" t="s">
        <v>6212</v>
      </c>
      <c r="B5320" t="s">
        <v>231</v>
      </c>
      <c r="C5320" s="1">
        <v>45023</v>
      </c>
      <c r="D5320" s="1" t="str">
        <f>PROPER(orders[[#This Row],[order_priority]])</f>
        <v>Economy</v>
      </c>
      <c r="E5320" t="s">
        <v>13316</v>
      </c>
      <c r="F5320" t="str">
        <f>IFERROR(INDEX(customers[country], MATCH(orders[[#This Row],[customer_id]], customers[customer_id], 0)), "Unmapped")</f>
        <v>Lithuania</v>
      </c>
      <c r="G5320" t="str">
        <f>IFERROR(INDEX(Region_Map[Region], MATCH(orders[[#This Row],[Customer_Country]], Region_Map[Country], 0)), "Unknown")</f>
        <v>Baltics</v>
      </c>
      <c r="H5320" t="s">
        <v>6949</v>
      </c>
    </row>
    <row r="5321" spans="1:8">
      <c r="A5321" t="s">
        <v>6213</v>
      </c>
      <c r="B5321" t="s">
        <v>11</v>
      </c>
      <c r="C5321" s="1">
        <v>45158</v>
      </c>
      <c r="D5321" s="1" t="str">
        <f>PROPER(orders[[#This Row],[order_priority]])</f>
        <v>Same Day</v>
      </c>
      <c r="E5321" t="s">
        <v>13321</v>
      </c>
      <c r="F5321" t="str">
        <f>IFERROR(INDEX(customers[country], MATCH(orders[[#This Row],[customer_id]], customers[customer_id], 0)), "Unmapped")</f>
        <v>Sweden</v>
      </c>
      <c r="G5321" t="str">
        <f>IFERROR(INDEX(Region_Map[Region], MATCH(orders[[#This Row],[Customer_Country]], Region_Map[Country], 0)), "Unknown")</f>
        <v>Nordics</v>
      </c>
      <c r="H5321" t="s">
        <v>6949</v>
      </c>
    </row>
    <row r="5322" spans="1:8">
      <c r="A5322" t="s">
        <v>6214</v>
      </c>
      <c r="B5322" t="s">
        <v>279</v>
      </c>
      <c r="C5322" s="1">
        <v>44981</v>
      </c>
      <c r="D5322" s="1" t="str">
        <f>PROPER(orders[[#This Row],[order_priority]])</f>
        <v>Same Day</v>
      </c>
      <c r="E5322" t="s">
        <v>13322</v>
      </c>
      <c r="F5322" t="str">
        <f>IFERROR(INDEX(customers[country], MATCH(orders[[#This Row],[customer_id]], customers[customer_id], 0)), "Unmapped")</f>
        <v>Germany</v>
      </c>
      <c r="G5322" t="str">
        <f>IFERROR(INDEX(Region_Map[Region], MATCH(orders[[#This Row],[Customer_Country]], Region_Map[Country], 0)), "Unknown")</f>
        <v>Central Europe</v>
      </c>
      <c r="H5322" t="s">
        <v>6949</v>
      </c>
    </row>
    <row r="5323" spans="1:8">
      <c r="A5323" t="s">
        <v>6215</v>
      </c>
      <c r="B5323" t="s">
        <v>885</v>
      </c>
      <c r="C5323" s="1">
        <v>45441</v>
      </c>
      <c r="D5323" s="1" t="str">
        <f>PROPER(orders[[#This Row],[order_priority]])</f>
        <v>Express</v>
      </c>
      <c r="E5323" t="s">
        <v>13318</v>
      </c>
      <c r="F5323" t="str">
        <f>IFERROR(INDEX(customers[country], MATCH(orders[[#This Row],[customer_id]], customers[customer_id], 0)), "Unmapped")</f>
        <v>Poland</v>
      </c>
      <c r="G5323" t="str">
        <f>IFERROR(INDEX(Region_Map[Region], MATCH(orders[[#This Row],[Customer_Country]], Region_Map[Country], 0)), "Unknown")</f>
        <v>Central Europe</v>
      </c>
      <c r="H5323" t="s">
        <v>6949</v>
      </c>
    </row>
    <row r="5324" spans="1:8">
      <c r="A5324" t="s">
        <v>6216</v>
      </c>
      <c r="B5324" t="s">
        <v>61</v>
      </c>
      <c r="C5324" s="1">
        <v>45576</v>
      </c>
      <c r="D5324" s="1" t="str">
        <f>PROPER(orders[[#This Row],[order_priority]])</f>
        <v>Same Day</v>
      </c>
      <c r="E5324" t="s">
        <v>13322</v>
      </c>
      <c r="F5324" t="str">
        <f>IFERROR(INDEX(customers[country], MATCH(orders[[#This Row],[customer_id]], customers[customer_id], 0)), "Unmapped")</f>
        <v>Netherlands</v>
      </c>
      <c r="G5324" t="str">
        <f>IFERROR(INDEX(Region_Map[Region], MATCH(orders[[#This Row],[Customer_Country]], Region_Map[Country], 0)), "Unknown")</f>
        <v>Central Europe</v>
      </c>
      <c r="H5324" t="s">
        <v>6949</v>
      </c>
    </row>
    <row r="5325" spans="1:8">
      <c r="A5325" t="s">
        <v>6217</v>
      </c>
      <c r="B5325" t="s">
        <v>115</v>
      </c>
      <c r="C5325" s="1">
        <v>45582</v>
      </c>
      <c r="D5325" s="1" t="str">
        <f>PROPER(orders[[#This Row],[order_priority]])</f>
        <v>Economy</v>
      </c>
      <c r="E5325" t="s">
        <v>13325</v>
      </c>
      <c r="F5325" t="str">
        <f>IFERROR(INDEX(customers[country], MATCH(orders[[#This Row],[customer_id]], customers[customer_id], 0)), "Unmapped")</f>
        <v>Finland</v>
      </c>
      <c r="G5325" t="str">
        <f>IFERROR(INDEX(Region_Map[Region], MATCH(orders[[#This Row],[Customer_Country]], Region_Map[Country], 0)), "Unknown")</f>
        <v>Nordics</v>
      </c>
      <c r="H5325" t="s">
        <v>6949</v>
      </c>
    </row>
    <row r="5326" spans="1:8">
      <c r="A5326" t="s">
        <v>6218</v>
      </c>
      <c r="B5326" t="s">
        <v>867</v>
      </c>
      <c r="C5326" s="1">
        <v>45355</v>
      </c>
      <c r="D5326" s="1" t="str">
        <f>PROPER(orders[[#This Row],[order_priority]])</f>
        <v>Same Day</v>
      </c>
      <c r="E5326" t="s">
        <v>13324</v>
      </c>
      <c r="F5326" t="str">
        <f>IFERROR(INDEX(customers[country], MATCH(orders[[#This Row],[customer_id]], customers[customer_id], 0)), "Unmapped")</f>
        <v>Denmark</v>
      </c>
      <c r="G5326" t="str">
        <f>IFERROR(INDEX(Region_Map[Region], MATCH(orders[[#This Row],[Customer_Country]], Region_Map[Country], 0)), "Unknown")</f>
        <v>Nordics</v>
      </c>
      <c r="H5326" t="s">
        <v>6949</v>
      </c>
    </row>
    <row r="5327" spans="1:8">
      <c r="A5327" t="s">
        <v>6219</v>
      </c>
      <c r="B5327" t="s">
        <v>706</v>
      </c>
      <c r="C5327" s="1">
        <v>45049</v>
      </c>
      <c r="D5327" s="1" t="str">
        <f>PROPER(orders[[#This Row],[order_priority]])</f>
        <v>Economy</v>
      </c>
      <c r="E5327" t="s">
        <v>13328</v>
      </c>
      <c r="F5327" t="str">
        <f>IFERROR(INDEX(customers[country], MATCH(orders[[#This Row],[customer_id]], customers[customer_id], 0)), "Unmapped")</f>
        <v>Latvia</v>
      </c>
      <c r="G5327" t="str">
        <f>IFERROR(INDEX(Region_Map[Region], MATCH(orders[[#This Row],[Customer_Country]], Region_Map[Country], 0)), "Unknown")</f>
        <v>Baltics</v>
      </c>
      <c r="H5327" t="s">
        <v>6949</v>
      </c>
    </row>
    <row r="5328" spans="1:8">
      <c r="A5328" t="s">
        <v>6220</v>
      </c>
      <c r="B5328" t="s">
        <v>428</v>
      </c>
      <c r="C5328" s="1">
        <v>45413</v>
      </c>
      <c r="D5328" s="1" t="str">
        <f>PROPER(orders[[#This Row],[order_priority]])</f>
        <v>Economy</v>
      </c>
      <c r="E5328" t="s">
        <v>13316</v>
      </c>
      <c r="F5328" t="str">
        <f>IFERROR(INDEX(customers[country], MATCH(orders[[#This Row],[customer_id]], customers[customer_id], 0)), "Unmapped")</f>
        <v>Finland</v>
      </c>
      <c r="G5328" t="str">
        <f>IFERROR(INDEX(Region_Map[Region], MATCH(orders[[#This Row],[Customer_Country]], Region_Map[Country], 0)), "Unknown")</f>
        <v>Nordics</v>
      </c>
      <c r="H5328" t="s">
        <v>6949</v>
      </c>
    </row>
    <row r="5329" spans="1:8">
      <c r="A5329" t="s">
        <v>6221</v>
      </c>
      <c r="B5329" t="s">
        <v>93</v>
      </c>
      <c r="C5329" s="1">
        <v>45190</v>
      </c>
      <c r="D5329" s="1" t="str">
        <f>PROPER(orders[[#This Row],[order_priority]])</f>
        <v>Same Day</v>
      </c>
      <c r="E5329" t="s">
        <v>13322</v>
      </c>
      <c r="F5329" t="str">
        <f>IFERROR(INDEX(customers[country], MATCH(orders[[#This Row],[customer_id]], customers[customer_id], 0)), "Unmapped")</f>
        <v>Norway</v>
      </c>
      <c r="G5329" t="str">
        <f>IFERROR(INDEX(Region_Map[Region], MATCH(orders[[#This Row],[Customer_Country]], Region_Map[Country], 0)), "Unknown")</f>
        <v>Nordics</v>
      </c>
      <c r="H5329" t="s">
        <v>6949</v>
      </c>
    </row>
    <row r="5330" spans="1:8">
      <c r="A5330" t="s">
        <v>6222</v>
      </c>
      <c r="B5330" t="s">
        <v>816</v>
      </c>
      <c r="C5330" s="1">
        <v>45462</v>
      </c>
      <c r="D5330" s="1" t="str">
        <f>PROPER(orders[[#This Row],[order_priority]])</f>
        <v>Standard</v>
      </c>
      <c r="E5330" t="s">
        <v>13317</v>
      </c>
      <c r="F5330" t="str">
        <f>IFERROR(INDEX(customers[country], MATCH(orders[[#This Row],[customer_id]], customers[customer_id], 0)), "Unmapped")</f>
        <v>Lithuania</v>
      </c>
      <c r="G5330" t="str">
        <f>IFERROR(INDEX(Region_Map[Region], MATCH(orders[[#This Row],[Customer_Country]], Region_Map[Country], 0)), "Unknown")</f>
        <v>Baltics</v>
      </c>
      <c r="H5330" t="s">
        <v>6949</v>
      </c>
    </row>
    <row r="5331" spans="1:8">
      <c r="A5331" t="s">
        <v>6223</v>
      </c>
      <c r="B5331" t="s">
        <v>285</v>
      </c>
      <c r="C5331" s="1">
        <v>45234</v>
      </c>
      <c r="D5331" s="1" t="str">
        <f>PROPER(orders[[#This Row],[order_priority]])</f>
        <v>Same Day</v>
      </c>
      <c r="E5331" t="s">
        <v>13321</v>
      </c>
      <c r="F5331" t="str">
        <f>IFERROR(INDEX(customers[country], MATCH(orders[[#This Row],[customer_id]], customers[customer_id], 0)), "Unmapped")</f>
        <v>Norway</v>
      </c>
      <c r="G5331" t="str">
        <f>IFERROR(INDEX(Region_Map[Region], MATCH(orders[[#This Row],[Customer_Country]], Region_Map[Country], 0)), "Unknown")</f>
        <v>Nordics</v>
      </c>
      <c r="H5331" t="s">
        <v>6949</v>
      </c>
    </row>
    <row r="5332" spans="1:8">
      <c r="A5332" t="s">
        <v>6224</v>
      </c>
      <c r="B5332" t="s">
        <v>515</v>
      </c>
      <c r="C5332" s="1">
        <v>45167</v>
      </c>
      <c r="D5332" s="1" t="str">
        <f>PROPER(orders[[#This Row],[order_priority]])</f>
        <v>Same Day</v>
      </c>
      <c r="E5332" t="s">
        <v>13322</v>
      </c>
      <c r="F5332" t="str">
        <f>IFERROR(INDEX(customers[country], MATCH(orders[[#This Row],[customer_id]], customers[customer_id], 0)), "Unmapped")</f>
        <v>Latvia</v>
      </c>
      <c r="G5332" t="str">
        <f>IFERROR(INDEX(Region_Map[Region], MATCH(orders[[#This Row],[Customer_Country]], Region_Map[Country], 0)), "Unknown")</f>
        <v>Baltics</v>
      </c>
      <c r="H5332" t="s">
        <v>6949</v>
      </c>
    </row>
    <row r="5333" spans="1:8">
      <c r="A5333" t="s">
        <v>6225</v>
      </c>
      <c r="B5333" t="s">
        <v>157</v>
      </c>
      <c r="C5333" s="1">
        <v>45481</v>
      </c>
      <c r="D5333" s="1" t="str">
        <f>PROPER(orders[[#This Row],[order_priority]])</f>
        <v>Economy</v>
      </c>
      <c r="E5333" t="s">
        <v>13316</v>
      </c>
      <c r="F5333" t="str">
        <f>IFERROR(INDEX(customers[country], MATCH(orders[[#This Row],[customer_id]], customers[customer_id], 0)), "Unmapped")</f>
        <v>Lithuania</v>
      </c>
      <c r="G5333" t="str">
        <f>IFERROR(INDEX(Region_Map[Region], MATCH(orders[[#This Row],[Customer_Country]], Region_Map[Country], 0)), "Unknown")</f>
        <v>Baltics</v>
      </c>
      <c r="H5333" t="s">
        <v>6949</v>
      </c>
    </row>
    <row r="5334" spans="1:8">
      <c r="A5334" t="s">
        <v>6226</v>
      </c>
      <c r="B5334" t="s">
        <v>285</v>
      </c>
      <c r="C5334" s="1">
        <v>45192</v>
      </c>
      <c r="D5334" s="1" t="str">
        <f>PROPER(orders[[#This Row],[order_priority]])</f>
        <v>Express</v>
      </c>
      <c r="E5334" t="s">
        <v>13318</v>
      </c>
      <c r="F5334" t="str">
        <f>IFERROR(INDEX(customers[country], MATCH(orders[[#This Row],[customer_id]], customers[customer_id], 0)), "Unmapped")</f>
        <v>Norway</v>
      </c>
      <c r="G5334" t="str">
        <f>IFERROR(INDEX(Region_Map[Region], MATCH(orders[[#This Row],[Customer_Country]], Region_Map[Country], 0)), "Unknown")</f>
        <v>Nordics</v>
      </c>
      <c r="H5334" t="s">
        <v>6949</v>
      </c>
    </row>
    <row r="5335" spans="1:8">
      <c r="A5335" t="s">
        <v>6227</v>
      </c>
      <c r="B5335" t="s">
        <v>527</v>
      </c>
      <c r="C5335" s="1">
        <v>44982</v>
      </c>
      <c r="D5335" s="1" t="str">
        <f>PROPER(orders[[#This Row],[order_priority]])</f>
        <v>Same Day</v>
      </c>
      <c r="E5335" t="s">
        <v>13322</v>
      </c>
      <c r="F5335" t="str">
        <f>IFERROR(INDEX(customers[country], MATCH(orders[[#This Row],[customer_id]], customers[customer_id], 0)), "Unmapped")</f>
        <v>Sweden</v>
      </c>
      <c r="G5335" t="str">
        <f>IFERROR(INDEX(Region_Map[Region], MATCH(orders[[#This Row],[Customer_Country]], Region_Map[Country], 0)), "Unknown")</f>
        <v>Nordics</v>
      </c>
      <c r="H5335" t="s">
        <v>6949</v>
      </c>
    </row>
    <row r="5336" spans="1:8">
      <c r="A5336" t="s">
        <v>6228</v>
      </c>
      <c r="B5336" t="s">
        <v>596</v>
      </c>
      <c r="C5336" s="1">
        <v>45208</v>
      </c>
      <c r="D5336" s="1" t="str">
        <f>PROPER(orders[[#This Row],[order_priority]])</f>
        <v>Same Day</v>
      </c>
      <c r="E5336" t="s">
        <v>13322</v>
      </c>
      <c r="F5336" t="str">
        <f>IFERROR(INDEX(customers[country], MATCH(orders[[#This Row],[customer_id]], customers[customer_id], 0)), "Unmapped")</f>
        <v>Lithuania</v>
      </c>
      <c r="G5336" t="str">
        <f>IFERROR(INDEX(Region_Map[Region], MATCH(orders[[#This Row],[Customer_Country]], Region_Map[Country], 0)), "Unknown")</f>
        <v>Baltics</v>
      </c>
      <c r="H5336" t="s">
        <v>6949</v>
      </c>
    </row>
    <row r="5337" spans="1:8">
      <c r="A5337" t="s">
        <v>6229</v>
      </c>
      <c r="B5337" t="s">
        <v>521</v>
      </c>
      <c r="C5337" s="1">
        <v>45532</v>
      </c>
      <c r="D5337" s="1" t="str">
        <f>PROPER(orders[[#This Row],[order_priority]])</f>
        <v>Same Day</v>
      </c>
      <c r="E5337" t="s">
        <v>13322</v>
      </c>
      <c r="F5337" t="str">
        <f>IFERROR(INDEX(customers[country], MATCH(orders[[#This Row],[customer_id]], customers[customer_id], 0)), "Unmapped")</f>
        <v>Norway</v>
      </c>
      <c r="G5337" t="str">
        <f>IFERROR(INDEX(Region_Map[Region], MATCH(orders[[#This Row],[Customer_Country]], Region_Map[Country], 0)), "Unknown")</f>
        <v>Nordics</v>
      </c>
      <c r="H5337" t="s">
        <v>6949</v>
      </c>
    </row>
    <row r="5338" spans="1:8">
      <c r="A5338" t="s">
        <v>6230</v>
      </c>
      <c r="B5338" t="s">
        <v>431</v>
      </c>
      <c r="C5338" s="1">
        <v>45187</v>
      </c>
      <c r="D5338" s="1" t="str">
        <f>PROPER(orders[[#This Row],[order_priority]])</f>
        <v>Express</v>
      </c>
      <c r="E5338" t="s">
        <v>13318</v>
      </c>
      <c r="F5338" t="str">
        <f>IFERROR(INDEX(customers[country], MATCH(orders[[#This Row],[customer_id]], customers[customer_id], 0)), "Unmapped")</f>
        <v>Sweden</v>
      </c>
      <c r="G5338" t="str">
        <f>IFERROR(INDEX(Region_Map[Region], MATCH(orders[[#This Row],[Customer_Country]], Region_Map[Country], 0)), "Unknown")</f>
        <v>Nordics</v>
      </c>
      <c r="H5338" t="s">
        <v>6949</v>
      </c>
    </row>
    <row r="5339" spans="1:8">
      <c r="A5339" t="s">
        <v>6231</v>
      </c>
      <c r="B5339" t="s">
        <v>332</v>
      </c>
      <c r="C5339" s="1">
        <v>44997</v>
      </c>
      <c r="D5339" s="1" t="str">
        <f>PROPER(orders[[#This Row],[order_priority]])</f>
        <v>Express</v>
      </c>
      <c r="E5339" t="s">
        <v>13318</v>
      </c>
      <c r="F5339" t="str">
        <f>IFERROR(INDEX(customers[country], MATCH(orders[[#This Row],[customer_id]], customers[customer_id], 0)), "Unmapped")</f>
        <v>Lithuania</v>
      </c>
      <c r="G5339" t="str">
        <f>IFERROR(INDEX(Region_Map[Region], MATCH(orders[[#This Row],[Customer_Country]], Region_Map[Country], 0)), "Unknown")</f>
        <v>Baltics</v>
      </c>
      <c r="H5339" t="s">
        <v>6949</v>
      </c>
    </row>
    <row r="5340" spans="1:8">
      <c r="A5340" t="s">
        <v>6232</v>
      </c>
      <c r="B5340" t="s">
        <v>888</v>
      </c>
      <c r="C5340" s="1">
        <v>45299</v>
      </c>
      <c r="D5340" s="1" t="str">
        <f>PROPER(orders[[#This Row],[order_priority]])</f>
        <v>Express</v>
      </c>
      <c r="E5340" t="s">
        <v>13318</v>
      </c>
      <c r="F5340" t="str">
        <f>IFERROR(INDEX(customers[country], MATCH(orders[[#This Row],[customer_id]], customers[customer_id], 0)), "Unmapped")</f>
        <v>Denmark</v>
      </c>
      <c r="G5340" t="str">
        <f>IFERROR(INDEX(Region_Map[Region], MATCH(orders[[#This Row],[Customer_Country]], Region_Map[Country], 0)), "Unknown")</f>
        <v>Nordics</v>
      </c>
      <c r="H5340" t="s">
        <v>6949</v>
      </c>
    </row>
    <row r="5341" spans="1:8">
      <c r="A5341" t="s">
        <v>6233</v>
      </c>
      <c r="B5341" t="s">
        <v>533</v>
      </c>
      <c r="C5341" s="1">
        <v>45503</v>
      </c>
      <c r="D5341" s="1" t="str">
        <f>PROPER(orders[[#This Row],[order_priority]])</f>
        <v>Express</v>
      </c>
      <c r="E5341" t="s">
        <v>13318</v>
      </c>
      <c r="F5341" t="str">
        <f>IFERROR(INDEX(customers[country], MATCH(orders[[#This Row],[customer_id]], customers[customer_id], 0)), "Unmapped")</f>
        <v>Germany</v>
      </c>
      <c r="G5341" t="str">
        <f>IFERROR(INDEX(Region_Map[Region], MATCH(orders[[#This Row],[Customer_Country]], Region_Map[Country], 0)), "Unknown")</f>
        <v>Central Europe</v>
      </c>
      <c r="H5341" t="s">
        <v>6949</v>
      </c>
    </row>
    <row r="5342" spans="1:8">
      <c r="A5342" t="s">
        <v>6234</v>
      </c>
      <c r="B5342" t="s">
        <v>175</v>
      </c>
      <c r="C5342" s="1">
        <v>45415</v>
      </c>
      <c r="D5342" s="1" t="str">
        <f>PROPER(orders[[#This Row],[order_priority]])</f>
        <v>Economy</v>
      </c>
      <c r="E5342" t="s">
        <v>13316</v>
      </c>
      <c r="F5342" t="str">
        <f>IFERROR(INDEX(customers[country], MATCH(orders[[#This Row],[customer_id]], customers[customer_id], 0)), "Unmapped")</f>
        <v>Sweden</v>
      </c>
      <c r="G5342" t="str">
        <f>IFERROR(INDEX(Region_Map[Region], MATCH(orders[[#This Row],[Customer_Country]], Region_Map[Country], 0)), "Unknown")</f>
        <v>Nordics</v>
      </c>
      <c r="H5342" t="s">
        <v>6949</v>
      </c>
    </row>
    <row r="5343" spans="1:8">
      <c r="A5343" t="s">
        <v>6235</v>
      </c>
      <c r="B5343" t="s">
        <v>160</v>
      </c>
      <c r="C5343" s="1">
        <v>45035</v>
      </c>
      <c r="D5343" s="1" t="str">
        <f>PROPER(orders[[#This Row],[order_priority]])</f>
        <v>Standard</v>
      </c>
      <c r="E5343" t="s">
        <v>13317</v>
      </c>
      <c r="F5343" t="str">
        <f>IFERROR(INDEX(customers[country], MATCH(orders[[#This Row],[customer_id]], customers[customer_id], 0)), "Unmapped")</f>
        <v>Denmark</v>
      </c>
      <c r="G5343" t="str">
        <f>IFERROR(INDEX(Region_Map[Region], MATCH(orders[[#This Row],[Customer_Country]], Region_Map[Country], 0)), "Unknown")</f>
        <v>Nordics</v>
      </c>
      <c r="H5343" t="s">
        <v>6949</v>
      </c>
    </row>
    <row r="5344" spans="1:8">
      <c r="A5344" t="s">
        <v>6236</v>
      </c>
      <c r="B5344" t="s">
        <v>473</v>
      </c>
      <c r="C5344" s="1">
        <v>45212</v>
      </c>
      <c r="D5344" s="1" t="str">
        <f>PROPER(orders[[#This Row],[order_priority]])</f>
        <v>Same Day</v>
      </c>
      <c r="E5344" t="s">
        <v>13322</v>
      </c>
      <c r="F5344" t="str">
        <f>IFERROR(INDEX(customers[country], MATCH(orders[[#This Row],[customer_id]], customers[customer_id], 0)), "Unmapped")</f>
        <v>Netherlands</v>
      </c>
      <c r="G5344" t="str">
        <f>IFERROR(INDEX(Region_Map[Region], MATCH(orders[[#This Row],[Customer_Country]], Region_Map[Country], 0)), "Unknown")</f>
        <v>Central Europe</v>
      </c>
      <c r="H5344" t="s">
        <v>6949</v>
      </c>
    </row>
    <row r="5345" spans="1:8">
      <c r="A5345" t="s">
        <v>6237</v>
      </c>
      <c r="B5345" t="s">
        <v>500</v>
      </c>
      <c r="C5345" s="1">
        <v>45518</v>
      </c>
      <c r="D5345" s="1" t="str">
        <f>PROPER(orders[[#This Row],[order_priority]])</f>
        <v>Economy</v>
      </c>
      <c r="E5345" t="s">
        <v>13316</v>
      </c>
      <c r="F5345" t="str">
        <f>IFERROR(INDEX(customers[country], MATCH(orders[[#This Row],[customer_id]], customers[customer_id], 0)), "Unmapped")</f>
        <v>Estonia</v>
      </c>
      <c r="G5345" t="str">
        <f>IFERROR(INDEX(Region_Map[Region], MATCH(orders[[#This Row],[Customer_Country]], Region_Map[Country], 0)), "Unknown")</f>
        <v>Baltics</v>
      </c>
      <c r="H5345" t="s">
        <v>6949</v>
      </c>
    </row>
    <row r="5346" spans="1:8">
      <c r="A5346" t="s">
        <v>6238</v>
      </c>
      <c r="B5346" t="s">
        <v>27</v>
      </c>
      <c r="C5346" s="1">
        <v>44997</v>
      </c>
      <c r="D5346" s="1" t="str">
        <f>PROPER(orders[[#This Row],[order_priority]])</f>
        <v>Same Day</v>
      </c>
      <c r="E5346" t="s">
        <v>13322</v>
      </c>
      <c r="F5346" t="str">
        <f>IFERROR(INDEX(customers[country], MATCH(orders[[#This Row],[customer_id]], customers[customer_id], 0)), "Unmapped")</f>
        <v>Latvia</v>
      </c>
      <c r="G5346" t="str">
        <f>IFERROR(INDEX(Region_Map[Region], MATCH(orders[[#This Row],[Customer_Country]], Region_Map[Country], 0)), "Unknown")</f>
        <v>Baltics</v>
      </c>
      <c r="H5346" t="s">
        <v>6949</v>
      </c>
    </row>
    <row r="5347" spans="1:8">
      <c r="A5347" t="s">
        <v>6239</v>
      </c>
      <c r="B5347" t="s">
        <v>359</v>
      </c>
      <c r="C5347" s="1">
        <v>44968</v>
      </c>
      <c r="D5347" s="1" t="str">
        <f>PROPER(orders[[#This Row],[order_priority]])</f>
        <v>Express</v>
      </c>
      <c r="E5347" t="s">
        <v>13320</v>
      </c>
      <c r="F5347" t="str">
        <f>IFERROR(INDEX(customers[country], MATCH(orders[[#This Row],[customer_id]], customers[customer_id], 0)), "Unmapped")</f>
        <v>Estonia</v>
      </c>
      <c r="G5347" t="str">
        <f>IFERROR(INDEX(Region_Map[Region], MATCH(orders[[#This Row],[Customer_Country]], Region_Map[Country], 0)), "Unknown")</f>
        <v>Baltics</v>
      </c>
      <c r="H5347" t="s">
        <v>6949</v>
      </c>
    </row>
    <row r="5348" spans="1:8">
      <c r="A5348" t="s">
        <v>6240</v>
      </c>
      <c r="B5348" t="s">
        <v>297</v>
      </c>
      <c r="C5348" s="1">
        <v>45107</v>
      </c>
      <c r="D5348" s="1" t="str">
        <f>PROPER(orders[[#This Row],[order_priority]])</f>
        <v>Express</v>
      </c>
      <c r="E5348" t="s">
        <v>13318</v>
      </c>
      <c r="F5348" t="str">
        <f>IFERROR(INDEX(customers[country], MATCH(orders[[#This Row],[customer_id]], customers[customer_id], 0)), "Unmapped")</f>
        <v>Poland</v>
      </c>
      <c r="G5348" t="str">
        <f>IFERROR(INDEX(Region_Map[Region], MATCH(orders[[#This Row],[Customer_Country]], Region_Map[Country], 0)), "Unknown")</f>
        <v>Central Europe</v>
      </c>
      <c r="H5348" t="s">
        <v>6949</v>
      </c>
    </row>
    <row r="5349" spans="1:8">
      <c r="A5349" t="s">
        <v>6241</v>
      </c>
      <c r="B5349" t="s">
        <v>650</v>
      </c>
      <c r="C5349" s="1">
        <v>45387</v>
      </c>
      <c r="D5349" s="1" t="str">
        <f>PROPER(orders[[#This Row],[order_priority]])</f>
        <v>Same Day</v>
      </c>
      <c r="E5349" t="s">
        <v>13322</v>
      </c>
      <c r="F5349" t="str">
        <f>IFERROR(INDEX(customers[country], MATCH(orders[[#This Row],[customer_id]], customers[customer_id], 0)), "Unmapped")</f>
        <v>Poland</v>
      </c>
      <c r="G5349" t="str">
        <f>IFERROR(INDEX(Region_Map[Region], MATCH(orders[[#This Row],[Customer_Country]], Region_Map[Country], 0)), "Unknown")</f>
        <v>Central Europe</v>
      </c>
      <c r="H5349" t="s">
        <v>6949</v>
      </c>
    </row>
    <row r="5350" spans="1:8">
      <c r="A5350" t="s">
        <v>6242</v>
      </c>
      <c r="B5350" t="s">
        <v>234</v>
      </c>
      <c r="C5350" s="1">
        <v>45177</v>
      </c>
      <c r="D5350" s="1" t="str">
        <f>PROPER(orders[[#This Row],[order_priority]])</f>
        <v>Same Day</v>
      </c>
      <c r="E5350" t="s">
        <v>13322</v>
      </c>
      <c r="F5350" t="str">
        <f>IFERROR(INDEX(customers[country], MATCH(orders[[#This Row],[customer_id]], customers[customer_id], 0)), "Unmapped")</f>
        <v>Finland</v>
      </c>
      <c r="G5350" t="str">
        <f>IFERROR(INDEX(Region_Map[Region], MATCH(orders[[#This Row],[Customer_Country]], Region_Map[Country], 0)), "Unknown")</f>
        <v>Nordics</v>
      </c>
      <c r="H5350" t="s">
        <v>6949</v>
      </c>
    </row>
    <row r="5351" spans="1:8">
      <c r="A5351" t="s">
        <v>6243</v>
      </c>
      <c r="B5351" t="s">
        <v>175</v>
      </c>
      <c r="C5351" s="1">
        <v>45160</v>
      </c>
      <c r="D5351" s="1" t="str">
        <f>PROPER(orders[[#This Row],[order_priority]])</f>
        <v>Economy</v>
      </c>
      <c r="E5351" t="s">
        <v>13316</v>
      </c>
      <c r="F5351" t="str">
        <f>IFERROR(INDEX(customers[country], MATCH(orders[[#This Row],[customer_id]], customers[customer_id], 0)), "Unmapped")</f>
        <v>Sweden</v>
      </c>
      <c r="G5351" t="str">
        <f>IFERROR(INDEX(Region_Map[Region], MATCH(orders[[#This Row],[Customer_Country]], Region_Map[Country], 0)), "Unknown")</f>
        <v>Nordics</v>
      </c>
      <c r="H5351" t="s">
        <v>6949</v>
      </c>
    </row>
    <row r="5352" spans="1:8">
      <c r="A5352" t="s">
        <v>6244</v>
      </c>
      <c r="B5352" t="s">
        <v>524</v>
      </c>
      <c r="C5352" s="1">
        <v>45124</v>
      </c>
      <c r="D5352" s="1" t="str">
        <f>PROPER(orders[[#This Row],[order_priority]])</f>
        <v>Standard</v>
      </c>
      <c r="E5352" t="s">
        <v>13317</v>
      </c>
      <c r="F5352" t="str">
        <f>IFERROR(INDEX(customers[country], MATCH(orders[[#This Row],[customer_id]], customers[customer_id], 0)), "Unmapped")</f>
        <v>Norway</v>
      </c>
      <c r="G5352" t="str">
        <f>IFERROR(INDEX(Region_Map[Region], MATCH(orders[[#This Row],[Customer_Country]], Region_Map[Country], 0)), "Unknown")</f>
        <v>Nordics</v>
      </c>
      <c r="H5352" t="s">
        <v>6949</v>
      </c>
    </row>
    <row r="5353" spans="1:8">
      <c r="A5353" t="s">
        <v>6245</v>
      </c>
      <c r="B5353" t="s">
        <v>828</v>
      </c>
      <c r="C5353" s="1">
        <v>45156</v>
      </c>
      <c r="D5353" s="1" t="str">
        <f>PROPER(orders[[#This Row],[order_priority]])</f>
        <v>Same Day</v>
      </c>
      <c r="E5353" t="s">
        <v>13322</v>
      </c>
      <c r="F5353" t="str">
        <f>IFERROR(INDEX(customers[country], MATCH(orders[[#This Row],[customer_id]], customers[customer_id], 0)), "Unmapped")</f>
        <v>Germany</v>
      </c>
      <c r="G5353" t="str">
        <f>IFERROR(INDEX(Region_Map[Region], MATCH(orders[[#This Row],[Customer_Country]], Region_Map[Country], 0)), "Unknown")</f>
        <v>Central Europe</v>
      </c>
      <c r="H5353" t="s">
        <v>6949</v>
      </c>
    </row>
    <row r="5354" spans="1:8">
      <c r="A5354" t="s">
        <v>6246</v>
      </c>
      <c r="B5354" t="s">
        <v>30</v>
      </c>
      <c r="C5354" s="1">
        <v>44937</v>
      </c>
      <c r="D5354" s="1" t="str">
        <f>PROPER(orders[[#This Row],[order_priority]])</f>
        <v>Same Day</v>
      </c>
      <c r="E5354" t="s">
        <v>13322</v>
      </c>
      <c r="F5354" t="str">
        <f>IFERROR(INDEX(customers[country], MATCH(orders[[#This Row],[customer_id]], customers[customer_id], 0)), "Unmapped")</f>
        <v>Netherlands</v>
      </c>
      <c r="G5354" t="str">
        <f>IFERROR(INDEX(Region_Map[Region], MATCH(orders[[#This Row],[Customer_Country]], Region_Map[Country], 0)), "Unknown")</f>
        <v>Central Europe</v>
      </c>
      <c r="H5354" t="s">
        <v>6949</v>
      </c>
    </row>
    <row r="5355" spans="1:8">
      <c r="A5355" t="s">
        <v>6247</v>
      </c>
      <c r="B5355" t="s">
        <v>694</v>
      </c>
      <c r="C5355" s="1">
        <v>45333</v>
      </c>
      <c r="D5355" s="1" t="str">
        <f>PROPER(orders[[#This Row],[order_priority]])</f>
        <v>Economy</v>
      </c>
      <c r="E5355" t="s">
        <v>13325</v>
      </c>
      <c r="F5355" t="str">
        <f>IFERROR(INDEX(customers[country], MATCH(orders[[#This Row],[customer_id]], customers[customer_id], 0)), "Unmapped")</f>
        <v>Lithuania</v>
      </c>
      <c r="G5355" t="str">
        <f>IFERROR(INDEX(Region_Map[Region], MATCH(orders[[#This Row],[Customer_Country]], Region_Map[Country], 0)), "Unknown")</f>
        <v>Baltics</v>
      </c>
      <c r="H5355" t="s">
        <v>6949</v>
      </c>
    </row>
    <row r="5356" spans="1:8">
      <c r="A5356" t="s">
        <v>6248</v>
      </c>
      <c r="B5356" t="s">
        <v>790</v>
      </c>
      <c r="C5356" s="1">
        <v>45058</v>
      </c>
      <c r="D5356" s="1" t="str">
        <f>PROPER(orders[[#This Row],[order_priority]])</f>
        <v>Same Day</v>
      </c>
      <c r="E5356" t="s">
        <v>13322</v>
      </c>
      <c r="F5356" t="str">
        <f>IFERROR(INDEX(customers[country], MATCH(orders[[#This Row],[customer_id]], customers[customer_id], 0)), "Unmapped")</f>
        <v>Germany</v>
      </c>
      <c r="G5356" t="str">
        <f>IFERROR(INDEX(Region_Map[Region], MATCH(orders[[#This Row],[Customer_Country]], Region_Map[Country], 0)), "Unknown")</f>
        <v>Central Europe</v>
      </c>
      <c r="H5356" t="s">
        <v>6949</v>
      </c>
    </row>
    <row r="5357" spans="1:8">
      <c r="A5357" t="s">
        <v>6249</v>
      </c>
      <c r="B5357" t="s">
        <v>377</v>
      </c>
      <c r="C5357" s="1">
        <v>45475</v>
      </c>
      <c r="D5357" s="1" t="str">
        <f>PROPER(orders[[#This Row],[order_priority]])</f>
        <v>Express</v>
      </c>
      <c r="E5357" t="s">
        <v>13320</v>
      </c>
      <c r="F5357" t="str">
        <f>IFERROR(INDEX(customers[country], MATCH(orders[[#This Row],[customer_id]], customers[customer_id], 0)), "Unmapped")</f>
        <v>Denmark</v>
      </c>
      <c r="G5357" t="str">
        <f>IFERROR(INDEX(Region_Map[Region], MATCH(orders[[#This Row],[Customer_Country]], Region_Map[Country], 0)), "Unknown")</f>
        <v>Nordics</v>
      </c>
      <c r="H5357" t="s">
        <v>6949</v>
      </c>
    </row>
    <row r="5358" spans="1:8">
      <c r="A5358" t="s">
        <v>6250</v>
      </c>
      <c r="B5358" t="s">
        <v>479</v>
      </c>
      <c r="C5358" s="1">
        <v>45293</v>
      </c>
      <c r="D5358" s="1" t="str">
        <f>PROPER(orders[[#This Row],[order_priority]])</f>
        <v>Standard</v>
      </c>
      <c r="E5358" t="s">
        <v>13317</v>
      </c>
      <c r="F5358" t="str">
        <f>IFERROR(INDEX(customers[country], MATCH(orders[[#This Row],[customer_id]], customers[customer_id], 0)), "Unmapped")</f>
        <v>Latvia</v>
      </c>
      <c r="G5358" t="str">
        <f>IFERROR(INDEX(Region_Map[Region], MATCH(orders[[#This Row],[Customer_Country]], Region_Map[Country], 0)), "Unknown")</f>
        <v>Baltics</v>
      </c>
      <c r="H5358" t="s">
        <v>6949</v>
      </c>
    </row>
    <row r="5359" spans="1:8">
      <c r="A5359" t="s">
        <v>6251</v>
      </c>
      <c r="B5359" t="s">
        <v>428</v>
      </c>
      <c r="C5359" s="1">
        <v>45029</v>
      </c>
      <c r="D5359" s="1" t="str">
        <f>PROPER(orders[[#This Row],[order_priority]])</f>
        <v>Express</v>
      </c>
      <c r="E5359" t="s">
        <v>13318</v>
      </c>
      <c r="F5359" t="str">
        <f>IFERROR(INDEX(customers[country], MATCH(orders[[#This Row],[customer_id]], customers[customer_id], 0)), "Unmapped")</f>
        <v>Finland</v>
      </c>
      <c r="G5359" t="str">
        <f>IFERROR(INDEX(Region_Map[Region], MATCH(orders[[#This Row],[Customer_Country]], Region_Map[Country], 0)), "Unknown")</f>
        <v>Nordics</v>
      </c>
      <c r="H5359" t="s">
        <v>6949</v>
      </c>
    </row>
    <row r="5360" spans="1:8">
      <c r="A5360" t="s">
        <v>6252</v>
      </c>
      <c r="B5360" t="s">
        <v>440</v>
      </c>
      <c r="C5360" s="1">
        <v>45078</v>
      </c>
      <c r="D5360" s="1" t="str">
        <f>PROPER(orders[[#This Row],[order_priority]])</f>
        <v>Economy</v>
      </c>
      <c r="E5360" t="s">
        <v>13316</v>
      </c>
      <c r="F5360" t="str">
        <f>IFERROR(INDEX(customers[country], MATCH(orders[[#This Row],[customer_id]], customers[customer_id], 0)), "Unmapped")</f>
        <v>Poland</v>
      </c>
      <c r="G5360" t="str">
        <f>IFERROR(INDEX(Region_Map[Region], MATCH(orders[[#This Row],[Customer_Country]], Region_Map[Country], 0)), "Unknown")</f>
        <v>Central Europe</v>
      </c>
      <c r="H5360" t="s">
        <v>6949</v>
      </c>
    </row>
    <row r="5361" spans="1:8">
      <c r="A5361" t="s">
        <v>6253</v>
      </c>
      <c r="B5361" t="s">
        <v>201</v>
      </c>
      <c r="C5361" s="1">
        <v>45547</v>
      </c>
      <c r="D5361" s="1" t="str">
        <f>PROPER(orders[[#This Row],[order_priority]])</f>
        <v>Economy</v>
      </c>
      <c r="E5361" t="s">
        <v>13328</v>
      </c>
      <c r="F5361" t="str">
        <f>IFERROR(INDEX(customers[country], MATCH(orders[[#This Row],[customer_id]], customers[customer_id], 0)), "Unmapped")</f>
        <v>Estonia</v>
      </c>
      <c r="G5361" t="str">
        <f>IFERROR(INDEX(Region_Map[Region], MATCH(orders[[#This Row],[Customer_Country]], Region_Map[Country], 0)), "Unknown")</f>
        <v>Baltics</v>
      </c>
      <c r="H5361" t="s">
        <v>6949</v>
      </c>
    </row>
    <row r="5362" spans="1:8">
      <c r="A5362" t="s">
        <v>6254</v>
      </c>
      <c r="B5362" t="s">
        <v>476</v>
      </c>
      <c r="C5362" s="1">
        <v>45265</v>
      </c>
      <c r="D5362" s="1" t="str">
        <f>PROPER(orders[[#This Row],[order_priority]])</f>
        <v>Same Day</v>
      </c>
      <c r="E5362" t="s">
        <v>13322</v>
      </c>
      <c r="F5362" t="str">
        <f>IFERROR(INDEX(customers[country], MATCH(orders[[#This Row],[customer_id]], customers[customer_id], 0)), "Unmapped")</f>
        <v>Norway</v>
      </c>
      <c r="G5362" t="str">
        <f>IFERROR(INDEX(Region_Map[Region], MATCH(orders[[#This Row],[Customer_Country]], Region_Map[Country], 0)), "Unknown")</f>
        <v>Nordics</v>
      </c>
      <c r="H5362" t="s">
        <v>6949</v>
      </c>
    </row>
    <row r="5363" spans="1:8">
      <c r="A5363" t="s">
        <v>6255</v>
      </c>
      <c r="B5363" t="s">
        <v>368</v>
      </c>
      <c r="C5363" s="1">
        <v>45365</v>
      </c>
      <c r="D5363" s="1" t="str">
        <f>PROPER(orders[[#This Row],[order_priority]])</f>
        <v>Economy</v>
      </c>
      <c r="E5363" t="s">
        <v>13316</v>
      </c>
      <c r="F5363" t="str">
        <f>IFERROR(INDEX(customers[country], MATCH(orders[[#This Row],[customer_id]], customers[customer_id], 0)), "Unmapped")</f>
        <v>Poland</v>
      </c>
      <c r="G5363" t="str">
        <f>IFERROR(INDEX(Region_Map[Region], MATCH(orders[[#This Row],[Customer_Country]], Region_Map[Country], 0)), "Unknown")</f>
        <v>Central Europe</v>
      </c>
      <c r="H5363" t="s">
        <v>6949</v>
      </c>
    </row>
    <row r="5364" spans="1:8">
      <c r="A5364" t="s">
        <v>6256</v>
      </c>
      <c r="B5364" t="s">
        <v>449</v>
      </c>
      <c r="C5364" s="1">
        <v>45191</v>
      </c>
      <c r="D5364" s="1" t="str">
        <f>PROPER(orders[[#This Row],[order_priority]])</f>
        <v>Standard</v>
      </c>
      <c r="E5364" t="s">
        <v>13317</v>
      </c>
      <c r="F5364" t="str">
        <f>IFERROR(INDEX(customers[country], MATCH(orders[[#This Row],[customer_id]], customers[customer_id], 0)), "Unmapped")</f>
        <v>Norway</v>
      </c>
      <c r="G5364" t="str">
        <f>IFERROR(INDEX(Region_Map[Region], MATCH(orders[[#This Row],[Customer_Country]], Region_Map[Country], 0)), "Unknown")</f>
        <v>Nordics</v>
      </c>
      <c r="H5364" t="s">
        <v>6949</v>
      </c>
    </row>
    <row r="5365" spans="1:8">
      <c r="A5365" t="s">
        <v>6257</v>
      </c>
      <c r="B5365" t="s">
        <v>527</v>
      </c>
      <c r="C5365" s="1">
        <v>45450</v>
      </c>
      <c r="D5365" s="1" t="str">
        <f>PROPER(orders[[#This Row],[order_priority]])</f>
        <v>Express</v>
      </c>
      <c r="E5365" t="s">
        <v>13326</v>
      </c>
      <c r="F5365" t="str">
        <f>IFERROR(INDEX(customers[country], MATCH(orders[[#This Row],[customer_id]], customers[customer_id], 0)), "Unmapped")</f>
        <v>Sweden</v>
      </c>
      <c r="G5365" t="str">
        <f>IFERROR(INDEX(Region_Map[Region], MATCH(orders[[#This Row],[Customer_Country]], Region_Map[Country], 0)), "Unknown")</f>
        <v>Nordics</v>
      </c>
      <c r="H5365" t="s">
        <v>6949</v>
      </c>
    </row>
    <row r="5366" spans="1:8">
      <c r="A5366" t="s">
        <v>6258</v>
      </c>
      <c r="B5366" t="s">
        <v>136</v>
      </c>
      <c r="C5366" s="1">
        <v>45588</v>
      </c>
      <c r="D5366" s="1" t="str">
        <f>PROPER(orders[[#This Row],[order_priority]])</f>
        <v>Economy</v>
      </c>
      <c r="E5366" t="s">
        <v>13316</v>
      </c>
      <c r="F5366" t="str">
        <f>IFERROR(INDEX(customers[country], MATCH(orders[[#This Row],[customer_id]], customers[customer_id], 0)), "Unmapped")</f>
        <v>Sweden</v>
      </c>
      <c r="G5366" t="str">
        <f>IFERROR(INDEX(Region_Map[Region], MATCH(orders[[#This Row],[Customer_Country]], Region_Map[Country], 0)), "Unknown")</f>
        <v>Nordics</v>
      </c>
      <c r="H5366" t="s">
        <v>6949</v>
      </c>
    </row>
    <row r="5367" spans="1:8">
      <c r="A5367" t="s">
        <v>6259</v>
      </c>
      <c r="B5367" t="s">
        <v>90</v>
      </c>
      <c r="C5367" s="1">
        <v>45269</v>
      </c>
      <c r="D5367" s="1" t="str">
        <f>PROPER(orders[[#This Row],[order_priority]])</f>
        <v>Express</v>
      </c>
      <c r="E5367" t="s">
        <v>13326</v>
      </c>
      <c r="F5367" t="str">
        <f>IFERROR(INDEX(customers[country], MATCH(orders[[#This Row],[customer_id]], customers[customer_id], 0)), "Unmapped")</f>
        <v>Netherlands</v>
      </c>
      <c r="G5367" t="str">
        <f>IFERROR(INDEX(Region_Map[Region], MATCH(orders[[#This Row],[Customer_Country]], Region_Map[Country], 0)), "Unknown")</f>
        <v>Central Europe</v>
      </c>
      <c r="H5367" t="s">
        <v>6949</v>
      </c>
    </row>
    <row r="5368" spans="1:8">
      <c r="A5368" t="s">
        <v>6260</v>
      </c>
      <c r="B5368" t="s">
        <v>300</v>
      </c>
      <c r="C5368" s="1">
        <v>45496</v>
      </c>
      <c r="D5368" s="1" t="str">
        <f>PROPER(orders[[#This Row],[order_priority]])</f>
        <v>Same Day</v>
      </c>
      <c r="E5368" t="s">
        <v>13322</v>
      </c>
      <c r="F5368" t="str">
        <f>IFERROR(INDEX(customers[country], MATCH(orders[[#This Row],[customer_id]], customers[customer_id], 0)), "Unmapped")</f>
        <v>Poland</v>
      </c>
      <c r="G5368" t="str">
        <f>IFERROR(INDEX(Region_Map[Region], MATCH(orders[[#This Row],[Customer_Country]], Region_Map[Country], 0)), "Unknown")</f>
        <v>Central Europe</v>
      </c>
      <c r="H5368" t="s">
        <v>6949</v>
      </c>
    </row>
    <row r="5369" spans="1:8">
      <c r="A5369" t="s">
        <v>6261</v>
      </c>
      <c r="B5369" t="s">
        <v>758</v>
      </c>
      <c r="C5369" s="1">
        <v>45142</v>
      </c>
      <c r="D5369" s="1" t="str">
        <f>PROPER(orders[[#This Row],[order_priority]])</f>
        <v>Express</v>
      </c>
      <c r="E5369" t="s">
        <v>13318</v>
      </c>
      <c r="F5369" t="str">
        <f>IFERROR(INDEX(customers[country], MATCH(orders[[#This Row],[customer_id]], customers[customer_id], 0)), "Unmapped")</f>
        <v>Estonia</v>
      </c>
      <c r="G5369" t="str">
        <f>IFERROR(INDEX(Region_Map[Region], MATCH(orders[[#This Row],[Customer_Country]], Region_Map[Country], 0)), "Unknown")</f>
        <v>Baltics</v>
      </c>
      <c r="H5369" t="s">
        <v>6949</v>
      </c>
    </row>
    <row r="5370" spans="1:8">
      <c r="A5370" t="s">
        <v>6262</v>
      </c>
      <c r="B5370" t="s">
        <v>344</v>
      </c>
      <c r="C5370" s="1">
        <v>45346</v>
      </c>
      <c r="D5370" s="1" t="str">
        <f>PROPER(orders[[#This Row],[order_priority]])</f>
        <v>Same Day</v>
      </c>
      <c r="E5370" t="s">
        <v>13322</v>
      </c>
      <c r="F5370" t="str">
        <f>IFERROR(INDEX(customers[country], MATCH(orders[[#This Row],[customer_id]], customers[customer_id], 0)), "Unmapped")</f>
        <v>Estonia</v>
      </c>
      <c r="G5370" t="str">
        <f>IFERROR(INDEX(Region_Map[Region], MATCH(orders[[#This Row],[Customer_Country]], Region_Map[Country], 0)), "Unknown")</f>
        <v>Baltics</v>
      </c>
      <c r="H5370" t="s">
        <v>6949</v>
      </c>
    </row>
    <row r="5371" spans="1:8">
      <c r="A5371" t="s">
        <v>6263</v>
      </c>
      <c r="B5371" t="s">
        <v>297</v>
      </c>
      <c r="C5371" s="1">
        <v>45135</v>
      </c>
      <c r="D5371" s="1" t="str">
        <f>PROPER(orders[[#This Row],[order_priority]])</f>
        <v>Standard</v>
      </c>
      <c r="E5371" t="s">
        <v>13317</v>
      </c>
      <c r="F5371" t="str">
        <f>IFERROR(INDEX(customers[country], MATCH(orders[[#This Row],[customer_id]], customers[customer_id], 0)), "Unmapped")</f>
        <v>Poland</v>
      </c>
      <c r="G5371" t="str">
        <f>IFERROR(INDEX(Region_Map[Region], MATCH(orders[[#This Row],[Customer_Country]], Region_Map[Country], 0)), "Unknown")</f>
        <v>Central Europe</v>
      </c>
      <c r="H5371" t="s">
        <v>6949</v>
      </c>
    </row>
    <row r="5372" spans="1:8">
      <c r="A5372" t="s">
        <v>6264</v>
      </c>
      <c r="B5372" t="s">
        <v>157</v>
      </c>
      <c r="C5372" s="1">
        <v>45135</v>
      </c>
      <c r="D5372" s="1" t="str">
        <f>PROPER(orders[[#This Row],[order_priority]])</f>
        <v>Same Day</v>
      </c>
      <c r="E5372" t="s">
        <v>13322</v>
      </c>
      <c r="F5372" t="str">
        <f>IFERROR(INDEX(customers[country], MATCH(orders[[#This Row],[customer_id]], customers[customer_id], 0)), "Unmapped")</f>
        <v>Lithuania</v>
      </c>
      <c r="G5372" t="str">
        <f>IFERROR(INDEX(Region_Map[Region], MATCH(orders[[#This Row],[Customer_Country]], Region_Map[Country], 0)), "Unknown")</f>
        <v>Baltics</v>
      </c>
      <c r="H5372" t="s">
        <v>6949</v>
      </c>
    </row>
    <row r="5373" spans="1:8">
      <c r="A5373" t="s">
        <v>6265</v>
      </c>
      <c r="B5373" t="s">
        <v>760</v>
      </c>
      <c r="C5373" s="1">
        <v>45086</v>
      </c>
      <c r="D5373" s="1" t="str">
        <f>PROPER(orders[[#This Row],[order_priority]])</f>
        <v>Same Day</v>
      </c>
      <c r="E5373" t="s">
        <v>13322</v>
      </c>
      <c r="F5373" t="str">
        <f>IFERROR(INDEX(customers[country], MATCH(orders[[#This Row],[customer_id]], customers[customer_id], 0)), "Unmapped")</f>
        <v>Poland</v>
      </c>
      <c r="G5373" t="str">
        <f>IFERROR(INDEX(Region_Map[Region], MATCH(orders[[#This Row],[Customer_Country]], Region_Map[Country], 0)), "Unknown")</f>
        <v>Central Europe</v>
      </c>
      <c r="H5373" t="s">
        <v>6949</v>
      </c>
    </row>
    <row r="5374" spans="1:8">
      <c r="A5374" t="s">
        <v>6266</v>
      </c>
      <c r="B5374" t="s">
        <v>467</v>
      </c>
      <c r="C5374" s="1">
        <v>45273</v>
      </c>
      <c r="D5374" s="1" t="str">
        <f>PROPER(orders[[#This Row],[order_priority]])</f>
        <v>Economy</v>
      </c>
      <c r="E5374" t="s">
        <v>13316</v>
      </c>
      <c r="F5374" t="str">
        <f>IFERROR(INDEX(customers[country], MATCH(orders[[#This Row],[customer_id]], customers[customer_id], 0)), "Unmapped")</f>
        <v>Latvia</v>
      </c>
      <c r="G5374" t="str">
        <f>IFERROR(INDEX(Region_Map[Region], MATCH(orders[[#This Row],[Customer_Country]], Region_Map[Country], 0)), "Unknown")</f>
        <v>Baltics</v>
      </c>
      <c r="H5374" t="s">
        <v>6949</v>
      </c>
    </row>
    <row r="5375" spans="1:8">
      <c r="A5375" t="s">
        <v>6267</v>
      </c>
      <c r="B5375" t="s">
        <v>802</v>
      </c>
      <c r="C5375" s="1">
        <v>44933</v>
      </c>
      <c r="D5375" s="1" t="str">
        <f>PROPER(orders[[#This Row],[order_priority]])</f>
        <v>Economy</v>
      </c>
      <c r="E5375" t="s">
        <v>13316</v>
      </c>
      <c r="F5375" t="str">
        <f>IFERROR(INDEX(customers[country], MATCH(orders[[#This Row],[customer_id]], customers[customer_id], 0)), "Unmapped")</f>
        <v>Poland</v>
      </c>
      <c r="G5375" t="str">
        <f>IFERROR(INDEX(Region_Map[Region], MATCH(orders[[#This Row],[Customer_Country]], Region_Map[Country], 0)), "Unknown")</f>
        <v>Central Europe</v>
      </c>
      <c r="H5375" t="s">
        <v>6949</v>
      </c>
    </row>
    <row r="5376" spans="1:8">
      <c r="A5376" t="s">
        <v>6268</v>
      </c>
      <c r="B5376" t="s">
        <v>515</v>
      </c>
      <c r="C5376" s="1">
        <v>45590</v>
      </c>
      <c r="D5376" s="1" t="str">
        <f>PROPER(orders[[#This Row],[order_priority]])</f>
        <v>Same Day</v>
      </c>
      <c r="E5376" t="s">
        <v>13322</v>
      </c>
      <c r="F5376" t="str">
        <f>IFERROR(INDEX(customers[country], MATCH(orders[[#This Row],[customer_id]], customers[customer_id], 0)), "Unmapped")</f>
        <v>Latvia</v>
      </c>
      <c r="G5376" t="str">
        <f>IFERROR(INDEX(Region_Map[Region], MATCH(orders[[#This Row],[Customer_Country]], Region_Map[Country], 0)), "Unknown")</f>
        <v>Baltics</v>
      </c>
      <c r="H5376" t="s">
        <v>6949</v>
      </c>
    </row>
    <row r="5377" spans="1:8">
      <c r="A5377" t="s">
        <v>6269</v>
      </c>
      <c r="B5377" t="s">
        <v>201</v>
      </c>
      <c r="C5377" s="1">
        <v>45284</v>
      </c>
      <c r="D5377" s="1" t="str">
        <f>PROPER(orders[[#This Row],[order_priority]])</f>
        <v>Express</v>
      </c>
      <c r="E5377" t="s">
        <v>13318</v>
      </c>
      <c r="F5377" t="str">
        <f>IFERROR(INDEX(customers[country], MATCH(orders[[#This Row],[customer_id]], customers[customer_id], 0)), "Unmapped")</f>
        <v>Estonia</v>
      </c>
      <c r="G5377" t="str">
        <f>IFERROR(INDEX(Region_Map[Region], MATCH(orders[[#This Row],[Customer_Country]], Region_Map[Country], 0)), "Unknown")</f>
        <v>Baltics</v>
      </c>
      <c r="H5377" t="s">
        <v>6949</v>
      </c>
    </row>
    <row r="5378" spans="1:8">
      <c r="A5378" t="s">
        <v>6270</v>
      </c>
      <c r="B5378" t="s">
        <v>846</v>
      </c>
      <c r="C5378" s="1">
        <v>45396</v>
      </c>
      <c r="D5378" s="1" t="str">
        <f>PROPER(orders[[#This Row],[order_priority]])</f>
        <v>Express</v>
      </c>
      <c r="E5378" t="s">
        <v>13318</v>
      </c>
      <c r="F5378" t="str">
        <f>IFERROR(INDEX(customers[country], MATCH(orders[[#This Row],[customer_id]], customers[customer_id], 0)), "Unmapped")</f>
        <v>Netherlands</v>
      </c>
      <c r="G5378" t="str">
        <f>IFERROR(INDEX(Region_Map[Region], MATCH(orders[[#This Row],[Customer_Country]], Region_Map[Country], 0)), "Unknown")</f>
        <v>Central Europe</v>
      </c>
      <c r="H5378" t="s">
        <v>6949</v>
      </c>
    </row>
    <row r="5379" spans="1:8">
      <c r="A5379" t="s">
        <v>6271</v>
      </c>
      <c r="B5379" t="s">
        <v>51</v>
      </c>
      <c r="C5379" s="1">
        <v>45416</v>
      </c>
      <c r="D5379" s="1" t="str">
        <f>PROPER(orders[[#This Row],[order_priority]])</f>
        <v>Same Day</v>
      </c>
      <c r="E5379" t="s">
        <v>13324</v>
      </c>
      <c r="F5379" t="str">
        <f>IFERROR(INDEX(customers[country], MATCH(orders[[#This Row],[customer_id]], customers[customer_id], 0)), "Unmapped")</f>
        <v>Germany</v>
      </c>
      <c r="G5379" t="str">
        <f>IFERROR(INDEX(Region_Map[Region], MATCH(orders[[#This Row],[Customer_Country]], Region_Map[Country], 0)), "Unknown")</f>
        <v>Central Europe</v>
      </c>
      <c r="H5379" t="s">
        <v>6949</v>
      </c>
    </row>
    <row r="5380" spans="1:8">
      <c r="A5380" t="s">
        <v>6272</v>
      </c>
      <c r="B5380" t="s">
        <v>93</v>
      </c>
      <c r="C5380" s="1">
        <v>44946</v>
      </c>
      <c r="D5380" s="1" t="str">
        <f>PROPER(orders[[#This Row],[order_priority]])</f>
        <v>Standard</v>
      </c>
      <c r="E5380" t="s">
        <v>13317</v>
      </c>
      <c r="F5380" t="str">
        <f>IFERROR(INDEX(customers[country], MATCH(orders[[#This Row],[customer_id]], customers[customer_id], 0)), "Unmapped")</f>
        <v>Norway</v>
      </c>
      <c r="G5380" t="str">
        <f>IFERROR(INDEX(Region_Map[Region], MATCH(orders[[#This Row],[Customer_Country]], Region_Map[Country], 0)), "Unknown")</f>
        <v>Nordics</v>
      </c>
      <c r="H5380" t="s">
        <v>6949</v>
      </c>
    </row>
    <row r="5381" spans="1:8">
      <c r="A5381" t="s">
        <v>6273</v>
      </c>
      <c r="B5381" t="s">
        <v>341</v>
      </c>
      <c r="C5381" s="1">
        <v>45529</v>
      </c>
      <c r="D5381" s="1" t="str">
        <f>PROPER(orders[[#This Row],[order_priority]])</f>
        <v>Economy</v>
      </c>
      <c r="E5381" t="s">
        <v>13316</v>
      </c>
      <c r="F5381" t="str">
        <f>IFERROR(INDEX(customers[country], MATCH(orders[[#This Row],[customer_id]], customers[customer_id], 0)), "Unmapped")</f>
        <v>Latvia</v>
      </c>
      <c r="G5381" t="str">
        <f>IFERROR(INDEX(Region_Map[Region], MATCH(orders[[#This Row],[Customer_Country]], Region_Map[Country], 0)), "Unknown")</f>
        <v>Baltics</v>
      </c>
      <c r="H5381" t="s">
        <v>6949</v>
      </c>
    </row>
    <row r="5382" spans="1:8">
      <c r="A5382" t="s">
        <v>6274</v>
      </c>
      <c r="B5382" t="s">
        <v>84</v>
      </c>
      <c r="C5382" s="1">
        <v>45528</v>
      </c>
      <c r="D5382" s="1" t="str">
        <f>PROPER(orders[[#This Row],[order_priority]])</f>
        <v>Standard</v>
      </c>
      <c r="E5382" t="s">
        <v>13319</v>
      </c>
      <c r="F5382" t="str">
        <f>IFERROR(INDEX(customers[country], MATCH(orders[[#This Row],[customer_id]], customers[customer_id], 0)), "Unmapped")</f>
        <v>Lithuania</v>
      </c>
      <c r="G5382" t="str">
        <f>IFERROR(INDEX(Region_Map[Region], MATCH(orders[[#This Row],[Customer_Country]], Region_Map[Country], 0)), "Unknown")</f>
        <v>Baltics</v>
      </c>
      <c r="H5382" t="s">
        <v>6949</v>
      </c>
    </row>
    <row r="5383" spans="1:8">
      <c r="A5383" t="s">
        <v>6275</v>
      </c>
      <c r="B5383" t="s">
        <v>356</v>
      </c>
      <c r="C5383" s="1">
        <v>45181</v>
      </c>
      <c r="D5383" s="1" t="str">
        <f>PROPER(orders[[#This Row],[order_priority]])</f>
        <v>Same Day</v>
      </c>
      <c r="E5383" t="s">
        <v>13322</v>
      </c>
      <c r="F5383" t="str">
        <f>IFERROR(INDEX(customers[country], MATCH(orders[[#This Row],[customer_id]], customers[customer_id], 0)), "Unmapped")</f>
        <v>Netherlands</v>
      </c>
      <c r="G5383" t="str">
        <f>IFERROR(INDEX(Region_Map[Region], MATCH(orders[[#This Row],[Customer_Country]], Region_Map[Country], 0)), "Unknown")</f>
        <v>Central Europe</v>
      </c>
      <c r="H5383" t="s">
        <v>6949</v>
      </c>
    </row>
    <row r="5384" spans="1:8">
      <c r="A5384" t="s">
        <v>6276</v>
      </c>
      <c r="B5384" t="s">
        <v>380</v>
      </c>
      <c r="C5384" s="1">
        <v>45350</v>
      </c>
      <c r="D5384" s="1" t="str">
        <f>PROPER(orders[[#This Row],[order_priority]])</f>
        <v>Same Day</v>
      </c>
      <c r="E5384" t="s">
        <v>13322</v>
      </c>
      <c r="F5384" t="str">
        <f>IFERROR(INDEX(customers[country], MATCH(orders[[#This Row],[customer_id]], customers[customer_id], 0)), "Unmapped")</f>
        <v>Sweden</v>
      </c>
      <c r="G5384" t="str">
        <f>IFERROR(INDEX(Region_Map[Region], MATCH(orders[[#This Row],[Customer_Country]], Region_Map[Country], 0)), "Unknown")</f>
        <v>Nordics</v>
      </c>
      <c r="H5384" t="s">
        <v>6949</v>
      </c>
    </row>
    <row r="5385" spans="1:8">
      <c r="A5385" t="s">
        <v>6277</v>
      </c>
      <c r="B5385" t="s">
        <v>569</v>
      </c>
      <c r="C5385" s="1">
        <v>45202</v>
      </c>
      <c r="D5385" s="1" t="str">
        <f>PROPER(orders[[#This Row],[order_priority]])</f>
        <v>Same Day</v>
      </c>
      <c r="E5385" t="s">
        <v>13322</v>
      </c>
      <c r="F5385" t="str">
        <f>IFERROR(INDEX(customers[country], MATCH(orders[[#This Row],[customer_id]], customers[customer_id], 0)), "Unmapped")</f>
        <v>Estonia</v>
      </c>
      <c r="G5385" t="str">
        <f>IFERROR(INDEX(Region_Map[Region], MATCH(orders[[#This Row],[Customer_Country]], Region_Map[Country], 0)), "Unknown")</f>
        <v>Baltics</v>
      </c>
      <c r="H5385" t="s">
        <v>6949</v>
      </c>
    </row>
    <row r="5386" spans="1:8">
      <c r="A5386" t="s">
        <v>6278</v>
      </c>
      <c r="B5386" t="s">
        <v>145</v>
      </c>
      <c r="C5386" s="1">
        <v>45271</v>
      </c>
      <c r="D5386" s="1" t="str">
        <f>PROPER(orders[[#This Row],[order_priority]])</f>
        <v>Same Day</v>
      </c>
      <c r="E5386" t="s">
        <v>13322</v>
      </c>
      <c r="F5386" t="str">
        <f>IFERROR(INDEX(customers[country], MATCH(orders[[#This Row],[customer_id]], customers[customer_id], 0)), "Unmapped")</f>
        <v>Latvia</v>
      </c>
      <c r="G5386" t="str">
        <f>IFERROR(INDEX(Region_Map[Region], MATCH(orders[[#This Row],[Customer_Country]], Region_Map[Country], 0)), "Unknown")</f>
        <v>Baltics</v>
      </c>
      <c r="H5386" t="s">
        <v>6949</v>
      </c>
    </row>
    <row r="5387" spans="1:8">
      <c r="A5387" t="s">
        <v>6279</v>
      </c>
      <c r="B5387" t="s">
        <v>497</v>
      </c>
      <c r="C5387" s="1">
        <v>45016</v>
      </c>
      <c r="D5387" s="1" t="str">
        <f>PROPER(orders[[#This Row],[order_priority]])</f>
        <v>Same Day</v>
      </c>
      <c r="E5387" t="s">
        <v>13322</v>
      </c>
      <c r="F5387" t="str">
        <f>IFERROR(INDEX(customers[country], MATCH(orders[[#This Row],[customer_id]], customers[customer_id], 0)), "Unmapped")</f>
        <v>Germany</v>
      </c>
      <c r="G5387" t="str">
        <f>IFERROR(INDEX(Region_Map[Region], MATCH(orders[[#This Row],[Customer_Country]], Region_Map[Country], 0)), "Unknown")</f>
        <v>Central Europe</v>
      </c>
      <c r="H5387" t="s">
        <v>6949</v>
      </c>
    </row>
    <row r="5388" spans="1:8">
      <c r="A5388" t="s">
        <v>6280</v>
      </c>
      <c r="B5388" t="s">
        <v>611</v>
      </c>
      <c r="C5388" s="1">
        <v>45227</v>
      </c>
      <c r="D5388" s="1" t="str">
        <f>PROPER(orders[[#This Row],[order_priority]])</f>
        <v>Same Day</v>
      </c>
      <c r="E5388" t="s">
        <v>13322</v>
      </c>
      <c r="F5388" t="str">
        <f>IFERROR(INDEX(customers[country], MATCH(orders[[#This Row],[customer_id]], customers[customer_id], 0)), "Unmapped")</f>
        <v>Poland</v>
      </c>
      <c r="G5388" t="str">
        <f>IFERROR(INDEX(Region_Map[Region], MATCH(orders[[#This Row],[Customer_Country]], Region_Map[Country], 0)), "Unknown")</f>
        <v>Central Europe</v>
      </c>
      <c r="H5388" t="s">
        <v>6949</v>
      </c>
    </row>
    <row r="5389" spans="1:8">
      <c r="A5389" t="s">
        <v>6281</v>
      </c>
      <c r="B5389" t="s">
        <v>608</v>
      </c>
      <c r="C5389" s="1">
        <v>45568</v>
      </c>
      <c r="D5389" s="1" t="str">
        <f>PROPER(orders[[#This Row],[order_priority]])</f>
        <v>Standard</v>
      </c>
      <c r="E5389" t="s">
        <v>13317</v>
      </c>
      <c r="F5389" t="str">
        <f>IFERROR(INDEX(customers[country], MATCH(orders[[#This Row],[customer_id]], customers[customer_id], 0)), "Unmapped")</f>
        <v>Finland</v>
      </c>
      <c r="G5389" t="str">
        <f>IFERROR(INDEX(Region_Map[Region], MATCH(orders[[#This Row],[Customer_Country]], Region_Map[Country], 0)), "Unknown")</f>
        <v>Nordics</v>
      </c>
      <c r="H5389" t="s">
        <v>6949</v>
      </c>
    </row>
    <row r="5390" spans="1:8">
      <c r="A5390" t="s">
        <v>6282</v>
      </c>
      <c r="B5390" t="s">
        <v>467</v>
      </c>
      <c r="C5390" s="1">
        <v>45019</v>
      </c>
      <c r="D5390" s="1" t="str">
        <f>PROPER(orders[[#This Row],[order_priority]])</f>
        <v>Express</v>
      </c>
      <c r="E5390" t="s">
        <v>13318</v>
      </c>
      <c r="F5390" t="str">
        <f>IFERROR(INDEX(customers[country], MATCH(orders[[#This Row],[customer_id]], customers[customer_id], 0)), "Unmapped")</f>
        <v>Latvia</v>
      </c>
      <c r="G5390" t="str">
        <f>IFERROR(INDEX(Region_Map[Region], MATCH(orders[[#This Row],[Customer_Country]], Region_Map[Country], 0)), "Unknown")</f>
        <v>Baltics</v>
      </c>
      <c r="H5390" t="s">
        <v>6949</v>
      </c>
    </row>
    <row r="5391" spans="1:8">
      <c r="A5391" t="s">
        <v>6283</v>
      </c>
      <c r="B5391" t="s">
        <v>231</v>
      </c>
      <c r="C5391" s="1">
        <v>45180</v>
      </c>
      <c r="D5391" s="1" t="str">
        <f>PROPER(orders[[#This Row],[order_priority]])</f>
        <v>Standard</v>
      </c>
      <c r="E5391" t="s">
        <v>13317</v>
      </c>
      <c r="F5391" t="str">
        <f>IFERROR(INDEX(customers[country], MATCH(orders[[#This Row],[customer_id]], customers[customer_id], 0)), "Unmapped")</f>
        <v>Lithuania</v>
      </c>
      <c r="G5391" t="str">
        <f>IFERROR(INDEX(Region_Map[Region], MATCH(orders[[#This Row],[Customer_Country]], Region_Map[Country], 0)), "Unknown")</f>
        <v>Baltics</v>
      </c>
      <c r="H5391" t="s">
        <v>6949</v>
      </c>
    </row>
    <row r="5392" spans="1:8">
      <c r="A5392" t="s">
        <v>6284</v>
      </c>
      <c r="B5392" t="s">
        <v>816</v>
      </c>
      <c r="C5392" s="1">
        <v>45402</v>
      </c>
      <c r="D5392" s="1" t="str">
        <f>PROPER(orders[[#This Row],[order_priority]])</f>
        <v>Same Day</v>
      </c>
      <c r="E5392" t="s">
        <v>13322</v>
      </c>
      <c r="F5392" t="str">
        <f>IFERROR(INDEX(customers[country], MATCH(orders[[#This Row],[customer_id]], customers[customer_id], 0)), "Unmapped")</f>
        <v>Lithuania</v>
      </c>
      <c r="G5392" t="str">
        <f>IFERROR(INDEX(Region_Map[Region], MATCH(orders[[#This Row],[Customer_Country]], Region_Map[Country], 0)), "Unknown")</f>
        <v>Baltics</v>
      </c>
      <c r="H5392" t="s">
        <v>6949</v>
      </c>
    </row>
    <row r="5393" spans="1:8">
      <c r="A5393" t="s">
        <v>6285</v>
      </c>
      <c r="B5393" t="s">
        <v>752</v>
      </c>
      <c r="C5393" s="1">
        <v>45383</v>
      </c>
      <c r="D5393" s="1" t="str">
        <f>PROPER(orders[[#This Row],[order_priority]])</f>
        <v>Standard</v>
      </c>
      <c r="E5393" t="s">
        <v>13323</v>
      </c>
      <c r="F5393" t="str">
        <f>IFERROR(INDEX(customers[country], MATCH(orders[[#This Row],[customer_id]], customers[customer_id], 0)), "Unmapped")</f>
        <v>Estonia</v>
      </c>
      <c r="G5393" t="str">
        <f>IFERROR(INDEX(Region_Map[Region], MATCH(orders[[#This Row],[Customer_Country]], Region_Map[Country], 0)), "Unknown")</f>
        <v>Baltics</v>
      </c>
      <c r="H5393" t="s">
        <v>6949</v>
      </c>
    </row>
    <row r="5394" spans="1:8">
      <c r="A5394" t="s">
        <v>6286</v>
      </c>
      <c r="B5394" t="s">
        <v>449</v>
      </c>
      <c r="C5394" s="1">
        <v>45129</v>
      </c>
      <c r="D5394" s="1" t="str">
        <f>PROPER(orders[[#This Row],[order_priority]])</f>
        <v>Standard</v>
      </c>
      <c r="E5394" t="s">
        <v>13317</v>
      </c>
      <c r="F5394" t="str">
        <f>IFERROR(INDEX(customers[country], MATCH(orders[[#This Row],[customer_id]], customers[customer_id], 0)), "Unmapped")</f>
        <v>Norway</v>
      </c>
      <c r="G5394" t="str">
        <f>IFERROR(INDEX(Region_Map[Region], MATCH(orders[[#This Row],[Customer_Country]], Region_Map[Country], 0)), "Unknown")</f>
        <v>Nordics</v>
      </c>
      <c r="H5394" t="s">
        <v>6949</v>
      </c>
    </row>
    <row r="5395" spans="1:8">
      <c r="A5395" t="s">
        <v>6287</v>
      </c>
      <c r="B5395" t="s">
        <v>145</v>
      </c>
      <c r="C5395" s="1">
        <v>45551</v>
      </c>
      <c r="D5395" s="1" t="str">
        <f>PROPER(orders[[#This Row],[order_priority]])</f>
        <v>Express</v>
      </c>
      <c r="E5395" t="s">
        <v>13318</v>
      </c>
      <c r="F5395" t="str">
        <f>IFERROR(INDEX(customers[country], MATCH(orders[[#This Row],[customer_id]], customers[customer_id], 0)), "Unmapped")</f>
        <v>Latvia</v>
      </c>
      <c r="G5395" t="str">
        <f>IFERROR(INDEX(Region_Map[Region], MATCH(orders[[#This Row],[Customer_Country]], Region_Map[Country], 0)), "Unknown")</f>
        <v>Baltics</v>
      </c>
      <c r="H5395" t="s">
        <v>6949</v>
      </c>
    </row>
    <row r="5396" spans="1:8">
      <c r="A5396" t="s">
        <v>6288</v>
      </c>
      <c r="B5396" t="s">
        <v>611</v>
      </c>
      <c r="C5396" s="1">
        <v>45277</v>
      </c>
      <c r="D5396" s="1" t="str">
        <f>PROPER(orders[[#This Row],[order_priority]])</f>
        <v>Same Day</v>
      </c>
      <c r="E5396" t="s">
        <v>13322</v>
      </c>
      <c r="F5396" t="str">
        <f>IFERROR(INDEX(customers[country], MATCH(orders[[#This Row],[customer_id]], customers[customer_id], 0)), "Unmapped")</f>
        <v>Poland</v>
      </c>
      <c r="G5396" t="str">
        <f>IFERROR(INDEX(Region_Map[Region], MATCH(orders[[#This Row],[Customer_Country]], Region_Map[Country], 0)), "Unknown")</f>
        <v>Central Europe</v>
      </c>
      <c r="H5396" t="s">
        <v>6949</v>
      </c>
    </row>
    <row r="5397" spans="1:8">
      <c r="A5397" t="s">
        <v>6289</v>
      </c>
      <c r="B5397" t="s">
        <v>906</v>
      </c>
      <c r="C5397" s="1">
        <v>45610</v>
      </c>
      <c r="D5397" s="1" t="str">
        <f>PROPER(orders[[#This Row],[order_priority]])</f>
        <v>Economy</v>
      </c>
      <c r="E5397" t="s">
        <v>13316</v>
      </c>
      <c r="F5397" t="str">
        <f>IFERROR(INDEX(customers[country], MATCH(orders[[#This Row],[customer_id]], customers[customer_id], 0)), "Unmapped")</f>
        <v>Sweden</v>
      </c>
      <c r="G5397" t="str">
        <f>IFERROR(INDEX(Region_Map[Region], MATCH(orders[[#This Row],[Customer_Country]], Region_Map[Country], 0)), "Unknown")</f>
        <v>Nordics</v>
      </c>
      <c r="H5397" t="s">
        <v>6949</v>
      </c>
    </row>
    <row r="5398" spans="1:8">
      <c r="A5398" t="s">
        <v>6290</v>
      </c>
      <c r="B5398" t="s">
        <v>781</v>
      </c>
      <c r="C5398" s="1">
        <v>45248</v>
      </c>
      <c r="D5398" s="1" t="str">
        <f>PROPER(orders[[#This Row],[order_priority]])</f>
        <v>Standard</v>
      </c>
      <c r="E5398" t="s">
        <v>13317</v>
      </c>
      <c r="F5398" t="str">
        <f>IFERROR(INDEX(customers[country], MATCH(orders[[#This Row],[customer_id]], customers[customer_id], 0)), "Unmapped")</f>
        <v>Germany</v>
      </c>
      <c r="G5398" t="str">
        <f>IFERROR(INDEX(Region_Map[Region], MATCH(orders[[#This Row],[Customer_Country]], Region_Map[Country], 0)), "Unknown")</f>
        <v>Central Europe</v>
      </c>
      <c r="H5398" t="s">
        <v>6949</v>
      </c>
    </row>
    <row r="5399" spans="1:8">
      <c r="A5399" t="s">
        <v>6291</v>
      </c>
      <c r="B5399" t="s">
        <v>766</v>
      </c>
      <c r="C5399" s="1">
        <v>45334</v>
      </c>
      <c r="D5399" s="1" t="str">
        <f>PROPER(orders[[#This Row],[order_priority]])</f>
        <v>Express</v>
      </c>
      <c r="E5399" t="s">
        <v>13318</v>
      </c>
      <c r="F5399" t="str">
        <f>IFERROR(INDEX(customers[country], MATCH(orders[[#This Row],[customer_id]], customers[customer_id], 0)), "Unmapped")</f>
        <v>Germany</v>
      </c>
      <c r="G5399" t="str">
        <f>IFERROR(INDEX(Region_Map[Region], MATCH(orders[[#This Row],[Customer_Country]], Region_Map[Country], 0)), "Unknown")</f>
        <v>Central Europe</v>
      </c>
      <c r="H5399" t="s">
        <v>6949</v>
      </c>
    </row>
    <row r="5400" spans="1:8">
      <c r="A5400" t="s">
        <v>6292</v>
      </c>
      <c r="B5400" t="s">
        <v>410</v>
      </c>
      <c r="C5400" s="1">
        <v>45105</v>
      </c>
      <c r="D5400" s="1" t="str">
        <f>PROPER(orders[[#This Row],[order_priority]])</f>
        <v>Express</v>
      </c>
      <c r="E5400" t="s">
        <v>13326</v>
      </c>
      <c r="F5400" t="str">
        <f>IFERROR(INDEX(customers[country], MATCH(orders[[#This Row],[customer_id]], customers[customer_id], 0)), "Unmapped")</f>
        <v>Norway</v>
      </c>
      <c r="G5400" t="str">
        <f>IFERROR(INDEX(Region_Map[Region], MATCH(orders[[#This Row],[Customer_Country]], Region_Map[Country], 0)), "Unknown")</f>
        <v>Nordics</v>
      </c>
      <c r="H5400" t="s">
        <v>6949</v>
      </c>
    </row>
    <row r="5401" spans="1:8">
      <c r="A5401" t="s">
        <v>6293</v>
      </c>
      <c r="B5401" t="s">
        <v>727</v>
      </c>
      <c r="C5401" s="1">
        <v>45185</v>
      </c>
      <c r="D5401" s="1" t="str">
        <f>PROPER(orders[[#This Row],[order_priority]])</f>
        <v>Same Day</v>
      </c>
      <c r="E5401" t="s">
        <v>13322</v>
      </c>
      <c r="F5401" t="str">
        <f>IFERROR(INDEX(customers[country], MATCH(orders[[#This Row],[customer_id]], customers[customer_id], 0)), "Unmapped")</f>
        <v>Sweden</v>
      </c>
      <c r="G5401" t="str">
        <f>IFERROR(INDEX(Region_Map[Region], MATCH(orders[[#This Row],[Customer_Country]], Region_Map[Country], 0)), "Unknown")</f>
        <v>Nordics</v>
      </c>
      <c r="H5401" t="s">
        <v>6949</v>
      </c>
    </row>
    <row r="5402" spans="1:8">
      <c r="A5402" t="s">
        <v>6294</v>
      </c>
      <c r="B5402" t="s">
        <v>204</v>
      </c>
      <c r="C5402" s="1">
        <v>45307</v>
      </c>
      <c r="D5402" s="1" t="str">
        <f>PROPER(orders[[#This Row],[order_priority]])</f>
        <v>Standard</v>
      </c>
      <c r="E5402" t="s">
        <v>13319</v>
      </c>
      <c r="F5402" t="str">
        <f>IFERROR(INDEX(customers[country], MATCH(orders[[#This Row],[customer_id]], customers[customer_id], 0)), "Unmapped")</f>
        <v>Sweden</v>
      </c>
      <c r="G5402" t="str">
        <f>IFERROR(INDEX(Region_Map[Region], MATCH(orders[[#This Row],[Customer_Country]], Region_Map[Country], 0)), "Unknown")</f>
        <v>Nordics</v>
      </c>
      <c r="H5402" t="s">
        <v>6949</v>
      </c>
    </row>
    <row r="5403" spans="1:8">
      <c r="A5403" t="s">
        <v>6295</v>
      </c>
      <c r="B5403" t="s">
        <v>697</v>
      </c>
      <c r="C5403" s="1">
        <v>45386</v>
      </c>
      <c r="D5403" s="1" t="str">
        <f>PROPER(orders[[#This Row],[order_priority]])</f>
        <v>Economy</v>
      </c>
      <c r="E5403" t="s">
        <v>13316</v>
      </c>
      <c r="F5403" t="str">
        <f>IFERROR(INDEX(customers[country], MATCH(orders[[#This Row],[customer_id]], customers[customer_id], 0)), "Unmapped")</f>
        <v>Estonia</v>
      </c>
      <c r="G5403" t="str">
        <f>IFERROR(INDEX(Region_Map[Region], MATCH(orders[[#This Row],[Customer_Country]], Region_Map[Country], 0)), "Unknown")</f>
        <v>Baltics</v>
      </c>
      <c r="H5403" t="s">
        <v>6949</v>
      </c>
    </row>
    <row r="5404" spans="1:8">
      <c r="A5404" t="s">
        <v>6296</v>
      </c>
      <c r="B5404" t="s">
        <v>787</v>
      </c>
      <c r="C5404" s="1">
        <v>45285</v>
      </c>
      <c r="D5404" s="1" t="str">
        <f>PROPER(orders[[#This Row],[order_priority]])</f>
        <v>Express</v>
      </c>
      <c r="E5404" t="s">
        <v>13318</v>
      </c>
      <c r="F5404" t="str">
        <f>IFERROR(INDEX(customers[country], MATCH(orders[[#This Row],[customer_id]], customers[customer_id], 0)), "Unmapped")</f>
        <v>Netherlands</v>
      </c>
      <c r="G5404" t="str">
        <f>IFERROR(INDEX(Region_Map[Region], MATCH(orders[[#This Row],[Customer_Country]], Region_Map[Country], 0)), "Unknown")</f>
        <v>Central Europe</v>
      </c>
      <c r="H5404" t="s">
        <v>6949</v>
      </c>
    </row>
    <row r="5405" spans="1:8">
      <c r="A5405" t="s">
        <v>6297</v>
      </c>
      <c r="B5405" t="s">
        <v>148</v>
      </c>
      <c r="C5405" s="1">
        <v>45570</v>
      </c>
      <c r="D5405" s="1" t="str">
        <f>PROPER(orders[[#This Row],[order_priority]])</f>
        <v>Express</v>
      </c>
      <c r="E5405" t="s">
        <v>13320</v>
      </c>
      <c r="F5405" t="str">
        <f>IFERROR(INDEX(customers[country], MATCH(orders[[#This Row],[customer_id]], customers[customer_id], 0)), "Unmapped")</f>
        <v>Poland</v>
      </c>
      <c r="G5405" t="str">
        <f>IFERROR(INDEX(Region_Map[Region], MATCH(orders[[#This Row],[Customer_Country]], Region_Map[Country], 0)), "Unknown")</f>
        <v>Central Europe</v>
      </c>
      <c r="H5405" t="s">
        <v>6949</v>
      </c>
    </row>
    <row r="5406" spans="1:8">
      <c r="A5406" t="s">
        <v>6298</v>
      </c>
      <c r="B5406" t="s">
        <v>437</v>
      </c>
      <c r="C5406" s="1">
        <v>45578</v>
      </c>
      <c r="D5406" s="1" t="str">
        <f>PROPER(orders[[#This Row],[order_priority]])</f>
        <v>Same Day</v>
      </c>
      <c r="E5406" t="s">
        <v>13322</v>
      </c>
      <c r="F5406" t="str">
        <f>IFERROR(INDEX(customers[country], MATCH(orders[[#This Row],[customer_id]], customers[customer_id], 0)), "Unmapped")</f>
        <v>Lithuania</v>
      </c>
      <c r="G5406" t="str">
        <f>IFERROR(INDEX(Region_Map[Region], MATCH(orders[[#This Row],[Customer_Country]], Region_Map[Country], 0)), "Unknown")</f>
        <v>Baltics</v>
      </c>
      <c r="H5406" t="s">
        <v>6949</v>
      </c>
    </row>
    <row r="5407" spans="1:8">
      <c r="A5407" t="s">
        <v>6299</v>
      </c>
      <c r="B5407" t="s">
        <v>611</v>
      </c>
      <c r="C5407" s="1">
        <v>45428</v>
      </c>
      <c r="D5407" s="1" t="str">
        <f>PROPER(orders[[#This Row],[order_priority]])</f>
        <v>Same Day</v>
      </c>
      <c r="E5407" t="s">
        <v>13322</v>
      </c>
      <c r="F5407" t="str">
        <f>IFERROR(INDEX(customers[country], MATCH(orders[[#This Row],[customer_id]], customers[customer_id], 0)), "Unmapped")</f>
        <v>Poland</v>
      </c>
      <c r="G5407" t="str">
        <f>IFERROR(INDEX(Region_Map[Region], MATCH(orders[[#This Row],[Customer_Country]], Region_Map[Country], 0)), "Unknown")</f>
        <v>Central Europe</v>
      </c>
      <c r="H5407" t="s">
        <v>6949</v>
      </c>
    </row>
    <row r="5408" spans="1:8">
      <c r="A5408" t="s">
        <v>6300</v>
      </c>
      <c r="B5408" t="s">
        <v>608</v>
      </c>
      <c r="C5408" s="1">
        <v>45256</v>
      </c>
      <c r="D5408" s="1" t="str">
        <f>PROPER(orders[[#This Row],[order_priority]])</f>
        <v>Economy</v>
      </c>
      <c r="E5408" t="s">
        <v>13316</v>
      </c>
      <c r="F5408" t="str">
        <f>IFERROR(INDEX(customers[country], MATCH(orders[[#This Row],[customer_id]], customers[customer_id], 0)), "Unmapped")</f>
        <v>Finland</v>
      </c>
      <c r="G5408" t="str">
        <f>IFERROR(INDEX(Region_Map[Region], MATCH(orders[[#This Row],[Customer_Country]], Region_Map[Country], 0)), "Unknown")</f>
        <v>Nordics</v>
      </c>
      <c r="H5408" t="s">
        <v>6949</v>
      </c>
    </row>
    <row r="5409" spans="1:8">
      <c r="A5409" t="s">
        <v>6301</v>
      </c>
      <c r="B5409" t="s">
        <v>858</v>
      </c>
      <c r="C5409" s="1">
        <v>45094</v>
      </c>
      <c r="D5409" s="1" t="str">
        <f>PROPER(orders[[#This Row],[order_priority]])</f>
        <v>Express</v>
      </c>
      <c r="E5409" t="s">
        <v>13318</v>
      </c>
      <c r="F5409" t="str">
        <f>IFERROR(INDEX(customers[country], MATCH(orders[[#This Row],[customer_id]], customers[customer_id], 0)), "Unmapped")</f>
        <v>Lithuania</v>
      </c>
      <c r="G5409" t="str">
        <f>IFERROR(INDEX(Region_Map[Region], MATCH(orders[[#This Row],[Customer_Country]], Region_Map[Country], 0)), "Unknown")</f>
        <v>Baltics</v>
      </c>
      <c r="H5409" t="s">
        <v>6949</v>
      </c>
    </row>
    <row r="5410" spans="1:8">
      <c r="A5410" t="s">
        <v>6302</v>
      </c>
      <c r="B5410" t="s">
        <v>551</v>
      </c>
      <c r="C5410" s="1">
        <v>45206</v>
      </c>
      <c r="D5410" s="1" t="str">
        <f>PROPER(orders[[#This Row],[order_priority]])</f>
        <v>Economy</v>
      </c>
      <c r="E5410" t="s">
        <v>13316</v>
      </c>
      <c r="F5410" t="str">
        <f>IFERROR(INDEX(customers[country], MATCH(orders[[#This Row],[customer_id]], customers[customer_id], 0)), "Unmapped")</f>
        <v>Latvia</v>
      </c>
      <c r="G5410" t="str">
        <f>IFERROR(INDEX(Region_Map[Region], MATCH(orders[[#This Row],[Customer_Country]], Region_Map[Country], 0)), "Unknown")</f>
        <v>Baltics</v>
      </c>
      <c r="H5410" t="s">
        <v>6949</v>
      </c>
    </row>
    <row r="5411" spans="1:8">
      <c r="A5411" t="s">
        <v>6303</v>
      </c>
      <c r="B5411" t="s">
        <v>855</v>
      </c>
      <c r="C5411" s="1">
        <v>45043</v>
      </c>
      <c r="D5411" s="1" t="str">
        <f>PROPER(orders[[#This Row],[order_priority]])</f>
        <v>Economy</v>
      </c>
      <c r="E5411" t="s">
        <v>13316</v>
      </c>
      <c r="F5411" t="str">
        <f>IFERROR(INDEX(customers[country], MATCH(orders[[#This Row],[customer_id]], customers[customer_id], 0)), "Unmapped")</f>
        <v>Latvia</v>
      </c>
      <c r="G5411" t="str">
        <f>IFERROR(INDEX(Region_Map[Region], MATCH(orders[[#This Row],[Customer_Country]], Region_Map[Country], 0)), "Unknown")</f>
        <v>Baltics</v>
      </c>
      <c r="H5411" t="s">
        <v>6949</v>
      </c>
    </row>
    <row r="5412" spans="1:8">
      <c r="A5412" t="s">
        <v>6304</v>
      </c>
      <c r="B5412" t="s">
        <v>536</v>
      </c>
      <c r="C5412" s="1">
        <v>45256</v>
      </c>
      <c r="D5412" s="1" t="str">
        <f>PROPER(orders[[#This Row],[order_priority]])</f>
        <v>Express</v>
      </c>
      <c r="E5412" t="s">
        <v>13318</v>
      </c>
      <c r="F5412" t="str">
        <f>IFERROR(INDEX(customers[country], MATCH(orders[[#This Row],[customer_id]], customers[customer_id], 0)), "Unmapped")</f>
        <v>Germany</v>
      </c>
      <c r="G5412" t="str">
        <f>IFERROR(INDEX(Region_Map[Region], MATCH(orders[[#This Row],[Customer_Country]], Region_Map[Country], 0)), "Unknown")</f>
        <v>Central Europe</v>
      </c>
      <c r="H5412" t="s">
        <v>6949</v>
      </c>
    </row>
    <row r="5413" spans="1:8">
      <c r="A5413" t="s">
        <v>6305</v>
      </c>
      <c r="B5413" t="s">
        <v>449</v>
      </c>
      <c r="C5413" s="1">
        <v>45414</v>
      </c>
      <c r="D5413" s="1" t="str">
        <f>PROPER(orders[[#This Row],[order_priority]])</f>
        <v>Same Day</v>
      </c>
      <c r="E5413" t="s">
        <v>13322</v>
      </c>
      <c r="F5413" t="str">
        <f>IFERROR(INDEX(customers[country], MATCH(orders[[#This Row],[customer_id]], customers[customer_id], 0)), "Unmapped")</f>
        <v>Norway</v>
      </c>
      <c r="G5413" t="str">
        <f>IFERROR(INDEX(Region_Map[Region], MATCH(orders[[#This Row],[Customer_Country]], Region_Map[Country], 0)), "Unknown")</f>
        <v>Nordics</v>
      </c>
      <c r="H5413" t="s">
        <v>6949</v>
      </c>
    </row>
    <row r="5414" spans="1:8">
      <c r="A5414" t="s">
        <v>6306</v>
      </c>
      <c r="B5414" t="s">
        <v>77</v>
      </c>
      <c r="C5414" s="1">
        <v>45341</v>
      </c>
      <c r="D5414" s="1" t="str">
        <f>PROPER(orders[[#This Row],[order_priority]])</f>
        <v>Same Day</v>
      </c>
      <c r="E5414" t="s">
        <v>13322</v>
      </c>
      <c r="F5414" t="str">
        <f>IFERROR(INDEX(customers[country], MATCH(orders[[#This Row],[customer_id]], customers[customer_id], 0)), "Unmapped")</f>
        <v>Lithuania</v>
      </c>
      <c r="G5414" t="str">
        <f>IFERROR(INDEX(Region_Map[Region], MATCH(orders[[#This Row],[Customer_Country]], Region_Map[Country], 0)), "Unknown")</f>
        <v>Baltics</v>
      </c>
      <c r="H5414" t="s">
        <v>6949</v>
      </c>
    </row>
    <row r="5415" spans="1:8">
      <c r="A5415" t="s">
        <v>6307</v>
      </c>
      <c r="B5415" t="s">
        <v>743</v>
      </c>
      <c r="C5415" s="1">
        <v>45462</v>
      </c>
      <c r="D5415" s="1" t="str">
        <f>PROPER(orders[[#This Row],[order_priority]])</f>
        <v>Express</v>
      </c>
      <c r="E5415" t="s">
        <v>13326</v>
      </c>
      <c r="F5415" t="str">
        <f>IFERROR(INDEX(customers[country], MATCH(orders[[#This Row],[customer_id]], customers[customer_id], 0)), "Unmapped")</f>
        <v>Germany</v>
      </c>
      <c r="G5415" t="str">
        <f>IFERROR(INDEX(Region_Map[Region], MATCH(orders[[#This Row],[Customer_Country]], Region_Map[Country], 0)), "Unknown")</f>
        <v>Central Europe</v>
      </c>
      <c r="H5415" t="s">
        <v>6949</v>
      </c>
    </row>
    <row r="5416" spans="1:8">
      <c r="A5416" t="s">
        <v>6308</v>
      </c>
      <c r="B5416" t="s">
        <v>127</v>
      </c>
      <c r="C5416" s="1">
        <v>45408</v>
      </c>
      <c r="D5416" s="1" t="str">
        <f>PROPER(orders[[#This Row],[order_priority]])</f>
        <v>Same Day</v>
      </c>
      <c r="E5416" t="s">
        <v>13322</v>
      </c>
      <c r="F5416" t="str">
        <f>IFERROR(INDEX(customers[country], MATCH(orders[[#This Row],[customer_id]], customers[customer_id], 0)), "Unmapped")</f>
        <v>Denmark</v>
      </c>
      <c r="G5416" t="str">
        <f>IFERROR(INDEX(Region_Map[Region], MATCH(orders[[#This Row],[Customer_Country]], Region_Map[Country], 0)), "Unknown")</f>
        <v>Nordics</v>
      </c>
      <c r="H5416" t="s">
        <v>6949</v>
      </c>
    </row>
    <row r="5417" spans="1:8">
      <c r="A5417" t="s">
        <v>6309</v>
      </c>
      <c r="B5417" t="s">
        <v>485</v>
      </c>
      <c r="C5417" s="1">
        <v>45077</v>
      </c>
      <c r="D5417" s="1" t="str">
        <f>PROPER(orders[[#This Row],[order_priority]])</f>
        <v>Same Day</v>
      </c>
      <c r="E5417" t="s">
        <v>13322</v>
      </c>
      <c r="F5417" t="str">
        <f>IFERROR(INDEX(customers[country], MATCH(orders[[#This Row],[customer_id]], customers[customer_id], 0)), "Unmapped")</f>
        <v>Latvia</v>
      </c>
      <c r="G5417" t="str">
        <f>IFERROR(INDEX(Region_Map[Region], MATCH(orders[[#This Row],[Customer_Country]], Region_Map[Country], 0)), "Unknown")</f>
        <v>Baltics</v>
      </c>
      <c r="H5417" t="s">
        <v>6949</v>
      </c>
    </row>
    <row r="5418" spans="1:8">
      <c r="A5418" t="s">
        <v>6310</v>
      </c>
      <c r="B5418" t="s">
        <v>192</v>
      </c>
      <c r="C5418" s="1">
        <v>45313</v>
      </c>
      <c r="D5418" s="1" t="str">
        <f>PROPER(orders[[#This Row],[order_priority]])</f>
        <v>Standard</v>
      </c>
      <c r="E5418" t="s">
        <v>13317</v>
      </c>
      <c r="F5418" t="str">
        <f>IFERROR(INDEX(customers[country], MATCH(orders[[#This Row],[customer_id]], customers[customer_id], 0)), "Unmapped")</f>
        <v>Estonia</v>
      </c>
      <c r="G5418" t="str">
        <f>IFERROR(INDEX(Region_Map[Region], MATCH(orders[[#This Row],[Customer_Country]], Region_Map[Country], 0)), "Unknown")</f>
        <v>Baltics</v>
      </c>
      <c r="H5418" t="s">
        <v>6949</v>
      </c>
    </row>
    <row r="5419" spans="1:8">
      <c r="A5419" t="s">
        <v>6311</v>
      </c>
      <c r="B5419" t="s">
        <v>314</v>
      </c>
      <c r="C5419" s="1">
        <v>45605</v>
      </c>
      <c r="D5419" s="1" t="str">
        <f>PROPER(orders[[#This Row],[order_priority]])</f>
        <v>Same Day</v>
      </c>
      <c r="E5419" t="s">
        <v>13322</v>
      </c>
      <c r="F5419" t="str">
        <f>IFERROR(INDEX(customers[country], MATCH(orders[[#This Row],[customer_id]], customers[customer_id], 0)), "Unmapped")</f>
        <v>Poland</v>
      </c>
      <c r="G5419" t="str">
        <f>IFERROR(INDEX(Region_Map[Region], MATCH(orders[[#This Row],[Customer_Country]], Region_Map[Country], 0)), "Unknown")</f>
        <v>Central Europe</v>
      </c>
      <c r="H5419" t="s">
        <v>6949</v>
      </c>
    </row>
    <row r="5420" spans="1:8">
      <c r="A5420" t="s">
        <v>6312</v>
      </c>
      <c r="B5420" t="s">
        <v>276</v>
      </c>
      <c r="C5420" s="1">
        <v>44927</v>
      </c>
      <c r="D5420" s="1" t="str">
        <f>PROPER(orders[[#This Row],[order_priority]])</f>
        <v>Same Day</v>
      </c>
      <c r="E5420" t="s">
        <v>13322</v>
      </c>
      <c r="F5420" t="str">
        <f>IFERROR(INDEX(customers[country], MATCH(orders[[#This Row],[customer_id]], customers[customer_id], 0)), "Unmapped")</f>
        <v>Sweden</v>
      </c>
      <c r="G5420" t="str">
        <f>IFERROR(INDEX(Region_Map[Region], MATCH(orders[[#This Row],[Customer_Country]], Region_Map[Country], 0)), "Unknown")</f>
        <v>Nordics</v>
      </c>
      <c r="H5420" t="s">
        <v>6949</v>
      </c>
    </row>
    <row r="5421" spans="1:8">
      <c r="A5421" t="s">
        <v>6313</v>
      </c>
      <c r="B5421" t="s">
        <v>503</v>
      </c>
      <c r="C5421" s="1">
        <v>45255</v>
      </c>
      <c r="D5421" s="1" t="str">
        <f>PROPER(orders[[#This Row],[order_priority]])</f>
        <v>Economy</v>
      </c>
      <c r="E5421" t="s">
        <v>13316</v>
      </c>
      <c r="F5421" t="str">
        <f>IFERROR(INDEX(customers[country], MATCH(orders[[#This Row],[customer_id]], customers[customer_id], 0)), "Unmapped")</f>
        <v>Denmark</v>
      </c>
      <c r="G5421" t="str">
        <f>IFERROR(INDEX(Region_Map[Region], MATCH(orders[[#This Row],[Customer_Country]], Region_Map[Country], 0)), "Unknown")</f>
        <v>Nordics</v>
      </c>
      <c r="H5421" t="s">
        <v>6949</v>
      </c>
    </row>
    <row r="5422" spans="1:8">
      <c r="A5422" t="s">
        <v>6314</v>
      </c>
      <c r="B5422" t="s">
        <v>115</v>
      </c>
      <c r="C5422" s="1">
        <v>45511</v>
      </c>
      <c r="D5422" s="1" t="str">
        <f>PROPER(orders[[#This Row],[order_priority]])</f>
        <v>Same Day</v>
      </c>
      <c r="E5422" t="s">
        <v>13322</v>
      </c>
      <c r="F5422" t="str">
        <f>IFERROR(INDEX(customers[country], MATCH(orders[[#This Row],[customer_id]], customers[customer_id], 0)), "Unmapped")</f>
        <v>Finland</v>
      </c>
      <c r="G5422" t="str">
        <f>IFERROR(INDEX(Region_Map[Region], MATCH(orders[[#This Row],[Customer_Country]], Region_Map[Country], 0)), "Unknown")</f>
        <v>Nordics</v>
      </c>
      <c r="H5422" t="s">
        <v>6949</v>
      </c>
    </row>
    <row r="5423" spans="1:8">
      <c r="A5423" t="s">
        <v>6315</v>
      </c>
      <c r="B5423" t="s">
        <v>449</v>
      </c>
      <c r="C5423" s="1">
        <v>45226</v>
      </c>
      <c r="D5423" s="1" t="str">
        <f>PROPER(orders[[#This Row],[order_priority]])</f>
        <v>Economy</v>
      </c>
      <c r="E5423" t="s">
        <v>13316</v>
      </c>
      <c r="F5423" t="str">
        <f>IFERROR(INDEX(customers[country], MATCH(orders[[#This Row],[customer_id]], customers[customer_id], 0)), "Unmapped")</f>
        <v>Norway</v>
      </c>
      <c r="G5423" t="str">
        <f>IFERROR(INDEX(Region_Map[Region], MATCH(orders[[#This Row],[Customer_Country]], Region_Map[Country], 0)), "Unknown")</f>
        <v>Nordics</v>
      </c>
      <c r="H5423" t="s">
        <v>6949</v>
      </c>
    </row>
    <row r="5424" spans="1:8">
      <c r="A5424" t="s">
        <v>6316</v>
      </c>
      <c r="B5424" t="s">
        <v>61</v>
      </c>
      <c r="C5424" s="1">
        <v>45604</v>
      </c>
      <c r="D5424" s="1" t="str">
        <f>PROPER(orders[[#This Row],[order_priority]])</f>
        <v>Same Day</v>
      </c>
      <c r="E5424" t="s">
        <v>13322</v>
      </c>
      <c r="F5424" t="str">
        <f>IFERROR(INDEX(customers[country], MATCH(orders[[#This Row],[customer_id]], customers[customer_id], 0)), "Unmapped")</f>
        <v>Netherlands</v>
      </c>
      <c r="G5424" t="str">
        <f>IFERROR(INDEX(Region_Map[Region], MATCH(orders[[#This Row],[Customer_Country]], Region_Map[Country], 0)), "Unknown")</f>
        <v>Central Europe</v>
      </c>
      <c r="H5424" t="s">
        <v>6949</v>
      </c>
    </row>
    <row r="5425" spans="1:8">
      <c r="A5425" t="s">
        <v>6317</v>
      </c>
      <c r="B5425" t="s">
        <v>623</v>
      </c>
      <c r="C5425" s="1">
        <v>45399</v>
      </c>
      <c r="D5425" s="1" t="str">
        <f>PROPER(orders[[#This Row],[order_priority]])</f>
        <v>Economy</v>
      </c>
      <c r="E5425" t="s">
        <v>13316</v>
      </c>
      <c r="F5425" t="str">
        <f>IFERROR(INDEX(customers[country], MATCH(orders[[#This Row],[customer_id]], customers[customer_id], 0)), "Unmapped")</f>
        <v>Denmark</v>
      </c>
      <c r="G5425" t="str">
        <f>IFERROR(INDEX(Region_Map[Region], MATCH(orders[[#This Row],[Customer_Country]], Region_Map[Country], 0)), "Unknown")</f>
        <v>Nordics</v>
      </c>
      <c r="H5425" t="s">
        <v>6949</v>
      </c>
    </row>
    <row r="5426" spans="1:8">
      <c r="A5426" t="s">
        <v>6318</v>
      </c>
      <c r="B5426" t="s">
        <v>386</v>
      </c>
      <c r="C5426" s="1">
        <v>45567</v>
      </c>
      <c r="D5426" s="1" t="str">
        <f>PROPER(orders[[#This Row],[order_priority]])</f>
        <v>Same Day</v>
      </c>
      <c r="E5426" t="s">
        <v>13322</v>
      </c>
      <c r="F5426" t="str">
        <f>IFERROR(INDEX(customers[country], MATCH(orders[[#This Row],[customer_id]], customers[customer_id], 0)), "Unmapped")</f>
        <v>Germany</v>
      </c>
      <c r="G5426" t="str">
        <f>IFERROR(INDEX(Region_Map[Region], MATCH(orders[[#This Row],[Customer_Country]], Region_Map[Country], 0)), "Unknown")</f>
        <v>Central Europe</v>
      </c>
      <c r="H5426" t="s">
        <v>6949</v>
      </c>
    </row>
    <row r="5427" spans="1:8">
      <c r="A5427" t="s">
        <v>6319</v>
      </c>
      <c r="B5427" t="s">
        <v>599</v>
      </c>
      <c r="C5427" s="1">
        <v>45237</v>
      </c>
      <c r="D5427" s="1" t="str">
        <f>PROPER(orders[[#This Row],[order_priority]])</f>
        <v>Standard</v>
      </c>
      <c r="E5427" t="s">
        <v>13317</v>
      </c>
      <c r="F5427" t="str">
        <f>IFERROR(INDEX(customers[country], MATCH(orders[[#This Row],[customer_id]], customers[customer_id], 0)), "Unmapped")</f>
        <v>Germany</v>
      </c>
      <c r="G5427" t="str">
        <f>IFERROR(INDEX(Region_Map[Region], MATCH(orders[[#This Row],[Customer_Country]], Region_Map[Country], 0)), "Unknown")</f>
        <v>Central Europe</v>
      </c>
      <c r="H5427" t="s">
        <v>6949</v>
      </c>
    </row>
    <row r="5428" spans="1:8">
      <c r="A5428" t="s">
        <v>6320</v>
      </c>
      <c r="B5428" t="s">
        <v>102</v>
      </c>
      <c r="C5428" s="1">
        <v>45205</v>
      </c>
      <c r="D5428" s="1" t="str">
        <f>PROPER(orders[[#This Row],[order_priority]])</f>
        <v>Same Day</v>
      </c>
      <c r="E5428" t="s">
        <v>13322</v>
      </c>
      <c r="F5428" t="str">
        <f>IFERROR(INDEX(customers[country], MATCH(orders[[#This Row],[customer_id]], customers[customer_id], 0)), "Unmapped")</f>
        <v>Denmark</v>
      </c>
      <c r="G5428" t="str">
        <f>IFERROR(INDEX(Region_Map[Region], MATCH(orders[[#This Row],[Customer_Country]], Region_Map[Country], 0)), "Unknown")</f>
        <v>Nordics</v>
      </c>
      <c r="H5428" t="s">
        <v>6949</v>
      </c>
    </row>
    <row r="5429" spans="1:8">
      <c r="A5429" t="s">
        <v>6321</v>
      </c>
      <c r="B5429" t="s">
        <v>578</v>
      </c>
      <c r="C5429" s="1">
        <v>45368</v>
      </c>
      <c r="D5429" s="1" t="str">
        <f>PROPER(orders[[#This Row],[order_priority]])</f>
        <v>Same Day</v>
      </c>
      <c r="E5429" t="s">
        <v>13322</v>
      </c>
      <c r="F5429" t="str">
        <f>IFERROR(INDEX(customers[country], MATCH(orders[[#This Row],[customer_id]], customers[customer_id], 0)), "Unmapped")</f>
        <v>Norway</v>
      </c>
      <c r="G5429" t="str">
        <f>IFERROR(INDEX(Region_Map[Region], MATCH(orders[[#This Row],[Customer_Country]], Region_Map[Country], 0)), "Unknown")</f>
        <v>Nordics</v>
      </c>
      <c r="H5429" t="s">
        <v>6949</v>
      </c>
    </row>
    <row r="5430" spans="1:8">
      <c r="A5430" t="s">
        <v>6322</v>
      </c>
      <c r="B5430" t="s">
        <v>192</v>
      </c>
      <c r="C5430" s="1">
        <v>45022</v>
      </c>
      <c r="D5430" s="1" t="str">
        <f>PROPER(orders[[#This Row],[order_priority]])</f>
        <v>Same Day</v>
      </c>
      <c r="E5430" t="s">
        <v>13322</v>
      </c>
      <c r="F5430" t="str">
        <f>IFERROR(INDEX(customers[country], MATCH(orders[[#This Row],[customer_id]], customers[customer_id], 0)), "Unmapped")</f>
        <v>Estonia</v>
      </c>
      <c r="G5430" t="str">
        <f>IFERROR(INDEX(Region_Map[Region], MATCH(orders[[#This Row],[Customer_Country]], Region_Map[Country], 0)), "Unknown")</f>
        <v>Baltics</v>
      </c>
      <c r="H5430" t="s">
        <v>6949</v>
      </c>
    </row>
    <row r="5431" spans="1:8">
      <c r="A5431" t="s">
        <v>6323</v>
      </c>
      <c r="B5431" t="s">
        <v>819</v>
      </c>
      <c r="C5431" s="1">
        <v>45151</v>
      </c>
      <c r="D5431" s="1" t="str">
        <f>PROPER(orders[[#This Row],[order_priority]])</f>
        <v>Same Day</v>
      </c>
      <c r="E5431" t="s">
        <v>13322</v>
      </c>
      <c r="F5431" t="str">
        <f>IFERROR(INDEX(customers[country], MATCH(orders[[#This Row],[customer_id]], customers[customer_id], 0)), "Unmapped")</f>
        <v>Estonia</v>
      </c>
      <c r="G5431" t="str">
        <f>IFERROR(INDEX(Region_Map[Region], MATCH(orders[[#This Row],[Customer_Country]], Region_Map[Country], 0)), "Unknown")</f>
        <v>Baltics</v>
      </c>
      <c r="H5431" t="s">
        <v>6949</v>
      </c>
    </row>
    <row r="5432" spans="1:8">
      <c r="A5432" t="s">
        <v>6324</v>
      </c>
      <c r="B5432" t="s">
        <v>118</v>
      </c>
      <c r="C5432" s="1">
        <v>45533</v>
      </c>
      <c r="D5432" s="1" t="str">
        <f>PROPER(orders[[#This Row],[order_priority]])</f>
        <v>Standard</v>
      </c>
      <c r="E5432" t="s">
        <v>13317</v>
      </c>
      <c r="F5432" t="str">
        <f>IFERROR(INDEX(customers[country], MATCH(orders[[#This Row],[customer_id]], customers[customer_id], 0)), "Unmapped")</f>
        <v>Denmark</v>
      </c>
      <c r="G5432" t="str">
        <f>IFERROR(INDEX(Region_Map[Region], MATCH(orders[[#This Row],[Customer_Country]], Region_Map[Country], 0)), "Unknown")</f>
        <v>Nordics</v>
      </c>
      <c r="H5432" t="s">
        <v>6949</v>
      </c>
    </row>
    <row r="5433" spans="1:8">
      <c r="A5433" t="s">
        <v>3675</v>
      </c>
      <c r="B5433" t="s">
        <v>115</v>
      </c>
      <c r="C5433" s="1">
        <v>45508</v>
      </c>
      <c r="D5433" s="1" t="str">
        <f>PROPER(orders[[#This Row],[order_priority]])</f>
        <v>Same Day</v>
      </c>
      <c r="E5433" t="s">
        <v>13322</v>
      </c>
      <c r="F5433" t="str">
        <f>IFERROR(INDEX(customers[country], MATCH(orders[[#This Row],[customer_id]], customers[customer_id], 0)), "Unmapped")</f>
        <v>Finland</v>
      </c>
      <c r="G5433" t="str">
        <f>IFERROR(INDEX(Region_Map[Region], MATCH(orders[[#This Row],[Customer_Country]], Region_Map[Country], 0)), "Unknown")</f>
        <v>Nordics</v>
      </c>
      <c r="H5433" t="s">
        <v>6949</v>
      </c>
    </row>
    <row r="5434" spans="1:8">
      <c r="A5434" t="s">
        <v>6325</v>
      </c>
      <c r="B5434" t="s">
        <v>743</v>
      </c>
      <c r="C5434" s="1">
        <v>45227</v>
      </c>
      <c r="D5434" s="1" t="str">
        <f>PROPER(orders[[#This Row],[order_priority]])</f>
        <v>Economy</v>
      </c>
      <c r="E5434" t="s">
        <v>13316</v>
      </c>
      <c r="F5434" t="str">
        <f>IFERROR(INDEX(customers[country], MATCH(orders[[#This Row],[customer_id]], customers[customer_id], 0)), "Unmapped")</f>
        <v>Germany</v>
      </c>
      <c r="G5434" t="str">
        <f>IFERROR(INDEX(Region_Map[Region], MATCH(orders[[#This Row],[Customer_Country]], Region_Map[Country], 0)), "Unknown")</f>
        <v>Central Europe</v>
      </c>
      <c r="H5434" t="s">
        <v>6949</v>
      </c>
    </row>
    <row r="5435" spans="1:8">
      <c r="A5435" t="s">
        <v>6326</v>
      </c>
      <c r="B5435" t="s">
        <v>790</v>
      </c>
      <c r="C5435" s="1">
        <v>45196</v>
      </c>
      <c r="D5435" s="1" t="str">
        <f>PROPER(orders[[#This Row],[order_priority]])</f>
        <v>Same Day</v>
      </c>
      <c r="E5435" t="s">
        <v>13322</v>
      </c>
      <c r="F5435" t="str">
        <f>IFERROR(INDEX(customers[country], MATCH(orders[[#This Row],[customer_id]], customers[customer_id], 0)), "Unmapped")</f>
        <v>Germany</v>
      </c>
      <c r="G5435" t="str">
        <f>IFERROR(INDEX(Region_Map[Region], MATCH(orders[[#This Row],[Customer_Country]], Region_Map[Country], 0)), "Unknown")</f>
        <v>Central Europe</v>
      </c>
      <c r="H5435" t="s">
        <v>6949</v>
      </c>
    </row>
    <row r="5436" spans="1:8">
      <c r="A5436" t="s">
        <v>6327</v>
      </c>
      <c r="B5436" t="s">
        <v>861</v>
      </c>
      <c r="C5436" s="1">
        <v>45374</v>
      </c>
      <c r="D5436" s="1" t="str">
        <f>PROPER(orders[[#This Row],[order_priority]])</f>
        <v>Express</v>
      </c>
      <c r="E5436" t="s">
        <v>13318</v>
      </c>
      <c r="F5436" t="str">
        <f>IFERROR(INDEX(customers[country], MATCH(orders[[#This Row],[customer_id]], customers[customer_id], 0)), "Unmapped")</f>
        <v>Latvia</v>
      </c>
      <c r="G5436" t="str">
        <f>IFERROR(INDEX(Region_Map[Region], MATCH(orders[[#This Row],[Customer_Country]], Region_Map[Country], 0)), "Unknown")</f>
        <v>Baltics</v>
      </c>
      <c r="H5436" t="s">
        <v>6949</v>
      </c>
    </row>
    <row r="5437" spans="1:8">
      <c r="A5437" t="s">
        <v>6328</v>
      </c>
      <c r="B5437" t="s">
        <v>413</v>
      </c>
      <c r="C5437" s="1">
        <v>45602</v>
      </c>
      <c r="D5437" s="1" t="str">
        <f>PROPER(orders[[#This Row],[order_priority]])</f>
        <v>Standard</v>
      </c>
      <c r="E5437" t="s">
        <v>13317</v>
      </c>
      <c r="F5437" t="str">
        <f>IFERROR(INDEX(customers[country], MATCH(orders[[#This Row],[customer_id]], customers[customer_id], 0)), "Unmapped")</f>
        <v>Poland</v>
      </c>
      <c r="G5437" t="str">
        <f>IFERROR(INDEX(Region_Map[Region], MATCH(orders[[#This Row],[Customer_Country]], Region_Map[Country], 0)), "Unknown")</f>
        <v>Central Europe</v>
      </c>
      <c r="H5437" t="s">
        <v>6949</v>
      </c>
    </row>
    <row r="5438" spans="1:8">
      <c r="A5438" t="s">
        <v>6329</v>
      </c>
      <c r="B5438" t="s">
        <v>172</v>
      </c>
      <c r="C5438" s="1">
        <v>45009</v>
      </c>
      <c r="D5438" s="1" t="str">
        <f>PROPER(orders[[#This Row],[order_priority]])</f>
        <v>Express</v>
      </c>
      <c r="E5438" t="s">
        <v>13318</v>
      </c>
      <c r="F5438" t="str">
        <f>IFERROR(INDEX(customers[country], MATCH(orders[[#This Row],[customer_id]], customers[customer_id], 0)), "Unmapped")</f>
        <v>Denmark</v>
      </c>
      <c r="G5438" t="str">
        <f>IFERROR(INDEX(Region_Map[Region], MATCH(orders[[#This Row],[Customer_Country]], Region_Map[Country], 0)), "Unknown")</f>
        <v>Nordics</v>
      </c>
      <c r="H5438" t="s">
        <v>6949</v>
      </c>
    </row>
    <row r="5439" spans="1:8">
      <c r="A5439" t="s">
        <v>6330</v>
      </c>
      <c r="B5439" t="s">
        <v>13358</v>
      </c>
      <c r="C5439" s="1">
        <v>45146</v>
      </c>
      <c r="D5439" s="1" t="str">
        <f>PROPER(orders[[#This Row],[order_priority]])</f>
        <v>Same Day</v>
      </c>
      <c r="E5439" t="s">
        <v>13322</v>
      </c>
      <c r="F5439" t="str">
        <f>IFERROR(INDEX(customers[country], MATCH(orders[[#This Row],[customer_id]], customers[customer_id], 0)), "Unmapped")</f>
        <v>Unmapped</v>
      </c>
      <c r="G5439" t="str">
        <f>IFERROR(INDEX(Region_Map[Region], MATCH(orders[[#This Row],[Customer_Country]], Region_Map[Country], 0)), "Unknown")</f>
        <v>Unknown</v>
      </c>
      <c r="H5439" t="s">
        <v>6949</v>
      </c>
    </row>
    <row r="5440" spans="1:8">
      <c r="A5440" t="s">
        <v>6331</v>
      </c>
      <c r="B5440" t="s">
        <v>735</v>
      </c>
      <c r="C5440" s="1">
        <v>45269</v>
      </c>
      <c r="D5440" s="1" t="str">
        <f>PROPER(orders[[#This Row],[order_priority]])</f>
        <v>Same Day</v>
      </c>
      <c r="E5440" t="s">
        <v>13322</v>
      </c>
      <c r="F5440" t="str">
        <f>IFERROR(INDEX(customers[country], MATCH(orders[[#This Row],[customer_id]], customers[customer_id], 0)), "Unmapped")</f>
        <v>Poland</v>
      </c>
      <c r="G5440" t="str">
        <f>IFERROR(INDEX(Region_Map[Region], MATCH(orders[[#This Row],[Customer_Country]], Region_Map[Country], 0)), "Unknown")</f>
        <v>Central Europe</v>
      </c>
      <c r="H5440" t="s">
        <v>6949</v>
      </c>
    </row>
    <row r="5441" spans="1:8">
      <c r="A5441" t="s">
        <v>6332</v>
      </c>
      <c r="B5441" t="s">
        <v>252</v>
      </c>
      <c r="C5441" s="1">
        <v>45073</v>
      </c>
      <c r="D5441" s="1" t="str">
        <f>PROPER(orders[[#This Row],[order_priority]])</f>
        <v>Standard</v>
      </c>
      <c r="E5441" t="s">
        <v>13317</v>
      </c>
      <c r="F5441" t="str">
        <f>IFERROR(INDEX(customers[country], MATCH(orders[[#This Row],[customer_id]], customers[customer_id], 0)), "Unmapped")</f>
        <v>Lithuania</v>
      </c>
      <c r="G5441" t="str">
        <f>IFERROR(INDEX(Region_Map[Region], MATCH(orders[[#This Row],[Customer_Country]], Region_Map[Country], 0)), "Unknown")</f>
        <v>Baltics</v>
      </c>
      <c r="H5441" t="s">
        <v>6949</v>
      </c>
    </row>
    <row r="5442" spans="1:8">
      <c r="A5442" t="s">
        <v>6333</v>
      </c>
      <c r="B5442" t="s">
        <v>578</v>
      </c>
      <c r="C5442" s="1">
        <v>45229</v>
      </c>
      <c r="D5442" s="1" t="str">
        <f>PROPER(orders[[#This Row],[order_priority]])</f>
        <v>Same Day</v>
      </c>
      <c r="E5442" t="s">
        <v>13321</v>
      </c>
      <c r="F5442" t="str">
        <f>IFERROR(INDEX(customers[country], MATCH(orders[[#This Row],[customer_id]], customers[customer_id], 0)), "Unmapped")</f>
        <v>Norway</v>
      </c>
      <c r="G5442" t="str">
        <f>IFERROR(INDEX(Region_Map[Region], MATCH(orders[[#This Row],[Customer_Country]], Region_Map[Country], 0)), "Unknown")</f>
        <v>Nordics</v>
      </c>
      <c r="H5442" t="s">
        <v>6949</v>
      </c>
    </row>
    <row r="5443" spans="1:8">
      <c r="A5443" t="s">
        <v>6334</v>
      </c>
      <c r="B5443" t="s">
        <v>766</v>
      </c>
      <c r="C5443" s="1">
        <v>45546</v>
      </c>
      <c r="D5443" s="1" t="str">
        <f>PROPER(orders[[#This Row],[order_priority]])</f>
        <v>Economy</v>
      </c>
      <c r="E5443" t="s">
        <v>13316</v>
      </c>
      <c r="F5443" t="str">
        <f>IFERROR(INDEX(customers[country], MATCH(orders[[#This Row],[customer_id]], customers[customer_id], 0)), "Unmapped")</f>
        <v>Germany</v>
      </c>
      <c r="G5443" t="str">
        <f>IFERROR(INDEX(Region_Map[Region], MATCH(orders[[#This Row],[Customer_Country]], Region_Map[Country], 0)), "Unknown")</f>
        <v>Central Europe</v>
      </c>
      <c r="H5443" t="s">
        <v>6949</v>
      </c>
    </row>
    <row r="5444" spans="1:8">
      <c r="A5444" t="s">
        <v>6335</v>
      </c>
      <c r="B5444" t="s">
        <v>831</v>
      </c>
      <c r="C5444" s="1">
        <v>45418</v>
      </c>
      <c r="D5444" s="1" t="str">
        <f>PROPER(orders[[#This Row],[order_priority]])</f>
        <v>Express</v>
      </c>
      <c r="E5444" t="s">
        <v>13318</v>
      </c>
      <c r="F5444" t="str">
        <f>IFERROR(INDEX(customers[country], MATCH(orders[[#This Row],[customer_id]], customers[customer_id], 0)), "Unmapped")</f>
        <v>Norway</v>
      </c>
      <c r="G5444" t="str">
        <f>IFERROR(INDEX(Region_Map[Region], MATCH(orders[[#This Row],[Customer_Country]], Region_Map[Country], 0)), "Unknown")</f>
        <v>Nordics</v>
      </c>
      <c r="H5444" t="s">
        <v>6949</v>
      </c>
    </row>
    <row r="5445" spans="1:8">
      <c r="A5445" t="s">
        <v>6336</v>
      </c>
      <c r="B5445" t="s">
        <v>461</v>
      </c>
      <c r="C5445" s="1">
        <v>45301</v>
      </c>
      <c r="D5445" s="1" t="str">
        <f>PROPER(orders[[#This Row],[order_priority]])</f>
        <v>Express</v>
      </c>
      <c r="E5445" t="s">
        <v>13318</v>
      </c>
      <c r="F5445" t="str">
        <f>IFERROR(INDEX(customers[country], MATCH(orders[[#This Row],[customer_id]], customers[customer_id], 0)), "Unmapped")</f>
        <v>Latvia</v>
      </c>
      <c r="G5445" t="str">
        <f>IFERROR(INDEX(Region_Map[Region], MATCH(orders[[#This Row],[Customer_Country]], Region_Map[Country], 0)), "Unknown")</f>
        <v>Baltics</v>
      </c>
      <c r="H5445" t="s">
        <v>6949</v>
      </c>
    </row>
    <row r="5446" spans="1:8">
      <c r="A5446" t="s">
        <v>6337</v>
      </c>
      <c r="B5446" t="s">
        <v>61</v>
      </c>
      <c r="C5446" s="1">
        <v>45415</v>
      </c>
      <c r="D5446" s="1" t="str">
        <f>PROPER(orders[[#This Row],[order_priority]])</f>
        <v>Express</v>
      </c>
      <c r="E5446" t="s">
        <v>13326</v>
      </c>
      <c r="F5446" t="str">
        <f>IFERROR(INDEX(customers[country], MATCH(orders[[#This Row],[customer_id]], customers[customer_id], 0)), "Unmapped")</f>
        <v>Netherlands</v>
      </c>
      <c r="G5446" t="str">
        <f>IFERROR(INDEX(Region_Map[Region], MATCH(orders[[#This Row],[Customer_Country]], Region_Map[Country], 0)), "Unknown")</f>
        <v>Central Europe</v>
      </c>
      <c r="H5446" t="s">
        <v>6949</v>
      </c>
    </row>
    <row r="5447" spans="1:8">
      <c r="A5447" t="s">
        <v>6338</v>
      </c>
      <c r="B5447" t="s">
        <v>685</v>
      </c>
      <c r="C5447" s="1">
        <v>45386</v>
      </c>
      <c r="D5447" s="1" t="str">
        <f>PROPER(orders[[#This Row],[order_priority]])</f>
        <v>Economy</v>
      </c>
      <c r="E5447" t="s">
        <v>13316</v>
      </c>
      <c r="F5447" t="str">
        <f>IFERROR(INDEX(customers[country], MATCH(orders[[#This Row],[customer_id]], customers[customer_id], 0)), "Unmapped")</f>
        <v>Latvia</v>
      </c>
      <c r="G5447" t="str">
        <f>IFERROR(INDEX(Region_Map[Region], MATCH(orders[[#This Row],[Customer_Country]], Region_Map[Country], 0)), "Unknown")</f>
        <v>Baltics</v>
      </c>
      <c r="H5447" t="s">
        <v>6949</v>
      </c>
    </row>
    <row r="5448" spans="1:8">
      <c r="A5448" t="s">
        <v>6339</v>
      </c>
      <c r="B5448" t="s">
        <v>133</v>
      </c>
      <c r="C5448" s="1">
        <v>45507</v>
      </c>
      <c r="D5448" s="1" t="str">
        <f>PROPER(orders[[#This Row],[order_priority]])</f>
        <v>Economy</v>
      </c>
      <c r="E5448" t="s">
        <v>13316</v>
      </c>
      <c r="F5448" t="str">
        <f>IFERROR(INDEX(customers[country], MATCH(orders[[#This Row],[customer_id]], customers[customer_id], 0)), "Unmapped")</f>
        <v>Finland</v>
      </c>
      <c r="G5448" t="str">
        <f>IFERROR(INDEX(Region_Map[Region], MATCH(orders[[#This Row],[Customer_Country]], Region_Map[Country], 0)), "Unknown")</f>
        <v>Nordics</v>
      </c>
      <c r="H5448" t="s">
        <v>6949</v>
      </c>
    </row>
    <row r="5449" spans="1:8">
      <c r="A5449" t="s">
        <v>6340</v>
      </c>
      <c r="B5449" t="s">
        <v>775</v>
      </c>
      <c r="C5449" s="1">
        <v>45530</v>
      </c>
      <c r="D5449" s="1" t="str">
        <f>PROPER(orders[[#This Row],[order_priority]])</f>
        <v>Same Day</v>
      </c>
      <c r="E5449" t="s">
        <v>13322</v>
      </c>
      <c r="F5449" t="str">
        <f>IFERROR(INDEX(customers[country], MATCH(orders[[#This Row],[customer_id]], customers[customer_id], 0)), "Unmapped")</f>
        <v>Sweden</v>
      </c>
      <c r="G5449" t="str">
        <f>IFERROR(INDEX(Region_Map[Region], MATCH(orders[[#This Row],[Customer_Country]], Region_Map[Country], 0)), "Unknown")</f>
        <v>Nordics</v>
      </c>
      <c r="H5449" t="s">
        <v>6949</v>
      </c>
    </row>
    <row r="5450" spans="1:8">
      <c r="A5450" t="s">
        <v>6341</v>
      </c>
      <c r="B5450" t="s">
        <v>303</v>
      </c>
      <c r="C5450" s="1">
        <v>45198</v>
      </c>
      <c r="D5450" s="1" t="str">
        <f>PROPER(orders[[#This Row],[order_priority]])</f>
        <v>Express</v>
      </c>
      <c r="E5450" t="s">
        <v>13318</v>
      </c>
      <c r="F5450" t="str">
        <f>IFERROR(INDEX(customers[country], MATCH(orders[[#This Row],[customer_id]], customers[customer_id], 0)), "Unmapped")</f>
        <v>Netherlands</v>
      </c>
      <c r="G5450" t="str">
        <f>IFERROR(INDEX(Region_Map[Region], MATCH(orders[[#This Row],[Customer_Country]], Region_Map[Country], 0)), "Unknown")</f>
        <v>Central Europe</v>
      </c>
      <c r="H5450" t="s">
        <v>6949</v>
      </c>
    </row>
    <row r="5451" spans="1:8">
      <c r="A5451" t="s">
        <v>6342</v>
      </c>
      <c r="B5451" t="s">
        <v>252</v>
      </c>
      <c r="C5451" s="1">
        <v>44968</v>
      </c>
      <c r="D5451" s="1" t="str">
        <f>PROPER(orders[[#This Row],[order_priority]])</f>
        <v>Express</v>
      </c>
      <c r="E5451" t="s">
        <v>13318</v>
      </c>
      <c r="F5451" t="str">
        <f>IFERROR(INDEX(customers[country], MATCH(orders[[#This Row],[customer_id]], customers[customer_id], 0)), "Unmapped")</f>
        <v>Lithuania</v>
      </c>
      <c r="G5451" t="str">
        <f>IFERROR(INDEX(Region_Map[Region], MATCH(orders[[#This Row],[Customer_Country]], Region_Map[Country], 0)), "Unknown")</f>
        <v>Baltics</v>
      </c>
      <c r="H5451" t="s">
        <v>6949</v>
      </c>
    </row>
    <row r="5452" spans="1:8">
      <c r="A5452" t="s">
        <v>6343</v>
      </c>
      <c r="B5452" t="s">
        <v>306</v>
      </c>
      <c r="C5452" s="1">
        <v>45292</v>
      </c>
      <c r="D5452" s="1" t="str">
        <f>PROPER(orders[[#This Row],[order_priority]])</f>
        <v>Standard</v>
      </c>
      <c r="E5452" t="s">
        <v>13317</v>
      </c>
      <c r="F5452" t="str">
        <f>IFERROR(INDEX(customers[country], MATCH(orders[[#This Row],[customer_id]], customers[customer_id], 0)), "Unmapped")</f>
        <v>Estonia</v>
      </c>
      <c r="G5452" t="str">
        <f>IFERROR(INDEX(Region_Map[Region], MATCH(orders[[#This Row],[Customer_Country]], Region_Map[Country], 0)), "Unknown")</f>
        <v>Baltics</v>
      </c>
      <c r="H5452" t="s">
        <v>6949</v>
      </c>
    </row>
    <row r="5453" spans="1:8">
      <c r="A5453" t="s">
        <v>6344</v>
      </c>
      <c r="B5453" t="s">
        <v>184</v>
      </c>
      <c r="C5453" s="1">
        <v>45294</v>
      </c>
      <c r="D5453" s="1" t="str">
        <f>PROPER(orders[[#This Row],[order_priority]])</f>
        <v>Express</v>
      </c>
      <c r="E5453" t="s">
        <v>13318</v>
      </c>
      <c r="F5453" t="str">
        <f>IFERROR(INDEX(customers[country], MATCH(orders[[#This Row],[customer_id]], customers[customer_id], 0)), "Unmapped")</f>
        <v>Netherlands</v>
      </c>
      <c r="G5453" t="str">
        <f>IFERROR(INDEX(Region_Map[Region], MATCH(orders[[#This Row],[Customer_Country]], Region_Map[Country], 0)), "Unknown")</f>
        <v>Central Europe</v>
      </c>
      <c r="H5453" t="s">
        <v>6949</v>
      </c>
    </row>
    <row r="5454" spans="1:8">
      <c r="A5454" t="s">
        <v>6345</v>
      </c>
      <c r="B5454" t="s">
        <v>13349</v>
      </c>
      <c r="C5454" s="1">
        <v>45126</v>
      </c>
      <c r="D5454" s="1" t="str">
        <f>PROPER(orders[[#This Row],[order_priority]])</f>
        <v>Express</v>
      </c>
      <c r="E5454" t="s">
        <v>13318</v>
      </c>
      <c r="F5454" t="str">
        <f>IFERROR(INDEX(customers[country], MATCH(orders[[#This Row],[customer_id]], customers[customer_id], 0)), "Unmapped")</f>
        <v>Unmapped</v>
      </c>
      <c r="G5454" t="str">
        <f>IFERROR(INDEX(Region_Map[Region], MATCH(orders[[#This Row],[Customer_Country]], Region_Map[Country], 0)), "Unknown")</f>
        <v>Unknown</v>
      </c>
      <c r="H5454" t="s">
        <v>6949</v>
      </c>
    </row>
    <row r="5455" spans="1:8">
      <c r="A5455" t="s">
        <v>6346</v>
      </c>
      <c r="B5455" t="s">
        <v>611</v>
      </c>
      <c r="C5455" s="1">
        <v>45267</v>
      </c>
      <c r="D5455" s="1" t="str">
        <f>PROPER(orders[[#This Row],[order_priority]])</f>
        <v>Same Day</v>
      </c>
      <c r="E5455" t="s">
        <v>13322</v>
      </c>
      <c r="F5455" t="str">
        <f>IFERROR(INDEX(customers[country], MATCH(orders[[#This Row],[customer_id]], customers[customer_id], 0)), "Unmapped")</f>
        <v>Poland</v>
      </c>
      <c r="G5455" t="str">
        <f>IFERROR(INDEX(Region_Map[Region], MATCH(orders[[#This Row],[Customer_Country]], Region_Map[Country], 0)), "Unknown")</f>
        <v>Central Europe</v>
      </c>
      <c r="H5455" t="s">
        <v>6949</v>
      </c>
    </row>
    <row r="5456" spans="1:8">
      <c r="A5456" t="s">
        <v>6347</v>
      </c>
      <c r="B5456" t="s">
        <v>620</v>
      </c>
      <c r="C5456" s="1">
        <v>45337</v>
      </c>
      <c r="D5456" s="1" t="str">
        <f>PROPER(orders[[#This Row],[order_priority]])</f>
        <v>Express</v>
      </c>
      <c r="E5456" t="s">
        <v>13318</v>
      </c>
      <c r="F5456" t="str">
        <f>IFERROR(INDEX(customers[country], MATCH(orders[[#This Row],[customer_id]], customers[customer_id], 0)), "Unmapped")</f>
        <v>Latvia</v>
      </c>
      <c r="G5456" t="str">
        <f>IFERROR(INDEX(Region_Map[Region], MATCH(orders[[#This Row],[Customer_Country]], Region_Map[Country], 0)), "Unknown")</f>
        <v>Baltics</v>
      </c>
      <c r="H5456" t="s">
        <v>6949</v>
      </c>
    </row>
    <row r="5457" spans="1:8">
      <c r="A5457" t="s">
        <v>6348</v>
      </c>
      <c r="B5457" t="s">
        <v>709</v>
      </c>
      <c r="C5457" s="1">
        <v>45553</v>
      </c>
      <c r="D5457" s="1" t="str">
        <f>PROPER(orders[[#This Row],[order_priority]])</f>
        <v>Economy</v>
      </c>
      <c r="E5457" t="s">
        <v>13316</v>
      </c>
      <c r="F5457" t="str">
        <f>IFERROR(INDEX(customers[country], MATCH(orders[[#This Row],[customer_id]], customers[customer_id], 0)), "Unmapped")</f>
        <v>Netherlands</v>
      </c>
      <c r="G5457" t="str">
        <f>IFERROR(INDEX(Region_Map[Region], MATCH(orders[[#This Row],[Customer_Country]], Region_Map[Country], 0)), "Unknown")</f>
        <v>Central Europe</v>
      </c>
      <c r="H5457" t="s">
        <v>6949</v>
      </c>
    </row>
    <row r="5458" spans="1:8">
      <c r="A5458" t="s">
        <v>6349</v>
      </c>
      <c r="B5458" t="s">
        <v>154</v>
      </c>
      <c r="C5458" s="1">
        <v>45245</v>
      </c>
      <c r="D5458" s="1" t="str">
        <f>PROPER(orders[[#This Row],[order_priority]])</f>
        <v>Economy</v>
      </c>
      <c r="E5458" t="s">
        <v>13316</v>
      </c>
      <c r="F5458" t="str">
        <f>IFERROR(INDEX(customers[country], MATCH(orders[[#This Row],[customer_id]], customers[customer_id], 0)), "Unmapped")</f>
        <v>Lithuania</v>
      </c>
      <c r="G5458" t="str">
        <f>IFERROR(INDEX(Region_Map[Region], MATCH(orders[[#This Row],[Customer_Country]], Region_Map[Country], 0)), "Unknown")</f>
        <v>Baltics</v>
      </c>
      <c r="H5458" t="s">
        <v>6949</v>
      </c>
    </row>
    <row r="5459" spans="1:8">
      <c r="A5459" t="s">
        <v>6350</v>
      </c>
      <c r="B5459" t="s">
        <v>802</v>
      </c>
      <c r="C5459" s="1">
        <v>45407</v>
      </c>
      <c r="D5459" s="1" t="str">
        <f>PROPER(orders[[#This Row],[order_priority]])</f>
        <v>Express</v>
      </c>
      <c r="E5459" t="s">
        <v>13318</v>
      </c>
      <c r="F5459" t="str">
        <f>IFERROR(INDEX(customers[country], MATCH(orders[[#This Row],[customer_id]], customers[customer_id], 0)), "Unmapped")</f>
        <v>Poland</v>
      </c>
      <c r="G5459" t="str">
        <f>IFERROR(INDEX(Region_Map[Region], MATCH(orders[[#This Row],[Customer_Country]], Region_Map[Country], 0)), "Unknown")</f>
        <v>Central Europe</v>
      </c>
      <c r="H5459" t="s">
        <v>6949</v>
      </c>
    </row>
    <row r="5460" spans="1:8">
      <c r="A5460" t="s">
        <v>6351</v>
      </c>
      <c r="B5460" t="s">
        <v>611</v>
      </c>
      <c r="C5460" s="1">
        <v>45618</v>
      </c>
      <c r="D5460" s="1" t="str">
        <f>PROPER(orders[[#This Row],[order_priority]])</f>
        <v>Express</v>
      </c>
      <c r="E5460" t="s">
        <v>13318</v>
      </c>
      <c r="F5460" t="str">
        <f>IFERROR(INDEX(customers[country], MATCH(orders[[#This Row],[customer_id]], customers[customer_id], 0)), "Unmapped")</f>
        <v>Poland</v>
      </c>
      <c r="G5460" t="str">
        <f>IFERROR(INDEX(Region_Map[Region], MATCH(orders[[#This Row],[Customer_Country]], Region_Map[Country], 0)), "Unknown")</f>
        <v>Central Europe</v>
      </c>
      <c r="H5460" t="s">
        <v>6949</v>
      </c>
    </row>
    <row r="5461" spans="1:8">
      <c r="A5461" t="s">
        <v>6352</v>
      </c>
      <c r="B5461" t="s">
        <v>557</v>
      </c>
      <c r="C5461" s="1">
        <v>45145</v>
      </c>
      <c r="D5461" s="1" t="str">
        <f>PROPER(orders[[#This Row],[order_priority]])</f>
        <v>Economy</v>
      </c>
      <c r="E5461" t="s">
        <v>13316</v>
      </c>
      <c r="F5461" t="str">
        <f>IFERROR(INDEX(customers[country], MATCH(orders[[#This Row],[customer_id]], customers[customer_id], 0)), "Unmapped")</f>
        <v>Norway</v>
      </c>
      <c r="G5461" t="str">
        <f>IFERROR(INDEX(Region_Map[Region], MATCH(orders[[#This Row],[Customer_Country]], Region_Map[Country], 0)), "Unknown")</f>
        <v>Nordics</v>
      </c>
      <c r="H5461" t="s">
        <v>6949</v>
      </c>
    </row>
    <row r="5462" spans="1:8">
      <c r="A5462" t="s">
        <v>6353</v>
      </c>
      <c r="B5462" t="s">
        <v>802</v>
      </c>
      <c r="C5462" s="1">
        <v>45332</v>
      </c>
      <c r="D5462" s="1" t="str">
        <f>PROPER(orders[[#This Row],[order_priority]])</f>
        <v>Express</v>
      </c>
      <c r="E5462" t="s">
        <v>13318</v>
      </c>
      <c r="F5462" t="str">
        <f>IFERROR(INDEX(customers[country], MATCH(orders[[#This Row],[customer_id]], customers[customer_id], 0)), "Unmapped")</f>
        <v>Poland</v>
      </c>
      <c r="G5462" t="str">
        <f>IFERROR(INDEX(Region_Map[Region], MATCH(orders[[#This Row],[Customer_Country]], Region_Map[Country], 0)), "Unknown")</f>
        <v>Central Europe</v>
      </c>
      <c r="H5462" t="s">
        <v>6949</v>
      </c>
    </row>
    <row r="5463" spans="1:8">
      <c r="A5463" t="s">
        <v>6354</v>
      </c>
      <c r="B5463" t="s">
        <v>518</v>
      </c>
      <c r="C5463" s="1">
        <v>44985</v>
      </c>
      <c r="D5463" s="1" t="str">
        <f>PROPER(orders[[#This Row],[order_priority]])</f>
        <v>Same Day</v>
      </c>
      <c r="E5463" t="s">
        <v>13322</v>
      </c>
      <c r="F5463" t="str">
        <f>IFERROR(INDEX(customers[country], MATCH(orders[[#This Row],[customer_id]], customers[customer_id], 0)), "Unmapped")</f>
        <v>Germany</v>
      </c>
      <c r="G5463" t="str">
        <f>IFERROR(INDEX(Region_Map[Region], MATCH(orders[[#This Row],[Customer_Country]], Region_Map[Country], 0)), "Unknown")</f>
        <v>Central Europe</v>
      </c>
      <c r="H5463" t="s">
        <v>6949</v>
      </c>
    </row>
    <row r="5464" spans="1:8">
      <c r="A5464" t="s">
        <v>6355</v>
      </c>
      <c r="B5464" t="s">
        <v>344</v>
      </c>
      <c r="C5464" s="1">
        <v>45281</v>
      </c>
      <c r="D5464" s="1" t="str">
        <f>PROPER(orders[[#This Row],[order_priority]])</f>
        <v>Express</v>
      </c>
      <c r="E5464" t="s">
        <v>13318</v>
      </c>
      <c r="F5464" t="str">
        <f>IFERROR(INDEX(customers[country], MATCH(orders[[#This Row],[customer_id]], customers[customer_id], 0)), "Unmapped")</f>
        <v>Estonia</v>
      </c>
      <c r="G5464" t="str">
        <f>IFERROR(INDEX(Region_Map[Region], MATCH(orders[[#This Row],[Customer_Country]], Region_Map[Country], 0)), "Unknown")</f>
        <v>Baltics</v>
      </c>
      <c r="H5464" t="s">
        <v>6949</v>
      </c>
    </row>
    <row r="5465" spans="1:8">
      <c r="A5465" t="s">
        <v>6356</v>
      </c>
      <c r="B5465" t="s">
        <v>882</v>
      </c>
      <c r="C5465" s="1">
        <v>45524</v>
      </c>
      <c r="D5465" s="1" t="str">
        <f>PROPER(orders[[#This Row],[order_priority]])</f>
        <v>Economy</v>
      </c>
      <c r="E5465" t="s">
        <v>13316</v>
      </c>
      <c r="F5465" t="str">
        <f>IFERROR(INDEX(customers[country], MATCH(orders[[#This Row],[customer_id]], customers[customer_id], 0)), "Unmapped")</f>
        <v>Netherlands</v>
      </c>
      <c r="G5465" t="str">
        <f>IFERROR(INDEX(Region_Map[Region], MATCH(orders[[#This Row],[Customer_Country]], Region_Map[Country], 0)), "Unknown")</f>
        <v>Central Europe</v>
      </c>
      <c r="H5465" t="s">
        <v>6949</v>
      </c>
    </row>
    <row r="5466" spans="1:8">
      <c r="A5466" t="s">
        <v>6357</v>
      </c>
      <c r="B5466" t="s">
        <v>658</v>
      </c>
      <c r="C5466" s="1">
        <v>44988</v>
      </c>
      <c r="D5466" s="1" t="str">
        <f>PROPER(orders[[#This Row],[order_priority]])</f>
        <v>Same Day</v>
      </c>
      <c r="E5466" t="s">
        <v>13322</v>
      </c>
      <c r="F5466" t="str">
        <f>IFERROR(INDEX(customers[country], MATCH(orders[[#This Row],[customer_id]], customers[customer_id], 0)), "Unmapped")</f>
        <v>Latvia</v>
      </c>
      <c r="G5466" t="str">
        <f>IFERROR(INDEX(Region_Map[Region], MATCH(orders[[#This Row],[Customer_Country]], Region_Map[Country], 0)), "Unknown")</f>
        <v>Baltics</v>
      </c>
      <c r="H5466" t="s">
        <v>6949</v>
      </c>
    </row>
    <row r="5467" spans="1:8">
      <c r="A5467" t="s">
        <v>6358</v>
      </c>
      <c r="B5467" t="s">
        <v>344</v>
      </c>
      <c r="C5467" s="1">
        <v>45564</v>
      </c>
      <c r="D5467" s="1" t="str">
        <f>PROPER(orders[[#This Row],[order_priority]])</f>
        <v>Express</v>
      </c>
      <c r="E5467" t="s">
        <v>13326</v>
      </c>
      <c r="F5467" t="str">
        <f>IFERROR(INDEX(customers[country], MATCH(orders[[#This Row],[customer_id]], customers[customer_id], 0)), "Unmapped")</f>
        <v>Estonia</v>
      </c>
      <c r="G5467" t="str">
        <f>IFERROR(INDEX(Region_Map[Region], MATCH(orders[[#This Row],[Customer_Country]], Region_Map[Country], 0)), "Unknown")</f>
        <v>Baltics</v>
      </c>
      <c r="H5467" t="s">
        <v>6949</v>
      </c>
    </row>
    <row r="5468" spans="1:8">
      <c r="A5468" t="s">
        <v>6359</v>
      </c>
      <c r="B5468" t="s">
        <v>163</v>
      </c>
      <c r="C5468" s="1">
        <v>45043</v>
      </c>
      <c r="D5468" s="1" t="str">
        <f>PROPER(orders[[#This Row],[order_priority]])</f>
        <v>Standard</v>
      </c>
      <c r="E5468" t="s">
        <v>13317</v>
      </c>
      <c r="F5468" t="str">
        <f>IFERROR(INDEX(customers[country], MATCH(orders[[#This Row],[customer_id]], customers[customer_id], 0)), "Unmapped")</f>
        <v>Germany</v>
      </c>
      <c r="G5468" t="str">
        <f>IFERROR(INDEX(Region_Map[Region], MATCH(orders[[#This Row],[Customer_Country]], Region_Map[Country], 0)), "Unknown")</f>
        <v>Central Europe</v>
      </c>
      <c r="H5468" t="s">
        <v>6949</v>
      </c>
    </row>
    <row r="5469" spans="1:8">
      <c r="A5469" t="s">
        <v>6360</v>
      </c>
      <c r="B5469" t="s">
        <v>437</v>
      </c>
      <c r="C5469" s="1">
        <v>45185</v>
      </c>
      <c r="D5469" s="1" t="str">
        <f>PROPER(orders[[#This Row],[order_priority]])</f>
        <v>Same Day</v>
      </c>
      <c r="E5469" t="s">
        <v>13322</v>
      </c>
      <c r="F5469" t="str">
        <f>IFERROR(INDEX(customers[country], MATCH(orders[[#This Row],[customer_id]], customers[customer_id], 0)), "Unmapped")</f>
        <v>Lithuania</v>
      </c>
      <c r="G5469" t="str">
        <f>IFERROR(INDEX(Region_Map[Region], MATCH(orders[[#This Row],[Customer_Country]], Region_Map[Country], 0)), "Unknown")</f>
        <v>Baltics</v>
      </c>
      <c r="H5469" t="s">
        <v>6949</v>
      </c>
    </row>
    <row r="5470" spans="1:8">
      <c r="A5470" t="s">
        <v>6361</v>
      </c>
      <c r="B5470" t="s">
        <v>341</v>
      </c>
      <c r="C5470" s="1">
        <v>45212</v>
      </c>
      <c r="D5470" s="1" t="str">
        <f>PROPER(orders[[#This Row],[order_priority]])</f>
        <v>Express</v>
      </c>
      <c r="E5470" t="s">
        <v>13318</v>
      </c>
      <c r="F5470" t="str">
        <f>IFERROR(INDEX(customers[country], MATCH(orders[[#This Row],[customer_id]], customers[customer_id], 0)), "Unmapped")</f>
        <v>Latvia</v>
      </c>
      <c r="G5470" t="str">
        <f>IFERROR(INDEX(Region_Map[Region], MATCH(orders[[#This Row],[Customer_Country]], Region_Map[Country], 0)), "Unknown")</f>
        <v>Baltics</v>
      </c>
      <c r="H5470" t="s">
        <v>6949</v>
      </c>
    </row>
    <row r="5471" spans="1:8">
      <c r="A5471" t="s">
        <v>6362</v>
      </c>
      <c r="B5471" t="s">
        <v>539</v>
      </c>
      <c r="C5471" s="1">
        <v>45268</v>
      </c>
      <c r="D5471" s="1" t="str">
        <f>PROPER(orders[[#This Row],[order_priority]])</f>
        <v>Express</v>
      </c>
      <c r="E5471" t="s">
        <v>13318</v>
      </c>
      <c r="F5471" t="str">
        <f>IFERROR(INDEX(customers[country], MATCH(orders[[#This Row],[customer_id]], customers[customer_id], 0)), "Unmapped")</f>
        <v>Sweden</v>
      </c>
      <c r="G5471" t="str">
        <f>IFERROR(INDEX(Region_Map[Region], MATCH(orders[[#This Row],[Customer_Country]], Region_Map[Country], 0)), "Unknown")</f>
        <v>Nordics</v>
      </c>
      <c r="H5471" t="s">
        <v>6949</v>
      </c>
    </row>
    <row r="5472" spans="1:8">
      <c r="A5472" t="s">
        <v>6363</v>
      </c>
      <c r="B5472" t="s">
        <v>407</v>
      </c>
      <c r="C5472" s="1">
        <v>45093</v>
      </c>
      <c r="D5472" s="1" t="str">
        <f>PROPER(orders[[#This Row],[order_priority]])</f>
        <v>Economy</v>
      </c>
      <c r="E5472" t="s">
        <v>13316</v>
      </c>
      <c r="F5472" t="str">
        <f>IFERROR(INDEX(customers[country], MATCH(orders[[#This Row],[customer_id]], customers[customer_id], 0)), "Unmapped")</f>
        <v>Poland</v>
      </c>
      <c r="G5472" t="str">
        <f>IFERROR(INDEX(Region_Map[Region], MATCH(orders[[#This Row],[Customer_Country]], Region_Map[Country], 0)), "Unknown")</f>
        <v>Central Europe</v>
      </c>
      <c r="H5472" t="s">
        <v>6949</v>
      </c>
    </row>
    <row r="5473" spans="1:8">
      <c r="A5473" t="s">
        <v>6364</v>
      </c>
      <c r="B5473" t="s">
        <v>473</v>
      </c>
      <c r="C5473" s="1">
        <v>45302</v>
      </c>
      <c r="D5473" s="1" t="str">
        <f>PROPER(orders[[#This Row],[order_priority]])</f>
        <v>Standard</v>
      </c>
      <c r="E5473" t="s">
        <v>13317</v>
      </c>
      <c r="F5473" t="str">
        <f>IFERROR(INDEX(customers[country], MATCH(orders[[#This Row],[customer_id]], customers[customer_id], 0)), "Unmapped")</f>
        <v>Netherlands</v>
      </c>
      <c r="G5473" t="str">
        <f>IFERROR(INDEX(Region_Map[Region], MATCH(orders[[#This Row],[Customer_Country]], Region_Map[Country], 0)), "Unknown")</f>
        <v>Central Europe</v>
      </c>
      <c r="H5473" t="s">
        <v>6949</v>
      </c>
    </row>
    <row r="5474" spans="1:8">
      <c r="A5474" t="s">
        <v>6365</v>
      </c>
      <c r="B5474" t="s">
        <v>778</v>
      </c>
      <c r="C5474" s="1">
        <v>45003</v>
      </c>
      <c r="D5474" s="1" t="str">
        <f>PROPER(orders[[#This Row],[order_priority]])</f>
        <v>Economy</v>
      </c>
      <c r="E5474" t="s">
        <v>13316</v>
      </c>
      <c r="F5474" t="str">
        <f>IFERROR(INDEX(customers[country], MATCH(orders[[#This Row],[customer_id]], customers[customer_id], 0)), "Unmapped")</f>
        <v>Estonia</v>
      </c>
      <c r="G5474" t="str">
        <f>IFERROR(INDEX(Region_Map[Region], MATCH(orders[[#This Row],[Customer_Country]], Region_Map[Country], 0)), "Unknown")</f>
        <v>Baltics</v>
      </c>
      <c r="H5474" t="s">
        <v>6949</v>
      </c>
    </row>
    <row r="5475" spans="1:8">
      <c r="A5475" t="s">
        <v>6366</v>
      </c>
      <c r="B5475" t="s">
        <v>766</v>
      </c>
      <c r="C5475" s="1">
        <v>45560</v>
      </c>
      <c r="D5475" s="1" t="str">
        <f>PROPER(orders[[#This Row],[order_priority]])</f>
        <v>Economy</v>
      </c>
      <c r="E5475" t="s">
        <v>13316</v>
      </c>
      <c r="F5475" t="str">
        <f>IFERROR(INDEX(customers[country], MATCH(orders[[#This Row],[customer_id]], customers[customer_id], 0)), "Unmapped")</f>
        <v>Germany</v>
      </c>
      <c r="G5475" t="str">
        <f>IFERROR(INDEX(Region_Map[Region], MATCH(orders[[#This Row],[Customer_Country]], Region_Map[Country], 0)), "Unknown")</f>
        <v>Central Europe</v>
      </c>
      <c r="H5475" t="s">
        <v>6949</v>
      </c>
    </row>
    <row r="5476" spans="1:8">
      <c r="A5476" t="s">
        <v>6367</v>
      </c>
      <c r="B5476" t="s">
        <v>909</v>
      </c>
      <c r="C5476" s="1">
        <v>45564</v>
      </c>
      <c r="D5476" s="1" t="str">
        <f>PROPER(orders[[#This Row],[order_priority]])</f>
        <v>Express</v>
      </c>
      <c r="E5476" t="s">
        <v>13318</v>
      </c>
      <c r="F5476" t="str">
        <f>IFERROR(INDEX(customers[country], MATCH(orders[[#This Row],[customer_id]], customers[customer_id], 0)), "Unmapped")</f>
        <v>Poland</v>
      </c>
      <c r="G5476" t="str">
        <f>IFERROR(INDEX(Region_Map[Region], MATCH(orders[[#This Row],[Customer_Country]], Region_Map[Country], 0)), "Unknown")</f>
        <v>Central Europe</v>
      </c>
      <c r="H5476" t="s">
        <v>6949</v>
      </c>
    </row>
    <row r="5477" spans="1:8">
      <c r="A5477" t="s">
        <v>6368</v>
      </c>
      <c r="B5477" t="s">
        <v>452</v>
      </c>
      <c r="C5477" s="1">
        <v>45602</v>
      </c>
      <c r="D5477" s="1" t="str">
        <f>PROPER(orders[[#This Row],[order_priority]])</f>
        <v>Standard</v>
      </c>
      <c r="E5477" t="s">
        <v>13317</v>
      </c>
      <c r="F5477" t="str">
        <f>IFERROR(INDEX(customers[country], MATCH(orders[[#This Row],[customer_id]], customers[customer_id], 0)), "Unmapped")</f>
        <v>Sweden</v>
      </c>
      <c r="G5477" t="str">
        <f>IFERROR(INDEX(Region_Map[Region], MATCH(orders[[#This Row],[Customer_Country]], Region_Map[Country], 0)), "Unknown")</f>
        <v>Nordics</v>
      </c>
      <c r="H5477" t="s">
        <v>6949</v>
      </c>
    </row>
    <row r="5478" spans="1:8">
      <c r="A5478" t="s">
        <v>6369</v>
      </c>
      <c r="B5478" t="s">
        <v>825</v>
      </c>
      <c r="C5478" s="1">
        <v>45588</v>
      </c>
      <c r="D5478" s="1" t="str">
        <f>PROPER(orders[[#This Row],[order_priority]])</f>
        <v>Economy</v>
      </c>
      <c r="E5478" t="s">
        <v>13316</v>
      </c>
      <c r="F5478" t="str">
        <f>IFERROR(INDEX(customers[country], MATCH(orders[[#This Row],[customer_id]], customers[customer_id], 0)), "Unmapped")</f>
        <v>Latvia</v>
      </c>
      <c r="G5478" t="str">
        <f>IFERROR(INDEX(Region_Map[Region], MATCH(orders[[#This Row],[Customer_Country]], Region_Map[Country], 0)), "Unknown")</f>
        <v>Baltics</v>
      </c>
      <c r="H5478" t="s">
        <v>6949</v>
      </c>
    </row>
    <row r="5479" spans="1:8">
      <c r="A5479" t="s">
        <v>6370</v>
      </c>
      <c r="B5479" t="s">
        <v>738</v>
      </c>
      <c r="C5479" s="1">
        <v>45114</v>
      </c>
      <c r="D5479" s="1" t="str">
        <f>PROPER(orders[[#This Row],[order_priority]])</f>
        <v>Standard</v>
      </c>
      <c r="E5479" t="s">
        <v>13323</v>
      </c>
      <c r="F5479" t="str">
        <f>IFERROR(INDEX(customers[country], MATCH(orders[[#This Row],[customer_id]], customers[customer_id], 0)), "Unmapped")</f>
        <v>Finland</v>
      </c>
      <c r="G5479" t="str">
        <f>IFERROR(INDEX(Region_Map[Region], MATCH(orders[[#This Row],[Customer_Country]], Region_Map[Country], 0)), "Unknown")</f>
        <v>Nordics</v>
      </c>
      <c r="H5479" t="s">
        <v>6949</v>
      </c>
    </row>
    <row r="5480" spans="1:8">
      <c r="A5480" t="s">
        <v>6371</v>
      </c>
      <c r="B5480" t="s">
        <v>422</v>
      </c>
      <c r="C5480" s="1">
        <v>44970</v>
      </c>
      <c r="D5480" s="1" t="str">
        <f>PROPER(orders[[#This Row],[order_priority]])</f>
        <v>Standard</v>
      </c>
      <c r="E5480" t="s">
        <v>13317</v>
      </c>
      <c r="F5480" t="str">
        <f>IFERROR(INDEX(customers[country], MATCH(orders[[#This Row],[customer_id]], customers[customer_id], 0)), "Unmapped")</f>
        <v>Germany</v>
      </c>
      <c r="G5480" t="str">
        <f>IFERROR(INDEX(Region_Map[Region], MATCH(orders[[#This Row],[Customer_Country]], Region_Map[Country], 0)), "Unknown")</f>
        <v>Central Europe</v>
      </c>
      <c r="H5480" t="s">
        <v>6949</v>
      </c>
    </row>
    <row r="5481" spans="1:8">
      <c r="A5481" t="s">
        <v>6372</v>
      </c>
      <c r="B5481" t="s">
        <v>885</v>
      </c>
      <c r="C5481" s="1">
        <v>45420</v>
      </c>
      <c r="D5481" s="1" t="str">
        <f>PROPER(orders[[#This Row],[order_priority]])</f>
        <v>Same Day</v>
      </c>
      <c r="E5481" t="s">
        <v>13322</v>
      </c>
      <c r="F5481" t="str">
        <f>IFERROR(INDEX(customers[country], MATCH(orders[[#This Row],[customer_id]], customers[customer_id], 0)), "Unmapped")</f>
        <v>Poland</v>
      </c>
      <c r="G5481" t="str">
        <f>IFERROR(INDEX(Region_Map[Region], MATCH(orders[[#This Row],[Customer_Country]], Region_Map[Country], 0)), "Unknown")</f>
        <v>Central Europe</v>
      </c>
      <c r="H5481" t="s">
        <v>6949</v>
      </c>
    </row>
    <row r="5482" spans="1:8">
      <c r="A5482" t="s">
        <v>6373</v>
      </c>
      <c r="B5482" t="s">
        <v>323</v>
      </c>
      <c r="C5482" s="1">
        <v>45342</v>
      </c>
      <c r="D5482" s="1" t="str">
        <f>PROPER(orders[[#This Row],[order_priority]])</f>
        <v>Express</v>
      </c>
      <c r="E5482" t="s">
        <v>13326</v>
      </c>
      <c r="F5482" t="str">
        <f>IFERROR(INDEX(customers[country], MATCH(orders[[#This Row],[customer_id]], customers[customer_id], 0)), "Unmapped")</f>
        <v>Estonia</v>
      </c>
      <c r="G5482" t="str">
        <f>IFERROR(INDEX(Region_Map[Region], MATCH(orders[[#This Row],[Customer_Country]], Region_Map[Country], 0)), "Unknown")</f>
        <v>Baltics</v>
      </c>
      <c r="H5482" t="s">
        <v>6949</v>
      </c>
    </row>
    <row r="5483" spans="1:8">
      <c r="A5483" t="s">
        <v>6374</v>
      </c>
      <c r="B5483" t="s">
        <v>831</v>
      </c>
      <c r="C5483" s="1">
        <v>45267</v>
      </c>
      <c r="D5483" s="1" t="str">
        <f>PROPER(orders[[#This Row],[order_priority]])</f>
        <v>Express</v>
      </c>
      <c r="E5483" t="s">
        <v>13320</v>
      </c>
      <c r="F5483" t="str">
        <f>IFERROR(INDEX(customers[country], MATCH(orders[[#This Row],[customer_id]], customers[customer_id], 0)), "Unmapped")</f>
        <v>Norway</v>
      </c>
      <c r="G5483" t="str">
        <f>IFERROR(INDEX(Region_Map[Region], MATCH(orders[[#This Row],[Customer_Country]], Region_Map[Country], 0)), "Unknown")</f>
        <v>Nordics</v>
      </c>
      <c r="H5483" t="s">
        <v>6949</v>
      </c>
    </row>
    <row r="5484" spans="1:8">
      <c r="A5484" t="s">
        <v>6375</v>
      </c>
      <c r="B5484" t="s">
        <v>258</v>
      </c>
      <c r="C5484" s="1">
        <v>45571</v>
      </c>
      <c r="D5484" s="1" t="str">
        <f>PROPER(orders[[#This Row],[order_priority]])</f>
        <v>Express</v>
      </c>
      <c r="E5484" t="s">
        <v>13318</v>
      </c>
      <c r="F5484" t="str">
        <f>IFERROR(INDEX(customers[country], MATCH(orders[[#This Row],[customer_id]], customers[customer_id], 0)), "Unmapped")</f>
        <v>Latvia</v>
      </c>
      <c r="G5484" t="str">
        <f>IFERROR(INDEX(Region_Map[Region], MATCH(orders[[#This Row],[Customer_Country]], Region_Map[Country], 0)), "Unknown")</f>
        <v>Baltics</v>
      </c>
      <c r="H5484" t="s">
        <v>6949</v>
      </c>
    </row>
    <row r="5485" spans="1:8">
      <c r="A5485" t="s">
        <v>6376</v>
      </c>
      <c r="B5485" t="s">
        <v>766</v>
      </c>
      <c r="C5485" s="1">
        <v>45567</v>
      </c>
      <c r="D5485" s="1" t="str">
        <f>PROPER(orders[[#This Row],[order_priority]])</f>
        <v>Economy</v>
      </c>
      <c r="E5485" t="s">
        <v>13328</v>
      </c>
      <c r="F5485" t="str">
        <f>IFERROR(INDEX(customers[country], MATCH(orders[[#This Row],[customer_id]], customers[customer_id], 0)), "Unmapped")</f>
        <v>Germany</v>
      </c>
      <c r="G5485" t="str">
        <f>IFERROR(INDEX(Region_Map[Region], MATCH(orders[[#This Row],[Customer_Country]], Region_Map[Country], 0)), "Unknown")</f>
        <v>Central Europe</v>
      </c>
      <c r="H5485" t="s">
        <v>6949</v>
      </c>
    </row>
    <row r="5486" spans="1:8">
      <c r="A5486" t="s">
        <v>6377</v>
      </c>
      <c r="B5486" t="s">
        <v>599</v>
      </c>
      <c r="C5486" s="1">
        <v>45041</v>
      </c>
      <c r="D5486" s="1" t="str">
        <f>PROPER(orders[[#This Row],[order_priority]])</f>
        <v>Same Day</v>
      </c>
      <c r="E5486" t="s">
        <v>13322</v>
      </c>
      <c r="F5486" t="str">
        <f>IFERROR(INDEX(customers[country], MATCH(orders[[#This Row],[customer_id]], customers[customer_id], 0)), "Unmapped")</f>
        <v>Germany</v>
      </c>
      <c r="G5486" t="str">
        <f>IFERROR(INDEX(Region_Map[Region], MATCH(orders[[#This Row],[Customer_Country]], Region_Map[Country], 0)), "Unknown")</f>
        <v>Central Europe</v>
      </c>
      <c r="H5486" t="s">
        <v>6949</v>
      </c>
    </row>
    <row r="5487" spans="1:8">
      <c r="A5487" t="s">
        <v>6378</v>
      </c>
      <c r="B5487" t="s">
        <v>819</v>
      </c>
      <c r="C5487" s="1">
        <v>45555</v>
      </c>
      <c r="D5487" s="1" t="str">
        <f>PROPER(orders[[#This Row],[order_priority]])</f>
        <v>Economy</v>
      </c>
      <c r="E5487" t="s">
        <v>13316</v>
      </c>
      <c r="F5487" t="str">
        <f>IFERROR(INDEX(customers[country], MATCH(orders[[#This Row],[customer_id]], customers[customer_id], 0)), "Unmapped")</f>
        <v>Estonia</v>
      </c>
      <c r="G5487" t="str">
        <f>IFERROR(INDEX(Region_Map[Region], MATCH(orders[[#This Row],[Customer_Country]], Region_Map[Country], 0)), "Unknown")</f>
        <v>Baltics</v>
      </c>
      <c r="H5487" t="s">
        <v>6949</v>
      </c>
    </row>
    <row r="5488" spans="1:8">
      <c r="A5488" t="s">
        <v>6379</v>
      </c>
      <c r="B5488" t="s">
        <v>219</v>
      </c>
      <c r="C5488" s="1">
        <v>45112</v>
      </c>
      <c r="D5488" s="1" t="str">
        <f>PROPER(orders[[#This Row],[order_priority]])</f>
        <v>Standard</v>
      </c>
      <c r="E5488" t="s">
        <v>13317</v>
      </c>
      <c r="F5488" t="str">
        <f>IFERROR(INDEX(customers[country], MATCH(orders[[#This Row],[customer_id]], customers[customer_id], 0)), "Unmapped")</f>
        <v>Latvia</v>
      </c>
      <c r="G5488" t="str">
        <f>IFERROR(INDEX(Region_Map[Region], MATCH(orders[[#This Row],[Customer_Country]], Region_Map[Country], 0)), "Unknown")</f>
        <v>Baltics</v>
      </c>
      <c r="H5488" t="s">
        <v>6949</v>
      </c>
    </row>
    <row r="5489" spans="1:8">
      <c r="A5489" t="s">
        <v>6380</v>
      </c>
      <c r="B5489" t="s">
        <v>796</v>
      </c>
      <c r="C5489" s="1">
        <v>45620</v>
      </c>
      <c r="D5489" s="1" t="str">
        <f>PROPER(orders[[#This Row],[order_priority]])</f>
        <v>Express</v>
      </c>
      <c r="E5489" t="s">
        <v>13318</v>
      </c>
      <c r="F5489" t="str">
        <f>IFERROR(INDEX(customers[country], MATCH(orders[[#This Row],[customer_id]], customers[customer_id], 0)), "Unmapped")</f>
        <v>Sweden</v>
      </c>
      <c r="G5489" t="str">
        <f>IFERROR(INDEX(Region_Map[Region], MATCH(orders[[#This Row],[Customer_Country]], Region_Map[Country], 0)), "Unknown")</f>
        <v>Nordics</v>
      </c>
      <c r="H5489" t="s">
        <v>6949</v>
      </c>
    </row>
    <row r="5490" spans="1:8">
      <c r="A5490" t="s">
        <v>6381</v>
      </c>
      <c r="B5490" t="s">
        <v>285</v>
      </c>
      <c r="C5490" s="1">
        <v>45155</v>
      </c>
      <c r="D5490" s="1" t="str">
        <f>PROPER(orders[[#This Row],[order_priority]])</f>
        <v>Standard</v>
      </c>
      <c r="E5490" t="s">
        <v>13323</v>
      </c>
      <c r="F5490" t="str">
        <f>IFERROR(INDEX(customers[country], MATCH(orders[[#This Row],[customer_id]], customers[customer_id], 0)), "Unmapped")</f>
        <v>Norway</v>
      </c>
      <c r="G5490" t="str">
        <f>IFERROR(INDEX(Region_Map[Region], MATCH(orders[[#This Row],[Customer_Country]], Region_Map[Country], 0)), "Unknown")</f>
        <v>Nordics</v>
      </c>
      <c r="H5490" t="s">
        <v>6949</v>
      </c>
    </row>
    <row r="5491" spans="1:8">
      <c r="A5491" t="s">
        <v>6382</v>
      </c>
      <c r="B5491" t="s">
        <v>410</v>
      </c>
      <c r="C5491" s="1">
        <v>45477</v>
      </c>
      <c r="D5491" s="1" t="str">
        <f>PROPER(orders[[#This Row],[order_priority]])</f>
        <v>Economy</v>
      </c>
      <c r="E5491" t="s">
        <v>13316</v>
      </c>
      <c r="F5491" t="str">
        <f>IFERROR(INDEX(customers[country], MATCH(orders[[#This Row],[customer_id]], customers[customer_id], 0)), "Unmapped")</f>
        <v>Norway</v>
      </c>
      <c r="G5491" t="str">
        <f>IFERROR(INDEX(Region_Map[Region], MATCH(orders[[#This Row],[Customer_Country]], Region_Map[Country], 0)), "Unknown")</f>
        <v>Nordics</v>
      </c>
      <c r="H5491" t="s">
        <v>6949</v>
      </c>
    </row>
    <row r="5492" spans="1:8">
      <c r="A5492" t="s">
        <v>6383</v>
      </c>
      <c r="B5492" t="s">
        <v>311</v>
      </c>
      <c r="C5492" s="1">
        <v>45081</v>
      </c>
      <c r="D5492" s="1" t="str">
        <f>PROPER(orders[[#This Row],[order_priority]])</f>
        <v>Standard</v>
      </c>
      <c r="E5492" t="s">
        <v>13317</v>
      </c>
      <c r="F5492" t="str">
        <f>IFERROR(INDEX(customers[country], MATCH(orders[[#This Row],[customer_id]], customers[customer_id], 0)), "Unmapped")</f>
        <v>Netherlands</v>
      </c>
      <c r="G5492" t="str">
        <f>IFERROR(INDEX(Region_Map[Region], MATCH(orders[[#This Row],[Customer_Country]], Region_Map[Country], 0)), "Unknown")</f>
        <v>Central Europe</v>
      </c>
      <c r="H5492" t="s">
        <v>6949</v>
      </c>
    </row>
    <row r="5493" spans="1:8">
      <c r="A5493" t="s">
        <v>6384</v>
      </c>
      <c r="B5493" t="s">
        <v>897</v>
      </c>
      <c r="C5493" s="1">
        <v>44936</v>
      </c>
      <c r="D5493" s="1" t="str">
        <f>PROPER(orders[[#This Row],[order_priority]])</f>
        <v>Same Day</v>
      </c>
      <c r="E5493" t="s">
        <v>13322</v>
      </c>
      <c r="F5493" t="str">
        <f>IFERROR(INDEX(customers[country], MATCH(orders[[#This Row],[customer_id]], customers[customer_id], 0)), "Unmapped")</f>
        <v>Netherlands</v>
      </c>
      <c r="G5493" t="str">
        <f>IFERROR(INDEX(Region_Map[Region], MATCH(orders[[#This Row],[Customer_Country]], Region_Map[Country], 0)), "Unknown")</f>
        <v>Central Europe</v>
      </c>
      <c r="H5493" t="s">
        <v>6949</v>
      </c>
    </row>
    <row r="5494" spans="1:8">
      <c r="A5494" t="s">
        <v>6385</v>
      </c>
      <c r="B5494" t="s">
        <v>650</v>
      </c>
      <c r="C5494" s="1">
        <v>45594</v>
      </c>
      <c r="D5494" s="1" t="str">
        <f>PROPER(orders[[#This Row],[order_priority]])</f>
        <v>Standard</v>
      </c>
      <c r="E5494" t="s">
        <v>13317</v>
      </c>
      <c r="F5494" t="str">
        <f>IFERROR(INDEX(customers[country], MATCH(orders[[#This Row],[customer_id]], customers[customer_id], 0)), "Unmapped")</f>
        <v>Poland</v>
      </c>
      <c r="G5494" t="str">
        <f>IFERROR(INDEX(Region_Map[Region], MATCH(orders[[#This Row],[Customer_Country]], Region_Map[Country], 0)), "Unknown")</f>
        <v>Central Europe</v>
      </c>
      <c r="H5494" t="s">
        <v>6949</v>
      </c>
    </row>
    <row r="5495" spans="1:8">
      <c r="A5495" t="s">
        <v>6386</v>
      </c>
      <c r="B5495" t="s">
        <v>599</v>
      </c>
      <c r="C5495" s="1">
        <v>45298</v>
      </c>
      <c r="D5495" s="1" t="str">
        <f>PROPER(orders[[#This Row],[order_priority]])</f>
        <v>Same Day</v>
      </c>
      <c r="E5495" t="s">
        <v>13322</v>
      </c>
      <c r="F5495" t="str">
        <f>IFERROR(INDEX(customers[country], MATCH(orders[[#This Row],[customer_id]], customers[customer_id], 0)), "Unmapped")</f>
        <v>Germany</v>
      </c>
      <c r="G5495" t="str">
        <f>IFERROR(INDEX(Region_Map[Region], MATCH(orders[[#This Row],[Customer_Country]], Region_Map[Country], 0)), "Unknown")</f>
        <v>Central Europe</v>
      </c>
      <c r="H5495" t="s">
        <v>6949</v>
      </c>
    </row>
    <row r="5496" spans="1:8">
      <c r="A5496" t="s">
        <v>6387</v>
      </c>
      <c r="B5496" t="s">
        <v>491</v>
      </c>
      <c r="C5496" s="1">
        <v>45442</v>
      </c>
      <c r="D5496" s="1" t="str">
        <f>PROPER(orders[[#This Row],[order_priority]])</f>
        <v>Standard</v>
      </c>
      <c r="E5496" t="s">
        <v>13317</v>
      </c>
      <c r="F5496" t="str">
        <f>IFERROR(INDEX(customers[country], MATCH(orders[[#This Row],[customer_id]], customers[customer_id], 0)), "Unmapped")</f>
        <v>Latvia</v>
      </c>
      <c r="G5496" t="str">
        <f>IFERROR(INDEX(Region_Map[Region], MATCH(orders[[#This Row],[Customer_Country]], Region_Map[Country], 0)), "Unknown")</f>
        <v>Baltics</v>
      </c>
      <c r="H5496" t="s">
        <v>6949</v>
      </c>
    </row>
    <row r="5497" spans="1:8">
      <c r="A5497" t="s">
        <v>6388</v>
      </c>
      <c r="B5497" t="s">
        <v>6949</v>
      </c>
      <c r="C5497" s="1">
        <v>45165</v>
      </c>
      <c r="D5497" s="1" t="str">
        <f>PROPER(orders[[#This Row],[order_priority]])</f>
        <v>Express</v>
      </c>
      <c r="E5497" t="s">
        <v>13318</v>
      </c>
      <c r="F5497" t="str">
        <f>IFERROR(INDEX(customers[country], MATCH(orders[[#This Row],[customer_id]], customers[customer_id], 0)), "Unmapped")</f>
        <v>Unmapped</v>
      </c>
      <c r="G5497" t="str">
        <f>IFERROR(INDEX(Region_Map[Region], MATCH(orders[[#This Row],[Customer_Country]], Region_Map[Country], 0)), "Unknown")</f>
        <v>Unknown</v>
      </c>
      <c r="H5497" t="s">
        <v>6949</v>
      </c>
    </row>
    <row r="5498" spans="1:8">
      <c r="A5498" t="s">
        <v>6389</v>
      </c>
      <c r="B5498" t="s">
        <v>216</v>
      </c>
      <c r="C5498" s="1">
        <v>45439</v>
      </c>
      <c r="D5498" s="1" t="str">
        <f>PROPER(orders[[#This Row],[order_priority]])</f>
        <v>Standard</v>
      </c>
      <c r="E5498" t="s">
        <v>13317</v>
      </c>
      <c r="F5498" t="str">
        <f>IFERROR(INDEX(customers[country], MATCH(orders[[#This Row],[customer_id]], customers[customer_id], 0)), "Unmapped")</f>
        <v>Norway</v>
      </c>
      <c r="G5498" t="str">
        <f>IFERROR(INDEX(Region_Map[Region], MATCH(orders[[#This Row],[Customer_Country]], Region_Map[Country], 0)), "Unknown")</f>
        <v>Nordics</v>
      </c>
      <c r="H5498" t="s">
        <v>6949</v>
      </c>
    </row>
    <row r="5499" spans="1:8">
      <c r="A5499" t="s">
        <v>6390</v>
      </c>
      <c r="B5499" t="s">
        <v>87</v>
      </c>
      <c r="C5499" s="1">
        <v>45466</v>
      </c>
      <c r="D5499" s="1" t="str">
        <f>PROPER(orders[[#This Row],[order_priority]])</f>
        <v>Economy</v>
      </c>
      <c r="E5499" t="s">
        <v>13316</v>
      </c>
      <c r="F5499" t="str">
        <f>IFERROR(INDEX(customers[country], MATCH(orders[[#This Row],[customer_id]], customers[customer_id], 0)), "Unmapped")</f>
        <v>Latvia</v>
      </c>
      <c r="G5499" t="str">
        <f>IFERROR(INDEX(Region_Map[Region], MATCH(orders[[#This Row],[Customer_Country]], Region_Map[Country], 0)), "Unknown")</f>
        <v>Baltics</v>
      </c>
      <c r="H5499" t="s">
        <v>6949</v>
      </c>
    </row>
    <row r="5500" spans="1:8">
      <c r="A5500" t="s">
        <v>6391</v>
      </c>
      <c r="B5500" t="s">
        <v>775</v>
      </c>
      <c r="C5500" s="1">
        <v>45445</v>
      </c>
      <c r="D5500" s="1" t="str">
        <f>PROPER(orders[[#This Row],[order_priority]])</f>
        <v>Economy</v>
      </c>
      <c r="E5500" t="s">
        <v>13316</v>
      </c>
      <c r="F5500" t="str">
        <f>IFERROR(INDEX(customers[country], MATCH(orders[[#This Row],[customer_id]], customers[customer_id], 0)), "Unmapped")</f>
        <v>Sweden</v>
      </c>
      <c r="G5500" t="str">
        <f>IFERROR(INDEX(Region_Map[Region], MATCH(orders[[#This Row],[Customer_Country]], Region_Map[Country], 0)), "Unknown")</f>
        <v>Nordics</v>
      </c>
      <c r="H5500" t="s">
        <v>6949</v>
      </c>
    </row>
    <row r="5501" spans="1:8">
      <c r="A5501" t="s">
        <v>6392</v>
      </c>
      <c r="B5501" t="s">
        <v>329</v>
      </c>
      <c r="C5501" s="1">
        <v>45131</v>
      </c>
      <c r="D5501" s="1" t="str">
        <f>PROPER(orders[[#This Row],[order_priority]])</f>
        <v>Standard</v>
      </c>
      <c r="E5501" t="s">
        <v>13317</v>
      </c>
      <c r="F5501" t="str">
        <f>IFERROR(INDEX(customers[country], MATCH(orders[[#This Row],[customer_id]], customers[customer_id], 0)), "Unmapped")</f>
        <v>Poland</v>
      </c>
      <c r="G5501" t="str">
        <f>IFERROR(INDEX(Region_Map[Region], MATCH(orders[[#This Row],[Customer_Country]], Region_Map[Country], 0)), "Unknown")</f>
        <v>Central Europe</v>
      </c>
      <c r="H5501" t="s">
        <v>6949</v>
      </c>
    </row>
    <row r="5502" spans="1:8">
      <c r="A5502" t="s">
        <v>6393</v>
      </c>
      <c r="B5502" t="s">
        <v>198</v>
      </c>
      <c r="C5502" s="1">
        <v>45507</v>
      </c>
      <c r="D5502" s="1" t="str">
        <f>PROPER(orders[[#This Row],[order_priority]])</f>
        <v>Economy</v>
      </c>
      <c r="E5502" t="s">
        <v>13316</v>
      </c>
      <c r="F5502" t="str">
        <f>IFERROR(INDEX(customers[country], MATCH(orders[[#This Row],[customer_id]], customers[customer_id], 0)), "Unmapped")</f>
        <v>Poland</v>
      </c>
      <c r="G5502" t="str">
        <f>IFERROR(INDEX(Region_Map[Region], MATCH(orders[[#This Row],[Customer_Country]], Region_Map[Country], 0)), "Unknown")</f>
        <v>Central Europe</v>
      </c>
      <c r="H5502" t="s">
        <v>6949</v>
      </c>
    </row>
    <row r="5503" spans="1:8">
      <c r="A5503" t="s">
        <v>6394</v>
      </c>
      <c r="B5503" t="s">
        <v>758</v>
      </c>
      <c r="C5503" s="1">
        <v>45318</v>
      </c>
      <c r="D5503" s="1" t="str">
        <f>PROPER(orders[[#This Row],[order_priority]])</f>
        <v>Economy</v>
      </c>
      <c r="E5503" t="s">
        <v>13316</v>
      </c>
      <c r="F5503" t="str">
        <f>IFERROR(INDEX(customers[country], MATCH(orders[[#This Row],[customer_id]], customers[customer_id], 0)), "Unmapped")</f>
        <v>Estonia</v>
      </c>
      <c r="G5503" t="str">
        <f>IFERROR(INDEX(Region_Map[Region], MATCH(orders[[#This Row],[Customer_Country]], Region_Map[Country], 0)), "Unknown")</f>
        <v>Baltics</v>
      </c>
      <c r="H5503" t="s">
        <v>6949</v>
      </c>
    </row>
    <row r="5504" spans="1:8">
      <c r="A5504" t="s">
        <v>6395</v>
      </c>
      <c r="B5504" t="s">
        <v>87</v>
      </c>
      <c r="C5504" s="1">
        <v>45534</v>
      </c>
      <c r="D5504" s="1" t="str">
        <f>PROPER(orders[[#This Row],[order_priority]])</f>
        <v>Express</v>
      </c>
      <c r="E5504" t="s">
        <v>13318</v>
      </c>
      <c r="F5504" t="str">
        <f>IFERROR(INDEX(customers[country], MATCH(orders[[#This Row],[customer_id]], customers[customer_id], 0)), "Unmapped")</f>
        <v>Latvia</v>
      </c>
      <c r="G5504" t="str">
        <f>IFERROR(INDEX(Region_Map[Region], MATCH(orders[[#This Row],[Customer_Country]], Region_Map[Country], 0)), "Unknown")</f>
        <v>Baltics</v>
      </c>
      <c r="H5504" t="s">
        <v>6949</v>
      </c>
    </row>
    <row r="5505" spans="1:8">
      <c r="A5505" t="s">
        <v>6396</v>
      </c>
      <c r="B5505" t="s">
        <v>831</v>
      </c>
      <c r="C5505" s="1">
        <v>44971</v>
      </c>
      <c r="D5505" s="1" t="str">
        <f>PROPER(orders[[#This Row],[order_priority]])</f>
        <v>Same Day</v>
      </c>
      <c r="E5505" t="s">
        <v>13322</v>
      </c>
      <c r="F5505" t="str">
        <f>IFERROR(INDEX(customers[country], MATCH(orders[[#This Row],[customer_id]], customers[customer_id], 0)), "Unmapped")</f>
        <v>Norway</v>
      </c>
      <c r="G5505" t="str">
        <f>IFERROR(INDEX(Region_Map[Region], MATCH(orders[[#This Row],[Customer_Country]], Region_Map[Country], 0)), "Unknown")</f>
        <v>Nordics</v>
      </c>
      <c r="H5505" t="s">
        <v>6949</v>
      </c>
    </row>
    <row r="5506" spans="1:8">
      <c r="A5506" t="s">
        <v>6397</v>
      </c>
      <c r="B5506" t="s">
        <v>620</v>
      </c>
      <c r="C5506" s="1">
        <v>45575</v>
      </c>
      <c r="D5506" s="1" t="str">
        <f>PROPER(orders[[#This Row],[order_priority]])</f>
        <v>Standard</v>
      </c>
      <c r="E5506" t="s">
        <v>13317</v>
      </c>
      <c r="F5506" t="str">
        <f>IFERROR(INDEX(customers[country], MATCH(orders[[#This Row],[customer_id]], customers[customer_id], 0)), "Unmapped")</f>
        <v>Latvia</v>
      </c>
      <c r="G5506" t="str">
        <f>IFERROR(INDEX(Region_Map[Region], MATCH(orders[[#This Row],[Customer_Country]], Region_Map[Country], 0)), "Unknown")</f>
        <v>Baltics</v>
      </c>
      <c r="H5506" t="s">
        <v>6949</v>
      </c>
    </row>
    <row r="5507" spans="1:8">
      <c r="A5507" t="s">
        <v>6398</v>
      </c>
      <c r="B5507" t="s">
        <v>849</v>
      </c>
      <c r="C5507" s="1">
        <v>45514</v>
      </c>
      <c r="D5507" s="1" t="str">
        <f>PROPER(orders[[#This Row],[order_priority]])</f>
        <v>Economy</v>
      </c>
      <c r="E5507" t="s">
        <v>13316</v>
      </c>
      <c r="F5507" t="str">
        <f>IFERROR(INDEX(customers[country], MATCH(orders[[#This Row],[customer_id]], customers[customer_id], 0)), "Unmapped")</f>
        <v>Lithuania</v>
      </c>
      <c r="G5507" t="str">
        <f>IFERROR(INDEX(Region_Map[Region], MATCH(orders[[#This Row],[Customer_Country]], Region_Map[Country], 0)), "Unknown")</f>
        <v>Baltics</v>
      </c>
      <c r="H5507" t="s">
        <v>6949</v>
      </c>
    </row>
    <row r="5508" spans="1:8">
      <c r="A5508" t="s">
        <v>6399</v>
      </c>
      <c r="B5508" t="s">
        <v>431</v>
      </c>
      <c r="C5508" s="1">
        <v>45062</v>
      </c>
      <c r="D5508" s="1" t="str">
        <f>PROPER(orders[[#This Row],[order_priority]])</f>
        <v>Standard</v>
      </c>
      <c r="E5508" t="s">
        <v>13317</v>
      </c>
      <c r="F5508" t="str">
        <f>IFERROR(INDEX(customers[country], MATCH(orders[[#This Row],[customer_id]], customers[customer_id], 0)), "Unmapped")</f>
        <v>Sweden</v>
      </c>
      <c r="G5508" t="str">
        <f>IFERROR(INDEX(Region_Map[Region], MATCH(orders[[#This Row],[Customer_Country]], Region_Map[Country], 0)), "Unknown")</f>
        <v>Nordics</v>
      </c>
      <c r="H5508" t="s">
        <v>6949</v>
      </c>
    </row>
    <row r="5509" spans="1:8">
      <c r="A5509" t="s">
        <v>6400</v>
      </c>
      <c r="B5509" t="s">
        <v>587</v>
      </c>
      <c r="C5509" s="1">
        <v>45438</v>
      </c>
      <c r="D5509" s="1" t="str">
        <f>PROPER(orders[[#This Row],[order_priority]])</f>
        <v>Economy</v>
      </c>
      <c r="E5509" t="s">
        <v>13316</v>
      </c>
      <c r="F5509" t="str">
        <f>IFERROR(INDEX(customers[country], MATCH(orders[[#This Row],[customer_id]], customers[customer_id], 0)), "Unmapped")</f>
        <v>Finland</v>
      </c>
      <c r="G5509" t="str">
        <f>IFERROR(INDEX(Region_Map[Region], MATCH(orders[[#This Row],[Customer_Country]], Region_Map[Country], 0)), "Unknown")</f>
        <v>Nordics</v>
      </c>
      <c r="H5509" t="s">
        <v>6949</v>
      </c>
    </row>
    <row r="5510" spans="1:8">
      <c r="A5510" t="s">
        <v>6401</v>
      </c>
      <c r="B5510" t="s">
        <v>837</v>
      </c>
      <c r="C5510" s="1">
        <v>44963</v>
      </c>
      <c r="D5510" s="1" t="str">
        <f>PROPER(orders[[#This Row],[order_priority]])</f>
        <v>Economy</v>
      </c>
      <c r="E5510" t="s">
        <v>13316</v>
      </c>
      <c r="F5510" t="str">
        <f>IFERROR(INDEX(customers[country], MATCH(orders[[#This Row],[customer_id]], customers[customer_id], 0)), "Unmapped")</f>
        <v>Poland</v>
      </c>
      <c r="G5510" t="str">
        <f>IFERROR(INDEX(Region_Map[Region], MATCH(orders[[#This Row],[Customer_Country]], Region_Map[Country], 0)), "Unknown")</f>
        <v>Central Europe</v>
      </c>
      <c r="H5510" t="s">
        <v>6949</v>
      </c>
    </row>
    <row r="5511" spans="1:8">
      <c r="A5511" t="s">
        <v>6402</v>
      </c>
      <c r="B5511" t="s">
        <v>539</v>
      </c>
      <c r="C5511" s="1">
        <v>45400</v>
      </c>
      <c r="D5511" s="1" t="str">
        <f>PROPER(orders[[#This Row],[order_priority]])</f>
        <v>Standard</v>
      </c>
      <c r="E5511" t="s">
        <v>13319</v>
      </c>
      <c r="F5511" t="str">
        <f>IFERROR(INDEX(customers[country], MATCH(orders[[#This Row],[customer_id]], customers[customer_id], 0)), "Unmapped")</f>
        <v>Sweden</v>
      </c>
      <c r="G5511" t="str">
        <f>IFERROR(INDEX(Region_Map[Region], MATCH(orders[[#This Row],[Customer_Country]], Region_Map[Country], 0)), "Unknown")</f>
        <v>Nordics</v>
      </c>
      <c r="H5511" t="s">
        <v>6949</v>
      </c>
    </row>
    <row r="5512" spans="1:8">
      <c r="A5512" t="s">
        <v>6403</v>
      </c>
      <c r="B5512" t="s">
        <v>632</v>
      </c>
      <c r="C5512" s="1">
        <v>45183</v>
      </c>
      <c r="D5512" s="1" t="str">
        <f>PROPER(orders[[#This Row],[order_priority]])</f>
        <v>Standard</v>
      </c>
      <c r="E5512" t="s">
        <v>13317</v>
      </c>
      <c r="F5512" t="str">
        <f>IFERROR(INDEX(customers[country], MATCH(orders[[#This Row],[customer_id]], customers[customer_id], 0)), "Unmapped")</f>
        <v>Norway</v>
      </c>
      <c r="G5512" t="str">
        <f>IFERROR(INDEX(Region_Map[Region], MATCH(orders[[#This Row],[Customer_Country]], Region_Map[Country], 0)), "Unknown")</f>
        <v>Nordics</v>
      </c>
      <c r="H5512" t="s">
        <v>6949</v>
      </c>
    </row>
    <row r="5513" spans="1:8">
      <c r="A5513" t="s">
        <v>6404</v>
      </c>
      <c r="B5513" t="s">
        <v>894</v>
      </c>
      <c r="C5513" s="1">
        <v>45082</v>
      </c>
      <c r="D5513" s="1" t="str">
        <f>PROPER(orders[[#This Row],[order_priority]])</f>
        <v>Economy</v>
      </c>
      <c r="E5513" t="s">
        <v>13316</v>
      </c>
      <c r="F5513" t="str">
        <f>IFERROR(INDEX(customers[country], MATCH(orders[[#This Row],[customer_id]], customers[customer_id], 0)), "Unmapped")</f>
        <v>Poland</v>
      </c>
      <c r="G5513" t="str">
        <f>IFERROR(INDEX(Region_Map[Region], MATCH(orders[[#This Row],[Customer_Country]], Region_Map[Country], 0)), "Unknown")</f>
        <v>Central Europe</v>
      </c>
      <c r="H5513" t="s">
        <v>6949</v>
      </c>
    </row>
    <row r="5514" spans="1:8">
      <c r="A5514" t="s">
        <v>6405</v>
      </c>
      <c r="B5514" t="s">
        <v>664</v>
      </c>
      <c r="C5514" s="1">
        <v>44935</v>
      </c>
      <c r="D5514" s="1" t="str">
        <f>PROPER(orders[[#This Row],[order_priority]])</f>
        <v>Economy</v>
      </c>
      <c r="E5514" t="s">
        <v>13316</v>
      </c>
      <c r="F5514" t="str">
        <f>IFERROR(INDEX(customers[country], MATCH(orders[[#This Row],[customer_id]], customers[customer_id], 0)), "Unmapped")</f>
        <v>Latvia</v>
      </c>
      <c r="G5514" t="str">
        <f>IFERROR(INDEX(Region_Map[Region], MATCH(orders[[#This Row],[Customer_Country]], Region_Map[Country], 0)), "Unknown")</f>
        <v>Baltics</v>
      </c>
      <c r="H5514" t="s">
        <v>6949</v>
      </c>
    </row>
    <row r="5515" spans="1:8">
      <c r="A5515" t="s">
        <v>6406</v>
      </c>
      <c r="B5515" t="s">
        <v>500</v>
      </c>
      <c r="C5515" s="1">
        <v>45370</v>
      </c>
      <c r="D5515" s="1" t="str">
        <f>PROPER(orders[[#This Row],[order_priority]])</f>
        <v>Standard</v>
      </c>
      <c r="E5515" t="s">
        <v>13317</v>
      </c>
      <c r="F5515" t="str">
        <f>IFERROR(INDEX(customers[country], MATCH(orders[[#This Row],[customer_id]], customers[customer_id], 0)), "Unmapped")</f>
        <v>Estonia</v>
      </c>
      <c r="G5515" t="str">
        <f>IFERROR(INDEX(Region_Map[Region], MATCH(orders[[#This Row],[Customer_Country]], Region_Map[Country], 0)), "Unknown")</f>
        <v>Baltics</v>
      </c>
      <c r="H5515" t="s">
        <v>6949</v>
      </c>
    </row>
    <row r="5516" spans="1:8">
      <c r="A5516" t="s">
        <v>6407</v>
      </c>
      <c r="B5516" t="s">
        <v>670</v>
      </c>
      <c r="C5516" s="1">
        <v>45570</v>
      </c>
      <c r="D5516" s="1" t="str">
        <f>PROPER(orders[[#This Row],[order_priority]])</f>
        <v>Economy</v>
      </c>
      <c r="E5516" t="s">
        <v>13316</v>
      </c>
      <c r="F5516" t="str">
        <f>IFERROR(INDEX(customers[country], MATCH(orders[[#This Row],[customer_id]], customers[customer_id], 0)), "Unmapped")</f>
        <v>Netherlands</v>
      </c>
      <c r="G5516" t="str">
        <f>IFERROR(INDEX(Region_Map[Region], MATCH(orders[[#This Row],[Customer_Country]], Region_Map[Country], 0)), "Unknown")</f>
        <v>Central Europe</v>
      </c>
      <c r="H5516" t="s">
        <v>6949</v>
      </c>
    </row>
    <row r="5517" spans="1:8">
      <c r="A5517" t="s">
        <v>6408</v>
      </c>
      <c r="B5517" t="s">
        <v>524</v>
      </c>
      <c r="C5517" s="1">
        <v>45348</v>
      </c>
      <c r="D5517" s="1" t="str">
        <f>PROPER(orders[[#This Row],[order_priority]])</f>
        <v>Economy</v>
      </c>
      <c r="E5517" t="s">
        <v>13316</v>
      </c>
      <c r="F5517" t="str">
        <f>IFERROR(INDEX(customers[country], MATCH(orders[[#This Row],[customer_id]], customers[customer_id], 0)), "Unmapped")</f>
        <v>Norway</v>
      </c>
      <c r="G5517" t="str">
        <f>IFERROR(INDEX(Region_Map[Region], MATCH(orders[[#This Row],[Customer_Country]], Region_Map[Country], 0)), "Unknown")</f>
        <v>Nordics</v>
      </c>
      <c r="H5517" t="s">
        <v>6949</v>
      </c>
    </row>
    <row r="5518" spans="1:8">
      <c r="A5518" t="s">
        <v>6409</v>
      </c>
      <c r="B5518" t="s">
        <v>515</v>
      </c>
      <c r="C5518" s="1">
        <v>45581</v>
      </c>
      <c r="D5518" s="1" t="str">
        <f>PROPER(orders[[#This Row],[order_priority]])</f>
        <v>Express</v>
      </c>
      <c r="E5518" t="s">
        <v>13318</v>
      </c>
      <c r="F5518" t="str">
        <f>IFERROR(INDEX(customers[country], MATCH(orders[[#This Row],[customer_id]], customers[customer_id], 0)), "Unmapped")</f>
        <v>Latvia</v>
      </c>
      <c r="G5518" t="str">
        <f>IFERROR(INDEX(Region_Map[Region], MATCH(orders[[#This Row],[Customer_Country]], Region_Map[Country], 0)), "Unknown")</f>
        <v>Baltics</v>
      </c>
      <c r="H5518" t="s">
        <v>6949</v>
      </c>
    </row>
    <row r="5519" spans="1:8">
      <c r="A5519" t="s">
        <v>6410</v>
      </c>
      <c r="B5519" t="s">
        <v>398</v>
      </c>
      <c r="C5519" s="1">
        <v>45109</v>
      </c>
      <c r="D5519" s="1" t="str">
        <f>PROPER(orders[[#This Row],[order_priority]])</f>
        <v>Same Day</v>
      </c>
      <c r="E5519" t="s">
        <v>13322</v>
      </c>
      <c r="F5519" t="str">
        <f>IFERROR(INDEX(customers[country], MATCH(orders[[#This Row],[customer_id]], customers[customer_id], 0)), "Unmapped")</f>
        <v>Sweden</v>
      </c>
      <c r="G5519" t="str">
        <f>IFERROR(INDEX(Region_Map[Region], MATCH(orders[[#This Row],[Customer_Country]], Region_Map[Country], 0)), "Unknown")</f>
        <v>Nordics</v>
      </c>
      <c r="H5519" t="s">
        <v>6949</v>
      </c>
    </row>
    <row r="5520" spans="1:8">
      <c r="A5520" t="s">
        <v>6411</v>
      </c>
      <c r="B5520" t="s">
        <v>189</v>
      </c>
      <c r="C5520" s="1">
        <v>45517</v>
      </c>
      <c r="D5520" s="1" t="str">
        <f>PROPER(orders[[#This Row],[order_priority]])</f>
        <v>Same Day</v>
      </c>
      <c r="E5520" t="s">
        <v>13322</v>
      </c>
      <c r="F5520" t="str">
        <f>IFERROR(INDEX(customers[country], MATCH(orders[[#This Row],[customer_id]], customers[customer_id], 0)), "Unmapped")</f>
        <v>Norway</v>
      </c>
      <c r="G5520" t="str">
        <f>IFERROR(INDEX(Region_Map[Region], MATCH(orders[[#This Row],[Customer_Country]], Region_Map[Country], 0)), "Unknown")</f>
        <v>Nordics</v>
      </c>
      <c r="H5520" t="s">
        <v>6949</v>
      </c>
    </row>
    <row r="5521" spans="1:8">
      <c r="A5521" t="s">
        <v>6412</v>
      </c>
      <c r="B5521" t="s">
        <v>261</v>
      </c>
      <c r="C5521" s="1">
        <v>45320</v>
      </c>
      <c r="D5521" s="1" t="str">
        <f>PROPER(orders[[#This Row],[order_priority]])</f>
        <v>Standard</v>
      </c>
      <c r="E5521" t="s">
        <v>13317</v>
      </c>
      <c r="F5521" t="str">
        <f>IFERROR(INDEX(customers[country], MATCH(orders[[#This Row],[customer_id]], customers[customer_id], 0)), "Unmapped")</f>
        <v>Germany</v>
      </c>
      <c r="G5521" t="str">
        <f>IFERROR(INDEX(Region_Map[Region], MATCH(orders[[#This Row],[Customer_Country]], Region_Map[Country], 0)), "Unknown")</f>
        <v>Central Europe</v>
      </c>
      <c r="H5521" t="s">
        <v>6949</v>
      </c>
    </row>
    <row r="5522" spans="1:8">
      <c r="A5522" t="s">
        <v>6413</v>
      </c>
      <c r="B5522" t="s">
        <v>317</v>
      </c>
      <c r="C5522" s="1">
        <v>45299</v>
      </c>
      <c r="D5522" s="1" t="str">
        <f>PROPER(orders[[#This Row],[order_priority]])</f>
        <v>Express</v>
      </c>
      <c r="E5522" t="s">
        <v>13318</v>
      </c>
      <c r="F5522" t="str">
        <f>IFERROR(INDEX(customers[country], MATCH(orders[[#This Row],[customer_id]], customers[customer_id], 0)), "Unmapped")</f>
        <v>Sweden</v>
      </c>
      <c r="G5522" t="str">
        <f>IFERROR(INDEX(Region_Map[Region], MATCH(orders[[#This Row],[Customer_Country]], Region_Map[Country], 0)), "Unknown")</f>
        <v>Nordics</v>
      </c>
      <c r="H5522" t="s">
        <v>6949</v>
      </c>
    </row>
    <row r="5523" spans="1:8">
      <c r="A5523" t="s">
        <v>6414</v>
      </c>
      <c r="B5523" t="s">
        <v>727</v>
      </c>
      <c r="C5523" s="1">
        <v>45108</v>
      </c>
      <c r="D5523" s="1" t="str">
        <f>PROPER(orders[[#This Row],[order_priority]])</f>
        <v>Standard</v>
      </c>
      <c r="E5523" t="s">
        <v>13317</v>
      </c>
      <c r="F5523" t="str">
        <f>IFERROR(INDEX(customers[country], MATCH(orders[[#This Row],[customer_id]], customers[customer_id], 0)), "Unmapped")</f>
        <v>Sweden</v>
      </c>
      <c r="G5523" t="str">
        <f>IFERROR(INDEX(Region_Map[Region], MATCH(orders[[#This Row],[Customer_Country]], Region_Map[Country], 0)), "Unknown")</f>
        <v>Nordics</v>
      </c>
      <c r="H5523" t="s">
        <v>6949</v>
      </c>
    </row>
    <row r="5524" spans="1:8">
      <c r="A5524" t="s">
        <v>6415</v>
      </c>
      <c r="B5524" t="s">
        <v>727</v>
      </c>
      <c r="C5524" s="1">
        <v>45083</v>
      </c>
      <c r="D5524" s="1" t="str">
        <f>PROPER(orders[[#This Row],[order_priority]])</f>
        <v>Economy</v>
      </c>
      <c r="E5524" t="s">
        <v>13316</v>
      </c>
      <c r="F5524" t="str">
        <f>IFERROR(INDEX(customers[country], MATCH(orders[[#This Row],[customer_id]], customers[customer_id], 0)), "Unmapped")</f>
        <v>Sweden</v>
      </c>
      <c r="G5524" t="str">
        <f>IFERROR(INDEX(Region_Map[Region], MATCH(orders[[#This Row],[Customer_Country]], Region_Map[Country], 0)), "Unknown")</f>
        <v>Nordics</v>
      </c>
      <c r="H5524" t="s">
        <v>6949</v>
      </c>
    </row>
    <row r="5525" spans="1:8">
      <c r="A5525" t="s">
        <v>6416</v>
      </c>
      <c r="B5525" t="s">
        <v>661</v>
      </c>
      <c r="C5525" s="1">
        <v>45324</v>
      </c>
      <c r="D5525" s="1" t="str">
        <f>PROPER(orders[[#This Row],[order_priority]])</f>
        <v>Standard</v>
      </c>
      <c r="E5525" t="s">
        <v>13317</v>
      </c>
      <c r="F5525" t="str">
        <f>IFERROR(INDEX(customers[country], MATCH(orders[[#This Row],[customer_id]], customers[customer_id], 0)), "Unmapped")</f>
        <v>Lithuania</v>
      </c>
      <c r="G5525" t="str">
        <f>IFERROR(INDEX(Region_Map[Region], MATCH(orders[[#This Row],[Customer_Country]], Region_Map[Country], 0)), "Unknown")</f>
        <v>Baltics</v>
      </c>
      <c r="H5525" t="s">
        <v>6949</v>
      </c>
    </row>
    <row r="5526" spans="1:8">
      <c r="A5526" t="s">
        <v>6417</v>
      </c>
      <c r="B5526" t="s">
        <v>758</v>
      </c>
      <c r="C5526" s="1">
        <v>45449</v>
      </c>
      <c r="D5526" s="1" t="str">
        <f>PROPER(orders[[#This Row],[order_priority]])</f>
        <v>Same Day</v>
      </c>
      <c r="E5526" t="s">
        <v>13321</v>
      </c>
      <c r="F5526" t="str">
        <f>IFERROR(INDEX(customers[country], MATCH(orders[[#This Row],[customer_id]], customers[customer_id], 0)), "Unmapped")</f>
        <v>Estonia</v>
      </c>
      <c r="G5526" t="str">
        <f>IFERROR(INDEX(Region_Map[Region], MATCH(orders[[#This Row],[Customer_Country]], Region_Map[Country], 0)), "Unknown")</f>
        <v>Baltics</v>
      </c>
      <c r="H5526" t="s">
        <v>6949</v>
      </c>
    </row>
    <row r="5527" spans="1:8">
      <c r="A5527" t="s">
        <v>6418</v>
      </c>
      <c r="B5527" t="s">
        <v>518</v>
      </c>
      <c r="C5527" s="1">
        <v>45079</v>
      </c>
      <c r="D5527" s="1" t="str">
        <f>PROPER(orders[[#This Row],[order_priority]])</f>
        <v>Standard</v>
      </c>
      <c r="E5527" t="s">
        <v>13317</v>
      </c>
      <c r="F5527" t="str">
        <f>IFERROR(INDEX(customers[country], MATCH(orders[[#This Row],[customer_id]], customers[customer_id], 0)), "Unmapped")</f>
        <v>Germany</v>
      </c>
      <c r="G5527" t="str">
        <f>IFERROR(INDEX(Region_Map[Region], MATCH(orders[[#This Row],[Customer_Country]], Region_Map[Country], 0)), "Unknown")</f>
        <v>Central Europe</v>
      </c>
      <c r="H5527" t="s">
        <v>6949</v>
      </c>
    </row>
    <row r="5528" spans="1:8">
      <c r="A5528" t="s">
        <v>6419</v>
      </c>
      <c r="B5528" t="s">
        <v>401</v>
      </c>
      <c r="C5528" s="1">
        <v>45032</v>
      </c>
      <c r="D5528" s="1" t="str">
        <f>PROPER(orders[[#This Row],[order_priority]])</f>
        <v>Same Day</v>
      </c>
      <c r="E5528" t="s">
        <v>13324</v>
      </c>
      <c r="F5528" t="str">
        <f>IFERROR(INDEX(customers[country], MATCH(orders[[#This Row],[customer_id]], customers[customer_id], 0)), "Unmapped")</f>
        <v>Latvia</v>
      </c>
      <c r="G5528" t="str">
        <f>IFERROR(INDEX(Region_Map[Region], MATCH(orders[[#This Row],[Customer_Country]], Region_Map[Country], 0)), "Unknown")</f>
        <v>Baltics</v>
      </c>
      <c r="H5528" t="s">
        <v>6949</v>
      </c>
    </row>
    <row r="5529" spans="1:8">
      <c r="A5529" t="s">
        <v>6420</v>
      </c>
      <c r="B5529" t="s">
        <v>341</v>
      </c>
      <c r="C5529" s="1">
        <v>45014</v>
      </c>
      <c r="D5529" s="1" t="str">
        <f>PROPER(orders[[#This Row],[order_priority]])</f>
        <v>Express</v>
      </c>
      <c r="E5529" t="s">
        <v>13318</v>
      </c>
      <c r="F5529" t="str">
        <f>IFERROR(INDEX(customers[country], MATCH(orders[[#This Row],[customer_id]], customers[customer_id], 0)), "Unmapped")</f>
        <v>Latvia</v>
      </c>
      <c r="G5529" t="str">
        <f>IFERROR(INDEX(Region_Map[Region], MATCH(orders[[#This Row],[Customer_Country]], Region_Map[Country], 0)), "Unknown")</f>
        <v>Baltics</v>
      </c>
      <c r="H5529" t="s">
        <v>6949</v>
      </c>
    </row>
    <row r="5530" spans="1:8">
      <c r="A5530" t="s">
        <v>6421</v>
      </c>
      <c r="B5530" t="s">
        <v>282</v>
      </c>
      <c r="C5530" s="1">
        <v>45291</v>
      </c>
      <c r="D5530" s="1" t="str">
        <f>PROPER(orders[[#This Row],[order_priority]])</f>
        <v>Standard</v>
      </c>
      <c r="E5530" t="s">
        <v>13317</v>
      </c>
      <c r="F5530" t="str">
        <f>IFERROR(INDEX(customers[country], MATCH(orders[[#This Row],[customer_id]], customers[customer_id], 0)), "Unmapped")</f>
        <v>Netherlands</v>
      </c>
      <c r="G5530" t="str">
        <f>IFERROR(INDEX(Region_Map[Region], MATCH(orders[[#This Row],[Customer_Country]], Region_Map[Country], 0)), "Unknown")</f>
        <v>Central Europe</v>
      </c>
      <c r="H5530" t="s">
        <v>6949</v>
      </c>
    </row>
    <row r="5531" spans="1:8">
      <c r="A5531" t="s">
        <v>6422</v>
      </c>
      <c r="B5531" t="s">
        <v>752</v>
      </c>
      <c r="C5531" s="1">
        <v>45425</v>
      </c>
      <c r="D5531" s="1" t="str">
        <f>PROPER(orders[[#This Row],[order_priority]])</f>
        <v>Express</v>
      </c>
      <c r="E5531" t="s">
        <v>13318</v>
      </c>
      <c r="F5531" t="str">
        <f>IFERROR(INDEX(customers[country], MATCH(orders[[#This Row],[customer_id]], customers[customer_id], 0)), "Unmapped")</f>
        <v>Estonia</v>
      </c>
      <c r="G5531" t="str">
        <f>IFERROR(INDEX(Region_Map[Region], MATCH(orders[[#This Row],[Customer_Country]], Region_Map[Country], 0)), "Unknown")</f>
        <v>Baltics</v>
      </c>
      <c r="H5531" t="s">
        <v>6949</v>
      </c>
    </row>
    <row r="5532" spans="1:8">
      <c r="A5532" t="s">
        <v>6423</v>
      </c>
      <c r="B5532" t="s">
        <v>497</v>
      </c>
      <c r="C5532" s="1">
        <v>45039</v>
      </c>
      <c r="D5532" s="1" t="str">
        <f>PROPER(orders[[#This Row],[order_priority]])</f>
        <v>Same Day</v>
      </c>
      <c r="E5532" t="s">
        <v>13322</v>
      </c>
      <c r="F5532" t="str">
        <f>IFERROR(INDEX(customers[country], MATCH(orders[[#This Row],[customer_id]], customers[customer_id], 0)), "Unmapped")</f>
        <v>Germany</v>
      </c>
      <c r="G5532" t="str">
        <f>IFERROR(INDEX(Region_Map[Region], MATCH(orders[[#This Row],[Customer_Country]], Region_Map[Country], 0)), "Unknown")</f>
        <v>Central Europe</v>
      </c>
      <c r="H5532" t="s">
        <v>6949</v>
      </c>
    </row>
    <row r="5533" spans="1:8">
      <c r="A5533" t="s">
        <v>6424</v>
      </c>
      <c r="B5533" t="s">
        <v>210</v>
      </c>
      <c r="C5533" s="1">
        <v>45475</v>
      </c>
      <c r="D5533" s="1" t="str">
        <f>PROPER(orders[[#This Row],[order_priority]])</f>
        <v>Express</v>
      </c>
      <c r="E5533" t="s">
        <v>13318</v>
      </c>
      <c r="F5533" t="str">
        <f>IFERROR(INDEX(customers[country], MATCH(orders[[#This Row],[customer_id]], customers[customer_id], 0)), "Unmapped")</f>
        <v>Finland</v>
      </c>
      <c r="G5533" t="str">
        <f>IFERROR(INDEX(Region_Map[Region], MATCH(orders[[#This Row],[Customer_Country]], Region_Map[Country], 0)), "Unknown")</f>
        <v>Nordics</v>
      </c>
      <c r="H5533" t="s">
        <v>6949</v>
      </c>
    </row>
    <row r="5534" spans="1:8">
      <c r="A5534" t="s">
        <v>6425</v>
      </c>
      <c r="B5534" t="s">
        <v>888</v>
      </c>
      <c r="C5534" s="1">
        <v>45441</v>
      </c>
      <c r="D5534" s="1" t="str">
        <f>PROPER(orders[[#This Row],[order_priority]])</f>
        <v>Express</v>
      </c>
      <c r="E5534" t="s">
        <v>13318</v>
      </c>
      <c r="F5534" t="str">
        <f>IFERROR(INDEX(customers[country], MATCH(orders[[#This Row],[customer_id]], customers[customer_id], 0)), "Unmapped")</f>
        <v>Denmark</v>
      </c>
      <c r="G5534" t="str">
        <f>IFERROR(INDEX(Region_Map[Region], MATCH(orders[[#This Row],[Customer_Country]], Region_Map[Country], 0)), "Unknown")</f>
        <v>Nordics</v>
      </c>
      <c r="H5534" t="s">
        <v>6949</v>
      </c>
    </row>
    <row r="5535" spans="1:8">
      <c r="A5535" t="s">
        <v>6426</v>
      </c>
      <c r="B5535" t="s">
        <v>252</v>
      </c>
      <c r="C5535" s="1">
        <v>45531</v>
      </c>
      <c r="D5535" s="1" t="str">
        <f>PROPER(orders[[#This Row],[order_priority]])</f>
        <v>Economy</v>
      </c>
      <c r="E5535" t="s">
        <v>13316</v>
      </c>
      <c r="F5535" t="str">
        <f>IFERROR(INDEX(customers[country], MATCH(orders[[#This Row],[customer_id]], customers[customer_id], 0)), "Unmapped")</f>
        <v>Lithuania</v>
      </c>
      <c r="G5535" t="str">
        <f>IFERROR(INDEX(Region_Map[Region], MATCH(orders[[#This Row],[Customer_Country]], Region_Map[Country], 0)), "Unknown")</f>
        <v>Baltics</v>
      </c>
      <c r="H5535" t="s">
        <v>6949</v>
      </c>
    </row>
    <row r="5536" spans="1:8">
      <c r="A5536" t="s">
        <v>6427</v>
      </c>
      <c r="B5536" t="s">
        <v>843</v>
      </c>
      <c r="C5536" s="1">
        <v>45173</v>
      </c>
      <c r="D5536" s="1" t="str">
        <f>PROPER(orders[[#This Row],[order_priority]])</f>
        <v>Express</v>
      </c>
      <c r="E5536" t="s">
        <v>13318</v>
      </c>
      <c r="F5536" t="str">
        <f>IFERROR(INDEX(customers[country], MATCH(orders[[#This Row],[customer_id]], customers[customer_id], 0)), "Unmapped")</f>
        <v>Netherlands</v>
      </c>
      <c r="G5536" t="str">
        <f>IFERROR(INDEX(Region_Map[Region], MATCH(orders[[#This Row],[Customer_Country]], Region_Map[Country], 0)), "Unknown")</f>
        <v>Central Europe</v>
      </c>
      <c r="H5536" t="s">
        <v>6949</v>
      </c>
    </row>
    <row r="5537" spans="1:8">
      <c r="A5537" t="s">
        <v>6428</v>
      </c>
      <c r="B5537" t="s">
        <v>805</v>
      </c>
      <c r="C5537" s="1">
        <v>45551</v>
      </c>
      <c r="D5537" s="1" t="str">
        <f>PROPER(orders[[#This Row],[order_priority]])</f>
        <v>Same Day</v>
      </c>
      <c r="E5537" t="s">
        <v>13322</v>
      </c>
      <c r="F5537" t="str">
        <f>IFERROR(INDEX(customers[country], MATCH(orders[[#This Row],[customer_id]], customers[customer_id], 0)), "Unmapped")</f>
        <v>Estonia</v>
      </c>
      <c r="G5537" t="str">
        <f>IFERROR(INDEX(Region_Map[Region], MATCH(orders[[#This Row],[Customer_Country]], Region_Map[Country], 0)), "Unknown")</f>
        <v>Baltics</v>
      </c>
      <c r="H5537" t="s">
        <v>6949</v>
      </c>
    </row>
    <row r="5538" spans="1:8">
      <c r="A5538" t="s">
        <v>6429</v>
      </c>
      <c r="B5538" t="s">
        <v>332</v>
      </c>
      <c r="C5538" s="1">
        <v>45614</v>
      </c>
      <c r="D5538" s="1" t="str">
        <f>PROPER(orders[[#This Row],[order_priority]])</f>
        <v>Standard</v>
      </c>
      <c r="E5538" t="s">
        <v>13323</v>
      </c>
      <c r="F5538" t="str">
        <f>IFERROR(INDEX(customers[country], MATCH(orders[[#This Row],[customer_id]], customers[customer_id], 0)), "Unmapped")</f>
        <v>Lithuania</v>
      </c>
      <c r="G5538" t="str">
        <f>IFERROR(INDEX(Region_Map[Region], MATCH(orders[[#This Row],[Customer_Country]], Region_Map[Country], 0)), "Unknown")</f>
        <v>Baltics</v>
      </c>
      <c r="H5538" t="s">
        <v>6949</v>
      </c>
    </row>
    <row r="5539" spans="1:8">
      <c r="A5539" t="s">
        <v>6430</v>
      </c>
      <c r="B5539" t="s">
        <v>694</v>
      </c>
      <c r="C5539" s="1">
        <v>44954</v>
      </c>
      <c r="D5539" s="1" t="str">
        <f>PROPER(orders[[#This Row],[order_priority]])</f>
        <v>Express</v>
      </c>
      <c r="E5539" t="s">
        <v>13318</v>
      </c>
      <c r="F5539" t="str">
        <f>IFERROR(INDEX(customers[country], MATCH(orders[[#This Row],[customer_id]], customers[customer_id], 0)), "Unmapped")</f>
        <v>Lithuania</v>
      </c>
      <c r="G5539" t="str">
        <f>IFERROR(INDEX(Region_Map[Region], MATCH(orders[[#This Row],[Customer_Country]], Region_Map[Country], 0)), "Unknown")</f>
        <v>Baltics</v>
      </c>
      <c r="H5539" t="s">
        <v>6949</v>
      </c>
    </row>
    <row r="5540" spans="1:8">
      <c r="A5540" t="s">
        <v>6431</v>
      </c>
      <c r="B5540" t="s">
        <v>246</v>
      </c>
      <c r="C5540" s="1">
        <v>45110</v>
      </c>
      <c r="D5540" s="1" t="str">
        <f>PROPER(orders[[#This Row],[order_priority]])</f>
        <v>Express</v>
      </c>
      <c r="E5540" t="s">
        <v>13318</v>
      </c>
      <c r="F5540" t="str">
        <f>IFERROR(INDEX(customers[country], MATCH(orders[[#This Row],[customer_id]], customers[customer_id], 0)), "Unmapped")</f>
        <v>Netherlands</v>
      </c>
      <c r="G5540" t="str">
        <f>IFERROR(INDEX(Region_Map[Region], MATCH(orders[[#This Row],[Customer_Country]], Region_Map[Country], 0)), "Unknown")</f>
        <v>Central Europe</v>
      </c>
      <c r="H5540" t="s">
        <v>6949</v>
      </c>
    </row>
    <row r="5541" spans="1:8">
      <c r="A5541" t="s">
        <v>6432</v>
      </c>
      <c r="B5541" t="s">
        <v>127</v>
      </c>
      <c r="C5541" s="1">
        <v>45210</v>
      </c>
      <c r="D5541" s="1" t="str">
        <f>PROPER(orders[[#This Row],[order_priority]])</f>
        <v>Economy</v>
      </c>
      <c r="E5541" t="s">
        <v>13328</v>
      </c>
      <c r="F5541" t="str">
        <f>IFERROR(INDEX(customers[country], MATCH(orders[[#This Row],[customer_id]], customers[customer_id], 0)), "Unmapped")</f>
        <v>Denmark</v>
      </c>
      <c r="G5541" t="str">
        <f>IFERROR(INDEX(Region_Map[Region], MATCH(orders[[#This Row],[Customer_Country]], Region_Map[Country], 0)), "Unknown")</f>
        <v>Nordics</v>
      </c>
      <c r="H5541" t="s">
        <v>6949</v>
      </c>
    </row>
    <row r="5542" spans="1:8">
      <c r="A5542" t="s">
        <v>6433</v>
      </c>
      <c r="B5542" t="s">
        <v>461</v>
      </c>
      <c r="C5542" s="1">
        <v>45108</v>
      </c>
      <c r="D5542" s="1" t="str">
        <f>PROPER(orders[[#This Row],[order_priority]])</f>
        <v>Same Day</v>
      </c>
      <c r="E5542" t="s">
        <v>13322</v>
      </c>
      <c r="F5542" t="str">
        <f>IFERROR(INDEX(customers[country], MATCH(orders[[#This Row],[customer_id]], customers[customer_id], 0)), "Unmapped")</f>
        <v>Latvia</v>
      </c>
      <c r="G5542" t="str">
        <f>IFERROR(INDEX(Region_Map[Region], MATCH(orders[[#This Row],[Customer_Country]], Region_Map[Country], 0)), "Unknown")</f>
        <v>Baltics</v>
      </c>
      <c r="H5542" t="s">
        <v>6949</v>
      </c>
    </row>
    <row r="5543" spans="1:8">
      <c r="A5543" t="s">
        <v>6434</v>
      </c>
      <c r="B5543" t="s">
        <v>434</v>
      </c>
      <c r="C5543" s="1">
        <v>45462</v>
      </c>
      <c r="D5543" s="1" t="str">
        <f>PROPER(orders[[#This Row],[order_priority]])</f>
        <v>Express</v>
      </c>
      <c r="E5543" t="s">
        <v>13318</v>
      </c>
      <c r="F5543" t="str">
        <f>IFERROR(INDEX(customers[country], MATCH(orders[[#This Row],[customer_id]], customers[customer_id], 0)), "Unmapped")</f>
        <v>Lithuania</v>
      </c>
      <c r="G5543" t="str">
        <f>IFERROR(INDEX(Region_Map[Region], MATCH(orders[[#This Row],[Customer_Country]], Region_Map[Country], 0)), "Unknown")</f>
        <v>Baltics</v>
      </c>
      <c r="H5543" t="s">
        <v>6949</v>
      </c>
    </row>
    <row r="5544" spans="1:8">
      <c r="A5544" t="s">
        <v>6435</v>
      </c>
      <c r="B5544" t="s">
        <v>894</v>
      </c>
      <c r="C5544" s="1">
        <v>45203</v>
      </c>
      <c r="D5544" s="1" t="str">
        <f>PROPER(orders[[#This Row],[order_priority]])</f>
        <v>Express</v>
      </c>
      <c r="E5544" t="s">
        <v>13318</v>
      </c>
      <c r="F5544" t="str">
        <f>IFERROR(INDEX(customers[country], MATCH(orders[[#This Row],[customer_id]], customers[customer_id], 0)), "Unmapped")</f>
        <v>Poland</v>
      </c>
      <c r="G5544" t="str">
        <f>IFERROR(INDEX(Region_Map[Region], MATCH(orders[[#This Row],[Customer_Country]], Region_Map[Country], 0)), "Unknown")</f>
        <v>Central Europe</v>
      </c>
      <c r="H5544" t="s">
        <v>6949</v>
      </c>
    </row>
    <row r="5545" spans="1:8">
      <c r="A5545" t="s">
        <v>6436</v>
      </c>
      <c r="B5545" t="s">
        <v>584</v>
      </c>
      <c r="C5545" s="1">
        <v>45227</v>
      </c>
      <c r="D5545" s="1" t="str">
        <f>PROPER(orders[[#This Row],[order_priority]])</f>
        <v>Economy</v>
      </c>
      <c r="E5545" t="s">
        <v>13316</v>
      </c>
      <c r="F5545" t="str">
        <f>IFERROR(INDEX(customers[country], MATCH(orders[[#This Row],[customer_id]], customers[customer_id], 0)), "Unmapped")</f>
        <v>Netherlands</v>
      </c>
      <c r="G5545" t="str">
        <f>IFERROR(INDEX(Region_Map[Region], MATCH(orders[[#This Row],[Customer_Country]], Region_Map[Country], 0)), "Unknown")</f>
        <v>Central Europe</v>
      </c>
      <c r="H5545" t="s">
        <v>6949</v>
      </c>
    </row>
    <row r="5546" spans="1:8">
      <c r="A5546" t="s">
        <v>6437</v>
      </c>
      <c r="B5546" t="s">
        <v>13340</v>
      </c>
      <c r="C5546" s="1">
        <v>45480</v>
      </c>
      <c r="D5546" s="1" t="str">
        <f>PROPER(orders[[#This Row],[order_priority]])</f>
        <v>Standard</v>
      </c>
      <c r="E5546" t="s">
        <v>13323</v>
      </c>
      <c r="F5546" t="str">
        <f>IFERROR(INDEX(customers[country], MATCH(orders[[#This Row],[customer_id]], customers[customer_id], 0)), "Unmapped")</f>
        <v>Unmapped</v>
      </c>
      <c r="G5546" t="str">
        <f>IFERROR(INDEX(Region_Map[Region], MATCH(orders[[#This Row],[Customer_Country]], Region_Map[Country], 0)), "Unknown")</f>
        <v>Unknown</v>
      </c>
      <c r="H5546" t="s">
        <v>6949</v>
      </c>
    </row>
    <row r="5547" spans="1:8">
      <c r="A5547" t="s">
        <v>6438</v>
      </c>
      <c r="B5547" t="s">
        <v>344</v>
      </c>
      <c r="C5547" s="1">
        <v>45066</v>
      </c>
      <c r="D5547" s="1" t="str">
        <f>PROPER(orders[[#This Row],[order_priority]])</f>
        <v>Same Day</v>
      </c>
      <c r="E5547" t="s">
        <v>13322</v>
      </c>
      <c r="F5547" t="str">
        <f>IFERROR(INDEX(customers[country], MATCH(orders[[#This Row],[customer_id]], customers[customer_id], 0)), "Unmapped")</f>
        <v>Estonia</v>
      </c>
      <c r="G5547" t="str">
        <f>IFERROR(INDEX(Region_Map[Region], MATCH(orders[[#This Row],[Customer_Country]], Region_Map[Country], 0)), "Unknown")</f>
        <v>Baltics</v>
      </c>
      <c r="H5547" t="s">
        <v>6949</v>
      </c>
    </row>
    <row r="5548" spans="1:8">
      <c r="A5548" t="s">
        <v>6439</v>
      </c>
      <c r="B5548" t="s">
        <v>638</v>
      </c>
      <c r="C5548" s="1">
        <v>45234</v>
      </c>
      <c r="D5548" s="1" t="str">
        <f>PROPER(orders[[#This Row],[order_priority]])</f>
        <v>Standard</v>
      </c>
      <c r="E5548" t="s">
        <v>13317</v>
      </c>
      <c r="F5548" t="str">
        <f>IFERROR(INDEX(customers[country], MATCH(orders[[#This Row],[customer_id]], customers[customer_id], 0)), "Unmapped")</f>
        <v>Germany</v>
      </c>
      <c r="G5548" t="str">
        <f>IFERROR(INDEX(Region_Map[Region], MATCH(orders[[#This Row],[Customer_Country]], Region_Map[Country], 0)), "Unknown")</f>
        <v>Central Europe</v>
      </c>
      <c r="H5548" t="s">
        <v>6949</v>
      </c>
    </row>
    <row r="5549" spans="1:8">
      <c r="A5549" t="s">
        <v>6440</v>
      </c>
      <c r="B5549" t="s">
        <v>721</v>
      </c>
      <c r="C5549" s="1">
        <v>45415</v>
      </c>
      <c r="D5549" s="1" t="str">
        <f>PROPER(orders[[#This Row],[order_priority]])</f>
        <v>Same Day</v>
      </c>
      <c r="E5549" t="s">
        <v>13322</v>
      </c>
      <c r="F5549" t="str">
        <f>IFERROR(INDEX(customers[country], MATCH(orders[[#This Row],[customer_id]], customers[customer_id], 0)), "Unmapped")</f>
        <v>Netherlands</v>
      </c>
      <c r="G5549" t="str">
        <f>IFERROR(INDEX(Region_Map[Region], MATCH(orders[[#This Row],[Customer_Country]], Region_Map[Country], 0)), "Unknown")</f>
        <v>Central Europe</v>
      </c>
      <c r="H5549" t="s">
        <v>6949</v>
      </c>
    </row>
    <row r="5550" spans="1:8">
      <c r="A5550" t="s">
        <v>6441</v>
      </c>
      <c r="B5550" t="s">
        <v>383</v>
      </c>
      <c r="C5550" s="1">
        <v>45253</v>
      </c>
      <c r="D5550" s="1" t="str">
        <f>PROPER(orders[[#This Row],[order_priority]])</f>
        <v>Economy</v>
      </c>
      <c r="E5550" t="s">
        <v>13316</v>
      </c>
      <c r="F5550" t="str">
        <f>IFERROR(INDEX(customers[country], MATCH(orders[[#This Row],[customer_id]], customers[customer_id], 0)), "Unmapped")</f>
        <v>Germany</v>
      </c>
      <c r="G5550" t="str">
        <f>IFERROR(INDEX(Region_Map[Region], MATCH(orders[[#This Row],[Customer_Country]], Region_Map[Country], 0)), "Unknown")</f>
        <v>Central Europe</v>
      </c>
      <c r="H5550" t="s">
        <v>6949</v>
      </c>
    </row>
    <row r="5551" spans="1:8">
      <c r="A5551" t="s">
        <v>6442</v>
      </c>
      <c r="B5551" t="s">
        <v>297</v>
      </c>
      <c r="C5551" s="1">
        <v>45063</v>
      </c>
      <c r="D5551" s="1" t="str">
        <f>PROPER(orders[[#This Row],[order_priority]])</f>
        <v>Standard</v>
      </c>
      <c r="E5551" t="s">
        <v>13319</v>
      </c>
      <c r="F5551" t="str">
        <f>IFERROR(INDEX(customers[country], MATCH(orders[[#This Row],[customer_id]], customers[customer_id], 0)), "Unmapped")</f>
        <v>Poland</v>
      </c>
      <c r="G5551" t="str">
        <f>IFERROR(INDEX(Region_Map[Region], MATCH(orders[[#This Row],[Customer_Country]], Region_Map[Country], 0)), "Unknown")</f>
        <v>Central Europe</v>
      </c>
      <c r="H5551" t="s">
        <v>6949</v>
      </c>
    </row>
    <row r="5552" spans="1:8">
      <c r="A5552" t="s">
        <v>6443</v>
      </c>
      <c r="B5552" t="s">
        <v>470</v>
      </c>
      <c r="C5552" s="1">
        <v>45160</v>
      </c>
      <c r="D5552" s="1" t="str">
        <f>PROPER(orders[[#This Row],[order_priority]])</f>
        <v>Same Day</v>
      </c>
      <c r="E5552" t="s">
        <v>13322</v>
      </c>
      <c r="F5552" t="str">
        <f>IFERROR(INDEX(customers[country], MATCH(orders[[#This Row],[customer_id]], customers[customer_id], 0)), "Unmapped")</f>
        <v>Norway</v>
      </c>
      <c r="G5552" t="str">
        <f>IFERROR(INDEX(Region_Map[Region], MATCH(orders[[#This Row],[Customer_Country]], Region_Map[Country], 0)), "Unknown")</f>
        <v>Nordics</v>
      </c>
      <c r="H5552" t="s">
        <v>6949</v>
      </c>
    </row>
    <row r="5553" spans="1:8">
      <c r="A5553" t="s">
        <v>6444</v>
      </c>
      <c r="B5553" t="s">
        <v>575</v>
      </c>
      <c r="C5553" s="1">
        <v>45372</v>
      </c>
      <c r="D5553" s="1" t="str">
        <f>PROPER(orders[[#This Row],[order_priority]])</f>
        <v>Economy</v>
      </c>
      <c r="E5553" t="s">
        <v>13316</v>
      </c>
      <c r="F5553" t="str">
        <f>IFERROR(INDEX(customers[country], MATCH(orders[[#This Row],[customer_id]], customers[customer_id], 0)), "Unmapped")</f>
        <v>Netherlands</v>
      </c>
      <c r="G5553" t="str">
        <f>IFERROR(INDEX(Region_Map[Region], MATCH(orders[[#This Row],[Customer_Country]], Region_Map[Country], 0)), "Unknown")</f>
        <v>Central Europe</v>
      </c>
      <c r="H5553" t="s">
        <v>6949</v>
      </c>
    </row>
    <row r="5554" spans="1:8">
      <c r="A5554" t="s">
        <v>6445</v>
      </c>
      <c r="B5554" t="s">
        <v>13361</v>
      </c>
      <c r="C5554" s="1">
        <v>45529</v>
      </c>
      <c r="D5554" s="1" t="str">
        <f>PROPER(orders[[#This Row],[order_priority]])</f>
        <v>Standard</v>
      </c>
      <c r="E5554" t="s">
        <v>13317</v>
      </c>
      <c r="F5554" t="str">
        <f>IFERROR(INDEX(customers[country], MATCH(orders[[#This Row],[customer_id]], customers[customer_id], 0)), "Unmapped")</f>
        <v>Unmapped</v>
      </c>
      <c r="G5554" t="str">
        <f>IFERROR(INDEX(Region_Map[Region], MATCH(orders[[#This Row],[Customer_Country]], Region_Map[Country], 0)), "Unknown")</f>
        <v>Unknown</v>
      </c>
      <c r="H5554" t="s">
        <v>6949</v>
      </c>
    </row>
    <row r="5555" spans="1:8">
      <c r="A5555" t="s">
        <v>6446</v>
      </c>
      <c r="B5555" t="s">
        <v>608</v>
      </c>
      <c r="C5555" s="1">
        <v>45101</v>
      </c>
      <c r="D5555" s="1" t="str">
        <f>PROPER(orders[[#This Row],[order_priority]])</f>
        <v>Express</v>
      </c>
      <c r="E5555" t="s">
        <v>13318</v>
      </c>
      <c r="F5555" t="str">
        <f>IFERROR(INDEX(customers[country], MATCH(orders[[#This Row],[customer_id]], customers[customer_id], 0)), "Unmapped")</f>
        <v>Finland</v>
      </c>
      <c r="G5555" t="str">
        <f>IFERROR(INDEX(Region_Map[Region], MATCH(orders[[#This Row],[Customer_Country]], Region_Map[Country], 0)), "Unknown")</f>
        <v>Nordics</v>
      </c>
      <c r="H5555" t="s">
        <v>6949</v>
      </c>
    </row>
    <row r="5556" spans="1:8">
      <c r="A5556" t="s">
        <v>6447</v>
      </c>
      <c r="B5556" t="s">
        <v>121</v>
      </c>
      <c r="C5556" s="1">
        <v>45532</v>
      </c>
      <c r="D5556" s="1" t="str">
        <f>PROPER(orders[[#This Row],[order_priority]])</f>
        <v>Express</v>
      </c>
      <c r="E5556" t="s">
        <v>13318</v>
      </c>
      <c r="F5556" t="str">
        <f>IFERROR(INDEX(customers[country], MATCH(orders[[#This Row],[customer_id]], customers[customer_id], 0)), "Unmapped")</f>
        <v>Estonia</v>
      </c>
      <c r="G5556" t="str">
        <f>IFERROR(INDEX(Region_Map[Region], MATCH(orders[[#This Row],[Customer_Country]], Region_Map[Country], 0)), "Unknown")</f>
        <v>Baltics</v>
      </c>
      <c r="H5556" t="s">
        <v>6949</v>
      </c>
    </row>
    <row r="5557" spans="1:8">
      <c r="A5557" t="s">
        <v>6448</v>
      </c>
      <c r="B5557" t="s">
        <v>909</v>
      </c>
      <c r="C5557" s="1">
        <v>45179</v>
      </c>
      <c r="D5557" s="1" t="str">
        <f>PROPER(orders[[#This Row],[order_priority]])</f>
        <v>Standard</v>
      </c>
      <c r="E5557" t="s">
        <v>13317</v>
      </c>
      <c r="F5557" t="str">
        <f>IFERROR(INDEX(customers[country], MATCH(orders[[#This Row],[customer_id]], customers[customer_id], 0)), "Unmapped")</f>
        <v>Poland</v>
      </c>
      <c r="G5557" t="str">
        <f>IFERROR(INDEX(Region_Map[Region], MATCH(orders[[#This Row],[Customer_Country]], Region_Map[Country], 0)), "Unknown")</f>
        <v>Central Europe</v>
      </c>
      <c r="H5557" t="s">
        <v>6949</v>
      </c>
    </row>
    <row r="5558" spans="1:8">
      <c r="A5558" t="s">
        <v>6449</v>
      </c>
      <c r="B5558" t="s">
        <v>121</v>
      </c>
      <c r="C5558" s="1">
        <v>45415</v>
      </c>
      <c r="D5558" s="1" t="str">
        <f>PROPER(orders[[#This Row],[order_priority]])</f>
        <v>Express</v>
      </c>
      <c r="E5558" t="s">
        <v>13318</v>
      </c>
      <c r="F5558" t="str">
        <f>IFERROR(INDEX(customers[country], MATCH(orders[[#This Row],[customer_id]], customers[customer_id], 0)), "Unmapped")</f>
        <v>Estonia</v>
      </c>
      <c r="G5558" t="str">
        <f>IFERROR(INDEX(Region_Map[Region], MATCH(orders[[#This Row],[Customer_Country]], Region_Map[Country], 0)), "Unknown")</f>
        <v>Baltics</v>
      </c>
      <c r="H5558" t="s">
        <v>6949</v>
      </c>
    </row>
    <row r="5559" spans="1:8">
      <c r="A5559" t="s">
        <v>6450</v>
      </c>
      <c r="B5559" t="s">
        <v>605</v>
      </c>
      <c r="C5559" s="1">
        <v>45418</v>
      </c>
      <c r="D5559" s="1" t="str">
        <f>PROPER(orders[[#This Row],[order_priority]])</f>
        <v>Standard</v>
      </c>
      <c r="E5559" t="s">
        <v>13323</v>
      </c>
      <c r="F5559" t="str">
        <f>IFERROR(INDEX(customers[country], MATCH(orders[[#This Row],[customer_id]], customers[customer_id], 0)), "Unmapped")</f>
        <v>Lithuania</v>
      </c>
      <c r="G5559" t="str">
        <f>IFERROR(INDEX(Region_Map[Region], MATCH(orders[[#This Row],[Customer_Country]], Region_Map[Country], 0)), "Unknown")</f>
        <v>Baltics</v>
      </c>
      <c r="H5559" t="s">
        <v>6949</v>
      </c>
    </row>
    <row r="5560" spans="1:8">
      <c r="A5560" t="s">
        <v>6451</v>
      </c>
      <c r="B5560" t="s">
        <v>300</v>
      </c>
      <c r="C5560" s="1">
        <v>45460</v>
      </c>
      <c r="D5560" s="1" t="str">
        <f>PROPER(orders[[#This Row],[order_priority]])</f>
        <v>Standard</v>
      </c>
      <c r="E5560" t="s">
        <v>13317</v>
      </c>
      <c r="F5560" t="str">
        <f>IFERROR(INDEX(customers[country], MATCH(orders[[#This Row],[customer_id]], customers[customer_id], 0)), "Unmapped")</f>
        <v>Poland</v>
      </c>
      <c r="G5560" t="str">
        <f>IFERROR(INDEX(Region_Map[Region], MATCH(orders[[#This Row],[Customer_Country]], Region_Map[Country], 0)), "Unknown")</f>
        <v>Central Europe</v>
      </c>
      <c r="H5560" t="s">
        <v>6949</v>
      </c>
    </row>
    <row r="5561" spans="1:8">
      <c r="A5561" t="s">
        <v>6452</v>
      </c>
      <c r="B5561" t="s">
        <v>51</v>
      </c>
      <c r="C5561" s="1">
        <v>45531</v>
      </c>
      <c r="D5561" s="1" t="str">
        <f>PROPER(orders[[#This Row],[order_priority]])</f>
        <v>Standard</v>
      </c>
      <c r="E5561" t="s">
        <v>13317</v>
      </c>
      <c r="F5561" t="str">
        <f>IFERROR(INDEX(customers[country], MATCH(orders[[#This Row],[customer_id]], customers[customer_id], 0)), "Unmapped")</f>
        <v>Germany</v>
      </c>
      <c r="G5561" t="str">
        <f>IFERROR(INDEX(Region_Map[Region], MATCH(orders[[#This Row],[Customer_Country]], Region_Map[Country], 0)), "Unknown")</f>
        <v>Central Europe</v>
      </c>
      <c r="H5561" t="s">
        <v>6949</v>
      </c>
    </row>
    <row r="5562" spans="1:8">
      <c r="A5562" t="s">
        <v>6453</v>
      </c>
      <c r="B5562" t="s">
        <v>703</v>
      </c>
      <c r="C5562" s="1">
        <v>45201</v>
      </c>
      <c r="D5562" s="1" t="str">
        <f>PROPER(orders[[#This Row],[order_priority]])</f>
        <v>Economy</v>
      </c>
      <c r="E5562" t="s">
        <v>13316</v>
      </c>
      <c r="F5562" t="str">
        <f>IFERROR(INDEX(customers[country], MATCH(orders[[#This Row],[customer_id]], customers[customer_id], 0)), "Unmapped")</f>
        <v>Estonia</v>
      </c>
      <c r="G5562" t="str">
        <f>IFERROR(INDEX(Region_Map[Region], MATCH(orders[[#This Row],[Customer_Country]], Region_Map[Country], 0)), "Unknown")</f>
        <v>Baltics</v>
      </c>
      <c r="H5562" t="s">
        <v>6949</v>
      </c>
    </row>
    <row r="5563" spans="1:8">
      <c r="A5563" t="s">
        <v>6454</v>
      </c>
      <c r="B5563" t="s">
        <v>344</v>
      </c>
      <c r="C5563" s="1">
        <v>45056</v>
      </c>
      <c r="D5563" s="1" t="str">
        <f>PROPER(orders[[#This Row],[order_priority]])</f>
        <v>Standard</v>
      </c>
      <c r="E5563" t="s">
        <v>13317</v>
      </c>
      <c r="F5563" t="str">
        <f>IFERROR(INDEX(customers[country], MATCH(orders[[#This Row],[customer_id]], customers[customer_id], 0)), "Unmapped")</f>
        <v>Estonia</v>
      </c>
      <c r="G5563" t="str">
        <f>IFERROR(INDEX(Region_Map[Region], MATCH(orders[[#This Row],[Customer_Country]], Region_Map[Country], 0)), "Unknown")</f>
        <v>Baltics</v>
      </c>
      <c r="H5563" t="s">
        <v>6949</v>
      </c>
    </row>
    <row r="5564" spans="1:8">
      <c r="A5564" t="s">
        <v>6455</v>
      </c>
      <c r="B5564" t="s">
        <v>479</v>
      </c>
      <c r="C5564" s="1">
        <v>45579</v>
      </c>
      <c r="D5564" s="1" t="str">
        <f>PROPER(orders[[#This Row],[order_priority]])</f>
        <v>Express</v>
      </c>
      <c r="E5564" t="s">
        <v>13318</v>
      </c>
      <c r="F5564" t="str">
        <f>IFERROR(INDEX(customers[country], MATCH(orders[[#This Row],[customer_id]], customers[customer_id], 0)), "Unmapped")</f>
        <v>Latvia</v>
      </c>
      <c r="G5564" t="str">
        <f>IFERROR(INDEX(Region_Map[Region], MATCH(orders[[#This Row],[Customer_Country]], Region_Map[Country], 0)), "Unknown")</f>
        <v>Baltics</v>
      </c>
      <c r="H5564" t="s">
        <v>6949</v>
      </c>
    </row>
    <row r="5565" spans="1:8">
      <c r="A5565" t="s">
        <v>6456</v>
      </c>
      <c r="B5565" t="s">
        <v>858</v>
      </c>
      <c r="C5565" s="1">
        <v>44986</v>
      </c>
      <c r="D5565" s="1" t="str">
        <f>PROPER(orders[[#This Row],[order_priority]])</f>
        <v>Economy</v>
      </c>
      <c r="E5565" t="s">
        <v>13316</v>
      </c>
      <c r="F5565" t="str">
        <f>IFERROR(INDEX(customers[country], MATCH(orders[[#This Row],[customer_id]], customers[customer_id], 0)), "Unmapped")</f>
        <v>Lithuania</v>
      </c>
      <c r="G5565" t="str">
        <f>IFERROR(INDEX(Region_Map[Region], MATCH(orders[[#This Row],[Customer_Country]], Region_Map[Country], 0)), "Unknown")</f>
        <v>Baltics</v>
      </c>
      <c r="H5565" t="s">
        <v>6949</v>
      </c>
    </row>
    <row r="5566" spans="1:8">
      <c r="A5566" t="s">
        <v>6457</v>
      </c>
      <c r="B5566" t="s">
        <v>237</v>
      </c>
      <c r="C5566" s="1">
        <v>45487</v>
      </c>
      <c r="D5566" s="1" t="str">
        <f>PROPER(orders[[#This Row],[order_priority]])</f>
        <v>Express</v>
      </c>
      <c r="E5566" t="s">
        <v>13318</v>
      </c>
      <c r="F5566" t="str">
        <f>IFERROR(INDEX(customers[country], MATCH(orders[[#This Row],[customer_id]], customers[customer_id], 0)), "Unmapped")</f>
        <v>Sweden</v>
      </c>
      <c r="G5566" t="str">
        <f>IFERROR(INDEX(Region_Map[Region], MATCH(orders[[#This Row],[Customer_Country]], Region_Map[Country], 0)), "Unknown")</f>
        <v>Nordics</v>
      </c>
      <c r="H5566" t="s">
        <v>6949</v>
      </c>
    </row>
    <row r="5567" spans="1:8">
      <c r="A5567" t="s">
        <v>6458</v>
      </c>
      <c r="B5567" t="s">
        <v>102</v>
      </c>
      <c r="C5567" s="1">
        <v>45584</v>
      </c>
      <c r="D5567" s="1" t="str">
        <f>PROPER(orders[[#This Row],[order_priority]])</f>
        <v>Economy</v>
      </c>
      <c r="E5567" t="s">
        <v>13316</v>
      </c>
      <c r="F5567" t="str">
        <f>IFERROR(INDEX(customers[country], MATCH(orders[[#This Row],[customer_id]], customers[customer_id], 0)), "Unmapped")</f>
        <v>Denmark</v>
      </c>
      <c r="G5567" t="str">
        <f>IFERROR(INDEX(Region_Map[Region], MATCH(orders[[#This Row],[Customer_Country]], Region_Map[Country], 0)), "Unknown")</f>
        <v>Nordics</v>
      </c>
      <c r="H5567" t="s">
        <v>6949</v>
      </c>
    </row>
    <row r="5568" spans="1:8">
      <c r="A5568" t="s">
        <v>6459</v>
      </c>
      <c r="B5568" t="s">
        <v>799</v>
      </c>
      <c r="C5568" s="1">
        <v>44980</v>
      </c>
      <c r="D5568" s="1" t="str">
        <f>PROPER(orders[[#This Row],[order_priority]])</f>
        <v>Economy</v>
      </c>
      <c r="E5568" t="s">
        <v>13316</v>
      </c>
      <c r="F5568" t="str">
        <f>IFERROR(INDEX(customers[country], MATCH(orders[[#This Row],[customer_id]], customers[customer_id], 0)), "Unmapped")</f>
        <v>Germany</v>
      </c>
      <c r="G5568" t="str">
        <f>IFERROR(INDEX(Region_Map[Region], MATCH(orders[[#This Row],[Customer_Country]], Region_Map[Country], 0)), "Unknown")</f>
        <v>Central Europe</v>
      </c>
      <c r="H5568" t="s">
        <v>6949</v>
      </c>
    </row>
    <row r="5569" spans="1:8">
      <c r="A5569" t="s">
        <v>6460</v>
      </c>
      <c r="B5569" t="s">
        <v>735</v>
      </c>
      <c r="C5569" s="1">
        <v>45200</v>
      </c>
      <c r="D5569" s="1" t="str">
        <f>PROPER(orders[[#This Row],[order_priority]])</f>
        <v>Express</v>
      </c>
      <c r="E5569" t="s">
        <v>13318</v>
      </c>
      <c r="F5569" t="str">
        <f>IFERROR(INDEX(customers[country], MATCH(orders[[#This Row],[customer_id]], customers[customer_id], 0)), "Unmapped")</f>
        <v>Poland</v>
      </c>
      <c r="G5569" t="str">
        <f>IFERROR(INDEX(Region_Map[Region], MATCH(orders[[#This Row],[Customer_Country]], Region_Map[Country], 0)), "Unknown")</f>
        <v>Central Europe</v>
      </c>
      <c r="H5569" t="s">
        <v>6949</v>
      </c>
    </row>
    <row r="5570" spans="1:8">
      <c r="A5570" t="s">
        <v>6461</v>
      </c>
      <c r="B5570" t="s">
        <v>569</v>
      </c>
      <c r="C5570" s="1">
        <v>45147</v>
      </c>
      <c r="D5570" s="1" t="str">
        <f>PROPER(orders[[#This Row],[order_priority]])</f>
        <v>Express</v>
      </c>
      <c r="E5570" t="s">
        <v>13318</v>
      </c>
      <c r="F5570" t="str">
        <f>IFERROR(INDEX(customers[country], MATCH(orders[[#This Row],[customer_id]], customers[customer_id], 0)), "Unmapped")</f>
        <v>Estonia</v>
      </c>
      <c r="G5570" t="str">
        <f>IFERROR(INDEX(Region_Map[Region], MATCH(orders[[#This Row],[Customer_Country]], Region_Map[Country], 0)), "Unknown")</f>
        <v>Baltics</v>
      </c>
      <c r="H5570" t="s">
        <v>6949</v>
      </c>
    </row>
    <row r="5571" spans="1:8">
      <c r="A5571" t="s">
        <v>6462</v>
      </c>
      <c r="B5571" t="s">
        <v>154</v>
      </c>
      <c r="C5571" s="1">
        <v>45410</v>
      </c>
      <c r="D5571" s="1" t="str">
        <f>PROPER(orders[[#This Row],[order_priority]])</f>
        <v>Express</v>
      </c>
      <c r="E5571" t="s">
        <v>13318</v>
      </c>
      <c r="F5571" t="str">
        <f>IFERROR(INDEX(customers[country], MATCH(orders[[#This Row],[customer_id]], customers[customer_id], 0)), "Unmapped")</f>
        <v>Lithuania</v>
      </c>
      <c r="G5571" t="str">
        <f>IFERROR(INDEX(Region_Map[Region], MATCH(orders[[#This Row],[Customer_Country]], Region_Map[Country], 0)), "Unknown")</f>
        <v>Baltics</v>
      </c>
      <c r="H5571" t="s">
        <v>6949</v>
      </c>
    </row>
    <row r="5572" spans="1:8">
      <c r="A5572" t="s">
        <v>6463</v>
      </c>
      <c r="B5572" t="s">
        <v>102</v>
      </c>
      <c r="C5572" s="1">
        <v>45040</v>
      </c>
      <c r="D5572" s="1" t="str">
        <f>PROPER(orders[[#This Row],[order_priority]])</f>
        <v>Same Day</v>
      </c>
      <c r="E5572" t="s">
        <v>13322</v>
      </c>
      <c r="F5572" t="str">
        <f>IFERROR(INDEX(customers[country], MATCH(orders[[#This Row],[customer_id]], customers[customer_id], 0)), "Unmapped")</f>
        <v>Denmark</v>
      </c>
      <c r="G5572" t="str">
        <f>IFERROR(INDEX(Region_Map[Region], MATCH(orders[[#This Row],[Customer_Country]], Region_Map[Country], 0)), "Unknown")</f>
        <v>Nordics</v>
      </c>
      <c r="H5572" t="s">
        <v>6949</v>
      </c>
    </row>
    <row r="5573" spans="1:8">
      <c r="A5573" t="s">
        <v>6464</v>
      </c>
      <c r="B5573" t="s">
        <v>344</v>
      </c>
      <c r="C5573" s="1">
        <v>44939</v>
      </c>
      <c r="D5573" s="1" t="str">
        <f>PROPER(orders[[#This Row],[order_priority]])</f>
        <v>Express</v>
      </c>
      <c r="E5573" t="s">
        <v>13326</v>
      </c>
      <c r="F5573" t="str">
        <f>IFERROR(INDEX(customers[country], MATCH(orders[[#This Row],[customer_id]], customers[customer_id], 0)), "Unmapped")</f>
        <v>Estonia</v>
      </c>
      <c r="G5573" t="str">
        <f>IFERROR(INDEX(Region_Map[Region], MATCH(orders[[#This Row],[Customer_Country]], Region_Map[Country], 0)), "Unknown")</f>
        <v>Baltics</v>
      </c>
      <c r="H5573" t="s">
        <v>6949</v>
      </c>
    </row>
    <row r="5574" spans="1:8">
      <c r="A5574" t="s">
        <v>6465</v>
      </c>
      <c r="B5574" t="s">
        <v>6949</v>
      </c>
      <c r="C5574" s="1">
        <v>45428</v>
      </c>
      <c r="D5574" s="1" t="str">
        <f>PROPER(orders[[#This Row],[order_priority]])</f>
        <v>Express</v>
      </c>
      <c r="E5574" t="s">
        <v>13318</v>
      </c>
      <c r="F5574" t="str">
        <f>IFERROR(INDEX(customers[country], MATCH(orders[[#This Row],[customer_id]], customers[customer_id], 0)), "Unmapped")</f>
        <v>Unmapped</v>
      </c>
      <c r="G5574" t="str">
        <f>IFERROR(INDEX(Region_Map[Region], MATCH(orders[[#This Row],[Customer_Country]], Region_Map[Country], 0)), "Unknown")</f>
        <v>Unknown</v>
      </c>
      <c r="H5574" t="s">
        <v>6949</v>
      </c>
    </row>
    <row r="5575" spans="1:8">
      <c r="A5575" t="s">
        <v>6466</v>
      </c>
      <c r="B5575" t="s">
        <v>741</v>
      </c>
      <c r="C5575" s="1">
        <v>45182</v>
      </c>
      <c r="D5575" s="1" t="str">
        <f>PROPER(orders[[#This Row],[order_priority]])</f>
        <v>Standard</v>
      </c>
      <c r="E5575" t="s">
        <v>13317</v>
      </c>
      <c r="F5575" t="str">
        <f>IFERROR(INDEX(customers[country], MATCH(orders[[#This Row],[customer_id]], customers[customer_id], 0)), "Unmapped")</f>
        <v>Germany</v>
      </c>
      <c r="G5575" t="str">
        <f>IFERROR(INDEX(Region_Map[Region], MATCH(orders[[#This Row],[Customer_Country]], Region_Map[Country], 0)), "Unknown")</f>
        <v>Central Europe</v>
      </c>
      <c r="H5575" t="s">
        <v>6949</v>
      </c>
    </row>
    <row r="5576" spans="1:8">
      <c r="A5576" t="s">
        <v>6467</v>
      </c>
      <c r="B5576" t="s">
        <v>189</v>
      </c>
      <c r="C5576" s="1">
        <v>45335</v>
      </c>
      <c r="D5576" s="1" t="str">
        <f>PROPER(orders[[#This Row],[order_priority]])</f>
        <v>Same Day</v>
      </c>
      <c r="E5576" t="s">
        <v>13324</v>
      </c>
      <c r="F5576" t="str">
        <f>IFERROR(INDEX(customers[country], MATCH(orders[[#This Row],[customer_id]], customers[customer_id], 0)), "Unmapped")</f>
        <v>Norway</v>
      </c>
      <c r="G5576" t="str">
        <f>IFERROR(INDEX(Region_Map[Region], MATCH(orders[[#This Row],[Customer_Country]], Region_Map[Country], 0)), "Unknown")</f>
        <v>Nordics</v>
      </c>
      <c r="H5576" t="s">
        <v>6949</v>
      </c>
    </row>
    <row r="5577" spans="1:8">
      <c r="A5577" t="s">
        <v>6468</v>
      </c>
      <c r="B5577" t="s">
        <v>213</v>
      </c>
      <c r="C5577" s="1">
        <v>45018</v>
      </c>
      <c r="D5577" s="1" t="str">
        <f>PROPER(orders[[#This Row],[order_priority]])</f>
        <v>Economy</v>
      </c>
      <c r="E5577" t="s">
        <v>13316</v>
      </c>
      <c r="F5577" t="str">
        <f>IFERROR(INDEX(customers[country], MATCH(orders[[#This Row],[customer_id]], customers[customer_id], 0)), "Unmapped")</f>
        <v>Denmark</v>
      </c>
      <c r="G5577" t="str">
        <f>IFERROR(INDEX(Region_Map[Region], MATCH(orders[[#This Row],[Customer_Country]], Region_Map[Country], 0)), "Unknown")</f>
        <v>Nordics</v>
      </c>
      <c r="H5577" t="s">
        <v>6949</v>
      </c>
    </row>
    <row r="5578" spans="1:8">
      <c r="A5578" t="s">
        <v>6469</v>
      </c>
      <c r="B5578" t="s">
        <v>617</v>
      </c>
      <c r="C5578" s="1">
        <v>45412</v>
      </c>
      <c r="D5578" s="1" t="str">
        <f>PROPER(orders[[#This Row],[order_priority]])</f>
        <v>Standard</v>
      </c>
      <c r="E5578" t="s">
        <v>13317</v>
      </c>
      <c r="F5578" t="str">
        <f>IFERROR(INDEX(customers[country], MATCH(orders[[#This Row],[customer_id]], customers[customer_id], 0)), "Unmapped")</f>
        <v>Latvia</v>
      </c>
      <c r="G5578" t="str">
        <f>IFERROR(INDEX(Region_Map[Region], MATCH(orders[[#This Row],[Customer_Country]], Region_Map[Country], 0)), "Unknown")</f>
        <v>Baltics</v>
      </c>
      <c r="H5578" t="s">
        <v>6949</v>
      </c>
    </row>
    <row r="5579" spans="1:8">
      <c r="A5579" t="s">
        <v>6470</v>
      </c>
      <c r="B5579" t="s">
        <v>300</v>
      </c>
      <c r="C5579" s="1">
        <v>45594</v>
      </c>
      <c r="D5579" s="1" t="str">
        <f>PROPER(orders[[#This Row],[order_priority]])</f>
        <v>Express</v>
      </c>
      <c r="E5579" t="s">
        <v>13318</v>
      </c>
      <c r="F5579" t="str">
        <f>IFERROR(INDEX(customers[country], MATCH(orders[[#This Row],[customer_id]], customers[customer_id], 0)), "Unmapped")</f>
        <v>Poland</v>
      </c>
      <c r="G5579" t="str">
        <f>IFERROR(INDEX(Region_Map[Region], MATCH(orders[[#This Row],[Customer_Country]], Region_Map[Country], 0)), "Unknown")</f>
        <v>Central Europe</v>
      </c>
      <c r="H5579" t="s">
        <v>6949</v>
      </c>
    </row>
    <row r="5580" spans="1:8">
      <c r="A5580" t="s">
        <v>6471</v>
      </c>
      <c r="B5580" t="s">
        <v>77</v>
      </c>
      <c r="C5580" s="1">
        <v>44969</v>
      </c>
      <c r="D5580" s="1" t="str">
        <f>PROPER(orders[[#This Row],[order_priority]])</f>
        <v>Same Day</v>
      </c>
      <c r="E5580" t="s">
        <v>13322</v>
      </c>
      <c r="F5580" t="str">
        <f>IFERROR(INDEX(customers[country], MATCH(orders[[#This Row],[customer_id]], customers[customer_id], 0)), "Unmapped")</f>
        <v>Lithuania</v>
      </c>
      <c r="G5580" t="str">
        <f>IFERROR(INDEX(Region_Map[Region], MATCH(orders[[#This Row],[Customer_Country]], Region_Map[Country], 0)), "Unknown")</f>
        <v>Baltics</v>
      </c>
      <c r="H5580" t="s">
        <v>6949</v>
      </c>
    </row>
    <row r="5581" spans="1:8">
      <c r="A5581" t="s">
        <v>6472</v>
      </c>
      <c r="B5581" t="s">
        <v>395</v>
      </c>
      <c r="C5581" s="1">
        <v>45392</v>
      </c>
      <c r="D5581" s="1" t="str">
        <f>PROPER(orders[[#This Row],[order_priority]])</f>
        <v>Economy</v>
      </c>
      <c r="E5581" t="s">
        <v>13316</v>
      </c>
      <c r="F5581" t="str">
        <f>IFERROR(INDEX(customers[country], MATCH(orders[[#This Row],[customer_id]], customers[customer_id], 0)), "Unmapped")</f>
        <v>Sweden</v>
      </c>
      <c r="G5581" t="str">
        <f>IFERROR(INDEX(Region_Map[Region], MATCH(orders[[#This Row],[Customer_Country]], Region_Map[Country], 0)), "Unknown")</f>
        <v>Nordics</v>
      </c>
      <c r="H5581" t="s">
        <v>6949</v>
      </c>
    </row>
    <row r="5582" spans="1:8">
      <c r="A5582" t="s">
        <v>6473</v>
      </c>
      <c r="B5582" t="s">
        <v>455</v>
      </c>
      <c r="C5582" s="1">
        <v>44944</v>
      </c>
      <c r="D5582" s="1" t="str">
        <f>PROPER(orders[[#This Row],[order_priority]])</f>
        <v>Standard</v>
      </c>
      <c r="E5582" t="s">
        <v>13317</v>
      </c>
      <c r="F5582" t="str">
        <f>IFERROR(INDEX(customers[country], MATCH(orders[[#This Row],[customer_id]], customers[customer_id], 0)), "Unmapped")</f>
        <v>Poland</v>
      </c>
      <c r="G5582" t="str">
        <f>IFERROR(INDEX(Region_Map[Region], MATCH(orders[[#This Row],[Customer_Country]], Region_Map[Country], 0)), "Unknown")</f>
        <v>Central Europe</v>
      </c>
      <c r="H5582" t="s">
        <v>6949</v>
      </c>
    </row>
    <row r="5583" spans="1:8">
      <c r="A5583" t="s">
        <v>6474</v>
      </c>
      <c r="B5583" t="s">
        <v>422</v>
      </c>
      <c r="C5583" s="1">
        <v>45190</v>
      </c>
      <c r="D5583" s="1" t="str">
        <f>PROPER(orders[[#This Row],[order_priority]])</f>
        <v>Express</v>
      </c>
      <c r="E5583" t="s">
        <v>13318</v>
      </c>
      <c r="F5583" t="str">
        <f>IFERROR(INDEX(customers[country], MATCH(orders[[#This Row],[customer_id]], customers[customer_id], 0)), "Unmapped")</f>
        <v>Germany</v>
      </c>
      <c r="G5583" t="str">
        <f>IFERROR(INDEX(Region_Map[Region], MATCH(orders[[#This Row],[Customer_Country]], Region_Map[Country], 0)), "Unknown")</f>
        <v>Central Europe</v>
      </c>
      <c r="H5583" t="s">
        <v>6949</v>
      </c>
    </row>
    <row r="5584" spans="1:8">
      <c r="A5584" t="s">
        <v>6475</v>
      </c>
      <c r="B5584" t="s">
        <v>641</v>
      </c>
      <c r="C5584" s="1">
        <v>45441</v>
      </c>
      <c r="D5584" s="1" t="str">
        <f>PROPER(orders[[#This Row],[order_priority]])</f>
        <v>Express</v>
      </c>
      <c r="E5584" t="s">
        <v>13320</v>
      </c>
      <c r="F5584" t="str">
        <f>IFERROR(INDEX(customers[country], MATCH(orders[[#This Row],[customer_id]], customers[customer_id], 0)), "Unmapped")</f>
        <v>Poland</v>
      </c>
      <c r="G5584" t="str">
        <f>IFERROR(INDEX(Region_Map[Region], MATCH(orders[[#This Row],[Customer_Country]], Region_Map[Country], 0)), "Unknown")</f>
        <v>Central Europe</v>
      </c>
      <c r="H5584" t="s">
        <v>6949</v>
      </c>
    </row>
    <row r="5585" spans="1:8">
      <c r="A5585" t="s">
        <v>6476</v>
      </c>
      <c r="B5585" t="s">
        <v>741</v>
      </c>
      <c r="C5585" s="1">
        <v>45461</v>
      </c>
      <c r="D5585" s="1" t="str">
        <f>PROPER(orders[[#This Row],[order_priority]])</f>
        <v>Same Day</v>
      </c>
      <c r="E5585" t="s">
        <v>13322</v>
      </c>
      <c r="F5585" t="str">
        <f>IFERROR(INDEX(customers[country], MATCH(orders[[#This Row],[customer_id]], customers[customer_id], 0)), "Unmapped")</f>
        <v>Germany</v>
      </c>
      <c r="G5585" t="str">
        <f>IFERROR(INDEX(Region_Map[Region], MATCH(orders[[#This Row],[Customer_Country]], Region_Map[Country], 0)), "Unknown")</f>
        <v>Central Europe</v>
      </c>
      <c r="H5585" t="s">
        <v>6949</v>
      </c>
    </row>
    <row r="5586" spans="1:8">
      <c r="A5586" t="s">
        <v>6477</v>
      </c>
      <c r="B5586" t="s">
        <v>136</v>
      </c>
      <c r="C5586" s="1">
        <v>45547</v>
      </c>
      <c r="D5586" s="1" t="str">
        <f>PROPER(orders[[#This Row],[order_priority]])</f>
        <v>Same Day</v>
      </c>
      <c r="E5586" t="s">
        <v>13322</v>
      </c>
      <c r="F5586" t="str">
        <f>IFERROR(INDEX(customers[country], MATCH(orders[[#This Row],[customer_id]], customers[customer_id], 0)), "Unmapped")</f>
        <v>Sweden</v>
      </c>
      <c r="G5586" t="str">
        <f>IFERROR(INDEX(Region_Map[Region], MATCH(orders[[#This Row],[Customer_Country]], Region_Map[Country], 0)), "Unknown")</f>
        <v>Nordics</v>
      </c>
      <c r="H5586" t="s">
        <v>6949</v>
      </c>
    </row>
    <row r="5587" spans="1:8">
      <c r="A5587" t="s">
        <v>6478</v>
      </c>
      <c r="B5587" t="s">
        <v>19</v>
      </c>
      <c r="C5587" s="1">
        <v>45481</v>
      </c>
      <c r="D5587" s="1" t="str">
        <f>PROPER(orders[[#This Row],[order_priority]])</f>
        <v>Economy</v>
      </c>
      <c r="E5587" t="s">
        <v>13316</v>
      </c>
      <c r="F5587" t="str">
        <f>IFERROR(INDEX(customers[country], MATCH(orders[[#This Row],[customer_id]], customers[customer_id], 0)), "Unmapped")</f>
        <v>Poland</v>
      </c>
      <c r="G5587" t="str">
        <f>IFERROR(INDEX(Region_Map[Region], MATCH(orders[[#This Row],[Customer_Country]], Region_Map[Country], 0)), "Unknown")</f>
        <v>Central Europe</v>
      </c>
      <c r="H5587" t="s">
        <v>6949</v>
      </c>
    </row>
    <row r="5588" spans="1:8">
      <c r="A5588" t="s">
        <v>6479</v>
      </c>
      <c r="B5588" t="s">
        <v>855</v>
      </c>
      <c r="C5588" s="1">
        <v>45285</v>
      </c>
      <c r="D5588" s="1" t="str">
        <f>PROPER(orders[[#This Row],[order_priority]])</f>
        <v>Economy</v>
      </c>
      <c r="E5588" t="s">
        <v>13316</v>
      </c>
      <c r="F5588" t="str">
        <f>IFERROR(INDEX(customers[country], MATCH(orders[[#This Row],[customer_id]], customers[customer_id], 0)), "Unmapped")</f>
        <v>Latvia</v>
      </c>
      <c r="G5588" t="str">
        <f>IFERROR(INDEX(Region_Map[Region], MATCH(orders[[#This Row],[Customer_Country]], Region_Map[Country], 0)), "Unknown")</f>
        <v>Baltics</v>
      </c>
      <c r="H5588" t="s">
        <v>6949</v>
      </c>
    </row>
    <row r="5589" spans="1:8">
      <c r="A5589" t="s">
        <v>6480</v>
      </c>
      <c r="B5589" t="s">
        <v>13350</v>
      </c>
      <c r="C5589" s="1">
        <v>45207</v>
      </c>
      <c r="D5589" s="1" t="str">
        <f>PROPER(orders[[#This Row],[order_priority]])</f>
        <v>Express</v>
      </c>
      <c r="E5589" t="s">
        <v>13318</v>
      </c>
      <c r="F5589" t="str">
        <f>IFERROR(INDEX(customers[country], MATCH(orders[[#This Row],[customer_id]], customers[customer_id], 0)), "Unmapped")</f>
        <v>Unmapped</v>
      </c>
      <c r="G5589" t="str">
        <f>IFERROR(INDEX(Region_Map[Region], MATCH(orders[[#This Row],[Customer_Country]], Region_Map[Country], 0)), "Unknown")</f>
        <v>Unknown</v>
      </c>
      <c r="H5589" t="s">
        <v>6949</v>
      </c>
    </row>
    <row r="5590" spans="1:8">
      <c r="A5590" t="s">
        <v>6481</v>
      </c>
      <c r="B5590" t="s">
        <v>846</v>
      </c>
      <c r="C5590" s="1">
        <v>44967</v>
      </c>
      <c r="D5590" s="1" t="str">
        <f>PROPER(orders[[#This Row],[order_priority]])</f>
        <v>Same Day</v>
      </c>
      <c r="E5590" t="s">
        <v>13322</v>
      </c>
      <c r="F5590" t="str">
        <f>IFERROR(INDEX(customers[country], MATCH(orders[[#This Row],[customer_id]], customers[customer_id], 0)), "Unmapped")</f>
        <v>Netherlands</v>
      </c>
      <c r="G5590" t="str">
        <f>IFERROR(INDEX(Region_Map[Region], MATCH(orders[[#This Row],[Customer_Country]], Region_Map[Country], 0)), "Unknown")</f>
        <v>Central Europe</v>
      </c>
      <c r="H5590" t="s">
        <v>6949</v>
      </c>
    </row>
    <row r="5591" spans="1:8">
      <c r="A5591" t="s">
        <v>6482</v>
      </c>
      <c r="B5591" t="s">
        <v>195</v>
      </c>
      <c r="C5591" s="1">
        <v>45015</v>
      </c>
      <c r="D5591" s="1" t="str">
        <f>PROPER(orders[[#This Row],[order_priority]])</f>
        <v>Standard</v>
      </c>
      <c r="E5591" t="s">
        <v>13317</v>
      </c>
      <c r="F5591" t="str">
        <f>IFERROR(INDEX(customers[country], MATCH(orders[[#This Row],[customer_id]], customers[customer_id], 0)), "Unmapped")</f>
        <v>Latvia</v>
      </c>
      <c r="G5591" t="str">
        <f>IFERROR(INDEX(Region_Map[Region], MATCH(orders[[#This Row],[Customer_Country]], Region_Map[Country], 0)), "Unknown")</f>
        <v>Baltics</v>
      </c>
      <c r="H5591" t="s">
        <v>6949</v>
      </c>
    </row>
    <row r="5592" spans="1:8">
      <c r="A5592" t="s">
        <v>6483</v>
      </c>
      <c r="B5592" t="s">
        <v>796</v>
      </c>
      <c r="C5592" s="1">
        <v>45154</v>
      </c>
      <c r="D5592" s="1" t="str">
        <f>PROPER(orders[[#This Row],[order_priority]])</f>
        <v>Same Day</v>
      </c>
      <c r="E5592" t="s">
        <v>13322</v>
      </c>
      <c r="F5592" t="str">
        <f>IFERROR(INDEX(customers[country], MATCH(orders[[#This Row],[customer_id]], customers[customer_id], 0)), "Unmapped")</f>
        <v>Sweden</v>
      </c>
      <c r="G5592" t="str">
        <f>IFERROR(INDEX(Region_Map[Region], MATCH(orders[[#This Row],[Customer_Country]], Region_Map[Country], 0)), "Unknown")</f>
        <v>Nordics</v>
      </c>
      <c r="H5592" t="s">
        <v>6949</v>
      </c>
    </row>
    <row r="5593" spans="1:8">
      <c r="A5593" t="s">
        <v>6484</v>
      </c>
      <c r="B5593" t="s">
        <v>638</v>
      </c>
      <c r="C5593" s="1">
        <v>44994</v>
      </c>
      <c r="D5593" s="1" t="str">
        <f>PROPER(orders[[#This Row],[order_priority]])</f>
        <v>Same Day</v>
      </c>
      <c r="E5593" t="s">
        <v>13322</v>
      </c>
      <c r="F5593" t="str">
        <f>IFERROR(INDEX(customers[country], MATCH(orders[[#This Row],[customer_id]], customers[customer_id], 0)), "Unmapped")</f>
        <v>Germany</v>
      </c>
      <c r="G5593" t="str">
        <f>IFERROR(INDEX(Region_Map[Region], MATCH(orders[[#This Row],[Customer_Country]], Region_Map[Country], 0)), "Unknown")</f>
        <v>Central Europe</v>
      </c>
      <c r="H5593" t="s">
        <v>6949</v>
      </c>
    </row>
    <row r="5594" spans="1:8">
      <c r="A5594" t="s">
        <v>6485</v>
      </c>
      <c r="B5594" t="s">
        <v>267</v>
      </c>
      <c r="C5594" s="1">
        <v>45266</v>
      </c>
      <c r="D5594" s="1" t="str">
        <f>PROPER(orders[[#This Row],[order_priority]])</f>
        <v>Express</v>
      </c>
      <c r="E5594" t="s">
        <v>13318</v>
      </c>
      <c r="F5594" t="str">
        <f>IFERROR(INDEX(customers[country], MATCH(orders[[#This Row],[customer_id]], customers[customer_id], 0)), "Unmapped")</f>
        <v>Norway</v>
      </c>
      <c r="G5594" t="str">
        <f>IFERROR(INDEX(Region_Map[Region], MATCH(orders[[#This Row],[Customer_Country]], Region_Map[Country], 0)), "Unknown")</f>
        <v>Nordics</v>
      </c>
      <c r="H5594" t="s">
        <v>6949</v>
      </c>
    </row>
    <row r="5595" spans="1:8">
      <c r="A5595" t="s">
        <v>6486</v>
      </c>
      <c r="B5595" t="s">
        <v>204</v>
      </c>
      <c r="C5595" s="1">
        <v>45231</v>
      </c>
      <c r="D5595" s="1" t="str">
        <f>PROPER(orders[[#This Row],[order_priority]])</f>
        <v>Economy</v>
      </c>
      <c r="E5595" t="s">
        <v>13316</v>
      </c>
      <c r="F5595" t="str">
        <f>IFERROR(INDEX(customers[country], MATCH(orders[[#This Row],[customer_id]], customers[customer_id], 0)), "Unmapped")</f>
        <v>Sweden</v>
      </c>
      <c r="G5595" t="str">
        <f>IFERROR(INDEX(Region_Map[Region], MATCH(orders[[#This Row],[Customer_Country]], Region_Map[Country], 0)), "Unknown")</f>
        <v>Nordics</v>
      </c>
      <c r="H5595" t="s">
        <v>6949</v>
      </c>
    </row>
    <row r="5596" spans="1:8">
      <c r="A5596" t="s">
        <v>6487</v>
      </c>
      <c r="B5596" t="s">
        <v>515</v>
      </c>
      <c r="C5596" s="1">
        <v>45506</v>
      </c>
      <c r="D5596" s="1" t="str">
        <f>PROPER(orders[[#This Row],[order_priority]])</f>
        <v>Express</v>
      </c>
      <c r="E5596" t="s">
        <v>13318</v>
      </c>
      <c r="F5596" t="str">
        <f>IFERROR(INDEX(customers[country], MATCH(orders[[#This Row],[customer_id]], customers[customer_id], 0)), "Unmapped")</f>
        <v>Latvia</v>
      </c>
      <c r="G5596" t="str">
        <f>IFERROR(INDEX(Region_Map[Region], MATCH(orders[[#This Row],[Customer_Country]], Region_Map[Country], 0)), "Unknown")</f>
        <v>Baltics</v>
      </c>
      <c r="H5596" t="s">
        <v>6949</v>
      </c>
    </row>
    <row r="5597" spans="1:8">
      <c r="A5597" t="s">
        <v>6488</v>
      </c>
      <c r="B5597" t="s">
        <v>48</v>
      </c>
      <c r="C5597" s="1">
        <v>45620</v>
      </c>
      <c r="D5597" s="1" t="str">
        <f>PROPER(orders[[#This Row],[order_priority]])</f>
        <v>Express</v>
      </c>
      <c r="E5597" t="s">
        <v>13318</v>
      </c>
      <c r="F5597" t="str">
        <f>IFERROR(INDEX(customers[country], MATCH(orders[[#This Row],[customer_id]], customers[customer_id], 0)), "Unmapped")</f>
        <v>Poland</v>
      </c>
      <c r="G5597" t="str">
        <f>IFERROR(INDEX(Region_Map[Region], MATCH(orders[[#This Row],[Customer_Country]], Region_Map[Country], 0)), "Unknown")</f>
        <v>Central Europe</v>
      </c>
      <c r="H5597" t="s">
        <v>6949</v>
      </c>
    </row>
    <row r="5598" spans="1:8">
      <c r="A5598" t="s">
        <v>6489</v>
      </c>
      <c r="B5598" t="s">
        <v>222</v>
      </c>
      <c r="C5598" s="1">
        <v>45480</v>
      </c>
      <c r="D5598" s="1" t="str">
        <f>PROPER(orders[[#This Row],[order_priority]])</f>
        <v>Economy</v>
      </c>
      <c r="E5598" t="s">
        <v>13316</v>
      </c>
      <c r="F5598" t="str">
        <f>IFERROR(INDEX(customers[country], MATCH(orders[[#This Row],[customer_id]], customers[customer_id], 0)), "Unmapped")</f>
        <v>Norway</v>
      </c>
      <c r="G5598" t="str">
        <f>IFERROR(INDEX(Region_Map[Region], MATCH(orders[[#This Row],[Customer_Country]], Region_Map[Country], 0)), "Unknown")</f>
        <v>Nordics</v>
      </c>
      <c r="H5598" t="s">
        <v>6949</v>
      </c>
    </row>
    <row r="5599" spans="1:8">
      <c r="A5599" t="s">
        <v>6490</v>
      </c>
      <c r="B5599" t="s">
        <v>903</v>
      </c>
      <c r="C5599" s="1">
        <v>45308</v>
      </c>
      <c r="D5599" s="1" t="str">
        <f>PROPER(orders[[#This Row],[order_priority]])</f>
        <v>Standard</v>
      </c>
      <c r="E5599" t="s">
        <v>13317</v>
      </c>
      <c r="F5599" t="str">
        <f>IFERROR(INDEX(customers[country], MATCH(orders[[#This Row],[customer_id]], customers[customer_id], 0)), "Unmapped")</f>
        <v>Norway</v>
      </c>
      <c r="G5599" t="str">
        <f>IFERROR(INDEX(Region_Map[Region], MATCH(orders[[#This Row],[Customer_Country]], Region_Map[Country], 0)), "Unknown")</f>
        <v>Nordics</v>
      </c>
      <c r="H5599" t="s">
        <v>6949</v>
      </c>
    </row>
    <row r="5600" spans="1:8">
      <c r="A5600" t="s">
        <v>6491</v>
      </c>
      <c r="B5600" t="s">
        <v>309</v>
      </c>
      <c r="C5600" s="1">
        <v>45624</v>
      </c>
      <c r="D5600" s="1" t="str">
        <f>PROPER(orders[[#This Row],[order_priority]])</f>
        <v>Express</v>
      </c>
      <c r="E5600" t="s">
        <v>13318</v>
      </c>
      <c r="F5600" t="str">
        <f>IFERROR(INDEX(customers[country], MATCH(orders[[#This Row],[customer_id]], customers[customer_id], 0)), "Unmapped")</f>
        <v>Lithuania</v>
      </c>
      <c r="G5600" t="str">
        <f>IFERROR(INDEX(Region_Map[Region], MATCH(orders[[#This Row],[Customer_Country]], Region_Map[Country], 0)), "Unknown")</f>
        <v>Baltics</v>
      </c>
      <c r="H5600" t="s">
        <v>6949</v>
      </c>
    </row>
    <row r="5601" spans="1:8">
      <c r="A5601" t="s">
        <v>6492</v>
      </c>
      <c r="B5601" t="s">
        <v>258</v>
      </c>
      <c r="C5601" s="1">
        <v>45081</v>
      </c>
      <c r="D5601" s="1" t="str">
        <f>PROPER(orders[[#This Row],[order_priority]])</f>
        <v>Standard</v>
      </c>
      <c r="E5601" t="s">
        <v>13317</v>
      </c>
      <c r="F5601" t="str">
        <f>IFERROR(INDEX(customers[country], MATCH(orders[[#This Row],[customer_id]], customers[customer_id], 0)), "Unmapped")</f>
        <v>Latvia</v>
      </c>
      <c r="G5601" t="str">
        <f>IFERROR(INDEX(Region_Map[Region], MATCH(orders[[#This Row],[Customer_Country]], Region_Map[Country], 0)), "Unknown")</f>
        <v>Baltics</v>
      </c>
      <c r="H5601" t="s">
        <v>6949</v>
      </c>
    </row>
    <row r="5602" spans="1:8">
      <c r="A5602" t="s">
        <v>6493</v>
      </c>
      <c r="B5602" t="s">
        <v>189</v>
      </c>
      <c r="C5602" s="1">
        <v>45260</v>
      </c>
      <c r="D5602" s="1" t="str">
        <f>PROPER(orders[[#This Row],[order_priority]])</f>
        <v>Economy</v>
      </c>
      <c r="E5602" t="s">
        <v>13316</v>
      </c>
      <c r="F5602" t="str">
        <f>IFERROR(INDEX(customers[country], MATCH(orders[[#This Row],[customer_id]], customers[customer_id], 0)), "Unmapped")</f>
        <v>Norway</v>
      </c>
      <c r="G5602" t="str">
        <f>IFERROR(INDEX(Region_Map[Region], MATCH(orders[[#This Row],[Customer_Country]], Region_Map[Country], 0)), "Unknown")</f>
        <v>Nordics</v>
      </c>
      <c r="H5602" t="s">
        <v>6949</v>
      </c>
    </row>
    <row r="5603" spans="1:8">
      <c r="A5603" t="s">
        <v>6494</v>
      </c>
      <c r="B5603" t="s">
        <v>332</v>
      </c>
      <c r="C5603" s="1">
        <v>44945</v>
      </c>
      <c r="D5603" s="1" t="str">
        <f>PROPER(orders[[#This Row],[order_priority]])</f>
        <v>Standard</v>
      </c>
      <c r="E5603" t="s">
        <v>13317</v>
      </c>
      <c r="F5603" t="str">
        <f>IFERROR(INDEX(customers[country], MATCH(orders[[#This Row],[customer_id]], customers[customer_id], 0)), "Unmapped")</f>
        <v>Lithuania</v>
      </c>
      <c r="G5603" t="str">
        <f>IFERROR(INDEX(Region_Map[Region], MATCH(orders[[#This Row],[Customer_Country]], Region_Map[Country], 0)), "Unknown")</f>
        <v>Baltics</v>
      </c>
      <c r="H5603" t="s">
        <v>6949</v>
      </c>
    </row>
    <row r="5604" spans="1:8">
      <c r="A5604" t="s">
        <v>6495</v>
      </c>
      <c r="B5604" t="s">
        <v>650</v>
      </c>
      <c r="C5604" s="1">
        <v>45325</v>
      </c>
      <c r="D5604" s="1" t="str">
        <f>PROPER(orders[[#This Row],[order_priority]])</f>
        <v>Express</v>
      </c>
      <c r="E5604" t="s">
        <v>13318</v>
      </c>
      <c r="F5604" t="str">
        <f>IFERROR(INDEX(customers[country], MATCH(orders[[#This Row],[customer_id]], customers[customer_id], 0)), "Unmapped")</f>
        <v>Poland</v>
      </c>
      <c r="G5604" t="str">
        <f>IFERROR(INDEX(Region_Map[Region], MATCH(orders[[#This Row],[Customer_Country]], Region_Map[Country], 0)), "Unknown")</f>
        <v>Central Europe</v>
      </c>
      <c r="H5604" t="s">
        <v>6949</v>
      </c>
    </row>
    <row r="5605" spans="1:8">
      <c r="A5605" t="s">
        <v>6496</v>
      </c>
      <c r="B5605" t="s">
        <v>395</v>
      </c>
      <c r="C5605" s="1">
        <v>45001</v>
      </c>
      <c r="D5605" s="1" t="str">
        <f>PROPER(orders[[#This Row],[order_priority]])</f>
        <v>Economy</v>
      </c>
      <c r="E5605" t="s">
        <v>13316</v>
      </c>
      <c r="F5605" t="str">
        <f>IFERROR(INDEX(customers[country], MATCH(orders[[#This Row],[customer_id]], customers[customer_id], 0)), "Unmapped")</f>
        <v>Sweden</v>
      </c>
      <c r="G5605" t="str">
        <f>IFERROR(INDEX(Region_Map[Region], MATCH(orders[[#This Row],[Customer_Country]], Region_Map[Country], 0)), "Unknown")</f>
        <v>Nordics</v>
      </c>
      <c r="H5605" t="s">
        <v>6949</v>
      </c>
    </row>
    <row r="5606" spans="1:8">
      <c r="A5606" t="s">
        <v>6497</v>
      </c>
      <c r="B5606" t="s">
        <v>401</v>
      </c>
      <c r="C5606" s="1">
        <v>45173</v>
      </c>
      <c r="D5606" s="1" t="str">
        <f>PROPER(orders[[#This Row],[order_priority]])</f>
        <v>Economy</v>
      </c>
      <c r="E5606" t="s">
        <v>13325</v>
      </c>
      <c r="F5606" t="str">
        <f>IFERROR(INDEX(customers[country], MATCH(orders[[#This Row],[customer_id]], customers[customer_id], 0)), "Unmapped")</f>
        <v>Latvia</v>
      </c>
      <c r="G5606" t="str">
        <f>IFERROR(INDEX(Region_Map[Region], MATCH(orders[[#This Row],[Customer_Country]], Region_Map[Country], 0)), "Unknown")</f>
        <v>Baltics</v>
      </c>
      <c r="H5606" t="s">
        <v>6949</v>
      </c>
    </row>
    <row r="5607" spans="1:8">
      <c r="A5607" t="s">
        <v>6498</v>
      </c>
      <c r="B5607" t="s">
        <v>560</v>
      </c>
      <c r="C5607" s="1">
        <v>45164</v>
      </c>
      <c r="D5607" s="1" t="str">
        <f>PROPER(orders[[#This Row],[order_priority]])</f>
        <v>Economy</v>
      </c>
      <c r="E5607" t="s">
        <v>13316</v>
      </c>
      <c r="F5607" t="str">
        <f>IFERROR(INDEX(customers[country], MATCH(orders[[#This Row],[customer_id]], customers[customer_id], 0)), "Unmapped")</f>
        <v>Finland</v>
      </c>
      <c r="G5607" t="str">
        <f>IFERROR(INDEX(Region_Map[Region], MATCH(orders[[#This Row],[Customer_Country]], Region_Map[Country], 0)), "Unknown")</f>
        <v>Nordics</v>
      </c>
      <c r="H5607" t="s">
        <v>6949</v>
      </c>
    </row>
    <row r="5608" spans="1:8">
      <c r="A5608" t="s">
        <v>6499</v>
      </c>
      <c r="B5608" t="s">
        <v>109</v>
      </c>
      <c r="C5608" s="1">
        <v>44991</v>
      </c>
      <c r="D5608" s="1" t="str">
        <f>PROPER(orders[[#This Row],[order_priority]])</f>
        <v>Economy</v>
      </c>
      <c r="E5608" t="s">
        <v>13316</v>
      </c>
      <c r="F5608" t="str">
        <f>IFERROR(INDEX(customers[country], MATCH(orders[[#This Row],[customer_id]], customers[customer_id], 0)), "Unmapped")</f>
        <v>Netherlands</v>
      </c>
      <c r="G5608" t="str">
        <f>IFERROR(INDEX(Region_Map[Region], MATCH(orders[[#This Row],[Customer_Country]], Region_Map[Country], 0)), "Unknown")</f>
        <v>Central Europe</v>
      </c>
      <c r="H5608" t="s">
        <v>6949</v>
      </c>
    </row>
    <row r="5609" spans="1:8">
      <c r="A5609" t="s">
        <v>6500</v>
      </c>
      <c r="B5609" t="s">
        <v>45</v>
      </c>
      <c r="C5609" s="1">
        <v>45295</v>
      </c>
      <c r="D5609" s="1" t="str">
        <f>PROPER(orders[[#This Row],[order_priority]])</f>
        <v>Economy</v>
      </c>
      <c r="E5609" t="s">
        <v>13316</v>
      </c>
      <c r="F5609" t="str">
        <f>IFERROR(INDEX(customers[country], MATCH(orders[[#This Row],[customer_id]], customers[customer_id], 0)), "Unmapped")</f>
        <v>Netherlands</v>
      </c>
      <c r="G5609" t="str">
        <f>IFERROR(INDEX(Region_Map[Region], MATCH(orders[[#This Row],[Customer_Country]], Region_Map[Country], 0)), "Unknown")</f>
        <v>Central Europe</v>
      </c>
      <c r="H5609" t="s">
        <v>6949</v>
      </c>
    </row>
    <row r="5610" spans="1:8">
      <c r="A5610" t="s">
        <v>6501</v>
      </c>
      <c r="B5610" t="s">
        <v>198</v>
      </c>
      <c r="C5610" s="1">
        <v>45622</v>
      </c>
      <c r="D5610" s="1" t="str">
        <f>PROPER(orders[[#This Row],[order_priority]])</f>
        <v>Economy</v>
      </c>
      <c r="E5610" t="s">
        <v>13316</v>
      </c>
      <c r="F5610" t="str">
        <f>IFERROR(INDEX(customers[country], MATCH(orders[[#This Row],[customer_id]], customers[customer_id], 0)), "Unmapped")</f>
        <v>Poland</v>
      </c>
      <c r="G5610" t="str">
        <f>IFERROR(INDEX(Region_Map[Region], MATCH(orders[[#This Row],[Customer_Country]], Region_Map[Country], 0)), "Unknown")</f>
        <v>Central Europe</v>
      </c>
      <c r="H5610" t="s">
        <v>6949</v>
      </c>
    </row>
    <row r="5611" spans="1:8">
      <c r="A5611" t="s">
        <v>6502</v>
      </c>
      <c r="B5611" t="s">
        <v>73</v>
      </c>
      <c r="C5611" s="1">
        <v>45328</v>
      </c>
      <c r="D5611" s="1" t="str">
        <f>PROPER(orders[[#This Row],[order_priority]])</f>
        <v>Same Day</v>
      </c>
      <c r="E5611" t="s">
        <v>13322</v>
      </c>
      <c r="F5611" t="str">
        <f>IFERROR(INDEX(customers[country], MATCH(orders[[#This Row],[customer_id]], customers[customer_id], 0)), "Unmapped")</f>
        <v>Norway</v>
      </c>
      <c r="G5611" t="str">
        <f>IFERROR(INDEX(Region_Map[Region], MATCH(orders[[#This Row],[Customer_Country]], Region_Map[Country], 0)), "Unknown")</f>
        <v>Nordics</v>
      </c>
      <c r="H5611" t="s">
        <v>6949</v>
      </c>
    </row>
    <row r="5612" spans="1:8">
      <c r="A5612" t="s">
        <v>6503</v>
      </c>
      <c r="B5612" t="s">
        <v>353</v>
      </c>
      <c r="C5612" s="1">
        <v>45099</v>
      </c>
      <c r="D5612" s="1" t="str">
        <f>PROPER(orders[[#This Row],[order_priority]])</f>
        <v>Economy</v>
      </c>
      <c r="E5612" t="s">
        <v>13316</v>
      </c>
      <c r="F5612" t="str">
        <f>IFERROR(INDEX(customers[country], MATCH(orders[[#This Row],[customer_id]], customers[customer_id], 0)), "Unmapped")</f>
        <v>Estonia</v>
      </c>
      <c r="G5612" t="str">
        <f>IFERROR(INDEX(Region_Map[Region], MATCH(orders[[#This Row],[Customer_Country]], Region_Map[Country], 0)), "Unknown")</f>
        <v>Baltics</v>
      </c>
      <c r="H5612" t="s">
        <v>6949</v>
      </c>
    </row>
    <row r="5613" spans="1:8">
      <c r="A5613" t="s">
        <v>6504</v>
      </c>
      <c r="B5613" t="s">
        <v>356</v>
      </c>
      <c r="C5613" s="1">
        <v>45192</v>
      </c>
      <c r="D5613" s="1" t="str">
        <f>PROPER(orders[[#This Row],[order_priority]])</f>
        <v>Standard</v>
      </c>
      <c r="E5613" t="s">
        <v>13323</v>
      </c>
      <c r="F5613" t="str">
        <f>IFERROR(INDEX(customers[country], MATCH(orders[[#This Row],[customer_id]], customers[customer_id], 0)), "Unmapped")</f>
        <v>Netherlands</v>
      </c>
      <c r="G5613" t="str">
        <f>IFERROR(INDEX(Region_Map[Region], MATCH(orders[[#This Row],[Customer_Country]], Region_Map[Country], 0)), "Unknown")</f>
        <v>Central Europe</v>
      </c>
      <c r="H5613" t="s">
        <v>6949</v>
      </c>
    </row>
    <row r="5614" spans="1:8">
      <c r="A5614" t="s">
        <v>6505</v>
      </c>
      <c r="B5614" t="s">
        <v>840</v>
      </c>
      <c r="C5614" s="1">
        <v>45324</v>
      </c>
      <c r="D5614" s="1" t="str">
        <f>PROPER(orders[[#This Row],[order_priority]])</f>
        <v>Standard</v>
      </c>
      <c r="E5614" t="s">
        <v>13317</v>
      </c>
      <c r="F5614" t="str">
        <f>IFERROR(INDEX(customers[country], MATCH(orders[[#This Row],[customer_id]], customers[customer_id], 0)), "Unmapped")</f>
        <v>Finland</v>
      </c>
      <c r="G5614" t="str">
        <f>IFERROR(INDEX(Region_Map[Region], MATCH(orders[[#This Row],[Customer_Country]], Region_Map[Country], 0)), "Unknown")</f>
        <v>Nordics</v>
      </c>
      <c r="H5614" t="s">
        <v>6949</v>
      </c>
    </row>
    <row r="5615" spans="1:8">
      <c r="A5615" t="s">
        <v>6506</v>
      </c>
      <c r="B5615" t="s">
        <v>491</v>
      </c>
      <c r="C5615" s="1">
        <v>45492</v>
      </c>
      <c r="D5615" s="1" t="str">
        <f>PROPER(orders[[#This Row],[order_priority]])</f>
        <v>Express</v>
      </c>
      <c r="E5615" t="s">
        <v>13318</v>
      </c>
      <c r="F5615" t="str">
        <f>IFERROR(INDEX(customers[country], MATCH(orders[[#This Row],[customer_id]], customers[customer_id], 0)), "Unmapped")</f>
        <v>Latvia</v>
      </c>
      <c r="G5615" t="str">
        <f>IFERROR(INDEX(Region_Map[Region], MATCH(orders[[#This Row],[Customer_Country]], Region_Map[Country], 0)), "Unknown")</f>
        <v>Baltics</v>
      </c>
      <c r="H5615" t="s">
        <v>6949</v>
      </c>
    </row>
    <row r="5616" spans="1:8">
      <c r="A5616" t="s">
        <v>6507</v>
      </c>
      <c r="B5616" t="s">
        <v>635</v>
      </c>
      <c r="C5616" s="1">
        <v>45428</v>
      </c>
      <c r="D5616" s="1" t="str">
        <f>PROPER(orders[[#This Row],[order_priority]])</f>
        <v>Standard</v>
      </c>
      <c r="E5616" t="s">
        <v>13317</v>
      </c>
      <c r="F5616" t="str">
        <f>IFERROR(INDEX(customers[country], MATCH(orders[[#This Row],[customer_id]], customers[customer_id], 0)), "Unmapped")</f>
        <v>Latvia</v>
      </c>
      <c r="G5616" t="str">
        <f>IFERROR(INDEX(Region_Map[Region], MATCH(orders[[#This Row],[Customer_Country]], Region_Map[Country], 0)), "Unknown")</f>
        <v>Baltics</v>
      </c>
      <c r="H5616" t="s">
        <v>6949</v>
      </c>
    </row>
    <row r="5617" spans="1:8">
      <c r="A5617" t="s">
        <v>6508</v>
      </c>
      <c r="B5617" t="s">
        <v>219</v>
      </c>
      <c r="C5617" s="1">
        <v>45365</v>
      </c>
      <c r="D5617" s="1" t="str">
        <f>PROPER(orders[[#This Row],[order_priority]])</f>
        <v>Economy</v>
      </c>
      <c r="E5617" t="s">
        <v>13316</v>
      </c>
      <c r="F5617" t="str">
        <f>IFERROR(INDEX(customers[country], MATCH(orders[[#This Row],[customer_id]], customers[customer_id], 0)), "Unmapped")</f>
        <v>Latvia</v>
      </c>
      <c r="G5617" t="str">
        <f>IFERROR(INDEX(Region_Map[Region], MATCH(orders[[#This Row],[Customer_Country]], Region_Map[Country], 0)), "Unknown")</f>
        <v>Baltics</v>
      </c>
      <c r="H5617" t="s">
        <v>6949</v>
      </c>
    </row>
    <row r="5618" spans="1:8">
      <c r="A5618" t="s">
        <v>6509</v>
      </c>
      <c r="B5618" t="s">
        <v>192</v>
      </c>
      <c r="C5618" s="1">
        <v>45112</v>
      </c>
      <c r="D5618" s="1" t="str">
        <f>PROPER(orders[[#This Row],[order_priority]])</f>
        <v>Express</v>
      </c>
      <c r="E5618" t="s">
        <v>13326</v>
      </c>
      <c r="F5618" t="str">
        <f>IFERROR(INDEX(customers[country], MATCH(orders[[#This Row],[customer_id]], customers[customer_id], 0)), "Unmapped")</f>
        <v>Estonia</v>
      </c>
      <c r="G5618" t="str">
        <f>IFERROR(INDEX(Region_Map[Region], MATCH(orders[[#This Row],[Customer_Country]], Region_Map[Country], 0)), "Unknown")</f>
        <v>Baltics</v>
      </c>
      <c r="H5618" t="s">
        <v>6949</v>
      </c>
    </row>
    <row r="5619" spans="1:8">
      <c r="A5619" t="s">
        <v>6295</v>
      </c>
      <c r="B5619" t="s">
        <v>697</v>
      </c>
      <c r="C5619" s="1">
        <v>45386</v>
      </c>
      <c r="D5619" s="1" t="str">
        <f>PROPER(orders[[#This Row],[order_priority]])</f>
        <v>Economy</v>
      </c>
      <c r="E5619" t="s">
        <v>13316</v>
      </c>
      <c r="F5619" t="str">
        <f>IFERROR(INDEX(customers[country], MATCH(orders[[#This Row],[customer_id]], customers[customer_id], 0)), "Unmapped")</f>
        <v>Estonia</v>
      </c>
      <c r="G5619" t="str">
        <f>IFERROR(INDEX(Region_Map[Region], MATCH(orders[[#This Row],[Customer_Country]], Region_Map[Country], 0)), "Unknown")</f>
        <v>Baltics</v>
      </c>
      <c r="H5619" t="s">
        <v>6949</v>
      </c>
    </row>
    <row r="5620" spans="1:8">
      <c r="A5620" t="s">
        <v>6510</v>
      </c>
      <c r="B5620" t="s">
        <v>882</v>
      </c>
      <c r="C5620" s="1">
        <v>45033</v>
      </c>
      <c r="D5620" s="1" t="str">
        <f>PROPER(orders[[#This Row],[order_priority]])</f>
        <v>Economy</v>
      </c>
      <c r="E5620" t="s">
        <v>13316</v>
      </c>
      <c r="F5620" t="str">
        <f>IFERROR(INDEX(customers[country], MATCH(orders[[#This Row],[customer_id]], customers[customer_id], 0)), "Unmapped")</f>
        <v>Netherlands</v>
      </c>
      <c r="G5620" t="str">
        <f>IFERROR(INDEX(Region_Map[Region], MATCH(orders[[#This Row],[Customer_Country]], Region_Map[Country], 0)), "Unknown")</f>
        <v>Central Europe</v>
      </c>
      <c r="H5620" t="s">
        <v>6949</v>
      </c>
    </row>
    <row r="5621" spans="1:8">
      <c r="A5621" t="s">
        <v>6511</v>
      </c>
      <c r="B5621" t="s">
        <v>282</v>
      </c>
      <c r="C5621" s="1">
        <v>45511</v>
      </c>
      <c r="D5621" s="1" t="str">
        <f>PROPER(orders[[#This Row],[order_priority]])</f>
        <v>Standard</v>
      </c>
      <c r="E5621" t="s">
        <v>13317</v>
      </c>
      <c r="F5621" t="str">
        <f>IFERROR(INDEX(customers[country], MATCH(orders[[#This Row],[customer_id]], customers[customer_id], 0)), "Unmapped")</f>
        <v>Netherlands</v>
      </c>
      <c r="G5621" t="str">
        <f>IFERROR(INDEX(Region_Map[Region], MATCH(orders[[#This Row],[Customer_Country]], Region_Map[Country], 0)), "Unknown")</f>
        <v>Central Europe</v>
      </c>
      <c r="H5621" t="s">
        <v>6949</v>
      </c>
    </row>
    <row r="5622" spans="1:8">
      <c r="A5622" t="s">
        <v>6512</v>
      </c>
      <c r="B5622" t="s">
        <v>626</v>
      </c>
      <c r="C5622" s="1">
        <v>45298</v>
      </c>
      <c r="D5622" s="1" t="str">
        <f>PROPER(orders[[#This Row],[order_priority]])</f>
        <v>Standard</v>
      </c>
      <c r="E5622" t="s">
        <v>13319</v>
      </c>
      <c r="F5622" t="str">
        <f>IFERROR(INDEX(customers[country], MATCH(orders[[#This Row],[customer_id]], customers[customer_id], 0)), "Unmapped")</f>
        <v>Denmark</v>
      </c>
      <c r="G5622" t="str">
        <f>IFERROR(INDEX(Region_Map[Region], MATCH(orders[[#This Row],[Customer_Country]], Region_Map[Country], 0)), "Unknown")</f>
        <v>Nordics</v>
      </c>
      <c r="H5622" t="s">
        <v>6949</v>
      </c>
    </row>
    <row r="5623" spans="1:8">
      <c r="A5623" t="s">
        <v>6513</v>
      </c>
      <c r="B5623" t="s">
        <v>840</v>
      </c>
      <c r="C5623" s="1">
        <v>45187</v>
      </c>
      <c r="D5623" s="1" t="str">
        <f>PROPER(orders[[#This Row],[order_priority]])</f>
        <v>Standard</v>
      </c>
      <c r="E5623" t="s">
        <v>13317</v>
      </c>
      <c r="F5623" t="str">
        <f>IFERROR(INDEX(customers[country], MATCH(orders[[#This Row],[customer_id]], customers[customer_id], 0)), "Unmapped")</f>
        <v>Finland</v>
      </c>
      <c r="G5623" t="str">
        <f>IFERROR(INDEX(Region_Map[Region], MATCH(orders[[#This Row],[Customer_Country]], Region_Map[Country], 0)), "Unknown")</f>
        <v>Nordics</v>
      </c>
      <c r="H5623" t="s">
        <v>6949</v>
      </c>
    </row>
    <row r="5624" spans="1:8">
      <c r="A5624" t="s">
        <v>6514</v>
      </c>
      <c r="B5624" t="s">
        <v>213</v>
      </c>
      <c r="C5624" s="1">
        <v>45145</v>
      </c>
      <c r="D5624" s="1" t="str">
        <f>PROPER(orders[[#This Row],[order_priority]])</f>
        <v>Standard</v>
      </c>
      <c r="E5624" t="s">
        <v>13317</v>
      </c>
      <c r="F5624" t="str">
        <f>IFERROR(INDEX(customers[country], MATCH(orders[[#This Row],[customer_id]], customers[customer_id], 0)), "Unmapped")</f>
        <v>Denmark</v>
      </c>
      <c r="G5624" t="str">
        <f>IFERROR(INDEX(Region_Map[Region], MATCH(orders[[#This Row],[Customer_Country]], Region_Map[Country], 0)), "Unknown")</f>
        <v>Nordics</v>
      </c>
      <c r="H5624" t="s">
        <v>6949</v>
      </c>
    </row>
    <row r="5625" spans="1:8">
      <c r="A5625" t="s">
        <v>6515</v>
      </c>
      <c r="B5625" t="s">
        <v>371</v>
      </c>
      <c r="C5625" s="1">
        <v>45471</v>
      </c>
      <c r="D5625" s="1" t="str">
        <f>PROPER(orders[[#This Row],[order_priority]])</f>
        <v>Economy</v>
      </c>
      <c r="E5625" t="s">
        <v>13316</v>
      </c>
      <c r="F5625" t="str">
        <f>IFERROR(INDEX(customers[country], MATCH(orders[[#This Row],[customer_id]], customers[customer_id], 0)), "Unmapped")</f>
        <v>Germany</v>
      </c>
      <c r="G5625" t="str">
        <f>IFERROR(INDEX(Region_Map[Region], MATCH(orders[[#This Row],[Customer_Country]], Region_Map[Country], 0)), "Unknown")</f>
        <v>Central Europe</v>
      </c>
      <c r="H5625" t="s">
        <v>6949</v>
      </c>
    </row>
    <row r="5626" spans="1:8">
      <c r="A5626" t="s">
        <v>6516</v>
      </c>
      <c r="B5626" t="s">
        <v>497</v>
      </c>
      <c r="C5626" s="1">
        <v>45142</v>
      </c>
      <c r="D5626" s="1" t="str">
        <f>PROPER(orders[[#This Row],[order_priority]])</f>
        <v>Standard</v>
      </c>
      <c r="E5626" t="s">
        <v>13317</v>
      </c>
      <c r="F5626" t="str">
        <f>IFERROR(INDEX(customers[country], MATCH(orders[[#This Row],[customer_id]], customers[customer_id], 0)), "Unmapped")</f>
        <v>Germany</v>
      </c>
      <c r="G5626" t="str">
        <f>IFERROR(INDEX(Region_Map[Region], MATCH(orders[[#This Row],[Customer_Country]], Region_Map[Country], 0)), "Unknown")</f>
        <v>Central Europe</v>
      </c>
      <c r="H5626" t="s">
        <v>6949</v>
      </c>
    </row>
    <row r="5627" spans="1:8">
      <c r="A5627" t="s">
        <v>6517</v>
      </c>
      <c r="B5627" t="s">
        <v>572</v>
      </c>
      <c r="C5627" s="1">
        <v>45166</v>
      </c>
      <c r="D5627" s="1" t="str">
        <f>PROPER(orders[[#This Row],[order_priority]])</f>
        <v>Economy</v>
      </c>
      <c r="E5627" t="s">
        <v>13316</v>
      </c>
      <c r="F5627" t="str">
        <f>IFERROR(INDEX(customers[country], MATCH(orders[[#This Row],[customer_id]], customers[customer_id], 0)), "Unmapped")</f>
        <v>Germany</v>
      </c>
      <c r="G5627" t="str">
        <f>IFERROR(INDEX(Region_Map[Region], MATCH(orders[[#This Row],[Customer_Country]], Region_Map[Country], 0)), "Unknown")</f>
        <v>Central Europe</v>
      </c>
      <c r="H5627" t="s">
        <v>6949</v>
      </c>
    </row>
    <row r="5628" spans="1:8">
      <c r="A5628" t="s">
        <v>6518</v>
      </c>
      <c r="B5628" t="s">
        <v>533</v>
      </c>
      <c r="C5628" s="1">
        <v>45055</v>
      </c>
      <c r="D5628" s="1" t="str">
        <f>PROPER(orders[[#This Row],[order_priority]])</f>
        <v>Same Day</v>
      </c>
      <c r="E5628" t="s">
        <v>13321</v>
      </c>
      <c r="F5628" t="str">
        <f>IFERROR(INDEX(customers[country], MATCH(orders[[#This Row],[customer_id]], customers[customer_id], 0)), "Unmapped")</f>
        <v>Germany</v>
      </c>
      <c r="G5628" t="str">
        <f>IFERROR(INDEX(Region_Map[Region], MATCH(orders[[#This Row],[Customer_Country]], Region_Map[Country], 0)), "Unknown")</f>
        <v>Central Europe</v>
      </c>
      <c r="H5628" t="s">
        <v>6949</v>
      </c>
    </row>
    <row r="5629" spans="1:8">
      <c r="A5629" t="s">
        <v>6519</v>
      </c>
      <c r="B5629" t="s">
        <v>416</v>
      </c>
      <c r="C5629" s="1">
        <v>45578</v>
      </c>
      <c r="D5629" s="1" t="str">
        <f>PROPER(orders[[#This Row],[order_priority]])</f>
        <v>Same Day</v>
      </c>
      <c r="E5629" t="s">
        <v>13322</v>
      </c>
      <c r="F5629" t="str">
        <f>IFERROR(INDEX(customers[country], MATCH(orders[[#This Row],[customer_id]], customers[customer_id], 0)), "Unmapped")</f>
        <v>Denmark</v>
      </c>
      <c r="G5629" t="str">
        <f>IFERROR(INDEX(Region_Map[Region], MATCH(orders[[#This Row],[Customer_Country]], Region_Map[Country], 0)), "Unknown")</f>
        <v>Nordics</v>
      </c>
      <c r="H5629" t="s">
        <v>6949</v>
      </c>
    </row>
    <row r="5630" spans="1:8">
      <c r="A5630" t="s">
        <v>6520</v>
      </c>
      <c r="B5630" t="s">
        <v>285</v>
      </c>
      <c r="C5630" s="1">
        <v>45495</v>
      </c>
      <c r="D5630" s="1" t="str">
        <f>PROPER(orders[[#This Row],[order_priority]])</f>
        <v>Economy</v>
      </c>
      <c r="E5630" t="s">
        <v>13316</v>
      </c>
      <c r="F5630" t="str">
        <f>IFERROR(INDEX(customers[country], MATCH(orders[[#This Row],[customer_id]], customers[customer_id], 0)), "Unmapped")</f>
        <v>Norway</v>
      </c>
      <c r="G5630" t="str">
        <f>IFERROR(INDEX(Region_Map[Region], MATCH(orders[[#This Row],[Customer_Country]], Region_Map[Country], 0)), "Unknown")</f>
        <v>Nordics</v>
      </c>
      <c r="H5630" t="s">
        <v>6949</v>
      </c>
    </row>
    <row r="5631" spans="1:8">
      <c r="A5631" t="s">
        <v>6521</v>
      </c>
      <c r="B5631" t="s">
        <v>228</v>
      </c>
      <c r="C5631" s="1">
        <v>45356</v>
      </c>
      <c r="D5631" s="1" t="str">
        <f>PROPER(orders[[#This Row],[order_priority]])</f>
        <v>Economy</v>
      </c>
      <c r="E5631" t="s">
        <v>13325</v>
      </c>
      <c r="F5631" t="str">
        <f>IFERROR(INDEX(customers[country], MATCH(orders[[#This Row],[customer_id]], customers[customer_id], 0)), "Unmapped")</f>
        <v>Latvia</v>
      </c>
      <c r="G5631" t="str">
        <f>IFERROR(INDEX(Region_Map[Region], MATCH(orders[[#This Row],[Customer_Country]], Region_Map[Country], 0)), "Unknown")</f>
        <v>Baltics</v>
      </c>
      <c r="H5631" t="s">
        <v>6949</v>
      </c>
    </row>
    <row r="5632" spans="1:8">
      <c r="A5632" t="s">
        <v>6522</v>
      </c>
      <c r="B5632" t="s">
        <v>635</v>
      </c>
      <c r="C5632" s="1">
        <v>45620</v>
      </c>
      <c r="D5632" s="1" t="str">
        <f>PROPER(orders[[#This Row],[order_priority]])</f>
        <v>Same Day</v>
      </c>
      <c r="E5632" t="s">
        <v>13322</v>
      </c>
      <c r="F5632" t="str">
        <f>IFERROR(INDEX(customers[country], MATCH(orders[[#This Row],[customer_id]], customers[customer_id], 0)), "Unmapped")</f>
        <v>Latvia</v>
      </c>
      <c r="G5632" t="str">
        <f>IFERROR(INDEX(Region_Map[Region], MATCH(orders[[#This Row],[Customer_Country]], Region_Map[Country], 0)), "Unknown")</f>
        <v>Baltics</v>
      </c>
      <c r="H5632" t="s">
        <v>6949</v>
      </c>
    </row>
    <row r="5633" spans="1:8">
      <c r="A5633" t="s">
        <v>6523</v>
      </c>
      <c r="B5633" t="s">
        <v>314</v>
      </c>
      <c r="C5633" s="1">
        <v>44957</v>
      </c>
      <c r="D5633" s="1" t="str">
        <f>PROPER(orders[[#This Row],[order_priority]])</f>
        <v>Express</v>
      </c>
      <c r="E5633" t="s">
        <v>13318</v>
      </c>
      <c r="F5633" t="str">
        <f>IFERROR(INDEX(customers[country], MATCH(orders[[#This Row],[customer_id]], customers[customer_id], 0)), "Unmapped")</f>
        <v>Poland</v>
      </c>
      <c r="G5633" t="str">
        <f>IFERROR(INDEX(Region_Map[Region], MATCH(orders[[#This Row],[Customer_Country]], Region_Map[Country], 0)), "Unknown")</f>
        <v>Central Europe</v>
      </c>
      <c r="H5633" t="s">
        <v>6949</v>
      </c>
    </row>
    <row r="5634" spans="1:8">
      <c r="A5634" t="s">
        <v>6524</v>
      </c>
      <c r="B5634" t="s">
        <v>721</v>
      </c>
      <c r="C5634" s="1">
        <v>45563</v>
      </c>
      <c r="D5634" s="1" t="str">
        <f>PROPER(orders[[#This Row],[order_priority]])</f>
        <v>Standard</v>
      </c>
      <c r="E5634" t="s">
        <v>13317</v>
      </c>
      <c r="F5634" t="str">
        <f>IFERROR(INDEX(customers[country], MATCH(orders[[#This Row],[customer_id]], customers[customer_id], 0)), "Unmapped")</f>
        <v>Netherlands</v>
      </c>
      <c r="G5634" t="str">
        <f>IFERROR(INDEX(Region_Map[Region], MATCH(orders[[#This Row],[Customer_Country]], Region_Map[Country], 0)), "Unknown")</f>
        <v>Central Europe</v>
      </c>
      <c r="H5634" t="s">
        <v>6949</v>
      </c>
    </row>
    <row r="5635" spans="1:8">
      <c r="A5635" t="s">
        <v>6525</v>
      </c>
      <c r="B5635" t="s">
        <v>855</v>
      </c>
      <c r="C5635" s="1">
        <v>45592</v>
      </c>
      <c r="D5635" s="1" t="str">
        <f>PROPER(orders[[#This Row],[order_priority]])</f>
        <v>Standard</v>
      </c>
      <c r="E5635" t="s">
        <v>13317</v>
      </c>
      <c r="F5635" t="str">
        <f>IFERROR(INDEX(customers[country], MATCH(orders[[#This Row],[customer_id]], customers[customer_id], 0)), "Unmapped")</f>
        <v>Latvia</v>
      </c>
      <c r="G5635" t="str">
        <f>IFERROR(INDEX(Region_Map[Region], MATCH(orders[[#This Row],[Customer_Country]], Region_Map[Country], 0)), "Unknown")</f>
        <v>Baltics</v>
      </c>
      <c r="H5635" t="s">
        <v>6949</v>
      </c>
    </row>
    <row r="5636" spans="1:8">
      <c r="A5636" t="s">
        <v>6526</v>
      </c>
      <c r="B5636" t="s">
        <v>473</v>
      </c>
      <c r="C5636" s="1">
        <v>45612</v>
      </c>
      <c r="D5636" s="1" t="str">
        <f>PROPER(orders[[#This Row],[order_priority]])</f>
        <v>Express</v>
      </c>
      <c r="E5636" t="s">
        <v>13320</v>
      </c>
      <c r="F5636" t="str">
        <f>IFERROR(INDEX(customers[country], MATCH(orders[[#This Row],[customer_id]], customers[customer_id], 0)), "Unmapped")</f>
        <v>Netherlands</v>
      </c>
      <c r="G5636" t="str">
        <f>IFERROR(INDEX(Region_Map[Region], MATCH(orders[[#This Row],[Customer_Country]], Region_Map[Country], 0)), "Unknown")</f>
        <v>Central Europe</v>
      </c>
      <c r="H5636" t="s">
        <v>6949</v>
      </c>
    </row>
    <row r="5637" spans="1:8">
      <c r="A5637" t="s">
        <v>6527</v>
      </c>
      <c r="B5637" t="s">
        <v>536</v>
      </c>
      <c r="C5637" s="1">
        <v>45015</v>
      </c>
      <c r="D5637" s="1" t="str">
        <f>PROPER(orders[[#This Row],[order_priority]])</f>
        <v>Economy</v>
      </c>
      <c r="E5637" t="s">
        <v>13316</v>
      </c>
      <c r="F5637" t="str">
        <f>IFERROR(INDEX(customers[country], MATCH(orders[[#This Row],[customer_id]], customers[customer_id], 0)), "Unmapped")</f>
        <v>Germany</v>
      </c>
      <c r="G5637" t="str">
        <f>IFERROR(INDEX(Region_Map[Region], MATCH(orders[[#This Row],[Customer_Country]], Region_Map[Country], 0)), "Unknown")</f>
        <v>Central Europe</v>
      </c>
      <c r="H5637" t="s">
        <v>6949</v>
      </c>
    </row>
    <row r="5638" spans="1:8">
      <c r="A5638" t="s">
        <v>6528</v>
      </c>
      <c r="B5638" t="s">
        <v>479</v>
      </c>
      <c r="C5638" s="1">
        <v>44940</v>
      </c>
      <c r="D5638" s="1" t="str">
        <f>PROPER(orders[[#This Row],[order_priority]])</f>
        <v>Standard</v>
      </c>
      <c r="E5638" t="s">
        <v>13317</v>
      </c>
      <c r="F5638" t="str">
        <f>IFERROR(INDEX(customers[country], MATCH(orders[[#This Row],[customer_id]], customers[customer_id], 0)), "Unmapped")</f>
        <v>Latvia</v>
      </c>
      <c r="G5638" t="str">
        <f>IFERROR(INDEX(Region_Map[Region], MATCH(orders[[#This Row],[Customer_Country]], Region_Map[Country], 0)), "Unknown")</f>
        <v>Baltics</v>
      </c>
      <c r="H5638" t="s">
        <v>6949</v>
      </c>
    </row>
    <row r="5639" spans="1:8">
      <c r="A5639" t="s">
        <v>6529</v>
      </c>
      <c r="B5639" t="s">
        <v>297</v>
      </c>
      <c r="C5639" s="1">
        <v>45151</v>
      </c>
      <c r="D5639" s="1" t="str">
        <f>PROPER(orders[[#This Row],[order_priority]])</f>
        <v>Same Day</v>
      </c>
      <c r="E5639" t="s">
        <v>13322</v>
      </c>
      <c r="F5639" t="str">
        <f>IFERROR(INDEX(customers[country], MATCH(orders[[#This Row],[customer_id]], customers[customer_id], 0)), "Unmapped")</f>
        <v>Poland</v>
      </c>
      <c r="G5639" t="str">
        <f>IFERROR(INDEX(Region_Map[Region], MATCH(orders[[#This Row],[Customer_Country]], Region_Map[Country], 0)), "Unknown")</f>
        <v>Central Europe</v>
      </c>
      <c r="H5639" t="s">
        <v>6949</v>
      </c>
    </row>
    <row r="5640" spans="1:8">
      <c r="A5640" t="s">
        <v>6530</v>
      </c>
      <c r="B5640" t="s">
        <v>834</v>
      </c>
      <c r="C5640" s="1">
        <v>45184</v>
      </c>
      <c r="D5640" s="1" t="str">
        <f>PROPER(orders[[#This Row],[order_priority]])</f>
        <v>Express</v>
      </c>
      <c r="E5640" t="s">
        <v>13318</v>
      </c>
      <c r="F5640" t="str">
        <f>IFERROR(INDEX(customers[country], MATCH(orders[[#This Row],[customer_id]], customers[customer_id], 0)), "Unmapped")</f>
        <v>Denmark</v>
      </c>
      <c r="G5640" t="str">
        <f>IFERROR(INDEX(Region_Map[Region], MATCH(orders[[#This Row],[Customer_Country]], Region_Map[Country], 0)), "Unknown")</f>
        <v>Nordics</v>
      </c>
      <c r="H5640" t="s">
        <v>6949</v>
      </c>
    </row>
    <row r="5641" spans="1:8">
      <c r="A5641" t="s">
        <v>6531</v>
      </c>
      <c r="B5641" t="s">
        <v>738</v>
      </c>
      <c r="C5641" s="1">
        <v>45118</v>
      </c>
      <c r="D5641" s="1" t="str">
        <f>PROPER(orders[[#This Row],[order_priority]])</f>
        <v>Economy</v>
      </c>
      <c r="E5641" t="s">
        <v>13316</v>
      </c>
      <c r="F5641" t="str">
        <f>IFERROR(INDEX(customers[country], MATCH(orders[[#This Row],[customer_id]], customers[customer_id], 0)), "Unmapped")</f>
        <v>Finland</v>
      </c>
      <c r="G5641" t="str">
        <f>IFERROR(INDEX(Region_Map[Region], MATCH(orders[[#This Row],[Customer_Country]], Region_Map[Country], 0)), "Unknown")</f>
        <v>Nordics</v>
      </c>
      <c r="H5641" t="s">
        <v>6949</v>
      </c>
    </row>
    <row r="5642" spans="1:8">
      <c r="A5642" t="s">
        <v>6532</v>
      </c>
      <c r="B5642" t="s">
        <v>6</v>
      </c>
      <c r="C5642" s="1">
        <v>45556</v>
      </c>
      <c r="D5642" s="1" t="str">
        <f>PROPER(orders[[#This Row],[order_priority]])</f>
        <v>Economy</v>
      </c>
      <c r="E5642" t="s">
        <v>13328</v>
      </c>
      <c r="F5642" t="str">
        <f>IFERROR(INDEX(customers[country], MATCH(orders[[#This Row],[customer_id]], customers[customer_id], 0)), "Unmapped")</f>
        <v>Latvia</v>
      </c>
      <c r="G5642" t="str">
        <f>IFERROR(INDEX(Region_Map[Region], MATCH(orders[[#This Row],[Customer_Country]], Region_Map[Country], 0)), "Unknown")</f>
        <v>Baltics</v>
      </c>
      <c r="H5642" t="s">
        <v>6949</v>
      </c>
    </row>
    <row r="5643" spans="1:8">
      <c r="A5643" t="s">
        <v>6533</v>
      </c>
      <c r="B5643" t="s">
        <v>491</v>
      </c>
      <c r="C5643" s="1">
        <v>44962</v>
      </c>
      <c r="D5643" s="1" t="str">
        <f>PROPER(orders[[#This Row],[order_priority]])</f>
        <v>Economy</v>
      </c>
      <c r="E5643" t="s">
        <v>13316</v>
      </c>
      <c r="F5643" t="str">
        <f>IFERROR(INDEX(customers[country], MATCH(orders[[#This Row],[customer_id]], customers[customer_id], 0)), "Unmapped")</f>
        <v>Latvia</v>
      </c>
      <c r="G5643" t="str">
        <f>IFERROR(INDEX(Region_Map[Region], MATCH(orders[[#This Row],[Customer_Country]], Region_Map[Country], 0)), "Unknown")</f>
        <v>Baltics</v>
      </c>
      <c r="H5643" t="s">
        <v>6949</v>
      </c>
    </row>
    <row r="5644" spans="1:8">
      <c r="A5644" t="s">
        <v>6534</v>
      </c>
      <c r="B5644" t="s">
        <v>533</v>
      </c>
      <c r="C5644" s="1">
        <v>45281</v>
      </c>
      <c r="D5644" s="1" t="str">
        <f>PROPER(orders[[#This Row],[order_priority]])</f>
        <v>Express</v>
      </c>
      <c r="E5644" t="s">
        <v>13318</v>
      </c>
      <c r="F5644" t="str">
        <f>IFERROR(INDEX(customers[country], MATCH(orders[[#This Row],[customer_id]], customers[customer_id], 0)), "Unmapped")</f>
        <v>Germany</v>
      </c>
      <c r="G5644" t="str">
        <f>IFERROR(INDEX(Region_Map[Region], MATCH(orders[[#This Row],[Customer_Country]], Region_Map[Country], 0)), "Unknown")</f>
        <v>Central Europe</v>
      </c>
      <c r="H5644" t="s">
        <v>6949</v>
      </c>
    </row>
    <row r="5645" spans="1:8">
      <c r="A5645" t="s">
        <v>6535</v>
      </c>
      <c r="B5645" t="s">
        <v>673</v>
      </c>
      <c r="C5645" s="1">
        <v>45043</v>
      </c>
      <c r="D5645" s="1" t="str">
        <f>PROPER(orders[[#This Row],[order_priority]])</f>
        <v>Standard</v>
      </c>
      <c r="E5645" t="s">
        <v>13323</v>
      </c>
      <c r="F5645" t="str">
        <f>IFERROR(INDEX(customers[country], MATCH(orders[[#This Row],[customer_id]], customers[customer_id], 0)), "Unmapped")</f>
        <v>Sweden</v>
      </c>
      <c r="G5645" t="str">
        <f>IFERROR(INDEX(Region_Map[Region], MATCH(orders[[#This Row],[Customer_Country]], Region_Map[Country], 0)), "Unknown")</f>
        <v>Nordics</v>
      </c>
      <c r="H5645" t="s">
        <v>6949</v>
      </c>
    </row>
    <row r="5646" spans="1:8">
      <c r="A5646" t="s">
        <v>6536</v>
      </c>
      <c r="B5646" t="s">
        <v>243</v>
      </c>
      <c r="C5646" s="1">
        <v>45602</v>
      </c>
      <c r="D5646" s="1" t="str">
        <f>PROPER(orders[[#This Row],[order_priority]])</f>
        <v>Express</v>
      </c>
      <c r="E5646" t="s">
        <v>13318</v>
      </c>
      <c r="F5646" t="str">
        <f>IFERROR(INDEX(customers[country], MATCH(orders[[#This Row],[customer_id]], customers[customer_id], 0)), "Unmapped")</f>
        <v>Netherlands</v>
      </c>
      <c r="G5646" t="str">
        <f>IFERROR(INDEX(Region_Map[Region], MATCH(orders[[#This Row],[Customer_Country]], Region_Map[Country], 0)), "Unknown")</f>
        <v>Central Europe</v>
      </c>
      <c r="H5646" t="s">
        <v>6949</v>
      </c>
    </row>
    <row r="5647" spans="1:8">
      <c r="A5647" t="s">
        <v>6537</v>
      </c>
      <c r="B5647" t="s">
        <v>488</v>
      </c>
      <c r="C5647" s="1">
        <v>45575</v>
      </c>
      <c r="D5647" s="1" t="str">
        <f>PROPER(orders[[#This Row],[order_priority]])</f>
        <v>Same Day</v>
      </c>
      <c r="E5647" t="s">
        <v>13322</v>
      </c>
      <c r="F5647" t="str">
        <f>IFERROR(INDEX(customers[country], MATCH(orders[[#This Row],[customer_id]], customers[customer_id], 0)), "Unmapped")</f>
        <v>Netherlands</v>
      </c>
      <c r="G5647" t="str">
        <f>IFERROR(INDEX(Region_Map[Region], MATCH(orders[[#This Row],[Customer_Country]], Region_Map[Country], 0)), "Unknown")</f>
        <v>Central Europe</v>
      </c>
      <c r="H5647" t="s">
        <v>6949</v>
      </c>
    </row>
    <row r="5648" spans="1:8">
      <c r="A5648" t="s">
        <v>6538</v>
      </c>
      <c r="B5648" t="s">
        <v>781</v>
      </c>
      <c r="C5648" s="1">
        <v>45575</v>
      </c>
      <c r="D5648" s="1" t="str">
        <f>PROPER(orders[[#This Row],[order_priority]])</f>
        <v>Economy</v>
      </c>
      <c r="E5648" t="s">
        <v>13316</v>
      </c>
      <c r="F5648" t="str">
        <f>IFERROR(INDEX(customers[country], MATCH(orders[[#This Row],[customer_id]], customers[customer_id], 0)), "Unmapped")</f>
        <v>Germany</v>
      </c>
      <c r="G5648" t="str">
        <f>IFERROR(INDEX(Region_Map[Region], MATCH(orders[[#This Row],[Customer_Country]], Region_Map[Country], 0)), "Unknown")</f>
        <v>Central Europe</v>
      </c>
      <c r="H5648" t="s">
        <v>6949</v>
      </c>
    </row>
    <row r="5649" spans="1:8">
      <c r="A5649" t="s">
        <v>6539</v>
      </c>
      <c r="B5649" t="s">
        <v>658</v>
      </c>
      <c r="C5649" s="1">
        <v>45216</v>
      </c>
      <c r="D5649" s="1" t="str">
        <f>PROPER(orders[[#This Row],[order_priority]])</f>
        <v>Same Day</v>
      </c>
      <c r="E5649" t="s">
        <v>13324</v>
      </c>
      <c r="F5649" t="str">
        <f>IFERROR(INDEX(customers[country], MATCH(orders[[#This Row],[customer_id]], customers[customer_id], 0)), "Unmapped")</f>
        <v>Latvia</v>
      </c>
      <c r="G5649" t="str">
        <f>IFERROR(INDEX(Region_Map[Region], MATCH(orders[[#This Row],[Customer_Country]], Region_Map[Country], 0)), "Unknown")</f>
        <v>Baltics</v>
      </c>
      <c r="H5649" t="s">
        <v>6949</v>
      </c>
    </row>
    <row r="5650" spans="1:8">
      <c r="A5650" t="s">
        <v>6540</v>
      </c>
      <c r="B5650" t="s">
        <v>154</v>
      </c>
      <c r="C5650" s="1">
        <v>45202</v>
      </c>
      <c r="D5650" s="1" t="str">
        <f>PROPER(orders[[#This Row],[order_priority]])</f>
        <v>Express</v>
      </c>
      <c r="E5650" t="s">
        <v>13318</v>
      </c>
      <c r="F5650" t="str">
        <f>IFERROR(INDEX(customers[country], MATCH(orders[[#This Row],[customer_id]], customers[customer_id], 0)), "Unmapped")</f>
        <v>Lithuania</v>
      </c>
      <c r="G5650" t="str">
        <f>IFERROR(INDEX(Region_Map[Region], MATCH(orders[[#This Row],[Customer_Country]], Region_Map[Country], 0)), "Unknown")</f>
        <v>Baltics</v>
      </c>
      <c r="H5650" t="s">
        <v>6949</v>
      </c>
    </row>
    <row r="5651" spans="1:8">
      <c r="A5651" t="s">
        <v>6541</v>
      </c>
      <c r="B5651" t="s">
        <v>746</v>
      </c>
      <c r="C5651" s="1">
        <v>45098</v>
      </c>
      <c r="D5651" s="1" t="str">
        <f>PROPER(orders[[#This Row],[order_priority]])</f>
        <v>Economy</v>
      </c>
      <c r="E5651" t="s">
        <v>13316</v>
      </c>
      <c r="F5651" t="str">
        <f>IFERROR(INDEX(customers[country], MATCH(orders[[#This Row],[customer_id]], customers[customer_id], 0)), "Unmapped")</f>
        <v>Poland</v>
      </c>
      <c r="G5651" t="str">
        <f>IFERROR(INDEX(Region_Map[Region], MATCH(orders[[#This Row],[Customer_Country]], Region_Map[Country], 0)), "Unknown")</f>
        <v>Central Europe</v>
      </c>
      <c r="H5651" t="s">
        <v>6949</v>
      </c>
    </row>
    <row r="5652" spans="1:8">
      <c r="A5652" t="s">
        <v>6542</v>
      </c>
      <c r="B5652" t="s">
        <v>855</v>
      </c>
      <c r="C5652" s="1">
        <v>45111</v>
      </c>
      <c r="D5652" s="1" t="str">
        <f>PROPER(orders[[#This Row],[order_priority]])</f>
        <v>Standard</v>
      </c>
      <c r="E5652" t="s">
        <v>13317</v>
      </c>
      <c r="F5652" t="str">
        <f>IFERROR(INDEX(customers[country], MATCH(orders[[#This Row],[customer_id]], customers[customer_id], 0)), "Unmapped")</f>
        <v>Latvia</v>
      </c>
      <c r="G5652" t="str">
        <f>IFERROR(INDEX(Region_Map[Region], MATCH(orders[[#This Row],[Customer_Country]], Region_Map[Country], 0)), "Unknown")</f>
        <v>Baltics</v>
      </c>
      <c r="H5652" t="s">
        <v>6949</v>
      </c>
    </row>
    <row r="5653" spans="1:8">
      <c r="A5653" t="s">
        <v>6543</v>
      </c>
      <c r="B5653" t="s">
        <v>446</v>
      </c>
      <c r="C5653" s="1">
        <v>45031</v>
      </c>
      <c r="D5653" s="1" t="str">
        <f>PROPER(orders[[#This Row],[order_priority]])</f>
        <v>Express</v>
      </c>
      <c r="E5653" t="s">
        <v>13318</v>
      </c>
      <c r="F5653" t="str">
        <f>IFERROR(INDEX(customers[country], MATCH(orders[[#This Row],[customer_id]], customers[customer_id], 0)), "Unmapped")</f>
        <v>Sweden</v>
      </c>
      <c r="G5653" t="str">
        <f>IFERROR(INDEX(Region_Map[Region], MATCH(orders[[#This Row],[Customer_Country]], Region_Map[Country], 0)), "Unknown")</f>
        <v>Nordics</v>
      </c>
      <c r="H5653" t="s">
        <v>6949</v>
      </c>
    </row>
    <row r="5654" spans="1:8">
      <c r="A5654" t="s">
        <v>6544</v>
      </c>
      <c r="B5654" t="s">
        <v>778</v>
      </c>
      <c r="C5654" s="1">
        <v>45174</v>
      </c>
      <c r="D5654" s="1" t="str">
        <f>PROPER(orders[[#This Row],[order_priority]])</f>
        <v>Same Day</v>
      </c>
      <c r="E5654" t="s">
        <v>13322</v>
      </c>
      <c r="F5654" t="str">
        <f>IFERROR(INDEX(customers[country], MATCH(orders[[#This Row],[customer_id]], customers[customer_id], 0)), "Unmapped")</f>
        <v>Estonia</v>
      </c>
      <c r="G5654" t="str">
        <f>IFERROR(INDEX(Region_Map[Region], MATCH(orders[[#This Row],[Customer_Country]], Region_Map[Country], 0)), "Unknown")</f>
        <v>Baltics</v>
      </c>
      <c r="H5654" t="s">
        <v>6949</v>
      </c>
    </row>
    <row r="5655" spans="1:8">
      <c r="A5655" t="s">
        <v>6545</v>
      </c>
      <c r="B5655" t="s">
        <v>93</v>
      </c>
      <c r="C5655" s="1">
        <v>45024</v>
      </c>
      <c r="D5655" s="1" t="str">
        <f>PROPER(orders[[#This Row],[order_priority]])</f>
        <v>Express</v>
      </c>
      <c r="E5655" t="s">
        <v>13326</v>
      </c>
      <c r="F5655" t="str">
        <f>IFERROR(INDEX(customers[country], MATCH(orders[[#This Row],[customer_id]], customers[customer_id], 0)), "Unmapped")</f>
        <v>Norway</v>
      </c>
      <c r="G5655" t="str">
        <f>IFERROR(INDEX(Region_Map[Region], MATCH(orders[[#This Row],[Customer_Country]], Region_Map[Country], 0)), "Unknown")</f>
        <v>Nordics</v>
      </c>
      <c r="H5655" t="s">
        <v>6949</v>
      </c>
    </row>
    <row r="5656" spans="1:8">
      <c r="A5656" t="s">
        <v>6546</v>
      </c>
      <c r="B5656" t="s">
        <v>112</v>
      </c>
      <c r="C5656" s="1">
        <v>45326</v>
      </c>
      <c r="D5656" s="1" t="str">
        <f>PROPER(orders[[#This Row],[order_priority]])</f>
        <v>Standard</v>
      </c>
      <c r="E5656" t="s">
        <v>13317</v>
      </c>
      <c r="F5656" t="str">
        <f>IFERROR(INDEX(customers[country], MATCH(orders[[#This Row],[customer_id]], customers[customer_id], 0)), "Unmapped")</f>
        <v>Finland</v>
      </c>
      <c r="G5656" t="str">
        <f>IFERROR(INDEX(Region_Map[Region], MATCH(orders[[#This Row],[Customer_Country]], Region_Map[Country], 0)), "Unknown")</f>
        <v>Nordics</v>
      </c>
      <c r="H5656" t="s">
        <v>6949</v>
      </c>
    </row>
    <row r="5657" spans="1:8">
      <c r="A5657" t="s">
        <v>6547</v>
      </c>
      <c r="B5657" t="s">
        <v>629</v>
      </c>
      <c r="C5657" s="1">
        <v>45414</v>
      </c>
      <c r="D5657" s="1" t="str">
        <f>PROPER(orders[[#This Row],[order_priority]])</f>
        <v>Economy</v>
      </c>
      <c r="E5657" t="s">
        <v>13316</v>
      </c>
      <c r="F5657" t="str">
        <f>IFERROR(INDEX(customers[country], MATCH(orders[[#This Row],[customer_id]], customers[customer_id], 0)), "Unmapped")</f>
        <v>Lithuania</v>
      </c>
      <c r="G5657" t="str">
        <f>IFERROR(INDEX(Region_Map[Region], MATCH(orders[[#This Row],[Customer_Country]], Region_Map[Country], 0)), "Unknown")</f>
        <v>Baltics</v>
      </c>
      <c r="H5657" t="s">
        <v>6949</v>
      </c>
    </row>
    <row r="5658" spans="1:8">
      <c r="A5658" t="s">
        <v>6548</v>
      </c>
      <c r="B5658" t="s">
        <v>545</v>
      </c>
      <c r="C5658" s="1">
        <v>45034</v>
      </c>
      <c r="D5658" s="1" t="str">
        <f>PROPER(orders[[#This Row],[order_priority]])</f>
        <v>Same Day</v>
      </c>
      <c r="E5658" t="s">
        <v>13322</v>
      </c>
      <c r="F5658" t="str">
        <f>IFERROR(INDEX(customers[country], MATCH(orders[[#This Row],[customer_id]], customers[customer_id], 0)), "Unmapped")</f>
        <v>Netherlands</v>
      </c>
      <c r="G5658" t="str">
        <f>IFERROR(INDEX(Region_Map[Region], MATCH(orders[[#This Row],[Customer_Country]], Region_Map[Country], 0)), "Unknown")</f>
        <v>Central Europe</v>
      </c>
      <c r="H5658" t="s">
        <v>6949</v>
      </c>
    </row>
    <row r="5659" spans="1:8">
      <c r="A5659" t="s">
        <v>6549</v>
      </c>
      <c r="B5659" t="s">
        <v>201</v>
      </c>
      <c r="C5659" s="1">
        <v>44934</v>
      </c>
      <c r="D5659" s="1" t="str">
        <f>PROPER(orders[[#This Row],[order_priority]])</f>
        <v>Standard</v>
      </c>
      <c r="E5659" t="s">
        <v>13317</v>
      </c>
      <c r="F5659" t="str">
        <f>IFERROR(INDEX(customers[country], MATCH(orders[[#This Row],[customer_id]], customers[customer_id], 0)), "Unmapped")</f>
        <v>Estonia</v>
      </c>
      <c r="G5659" t="str">
        <f>IFERROR(INDEX(Region_Map[Region], MATCH(orders[[#This Row],[Customer_Country]], Region_Map[Country], 0)), "Unknown")</f>
        <v>Baltics</v>
      </c>
      <c r="H5659" t="s">
        <v>6949</v>
      </c>
    </row>
    <row r="5660" spans="1:8">
      <c r="A5660" t="s">
        <v>6550</v>
      </c>
      <c r="B5660" t="s">
        <v>282</v>
      </c>
      <c r="C5660" s="1">
        <v>45444</v>
      </c>
      <c r="D5660" s="1" t="str">
        <f>PROPER(orders[[#This Row],[order_priority]])</f>
        <v>Economy</v>
      </c>
      <c r="E5660" t="s">
        <v>13316</v>
      </c>
      <c r="F5660" t="str">
        <f>IFERROR(INDEX(customers[country], MATCH(orders[[#This Row],[customer_id]], customers[customer_id], 0)), "Unmapped")</f>
        <v>Netherlands</v>
      </c>
      <c r="G5660" t="str">
        <f>IFERROR(INDEX(Region_Map[Region], MATCH(orders[[#This Row],[Customer_Country]], Region_Map[Country], 0)), "Unknown")</f>
        <v>Central Europe</v>
      </c>
      <c r="H5660" t="s">
        <v>6949</v>
      </c>
    </row>
    <row r="5661" spans="1:8">
      <c r="A5661" t="s">
        <v>6551</v>
      </c>
      <c r="B5661" t="s">
        <v>356</v>
      </c>
      <c r="C5661" s="1">
        <v>45340</v>
      </c>
      <c r="D5661" s="1" t="str">
        <f>PROPER(orders[[#This Row],[order_priority]])</f>
        <v>Economy</v>
      </c>
      <c r="E5661" t="s">
        <v>13316</v>
      </c>
      <c r="F5661" t="str">
        <f>IFERROR(INDEX(customers[country], MATCH(orders[[#This Row],[customer_id]], customers[customer_id], 0)), "Unmapped")</f>
        <v>Netherlands</v>
      </c>
      <c r="G5661" t="str">
        <f>IFERROR(INDEX(Region_Map[Region], MATCH(orders[[#This Row],[Customer_Country]], Region_Map[Country], 0)), "Unknown")</f>
        <v>Central Europe</v>
      </c>
      <c r="H5661" t="s">
        <v>6949</v>
      </c>
    </row>
    <row r="5662" spans="1:8">
      <c r="A5662" t="s">
        <v>6552</v>
      </c>
      <c r="B5662" t="s">
        <v>623</v>
      </c>
      <c r="C5662" s="1">
        <v>44973</v>
      </c>
      <c r="D5662" s="1" t="str">
        <f>PROPER(orders[[#This Row],[order_priority]])</f>
        <v>Standard</v>
      </c>
      <c r="E5662" t="s">
        <v>13323</v>
      </c>
      <c r="F5662" t="str">
        <f>IFERROR(INDEX(customers[country], MATCH(orders[[#This Row],[customer_id]], customers[customer_id], 0)), "Unmapped")</f>
        <v>Denmark</v>
      </c>
      <c r="G5662" t="str">
        <f>IFERROR(INDEX(Region_Map[Region], MATCH(orders[[#This Row],[Customer_Country]], Region_Map[Country], 0)), "Unknown")</f>
        <v>Nordics</v>
      </c>
      <c r="H5662" t="s">
        <v>6949</v>
      </c>
    </row>
    <row r="5663" spans="1:8">
      <c r="A5663" t="s">
        <v>6553</v>
      </c>
      <c r="B5663" t="s">
        <v>309</v>
      </c>
      <c r="C5663" s="1">
        <v>45071</v>
      </c>
      <c r="D5663" s="1" t="str">
        <f>PROPER(orders[[#This Row],[order_priority]])</f>
        <v>Economy</v>
      </c>
      <c r="E5663" t="s">
        <v>13328</v>
      </c>
      <c r="F5663" t="str">
        <f>IFERROR(INDEX(customers[country], MATCH(orders[[#This Row],[customer_id]], customers[customer_id], 0)), "Unmapped")</f>
        <v>Lithuania</v>
      </c>
      <c r="G5663" t="str">
        <f>IFERROR(INDEX(Region_Map[Region], MATCH(orders[[#This Row],[Customer_Country]], Region_Map[Country], 0)), "Unknown")</f>
        <v>Baltics</v>
      </c>
      <c r="H5663" t="s">
        <v>6949</v>
      </c>
    </row>
    <row r="5664" spans="1:8">
      <c r="A5664" t="s">
        <v>6554</v>
      </c>
      <c r="B5664" t="s">
        <v>419</v>
      </c>
      <c r="C5664" s="1">
        <v>45073</v>
      </c>
      <c r="D5664" s="1" t="str">
        <f>PROPER(orders[[#This Row],[order_priority]])</f>
        <v>Economy</v>
      </c>
      <c r="E5664" t="s">
        <v>13316</v>
      </c>
      <c r="F5664" t="str">
        <f>IFERROR(INDEX(customers[country], MATCH(orders[[#This Row],[customer_id]], customers[customer_id], 0)), "Unmapped")</f>
        <v>Estonia</v>
      </c>
      <c r="G5664" t="str">
        <f>IFERROR(INDEX(Region_Map[Region], MATCH(orders[[#This Row],[Customer_Country]], Region_Map[Country], 0)), "Unknown")</f>
        <v>Baltics</v>
      </c>
      <c r="H5664" t="s">
        <v>6949</v>
      </c>
    </row>
    <row r="5665" spans="1:8">
      <c r="A5665" t="s">
        <v>6555</v>
      </c>
      <c r="B5665" t="s">
        <v>694</v>
      </c>
      <c r="C5665" s="1">
        <v>45401</v>
      </c>
      <c r="D5665" s="1" t="str">
        <f>PROPER(orders[[#This Row],[order_priority]])</f>
        <v>Same Day</v>
      </c>
      <c r="E5665" t="s">
        <v>13322</v>
      </c>
      <c r="F5665" t="str">
        <f>IFERROR(INDEX(customers[country], MATCH(orders[[#This Row],[customer_id]], customers[customer_id], 0)), "Unmapped")</f>
        <v>Lithuania</v>
      </c>
      <c r="G5665" t="str">
        <f>IFERROR(INDEX(Region_Map[Region], MATCH(orders[[#This Row],[Customer_Country]], Region_Map[Country], 0)), "Unknown")</f>
        <v>Baltics</v>
      </c>
      <c r="H5665" t="s">
        <v>6949</v>
      </c>
    </row>
    <row r="5666" spans="1:8">
      <c r="A5666" t="s">
        <v>6556</v>
      </c>
      <c r="B5666" t="s">
        <v>175</v>
      </c>
      <c r="C5666" s="1">
        <v>45029</v>
      </c>
      <c r="D5666" s="1" t="str">
        <f>PROPER(orders[[#This Row],[order_priority]])</f>
        <v>Express</v>
      </c>
      <c r="E5666" t="s">
        <v>13318</v>
      </c>
      <c r="F5666" t="str">
        <f>IFERROR(INDEX(customers[country], MATCH(orders[[#This Row],[customer_id]], customers[customer_id], 0)), "Unmapped")</f>
        <v>Sweden</v>
      </c>
      <c r="G5666" t="str">
        <f>IFERROR(INDEX(Region_Map[Region], MATCH(orders[[#This Row],[Customer_Country]], Region_Map[Country], 0)), "Unknown")</f>
        <v>Nordics</v>
      </c>
      <c r="H5666" t="s">
        <v>6949</v>
      </c>
    </row>
    <row r="5667" spans="1:8">
      <c r="A5667" t="s">
        <v>6557</v>
      </c>
      <c r="B5667" t="s">
        <v>368</v>
      </c>
      <c r="C5667" s="1">
        <v>45087</v>
      </c>
      <c r="D5667" s="1" t="str">
        <f>PROPER(orders[[#This Row],[order_priority]])</f>
        <v>Economy</v>
      </c>
      <c r="E5667" t="s">
        <v>13316</v>
      </c>
      <c r="F5667" t="str">
        <f>IFERROR(INDEX(customers[country], MATCH(orders[[#This Row],[customer_id]], customers[customer_id], 0)), "Unmapped")</f>
        <v>Poland</v>
      </c>
      <c r="G5667" t="str">
        <f>IFERROR(INDEX(Region_Map[Region], MATCH(orders[[#This Row],[Customer_Country]], Region_Map[Country], 0)), "Unknown")</f>
        <v>Central Europe</v>
      </c>
      <c r="H5667" t="s">
        <v>6949</v>
      </c>
    </row>
    <row r="5668" spans="1:8">
      <c r="A5668" t="s">
        <v>6558</v>
      </c>
      <c r="B5668" t="s">
        <v>703</v>
      </c>
      <c r="C5668" s="1">
        <v>45509</v>
      </c>
      <c r="D5668" s="1" t="str">
        <f>PROPER(orders[[#This Row],[order_priority]])</f>
        <v>Standard</v>
      </c>
      <c r="E5668" t="s">
        <v>13317</v>
      </c>
      <c r="F5668" t="str">
        <f>IFERROR(INDEX(customers[country], MATCH(orders[[#This Row],[customer_id]], customers[customer_id], 0)), "Unmapped")</f>
        <v>Estonia</v>
      </c>
      <c r="G5668" t="str">
        <f>IFERROR(INDEX(Region_Map[Region], MATCH(orders[[#This Row],[Customer_Country]], Region_Map[Country], 0)), "Unknown")</f>
        <v>Baltics</v>
      </c>
      <c r="H5668" t="s">
        <v>6949</v>
      </c>
    </row>
    <row r="5669" spans="1:8">
      <c r="A5669" t="s">
        <v>6559</v>
      </c>
      <c r="B5669" t="s">
        <v>42</v>
      </c>
      <c r="C5669" s="1">
        <v>45266</v>
      </c>
      <c r="D5669" s="1" t="str">
        <f>PROPER(orders[[#This Row],[order_priority]])</f>
        <v>Economy</v>
      </c>
      <c r="E5669" t="s">
        <v>13325</v>
      </c>
      <c r="F5669" t="str">
        <f>IFERROR(INDEX(customers[country], MATCH(orders[[#This Row],[customer_id]], customers[customer_id], 0)), "Unmapped")</f>
        <v>Estonia</v>
      </c>
      <c r="G5669" t="str">
        <f>IFERROR(INDEX(Region_Map[Region], MATCH(orders[[#This Row],[Customer_Country]], Region_Map[Country], 0)), "Unknown")</f>
        <v>Baltics</v>
      </c>
      <c r="H5669" t="s">
        <v>6949</v>
      </c>
    </row>
    <row r="5670" spans="1:8">
      <c r="A5670" t="s">
        <v>6560</v>
      </c>
      <c r="B5670" t="s">
        <v>87</v>
      </c>
      <c r="C5670" s="1">
        <v>44964</v>
      </c>
      <c r="D5670" s="1" t="str">
        <f>PROPER(orders[[#This Row],[order_priority]])</f>
        <v>Express</v>
      </c>
      <c r="E5670" t="s">
        <v>13318</v>
      </c>
      <c r="F5670" t="str">
        <f>IFERROR(INDEX(customers[country], MATCH(orders[[#This Row],[customer_id]], customers[customer_id], 0)), "Unmapped")</f>
        <v>Latvia</v>
      </c>
      <c r="G5670" t="str">
        <f>IFERROR(INDEX(Region_Map[Region], MATCH(orders[[#This Row],[Customer_Country]], Region_Map[Country], 0)), "Unknown")</f>
        <v>Baltics</v>
      </c>
      <c r="H5670" t="s">
        <v>6949</v>
      </c>
    </row>
    <row r="5671" spans="1:8">
      <c r="A5671" t="s">
        <v>6561</v>
      </c>
      <c r="B5671" t="s">
        <v>306</v>
      </c>
      <c r="C5671" s="1">
        <v>45346</v>
      </c>
      <c r="D5671" s="1" t="str">
        <f>PROPER(orders[[#This Row],[order_priority]])</f>
        <v>Standard</v>
      </c>
      <c r="E5671" t="s">
        <v>13317</v>
      </c>
      <c r="F5671" t="str">
        <f>IFERROR(INDEX(customers[country], MATCH(orders[[#This Row],[customer_id]], customers[customer_id], 0)), "Unmapped")</f>
        <v>Estonia</v>
      </c>
      <c r="G5671" t="str">
        <f>IFERROR(INDEX(Region_Map[Region], MATCH(orders[[#This Row],[Customer_Country]], Region_Map[Country], 0)), "Unknown")</f>
        <v>Baltics</v>
      </c>
      <c r="H5671" t="s">
        <v>6949</v>
      </c>
    </row>
    <row r="5672" spans="1:8">
      <c r="A5672" t="s">
        <v>6562</v>
      </c>
      <c r="B5672" t="s">
        <v>816</v>
      </c>
      <c r="C5672" s="1">
        <v>45477</v>
      </c>
      <c r="D5672" s="1" t="str">
        <f>PROPER(orders[[#This Row],[order_priority]])</f>
        <v>Same Day</v>
      </c>
      <c r="E5672" t="s">
        <v>13322</v>
      </c>
      <c r="F5672" t="str">
        <f>IFERROR(INDEX(customers[country], MATCH(orders[[#This Row],[customer_id]], customers[customer_id], 0)), "Unmapped")</f>
        <v>Lithuania</v>
      </c>
      <c r="G5672" t="str">
        <f>IFERROR(INDEX(Region_Map[Region], MATCH(orders[[#This Row],[Customer_Country]], Region_Map[Country], 0)), "Unknown")</f>
        <v>Baltics</v>
      </c>
      <c r="H5672" t="s">
        <v>6949</v>
      </c>
    </row>
    <row r="5673" spans="1:8">
      <c r="A5673" t="s">
        <v>6563</v>
      </c>
      <c r="B5673" t="s">
        <v>371</v>
      </c>
      <c r="C5673" s="1">
        <v>45032</v>
      </c>
      <c r="D5673" s="1" t="str">
        <f>PROPER(orders[[#This Row],[order_priority]])</f>
        <v>Same Day</v>
      </c>
      <c r="E5673" t="s">
        <v>13322</v>
      </c>
      <c r="F5673" t="str">
        <f>IFERROR(INDEX(customers[country], MATCH(orders[[#This Row],[customer_id]], customers[customer_id], 0)), "Unmapped")</f>
        <v>Germany</v>
      </c>
      <c r="G5673" t="str">
        <f>IFERROR(INDEX(Region_Map[Region], MATCH(orders[[#This Row],[Customer_Country]], Region_Map[Country], 0)), "Unknown")</f>
        <v>Central Europe</v>
      </c>
      <c r="H5673" t="s">
        <v>6949</v>
      </c>
    </row>
    <row r="5674" spans="1:8">
      <c r="A5674" t="s">
        <v>6564</v>
      </c>
      <c r="B5674" t="s">
        <v>84</v>
      </c>
      <c r="C5674" s="1">
        <v>45260</v>
      </c>
      <c r="D5674" s="1" t="str">
        <f>PROPER(orders[[#This Row],[order_priority]])</f>
        <v>Economy</v>
      </c>
      <c r="E5674" t="s">
        <v>13316</v>
      </c>
      <c r="F5674" t="str">
        <f>IFERROR(INDEX(customers[country], MATCH(orders[[#This Row],[customer_id]], customers[customer_id], 0)), "Unmapped")</f>
        <v>Lithuania</v>
      </c>
      <c r="G5674" t="str">
        <f>IFERROR(INDEX(Region_Map[Region], MATCH(orders[[#This Row],[Customer_Country]], Region_Map[Country], 0)), "Unknown")</f>
        <v>Baltics</v>
      </c>
      <c r="H5674" t="s">
        <v>6949</v>
      </c>
    </row>
    <row r="5675" spans="1:8">
      <c r="A5675" t="s">
        <v>6565</v>
      </c>
      <c r="B5675" t="s">
        <v>243</v>
      </c>
      <c r="C5675" s="1">
        <v>45070</v>
      </c>
      <c r="D5675" s="1" t="str">
        <f>PROPER(orders[[#This Row],[order_priority]])</f>
        <v>Express</v>
      </c>
      <c r="E5675" t="s">
        <v>13318</v>
      </c>
      <c r="F5675" t="str">
        <f>IFERROR(INDEX(customers[country], MATCH(orders[[#This Row],[customer_id]], customers[customer_id], 0)), "Unmapped")</f>
        <v>Netherlands</v>
      </c>
      <c r="G5675" t="str">
        <f>IFERROR(INDEX(Region_Map[Region], MATCH(orders[[#This Row],[Customer_Country]], Region_Map[Country], 0)), "Unknown")</f>
        <v>Central Europe</v>
      </c>
      <c r="H5675" t="s">
        <v>6949</v>
      </c>
    </row>
    <row r="5676" spans="1:8">
      <c r="A5676" t="s">
        <v>6566</v>
      </c>
      <c r="B5676" t="s">
        <v>294</v>
      </c>
      <c r="C5676" s="1">
        <v>44977</v>
      </c>
      <c r="D5676" s="1" t="str">
        <f>PROPER(orders[[#This Row],[order_priority]])</f>
        <v>Standard</v>
      </c>
      <c r="E5676" t="s">
        <v>13317</v>
      </c>
      <c r="F5676" t="str">
        <f>IFERROR(INDEX(customers[country], MATCH(orders[[#This Row],[customer_id]], customers[customer_id], 0)), "Unmapped")</f>
        <v>Denmark</v>
      </c>
      <c r="G5676" t="str">
        <f>IFERROR(INDEX(Region_Map[Region], MATCH(orders[[#This Row],[Customer_Country]], Region_Map[Country], 0)), "Unknown")</f>
        <v>Nordics</v>
      </c>
      <c r="H5676" t="s">
        <v>6949</v>
      </c>
    </row>
    <row r="5677" spans="1:8">
      <c r="A5677" t="s">
        <v>6567</v>
      </c>
      <c r="B5677" t="s">
        <v>746</v>
      </c>
      <c r="C5677" s="1">
        <v>45035</v>
      </c>
      <c r="D5677" s="1" t="str">
        <f>PROPER(orders[[#This Row],[order_priority]])</f>
        <v>Economy</v>
      </c>
      <c r="E5677" t="s">
        <v>13316</v>
      </c>
      <c r="F5677" t="str">
        <f>IFERROR(INDEX(customers[country], MATCH(orders[[#This Row],[customer_id]], customers[customer_id], 0)), "Unmapped")</f>
        <v>Poland</v>
      </c>
      <c r="G5677" t="str">
        <f>IFERROR(INDEX(Region_Map[Region], MATCH(orders[[#This Row],[Customer_Country]], Region_Map[Country], 0)), "Unknown")</f>
        <v>Central Europe</v>
      </c>
      <c r="H5677" t="s">
        <v>6949</v>
      </c>
    </row>
    <row r="5678" spans="1:8">
      <c r="A5678" t="s">
        <v>6568</v>
      </c>
      <c r="B5678" t="s">
        <v>476</v>
      </c>
      <c r="C5678" s="1">
        <v>45540</v>
      </c>
      <c r="D5678" s="1" t="str">
        <f>PROPER(orders[[#This Row],[order_priority]])</f>
        <v>Economy</v>
      </c>
      <c r="E5678" t="s">
        <v>13316</v>
      </c>
      <c r="F5678" t="str">
        <f>IFERROR(INDEX(customers[country], MATCH(orders[[#This Row],[customer_id]], customers[customer_id], 0)), "Unmapped")</f>
        <v>Norway</v>
      </c>
      <c r="G5678" t="str">
        <f>IFERROR(INDEX(Region_Map[Region], MATCH(orders[[#This Row],[Customer_Country]], Region_Map[Country], 0)), "Unknown")</f>
        <v>Nordics</v>
      </c>
      <c r="H5678" t="s">
        <v>6949</v>
      </c>
    </row>
    <row r="5679" spans="1:8">
      <c r="A5679" t="s">
        <v>6569</v>
      </c>
      <c r="B5679" t="s">
        <v>755</v>
      </c>
      <c r="C5679" s="1">
        <v>45386</v>
      </c>
      <c r="D5679" s="1" t="str">
        <f>PROPER(orders[[#This Row],[order_priority]])</f>
        <v>Economy</v>
      </c>
      <c r="E5679" t="s">
        <v>13316</v>
      </c>
      <c r="F5679" t="str">
        <f>IFERROR(INDEX(customers[country], MATCH(orders[[#This Row],[customer_id]], customers[customer_id], 0)), "Unmapped")</f>
        <v>Denmark</v>
      </c>
      <c r="G5679" t="str">
        <f>IFERROR(INDEX(Region_Map[Region], MATCH(orders[[#This Row],[Customer_Country]], Region_Map[Country], 0)), "Unknown")</f>
        <v>Nordics</v>
      </c>
      <c r="H5679" t="s">
        <v>6949</v>
      </c>
    </row>
    <row r="5680" spans="1:8">
      <c r="A5680" t="s">
        <v>6570</v>
      </c>
      <c r="B5680" t="s">
        <v>799</v>
      </c>
      <c r="C5680" s="1">
        <v>45417</v>
      </c>
      <c r="D5680" s="1" t="str">
        <f>PROPER(orders[[#This Row],[order_priority]])</f>
        <v>Standard</v>
      </c>
      <c r="E5680" t="s">
        <v>13317</v>
      </c>
      <c r="F5680" t="str">
        <f>IFERROR(INDEX(customers[country], MATCH(orders[[#This Row],[customer_id]], customers[customer_id], 0)), "Unmapped")</f>
        <v>Germany</v>
      </c>
      <c r="G5680" t="str">
        <f>IFERROR(INDEX(Region_Map[Region], MATCH(orders[[#This Row],[Customer_Country]], Region_Map[Country], 0)), "Unknown")</f>
        <v>Central Europe</v>
      </c>
      <c r="H5680" t="s">
        <v>6949</v>
      </c>
    </row>
    <row r="5681" spans="1:8">
      <c r="A5681" t="s">
        <v>6571</v>
      </c>
      <c r="B5681" t="s">
        <v>581</v>
      </c>
      <c r="C5681" s="1">
        <v>45008</v>
      </c>
      <c r="D5681" s="1" t="str">
        <f>PROPER(orders[[#This Row],[order_priority]])</f>
        <v>Economy</v>
      </c>
      <c r="E5681" t="s">
        <v>13316</v>
      </c>
      <c r="F5681" t="str">
        <f>IFERROR(INDEX(customers[country], MATCH(orders[[#This Row],[customer_id]], customers[customer_id], 0)), "Unmapped")</f>
        <v>Norway</v>
      </c>
      <c r="G5681" t="str">
        <f>IFERROR(INDEX(Region_Map[Region], MATCH(orders[[#This Row],[Customer_Country]], Region_Map[Country], 0)), "Unknown")</f>
        <v>Nordics</v>
      </c>
      <c r="H5681" t="s">
        <v>6949</v>
      </c>
    </row>
    <row r="5682" spans="1:8">
      <c r="A5682" t="s">
        <v>6572</v>
      </c>
      <c r="B5682" t="s">
        <v>222</v>
      </c>
      <c r="C5682" s="1">
        <v>45324</v>
      </c>
      <c r="D5682" s="1" t="str">
        <f>PROPER(orders[[#This Row],[order_priority]])</f>
        <v>Economy</v>
      </c>
      <c r="E5682" t="s">
        <v>13316</v>
      </c>
      <c r="F5682" t="str">
        <f>IFERROR(INDEX(customers[country], MATCH(orders[[#This Row],[customer_id]], customers[customer_id], 0)), "Unmapped")</f>
        <v>Norway</v>
      </c>
      <c r="G5682" t="str">
        <f>IFERROR(INDEX(Region_Map[Region], MATCH(orders[[#This Row],[Customer_Country]], Region_Map[Country], 0)), "Unknown")</f>
        <v>Nordics</v>
      </c>
      <c r="H5682" t="s">
        <v>6949</v>
      </c>
    </row>
    <row r="5683" spans="1:8">
      <c r="A5683" t="s">
        <v>6573</v>
      </c>
      <c r="B5683" t="s">
        <v>291</v>
      </c>
      <c r="C5683" s="1">
        <v>45439</v>
      </c>
      <c r="D5683" s="1" t="str">
        <f>PROPER(orders[[#This Row],[order_priority]])</f>
        <v>Standard</v>
      </c>
      <c r="E5683" t="s">
        <v>13317</v>
      </c>
      <c r="F5683" t="str">
        <f>IFERROR(INDEX(customers[country], MATCH(orders[[#This Row],[customer_id]], customers[customer_id], 0)), "Unmapped")</f>
        <v>Poland</v>
      </c>
      <c r="G5683" t="str">
        <f>IFERROR(INDEX(Region_Map[Region], MATCH(orders[[#This Row],[Customer_Country]], Region_Map[Country], 0)), "Unknown")</f>
        <v>Central Europe</v>
      </c>
      <c r="H5683" t="s">
        <v>6949</v>
      </c>
    </row>
    <row r="5684" spans="1:8">
      <c r="A5684" t="s">
        <v>6574</v>
      </c>
      <c r="B5684" t="s">
        <v>240</v>
      </c>
      <c r="C5684" s="1">
        <v>45293</v>
      </c>
      <c r="D5684" s="1" t="str">
        <f>PROPER(orders[[#This Row],[order_priority]])</f>
        <v>Express</v>
      </c>
      <c r="E5684" t="s">
        <v>13318</v>
      </c>
      <c r="F5684" t="str">
        <f>IFERROR(INDEX(customers[country], MATCH(orders[[#This Row],[customer_id]], customers[customer_id], 0)), "Unmapped")</f>
        <v>Lithuania</v>
      </c>
      <c r="G5684" t="str">
        <f>IFERROR(INDEX(Region_Map[Region], MATCH(orders[[#This Row],[Customer_Country]], Region_Map[Country], 0)), "Unknown")</f>
        <v>Baltics</v>
      </c>
      <c r="H5684" t="s">
        <v>6949</v>
      </c>
    </row>
    <row r="5685" spans="1:8">
      <c r="A5685" t="s">
        <v>6575</v>
      </c>
      <c r="B5685" t="s">
        <v>799</v>
      </c>
      <c r="C5685" s="1">
        <v>45224</v>
      </c>
      <c r="D5685" s="1" t="str">
        <f>PROPER(orders[[#This Row],[order_priority]])</f>
        <v>Same Day</v>
      </c>
      <c r="E5685" t="s">
        <v>13321</v>
      </c>
      <c r="F5685" t="str">
        <f>IFERROR(INDEX(customers[country], MATCH(orders[[#This Row],[customer_id]], customers[customer_id], 0)), "Unmapped")</f>
        <v>Germany</v>
      </c>
      <c r="G5685" t="str">
        <f>IFERROR(INDEX(Region_Map[Region], MATCH(orders[[#This Row],[Customer_Country]], Region_Map[Country], 0)), "Unknown")</f>
        <v>Central Europe</v>
      </c>
      <c r="H5685" t="s">
        <v>6949</v>
      </c>
    </row>
    <row r="5686" spans="1:8">
      <c r="A5686" t="s">
        <v>6576</v>
      </c>
      <c r="B5686" t="s">
        <v>813</v>
      </c>
      <c r="C5686" s="1">
        <v>45039</v>
      </c>
      <c r="D5686" s="1" t="str">
        <f>PROPER(orders[[#This Row],[order_priority]])</f>
        <v>Express</v>
      </c>
      <c r="E5686" t="s">
        <v>13318</v>
      </c>
      <c r="F5686" t="str">
        <f>IFERROR(INDEX(customers[country], MATCH(orders[[#This Row],[customer_id]], customers[customer_id], 0)), "Unmapped")</f>
        <v>Norway</v>
      </c>
      <c r="G5686" t="str">
        <f>IFERROR(INDEX(Region_Map[Region], MATCH(orders[[#This Row],[Customer_Country]], Region_Map[Country], 0)), "Unknown")</f>
        <v>Nordics</v>
      </c>
      <c r="H5686" t="s">
        <v>6949</v>
      </c>
    </row>
    <row r="5687" spans="1:8">
      <c r="A5687" t="s">
        <v>6577</v>
      </c>
      <c r="B5687" t="s">
        <v>816</v>
      </c>
      <c r="C5687" s="1">
        <v>45442</v>
      </c>
      <c r="D5687" s="1" t="str">
        <f>PROPER(orders[[#This Row],[order_priority]])</f>
        <v>Same Day</v>
      </c>
      <c r="E5687" t="s">
        <v>13322</v>
      </c>
      <c r="F5687" t="str">
        <f>IFERROR(INDEX(customers[country], MATCH(orders[[#This Row],[customer_id]], customers[customer_id], 0)), "Unmapped")</f>
        <v>Lithuania</v>
      </c>
      <c r="G5687" t="str">
        <f>IFERROR(INDEX(Region_Map[Region], MATCH(orders[[#This Row],[Customer_Country]], Region_Map[Country], 0)), "Unknown")</f>
        <v>Baltics</v>
      </c>
      <c r="H5687" t="s">
        <v>6949</v>
      </c>
    </row>
    <row r="5688" spans="1:8">
      <c r="A5688" t="s">
        <v>6578</v>
      </c>
      <c r="B5688" t="s">
        <v>121</v>
      </c>
      <c r="C5688" s="1">
        <v>45169</v>
      </c>
      <c r="D5688" s="1" t="str">
        <f>PROPER(orders[[#This Row],[order_priority]])</f>
        <v>Same Day</v>
      </c>
      <c r="E5688" t="s">
        <v>13322</v>
      </c>
      <c r="F5688" t="str">
        <f>IFERROR(INDEX(customers[country], MATCH(orders[[#This Row],[customer_id]], customers[customer_id], 0)), "Unmapped")</f>
        <v>Estonia</v>
      </c>
      <c r="G5688" t="str">
        <f>IFERROR(INDEX(Region_Map[Region], MATCH(orders[[#This Row],[Customer_Country]], Region_Map[Country], 0)), "Unknown")</f>
        <v>Baltics</v>
      </c>
      <c r="H5688" t="s">
        <v>6949</v>
      </c>
    </row>
    <row r="5689" spans="1:8">
      <c r="A5689" t="s">
        <v>6579</v>
      </c>
      <c r="B5689" t="s">
        <v>249</v>
      </c>
      <c r="C5689" s="1">
        <v>45560</v>
      </c>
      <c r="D5689" s="1" t="str">
        <f>PROPER(orders[[#This Row],[order_priority]])</f>
        <v>Same Day</v>
      </c>
      <c r="E5689" t="s">
        <v>13322</v>
      </c>
      <c r="F5689" t="str">
        <f>IFERROR(INDEX(customers[country], MATCH(orders[[#This Row],[customer_id]], customers[customer_id], 0)), "Unmapped")</f>
        <v>Estonia</v>
      </c>
      <c r="G5689" t="str">
        <f>IFERROR(INDEX(Region_Map[Region], MATCH(orders[[#This Row],[Customer_Country]], Region_Map[Country], 0)), "Unknown")</f>
        <v>Baltics</v>
      </c>
      <c r="H5689" t="s">
        <v>6949</v>
      </c>
    </row>
    <row r="5690" spans="1:8">
      <c r="A5690" t="s">
        <v>6580</v>
      </c>
      <c r="B5690" t="s">
        <v>772</v>
      </c>
      <c r="C5690" s="1">
        <v>44995</v>
      </c>
      <c r="D5690" s="1" t="str">
        <f>PROPER(orders[[#This Row],[order_priority]])</f>
        <v>Same Day</v>
      </c>
      <c r="E5690" t="s">
        <v>13322</v>
      </c>
      <c r="F5690" t="str">
        <f>IFERROR(INDEX(customers[country], MATCH(orders[[#This Row],[customer_id]], customers[customer_id], 0)), "Unmapped")</f>
        <v>Estonia</v>
      </c>
      <c r="G5690" t="str">
        <f>IFERROR(INDEX(Region_Map[Region], MATCH(orders[[#This Row],[Customer_Country]], Region_Map[Country], 0)), "Unknown")</f>
        <v>Baltics</v>
      </c>
      <c r="H5690" t="s">
        <v>6949</v>
      </c>
    </row>
    <row r="5691" spans="1:8">
      <c r="A5691" t="s">
        <v>6581</v>
      </c>
      <c r="B5691" t="s">
        <v>34</v>
      </c>
      <c r="C5691" s="1">
        <v>45085</v>
      </c>
      <c r="D5691" s="1" t="str">
        <f>PROPER(orders[[#This Row],[order_priority]])</f>
        <v>Same Day</v>
      </c>
      <c r="E5691" t="s">
        <v>13322</v>
      </c>
      <c r="F5691" t="str">
        <f>IFERROR(INDEX(customers[country], MATCH(orders[[#This Row],[customer_id]], customers[customer_id], 0)), "Unmapped")</f>
        <v>Sweden</v>
      </c>
      <c r="G5691" t="str">
        <f>IFERROR(INDEX(Region_Map[Region], MATCH(orders[[#This Row],[Customer_Country]], Region_Map[Country], 0)), "Unknown")</f>
        <v>Nordics</v>
      </c>
      <c r="H5691" t="s">
        <v>6949</v>
      </c>
    </row>
    <row r="5692" spans="1:8">
      <c r="A5692" t="s">
        <v>6582</v>
      </c>
      <c r="B5692" t="s">
        <v>808</v>
      </c>
      <c r="C5692" s="1">
        <v>45273</v>
      </c>
      <c r="D5692" s="1" t="str">
        <f>PROPER(orders[[#This Row],[order_priority]])</f>
        <v>Standard</v>
      </c>
      <c r="E5692" t="s">
        <v>13317</v>
      </c>
      <c r="F5692" t="str">
        <f>IFERROR(INDEX(customers[country], MATCH(orders[[#This Row],[customer_id]], customers[customer_id], 0)), "Unmapped")</f>
        <v>Sweden</v>
      </c>
      <c r="G5692" t="str">
        <f>IFERROR(INDEX(Region_Map[Region], MATCH(orders[[#This Row],[Customer_Country]], Region_Map[Country], 0)), "Unknown")</f>
        <v>Nordics</v>
      </c>
      <c r="H5692" t="s">
        <v>6949</v>
      </c>
    </row>
    <row r="5693" spans="1:8">
      <c r="A5693" t="s">
        <v>6583</v>
      </c>
      <c r="B5693" t="s">
        <v>673</v>
      </c>
      <c r="C5693" s="1">
        <v>44946</v>
      </c>
      <c r="D5693" s="1" t="str">
        <f>PROPER(orders[[#This Row],[order_priority]])</f>
        <v>Standard</v>
      </c>
      <c r="E5693" t="s">
        <v>13317</v>
      </c>
      <c r="F5693" t="str">
        <f>IFERROR(INDEX(customers[country], MATCH(orders[[#This Row],[customer_id]], customers[customer_id], 0)), "Unmapped")</f>
        <v>Sweden</v>
      </c>
      <c r="G5693" t="str">
        <f>IFERROR(INDEX(Region_Map[Region], MATCH(orders[[#This Row],[Customer_Country]], Region_Map[Country], 0)), "Unknown")</f>
        <v>Nordics</v>
      </c>
      <c r="H5693" t="s">
        <v>6949</v>
      </c>
    </row>
    <row r="5694" spans="1:8">
      <c r="A5694" t="s">
        <v>6584</v>
      </c>
      <c r="B5694" t="s">
        <v>425</v>
      </c>
      <c r="C5694" s="1">
        <v>45468</v>
      </c>
      <c r="D5694" s="1" t="str">
        <f>PROPER(orders[[#This Row],[order_priority]])</f>
        <v>Economy</v>
      </c>
      <c r="E5694" t="s">
        <v>13316</v>
      </c>
      <c r="F5694" t="str">
        <f>IFERROR(INDEX(customers[country], MATCH(orders[[#This Row],[customer_id]], customers[customer_id], 0)), "Unmapped")</f>
        <v>Denmark</v>
      </c>
      <c r="G5694" t="str">
        <f>IFERROR(INDEX(Region_Map[Region], MATCH(orders[[#This Row],[Customer_Country]], Region_Map[Country], 0)), "Unknown")</f>
        <v>Nordics</v>
      </c>
      <c r="H5694" t="s">
        <v>6949</v>
      </c>
    </row>
    <row r="5695" spans="1:8">
      <c r="A5695" t="s">
        <v>6585</v>
      </c>
      <c r="B5695" t="s">
        <v>635</v>
      </c>
      <c r="C5695" s="1">
        <v>45423</v>
      </c>
      <c r="D5695" s="1" t="str">
        <f>PROPER(orders[[#This Row],[order_priority]])</f>
        <v>Express</v>
      </c>
      <c r="E5695" t="s">
        <v>13326</v>
      </c>
      <c r="F5695" t="str">
        <f>IFERROR(INDEX(customers[country], MATCH(orders[[#This Row],[customer_id]], customers[customer_id], 0)), "Unmapped")</f>
        <v>Latvia</v>
      </c>
      <c r="G5695" t="str">
        <f>IFERROR(INDEX(Region_Map[Region], MATCH(orders[[#This Row],[Customer_Country]], Region_Map[Country], 0)), "Unknown")</f>
        <v>Baltics</v>
      </c>
      <c r="H5695" t="s">
        <v>6949</v>
      </c>
    </row>
    <row r="5696" spans="1:8">
      <c r="A5696" t="s">
        <v>6586</v>
      </c>
      <c r="B5696" t="s">
        <v>497</v>
      </c>
      <c r="C5696" s="1">
        <v>45451</v>
      </c>
      <c r="D5696" s="1" t="str">
        <f>PROPER(orders[[#This Row],[order_priority]])</f>
        <v>Express</v>
      </c>
      <c r="E5696" t="s">
        <v>13318</v>
      </c>
      <c r="F5696" t="str">
        <f>IFERROR(INDEX(customers[country], MATCH(orders[[#This Row],[customer_id]], customers[customer_id], 0)), "Unmapped")</f>
        <v>Germany</v>
      </c>
      <c r="G5696" t="str">
        <f>IFERROR(INDEX(Region_Map[Region], MATCH(orders[[#This Row],[Customer_Country]], Region_Map[Country], 0)), "Unknown")</f>
        <v>Central Europe</v>
      </c>
      <c r="H5696" t="s">
        <v>6949</v>
      </c>
    </row>
    <row r="5697" spans="1:8">
      <c r="A5697" t="s">
        <v>6587</v>
      </c>
      <c r="B5697" t="s">
        <v>166</v>
      </c>
      <c r="C5697" s="1">
        <v>45430</v>
      </c>
      <c r="D5697" s="1" t="str">
        <f>PROPER(orders[[#This Row],[order_priority]])</f>
        <v>Same Day</v>
      </c>
      <c r="E5697" t="s">
        <v>13322</v>
      </c>
      <c r="F5697" t="str">
        <f>IFERROR(INDEX(customers[country], MATCH(orders[[#This Row],[customer_id]], customers[customer_id], 0)), "Unmapped")</f>
        <v>Denmark</v>
      </c>
      <c r="G5697" t="str">
        <f>IFERROR(INDEX(Region_Map[Region], MATCH(orders[[#This Row],[Customer_Country]], Region_Map[Country], 0)), "Unknown")</f>
        <v>Nordics</v>
      </c>
      <c r="H5697" t="s">
        <v>6949</v>
      </c>
    </row>
    <row r="5698" spans="1:8">
      <c r="A5698" t="s">
        <v>6588</v>
      </c>
      <c r="B5698" t="s">
        <v>733</v>
      </c>
      <c r="C5698" s="1">
        <v>44953</v>
      </c>
      <c r="D5698" s="1" t="str">
        <f>PROPER(orders[[#This Row],[order_priority]])</f>
        <v>Economy</v>
      </c>
      <c r="E5698" t="s">
        <v>13316</v>
      </c>
      <c r="F5698" t="str">
        <f>IFERROR(INDEX(customers[country], MATCH(orders[[#This Row],[customer_id]], customers[customer_id], 0)), "Unmapped")</f>
        <v>Lithuania</v>
      </c>
      <c r="G5698" t="str">
        <f>IFERROR(INDEX(Region_Map[Region], MATCH(orders[[#This Row],[Customer_Country]], Region_Map[Country], 0)), "Unknown")</f>
        <v>Baltics</v>
      </c>
      <c r="H5698" t="s">
        <v>6949</v>
      </c>
    </row>
    <row r="5699" spans="1:8">
      <c r="A5699" t="s">
        <v>6589</v>
      </c>
      <c r="B5699" t="s">
        <v>434</v>
      </c>
      <c r="C5699" s="1">
        <v>44941</v>
      </c>
      <c r="D5699" s="1" t="str">
        <f>PROPER(orders[[#This Row],[order_priority]])</f>
        <v>Same Day</v>
      </c>
      <c r="E5699" t="s">
        <v>13322</v>
      </c>
      <c r="F5699" t="str">
        <f>IFERROR(INDEX(customers[country], MATCH(orders[[#This Row],[customer_id]], customers[customer_id], 0)), "Unmapped")</f>
        <v>Lithuania</v>
      </c>
      <c r="G5699" t="str">
        <f>IFERROR(INDEX(Region_Map[Region], MATCH(orders[[#This Row],[Customer_Country]], Region_Map[Country], 0)), "Unknown")</f>
        <v>Baltics</v>
      </c>
      <c r="H5699" t="s">
        <v>6949</v>
      </c>
    </row>
    <row r="5700" spans="1:8">
      <c r="A5700" t="s">
        <v>6590</v>
      </c>
      <c r="B5700" t="s">
        <v>712</v>
      </c>
      <c r="C5700" s="1">
        <v>45493</v>
      </c>
      <c r="D5700" s="1" t="str">
        <f>PROPER(orders[[#This Row],[order_priority]])</f>
        <v>Same Day</v>
      </c>
      <c r="E5700" t="s">
        <v>13322</v>
      </c>
      <c r="F5700" t="str">
        <f>IFERROR(INDEX(customers[country], MATCH(orders[[#This Row],[customer_id]], customers[customer_id], 0)), "Unmapped")</f>
        <v>Finland</v>
      </c>
      <c r="G5700" t="str">
        <f>IFERROR(INDEX(Region_Map[Region], MATCH(orders[[#This Row],[Customer_Country]], Region_Map[Country], 0)), "Unknown")</f>
        <v>Nordics</v>
      </c>
      <c r="H5700" t="s">
        <v>6949</v>
      </c>
    </row>
    <row r="5701" spans="1:8">
      <c r="A5701" t="s">
        <v>6591</v>
      </c>
      <c r="B5701" t="s">
        <v>741</v>
      </c>
      <c r="C5701" s="1">
        <v>45404</v>
      </c>
      <c r="D5701" s="1" t="str">
        <f>PROPER(orders[[#This Row],[order_priority]])</f>
        <v>Express</v>
      </c>
      <c r="E5701" t="s">
        <v>13318</v>
      </c>
      <c r="F5701" t="str">
        <f>IFERROR(INDEX(customers[country], MATCH(orders[[#This Row],[customer_id]], customers[customer_id], 0)), "Unmapped")</f>
        <v>Germany</v>
      </c>
      <c r="G5701" t="str">
        <f>IFERROR(INDEX(Region_Map[Region], MATCH(orders[[#This Row],[Customer_Country]], Region_Map[Country], 0)), "Unknown")</f>
        <v>Central Europe</v>
      </c>
      <c r="H5701" t="s">
        <v>6949</v>
      </c>
    </row>
    <row r="5702" spans="1:8">
      <c r="A5702" t="s">
        <v>6592</v>
      </c>
      <c r="B5702" t="s">
        <v>802</v>
      </c>
      <c r="C5702" s="1">
        <v>45012</v>
      </c>
      <c r="D5702" s="1" t="str">
        <f>PROPER(orders[[#This Row],[order_priority]])</f>
        <v>Express</v>
      </c>
      <c r="E5702" t="s">
        <v>13318</v>
      </c>
      <c r="F5702" t="str">
        <f>IFERROR(INDEX(customers[country], MATCH(orders[[#This Row],[customer_id]], customers[customer_id], 0)), "Unmapped")</f>
        <v>Poland</v>
      </c>
      <c r="G5702" t="str">
        <f>IFERROR(INDEX(Region_Map[Region], MATCH(orders[[#This Row],[Customer_Country]], Region_Map[Country], 0)), "Unknown")</f>
        <v>Central Europe</v>
      </c>
      <c r="H5702" t="s">
        <v>6949</v>
      </c>
    </row>
    <row r="5703" spans="1:8">
      <c r="A5703" t="s">
        <v>6593</v>
      </c>
      <c r="B5703" t="s">
        <v>515</v>
      </c>
      <c r="C5703" s="1">
        <v>45436</v>
      </c>
      <c r="D5703" s="1" t="str">
        <f>PROPER(orders[[#This Row],[order_priority]])</f>
        <v>Express</v>
      </c>
      <c r="E5703" t="s">
        <v>13318</v>
      </c>
      <c r="F5703" t="str">
        <f>IFERROR(INDEX(customers[country], MATCH(orders[[#This Row],[customer_id]], customers[customer_id], 0)), "Unmapped")</f>
        <v>Latvia</v>
      </c>
      <c r="G5703" t="str">
        <f>IFERROR(INDEX(Region_Map[Region], MATCH(orders[[#This Row],[Customer_Country]], Region_Map[Country], 0)), "Unknown")</f>
        <v>Baltics</v>
      </c>
      <c r="H5703" t="s">
        <v>6949</v>
      </c>
    </row>
    <row r="5704" spans="1:8">
      <c r="A5704" t="s">
        <v>6594</v>
      </c>
      <c r="B5704" t="s">
        <v>148</v>
      </c>
      <c r="C5704" s="1">
        <v>45291</v>
      </c>
      <c r="D5704" s="1" t="str">
        <f>PROPER(orders[[#This Row],[order_priority]])</f>
        <v>Standard</v>
      </c>
      <c r="E5704" t="s">
        <v>13317</v>
      </c>
      <c r="F5704" t="str">
        <f>IFERROR(INDEX(customers[country], MATCH(orders[[#This Row],[customer_id]], customers[customer_id], 0)), "Unmapped")</f>
        <v>Poland</v>
      </c>
      <c r="G5704" t="str">
        <f>IFERROR(INDEX(Region_Map[Region], MATCH(orders[[#This Row],[Customer_Country]], Region_Map[Country], 0)), "Unknown")</f>
        <v>Central Europe</v>
      </c>
      <c r="H5704" t="s">
        <v>6949</v>
      </c>
    </row>
    <row r="5705" spans="1:8">
      <c r="A5705" t="s">
        <v>6595</v>
      </c>
      <c r="B5705" t="s">
        <v>6949</v>
      </c>
      <c r="C5705" s="1">
        <v>44928</v>
      </c>
      <c r="D5705" s="1" t="str">
        <f>PROPER(orders[[#This Row],[order_priority]])</f>
        <v>Express</v>
      </c>
      <c r="E5705" t="s">
        <v>13318</v>
      </c>
      <c r="F5705" t="str">
        <f>IFERROR(INDEX(customers[country], MATCH(orders[[#This Row],[customer_id]], customers[customer_id], 0)), "Unmapped")</f>
        <v>Unmapped</v>
      </c>
      <c r="G5705" t="str">
        <f>IFERROR(INDEX(Region_Map[Region], MATCH(orders[[#This Row],[Customer_Country]], Region_Map[Country], 0)), "Unknown")</f>
        <v>Unknown</v>
      </c>
      <c r="H5705" t="s">
        <v>6949</v>
      </c>
    </row>
    <row r="5706" spans="1:8">
      <c r="A5706" t="s">
        <v>6596</v>
      </c>
      <c r="B5706" t="s">
        <v>30</v>
      </c>
      <c r="C5706" s="1">
        <v>45293</v>
      </c>
      <c r="D5706" s="1" t="str">
        <f>PROPER(orders[[#This Row],[order_priority]])</f>
        <v>Economy</v>
      </c>
      <c r="E5706" t="s">
        <v>13316</v>
      </c>
      <c r="F5706" t="str">
        <f>IFERROR(INDEX(customers[country], MATCH(orders[[#This Row],[customer_id]], customers[customer_id], 0)), "Unmapped")</f>
        <v>Netherlands</v>
      </c>
      <c r="G5706" t="str">
        <f>IFERROR(INDEX(Region_Map[Region], MATCH(orders[[#This Row],[Customer_Country]], Region_Map[Country], 0)), "Unknown")</f>
        <v>Central Europe</v>
      </c>
      <c r="H5706" t="s">
        <v>6949</v>
      </c>
    </row>
    <row r="5707" spans="1:8">
      <c r="A5707" t="s">
        <v>6597</v>
      </c>
      <c r="B5707" t="s">
        <v>787</v>
      </c>
      <c r="C5707" s="1">
        <v>45130</v>
      </c>
      <c r="D5707" s="1" t="str">
        <f>PROPER(orders[[#This Row],[order_priority]])</f>
        <v>Same Day</v>
      </c>
      <c r="E5707" t="s">
        <v>13322</v>
      </c>
      <c r="F5707" t="str">
        <f>IFERROR(INDEX(customers[country], MATCH(orders[[#This Row],[customer_id]], customers[customer_id], 0)), "Unmapped")</f>
        <v>Netherlands</v>
      </c>
      <c r="G5707" t="str">
        <f>IFERROR(INDEX(Region_Map[Region], MATCH(orders[[#This Row],[Customer_Country]], Region_Map[Country], 0)), "Unknown")</f>
        <v>Central Europe</v>
      </c>
      <c r="H5707" t="s">
        <v>6949</v>
      </c>
    </row>
    <row r="5708" spans="1:8">
      <c r="A5708" t="s">
        <v>6598</v>
      </c>
      <c r="B5708" t="s">
        <v>694</v>
      </c>
      <c r="C5708" s="1">
        <v>45568</v>
      </c>
      <c r="D5708" s="1" t="str">
        <f>PROPER(orders[[#This Row],[order_priority]])</f>
        <v>Express</v>
      </c>
      <c r="E5708" t="s">
        <v>13318</v>
      </c>
      <c r="F5708" t="str">
        <f>IFERROR(INDEX(customers[country], MATCH(orders[[#This Row],[customer_id]], customers[customer_id], 0)), "Unmapped")</f>
        <v>Lithuania</v>
      </c>
      <c r="G5708" t="str">
        <f>IFERROR(INDEX(Region_Map[Region], MATCH(orders[[#This Row],[Customer_Country]], Region_Map[Country], 0)), "Unknown")</f>
        <v>Baltics</v>
      </c>
      <c r="H5708" t="s">
        <v>6949</v>
      </c>
    </row>
    <row r="5709" spans="1:8">
      <c r="A5709" t="s">
        <v>6599</v>
      </c>
      <c r="B5709" t="s">
        <v>288</v>
      </c>
      <c r="C5709" s="1">
        <v>45212</v>
      </c>
      <c r="D5709" s="1" t="str">
        <f>PROPER(orders[[#This Row],[order_priority]])</f>
        <v>Express</v>
      </c>
      <c r="E5709" t="s">
        <v>13318</v>
      </c>
      <c r="F5709" t="str">
        <f>IFERROR(INDEX(customers[country], MATCH(orders[[#This Row],[customer_id]], customers[customer_id], 0)), "Unmapped")</f>
        <v>Netherlands</v>
      </c>
      <c r="G5709" t="str">
        <f>IFERROR(INDEX(Region_Map[Region], MATCH(orders[[#This Row],[Customer_Country]], Region_Map[Country], 0)), "Unknown")</f>
        <v>Central Europe</v>
      </c>
      <c r="H5709" t="s">
        <v>6949</v>
      </c>
    </row>
    <row r="5710" spans="1:8">
      <c r="A5710" t="s">
        <v>6600</v>
      </c>
      <c r="B5710" t="s">
        <v>623</v>
      </c>
      <c r="C5710" s="1">
        <v>45547</v>
      </c>
      <c r="D5710" s="1" t="str">
        <f>PROPER(orders[[#This Row],[order_priority]])</f>
        <v>Standard</v>
      </c>
      <c r="E5710" t="s">
        <v>13317</v>
      </c>
      <c r="F5710" t="str">
        <f>IFERROR(INDEX(customers[country], MATCH(orders[[#This Row],[customer_id]], customers[customer_id], 0)), "Unmapped")</f>
        <v>Denmark</v>
      </c>
      <c r="G5710" t="str">
        <f>IFERROR(INDEX(Region_Map[Region], MATCH(orders[[#This Row],[Customer_Country]], Region_Map[Country], 0)), "Unknown")</f>
        <v>Nordics</v>
      </c>
      <c r="H5710" t="s">
        <v>6949</v>
      </c>
    </row>
    <row r="5711" spans="1:8">
      <c r="A5711" t="s">
        <v>6601</v>
      </c>
      <c r="B5711" t="s">
        <v>157</v>
      </c>
      <c r="C5711" s="1">
        <v>45219</v>
      </c>
      <c r="D5711" s="1" t="str">
        <f>PROPER(orders[[#This Row],[order_priority]])</f>
        <v>Standard</v>
      </c>
      <c r="E5711" t="s">
        <v>13317</v>
      </c>
      <c r="F5711" t="str">
        <f>IFERROR(INDEX(customers[country], MATCH(orders[[#This Row],[customer_id]], customers[customer_id], 0)), "Unmapped")</f>
        <v>Lithuania</v>
      </c>
      <c r="G5711" t="str">
        <f>IFERROR(INDEX(Region_Map[Region], MATCH(orders[[#This Row],[Customer_Country]], Region_Map[Country], 0)), "Unknown")</f>
        <v>Baltics</v>
      </c>
      <c r="H5711" t="s">
        <v>6949</v>
      </c>
    </row>
    <row r="5712" spans="1:8">
      <c r="A5712" t="s">
        <v>6602</v>
      </c>
      <c r="B5712" t="s">
        <v>527</v>
      </c>
      <c r="C5712" s="1">
        <v>45375</v>
      </c>
      <c r="D5712" s="1" t="str">
        <f>PROPER(orders[[#This Row],[order_priority]])</f>
        <v>Standard</v>
      </c>
      <c r="E5712" t="s">
        <v>13317</v>
      </c>
      <c r="F5712" t="str">
        <f>IFERROR(INDEX(customers[country], MATCH(orders[[#This Row],[customer_id]], customers[customer_id], 0)), "Unmapped")</f>
        <v>Sweden</v>
      </c>
      <c r="G5712" t="str">
        <f>IFERROR(INDEX(Region_Map[Region], MATCH(orders[[#This Row],[Customer_Country]], Region_Map[Country], 0)), "Unknown")</f>
        <v>Nordics</v>
      </c>
      <c r="H5712" t="s">
        <v>6949</v>
      </c>
    </row>
    <row r="5713" spans="1:8">
      <c r="A5713" t="s">
        <v>6603</v>
      </c>
      <c r="B5713" t="s">
        <v>45</v>
      </c>
      <c r="C5713" s="1">
        <v>44934</v>
      </c>
      <c r="D5713" s="1" t="str">
        <f>PROPER(orders[[#This Row],[order_priority]])</f>
        <v>Standard</v>
      </c>
      <c r="E5713" t="s">
        <v>13317</v>
      </c>
      <c r="F5713" t="str">
        <f>IFERROR(INDEX(customers[country], MATCH(orders[[#This Row],[customer_id]], customers[customer_id], 0)), "Unmapped")</f>
        <v>Netherlands</v>
      </c>
      <c r="G5713" t="str">
        <f>IFERROR(INDEX(Region_Map[Region], MATCH(orders[[#This Row],[Customer_Country]], Region_Map[Country], 0)), "Unknown")</f>
        <v>Central Europe</v>
      </c>
      <c r="H5713" t="s">
        <v>6949</v>
      </c>
    </row>
    <row r="5714" spans="1:8">
      <c r="A5714" t="s">
        <v>6604</v>
      </c>
      <c r="B5714" t="s">
        <v>61</v>
      </c>
      <c r="C5714" s="1">
        <v>44953</v>
      </c>
      <c r="D5714" s="1" t="str">
        <f>PROPER(orders[[#This Row],[order_priority]])</f>
        <v>Standard</v>
      </c>
      <c r="E5714" t="s">
        <v>13317</v>
      </c>
      <c r="F5714" t="str">
        <f>IFERROR(INDEX(customers[country], MATCH(orders[[#This Row],[customer_id]], customers[customer_id], 0)), "Unmapped")</f>
        <v>Netherlands</v>
      </c>
      <c r="G5714" t="str">
        <f>IFERROR(INDEX(Region_Map[Region], MATCH(orders[[#This Row],[Customer_Country]], Region_Map[Country], 0)), "Unknown")</f>
        <v>Central Europe</v>
      </c>
      <c r="H5714" t="s">
        <v>6949</v>
      </c>
    </row>
    <row r="5715" spans="1:8">
      <c r="A5715" t="s">
        <v>6605</v>
      </c>
      <c r="B5715" t="s">
        <v>172</v>
      </c>
      <c r="C5715" s="1">
        <v>45029</v>
      </c>
      <c r="D5715" s="1" t="str">
        <f>PROPER(orders[[#This Row],[order_priority]])</f>
        <v>Economy</v>
      </c>
      <c r="E5715" t="s">
        <v>13316</v>
      </c>
      <c r="F5715" t="str">
        <f>IFERROR(INDEX(customers[country], MATCH(orders[[#This Row],[customer_id]], customers[customer_id], 0)), "Unmapped")</f>
        <v>Denmark</v>
      </c>
      <c r="G5715" t="str">
        <f>IFERROR(INDEX(Region_Map[Region], MATCH(orders[[#This Row],[Customer_Country]], Region_Map[Country], 0)), "Unknown")</f>
        <v>Nordics</v>
      </c>
      <c r="H5715" t="s">
        <v>6949</v>
      </c>
    </row>
    <row r="5716" spans="1:8">
      <c r="A5716" t="s">
        <v>6606</v>
      </c>
      <c r="B5716" t="s">
        <v>335</v>
      </c>
      <c r="C5716" s="1">
        <v>45597</v>
      </c>
      <c r="D5716" s="1" t="str">
        <f>PROPER(orders[[#This Row],[order_priority]])</f>
        <v>Express</v>
      </c>
      <c r="E5716" t="s">
        <v>13320</v>
      </c>
      <c r="F5716" t="str">
        <f>IFERROR(INDEX(customers[country], MATCH(orders[[#This Row],[customer_id]], customers[customer_id], 0)), "Unmapped")</f>
        <v>Denmark</v>
      </c>
      <c r="G5716" t="str">
        <f>IFERROR(INDEX(Region_Map[Region], MATCH(orders[[#This Row],[Customer_Country]], Region_Map[Country], 0)), "Unknown")</f>
        <v>Nordics</v>
      </c>
      <c r="H5716" t="s">
        <v>6949</v>
      </c>
    </row>
    <row r="5717" spans="1:8">
      <c r="A5717" t="s">
        <v>6607</v>
      </c>
      <c r="B5717" t="s">
        <v>311</v>
      </c>
      <c r="C5717" s="1">
        <v>45062</v>
      </c>
      <c r="D5717" s="1" t="str">
        <f>PROPER(orders[[#This Row],[order_priority]])</f>
        <v>Express</v>
      </c>
      <c r="E5717" t="s">
        <v>13318</v>
      </c>
      <c r="F5717" t="str">
        <f>IFERROR(INDEX(customers[country], MATCH(orders[[#This Row],[customer_id]], customers[customer_id], 0)), "Unmapped")</f>
        <v>Netherlands</v>
      </c>
      <c r="G5717" t="str">
        <f>IFERROR(INDEX(Region_Map[Region], MATCH(orders[[#This Row],[Customer_Country]], Region_Map[Country], 0)), "Unknown")</f>
        <v>Central Europe</v>
      </c>
      <c r="H5717" t="s">
        <v>6949</v>
      </c>
    </row>
    <row r="5718" spans="1:8">
      <c r="A5718" t="s">
        <v>6608</v>
      </c>
      <c r="B5718" t="s">
        <v>380</v>
      </c>
      <c r="C5718" s="1">
        <v>45387</v>
      </c>
      <c r="D5718" s="1" t="str">
        <f>PROPER(orders[[#This Row],[order_priority]])</f>
        <v>Standard</v>
      </c>
      <c r="E5718" t="s">
        <v>13317</v>
      </c>
      <c r="F5718" t="str">
        <f>IFERROR(INDEX(customers[country], MATCH(orders[[#This Row],[customer_id]], customers[customer_id], 0)), "Unmapped")</f>
        <v>Sweden</v>
      </c>
      <c r="G5718" t="str">
        <f>IFERROR(INDEX(Region_Map[Region], MATCH(orders[[#This Row],[Customer_Country]], Region_Map[Country], 0)), "Unknown")</f>
        <v>Nordics</v>
      </c>
      <c r="H5718" t="s">
        <v>6949</v>
      </c>
    </row>
    <row r="5719" spans="1:8">
      <c r="A5719" t="s">
        <v>6609</v>
      </c>
      <c r="B5719" t="s">
        <v>58</v>
      </c>
      <c r="C5719" s="1">
        <v>45602</v>
      </c>
      <c r="D5719" s="1" t="str">
        <f>PROPER(orders[[#This Row],[order_priority]])</f>
        <v>Express</v>
      </c>
      <c r="E5719" t="s">
        <v>13318</v>
      </c>
      <c r="F5719" t="str">
        <f>IFERROR(INDEX(customers[country], MATCH(orders[[#This Row],[customer_id]], customers[customer_id], 0)), "Unmapped")</f>
        <v>Germany</v>
      </c>
      <c r="G5719" t="str">
        <f>IFERROR(INDEX(Region_Map[Region], MATCH(orders[[#This Row],[Customer_Country]], Region_Map[Country], 0)), "Unknown")</f>
        <v>Central Europe</v>
      </c>
      <c r="H5719" t="s">
        <v>6949</v>
      </c>
    </row>
    <row r="5720" spans="1:8">
      <c r="A5720" t="s">
        <v>6610</v>
      </c>
      <c r="B5720" t="s">
        <v>670</v>
      </c>
      <c r="C5720" s="1">
        <v>45357</v>
      </c>
      <c r="D5720" s="1" t="str">
        <f>PROPER(orders[[#This Row],[order_priority]])</f>
        <v>Same Day</v>
      </c>
      <c r="E5720" t="s">
        <v>13322</v>
      </c>
      <c r="F5720" t="str">
        <f>IFERROR(INDEX(customers[country], MATCH(orders[[#This Row],[customer_id]], customers[customer_id], 0)), "Unmapped")</f>
        <v>Netherlands</v>
      </c>
      <c r="G5720" t="str">
        <f>IFERROR(INDEX(Region_Map[Region], MATCH(orders[[#This Row],[Customer_Country]], Region_Map[Country], 0)), "Unknown")</f>
        <v>Central Europe</v>
      </c>
      <c r="H5720" t="s">
        <v>6949</v>
      </c>
    </row>
    <row r="5721" spans="1:8">
      <c r="A5721" t="s">
        <v>6611</v>
      </c>
      <c r="B5721" t="s">
        <v>724</v>
      </c>
      <c r="C5721" s="1">
        <v>45496</v>
      </c>
      <c r="D5721" s="1" t="str">
        <f>PROPER(orders[[#This Row],[order_priority]])</f>
        <v>Standard</v>
      </c>
      <c r="E5721" t="s">
        <v>13317</v>
      </c>
      <c r="F5721" t="str">
        <f>IFERROR(INDEX(customers[country], MATCH(orders[[#This Row],[customer_id]], customers[customer_id], 0)), "Unmapped")</f>
        <v>Denmark</v>
      </c>
      <c r="G5721" t="str">
        <f>IFERROR(INDEX(Region_Map[Region], MATCH(orders[[#This Row],[Customer_Country]], Region_Map[Country], 0)), "Unknown")</f>
        <v>Nordics</v>
      </c>
      <c r="H5721" t="s">
        <v>6949</v>
      </c>
    </row>
    <row r="5722" spans="1:8">
      <c r="A5722" t="s">
        <v>6612</v>
      </c>
      <c r="B5722" t="s">
        <v>404</v>
      </c>
      <c r="C5722" s="1">
        <v>45047</v>
      </c>
      <c r="D5722" s="1" t="str">
        <f>PROPER(orders[[#This Row],[order_priority]])</f>
        <v>Standard</v>
      </c>
      <c r="E5722" t="s">
        <v>13317</v>
      </c>
      <c r="F5722" t="str">
        <f>IFERROR(INDEX(customers[country], MATCH(orders[[#This Row],[customer_id]], customers[customer_id], 0)), "Unmapped")</f>
        <v>Latvia</v>
      </c>
      <c r="G5722" t="str">
        <f>IFERROR(INDEX(Region_Map[Region], MATCH(orders[[#This Row],[Customer_Country]], Region_Map[Country], 0)), "Unknown")</f>
        <v>Baltics</v>
      </c>
      <c r="H5722" t="s">
        <v>6949</v>
      </c>
    </row>
    <row r="5723" spans="1:8">
      <c r="A5723" t="s">
        <v>6613</v>
      </c>
      <c r="B5723" t="s">
        <v>772</v>
      </c>
      <c r="C5723" s="1">
        <v>45091</v>
      </c>
      <c r="D5723" s="1" t="str">
        <f>PROPER(orders[[#This Row],[order_priority]])</f>
        <v>Economy</v>
      </c>
      <c r="E5723" t="s">
        <v>13316</v>
      </c>
      <c r="F5723" t="str">
        <f>IFERROR(INDEX(customers[country], MATCH(orders[[#This Row],[customer_id]], customers[customer_id], 0)), "Unmapped")</f>
        <v>Estonia</v>
      </c>
      <c r="G5723" t="str">
        <f>IFERROR(INDEX(Region_Map[Region], MATCH(orders[[#This Row],[Customer_Country]], Region_Map[Country], 0)), "Unknown")</f>
        <v>Baltics</v>
      </c>
      <c r="H5723" t="s">
        <v>6949</v>
      </c>
    </row>
    <row r="5724" spans="1:8">
      <c r="A5724" t="s">
        <v>6614</v>
      </c>
      <c r="B5724" t="s">
        <v>326</v>
      </c>
      <c r="C5724" s="1">
        <v>45268</v>
      </c>
      <c r="D5724" s="1" t="str">
        <f>PROPER(orders[[#This Row],[order_priority]])</f>
        <v>Same Day</v>
      </c>
      <c r="E5724" t="s">
        <v>13321</v>
      </c>
      <c r="F5724" t="str">
        <f>IFERROR(INDEX(customers[country], MATCH(orders[[#This Row],[customer_id]], customers[customer_id], 0)), "Unmapped")</f>
        <v>Lithuania</v>
      </c>
      <c r="G5724" t="str">
        <f>IFERROR(INDEX(Region_Map[Region], MATCH(orders[[#This Row],[Customer_Country]], Region_Map[Country], 0)), "Unknown")</f>
        <v>Baltics</v>
      </c>
      <c r="H5724" t="s">
        <v>6949</v>
      </c>
    </row>
    <row r="5725" spans="1:8">
      <c r="A5725" t="s">
        <v>6615</v>
      </c>
      <c r="B5725" t="s">
        <v>326</v>
      </c>
      <c r="C5725" s="1">
        <v>45320</v>
      </c>
      <c r="D5725" s="1" t="str">
        <f>PROPER(orders[[#This Row],[order_priority]])</f>
        <v>Economy</v>
      </c>
      <c r="E5725" t="s">
        <v>13328</v>
      </c>
      <c r="F5725" t="str">
        <f>IFERROR(INDEX(customers[country], MATCH(orders[[#This Row],[customer_id]], customers[customer_id], 0)), "Unmapped")</f>
        <v>Lithuania</v>
      </c>
      <c r="G5725" t="str">
        <f>IFERROR(INDEX(Region_Map[Region], MATCH(orders[[#This Row],[Customer_Country]], Region_Map[Country], 0)), "Unknown")</f>
        <v>Baltics</v>
      </c>
      <c r="H5725" t="s">
        <v>6949</v>
      </c>
    </row>
    <row r="5726" spans="1:8">
      <c r="A5726" t="s">
        <v>6080</v>
      </c>
      <c r="B5726" t="s">
        <v>178</v>
      </c>
      <c r="C5726" s="1">
        <v>45556</v>
      </c>
      <c r="D5726" s="1" t="str">
        <f>PROPER(orders[[#This Row],[order_priority]])</f>
        <v>Economy</v>
      </c>
      <c r="E5726" t="s">
        <v>13316</v>
      </c>
      <c r="F5726" t="str">
        <f>IFERROR(INDEX(customers[country], MATCH(orders[[#This Row],[customer_id]], customers[customer_id], 0)), "Unmapped")</f>
        <v>Poland</v>
      </c>
      <c r="G5726" t="str">
        <f>IFERROR(INDEX(Region_Map[Region], MATCH(orders[[#This Row],[Customer_Country]], Region_Map[Country], 0)), "Unknown")</f>
        <v>Central Europe</v>
      </c>
      <c r="H5726" t="s">
        <v>6949</v>
      </c>
    </row>
    <row r="5727" spans="1:8">
      <c r="A5727" t="s">
        <v>6616</v>
      </c>
      <c r="B5727" t="s">
        <v>410</v>
      </c>
      <c r="C5727" s="1">
        <v>45146</v>
      </c>
      <c r="D5727" s="1" t="str">
        <f>PROPER(orders[[#This Row],[order_priority]])</f>
        <v>Standard</v>
      </c>
      <c r="E5727" t="s">
        <v>13317</v>
      </c>
      <c r="F5727" t="str">
        <f>IFERROR(INDEX(customers[country], MATCH(orders[[#This Row],[customer_id]], customers[customer_id], 0)), "Unmapped")</f>
        <v>Norway</v>
      </c>
      <c r="G5727" t="str">
        <f>IFERROR(INDEX(Region_Map[Region], MATCH(orders[[#This Row],[Customer_Country]], Region_Map[Country], 0)), "Unknown")</f>
        <v>Nordics</v>
      </c>
      <c r="H5727" t="s">
        <v>6949</v>
      </c>
    </row>
    <row r="5728" spans="1:8">
      <c r="A5728" t="s">
        <v>6617</v>
      </c>
      <c r="B5728" t="s">
        <v>476</v>
      </c>
      <c r="C5728" s="1">
        <v>45263</v>
      </c>
      <c r="D5728" s="1" t="str">
        <f>PROPER(orders[[#This Row],[order_priority]])</f>
        <v>Economy</v>
      </c>
      <c r="E5728" t="s">
        <v>13316</v>
      </c>
      <c r="F5728" t="str">
        <f>IFERROR(INDEX(customers[country], MATCH(orders[[#This Row],[customer_id]], customers[customer_id], 0)), "Unmapped")</f>
        <v>Norway</v>
      </c>
      <c r="G5728" t="str">
        <f>IFERROR(INDEX(Region_Map[Region], MATCH(orders[[#This Row],[Customer_Country]], Region_Map[Country], 0)), "Unknown")</f>
        <v>Nordics</v>
      </c>
      <c r="H5728" t="s">
        <v>6949</v>
      </c>
    </row>
    <row r="5729" spans="1:8">
      <c r="A5729" t="s">
        <v>6618</v>
      </c>
      <c r="B5729" t="s">
        <v>581</v>
      </c>
      <c r="C5729" s="1">
        <v>45544</v>
      </c>
      <c r="D5729" s="1" t="str">
        <f>PROPER(orders[[#This Row],[order_priority]])</f>
        <v>Express</v>
      </c>
      <c r="E5729" t="s">
        <v>13318</v>
      </c>
      <c r="F5729" t="str">
        <f>IFERROR(INDEX(customers[country], MATCH(orders[[#This Row],[customer_id]], customers[customer_id], 0)), "Unmapped")</f>
        <v>Norway</v>
      </c>
      <c r="G5729" t="str">
        <f>IFERROR(INDEX(Region_Map[Region], MATCH(orders[[#This Row],[Customer_Country]], Region_Map[Country], 0)), "Unknown")</f>
        <v>Nordics</v>
      </c>
      <c r="H5729" t="s">
        <v>6949</v>
      </c>
    </row>
    <row r="5730" spans="1:8">
      <c r="A5730" t="s">
        <v>6619</v>
      </c>
      <c r="B5730" t="s">
        <v>861</v>
      </c>
      <c r="C5730" s="1">
        <v>45258</v>
      </c>
      <c r="D5730" s="1" t="str">
        <f>PROPER(orders[[#This Row],[order_priority]])</f>
        <v>Express</v>
      </c>
      <c r="E5730" t="s">
        <v>13320</v>
      </c>
      <c r="F5730" t="str">
        <f>IFERROR(INDEX(customers[country], MATCH(orders[[#This Row],[customer_id]], customers[customer_id], 0)), "Unmapped")</f>
        <v>Latvia</v>
      </c>
      <c r="G5730" t="str">
        <f>IFERROR(INDEX(Region_Map[Region], MATCH(orders[[#This Row],[Customer_Country]], Region_Map[Country], 0)), "Unknown")</f>
        <v>Baltics</v>
      </c>
      <c r="H5730" t="s">
        <v>6949</v>
      </c>
    </row>
    <row r="5731" spans="1:8">
      <c r="A5731" t="s">
        <v>6620</v>
      </c>
      <c r="B5731" t="s">
        <v>45</v>
      </c>
      <c r="C5731" s="1">
        <v>44976</v>
      </c>
      <c r="D5731" s="1" t="str">
        <f>PROPER(orders[[#This Row],[order_priority]])</f>
        <v>Standard</v>
      </c>
      <c r="E5731" t="s">
        <v>13317</v>
      </c>
      <c r="F5731" t="str">
        <f>IFERROR(INDEX(customers[country], MATCH(orders[[#This Row],[customer_id]], customers[customer_id], 0)), "Unmapped")</f>
        <v>Netherlands</v>
      </c>
      <c r="G5731" t="str">
        <f>IFERROR(INDEX(Region_Map[Region], MATCH(orders[[#This Row],[Customer_Country]], Region_Map[Country], 0)), "Unknown")</f>
        <v>Central Europe</v>
      </c>
      <c r="H5731" t="s">
        <v>6949</v>
      </c>
    </row>
    <row r="5732" spans="1:8">
      <c r="A5732" t="s">
        <v>6621</v>
      </c>
      <c r="B5732" t="s">
        <v>34</v>
      </c>
      <c r="C5732" s="1">
        <v>45456</v>
      </c>
      <c r="D5732" s="1" t="str">
        <f>PROPER(orders[[#This Row],[order_priority]])</f>
        <v>Standard</v>
      </c>
      <c r="E5732" t="s">
        <v>13317</v>
      </c>
      <c r="F5732" t="str">
        <f>IFERROR(INDEX(customers[country], MATCH(orders[[#This Row],[customer_id]], customers[customer_id], 0)), "Unmapped")</f>
        <v>Sweden</v>
      </c>
      <c r="G5732" t="str">
        <f>IFERROR(INDEX(Region_Map[Region], MATCH(orders[[#This Row],[Customer_Country]], Region_Map[Country], 0)), "Unknown")</f>
        <v>Nordics</v>
      </c>
      <c r="H5732" t="s">
        <v>6949</v>
      </c>
    </row>
    <row r="5733" spans="1:8">
      <c r="A5733" t="s">
        <v>6622</v>
      </c>
      <c r="B5733" t="s">
        <v>142</v>
      </c>
      <c r="C5733" s="1">
        <v>44929</v>
      </c>
      <c r="D5733" s="1" t="str">
        <f>PROPER(orders[[#This Row],[order_priority]])</f>
        <v>Same Day</v>
      </c>
      <c r="E5733" t="s">
        <v>13324</v>
      </c>
      <c r="F5733" t="str">
        <f>IFERROR(INDEX(customers[country], MATCH(orders[[#This Row],[customer_id]], customers[customer_id], 0)), "Unmapped")</f>
        <v>Estonia</v>
      </c>
      <c r="G5733" t="str">
        <f>IFERROR(INDEX(Region_Map[Region], MATCH(orders[[#This Row],[Customer_Country]], Region_Map[Country], 0)), "Unknown")</f>
        <v>Baltics</v>
      </c>
      <c r="H5733" t="s">
        <v>6949</v>
      </c>
    </row>
    <row r="5734" spans="1:8">
      <c r="A5734" t="s">
        <v>6623</v>
      </c>
      <c r="B5734" t="s">
        <v>491</v>
      </c>
      <c r="C5734" s="1">
        <v>45028</v>
      </c>
      <c r="D5734" s="1" t="str">
        <f>PROPER(orders[[#This Row],[order_priority]])</f>
        <v>Economy</v>
      </c>
      <c r="E5734" t="s">
        <v>13316</v>
      </c>
      <c r="F5734" t="str">
        <f>IFERROR(INDEX(customers[country], MATCH(orders[[#This Row],[customer_id]], customers[customer_id], 0)), "Unmapped")</f>
        <v>Latvia</v>
      </c>
      <c r="G5734" t="str">
        <f>IFERROR(INDEX(Region_Map[Region], MATCH(orders[[#This Row],[Customer_Country]], Region_Map[Country], 0)), "Unknown")</f>
        <v>Baltics</v>
      </c>
      <c r="H5734" t="s">
        <v>6949</v>
      </c>
    </row>
    <row r="5735" spans="1:8">
      <c r="A5735" t="s">
        <v>6624</v>
      </c>
      <c r="B5735" t="s">
        <v>231</v>
      </c>
      <c r="C5735" s="1">
        <v>45321</v>
      </c>
      <c r="D5735" s="1" t="str">
        <f>PROPER(orders[[#This Row],[order_priority]])</f>
        <v>Economy</v>
      </c>
      <c r="E5735" t="s">
        <v>13316</v>
      </c>
      <c r="F5735" t="str">
        <f>IFERROR(INDEX(customers[country], MATCH(orders[[#This Row],[customer_id]], customers[customer_id], 0)), "Unmapped")</f>
        <v>Lithuania</v>
      </c>
      <c r="G5735" t="str">
        <f>IFERROR(INDEX(Region_Map[Region], MATCH(orders[[#This Row],[Customer_Country]], Region_Map[Country], 0)), "Unknown")</f>
        <v>Baltics</v>
      </c>
      <c r="H5735" t="s">
        <v>6949</v>
      </c>
    </row>
    <row r="5736" spans="1:8">
      <c r="A5736" t="s">
        <v>6625</v>
      </c>
      <c r="B5736" t="s">
        <v>673</v>
      </c>
      <c r="C5736" s="1">
        <v>45513</v>
      </c>
      <c r="D5736" s="1" t="str">
        <f>PROPER(orders[[#This Row],[order_priority]])</f>
        <v>Economy</v>
      </c>
      <c r="E5736" t="s">
        <v>13316</v>
      </c>
      <c r="F5736" t="str">
        <f>IFERROR(INDEX(customers[country], MATCH(orders[[#This Row],[customer_id]], customers[customer_id], 0)), "Unmapped")</f>
        <v>Sweden</v>
      </c>
      <c r="G5736" t="str">
        <f>IFERROR(INDEX(Region_Map[Region], MATCH(orders[[#This Row],[Customer_Country]], Region_Map[Country], 0)), "Unknown")</f>
        <v>Nordics</v>
      </c>
      <c r="H5736" t="s">
        <v>6949</v>
      </c>
    </row>
    <row r="5737" spans="1:8">
      <c r="A5737" t="s">
        <v>6626</v>
      </c>
      <c r="B5737" t="s">
        <v>178</v>
      </c>
      <c r="C5737" s="1">
        <v>45073</v>
      </c>
      <c r="D5737" s="1" t="str">
        <f>PROPER(orders[[#This Row],[order_priority]])</f>
        <v>Same Day</v>
      </c>
      <c r="E5737" t="s">
        <v>13322</v>
      </c>
      <c r="F5737" t="str">
        <f>IFERROR(INDEX(customers[country], MATCH(orders[[#This Row],[customer_id]], customers[customer_id], 0)), "Unmapped")</f>
        <v>Poland</v>
      </c>
      <c r="G5737" t="str">
        <f>IFERROR(INDEX(Region_Map[Region], MATCH(orders[[#This Row],[Customer_Country]], Region_Map[Country], 0)), "Unknown")</f>
        <v>Central Europe</v>
      </c>
      <c r="H5737" t="s">
        <v>6949</v>
      </c>
    </row>
    <row r="5738" spans="1:8">
      <c r="A5738" t="s">
        <v>6627</v>
      </c>
      <c r="B5738" t="s">
        <v>840</v>
      </c>
      <c r="C5738" s="1">
        <v>45109</v>
      </c>
      <c r="D5738" s="1" t="str">
        <f>PROPER(orders[[#This Row],[order_priority]])</f>
        <v>Same Day</v>
      </c>
      <c r="E5738" t="s">
        <v>13322</v>
      </c>
      <c r="F5738" t="str">
        <f>IFERROR(INDEX(customers[country], MATCH(orders[[#This Row],[customer_id]], customers[customer_id], 0)), "Unmapped")</f>
        <v>Finland</v>
      </c>
      <c r="G5738" t="str">
        <f>IFERROR(INDEX(Region_Map[Region], MATCH(orders[[#This Row],[Customer_Country]], Region_Map[Country], 0)), "Unknown")</f>
        <v>Nordics</v>
      </c>
      <c r="H5738" t="s">
        <v>6949</v>
      </c>
    </row>
    <row r="5739" spans="1:8">
      <c r="A5739" t="s">
        <v>6628</v>
      </c>
      <c r="B5739" t="s">
        <v>712</v>
      </c>
      <c r="C5739" s="1">
        <v>45485</v>
      </c>
      <c r="D5739" s="1" t="str">
        <f>PROPER(orders[[#This Row],[order_priority]])</f>
        <v>Express</v>
      </c>
      <c r="E5739" t="s">
        <v>13318</v>
      </c>
      <c r="F5739" t="str">
        <f>IFERROR(INDEX(customers[country], MATCH(orders[[#This Row],[customer_id]], customers[customer_id], 0)), "Unmapped")</f>
        <v>Finland</v>
      </c>
      <c r="G5739" t="str">
        <f>IFERROR(INDEX(Region_Map[Region], MATCH(orders[[#This Row],[Customer_Country]], Region_Map[Country], 0)), "Unknown")</f>
        <v>Nordics</v>
      </c>
      <c r="H5739" t="s">
        <v>6949</v>
      </c>
    </row>
    <row r="5740" spans="1:8">
      <c r="A5740" t="s">
        <v>2919</v>
      </c>
      <c r="B5740" t="s">
        <v>584</v>
      </c>
      <c r="C5740" s="1">
        <v>45167</v>
      </c>
      <c r="D5740" s="1" t="str">
        <f>PROPER(orders[[#This Row],[order_priority]])</f>
        <v>Economy</v>
      </c>
      <c r="E5740" t="s">
        <v>13316</v>
      </c>
      <c r="F5740" t="str">
        <f>IFERROR(INDEX(customers[country], MATCH(orders[[#This Row],[customer_id]], customers[customer_id], 0)), "Unmapped")</f>
        <v>Netherlands</v>
      </c>
      <c r="G5740" t="str">
        <f>IFERROR(INDEX(Region_Map[Region], MATCH(orders[[#This Row],[Customer_Country]], Region_Map[Country], 0)), "Unknown")</f>
        <v>Central Europe</v>
      </c>
      <c r="H5740" t="s">
        <v>6949</v>
      </c>
    </row>
    <row r="5741" spans="1:8">
      <c r="A5741" t="s">
        <v>6629</v>
      </c>
      <c r="B5741" t="s">
        <v>112</v>
      </c>
      <c r="C5741" s="1">
        <v>45295</v>
      </c>
      <c r="D5741" s="1" t="str">
        <f>PROPER(orders[[#This Row],[order_priority]])</f>
        <v>Same Day</v>
      </c>
      <c r="E5741" t="s">
        <v>13322</v>
      </c>
      <c r="F5741" t="str">
        <f>IFERROR(INDEX(customers[country], MATCH(orders[[#This Row],[customer_id]], customers[customer_id], 0)), "Unmapped")</f>
        <v>Finland</v>
      </c>
      <c r="G5741" t="str">
        <f>IFERROR(INDEX(Region_Map[Region], MATCH(orders[[#This Row],[Customer_Country]], Region_Map[Country], 0)), "Unknown")</f>
        <v>Nordics</v>
      </c>
      <c r="H5741" t="s">
        <v>6949</v>
      </c>
    </row>
    <row r="5742" spans="1:8">
      <c r="A5742" t="s">
        <v>2327</v>
      </c>
      <c r="B5742" t="s">
        <v>24</v>
      </c>
      <c r="C5742" s="1">
        <v>44979</v>
      </c>
      <c r="D5742" s="1" t="str">
        <f>PROPER(orders[[#This Row],[order_priority]])</f>
        <v>Standard</v>
      </c>
      <c r="E5742" t="s">
        <v>13317</v>
      </c>
      <c r="F5742" t="str">
        <f>IFERROR(INDEX(customers[country], MATCH(orders[[#This Row],[customer_id]], customers[customer_id], 0)), "Unmapped")</f>
        <v>Sweden</v>
      </c>
      <c r="G5742" t="str">
        <f>IFERROR(INDEX(Region_Map[Region], MATCH(orders[[#This Row],[Customer_Country]], Region_Map[Country], 0)), "Unknown")</f>
        <v>Nordics</v>
      </c>
      <c r="H5742" t="s">
        <v>6949</v>
      </c>
    </row>
    <row r="5743" spans="1:8">
      <c r="A5743" t="s">
        <v>6630</v>
      </c>
      <c r="B5743" t="s">
        <v>371</v>
      </c>
      <c r="C5743" s="1">
        <v>45370</v>
      </c>
      <c r="D5743" s="1" t="str">
        <f>PROPER(orders[[#This Row],[order_priority]])</f>
        <v>Economy</v>
      </c>
      <c r="E5743" t="s">
        <v>13328</v>
      </c>
      <c r="F5743" t="str">
        <f>IFERROR(INDEX(customers[country], MATCH(orders[[#This Row],[customer_id]], customers[customer_id], 0)), "Unmapped")</f>
        <v>Germany</v>
      </c>
      <c r="G5743" t="str">
        <f>IFERROR(INDEX(Region_Map[Region], MATCH(orders[[#This Row],[Customer_Country]], Region_Map[Country], 0)), "Unknown")</f>
        <v>Central Europe</v>
      </c>
      <c r="H5743" t="s">
        <v>6949</v>
      </c>
    </row>
    <row r="5744" spans="1:8">
      <c r="A5744" t="s">
        <v>6631</v>
      </c>
      <c r="B5744" t="s">
        <v>755</v>
      </c>
      <c r="C5744" s="1">
        <v>44973</v>
      </c>
      <c r="D5744" s="1" t="str">
        <f>PROPER(orders[[#This Row],[order_priority]])</f>
        <v>Express</v>
      </c>
      <c r="E5744" t="s">
        <v>13326</v>
      </c>
      <c r="F5744" t="str">
        <f>IFERROR(INDEX(customers[country], MATCH(orders[[#This Row],[customer_id]], customers[customer_id], 0)), "Unmapped")</f>
        <v>Denmark</v>
      </c>
      <c r="G5744" t="str">
        <f>IFERROR(INDEX(Region_Map[Region], MATCH(orders[[#This Row],[Customer_Country]], Region_Map[Country], 0)), "Unknown")</f>
        <v>Nordics</v>
      </c>
      <c r="H5744" t="s">
        <v>6949</v>
      </c>
    </row>
    <row r="5745" spans="1:8">
      <c r="A5745" t="s">
        <v>6632</v>
      </c>
      <c r="B5745" t="s">
        <v>819</v>
      </c>
      <c r="C5745" s="1">
        <v>45111</v>
      </c>
      <c r="D5745" s="1" t="str">
        <f>PROPER(orders[[#This Row],[order_priority]])</f>
        <v>Economy</v>
      </c>
      <c r="E5745" t="s">
        <v>13316</v>
      </c>
      <c r="F5745" t="str">
        <f>IFERROR(INDEX(customers[country], MATCH(orders[[#This Row],[customer_id]], customers[customer_id], 0)), "Unmapped")</f>
        <v>Estonia</v>
      </c>
      <c r="G5745" t="str">
        <f>IFERROR(INDEX(Region_Map[Region], MATCH(orders[[#This Row],[Customer_Country]], Region_Map[Country], 0)), "Unknown")</f>
        <v>Baltics</v>
      </c>
      <c r="H5745" t="s">
        <v>6949</v>
      </c>
    </row>
    <row r="5746" spans="1:8">
      <c r="A5746" t="s">
        <v>6633</v>
      </c>
      <c r="B5746" t="s">
        <v>843</v>
      </c>
      <c r="C5746" s="1">
        <v>45511</v>
      </c>
      <c r="D5746" s="1" t="str">
        <f>PROPER(orders[[#This Row],[order_priority]])</f>
        <v>Economy</v>
      </c>
      <c r="E5746" t="s">
        <v>13316</v>
      </c>
      <c r="F5746" t="str">
        <f>IFERROR(INDEX(customers[country], MATCH(orders[[#This Row],[customer_id]], customers[customer_id], 0)), "Unmapped")</f>
        <v>Netherlands</v>
      </c>
      <c r="G5746" t="str">
        <f>IFERROR(INDEX(Region_Map[Region], MATCH(orders[[#This Row],[Customer_Country]], Region_Map[Country], 0)), "Unknown")</f>
        <v>Central Europe</v>
      </c>
      <c r="H5746" t="s">
        <v>6949</v>
      </c>
    </row>
    <row r="5747" spans="1:8">
      <c r="A5747" t="s">
        <v>6634</v>
      </c>
      <c r="B5747" t="s">
        <v>341</v>
      </c>
      <c r="C5747" s="1">
        <v>45528</v>
      </c>
      <c r="D5747" s="1" t="str">
        <f>PROPER(orders[[#This Row],[order_priority]])</f>
        <v>Express</v>
      </c>
      <c r="E5747" t="s">
        <v>13318</v>
      </c>
      <c r="F5747" t="str">
        <f>IFERROR(INDEX(customers[country], MATCH(orders[[#This Row],[customer_id]], customers[customer_id], 0)), "Unmapped")</f>
        <v>Latvia</v>
      </c>
      <c r="G5747" t="str">
        <f>IFERROR(INDEX(Region_Map[Region], MATCH(orders[[#This Row],[Customer_Country]], Region_Map[Country], 0)), "Unknown")</f>
        <v>Baltics</v>
      </c>
      <c r="H5747" t="s">
        <v>6949</v>
      </c>
    </row>
    <row r="5748" spans="1:8">
      <c r="A5748" t="s">
        <v>6635</v>
      </c>
      <c r="B5748" t="s">
        <v>51</v>
      </c>
      <c r="C5748" s="1">
        <v>45567</v>
      </c>
      <c r="D5748" s="1" t="str">
        <f>PROPER(orders[[#This Row],[order_priority]])</f>
        <v>Economy</v>
      </c>
      <c r="E5748" t="s">
        <v>13316</v>
      </c>
      <c r="F5748" t="str">
        <f>IFERROR(INDEX(customers[country], MATCH(orders[[#This Row],[customer_id]], customers[customer_id], 0)), "Unmapped")</f>
        <v>Germany</v>
      </c>
      <c r="G5748" t="str">
        <f>IFERROR(INDEX(Region_Map[Region], MATCH(orders[[#This Row],[Customer_Country]], Region_Map[Country], 0)), "Unknown")</f>
        <v>Central Europe</v>
      </c>
      <c r="H5748" t="s">
        <v>6949</v>
      </c>
    </row>
    <row r="5749" spans="1:8">
      <c r="A5749" t="s">
        <v>6636</v>
      </c>
      <c r="B5749" t="s">
        <v>563</v>
      </c>
      <c r="C5749" s="1">
        <v>45216</v>
      </c>
      <c r="D5749" s="1" t="str">
        <f>PROPER(orders[[#This Row],[order_priority]])</f>
        <v>Express</v>
      </c>
      <c r="E5749" t="s">
        <v>13318</v>
      </c>
      <c r="F5749" t="str">
        <f>IFERROR(INDEX(customers[country], MATCH(orders[[#This Row],[customer_id]], customers[customer_id], 0)), "Unmapped")</f>
        <v>Estonia</v>
      </c>
      <c r="G5749" t="str">
        <f>IFERROR(INDEX(Region_Map[Region], MATCH(orders[[#This Row],[Customer_Country]], Region_Map[Country], 0)), "Unknown")</f>
        <v>Baltics</v>
      </c>
      <c r="H5749" t="s">
        <v>6949</v>
      </c>
    </row>
    <row r="5750" spans="1:8">
      <c r="A5750" t="s">
        <v>6637</v>
      </c>
      <c r="B5750" t="s">
        <v>294</v>
      </c>
      <c r="C5750" s="1">
        <v>45395</v>
      </c>
      <c r="D5750" s="1" t="str">
        <f>PROPER(orders[[#This Row],[order_priority]])</f>
        <v>Standard</v>
      </c>
      <c r="E5750" t="s">
        <v>13317</v>
      </c>
      <c r="F5750" t="str">
        <f>IFERROR(INDEX(customers[country], MATCH(orders[[#This Row],[customer_id]], customers[customer_id], 0)), "Unmapped")</f>
        <v>Denmark</v>
      </c>
      <c r="G5750" t="str">
        <f>IFERROR(INDEX(Region_Map[Region], MATCH(orders[[#This Row],[Customer_Country]], Region_Map[Country], 0)), "Unknown")</f>
        <v>Nordics</v>
      </c>
      <c r="H5750" t="s">
        <v>6949</v>
      </c>
    </row>
    <row r="5751" spans="1:8">
      <c r="A5751" t="s">
        <v>6638</v>
      </c>
      <c r="B5751" t="s">
        <v>512</v>
      </c>
      <c r="C5751" s="1">
        <v>45210</v>
      </c>
      <c r="D5751" s="1" t="str">
        <f>PROPER(orders[[#This Row],[order_priority]])</f>
        <v>Economy</v>
      </c>
      <c r="E5751" t="s">
        <v>13325</v>
      </c>
      <c r="F5751" t="str">
        <f>IFERROR(INDEX(customers[country], MATCH(orders[[#This Row],[customer_id]], customers[customer_id], 0)), "Unmapped")</f>
        <v>Poland</v>
      </c>
      <c r="G5751" t="str">
        <f>IFERROR(INDEX(Region_Map[Region], MATCH(orders[[#This Row],[Customer_Country]], Region_Map[Country], 0)), "Unknown")</f>
        <v>Central Europe</v>
      </c>
      <c r="H5751" t="s">
        <v>6949</v>
      </c>
    </row>
    <row r="5752" spans="1:8">
      <c r="A5752" t="s">
        <v>6639</v>
      </c>
      <c r="B5752" t="s">
        <v>763</v>
      </c>
      <c r="C5752" s="1">
        <v>45402</v>
      </c>
      <c r="D5752" s="1" t="str">
        <f>PROPER(orders[[#This Row],[order_priority]])</f>
        <v>Same Day</v>
      </c>
      <c r="E5752" t="s">
        <v>13322</v>
      </c>
      <c r="F5752" t="str">
        <f>IFERROR(INDEX(customers[country], MATCH(orders[[#This Row],[customer_id]], customers[customer_id], 0)), "Unmapped")</f>
        <v>Estonia</v>
      </c>
      <c r="G5752" t="str">
        <f>IFERROR(INDEX(Region_Map[Region], MATCH(orders[[#This Row],[Customer_Country]], Region_Map[Country], 0)), "Unknown")</f>
        <v>Baltics</v>
      </c>
      <c r="H5752" t="s">
        <v>6949</v>
      </c>
    </row>
    <row r="5753" spans="1:8">
      <c r="A5753" t="s">
        <v>6640</v>
      </c>
      <c r="B5753" t="s">
        <v>431</v>
      </c>
      <c r="C5753" s="1">
        <v>45031</v>
      </c>
      <c r="D5753" s="1" t="str">
        <f>PROPER(orders[[#This Row],[order_priority]])</f>
        <v>Same Day</v>
      </c>
      <c r="E5753" t="s">
        <v>13322</v>
      </c>
      <c r="F5753" t="str">
        <f>IFERROR(INDEX(customers[country], MATCH(orders[[#This Row],[customer_id]], customers[customer_id], 0)), "Unmapped")</f>
        <v>Sweden</v>
      </c>
      <c r="G5753" t="str">
        <f>IFERROR(INDEX(Region_Map[Region], MATCH(orders[[#This Row],[Customer_Country]], Region_Map[Country], 0)), "Unknown")</f>
        <v>Nordics</v>
      </c>
      <c r="H5753" t="s">
        <v>6949</v>
      </c>
    </row>
    <row r="5754" spans="1:8">
      <c r="A5754" t="s">
        <v>6641</v>
      </c>
      <c r="B5754" t="s">
        <v>846</v>
      </c>
      <c r="C5754" s="1">
        <v>45236</v>
      </c>
      <c r="D5754" s="1" t="str">
        <f>PROPER(orders[[#This Row],[order_priority]])</f>
        <v>Express</v>
      </c>
      <c r="E5754" t="s">
        <v>13318</v>
      </c>
      <c r="F5754" t="str">
        <f>IFERROR(INDEX(customers[country], MATCH(orders[[#This Row],[customer_id]], customers[customer_id], 0)), "Unmapped")</f>
        <v>Netherlands</v>
      </c>
      <c r="G5754" t="str">
        <f>IFERROR(INDEX(Region_Map[Region], MATCH(orders[[#This Row],[Customer_Country]], Region_Map[Country], 0)), "Unknown")</f>
        <v>Central Europe</v>
      </c>
      <c r="H5754" t="s">
        <v>6949</v>
      </c>
    </row>
    <row r="5755" spans="1:8">
      <c r="A5755" t="s">
        <v>6642</v>
      </c>
      <c r="B5755" t="s">
        <v>67</v>
      </c>
      <c r="C5755" s="1">
        <v>45574</v>
      </c>
      <c r="D5755" s="1" t="str">
        <f>PROPER(orders[[#This Row],[order_priority]])</f>
        <v>Economy</v>
      </c>
      <c r="E5755" t="s">
        <v>13316</v>
      </c>
      <c r="F5755" t="str">
        <f>IFERROR(INDEX(customers[country], MATCH(orders[[#This Row],[customer_id]], customers[customer_id], 0)), "Unmapped")</f>
        <v>Estonia</v>
      </c>
      <c r="G5755" t="str">
        <f>IFERROR(INDEX(Region_Map[Region], MATCH(orders[[#This Row],[Customer_Country]], Region_Map[Country], 0)), "Unknown")</f>
        <v>Baltics</v>
      </c>
      <c r="H5755" t="s">
        <v>6949</v>
      </c>
    </row>
    <row r="5756" spans="1:8">
      <c r="A5756" t="s">
        <v>6643</v>
      </c>
      <c r="B5756" t="s">
        <v>667</v>
      </c>
      <c r="C5756" s="1">
        <v>45073</v>
      </c>
      <c r="D5756" s="1" t="str">
        <f>PROPER(orders[[#This Row],[order_priority]])</f>
        <v>Economy</v>
      </c>
      <c r="E5756" t="s">
        <v>13328</v>
      </c>
      <c r="F5756" t="str">
        <f>IFERROR(INDEX(customers[country], MATCH(orders[[#This Row],[customer_id]], customers[customer_id], 0)), "Unmapped")</f>
        <v>Germany</v>
      </c>
      <c r="G5756" t="str">
        <f>IFERROR(INDEX(Region_Map[Region], MATCH(orders[[#This Row],[Customer_Country]], Region_Map[Country], 0)), "Unknown")</f>
        <v>Central Europe</v>
      </c>
      <c r="H5756" t="s">
        <v>6949</v>
      </c>
    </row>
    <row r="5757" spans="1:8">
      <c r="A5757" t="s">
        <v>6644</v>
      </c>
      <c r="B5757" t="s">
        <v>80</v>
      </c>
      <c r="C5757" s="1">
        <v>45537</v>
      </c>
      <c r="D5757" s="1" t="str">
        <f>PROPER(orders[[#This Row],[order_priority]])</f>
        <v>Same Day</v>
      </c>
      <c r="E5757" t="s">
        <v>13322</v>
      </c>
      <c r="F5757" t="str">
        <f>IFERROR(INDEX(customers[country], MATCH(orders[[#This Row],[customer_id]], customers[customer_id], 0)), "Unmapped")</f>
        <v>Finland</v>
      </c>
      <c r="G5757" t="str">
        <f>IFERROR(INDEX(Region_Map[Region], MATCH(orders[[#This Row],[Customer_Country]], Region_Map[Country], 0)), "Unknown")</f>
        <v>Nordics</v>
      </c>
      <c r="H5757" t="s">
        <v>6949</v>
      </c>
    </row>
    <row r="5758" spans="1:8">
      <c r="A5758" t="s">
        <v>6645</v>
      </c>
      <c r="B5758" t="s">
        <v>314</v>
      </c>
      <c r="C5758" s="1">
        <v>44999</v>
      </c>
      <c r="D5758" s="1" t="str">
        <f>PROPER(orders[[#This Row],[order_priority]])</f>
        <v>Express</v>
      </c>
      <c r="E5758" t="s">
        <v>13318</v>
      </c>
      <c r="F5758" t="str">
        <f>IFERROR(INDEX(customers[country], MATCH(orders[[#This Row],[customer_id]], customers[customer_id], 0)), "Unmapped")</f>
        <v>Poland</v>
      </c>
      <c r="G5758" t="str">
        <f>IFERROR(INDEX(Region_Map[Region], MATCH(orders[[#This Row],[Customer_Country]], Region_Map[Country], 0)), "Unknown")</f>
        <v>Central Europe</v>
      </c>
      <c r="H5758" t="s">
        <v>6949</v>
      </c>
    </row>
    <row r="5759" spans="1:8">
      <c r="A5759" t="s">
        <v>6646</v>
      </c>
      <c r="B5759" t="s">
        <v>781</v>
      </c>
      <c r="C5759" s="1">
        <v>45531</v>
      </c>
      <c r="D5759" s="1" t="str">
        <f>PROPER(orders[[#This Row],[order_priority]])</f>
        <v>Economy</v>
      </c>
      <c r="E5759" t="s">
        <v>13316</v>
      </c>
      <c r="F5759" t="str">
        <f>IFERROR(INDEX(customers[country], MATCH(orders[[#This Row],[customer_id]], customers[customer_id], 0)), "Unmapped")</f>
        <v>Germany</v>
      </c>
      <c r="G5759" t="str">
        <f>IFERROR(INDEX(Region_Map[Region], MATCH(orders[[#This Row],[Customer_Country]], Region_Map[Country], 0)), "Unknown")</f>
        <v>Central Europe</v>
      </c>
      <c r="H5759" t="s">
        <v>6949</v>
      </c>
    </row>
    <row r="5760" spans="1:8">
      <c r="A5760" t="s">
        <v>6647</v>
      </c>
      <c r="B5760" t="s">
        <v>160</v>
      </c>
      <c r="C5760" s="1">
        <v>45201</v>
      </c>
      <c r="D5760" s="1" t="str">
        <f>PROPER(orders[[#This Row],[order_priority]])</f>
        <v>Economy</v>
      </c>
      <c r="E5760" t="s">
        <v>13316</v>
      </c>
      <c r="F5760" t="str">
        <f>IFERROR(INDEX(customers[country], MATCH(orders[[#This Row],[customer_id]], customers[customer_id], 0)), "Unmapped")</f>
        <v>Denmark</v>
      </c>
      <c r="G5760" t="str">
        <f>IFERROR(INDEX(Region_Map[Region], MATCH(orders[[#This Row],[Customer_Country]], Region_Map[Country], 0)), "Unknown")</f>
        <v>Nordics</v>
      </c>
      <c r="H5760" t="s">
        <v>6949</v>
      </c>
    </row>
    <row r="5761" spans="1:8">
      <c r="A5761" t="s">
        <v>6648</v>
      </c>
      <c r="B5761" t="s">
        <v>602</v>
      </c>
      <c r="C5761" s="1">
        <v>45096</v>
      </c>
      <c r="D5761" s="1" t="str">
        <f>PROPER(orders[[#This Row],[order_priority]])</f>
        <v>Economy</v>
      </c>
      <c r="E5761" t="s">
        <v>13316</v>
      </c>
      <c r="F5761" t="str">
        <f>IFERROR(INDEX(customers[country], MATCH(orders[[#This Row],[customer_id]], customers[customer_id], 0)), "Unmapped")</f>
        <v>Poland</v>
      </c>
      <c r="G5761" t="str">
        <f>IFERROR(INDEX(Region_Map[Region], MATCH(orders[[#This Row],[Customer_Country]], Region_Map[Country], 0)), "Unknown")</f>
        <v>Central Europe</v>
      </c>
      <c r="H5761" t="s">
        <v>6949</v>
      </c>
    </row>
    <row r="5762" spans="1:8">
      <c r="A5762" t="s">
        <v>6649</v>
      </c>
      <c r="B5762" t="s">
        <v>560</v>
      </c>
      <c r="C5762" s="1">
        <v>45447</v>
      </c>
      <c r="D5762" s="1" t="str">
        <f>PROPER(orders[[#This Row],[order_priority]])</f>
        <v>Economy</v>
      </c>
      <c r="E5762" t="s">
        <v>13316</v>
      </c>
      <c r="F5762" t="str">
        <f>IFERROR(INDEX(customers[country], MATCH(orders[[#This Row],[customer_id]], customers[customer_id], 0)), "Unmapped")</f>
        <v>Finland</v>
      </c>
      <c r="G5762" t="str">
        <f>IFERROR(INDEX(Region_Map[Region], MATCH(orders[[#This Row],[Customer_Country]], Region_Map[Country], 0)), "Unknown")</f>
        <v>Nordics</v>
      </c>
      <c r="H5762" t="s">
        <v>6949</v>
      </c>
    </row>
    <row r="5763" spans="1:8">
      <c r="A5763" t="s">
        <v>6650</v>
      </c>
      <c r="B5763" t="s">
        <v>270</v>
      </c>
      <c r="C5763" s="1">
        <v>45605</v>
      </c>
      <c r="D5763" s="1" t="str">
        <f>PROPER(orders[[#This Row],[order_priority]])</f>
        <v>Express</v>
      </c>
      <c r="E5763" t="s">
        <v>13318</v>
      </c>
      <c r="F5763" t="str">
        <f>IFERROR(INDEX(customers[country], MATCH(orders[[#This Row],[customer_id]], customers[customer_id], 0)), "Unmapped")</f>
        <v>Poland</v>
      </c>
      <c r="G5763" t="str">
        <f>IFERROR(INDEX(Region_Map[Region], MATCH(orders[[#This Row],[Customer_Country]], Region_Map[Country], 0)), "Unknown")</f>
        <v>Central Europe</v>
      </c>
      <c r="H5763" t="s">
        <v>6949</v>
      </c>
    </row>
    <row r="5764" spans="1:8">
      <c r="A5764" t="s">
        <v>6651</v>
      </c>
      <c r="B5764" t="s">
        <v>849</v>
      </c>
      <c r="C5764" s="1">
        <v>45270</v>
      </c>
      <c r="D5764" s="1" t="str">
        <f>PROPER(orders[[#This Row],[order_priority]])</f>
        <v>Economy</v>
      </c>
      <c r="E5764" t="s">
        <v>13316</v>
      </c>
      <c r="F5764" t="str">
        <f>IFERROR(INDEX(customers[country], MATCH(orders[[#This Row],[customer_id]], customers[customer_id], 0)), "Unmapped")</f>
        <v>Lithuania</v>
      </c>
      <c r="G5764" t="str">
        <f>IFERROR(INDEX(Region_Map[Region], MATCH(orders[[#This Row],[Customer_Country]], Region_Map[Country], 0)), "Unknown")</f>
        <v>Baltics</v>
      </c>
      <c r="H5764" t="s">
        <v>6949</v>
      </c>
    </row>
    <row r="5765" spans="1:8">
      <c r="A5765" t="s">
        <v>6652</v>
      </c>
      <c r="B5765" t="s">
        <v>808</v>
      </c>
      <c r="C5765" s="1">
        <v>44929</v>
      </c>
      <c r="D5765" s="1" t="str">
        <f>PROPER(orders[[#This Row],[order_priority]])</f>
        <v>Same Day</v>
      </c>
      <c r="E5765" t="s">
        <v>13322</v>
      </c>
      <c r="F5765" t="str">
        <f>IFERROR(INDEX(customers[country], MATCH(orders[[#This Row],[customer_id]], customers[customer_id], 0)), "Unmapped")</f>
        <v>Sweden</v>
      </c>
      <c r="G5765" t="str">
        <f>IFERROR(INDEX(Region_Map[Region], MATCH(orders[[#This Row],[Customer_Country]], Region_Map[Country], 0)), "Unknown")</f>
        <v>Nordics</v>
      </c>
      <c r="H5765" t="s">
        <v>6949</v>
      </c>
    </row>
    <row r="5766" spans="1:8">
      <c r="A5766" t="s">
        <v>6653</v>
      </c>
      <c r="B5766" t="s">
        <v>825</v>
      </c>
      <c r="C5766" s="1">
        <v>45398</v>
      </c>
      <c r="D5766" s="1" t="str">
        <f>PROPER(orders[[#This Row],[order_priority]])</f>
        <v>Same Day</v>
      </c>
      <c r="E5766" t="s">
        <v>13322</v>
      </c>
      <c r="F5766" t="str">
        <f>IFERROR(INDEX(customers[country], MATCH(orders[[#This Row],[customer_id]], customers[customer_id], 0)), "Unmapped")</f>
        <v>Latvia</v>
      </c>
      <c r="G5766" t="str">
        <f>IFERROR(INDEX(Region_Map[Region], MATCH(orders[[#This Row],[Customer_Country]], Region_Map[Country], 0)), "Unknown")</f>
        <v>Baltics</v>
      </c>
      <c r="H5766" t="s">
        <v>6949</v>
      </c>
    </row>
    <row r="5767" spans="1:8">
      <c r="A5767" t="s">
        <v>6654</v>
      </c>
      <c r="B5767" t="s">
        <v>58</v>
      </c>
      <c r="C5767" s="1">
        <v>44987</v>
      </c>
      <c r="D5767" s="1" t="str">
        <f>PROPER(orders[[#This Row],[order_priority]])</f>
        <v>Express</v>
      </c>
      <c r="E5767" t="s">
        <v>13318</v>
      </c>
      <c r="F5767" t="str">
        <f>IFERROR(INDEX(customers[country], MATCH(orders[[#This Row],[customer_id]], customers[customer_id], 0)), "Unmapped")</f>
        <v>Germany</v>
      </c>
      <c r="G5767" t="str">
        <f>IFERROR(INDEX(Region_Map[Region], MATCH(orders[[#This Row],[Customer_Country]], Region_Map[Country], 0)), "Unknown")</f>
        <v>Central Europe</v>
      </c>
      <c r="H5767" t="s">
        <v>6949</v>
      </c>
    </row>
    <row r="5768" spans="1:8">
      <c r="A5768" t="s">
        <v>6655</v>
      </c>
      <c r="B5768" t="s">
        <v>602</v>
      </c>
      <c r="C5768" s="1">
        <v>45463</v>
      </c>
      <c r="D5768" s="1" t="str">
        <f>PROPER(orders[[#This Row],[order_priority]])</f>
        <v>Express</v>
      </c>
      <c r="E5768" t="s">
        <v>13318</v>
      </c>
      <c r="F5768" t="str">
        <f>IFERROR(INDEX(customers[country], MATCH(orders[[#This Row],[customer_id]], customers[customer_id], 0)), "Unmapped")</f>
        <v>Poland</v>
      </c>
      <c r="G5768" t="str">
        <f>IFERROR(INDEX(Region_Map[Region], MATCH(orders[[#This Row],[Customer_Country]], Region_Map[Country], 0)), "Unknown")</f>
        <v>Central Europe</v>
      </c>
      <c r="H5768" t="s">
        <v>6949</v>
      </c>
    </row>
    <row r="5769" spans="1:8">
      <c r="A5769" t="s">
        <v>6656</v>
      </c>
      <c r="B5769" t="s">
        <v>314</v>
      </c>
      <c r="C5769" s="1">
        <v>45218</v>
      </c>
      <c r="D5769" s="1" t="str">
        <f>PROPER(orders[[#This Row],[order_priority]])</f>
        <v>Express</v>
      </c>
      <c r="E5769" t="s">
        <v>13318</v>
      </c>
      <c r="F5769" t="str">
        <f>IFERROR(INDEX(customers[country], MATCH(orders[[#This Row],[customer_id]], customers[customer_id], 0)), "Unmapped")</f>
        <v>Poland</v>
      </c>
      <c r="G5769" t="str">
        <f>IFERROR(INDEX(Region_Map[Region], MATCH(orders[[#This Row],[Customer_Country]], Region_Map[Country], 0)), "Unknown")</f>
        <v>Central Europe</v>
      </c>
      <c r="H5769" t="s">
        <v>6949</v>
      </c>
    </row>
    <row r="5770" spans="1:8">
      <c r="A5770" t="s">
        <v>6657</v>
      </c>
      <c r="B5770" t="s">
        <v>799</v>
      </c>
      <c r="C5770" s="1">
        <v>45533</v>
      </c>
      <c r="D5770" s="1" t="str">
        <f>PROPER(orders[[#This Row],[order_priority]])</f>
        <v>Same Day</v>
      </c>
      <c r="E5770" t="s">
        <v>13322</v>
      </c>
      <c r="F5770" t="str">
        <f>IFERROR(INDEX(customers[country], MATCH(orders[[#This Row],[customer_id]], customers[customer_id], 0)), "Unmapped")</f>
        <v>Germany</v>
      </c>
      <c r="G5770" t="str">
        <f>IFERROR(INDEX(Region_Map[Region], MATCH(orders[[#This Row],[Customer_Country]], Region_Map[Country], 0)), "Unknown")</f>
        <v>Central Europe</v>
      </c>
      <c r="H5770" t="s">
        <v>6949</v>
      </c>
    </row>
    <row r="5771" spans="1:8">
      <c r="A5771" t="s">
        <v>6658</v>
      </c>
      <c r="B5771" t="s">
        <v>548</v>
      </c>
      <c r="C5771" s="1">
        <v>45395</v>
      </c>
      <c r="D5771" s="1" t="str">
        <f>PROPER(orders[[#This Row],[order_priority]])</f>
        <v>Same Day</v>
      </c>
      <c r="E5771" t="s">
        <v>13322</v>
      </c>
      <c r="F5771" t="str">
        <f>IFERROR(INDEX(customers[country], MATCH(orders[[#This Row],[customer_id]], customers[customer_id], 0)), "Unmapped")</f>
        <v>Sweden</v>
      </c>
      <c r="G5771" t="str">
        <f>IFERROR(INDEX(Region_Map[Region], MATCH(orders[[#This Row],[Customer_Country]], Region_Map[Country], 0)), "Unknown")</f>
        <v>Nordics</v>
      </c>
      <c r="H5771" t="s">
        <v>6949</v>
      </c>
    </row>
    <row r="5772" spans="1:8">
      <c r="A5772" t="s">
        <v>6659</v>
      </c>
      <c r="B5772" t="s">
        <v>38</v>
      </c>
      <c r="C5772" s="1">
        <v>45025</v>
      </c>
      <c r="D5772" s="1" t="str">
        <f>PROPER(orders[[#This Row],[order_priority]])</f>
        <v>Standard</v>
      </c>
      <c r="E5772" t="s">
        <v>13317</v>
      </c>
      <c r="F5772" t="str">
        <f>IFERROR(INDEX(customers[country], MATCH(orders[[#This Row],[customer_id]], customers[customer_id], 0)), "Unmapped")</f>
        <v>Lithuania</v>
      </c>
      <c r="G5772" t="str">
        <f>IFERROR(INDEX(Region_Map[Region], MATCH(orders[[#This Row],[Customer_Country]], Region_Map[Country], 0)), "Unknown")</f>
        <v>Baltics</v>
      </c>
      <c r="H5772" t="s">
        <v>6949</v>
      </c>
    </row>
    <row r="5773" spans="1:8">
      <c r="A5773" t="s">
        <v>6660</v>
      </c>
      <c r="B5773" t="s">
        <v>344</v>
      </c>
      <c r="C5773" s="1">
        <v>45329</v>
      </c>
      <c r="D5773" s="1" t="str">
        <f>PROPER(orders[[#This Row],[order_priority]])</f>
        <v>Express</v>
      </c>
      <c r="E5773" t="s">
        <v>13318</v>
      </c>
      <c r="F5773" t="str">
        <f>IFERROR(INDEX(customers[country], MATCH(orders[[#This Row],[customer_id]], customers[customer_id], 0)), "Unmapped")</f>
        <v>Estonia</v>
      </c>
      <c r="G5773" t="str">
        <f>IFERROR(INDEX(Region_Map[Region], MATCH(orders[[#This Row],[Customer_Country]], Region_Map[Country], 0)), "Unknown")</f>
        <v>Baltics</v>
      </c>
      <c r="H5773" t="s">
        <v>6949</v>
      </c>
    </row>
    <row r="5774" spans="1:8">
      <c r="A5774" t="s">
        <v>6661</v>
      </c>
      <c r="B5774" t="s">
        <v>700</v>
      </c>
      <c r="C5774" s="1">
        <v>45361</v>
      </c>
      <c r="D5774" s="1" t="str">
        <f>PROPER(orders[[#This Row],[order_priority]])</f>
        <v>Same Day</v>
      </c>
      <c r="E5774" t="s">
        <v>13324</v>
      </c>
      <c r="F5774" t="str">
        <f>IFERROR(INDEX(customers[country], MATCH(orders[[#This Row],[customer_id]], customers[customer_id], 0)), "Unmapped")</f>
        <v>Germany</v>
      </c>
      <c r="G5774" t="str">
        <f>IFERROR(INDEX(Region_Map[Region], MATCH(orders[[#This Row],[Customer_Country]], Region_Map[Country], 0)), "Unknown")</f>
        <v>Central Europe</v>
      </c>
      <c r="H5774" t="s">
        <v>6949</v>
      </c>
    </row>
    <row r="5775" spans="1:8">
      <c r="A5775" t="s">
        <v>6662</v>
      </c>
      <c r="B5775" t="s">
        <v>879</v>
      </c>
      <c r="C5775" s="1">
        <v>44972</v>
      </c>
      <c r="D5775" s="1" t="str">
        <f>PROPER(orders[[#This Row],[order_priority]])</f>
        <v>Same Day</v>
      </c>
      <c r="E5775" t="s">
        <v>13322</v>
      </c>
      <c r="F5775" t="str">
        <f>IFERROR(INDEX(customers[country], MATCH(orders[[#This Row],[customer_id]], customers[customer_id], 0)), "Unmapped")</f>
        <v>Norway</v>
      </c>
      <c r="G5775" t="str">
        <f>IFERROR(INDEX(Region_Map[Region], MATCH(orders[[#This Row],[Customer_Country]], Region_Map[Country], 0)), "Unknown")</f>
        <v>Nordics</v>
      </c>
      <c r="H5775" t="s">
        <v>6949</v>
      </c>
    </row>
    <row r="5776" spans="1:8">
      <c r="A5776" t="s">
        <v>6663</v>
      </c>
      <c r="B5776" t="s">
        <v>476</v>
      </c>
      <c r="C5776" s="1">
        <v>45317</v>
      </c>
      <c r="D5776" s="1" t="str">
        <f>PROPER(orders[[#This Row],[order_priority]])</f>
        <v>Express</v>
      </c>
      <c r="E5776" t="s">
        <v>13318</v>
      </c>
      <c r="F5776" t="str">
        <f>IFERROR(INDEX(customers[country], MATCH(orders[[#This Row],[customer_id]], customers[customer_id], 0)), "Unmapped")</f>
        <v>Norway</v>
      </c>
      <c r="G5776" t="str">
        <f>IFERROR(INDEX(Region_Map[Region], MATCH(orders[[#This Row],[Customer_Country]], Region_Map[Country], 0)), "Unknown")</f>
        <v>Nordics</v>
      </c>
      <c r="H5776" t="s">
        <v>6949</v>
      </c>
    </row>
    <row r="5777" spans="1:8">
      <c r="A5777" t="s">
        <v>6664</v>
      </c>
      <c r="B5777" t="s">
        <v>870</v>
      </c>
      <c r="C5777" s="1">
        <v>45391</v>
      </c>
      <c r="D5777" s="1" t="str">
        <f>PROPER(orders[[#This Row],[order_priority]])</f>
        <v>Economy</v>
      </c>
      <c r="E5777" t="s">
        <v>13316</v>
      </c>
      <c r="F5777" t="str">
        <f>IFERROR(INDEX(customers[country], MATCH(orders[[#This Row],[customer_id]], customers[customer_id], 0)), "Unmapped")</f>
        <v>Estonia</v>
      </c>
      <c r="G5777" t="str">
        <f>IFERROR(INDEX(Region_Map[Region], MATCH(orders[[#This Row],[Customer_Country]], Region_Map[Country], 0)), "Unknown")</f>
        <v>Baltics</v>
      </c>
      <c r="H5777" t="s">
        <v>6949</v>
      </c>
    </row>
    <row r="5778" spans="1:8">
      <c r="A5778" t="s">
        <v>6665</v>
      </c>
      <c r="B5778" t="s">
        <v>371</v>
      </c>
      <c r="C5778" s="1">
        <v>45125</v>
      </c>
      <c r="D5778" s="1" t="str">
        <f>PROPER(orders[[#This Row],[order_priority]])</f>
        <v>Standard</v>
      </c>
      <c r="E5778" t="s">
        <v>13317</v>
      </c>
      <c r="F5778" t="str">
        <f>IFERROR(INDEX(customers[country], MATCH(orders[[#This Row],[customer_id]], customers[customer_id], 0)), "Unmapped")</f>
        <v>Germany</v>
      </c>
      <c r="G5778" t="str">
        <f>IFERROR(INDEX(Region_Map[Region], MATCH(orders[[#This Row],[Customer_Country]], Region_Map[Country], 0)), "Unknown")</f>
        <v>Central Europe</v>
      </c>
      <c r="H5778" t="s">
        <v>6949</v>
      </c>
    </row>
    <row r="5779" spans="1:8">
      <c r="A5779" t="s">
        <v>6666</v>
      </c>
      <c r="B5779" t="s">
        <v>124</v>
      </c>
      <c r="C5779" s="1">
        <v>45340</v>
      </c>
      <c r="D5779" s="1" t="str">
        <f>PROPER(orders[[#This Row],[order_priority]])</f>
        <v>Economy</v>
      </c>
      <c r="E5779" t="s">
        <v>13316</v>
      </c>
      <c r="F5779" t="str">
        <f>IFERROR(INDEX(customers[country], MATCH(orders[[#This Row],[customer_id]], customers[customer_id], 0)), "Unmapped")</f>
        <v>Lithuania</v>
      </c>
      <c r="G5779" t="str">
        <f>IFERROR(INDEX(Region_Map[Region], MATCH(orders[[#This Row],[Customer_Country]], Region_Map[Country], 0)), "Unknown")</f>
        <v>Baltics</v>
      </c>
      <c r="H5779" t="s">
        <v>6949</v>
      </c>
    </row>
    <row r="5780" spans="1:8">
      <c r="A5780" t="s">
        <v>6667</v>
      </c>
      <c r="B5780" t="s">
        <v>178</v>
      </c>
      <c r="C5780" s="1">
        <v>44939</v>
      </c>
      <c r="D5780" s="1" t="str">
        <f>PROPER(orders[[#This Row],[order_priority]])</f>
        <v>Standard</v>
      </c>
      <c r="E5780" t="s">
        <v>13317</v>
      </c>
      <c r="F5780" t="str">
        <f>IFERROR(INDEX(customers[country], MATCH(orders[[#This Row],[customer_id]], customers[customer_id], 0)), "Unmapped")</f>
        <v>Poland</v>
      </c>
      <c r="G5780" t="str">
        <f>IFERROR(INDEX(Region_Map[Region], MATCH(orders[[#This Row],[Customer_Country]], Region_Map[Country], 0)), "Unknown")</f>
        <v>Central Europe</v>
      </c>
      <c r="H5780" t="s">
        <v>6949</v>
      </c>
    </row>
    <row r="5781" spans="1:8">
      <c r="A5781" t="s">
        <v>6668</v>
      </c>
      <c r="B5781" t="s">
        <v>802</v>
      </c>
      <c r="C5781" s="1">
        <v>45372</v>
      </c>
      <c r="D5781" s="1" t="str">
        <f>PROPER(orders[[#This Row],[order_priority]])</f>
        <v>Standard</v>
      </c>
      <c r="E5781" t="s">
        <v>13317</v>
      </c>
      <c r="F5781" t="str">
        <f>IFERROR(INDEX(customers[country], MATCH(orders[[#This Row],[customer_id]], customers[customer_id], 0)), "Unmapped")</f>
        <v>Poland</v>
      </c>
      <c r="G5781" t="str">
        <f>IFERROR(INDEX(Region_Map[Region], MATCH(orders[[#This Row],[Customer_Country]], Region_Map[Country], 0)), "Unknown")</f>
        <v>Central Europe</v>
      </c>
      <c r="H5781" t="s">
        <v>6949</v>
      </c>
    </row>
    <row r="5782" spans="1:8">
      <c r="A5782" t="s">
        <v>6669</v>
      </c>
      <c r="B5782" t="s">
        <v>799</v>
      </c>
      <c r="C5782" s="1">
        <v>45321</v>
      </c>
      <c r="D5782" s="1" t="str">
        <f>PROPER(orders[[#This Row],[order_priority]])</f>
        <v>Express</v>
      </c>
      <c r="E5782" t="s">
        <v>13318</v>
      </c>
      <c r="F5782" t="str">
        <f>IFERROR(INDEX(customers[country], MATCH(orders[[#This Row],[customer_id]], customers[customer_id], 0)), "Unmapped")</f>
        <v>Germany</v>
      </c>
      <c r="G5782" t="str">
        <f>IFERROR(INDEX(Region_Map[Region], MATCH(orders[[#This Row],[Customer_Country]], Region_Map[Country], 0)), "Unknown")</f>
        <v>Central Europe</v>
      </c>
      <c r="H5782" t="s">
        <v>6949</v>
      </c>
    </row>
    <row r="5783" spans="1:8">
      <c r="A5783" t="s">
        <v>6670</v>
      </c>
      <c r="B5783" t="s">
        <v>813</v>
      </c>
      <c r="C5783" s="1">
        <v>44967</v>
      </c>
      <c r="D5783" s="1" t="str">
        <f>PROPER(orders[[#This Row],[order_priority]])</f>
        <v>Express</v>
      </c>
      <c r="E5783" t="s">
        <v>13318</v>
      </c>
      <c r="F5783" t="str">
        <f>IFERROR(INDEX(customers[country], MATCH(orders[[#This Row],[customer_id]], customers[customer_id], 0)), "Unmapped")</f>
        <v>Norway</v>
      </c>
      <c r="G5783" t="str">
        <f>IFERROR(INDEX(Region_Map[Region], MATCH(orders[[#This Row],[Customer_Country]], Region_Map[Country], 0)), "Unknown")</f>
        <v>Nordics</v>
      </c>
      <c r="H5783" t="s">
        <v>6949</v>
      </c>
    </row>
    <row r="5784" spans="1:8">
      <c r="A5784" t="s">
        <v>6671</v>
      </c>
      <c r="B5784" t="s">
        <v>401</v>
      </c>
      <c r="C5784" s="1">
        <v>45055</v>
      </c>
      <c r="D5784" s="1" t="str">
        <f>PROPER(orders[[#This Row],[order_priority]])</f>
        <v>Same Day</v>
      </c>
      <c r="E5784" t="s">
        <v>13322</v>
      </c>
      <c r="F5784" t="str">
        <f>IFERROR(INDEX(customers[country], MATCH(orders[[#This Row],[customer_id]], customers[customer_id], 0)), "Unmapped")</f>
        <v>Latvia</v>
      </c>
      <c r="G5784" t="str">
        <f>IFERROR(INDEX(Region_Map[Region], MATCH(orders[[#This Row],[Customer_Country]], Region_Map[Country], 0)), "Unknown")</f>
        <v>Baltics</v>
      </c>
      <c r="H5784" t="s">
        <v>6949</v>
      </c>
    </row>
    <row r="5785" spans="1:8">
      <c r="A5785" t="s">
        <v>6672</v>
      </c>
      <c r="B5785" t="s">
        <v>763</v>
      </c>
      <c r="C5785" s="1">
        <v>45545</v>
      </c>
      <c r="D5785" s="1" t="str">
        <f>PROPER(orders[[#This Row],[order_priority]])</f>
        <v>Same Day</v>
      </c>
      <c r="E5785" t="s">
        <v>13322</v>
      </c>
      <c r="F5785" t="str">
        <f>IFERROR(INDEX(customers[country], MATCH(orders[[#This Row],[customer_id]], customers[customer_id], 0)), "Unmapped")</f>
        <v>Estonia</v>
      </c>
      <c r="G5785" t="str">
        <f>IFERROR(INDEX(Region_Map[Region], MATCH(orders[[#This Row],[Customer_Country]], Region_Map[Country], 0)), "Unknown")</f>
        <v>Baltics</v>
      </c>
      <c r="H5785" t="s">
        <v>6949</v>
      </c>
    </row>
    <row r="5786" spans="1:8">
      <c r="A5786" t="s">
        <v>6673</v>
      </c>
      <c r="B5786" t="s">
        <v>228</v>
      </c>
      <c r="C5786" s="1">
        <v>45029</v>
      </c>
      <c r="D5786" s="1" t="str">
        <f>PROPER(orders[[#This Row],[order_priority]])</f>
        <v>Same Day</v>
      </c>
      <c r="E5786" t="s">
        <v>13322</v>
      </c>
      <c r="F5786" t="str">
        <f>IFERROR(INDEX(customers[country], MATCH(orders[[#This Row],[customer_id]], customers[customer_id], 0)), "Unmapped")</f>
        <v>Latvia</v>
      </c>
      <c r="G5786" t="str">
        <f>IFERROR(INDEX(Region_Map[Region], MATCH(orders[[#This Row],[Customer_Country]], Region_Map[Country], 0)), "Unknown")</f>
        <v>Baltics</v>
      </c>
      <c r="H5786" t="s">
        <v>6949</v>
      </c>
    </row>
    <row r="5787" spans="1:8">
      <c r="A5787" t="s">
        <v>6674</v>
      </c>
      <c r="B5787" t="s">
        <v>790</v>
      </c>
      <c r="C5787" s="1">
        <v>45174</v>
      </c>
      <c r="D5787" s="1" t="str">
        <f>PROPER(orders[[#This Row],[order_priority]])</f>
        <v>Standard</v>
      </c>
      <c r="E5787" t="s">
        <v>13317</v>
      </c>
      <c r="F5787" t="str">
        <f>IFERROR(INDEX(customers[country], MATCH(orders[[#This Row],[customer_id]], customers[customer_id], 0)), "Unmapped")</f>
        <v>Germany</v>
      </c>
      <c r="G5787" t="str">
        <f>IFERROR(INDEX(Region_Map[Region], MATCH(orders[[#This Row],[Customer_Country]], Region_Map[Country], 0)), "Unknown")</f>
        <v>Central Europe</v>
      </c>
      <c r="H5787" t="s">
        <v>6949</v>
      </c>
    </row>
    <row r="5788" spans="1:8">
      <c r="A5788" t="s">
        <v>6675</v>
      </c>
      <c r="B5788" t="s">
        <v>96</v>
      </c>
      <c r="C5788" s="1">
        <v>45386</v>
      </c>
      <c r="D5788" s="1" t="str">
        <f>PROPER(orders[[#This Row],[order_priority]])</f>
        <v>Standard</v>
      </c>
      <c r="E5788" t="s">
        <v>13317</v>
      </c>
      <c r="F5788" t="str">
        <f>IFERROR(INDEX(customers[country], MATCH(orders[[#This Row],[customer_id]], customers[customer_id], 0)), "Unmapped")</f>
        <v>Sweden</v>
      </c>
      <c r="G5788" t="str">
        <f>IFERROR(INDEX(Region_Map[Region], MATCH(orders[[#This Row],[Customer_Country]], Region_Map[Country], 0)), "Unknown")</f>
        <v>Nordics</v>
      </c>
      <c r="H5788" t="s">
        <v>6949</v>
      </c>
    </row>
    <row r="5789" spans="1:8">
      <c r="A5789" t="s">
        <v>6676</v>
      </c>
      <c r="B5789" t="s">
        <v>682</v>
      </c>
      <c r="C5789" s="1">
        <v>45558</v>
      </c>
      <c r="D5789" s="1" t="str">
        <f>PROPER(orders[[#This Row],[order_priority]])</f>
        <v>Same Day</v>
      </c>
      <c r="E5789" t="s">
        <v>13322</v>
      </c>
      <c r="F5789" t="str">
        <f>IFERROR(INDEX(customers[country], MATCH(orders[[#This Row],[customer_id]], customers[customer_id], 0)), "Unmapped")</f>
        <v>Germany</v>
      </c>
      <c r="G5789" t="str">
        <f>IFERROR(INDEX(Region_Map[Region], MATCH(orders[[#This Row],[Customer_Country]], Region_Map[Country], 0)), "Unknown")</f>
        <v>Central Europe</v>
      </c>
      <c r="H5789" t="s">
        <v>6949</v>
      </c>
    </row>
    <row r="5790" spans="1:8">
      <c r="A5790" t="s">
        <v>6677</v>
      </c>
      <c r="B5790" t="s">
        <v>38</v>
      </c>
      <c r="C5790" s="1">
        <v>45207</v>
      </c>
      <c r="D5790" s="1" t="str">
        <f>PROPER(orders[[#This Row],[order_priority]])</f>
        <v>Economy</v>
      </c>
      <c r="E5790" t="s">
        <v>13316</v>
      </c>
      <c r="F5790" t="str">
        <f>IFERROR(INDEX(customers[country], MATCH(orders[[#This Row],[customer_id]], customers[customer_id], 0)), "Unmapped")</f>
        <v>Lithuania</v>
      </c>
      <c r="G5790" t="str">
        <f>IFERROR(INDEX(Region_Map[Region], MATCH(orders[[#This Row],[Customer_Country]], Region_Map[Country], 0)), "Unknown")</f>
        <v>Baltics</v>
      </c>
      <c r="H5790" t="s">
        <v>6949</v>
      </c>
    </row>
    <row r="5791" spans="1:8">
      <c r="A5791" t="s">
        <v>6678</v>
      </c>
      <c r="B5791" t="s">
        <v>652</v>
      </c>
      <c r="C5791" s="1">
        <v>44999</v>
      </c>
      <c r="D5791" s="1" t="str">
        <f>PROPER(orders[[#This Row],[order_priority]])</f>
        <v>Standard</v>
      </c>
      <c r="E5791" t="s">
        <v>13317</v>
      </c>
      <c r="F5791" t="str">
        <f>IFERROR(INDEX(customers[country], MATCH(orders[[#This Row],[customer_id]], customers[customer_id], 0)), "Unmapped")</f>
        <v>Poland</v>
      </c>
      <c r="G5791" t="str">
        <f>IFERROR(INDEX(Region_Map[Region], MATCH(orders[[#This Row],[Customer_Country]], Region_Map[Country], 0)), "Unknown")</f>
        <v>Central Europe</v>
      </c>
      <c r="H5791" t="s">
        <v>6949</v>
      </c>
    </row>
    <row r="5792" spans="1:8">
      <c r="A5792" t="s">
        <v>6679</v>
      </c>
      <c r="B5792" t="s">
        <v>813</v>
      </c>
      <c r="C5792" s="1">
        <v>45211</v>
      </c>
      <c r="D5792" s="1" t="str">
        <f>PROPER(orders[[#This Row],[order_priority]])</f>
        <v>Same Day</v>
      </c>
      <c r="E5792" t="s">
        <v>13322</v>
      </c>
      <c r="F5792" t="str">
        <f>IFERROR(INDEX(customers[country], MATCH(orders[[#This Row],[customer_id]], customers[customer_id], 0)), "Unmapped")</f>
        <v>Norway</v>
      </c>
      <c r="G5792" t="str">
        <f>IFERROR(INDEX(Region_Map[Region], MATCH(orders[[#This Row],[Customer_Country]], Region_Map[Country], 0)), "Unknown")</f>
        <v>Nordics</v>
      </c>
      <c r="H5792" t="s">
        <v>6949</v>
      </c>
    </row>
    <row r="5793" spans="1:8">
      <c r="A5793" t="s">
        <v>6680</v>
      </c>
      <c r="B5793" t="s">
        <v>300</v>
      </c>
      <c r="C5793" s="1">
        <v>45071</v>
      </c>
      <c r="D5793" s="1" t="str">
        <f>PROPER(orders[[#This Row],[order_priority]])</f>
        <v>Standard</v>
      </c>
      <c r="E5793" t="s">
        <v>13317</v>
      </c>
      <c r="F5793" t="str">
        <f>IFERROR(INDEX(customers[country], MATCH(orders[[#This Row],[customer_id]], customers[customer_id], 0)), "Unmapped")</f>
        <v>Poland</v>
      </c>
      <c r="G5793" t="str">
        <f>IFERROR(INDEX(Region_Map[Region], MATCH(orders[[#This Row],[Customer_Country]], Region_Map[Country], 0)), "Unknown")</f>
        <v>Central Europe</v>
      </c>
      <c r="H5793" t="s">
        <v>6949</v>
      </c>
    </row>
    <row r="5794" spans="1:8">
      <c r="A5794" t="s">
        <v>6681</v>
      </c>
      <c r="B5794" t="s">
        <v>84</v>
      </c>
      <c r="C5794" s="1">
        <v>45045</v>
      </c>
      <c r="D5794" s="1" t="str">
        <f>PROPER(orders[[#This Row],[order_priority]])</f>
        <v>Standard</v>
      </c>
      <c r="E5794" t="s">
        <v>13317</v>
      </c>
      <c r="F5794" t="str">
        <f>IFERROR(INDEX(customers[country], MATCH(orders[[#This Row],[customer_id]], customers[customer_id], 0)), "Unmapped")</f>
        <v>Lithuania</v>
      </c>
      <c r="G5794" t="str">
        <f>IFERROR(INDEX(Region_Map[Region], MATCH(orders[[#This Row],[Customer_Country]], Region_Map[Country], 0)), "Unknown")</f>
        <v>Baltics</v>
      </c>
      <c r="H5794" t="s">
        <v>6949</v>
      </c>
    </row>
    <row r="5795" spans="1:8">
      <c r="A5795" t="s">
        <v>6682</v>
      </c>
      <c r="B5795" t="s">
        <v>688</v>
      </c>
      <c r="C5795" s="1">
        <v>45115</v>
      </c>
      <c r="D5795" s="1" t="str">
        <f>PROPER(orders[[#This Row],[order_priority]])</f>
        <v>Standard</v>
      </c>
      <c r="E5795" t="s">
        <v>13319</v>
      </c>
      <c r="F5795" t="str">
        <f>IFERROR(INDEX(customers[country], MATCH(orders[[#This Row],[customer_id]], customers[customer_id], 0)), "Unmapped")</f>
        <v>Norway</v>
      </c>
      <c r="G5795" t="str">
        <f>IFERROR(INDEX(Region_Map[Region], MATCH(orders[[#This Row],[Customer_Country]], Region_Map[Country], 0)), "Unknown")</f>
        <v>Nordics</v>
      </c>
      <c r="H5795" t="s">
        <v>6949</v>
      </c>
    </row>
    <row r="5796" spans="1:8">
      <c r="A5796" t="s">
        <v>6683</v>
      </c>
      <c r="B5796" t="s">
        <v>148</v>
      </c>
      <c r="C5796" s="1">
        <v>45061</v>
      </c>
      <c r="D5796" s="1" t="str">
        <f>PROPER(orders[[#This Row],[order_priority]])</f>
        <v>Standard</v>
      </c>
      <c r="E5796" t="s">
        <v>13323</v>
      </c>
      <c r="F5796" t="str">
        <f>IFERROR(INDEX(customers[country], MATCH(orders[[#This Row],[customer_id]], customers[customer_id], 0)), "Unmapped")</f>
        <v>Poland</v>
      </c>
      <c r="G5796" t="str">
        <f>IFERROR(INDEX(Region_Map[Region], MATCH(orders[[#This Row],[Customer_Country]], Region_Map[Country], 0)), "Unknown")</f>
        <v>Central Europe</v>
      </c>
      <c r="H5796" t="s">
        <v>6949</v>
      </c>
    </row>
    <row r="5797" spans="1:8">
      <c r="A5797" t="s">
        <v>6684</v>
      </c>
      <c r="B5797" t="s">
        <v>320</v>
      </c>
      <c r="C5797" s="1">
        <v>45569</v>
      </c>
      <c r="D5797" s="1" t="str">
        <f>PROPER(orders[[#This Row],[order_priority]])</f>
        <v>Standard</v>
      </c>
      <c r="E5797" t="s">
        <v>13317</v>
      </c>
      <c r="F5797" t="str">
        <f>IFERROR(INDEX(customers[country], MATCH(orders[[#This Row],[customer_id]], customers[customer_id], 0)), "Unmapped")</f>
        <v>Sweden</v>
      </c>
      <c r="G5797" t="str">
        <f>IFERROR(INDEX(Region_Map[Region], MATCH(orders[[#This Row],[Customer_Country]], Region_Map[Country], 0)), "Unknown")</f>
        <v>Nordics</v>
      </c>
      <c r="H5797" t="s">
        <v>6949</v>
      </c>
    </row>
    <row r="5798" spans="1:8">
      <c r="A5798" t="s">
        <v>6685</v>
      </c>
      <c r="B5798" t="s">
        <v>906</v>
      </c>
      <c r="C5798" s="1">
        <v>44985</v>
      </c>
      <c r="D5798" s="1" t="str">
        <f>PROPER(orders[[#This Row],[order_priority]])</f>
        <v>Same Day</v>
      </c>
      <c r="E5798" t="s">
        <v>13322</v>
      </c>
      <c r="F5798" t="str">
        <f>IFERROR(INDEX(customers[country], MATCH(orders[[#This Row],[customer_id]], customers[customer_id], 0)), "Unmapped")</f>
        <v>Sweden</v>
      </c>
      <c r="G5798" t="str">
        <f>IFERROR(INDEX(Region_Map[Region], MATCH(orders[[#This Row],[Customer_Country]], Region_Map[Country], 0)), "Unknown")</f>
        <v>Nordics</v>
      </c>
      <c r="H5798" t="s">
        <v>6949</v>
      </c>
    </row>
    <row r="5799" spans="1:8">
      <c r="A5799" t="s">
        <v>6686</v>
      </c>
      <c r="B5799" t="s">
        <v>210</v>
      </c>
      <c r="C5799" s="1">
        <v>45401</v>
      </c>
      <c r="D5799" s="1" t="str">
        <f>PROPER(orders[[#This Row],[order_priority]])</f>
        <v>Standard</v>
      </c>
      <c r="E5799" t="s">
        <v>13317</v>
      </c>
      <c r="F5799" t="str">
        <f>IFERROR(INDEX(customers[country], MATCH(orders[[#This Row],[customer_id]], customers[customer_id], 0)), "Unmapped")</f>
        <v>Finland</v>
      </c>
      <c r="G5799" t="str">
        <f>IFERROR(INDEX(Region_Map[Region], MATCH(orders[[#This Row],[Customer_Country]], Region_Map[Country], 0)), "Unknown")</f>
        <v>Nordics</v>
      </c>
      <c r="H5799" t="s">
        <v>6949</v>
      </c>
    </row>
    <row r="5800" spans="1:8">
      <c r="A5800" t="s">
        <v>6687</v>
      </c>
      <c r="B5800" t="s">
        <v>175</v>
      </c>
      <c r="C5800" s="1">
        <v>45256</v>
      </c>
      <c r="D5800" s="1" t="str">
        <f>PROPER(orders[[#This Row],[order_priority]])</f>
        <v>Same Day</v>
      </c>
      <c r="E5800" t="s">
        <v>13322</v>
      </c>
      <c r="F5800" t="str">
        <f>IFERROR(INDEX(customers[country], MATCH(orders[[#This Row],[customer_id]], customers[customer_id], 0)), "Unmapped")</f>
        <v>Sweden</v>
      </c>
      <c r="G5800" t="str">
        <f>IFERROR(INDEX(Region_Map[Region], MATCH(orders[[#This Row],[Customer_Country]], Region_Map[Country], 0)), "Unknown")</f>
        <v>Nordics</v>
      </c>
      <c r="H5800" t="s">
        <v>6949</v>
      </c>
    </row>
    <row r="5801" spans="1:8">
      <c r="A5801" t="s">
        <v>6688</v>
      </c>
      <c r="B5801" t="s">
        <v>813</v>
      </c>
      <c r="C5801" s="1">
        <v>45575</v>
      </c>
      <c r="D5801" s="1" t="str">
        <f>PROPER(orders[[#This Row],[order_priority]])</f>
        <v>Economy</v>
      </c>
      <c r="E5801" t="s">
        <v>13325</v>
      </c>
      <c r="F5801" t="str">
        <f>IFERROR(INDEX(customers[country], MATCH(orders[[#This Row],[customer_id]], customers[customer_id], 0)), "Unmapped")</f>
        <v>Norway</v>
      </c>
      <c r="G5801" t="str">
        <f>IFERROR(INDEX(Region_Map[Region], MATCH(orders[[#This Row],[Customer_Country]], Region_Map[Country], 0)), "Unknown")</f>
        <v>Nordics</v>
      </c>
      <c r="H5801" t="s">
        <v>6949</v>
      </c>
    </row>
    <row r="5802" spans="1:8">
      <c r="A5802" t="s">
        <v>6689</v>
      </c>
      <c r="B5802" t="s">
        <v>38</v>
      </c>
      <c r="C5802" s="1">
        <v>45223</v>
      </c>
      <c r="D5802" s="1" t="str">
        <f>PROPER(orders[[#This Row],[order_priority]])</f>
        <v>Same Day</v>
      </c>
      <c r="E5802" t="s">
        <v>13322</v>
      </c>
      <c r="F5802" t="str">
        <f>IFERROR(INDEX(customers[country], MATCH(orders[[#This Row],[customer_id]], customers[customer_id], 0)), "Unmapped")</f>
        <v>Lithuania</v>
      </c>
      <c r="G5802" t="str">
        <f>IFERROR(INDEX(Region_Map[Region], MATCH(orders[[#This Row],[Customer_Country]], Region_Map[Country], 0)), "Unknown")</f>
        <v>Baltics</v>
      </c>
      <c r="H5802" t="s">
        <v>6949</v>
      </c>
    </row>
    <row r="5803" spans="1:8">
      <c r="A5803" t="s">
        <v>6690</v>
      </c>
      <c r="B5803" t="s">
        <v>894</v>
      </c>
      <c r="C5803" s="1">
        <v>45353</v>
      </c>
      <c r="D5803" s="1" t="str">
        <f>PROPER(orders[[#This Row],[order_priority]])</f>
        <v>Economy</v>
      </c>
      <c r="E5803" t="s">
        <v>13316</v>
      </c>
      <c r="F5803" t="str">
        <f>IFERROR(INDEX(customers[country], MATCH(orders[[#This Row],[customer_id]], customers[customer_id], 0)), "Unmapped")</f>
        <v>Poland</v>
      </c>
      <c r="G5803" t="str">
        <f>IFERROR(INDEX(Region_Map[Region], MATCH(orders[[#This Row],[Customer_Country]], Region_Map[Country], 0)), "Unknown")</f>
        <v>Central Europe</v>
      </c>
      <c r="H5803" t="s">
        <v>6949</v>
      </c>
    </row>
    <row r="5804" spans="1:8">
      <c r="A5804" t="s">
        <v>6691</v>
      </c>
      <c r="B5804" t="s">
        <v>888</v>
      </c>
      <c r="C5804" s="1">
        <v>45054</v>
      </c>
      <c r="D5804" s="1" t="str">
        <f>PROPER(orders[[#This Row],[order_priority]])</f>
        <v>Economy</v>
      </c>
      <c r="E5804" t="s">
        <v>13316</v>
      </c>
      <c r="F5804" t="str">
        <f>IFERROR(INDEX(customers[country], MATCH(orders[[#This Row],[customer_id]], customers[customer_id], 0)), "Unmapped")</f>
        <v>Denmark</v>
      </c>
      <c r="G5804" t="str">
        <f>IFERROR(INDEX(Region_Map[Region], MATCH(orders[[#This Row],[Customer_Country]], Region_Map[Country], 0)), "Unknown")</f>
        <v>Nordics</v>
      </c>
      <c r="H5804" t="s">
        <v>6949</v>
      </c>
    </row>
    <row r="5805" spans="1:8">
      <c r="A5805" t="s">
        <v>6692</v>
      </c>
      <c r="B5805" t="s">
        <v>353</v>
      </c>
      <c r="C5805" s="1">
        <v>45364</v>
      </c>
      <c r="D5805" s="1" t="str">
        <f>PROPER(orders[[#This Row],[order_priority]])</f>
        <v>Same Day</v>
      </c>
      <c r="E5805" t="s">
        <v>13321</v>
      </c>
      <c r="F5805" t="str">
        <f>IFERROR(INDEX(customers[country], MATCH(orders[[#This Row],[customer_id]], customers[customer_id], 0)), "Unmapped")</f>
        <v>Estonia</v>
      </c>
      <c r="G5805" t="str">
        <f>IFERROR(INDEX(Region_Map[Region], MATCH(orders[[#This Row],[Customer_Country]], Region_Map[Country], 0)), "Unknown")</f>
        <v>Baltics</v>
      </c>
      <c r="H5805" t="s">
        <v>6949</v>
      </c>
    </row>
    <row r="5806" spans="1:8">
      <c r="A5806" t="s">
        <v>6693</v>
      </c>
      <c r="B5806" t="s">
        <v>225</v>
      </c>
      <c r="C5806" s="1">
        <v>45528</v>
      </c>
      <c r="D5806" s="1" t="str">
        <f>PROPER(orders[[#This Row],[order_priority]])</f>
        <v>Standard</v>
      </c>
      <c r="E5806" t="s">
        <v>13319</v>
      </c>
      <c r="F5806" t="str">
        <f>IFERROR(INDEX(customers[country], MATCH(orders[[#This Row],[customer_id]], customers[customer_id], 0)), "Unmapped")</f>
        <v>Poland</v>
      </c>
      <c r="G5806" t="str">
        <f>IFERROR(INDEX(Region_Map[Region], MATCH(orders[[#This Row],[Customer_Country]], Region_Map[Country], 0)), "Unknown")</f>
        <v>Central Europe</v>
      </c>
      <c r="H5806" t="s">
        <v>6949</v>
      </c>
    </row>
    <row r="5807" spans="1:8">
      <c r="A5807" t="s">
        <v>6694</v>
      </c>
      <c r="B5807" t="s">
        <v>15</v>
      </c>
      <c r="C5807" s="1">
        <v>45400</v>
      </c>
      <c r="D5807" s="1" t="str">
        <f>PROPER(orders[[#This Row],[order_priority]])</f>
        <v>Standard</v>
      </c>
      <c r="E5807" t="s">
        <v>13317</v>
      </c>
      <c r="F5807" t="str">
        <f>IFERROR(INDEX(customers[country], MATCH(orders[[#This Row],[customer_id]], customers[customer_id], 0)), "Unmapped")</f>
        <v>Estonia</v>
      </c>
      <c r="G5807" t="str">
        <f>IFERROR(INDEX(Region_Map[Region], MATCH(orders[[#This Row],[Customer_Country]], Region_Map[Country], 0)), "Unknown")</f>
        <v>Baltics</v>
      </c>
      <c r="H5807" t="s">
        <v>6949</v>
      </c>
    </row>
    <row r="5808" spans="1:8">
      <c r="A5808" t="s">
        <v>6695</v>
      </c>
      <c r="B5808" t="s">
        <v>258</v>
      </c>
      <c r="C5808" s="1">
        <v>45620</v>
      </c>
      <c r="D5808" s="1" t="str">
        <f>PROPER(orders[[#This Row],[order_priority]])</f>
        <v>Express</v>
      </c>
      <c r="E5808" t="s">
        <v>13318</v>
      </c>
      <c r="F5808" t="str">
        <f>IFERROR(INDEX(customers[country], MATCH(orders[[#This Row],[customer_id]], customers[customer_id], 0)), "Unmapped")</f>
        <v>Latvia</v>
      </c>
      <c r="G5808" t="str">
        <f>IFERROR(INDEX(Region_Map[Region], MATCH(orders[[#This Row],[Customer_Country]], Region_Map[Country], 0)), "Unknown")</f>
        <v>Baltics</v>
      </c>
      <c r="H5808" t="s">
        <v>6949</v>
      </c>
    </row>
    <row r="5809" spans="1:8">
      <c r="A5809" t="s">
        <v>6696</v>
      </c>
      <c r="B5809" t="s">
        <v>667</v>
      </c>
      <c r="C5809" s="1">
        <v>44937</v>
      </c>
      <c r="D5809" s="1" t="str">
        <f>PROPER(orders[[#This Row],[order_priority]])</f>
        <v>Standard</v>
      </c>
      <c r="E5809" t="s">
        <v>13317</v>
      </c>
      <c r="F5809" t="str">
        <f>IFERROR(INDEX(customers[country], MATCH(orders[[#This Row],[customer_id]], customers[customer_id], 0)), "Unmapped")</f>
        <v>Germany</v>
      </c>
      <c r="G5809" t="str">
        <f>IFERROR(INDEX(Region_Map[Region], MATCH(orders[[#This Row],[Customer_Country]], Region_Map[Country], 0)), "Unknown")</f>
        <v>Central Europe</v>
      </c>
      <c r="H5809" t="s">
        <v>6949</v>
      </c>
    </row>
    <row r="5810" spans="1:8">
      <c r="A5810" t="s">
        <v>6697</v>
      </c>
      <c r="B5810" t="s">
        <v>557</v>
      </c>
      <c r="C5810" s="1">
        <v>45181</v>
      </c>
      <c r="D5810" s="1" t="str">
        <f>PROPER(orders[[#This Row],[order_priority]])</f>
        <v>Economy</v>
      </c>
      <c r="E5810" t="s">
        <v>13316</v>
      </c>
      <c r="F5810" t="str">
        <f>IFERROR(INDEX(customers[country], MATCH(orders[[#This Row],[customer_id]], customers[customer_id], 0)), "Unmapped")</f>
        <v>Norway</v>
      </c>
      <c r="G5810" t="str">
        <f>IFERROR(INDEX(Region_Map[Region], MATCH(orders[[#This Row],[Customer_Country]], Region_Map[Country], 0)), "Unknown")</f>
        <v>Nordics</v>
      </c>
      <c r="H5810" t="s">
        <v>6949</v>
      </c>
    </row>
    <row r="5811" spans="1:8">
      <c r="A5811" t="s">
        <v>6698</v>
      </c>
      <c r="B5811" t="s">
        <v>476</v>
      </c>
      <c r="C5811" s="1">
        <v>45291</v>
      </c>
      <c r="D5811" s="1" t="str">
        <f>PROPER(orders[[#This Row],[order_priority]])</f>
        <v>Economy</v>
      </c>
      <c r="E5811" t="s">
        <v>13316</v>
      </c>
      <c r="F5811" t="str">
        <f>IFERROR(INDEX(customers[country], MATCH(orders[[#This Row],[customer_id]], customers[customer_id], 0)), "Unmapped")</f>
        <v>Norway</v>
      </c>
      <c r="G5811" t="str">
        <f>IFERROR(INDEX(Region_Map[Region], MATCH(orders[[#This Row],[Customer_Country]], Region_Map[Country], 0)), "Unknown")</f>
        <v>Nordics</v>
      </c>
      <c r="H5811" t="s">
        <v>6949</v>
      </c>
    </row>
    <row r="5812" spans="1:8">
      <c r="A5812" t="s">
        <v>6699</v>
      </c>
      <c r="B5812" t="s">
        <v>219</v>
      </c>
      <c r="C5812" s="1">
        <v>45068</v>
      </c>
      <c r="D5812" s="1" t="str">
        <f>PROPER(orders[[#This Row],[order_priority]])</f>
        <v>Economy</v>
      </c>
      <c r="E5812" t="s">
        <v>13316</v>
      </c>
      <c r="F5812" t="str">
        <f>IFERROR(INDEX(customers[country], MATCH(orders[[#This Row],[customer_id]], customers[customer_id], 0)), "Unmapped")</f>
        <v>Latvia</v>
      </c>
      <c r="G5812" t="str">
        <f>IFERROR(INDEX(Region_Map[Region], MATCH(orders[[#This Row],[Customer_Country]], Region_Map[Country], 0)), "Unknown")</f>
        <v>Baltics</v>
      </c>
      <c r="H5812" t="s">
        <v>6949</v>
      </c>
    </row>
    <row r="5813" spans="1:8">
      <c r="A5813" t="s">
        <v>6700</v>
      </c>
      <c r="B5813" t="s">
        <v>285</v>
      </c>
      <c r="C5813" s="1">
        <v>45271</v>
      </c>
      <c r="D5813" s="1" t="str">
        <f>PROPER(orders[[#This Row],[order_priority]])</f>
        <v>Express</v>
      </c>
      <c r="E5813" t="s">
        <v>13318</v>
      </c>
      <c r="F5813" t="str">
        <f>IFERROR(INDEX(customers[country], MATCH(orders[[#This Row],[customer_id]], customers[customer_id], 0)), "Unmapped")</f>
        <v>Norway</v>
      </c>
      <c r="G5813" t="str">
        <f>IFERROR(INDEX(Region_Map[Region], MATCH(orders[[#This Row],[Customer_Country]], Region_Map[Country], 0)), "Unknown")</f>
        <v>Nordics</v>
      </c>
      <c r="H5813" t="s">
        <v>6949</v>
      </c>
    </row>
    <row r="5814" spans="1:8">
      <c r="A5814" t="s">
        <v>6701</v>
      </c>
      <c r="B5814" t="s">
        <v>90</v>
      </c>
      <c r="C5814" s="1">
        <v>45384</v>
      </c>
      <c r="D5814" s="1" t="str">
        <f>PROPER(orders[[#This Row],[order_priority]])</f>
        <v>Standard</v>
      </c>
      <c r="E5814" t="s">
        <v>13317</v>
      </c>
      <c r="F5814" t="str">
        <f>IFERROR(INDEX(customers[country], MATCH(orders[[#This Row],[customer_id]], customers[customer_id], 0)), "Unmapped")</f>
        <v>Netherlands</v>
      </c>
      <c r="G5814" t="str">
        <f>IFERROR(INDEX(Region_Map[Region], MATCH(orders[[#This Row],[Customer_Country]], Region_Map[Country], 0)), "Unknown")</f>
        <v>Central Europe</v>
      </c>
      <c r="H5814" t="s">
        <v>6949</v>
      </c>
    </row>
    <row r="5815" spans="1:8">
      <c r="A5815" t="s">
        <v>6702</v>
      </c>
      <c r="B5815" t="s">
        <v>661</v>
      </c>
      <c r="C5815" s="1">
        <v>45261</v>
      </c>
      <c r="D5815" s="1" t="str">
        <f>PROPER(orders[[#This Row],[order_priority]])</f>
        <v>Standard</v>
      </c>
      <c r="E5815" t="s">
        <v>13323</v>
      </c>
      <c r="F5815" t="str">
        <f>IFERROR(INDEX(customers[country], MATCH(orders[[#This Row],[customer_id]], customers[customer_id], 0)), "Unmapped")</f>
        <v>Lithuania</v>
      </c>
      <c r="G5815" t="str">
        <f>IFERROR(INDEX(Region_Map[Region], MATCH(orders[[#This Row],[Customer_Country]], Region_Map[Country], 0)), "Unknown")</f>
        <v>Baltics</v>
      </c>
      <c r="H5815" t="s">
        <v>6949</v>
      </c>
    </row>
    <row r="5816" spans="1:8">
      <c r="A5816" t="s">
        <v>6703</v>
      </c>
      <c r="B5816" t="s">
        <v>873</v>
      </c>
      <c r="C5816" s="1">
        <v>45341</v>
      </c>
      <c r="D5816" s="1" t="str">
        <f>PROPER(orders[[#This Row],[order_priority]])</f>
        <v>Express</v>
      </c>
      <c r="E5816" t="s">
        <v>13318</v>
      </c>
      <c r="F5816" t="str">
        <f>IFERROR(INDEX(customers[country], MATCH(orders[[#This Row],[customer_id]], customers[customer_id], 0)), "Unmapped")</f>
        <v>Estonia</v>
      </c>
      <c r="G5816" t="str">
        <f>IFERROR(INDEX(Region_Map[Region], MATCH(orders[[#This Row],[Customer_Country]], Region_Map[Country], 0)), "Unknown")</f>
        <v>Baltics</v>
      </c>
      <c r="H5816" t="s">
        <v>6949</v>
      </c>
    </row>
    <row r="5817" spans="1:8">
      <c r="A5817" t="s">
        <v>6704</v>
      </c>
      <c r="B5817" t="s">
        <v>805</v>
      </c>
      <c r="C5817" s="1">
        <v>45156</v>
      </c>
      <c r="D5817" s="1" t="str">
        <f>PROPER(orders[[#This Row],[order_priority]])</f>
        <v>Same Day</v>
      </c>
      <c r="E5817" t="s">
        <v>13322</v>
      </c>
      <c r="F5817" t="str">
        <f>IFERROR(INDEX(customers[country], MATCH(orders[[#This Row],[customer_id]], customers[customer_id], 0)), "Unmapped")</f>
        <v>Estonia</v>
      </c>
      <c r="G5817" t="str">
        <f>IFERROR(INDEX(Region_Map[Region], MATCH(orders[[#This Row],[Customer_Country]], Region_Map[Country], 0)), "Unknown")</f>
        <v>Baltics</v>
      </c>
      <c r="H5817" t="s">
        <v>6949</v>
      </c>
    </row>
    <row r="5818" spans="1:8">
      <c r="A5818" t="s">
        <v>6705</v>
      </c>
      <c r="B5818" t="s">
        <v>614</v>
      </c>
      <c r="C5818" s="1">
        <v>45336</v>
      </c>
      <c r="D5818" s="1" t="str">
        <f>PROPER(orders[[#This Row],[order_priority]])</f>
        <v>Express</v>
      </c>
      <c r="E5818" t="s">
        <v>13318</v>
      </c>
      <c r="F5818" t="str">
        <f>IFERROR(INDEX(customers[country], MATCH(orders[[#This Row],[customer_id]], customers[customer_id], 0)), "Unmapped")</f>
        <v>Latvia</v>
      </c>
      <c r="G5818" t="str">
        <f>IFERROR(INDEX(Region_Map[Region], MATCH(orders[[#This Row],[Customer_Country]], Region_Map[Country], 0)), "Unknown")</f>
        <v>Baltics</v>
      </c>
      <c r="H5818" t="s">
        <v>6949</v>
      </c>
    </row>
    <row r="5819" spans="1:8">
      <c r="A5819" t="s">
        <v>6706</v>
      </c>
      <c r="B5819" t="s">
        <v>306</v>
      </c>
      <c r="C5819" s="1">
        <v>44969</v>
      </c>
      <c r="D5819" s="1" t="str">
        <f>PROPER(orders[[#This Row],[order_priority]])</f>
        <v>Express</v>
      </c>
      <c r="E5819" t="s">
        <v>13326</v>
      </c>
      <c r="F5819" t="str">
        <f>IFERROR(INDEX(customers[country], MATCH(orders[[#This Row],[customer_id]], customers[customer_id], 0)), "Unmapped")</f>
        <v>Estonia</v>
      </c>
      <c r="G5819" t="str">
        <f>IFERROR(INDEX(Region_Map[Region], MATCH(orders[[#This Row],[Customer_Country]], Region_Map[Country], 0)), "Unknown")</f>
        <v>Baltics</v>
      </c>
      <c r="H5819" t="s">
        <v>6949</v>
      </c>
    </row>
    <row r="5820" spans="1:8">
      <c r="A5820" t="s">
        <v>6707</v>
      </c>
      <c r="B5820" t="s">
        <v>652</v>
      </c>
      <c r="C5820" s="1">
        <v>45601</v>
      </c>
      <c r="D5820" s="1" t="str">
        <f>PROPER(orders[[#This Row],[order_priority]])</f>
        <v>Express</v>
      </c>
      <c r="E5820" t="s">
        <v>13320</v>
      </c>
      <c r="F5820" t="str">
        <f>IFERROR(INDEX(customers[country], MATCH(orders[[#This Row],[customer_id]], customers[customer_id], 0)), "Unmapped")</f>
        <v>Poland</v>
      </c>
      <c r="G5820" t="str">
        <f>IFERROR(INDEX(Region_Map[Region], MATCH(orders[[#This Row],[Customer_Country]], Region_Map[Country], 0)), "Unknown")</f>
        <v>Central Europe</v>
      </c>
      <c r="H5820" t="s">
        <v>6949</v>
      </c>
    </row>
    <row r="5821" spans="1:8">
      <c r="A5821" t="s">
        <v>6708</v>
      </c>
      <c r="B5821" t="s">
        <v>506</v>
      </c>
      <c r="C5821" s="1">
        <v>45550</v>
      </c>
      <c r="D5821" s="1" t="str">
        <f>PROPER(orders[[#This Row],[order_priority]])</f>
        <v>Economy</v>
      </c>
      <c r="E5821" t="s">
        <v>13316</v>
      </c>
      <c r="F5821" t="str">
        <f>IFERROR(INDEX(customers[country], MATCH(orders[[#This Row],[customer_id]], customers[customer_id], 0)), "Unmapped")</f>
        <v>Poland</v>
      </c>
      <c r="G5821" t="str">
        <f>IFERROR(INDEX(Region_Map[Region], MATCH(orders[[#This Row],[Customer_Country]], Region_Map[Country], 0)), "Unknown")</f>
        <v>Central Europe</v>
      </c>
      <c r="H5821" t="s">
        <v>6949</v>
      </c>
    </row>
    <row r="5822" spans="1:8">
      <c r="A5822" t="s">
        <v>6709</v>
      </c>
      <c r="B5822" t="s">
        <v>67</v>
      </c>
      <c r="C5822" s="1">
        <v>45613</v>
      </c>
      <c r="D5822" s="1" t="str">
        <f>PROPER(orders[[#This Row],[order_priority]])</f>
        <v>Economy</v>
      </c>
      <c r="E5822" t="s">
        <v>13316</v>
      </c>
      <c r="F5822" t="str">
        <f>IFERROR(INDEX(customers[country], MATCH(orders[[#This Row],[customer_id]], customers[customer_id], 0)), "Unmapped")</f>
        <v>Estonia</v>
      </c>
      <c r="G5822" t="str">
        <f>IFERROR(INDEX(Region_Map[Region], MATCH(orders[[#This Row],[Customer_Country]], Region_Map[Country], 0)), "Unknown")</f>
        <v>Baltics</v>
      </c>
      <c r="H5822" t="s">
        <v>6949</v>
      </c>
    </row>
    <row r="5823" spans="1:8">
      <c r="A5823" t="s">
        <v>6710</v>
      </c>
      <c r="B5823" t="s">
        <v>90</v>
      </c>
      <c r="C5823" s="1">
        <v>45257</v>
      </c>
      <c r="D5823" s="1" t="str">
        <f>PROPER(orders[[#This Row],[order_priority]])</f>
        <v>Express</v>
      </c>
      <c r="E5823" t="s">
        <v>13318</v>
      </c>
      <c r="F5823" t="str">
        <f>IFERROR(INDEX(customers[country], MATCH(orders[[#This Row],[customer_id]], customers[customer_id], 0)), "Unmapped")</f>
        <v>Netherlands</v>
      </c>
      <c r="G5823" t="str">
        <f>IFERROR(INDEX(Region_Map[Region], MATCH(orders[[#This Row],[Customer_Country]], Region_Map[Country], 0)), "Unknown")</f>
        <v>Central Europe</v>
      </c>
      <c r="H5823" t="s">
        <v>6949</v>
      </c>
    </row>
    <row r="5824" spans="1:8">
      <c r="A5824" t="s">
        <v>6711</v>
      </c>
      <c r="B5824" t="s">
        <v>55</v>
      </c>
      <c r="C5824" s="1">
        <v>45342</v>
      </c>
      <c r="D5824" s="1" t="str">
        <f>PROPER(orders[[#This Row],[order_priority]])</f>
        <v>Express</v>
      </c>
      <c r="E5824" t="s">
        <v>13318</v>
      </c>
      <c r="F5824" t="str">
        <f>IFERROR(INDEX(customers[country], MATCH(orders[[#This Row],[customer_id]], customers[customer_id], 0)), "Unmapped")</f>
        <v>Netherlands</v>
      </c>
      <c r="G5824" t="str">
        <f>IFERROR(INDEX(Region_Map[Region], MATCH(orders[[#This Row],[Customer_Country]], Region_Map[Country], 0)), "Unknown")</f>
        <v>Central Europe</v>
      </c>
      <c r="H5824" t="s">
        <v>6949</v>
      </c>
    </row>
    <row r="5825" spans="1:8">
      <c r="A5825" t="s">
        <v>6712</v>
      </c>
      <c r="B5825" t="s">
        <v>6949</v>
      </c>
      <c r="C5825" s="1">
        <v>45497</v>
      </c>
      <c r="D5825" s="1" t="str">
        <f>PROPER(orders[[#This Row],[order_priority]])</f>
        <v>Express</v>
      </c>
      <c r="E5825" t="s">
        <v>13318</v>
      </c>
      <c r="F5825" t="str">
        <f>IFERROR(INDEX(customers[country], MATCH(orders[[#This Row],[customer_id]], customers[customer_id], 0)), "Unmapped")</f>
        <v>Unmapped</v>
      </c>
      <c r="G5825" t="str">
        <f>IFERROR(INDEX(Region_Map[Region], MATCH(orders[[#This Row],[Customer_Country]], Region_Map[Country], 0)), "Unknown")</f>
        <v>Unknown</v>
      </c>
      <c r="H5825" t="s">
        <v>6949</v>
      </c>
    </row>
    <row r="5826" spans="1:8">
      <c r="A5826" t="s">
        <v>6713</v>
      </c>
      <c r="B5826" t="s">
        <v>611</v>
      </c>
      <c r="C5826" s="1">
        <v>45259</v>
      </c>
      <c r="D5826" s="1" t="str">
        <f>PROPER(orders[[#This Row],[order_priority]])</f>
        <v>Economy</v>
      </c>
      <c r="E5826" t="s">
        <v>13316</v>
      </c>
      <c r="F5826" t="str">
        <f>IFERROR(INDEX(customers[country], MATCH(orders[[#This Row],[customer_id]], customers[customer_id], 0)), "Unmapped")</f>
        <v>Poland</v>
      </c>
      <c r="G5826" t="str">
        <f>IFERROR(INDEX(Region_Map[Region], MATCH(orders[[#This Row],[Customer_Country]], Region_Map[Country], 0)), "Unknown")</f>
        <v>Central Europe</v>
      </c>
      <c r="H5826" t="s">
        <v>6949</v>
      </c>
    </row>
    <row r="5827" spans="1:8">
      <c r="A5827" t="s">
        <v>6714</v>
      </c>
      <c r="B5827" t="s">
        <v>652</v>
      </c>
      <c r="C5827" s="1">
        <v>45600</v>
      </c>
      <c r="D5827" s="1" t="str">
        <f>PROPER(orders[[#This Row],[order_priority]])</f>
        <v>Same Day</v>
      </c>
      <c r="E5827" t="s">
        <v>13322</v>
      </c>
      <c r="F5827" t="str">
        <f>IFERROR(INDEX(customers[country], MATCH(orders[[#This Row],[customer_id]], customers[customer_id], 0)), "Unmapped")</f>
        <v>Poland</v>
      </c>
      <c r="G5827" t="str">
        <f>IFERROR(INDEX(Region_Map[Region], MATCH(orders[[#This Row],[Customer_Country]], Region_Map[Country], 0)), "Unknown")</f>
        <v>Central Europe</v>
      </c>
      <c r="H5827" t="s">
        <v>6949</v>
      </c>
    </row>
    <row r="5828" spans="1:8">
      <c r="A5828" t="s">
        <v>6715</v>
      </c>
      <c r="B5828" t="s">
        <v>641</v>
      </c>
      <c r="C5828" s="1">
        <v>45440</v>
      </c>
      <c r="D5828" s="1" t="str">
        <f>PROPER(orders[[#This Row],[order_priority]])</f>
        <v>Standard</v>
      </c>
      <c r="E5828" t="s">
        <v>13319</v>
      </c>
      <c r="F5828" t="str">
        <f>IFERROR(INDEX(customers[country], MATCH(orders[[#This Row],[customer_id]], customers[customer_id], 0)), "Unmapped")</f>
        <v>Poland</v>
      </c>
      <c r="G5828" t="str">
        <f>IFERROR(INDEX(Region_Map[Region], MATCH(orders[[#This Row],[Customer_Country]], Region_Map[Country], 0)), "Unknown")</f>
        <v>Central Europe</v>
      </c>
      <c r="H5828" t="s">
        <v>6949</v>
      </c>
    </row>
    <row r="5829" spans="1:8">
      <c r="A5829" t="s">
        <v>6716</v>
      </c>
      <c r="B5829" t="s">
        <v>19</v>
      </c>
      <c r="C5829" s="1">
        <v>45040</v>
      </c>
      <c r="D5829" s="1" t="str">
        <f>PROPER(orders[[#This Row],[order_priority]])</f>
        <v>Standard</v>
      </c>
      <c r="E5829" t="s">
        <v>13317</v>
      </c>
      <c r="F5829" t="str">
        <f>IFERROR(INDEX(customers[country], MATCH(orders[[#This Row],[customer_id]], customers[customer_id], 0)), "Unmapped")</f>
        <v>Poland</v>
      </c>
      <c r="G5829" t="str">
        <f>IFERROR(INDEX(Region_Map[Region], MATCH(orders[[#This Row],[Customer_Country]], Region_Map[Country], 0)), "Unknown")</f>
        <v>Central Europe</v>
      </c>
      <c r="H5829" t="s">
        <v>6949</v>
      </c>
    </row>
    <row r="5830" spans="1:8">
      <c r="A5830" t="s">
        <v>6717</v>
      </c>
      <c r="B5830" t="s">
        <v>685</v>
      </c>
      <c r="C5830" s="1">
        <v>45584</v>
      </c>
      <c r="D5830" s="1" t="str">
        <f>PROPER(orders[[#This Row],[order_priority]])</f>
        <v>Express</v>
      </c>
      <c r="E5830" t="s">
        <v>13318</v>
      </c>
      <c r="F5830" t="str">
        <f>IFERROR(INDEX(customers[country], MATCH(orders[[#This Row],[customer_id]], customers[customer_id], 0)), "Unmapped")</f>
        <v>Latvia</v>
      </c>
      <c r="G5830" t="str">
        <f>IFERROR(INDEX(Region_Map[Region], MATCH(orders[[#This Row],[Customer_Country]], Region_Map[Country], 0)), "Unknown")</f>
        <v>Baltics</v>
      </c>
      <c r="H5830" t="s">
        <v>6949</v>
      </c>
    </row>
    <row r="5831" spans="1:8">
      <c r="A5831" t="s">
        <v>6718</v>
      </c>
      <c r="B5831" t="s">
        <v>819</v>
      </c>
      <c r="C5831" s="1">
        <v>45418</v>
      </c>
      <c r="D5831" s="1" t="str">
        <f>PROPER(orders[[#This Row],[order_priority]])</f>
        <v>Same Day</v>
      </c>
      <c r="E5831" t="s">
        <v>13321</v>
      </c>
      <c r="F5831" t="str">
        <f>IFERROR(INDEX(customers[country], MATCH(orders[[#This Row],[customer_id]], customers[customer_id], 0)), "Unmapped")</f>
        <v>Estonia</v>
      </c>
      <c r="G5831" t="str">
        <f>IFERROR(INDEX(Region_Map[Region], MATCH(orders[[#This Row],[Customer_Country]], Region_Map[Country], 0)), "Unknown")</f>
        <v>Baltics</v>
      </c>
      <c r="H5831" t="s">
        <v>6949</v>
      </c>
    </row>
    <row r="5832" spans="1:8">
      <c r="A5832" t="s">
        <v>6719</v>
      </c>
      <c r="B5832" t="s">
        <v>715</v>
      </c>
      <c r="C5832" s="1">
        <v>45221</v>
      </c>
      <c r="D5832" s="1" t="str">
        <f>PROPER(orders[[#This Row],[order_priority]])</f>
        <v>Express</v>
      </c>
      <c r="E5832" t="s">
        <v>13320</v>
      </c>
      <c r="F5832" t="str">
        <f>IFERROR(INDEX(customers[country], MATCH(orders[[#This Row],[customer_id]], customers[customer_id], 0)), "Unmapped")</f>
        <v>Netherlands</v>
      </c>
      <c r="G5832" t="str">
        <f>IFERROR(INDEX(Region_Map[Region], MATCH(orders[[#This Row],[Customer_Country]], Region_Map[Country], 0)), "Unknown")</f>
        <v>Central Europe</v>
      </c>
      <c r="H5832" t="s">
        <v>6949</v>
      </c>
    </row>
    <row r="5833" spans="1:8">
      <c r="A5833" t="s">
        <v>6720</v>
      </c>
      <c r="B5833" t="s">
        <v>395</v>
      </c>
      <c r="C5833" s="1">
        <v>44961</v>
      </c>
      <c r="D5833" s="1" t="str">
        <f>PROPER(orders[[#This Row],[order_priority]])</f>
        <v>Same Day</v>
      </c>
      <c r="E5833" t="s">
        <v>13322</v>
      </c>
      <c r="F5833" t="str">
        <f>IFERROR(INDEX(customers[country], MATCH(orders[[#This Row],[customer_id]], customers[customer_id], 0)), "Unmapped")</f>
        <v>Sweden</v>
      </c>
      <c r="G5833" t="str">
        <f>IFERROR(INDEX(Region_Map[Region], MATCH(orders[[#This Row],[Customer_Country]], Region_Map[Country], 0)), "Unknown")</f>
        <v>Nordics</v>
      </c>
      <c r="H5833" t="s">
        <v>6949</v>
      </c>
    </row>
    <row r="5834" spans="1:8">
      <c r="A5834" t="s">
        <v>6721</v>
      </c>
      <c r="B5834" t="s">
        <v>861</v>
      </c>
      <c r="C5834" s="1">
        <v>45333</v>
      </c>
      <c r="D5834" s="1" t="str">
        <f>PROPER(orders[[#This Row],[order_priority]])</f>
        <v>Economy</v>
      </c>
      <c r="E5834" t="s">
        <v>13316</v>
      </c>
      <c r="F5834" t="str">
        <f>IFERROR(INDEX(customers[country], MATCH(orders[[#This Row],[customer_id]], customers[customer_id], 0)), "Unmapped")</f>
        <v>Latvia</v>
      </c>
      <c r="G5834" t="str">
        <f>IFERROR(INDEX(Region_Map[Region], MATCH(orders[[#This Row],[Customer_Country]], Region_Map[Country], 0)), "Unknown")</f>
        <v>Baltics</v>
      </c>
      <c r="H5834" t="s">
        <v>6949</v>
      </c>
    </row>
    <row r="5835" spans="1:8">
      <c r="A5835" t="s">
        <v>6722</v>
      </c>
      <c r="B5835" t="s">
        <v>329</v>
      </c>
      <c r="C5835" s="1">
        <v>45025</v>
      </c>
      <c r="D5835" s="1" t="str">
        <f>PROPER(orders[[#This Row],[order_priority]])</f>
        <v>Standard</v>
      </c>
      <c r="E5835" t="s">
        <v>13317</v>
      </c>
      <c r="F5835" t="str">
        <f>IFERROR(INDEX(customers[country], MATCH(orders[[#This Row],[customer_id]], customers[customer_id], 0)), "Unmapped")</f>
        <v>Poland</v>
      </c>
      <c r="G5835" t="str">
        <f>IFERROR(INDEX(Region_Map[Region], MATCH(orders[[#This Row],[Customer_Country]], Region_Map[Country], 0)), "Unknown")</f>
        <v>Central Europe</v>
      </c>
      <c r="H5835" t="s">
        <v>6949</v>
      </c>
    </row>
    <row r="5836" spans="1:8">
      <c r="A5836" t="s">
        <v>6723</v>
      </c>
      <c r="B5836" t="s">
        <v>160</v>
      </c>
      <c r="C5836" s="1">
        <v>45217</v>
      </c>
      <c r="D5836" s="1" t="str">
        <f>PROPER(orders[[#This Row],[order_priority]])</f>
        <v>Standard</v>
      </c>
      <c r="E5836" t="s">
        <v>13317</v>
      </c>
      <c r="F5836" t="str">
        <f>IFERROR(INDEX(customers[country], MATCH(orders[[#This Row],[customer_id]], customers[customer_id], 0)), "Unmapped")</f>
        <v>Denmark</v>
      </c>
      <c r="G5836" t="str">
        <f>IFERROR(INDEX(Region_Map[Region], MATCH(orders[[#This Row],[Customer_Country]], Region_Map[Country], 0)), "Unknown")</f>
        <v>Nordics</v>
      </c>
      <c r="H5836" t="s">
        <v>6949</v>
      </c>
    </row>
    <row r="5837" spans="1:8">
      <c r="A5837" t="s">
        <v>6724</v>
      </c>
      <c r="B5837" t="s">
        <v>347</v>
      </c>
      <c r="C5837" s="1">
        <v>45022</v>
      </c>
      <c r="D5837" s="1" t="str">
        <f>PROPER(orders[[#This Row],[order_priority]])</f>
        <v>Express</v>
      </c>
      <c r="E5837" t="s">
        <v>13318</v>
      </c>
      <c r="F5837" t="str">
        <f>IFERROR(INDEX(customers[country], MATCH(orders[[#This Row],[customer_id]], customers[customer_id], 0)), "Unmapped")</f>
        <v>Norway</v>
      </c>
      <c r="G5837" t="str">
        <f>IFERROR(INDEX(Region_Map[Region], MATCH(orders[[#This Row],[Customer_Country]], Region_Map[Country], 0)), "Unknown")</f>
        <v>Nordics</v>
      </c>
      <c r="H5837" t="s">
        <v>6949</v>
      </c>
    </row>
    <row r="5838" spans="1:8">
      <c r="A5838" t="s">
        <v>6725</v>
      </c>
      <c r="B5838" t="s">
        <v>279</v>
      </c>
      <c r="C5838" s="1">
        <v>45441</v>
      </c>
      <c r="D5838" s="1" t="str">
        <f>PROPER(orders[[#This Row],[order_priority]])</f>
        <v>Express</v>
      </c>
      <c r="E5838" t="s">
        <v>13318</v>
      </c>
      <c r="F5838" t="str">
        <f>IFERROR(INDEX(customers[country], MATCH(orders[[#This Row],[customer_id]], customers[customer_id], 0)), "Unmapped")</f>
        <v>Germany</v>
      </c>
      <c r="G5838" t="str">
        <f>IFERROR(INDEX(Region_Map[Region], MATCH(orders[[#This Row],[Customer_Country]], Region_Map[Country], 0)), "Unknown")</f>
        <v>Central Europe</v>
      </c>
      <c r="H5838" t="s">
        <v>6949</v>
      </c>
    </row>
    <row r="5839" spans="1:8">
      <c r="A5839" t="s">
        <v>6726</v>
      </c>
      <c r="B5839" t="s">
        <v>778</v>
      </c>
      <c r="C5839" s="1">
        <v>45282</v>
      </c>
      <c r="D5839" s="1" t="str">
        <f>PROPER(orders[[#This Row],[order_priority]])</f>
        <v>Express</v>
      </c>
      <c r="E5839" t="s">
        <v>13318</v>
      </c>
      <c r="F5839" t="str">
        <f>IFERROR(INDEX(customers[country], MATCH(orders[[#This Row],[customer_id]], customers[customer_id], 0)), "Unmapped")</f>
        <v>Estonia</v>
      </c>
      <c r="G5839" t="str">
        <f>IFERROR(INDEX(Region_Map[Region], MATCH(orders[[#This Row],[Customer_Country]], Region_Map[Country], 0)), "Unknown")</f>
        <v>Baltics</v>
      </c>
      <c r="H5839" t="s">
        <v>6949</v>
      </c>
    </row>
    <row r="5840" spans="1:8">
      <c r="A5840" t="s">
        <v>6727</v>
      </c>
      <c r="B5840" t="s">
        <v>383</v>
      </c>
      <c r="C5840" s="1">
        <v>45467</v>
      </c>
      <c r="D5840" s="1" t="str">
        <f>PROPER(orders[[#This Row],[order_priority]])</f>
        <v>Same Day</v>
      </c>
      <c r="E5840" t="s">
        <v>13322</v>
      </c>
      <c r="F5840" t="str">
        <f>IFERROR(INDEX(customers[country], MATCH(orders[[#This Row],[customer_id]], customers[customer_id], 0)), "Unmapped")</f>
        <v>Germany</v>
      </c>
      <c r="G5840" t="str">
        <f>IFERROR(INDEX(Region_Map[Region], MATCH(orders[[#This Row],[Customer_Country]], Region_Map[Country], 0)), "Unknown")</f>
        <v>Central Europe</v>
      </c>
      <c r="H5840" t="s">
        <v>6949</v>
      </c>
    </row>
    <row r="5841" spans="1:8">
      <c r="A5841" t="s">
        <v>6728</v>
      </c>
      <c r="B5841" t="s">
        <v>620</v>
      </c>
      <c r="C5841" s="1">
        <v>44958</v>
      </c>
      <c r="D5841" s="1" t="str">
        <f>PROPER(orders[[#This Row],[order_priority]])</f>
        <v>Economy</v>
      </c>
      <c r="E5841" t="s">
        <v>13316</v>
      </c>
      <c r="F5841" t="str">
        <f>IFERROR(INDEX(customers[country], MATCH(orders[[#This Row],[customer_id]], customers[customer_id], 0)), "Unmapped")</f>
        <v>Latvia</v>
      </c>
      <c r="G5841" t="str">
        <f>IFERROR(INDEX(Region_Map[Region], MATCH(orders[[#This Row],[Customer_Country]], Region_Map[Country], 0)), "Unknown")</f>
        <v>Baltics</v>
      </c>
      <c r="H5841" t="s">
        <v>6949</v>
      </c>
    </row>
    <row r="5842" spans="1:8">
      <c r="A5842" t="s">
        <v>6729</v>
      </c>
      <c r="B5842" t="s">
        <v>386</v>
      </c>
      <c r="C5842" s="1">
        <v>45205</v>
      </c>
      <c r="D5842" s="1" t="str">
        <f>PROPER(orders[[#This Row],[order_priority]])</f>
        <v>Same Day</v>
      </c>
      <c r="E5842" t="s">
        <v>13322</v>
      </c>
      <c r="F5842" t="str">
        <f>IFERROR(INDEX(customers[country], MATCH(orders[[#This Row],[customer_id]], customers[customer_id], 0)), "Unmapped")</f>
        <v>Germany</v>
      </c>
      <c r="G5842" t="str">
        <f>IFERROR(INDEX(Region_Map[Region], MATCH(orders[[#This Row],[Customer_Country]], Region_Map[Country], 0)), "Unknown")</f>
        <v>Central Europe</v>
      </c>
      <c r="H5842" t="s">
        <v>6949</v>
      </c>
    </row>
    <row r="5843" spans="1:8">
      <c r="A5843" t="s">
        <v>6730</v>
      </c>
      <c r="B5843" t="s">
        <v>249</v>
      </c>
      <c r="C5843" s="1">
        <v>45032</v>
      </c>
      <c r="D5843" s="1" t="str">
        <f>PROPER(orders[[#This Row],[order_priority]])</f>
        <v>Economy</v>
      </c>
      <c r="E5843" t="s">
        <v>13328</v>
      </c>
      <c r="F5843" t="str">
        <f>IFERROR(INDEX(customers[country], MATCH(orders[[#This Row],[customer_id]], customers[customer_id], 0)), "Unmapped")</f>
        <v>Estonia</v>
      </c>
      <c r="G5843" t="str">
        <f>IFERROR(INDEX(Region_Map[Region], MATCH(orders[[#This Row],[Customer_Country]], Region_Map[Country], 0)), "Unknown")</f>
        <v>Baltics</v>
      </c>
      <c r="H5843" t="s">
        <v>6949</v>
      </c>
    </row>
    <row r="5844" spans="1:8">
      <c r="A5844" t="s">
        <v>6731</v>
      </c>
      <c r="B5844" t="s">
        <v>24</v>
      </c>
      <c r="C5844" s="1">
        <v>45312</v>
      </c>
      <c r="D5844" s="1" t="str">
        <f>PROPER(orders[[#This Row],[order_priority]])</f>
        <v>Economy</v>
      </c>
      <c r="E5844" t="s">
        <v>13316</v>
      </c>
      <c r="F5844" t="str">
        <f>IFERROR(INDEX(customers[country], MATCH(orders[[#This Row],[customer_id]], customers[customer_id], 0)), "Unmapped")</f>
        <v>Sweden</v>
      </c>
      <c r="G5844" t="str">
        <f>IFERROR(INDEX(Region_Map[Region], MATCH(orders[[#This Row],[Customer_Country]], Region_Map[Country], 0)), "Unknown")</f>
        <v>Nordics</v>
      </c>
      <c r="H5844" t="s">
        <v>6949</v>
      </c>
    </row>
    <row r="5845" spans="1:8">
      <c r="A5845" t="s">
        <v>6732</v>
      </c>
      <c r="B5845" t="s">
        <v>749</v>
      </c>
      <c r="C5845" s="1">
        <v>45516</v>
      </c>
      <c r="D5845" s="1" t="str">
        <f>PROPER(orders[[#This Row],[order_priority]])</f>
        <v>Express</v>
      </c>
      <c r="E5845" t="s">
        <v>13318</v>
      </c>
      <c r="F5845" t="str">
        <f>IFERROR(INDEX(customers[country], MATCH(orders[[#This Row],[customer_id]], customers[customer_id], 0)), "Unmapped")</f>
        <v>Latvia</v>
      </c>
      <c r="G5845" t="str">
        <f>IFERROR(INDEX(Region_Map[Region], MATCH(orders[[#This Row],[Customer_Country]], Region_Map[Country], 0)), "Unknown")</f>
        <v>Baltics</v>
      </c>
      <c r="H5845" t="s">
        <v>6949</v>
      </c>
    </row>
    <row r="5846" spans="1:8">
      <c r="A5846" t="s">
        <v>6733</v>
      </c>
      <c r="B5846" t="s">
        <v>730</v>
      </c>
      <c r="C5846" s="1">
        <v>45223</v>
      </c>
      <c r="D5846" s="1" t="str">
        <f>PROPER(orders[[#This Row],[order_priority]])</f>
        <v>Same Day</v>
      </c>
      <c r="E5846" t="s">
        <v>13322</v>
      </c>
      <c r="F5846" t="str">
        <f>IFERROR(INDEX(customers[country], MATCH(orders[[#This Row],[customer_id]], customers[customer_id], 0)), "Unmapped")</f>
        <v>Lithuania</v>
      </c>
      <c r="G5846" t="str">
        <f>IFERROR(INDEX(Region_Map[Region], MATCH(orders[[#This Row],[Customer_Country]], Region_Map[Country], 0)), "Unknown")</f>
        <v>Baltics</v>
      </c>
      <c r="H5846" t="s">
        <v>6949</v>
      </c>
    </row>
    <row r="5847" spans="1:8">
      <c r="A5847" t="s">
        <v>6734</v>
      </c>
      <c r="B5847" t="s">
        <v>709</v>
      </c>
      <c r="C5847" s="1">
        <v>45227</v>
      </c>
      <c r="D5847" s="1" t="str">
        <f>PROPER(orders[[#This Row],[order_priority]])</f>
        <v>Economy</v>
      </c>
      <c r="E5847" t="s">
        <v>13316</v>
      </c>
      <c r="F5847" t="str">
        <f>IFERROR(INDEX(customers[country], MATCH(orders[[#This Row],[customer_id]], customers[customer_id], 0)), "Unmapped")</f>
        <v>Netherlands</v>
      </c>
      <c r="G5847" t="str">
        <f>IFERROR(INDEX(Region_Map[Region], MATCH(orders[[#This Row],[Customer_Country]], Region_Map[Country], 0)), "Unknown")</f>
        <v>Central Europe</v>
      </c>
      <c r="H5847" t="s">
        <v>6949</v>
      </c>
    </row>
    <row r="5848" spans="1:8">
      <c r="A5848" t="s">
        <v>6735</v>
      </c>
      <c r="B5848" t="s">
        <v>533</v>
      </c>
      <c r="C5848" s="1">
        <v>45367</v>
      </c>
      <c r="D5848" s="1" t="str">
        <f>PROPER(orders[[#This Row],[order_priority]])</f>
        <v>Standard</v>
      </c>
      <c r="E5848" t="s">
        <v>13317</v>
      </c>
      <c r="F5848" t="str">
        <f>IFERROR(INDEX(customers[country], MATCH(orders[[#This Row],[customer_id]], customers[customer_id], 0)), "Unmapped")</f>
        <v>Germany</v>
      </c>
      <c r="G5848" t="str">
        <f>IFERROR(INDEX(Region_Map[Region], MATCH(orders[[#This Row],[Customer_Country]], Region_Map[Country], 0)), "Unknown")</f>
        <v>Central Europe</v>
      </c>
      <c r="H5848" t="s">
        <v>6949</v>
      </c>
    </row>
    <row r="5849" spans="1:8">
      <c r="A5849" t="s">
        <v>6736</v>
      </c>
      <c r="B5849" t="s">
        <v>778</v>
      </c>
      <c r="C5849" s="1">
        <v>45154</v>
      </c>
      <c r="D5849" s="1" t="str">
        <f>PROPER(orders[[#This Row],[order_priority]])</f>
        <v>Standard</v>
      </c>
      <c r="E5849" t="s">
        <v>13317</v>
      </c>
      <c r="F5849" t="str">
        <f>IFERROR(INDEX(customers[country], MATCH(orders[[#This Row],[customer_id]], customers[customer_id], 0)), "Unmapped")</f>
        <v>Estonia</v>
      </c>
      <c r="G5849" t="str">
        <f>IFERROR(INDEX(Region_Map[Region], MATCH(orders[[#This Row],[Customer_Country]], Region_Map[Country], 0)), "Unknown")</f>
        <v>Baltics</v>
      </c>
      <c r="H5849" t="s">
        <v>6949</v>
      </c>
    </row>
    <row r="5850" spans="1:8">
      <c r="A5850" t="s">
        <v>6737</v>
      </c>
      <c r="B5850" t="s">
        <v>87</v>
      </c>
      <c r="C5850" s="1">
        <v>45256</v>
      </c>
      <c r="D5850" s="1" t="str">
        <f>PROPER(orders[[#This Row],[order_priority]])</f>
        <v>Economy</v>
      </c>
      <c r="E5850" t="s">
        <v>13316</v>
      </c>
      <c r="F5850" t="str">
        <f>IFERROR(INDEX(customers[country], MATCH(orders[[#This Row],[customer_id]], customers[customer_id], 0)), "Unmapped")</f>
        <v>Latvia</v>
      </c>
      <c r="G5850" t="str">
        <f>IFERROR(INDEX(Region_Map[Region], MATCH(orders[[#This Row],[Customer_Country]], Region_Map[Country], 0)), "Unknown")</f>
        <v>Baltics</v>
      </c>
      <c r="H5850" t="s">
        <v>6949</v>
      </c>
    </row>
    <row r="5851" spans="1:8">
      <c r="A5851" t="s">
        <v>6738</v>
      </c>
      <c r="B5851" t="s">
        <v>749</v>
      </c>
      <c r="C5851" s="1">
        <v>45061</v>
      </c>
      <c r="D5851" s="1" t="str">
        <f>PROPER(orders[[#This Row],[order_priority]])</f>
        <v>Same Day</v>
      </c>
      <c r="E5851" t="s">
        <v>13322</v>
      </c>
      <c r="F5851" t="str">
        <f>IFERROR(INDEX(customers[country], MATCH(orders[[#This Row],[customer_id]], customers[customer_id], 0)), "Unmapped")</f>
        <v>Latvia</v>
      </c>
      <c r="G5851" t="str">
        <f>IFERROR(INDEX(Region_Map[Region], MATCH(orders[[#This Row],[Customer_Country]], Region_Map[Country], 0)), "Unknown")</f>
        <v>Baltics</v>
      </c>
      <c r="H5851" t="s">
        <v>6949</v>
      </c>
    </row>
    <row r="5852" spans="1:8">
      <c r="A5852" t="s">
        <v>6739</v>
      </c>
      <c r="B5852" t="s">
        <v>401</v>
      </c>
      <c r="C5852" s="1">
        <v>45541</v>
      </c>
      <c r="D5852" s="1" t="str">
        <f>PROPER(orders[[#This Row],[order_priority]])</f>
        <v>Standard</v>
      </c>
      <c r="E5852" t="s">
        <v>13319</v>
      </c>
      <c r="F5852" t="str">
        <f>IFERROR(INDEX(customers[country], MATCH(orders[[#This Row],[customer_id]], customers[customer_id], 0)), "Unmapped")</f>
        <v>Latvia</v>
      </c>
      <c r="G5852" t="str">
        <f>IFERROR(INDEX(Region_Map[Region], MATCH(orders[[#This Row],[Customer_Country]], Region_Map[Country], 0)), "Unknown")</f>
        <v>Baltics</v>
      </c>
      <c r="H5852" t="s">
        <v>6949</v>
      </c>
    </row>
    <row r="5853" spans="1:8">
      <c r="A5853" t="s">
        <v>6740</v>
      </c>
      <c r="B5853" t="s">
        <v>808</v>
      </c>
      <c r="C5853" s="1">
        <v>45548</v>
      </c>
      <c r="D5853" s="1" t="str">
        <f>PROPER(orders[[#This Row],[order_priority]])</f>
        <v>Express</v>
      </c>
      <c r="E5853" t="s">
        <v>13318</v>
      </c>
      <c r="F5853" t="str">
        <f>IFERROR(INDEX(customers[country], MATCH(orders[[#This Row],[customer_id]], customers[customer_id], 0)), "Unmapped")</f>
        <v>Sweden</v>
      </c>
      <c r="G5853" t="str">
        <f>IFERROR(INDEX(Region_Map[Region], MATCH(orders[[#This Row],[Customer_Country]], Region_Map[Country], 0)), "Unknown")</f>
        <v>Nordics</v>
      </c>
      <c r="H5853" t="s">
        <v>6949</v>
      </c>
    </row>
    <row r="5854" spans="1:8">
      <c r="A5854" t="s">
        <v>6741</v>
      </c>
      <c r="B5854" t="s">
        <v>664</v>
      </c>
      <c r="C5854" s="1">
        <v>45554</v>
      </c>
      <c r="D5854" s="1" t="str">
        <f>PROPER(orders[[#This Row],[order_priority]])</f>
        <v>Same Day</v>
      </c>
      <c r="E5854" t="s">
        <v>13322</v>
      </c>
      <c r="F5854" t="str">
        <f>IFERROR(INDEX(customers[country], MATCH(orders[[#This Row],[customer_id]], customers[customer_id], 0)), "Unmapped")</f>
        <v>Latvia</v>
      </c>
      <c r="G5854" t="str">
        <f>IFERROR(INDEX(Region_Map[Region], MATCH(orders[[#This Row],[Customer_Country]], Region_Map[Country], 0)), "Unknown")</f>
        <v>Baltics</v>
      </c>
      <c r="H5854" t="s">
        <v>6949</v>
      </c>
    </row>
    <row r="5855" spans="1:8">
      <c r="A5855" t="s">
        <v>6742</v>
      </c>
      <c r="B5855" t="s">
        <v>819</v>
      </c>
      <c r="C5855" s="1">
        <v>45424</v>
      </c>
      <c r="D5855" s="1" t="str">
        <f>PROPER(orders[[#This Row],[order_priority]])</f>
        <v>Express</v>
      </c>
      <c r="E5855" t="s">
        <v>13318</v>
      </c>
      <c r="F5855" t="str">
        <f>IFERROR(INDEX(customers[country], MATCH(orders[[#This Row],[customer_id]], customers[customer_id], 0)), "Unmapped")</f>
        <v>Estonia</v>
      </c>
      <c r="G5855" t="str">
        <f>IFERROR(INDEX(Region_Map[Region], MATCH(orders[[#This Row],[Customer_Country]], Region_Map[Country], 0)), "Unknown")</f>
        <v>Baltics</v>
      </c>
      <c r="H5855" t="s">
        <v>6949</v>
      </c>
    </row>
    <row r="5856" spans="1:8">
      <c r="A5856" t="s">
        <v>6743</v>
      </c>
      <c r="B5856" t="s">
        <v>297</v>
      </c>
      <c r="C5856" s="1">
        <v>45469</v>
      </c>
      <c r="D5856" s="1" t="str">
        <f>PROPER(orders[[#This Row],[order_priority]])</f>
        <v>Standard</v>
      </c>
      <c r="E5856" t="s">
        <v>13317</v>
      </c>
      <c r="F5856" t="str">
        <f>IFERROR(INDEX(customers[country], MATCH(orders[[#This Row],[customer_id]], customers[customer_id], 0)), "Unmapped")</f>
        <v>Poland</v>
      </c>
      <c r="G5856" t="str">
        <f>IFERROR(INDEX(Region_Map[Region], MATCH(orders[[#This Row],[Customer_Country]], Region_Map[Country], 0)), "Unknown")</f>
        <v>Central Europe</v>
      </c>
      <c r="H5856" t="s">
        <v>6949</v>
      </c>
    </row>
    <row r="5857" spans="1:8">
      <c r="A5857" t="s">
        <v>6744</v>
      </c>
      <c r="B5857" t="s">
        <v>365</v>
      </c>
      <c r="C5857" s="1">
        <v>45577</v>
      </c>
      <c r="D5857" s="1" t="str">
        <f>PROPER(orders[[#This Row],[order_priority]])</f>
        <v>Standard</v>
      </c>
      <c r="E5857" t="s">
        <v>13317</v>
      </c>
      <c r="F5857" t="str">
        <f>IFERROR(INDEX(customers[country], MATCH(orders[[#This Row],[customer_id]], customers[customer_id], 0)), "Unmapped")</f>
        <v>Poland</v>
      </c>
      <c r="G5857" t="str">
        <f>IFERROR(INDEX(Region_Map[Region], MATCH(orders[[#This Row],[Customer_Country]], Region_Map[Country], 0)), "Unknown")</f>
        <v>Central Europe</v>
      </c>
      <c r="H5857" t="s">
        <v>6949</v>
      </c>
    </row>
    <row r="5858" spans="1:8">
      <c r="A5858" t="s">
        <v>6745</v>
      </c>
      <c r="B5858" t="s">
        <v>685</v>
      </c>
      <c r="C5858" s="1">
        <v>45203</v>
      </c>
      <c r="D5858" s="1" t="str">
        <f>PROPER(orders[[#This Row],[order_priority]])</f>
        <v>Express</v>
      </c>
      <c r="E5858" t="s">
        <v>13318</v>
      </c>
      <c r="F5858" t="str">
        <f>IFERROR(INDEX(customers[country], MATCH(orders[[#This Row],[customer_id]], customers[customer_id], 0)), "Unmapped")</f>
        <v>Latvia</v>
      </c>
      <c r="G5858" t="str">
        <f>IFERROR(INDEX(Region_Map[Region], MATCH(orders[[#This Row],[Customer_Country]], Region_Map[Country], 0)), "Unknown")</f>
        <v>Baltics</v>
      </c>
      <c r="H5858" t="s">
        <v>6949</v>
      </c>
    </row>
    <row r="5859" spans="1:8">
      <c r="A5859" t="s">
        <v>6746</v>
      </c>
      <c r="B5859" t="s">
        <v>539</v>
      </c>
      <c r="C5859" s="1">
        <v>45019</v>
      </c>
      <c r="D5859" s="1" t="str">
        <f>PROPER(orders[[#This Row],[order_priority]])</f>
        <v>Standard</v>
      </c>
      <c r="E5859" t="s">
        <v>13317</v>
      </c>
      <c r="F5859" t="str">
        <f>IFERROR(INDEX(customers[country], MATCH(orders[[#This Row],[customer_id]], customers[customer_id], 0)), "Unmapped")</f>
        <v>Sweden</v>
      </c>
      <c r="G5859" t="str">
        <f>IFERROR(INDEX(Region_Map[Region], MATCH(orders[[#This Row],[Customer_Country]], Region_Map[Country], 0)), "Unknown")</f>
        <v>Nordics</v>
      </c>
      <c r="H5859" t="s">
        <v>6949</v>
      </c>
    </row>
    <row r="5860" spans="1:8">
      <c r="A5860" t="s">
        <v>6747</v>
      </c>
      <c r="B5860" t="s">
        <v>733</v>
      </c>
      <c r="C5860" s="1">
        <v>45352</v>
      </c>
      <c r="D5860" s="1" t="str">
        <f>PROPER(orders[[#This Row],[order_priority]])</f>
        <v>Express</v>
      </c>
      <c r="E5860" t="s">
        <v>13318</v>
      </c>
      <c r="F5860" t="str">
        <f>IFERROR(INDEX(customers[country], MATCH(orders[[#This Row],[customer_id]], customers[customer_id], 0)), "Unmapped")</f>
        <v>Lithuania</v>
      </c>
      <c r="G5860" t="str">
        <f>IFERROR(INDEX(Region_Map[Region], MATCH(orders[[#This Row],[Customer_Country]], Region_Map[Country], 0)), "Unknown")</f>
        <v>Baltics</v>
      </c>
      <c r="H5860" t="s">
        <v>6949</v>
      </c>
    </row>
    <row r="5861" spans="1:8">
      <c r="A5861" t="s">
        <v>6748</v>
      </c>
      <c r="B5861" t="s">
        <v>204</v>
      </c>
      <c r="C5861" s="1">
        <v>45178</v>
      </c>
      <c r="D5861" s="1" t="str">
        <f>PROPER(orders[[#This Row],[order_priority]])</f>
        <v>Economy</v>
      </c>
      <c r="E5861" t="s">
        <v>13325</v>
      </c>
      <c r="F5861" t="str">
        <f>IFERROR(INDEX(customers[country], MATCH(orders[[#This Row],[customer_id]], customers[customer_id], 0)), "Unmapped")</f>
        <v>Sweden</v>
      </c>
      <c r="G5861" t="str">
        <f>IFERROR(INDEX(Region_Map[Region], MATCH(orders[[#This Row],[Customer_Country]], Region_Map[Country], 0)), "Unknown")</f>
        <v>Nordics</v>
      </c>
      <c r="H5861" t="s">
        <v>6949</v>
      </c>
    </row>
    <row r="5862" spans="1:8">
      <c r="A5862" t="s">
        <v>6749</v>
      </c>
      <c r="B5862" t="s">
        <v>766</v>
      </c>
      <c r="C5862" s="1">
        <v>45271</v>
      </c>
      <c r="D5862" s="1" t="str">
        <f>PROPER(orders[[#This Row],[order_priority]])</f>
        <v>Standard</v>
      </c>
      <c r="E5862" t="s">
        <v>13317</v>
      </c>
      <c r="F5862" t="str">
        <f>IFERROR(INDEX(customers[country], MATCH(orders[[#This Row],[customer_id]], customers[customer_id], 0)), "Unmapped")</f>
        <v>Germany</v>
      </c>
      <c r="G5862" t="str">
        <f>IFERROR(INDEX(Region_Map[Region], MATCH(orders[[#This Row],[Customer_Country]], Region_Map[Country], 0)), "Unknown")</f>
        <v>Central Europe</v>
      </c>
      <c r="H5862" t="s">
        <v>6949</v>
      </c>
    </row>
    <row r="5863" spans="1:8">
      <c r="A5863" t="s">
        <v>6750</v>
      </c>
      <c r="B5863" t="s">
        <v>314</v>
      </c>
      <c r="C5863" s="1">
        <v>45150</v>
      </c>
      <c r="D5863" s="1" t="str">
        <f>PROPER(orders[[#This Row],[order_priority]])</f>
        <v>Standard</v>
      </c>
      <c r="E5863" t="s">
        <v>13317</v>
      </c>
      <c r="F5863" t="str">
        <f>IFERROR(INDEX(customers[country], MATCH(orders[[#This Row],[customer_id]], customers[customer_id], 0)), "Unmapped")</f>
        <v>Poland</v>
      </c>
      <c r="G5863" t="str">
        <f>IFERROR(INDEX(Region_Map[Region], MATCH(orders[[#This Row],[Customer_Country]], Region_Map[Country], 0)), "Unknown")</f>
        <v>Central Europe</v>
      </c>
      <c r="H5863" t="s">
        <v>6949</v>
      </c>
    </row>
    <row r="5864" spans="1:8">
      <c r="A5864" t="s">
        <v>6751</v>
      </c>
      <c r="B5864" t="s">
        <v>222</v>
      </c>
      <c r="C5864" s="1">
        <v>45281</v>
      </c>
      <c r="D5864" s="1" t="str">
        <f>PROPER(orders[[#This Row],[order_priority]])</f>
        <v>Standard</v>
      </c>
      <c r="E5864" t="s">
        <v>13317</v>
      </c>
      <c r="F5864" t="str">
        <f>IFERROR(INDEX(customers[country], MATCH(orders[[#This Row],[customer_id]], customers[customer_id], 0)), "Unmapped")</f>
        <v>Norway</v>
      </c>
      <c r="G5864" t="str">
        <f>IFERROR(INDEX(Region_Map[Region], MATCH(orders[[#This Row],[Customer_Country]], Region_Map[Country], 0)), "Unknown")</f>
        <v>Nordics</v>
      </c>
      <c r="H5864" t="s">
        <v>6949</v>
      </c>
    </row>
    <row r="5865" spans="1:8">
      <c r="A5865" t="s">
        <v>6752</v>
      </c>
      <c r="B5865" t="s">
        <v>664</v>
      </c>
      <c r="C5865" s="1">
        <v>44947</v>
      </c>
      <c r="D5865" s="1" t="str">
        <f>PROPER(orders[[#This Row],[order_priority]])</f>
        <v>Same Day</v>
      </c>
      <c r="E5865" t="s">
        <v>13324</v>
      </c>
      <c r="F5865" t="str">
        <f>IFERROR(INDEX(customers[country], MATCH(orders[[#This Row],[customer_id]], customers[customer_id], 0)), "Unmapped")</f>
        <v>Latvia</v>
      </c>
      <c r="G5865" t="str">
        <f>IFERROR(INDEX(Region_Map[Region], MATCH(orders[[#This Row],[Customer_Country]], Region_Map[Country], 0)), "Unknown")</f>
        <v>Baltics</v>
      </c>
      <c r="H5865" t="s">
        <v>6949</v>
      </c>
    </row>
    <row r="5866" spans="1:8">
      <c r="A5866" t="s">
        <v>6753</v>
      </c>
      <c r="B5866" t="s">
        <v>679</v>
      </c>
      <c r="C5866" s="1">
        <v>45434</v>
      </c>
      <c r="D5866" s="1" t="str">
        <f>PROPER(orders[[#This Row],[order_priority]])</f>
        <v>Economy</v>
      </c>
      <c r="E5866" t="s">
        <v>13316</v>
      </c>
      <c r="F5866" t="str">
        <f>IFERROR(INDEX(customers[country], MATCH(orders[[#This Row],[customer_id]], customers[customer_id], 0)), "Unmapped")</f>
        <v>Norway</v>
      </c>
      <c r="G5866" t="str">
        <f>IFERROR(INDEX(Region_Map[Region], MATCH(orders[[#This Row],[Customer_Country]], Region_Map[Country], 0)), "Unknown")</f>
        <v>Nordics</v>
      </c>
      <c r="H5866" t="s">
        <v>6949</v>
      </c>
    </row>
    <row r="5867" spans="1:8">
      <c r="A5867" t="s">
        <v>6754</v>
      </c>
      <c r="B5867" t="s">
        <v>473</v>
      </c>
      <c r="C5867" s="1">
        <v>45548</v>
      </c>
      <c r="D5867" s="1" t="str">
        <f>PROPER(orders[[#This Row],[order_priority]])</f>
        <v>Same Day</v>
      </c>
      <c r="E5867" t="s">
        <v>13322</v>
      </c>
      <c r="F5867" t="str">
        <f>IFERROR(INDEX(customers[country], MATCH(orders[[#This Row],[customer_id]], customers[customer_id], 0)), "Unmapped")</f>
        <v>Netherlands</v>
      </c>
      <c r="G5867" t="str">
        <f>IFERROR(INDEX(Region_Map[Region], MATCH(orders[[#This Row],[Customer_Country]], Region_Map[Country], 0)), "Unknown")</f>
        <v>Central Europe</v>
      </c>
      <c r="H5867" t="s">
        <v>6949</v>
      </c>
    </row>
    <row r="5868" spans="1:8">
      <c r="A5868" t="s">
        <v>6755</v>
      </c>
      <c r="B5868" t="s">
        <v>276</v>
      </c>
      <c r="C5868" s="1">
        <v>45018</v>
      </c>
      <c r="D5868" s="1" t="str">
        <f>PROPER(orders[[#This Row],[order_priority]])</f>
        <v>Standard</v>
      </c>
      <c r="E5868" t="s">
        <v>13317</v>
      </c>
      <c r="F5868" t="str">
        <f>IFERROR(INDEX(customers[country], MATCH(orders[[#This Row],[customer_id]], customers[customer_id], 0)), "Unmapped")</f>
        <v>Sweden</v>
      </c>
      <c r="G5868" t="str">
        <f>IFERROR(INDEX(Region_Map[Region], MATCH(orders[[#This Row],[Customer_Country]], Region_Map[Country], 0)), "Unknown")</f>
        <v>Nordics</v>
      </c>
      <c r="H5868" t="s">
        <v>6949</v>
      </c>
    </row>
    <row r="5869" spans="1:8">
      <c r="A5869" t="s">
        <v>6756</v>
      </c>
      <c r="B5869" t="s">
        <v>778</v>
      </c>
      <c r="C5869" s="1">
        <v>45353</v>
      </c>
      <c r="D5869" s="1" t="str">
        <f>PROPER(orders[[#This Row],[order_priority]])</f>
        <v>Standard</v>
      </c>
      <c r="E5869" t="s">
        <v>13319</v>
      </c>
      <c r="F5869" t="str">
        <f>IFERROR(INDEX(customers[country], MATCH(orders[[#This Row],[customer_id]], customers[customer_id], 0)), "Unmapped")</f>
        <v>Estonia</v>
      </c>
      <c r="G5869" t="str">
        <f>IFERROR(INDEX(Region_Map[Region], MATCH(orders[[#This Row],[Customer_Country]], Region_Map[Country], 0)), "Unknown")</f>
        <v>Baltics</v>
      </c>
      <c r="H5869" t="s">
        <v>6949</v>
      </c>
    </row>
    <row r="5870" spans="1:8">
      <c r="A5870" t="s">
        <v>6757</v>
      </c>
      <c r="B5870" t="s">
        <v>688</v>
      </c>
      <c r="C5870" s="1">
        <v>44945</v>
      </c>
      <c r="D5870" s="1" t="str">
        <f>PROPER(orders[[#This Row],[order_priority]])</f>
        <v>Express</v>
      </c>
      <c r="E5870" t="s">
        <v>13318</v>
      </c>
      <c r="F5870" t="str">
        <f>IFERROR(INDEX(customers[country], MATCH(orders[[#This Row],[customer_id]], customers[customer_id], 0)), "Unmapped")</f>
        <v>Norway</v>
      </c>
      <c r="G5870" t="str">
        <f>IFERROR(INDEX(Region_Map[Region], MATCH(orders[[#This Row],[Customer_Country]], Region_Map[Country], 0)), "Unknown")</f>
        <v>Nordics</v>
      </c>
      <c r="H5870" t="s">
        <v>6949</v>
      </c>
    </row>
    <row r="5871" spans="1:8">
      <c r="A5871" t="s">
        <v>6758</v>
      </c>
      <c r="B5871" t="s">
        <v>688</v>
      </c>
      <c r="C5871" s="1">
        <v>45183</v>
      </c>
      <c r="D5871" s="1" t="str">
        <f>PROPER(orders[[#This Row],[order_priority]])</f>
        <v>Economy</v>
      </c>
      <c r="E5871" t="s">
        <v>13316</v>
      </c>
      <c r="F5871" t="str">
        <f>IFERROR(INDEX(customers[country], MATCH(orders[[#This Row],[customer_id]], customers[customer_id], 0)), "Unmapped")</f>
        <v>Norway</v>
      </c>
      <c r="G5871" t="str">
        <f>IFERROR(INDEX(Region_Map[Region], MATCH(orders[[#This Row],[Customer_Country]], Region_Map[Country], 0)), "Unknown")</f>
        <v>Nordics</v>
      </c>
      <c r="H5871" t="s">
        <v>6949</v>
      </c>
    </row>
    <row r="5872" spans="1:8">
      <c r="A5872" t="s">
        <v>6759</v>
      </c>
      <c r="B5872" t="s">
        <v>297</v>
      </c>
      <c r="C5872" s="1">
        <v>45465</v>
      </c>
      <c r="D5872" s="1" t="str">
        <f>PROPER(orders[[#This Row],[order_priority]])</f>
        <v>Express</v>
      </c>
      <c r="E5872" t="s">
        <v>13318</v>
      </c>
      <c r="F5872" t="str">
        <f>IFERROR(INDEX(customers[country], MATCH(orders[[#This Row],[customer_id]], customers[customer_id], 0)), "Unmapped")</f>
        <v>Poland</v>
      </c>
      <c r="G5872" t="str">
        <f>IFERROR(INDEX(Region_Map[Region], MATCH(orders[[#This Row],[Customer_Country]], Region_Map[Country], 0)), "Unknown")</f>
        <v>Central Europe</v>
      </c>
      <c r="H5872" t="s">
        <v>6949</v>
      </c>
    </row>
    <row r="5873" spans="1:8">
      <c r="A5873" t="s">
        <v>6760</v>
      </c>
      <c r="B5873" t="s">
        <v>309</v>
      </c>
      <c r="C5873" s="1">
        <v>45079</v>
      </c>
      <c r="D5873" s="1" t="str">
        <f>PROPER(orders[[#This Row],[order_priority]])</f>
        <v>Express</v>
      </c>
      <c r="E5873" t="s">
        <v>13318</v>
      </c>
      <c r="F5873" t="str">
        <f>IFERROR(INDEX(customers[country], MATCH(orders[[#This Row],[customer_id]], customers[customer_id], 0)), "Unmapped")</f>
        <v>Lithuania</v>
      </c>
      <c r="G5873" t="str">
        <f>IFERROR(INDEX(Region_Map[Region], MATCH(orders[[#This Row],[Customer_Country]], Region_Map[Country], 0)), "Unknown")</f>
        <v>Baltics</v>
      </c>
      <c r="H5873" t="s">
        <v>6949</v>
      </c>
    </row>
    <row r="5874" spans="1:8">
      <c r="A5874" t="s">
        <v>6761</v>
      </c>
      <c r="B5874" t="s">
        <v>843</v>
      </c>
      <c r="C5874" s="1">
        <v>45294</v>
      </c>
      <c r="D5874" s="1" t="str">
        <f>PROPER(orders[[#This Row],[order_priority]])</f>
        <v>Express</v>
      </c>
      <c r="E5874" t="s">
        <v>13318</v>
      </c>
      <c r="F5874" t="str">
        <f>IFERROR(INDEX(customers[country], MATCH(orders[[#This Row],[customer_id]], customers[customer_id], 0)), "Unmapped")</f>
        <v>Netherlands</v>
      </c>
      <c r="G5874" t="str">
        <f>IFERROR(INDEX(Region_Map[Region], MATCH(orders[[#This Row],[Customer_Country]], Region_Map[Country], 0)), "Unknown")</f>
        <v>Central Europe</v>
      </c>
      <c r="H5874" t="s">
        <v>6949</v>
      </c>
    </row>
    <row r="5875" spans="1:8">
      <c r="A5875" t="s">
        <v>6762</v>
      </c>
      <c r="B5875" t="s">
        <v>641</v>
      </c>
      <c r="C5875" s="1">
        <v>45341</v>
      </c>
      <c r="D5875" s="1" t="str">
        <f>PROPER(orders[[#This Row],[order_priority]])</f>
        <v>Express</v>
      </c>
      <c r="E5875" t="s">
        <v>13318</v>
      </c>
      <c r="F5875" t="str">
        <f>IFERROR(INDEX(customers[country], MATCH(orders[[#This Row],[customer_id]], customers[customer_id], 0)), "Unmapped")</f>
        <v>Poland</v>
      </c>
      <c r="G5875" t="str">
        <f>IFERROR(INDEX(Region_Map[Region], MATCH(orders[[#This Row],[Customer_Country]], Region_Map[Country], 0)), "Unknown")</f>
        <v>Central Europe</v>
      </c>
      <c r="H5875" t="s">
        <v>6949</v>
      </c>
    </row>
    <row r="5876" spans="1:8">
      <c r="A5876" t="s">
        <v>6763</v>
      </c>
      <c r="B5876" t="s">
        <v>45</v>
      </c>
      <c r="C5876" s="1">
        <v>45259</v>
      </c>
      <c r="D5876" s="1" t="str">
        <f>PROPER(orders[[#This Row],[order_priority]])</f>
        <v>Express</v>
      </c>
      <c r="E5876" t="s">
        <v>13318</v>
      </c>
      <c r="F5876" t="str">
        <f>IFERROR(INDEX(customers[country], MATCH(orders[[#This Row],[customer_id]], customers[customer_id], 0)), "Unmapped")</f>
        <v>Netherlands</v>
      </c>
      <c r="G5876" t="str">
        <f>IFERROR(INDEX(Region_Map[Region], MATCH(orders[[#This Row],[Customer_Country]], Region_Map[Country], 0)), "Unknown")</f>
        <v>Central Europe</v>
      </c>
      <c r="H5876" t="s">
        <v>6949</v>
      </c>
    </row>
    <row r="5877" spans="1:8">
      <c r="A5877" t="s">
        <v>6764</v>
      </c>
      <c r="B5877" t="s">
        <v>279</v>
      </c>
      <c r="C5877" s="1">
        <v>45461</v>
      </c>
      <c r="D5877" s="1" t="str">
        <f>PROPER(orders[[#This Row],[order_priority]])</f>
        <v>Same Day</v>
      </c>
      <c r="E5877" t="s">
        <v>13321</v>
      </c>
      <c r="F5877" t="str">
        <f>IFERROR(INDEX(customers[country], MATCH(orders[[#This Row],[customer_id]], customers[customer_id], 0)), "Unmapped")</f>
        <v>Germany</v>
      </c>
      <c r="G5877" t="str">
        <f>IFERROR(INDEX(Region_Map[Region], MATCH(orders[[#This Row],[Customer_Country]], Region_Map[Country], 0)), "Unknown")</f>
        <v>Central Europe</v>
      </c>
      <c r="H5877" t="s">
        <v>6949</v>
      </c>
    </row>
    <row r="5878" spans="1:8">
      <c r="A5878" t="s">
        <v>6765</v>
      </c>
      <c r="B5878" t="s">
        <v>560</v>
      </c>
      <c r="C5878" s="1">
        <v>45173</v>
      </c>
      <c r="D5878" s="1" t="str">
        <f>PROPER(orders[[#This Row],[order_priority]])</f>
        <v>Same Day</v>
      </c>
      <c r="E5878" t="s">
        <v>13321</v>
      </c>
      <c r="F5878" t="str">
        <f>IFERROR(INDEX(customers[country], MATCH(orders[[#This Row],[customer_id]], customers[customer_id], 0)), "Unmapped")</f>
        <v>Finland</v>
      </c>
      <c r="G5878" t="str">
        <f>IFERROR(INDEX(Region_Map[Region], MATCH(orders[[#This Row],[Customer_Country]], Region_Map[Country], 0)), "Unknown")</f>
        <v>Nordics</v>
      </c>
      <c r="H5878" t="s">
        <v>6949</v>
      </c>
    </row>
    <row r="5879" spans="1:8">
      <c r="A5879" t="s">
        <v>6766</v>
      </c>
      <c r="B5879" t="s">
        <v>428</v>
      </c>
      <c r="C5879" s="1">
        <v>45302</v>
      </c>
      <c r="D5879" s="1" t="str">
        <f>PROPER(orders[[#This Row],[order_priority]])</f>
        <v>Standard</v>
      </c>
      <c r="E5879" t="s">
        <v>13317</v>
      </c>
      <c r="F5879" t="str">
        <f>IFERROR(INDEX(customers[country], MATCH(orders[[#This Row],[customer_id]], customers[customer_id], 0)), "Unmapped")</f>
        <v>Finland</v>
      </c>
      <c r="G5879" t="str">
        <f>IFERROR(INDEX(Region_Map[Region], MATCH(orders[[#This Row],[Customer_Country]], Region_Map[Country], 0)), "Unknown")</f>
        <v>Nordics</v>
      </c>
      <c r="H5879" t="s">
        <v>6949</v>
      </c>
    </row>
    <row r="5880" spans="1:8">
      <c r="A5880" t="s">
        <v>6767</v>
      </c>
      <c r="B5880" t="s">
        <v>225</v>
      </c>
      <c r="C5880" s="1">
        <v>45521</v>
      </c>
      <c r="D5880" s="1" t="str">
        <f>PROPER(orders[[#This Row],[order_priority]])</f>
        <v>Same Day</v>
      </c>
      <c r="E5880" t="s">
        <v>13322</v>
      </c>
      <c r="F5880" t="str">
        <f>IFERROR(INDEX(customers[country], MATCH(orders[[#This Row],[customer_id]], customers[customer_id], 0)), "Unmapped")</f>
        <v>Poland</v>
      </c>
      <c r="G5880" t="str">
        <f>IFERROR(INDEX(Region_Map[Region], MATCH(orders[[#This Row],[Customer_Country]], Region_Map[Country], 0)), "Unknown")</f>
        <v>Central Europe</v>
      </c>
      <c r="H5880" t="s">
        <v>6949</v>
      </c>
    </row>
    <row r="5881" spans="1:8">
      <c r="A5881" t="s">
        <v>6768</v>
      </c>
      <c r="B5881" t="s">
        <v>192</v>
      </c>
      <c r="C5881" s="1">
        <v>45044</v>
      </c>
      <c r="D5881" s="1" t="str">
        <f>PROPER(orders[[#This Row],[order_priority]])</f>
        <v>Economy</v>
      </c>
      <c r="E5881" t="s">
        <v>13316</v>
      </c>
      <c r="F5881" t="str">
        <f>IFERROR(INDEX(customers[country], MATCH(orders[[#This Row],[customer_id]], customers[customer_id], 0)), "Unmapped")</f>
        <v>Estonia</v>
      </c>
      <c r="G5881" t="str">
        <f>IFERROR(INDEX(Region_Map[Region], MATCH(orders[[#This Row],[Customer_Country]], Region_Map[Country], 0)), "Unknown")</f>
        <v>Baltics</v>
      </c>
      <c r="H5881" t="s">
        <v>6949</v>
      </c>
    </row>
    <row r="5882" spans="1:8">
      <c r="A5882" t="s">
        <v>6769</v>
      </c>
      <c r="B5882" t="s">
        <v>34</v>
      </c>
      <c r="C5882" s="1">
        <v>45138</v>
      </c>
      <c r="D5882" s="1" t="str">
        <f>PROPER(orders[[#This Row],[order_priority]])</f>
        <v>Economy</v>
      </c>
      <c r="E5882" t="s">
        <v>13325</v>
      </c>
      <c r="F5882" t="str">
        <f>IFERROR(INDEX(customers[country], MATCH(orders[[#This Row],[customer_id]], customers[customer_id], 0)), "Unmapped")</f>
        <v>Sweden</v>
      </c>
      <c r="G5882" t="str">
        <f>IFERROR(INDEX(Region_Map[Region], MATCH(orders[[#This Row],[Customer_Country]], Region_Map[Country], 0)), "Unknown")</f>
        <v>Nordics</v>
      </c>
      <c r="H5882" t="s">
        <v>6949</v>
      </c>
    </row>
    <row r="5883" spans="1:8">
      <c r="A5883" t="s">
        <v>6770</v>
      </c>
      <c r="B5883" t="s">
        <v>506</v>
      </c>
      <c r="C5883" s="1">
        <v>45096</v>
      </c>
      <c r="D5883" s="1" t="str">
        <f>PROPER(orders[[#This Row],[order_priority]])</f>
        <v>Same Day</v>
      </c>
      <c r="E5883" t="s">
        <v>13322</v>
      </c>
      <c r="F5883" t="str">
        <f>IFERROR(INDEX(customers[country], MATCH(orders[[#This Row],[customer_id]], customers[customer_id], 0)), "Unmapped")</f>
        <v>Poland</v>
      </c>
      <c r="G5883" t="str">
        <f>IFERROR(INDEX(Region_Map[Region], MATCH(orders[[#This Row],[Customer_Country]], Region_Map[Country], 0)), "Unknown")</f>
        <v>Central Europe</v>
      </c>
      <c r="H5883" t="s">
        <v>6949</v>
      </c>
    </row>
    <row r="5884" spans="1:8">
      <c r="A5884" t="s">
        <v>6771</v>
      </c>
      <c r="B5884" t="s">
        <v>479</v>
      </c>
      <c r="C5884" s="1">
        <v>45565</v>
      </c>
      <c r="D5884" s="1" t="str">
        <f>PROPER(orders[[#This Row],[order_priority]])</f>
        <v>Standard</v>
      </c>
      <c r="E5884" t="s">
        <v>13317</v>
      </c>
      <c r="F5884" t="str">
        <f>IFERROR(INDEX(customers[country], MATCH(orders[[#This Row],[customer_id]], customers[customer_id], 0)), "Unmapped")</f>
        <v>Latvia</v>
      </c>
      <c r="G5884" t="str">
        <f>IFERROR(INDEX(Region_Map[Region], MATCH(orders[[#This Row],[Customer_Country]], Region_Map[Country], 0)), "Unknown")</f>
        <v>Baltics</v>
      </c>
      <c r="H5884" t="s">
        <v>6949</v>
      </c>
    </row>
    <row r="5885" spans="1:8">
      <c r="A5885" t="s">
        <v>6772</v>
      </c>
      <c r="B5885" t="s">
        <v>51</v>
      </c>
      <c r="C5885" s="1">
        <v>45178</v>
      </c>
      <c r="D5885" s="1" t="str">
        <f>PROPER(orders[[#This Row],[order_priority]])</f>
        <v>Express</v>
      </c>
      <c r="E5885" t="s">
        <v>13318</v>
      </c>
      <c r="F5885" t="str">
        <f>IFERROR(INDEX(customers[country], MATCH(orders[[#This Row],[customer_id]], customers[customer_id], 0)), "Unmapped")</f>
        <v>Germany</v>
      </c>
      <c r="G5885" t="str">
        <f>IFERROR(INDEX(Region_Map[Region], MATCH(orders[[#This Row],[Customer_Country]], Region_Map[Country], 0)), "Unknown")</f>
        <v>Central Europe</v>
      </c>
      <c r="H5885" t="s">
        <v>6949</v>
      </c>
    </row>
    <row r="5886" spans="1:8">
      <c r="A5886" t="s">
        <v>6773</v>
      </c>
      <c r="B5886" t="s">
        <v>697</v>
      </c>
      <c r="C5886" s="1">
        <v>45097</v>
      </c>
      <c r="D5886" s="1" t="str">
        <f>PROPER(orders[[#This Row],[order_priority]])</f>
        <v>Standard</v>
      </c>
      <c r="E5886" t="s">
        <v>13317</v>
      </c>
      <c r="F5886" t="str">
        <f>IFERROR(INDEX(customers[country], MATCH(orders[[#This Row],[customer_id]], customers[customer_id], 0)), "Unmapped")</f>
        <v>Estonia</v>
      </c>
      <c r="G5886" t="str">
        <f>IFERROR(INDEX(Region_Map[Region], MATCH(orders[[#This Row],[Customer_Country]], Region_Map[Country], 0)), "Unknown")</f>
        <v>Baltics</v>
      </c>
      <c r="H5886" t="s">
        <v>6949</v>
      </c>
    </row>
    <row r="5887" spans="1:8">
      <c r="A5887" t="s">
        <v>6774</v>
      </c>
      <c r="B5887" t="s">
        <v>195</v>
      </c>
      <c r="C5887" s="1">
        <v>44952</v>
      </c>
      <c r="D5887" s="1" t="str">
        <f>PROPER(orders[[#This Row],[order_priority]])</f>
        <v>Economy</v>
      </c>
      <c r="E5887" t="s">
        <v>13316</v>
      </c>
      <c r="F5887" t="str">
        <f>IFERROR(INDEX(customers[country], MATCH(orders[[#This Row],[customer_id]], customers[customer_id], 0)), "Unmapped")</f>
        <v>Latvia</v>
      </c>
      <c r="G5887" t="str">
        <f>IFERROR(INDEX(Region_Map[Region], MATCH(orders[[#This Row],[Customer_Country]], Region_Map[Country], 0)), "Unknown")</f>
        <v>Baltics</v>
      </c>
      <c r="H5887" t="s">
        <v>6949</v>
      </c>
    </row>
    <row r="5888" spans="1:8">
      <c r="A5888" t="s">
        <v>6775</v>
      </c>
      <c r="B5888" t="s">
        <v>273</v>
      </c>
      <c r="C5888" s="1">
        <v>45292</v>
      </c>
      <c r="D5888" s="1" t="str">
        <f>PROPER(orders[[#This Row],[order_priority]])</f>
        <v>Economy</v>
      </c>
      <c r="E5888" t="s">
        <v>13328</v>
      </c>
      <c r="F5888" t="str">
        <f>IFERROR(INDEX(customers[country], MATCH(orders[[#This Row],[customer_id]], customers[customer_id], 0)), "Unmapped")</f>
        <v>Norway</v>
      </c>
      <c r="G5888" t="str">
        <f>IFERROR(INDEX(Region_Map[Region], MATCH(orders[[#This Row],[Customer_Country]], Region_Map[Country], 0)), "Unknown")</f>
        <v>Nordics</v>
      </c>
      <c r="H5888" t="s">
        <v>6949</v>
      </c>
    </row>
    <row r="5889" spans="1:8">
      <c r="A5889" t="s">
        <v>6776</v>
      </c>
      <c r="B5889" t="s">
        <v>885</v>
      </c>
      <c r="C5889" s="1">
        <v>45291</v>
      </c>
      <c r="D5889" s="1" t="str">
        <f>PROPER(orders[[#This Row],[order_priority]])</f>
        <v>Same Day</v>
      </c>
      <c r="E5889" t="s">
        <v>13322</v>
      </c>
      <c r="F5889" t="str">
        <f>IFERROR(INDEX(customers[country], MATCH(orders[[#This Row],[customer_id]], customers[customer_id], 0)), "Unmapped")</f>
        <v>Poland</v>
      </c>
      <c r="G5889" t="str">
        <f>IFERROR(INDEX(Region_Map[Region], MATCH(orders[[#This Row],[Customer_Country]], Region_Map[Country], 0)), "Unknown")</f>
        <v>Central Europe</v>
      </c>
      <c r="H5889" t="s">
        <v>6949</v>
      </c>
    </row>
    <row r="5890" spans="1:8">
      <c r="A5890" t="s">
        <v>6777</v>
      </c>
      <c r="B5890" t="s">
        <v>664</v>
      </c>
      <c r="C5890" s="1">
        <v>45329</v>
      </c>
      <c r="D5890" s="1" t="str">
        <f>PROPER(orders[[#This Row],[order_priority]])</f>
        <v>Same Day</v>
      </c>
      <c r="E5890" t="s">
        <v>13322</v>
      </c>
      <c r="F5890" t="str">
        <f>IFERROR(INDEX(customers[country], MATCH(orders[[#This Row],[customer_id]], customers[customer_id], 0)), "Unmapped")</f>
        <v>Latvia</v>
      </c>
      <c r="G5890" t="str">
        <f>IFERROR(INDEX(Region_Map[Region], MATCH(orders[[#This Row],[Customer_Country]], Region_Map[Country], 0)), "Unknown")</f>
        <v>Baltics</v>
      </c>
      <c r="H5890" t="s">
        <v>6949</v>
      </c>
    </row>
    <row r="5891" spans="1:8">
      <c r="A5891" t="s">
        <v>6778</v>
      </c>
      <c r="B5891" t="s">
        <v>350</v>
      </c>
      <c r="C5891" s="1">
        <v>45089</v>
      </c>
      <c r="D5891" s="1" t="str">
        <f>PROPER(orders[[#This Row],[order_priority]])</f>
        <v>Economy</v>
      </c>
      <c r="E5891" t="s">
        <v>13316</v>
      </c>
      <c r="F5891" t="str">
        <f>IFERROR(INDEX(customers[country], MATCH(orders[[#This Row],[customer_id]], customers[customer_id], 0)), "Unmapped")</f>
        <v>Netherlands</v>
      </c>
      <c r="G5891" t="str">
        <f>IFERROR(INDEX(Region_Map[Region], MATCH(orders[[#This Row],[Customer_Country]], Region_Map[Country], 0)), "Unknown")</f>
        <v>Central Europe</v>
      </c>
      <c r="H5891" t="s">
        <v>6949</v>
      </c>
    </row>
    <row r="5892" spans="1:8">
      <c r="A5892" t="s">
        <v>6779</v>
      </c>
      <c r="B5892" t="s">
        <v>243</v>
      </c>
      <c r="C5892" s="1">
        <v>44993</v>
      </c>
      <c r="D5892" s="1" t="str">
        <f>PROPER(orders[[#This Row],[order_priority]])</f>
        <v>Economy</v>
      </c>
      <c r="E5892" t="s">
        <v>13316</v>
      </c>
      <c r="F5892" t="str">
        <f>IFERROR(INDEX(customers[country], MATCH(orders[[#This Row],[customer_id]], customers[customer_id], 0)), "Unmapped")</f>
        <v>Netherlands</v>
      </c>
      <c r="G5892" t="str">
        <f>IFERROR(INDEX(Region_Map[Region], MATCH(orders[[#This Row],[Customer_Country]], Region_Map[Country], 0)), "Unknown")</f>
        <v>Central Europe</v>
      </c>
      <c r="H5892" t="s">
        <v>6949</v>
      </c>
    </row>
    <row r="5893" spans="1:8">
      <c r="A5893" t="s">
        <v>6780</v>
      </c>
      <c r="B5893" t="s">
        <v>473</v>
      </c>
      <c r="C5893" s="1">
        <v>45619</v>
      </c>
      <c r="D5893" s="1" t="str">
        <f>PROPER(orders[[#This Row],[order_priority]])</f>
        <v>Standard</v>
      </c>
      <c r="E5893" t="s">
        <v>13317</v>
      </c>
      <c r="F5893" t="str">
        <f>IFERROR(INDEX(customers[country], MATCH(orders[[#This Row],[customer_id]], customers[customer_id], 0)), "Unmapped")</f>
        <v>Netherlands</v>
      </c>
      <c r="G5893" t="str">
        <f>IFERROR(INDEX(Region_Map[Region], MATCH(orders[[#This Row],[Customer_Country]], Region_Map[Country], 0)), "Unknown")</f>
        <v>Central Europe</v>
      </c>
      <c r="H5893" t="s">
        <v>6949</v>
      </c>
    </row>
    <row r="5894" spans="1:8">
      <c r="A5894" t="s">
        <v>6781</v>
      </c>
      <c r="B5894" t="s">
        <v>285</v>
      </c>
      <c r="C5894" s="1">
        <v>45310</v>
      </c>
      <c r="D5894" s="1" t="str">
        <f>PROPER(orders[[#This Row],[order_priority]])</f>
        <v>Economy</v>
      </c>
      <c r="E5894" t="s">
        <v>13316</v>
      </c>
      <c r="F5894" t="str">
        <f>IFERROR(INDEX(customers[country], MATCH(orders[[#This Row],[customer_id]], customers[customer_id], 0)), "Unmapped")</f>
        <v>Norway</v>
      </c>
      <c r="G5894" t="str">
        <f>IFERROR(INDEX(Region_Map[Region], MATCH(orders[[#This Row],[Customer_Country]], Region_Map[Country], 0)), "Unknown")</f>
        <v>Nordics</v>
      </c>
      <c r="H5894" t="s">
        <v>6949</v>
      </c>
    </row>
    <row r="5895" spans="1:8">
      <c r="A5895" t="s">
        <v>6782</v>
      </c>
      <c r="B5895" t="s">
        <v>758</v>
      </c>
      <c r="C5895" s="1">
        <v>44992</v>
      </c>
      <c r="D5895" s="1" t="str">
        <f>PROPER(orders[[#This Row],[order_priority]])</f>
        <v>Economy</v>
      </c>
      <c r="E5895" t="s">
        <v>13316</v>
      </c>
      <c r="F5895" t="str">
        <f>IFERROR(INDEX(customers[country], MATCH(orders[[#This Row],[customer_id]], customers[customer_id], 0)), "Unmapped")</f>
        <v>Estonia</v>
      </c>
      <c r="G5895" t="str">
        <f>IFERROR(INDEX(Region_Map[Region], MATCH(orders[[#This Row],[Customer_Country]], Region_Map[Country], 0)), "Unknown")</f>
        <v>Baltics</v>
      </c>
      <c r="H5895" t="s">
        <v>6949</v>
      </c>
    </row>
    <row r="5896" spans="1:8">
      <c r="A5896" t="s">
        <v>6783</v>
      </c>
      <c r="B5896" t="s">
        <v>371</v>
      </c>
      <c r="C5896" s="1">
        <v>45236</v>
      </c>
      <c r="D5896" s="1" t="str">
        <f>PROPER(orders[[#This Row],[order_priority]])</f>
        <v>Same Day</v>
      </c>
      <c r="E5896" t="s">
        <v>13322</v>
      </c>
      <c r="F5896" t="str">
        <f>IFERROR(INDEX(customers[country], MATCH(orders[[#This Row],[customer_id]], customers[customer_id], 0)), "Unmapped")</f>
        <v>Germany</v>
      </c>
      <c r="G5896" t="str">
        <f>IFERROR(INDEX(Region_Map[Region], MATCH(orders[[#This Row],[Customer_Country]], Region_Map[Country], 0)), "Unknown")</f>
        <v>Central Europe</v>
      </c>
      <c r="H5896" t="s">
        <v>6949</v>
      </c>
    </row>
    <row r="5897" spans="1:8">
      <c r="A5897" t="s">
        <v>6784</v>
      </c>
      <c r="B5897" t="s">
        <v>455</v>
      </c>
      <c r="C5897" s="1">
        <v>45044</v>
      </c>
      <c r="D5897" s="1" t="str">
        <f>PROPER(orders[[#This Row],[order_priority]])</f>
        <v>Express</v>
      </c>
      <c r="E5897" t="s">
        <v>13318</v>
      </c>
      <c r="F5897" t="str">
        <f>IFERROR(INDEX(customers[country], MATCH(orders[[#This Row],[customer_id]], customers[customer_id], 0)), "Unmapped")</f>
        <v>Poland</v>
      </c>
      <c r="G5897" t="str">
        <f>IFERROR(INDEX(Region_Map[Region], MATCH(orders[[#This Row],[Customer_Country]], Region_Map[Country], 0)), "Unknown")</f>
        <v>Central Europe</v>
      </c>
      <c r="H5897" t="s">
        <v>6949</v>
      </c>
    </row>
    <row r="5898" spans="1:8">
      <c r="A5898" t="s">
        <v>6785</v>
      </c>
      <c r="B5898" t="s">
        <v>96</v>
      </c>
      <c r="C5898" s="1">
        <v>45306</v>
      </c>
      <c r="D5898" s="1" t="str">
        <f>PROPER(orders[[#This Row],[order_priority]])</f>
        <v>Standard</v>
      </c>
      <c r="E5898" t="s">
        <v>13317</v>
      </c>
      <c r="F5898" t="str">
        <f>IFERROR(INDEX(customers[country], MATCH(orders[[#This Row],[customer_id]], customers[customer_id], 0)), "Unmapped")</f>
        <v>Sweden</v>
      </c>
      <c r="G5898" t="str">
        <f>IFERROR(INDEX(Region_Map[Region], MATCH(orders[[#This Row],[Customer_Country]], Region_Map[Country], 0)), "Unknown")</f>
        <v>Nordics</v>
      </c>
      <c r="H5898" t="s">
        <v>6949</v>
      </c>
    </row>
    <row r="5899" spans="1:8">
      <c r="A5899" t="s">
        <v>6786</v>
      </c>
      <c r="B5899" t="s">
        <v>449</v>
      </c>
      <c r="C5899" s="1">
        <v>45534</v>
      </c>
      <c r="D5899" s="1" t="str">
        <f>PROPER(orders[[#This Row],[order_priority]])</f>
        <v>Express</v>
      </c>
      <c r="E5899" t="s">
        <v>13318</v>
      </c>
      <c r="F5899" t="str">
        <f>IFERROR(INDEX(customers[country], MATCH(orders[[#This Row],[customer_id]], customers[customer_id], 0)), "Unmapped")</f>
        <v>Norway</v>
      </c>
      <c r="G5899" t="str">
        <f>IFERROR(INDEX(Region_Map[Region], MATCH(orders[[#This Row],[Customer_Country]], Region_Map[Country], 0)), "Unknown")</f>
        <v>Nordics</v>
      </c>
      <c r="H5899" t="s">
        <v>6949</v>
      </c>
    </row>
    <row r="5900" spans="1:8">
      <c r="A5900" t="s">
        <v>6787</v>
      </c>
      <c r="B5900" t="s">
        <v>482</v>
      </c>
      <c r="C5900" s="1">
        <v>45613</v>
      </c>
      <c r="D5900" s="1" t="str">
        <f>PROPER(orders[[#This Row],[order_priority]])</f>
        <v>Same Day</v>
      </c>
      <c r="E5900" t="s">
        <v>13322</v>
      </c>
      <c r="F5900" t="str">
        <f>IFERROR(INDEX(customers[country], MATCH(orders[[#This Row],[customer_id]], customers[customer_id], 0)), "Unmapped")</f>
        <v>Finland</v>
      </c>
      <c r="G5900" t="str">
        <f>IFERROR(INDEX(Region_Map[Region], MATCH(orders[[#This Row],[Customer_Country]], Region_Map[Country], 0)), "Unknown")</f>
        <v>Nordics</v>
      </c>
      <c r="H5900" t="s">
        <v>6949</v>
      </c>
    </row>
    <row r="5901" spans="1:8">
      <c r="A5901" t="s">
        <v>6788</v>
      </c>
      <c r="B5901" t="s">
        <v>109</v>
      </c>
      <c r="C5901" s="1">
        <v>45438</v>
      </c>
      <c r="D5901" s="1" t="str">
        <f>PROPER(orders[[#This Row],[order_priority]])</f>
        <v>Standard</v>
      </c>
      <c r="E5901" t="s">
        <v>13317</v>
      </c>
      <c r="F5901" t="str">
        <f>IFERROR(INDEX(customers[country], MATCH(orders[[#This Row],[customer_id]], customers[customer_id], 0)), "Unmapped")</f>
        <v>Netherlands</v>
      </c>
      <c r="G5901" t="str">
        <f>IFERROR(INDEX(Region_Map[Region], MATCH(orders[[#This Row],[Customer_Country]], Region_Map[Country], 0)), "Unknown")</f>
        <v>Central Europe</v>
      </c>
      <c r="H5901" t="s">
        <v>6949</v>
      </c>
    </row>
    <row r="5902" spans="1:8">
      <c r="A5902" t="s">
        <v>6789</v>
      </c>
      <c r="B5902" t="s">
        <v>755</v>
      </c>
      <c r="C5902" s="1">
        <v>45439</v>
      </c>
      <c r="D5902" s="1" t="str">
        <f>PROPER(orders[[#This Row],[order_priority]])</f>
        <v>Standard</v>
      </c>
      <c r="E5902" t="s">
        <v>13317</v>
      </c>
      <c r="F5902" t="str">
        <f>IFERROR(INDEX(customers[country], MATCH(orders[[#This Row],[customer_id]], customers[customer_id], 0)), "Unmapped")</f>
        <v>Denmark</v>
      </c>
      <c r="G5902" t="str">
        <f>IFERROR(INDEX(Region_Map[Region], MATCH(orders[[#This Row],[Customer_Country]], Region_Map[Country], 0)), "Unknown")</f>
        <v>Nordics</v>
      </c>
      <c r="H5902" t="s">
        <v>6949</v>
      </c>
    </row>
    <row r="5903" spans="1:8">
      <c r="A5903" t="s">
        <v>6790</v>
      </c>
      <c r="B5903" t="s">
        <v>811</v>
      </c>
      <c r="C5903" s="1">
        <v>45592</v>
      </c>
      <c r="D5903" s="1" t="str">
        <f>PROPER(orders[[#This Row],[order_priority]])</f>
        <v>Economy</v>
      </c>
      <c r="E5903" t="s">
        <v>13316</v>
      </c>
      <c r="F5903" t="str">
        <f>IFERROR(INDEX(customers[country], MATCH(orders[[#This Row],[customer_id]], customers[customer_id], 0)), "Unmapped")</f>
        <v>Finland</v>
      </c>
      <c r="G5903" t="str">
        <f>IFERROR(INDEX(Region_Map[Region], MATCH(orders[[#This Row],[Customer_Country]], Region_Map[Country], 0)), "Unknown")</f>
        <v>Nordics</v>
      </c>
      <c r="H5903" t="s">
        <v>6949</v>
      </c>
    </row>
    <row r="5904" spans="1:8">
      <c r="A5904" t="s">
        <v>6791</v>
      </c>
      <c r="B5904" t="s">
        <v>440</v>
      </c>
      <c r="C5904" s="1">
        <v>45153</v>
      </c>
      <c r="D5904" s="1" t="str">
        <f>PROPER(orders[[#This Row],[order_priority]])</f>
        <v>Economy</v>
      </c>
      <c r="E5904" t="s">
        <v>13316</v>
      </c>
      <c r="F5904" t="str">
        <f>IFERROR(INDEX(customers[country], MATCH(orders[[#This Row],[customer_id]], customers[customer_id], 0)), "Unmapped")</f>
        <v>Poland</v>
      </c>
      <c r="G5904" t="str">
        <f>IFERROR(INDEX(Region_Map[Region], MATCH(orders[[#This Row],[Customer_Country]], Region_Map[Country], 0)), "Unknown")</f>
        <v>Central Europe</v>
      </c>
      <c r="H5904" t="s">
        <v>6949</v>
      </c>
    </row>
    <row r="5905" spans="1:8">
      <c r="A5905" t="s">
        <v>6792</v>
      </c>
      <c r="B5905" t="s">
        <v>688</v>
      </c>
      <c r="C5905" s="1">
        <v>45575</v>
      </c>
      <c r="D5905" s="1" t="str">
        <f>PROPER(orders[[#This Row],[order_priority]])</f>
        <v>Economy</v>
      </c>
      <c r="E5905" t="s">
        <v>13328</v>
      </c>
      <c r="F5905" t="str">
        <f>IFERROR(INDEX(customers[country], MATCH(orders[[#This Row],[customer_id]], customers[customer_id], 0)), "Unmapped")</f>
        <v>Norway</v>
      </c>
      <c r="G5905" t="str">
        <f>IFERROR(INDEX(Region_Map[Region], MATCH(orders[[#This Row],[Customer_Country]], Region_Map[Country], 0)), "Unknown")</f>
        <v>Nordics</v>
      </c>
      <c r="H5905" t="s">
        <v>6949</v>
      </c>
    </row>
    <row r="5906" spans="1:8">
      <c r="A5906" t="s">
        <v>6793</v>
      </c>
      <c r="B5906" t="s">
        <v>885</v>
      </c>
      <c r="C5906" s="1">
        <v>45137</v>
      </c>
      <c r="D5906" s="1" t="str">
        <f>PROPER(orders[[#This Row],[order_priority]])</f>
        <v>Express</v>
      </c>
      <c r="E5906" t="s">
        <v>13318</v>
      </c>
      <c r="F5906" t="str">
        <f>IFERROR(INDEX(customers[country], MATCH(orders[[#This Row],[customer_id]], customers[customer_id], 0)), "Unmapped")</f>
        <v>Poland</v>
      </c>
      <c r="G5906" t="str">
        <f>IFERROR(INDEX(Region_Map[Region], MATCH(orders[[#This Row],[Customer_Country]], Region_Map[Country], 0)), "Unknown")</f>
        <v>Central Europe</v>
      </c>
      <c r="H5906" t="s">
        <v>6949</v>
      </c>
    </row>
    <row r="5907" spans="1:8">
      <c r="A5907" t="s">
        <v>6794</v>
      </c>
      <c r="B5907" t="s">
        <v>566</v>
      </c>
      <c r="C5907" s="1">
        <v>45154</v>
      </c>
      <c r="D5907" s="1" t="str">
        <f>PROPER(orders[[#This Row],[order_priority]])</f>
        <v>Economy</v>
      </c>
      <c r="E5907" t="s">
        <v>13316</v>
      </c>
      <c r="F5907" t="str">
        <f>IFERROR(INDEX(customers[country], MATCH(orders[[#This Row],[customer_id]], customers[customer_id], 0)), "Unmapped")</f>
        <v>Denmark</v>
      </c>
      <c r="G5907" t="str">
        <f>IFERROR(INDEX(Region_Map[Region], MATCH(orders[[#This Row],[Customer_Country]], Region_Map[Country], 0)), "Unknown")</f>
        <v>Nordics</v>
      </c>
      <c r="H5907" t="s">
        <v>6949</v>
      </c>
    </row>
    <row r="5908" spans="1:8">
      <c r="A5908" t="s">
        <v>6795</v>
      </c>
      <c r="B5908" t="s">
        <v>222</v>
      </c>
      <c r="C5908" s="1">
        <v>45335</v>
      </c>
      <c r="D5908" s="1" t="str">
        <f>PROPER(orders[[#This Row],[order_priority]])</f>
        <v>Standard</v>
      </c>
      <c r="E5908" t="s">
        <v>13317</v>
      </c>
      <c r="F5908" t="str">
        <f>IFERROR(INDEX(customers[country], MATCH(orders[[#This Row],[customer_id]], customers[customer_id], 0)), "Unmapped")</f>
        <v>Norway</v>
      </c>
      <c r="G5908" t="str">
        <f>IFERROR(INDEX(Region_Map[Region], MATCH(orders[[#This Row],[Customer_Country]], Region_Map[Country], 0)), "Unknown")</f>
        <v>Nordics</v>
      </c>
      <c r="H5908" t="s">
        <v>6949</v>
      </c>
    </row>
    <row r="5909" spans="1:8">
      <c r="A5909" t="s">
        <v>6796</v>
      </c>
      <c r="B5909" t="s">
        <v>350</v>
      </c>
      <c r="C5909" s="1">
        <v>45581</v>
      </c>
      <c r="D5909" s="1" t="str">
        <f>PROPER(orders[[#This Row],[order_priority]])</f>
        <v>Express</v>
      </c>
      <c r="E5909" t="s">
        <v>13318</v>
      </c>
      <c r="F5909" t="str">
        <f>IFERROR(INDEX(customers[country], MATCH(orders[[#This Row],[customer_id]], customers[customer_id], 0)), "Unmapped")</f>
        <v>Netherlands</v>
      </c>
      <c r="G5909" t="str">
        <f>IFERROR(INDEX(Region_Map[Region], MATCH(orders[[#This Row],[Customer_Country]], Region_Map[Country], 0)), "Unknown")</f>
        <v>Central Europe</v>
      </c>
      <c r="H5909" t="s">
        <v>6949</v>
      </c>
    </row>
    <row r="5910" spans="1:8">
      <c r="A5910" t="s">
        <v>6797</v>
      </c>
      <c r="B5910" t="s">
        <v>219</v>
      </c>
      <c r="C5910" s="1">
        <v>45491</v>
      </c>
      <c r="D5910" s="1" t="str">
        <f>PROPER(orders[[#This Row],[order_priority]])</f>
        <v>Standard</v>
      </c>
      <c r="E5910" t="s">
        <v>13323</v>
      </c>
      <c r="F5910" t="str">
        <f>IFERROR(INDEX(customers[country], MATCH(orders[[#This Row],[customer_id]], customers[customer_id], 0)), "Unmapped")</f>
        <v>Latvia</v>
      </c>
      <c r="G5910" t="str">
        <f>IFERROR(INDEX(Region_Map[Region], MATCH(orders[[#This Row],[Customer_Country]], Region_Map[Country], 0)), "Unknown")</f>
        <v>Baltics</v>
      </c>
      <c r="H5910" t="s">
        <v>6949</v>
      </c>
    </row>
    <row r="5911" spans="1:8">
      <c r="A5911" t="s">
        <v>6798</v>
      </c>
      <c r="B5911" t="s">
        <v>664</v>
      </c>
      <c r="C5911" s="1">
        <v>45563</v>
      </c>
      <c r="D5911" s="1" t="str">
        <f>PROPER(orders[[#This Row],[order_priority]])</f>
        <v>Economy</v>
      </c>
      <c r="E5911" t="s">
        <v>13316</v>
      </c>
      <c r="F5911" t="str">
        <f>IFERROR(INDEX(customers[country], MATCH(orders[[#This Row],[customer_id]], customers[customer_id], 0)), "Unmapped")</f>
        <v>Latvia</v>
      </c>
      <c r="G5911" t="str">
        <f>IFERROR(INDEX(Region_Map[Region], MATCH(orders[[#This Row],[Customer_Country]], Region_Map[Country], 0)), "Unknown")</f>
        <v>Baltics</v>
      </c>
      <c r="H5911" t="s">
        <v>6949</v>
      </c>
    </row>
    <row r="5912" spans="1:8">
      <c r="A5912" t="s">
        <v>6799</v>
      </c>
      <c r="B5912" t="s">
        <v>294</v>
      </c>
      <c r="C5912" s="1">
        <v>44944</v>
      </c>
      <c r="D5912" s="1" t="str">
        <f>PROPER(orders[[#This Row],[order_priority]])</f>
        <v>Same Day</v>
      </c>
      <c r="E5912" t="s">
        <v>13324</v>
      </c>
      <c r="F5912" t="str">
        <f>IFERROR(INDEX(customers[country], MATCH(orders[[#This Row],[customer_id]], customers[customer_id], 0)), "Unmapped")</f>
        <v>Denmark</v>
      </c>
      <c r="G5912" t="str">
        <f>IFERROR(INDEX(Region_Map[Region], MATCH(orders[[#This Row],[Customer_Country]], Region_Map[Country], 0)), "Unknown")</f>
        <v>Nordics</v>
      </c>
      <c r="H5912" t="s">
        <v>6949</v>
      </c>
    </row>
    <row r="5913" spans="1:8">
      <c r="A5913" t="s">
        <v>6800</v>
      </c>
      <c r="B5913" t="s">
        <v>216</v>
      </c>
      <c r="C5913" s="1">
        <v>44985</v>
      </c>
      <c r="D5913" s="1" t="str">
        <f>PROPER(orders[[#This Row],[order_priority]])</f>
        <v>Economy</v>
      </c>
      <c r="E5913" t="s">
        <v>13316</v>
      </c>
      <c r="F5913" t="str">
        <f>IFERROR(INDEX(customers[country], MATCH(orders[[#This Row],[customer_id]], customers[customer_id], 0)), "Unmapped")</f>
        <v>Norway</v>
      </c>
      <c r="G5913" t="str">
        <f>IFERROR(INDEX(Region_Map[Region], MATCH(orders[[#This Row],[Customer_Country]], Region_Map[Country], 0)), "Unknown")</f>
        <v>Nordics</v>
      </c>
      <c r="H5913" t="s">
        <v>6949</v>
      </c>
    </row>
    <row r="5914" spans="1:8">
      <c r="A5914" t="s">
        <v>6801</v>
      </c>
      <c r="B5914" t="s">
        <v>11</v>
      </c>
      <c r="C5914" s="1">
        <v>45472</v>
      </c>
      <c r="D5914" s="1" t="str">
        <f>PROPER(orders[[#This Row],[order_priority]])</f>
        <v>Same Day</v>
      </c>
      <c r="E5914" t="s">
        <v>13322</v>
      </c>
      <c r="F5914" t="str">
        <f>IFERROR(INDEX(customers[country], MATCH(orders[[#This Row],[customer_id]], customers[customer_id], 0)), "Unmapped")</f>
        <v>Sweden</v>
      </c>
      <c r="G5914" t="str">
        <f>IFERROR(INDEX(Region_Map[Region], MATCH(orders[[#This Row],[Customer_Country]], Region_Map[Country], 0)), "Unknown")</f>
        <v>Nordics</v>
      </c>
      <c r="H5914" t="s">
        <v>6949</v>
      </c>
    </row>
    <row r="5915" spans="1:8">
      <c r="A5915" t="s">
        <v>6802</v>
      </c>
      <c r="B5915" t="s">
        <v>243</v>
      </c>
      <c r="C5915" s="1">
        <v>45015</v>
      </c>
      <c r="D5915" s="1" t="str">
        <f>PROPER(orders[[#This Row],[order_priority]])</f>
        <v>Economy</v>
      </c>
      <c r="E5915" t="s">
        <v>13316</v>
      </c>
      <c r="F5915" t="str">
        <f>IFERROR(INDEX(customers[country], MATCH(orders[[#This Row],[customer_id]], customers[customer_id], 0)), "Unmapped")</f>
        <v>Netherlands</v>
      </c>
      <c r="G5915" t="str">
        <f>IFERROR(INDEX(Region_Map[Region], MATCH(orders[[#This Row],[Customer_Country]], Region_Map[Country], 0)), "Unknown")</f>
        <v>Central Europe</v>
      </c>
      <c r="H5915" t="s">
        <v>6949</v>
      </c>
    </row>
    <row r="5916" spans="1:8">
      <c r="A5916" t="s">
        <v>6803</v>
      </c>
      <c r="B5916" t="s">
        <v>258</v>
      </c>
      <c r="C5916" s="1">
        <v>45278</v>
      </c>
      <c r="D5916" s="1" t="str">
        <f>PROPER(orders[[#This Row],[order_priority]])</f>
        <v>Express</v>
      </c>
      <c r="E5916" t="s">
        <v>13318</v>
      </c>
      <c r="F5916" t="str">
        <f>IFERROR(INDEX(customers[country], MATCH(orders[[#This Row],[customer_id]], customers[customer_id], 0)), "Unmapped")</f>
        <v>Latvia</v>
      </c>
      <c r="G5916" t="str">
        <f>IFERROR(INDEX(Region_Map[Region], MATCH(orders[[#This Row],[Customer_Country]], Region_Map[Country], 0)), "Unknown")</f>
        <v>Baltics</v>
      </c>
      <c r="H5916" t="s">
        <v>6949</v>
      </c>
    </row>
    <row r="5917" spans="1:8">
      <c r="A5917" t="s">
        <v>6804</v>
      </c>
      <c r="B5917" t="s">
        <v>365</v>
      </c>
      <c r="C5917" s="1">
        <v>45499</v>
      </c>
      <c r="D5917" s="1" t="str">
        <f>PROPER(orders[[#This Row],[order_priority]])</f>
        <v>Same Day</v>
      </c>
      <c r="E5917" t="s">
        <v>13322</v>
      </c>
      <c r="F5917" t="str">
        <f>IFERROR(INDEX(customers[country], MATCH(orders[[#This Row],[customer_id]], customers[customer_id], 0)), "Unmapped")</f>
        <v>Poland</v>
      </c>
      <c r="G5917" t="str">
        <f>IFERROR(INDEX(Region_Map[Region], MATCH(orders[[#This Row],[Customer_Country]], Region_Map[Country], 0)), "Unknown")</f>
        <v>Central Europe</v>
      </c>
      <c r="H5917" t="s">
        <v>6949</v>
      </c>
    </row>
    <row r="5918" spans="1:8">
      <c r="A5918" t="s">
        <v>6805</v>
      </c>
      <c r="B5918" t="s">
        <v>27</v>
      </c>
      <c r="C5918" s="1">
        <v>45181</v>
      </c>
      <c r="D5918" s="1" t="str">
        <f>PROPER(orders[[#This Row],[order_priority]])</f>
        <v>Economy</v>
      </c>
      <c r="E5918" t="s">
        <v>13316</v>
      </c>
      <c r="F5918" t="str">
        <f>IFERROR(INDEX(customers[country], MATCH(orders[[#This Row],[customer_id]], customers[customer_id], 0)), "Unmapped")</f>
        <v>Latvia</v>
      </c>
      <c r="G5918" t="str">
        <f>IFERROR(INDEX(Region_Map[Region], MATCH(orders[[#This Row],[Customer_Country]], Region_Map[Country], 0)), "Unknown")</f>
        <v>Baltics</v>
      </c>
      <c r="H5918" t="s">
        <v>6949</v>
      </c>
    </row>
    <row r="5919" spans="1:8">
      <c r="A5919" t="s">
        <v>6806</v>
      </c>
      <c r="B5919" t="s">
        <v>897</v>
      </c>
      <c r="C5919" s="1">
        <v>45418</v>
      </c>
      <c r="D5919" s="1" t="str">
        <f>PROPER(orders[[#This Row],[order_priority]])</f>
        <v>Standard</v>
      </c>
      <c r="E5919" t="s">
        <v>13317</v>
      </c>
      <c r="F5919" t="str">
        <f>IFERROR(INDEX(customers[country], MATCH(orders[[#This Row],[customer_id]], customers[customer_id], 0)), "Unmapped")</f>
        <v>Netherlands</v>
      </c>
      <c r="G5919" t="str">
        <f>IFERROR(INDEX(Region_Map[Region], MATCH(orders[[#This Row],[Customer_Country]], Region_Map[Country], 0)), "Unknown")</f>
        <v>Central Europe</v>
      </c>
      <c r="H5919" t="s">
        <v>6949</v>
      </c>
    </row>
    <row r="5920" spans="1:8">
      <c r="A5920" t="s">
        <v>6807</v>
      </c>
      <c r="B5920" t="s">
        <v>374</v>
      </c>
      <c r="C5920" s="1">
        <v>45581</v>
      </c>
      <c r="D5920" s="1" t="str">
        <f>PROPER(orders[[#This Row],[order_priority]])</f>
        <v>Standard</v>
      </c>
      <c r="E5920" t="s">
        <v>13317</v>
      </c>
      <c r="F5920" t="str">
        <f>IFERROR(INDEX(customers[country], MATCH(orders[[#This Row],[customer_id]], customers[customer_id], 0)), "Unmapped")</f>
        <v>Estonia</v>
      </c>
      <c r="G5920" t="str">
        <f>IFERROR(INDEX(Region_Map[Region], MATCH(orders[[#This Row],[Customer_Country]], Region_Map[Country], 0)), "Unknown")</f>
        <v>Baltics</v>
      </c>
      <c r="H5920" t="s">
        <v>6949</v>
      </c>
    </row>
    <row r="5921" spans="1:8">
      <c r="A5921" t="s">
        <v>6808</v>
      </c>
      <c r="B5921" t="s">
        <v>67</v>
      </c>
      <c r="C5921" s="1">
        <v>45513</v>
      </c>
      <c r="D5921" s="1" t="str">
        <f>PROPER(orders[[#This Row],[order_priority]])</f>
        <v>Same Day</v>
      </c>
      <c r="E5921" t="s">
        <v>13322</v>
      </c>
      <c r="F5921" t="str">
        <f>IFERROR(INDEX(customers[country], MATCH(orders[[#This Row],[customer_id]], customers[customer_id], 0)), "Unmapped")</f>
        <v>Estonia</v>
      </c>
      <c r="G5921" t="str">
        <f>IFERROR(INDEX(Region_Map[Region], MATCH(orders[[#This Row],[Customer_Country]], Region_Map[Country], 0)), "Unknown")</f>
        <v>Baltics</v>
      </c>
      <c r="H5921" t="s">
        <v>6949</v>
      </c>
    </row>
    <row r="5922" spans="1:8">
      <c r="A5922" t="s">
        <v>6809</v>
      </c>
      <c r="B5922" t="s">
        <v>796</v>
      </c>
      <c r="C5922" s="1">
        <v>45154</v>
      </c>
      <c r="D5922" s="1" t="str">
        <f>PROPER(orders[[#This Row],[order_priority]])</f>
        <v>Standard</v>
      </c>
      <c r="E5922" t="s">
        <v>13317</v>
      </c>
      <c r="F5922" t="str">
        <f>IFERROR(INDEX(customers[country], MATCH(orders[[#This Row],[customer_id]], customers[customer_id], 0)), "Unmapped")</f>
        <v>Sweden</v>
      </c>
      <c r="G5922" t="str">
        <f>IFERROR(INDEX(Region_Map[Region], MATCH(orders[[#This Row],[Customer_Country]], Region_Map[Country], 0)), "Unknown")</f>
        <v>Nordics</v>
      </c>
      <c r="H5922" t="s">
        <v>6949</v>
      </c>
    </row>
    <row r="5923" spans="1:8">
      <c r="A5923" t="s">
        <v>6810</v>
      </c>
      <c r="B5923" t="s">
        <v>70</v>
      </c>
      <c r="C5923" s="1">
        <v>45596</v>
      </c>
      <c r="D5923" s="1" t="str">
        <f>PROPER(orders[[#This Row],[order_priority]])</f>
        <v>Standard</v>
      </c>
      <c r="E5923" t="s">
        <v>13317</v>
      </c>
      <c r="F5923" t="str">
        <f>IFERROR(INDEX(customers[country], MATCH(orders[[#This Row],[customer_id]], customers[customer_id], 0)), "Unmapped")</f>
        <v>Estonia</v>
      </c>
      <c r="G5923" t="str">
        <f>IFERROR(INDEX(Region_Map[Region], MATCH(orders[[#This Row],[Customer_Country]], Region_Map[Country], 0)), "Unknown")</f>
        <v>Baltics</v>
      </c>
      <c r="H5923" t="s">
        <v>6949</v>
      </c>
    </row>
    <row r="5924" spans="1:8">
      <c r="A5924" t="s">
        <v>6811</v>
      </c>
      <c r="B5924" t="s">
        <v>763</v>
      </c>
      <c r="C5924" s="1">
        <v>45450</v>
      </c>
      <c r="D5924" s="1" t="str">
        <f>PROPER(orders[[#This Row],[order_priority]])</f>
        <v>Economy</v>
      </c>
      <c r="E5924" t="s">
        <v>13316</v>
      </c>
      <c r="F5924" t="str">
        <f>IFERROR(INDEX(customers[country], MATCH(orders[[#This Row],[customer_id]], customers[customer_id], 0)), "Unmapped")</f>
        <v>Estonia</v>
      </c>
      <c r="G5924" t="str">
        <f>IFERROR(INDEX(Region_Map[Region], MATCH(orders[[#This Row],[Customer_Country]], Region_Map[Country], 0)), "Unknown")</f>
        <v>Baltics</v>
      </c>
      <c r="H5924" t="s">
        <v>6949</v>
      </c>
    </row>
    <row r="5925" spans="1:8">
      <c r="A5925" t="s">
        <v>6812</v>
      </c>
      <c r="B5925" t="s">
        <v>51</v>
      </c>
      <c r="C5925" s="1">
        <v>45084</v>
      </c>
      <c r="D5925" s="1" t="str">
        <f>PROPER(orders[[#This Row],[order_priority]])</f>
        <v>Economy</v>
      </c>
      <c r="E5925" t="s">
        <v>13328</v>
      </c>
      <c r="F5925" t="str">
        <f>IFERROR(INDEX(customers[country], MATCH(orders[[#This Row],[customer_id]], customers[customer_id], 0)), "Unmapped")</f>
        <v>Germany</v>
      </c>
      <c r="G5925" t="str">
        <f>IFERROR(INDEX(Region_Map[Region], MATCH(orders[[#This Row],[Customer_Country]], Region_Map[Country], 0)), "Unknown")</f>
        <v>Central Europe</v>
      </c>
      <c r="H5925" t="s">
        <v>6949</v>
      </c>
    </row>
    <row r="5926" spans="1:8">
      <c r="A5926" t="s">
        <v>6813</v>
      </c>
      <c r="B5926" t="s">
        <v>70</v>
      </c>
      <c r="C5926" s="1">
        <v>45315</v>
      </c>
      <c r="D5926" s="1" t="str">
        <f>PROPER(orders[[#This Row],[order_priority]])</f>
        <v>Same Day</v>
      </c>
      <c r="E5926" t="s">
        <v>13324</v>
      </c>
      <c r="F5926" t="str">
        <f>IFERROR(INDEX(customers[country], MATCH(orders[[#This Row],[customer_id]], customers[customer_id], 0)), "Unmapped")</f>
        <v>Estonia</v>
      </c>
      <c r="G5926" t="str">
        <f>IFERROR(INDEX(Region_Map[Region], MATCH(orders[[#This Row],[Customer_Country]], Region_Map[Country], 0)), "Unknown")</f>
        <v>Baltics</v>
      </c>
      <c r="H5926" t="s">
        <v>6949</v>
      </c>
    </row>
    <row r="5927" spans="1:8">
      <c r="A5927" t="s">
        <v>6814</v>
      </c>
      <c r="B5927" t="s">
        <v>706</v>
      </c>
      <c r="C5927" s="1">
        <v>44983</v>
      </c>
      <c r="D5927" s="1" t="str">
        <f>PROPER(orders[[#This Row],[order_priority]])</f>
        <v>Express</v>
      </c>
      <c r="E5927" t="s">
        <v>13318</v>
      </c>
      <c r="F5927" t="str">
        <f>IFERROR(INDEX(customers[country], MATCH(orders[[#This Row],[customer_id]], customers[customer_id], 0)), "Unmapped")</f>
        <v>Latvia</v>
      </c>
      <c r="G5927" t="str">
        <f>IFERROR(INDEX(Region_Map[Region], MATCH(orders[[#This Row],[Customer_Country]], Region_Map[Country], 0)), "Unknown")</f>
        <v>Baltics</v>
      </c>
      <c r="H5927" t="s">
        <v>6949</v>
      </c>
    </row>
    <row r="5928" spans="1:8">
      <c r="A5928" t="s">
        <v>6815</v>
      </c>
      <c r="B5928" t="s">
        <v>545</v>
      </c>
      <c r="C5928" s="1">
        <v>45455</v>
      </c>
      <c r="D5928" s="1" t="str">
        <f>PROPER(orders[[#This Row],[order_priority]])</f>
        <v>Standard</v>
      </c>
      <c r="E5928" t="s">
        <v>13317</v>
      </c>
      <c r="F5928" t="str">
        <f>IFERROR(INDEX(customers[country], MATCH(orders[[#This Row],[customer_id]], customers[customer_id], 0)), "Unmapped")</f>
        <v>Netherlands</v>
      </c>
      <c r="G5928" t="str">
        <f>IFERROR(INDEX(Region_Map[Region], MATCH(orders[[#This Row],[Customer_Country]], Region_Map[Country], 0)), "Unknown")</f>
        <v>Central Europe</v>
      </c>
      <c r="H5928" t="s">
        <v>6949</v>
      </c>
    </row>
    <row r="5929" spans="1:8">
      <c r="A5929" t="s">
        <v>6816</v>
      </c>
      <c r="B5929" t="s">
        <v>464</v>
      </c>
      <c r="C5929" s="1">
        <v>44965</v>
      </c>
      <c r="D5929" s="1" t="str">
        <f>PROPER(orders[[#This Row],[order_priority]])</f>
        <v>Standard</v>
      </c>
      <c r="E5929" t="s">
        <v>13317</v>
      </c>
      <c r="F5929" t="str">
        <f>IFERROR(INDEX(customers[country], MATCH(orders[[#This Row],[customer_id]], customers[customer_id], 0)), "Unmapped")</f>
        <v>Finland</v>
      </c>
      <c r="G5929" t="str">
        <f>IFERROR(INDEX(Region_Map[Region], MATCH(orders[[#This Row],[Customer_Country]], Region_Map[Country], 0)), "Unknown")</f>
        <v>Nordics</v>
      </c>
      <c r="H5929" t="s">
        <v>6949</v>
      </c>
    </row>
    <row r="5930" spans="1:8">
      <c r="A5930" t="s">
        <v>6817</v>
      </c>
      <c r="B5930" t="s">
        <v>873</v>
      </c>
      <c r="C5930" s="1">
        <v>45378</v>
      </c>
      <c r="D5930" s="1" t="str">
        <f>PROPER(orders[[#This Row],[order_priority]])</f>
        <v>Standard</v>
      </c>
      <c r="E5930" t="s">
        <v>13317</v>
      </c>
      <c r="F5930" t="str">
        <f>IFERROR(INDEX(customers[country], MATCH(orders[[#This Row],[customer_id]], customers[customer_id], 0)), "Unmapped")</f>
        <v>Estonia</v>
      </c>
      <c r="G5930" t="str">
        <f>IFERROR(INDEX(Region_Map[Region], MATCH(orders[[#This Row],[Customer_Country]], Region_Map[Country], 0)), "Unknown")</f>
        <v>Baltics</v>
      </c>
      <c r="H5930" t="s">
        <v>6949</v>
      </c>
    </row>
    <row r="5931" spans="1:8">
      <c r="A5931" t="s">
        <v>6818</v>
      </c>
      <c r="B5931" t="s">
        <v>192</v>
      </c>
      <c r="C5931" s="1">
        <v>45552</v>
      </c>
      <c r="D5931" s="1" t="str">
        <f>PROPER(orders[[#This Row],[order_priority]])</f>
        <v>Same Day</v>
      </c>
      <c r="E5931" t="s">
        <v>13321</v>
      </c>
      <c r="F5931" t="str">
        <f>IFERROR(INDEX(customers[country], MATCH(orders[[#This Row],[customer_id]], customers[customer_id], 0)), "Unmapped")</f>
        <v>Estonia</v>
      </c>
      <c r="G5931" t="str">
        <f>IFERROR(INDEX(Region_Map[Region], MATCH(orders[[#This Row],[Customer_Country]], Region_Map[Country], 0)), "Unknown")</f>
        <v>Baltics</v>
      </c>
      <c r="H5931" t="s">
        <v>6949</v>
      </c>
    </row>
    <row r="5932" spans="1:8">
      <c r="A5932" t="s">
        <v>6819</v>
      </c>
      <c r="B5932" t="s">
        <v>557</v>
      </c>
      <c r="C5932" s="1">
        <v>45218</v>
      </c>
      <c r="D5932" s="1" t="str">
        <f>PROPER(orders[[#This Row],[order_priority]])</f>
        <v>Same Day</v>
      </c>
      <c r="E5932" t="s">
        <v>13321</v>
      </c>
      <c r="F5932" t="str">
        <f>IFERROR(INDEX(customers[country], MATCH(orders[[#This Row],[customer_id]], customers[customer_id], 0)), "Unmapped")</f>
        <v>Norway</v>
      </c>
      <c r="G5932" t="str">
        <f>IFERROR(INDEX(Region_Map[Region], MATCH(orders[[#This Row],[Customer_Country]], Region_Map[Country], 0)), "Unknown")</f>
        <v>Nordics</v>
      </c>
      <c r="H5932" t="s">
        <v>6949</v>
      </c>
    </row>
    <row r="5933" spans="1:8">
      <c r="A5933" t="s">
        <v>6820</v>
      </c>
      <c r="B5933" t="s">
        <v>533</v>
      </c>
      <c r="C5933" s="1">
        <v>45199</v>
      </c>
      <c r="D5933" s="1" t="str">
        <f>PROPER(orders[[#This Row],[order_priority]])</f>
        <v>Same Day</v>
      </c>
      <c r="E5933" t="s">
        <v>13322</v>
      </c>
      <c r="F5933" t="str">
        <f>IFERROR(INDEX(customers[country], MATCH(orders[[#This Row],[customer_id]], customers[customer_id], 0)), "Unmapped")</f>
        <v>Germany</v>
      </c>
      <c r="G5933" t="str">
        <f>IFERROR(INDEX(Region_Map[Region], MATCH(orders[[#This Row],[Customer_Country]], Region_Map[Country], 0)), "Unknown")</f>
        <v>Central Europe</v>
      </c>
      <c r="H5933" t="s">
        <v>6949</v>
      </c>
    </row>
    <row r="5934" spans="1:8">
      <c r="A5934" t="s">
        <v>6821</v>
      </c>
      <c r="B5934" t="s">
        <v>67</v>
      </c>
      <c r="C5934" s="1">
        <v>45333</v>
      </c>
      <c r="D5934" s="1" t="str">
        <f>PROPER(orders[[#This Row],[order_priority]])</f>
        <v>Standard</v>
      </c>
      <c r="E5934" t="s">
        <v>13317</v>
      </c>
      <c r="F5934" t="str">
        <f>IFERROR(INDEX(customers[country], MATCH(orders[[#This Row],[customer_id]], customers[customer_id], 0)), "Unmapped")</f>
        <v>Estonia</v>
      </c>
      <c r="G5934" t="str">
        <f>IFERROR(INDEX(Region_Map[Region], MATCH(orders[[#This Row],[Customer_Country]], Region_Map[Country], 0)), "Unknown")</f>
        <v>Baltics</v>
      </c>
      <c r="H5934" t="s">
        <v>6949</v>
      </c>
    </row>
    <row r="5935" spans="1:8">
      <c r="A5935" t="s">
        <v>6822</v>
      </c>
      <c r="B5935" t="s">
        <v>733</v>
      </c>
      <c r="C5935" s="1">
        <v>45082</v>
      </c>
      <c r="D5935" s="1" t="str">
        <f>PROPER(orders[[#This Row],[order_priority]])</f>
        <v>Same Day</v>
      </c>
      <c r="E5935" t="s">
        <v>13322</v>
      </c>
      <c r="F5935" t="str">
        <f>IFERROR(INDEX(customers[country], MATCH(orders[[#This Row],[customer_id]], customers[customer_id], 0)), "Unmapped")</f>
        <v>Lithuania</v>
      </c>
      <c r="G5935" t="str">
        <f>IFERROR(INDEX(Region_Map[Region], MATCH(orders[[#This Row],[Customer_Country]], Region_Map[Country], 0)), "Unknown")</f>
        <v>Baltics</v>
      </c>
      <c r="H5935" t="s">
        <v>6949</v>
      </c>
    </row>
    <row r="5936" spans="1:8">
      <c r="A5936" t="s">
        <v>6823</v>
      </c>
      <c r="B5936" t="s">
        <v>55</v>
      </c>
      <c r="C5936" s="1">
        <v>45030</v>
      </c>
      <c r="D5936" s="1" t="str">
        <f>PROPER(orders[[#This Row],[order_priority]])</f>
        <v>Same Day</v>
      </c>
      <c r="E5936" t="s">
        <v>13322</v>
      </c>
      <c r="F5936" t="str">
        <f>IFERROR(INDEX(customers[country], MATCH(orders[[#This Row],[customer_id]], customers[customer_id], 0)), "Unmapped")</f>
        <v>Netherlands</v>
      </c>
      <c r="G5936" t="str">
        <f>IFERROR(INDEX(Region_Map[Region], MATCH(orders[[#This Row],[Customer_Country]], Region_Map[Country], 0)), "Unknown")</f>
        <v>Central Europe</v>
      </c>
      <c r="H5936" t="s">
        <v>6949</v>
      </c>
    </row>
    <row r="5937" spans="1:8">
      <c r="A5937" t="s">
        <v>6824</v>
      </c>
      <c r="B5937" t="s">
        <v>288</v>
      </c>
      <c r="C5937" s="1">
        <v>45022</v>
      </c>
      <c r="D5937" s="1" t="str">
        <f>PROPER(orders[[#This Row],[order_priority]])</f>
        <v>Express</v>
      </c>
      <c r="E5937" t="s">
        <v>13318</v>
      </c>
      <c r="F5937" t="str">
        <f>IFERROR(INDEX(customers[country], MATCH(orders[[#This Row],[customer_id]], customers[customer_id], 0)), "Unmapped")</f>
        <v>Netherlands</v>
      </c>
      <c r="G5937" t="str">
        <f>IFERROR(INDEX(Region_Map[Region], MATCH(orders[[#This Row],[Customer_Country]], Region_Map[Country], 0)), "Unknown")</f>
        <v>Central Europe</v>
      </c>
      <c r="H5937" t="s">
        <v>6949</v>
      </c>
    </row>
    <row r="5938" spans="1:8">
      <c r="A5938" t="s">
        <v>6825</v>
      </c>
      <c r="B5938" t="s">
        <v>440</v>
      </c>
      <c r="C5938" s="1">
        <v>45584</v>
      </c>
      <c r="D5938" s="1" t="str">
        <f>PROPER(orders[[#This Row],[order_priority]])</f>
        <v>Standard</v>
      </c>
      <c r="E5938" t="s">
        <v>13317</v>
      </c>
      <c r="F5938" t="str">
        <f>IFERROR(INDEX(customers[country], MATCH(orders[[#This Row],[customer_id]], customers[customer_id], 0)), "Unmapped")</f>
        <v>Poland</v>
      </c>
      <c r="G5938" t="str">
        <f>IFERROR(INDEX(Region_Map[Region], MATCH(orders[[#This Row],[Customer_Country]], Region_Map[Country], 0)), "Unknown")</f>
        <v>Central Europe</v>
      </c>
      <c r="H5938" t="s">
        <v>6949</v>
      </c>
    </row>
    <row r="5939" spans="1:8">
      <c r="A5939" t="s">
        <v>6826</v>
      </c>
      <c r="B5939" t="s">
        <v>249</v>
      </c>
      <c r="C5939" s="1">
        <v>45602</v>
      </c>
      <c r="D5939" s="1" t="str">
        <f>PROPER(orders[[#This Row],[order_priority]])</f>
        <v>Same Day</v>
      </c>
      <c r="E5939" t="s">
        <v>13322</v>
      </c>
      <c r="F5939" t="str">
        <f>IFERROR(INDEX(customers[country], MATCH(orders[[#This Row],[customer_id]], customers[customer_id], 0)), "Unmapped")</f>
        <v>Estonia</v>
      </c>
      <c r="G5939" t="str">
        <f>IFERROR(INDEX(Region_Map[Region], MATCH(orders[[#This Row],[Customer_Country]], Region_Map[Country], 0)), "Unknown")</f>
        <v>Baltics</v>
      </c>
      <c r="H5939" t="s">
        <v>6949</v>
      </c>
    </row>
    <row r="5940" spans="1:8">
      <c r="A5940" t="s">
        <v>6827</v>
      </c>
      <c r="B5940" t="s">
        <v>894</v>
      </c>
      <c r="C5940" s="1">
        <v>45025</v>
      </c>
      <c r="D5940" s="1" t="str">
        <f>PROPER(orders[[#This Row],[order_priority]])</f>
        <v>Economy</v>
      </c>
      <c r="E5940" t="s">
        <v>13316</v>
      </c>
      <c r="F5940" t="str">
        <f>IFERROR(INDEX(customers[country], MATCH(orders[[#This Row],[customer_id]], customers[customer_id], 0)), "Unmapped")</f>
        <v>Poland</v>
      </c>
      <c r="G5940" t="str">
        <f>IFERROR(INDEX(Region_Map[Region], MATCH(orders[[#This Row],[Customer_Country]], Region_Map[Country], 0)), "Unknown")</f>
        <v>Central Europe</v>
      </c>
      <c r="H5940" t="s">
        <v>6949</v>
      </c>
    </row>
    <row r="5941" spans="1:8">
      <c r="A5941" t="s">
        <v>6828</v>
      </c>
      <c r="B5941" t="s">
        <v>216</v>
      </c>
      <c r="C5941" s="1">
        <v>45504</v>
      </c>
      <c r="D5941" s="1" t="str">
        <f>PROPER(orders[[#This Row],[order_priority]])</f>
        <v>Express</v>
      </c>
      <c r="E5941" t="s">
        <v>13326</v>
      </c>
      <c r="F5941" t="str">
        <f>IFERROR(INDEX(customers[country], MATCH(orders[[#This Row],[customer_id]], customers[customer_id], 0)), "Unmapped")</f>
        <v>Norway</v>
      </c>
      <c r="G5941" t="str">
        <f>IFERROR(INDEX(Region_Map[Region], MATCH(orders[[#This Row],[Customer_Country]], Region_Map[Country], 0)), "Unknown")</f>
        <v>Nordics</v>
      </c>
      <c r="H5941" t="s">
        <v>6949</v>
      </c>
    </row>
    <row r="5942" spans="1:8">
      <c r="A5942" t="s">
        <v>6829</v>
      </c>
      <c r="B5942" t="s">
        <v>228</v>
      </c>
      <c r="C5942" s="1">
        <v>45572</v>
      </c>
      <c r="D5942" s="1" t="str">
        <f>PROPER(orders[[#This Row],[order_priority]])</f>
        <v>Standard</v>
      </c>
      <c r="E5942" t="s">
        <v>13319</v>
      </c>
      <c r="F5942" t="str">
        <f>IFERROR(INDEX(customers[country], MATCH(orders[[#This Row],[customer_id]], customers[customer_id], 0)), "Unmapped")</f>
        <v>Latvia</v>
      </c>
      <c r="G5942" t="str">
        <f>IFERROR(INDEX(Region_Map[Region], MATCH(orders[[#This Row],[Customer_Country]], Region_Map[Country], 0)), "Unknown")</f>
        <v>Baltics</v>
      </c>
      <c r="H5942" t="s">
        <v>6949</v>
      </c>
    </row>
    <row r="5943" spans="1:8">
      <c r="A5943" t="s">
        <v>6830</v>
      </c>
      <c r="B5943" t="s">
        <v>623</v>
      </c>
      <c r="C5943" s="1">
        <v>45547</v>
      </c>
      <c r="D5943" s="1" t="str">
        <f>PROPER(orders[[#This Row],[order_priority]])</f>
        <v>Economy</v>
      </c>
      <c r="E5943" t="s">
        <v>13316</v>
      </c>
      <c r="F5943" t="str">
        <f>IFERROR(INDEX(customers[country], MATCH(orders[[#This Row],[customer_id]], customers[customer_id], 0)), "Unmapped")</f>
        <v>Denmark</v>
      </c>
      <c r="G5943" t="str">
        <f>IFERROR(INDEX(Region_Map[Region], MATCH(orders[[#This Row],[Customer_Country]], Region_Map[Country], 0)), "Unknown")</f>
        <v>Nordics</v>
      </c>
      <c r="H5943" t="s">
        <v>6949</v>
      </c>
    </row>
    <row r="5944" spans="1:8">
      <c r="A5944" t="s">
        <v>6831</v>
      </c>
      <c r="B5944" t="s">
        <v>64</v>
      </c>
      <c r="C5944" s="1">
        <v>45547</v>
      </c>
      <c r="D5944" s="1" t="str">
        <f>PROPER(orders[[#This Row],[order_priority]])</f>
        <v>Express</v>
      </c>
      <c r="E5944" t="s">
        <v>13318</v>
      </c>
      <c r="F5944" t="str">
        <f>IFERROR(INDEX(customers[country], MATCH(orders[[#This Row],[customer_id]], customers[customer_id], 0)), "Unmapped")</f>
        <v>Netherlands</v>
      </c>
      <c r="G5944" t="str">
        <f>IFERROR(INDEX(Region_Map[Region], MATCH(orders[[#This Row],[Customer_Country]], Region_Map[Country], 0)), "Unknown")</f>
        <v>Central Europe</v>
      </c>
      <c r="H5944" t="s">
        <v>6949</v>
      </c>
    </row>
    <row r="5945" spans="1:8">
      <c r="A5945" t="s">
        <v>6832</v>
      </c>
      <c r="B5945" t="s">
        <v>228</v>
      </c>
      <c r="C5945" s="1">
        <v>45098</v>
      </c>
      <c r="D5945" s="1" t="str">
        <f>PROPER(orders[[#This Row],[order_priority]])</f>
        <v>Express</v>
      </c>
      <c r="E5945" t="s">
        <v>13318</v>
      </c>
      <c r="F5945" t="str">
        <f>IFERROR(INDEX(customers[country], MATCH(orders[[#This Row],[customer_id]], customers[customer_id], 0)), "Unmapped")</f>
        <v>Latvia</v>
      </c>
      <c r="G5945" t="str">
        <f>IFERROR(INDEX(Region_Map[Region], MATCH(orders[[#This Row],[Customer_Country]], Region_Map[Country], 0)), "Unknown")</f>
        <v>Baltics</v>
      </c>
      <c r="H5945" t="s">
        <v>6949</v>
      </c>
    </row>
    <row r="5946" spans="1:8">
      <c r="A5946" t="s">
        <v>6833</v>
      </c>
      <c r="B5946" t="s">
        <v>735</v>
      </c>
      <c r="C5946" s="1">
        <v>44999</v>
      </c>
      <c r="D5946" s="1" t="str">
        <f>PROPER(orders[[#This Row],[order_priority]])</f>
        <v>Express</v>
      </c>
      <c r="E5946" t="s">
        <v>13320</v>
      </c>
      <c r="F5946" t="str">
        <f>IFERROR(INDEX(customers[country], MATCH(orders[[#This Row],[customer_id]], customers[customer_id], 0)), "Unmapped")</f>
        <v>Poland</v>
      </c>
      <c r="G5946" t="str">
        <f>IFERROR(INDEX(Region_Map[Region], MATCH(orders[[#This Row],[Customer_Country]], Region_Map[Country], 0)), "Unknown")</f>
        <v>Central Europe</v>
      </c>
      <c r="H5946" t="s">
        <v>6949</v>
      </c>
    </row>
    <row r="5947" spans="1:8">
      <c r="A5947" t="s">
        <v>6834</v>
      </c>
      <c r="B5947" t="s">
        <v>413</v>
      </c>
      <c r="C5947" s="1">
        <v>45254</v>
      </c>
      <c r="D5947" s="1" t="str">
        <f>PROPER(orders[[#This Row],[order_priority]])</f>
        <v>Same Day</v>
      </c>
      <c r="E5947" t="s">
        <v>13322</v>
      </c>
      <c r="F5947" t="str">
        <f>IFERROR(INDEX(customers[country], MATCH(orders[[#This Row],[customer_id]], customers[customer_id], 0)), "Unmapped")</f>
        <v>Poland</v>
      </c>
      <c r="G5947" t="str">
        <f>IFERROR(INDEX(Region_Map[Region], MATCH(orders[[#This Row],[Customer_Country]], Region_Map[Country], 0)), "Unknown")</f>
        <v>Central Europe</v>
      </c>
      <c r="H5947" t="s">
        <v>6949</v>
      </c>
    </row>
    <row r="5948" spans="1:8">
      <c r="A5948" t="s">
        <v>6835</v>
      </c>
      <c r="B5948" t="s">
        <v>799</v>
      </c>
      <c r="C5948" s="1">
        <v>45128</v>
      </c>
      <c r="D5948" s="1" t="str">
        <f>PROPER(orders[[#This Row],[order_priority]])</f>
        <v>Standard</v>
      </c>
      <c r="E5948" t="s">
        <v>13317</v>
      </c>
      <c r="F5948" t="str">
        <f>IFERROR(INDEX(customers[country], MATCH(orders[[#This Row],[customer_id]], customers[customer_id], 0)), "Unmapped")</f>
        <v>Germany</v>
      </c>
      <c r="G5948" t="str">
        <f>IFERROR(INDEX(Region_Map[Region], MATCH(orders[[#This Row],[Customer_Country]], Region_Map[Country], 0)), "Unknown")</f>
        <v>Central Europe</v>
      </c>
      <c r="H5948" t="s">
        <v>6949</v>
      </c>
    </row>
    <row r="5949" spans="1:8">
      <c r="A5949" t="s">
        <v>6836</v>
      </c>
      <c r="B5949" t="s">
        <v>542</v>
      </c>
      <c r="C5949" s="1">
        <v>45179</v>
      </c>
      <c r="D5949" s="1" t="str">
        <f>PROPER(orders[[#This Row],[order_priority]])</f>
        <v>Express</v>
      </c>
      <c r="E5949" t="s">
        <v>13318</v>
      </c>
      <c r="F5949" t="str">
        <f>IFERROR(INDEX(customers[country], MATCH(orders[[#This Row],[customer_id]], customers[customer_id], 0)), "Unmapped")</f>
        <v>Poland</v>
      </c>
      <c r="G5949" t="str">
        <f>IFERROR(INDEX(Region_Map[Region], MATCH(orders[[#This Row],[Customer_Country]], Region_Map[Country], 0)), "Unknown")</f>
        <v>Central Europe</v>
      </c>
      <c r="H5949" t="s">
        <v>6949</v>
      </c>
    </row>
    <row r="5950" spans="1:8">
      <c r="A5950" t="s">
        <v>6837</v>
      </c>
      <c r="B5950" t="s">
        <v>888</v>
      </c>
      <c r="C5950" s="1">
        <v>45616</v>
      </c>
      <c r="D5950" s="1" t="str">
        <f>PROPER(orders[[#This Row],[order_priority]])</f>
        <v>Standard</v>
      </c>
      <c r="E5950" t="s">
        <v>13317</v>
      </c>
      <c r="F5950" t="str">
        <f>IFERROR(INDEX(customers[country], MATCH(orders[[#This Row],[customer_id]], customers[customer_id], 0)), "Unmapped")</f>
        <v>Denmark</v>
      </c>
      <c r="G5950" t="str">
        <f>IFERROR(INDEX(Region_Map[Region], MATCH(orders[[#This Row],[Customer_Country]], Region_Map[Country], 0)), "Unknown")</f>
        <v>Nordics</v>
      </c>
      <c r="H5950" t="s">
        <v>6949</v>
      </c>
    </row>
    <row r="5951" spans="1:8">
      <c r="A5951" t="s">
        <v>6838</v>
      </c>
      <c r="B5951" t="s">
        <v>410</v>
      </c>
      <c r="C5951" s="1">
        <v>45262</v>
      </c>
      <c r="D5951" s="1" t="str">
        <f>PROPER(orders[[#This Row],[order_priority]])</f>
        <v>Standard</v>
      </c>
      <c r="E5951" t="s">
        <v>13317</v>
      </c>
      <c r="F5951" t="str">
        <f>IFERROR(INDEX(customers[country], MATCH(orders[[#This Row],[customer_id]], customers[customer_id], 0)), "Unmapped")</f>
        <v>Norway</v>
      </c>
      <c r="G5951" t="str">
        <f>IFERROR(INDEX(Region_Map[Region], MATCH(orders[[#This Row],[Customer_Country]], Region_Map[Country], 0)), "Unknown")</f>
        <v>Nordics</v>
      </c>
      <c r="H5951" t="s">
        <v>6949</v>
      </c>
    </row>
    <row r="5952" spans="1:8">
      <c r="A5952" t="s">
        <v>6839</v>
      </c>
      <c r="B5952" t="s">
        <v>554</v>
      </c>
      <c r="C5952" s="1">
        <v>44944</v>
      </c>
      <c r="D5952" s="1" t="str">
        <f>PROPER(orders[[#This Row],[order_priority]])</f>
        <v>Standard</v>
      </c>
      <c r="E5952" t="s">
        <v>13317</v>
      </c>
      <c r="F5952" t="str">
        <f>IFERROR(INDEX(customers[country], MATCH(orders[[#This Row],[customer_id]], customers[customer_id], 0)), "Unmapped")</f>
        <v>Germany</v>
      </c>
      <c r="G5952" t="str">
        <f>IFERROR(INDEX(Region_Map[Region], MATCH(orders[[#This Row],[Customer_Country]], Region_Map[Country], 0)), "Unknown")</f>
        <v>Central Europe</v>
      </c>
      <c r="H5952" t="s">
        <v>6949</v>
      </c>
    </row>
    <row r="5953" spans="1:8">
      <c r="A5953" t="s">
        <v>6840</v>
      </c>
      <c r="B5953" t="s">
        <v>825</v>
      </c>
      <c r="C5953" s="1">
        <v>45281</v>
      </c>
      <c r="D5953" s="1" t="str">
        <f>PROPER(orders[[#This Row],[order_priority]])</f>
        <v>Same Day</v>
      </c>
      <c r="E5953" t="s">
        <v>13321</v>
      </c>
      <c r="F5953" t="str">
        <f>IFERROR(INDEX(customers[country], MATCH(orders[[#This Row],[customer_id]], customers[customer_id], 0)), "Unmapped")</f>
        <v>Latvia</v>
      </c>
      <c r="G5953" t="str">
        <f>IFERROR(INDEX(Region_Map[Region], MATCH(orders[[#This Row],[Customer_Country]], Region_Map[Country], 0)), "Unknown")</f>
        <v>Baltics</v>
      </c>
      <c r="H5953" t="s">
        <v>6949</v>
      </c>
    </row>
    <row r="5954" spans="1:8">
      <c r="A5954" t="s">
        <v>6841</v>
      </c>
      <c r="B5954" t="s">
        <v>434</v>
      </c>
      <c r="C5954" s="1">
        <v>45031</v>
      </c>
      <c r="D5954" s="1" t="str">
        <f>PROPER(orders[[#This Row],[order_priority]])</f>
        <v>Standard</v>
      </c>
      <c r="E5954" t="s">
        <v>13317</v>
      </c>
      <c r="F5954" t="str">
        <f>IFERROR(INDEX(customers[country], MATCH(orders[[#This Row],[customer_id]], customers[customer_id], 0)), "Unmapped")</f>
        <v>Lithuania</v>
      </c>
      <c r="G5954" t="str">
        <f>IFERROR(INDEX(Region_Map[Region], MATCH(orders[[#This Row],[Customer_Country]], Region_Map[Country], 0)), "Unknown")</f>
        <v>Baltics</v>
      </c>
      <c r="H5954" t="s">
        <v>6949</v>
      </c>
    </row>
    <row r="5955" spans="1:8">
      <c r="A5955" t="s">
        <v>6842</v>
      </c>
      <c r="B5955" t="s">
        <v>730</v>
      </c>
      <c r="C5955" s="1">
        <v>45172</v>
      </c>
      <c r="D5955" s="1" t="str">
        <f>PROPER(orders[[#This Row],[order_priority]])</f>
        <v>Standard</v>
      </c>
      <c r="E5955" t="s">
        <v>13317</v>
      </c>
      <c r="F5955" t="str">
        <f>IFERROR(INDEX(customers[country], MATCH(orders[[#This Row],[customer_id]], customers[customer_id], 0)), "Unmapped")</f>
        <v>Lithuania</v>
      </c>
      <c r="G5955" t="str">
        <f>IFERROR(INDEX(Region_Map[Region], MATCH(orders[[#This Row],[Customer_Country]], Region_Map[Country], 0)), "Unknown")</f>
        <v>Baltics</v>
      </c>
      <c r="H5955" t="s">
        <v>6949</v>
      </c>
    </row>
    <row r="5956" spans="1:8">
      <c r="A5956" t="s">
        <v>6843</v>
      </c>
      <c r="B5956" t="s">
        <v>252</v>
      </c>
      <c r="C5956" s="1">
        <v>45525</v>
      </c>
      <c r="D5956" s="1" t="str">
        <f>PROPER(orders[[#This Row],[order_priority]])</f>
        <v>Express</v>
      </c>
      <c r="E5956" t="s">
        <v>13318</v>
      </c>
      <c r="F5956" t="str">
        <f>IFERROR(INDEX(customers[country], MATCH(orders[[#This Row],[customer_id]], customers[customer_id], 0)), "Unmapped")</f>
        <v>Lithuania</v>
      </c>
      <c r="G5956" t="str">
        <f>IFERROR(INDEX(Region_Map[Region], MATCH(orders[[#This Row],[Customer_Country]], Region_Map[Country], 0)), "Unknown")</f>
        <v>Baltics</v>
      </c>
      <c r="H5956" t="s">
        <v>6949</v>
      </c>
    </row>
    <row r="5957" spans="1:8">
      <c r="A5957" t="s">
        <v>6844</v>
      </c>
      <c r="B5957" t="s">
        <v>437</v>
      </c>
      <c r="C5957" s="1">
        <v>45123</v>
      </c>
      <c r="D5957" s="1" t="str">
        <f>PROPER(orders[[#This Row],[order_priority]])</f>
        <v>Economy</v>
      </c>
      <c r="E5957" t="s">
        <v>13316</v>
      </c>
      <c r="F5957" t="str">
        <f>IFERROR(INDEX(customers[country], MATCH(orders[[#This Row],[customer_id]], customers[customer_id], 0)), "Unmapped")</f>
        <v>Lithuania</v>
      </c>
      <c r="G5957" t="str">
        <f>IFERROR(INDEX(Region_Map[Region], MATCH(orders[[#This Row],[Customer_Country]], Region_Map[Country], 0)), "Unknown")</f>
        <v>Baltics</v>
      </c>
      <c r="H5957" t="s">
        <v>6949</v>
      </c>
    </row>
    <row r="5958" spans="1:8">
      <c r="A5958" t="s">
        <v>6845</v>
      </c>
      <c r="B5958" t="s">
        <v>596</v>
      </c>
      <c r="C5958" s="1">
        <v>45493</v>
      </c>
      <c r="D5958" s="1" t="str">
        <f>PROPER(orders[[#This Row],[order_priority]])</f>
        <v>Economy</v>
      </c>
      <c r="E5958" t="s">
        <v>13316</v>
      </c>
      <c r="F5958" t="str">
        <f>IFERROR(INDEX(customers[country], MATCH(orders[[#This Row],[customer_id]], customers[customer_id], 0)), "Unmapped")</f>
        <v>Lithuania</v>
      </c>
      <c r="G5958" t="str">
        <f>IFERROR(INDEX(Region_Map[Region], MATCH(orders[[#This Row],[Customer_Country]], Region_Map[Country], 0)), "Unknown")</f>
        <v>Baltics</v>
      </c>
      <c r="H5958" t="s">
        <v>6949</v>
      </c>
    </row>
    <row r="5959" spans="1:8">
      <c r="A5959" t="s">
        <v>6846</v>
      </c>
      <c r="B5959" t="s">
        <v>766</v>
      </c>
      <c r="C5959" s="1">
        <v>45573</v>
      </c>
      <c r="D5959" s="1" t="str">
        <f>PROPER(orders[[#This Row],[order_priority]])</f>
        <v>Express</v>
      </c>
      <c r="E5959" t="s">
        <v>13318</v>
      </c>
      <c r="F5959" t="str">
        <f>IFERROR(INDEX(customers[country], MATCH(orders[[#This Row],[customer_id]], customers[customer_id], 0)), "Unmapped")</f>
        <v>Germany</v>
      </c>
      <c r="G5959" t="str">
        <f>IFERROR(INDEX(Region_Map[Region], MATCH(orders[[#This Row],[Customer_Country]], Region_Map[Country], 0)), "Unknown")</f>
        <v>Central Europe</v>
      </c>
      <c r="H5959" t="s">
        <v>6949</v>
      </c>
    </row>
    <row r="5960" spans="1:8">
      <c r="A5960" t="s">
        <v>6847</v>
      </c>
      <c r="B5960" t="s">
        <v>661</v>
      </c>
      <c r="C5960" s="1">
        <v>45160</v>
      </c>
      <c r="D5960" s="1" t="str">
        <f>PROPER(orders[[#This Row],[order_priority]])</f>
        <v>Same Day</v>
      </c>
      <c r="E5960" t="s">
        <v>13322</v>
      </c>
      <c r="F5960" t="str">
        <f>IFERROR(INDEX(customers[country], MATCH(orders[[#This Row],[customer_id]], customers[customer_id], 0)), "Unmapped")</f>
        <v>Lithuania</v>
      </c>
      <c r="G5960" t="str">
        <f>IFERROR(INDEX(Region_Map[Region], MATCH(orders[[#This Row],[Customer_Country]], Region_Map[Country], 0)), "Unknown")</f>
        <v>Baltics</v>
      </c>
      <c r="H5960" t="s">
        <v>6949</v>
      </c>
    </row>
    <row r="5961" spans="1:8">
      <c r="A5961" t="s">
        <v>6848</v>
      </c>
      <c r="B5961" t="s">
        <v>876</v>
      </c>
      <c r="C5961" s="1">
        <v>45394</v>
      </c>
      <c r="D5961" s="1" t="str">
        <f>PROPER(orders[[#This Row],[order_priority]])</f>
        <v>Same Day</v>
      </c>
      <c r="E5961" t="s">
        <v>13322</v>
      </c>
      <c r="F5961" t="str">
        <f>IFERROR(INDEX(customers[country], MATCH(orders[[#This Row],[customer_id]], customers[customer_id], 0)), "Unmapped")</f>
        <v>Estonia</v>
      </c>
      <c r="G5961" t="str">
        <f>IFERROR(INDEX(Region_Map[Region], MATCH(orders[[#This Row],[Customer_Country]], Region_Map[Country], 0)), "Unknown")</f>
        <v>Baltics</v>
      </c>
      <c r="H5961" t="s">
        <v>6949</v>
      </c>
    </row>
    <row r="5962" spans="1:8">
      <c r="A5962" t="s">
        <v>6849</v>
      </c>
      <c r="B5962" t="s">
        <v>837</v>
      </c>
      <c r="C5962" s="1">
        <v>44983</v>
      </c>
      <c r="D5962" s="1" t="str">
        <f>PROPER(orders[[#This Row],[order_priority]])</f>
        <v>Express</v>
      </c>
      <c r="E5962" t="s">
        <v>13320</v>
      </c>
      <c r="F5962" t="str">
        <f>IFERROR(INDEX(customers[country], MATCH(orders[[#This Row],[customer_id]], customers[customer_id], 0)), "Unmapped")</f>
        <v>Poland</v>
      </c>
      <c r="G5962" t="str">
        <f>IFERROR(INDEX(Region_Map[Region], MATCH(orders[[#This Row],[Customer_Country]], Region_Map[Country], 0)), "Unknown")</f>
        <v>Central Europe</v>
      </c>
      <c r="H5962" t="s">
        <v>6949</v>
      </c>
    </row>
    <row r="5963" spans="1:8">
      <c r="A5963" t="s">
        <v>6850</v>
      </c>
      <c r="B5963" t="s">
        <v>602</v>
      </c>
      <c r="C5963" s="1">
        <v>45160</v>
      </c>
      <c r="D5963" s="1" t="str">
        <f>PROPER(orders[[#This Row],[order_priority]])</f>
        <v>Same Day</v>
      </c>
      <c r="E5963" t="s">
        <v>13324</v>
      </c>
      <c r="F5963" t="str">
        <f>IFERROR(INDEX(customers[country], MATCH(orders[[#This Row],[customer_id]], customers[customer_id], 0)), "Unmapped")</f>
        <v>Poland</v>
      </c>
      <c r="G5963" t="str">
        <f>IFERROR(INDEX(Region_Map[Region], MATCH(orders[[#This Row],[Customer_Country]], Region_Map[Country], 0)), "Unknown")</f>
        <v>Central Europe</v>
      </c>
      <c r="H5963" t="s">
        <v>6949</v>
      </c>
    </row>
    <row r="5964" spans="1:8">
      <c r="A5964" t="s">
        <v>6851</v>
      </c>
      <c r="B5964" t="s">
        <v>303</v>
      </c>
      <c r="C5964" s="1">
        <v>45435</v>
      </c>
      <c r="D5964" s="1" t="str">
        <f>PROPER(orders[[#This Row],[order_priority]])</f>
        <v>Express</v>
      </c>
      <c r="E5964" t="s">
        <v>13320</v>
      </c>
      <c r="F5964" t="str">
        <f>IFERROR(INDEX(customers[country], MATCH(orders[[#This Row],[customer_id]], customers[customer_id], 0)), "Unmapped")</f>
        <v>Netherlands</v>
      </c>
      <c r="G5964" t="str">
        <f>IFERROR(INDEX(Region_Map[Region], MATCH(orders[[#This Row],[Customer_Country]], Region_Map[Country], 0)), "Unknown")</f>
        <v>Central Europe</v>
      </c>
      <c r="H5964" t="s">
        <v>6949</v>
      </c>
    </row>
    <row r="5965" spans="1:8">
      <c r="A5965" t="s">
        <v>6852</v>
      </c>
      <c r="B5965" t="s">
        <v>536</v>
      </c>
      <c r="C5965" s="1">
        <v>45219</v>
      </c>
      <c r="D5965" s="1" t="str">
        <f>PROPER(orders[[#This Row],[order_priority]])</f>
        <v>Same Day</v>
      </c>
      <c r="E5965" t="s">
        <v>13322</v>
      </c>
      <c r="F5965" t="str">
        <f>IFERROR(INDEX(customers[country], MATCH(orders[[#This Row],[customer_id]], customers[customer_id], 0)), "Unmapped")</f>
        <v>Germany</v>
      </c>
      <c r="G5965" t="str">
        <f>IFERROR(INDEX(Region_Map[Region], MATCH(orders[[#This Row],[Customer_Country]], Region_Map[Country], 0)), "Unknown")</f>
        <v>Central Europe</v>
      </c>
      <c r="H5965" t="s">
        <v>6949</v>
      </c>
    </row>
    <row r="5966" spans="1:8">
      <c r="A5966" t="s">
        <v>6853</v>
      </c>
      <c r="B5966" t="s">
        <v>581</v>
      </c>
      <c r="C5966" s="1">
        <v>45238</v>
      </c>
      <c r="D5966" s="1" t="str">
        <f>PROPER(orders[[#This Row],[order_priority]])</f>
        <v>Same Day</v>
      </c>
      <c r="E5966" t="s">
        <v>13322</v>
      </c>
      <c r="F5966" t="str">
        <f>IFERROR(INDEX(customers[country], MATCH(orders[[#This Row],[customer_id]], customers[customer_id], 0)), "Unmapped")</f>
        <v>Norway</v>
      </c>
      <c r="G5966" t="str">
        <f>IFERROR(INDEX(Region_Map[Region], MATCH(orders[[#This Row],[Customer_Country]], Region_Map[Country], 0)), "Unknown")</f>
        <v>Nordics</v>
      </c>
      <c r="H5966" t="s">
        <v>6949</v>
      </c>
    </row>
    <row r="5967" spans="1:8">
      <c r="A5967" t="s">
        <v>6854</v>
      </c>
      <c r="B5967" t="s">
        <v>157</v>
      </c>
      <c r="C5967" s="1">
        <v>45174</v>
      </c>
      <c r="D5967" s="1" t="str">
        <f>PROPER(orders[[#This Row],[order_priority]])</f>
        <v>Same Day</v>
      </c>
      <c r="E5967" t="s">
        <v>13322</v>
      </c>
      <c r="F5967" t="str">
        <f>IFERROR(INDEX(customers[country], MATCH(orders[[#This Row],[customer_id]], customers[customer_id], 0)), "Unmapped")</f>
        <v>Lithuania</v>
      </c>
      <c r="G5967" t="str">
        <f>IFERROR(INDEX(Region_Map[Region], MATCH(orders[[#This Row],[Customer_Country]], Region_Map[Country], 0)), "Unknown")</f>
        <v>Baltics</v>
      </c>
      <c r="H5967" t="s">
        <v>6949</v>
      </c>
    </row>
    <row r="5968" spans="1:8">
      <c r="A5968" t="s">
        <v>6855</v>
      </c>
      <c r="B5968" t="s">
        <v>560</v>
      </c>
      <c r="C5968" s="1">
        <v>45431</v>
      </c>
      <c r="D5968" s="1" t="str">
        <f>PROPER(orders[[#This Row],[order_priority]])</f>
        <v>Economy</v>
      </c>
      <c r="E5968" t="s">
        <v>13328</v>
      </c>
      <c r="F5968" t="str">
        <f>IFERROR(INDEX(customers[country], MATCH(orders[[#This Row],[customer_id]], customers[customer_id], 0)), "Unmapped")</f>
        <v>Finland</v>
      </c>
      <c r="G5968" t="str">
        <f>IFERROR(INDEX(Region_Map[Region], MATCH(orders[[#This Row],[Customer_Country]], Region_Map[Country], 0)), "Unknown")</f>
        <v>Nordics</v>
      </c>
      <c r="H5968" t="s">
        <v>6949</v>
      </c>
    </row>
    <row r="5969" spans="1:8">
      <c r="A5969" t="s">
        <v>6856</v>
      </c>
      <c r="B5969" t="s">
        <v>6949</v>
      </c>
      <c r="C5969" s="1">
        <v>45080</v>
      </c>
      <c r="D5969" s="1" t="str">
        <f>PROPER(orders[[#This Row],[order_priority]])</f>
        <v>Economy</v>
      </c>
      <c r="E5969" t="s">
        <v>13316</v>
      </c>
      <c r="F5969" t="str">
        <f>IFERROR(INDEX(customers[country], MATCH(orders[[#This Row],[customer_id]], customers[customer_id], 0)), "Unmapped")</f>
        <v>Unmapped</v>
      </c>
      <c r="G5969" t="str">
        <f>IFERROR(INDEX(Region_Map[Region], MATCH(orders[[#This Row],[Customer_Country]], Region_Map[Country], 0)), "Unknown")</f>
        <v>Unknown</v>
      </c>
      <c r="H5969" t="s">
        <v>6949</v>
      </c>
    </row>
    <row r="5970" spans="1:8">
      <c r="A5970" t="s">
        <v>6857</v>
      </c>
      <c r="B5970" t="s">
        <v>864</v>
      </c>
      <c r="C5970" s="1">
        <v>45108</v>
      </c>
      <c r="D5970" s="1" t="str">
        <f>PROPER(orders[[#This Row],[order_priority]])</f>
        <v>Same Day</v>
      </c>
      <c r="E5970" t="s">
        <v>13322</v>
      </c>
      <c r="F5970" t="str">
        <f>IFERROR(INDEX(customers[country], MATCH(orders[[#This Row],[customer_id]], customers[customer_id], 0)), "Unmapped")</f>
        <v>Finland</v>
      </c>
      <c r="G5970" t="str">
        <f>IFERROR(INDEX(Region_Map[Region], MATCH(orders[[#This Row],[Customer_Country]], Region_Map[Country], 0)), "Unknown")</f>
        <v>Nordics</v>
      </c>
      <c r="H5970" t="s">
        <v>6949</v>
      </c>
    </row>
    <row r="5971" spans="1:8">
      <c r="A5971" t="s">
        <v>6858</v>
      </c>
      <c r="B5971" t="s">
        <v>864</v>
      </c>
      <c r="C5971" s="1">
        <v>45233</v>
      </c>
      <c r="D5971" s="1" t="str">
        <f>PROPER(orders[[#This Row],[order_priority]])</f>
        <v>Standard</v>
      </c>
      <c r="E5971" t="s">
        <v>13317</v>
      </c>
      <c r="F5971" t="str">
        <f>IFERROR(INDEX(customers[country], MATCH(orders[[#This Row],[customer_id]], customers[customer_id], 0)), "Unmapped")</f>
        <v>Finland</v>
      </c>
      <c r="G5971" t="str">
        <f>IFERROR(INDEX(Region_Map[Region], MATCH(orders[[#This Row],[Customer_Country]], Region_Map[Country], 0)), "Unknown")</f>
        <v>Nordics</v>
      </c>
      <c r="H5971" t="s">
        <v>6949</v>
      </c>
    </row>
    <row r="5972" spans="1:8">
      <c r="A5972" t="s">
        <v>6859</v>
      </c>
      <c r="B5972" t="s">
        <v>608</v>
      </c>
      <c r="C5972" s="1">
        <v>45451</v>
      </c>
      <c r="D5972" s="1" t="str">
        <f>PROPER(orders[[#This Row],[order_priority]])</f>
        <v>Same Day</v>
      </c>
      <c r="E5972" t="s">
        <v>13322</v>
      </c>
      <c r="F5972" t="str">
        <f>IFERROR(INDEX(customers[country], MATCH(orders[[#This Row],[customer_id]], customers[customer_id], 0)), "Unmapped")</f>
        <v>Finland</v>
      </c>
      <c r="G5972" t="str">
        <f>IFERROR(INDEX(Region_Map[Region], MATCH(orders[[#This Row],[Customer_Country]], Region_Map[Country], 0)), "Unknown")</f>
        <v>Nordics</v>
      </c>
      <c r="H5972" t="s">
        <v>6949</v>
      </c>
    </row>
    <row r="5973" spans="1:8">
      <c r="A5973" t="s">
        <v>6860</v>
      </c>
      <c r="B5973" t="s">
        <v>353</v>
      </c>
      <c r="C5973" s="1">
        <v>44978</v>
      </c>
      <c r="D5973" s="1" t="str">
        <f>PROPER(orders[[#This Row],[order_priority]])</f>
        <v>Express</v>
      </c>
      <c r="E5973" t="s">
        <v>13318</v>
      </c>
      <c r="F5973" t="str">
        <f>IFERROR(INDEX(customers[country], MATCH(orders[[#This Row],[customer_id]], customers[customer_id], 0)), "Unmapped")</f>
        <v>Estonia</v>
      </c>
      <c r="G5973" t="str">
        <f>IFERROR(INDEX(Region_Map[Region], MATCH(orders[[#This Row],[Customer_Country]], Region_Map[Country], 0)), "Unknown")</f>
        <v>Baltics</v>
      </c>
      <c r="H5973" t="s">
        <v>6949</v>
      </c>
    </row>
    <row r="5974" spans="1:8">
      <c r="A5974" t="s">
        <v>6861</v>
      </c>
      <c r="B5974" t="s">
        <v>136</v>
      </c>
      <c r="C5974" s="1">
        <v>45182</v>
      </c>
      <c r="D5974" s="1" t="str">
        <f>PROPER(orders[[#This Row],[order_priority]])</f>
        <v>Express</v>
      </c>
      <c r="E5974" t="s">
        <v>13318</v>
      </c>
      <c r="F5974" t="str">
        <f>IFERROR(INDEX(customers[country], MATCH(orders[[#This Row],[customer_id]], customers[customer_id], 0)), "Unmapped")</f>
        <v>Sweden</v>
      </c>
      <c r="G5974" t="str">
        <f>IFERROR(INDEX(Region_Map[Region], MATCH(orders[[#This Row],[Customer_Country]], Region_Map[Country], 0)), "Unknown")</f>
        <v>Nordics</v>
      </c>
      <c r="H5974" t="s">
        <v>6949</v>
      </c>
    </row>
    <row r="5975" spans="1:8">
      <c r="A5975" t="s">
        <v>6862</v>
      </c>
      <c r="B5975" t="s">
        <v>837</v>
      </c>
      <c r="C5975" s="1">
        <v>45311</v>
      </c>
      <c r="D5975" s="1" t="str">
        <f>PROPER(orders[[#This Row],[order_priority]])</f>
        <v>Same Day</v>
      </c>
      <c r="E5975" t="s">
        <v>13322</v>
      </c>
      <c r="F5975" t="str">
        <f>IFERROR(INDEX(customers[country], MATCH(orders[[#This Row],[customer_id]], customers[customer_id], 0)), "Unmapped")</f>
        <v>Poland</v>
      </c>
      <c r="G5975" t="str">
        <f>IFERROR(INDEX(Region_Map[Region], MATCH(orders[[#This Row],[Customer_Country]], Region_Map[Country], 0)), "Unknown")</f>
        <v>Central Europe</v>
      </c>
      <c r="H5975" t="s">
        <v>6949</v>
      </c>
    </row>
    <row r="5976" spans="1:8">
      <c r="A5976" t="s">
        <v>6863</v>
      </c>
      <c r="B5976" t="s">
        <v>401</v>
      </c>
      <c r="C5976" s="1">
        <v>45519</v>
      </c>
      <c r="D5976" s="1" t="str">
        <f>PROPER(orders[[#This Row],[order_priority]])</f>
        <v>Express</v>
      </c>
      <c r="E5976" t="s">
        <v>13318</v>
      </c>
      <c r="F5976" t="str">
        <f>IFERROR(INDEX(customers[country], MATCH(orders[[#This Row],[customer_id]], customers[customer_id], 0)), "Unmapped")</f>
        <v>Latvia</v>
      </c>
      <c r="G5976" t="str">
        <f>IFERROR(INDEX(Region_Map[Region], MATCH(orders[[#This Row],[Customer_Country]], Region_Map[Country], 0)), "Unknown")</f>
        <v>Baltics</v>
      </c>
      <c r="H5976" t="s">
        <v>6949</v>
      </c>
    </row>
    <row r="5977" spans="1:8">
      <c r="A5977" t="s">
        <v>6864</v>
      </c>
      <c r="B5977" t="s">
        <v>641</v>
      </c>
      <c r="C5977" s="1">
        <v>45394</v>
      </c>
      <c r="D5977" s="1" t="str">
        <f>PROPER(orders[[#This Row],[order_priority]])</f>
        <v>Standard</v>
      </c>
      <c r="E5977" t="s">
        <v>13317</v>
      </c>
      <c r="F5977" t="str">
        <f>IFERROR(INDEX(customers[country], MATCH(orders[[#This Row],[customer_id]], customers[customer_id], 0)), "Unmapped")</f>
        <v>Poland</v>
      </c>
      <c r="G5977" t="str">
        <f>IFERROR(INDEX(Region_Map[Region], MATCH(orders[[#This Row],[Customer_Country]], Region_Map[Country], 0)), "Unknown")</f>
        <v>Central Europe</v>
      </c>
      <c r="H5977" t="s">
        <v>6949</v>
      </c>
    </row>
    <row r="5978" spans="1:8">
      <c r="A5978" t="s">
        <v>6865</v>
      </c>
      <c r="B5978" t="s">
        <v>858</v>
      </c>
      <c r="C5978" s="1">
        <v>45476</v>
      </c>
      <c r="D5978" s="1" t="str">
        <f>PROPER(orders[[#This Row],[order_priority]])</f>
        <v>Standard</v>
      </c>
      <c r="E5978" t="s">
        <v>13317</v>
      </c>
      <c r="F5978" t="str">
        <f>IFERROR(INDEX(customers[country], MATCH(orders[[#This Row],[customer_id]], customers[customer_id], 0)), "Unmapped")</f>
        <v>Lithuania</v>
      </c>
      <c r="G5978" t="str">
        <f>IFERROR(INDEX(Region_Map[Region], MATCH(orders[[#This Row],[Customer_Country]], Region_Map[Country], 0)), "Unknown")</f>
        <v>Baltics</v>
      </c>
      <c r="H5978" t="s">
        <v>6949</v>
      </c>
    </row>
    <row r="5979" spans="1:8">
      <c r="A5979" t="s">
        <v>6866</v>
      </c>
      <c r="B5979" t="s">
        <v>311</v>
      </c>
      <c r="C5979" s="1">
        <v>45588</v>
      </c>
      <c r="D5979" s="1" t="str">
        <f>PROPER(orders[[#This Row],[order_priority]])</f>
        <v>Standard</v>
      </c>
      <c r="E5979" t="s">
        <v>13317</v>
      </c>
      <c r="F5979" t="str">
        <f>IFERROR(INDEX(customers[country], MATCH(orders[[#This Row],[customer_id]], customers[customer_id], 0)), "Unmapped")</f>
        <v>Netherlands</v>
      </c>
      <c r="G5979" t="str">
        <f>IFERROR(INDEX(Region_Map[Region], MATCH(orders[[#This Row],[Customer_Country]], Region_Map[Country], 0)), "Unknown")</f>
        <v>Central Europe</v>
      </c>
      <c r="H5979" t="s">
        <v>6949</v>
      </c>
    </row>
    <row r="5980" spans="1:8">
      <c r="A5980" t="s">
        <v>6867</v>
      </c>
      <c r="B5980" t="s">
        <v>350</v>
      </c>
      <c r="C5980" s="1">
        <v>45177</v>
      </c>
      <c r="D5980" s="1" t="str">
        <f>PROPER(orders[[#This Row],[order_priority]])</f>
        <v>Standard</v>
      </c>
      <c r="E5980" t="s">
        <v>13317</v>
      </c>
      <c r="F5980" t="str">
        <f>IFERROR(INDEX(customers[country], MATCH(orders[[#This Row],[customer_id]], customers[customer_id], 0)), "Unmapped")</f>
        <v>Netherlands</v>
      </c>
      <c r="G5980" t="str">
        <f>IFERROR(INDEX(Region_Map[Region], MATCH(orders[[#This Row],[Customer_Country]], Region_Map[Country], 0)), "Unknown")</f>
        <v>Central Europe</v>
      </c>
      <c r="H5980" t="s">
        <v>6949</v>
      </c>
    </row>
    <row r="5981" spans="1:8">
      <c r="A5981" t="s">
        <v>6868</v>
      </c>
      <c r="B5981" t="s">
        <v>816</v>
      </c>
      <c r="C5981" s="1">
        <v>45150</v>
      </c>
      <c r="D5981" s="1" t="str">
        <f>PROPER(orders[[#This Row],[order_priority]])</f>
        <v>Standard</v>
      </c>
      <c r="E5981" t="s">
        <v>13317</v>
      </c>
      <c r="F5981" t="str">
        <f>IFERROR(INDEX(customers[country], MATCH(orders[[#This Row],[customer_id]], customers[customer_id], 0)), "Unmapped")</f>
        <v>Lithuania</v>
      </c>
      <c r="G5981" t="str">
        <f>IFERROR(INDEX(Region_Map[Region], MATCH(orders[[#This Row],[Customer_Country]], Region_Map[Country], 0)), "Unknown")</f>
        <v>Baltics</v>
      </c>
      <c r="H5981" t="s">
        <v>6949</v>
      </c>
    </row>
    <row r="5982" spans="1:8">
      <c r="A5982" t="s">
        <v>6869</v>
      </c>
      <c r="B5982" t="s">
        <v>461</v>
      </c>
      <c r="C5982" s="1">
        <v>44981</v>
      </c>
      <c r="D5982" s="1" t="str">
        <f>PROPER(orders[[#This Row],[order_priority]])</f>
        <v>Standard</v>
      </c>
      <c r="E5982" t="s">
        <v>13317</v>
      </c>
      <c r="F5982" t="str">
        <f>IFERROR(INDEX(customers[country], MATCH(orders[[#This Row],[customer_id]], customers[customer_id], 0)), "Unmapped")</f>
        <v>Latvia</v>
      </c>
      <c r="G5982" t="str">
        <f>IFERROR(INDEX(Region_Map[Region], MATCH(orders[[#This Row],[Customer_Country]], Region_Map[Country], 0)), "Unknown")</f>
        <v>Baltics</v>
      </c>
      <c r="H5982" t="s">
        <v>6949</v>
      </c>
    </row>
    <row r="5983" spans="1:8">
      <c r="A5983" t="s">
        <v>6870</v>
      </c>
      <c r="B5983" t="s">
        <v>320</v>
      </c>
      <c r="C5983" s="1">
        <v>45374</v>
      </c>
      <c r="D5983" s="1" t="str">
        <f>PROPER(orders[[#This Row],[order_priority]])</f>
        <v>Express</v>
      </c>
      <c r="E5983" t="s">
        <v>13326</v>
      </c>
      <c r="F5983" t="str">
        <f>IFERROR(INDEX(customers[country], MATCH(orders[[#This Row],[customer_id]], customers[customer_id], 0)), "Unmapped")</f>
        <v>Sweden</v>
      </c>
      <c r="G5983" t="str">
        <f>IFERROR(INDEX(Region_Map[Region], MATCH(orders[[#This Row],[Customer_Country]], Region_Map[Country], 0)), "Unknown")</f>
        <v>Nordics</v>
      </c>
      <c r="H5983" t="s">
        <v>6949</v>
      </c>
    </row>
    <row r="5984" spans="1:8">
      <c r="A5984" t="s">
        <v>6871</v>
      </c>
      <c r="B5984" t="s">
        <v>620</v>
      </c>
      <c r="C5984" s="1">
        <v>45051</v>
      </c>
      <c r="D5984" s="1" t="str">
        <f>PROPER(orders[[#This Row],[order_priority]])</f>
        <v>Express</v>
      </c>
      <c r="E5984" t="s">
        <v>13318</v>
      </c>
      <c r="F5984" t="str">
        <f>IFERROR(INDEX(customers[country], MATCH(orders[[#This Row],[customer_id]], customers[customer_id], 0)), "Unmapped")</f>
        <v>Latvia</v>
      </c>
      <c r="G5984" t="str">
        <f>IFERROR(INDEX(Region_Map[Region], MATCH(orders[[#This Row],[Customer_Country]], Region_Map[Country], 0)), "Unknown")</f>
        <v>Baltics</v>
      </c>
      <c r="H5984" t="s">
        <v>6949</v>
      </c>
    </row>
    <row r="5985" spans="1:8">
      <c r="A5985" t="s">
        <v>6872</v>
      </c>
      <c r="B5985" t="s">
        <v>42</v>
      </c>
      <c r="C5985" s="1">
        <v>45386</v>
      </c>
      <c r="D5985" s="1" t="str">
        <f>PROPER(orders[[#This Row],[order_priority]])</f>
        <v>Standard</v>
      </c>
      <c r="E5985" t="s">
        <v>13317</v>
      </c>
      <c r="F5985" t="str">
        <f>IFERROR(INDEX(customers[country], MATCH(orders[[#This Row],[customer_id]], customers[customer_id], 0)), "Unmapped")</f>
        <v>Estonia</v>
      </c>
      <c r="G5985" t="str">
        <f>IFERROR(INDEX(Region_Map[Region], MATCH(orders[[#This Row],[Customer_Country]], Region_Map[Country], 0)), "Unknown")</f>
        <v>Baltics</v>
      </c>
      <c r="H5985" t="s">
        <v>6949</v>
      </c>
    </row>
    <row r="5986" spans="1:8">
      <c r="A5986" t="s">
        <v>6873</v>
      </c>
      <c r="B5986" t="s">
        <v>813</v>
      </c>
      <c r="C5986" s="1">
        <v>45346</v>
      </c>
      <c r="D5986" s="1" t="str">
        <f>PROPER(orders[[#This Row],[order_priority]])</f>
        <v>Same Day</v>
      </c>
      <c r="E5986" t="s">
        <v>13322</v>
      </c>
      <c r="F5986" t="str">
        <f>IFERROR(INDEX(customers[country], MATCH(orders[[#This Row],[customer_id]], customers[customer_id], 0)), "Unmapped")</f>
        <v>Norway</v>
      </c>
      <c r="G5986" t="str">
        <f>IFERROR(INDEX(Region_Map[Region], MATCH(orders[[#This Row],[Customer_Country]], Region_Map[Country], 0)), "Unknown")</f>
        <v>Nordics</v>
      </c>
      <c r="H5986" t="s">
        <v>6949</v>
      </c>
    </row>
    <row r="5987" spans="1:8">
      <c r="A5987" t="s">
        <v>6874</v>
      </c>
      <c r="B5987" t="s">
        <v>303</v>
      </c>
      <c r="C5987" s="1">
        <v>45583</v>
      </c>
      <c r="D5987" s="1" t="str">
        <f>PROPER(orders[[#This Row],[order_priority]])</f>
        <v>Same Day</v>
      </c>
      <c r="E5987" t="s">
        <v>13324</v>
      </c>
      <c r="F5987" t="str">
        <f>IFERROR(INDEX(customers[country], MATCH(orders[[#This Row],[customer_id]], customers[customer_id], 0)), "Unmapped")</f>
        <v>Netherlands</v>
      </c>
      <c r="G5987" t="str">
        <f>IFERROR(INDEX(Region_Map[Region], MATCH(orders[[#This Row],[Customer_Country]], Region_Map[Country], 0)), "Unknown")</f>
        <v>Central Europe</v>
      </c>
      <c r="H5987" t="s">
        <v>6949</v>
      </c>
    </row>
    <row r="5988" spans="1:8">
      <c r="A5988" t="s">
        <v>6451</v>
      </c>
      <c r="B5988" t="s">
        <v>300</v>
      </c>
      <c r="C5988" s="1">
        <v>45460</v>
      </c>
      <c r="D5988" s="1" t="str">
        <f>PROPER(orders[[#This Row],[order_priority]])</f>
        <v>Standard</v>
      </c>
      <c r="E5988" t="s">
        <v>13317</v>
      </c>
      <c r="F5988" t="str">
        <f>IFERROR(INDEX(customers[country], MATCH(orders[[#This Row],[customer_id]], customers[customer_id], 0)), "Unmapped")</f>
        <v>Poland</v>
      </c>
      <c r="G5988" t="str">
        <f>IFERROR(INDEX(Region_Map[Region], MATCH(orders[[#This Row],[Customer_Country]], Region_Map[Country], 0)), "Unknown")</f>
        <v>Central Europe</v>
      </c>
      <c r="H5988" t="s">
        <v>6949</v>
      </c>
    </row>
    <row r="5989" spans="1:8">
      <c r="A5989" t="s">
        <v>6875</v>
      </c>
      <c r="B5989" t="s">
        <v>885</v>
      </c>
      <c r="C5989" s="1">
        <v>45359</v>
      </c>
      <c r="D5989" s="1" t="str">
        <f>PROPER(orders[[#This Row],[order_priority]])</f>
        <v>Standard</v>
      </c>
      <c r="E5989" t="s">
        <v>13317</v>
      </c>
      <c r="F5989" t="str">
        <f>IFERROR(INDEX(customers[country], MATCH(orders[[#This Row],[customer_id]], customers[customer_id], 0)), "Unmapped")</f>
        <v>Poland</v>
      </c>
      <c r="G5989" t="str">
        <f>IFERROR(INDEX(Region_Map[Region], MATCH(orders[[#This Row],[Customer_Country]], Region_Map[Country], 0)), "Unknown")</f>
        <v>Central Europe</v>
      </c>
      <c r="H5989" t="s">
        <v>6949</v>
      </c>
    </row>
    <row r="5990" spans="1:8">
      <c r="A5990" t="s">
        <v>6876</v>
      </c>
      <c r="B5990" t="s">
        <v>673</v>
      </c>
      <c r="C5990" s="1">
        <v>45112</v>
      </c>
      <c r="D5990" s="1" t="str">
        <f>PROPER(orders[[#This Row],[order_priority]])</f>
        <v>Same Day</v>
      </c>
      <c r="E5990" t="s">
        <v>13322</v>
      </c>
      <c r="F5990" t="str">
        <f>IFERROR(INDEX(customers[country], MATCH(orders[[#This Row],[customer_id]], customers[customer_id], 0)), "Unmapped")</f>
        <v>Sweden</v>
      </c>
      <c r="G5990" t="str">
        <f>IFERROR(INDEX(Region_Map[Region], MATCH(orders[[#This Row],[Customer_Country]], Region_Map[Country], 0)), "Unknown")</f>
        <v>Nordics</v>
      </c>
      <c r="H5990" t="s">
        <v>6949</v>
      </c>
    </row>
    <row r="5991" spans="1:8">
      <c r="A5991" t="s">
        <v>6877</v>
      </c>
      <c r="B5991" t="s">
        <v>831</v>
      </c>
      <c r="C5991" s="1">
        <v>45368</v>
      </c>
      <c r="D5991" s="1" t="str">
        <f>PROPER(orders[[#This Row],[order_priority]])</f>
        <v>Economy</v>
      </c>
      <c r="E5991" t="s">
        <v>13316</v>
      </c>
      <c r="F5991" t="str">
        <f>IFERROR(INDEX(customers[country], MATCH(orders[[#This Row],[customer_id]], customers[customer_id], 0)), "Unmapped")</f>
        <v>Norway</v>
      </c>
      <c r="G5991" t="str">
        <f>IFERROR(INDEX(Region_Map[Region], MATCH(orders[[#This Row],[Customer_Country]], Region_Map[Country], 0)), "Unknown")</f>
        <v>Nordics</v>
      </c>
      <c r="H5991" t="s">
        <v>6949</v>
      </c>
    </row>
    <row r="5992" spans="1:8">
      <c r="A5992" t="s">
        <v>6878</v>
      </c>
      <c r="B5992" t="s">
        <v>527</v>
      </c>
      <c r="C5992" s="1">
        <v>44975</v>
      </c>
      <c r="D5992" s="1" t="str">
        <f>PROPER(orders[[#This Row],[order_priority]])</f>
        <v>Express</v>
      </c>
      <c r="E5992" t="s">
        <v>13326</v>
      </c>
      <c r="F5992" t="str">
        <f>IFERROR(INDEX(customers[country], MATCH(orders[[#This Row],[customer_id]], customers[customer_id], 0)), "Unmapped")</f>
        <v>Sweden</v>
      </c>
      <c r="G5992" t="str">
        <f>IFERROR(INDEX(Region_Map[Region], MATCH(orders[[#This Row],[Customer_Country]], Region_Map[Country], 0)), "Unknown")</f>
        <v>Nordics</v>
      </c>
      <c r="H5992" t="s">
        <v>6949</v>
      </c>
    </row>
    <row r="5993" spans="1:8">
      <c r="A5993" t="s">
        <v>6879</v>
      </c>
      <c r="B5993" t="s">
        <v>596</v>
      </c>
      <c r="C5993" s="1">
        <v>44972</v>
      </c>
      <c r="D5993" s="1" t="str">
        <f>PROPER(orders[[#This Row],[order_priority]])</f>
        <v>Standard</v>
      </c>
      <c r="E5993" t="s">
        <v>13317</v>
      </c>
      <c r="F5993" t="str">
        <f>IFERROR(INDEX(customers[country], MATCH(orders[[#This Row],[customer_id]], customers[customer_id], 0)), "Unmapped")</f>
        <v>Lithuania</v>
      </c>
      <c r="G5993" t="str">
        <f>IFERROR(INDEX(Region_Map[Region], MATCH(orders[[#This Row],[Customer_Country]], Region_Map[Country], 0)), "Unknown")</f>
        <v>Baltics</v>
      </c>
      <c r="H5993" t="s">
        <v>6949</v>
      </c>
    </row>
    <row r="5994" spans="1:8">
      <c r="A5994" t="s">
        <v>6880</v>
      </c>
      <c r="B5994" t="s">
        <v>661</v>
      </c>
      <c r="C5994" s="1">
        <v>45613</v>
      </c>
      <c r="D5994" s="1" t="str">
        <f>PROPER(orders[[#This Row],[order_priority]])</f>
        <v>Same Day</v>
      </c>
      <c r="E5994" t="s">
        <v>13322</v>
      </c>
      <c r="F5994" t="str">
        <f>IFERROR(INDEX(customers[country], MATCH(orders[[#This Row],[customer_id]], customers[customer_id], 0)), "Unmapped")</f>
        <v>Lithuania</v>
      </c>
      <c r="G5994" t="str">
        <f>IFERROR(INDEX(Region_Map[Region], MATCH(orders[[#This Row],[Customer_Country]], Region_Map[Country], 0)), "Unknown")</f>
        <v>Baltics</v>
      </c>
      <c r="H5994" t="s">
        <v>6949</v>
      </c>
    </row>
    <row r="5995" spans="1:8">
      <c r="A5995" t="s">
        <v>6881</v>
      </c>
      <c r="B5995" t="s">
        <v>605</v>
      </c>
      <c r="C5995" s="1">
        <v>45325</v>
      </c>
      <c r="D5995" s="1" t="str">
        <f>PROPER(orders[[#This Row],[order_priority]])</f>
        <v>Express</v>
      </c>
      <c r="E5995" t="s">
        <v>13318</v>
      </c>
      <c r="F5995" t="str">
        <f>IFERROR(INDEX(customers[country], MATCH(orders[[#This Row],[customer_id]], customers[customer_id], 0)), "Unmapped")</f>
        <v>Lithuania</v>
      </c>
      <c r="G5995" t="str">
        <f>IFERROR(INDEX(Region_Map[Region], MATCH(orders[[#This Row],[Customer_Country]], Region_Map[Country], 0)), "Unknown")</f>
        <v>Baltics</v>
      </c>
      <c r="H5995" t="s">
        <v>6949</v>
      </c>
    </row>
    <row r="5996" spans="1:8">
      <c r="A5996" t="s">
        <v>6882</v>
      </c>
      <c r="B5996" t="s">
        <v>536</v>
      </c>
      <c r="C5996" s="1">
        <v>45363</v>
      </c>
      <c r="D5996" s="1" t="str">
        <f>PROPER(orders[[#This Row],[order_priority]])</f>
        <v>Standard</v>
      </c>
      <c r="E5996" t="s">
        <v>13317</v>
      </c>
      <c r="F5996" t="str">
        <f>IFERROR(INDEX(customers[country], MATCH(orders[[#This Row],[customer_id]], customers[customer_id], 0)), "Unmapped")</f>
        <v>Germany</v>
      </c>
      <c r="G5996" t="str">
        <f>IFERROR(INDEX(Region_Map[Region], MATCH(orders[[#This Row],[Customer_Country]], Region_Map[Country], 0)), "Unknown")</f>
        <v>Central Europe</v>
      </c>
      <c r="H5996" t="s">
        <v>6949</v>
      </c>
    </row>
    <row r="5997" spans="1:8">
      <c r="A5997" t="s">
        <v>6883</v>
      </c>
      <c r="B5997" t="s">
        <v>602</v>
      </c>
      <c r="C5997" s="1">
        <v>45470</v>
      </c>
      <c r="D5997" s="1" t="str">
        <f>PROPER(orders[[#This Row],[order_priority]])</f>
        <v>Economy</v>
      </c>
      <c r="E5997" t="s">
        <v>13328</v>
      </c>
      <c r="F5997" t="str">
        <f>IFERROR(INDEX(customers[country], MATCH(orders[[#This Row],[customer_id]], customers[customer_id], 0)), "Unmapped")</f>
        <v>Poland</v>
      </c>
      <c r="G5997" t="str">
        <f>IFERROR(INDEX(Region_Map[Region], MATCH(orders[[#This Row],[Customer_Country]], Region_Map[Country], 0)), "Unknown")</f>
        <v>Central Europe</v>
      </c>
      <c r="H5997" t="s">
        <v>6949</v>
      </c>
    </row>
    <row r="5998" spans="1:8">
      <c r="A5998" t="s">
        <v>6884</v>
      </c>
      <c r="B5998" t="s">
        <v>127</v>
      </c>
      <c r="C5998" s="1">
        <v>45443</v>
      </c>
      <c r="D5998" s="1" t="str">
        <f>PROPER(orders[[#This Row],[order_priority]])</f>
        <v>Economy</v>
      </c>
      <c r="E5998" t="s">
        <v>13316</v>
      </c>
      <c r="F5998" t="str">
        <f>IFERROR(INDEX(customers[country], MATCH(orders[[#This Row],[customer_id]], customers[customer_id], 0)), "Unmapped")</f>
        <v>Denmark</v>
      </c>
      <c r="G5998" t="str">
        <f>IFERROR(INDEX(Region_Map[Region], MATCH(orders[[#This Row],[Customer_Country]], Region_Map[Country], 0)), "Unknown")</f>
        <v>Nordics</v>
      </c>
      <c r="H5998" t="s">
        <v>6949</v>
      </c>
    </row>
    <row r="5999" spans="1:8">
      <c r="A5999" t="s">
        <v>6885</v>
      </c>
      <c r="B5999" t="s">
        <v>297</v>
      </c>
      <c r="C5999" s="1">
        <v>45079</v>
      </c>
      <c r="D5999" s="1" t="str">
        <f>PROPER(orders[[#This Row],[order_priority]])</f>
        <v>Economy</v>
      </c>
      <c r="E5999" t="s">
        <v>13316</v>
      </c>
      <c r="F5999" t="str">
        <f>IFERROR(INDEX(customers[country], MATCH(orders[[#This Row],[customer_id]], customers[customer_id], 0)), "Unmapped")</f>
        <v>Poland</v>
      </c>
      <c r="G5999" t="str">
        <f>IFERROR(INDEX(Region_Map[Region], MATCH(orders[[#This Row],[Customer_Country]], Region_Map[Country], 0)), "Unknown")</f>
        <v>Central Europe</v>
      </c>
      <c r="H5999" t="s">
        <v>6949</v>
      </c>
    </row>
    <row r="6000" spans="1:8">
      <c r="A6000" t="s">
        <v>6886</v>
      </c>
      <c r="B6000" t="s">
        <v>641</v>
      </c>
      <c r="C6000" s="1">
        <v>45018</v>
      </c>
      <c r="D6000" s="1" t="str">
        <f>PROPER(orders[[#This Row],[order_priority]])</f>
        <v>Economy</v>
      </c>
      <c r="E6000" t="s">
        <v>13325</v>
      </c>
      <c r="F6000" t="str">
        <f>IFERROR(INDEX(customers[country], MATCH(orders[[#This Row],[customer_id]], customers[customer_id], 0)), "Unmapped")</f>
        <v>Poland</v>
      </c>
      <c r="G6000" t="str">
        <f>IFERROR(INDEX(Region_Map[Region], MATCH(orders[[#This Row],[Customer_Country]], Region_Map[Country], 0)), "Unknown")</f>
        <v>Central Europe</v>
      </c>
      <c r="H6000" t="s">
        <v>6949</v>
      </c>
    </row>
    <row r="6001" spans="1:8">
      <c r="A6001" t="s">
        <v>6887</v>
      </c>
      <c r="B6001" t="s">
        <v>793</v>
      </c>
      <c r="C6001" s="1">
        <v>45157</v>
      </c>
      <c r="D6001" s="1" t="str">
        <f>PROPER(orders[[#This Row],[order_priority]])</f>
        <v>Same Day</v>
      </c>
      <c r="E6001" t="s">
        <v>13322</v>
      </c>
      <c r="F6001" t="str">
        <f>IFERROR(INDEX(customers[country], MATCH(orders[[#This Row],[customer_id]], customers[customer_id], 0)), "Unmapped")</f>
        <v>Sweden</v>
      </c>
      <c r="G6001" t="str">
        <f>IFERROR(INDEX(Region_Map[Region], MATCH(orders[[#This Row],[Customer_Country]], Region_Map[Country], 0)), "Unknown")</f>
        <v>Nordics</v>
      </c>
      <c r="H6001" t="s">
        <v>6949</v>
      </c>
    </row>
    <row r="6002" spans="1:8">
      <c r="A6002" t="s">
        <v>6888</v>
      </c>
      <c r="B6002" t="s">
        <v>416</v>
      </c>
      <c r="C6002" s="1">
        <v>45392</v>
      </c>
      <c r="D6002" s="1" t="str">
        <f>PROPER(orders[[#This Row],[order_priority]])</f>
        <v>Express</v>
      </c>
      <c r="E6002" t="s">
        <v>13318</v>
      </c>
      <c r="F6002" t="str">
        <f>IFERROR(INDEX(customers[country], MATCH(orders[[#This Row],[customer_id]], customers[customer_id], 0)), "Unmapped")</f>
        <v>Denmark</v>
      </c>
      <c r="G6002" t="str">
        <f>IFERROR(INDEX(Region_Map[Region], MATCH(orders[[#This Row],[Customer_Country]], Region_Map[Country], 0)), "Unknown")</f>
        <v>Nordics</v>
      </c>
      <c r="H6002" t="s">
        <v>6949</v>
      </c>
    </row>
    <row r="6003" spans="1:8">
      <c r="A6003" t="s">
        <v>6889</v>
      </c>
      <c r="B6003" t="s">
        <v>425</v>
      </c>
      <c r="C6003" s="1">
        <v>45127</v>
      </c>
      <c r="D6003" s="1" t="str">
        <f>PROPER(orders[[#This Row],[order_priority]])</f>
        <v>Express</v>
      </c>
      <c r="E6003" t="s">
        <v>13318</v>
      </c>
      <c r="F6003" t="str">
        <f>IFERROR(INDEX(customers[country], MATCH(orders[[#This Row],[customer_id]], customers[customer_id], 0)), "Unmapped")</f>
        <v>Denmark</v>
      </c>
      <c r="G6003" t="str">
        <f>IFERROR(INDEX(Region_Map[Region], MATCH(orders[[#This Row],[Customer_Country]], Region_Map[Country], 0)), "Unknown")</f>
        <v>Nordics</v>
      </c>
      <c r="H6003" t="s">
        <v>6949</v>
      </c>
    </row>
    <row r="6004" spans="1:8">
      <c r="A6004" t="s">
        <v>6890</v>
      </c>
      <c r="B6004" t="s">
        <v>858</v>
      </c>
      <c r="C6004" s="1">
        <v>44957</v>
      </c>
      <c r="D6004" s="1" t="str">
        <f>PROPER(orders[[#This Row],[order_priority]])</f>
        <v>Standard</v>
      </c>
      <c r="E6004" t="s">
        <v>13317</v>
      </c>
      <c r="F6004" t="str">
        <f>IFERROR(INDEX(customers[country], MATCH(orders[[#This Row],[customer_id]], customers[customer_id], 0)), "Unmapped")</f>
        <v>Lithuania</v>
      </c>
      <c r="G6004" t="str">
        <f>IFERROR(INDEX(Region_Map[Region], MATCH(orders[[#This Row],[Customer_Country]], Region_Map[Country], 0)), "Unknown")</f>
        <v>Baltics</v>
      </c>
      <c r="H6004" t="s">
        <v>6949</v>
      </c>
    </row>
    <row r="6005" spans="1:8">
      <c r="A6005" t="s">
        <v>6891</v>
      </c>
      <c r="B6005" t="s">
        <v>652</v>
      </c>
      <c r="C6005" s="1">
        <v>45438</v>
      </c>
      <c r="D6005" s="1" t="str">
        <f>PROPER(orders[[#This Row],[order_priority]])</f>
        <v>Economy</v>
      </c>
      <c r="E6005" t="s">
        <v>13316</v>
      </c>
      <c r="F6005" t="str">
        <f>IFERROR(INDEX(customers[country], MATCH(orders[[#This Row],[customer_id]], customers[customer_id], 0)), "Unmapped")</f>
        <v>Poland</v>
      </c>
      <c r="G6005" t="str">
        <f>IFERROR(INDEX(Region_Map[Region], MATCH(orders[[#This Row],[Customer_Country]], Region_Map[Country], 0)), "Unknown")</f>
        <v>Central Europe</v>
      </c>
      <c r="H6005" t="s">
        <v>6949</v>
      </c>
    </row>
    <row r="6006" spans="1:8">
      <c r="A6006" t="s">
        <v>6892</v>
      </c>
      <c r="B6006" t="s">
        <v>542</v>
      </c>
      <c r="C6006" s="1">
        <v>45260</v>
      </c>
      <c r="D6006" s="1" t="str">
        <f>PROPER(orders[[#This Row],[order_priority]])</f>
        <v>Same Day</v>
      </c>
      <c r="E6006" t="s">
        <v>13322</v>
      </c>
      <c r="F6006" t="str">
        <f>IFERROR(INDEX(customers[country], MATCH(orders[[#This Row],[customer_id]], customers[customer_id], 0)), "Unmapped")</f>
        <v>Poland</v>
      </c>
      <c r="G6006" t="str">
        <f>IFERROR(INDEX(Region_Map[Region], MATCH(orders[[#This Row],[Customer_Country]], Region_Map[Country], 0)), "Unknown")</f>
        <v>Central Europe</v>
      </c>
      <c r="H6006" t="s">
        <v>6949</v>
      </c>
    </row>
    <row r="6007" spans="1:8">
      <c r="A6007" t="s">
        <v>6893</v>
      </c>
      <c r="B6007" t="s">
        <v>87</v>
      </c>
      <c r="C6007" s="1">
        <v>45569</v>
      </c>
      <c r="D6007" s="1" t="str">
        <f>PROPER(orders[[#This Row],[order_priority]])</f>
        <v>Same Day</v>
      </c>
      <c r="E6007" t="s">
        <v>13322</v>
      </c>
      <c r="F6007" t="str">
        <f>IFERROR(INDEX(customers[country], MATCH(orders[[#This Row],[customer_id]], customers[customer_id], 0)), "Unmapped")</f>
        <v>Latvia</v>
      </c>
      <c r="G6007" t="str">
        <f>IFERROR(INDEX(Region_Map[Region], MATCH(orders[[#This Row],[Customer_Country]], Region_Map[Country], 0)), "Unknown")</f>
        <v>Baltics</v>
      </c>
      <c r="H6007" t="s">
        <v>6949</v>
      </c>
    </row>
    <row r="6008" spans="1:8">
      <c r="A6008" t="s">
        <v>6894</v>
      </c>
      <c r="B6008" t="s">
        <v>858</v>
      </c>
      <c r="C6008" s="1">
        <v>45013</v>
      </c>
      <c r="D6008" s="1" t="str">
        <f>PROPER(orders[[#This Row],[order_priority]])</f>
        <v>Economy</v>
      </c>
      <c r="E6008" t="s">
        <v>13316</v>
      </c>
      <c r="F6008" t="str">
        <f>IFERROR(INDEX(customers[country], MATCH(orders[[#This Row],[customer_id]], customers[customer_id], 0)), "Unmapped")</f>
        <v>Lithuania</v>
      </c>
      <c r="G6008" t="str">
        <f>IFERROR(INDEX(Region_Map[Region], MATCH(orders[[#This Row],[Customer_Country]], Region_Map[Country], 0)), "Unknown")</f>
        <v>Baltics</v>
      </c>
      <c r="H6008" t="s">
        <v>6949</v>
      </c>
    </row>
    <row r="6009" spans="1:8">
      <c r="A6009" t="s">
        <v>6895</v>
      </c>
      <c r="B6009" t="s">
        <v>383</v>
      </c>
      <c r="C6009" s="1">
        <v>45442</v>
      </c>
      <c r="D6009" s="1" t="str">
        <f>PROPER(orders[[#This Row],[order_priority]])</f>
        <v>Express</v>
      </c>
      <c r="E6009" t="s">
        <v>13318</v>
      </c>
      <c r="F6009" t="str">
        <f>IFERROR(INDEX(customers[country], MATCH(orders[[#This Row],[customer_id]], customers[customer_id], 0)), "Unmapped")</f>
        <v>Germany</v>
      </c>
      <c r="G6009" t="str">
        <f>IFERROR(INDEX(Region_Map[Region], MATCH(orders[[#This Row],[Customer_Country]], Region_Map[Country], 0)), "Unknown")</f>
        <v>Central Europe</v>
      </c>
      <c r="H6009" t="s">
        <v>6949</v>
      </c>
    </row>
    <row r="6010" spans="1:8">
      <c r="A6010" t="s">
        <v>6896</v>
      </c>
      <c r="B6010" t="s">
        <v>494</v>
      </c>
      <c r="C6010" s="1">
        <v>45550</v>
      </c>
      <c r="D6010" s="1" t="str">
        <f>PROPER(orders[[#This Row],[order_priority]])</f>
        <v>Standard</v>
      </c>
      <c r="E6010" t="s">
        <v>13317</v>
      </c>
      <c r="F6010" t="str">
        <f>IFERROR(INDEX(customers[country], MATCH(orders[[#This Row],[customer_id]], customers[customer_id], 0)), "Unmapped")</f>
        <v>Sweden</v>
      </c>
      <c r="G6010" t="str">
        <f>IFERROR(INDEX(Region_Map[Region], MATCH(orders[[#This Row],[Customer_Country]], Region_Map[Country], 0)), "Unknown")</f>
        <v>Nordics</v>
      </c>
      <c r="H6010" t="s">
        <v>6949</v>
      </c>
    </row>
    <row r="6011" spans="1:8">
      <c r="A6011" t="s">
        <v>6897</v>
      </c>
      <c r="B6011" t="s">
        <v>670</v>
      </c>
      <c r="C6011" s="1">
        <v>45385</v>
      </c>
      <c r="D6011" s="1" t="str">
        <f>PROPER(orders[[#This Row],[order_priority]])</f>
        <v>Standard</v>
      </c>
      <c r="E6011" t="s">
        <v>13317</v>
      </c>
      <c r="F6011" t="str">
        <f>IFERROR(INDEX(customers[country], MATCH(orders[[#This Row],[customer_id]], customers[customer_id], 0)), "Unmapped")</f>
        <v>Netherlands</v>
      </c>
      <c r="G6011" t="str">
        <f>IFERROR(INDEX(Region_Map[Region], MATCH(orders[[#This Row],[Customer_Country]], Region_Map[Country], 0)), "Unknown")</f>
        <v>Central Europe</v>
      </c>
      <c r="H6011" t="s">
        <v>6949</v>
      </c>
    </row>
    <row r="6012" spans="1:8">
      <c r="A6012" t="s">
        <v>6898</v>
      </c>
      <c r="B6012" t="s">
        <v>300</v>
      </c>
      <c r="C6012" s="1">
        <v>45541</v>
      </c>
      <c r="D6012" s="1" t="str">
        <f>PROPER(orders[[#This Row],[order_priority]])</f>
        <v>Standard</v>
      </c>
      <c r="E6012" t="s">
        <v>13317</v>
      </c>
      <c r="F6012" t="str">
        <f>IFERROR(INDEX(customers[country], MATCH(orders[[#This Row],[customer_id]], customers[customer_id], 0)), "Unmapped")</f>
        <v>Poland</v>
      </c>
      <c r="G6012" t="str">
        <f>IFERROR(INDEX(Region_Map[Region], MATCH(orders[[#This Row],[Customer_Country]], Region_Map[Country], 0)), "Unknown")</f>
        <v>Central Europe</v>
      </c>
      <c r="H6012" t="s">
        <v>6949</v>
      </c>
    </row>
    <row r="6013" spans="1:8">
      <c r="A6013" t="s">
        <v>6899</v>
      </c>
      <c r="B6013" t="s">
        <v>154</v>
      </c>
      <c r="C6013" s="1">
        <v>45254</v>
      </c>
      <c r="D6013" s="1" t="str">
        <f>PROPER(orders[[#This Row],[order_priority]])</f>
        <v>Economy</v>
      </c>
      <c r="E6013" t="s">
        <v>13316</v>
      </c>
      <c r="F6013" t="str">
        <f>IFERROR(INDEX(customers[country], MATCH(orders[[#This Row],[customer_id]], customers[customer_id], 0)), "Unmapped")</f>
        <v>Lithuania</v>
      </c>
      <c r="G6013" t="str">
        <f>IFERROR(INDEX(Region_Map[Region], MATCH(orders[[#This Row],[Customer_Country]], Region_Map[Country], 0)), "Unknown")</f>
        <v>Baltics</v>
      </c>
      <c r="H6013" t="s">
        <v>6949</v>
      </c>
    </row>
    <row r="6014" spans="1:8">
      <c r="A6014" t="s">
        <v>6900</v>
      </c>
      <c r="B6014" t="s">
        <v>512</v>
      </c>
      <c r="C6014" s="1">
        <v>45578</v>
      </c>
      <c r="D6014" s="1" t="str">
        <f>PROPER(orders[[#This Row],[order_priority]])</f>
        <v>Economy</v>
      </c>
      <c r="E6014" t="s">
        <v>13316</v>
      </c>
      <c r="F6014" t="str">
        <f>IFERROR(INDEX(customers[country], MATCH(orders[[#This Row],[customer_id]], customers[customer_id], 0)), "Unmapped")</f>
        <v>Poland</v>
      </c>
      <c r="G6014" t="str">
        <f>IFERROR(INDEX(Region_Map[Region], MATCH(orders[[#This Row],[Customer_Country]], Region_Map[Country], 0)), "Unknown")</f>
        <v>Central Europe</v>
      </c>
      <c r="H6014" t="s">
        <v>6949</v>
      </c>
    </row>
    <row r="6015" spans="1:8">
      <c r="A6015" t="s">
        <v>6901</v>
      </c>
      <c r="B6015" t="s">
        <v>136</v>
      </c>
      <c r="C6015" s="1">
        <v>45458</v>
      </c>
      <c r="D6015" s="1" t="str">
        <f>PROPER(orders[[#This Row],[order_priority]])</f>
        <v>Economy</v>
      </c>
      <c r="E6015" t="s">
        <v>13316</v>
      </c>
      <c r="F6015" t="str">
        <f>IFERROR(INDEX(customers[country], MATCH(orders[[#This Row],[customer_id]], customers[customer_id], 0)), "Unmapped")</f>
        <v>Sweden</v>
      </c>
      <c r="G6015" t="str">
        <f>IFERROR(INDEX(Region_Map[Region], MATCH(orders[[#This Row],[Customer_Country]], Region_Map[Country], 0)), "Unknown")</f>
        <v>Nordics</v>
      </c>
      <c r="H6015" t="s">
        <v>6949</v>
      </c>
    </row>
    <row r="6016" spans="1:8">
      <c r="A6016" t="s">
        <v>6902</v>
      </c>
      <c r="B6016" t="s">
        <v>811</v>
      </c>
      <c r="C6016" s="1">
        <v>44995</v>
      </c>
      <c r="D6016" s="1" t="str">
        <f>PROPER(orders[[#This Row],[order_priority]])</f>
        <v>Standard</v>
      </c>
      <c r="E6016" t="s">
        <v>13317</v>
      </c>
      <c r="F6016" t="str">
        <f>IFERROR(INDEX(customers[country], MATCH(orders[[#This Row],[customer_id]], customers[customer_id], 0)), "Unmapped")</f>
        <v>Finland</v>
      </c>
      <c r="G6016" t="str">
        <f>IFERROR(INDEX(Region_Map[Region], MATCH(orders[[#This Row],[Customer_Country]], Region_Map[Country], 0)), "Unknown")</f>
        <v>Nordics</v>
      </c>
      <c r="H6016" t="s">
        <v>6949</v>
      </c>
    </row>
    <row r="6017" spans="1:8">
      <c r="A6017" t="s">
        <v>6903</v>
      </c>
      <c r="B6017" t="s">
        <v>273</v>
      </c>
      <c r="C6017" s="1">
        <v>45266</v>
      </c>
      <c r="D6017" s="1" t="str">
        <f>PROPER(orders[[#This Row],[order_priority]])</f>
        <v>Economy</v>
      </c>
      <c r="E6017" t="s">
        <v>13316</v>
      </c>
      <c r="F6017" t="str">
        <f>IFERROR(INDEX(customers[country], MATCH(orders[[#This Row],[customer_id]], customers[customer_id], 0)), "Unmapped")</f>
        <v>Norway</v>
      </c>
      <c r="G6017" t="str">
        <f>IFERROR(INDEX(Region_Map[Region], MATCH(orders[[#This Row],[Customer_Country]], Region_Map[Country], 0)), "Unknown")</f>
        <v>Nordics</v>
      </c>
      <c r="H6017" t="s">
        <v>6949</v>
      </c>
    </row>
    <row r="6018" spans="1:8">
      <c r="A6018" t="s">
        <v>6904</v>
      </c>
      <c r="B6018" t="s">
        <v>593</v>
      </c>
      <c r="C6018" s="1">
        <v>45248</v>
      </c>
      <c r="D6018" s="1" t="str">
        <f>PROPER(orders[[#This Row],[order_priority]])</f>
        <v>Standard</v>
      </c>
      <c r="E6018" t="s">
        <v>13317</v>
      </c>
      <c r="F6018" t="str">
        <f>IFERROR(INDEX(customers[country], MATCH(orders[[#This Row],[customer_id]], customers[customer_id], 0)), "Unmapped")</f>
        <v>Estonia</v>
      </c>
      <c r="G6018" t="str">
        <f>IFERROR(INDEX(Region_Map[Region], MATCH(orders[[#This Row],[Customer_Country]], Region_Map[Country], 0)), "Unknown")</f>
        <v>Baltics</v>
      </c>
      <c r="H6018" t="s">
        <v>6949</v>
      </c>
    </row>
    <row r="6019" spans="1:8">
      <c r="A6019" t="s">
        <v>6905</v>
      </c>
      <c r="B6019" t="s">
        <v>294</v>
      </c>
      <c r="C6019" s="1">
        <v>45105</v>
      </c>
      <c r="D6019" s="1" t="str">
        <f>PROPER(orders[[#This Row],[order_priority]])</f>
        <v>Same Day</v>
      </c>
      <c r="E6019" t="s">
        <v>13322</v>
      </c>
      <c r="F6019" t="str">
        <f>IFERROR(INDEX(customers[country], MATCH(orders[[#This Row],[customer_id]], customers[customer_id], 0)), "Unmapped")</f>
        <v>Denmark</v>
      </c>
      <c r="G6019" t="str">
        <f>IFERROR(INDEX(Region_Map[Region], MATCH(orders[[#This Row],[Customer_Country]], Region_Map[Country], 0)), "Unknown")</f>
        <v>Nordics</v>
      </c>
      <c r="H6019" t="s">
        <v>6949</v>
      </c>
    </row>
    <row r="6020" spans="1:8">
      <c r="A6020" t="s">
        <v>6906</v>
      </c>
      <c r="B6020" t="s">
        <v>834</v>
      </c>
      <c r="C6020" s="1">
        <v>45110</v>
      </c>
      <c r="D6020" s="1" t="str">
        <f>PROPER(orders[[#This Row],[order_priority]])</f>
        <v>Express</v>
      </c>
      <c r="E6020" t="s">
        <v>13318</v>
      </c>
      <c r="F6020" t="str">
        <f>IFERROR(INDEX(customers[country], MATCH(orders[[#This Row],[customer_id]], customers[customer_id], 0)), "Unmapped")</f>
        <v>Denmark</v>
      </c>
      <c r="G6020" t="str">
        <f>IFERROR(INDEX(Region_Map[Region], MATCH(orders[[#This Row],[Customer_Country]], Region_Map[Country], 0)), "Unknown")</f>
        <v>Nordics</v>
      </c>
      <c r="H6020" t="s">
        <v>6949</v>
      </c>
    </row>
    <row r="6021" spans="1:8">
      <c r="A6021" t="s">
        <v>6907</v>
      </c>
      <c r="B6021" t="s">
        <v>470</v>
      </c>
      <c r="C6021" s="1">
        <v>45024</v>
      </c>
      <c r="D6021" s="1" t="str">
        <f>PROPER(orders[[#This Row],[order_priority]])</f>
        <v>Standard</v>
      </c>
      <c r="E6021" t="s">
        <v>13317</v>
      </c>
      <c r="F6021" t="str">
        <f>IFERROR(INDEX(customers[country], MATCH(orders[[#This Row],[customer_id]], customers[customer_id], 0)), "Unmapped")</f>
        <v>Norway</v>
      </c>
      <c r="G6021" t="str">
        <f>IFERROR(INDEX(Region_Map[Region], MATCH(orders[[#This Row],[Customer_Country]], Region_Map[Country], 0)), "Unknown")</f>
        <v>Nordics</v>
      </c>
      <c r="H6021" t="s">
        <v>6949</v>
      </c>
    </row>
    <row r="6022" spans="1:8">
      <c r="A6022" t="s">
        <v>6908</v>
      </c>
      <c r="B6022" t="s">
        <v>831</v>
      </c>
      <c r="C6022" s="1">
        <v>45477</v>
      </c>
      <c r="D6022" s="1" t="str">
        <f>PROPER(orders[[#This Row],[order_priority]])</f>
        <v>Standard</v>
      </c>
      <c r="E6022" t="s">
        <v>13317</v>
      </c>
      <c r="F6022" t="str">
        <f>IFERROR(INDEX(customers[country], MATCH(orders[[#This Row],[customer_id]], customers[customer_id], 0)), "Unmapped")</f>
        <v>Norway</v>
      </c>
      <c r="G6022" t="str">
        <f>IFERROR(INDEX(Region_Map[Region], MATCH(orders[[#This Row],[Customer_Country]], Region_Map[Country], 0)), "Unknown")</f>
        <v>Nordics</v>
      </c>
      <c r="H6022" t="s">
        <v>6949</v>
      </c>
    </row>
    <row r="6023" spans="1:8">
      <c r="A6023" t="s">
        <v>6909</v>
      </c>
      <c r="B6023" t="s">
        <v>703</v>
      </c>
      <c r="C6023" s="1">
        <v>44982</v>
      </c>
      <c r="D6023" s="1" t="str">
        <f>PROPER(orders[[#This Row],[order_priority]])</f>
        <v>Same Day</v>
      </c>
      <c r="E6023" t="s">
        <v>13322</v>
      </c>
      <c r="F6023" t="str">
        <f>IFERROR(INDEX(customers[country], MATCH(orders[[#This Row],[customer_id]], customers[customer_id], 0)), "Unmapped")</f>
        <v>Estonia</v>
      </c>
      <c r="G6023" t="str">
        <f>IFERROR(INDEX(Region_Map[Region], MATCH(orders[[#This Row],[Customer_Country]], Region_Map[Country], 0)), "Unknown")</f>
        <v>Baltics</v>
      </c>
      <c r="H6023" t="s">
        <v>6949</v>
      </c>
    </row>
    <row r="6024" spans="1:8">
      <c r="A6024" t="s">
        <v>6910</v>
      </c>
      <c r="B6024" t="s">
        <v>497</v>
      </c>
      <c r="C6024" s="1">
        <v>45053</v>
      </c>
      <c r="D6024" s="1" t="str">
        <f>PROPER(orders[[#This Row],[order_priority]])</f>
        <v>Economy</v>
      </c>
      <c r="E6024" t="s">
        <v>13316</v>
      </c>
      <c r="F6024" t="str">
        <f>IFERROR(INDEX(customers[country], MATCH(orders[[#This Row],[customer_id]], customers[customer_id], 0)), "Unmapped")</f>
        <v>Germany</v>
      </c>
      <c r="G6024" t="str">
        <f>IFERROR(INDEX(Region_Map[Region], MATCH(orders[[#This Row],[Customer_Country]], Region_Map[Country], 0)), "Unknown")</f>
        <v>Central Europe</v>
      </c>
      <c r="H6024" t="s">
        <v>6949</v>
      </c>
    </row>
    <row r="6025" spans="1:8">
      <c r="A6025" t="s">
        <v>6911</v>
      </c>
      <c r="B6025" t="s">
        <v>99</v>
      </c>
      <c r="C6025" s="1">
        <v>45389</v>
      </c>
      <c r="D6025" s="1" t="str">
        <f>PROPER(orders[[#This Row],[order_priority]])</f>
        <v>Standard</v>
      </c>
      <c r="E6025" t="s">
        <v>13317</v>
      </c>
      <c r="F6025" t="str">
        <f>IFERROR(INDEX(customers[country], MATCH(orders[[#This Row],[customer_id]], customers[customer_id], 0)), "Unmapped")</f>
        <v>Poland</v>
      </c>
      <c r="G6025" t="str">
        <f>IFERROR(INDEX(Region_Map[Region], MATCH(orders[[#This Row],[Customer_Country]], Region_Map[Country], 0)), "Unknown")</f>
        <v>Central Europe</v>
      </c>
      <c r="H6025" t="s">
        <v>6949</v>
      </c>
    </row>
    <row r="6026" spans="1:8">
      <c r="A6026" t="s">
        <v>6912</v>
      </c>
      <c r="B6026" t="s">
        <v>374</v>
      </c>
      <c r="C6026" s="1">
        <v>45242</v>
      </c>
      <c r="D6026" s="1" t="str">
        <f>PROPER(orders[[#This Row],[order_priority]])</f>
        <v>Same Day</v>
      </c>
      <c r="E6026" t="s">
        <v>13322</v>
      </c>
      <c r="F6026" t="str">
        <f>IFERROR(INDEX(customers[country], MATCH(orders[[#This Row],[customer_id]], customers[customer_id], 0)), "Unmapped")</f>
        <v>Estonia</v>
      </c>
      <c r="G6026" t="str">
        <f>IFERROR(INDEX(Region_Map[Region], MATCH(orders[[#This Row],[Customer_Country]], Region_Map[Country], 0)), "Unknown")</f>
        <v>Baltics</v>
      </c>
      <c r="H6026" t="s">
        <v>6949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FC9C7-ED51-7D4A-B19D-BCC64A21C3A4}">
  <dimension ref="A1:K19"/>
  <sheetViews>
    <sheetView workbookViewId="0">
      <selection activeCell="A24" sqref="A24:E38"/>
    </sheetView>
  </sheetViews>
  <sheetFormatPr baseColWidth="10" defaultRowHeight="16"/>
  <cols>
    <col min="1" max="1" width="13.1640625" bestFit="1" customWidth="1"/>
    <col min="2" max="2" width="18.1640625" bestFit="1" customWidth="1"/>
    <col min="3" max="3" width="36" customWidth="1"/>
    <col min="4" max="4" width="29.5" bestFit="1" customWidth="1"/>
    <col min="5" max="5" width="19.1640625" bestFit="1" customWidth="1"/>
    <col min="10" max="10" width="11.1640625" customWidth="1"/>
    <col min="11" max="11" width="15" bestFit="1" customWidth="1"/>
  </cols>
  <sheetData>
    <row r="1" spans="1:11">
      <c r="A1" t="s">
        <v>13362</v>
      </c>
      <c r="B1" t="s">
        <v>13363</v>
      </c>
      <c r="C1" t="s">
        <v>13364</v>
      </c>
      <c r="D1" t="s">
        <v>13365</v>
      </c>
      <c r="E1" t="s">
        <v>13366</v>
      </c>
    </row>
    <row r="2" spans="1:11" ht="17">
      <c r="A2" t="s">
        <v>13367</v>
      </c>
      <c r="B2" t="s">
        <v>13368</v>
      </c>
      <c r="C2" t="s">
        <v>13369</v>
      </c>
      <c r="D2" s="2">
        <f>COUNTBLANK(orders[customer_id])</f>
        <v>38</v>
      </c>
      <c r="E2" t="s">
        <v>13370</v>
      </c>
    </row>
    <row r="3" spans="1:11" ht="17">
      <c r="A3" t="s">
        <v>13371</v>
      </c>
      <c r="B3" t="s">
        <v>13372</v>
      </c>
      <c r="C3" t="s">
        <v>13369</v>
      </c>
      <c r="D3" s="2">
        <f>COUNTBLANK(Raw_shipments!C2:C6376)</f>
        <v>188</v>
      </c>
      <c r="E3" t="s">
        <v>13370</v>
      </c>
    </row>
    <row r="4" spans="1:11" ht="17">
      <c r="A4" t="s">
        <v>13371</v>
      </c>
      <c r="B4" t="s">
        <v>6917</v>
      </c>
      <c r="C4" t="s">
        <v>13369</v>
      </c>
      <c r="D4" s="2">
        <f>COUNTBLANK(shipments[actual_delivery_date])</f>
        <v>969</v>
      </c>
      <c r="E4" t="s">
        <v>13370</v>
      </c>
      <c r="J4" s="3" t="s">
        <v>13387</v>
      </c>
      <c r="K4" s="3" t="s">
        <v>13374</v>
      </c>
    </row>
    <row r="5" spans="1:11" ht="17">
      <c r="A5" t="s">
        <v>13371</v>
      </c>
      <c r="B5" t="s">
        <v>13373</v>
      </c>
      <c r="C5" t="s">
        <v>13369</v>
      </c>
      <c r="D5" s="2">
        <f>COUNTBLANK(shipments[shipping_cost_eur])</f>
        <v>126</v>
      </c>
      <c r="E5" t="s">
        <v>13370</v>
      </c>
      <c r="J5" s="4" t="s">
        <v>14</v>
      </c>
      <c r="K5" s="4" t="s">
        <v>13388</v>
      </c>
    </row>
    <row r="6" spans="1:11">
      <c r="A6" t="s">
        <v>13367</v>
      </c>
      <c r="B6" t="s">
        <v>13374</v>
      </c>
      <c r="C6" t="s">
        <v>13378</v>
      </c>
      <c r="D6">
        <f>COUNTBLANK(orders[region])</f>
        <v>6025</v>
      </c>
      <c r="E6" t="s">
        <v>13370</v>
      </c>
      <c r="J6" s="4" t="s">
        <v>76</v>
      </c>
      <c r="K6" s="4" t="s">
        <v>13388</v>
      </c>
    </row>
    <row r="7" spans="1:11">
      <c r="A7" t="s">
        <v>13367</v>
      </c>
      <c r="B7" t="s">
        <v>13314</v>
      </c>
      <c r="C7" t="s">
        <v>13379</v>
      </c>
      <c r="D7" cm="1">
        <f t="array" ref="D7">SUMPRODUCT(1 * EXACT(Raw_orders!E:E, "STANDARD"))</f>
        <v>95</v>
      </c>
      <c r="E7" t="s">
        <v>13380</v>
      </c>
      <c r="F7" s="9" t="s">
        <v>13384</v>
      </c>
      <c r="G7" s="9"/>
      <c r="H7" s="9"/>
      <c r="J7" s="4" t="s">
        <v>105</v>
      </c>
      <c r="K7" s="4" t="s">
        <v>13388</v>
      </c>
    </row>
    <row r="8" spans="1:11">
      <c r="A8" t="s">
        <v>13367</v>
      </c>
      <c r="B8" t="s">
        <v>13314</v>
      </c>
      <c r="C8" t="s">
        <v>13382</v>
      </c>
      <c r="D8" cm="1">
        <f t="array" ref="D8">SUMPRODUCT(1 * EXACT(Raw_orders!E:E, "Standard"))</f>
        <v>1293</v>
      </c>
      <c r="E8" t="s">
        <v>13380</v>
      </c>
      <c r="F8" s="9"/>
      <c r="G8" s="9"/>
      <c r="H8" s="9"/>
      <c r="J8" s="4" t="s">
        <v>83</v>
      </c>
      <c r="K8" s="4" t="s">
        <v>13388</v>
      </c>
    </row>
    <row r="9" spans="1:11">
      <c r="A9" t="s">
        <v>13367</v>
      </c>
      <c r="B9" t="s">
        <v>13314</v>
      </c>
      <c r="C9" t="s">
        <v>13383</v>
      </c>
      <c r="D9" cm="1">
        <f t="array" ref="D9">SUMPRODUCT(1 * EXACT(Raw_orders!E:E, "standard"))</f>
        <v>94</v>
      </c>
      <c r="E9" t="s">
        <v>13380</v>
      </c>
      <c r="F9" s="9"/>
      <c r="G9" s="9"/>
      <c r="H9" s="9"/>
      <c r="J9" s="4" t="s">
        <v>10</v>
      </c>
      <c r="K9" s="4" t="s">
        <v>13389</v>
      </c>
    </row>
    <row r="10" spans="1:11">
      <c r="A10" t="s">
        <v>13371</v>
      </c>
      <c r="B10" t="s">
        <v>13375</v>
      </c>
      <c r="C10" t="s">
        <v>13376</v>
      </c>
      <c r="D10" cm="1">
        <f t="array" ref="D10">SUMPRODUCT(1*EXACT(shipments[delivery_status], "DELIVERED"))</f>
        <v>1764</v>
      </c>
      <c r="E10" t="s">
        <v>13380</v>
      </c>
      <c r="F10" s="9"/>
      <c r="G10" s="9"/>
      <c r="H10" s="9"/>
      <c r="J10" s="4" t="s">
        <v>18</v>
      </c>
      <c r="K10" s="4" t="s">
        <v>13389</v>
      </c>
    </row>
    <row r="11" spans="1:11">
      <c r="A11" t="s">
        <v>13371</v>
      </c>
      <c r="B11" t="s">
        <v>13375</v>
      </c>
      <c r="C11" t="s">
        <v>13377</v>
      </c>
      <c r="D11" cm="1">
        <f t="array" ref="D11">SUMPRODUCT(1*EXACT(shipments[delivery_status], "Delivered"))</f>
        <v>1844</v>
      </c>
      <c r="E11" t="s">
        <v>13380</v>
      </c>
      <c r="F11" s="9"/>
      <c r="G11" s="9"/>
      <c r="H11" s="9"/>
      <c r="J11" s="4" t="s">
        <v>41</v>
      </c>
      <c r="K11" s="4" t="s">
        <v>13389</v>
      </c>
    </row>
    <row r="12" spans="1:11">
      <c r="A12" t="s">
        <v>13371</v>
      </c>
      <c r="B12" t="s">
        <v>13375</v>
      </c>
      <c r="C12" t="s">
        <v>13381</v>
      </c>
      <c r="D12" cm="1">
        <f t="array" ref="D12">SUMPRODUCT(1*EXACT(shipments[delivery_status], "delivered"))</f>
        <v>1798</v>
      </c>
      <c r="E12" t="s">
        <v>13380</v>
      </c>
      <c r="F12" s="9"/>
      <c r="G12" s="9"/>
      <c r="H12" s="9"/>
      <c r="J12" s="4" t="s">
        <v>23</v>
      </c>
      <c r="K12" s="4" t="s">
        <v>13390</v>
      </c>
    </row>
    <row r="13" spans="1:11">
      <c r="J13" s="4" t="s">
        <v>54</v>
      </c>
      <c r="K13" s="4" t="s">
        <v>13390</v>
      </c>
    </row>
    <row r="14" spans="1:11">
      <c r="J14" s="4" t="s">
        <v>33</v>
      </c>
      <c r="K14" s="4" t="s">
        <v>13390</v>
      </c>
    </row>
    <row r="16" spans="1:11">
      <c r="E16">
        <f>COUNTIF(Raw_shipments!J2:J6376,"Delivered")</f>
        <v>5406</v>
      </c>
    </row>
    <row r="17" spans="5:5">
      <c r="E17">
        <f>COUNTIF(Raw_orders!G:G, "Nordics")</f>
        <v>2006</v>
      </c>
    </row>
    <row r="18" spans="5:5">
      <c r="E18">
        <f>COUNTIF(shipments[Delivery_Performance], "Late")</f>
        <v>3429</v>
      </c>
    </row>
    <row r="19" spans="5:5">
      <c r="E19">
        <f>COUNTIF(shipments[Delivery_Performance], "On Time")</f>
        <v>1977</v>
      </c>
    </row>
  </sheetData>
  <mergeCells count="1">
    <mergeCell ref="F7:H1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A4981-D242-F146-AF82-E7FAAF897F96}">
  <dimension ref="A1:G13"/>
  <sheetViews>
    <sheetView showGridLines="0" zoomScale="131" zoomScaleNormal="100" workbookViewId="0">
      <selection activeCell="J1" sqref="J1:J1048576"/>
    </sheetView>
  </sheetViews>
  <sheetFormatPr baseColWidth="10" defaultRowHeight="16"/>
  <cols>
    <col min="2" max="2" width="35" bestFit="1" customWidth="1"/>
    <col min="4" max="4" width="33.5" bestFit="1" customWidth="1"/>
    <col min="6" max="6" width="34.33203125" customWidth="1"/>
  </cols>
  <sheetData>
    <row r="1" spans="1:7" ht="56" customHeight="1">
      <c r="B1" s="17" t="s">
        <v>13404</v>
      </c>
      <c r="C1" s="18"/>
      <c r="D1" s="18"/>
      <c r="E1" s="18"/>
      <c r="F1" s="18"/>
      <c r="G1" s="18"/>
    </row>
    <row r="2" spans="1:7" s="12" customFormat="1" ht="29">
      <c r="A2" s="10"/>
      <c r="B2" s="11" t="s">
        <v>13399</v>
      </c>
      <c r="C2" s="11"/>
      <c r="D2" s="11" t="s">
        <v>13402</v>
      </c>
      <c r="E2" s="11"/>
      <c r="F2" s="11" t="s">
        <v>13403</v>
      </c>
      <c r="G2" s="10"/>
    </row>
    <row r="3" spans="1:7" s="12" customFormat="1">
      <c r="A3" s="10"/>
      <c r="B3" s="10"/>
      <c r="C3" s="10"/>
      <c r="D3" s="10"/>
      <c r="E3" s="10"/>
      <c r="F3" s="10"/>
      <c r="G3" s="10"/>
    </row>
    <row r="4" spans="1:7" s="12" customFormat="1" ht="24">
      <c r="A4" s="10"/>
      <c r="B4" s="13">
        <f>COUNTIF(shipments[Cleaned_delivery_status], "Delivered")</f>
        <v>5406</v>
      </c>
      <c r="C4" s="14"/>
      <c r="D4" s="15">
        <f>COUNTIFS(shipments[Cleaned_delivery_status], "Delivered", shipments[Delivery_Performance], "On Time") / COUNTIF(shipments[Cleaned_delivery_status], "Delivered")</f>
        <v>0.36570477247502775</v>
      </c>
      <c r="E4" s="14"/>
      <c r="F4" s="16">
        <f>SUM(Raw_shipments!G:G)</f>
        <v>217738.12000000049</v>
      </c>
      <c r="G4" s="10"/>
    </row>
    <row r="5" spans="1:7" s="12" customFormat="1">
      <c r="A5" s="10"/>
      <c r="B5" s="10"/>
      <c r="C5" s="10"/>
      <c r="D5" s="10"/>
      <c r="E5" s="10"/>
      <c r="F5" s="10"/>
      <c r="G5" s="10"/>
    </row>
    <row r="6" spans="1:7" s="12" customFormat="1">
      <c r="A6" s="10"/>
      <c r="B6" s="10"/>
      <c r="C6" s="10"/>
      <c r="D6" s="10"/>
      <c r="E6" s="10"/>
      <c r="F6" s="10"/>
      <c r="G6" s="10"/>
    </row>
    <row r="7" spans="1:7" s="12" customFormat="1">
      <c r="A7" s="10"/>
      <c r="B7" s="10"/>
      <c r="C7" s="10"/>
      <c r="D7" s="10"/>
      <c r="E7" s="10"/>
      <c r="F7" s="10"/>
      <c r="G7" s="10"/>
    </row>
    <row r="13" spans="1:7">
      <c r="D13" s="8"/>
    </row>
  </sheetData>
  <mergeCells count="1">
    <mergeCell ref="B1:G1"/>
  </mergeCells>
  <pageMargins left="0.7" right="0.7" top="0.75" bottom="0.75" header="0.3" footer="0.3"/>
  <pageSetup paperSize="9" orientation="portrait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B04251-3973-AD4A-847A-3E328FEA3C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Raw_customers</vt:lpstr>
      <vt:lpstr>Raw_shipments</vt:lpstr>
      <vt:lpstr>Raw_orders</vt:lpstr>
      <vt:lpstr>Data_Quality_Audit.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Bankole Abdulazeez</dc:creator>
  <cp:lastModifiedBy>Bankole Abdulazeez</cp:lastModifiedBy>
  <dcterms:created xsi:type="dcterms:W3CDTF">2026-09-04T20:11:09Z</dcterms:created>
  <dcterms:modified xsi:type="dcterms:W3CDTF">2026-09-06T22:17:17Z</dcterms:modified>
</cp:coreProperties>
</file>